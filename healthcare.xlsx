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 Names" sheetId="1" r:id="rId5"/>
    <sheet state="visible" name="Medical Examinations" sheetId="2" r:id="rId6"/>
    <sheet state="visible" name="Hospitalisation Details" sheetId="3" r:id="rId7"/>
    <sheet state="visible" name="Healthcare" sheetId="4" r:id="rId8"/>
    <sheet state="visible" name="Pivot Table 3" sheetId="5" r:id="rId9"/>
    <sheet state="visible" name="Chart1" sheetId="6" r:id="rId10"/>
  </sheets>
  <definedNames/>
  <calcPr/>
  <pivotCaches>
    <pivotCache cacheId="0" r:id="rId11"/>
  </pivotCaches>
</workbook>
</file>

<file path=xl/sharedStrings.xml><?xml version="1.0" encoding="utf-8"?>
<sst xmlns="http://schemas.openxmlformats.org/spreadsheetml/2006/main" count="53864" uniqueCount="8100">
  <si>
    <t>Customer ID</t>
  </si>
  <si>
    <t>Last Name</t>
  </si>
  <si>
    <t>Title</t>
  </si>
  <si>
    <t>First name</t>
  </si>
  <si>
    <t>Id1</t>
  </si>
  <si>
    <t>year</t>
  </si>
  <si>
    <t>month</t>
  </si>
  <si>
    <t>date</t>
  </si>
  <si>
    <t>Date of birth</t>
  </si>
  <si>
    <t>children</t>
  </si>
  <si>
    <t>Hawks</t>
  </si>
  <si>
    <t>charges</t>
  </si>
  <si>
    <t>Ms.</t>
  </si>
  <si>
    <t>Kelly</t>
  </si>
  <si>
    <t>Id2</t>
  </si>
  <si>
    <t>Lehner</t>
  </si>
  <si>
    <t>BMI</t>
  </si>
  <si>
    <t>Mr.</t>
  </si>
  <si>
    <t>Matthew D</t>
  </si>
  <si>
    <t>Id3</t>
  </si>
  <si>
    <t>Hospital tier</t>
  </si>
  <si>
    <t>Lu</t>
  </si>
  <si>
    <t>Phil</t>
  </si>
  <si>
    <t>City tier</t>
  </si>
  <si>
    <t>Id4</t>
  </si>
  <si>
    <t>Osborne</t>
  </si>
  <si>
    <t>Kelsey</t>
  </si>
  <si>
    <t>State ID</t>
  </si>
  <si>
    <t>Id5</t>
  </si>
  <si>
    <t>Kadala</t>
  </si>
  <si>
    <t>Kristyn</t>
  </si>
  <si>
    <t>HBA1C</t>
  </si>
  <si>
    <t>Id6</t>
  </si>
  <si>
    <t>Baker</t>
  </si>
  <si>
    <t>Russell B.</t>
  </si>
  <si>
    <t>Heart Issues</t>
  </si>
  <si>
    <t>Id7</t>
  </si>
  <si>
    <t>Macpherson</t>
  </si>
  <si>
    <t>Any Transplants</t>
  </si>
  <si>
    <t>Scott</t>
  </si>
  <si>
    <t>Id8</t>
  </si>
  <si>
    <t>Cancer history</t>
  </si>
  <si>
    <t>Hallman</t>
  </si>
  <si>
    <t>Stephen</t>
  </si>
  <si>
    <t>NumberOfMajorSurgeries</t>
  </si>
  <si>
    <t>Id9</t>
  </si>
  <si>
    <t>Moran</t>
  </si>
  <si>
    <t>smoker</t>
  </si>
  <si>
    <t>Patrick R.</t>
  </si>
  <si>
    <t>Age</t>
  </si>
  <si>
    <t>Id10</t>
  </si>
  <si>
    <t>First Name</t>
  </si>
  <si>
    <t>Benner</t>
  </si>
  <si>
    <t>Weight Status</t>
  </si>
  <si>
    <t>Brooke N.</t>
  </si>
  <si>
    <t>Id11</t>
  </si>
  <si>
    <t>Fierro Vargas</t>
  </si>
  <si>
    <t>Paola Andrea</t>
  </si>
  <si>
    <t>Id12</t>
  </si>
  <si>
    <t>Franz</t>
  </si>
  <si>
    <t>David</t>
  </si>
  <si>
    <t>Column</t>
  </si>
  <si>
    <t>Id13</t>
  </si>
  <si>
    <t>Foster</t>
  </si>
  <si>
    <t>Missing values</t>
  </si>
  <si>
    <t>Wade</t>
  </si>
  <si>
    <t>Id14</t>
  </si>
  <si>
    <t>Tenorio</t>
  </si>
  <si>
    <t>Cancer History</t>
  </si>
  <si>
    <t>Franklin</t>
  </si>
  <si>
    <t>Number of Major Surgeries</t>
  </si>
  <si>
    <t>Id15</t>
  </si>
  <si>
    <t>Rios</t>
  </si>
  <si>
    <t>No</t>
  </si>
  <si>
    <t>Smoker</t>
  </si>
  <si>
    <t>Leilani M.</t>
  </si>
  <si>
    <t>Id16</t>
  </si>
  <si>
    <t>Viau-Dupuis</t>
  </si>
  <si>
    <t>Philippe</t>
  </si>
  <si>
    <t>Id17</t>
  </si>
  <si>
    <t>yes</t>
  </si>
  <si>
    <t>Cronin</t>
  </si>
  <si>
    <t>Jennifer A.</t>
  </si>
  <si>
    <t>Id18</t>
  </si>
  <si>
    <t>Noordstar</t>
  </si>
  <si>
    <t>Christina M.</t>
  </si>
  <si>
    <t>Id2335</t>
  </si>
  <si>
    <t>Id19</t>
  </si>
  <si>
    <t>Boudalia</t>
  </si>
  <si>
    <t>Said Sr.</t>
  </si>
  <si>
    <t>Id20</t>
  </si>
  <si>
    <t>Jul</t>
  </si>
  <si>
    <t>Flor</t>
  </si>
  <si>
    <t>John</t>
  </si>
  <si>
    <t>Id21</t>
  </si>
  <si>
    <t>Fennon</t>
  </si>
  <si>
    <t>Myles</t>
  </si>
  <si>
    <t>Id22</t>
  </si>
  <si>
    <t>Hribar</t>
  </si>
  <si>
    <t>Madelyn C</t>
  </si>
  <si>
    <t>Id23</t>
  </si>
  <si>
    <t>Tassello</t>
  </si>
  <si>
    <t>Nicole</t>
  </si>
  <si>
    <t>Id24</t>
  </si>
  <si>
    <t>Mauricette</t>
  </si>
  <si>
    <t>Eric A.</t>
  </si>
  <si>
    <t>Id25</t>
  </si>
  <si>
    <t>Garcia</t>
  </si>
  <si>
    <t>Emiliano I.</t>
  </si>
  <si>
    <t>Id26</t>
  </si>
  <si>
    <t>Airoldi</t>
  </si>
  <si>
    <t>Adam</t>
  </si>
  <si>
    <t>Id27</t>
  </si>
  <si>
    <t>Cater-Cyker</t>
  </si>
  <si>
    <t>Zach</t>
  </si>
  <si>
    <t>Id28</t>
  </si>
  <si>
    <t>Hamm</t>
  </si>
  <si>
    <t>Stephanie W.</t>
  </si>
  <si>
    <t>Id29</t>
  </si>
  <si>
    <t>Cox</t>
  </si>
  <si>
    <t>Id30</t>
  </si>
  <si>
    <t>Sachrajda</t>
  </si>
  <si>
    <t>Natalie</t>
  </si>
  <si>
    <t>Id31</t>
  </si>
  <si>
    <t>Gareri</t>
  </si>
  <si>
    <t>Nicole J.</t>
  </si>
  <si>
    <t>Id32</t>
  </si>
  <si>
    <t>Welch</t>
  </si>
  <si>
    <t>Jefferson D</t>
  </si>
  <si>
    <t>Id33</t>
  </si>
  <si>
    <t>Prindiville</t>
  </si>
  <si>
    <t>Brendan D.</t>
  </si>
  <si>
    <t>Id34</t>
  </si>
  <si>
    <t>Kincaid</t>
  </si>
  <si>
    <t>Courtney</t>
  </si>
  <si>
    <t>Id35</t>
  </si>
  <si>
    <t>Bruestle</t>
  </si>
  <si>
    <t>Sydney L.</t>
  </si>
  <si>
    <t>Id36</t>
  </si>
  <si>
    <t>Lachance</t>
  </si>
  <si>
    <t>tier - 2</t>
  </si>
  <si>
    <t>Julien</t>
  </si>
  <si>
    <t>tier - 3</t>
  </si>
  <si>
    <t>Id37</t>
  </si>
  <si>
    <t>Eason</t>
  </si>
  <si>
    <t>Ryan M</t>
  </si>
  <si>
    <t>R1013</t>
  </si>
  <si>
    <t>Id38</t>
  </si>
  <si>
    <t>Grummon</t>
  </si>
  <si>
    <t>Anna H.</t>
  </si>
  <si>
    <t>Id39</t>
  </si>
  <si>
    <t>Vanwechel</t>
  </si>
  <si>
    <t>Samantha</t>
  </si>
  <si>
    <t>Id40</t>
  </si>
  <si>
    <t>Fisher</t>
  </si>
  <si>
    <t>Robert</t>
  </si>
  <si>
    <t>Id41</t>
  </si>
  <si>
    <t>Jenkins</t>
  </si>
  <si>
    <t>James R.</t>
  </si>
  <si>
    <t>Id42</t>
  </si>
  <si>
    <t>Peters</t>
  </si>
  <si>
    <t>Roseann</t>
  </si>
  <si>
    <t>Id43</t>
  </si>
  <si>
    <t>Aha</t>
  </si>
  <si>
    <t>Id44</t>
  </si>
  <si>
    <t>McElwain</t>
  </si>
  <si>
    <t>Spencer</t>
  </si>
  <si>
    <t>Id45</t>
  </si>
  <si>
    <t>Januszewski</t>
  </si>
  <si>
    <t>Eric W</t>
  </si>
  <si>
    <t>Id46</t>
  </si>
  <si>
    <t>Rohne</t>
  </si>
  <si>
    <t>Brianna L</t>
  </si>
  <si>
    <t>Id47</t>
  </si>
  <si>
    <t>O'Grady</t>
  </si>
  <si>
    <t>Thomas J.</t>
  </si>
  <si>
    <t>Id48</t>
  </si>
  <si>
    <t>Melissa L</t>
  </si>
  <si>
    <t>Id49</t>
  </si>
  <si>
    <t>De Simone</t>
  </si>
  <si>
    <t>Flavio</t>
  </si>
  <si>
    <t>Id50</t>
  </si>
  <si>
    <t>Beckett</t>
  </si>
  <si>
    <t>Ryan</t>
  </si>
  <si>
    <t>Yes</t>
  </si>
  <si>
    <t>Id51</t>
  </si>
  <si>
    <t>Sobrilsky</t>
  </si>
  <si>
    <t>Anthony J.</t>
  </si>
  <si>
    <t>Id52</t>
  </si>
  <si>
    <t>Wang</t>
  </si>
  <si>
    <t>Alex</t>
  </si>
  <si>
    <t>Id53</t>
  </si>
  <si>
    <t>Campa</t>
  </si>
  <si>
    <t>Id54</t>
  </si>
  <si>
    <t>Clifford</t>
  </si>
  <si>
    <t>Andrew B</t>
  </si>
  <si>
    <t>Id55</t>
  </si>
  <si>
    <t>Dalmata</t>
  </si>
  <si>
    <t>Dara E</t>
  </si>
  <si>
    <t>Id56</t>
  </si>
  <si>
    <t>Vishik</t>
  </si>
  <si>
    <t>Inna</t>
  </si>
  <si>
    <t>Id57</t>
  </si>
  <si>
    <t>Schorr</t>
  </si>
  <si>
    <t>Ari</t>
  </si>
  <si>
    <t>Id2334</t>
  </si>
  <si>
    <t>Id58</t>
  </si>
  <si>
    <t>Lusardi</t>
  </si>
  <si>
    <t>Lindsey</t>
  </si>
  <si>
    <t>Nov</t>
  </si>
  <si>
    <t>Id59</t>
  </si>
  <si>
    <t>Rayner</t>
  </si>
  <si>
    <t>Kenny</t>
  </si>
  <si>
    <t>Id60</t>
  </si>
  <si>
    <t>Voghel</t>
  </si>
  <si>
    <t>Louise</t>
  </si>
  <si>
    <t>Id61</t>
  </si>
  <si>
    <t>Rieth</t>
  </si>
  <si>
    <t>Cameron</t>
  </si>
  <si>
    <t>tier - 1</t>
  </si>
  <si>
    <t>Id62</t>
  </si>
  <si>
    <t>Gollotto</t>
  </si>
  <si>
    <t>Katie T.</t>
  </si>
  <si>
    <t>Id63</t>
  </si>
  <si>
    <t>Dunn</t>
  </si>
  <si>
    <t>Casey</t>
  </si>
  <si>
    <t>Id64</t>
  </si>
  <si>
    <t>Blitzer</t>
  </si>
  <si>
    <t>Id65</t>
  </si>
  <si>
    <t>Smith</t>
  </si>
  <si>
    <t>Bryson C.</t>
  </si>
  <si>
    <t>Id66</t>
  </si>
  <si>
    <t>Hyland</t>
  </si>
  <si>
    <t>Megan</t>
  </si>
  <si>
    <t>Id67</t>
  </si>
  <si>
    <t>Ducharme</t>
  </si>
  <si>
    <t>Daniel</t>
  </si>
  <si>
    <t>Id68</t>
  </si>
  <si>
    <t>Id2333</t>
  </si>
  <si>
    <t>Johnson</t>
  </si>
  <si>
    <t>Steven M.</t>
  </si>
  <si>
    <t>Jun</t>
  </si>
  <si>
    <t>Id69</t>
  </si>
  <si>
    <t>Mutz</t>
  </si>
  <si>
    <t>Jenna L.</t>
  </si>
  <si>
    <t>Id70</t>
  </si>
  <si>
    <t>Lee</t>
  </si>
  <si>
    <t>Freeman</t>
  </si>
  <si>
    <t>Id71</t>
  </si>
  <si>
    <t>Turner</t>
  </si>
  <si>
    <t>Jeff</t>
  </si>
  <si>
    <t>Id72</t>
  </si>
  <si>
    <t>Rangel</t>
  </si>
  <si>
    <t>Elenilton V. Sr.</t>
  </si>
  <si>
    <t>Id73</t>
  </si>
  <si>
    <t>Lacey</t>
  </si>
  <si>
    <t>Maurya</t>
  </si>
  <si>
    <t>Id74</t>
  </si>
  <si>
    <t>Stiger</t>
  </si>
  <si>
    <t>Samantha C</t>
  </si>
  <si>
    <t>Id75</t>
  </si>
  <si>
    <t>Caldwell</t>
  </si>
  <si>
    <t>Bethany A</t>
  </si>
  <si>
    <t>Id76</t>
  </si>
  <si>
    <t>Marmillod</t>
  </si>
  <si>
    <t>Yves</t>
  </si>
  <si>
    <t>Id77</t>
  </si>
  <si>
    <t>Cloutier-Simons</t>
  </si>
  <si>
    <t>Danielle</t>
  </si>
  <si>
    <t>Id2332</t>
  </si>
  <si>
    <t>Id78</t>
  </si>
  <si>
    <t>Vegas</t>
  </si>
  <si>
    <t>Sep</t>
  </si>
  <si>
    <t>Julia</t>
  </si>
  <si>
    <t>Id79</t>
  </si>
  <si>
    <t>Cochran</t>
  </si>
  <si>
    <t>Joshua</t>
  </si>
  <si>
    <t>Id80</t>
  </si>
  <si>
    <t>Holtzapple</t>
  </si>
  <si>
    <t>Jennifer</t>
  </si>
  <si>
    <t>Id81</t>
  </si>
  <si>
    <t>Meyer</t>
  </si>
  <si>
    <t>Gwen M.</t>
  </si>
  <si>
    <t>Id82</t>
  </si>
  <si>
    <t>Brickley</t>
  </si>
  <si>
    <t>Patrick</t>
  </si>
  <si>
    <t>Id83</t>
  </si>
  <si>
    <t>Magee</t>
  </si>
  <si>
    <t>Kate</t>
  </si>
  <si>
    <t>Id84</t>
  </si>
  <si>
    <t>Thoma</t>
  </si>
  <si>
    <t>Kevin</t>
  </si>
  <si>
    <t>Id85</t>
  </si>
  <si>
    <t>Id2331</t>
  </si>
  <si>
    <t>Heagy</t>
  </si>
  <si>
    <t>Stephen II</t>
  </si>
  <si>
    <t>Id86</t>
  </si>
  <si>
    <t>Regnier</t>
  </si>
  <si>
    <t>Philip</t>
  </si>
  <si>
    <t>Id87</t>
  </si>
  <si>
    <t>Parendo</t>
  </si>
  <si>
    <t>Brett A</t>
  </si>
  <si>
    <t>Id88</t>
  </si>
  <si>
    <t>Schell</t>
  </si>
  <si>
    <t>Rebecca</t>
  </si>
  <si>
    <t>Id89</t>
  </si>
  <si>
    <t>Driscoll</t>
  </si>
  <si>
    <t>Kelley</t>
  </si>
  <si>
    <t>Id90</t>
  </si>
  <si>
    <t>Mitchell</t>
  </si>
  <si>
    <t>Abigail K</t>
  </si>
  <si>
    <t>Id91</t>
  </si>
  <si>
    <t>Cutler</t>
  </si>
  <si>
    <t>Hope</t>
  </si>
  <si>
    <t>Id92</t>
  </si>
  <si>
    <t>Derian</t>
  </si>
  <si>
    <t>Elyse M.</t>
  </si>
  <si>
    <t>Id2330</t>
  </si>
  <si>
    <t>Id93</t>
  </si>
  <si>
    <t>Farina</t>
  </si>
  <si>
    <t>Nicholas</t>
  </si>
  <si>
    <t>Id94</t>
  </si>
  <si>
    <t>Saunders</t>
  </si>
  <si>
    <t>Id95</t>
  </si>
  <si>
    <t>Kratz</t>
  </si>
  <si>
    <t>R1012</t>
  </si>
  <si>
    <t>Id96</t>
  </si>
  <si>
    <t>Boland</t>
  </si>
  <si>
    <t>Thomas</t>
  </si>
  <si>
    <t>Id97</t>
  </si>
  <si>
    <t>Van Hout</t>
  </si>
  <si>
    <t>Pamela J.</t>
  </si>
  <si>
    <t>Id98</t>
  </si>
  <si>
    <t>Ramsey</t>
  </si>
  <si>
    <t>Jessica</t>
  </si>
  <si>
    <t>Id99</t>
  </si>
  <si>
    <t>Gage</t>
  </si>
  <si>
    <t>Ron N</t>
  </si>
  <si>
    <t>Id100</t>
  </si>
  <si>
    <t>Gollins</t>
  </si>
  <si>
    <t>Id101</t>
  </si>
  <si>
    <t>Benestad</t>
  </si>
  <si>
    <t>Brian</t>
  </si>
  <si>
    <t>Id102</t>
  </si>
  <si>
    <t xml:space="preserve">
</t>
  </si>
  <si>
    <t>Aviv</t>
  </si>
  <si>
    <t>Sari</t>
  </si>
  <si>
    <t>Id103</t>
  </si>
  <si>
    <t>Id2329</t>
  </si>
  <si>
    <t>Burns</t>
  </si>
  <si>
    <t>Robert M.</t>
  </si>
  <si>
    <t>Id104</t>
  </si>
  <si>
    <t>Maldonado</t>
  </si>
  <si>
    <t>Ricardo</t>
  </si>
  <si>
    <t>Id105</t>
  </si>
  <si>
    <t>Yitref</t>
  </si>
  <si>
    <t>Gedion</t>
  </si>
  <si>
    <t>Id106</t>
  </si>
  <si>
    <t>Loudon-Brown</t>
  </si>
  <si>
    <t>Mark</t>
  </si>
  <si>
    <t>Id107</t>
  </si>
  <si>
    <t>Sugathadasa</t>
  </si>
  <si>
    <t>Gamini P.</t>
  </si>
  <si>
    <t>Id108</t>
  </si>
  <si>
    <t>Ganley</t>
  </si>
  <si>
    <t>Emily J</t>
  </si>
  <si>
    <t>Id2328</t>
  </si>
  <si>
    <t>Id109</t>
  </si>
  <si>
    <t>Potter</t>
  </si>
  <si>
    <t>Amanda</t>
  </si>
  <si>
    <t>Id110</t>
  </si>
  <si>
    <t>Rasmussen</t>
  </si>
  <si>
    <t>Id111</t>
  </si>
  <si>
    <t>Robinson</t>
  </si>
  <si>
    <t>Knox</t>
  </si>
  <si>
    <t>Id112</t>
  </si>
  <si>
    <t>Antonopoulos</t>
  </si>
  <si>
    <t>Yianna</t>
  </si>
  <si>
    <t>Id2327</t>
  </si>
  <si>
    <t>Id113</t>
  </si>
  <si>
    <t>Groner</t>
  </si>
  <si>
    <t>Roberta</t>
  </si>
  <si>
    <t>Id114</t>
  </si>
  <si>
    <t>Zywicki</t>
  </si>
  <si>
    <t>Benjamin P.</t>
  </si>
  <si>
    <t>Id115</t>
  </si>
  <si>
    <t>Cardinal</t>
  </si>
  <si>
    <t>Craig</t>
  </si>
  <si>
    <t>Id116</t>
  </si>
  <si>
    <t>Alleman</t>
  </si>
  <si>
    <t>Ann</t>
  </si>
  <si>
    <t>Id117</t>
  </si>
  <si>
    <t>Stroffolino</t>
  </si>
  <si>
    <t>Jamie P</t>
  </si>
  <si>
    <t>Id118</t>
  </si>
  <si>
    <t>Clubb</t>
  </si>
  <si>
    <t>Id119</t>
  </si>
  <si>
    <t>McGoogan</t>
  </si>
  <si>
    <t>Charlie</t>
  </si>
  <si>
    <t>Id120</t>
  </si>
  <si>
    <t>Keflezighi</t>
  </si>
  <si>
    <t>Meb</t>
  </si>
  <si>
    <t>Id121</t>
  </si>
  <si>
    <t>Syed</t>
  </si>
  <si>
    <t>Aaqib L.</t>
  </si>
  <si>
    <t>Id122</t>
  </si>
  <si>
    <t>Segal</t>
  </si>
  <si>
    <t>Craig A.</t>
  </si>
  <si>
    <t>Id123</t>
  </si>
  <si>
    <t>Defranco</t>
  </si>
  <si>
    <t>Meredith</t>
  </si>
  <si>
    <t>Id124</t>
  </si>
  <si>
    <t>Kells</t>
  </si>
  <si>
    <t>Doug</t>
  </si>
  <si>
    <t>Id125</t>
  </si>
  <si>
    <t>Lawton</t>
  </si>
  <si>
    <t>Elizabeth J.</t>
  </si>
  <si>
    <t>Id2326</t>
  </si>
  <si>
    <t>Id126</t>
  </si>
  <si>
    <t>Bejar</t>
  </si>
  <si>
    <t>Matthew P</t>
  </si>
  <si>
    <t>Id127</t>
  </si>
  <si>
    <t>Navarro Castro</t>
  </si>
  <si>
    <t>Guillermo Sr.</t>
  </si>
  <si>
    <t>Id128</t>
  </si>
  <si>
    <t>Tice</t>
  </si>
  <si>
    <t>Ryan C</t>
  </si>
  <si>
    <t>Id129</t>
  </si>
  <si>
    <t>Wolf</t>
  </si>
  <si>
    <t>Dane</t>
  </si>
  <si>
    <t>Id130</t>
  </si>
  <si>
    <t>Oppedal</t>
  </si>
  <si>
    <t>Jonas</t>
  </si>
  <si>
    <t>Id131</t>
  </si>
  <si>
    <t>Wright</t>
  </si>
  <si>
    <t>George E</t>
  </si>
  <si>
    <t>Id132</t>
  </si>
  <si>
    <t>Ellis</t>
  </si>
  <si>
    <t>Id2325</t>
  </si>
  <si>
    <t>Sara S</t>
  </si>
  <si>
    <t>Id133</t>
  </si>
  <si>
    <t>Taormina</t>
  </si>
  <si>
    <t>Nick</t>
  </si>
  <si>
    <t>Id134</t>
  </si>
  <si>
    <t>Lynch</t>
  </si>
  <si>
    <t>Timothy</t>
  </si>
  <si>
    <t>Id135</t>
  </si>
  <si>
    <t>Tavella</t>
  </si>
  <si>
    <t>Becky L</t>
  </si>
  <si>
    <t>Id136</t>
  </si>
  <si>
    <t>Neufeld</t>
  </si>
  <si>
    <t>Steph K.</t>
  </si>
  <si>
    <t>Id137</t>
  </si>
  <si>
    <t>Walhovd</t>
  </si>
  <si>
    <t>Id2324</t>
  </si>
  <si>
    <t>Kristine B.</t>
  </si>
  <si>
    <t>Id138</t>
  </si>
  <si>
    <t>Dec</t>
  </si>
  <si>
    <t>Washburn</t>
  </si>
  <si>
    <t>Taylor B</t>
  </si>
  <si>
    <t>Id139</t>
  </si>
  <si>
    <t>Mroz</t>
  </si>
  <si>
    <t>William</t>
  </si>
  <si>
    <t>Id140</t>
  </si>
  <si>
    <t>Canaday</t>
  </si>
  <si>
    <t>Sage</t>
  </si>
  <si>
    <t>Id141</t>
  </si>
  <si>
    <t>Atkins</t>
  </si>
  <si>
    <t>Cole</t>
  </si>
  <si>
    <t>Id2323</t>
  </si>
  <si>
    <t>Id142</t>
  </si>
  <si>
    <t>Kropelnicki</t>
  </si>
  <si>
    <t>Jesse</t>
  </si>
  <si>
    <t>Id143</t>
  </si>
  <si>
    <t>Braund</t>
  </si>
  <si>
    <t>Tammi J.</t>
  </si>
  <si>
    <t>Id144</t>
  </si>
  <si>
    <t>Anderson</t>
  </si>
  <si>
    <t>Matthew S.</t>
  </si>
  <si>
    <t>Id145</t>
  </si>
  <si>
    <t>Bilbrey</t>
  </si>
  <si>
    <t>Eric</t>
  </si>
  <si>
    <t>Id2322</t>
  </si>
  <si>
    <t>Id146</t>
  </si>
  <si>
    <t>Curtis</t>
  </si>
  <si>
    <t>Valeria R</t>
  </si>
  <si>
    <t>Id147</t>
  </si>
  <si>
    <t>Michael P</t>
  </si>
  <si>
    <t>Id148</t>
  </si>
  <si>
    <t>Bardeesy</t>
  </si>
  <si>
    <t>Rami</t>
  </si>
  <si>
    <t>Id149</t>
  </si>
  <si>
    <t>Shanahan</t>
  </si>
  <si>
    <t>Denis</t>
  </si>
  <si>
    <t>Id150</t>
  </si>
  <si>
    <t>Sutter</t>
  </si>
  <si>
    <t>Brian E</t>
  </si>
  <si>
    <t>Id2321</t>
  </si>
  <si>
    <t>Id151</t>
  </si>
  <si>
    <t>Yesian</t>
  </si>
  <si>
    <t>Bonnie</t>
  </si>
  <si>
    <t>Aug</t>
  </si>
  <si>
    <t>Id152</t>
  </si>
  <si>
    <t>Meers</t>
  </si>
  <si>
    <t>Id153</t>
  </si>
  <si>
    <t>Conlon</t>
  </si>
  <si>
    <t>Paul</t>
  </si>
  <si>
    <t>Id154</t>
  </si>
  <si>
    <t>Arnstein</t>
  </si>
  <si>
    <t>Michael</t>
  </si>
  <si>
    <t>Id155</t>
  </si>
  <si>
    <t>Jurek</t>
  </si>
  <si>
    <t>Samuel</t>
  </si>
  <si>
    <t>Id156</t>
  </si>
  <si>
    <t>Thill</t>
  </si>
  <si>
    <t>Id2320</t>
  </si>
  <si>
    <t>Matthew</t>
  </si>
  <si>
    <t>Oct</t>
  </si>
  <si>
    <t>Id157</t>
  </si>
  <si>
    <t>Glaz</t>
  </si>
  <si>
    <t>Id158</t>
  </si>
  <si>
    <t>Sampson</t>
  </si>
  <si>
    <t>Syndy</t>
  </si>
  <si>
    <t>Id159</t>
  </si>
  <si>
    <t>Duliba</t>
  </si>
  <si>
    <t>Aleksandra</t>
  </si>
  <si>
    <t>Id160</t>
  </si>
  <si>
    <t>Tanguay</t>
  </si>
  <si>
    <t>Steeve T Sr.</t>
  </si>
  <si>
    <t>Id161</t>
  </si>
  <si>
    <t>McClelland</t>
  </si>
  <si>
    <t>Richard</t>
  </si>
  <si>
    <t>Id162</t>
  </si>
  <si>
    <t>Gorman</t>
  </si>
  <si>
    <t>Aaron T</t>
  </si>
  <si>
    <t>Id2319</t>
  </si>
  <si>
    <t>Id163</t>
  </si>
  <si>
    <t>Nishimura</t>
  </si>
  <si>
    <t>Akira</t>
  </si>
  <si>
    <t>Id164</t>
  </si>
  <si>
    <t>Brimble</t>
  </si>
  <si>
    <t>Ben</t>
  </si>
  <si>
    <t>Id165</t>
  </si>
  <si>
    <t>Trenk</t>
  </si>
  <si>
    <t>Jana</t>
  </si>
  <si>
    <t>Id2318</t>
  </si>
  <si>
    <t>Id166</t>
  </si>
  <si>
    <t>Wittmann</t>
  </si>
  <si>
    <t>Jay T.</t>
  </si>
  <si>
    <t>Id167</t>
  </si>
  <si>
    <t>Tremblay</t>
  </si>
  <si>
    <t>Marie-Helene</t>
  </si>
  <si>
    <t>Id168</t>
  </si>
  <si>
    <t>Scofield</t>
  </si>
  <si>
    <t>Bret R</t>
  </si>
  <si>
    <t>Id169</t>
  </si>
  <si>
    <t>Id2317</t>
  </si>
  <si>
    <t>Yost</t>
  </si>
  <si>
    <t>Gardner L</t>
  </si>
  <si>
    <t>Id170</t>
  </si>
  <si>
    <t>Torphy</t>
  </si>
  <si>
    <t>Bobby</t>
  </si>
  <si>
    <t>Id171</t>
  </si>
  <si>
    <t>Busby</t>
  </si>
  <si>
    <t>Id2316</t>
  </si>
  <si>
    <t>Id172</t>
  </si>
  <si>
    <t>Nguyen</t>
  </si>
  <si>
    <t>Lina</t>
  </si>
  <si>
    <t>Id173</t>
  </si>
  <si>
    <t>Hanley</t>
  </si>
  <si>
    <t>R1011</t>
  </si>
  <si>
    <t>Zebulon</t>
  </si>
  <si>
    <t>Id174</t>
  </si>
  <si>
    <t>Scheer</t>
  </si>
  <si>
    <t>Id2315</t>
  </si>
  <si>
    <t>Id175</t>
  </si>
  <si>
    <t>Rankin</t>
  </si>
  <si>
    <t>Greg</t>
  </si>
  <si>
    <t>Id176</t>
  </si>
  <si>
    <t>Ricardi</t>
  </si>
  <si>
    <t>Id177</t>
  </si>
  <si>
    <t>Karkos</t>
  </si>
  <si>
    <t>Id2314</t>
  </si>
  <si>
    <t>Kelsey A.</t>
  </si>
  <si>
    <t>Id178</t>
  </si>
  <si>
    <t>Price-Dierksen</t>
  </si>
  <si>
    <t>Bronwen L</t>
  </si>
  <si>
    <t>Id179</t>
  </si>
  <si>
    <t>Knispel</t>
  </si>
  <si>
    <t>Manuela</t>
  </si>
  <si>
    <t>Id180</t>
  </si>
  <si>
    <t>King</t>
  </si>
  <si>
    <t>Jennifer L</t>
  </si>
  <si>
    <t>Id2313</t>
  </si>
  <si>
    <t>Id181</t>
  </si>
  <si>
    <t>Samuelson</t>
  </si>
  <si>
    <t>Abby W.</t>
  </si>
  <si>
    <t>Id182</t>
  </si>
  <si>
    <t>Fredsall</t>
  </si>
  <si>
    <t>Tyler</t>
  </si>
  <si>
    <t>Id183</t>
  </si>
  <si>
    <t>Id2312</t>
  </si>
  <si>
    <t>Eggleston</t>
  </si>
  <si>
    <t>Jeffrey</t>
  </si>
  <si>
    <t>Id184</t>
  </si>
  <si>
    <t>Palombaro</t>
  </si>
  <si>
    <t>Matthew F</t>
  </si>
  <si>
    <t>Id185</t>
  </si>
  <si>
    <t>Silva</t>
  </si>
  <si>
    <t>Ryan J.</t>
  </si>
  <si>
    <t>Id2311</t>
  </si>
  <si>
    <t>Id186</t>
  </si>
  <si>
    <t>Bugala</t>
  </si>
  <si>
    <t>Amy</t>
  </si>
  <si>
    <t>Id187</t>
  </si>
  <si>
    <t>Dublin</t>
  </si>
  <si>
    <t>Andrew P</t>
  </si>
  <si>
    <t>Id188</t>
  </si>
  <si>
    <t>Cleland</t>
  </si>
  <si>
    <t>Id2310</t>
  </si>
  <si>
    <t>George M. V</t>
  </si>
  <si>
    <t>Id189</t>
  </si>
  <si>
    <t>Evans</t>
  </si>
  <si>
    <t>Sarah</t>
  </si>
  <si>
    <t>Id190</t>
  </si>
  <si>
    <t>Boyd</t>
  </si>
  <si>
    <t>Lara</t>
  </si>
  <si>
    <t>Id2309</t>
  </si>
  <si>
    <t>Id191</t>
  </si>
  <si>
    <t>Roulier</t>
  </si>
  <si>
    <t>Sebastien</t>
  </si>
  <si>
    <t>Id192</t>
  </si>
  <si>
    <t>Mullins</t>
  </si>
  <si>
    <t>Padraig</t>
  </si>
  <si>
    <t>Id193</t>
  </si>
  <si>
    <t>Hofmann</t>
  </si>
  <si>
    <t>Id2308</t>
  </si>
  <si>
    <t>Heather</t>
  </si>
  <si>
    <t>Id194</t>
  </si>
  <si>
    <t>Garcia Garcia</t>
  </si>
  <si>
    <t>Jorge</t>
  </si>
  <si>
    <t>Id195</t>
  </si>
  <si>
    <t>Klecker</t>
  </si>
  <si>
    <t>Jack R</t>
  </si>
  <si>
    <t>Id2307</t>
  </si>
  <si>
    <t>Id196</t>
  </si>
  <si>
    <t>Cancre</t>
  </si>
  <si>
    <t>Felix</t>
  </si>
  <si>
    <t>Id2306</t>
  </si>
  <si>
    <t>Id197</t>
  </si>
  <si>
    <t>Denucci</t>
  </si>
  <si>
    <t>Christopher C</t>
  </si>
  <si>
    <t>Id198</t>
  </si>
  <si>
    <t>Saldana</t>
  </si>
  <si>
    <t>Id199</t>
  </si>
  <si>
    <t>Weinberg</t>
  </si>
  <si>
    <t>Jill</t>
  </si>
  <si>
    <t>Id200</t>
  </si>
  <si>
    <t>Walsh</t>
  </si>
  <si>
    <t>Id2305</t>
  </si>
  <si>
    <t>Id201</t>
  </si>
  <si>
    <t>Pasten</t>
  </si>
  <si>
    <t>Alejandro</t>
  </si>
  <si>
    <t>Id202</t>
  </si>
  <si>
    <t>LaBelle</t>
  </si>
  <si>
    <t>Ian E.</t>
  </si>
  <si>
    <t>Id203</t>
  </si>
  <si>
    <t>Guzman</t>
  </si>
  <si>
    <t>Hector Sr.</t>
  </si>
  <si>
    <t>Id204</t>
  </si>
  <si>
    <t>Turnbull</t>
  </si>
  <si>
    <t>Id205</t>
  </si>
  <si>
    <t>Id2304</t>
  </si>
  <si>
    <t>Aguero</t>
  </si>
  <si>
    <t>Matt</t>
  </si>
  <si>
    <t>Id206</t>
  </si>
  <si>
    <t>Woodward</t>
  </si>
  <si>
    <t>Elizabeth H</t>
  </si>
  <si>
    <t>Id207</t>
  </si>
  <si>
    <t>McElroy</t>
  </si>
  <si>
    <t>Grace</t>
  </si>
  <si>
    <t>Id208</t>
  </si>
  <si>
    <t>Lopez</t>
  </si>
  <si>
    <t>Jaime</t>
  </si>
  <si>
    <t>Id209</t>
  </si>
  <si>
    <t>Id2303</t>
  </si>
  <si>
    <t>Cardosi</t>
  </si>
  <si>
    <t>Calesse</t>
  </si>
  <si>
    <t>Id210</t>
  </si>
  <si>
    <t>Looney</t>
  </si>
  <si>
    <t>Kate L</t>
  </si>
  <si>
    <t>Id211</t>
  </si>
  <si>
    <t>Zyryanov</t>
  </si>
  <si>
    <t>Sergey</t>
  </si>
  <si>
    <t>Id212</t>
  </si>
  <si>
    <t>Gavin</t>
  </si>
  <si>
    <t>Timothy V</t>
  </si>
  <si>
    <t>Id213</t>
  </si>
  <si>
    <t>Id2302</t>
  </si>
  <si>
    <t>Littlefield</t>
  </si>
  <si>
    <t>Andrew S</t>
  </si>
  <si>
    <t>Id214</t>
  </si>
  <si>
    <t>Shearer</t>
  </si>
  <si>
    <t>Id215</t>
  </si>
  <si>
    <t>Armstrong</t>
  </si>
  <si>
    <t>Id216</t>
  </si>
  <si>
    <t>Warriner</t>
  </si>
  <si>
    <t>Id2301</t>
  </si>
  <si>
    <t>Lawrence</t>
  </si>
  <si>
    <t>Id217</t>
  </si>
  <si>
    <t>White</t>
  </si>
  <si>
    <t>Id218</t>
  </si>
  <si>
    <t>Cordaro</t>
  </si>
  <si>
    <t>Id219</t>
  </si>
  <si>
    <t>Id2300</t>
  </si>
  <si>
    <t>Hamilton</t>
  </si>
  <si>
    <t>Gavin M.</t>
  </si>
  <si>
    <t>Id220</t>
  </si>
  <si>
    <t>Rick E</t>
  </si>
  <si>
    <t>Id221</t>
  </si>
  <si>
    <t>Duke</t>
  </si>
  <si>
    <t>Andrea H.</t>
  </si>
  <si>
    <t>Id222</t>
  </si>
  <si>
    <t>Malatesta</t>
  </si>
  <si>
    <t>No Data</t>
  </si>
  <si>
    <t>Anthony S</t>
  </si>
  <si>
    <t>Id223</t>
  </si>
  <si>
    <t>Id2299</t>
  </si>
  <si>
    <t>Hinrichsen</t>
  </si>
  <si>
    <t>Erik</t>
  </si>
  <si>
    <t>Id224</t>
  </si>
  <si>
    <t>Lucan</t>
  </si>
  <si>
    <t>Kiley D</t>
  </si>
  <si>
    <t>Id225</t>
  </si>
  <si>
    <t>Koch</t>
  </si>
  <si>
    <t>Id226</t>
  </si>
  <si>
    <t>Chris</t>
  </si>
  <si>
    <t>Id2298</t>
  </si>
  <si>
    <t>Id227</t>
  </si>
  <si>
    <t>O'Connor</t>
  </si>
  <si>
    <t>Marian M.</t>
  </si>
  <si>
    <t>Id228</t>
  </si>
  <si>
    <t>Kampwerth</t>
  </si>
  <si>
    <t>Jeremy</t>
  </si>
  <si>
    <t>Id229</t>
  </si>
  <si>
    <t>Federoff</t>
  </si>
  <si>
    <t>Allison H</t>
  </si>
  <si>
    <t>Id230</t>
  </si>
  <si>
    <t>Goya</t>
  </si>
  <si>
    <t>Elizabeth</t>
  </si>
  <si>
    <t>Id2297</t>
  </si>
  <si>
    <t>Id231</t>
  </si>
  <si>
    <t>Hodges</t>
  </si>
  <si>
    <t>Andrew</t>
  </si>
  <si>
    <t>Id232</t>
  </si>
  <si>
    <t>Erickson</t>
  </si>
  <si>
    <t>Anders J</t>
  </si>
  <si>
    <t>Id233</t>
  </si>
  <si>
    <t>Welleck</t>
  </si>
  <si>
    <t>Sean</t>
  </si>
  <si>
    <t>Id234</t>
  </si>
  <si>
    <t>Id2296</t>
  </si>
  <si>
    <t>Polen</t>
  </si>
  <si>
    <t>Brian M.</t>
  </si>
  <si>
    <t>Id235</t>
  </si>
  <si>
    <t>Id236</t>
  </si>
  <si>
    <t>Hufstader</t>
  </si>
  <si>
    <t>Susannah</t>
  </si>
  <si>
    <t>Id237</t>
  </si>
  <si>
    <t>Doak</t>
  </si>
  <si>
    <t>Randy</t>
  </si>
  <si>
    <t>Id238</t>
  </si>
  <si>
    <t>Noya</t>
  </si>
  <si>
    <t>Leslie</t>
  </si>
  <si>
    <t>Id239</t>
  </si>
  <si>
    <t>Heninger</t>
  </si>
  <si>
    <t>Brittany L.</t>
  </si>
  <si>
    <t>Id2295</t>
  </si>
  <si>
    <t>Id240</t>
  </si>
  <si>
    <t>Richardson</t>
  </si>
  <si>
    <t>Cassie J.</t>
  </si>
  <si>
    <t>Id241</t>
  </si>
  <si>
    <t>Deucher</t>
  </si>
  <si>
    <t>Peter W</t>
  </si>
  <si>
    <t>Id242</t>
  </si>
  <si>
    <t>Wilson</t>
  </si>
  <si>
    <t>Douglas</t>
  </si>
  <si>
    <t>Id243</t>
  </si>
  <si>
    <t>Hall</t>
  </si>
  <si>
    <t>Dan</t>
  </si>
  <si>
    <t>Id244</t>
  </si>
  <si>
    <t>Reed</t>
  </si>
  <si>
    <t>Dan M.</t>
  </si>
  <si>
    <t>Id245</t>
  </si>
  <si>
    <t>Frome</t>
  </si>
  <si>
    <t>Eric L.</t>
  </si>
  <si>
    <t>Id246</t>
  </si>
  <si>
    <t>Creasy</t>
  </si>
  <si>
    <t>Les J</t>
  </si>
  <si>
    <t>Id247</t>
  </si>
  <si>
    <t>Latimer</t>
  </si>
  <si>
    <t>Stephanie</t>
  </si>
  <si>
    <t>Id248</t>
  </si>
  <si>
    <t>Wei</t>
  </si>
  <si>
    <t>Melissa Y</t>
  </si>
  <si>
    <t>Id249</t>
  </si>
  <si>
    <t>Hayes</t>
  </si>
  <si>
    <t>Ashley</t>
  </si>
  <si>
    <t>Id250</t>
  </si>
  <si>
    <t>Velardo</t>
  </si>
  <si>
    <t>Stephanie M.</t>
  </si>
  <si>
    <t>Id251</t>
  </si>
  <si>
    <t>Kastes</t>
  </si>
  <si>
    <t>Kylie</t>
  </si>
  <si>
    <t>Id252</t>
  </si>
  <si>
    <t>Escorcia</t>
  </si>
  <si>
    <t>Id253</t>
  </si>
  <si>
    <t>Larscheid</t>
  </si>
  <si>
    <t>Carrie</t>
  </si>
  <si>
    <t>Id254</t>
  </si>
  <si>
    <t>O'Bannon</t>
  </si>
  <si>
    <t>Id255</t>
  </si>
  <si>
    <t>Ridgway</t>
  </si>
  <si>
    <t>Zach S</t>
  </si>
  <si>
    <t>Id256</t>
  </si>
  <si>
    <t>Black</t>
  </si>
  <si>
    <t>Alan</t>
  </si>
  <si>
    <t>Id257</t>
  </si>
  <si>
    <t>Canton</t>
  </si>
  <si>
    <t>Id2294</t>
  </si>
  <si>
    <t>Nate</t>
  </si>
  <si>
    <t>Id258</t>
  </si>
  <si>
    <t>Fine</t>
  </si>
  <si>
    <t>Jesse G.</t>
  </si>
  <si>
    <t>Id259</t>
  </si>
  <si>
    <t>Bui</t>
  </si>
  <si>
    <t>Jason</t>
  </si>
  <si>
    <t>Id260</t>
  </si>
  <si>
    <t>Riepma</t>
  </si>
  <si>
    <t>Megan A.</t>
  </si>
  <si>
    <t>Id261</t>
  </si>
  <si>
    <t>Inman</t>
  </si>
  <si>
    <t>Id2293</t>
  </si>
  <si>
    <t>Luke M</t>
  </si>
  <si>
    <t>Id262</t>
  </si>
  <si>
    <t>Kruzel</t>
  </si>
  <si>
    <t>Jacy D</t>
  </si>
  <si>
    <t>Id263</t>
  </si>
  <si>
    <t>Lindsay</t>
  </si>
  <si>
    <t>Simon G.</t>
  </si>
  <si>
    <t>Id264</t>
  </si>
  <si>
    <t>Id2292</t>
  </si>
  <si>
    <t>Id2291</t>
  </si>
  <si>
    <t>Id2290</t>
  </si>
  <si>
    <t>Land</t>
  </si>
  <si>
    <t>Ainsley E.</t>
  </si>
  <si>
    <t>Id265</t>
  </si>
  <si>
    <t>Brecher</t>
  </si>
  <si>
    <t>Erica A.</t>
  </si>
  <si>
    <t>Id266</t>
  </si>
  <si>
    <t>Debolt</t>
  </si>
  <si>
    <t>Id267</t>
  </si>
  <si>
    <t>Oswalt</t>
  </si>
  <si>
    <t>Erin C.</t>
  </si>
  <si>
    <t>Id268</t>
  </si>
  <si>
    <t>Adrienne</t>
  </si>
  <si>
    <t>Id2289</t>
  </si>
  <si>
    <t>Id269</t>
  </si>
  <si>
    <t>Bulewich</t>
  </si>
  <si>
    <t>Id270</t>
  </si>
  <si>
    <t>Fukuda</t>
  </si>
  <si>
    <t>Yutaka</t>
  </si>
  <si>
    <t>Id271</t>
  </si>
  <si>
    <t>Phillips</t>
  </si>
  <si>
    <t>Tyler M</t>
  </si>
  <si>
    <t>Id272</t>
  </si>
  <si>
    <t>Maddison</t>
  </si>
  <si>
    <t>Id2288</t>
  </si>
  <si>
    <t>Id273</t>
  </si>
  <si>
    <t>Lockwood</t>
  </si>
  <si>
    <t>Andrew B.</t>
  </si>
  <si>
    <t>Id274</t>
  </si>
  <si>
    <t>Defilippi</t>
  </si>
  <si>
    <t>James</t>
  </si>
  <si>
    <t>Id275</t>
  </si>
  <si>
    <t>Jackson</t>
  </si>
  <si>
    <t>Shawn P.</t>
  </si>
  <si>
    <t>Id2287</t>
  </si>
  <si>
    <t>Id276</t>
  </si>
  <si>
    <t>Ozahowski</t>
  </si>
  <si>
    <t>Id277</t>
  </si>
  <si>
    <t>Guthals</t>
  </si>
  <si>
    <t>Nathaniel</t>
  </si>
  <si>
    <t>Id278</t>
  </si>
  <si>
    <t>Id2286</t>
  </si>
  <si>
    <t>Yates</t>
  </si>
  <si>
    <t>Kevin D.</t>
  </si>
  <si>
    <t>Id279</t>
  </si>
  <si>
    <t>Joan</t>
  </si>
  <si>
    <t>Id280</t>
  </si>
  <si>
    <t>Lemos</t>
  </si>
  <si>
    <t>Christopher A</t>
  </si>
  <si>
    <t>Id2285</t>
  </si>
  <si>
    <t>Id281</t>
  </si>
  <si>
    <t>Seynders</t>
  </si>
  <si>
    <t>Kacy L.</t>
  </si>
  <si>
    <t>Id282</t>
  </si>
  <si>
    <t>Benjamin H.</t>
  </si>
  <si>
    <t>Id283</t>
  </si>
  <si>
    <t>Id2284</t>
  </si>
  <si>
    <t>Walker</t>
  </si>
  <si>
    <t>Xaviour J.</t>
  </si>
  <si>
    <t>Id284</t>
  </si>
  <si>
    <t>Lam</t>
  </si>
  <si>
    <t>Michael T.</t>
  </si>
  <si>
    <t>Id285</t>
  </si>
  <si>
    <t>Sweigart</t>
  </si>
  <si>
    <t>Bradley</t>
  </si>
  <si>
    <t>Id286</t>
  </si>
  <si>
    <t>Sieczkowski</t>
  </si>
  <si>
    <t>Andrea</t>
  </si>
  <si>
    <t>Id2283</t>
  </si>
  <si>
    <t>Id287</t>
  </si>
  <si>
    <t>Jurgens</t>
  </si>
  <si>
    <t>Nancy M</t>
  </si>
  <si>
    <t>Id288</t>
  </si>
  <si>
    <t>Hackman</t>
  </si>
  <si>
    <t>Id289</t>
  </si>
  <si>
    <t>Klarich</t>
  </si>
  <si>
    <t>Id2282</t>
  </si>
  <si>
    <t>Id290</t>
  </si>
  <si>
    <t>Schulten</t>
  </si>
  <si>
    <t>Id291</t>
  </si>
  <si>
    <t>Fagerstrom</t>
  </si>
  <si>
    <t>Erik T.</t>
  </si>
  <si>
    <t>Id292</t>
  </si>
  <si>
    <t>Bien</t>
  </si>
  <si>
    <t>Rod W</t>
  </si>
  <si>
    <t>Id2281</t>
  </si>
  <si>
    <t>Id293</t>
  </si>
  <si>
    <t>Hess</t>
  </si>
  <si>
    <t>Joey</t>
  </si>
  <si>
    <t>Id294</t>
  </si>
  <si>
    <t>Shaw</t>
  </si>
  <si>
    <t>Hillary L.</t>
  </si>
  <si>
    <t>Id295</t>
  </si>
  <si>
    <t>Williams</t>
  </si>
  <si>
    <t>Eric J</t>
  </si>
  <si>
    <t>Id2280</t>
  </si>
  <si>
    <t>Id296</t>
  </si>
  <si>
    <t>Menzies</t>
  </si>
  <si>
    <t>Nicolas</t>
  </si>
  <si>
    <t>Id297</t>
  </si>
  <si>
    <t>Buehler</t>
  </si>
  <si>
    <t>Marcel</t>
  </si>
  <si>
    <t>Id298</t>
  </si>
  <si>
    <t>Degen</t>
  </si>
  <si>
    <t>Id2279</t>
  </si>
  <si>
    <t>Ashley N</t>
  </si>
  <si>
    <t>Id299</t>
  </si>
  <si>
    <t>Arsenault</t>
  </si>
  <si>
    <t>Evan D</t>
  </si>
  <si>
    <t>Id300</t>
  </si>
  <si>
    <t>Hoff</t>
  </si>
  <si>
    <t>Krisana</t>
  </si>
  <si>
    <t>Id301</t>
  </si>
  <si>
    <t>Id2278</t>
  </si>
  <si>
    <t>Kyle</t>
  </si>
  <si>
    <t>Id302</t>
  </si>
  <si>
    <t>Id303</t>
  </si>
  <si>
    <t>Rindahl</t>
  </si>
  <si>
    <t>Id2277</t>
  </si>
  <si>
    <t>Martin A.</t>
  </si>
  <si>
    <t>Id304</t>
  </si>
  <si>
    <t>Clark</t>
  </si>
  <si>
    <t>Stacey</t>
  </si>
  <si>
    <t>Id305</t>
  </si>
  <si>
    <t>Irish</t>
  </si>
  <si>
    <t>Christine</t>
  </si>
  <si>
    <t>Id306</t>
  </si>
  <si>
    <t>Id2276</t>
  </si>
  <si>
    <t>Sarah C.</t>
  </si>
  <si>
    <t>Id307</t>
  </si>
  <si>
    <t>Dewitt</t>
  </si>
  <si>
    <t>Id308</t>
  </si>
  <si>
    <t>Hickman</t>
  </si>
  <si>
    <t>Jason W</t>
  </si>
  <si>
    <t>Id309</t>
  </si>
  <si>
    <t>Gonzalez</t>
  </si>
  <si>
    <t>Michele</t>
  </si>
  <si>
    <t>Id2275</t>
  </si>
  <si>
    <t>Id310</t>
  </si>
  <si>
    <t>Difani</t>
  </si>
  <si>
    <t>Nikki</t>
  </si>
  <si>
    <t>Id311</t>
  </si>
  <si>
    <t>Philip J.</t>
  </si>
  <si>
    <t>Id312</t>
  </si>
  <si>
    <t>Widmann</t>
  </si>
  <si>
    <t>Bryan L</t>
  </si>
  <si>
    <t>Id313</t>
  </si>
  <si>
    <t>Tunney</t>
  </si>
  <si>
    <t>Id2274</t>
  </si>
  <si>
    <t>Timothy F</t>
  </si>
  <si>
    <t>Id314</t>
  </si>
  <si>
    <t>San Juan</t>
  </si>
  <si>
    <t>Angielyn M</t>
  </si>
  <si>
    <t>Id315</t>
  </si>
  <si>
    <t>Croll</t>
  </si>
  <si>
    <t>Jeanie M.</t>
  </si>
  <si>
    <t>Id316</t>
  </si>
  <si>
    <t>Rolfes</t>
  </si>
  <si>
    <t>Id2273</t>
  </si>
  <si>
    <t>Id317</t>
  </si>
  <si>
    <t>Hinkle</t>
  </si>
  <si>
    <t>Id318</t>
  </si>
  <si>
    <t>Leuchanka</t>
  </si>
  <si>
    <t>Aliaksandr</t>
  </si>
  <si>
    <t>Id319</t>
  </si>
  <si>
    <t>Id2272</t>
  </si>
  <si>
    <t>Ayr</t>
  </si>
  <si>
    <t>Jason M.</t>
  </si>
  <si>
    <t>Id320</t>
  </si>
  <si>
    <t>Siegel</t>
  </si>
  <si>
    <t>Sheera K</t>
  </si>
  <si>
    <t>Id321</t>
  </si>
  <si>
    <t>Penrose</t>
  </si>
  <si>
    <t>Janice</t>
  </si>
  <si>
    <t>Id2271</t>
  </si>
  <si>
    <t>Id322</t>
  </si>
  <si>
    <t>Schuler</t>
  </si>
  <si>
    <t>Timothy G.</t>
  </si>
  <si>
    <t>Id323</t>
  </si>
  <si>
    <t>Alan R</t>
  </si>
  <si>
    <t>Id324</t>
  </si>
  <si>
    <t>Stange</t>
  </si>
  <si>
    <t>Id2270</t>
  </si>
  <si>
    <t>Id325</t>
  </si>
  <si>
    <t>Roy</t>
  </si>
  <si>
    <t>Marie-France</t>
  </si>
  <si>
    <t>Id326</t>
  </si>
  <si>
    <t>Potere</t>
  </si>
  <si>
    <t>Id2269</t>
  </si>
  <si>
    <t>Erik F.</t>
  </si>
  <si>
    <t>Id327</t>
  </si>
  <si>
    <t>Podgurski</t>
  </si>
  <si>
    <t>Id2268</t>
  </si>
  <si>
    <t>Id328</t>
  </si>
  <si>
    <t>Diamond</t>
  </si>
  <si>
    <t>Anthony</t>
  </si>
  <si>
    <t>Id329</t>
  </si>
  <si>
    <t>Sallade</t>
  </si>
  <si>
    <t>Id330</t>
  </si>
  <si>
    <t>Zhang</t>
  </si>
  <si>
    <t>Id2267</t>
  </si>
  <si>
    <t>Yu</t>
  </si>
  <si>
    <t>Id331</t>
  </si>
  <si>
    <t>Chatfield</t>
  </si>
  <si>
    <t>Caleb N</t>
  </si>
  <si>
    <t>Id332</t>
  </si>
  <si>
    <t>Bruns</t>
  </si>
  <si>
    <t>Id2266</t>
  </si>
  <si>
    <t>Id333</t>
  </si>
  <si>
    <t>Yochum</t>
  </si>
  <si>
    <t>Angela R</t>
  </si>
  <si>
    <t>Id334</t>
  </si>
  <si>
    <t>Id2265</t>
  </si>
  <si>
    <t>Freeburn</t>
  </si>
  <si>
    <t>Keith J</t>
  </si>
  <si>
    <t>Id335</t>
  </si>
  <si>
    <t>Emma</t>
  </si>
  <si>
    <t>Id2264</t>
  </si>
  <si>
    <t>Id336</t>
  </si>
  <si>
    <t>Jarosik</t>
  </si>
  <si>
    <t>Nathan A</t>
  </si>
  <si>
    <t>Id2263</t>
  </si>
  <si>
    <t>Id337</t>
  </si>
  <si>
    <t>Heinzen</t>
  </si>
  <si>
    <t>Kathryn</t>
  </si>
  <si>
    <t>Id338</t>
  </si>
  <si>
    <t>Id2262</t>
  </si>
  <si>
    <t>Elizabeth H.</t>
  </si>
  <si>
    <t>Id339</t>
  </si>
  <si>
    <t>Thacker</t>
  </si>
  <si>
    <t>Id2261</t>
  </si>
  <si>
    <t>Id340</t>
  </si>
  <si>
    <t>Jeseritz</t>
  </si>
  <si>
    <t>Cheryl A</t>
  </si>
  <si>
    <t>Id341</t>
  </si>
  <si>
    <t>Hohman</t>
  </si>
  <si>
    <t>Id2260</t>
  </si>
  <si>
    <t>Kimberly A</t>
  </si>
  <si>
    <t>Id342</t>
  </si>
  <si>
    <t>Hill</t>
  </si>
  <si>
    <t>Cynthia</t>
  </si>
  <si>
    <t>Id2259</t>
  </si>
  <si>
    <t>Id343</t>
  </si>
  <si>
    <t>Kuepfer</t>
  </si>
  <si>
    <t>Id344</t>
  </si>
  <si>
    <t>Kaczmarek</t>
  </si>
  <si>
    <t>Id2258</t>
  </si>
  <si>
    <t>Bruce</t>
  </si>
  <si>
    <t>Id345</t>
  </si>
  <si>
    <t>Pitt</t>
  </si>
  <si>
    <t>Allison</t>
  </si>
  <si>
    <t>Id346</t>
  </si>
  <si>
    <t>Lorton</t>
  </si>
  <si>
    <t>Id2257</t>
  </si>
  <si>
    <t>Id347</t>
  </si>
  <si>
    <t>Castaneda</t>
  </si>
  <si>
    <t>Gabriela</t>
  </si>
  <si>
    <t>Id348</t>
  </si>
  <si>
    <t>Cherop</t>
  </si>
  <si>
    <t>Id2256</t>
  </si>
  <si>
    <t>Sharon</t>
  </si>
  <si>
    <t>Id349</t>
  </si>
  <si>
    <t>Howell</t>
  </si>
  <si>
    <t>Jason A</t>
  </si>
  <si>
    <t>Id2255</t>
  </si>
  <si>
    <t>Id350</t>
  </si>
  <si>
    <t>Palmer</t>
  </si>
  <si>
    <t>Chelsey C.</t>
  </si>
  <si>
    <t>Id351</t>
  </si>
  <si>
    <t>Olson</t>
  </si>
  <si>
    <t>Id2254</t>
  </si>
  <si>
    <t>Devon A.</t>
  </si>
  <si>
    <t>Id352</t>
  </si>
  <si>
    <t>Waldron</t>
  </si>
  <si>
    <t>Joni L</t>
  </si>
  <si>
    <t>Id2253</t>
  </si>
  <si>
    <t>Id353</t>
  </si>
  <si>
    <t>Colin</t>
  </si>
  <si>
    <t>Id2252</t>
  </si>
  <si>
    <t>Id354</t>
  </si>
  <si>
    <t>Stack</t>
  </si>
  <si>
    <t>Rachael</t>
  </si>
  <si>
    <t>Id355</t>
  </si>
  <si>
    <t>Id2251</t>
  </si>
  <si>
    <t>Sanchez Y Torres</t>
  </si>
  <si>
    <t>Maricela</t>
  </si>
  <si>
    <t>Id356</t>
  </si>
  <si>
    <t>Daniels</t>
  </si>
  <si>
    <t>Marie</t>
  </si>
  <si>
    <t>Id2250</t>
  </si>
  <si>
    <t>Id357</t>
  </si>
  <si>
    <t>Pepp</t>
  </si>
  <si>
    <t>Frank</t>
  </si>
  <si>
    <t>Id358</t>
  </si>
  <si>
    <t>Id2249</t>
  </si>
  <si>
    <t>Buechler</t>
  </si>
  <si>
    <t>Jeffry</t>
  </si>
  <si>
    <t>Id359</t>
  </si>
  <si>
    <t>Buenting</t>
  </si>
  <si>
    <t>Mike</t>
  </si>
  <si>
    <t>Id360</t>
  </si>
  <si>
    <t>Id2248</t>
  </si>
  <si>
    <t>Rick</t>
  </si>
  <si>
    <t>Id361</t>
  </si>
  <si>
    <t>Arcand</t>
  </si>
  <si>
    <t>Pierre-Michel</t>
  </si>
  <si>
    <t>Id2247</t>
  </si>
  <si>
    <t>Id362</t>
  </si>
  <si>
    <t>Kesack</t>
  </si>
  <si>
    <t>Id363</t>
  </si>
  <si>
    <t>Post</t>
  </si>
  <si>
    <t>Brian L.</t>
  </si>
  <si>
    <t>Id2246</t>
  </si>
  <si>
    <t>Id364</t>
  </si>
  <si>
    <t>Dunne</t>
  </si>
  <si>
    <t>Morgan M.</t>
  </si>
  <si>
    <t>Id365</t>
  </si>
  <si>
    <t>Kilel</t>
  </si>
  <si>
    <t>Id2245</t>
  </si>
  <si>
    <t>Caroline</t>
  </si>
  <si>
    <t>Id366</t>
  </si>
  <si>
    <t>Id2244</t>
  </si>
  <si>
    <t>Nicholson</t>
  </si>
  <si>
    <t>Drew T.</t>
  </si>
  <si>
    <t>Id367</t>
  </si>
  <si>
    <t>Susmann</t>
  </si>
  <si>
    <t>Austin W</t>
  </si>
  <si>
    <t>Id2243</t>
  </si>
  <si>
    <t>Id368</t>
  </si>
  <si>
    <t>Harsh</t>
  </si>
  <si>
    <t>Berenice</t>
  </si>
  <si>
    <t>Id369</t>
  </si>
  <si>
    <t>Id2242</t>
  </si>
  <si>
    <t>Pocasangre</t>
  </si>
  <si>
    <t>Kenneth A</t>
  </si>
  <si>
    <t>Id370</t>
  </si>
  <si>
    <t>Martinez Lopez</t>
  </si>
  <si>
    <t>Miguel</t>
  </si>
  <si>
    <t>Id2241</t>
  </si>
  <si>
    <t>Id371</t>
  </si>
  <si>
    <t>Riegel</t>
  </si>
  <si>
    <t>Hadley T.</t>
  </si>
  <si>
    <t>Id2240</t>
  </si>
  <si>
    <t>Id372</t>
  </si>
  <si>
    <t>Monson</t>
  </si>
  <si>
    <t>Taylor</t>
  </si>
  <si>
    <t>Id373</t>
  </si>
  <si>
    <t>Id2239</t>
  </si>
  <si>
    <t>Klubben</t>
  </si>
  <si>
    <t>Tenielle M</t>
  </si>
  <si>
    <t>Id374</t>
  </si>
  <si>
    <t>Mascaro</t>
  </si>
  <si>
    <t>Id2238</t>
  </si>
  <si>
    <t>Id375</t>
  </si>
  <si>
    <t>Norvell</t>
  </si>
  <si>
    <t>Id2237</t>
  </si>
  <si>
    <t>Nora P</t>
  </si>
  <si>
    <t>Id376</t>
  </si>
  <si>
    <t>Ornelas</t>
  </si>
  <si>
    <t>Zachary</t>
  </si>
  <si>
    <t>Id377</t>
  </si>
  <si>
    <t>Fitzpatrick</t>
  </si>
  <si>
    <t>Id2236</t>
  </si>
  <si>
    <t>Id378</t>
  </si>
  <si>
    <t>Bloomquist</t>
  </si>
  <si>
    <t>Alyssa K.</t>
  </si>
  <si>
    <t>Id2235</t>
  </si>
  <si>
    <t>Id379</t>
  </si>
  <si>
    <t>Wick</t>
  </si>
  <si>
    <t>Id2234</t>
  </si>
  <si>
    <t>Id380</t>
  </si>
  <si>
    <t>Zappala</t>
  </si>
  <si>
    <t>Dante</t>
  </si>
  <si>
    <t>Id381</t>
  </si>
  <si>
    <t>Earle</t>
  </si>
  <si>
    <t>Sara E.</t>
  </si>
  <si>
    <t>Id382</t>
  </si>
  <si>
    <t>Id2233</t>
  </si>
  <si>
    <t>Majewski</t>
  </si>
  <si>
    <t>Id383</t>
  </si>
  <si>
    <t>Apfelbaum</t>
  </si>
  <si>
    <t>Id2232</t>
  </si>
  <si>
    <t>Id384</t>
  </si>
  <si>
    <t>Graham</t>
  </si>
  <si>
    <t>Id2231</t>
  </si>
  <si>
    <t>Id385</t>
  </si>
  <si>
    <t>Whitacre</t>
  </si>
  <si>
    <t>Andrew D.</t>
  </si>
  <si>
    <t>Id2230</t>
  </si>
  <si>
    <t>Id386</t>
  </si>
  <si>
    <t>Wegener</t>
  </si>
  <si>
    <t>Joel D</t>
  </si>
  <si>
    <t>Id387</t>
  </si>
  <si>
    <t>Id2229</t>
  </si>
  <si>
    <t>Collie</t>
  </si>
  <si>
    <t>Michelle</t>
  </si>
  <si>
    <t>Id388</t>
  </si>
  <si>
    <t>Id2228</t>
  </si>
  <si>
    <t>Murphy</t>
  </si>
  <si>
    <t>Michael J.</t>
  </si>
  <si>
    <t>Id389</t>
  </si>
  <si>
    <t>Butters</t>
  </si>
  <si>
    <t>Id2227</t>
  </si>
  <si>
    <t>Id390</t>
  </si>
  <si>
    <t>Cook</t>
  </si>
  <si>
    <t>Summer B.</t>
  </si>
  <si>
    <t>Id2226</t>
  </si>
  <si>
    <t>Id391</t>
  </si>
  <si>
    <t>Id2225</t>
  </si>
  <si>
    <t>Breen</t>
  </si>
  <si>
    <t>Edward</t>
  </si>
  <si>
    <t>Id392</t>
  </si>
  <si>
    <t>Fitzsimons</t>
  </si>
  <si>
    <t>Id2224</t>
  </si>
  <si>
    <t>Id393</t>
  </si>
  <si>
    <t>Houle</t>
  </si>
  <si>
    <t>Kacee</t>
  </si>
  <si>
    <t>Id394</t>
  </si>
  <si>
    <t>Id2223</t>
  </si>
  <si>
    <t>Dave</t>
  </si>
  <si>
    <t>Id395</t>
  </si>
  <si>
    <t>Ray</t>
  </si>
  <si>
    <t>Maryanna</t>
  </si>
  <si>
    <t>Id2222</t>
  </si>
  <si>
    <t>Id396</t>
  </si>
  <si>
    <t>Jennings</t>
  </si>
  <si>
    <t>Jessica H.</t>
  </si>
  <si>
    <t>Id397</t>
  </si>
  <si>
    <t>Fuller</t>
  </si>
  <si>
    <t>Id2221</t>
  </si>
  <si>
    <t>Deanna</t>
  </si>
  <si>
    <t>Id398</t>
  </si>
  <si>
    <t>Lovisek</t>
  </si>
  <si>
    <t>Peter</t>
  </si>
  <si>
    <t>Id2220</t>
  </si>
  <si>
    <t>Id399</t>
  </si>
  <si>
    <t>Painter</t>
  </si>
  <si>
    <t>Id400</t>
  </si>
  <si>
    <t>Edwards</t>
  </si>
  <si>
    <t>Id2219</t>
  </si>
  <si>
    <t>Elizabeth M.</t>
  </si>
  <si>
    <t>Id401</t>
  </si>
  <si>
    <t>Liebl</t>
  </si>
  <si>
    <t>Gregory</t>
  </si>
  <si>
    <t>Id402</t>
  </si>
  <si>
    <t>Id2218</t>
  </si>
  <si>
    <t>Kasabian-Larson</t>
  </si>
  <si>
    <t>Sarah E.</t>
  </si>
  <si>
    <t>Id403</t>
  </si>
  <si>
    <t>Creamer</t>
  </si>
  <si>
    <t>Anne Elise</t>
  </si>
  <si>
    <t>Id2217</t>
  </si>
  <si>
    <t>Id404</t>
  </si>
  <si>
    <t>Kimbel</t>
  </si>
  <si>
    <t>Christopher R</t>
  </si>
  <si>
    <t>Id405</t>
  </si>
  <si>
    <t>Id2216</t>
  </si>
  <si>
    <t>Livensparger</t>
  </si>
  <si>
    <t>Elliot</t>
  </si>
  <si>
    <t>Id406</t>
  </si>
  <si>
    <t>Grange</t>
  </si>
  <si>
    <t>Christopher D.</t>
  </si>
  <si>
    <t>Id407</t>
  </si>
  <si>
    <t>Id2215</t>
  </si>
  <si>
    <t>Nunlist</t>
  </si>
  <si>
    <t>Corey</t>
  </si>
  <si>
    <t>Id408</t>
  </si>
  <si>
    <t>Cutter</t>
  </si>
  <si>
    <t>Patrick D.</t>
  </si>
  <si>
    <t>Id409</t>
  </si>
  <si>
    <t>Martin</t>
  </si>
  <si>
    <t>Id2214</t>
  </si>
  <si>
    <t>Anthony D.</t>
  </si>
  <si>
    <t>Id410</t>
  </si>
  <si>
    <t>Cooney</t>
  </si>
  <si>
    <t>Melissa</t>
  </si>
  <si>
    <t>Id411</t>
  </si>
  <si>
    <t>Bier</t>
  </si>
  <si>
    <t>Id2213</t>
  </si>
  <si>
    <t>Raven</t>
  </si>
  <si>
    <t>Id412</t>
  </si>
  <si>
    <t>Muskopf</t>
  </si>
  <si>
    <t>Christopher</t>
  </si>
  <si>
    <t>Id2212</t>
  </si>
  <si>
    <t>Id413</t>
  </si>
  <si>
    <t>Sirak</t>
  </si>
  <si>
    <t>Kendra A</t>
  </si>
  <si>
    <t>Id2211</t>
  </si>
  <si>
    <t>Id414</t>
  </si>
  <si>
    <t>Nelsen</t>
  </si>
  <si>
    <t>Jordan</t>
  </si>
  <si>
    <t>Id415</t>
  </si>
  <si>
    <t>Schallner</t>
  </si>
  <si>
    <t>Id2210</t>
  </si>
  <si>
    <t>Nils</t>
  </si>
  <si>
    <t>Id416</t>
  </si>
  <si>
    <t>Dunlap</t>
  </si>
  <si>
    <t>Id2209</t>
  </si>
  <si>
    <t>Id417</t>
  </si>
  <si>
    <t>Messing</t>
  </si>
  <si>
    <t>Angela</t>
  </si>
  <si>
    <t>Id2208</t>
  </si>
  <si>
    <t>Id418</t>
  </si>
  <si>
    <t>Bondell</t>
  </si>
  <si>
    <t>Id419</t>
  </si>
  <si>
    <t>Id2207</t>
  </si>
  <si>
    <t>Gaughan</t>
  </si>
  <si>
    <t>Caitlin O.</t>
  </si>
  <si>
    <t>Id420</t>
  </si>
  <si>
    <t>Gruman</t>
  </si>
  <si>
    <t>Tracy M</t>
  </si>
  <si>
    <t>Id2206</t>
  </si>
  <si>
    <t>Id421</t>
  </si>
  <si>
    <t>Whitlow</t>
  </si>
  <si>
    <t>Dustin M.</t>
  </si>
  <si>
    <t>Id422</t>
  </si>
  <si>
    <t>Id2205</t>
  </si>
  <si>
    <t>Jenny</t>
  </si>
  <si>
    <t>Id2204</t>
  </si>
  <si>
    <t>Id423</t>
  </si>
  <si>
    <t>Sabo</t>
  </si>
  <si>
    <t>Emily</t>
  </si>
  <si>
    <t>Id424</t>
  </si>
  <si>
    <t>Id2203</t>
  </si>
  <si>
    <t>Nazarian</t>
  </si>
  <si>
    <t>Fabienne</t>
  </si>
  <si>
    <t>Id425</t>
  </si>
  <si>
    <t>Id2202</t>
  </si>
  <si>
    <t>Lerma</t>
  </si>
  <si>
    <t>Id426</t>
  </si>
  <si>
    <t>Dahl</t>
  </si>
  <si>
    <t>Id2201</t>
  </si>
  <si>
    <t>Id427</t>
  </si>
  <si>
    <t>Surtees</t>
  </si>
  <si>
    <t>Taryn L</t>
  </si>
  <si>
    <t>Id2200</t>
  </si>
  <si>
    <t>Id428</t>
  </si>
  <si>
    <t>Spetner</t>
  </si>
  <si>
    <t>Temima</t>
  </si>
  <si>
    <t>Id2199</t>
  </si>
  <si>
    <t>Id429</t>
  </si>
  <si>
    <t>Brandon</t>
  </si>
  <si>
    <t>Id430</t>
  </si>
  <si>
    <t>Id2198</t>
  </si>
  <si>
    <t>Eley</t>
  </si>
  <si>
    <t>Serena M.</t>
  </si>
  <si>
    <t>Id431</t>
  </si>
  <si>
    <t>Sedicum</t>
  </si>
  <si>
    <t>Id2197</t>
  </si>
  <si>
    <t>Victoria M.</t>
  </si>
  <si>
    <t>Id432</t>
  </si>
  <si>
    <t>Markle</t>
  </si>
  <si>
    <t>Id2196</t>
  </si>
  <si>
    <t>Phoebe</t>
  </si>
  <si>
    <t>Id433</t>
  </si>
  <si>
    <t>Kunz</t>
  </si>
  <si>
    <t>Id2195</t>
  </si>
  <si>
    <t>Id434</t>
  </si>
  <si>
    <t>Wimert</t>
  </si>
  <si>
    <t>Id435</t>
  </si>
  <si>
    <t>Peterson</t>
  </si>
  <si>
    <t>R1015</t>
  </si>
  <si>
    <t>Nicholas D</t>
  </si>
  <si>
    <t>Id2194</t>
  </si>
  <si>
    <t>Id436</t>
  </si>
  <si>
    <t>Mercier</t>
  </si>
  <si>
    <t>Christian</t>
  </si>
  <si>
    <t>Id437</t>
  </si>
  <si>
    <t>R1019</t>
  </si>
  <si>
    <t>Laurie</t>
  </si>
  <si>
    <t>Jonathon S.</t>
  </si>
  <si>
    <t>Id2193</t>
  </si>
  <si>
    <t>Id438</t>
  </si>
  <si>
    <t>Sekaquaptewa</t>
  </si>
  <si>
    <t>R1016</t>
  </si>
  <si>
    <t>Id439</t>
  </si>
  <si>
    <t>Frash</t>
  </si>
  <si>
    <t>Id2192</t>
  </si>
  <si>
    <t>Joshua D.</t>
  </si>
  <si>
    <t>Id440</t>
  </si>
  <si>
    <t>Bukowski</t>
  </si>
  <si>
    <t>R1018</t>
  </si>
  <si>
    <t>Nichole</t>
  </si>
  <si>
    <t>Id2191</t>
  </si>
  <si>
    <t>Id441</t>
  </si>
  <si>
    <t>Sandahl</t>
  </si>
  <si>
    <t>Denise M</t>
  </si>
  <si>
    <t>Id2190</t>
  </si>
  <si>
    <t>Id442</t>
  </si>
  <si>
    <t>Speight</t>
  </si>
  <si>
    <t>Peter R.</t>
  </si>
  <si>
    <t>Id443</t>
  </si>
  <si>
    <t>Id2189</t>
  </si>
  <si>
    <t>Johnson K</t>
  </si>
  <si>
    <t>Id444</t>
  </si>
  <si>
    <t>Nielsen</t>
  </si>
  <si>
    <t>Katherine</t>
  </si>
  <si>
    <t>Id2188</t>
  </si>
  <si>
    <t>Id445</t>
  </si>
  <si>
    <t>Zirdok</t>
  </si>
  <si>
    <t>Lynda</t>
  </si>
  <si>
    <t>Id2187</t>
  </si>
  <si>
    <t>Id446</t>
  </si>
  <si>
    <t>Crudale</t>
  </si>
  <si>
    <t>Id447</t>
  </si>
  <si>
    <t>Koopmans</t>
  </si>
  <si>
    <t>Id2186</t>
  </si>
  <si>
    <t>Linnea C.</t>
  </si>
  <si>
    <t>Id448</t>
  </si>
  <si>
    <t>Milani</t>
  </si>
  <si>
    <t>Massimiliano A.</t>
  </si>
  <si>
    <t>Id2185</t>
  </si>
  <si>
    <t>Id449</t>
  </si>
  <si>
    <t>James M.</t>
  </si>
  <si>
    <t>Id450</t>
  </si>
  <si>
    <t>Finelli</t>
  </si>
  <si>
    <t>Lauren</t>
  </si>
  <si>
    <t>Id451</t>
  </si>
  <si>
    <t>Id2184</t>
  </si>
  <si>
    <t>Michele V.</t>
  </si>
  <si>
    <t>Id452</t>
  </si>
  <si>
    <t>Xiao</t>
  </si>
  <si>
    <t>Id2183</t>
  </si>
  <si>
    <t>Id453</t>
  </si>
  <si>
    <t>Beasley</t>
  </si>
  <si>
    <t>Harper L</t>
  </si>
  <si>
    <t>Id454</t>
  </si>
  <si>
    <t>Bedbury</t>
  </si>
  <si>
    <t>Id2182</t>
  </si>
  <si>
    <t>Id455</t>
  </si>
  <si>
    <t>Stemberger</t>
  </si>
  <si>
    <t>Id456</t>
  </si>
  <si>
    <t>Chebet</t>
  </si>
  <si>
    <t>Id2181</t>
  </si>
  <si>
    <t>Id457</t>
  </si>
  <si>
    <t>Muir</t>
  </si>
  <si>
    <t>Id458</t>
  </si>
  <si>
    <t>Yang</t>
  </si>
  <si>
    <t>Shizhong</t>
  </si>
  <si>
    <t>Id2180</t>
  </si>
  <si>
    <t>Id459</t>
  </si>
  <si>
    <t>Gravel</t>
  </si>
  <si>
    <t>Marie-Claire</t>
  </si>
  <si>
    <t>Id460</t>
  </si>
  <si>
    <t>Todd J.</t>
  </si>
  <si>
    <t>Id2179</t>
  </si>
  <si>
    <t>Id461</t>
  </si>
  <si>
    <t>Carolyn</t>
  </si>
  <si>
    <t>Id462</t>
  </si>
  <si>
    <t>Id2178</t>
  </si>
  <si>
    <t>Id463</t>
  </si>
  <si>
    <t>Jamieson</t>
  </si>
  <si>
    <t>Marissa D</t>
  </si>
  <si>
    <t>Id464</t>
  </si>
  <si>
    <t>Dufeal</t>
  </si>
  <si>
    <t>Jean Luc</t>
  </si>
  <si>
    <t>Id2177</t>
  </si>
  <si>
    <t>Id465</t>
  </si>
  <si>
    <t>Sansonetti</t>
  </si>
  <si>
    <t>Id466</t>
  </si>
  <si>
    <t>Koneazny</t>
  </si>
  <si>
    <t>Jim</t>
  </si>
  <si>
    <t>Id2176</t>
  </si>
  <si>
    <t>Id467</t>
  </si>
  <si>
    <t>Matthew T</t>
  </si>
  <si>
    <t>Id468</t>
  </si>
  <si>
    <t>Glasson</t>
  </si>
  <si>
    <t>Rachel L.</t>
  </si>
  <si>
    <t>Id2175</t>
  </si>
  <si>
    <t>Id469</t>
  </si>
  <si>
    <t>Canitz</t>
  </si>
  <si>
    <t>Corina</t>
  </si>
  <si>
    <t>Id470</t>
  </si>
  <si>
    <t>Li</t>
  </si>
  <si>
    <t>Guannan</t>
  </si>
  <si>
    <t>Id2174</t>
  </si>
  <si>
    <t>Id471</t>
  </si>
  <si>
    <t>Parsons</t>
  </si>
  <si>
    <t>Don</t>
  </si>
  <si>
    <t>Id472</t>
  </si>
  <si>
    <t>Raulli</t>
  </si>
  <si>
    <t>Id2173</t>
  </si>
  <si>
    <t>Id473</t>
  </si>
  <si>
    <t>Gavin V.</t>
  </si>
  <si>
    <t>Id474</t>
  </si>
  <si>
    <t>Sevcik</t>
  </si>
  <si>
    <t>Id475</t>
  </si>
  <si>
    <t>Narang</t>
  </si>
  <si>
    <t>Jatin</t>
  </si>
  <si>
    <t>Id476</t>
  </si>
  <si>
    <t>Royston</t>
  </si>
  <si>
    <t>J P. II</t>
  </si>
  <si>
    <t>Id477</t>
  </si>
  <si>
    <t>Tieri</t>
  </si>
  <si>
    <t>Angela M.</t>
  </si>
  <si>
    <t>Id478</t>
  </si>
  <si>
    <t>Whitney</t>
  </si>
  <si>
    <t>Blake K.</t>
  </si>
  <si>
    <t>Id479</t>
  </si>
  <si>
    <t>Wandzilak</t>
  </si>
  <si>
    <t>Brian T.</t>
  </si>
  <si>
    <t>Id480</t>
  </si>
  <si>
    <t>Valenzona</t>
  </si>
  <si>
    <t>Damon</t>
  </si>
  <si>
    <t>Id481</t>
  </si>
  <si>
    <t>Young</t>
  </si>
  <si>
    <t>Id482</t>
  </si>
  <si>
    <t>Richards</t>
  </si>
  <si>
    <t>Malcolm J.</t>
  </si>
  <si>
    <t>Id483</t>
  </si>
  <si>
    <t>Alexson</t>
  </si>
  <si>
    <t>Margaret B.</t>
  </si>
  <si>
    <t>Id484</t>
  </si>
  <si>
    <t>Helen</t>
  </si>
  <si>
    <t>Id485</t>
  </si>
  <si>
    <t>McKenna</t>
  </si>
  <si>
    <t>Id486</t>
  </si>
  <si>
    <t>Id2172</t>
  </si>
  <si>
    <t>Id487</t>
  </si>
  <si>
    <t>Argall</t>
  </si>
  <si>
    <t>Mrs.</t>
  </si>
  <si>
    <t>Tara R</t>
  </si>
  <si>
    <t>Id488</t>
  </si>
  <si>
    <t>Patchell</t>
  </si>
  <si>
    <t>Kristin</t>
  </si>
  <si>
    <t>Id489</t>
  </si>
  <si>
    <t>Catoggio</t>
  </si>
  <si>
    <t>Id490</t>
  </si>
  <si>
    <t>Id2171</t>
  </si>
  <si>
    <t>Adams</t>
  </si>
  <si>
    <t>Id491</t>
  </si>
  <si>
    <t>Windt</t>
  </si>
  <si>
    <t>Carly E</t>
  </si>
  <si>
    <t>Id492</t>
  </si>
  <si>
    <t>Lisa</t>
  </si>
  <si>
    <t>Id2170</t>
  </si>
  <si>
    <t>Id493</t>
  </si>
  <si>
    <t>Marion</t>
  </si>
  <si>
    <t>Id494</t>
  </si>
  <si>
    <t>Raffetto</t>
  </si>
  <si>
    <t>Id2169</t>
  </si>
  <si>
    <t>Louis</t>
  </si>
  <si>
    <t>Id495</t>
  </si>
  <si>
    <t>Brian R.</t>
  </si>
  <si>
    <t>Id496</t>
  </si>
  <si>
    <t>Oehlke</t>
  </si>
  <si>
    <t>Id2168</t>
  </si>
  <si>
    <t>Id497</t>
  </si>
  <si>
    <t>Sudol</t>
  </si>
  <si>
    <t>Dawn M.</t>
  </si>
  <si>
    <t>Id498</t>
  </si>
  <si>
    <t>Van Es</t>
  </si>
  <si>
    <t>Id499</t>
  </si>
  <si>
    <t>Dolge</t>
  </si>
  <si>
    <t>Karen</t>
  </si>
  <si>
    <t>Id2167</t>
  </si>
  <si>
    <t>Id500</t>
  </si>
  <si>
    <t>Marlier</t>
  </si>
  <si>
    <t>Id501</t>
  </si>
  <si>
    <t>Girard</t>
  </si>
  <si>
    <t>Mathieu</t>
  </si>
  <si>
    <t>Id502</t>
  </si>
  <si>
    <t>Kam S.</t>
  </si>
  <si>
    <t>Id2166</t>
  </si>
  <si>
    <t>Id503</t>
  </si>
  <si>
    <t>Hubbard</t>
  </si>
  <si>
    <t>Valerie A</t>
  </si>
  <si>
    <t>Id504</t>
  </si>
  <si>
    <t>Koester</t>
  </si>
  <si>
    <t>Freya R</t>
  </si>
  <si>
    <t>Id2165</t>
  </si>
  <si>
    <t>Id505</t>
  </si>
  <si>
    <t>Matthews</t>
  </si>
  <si>
    <t>Id506</t>
  </si>
  <si>
    <t>Rubinich</t>
  </si>
  <si>
    <t>Kara</t>
  </si>
  <si>
    <t>Id507</t>
  </si>
  <si>
    <t>Alban</t>
  </si>
  <si>
    <t>Bradley A.</t>
  </si>
  <si>
    <t>Id508</t>
  </si>
  <si>
    <t>Corcoran</t>
  </si>
  <si>
    <t>Brendan</t>
  </si>
  <si>
    <t>Id2164</t>
  </si>
  <si>
    <t>Id509</t>
  </si>
  <si>
    <t>Sargent</t>
  </si>
  <si>
    <t>Amber R</t>
  </si>
  <si>
    <t>Id510</t>
  </si>
  <si>
    <t>Watson</t>
  </si>
  <si>
    <t>Sean K</t>
  </si>
  <si>
    <t>Id2163</t>
  </si>
  <si>
    <t>Id511</t>
  </si>
  <si>
    <t>Esponda</t>
  </si>
  <si>
    <t>Id512</t>
  </si>
  <si>
    <t>Krall</t>
  </si>
  <si>
    <t>R1025</t>
  </si>
  <si>
    <t>Id513</t>
  </si>
  <si>
    <t>Poskin</t>
  </si>
  <si>
    <t>Id2162</t>
  </si>
  <si>
    <t>Brady</t>
  </si>
  <si>
    <t>Id514</t>
  </si>
  <si>
    <t>Halfmann</t>
  </si>
  <si>
    <t>Kameko</t>
  </si>
  <si>
    <t>Id515</t>
  </si>
  <si>
    <t>Klapper</t>
  </si>
  <si>
    <t>Jeremy A</t>
  </si>
  <si>
    <t>Id2161</t>
  </si>
  <si>
    <t>Id516</t>
  </si>
  <si>
    <t>George</t>
  </si>
  <si>
    <t>Id517</t>
  </si>
  <si>
    <t>Hicks</t>
  </si>
  <si>
    <t>Id518</t>
  </si>
  <si>
    <t>Id2160</t>
  </si>
  <si>
    <t>Lockyer</t>
  </si>
  <si>
    <t>Id519</t>
  </si>
  <si>
    <t>Byrnes</t>
  </si>
  <si>
    <t>Id520</t>
  </si>
  <si>
    <t>Id2159</t>
  </si>
  <si>
    <t>Norris</t>
  </si>
  <si>
    <t>Sabine</t>
  </si>
  <si>
    <t>Id521</t>
  </si>
  <si>
    <t>Darda</t>
  </si>
  <si>
    <t>Joseph</t>
  </si>
  <si>
    <t>Id522</t>
  </si>
  <si>
    <t>Otstot</t>
  </si>
  <si>
    <t>Id2158</t>
  </si>
  <si>
    <t>Id2157</t>
  </si>
  <si>
    <t>Id523</t>
  </si>
  <si>
    <t>Bowley</t>
  </si>
  <si>
    <t>Karolyn A</t>
  </si>
  <si>
    <t>Id2156</t>
  </si>
  <si>
    <t>Id524</t>
  </si>
  <si>
    <t>Rogers</t>
  </si>
  <si>
    <t>Anita L.</t>
  </si>
  <si>
    <t>Id525</t>
  </si>
  <si>
    <t>Mclaughlin</t>
  </si>
  <si>
    <t>Laura E.</t>
  </si>
  <si>
    <t>Id526</t>
  </si>
  <si>
    <t>Ziegler</t>
  </si>
  <si>
    <t>Id2155</t>
  </si>
  <si>
    <t>Id527</t>
  </si>
  <si>
    <t>Hughey</t>
  </si>
  <si>
    <t>Ashley E</t>
  </si>
  <si>
    <t>Id528</t>
  </si>
  <si>
    <t>Knast</t>
  </si>
  <si>
    <t>Id529</t>
  </si>
  <si>
    <t>Stob</t>
  </si>
  <si>
    <t>Id2154</t>
  </si>
  <si>
    <t>Id530</t>
  </si>
  <si>
    <t>Jensen</t>
  </si>
  <si>
    <t>Dan R.</t>
  </si>
  <si>
    <t>Id531</t>
  </si>
  <si>
    <t>Mutter</t>
  </si>
  <si>
    <t>Katie</t>
  </si>
  <si>
    <t>Id532</t>
  </si>
  <si>
    <t>Ahern</t>
  </si>
  <si>
    <t>Id2153</t>
  </si>
  <si>
    <t>Id533</t>
  </si>
  <si>
    <t>Chviruk</t>
  </si>
  <si>
    <t>Cathryn</t>
  </si>
  <si>
    <t>Id534</t>
  </si>
  <si>
    <t>Meehan</t>
  </si>
  <si>
    <t>Id535</t>
  </si>
  <si>
    <t>Gammon</t>
  </si>
  <si>
    <t>Id2152</t>
  </si>
  <si>
    <t>Shauna</t>
  </si>
  <si>
    <t>Id536</t>
  </si>
  <si>
    <t>Terence</t>
  </si>
  <si>
    <t>Id537</t>
  </si>
  <si>
    <t>Franco</t>
  </si>
  <si>
    <t>Marisol</t>
  </si>
  <si>
    <t>Id538</t>
  </si>
  <si>
    <t>Id2151</t>
  </si>
  <si>
    <t>Patterson</t>
  </si>
  <si>
    <t>Id539</t>
  </si>
  <si>
    <t>Valdes</t>
  </si>
  <si>
    <t>Id540</t>
  </si>
  <si>
    <t>Id541</t>
  </si>
  <si>
    <t>Whipple</t>
  </si>
  <si>
    <t>Id2150</t>
  </si>
  <si>
    <t>Brett W</t>
  </si>
  <si>
    <t>Id542</t>
  </si>
  <si>
    <t>Marton</t>
  </si>
  <si>
    <t>Dylan J</t>
  </si>
  <si>
    <t>Id543</t>
  </si>
  <si>
    <t>Hildebrandt</t>
  </si>
  <si>
    <t>Id544</t>
  </si>
  <si>
    <t>Biggs</t>
  </si>
  <si>
    <t>Brooke M.</t>
  </si>
  <si>
    <t>Id2149</t>
  </si>
  <si>
    <t>Id545</t>
  </si>
  <si>
    <t>Shigezumi</t>
  </si>
  <si>
    <t>Teiko</t>
  </si>
  <si>
    <t>Id546</t>
  </si>
  <si>
    <t>Meineke</t>
  </si>
  <si>
    <t>Id547</t>
  </si>
  <si>
    <t>Ludington</t>
  </si>
  <si>
    <t>Johannah</t>
  </si>
  <si>
    <t>Id548</t>
  </si>
  <si>
    <t>Perrich</t>
  </si>
  <si>
    <t>Id2148</t>
  </si>
  <si>
    <t>Ryan A</t>
  </si>
  <si>
    <t>Id549</t>
  </si>
  <si>
    <t>Cervantes</t>
  </si>
  <si>
    <t>Andres Sr.</t>
  </si>
  <si>
    <t>Id550</t>
  </si>
  <si>
    <t>Andrews</t>
  </si>
  <si>
    <t>Bryan</t>
  </si>
  <si>
    <t>Id551</t>
  </si>
  <si>
    <t>Ruvalcaba</t>
  </si>
  <si>
    <t>Lizette</t>
  </si>
  <si>
    <t>Id552</t>
  </si>
  <si>
    <t>Id2147</t>
  </si>
  <si>
    <t>Id553</t>
  </si>
  <si>
    <t>Stone</t>
  </si>
  <si>
    <t>Jeb</t>
  </si>
  <si>
    <t>Id554</t>
  </si>
  <si>
    <t>Campbell</t>
  </si>
  <si>
    <t>Amy R.</t>
  </si>
  <si>
    <t>Id555</t>
  </si>
  <si>
    <t>Asher</t>
  </si>
  <si>
    <t>Id2146</t>
  </si>
  <si>
    <t>Id556</t>
  </si>
  <si>
    <t>Mazzotta</t>
  </si>
  <si>
    <t>Mike G</t>
  </si>
  <si>
    <t>Id557</t>
  </si>
  <si>
    <t>Huttl</t>
  </si>
  <si>
    <t>Simonezitrone Sr.</t>
  </si>
  <si>
    <t>Id558</t>
  </si>
  <si>
    <t>Ferron</t>
  </si>
  <si>
    <t>Id2145</t>
  </si>
  <si>
    <t>Id559</t>
  </si>
  <si>
    <t>Colarusso</t>
  </si>
  <si>
    <t>Angela M</t>
  </si>
  <si>
    <t>Id560</t>
  </si>
  <si>
    <t>Pearlman</t>
  </si>
  <si>
    <t>Oz</t>
  </si>
  <si>
    <t>Id561</t>
  </si>
  <si>
    <t>O'Mara</t>
  </si>
  <si>
    <t>Erin M.</t>
  </si>
  <si>
    <t>Id562</t>
  </si>
  <si>
    <t>Niska</t>
  </si>
  <si>
    <t>Id2144</t>
  </si>
  <si>
    <t>Bobby E.</t>
  </si>
  <si>
    <t>Id563</t>
  </si>
  <si>
    <t>Schlich</t>
  </si>
  <si>
    <t>Daniel P.</t>
  </si>
  <si>
    <t>Id564</t>
  </si>
  <si>
    <t>Zidek</t>
  </si>
  <si>
    <t>Marie E.</t>
  </si>
  <si>
    <t>Id565</t>
  </si>
  <si>
    <t>Id2143</t>
  </si>
  <si>
    <t>Ellgass</t>
  </si>
  <si>
    <t>Id566</t>
  </si>
  <si>
    <t>Lowe</t>
  </si>
  <si>
    <t>Eric D</t>
  </si>
  <si>
    <t>Id567</t>
  </si>
  <si>
    <t>Malone</t>
  </si>
  <si>
    <t>Tara</t>
  </si>
  <si>
    <t>Id568</t>
  </si>
  <si>
    <t>Dumke</t>
  </si>
  <si>
    <t>Id2142</t>
  </si>
  <si>
    <t>Haley L</t>
  </si>
  <si>
    <t>Id569</t>
  </si>
  <si>
    <t>Strong</t>
  </si>
  <si>
    <t>Kayla B.</t>
  </si>
  <si>
    <t>Id570</t>
  </si>
  <si>
    <t>Ferguson</t>
  </si>
  <si>
    <t>Mark D.</t>
  </si>
  <si>
    <t>Id571</t>
  </si>
  <si>
    <t>Klein</t>
  </si>
  <si>
    <t>Patrick J.</t>
  </si>
  <si>
    <t>Id2141</t>
  </si>
  <si>
    <t>Id572</t>
  </si>
  <si>
    <t>Eusebio</t>
  </si>
  <si>
    <t>Id573</t>
  </si>
  <si>
    <t>Szolosi</t>
  </si>
  <si>
    <t>Beth A</t>
  </si>
  <si>
    <t>Id574</t>
  </si>
  <si>
    <t>Butler</t>
  </si>
  <si>
    <t>Jason R</t>
  </si>
  <si>
    <t>Id2140</t>
  </si>
  <si>
    <t>Id575</t>
  </si>
  <si>
    <t>Fukuchi</t>
  </si>
  <si>
    <t>Yoshinori</t>
  </si>
  <si>
    <t>Id576</t>
  </si>
  <si>
    <t>Drucker</t>
  </si>
  <si>
    <t>Adrienne G.</t>
  </si>
  <si>
    <t>Id577</t>
  </si>
  <si>
    <t>Aziz</t>
  </si>
  <si>
    <t>Id2139</t>
  </si>
  <si>
    <t>Id578</t>
  </si>
  <si>
    <t>Pak</t>
  </si>
  <si>
    <t>Junyong</t>
  </si>
  <si>
    <t>Id579</t>
  </si>
  <si>
    <t>Kieta</t>
  </si>
  <si>
    <t>Kristen A.</t>
  </si>
  <si>
    <t>Id2138</t>
  </si>
  <si>
    <t>Id580</t>
  </si>
  <si>
    <t>Velez</t>
  </si>
  <si>
    <t>Maria I.</t>
  </si>
  <si>
    <t>Id581</t>
  </si>
  <si>
    <t>Bussiere</t>
  </si>
  <si>
    <t>Jonathan</t>
  </si>
  <si>
    <t>Id582</t>
  </si>
  <si>
    <t>McCartney</t>
  </si>
  <si>
    <t>Id583</t>
  </si>
  <si>
    <t>Bambauer</t>
  </si>
  <si>
    <t>Benjamina C</t>
  </si>
  <si>
    <t>Id584</t>
  </si>
  <si>
    <t>Mertz</t>
  </si>
  <si>
    <t>Id2137</t>
  </si>
  <si>
    <t>Id585</t>
  </si>
  <si>
    <t>Mason</t>
  </si>
  <si>
    <t>Alison B</t>
  </si>
  <si>
    <t>Id586</t>
  </si>
  <si>
    <t>Rotich</t>
  </si>
  <si>
    <t>Id587</t>
  </si>
  <si>
    <t>Fetzer</t>
  </si>
  <si>
    <t>Alexis N</t>
  </si>
  <si>
    <t>Id2136</t>
  </si>
  <si>
    <t>Id588</t>
  </si>
  <si>
    <t>Mattis</t>
  </si>
  <si>
    <t>Shanda L</t>
  </si>
  <si>
    <t>Id589</t>
  </si>
  <si>
    <t>Id590</t>
  </si>
  <si>
    <t>Balinsky</t>
  </si>
  <si>
    <t>Id2135</t>
  </si>
  <si>
    <t>Laurette</t>
  </si>
  <si>
    <t>Id591</t>
  </si>
  <si>
    <t>Reilly</t>
  </si>
  <si>
    <t>Id592</t>
  </si>
  <si>
    <t>Mary</t>
  </si>
  <si>
    <t>Id593</t>
  </si>
  <si>
    <t>Petry</t>
  </si>
  <si>
    <t>Id2134</t>
  </si>
  <si>
    <t>Kati A</t>
  </si>
  <si>
    <t>Id594</t>
  </si>
  <si>
    <t>Laleman</t>
  </si>
  <si>
    <t>Kelly J</t>
  </si>
  <si>
    <t>Id595</t>
  </si>
  <si>
    <t>Colby</t>
  </si>
  <si>
    <t>Greer D</t>
  </si>
  <si>
    <t>Id596</t>
  </si>
  <si>
    <t>Wathke</t>
  </si>
  <si>
    <t>Brent</t>
  </si>
  <si>
    <t>Id2133</t>
  </si>
  <si>
    <t>Id597</t>
  </si>
  <si>
    <t>Daly</t>
  </si>
  <si>
    <t>Eugene M</t>
  </si>
  <si>
    <t>Id598</t>
  </si>
  <si>
    <t>Dillon</t>
  </si>
  <si>
    <t>Erin D</t>
  </si>
  <si>
    <t>Id599</t>
  </si>
  <si>
    <t>Pontes</t>
  </si>
  <si>
    <t>Kamilla</t>
  </si>
  <si>
    <t>Id600</t>
  </si>
  <si>
    <t>Id2132</t>
  </si>
  <si>
    <t>Spies</t>
  </si>
  <si>
    <t>Wayne I.</t>
  </si>
  <si>
    <t>Id601</t>
  </si>
  <si>
    <t>Greig</t>
  </si>
  <si>
    <t>Tracy L</t>
  </si>
  <si>
    <t>Id602</t>
  </si>
  <si>
    <t>Id603</t>
  </si>
  <si>
    <t>Erlandson</t>
  </si>
  <si>
    <t>Megan C</t>
  </si>
  <si>
    <t>Id2131</t>
  </si>
  <si>
    <t>Id604</t>
  </si>
  <si>
    <t>Autrey</t>
  </si>
  <si>
    <t>Id605</t>
  </si>
  <si>
    <t>Greg D.</t>
  </si>
  <si>
    <t>Id2130</t>
  </si>
  <si>
    <t>Id606</t>
  </si>
  <si>
    <t>Michalski</t>
  </si>
  <si>
    <t>Steven L.</t>
  </si>
  <si>
    <t>Id607</t>
  </si>
  <si>
    <t>Grillo</t>
  </si>
  <si>
    <t>Gianfilippo</t>
  </si>
  <si>
    <t>Id608</t>
  </si>
  <si>
    <t>Coronado</t>
  </si>
  <si>
    <t>Hector</t>
  </si>
  <si>
    <t>Id2129</t>
  </si>
  <si>
    <t>Id609</t>
  </si>
  <si>
    <t>Dewine</t>
  </si>
  <si>
    <t>Mark W.</t>
  </si>
  <si>
    <t>Id610</t>
  </si>
  <si>
    <t>Carman</t>
  </si>
  <si>
    <t>Aubri</t>
  </si>
  <si>
    <t>Id611</t>
  </si>
  <si>
    <t>Neems</t>
  </si>
  <si>
    <t>Justin</t>
  </si>
  <si>
    <t>Id2128</t>
  </si>
  <si>
    <t>Id612</t>
  </si>
  <si>
    <t>Pesyna</t>
  </si>
  <si>
    <t>Id613</t>
  </si>
  <si>
    <t>Meling</t>
  </si>
  <si>
    <t>Id2127</t>
  </si>
  <si>
    <t>Erika M.</t>
  </si>
  <si>
    <t>Id614</t>
  </si>
  <si>
    <t>Widlowski</t>
  </si>
  <si>
    <t>Daniel G.</t>
  </si>
  <si>
    <t>Id2126</t>
  </si>
  <si>
    <t>Id615</t>
  </si>
  <si>
    <t>Nadar</t>
  </si>
  <si>
    <t>Devin C.</t>
  </si>
  <si>
    <t>Id616</t>
  </si>
  <si>
    <t>Louise A</t>
  </si>
  <si>
    <t>Id617</t>
  </si>
  <si>
    <t>Id2125</t>
  </si>
  <si>
    <t>Id618</t>
  </si>
  <si>
    <t>Leedham</t>
  </si>
  <si>
    <t>Id619</t>
  </si>
  <si>
    <t>Haglund</t>
  </si>
  <si>
    <t>Id2124</t>
  </si>
  <si>
    <t>Id620</t>
  </si>
  <si>
    <t>Mills</t>
  </si>
  <si>
    <t>Jessica L</t>
  </si>
  <si>
    <t>Id621</t>
  </si>
  <si>
    <t>Drnjevich</t>
  </si>
  <si>
    <t>Kristina K</t>
  </si>
  <si>
    <t>Id2123</t>
  </si>
  <si>
    <t>Id622</t>
  </si>
  <si>
    <t>Clay</t>
  </si>
  <si>
    <t>Brad</t>
  </si>
  <si>
    <t>Id623</t>
  </si>
  <si>
    <t>Id2122</t>
  </si>
  <si>
    <t>Marbury</t>
  </si>
  <si>
    <t>Margaret O</t>
  </si>
  <si>
    <t>Id624</t>
  </si>
  <si>
    <t>Coon</t>
  </si>
  <si>
    <t>Id2121</t>
  </si>
  <si>
    <t>Craig R.</t>
  </si>
  <si>
    <t>Id625</t>
  </si>
  <si>
    <t>Vanttinen</t>
  </si>
  <si>
    <t>Simo</t>
  </si>
  <si>
    <t>Id626</t>
  </si>
  <si>
    <t>Garges</t>
  </si>
  <si>
    <t>Christopher J</t>
  </si>
  <si>
    <t>Id627</t>
  </si>
  <si>
    <t>Rivel</t>
  </si>
  <si>
    <t>Mario Sr.</t>
  </si>
  <si>
    <t>Id2120</t>
  </si>
  <si>
    <t>Id628</t>
  </si>
  <si>
    <t>Lawson</t>
  </si>
  <si>
    <t>Meghann R.</t>
  </si>
  <si>
    <t>Id629</t>
  </si>
  <si>
    <t>Cale</t>
  </si>
  <si>
    <t>Scott M</t>
  </si>
  <si>
    <t>Id2119</t>
  </si>
  <si>
    <t>Id630</t>
  </si>
  <si>
    <t>Caitlin E.</t>
  </si>
  <si>
    <t>Id631</t>
  </si>
  <si>
    <t>Stewart</t>
  </si>
  <si>
    <t>Samantha A.</t>
  </si>
  <si>
    <t>Id632</t>
  </si>
  <si>
    <t>Drotz</t>
  </si>
  <si>
    <t>Id2118</t>
  </si>
  <si>
    <t>Id633</t>
  </si>
  <si>
    <t>Mutai</t>
  </si>
  <si>
    <t>Id634</t>
  </si>
  <si>
    <t>Lovlien</t>
  </si>
  <si>
    <t>Maya</t>
  </si>
  <si>
    <t>Id635</t>
  </si>
  <si>
    <t>Zachary T</t>
  </si>
  <si>
    <t>Id636</t>
  </si>
  <si>
    <t>Stoney</t>
  </si>
  <si>
    <t>Id2117</t>
  </si>
  <si>
    <t>Hilda</t>
  </si>
  <si>
    <t>Id637</t>
  </si>
  <si>
    <t>Markert</t>
  </si>
  <si>
    <t>Id638</t>
  </si>
  <si>
    <t>R1024</t>
  </si>
  <si>
    <t>McLucas</t>
  </si>
  <si>
    <t>Id2116</t>
  </si>
  <si>
    <t>Id639</t>
  </si>
  <si>
    <t>Erwin</t>
  </si>
  <si>
    <t>Bethany N.</t>
  </si>
  <si>
    <t>Id640</t>
  </si>
  <si>
    <t>R1023</t>
  </si>
  <si>
    <t>Sandra H</t>
  </si>
  <si>
    <t>Id641</t>
  </si>
  <si>
    <t>Otsuka</t>
  </si>
  <si>
    <t>Id2115</t>
  </si>
  <si>
    <t>Takuo</t>
  </si>
  <si>
    <t>Id642</t>
  </si>
  <si>
    <t>Kelly A.</t>
  </si>
  <si>
    <t>Id643</t>
  </si>
  <si>
    <t>Myers</t>
  </si>
  <si>
    <t>Id644</t>
  </si>
  <si>
    <t>Cote</t>
  </si>
  <si>
    <t>Benoit</t>
  </si>
  <si>
    <t>Id2114</t>
  </si>
  <si>
    <t>Id645</t>
  </si>
  <si>
    <t>Ehrhardt</t>
  </si>
  <si>
    <t>Id646</t>
  </si>
  <si>
    <t>Petersen</t>
  </si>
  <si>
    <t>Jessica A.</t>
  </si>
  <si>
    <t>Id647</t>
  </si>
  <si>
    <t>Id2113</t>
  </si>
  <si>
    <t>Ertel</t>
  </si>
  <si>
    <t>Monica K</t>
  </si>
  <si>
    <t>Id648</t>
  </si>
  <si>
    <t>Lanza</t>
  </si>
  <si>
    <t>Kevin L</t>
  </si>
  <si>
    <t>Id649</t>
  </si>
  <si>
    <t>Picklesimer</t>
  </si>
  <si>
    <t>Id2112</t>
  </si>
  <si>
    <t>Id650</t>
  </si>
  <si>
    <t>Giles</t>
  </si>
  <si>
    <t>Della</t>
  </si>
  <si>
    <t>Id651</t>
  </si>
  <si>
    <t>Harmon</t>
  </si>
  <si>
    <t>Id652</t>
  </si>
  <si>
    <t>Pennings</t>
  </si>
  <si>
    <t>Victoria</t>
  </si>
  <si>
    <t>Id653</t>
  </si>
  <si>
    <t>Id2111</t>
  </si>
  <si>
    <t>Tseronis</t>
  </si>
  <si>
    <t>Tasos</t>
  </si>
  <si>
    <t>Id654</t>
  </si>
  <si>
    <t>Aliff</t>
  </si>
  <si>
    <t>Id655</t>
  </si>
  <si>
    <t>Willenberg</t>
  </si>
  <si>
    <t>Id2110</t>
  </si>
  <si>
    <t>Lukasz</t>
  </si>
  <si>
    <t>Id656</t>
  </si>
  <si>
    <t>Millett</t>
  </si>
  <si>
    <t>Matthew A.</t>
  </si>
  <si>
    <t>Id657</t>
  </si>
  <si>
    <t>Haley</t>
  </si>
  <si>
    <t>Id2109</t>
  </si>
  <si>
    <t>Meta</t>
  </si>
  <si>
    <t>Id658</t>
  </si>
  <si>
    <t>Ackerman</t>
  </si>
  <si>
    <t>Rachel E</t>
  </si>
  <si>
    <t>Id2108</t>
  </si>
  <si>
    <t>Id659</t>
  </si>
  <si>
    <t>Valdez</t>
  </si>
  <si>
    <t>Angelica</t>
  </si>
  <si>
    <t>Id2107</t>
  </si>
  <si>
    <t>Id660</t>
  </si>
  <si>
    <t>Michaud</t>
  </si>
  <si>
    <t>Kathleen</t>
  </si>
  <si>
    <t>Id661</t>
  </si>
  <si>
    <t>Gunnink</t>
  </si>
  <si>
    <t>Gabriel D.</t>
  </si>
  <si>
    <t>Id662</t>
  </si>
  <si>
    <t>Knight</t>
  </si>
  <si>
    <t>Id2106</t>
  </si>
  <si>
    <t>Jeff T</t>
  </si>
  <si>
    <t>Id663</t>
  </si>
  <si>
    <t>Grosscup</t>
  </si>
  <si>
    <t>Neil D</t>
  </si>
  <si>
    <t>Id2105</t>
  </si>
  <si>
    <t>Id664</t>
  </si>
  <si>
    <t>Koniuch</t>
  </si>
  <si>
    <t>Katherine L.</t>
  </si>
  <si>
    <t>Id665</t>
  </si>
  <si>
    <t>Heitzman</t>
  </si>
  <si>
    <t>Id2104</t>
  </si>
  <si>
    <t>Ariel E</t>
  </si>
  <si>
    <t>Id666</t>
  </si>
  <si>
    <t>Tatton</t>
  </si>
  <si>
    <t>Christopher P</t>
  </si>
  <si>
    <t>Id2103</t>
  </si>
  <si>
    <t>Id667</t>
  </si>
  <si>
    <t>Flanagan</t>
  </si>
  <si>
    <t>Id668</t>
  </si>
  <si>
    <t>Funk</t>
  </si>
  <si>
    <t>Molly K.</t>
  </si>
  <si>
    <t>Id2102</t>
  </si>
  <si>
    <t>Id669</t>
  </si>
  <si>
    <t>Davenport</t>
  </si>
  <si>
    <t>Id670</t>
  </si>
  <si>
    <t>Id2101</t>
  </si>
  <si>
    <t>Id671</t>
  </si>
  <si>
    <t>Lindbloom</t>
  </si>
  <si>
    <t>Daniel M</t>
  </si>
  <si>
    <t>Id2100</t>
  </si>
  <si>
    <t>Id672</t>
  </si>
  <si>
    <t>Wijayaratne</t>
  </si>
  <si>
    <t>Hiruni</t>
  </si>
  <si>
    <t>Id673</t>
  </si>
  <si>
    <t>Ainsworth</t>
  </si>
  <si>
    <t>Id2099</t>
  </si>
  <si>
    <t>Reina H.</t>
  </si>
  <si>
    <t>Id674</t>
  </si>
  <si>
    <t>Gayagoy</t>
  </si>
  <si>
    <t>Kristi</t>
  </si>
  <si>
    <t>Id2098</t>
  </si>
  <si>
    <t>Id675</t>
  </si>
  <si>
    <t>Fitzmaurice</t>
  </si>
  <si>
    <t>Meredith L.</t>
  </si>
  <si>
    <t>Id676</t>
  </si>
  <si>
    <t>Rodriguez</t>
  </si>
  <si>
    <t>Jocelyn</t>
  </si>
  <si>
    <t>Id2097</t>
  </si>
  <si>
    <t>Id677</t>
  </si>
  <si>
    <t>Tsoucas</t>
  </si>
  <si>
    <t>Daphne</t>
  </si>
  <si>
    <t>Id678</t>
  </si>
  <si>
    <t>Muhly</t>
  </si>
  <si>
    <t>Id2096</t>
  </si>
  <si>
    <t>Margaret E</t>
  </si>
  <si>
    <t>Id679</t>
  </si>
  <si>
    <t>Lund</t>
  </si>
  <si>
    <t>Mario J.</t>
  </si>
  <si>
    <t>Id2095</t>
  </si>
  <si>
    <t>Id680</t>
  </si>
  <si>
    <t>Battaglino</t>
  </si>
  <si>
    <t>Id681</t>
  </si>
  <si>
    <t>Pena</t>
  </si>
  <si>
    <t>Id2094</t>
  </si>
  <si>
    <t>Carolina</t>
  </si>
  <si>
    <t>Id682</t>
  </si>
  <si>
    <t>Thomason</t>
  </si>
  <si>
    <t>Jenny K.</t>
  </si>
  <si>
    <t>Id2093</t>
  </si>
  <si>
    <t>Id683</t>
  </si>
  <si>
    <t>Hancox</t>
  </si>
  <si>
    <t>Id684</t>
  </si>
  <si>
    <t>Canarecci</t>
  </si>
  <si>
    <t>Id2092</t>
  </si>
  <si>
    <t>Kimberly D</t>
  </si>
  <si>
    <t>Id685</t>
  </si>
  <si>
    <t>Toupin</t>
  </si>
  <si>
    <t>Marc-Olivier</t>
  </si>
  <si>
    <t>Id2091</t>
  </si>
  <si>
    <t>Id686</t>
  </si>
  <si>
    <t>Mulley</t>
  </si>
  <si>
    <t>Russell J</t>
  </si>
  <si>
    <t>Id687</t>
  </si>
  <si>
    <t>Parry</t>
  </si>
  <si>
    <t>Karine</t>
  </si>
  <si>
    <t>Id2090</t>
  </si>
  <si>
    <t>Id688</t>
  </si>
  <si>
    <t>Mason Cox</t>
  </si>
  <si>
    <t>Cheryl</t>
  </si>
  <si>
    <t>R1014</t>
  </si>
  <si>
    <t>Id689</t>
  </si>
  <si>
    <t>Thompson</t>
  </si>
  <si>
    <t>Allison M.</t>
  </si>
  <si>
    <t>Id2089</t>
  </si>
  <si>
    <t>Id690</t>
  </si>
  <si>
    <t>Nelson</t>
  </si>
  <si>
    <t>Adriana</t>
  </si>
  <si>
    <t>Id691</t>
  </si>
  <si>
    <t>Forte</t>
  </si>
  <si>
    <t>Miranda J</t>
  </si>
  <si>
    <t>Id2088</t>
  </si>
  <si>
    <t>Id692</t>
  </si>
  <si>
    <t>Corona Iturriaga</t>
  </si>
  <si>
    <t>Roberto</t>
  </si>
  <si>
    <t>Id693</t>
  </si>
  <si>
    <t>Id2087</t>
  </si>
  <si>
    <t>McCollum</t>
  </si>
  <si>
    <t>Rebecca B.</t>
  </si>
  <si>
    <t>Id694</t>
  </si>
  <si>
    <t>Hevner</t>
  </si>
  <si>
    <t>Tiffany</t>
  </si>
  <si>
    <t>Id2086</t>
  </si>
  <si>
    <t>Id695</t>
  </si>
  <si>
    <t>Looi</t>
  </si>
  <si>
    <t>Alexander</t>
  </si>
  <si>
    <t>Id696</t>
  </si>
  <si>
    <t>Power</t>
  </si>
  <si>
    <t>Id2085</t>
  </si>
  <si>
    <t>Rich M</t>
  </si>
  <si>
    <t>Id697</t>
  </si>
  <si>
    <t>Routon</t>
  </si>
  <si>
    <t>Id2084</t>
  </si>
  <si>
    <t>Aaron C</t>
  </si>
  <si>
    <t>Id698</t>
  </si>
  <si>
    <t>Dochelli</t>
  </si>
  <si>
    <t>Id2083</t>
  </si>
  <si>
    <t>Id699</t>
  </si>
  <si>
    <t>Gillespie</t>
  </si>
  <si>
    <t>Maria M</t>
  </si>
  <si>
    <t>Id700</t>
  </si>
  <si>
    <t>Id2082</t>
  </si>
  <si>
    <t>Oskvig</t>
  </si>
  <si>
    <t>Daven W</t>
  </si>
  <si>
    <t>Id701</t>
  </si>
  <si>
    <t>Holland-Stergar</t>
  </si>
  <si>
    <t>Id2081</t>
  </si>
  <si>
    <t>Brianne</t>
  </si>
  <si>
    <t>Id702</t>
  </si>
  <si>
    <t>Arai</t>
  </si>
  <si>
    <t>Hiroki</t>
  </si>
  <si>
    <t>Id703</t>
  </si>
  <si>
    <t>Olausson</t>
  </si>
  <si>
    <t>Id2080</t>
  </si>
  <si>
    <t>Anders</t>
  </si>
  <si>
    <t>Id704</t>
  </si>
  <si>
    <t>Wagner</t>
  </si>
  <si>
    <t>Id2079</t>
  </si>
  <si>
    <t>Id705</t>
  </si>
  <si>
    <t>Delong</t>
  </si>
  <si>
    <t>Candace N</t>
  </si>
  <si>
    <t>Id706</t>
  </si>
  <si>
    <t>Mehech</t>
  </si>
  <si>
    <t>Id2078</t>
  </si>
  <si>
    <t>Bruno F.</t>
  </si>
  <si>
    <t>Id707</t>
  </si>
  <si>
    <t>Machiela</t>
  </si>
  <si>
    <t>Id2077</t>
  </si>
  <si>
    <t>Id708</t>
  </si>
  <si>
    <t>Id709</t>
  </si>
  <si>
    <t>Dupere</t>
  </si>
  <si>
    <t>Sally</t>
  </si>
  <si>
    <t>Id2076</t>
  </si>
  <si>
    <t>Id710</t>
  </si>
  <si>
    <t>Iandolo</t>
  </si>
  <si>
    <t>Meaghan J</t>
  </si>
  <si>
    <t>Id2075</t>
  </si>
  <si>
    <t>Id711</t>
  </si>
  <si>
    <t>Ito</t>
  </si>
  <si>
    <t>Rina</t>
  </si>
  <si>
    <t>Id712</t>
  </si>
  <si>
    <t>Id2074</t>
  </si>
  <si>
    <t>Barry</t>
  </si>
  <si>
    <t>Kristin P.</t>
  </si>
  <si>
    <t>Id713</t>
  </si>
  <si>
    <t>Boyce</t>
  </si>
  <si>
    <t>Albert</t>
  </si>
  <si>
    <t>Id714</t>
  </si>
  <si>
    <t>Id2073</t>
  </si>
  <si>
    <t>Lin</t>
  </si>
  <si>
    <t>Id715</t>
  </si>
  <si>
    <t>Id2072</t>
  </si>
  <si>
    <t>Shannon L</t>
  </si>
  <si>
    <t>Id716</t>
  </si>
  <si>
    <t>Nalven</t>
  </si>
  <si>
    <t>Amy B</t>
  </si>
  <si>
    <t>Id2071</t>
  </si>
  <si>
    <t>Id717</t>
  </si>
  <si>
    <t>Bourgeois</t>
  </si>
  <si>
    <t>A Danielle</t>
  </si>
  <si>
    <t>Id2070</t>
  </si>
  <si>
    <t>Id718</t>
  </si>
  <si>
    <t>Orloff</t>
  </si>
  <si>
    <t>Conrad F</t>
  </si>
  <si>
    <t>Id719</t>
  </si>
  <si>
    <t>Ramirez</t>
  </si>
  <si>
    <t>Josh</t>
  </si>
  <si>
    <t>Id2069</t>
  </si>
  <si>
    <t>Id720</t>
  </si>
  <si>
    <t>Fouquet</t>
  </si>
  <si>
    <t>Maxime</t>
  </si>
  <si>
    <t>Id2068</t>
  </si>
  <si>
    <t>Id721</t>
  </si>
  <si>
    <t>McPhillips</t>
  </si>
  <si>
    <t>Id722</t>
  </si>
  <si>
    <t>Burgin</t>
  </si>
  <si>
    <t>Id723</t>
  </si>
  <si>
    <t>Roberts</t>
  </si>
  <si>
    <t>Laura P.</t>
  </si>
  <si>
    <t>Id2067</t>
  </si>
  <si>
    <t>Id724</t>
  </si>
  <si>
    <t>Nemec</t>
  </si>
  <si>
    <t>Id725</t>
  </si>
  <si>
    <t>R1021</t>
  </si>
  <si>
    <t>Appman</t>
  </si>
  <si>
    <t>William D. Jr.</t>
  </si>
  <si>
    <t>Id726</t>
  </si>
  <si>
    <t>Id2066</t>
  </si>
  <si>
    <t>Id727</t>
  </si>
  <si>
    <t>Glotzbach</t>
  </si>
  <si>
    <t>Id728</t>
  </si>
  <si>
    <t>Tenforde</t>
  </si>
  <si>
    <t>Id2065</t>
  </si>
  <si>
    <t>Adam S</t>
  </si>
  <si>
    <t>Id729</t>
  </si>
  <si>
    <t>Armando</t>
  </si>
  <si>
    <t>Id730</t>
  </si>
  <si>
    <t>Stanley Torres</t>
  </si>
  <si>
    <t>Id2064</t>
  </si>
  <si>
    <t>Dana</t>
  </si>
  <si>
    <t>Id731</t>
  </si>
  <si>
    <t>Vandongen</t>
  </si>
  <si>
    <t>Id732</t>
  </si>
  <si>
    <t>Id2063</t>
  </si>
  <si>
    <t>Liebald</t>
  </si>
  <si>
    <t>Benjamin</t>
  </si>
  <si>
    <t>Id733</t>
  </si>
  <si>
    <t>Holte</t>
  </si>
  <si>
    <t>Tanya</t>
  </si>
  <si>
    <t>Id734</t>
  </si>
  <si>
    <t>Id2062</t>
  </si>
  <si>
    <t>Tracy</t>
  </si>
  <si>
    <t>Id735</t>
  </si>
  <si>
    <t>Bartlett</t>
  </si>
  <si>
    <t>Emily S</t>
  </si>
  <si>
    <t>Id2061</t>
  </si>
  <si>
    <t>Id736</t>
  </si>
  <si>
    <t>Bergman</t>
  </si>
  <si>
    <t>Kelly R</t>
  </si>
  <si>
    <t>Id737</t>
  </si>
  <si>
    <t>Aitken</t>
  </si>
  <si>
    <t>Id2060</t>
  </si>
  <si>
    <t>Id738</t>
  </si>
  <si>
    <t>Berger</t>
  </si>
  <si>
    <t>Bruce A Jr.</t>
  </si>
  <si>
    <t>Id739</t>
  </si>
  <si>
    <t>Richey</t>
  </si>
  <si>
    <t>Cary J</t>
  </si>
  <si>
    <t>Id2059</t>
  </si>
  <si>
    <t>Id740</t>
  </si>
  <si>
    <t>Trotter</t>
  </si>
  <si>
    <t>Jill M</t>
  </si>
  <si>
    <t>Id741</t>
  </si>
  <si>
    <t>Chavez</t>
  </si>
  <si>
    <t>Id742</t>
  </si>
  <si>
    <t>Orifice</t>
  </si>
  <si>
    <t>Michael E.</t>
  </si>
  <si>
    <t>Id2058</t>
  </si>
  <si>
    <t>Id743</t>
  </si>
  <si>
    <t>Farkash</t>
  </si>
  <si>
    <t>Id744</t>
  </si>
  <si>
    <t>Kathryn E</t>
  </si>
  <si>
    <t>Id2057</t>
  </si>
  <si>
    <t>Id745</t>
  </si>
  <si>
    <t>Crawford</t>
  </si>
  <si>
    <t>Polly</t>
  </si>
  <si>
    <t>Id746</t>
  </si>
  <si>
    <t>Sittlington</t>
  </si>
  <si>
    <t>Mark H.</t>
  </si>
  <si>
    <t>Id2056</t>
  </si>
  <si>
    <t>Id747</t>
  </si>
  <si>
    <t>Silbert</t>
  </si>
  <si>
    <t>Jessie M.</t>
  </si>
  <si>
    <t>Id748</t>
  </si>
  <si>
    <t>Carrique</t>
  </si>
  <si>
    <t>Id2055</t>
  </si>
  <si>
    <t>Id749</t>
  </si>
  <si>
    <t>Kosla</t>
  </si>
  <si>
    <t>Id750</t>
  </si>
  <si>
    <t>Parker</t>
  </si>
  <si>
    <t>Id2054</t>
  </si>
  <si>
    <t>Id751</t>
  </si>
  <si>
    <t>Horton</t>
  </si>
  <si>
    <t>Id752</t>
  </si>
  <si>
    <t>Id2053</t>
  </si>
  <si>
    <t>Boller</t>
  </si>
  <si>
    <t>Caroline S.</t>
  </si>
  <si>
    <t>Id753</t>
  </si>
  <si>
    <t>Id2052</t>
  </si>
  <si>
    <t>Olaru</t>
  </si>
  <si>
    <t>Nuta</t>
  </si>
  <si>
    <t>Id754</t>
  </si>
  <si>
    <t>Prescott</t>
  </si>
  <si>
    <t>Margie</t>
  </si>
  <si>
    <t>Id755</t>
  </si>
  <si>
    <t>Hines</t>
  </si>
  <si>
    <t>Heidi</t>
  </si>
  <si>
    <t>Id2051</t>
  </si>
  <si>
    <t>Id756</t>
  </si>
  <si>
    <t>Blanton</t>
  </si>
  <si>
    <t>Diego J</t>
  </si>
  <si>
    <t>Id757</t>
  </si>
  <si>
    <t>Bustamante</t>
  </si>
  <si>
    <t>Enrique M Sr.</t>
  </si>
  <si>
    <t>Id758</t>
  </si>
  <si>
    <t>McCann</t>
  </si>
  <si>
    <t>Id2050</t>
  </si>
  <si>
    <t>Id759</t>
  </si>
  <si>
    <t>Schmole</t>
  </si>
  <si>
    <t>Filip</t>
  </si>
  <si>
    <t>Id760</t>
  </si>
  <si>
    <t>Barber</t>
  </si>
  <si>
    <t>Rosemary E.</t>
  </si>
  <si>
    <t>Id2049</t>
  </si>
  <si>
    <t>Id761</t>
  </si>
  <si>
    <t>Reichmann</t>
  </si>
  <si>
    <t>Id762</t>
  </si>
  <si>
    <t>Cavatorta</t>
  </si>
  <si>
    <t>Id2048</t>
  </si>
  <si>
    <t>Id763</t>
  </si>
  <si>
    <t>Yaeger</t>
  </si>
  <si>
    <t>Id764</t>
  </si>
  <si>
    <t>Hughes</t>
  </si>
  <si>
    <t>Id2047</t>
  </si>
  <si>
    <t>Jennifer R.</t>
  </si>
  <si>
    <t>Id765</t>
  </si>
  <si>
    <t>Donahue</t>
  </si>
  <si>
    <t>Lauren E</t>
  </si>
  <si>
    <t>Id766</t>
  </si>
  <si>
    <t>Greenwell</t>
  </si>
  <si>
    <t>Ashley M.</t>
  </si>
  <si>
    <t>Id2046</t>
  </si>
  <si>
    <t>Id767</t>
  </si>
  <si>
    <t>Steele</t>
  </si>
  <si>
    <t>Alison R.</t>
  </si>
  <si>
    <t>Id768</t>
  </si>
  <si>
    <t>Gunter</t>
  </si>
  <si>
    <t>Madeleine</t>
  </si>
  <si>
    <t>Id2045</t>
  </si>
  <si>
    <t>Id769</t>
  </si>
  <si>
    <t>McDonough</t>
  </si>
  <si>
    <t>Id770</t>
  </si>
  <si>
    <t>Sweetland</t>
  </si>
  <si>
    <t>Id2044</t>
  </si>
  <si>
    <t>Kimberly</t>
  </si>
  <si>
    <t>Id771</t>
  </si>
  <si>
    <t>Hammersmith</t>
  </si>
  <si>
    <t>Id2043</t>
  </si>
  <si>
    <t>Id772</t>
  </si>
  <si>
    <t>French</t>
  </si>
  <si>
    <t>Id773</t>
  </si>
  <si>
    <t>Garbe</t>
  </si>
  <si>
    <t>Id774</t>
  </si>
  <si>
    <t>Duncan</t>
  </si>
  <si>
    <t>Id775</t>
  </si>
  <si>
    <t>Wallace</t>
  </si>
  <si>
    <t>Id2042</t>
  </si>
  <si>
    <t>Jeremy J</t>
  </si>
  <si>
    <t>Id776</t>
  </si>
  <si>
    <t>Tillman</t>
  </si>
  <si>
    <t>Amy L.</t>
  </si>
  <si>
    <t>Id777</t>
  </si>
  <si>
    <t>Karen L.</t>
  </si>
  <si>
    <t>Id2041</t>
  </si>
  <si>
    <t>Id778</t>
  </si>
  <si>
    <t>Tennille</t>
  </si>
  <si>
    <t>Id779</t>
  </si>
  <si>
    <t>Id2040</t>
  </si>
  <si>
    <t>McSween</t>
  </si>
  <si>
    <t>Id780</t>
  </si>
  <si>
    <t>Schubert</t>
  </si>
  <si>
    <t>Id2039</t>
  </si>
  <si>
    <t>Id781</t>
  </si>
  <si>
    <t>Lalanne</t>
  </si>
  <si>
    <t>Justin E</t>
  </si>
  <si>
    <t>Id782</t>
  </si>
  <si>
    <t>Id2038</t>
  </si>
  <si>
    <t>Shalane</t>
  </si>
  <si>
    <t>Id783</t>
  </si>
  <si>
    <t>Arellano</t>
  </si>
  <si>
    <t>Jessica N.</t>
  </si>
  <si>
    <t>Id784</t>
  </si>
  <si>
    <t>Id2037</t>
  </si>
  <si>
    <t>Charette</t>
  </si>
  <si>
    <t>Melanie</t>
  </si>
  <si>
    <t>Id785</t>
  </si>
  <si>
    <t>Pena Reyes</t>
  </si>
  <si>
    <t>Ruth Angelica</t>
  </si>
  <si>
    <t>Id2036</t>
  </si>
  <si>
    <t>Id786</t>
  </si>
  <si>
    <t>Broderick</t>
  </si>
  <si>
    <t>Una M</t>
  </si>
  <si>
    <t>Id787</t>
  </si>
  <si>
    <t>Summers</t>
  </si>
  <si>
    <t>Id2035</t>
  </si>
  <si>
    <t>Taralyn</t>
  </si>
  <si>
    <t>Id788</t>
  </si>
  <si>
    <t>James A</t>
  </si>
  <si>
    <t>Id2034</t>
  </si>
  <si>
    <t>Id789</t>
  </si>
  <si>
    <t>Zhou</t>
  </si>
  <si>
    <t>Ning</t>
  </si>
  <si>
    <t>Id790</t>
  </si>
  <si>
    <t>Clarke-Ames</t>
  </si>
  <si>
    <t>Id2033</t>
  </si>
  <si>
    <t>Joel</t>
  </si>
  <si>
    <t>Id791</t>
  </si>
  <si>
    <t>Staton</t>
  </si>
  <si>
    <t>Id2032</t>
  </si>
  <si>
    <t>Id792</t>
  </si>
  <si>
    <t>Forster</t>
  </si>
  <si>
    <t>Brittney</t>
  </si>
  <si>
    <t>Id793</t>
  </si>
  <si>
    <t>Monaghan</t>
  </si>
  <si>
    <t>Id2031</t>
  </si>
  <si>
    <t>Sheila</t>
  </si>
  <si>
    <t>Id794</t>
  </si>
  <si>
    <t>Kawamoto</t>
  </si>
  <si>
    <t>Koji</t>
  </si>
  <si>
    <t>Id2030</t>
  </si>
  <si>
    <t>Id795</t>
  </si>
  <si>
    <t>Dicharry</t>
  </si>
  <si>
    <t>Id2029</t>
  </si>
  <si>
    <t>Id796</t>
  </si>
  <si>
    <t>Berry</t>
  </si>
  <si>
    <t>Colleen M</t>
  </si>
  <si>
    <t>Id797</t>
  </si>
  <si>
    <t>Porfirio</t>
  </si>
  <si>
    <t>Id2028</t>
  </si>
  <si>
    <t>Deedra G.</t>
  </si>
  <si>
    <t>Id798</t>
  </si>
  <si>
    <t>Thind</t>
  </si>
  <si>
    <t>Kulwinder</t>
  </si>
  <si>
    <t>Id799</t>
  </si>
  <si>
    <t>Id2027</t>
  </si>
  <si>
    <t>Ann M.</t>
  </si>
  <si>
    <t>Id800</t>
  </si>
  <si>
    <t>Id2026</t>
  </si>
  <si>
    <t>Id2025</t>
  </si>
  <si>
    <t>Horn</t>
  </si>
  <si>
    <t>Sarah E</t>
  </si>
  <si>
    <t>Id801</t>
  </si>
  <si>
    <t>Sabadosa</t>
  </si>
  <si>
    <t>Id2024</t>
  </si>
  <si>
    <t>Apryl J.</t>
  </si>
  <si>
    <t>Id802</t>
  </si>
  <si>
    <t>Casady</t>
  </si>
  <si>
    <t>Ilana</t>
  </si>
  <si>
    <t>Id2023</t>
  </si>
  <si>
    <t>Id803</t>
  </si>
  <si>
    <t>Id804</t>
  </si>
  <si>
    <t>Ahokas</t>
  </si>
  <si>
    <t>Id2022</t>
  </si>
  <si>
    <t>Id805</t>
  </si>
  <si>
    <t>Hebert</t>
  </si>
  <si>
    <t>Karl</t>
  </si>
  <si>
    <t>Id2021</t>
  </si>
  <si>
    <t>Id806</t>
  </si>
  <si>
    <t>Fair</t>
  </si>
  <si>
    <t>Id807</t>
  </si>
  <si>
    <t>Swenson</t>
  </si>
  <si>
    <t>Id2020</t>
  </si>
  <si>
    <t>Will</t>
  </si>
  <si>
    <t>Id808</t>
  </si>
  <si>
    <t>Revenis</t>
  </si>
  <si>
    <t>Bradley D</t>
  </si>
  <si>
    <t>Id809</t>
  </si>
  <si>
    <t>Id2019</t>
  </si>
  <si>
    <t>Engnes</t>
  </si>
  <si>
    <t>Amy M</t>
  </si>
  <si>
    <t>Id810</t>
  </si>
  <si>
    <t>Wiltse</t>
  </si>
  <si>
    <t>Matthew W.</t>
  </si>
  <si>
    <t>Id2018</t>
  </si>
  <si>
    <t>Id811</t>
  </si>
  <si>
    <t>Fernandez</t>
  </si>
  <si>
    <t>Id812</t>
  </si>
  <si>
    <t>Id2017</t>
  </si>
  <si>
    <t>Tom</t>
  </si>
  <si>
    <t>Id813</t>
  </si>
  <si>
    <t>Pinney</t>
  </si>
  <si>
    <t>Id814</t>
  </si>
  <si>
    <t>Id2016</t>
  </si>
  <si>
    <t>Levy</t>
  </si>
  <si>
    <t>Wayne A.</t>
  </si>
  <si>
    <t>Id815</t>
  </si>
  <si>
    <t>Takeda</t>
  </si>
  <si>
    <t>Id2015</t>
  </si>
  <si>
    <t>Nobuyori</t>
  </si>
  <si>
    <t>Id816</t>
  </si>
  <si>
    <t>Burke</t>
  </si>
  <si>
    <t>Rich</t>
  </si>
  <si>
    <t>Id817</t>
  </si>
  <si>
    <t>Id2014</t>
  </si>
  <si>
    <t>Duarte</t>
  </si>
  <si>
    <t>Marcos S</t>
  </si>
  <si>
    <t>Id818</t>
  </si>
  <si>
    <t>Id2013</t>
  </si>
  <si>
    <t>Id819</t>
  </si>
  <si>
    <t>Nice</t>
  </si>
  <si>
    <t>Andy</t>
  </si>
  <si>
    <t>Id820</t>
  </si>
  <si>
    <t>Id2012</t>
  </si>
  <si>
    <t>Windler</t>
  </si>
  <si>
    <t>Id821</t>
  </si>
  <si>
    <t>Jones</t>
  </si>
  <si>
    <t>R1017</t>
  </si>
  <si>
    <t>Marcus B</t>
  </si>
  <si>
    <t>Id2011</t>
  </si>
  <si>
    <t>Id822</t>
  </si>
  <si>
    <t>Stevenson</t>
  </si>
  <si>
    <t>Thomas K.</t>
  </si>
  <si>
    <t>Id823</t>
  </si>
  <si>
    <t>Humphrey</t>
  </si>
  <si>
    <t>Id2010</t>
  </si>
  <si>
    <t>Id824</t>
  </si>
  <si>
    <t>Geoff</t>
  </si>
  <si>
    <t>Id825</t>
  </si>
  <si>
    <t>Id2009</t>
  </si>
  <si>
    <t>Payne</t>
  </si>
  <si>
    <t>Chris J.</t>
  </si>
  <si>
    <t>Id826</t>
  </si>
  <si>
    <t>Hails</t>
  </si>
  <si>
    <t>Kate A.</t>
  </si>
  <si>
    <t>Id2008</t>
  </si>
  <si>
    <t>Id827</t>
  </si>
  <si>
    <t>Proctor</t>
  </si>
  <si>
    <t>Kelli</t>
  </si>
  <si>
    <t>Id828</t>
  </si>
  <si>
    <t>Id2007</t>
  </si>
  <si>
    <t>Maggie M</t>
  </si>
  <si>
    <t>Id829</t>
  </si>
  <si>
    <t>Id2006</t>
  </si>
  <si>
    <t>Michelle L.</t>
  </si>
  <si>
    <t>Id830</t>
  </si>
  <si>
    <t>Gresh</t>
  </si>
  <si>
    <t>Ashley K</t>
  </si>
  <si>
    <t>Id2005</t>
  </si>
  <si>
    <t>Id831</t>
  </si>
  <si>
    <t>Anis</t>
  </si>
  <si>
    <t>Id832</t>
  </si>
  <si>
    <t>Swartz</t>
  </si>
  <si>
    <t>Id2004</t>
  </si>
  <si>
    <t>Ryan K.</t>
  </si>
  <si>
    <t>Id833</t>
  </si>
  <si>
    <t>Schluneker</t>
  </si>
  <si>
    <t>Matthew J</t>
  </si>
  <si>
    <t>Id834</t>
  </si>
  <si>
    <t>Id2003</t>
  </si>
  <si>
    <t>Bellemare</t>
  </si>
  <si>
    <t>Id835</t>
  </si>
  <si>
    <t>Vitalo</t>
  </si>
  <si>
    <t>Antonia G</t>
  </si>
  <si>
    <t>Id836</t>
  </si>
  <si>
    <t>Id2002</t>
  </si>
  <si>
    <t>Casondra L</t>
  </si>
  <si>
    <t>Id837</t>
  </si>
  <si>
    <t>Marshall</t>
  </si>
  <si>
    <t>Wendy</t>
  </si>
  <si>
    <t>Id838</t>
  </si>
  <si>
    <t>Id2001</t>
  </si>
  <si>
    <t>Id839</t>
  </si>
  <si>
    <t>Pittaway</t>
  </si>
  <si>
    <t>Id2000</t>
  </si>
  <si>
    <t>Id840</t>
  </si>
  <si>
    <t>Bill</t>
  </si>
  <si>
    <t>Laura F</t>
  </si>
  <si>
    <t>Id841</t>
  </si>
  <si>
    <t>Antrim</t>
  </si>
  <si>
    <t>Id1999</t>
  </si>
  <si>
    <t>Amelia F.</t>
  </si>
  <si>
    <t>Id842</t>
  </si>
  <si>
    <t>Doolittle-Crider</t>
  </si>
  <si>
    <t>Id1998</t>
  </si>
  <si>
    <t>Id843</t>
  </si>
  <si>
    <t>Ruhlman</t>
  </si>
  <si>
    <t>Katie J</t>
  </si>
  <si>
    <t>Id1997</t>
  </si>
  <si>
    <t>Id844</t>
  </si>
  <si>
    <t>Id845</t>
  </si>
  <si>
    <t>Uchiyama</t>
  </si>
  <si>
    <t>Mayumi</t>
  </si>
  <si>
    <t>Id1996</t>
  </si>
  <si>
    <t>Id846</t>
  </si>
  <si>
    <t>Desota</t>
  </si>
  <si>
    <t>Vanessa</t>
  </si>
  <si>
    <t>Id847</t>
  </si>
  <si>
    <t>Edmonds</t>
  </si>
  <si>
    <t>Id1995</t>
  </si>
  <si>
    <t>Id1994</t>
  </si>
  <si>
    <t>Id1993</t>
  </si>
  <si>
    <t>Id1992</t>
  </si>
  <si>
    <t>Natali N</t>
  </si>
  <si>
    <t>Id1991</t>
  </si>
  <si>
    <t>Id848</t>
  </si>
  <si>
    <t>Otto</t>
  </si>
  <si>
    <t>Beth</t>
  </si>
  <si>
    <t>Id849</t>
  </si>
  <si>
    <t>Kurt</t>
  </si>
  <si>
    <t>Id1990</t>
  </si>
  <si>
    <t>Id850</t>
  </si>
  <si>
    <t>Duhaime</t>
  </si>
  <si>
    <t>Id851</t>
  </si>
  <si>
    <t>Id1989</t>
  </si>
  <si>
    <t>Swann</t>
  </si>
  <si>
    <t>Andee W.</t>
  </si>
  <si>
    <t>Id852</t>
  </si>
  <si>
    <t>Burton</t>
  </si>
  <si>
    <t>Id1988</t>
  </si>
  <si>
    <t>Id853</t>
  </si>
  <si>
    <t>Id854</t>
  </si>
  <si>
    <t>Joslyn</t>
  </si>
  <si>
    <t>C Fred</t>
  </si>
  <si>
    <t>Id1987</t>
  </si>
  <si>
    <t>Id855</t>
  </si>
  <si>
    <t>Bennie</t>
  </si>
  <si>
    <t>Id856</t>
  </si>
  <si>
    <t>Kanyane</t>
  </si>
  <si>
    <t>Patrick Sr.</t>
  </si>
  <si>
    <t>Id1986</t>
  </si>
  <si>
    <t>Id857</t>
  </si>
  <si>
    <t>McFadden</t>
  </si>
  <si>
    <t>Kelly M.</t>
  </si>
  <si>
    <t>Id858</t>
  </si>
  <si>
    <t>Connolly</t>
  </si>
  <si>
    <t>Id1985</t>
  </si>
  <si>
    <t>Id859</t>
  </si>
  <si>
    <t>Merino</t>
  </si>
  <si>
    <t>Keila L</t>
  </si>
  <si>
    <t>Id860</t>
  </si>
  <si>
    <t>Baird</t>
  </si>
  <si>
    <t>Id1984</t>
  </si>
  <si>
    <t>Zanae E</t>
  </si>
  <si>
    <t>Id861</t>
  </si>
  <si>
    <t>Locatelli</t>
  </si>
  <si>
    <t>Id862</t>
  </si>
  <si>
    <t>Id1983</t>
  </si>
  <si>
    <t>Brake</t>
  </si>
  <si>
    <t>Id863</t>
  </si>
  <si>
    <t>Jacobs</t>
  </si>
  <si>
    <t>Id1982</t>
  </si>
  <si>
    <t>Jason L.</t>
  </si>
  <si>
    <t>Id864</t>
  </si>
  <si>
    <t>Vaught</t>
  </si>
  <si>
    <t>Benjamin J.</t>
  </si>
  <si>
    <t>Id1981</t>
  </si>
  <si>
    <t>Id865</t>
  </si>
  <si>
    <t>Monteleone</t>
  </si>
  <si>
    <t>Id866</t>
  </si>
  <si>
    <t>Verdugo</t>
  </si>
  <si>
    <t>Id1980</t>
  </si>
  <si>
    <t>Erika</t>
  </si>
  <si>
    <t>Id867</t>
  </si>
  <si>
    <t>Sellers</t>
  </si>
  <si>
    <t>Chad</t>
  </si>
  <si>
    <t>Id868</t>
  </si>
  <si>
    <t>Bowman</t>
  </si>
  <si>
    <t>Id1979</t>
  </si>
  <si>
    <t>Id869</t>
  </si>
  <si>
    <t>Marley</t>
  </si>
  <si>
    <t>Id870</t>
  </si>
  <si>
    <t>Grey</t>
  </si>
  <si>
    <t>Id1978</t>
  </si>
  <si>
    <t>Matthew R</t>
  </si>
  <si>
    <t>Id871</t>
  </si>
  <si>
    <t>O'Rourke</t>
  </si>
  <si>
    <t>Orla</t>
  </si>
  <si>
    <t>Id1977</t>
  </si>
  <si>
    <t>Id872</t>
  </si>
  <si>
    <t>Fatehali</t>
  </si>
  <si>
    <t>Shaista S</t>
  </si>
  <si>
    <t>Id873</t>
  </si>
  <si>
    <t>Piza-Taylor</t>
  </si>
  <si>
    <t>Id1976</t>
  </si>
  <si>
    <t>Id874</t>
  </si>
  <si>
    <t>Cavanaugh</t>
  </si>
  <si>
    <t>Julie A.</t>
  </si>
  <si>
    <t>Id875</t>
  </si>
  <si>
    <t>Amako</t>
  </si>
  <si>
    <t>Id1975</t>
  </si>
  <si>
    <t>Megumi</t>
  </si>
  <si>
    <t>Id876</t>
  </si>
  <si>
    <t>Musa</t>
  </si>
  <si>
    <t>Skylar</t>
  </si>
  <si>
    <t>Id877</t>
  </si>
  <si>
    <t>Phillippi</t>
  </si>
  <si>
    <t>Id1974</t>
  </si>
  <si>
    <t>Id878</t>
  </si>
  <si>
    <t>Hoskins</t>
  </si>
  <si>
    <t>Amanda L</t>
  </si>
  <si>
    <t>Id1973</t>
  </si>
  <si>
    <t>Id879</t>
  </si>
  <si>
    <t>Imbalzano Zegar</t>
  </si>
  <si>
    <t>Renee</t>
  </si>
  <si>
    <t>Id880</t>
  </si>
  <si>
    <t>Id1972</t>
  </si>
  <si>
    <t>Triedman</t>
  </si>
  <si>
    <t>Nellie A.</t>
  </si>
  <si>
    <t>Id881</t>
  </si>
  <si>
    <t>Lovuolo</t>
  </si>
  <si>
    <t>Tamara</t>
  </si>
  <si>
    <t>Id882</t>
  </si>
  <si>
    <t>Chung</t>
  </si>
  <si>
    <t>Id1971</t>
  </si>
  <si>
    <t>Id883</t>
  </si>
  <si>
    <t>Newsom</t>
  </si>
  <si>
    <t>Aimee J.</t>
  </si>
  <si>
    <t>Id884</t>
  </si>
  <si>
    <t>Harrington</t>
  </si>
  <si>
    <t>Suzanne</t>
  </si>
  <si>
    <t>Id1970</t>
  </si>
  <si>
    <t>Id885</t>
  </si>
  <si>
    <t>Hoffman</t>
  </si>
  <si>
    <t>Kristin A.</t>
  </si>
  <si>
    <t>Id886</t>
  </si>
  <si>
    <t>Van Vugt</t>
  </si>
  <si>
    <t>Bronwyn</t>
  </si>
  <si>
    <t>Id1969</t>
  </si>
  <si>
    <t>Id887</t>
  </si>
  <si>
    <t>Feehley</t>
  </si>
  <si>
    <t>Taylor J</t>
  </si>
  <si>
    <t>Id888</t>
  </si>
  <si>
    <t>Ashworth</t>
  </si>
  <si>
    <t>Id1968</t>
  </si>
  <si>
    <t>Kimberly M.</t>
  </si>
  <si>
    <t>Id889</t>
  </si>
  <si>
    <t>Hansen</t>
  </si>
  <si>
    <t>Joshua E.</t>
  </si>
  <si>
    <t>Id1967</t>
  </si>
  <si>
    <t>Id890</t>
  </si>
  <si>
    <t>Czyz</t>
  </si>
  <si>
    <t>Id891</t>
  </si>
  <si>
    <t>Bauder</t>
  </si>
  <si>
    <t>Id1966</t>
  </si>
  <si>
    <t>Andrew R</t>
  </si>
  <si>
    <t>Id892</t>
  </si>
  <si>
    <t>Mendoza</t>
  </si>
  <si>
    <t>Francisco J. Sr.</t>
  </si>
  <si>
    <t>Id893</t>
  </si>
  <si>
    <t>Glass</t>
  </si>
  <si>
    <t>Rhonda</t>
  </si>
  <si>
    <t>Id1965</t>
  </si>
  <si>
    <t>Id894</t>
  </si>
  <si>
    <t>Butcher</t>
  </si>
  <si>
    <t>Id895</t>
  </si>
  <si>
    <t>Traiser</t>
  </si>
  <si>
    <t>Miles J.</t>
  </si>
  <si>
    <t>Id896</t>
  </si>
  <si>
    <t>Id1964</t>
  </si>
  <si>
    <t>Mudy-Mader</t>
  </si>
  <si>
    <t>Justyna I.</t>
  </si>
  <si>
    <t>Id897</t>
  </si>
  <si>
    <t>Lucille</t>
  </si>
  <si>
    <t>Id1963</t>
  </si>
  <si>
    <t>Id898</t>
  </si>
  <si>
    <t>Woo</t>
  </si>
  <si>
    <t>April</t>
  </si>
  <si>
    <t>Id899</t>
  </si>
  <si>
    <t>Id1962</t>
  </si>
  <si>
    <t>Id900</t>
  </si>
  <si>
    <t>Alyssa</t>
  </si>
  <si>
    <t>Id1961</t>
  </si>
  <si>
    <t>Id901</t>
  </si>
  <si>
    <t>Sheppard</t>
  </si>
  <si>
    <t>Jessica E.</t>
  </si>
  <si>
    <t>Id902</t>
  </si>
  <si>
    <t>Doran</t>
  </si>
  <si>
    <t>Id1960</t>
  </si>
  <si>
    <t>Id903</t>
  </si>
  <si>
    <t>Labrosse</t>
  </si>
  <si>
    <t>Emilie</t>
  </si>
  <si>
    <t>Id904</t>
  </si>
  <si>
    <t>Id1959</t>
  </si>
  <si>
    <t>Caitlin B.</t>
  </si>
  <si>
    <t>Id905</t>
  </si>
  <si>
    <t>Lesniak</t>
  </si>
  <si>
    <t>Joseph W</t>
  </si>
  <si>
    <t>Id906</t>
  </si>
  <si>
    <t>Id1958</t>
  </si>
  <si>
    <t>Prowse</t>
  </si>
  <si>
    <t>Id907</t>
  </si>
  <si>
    <t>Seigel</t>
  </si>
  <si>
    <t>Leah L.</t>
  </si>
  <si>
    <t>Id1957</t>
  </si>
  <si>
    <t>Id908</t>
  </si>
  <si>
    <t>Blas</t>
  </si>
  <si>
    <t>Wayne L.</t>
  </si>
  <si>
    <t>Id909</t>
  </si>
  <si>
    <t>Simpson</t>
  </si>
  <si>
    <t>Id1956</t>
  </si>
  <si>
    <t>Id910</t>
  </si>
  <si>
    <t>Gierman</t>
  </si>
  <si>
    <t>Floris</t>
  </si>
  <si>
    <t>Id1955</t>
  </si>
  <si>
    <t>Id911</t>
  </si>
  <si>
    <t>Jeuland</t>
  </si>
  <si>
    <t>Marc</t>
  </si>
  <si>
    <t>Id912</t>
  </si>
  <si>
    <t>Chorney</t>
  </si>
  <si>
    <t>Id1954</t>
  </si>
  <si>
    <t>Id913</t>
  </si>
  <si>
    <t>Rook</t>
  </si>
  <si>
    <t>Id914</t>
  </si>
  <si>
    <t>Aharon N</t>
  </si>
  <si>
    <t>Id915</t>
  </si>
  <si>
    <t>Chin</t>
  </si>
  <si>
    <t>Id1953</t>
  </si>
  <si>
    <t>Lawrence D.</t>
  </si>
  <si>
    <t>Id1952</t>
  </si>
  <si>
    <t>Id1951</t>
  </si>
  <si>
    <t>Id1950</t>
  </si>
  <si>
    <t>Id1949</t>
  </si>
  <si>
    <t>Id1948</t>
  </si>
  <si>
    <t>Id1947</t>
  </si>
  <si>
    <t>Id916</t>
  </si>
  <si>
    <t>Id1946</t>
  </si>
  <si>
    <t>Malcolm</t>
  </si>
  <si>
    <t>Id917</t>
  </si>
  <si>
    <t>Savage</t>
  </si>
  <si>
    <t>Anna E.</t>
  </si>
  <si>
    <t>Id1945</t>
  </si>
  <si>
    <t>Id918</t>
  </si>
  <si>
    <t>Hitchings</t>
  </si>
  <si>
    <t>Id919</t>
  </si>
  <si>
    <t>Truitt</t>
  </si>
  <si>
    <t>Id1944</t>
  </si>
  <si>
    <t>Id920</t>
  </si>
  <si>
    <t>Chang</t>
  </si>
  <si>
    <t>Id1943</t>
  </si>
  <si>
    <t>Chia J.</t>
  </si>
  <si>
    <t>Id921</t>
  </si>
  <si>
    <t>Frey</t>
  </si>
  <si>
    <t>Id1942</t>
  </si>
  <si>
    <t>Laura A</t>
  </si>
  <si>
    <t>Id922</t>
  </si>
  <si>
    <t>Krishna</t>
  </si>
  <si>
    <t>Aditi</t>
  </si>
  <si>
    <t>Id1941</t>
  </si>
  <si>
    <t>Id923</t>
  </si>
  <si>
    <t>Maher</t>
  </si>
  <si>
    <t>Leah A.</t>
  </si>
  <si>
    <t>Id924</t>
  </si>
  <si>
    <t>Boivin</t>
  </si>
  <si>
    <t>Id1940</t>
  </si>
  <si>
    <t>Marianne</t>
  </si>
  <si>
    <t>Id925</t>
  </si>
  <si>
    <t>McAlister</t>
  </si>
  <si>
    <t>Carla</t>
  </si>
  <si>
    <t>Id1939</t>
  </si>
  <si>
    <t>Id926</t>
  </si>
  <si>
    <t>Akhmedova</t>
  </si>
  <si>
    <t>Oksana</t>
  </si>
  <si>
    <t>Id927</t>
  </si>
  <si>
    <t>Tucker</t>
  </si>
  <si>
    <t>Id1938</t>
  </si>
  <si>
    <t>Id928</t>
  </si>
  <si>
    <t>Gramelspacher</t>
  </si>
  <si>
    <t>Maria A.</t>
  </si>
  <si>
    <t>Id929</t>
  </si>
  <si>
    <t>Goldsmith</t>
  </si>
  <si>
    <t>Id1937</t>
  </si>
  <si>
    <t>Lisa M</t>
  </si>
  <si>
    <t>Id930</t>
  </si>
  <si>
    <t>Tranter</t>
  </si>
  <si>
    <t>Steve Jr.</t>
  </si>
  <si>
    <t>Id1936</t>
  </si>
  <si>
    <t>Id931</t>
  </si>
  <si>
    <t>Tu</t>
  </si>
  <si>
    <t>Id932</t>
  </si>
  <si>
    <t>Id1935</t>
  </si>
  <si>
    <t>Kaczka</t>
  </si>
  <si>
    <t>Id933</t>
  </si>
  <si>
    <t>Hunter</t>
  </si>
  <si>
    <t>Id1934</t>
  </si>
  <si>
    <t>Dale</t>
  </si>
  <si>
    <t>Id934</t>
  </si>
  <si>
    <t>Brittany A.</t>
  </si>
  <si>
    <t>Id935</t>
  </si>
  <si>
    <t>Ashby</t>
  </si>
  <si>
    <t>Id1933</t>
  </si>
  <si>
    <t>Robert S</t>
  </si>
  <si>
    <t>Id936</t>
  </si>
  <si>
    <t>Ausen</t>
  </si>
  <si>
    <t>Id937</t>
  </si>
  <si>
    <t>Id1932</t>
  </si>
  <si>
    <t>Ulrike</t>
  </si>
  <si>
    <t>Id938</t>
  </si>
  <si>
    <t>O'Leary</t>
  </si>
  <si>
    <t>Katlyn A.</t>
  </si>
  <si>
    <t>Id939</t>
  </si>
  <si>
    <t>Scoville</t>
  </si>
  <si>
    <t>Morgan B.</t>
  </si>
  <si>
    <t>Id1931</t>
  </si>
  <si>
    <t>Id940</t>
  </si>
  <si>
    <t>Kaus</t>
  </si>
  <si>
    <t>Id1930</t>
  </si>
  <si>
    <t>Id941</t>
  </si>
  <si>
    <t>Rainey</t>
  </si>
  <si>
    <t>Chandler</t>
  </si>
  <si>
    <t>Id942</t>
  </si>
  <si>
    <t>Id1929</t>
  </si>
  <si>
    <t>Rasch</t>
  </si>
  <si>
    <t>Silvana M.</t>
  </si>
  <si>
    <t>Id943</t>
  </si>
  <si>
    <t>Plunkett</t>
  </si>
  <si>
    <t>Natty</t>
  </si>
  <si>
    <t>Id1928</t>
  </si>
  <si>
    <t>Id944</t>
  </si>
  <si>
    <t>Nicholas T</t>
  </si>
  <si>
    <t>Id945</t>
  </si>
  <si>
    <t>Gusmer</t>
  </si>
  <si>
    <t>Id1927</t>
  </si>
  <si>
    <t>Id946</t>
  </si>
  <si>
    <t>Loftus</t>
  </si>
  <si>
    <t>Id947</t>
  </si>
  <si>
    <t>Antony G</t>
  </si>
  <si>
    <t>Id1926</t>
  </si>
  <si>
    <t>Id948</t>
  </si>
  <si>
    <t>Alvarez</t>
  </si>
  <si>
    <t>Id1925</t>
  </si>
  <si>
    <t>Id949</t>
  </si>
  <si>
    <t>Petersson</t>
  </si>
  <si>
    <t>Id950</t>
  </si>
  <si>
    <t>Id1924</t>
  </si>
  <si>
    <t>Liaw</t>
  </si>
  <si>
    <t>Id951</t>
  </si>
  <si>
    <t>Tripaldi</t>
  </si>
  <si>
    <t>Id1923</t>
  </si>
  <si>
    <t>Cassandra</t>
  </si>
  <si>
    <t>Id952</t>
  </si>
  <si>
    <t>Rosemary C</t>
  </si>
  <si>
    <t>Id1922</t>
  </si>
  <si>
    <t>Id953</t>
  </si>
  <si>
    <t>Endara</t>
  </si>
  <si>
    <t>Carrie A.</t>
  </si>
  <si>
    <t>Id954</t>
  </si>
  <si>
    <t>Valle</t>
  </si>
  <si>
    <t>Id1921</t>
  </si>
  <si>
    <t>Gerardo Sr.</t>
  </si>
  <si>
    <t>Id955</t>
  </si>
  <si>
    <t>Germain</t>
  </si>
  <si>
    <t>Matthew R.</t>
  </si>
  <si>
    <t>Id1920</t>
  </si>
  <si>
    <t>Id956</t>
  </si>
  <si>
    <t>Finecey</t>
  </si>
  <si>
    <t>Meghan E</t>
  </si>
  <si>
    <t>Id957</t>
  </si>
  <si>
    <t>Id1919</t>
  </si>
  <si>
    <t>Id958</t>
  </si>
  <si>
    <t>Roe</t>
  </si>
  <si>
    <t>Lisa B</t>
  </si>
  <si>
    <t>Id959</t>
  </si>
  <si>
    <t>Webb</t>
  </si>
  <si>
    <t>Id1918</t>
  </si>
  <si>
    <t>Jane R.</t>
  </si>
  <si>
    <t>Id1917</t>
  </si>
  <si>
    <t>Id960</t>
  </si>
  <si>
    <t>Stocker</t>
  </si>
  <si>
    <t>Allison M</t>
  </si>
  <si>
    <t>Id961</t>
  </si>
  <si>
    <t>Jacobson</t>
  </si>
  <si>
    <t>Id1916</t>
  </si>
  <si>
    <t>Id1915</t>
  </si>
  <si>
    <t>Id1914</t>
  </si>
  <si>
    <t>Id962</t>
  </si>
  <si>
    <t>Id1913</t>
  </si>
  <si>
    <t>Philip J</t>
  </si>
  <si>
    <t>Id963</t>
  </si>
  <si>
    <t>Goodwin</t>
  </si>
  <si>
    <t>Id1912</t>
  </si>
  <si>
    <t>Jillian A.</t>
  </si>
  <si>
    <t>Id964</t>
  </si>
  <si>
    <t>Brock</t>
  </si>
  <si>
    <t>Laura D</t>
  </si>
  <si>
    <t>Id965</t>
  </si>
  <si>
    <t>Papp</t>
  </si>
  <si>
    <t>Megan E.</t>
  </si>
  <si>
    <t>Id1911</t>
  </si>
  <si>
    <t>Id966</t>
  </si>
  <si>
    <t>Siragusa</t>
  </si>
  <si>
    <t>Shannon J.</t>
  </si>
  <si>
    <t>Id967</t>
  </si>
  <si>
    <t>Pizarro</t>
  </si>
  <si>
    <t>Rachelle M</t>
  </si>
  <si>
    <t>Id1910</t>
  </si>
  <si>
    <t>Id968</t>
  </si>
  <si>
    <t>Strange</t>
  </si>
  <si>
    <t>Id969</t>
  </si>
  <si>
    <t>Eidinger</t>
  </si>
  <si>
    <t>Id1909</t>
  </si>
  <si>
    <t>Id970</t>
  </si>
  <si>
    <t>Ginsburg</t>
  </si>
  <si>
    <t>Brandon F</t>
  </si>
  <si>
    <t>Id971</t>
  </si>
  <si>
    <t>Truex</t>
  </si>
  <si>
    <t>Id972</t>
  </si>
  <si>
    <t>Higgins</t>
  </si>
  <si>
    <t>Id1908</t>
  </si>
  <si>
    <t>Danielle N</t>
  </si>
  <si>
    <t>Id973</t>
  </si>
  <si>
    <t>McCurdy</t>
  </si>
  <si>
    <t>Id974</t>
  </si>
  <si>
    <t>Bettina</t>
  </si>
  <si>
    <t>Id1907</t>
  </si>
  <si>
    <t>Id975</t>
  </si>
  <si>
    <t>Varner</t>
  </si>
  <si>
    <t>Id976</t>
  </si>
  <si>
    <t>Dahmen</t>
  </si>
  <si>
    <t>Holli</t>
  </si>
  <si>
    <t>Id977</t>
  </si>
  <si>
    <t>Id1906</t>
  </si>
  <si>
    <t>Heather C</t>
  </si>
  <si>
    <t>Id978</t>
  </si>
  <si>
    <t>Fraser</t>
  </si>
  <si>
    <t>Id979</t>
  </si>
  <si>
    <t>Deeg</t>
  </si>
  <si>
    <t>Id1905</t>
  </si>
  <si>
    <t>Thomas J</t>
  </si>
  <si>
    <t>Id980</t>
  </si>
  <si>
    <t>Robertson</t>
  </si>
  <si>
    <t>Id981</t>
  </si>
  <si>
    <t>Peck</t>
  </si>
  <si>
    <t>Id1904</t>
  </si>
  <si>
    <t>Id982</t>
  </si>
  <si>
    <t>Burger</t>
  </si>
  <si>
    <t>Garrett</t>
  </si>
  <si>
    <t>Id983</t>
  </si>
  <si>
    <t>Blain</t>
  </si>
  <si>
    <t>Id984</t>
  </si>
  <si>
    <t>Winters</t>
  </si>
  <si>
    <t>Id1903</t>
  </si>
  <si>
    <t>Annabelle M</t>
  </si>
  <si>
    <t>Id985</t>
  </si>
  <si>
    <t>McCue</t>
  </si>
  <si>
    <t>Daniel T.</t>
  </si>
  <si>
    <t>Id986</t>
  </si>
  <si>
    <t>Webster</t>
  </si>
  <si>
    <t>Deanne</t>
  </si>
  <si>
    <t>Id987</t>
  </si>
  <si>
    <t>Id1902</t>
  </si>
  <si>
    <t>Id988</t>
  </si>
  <si>
    <t>Chiappone</t>
  </si>
  <si>
    <t>Id989</t>
  </si>
  <si>
    <t>Opie</t>
  </si>
  <si>
    <t>Id1901</t>
  </si>
  <si>
    <t>Jasmine P.</t>
  </si>
  <si>
    <t>Id990</t>
  </si>
  <si>
    <t>Donnelly</t>
  </si>
  <si>
    <t>Id991</t>
  </si>
  <si>
    <t>Rall</t>
  </si>
  <si>
    <t>Tracie</t>
  </si>
  <si>
    <t>Id1900</t>
  </si>
  <si>
    <t>Id992</t>
  </si>
  <si>
    <t>Tristan D.</t>
  </si>
  <si>
    <t>Id993</t>
  </si>
  <si>
    <t>Chen</t>
  </si>
  <si>
    <t>Peiweng</t>
  </si>
  <si>
    <t>Id1899</t>
  </si>
  <si>
    <t>Id994</t>
  </si>
  <si>
    <t>Tufaro</t>
  </si>
  <si>
    <t>Theresa M.</t>
  </si>
  <si>
    <t>Id995</t>
  </si>
  <si>
    <t>Daniel J</t>
  </si>
  <si>
    <t>Id996</t>
  </si>
  <si>
    <t>Susedik</t>
  </si>
  <si>
    <t>Id1898</t>
  </si>
  <si>
    <t>Courtney M.</t>
  </si>
  <si>
    <t>Id997</t>
  </si>
  <si>
    <t>Jose A.</t>
  </si>
  <si>
    <t>Id998</t>
  </si>
  <si>
    <t>Deady</t>
  </si>
  <si>
    <t>Id1897</t>
  </si>
  <si>
    <t>Id999</t>
  </si>
  <si>
    <t>Jonathon M.</t>
  </si>
  <si>
    <t>Id1000</t>
  </si>
  <si>
    <t>Schaefer</t>
  </si>
  <si>
    <t>Id1896</t>
  </si>
  <si>
    <t>Stephanie A</t>
  </si>
  <si>
    <t>Id1001</t>
  </si>
  <si>
    <t>D'Alessandro</t>
  </si>
  <si>
    <t>Id1002</t>
  </si>
  <si>
    <t>Wyss</t>
  </si>
  <si>
    <t>Krista</t>
  </si>
  <si>
    <t>Id1895</t>
  </si>
  <si>
    <t>Id1003</t>
  </si>
  <si>
    <t>Rose</t>
  </si>
  <si>
    <t>Jenessa</t>
  </si>
  <si>
    <t>Id1004</t>
  </si>
  <si>
    <t>Hopper</t>
  </si>
  <si>
    <t>Ryan M.</t>
  </si>
  <si>
    <t>Id1005</t>
  </si>
  <si>
    <t>Finneran</t>
  </si>
  <si>
    <t>Id1894</t>
  </si>
  <si>
    <t>Id1006</t>
  </si>
  <si>
    <t>Basham</t>
  </si>
  <si>
    <t>Amanda N.</t>
  </si>
  <si>
    <t>Id1007</t>
  </si>
  <si>
    <t>Teresa P.</t>
  </si>
  <si>
    <t>Id1893</t>
  </si>
  <si>
    <t>Id1008</t>
  </si>
  <si>
    <t>Oscal</t>
  </si>
  <si>
    <t>Dorian</t>
  </si>
  <si>
    <t>Id1009</t>
  </si>
  <si>
    <t>Craft</t>
  </si>
  <si>
    <t>Id1010</t>
  </si>
  <si>
    <t>Id1892</t>
  </si>
  <si>
    <t>Kebede</t>
  </si>
  <si>
    <t>Aberu</t>
  </si>
  <si>
    <t>Id1011</t>
  </si>
  <si>
    <t>Strobel</t>
  </si>
  <si>
    <t>Id1012</t>
  </si>
  <si>
    <t>Dalton</t>
  </si>
  <si>
    <t>Id1891</t>
  </si>
  <si>
    <t>Anna E</t>
  </si>
  <si>
    <t>Id1013</t>
  </si>
  <si>
    <t>Morimoto</t>
  </si>
  <si>
    <t>Tania K.</t>
  </si>
  <si>
    <t>Id1014</t>
  </si>
  <si>
    <t>Manlove</t>
  </si>
  <si>
    <t>Id1890</t>
  </si>
  <si>
    <t>Id1015</t>
  </si>
  <si>
    <t>Madzik</t>
  </si>
  <si>
    <t>Id1016</t>
  </si>
  <si>
    <t>Hobson</t>
  </si>
  <si>
    <t>Valery L</t>
  </si>
  <si>
    <t>Id1889</t>
  </si>
  <si>
    <t>Id1017</t>
  </si>
  <si>
    <t>Reyes</t>
  </si>
  <si>
    <t>Joanna G.</t>
  </si>
  <si>
    <t>Id1018</t>
  </si>
  <si>
    <t>Tierney</t>
  </si>
  <si>
    <t>Stefanie F.</t>
  </si>
  <si>
    <t>Id1888</t>
  </si>
  <si>
    <t>Id1019</t>
  </si>
  <si>
    <t>Gabris</t>
  </si>
  <si>
    <t>Id1020</t>
  </si>
  <si>
    <t>Howard</t>
  </si>
  <si>
    <t>Liza J.</t>
  </si>
  <si>
    <t>Id1021</t>
  </si>
  <si>
    <t>Kallay</t>
  </si>
  <si>
    <t>Id1887</t>
  </si>
  <si>
    <t>Ian M.</t>
  </si>
  <si>
    <t>Id1022</t>
  </si>
  <si>
    <t>Leguizamo</t>
  </si>
  <si>
    <t>Claudia L.</t>
  </si>
  <si>
    <t>Id1023</t>
  </si>
  <si>
    <t>Id1886</t>
  </si>
  <si>
    <t>Escartin</t>
  </si>
  <si>
    <t>Jessica M</t>
  </si>
  <si>
    <t>Id1024</t>
  </si>
  <si>
    <t>Chorey</t>
  </si>
  <si>
    <t>Billy Jr.</t>
  </si>
  <si>
    <t>Id1025</t>
  </si>
  <si>
    <t>McVay</t>
  </si>
  <si>
    <t>Id1026</t>
  </si>
  <si>
    <t>Id1885</t>
  </si>
  <si>
    <t>Vinson</t>
  </si>
  <si>
    <t>Tim</t>
  </si>
  <si>
    <t>Id1027</t>
  </si>
  <si>
    <t>Astrike-Davis</t>
  </si>
  <si>
    <t>Emma M</t>
  </si>
  <si>
    <t>Id1028</t>
  </si>
  <si>
    <t>Id1884</t>
  </si>
  <si>
    <t>Harder</t>
  </si>
  <si>
    <t>Id1029</t>
  </si>
  <si>
    <t>Bell</t>
  </si>
  <si>
    <t>Id1883</t>
  </si>
  <si>
    <t>Id1030</t>
  </si>
  <si>
    <t>Dawes</t>
  </si>
  <si>
    <t>Bridget K.</t>
  </si>
  <si>
    <t>Id1031</t>
  </si>
  <si>
    <t>Larios</t>
  </si>
  <si>
    <t>Gabriel</t>
  </si>
  <si>
    <t>Id1882</t>
  </si>
  <si>
    <t>Id1032</t>
  </si>
  <si>
    <t>Yaremczuk</t>
  </si>
  <si>
    <t>Natasha</t>
  </si>
  <si>
    <t>Id1033</t>
  </si>
  <si>
    <t>Id1881</t>
  </si>
  <si>
    <t>Abby A.</t>
  </si>
  <si>
    <t>Id1034</t>
  </si>
  <si>
    <t>Eversman</t>
  </si>
  <si>
    <t>Id1880</t>
  </si>
  <si>
    <t>Id1035</t>
  </si>
  <si>
    <t>Hickory</t>
  </si>
  <si>
    <t>Mckendree</t>
  </si>
  <si>
    <t>Id1036</t>
  </si>
  <si>
    <t>Mooney</t>
  </si>
  <si>
    <t>Id1879</t>
  </si>
  <si>
    <t>Id1037</t>
  </si>
  <si>
    <t>Craighead</t>
  </si>
  <si>
    <t>Id1038</t>
  </si>
  <si>
    <t>Id1878</t>
  </si>
  <si>
    <t>Gardner</t>
  </si>
  <si>
    <t>Joshua P</t>
  </si>
  <si>
    <t>Id1039</t>
  </si>
  <si>
    <t>Lohrenz</t>
  </si>
  <si>
    <t>Erin C</t>
  </si>
  <si>
    <t>Id1877</t>
  </si>
  <si>
    <t>Id1040</t>
  </si>
  <si>
    <t>Demise</t>
  </si>
  <si>
    <t>Shure</t>
  </si>
  <si>
    <t>Id1041</t>
  </si>
  <si>
    <t>Id1876</t>
  </si>
  <si>
    <t>Id1042</t>
  </si>
  <si>
    <t>Guitard</t>
  </si>
  <si>
    <t>Brenda</t>
  </si>
  <si>
    <t>Id1043</t>
  </si>
  <si>
    <t>Navas</t>
  </si>
  <si>
    <t>Id1875</t>
  </si>
  <si>
    <t>Joseph M</t>
  </si>
  <si>
    <t>Id1044</t>
  </si>
  <si>
    <t>Ptucha</t>
  </si>
  <si>
    <t>Stephen J.</t>
  </si>
  <si>
    <t>Id1874</t>
  </si>
  <si>
    <t>Id1045</t>
  </si>
  <si>
    <t>Kirouac</t>
  </si>
  <si>
    <t>Kathya</t>
  </si>
  <si>
    <t>Id1046</t>
  </si>
  <si>
    <t>Toews</t>
  </si>
  <si>
    <t>Id1873</t>
  </si>
  <si>
    <t>Wesley</t>
  </si>
  <si>
    <t>Id1047</t>
  </si>
  <si>
    <t>Perry</t>
  </si>
  <si>
    <t>Id1048</t>
  </si>
  <si>
    <t>Id1872</t>
  </si>
  <si>
    <t>Kretz</t>
  </si>
  <si>
    <t>Jamie L.</t>
  </si>
  <si>
    <t>Id1049</t>
  </si>
  <si>
    <t>Hempel</t>
  </si>
  <si>
    <t>Alexandra</t>
  </si>
  <si>
    <t>Id1871</t>
  </si>
  <si>
    <t>Id1050</t>
  </si>
  <si>
    <t>McBroom</t>
  </si>
  <si>
    <t>Id1051</t>
  </si>
  <si>
    <t>Yoo</t>
  </si>
  <si>
    <t>Rebecca J</t>
  </si>
  <si>
    <t>Id1870</t>
  </si>
  <si>
    <t>Id1052</t>
  </si>
  <si>
    <t>Rand</t>
  </si>
  <si>
    <t>Austin T.</t>
  </si>
  <si>
    <t>Id1053</t>
  </si>
  <si>
    <t>Wolfe</t>
  </si>
  <si>
    <t>Id1869</t>
  </si>
  <si>
    <t>Jamie T</t>
  </si>
  <si>
    <t>Id1054</t>
  </si>
  <si>
    <t>Vance</t>
  </si>
  <si>
    <t>Matthew T.</t>
  </si>
  <si>
    <t>Id1868</t>
  </si>
  <si>
    <t>Id1055</t>
  </si>
  <si>
    <t>Burnett</t>
  </si>
  <si>
    <t>Id1056</t>
  </si>
  <si>
    <t>Clason</t>
  </si>
  <si>
    <t>Gillian</t>
  </si>
  <si>
    <t>Id1867</t>
  </si>
  <si>
    <t>Id1057</t>
  </si>
  <si>
    <t>Brenn E.</t>
  </si>
  <si>
    <t>Id1058</t>
  </si>
  <si>
    <t>Pietz</t>
  </si>
  <si>
    <t>Id1866</t>
  </si>
  <si>
    <t>Id1059</t>
  </si>
  <si>
    <t>Tegenkamp</t>
  </si>
  <si>
    <t>Id1060</t>
  </si>
  <si>
    <t>Id1865</t>
  </si>
  <si>
    <t>Dover</t>
  </si>
  <si>
    <t>Thomas A.</t>
  </si>
  <si>
    <t>Id1061</t>
  </si>
  <si>
    <t>Dockemeyer</t>
  </si>
  <si>
    <t>Kevin J</t>
  </si>
  <si>
    <t>Id1864</t>
  </si>
  <si>
    <t>Id1062</t>
  </si>
  <si>
    <t>William H. III</t>
  </si>
  <si>
    <t>Id1063</t>
  </si>
  <si>
    <t>Harel</t>
  </si>
  <si>
    <t>Gal</t>
  </si>
  <si>
    <t>Id1863</t>
  </si>
  <si>
    <t>Id1064</t>
  </si>
  <si>
    <t>Aguila</t>
  </si>
  <si>
    <t>Anton</t>
  </si>
  <si>
    <t>Id1065</t>
  </si>
  <si>
    <t>Vallejo Sarmiento</t>
  </si>
  <si>
    <t>Yazmin</t>
  </si>
  <si>
    <t>Id1862</t>
  </si>
  <si>
    <t>Id1066</t>
  </si>
  <si>
    <t>Beisheim</t>
  </si>
  <si>
    <t>Florian</t>
  </si>
  <si>
    <t>Id1067</t>
  </si>
  <si>
    <t>Lenhoff</t>
  </si>
  <si>
    <t>Id1861</t>
  </si>
  <si>
    <t>Karen L</t>
  </si>
  <si>
    <t>Id1068</t>
  </si>
  <si>
    <t>Wehrwein</t>
  </si>
  <si>
    <t>Id1860</t>
  </si>
  <si>
    <t>Id1069</t>
  </si>
  <si>
    <t>Claire</t>
  </si>
  <si>
    <t>Id1070</t>
  </si>
  <si>
    <t>Markowitz</t>
  </si>
  <si>
    <t>Lynn M.</t>
  </si>
  <si>
    <t>Id1859</t>
  </si>
  <si>
    <t>Id1071</t>
  </si>
  <si>
    <t>Vos</t>
  </si>
  <si>
    <t>Id1072</t>
  </si>
  <si>
    <t>McLeod</t>
  </si>
  <si>
    <t>Id1858</t>
  </si>
  <si>
    <t>Candice</t>
  </si>
  <si>
    <t>Id1073</t>
  </si>
  <si>
    <t>Balcom</t>
  </si>
  <si>
    <t>Jennifer D</t>
  </si>
  <si>
    <t>Id1074</t>
  </si>
  <si>
    <t>Id1857</t>
  </si>
  <si>
    <t>Dirth</t>
  </si>
  <si>
    <t>Id1075</t>
  </si>
  <si>
    <t>Inglish</t>
  </si>
  <si>
    <t>Id1856</t>
  </si>
  <si>
    <t>Id1076</t>
  </si>
  <si>
    <t>Devon R.</t>
  </si>
  <si>
    <t>Id1077</t>
  </si>
  <si>
    <t>Massa-Musiak</t>
  </si>
  <si>
    <t>Id1855</t>
  </si>
  <si>
    <t>Elena</t>
  </si>
  <si>
    <t>Id1078</t>
  </si>
  <si>
    <t>Bailey</t>
  </si>
  <si>
    <t>Id1854</t>
  </si>
  <si>
    <t>Id1079</t>
  </si>
  <si>
    <t>Jacoby</t>
  </si>
  <si>
    <t>Bert</t>
  </si>
  <si>
    <t>Id1080</t>
  </si>
  <si>
    <t>Crimmings</t>
  </si>
  <si>
    <t>John P.</t>
  </si>
  <si>
    <t>Id1081</t>
  </si>
  <si>
    <t>Crane</t>
  </si>
  <si>
    <t>Id1853</t>
  </si>
  <si>
    <t>R1020</t>
  </si>
  <si>
    <t>Id1852</t>
  </si>
  <si>
    <t>Daniel P</t>
  </si>
  <si>
    <t>Id1851</t>
  </si>
  <si>
    <t>Id1082</t>
  </si>
  <si>
    <t>Swartzfager</t>
  </si>
  <si>
    <t>Lisa K.</t>
  </si>
  <si>
    <t>Id1083</t>
  </si>
  <si>
    <t>Clevenger</t>
  </si>
  <si>
    <t>Kristine</t>
  </si>
  <si>
    <t>Id1850</t>
  </si>
  <si>
    <t>Id1084</t>
  </si>
  <si>
    <t>Reichardt</t>
  </si>
  <si>
    <t>Paul A</t>
  </si>
  <si>
    <t>Id1085</t>
  </si>
  <si>
    <t>Morton</t>
  </si>
  <si>
    <t>Id1086</t>
  </si>
  <si>
    <t>Sunstrum</t>
  </si>
  <si>
    <t>Id1849</t>
  </si>
  <si>
    <t>Id1087</t>
  </si>
  <si>
    <t>Frownfelter</t>
  </si>
  <si>
    <t>Milah B</t>
  </si>
  <si>
    <t>Id1088</t>
  </si>
  <si>
    <t>Richter</t>
  </si>
  <si>
    <t>Annette M.</t>
  </si>
  <si>
    <t>Id1848</t>
  </si>
  <si>
    <t>Id1089</t>
  </si>
  <si>
    <t>England</t>
  </si>
  <si>
    <t>Yoko</t>
  </si>
  <si>
    <t>Id1090</t>
  </si>
  <si>
    <t>McLean</t>
  </si>
  <si>
    <t>Laura</t>
  </si>
  <si>
    <t>Id1091</t>
  </si>
  <si>
    <t>Tess A.</t>
  </si>
  <si>
    <t>Id1847</t>
  </si>
  <si>
    <t>Id1092</t>
  </si>
  <si>
    <t>Lane</t>
  </si>
  <si>
    <t>William G.</t>
  </si>
  <si>
    <t>Id1093</t>
  </si>
  <si>
    <t>Vonachen</t>
  </si>
  <si>
    <t>Paige</t>
  </si>
  <si>
    <t>Id1094</t>
  </si>
  <si>
    <t>Id1095</t>
  </si>
  <si>
    <t>Id1846</t>
  </si>
  <si>
    <t>Kidwell</t>
  </si>
  <si>
    <t>Id1096</t>
  </si>
  <si>
    <t>Betancourth</t>
  </si>
  <si>
    <t>Maria</t>
  </si>
  <si>
    <t>Id1097</t>
  </si>
  <si>
    <t>Henstrom</t>
  </si>
  <si>
    <t>Stephanie D</t>
  </si>
  <si>
    <t>Id1098</t>
  </si>
  <si>
    <t>Id1845</t>
  </si>
  <si>
    <t>Pereira</t>
  </si>
  <si>
    <t>Id1099</t>
  </si>
  <si>
    <t>Sara M.</t>
  </si>
  <si>
    <t>Id1100</t>
  </si>
  <si>
    <t>Brown</t>
  </si>
  <si>
    <t>Scott A.</t>
  </si>
  <si>
    <t>Id1101</t>
  </si>
  <si>
    <t>Reasoner</t>
  </si>
  <si>
    <t>Id1844</t>
  </si>
  <si>
    <t>Id1102</t>
  </si>
  <si>
    <t>Id1103</t>
  </si>
  <si>
    <t>Carver</t>
  </si>
  <si>
    <t>Brian A.</t>
  </si>
  <si>
    <t>Id1104</t>
  </si>
  <si>
    <t>Id1843</t>
  </si>
  <si>
    <t>Borror</t>
  </si>
  <si>
    <t>Kaitlin R.</t>
  </si>
  <si>
    <t>Id1105</t>
  </si>
  <si>
    <t>Saad</t>
  </si>
  <si>
    <t>Mohammad</t>
  </si>
  <si>
    <t>Id1842</t>
  </si>
  <si>
    <t>Id1106</t>
  </si>
  <si>
    <t>Id1107</t>
  </si>
  <si>
    <t>Trail</t>
  </si>
  <si>
    <t>Id1841</t>
  </si>
  <si>
    <t>Id1108</t>
  </si>
  <si>
    <t>Benton</t>
  </si>
  <si>
    <t>Kelli M</t>
  </si>
  <si>
    <t>Id1109</t>
  </si>
  <si>
    <t>Bauman</t>
  </si>
  <si>
    <t>Sheridan H</t>
  </si>
  <si>
    <t>Id1840</t>
  </si>
  <si>
    <t>Id1110</t>
  </si>
  <si>
    <t>Bakula</t>
  </si>
  <si>
    <t>Sarah M.</t>
  </si>
  <si>
    <t>Id1111</t>
  </si>
  <si>
    <t>Id1839</t>
  </si>
  <si>
    <t>Id1112</t>
  </si>
  <si>
    <t>Davis</t>
  </si>
  <si>
    <t>Laura J</t>
  </si>
  <si>
    <t>Id1113</t>
  </si>
  <si>
    <t>Weiler</t>
  </si>
  <si>
    <t>Id1838</t>
  </si>
  <si>
    <t>Id1114</t>
  </si>
  <si>
    <t>Schaaf</t>
  </si>
  <si>
    <t>Gisele</t>
  </si>
  <si>
    <t>Id1115</t>
  </si>
  <si>
    <t>Sack</t>
  </si>
  <si>
    <t>Myra L</t>
  </si>
  <si>
    <t>Id1837</t>
  </si>
  <si>
    <t>Id1116</t>
  </si>
  <si>
    <t>Chenard</t>
  </si>
  <si>
    <t>Melissa M.</t>
  </si>
  <si>
    <t>?</t>
  </si>
  <si>
    <t>Id1117</t>
  </si>
  <si>
    <t>Williamson</t>
  </si>
  <si>
    <t>Id1836</t>
  </si>
  <si>
    <t>Eleanor F.</t>
  </si>
  <si>
    <t>Id1118</t>
  </si>
  <si>
    <t>Dollas</t>
  </si>
  <si>
    <t>Id1835</t>
  </si>
  <si>
    <t>Id1119</t>
  </si>
  <si>
    <t>Sprague</t>
  </si>
  <si>
    <t>R1026</t>
  </si>
  <si>
    <t>Kenneth</t>
  </si>
  <si>
    <t>Id1834</t>
  </si>
  <si>
    <t>Id1120</t>
  </si>
  <si>
    <t>Michell</t>
  </si>
  <si>
    <t>Robert G.</t>
  </si>
  <si>
    <t>Id1121</t>
  </si>
  <si>
    <t>Datwyler</t>
  </si>
  <si>
    <t>Id1833</t>
  </si>
  <si>
    <t>Thomas C.</t>
  </si>
  <si>
    <t>Id1122</t>
  </si>
  <si>
    <t>Mead</t>
  </si>
  <si>
    <t>Matthew J.</t>
  </si>
  <si>
    <t>Id1123</t>
  </si>
  <si>
    <t>Id1832</t>
  </si>
  <si>
    <t>Kennedy</t>
  </si>
  <si>
    <t>Mallory D.</t>
  </si>
  <si>
    <t>Id1124</t>
  </si>
  <si>
    <t>Czech</t>
  </si>
  <si>
    <t>Id1831</t>
  </si>
  <si>
    <t>Id1125</t>
  </si>
  <si>
    <t>O'Brien</t>
  </si>
  <si>
    <t>Jamie</t>
  </si>
  <si>
    <t>Id1830</t>
  </si>
  <si>
    <t>Id1126</t>
  </si>
  <si>
    <t>Bachman</t>
  </si>
  <si>
    <t>Ariell</t>
  </si>
  <si>
    <t>Id1127</t>
  </si>
  <si>
    <t>Id1829</t>
  </si>
  <si>
    <t>Bednar</t>
  </si>
  <si>
    <t>Id1128</t>
  </si>
  <si>
    <t>Daye</t>
  </si>
  <si>
    <t>Id1828</t>
  </si>
  <si>
    <t>Id1129</t>
  </si>
  <si>
    <t>Clarke</t>
  </si>
  <si>
    <t>Thomas B.</t>
  </si>
  <si>
    <t>Id1827</t>
  </si>
  <si>
    <t>Id1130</t>
  </si>
  <si>
    <t>Koren</t>
  </si>
  <si>
    <t>Id1826</t>
  </si>
  <si>
    <t>Id1131</t>
  </si>
  <si>
    <t>Kuramoto</t>
  </si>
  <si>
    <t>Rachelle L</t>
  </si>
  <si>
    <t>Id1132</t>
  </si>
  <si>
    <t>Id1825</t>
  </si>
  <si>
    <t>Lynn</t>
  </si>
  <si>
    <t>Colleen</t>
  </si>
  <si>
    <t>Id1133</t>
  </si>
  <si>
    <t>Dierksen</t>
  </si>
  <si>
    <t>Id1824</t>
  </si>
  <si>
    <t>Gregory A</t>
  </si>
  <si>
    <t>Id1134</t>
  </si>
  <si>
    <t>Zoeller</t>
  </si>
  <si>
    <t>Id1135</t>
  </si>
  <si>
    <t>Id1823</t>
  </si>
  <si>
    <t>Flesch</t>
  </si>
  <si>
    <t>Id1136</t>
  </si>
  <si>
    <t>Maltby</t>
  </si>
  <si>
    <t>Id1822</t>
  </si>
  <si>
    <t>Sara</t>
  </si>
  <si>
    <t>Id1137</t>
  </si>
  <si>
    <t>Custance</t>
  </si>
  <si>
    <t>Lucie J.</t>
  </si>
  <si>
    <t>Id1821</t>
  </si>
  <si>
    <t>Id1138</t>
  </si>
  <si>
    <t>Choi</t>
  </si>
  <si>
    <t>Elizabeth S.</t>
  </si>
  <si>
    <t>Id1139</t>
  </si>
  <si>
    <t>Barnett</t>
  </si>
  <si>
    <t>Carma S</t>
  </si>
  <si>
    <t>Id1140</t>
  </si>
  <si>
    <t>Proulx</t>
  </si>
  <si>
    <t>Id1820</t>
  </si>
  <si>
    <t>Id1141</t>
  </si>
  <si>
    <t>Id1142</t>
  </si>
  <si>
    <t>Lundine</t>
  </si>
  <si>
    <t>Id1819</t>
  </si>
  <si>
    <t>Id1143</t>
  </si>
  <si>
    <t>Paullin</t>
  </si>
  <si>
    <t>Id1818</t>
  </si>
  <si>
    <t>Id1144</t>
  </si>
  <si>
    <t>Delucia</t>
  </si>
  <si>
    <t>Francesca</t>
  </si>
  <si>
    <t>Id1145</t>
  </si>
  <si>
    <t>Valentine</t>
  </si>
  <si>
    <t>Id1817</t>
  </si>
  <si>
    <t>Id1146</t>
  </si>
  <si>
    <t>Mohara</t>
  </si>
  <si>
    <t>Toshiyuki</t>
  </si>
  <si>
    <t>Id1147</t>
  </si>
  <si>
    <t>Id1816</t>
  </si>
  <si>
    <t>Fairbrother</t>
  </si>
  <si>
    <t>Tom L.</t>
  </si>
  <si>
    <t>Id1148</t>
  </si>
  <si>
    <t>Fagan</t>
  </si>
  <si>
    <t>Id1149</t>
  </si>
  <si>
    <t>Toth</t>
  </si>
  <si>
    <t>Id1815</t>
  </si>
  <si>
    <t>Id1150</t>
  </si>
  <si>
    <t>Guinn</t>
  </si>
  <si>
    <t>Julee</t>
  </si>
  <si>
    <t>Id1151</t>
  </si>
  <si>
    <t>Christopher M.</t>
  </si>
  <si>
    <t>Id1814</t>
  </si>
  <si>
    <t>Id1152</t>
  </si>
  <si>
    <t>Diviney</t>
  </si>
  <si>
    <t>Ciaran</t>
  </si>
  <si>
    <t>Id1153</t>
  </si>
  <si>
    <t>Marlatt</t>
  </si>
  <si>
    <t>Id1813</t>
  </si>
  <si>
    <t>Id1154</t>
  </si>
  <si>
    <t>Ohler</t>
  </si>
  <si>
    <t>Makie</t>
  </si>
  <si>
    <t>Id1155</t>
  </si>
  <si>
    <t>Mossler</t>
  </si>
  <si>
    <t>Emily E</t>
  </si>
  <si>
    <t>Id1812</t>
  </si>
  <si>
    <t>Id1156</t>
  </si>
  <si>
    <t>Segall</t>
  </si>
  <si>
    <t>Cary</t>
  </si>
  <si>
    <t>Id1157</t>
  </si>
  <si>
    <t>Id1811</t>
  </si>
  <si>
    <t>Sprieser</t>
  </si>
  <si>
    <t>Steven</t>
  </si>
  <si>
    <t>Id1158</t>
  </si>
  <si>
    <t>Blanco</t>
  </si>
  <si>
    <t>Id1810</t>
  </si>
  <si>
    <t>Jose Antonio Sr.</t>
  </si>
  <si>
    <t>Id1159</t>
  </si>
  <si>
    <t>Sheptock</t>
  </si>
  <si>
    <t>Tatiana</t>
  </si>
  <si>
    <t>Id1809</t>
  </si>
  <si>
    <t>Id1160</t>
  </si>
  <si>
    <t>Chruniak</t>
  </si>
  <si>
    <t>Dan T.</t>
  </si>
  <si>
    <t>Id1808</t>
  </si>
  <si>
    <t>Id1161</t>
  </si>
  <si>
    <t>Miller</t>
  </si>
  <si>
    <t>Liisa A.</t>
  </si>
  <si>
    <t>Id1162</t>
  </si>
  <si>
    <t>Id1807</t>
  </si>
  <si>
    <t>Theis</t>
  </si>
  <si>
    <t>Kathryn E.</t>
  </si>
  <si>
    <t>Id1163</t>
  </si>
  <si>
    <t>Sadler</t>
  </si>
  <si>
    <t>Id1806</t>
  </si>
  <si>
    <t>Maxwell</t>
  </si>
  <si>
    <t>Id1164</t>
  </si>
  <si>
    <t>Auger</t>
  </si>
  <si>
    <t>Id1805</t>
  </si>
  <si>
    <t>Pascale</t>
  </si>
  <si>
    <t>Id1165</t>
  </si>
  <si>
    <t>Steadman</t>
  </si>
  <si>
    <t>Id1804</t>
  </si>
  <si>
    <t>Becca</t>
  </si>
  <si>
    <t>Id1803</t>
  </si>
  <si>
    <t>Id1802</t>
  </si>
  <si>
    <t>Id1166</t>
  </si>
  <si>
    <t>McCarron</t>
  </si>
  <si>
    <t>Id1167</t>
  </si>
  <si>
    <t>Id1801</t>
  </si>
  <si>
    <t>Roecker</t>
  </si>
  <si>
    <t>Id1168</t>
  </si>
  <si>
    <t>Giumarra</t>
  </si>
  <si>
    <t>Id1800</t>
  </si>
  <si>
    <t>Nicole R.</t>
  </si>
  <si>
    <t>Id1169</t>
  </si>
  <si>
    <t>Id1799</t>
  </si>
  <si>
    <t>David W</t>
  </si>
  <si>
    <t>Id1798</t>
  </si>
  <si>
    <t>Id1170</t>
  </si>
  <si>
    <t>Bower</t>
  </si>
  <si>
    <t>Grant</t>
  </si>
  <si>
    <t>Id1797</t>
  </si>
  <si>
    <t>Id1171</t>
  </si>
  <si>
    <t>Id1796</t>
  </si>
  <si>
    <t>Sophia</t>
  </si>
  <si>
    <t>Id1172</t>
  </si>
  <si>
    <t>Capriccioso</t>
  </si>
  <si>
    <t>Christina</t>
  </si>
  <si>
    <t>Id1795</t>
  </si>
  <si>
    <t>Id1173</t>
  </si>
  <si>
    <t>Starbuck</t>
  </si>
  <si>
    <t>Id1794</t>
  </si>
  <si>
    <t>Sam L.</t>
  </si>
  <si>
    <t>Id1174</t>
  </si>
  <si>
    <t>McMahon</t>
  </si>
  <si>
    <t>Haley R.</t>
  </si>
  <si>
    <t>Id1793</t>
  </si>
  <si>
    <t>Id1175</t>
  </si>
  <si>
    <t>Rissell</t>
  </si>
  <si>
    <t>Ethan</t>
  </si>
  <si>
    <t>Id1176</t>
  </si>
  <si>
    <t>Kromroy</t>
  </si>
  <si>
    <t>Id1792</t>
  </si>
  <si>
    <t>Andrew W</t>
  </si>
  <si>
    <t>Id1177</t>
  </si>
  <si>
    <t>Manfredi</t>
  </si>
  <si>
    <t>Mark G</t>
  </si>
  <si>
    <t>Id1791</t>
  </si>
  <si>
    <t>Id1178</t>
  </si>
  <si>
    <t>Manwaring</t>
  </si>
  <si>
    <t>Kasey E.</t>
  </si>
  <si>
    <t>Id1790</t>
  </si>
  <si>
    <t>Id1179</t>
  </si>
  <si>
    <t>Tomaszewski</t>
  </si>
  <si>
    <t>Id1789</t>
  </si>
  <si>
    <t>Id1180</t>
  </si>
  <si>
    <t>Gannon</t>
  </si>
  <si>
    <t>Id1788</t>
  </si>
  <si>
    <t>Id1181</t>
  </si>
  <si>
    <t>Frye</t>
  </si>
  <si>
    <t>Id1182</t>
  </si>
  <si>
    <t>Id1787</t>
  </si>
  <si>
    <t>Kristin M</t>
  </si>
  <si>
    <t>Id1786</t>
  </si>
  <si>
    <t>Id1183</t>
  </si>
  <si>
    <t>Currier</t>
  </si>
  <si>
    <t>Mary-Lynn B.</t>
  </si>
  <si>
    <t>Id1785</t>
  </si>
  <si>
    <t>Id1184</t>
  </si>
  <si>
    <t>Whittendale</t>
  </si>
  <si>
    <t>Jamie A</t>
  </si>
  <si>
    <t>Id1784</t>
  </si>
  <si>
    <t>Id1185</t>
  </si>
  <si>
    <t>Rixe</t>
  </si>
  <si>
    <t>Jeffrey A.</t>
  </si>
  <si>
    <t>Id1783</t>
  </si>
  <si>
    <t>Id1186</t>
  </si>
  <si>
    <t>Ballon-Landa</t>
  </si>
  <si>
    <t>Id1187</t>
  </si>
  <si>
    <t>Id1782</t>
  </si>
  <si>
    <t>Zaferos</t>
  </si>
  <si>
    <t>Audrey</t>
  </si>
  <si>
    <t>Id1781</t>
  </si>
  <si>
    <t>Id1188</t>
  </si>
  <si>
    <t>Jacob</t>
  </si>
  <si>
    <t>Id1189</t>
  </si>
  <si>
    <t>Id1780</t>
  </si>
  <si>
    <t>Evans Marke</t>
  </si>
  <si>
    <t>Daniel S</t>
  </si>
  <si>
    <t>Id1190</t>
  </si>
  <si>
    <t>Samland</t>
  </si>
  <si>
    <t>Id1779</t>
  </si>
  <si>
    <t>Marc C.</t>
  </si>
  <si>
    <t>Id1191</t>
  </si>
  <si>
    <t>Shapiro</t>
  </si>
  <si>
    <t>Id1778</t>
  </si>
  <si>
    <t>Mark S</t>
  </si>
  <si>
    <t>Id1192</t>
  </si>
  <si>
    <t>Snitzer</t>
  </si>
  <si>
    <t>Id1777</t>
  </si>
  <si>
    <t>Id1193</t>
  </si>
  <si>
    <t>Herra Arroyo</t>
  </si>
  <si>
    <t>Id1776</t>
  </si>
  <si>
    <t>Id1194</t>
  </si>
  <si>
    <t>Watters</t>
  </si>
  <si>
    <t>Id1195</t>
  </si>
  <si>
    <t>Steele-Belkin</t>
  </si>
  <si>
    <t>Dara</t>
  </si>
  <si>
    <t>Id1775</t>
  </si>
  <si>
    <t>Id1196</t>
  </si>
  <si>
    <t>Christensen</t>
  </si>
  <si>
    <t>Rachelle R</t>
  </si>
  <si>
    <t>Id1197</t>
  </si>
  <si>
    <t>Hodge</t>
  </si>
  <si>
    <t>Id1774</t>
  </si>
  <si>
    <t>Brenda J</t>
  </si>
  <si>
    <t>Id1198</t>
  </si>
  <si>
    <t>Rusterholz</t>
  </si>
  <si>
    <t>Id1199</t>
  </si>
  <si>
    <t>Lafrance</t>
  </si>
  <si>
    <t>Sylvain</t>
  </si>
  <si>
    <t>Id1773</t>
  </si>
  <si>
    <t>Id1200</t>
  </si>
  <si>
    <t>Hallis</t>
  </si>
  <si>
    <t>Id1772</t>
  </si>
  <si>
    <t>Id1201</t>
  </si>
  <si>
    <t>Id1202</t>
  </si>
  <si>
    <t>Id1771</t>
  </si>
  <si>
    <t>Salowitz</t>
  </si>
  <si>
    <t>Kaitlin M</t>
  </si>
  <si>
    <t>Id1203</t>
  </si>
  <si>
    <t>Blake</t>
  </si>
  <si>
    <t>Id1770</t>
  </si>
  <si>
    <t>William R.</t>
  </si>
  <si>
    <t>Id1204</t>
  </si>
  <si>
    <t>Langerak</t>
  </si>
  <si>
    <t>Id1769</t>
  </si>
  <si>
    <t>Id1205</t>
  </si>
  <si>
    <t>Bonilla</t>
  </si>
  <si>
    <t>Veronica</t>
  </si>
  <si>
    <t>Id1768</t>
  </si>
  <si>
    <t>Id1206</t>
  </si>
  <si>
    <t>Ciabattoni</t>
  </si>
  <si>
    <t>Warren</t>
  </si>
  <si>
    <t>Id1207</t>
  </si>
  <si>
    <t>Id1767</t>
  </si>
  <si>
    <t>Escanero Palmer</t>
  </si>
  <si>
    <t>Daniela</t>
  </si>
  <si>
    <t>Id1208</t>
  </si>
  <si>
    <t>Id1766</t>
  </si>
  <si>
    <t>Deirdre A</t>
  </si>
  <si>
    <t>Id1209</t>
  </si>
  <si>
    <t>Osmark</t>
  </si>
  <si>
    <t>Mathias</t>
  </si>
  <si>
    <t>Id1765</t>
  </si>
  <si>
    <t>Id1210</t>
  </si>
  <si>
    <t>Id1211</t>
  </si>
  <si>
    <t>Warwick</t>
  </si>
  <si>
    <t>Id1764</t>
  </si>
  <si>
    <t>Id1212</t>
  </si>
  <si>
    <t>Magnuson</t>
  </si>
  <si>
    <t>Id1763</t>
  </si>
  <si>
    <t>Id1213</t>
  </si>
  <si>
    <t>Marsh</t>
  </si>
  <si>
    <t>Id1214</t>
  </si>
  <si>
    <t>Id1762</t>
  </si>
  <si>
    <t>Kari</t>
  </si>
  <si>
    <t>Id1215</t>
  </si>
  <si>
    <t>Standiford</t>
  </si>
  <si>
    <t>Id1761</t>
  </si>
  <si>
    <t>Alex F</t>
  </si>
  <si>
    <t>Id1216</t>
  </si>
  <si>
    <t>Sherwin</t>
  </si>
  <si>
    <t>Id1760</t>
  </si>
  <si>
    <t>Alice</t>
  </si>
  <si>
    <t>Id1217</t>
  </si>
  <si>
    <t>Id1759</t>
  </si>
  <si>
    <t>Id1218</t>
  </si>
  <si>
    <t>Blekeli</t>
  </si>
  <si>
    <t>Id1758</t>
  </si>
  <si>
    <t>Johannes Fiskerstand</t>
  </si>
  <si>
    <t>Id1757</t>
  </si>
  <si>
    <t>Id1219</t>
  </si>
  <si>
    <t>Vangampleare</t>
  </si>
  <si>
    <t>Id1756</t>
  </si>
  <si>
    <t>Id1220</t>
  </si>
  <si>
    <t>Hiatt</t>
  </si>
  <si>
    <t>Jon M</t>
  </si>
  <si>
    <t>Id1755</t>
  </si>
  <si>
    <t>Id1221</t>
  </si>
  <si>
    <t>Tadesse</t>
  </si>
  <si>
    <t>Fasil</t>
  </si>
  <si>
    <t>Id1754</t>
  </si>
  <si>
    <t>Id1222</t>
  </si>
  <si>
    <t>Jaswell</t>
  </si>
  <si>
    <t>Megan C.</t>
  </si>
  <si>
    <t>Id1223</t>
  </si>
  <si>
    <t>Phillips-Cook</t>
  </si>
  <si>
    <t>Id1753</t>
  </si>
  <si>
    <t>Lisa J.</t>
  </si>
  <si>
    <t>Id1224</t>
  </si>
  <si>
    <t>Id1752</t>
  </si>
  <si>
    <t>Doron P</t>
  </si>
  <si>
    <t>Id1225</t>
  </si>
  <si>
    <t>Katharina</t>
  </si>
  <si>
    <t>Id1226</t>
  </si>
  <si>
    <t>Desruisseaux</t>
  </si>
  <si>
    <t>Id1751</t>
  </si>
  <si>
    <t>Carl</t>
  </si>
  <si>
    <t>Id1227</t>
  </si>
  <si>
    <t>Ripp</t>
  </si>
  <si>
    <t>Kelsey J.</t>
  </si>
  <si>
    <t>Id1228</t>
  </si>
  <si>
    <t>Harris</t>
  </si>
  <si>
    <t>Id1750</t>
  </si>
  <si>
    <t>Stephen A.</t>
  </si>
  <si>
    <t>Id1229</t>
  </si>
  <si>
    <t>Shafer</t>
  </si>
  <si>
    <t>Id1230</t>
  </si>
  <si>
    <t>Hemesath</t>
  </si>
  <si>
    <t>Id1749</t>
  </si>
  <si>
    <t>Katie C</t>
  </si>
  <si>
    <t>Id1231</t>
  </si>
  <si>
    <t>Vinci</t>
  </si>
  <si>
    <t>Melissa K</t>
  </si>
  <si>
    <t>Id1232</t>
  </si>
  <si>
    <t>Diamond-Husmann</t>
  </si>
  <si>
    <t>Id1748</t>
  </si>
  <si>
    <t>Kara H</t>
  </si>
  <si>
    <t>Id1233</t>
  </si>
  <si>
    <t>Soto</t>
  </si>
  <si>
    <t>Id1747</t>
  </si>
  <si>
    <t>Juan Carlos</t>
  </si>
  <si>
    <t>Id1234</t>
  </si>
  <si>
    <t>John III</t>
  </si>
  <si>
    <t>Id1746</t>
  </si>
  <si>
    <t>Id1235</t>
  </si>
  <si>
    <t>Sarah M</t>
  </si>
  <si>
    <t>Id1236</t>
  </si>
  <si>
    <t>Id1745</t>
  </si>
  <si>
    <t>Dacko</t>
  </si>
  <si>
    <t>Kristin C</t>
  </si>
  <si>
    <t>Id1237</t>
  </si>
  <si>
    <t>Glassey</t>
  </si>
  <si>
    <t>Id1744</t>
  </si>
  <si>
    <t>Casey M.</t>
  </si>
  <si>
    <t>Id1238</t>
  </si>
  <si>
    <t>Frechette</t>
  </si>
  <si>
    <t>Id1743</t>
  </si>
  <si>
    <t>Id1239</t>
  </si>
  <si>
    <t>Benitez</t>
  </si>
  <si>
    <t>Braulio</t>
  </si>
  <si>
    <t>Id1742</t>
  </si>
  <si>
    <t>Id1240</t>
  </si>
  <si>
    <t>Gauthier</t>
  </si>
  <si>
    <t>Anne-Marie</t>
  </si>
  <si>
    <t>Id1241</t>
  </si>
  <si>
    <t>Fazioli</t>
  </si>
  <si>
    <t>Id1741</t>
  </si>
  <si>
    <t>Samuel K.</t>
  </si>
  <si>
    <t>Id1242</t>
  </si>
  <si>
    <t>Id1740</t>
  </si>
  <si>
    <t>Yuki</t>
  </si>
  <si>
    <t>Id1243</t>
  </si>
  <si>
    <t>Id1739</t>
  </si>
  <si>
    <t>Dannenhauer</t>
  </si>
  <si>
    <t>Rafer</t>
  </si>
  <si>
    <t>R1022</t>
  </si>
  <si>
    <t>Id1244</t>
  </si>
  <si>
    <t>McComb</t>
  </si>
  <si>
    <t>Id1738</t>
  </si>
  <si>
    <t>Id1245</t>
  </si>
  <si>
    <t>Id1737</t>
  </si>
  <si>
    <t>Erynn J.</t>
  </si>
  <si>
    <t>Id1246</t>
  </si>
  <si>
    <t>Sambasivam</t>
  </si>
  <si>
    <t>Mahesh</t>
  </si>
  <si>
    <t>Id1736</t>
  </si>
  <si>
    <t>Id1247</t>
  </si>
  <si>
    <t>Maina</t>
  </si>
  <si>
    <t>Stanley</t>
  </si>
  <si>
    <t>Id1735</t>
  </si>
  <si>
    <t>Id1248</t>
  </si>
  <si>
    <t>Keshian</t>
  </si>
  <si>
    <t>Id1734</t>
  </si>
  <si>
    <t>Id1249</t>
  </si>
  <si>
    <t>Maas</t>
  </si>
  <si>
    <t>Id1250</t>
  </si>
  <si>
    <t>Id1733</t>
  </si>
  <si>
    <t>Sinasac</t>
  </si>
  <si>
    <t>Id1732</t>
  </si>
  <si>
    <t>Rachel M</t>
  </si>
  <si>
    <t>Id1251</t>
  </si>
  <si>
    <t>Van De Kamp</t>
  </si>
  <si>
    <t>Fritz</t>
  </si>
  <si>
    <t>Id1731</t>
  </si>
  <si>
    <t>Id1252</t>
  </si>
  <si>
    <t>Ruffo</t>
  </si>
  <si>
    <t>Id1253</t>
  </si>
  <si>
    <t>Long</t>
  </si>
  <si>
    <t>Id1730</t>
  </si>
  <si>
    <t>Claire M</t>
  </si>
  <si>
    <t>Id1254</t>
  </si>
  <si>
    <t>Rohde</t>
  </si>
  <si>
    <t>Id1729</t>
  </si>
  <si>
    <t>Id1255</t>
  </si>
  <si>
    <t>Bonzi</t>
  </si>
  <si>
    <t>Maria S.</t>
  </si>
  <si>
    <t>Id1256</t>
  </si>
  <si>
    <t>Moore</t>
  </si>
  <si>
    <t>Katherine E</t>
  </si>
  <si>
    <t>Id1257</t>
  </si>
  <si>
    <t>McGrane</t>
  </si>
  <si>
    <t>Id1728</t>
  </si>
  <si>
    <t>Id1258</t>
  </si>
  <si>
    <t>Stepnowski</t>
  </si>
  <si>
    <t>Roxanne</t>
  </si>
  <si>
    <t>Id1259</t>
  </si>
  <si>
    <t>Id1727</t>
  </si>
  <si>
    <t>Merkle</t>
  </si>
  <si>
    <t>Israel</t>
  </si>
  <si>
    <t>Id1260</t>
  </si>
  <si>
    <t>Id1726</t>
  </si>
  <si>
    <t>Samalya</t>
  </si>
  <si>
    <t>Id1261</t>
  </si>
  <si>
    <t>Vigneron</t>
  </si>
  <si>
    <t>Id1725</t>
  </si>
  <si>
    <t>Id1262</t>
  </si>
  <si>
    <t>Id1724</t>
  </si>
  <si>
    <t>Mucci</t>
  </si>
  <si>
    <t>Alicia</t>
  </si>
  <si>
    <t>Id1263</t>
  </si>
  <si>
    <t>MacDonald</t>
  </si>
  <si>
    <t>Id1723</t>
  </si>
  <si>
    <t>Sarah K.</t>
  </si>
  <si>
    <t>Id1264</t>
  </si>
  <si>
    <t>Deng</t>
  </si>
  <si>
    <t>Guomin</t>
  </si>
  <si>
    <t>Id1722</t>
  </si>
  <si>
    <t>Id1265</t>
  </si>
  <si>
    <t>De Mata</t>
  </si>
  <si>
    <t>Javier</t>
  </si>
  <si>
    <t>Id1721</t>
  </si>
  <si>
    <t>Id1720</t>
  </si>
  <si>
    <t>Id1266</t>
  </si>
  <si>
    <t>Strickland</t>
  </si>
  <si>
    <t>Id1267</t>
  </si>
  <si>
    <t>Cheney</t>
  </si>
  <si>
    <t>Id1719</t>
  </si>
  <si>
    <t>Thomas S</t>
  </si>
  <si>
    <t>Id1268</t>
  </si>
  <si>
    <t>Godoy</t>
  </si>
  <si>
    <t>Martha Patricia</t>
  </si>
  <si>
    <t>Id1718</t>
  </si>
  <si>
    <t>Id1269</t>
  </si>
  <si>
    <t>Rider</t>
  </si>
  <si>
    <t>Id1270</t>
  </si>
  <si>
    <t>Jennifer V.</t>
  </si>
  <si>
    <t>Id1717</t>
  </si>
  <si>
    <t>Id1271</t>
  </si>
  <si>
    <t>Michael W.</t>
  </si>
  <si>
    <t>Id1272</t>
  </si>
  <si>
    <t>Walters</t>
  </si>
  <si>
    <t>Id1716</t>
  </si>
  <si>
    <t>Eddie C</t>
  </si>
  <si>
    <t>Id1273</t>
  </si>
  <si>
    <t>Leboeuf</t>
  </si>
  <si>
    <t>Maxime M</t>
  </si>
  <si>
    <t>Id1274</t>
  </si>
  <si>
    <t>Scheibel</t>
  </si>
  <si>
    <t>Mark D</t>
  </si>
  <si>
    <t>Id1275</t>
  </si>
  <si>
    <t>Ritter</t>
  </si>
  <si>
    <t>Id1276</t>
  </si>
  <si>
    <t>Justin M</t>
  </si>
  <si>
    <t>Id1277</t>
  </si>
  <si>
    <t>Pretot</t>
  </si>
  <si>
    <t>Svetlana V.</t>
  </si>
  <si>
    <t>Id1715</t>
  </si>
  <si>
    <t>Id1278</t>
  </si>
  <si>
    <t>Willsey</t>
  </si>
  <si>
    <t>Jana L</t>
  </si>
  <si>
    <t>Id1714</t>
  </si>
  <si>
    <t>Id1279</t>
  </si>
  <si>
    <t>Id1713</t>
  </si>
  <si>
    <t>Roach</t>
  </si>
  <si>
    <t>Id1280</t>
  </si>
  <si>
    <t>Id1712</t>
  </si>
  <si>
    <t>Jacobsen</t>
  </si>
  <si>
    <t>Torrey C III</t>
  </si>
  <si>
    <t>Id1281</t>
  </si>
  <si>
    <t>O'Hora</t>
  </si>
  <si>
    <t>Id1711</t>
  </si>
  <si>
    <t>Id1282</t>
  </si>
  <si>
    <t>Amato</t>
  </si>
  <si>
    <t>Jennifer D.</t>
  </si>
  <si>
    <t>Id1283</t>
  </si>
  <si>
    <t>Id1710</t>
  </si>
  <si>
    <t>Id1284</t>
  </si>
  <si>
    <t>Wegner</t>
  </si>
  <si>
    <t>Lana J</t>
  </si>
  <si>
    <t>Id1709</t>
  </si>
  <si>
    <t>Id1285</t>
  </si>
  <si>
    <t>Bokun</t>
  </si>
  <si>
    <t>Rebecca E</t>
  </si>
  <si>
    <t>Id1286</t>
  </si>
  <si>
    <t>Ainsley</t>
  </si>
  <si>
    <t>Id1708</t>
  </si>
  <si>
    <t>Katie M.</t>
  </si>
  <si>
    <t>Id1287</t>
  </si>
  <si>
    <t>Elizabeth A.</t>
  </si>
  <si>
    <t>Id1288</t>
  </si>
  <si>
    <t>Overpeck</t>
  </si>
  <si>
    <t>Id1707</t>
  </si>
  <si>
    <t>Id1289</t>
  </si>
  <si>
    <t>Levine</t>
  </si>
  <si>
    <t>Annie J.</t>
  </si>
  <si>
    <t>Id1290</t>
  </si>
  <si>
    <t>Id1706</t>
  </si>
  <si>
    <t>Jean</t>
  </si>
  <si>
    <t>Annie</t>
  </si>
  <si>
    <t>Id1291</t>
  </si>
  <si>
    <t>Wild</t>
  </si>
  <si>
    <t>Id1292</t>
  </si>
  <si>
    <t>Id1705</t>
  </si>
  <si>
    <t>Tabor</t>
  </si>
  <si>
    <t>Id1293</t>
  </si>
  <si>
    <t>Steffen</t>
  </si>
  <si>
    <t>Amy T</t>
  </si>
  <si>
    <t>Id1704</t>
  </si>
  <si>
    <t>Id1294</t>
  </si>
  <si>
    <t>Tadich</t>
  </si>
  <si>
    <t>Katarina D</t>
  </si>
  <si>
    <t>Id1295</t>
  </si>
  <si>
    <t>Christenson</t>
  </si>
  <si>
    <t>Id1703</t>
  </si>
  <si>
    <t>B.j.</t>
  </si>
  <si>
    <t>Id1296</t>
  </si>
  <si>
    <t>Shell</t>
  </si>
  <si>
    <t>Alison</t>
  </si>
  <si>
    <t>Id1297</t>
  </si>
  <si>
    <t>Rao</t>
  </si>
  <si>
    <t>Id1702</t>
  </si>
  <si>
    <t>Neil K.</t>
  </si>
  <si>
    <t>Id1298</t>
  </si>
  <si>
    <t>Id1701</t>
  </si>
  <si>
    <t>Anne Hunter</t>
  </si>
  <si>
    <t>Id1299</t>
  </si>
  <si>
    <t>Sandra</t>
  </si>
  <si>
    <t>Id1700</t>
  </si>
  <si>
    <t>Id1300</t>
  </si>
  <si>
    <t>Gomez</t>
  </si>
  <si>
    <t>Id1301</t>
  </si>
  <si>
    <t>Hemingway</t>
  </si>
  <si>
    <t>Id1699</t>
  </si>
  <si>
    <t>Rodney</t>
  </si>
  <si>
    <t>Id1302</t>
  </si>
  <si>
    <t>Pett</t>
  </si>
  <si>
    <t>Carl R</t>
  </si>
  <si>
    <t>Id1303</t>
  </si>
  <si>
    <t>Meingast</t>
  </si>
  <si>
    <t>Maximilian</t>
  </si>
  <si>
    <t>Id1698</t>
  </si>
  <si>
    <t>Id1304</t>
  </si>
  <si>
    <t>McCarthy</t>
  </si>
  <si>
    <t>Id1305</t>
  </si>
  <si>
    <t>Boyle</t>
  </si>
  <si>
    <t>Id1306</t>
  </si>
  <si>
    <t>Gundersen</t>
  </si>
  <si>
    <t>Id1697</t>
  </si>
  <si>
    <t>Eirik</t>
  </si>
  <si>
    <t>Id1307</t>
  </si>
  <si>
    <t>Wolswinkel</t>
  </si>
  <si>
    <t>Rik</t>
  </si>
  <si>
    <t>Id1696</t>
  </si>
  <si>
    <t>Id1308</t>
  </si>
  <si>
    <t>Bomberger</t>
  </si>
  <si>
    <t>Id1309</t>
  </si>
  <si>
    <t>Daniel G</t>
  </si>
  <si>
    <t>Id1310</t>
  </si>
  <si>
    <t>Id1695</t>
  </si>
  <si>
    <t>Lapierre</t>
  </si>
  <si>
    <t>Yannick</t>
  </si>
  <si>
    <t>Id1311</t>
  </si>
  <si>
    <t>Beaty</t>
  </si>
  <si>
    <t>Sean R</t>
  </si>
  <si>
    <t>Id1312</t>
  </si>
  <si>
    <t>Hammer</t>
  </si>
  <si>
    <t>Id1694</t>
  </si>
  <si>
    <t>Id1313</t>
  </si>
  <si>
    <t>Randolph</t>
  </si>
  <si>
    <t>Sara A.</t>
  </si>
  <si>
    <t>Id1314</t>
  </si>
  <si>
    <t>Masterson</t>
  </si>
  <si>
    <t>Id1315</t>
  </si>
  <si>
    <t>Id1693</t>
  </si>
  <si>
    <t>Friess</t>
  </si>
  <si>
    <t>Thibaud</t>
  </si>
  <si>
    <t>Id1316</t>
  </si>
  <si>
    <t>Id1692</t>
  </si>
  <si>
    <t>Mantoni</t>
  </si>
  <si>
    <t>Id1317</t>
  </si>
  <si>
    <t>Bodeen</t>
  </si>
  <si>
    <t>Gretchen K.</t>
  </si>
  <si>
    <t>Id1691</t>
  </si>
  <si>
    <t>Id1318</t>
  </si>
  <si>
    <t>McPherson</t>
  </si>
  <si>
    <t>Martina</t>
  </si>
  <si>
    <t>Id1319</t>
  </si>
  <si>
    <t>Palko</t>
  </si>
  <si>
    <t>Id1690</t>
  </si>
  <si>
    <t>Dustin J</t>
  </si>
  <si>
    <t>Id1320</t>
  </si>
  <si>
    <t>Breathitt</t>
  </si>
  <si>
    <t>Id1689</t>
  </si>
  <si>
    <t>Id1321</t>
  </si>
  <si>
    <t>Evora</t>
  </si>
  <si>
    <t>Id1688</t>
  </si>
  <si>
    <t>Daniel V.</t>
  </si>
  <si>
    <t>Id1322</t>
  </si>
  <si>
    <t>Fischer</t>
  </si>
  <si>
    <t>Saeger</t>
  </si>
  <si>
    <t>Id1687</t>
  </si>
  <si>
    <t>Id1323</t>
  </si>
  <si>
    <t>Deba</t>
  </si>
  <si>
    <t>Buzunesh</t>
  </si>
  <si>
    <t>Id1324</t>
  </si>
  <si>
    <t>Leloup</t>
  </si>
  <si>
    <t>Mirte</t>
  </si>
  <si>
    <t>Id1686</t>
  </si>
  <si>
    <t>Id1325</t>
  </si>
  <si>
    <t>Labare</t>
  </si>
  <si>
    <t>Id1326</t>
  </si>
  <si>
    <t>Arouca</t>
  </si>
  <si>
    <t>Kerry A.</t>
  </si>
  <si>
    <t>Id1685</t>
  </si>
  <si>
    <t>Id1327</t>
  </si>
  <si>
    <t>Reese</t>
  </si>
  <si>
    <t>Id1328</t>
  </si>
  <si>
    <t>McCloskey</t>
  </si>
  <si>
    <t>Christopher R.</t>
  </si>
  <si>
    <t>Id1329</t>
  </si>
  <si>
    <t>Id1684</t>
  </si>
  <si>
    <t>Tedsen</t>
  </si>
  <si>
    <t>Elizabeth A</t>
  </si>
  <si>
    <t>Id1330</t>
  </si>
  <si>
    <t>Koehlinger</t>
  </si>
  <si>
    <t>Id1683</t>
  </si>
  <si>
    <t>Id1331</t>
  </si>
  <si>
    <t>Pielechaty</t>
  </si>
  <si>
    <t>Id1332</t>
  </si>
  <si>
    <t>Korhonen</t>
  </si>
  <si>
    <t>Jonathan P</t>
  </si>
  <si>
    <t>Id1682</t>
  </si>
  <si>
    <t>Id1333</t>
  </si>
  <si>
    <t>Kehr</t>
  </si>
  <si>
    <t>Gina</t>
  </si>
  <si>
    <t>Id1334</t>
  </si>
  <si>
    <t>Montagna</t>
  </si>
  <si>
    <t>Dino</t>
  </si>
  <si>
    <t>Id1335</t>
  </si>
  <si>
    <t>Id1681</t>
  </si>
  <si>
    <t>M√ºller</t>
  </si>
  <si>
    <t>Jan</t>
  </si>
  <si>
    <t>Id1336</t>
  </si>
  <si>
    <t>Jonathan E.</t>
  </si>
  <si>
    <t>Id1680</t>
  </si>
  <si>
    <t>Id1337</t>
  </si>
  <si>
    <t>Sidebottom</t>
  </si>
  <si>
    <t>Mark A</t>
  </si>
  <si>
    <t>Id1338</t>
  </si>
  <si>
    <t>Id1679</t>
  </si>
  <si>
    <t>Id1339</t>
  </si>
  <si>
    <t>Morris</t>
  </si>
  <si>
    <t>Id1678</t>
  </si>
  <si>
    <t>Id1340</t>
  </si>
  <si>
    <t>Chaisson</t>
  </si>
  <si>
    <t>Stan J</t>
  </si>
  <si>
    <t>Id1677</t>
  </si>
  <si>
    <t>Id1341</t>
  </si>
  <si>
    <t>Pigott</t>
  </si>
  <si>
    <t>Jessica L.</t>
  </si>
  <si>
    <t>Id1342</t>
  </si>
  <si>
    <t>Id1676</t>
  </si>
  <si>
    <t>Cochrane</t>
  </si>
  <si>
    <t>Krysta</t>
  </si>
  <si>
    <t>Id1675</t>
  </si>
  <si>
    <t>Id1343</t>
  </si>
  <si>
    <t>Armitage</t>
  </si>
  <si>
    <t>Natascia</t>
  </si>
  <si>
    <t>Id1674</t>
  </si>
  <si>
    <t>Id1344</t>
  </si>
  <si>
    <t>Shen</t>
  </si>
  <si>
    <t>Id1345</t>
  </si>
  <si>
    <t>O'Kelly</t>
  </si>
  <si>
    <t>Id1673</t>
  </si>
  <si>
    <t>Id1346</t>
  </si>
  <si>
    <t>Huff</t>
  </si>
  <si>
    <t>Monica</t>
  </si>
  <si>
    <t>Id1672</t>
  </si>
  <si>
    <t>Id1347</t>
  </si>
  <si>
    <t>Dye</t>
  </si>
  <si>
    <t>Id1348</t>
  </si>
  <si>
    <t>Willard</t>
  </si>
  <si>
    <t>Id1671</t>
  </si>
  <si>
    <t>Kelly C</t>
  </si>
  <si>
    <t>Id1349</t>
  </si>
  <si>
    <t>D'Addario</t>
  </si>
  <si>
    <t>Id1350</t>
  </si>
  <si>
    <t>Id1670</t>
  </si>
  <si>
    <t>Buchanan</t>
  </si>
  <si>
    <t>James V</t>
  </si>
  <si>
    <t>Id1351</t>
  </si>
  <si>
    <t>Angie</t>
  </si>
  <si>
    <t>Id1669</t>
  </si>
  <si>
    <t>Id1352</t>
  </si>
  <si>
    <t>Waterson</t>
  </si>
  <si>
    <t>Id1353</t>
  </si>
  <si>
    <t>Piras</t>
  </si>
  <si>
    <t>Id1668</t>
  </si>
  <si>
    <t>Sabina</t>
  </si>
  <si>
    <t>Id1354</t>
  </si>
  <si>
    <t>Amy C</t>
  </si>
  <si>
    <t>Id1667</t>
  </si>
  <si>
    <t>Id1355</t>
  </si>
  <si>
    <t>Victoria U</t>
  </si>
  <si>
    <t>Id1666</t>
  </si>
  <si>
    <t>Id1356</t>
  </si>
  <si>
    <t>Landberg</t>
  </si>
  <si>
    <t>Amelia B</t>
  </si>
  <si>
    <t>Id1665</t>
  </si>
  <si>
    <t>Id1357</t>
  </si>
  <si>
    <t>Flynn</t>
  </si>
  <si>
    <t>Jackie J</t>
  </si>
  <si>
    <t>Id1664</t>
  </si>
  <si>
    <t>Id1358</t>
  </si>
  <si>
    <t>Bishop</t>
  </si>
  <si>
    <t>Id1359</t>
  </si>
  <si>
    <t>Id1663</t>
  </si>
  <si>
    <t>Devitt</t>
  </si>
  <si>
    <t>Kerry</t>
  </si>
  <si>
    <t>Id1360</t>
  </si>
  <si>
    <t>Id1662</t>
  </si>
  <si>
    <t>Cindy G.</t>
  </si>
  <si>
    <t>Id1361</t>
  </si>
  <si>
    <t>Tramontano</t>
  </si>
  <si>
    <t>Gennaro</t>
  </si>
  <si>
    <t>Id1661</t>
  </si>
  <si>
    <t>Id1362</t>
  </si>
  <si>
    <t>Davidson</t>
  </si>
  <si>
    <t>Terry</t>
  </si>
  <si>
    <t>Id1363</t>
  </si>
  <si>
    <t>Patrick J</t>
  </si>
  <si>
    <t>Id1660</t>
  </si>
  <si>
    <t>Id1364</t>
  </si>
  <si>
    <t>McGraw</t>
  </si>
  <si>
    <t>Keara</t>
  </si>
  <si>
    <t>Id1659</t>
  </si>
  <si>
    <t>Id1365</t>
  </si>
  <si>
    <t>Fellure</t>
  </si>
  <si>
    <t>Id1366</t>
  </si>
  <si>
    <t>Sanford</t>
  </si>
  <si>
    <t>Katena</t>
  </si>
  <si>
    <t>Id1658</t>
  </si>
  <si>
    <t>Id1367</t>
  </si>
  <si>
    <t>Wrenn</t>
  </si>
  <si>
    <t>Bean K.</t>
  </si>
  <si>
    <t>Id1368</t>
  </si>
  <si>
    <t>Id1657</t>
  </si>
  <si>
    <t>Id1369</t>
  </si>
  <si>
    <t>Krueger</t>
  </si>
  <si>
    <t>Id1656</t>
  </si>
  <si>
    <t>Jan-Patrick</t>
  </si>
  <si>
    <t>Id1370</t>
  </si>
  <si>
    <t>Babler</t>
  </si>
  <si>
    <t>Jesse J</t>
  </si>
  <si>
    <t>Id1655</t>
  </si>
  <si>
    <t>Id1371</t>
  </si>
  <si>
    <t>Brezenski</t>
  </si>
  <si>
    <t>Lindsey M</t>
  </si>
  <si>
    <t>Id1372</t>
  </si>
  <si>
    <t>Marschner</t>
  </si>
  <si>
    <t>Marguerite K.</t>
  </si>
  <si>
    <t>Id1654</t>
  </si>
  <si>
    <t>Id1373</t>
  </si>
  <si>
    <t>Travis</t>
  </si>
  <si>
    <t>Id1374</t>
  </si>
  <si>
    <t>Id1653</t>
  </si>
  <si>
    <t>Montez</t>
  </si>
  <si>
    <t>Ricky</t>
  </si>
  <si>
    <t>Id1375</t>
  </si>
  <si>
    <t>Id1652</t>
  </si>
  <si>
    <t>Colleen L.</t>
  </si>
  <si>
    <t>Id1376</t>
  </si>
  <si>
    <t>Hurt</t>
  </si>
  <si>
    <t>Charlie A</t>
  </si>
  <si>
    <t>Id1651</t>
  </si>
  <si>
    <t>Id1377</t>
  </si>
  <si>
    <t>Garey</t>
  </si>
  <si>
    <t>Id1378</t>
  </si>
  <si>
    <t>Id1650</t>
  </si>
  <si>
    <t>Reddy</t>
  </si>
  <si>
    <t>Lauren C</t>
  </si>
  <si>
    <t>Id1379</t>
  </si>
  <si>
    <t>Mueller</t>
  </si>
  <si>
    <t>Id1649</t>
  </si>
  <si>
    <t>Id1380</t>
  </si>
  <si>
    <t>Id1648</t>
  </si>
  <si>
    <t>Id1381</t>
  </si>
  <si>
    <t>Uribe</t>
  </si>
  <si>
    <t>Id1647</t>
  </si>
  <si>
    <t>Erik R</t>
  </si>
  <si>
    <t>Id1382</t>
  </si>
  <si>
    <t>Id1646</t>
  </si>
  <si>
    <t>Hand</t>
  </si>
  <si>
    <t>Id1383</t>
  </si>
  <si>
    <t>Thomas A</t>
  </si>
  <si>
    <t>Id1645</t>
  </si>
  <si>
    <t>Id1384</t>
  </si>
  <si>
    <t>Mac-Thiong</t>
  </si>
  <si>
    <t>Jean-Marc</t>
  </si>
  <si>
    <t>Id1385</t>
  </si>
  <si>
    <t>Id1644</t>
  </si>
  <si>
    <t>Kerry L</t>
  </si>
  <si>
    <t>Id1386</t>
  </si>
  <si>
    <t>Steidl</t>
  </si>
  <si>
    <t>Ulrich</t>
  </si>
  <si>
    <t>Id1643</t>
  </si>
  <si>
    <t>Id1387</t>
  </si>
  <si>
    <t>Justin P</t>
  </si>
  <si>
    <t>Id1388</t>
  </si>
  <si>
    <t>Alderfer</t>
  </si>
  <si>
    <t>Id1642</t>
  </si>
  <si>
    <t>Hannah E.</t>
  </si>
  <si>
    <t>Id1389</t>
  </si>
  <si>
    <t>Ryland</t>
  </si>
  <si>
    <t>Id1390</t>
  </si>
  <si>
    <t>Bethea</t>
  </si>
  <si>
    <t>Id1641</t>
  </si>
  <si>
    <t>Id1391</t>
  </si>
  <si>
    <t>Joseph P</t>
  </si>
  <si>
    <t>Id1392</t>
  </si>
  <si>
    <t>Blois</t>
  </si>
  <si>
    <t>Id1640</t>
  </si>
  <si>
    <t>Id1393</t>
  </si>
  <si>
    <t>Dayton</t>
  </si>
  <si>
    <t>Gina M</t>
  </si>
  <si>
    <t>Id1394</t>
  </si>
  <si>
    <t>Cloud</t>
  </si>
  <si>
    <t>Id1639</t>
  </si>
  <si>
    <t>Shantel C.</t>
  </si>
  <si>
    <t>Id1395</t>
  </si>
  <si>
    <t>Betournay</t>
  </si>
  <si>
    <t>Id1638</t>
  </si>
  <si>
    <t>Id1396</t>
  </si>
  <si>
    <t>Temple</t>
  </si>
  <si>
    <t>Id1637</t>
  </si>
  <si>
    <t>Id1397</t>
  </si>
  <si>
    <t>Rollie</t>
  </si>
  <si>
    <t>Jessica R</t>
  </si>
  <si>
    <t>Id1398</t>
  </si>
  <si>
    <t>Roybal</t>
  </si>
  <si>
    <t>Id1636</t>
  </si>
  <si>
    <t>Robyn</t>
  </si>
  <si>
    <t>Id1399</t>
  </si>
  <si>
    <t>Turgeon</t>
  </si>
  <si>
    <t>Id1635</t>
  </si>
  <si>
    <t>Id1400</t>
  </si>
  <si>
    <t>Deingenis</t>
  </si>
  <si>
    <t>Id1401</t>
  </si>
  <si>
    <t>Id1634</t>
  </si>
  <si>
    <t>Jessica F.</t>
  </si>
  <si>
    <t>Id1402</t>
  </si>
  <si>
    <t>Gibbs</t>
  </si>
  <si>
    <t>Id1633</t>
  </si>
  <si>
    <t>Id1403</t>
  </si>
  <si>
    <t>Trom</t>
  </si>
  <si>
    <t>Kelly A</t>
  </si>
  <si>
    <t>Id1404</t>
  </si>
  <si>
    <t>Sizer</t>
  </si>
  <si>
    <t>Brooke E</t>
  </si>
  <si>
    <t>Id1405</t>
  </si>
  <si>
    <t>Id1632</t>
  </si>
  <si>
    <t>Ellison</t>
  </si>
  <si>
    <t>Katelyn E.</t>
  </si>
  <si>
    <t>Id1406</t>
  </si>
  <si>
    <t>Id1631</t>
  </si>
  <si>
    <t>Sulkowski</t>
  </si>
  <si>
    <t>Id1407</t>
  </si>
  <si>
    <t>Maringo</t>
  </si>
  <si>
    <t>Id1630</t>
  </si>
  <si>
    <t>Id1408</t>
  </si>
  <si>
    <t>Lattin</t>
  </si>
  <si>
    <t>Id1409</t>
  </si>
  <si>
    <t>Id1629</t>
  </si>
  <si>
    <t>Deblander</t>
  </si>
  <si>
    <t>Id1410</t>
  </si>
  <si>
    <t>Id1628</t>
  </si>
  <si>
    <t>O'Neill</t>
  </si>
  <si>
    <t>Eoghan</t>
  </si>
  <si>
    <t>Id1411</t>
  </si>
  <si>
    <t>Id1627</t>
  </si>
  <si>
    <t>Pamela W</t>
  </si>
  <si>
    <t>Id1412</t>
  </si>
  <si>
    <t>Stanek</t>
  </si>
  <si>
    <t>Lindsey M.</t>
  </si>
  <si>
    <t>Id1626</t>
  </si>
  <si>
    <t>Id1413</t>
  </si>
  <si>
    <t>Kassie</t>
  </si>
  <si>
    <t>Id1625</t>
  </si>
  <si>
    <t>Id1414</t>
  </si>
  <si>
    <t>Manning</t>
  </si>
  <si>
    <t>Id1415</t>
  </si>
  <si>
    <t>Barrera Munoz</t>
  </si>
  <si>
    <t>Id1624</t>
  </si>
  <si>
    <t>Ruben Dario</t>
  </si>
  <si>
    <t>Id1416</t>
  </si>
  <si>
    <t>Schauwaers</t>
  </si>
  <si>
    <t>Id1417</t>
  </si>
  <si>
    <t>Id1623</t>
  </si>
  <si>
    <t>Hartman</t>
  </si>
  <si>
    <t>Lindsay M</t>
  </si>
  <si>
    <t>Id1418</t>
  </si>
  <si>
    <t>Fire</t>
  </si>
  <si>
    <t>Id1419</t>
  </si>
  <si>
    <t>Waliaula</t>
  </si>
  <si>
    <t>Id1622</t>
  </si>
  <si>
    <t>Id1420</t>
  </si>
  <si>
    <t>Blackshear</t>
  </si>
  <si>
    <t>Samuel H.</t>
  </si>
  <si>
    <t>Id1621</t>
  </si>
  <si>
    <t>Id1421</t>
  </si>
  <si>
    <t>Nettik</t>
  </si>
  <si>
    <t>Jenni</t>
  </si>
  <si>
    <t>Id1620</t>
  </si>
  <si>
    <t>Id1422</t>
  </si>
  <si>
    <t>Novales</t>
  </si>
  <si>
    <t>Estuardo F</t>
  </si>
  <si>
    <t>Id1423</t>
  </si>
  <si>
    <t>Rosauer</t>
  </si>
  <si>
    <t>Id1619</t>
  </si>
  <si>
    <t>Brett</t>
  </si>
  <si>
    <t>Id1424</t>
  </si>
  <si>
    <t>Ryder</t>
  </si>
  <si>
    <t>Id1618</t>
  </si>
  <si>
    <t>Sharon E.</t>
  </si>
  <si>
    <t>Id1425</t>
  </si>
  <si>
    <t>Larsen</t>
  </si>
  <si>
    <t>Id1617</t>
  </si>
  <si>
    <t>Jacob W√¶ver</t>
  </si>
  <si>
    <t>Id1426</t>
  </si>
  <si>
    <t>Keate</t>
  </si>
  <si>
    <t>Id1616</t>
  </si>
  <si>
    <t>Id1427</t>
  </si>
  <si>
    <t>Brooke S.</t>
  </si>
  <si>
    <t>Id1615</t>
  </si>
  <si>
    <t>Id1428</t>
  </si>
  <si>
    <t>Starosciak</t>
  </si>
  <si>
    <t>Kaye A.</t>
  </si>
  <si>
    <t>Id1614</t>
  </si>
  <si>
    <t>Id1429</t>
  </si>
  <si>
    <t>Id1430</t>
  </si>
  <si>
    <t>Id1613</t>
  </si>
  <si>
    <t>Henderson</t>
  </si>
  <si>
    <t>Daniel C.</t>
  </si>
  <si>
    <t>Id1431</t>
  </si>
  <si>
    <t>Id1612</t>
  </si>
  <si>
    <t>Winkelman</t>
  </si>
  <si>
    <t>Laurie A</t>
  </si>
  <si>
    <t>Id1432</t>
  </si>
  <si>
    <t>Monette</t>
  </si>
  <si>
    <t>Id1611</t>
  </si>
  <si>
    <t>Id1433</t>
  </si>
  <si>
    <t>Kramer</t>
  </si>
  <si>
    <t>Shelby</t>
  </si>
  <si>
    <t>Id1610</t>
  </si>
  <si>
    <t>Id1434</t>
  </si>
  <si>
    <t>Goldstein</t>
  </si>
  <si>
    <t>Id1609</t>
  </si>
  <si>
    <t>Id1435</t>
  </si>
  <si>
    <t>Leticia</t>
  </si>
  <si>
    <t>Id1436</t>
  </si>
  <si>
    <t>Id1608</t>
  </si>
  <si>
    <t>Barrett</t>
  </si>
  <si>
    <t>John S.</t>
  </si>
  <si>
    <t>Id1437</t>
  </si>
  <si>
    <t>Irwin</t>
  </si>
  <si>
    <t>Id1607</t>
  </si>
  <si>
    <t>Id1438</t>
  </si>
  <si>
    <t>Glenn</t>
  </si>
  <si>
    <t>Ashley N.</t>
  </si>
  <si>
    <t>Id1439</t>
  </si>
  <si>
    <t>O'Meara</t>
  </si>
  <si>
    <t>Id1606</t>
  </si>
  <si>
    <t>Id1440</t>
  </si>
  <si>
    <t>Budrow</t>
  </si>
  <si>
    <t>Id1605</t>
  </si>
  <si>
    <t>Nelly S</t>
  </si>
  <si>
    <t>Id1441</t>
  </si>
  <si>
    <t>Meredith S</t>
  </si>
  <si>
    <t>Id1604</t>
  </si>
  <si>
    <t>Id1442</t>
  </si>
  <si>
    <t>Id1443</t>
  </si>
  <si>
    <t>Id1603</t>
  </si>
  <si>
    <t>Tecklenburg</t>
  </si>
  <si>
    <t>Id1444</t>
  </si>
  <si>
    <t>Id1602</t>
  </si>
  <si>
    <t>Katherine A</t>
  </si>
  <si>
    <t>Id1445</t>
  </si>
  <si>
    <t>Schenck</t>
  </si>
  <si>
    <t>Id1601</t>
  </si>
  <si>
    <t>Steve</t>
  </si>
  <si>
    <t>Id1446</t>
  </si>
  <si>
    <t>Id1600</t>
  </si>
  <si>
    <t>Kate L.</t>
  </si>
  <si>
    <t>Id1599</t>
  </si>
  <si>
    <t>Id1598</t>
  </si>
  <si>
    <t>Id1597</t>
  </si>
  <si>
    <t>Id1596</t>
  </si>
  <si>
    <t>Id1595</t>
  </si>
  <si>
    <t>Id1594</t>
  </si>
  <si>
    <t>Id1447</t>
  </si>
  <si>
    <t>Blendell</t>
  </si>
  <si>
    <t>Id1593</t>
  </si>
  <si>
    <t>Id1448</t>
  </si>
  <si>
    <t>Parodi</t>
  </si>
  <si>
    <t>Katharine</t>
  </si>
  <si>
    <t>Id1592</t>
  </si>
  <si>
    <t>Id1449</t>
  </si>
  <si>
    <t>Morgan</t>
  </si>
  <si>
    <t>Heather L</t>
  </si>
  <si>
    <t>Id1450</t>
  </si>
  <si>
    <t>Id1591</t>
  </si>
  <si>
    <t>Linden</t>
  </si>
  <si>
    <t>Desiree</t>
  </si>
  <si>
    <t>Id1451</t>
  </si>
  <si>
    <t>Id1590</t>
  </si>
  <si>
    <t>Horning</t>
  </si>
  <si>
    <t>Peter B.</t>
  </si>
  <si>
    <t>Id1452</t>
  </si>
  <si>
    <t>Goode</t>
  </si>
  <si>
    <t>Id1589</t>
  </si>
  <si>
    <t>Id1453</t>
  </si>
  <si>
    <t>Doden</t>
  </si>
  <si>
    <t>Id1588</t>
  </si>
  <si>
    <t>Id1587</t>
  </si>
  <si>
    <t>Id1454</t>
  </si>
  <si>
    <t>Groff</t>
  </si>
  <si>
    <t>Adam C</t>
  </si>
  <si>
    <t>Id1586</t>
  </si>
  <si>
    <t>Id1455</t>
  </si>
  <si>
    <t>Kuehler</t>
  </si>
  <si>
    <t>Jon</t>
  </si>
  <si>
    <t>Id1456</t>
  </si>
  <si>
    <t>Id1585</t>
  </si>
  <si>
    <t>Steven J</t>
  </si>
  <si>
    <t>Id1457</t>
  </si>
  <si>
    <t>Id1584</t>
  </si>
  <si>
    <t>Gibby</t>
  </si>
  <si>
    <t>Jessica P.</t>
  </si>
  <si>
    <t>Id1458</t>
  </si>
  <si>
    <t>Id1583</t>
  </si>
  <si>
    <t>Busa</t>
  </si>
  <si>
    <t>Id1459</t>
  </si>
  <si>
    <t>Moyo</t>
  </si>
  <si>
    <t>Arturo H.</t>
  </si>
  <si>
    <t>Id1582</t>
  </si>
  <si>
    <t>Id1460</t>
  </si>
  <si>
    <t>Ketil</t>
  </si>
  <si>
    <t>Id1581</t>
  </si>
  <si>
    <t>Id1461</t>
  </si>
  <si>
    <t>Id1580</t>
  </si>
  <si>
    <t>Id1462</t>
  </si>
  <si>
    <t>Christi</t>
  </si>
  <si>
    <t>Id1463</t>
  </si>
  <si>
    <t>Id1579</t>
  </si>
  <si>
    <t>Ash</t>
  </si>
  <si>
    <t>Id1464</t>
  </si>
  <si>
    <t>Id1578</t>
  </si>
  <si>
    <t>Do Prado</t>
  </si>
  <si>
    <t>Edivaldo B. Sr.</t>
  </si>
  <si>
    <t>Id1465</t>
  </si>
  <si>
    <t>Id1577</t>
  </si>
  <si>
    <t>Eve</t>
  </si>
  <si>
    <t>Id1466</t>
  </si>
  <si>
    <t>Devin</t>
  </si>
  <si>
    <t>Id1576</t>
  </si>
  <si>
    <t>Id1467</t>
  </si>
  <si>
    <t>Dever</t>
  </si>
  <si>
    <t>Shaun R</t>
  </si>
  <si>
    <t>Id1468</t>
  </si>
  <si>
    <t>Id1575</t>
  </si>
  <si>
    <t>Horvath</t>
  </si>
  <si>
    <t>Adrian</t>
  </si>
  <si>
    <t>Id1574</t>
  </si>
  <si>
    <t>Id1469</t>
  </si>
  <si>
    <t>Danner</t>
  </si>
  <si>
    <t>Id1573</t>
  </si>
  <si>
    <t>Id1470</t>
  </si>
  <si>
    <t>Weiss</t>
  </si>
  <si>
    <t>Mallory</t>
  </si>
  <si>
    <t>Id1471</t>
  </si>
  <si>
    <t>Id1572</t>
  </si>
  <si>
    <t>D'Andrea</t>
  </si>
  <si>
    <t>Shawn E</t>
  </si>
  <si>
    <t>Id1472</t>
  </si>
  <si>
    <t>Olesky</t>
  </si>
  <si>
    <t>Id1571</t>
  </si>
  <si>
    <t>Id1473</t>
  </si>
  <si>
    <t>Whitcraft</t>
  </si>
  <si>
    <t>Id1474</t>
  </si>
  <si>
    <t>Salazar</t>
  </si>
  <si>
    <t>Johann A</t>
  </si>
  <si>
    <t>Id1570</t>
  </si>
  <si>
    <t>Id1475</t>
  </si>
  <si>
    <t>Todd</t>
  </si>
  <si>
    <t>Robin M.</t>
  </si>
  <si>
    <t>Id1476</t>
  </si>
  <si>
    <t>Pond</t>
  </si>
  <si>
    <t>Id1569</t>
  </si>
  <si>
    <t>Kyle K</t>
  </si>
  <si>
    <t>Id1477</t>
  </si>
  <si>
    <t>Egan</t>
  </si>
  <si>
    <t>Id1568</t>
  </si>
  <si>
    <t>Id1478</t>
  </si>
  <si>
    <t>Bersani</t>
  </si>
  <si>
    <t>Id1567</t>
  </si>
  <si>
    <t>Michael A.</t>
  </si>
  <si>
    <t>Id1479</t>
  </si>
  <si>
    <t>Creech</t>
  </si>
  <si>
    <t>Id1566</t>
  </si>
  <si>
    <t>Byron A</t>
  </si>
  <si>
    <t>Id1480</t>
  </si>
  <si>
    <t>Sudres</t>
  </si>
  <si>
    <t>Carine A</t>
  </si>
  <si>
    <t>Id1565</t>
  </si>
  <si>
    <t>Id1481</t>
  </si>
  <si>
    <t>Couture</t>
  </si>
  <si>
    <t>Id1564</t>
  </si>
  <si>
    <t>Id1482</t>
  </si>
  <si>
    <t>Lindsay A.</t>
  </si>
  <si>
    <t>Id1563</t>
  </si>
  <si>
    <t>Id1483</t>
  </si>
  <si>
    <t>Patronick</t>
  </si>
  <si>
    <t>Justin R</t>
  </si>
  <si>
    <t>Id1484</t>
  </si>
  <si>
    <t>Id1562</t>
  </si>
  <si>
    <t>Depasquale</t>
  </si>
  <si>
    <t>Id1485</t>
  </si>
  <si>
    <t>Lavergne</t>
  </si>
  <si>
    <t>Id1561</t>
  </si>
  <si>
    <t>Id1486</t>
  </si>
  <si>
    <t>Kawakami</t>
  </si>
  <si>
    <t>Id1560</t>
  </si>
  <si>
    <t>Ayako N.</t>
  </si>
  <si>
    <t>Id1487</t>
  </si>
  <si>
    <t>Gonsalves</t>
  </si>
  <si>
    <t>Id1559</t>
  </si>
  <si>
    <t>Emilee</t>
  </si>
  <si>
    <t>Id1488</t>
  </si>
  <si>
    <t>Id1558</t>
  </si>
  <si>
    <t>Stephen M</t>
  </si>
  <si>
    <t>Id1489</t>
  </si>
  <si>
    <t>Id1557</t>
  </si>
  <si>
    <t>Aure</t>
  </si>
  <si>
    <t>Annemarie A</t>
  </si>
  <si>
    <t>Id1490</t>
  </si>
  <si>
    <t>Mattingly</t>
  </si>
  <si>
    <t>Id1556</t>
  </si>
  <si>
    <t>Ashley R</t>
  </si>
  <si>
    <t>Id1491</t>
  </si>
  <si>
    <t>Stelpflug</t>
  </si>
  <si>
    <t>Id1555</t>
  </si>
  <si>
    <t>Leslie A</t>
  </si>
  <si>
    <t>Id1492</t>
  </si>
  <si>
    <t>Sanchez Antognini</t>
  </si>
  <si>
    <t>Mauricio J. Sr.</t>
  </si>
  <si>
    <t>Id1554</t>
  </si>
  <si>
    <t>Id1493</t>
  </si>
  <si>
    <t>Condon</t>
  </si>
  <si>
    <t>Kieran</t>
  </si>
  <si>
    <t>Id1553</t>
  </si>
  <si>
    <t>Id1494</t>
  </si>
  <si>
    <t>Magato</t>
  </si>
  <si>
    <t>Id1495</t>
  </si>
  <si>
    <t>Id1552</t>
  </si>
  <si>
    <t>Dombrowski</t>
  </si>
  <si>
    <t>Zeke M.</t>
  </si>
  <si>
    <t>Id1496</t>
  </si>
  <si>
    <t>Ohara</t>
  </si>
  <si>
    <t>Chip</t>
  </si>
  <si>
    <t>Id1551</t>
  </si>
  <si>
    <t>Id1497</t>
  </si>
  <si>
    <t>Cifuentes Fetiva</t>
  </si>
  <si>
    <t>Miguel Angel Sr.</t>
  </si>
  <si>
    <t>Id1550</t>
  </si>
  <si>
    <t>Id1498</t>
  </si>
  <si>
    <t>Keno</t>
  </si>
  <si>
    <t>Id1549</t>
  </si>
  <si>
    <t>Id1499</t>
  </si>
  <si>
    <t>Meghan</t>
  </si>
  <si>
    <t>Id1548</t>
  </si>
  <si>
    <t>Id1500</t>
  </si>
  <si>
    <t>Lorch</t>
  </si>
  <si>
    <t>Id1547</t>
  </si>
  <si>
    <t>Id1501</t>
  </si>
  <si>
    <t>Sullivan</t>
  </si>
  <si>
    <t>Millicent M</t>
  </si>
  <si>
    <t>Id1546</t>
  </si>
  <si>
    <t>Id1502</t>
  </si>
  <si>
    <t>Cave</t>
  </si>
  <si>
    <t>Id1545</t>
  </si>
  <si>
    <t>Id1503</t>
  </si>
  <si>
    <t>Gudenkauf</t>
  </si>
  <si>
    <t>Kimberly K</t>
  </si>
  <si>
    <t>Id1504</t>
  </si>
  <si>
    <t>Justin C</t>
  </si>
  <si>
    <t>Id1544</t>
  </si>
  <si>
    <t>Id1505</t>
  </si>
  <si>
    <t>Holley</t>
  </si>
  <si>
    <t>Tristan P.</t>
  </si>
  <si>
    <t>Id1506</t>
  </si>
  <si>
    <t>Id1543</t>
  </si>
  <si>
    <t>Kemble</t>
  </si>
  <si>
    <t>Traci A</t>
  </si>
  <si>
    <t>Id1507</t>
  </si>
  <si>
    <t>Bentley</t>
  </si>
  <si>
    <t>Id1542</t>
  </si>
  <si>
    <t>Id1508</t>
  </si>
  <si>
    <t>Id1541</t>
  </si>
  <si>
    <t>Logan M</t>
  </si>
  <si>
    <t>Id1509</t>
  </si>
  <si>
    <t>Id1540</t>
  </si>
  <si>
    <t>Id1539</t>
  </si>
  <si>
    <t>Id1510</t>
  </si>
  <si>
    <t>Bellucci</t>
  </si>
  <si>
    <t>Tiffany A</t>
  </si>
  <si>
    <t>Id1538</t>
  </si>
  <si>
    <t>Id1511</t>
  </si>
  <si>
    <t>Collins</t>
  </si>
  <si>
    <t>Id1537</t>
  </si>
  <si>
    <t>Id1512</t>
  </si>
  <si>
    <t>Gillman</t>
  </si>
  <si>
    <t>Luke</t>
  </si>
  <si>
    <t>Id1536</t>
  </si>
  <si>
    <t>Id1513</t>
  </si>
  <si>
    <t>West</t>
  </si>
  <si>
    <t>Leigh</t>
  </si>
  <si>
    <t>Id1514</t>
  </si>
  <si>
    <t>Id1535</t>
  </si>
  <si>
    <t>Chida</t>
  </si>
  <si>
    <t>Yosuke</t>
  </si>
  <si>
    <t>Id1515</t>
  </si>
  <si>
    <t>Id1534</t>
  </si>
  <si>
    <t>Reisenauer</t>
  </si>
  <si>
    <t>Id1516</t>
  </si>
  <si>
    <t>Id1533</t>
  </si>
  <si>
    <t>Rosenberg-Wohl</t>
  </si>
  <si>
    <t>Id1532</t>
  </si>
  <si>
    <t>Id1517</t>
  </si>
  <si>
    <t>Theriault</t>
  </si>
  <si>
    <t>Jodi</t>
  </si>
  <si>
    <t>Id1531</t>
  </si>
  <si>
    <t>Id1518</t>
  </si>
  <si>
    <t>Manuel</t>
  </si>
  <si>
    <t>Id1519</t>
  </si>
  <si>
    <t>Demko</t>
  </si>
  <si>
    <t>Id1530</t>
  </si>
  <si>
    <t>Misti C</t>
  </si>
  <si>
    <t>Id1520</t>
  </si>
  <si>
    <t>Battaglia</t>
  </si>
  <si>
    <t>Id1529</t>
  </si>
  <si>
    <t>Angela J</t>
  </si>
  <si>
    <t>Id1521</t>
  </si>
  <si>
    <t>Id1528</t>
  </si>
  <si>
    <t>Follo</t>
  </si>
  <si>
    <t>Jonathan D.</t>
  </si>
  <si>
    <t>Id1522</t>
  </si>
  <si>
    <t>Barana</t>
  </si>
  <si>
    <t>Id1527</t>
  </si>
  <si>
    <t>Id1523</t>
  </si>
  <si>
    <t>Lysaght</t>
  </si>
  <si>
    <t>Adrian R.</t>
  </si>
  <si>
    <t>Id1524</t>
  </si>
  <si>
    <t>Chalmers</t>
  </si>
  <si>
    <t>Id1526</t>
  </si>
  <si>
    <t>Id1525</t>
  </si>
  <si>
    <t>Jason A.</t>
  </si>
  <si>
    <t>MacPherson</t>
  </si>
  <si>
    <t>Rachel</t>
  </si>
  <si>
    <t>Delfidio</t>
  </si>
  <si>
    <t>Susan</t>
  </si>
  <si>
    <t>Cummings</t>
  </si>
  <si>
    <t>Cameron M.</t>
  </si>
  <si>
    <t>Schroegel</t>
  </si>
  <si>
    <t>Claudia A.</t>
  </si>
  <si>
    <t>Nicole M.</t>
  </si>
  <si>
    <t>Randall</t>
  </si>
  <si>
    <t>Jack</t>
  </si>
  <si>
    <t>Doyon</t>
  </si>
  <si>
    <t>Sankey</t>
  </si>
  <si>
    <t>Stilgenbauer</t>
  </si>
  <si>
    <t>Jaskiewicz</t>
  </si>
  <si>
    <t>Deppen</t>
  </si>
  <si>
    <t>Jackie K.</t>
  </si>
  <si>
    <t>Hine</t>
  </si>
  <si>
    <t>Mathews</t>
  </si>
  <si>
    <t>Tyler C</t>
  </si>
  <si>
    <t>Yabu</t>
  </si>
  <si>
    <t>Yoshie</t>
  </si>
  <si>
    <t>Strang</t>
  </si>
  <si>
    <t>Lauren A</t>
  </si>
  <si>
    <t>Mason D.</t>
  </si>
  <si>
    <t>Shanley</t>
  </si>
  <si>
    <t>Mancebo Garcia</t>
  </si>
  <si>
    <t>Arturo</t>
  </si>
  <si>
    <t>Keehan</t>
  </si>
  <si>
    <t>Jake</t>
  </si>
  <si>
    <t>Mahaney</t>
  </si>
  <si>
    <t>Nolan</t>
  </si>
  <si>
    <t>Alison L.</t>
  </si>
  <si>
    <t>Sobrino</t>
  </si>
  <si>
    <t>Karen A.</t>
  </si>
  <si>
    <t>Thomas R. Jr.</t>
  </si>
  <si>
    <t>Mayer</t>
  </si>
  <si>
    <t>Becker</t>
  </si>
  <si>
    <t>Ezra</t>
  </si>
  <si>
    <t>Platt</t>
  </si>
  <si>
    <t>Ari L.</t>
  </si>
  <si>
    <t>Brodeur</t>
  </si>
  <si>
    <t>Fanny</t>
  </si>
  <si>
    <t>Knight Pech</t>
  </si>
  <si>
    <t>Peter W. Sr.</t>
  </si>
  <si>
    <t>Jubinski</t>
  </si>
  <si>
    <t>Catherine A</t>
  </si>
  <si>
    <t>Wall</t>
  </si>
  <si>
    <t>McKay</t>
  </si>
  <si>
    <t>Janel N.</t>
  </si>
  <si>
    <t>Oh</t>
  </si>
  <si>
    <t>Yann Kai</t>
  </si>
  <si>
    <t>Kessell</t>
  </si>
  <si>
    <t>Zachary R.</t>
  </si>
  <si>
    <t>Hidalgo Zambrano</t>
  </si>
  <si>
    <t>Alejandro Sr.</t>
  </si>
  <si>
    <t>Caprario</t>
  </si>
  <si>
    <t>Nicholas R.</t>
  </si>
  <si>
    <t>Michael D</t>
  </si>
  <si>
    <t>Wong</t>
  </si>
  <si>
    <t>Marina</t>
  </si>
  <si>
    <t>Lea</t>
  </si>
  <si>
    <t>Ross P</t>
  </si>
  <si>
    <t>Quigley</t>
  </si>
  <si>
    <t>Aoife</t>
  </si>
  <si>
    <t>Korir</t>
  </si>
  <si>
    <t>Downs</t>
  </si>
  <si>
    <t>Barry P.</t>
  </si>
  <si>
    <t>Zywek</t>
  </si>
  <si>
    <t>Maciej</t>
  </si>
  <si>
    <t>Faulkner</t>
  </si>
  <si>
    <t>Jerry D.</t>
  </si>
  <si>
    <t>Erspamer</t>
  </si>
  <si>
    <t>Cathi</t>
  </si>
  <si>
    <t>Addison</t>
  </si>
  <si>
    <t>Alex M</t>
  </si>
  <si>
    <t>Wu</t>
  </si>
  <si>
    <t>Liang</t>
  </si>
  <si>
    <t>Lexy</t>
  </si>
  <si>
    <t>Bosl</t>
  </si>
  <si>
    <t>Goldberg</t>
  </si>
  <si>
    <t>Samuel L</t>
  </si>
  <si>
    <t>Spencer A.</t>
  </si>
  <si>
    <t>Johnston</t>
  </si>
  <si>
    <t>Rochelle</t>
  </si>
  <si>
    <t>Keating</t>
  </si>
  <si>
    <t>Paula</t>
  </si>
  <si>
    <t>Duhon</t>
  </si>
  <si>
    <t>Madeline E.</t>
  </si>
  <si>
    <t>Briseno</t>
  </si>
  <si>
    <t>Maria Isabel</t>
  </si>
  <si>
    <t>Besse</t>
  </si>
  <si>
    <t>Arthur M.</t>
  </si>
  <si>
    <t>Shillings</t>
  </si>
  <si>
    <t>Joseph R.</t>
  </si>
  <si>
    <t>Tate</t>
  </si>
  <si>
    <t>Sachiko</t>
  </si>
  <si>
    <t>Hengoed</t>
  </si>
  <si>
    <t>Aller</t>
  </si>
  <si>
    <t>Pisano</t>
  </si>
  <si>
    <t>Sanca</t>
  </si>
  <si>
    <t>Ruben</t>
  </si>
  <si>
    <t>Bond</t>
  </si>
  <si>
    <t>Carron</t>
  </si>
  <si>
    <t>Angela R.</t>
  </si>
  <si>
    <t>Ellwanger</t>
  </si>
  <si>
    <t>Chatham</t>
  </si>
  <si>
    <t>Hanson</t>
  </si>
  <si>
    <t>Derek</t>
  </si>
  <si>
    <t>Kalvin J.</t>
  </si>
  <si>
    <t>Counts</t>
  </si>
  <si>
    <t>Carson</t>
  </si>
  <si>
    <t>Barbara G.</t>
  </si>
  <si>
    <t>Haines</t>
  </si>
  <si>
    <t>Schnabel</t>
  </si>
  <si>
    <t>Sunny S</t>
  </si>
  <si>
    <t>Simon</t>
  </si>
  <si>
    <t>Arciniaga</t>
  </si>
  <si>
    <t>Scott M.</t>
  </si>
  <si>
    <t>Lizak</t>
  </si>
  <si>
    <t>Marisa A</t>
  </si>
  <si>
    <t>Howery</t>
  </si>
  <si>
    <t>Crain</t>
  </si>
  <si>
    <t>Amy L</t>
  </si>
  <si>
    <t>Hotze</t>
  </si>
  <si>
    <t>Jenna M</t>
  </si>
  <si>
    <t>Chauhan</t>
  </si>
  <si>
    <t>Raab</t>
  </si>
  <si>
    <t>Lyazid</t>
  </si>
  <si>
    <t>McKown</t>
  </si>
  <si>
    <t>Lindsey A.</t>
  </si>
  <si>
    <t>Schiemann</t>
  </si>
  <si>
    <t>Cress</t>
  </si>
  <si>
    <t>Jennifer A</t>
  </si>
  <si>
    <t>Mawson</t>
  </si>
  <si>
    <t>Leif S.</t>
  </si>
  <si>
    <t>Wigginton</t>
  </si>
  <si>
    <t>Bo</t>
  </si>
  <si>
    <t>Schroeder</t>
  </si>
  <si>
    <t>Leah</t>
  </si>
  <si>
    <t>Leonard</t>
  </si>
  <si>
    <t>Kara Lynne</t>
  </si>
  <si>
    <t>Tissue</t>
  </si>
  <si>
    <t>Wood</t>
  </si>
  <si>
    <t>Denny</t>
  </si>
  <si>
    <t>Testa</t>
  </si>
  <si>
    <t>Allie</t>
  </si>
  <si>
    <t>Buchholtz</t>
  </si>
  <si>
    <t>Trasi</t>
  </si>
  <si>
    <t>Hoyt</t>
  </si>
  <si>
    <t>Cabada</t>
  </si>
  <si>
    <t>Fernando</t>
  </si>
  <si>
    <t>Lobaciute</t>
  </si>
  <si>
    <t>Ieva</t>
  </si>
  <si>
    <t>Drew L.</t>
  </si>
  <si>
    <t>Oberndorfer</t>
  </si>
  <si>
    <t>Hetherington</t>
  </si>
  <si>
    <t>Alexander G</t>
  </si>
  <si>
    <t>Murray</t>
  </si>
  <si>
    <t>Meaghan</t>
  </si>
  <si>
    <t>Higden</t>
  </si>
  <si>
    <t>Rediger</t>
  </si>
  <si>
    <t>Andrea K.</t>
  </si>
  <si>
    <t>Kris</t>
  </si>
  <si>
    <t>Alden W</t>
  </si>
  <si>
    <t>Grise</t>
  </si>
  <si>
    <t>Suzanne M</t>
  </si>
  <si>
    <t>Skildum</t>
  </si>
  <si>
    <t>Heidi Z.</t>
  </si>
  <si>
    <t>Fischer-Daly</t>
  </si>
  <si>
    <t>Fan</t>
  </si>
  <si>
    <t>Rudder</t>
  </si>
  <si>
    <t>Cartmell</t>
  </si>
  <si>
    <t>Troland</t>
  </si>
  <si>
    <t>Berg</t>
  </si>
  <si>
    <t>Engtrakul</t>
  </si>
  <si>
    <t>Chaiwat</t>
  </si>
  <si>
    <t>Leonhardt</t>
  </si>
  <si>
    <t>Kerri</t>
  </si>
  <si>
    <t>Goetz</t>
  </si>
  <si>
    <t>Cacharelis</t>
  </si>
  <si>
    <t>Nicholas G</t>
  </si>
  <si>
    <t>Kariolis</t>
  </si>
  <si>
    <t>Vasilis S</t>
  </si>
  <si>
    <t>Zelwin</t>
  </si>
  <si>
    <t>Colleen C.</t>
  </si>
  <si>
    <t>Bannon</t>
  </si>
  <si>
    <t>Annika</t>
  </si>
  <si>
    <t>Vetter</t>
  </si>
  <si>
    <t>Nicholas C.</t>
  </si>
  <si>
    <t>Jablonski</t>
  </si>
  <si>
    <t>Kelly K</t>
  </si>
  <si>
    <t>Jakubowitch</t>
  </si>
  <si>
    <t>Altshuler</t>
  </si>
  <si>
    <t>Hannah</t>
  </si>
  <si>
    <t>Ugarte</t>
  </si>
  <si>
    <t>Patricio Sr.</t>
  </si>
  <si>
    <t>Tusso</t>
  </si>
  <si>
    <t>Robert B</t>
  </si>
  <si>
    <t>Benjamin M</t>
  </si>
  <si>
    <t>Landry</t>
  </si>
  <si>
    <t>McDonald</t>
  </si>
  <si>
    <t>Eric R.</t>
  </si>
  <si>
    <t>Larue</t>
  </si>
  <si>
    <t>Bob R</t>
  </si>
  <si>
    <t>Stephanie J.</t>
  </si>
  <si>
    <t>Marcus</t>
  </si>
  <si>
    <t>Daubert</t>
  </si>
  <si>
    <t>Close</t>
  </si>
  <si>
    <t>Roels</t>
  </si>
  <si>
    <t>Guillaume</t>
  </si>
  <si>
    <t>Venosky</t>
  </si>
  <si>
    <t>Kaylee</t>
  </si>
  <si>
    <t>Gosnell</t>
  </si>
  <si>
    <t>Theresa</t>
  </si>
  <si>
    <t>Chewning-Kulick</t>
  </si>
  <si>
    <t>Travis G.</t>
  </si>
  <si>
    <t>Emma L.</t>
  </si>
  <si>
    <t>Manion</t>
  </si>
  <si>
    <t>Linda</t>
  </si>
  <si>
    <t>Owen R</t>
  </si>
  <si>
    <t>Leblanc</t>
  </si>
  <si>
    <t>Jacqueline</t>
  </si>
  <si>
    <t>Yefeng</t>
  </si>
  <si>
    <t>Goldsby</t>
  </si>
  <si>
    <t>Ken</t>
  </si>
  <si>
    <t>Mahoney</t>
  </si>
  <si>
    <t>Annie E</t>
  </si>
  <si>
    <t>McCracken</t>
  </si>
  <si>
    <t>Noel K.</t>
  </si>
  <si>
    <t>Spewak</t>
  </si>
  <si>
    <t>Cottini</t>
  </si>
  <si>
    <t>Federica</t>
  </si>
  <si>
    <t>Findlay</t>
  </si>
  <si>
    <t>Pamela L</t>
  </si>
  <si>
    <t>Strasburg</t>
  </si>
  <si>
    <t>Andrew W.</t>
  </si>
  <si>
    <t>Deeter</t>
  </si>
  <si>
    <t>Arpin</t>
  </si>
  <si>
    <t>Azelie</t>
  </si>
  <si>
    <t>Schoeneck</t>
  </si>
  <si>
    <t>Monica M.</t>
  </si>
  <si>
    <t>Katarina K.</t>
  </si>
  <si>
    <t>Willits</t>
  </si>
  <si>
    <t>Syring</t>
  </si>
  <si>
    <t>Strike</t>
  </si>
  <si>
    <t>Stacey L.</t>
  </si>
  <si>
    <t>Hennigar</t>
  </si>
  <si>
    <t>May</t>
  </si>
  <si>
    <t>Metcalf</t>
  </si>
  <si>
    <t>Tiska</t>
  </si>
  <si>
    <t>James C.</t>
  </si>
  <si>
    <t>Fairley</t>
  </si>
  <si>
    <t>Kim</t>
  </si>
  <si>
    <t>Piasta</t>
  </si>
  <si>
    <t>Dariusz</t>
  </si>
  <si>
    <t>Olsen</t>
  </si>
  <si>
    <t>Kristen</t>
  </si>
  <si>
    <t>De Jesus</t>
  </si>
  <si>
    <t>Jose Guadalupe P. Sr.</t>
  </si>
  <si>
    <t>Bartus</t>
  </si>
  <si>
    <t>Stevens</t>
  </si>
  <si>
    <t>Holly J</t>
  </si>
  <si>
    <t>Fayter</t>
  </si>
  <si>
    <t>Parise</t>
  </si>
  <si>
    <t>Tricity M</t>
  </si>
  <si>
    <t>Gryniewicz</t>
  </si>
  <si>
    <t>Sarah A</t>
  </si>
  <si>
    <t>Panora</t>
  </si>
  <si>
    <t>Lisa M.</t>
  </si>
  <si>
    <t>Tracy A.</t>
  </si>
  <si>
    <t>Lambe</t>
  </si>
  <si>
    <t>Casto</t>
  </si>
  <si>
    <t>Trent</t>
  </si>
  <si>
    <t>Martelli</t>
  </si>
  <si>
    <t>Julie</t>
  </si>
  <si>
    <t>Naskret</t>
  </si>
  <si>
    <t>Sawomir</t>
  </si>
  <si>
    <t>Micah</t>
  </si>
  <si>
    <t>Maloney</t>
  </si>
  <si>
    <t>Kelly H.</t>
  </si>
  <si>
    <t>Amherst</t>
  </si>
  <si>
    <t>Lindsay M.</t>
  </si>
  <si>
    <t>Austen G</t>
  </si>
  <si>
    <t>Johansen</t>
  </si>
  <si>
    <t>Tory J.</t>
  </si>
  <si>
    <t>Robert J.</t>
  </si>
  <si>
    <t>Steph</t>
  </si>
  <si>
    <t>Kaufmann</t>
  </si>
  <si>
    <t>Kristina</t>
  </si>
  <si>
    <t>Barnes-Zurkinden</t>
  </si>
  <si>
    <t>Flo</t>
  </si>
  <si>
    <t>Wolter</t>
  </si>
  <si>
    <t>Sarah P.</t>
  </si>
  <si>
    <t>Pearson</t>
  </si>
  <si>
    <t>Anabel</t>
  </si>
  <si>
    <t>Ian</t>
  </si>
  <si>
    <t>Leon</t>
  </si>
  <si>
    <t>Marriott</t>
  </si>
  <si>
    <t>Richard J</t>
  </si>
  <si>
    <t>Wilkins</t>
  </si>
  <si>
    <t>Jacqueline N.</t>
  </si>
  <si>
    <t>Saiter</t>
  </si>
  <si>
    <t>Cindy</t>
  </si>
  <si>
    <t>Winrow</t>
  </si>
  <si>
    <t>Marcia</t>
  </si>
  <si>
    <t>Gries</t>
  </si>
  <si>
    <t>Samantha R.</t>
  </si>
  <si>
    <t>Strohschein</t>
  </si>
  <si>
    <t>John P</t>
  </si>
  <si>
    <t>Coogan</t>
  </si>
  <si>
    <t>Gagnon</t>
  </si>
  <si>
    <t>Isabelle</t>
  </si>
  <si>
    <t>Neil</t>
  </si>
  <si>
    <t>Nathan</t>
  </si>
  <si>
    <t>Fox</t>
  </si>
  <si>
    <t>Kelli N</t>
  </si>
  <si>
    <t>Traver</t>
  </si>
  <si>
    <t>Quick</t>
  </si>
  <si>
    <t>Grant A</t>
  </si>
  <si>
    <t>Jonathan C</t>
  </si>
  <si>
    <t>Theriot</t>
  </si>
  <si>
    <t>Rachael M.</t>
  </si>
  <si>
    <t>Michalis</t>
  </si>
  <si>
    <t>Pilar</t>
  </si>
  <si>
    <t>Kyle M</t>
  </si>
  <si>
    <t>Tjong Clemons</t>
  </si>
  <si>
    <t>Christie</t>
  </si>
  <si>
    <t>Palma</t>
  </si>
  <si>
    <t>David A.</t>
  </si>
  <si>
    <t>Takaoka</t>
  </si>
  <si>
    <t>Masahiro</t>
  </si>
  <si>
    <t>Sherman</t>
  </si>
  <si>
    <t>Logan B.</t>
  </si>
  <si>
    <t>Andre</t>
  </si>
  <si>
    <t>Stephanie L.</t>
  </si>
  <si>
    <t>Switt</t>
  </si>
  <si>
    <t>Angela H</t>
  </si>
  <si>
    <t>Britt K</t>
  </si>
  <si>
    <t>Joyce R.</t>
  </si>
  <si>
    <t>Whitbeck</t>
  </si>
  <si>
    <t>Auer</t>
  </si>
  <si>
    <t>Attar</t>
  </si>
  <si>
    <t>Misuraca</t>
  </si>
  <si>
    <t>Spannaus</t>
  </si>
  <si>
    <t>Michaela L</t>
  </si>
  <si>
    <t>Tarbiat</t>
  </si>
  <si>
    <t>Shalaleh</t>
  </si>
  <si>
    <t>Pulkkinen</t>
  </si>
  <si>
    <t>Trnovcova</t>
  </si>
  <si>
    <t>Zuzana</t>
  </si>
  <si>
    <t>Daniel J.</t>
  </si>
  <si>
    <t>Hetrick</t>
  </si>
  <si>
    <t>Stern</t>
  </si>
  <si>
    <t>Newman</t>
  </si>
  <si>
    <t>Matthew M</t>
  </si>
  <si>
    <t>Nadine A.</t>
  </si>
  <si>
    <t>Mone</t>
  </si>
  <si>
    <t>Peter J. Jr.</t>
  </si>
  <si>
    <t>Powers</t>
  </si>
  <si>
    <t>Ulery</t>
  </si>
  <si>
    <t>Douglas W</t>
  </si>
  <si>
    <t>Catherine</t>
  </si>
  <si>
    <t>Cho</t>
  </si>
  <si>
    <t>Youngseong</t>
  </si>
  <si>
    <t>Reumann</t>
  </si>
  <si>
    <t>Cooper</t>
  </si>
  <si>
    <t>Brandon S.</t>
  </si>
  <si>
    <t>Sean P</t>
  </si>
  <si>
    <t>Cichon</t>
  </si>
  <si>
    <t>Maroevic</t>
  </si>
  <si>
    <t>Janez</t>
  </si>
  <si>
    <t>John I. Jr.</t>
  </si>
  <si>
    <t>Schulz</t>
  </si>
  <si>
    <t>Capriolo</t>
  </si>
  <si>
    <t>Borleis</t>
  </si>
  <si>
    <t>Conrad</t>
  </si>
  <si>
    <t>Karakoyunlu</t>
  </si>
  <si>
    <t>Deniz</t>
  </si>
  <si>
    <t>Desrosiers</t>
  </si>
  <si>
    <t>Shannon L.</t>
  </si>
  <si>
    <t>Kaitlin M.</t>
  </si>
  <si>
    <t>Shabot Marcos</t>
  </si>
  <si>
    <t>Alfredo</t>
  </si>
  <si>
    <t>Comment</t>
  </si>
  <si>
    <t>Moss</t>
  </si>
  <si>
    <t>Troy</t>
  </si>
  <si>
    <t>Clash</t>
  </si>
  <si>
    <t>Daniel C</t>
  </si>
  <si>
    <t>Blankenship</t>
  </si>
  <si>
    <t>Lloyd</t>
  </si>
  <si>
    <t>Jennefer</t>
  </si>
  <si>
    <t>Kong</t>
  </si>
  <si>
    <t>Tracey L.</t>
  </si>
  <si>
    <t>Benson</t>
  </si>
  <si>
    <t>Huntington</t>
  </si>
  <si>
    <t>Kendall</t>
  </si>
  <si>
    <t>Esther</t>
  </si>
  <si>
    <t>Gast</t>
  </si>
  <si>
    <t>Jackie</t>
  </si>
  <si>
    <t>Scanlin</t>
  </si>
  <si>
    <t>Timothy P.</t>
  </si>
  <si>
    <t>Philbrook</t>
  </si>
  <si>
    <t>Cowan</t>
  </si>
  <si>
    <t>Sousa</t>
  </si>
  <si>
    <t>Hugo M</t>
  </si>
  <si>
    <t>Stanton</t>
  </si>
  <si>
    <t>Daniel J. Jr.</t>
  </si>
  <si>
    <t>Mollak</t>
  </si>
  <si>
    <t>Weston</t>
  </si>
  <si>
    <t>Rob</t>
  </si>
  <si>
    <t>Rabuzzi</t>
  </si>
  <si>
    <t>Hendrix</t>
  </si>
  <si>
    <t>Austin D</t>
  </si>
  <si>
    <t>Van Nielen</t>
  </si>
  <si>
    <t>Brittany</t>
  </si>
  <si>
    <t>Schout</t>
  </si>
  <si>
    <t>Becky G.</t>
  </si>
  <si>
    <t>Schmaltz</t>
  </si>
  <si>
    <t>Virginie</t>
  </si>
  <si>
    <t>Eagen</t>
  </si>
  <si>
    <t>Allison A</t>
  </si>
  <si>
    <t>Rotramel</t>
  </si>
  <si>
    <t>Prevost</t>
  </si>
  <si>
    <t>Caleb</t>
  </si>
  <si>
    <t>Nyambaso</t>
  </si>
  <si>
    <t>Zachariah</t>
  </si>
  <si>
    <t>Shaffer</t>
  </si>
  <si>
    <t>Patricia A</t>
  </si>
  <si>
    <t>Corkum</t>
  </si>
  <si>
    <t>Pedersen</t>
  </si>
  <si>
    <t>Melo</t>
  </si>
  <si>
    <t>Breno</t>
  </si>
  <si>
    <t>Sakamoto</t>
  </si>
  <si>
    <t>Takaya</t>
  </si>
  <si>
    <t>Thomas IV</t>
  </si>
  <si>
    <t>Bradley E</t>
  </si>
  <si>
    <t>Lombardo</t>
  </si>
  <si>
    <t>Bode</t>
  </si>
  <si>
    <t>Ruby J</t>
  </si>
  <si>
    <t>Bart</t>
  </si>
  <si>
    <t>Norcross</t>
  </si>
  <si>
    <t>Robert A.</t>
  </si>
  <si>
    <t>Lazrus</t>
  </si>
  <si>
    <t>Tsegay</t>
  </si>
  <si>
    <t>Yemane Adhane</t>
  </si>
  <si>
    <t>Schneider</t>
  </si>
  <si>
    <t>Jesse A.</t>
  </si>
  <si>
    <t>Loreto</t>
  </si>
  <si>
    <t>Bird</t>
  </si>
  <si>
    <t>Callahan</t>
  </si>
  <si>
    <t>Patrick M.</t>
  </si>
  <si>
    <t>Timko</t>
  </si>
  <si>
    <t>Achatz</t>
  </si>
  <si>
    <t>Horwitz</t>
  </si>
  <si>
    <t>Yuri</t>
  </si>
  <si>
    <t>Gordyan</t>
  </si>
  <si>
    <t>Debbie</t>
  </si>
  <si>
    <t>Battoo</t>
  </si>
  <si>
    <t>Barker</t>
  </si>
  <si>
    <t>Daniell L</t>
  </si>
  <si>
    <t>Saarnilehto</t>
  </si>
  <si>
    <t>Janne</t>
  </si>
  <si>
    <t>Elizabeth L</t>
  </si>
  <si>
    <t>Hillman</t>
  </si>
  <si>
    <t>Stephanie C.</t>
  </si>
  <si>
    <t>Bartel</t>
  </si>
  <si>
    <t>Callie</t>
  </si>
  <si>
    <t>Potekhina</t>
  </si>
  <si>
    <t>Mary K.</t>
  </si>
  <si>
    <t>Lapp</t>
  </si>
  <si>
    <t>Samuel M.</t>
  </si>
  <si>
    <t>Tom J.</t>
  </si>
  <si>
    <t>McCormick</t>
  </si>
  <si>
    <t>Coffed</t>
  </si>
  <si>
    <t>Dougie J</t>
  </si>
  <si>
    <t>Estes</t>
  </si>
  <si>
    <t>Jeremiah H</t>
  </si>
  <si>
    <t>Miles</t>
  </si>
  <si>
    <t>Ashley J.</t>
  </si>
  <si>
    <t>Zamore</t>
  </si>
  <si>
    <t>Turner J.</t>
  </si>
  <si>
    <t>Donaghy</t>
  </si>
  <si>
    <t>Roger</t>
  </si>
  <si>
    <t>Pamela</t>
  </si>
  <si>
    <t>Fiorini</t>
  </si>
  <si>
    <t>Katherine H.</t>
  </si>
  <si>
    <t>Watkins</t>
  </si>
  <si>
    <t>Robin</t>
  </si>
  <si>
    <t>Cassel</t>
  </si>
  <si>
    <t>Terri</t>
  </si>
  <si>
    <t>Eddie</t>
  </si>
  <si>
    <t>O'Sullivan</t>
  </si>
  <si>
    <t>Chepkirui</t>
  </si>
  <si>
    <t>Joyce</t>
  </si>
  <si>
    <t>Gurney</t>
  </si>
  <si>
    <t>Alison W.</t>
  </si>
  <si>
    <t>Francis</t>
  </si>
  <si>
    <t>Tammara C</t>
  </si>
  <si>
    <t>Gruca</t>
  </si>
  <si>
    <t>Dorota</t>
  </si>
  <si>
    <t>Rojas Alvarez</t>
  </si>
  <si>
    <t>Jose Norberto Sr.</t>
  </si>
  <si>
    <t>Denton</t>
  </si>
  <si>
    <t>Bryant</t>
  </si>
  <si>
    <t>Trout</t>
  </si>
  <si>
    <t>Gilbert</t>
  </si>
  <si>
    <t>Chong</t>
  </si>
  <si>
    <t>Eduardo</t>
  </si>
  <si>
    <t>Henry</t>
  </si>
  <si>
    <t>Laura M.</t>
  </si>
  <si>
    <t>Brenneman</t>
  </si>
  <si>
    <t>Kemp</t>
  </si>
  <si>
    <t>Melissa D.</t>
  </si>
  <si>
    <t>Dan C. Jr.</t>
  </si>
  <si>
    <t>Hillyard</t>
  </si>
  <si>
    <t>Wesley C.</t>
  </si>
  <si>
    <t>Gonzales</t>
  </si>
  <si>
    <t>Christin</t>
  </si>
  <si>
    <t>Sayre</t>
  </si>
  <si>
    <t>Panke</t>
  </si>
  <si>
    <t>Brennan</t>
  </si>
  <si>
    <t>Margaret P.</t>
  </si>
  <si>
    <t>Ngo</t>
  </si>
  <si>
    <t>Tiffany K</t>
  </si>
  <si>
    <t>Guerdan</t>
  </si>
  <si>
    <t>David M.</t>
  </si>
  <si>
    <t>Christine E</t>
  </si>
  <si>
    <t>Mills-Honarvar</t>
  </si>
  <si>
    <t>Donna</t>
  </si>
  <si>
    <t>Farvard</t>
  </si>
  <si>
    <t>Rod</t>
  </si>
  <si>
    <t>Joe</t>
  </si>
  <si>
    <t>Skinner</t>
  </si>
  <si>
    <t>Kayleigh</t>
  </si>
  <si>
    <t>Lorcan A.</t>
  </si>
  <si>
    <t>Shue</t>
  </si>
  <si>
    <t>Billy</t>
  </si>
  <si>
    <t>Paul M.</t>
  </si>
  <si>
    <t>Blinn</t>
  </si>
  <si>
    <t>Brenda M.</t>
  </si>
  <si>
    <t>Duyn</t>
  </si>
  <si>
    <t>Jeff H</t>
  </si>
  <si>
    <t>Wardian</t>
  </si>
  <si>
    <t>Heuninck</t>
  </si>
  <si>
    <t>Kipyego</t>
  </si>
  <si>
    <t>Bernard</t>
  </si>
  <si>
    <t>Kuehl</t>
  </si>
  <si>
    <t>Burkholder</t>
  </si>
  <si>
    <t>Bryn</t>
  </si>
  <si>
    <t>Stadolnik</t>
  </si>
  <si>
    <t>Shields</t>
  </si>
  <si>
    <t>Margolis</t>
  </si>
  <si>
    <t>Jay</t>
  </si>
  <si>
    <t>Uffenbeck</t>
  </si>
  <si>
    <t>Shelley</t>
  </si>
  <si>
    <t>Stepanova</t>
  </si>
  <si>
    <t>Jekaterina</t>
  </si>
  <si>
    <t>Verdi</t>
  </si>
  <si>
    <t>Pauline</t>
  </si>
  <si>
    <t>Mickelson</t>
  </si>
  <si>
    <t>Aleah K</t>
  </si>
  <si>
    <t>Dibaba</t>
  </si>
  <si>
    <t>Mare</t>
  </si>
  <si>
    <t>Shilling</t>
  </si>
  <si>
    <t>Bashaw</t>
  </si>
  <si>
    <t>Amanda R</t>
  </si>
  <si>
    <t>McCutcheon</t>
  </si>
  <si>
    <t>Murray W.</t>
  </si>
  <si>
    <t>Connor</t>
  </si>
  <si>
    <t>Meghan P.</t>
  </si>
  <si>
    <t>Geoghegan</t>
  </si>
  <si>
    <t>Seth</t>
  </si>
  <si>
    <t>McGinn</t>
  </si>
  <si>
    <t>Michael P.</t>
  </si>
  <si>
    <t>Russell M</t>
  </si>
  <si>
    <t>Quinteros</t>
  </si>
  <si>
    <t>Loenser</t>
  </si>
  <si>
    <t>Furrer</t>
  </si>
  <si>
    <t>Konigs</t>
  </si>
  <si>
    <t>Tesdahl</t>
  </si>
  <si>
    <t>Brock J</t>
  </si>
  <si>
    <t>Engel</t>
  </si>
  <si>
    <t>Stephen F.</t>
  </si>
  <si>
    <t>Kuck</t>
  </si>
  <si>
    <t>Missy</t>
  </si>
  <si>
    <t>Neuschel</t>
  </si>
  <si>
    <t>Lauren M</t>
  </si>
  <si>
    <t>Rosales Ramirez</t>
  </si>
  <si>
    <t>Apolo U.</t>
  </si>
  <si>
    <t>Marquez</t>
  </si>
  <si>
    <t>Alfons</t>
  </si>
  <si>
    <t>Green</t>
  </si>
  <si>
    <t>Amber</t>
  </si>
  <si>
    <t>Schubel</t>
  </si>
  <si>
    <t>Leah C.</t>
  </si>
  <si>
    <t>Jimenez</t>
  </si>
  <si>
    <t>Lilia</t>
  </si>
  <si>
    <t>Zimny-Schmitt</t>
  </si>
  <si>
    <t>Danny</t>
  </si>
  <si>
    <t>Brohart</t>
  </si>
  <si>
    <t>Oka</t>
  </si>
  <si>
    <t>Satomi</t>
  </si>
  <si>
    <t>Metzger</t>
  </si>
  <si>
    <t>Peter T II</t>
  </si>
  <si>
    <t>Vaughn</t>
  </si>
  <si>
    <t>Kindsey P.</t>
  </si>
  <si>
    <t>Thomas G.</t>
  </si>
  <si>
    <t>Petty</t>
  </si>
  <si>
    <t>Kyle S</t>
  </si>
  <si>
    <t>Alexander J.</t>
  </si>
  <si>
    <t>Dustin L</t>
  </si>
  <si>
    <t>Lasseron</t>
  </si>
  <si>
    <t>Chloe</t>
  </si>
  <si>
    <t>Bushong</t>
  </si>
  <si>
    <t>Cailtlin</t>
  </si>
  <si>
    <t>Dennison</t>
  </si>
  <si>
    <t>Lira</t>
  </si>
  <si>
    <t>Chuy</t>
  </si>
  <si>
    <t>Nahigian</t>
  </si>
  <si>
    <t>Laurie B</t>
  </si>
  <si>
    <t>Cackett</t>
  </si>
  <si>
    <t>Rachel B.</t>
  </si>
  <si>
    <t>Hunter-Galvan</t>
  </si>
  <si>
    <t>Liza</t>
  </si>
  <si>
    <t>Pierret</t>
  </si>
  <si>
    <t>Lindsay E.</t>
  </si>
  <si>
    <t>O'Neil</t>
  </si>
  <si>
    <t>Kathleen M.</t>
  </si>
  <si>
    <t>Leitz</t>
  </si>
  <si>
    <t>Aya</t>
  </si>
  <si>
    <t>Durfee</t>
  </si>
  <si>
    <t>Carolyn R</t>
  </si>
  <si>
    <t>Maylone</t>
  </si>
  <si>
    <t>Bethany</t>
  </si>
  <si>
    <t>Reiland</t>
  </si>
  <si>
    <t>Holly A</t>
  </si>
  <si>
    <t>Hu</t>
  </si>
  <si>
    <t>Ping</t>
  </si>
  <si>
    <t>Lessek</t>
  </si>
  <si>
    <t>Colavincenzo</t>
  </si>
  <si>
    <t>Mendez-Karr</t>
  </si>
  <si>
    <t>Saulnier</t>
  </si>
  <si>
    <t>Emmett</t>
  </si>
  <si>
    <t>Schoonover</t>
  </si>
  <si>
    <t>Hass</t>
  </si>
  <si>
    <t>Christopher L.</t>
  </si>
  <si>
    <t>Cadotte</t>
  </si>
  <si>
    <t>Christopher P.</t>
  </si>
  <si>
    <t>Cacciapaglia</t>
  </si>
  <si>
    <t>Christopher W</t>
  </si>
  <si>
    <t>Mininger</t>
  </si>
  <si>
    <t>Norman H.</t>
  </si>
  <si>
    <t>Mayo</t>
  </si>
  <si>
    <t>Zicko</t>
  </si>
  <si>
    <t>Tatyana K</t>
  </si>
  <si>
    <t>Chrissy</t>
  </si>
  <si>
    <t>Cupp</t>
  </si>
  <si>
    <t>Halle</t>
  </si>
  <si>
    <t>Klassen</t>
  </si>
  <si>
    <t>Tara D.</t>
  </si>
  <si>
    <t>Musal</t>
  </si>
  <si>
    <t>Rasim M</t>
  </si>
  <si>
    <t>Kitayama</t>
  </si>
  <si>
    <t>Dina</t>
  </si>
  <si>
    <t>Altman</t>
  </si>
  <si>
    <t>Demchko</t>
  </si>
  <si>
    <t>Caitrin</t>
  </si>
  <si>
    <t>Adriana S</t>
  </si>
  <si>
    <t>Betts</t>
  </si>
  <si>
    <t>Kristen M</t>
  </si>
  <si>
    <t>Vandeventer</t>
  </si>
  <si>
    <t>Alix</t>
  </si>
  <si>
    <t>Hirano</t>
  </si>
  <si>
    <t>Kakushin</t>
  </si>
  <si>
    <t>Davi</t>
  </si>
  <si>
    <t>Michael J</t>
  </si>
  <si>
    <t>Sloan</t>
  </si>
  <si>
    <t>Homich</t>
  </si>
  <si>
    <t>Amanda C.</t>
  </si>
  <si>
    <t>Kristjansson</t>
  </si>
  <si>
    <t>Valur</t>
  </si>
  <si>
    <t>Pitman</t>
  </si>
  <si>
    <t>Erica J</t>
  </si>
  <si>
    <t>Curley</t>
  </si>
  <si>
    <t>Zimmer</t>
  </si>
  <si>
    <t>Lissa</t>
  </si>
  <si>
    <t>Granski</t>
  </si>
  <si>
    <t>Alyson</t>
  </si>
  <si>
    <t>Regina</t>
  </si>
  <si>
    <t>Chance B</t>
  </si>
  <si>
    <t>Howe</t>
  </si>
  <si>
    <t>Therese</t>
  </si>
  <si>
    <t>Atwater</t>
  </si>
  <si>
    <t>Beau</t>
  </si>
  <si>
    <t>Gurganus</t>
  </si>
  <si>
    <t>Kelsey M</t>
  </si>
  <si>
    <t>Holden</t>
  </si>
  <si>
    <t>Gretchen</t>
  </si>
  <si>
    <t>Parton</t>
  </si>
  <si>
    <t>Nicholas E.</t>
  </si>
  <si>
    <t>Deborah</t>
  </si>
  <si>
    <t>Dent</t>
  </si>
  <si>
    <t>Chuck W. Jr.</t>
  </si>
  <si>
    <t>Ranti</t>
  </si>
  <si>
    <t>Ishaq</t>
  </si>
  <si>
    <t>Amany</t>
  </si>
  <si>
    <t>Wiles</t>
  </si>
  <si>
    <t>Kipling</t>
  </si>
  <si>
    <t>Serafini</t>
  </si>
  <si>
    <t>Louis C.</t>
  </si>
  <si>
    <t>Button</t>
  </si>
  <si>
    <t>Gaal</t>
  </si>
  <si>
    <t>Ildiko M.</t>
  </si>
  <si>
    <t>Liptak</t>
  </si>
  <si>
    <t>Melinda E.</t>
  </si>
  <si>
    <t>Kellam</t>
  </si>
  <si>
    <t>Ashley M</t>
  </si>
  <si>
    <t>Gordon</t>
  </si>
  <si>
    <t>Sean P.</t>
  </si>
  <si>
    <t>Wagoner</t>
  </si>
  <si>
    <t>Emily G</t>
  </si>
  <si>
    <t>Goffi</t>
  </si>
  <si>
    <t>Danilo</t>
  </si>
  <si>
    <t>Salovaara</t>
  </si>
  <si>
    <t>Mikko</t>
  </si>
  <si>
    <t>Reid</t>
  </si>
  <si>
    <t>Paula C.</t>
  </si>
  <si>
    <t>Allan</t>
  </si>
  <si>
    <t>Kirsten N.</t>
  </si>
  <si>
    <t>McLaughlin</t>
  </si>
  <si>
    <t>Christy</t>
  </si>
  <si>
    <t>Tang</t>
  </si>
  <si>
    <t>Jingjing</t>
  </si>
  <si>
    <t>Chepkwony</t>
  </si>
  <si>
    <t>Frankline</t>
  </si>
  <si>
    <t>Laura T.</t>
  </si>
  <si>
    <t>Szynkarczuk</t>
  </si>
  <si>
    <t>Natalia</t>
  </si>
  <si>
    <t>Brill</t>
  </si>
  <si>
    <t>Jennifer L.</t>
  </si>
  <si>
    <t>Brooke</t>
  </si>
  <si>
    <t>Nunn</t>
  </si>
  <si>
    <t>Jeremy M</t>
  </si>
  <si>
    <t>Blair</t>
  </si>
  <si>
    <t>Megan L.</t>
  </si>
  <si>
    <t>Sharkey</t>
  </si>
  <si>
    <t>Scalard</t>
  </si>
  <si>
    <t>Marny</t>
  </si>
  <si>
    <t>Burget</t>
  </si>
  <si>
    <t>English</t>
  </si>
  <si>
    <t>Benjamin L</t>
  </si>
  <si>
    <t>Hampton</t>
  </si>
  <si>
    <t>Rob G</t>
  </si>
  <si>
    <t>Stefanie A</t>
  </si>
  <si>
    <t>Lucas</t>
  </si>
  <si>
    <t>Caroline F.</t>
  </si>
  <si>
    <t>Julia J.</t>
  </si>
  <si>
    <t>Cherewatti</t>
  </si>
  <si>
    <t>Olle</t>
  </si>
  <si>
    <t>Bernat</t>
  </si>
  <si>
    <t>Hamsi</t>
  </si>
  <si>
    <t>Hicham</t>
  </si>
  <si>
    <t>Finnegan</t>
  </si>
  <si>
    <t>Villa</t>
  </si>
  <si>
    <t>Elisabetta</t>
  </si>
  <si>
    <t>Cable</t>
  </si>
  <si>
    <t>Trevor N.</t>
  </si>
  <si>
    <t>Eiring</t>
  </si>
  <si>
    <t>Nancy</t>
  </si>
  <si>
    <t>Allison R.</t>
  </si>
  <si>
    <t>Friedman</t>
  </si>
  <si>
    <t>Croker</t>
  </si>
  <si>
    <t>Beganics</t>
  </si>
  <si>
    <t>Huberty</t>
  </si>
  <si>
    <t>Janae N.</t>
  </si>
  <si>
    <t>Hazlehurst</t>
  </si>
  <si>
    <t>Marin</t>
  </si>
  <si>
    <t>Dear</t>
  </si>
  <si>
    <t>Nicole F</t>
  </si>
  <si>
    <t>Lederer</t>
  </si>
  <si>
    <t>Krista L</t>
  </si>
  <si>
    <t>Robson</t>
  </si>
  <si>
    <t>Denise</t>
  </si>
  <si>
    <t>Galvan</t>
  </si>
  <si>
    <t>Ariel</t>
  </si>
  <si>
    <t>Teeuwen</t>
  </si>
  <si>
    <t>Rosalie</t>
  </si>
  <si>
    <t>List</t>
  </si>
  <si>
    <t>Shafar</t>
  </si>
  <si>
    <t>Vitaliy</t>
  </si>
  <si>
    <t>Copenhaver</t>
  </si>
  <si>
    <t>Benjamin W.</t>
  </si>
  <si>
    <t>Stump</t>
  </si>
  <si>
    <t>Wehrman</t>
  </si>
  <si>
    <t>Sischo</t>
  </si>
  <si>
    <t>Fonti</t>
  </si>
  <si>
    <t>Massimiliano</t>
  </si>
  <si>
    <t>Merlis</t>
  </si>
  <si>
    <t>Hasegawa</t>
  </si>
  <si>
    <t>Kiyokatsu</t>
  </si>
  <si>
    <t>Haselden</t>
  </si>
  <si>
    <t>Simonson</t>
  </si>
  <si>
    <t>Montag</t>
  </si>
  <si>
    <t>Julia M</t>
  </si>
  <si>
    <t>Deroian</t>
  </si>
  <si>
    <t>Rhea</t>
  </si>
  <si>
    <t>Shamus M.</t>
  </si>
  <si>
    <t>Strickler</t>
  </si>
  <si>
    <t>Mary Beth</t>
  </si>
  <si>
    <t>Simone</t>
  </si>
  <si>
    <t>Erin</t>
  </si>
  <si>
    <t>Von Rock</t>
  </si>
  <si>
    <t>Hallie</t>
  </si>
  <si>
    <t>Woodard</t>
  </si>
  <si>
    <t>Paige P</t>
  </si>
  <si>
    <t>Ji</t>
  </si>
  <si>
    <t>Sinda</t>
  </si>
  <si>
    <t>Carissa A</t>
  </si>
  <si>
    <t>Rydland</t>
  </si>
  <si>
    <t>Mona</t>
  </si>
  <si>
    <t>Vespa</t>
  </si>
  <si>
    <t>Kristin R.</t>
  </si>
  <si>
    <t>Meadows</t>
  </si>
  <si>
    <t>Toppen</t>
  </si>
  <si>
    <t>Ermer</t>
  </si>
  <si>
    <t>Dionne</t>
  </si>
  <si>
    <t>Hilary K.</t>
  </si>
  <si>
    <t>Stasulli</t>
  </si>
  <si>
    <t>Dominique</t>
  </si>
  <si>
    <t>Duran</t>
  </si>
  <si>
    <t>Carlos I</t>
  </si>
  <si>
    <t>Klundt</t>
  </si>
  <si>
    <t>Waters</t>
  </si>
  <si>
    <t>Rusk</t>
  </si>
  <si>
    <t>Sarah S</t>
  </si>
  <si>
    <t>Gersbach</t>
  </si>
  <si>
    <t>Shauna R.</t>
  </si>
  <si>
    <t>Taylor-Watson</t>
  </si>
  <si>
    <t>Lindsay J.</t>
  </si>
  <si>
    <t>Danya A.</t>
  </si>
  <si>
    <t>Levitsky</t>
  </si>
  <si>
    <t>Lorraine</t>
  </si>
  <si>
    <t>Carroll</t>
  </si>
  <si>
    <t>Campos</t>
  </si>
  <si>
    <t>Jesus Sr.</t>
  </si>
  <si>
    <t>Flajslik</t>
  </si>
  <si>
    <t>Chua</t>
  </si>
  <si>
    <t>Catherine C.</t>
  </si>
  <si>
    <t>Evan</t>
  </si>
  <si>
    <t>Wilzbacher</t>
  </si>
  <si>
    <t>Nathan J</t>
  </si>
  <si>
    <t>Thayer</t>
  </si>
  <si>
    <t>Brosseau</t>
  </si>
  <si>
    <t>Phares</t>
  </si>
  <si>
    <t>Lavar</t>
  </si>
  <si>
    <t>Charlie T.</t>
  </si>
  <si>
    <t>Padula</t>
  </si>
  <si>
    <t>Gamirov</t>
  </si>
  <si>
    <t>Arthur</t>
  </si>
  <si>
    <t>Briot</t>
  </si>
  <si>
    <t>De Hueck</t>
  </si>
  <si>
    <t>Putt</t>
  </si>
  <si>
    <t>Tammy</t>
  </si>
  <si>
    <t>Deiman</t>
  </si>
  <si>
    <t>Lena</t>
  </si>
  <si>
    <t>Bonanni</t>
  </si>
  <si>
    <t>Valentina</t>
  </si>
  <si>
    <t>Stein</t>
  </si>
  <si>
    <t>Russell N.</t>
  </si>
  <si>
    <t>Laumann</t>
  </si>
  <si>
    <t>Scott R.</t>
  </si>
  <si>
    <t>Galaviz</t>
  </si>
  <si>
    <t>Jose Francisco Sr.</t>
  </si>
  <si>
    <t>Piper</t>
  </si>
  <si>
    <t>Paul J</t>
  </si>
  <si>
    <t>Cantini</t>
  </si>
  <si>
    <t>Edward J.</t>
  </si>
  <si>
    <t>Werhane</t>
  </si>
  <si>
    <t>Patrick A.</t>
  </si>
  <si>
    <t>Davies</t>
  </si>
  <si>
    <t>Geraint H</t>
  </si>
  <si>
    <t>Hummel</t>
  </si>
  <si>
    <t>Dj</t>
  </si>
  <si>
    <t>Lutz</t>
  </si>
  <si>
    <t>Zachary A</t>
  </si>
  <si>
    <t>Brian W.</t>
  </si>
  <si>
    <t>Viglienzoni</t>
  </si>
  <si>
    <t>Rathbun</t>
  </si>
  <si>
    <t>crane</t>
  </si>
  <si>
    <t>Ellen L.</t>
  </si>
  <si>
    <t>Conant</t>
  </si>
  <si>
    <t>Huyser-Wierenga</t>
  </si>
  <si>
    <t>Abigail R.</t>
  </si>
  <si>
    <t>Natalini</t>
  </si>
  <si>
    <t>Robbins</t>
  </si>
  <si>
    <t>Stanislav</t>
  </si>
  <si>
    <t>Grace H</t>
  </si>
  <si>
    <t>Caitie J.</t>
  </si>
  <si>
    <t>Mears</t>
  </si>
  <si>
    <t>Neill</t>
  </si>
  <si>
    <t>Ian T</t>
  </si>
  <si>
    <t>Tola</t>
  </si>
  <si>
    <t>Tadese</t>
  </si>
  <si>
    <t>Briskman</t>
  </si>
  <si>
    <t>Ritzenhein</t>
  </si>
  <si>
    <t>Dathan</t>
  </si>
  <si>
    <t>Malkowski</t>
  </si>
  <si>
    <t>Andreyko</t>
  </si>
  <si>
    <t>Lozier</t>
  </si>
  <si>
    <t>Aaron R</t>
  </si>
  <si>
    <t>Caitlin H.</t>
  </si>
  <si>
    <t>Rodas</t>
  </si>
  <si>
    <t>Harald E.</t>
  </si>
  <si>
    <t>Siobhan A.</t>
  </si>
  <si>
    <t>Andrea J.</t>
  </si>
  <si>
    <t>Karmen</t>
  </si>
  <si>
    <t>Rachel A.</t>
  </si>
  <si>
    <t>Lippmann</t>
  </si>
  <si>
    <t>Kiersten</t>
  </si>
  <si>
    <t>Klehm</t>
  </si>
  <si>
    <t>Desisa</t>
  </si>
  <si>
    <t>Lelisa</t>
  </si>
  <si>
    <t>Brooks</t>
  </si>
  <si>
    <t>Chris C.</t>
  </si>
  <si>
    <t>Weispfennig</t>
  </si>
  <si>
    <t>Sorrell</t>
  </si>
  <si>
    <t>Erik C.</t>
  </si>
  <si>
    <t>Marek</t>
  </si>
  <si>
    <t>Shawn C</t>
  </si>
  <si>
    <t>Vajin L.</t>
  </si>
  <si>
    <t>Werner</t>
  </si>
  <si>
    <t>John K. Jr.</t>
  </si>
  <si>
    <t>Kevin J.</t>
  </si>
  <si>
    <t>Kirby W.</t>
  </si>
  <si>
    <t>Penny</t>
  </si>
  <si>
    <t>J A</t>
  </si>
  <si>
    <t>Dustin G.</t>
  </si>
  <si>
    <t>Masayesva</t>
  </si>
  <si>
    <t>Anthony G</t>
  </si>
  <si>
    <t>Paavola</t>
  </si>
  <si>
    <t>Gehlsen</t>
  </si>
  <si>
    <t>Eric N</t>
  </si>
  <si>
    <t>Roche</t>
  </si>
  <si>
    <t>Hearn</t>
  </si>
  <si>
    <t>Patrick H.</t>
  </si>
  <si>
    <t>Dimson</t>
  </si>
  <si>
    <t>Slason</t>
  </si>
  <si>
    <t>Deborah L.</t>
  </si>
  <si>
    <t>Gibson</t>
  </si>
  <si>
    <t>Andrea K</t>
  </si>
  <si>
    <t>Erdos</t>
  </si>
  <si>
    <t>Elleree</t>
  </si>
  <si>
    <t>Cushman</t>
  </si>
  <si>
    <t>Brandon J</t>
  </si>
  <si>
    <t>Hammel</t>
  </si>
  <si>
    <t>Ytterstad</t>
  </si>
  <si>
    <t>Nina Wavik Sr.</t>
  </si>
  <si>
    <t>Prince</t>
  </si>
  <si>
    <t>Dani</t>
  </si>
  <si>
    <t>Petrulak</t>
  </si>
  <si>
    <t>Zablocki</t>
  </si>
  <si>
    <t>Van Meter</t>
  </si>
  <si>
    <t>Kathryn M.</t>
  </si>
  <si>
    <t>Babay</t>
  </si>
  <si>
    <t>Trent A</t>
  </si>
  <si>
    <t>Jennifer E</t>
  </si>
  <si>
    <t>Moody</t>
  </si>
  <si>
    <t>Swierzbinski</t>
  </si>
  <si>
    <t>Schwartz</t>
  </si>
  <si>
    <t>Tiffany A.</t>
  </si>
  <si>
    <t>Sanseverino</t>
  </si>
  <si>
    <t>Lawder</t>
  </si>
  <si>
    <t>Hoerner</t>
  </si>
  <si>
    <t>Pat</t>
  </si>
  <si>
    <t>Beaulne</t>
  </si>
  <si>
    <t>Rebecca M.</t>
  </si>
  <si>
    <t>Lunz</t>
  </si>
  <si>
    <t>Ruth</t>
  </si>
  <si>
    <t>Gregory S</t>
  </si>
  <si>
    <t>Brackenwagen</t>
  </si>
  <si>
    <t>Alexandra S</t>
  </si>
  <si>
    <t>Schmitt</t>
  </si>
  <si>
    <t>Hillary</t>
  </si>
  <si>
    <t>Borden</t>
  </si>
  <si>
    <t>Amy K.</t>
  </si>
  <si>
    <t>Regan</t>
  </si>
  <si>
    <t>Koenis</t>
  </si>
  <si>
    <t>Maaikel</t>
  </si>
  <si>
    <t>Kittaka</t>
  </si>
  <si>
    <t>Concannon</t>
  </si>
  <si>
    <t>Christopher S.</t>
  </si>
  <si>
    <t>William R</t>
  </si>
  <si>
    <t>Schultz</t>
  </si>
  <si>
    <t>Lyndsy</t>
  </si>
  <si>
    <t>Brannigan</t>
  </si>
  <si>
    <t>Cavallo</t>
  </si>
  <si>
    <t>Anna</t>
  </si>
  <si>
    <t>Axelrod</t>
  </si>
  <si>
    <t>Roberge</t>
  </si>
  <si>
    <t>Schmidt</t>
  </si>
  <si>
    <t>Kosters</t>
  </si>
  <si>
    <t>Eric S</t>
  </si>
  <si>
    <t>Dykes</t>
  </si>
  <si>
    <t>Velan</t>
  </si>
  <si>
    <t>Goolik</t>
  </si>
  <si>
    <t>Bain</t>
  </si>
  <si>
    <t>Wieck</t>
  </si>
  <si>
    <t>Sonja</t>
  </si>
  <si>
    <t>Friel</t>
  </si>
  <si>
    <t>Santandreu</t>
  </si>
  <si>
    <t>Martha L.</t>
  </si>
  <si>
    <t>Ryan C.</t>
  </si>
  <si>
    <t>Gerber</t>
  </si>
  <si>
    <t>Cliff</t>
  </si>
  <si>
    <t>Benadum</t>
  </si>
  <si>
    <t>Blue</t>
  </si>
  <si>
    <t>Ragazzini</t>
  </si>
  <si>
    <t>Jeffrey M</t>
  </si>
  <si>
    <t>Kessinger</t>
  </si>
  <si>
    <t>Bezgin</t>
  </si>
  <si>
    <t>Woldesilassie</t>
  </si>
  <si>
    <t>Ruiz Herrero</t>
  </si>
  <si>
    <t>Bin Alias</t>
  </si>
  <si>
    <t>Mohd Syahidan</t>
  </si>
  <si>
    <t>Pulliam</t>
  </si>
  <si>
    <t>Guisinger</t>
  </si>
  <si>
    <t>Arnerich</t>
  </si>
  <si>
    <t>Christi A.</t>
  </si>
  <si>
    <t>Sandra K.</t>
  </si>
  <si>
    <t>Nolette</t>
  </si>
  <si>
    <t>Jerome</t>
  </si>
  <si>
    <t>Chabrier</t>
  </si>
  <si>
    <t>Julia R</t>
  </si>
  <si>
    <t>Sean Henry</t>
  </si>
  <si>
    <t>Knotts</t>
  </si>
  <si>
    <t>Pultorak</t>
  </si>
  <si>
    <t>Maxon</t>
  </si>
  <si>
    <t>Kraai</t>
  </si>
  <si>
    <t>Abby L.</t>
  </si>
  <si>
    <t>Larosa</t>
  </si>
  <si>
    <t>Ali</t>
  </si>
  <si>
    <t>Haney</t>
  </si>
  <si>
    <t>Boulay</t>
  </si>
  <si>
    <t>Pierre</t>
  </si>
  <si>
    <t>Luy</t>
  </si>
  <si>
    <t>Fava</t>
  </si>
  <si>
    <t>Montoya</t>
  </si>
  <si>
    <t>Alvaro Sr.</t>
  </si>
  <si>
    <t>Albertson</t>
  </si>
  <si>
    <t>Mark P.</t>
  </si>
  <si>
    <t>Barger</t>
  </si>
  <si>
    <t>Fraioli</t>
  </si>
  <si>
    <t>Mario Jr.</t>
  </si>
  <si>
    <t>Lusapho</t>
  </si>
  <si>
    <t>Talhelm</t>
  </si>
  <si>
    <t>Alan F</t>
  </si>
  <si>
    <t>Treece</t>
  </si>
  <si>
    <t>Beisel</t>
  </si>
  <si>
    <t>Enke</t>
  </si>
  <si>
    <t>Jacob J</t>
  </si>
  <si>
    <t>Ruiz-Tagle Barros</t>
  </si>
  <si>
    <t>Jose Tomas</t>
  </si>
  <si>
    <t>Ferrell</t>
  </si>
  <si>
    <t>Mary Evan</t>
  </si>
  <si>
    <t>Gates</t>
  </si>
  <si>
    <t>Justin K.</t>
  </si>
  <si>
    <t>Jeffers</t>
  </si>
  <si>
    <t>Sulhanek</t>
  </si>
  <si>
    <t>Roman</t>
  </si>
  <si>
    <t>Caron</t>
  </si>
  <si>
    <t>Evelyn L</t>
  </si>
  <si>
    <t>Fullarton</t>
  </si>
  <si>
    <t>Lindgren</t>
  </si>
  <si>
    <t>Matthew S</t>
  </si>
  <si>
    <t>Akiha</t>
  </si>
  <si>
    <t>Sweny</t>
  </si>
  <si>
    <t>Tobin</t>
  </si>
  <si>
    <t>Keys</t>
  </si>
  <si>
    <t>Wilbur</t>
  </si>
  <si>
    <t>Ditota</t>
  </si>
  <si>
    <t>Horbol</t>
  </si>
  <si>
    <t>Flannery</t>
  </si>
  <si>
    <t>John T</t>
  </si>
  <si>
    <t>Murakami</t>
  </si>
  <si>
    <t>Candice M</t>
  </si>
  <si>
    <t>Petermann</t>
  </si>
  <si>
    <t>Theodore A.</t>
  </si>
  <si>
    <t>Graves - Rostro</t>
  </si>
  <si>
    <t>Lindy</t>
  </si>
  <si>
    <t>Danielson</t>
  </si>
  <si>
    <t>Street</t>
  </si>
  <si>
    <t>Holly</t>
  </si>
  <si>
    <t>Buss</t>
  </si>
  <si>
    <t>Duffy</t>
  </si>
  <si>
    <t>Meghan K</t>
  </si>
  <si>
    <t>Fred</t>
  </si>
  <si>
    <t>Castro</t>
  </si>
  <si>
    <t>Sebastian</t>
  </si>
  <si>
    <t>Avery</t>
  </si>
  <si>
    <t>Bohinski</t>
  </si>
  <si>
    <t>Susan E</t>
  </si>
  <si>
    <t>Kohls</t>
  </si>
  <si>
    <t>Katy</t>
  </si>
  <si>
    <t>Brietzke</t>
  </si>
  <si>
    <t>Riveros Gonzalez</t>
  </si>
  <si>
    <t>Juan D. Sr.</t>
  </si>
  <si>
    <t>Albano</t>
  </si>
  <si>
    <t>Rosendahl</t>
  </si>
  <si>
    <t>Evan P</t>
  </si>
  <si>
    <t>German</t>
  </si>
  <si>
    <t>Aaron K</t>
  </si>
  <si>
    <t>id2444</t>
  </si>
  <si>
    <t>Obesity</t>
  </si>
  <si>
    <t>12/10/68</t>
  </si>
  <si>
    <t>29/12/78</t>
  </si>
  <si>
    <t>27/06/77</t>
  </si>
  <si>
    <t>17/12/89</t>
  </si>
  <si>
    <t>Overweight</t>
  </si>
  <si>
    <t>30/12/69</t>
  </si>
  <si>
    <t>28/06/76</t>
  </si>
  <si>
    <t>14/06/70</t>
  </si>
  <si>
    <t>03/09/72</t>
  </si>
  <si>
    <t>06/08/66</t>
  </si>
  <si>
    <t>25/06/69</t>
  </si>
  <si>
    <t>30/11/69</t>
  </si>
  <si>
    <t>20/08/80</t>
  </si>
  <si>
    <t>05/07/66</t>
  </si>
  <si>
    <t>04/10/81</t>
  </si>
  <si>
    <t>09/09/66</t>
  </si>
  <si>
    <t>07/10/72</t>
  </si>
  <si>
    <t>04/09/67</t>
  </si>
  <si>
    <t>20/11/66</t>
  </si>
  <si>
    <t>id3444</t>
  </si>
  <si>
    <t>07/11/66</t>
  </si>
  <si>
    <t>09/11/71</t>
  </si>
  <si>
    <t>18/09/00</t>
  </si>
  <si>
    <t>17/12/01</t>
  </si>
  <si>
    <t>30/08/74</t>
  </si>
  <si>
    <t>25/10/89</t>
  </si>
  <si>
    <t>28/07/81</t>
  </si>
  <si>
    <t>10/12/74</t>
  </si>
  <si>
    <t>21/07/96</t>
  </si>
  <si>
    <t>26/06/91</t>
  </si>
  <si>
    <t>15/12/74</t>
  </si>
  <si>
    <t>Normal Weight</t>
  </si>
  <si>
    <t>24/10/68</t>
  </si>
  <si>
    <t>17/09/00</t>
  </si>
  <si>
    <t>18/12/65</t>
  </si>
  <si>
    <t>21/10/73</t>
  </si>
  <si>
    <t>09/07/66</t>
  </si>
  <si>
    <t>19/06/65</t>
  </si>
  <si>
    <t>18/08/79</t>
  </si>
  <si>
    <t>14/08/69</t>
  </si>
  <si>
    <t>04/12/65</t>
  </si>
  <si>
    <t>10/11/69</t>
  </si>
  <si>
    <t>12/11/68</t>
  </si>
  <si>
    <t>13/11/68</t>
  </si>
  <si>
    <t>06/09/94</t>
  </si>
  <si>
    <t>20/12/71</t>
  </si>
  <si>
    <t>28/07/68</t>
  </si>
  <si>
    <t>02/10/67</t>
  </si>
  <si>
    <t>18/12/70</t>
  </si>
  <si>
    <t>21/10/85</t>
  </si>
  <si>
    <t>28/10/70</t>
  </si>
  <si>
    <t>23/10/67</t>
  </si>
  <si>
    <t>24/12/99</t>
  </si>
  <si>
    <t>11/11/67</t>
  </si>
  <si>
    <t>25/11/89</t>
  </si>
  <si>
    <t>29/08/86</t>
  </si>
  <si>
    <t>09/12/74</t>
  </si>
  <si>
    <t>25/06/92</t>
  </si>
  <si>
    <t>05/10/67</t>
  </si>
  <si>
    <t>30/07/67</t>
  </si>
  <si>
    <t>14/10/83</t>
  </si>
  <si>
    <t>24/10/72</t>
  </si>
  <si>
    <t>30/09/76</t>
  </si>
  <si>
    <t>02/08/77</t>
  </si>
  <si>
    <t>07/09/62</t>
  </si>
  <si>
    <t>22/11/76</t>
  </si>
  <si>
    <t>08/08/64</t>
  </si>
  <si>
    <t>06/07/90</t>
  </si>
  <si>
    <t>23/07/92</t>
  </si>
  <si>
    <t>27/06/65</t>
  </si>
  <si>
    <t>02/07/66</t>
  </si>
  <si>
    <t>12/08/66</t>
  </si>
  <si>
    <t>23/06/67</t>
  </si>
  <si>
    <t>20/07/66</t>
  </si>
  <si>
    <t>14/12/72</t>
  </si>
  <si>
    <t>29/11/67</t>
  </si>
  <si>
    <t>03/11/66</t>
  </si>
  <si>
    <t>25/12/69</t>
  </si>
  <si>
    <t>11/12/66</t>
  </si>
  <si>
    <t>17/07/69</t>
  </si>
  <si>
    <t>29/06/71</t>
  </si>
  <si>
    <t>26/09/71</t>
  </si>
  <si>
    <t>20/12/78</t>
  </si>
  <si>
    <t>25/10/77</t>
  </si>
  <si>
    <t>19/10/72</t>
  </si>
  <si>
    <t>21/08/78</t>
  </si>
  <si>
    <t>28/06/87</t>
  </si>
  <si>
    <t>22/09/69</t>
  </si>
  <si>
    <t>27/07/64</t>
  </si>
  <si>
    <t>03/08/76</t>
  </si>
  <si>
    <t>14/10/64</t>
  </si>
  <si>
    <t>08/11/68</t>
  </si>
  <si>
    <t>29/08/68</t>
  </si>
  <si>
    <t>25/12/82</t>
  </si>
  <si>
    <t>23/08/68</t>
  </si>
  <si>
    <t>27/12/68</t>
  </si>
  <si>
    <t>25/11/79</t>
  </si>
  <si>
    <t>11/10/73</t>
  </si>
  <si>
    <t>24/10/80</t>
  </si>
  <si>
    <t>05/06/75</t>
  </si>
  <si>
    <t>07/07/69</t>
  </si>
  <si>
    <t>19/09/73</t>
  </si>
  <si>
    <t>29/09/73</t>
  </si>
  <si>
    <t>06/09/71</t>
  </si>
  <si>
    <t>08/08/87</t>
  </si>
  <si>
    <t>17/06/69</t>
  </si>
  <si>
    <t>29/09/74</t>
  </si>
  <si>
    <t>08/08/73</t>
  </si>
  <si>
    <t>19/07/68</t>
  </si>
  <si>
    <t>21/07/82</t>
  </si>
  <si>
    <t>01/12/70</t>
  </si>
  <si>
    <t>21/08/91</t>
  </si>
  <si>
    <t>17/11/91</t>
  </si>
  <si>
    <t>12/07/62</t>
  </si>
  <si>
    <t>24/09/63</t>
  </si>
  <si>
    <t>22/07/59</t>
  </si>
  <si>
    <t>02/12/75</t>
  </si>
  <si>
    <t>14/09/88</t>
  </si>
  <si>
    <t>21/06/70</t>
  </si>
  <si>
    <t>27/11/73</t>
  </si>
  <si>
    <t>05/09/73</t>
  </si>
  <si>
    <t>15/08/75</t>
  </si>
  <si>
    <t>23/09/68</t>
  </si>
  <si>
    <t>28/06/67</t>
  </si>
  <si>
    <t>26/09/67</t>
  </si>
  <si>
    <t>24/12/70</t>
  </si>
  <si>
    <t>16/10/85</t>
  </si>
  <si>
    <t>22/08/85</t>
  </si>
  <si>
    <t>10/07/72</t>
  </si>
  <si>
    <t>13/10/73</t>
  </si>
  <si>
    <t>12/06/81</t>
  </si>
  <si>
    <t>30/12/74</t>
  </si>
  <si>
    <t>05/09/97</t>
  </si>
  <si>
    <t>16/11/72</t>
  </si>
  <si>
    <t>02/07/75</t>
  </si>
  <si>
    <t>08/08/72</t>
  </si>
  <si>
    <t>19/12/76</t>
  </si>
  <si>
    <t>01/06/83</t>
  </si>
  <si>
    <t>03/07/69</t>
  </si>
  <si>
    <t>27/10/69</t>
  </si>
  <si>
    <t>22/08/69</t>
  </si>
  <si>
    <t>28/12/79</t>
  </si>
  <si>
    <t>03/07/88</t>
  </si>
  <si>
    <t>Underweight</t>
  </si>
  <si>
    <t>11/08/70</t>
  </si>
  <si>
    <t>06/10/71</t>
  </si>
  <si>
    <t>26/12/71</t>
  </si>
  <si>
    <t>11/09/64</t>
  </si>
  <si>
    <t>17/07/85</t>
  </si>
  <si>
    <t>03/12/83</t>
  </si>
  <si>
    <t>19/08/85</t>
  </si>
  <si>
    <t>14/09/72</t>
  </si>
  <si>
    <t>17/08/62</t>
  </si>
  <si>
    <t>08/07/96</t>
  </si>
  <si>
    <t>05/11/66</t>
  </si>
  <si>
    <t>08/11/71</t>
  </si>
  <si>
    <t>03/10/71</t>
  </si>
  <si>
    <t>03/07/71</t>
  </si>
  <si>
    <t>22/12/71</t>
  </si>
  <si>
    <t>24/07/87</t>
  </si>
  <si>
    <t>06/07/98</t>
  </si>
  <si>
    <t>13/08/69</t>
  </si>
  <si>
    <t>20/10/69</t>
  </si>
  <si>
    <t>17/07/71</t>
  </si>
  <si>
    <t>23/10/71</t>
  </si>
  <si>
    <t>04/11/68</t>
  </si>
  <si>
    <t>13/08/92</t>
  </si>
  <si>
    <t>26/09/72</t>
  </si>
  <si>
    <t>28/06/72</t>
  </si>
  <si>
    <t>17/12/73</t>
  </si>
  <si>
    <t>17/09/73</t>
  </si>
  <si>
    <t>07/06/77</t>
  </si>
  <si>
    <t>08/08/96</t>
  </si>
  <si>
    <t>07/07/73</t>
  </si>
  <si>
    <t>05/09/65</t>
  </si>
  <si>
    <t>14/07/01</t>
  </si>
  <si>
    <t>04/07/70</t>
  </si>
  <si>
    <t>18/08/70</t>
  </si>
  <si>
    <t>12/09/70</t>
  </si>
  <si>
    <t>27/06/75</t>
  </si>
  <si>
    <t>12/08/77</t>
  </si>
  <si>
    <t>19/09/77</t>
  </si>
  <si>
    <t>07/11/64</t>
  </si>
  <si>
    <t>16/09/66</t>
  </si>
  <si>
    <t>08/08/81</t>
  </si>
  <si>
    <t>08/07/74</t>
  </si>
  <si>
    <t>19/07/71</t>
  </si>
  <si>
    <t>30/09/70</t>
  </si>
  <si>
    <t>22/06/68</t>
  </si>
  <si>
    <t>23/10/72</t>
  </si>
  <si>
    <t>16/07/03</t>
  </si>
  <si>
    <t>19/12/79</t>
  </si>
  <si>
    <t>23/06/98</t>
  </si>
  <si>
    <t>16/12/70</t>
  </si>
  <si>
    <t>29/10/75</t>
  </si>
  <si>
    <t>29/08/82</t>
  </si>
  <si>
    <t>27/12/72</t>
  </si>
  <si>
    <t>15/12/64</t>
  </si>
  <si>
    <t>18/10/81</t>
  </si>
  <si>
    <t>28/11/73</t>
  </si>
  <si>
    <t>04/12/66</t>
  </si>
  <si>
    <t>29/09/68</t>
  </si>
  <si>
    <t>01/12/73</t>
  </si>
  <si>
    <t>14/08/74</t>
  </si>
  <si>
    <t>22/09/72</t>
  </si>
  <si>
    <t>28/07/75</t>
  </si>
  <si>
    <t>21/12/73</t>
  </si>
  <si>
    <t>29/11/71</t>
  </si>
  <si>
    <t>22/08/92</t>
  </si>
  <si>
    <t>24/08/69</t>
  </si>
  <si>
    <t>28/11/76</t>
  </si>
  <si>
    <t>17/12/77</t>
  </si>
  <si>
    <t>04/06/69</t>
  </si>
  <si>
    <t>17/07/79</t>
  </si>
  <si>
    <t>14/11/87</t>
  </si>
  <si>
    <t>08/06/74</t>
  </si>
  <si>
    <t>27/11/74</t>
  </si>
  <si>
    <t>03/11/76</t>
  </si>
  <si>
    <t>30/10/76</t>
  </si>
  <si>
    <t>17/10/76</t>
  </si>
  <si>
    <t>20/10/71</t>
  </si>
  <si>
    <t>29/12/71</t>
  </si>
  <si>
    <t>27/10/65</t>
  </si>
  <si>
    <t>07/08/95</t>
  </si>
  <si>
    <t>26/11/71</t>
  </si>
  <si>
    <t>24/11/69</t>
  </si>
  <si>
    <t>08/10/71</t>
  </si>
  <si>
    <t>01/07/88</t>
  </si>
  <si>
    <t>12/10/96</t>
  </si>
  <si>
    <t>09/07/88</t>
  </si>
  <si>
    <t>12/10/77</t>
  </si>
  <si>
    <t>08/06/63</t>
  </si>
  <si>
    <t>16/10/73</t>
  </si>
  <si>
    <t>05/07/81</t>
  </si>
  <si>
    <t>18/09/73</t>
  </si>
  <si>
    <t>26/11/69</t>
  </si>
  <si>
    <t>02/07/71</t>
  </si>
  <si>
    <t>27/10/73</t>
  </si>
  <si>
    <t>06/08/71</t>
  </si>
  <si>
    <t>21/08/74</t>
  </si>
  <si>
    <t>05/10/80</t>
  </si>
  <si>
    <t>06/12/75</t>
  </si>
  <si>
    <t>12/07/78</t>
  </si>
  <si>
    <t>05/12/81</t>
  </si>
  <si>
    <t>25/12/86</t>
  </si>
  <si>
    <t>10/09/76</t>
  </si>
  <si>
    <t>25/12/73</t>
  </si>
  <si>
    <t>24/10/70</t>
  </si>
  <si>
    <t>23/08/90</t>
  </si>
  <si>
    <t>08/12/82</t>
  </si>
  <si>
    <t>18/10/70</t>
  </si>
  <si>
    <t>12/08/70</t>
  </si>
  <si>
    <t>24/06/66</t>
  </si>
  <si>
    <t>02/12/77</t>
  </si>
  <si>
    <t>09/11/65</t>
  </si>
  <si>
    <t>04/11/77</t>
  </si>
  <si>
    <t>02/12/72</t>
  </si>
  <si>
    <t>07/12/72</t>
  </si>
  <si>
    <t>01/12/93</t>
  </si>
  <si>
    <t>16/12/79</t>
  </si>
  <si>
    <t>21/07/74</t>
  </si>
  <si>
    <t>08/09/74</t>
  </si>
  <si>
    <t>05/08/78</t>
  </si>
  <si>
    <t>15/07/83</t>
  </si>
  <si>
    <t>17/08/74</t>
  </si>
  <si>
    <t>27/09/92</t>
  </si>
  <si>
    <t>25/12/76</t>
  </si>
  <si>
    <t>06/06/72</t>
  </si>
  <si>
    <t>07/07/75</t>
  </si>
  <si>
    <t>06/09/67</t>
  </si>
  <si>
    <t>28/11/97</t>
  </si>
  <si>
    <t>16/12/78</t>
  </si>
  <si>
    <t>09/09/73</t>
  </si>
  <si>
    <r>
      <rPr>
        <rFont val="Calibri"/>
        <b/>
        <color theme="1"/>
        <sz val="20.0"/>
      </rPr>
      <t>Assumptions</t>
    </r>
    <r>
      <rPr>
        <rFont val="Calibri"/>
        <color theme="1"/>
      </rPr>
      <t xml:space="preserve">
</t>
    </r>
    <r>
      <rPr>
        <rFont val="Calibri"/>
        <color theme="1"/>
      </rPr>
      <t xml:space="preserve">
1. </t>
    </r>
    <r>
      <rPr>
        <rFont val="Calibri"/>
        <b/>
        <color theme="1"/>
      </rPr>
      <t>Data Completeness</t>
    </r>
    <r>
      <rPr>
        <rFont val="Calibri"/>
        <color theme="1"/>
      </rPr>
      <t>: Missing or placeholder values (such as 3 records with missing age data and 2 records with unknown smoker status) were excluded from specific subgroup aggregations.</t>
    </r>
    <r>
      <rPr>
        <rFont val="Calibri"/>
        <color theme="1"/>
      </rPr>
      <t xml:space="preserve">
2. </t>
    </r>
    <r>
      <rPr>
        <rFont val="Calibri"/>
        <b/>
        <color theme="1"/>
      </rPr>
      <t>Financial Data Units</t>
    </r>
    <r>
      <rPr>
        <rFont val="Calibri"/>
        <color theme="1"/>
      </rPr>
      <t xml:space="preserve">: All monetary values in the </t>
    </r>
    <r>
      <rPr>
        <rFont val="Roboto Mono, Consolas, monospace"/>
        <color rgb="FF0842A0"/>
      </rPr>
      <t>charges</t>
    </r>
    <r>
      <rPr>
        <rFont val="Calibri"/>
        <color theme="1"/>
      </rPr>
      <t xml:space="preserve"> column are assumed to be reported in U.S. Dollars ($) representing total hospitalization/medical expenditure per patient record.</t>
    </r>
    <r>
      <rPr>
        <rFont val="Calibri"/>
        <color theme="1"/>
      </rPr>
      <t xml:space="preserve">
</t>
    </r>
    <r>
      <rPr>
        <rFont val="Calibri"/>
        <color theme="1"/>
      </rPr>
      <t xml:space="preserve">
</t>
    </r>
    <r>
      <rPr>
        <rFont val="Calibri"/>
        <b/>
        <color theme="1"/>
        <sz val="20.0"/>
      </rPr>
      <t>Key Takeaways &amp; Data Trends</t>
    </r>
    <r>
      <rPr>
        <rFont val="Calibri"/>
        <color theme="1"/>
      </rPr>
      <t xml:space="preserve">
</t>
    </r>
    <r>
      <rPr>
        <rFont val="Calibri"/>
        <color theme="1"/>
      </rPr>
      <t xml:space="preserve">
</t>
    </r>
    <r>
      <rPr>
        <rFont val="Calibri"/>
        <b/>
        <color theme="1"/>
        <sz val="16.0"/>
      </rPr>
      <t>1. Smoking and Obesity Create a Multiplicative Cost Escalation</t>
    </r>
    <r>
      <rPr>
        <rFont val="Calibri"/>
        <color theme="1"/>
      </rPr>
      <t xml:space="preserve">
</t>
    </r>
    <r>
      <rPr>
        <rFont val="Calibri"/>
        <color theme="1"/>
      </rPr>
      <t xml:space="preserve">
• </t>
    </r>
    <r>
      <rPr>
        <rFont val="Calibri"/>
        <b/>
        <color theme="1"/>
      </rPr>
      <t>Primary Cost Driver (Smoking)</t>
    </r>
    <r>
      <rPr>
        <rFont val="Calibri"/>
        <color theme="1"/>
      </rPr>
      <t xml:space="preserve">: Smoker status is the single most influential determinant of healthcare charges. Smokers (488 records) average </t>
    </r>
    <r>
      <rPr>
        <rFont val="Calibri"/>
        <b/>
        <color theme="1"/>
      </rPr>
      <t>$32,931.41</t>
    </r>
    <r>
      <rPr>
        <rFont val="Calibri"/>
        <color theme="1"/>
      </rPr>
      <t xml:space="preserve"> in charges (median </t>
    </r>
    <r>
      <rPr>
        <rFont val="Calibri"/>
        <b/>
        <color theme="1"/>
      </rPr>
      <t>$34,185.70</t>
    </r>
    <r>
      <rPr>
        <rFont val="Calibri"/>
        <color theme="1"/>
      </rPr>
      <t xml:space="preserve">), which is </t>
    </r>
    <r>
      <rPr>
        <rFont val="Calibri"/>
        <b/>
        <color theme="1"/>
      </rPr>
      <t>3.92 times higher</t>
    </r>
    <r>
      <rPr>
        <rFont val="Calibri"/>
        <color theme="1"/>
      </rPr>
      <t xml:space="preserve"> than non-smokers (1,845 records), who average </t>
    </r>
    <r>
      <rPr>
        <rFont val="Calibri"/>
        <b/>
        <color theme="1"/>
      </rPr>
      <t>$8,394.93</t>
    </r>
    <r>
      <rPr>
        <rFont val="Calibri"/>
        <color theme="1"/>
      </rPr>
      <t xml:space="preserve"> (median </t>
    </r>
    <r>
      <rPr>
        <rFont val="Calibri"/>
        <b/>
        <color theme="1"/>
      </rPr>
      <t>$7,531.70</t>
    </r>
    <r>
      <rPr>
        <rFont val="Calibri"/>
        <color theme="1"/>
      </rPr>
      <t>).</t>
    </r>
    <r>
      <rPr>
        <rFont val="Calibri"/>
        <color theme="1"/>
      </rPr>
      <t xml:space="preserve">
• </t>
    </r>
    <r>
      <rPr>
        <rFont val="Calibri"/>
        <b/>
        <color theme="1"/>
      </rPr>
      <t>Compounding Effect with Obesity</t>
    </r>
    <r>
      <rPr>
        <rFont val="Calibri"/>
        <color theme="1"/>
      </rPr>
      <t xml:space="preserve">: For non-smokers, moving from normal weight to obesity increases average charges moderately from </t>
    </r>
    <r>
      <rPr>
        <rFont val="Calibri"/>
        <b/>
        <color theme="1"/>
      </rPr>
      <t>$6,382.17</t>
    </r>
    <r>
      <rPr>
        <rFont val="Calibri"/>
        <color theme="1"/>
      </rPr>
      <t xml:space="preserve"> (351 records) to </t>
    </r>
    <r>
      <rPr>
        <rFont val="Calibri"/>
        <b/>
        <color theme="1"/>
      </rPr>
      <t>$9,962.36</t>
    </r>
    <r>
      <rPr>
        <rFont val="Calibri"/>
        <color theme="1"/>
      </rPr>
      <t xml:space="preserve"> (939 records). However, for smokers, obesity compounds total charges exponentially, raising average expenditure to </t>
    </r>
    <r>
      <rPr>
        <rFont val="Calibri"/>
        <b/>
        <color theme="1"/>
      </rPr>
      <t>$38,968.06</t>
    </r>
    <r>
      <rPr>
        <rFont val="Calibri"/>
        <color theme="1"/>
      </rPr>
      <t xml:space="preserve"> (median </t>
    </r>
    <r>
      <rPr>
        <rFont val="Calibri"/>
        <b/>
        <color theme="1"/>
      </rPr>
      <t>$38,680.65</t>
    </r>
    <r>
      <rPr>
        <rFont val="Calibri"/>
        <color theme="1"/>
      </rPr>
      <t>; 282 records).</t>
    </r>
    <r>
      <rPr>
        <rFont val="Calibri"/>
        <color theme="1"/>
      </rPr>
      <t xml:space="preserve">
• </t>
    </r>
    <r>
      <rPr>
        <rFont val="Calibri"/>
        <b/>
        <color theme="1"/>
      </rPr>
      <t>Weight Profile Baseline</t>
    </r>
    <r>
      <rPr>
        <rFont val="Calibri"/>
        <color theme="1"/>
      </rPr>
      <t xml:space="preserve">: Among non-smokers, charges follow a predictable upward progression across weight tiers: Underweight averages </t>
    </r>
    <r>
      <rPr>
        <rFont val="Calibri"/>
        <b/>
        <color theme="1"/>
      </rPr>
      <t>$4,058.81</t>
    </r>
    <r>
      <rPr>
        <rFont val="Calibri"/>
        <color theme="1"/>
      </rPr>
      <t xml:space="preserve"> (153 records), Normal Weight averages </t>
    </r>
    <r>
      <rPr>
        <rFont val="Calibri"/>
        <b/>
        <color theme="1"/>
      </rPr>
      <t>$6,382.17</t>
    </r>
    <r>
      <rPr>
        <rFont val="Calibri"/>
        <color theme="1"/>
      </rPr>
      <t xml:space="preserve"> (351 records), Overweight averages </t>
    </r>
    <r>
      <rPr>
        <rFont val="Calibri"/>
        <b/>
        <color theme="1"/>
      </rPr>
      <t>$8,141.43</t>
    </r>
    <r>
      <rPr>
        <rFont val="Calibri"/>
        <color theme="1"/>
      </rPr>
      <t xml:space="preserve"> (402 records), and Obesity averages </t>
    </r>
    <r>
      <rPr>
        <rFont val="Calibri"/>
        <b/>
        <color theme="1"/>
      </rPr>
      <t>$9,962.36</t>
    </r>
    <r>
      <rPr>
        <rFont val="Calibri"/>
        <color theme="1"/>
      </rPr>
      <t xml:space="preserve"> (939 records). In contrast, smokers incur baseline average charges exceeding </t>
    </r>
    <r>
      <rPr>
        <rFont val="Calibri"/>
        <b/>
        <color theme="1"/>
      </rPr>
      <t>$24,000</t>
    </r>
    <r>
      <rPr>
        <rFont val="Calibri"/>
        <color theme="1"/>
      </rPr>
      <t xml:space="preserve"> regardless of weight status.</t>
    </r>
    <r>
      <rPr>
        <rFont val="Calibri"/>
        <color theme="1"/>
      </rPr>
      <t xml:space="preserve">
• </t>
    </r>
    <r>
      <rPr>
        <rFont val="Calibri"/>
        <color theme="1"/>
      </rPr>
      <t xml:space="preserve">Refer to the </t>
    </r>
    <r>
      <rPr>
        <rFont val="Calibri"/>
        <b/>
        <color theme="1"/>
      </rPr>
      <t>"Average Healthcare Charges by Weight Status and Smoker Status"</t>
    </r>
    <r>
      <rPr>
        <rFont val="Calibri"/>
        <color theme="1"/>
      </rPr>
      <t xml:space="preserve"> chart for a side-by-side comparison across weight and smoking categories.</t>
    </r>
    <r>
      <rPr>
        <rFont val="Calibri"/>
        <color theme="1"/>
      </rPr>
      <t xml:space="preserve">
</t>
    </r>
    <r>
      <rPr>
        <rFont val="Calibri"/>
        <color theme="1"/>
      </rPr>
      <t xml:space="preserve">
</t>
    </r>
    <r>
      <rPr>
        <rFont val="Calibri"/>
        <b/>
        <color theme="1"/>
        <sz val="16.0"/>
      </rPr>
      <t>2. Tier-1 Hospitals Concentrate High-Risk Patients and Premium Costs</t>
    </r>
    <r>
      <rPr>
        <rFont val="Calibri"/>
        <color theme="1"/>
      </rPr>
      <t xml:space="preserve">
</t>
    </r>
    <r>
      <rPr>
        <rFont val="Calibri"/>
        <color theme="1"/>
      </rPr>
      <t xml:space="preserve">
• </t>
    </r>
    <r>
      <rPr>
        <rFont val="Calibri"/>
        <b/>
        <color theme="1"/>
      </rPr>
      <t>Hospital Tier Disparity</t>
    </r>
    <r>
      <rPr>
        <rFont val="Calibri"/>
        <color theme="1"/>
      </rPr>
      <t xml:space="preserve">: Average charges in Tier-1 hospitals stand at </t>
    </r>
    <r>
      <rPr>
        <rFont val="Calibri"/>
        <b/>
        <color theme="1"/>
      </rPr>
      <t>$30,129.20</t>
    </r>
    <r>
      <rPr>
        <rFont val="Calibri"/>
        <color theme="1"/>
      </rPr>
      <t xml:space="preserve"> (median </t>
    </r>
    <r>
      <rPr>
        <rFont val="Calibri"/>
        <b/>
        <color theme="1"/>
      </rPr>
      <t>$32,097.45</t>
    </r>
    <r>
      <rPr>
        <rFont val="Calibri"/>
        <color theme="1"/>
      </rPr>
      <t xml:space="preserve">; 304 records), compared to </t>
    </r>
    <r>
      <rPr>
        <rFont val="Calibri"/>
        <b/>
        <color theme="1"/>
      </rPr>
      <t>$11,865.27</t>
    </r>
    <r>
      <rPr>
        <rFont val="Calibri"/>
        <color theme="1"/>
      </rPr>
      <t xml:space="preserve"> in Tier-2 hospitals (median </t>
    </r>
    <r>
      <rPr>
        <rFont val="Calibri"/>
        <b/>
        <color theme="1"/>
      </rPr>
      <t>$7,188.61</t>
    </r>
    <r>
      <rPr>
        <rFont val="Calibri"/>
        <color theme="1"/>
      </rPr>
      <t xml:space="preserve">; 1,338 records) and </t>
    </r>
    <r>
      <rPr>
        <rFont val="Calibri"/>
        <b/>
        <color theme="1"/>
      </rPr>
      <t>$9,462.27</t>
    </r>
    <r>
      <rPr>
        <rFont val="Calibri"/>
        <color theme="1"/>
      </rPr>
      <t xml:space="preserve"> in Tier-3 hospitals (median </t>
    </r>
    <r>
      <rPr>
        <rFont val="Calibri"/>
        <b/>
        <color theme="1"/>
      </rPr>
      <t>$10,665.40</t>
    </r>
    <r>
      <rPr>
        <rFont val="Calibri"/>
        <color theme="1"/>
      </rPr>
      <t>; 693 records).</t>
    </r>
    <r>
      <rPr>
        <rFont val="Calibri"/>
        <color theme="1"/>
      </rPr>
      <t xml:space="preserve">
• </t>
    </r>
    <r>
      <rPr>
        <rFont val="Calibri"/>
        <b/>
        <color theme="1"/>
      </rPr>
      <t>High Risk Concentration</t>
    </r>
    <r>
      <rPr>
        <rFont val="Calibri"/>
        <color theme="1"/>
      </rPr>
      <t xml:space="preserve">: The elevated costs at Tier-1 facilities are heavily driven by patient selection: </t>
    </r>
    <r>
      <rPr>
        <rFont val="Calibri"/>
        <b/>
        <color theme="1"/>
      </rPr>
      <t>73.4%</t>
    </r>
    <r>
      <rPr>
        <rFont val="Calibri"/>
        <color theme="1"/>
      </rPr>
      <t xml:space="preserve"> of Tier-1 hospital admissions are smokers (223 of 304 records). In contrast, smokers comprise only </t>
    </r>
    <r>
      <rPr>
        <rFont val="Calibri"/>
        <b/>
        <color theme="1"/>
      </rPr>
      <t>18.3%</t>
    </r>
    <r>
      <rPr>
        <rFont val="Calibri"/>
        <color theme="1"/>
      </rPr>
      <t xml:space="preserve"> of Tier-2 admissions (245 of 1,338 records) and </t>
    </r>
    <r>
      <rPr>
        <rFont val="Calibri"/>
        <b/>
        <color theme="1"/>
      </rPr>
      <t>2.9%</t>
    </r>
    <r>
      <rPr>
        <rFont val="Calibri"/>
        <color theme="1"/>
      </rPr>
      <t xml:space="preserve"> of Tier-3 admissions (20 of 693 records).</t>
    </r>
    <r>
      <rPr>
        <rFont val="Calibri"/>
        <color theme="1"/>
      </rPr>
      <t xml:space="preserve">
• </t>
    </r>
    <r>
      <rPr>
        <rFont val="Calibri"/>
        <b/>
        <color theme="1"/>
      </rPr>
      <t>Within-Tier Cost Spikes</t>
    </r>
    <r>
      <rPr>
        <rFont val="Calibri"/>
        <color theme="1"/>
      </rPr>
      <t xml:space="preserve">: Even within the same tier, smoking remains a major differentiator. In Tier-1, smokers average </t>
    </r>
    <r>
      <rPr>
        <rFont val="Calibri"/>
        <b/>
        <color theme="1"/>
      </rPr>
      <t>$35,258.47</t>
    </r>
    <r>
      <rPr>
        <rFont val="Calibri"/>
        <color theme="1"/>
      </rPr>
      <t xml:space="preserve"> versus </t>
    </r>
    <r>
      <rPr>
        <rFont val="Calibri"/>
        <b/>
        <color theme="1"/>
      </rPr>
      <t>$15,987.19</t>
    </r>
    <r>
      <rPr>
        <rFont val="Calibri"/>
        <color theme="1"/>
      </rPr>
      <t xml:space="preserve"> for non-smokers. In Tier-2, smokers average </t>
    </r>
    <r>
      <rPr>
        <rFont val="Calibri"/>
        <b/>
        <color theme="1"/>
      </rPr>
      <t>$31,812.45</t>
    </r>
    <r>
      <rPr>
        <rFont val="Calibri"/>
        <color theme="1"/>
      </rPr>
      <t xml:space="preserve"> versus </t>
    </r>
    <r>
      <rPr>
        <rFont val="Calibri"/>
        <b/>
        <color theme="1"/>
      </rPr>
      <t>$7,386.59</t>
    </r>
    <r>
      <rPr>
        <rFont val="Calibri"/>
        <color theme="1"/>
      </rPr>
      <t xml:space="preserve"> for non-smokers.</t>
    </r>
    <r>
      <rPr>
        <rFont val="Calibri"/>
        <color theme="1"/>
      </rPr>
      <t xml:space="preserve">
• </t>
    </r>
    <r>
      <rPr>
        <rFont val="Calibri"/>
        <color theme="1"/>
      </rPr>
      <t xml:space="preserve">Refer to the </t>
    </r>
    <r>
      <rPr>
        <rFont val="Calibri"/>
        <b/>
        <color theme="1"/>
      </rPr>
      <t>"Average Healthcare Charges by Hospital Tier and Smoker Status"</t>
    </r>
    <r>
      <rPr>
        <rFont val="Calibri"/>
        <color theme="1"/>
      </rPr>
      <t xml:space="preserve"> chart for the breakdown of charges by tier and smoker profile.</t>
    </r>
    <r>
      <rPr>
        <rFont val="Calibri"/>
        <color theme="1"/>
      </rPr>
      <t xml:space="preserve">
</t>
    </r>
    <r>
      <rPr>
        <rFont val="Calibri"/>
        <color theme="1"/>
      </rPr>
      <t xml:space="preserve">
</t>
    </r>
    <r>
      <rPr>
        <rFont val="Calibri"/>
        <b/>
        <color theme="1"/>
        <sz val="16.0"/>
      </rPr>
      <t>3. Age Progression and Surgical Intervention Step Up Costs</t>
    </r>
    <r>
      <rPr>
        <rFont val="Calibri"/>
        <color theme="1"/>
      </rPr>
      <t xml:space="preserve">
</t>
    </r>
    <r>
      <rPr>
        <rFont val="Calibri"/>
        <color theme="1"/>
      </rPr>
      <t xml:space="preserve">
• </t>
    </r>
    <r>
      <rPr>
        <rFont val="Calibri"/>
        <b/>
        <color theme="1"/>
      </rPr>
      <t>Monotonic Age Progression</t>
    </r>
    <r>
      <rPr>
        <rFont val="Calibri"/>
        <color theme="1"/>
      </rPr>
      <t>: Healthcare charges consistently scale upward with age:</t>
    </r>
    <r>
      <rPr>
        <rFont val="Calibri"/>
        <color theme="1"/>
      </rPr>
      <t xml:space="preserve">
  • </t>
    </r>
    <r>
      <rPr>
        <rFont val="Calibri"/>
        <b/>
        <color theme="1"/>
      </rPr>
      <t>Ages 18–30</t>
    </r>
    <r>
      <rPr>
        <rFont val="Calibri"/>
        <color theme="1"/>
      </rPr>
      <t xml:space="preserve">: Average charges are </t>
    </r>
    <r>
      <rPr>
        <rFont val="Calibri"/>
        <b/>
        <color theme="1"/>
      </rPr>
      <t>$9,167.90</t>
    </r>
    <r>
      <rPr>
        <rFont val="Calibri"/>
        <color theme="1"/>
      </rPr>
      <t xml:space="preserve"> (median </t>
    </r>
    <r>
      <rPr>
        <rFont val="Calibri"/>
        <b/>
        <color theme="1"/>
      </rPr>
      <t>$3,859.86</t>
    </r>
    <r>
      <rPr>
        <rFont val="Calibri"/>
        <color theme="1"/>
      </rPr>
      <t>; 746 records).</t>
    </r>
    <r>
      <rPr>
        <rFont val="Calibri"/>
        <color theme="1"/>
      </rPr>
      <t xml:space="preserve">
  • </t>
    </r>
    <r>
      <rPr>
        <rFont val="Calibri"/>
        <b/>
        <color theme="1"/>
      </rPr>
      <t>Ages 31–45</t>
    </r>
    <r>
      <rPr>
        <rFont val="Calibri"/>
        <color theme="1"/>
      </rPr>
      <t xml:space="preserve">: Average charges rise to </t>
    </r>
    <r>
      <rPr>
        <rFont val="Calibri"/>
        <b/>
        <color theme="1"/>
      </rPr>
      <t>$13,348.56</t>
    </r>
    <r>
      <rPr>
        <rFont val="Calibri"/>
        <color theme="1"/>
      </rPr>
      <t xml:space="preserve"> (median </t>
    </r>
    <r>
      <rPr>
        <rFont val="Calibri"/>
        <b/>
        <color theme="1"/>
      </rPr>
      <t>$7,665.97</t>
    </r>
    <r>
      <rPr>
        <rFont val="Calibri"/>
        <color theme="1"/>
      </rPr>
      <t>; 720 records).</t>
    </r>
    <r>
      <rPr>
        <rFont val="Calibri"/>
        <color theme="1"/>
      </rPr>
      <t xml:space="preserve">
  • </t>
    </r>
    <r>
      <rPr>
        <rFont val="Calibri"/>
        <b/>
        <color theme="1"/>
      </rPr>
      <t>Ages 46–60</t>
    </r>
    <r>
      <rPr>
        <rFont val="Calibri"/>
        <color theme="1"/>
      </rPr>
      <t xml:space="preserve">: Average charges reach </t>
    </r>
    <r>
      <rPr>
        <rFont val="Calibri"/>
        <b/>
        <color theme="1"/>
      </rPr>
      <t>$16,985.61</t>
    </r>
    <r>
      <rPr>
        <rFont val="Calibri"/>
        <color theme="1"/>
      </rPr>
      <t xml:space="preserve"> (median </t>
    </r>
    <r>
      <rPr>
        <rFont val="Calibri"/>
        <b/>
        <color theme="1"/>
      </rPr>
      <t>$11,918.20</t>
    </r>
    <r>
      <rPr>
        <rFont val="Calibri"/>
        <color theme="1"/>
      </rPr>
      <t>; 775 records).</t>
    </r>
    <r>
      <rPr>
        <rFont val="Calibri"/>
        <color theme="1"/>
      </rPr>
      <t xml:space="preserve">
  • </t>
    </r>
    <r>
      <rPr>
        <rFont val="Calibri"/>
        <b/>
        <color theme="1"/>
      </rPr>
      <t>Ages 60+</t>
    </r>
    <r>
      <rPr>
        <rFont val="Calibri"/>
        <color theme="1"/>
      </rPr>
      <t xml:space="preserve">: Average charges peak at </t>
    </r>
    <r>
      <rPr>
        <rFont val="Calibri"/>
        <b/>
        <color theme="1"/>
      </rPr>
      <t>$21,063.17</t>
    </r>
    <r>
      <rPr>
        <rFont val="Calibri"/>
        <color theme="1"/>
      </rPr>
      <t xml:space="preserve"> (median </t>
    </r>
    <r>
      <rPr>
        <rFont val="Calibri"/>
        <b/>
        <color theme="1"/>
      </rPr>
      <t>$14,394.60</t>
    </r>
    <r>
      <rPr>
        <rFont val="Calibri"/>
        <color theme="1"/>
      </rPr>
      <t>; 91 records).</t>
    </r>
    <r>
      <rPr>
        <rFont val="Calibri"/>
        <color theme="1"/>
      </rPr>
      <t xml:space="preserve">
• </t>
    </r>
    <r>
      <rPr>
        <rFont val="Calibri"/>
        <b/>
        <color theme="1"/>
      </rPr>
      <t>Surgical Complexity</t>
    </r>
    <r>
      <rPr>
        <rFont val="Calibri"/>
        <color theme="1"/>
      </rPr>
      <t xml:space="preserve">: Patients requiring 3 major surgeries average </t>
    </r>
    <r>
      <rPr>
        <rFont val="Calibri"/>
        <b/>
        <color theme="1"/>
      </rPr>
      <t>$23,275.53</t>
    </r>
    <r>
      <rPr>
        <rFont val="Calibri"/>
        <color theme="1"/>
      </rPr>
      <t xml:space="preserve"> in charges (median </t>
    </r>
    <r>
      <rPr>
        <rFont val="Calibri"/>
        <b/>
        <color theme="1"/>
      </rPr>
      <t>$15,528.75</t>
    </r>
    <r>
      <rPr>
        <rFont val="Calibri"/>
        <color theme="1"/>
      </rPr>
      <t xml:space="preserve">; 22 records), compared to </t>
    </r>
    <r>
      <rPr>
        <rFont val="Calibri"/>
        <b/>
        <color theme="1"/>
      </rPr>
      <t>$16,807.47</t>
    </r>
    <r>
      <rPr>
        <rFont val="Calibri"/>
        <color theme="1"/>
      </rPr>
      <t xml:space="preserve"> for 2 surgeries (274 records), </t>
    </r>
    <r>
      <rPr>
        <rFont val="Calibri"/>
        <b/>
        <color theme="1"/>
      </rPr>
      <t>$12,204.51</t>
    </r>
    <r>
      <rPr>
        <rFont val="Calibri"/>
        <color theme="1"/>
      </rPr>
      <t xml:space="preserve"> for 1 surgery (965 records), and </t>
    </r>
    <r>
      <rPr>
        <rFont val="Calibri"/>
        <b/>
        <color theme="1"/>
      </rPr>
      <t>$13,685.00</t>
    </r>
    <r>
      <rPr>
        <rFont val="Calibri"/>
        <color theme="1"/>
      </rPr>
      <t xml:space="preserve"> for 0 surgeries (1,074 records).</t>
    </r>
    <r>
      <rPr>
        <rFont val="Calibri"/>
        <color theme="1"/>
      </rPr>
      <t xml:space="preserve">
• </t>
    </r>
    <r>
      <rPr>
        <rFont val="Calibri"/>
        <color theme="1"/>
      </rPr>
      <t xml:space="preserve">Refer to the </t>
    </r>
    <r>
      <rPr>
        <rFont val="Calibri"/>
        <b/>
        <color theme="1"/>
      </rPr>
      <t>"Average Healthcare Charges by Age Group"</t>
    </r>
    <r>
      <rPr>
        <rFont val="Calibri"/>
        <color theme="1"/>
      </rPr>
      <t xml:space="preserve"> chart for the age-based spending progression.</t>
    </r>
  </si>
  <si>
    <t>16/08/82</t>
  </si>
  <si>
    <t>18/06/74</t>
  </si>
  <si>
    <t>Age_Group</t>
  </si>
  <si>
    <t>22/11/72</t>
  </si>
  <si>
    <t>14/11/72</t>
  </si>
  <si>
    <t>14/07/76</t>
  </si>
  <si>
    <t>0 Surgeries</t>
  </si>
  <si>
    <t>1 Surgeries</t>
  </si>
  <si>
    <t>22/08/88</t>
  </si>
  <si>
    <t>2 Surgeries</t>
  </si>
  <si>
    <t>3 Surgeries</t>
  </si>
  <si>
    <t>19/10/76</t>
  </si>
  <si>
    <t>18-30</t>
  </si>
  <si>
    <t>14/06/76</t>
  </si>
  <si>
    <t>07/11/01</t>
  </si>
  <si>
    <t>29/08/65</t>
  </si>
  <si>
    <t>18/06/71</t>
  </si>
  <si>
    <t>31-45</t>
  </si>
  <si>
    <t>30/11/92</t>
  </si>
  <si>
    <t>23/08/71</t>
  </si>
  <si>
    <t>06/09/74</t>
  </si>
  <si>
    <t>46-60</t>
  </si>
  <si>
    <t>09/09/69</t>
  </si>
  <si>
    <t>23/08/99</t>
  </si>
  <si>
    <t>60+</t>
  </si>
  <si>
    <t>17/06/76</t>
  </si>
  <si>
    <t>25/06/73</t>
  </si>
  <si>
    <t>28/10/80</t>
  </si>
  <si>
    <t>Smoker_Label</t>
  </si>
  <si>
    <t>Non-Smoker</t>
  </si>
  <si>
    <t>16/08/74</t>
  </si>
  <si>
    <t>10/08/69</t>
  </si>
  <si>
    <t>07/07/62</t>
  </si>
  <si>
    <t>21/10/65</t>
  </si>
  <si>
    <t>03/08/75</t>
  </si>
  <si>
    <t>02/09/77</t>
  </si>
  <si>
    <t>15/10/77</t>
  </si>
  <si>
    <t>12/11/77</t>
  </si>
  <si>
    <t>24/09/77</t>
  </si>
  <si>
    <t>11/07/73</t>
  </si>
  <si>
    <t>25/07/83</t>
  </si>
  <si>
    <t>30/12/83</t>
  </si>
  <si>
    <t>04/08/82</t>
  </si>
  <si>
    <t>11/11/87</t>
  </si>
  <si>
    <t>06/12/82</t>
  </si>
  <si>
    <t>26/09/75</t>
  </si>
  <si>
    <t>21/09/88</t>
  </si>
  <si>
    <t>21/08/75</t>
  </si>
  <si>
    <t>06/08/75</t>
  </si>
  <si>
    <t>12/12/00</t>
  </si>
  <si>
    <t>06/11/75</t>
  </si>
  <si>
    <t>27/12/81</t>
  </si>
  <si>
    <t>24/07/00</t>
  </si>
  <si>
    <t>20/09/85</t>
  </si>
  <si>
    <t>26/07/77</t>
  </si>
  <si>
    <t>13/08/79</t>
  </si>
  <si>
    <t>charges_clean</t>
  </si>
  <si>
    <t>29/12/77</t>
  </si>
  <si>
    <t>21/06/77</t>
  </si>
  <si>
    <t>26/12/77</t>
  </si>
  <si>
    <t>10/11/93</t>
  </si>
  <si>
    <t>09/09/92</t>
  </si>
  <si>
    <t>26/12/72</t>
  </si>
  <si>
    <t>19/06/84</t>
  </si>
  <si>
    <t>12/06/66</t>
  </si>
  <si>
    <t>11/10/62</t>
  </si>
  <si>
    <t>12/10/78</t>
  </si>
  <si>
    <t>04/09/72</t>
  </si>
  <si>
    <t>09/09/72</t>
  </si>
  <si>
    <t>28/09/75</t>
  </si>
  <si>
    <t>04/09/77</t>
  </si>
  <si>
    <t>11/06/79</t>
  </si>
  <si>
    <t>18/09/71</t>
  </si>
  <si>
    <t>04/09/71</t>
  </si>
  <si>
    <t>21/09/63</t>
  </si>
  <si>
    <t>12/06/76</t>
  </si>
  <si>
    <t>24/09/80</t>
  </si>
  <si>
    <t>07/07/76</t>
  </si>
  <si>
    <t>20/07/76</t>
  </si>
  <si>
    <t>12/07/76</t>
  </si>
  <si>
    <t>22/06/93</t>
  </si>
  <si>
    <t>07/08/79</t>
  </si>
  <si>
    <t>26/06/78</t>
  </si>
  <si>
    <t>06/06/74</t>
  </si>
  <si>
    <t>22/12/74</t>
  </si>
  <si>
    <t>26/09/74</t>
  </si>
  <si>
    <t>28/11/00</t>
  </si>
  <si>
    <t>15/12/76</t>
  </si>
  <si>
    <t>05/08/74</t>
  </si>
  <si>
    <t>05/09/64</t>
  </si>
  <si>
    <t>27/09/82</t>
  </si>
  <si>
    <t>02/09/76</t>
  </si>
  <si>
    <t>30/06/76</t>
  </si>
  <si>
    <t>03/09/76</t>
  </si>
  <si>
    <t>30/06/78</t>
  </si>
  <si>
    <t>24/10/78</t>
  </si>
  <si>
    <t>23/11/62</t>
  </si>
  <si>
    <t>21/10/97</t>
  </si>
  <si>
    <t>16/06/87</t>
  </si>
  <si>
    <t>08/06/83</t>
  </si>
  <si>
    <t>05/11/63</t>
  </si>
  <si>
    <t>28/06/82</t>
  </si>
  <si>
    <t>21/06/90</t>
  </si>
  <si>
    <t>03/09/73</t>
  </si>
  <si>
    <t>30/08/73</t>
  </si>
  <si>
    <t>16/12/73</t>
  </si>
  <si>
    <t>01/09/78</t>
  </si>
  <si>
    <t>10/06/67</t>
  </si>
  <si>
    <t>21/12/75</t>
  </si>
  <si>
    <t>12/10/94</t>
  </si>
  <si>
    <t>28/08/01</t>
  </si>
  <si>
    <t>07/11/93</t>
  </si>
  <si>
    <t>15/12/75</t>
  </si>
  <si>
    <t>11/08/65</t>
  </si>
  <si>
    <t>28/06/75</t>
  </si>
  <si>
    <t>12/12/70</t>
  </si>
  <si>
    <t>27/12/82</t>
  </si>
  <si>
    <t>06/06/64</t>
  </si>
  <si>
    <t>28/11/85</t>
  </si>
  <si>
    <t>12/12/03</t>
  </si>
  <si>
    <t>06/11/77</t>
  </si>
  <si>
    <t>20/12/76</t>
  </si>
  <si>
    <t>17/07/78</t>
  </si>
  <si>
    <t>03/11/89</t>
  </si>
  <si>
    <t>08/11/80</t>
  </si>
  <si>
    <t>18/09/95</t>
  </si>
  <si>
    <t>22/08/62</t>
  </si>
  <si>
    <t>20/08/83</t>
  </si>
  <si>
    <t>03/12/79</t>
  </si>
  <si>
    <t>28/08/83</t>
  </si>
  <si>
    <t>23/11/72</t>
  </si>
  <si>
    <t>10/08/75</t>
  </si>
  <si>
    <t>19/06/70</t>
  </si>
  <si>
    <t>28/12/81</t>
  </si>
  <si>
    <t>29/10/87</t>
  </si>
  <si>
    <t>20/07/77</t>
  </si>
  <si>
    <t>10/10/62</t>
  </si>
  <si>
    <t>17/11/94</t>
  </si>
  <si>
    <t>05/12/04</t>
  </si>
  <si>
    <t>05/10/01</t>
  </si>
  <si>
    <t>12/10/89</t>
  </si>
  <si>
    <t>21/12/91</t>
  </si>
  <si>
    <t>09/11/74</t>
  </si>
  <si>
    <t>02/12/97</t>
  </si>
  <si>
    <t>25/12/99</t>
  </si>
  <si>
    <t>06/12/74</t>
  </si>
  <si>
    <t>21/12/97</t>
  </si>
  <si>
    <t>30/06/81</t>
  </si>
  <si>
    <t>12/12/76</t>
  </si>
  <si>
    <t>08/11/91</t>
  </si>
  <si>
    <t>04/09/78</t>
  </si>
  <si>
    <t>18/07/65</t>
  </si>
  <si>
    <t>29/08/77</t>
  </si>
  <si>
    <t>04/12/78</t>
  </si>
  <si>
    <t>10/09/80</t>
  </si>
  <si>
    <t>02/06/79</t>
  </si>
  <si>
    <t>12/07/87</t>
  </si>
  <si>
    <t>18/12/82</t>
  </si>
  <si>
    <t>19/12/81</t>
  </si>
  <si>
    <t>15/06/76</t>
  </si>
  <si>
    <t>11/10/71</t>
  </si>
  <si>
    <t>13/09/95</t>
  </si>
  <si>
    <t>24/11/96</t>
  </si>
  <si>
    <t>09/10/76</t>
  </si>
  <si>
    <t>27/12/65</t>
  </si>
  <si>
    <t>30/09/98</t>
  </si>
  <si>
    <t>10/08/93</t>
  </si>
  <si>
    <t>16/10/80</t>
  </si>
  <si>
    <t>15/06/99</t>
  </si>
  <si>
    <t>24/07/80</t>
  </si>
  <si>
    <t>01/12/68</t>
  </si>
  <si>
    <t>02/11/91</t>
  </si>
  <si>
    <t>20/06/80</t>
  </si>
  <si>
    <t>13/12/01</t>
  </si>
  <si>
    <t>24/08/78</t>
  </si>
  <si>
    <t>29/11/78</t>
  </si>
  <si>
    <t>06/11/78</t>
  </si>
  <si>
    <t>28/11/78</t>
  </si>
  <si>
    <t>17/09/96</t>
  </si>
  <si>
    <t>03/07/68</t>
  </si>
  <si>
    <t>30/09/97</t>
  </si>
  <si>
    <t>17/07/67</t>
  </si>
  <si>
    <t>20/07/86</t>
  </si>
  <si>
    <t>14/08/94</t>
  </si>
  <si>
    <t>15/12/88</t>
  </si>
  <si>
    <t>22/08/84</t>
  </si>
  <si>
    <t>14/12/78</t>
  </si>
  <si>
    <t>10/10/76</t>
  </si>
  <si>
    <t>18/10/78</t>
  </si>
  <si>
    <t>10/07/83</t>
  </si>
  <si>
    <t>28/10/97</t>
  </si>
  <si>
    <t>14/06/96</t>
  </si>
  <si>
    <t>13/07/90</t>
  </si>
  <si>
    <t>04/08/67</t>
  </si>
  <si>
    <t>01/06/01</t>
  </si>
  <si>
    <t>30/09/77</t>
  </si>
  <si>
    <t>25/09/77</t>
  </si>
  <si>
    <t>07/07/80</t>
  </si>
  <si>
    <t>01/09/79</t>
  </si>
  <si>
    <t>25/08/77</t>
  </si>
  <si>
    <t>02/12/78</t>
  </si>
  <si>
    <t>12/11/78</t>
  </si>
  <si>
    <t>19/09/83</t>
  </si>
  <si>
    <t>12/11/99</t>
  </si>
  <si>
    <t>05/12/65</t>
  </si>
  <si>
    <t>22/07/93</t>
  </si>
  <si>
    <t>24/11/81</t>
  </si>
  <si>
    <t>09/12/65</t>
  </si>
  <si>
    <t>16/07/81</t>
  </si>
  <si>
    <t>21/06/83</t>
  </si>
  <si>
    <t>05/10/93</t>
  </si>
  <si>
    <t>01/12/77</t>
  </si>
  <si>
    <t>26/06/79</t>
  </si>
  <si>
    <t>18/12/77</t>
  </si>
  <si>
    <t>21/06/86</t>
  </si>
  <si>
    <t>15/06/86</t>
  </si>
  <si>
    <t>19/09/79</t>
  </si>
  <si>
    <t>25/07/84</t>
  </si>
  <si>
    <t>19/06/79</t>
  </si>
  <si>
    <t>15/11/04</t>
  </si>
  <si>
    <t>11/07/65</t>
  </si>
  <si>
    <t>11/08/72</t>
  </si>
  <si>
    <t>25/06/65</t>
  </si>
  <si>
    <t>06/06/65</t>
  </si>
  <si>
    <t>26/12/66</t>
  </si>
  <si>
    <t>23/12/71</t>
  </si>
  <si>
    <t>02/11/85</t>
  </si>
  <si>
    <t>18/12/76</t>
  </si>
  <si>
    <t>04/08/81</t>
  </si>
  <si>
    <t>25/10/73</t>
  </si>
  <si>
    <t>13/06/81</t>
  </si>
  <si>
    <t>14/08/81</t>
  </si>
  <si>
    <t>24/07/82</t>
  </si>
  <si>
    <t>02/09/86</t>
  </si>
  <si>
    <t>13/07/86</t>
  </si>
  <si>
    <t>15/09/77</t>
  </si>
  <si>
    <t>22/08/70</t>
  </si>
  <si>
    <t>28/06/91</t>
  </si>
  <si>
    <t>21/11/83</t>
  </si>
  <si>
    <t>11/08/83</t>
  </si>
  <si>
    <t>14/09/82</t>
  </si>
  <si>
    <t>26/08/68</t>
  </si>
  <si>
    <t>19/07/75</t>
  </si>
  <si>
    <t>30/09/80</t>
  </si>
  <si>
    <t>07/10/80</t>
  </si>
  <si>
    <t>22/06/80</t>
  </si>
  <si>
    <t>17/09/02</t>
  </si>
  <si>
    <t>17/07/81</t>
  </si>
  <si>
    <t>06/09/78</t>
  </si>
  <si>
    <t>29/06/84</t>
  </si>
  <si>
    <t>30/07/78</t>
  </si>
  <si>
    <t>24/06/76</t>
  </si>
  <si>
    <t>21/11/84</t>
  </si>
  <si>
    <t>08/08/99</t>
  </si>
  <si>
    <t>07/07/84</t>
  </si>
  <si>
    <t>01/08/93</t>
  </si>
  <si>
    <t>29/06/68</t>
  </si>
  <si>
    <t>12/06/80</t>
  </si>
  <si>
    <t>11/08/87</t>
  </si>
  <si>
    <t>18/06/92</t>
  </si>
  <si>
    <t>06/10/82</t>
  </si>
  <si>
    <t>24/06/78</t>
  </si>
  <si>
    <t>28/06/80</t>
  </si>
  <si>
    <t>21/07/80</t>
  </si>
  <si>
    <t>22/10/80</t>
  </si>
  <si>
    <t>26/07/80</t>
  </si>
  <si>
    <t>29/10/95</t>
  </si>
  <si>
    <t>02/06/78</t>
  </si>
  <si>
    <t>30/10/89</t>
  </si>
  <si>
    <t>06/07/69</t>
  </si>
  <si>
    <t>01/09/82</t>
  </si>
  <si>
    <t>18/10/82</t>
  </si>
  <si>
    <t>10/12/85</t>
  </si>
  <si>
    <t>03/06/75</t>
  </si>
  <si>
    <t>18/08/80</t>
  </si>
  <si>
    <t>15/12/78</t>
  </si>
  <si>
    <t>30/08/80</t>
  </si>
  <si>
    <t>21/12/61</t>
  </si>
  <si>
    <t>16/08/80</t>
  </si>
  <si>
    <t>05/09/84</t>
  </si>
  <si>
    <t>21/12/89</t>
  </si>
  <si>
    <t>10/09/85</t>
  </si>
  <si>
    <t>24/12/04</t>
  </si>
  <si>
    <t>23/06/81</t>
  </si>
  <si>
    <t>23/10/69</t>
  </si>
  <si>
    <t>19/06/81</t>
  </si>
  <si>
    <t>04/11/79</t>
  </si>
  <si>
    <t>15/06/77</t>
  </si>
  <si>
    <t>16/06/64</t>
  </si>
  <si>
    <t>30/11/00</t>
  </si>
  <si>
    <t>15/07/79</t>
  </si>
  <si>
    <t>08/07/94</t>
  </si>
  <si>
    <t>17/08/75</t>
  </si>
  <si>
    <t>29/06/91</t>
  </si>
  <si>
    <t>24/12/85</t>
  </si>
  <si>
    <t>23/11/80</t>
  </si>
  <si>
    <t>08/10/81</t>
  </si>
  <si>
    <t>03/09/81</t>
  </si>
  <si>
    <t>21/09/81</t>
  </si>
  <si>
    <t>08/09/89</t>
  </si>
  <si>
    <t>10/10/88</t>
  </si>
  <si>
    <t>09/12/66</t>
  </si>
  <si>
    <t>17/06/70</t>
  </si>
  <si>
    <t>05/06/86</t>
  </si>
  <si>
    <t>07/08/86</t>
  </si>
  <si>
    <t>18/07/68</t>
  </si>
  <si>
    <t>21/10/78</t>
  </si>
  <si>
    <t>13/06/94</t>
  </si>
  <si>
    <t>12/06/83</t>
  </si>
  <si>
    <t>12/12/71</t>
  </si>
  <si>
    <t>19/11/72</t>
  </si>
  <si>
    <t>13/07/68</t>
  </si>
  <si>
    <t>09/07/85</t>
  </si>
  <si>
    <t>20/10/89</t>
  </si>
  <si>
    <t>17/09/81</t>
  </si>
  <si>
    <t>19/11/89</t>
  </si>
  <si>
    <t>01/07/84</t>
  </si>
  <si>
    <t>08/11/70</t>
  </si>
  <si>
    <t>08/12/84</t>
  </si>
  <si>
    <t>06/06/90</t>
  </si>
  <si>
    <t>29/07/98</t>
  </si>
  <si>
    <t>04/09/03</t>
  </si>
  <si>
    <t>29/08/73</t>
  </si>
  <si>
    <t>28/08/82</t>
  </si>
  <si>
    <t>07/11/82</t>
  </si>
  <si>
    <t>29/12/82</t>
  </si>
  <si>
    <t>22/11/82</t>
  </si>
  <si>
    <t>05/10/84</t>
  </si>
  <si>
    <t>20/07/81</t>
  </si>
  <si>
    <t>20/09/84</t>
  </si>
  <si>
    <t>11/12/68</t>
  </si>
  <si>
    <t>09/09/79</t>
  </si>
  <si>
    <t>06/08/89</t>
  </si>
  <si>
    <t>18/12/86</t>
  </si>
  <si>
    <t>03/12/69</t>
  </si>
  <si>
    <t>02/10/82</t>
  </si>
  <si>
    <t>12/08/82</t>
  </si>
  <si>
    <t>23/10/76</t>
  </si>
  <si>
    <t>07/07/94</t>
  </si>
  <si>
    <t>09/10/82</t>
  </si>
  <si>
    <t>26/07/83</t>
  </si>
  <si>
    <t>08/06/80</t>
  </si>
  <si>
    <t>27/07/81</t>
  </si>
  <si>
    <t>01/11/84</t>
  </si>
  <si>
    <t>26/08/84</t>
  </si>
  <si>
    <t>22/07/85</t>
  </si>
  <si>
    <t>05/08/75</t>
  </si>
  <si>
    <t>30/12/76</t>
  </si>
  <si>
    <t>04/09/87</t>
  </si>
  <si>
    <t>22/08/71</t>
  </si>
  <si>
    <t>20/08/70</t>
  </si>
  <si>
    <t>15/08/86</t>
  </si>
  <si>
    <t>09/09/87</t>
  </si>
  <si>
    <t>28/10/82</t>
  </si>
  <si>
    <t>16/08/97</t>
  </si>
  <si>
    <t>06/08/82</t>
  </si>
  <si>
    <t>18/11/76</t>
  </si>
  <si>
    <t>13/08/84</t>
  </si>
  <si>
    <t>09/11/70</t>
  </si>
  <si>
    <t>07/07/96</t>
  </si>
  <si>
    <t>24/06/89</t>
  </si>
  <si>
    <t>18/09/76</t>
  </si>
  <si>
    <t>30/10/80</t>
  </si>
  <si>
    <t>19/08/83</t>
  </si>
  <si>
    <t>21/10/83</t>
  </si>
  <si>
    <t>25/09/86</t>
  </si>
  <si>
    <t>13/08/90</t>
  </si>
  <si>
    <t>15/12/85</t>
  </si>
  <si>
    <t>19/11/85</t>
  </si>
  <si>
    <t>27/07/04</t>
  </si>
  <si>
    <t>04/09/69</t>
  </si>
  <si>
    <t>17/09/74</t>
  </si>
  <si>
    <t>04/07/96</t>
  </si>
  <si>
    <t>26/08/81</t>
  </si>
  <si>
    <t>16/10/93</t>
  </si>
  <si>
    <t>25/09/84</t>
  </si>
  <si>
    <t>17/10/95</t>
  </si>
  <si>
    <t>11/10/70</t>
  </si>
  <si>
    <t>08/09/72</t>
  </si>
  <si>
    <t>11/11/72</t>
  </si>
  <si>
    <t>27/08/62</t>
  </si>
  <si>
    <t>10/10/79</t>
  </si>
  <si>
    <t>19/09/78</t>
  </si>
  <si>
    <t>29/06/72</t>
  </si>
  <si>
    <t>12/08/92</t>
  </si>
  <si>
    <t>10/09/99</t>
  </si>
  <si>
    <t>22/09/85</t>
  </si>
  <si>
    <t>23/10/88</t>
  </si>
  <si>
    <t>01/10/81</t>
  </si>
  <si>
    <t>20/06/82</t>
  </si>
  <si>
    <t>22/11/81</t>
  </si>
  <si>
    <t>01/11/88</t>
  </si>
  <si>
    <t>05/10/70</t>
  </si>
  <si>
    <t>09/08/85</t>
  </si>
  <si>
    <t>06/10/84</t>
  </si>
  <si>
    <t>15/10/85</t>
  </si>
  <si>
    <t>06/11/73</t>
  </si>
  <si>
    <t>14/10/70</t>
  </si>
  <si>
    <t>05/09/78</t>
  </si>
  <si>
    <t>16/11/90</t>
  </si>
  <si>
    <t>09/11/69</t>
  </si>
  <si>
    <t>18/08/90</t>
  </si>
  <si>
    <t>16/11/83</t>
  </si>
  <si>
    <t>25/07/91</t>
  </si>
  <si>
    <t>21/07/85</t>
  </si>
  <si>
    <t>09/09/95</t>
  </si>
  <si>
    <t>09/06/70</t>
  </si>
  <si>
    <t>14/10/84</t>
  </si>
  <si>
    <t>12/10/00</t>
  </si>
  <si>
    <t>08/08/79</t>
  </si>
  <si>
    <t>21/09/84</t>
  </si>
  <si>
    <t>08/11/94</t>
  </si>
  <si>
    <t>28/07/96</t>
  </si>
  <si>
    <t>16/08/89</t>
  </si>
  <si>
    <t>08/08/80</t>
  </si>
  <si>
    <t>10/06/88</t>
  </si>
  <si>
    <t>11/10/74</t>
  </si>
  <si>
    <t>10/10/80</t>
  </si>
  <si>
    <t>27/09/02</t>
  </si>
  <si>
    <t>25/06/70</t>
  </si>
  <si>
    <t>11/11/84</t>
  </si>
  <si>
    <t>19/09/84</t>
  </si>
  <si>
    <t>22/07/89</t>
  </si>
  <si>
    <t>05/08/80</t>
  </si>
  <si>
    <t>15/07/04</t>
  </si>
  <si>
    <t>13/08/03</t>
  </si>
  <si>
    <t>14/07/87</t>
  </si>
  <si>
    <t>30/07/94</t>
  </si>
  <si>
    <t>03/08/79</t>
  </si>
  <si>
    <t>13/08/93</t>
  </si>
  <si>
    <t>29/07/87</t>
  </si>
  <si>
    <t>21/12/82</t>
  </si>
  <si>
    <t>08/07/82</t>
  </si>
  <si>
    <t>19/10/93</t>
  </si>
  <si>
    <t>22/11/84</t>
  </si>
  <si>
    <t>18/06/85</t>
  </si>
  <si>
    <t>30/09/87</t>
  </si>
  <si>
    <t>20/08/95</t>
  </si>
  <si>
    <t>27/07/87</t>
  </si>
  <si>
    <t>30/10/69</t>
  </si>
  <si>
    <t>27/09/71</t>
  </si>
  <si>
    <t>22/07/02</t>
  </si>
  <si>
    <t>02/11/72</t>
  </si>
  <si>
    <t>18/09/80</t>
  </si>
  <si>
    <t>01/11/04</t>
  </si>
  <si>
    <t>30/08/83</t>
  </si>
  <si>
    <t>10/06/93</t>
  </si>
  <si>
    <t>21/08/72</t>
  </si>
  <si>
    <t>19/10/87</t>
  </si>
  <si>
    <t>18/12/71</t>
  </si>
  <si>
    <t>09/11/75</t>
  </si>
  <si>
    <t>30/08/81</t>
  </si>
  <si>
    <t>03/11/93</t>
  </si>
  <si>
    <t>15/06/81</t>
  </si>
  <si>
    <t>06/07/74</t>
  </si>
  <si>
    <t>03/11/92</t>
  </si>
  <si>
    <t>28/10/72</t>
  </si>
  <si>
    <t>12/08/84</t>
  </si>
  <si>
    <t>03/09/83</t>
  </si>
  <si>
    <t>27/09/78</t>
  </si>
  <si>
    <t>17/11/85</t>
  </si>
  <si>
    <t>09/12/87</t>
  </si>
  <si>
    <t>15/11/94</t>
  </si>
  <si>
    <t>11/09/78</t>
  </si>
  <si>
    <t>18/11/88</t>
  </si>
  <si>
    <t>03/10/83</t>
  </si>
  <si>
    <t>21/11/86</t>
  </si>
  <si>
    <t>05/09/85</t>
  </si>
  <si>
    <t>18/09/74</t>
  </si>
  <si>
    <t>22/09/99</t>
  </si>
  <si>
    <t>07/12/80</t>
  </si>
  <si>
    <t>17/10/90</t>
  </si>
  <si>
    <t>07/11/81</t>
  </si>
  <si>
    <t>29/07/88</t>
  </si>
  <si>
    <t>17/08/84</t>
  </si>
  <si>
    <t>30/09/86</t>
  </si>
  <si>
    <t>12/07/86</t>
  </si>
  <si>
    <t>02/12/86</t>
  </si>
  <si>
    <t>24/10/73</t>
  </si>
  <si>
    <t>25/08/82</t>
  </si>
  <si>
    <t>16/11/58</t>
  </si>
  <si>
    <t>05/09/00</t>
  </si>
  <si>
    <t>08/06/78</t>
  </si>
  <si>
    <t>17/09/92</t>
  </si>
  <si>
    <t>06/07/91</t>
  </si>
  <si>
    <t>27/09/75</t>
  </si>
  <si>
    <t>23/12/85</t>
  </si>
  <si>
    <t>01/08/84</t>
  </si>
  <si>
    <t>03/09/84</t>
  </si>
  <si>
    <t>06/11/89</t>
  </si>
  <si>
    <t>08/08/88</t>
  </si>
  <si>
    <t>30/10/95</t>
  </si>
  <si>
    <t>01/06/84</t>
  </si>
  <si>
    <t>22/07/86</t>
  </si>
  <si>
    <t>18/11/89</t>
  </si>
  <si>
    <t>01/06/86</t>
  </si>
  <si>
    <t>07/12/94</t>
  </si>
  <si>
    <t>07/11/89</t>
  </si>
  <si>
    <t>15/12/72</t>
  </si>
  <si>
    <t>28/08/91</t>
  </si>
  <si>
    <t>02/09/74</t>
  </si>
  <si>
    <t>10/06/89</t>
  </si>
  <si>
    <t>13/11/94</t>
  </si>
  <si>
    <t>09/09/00</t>
  </si>
  <si>
    <t>22/08/04</t>
  </si>
  <si>
    <t>12/11/74</t>
  </si>
  <si>
    <t>01/09/87</t>
  </si>
  <si>
    <t>20/10/86</t>
  </si>
  <si>
    <t>20/09/86</t>
  </si>
  <si>
    <t>25/10/86</t>
  </si>
  <si>
    <t>19/07/89</t>
  </si>
  <si>
    <t>17/12/88</t>
  </si>
  <si>
    <t>05/07/87</t>
  </si>
  <si>
    <t>26/12/87</t>
  </si>
  <si>
    <t>29/06/87</t>
  </si>
  <si>
    <t>06/06/95</t>
  </si>
  <si>
    <t>01/12/99</t>
  </si>
  <si>
    <t>17/06/93</t>
  </si>
  <si>
    <t>24/10/83</t>
  </si>
  <si>
    <t>06/06/04</t>
  </si>
  <si>
    <t>01/11/91</t>
  </si>
  <si>
    <t>12/09/79</t>
  </si>
  <si>
    <t>16/10/84</t>
  </si>
  <si>
    <t>29/08/91</t>
  </si>
  <si>
    <t>09/10/90</t>
  </si>
  <si>
    <t>22/08/90</t>
  </si>
  <si>
    <t>10/12/93</t>
  </si>
  <si>
    <t>15/09/88</t>
  </si>
  <si>
    <t>13/09/87</t>
  </si>
  <si>
    <t>13/09/92</t>
  </si>
  <si>
    <t>18/11/87</t>
  </si>
  <si>
    <t>19/06/99</t>
  </si>
  <si>
    <t>14/07/97</t>
  </si>
  <si>
    <t>22/11/78</t>
  </si>
  <si>
    <t>11/06/93</t>
  </si>
  <si>
    <t>07/09/80</t>
  </si>
  <si>
    <t>29/07/97</t>
  </si>
  <si>
    <t>16/10/01</t>
  </si>
  <si>
    <t>04/12/97</t>
  </si>
  <si>
    <t>29/06/86</t>
  </si>
  <si>
    <t>25/08/92</t>
  </si>
  <si>
    <t>10/09/91</t>
  </si>
  <si>
    <t>28/12/85</t>
  </si>
  <si>
    <t>09/11/88</t>
  </si>
  <si>
    <t>08/07/88</t>
  </si>
  <si>
    <t>09/06/77</t>
  </si>
  <si>
    <t>04/09/88</t>
  </si>
  <si>
    <t>24/06/88</t>
  </si>
  <si>
    <t>07/11/73</t>
  </si>
  <si>
    <t>30/08/91</t>
  </si>
  <si>
    <t>13/08/77</t>
  </si>
  <si>
    <t>26/06/74</t>
  </si>
  <si>
    <t>27/11/91</t>
  </si>
  <si>
    <t>23/08/91</t>
  </si>
  <si>
    <t>21/08/02</t>
  </si>
  <si>
    <t>10/07/93</t>
  </si>
  <si>
    <t>23/09/88</t>
  </si>
  <si>
    <t>28/11/90</t>
  </si>
  <si>
    <t>10/07/89</t>
  </si>
  <si>
    <t>22/10/68</t>
  </si>
  <si>
    <t>27/10/86</t>
  </si>
  <si>
    <t>23/12/86</t>
  </si>
  <si>
    <t>29/09/97</t>
  </si>
  <si>
    <t>01/09/89</t>
  </si>
  <si>
    <t>27/12/95</t>
  </si>
  <si>
    <t>07/06/01</t>
  </si>
  <si>
    <t>11/09/74</t>
  </si>
  <si>
    <t>13/12/79</t>
  </si>
  <si>
    <t>29/09/95</t>
  </si>
  <si>
    <t>15/10/84</t>
  </si>
  <si>
    <t>10/06/91</t>
  </si>
  <si>
    <t>10/09/92</t>
  </si>
  <si>
    <t>11/12/00</t>
  </si>
  <si>
    <t>27/06/02</t>
  </si>
  <si>
    <t>01/12/95</t>
  </si>
  <si>
    <t>03/07/81</t>
  </si>
  <si>
    <t>03/10/78</t>
  </si>
  <si>
    <t>16/12/89</t>
  </si>
  <si>
    <t>22/06/87</t>
  </si>
  <si>
    <t>09/12/89</t>
  </si>
  <si>
    <t>01/08/89</t>
  </si>
  <si>
    <t>05/08/63</t>
  </si>
  <si>
    <t>24/07/63</t>
  </si>
  <si>
    <t>27/09/87</t>
  </si>
  <si>
    <t>16/08/92</t>
  </si>
  <si>
    <t>22/11/87</t>
  </si>
  <si>
    <t>02/09/87</t>
  </si>
  <si>
    <t>05/06/87</t>
  </si>
  <si>
    <t>24/11/04</t>
  </si>
  <si>
    <t>12/10/91</t>
  </si>
  <si>
    <t>05/09/86</t>
  </si>
  <si>
    <t>02/07/80</t>
  </si>
  <si>
    <t>12/08/94</t>
  </si>
  <si>
    <t>21/06/03</t>
  </si>
  <si>
    <t>28/09/92</t>
  </si>
  <si>
    <t>09/10/92</t>
  </si>
  <si>
    <t>12/08/81</t>
  </si>
  <si>
    <t>04/12/77</t>
  </si>
  <si>
    <t>22/06/03</t>
  </si>
  <si>
    <t>04/09/90</t>
  </si>
  <si>
    <t>04/10/03</t>
  </si>
  <si>
    <t>18/10/79</t>
  </si>
  <si>
    <t>26/09/90</t>
  </si>
  <si>
    <t>05/12/72</t>
  </si>
  <si>
    <t>05/08/90</t>
  </si>
  <si>
    <t>25/10/96</t>
  </si>
  <si>
    <t>22/06/85</t>
  </si>
  <si>
    <t>29/06/98</t>
  </si>
  <si>
    <t>02/07/00</t>
  </si>
  <si>
    <t>18/09/89</t>
  </si>
  <si>
    <t>25/12/96</t>
  </si>
  <si>
    <t>20/09/90</t>
  </si>
  <si>
    <t>22/12/04</t>
  </si>
  <si>
    <t>17/11/90</t>
  </si>
  <si>
    <t>04/07/92</t>
  </si>
  <si>
    <t>13/06/88</t>
  </si>
  <si>
    <t>29/06/93</t>
  </si>
  <si>
    <t>21/12/88</t>
  </si>
  <si>
    <t>05/12/87</t>
  </si>
  <si>
    <t>02/10/03</t>
  </si>
  <si>
    <t>16/06/80</t>
  </si>
  <si>
    <t>13/10/97</t>
  </si>
  <si>
    <t>26/06/88</t>
  </si>
  <si>
    <t>28/12/65</t>
  </si>
  <si>
    <t>12/07/92</t>
  </si>
  <si>
    <t>18/07/04</t>
  </si>
  <si>
    <t>20/11/99</t>
  </si>
  <si>
    <t>04/07/91</t>
  </si>
  <si>
    <t>15/07/90</t>
  </si>
  <si>
    <t>08/08/90</t>
  </si>
  <si>
    <t>28/06/94</t>
  </si>
  <si>
    <t>03/09/91</t>
  </si>
  <si>
    <t>24/10/94</t>
  </si>
  <si>
    <t>08/10/94</t>
  </si>
  <si>
    <t>14/07/70</t>
  </si>
  <si>
    <t>23/12/93</t>
  </si>
  <si>
    <t>04/09/93</t>
  </si>
  <si>
    <t>29/12/94</t>
  </si>
  <si>
    <t>15/08/92</t>
  </si>
  <si>
    <t>16/09/88</t>
  </si>
  <si>
    <t>11/08/86</t>
  </si>
  <si>
    <t>18/07/88</t>
  </si>
  <si>
    <t>29/06/82</t>
  </si>
  <si>
    <t>29/11/97</t>
  </si>
  <si>
    <t>29/07/61</t>
  </si>
  <si>
    <t>28/08/90</t>
  </si>
  <si>
    <t>13/09/91</t>
  </si>
  <si>
    <t>01/11/94</t>
  </si>
  <si>
    <t>01/06/91</t>
  </si>
  <si>
    <t>26/10/94</t>
  </si>
  <si>
    <t>02/11/94</t>
  </si>
  <si>
    <t>19/12/88</t>
  </si>
  <si>
    <t>25/11/00</t>
  </si>
  <si>
    <t>08/06/03</t>
  </si>
  <si>
    <t>20/11/83</t>
  </si>
  <si>
    <t>14/10/95</t>
  </si>
  <si>
    <t>16/06/82</t>
  </si>
  <si>
    <t>01/12/91</t>
  </si>
  <si>
    <t>03/11/91</t>
  </si>
  <si>
    <t>27/06/92</t>
  </si>
  <si>
    <t>14/12/98</t>
  </si>
  <si>
    <t>06/09/97</t>
  </si>
  <si>
    <t>03/10/95</t>
  </si>
  <si>
    <t>25/06/89</t>
  </si>
  <si>
    <t>09/08/73</t>
  </si>
  <si>
    <t>16/09/84</t>
  </si>
  <si>
    <t>26/11/98</t>
  </si>
  <si>
    <t>04/08/92</t>
  </si>
  <si>
    <t>28/06/92</t>
  </si>
  <si>
    <t>06/08/91</t>
  </si>
  <si>
    <t>21/08/94</t>
  </si>
  <si>
    <t>14/12/90</t>
  </si>
  <si>
    <t>01/12/90</t>
  </si>
  <si>
    <t>18/10/02</t>
  </si>
  <si>
    <t>19/11/62</t>
  </si>
  <si>
    <t>16/09/83</t>
  </si>
  <si>
    <t>14/09/95</t>
  </si>
  <si>
    <t>30/11/88</t>
  </si>
  <si>
    <t>26/12/93</t>
  </si>
  <si>
    <t>10/11/83</t>
  </si>
  <si>
    <t>11/10/92</t>
  </si>
  <si>
    <t>13/09/00</t>
  </si>
  <si>
    <t>09/12/03</t>
  </si>
  <si>
    <t>01/11/90</t>
  </si>
  <si>
    <t>22/11/90</t>
  </si>
  <si>
    <t>08/09/96</t>
  </si>
  <si>
    <t>17/08/96</t>
  </si>
  <si>
    <t>29/07/90</t>
  </si>
  <si>
    <t>11/07/95</t>
  </si>
  <si>
    <t>10/07/99</t>
  </si>
  <si>
    <t>11/11/93</t>
  </si>
  <si>
    <t>29/09/93</t>
  </si>
  <si>
    <t>24/10/88</t>
  </si>
  <si>
    <t>15/06/02</t>
  </si>
  <si>
    <t>10/07/00</t>
  </si>
  <si>
    <t>05/07/85</t>
  </si>
  <si>
    <t>24/11/97</t>
  </si>
  <si>
    <t>27/08/81</t>
  </si>
  <si>
    <t>14/09/93</t>
  </si>
  <si>
    <t>13/07/04</t>
  </si>
  <si>
    <t>23/10/96</t>
  </si>
  <si>
    <t>24/06/90</t>
  </si>
  <si>
    <t>18/10/67</t>
  </si>
  <si>
    <t>18/10/01</t>
  </si>
  <si>
    <t>06/06/01</t>
  </si>
  <si>
    <t>19/08/91</t>
  </si>
  <si>
    <t>29/09/81</t>
  </si>
  <si>
    <t>24/06/99</t>
  </si>
  <si>
    <t>28/08/88</t>
  </si>
  <si>
    <t>13/12/81</t>
  </si>
  <si>
    <t>24/10/87</t>
  </si>
  <si>
    <t>21/11/94</t>
  </si>
  <si>
    <t>16/06/92</t>
  </si>
  <si>
    <t>24/10/91</t>
  </si>
  <si>
    <t>25/08/91</t>
  </si>
  <si>
    <t>28/10/91</t>
  </si>
  <si>
    <t>09/09/86</t>
  </si>
  <si>
    <t>22/08/94</t>
  </si>
  <si>
    <t>01/12/86</t>
  </si>
  <si>
    <t>05/11/04</t>
  </si>
  <si>
    <t>02/12/89</t>
  </si>
  <si>
    <t>18/08/88</t>
  </si>
  <si>
    <t>25/12/04</t>
  </si>
  <si>
    <t>21/10/95</t>
  </si>
  <si>
    <t>14/12/81</t>
  </si>
  <si>
    <t>10/07/03</t>
  </si>
  <si>
    <t>06/07/84</t>
  </si>
  <si>
    <t>14/09/92</t>
  </si>
  <si>
    <t>08/11/90</t>
  </si>
  <si>
    <t>17/11/92</t>
  </si>
  <si>
    <t>14/06/85</t>
  </si>
  <si>
    <t>11/10/90</t>
  </si>
  <si>
    <t>04/11/88</t>
  </si>
  <si>
    <t>05/09/03</t>
  </si>
  <si>
    <t>12/08/99</t>
  </si>
  <si>
    <t>04/11/97</t>
  </si>
  <si>
    <t>06/06/99</t>
  </si>
  <si>
    <t>27/12/86</t>
  </si>
  <si>
    <t>11/11/01</t>
  </si>
  <si>
    <t>23/08/95</t>
  </si>
  <si>
    <t>10/10/81</t>
  </si>
  <si>
    <t>16/06/95</t>
  </si>
  <si>
    <t>09/10/95</t>
  </si>
  <si>
    <t>28/12/93</t>
  </si>
  <si>
    <t>24/09/94</t>
  </si>
  <si>
    <t>22/12/92</t>
  </si>
  <si>
    <t>15/10/88</t>
  </si>
  <si>
    <t>24/08/03</t>
  </si>
  <si>
    <t>16/09/98</t>
  </si>
  <si>
    <t>18/09/96</t>
  </si>
  <si>
    <t>19/09/96</t>
  </si>
  <si>
    <t>26/06/04</t>
  </si>
  <si>
    <t>12/10/93</t>
  </si>
  <si>
    <t>01/10/99</t>
  </si>
  <si>
    <t>29/07/03</t>
  </si>
  <si>
    <t>14/09/87</t>
  </si>
  <si>
    <t>20/06/00</t>
  </si>
  <si>
    <t>27/08/86</t>
  </si>
  <si>
    <t>26/12/01</t>
  </si>
  <si>
    <t>19/12/96</t>
  </si>
  <si>
    <t>16/07/04</t>
  </si>
  <si>
    <t>27/10/96</t>
  </si>
  <si>
    <t>10/08/96</t>
  </si>
  <si>
    <t>13/11/96</t>
  </si>
  <si>
    <t>14/12/96</t>
  </si>
  <si>
    <t>07/10/93</t>
  </si>
  <si>
    <t>23/06/95</t>
  </si>
  <si>
    <t>28/10/93</t>
  </si>
  <si>
    <t>01/09/91</t>
  </si>
  <si>
    <t>20/06/97</t>
  </si>
  <si>
    <t>18/11/03</t>
  </si>
  <si>
    <t>05/12/03</t>
  </si>
  <si>
    <t>17/11/96</t>
  </si>
  <si>
    <t>03/07/03</t>
  </si>
  <si>
    <t>30/08/04</t>
  </si>
  <si>
    <t>06/10/01</t>
  </si>
  <si>
    <t>01/07/94</t>
  </si>
  <si>
    <t>02/12/94</t>
  </si>
  <si>
    <t>13/11/91</t>
  </si>
  <si>
    <t>02/09/97</t>
  </si>
  <si>
    <t>02/08/97</t>
  </si>
  <si>
    <t>06/07/97</t>
  </si>
  <si>
    <t>22/12/97</t>
  </si>
  <si>
    <t>05/07/97</t>
  </si>
  <si>
    <t>11/10/96</t>
  </si>
  <si>
    <t>08/06/77</t>
  </si>
  <si>
    <t>12/06/97</t>
  </si>
  <si>
    <t>02/09/01</t>
  </si>
  <si>
    <t>23/09/00</t>
  </si>
  <si>
    <t>03/07/96</t>
  </si>
  <si>
    <t>14/08/96</t>
  </si>
  <si>
    <t>06/07/94</t>
  </si>
  <si>
    <t>25/10/94</t>
  </si>
  <si>
    <t>29/08/01</t>
  </si>
  <si>
    <t>25/09/93</t>
  </si>
  <si>
    <t>10/07/94</t>
  </si>
  <si>
    <t>25/06/99</t>
  </si>
  <si>
    <t>01/08/87</t>
  </si>
  <si>
    <t>13/10/01</t>
  </si>
  <si>
    <t>10/09/95</t>
  </si>
  <si>
    <t>01/10/89</t>
  </si>
  <si>
    <t>26/09/94</t>
  </si>
  <si>
    <t>21/06/02</t>
  </si>
  <si>
    <t>09/08/98</t>
  </si>
  <si>
    <t>15/09/98</t>
  </si>
  <si>
    <t>19/12/97</t>
  </si>
  <si>
    <t>20/08/96</t>
  </si>
  <si>
    <t>28/09/88</t>
  </si>
  <si>
    <t>15/12/02</t>
  </si>
  <si>
    <t>20/11/91</t>
  </si>
  <si>
    <t>18/06/87</t>
  </si>
  <si>
    <t>24/09/95</t>
  </si>
  <si>
    <t>30/09/02</t>
  </si>
  <si>
    <t>30/06/96</t>
  </si>
  <si>
    <t>05/06/03</t>
  </si>
  <si>
    <t>13/06/96</t>
  </si>
  <si>
    <t>24/10/96</t>
  </si>
  <si>
    <t>22/07/63</t>
  </si>
  <si>
    <t>01/11/99</t>
  </si>
  <si>
    <t>14/07/00</t>
  </si>
  <si>
    <t>21/06/96</t>
  </si>
  <si>
    <t>12/08/93</t>
  </si>
  <si>
    <t>01/11/93</t>
  </si>
  <si>
    <t>04/09/98</t>
  </si>
  <si>
    <t>17/06/98</t>
  </si>
  <si>
    <t>15/11/98</t>
  </si>
  <si>
    <t>01/10/00</t>
  </si>
  <si>
    <t>23/09/03</t>
  </si>
  <si>
    <t>04/09/99</t>
  </si>
  <si>
    <t>04/08/04</t>
  </si>
  <si>
    <t>29/08/99</t>
  </si>
  <si>
    <t>14/11/04</t>
  </si>
  <si>
    <t>10/08/97</t>
  </si>
  <si>
    <t>11/10/00</t>
  </si>
  <si>
    <t>03/10/00</t>
  </si>
  <si>
    <t>17/12/00</t>
  </si>
  <si>
    <t>03/12/03</t>
  </si>
  <si>
    <t>06/10/97</t>
  </si>
  <si>
    <t>20/08/88</t>
  </si>
  <si>
    <t>30/10/97</t>
  </si>
  <si>
    <t>06/08/03</t>
  </si>
  <si>
    <t>01/12/03</t>
  </si>
  <si>
    <t>21/11/03</t>
  </si>
  <si>
    <t>17/07/03</t>
  </si>
  <si>
    <t>11/06/99</t>
  </si>
  <si>
    <t>02/10/94</t>
  </si>
  <si>
    <t>17/09/94</t>
  </si>
  <si>
    <t>05/08/96</t>
  </si>
  <si>
    <t>09/12/00</t>
  </si>
  <si>
    <t>24/06/00</t>
  </si>
  <si>
    <t>26/08/97</t>
  </si>
  <si>
    <t>26/08/01</t>
  </si>
  <si>
    <t>28/07/01</t>
  </si>
  <si>
    <t>15/10/01</t>
  </si>
  <si>
    <t>20/07/02</t>
  </si>
  <si>
    <t>11/10/02</t>
  </si>
  <si>
    <t>04/10/76</t>
  </si>
  <si>
    <t>01/10/90</t>
  </si>
  <si>
    <t>28/07/97</t>
  </si>
  <si>
    <t>25/08/00</t>
  </si>
  <si>
    <t>02/11/97</t>
  </si>
  <si>
    <t>05/08/91</t>
  </si>
  <si>
    <t>06/09/04</t>
  </si>
  <si>
    <t>15/10/95</t>
  </si>
  <si>
    <t>09/07/95</t>
  </si>
  <si>
    <t>06/11/95</t>
  </si>
  <si>
    <t>15/07/74</t>
  </si>
  <si>
    <t>20/06/98</t>
  </si>
  <si>
    <t>02/07/98</t>
  </si>
  <si>
    <t>17/08/98</t>
  </si>
  <si>
    <t>11/07/02</t>
  </si>
  <si>
    <t>19/11/98</t>
  </si>
  <si>
    <t>29/07/02</t>
  </si>
  <si>
    <t>21/11/99</t>
  </si>
  <si>
    <t>03/06/01</t>
  </si>
  <si>
    <t>10/08/99</t>
  </si>
  <si>
    <t>19/12/78</t>
  </si>
  <si>
    <t>17/12/99</t>
  </si>
  <si>
    <t>12/12/88</t>
  </si>
  <si>
    <t>05/11/02</t>
  </si>
  <si>
    <t>21/10/98</t>
  </si>
  <si>
    <t>17/12/96</t>
  </si>
  <si>
    <t>28/11/96</t>
  </si>
  <si>
    <t>05/10/89</t>
  </si>
  <si>
    <t>16/06/91</t>
  </si>
  <si>
    <t>13/06/61</t>
  </si>
  <si>
    <t>12/11/02</t>
  </si>
  <si>
    <t>15/07/02</t>
  </si>
  <si>
    <t>30/06/00</t>
  </si>
  <si>
    <t>10/12/03</t>
  </si>
  <si>
    <t>12/12/04</t>
  </si>
  <si>
    <t>25/09/04</t>
  </si>
  <si>
    <t>13/06/04</t>
  </si>
  <si>
    <t>19/11/00</t>
  </si>
  <si>
    <t>06/08/04</t>
  </si>
  <si>
    <t>13/11/04</t>
  </si>
  <si>
    <t>28/10/04</t>
  </si>
  <si>
    <t>12/09/04</t>
  </si>
  <si>
    <t>03/09/04</t>
  </si>
  <si>
    <t>07/12/04</t>
  </si>
  <si>
    <t>16/12/91</t>
  </si>
  <si>
    <t>27/09/94</t>
  </si>
  <si>
    <t>10/08/71</t>
  </si>
  <si>
    <t>23/08/00</t>
  </si>
  <si>
    <t>10/12/00</t>
  </si>
  <si>
    <t>29/11/00</t>
  </si>
  <si>
    <t>22/10/00</t>
  </si>
  <si>
    <t>27/12/00</t>
  </si>
  <si>
    <t>04/10/04</t>
  </si>
  <si>
    <t>19/08/03</t>
  </si>
  <si>
    <t>03/09/97</t>
  </si>
  <si>
    <t>26/09/03</t>
  </si>
  <si>
    <t>01/09/03</t>
  </si>
  <si>
    <t>29/08/64</t>
  </si>
  <si>
    <t>22/12/03</t>
  </si>
  <si>
    <t>30/08/03</t>
  </si>
  <si>
    <t>04/11/04</t>
  </si>
  <si>
    <t>30/09/03</t>
  </si>
  <si>
    <t>21/07/89</t>
  </si>
  <si>
    <t>28/11/01</t>
  </si>
  <si>
    <t>22/06/01</t>
  </si>
  <si>
    <t>14/08/01</t>
  </si>
  <si>
    <t>12/06/04</t>
  </si>
  <si>
    <t>26/07/00</t>
  </si>
  <si>
    <t>02/09/00</t>
  </si>
  <si>
    <t>04/08/01</t>
  </si>
  <si>
    <t>06/09/01</t>
  </si>
  <si>
    <t>01/07/01</t>
  </si>
  <si>
    <t>14/09/98</t>
  </si>
  <si>
    <t>29/09/02</t>
  </si>
  <si>
    <t>29/12/98</t>
  </si>
  <si>
    <t>16/07/02</t>
  </si>
  <si>
    <t>29/09/98</t>
  </si>
  <si>
    <t>05/10/98</t>
  </si>
  <si>
    <t>28/09/98</t>
  </si>
  <si>
    <t>07/09/02</t>
  </si>
  <si>
    <t>09/12/01</t>
  </si>
  <si>
    <t>03/08/01</t>
  </si>
  <si>
    <t>06/10/94</t>
  </si>
  <si>
    <t>10/08/01</t>
  </si>
  <si>
    <t>29/08/02</t>
  </si>
  <si>
    <t>29/10/02</t>
  </si>
  <si>
    <t>22/09/02</t>
  </si>
  <si>
    <t>02/07/96</t>
  </si>
  <si>
    <t>27/12/04</t>
  </si>
  <si>
    <t>06/12/94</t>
  </si>
  <si>
    <t>20/07/03</t>
  </si>
  <si>
    <t>12/12/99</t>
  </si>
  <si>
    <t>04/08/03</t>
  </si>
  <si>
    <t>11/08/03</t>
  </si>
  <si>
    <t>20/11/88</t>
  </si>
  <si>
    <t>17/11/99</t>
  </si>
  <si>
    <t>19/08/04</t>
  </si>
  <si>
    <t>25/09/99</t>
  </si>
  <si>
    <t>13/12/02</t>
  </si>
  <si>
    <t>19/11/03</t>
  </si>
  <si>
    <t>07/10/98</t>
  </si>
  <si>
    <t>28/07/03</t>
  </si>
  <si>
    <t>25/07/03</t>
  </si>
  <si>
    <t>14/11/03</t>
  </si>
  <si>
    <t>22/09/71</t>
  </si>
  <si>
    <t>09/11/03</t>
  </si>
  <si>
    <t>09/09/04</t>
  </si>
  <si>
    <t>21/10/04</t>
  </si>
  <si>
    <t>11/09/04</t>
  </si>
  <si>
    <t>10/06/04</t>
  </si>
  <si>
    <t>21/09/04</t>
  </si>
  <si>
    <t>19/09/04</t>
  </si>
  <si>
    <t>19/09/88</t>
  </si>
  <si>
    <t>17/10/04</t>
  </si>
  <si>
    <t>06/12/04</t>
  </si>
  <si>
    <t>14/12/04</t>
  </si>
  <si>
    <t>07/11/04</t>
  </si>
  <si>
    <t>10/12/04</t>
  </si>
  <si>
    <t>17/11/04</t>
  </si>
  <si>
    <t>21/10/00</t>
  </si>
  <si>
    <t>10/06/00</t>
  </si>
  <si>
    <t>23/10/00</t>
  </si>
  <si>
    <t>30/12/03</t>
  </si>
  <si>
    <t>04/10/59</t>
  </si>
  <si>
    <t>09/07/97</t>
  </si>
  <si>
    <t>21/08/03</t>
  </si>
  <si>
    <t>16/09/03</t>
  </si>
  <si>
    <t>08/08/04</t>
  </si>
  <si>
    <t>13/12/04</t>
  </si>
  <si>
    <t>03/10/03</t>
  </si>
  <si>
    <t>09/07/04</t>
  </si>
  <si>
    <t>30/12/67</t>
  </si>
  <si>
    <t>04/12/03</t>
  </si>
  <si>
    <t>09/09/03</t>
  </si>
  <si>
    <t>25/07/04</t>
  </si>
  <si>
    <t>21/08/04</t>
  </si>
  <si>
    <t>14/09/03</t>
  </si>
  <si>
    <t>05/08/95</t>
  </si>
  <si>
    <t>22/07/04</t>
  </si>
  <si>
    <t>19/11/04</t>
  </si>
  <si>
    <t>22/12/98</t>
  </si>
  <si>
    <t>22/09/92</t>
  </si>
  <si>
    <t>05/12/01</t>
  </si>
  <si>
    <t>02/06/01</t>
  </si>
  <si>
    <t>07/07/01</t>
  </si>
  <si>
    <t>25/08/01</t>
  </si>
  <si>
    <t>19/06/98</t>
  </si>
  <si>
    <t>07/10/95</t>
  </si>
  <si>
    <t>09/06/97</t>
  </si>
  <si>
    <t>07/12/98</t>
  </si>
  <si>
    <t>20/06/03</t>
  </si>
  <si>
    <t>29/06/77</t>
  </si>
  <si>
    <t>19/06/97</t>
  </si>
  <si>
    <t>01/09/00</t>
  </si>
  <si>
    <t>05/12/97</t>
  </si>
  <si>
    <t>23/08/01</t>
  </si>
  <si>
    <t>23/06/96</t>
  </si>
  <si>
    <t>27/10/97</t>
  </si>
  <si>
    <t>05/09/98</t>
  </si>
  <si>
    <t>22/12/02</t>
  </si>
  <si>
    <t>14/11/02</t>
  </si>
  <si>
    <t>06/07/99</t>
  </si>
  <si>
    <t>29/08/75</t>
  </si>
  <si>
    <t>15/08/02</t>
  </si>
  <si>
    <t>03/12/98</t>
  </si>
  <si>
    <t>07/11/97</t>
  </si>
  <si>
    <t>30/07/95</t>
  </si>
  <si>
    <t>12/07/98</t>
  </si>
  <si>
    <t>14/10/99</t>
  </si>
  <si>
    <t>13/10/02</t>
  </si>
  <si>
    <t>02/12/99</t>
  </si>
  <si>
    <t>10/12/02</t>
  </si>
  <si>
    <t>29/11/01</t>
  </si>
  <si>
    <t>05/07/82</t>
  </si>
  <si>
    <t>04/06/98</t>
  </si>
  <si>
    <t>26/06/00</t>
  </si>
  <si>
    <t>28/07/04</t>
  </si>
  <si>
    <t>30/09/04</t>
  </si>
  <si>
    <t>26/10/97</t>
  </si>
  <si>
    <t>04/12/02</t>
  </si>
  <si>
    <t>15/08/03</t>
  </si>
  <si>
    <t>30/10/03</t>
  </si>
  <si>
    <t>13/10/03</t>
  </si>
  <si>
    <t>22/08/97</t>
  </si>
  <si>
    <t>15/09/03</t>
  </si>
  <si>
    <t>08/09/03</t>
  </si>
  <si>
    <t>02/08/03</t>
  </si>
  <si>
    <t>01/07/02</t>
  </si>
  <si>
    <t>11/10/98</t>
  </si>
  <si>
    <t>12/12/02</t>
  </si>
  <si>
    <t>13/07/98</t>
  </si>
  <si>
    <t>22/08/98</t>
  </si>
  <si>
    <t>16/10/04</t>
  </si>
  <si>
    <t>04/11/96</t>
  </si>
  <si>
    <t>02/06/04</t>
  </si>
  <si>
    <t>06/10/92</t>
  </si>
  <si>
    <t>28/06/99</t>
  </si>
  <si>
    <t>26/08/02</t>
  </si>
  <si>
    <t>28/06/97</t>
  </si>
  <si>
    <t>11/08/96</t>
  </si>
  <si>
    <t>12/11/01</t>
  </si>
  <si>
    <t>07/10/67</t>
  </si>
  <si>
    <t>11/06/02</t>
  </si>
  <si>
    <t>11/11/04</t>
  </si>
  <si>
    <t>26/07/94</t>
  </si>
  <si>
    <t>12/06/03</t>
  </si>
  <si>
    <t>01/10/02</t>
  </si>
  <si>
    <t>25/10/01</t>
  </si>
  <si>
    <t>27/11/04</t>
  </si>
  <si>
    <t>29/07/83</t>
  </si>
  <si>
    <t>15/10/04</t>
  </si>
  <si>
    <t>11/08/02</t>
  </si>
  <si>
    <t>28/11/04</t>
  </si>
  <si>
    <t>11/06/04</t>
  </si>
  <si>
    <t>06/10/04</t>
  </si>
  <si>
    <t>19/07/02</t>
  </si>
  <si>
    <t>14/06/04</t>
  </si>
  <si>
    <t>12/11/04</t>
  </si>
  <si>
    <t>13/08/02</t>
  </si>
  <si>
    <t>26/12/98</t>
  </si>
  <si>
    <t>03/09/58</t>
  </si>
  <si>
    <t>13/08/97</t>
  </si>
  <si>
    <t>24/08/04</t>
  </si>
  <si>
    <t>28/09/93</t>
  </si>
  <si>
    <t>01/06/95</t>
  </si>
  <si>
    <t>05/10/95</t>
  </si>
  <si>
    <t>05/08/99</t>
  </si>
  <si>
    <t>09/10/00</t>
  </si>
  <si>
    <t>17/09/03</t>
  </si>
  <si>
    <t>22/11/94</t>
  </si>
  <si>
    <t>19/08/01</t>
  </si>
  <si>
    <t>28/10/95</t>
  </si>
  <si>
    <t>30/10/94</t>
  </si>
  <si>
    <t>27/11/93</t>
  </si>
  <si>
    <t>18/11/00</t>
  </si>
  <si>
    <t>07/10/04</t>
  </si>
  <si>
    <t>07/12/95</t>
  </si>
  <si>
    <t>28/06/93</t>
  </si>
  <si>
    <t>22/10/96</t>
  </si>
  <si>
    <t>09/08/93</t>
  </si>
  <si>
    <t>14/12/99</t>
  </si>
  <si>
    <t>26/12/99</t>
  </si>
  <si>
    <t>12/09/01</t>
  </si>
  <si>
    <t>09/11/97</t>
  </si>
  <si>
    <t>29/11/02</t>
  </si>
  <si>
    <t>04/07/95</t>
  </si>
  <si>
    <t>01/06/93</t>
  </si>
  <si>
    <t>20/11/01</t>
  </si>
  <si>
    <t>27/07/98</t>
  </si>
  <si>
    <t>30/06/93</t>
  </si>
  <si>
    <t>09/07/92</t>
  </si>
  <si>
    <t>09/10/04</t>
  </si>
  <si>
    <t>25/11/76</t>
  </si>
  <si>
    <t>24/06/98</t>
  </si>
  <si>
    <t>24/09/90</t>
  </si>
  <si>
    <t>05/10/03</t>
  </si>
  <si>
    <t>28/12/70</t>
  </si>
  <si>
    <t>01/10/84</t>
  </si>
  <si>
    <t>02/10/83</t>
  </si>
  <si>
    <t>11/10/86</t>
  </si>
  <si>
    <t>11/06/98</t>
  </si>
  <si>
    <t>05/07/62</t>
  </si>
  <si>
    <t>21/07/75</t>
  </si>
  <si>
    <t>25/08/71</t>
  </si>
  <si>
    <t>06/11/99</t>
  </si>
  <si>
    <t>26/12/02</t>
  </si>
  <si>
    <t>14/07/59</t>
  </si>
  <si>
    <t>26/07/72</t>
  </si>
  <si>
    <t>25/09/94</t>
  </si>
  <si>
    <t>09/08/97</t>
  </si>
  <si>
    <t>26/10/00</t>
  </si>
  <si>
    <t>11/12/62</t>
  </si>
  <si>
    <t>12/09/03</t>
  </si>
  <si>
    <t>28/11/93</t>
  </si>
  <si>
    <t>15/09/58</t>
  </si>
  <si>
    <t>22/07/84</t>
  </si>
  <si>
    <t>25/08/02</t>
  </si>
  <si>
    <t>18/06/70</t>
  </si>
  <si>
    <t>07/12/85</t>
  </si>
  <si>
    <t>05/09/72</t>
  </si>
  <si>
    <t>28/11/03</t>
  </si>
  <si>
    <t>12/10/90</t>
  </si>
  <si>
    <t>15/07/85</t>
  </si>
  <si>
    <t>01/07/62</t>
  </si>
  <si>
    <t>17/11/60</t>
  </si>
  <si>
    <t>28/07/94</t>
  </si>
  <si>
    <t>10/07/67</t>
  </si>
  <si>
    <t>08/07/95</t>
  </si>
  <si>
    <t>24/08/71</t>
  </si>
  <si>
    <t>17/11/81</t>
  </si>
  <si>
    <t>04/12/95</t>
  </si>
  <si>
    <t>12/12/80</t>
  </si>
  <si>
    <t>07/11/72</t>
  </si>
  <si>
    <t>09/07/90</t>
  </si>
  <si>
    <t>23/06/69</t>
  </si>
  <si>
    <t>30/09/90</t>
  </si>
  <si>
    <t>01/11/68</t>
  </si>
  <si>
    <t>08/10/03</t>
  </si>
  <si>
    <t>19/09/76</t>
  </si>
  <si>
    <t>27/09/81</t>
  </si>
  <si>
    <t>09/08/76</t>
  </si>
  <si>
    <t>17/12/75</t>
  </si>
  <si>
    <t>08/08/61</t>
  </si>
  <si>
    <t>08/09/94</t>
  </si>
  <si>
    <t>11/09/69</t>
  </si>
  <si>
    <t>10/11/78</t>
  </si>
  <si>
    <t>13/09/93</t>
  </si>
  <si>
    <t>21/09/72</t>
  </si>
  <si>
    <t>25/09/75</t>
  </si>
  <si>
    <t>10/09/84</t>
  </si>
  <si>
    <t>14/10/77</t>
  </si>
  <si>
    <t>13/12/60</t>
  </si>
  <si>
    <t>06/12/71</t>
  </si>
  <si>
    <t>08/10/74</t>
  </si>
  <si>
    <t>27/09/95</t>
  </si>
  <si>
    <t>09/07/68</t>
  </si>
  <si>
    <t>22/07/00</t>
  </si>
  <si>
    <t>09/11/04</t>
  </si>
  <si>
    <t>09/09/61</t>
  </si>
  <si>
    <t>05/09/88</t>
  </si>
  <si>
    <t>21/12/83</t>
  </si>
  <si>
    <t>21/09/99</t>
  </si>
  <si>
    <t>11/11/70</t>
  </si>
  <si>
    <t>17/08/78</t>
  </si>
  <si>
    <t>10/08/86</t>
  </si>
  <si>
    <t>28/10/98</t>
  </si>
  <si>
    <t>30/07/69</t>
  </si>
  <si>
    <t>01/06/04</t>
  </si>
  <si>
    <t>24/07/72</t>
  </si>
  <si>
    <t>15/09/62</t>
  </si>
  <si>
    <t>13/09/63</t>
  </si>
  <si>
    <t>11/08/58</t>
  </si>
  <si>
    <t>02/12/76</t>
  </si>
  <si>
    <t>25/12/71</t>
  </si>
  <si>
    <t>02/09/79</t>
  </si>
  <si>
    <t>16/06/67</t>
  </si>
  <si>
    <t>05/10/91</t>
  </si>
  <si>
    <t>30/12/88</t>
  </si>
  <si>
    <t>19/08/75</t>
  </si>
  <si>
    <t>30/12/89</t>
  </si>
  <si>
    <t>29/10/82</t>
  </si>
  <si>
    <t>04/12/62</t>
  </si>
  <si>
    <t>13/08/81</t>
  </si>
  <si>
    <t>23/08/73</t>
  </si>
  <si>
    <t>27/07/93</t>
  </si>
  <si>
    <t>03/11/75</t>
  </si>
  <si>
    <t>20/10/59</t>
  </si>
  <si>
    <t>16/07/87</t>
  </si>
  <si>
    <t>07/11/85</t>
  </si>
  <si>
    <t>05/06/58</t>
  </si>
  <si>
    <t>21/07/78</t>
  </si>
  <si>
    <t>30/09/85</t>
  </si>
  <si>
    <t>09/07/69</t>
  </si>
  <si>
    <t>08/11/76</t>
  </si>
  <si>
    <t>24/12/61</t>
  </si>
  <si>
    <t>14/07/80</t>
  </si>
  <si>
    <t>07/07/92</t>
  </si>
  <si>
    <t>05/12/59</t>
  </si>
  <si>
    <t>25/07/62</t>
  </si>
  <si>
    <t>03/08/61</t>
  </si>
  <si>
    <t>12/08/79</t>
  </si>
  <si>
    <t>05/12/90</t>
  </si>
  <si>
    <t>27/09/85</t>
  </si>
  <si>
    <t>11/12/82</t>
  </si>
  <si>
    <t>16/09/74</t>
  </si>
  <si>
    <t>24/12/90</t>
  </si>
  <si>
    <t>25/11/63</t>
  </si>
  <si>
    <t>06/09/99</t>
  </si>
  <si>
    <t>22/11/60</t>
  </si>
  <si>
    <t>29/11/85</t>
  </si>
  <si>
    <t>21/12/60</t>
  </si>
  <si>
    <t>21/12/99</t>
  </si>
  <si>
    <t>28/07/61</t>
  </si>
  <si>
    <t>04/06/91</t>
  </si>
  <si>
    <t>21/11/89</t>
  </si>
  <si>
    <t>04/12/85</t>
  </si>
  <si>
    <t>06/07/60</t>
  </si>
  <si>
    <t>06/12/02</t>
  </si>
  <si>
    <t>03/07/92</t>
  </si>
  <si>
    <t>07/10/97</t>
  </si>
  <si>
    <t>09/09/97</t>
  </si>
  <si>
    <t>09/08/74</t>
  </si>
  <si>
    <t>11/06/92</t>
  </si>
  <si>
    <t>06/11/85</t>
  </si>
  <si>
    <t>19/10/65</t>
  </si>
  <si>
    <t>03/10/81</t>
  </si>
  <si>
    <t>05/12/85</t>
  </si>
  <si>
    <t>16/10/69</t>
  </si>
  <si>
    <t>06/06/68</t>
  </si>
  <si>
    <t>17/12/62</t>
  </si>
  <si>
    <t>21/12/65</t>
  </si>
  <si>
    <t>02/10/70</t>
  </si>
  <si>
    <t>13/12/90</t>
  </si>
  <si>
    <t>02/07/94</t>
  </si>
  <si>
    <t>30/06/58</t>
  </si>
  <si>
    <t>09/07/60</t>
  </si>
  <si>
    <t>09/11/00</t>
  </si>
  <si>
    <t>17/06/02</t>
  </si>
  <si>
    <t>25/12/58</t>
  </si>
  <si>
    <t>22/08/91</t>
  </si>
  <si>
    <t>13/08/71</t>
  </si>
  <si>
    <t>22/07/88</t>
  </si>
  <si>
    <t>05/09/04</t>
  </si>
  <si>
    <t>27/08/70</t>
  </si>
  <si>
    <t>21/09/74</t>
  </si>
  <si>
    <t>04/06/75</t>
  </si>
  <si>
    <t>26/12/00</t>
  </si>
  <si>
    <t>06/06/91</t>
  </si>
  <si>
    <t>11/10/93</t>
  </si>
  <si>
    <t>05/06/01</t>
  </si>
  <si>
    <t>03/12/70</t>
  </si>
  <si>
    <t>21/08/63</t>
  </si>
  <si>
    <t>17/07/72</t>
  </si>
  <si>
    <t>02/08/01</t>
  </si>
  <si>
    <t>22/08/68</t>
  </si>
  <si>
    <t>14/12/75</t>
  </si>
  <si>
    <t>24/11/98</t>
  </si>
  <si>
    <t>02/08/00</t>
  </si>
  <si>
    <t>14/06/98</t>
  </si>
  <si>
    <t>14/11/75</t>
  </si>
  <si>
    <t>14/06/87</t>
  </si>
  <si>
    <t>23/07/69</t>
  </si>
  <si>
    <t>26/11/70</t>
  </si>
  <si>
    <t>10/06/95</t>
  </si>
  <si>
    <t>09/09/94</t>
  </si>
  <si>
    <t>28/08/96</t>
  </si>
  <si>
    <t>14/09/67</t>
  </si>
  <si>
    <t>12/06/70</t>
  </si>
  <si>
    <t>12/10/76</t>
  </si>
  <si>
    <t>13/06/75</t>
  </si>
  <si>
    <t>21/10/61</t>
  </si>
  <si>
    <t>06/07/68</t>
  </si>
  <si>
    <t>30/11/70</t>
  </si>
  <si>
    <t>07/10/99</t>
  </si>
  <si>
    <t>03/08/04</t>
  </si>
  <si>
    <t>16/12/64</t>
  </si>
  <si>
    <t>29/10/71</t>
  </si>
  <si>
    <t>10/09/74</t>
  </si>
  <si>
    <t>13/06/73</t>
  </si>
  <si>
    <t>10/07/71</t>
  </si>
  <si>
    <t>08/08/70</t>
  </si>
  <si>
    <t>27/06/73</t>
  </si>
  <si>
    <t>02/06/74</t>
  </si>
  <si>
    <t>26/08/83</t>
  </si>
  <si>
    <t>13/11/75</t>
  </si>
  <si>
    <t>22/10/73</t>
  </si>
  <si>
    <t>24/11/68</t>
  </si>
  <si>
    <t>03/10/94</t>
  </si>
  <si>
    <t>14/11/69</t>
  </si>
  <si>
    <t>07/08/97</t>
  </si>
  <si>
    <t>14/12/03</t>
  </si>
  <si>
    <t>09/09/75</t>
  </si>
  <si>
    <t>14/11/79</t>
  </si>
  <si>
    <t>18/08/66</t>
  </si>
  <si>
    <t>01/06/75</t>
  </si>
  <si>
    <t>26/08/99</t>
  </si>
  <si>
    <t>16/06/71</t>
  </si>
  <si>
    <t>24/08/65</t>
  </si>
  <si>
    <t>12/09/80</t>
  </si>
  <si>
    <t>14/10/89</t>
  </si>
  <si>
    <t>19/12/75</t>
  </si>
  <si>
    <t>28/09/03</t>
  </si>
  <si>
    <t>17/08/79</t>
  </si>
  <si>
    <t>16/07/88</t>
  </si>
  <si>
    <t>27/08/63</t>
  </si>
  <si>
    <t>28/09/79</t>
  </si>
  <si>
    <t>20/09/79</t>
  </si>
  <si>
    <t>18/07/76</t>
  </si>
  <si>
    <t>16/11/62</t>
  </si>
  <si>
    <t>25/12/83</t>
  </si>
  <si>
    <t>12/06/99</t>
  </si>
  <si>
    <t>21/11/90</t>
  </si>
  <si>
    <t>04/09/80</t>
  </si>
  <si>
    <t>05/10/66</t>
  </si>
  <si>
    <t>10/12/80</t>
  </si>
  <si>
    <t>03/09/74</t>
  </si>
  <si>
    <t>14/10/74</t>
  </si>
  <si>
    <t>26/08/69</t>
  </si>
  <si>
    <t>23/11/77</t>
  </si>
  <si>
    <t>02/07/83</t>
  </si>
  <si>
    <t>19/11/64</t>
  </si>
  <si>
    <t>08/12/75</t>
  </si>
  <si>
    <t>08/09/67</t>
  </si>
  <si>
    <t>04/08/86</t>
  </si>
  <si>
    <t>10/11/80</t>
  </si>
  <si>
    <t>01/08/65</t>
  </si>
  <si>
    <t>17/12/67</t>
  </si>
  <si>
    <t>13/10/69</t>
  </si>
  <si>
    <t>18/10/62</t>
  </si>
  <si>
    <t>12/07/85</t>
  </si>
  <si>
    <t>02/07/62</t>
  </si>
  <si>
    <t>17/09/85</t>
  </si>
  <si>
    <t>07/09/93</t>
  </si>
  <si>
    <t>22/08/66</t>
  </si>
  <si>
    <t>17/10/87</t>
  </si>
  <si>
    <t>08/06/94</t>
  </si>
  <si>
    <t>09/07/02</t>
  </si>
  <si>
    <t>06/10/83</t>
  </si>
  <si>
    <t>25/07/88</t>
  </si>
  <si>
    <t>10/08/66</t>
  </si>
  <si>
    <t>09/10/80</t>
  </si>
  <si>
    <t>18/10/97</t>
  </si>
  <si>
    <t>30/10/79</t>
  </si>
  <si>
    <t>19/06/89</t>
  </si>
  <si>
    <t>25/10/66</t>
  </si>
  <si>
    <t>14/06/72</t>
  </si>
  <si>
    <t>27/08/94</t>
  </si>
  <si>
    <t>24/09/78</t>
  </si>
  <si>
    <t>14/07/63</t>
  </si>
  <si>
    <t>19/08/92</t>
  </si>
  <si>
    <t>30/11/87</t>
  </si>
  <si>
    <t>15/12/82</t>
  </si>
  <si>
    <t>29/12/86</t>
  </si>
  <si>
    <t>06/09/93</t>
  </si>
  <si>
    <t>30/06/87</t>
  </si>
  <si>
    <t>24/08/91</t>
  </si>
  <si>
    <t>15/11/66</t>
  </si>
  <si>
    <t>29/07/67</t>
  </si>
  <si>
    <t>16/09/91</t>
  </si>
  <si>
    <t>02/07/79</t>
  </si>
  <si>
    <t>05/06/89</t>
  </si>
  <si>
    <t>22/08/65</t>
  </si>
  <si>
    <t>19/12/83</t>
  </si>
  <si>
    <t>06/08/98</t>
  </si>
  <si>
    <t>20/10/63</t>
  </si>
  <si>
    <t>03/08/69</t>
  </si>
  <si>
    <t>06/12/63</t>
  </si>
  <si>
    <t>24/07/03</t>
  </si>
  <si>
    <t>18/12/62</t>
  </si>
  <si>
    <t>15/10/79</t>
  </si>
  <si>
    <t>28/11/95</t>
  </si>
  <si>
    <t>19/11/79</t>
  </si>
  <si>
    <t>27/12/92</t>
  </si>
  <si>
    <t>30/08/67</t>
  </si>
  <si>
    <t>17/10/70</t>
  </si>
  <si>
    <t>23/09/98</t>
  </si>
  <si>
    <t>12/08/86</t>
  </si>
  <si>
    <t>26/09/64</t>
  </si>
  <si>
    <t>15/12/99</t>
  </si>
  <si>
    <t>29/11/65</t>
  </si>
  <si>
    <t>25/12/92</t>
  </si>
  <si>
    <t>03/08/95</t>
  </si>
  <si>
    <t>10/09/04</t>
  </si>
  <si>
    <t>15/06/97</t>
  </si>
  <si>
    <t>04/07/63</t>
  </si>
  <si>
    <t>12/07/93</t>
  </si>
  <si>
    <t>24/10/99</t>
  </si>
  <si>
    <t>17/10/65</t>
  </si>
  <si>
    <t>04/11/78</t>
  </si>
  <si>
    <t>28/09/01</t>
  </si>
  <si>
    <t>17/10/77</t>
  </si>
  <si>
    <t>04/12/89</t>
  </si>
  <si>
    <t>12/11/79</t>
  </si>
  <si>
    <t>08/12/63</t>
  </si>
  <si>
    <t>21/06/66</t>
  </si>
  <si>
    <t>14/07/03</t>
  </si>
  <si>
    <t>23/10/75</t>
  </si>
  <si>
    <t>25/10/90</t>
  </si>
  <si>
    <t>26/07/70</t>
  </si>
  <si>
    <t>16/11/63</t>
  </si>
  <si>
    <t>12/07/68</t>
  </si>
  <si>
    <t>16/06/65</t>
  </si>
  <si>
    <t>29/12/90</t>
  </si>
  <si>
    <t>08/06/71</t>
  </si>
  <si>
    <t>02/11/03</t>
  </si>
  <si>
    <t>10/09/72</t>
  </si>
  <si>
    <t>18/10/92</t>
  </si>
  <si>
    <t>01/11/03</t>
  </si>
  <si>
    <t>12/07/63</t>
  </si>
  <si>
    <t>25/08/75</t>
  </si>
  <si>
    <t>22/10/82</t>
  </si>
  <si>
    <t>18/08/04</t>
  </si>
  <si>
    <t>07/06/64</t>
  </si>
  <si>
    <t>16/09/65</t>
  </si>
  <si>
    <t>03/06/98</t>
  </si>
  <si>
    <t>28/06/02</t>
  </si>
  <si>
    <t>29/10/65</t>
  </si>
  <si>
    <t>26/12/03</t>
  </si>
  <si>
    <t>10/06/96</t>
  </si>
  <si>
    <t>16/07/80</t>
  </si>
  <si>
    <t>21/10/68</t>
  </si>
  <si>
    <t>10/09/03</t>
  </si>
  <si>
    <t>08/08/74</t>
  </si>
  <si>
    <t>19/10/95</t>
  </si>
  <si>
    <t>29/07/62</t>
  </si>
  <si>
    <t>21/10/77</t>
  </si>
  <si>
    <t>23/09/89</t>
  </si>
  <si>
    <t>28/08/74</t>
  </si>
  <si>
    <t>05/11/93</t>
  </si>
  <si>
    <t>24/07/75</t>
  </si>
  <si>
    <t>10/07/70</t>
  </si>
  <si>
    <t>25/06/63</t>
  </si>
  <si>
    <t>25/06/01</t>
  </si>
  <si>
    <t>23/12/95</t>
  </si>
  <si>
    <t>10/10/58</t>
  </si>
  <si>
    <t>04/08/62</t>
  </si>
  <si>
    <t>03/11/71</t>
  </si>
  <si>
    <t>20/12/03</t>
  </si>
  <si>
    <t>28/09/95</t>
  </si>
  <si>
    <t>08/08/69</t>
  </si>
  <si>
    <t>30/07/72</t>
  </si>
  <si>
    <t>08/09/02</t>
  </si>
  <si>
    <t>21/08/88</t>
  </si>
  <si>
    <t>06/08/88</t>
  </si>
  <si>
    <t>27/12/79</t>
  </si>
  <si>
    <t>06/07/82</t>
  </si>
  <si>
    <t>12/12/93</t>
  </si>
  <si>
    <t>06/10/87</t>
  </si>
  <si>
    <t>08/08/93</t>
  </si>
  <si>
    <t>27/08/85</t>
  </si>
  <si>
    <t>21/06/58</t>
  </si>
  <si>
    <t>22/10/58</t>
  </si>
  <si>
    <t>16/09/78</t>
  </si>
  <si>
    <t>05/12/88</t>
  </si>
  <si>
    <t>19/09/80</t>
  </si>
  <si>
    <t>27/06/67</t>
  </si>
  <si>
    <t>12/10/80</t>
  </si>
  <si>
    <t>25/12/62</t>
  </si>
  <si>
    <t>11/11/82</t>
  </si>
  <si>
    <t>26/06/84</t>
  </si>
  <si>
    <t>09/10/97</t>
  </si>
  <si>
    <t>29/08/74</t>
  </si>
  <si>
    <t>20/09/76</t>
  </si>
  <si>
    <t>26/06/73</t>
  </si>
  <si>
    <t>22/12/88</t>
  </si>
  <si>
    <t>03/08/68</t>
  </si>
  <si>
    <t>06/06/60</t>
  </si>
  <si>
    <t>28/10/65</t>
  </si>
  <si>
    <t>30/07/74</t>
  </si>
  <si>
    <t>02/10/59</t>
  </si>
  <si>
    <t>28/06/74</t>
  </si>
  <si>
    <t>17/07/04</t>
  </si>
  <si>
    <t>04/09/64</t>
  </si>
  <si>
    <t>06/09/62</t>
  </si>
  <si>
    <t>13/12/63</t>
  </si>
  <si>
    <t>16/09/69</t>
  </si>
  <si>
    <t>25/07/60</t>
  </si>
  <si>
    <t>23/11/78</t>
  </si>
  <si>
    <t>17/06/62</t>
  </si>
  <si>
    <t>03/12/59</t>
  </si>
  <si>
    <t>04/06/59</t>
  </si>
  <si>
    <t>25/10/62</t>
  </si>
  <si>
    <t>25/11/71</t>
  </si>
  <si>
    <t>26/10/75</t>
  </si>
  <si>
    <t>12/06/68</t>
  </si>
  <si>
    <t>15/08/71</t>
  </si>
  <si>
    <t>11/09/70</t>
  </si>
  <si>
    <t>08/08/60</t>
  </si>
  <si>
    <t>02/08/95</t>
  </si>
  <si>
    <t>29/07/58</t>
  </si>
  <si>
    <t>29/11/62</t>
  </si>
  <si>
    <t>04/07/81</t>
  </si>
  <si>
    <t>17/10/58</t>
  </si>
  <si>
    <t>05/06/81</t>
  </si>
  <si>
    <t>10/12/75</t>
  </si>
  <si>
    <t>03/07/79</t>
  </si>
  <si>
    <t>27/07/65</t>
  </si>
  <si>
    <t>24/09/02</t>
  </si>
  <si>
    <t>04/09/82</t>
  </si>
  <si>
    <t>23/07/58</t>
  </si>
  <si>
    <t>13/11/81</t>
  </si>
  <si>
    <t>01/09/67</t>
  </si>
  <si>
    <t>08/11/65</t>
  </si>
  <si>
    <t>09/12/97</t>
  </si>
  <si>
    <t>18/07/67</t>
  </si>
  <si>
    <t>14/10/63</t>
  </si>
  <si>
    <t>03/12/62</t>
  </si>
  <si>
    <t>12/09/98</t>
  </si>
  <si>
    <t>14/07/89</t>
  </si>
  <si>
    <t>20/10/79</t>
  </si>
  <si>
    <t>20/11/59</t>
  </si>
  <si>
    <t>27/11/76</t>
  </si>
  <si>
    <t>10/11/96</t>
  </si>
  <si>
    <t>03/08/59</t>
  </si>
  <si>
    <t>29/06/59</t>
  </si>
  <si>
    <t>04/11/67</t>
  </si>
  <si>
    <t>15/08/67</t>
  </si>
  <si>
    <t>20/09/58</t>
  </si>
  <si>
    <t>14/09/58</t>
  </si>
  <si>
    <t>22/06/65</t>
  </si>
  <si>
    <t>16/07/63</t>
  </si>
  <si>
    <t>27/10/94</t>
  </si>
  <si>
    <t>19/12/68</t>
  </si>
  <si>
    <t>16/11/88</t>
  </si>
  <si>
    <t>10/10/67</t>
  </si>
  <si>
    <t>24/12/59</t>
  </si>
  <si>
    <t>26/09/69</t>
  </si>
  <si>
    <t>10/07/58</t>
  </si>
  <si>
    <t>15/10/58</t>
  </si>
  <si>
    <t>15/12/68</t>
  </si>
  <si>
    <t>13/07/72</t>
  </si>
  <si>
    <t>26/12/74</t>
  </si>
  <si>
    <t>10/11/84</t>
  </si>
  <si>
    <t>08/11/59</t>
  </si>
  <si>
    <t>10/10/59</t>
  </si>
  <si>
    <t>25/09/61</t>
  </si>
  <si>
    <t>21/09/58</t>
  </si>
  <si>
    <t>17/11/83</t>
  </si>
  <si>
    <t>25/12/68</t>
  </si>
  <si>
    <t>06/07/04</t>
  </si>
  <si>
    <t>14/06/61</t>
  </si>
  <si>
    <t>26/09/76</t>
  </si>
  <si>
    <t>08/06/72</t>
  </si>
  <si>
    <t>12/09/91</t>
  </si>
  <si>
    <t>08/11/60</t>
  </si>
  <si>
    <t>08/07/63</t>
  </si>
  <si>
    <t>06/07/63</t>
  </si>
  <si>
    <t>23/12/63</t>
  </si>
  <si>
    <t>06/09/59</t>
  </si>
  <si>
    <t>29/08/59</t>
  </si>
  <si>
    <t>18/06/60</t>
  </si>
  <si>
    <t>27/07/62</t>
  </si>
  <si>
    <t>21/09/66</t>
  </si>
  <si>
    <t>07/07/59</t>
  </si>
  <si>
    <t>29/12/59</t>
  </si>
  <si>
    <t>25/09/85</t>
  </si>
  <si>
    <t>05/10/59</t>
  </si>
  <si>
    <t>21/07/60</t>
  </si>
  <si>
    <t>07/06/03</t>
  </si>
  <si>
    <t>10/12/58</t>
  </si>
  <si>
    <t>25/11/58</t>
  </si>
  <si>
    <t>08/12/86</t>
  </si>
  <si>
    <t>22/09/62</t>
  </si>
  <si>
    <t>10/11/66</t>
  </si>
  <si>
    <t>06/08/59</t>
  </si>
  <si>
    <t>29/08/85</t>
  </si>
  <si>
    <t>02/08/81</t>
  </si>
  <si>
    <t>24/11/86</t>
  </si>
  <si>
    <t>14/09/85</t>
  </si>
  <si>
    <t>04/08/63</t>
  </si>
  <si>
    <t>20/07/84</t>
  </si>
  <si>
    <t>29/09/75</t>
  </si>
  <si>
    <t>26/07/69</t>
  </si>
  <si>
    <t>18/11/61</t>
  </si>
  <si>
    <t>10/09/64</t>
  </si>
  <si>
    <t>14/08/92</t>
  </si>
  <si>
    <t>15/07/68</t>
  </si>
  <si>
    <t>11/07/60</t>
  </si>
  <si>
    <t>30/08/90</t>
  </si>
  <si>
    <t>07/08/75</t>
  </si>
  <si>
    <t>24/07/60</t>
  </si>
  <si>
    <t>28/07/60</t>
  </si>
  <si>
    <t>16/12/60</t>
  </si>
  <si>
    <t>13/08/60</t>
  </si>
  <si>
    <t>29/06/75</t>
  </si>
  <si>
    <t>14/11/66</t>
  </si>
  <si>
    <t>03/11/61</t>
  </si>
  <si>
    <t>17/06/94</t>
  </si>
  <si>
    <t>29/10/76</t>
  </si>
  <si>
    <t>22/07/61</t>
  </si>
  <si>
    <t>19/12/92</t>
  </si>
  <si>
    <t>20/12/59</t>
  </si>
  <si>
    <t>25/11/59</t>
  </si>
  <si>
    <t>09/12/59</t>
  </si>
  <si>
    <t>06/06/84</t>
  </si>
  <si>
    <t>30/09/79</t>
  </si>
  <si>
    <t>24/09/64</t>
  </si>
  <si>
    <t>02/10/90</t>
  </si>
  <si>
    <t>11/11/60</t>
  </si>
  <si>
    <t>24/11/74</t>
  </si>
  <si>
    <t>23/08/76</t>
  </si>
  <si>
    <t>24/11/62</t>
  </si>
  <si>
    <t>13/11/65</t>
  </si>
  <si>
    <t>07/12/62</t>
  </si>
  <si>
    <t>15/10/82</t>
  </si>
  <si>
    <t>05/08/62</t>
  </si>
  <si>
    <t>06/12/61</t>
  </si>
  <si>
    <t>22/12/67</t>
  </si>
  <si>
    <t>07/09/61</t>
  </si>
  <si>
    <t>16/08/99</t>
  </si>
  <si>
    <t>14/09/63</t>
  </si>
  <si>
    <t>02/08/62</t>
  </si>
  <si>
    <t>30/10/71</t>
  </si>
  <si>
    <t>06/11/61</t>
  </si>
  <si>
    <t>26/10/85</t>
  </si>
  <si>
    <t>06/08/67</t>
  </si>
  <si>
    <t>27/06/58</t>
  </si>
  <si>
    <t>16/10/71</t>
  </si>
  <si>
    <t>23/09/69</t>
  </si>
  <si>
    <t>09/11/61</t>
  </si>
  <si>
    <t>04/11/65</t>
  </si>
  <si>
    <t>23/09/64</t>
  </si>
  <si>
    <t>20/07/62</t>
  </si>
  <si>
    <t>27/09/72</t>
  </si>
  <si>
    <t>13/12/69</t>
  </si>
  <si>
    <t>24/06/62</t>
  </si>
  <si>
    <t>30/10/81</t>
  </si>
  <si>
    <t>27/11/79</t>
  </si>
  <si>
    <t>07/10/64</t>
  </si>
  <si>
    <t>28/11/60</t>
  </si>
  <si>
    <t>23/09/60</t>
  </si>
  <si>
    <t>22/06/60</t>
  </si>
  <si>
    <t>04/11/60</t>
  </si>
  <si>
    <t>20/08/61</t>
  </si>
  <si>
    <t>22/12/66</t>
  </si>
  <si>
    <t>14/08/63</t>
  </si>
  <si>
    <t>01/09/63</t>
  </si>
  <si>
    <t>16/08/63</t>
  </si>
  <si>
    <t>27/08/77</t>
  </si>
  <si>
    <t>06/08/84</t>
  </si>
  <si>
    <t>27/09/63</t>
  </si>
  <si>
    <t>22/09/73</t>
  </si>
  <si>
    <t>27/09/93</t>
  </si>
  <si>
    <t>25/09/67</t>
  </si>
  <si>
    <t>20/07/63</t>
  </si>
  <si>
    <t>24/07/78</t>
  </si>
  <si>
    <t>29/10/83</t>
  </si>
  <si>
    <t>05/12/63</t>
  </si>
  <si>
    <t>01/10/62</t>
  </si>
  <si>
    <t>02/09/62</t>
  </si>
  <si>
    <t>17/07/88</t>
  </si>
  <si>
    <t>08/07/70</t>
  </si>
  <si>
    <t>28/11/64</t>
  </si>
  <si>
    <t>24/09/74</t>
  </si>
  <si>
    <t>14/09/65</t>
  </si>
  <si>
    <t>11/07/62</t>
  </si>
  <si>
    <t>17/12/66</t>
  </si>
  <si>
    <t>22/07/62</t>
  </si>
  <si>
    <t>22/11/62</t>
  </si>
  <si>
    <t>04/10/65</t>
  </si>
  <si>
    <t>19/08/63</t>
  </si>
  <si>
    <t>18/11/98</t>
  </si>
  <si>
    <t>06/09/72</t>
  </si>
  <si>
    <t>11/08/88</t>
  </si>
  <si>
    <t>28/11/61</t>
  </si>
  <si>
    <t>16/10/62</t>
  </si>
  <si>
    <t>12/07/66</t>
  </si>
  <si>
    <t>03/12/68</t>
  </si>
  <si>
    <t>12/08/72</t>
  </si>
  <si>
    <t>26/11/68</t>
  </si>
  <si>
    <t>09/08/95</t>
  </si>
  <si>
    <t>04/08/64</t>
  </si>
  <si>
    <t>14/07/79</t>
  </si>
  <si>
    <t>29/12/89</t>
  </si>
  <si>
    <t>26/09/62</t>
  </si>
  <si>
    <t>29/12/66</t>
  </si>
  <si>
    <t>22/09/63</t>
  </si>
  <si>
    <t>02/08/63</t>
  </si>
  <si>
    <t>11/10/79</t>
  </si>
  <si>
    <t>29/08/63</t>
  </si>
  <si>
    <t>28/10/63</t>
  </si>
  <si>
    <t>29/10/90</t>
  </si>
  <si>
    <t>16/11/66</t>
  </si>
  <si>
    <t>28/08/67</t>
  </si>
  <si>
    <t>06/12/66</t>
  </si>
  <si>
    <t>13/08/86</t>
  </si>
  <si>
    <t>23/11/89</t>
  </si>
  <si>
    <t>23/06/74</t>
  </si>
  <si>
    <t>05/06/74</t>
  </si>
  <si>
    <t>17/07/63</t>
  </si>
  <si>
    <t>29/07/66</t>
  </si>
  <si>
    <t>15/10/64</t>
  </si>
  <si>
    <t>19/07/63</t>
  </si>
  <si>
    <t>24/06/64</t>
  </si>
  <si>
    <t>02/07/64</t>
  </si>
  <si>
    <t>20/07/64</t>
  </si>
  <si>
    <t>14/08/77</t>
  </si>
  <si>
    <t>05/10/87</t>
  </si>
  <si>
    <t>08/09/83</t>
  </si>
  <si>
    <t>04/11/62</t>
  </si>
  <si>
    <t>06/11/91</t>
  </si>
  <si>
    <t>04/06/63</t>
  </si>
  <si>
    <t>25/10/68</t>
  </si>
  <si>
    <t>09/12/68</t>
  </si>
  <si>
    <t>21/06/68</t>
  </si>
  <si>
    <t>02/09/84</t>
  </si>
  <si>
    <t>04/09/63</t>
  </si>
  <si>
    <t>16/09/79</t>
  </si>
  <si>
    <t>07/09/86</t>
  </si>
  <si>
    <t>24/11/66</t>
  </si>
  <si>
    <t>16/10/79</t>
  </si>
  <si>
    <t>09/06/65</t>
  </si>
  <si>
    <t>17/10/82</t>
  </si>
  <si>
    <t>04/07/83</t>
  </si>
  <si>
    <t>29/09/64</t>
  </si>
  <si>
    <t>01/11/65</t>
  </si>
  <si>
    <t>25/12/64</t>
  </si>
  <si>
    <t>19/10/91</t>
  </si>
  <si>
    <t>02/08/64</t>
  </si>
  <si>
    <t>20/12/64</t>
  </si>
  <si>
    <t>29/10/67</t>
  </si>
  <si>
    <t>14/07/67</t>
  </si>
  <si>
    <t>24/08/67</t>
  </si>
  <si>
    <t>02/07/99</t>
  </si>
  <si>
    <t>07/07/74</t>
  </si>
  <si>
    <t>27/06/64</t>
  </si>
  <si>
    <t>10/11/65</t>
  </si>
  <si>
    <t>11/07/64</t>
  </si>
  <si>
    <t>25/09/65</t>
  </si>
  <si>
    <t>03/10/65</t>
  </si>
  <si>
    <t>20/11/82</t>
  </si>
  <si>
    <t>10/06/72</t>
  </si>
  <si>
    <t>25/07/66</t>
  </si>
  <si>
    <t>06/11/79</t>
  </si>
  <si>
    <t>02/12/64</t>
  </si>
  <si>
    <t>09/06/63</t>
  </si>
  <si>
    <t>12/11/69</t>
  </si>
  <si>
    <t>09/11/64</t>
  </si>
  <si>
    <t>26/11/84</t>
  </si>
  <si>
    <t>12/10/69</t>
  </si>
  <si>
    <t>21/10/82</t>
  </si>
  <si>
    <t>26/12/76</t>
  </si>
  <si>
    <t>09/11/66</t>
  </si>
  <si>
    <t>23/08/66</t>
  </si>
  <si>
    <t>06/07/66</t>
  </si>
  <si>
    <t>20/07/94</t>
  </si>
  <si>
    <t>04/10/66</t>
  </si>
  <si>
    <t>17/07/86</t>
  </si>
  <si>
    <t>20/06/64</t>
  </si>
  <si>
    <t>06/11/65</t>
  </si>
  <si>
    <t>25/12/65</t>
  </si>
  <si>
    <t>25/09/70</t>
  </si>
  <si>
    <t>23/07/73</t>
  </si>
  <si>
    <t>01/12/71</t>
  </si>
  <si>
    <t>14/11/68</t>
  </si>
  <si>
    <t>23/07/70</t>
  </si>
  <si>
    <t>12/06/88</t>
  </si>
  <si>
    <t>19/12/71</t>
  </si>
  <si>
    <t>24/06/68</t>
  </si>
  <si>
    <t>06/10/89</t>
  </si>
  <si>
    <t>10/07/75</t>
  </si>
  <si>
    <t>11/08/69</t>
  </si>
  <si>
    <t>07/06/83</t>
  </si>
  <si>
    <t>13/10/70</t>
  </si>
  <si>
    <t>07/09/66</t>
  </si>
  <si>
    <t>23/06/65</t>
  </si>
  <si>
    <t>14/06/66</t>
  </si>
  <si>
    <t>12/09/71</t>
  </si>
  <si>
    <t>17/07/80</t>
  </si>
  <si>
    <t>09/06/85</t>
  </si>
  <si>
    <t>03/11/85</t>
  </si>
  <si>
    <t>23/10/83</t>
  </si>
  <si>
    <t>07/10/70</t>
  </si>
  <si>
    <t>19/12/67</t>
  </si>
  <si>
    <t>13/06/64</t>
  </si>
  <si>
    <t>06/12/72</t>
  </si>
  <si>
    <t>07/06/79</t>
  </si>
  <si>
    <t>13/12/64</t>
  </si>
  <si>
    <t>03/07/64</t>
  </si>
  <si>
    <t>04/07/64</t>
  </si>
  <si>
    <t>26/09/65</t>
  </si>
  <si>
    <t>12/07/64</t>
  </si>
  <si>
    <t>02/11/68</t>
  </si>
  <si>
    <t>19/08/89</t>
  </si>
  <si>
    <t>20/09/02</t>
  </si>
  <si>
    <t>11/07/63</t>
  </si>
  <si>
    <t>10/12/95</t>
  </si>
  <si>
    <t>22/11/63</t>
  </si>
  <si>
    <t>04/09/62</t>
  </si>
  <si>
    <t>06/10/68</t>
  </si>
  <si>
    <t>25/09/72</t>
  </si>
  <si>
    <t>14/11/88</t>
  </si>
  <si>
    <t>22/06/70</t>
  </si>
  <si>
    <t>14/06/67</t>
  </si>
  <si>
    <t>11/10/69</t>
  </si>
  <si>
    <t>02/10/81</t>
  </si>
  <si>
    <t>20/08/69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</si>
</sst>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£-809]#,##0.00"/>
    <numFmt numFmtId="165" formatCode="mmm\,\ yyyy"/>
  </numFmts>
  <fonts count="13">
    <font>
      <sz val="11.0"/>
      <color theme="1"/>
      <name val="Calibri"/>
      <scheme val="minor"/>
    </font>
    <font>
      <b/>
      <sz val="12.0"/>
      <color theme="0"/>
      <name val="Calibri"/>
    </font>
    <font>
      <b/>
      <sz val="12.0"/>
      <color rgb="FFFFFFFF"/>
      <name val="Calibri"/>
    </font>
    <font>
      <sz val="11.0"/>
      <color theme="1"/>
      <name val="Calibri"/>
    </font>
    <font>
      <b/>
      <sz val="12.0"/>
      <color rgb="FF002060"/>
      <name val="Calibri"/>
    </font>
    <font>
      <sz val="12.0"/>
      <color theme="1"/>
      <name val="Calibri"/>
    </font>
    <font>
      <color rgb="FF1155CC"/>
      <name val="&quot;Google Sans Mono&quot;"/>
    </font>
    <font>
      <b/>
      <sz val="11.0"/>
      <color rgb="FF632D09"/>
      <name val="Calibri"/>
    </font>
    <font>
      <color rgb="FF000000"/>
      <name val="Calibri"/>
      <scheme val="minor"/>
    </font>
    <font>
      <sz val="11.0"/>
      <color rgb="FF000000"/>
      <name val="&quot;Google Sans Flex&quot;"/>
    </font>
    <font>
      <color theme="1"/>
      <name val="Calibri"/>
      <scheme val="minor"/>
    </font>
    <font>
      <b/>
      <color rgb="FF188038"/>
      <name val="&quot;Google Sans Mono&quot;"/>
    </font>
    <font>
      <b/>
      <color theme="1"/>
      <name val="Calibri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7030A0"/>
        <bgColor rgb="FF7030A0"/>
      </patternFill>
    </fill>
    <fill>
      <patternFill patternType="solid">
        <fgColor rgb="FFFFFFFF"/>
        <bgColor rgb="FFFFFFFF"/>
      </patternFill>
    </fill>
    <fill>
      <patternFill patternType="solid">
        <fgColor rgb="FF00B0F0"/>
        <bgColor rgb="FF00B0F0"/>
      </patternFill>
    </fill>
    <fill>
      <patternFill patternType="solid">
        <fgColor rgb="FFDDE3EA"/>
        <bgColor rgb="FFDDE3EA"/>
      </patternFill>
    </fill>
    <fill>
      <patternFill patternType="solid">
        <fgColor rgb="FFFFC000"/>
        <bgColor rgb="FFFFC000"/>
      </patternFill>
    </fill>
    <fill>
      <patternFill patternType="solid">
        <fgColor rgb="FFD5A6BD"/>
        <bgColor rgb="FFD5A6BD"/>
      </patternFill>
    </fill>
    <fill>
      <patternFill patternType="solid">
        <fgColor rgb="FFD9EAD3"/>
        <bgColor rgb="FFD9EAD3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165" xfId="0" applyAlignment="1" applyBorder="1" applyFill="1" applyFont="1" applyNumberFormat="1">
      <alignment horizontal="center" vertical="center"/>
    </xf>
    <xf borderId="1" fillId="2" fontId="1" numFmtId="0" xfId="0" applyAlignment="1" applyBorder="1" applyFill="1" applyFont="1">
      <alignment horizontal="center" readingOrder="0" vertical="center"/>
    </xf>
    <xf borderId="1" fillId="2" fontId="2" numFmtId="0" xfId="0" applyAlignment="1" applyBorder="1" applyFill="1" applyFont="1">
      <alignment horizontal="center" readingOrder="0" vertical="center"/>
    </xf>
    <xf borderId="1" fillId="3" fontId="2" numFmtId="0" xfId="0" applyAlignment="1" applyBorder="1" applyFill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1" fillId="4" fontId="4" numFmtId="0" xfId="0" applyAlignment="1" applyBorder="1" applyFill="1" applyFont="1">
      <alignment horizontal="center" vertical="center"/>
    </xf>
    <xf borderId="0" fillId="0" fontId="5" numFmtId="0" xfId="0" applyFont="1"/>
    <xf borderId="1" fillId="4" fontId="4" numFmtId="0" xfId="0" applyAlignment="1" applyBorder="1" applyFill="1" applyFont="1">
      <alignment horizontal="center" readingOrder="0" vertical="center"/>
    </xf>
    <xf borderId="0" fillId="0" fontId="5" numFmtId="0" xfId="0" applyFont="1"/>
    <xf borderId="0" fillId="5" fontId="6" numFmtId="0" xfId="0" applyFill="1" applyFont="1"/>
    <xf borderId="1" fillId="4" fontId="4" numFmtId="164" xfId="0" applyAlignment="1" applyBorder="1" applyFill="1" applyFont="1" applyNumberFormat="1">
      <alignment horizontal="center" vertical="center"/>
    </xf>
    <xf borderId="2" fillId="6" fontId="7" numFmtId="0" xfId="0" applyAlignment="1" applyBorder="1" applyFill="1" applyFont="1">
      <alignment horizontal="center" vertical="center"/>
    </xf>
    <xf borderId="1" fillId="7" fontId="8" numFmtId="0" xfId="0" applyAlignment="1" applyBorder="1" applyFill="1" applyFont="1">
      <alignment readingOrder="0"/>
    </xf>
    <xf borderId="1" fillId="4" fontId="4" numFmtId="0" xfId="0" applyAlignment="1" applyBorder="1" applyFill="1" applyFont="1">
      <alignment horizontal="center" readingOrder="0" shrinkToFit="0" wrapText="0"/>
    </xf>
    <xf borderId="1" fillId="7" fontId="9" numFmtId="0" xfId="0" applyAlignment="1" applyBorder="1" applyFill="1" applyFont="1">
      <alignment readingOrder="0"/>
    </xf>
    <xf borderId="1" fillId="0" fontId="3" numFmtId="0" xfId="0" applyAlignment="1" applyBorder="1" applyFont="1">
      <alignment horizontal="center" readingOrder="0" vertical="center"/>
    </xf>
    <xf borderId="2" fillId="6" fontId="7" numFmtId="0" xfId="0" applyAlignment="1" applyBorder="1" applyFill="1" applyFont="1">
      <alignment horizontal="center" readingOrder="0" vertical="center"/>
    </xf>
    <xf borderId="0" fillId="0" fontId="10" numFmtId="0" xfId="0" applyFont="1"/>
    <xf borderId="0" fillId="3" fontId="11" numFmtId="0" xfId="0" applyFill="1" applyFont="1"/>
    <xf borderId="0" fillId="0" fontId="10" numFmtId="0" xfId="0" applyAlignment="1" applyFont="1">
      <alignment readingOrder="0"/>
    </xf>
    <xf borderId="1" fillId="7" fontId="4" numFmtId="0" xfId="0" applyAlignment="1" applyBorder="1" applyFill="1" applyFont="1">
      <alignment horizontal="center" vertical="center"/>
    </xf>
    <xf borderId="1" fillId="7" fontId="4" numFmtId="0" xfId="0" applyAlignment="1" applyBorder="1" applyFill="1" applyFont="1">
      <alignment horizontal="center" readingOrder="0" shrinkToFit="0" wrapText="0"/>
    </xf>
    <xf borderId="1" fillId="7" fontId="4" numFmtId="0" xfId="0" applyAlignment="1" applyBorder="1" applyFill="1" applyFont="1">
      <alignment horizontal="center" readingOrder="0" vertical="center"/>
    </xf>
    <xf borderId="1" fillId="7" fontId="4" numFmtId="164" xfId="0" applyAlignment="1" applyBorder="1" applyFill="1" applyFont="1" applyNumberFormat="1">
      <alignment horizontal="center" vertical="center"/>
    </xf>
    <xf borderId="1" fillId="0" fontId="5" numFmtId="0" xfId="0" applyBorder="1" applyFont="1"/>
    <xf borderId="0" fillId="3" fontId="6" numFmtId="0" xfId="0" applyFill="1" applyFont="1"/>
    <xf borderId="0" fillId="0" fontId="10" numFmtId="164" xfId="0" applyFont="1" applyNumberFormat="1"/>
    <xf borderId="1" fillId="0" fontId="10" numFmtId="0" xfId="0" applyBorder="1" applyFont="1"/>
    <xf borderId="0" fillId="8" fontId="10" numFmtId="0" xfId="0" applyFill="1" applyFont="1"/>
    <xf borderId="0" fillId="3" fontId="12" numFmtId="0" xfId="0" applyFill="1" applyFont="1"/>
    <xf borderId="0" fillId="0" fontId="12" numFmtId="0" xfId="0" applyFont="1"/>
    <xf borderId="1" fillId="0" fontId="10" numFmtId="0" xfId="0" applyBorder="1" applyFont="1"/>
    <xf borderId="1" fillId="0" fontId="10" numFmtId="164" xfId="0" applyBorder="1" applyFont="1" applyNumberFormat="1"/>
    <xf borderId="0" fillId="3" fontId="4" numFmtId="0" xfId="0" applyAlignment="1" applyFill="1" applyFont="1">
      <alignment horizontal="center" readingOrder="0" vertical="center"/>
    </xf>
    <xf borderId="1" fillId="0" fontId="10" numFmtId="0" xfId="0" applyAlignment="1" applyBorder="1" applyFont="1">
      <alignment readingOrder="0"/>
    </xf>
    <xf borderId="0" fillId="3" fontId="10" numFmtId="0" xfId="0" applyFill="1" applyFont="1"/>
    <xf borderId="0" fillId="0" fontId="10" numFmtId="0" xfId="0" applyAlignment="1" applyFont="1">
      <alignment shrinkToFit="0" wrapText="1"/>
    </xf>
    <xf borderId="0" fillId="0" fontId="10" numFmtId="0" xfId="0" applyAlignment="1" applyFont="1">
      <alignment horizontal="left" readingOrder="0" shrinkToFit="0" vertical="center" wrapText="0"/>
    </xf>
    <xf borderId="0" fillId="0" fontId="10" numFmtId="0" xfId="0" applyAlignment="1" applyFont="1">
      <alignment shrinkToFit="0" vertical="center" wrapText="0"/>
    </xf>
    <xf borderId="0" fillId="0" fontId="10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7">
    <tableStyle count="4" pivot="0" name="Chart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hart1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hart1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hart1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hart1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hart1-style 6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hart1-style 7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Count of Weight Status</a:t>
            </a:r>
          </a:p>
        </c:rich>
      </c:tx>
      <c:overlay val="0"/>
    </c:title>
    <c:plotArea>
      <c:layout>
        <c:manualLayout>
          <c:xMode val="edge"/>
          <c:yMode val="edge"/>
          <c:x val="0.08400537634408602"/>
          <c:y val="0.14229024943310659"/>
          <c:w val="0.8863575268817205"/>
          <c:h val="0.5585468041383219"/>
        </c:manualLayout>
      </c:layout>
      <c:barChart>
        <c:barDir val="col"/>
        <c:grouping val="stacked"/>
        <c:ser>
          <c:idx val="0"/>
          <c:order val="0"/>
          <c:tx>
            <c:strRef>
              <c:f>'Pivot Table 3'!$K$1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'Pivot Table 3'!$F$2:$F$2336</c:f>
            </c:strRef>
          </c:cat>
          <c:val>
            <c:numRef>
              <c:f>'Pivot Table 3'!$K$2:$K$2336</c:f>
              <c:numCache/>
            </c:numRef>
          </c:val>
        </c:ser>
        <c:overlap val="100"/>
        <c:axId val="956069509"/>
        <c:axId val="1263307220"/>
      </c:barChart>
      <c:catAx>
        <c:axId val="9560695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Weight Status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63307220"/>
      </c:catAx>
      <c:valAx>
        <c:axId val="12633072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 of Weight Status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5606950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Average Healthcare Charges by Age Group and Number of Major Surgeries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Chart1!$B$10</c:f>
            </c:strRef>
          </c:tx>
          <c:spPr>
            <a:ln cmpd="sng">
              <a:solidFill>
                <a:srgbClr val="1155CC"/>
              </a:solidFill>
            </a:ln>
          </c:spPr>
          <c:marker>
            <c:symbol val="none"/>
          </c:marker>
          <c:cat>
            <c:strRef>
              <c:f>Chart1!$A$11:$A$14</c:f>
            </c:strRef>
          </c:cat>
          <c:val>
            <c:numRef>
              <c:f>Chart1!$B$11:$B$14</c:f>
              <c:numCache/>
            </c:numRef>
          </c:val>
          <c:smooth val="0"/>
        </c:ser>
        <c:ser>
          <c:idx val="1"/>
          <c:order val="1"/>
          <c:tx>
            <c:strRef>
              <c:f>Chart1!$C$10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Chart1!$A$11:$A$14</c:f>
            </c:strRef>
          </c:cat>
          <c:val>
            <c:numRef>
              <c:f>Chart1!$C$11:$C$14</c:f>
              <c:numCache/>
            </c:numRef>
          </c:val>
          <c:smooth val="0"/>
        </c:ser>
        <c:ser>
          <c:idx val="2"/>
          <c:order val="2"/>
          <c:tx>
            <c:strRef>
              <c:f>Chart1!$D$10</c:f>
            </c:strRef>
          </c:tx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strRef>
              <c:f>Chart1!$A$11:$A$14</c:f>
            </c:strRef>
          </c:cat>
          <c:val>
            <c:numRef>
              <c:f>Chart1!$D$11:$D$14</c:f>
              <c:numCache/>
            </c:numRef>
          </c:val>
          <c:smooth val="0"/>
        </c:ser>
        <c:ser>
          <c:idx val="3"/>
          <c:order val="3"/>
          <c:tx>
            <c:strRef>
              <c:f>Chart1!$E$10</c:f>
            </c:strRef>
          </c:tx>
          <c:spPr>
            <a:ln cmpd="sng">
              <a:solidFill>
                <a:srgbClr val="FFC000"/>
              </a:solidFill>
            </a:ln>
          </c:spPr>
          <c:marker>
            <c:symbol val="none"/>
          </c:marker>
          <c:cat>
            <c:strRef>
              <c:f>Chart1!$A$11:$A$14</c:f>
            </c:strRef>
          </c:cat>
          <c:val>
            <c:numRef>
              <c:f>Chart1!$E$11:$E$14</c:f>
              <c:numCache/>
            </c:numRef>
          </c:val>
          <c:smooth val="0"/>
        </c:ser>
        <c:axId val="757370567"/>
        <c:axId val="1004346427"/>
      </c:lineChart>
      <c:catAx>
        <c:axId val="7573705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Age Group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04346427"/>
      </c:catAx>
      <c:valAx>
        <c:axId val="1004346427"/>
        <c:scaling>
          <c:orientation val="minMax"/>
          <c:max val="24420.22718181818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Charges ($)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7370567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Average Healthcare Charges by Hospital Tier and Smoker Status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Chart1!$B$16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Chart1!$A$17:$A$22</c:f>
            </c:strRef>
          </c:cat>
          <c:val>
            <c:numRef>
              <c:f>Chart1!$B$17:$B$22</c:f>
              <c:numCache/>
            </c:numRef>
          </c:val>
        </c:ser>
        <c:ser>
          <c:idx val="1"/>
          <c:order val="1"/>
          <c:tx>
            <c:strRef>
              <c:f>Chart1!$C$16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Chart1!$A$17:$A$22</c:f>
            </c:strRef>
          </c:cat>
          <c:val>
            <c:numRef>
              <c:f>Chart1!$C$17:$C$22</c:f>
              <c:numCache/>
            </c:numRef>
          </c:val>
        </c:ser>
        <c:overlap val="100"/>
        <c:axId val="128195004"/>
        <c:axId val="1980791575"/>
      </c:barChart>
      <c:catAx>
        <c:axId val="1281950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Smoker_Label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80791575"/>
      </c:catAx>
      <c:valAx>
        <c:axId val="19807915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Charges ($)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8195004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Average Healthcare Charges by Weight Status and Smoker Status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Chart1!$B$24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Chart1!$A$25:$A$32</c:f>
            </c:strRef>
          </c:cat>
          <c:val>
            <c:numRef>
              <c:f>Chart1!$B$25:$B$32</c:f>
              <c:numCache/>
            </c:numRef>
          </c:val>
        </c:ser>
        <c:ser>
          <c:idx val="1"/>
          <c:order val="1"/>
          <c:tx>
            <c:strRef>
              <c:f>Chart1!$C$24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Chart1!$A$25:$A$32</c:f>
            </c:strRef>
          </c:cat>
          <c:val>
            <c:numRef>
              <c:f>Chart1!$C$25:$C$32</c:f>
              <c:numCache/>
            </c:numRef>
          </c:val>
        </c:ser>
        <c:overlap val="100"/>
        <c:axId val="978292142"/>
        <c:axId val="144735852"/>
      </c:barChart>
      <c:catAx>
        <c:axId val="9782921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Smoker_Label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4735852"/>
      </c:catAx>
      <c:valAx>
        <c:axId val="1447358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Charges ($)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78292142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Average Healthcare Charges by Age Group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Chart1!$B$34</c:f>
            </c:strRef>
          </c:tx>
          <c:spPr>
            <a:solidFill>
              <a:srgbClr val="2CA02C"/>
            </a:solidFill>
            <a:ln cmpd="sng">
              <a:noFill/>
            </a:ln>
          </c:spPr>
          <c:cat>
            <c:strRef>
              <c:f>Chart1!$A$35:$A$38</c:f>
            </c:strRef>
          </c:cat>
          <c:val>
            <c:numRef>
              <c:f>Chart1!$B$35:$B$38</c:f>
              <c:numCache/>
            </c:numRef>
          </c:val>
        </c:ser>
        <c:axId val="1052811128"/>
        <c:axId val="85887626"/>
      </c:barChart>
      <c:catAx>
        <c:axId val="10528111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Age Group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5887626"/>
      </c:catAx>
      <c:valAx>
        <c:axId val="858876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Healthcare Charges ($)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5281112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Average Healthcare Charges by Age Group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Chart1!$B$40</c:f>
            </c:strRef>
          </c:tx>
          <c:spPr>
            <a:solidFill>
              <a:srgbClr val="2CA02C"/>
            </a:solidFill>
            <a:ln cmpd="sng">
              <a:noFill/>
            </a:ln>
          </c:spPr>
          <c:cat>
            <c:strRef>
              <c:f>Chart1!$A$41:$A$44</c:f>
            </c:strRef>
          </c:cat>
          <c:val>
            <c:numRef>
              <c:f>Chart1!$B$41:$B$44</c:f>
              <c:numCache/>
            </c:numRef>
          </c:val>
        </c:ser>
        <c:axId val="863145939"/>
        <c:axId val="223934199"/>
      </c:barChart>
      <c:catAx>
        <c:axId val="8631459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Age Group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3934199"/>
      </c:catAx>
      <c:valAx>
        <c:axId val="2239341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Healthcare Charges ($)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6314593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Average Healthcare Charges by Hospital Tier and Smoker Status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Chart1!$B$46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Chart1!$A$47:$A$52</c:f>
            </c:strRef>
          </c:cat>
          <c:val>
            <c:numRef>
              <c:f>Chart1!$B$47:$B$52</c:f>
              <c:numCache/>
            </c:numRef>
          </c:val>
        </c:ser>
        <c:ser>
          <c:idx val="1"/>
          <c:order val="1"/>
          <c:tx>
            <c:strRef>
              <c:f>Chart1!$C$46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Chart1!$A$47:$A$52</c:f>
            </c:strRef>
          </c:cat>
          <c:val>
            <c:numRef>
              <c:f>Chart1!$C$47:$C$52</c:f>
              <c:numCache/>
            </c:numRef>
          </c:val>
        </c:ser>
        <c:overlap val="100"/>
        <c:axId val="450500082"/>
        <c:axId val="1656707355"/>
      </c:barChart>
      <c:catAx>
        <c:axId val="4505000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Smoker_Label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6707355"/>
      </c:catAx>
      <c:valAx>
        <c:axId val="16567073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Charges ($)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0500082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Average Healthcare Charges by Weight Status and Smoker Status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Chart1!$B$54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Chart1!$A$55:$A$62</c:f>
            </c:strRef>
          </c:cat>
          <c:val>
            <c:numRef>
              <c:f>Chart1!$B$55:$B$62</c:f>
              <c:numCache/>
            </c:numRef>
          </c:val>
        </c:ser>
        <c:ser>
          <c:idx val="1"/>
          <c:order val="1"/>
          <c:tx>
            <c:strRef>
              <c:f>Chart1!$C$54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Chart1!$A$55:$A$62</c:f>
            </c:strRef>
          </c:cat>
          <c:val>
            <c:numRef>
              <c:f>Chart1!$C$55:$C$62</c:f>
              <c:numCache/>
            </c:numRef>
          </c:val>
        </c:ser>
        <c:overlap val="100"/>
        <c:axId val="10869520"/>
        <c:axId val="475226608"/>
      </c:barChart>
      <c:catAx>
        <c:axId val="108695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Smoker_Label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75226608"/>
      </c:catAx>
      <c:valAx>
        <c:axId val="4752266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Charges ($)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869520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<Relationship Id="rId4" Type="http://schemas.openxmlformats.org/officeDocument/2006/relationships/chart" Target="../charts/chart5.xml"/><Relationship Id="rId5" Type="http://schemas.openxmlformats.org/officeDocument/2006/relationships/chart" Target="../charts/chart6.xml"/><Relationship Id="rId6" Type="http://schemas.openxmlformats.org/officeDocument/2006/relationships/chart" Target="../charts/chart7.xml"/><Relationship Id="rId7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428625</xdr:colOff>
      <xdr:row>5</xdr:row>
      <xdr:rowOff>95250</xdr:rowOff>
    </xdr:from>
    <xdr:ext cx="10210800" cy="42005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762500" cy="2857500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1</xdr:row>
      <xdr:rowOff>0</xdr:rowOff>
    </xdr:from>
    <xdr:ext cx="4762500" cy="2857500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2</xdr:row>
      <xdr:rowOff>0</xdr:rowOff>
    </xdr:from>
    <xdr:ext cx="4762500" cy="2857500"/>
    <xdr:graphicFrame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0</xdr:colOff>
      <xdr:row>3</xdr:row>
      <xdr:rowOff>0</xdr:rowOff>
    </xdr:from>
    <xdr:ext cx="4762500" cy="2857500"/>
    <xdr:graphicFrame>
      <xdr:nvGraphicFramePr>
        <xdr:cNvPr id="5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0</xdr:colOff>
      <xdr:row>4</xdr:row>
      <xdr:rowOff>0</xdr:rowOff>
    </xdr:from>
    <xdr:ext cx="4762500" cy="2857500"/>
    <xdr:graphicFrame>
      <xdr:nvGraphicFramePr>
        <xdr:cNvPr id="6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0</xdr:col>
      <xdr:colOff>0</xdr:colOff>
      <xdr:row>5</xdr:row>
      <xdr:rowOff>0</xdr:rowOff>
    </xdr:from>
    <xdr:ext cx="4762500" cy="2857500"/>
    <xdr:graphicFrame>
      <xdr:nvGraphicFramePr>
        <xdr:cNvPr id="7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0</xdr:col>
      <xdr:colOff>0</xdr:colOff>
      <xdr:row>6</xdr:row>
      <xdr:rowOff>0</xdr:rowOff>
    </xdr:from>
    <xdr:ext cx="4762500" cy="2857500"/>
    <xdr:graphicFrame>
      <xdr:nvGraphicFramePr>
        <xdr:cNvPr id="8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P2336" sheet="Healthcare"/>
  </cacheSource>
  <cacheFields>
    <cacheField name="Customer ID" numFmtId="0">
      <sharedItems>
        <s v="Id1"/>
        <s v="Id2"/>
        <s v="Id3"/>
        <s v="Id4"/>
        <s v="Id5"/>
        <s v="Id6"/>
        <s v="Id7"/>
        <s v="Id8"/>
        <s v="Id9"/>
        <s v="Id10"/>
        <s v="Id11"/>
        <s v="Id12"/>
        <s v="Id13"/>
        <s v="Id14"/>
        <s v="Id15"/>
        <s v="Id16"/>
        <s v="Id17"/>
        <s v="Id18"/>
        <s v="Id19"/>
        <s v="Id20"/>
        <s v="Id21"/>
        <s v="Id22"/>
        <s v="Id23"/>
        <s v="Id24"/>
        <s v="Id25"/>
        <s v="Id26"/>
        <s v="Id27"/>
        <s v="Id28"/>
        <s v="Id29"/>
        <s v="Id30"/>
        <s v="Id31"/>
        <s v="Id32"/>
        <s v="Id33"/>
        <s v="Id34"/>
        <s v="Id35"/>
        <s v="Id36"/>
        <s v="Id37"/>
        <s v="Id38"/>
        <s v="Id39"/>
        <s v="Id40"/>
        <s v="Id41"/>
        <s v="Id42"/>
        <s v="Id43"/>
        <s v="Id44"/>
        <s v="Id45"/>
        <s v="Id46"/>
        <s v="Id47"/>
        <s v="Id48"/>
        <s v="Id49"/>
        <s v="Id50"/>
        <s v="Id51"/>
        <s v="Id52"/>
        <s v="Id53"/>
        <s v="Id54"/>
        <s v="Id55"/>
        <s v="Id56"/>
        <s v="Id57"/>
        <s v="Id58"/>
        <s v="Id59"/>
        <s v="Id60"/>
        <s v="Id61"/>
        <s v="Id62"/>
        <s v="Id63"/>
        <s v="Id64"/>
        <s v="Id65"/>
        <s v="Id66"/>
        <s v="Id67"/>
        <s v="Id68"/>
        <s v="Id69"/>
        <s v="Id70"/>
        <s v="Id71"/>
        <s v="Id72"/>
        <s v="Id73"/>
        <s v="Id74"/>
        <s v="Id75"/>
        <s v="Id76"/>
        <s v="Id77"/>
        <s v="Id78"/>
        <s v="Id79"/>
        <s v="Id80"/>
        <s v="Id81"/>
        <s v="Id82"/>
        <s v="Id83"/>
        <s v="Id84"/>
        <s v="Id85"/>
        <s v="Id86"/>
        <s v="Id87"/>
        <s v="Id88"/>
        <s v="Id89"/>
        <s v="Id90"/>
        <s v="Id91"/>
        <s v="Id92"/>
        <s v="Id93"/>
        <s v="Id94"/>
        <s v="Id95"/>
        <s v="Id96"/>
        <s v="Id97"/>
        <s v="Id98"/>
        <s v="Id99"/>
        <s v="Id100"/>
        <s v="Id101"/>
        <s v="Id102"/>
        <s v="Id103"/>
        <s v="Id104"/>
        <s v="Id105"/>
        <s v="Id106"/>
        <s v="Id107"/>
        <s v="Id108"/>
        <s v="Id109"/>
        <s v="Id110"/>
        <s v="Id111"/>
        <s v="Id112"/>
        <s v="Id113"/>
        <s v="Id114"/>
        <s v="Id115"/>
        <s v="Id116"/>
        <s v="Id117"/>
        <s v="Id118"/>
        <s v="Id119"/>
        <s v="Id120"/>
        <s v="Id121"/>
        <s v="Id122"/>
        <s v="Id123"/>
        <s v="Id124"/>
        <s v="Id125"/>
        <s v="Id126"/>
        <s v="Id127"/>
        <s v="Id128"/>
        <s v="Id129"/>
        <s v="Id130"/>
        <s v="Id131"/>
        <s v="Id132"/>
        <s v="Id133"/>
        <s v="Id134"/>
        <s v="Id135"/>
        <s v="Id136"/>
        <s v="Id137"/>
        <s v="Id138"/>
        <s v="Id139"/>
        <s v="Id140"/>
        <s v="Id141"/>
        <s v="Id142"/>
        <s v="Id143"/>
        <s v="Id144"/>
        <s v="Id145"/>
        <s v="Id146"/>
        <s v="Id147"/>
        <s v="Id148"/>
        <s v="Id149"/>
        <s v="Id150"/>
        <s v="Id151"/>
        <s v="Id152"/>
        <s v="Id153"/>
        <s v="Id154"/>
        <s v="Id155"/>
        <s v="Id156"/>
        <s v="Id157"/>
        <s v="Id158"/>
        <s v="Id159"/>
        <s v="Id160"/>
        <s v="Id161"/>
        <s v="Id162"/>
        <s v="Id163"/>
        <s v="Id164"/>
        <s v="Id165"/>
        <s v="Id166"/>
        <s v="Id167"/>
        <s v="Id168"/>
        <s v="Id169"/>
        <s v="Id170"/>
        <s v="Id171"/>
        <s v="Id172"/>
        <s v="Id173"/>
        <s v="Id174"/>
        <s v="Id175"/>
        <s v="Id176"/>
        <s v="Id177"/>
        <s v="Id178"/>
        <s v="Id179"/>
        <s v="Id180"/>
        <s v="Id181"/>
        <s v="Id182"/>
        <s v="Id183"/>
        <s v="Id184"/>
        <s v="Id185"/>
        <s v="Id186"/>
        <s v="Id187"/>
        <s v="Id188"/>
        <s v="Id189"/>
        <s v="Id190"/>
        <s v="Id191"/>
        <s v="Id192"/>
        <s v="Id193"/>
        <s v="Id194"/>
        <s v="Id195"/>
        <s v="Id196"/>
        <s v="Id197"/>
        <s v="Id198"/>
        <s v="Id199"/>
        <s v="Id200"/>
        <s v="Id201"/>
        <s v="Id202"/>
        <s v="Id203"/>
        <s v="Id204"/>
        <s v="Id205"/>
        <s v="Id206"/>
        <s v="Id207"/>
        <s v="Id208"/>
        <s v="Id209"/>
        <s v="Id210"/>
        <s v="Id211"/>
        <s v="Id212"/>
        <s v="Id213"/>
        <s v="Id214"/>
        <s v="Id215"/>
        <s v="Id216"/>
        <s v="Id217"/>
        <s v="Id218"/>
        <s v="Id219"/>
        <s v="Id220"/>
        <s v="Id221"/>
        <s v="Id222"/>
        <s v="Id223"/>
        <s v="Id224"/>
        <s v="Id225"/>
        <s v="Id226"/>
        <s v="Id227"/>
        <s v="Id228"/>
        <s v="Id229"/>
        <s v="Id230"/>
        <s v="Id231"/>
        <s v="Id232"/>
        <s v="Id233"/>
        <s v="Id234"/>
        <s v="Id235"/>
        <s v="Id236"/>
        <s v="Id237"/>
        <s v="Id238"/>
        <s v="Id239"/>
        <s v="Id240"/>
        <s v="Id241"/>
        <s v="Id242"/>
        <s v="Id243"/>
        <s v="Id244"/>
        <s v="Id245"/>
        <s v="Id246"/>
        <s v="Id247"/>
        <s v="Id248"/>
        <s v="Id249"/>
        <s v="Id250"/>
        <s v="Id251"/>
        <s v="Id252"/>
        <s v="Id253"/>
        <s v="Id254"/>
        <s v="Id255"/>
        <s v="Id256"/>
        <s v="Id257"/>
        <s v="Id258"/>
        <s v="Id259"/>
        <s v="Id260"/>
        <s v="Id261"/>
        <s v="Id262"/>
        <s v="Id263"/>
        <s v="Id264"/>
        <s v="Id265"/>
        <s v="Id266"/>
        <s v="Id267"/>
        <s v="Id268"/>
        <s v="Id269"/>
        <s v="Id270"/>
        <s v="Id271"/>
        <s v="Id272"/>
        <s v="Id273"/>
        <s v="Id274"/>
        <s v="Id275"/>
        <s v="Id276"/>
        <s v="Id277"/>
        <s v="Id278"/>
        <s v="Id279"/>
        <s v="Id280"/>
        <s v="Id281"/>
        <s v="Id282"/>
        <s v="Id283"/>
        <s v="Id284"/>
        <s v="Id285"/>
        <s v="Id286"/>
        <s v="Id287"/>
        <s v="Id288"/>
        <s v="Id289"/>
        <s v="Id290"/>
        <s v="Id291"/>
        <s v="Id292"/>
        <s v="Id293"/>
        <s v="Id294"/>
        <s v="Id295"/>
        <s v="Id296"/>
        <s v="Id297"/>
        <s v="Id298"/>
        <s v="Id299"/>
        <s v="Id300"/>
        <s v="Id301"/>
        <s v="Id302"/>
        <s v="Id303"/>
        <s v="Id304"/>
        <s v="Id305"/>
        <s v="Id306"/>
        <s v="Id307"/>
        <s v="Id308"/>
        <s v="Id309"/>
        <s v="Id310"/>
        <s v="Id311"/>
        <s v="Id312"/>
        <s v="Id313"/>
        <s v="Id314"/>
        <s v="Id315"/>
        <s v="Id316"/>
        <s v="Id317"/>
        <s v="Id318"/>
        <s v="Id319"/>
        <s v="Id320"/>
        <s v="Id321"/>
        <s v="Id322"/>
        <s v="Id323"/>
        <s v="Id324"/>
        <s v="Id325"/>
        <s v="Id326"/>
        <s v="Id327"/>
        <s v="Id328"/>
        <s v="Id329"/>
        <s v="Id330"/>
        <s v="Id331"/>
        <s v="Id332"/>
        <s v="Id333"/>
        <s v="Id334"/>
        <s v="Id335"/>
        <s v="Id336"/>
        <s v="Id337"/>
        <s v="Id338"/>
        <s v="Id339"/>
        <s v="Id340"/>
        <s v="Id341"/>
        <s v="Id342"/>
        <s v="Id343"/>
        <s v="Id344"/>
        <s v="Id345"/>
        <s v="Id346"/>
        <s v="Id347"/>
        <s v="Id348"/>
        <s v="Id349"/>
        <s v="Id350"/>
        <s v="Id351"/>
        <s v="Id352"/>
        <s v="Id353"/>
        <s v="Id354"/>
        <s v="Id355"/>
        <s v="Id356"/>
        <s v="Id357"/>
        <s v="Id358"/>
        <s v="Id359"/>
        <s v="Id360"/>
        <s v="Id361"/>
        <s v="Id362"/>
        <s v="Id363"/>
        <s v="Id364"/>
        <s v="Id365"/>
        <s v="Id366"/>
        <s v="Id367"/>
        <s v="Id368"/>
        <s v="Id369"/>
        <s v="Id370"/>
        <s v="Id371"/>
        <s v="Id372"/>
        <s v="Id373"/>
        <s v="Id374"/>
        <s v="Id375"/>
        <s v="Id376"/>
        <s v="Id377"/>
        <s v="Id378"/>
        <s v="Id379"/>
        <s v="Id380"/>
        <s v="Id381"/>
        <s v="Id382"/>
        <s v="Id383"/>
        <s v="Id384"/>
        <s v="Id385"/>
        <s v="Id386"/>
        <s v="Id387"/>
        <s v="Id388"/>
        <s v="Id389"/>
        <s v="Id390"/>
        <s v="Id391"/>
        <s v="Id392"/>
        <s v="Id393"/>
        <s v="Id394"/>
        <s v="Id395"/>
        <s v="Id396"/>
        <s v="Id397"/>
        <s v="Id398"/>
        <s v="Id399"/>
        <s v="Id400"/>
        <s v="Id401"/>
        <s v="Id402"/>
        <s v="Id403"/>
        <s v="Id404"/>
        <s v="Id405"/>
        <s v="Id406"/>
        <s v="Id407"/>
        <s v="Id408"/>
        <s v="Id409"/>
        <s v="Id410"/>
        <s v="Id411"/>
        <s v="Id412"/>
        <s v="Id413"/>
        <s v="Id414"/>
        <s v="Id415"/>
        <s v="Id416"/>
        <s v="Id417"/>
        <s v="Id418"/>
        <s v="Id419"/>
        <s v="Id420"/>
        <s v="Id421"/>
        <s v="Id422"/>
        <s v="Id423"/>
        <s v="Id424"/>
        <s v="Id425"/>
        <s v="Id426"/>
        <s v="Id427"/>
        <s v="Id428"/>
        <s v="Id429"/>
        <s v="Id430"/>
        <s v="Id431"/>
        <s v="Id432"/>
        <s v="Id433"/>
        <s v="Id434"/>
        <s v="Id435"/>
        <s v="Id436"/>
        <s v="Id437"/>
        <s v="Id438"/>
        <s v="Id439"/>
        <s v="Id440"/>
        <s v="Id441"/>
        <s v="Id442"/>
        <s v="Id443"/>
        <s v="Id444"/>
        <s v="Id445"/>
        <s v="Id446"/>
        <s v="Id447"/>
        <s v="Id448"/>
        <s v="Id449"/>
        <s v="Id450"/>
        <s v="Id451"/>
        <s v="Id452"/>
        <s v="Id453"/>
        <s v="Id454"/>
        <s v="Id455"/>
        <s v="Id456"/>
        <s v="Id457"/>
        <s v="Id458"/>
        <s v="Id459"/>
        <s v="Id460"/>
        <s v="Id461"/>
        <s v="Id462"/>
        <s v="Id463"/>
        <s v="Id464"/>
        <s v="Id465"/>
        <s v="Id466"/>
        <s v="Id467"/>
        <s v="Id468"/>
        <s v="Id469"/>
        <s v="Id470"/>
        <s v="Id471"/>
        <s v="Id472"/>
        <s v="Id473"/>
        <s v="Id474"/>
        <s v="Id475"/>
        <s v="Id476"/>
        <s v="Id477"/>
        <s v="Id478"/>
        <s v="Id479"/>
        <s v="Id480"/>
        <s v="Id481"/>
        <s v="Id482"/>
        <s v="Id483"/>
        <s v="Id484"/>
        <s v="Id485"/>
        <s v="Id486"/>
        <s v="Id487"/>
        <s v="Id488"/>
        <s v="Id489"/>
        <s v="Id490"/>
        <s v="Id491"/>
        <s v="Id492"/>
        <s v="Id493"/>
        <s v="Id494"/>
        <s v="Id495"/>
        <s v="Id496"/>
        <s v="Id497"/>
        <s v="Id498"/>
        <s v="Id499"/>
        <s v="Id500"/>
        <s v="Id501"/>
        <s v="Id502"/>
        <s v="Id503"/>
        <s v="Id504"/>
        <s v="Id505"/>
        <s v="Id506"/>
        <s v="Id507"/>
        <s v="Id508"/>
        <s v="Id509"/>
        <s v="Id510"/>
        <s v="Id511"/>
        <s v="Id512"/>
        <s v="Id513"/>
        <s v="Id514"/>
        <s v="Id515"/>
        <s v="Id516"/>
        <s v="Id517"/>
        <s v="Id518"/>
        <s v="Id519"/>
        <s v="Id520"/>
        <s v="Id521"/>
        <s v="Id522"/>
        <s v="Id523"/>
        <s v="Id524"/>
        <s v="Id525"/>
        <s v="Id526"/>
        <s v="Id527"/>
        <s v="Id528"/>
        <s v="Id529"/>
        <s v="Id530"/>
        <s v="Id531"/>
        <s v="Id532"/>
        <s v="Id533"/>
        <s v="Id534"/>
        <s v="Id535"/>
        <s v="Id536"/>
        <s v="Id537"/>
        <s v="Id538"/>
        <s v="Id539"/>
        <s v="Id540"/>
        <s v="Id541"/>
        <s v="Id542"/>
        <s v="Id543"/>
        <s v="Id544"/>
        <s v="Id545"/>
        <s v="Id546"/>
        <s v="Id547"/>
        <s v="Id548"/>
        <s v="Id549"/>
        <s v="Id550"/>
        <s v="Id551"/>
        <s v="Id552"/>
        <s v="Id553"/>
        <s v="Id554"/>
        <s v="Id555"/>
        <s v="Id556"/>
        <s v="Id557"/>
        <s v="Id558"/>
        <s v="Id559"/>
        <s v="Id560"/>
        <s v="Id561"/>
        <s v="Id562"/>
        <s v="Id563"/>
        <s v="Id564"/>
        <s v="Id565"/>
        <s v="Id566"/>
        <s v="Id567"/>
        <s v="Id568"/>
        <s v="Id569"/>
        <s v="Id570"/>
        <s v="Id571"/>
        <s v="Id572"/>
        <s v="Id573"/>
        <s v="Id574"/>
        <s v="Id575"/>
        <s v="Id576"/>
        <s v="Id577"/>
        <s v="Id578"/>
        <s v="Id579"/>
        <s v="Id580"/>
        <s v="Id581"/>
        <s v="Id582"/>
        <s v="Id583"/>
        <s v="Id584"/>
        <s v="Id585"/>
        <s v="Id586"/>
        <s v="Id587"/>
        <s v="Id588"/>
        <s v="Id589"/>
        <s v="Id590"/>
        <s v="Id591"/>
        <s v="Id592"/>
        <s v="Id593"/>
        <s v="Id594"/>
        <s v="Id595"/>
        <s v="Id596"/>
        <s v="Id597"/>
        <s v="Id598"/>
        <s v="Id599"/>
        <s v="Id600"/>
        <s v="Id601"/>
        <s v="Id602"/>
        <s v="Id603"/>
        <s v="Id604"/>
        <s v="Id605"/>
        <s v="Id606"/>
        <s v="Id607"/>
        <s v="Id608"/>
        <s v="Id609"/>
        <s v="Id610"/>
        <s v="Id611"/>
        <s v="Id612"/>
        <s v="Id613"/>
        <s v="Id614"/>
        <s v="Id615"/>
        <s v="Id616"/>
        <s v="Id617"/>
        <s v="Id618"/>
        <s v="Id619"/>
        <s v="Id620"/>
        <s v="Id621"/>
        <s v="Id622"/>
        <s v="Id623"/>
        <s v="Id624"/>
        <s v="Id625"/>
        <s v="Id626"/>
        <s v="Id627"/>
        <s v="Id628"/>
        <s v="Id629"/>
        <s v="Id630"/>
        <s v="Id631"/>
        <s v="Id632"/>
        <s v="Id633"/>
        <s v="Id634"/>
        <s v="Id635"/>
        <s v="Id636"/>
        <s v="Id637"/>
        <s v="Id638"/>
        <s v="Id639"/>
        <s v="Id640"/>
        <s v="Id641"/>
        <s v="Id642"/>
        <s v="Id643"/>
        <s v="Id644"/>
        <s v="Id645"/>
        <s v="Id646"/>
        <s v="Id647"/>
        <s v="Id648"/>
        <s v="Id649"/>
        <s v="Id650"/>
        <s v="Id651"/>
        <s v="Id652"/>
        <s v="Id653"/>
        <s v="Id654"/>
        <s v="Id655"/>
        <s v="Id656"/>
        <s v="Id657"/>
        <s v="Id658"/>
        <s v="Id659"/>
        <s v="Id660"/>
        <s v="Id661"/>
        <s v="Id662"/>
        <s v="Id663"/>
        <s v="Id664"/>
        <s v="Id665"/>
        <s v="Id666"/>
        <s v="Id667"/>
        <s v="Id668"/>
        <s v="Id669"/>
        <s v="Id670"/>
        <s v="Id671"/>
        <s v="Id672"/>
        <s v="Id673"/>
        <s v="Id674"/>
        <s v="Id675"/>
        <s v="Id676"/>
        <s v="Id677"/>
        <s v="Id678"/>
        <s v="Id679"/>
        <s v="Id680"/>
        <s v="Id681"/>
        <s v="Id682"/>
        <s v="Id683"/>
        <s v="Id684"/>
        <s v="Id685"/>
        <s v="Id686"/>
        <s v="Id687"/>
        <s v="Id688"/>
        <s v="Id689"/>
        <s v="Id690"/>
        <s v="Id691"/>
        <s v="Id692"/>
        <s v="Id693"/>
        <s v="Id694"/>
        <s v="Id695"/>
        <s v="Id696"/>
        <s v="Id697"/>
        <s v="Id698"/>
        <s v="Id699"/>
        <s v="Id700"/>
        <s v="Id701"/>
        <s v="Id702"/>
        <s v="Id703"/>
        <s v="Id704"/>
        <s v="Id705"/>
        <s v="Id706"/>
        <s v="Id707"/>
        <s v="Id708"/>
        <s v="Id709"/>
        <s v="Id710"/>
        <s v="Id711"/>
        <s v="Id712"/>
        <s v="Id713"/>
        <s v="Id714"/>
        <s v="Id715"/>
        <s v="Id716"/>
        <s v="Id717"/>
        <s v="Id718"/>
        <s v="Id719"/>
        <s v="Id720"/>
        <s v="Id721"/>
        <s v="Id722"/>
        <s v="Id723"/>
        <s v="Id724"/>
        <s v="Id725"/>
        <s v="Id726"/>
        <s v="Id727"/>
        <s v="Id728"/>
        <s v="Id729"/>
        <s v="Id730"/>
        <s v="Id731"/>
        <s v="Id732"/>
        <s v="Id733"/>
        <s v="Id734"/>
        <s v="Id735"/>
        <s v="Id736"/>
        <s v="Id737"/>
        <s v="Id738"/>
        <s v="Id739"/>
        <s v="Id740"/>
        <s v="Id741"/>
        <s v="Id742"/>
        <s v="Id743"/>
        <s v="Id744"/>
        <s v="Id745"/>
        <s v="Id746"/>
        <s v="Id747"/>
        <s v="Id748"/>
        <s v="Id749"/>
        <s v="Id750"/>
        <s v="Id751"/>
        <s v="Id752"/>
        <s v="Id753"/>
        <s v="Id754"/>
        <s v="Id755"/>
        <s v="Id756"/>
        <s v="Id757"/>
        <s v="Id758"/>
        <s v="Id759"/>
        <s v="Id760"/>
        <s v="Id761"/>
        <s v="Id762"/>
        <s v="Id763"/>
        <s v="Id764"/>
        <s v="Id765"/>
        <s v="Id766"/>
        <s v="Id767"/>
        <s v="Id768"/>
        <s v="Id769"/>
        <s v="Id770"/>
        <s v="Id771"/>
        <s v="Id772"/>
        <s v="Id773"/>
        <s v="Id774"/>
        <s v="Id775"/>
        <s v="Id776"/>
        <s v="Id777"/>
        <s v="Id778"/>
        <s v="Id779"/>
        <s v="Id780"/>
        <s v="Id781"/>
        <s v="Id782"/>
        <s v="Id783"/>
        <s v="Id784"/>
        <s v="Id785"/>
        <s v="Id786"/>
        <s v="Id787"/>
        <s v="Id788"/>
        <s v="Id789"/>
        <s v="Id790"/>
        <s v="Id791"/>
        <s v="Id792"/>
        <s v="Id793"/>
        <s v="Id794"/>
        <s v="Id795"/>
        <s v="Id796"/>
        <s v="Id797"/>
        <s v="Id798"/>
        <s v="Id799"/>
        <s v="Id800"/>
        <s v="Id801"/>
        <s v="Id802"/>
        <s v="Id803"/>
        <s v="Id804"/>
        <s v="Id805"/>
        <s v="Id806"/>
        <s v="Id807"/>
        <s v="Id808"/>
        <s v="Id809"/>
        <s v="Id810"/>
        <s v="Id811"/>
        <s v="Id812"/>
        <s v="Id813"/>
        <s v="Id814"/>
        <s v="Id815"/>
        <s v="Id816"/>
        <s v="Id817"/>
        <s v="Id818"/>
        <s v="Id819"/>
        <s v="Id820"/>
        <s v="Id821"/>
        <s v="Id822"/>
        <s v="Id823"/>
        <s v="Id824"/>
        <s v="Id825"/>
        <s v="Id826"/>
        <s v="Id827"/>
        <s v="Id828"/>
        <s v="Id829"/>
        <s v="Id830"/>
        <s v="Id831"/>
        <s v="Id832"/>
        <s v="Id833"/>
        <s v="Id834"/>
        <s v="Id835"/>
        <s v="Id836"/>
        <s v="Id837"/>
        <s v="Id838"/>
        <s v="Id839"/>
        <s v="Id840"/>
        <s v="Id841"/>
        <s v="Id842"/>
        <s v="Id843"/>
        <s v="Id844"/>
        <s v="Id845"/>
        <s v="Id846"/>
        <s v="Id847"/>
        <s v="Id848"/>
        <s v="Id849"/>
        <s v="Id850"/>
        <s v="Id851"/>
        <s v="Id852"/>
        <s v="Id853"/>
        <s v="Id854"/>
        <s v="Id855"/>
        <s v="Id856"/>
        <s v="Id857"/>
        <s v="Id858"/>
        <s v="Id859"/>
        <s v="Id860"/>
        <s v="Id861"/>
        <s v="Id862"/>
        <s v="Id863"/>
        <s v="Id864"/>
        <s v="Id865"/>
        <s v="Id866"/>
        <s v="Id867"/>
        <s v="Id868"/>
        <s v="Id869"/>
        <s v="Id870"/>
        <s v="Id871"/>
        <s v="Id872"/>
        <s v="Id873"/>
        <s v="Id874"/>
        <s v="Id875"/>
        <s v="Id876"/>
        <s v="Id877"/>
        <s v="Id878"/>
        <s v="Id879"/>
        <s v="Id880"/>
        <s v="Id881"/>
        <s v="Id882"/>
        <s v="Id883"/>
        <s v="Id884"/>
        <s v="Id885"/>
        <s v="Id886"/>
        <s v="Id887"/>
        <s v="Id888"/>
        <s v="Id889"/>
        <s v="Id890"/>
        <s v="Id891"/>
        <s v="Id892"/>
        <s v="Id893"/>
        <s v="Id894"/>
        <s v="Id895"/>
        <s v="Id896"/>
        <s v="Id897"/>
        <s v="Id898"/>
        <s v="Id899"/>
        <s v="Id900"/>
        <s v="Id901"/>
        <s v="Id902"/>
        <s v="Id903"/>
        <s v="Id904"/>
        <s v="Id905"/>
        <s v="Id906"/>
        <s v="Id907"/>
        <s v="Id908"/>
        <s v="Id909"/>
        <s v="Id910"/>
        <s v="Id911"/>
        <s v="Id912"/>
        <s v="Id913"/>
        <s v="Id914"/>
        <s v="Id915"/>
        <s v="Id916"/>
        <s v="Id917"/>
        <s v="Id918"/>
        <s v="Id919"/>
        <s v="Id920"/>
        <s v="Id921"/>
        <s v="Id922"/>
        <s v="Id923"/>
        <s v="Id924"/>
        <s v="Id925"/>
        <s v="Id926"/>
        <s v="Id927"/>
        <s v="Id928"/>
        <s v="Id929"/>
        <s v="Id930"/>
        <s v="Id931"/>
        <s v="Id932"/>
        <s v="Id933"/>
        <s v="Id934"/>
        <s v="Id935"/>
        <s v="Id936"/>
        <s v="Id937"/>
        <s v="Id938"/>
        <s v="Id939"/>
        <s v="Id940"/>
        <s v="Id941"/>
        <s v="Id942"/>
        <s v="Id943"/>
        <s v="Id944"/>
        <s v="Id945"/>
        <s v="Id946"/>
        <s v="Id947"/>
        <s v="Id948"/>
        <s v="Id949"/>
        <s v="Id950"/>
        <s v="Id951"/>
        <s v="Id952"/>
        <s v="Id953"/>
        <s v="Id954"/>
        <s v="Id955"/>
        <s v="Id956"/>
        <s v="Id957"/>
        <s v="Id958"/>
        <s v="Id959"/>
        <s v="Id960"/>
        <s v="Id961"/>
        <s v="Id962"/>
        <s v="Id963"/>
        <s v="Id964"/>
        <s v="Id965"/>
        <s v="Id966"/>
        <s v="Id967"/>
        <s v="Id968"/>
        <s v="Id969"/>
        <s v="Id970"/>
        <s v="Id971"/>
        <s v="Id972"/>
        <s v="Id973"/>
        <s v="Id974"/>
        <s v="Id975"/>
        <s v="Id976"/>
        <s v="Id977"/>
        <s v="Id978"/>
        <s v="Id979"/>
        <s v="Id980"/>
        <s v="Id981"/>
        <s v="Id982"/>
        <s v="Id983"/>
        <s v="Id984"/>
        <s v="Id985"/>
        <s v="Id986"/>
        <s v="Id987"/>
        <s v="Id988"/>
        <s v="Id989"/>
        <s v="Id990"/>
        <s v="Id991"/>
        <s v="Id992"/>
        <s v="Id993"/>
        <s v="Id994"/>
        <s v="Id995"/>
        <s v="Id996"/>
        <s v="Id997"/>
        <s v="Id998"/>
        <s v="Id999"/>
        <s v="Id1000"/>
        <s v="Id1001"/>
        <s v="Id1002"/>
        <s v="Id1003"/>
        <s v="Id1004"/>
        <s v="Id1005"/>
        <s v="Id1006"/>
        <s v="Id1007"/>
        <s v="Id1008"/>
        <s v="Id1009"/>
        <s v="Id1010"/>
        <s v="Id1011"/>
        <s v="Id1012"/>
        <s v="Id1013"/>
        <s v="Id1014"/>
        <s v="Id1015"/>
        <s v="Id1016"/>
        <s v="Id1017"/>
        <s v="Id1018"/>
        <s v="Id1019"/>
        <s v="Id1020"/>
        <s v="Id1021"/>
        <s v="Id1022"/>
        <s v="Id1023"/>
        <s v="Id1024"/>
        <s v="Id1025"/>
        <s v="Id1026"/>
        <s v="Id1027"/>
        <s v="Id1028"/>
        <s v="Id1029"/>
        <s v="Id1030"/>
        <s v="Id1031"/>
        <s v="Id1032"/>
        <s v="Id1033"/>
        <s v="Id1034"/>
        <s v="Id1035"/>
        <s v="Id1036"/>
        <s v="Id1037"/>
        <s v="Id1038"/>
        <s v="Id1039"/>
        <s v="Id1040"/>
        <s v="Id1041"/>
        <s v="Id1042"/>
        <s v="Id1043"/>
        <s v="Id1044"/>
        <s v="Id1045"/>
        <s v="Id1046"/>
        <s v="Id1047"/>
        <s v="Id1048"/>
        <s v="Id1049"/>
        <s v="Id1050"/>
        <s v="Id1051"/>
        <s v="Id1052"/>
        <s v="Id1053"/>
        <s v="Id1054"/>
        <s v="Id1055"/>
        <s v="Id1056"/>
        <s v="Id1057"/>
        <s v="Id1058"/>
        <s v="Id1059"/>
        <s v="Id1060"/>
        <s v="Id1061"/>
        <s v="Id1062"/>
        <s v="Id1063"/>
        <s v="Id1064"/>
        <s v="Id1065"/>
        <s v="Id1066"/>
        <s v="Id1067"/>
        <s v="Id1068"/>
        <s v="Id1069"/>
        <s v="Id1070"/>
        <s v="Id1071"/>
        <s v="Id1072"/>
        <s v="Id1073"/>
        <s v="Id1074"/>
        <s v="Id1075"/>
        <s v="Id1076"/>
        <s v="Id1077"/>
        <s v="Id1078"/>
        <s v="Id1079"/>
        <s v="Id1080"/>
        <s v="Id1081"/>
        <s v="Id1082"/>
        <s v="Id1083"/>
        <s v="Id1084"/>
        <s v="Id1085"/>
        <s v="Id1086"/>
        <s v="Id1087"/>
        <s v="Id1088"/>
        <s v="Id1089"/>
        <s v="Id1090"/>
        <s v="Id1091"/>
        <s v="Id1092"/>
        <s v="Id1093"/>
        <s v="Id1094"/>
        <s v="Id1095"/>
        <s v="Id1096"/>
        <s v="Id1097"/>
        <s v="Id1098"/>
        <s v="Id1099"/>
        <s v="Id1100"/>
        <s v="Id1101"/>
        <s v="Id1102"/>
        <s v="Id1103"/>
        <s v="Id1104"/>
        <s v="Id1105"/>
        <s v="Id1106"/>
        <s v="Id1107"/>
        <s v="Id1108"/>
        <s v="Id1109"/>
        <s v="Id1110"/>
        <s v="Id1111"/>
        <s v="Id1112"/>
        <s v="Id1113"/>
        <s v="Id1114"/>
        <s v="Id1115"/>
        <s v="Id1116"/>
        <s v="Id1117"/>
        <s v="Id1118"/>
        <s v="Id1119"/>
        <s v="Id1120"/>
        <s v="Id1121"/>
        <s v="Id1122"/>
        <s v="Id1123"/>
        <s v="Id1124"/>
        <s v="Id1125"/>
        <s v="Id1126"/>
        <s v="Id1127"/>
        <s v="Id1128"/>
        <s v="Id1129"/>
        <s v="Id1130"/>
        <s v="Id1131"/>
        <s v="Id1132"/>
        <s v="Id1133"/>
        <s v="Id1134"/>
        <s v="Id1135"/>
        <s v="Id1136"/>
        <s v="Id1137"/>
        <s v="Id1138"/>
        <s v="Id1139"/>
        <s v="Id1140"/>
        <s v="Id1141"/>
        <s v="Id1142"/>
        <s v="Id1143"/>
        <s v="Id1144"/>
        <s v="Id1145"/>
        <s v="Id1146"/>
        <s v="Id1147"/>
        <s v="Id1148"/>
        <s v="Id1149"/>
        <s v="Id1150"/>
        <s v="Id1151"/>
        <s v="Id1152"/>
        <s v="Id1153"/>
        <s v="Id1154"/>
        <s v="Id1155"/>
        <s v="Id1156"/>
        <s v="Id1157"/>
        <s v="Id1158"/>
        <s v="Id1159"/>
        <s v="Id1160"/>
        <s v="Id1161"/>
        <s v="Id1162"/>
        <s v="Id1163"/>
        <s v="Id1164"/>
        <s v="Id1165"/>
        <s v="Id1166"/>
        <s v="Id1167"/>
        <s v="Id1168"/>
        <s v="Id1169"/>
        <s v="Id1170"/>
        <s v="Id1171"/>
        <s v="Id1172"/>
        <s v="Id1173"/>
        <s v="Id1174"/>
        <s v="Id1175"/>
        <s v="Id1176"/>
        <s v="Id1177"/>
        <s v="Id1178"/>
        <s v="Id1179"/>
        <s v="Id1180"/>
        <s v="Id1181"/>
        <s v="Id1182"/>
        <s v="Id1183"/>
        <s v="Id1184"/>
        <s v="Id1185"/>
        <s v="Id1186"/>
        <s v="Id1187"/>
        <s v="Id1188"/>
        <s v="Id1189"/>
        <s v="Id1190"/>
        <s v="Id1191"/>
        <s v="Id1192"/>
        <s v="Id1193"/>
        <s v="Id1194"/>
        <s v="Id1195"/>
        <s v="Id1196"/>
        <s v="Id1197"/>
        <s v="Id1198"/>
        <s v="Id1199"/>
        <s v="Id1200"/>
        <s v="Id1201"/>
        <s v="Id1202"/>
        <s v="Id1203"/>
        <s v="Id1204"/>
        <s v="Id1205"/>
        <s v="Id1206"/>
        <s v="Id1207"/>
        <s v="Id1208"/>
        <s v="Id1209"/>
        <s v="Id1210"/>
        <s v="Id1211"/>
        <s v="Id1212"/>
        <s v="Id1213"/>
        <s v="Id1214"/>
        <s v="Id1215"/>
        <s v="Id1216"/>
        <s v="Id1217"/>
        <s v="Id1218"/>
        <s v="Id1219"/>
        <s v="Id1220"/>
        <s v="Id1221"/>
        <s v="Id1222"/>
        <s v="Id1223"/>
        <s v="Id1224"/>
        <s v="Id1225"/>
        <s v="Id1226"/>
        <s v="Id1227"/>
        <s v="Id1228"/>
        <s v="Id1229"/>
        <s v="Id1230"/>
        <s v="Id1231"/>
        <s v="Id1232"/>
        <s v="Id1233"/>
        <s v="Id1234"/>
        <s v="Id1235"/>
        <s v="Id1236"/>
        <s v="Id1237"/>
        <s v="Id1238"/>
        <s v="Id1239"/>
        <s v="Id1240"/>
        <s v="Id1241"/>
        <s v="Id1242"/>
        <s v="Id1243"/>
        <s v="Id1244"/>
        <s v="Id1245"/>
        <s v="Id1246"/>
        <s v="Id1247"/>
        <s v="Id1248"/>
        <s v="Id1249"/>
        <s v="Id1250"/>
        <s v="Id1251"/>
        <s v="Id1252"/>
        <s v="Id1253"/>
        <s v="Id1254"/>
        <s v="Id1255"/>
        <s v="Id1256"/>
        <s v="Id1257"/>
        <s v="Id1258"/>
        <s v="Id1259"/>
        <s v="Id1260"/>
        <s v="Id1261"/>
        <s v="Id1262"/>
        <s v="Id1263"/>
        <s v="Id1264"/>
        <s v="Id1265"/>
        <s v="Id1266"/>
        <s v="Id1267"/>
        <s v="Id1268"/>
        <s v="Id1269"/>
        <s v="Id1270"/>
        <s v="Id1271"/>
        <s v="Id1272"/>
        <s v="Id1273"/>
        <s v="Id1274"/>
        <s v="Id1275"/>
        <s v="Id1276"/>
        <s v="Id1277"/>
        <s v="Id1278"/>
        <s v="Id1279"/>
        <s v="Id1280"/>
        <s v="Id1281"/>
        <s v="Id1282"/>
        <s v="Id1283"/>
        <s v="Id1284"/>
        <s v="Id1285"/>
        <s v="Id1286"/>
        <s v="Id1287"/>
        <s v="Id1288"/>
        <s v="Id1289"/>
        <s v="Id1290"/>
        <s v="Id1291"/>
        <s v="Id1292"/>
        <s v="Id1293"/>
        <s v="Id1294"/>
        <s v="Id1295"/>
        <s v="Id1296"/>
        <s v="Id1297"/>
        <s v="Id1298"/>
        <s v="Id1299"/>
        <s v="Id1300"/>
        <s v="Id1301"/>
        <s v="Id1302"/>
        <s v="Id1303"/>
        <s v="Id1304"/>
        <s v="Id1305"/>
        <s v="Id1306"/>
        <s v="Id1307"/>
        <s v="Id1308"/>
        <s v="Id1309"/>
        <s v="Id1310"/>
        <s v="Id1311"/>
        <s v="Id1312"/>
        <s v="Id1313"/>
        <s v="Id1314"/>
        <s v="Id1315"/>
        <s v="Id1316"/>
        <s v="Id1317"/>
        <s v="Id1318"/>
        <s v="Id1319"/>
        <s v="Id1320"/>
        <s v="Id1321"/>
        <s v="Id1322"/>
        <s v="Id1323"/>
        <s v="Id1324"/>
        <s v="Id1325"/>
        <s v="Id1326"/>
        <s v="Id1327"/>
        <s v="Id1328"/>
        <s v="Id1329"/>
        <s v="Id1330"/>
        <s v="Id1331"/>
        <s v="Id1332"/>
        <s v="Id1333"/>
        <s v="Id1334"/>
        <s v="Id1335"/>
        <s v="Id1336"/>
        <s v="Id1337"/>
        <s v="Id1338"/>
        <s v="Id1339"/>
        <s v="Id1340"/>
        <s v="Id1341"/>
        <s v="Id1342"/>
        <s v="Id1343"/>
        <s v="Id1344"/>
        <s v="Id1345"/>
        <s v="Id1346"/>
        <s v="Id1347"/>
        <s v="Id1348"/>
        <s v="Id1349"/>
        <s v="Id1350"/>
        <s v="Id1351"/>
        <s v="Id1352"/>
        <s v="Id1353"/>
        <s v="Id1354"/>
        <s v="Id1355"/>
        <s v="Id1356"/>
        <s v="Id1357"/>
        <s v="Id1358"/>
        <s v="Id1359"/>
        <s v="Id1360"/>
        <s v="Id1361"/>
        <s v="Id1362"/>
        <s v="Id1363"/>
        <s v="Id1364"/>
        <s v="Id1365"/>
        <s v="Id1366"/>
        <s v="Id1367"/>
        <s v="Id1368"/>
        <s v="Id1369"/>
        <s v="Id1370"/>
        <s v="Id1371"/>
        <s v="Id1372"/>
        <s v="Id1373"/>
        <s v="Id1374"/>
        <s v="Id1375"/>
        <s v="Id1376"/>
        <s v="Id1377"/>
        <s v="Id1378"/>
        <s v="Id1379"/>
        <s v="Id1380"/>
        <s v="Id1381"/>
        <s v="Id1382"/>
        <s v="Id1383"/>
        <s v="Id1384"/>
        <s v="Id1385"/>
        <s v="Id1386"/>
        <s v="Id1387"/>
        <s v="Id1388"/>
        <s v="Id1389"/>
        <s v="Id1390"/>
        <s v="Id1391"/>
        <s v="Id1392"/>
        <s v="Id1393"/>
        <s v="Id1394"/>
        <s v="Id1395"/>
        <s v="Id1396"/>
        <s v="Id1397"/>
        <s v="Id1398"/>
        <s v="Id1399"/>
        <s v="Id1400"/>
        <s v="Id1401"/>
        <s v="Id1402"/>
        <s v="Id1403"/>
        <s v="Id1404"/>
        <s v="Id1405"/>
        <s v="Id1406"/>
        <s v="Id1407"/>
        <s v="Id1408"/>
        <s v="Id1409"/>
        <s v="Id1410"/>
        <s v="Id1411"/>
        <s v="Id1412"/>
        <s v="Id1413"/>
        <s v="Id1414"/>
        <s v="Id1415"/>
        <s v="Id1416"/>
        <s v="Id1417"/>
        <s v="Id1418"/>
        <s v="Id1419"/>
        <s v="Id1420"/>
        <s v="Id1421"/>
        <s v="Id1422"/>
        <s v="Id1423"/>
        <s v="Id1424"/>
        <s v="Id1425"/>
        <s v="Id1426"/>
        <s v="Id1427"/>
        <s v="Id1428"/>
        <s v="Id1429"/>
        <s v="Id1430"/>
        <s v="Id1431"/>
        <s v="Id1432"/>
        <s v="Id1433"/>
        <s v="Id1434"/>
        <s v="Id1435"/>
        <s v="Id1436"/>
        <s v="Id1437"/>
        <s v="Id1438"/>
        <s v="Id1439"/>
        <s v="Id1440"/>
        <s v="Id1441"/>
        <s v="Id1442"/>
        <s v="Id1443"/>
        <s v="Id1444"/>
        <s v="Id1445"/>
        <s v="Id1446"/>
        <s v="Id1447"/>
        <s v="Id1448"/>
        <s v="Id1449"/>
        <s v="Id1450"/>
        <s v="Id1451"/>
        <s v="Id1452"/>
        <s v="Id1453"/>
        <s v="Id1454"/>
        <s v="Id1455"/>
        <s v="Id1456"/>
        <s v="Id1457"/>
        <s v="Id1458"/>
        <s v="Id1459"/>
        <s v="Id1460"/>
        <s v="Id1461"/>
        <s v="Id1462"/>
        <s v="Id1463"/>
        <s v="Id1464"/>
        <s v="Id1465"/>
        <s v="Id1466"/>
        <s v="Id1467"/>
        <s v="Id1468"/>
        <s v="Id1469"/>
        <s v="Id1470"/>
        <s v="Id1471"/>
        <s v="Id1472"/>
        <s v="Id1473"/>
        <s v="Id1474"/>
        <s v="Id1475"/>
        <s v="Id1476"/>
        <s v="Id1477"/>
        <s v="Id1478"/>
        <s v="Id1479"/>
        <s v="Id1480"/>
        <s v="Id1481"/>
        <s v="Id1482"/>
        <s v="Id1483"/>
        <s v="Id1484"/>
        <s v="Id1485"/>
        <s v="Id1486"/>
        <s v="Id1487"/>
        <s v="Id1488"/>
        <s v="Id1489"/>
        <s v="Id1490"/>
        <s v="Id1491"/>
        <s v="Id1492"/>
        <s v="Id1493"/>
        <s v="Id1494"/>
        <s v="Id1495"/>
        <s v="Id1496"/>
        <s v="Id1497"/>
        <s v="Id1498"/>
        <s v="Id1499"/>
        <s v="Id1500"/>
        <s v="Id1501"/>
        <s v="Id1502"/>
        <s v="Id1503"/>
        <s v="Id1504"/>
        <s v="Id1505"/>
        <s v="Id1506"/>
        <s v="Id1507"/>
        <s v="Id1508"/>
        <s v="Id1509"/>
        <s v="Id1510"/>
        <s v="Id1511"/>
        <s v="Id1512"/>
        <s v="Id1513"/>
        <s v="Id1514"/>
        <s v="Id1515"/>
        <s v="Id1516"/>
        <s v="Id1517"/>
        <s v="Id1518"/>
        <s v="Id1519"/>
        <s v="Id1520"/>
        <s v="Id1521"/>
        <s v="Id1522"/>
        <s v="Id1523"/>
        <s v="Id1524"/>
        <s v="Id1525"/>
        <s v="Id1526"/>
        <s v="Id1527"/>
        <s v="Id1528"/>
        <s v="Id1529"/>
        <s v="Id1530"/>
        <s v="Id1531"/>
        <s v="Id1532"/>
        <s v="Id1533"/>
        <s v="Id1534"/>
        <s v="Id1535"/>
        <s v="Id1536"/>
        <s v="Id1537"/>
        <s v="Id1538"/>
        <s v="Id1539"/>
        <s v="Id1540"/>
        <s v="Id1541"/>
        <s v="Id1542"/>
        <s v="Id1543"/>
        <s v="Id1544"/>
        <s v="Id1545"/>
        <s v="Id1546"/>
        <s v="Id1547"/>
        <s v="Id1548"/>
        <s v="Id1549"/>
        <s v="Id1550"/>
        <s v="Id1551"/>
        <s v="Id1552"/>
        <s v="Id1553"/>
        <s v="Id1554"/>
        <s v="Id1555"/>
        <s v="Id1556"/>
        <s v="Id1557"/>
        <s v="Id1558"/>
        <s v="Id1559"/>
        <s v="Id1560"/>
        <s v="Id1561"/>
        <s v="Id1562"/>
        <s v="Id1563"/>
        <s v="Id1564"/>
        <s v="Id1565"/>
        <s v="Id1566"/>
        <s v="Id1567"/>
        <s v="Id1568"/>
        <s v="Id1569"/>
        <s v="Id1570"/>
        <s v="Id1571"/>
        <s v="Id1572"/>
        <s v="Id1573"/>
        <s v="Id1574"/>
        <s v="Id1575"/>
        <s v="Id1576"/>
        <s v="Id1577"/>
        <s v="Id1578"/>
        <s v="Id1579"/>
        <s v="Id1580"/>
        <s v="Id1581"/>
        <s v="Id1582"/>
        <s v="Id1583"/>
        <s v="Id1584"/>
        <s v="Id1585"/>
        <s v="Id1586"/>
        <s v="Id1587"/>
        <s v="Id1588"/>
        <s v="Id1589"/>
        <s v="Id1590"/>
        <s v="Id1591"/>
        <s v="Id1592"/>
        <s v="Id1593"/>
        <s v="Id1594"/>
        <s v="Id1595"/>
        <s v="Id1596"/>
        <s v="Id1597"/>
        <s v="Id1598"/>
        <s v="Id1599"/>
        <s v="Id1600"/>
        <s v="Id1601"/>
        <s v="Id1602"/>
        <s v="Id1603"/>
        <s v="Id1604"/>
        <s v="Id1605"/>
        <s v="Id1606"/>
        <s v="Id1607"/>
        <s v="Id1608"/>
        <s v="Id1609"/>
        <s v="Id1610"/>
        <s v="Id1611"/>
        <s v="Id1612"/>
        <s v="Id1613"/>
        <s v="Id1614"/>
        <s v="Id1615"/>
        <s v="Id1616"/>
        <s v="Id1617"/>
        <s v="Id1618"/>
        <s v="Id1619"/>
        <s v="Id1620"/>
        <s v="Id1621"/>
        <s v="Id1622"/>
        <s v="Id1623"/>
        <s v="Id1624"/>
        <s v="Id1625"/>
        <s v="Id1626"/>
        <s v="Id1627"/>
        <s v="Id1628"/>
        <s v="Id1629"/>
        <s v="Id1630"/>
        <s v="Id1631"/>
        <s v="Id1632"/>
        <s v="Id1633"/>
        <s v="Id1634"/>
        <s v="Id1635"/>
        <s v="Id1636"/>
        <s v="Id1637"/>
        <s v="Id1638"/>
        <s v="Id1639"/>
        <s v="Id1640"/>
        <s v="Id1641"/>
        <s v="Id1642"/>
        <s v="Id1643"/>
        <s v="Id1644"/>
        <s v="Id1645"/>
        <s v="Id1646"/>
        <s v="Id1647"/>
        <s v="Id1648"/>
        <s v="Id1649"/>
        <s v="Id1650"/>
        <s v="Id1651"/>
        <s v="Id1652"/>
        <s v="Id1653"/>
        <s v="Id1654"/>
        <s v="Id1655"/>
        <s v="Id1656"/>
        <s v="Id1657"/>
        <s v="Id1658"/>
        <s v="Id1659"/>
        <s v="Id1660"/>
        <s v="Id1661"/>
        <s v="Id1662"/>
        <s v="Id1663"/>
        <s v="Id1664"/>
        <s v="Id1665"/>
        <s v="Id1666"/>
        <s v="Id1667"/>
        <s v="Id1668"/>
        <s v="Id1669"/>
        <s v="Id1670"/>
        <s v="Id1671"/>
        <s v="Id1672"/>
        <s v="Id1673"/>
        <s v="Id1674"/>
        <s v="Id1675"/>
        <s v="Id1676"/>
        <s v="Id1677"/>
        <s v="Id1678"/>
        <s v="Id1679"/>
        <s v="Id1680"/>
        <s v="Id1681"/>
        <s v="Id1682"/>
        <s v="Id1683"/>
        <s v="Id1684"/>
        <s v="Id1685"/>
        <s v="Id1686"/>
        <s v="Id1687"/>
        <s v="Id1688"/>
        <s v="Id1689"/>
        <s v="Id1690"/>
        <s v="Id1691"/>
        <s v="Id1692"/>
        <s v="Id1693"/>
        <s v="Id1694"/>
        <s v="Id1695"/>
        <s v="Id1696"/>
        <s v="Id1697"/>
        <s v="Id1698"/>
        <s v="Id1699"/>
        <s v="Id1700"/>
        <s v="Id1701"/>
        <s v="Id1702"/>
        <s v="Id1703"/>
        <s v="Id1704"/>
        <s v="Id1705"/>
        <s v="Id1706"/>
        <s v="Id1707"/>
        <s v="Id1708"/>
        <s v="Id1709"/>
        <s v="Id1710"/>
        <s v="Id1711"/>
        <s v="Id1712"/>
        <s v="Id1713"/>
        <s v="Id1714"/>
        <s v="Id1715"/>
        <s v="Id1716"/>
        <s v="Id1717"/>
        <s v="Id1718"/>
        <s v="Id1719"/>
        <s v="Id1720"/>
        <s v="Id1721"/>
        <s v="Id1722"/>
        <s v="Id1723"/>
        <s v="Id1724"/>
        <s v="Id1725"/>
        <s v="Id1726"/>
        <s v="Id1727"/>
        <s v="Id1728"/>
        <s v="Id1729"/>
        <s v="Id1730"/>
        <s v="Id1731"/>
        <s v="Id1732"/>
        <s v="Id1733"/>
        <s v="Id1734"/>
        <s v="Id1735"/>
        <s v="Id1736"/>
        <s v="Id1737"/>
        <s v="Id1738"/>
        <s v="Id1739"/>
        <s v="Id1740"/>
        <s v="Id1741"/>
        <s v="Id1742"/>
        <s v="Id1743"/>
        <s v="Id1744"/>
        <s v="Id1745"/>
        <s v="Id1746"/>
        <s v="Id1747"/>
        <s v="Id1748"/>
        <s v="Id1749"/>
        <s v="Id1750"/>
        <s v="Id1751"/>
        <s v="Id1752"/>
        <s v="Id1753"/>
        <s v="Id1754"/>
        <s v="Id1755"/>
        <s v="Id1756"/>
        <s v="Id1757"/>
        <s v="Id1758"/>
        <s v="Id1759"/>
        <s v="Id1760"/>
        <s v="Id1761"/>
        <s v="Id1762"/>
        <s v="Id1763"/>
        <s v="Id1764"/>
        <s v="Id1765"/>
        <s v="Id1766"/>
        <s v="Id1767"/>
        <s v="Id1768"/>
        <s v="Id1769"/>
        <s v="Id1770"/>
        <s v="Id1771"/>
        <s v="Id1772"/>
        <s v="Id1773"/>
        <s v="Id1774"/>
        <s v="Id1775"/>
        <s v="Id1776"/>
        <s v="Id1777"/>
        <s v="Id1778"/>
        <s v="Id1779"/>
        <s v="Id1780"/>
        <s v="Id1781"/>
        <s v="Id1782"/>
        <s v="Id1783"/>
        <s v="Id1784"/>
        <s v="Id1785"/>
        <s v="Id1786"/>
        <s v="Id1787"/>
        <s v="Id1788"/>
        <s v="Id1789"/>
        <s v="Id1790"/>
        <s v="Id1791"/>
        <s v="Id1792"/>
        <s v="Id1793"/>
        <s v="Id1794"/>
        <s v="Id1795"/>
        <s v="Id1796"/>
        <s v="Id1797"/>
        <s v="Id1798"/>
        <s v="Id1799"/>
        <s v="Id1800"/>
        <s v="Id1801"/>
        <s v="Id1802"/>
        <s v="Id1803"/>
        <s v="Id1804"/>
        <s v="Id1805"/>
        <s v="Id1806"/>
        <s v="Id1807"/>
        <s v="Id1808"/>
        <s v="Id1809"/>
        <s v="Id1810"/>
        <s v="Id1811"/>
        <s v="Id1812"/>
        <s v="Id1813"/>
        <s v="Id1814"/>
        <s v="Id1815"/>
        <s v="Id1816"/>
        <s v="Id1817"/>
        <s v="Id1818"/>
        <s v="Id1819"/>
        <s v="Id1820"/>
        <s v="Id1821"/>
        <s v="Id1822"/>
        <s v="Id1823"/>
        <s v="Id1824"/>
        <s v="Id1825"/>
        <s v="Id1826"/>
        <s v="Id1827"/>
        <s v="Id1828"/>
        <s v="Id1829"/>
        <s v="Id1830"/>
        <s v="Id1831"/>
        <s v="Id1832"/>
        <s v="Id1833"/>
        <s v="Id1834"/>
        <s v="Id1835"/>
        <s v="Id1836"/>
        <s v="Id1837"/>
        <s v="Id1838"/>
        <s v="Id1839"/>
        <s v="Id1840"/>
        <s v="Id1841"/>
        <s v="Id1842"/>
        <s v="Id1843"/>
        <s v="Id1844"/>
        <s v="Id1845"/>
        <s v="Id1846"/>
        <s v="Id1847"/>
        <s v="Id1848"/>
        <s v="Id1849"/>
        <s v="Id1850"/>
        <s v="Id1851"/>
        <s v="Id1852"/>
        <s v="Id1853"/>
        <s v="Id1854"/>
        <s v="Id1855"/>
        <s v="Id1856"/>
        <s v="Id1857"/>
        <s v="Id1858"/>
        <s v="Id1859"/>
        <s v="Id1860"/>
        <s v="Id1861"/>
        <s v="Id1862"/>
        <s v="Id1863"/>
        <s v="Id1864"/>
        <s v="Id1865"/>
        <s v="Id1866"/>
        <s v="Id1867"/>
        <s v="Id1868"/>
        <s v="Id1869"/>
        <s v="Id1870"/>
        <s v="Id1871"/>
        <s v="Id1872"/>
        <s v="Id1873"/>
        <s v="Id1874"/>
        <s v="Id1875"/>
        <s v="Id1876"/>
        <s v="Id1877"/>
        <s v="Id1878"/>
        <s v="Id1879"/>
        <s v="Id1880"/>
        <s v="Id1881"/>
        <s v="Id1882"/>
        <s v="Id1883"/>
        <s v="Id1884"/>
        <s v="Id1885"/>
        <s v="Id1886"/>
        <s v="Id1887"/>
        <s v="Id1888"/>
        <s v="Id1889"/>
        <s v="Id1890"/>
        <s v="Id1891"/>
        <s v="Id1892"/>
        <s v="Id1893"/>
        <s v="Id1894"/>
        <s v="Id1895"/>
        <s v="Id1896"/>
        <s v="Id1897"/>
        <s v="Id1898"/>
        <s v="Id1899"/>
        <s v="Id1900"/>
        <s v="Id1901"/>
        <s v="Id1902"/>
        <s v="Id1903"/>
        <s v="Id1904"/>
        <s v="Id1905"/>
        <s v="Id1906"/>
        <s v="Id1907"/>
        <s v="Id1908"/>
        <s v="Id1909"/>
        <s v="Id1910"/>
        <s v="Id1911"/>
        <s v="Id1912"/>
        <s v="Id1913"/>
        <s v="Id1914"/>
        <s v="Id1915"/>
        <s v="Id1916"/>
        <s v="Id1917"/>
        <s v="Id1918"/>
        <s v="Id1919"/>
        <s v="Id1920"/>
        <s v="Id1921"/>
        <s v="Id1922"/>
        <s v="Id1923"/>
        <s v="Id1924"/>
        <s v="Id1925"/>
        <s v="Id1926"/>
        <s v="Id1927"/>
        <s v="Id1928"/>
        <s v="Id1929"/>
        <s v="Id1930"/>
        <s v="Id1931"/>
        <s v="Id1932"/>
        <s v="Id1933"/>
        <s v="Id1934"/>
        <s v="Id1935"/>
        <s v="Id1936"/>
        <s v="Id1937"/>
        <s v="Id1938"/>
        <s v="Id1939"/>
        <s v="Id1940"/>
        <s v="Id1941"/>
        <s v="Id1942"/>
        <s v="Id1943"/>
        <s v="Id1944"/>
        <s v="Id1945"/>
        <s v="Id1946"/>
        <s v="Id1947"/>
        <s v="Id1948"/>
        <s v="Id1949"/>
        <s v="Id1950"/>
        <s v="Id1951"/>
        <s v="Id1952"/>
        <s v="Id1953"/>
        <s v="Id1954"/>
        <s v="Id1955"/>
        <s v="Id1956"/>
        <s v="Id1957"/>
        <s v="Id1958"/>
        <s v="Id1959"/>
        <s v="Id1960"/>
        <s v="Id1961"/>
        <s v="Id1962"/>
        <s v="Id1963"/>
        <s v="Id1964"/>
        <s v="Id1965"/>
        <s v="Id1966"/>
        <s v="Id1967"/>
        <s v="Id1968"/>
        <s v="Id1969"/>
        <s v="Id1970"/>
        <s v="Id1971"/>
        <s v="Id1972"/>
        <s v="Id1973"/>
        <s v="Id1974"/>
        <s v="Id1975"/>
        <s v="Id1976"/>
        <s v="Id1977"/>
        <s v="Id1978"/>
        <s v="Id1979"/>
        <s v="Id1980"/>
        <s v="Id1981"/>
        <s v="Id1982"/>
        <s v="Id1983"/>
        <s v="Id1984"/>
        <s v="Id1985"/>
        <s v="Id1986"/>
        <s v="Id1987"/>
        <s v="Id1988"/>
        <s v="Id1989"/>
        <s v="Id1990"/>
        <s v="Id1991"/>
        <s v="Id1992"/>
        <s v="Id1993"/>
        <s v="Id1994"/>
        <s v="Id1995"/>
        <s v="Id1996"/>
        <s v="Id1997"/>
        <s v="Id1998"/>
        <s v="Id1999"/>
        <s v="Id2000"/>
        <s v="Id2001"/>
        <s v="Id2002"/>
        <s v="Id2003"/>
        <s v="Id2004"/>
        <s v="Id2005"/>
        <s v="Id2006"/>
        <s v="Id2007"/>
        <s v="Id2008"/>
        <s v="Id2009"/>
        <s v="Id2010"/>
        <s v="Id2011"/>
        <s v="Id2012"/>
        <s v="Id2013"/>
        <s v="Id2014"/>
        <s v="Id2015"/>
        <s v="Id2016"/>
        <s v="Id2017"/>
        <s v="Id2018"/>
        <s v="Id2019"/>
        <s v="Id2020"/>
        <s v="Id2021"/>
        <s v="Id2022"/>
        <s v="Id2023"/>
        <s v="Id2024"/>
        <s v="Id2025"/>
        <s v="Id2026"/>
        <s v="Id2027"/>
        <s v="Id2028"/>
        <s v="Id2029"/>
        <s v="Id2030"/>
        <s v="Id2031"/>
        <s v="Id2032"/>
        <s v="Id2033"/>
        <s v="Id2034"/>
        <s v="Id2035"/>
        <s v="Id2036"/>
        <s v="Id2037"/>
        <s v="Id2038"/>
        <s v="Id2039"/>
        <s v="Id2040"/>
        <s v="Id2041"/>
        <s v="Id2042"/>
        <s v="Id2043"/>
        <s v="Id2044"/>
        <s v="Id2045"/>
        <s v="Id2046"/>
        <s v="Id2047"/>
        <s v="Id2048"/>
        <s v="Id2049"/>
        <s v="Id2050"/>
        <s v="Id2051"/>
        <s v="Id2052"/>
        <s v="Id2053"/>
        <s v="Id2054"/>
        <s v="Id2055"/>
        <s v="Id2056"/>
        <s v="Id2057"/>
        <s v="Id2058"/>
        <s v="Id2059"/>
        <s v="Id2060"/>
        <s v="Id2061"/>
        <s v="Id2062"/>
        <s v="Id2063"/>
        <s v="Id2064"/>
        <s v="Id2065"/>
        <s v="Id2066"/>
        <s v="Id2067"/>
        <s v="Id2068"/>
        <s v="Id2069"/>
        <s v="Id2070"/>
        <s v="Id2071"/>
        <s v="Id2072"/>
        <s v="Id2073"/>
        <s v="Id2074"/>
        <s v="Id2075"/>
        <s v="Id2076"/>
        <s v="Id2077"/>
        <s v="Id2078"/>
        <s v="Id2079"/>
        <s v="Id2080"/>
        <s v="Id2081"/>
        <s v="Id2082"/>
        <s v="Id2083"/>
        <s v="Id2084"/>
        <s v="Id2085"/>
        <s v="Id2086"/>
        <s v="Id2087"/>
        <s v="Id2088"/>
        <s v="Id2089"/>
        <s v="Id2090"/>
        <s v="Id2091"/>
        <s v="Id2092"/>
        <s v="Id2093"/>
        <s v="Id2094"/>
        <s v="Id2095"/>
        <s v="Id2096"/>
        <s v="Id2097"/>
        <s v="Id2098"/>
        <s v="Id2099"/>
        <s v="Id2100"/>
        <s v="Id2101"/>
        <s v="Id2102"/>
        <s v="Id2103"/>
        <s v="Id2104"/>
        <s v="Id2105"/>
        <s v="Id2106"/>
        <s v="Id2107"/>
        <s v="Id2108"/>
        <s v="Id2109"/>
        <s v="Id2110"/>
        <s v="Id2111"/>
        <s v="Id2112"/>
        <s v="Id2113"/>
        <s v="Id2114"/>
        <s v="Id2115"/>
        <s v="Id2116"/>
        <s v="Id2117"/>
        <s v="Id2118"/>
        <s v="Id2119"/>
        <s v="Id2120"/>
        <s v="Id2121"/>
        <s v="Id2122"/>
        <s v="Id2123"/>
        <s v="Id2124"/>
        <s v="Id2125"/>
        <s v="Id2126"/>
        <s v="Id2127"/>
        <s v="Id2128"/>
        <s v="Id2129"/>
        <s v="Id2130"/>
        <s v="Id2131"/>
        <s v="Id2132"/>
        <s v="Id2133"/>
        <s v="Id2134"/>
        <s v="Id2135"/>
        <s v="Id2136"/>
        <s v="Id2137"/>
        <s v="Id2138"/>
        <s v="Id2139"/>
        <s v="Id2140"/>
        <s v="Id2141"/>
        <s v="Id2142"/>
        <s v="Id2143"/>
        <s v="Id2144"/>
        <s v="Id2145"/>
        <s v="Id2146"/>
        <s v="Id2147"/>
        <s v="Id2148"/>
        <s v="Id2149"/>
        <s v="Id2150"/>
        <s v="Id2151"/>
        <s v="Id2152"/>
        <s v="Id2153"/>
        <s v="Id2154"/>
        <s v="Id2155"/>
        <s v="Id2156"/>
        <s v="Id2157"/>
        <s v="Id2158"/>
        <s v="Id2159"/>
        <s v="Id2160"/>
        <s v="Id2161"/>
        <s v="Id2162"/>
        <s v="Id2163"/>
        <s v="Id2164"/>
        <s v="Id2165"/>
        <s v="Id2166"/>
        <s v="Id2167"/>
        <s v="Id2168"/>
        <s v="Id2169"/>
        <s v="Id2170"/>
        <s v="Id2171"/>
        <s v="Id2172"/>
        <s v="Id2173"/>
        <s v="Id2174"/>
        <s v="Id2175"/>
        <s v="Id2176"/>
        <s v="Id2177"/>
        <s v="Id2178"/>
        <s v="Id2179"/>
        <s v="Id2180"/>
        <s v="Id2181"/>
        <s v="Id2182"/>
        <s v="Id2183"/>
        <s v="Id2184"/>
        <s v="Id2185"/>
        <s v="Id2186"/>
        <s v="Id2187"/>
        <s v="Id2188"/>
        <s v="Id2189"/>
        <s v="Id2190"/>
        <s v="Id2191"/>
        <s v="Id2192"/>
        <s v="Id2193"/>
        <s v="Id2194"/>
        <s v="Id2195"/>
        <s v="Id2196"/>
        <s v="Id2197"/>
        <s v="Id2198"/>
        <s v="Id2199"/>
        <s v="Id2200"/>
        <s v="Id2201"/>
        <s v="Id2202"/>
        <s v="Id2203"/>
        <s v="Id2204"/>
        <s v="Id2205"/>
        <s v="Id2206"/>
        <s v="Id2207"/>
        <s v="Id2208"/>
        <s v="Id2209"/>
        <s v="Id2210"/>
        <s v="Id2211"/>
        <s v="Id2212"/>
        <s v="Id2213"/>
        <s v="Id2214"/>
        <s v="Id2215"/>
        <s v="Id2216"/>
        <s v="Id2217"/>
        <s v="Id2218"/>
        <s v="Id2219"/>
        <s v="Id2220"/>
        <s v="Id2221"/>
        <s v="Id2222"/>
        <s v="Id2223"/>
        <s v="Id2224"/>
        <s v="Id2225"/>
        <s v="Id2226"/>
        <s v="Id2227"/>
        <s v="Id2228"/>
        <s v="Id2229"/>
        <s v="Id2230"/>
        <s v="Id2231"/>
        <s v="Id2232"/>
        <s v="Id2233"/>
        <s v="Id2234"/>
        <s v="Id2235"/>
        <s v="Id2236"/>
        <s v="Id2237"/>
        <s v="Id2238"/>
        <s v="Id2239"/>
        <s v="Id2240"/>
        <s v="Id2241"/>
        <s v="Id2242"/>
        <s v="Id2243"/>
        <s v="Id2244"/>
        <s v="Id2245"/>
        <s v="Id2246"/>
        <s v="Id2247"/>
        <s v="Id2248"/>
        <s v="Id2249"/>
        <s v="Id2250"/>
        <s v="Id2251"/>
        <s v="Id2252"/>
        <s v="Id2253"/>
        <s v="Id2254"/>
        <s v="Id2255"/>
        <s v="Id2256"/>
        <s v="Id2257"/>
        <s v="Id2258"/>
        <s v="Id2259"/>
        <s v="Id2260"/>
        <s v="Id2261"/>
        <s v="Id2262"/>
        <s v="Id2263"/>
        <s v="Id2264"/>
        <s v="Id2265"/>
        <s v="Id2266"/>
        <s v="Id2267"/>
        <s v="Id2268"/>
        <s v="Id2269"/>
        <s v="Id2270"/>
        <s v="Id2271"/>
        <s v="Id2272"/>
        <s v="Id2273"/>
        <s v="Id2274"/>
        <s v="Id2275"/>
        <s v="Id2276"/>
        <s v="Id2277"/>
        <s v="Id2278"/>
        <s v="Id2279"/>
        <s v="Id2280"/>
        <s v="Id2281"/>
        <s v="Id2282"/>
        <s v="Id2283"/>
        <s v="Id2284"/>
        <s v="Id2285"/>
        <s v="Id2286"/>
        <s v="Id2287"/>
        <s v="Id2288"/>
        <s v="Id2289"/>
        <s v="Id2290"/>
        <s v="Id2291"/>
        <s v="Id2292"/>
        <s v="Id2293"/>
        <s v="Id2294"/>
        <s v="Id2295"/>
        <s v="Id2296"/>
        <s v="Id2297"/>
        <s v="Id2298"/>
        <s v="Id2299"/>
        <s v="Id2300"/>
        <s v="Id2301"/>
        <s v="Id2302"/>
        <s v="Id2303"/>
        <s v="Id2304"/>
        <s v="Id2305"/>
        <s v="Id2306"/>
        <s v="Id2307"/>
        <s v="Id2308"/>
        <s v="Id2309"/>
        <s v="Id2310"/>
        <s v="Id2311"/>
        <s v="Id2312"/>
        <s v="Id2313"/>
        <s v="Id2314"/>
        <s v="Id2315"/>
        <s v="Id2316"/>
        <s v="Id2317"/>
        <s v="Id2318"/>
        <s v="Id2319"/>
        <s v="Id2320"/>
        <s v="Id2321"/>
        <s v="Id2322"/>
        <s v="Id2323"/>
        <s v="Id2324"/>
        <s v="Id2325"/>
        <s v="Id2326"/>
        <s v="Id2327"/>
        <s v="Id2328"/>
        <s v="Id2329"/>
        <s v="Id2330"/>
        <s v="Id2331"/>
        <s v="Id2332"/>
        <s v="Id2333"/>
        <s v="Id2334"/>
        <s v="Id2335"/>
      </sharedItems>
    </cacheField>
    <cacheField name="First Name" numFmtId="0">
      <sharedItems>
        <s v="Hawks"/>
        <s v="Lehner"/>
        <s v="Lu"/>
        <s v="Osborne"/>
        <s v="Kadala"/>
        <s v="Baker"/>
        <s v="Macpherson"/>
        <s v="Hallman"/>
        <s v="Moran"/>
        <s v="Benner"/>
        <s v="Fierro Vargas"/>
        <s v="Franz"/>
        <s v="Foster"/>
        <s v="Tenorio"/>
        <s v="Rios"/>
        <s v="Viau-Dupuis"/>
        <s v="Cronin"/>
        <s v="Noordstar"/>
        <s v="Boudalia"/>
        <s v="Flor"/>
        <s v="Fennon"/>
        <s v="Hribar"/>
        <s v="Tassello"/>
        <s v="Mauricette"/>
        <s v="Garcia"/>
        <s v="Airoldi"/>
        <s v="Cater-Cyker"/>
        <s v="Hamm"/>
        <s v="Cox"/>
        <s v="Sachrajda"/>
        <s v="Gareri"/>
        <s v="Welch"/>
        <s v="Prindiville"/>
        <s v="Kincaid"/>
        <s v="Bruestle"/>
        <s v="Lachance"/>
        <s v="Eason"/>
        <s v="Grummon"/>
        <s v="Vanwechel"/>
        <s v="Fisher"/>
        <s v="Jenkins"/>
        <s v="Peters"/>
        <s v="Aha"/>
        <s v="McElwain"/>
        <s v="Januszewski"/>
        <s v="Rohne"/>
        <s v="O'Grady"/>
        <s v="De Simone"/>
        <s v="Beckett"/>
        <s v="Sobrilsky"/>
        <s v="Wang"/>
        <s v="Campa"/>
        <s v="Clifford"/>
        <s v="Dalmata"/>
        <s v="Vishik"/>
        <s v="Schorr"/>
        <s v="Lusardi"/>
        <s v="Rayner"/>
        <s v="Voghel"/>
        <s v="Rieth"/>
        <s v="Gollotto"/>
        <s v="Dunn"/>
        <s v="Blitzer"/>
        <s v="Smith"/>
        <s v="Hyland"/>
        <s v="Ducharme"/>
        <s v="Johnson"/>
        <s v="Mutz"/>
        <s v="Lee"/>
        <s v="Turner"/>
        <s v="Rangel"/>
        <s v="Lacey"/>
        <s v="Stiger"/>
        <s v="Caldwell"/>
        <s v="Marmillod"/>
        <s v="Cloutier-Simons"/>
        <s v="Vegas"/>
        <s v="Cochran"/>
        <s v="Holtzapple"/>
        <s v="Meyer"/>
        <s v="Brickley"/>
        <s v="Magee"/>
        <s v="Thoma"/>
        <s v="Heagy"/>
        <s v="Regnier"/>
        <s v="Parendo"/>
        <s v="Schell"/>
        <s v="Driscoll"/>
        <s v="Mitchell"/>
        <s v="Cutler"/>
        <s v="Derian"/>
        <s v="Farina"/>
        <s v="Saunders"/>
        <s v="Kratz"/>
        <s v="Boland"/>
        <s v="Van Hout"/>
        <s v="Ramsey"/>
        <s v="Gage"/>
        <s v="Gollins"/>
        <s v="Benestad"/>
        <s v="Aviv"/>
        <s v="Burns"/>
        <s v="Maldonado"/>
        <s v="Yitref"/>
        <s v="Loudon-Brown"/>
        <s v="Sugathadasa"/>
        <s v="Ganley"/>
        <s v="Potter"/>
        <s v="Rasmussen"/>
        <s v="Robinson"/>
        <s v="Antonopoulos"/>
        <s v="Groner"/>
        <s v="Zywicki"/>
        <s v="Cardinal"/>
        <s v="Alleman"/>
        <s v="Stroffolino"/>
        <s v="Clubb"/>
        <s v="McGoogan"/>
        <s v="Keflezighi"/>
        <s v="Syed"/>
        <s v="Segal"/>
        <s v="Defranco"/>
        <s v="Kells"/>
        <s v="Lawton"/>
        <s v="Bejar"/>
        <s v="Navarro Castro"/>
        <s v="Tice"/>
        <s v="Wolf"/>
        <s v="Oppedal"/>
        <s v="Wright"/>
        <s v="Ellis"/>
        <s v="Taormina"/>
        <s v="Lynch"/>
        <s v="Tavella"/>
        <s v="Neufeld"/>
        <s v="Walhovd"/>
        <s v="Washburn"/>
        <s v="Mroz"/>
        <s v="Canaday"/>
        <s v="Atkins"/>
        <s v="Kropelnicki"/>
        <s v="Braund"/>
        <s v="Anderson"/>
        <s v="Bilbrey"/>
        <s v="Curtis"/>
        <s v="Bardeesy"/>
        <s v="Shanahan"/>
        <s v="Sutter"/>
        <s v="Yesian"/>
        <s v="Meers"/>
        <s v="Conlon"/>
        <s v="Arnstein"/>
        <s v="Jurek"/>
        <s v="Thill"/>
        <s v="Glaz"/>
        <s v="Sampson"/>
        <s v="Duliba"/>
        <s v="Tanguay"/>
        <s v="McClelland"/>
        <s v="Gorman"/>
        <s v="Nishimura"/>
        <s v="Brimble"/>
        <s v="Trenk"/>
        <s v="Wittmann"/>
        <s v="Tremblay"/>
        <s v="Scofield"/>
        <s v="Yost"/>
        <s v="Torphy"/>
        <s v="Busby"/>
        <s v="Nguyen"/>
        <s v="Hanley"/>
        <s v="Scheer"/>
        <s v="Rankin"/>
        <s v="Ricardi"/>
        <s v="Karkos"/>
        <s v="Price-Dierksen"/>
        <s v="Knispel"/>
        <s v="King"/>
        <s v="Samuelson"/>
        <s v="Fredsall"/>
        <s v="Eggleston"/>
        <s v="Palombaro"/>
        <s v="Silva"/>
        <s v="Bugala"/>
        <s v="Dublin"/>
        <s v="Cleland"/>
        <s v="Evans"/>
        <s v="Boyd"/>
        <s v="Roulier"/>
        <s v="Mullins"/>
        <s v="Hofmann"/>
        <s v="Garcia Garcia"/>
        <s v="Klecker"/>
        <s v="Cancre"/>
        <s v="Denucci"/>
        <s v="Saldana"/>
        <s v="Weinberg"/>
        <s v="Walsh"/>
        <s v="Pasten"/>
        <s v="LaBelle"/>
        <s v="Guzman"/>
        <s v="Turnbull"/>
        <s v="Aguero"/>
        <s v="Woodward"/>
        <s v="McElroy"/>
        <s v="Lopez"/>
        <s v="Cardosi"/>
        <s v="Looney"/>
        <s v="Zyryanov"/>
        <s v="Gavin"/>
        <s v="Littlefield"/>
        <s v="Shearer"/>
        <s v="Armstrong"/>
        <s v="Warriner"/>
        <s v="White"/>
        <s v="Cordaro"/>
        <s v="Hamilton"/>
        <s v="Duke"/>
        <s v="Malatesta"/>
        <s v="Hinrichsen"/>
        <s v="Lucan"/>
        <s v="Koch"/>
        <s v="O'Connor"/>
        <s v="Kampwerth"/>
        <s v="Federoff"/>
        <s v="Goya"/>
        <s v="Hodges"/>
        <s v="Erickson"/>
        <s v="Welleck"/>
        <s v="Polen"/>
        <s v="Hufstader"/>
        <s v="Doak"/>
        <s v="Noya"/>
        <s v="Heninger"/>
        <s v="Richardson"/>
        <s v="Deucher"/>
        <s v="Wilson"/>
        <s v="Hall"/>
        <s v="Reed"/>
        <s v="Frome"/>
        <s v="Creasy"/>
        <s v="Latimer"/>
        <s v="Wei"/>
        <s v="Hayes"/>
        <s v="Velardo"/>
        <s v="Kastes"/>
        <s v="Escorcia"/>
        <s v="Larscheid"/>
        <s v="O'Bannon"/>
        <s v="Ridgway"/>
        <s v="Black"/>
        <s v="Canton"/>
        <s v="Fine"/>
        <s v="Bui"/>
        <s v="Riepma"/>
        <s v="Inman"/>
        <s v="Kruzel"/>
        <s v="Lindsay"/>
        <s v="Land"/>
        <s v="Brecher"/>
        <s v="Debolt"/>
        <s v="Oswalt"/>
        <s v="Bulewich"/>
        <s v="Fukuda"/>
        <s v="Phillips"/>
        <s v="Maddison"/>
        <s v="Lockwood"/>
        <s v="Defilippi"/>
        <s v="Jackson"/>
        <s v="Ozahowski"/>
        <s v="Guthals"/>
        <s v="Yates"/>
        <s v="Lemos"/>
        <s v="Seynders"/>
        <s v="Walker"/>
        <s v="Lam"/>
        <s v="Sweigart"/>
        <s v="Sieczkowski"/>
        <s v="Jurgens"/>
        <s v="Hackman"/>
        <s v="Klarich"/>
        <s v="Schulten"/>
        <s v="Fagerstrom"/>
        <s v="Bien"/>
        <s v="Hess"/>
        <s v="Shaw"/>
        <s v="Williams"/>
        <s v="Menzies"/>
        <s v="Buehler"/>
        <s v="Degen"/>
        <s v="Arsenault"/>
        <s v="Hoff"/>
        <s v="Ashley"/>
        <s v="Rindahl"/>
        <s v="Clark"/>
        <s v="Irish"/>
        <s v="Dewitt"/>
        <s v="Hickman"/>
        <s v="Gonzalez"/>
        <s v="Difani"/>
        <s v="Widmann"/>
        <s v="Tunney"/>
        <s v="San Juan"/>
        <s v="Croll"/>
        <s v="Rolfes"/>
        <s v="Hinkle"/>
        <s v="Leuchanka"/>
        <s v="Ayr"/>
        <s v="Siegel"/>
        <s v="Penrose"/>
        <s v="Schuler"/>
        <s v="Stange"/>
        <s v="Roy"/>
        <s v="Potere"/>
        <s v="Podgurski"/>
        <s v="Diamond"/>
        <s v="Sallade"/>
        <s v="Zhang"/>
        <s v="Chatfield"/>
        <s v="Bruns"/>
        <s v="Yochum"/>
        <s v="Freeburn"/>
        <s v="Spencer"/>
        <s v="Jarosik"/>
        <s v="Heinzen"/>
        <s v="Kelley"/>
        <s v="Thacker"/>
        <s v="Jeseritz"/>
        <s v="Hohman"/>
        <s v="Hill"/>
        <s v="Kuepfer"/>
        <s v="Kaczmarek"/>
        <s v="Pitt"/>
        <s v="Lorton"/>
        <s v="Castaneda"/>
        <s v="Cherop"/>
        <s v="Howell"/>
        <s v="Palmer"/>
        <s v="Olson"/>
        <s v="Waldron"/>
        <s v="Stack"/>
        <s v="Sanchez Y Torres"/>
        <s v="Daniels"/>
        <s v="Pepp"/>
        <s v="Buechler"/>
        <s v="Buenting"/>
        <s v="Arcand"/>
        <s v="Kesack"/>
        <s v="Post"/>
        <s v="Dunne"/>
        <s v="Kilel"/>
        <s v="Nicholson"/>
        <s v="Susmann"/>
        <s v="Harsh"/>
        <s v="Pocasangre"/>
        <s v="Martinez Lopez"/>
        <s v="Riegel"/>
        <s v="Monson"/>
        <s v="Klubben"/>
        <s v="Mascaro"/>
        <s v="Norvell"/>
        <s v="Ornelas"/>
        <s v="Fitzpatrick"/>
        <s v="Bloomquist"/>
        <s v="Wick"/>
        <s v="Zappala"/>
        <s v="Earle"/>
        <s v="Majewski"/>
        <s v="Apfelbaum"/>
        <s v="Graham"/>
        <s v="Whitacre"/>
        <s v="Wegener"/>
        <s v="Collie"/>
        <s v="Murphy"/>
        <s v="Butters"/>
        <s v="Cook"/>
        <s v="Breen"/>
        <s v="Fitzsimons"/>
        <s v="Houle"/>
        <s v="Ray"/>
        <s v="Jennings"/>
        <s v="Fuller"/>
        <s v="Lovisek"/>
        <s v="Painter"/>
        <s v="Edwards"/>
        <s v="Liebl"/>
        <s v="Kasabian-Larson"/>
        <s v="Creamer"/>
        <s v="Kimbel"/>
        <s v="Livensparger"/>
        <s v="Grange"/>
        <s v="Nunlist"/>
        <s v="Cutter"/>
        <s v="Martin"/>
        <s v="Cooney"/>
        <s v="Bier"/>
        <s v="Muskopf"/>
        <s v="Sirak"/>
        <s v="Nelsen"/>
        <s v="Schallner"/>
        <s v="Dunlap"/>
        <s v="Messing"/>
        <s v="Bondell"/>
        <s v="Gaughan"/>
        <s v="Gruman"/>
        <s v="Whitlow"/>
        <s v="Sabo"/>
        <s v="Nazarian"/>
        <s v="Lerma"/>
        <s v="Dahl"/>
        <s v="Surtees"/>
        <s v="Spetner"/>
        <s v="Brandon"/>
        <s v="Eley"/>
        <s v="Sedicum"/>
        <s v="Markle"/>
        <s v="Kunz"/>
        <s v="Wimert"/>
        <s v="Peterson"/>
        <s v="Mercier"/>
        <s v="Laurie"/>
        <s v="Sekaquaptewa"/>
        <s v="Frash"/>
        <s v="Bukowski"/>
        <s v="Sandahl"/>
        <s v="Speight"/>
        <s v="Nielsen"/>
        <s v="Zirdok"/>
        <s v="Crudale"/>
        <s v="Koopmans"/>
        <s v="Milani"/>
        <s v="Kelly"/>
        <s v="Finelli"/>
        <s v="Beasley"/>
        <s v="Bedbury"/>
        <s v="Stemberger"/>
        <s v="Chebet"/>
        <s v="Muir"/>
        <s v="Yang"/>
        <s v="Gravel"/>
        <s v="Jamieson"/>
        <s v="Dufeal"/>
        <s v="Sansonetti"/>
        <s v="Koneazny"/>
        <s v="Glasson"/>
        <s v="Canitz"/>
        <s v="Li"/>
        <s v="Parsons"/>
        <s v="Raulli"/>
        <s v="Sevcik"/>
        <s v="Narang"/>
        <s v="Royston"/>
        <s v="Tieri"/>
        <s v="Whitney"/>
        <s v="Wandzilak"/>
        <s v="Valenzona"/>
        <s v="Young"/>
        <s v="Richards"/>
        <s v="Alexson"/>
        <s v="McKenna"/>
        <s v="Argall"/>
        <s v="Patchell"/>
        <s v="Catoggio"/>
        <s v="Adams"/>
        <s v="Windt"/>
        <s v="Ryan"/>
        <s v="Marion"/>
        <s v="Raffetto"/>
        <s v="Oehlke"/>
        <s v="Sudol"/>
        <s v="Van Es"/>
        <s v="Dolge"/>
        <s v="Marlier"/>
        <s v="Girard"/>
        <s v="Hubbard"/>
        <s v="Koester"/>
        <s v="Matthews"/>
        <s v="Rubinich"/>
        <s v="Alban"/>
        <s v="Corcoran"/>
        <s v="Sargent"/>
        <s v="Watson"/>
        <s v="Esponda"/>
        <s v="Krall"/>
        <s v="Poskin"/>
        <s v="Halfmann"/>
        <s v="Klapper"/>
        <s v="George"/>
        <s v="Hicks"/>
        <s v="Lockyer"/>
        <s v="Byrnes"/>
        <s v="Norris"/>
        <s v="Darda"/>
        <s v="Otstot"/>
        <s v="Bowley"/>
        <s v="Rogers"/>
        <s v="Mclaughlin"/>
        <s v="Ziegler"/>
        <s v="Hughey"/>
        <s v="Knast"/>
        <s v="Stob"/>
        <s v="Jensen"/>
        <s v="Mutter"/>
        <s v="Ahern"/>
        <s v="Chviruk"/>
        <s v="Meehan"/>
        <s v="Gammon"/>
        <s v="Franco"/>
        <s v="Patterson"/>
        <s v="Valdes"/>
        <s v="Craig"/>
        <s v="Whipple"/>
        <s v="Marton"/>
        <s v="Hildebrandt"/>
        <s v="Biggs"/>
        <s v="Shigezumi"/>
        <s v="Meineke"/>
        <s v="Ludington"/>
        <s v="Perrich"/>
        <s v="Cervantes"/>
        <s v="Andrews"/>
        <s v="Ruvalcaba"/>
        <s v="Stone"/>
        <s v="Campbell"/>
        <s v="Asher"/>
        <s v="Mazzotta"/>
        <s v="Huttl"/>
        <s v="Ferron"/>
        <s v="Colarusso"/>
        <s v="Pearlman"/>
        <s v="O'Mara"/>
        <s v="Niska"/>
        <s v="Schlich"/>
        <s v="Zidek"/>
        <s v="Ellgass"/>
        <s v="Lowe"/>
        <s v="Malone"/>
        <s v="Dumke"/>
        <s v="Strong"/>
        <s v="Ferguson"/>
        <s v="Klein"/>
        <s v="Eusebio"/>
        <s v="Szolosi"/>
        <s v="Butler"/>
        <s v="Fukuchi"/>
        <s v="Drucker"/>
        <s v="Aziz"/>
        <s v="Pak"/>
        <s v="Kieta"/>
        <s v="Velez"/>
        <s v="Bussiere"/>
        <s v="McCartney"/>
        <s v="Bambauer"/>
        <s v="Mertz"/>
        <s v="Mason"/>
        <s v="Rotich"/>
        <s v="Fetzer"/>
        <s v="Mattis"/>
        <s v="Balinsky"/>
        <s v="Reilly"/>
        <s v="Petry"/>
        <s v="Laleman"/>
        <s v="Colby"/>
        <s v="Wathke"/>
        <s v="Daly"/>
        <s v="Dillon"/>
        <s v="Pontes"/>
        <s v="Spies"/>
        <s v="Greig"/>
        <s v="Scott"/>
        <s v="Erlandson"/>
        <s v="Autrey"/>
        <s v="Michalski"/>
        <s v="Grillo"/>
        <s v="Coronado"/>
        <s v="Dewine"/>
        <s v="Carman"/>
        <s v="Neems"/>
        <s v="Pesyna"/>
        <s v="Meling"/>
        <s v="Widlowski"/>
        <s v="Nadar"/>
        <s v="Leedham"/>
        <s v="Haglund"/>
        <s v="Mills"/>
        <s v="Drnjevich"/>
        <s v="Clay"/>
        <s v="Marbury"/>
        <s v="Coon"/>
        <s v="Vanttinen"/>
        <s v="Garges"/>
        <s v="Rivel"/>
        <s v="Lawson"/>
        <s v="Cale"/>
        <s v="Stewart"/>
        <s v="Drotz"/>
        <s v="Mutai"/>
        <s v="Lovlien"/>
        <s v="Stoney"/>
        <s v="Markert"/>
        <s v="McLucas"/>
        <s v="Erwin"/>
        <s v="Otsuka"/>
        <s v="Myers"/>
        <s v="Cote"/>
        <s v="Ehrhardt"/>
        <s v="Petersen"/>
        <s v="Ertel"/>
        <s v="Lanza"/>
        <s v="Picklesimer"/>
        <s v="Giles"/>
        <s v="Harmon"/>
        <s v="Pennings"/>
        <s v="Tseronis"/>
        <s v="Aliff"/>
        <s v="Willenberg"/>
        <s v="Millett"/>
        <s v="Haley"/>
        <s v="Ackerman"/>
        <s v="Valdez"/>
        <s v="Michaud"/>
        <s v="Gunnink"/>
        <s v="Knight"/>
        <s v="Grosscup"/>
        <s v="Koniuch"/>
        <s v="Heitzman"/>
        <s v="Tatton"/>
        <s v="Flanagan"/>
        <s v="Funk"/>
        <s v="Davenport"/>
        <s v="Lindbloom"/>
        <s v="Wijayaratne"/>
        <s v="Ainsworth"/>
        <s v="Gayagoy"/>
        <s v="Fitzmaurice"/>
        <s v="Rodriguez"/>
        <s v="Tsoucas"/>
        <s v="Muhly"/>
        <s v="Lund"/>
        <s v="Battaglino"/>
        <s v="Pena"/>
        <s v="Thomason"/>
        <s v="Hancox"/>
        <s v="Canarecci"/>
        <s v="Toupin"/>
        <s v="Mulley"/>
        <s v="Parry"/>
        <s v="Mason Cox"/>
        <s v="Thompson"/>
        <s v="Nelson"/>
        <s v="Forte"/>
        <s v="Corona Iturriaga"/>
        <s v="McCollum"/>
        <s v="Hevner"/>
        <s v="Looi"/>
        <s v="Power"/>
        <s v="Routon"/>
        <s v="Dochelli"/>
        <s v="Gillespie"/>
        <s v="Oskvig"/>
        <s v="Holland-Stergar"/>
        <s v="Arai"/>
        <s v="Olausson"/>
        <s v="Wagner"/>
        <s v="Delong"/>
        <s v="Mehech"/>
        <s v="Machiela"/>
        <s v="Dupere"/>
        <s v="Iandolo"/>
        <s v="Ito"/>
        <s v="Barry"/>
        <s v="Boyce"/>
        <s v="Lin"/>
        <s v="Nalven"/>
        <s v="Bourgeois"/>
        <s v="Orloff"/>
        <s v="Ramirez"/>
        <s v="Fouquet"/>
        <s v="McPhillips"/>
        <s v="Burgin"/>
        <s v="Roberts"/>
        <s v="Nemec"/>
        <s v="Appman"/>
        <s v="Glotzbach"/>
        <s v="Tenforde"/>
        <s v="Stanley Torres"/>
        <s v="Vandongen"/>
        <s v="Liebald"/>
        <s v="Holte"/>
        <s v="Bartlett"/>
        <s v="Bergman"/>
        <s v="Aitken"/>
        <s v="Berger"/>
        <s v="Richey"/>
        <s v="Trotter"/>
        <s v="Chavez"/>
        <s v="Orifice"/>
        <s v="Farkash"/>
        <s v="Crawford"/>
        <s v="Sittlington"/>
        <s v="Silbert"/>
        <s v="Carrique"/>
        <s v="Kosla"/>
        <s v="Parker"/>
        <s v="Horton"/>
        <s v="Boller"/>
        <s v="Olaru"/>
        <s v="Prescott"/>
        <s v="Hines"/>
        <s v="Blanton"/>
        <s v="Bustamante"/>
        <s v="McCann"/>
        <s v="Schmole"/>
        <s v="Barber"/>
        <s v="Reichmann"/>
        <s v="Cavatorta"/>
        <s v="Yaeger"/>
        <s v="Hughes"/>
        <s v="Donahue"/>
        <s v="Greenwell"/>
        <s v="Steele"/>
        <s v="Gunter"/>
        <s v="McDonough"/>
        <s v="Sweetland"/>
        <s v="Hammersmith"/>
        <s v="French"/>
        <s v="Garbe"/>
        <s v="Duncan"/>
        <s v="Wallace"/>
        <s v="Tillman"/>
        <s v="Taylor"/>
        <s v="McSween"/>
        <s v="Schubert"/>
        <s v="Lalanne"/>
        <s v="Arellano"/>
        <s v="Charette"/>
        <s v="Pena Reyes"/>
        <s v="Broderick"/>
        <s v="Summers"/>
        <s v="Zhou"/>
        <s v="Clarke-Ames"/>
        <s v="Staton"/>
        <s v="Forster"/>
        <s v="Monaghan"/>
        <s v="Kawamoto"/>
        <s v="Dicharry"/>
        <s v="Berry"/>
        <s v="Porfirio"/>
        <s v="Thind"/>
        <s v="Horn"/>
        <s v="Sabadosa"/>
        <s v="Casady"/>
        <s v="Ahokas"/>
        <s v="Hebert"/>
        <s v="Fair"/>
        <s v="Swenson"/>
        <s v="Revenis"/>
        <s v="Engnes"/>
        <s v="Wiltse"/>
        <s v="Fernandez"/>
        <s v="Pinney"/>
        <s v="Levy"/>
        <s v="Takeda"/>
        <s v="Burke"/>
        <s v="Duarte"/>
        <s v="Nice"/>
        <s v="Windler"/>
        <s v="Jones"/>
        <s v="Stevenson"/>
        <s v="Humphrey"/>
        <s v="Payne"/>
        <s v="Hails"/>
        <s v="Proctor"/>
        <s v="Gresh"/>
        <s v="Anis"/>
        <s v="Swartz"/>
        <s v="Schluneker"/>
        <s v="Bellemare"/>
        <s v="Vitalo"/>
        <s v="Marshall"/>
        <s v="Pittaway"/>
        <s v="Bill"/>
        <s v="Antrim"/>
        <s v="Doolittle-Crider"/>
        <s v="Ruhlman"/>
        <s v="Uchiyama"/>
        <s v="Desota"/>
        <s v="Edmonds"/>
        <s v="Otto"/>
        <s v="Kurt"/>
        <s v="Duhaime"/>
        <s v="Swann"/>
        <s v="Burton"/>
        <s v="Joslyn"/>
        <s v="Bennie"/>
        <s v="Kanyane"/>
        <s v="McFadden"/>
        <s v="Connolly"/>
        <s v="Merino"/>
        <s v="Baird"/>
        <s v="Locatelli"/>
        <s v="Brake"/>
        <s v="Jacobs"/>
        <s v="Vaught"/>
        <s v="Monteleone"/>
        <s v="Verdugo"/>
        <s v="Sellers"/>
        <s v="Bowman"/>
        <s v="Marley"/>
        <s v="Grey"/>
        <s v="O'Rourke"/>
        <s v="Fatehali"/>
        <s v="Piza-Taylor"/>
        <s v="Cavanaugh"/>
        <s v="Amako"/>
        <s v="Musa"/>
        <s v="Phillippi"/>
        <s v="Hoskins"/>
        <s v="Imbalzano Zegar"/>
        <s v="Triedman"/>
        <s v="Lovuolo"/>
        <s v="Chung"/>
        <s v="Newsom"/>
        <s v="Harrington"/>
        <s v="Hoffman"/>
        <s v="Van Vugt"/>
        <s v="Feehley"/>
        <s v="Ashworth"/>
        <s v="Hansen"/>
        <s v="Czyz"/>
        <s v="Bauder"/>
        <s v="Mendoza"/>
        <s v="Glass"/>
        <s v="Butcher"/>
        <s v="Traiser"/>
        <s v="Mudy-Mader"/>
        <s v="Woo"/>
        <s v="Sheppard"/>
        <s v="Doran"/>
        <s v="Labrosse"/>
        <s v="Thomas"/>
        <s v="Lesniak"/>
        <s v="Prowse"/>
        <s v="Seigel"/>
        <s v="Blas"/>
        <s v="Simpson"/>
        <s v="Gierman"/>
        <s v="Jeuland"/>
        <s v="Chorney"/>
        <s v="Rook"/>
        <s v="Chin"/>
        <s v="Savage"/>
        <s v="Hitchings"/>
        <s v="Truitt"/>
        <s v="Chang"/>
        <s v="Frey"/>
        <s v="Krishna"/>
        <s v="Maher"/>
        <s v="Boivin"/>
        <s v="McAlister"/>
        <s v="Akhmedova"/>
        <s v="Tucker"/>
        <s v="Gramelspacher"/>
        <s v="Goldsmith"/>
        <s v="Tranter"/>
        <s v="Tu"/>
        <s v="Kaczka"/>
        <s v="Hunter"/>
        <s v="Ashby"/>
        <s v="Ausen"/>
        <s v="O'Leary"/>
        <s v="Scoville"/>
        <s v="Kaus"/>
        <s v="Rainey"/>
        <s v="Rasch"/>
        <s v="Plunkett"/>
        <s v="Gusmer"/>
        <s v="Loftus"/>
        <s v="Alvarez"/>
        <s v="Petersson"/>
        <s v="Liaw"/>
        <s v="Tripaldi"/>
        <s v="Endara"/>
        <s v="Valle"/>
        <s v="Germain"/>
        <s v="Finecey"/>
        <s v="Roe"/>
        <s v="Webb"/>
        <s v="Stocker"/>
        <s v="Jacobson"/>
        <s v="Goodwin"/>
        <s v="Brock"/>
        <s v="Papp"/>
        <s v="Siragusa"/>
        <s v="Pizarro"/>
        <s v="Strange"/>
        <s v="Eidinger"/>
        <s v="Ginsburg"/>
        <s v="Truex"/>
        <s v="Higgins"/>
        <s v="McCurdy"/>
        <s v="Varner"/>
        <s v="Dahmen"/>
        <s v="Fraser"/>
        <s v="Deeg"/>
        <s v="Robertson"/>
        <s v="Peck"/>
        <s v="Burger"/>
        <s v="Blain"/>
        <s v="Winters"/>
        <s v="McCue"/>
        <s v="Webster"/>
        <s v="Chiappone"/>
        <s v="Opie"/>
        <s v="Donnelly"/>
        <s v="Rall"/>
        <s v="Chen"/>
        <s v="Tufaro"/>
        <s v="Susedik"/>
        <s v="Deady"/>
        <s v="Schaefer"/>
        <s v="D'Alessandro"/>
        <s v="Wyss"/>
        <s v="Rose"/>
        <s v="Hopper"/>
        <s v="Finneran"/>
        <s v="Basham"/>
        <s v="Oscal"/>
        <s v="Craft"/>
        <s v="Kebede"/>
        <s v="Strobel"/>
        <s v="Dalton"/>
        <s v="Morimoto"/>
        <s v="Manlove"/>
        <s v="Madzik"/>
        <s v="Hobson"/>
        <s v="Reyes"/>
        <s v="Tierney"/>
        <s v="Gabris"/>
        <s v="Howard"/>
        <s v="Kallay"/>
        <s v="Leguizamo"/>
        <s v="Escartin"/>
        <s v="Chorey"/>
        <s v="McVay"/>
        <s v="Vinson"/>
        <s v="Astrike-Davis"/>
        <s v="Harder"/>
        <s v="Bell"/>
        <s v="Dawes"/>
        <s v="Larios"/>
        <s v="Yaremczuk"/>
        <s v="Eversman"/>
        <s v="Hickory"/>
        <s v="Mooney"/>
        <s v="Craighead"/>
        <s v="Gardner"/>
        <s v="Lohrenz"/>
        <s v="Demise"/>
        <s v="Guitard"/>
        <s v="Navas"/>
        <s v="Ptucha"/>
        <s v="Kirouac"/>
        <s v="Toews"/>
        <s v="Perry"/>
        <s v="Kretz"/>
        <s v="Hempel"/>
        <s v="McBroom"/>
        <s v="Yoo"/>
        <s v="Rand"/>
        <s v="Wolfe"/>
        <s v="Vance"/>
        <s v="Burnett"/>
        <s v="Clason"/>
        <s v="Pietz"/>
        <s v="Tegenkamp"/>
        <s v="Dover"/>
        <s v="Dockemeyer"/>
        <s v="Harel"/>
        <s v="Aguila"/>
        <s v="Vallejo Sarmiento"/>
        <s v="Beisheim"/>
        <s v="Lenhoff"/>
        <s v="Wehrwein"/>
        <s v="Markowitz"/>
        <s v="Vos"/>
        <s v="McLeod"/>
        <s v="Balcom"/>
        <s v="Dirth"/>
        <s v="Inglish"/>
        <s v="Massa-Musiak"/>
        <s v="Bailey"/>
        <s v="Jacoby"/>
        <s v="Crimmings"/>
        <s v="Crane"/>
        <s v="Swartzfager"/>
        <s v="Clevenger"/>
        <s v="Reichardt"/>
        <s v="Morton"/>
        <s v="Sunstrum"/>
        <s v="Frownfelter"/>
        <s v="Richter"/>
        <s v="England"/>
        <s v="McLean"/>
        <s v="Lane"/>
        <s v="Vonachen"/>
        <s v="Kidwell"/>
        <s v="Betancourth"/>
        <s v="Henstrom"/>
        <s v="Pereira"/>
        <s v="Brown"/>
        <s v="Reasoner"/>
        <s v="Carver"/>
        <s v="Borror"/>
        <s v="Saad"/>
        <s v="Paul"/>
        <s v="Trail"/>
        <s v="Benton"/>
        <s v="Bauman"/>
        <s v="Bakula"/>
        <s v="Davis"/>
        <s v="Weiler"/>
        <s v="Schaaf"/>
        <s v="Sack"/>
        <s v="Chenard"/>
        <s v="Williamson"/>
        <s v="Dollas"/>
        <s v="Sprague"/>
        <s v="Michell"/>
        <s v="Datwyler"/>
        <s v="Mead"/>
        <s v="Kennedy"/>
        <s v="Czech"/>
        <s v="O'Brien"/>
        <s v="Bachman"/>
        <s v="Bednar"/>
        <s v="Daye"/>
        <s v="Clarke"/>
        <s v="Koren"/>
        <s v="Kuramoto"/>
        <s v="Lynn"/>
        <s v="Dierksen"/>
        <s v="Zoeller"/>
        <s v="Flesch"/>
        <s v="Maltby"/>
        <s v="Custance"/>
        <s v="Choi"/>
        <s v="Barnett"/>
        <s v="Proulx"/>
        <s v="Lundine"/>
        <s v="Paullin"/>
        <s v="Delucia"/>
        <s v="Valentine"/>
        <s v="Mohara"/>
        <s v="Fairbrother"/>
        <s v="Fagan"/>
        <s v="Toth"/>
        <s v="Guinn"/>
        <s v="Diviney"/>
        <s v="Marlatt"/>
        <s v="Ohler"/>
        <s v="Mossler"/>
        <s v="Segall"/>
        <s v="Sprieser"/>
        <s v="Blanco"/>
        <s v="Sheptock"/>
        <s v="Chruniak"/>
        <s v="Miller"/>
        <s v="Theis"/>
        <s v="Sadler"/>
        <s v="Auger"/>
        <s v="Steadman"/>
        <s v="McCarron"/>
        <s v="Roecker"/>
        <s v="Giumarra"/>
        <s v="Bower"/>
        <s v="Capriccioso"/>
        <s v="Starbuck"/>
        <s v="McMahon"/>
        <s v="Rissell"/>
        <s v="Kromroy"/>
        <s v="Manfredi"/>
        <s v="Manwaring"/>
        <s v="Tomaszewski"/>
        <s v="Gannon"/>
        <s v="Frye"/>
        <s v="Currier"/>
        <s v="Whittendale"/>
        <s v="Rixe"/>
        <s v="Ballon-Landa"/>
        <s v="Zaferos"/>
        <s v="Evans Marke"/>
        <s v="Samland"/>
        <s v="Shapiro"/>
        <s v="Snitzer"/>
        <s v="Herra Arroyo"/>
        <s v="Watters"/>
        <s v="Steele-Belkin"/>
        <s v="Christensen"/>
        <s v="Hodge"/>
        <s v="Rusterholz"/>
        <s v="Lafrance"/>
        <s v="Hallis"/>
        <s v="Salowitz"/>
        <s v="Blake"/>
        <s v="Langerak"/>
        <s v="Bonilla"/>
        <s v="Ciabattoni"/>
        <s v="Escanero Palmer"/>
        <s v="Osmark"/>
        <s v="Warwick"/>
        <s v="Magnuson"/>
        <s v="Marsh"/>
        <s v="Kari"/>
        <s v="Standiford"/>
        <s v="Sherwin"/>
        <s v="Blekeli"/>
        <s v="Vangampleare"/>
        <s v="Hiatt"/>
        <s v="Tadesse"/>
        <s v="Jaswell"/>
        <s v="Phillips-Cook"/>
        <s v="Desruisseaux"/>
        <s v="Ripp"/>
        <s v="Harris"/>
        <s v="Shafer"/>
        <s v="Hemesath"/>
        <s v="Vinci"/>
        <s v="Diamond-Husmann"/>
        <s v="Soto"/>
        <s v="Patrick"/>
        <s v="Dacko"/>
        <s v="Glassey"/>
        <s v="Frechette"/>
        <s v="Benitez"/>
        <s v="Gauthier"/>
        <s v="Fazioli"/>
        <s v="Dannenhauer"/>
        <s v="McComb"/>
        <s v="Sambasivam"/>
        <s v="Maina"/>
        <s v="Keshian"/>
        <s v="Maas"/>
        <s v="Sinasac"/>
        <s v="Van De Kamp"/>
        <s v="Ruffo"/>
        <s v="Long"/>
        <s v="Rohde"/>
        <s v="Bonzi"/>
        <s v="Moore"/>
        <s v="McGrane"/>
        <s v="Stepnowski"/>
        <s v="Merkle"/>
        <s v="Vigneron"/>
        <s v="Mucci"/>
        <s v="MacDonald"/>
        <s v="Deng"/>
        <s v="De Mata"/>
        <s v="Strickland"/>
        <s v="Cheney"/>
        <s v="Godoy"/>
        <s v="Rider"/>
        <s v="Walters"/>
        <s v="Leboeuf"/>
        <s v="Scheibel"/>
        <s v="Ritter"/>
        <s v="Pretot"/>
        <s v="Willsey"/>
        <s v="Roach"/>
        <s v="Jacobsen"/>
        <s v="O'Hora"/>
        <s v="Amato"/>
        <s v="Wegner"/>
        <s v="Bokun"/>
        <s v="Ainsley"/>
        <s v="Overpeck"/>
        <s v="Levine"/>
        <s v="Jean"/>
        <s v="Wild"/>
        <s v="Tabor"/>
        <s v="Steffen"/>
        <s v="Tadich"/>
        <s v="Christenson"/>
        <s v="Shell"/>
        <s v="Rao"/>
        <s v="Gomez"/>
        <s v="Hemingway"/>
        <s v="Pett"/>
        <s v="Meingast"/>
        <s v="McCarthy"/>
        <s v="Boyle"/>
        <s v="Gundersen"/>
        <s v="Wolswinkel"/>
        <s v="Bomberger"/>
        <s v="Lapierre"/>
        <s v="Beaty"/>
        <s v="Hammer"/>
        <s v="Randolph"/>
        <s v="Masterson"/>
        <s v="Friess"/>
        <s v="Mantoni"/>
        <s v="Bodeen"/>
        <s v="McPherson"/>
        <s v="Palko"/>
        <s v="Breathitt"/>
        <s v="Evora"/>
        <s v="Fischer"/>
        <s v="Deba"/>
        <s v="Leloup"/>
        <s v="Labare"/>
        <s v="Arouca"/>
        <s v="Reese"/>
        <s v="McCloskey"/>
        <s v="Tedsen"/>
        <s v="Koehlinger"/>
        <s v="Pielechaty"/>
        <s v="Korhonen"/>
        <s v="Kehr"/>
        <s v="Montagna"/>
        <s v="M√ºller"/>
        <s v="Sidebottom"/>
        <s v="Morris"/>
        <s v="Chaisson"/>
        <s v="Pigott"/>
        <s v="Cochrane"/>
        <s v="Armitage"/>
        <s v="Shen"/>
        <s v="O'Kelly"/>
        <s v="Huff"/>
        <s v="Dye"/>
        <s v="Willard"/>
        <s v="D'Addario"/>
        <s v="Buchanan"/>
        <s v="Waterson"/>
        <s v="Piras"/>
        <s v="Landberg"/>
        <s v="Flynn"/>
        <s v="Bishop"/>
        <s v="Devitt"/>
        <s v="Tramontano"/>
        <s v="Davidson"/>
        <s v="McGraw"/>
        <s v="Fellure"/>
        <s v="Sanford"/>
        <s v="Wrenn"/>
        <s v="Lindsey"/>
        <s v="Krueger"/>
        <s v="Babler"/>
        <s v="Brezenski"/>
        <s v="Marschner"/>
        <s v="Montez"/>
        <s v="Hurt"/>
        <s v="Garey"/>
        <s v="Reddy"/>
        <s v="Mueller"/>
        <s v="Julia"/>
        <s v="Uribe"/>
        <s v="Hand"/>
        <s v="Mac-Thiong"/>
        <s v="Steidl"/>
        <s v="Alderfer"/>
        <s v="Ryland"/>
        <s v="Bethea"/>
        <s v="Blois"/>
        <s v="Dayton"/>
        <s v="Cloud"/>
        <s v="Betournay"/>
        <s v="Temple"/>
        <s v="Rollie"/>
        <s v="Roybal"/>
        <s v="Turgeon"/>
        <s v="Deingenis"/>
        <s v="Gibbs"/>
        <s v="Trom"/>
        <s v="Sizer"/>
        <s v="Ellison"/>
        <s v="Sulkowski"/>
        <s v="Maringo"/>
        <s v="Lattin"/>
        <s v="Deblander"/>
        <s v="O'Neill"/>
        <s v="Stanek"/>
        <s v="Manning"/>
        <s v="Barrera Munoz"/>
        <s v="Schauwaers"/>
        <s v="Hartman"/>
        <s v="Fire"/>
        <s v="Waliaula"/>
        <s v="Blackshear"/>
        <s v="Nettik"/>
        <s v="Novales"/>
        <s v="Rosauer"/>
        <s v="Ryder"/>
        <s v="Larsen"/>
        <s v="Keate"/>
        <s v="Starosciak"/>
        <s v="Henderson"/>
        <s v="Winkelman"/>
        <s v="Monette"/>
        <s v="Kramer"/>
        <s v="Goldstein"/>
        <s v="Barrett"/>
        <s v="Irwin"/>
        <s v="Glenn"/>
        <s v="O'Meara"/>
        <s v="Budrow"/>
        <s v="Douglas"/>
        <s v="Tecklenburg"/>
        <s v="Schenck"/>
        <s v="Blendell"/>
        <s v="Parodi"/>
        <s v="Morgan"/>
        <s v="Linden"/>
        <s v="Horning"/>
        <s v="Goode"/>
        <s v="Doden"/>
        <s v="Groff"/>
        <s v="Kuehler"/>
        <s v="Gibby"/>
        <s v="Busa"/>
        <s v="Moyo"/>
        <s v="Ash"/>
        <s v="Do Prado"/>
        <s v="Dever"/>
        <s v="Horvath"/>
        <s v="Danner"/>
        <s v="Weiss"/>
        <s v="D'Andrea"/>
        <s v="Olesky"/>
        <s v="Whitcraft"/>
        <s v="Salazar"/>
        <s v="Todd"/>
        <s v="Pond"/>
        <s v="Egan"/>
        <s v="Bersani"/>
        <s v="Creech"/>
        <s v="Sudres"/>
        <s v="Couture"/>
        <s v="Patronick"/>
        <s v="Depasquale"/>
        <s v="Lavergne"/>
        <s v="Kawakami"/>
        <s v="Gonsalves"/>
        <s v="Aure"/>
        <s v="Mattingly"/>
        <s v="Stelpflug"/>
        <s v="Sanchez Antognini"/>
        <s v="Condon"/>
        <s v="Magato"/>
        <s v="Dombrowski"/>
        <s v="Ohara"/>
        <s v="Cifuentes Fetiva"/>
        <s v="Keno"/>
        <s v="Bruce"/>
        <s v="Lorch"/>
        <s v="Sullivan"/>
        <s v="Cave"/>
        <s v="Gudenkauf"/>
        <s v="Holley"/>
        <s v="Kemble"/>
        <s v="Bentley"/>
        <s v="Bellucci"/>
        <s v="Collins"/>
        <s v="Gillman"/>
        <s v="West"/>
        <s v="Chida"/>
        <s v="Reisenauer"/>
        <s v="Rosenberg-Wohl"/>
        <s v="Theriault"/>
        <s v="Manuel"/>
        <s v="Demko"/>
        <s v="Battaglia"/>
        <s v="Follo"/>
        <s v="Barana"/>
        <s v="Lysaght"/>
        <s v="Chalmers"/>
        <s v="Delfidio"/>
        <s v="Cummings"/>
        <s v="Schroegel"/>
        <s v="Casey"/>
        <s v="Randall"/>
        <s v="Doyon"/>
        <s v="Sankey"/>
        <s v="Stilgenbauer"/>
        <s v="Jaskiewicz"/>
        <s v="Deppen"/>
        <s v="Hine"/>
        <s v="Mathews"/>
        <s v="Yabu"/>
        <s v="Strang"/>
        <s v="Frank"/>
        <s v="Shanley"/>
        <s v="Mancebo Garcia"/>
        <s v="Keehan"/>
        <s v="Mahaney"/>
        <s v="Nolan"/>
        <s v="Sobrino"/>
        <s v="Gennaro"/>
        <s v="Mayer"/>
        <s v="Becker"/>
        <s v="Platt"/>
        <s v="Brodeur"/>
        <s v="Knight Pech"/>
        <s v="Jubinski"/>
        <s v="Wall"/>
        <s v="McKay"/>
        <s v="Oh"/>
        <s v="Kessell"/>
        <s v="Hidalgo Zambrano"/>
        <s v="Caprario"/>
        <s v="Wong"/>
        <s v="Lea"/>
        <s v="Quigley"/>
        <s v="Korir"/>
        <s v="Downs"/>
        <s v="Zywek"/>
        <s v="Faulkner"/>
        <s v="Erspamer"/>
        <s v="Addison"/>
        <s v="Wu"/>
        <s v="Bosl"/>
        <s v="Goldberg"/>
        <s v="Johnston"/>
        <s v="Keating"/>
        <s v="Duhon"/>
        <s v="Briseno"/>
        <s v="Besse"/>
        <s v="Shillings"/>
        <s v="Tate"/>
        <s v="Hengoed"/>
        <s v="Aller"/>
        <s v="Pisano"/>
        <s v="Sanca"/>
        <s v="Bond"/>
        <s v="Carron"/>
        <s v="Ellwanger"/>
        <s v="Hanson"/>
        <s v="Counts"/>
        <s v="Carson"/>
        <s v="Haines"/>
        <s v="Schnabel"/>
        <s v="Simon"/>
        <s v="Arciniaga"/>
        <s v="Lizak"/>
        <s v="Howery"/>
        <s v="Crain"/>
        <s v="Hotze"/>
        <s v="Chauhan"/>
        <s v="Raab"/>
        <s v="McKown"/>
        <s v="Schiemann"/>
        <s v="Cress"/>
        <s v="Mawson"/>
        <s v="Wigginton"/>
        <s v="Schroeder"/>
        <s v="Leonard"/>
        <s v="Tissue"/>
        <s v="Wood"/>
        <s v="Denny"/>
        <s v="Testa"/>
        <s v="Buchholtz"/>
        <s v="Hoyt"/>
        <s v="Cabada"/>
        <s v="Lobaciute"/>
        <s v="Oberndorfer"/>
        <s v="Hetherington"/>
        <s v="Murray"/>
        <s v="Higden"/>
        <s v="Rediger"/>
        <s v="Grise"/>
        <s v="Skildum"/>
        <s v="Fischer-Daly"/>
        <s v="Rudder"/>
        <s v="Cartmell"/>
        <s v="Troland"/>
        <s v="Berg"/>
        <s v="Engtrakul"/>
        <s v="Leonhardt"/>
        <s v="Goetz"/>
        <s v="Cacharelis"/>
        <s v="Kariolis"/>
        <s v="Zelwin"/>
        <s v="Bannon"/>
        <s v="Vetter"/>
        <s v="Jablonski"/>
        <s v="Jakubowitch"/>
        <s v="Altshuler"/>
        <s v="Ugarte"/>
        <s v="Tusso"/>
        <s v="Landry"/>
        <s v="McDonald"/>
        <s v="Larue"/>
        <s v="Marcus"/>
        <s v="Daubert"/>
        <s v="Close"/>
        <s v="Roels"/>
        <s v="Venosky"/>
        <s v="Gosnell"/>
        <s v="Chewning-Kulick"/>
        <s v="Manion"/>
        <s v="Leblanc"/>
        <s v="Goldsby"/>
        <s v="Mahoney"/>
        <s v="McCracken"/>
        <s v="Spewak"/>
        <s v="Cottini"/>
        <s v="Findlay"/>
        <s v="Strasburg"/>
        <s v="Deeter"/>
        <s v="Arpin"/>
        <s v="Schoeneck"/>
        <s v="Willits"/>
        <s v="Syring"/>
        <s v="Strike"/>
        <s v="Hennigar"/>
        <s v="May"/>
        <s v="Metcalf"/>
        <s v="Tiska"/>
        <s v="Fairley"/>
        <s v="Piasta"/>
        <s v="Olsen"/>
        <s v="De Jesus"/>
        <s v="Bartus"/>
        <s v="Stevens"/>
        <s v="Rich"/>
        <s v="Fayter"/>
        <s v="Parise"/>
        <s v="Andrew"/>
        <s v="Gryniewicz"/>
        <s v="Panora"/>
        <s v="Lambe"/>
        <s v="Casto"/>
        <s v="Martelli"/>
        <s v="Naskret"/>
        <s v="Maloney"/>
        <s v="Amherst"/>
        <s v="Johansen"/>
        <s v="Chandler"/>
        <s v="Kaufmann"/>
        <s v="Barnes-Zurkinden"/>
        <s v="Wolter"/>
        <s v="Pearson"/>
        <s v="Leon"/>
        <s v="Marriott"/>
        <s v="Wilkins"/>
        <s v="Saiter"/>
        <s v="Winrow"/>
        <s v="Gries"/>
        <s v="Strohschein"/>
        <s v="Coogan"/>
        <s v="Gagnon"/>
        <s v="Brian"/>
        <s v="Fox"/>
        <s v="Traver"/>
        <s v="Quick"/>
        <s v="Theriot"/>
        <s v="Michalis"/>
        <s v="Tjong Clemons"/>
        <s v="Palma"/>
        <s v="Takaoka"/>
        <s v="Sherman"/>
        <s v="Andre"/>
        <s v="Switt"/>
        <s v="Whitbeck"/>
        <s v="Auer"/>
        <s v="Attar"/>
        <s v="Misuraca"/>
        <s v="Spannaus"/>
        <s v="Tarbiat"/>
        <s v="Pulkkinen"/>
        <s v="Trnovcova"/>
        <s v="Anthony"/>
        <s v="Hetrick"/>
        <s v="Stern"/>
        <s v="Newman"/>
        <s v="Mone"/>
        <s v="Powers"/>
        <s v="Ulery"/>
        <s v="Cho"/>
        <s v="Reumann"/>
        <s v="Cooper"/>
        <s v="Cichon"/>
        <s v="Maroevic"/>
        <s v="Schulz"/>
        <s v="Capriolo"/>
        <s v="Borleis"/>
        <s v="Conrad"/>
        <s v="Karakoyunlu"/>
        <s v="Desrosiers"/>
        <s v="Shabot Marcos"/>
        <s v="Comment"/>
        <s v="Moss"/>
        <s v="Clash"/>
        <s v="Blankenship"/>
        <s v="Lloyd"/>
        <s v="Kong"/>
        <s v="Benson"/>
        <s v="Huntington"/>
        <s v="Kendall"/>
        <s v="Gast"/>
        <s v="Scanlin"/>
        <s v="Philbrook"/>
        <s v="Cowan"/>
        <s v="Sousa"/>
        <s v="Stanton"/>
        <s v="Mollak"/>
        <s v="Weston"/>
        <s v="Rabuzzi"/>
        <s v="Hendrix"/>
        <s v="Van Nielen"/>
        <s v="Schout"/>
        <s v="Schmaltz"/>
        <s v="Eagen"/>
        <s v="Rotramel"/>
        <s v="Prevost"/>
        <s v="Nyambaso"/>
        <s v="Shaffer"/>
        <s v="Corkum"/>
        <s v="Pedersen"/>
        <s v="Melo"/>
        <s v="Sakamoto"/>
        <s v="Lombardo"/>
        <s v="Bode"/>
        <s v="Norcross"/>
        <s v="Lazrus"/>
        <s v="Tsegay"/>
        <s v="Schneider"/>
        <s v="Loreto"/>
        <s v="Callahan"/>
        <s v="Timko"/>
        <s v="Achatz"/>
        <s v="Horwitz"/>
        <s v="Gordyan"/>
        <s v="Battoo"/>
        <s v="Barker"/>
        <s v="Saarnilehto"/>
        <s v="Hillman"/>
        <s v="Bartel"/>
        <s v="Potekhina"/>
        <s v="Lapp"/>
        <s v="McCormick"/>
        <s v="Coffed"/>
        <s v="Estes"/>
        <s v="Miles"/>
        <s v="Zamore"/>
        <s v="Donaghy"/>
        <s v="Fiorini"/>
        <s v="Alexander"/>
        <s v="Watkins"/>
        <s v="Cassel"/>
        <s v="O'Sullivan"/>
        <s v="Chepkirui"/>
        <s v="Gurney"/>
        <s v="Francis"/>
        <s v="Gruca"/>
        <s v="Rojas Alvarez"/>
        <s v="Denton"/>
        <s v="Trout"/>
        <s v="Gilbert"/>
        <s v="Chong"/>
        <s v="Henry"/>
        <s v="Brenneman"/>
        <s v="Kemp"/>
        <s v="Hillyard"/>
        <s v="Gonzales"/>
        <s v="Sayre"/>
        <s v="Panke"/>
        <s v="Brennan"/>
        <s v="Ngo"/>
        <s v="Guerdan"/>
        <s v="Mills-Honarvar"/>
        <s v="Farvard"/>
        <s v="Skinner"/>
        <s v="Shue"/>
        <s v="Blinn"/>
        <s v="Duyn"/>
        <s v="Wardian"/>
        <s v="Heuninck"/>
        <s v="Kipyego"/>
        <s v="Kuehl"/>
        <s v="Burkholder"/>
        <s v="Stadolnik"/>
        <s v="Shields"/>
        <s v="Margolis"/>
        <s v="Uffenbeck"/>
        <s v="Stepanova"/>
        <s v="Verdi"/>
        <s v="Mickelson"/>
        <s v="Dibaba"/>
        <s v="Shilling"/>
        <s v="Bashaw"/>
        <s v="Jacob"/>
        <s v="McCutcheon"/>
        <s v="Connor"/>
        <s v="Geoghegan"/>
        <s v="McGinn"/>
        <s v="Quinteros"/>
        <s v="Loenser"/>
        <s v="Furrer"/>
        <s v="Konigs"/>
        <s v="Tesdahl"/>
        <s v="Engel"/>
        <s v="Kuck"/>
        <s v="Neuschel"/>
        <s v="Rosales Ramirez"/>
        <s v="Marquez"/>
        <s v="Green"/>
        <s v="Schubel"/>
        <s v="Jimenez"/>
        <s v="Zimny-Schmitt"/>
        <s v="Brohart"/>
        <s v="Oka"/>
        <s v="Metzger"/>
        <s v="Vaughn"/>
        <s v="Petty"/>
        <s v="Lasseron"/>
        <s v="Bushong"/>
        <s v="Dennison"/>
        <s v="Lira"/>
        <s v="Nahigian"/>
        <s v="Cackett"/>
        <s v="Hunter-Galvan"/>
        <s v="Pierret"/>
        <s v="O'Neil"/>
        <s v="Leitz"/>
        <s v="Durfee"/>
        <s v="Maylone"/>
        <s v="Reiland"/>
        <s v="Hu"/>
        <s v="Lessek"/>
        <s v="Colavincenzo"/>
        <s v="Mendez-Karr"/>
        <s v="Saulnier"/>
        <s v="Schoonover"/>
        <s v="Hass"/>
        <s v="Cadotte"/>
        <s v="Cacciapaglia"/>
        <s v="Mininger"/>
        <s v="Mayo"/>
        <s v="Zicko"/>
        <s v="Cupp"/>
        <s v="Klassen"/>
        <s v="Musal"/>
        <s v="Kitayama"/>
        <s v="Altman"/>
        <s v="Demchko"/>
        <s v="Betts"/>
        <s v="Vandeventer"/>
        <s v="Hirano"/>
        <s v="Davi"/>
        <s v="Sloan"/>
        <s v="Homich"/>
        <s v="Kristjansson"/>
        <s v="Pitman"/>
        <s v="Curley"/>
        <s v="Zimmer"/>
        <s v="Granski"/>
        <s v="Regina"/>
        <s v="Howe"/>
        <s v="Atwater"/>
        <s v="Gurganus"/>
        <s v="Holden"/>
        <s v="Parton"/>
        <s v="Dent"/>
        <s v="Ranti"/>
        <s v="Ishaq"/>
        <s v="Wiles"/>
        <s v="Serafini"/>
        <s v="Button"/>
        <s v="Gaal"/>
        <s v="Liptak"/>
        <s v="Kellam"/>
        <s v="Gordon"/>
        <s v="Wagoner"/>
        <s v="Goffi"/>
        <s v="Salovaara"/>
        <s v="Reid"/>
        <s v="Allan"/>
        <s v="Tang"/>
        <s v="Chepkwony"/>
        <s v="Szynkarczuk"/>
        <s v="Brill"/>
        <s v="Nunn"/>
        <s v="Blair"/>
        <s v="Sharkey"/>
        <s v="Scalard"/>
        <s v="Burget"/>
        <s v="English"/>
        <s v="Hampton"/>
        <s v="Lucas"/>
        <s v="Cherewatti"/>
        <s v="Olle"/>
        <s v="Hamsi"/>
        <s v="Finnegan"/>
        <s v="Villa"/>
        <s v="Cable"/>
        <s v="Eiring"/>
        <s v="Friedman"/>
        <s v="Croker"/>
        <s v="Beganics"/>
        <s v="Huberty"/>
        <s v="Hazlehurst"/>
        <s v="Marin"/>
        <s v="Dear"/>
        <s v="Lederer"/>
        <s v="Robson"/>
        <s v="Galvan"/>
        <s v="Teeuwen"/>
        <s v="List"/>
        <s v="Shafar"/>
        <s v="Copenhaver"/>
        <s v="Stump"/>
        <s v="Wehrman"/>
        <s v="Sischo"/>
        <s v="Fonti"/>
        <s v="Merlis"/>
        <s v="Hasegawa"/>
        <s v="Haselden"/>
        <s v="Simonson"/>
        <s v="Montag"/>
        <s v="Deroian"/>
        <s v="Brady"/>
        <s v="Strickler"/>
        <s v="Simone"/>
        <s v="Von Rock"/>
        <s v="Woodard"/>
        <s v="Sinda"/>
        <s v="Rydland"/>
        <s v="Vespa"/>
        <s v="Meadows"/>
        <s v="Toppen"/>
        <s v="Ermer"/>
        <s v="Dionne"/>
        <s v="Stasulli"/>
        <s v="Duran"/>
        <s v="Klundt"/>
        <s v="Waters"/>
        <s v="Rusk"/>
        <s v="Gersbach"/>
        <s v="Taylor-Watson"/>
        <s v="Levitsky"/>
        <s v="Carroll"/>
        <s v="Campos"/>
        <s v="Flajslik"/>
        <s v="Chua"/>
        <s v="Wilzbacher"/>
        <s v="Thayer"/>
        <s v="Brosseau"/>
        <s v="Phares"/>
        <s v="Padula"/>
        <s v="Gamirov"/>
        <s v="Briot"/>
        <s v="De Hueck"/>
        <s v="Putt"/>
        <s v="Deiman"/>
        <s v="Bonanni"/>
        <s v="Stein"/>
        <s v="Laumann"/>
        <s v="Galaviz"/>
        <s v="Piper"/>
        <s v="Cantini"/>
        <s v="Werhane"/>
        <s v="Davies"/>
        <s v="Hummel"/>
        <s v="Lutz"/>
        <s v="Viglienzoni"/>
        <s v="Rathbun"/>
        <s v="Conant"/>
        <s v="Huyser-Wierenga"/>
        <s v="Natalini"/>
        <s v="Robbins"/>
        <s v="Stanislav"/>
        <s v="Mears"/>
        <s v="Neill"/>
        <s v="Tola"/>
        <s v="Briskman"/>
        <s v="Ritzenhein"/>
        <s v="Malkowski"/>
        <s v="Andreyko"/>
        <s v="Lozier"/>
        <s v="Rodas"/>
        <s v="Karmen"/>
        <s v="Lippmann"/>
        <s v="Klehm"/>
        <s v="Desisa"/>
        <s v="Brooks"/>
        <s v="Weispfennig"/>
        <s v="Sorrell"/>
        <s v="Marek"/>
        <s v="Werner"/>
        <s v="Penny"/>
        <s v="Masayesva"/>
        <s v="Paavola"/>
        <s v="Gehlsen"/>
        <s v="Roche"/>
        <s v="Hearn"/>
        <s v="Dimson"/>
        <s v="Slason"/>
        <s v="Gibson"/>
        <s v="Erdos"/>
        <s v="Cushman"/>
        <s v="Hammel"/>
        <s v="Ytterstad"/>
        <s v="Prince"/>
        <s v="Freeman"/>
        <s v="Petrulak"/>
        <s v="Zablocki"/>
        <s v="Van Meter"/>
        <s v="Babay"/>
        <s v="Moody"/>
        <s v="Swierzbinski"/>
        <s v="Schwartz"/>
        <s v="Sanseverino"/>
        <s v="Lawder"/>
        <s v="Hoerner"/>
        <s v="Beaulne"/>
        <s v="Lunz"/>
        <s v="Kyle"/>
        <s v="Brackenwagen"/>
        <s v="Schmitt"/>
        <s v="Borden"/>
        <s v="Regan"/>
        <s v="Koenis"/>
        <s v="Kittaka"/>
        <s v="Concannon"/>
        <s v="Schultz"/>
        <s v="Brannigan"/>
        <s v="Cavallo"/>
        <s v="Axelrod"/>
        <s v="Roberge"/>
        <s v="Schmidt"/>
        <s v="Kosters"/>
        <s v="Dykes"/>
        <s v="Velan"/>
        <s v="Goolik"/>
        <s v="Bain"/>
        <s v="Wieck"/>
        <s v="Friel"/>
        <s v="Santandreu"/>
        <s v="Gerber"/>
        <s v="Benadum"/>
        <s v="Ragazzini"/>
        <s v="Kessinger"/>
        <s v="Bezgin"/>
        <s v="Woldesilassie"/>
        <s v="Ruiz Herrero"/>
        <s v="Bin Alias"/>
        <s v="Pulliam"/>
        <s v="Guisinger"/>
        <s v="Arnerich"/>
        <s v="Nolette"/>
        <s v="Chabrier"/>
        <s v="Knotts"/>
        <s v="Pultorak"/>
        <s v="Maxon"/>
        <s v="Kraai"/>
        <s v="Larosa"/>
        <s v="Haney"/>
        <s v="Boulay"/>
        <s v="Luy"/>
        <s v="Fava"/>
        <s v="Montoya"/>
        <s v="Albertson"/>
        <s v="Barger"/>
        <s v="Fraioli"/>
        <s v="April"/>
        <s v="Talhelm"/>
        <s v="Treece"/>
        <s v="Beisel"/>
        <s v="Enke"/>
        <s v="Ruiz-Tagle Barros"/>
        <s v="Ferrell"/>
        <s v="Gates"/>
        <s v="Jeffers"/>
        <s v="Sulhanek"/>
        <s v="Caron"/>
        <s v="Fullarton"/>
        <s v="Lindgren"/>
        <s v="Akiha"/>
        <s v="Sweny"/>
        <s v="Tobin"/>
        <s v="Keys"/>
        <s v="Wilbur"/>
        <s v="Ditota"/>
        <s v="Horbol"/>
        <s v="Murakami"/>
        <s v="Petermann"/>
        <s v="Graves - Rostro"/>
        <s v="Danielson"/>
        <s v="Street"/>
        <s v="Buss"/>
        <s v="Duffy"/>
        <s v="Castro"/>
        <s v="Avery"/>
        <s v="Bohinski"/>
        <s v="Kohls"/>
        <s v="Brietzke"/>
        <s v="Riveros Gonzalez"/>
        <s v="Albano"/>
        <s v="Rosendahl"/>
        <s v="German"/>
      </sharedItems>
    </cacheField>
    <cacheField name="BMI" numFmtId="0">
      <sharedItems containsSemiMixedTypes="0" containsString="0" containsNumber="1">
        <n v="47.41"/>
        <n v="30.36"/>
        <n v="34.485"/>
        <n v="38.095"/>
        <n v="35.53"/>
        <n v="32.8"/>
        <n v="36.4"/>
        <n v="36.96"/>
        <n v="41.14"/>
        <n v="38.06"/>
        <n v="37.7"/>
        <n v="42.13"/>
        <n v="40.92"/>
        <n v="40.565"/>
        <n v="36.385"/>
        <n v="39.9"/>
        <n v="33.8"/>
        <n v="36.765"/>
        <n v="36.955"/>
        <n v="42.9"/>
        <n v="36.3"/>
        <n v="32.2"/>
        <n v="31.3"/>
        <n v="41.8"/>
        <n v="35.09"/>
        <n v="33.88"/>
        <n v="30.875"/>
        <n v="36.86"/>
        <n v="35.86"/>
        <n v="37.05"/>
        <n v="43.89"/>
        <n v="42.35"/>
        <n v="31.35"/>
        <n v="47.6"/>
        <n v="46.2"/>
        <n v="32.015"/>
        <n v="32.45"/>
        <n v="34.96"/>
        <n v="35.5"/>
        <n v="52.58"/>
        <n v="35.2"/>
        <n v="34.21"/>
        <n v="38.94"/>
        <n v="30.21"/>
        <n v="33.63"/>
        <n v="40.37"/>
        <n v="53.09"/>
        <n v="31.79"/>
        <n v="41.895"/>
        <n v="31.16"/>
        <n v="34.105"/>
        <n v="51.93"/>
        <n v="38.95"/>
        <n v="36.63"/>
        <n v="34.2"/>
        <n v="50.63"/>
        <n v="36.48"/>
        <n v="54.82"/>
        <n v="51.48"/>
        <n v="52.06"/>
        <n v="30.685"/>
        <n v="36.08"/>
        <n v="54.99"/>
        <n v="35.97"/>
        <n v="45.54"/>
        <n v="30.8"/>
        <n v="38.39"/>
        <n v="32.3"/>
        <n v="48.8"/>
        <n v="45.5"/>
        <n v="53.61"/>
        <n v="36.19"/>
        <n v="34.6"/>
        <n v="54.12"/>
        <n v="48.82"/>
        <n v="51.01"/>
        <n v="45.65"/>
        <n v="52.9"/>
        <n v="45.41"/>
        <n v="49.41"/>
        <n v="31.825"/>
        <n v="51.28"/>
        <n v="33.11"/>
        <n v="54.74"/>
        <n v="32.56"/>
        <n v="39.05"/>
        <n v="42.75"/>
        <n v="50.58"/>
        <n v="30.495"/>
        <n v="48.31"/>
        <n v="48.99"/>
        <n v="44.34"/>
        <n v="41.51"/>
        <n v="48.2"/>
        <n v="35.75"/>
        <n v="53.81"/>
        <n v="49.48"/>
        <n v="34.1"/>
        <n v="35.3"/>
        <n v="43.83"/>
        <n v="50.07"/>
        <n v="32.775"/>
        <n v="48.93"/>
        <n v="37.07"/>
        <n v="51.51"/>
        <n v="34.8"/>
        <n v="36.67"/>
        <n v="30.9"/>
        <n v="44.88"/>
        <n v="44.32"/>
        <n v="46.39"/>
        <n v="30.78"/>
        <n v="41.46"/>
        <n v="48.0"/>
        <n v="49.13"/>
        <n v="37.8"/>
        <n v="38.3"/>
        <n v="30.2"/>
        <n v="48.32"/>
        <n v="44.86"/>
        <n v="52.15"/>
        <n v="41.12"/>
        <n v="46.85"/>
        <n v="42.24"/>
        <n v="34.39"/>
        <n v="42.89"/>
        <n v="53.62"/>
        <n v="33.4"/>
        <n v="42.71"/>
        <n v="41.52"/>
        <n v="39.4"/>
        <n v="46.45"/>
        <n v="26.07"/>
        <n v="36.54"/>
        <n v="51.64"/>
        <n v="42.83"/>
        <n v="40.15"/>
        <n v="27.8"/>
        <n v="45.81"/>
        <n v="34.43"/>
        <n v="41.33"/>
        <n v="31.92"/>
        <n v="39.8"/>
        <n v="42.82"/>
        <n v="35.625"/>
        <n v="42.69"/>
        <n v="37.87"/>
        <n v="40.61"/>
        <n v="49.49"/>
        <n v="37.62"/>
        <n v="33.5"/>
        <n v="47.46"/>
        <n v="49.24"/>
        <n v="54.4"/>
        <n v="39.73"/>
        <n v="35.68"/>
        <n v="48.86"/>
        <n v="32.49"/>
        <n v="39.0"/>
        <n v="33.42"/>
        <n v="37.18"/>
        <n v="33.33"/>
        <n v="53.21"/>
        <n v="38.73"/>
        <n v="29.73"/>
        <n v="34.7"/>
        <n v="38.28"/>
        <n v="33.57"/>
        <n v="38.17"/>
        <n v="34.4"/>
        <n v="31.73"/>
        <n v="36.64"/>
        <n v="36.85"/>
        <n v="39.14"/>
        <n v="32.9"/>
        <n v="29.78"/>
        <n v="32.78"/>
        <n v="41.65"/>
        <n v="50.79"/>
        <n v="35.43"/>
        <n v="35.25"/>
        <n v="31.02"/>
        <n v="35.6"/>
        <n v="29.06"/>
        <n v="35.8"/>
        <n v="49.8"/>
        <n v="35.71"/>
        <n v="33.69"/>
        <n v="42.27"/>
        <n v="53.25"/>
        <n v="26.8"/>
        <n v="28.5"/>
        <n v="22.895"/>
        <n v="34.06"/>
        <n v="36.41"/>
        <n v="52.3"/>
        <n v="52.66"/>
        <n v="29.57"/>
        <n v="36.99"/>
        <n v="31.4"/>
        <n v="34.9"/>
        <n v="31.13"/>
        <n v="31.68"/>
        <n v="33.535"/>
        <n v="32.7"/>
        <n v="41.25"/>
        <n v="36.16"/>
        <n v="33.72"/>
        <n v="37.74"/>
        <n v="48.75"/>
        <n v="31.065"/>
        <n v="23.55"/>
        <n v="30.18"/>
        <n v="29.94"/>
        <n v="53.06"/>
        <n v="30.25"/>
        <n v="46.68"/>
        <n v="30.4"/>
        <n v="51.18"/>
        <n v="22.18"/>
        <n v="45.52"/>
        <n v="52.81"/>
        <n v="33.58"/>
        <n v="37.525"/>
        <n v="34.5"/>
        <n v="28.16"/>
        <n v="30.02"/>
        <n v="37.82"/>
        <n v="33.14"/>
        <n v="25.14"/>
        <n v="20.18"/>
        <n v="44.36"/>
        <n v="23.82"/>
        <n v="45.0"/>
        <n v="26.62"/>
        <n v="32.67"/>
        <n v="44.44"/>
        <n v="28.31"/>
        <n v="25.05"/>
        <n v="28.34"/>
        <n v="17.765"/>
        <n v="36.12"/>
        <n v="23.19"/>
        <n v="35.99"/>
        <n v="26.24"/>
        <n v="31.36"/>
        <n v="25.69"/>
        <n v="25.46"/>
        <n v="31.83"/>
        <n v="24.43"/>
        <n v="41.9"/>
        <n v="22.88"/>
        <n v="29.735"/>
        <n v="40.74"/>
        <n v="24.14"/>
        <n v="25.15"/>
        <n v="28.71"/>
        <n v="23.0"/>
        <n v="24.25"/>
        <n v="23.85"/>
        <n v="40.02"/>
        <n v="19.17"/>
        <n v="43.53"/>
        <n v="46.06"/>
        <n v="29.92"/>
        <n v="28.46"/>
        <n v="24.56"/>
        <n v="41.19"/>
        <n v="18.63"/>
        <n v="26.26"/>
        <n v="22.37"/>
        <n v="39.62"/>
        <n v="18.33"/>
        <n v="17.11"/>
        <n v="43.5"/>
        <n v="25.365"/>
        <n v="28.595"/>
        <n v="29.83"/>
        <n v="24.7"/>
        <n v="17.94"/>
        <n v="21.08"/>
        <n v="37.715"/>
        <n v="22.39"/>
        <n v="28.78"/>
        <n v="26.39"/>
        <n v="19.26"/>
        <n v="26.92"/>
        <n v="19.73"/>
        <n v="23.56"/>
        <n v="37.67"/>
        <n v="18.73"/>
        <n v="33.09"/>
        <n v="27.74"/>
        <n v="24.2"/>
        <n v="22.03"/>
        <n v="26.885"/>
        <n v="16.36"/>
        <n v="16.05"/>
        <n v="29.07"/>
        <n v="17.43"/>
        <n v="19.33"/>
        <n v="30.52"/>
        <n v="39.21"/>
        <n v="26.98"/>
        <n v="25.84"/>
        <n v="23.94"/>
        <n v="20.03"/>
        <n v="41.42"/>
        <n v="27.645"/>
        <n v="22.72"/>
        <n v="36.52"/>
        <n v="33.96"/>
        <n v="26.695"/>
        <n v="18.45"/>
        <n v="33.18"/>
        <n v="36.1"/>
        <n v="22.77"/>
        <n v="21.24"/>
        <n v="17.6"/>
        <n v="26.29"/>
        <n v="35.31"/>
        <n v="27.04"/>
        <n v="30.23"/>
        <n v="30.6"/>
        <n v="16.86"/>
        <n v="16.3"/>
        <n v="29.81"/>
        <n v="16.33"/>
        <n v="16.37"/>
        <n v="22.42"/>
        <n v="31.9"/>
        <n v="28.975"/>
        <n v="24.86"/>
        <n v="19.54"/>
        <n v="26.74"/>
        <n v="22.99"/>
        <n v="31.46"/>
        <n v="30.86"/>
        <n v="31.96"/>
        <n v="23.76"/>
        <n v="19.38"/>
        <n v="16.21"/>
        <n v="32.54"/>
        <n v="35.91"/>
        <n v="32.06"/>
        <n v="24.1"/>
        <n v="27.1"/>
        <n v="24.42"/>
        <n v="27.79"/>
        <n v="32.68"/>
        <n v="26.4"/>
        <n v="23.655"/>
        <n v="27.36"/>
        <n v="27.82"/>
        <n v="25.1"/>
        <n v="32.11"/>
        <n v="29.8"/>
        <n v="24.01"/>
        <n v="23.21"/>
        <n v="21.2"/>
        <n v="28.215"/>
        <n v="22.61"/>
        <n v="24.32"/>
        <n v="20.96"/>
        <n v="19.68"/>
        <n v="18.1"/>
        <n v="29.64"/>
        <n v="25.3"/>
        <n v="27.6"/>
        <n v="25.08"/>
        <n v="22.2"/>
        <n v="25.71"/>
        <n v="41.91"/>
        <n v="25.85"/>
        <n v="23.845"/>
        <n v="30.59"/>
        <n v="24.795"/>
        <n v="24.13"/>
        <n v="28.0"/>
        <n v="26.125"/>
        <n v="25.6"/>
        <n v="24.985"/>
        <n v="33.1"/>
        <n v="27.83"/>
        <n v="27.265"/>
        <n v="26.7"/>
        <n v="29.925"/>
        <n v="19.95"/>
        <n v="24.225"/>
        <n v="28.12"/>
        <n v="23.98"/>
        <n v="30.0"/>
        <n v="17.35"/>
        <n v="22.705"/>
        <n v="25.41"/>
        <n v="18.23"/>
        <n v="37.4"/>
        <n v="25.27"/>
        <n v="55.05"/>
        <n v="24.89"/>
        <n v="18.715"/>
        <n v="26.6"/>
        <n v="30.115"/>
        <n v="24.605"/>
        <n v="29.6"/>
        <n v="20.9"/>
        <n v="28.3"/>
        <n v="54.3"/>
        <n v="33.345"/>
        <n v="33.0"/>
        <n v="28.025"/>
        <n v="28.69"/>
        <n v="40.28"/>
        <n v="37.3"/>
        <n v="54.47"/>
        <n v="51.47"/>
        <n v="49.77"/>
        <n v="25.555"/>
        <n v="53.93"/>
        <n v="27.5"/>
        <n v="21.8"/>
        <n v="26.41"/>
        <n v="27.835"/>
        <n v="51.74"/>
        <n v="23.37"/>
        <n v="29.7"/>
        <n v="20.045"/>
        <n v="28.93"/>
        <n v="33.82"/>
        <n v="20.235"/>
        <n v="49.2"/>
        <n v="28.38"/>
        <n v="24.64"/>
        <n v="39.71"/>
        <n v="22.22"/>
        <n v="51.37"/>
        <n v="25.9"/>
        <n v="35.72"/>
        <n v="27.94"/>
        <n v="18.3"/>
        <n v="38.83"/>
        <n v="46.4"/>
        <n v="51.92"/>
        <n v="32.395"/>
        <n v="46.19"/>
        <n v="27.93"/>
        <n v="45.62"/>
        <n v="20.13"/>
        <n v="49.05"/>
        <n v="51.94"/>
        <n v="22.6"/>
        <n v="46.69"/>
        <n v="28.49"/>
        <n v="24.4"/>
        <n v="29.15"/>
        <n v="27.28"/>
        <n v="32.23"/>
        <n v="44.2"/>
        <n v="46.62"/>
        <n v="51.75"/>
        <n v="25.7"/>
        <n v="53.98"/>
        <n v="41.325"/>
        <n v="51.65"/>
        <n v="44.52"/>
        <n v="53.29"/>
        <n v="46.63"/>
        <n v="28.88"/>
        <n v="23.65"/>
        <n v="49.09"/>
        <n v="43.32"/>
        <n v="45.92"/>
        <n v="44.03"/>
        <n v="24.6"/>
        <n v="49.15"/>
        <n v="42.02"/>
        <n v="49.07"/>
        <n v="19.8"/>
        <n v="42.95"/>
        <n v="42.66"/>
        <n v="26.84"/>
        <n v="27.06"/>
        <n v="47.13"/>
        <n v="51.72"/>
        <n v="48.59"/>
        <n v="45.18"/>
        <n v="27.9"/>
        <n v="51.33"/>
        <n v="39.23"/>
        <n v="19.095"/>
        <n v="49.72"/>
        <n v="21.755"/>
        <n v="48.39"/>
        <n v="47.15"/>
        <n v="47.59"/>
        <n v="39.81"/>
        <n v="24.75"/>
        <n v="26.03"/>
        <n v="40.24"/>
        <n v="43.15"/>
        <n v="27.7"/>
        <n v="45.68"/>
        <n v="27.3"/>
        <n v="54.45"/>
        <n v="54.43"/>
        <n v="48.01"/>
        <n v="54.85"/>
        <n v="21.85"/>
        <n v="51.86"/>
        <n v="46.43"/>
        <n v="53.63"/>
        <n v="48.7"/>
        <n v="48.81"/>
        <n v="47.53"/>
        <n v="29.3"/>
        <n v="19.3"/>
        <n v="46.7"/>
        <n v="45.27"/>
        <n v="44.29"/>
        <n v="54.59"/>
        <n v="32.965"/>
        <n v="38.05"/>
        <n v="46.14"/>
        <n v="44.64"/>
        <n v="25.175"/>
        <n v="43.11"/>
        <n v="53.32"/>
        <n v="38.04"/>
        <n v="37.9"/>
        <n v="39.6"/>
        <n v="50.92"/>
        <n v="40.44"/>
        <n v="44.95"/>
        <n v="35.54"/>
        <n v="33.66"/>
        <n v="41.63"/>
        <n v="46.49"/>
        <n v="43.29"/>
        <n v="43.08"/>
        <n v="39.07"/>
        <n v="41.3"/>
        <n v="46.96"/>
        <n v="17.955"/>
        <n v="39.74"/>
        <n v="49.53"/>
        <n v="39.33"/>
        <n v="39.98"/>
        <n v="46.51"/>
        <n v="43.58"/>
        <n v="42.28"/>
        <n v="35.52"/>
        <n v="33.6"/>
        <n v="46.86"/>
        <n v="39.34"/>
        <n v="47.0"/>
        <n v="36.71"/>
        <n v="53.48"/>
        <n v="36.98"/>
        <n v="32.73"/>
        <n v="20.52"/>
        <n v="50.2"/>
        <n v="25.52"/>
        <n v="41.26"/>
        <n v="17.195"/>
        <n v="23.085"/>
        <n v="21.66"/>
        <n v="36.47"/>
        <n v="23.18"/>
        <n v="39.16"/>
        <n v="38.19"/>
        <n v="28.785"/>
        <n v="35.87"/>
        <n v="37.72"/>
        <n v="39.7"/>
        <n v="37.85"/>
        <n v="39.37"/>
        <n v="40.88"/>
        <n v="26.22"/>
        <n v="39.1"/>
        <n v="37.905"/>
        <n v="43.35"/>
        <n v="36.15"/>
        <n v="44.98"/>
        <n v="39.51"/>
        <n v="50.46"/>
        <n v="32.1"/>
        <n v="27.72"/>
        <n v="48.36"/>
        <n v="31.445"/>
        <n v="27.55"/>
        <n v="45.34"/>
        <n v="31.8"/>
        <n v="41.02"/>
        <n v="21.7"/>
        <n v="40.48"/>
        <n v="45.9"/>
        <n v="33.48"/>
        <n v="21.565"/>
        <n v="35.59"/>
        <n v="43.44"/>
        <n v="44.55"/>
        <n v="31.23"/>
        <n v="42.81"/>
        <n v="36.65"/>
        <n v="22.04"/>
        <n v="53.58"/>
        <n v="34.3"/>
        <n v="31.78"/>
        <n v="46.89"/>
        <n v="39.35"/>
        <n v="39.2"/>
        <n v="44.1"/>
        <n v="33.2"/>
        <n v="25.0"/>
        <n v="38.87"/>
        <n v="21.09"/>
        <n v="52.41"/>
        <n v="41.47"/>
        <n v="42.06"/>
        <n v="39.27"/>
        <n v="30.71"/>
        <n v="47.19"/>
        <n v="37.91"/>
        <n v="54.61"/>
        <n v="36.005"/>
        <n v="28.7"/>
        <n v="34.295"/>
        <n v="40.7"/>
        <n v="18.335"/>
        <n v="33.915"/>
        <n v="51.14"/>
        <n v="44.0"/>
        <n v="41.45"/>
        <n v="34.56"/>
        <n v="28.2"/>
        <n v="30.43"/>
        <n v="24.035"/>
        <n v="37.12"/>
        <n v="34.84"/>
        <n v="29.53"/>
        <n v="42.51"/>
        <n v="38.14"/>
        <n v="39.93"/>
        <n v="21.4"/>
        <n v="38.38"/>
        <n v="41.2"/>
        <n v="28.81"/>
        <n v="37.41"/>
        <n v="52.54"/>
        <n v="17.29"/>
        <n v="31.74"/>
        <n v="26.505"/>
        <n v="28.22"/>
        <n v="35.0"/>
        <n v="36.24"/>
        <n v="42.74"/>
        <n v="36.13"/>
        <n v="31.55"/>
        <n v="52.75"/>
        <n v="38.0"/>
        <n v="35.1"/>
        <n v="37.43"/>
        <n v="30.5"/>
        <n v="24.53"/>
        <n v="25.74"/>
        <n v="34.08"/>
        <n v="26.79"/>
        <n v="42.78"/>
        <n v="46.75"/>
        <n v="32.15"/>
        <n v="43.4"/>
        <n v="31.57"/>
        <n v="31.07"/>
        <n v="35.815"/>
        <n v="40.81"/>
        <n v="21.47"/>
        <n v="52.89"/>
        <n v="36.8"/>
        <n v="35.245"/>
        <n v="26.23"/>
        <n v="37.1"/>
        <n v="26.78"/>
        <n v="45.8"/>
        <n v="29.0"/>
        <n v="37.51"/>
        <n v="39.86"/>
        <n v="29.91"/>
        <n v="33.44"/>
        <n v="27.17"/>
        <n v="35.38"/>
        <n v="43.48"/>
        <n v="41.73"/>
        <n v="28.9"/>
        <n v="36.06"/>
        <n v="43.28"/>
        <n v="38.25"/>
        <n v="39.25"/>
        <n v="35.7"/>
        <n v="20.1"/>
        <n v="22.23"/>
        <n v="49.64"/>
        <n v="32.01"/>
        <n v="34.865"/>
        <n v="30.305"/>
        <n v="21.78"/>
        <n v="30.14"/>
        <n v="25.2"/>
        <n v="35.41"/>
        <n v="34.48"/>
        <n v="28.1"/>
        <n v="27.0"/>
        <n v="23.75"/>
        <n v="35.62"/>
        <n v="30.69"/>
        <n v="25.87"/>
        <n v="43.7"/>
        <n v="40.945"/>
        <n v="31.64"/>
        <n v="31.24"/>
        <n v="39.22"/>
        <n v="24.415"/>
        <n v="39.94"/>
        <n v="35.34"/>
        <n v="32.205"/>
        <n v="26.63"/>
        <n v="25.65"/>
        <n v="34.69"/>
        <n v="37.68"/>
        <n v="35.49"/>
        <n v="44.7"/>
        <n v="49.84"/>
        <n v="49.06"/>
        <n v="30.88"/>
        <n v="33.35"/>
        <n v="34.01"/>
        <n v="31.54"/>
        <n v="23.3"/>
        <n v="27.75"/>
        <n v="42.46"/>
        <n v="24.93"/>
        <n v="48.12"/>
        <n v="24.91"/>
        <n v="33.7"/>
        <n v="38.93"/>
        <n v="29.79"/>
        <n v="36.6"/>
        <n v="35.93"/>
        <n v="28.6"/>
        <n v="39.17"/>
        <n v="30.63"/>
        <n v="30.7"/>
        <n v="25.935"/>
        <n v="35.9"/>
        <n v="33.71"/>
        <n v="39.82"/>
        <n v="27.2"/>
        <n v="54.0"/>
        <n v="31.39"/>
        <n v="39.97"/>
        <n v="41.23"/>
        <n v="49.45"/>
        <n v="41.04"/>
        <n v="21.01"/>
        <n v="52.37"/>
        <n v="33.725"/>
        <n v="23.7"/>
        <n v="33.3"/>
        <n v="21.5"/>
        <n v="35.42"/>
        <n v="45.51"/>
        <n v="29.1"/>
        <n v="30.22"/>
        <n v="24.29"/>
        <n v="29.39"/>
        <n v="25.66"/>
        <n v="39.11"/>
        <n v="43.78"/>
        <n v="24.35"/>
        <n v="40.3"/>
        <n v="30.97"/>
        <n v="22.1"/>
        <n v="33.25"/>
        <n v="30.3"/>
        <n v="29.99"/>
        <n v="36.38"/>
        <n v="25.55"/>
        <n v="28.77"/>
        <n v="23.14"/>
        <n v="29.2"/>
        <n v="30.55"/>
        <n v="31.66"/>
        <n v="26.12"/>
        <n v="27.11"/>
        <n v="30.41"/>
        <n v="28.98"/>
        <n v="38.6"/>
        <n v="37.95"/>
        <n v="38.97"/>
        <n v="23.96"/>
        <n v="26.11"/>
        <n v="31.28"/>
        <n v="29.9"/>
        <n v="33.02"/>
        <n v="27.29"/>
        <n v="32.66"/>
        <n v="47.2"/>
        <n v="31.6"/>
        <n v="23.54"/>
        <n v="27.075"/>
        <n v="25.8"/>
        <n v="34.76"/>
        <n v="24.0"/>
        <n v="32.25"/>
        <n v="22.41"/>
        <n v="45.72"/>
        <n v="39.5"/>
        <n v="37.73"/>
        <n v="40.66"/>
        <n v="21.56"/>
        <n v="42.93"/>
        <n v="26.72"/>
        <n v="26.67"/>
        <n v="42.68"/>
        <n v="24.31"/>
        <n v="44.75"/>
        <n v="21.86"/>
        <n v="47.74"/>
        <n v="26.35"/>
        <n v="39.995"/>
        <n v="22.92"/>
        <n v="24.78"/>
        <n v="34.07"/>
        <n v="18.05"/>
        <n v="25.75"/>
        <n v="28.61"/>
        <n v="31.2"/>
        <n v="27.455"/>
        <n v="23.01"/>
        <n v="34.77"/>
        <n v="24.48"/>
        <n v="46.09"/>
        <n v="44.745"/>
        <n v="26.33"/>
        <n v="41.55"/>
        <n v="29.48"/>
        <n v="28.09"/>
        <n v="48.07"/>
        <n v="25.86"/>
        <n v="30.03"/>
        <n v="25.76"/>
        <n v="43.04"/>
        <n v="34.15"/>
        <n v="25.78"/>
        <n v="21.02"/>
        <n v="25.745"/>
        <n v="25.49"/>
        <n v="20.6"/>
        <n v="28.24"/>
        <n v="31.27"/>
        <n v="21.3"/>
        <n v="31.635"/>
        <n v="23.9"/>
        <n v="36.7"/>
        <n v="21.68"/>
        <n v="44.77"/>
        <n v="26.36"/>
        <n v="37.29"/>
        <n v="38.88"/>
        <n v="29.545"/>
        <n v="23.25"/>
        <n v="43.95"/>
        <n v="25.73"/>
        <n v="31.26"/>
        <n v="45.69"/>
        <n v="21.03"/>
        <n v="37.0"/>
        <n v="25.4"/>
        <n v="40.375"/>
        <n v="22.515"/>
        <n v="36.575"/>
        <n v="23.66"/>
        <n v="18.62"/>
        <n v="19.19"/>
        <n v="20.35"/>
        <n v="34.32"/>
        <n v="23.87"/>
        <n v="30.15"/>
        <n v="45.32"/>
        <n v="31.93"/>
        <n v="36.0"/>
        <n v="32.0"/>
        <n v="29.37"/>
        <n v="23.6"/>
        <n v="33.155"/>
        <n v="39.64"/>
        <n v="38.48"/>
        <n v="36.2"/>
        <n v="27.13"/>
        <n v="20.75"/>
        <n v="18.84"/>
        <n v="19.57"/>
        <n v="24.77"/>
        <n v="16.58"/>
        <n v="39.425"/>
        <n v="38.79"/>
        <n v="22.135"/>
        <n v="43.31"/>
        <n v="22.8"/>
        <n v="19.09"/>
        <n v="28.05"/>
        <n v="17.34"/>
        <n v="40.39"/>
        <n v="25.96"/>
        <n v="17.68"/>
        <n v="30.81"/>
        <n v="25.06"/>
        <n v="18.83"/>
        <n v="47.52"/>
        <n v="44.16"/>
        <n v="18.66"/>
        <n v="18.87"/>
        <n v="22.64"/>
        <n v="39.42"/>
        <n v="16.8"/>
        <n v="23.275"/>
        <n v="24.3"/>
        <n v="25.13"/>
        <n v="32.6"/>
        <n v="17.28"/>
        <n v="27.92"/>
        <n v="38.285"/>
        <n v="16.48"/>
        <n v="38.57"/>
        <n v="43.85"/>
        <n v="30.11"/>
        <n v="31.59"/>
        <n v="40.76"/>
        <n v="40.58"/>
        <n v="33.06"/>
        <n v="18.28"/>
        <n v="34.58"/>
        <n v="27.4"/>
        <n v="27.53"/>
        <n v="22.66"/>
        <n v="38.81"/>
        <n v="38.51"/>
        <n v="22.98"/>
        <n v="15.65"/>
        <n v="37.22"/>
        <n v="40.31"/>
        <n v="42.85"/>
        <n v="32.34"/>
        <n v="17.78"/>
        <n v="40.12"/>
        <n v="19.35"/>
        <n v="36.69"/>
        <n v="28.51"/>
        <n v="24.33"/>
        <n v="19.855"/>
        <n v="39.43"/>
        <n v="27.34"/>
        <n v="39.01"/>
        <n v="18.99"/>
        <n v="42.3"/>
        <n v="39.805"/>
        <n v="36.195"/>
        <n v="17.3"/>
        <n v="35.02"/>
        <n v="16.79"/>
        <n v="24.19"/>
        <n v="35.29"/>
        <n v="35.64"/>
        <n v="25.24"/>
        <n v="29.165"/>
        <n v="15.05"/>
        <n v="16.66"/>
        <n v="16.62"/>
        <n v="15.36"/>
        <n v="22.44"/>
        <n v="22.95"/>
        <n v="25.51"/>
        <n v="29.04"/>
        <n v="21.375"/>
        <n v="29.19"/>
        <n v="26.315"/>
        <n v="18.91"/>
        <n v="22.3"/>
        <n v="34.64"/>
        <n v="18.75"/>
        <n v="26.48"/>
        <n v="34.83"/>
        <n v="23.31"/>
        <n v="32.87"/>
        <n v="26.18"/>
        <n v="36.94"/>
        <n v="22.86"/>
        <n v="18.76"/>
        <n v="24.36"/>
        <n v="21.79"/>
        <n v="24.52"/>
        <n v="39.52"/>
        <n v="24.49"/>
        <n v="22.58"/>
        <n v="19.475"/>
        <n v="42.88"/>
        <n v="22.36"/>
        <n v="30.1"/>
        <n v="21.93"/>
        <n v="39.75"/>
        <n v="34.51"/>
        <n v="19.32"/>
        <n v="24.02"/>
        <n v="19.0"/>
        <n v="16.13"/>
        <n v="18.77"/>
        <n v="15.6"/>
        <n v="21.99"/>
        <n v="34.85"/>
        <n v="24.51"/>
        <n v="19.4"/>
        <n v="15.1"/>
        <n v="42.4"/>
        <n v="28.405"/>
        <n v="23.4"/>
        <n v="21.12"/>
        <n v="18.48"/>
        <n v="16.815"/>
        <n v="20.69"/>
        <n v="24.97"/>
        <n v="17.06"/>
        <n v="36.29"/>
        <n v="17.8"/>
        <n v="19.86"/>
        <n v="17.98"/>
        <n v="29.26"/>
        <n v="46.53"/>
        <n v="20.58"/>
        <n v="19.53"/>
        <n v="18.92"/>
        <n v="17.76"/>
        <n v="23.465"/>
        <n v="29.355"/>
        <n v="19.79"/>
        <n v="18.03"/>
        <n v="34.65"/>
        <n v="42.94"/>
        <n v="31.255"/>
        <n v="45.43"/>
        <n v="37.145"/>
        <n v="29.5"/>
        <n v="43.39"/>
        <n v="15.08"/>
        <n v="20.48"/>
        <n v="34.45"/>
        <n v="28.8"/>
        <n v="33.21"/>
        <n v="17.7"/>
        <n v="17.2"/>
        <n v="19.21"/>
        <n v="23.2"/>
        <n v="32.5"/>
        <n v="19.11"/>
        <n v="31.17"/>
        <n v="15.09"/>
        <n v="22.63"/>
        <n v="23.46"/>
        <n v="22.56"/>
        <n v="19.28"/>
        <n v="15.37"/>
        <n v="18.71"/>
        <n v="20.61"/>
        <n v="15.99"/>
        <n v="32.77"/>
        <n v="16.85"/>
        <n v="18.78"/>
        <n v="34.42"/>
        <n v="29.4"/>
        <n v="21.31"/>
        <n v="19.56"/>
        <n v="37.335"/>
        <n v="16.5"/>
        <n v="38.9"/>
        <n v="26.9"/>
        <n v="32.51"/>
        <n v="30.95"/>
        <n v="43.34"/>
        <n v="31.98"/>
        <n v="15.2"/>
        <n v="37.2"/>
        <n v="17.91"/>
        <n v="20.76"/>
        <n v="38.99"/>
        <n v="42.655"/>
        <n v="30.57"/>
        <n v="16.88"/>
        <n v="40.26"/>
        <n v="33.55"/>
        <n v="16.69"/>
        <n v="17.55"/>
        <n v="22.01"/>
        <n v="19.06"/>
        <n v="21.37"/>
        <n v="20.86"/>
        <n v="18.34"/>
        <n v="18.35"/>
        <n v="22.13"/>
        <n v="22.51"/>
        <n v="31.0"/>
        <n v="28.27"/>
        <n v="17.26"/>
        <n v="41.69"/>
        <n v="16.12"/>
        <n v="22.34"/>
        <n v="25.35"/>
        <n v="32.64"/>
        <n v="16.53"/>
        <n v="15.58"/>
        <n v="35.61"/>
        <n v="37.56"/>
        <n v="15.49"/>
        <n v="23.48"/>
        <n v="30.13"/>
        <n v="34.19"/>
        <n v="18.24"/>
        <n v="37.28"/>
        <n v="18.2"/>
        <n v="20.53"/>
        <n v="23.79"/>
        <n v="20.82"/>
        <n v="23.44"/>
        <n v="17.86"/>
        <n v="15.47"/>
        <n v="28.54"/>
        <n v="18.54"/>
        <n v="32.18"/>
        <n v="37.38"/>
        <n v="31.12"/>
        <n v="26.73"/>
        <n v="37.25"/>
        <n v="15.84"/>
        <n v="16.47"/>
        <n v="20.28"/>
        <n v="24.24"/>
        <n v="26.2"/>
        <n v="23.16"/>
        <n v="32.585"/>
        <n v="33.97"/>
        <n v="16.57"/>
        <n v="29.41"/>
        <n v="18.905"/>
        <n v="16.7"/>
        <n v="18.5"/>
        <n v="43.12"/>
        <n v="27.61"/>
        <n v="20.74"/>
        <n v="15.57"/>
        <n v="21.945"/>
        <n v="19.47"/>
        <n v="15.61"/>
        <n v="34.99"/>
        <n v="17.05"/>
        <n v="29.59"/>
        <n v="34.675"/>
        <n v="18.85"/>
        <n v="34.13"/>
        <n v="17.44"/>
        <n v="27.14"/>
        <n v="35.78"/>
        <n v="31.5"/>
        <n v="21.26"/>
        <n v="17.09"/>
        <n v="26.51"/>
        <n v="21.28"/>
        <n v="33.81"/>
        <n v="44.22"/>
        <n v="15.46"/>
        <n v="16.67"/>
        <n v="15.53"/>
        <n v="32.4"/>
        <n v="16.51"/>
        <n v="20.23"/>
        <n v="16.42"/>
        <n v="17.56"/>
        <n v="41.1"/>
        <n v="34.86"/>
        <n v="17.69"/>
        <n v="25.77"/>
        <n v="34.46"/>
        <n v="39.49"/>
        <n v="30.67"/>
        <n v="23.8"/>
        <n v="19.48"/>
        <n v="16.96"/>
        <n v="19.05"/>
        <n v="18.22"/>
        <n v="18.17"/>
        <n v="19.59"/>
        <n v="32.07"/>
        <n v="20.36"/>
        <n v="20.83"/>
        <n v="17.75"/>
        <n v="16.81"/>
        <n v="19.12"/>
        <n v="17.5"/>
        <n v="38.665"/>
        <n v="20.81"/>
        <n v="30.54"/>
        <n v="33.31"/>
        <n v="35.435"/>
        <n v="20.4"/>
        <n v="33.99"/>
        <n v="20.8"/>
        <n v="40.185"/>
        <n v="21.89"/>
        <n v="29.34"/>
        <n v="25.61"/>
        <n v="27.39"/>
        <n v="17.03"/>
        <n v="16.08"/>
        <n v="28.48"/>
        <n v="19.37"/>
        <n v="16.71"/>
        <n v="29.77"/>
        <n v="29.45"/>
        <n v="29.68"/>
        <n v="20.615"/>
        <n v="32.12"/>
        <n v="17.385"/>
        <n v="25.44"/>
        <n v="39.615"/>
        <n v="16.72"/>
        <n v="24.96"/>
        <n v="17.67"/>
        <n v="17.4"/>
        <n v="28.06"/>
        <n v="18.46"/>
        <n v="17.97"/>
        <n v="29.98"/>
        <n v="23.1"/>
        <n v="50.38"/>
        <n v="15.68"/>
        <n v="28.4"/>
        <n v="15.82"/>
        <n v="23.57"/>
        <n v="24.09"/>
        <n v="15.41"/>
        <n v="23.83"/>
        <n v="28.82"/>
        <n v="30.72"/>
        <n v="35.15"/>
        <n v="29.24"/>
        <n v="34.87"/>
        <n v="40.47"/>
        <n v="22.0"/>
        <n v="23.06"/>
        <n v="22.05"/>
        <n v="20.49"/>
        <n v="27.98"/>
        <n v="40.5"/>
        <n v="25.64"/>
        <n v="18.6"/>
        <n v="33.77"/>
        <n v="23.32"/>
        <n v="15.96"/>
        <n v="20.425"/>
        <n v="17.48"/>
        <n v="22.57"/>
        <n v="20.79"/>
        <n v="20.15"/>
        <n v="31.1"/>
        <n v="18.36"/>
        <n v="15.92"/>
        <n v="15.17"/>
        <n v="16.63"/>
        <n v="19.39"/>
        <n v="24.59"/>
        <n v="18.58"/>
        <n v="16.64"/>
        <n v="24.39"/>
        <n v="20.88"/>
        <n v="20.43"/>
        <n v="15.18"/>
        <n v="15.12"/>
        <n v="23.88"/>
        <n v="19.43"/>
        <n v="15.22"/>
        <n v="20.72"/>
        <n v="35.4"/>
        <n v="20.7"/>
        <n v="20.3"/>
        <n v="21.87"/>
        <n v="16.6"/>
        <n v="21.98"/>
        <n v="19.7"/>
        <n v="16.22"/>
        <n v="17.12"/>
        <n v="19.07"/>
        <n v="15.56"/>
        <n v="22.76"/>
        <n v="22.79"/>
        <n v="17.41"/>
        <n v="18.25"/>
        <n v="53.13"/>
        <n v="20.46"/>
        <n v="43.01"/>
        <n v="15.01"/>
        <n v="16.55"/>
        <n v="16.74"/>
        <n v="21.84"/>
        <n v="16.87"/>
        <n v="17.17"/>
        <n v="21.64"/>
        <n v="16.4"/>
        <n v="15.77"/>
        <n v="18.27"/>
        <n v="16.49"/>
        <n v="16.14"/>
        <n v="20.85"/>
        <n v="15.88"/>
        <n v="20.66"/>
        <n v="25.19"/>
        <n v="20.54"/>
        <n v="18.93"/>
        <n v="25.03"/>
        <n v="20.47"/>
        <n v="18.82"/>
        <n v="17.08"/>
        <n v="21.38"/>
        <n v="23.35"/>
        <n v="22.24"/>
        <n v="24.76"/>
        <n v="21.77"/>
        <n v="17.82"/>
        <n v="17.07"/>
        <n v="17.58"/>
      </sharedItems>
    </cacheField>
    <cacheField name="HBA1C" numFmtId="0">
      <sharedItems containsSemiMixedTypes="0" containsString="0" containsNumber="1">
        <n v="7.47"/>
        <n v="5.77"/>
        <n v="11.87"/>
        <n v="6.05"/>
        <n v="5.45"/>
        <n v="6.59"/>
        <n v="6.07"/>
        <n v="7.93"/>
        <n v="9.58"/>
        <n v="10.79"/>
        <n v="5.96"/>
        <n v="11.9"/>
        <n v="8.41"/>
        <n v="7.02"/>
        <n v="7.59"/>
        <n v="11.32"/>
        <n v="7.67"/>
        <n v="7.29"/>
        <n v="4.72"/>
        <n v="11.41"/>
        <n v="11.5"/>
        <n v="6.22"/>
        <n v="11.38"/>
        <n v="7.89"/>
        <n v="4.38"/>
        <n v="7.01"/>
        <n v="11.88"/>
        <n v="5.19"/>
        <n v="6.74"/>
        <n v="8.44"/>
        <n v="8.71"/>
        <n v="5.08"/>
        <n v="6.86"/>
        <n v="5.95"/>
        <n v="6.09"/>
        <n v="11.75"/>
        <n v="7.37"/>
        <n v="11.91"/>
        <n v="6.52"/>
        <n v="5.14"/>
        <n v="4.19"/>
        <n v="11.68"/>
        <n v="6.98"/>
        <n v="8.34"/>
        <n v="8.49"/>
        <n v="5.34"/>
        <n v="4.43"/>
        <n v="4.47"/>
        <n v="4.82"/>
        <n v="5.51"/>
        <n v="10.87"/>
        <n v="9.34"/>
        <n v="5.03"/>
        <n v="11.05"/>
        <n v="11.95"/>
        <n v="7.72"/>
        <n v="5.75"/>
        <n v="11.89"/>
        <n v="6.2"/>
        <n v="10.61"/>
        <n v="6.04"/>
        <n v="9.33"/>
        <n v="11.47"/>
        <n v="8.8"/>
        <n v="8.68"/>
        <n v="6.12"/>
        <n v="5.4"/>
        <n v="4.36"/>
        <n v="9.77"/>
        <n v="4.25"/>
        <n v="4.76"/>
        <n v="7.96"/>
        <n v="10.92"/>
        <n v="11.51"/>
        <n v="5.99"/>
        <n v="11.57"/>
        <n v="6.67"/>
        <n v="9.2"/>
        <n v="5.11"/>
        <n v="4.03"/>
        <n v="4.23"/>
        <n v="4.06"/>
        <n v="4.68"/>
        <n v="4.34"/>
        <n v="10.51"/>
        <n v="5.84"/>
        <n v="5.41"/>
        <n v="6.06"/>
        <n v="4.22"/>
        <n v="5.12"/>
        <n v="4.57"/>
        <n v="9.78"/>
        <n v="4.11"/>
        <n v="4.02"/>
        <n v="6.92"/>
        <n v="4.84"/>
        <n v="8.0"/>
        <n v="8.77"/>
        <n v="4.96"/>
        <n v="5.82"/>
        <n v="6.03"/>
        <n v="9.27"/>
        <n v="5.53"/>
        <n v="5.07"/>
        <n v="11.17"/>
        <n v="6.14"/>
        <n v="6.26"/>
        <n v="5.18"/>
        <n v="9.4"/>
        <n v="6.29"/>
        <n v="10.55"/>
        <n v="5.09"/>
        <n v="5.2"/>
        <n v="8.45"/>
        <n v="9.54"/>
        <n v="4.99"/>
        <n v="10.54"/>
        <n v="4.54"/>
        <n v="9.51"/>
        <n v="5.91"/>
        <n v="5.65"/>
        <n v="7.54"/>
        <n v="5.55"/>
        <n v="5.78"/>
        <n v="5.28"/>
        <n v="5.39"/>
        <n v="8.01"/>
        <n v="5.21"/>
        <n v="6.27"/>
        <n v="10.73"/>
        <n v="10.52"/>
        <n v="11.82"/>
        <n v="6.76"/>
        <n v="5.62"/>
        <n v="5.32"/>
        <n v="4.46"/>
        <n v="5.76"/>
        <n v="10.82"/>
        <n v="4.01"/>
        <n v="4.21"/>
        <n v="5.42"/>
        <n v="4.28"/>
        <n v="8.9"/>
        <n v="4.89"/>
        <n v="4.29"/>
        <n v="4.67"/>
        <n v="4.5"/>
        <n v="6.32"/>
        <n v="6.1"/>
        <n v="6.24"/>
        <n v="4.45"/>
        <n v="5.22"/>
        <n v="4.61"/>
        <n v="10.04"/>
        <n v="11.4"/>
        <n v="5.7"/>
        <n v="10.67"/>
        <n v="6.75"/>
        <n v="9.26"/>
        <n v="4.27"/>
        <n v="7.22"/>
        <n v="4.37"/>
        <n v="11.56"/>
        <n v="8.82"/>
        <n v="4.69"/>
        <n v="4.53"/>
        <n v="4.9"/>
        <n v="4.3"/>
        <n v="11.34"/>
        <n v="5.88"/>
        <n v="5.01"/>
        <n v="4.4"/>
        <n v="10.27"/>
        <n v="5.27"/>
        <n v="5.25"/>
        <n v="11.12"/>
        <n v="4.56"/>
        <n v="8.72"/>
        <n v="6.25"/>
        <n v="7.32"/>
        <n v="4.24"/>
        <n v="6.84"/>
        <n v="5.23"/>
        <n v="9.68"/>
        <n v="6.11"/>
        <n v="10.93"/>
        <n v="5.72"/>
        <n v="11.83"/>
        <n v="4.55"/>
        <n v="4.87"/>
        <n v="9.42"/>
        <n v="5.37"/>
        <n v="4.6"/>
        <n v="4.52"/>
        <n v="6.18"/>
        <n v="6.23"/>
        <n v="5.33"/>
        <n v="4.09"/>
        <n v="4.12"/>
        <n v="5.1"/>
        <n v="6.21"/>
        <n v="9.53"/>
        <n v="4.64"/>
        <n v="5.05"/>
        <n v="10.38"/>
        <n v="8.31"/>
        <n v="5.49"/>
        <n v="9.9"/>
        <n v="5.73"/>
        <n v="5.56"/>
        <n v="8.23"/>
        <n v="9.03"/>
        <n v="4.07"/>
        <n v="5.98"/>
        <n v="6.01"/>
        <n v="5.67"/>
        <n v="6.02"/>
        <n v="11.19"/>
        <n v="10.85"/>
        <n v="5.24"/>
        <n v="10.08"/>
        <n v="10.97"/>
        <n v="8.18"/>
        <n v="7.66"/>
        <n v="5.58"/>
        <n v="10.6"/>
        <n v="4.78"/>
        <n v="11.55"/>
        <n v="4.26"/>
        <n v="5.9"/>
        <n v="7.79"/>
        <n v="5.87"/>
        <n v="9.08"/>
        <n v="5.48"/>
        <n v="8.7"/>
        <n v="7.84"/>
        <n v="5.86"/>
        <n v="4.18"/>
        <n v="11.99"/>
        <n v="4.85"/>
        <n v="6.37"/>
        <n v="9.81"/>
        <n v="11.8"/>
        <n v="4.16"/>
        <n v="4.98"/>
        <n v="6.38"/>
        <n v="10.21"/>
        <n v="9.7"/>
        <n v="10.25"/>
        <n v="4.83"/>
        <n v="10.86"/>
        <n v="5.68"/>
        <n v="5.57"/>
        <n v="4.58"/>
        <n v="8.96"/>
        <n v="11.74"/>
        <n v="5.89"/>
        <n v="10.64"/>
        <n v="7.46"/>
        <n v="6.15"/>
        <n v="9.86"/>
        <n v="4.35"/>
        <n v="8.66"/>
        <n v="8.64"/>
        <n v="5.04"/>
        <n v="8.83"/>
        <n v="8.47"/>
        <n v="4.2"/>
        <n v="5.71"/>
        <n v="9.07"/>
        <n v="4.79"/>
        <n v="11.39"/>
        <n v="6.0"/>
        <n v="5.13"/>
        <n v="5.26"/>
        <n v="9.04"/>
        <n v="4.1"/>
        <n v="6.48"/>
        <n v="11.66"/>
        <n v="7.26"/>
        <n v="4.33"/>
        <n v="7.63"/>
        <n v="8.92"/>
        <n v="4.31"/>
        <n v="10.46"/>
        <n v="7.39"/>
        <n v="8.86"/>
        <n v="10.96"/>
        <n v="6.28"/>
        <n v="11.14"/>
        <n v="9.05"/>
        <n v="11.31"/>
        <n v="9.5"/>
        <n v="10.84"/>
        <n v="6.97"/>
        <n v="8.24"/>
        <n v="8.26"/>
        <n v="6.13"/>
        <n v="10.47"/>
        <n v="4.04"/>
        <n v="5.74"/>
        <n v="6.33"/>
        <n v="9.47"/>
        <n v="11.03"/>
        <n v="9.52"/>
        <n v="11.09"/>
        <n v="9.45"/>
        <n v="10.16"/>
        <n v="11.71"/>
        <n v="6.85"/>
        <n v="7.05"/>
        <n v="11.64"/>
        <n v="8.56"/>
        <n v="10.5"/>
        <n v="6.39"/>
        <n v="5.52"/>
        <n v="4.88"/>
        <n v="10.53"/>
        <n v="9.72"/>
        <n v="5.29"/>
        <n v="4.86"/>
        <n v="4.44"/>
        <n v="8.1"/>
        <n v="7.16"/>
        <n v="5.47"/>
        <n v="4.15"/>
        <n v="4.49"/>
        <n v="9.6"/>
        <n v="4.93"/>
        <n v="4.92"/>
        <n v="5.8"/>
        <n v="6.17"/>
        <n v="5.36"/>
        <n v="10.9"/>
        <n v="5.83"/>
        <n v="5.5"/>
        <n v="5.81"/>
        <n v="4.08"/>
        <n v="4.48"/>
        <n v="5.46"/>
        <n v="5.02"/>
        <n v="6.36"/>
        <n v="8.37"/>
        <n v="7.31"/>
        <n v="6.87"/>
        <n v="6.47"/>
        <n v="10.43"/>
        <n v="4.65"/>
        <n v="6.35"/>
        <n v="8.51"/>
        <n v="8.59"/>
        <n v="4.13"/>
        <n v="5.3"/>
        <n v="5.35"/>
        <n v="8.38"/>
        <n v="7.03"/>
        <n v="8.75"/>
        <n v="9.36"/>
        <n v="4.81"/>
        <n v="8.08"/>
        <n v="9.95"/>
        <n v="5.16"/>
        <n v="10.44"/>
        <n v="5.69"/>
        <n v="6.5"/>
        <n v="7.0"/>
        <n v="6.19"/>
        <n v="7.71"/>
        <n v="4.63"/>
        <n v="11.43"/>
        <n v="7.65"/>
        <n v="10.12"/>
        <n v="4.77"/>
        <n v="6.83"/>
        <n v="5.6"/>
        <n v="4.8"/>
        <n v="4.73"/>
        <n v="7.3"/>
        <n v="8.28"/>
        <n v="6.72"/>
        <n v="4.71"/>
        <n v="6.7"/>
        <n v="10.99"/>
        <n v="9.66"/>
        <n v="11.78"/>
        <n v="9.62"/>
        <n v="10.78"/>
        <n v="7.18"/>
        <n v="5.06"/>
        <n v="7.76"/>
        <n v="9.32"/>
        <n v="5.31"/>
        <n v="7.11"/>
        <n v="10.2"/>
        <n v="10.4"/>
        <n v="11.97"/>
        <n v="6.71"/>
        <n v="11.92"/>
        <n v="11.93"/>
        <n v="9.59"/>
        <n v="10.95"/>
        <n v="9.17"/>
        <n v="9.13"/>
        <n v="9.46"/>
        <n v="8.69"/>
        <n v="9.16"/>
        <n v="11.25"/>
        <n v="6.68"/>
        <n v="8.74"/>
        <n v="5.64"/>
        <n v="10.37"/>
        <n v="9.56"/>
        <n v="5.97"/>
        <n v="10.33"/>
        <n v="10.49"/>
        <n v="8.11"/>
        <n v="6.6"/>
        <n v="10.14"/>
        <n v="9.91"/>
        <n v="4.14"/>
        <n v="9.83"/>
        <n v="11.08"/>
        <n v="11.01"/>
        <n v="6.79"/>
        <n v="8.05"/>
        <n v="5.94"/>
        <n v="6.55"/>
        <n v="5.79"/>
        <n v="6.57"/>
        <n v="11.61"/>
        <n v="8.16"/>
        <n v="9.02"/>
        <n v="8.06"/>
        <n v="11.37"/>
        <n v="10.3"/>
        <n v="4.74"/>
        <n v="4.95"/>
        <n v="7.12"/>
        <n v="9.12"/>
        <n v="11.76"/>
        <n v="7.06"/>
        <n v="11.35"/>
        <n v="7.86"/>
        <n v="10.48"/>
        <n v="9.06"/>
        <n v="11.07"/>
        <n v="10.45"/>
        <n v="8.63"/>
        <n v="7.49"/>
        <n v="9.22"/>
        <n v="5.59"/>
        <n v="6.65"/>
        <n v="6.9"/>
        <n v="11.52"/>
        <n v="11.24"/>
        <n v="10.98"/>
        <n v="8.48"/>
        <n v="6.94"/>
        <n v="4.05"/>
        <n v="10.22"/>
        <n v="9.24"/>
        <n v="8.6"/>
        <n v="9.19"/>
        <n v="7.19"/>
        <n v="9.39"/>
        <n v="8.21"/>
        <n v="11.86"/>
        <n v="11.46"/>
        <n v="11.33"/>
        <n v="7.69"/>
        <n v="4.91"/>
        <n v="10.8"/>
        <n v="7.21"/>
        <n v="4.62"/>
        <n v="7.68"/>
        <n v="7.51"/>
        <n v="8.07"/>
        <n v="8.95"/>
        <n v="6.31"/>
        <n v="8.25"/>
        <n v="8.13"/>
        <n v="10.1"/>
        <n v="4.97"/>
        <n v="7.58"/>
        <n v="11.0"/>
        <n v="6.66"/>
        <n v="8.81"/>
        <n v="7.92"/>
        <n v="7.48"/>
        <n v="10.58"/>
        <n v="7.82"/>
        <n v="11.21"/>
        <n v="10.62"/>
        <n v="10.7"/>
        <n v="10.02"/>
        <n v="4.39"/>
        <n v="11.84"/>
        <n v="4.66"/>
        <n v="11.11"/>
        <n v="11.96"/>
        <n v="4.41"/>
        <n v="9.1"/>
        <n v="9.88"/>
        <n v="9.65"/>
        <n v="11.1"/>
        <n v="4.75"/>
        <n v="9.29"/>
        <n v="5.63"/>
        <n v="5.43"/>
        <n v="8.33"/>
        <n v="7.23"/>
        <n v="10.57"/>
        <n v="7.91"/>
        <n v="7.42"/>
        <n v="9.89"/>
        <n v="5.61"/>
        <n v="7.74"/>
        <n v="11.49"/>
        <n v="7.6"/>
        <n v="8.5"/>
        <n v="11.22"/>
        <n v="11.3"/>
        <n v="9.18"/>
        <n v="4.51"/>
        <n v="7.33"/>
        <n v="10.56"/>
        <n v="8.02"/>
        <n v="7.2"/>
        <n v="8.3"/>
        <n v="4.94"/>
        <n v="6.99"/>
        <n v="9.96"/>
        <n v="10.34"/>
        <n v="11.2"/>
        <n v="7.41"/>
        <n v="10.83"/>
        <n v="11.81"/>
        <n v="10.74"/>
        <n v="4.32"/>
        <n v="11.94"/>
        <n v="5.54"/>
        <n v="8.87"/>
        <n v="10.19"/>
        <n v="11.85"/>
        <n v="4.0"/>
        <n v="11.36"/>
        <n v="7.53"/>
        <n v="7.95"/>
        <n v="8.76"/>
        <n v="7.56"/>
        <n v="4.17"/>
        <n v="11.42"/>
        <n v="9.8"/>
        <n v="10.72"/>
        <n v="6.4"/>
        <n v="6.8"/>
        <n v="9.48"/>
        <n v="7.45"/>
        <n v="7.83"/>
        <n v="10.17"/>
        <n v="6.96"/>
        <n v="5.85"/>
        <n v="6.3"/>
        <n v="5.92"/>
        <n v="10.01"/>
        <n v="7.4"/>
        <n v="8.58"/>
        <n v="9.94"/>
        <n v="9.28"/>
        <n v="7.94"/>
        <n v="7.81"/>
        <n v="9.85"/>
        <n v="9.23"/>
        <n v="11.04"/>
        <n v="8.85"/>
        <n v="9.63"/>
        <n v="5.44"/>
        <n v="4.7"/>
        <n v="7.34"/>
        <n v="11.06"/>
        <n v="7.62"/>
        <n v="10.18"/>
        <n v="7.73"/>
        <n v="10.42"/>
        <n v="8.12"/>
        <n v="5.66"/>
        <n v="8.29"/>
        <n v="5.17"/>
        <n v="7.99"/>
        <n v="6.45"/>
        <n v="11.18"/>
        <n v="10.24"/>
        <n v="10.81"/>
        <n v="6.53"/>
        <n v="7.85"/>
        <n v="8.17"/>
        <n v="7.61"/>
        <n v="12.0"/>
        <n v="8.57"/>
        <n v="6.81"/>
        <n v="6.54"/>
        <n v="7.57"/>
        <n v="7.98"/>
        <n v="8.84"/>
        <n v="10.68"/>
        <n v="10.75"/>
        <n v="7.8"/>
        <n v="7.04"/>
        <n v="8.19"/>
        <n v="8.22"/>
        <n v="9.14"/>
        <n v="6.69"/>
        <n v="9.55"/>
        <n v="11.44"/>
        <n v="4.42"/>
        <n v="8.27"/>
        <n v="5.15"/>
        <n v="7.5"/>
        <n v="10.09"/>
        <n v="11.58"/>
        <n v="10.59"/>
        <n v="11.98"/>
        <n v="6.93"/>
        <n v="5.93"/>
        <n v="9.21"/>
        <n v="8.53"/>
        <n v="5.38"/>
        <n v="10.66"/>
        <n v="9.71"/>
        <n v="9.31"/>
        <n v="11.63"/>
        <n v="9.61"/>
        <n v="6.89"/>
        <n v="5.0"/>
        <n v="9.92"/>
        <n v="6.16"/>
        <n v="8.62"/>
        <n v="6.08"/>
        <n v="11.73"/>
        <n v="6.64"/>
        <n v="8.93"/>
        <n v="8.55"/>
        <n v="8.43"/>
        <n v="6.44"/>
        <n v="11.72"/>
        <n v="9.99"/>
        <n v="9.25"/>
        <n v="11.48"/>
        <n v="11.69"/>
        <n v="6.46"/>
        <n v="6.77"/>
        <n v="6.49"/>
        <n v="6.41"/>
        <n v="8.94"/>
        <n v="6.91"/>
        <n v="8.4"/>
        <n v="7.09"/>
        <n v="11.02"/>
        <n v="6.43"/>
        <n v="11.62"/>
        <n v="11.15"/>
        <n v="9.49"/>
        <n v="4.59"/>
        <n v="9.79"/>
        <n v="9.44"/>
        <n v="10.36"/>
        <n v="8.46"/>
      </sharedItems>
    </cacheField>
    <cacheField name="Heart Issues" numFmtId="0">
      <sharedItems>
        <s v="No"/>
        <s v="yes"/>
      </sharedItems>
    </cacheField>
    <cacheField name="Any Transplants" numFmtId="0">
      <sharedItems>
        <s v="No"/>
        <s v="yes"/>
      </sharedItems>
    </cacheField>
    <cacheField name="Cancer History" numFmtId="0">
      <sharedItems>
        <s v="No"/>
        <s v="Yes"/>
      </sharedItems>
    </cacheField>
    <cacheField name="Number of Major Surgeries" numFmtId="0">
      <sharedItems containsSemiMixedTypes="0" containsString="0" containsNumber="1" containsInteger="1">
        <n v="0.0"/>
        <n v="2.0"/>
        <n v="3.0"/>
        <n v="1.0"/>
      </sharedItems>
    </cacheField>
    <cacheField name="Smoker" numFmtId="0">
      <sharedItems>
        <s v="yes"/>
        <s v="No"/>
        <s v="?"/>
      </sharedItems>
    </cacheField>
    <cacheField name="Weight Status" numFmtId="0">
      <sharedItems>
        <s v="Obesity"/>
        <s v="Overweight"/>
        <s v="Normal Weight"/>
        <s v="Underweight"/>
      </sharedItems>
    </cacheField>
    <cacheField name="City tier" numFmtId="0">
      <sharedItems>
        <s v="tier - 3"/>
        <s v="tier - 1"/>
        <s v="tier - 2"/>
      </sharedItems>
    </cacheField>
    <cacheField name="State ID">
      <sharedItems containsMixedTypes="1" containsNumber="1" containsInteger="1">
        <s v="R1013"/>
        <s v="R1012"/>
        <s v="R1024"/>
        <s v="R1011"/>
        <s v="R1016"/>
        <s v="R1015"/>
        <s v="R1017"/>
        <s v="R1014"/>
        <s v="R1023"/>
        <s v="R1019"/>
        <n v="0.0"/>
        <s v="R1018"/>
        <s v="R1026"/>
        <s v="R1022"/>
        <s v="R1021"/>
        <s v="R1025"/>
        <s v="R1020"/>
      </sharedItems>
    </cacheField>
    <cacheField name="Date of birth" numFmtId="0">
      <sharedItems>
        <s v="12/10/68"/>
        <s v="08/06/77"/>
        <s v="No Data"/>
        <s v="06/06/91"/>
        <s v="19/06/89"/>
        <s v="04/08/62"/>
        <s v="27/10/94"/>
        <s v="27/06/58"/>
        <s v="04/09/63"/>
        <s v="29/12/78"/>
        <s v="22/07/59"/>
        <s v="27/10/65"/>
        <s v="11/10/62"/>
        <s v="01/12/68"/>
        <s v="21/12/61"/>
        <s v="27/08/62"/>
        <s v="16/11/58"/>
        <s v="05/08/63"/>
        <s v="07/11/64"/>
        <s v="27/09/71"/>
        <s v="13/06/61"/>
        <s v="04/10/59"/>
        <s v="03/09/58"/>
        <s v="28/12/70"/>
        <s v="14/07/59"/>
        <s v="15/09/58"/>
        <s v="17/11/60"/>
        <s v="23/06/69"/>
        <s v="08/08/61"/>
        <s v="06/12/71"/>
        <s v="17/08/78"/>
        <s v="02/12/76"/>
        <s v="04/12/62"/>
        <s v="30/09/85"/>
        <s v="12/08/79"/>
        <s v="21/12/60"/>
        <s v="09/08/74"/>
        <s v="17/12/62"/>
        <s v="13/08/71"/>
        <s v="11/10/93"/>
        <s v="02/08/00"/>
        <s v="14/09/67"/>
        <s v="29/10/71"/>
        <s v="24/11/68"/>
        <s v="01/06/75"/>
        <s v="16/07/88"/>
        <s v="05/10/66"/>
        <s v="10/11/80"/>
        <s v="02/07/66"/>
        <s v="25/10/66"/>
        <s v="29/12/86"/>
        <s v="22/08/65"/>
        <s v="03/12/69"/>
        <s v="29/11/65"/>
        <s v="04/11/78"/>
        <s v="23/10/75"/>
        <s v="10/09/72"/>
        <s v="29/10/65"/>
        <s v="21/10/77"/>
        <s v="03/11/71"/>
        <s v="27/12/79"/>
        <s v="27/06/67"/>
        <s v="03/08/68"/>
        <s v="28/06/67"/>
        <s v="15/08/75"/>
        <s v="18/09/73"/>
        <s v="03/07/79"/>
        <s v="09/12/97"/>
        <s v="28/11/76"/>
        <s v="19/12/68"/>
        <s v="10/11/84"/>
        <s v="08/06/72"/>
        <s v="21/09/66"/>
        <s v="22/09/62"/>
        <s v="29/09/75"/>
        <s v="14/11/75"/>
        <s v="29/10/76"/>
        <s v="24/11/74"/>
        <s v="22/12/67"/>
        <s v="16/10/71"/>
        <s v="07/10/64"/>
        <s v="27/08/77"/>
        <s v="06/06/64"/>
        <s v="08/08/69"/>
        <s v="06/09/72"/>
        <s v="12/08/72"/>
        <s v="11/10/79"/>
        <s v="05/06/74"/>
        <s v="08/09/83"/>
        <s v="16/09/79"/>
        <s v="04/08/92"/>
        <s v="02/07/99"/>
        <s v="10/06/72"/>
        <s v="26/12/76"/>
        <s v="25/09/70"/>
        <s v="10/07/75"/>
        <s v="03/11/85"/>
        <s v="12/08/66"/>
        <s v="04/09/62"/>
        <s v="27/06/77"/>
        <s v="04/10/81"/>
        <s v="28/07/81"/>
        <s v="18/08/79"/>
        <s v="21/10/85"/>
        <s v="14/10/83"/>
        <s v="20/12/78"/>
        <s v="25/12/82"/>
        <s v="08/08/87"/>
        <s v="02/12/75"/>
        <s v="22/08/85"/>
        <s v="01/06/83"/>
        <s v="17/07/85"/>
        <s v="24/07/87"/>
        <s v="17/12/73"/>
        <s v="12/08/77"/>
        <s v="16/07/03"/>
        <s v="29/09/68"/>
        <s v="17/12/77"/>
        <s v="07/08/95"/>
        <s v="05/07/81"/>
        <s v="12/07/78"/>
        <s v="24/06/66"/>
        <s v="05/08/78"/>
        <s v="16/08/82"/>
        <s v="30/11/92"/>
        <s v="07/07/62"/>
        <s v="04/08/82"/>
        <s v="20/09/85"/>
        <s v="12/10/78"/>
        <s v="24/09/80"/>
        <s v="15/12/76"/>
        <s v="16/06/87"/>
        <s v="30/07/67"/>
        <s v="03/12/79"/>
        <s v="05/12/04"/>
        <s v="08/11/91"/>
        <s v="15/06/76"/>
        <s v="02/11/91"/>
        <s v="20/07/86"/>
        <s v="13/07/90"/>
        <s v="12/11/99"/>
        <s v="21/06/86"/>
        <s v="23/12/71"/>
        <s v="22/08/70"/>
        <s v="17/09/02"/>
        <s v="12/06/80"/>
        <s v="30/10/89"/>
        <s v="16/08/80"/>
        <s v="16/06/64"/>
        <s v="08/09/89"/>
        <s v="19/11/72"/>
        <s v="29/07/98"/>
        <s v="09/09/79"/>
        <s v="26/07/83"/>
        <s v="15/08/86"/>
        <s v="18/09/76"/>
        <s v="10/10/88"/>
        <s v="28/10/70"/>
        <s v="20/06/82"/>
        <s v="16/11/90"/>
        <s v="12/10/00"/>
        <s v="27/09/02"/>
        <s v="03/08/79"/>
        <s v="30/10/69"/>
        <s v="09/11/75"/>
        <s v="17/11/85"/>
        <s v="17/10/90"/>
        <s v="05/09/00"/>
        <s v="30/10/95"/>
        <s v="10/06/89"/>
        <s v="17/12/88"/>
        <s v="01/11/91"/>
        <s v="13/09/92"/>
        <s v="25/08/92"/>
        <s v="13/08/77"/>
        <s v="22/10/68"/>
        <s v="10/06/91"/>
        <s v="24/07/63"/>
        <s v="21/06/03"/>
        <s v="05/12/72"/>
        <s v="04/07/92"/>
        <s v="28/12/65"/>
        <s v="14/07/70"/>
        <s v="29/07/61"/>
        <s v="09/10/92"/>
        <s v="09/08/73"/>
        <s v="19/11/62"/>
        <s v="09/12/03"/>
        <s v="05/06/75"/>
        <s v="18/10/67"/>
        <s v="16/06/92"/>
        <s v="25/12/04"/>
        <s v="05/09/03"/>
        <s v="28/12/93"/>
        <s v="01/10/99"/>
        <s v="06/12/74"/>
        <s v="30/08/04"/>
        <s v="12/06/97"/>
        <s v="04/11/79"/>
        <s v="20/08/96"/>
        <s v="22/07/63"/>
        <s v="04/09/99"/>
        <s v="22/11/81"/>
        <s v="18/06/92"/>
        <s v="04/10/76"/>
        <s v="15/07/74"/>
        <s v="19/12/78"/>
        <s v="17/12/00"/>
        <s v="19/11/00"/>
        <s v="10/08/71"/>
        <s v="29/08/64"/>
        <s v="27/10/73"/>
        <s v="16/12/73"/>
        <s v="20/11/88"/>
        <s v="22/09/71"/>
        <s v="19/09/88"/>
        <s v="09/07/97"/>
        <s v="30/12/67"/>
        <s v="22/12/98"/>
        <s v="29/06/77"/>
        <s v="29/08/75"/>
        <s v="05/07/82"/>
        <s v="22/08/97"/>
        <s v="22/08/98"/>
        <s v="07/10/67"/>
        <s v="29/07/83"/>
        <s v="17/10/95"/>
        <s v="17/09/03"/>
        <s v="27/12/95"/>
        <s v="03/07/03"/>
        <s v="07/07/94"/>
        <s v="09/10/04"/>
        <s v="25/11/76"/>
        <s v="24/06/98"/>
        <s v="24/09/90"/>
        <s v="05/10/03"/>
        <s v="01/10/84"/>
        <s v="02/10/83"/>
        <s v="11/10/86"/>
        <s v="11/06/98"/>
        <s v="05/07/62"/>
        <s v="21/07/75"/>
        <s v="25/08/71"/>
        <s v="06/11/99"/>
        <s v="26/12/02"/>
        <s v="26/07/72"/>
        <s v="25/09/94"/>
        <s v="27/12/00"/>
        <s v="09/08/97"/>
        <s v="26/10/00"/>
        <s v="11/12/62"/>
        <s v="12/09/03"/>
        <s v="01/11/04"/>
        <s v="28/11/93"/>
        <s v="09/09/03"/>
        <s v="22/07/84"/>
        <s v="25/08/02"/>
        <s v="18/06/70"/>
        <s v="07/12/85"/>
        <s v="05/09/72"/>
        <s v="28/11/03"/>
        <s v="12/10/90"/>
        <s v="15/07/85"/>
        <s v="01/07/62"/>
        <s v="28/07/94"/>
        <s v="10/07/67"/>
        <s v="08/07/95"/>
        <s v="24/08/71"/>
        <s v="17/11/81"/>
        <s v="04/12/95"/>
        <s v="12/12/80"/>
        <s v="07/11/72"/>
        <s v="09/07/90"/>
        <s v="30/09/90"/>
        <s v="01/11/68"/>
        <s v="08/10/03"/>
        <s v="19/09/76"/>
        <s v="27/09/81"/>
        <s v="09/08/76"/>
        <s v="19/10/72"/>
        <s v="02/12/86"/>
        <s v="17/12/75"/>
        <s v="08/09/94"/>
        <s v="11/09/69"/>
        <s v="10/11/78"/>
        <s v="13/09/93"/>
        <s v="21/09/72"/>
        <s v="25/09/75"/>
        <s v="10/09/84"/>
        <s v="14/10/77"/>
        <s v="13/12/60"/>
        <s v="29/10/75"/>
        <s v="08/10/74"/>
        <s v="27/09/95"/>
        <s v="09/07/68"/>
        <s v="22/07/00"/>
        <s v="09/11/04"/>
        <s v="09/09/61"/>
        <s v="05/09/88"/>
        <s v="21/12/83"/>
        <s v="21/09/99"/>
        <s v="11/11/70"/>
        <s v="10/08/86"/>
        <s v="03/09/83"/>
        <s v="28/10/98"/>
        <s v="03/09/76"/>
        <s v="30/07/69"/>
        <s v="01/06/04"/>
        <s v="24/07/72"/>
        <s v="15/09/62"/>
        <s v="13/09/63"/>
        <s v="11/08/58"/>
        <s v="25/12/71"/>
        <s v="02/09/79"/>
        <s v="16/06/67"/>
        <s v="04/08/81"/>
        <s v="05/10/91"/>
        <s v="12/06/76"/>
        <s v="30/12/88"/>
        <s v="19/08/75"/>
        <s v="30/12/89"/>
        <s v="29/10/82"/>
        <s v="13/08/81"/>
        <s v="20/06/98"/>
        <s v="23/08/73"/>
        <s v="27/07/93"/>
        <s v="03/11/75"/>
        <s v="20/10/59"/>
        <s v="16/07/87"/>
        <s v="07/11/85"/>
        <s v="05/06/58"/>
        <s v="21/07/78"/>
        <s v="09/07/69"/>
        <s v="08/11/76"/>
        <s v="24/12/61"/>
        <s v="29/11/78"/>
        <s v="14/07/80"/>
        <s v="07/07/92"/>
        <s v="01/09/03"/>
        <s v="05/12/59"/>
        <s v="25/07/62"/>
        <s v="03/08/61"/>
        <s v="05/12/90"/>
        <s v="27/09/85"/>
        <s v="11/12/82"/>
        <s v="16/09/74"/>
        <s v="02/12/77"/>
        <s v="24/12/90"/>
        <s v="25/11/63"/>
        <s v="06/09/99"/>
        <s v="22/11/60"/>
        <s v="29/11/85"/>
        <s v="21/12/99"/>
        <s v="28/07/61"/>
        <s v="04/06/91"/>
        <s v="21/11/89"/>
        <s v="04/12/85"/>
        <s v="06/07/60"/>
        <s v="06/12/02"/>
        <s v="03/07/92"/>
        <s v="07/10/97"/>
        <s v="09/09/97"/>
        <s v="11/06/92"/>
        <s v="06/11/85"/>
        <s v="19/10/65"/>
        <s v="03/10/81"/>
        <s v="05/12/85"/>
        <s v="15/09/88"/>
        <s v="16/10/69"/>
        <s v="06/06/68"/>
        <s v="02/12/99"/>
        <s v="21/12/65"/>
        <s v="02/10/70"/>
        <s v="13/12/90"/>
        <s v="02/07/94"/>
        <s v="30/06/58"/>
        <s v="09/07/60"/>
        <s v="09/11/00"/>
        <s v="17/06/02"/>
        <s v="25/12/58"/>
        <s v="22/08/91"/>
        <s v="22/07/88"/>
        <s v="05/09/04"/>
        <s v="27/08/70"/>
        <s v="21/09/74"/>
        <s v="04/06/75"/>
        <s v="07/07/73"/>
        <s v="11/10/02"/>
        <s v="09/07/66"/>
        <s v="26/12/00"/>
        <s v="05/06/01"/>
        <s v="03/12/70"/>
        <s v="21/08/63"/>
        <s v="17/07/72"/>
        <s v="02/08/01"/>
        <s v="11/12/68"/>
        <s v="22/08/68"/>
        <s v="26/09/72"/>
        <s v="14/12/75"/>
        <s v="24/11/98"/>
        <s v="14/06/98"/>
        <s v="14/06/87"/>
        <s v="23/07/69"/>
        <s v="26/11/70"/>
        <s v="10/06/95"/>
        <s v="09/09/94"/>
        <s v="11/10/92"/>
        <s v="28/08/96"/>
        <s v="12/06/70"/>
        <s v="12/10/76"/>
        <s v="13/06/75"/>
        <s v="14/09/72"/>
        <s v="21/10/61"/>
        <s v="06/07/68"/>
        <s v="30/11/70"/>
        <s v="07/10/99"/>
        <s v="03/08/04"/>
        <s v="16/12/64"/>
        <s v="10/09/74"/>
        <s v="13/06/73"/>
        <s v="30/12/03"/>
        <s v="10/07/71"/>
        <s v="08/08/70"/>
        <s v="27/06/73"/>
        <s v="02/06/74"/>
        <s v="26/08/83"/>
        <s v="13/11/75"/>
        <s v="22/10/73"/>
        <s v="03/10/94"/>
        <s v="14/11/69"/>
        <s v="07/08/97"/>
        <s v="14/12/03"/>
        <s v="09/09/75"/>
        <s v="09/11/70"/>
        <s v="25/07/03"/>
        <s v="14/11/79"/>
        <s v="18/08/66"/>
        <s v="26/08/99"/>
        <s v="27/12/82"/>
        <s v="16/06/71"/>
        <s v="24/08/65"/>
        <s v="12/09/80"/>
        <s v="28/08/01"/>
        <s v="14/10/89"/>
        <s v="19/12/75"/>
        <s v="28/09/03"/>
        <s v="17/08/79"/>
        <s v="27/08/63"/>
        <s v="28/09/79"/>
        <s v="20/09/79"/>
        <s v="18/07/76"/>
        <s v="16/11/62"/>
        <s v="25/12/83"/>
        <s v="12/06/99"/>
        <s v="21/11/90"/>
        <s v="04/09/80"/>
        <s v="04/08/04"/>
        <s v="10/12/80"/>
        <s v="03/09/74"/>
        <s v="14/10/74"/>
        <s v="26/08/69"/>
        <s v="23/11/77"/>
        <s v="02/07/83"/>
        <s v="19/11/64"/>
        <s v="08/12/75"/>
        <s v="08/09/67"/>
        <s v="04/08/86"/>
        <s v="14/09/92"/>
        <s v="01/08/65"/>
        <s v="17/12/67"/>
        <s v="13/10/69"/>
        <s v="18/10/62"/>
        <s v="12/07/85"/>
        <s v="02/07/62"/>
        <s v="17/09/85"/>
        <s v="07/09/93"/>
        <s v="22/08/66"/>
        <s v="17/10/87"/>
        <s v="08/06/94"/>
        <s v="09/07/02"/>
        <s v="06/10/83"/>
        <s v="25/07/88"/>
        <s v="10/08/66"/>
        <s v="09/10/80"/>
        <s v="18/10/97"/>
        <s v="30/10/79"/>
        <s v="14/06/72"/>
        <s v="08/08/90"/>
        <s v="27/08/94"/>
        <s v="24/09/78"/>
        <s v="14/07/63"/>
        <s v="19/08/92"/>
        <s v="08/11/80"/>
        <s v="30/11/87"/>
        <s v="15/12/82"/>
        <s v="06/09/93"/>
        <s v="30/06/87"/>
        <s v="24/08/91"/>
        <s v="15/11/66"/>
        <s v="29/07/67"/>
        <s v="28/12/85"/>
        <s v="16/09/91"/>
        <s v="02/07/79"/>
        <s v="28/09/93"/>
        <s v="05/06/89"/>
        <s v="19/12/83"/>
        <s v="24/10/88"/>
        <s v="06/08/98"/>
        <s v="20/10/63"/>
        <s v="03/08/69"/>
        <s v="06/12/63"/>
        <s v="24/07/03"/>
        <s v="18/12/62"/>
        <s v="15/10/79"/>
        <s v="28/11/95"/>
        <s v="19/11/79"/>
        <s v="27/12/92"/>
        <s v="30/08/67"/>
        <s v="17/10/70"/>
        <s v="23/09/98"/>
        <s v="12/08/86"/>
        <s v="26/09/64"/>
        <s v="15/12/99"/>
        <s v="04/07/95"/>
        <s v="25/12/92"/>
        <s v="03/08/95"/>
        <s v="10/09/04"/>
        <s v="15/06/97"/>
        <s v="04/07/63"/>
        <s v="12/07/93"/>
        <s v="24/10/99"/>
        <s v="17/10/65"/>
        <s v="27/06/75"/>
        <s v="28/09/01"/>
        <s v="17/10/77"/>
        <s v="04/12/89"/>
        <s v="12/11/79"/>
        <s v="26/08/97"/>
        <s v="12/12/76"/>
        <s v="08/12/63"/>
        <s v="10/10/79"/>
        <s v="21/06/66"/>
        <s v="14/07/03"/>
        <s v="01/07/94"/>
        <s v="25/10/90"/>
        <s v="26/07/70"/>
        <s v="16/11/63"/>
        <s v="12/07/68"/>
        <s v="16/06/65"/>
        <s v="29/12/90"/>
        <s v="08/06/71"/>
        <s v="02/11/03"/>
        <s v="18/10/92"/>
        <s v="01/11/03"/>
        <s v="12/07/63"/>
        <s v="25/08/75"/>
        <s v="22/10/82"/>
        <s v="18/08/04"/>
        <s v="07/06/64"/>
        <s v="16/09/65"/>
        <s v="03/06/98"/>
        <s v="28/06/02"/>
        <s v="26/12/03"/>
        <s v="10/06/96"/>
        <s v="22/08/71"/>
        <s v="16/07/80"/>
        <s v="25/08/77"/>
        <s v="21/10/68"/>
        <s v="10/09/03"/>
        <s v="08/08/74"/>
        <s v="19/10/95"/>
        <s v="29/07/62"/>
        <s v="23/09/89"/>
        <s v="28/08/74"/>
        <s v="05/11/93"/>
        <s v="25/09/77"/>
        <s v="24/07/75"/>
        <s v="10/07/70"/>
        <s v="25/06/63"/>
        <s v="25/06/01"/>
        <s v="23/12/95"/>
        <s v="10/10/58"/>
        <s v="20/12/03"/>
        <s v="28/09/95"/>
        <s v="05/12/65"/>
        <s v="24/08/03"/>
        <s v="30/07/72"/>
        <s v="08/09/02"/>
        <s v="21/08/88"/>
        <s v="06/08/88"/>
        <s v="11/09/74"/>
        <s v="06/07/82"/>
        <s v="12/12/93"/>
        <s v="06/10/87"/>
        <s v="08/08/93"/>
        <s v="27/08/85"/>
        <s v="21/06/58"/>
        <s v="22/10/58"/>
        <s v="16/09/78"/>
        <s v="05/12/88"/>
        <s v="19/09/80"/>
        <s v="24/07/82"/>
        <s v="12/10/80"/>
        <s v="25/12/62"/>
        <s v="11/11/82"/>
        <s v="26/06/84"/>
        <s v="09/10/97"/>
        <s v="29/08/74"/>
        <s v="20/09/76"/>
        <s v="26/06/73"/>
        <s v="22/12/88"/>
        <s v="06/06/60"/>
        <s v="28/10/65"/>
        <s v="30/07/74"/>
        <s v="02/10/59"/>
        <s v="28/06/74"/>
        <s v="17/07/04"/>
        <s v="20/07/76"/>
        <s v="04/09/64"/>
        <s v="06/09/62"/>
        <s v="18/07/68"/>
        <s v="14/07/01"/>
        <s v="13/12/63"/>
        <s v="16/09/69"/>
        <s v="25/07/60"/>
        <s v="23/11/78"/>
        <s v="17/06/62"/>
        <s v="03/12/59"/>
        <s v="04/06/59"/>
        <s v="25/10/62"/>
        <s v="25/11/71"/>
        <s v="05/09/78"/>
        <s v="26/10/75"/>
        <s v="12/06/68"/>
        <s v="15/08/71"/>
        <s v="11/09/70"/>
        <s v="25/11/79"/>
        <s v="08/08/60"/>
        <s v="02/08/95"/>
        <s v="29/07/58"/>
        <s v="29/11/62"/>
        <s v="08/11/68"/>
        <s v="04/07/81"/>
        <s v="17/10/58"/>
        <s v="05/06/81"/>
        <s v="18/10/79"/>
        <s v="10/12/75"/>
        <s v="27/07/65"/>
        <s v="24/09/02"/>
        <s v="04/09/82"/>
        <s v="23/07/58"/>
        <s v="20/10/69"/>
        <s v="13/11/81"/>
        <s v="01/09/67"/>
        <s v="21/08/91"/>
        <s v="08/11/65"/>
        <s v="18/07/67"/>
        <s v="14/10/63"/>
        <s v="03/12/62"/>
        <s v="12/09/98"/>
        <s v="14/07/89"/>
        <s v="22/07/89"/>
        <s v="20/10/79"/>
        <s v="20/11/59"/>
        <s v="27/11/76"/>
        <s v="10/11/96"/>
        <s v="03/08/59"/>
        <s v="29/06/59"/>
        <s v="04/11/67"/>
        <s v="15/08/67"/>
        <s v="10/08/99"/>
        <s v="20/09/58"/>
        <s v="14/09/58"/>
        <s v="22/06/65"/>
        <s v="16/07/63"/>
        <s v="16/11/88"/>
        <s v="10/10/67"/>
        <s v="24/12/59"/>
        <s v="26/09/69"/>
        <s v="10/07/58"/>
        <s v="15/10/58"/>
        <s v="15/12/68"/>
        <s v="06/09/04"/>
        <s v="13/07/72"/>
        <s v="26/12/74"/>
        <s v="08/11/59"/>
        <s v="10/10/59"/>
        <s v="25/09/61"/>
        <s v="21/09/58"/>
        <s v="17/11/83"/>
        <s v="25/12/68"/>
        <s v="07/07/84"/>
        <s v="06/07/04"/>
        <s v="14/06/61"/>
        <s v="26/09/76"/>
        <s v="12/09/91"/>
        <s v="08/11/60"/>
        <s v="08/07/63"/>
        <s v="06/07/63"/>
        <s v="23/12/63"/>
        <s v="06/09/59"/>
        <s v="29/08/59"/>
        <s v="18/06/60"/>
        <s v="27/07/62"/>
        <s v="07/07/59"/>
        <s v="29/12/59"/>
        <s v="25/09/85"/>
        <s v="05/10/59"/>
        <s v="21/07/60"/>
        <s v="07/06/03"/>
        <s v="10/12/58"/>
        <s v="25/11/58"/>
        <s v="08/12/86"/>
        <s v="10/11/66"/>
        <s v="06/08/59"/>
        <s v="16/07/04"/>
        <s v="23/10/69"/>
        <s v="29/08/85"/>
        <s v="02/08/81"/>
        <s v="24/11/86"/>
        <s v="14/09/85"/>
        <s v="04/08/63"/>
        <s v="20/07/84"/>
        <s v="26/07/69"/>
        <s v="18/11/61"/>
        <s v="10/09/64"/>
        <s v="14/08/92"/>
        <s v="15/07/68"/>
        <s v="11/07/60"/>
        <s v="30/08/90"/>
        <s v="07/08/75"/>
        <s v="24/07/60"/>
        <s v="28/07/60"/>
        <s v="19/08/85"/>
        <s v="16/12/60"/>
        <s v="13/08/60"/>
        <s v="29/06/75"/>
        <s v="14/11/66"/>
        <s v="03/11/61"/>
        <s v="17/06/94"/>
        <s v="22/07/61"/>
        <s v="19/12/92"/>
        <s v="20/12/59"/>
        <s v="25/11/59"/>
        <s v="09/12/59"/>
        <s v="06/06/84"/>
        <s v="30/09/79"/>
        <s v="24/09/64"/>
        <s v="02/10/90"/>
        <s v="11/11/60"/>
        <s v="23/08/76"/>
        <s v="24/11/62"/>
        <s v="13/11/65"/>
        <s v="07/12/62"/>
        <s v="15/10/82"/>
        <s v="05/08/62"/>
        <s v="06/12/61"/>
        <s v="07/09/61"/>
        <s v="16/08/99"/>
        <s v="14/09/63"/>
        <s v="12/08/92"/>
        <s v="02/08/62"/>
        <s v="30/10/71"/>
        <s v="17/07/78"/>
        <s v="06/11/61"/>
        <s v="26/10/85"/>
        <s v="06/08/67"/>
        <s v="23/09/69"/>
        <s v="09/11/61"/>
        <s v="04/11/65"/>
        <s v="23/09/64"/>
        <s v="20/07/62"/>
        <s v="27/09/72"/>
        <s v="13/12/69"/>
        <s v="24/06/62"/>
        <s v="30/10/81"/>
        <s v="27/11/79"/>
        <s v="28/11/60"/>
        <s v="23/09/60"/>
        <s v="22/06/60"/>
        <s v="04/11/60"/>
        <s v="20/08/61"/>
        <s v="22/12/66"/>
        <s v="14/08/63"/>
        <s v="01/09/63"/>
        <s v="16/08/63"/>
        <s v="09/07/04"/>
        <s v="06/08/84"/>
        <s v="27/09/63"/>
        <s v="22/09/73"/>
        <s v="27/09/93"/>
        <s v="25/09/67"/>
        <s v="20/07/63"/>
        <s v="24/07/78"/>
        <s v="29/10/83"/>
        <s v="05/12/63"/>
        <s v="07/10/72"/>
        <s v="01/10/62"/>
        <s v="02/09/62"/>
        <s v="17/07/88"/>
        <s v="08/07/70"/>
        <s v="28/11/64"/>
        <s v="24/09/74"/>
        <s v="14/09/65"/>
        <s v="11/07/62"/>
        <s v="17/12/66"/>
        <s v="22/07/62"/>
        <s v="22/11/62"/>
        <s v="04/10/65"/>
        <s v="19/08/63"/>
        <s v="18/11/98"/>
        <s v="11/08/88"/>
        <s v="26/11/69"/>
        <s v="28/11/61"/>
        <s v="16/10/62"/>
        <s v="12/07/66"/>
        <s v="03/12/68"/>
        <s v="12/11/68"/>
        <s v="26/11/68"/>
        <s v="09/08/95"/>
        <s v="04/08/64"/>
        <s v="14/07/79"/>
        <s v="21/08/72"/>
        <s v="29/12/89"/>
        <s v="26/09/62"/>
        <s v="29/12/66"/>
        <s v="22/09/63"/>
        <s v="02/08/63"/>
        <s v="29/08/63"/>
        <s v="28/10/63"/>
        <s v="29/10/90"/>
        <s v="16/11/66"/>
        <s v="28/08/67"/>
        <s v="06/12/66"/>
        <s v="13/08/86"/>
        <s v="23/11/89"/>
        <s v="23/06/74"/>
        <s v="17/07/63"/>
        <s v="29/07/66"/>
        <s v="15/10/64"/>
        <s v="19/07/63"/>
        <s v="24/06/64"/>
        <s v="02/07/64"/>
        <s v="20/07/64"/>
        <s v="14/08/77"/>
        <s v="29/08/91"/>
        <s v="05/10/87"/>
        <s v="04/11/62"/>
        <s v="06/11/91"/>
        <s v="04/06/63"/>
        <s v="25/10/68"/>
        <s v="09/12/68"/>
        <s v="21/06/68"/>
        <s v="02/09/84"/>
        <s v="07/09/86"/>
        <s v="24/11/66"/>
        <s v="16/10/79"/>
        <s v="09/06/65"/>
        <s v="17/10/82"/>
        <s v="04/07/83"/>
        <s v="29/09/64"/>
        <s v="01/11/65"/>
        <s v="25/12/64"/>
        <s v="19/10/91"/>
        <s v="02/08/64"/>
        <s v="20/12/64"/>
        <s v="02/06/04"/>
        <s v="29/10/67"/>
        <s v="14/07/67"/>
        <s v="24/08/67"/>
        <s v="07/07/74"/>
        <s v="27/06/64"/>
        <s v="10/11/65"/>
        <s v="11/07/64"/>
        <s v="25/09/65"/>
        <s v="11/09/64"/>
        <s v="03/10/65"/>
        <s v="20/11/82"/>
        <s v="25/07/66"/>
        <s v="06/11/79"/>
        <s v="02/12/64"/>
        <s v="09/06/63"/>
        <s v="12/11/69"/>
        <s v="09/11/64"/>
        <s v="26/11/84"/>
        <s v="12/10/69"/>
        <s v="21/10/82"/>
        <s v="01/12/70"/>
        <s v="09/11/66"/>
        <s v="23/08/66"/>
        <s v="06/07/66"/>
        <s v="20/07/94"/>
        <s v="04/10/66"/>
        <s v="17/07/86"/>
        <s v="20/06/64"/>
        <s v="06/11/65"/>
        <s v="25/12/65"/>
        <s v="23/07/73"/>
        <s v="01/12/71"/>
        <s v="14/11/68"/>
        <s v="23/07/70"/>
        <s v="12/06/88"/>
        <s v="19/12/71"/>
        <s v="24/06/68"/>
        <s v="06/10/89"/>
        <s v="11/08/69"/>
        <s v="07/06/83"/>
        <s v="13/10/70"/>
        <s v="07/09/66"/>
        <s v="23/06/65"/>
        <s v="14/06/66"/>
        <s v="12/09/71"/>
        <s v="17/07/80"/>
        <s v="09/06/85"/>
        <s v="23/10/83"/>
        <s v="07/10/70"/>
        <s v="19/12/67"/>
        <s v="28/07/97"/>
        <s v="13/06/64"/>
        <s v="06/12/72"/>
        <s v="07/06/79"/>
        <s v="13/12/64"/>
        <s v="03/07/64"/>
        <s v="04/07/64"/>
        <s v="26/09/65"/>
        <s v="12/07/64"/>
        <s v="02/11/68"/>
        <s v="19/08/89"/>
        <s v="20/09/02"/>
        <s v="11/07/63"/>
        <s v="10/12/95"/>
        <s v="22/11/63"/>
        <s v="06/10/68"/>
        <s v="25/09/72"/>
        <s v="14/11/88"/>
        <s v="22/06/70"/>
        <s v="14/06/67"/>
        <s v="04/10/04"/>
        <s v="26/12/71"/>
        <s v="11/10/69"/>
        <s v="02/10/81"/>
        <s v="20/08/69"/>
        <s v="17/12/89"/>
        <s v="30/12/69"/>
        <s v="28/06/76"/>
        <s v="14/06/70"/>
        <s v="03/09/72"/>
        <s v="06/08/66"/>
        <s v="25/06/69"/>
        <s v="30/11/69"/>
        <s v="20/08/80"/>
        <s v="05/07/66"/>
        <s v="09/09/66"/>
        <s v="04/09/67"/>
        <s v="20/11/66"/>
        <s v="07/11/66"/>
        <s v="09/11/71"/>
        <s v="18/09/00"/>
        <s v="17/12/01"/>
        <s v="30/08/74"/>
        <s v="25/10/89"/>
        <s v="10/12/74"/>
        <s v="21/07/96"/>
        <s v="26/06/91"/>
        <s v="15/12/74"/>
        <s v="24/10/68"/>
        <s v="17/09/00"/>
        <s v="18/12/65"/>
        <s v="21/10/73"/>
        <s v="19/06/65"/>
        <s v="14/08/69"/>
        <s v="04/12/65"/>
        <s v="10/11/69"/>
        <s v="13/11/68"/>
        <s v="06/09/94"/>
        <s v="20/12/71"/>
        <s v="28/07/68"/>
        <s v="02/10/67"/>
        <s v="18/12/70"/>
        <s v="23/10/67"/>
        <s v="24/12/99"/>
        <s v="11/11/67"/>
        <s v="25/11/89"/>
        <s v="29/08/86"/>
        <s v="09/12/74"/>
        <s v="25/06/92"/>
        <s v="05/10/67"/>
        <s v="24/10/72"/>
        <s v="30/09/76"/>
        <s v="02/08/77"/>
        <s v="07/09/62"/>
        <s v="22/11/76"/>
        <s v="08/08/64"/>
        <s v="06/07/90"/>
        <s v="23/07/92"/>
        <s v="27/06/65"/>
        <s v="23/06/67"/>
        <s v="20/07/66"/>
        <s v="14/12/72"/>
        <s v="29/11/67"/>
        <s v="03/11/66"/>
        <s v="25/12/69"/>
        <s v="11/12/66"/>
        <s v="17/07/69"/>
        <s v="29/06/71"/>
        <s v="26/09/71"/>
        <s v="25/10/77"/>
        <s v="21/08/78"/>
        <s v="28/06/87"/>
        <s v="22/09/69"/>
        <s v="27/07/64"/>
        <s v="03/08/76"/>
        <s v="14/10/64"/>
        <s v="29/08/68"/>
        <s v="23/08/68"/>
        <s v="27/12/68"/>
        <s v="11/10/73"/>
        <s v="24/10/80"/>
        <s v="07/07/69"/>
        <s v="19/09/73"/>
        <s v="29/09/73"/>
        <s v="06/09/71"/>
        <s v="17/06/69"/>
        <s v="29/09/74"/>
        <s v="08/08/73"/>
        <s v="19/07/68"/>
        <s v="21/07/82"/>
        <s v="17/11/91"/>
        <s v="12/07/62"/>
        <s v="24/09/63"/>
        <s v="14/09/88"/>
        <s v="21/06/70"/>
        <s v="27/11/73"/>
        <s v="05/09/73"/>
        <s v="23/09/68"/>
        <s v="26/09/67"/>
        <s v="24/12/70"/>
        <s v="16/10/85"/>
        <s v="10/07/72"/>
        <s v="13/10/73"/>
        <s v="12/06/81"/>
        <s v="30/12/74"/>
        <s v="05/09/97"/>
        <s v="16/11/72"/>
        <s v="02/07/75"/>
        <s v="08/08/72"/>
        <s v="19/12/76"/>
        <s v="03/07/69"/>
        <s v="27/10/69"/>
        <s v="22/08/69"/>
        <s v="28/12/79"/>
        <s v="03/07/88"/>
        <s v="11/08/70"/>
        <s v="06/10/71"/>
        <s v="03/12/83"/>
        <s v="17/08/62"/>
        <s v="08/07/96"/>
        <s v="05/11/66"/>
        <s v="08/11/71"/>
        <s v="03/10/71"/>
        <s v="03/07/71"/>
        <s v="22/12/71"/>
        <s v="06/07/98"/>
        <s v="13/08/69"/>
        <s v="17/07/71"/>
        <s v="23/10/71"/>
        <s v="04/11/68"/>
        <s v="13/08/92"/>
        <s v="28/06/72"/>
        <s v="17/09/73"/>
        <s v="07/06/77"/>
        <s v="08/08/96"/>
        <s v="05/09/65"/>
        <s v="04/07/70"/>
        <s v="18/08/70"/>
        <s v="12/09/70"/>
        <s v="19/09/77"/>
        <s v="16/09/66"/>
        <s v="08/08/81"/>
        <s v="08/07/74"/>
        <s v="19/07/71"/>
        <s v="30/09/70"/>
        <s v="22/06/68"/>
        <s v="23/10/72"/>
        <s v="19/12/79"/>
        <s v="23/06/98"/>
        <s v="16/12/70"/>
        <s v="29/08/82"/>
        <s v="27/12/72"/>
        <s v="15/12/64"/>
        <s v="18/10/81"/>
        <s v="28/11/73"/>
        <s v="04/12/66"/>
        <s v="01/12/73"/>
        <s v="14/08/74"/>
        <s v="22/09/72"/>
        <s v="28/07/75"/>
        <s v="21/12/73"/>
        <s v="29/11/71"/>
        <s v="22/08/92"/>
        <s v="24/08/69"/>
        <s v="04/06/69"/>
        <s v="17/07/79"/>
        <s v="14/11/87"/>
        <s v="08/06/74"/>
        <s v="27/11/74"/>
        <s v="03/11/76"/>
        <s v="30/10/76"/>
        <s v="17/10/76"/>
        <s v="20/10/71"/>
        <s v="29/12/71"/>
        <s v="26/11/71"/>
        <s v="24/11/69"/>
        <s v="08/10/71"/>
        <s v="01/07/88"/>
        <s v="12/10/96"/>
        <s v="09/07/88"/>
        <s v="12/10/77"/>
        <s v="08/06/63"/>
        <s v="16/10/73"/>
        <s v="02/07/71"/>
        <s v="06/08/71"/>
        <s v="21/08/74"/>
        <s v="05/10/80"/>
        <s v="06/12/75"/>
        <s v="05/12/81"/>
        <s v="25/12/86"/>
        <s v="10/09/76"/>
        <s v="25/12/73"/>
        <s v="24/10/70"/>
        <s v="23/08/90"/>
        <s v="08/12/82"/>
        <s v="18/10/70"/>
        <s v="12/08/70"/>
        <s v="09/11/65"/>
        <s v="04/11/77"/>
        <s v="02/12/72"/>
        <s v="07/12/72"/>
        <s v="01/12/93"/>
        <s v="16/12/79"/>
        <s v="21/07/74"/>
        <s v="08/09/74"/>
        <s v="15/07/83"/>
        <s v="17/08/74"/>
        <s v="27/09/92"/>
        <s v="25/12/76"/>
        <s v="06/06/72"/>
        <s v="07/07/75"/>
        <s v="06/09/67"/>
        <s v="28/11/97"/>
        <s v="16/12/78"/>
        <s v="09/09/73"/>
        <s v="18/06/74"/>
        <s v="22/11/72"/>
        <s v="14/11/72"/>
        <s v="14/07/76"/>
        <s v="22/08/88"/>
        <s v="19/10/76"/>
        <s v="14/06/76"/>
        <s v="07/11/01"/>
        <s v="29/08/65"/>
        <s v="18/06/71"/>
        <s v="23/08/71"/>
        <s v="06/09/74"/>
        <s v="09/09/69"/>
        <s v="23/08/99"/>
        <s v="17/06/76"/>
        <s v="25/06/73"/>
        <s v="28/10/80"/>
        <s v="16/08/74"/>
        <s v="10/08/69"/>
        <s v="21/10/65"/>
        <s v="03/08/75"/>
        <s v="02/09/77"/>
        <s v="15/10/77"/>
        <s v="12/11/77"/>
        <s v="24/09/77"/>
        <s v="11/07/73"/>
        <s v="25/07/83"/>
        <s v="30/12/83"/>
        <s v="11/11/87"/>
        <s v="06/12/82"/>
        <s v="26/09/75"/>
        <s v="21/09/88"/>
        <s v="21/08/75"/>
        <s v="06/08/75"/>
        <s v="12/12/00"/>
        <s v="06/11/75"/>
        <s v="27/12/81"/>
        <s v="24/07/00"/>
        <s v="26/07/77"/>
        <s v="13/08/79"/>
        <s v="29/12/77"/>
        <s v="21/06/77"/>
        <s v="26/12/77"/>
        <s v="10/11/93"/>
        <s v="09/09/92"/>
        <s v="26/12/72"/>
        <s v="19/06/84"/>
        <s v="12/06/66"/>
        <s v="04/09/72"/>
        <s v="09/09/72"/>
        <s v="28/09/75"/>
        <s v="04/09/77"/>
        <s v="11/06/79"/>
        <s v="18/09/71"/>
        <s v="04/09/71"/>
        <s v="21/09/63"/>
        <s v="07/07/76"/>
        <s v="12/07/76"/>
        <s v="22/06/93"/>
        <s v="07/08/79"/>
        <s v="26/06/78"/>
        <s v="06/06/74"/>
        <s v="22/12/74"/>
        <s v="26/09/74"/>
        <s v="28/11/00"/>
        <s v="05/08/74"/>
        <s v="05/09/64"/>
        <s v="27/09/82"/>
        <s v="02/09/76"/>
        <s v="30/06/76"/>
        <s v="30/06/78"/>
        <s v="24/10/78"/>
        <s v="23/11/62"/>
        <s v="21/10/97"/>
        <s v="08/06/83"/>
        <s v="05/11/63"/>
        <s v="28/06/82"/>
        <s v="21/06/90"/>
        <s v="03/09/73"/>
        <s v="30/08/73"/>
        <s v="01/09/78"/>
        <s v="10/06/67"/>
        <s v="21/12/75"/>
        <s v="12/10/94"/>
        <s v="07/11/93"/>
        <s v="15/12/75"/>
        <s v="11/08/65"/>
        <s v="28/06/75"/>
        <s v="12/12/70"/>
        <s v="28/11/85"/>
        <s v="12/12/03"/>
        <s v="06/11/77"/>
        <s v="20/12/76"/>
        <s v="03/11/89"/>
        <s v="18/09/95"/>
        <s v="22/08/62"/>
        <s v="20/08/83"/>
        <s v="28/08/83"/>
        <s v="23/11/72"/>
        <s v="10/08/75"/>
        <s v="19/06/70"/>
        <s v="28/12/81"/>
        <s v="29/10/87"/>
        <s v="20/07/77"/>
        <s v="10/10/62"/>
        <s v="17/11/94"/>
        <s v="05/10/01"/>
        <s v="12/10/89"/>
        <s v="21/12/91"/>
        <s v="09/11/74"/>
        <s v="02/12/97"/>
        <s v="25/12/99"/>
        <s v="21/12/97"/>
        <s v="30/06/81"/>
        <s v="04/09/78"/>
        <s v="18/07/65"/>
        <s v="29/08/77"/>
        <s v="04/12/78"/>
        <s v="10/09/80"/>
        <s v="02/06/79"/>
        <s v="12/07/87"/>
        <s v="18/12/82"/>
        <s v="19/12/81"/>
        <s v="11/10/71"/>
        <s v="13/09/95"/>
        <s v="24/11/96"/>
        <s v="09/10/76"/>
        <s v="27/12/65"/>
        <s v="30/09/98"/>
        <s v="10/08/93"/>
        <s v="16/10/80"/>
        <s v="15/06/99"/>
        <s v="24/07/80"/>
        <s v="20/06/80"/>
        <s v="13/12/01"/>
        <s v="24/08/78"/>
        <s v="06/11/78"/>
        <s v="28/11/78"/>
        <s v="17/09/96"/>
        <s v="03/07/68"/>
        <s v="30/09/97"/>
        <s v="17/07/67"/>
        <s v="14/08/94"/>
        <s v="15/12/88"/>
        <s v="22/08/84"/>
        <s v="14/12/78"/>
        <s v="10/10/76"/>
        <s v="18/10/78"/>
        <s v="10/07/83"/>
        <s v="28/10/97"/>
        <s v="14/06/96"/>
        <s v="04/08/67"/>
        <s v="01/06/01"/>
        <s v="30/09/77"/>
        <s v="07/07/80"/>
        <s v="01/09/79"/>
        <s v="02/12/78"/>
        <s v="12/11/78"/>
        <s v="19/09/83"/>
        <s v="22/07/93"/>
        <s v="24/11/81"/>
        <s v="09/12/65"/>
        <s v="16/07/81"/>
        <s v="21/06/83"/>
        <s v="05/10/93"/>
        <s v="01/12/77"/>
        <s v="26/06/79"/>
        <s v="18/12/77"/>
        <s v="15/06/86"/>
        <s v="19/09/79"/>
        <s v="25/07/84"/>
        <s v="19/06/79"/>
        <s v="15/11/04"/>
        <s v="11/07/65"/>
        <s v="11/08/72"/>
        <s v="25/06/65"/>
        <s v="06/06/65"/>
        <s v="26/12/66"/>
        <s v="02/11/85"/>
        <s v="18/12/76"/>
        <s v="25/10/73"/>
        <s v="13/06/81"/>
        <s v="14/08/81"/>
        <s v="02/09/86"/>
        <s v="13/07/86"/>
        <s v="15/09/77"/>
        <s v="28/06/91"/>
        <s v="21/11/83"/>
        <s v="11/08/83"/>
        <s v="14/09/82"/>
        <s v="26/08/68"/>
        <s v="19/07/75"/>
        <s v="30/09/80"/>
        <s v="07/10/80"/>
        <s v="22/06/80"/>
        <s v="17/07/81"/>
        <s v="06/09/78"/>
        <s v="29/06/84"/>
        <s v="30/07/78"/>
        <s v="24/06/76"/>
        <s v="21/11/84"/>
        <s v="08/08/99"/>
        <s v="01/08/93"/>
        <s v="29/06/68"/>
        <s v="11/08/87"/>
        <s v="06/10/82"/>
        <s v="24/06/78"/>
        <s v="28/06/80"/>
        <s v="21/07/80"/>
        <s v="22/10/80"/>
        <s v="26/07/80"/>
        <s v="29/10/95"/>
        <s v="02/06/78"/>
        <s v="06/07/69"/>
        <s v="01/09/82"/>
        <s v="18/10/82"/>
        <s v="10/12/85"/>
        <s v="03/06/75"/>
        <s v="18/08/80"/>
        <s v="15/12/78"/>
        <s v="30/08/80"/>
        <s v="05/09/84"/>
        <s v="21/12/89"/>
        <s v="10/09/85"/>
        <s v="24/12/04"/>
        <s v="23/06/81"/>
        <s v="19/06/81"/>
        <s v="15/06/77"/>
        <s v="30/11/00"/>
        <s v="15/07/79"/>
        <s v="08/07/94"/>
        <s v="17/08/75"/>
        <s v="29/06/91"/>
        <s v="24/12/85"/>
        <s v="23/11/80"/>
        <s v="08/10/81"/>
        <s v="03/09/81"/>
        <s v="21/09/81"/>
        <s v="09/12/66"/>
        <s v="17/06/70"/>
        <s v="05/06/86"/>
        <s v="07/08/86"/>
        <s v="21/10/78"/>
        <s v="13/06/94"/>
        <s v="12/06/83"/>
        <s v="12/12/71"/>
        <s v="13/07/68"/>
        <s v="09/07/85"/>
        <s v="20/10/89"/>
        <s v="17/09/81"/>
        <s v="19/11/89"/>
        <s v="01/07/84"/>
        <s v="08/11/70"/>
        <s v="08/12/84"/>
        <s v="06/06/90"/>
        <s v="04/09/03"/>
        <s v="29/08/73"/>
        <s v="28/08/82"/>
        <s v="07/11/82"/>
        <s v="29/12/82"/>
        <s v="22/11/82"/>
        <s v="05/10/84"/>
        <s v="20/07/81"/>
        <s v="20/09/84"/>
        <s v="06/08/89"/>
        <s v="18/12/86"/>
        <s v="02/10/82"/>
        <s v="12/08/82"/>
        <s v="23/10/76"/>
        <s v="09/10/82"/>
        <s v="08/06/80"/>
        <s v="27/07/81"/>
        <s v="01/11/84"/>
        <s v="26/08/84"/>
        <s v="22/07/85"/>
        <s v="05/08/75"/>
        <s v="30/12/76"/>
        <s v="04/09/87"/>
        <s v="20/08/70"/>
        <s v="09/09/87"/>
        <s v="28/10/82"/>
        <s v="16/08/97"/>
        <s v="06/08/82"/>
        <s v="18/11/76"/>
        <s v="13/08/84"/>
        <s v="07/07/96"/>
        <s v="24/06/89"/>
        <s v="30/10/80"/>
        <s v="19/08/83"/>
        <s v="21/10/83"/>
        <s v="25/09/86"/>
        <s v="13/08/90"/>
        <s v="15/12/85"/>
        <s v="19/11/85"/>
        <s v="27/07/04"/>
        <s v="04/09/69"/>
        <s v="17/09/74"/>
        <s v="04/07/96"/>
        <s v="26/08/81"/>
        <s v="16/10/93"/>
        <s v="25/09/84"/>
        <s v="11/10/70"/>
        <s v="08/09/72"/>
        <s v="11/11/72"/>
        <s v="19/09/78"/>
        <s v="29/06/72"/>
        <s v="10/09/99"/>
        <s v="22/09/85"/>
        <s v="23/10/88"/>
        <s v="01/10/81"/>
        <s v="01/11/88"/>
        <s v="05/10/70"/>
        <s v="09/08/85"/>
        <s v="06/10/84"/>
        <s v="15/10/85"/>
        <s v="06/11/73"/>
        <s v="14/10/70"/>
        <s v="09/11/69"/>
        <s v="18/08/90"/>
        <s v="16/11/83"/>
        <s v="25/07/91"/>
        <s v="21/07/85"/>
        <s v="09/09/95"/>
        <s v="09/06/70"/>
        <s v="14/10/84"/>
        <s v="08/08/79"/>
        <s v="21/09/84"/>
        <s v="08/11/94"/>
        <s v="28/07/96"/>
        <s v="16/08/89"/>
        <s v="08/08/80"/>
        <s v="10/06/88"/>
        <s v="11/10/74"/>
        <s v="10/10/80"/>
        <s v="25/06/70"/>
        <s v="11/11/84"/>
        <s v="19/09/84"/>
        <s v="05/08/80"/>
        <s v="15/07/04"/>
        <s v="13/08/03"/>
        <s v="14/07/87"/>
        <s v="30/07/94"/>
        <s v="13/08/93"/>
        <s v="29/07/87"/>
        <s v="21/12/82"/>
        <s v="08/07/82"/>
        <s v="19/10/93"/>
        <s v="22/11/84"/>
        <s v="18/06/85"/>
        <s v="30/09/87"/>
        <s v="20/08/95"/>
        <s v="27/07/87"/>
        <s v="22/07/02"/>
        <s v="02/11/72"/>
        <s v="18/09/80"/>
        <s v="30/08/83"/>
        <s v="10/06/93"/>
        <s v="19/10/87"/>
        <s v="18/12/71"/>
        <s v="30/08/81"/>
        <s v="03/11/93"/>
        <s v="15/06/81"/>
        <s v="06/07/74"/>
        <s v="03/11/92"/>
        <s v="28/10/72"/>
        <s v="12/08/84"/>
        <s v="27/09/78"/>
        <s v="09/12/87"/>
        <s v="15/11/94"/>
        <s v="11/09/78"/>
        <s v="18/11/88"/>
        <s v="03/10/83"/>
        <s v="21/11/86"/>
        <s v="05/09/85"/>
        <s v="18/09/74"/>
        <s v="22/09/99"/>
        <s v="07/12/80"/>
        <s v="07/11/81"/>
        <s v="29/07/88"/>
        <s v="17/08/84"/>
        <s v="30/09/86"/>
        <s v="12/07/86"/>
        <s v="24/10/73"/>
        <s v="25/08/82"/>
        <s v="08/06/78"/>
        <s v="17/09/92"/>
        <s v="06/07/91"/>
        <s v="27/09/75"/>
        <s v="23/12/85"/>
        <s v="01/08/84"/>
        <s v="03/09/84"/>
        <s v="06/11/89"/>
        <s v="08/08/88"/>
        <s v="01/06/84"/>
        <s v="22/07/86"/>
        <s v="18/11/89"/>
        <s v="01/06/86"/>
        <s v="07/12/94"/>
        <s v="07/11/89"/>
        <s v="15/12/72"/>
        <s v="28/08/91"/>
        <s v="02/09/74"/>
        <s v="13/11/94"/>
        <s v="09/09/00"/>
        <s v="22/08/04"/>
        <s v="12/11/74"/>
        <s v="01/09/87"/>
        <s v="20/10/86"/>
        <s v="20/09/86"/>
        <s v="25/10/86"/>
        <s v="19/07/89"/>
        <s v="05/07/87"/>
        <s v="26/12/87"/>
        <s v="29/06/87"/>
        <s v="06/06/95"/>
        <s v="01/12/99"/>
        <s v="17/06/93"/>
        <s v="24/10/83"/>
        <s v="06/06/04"/>
        <s v="12/09/79"/>
        <s v="16/10/84"/>
        <s v="09/10/90"/>
        <s v="22/08/90"/>
        <s v="10/12/93"/>
        <s v="13/09/87"/>
        <s v="18/11/87"/>
        <s v="19/06/99"/>
        <s v="14/07/97"/>
        <s v="22/11/78"/>
        <s v="11/06/93"/>
        <s v="07/09/80"/>
        <s v="29/07/97"/>
        <s v="16/10/01"/>
        <s v="04/12/97"/>
        <s v="29/06/86"/>
        <s v="10/09/91"/>
        <s v="09/11/88"/>
        <s v="08/07/88"/>
        <s v="09/06/77"/>
        <s v="04/09/88"/>
        <s v="24/06/88"/>
        <s v="07/11/73"/>
        <s v="30/08/91"/>
        <s v="26/06/74"/>
        <s v="27/11/91"/>
        <s v="23/08/91"/>
        <s v="21/08/02"/>
        <s v="10/07/93"/>
        <s v="23/09/88"/>
        <s v="28/11/90"/>
        <s v="10/07/89"/>
        <s v="27/10/86"/>
        <s v="23/12/86"/>
        <s v="29/09/97"/>
        <s v="01/09/89"/>
        <s v="07/06/01"/>
        <s v="13/12/79"/>
        <s v="29/09/95"/>
        <s v="15/10/84"/>
        <s v="10/09/92"/>
        <s v="11/12/00"/>
        <s v="27/06/02"/>
        <s v="01/12/95"/>
        <s v="03/07/81"/>
        <s v="03/10/78"/>
        <s v="16/12/89"/>
        <s v="22/06/87"/>
        <s v="09/12/89"/>
        <s v="01/08/89"/>
        <s v="27/09/87"/>
        <s v="16/08/92"/>
        <s v="22/11/87"/>
        <s v="02/09/87"/>
        <s v="05/06/87"/>
        <s v="24/11/04"/>
        <s v="12/10/91"/>
        <s v="05/09/86"/>
        <s v="02/07/80"/>
        <s v="12/08/94"/>
        <s v="28/09/92"/>
        <s v="12/08/81"/>
        <s v="04/12/77"/>
        <s v="22/06/03"/>
        <s v="04/09/90"/>
        <s v="04/10/03"/>
        <s v="26/09/90"/>
        <s v="05/08/90"/>
        <s v="25/10/96"/>
        <s v="22/06/85"/>
        <s v="29/06/98"/>
        <s v="02/07/00"/>
        <s v="18/09/89"/>
        <s v="25/12/96"/>
        <s v="20/09/90"/>
        <s v="22/12/04"/>
        <s v="17/11/90"/>
        <s v="13/06/88"/>
        <s v="29/06/93"/>
        <s v="21/12/88"/>
        <s v="05/12/87"/>
        <s v="02/10/03"/>
        <s v="16/06/80"/>
        <s v="13/10/97"/>
        <s v="26/06/88"/>
        <s v="12/07/92"/>
        <s v="18/07/04"/>
        <s v="20/11/99"/>
        <s v="04/07/91"/>
        <s v="15/07/90"/>
        <s v="28/06/94"/>
        <s v="03/09/91"/>
        <s v="24/10/94"/>
        <s v="08/10/94"/>
        <s v="23/12/93"/>
        <s v="04/09/93"/>
        <s v="29/12/94"/>
        <s v="15/08/92"/>
        <s v="16/09/88"/>
        <s v="11/08/86"/>
        <s v="18/07/88"/>
        <s v="29/06/82"/>
        <s v="29/11/97"/>
        <s v="28/08/90"/>
        <s v="13/09/91"/>
        <s v="01/11/94"/>
        <s v="01/06/91"/>
        <s v="26/10/94"/>
        <s v="02/11/94"/>
        <s v="19/12/88"/>
        <s v="25/11/00"/>
        <s v="08/06/03"/>
        <s v="20/11/83"/>
        <s v="14/10/95"/>
        <s v="16/06/82"/>
        <s v="01/12/91"/>
        <s v="03/11/91"/>
        <s v="27/06/92"/>
        <s v="14/12/98"/>
        <s v="06/09/97"/>
        <s v="03/10/95"/>
        <s v="25/06/89"/>
        <s v="16/09/84"/>
        <s v="26/11/98"/>
        <s v="28/06/92"/>
        <s v="06/08/91"/>
        <s v="21/08/94"/>
        <s v="14/12/90"/>
        <s v="01/12/90"/>
        <s v="18/10/02"/>
        <s v="16/09/83"/>
        <s v="14/09/95"/>
        <s v="30/11/88"/>
        <s v="26/12/93"/>
        <s v="10/11/83"/>
        <s v="13/09/00"/>
        <s v="01/11/90"/>
        <s v="22/11/90"/>
        <s v="08/09/96"/>
        <s v="17/08/96"/>
        <s v="29/07/90"/>
        <s v="11/07/95"/>
        <s v="10/07/99"/>
        <s v="11/11/93"/>
        <s v="29/09/93"/>
        <s v="15/06/02"/>
        <s v="10/07/00"/>
        <s v="05/07/85"/>
        <s v="24/11/97"/>
        <s v="27/08/81"/>
        <s v="14/09/93"/>
        <s v="13/07/04"/>
        <s v="23/10/96"/>
        <s v="24/06/90"/>
        <s v="18/10/01"/>
        <s v="06/06/01"/>
        <s v="19/08/91"/>
        <s v="29/09/81"/>
        <s v="24/06/99"/>
        <s v="28/08/88"/>
        <s v="13/12/81"/>
        <s v="24/10/87"/>
        <s v="21/11/94"/>
        <s v="24/10/91"/>
        <s v="25/08/91"/>
        <s v="28/10/91"/>
        <s v="09/09/86"/>
        <s v="22/08/94"/>
        <s v="01/12/86"/>
        <s v="05/11/04"/>
        <s v="02/12/89"/>
        <s v="18/08/88"/>
        <s v="21/10/95"/>
        <s v="14/12/81"/>
        <s v="10/07/03"/>
        <s v="06/07/84"/>
        <s v="08/11/90"/>
        <s v="17/11/92"/>
        <s v="14/06/85"/>
        <s v="11/10/90"/>
        <s v="04/11/88"/>
        <s v="12/08/99"/>
        <s v="04/11/97"/>
        <s v="06/06/99"/>
        <s v="27/12/86"/>
        <s v="11/11/01"/>
        <s v="23/08/95"/>
        <s v="10/10/81"/>
        <s v="16/06/95"/>
        <s v="09/10/95"/>
        <s v="24/09/94"/>
        <s v="22/12/92"/>
        <s v="15/10/88"/>
        <s v="16/09/98"/>
        <s v="18/09/96"/>
        <s v="19/09/96"/>
        <s v="26/06/04"/>
        <s v="12/10/93"/>
        <s v="29/07/03"/>
        <s v="14/09/87"/>
        <s v="20/06/00"/>
        <s v="27/08/86"/>
        <s v="26/12/01"/>
        <s v="19/12/96"/>
        <s v="27/10/96"/>
        <s v="10/08/96"/>
        <s v="13/11/96"/>
        <s v="14/12/96"/>
        <s v="07/10/93"/>
        <s v="23/06/95"/>
        <s v="28/10/93"/>
        <s v="01/09/91"/>
        <s v="20/06/97"/>
        <s v="18/11/03"/>
        <s v="05/12/03"/>
        <s v="17/11/96"/>
        <s v="06/10/01"/>
        <s v="02/12/94"/>
        <s v="13/11/91"/>
        <s v="02/09/97"/>
        <s v="02/08/97"/>
        <s v="06/07/97"/>
        <s v="22/12/97"/>
        <s v="05/07/97"/>
        <s v="11/10/96"/>
        <s v="02/09/01"/>
        <s v="23/09/00"/>
        <s v="03/07/96"/>
        <s v="14/08/96"/>
        <s v="06/07/94"/>
        <s v="25/10/94"/>
        <s v="29/08/01"/>
        <s v="25/09/93"/>
        <s v="10/07/94"/>
        <s v="25/06/99"/>
        <s v="01/08/87"/>
        <s v="13/10/01"/>
        <s v="10/09/95"/>
        <s v="01/10/89"/>
        <s v="26/09/94"/>
        <s v="21/06/02"/>
        <s v="09/08/98"/>
        <s v="15/09/98"/>
        <s v="19/12/97"/>
        <s v="28/09/88"/>
        <s v="15/12/02"/>
        <s v="20/11/91"/>
        <s v="18/06/87"/>
        <s v="24/09/95"/>
        <s v="30/09/02"/>
        <s v="30/06/96"/>
        <s v="05/06/03"/>
        <s v="13/06/96"/>
        <s v="24/10/96"/>
        <s v="01/11/99"/>
        <s v="14/07/00"/>
        <s v="21/06/96"/>
        <s v="12/08/93"/>
        <s v="01/11/93"/>
        <s v="04/09/98"/>
        <s v="17/06/98"/>
        <s v="15/11/98"/>
        <s v="01/10/00"/>
        <s v="23/09/03"/>
        <s v="29/08/99"/>
        <s v="14/11/04"/>
        <s v="10/08/97"/>
        <s v="11/10/00"/>
        <s v="03/10/00"/>
        <s v="03/12/03"/>
        <s v="06/10/97"/>
        <s v="20/08/88"/>
        <s v="30/10/97"/>
        <s v="06/08/03"/>
        <s v="01/12/03"/>
        <s v="21/11/03"/>
        <s v="17/07/03"/>
        <s v="11/06/99"/>
        <s v="02/10/94"/>
        <s v="17/09/94"/>
        <s v="05/08/96"/>
        <s v="09/12/00"/>
        <s v="24/06/00"/>
        <s v="26/08/01"/>
        <s v="28/07/01"/>
        <s v="15/10/01"/>
        <s v="20/07/02"/>
        <s v="01/10/90"/>
        <s v="25/08/00"/>
        <s v="02/11/97"/>
        <s v="05/08/91"/>
        <s v="15/10/95"/>
        <s v="09/07/95"/>
        <s v="06/11/95"/>
        <s v="02/07/98"/>
        <s v="17/08/98"/>
        <s v="11/07/02"/>
        <s v="19/11/98"/>
        <s v="29/07/02"/>
        <s v="21/11/99"/>
        <s v="03/06/01"/>
        <s v="17/12/99"/>
        <s v="12/12/88"/>
        <s v="05/11/02"/>
        <s v="21/10/98"/>
        <s v="17/12/96"/>
        <s v="28/11/96"/>
        <s v="05/10/89"/>
        <s v="16/06/91"/>
        <s v="12/11/02"/>
        <s v="15/07/02"/>
        <s v="30/06/00"/>
        <s v="10/12/03"/>
        <s v="12/12/04"/>
        <s v="25/09/04"/>
        <s v="13/06/04"/>
        <s v="06/08/04"/>
        <s v="13/11/04"/>
        <s v="28/10/04"/>
        <s v="12/09/04"/>
        <s v="03/09/04"/>
        <s v="07/12/04"/>
        <s v="16/12/91"/>
        <s v="27/09/94"/>
        <s v="23/08/00"/>
        <s v="10/12/00"/>
        <s v="29/11/00"/>
        <s v="22/10/00"/>
        <s v="19/08/03"/>
        <s v="03/09/97"/>
        <s v="26/09/03"/>
        <s v="22/12/03"/>
        <s v="30/08/03"/>
        <s v="04/11/04"/>
        <s v="30/09/03"/>
        <s v="21/07/89"/>
        <s v="28/11/01"/>
        <s v="22/06/01"/>
        <s v="14/08/01"/>
        <s v="12/06/04"/>
        <s v="26/07/00"/>
        <s v="02/09/00"/>
        <s v="04/08/01"/>
        <s v="06/09/01"/>
        <s v="01/07/01"/>
        <s v="14/09/98"/>
        <s v="29/09/02"/>
        <s v="29/12/98"/>
        <s v="16/07/02"/>
        <s v="29/09/98"/>
        <s v="05/10/98"/>
        <s v="28/09/98"/>
        <s v="07/09/02"/>
        <s v="09/12/01"/>
        <s v="03/08/01"/>
        <s v="06/10/94"/>
        <s v="10/08/01"/>
        <s v="29/08/02"/>
        <s v="29/10/02"/>
        <s v="22/09/02"/>
        <s v="02/07/96"/>
        <s v="27/12/04"/>
        <s v="06/12/94"/>
        <s v="20/07/03"/>
        <s v="12/12/99"/>
        <s v="04/08/03"/>
        <s v="11/08/03"/>
        <s v="17/11/99"/>
        <s v="19/08/04"/>
        <s v="25/09/99"/>
        <s v="13/12/02"/>
        <s v="19/11/03"/>
        <s v="07/10/98"/>
        <s v="28/07/03"/>
        <s v="14/11/03"/>
        <s v="09/11/03"/>
        <s v="09/09/04"/>
        <s v="21/10/04"/>
        <s v="11/09/04"/>
        <s v="10/06/04"/>
        <s v="21/09/04"/>
        <s v="19/09/04"/>
        <s v="17/10/04"/>
        <s v="06/12/04"/>
        <s v="14/12/04"/>
        <s v="07/11/04"/>
        <s v="10/12/04"/>
        <s v="17/11/04"/>
        <s v="21/10/00"/>
        <s v="10/06/00"/>
        <s v="23/10/00"/>
        <s v="21/08/03"/>
        <s v="16/09/03"/>
        <s v="08/08/04"/>
        <s v="13/12/04"/>
        <s v="03/10/03"/>
        <s v="04/12/03"/>
        <s v="25/07/04"/>
        <s v="21/08/04"/>
        <s v="14/09/03"/>
        <s v="05/08/95"/>
        <s v="22/07/04"/>
        <s v="19/11/04"/>
        <s v="22/09/92"/>
        <s v="05/12/01"/>
        <s v="02/06/01"/>
        <s v="07/07/01"/>
        <s v="25/08/01"/>
        <s v="19/06/98"/>
        <s v="07/10/95"/>
        <s v="09/06/97"/>
        <s v="07/12/98"/>
        <s v="20/06/03"/>
        <s v="19/06/97"/>
        <s v="01/09/00"/>
        <s v="05/12/97"/>
        <s v="23/08/01"/>
        <s v="23/06/96"/>
        <s v="27/10/97"/>
        <s v="05/09/98"/>
        <s v="22/12/02"/>
        <s v="14/11/02"/>
        <s v="06/07/99"/>
        <s v="15/08/02"/>
        <s v="03/12/98"/>
        <s v="07/11/97"/>
        <s v="30/07/95"/>
        <s v="12/07/98"/>
        <s v="14/10/99"/>
        <s v="13/10/02"/>
        <s v="10/12/02"/>
        <s v="29/11/01"/>
        <s v="04/06/98"/>
        <s v="26/06/00"/>
        <s v="28/07/04"/>
        <s v="30/09/04"/>
        <s v="26/10/97"/>
        <s v="04/12/02"/>
        <s v="15/08/03"/>
        <s v="30/10/03"/>
        <s v="13/10/03"/>
        <s v="15/09/03"/>
        <s v="08/09/03"/>
        <s v="02/08/03"/>
        <s v="01/07/02"/>
        <s v="11/10/98"/>
        <s v="12/12/02"/>
        <s v="13/07/98"/>
        <s v="16/10/04"/>
        <s v="04/11/96"/>
        <s v="06/10/92"/>
        <s v="28/06/99"/>
        <s v="26/08/02"/>
        <s v="28/06/97"/>
        <s v="11/08/96"/>
        <s v="12/11/01"/>
        <s v="11/06/02"/>
        <s v="11/11/04"/>
        <s v="26/07/94"/>
        <s v="12/06/03"/>
        <s v="01/10/02"/>
        <s v="25/10/01"/>
        <s v="27/11/04"/>
        <s v="15/10/04"/>
        <s v="11/08/02"/>
        <s v="28/11/04"/>
        <s v="11/06/04"/>
        <s v="06/10/04"/>
        <s v="19/07/02"/>
        <s v="14/06/04"/>
        <s v="12/11/04"/>
        <s v="13/08/02"/>
        <s v="26/12/98"/>
        <s v="13/08/97"/>
        <s v="24/08/04"/>
        <s v="01/06/95"/>
        <s v="05/10/95"/>
        <s v="05/08/99"/>
        <s v="09/10/00"/>
        <s v="22/11/94"/>
        <s v="19/08/01"/>
        <s v="28/10/95"/>
        <s v="30/10/94"/>
        <s v="27/11/93"/>
        <s v="18/11/00"/>
        <s v="07/10/04"/>
        <s v="07/12/95"/>
        <s v="28/06/93"/>
        <s v="22/10/96"/>
        <s v="09/08/93"/>
        <s v="14/12/99"/>
        <s v="26/12/99"/>
        <s v="12/09/01"/>
        <s v="09/11/97"/>
        <s v="29/11/02"/>
        <s v="01/06/93"/>
        <s v="20/11/01"/>
        <s v="27/07/98"/>
        <s v="30/06/93"/>
        <s v="09/07/92"/>
      </sharedItems>
    </cacheField>
    <cacheField name="Age">
      <sharedItems containsMixedTypes="1" containsNumber="1" containsInteger="1">
        <n v="54.0"/>
        <n v="46.0"/>
        <s v="No Data"/>
        <n v="32.0"/>
        <n v="33.0"/>
        <n v="60.0"/>
        <n v="28.0"/>
        <n v="64.0"/>
        <n v="59.0"/>
        <n v="44.0"/>
        <n v="63.0"/>
        <n v="57.0"/>
        <n v="61.0"/>
        <n v="58.0"/>
        <n v="51.0"/>
        <n v="52.0"/>
        <n v="62.0"/>
        <n v="53.0"/>
        <n v="37.0"/>
        <n v="43.0"/>
        <n v="48.0"/>
        <n v="29.0"/>
        <n v="22.0"/>
        <n v="55.0"/>
        <n v="34.0"/>
        <n v="56.0"/>
        <n v="42.0"/>
        <n v="36.0"/>
        <n v="47.0"/>
        <n v="50.0"/>
        <n v="45.0"/>
        <n v="49.0"/>
        <n v="25.0"/>
        <n v="38.0"/>
        <n v="39.0"/>
        <n v="30.0"/>
        <n v="23.0"/>
        <n v="41.0"/>
        <n v="40.0"/>
        <n v="35.0"/>
        <n v="19.0"/>
        <n v="27.0"/>
        <n v="18.0"/>
        <n v="31.0"/>
        <n v="20.0"/>
        <n v="24.0"/>
        <n v="26.0"/>
        <n v="65.0"/>
        <n v="21.0"/>
      </sharedItems>
    </cacheField>
    <cacheField name="charges" numFmtId="164">
      <sharedItems containsSemiMixedTypes="0" containsString="0" containsNumber="1">
        <n v="63770.43"/>
        <n v="62592.87"/>
        <n v="60021.4"/>
        <n v="58571.07"/>
        <n v="55135.4"/>
        <n v="52590.83"/>
        <n v="51194.56"/>
        <n v="49577.66"/>
        <n v="48970.25"/>
        <n v="48885.14"/>
        <n v="48824.45"/>
        <n v="48675.52"/>
        <n v="48673.56"/>
        <n v="48549.18"/>
        <n v="48517.56"/>
        <n v="48173.36"/>
        <n v="47928.03"/>
        <n v="47896.79"/>
        <n v="47496.49"/>
        <n v="47462.89"/>
        <n v="47403.88"/>
        <n v="47305.31"/>
        <n v="47291.06"/>
        <n v="47269.85"/>
        <n v="47055.53"/>
        <n v="46889.26"/>
        <n v="46718.16"/>
        <n v="46661.44"/>
        <n v="46599.11"/>
        <n v="46255.11"/>
        <n v="46200.99"/>
        <n v="46151.12"/>
        <n v="46130.53"/>
        <n v="46113.51"/>
        <n v="45863.21"/>
        <n v="45710.21"/>
        <n v="45702.02"/>
        <n v="45008.96"/>
        <n v="44641.2"/>
        <n v="44585.46"/>
        <n v="44501.4"/>
        <n v="44423.8"/>
        <n v="44400.41"/>
        <n v="44260.75"/>
        <n v="44202.65"/>
        <n v="43943.88"/>
        <n v="43921.18"/>
        <n v="43896.38"/>
        <n v="43817.45"/>
        <n v="43813.87"/>
        <n v="43753.34"/>
        <n v="43578.94"/>
        <n v="43254.42"/>
        <n v="43073.76"/>
        <n v="42983.46"/>
        <n v="42969.85"/>
        <n v="42856.84"/>
        <n v="42764.12"/>
        <n v="42760.5"/>
        <n v="42644.2"/>
        <n v="42560.43"/>
        <n v="42538.72"/>
        <n v="42478.6"/>
        <n v="42303.69"/>
        <n v="42211.14"/>
        <n v="42188.15"/>
        <n v="42124.52"/>
        <n v="42112.24"/>
        <n v="42111.66"/>
        <n v="41999.52"/>
        <n v="41949.24"/>
        <n v="41919.1"/>
        <n v="41886.54"/>
        <n v="41794.63"/>
        <n v="41681.86"/>
        <n v="41676.08"/>
        <n v="41661.6"/>
        <n v="41636.2"/>
        <n v="41505.15"/>
        <n v="41351.88"/>
        <n v="41331.79"/>
        <n v="41271.5"/>
        <n v="41250.39"/>
        <n v="41191.57"/>
        <n v="41097.16"/>
        <n v="41055.29"/>
        <n v="41034.22"/>
        <n v="40974.16"/>
        <n v="40961.29"/>
        <n v="40941.29"/>
        <n v="40932.43"/>
        <n v="40904.2"/>
        <n v="40817.85"/>
        <n v="40720.55"/>
        <n v="40692.91"/>
        <n v="40590.55"/>
        <n v="40419.02"/>
        <n v="40373.74"/>
        <n v="40309.93"/>
        <n v="40284.38"/>
        <n v="40273.65"/>
        <n v="40208.56"/>
        <n v="40204.83"/>
        <n v="40182.25"/>
        <n v="40103.89"/>
        <n v="40069.44"/>
        <n v="40054.73"/>
        <n v="40003.33"/>
        <n v="39983.43"/>
        <n v="39963.12"/>
        <n v="39871.7"/>
        <n v="39865.7"/>
        <n v="39836.52"/>
        <n v="39774.28"/>
        <n v="39727.61"/>
        <n v="39725.52"/>
        <n v="39722.75"/>
        <n v="39721.93"/>
        <n v="39670.44"/>
        <n v="39611.76"/>
        <n v="39597.41"/>
        <n v="39556.49"/>
        <n v="39396.86"/>
        <n v="39352.6"/>
        <n v="39315.28"/>
        <n v="39241.44"/>
        <n v="39221.12"/>
        <n v="39125.33"/>
        <n v="39047.29"/>
        <n v="38998.55"/>
        <n v="38947.43"/>
        <n v="38932.56"/>
        <n v="38924.04"/>
        <n v="38893.36"/>
        <n v="38869.25"/>
        <n v="38836.98"/>
        <n v="38792.69"/>
        <n v="38746.36"/>
        <n v="38740.12"/>
        <n v="38711.0"/>
        <n v="38709.18"/>
        <n v="38652.09"/>
        <n v="38511.63"/>
        <n v="38415.47"/>
        <n v="38405.26"/>
        <n v="38389.79"/>
        <n v="38344.57"/>
        <n v="38313.13"/>
        <n v="38282.75"/>
        <n v="38245.59"/>
        <n v="38241.74"/>
        <n v="38237.34"/>
        <n v="38189.1"/>
        <n v="38126.25"/>
        <n v="37829.72"/>
        <n v="37800.98"/>
        <n v="37742.58"/>
        <n v="37735.2"/>
        <n v="37701.88"/>
        <n v="37675.06"/>
        <n v="37650.74"/>
        <n v="37607.53"/>
        <n v="37484.45"/>
        <n v="37465.34"/>
        <n v="37425.94"/>
        <n v="37277.27"/>
        <n v="37272.34"/>
        <n v="37270.15"/>
        <n v="37251.22"/>
        <n v="37165.16"/>
        <n v="37133.9"/>
        <n v="37079.37"/>
        <n v="37076.37"/>
        <n v="37040.88"/>
        <n v="36976.45"/>
        <n v="36950.26"/>
        <n v="36935.64"/>
        <n v="36922.61"/>
        <n v="36911.99"/>
        <n v="36910.61"/>
        <n v="36898.73"/>
        <n v="36889.99"/>
        <n v="36837.47"/>
        <n v="36795.29"/>
        <n v="36786.37"/>
        <n v="36580.28"/>
        <n v="36572.8"/>
        <n v="36541.55"/>
        <n v="36445.55"/>
        <n v="36397.58"/>
        <n v="36350.71"/>
        <n v="36332.45"/>
        <n v="36314.05"/>
        <n v="36307.8"/>
        <n v="36219.41"/>
        <n v="36197.7"/>
        <n v="36189.1"/>
        <n v="36182.87"/>
        <n v="36149.48"/>
        <n v="36124.57"/>
        <n v="36090.49"/>
        <n v="36085.22"/>
        <n v="36074.34"/>
        <n v="36021.01"/>
        <n v="35952.65"/>
        <n v="35883.27"/>
        <n v="35733.96"/>
        <n v="35711.39"/>
        <n v="35701.9"/>
        <n v="35595.59"/>
        <n v="35585.58"/>
        <n v="35583.17"/>
        <n v="35573.26"/>
        <n v="35547.72"/>
        <n v="35547.47"/>
        <n v="35517.19"/>
        <n v="35491.64"/>
        <n v="35345.73"/>
        <n v="35315.96"/>
        <n v="35302.09"/>
        <n v="35160.13"/>
        <n v="35147.53"/>
        <n v="35069.37"/>
        <n v="35050.62"/>
        <n v="35000.73"/>
        <n v="34979.86"/>
        <n v="34976.42"/>
        <n v="34975.68"/>
        <n v="34940.61"/>
        <n v="34838.87"/>
        <n v="34828.65"/>
        <n v="34806.47"/>
        <n v="34779.62"/>
        <n v="34672.15"/>
        <n v="34617.84"/>
        <n v="34543.39"/>
        <n v="34472.84"/>
        <n v="34456.27"/>
        <n v="34439.86"/>
        <n v="34402.22"/>
        <n v="34307.22"/>
        <n v="34293.12"/>
        <n v="34289.43"/>
        <n v="34254.05"/>
        <n v="34218.02"/>
        <n v="34210.33"/>
        <n v="34205.07"/>
        <n v="34166.27"/>
        <n v="34084.68"/>
        <n v="34053.36"/>
        <n v="33975.47"/>
        <n v="33907.55"/>
        <n v="33900.65"/>
        <n v="33829.39"/>
        <n v="33753.32"/>
        <n v="33750.29"/>
        <n v="33732.69"/>
        <n v="33707.55"/>
        <n v="33611.71"/>
        <n v="33527.1"/>
        <n v="33475.82"/>
        <n v="33471.97"/>
        <n v="33450.99"/>
        <n v="33344.45"/>
        <n v="33307.55"/>
        <n v="33292.83"/>
        <n v="33121.0"/>
        <n v="33090.66"/>
        <n v="33074.94"/>
        <n v="33057.23"/>
        <n v="33025.32"/>
        <n v="33017.46"/>
        <n v="32947.63"/>
        <n v="32906.69"/>
        <n v="32827.51"/>
        <n v="32787.46"/>
        <n v="32765.33"/>
        <n v="32760.48"/>
        <n v="32734.19"/>
        <n v="32716.2"/>
        <n v="32686.08"/>
        <n v="32672.11"/>
        <n v="32548.34"/>
        <n v="32485.46"/>
        <n v="32462.35"/>
        <n v="32430.22"/>
        <n v="32428.63"/>
        <n v="32288.49"/>
        <n v="32259.96"/>
        <n v="32222.81"/>
        <n v="32192.76"/>
        <n v="32108.66"/>
        <n v="32086.21"/>
        <n v="31980.89"/>
        <n v="31897.1"/>
        <n v="31743.92"/>
        <n v="31736.7"/>
        <n v="31620.0"/>
        <n v="31591.82"/>
        <n v="31368.81"/>
        <n v="31328.27"/>
        <n v="31322.53"/>
        <n v="31234.56"/>
        <n v="31196.61"/>
        <n v="30942.19"/>
        <n v="30763.01"/>
        <n v="30724.44"/>
        <n v="30697.71"/>
        <n v="30625.65"/>
        <n v="30530.5"/>
        <n v="30457.37"/>
        <n v="30422.03"/>
        <n v="30409.53"/>
        <n v="30366.93"/>
        <n v="30328.27"/>
        <n v="30284.64"/>
        <n v="30260.0"/>
        <n v="30184.94"/>
        <n v="30166.62"/>
        <n v="30134.75"/>
        <n v="30095.97"/>
        <n v="30063.58"/>
        <n v="30026.87"/>
        <n v="29969.67"/>
        <n v="29933.75"/>
        <n v="29929.56"/>
        <n v="29899.25"/>
        <n v="29852.48"/>
        <n v="29818.76"/>
        <n v="29816.64"/>
        <n v="29760.6"/>
        <n v="29757.69"/>
        <n v="29622.69"/>
        <n v="29583.8"/>
        <n v="29523.17"/>
        <n v="29443.59"/>
        <n v="29352.56"/>
        <n v="29330.98"/>
        <n v="29227.6"/>
        <n v="29186.48"/>
        <n v="29160.39"/>
        <n v="29141.36"/>
        <n v="29114.77"/>
        <n v="29114.21"/>
        <n v="29007.82"/>
        <n v="28998.68"/>
        <n v="28950.47"/>
        <n v="28923.14"/>
        <n v="28868.66"/>
        <n v="28716.14"/>
        <n v="28542.86"/>
        <n v="28476.73"/>
        <n v="28468.92"/>
        <n v="28340.19"/>
        <n v="28302.33"/>
        <n v="28287.9"/>
        <n v="28245.34"/>
        <n v="28101.33"/>
        <n v="28006.94"/>
        <n v="27980.77"/>
        <n v="27941.29"/>
        <n v="27931.11"/>
        <n v="27925.86"/>
        <n v="27849.94"/>
        <n v="27808.73"/>
        <n v="27724.29"/>
        <n v="27696.11"/>
        <n v="27625.17"/>
        <n v="27619.36"/>
        <n v="27614.71"/>
        <n v="27598.93"/>
        <n v="27534.53"/>
        <n v="27533.91"/>
        <n v="27495.59"/>
        <n v="27432.73"/>
        <n v="27375.9"/>
        <n v="27346.04"/>
        <n v="27322.73"/>
        <n v="27236.96"/>
        <n v="27218.44"/>
        <n v="27117.99"/>
        <n v="27092.38"/>
        <n v="27080.64"/>
        <n v="27037.91"/>
        <n v="27000.98"/>
        <n v="26936.98"/>
        <n v="26927.69"/>
        <n v="26926.51"/>
        <n v="26912.56"/>
        <n v="26607.89"/>
        <n v="26479.4"/>
        <n v="26467.1"/>
        <n v="26392.26"/>
        <n v="26316.59"/>
        <n v="26236.58"/>
        <n v="26140.36"/>
        <n v="26125.67"/>
        <n v="26109.33"/>
        <n v="26026.97"/>
        <n v="26018.95"/>
        <n v="25992.82"/>
        <n v="25678.78"/>
        <n v="25656.58"/>
        <n v="25648.98"/>
        <n v="25517.11"/>
        <n v="25382.3"/>
        <n v="25333.33"/>
        <n v="25309.49"/>
        <n v="25127.22"/>
        <n v="25081.77"/>
        <n v="25075.97"/>
        <n v="24915.22"/>
        <n v="24915.05"/>
        <n v="24873.38"/>
        <n v="24869.84"/>
        <n v="24863.25"/>
        <n v="24817.25"/>
        <n v="24795.04"/>
        <n v="24671.66"/>
        <n v="24667.42"/>
        <n v="24603.05"/>
        <n v="24535.7"/>
        <n v="24520.26"/>
        <n v="24513.09"/>
        <n v="24476.48"/>
        <n v="24393.62"/>
        <n v="24387.74"/>
        <n v="24294.02"/>
        <n v="24227.34"/>
        <n v="24180.93"/>
        <n v="24106.91"/>
        <n v="24059.68"/>
        <n v="23967.38"/>
        <n v="23887.66"/>
        <n v="23807.24"/>
        <n v="23568.27"/>
        <n v="23563.02"/>
        <n v="23401.31"/>
        <n v="23306.55"/>
        <n v="23288.93"/>
        <n v="23244.79"/>
        <n v="23241.47"/>
        <n v="23082.96"/>
        <n v="23065.42"/>
        <n v="23045.57"/>
        <n v="22493.66"/>
        <n v="22478.6"/>
        <n v="22462.04"/>
        <n v="22412.65"/>
        <n v="22395.74"/>
        <n v="22331.57"/>
        <n v="22218.11"/>
        <n v="22192.44"/>
        <n v="22144.03"/>
        <n v="22097.62"/>
        <n v="21984.47"/>
        <n v="21978.68"/>
        <n v="21882.4"/>
        <n v="21880.82"/>
        <n v="21797.0"/>
        <n v="21774.32"/>
        <n v="21771.34"/>
        <n v="21677.28"/>
        <n v="21661.16"/>
        <n v="21659.93"/>
        <n v="21595.38"/>
        <n v="21472.48"/>
        <n v="21348.71"/>
        <n v="21344.85"/>
        <n v="21259.38"/>
        <n v="21232.18"/>
        <n v="21223.68"/>
        <n v="21195.82"/>
        <n v="21098.55"/>
        <n v="21082.16"/>
        <n v="20893.06"/>
        <n v="20878.78"/>
        <n v="20781.49"/>
        <n v="20773.63"/>
        <n v="20745.99"/>
        <n v="20709.02"/>
        <n v="20630.28"/>
        <n v="20568.32"/>
        <n v="20463.0"/>
        <n v="20446.85"/>
        <n v="20420.6"/>
        <n v="20354.5"/>
        <n v="20296.86"/>
        <n v="20277.81"/>
        <n v="20253.84"/>
        <n v="20234.85"/>
        <n v="20177.67"/>
        <n v="20167.34"/>
        <n v="20149.32"/>
        <n v="20009.63"/>
        <n v="19995.29"/>
        <n v="19964.75"/>
        <n v="19933.46"/>
        <n v="19798.05"/>
        <n v="19749.38"/>
        <n v="19719.69"/>
        <n v="19673.34"/>
        <n v="19594.81"/>
        <n v="19551.34"/>
        <n v="19539.24"/>
        <n v="19521.97"/>
        <n v="19515.54"/>
        <n v="19496.72"/>
        <n v="19444.27"/>
        <n v="19442.35"/>
        <n v="19362.0"/>
        <n v="19350.37"/>
        <n v="19321.06"/>
        <n v="19259.96"/>
        <n v="19214.71"/>
        <n v="19199.94"/>
        <n v="19144.58"/>
        <n v="19107.78"/>
        <n v="19040.88"/>
        <n v="19023.26"/>
        <n v="18972.5"/>
        <n v="18963.17"/>
        <n v="18955.22"/>
        <n v="18954.56"/>
        <n v="18932.81"/>
        <n v="18903.49"/>
        <n v="18883.33"/>
        <n v="18838.7"/>
        <n v="18815.53"/>
        <n v="18806.15"/>
        <n v="18804.75"/>
        <n v="18767.74"/>
        <n v="18765.88"/>
        <n v="18694.69"/>
        <n v="18682.74"/>
        <n v="18648.42"/>
        <n v="18608.26"/>
        <n v="18443.11"/>
        <n v="18328.24"/>
        <n v="18310.74"/>
        <n v="18259.22"/>
        <n v="18246.5"/>
        <n v="18223.45"/>
        <n v="18218.16"/>
        <n v="18208.34"/>
        <n v="18157.88"/>
        <n v="18033.97"/>
        <n v="18031.19"/>
        <n v="18031.16"/>
        <n v="17942.11"/>
        <n v="17929.3"/>
        <n v="17904.53"/>
        <n v="17882.67"/>
        <n v="17878.9"/>
        <n v="17862.92"/>
        <n v="17832.6"/>
        <n v="17779.94"/>
        <n v="17777.73"/>
        <n v="17748.51"/>
        <n v="17663.14"/>
        <n v="17626.24"/>
        <n v="17584.72"/>
        <n v="17560.38"/>
        <n v="17556.88"/>
        <n v="17507.47"/>
        <n v="17505.65"/>
        <n v="17496.31"/>
        <n v="17479.53"/>
        <n v="17468.98"/>
        <n v="17361.77"/>
        <n v="17352.68"/>
        <n v="17337.58"/>
        <n v="17253.43"/>
        <n v="17179.52"/>
        <n v="17178.68"/>
        <n v="17174.52"/>
        <n v="17172.27"/>
        <n v="17128.43"/>
        <n v="17085.27"/>
        <n v="17081.08"/>
        <n v="17043.34"/>
        <n v="17016.01"/>
        <n v="16990.55"/>
        <n v="16921.09"/>
        <n v="16903.5"/>
        <n v="16884.92"/>
        <n v="16841.32"/>
        <n v="16796.41"/>
        <n v="16779.4"/>
        <n v="16776.3"/>
        <n v="16770.99"/>
        <n v="16657.72"/>
        <n v="16631.61"/>
        <n v="16602.18"/>
        <n v="16600.16"/>
        <n v="16587.96"/>
        <n v="16586.5"/>
        <n v="16577.78"/>
        <n v="16455.71"/>
        <n v="16450.89"/>
        <n v="16420.49"/>
        <n v="16351.42"/>
        <n v="16311.05"/>
        <n v="16297.85"/>
        <n v="16267.32"/>
        <n v="16232.85"/>
        <n v="16205.88"/>
        <n v="16199.1"/>
        <n v="16190.97"/>
        <n v="16152.04"/>
        <n v="16138.76"/>
        <n v="16122.65"/>
        <n v="16115.3"/>
        <n v="16097.94"/>
        <n v="16085.13"/>
        <n v="16069.08"/>
        <n v="16062.89"/>
        <n v="16059.06"/>
        <n v="15966.19"/>
        <n v="15965.29"/>
        <n v="15922.29"/>
        <n v="15840.81"/>
        <n v="15828.82"/>
        <n v="15820.7"/>
        <n v="15817.99"/>
        <n v="15746.62"/>
        <n v="15698.86"/>
        <n v="15670.3"/>
        <n v="15646.28"/>
        <n v="15612.19"/>
        <n v="15608.58"/>
        <n v="15556.67"/>
        <n v="15555.19"/>
        <n v="15532.16"/>
        <n v="15518.18"/>
        <n v="15450.48"/>
        <n v="15440.2"/>
        <n v="15377.77"/>
        <n v="15368.22"/>
        <n v="15363.77"/>
        <n v="15361.5"/>
        <n v="15359.1"/>
        <n v="15322.77"/>
        <n v="15260.52"/>
        <n v="15230.32"/>
        <n v="15207.92"/>
        <n v="15174.81"/>
        <n v="15170.07"/>
        <n v="15161.53"/>
        <n v="15161.25"/>
        <n v="15150.44"/>
        <n v="15123.19"/>
        <n v="15103.69"/>
        <n v="15090.35"/>
        <n v="15052.68"/>
        <n v="15038.51"/>
        <n v="15026.3"/>
        <n v="15025.76"/>
        <n v="15019.76"/>
        <n v="15006.58"/>
        <n v="14988.43"/>
        <n v="14945.34"/>
        <n v="14926.97"/>
        <n v="14908.27"/>
        <n v="14901.52"/>
        <n v="14847.63"/>
        <n v="14843.96"/>
        <n v="14839.34"/>
        <n v="14819.0"/>
        <n v="14750.42"/>
        <n v="14738.43"/>
        <n v="14711.74"/>
        <n v="14696.77"/>
        <n v="14692.67"/>
        <n v="14665.75"/>
        <n v="14657.2"/>
        <n v="14640.35"/>
        <n v="14630.52"/>
        <n v="14612.33"/>
        <n v="14600.62"/>
        <n v="14590.63"/>
        <n v="14574.64"/>
        <n v="14571.89"/>
        <n v="14547.26"/>
        <n v="14507.46"/>
        <n v="14478.33"/>
        <n v="14474.68"/>
        <n v="14470.01"/>
        <n v="14455.64"/>
        <n v="14451.84"/>
        <n v="14449.85"/>
        <n v="14427.63"/>
        <n v="14426.66"/>
        <n v="14426.07"/>
        <n v="14418.28"/>
        <n v="14410.93"/>
        <n v="14394.56"/>
        <n v="14394.4"/>
        <n v="14382.71"/>
        <n v="14358.36"/>
        <n v="14355.43"/>
        <n v="14349.85"/>
        <n v="14337.91"/>
        <n v="14319.03"/>
        <n v="14313.85"/>
        <n v="14285.9"/>
        <n v="14283.46"/>
        <n v="14258.33"/>
        <n v="14256.79"/>
        <n v="14256.19"/>
        <n v="14254.61"/>
        <n v="14235.07"/>
        <n v="14210.54"/>
        <n v="14209.4"/>
        <n v="14193.55"/>
        <n v="14152.46"/>
        <n v="14133.04"/>
        <n v="14119.62"/>
        <n v="14098.07"/>
        <n v="14081.93"/>
        <n v="14043.48"/>
        <n v="14007.22"/>
        <n v="14001.29"/>
        <n v="14001.13"/>
        <n v="13981.85"/>
        <n v="13979.45"/>
        <n v="13974.46"/>
        <n v="13937.67"/>
        <n v="13919.82"/>
        <n v="13887.97"/>
        <n v="13887.2"/>
        <n v="13886.4"/>
        <n v="13880.95"/>
        <n v="13874.89"/>
        <n v="13844.8"/>
        <n v="13844.51"/>
        <n v="13831.12"/>
        <n v="13822.8"/>
        <n v="13819.49"/>
        <n v="13801.61"/>
        <n v="13770.1"/>
        <n v="13747.87"/>
        <n v="13746.74"/>
        <n v="13726.21"/>
        <n v="13725.47"/>
        <n v="13714.55"/>
        <n v="13685.51"/>
        <n v="13677.68"/>
        <n v="13638.06"/>
        <n v="13635.64"/>
        <n v="13622.01"/>
        <n v="13616.36"/>
        <n v="13607.37"/>
        <n v="13588.17"/>
        <n v="13566.04"/>
        <n v="13555.0"/>
        <n v="13511.28"/>
        <n v="13480.83"/>
        <n v="13472.19"/>
        <n v="13470.86"/>
        <n v="13470.8"/>
        <n v="13465.8"/>
        <n v="13462.52"/>
        <n v="13457.96"/>
        <n v="13451.12"/>
        <n v="13440.7"/>
        <n v="13430.27"/>
        <n v="13429.04"/>
        <n v="13417.05"/>
        <n v="13415.04"/>
        <n v="13412.97"/>
        <n v="13405.39"/>
        <n v="13393.76"/>
        <n v="13390.56"/>
        <n v="13383.67"/>
        <n v="13377.41"/>
        <n v="13375.76"/>
        <n v="13360.94"/>
        <n v="13352.1"/>
        <n v="13333.71"/>
        <n v="13292.52"/>
        <n v="13228.85"/>
        <n v="13224.69"/>
        <n v="13224.06"/>
        <n v="13217.09"/>
        <n v="13214.43"/>
        <n v="13204.29"/>
        <n v="13143.86"/>
        <n v="13143.34"/>
        <n v="13129.6"/>
        <n v="13126.68"/>
        <n v="13116.84"/>
        <n v="13113.51"/>
        <n v="13112.6"/>
        <n v="13110.79"/>
        <n v="13101.74"/>
        <n v="13063.88"/>
        <n v="13051.22"/>
        <n v="13047.33"/>
        <n v="13044.41"/>
        <n v="13041.92"/>
        <n v="13023.93"/>
        <n v="13019.16"/>
        <n v="13012.21"/>
        <n v="13010.86"/>
        <n v="13008.07"/>
        <n v="13004.95"/>
        <n v="13002.91"/>
        <n v="12994.12"/>
        <n v="12982.87"/>
        <n v="12981.35"/>
        <n v="12979.36"/>
        <n v="12957.12"/>
        <n v="12950.07"/>
        <n v="12949.16"/>
        <n v="12928.79"/>
        <n v="12925.89"/>
        <n v="12913.99"/>
        <n v="12890.06"/>
        <n v="12870.31"/>
        <n v="12856.84"/>
        <n v="12852.37"/>
        <n v="12847.24"/>
        <n v="12829.46"/>
        <n v="12823.25"/>
        <n v="12815.44"/>
        <n v="12797.21"/>
        <n v="12788.18"/>
        <n v="12788.03"/>
        <n v="12776.05"/>
        <n v="12770.27"/>
        <n v="12741.17"/>
        <n v="12731.0"/>
        <n v="12718.21"/>
        <n v="12713.0"/>
        <n v="12700.63"/>
        <n v="12699.56"/>
        <n v="12697.48"/>
        <n v="12648.7"/>
        <n v="12646.21"/>
        <n v="12644.59"/>
        <n v="12643.38"/>
        <n v="12640.24"/>
        <n v="12638.2"/>
        <n v="12629.9"/>
        <n v="12629.17"/>
        <n v="12624.74"/>
        <n v="12622.18"/>
        <n v="12609.89"/>
        <n v="12600.46"/>
        <n v="12592.53"/>
        <n v="12579.92"/>
        <n v="12574.05"/>
        <n v="12557.61"/>
        <n v="12523.6"/>
        <n v="12499.88"/>
        <n v="12495.29"/>
        <n v="12485.8"/>
        <n v="12479.71"/>
        <n v="12475.35"/>
        <n v="12452.25"/>
        <n v="12430.95"/>
        <n v="12408.29"/>
        <n v="12407.3"/>
        <n v="12404.88"/>
        <n v="12369.89"/>
        <n v="12363.55"/>
        <n v="12347.17"/>
        <n v="12333.83"/>
        <n v="12323.94"/>
        <n v="12299.59"/>
        <n v="12282.38"/>
        <n v="12282.03"/>
        <n v="12269.69"/>
        <n v="12268.63"/>
        <n v="12265.51"/>
        <n v="12255.04"/>
        <n v="12254.44"/>
        <n v="12245.17"/>
        <n v="12244.53"/>
        <n v="12237.73"/>
        <n v="12235.84"/>
        <n v="12233.83"/>
        <n v="12231.61"/>
        <n v="12224.35"/>
        <n v="12222.9"/>
        <n v="12218.7"/>
        <n v="12198.64"/>
        <n v="12148.2"/>
        <n v="12146.97"/>
        <n v="12142.58"/>
        <n v="12137.6"/>
        <n v="12130.8"/>
        <n v="12129.61"/>
        <n v="12124.99"/>
        <n v="12105.32"/>
        <n v="12096.65"/>
        <n v="12094.48"/>
        <n v="12091.34"/>
        <n v="12048.13"/>
        <n v="12044.34"/>
        <n v="12035.18"/>
        <n v="12032.33"/>
        <n v="12029.29"/>
        <n v="12001.29"/>
        <n v="11994.89"/>
        <n v="11987.68"/>
        <n v="11987.17"/>
        <n v="11946.63"/>
        <n v="11945.13"/>
        <n v="11944.59"/>
        <n v="11941.83"/>
        <n v="11938.26"/>
        <n v="11931.13"/>
        <n v="11918.2"/>
        <n v="11884.05"/>
        <n v="11881.97"/>
        <n v="11881.36"/>
        <n v="11879.1"/>
        <n v="11858.56"/>
        <n v="11856.41"/>
        <n v="11848.14"/>
        <n v="11842.62"/>
        <n v="11842.44"/>
        <n v="11840.78"/>
        <n v="11837.16"/>
        <n v="11833.78"/>
        <n v="11830.61"/>
        <n v="11773.06"/>
        <n v="11763.0"/>
        <n v="11752.68"/>
        <n v="11743.93"/>
        <n v="11743.3"/>
        <n v="11741.73"/>
        <n v="11737.85"/>
        <n v="11735.88"/>
        <n v="11730.82"/>
        <n v="11729.68"/>
        <n v="11712.97"/>
        <n v="11696.52"/>
        <n v="11674.13"/>
        <n v="11658.38"/>
        <n v="11658.12"/>
        <n v="11657.81"/>
        <n v="11657.72"/>
        <n v="11625.11"/>
        <n v="11602.75"/>
        <n v="11576.13"/>
        <n v="11566.3"/>
        <n v="11554.22"/>
        <n v="11552.9"/>
        <n v="11540.25"/>
        <n v="11538.42"/>
        <n v="11534.87"/>
        <n v="11530.12"/>
        <n v="11524.25"/>
        <n v="11520.1"/>
        <n v="11512.41"/>
        <n v="11511.61"/>
        <n v="11497.69"/>
        <n v="11492.46"/>
        <n v="11488.32"/>
        <n v="11482.63"/>
        <n v="11478.14"/>
        <n v="11455.28"/>
        <n v="11454.02"/>
        <n v="11436.74"/>
        <n v="11435.74"/>
        <n v="11419.49"/>
        <n v="11412.02"/>
        <n v="11411.69"/>
        <n v="11396.9"/>
        <n v="11394.07"/>
        <n v="11388.27"/>
        <n v="11381.33"/>
        <n v="11378.57"/>
        <n v="11369.39"/>
        <n v="11365.95"/>
        <n v="11363.28"/>
        <n v="11362.76"/>
        <n v="11356.66"/>
        <n v="11353.23"/>
        <n v="11345.52"/>
        <n v="11344.32"/>
        <n v="11326.71"/>
        <n v="11321.49"/>
        <n v="11319.12"/>
        <n v="11318.57"/>
        <n v="11312.33"/>
        <n v="11305.93"/>
        <n v="11299.34"/>
        <n v="11294.57"/>
        <n v="11289.11"/>
        <n v="11286.54"/>
        <n v="11272.33"/>
        <n v="11265.71"/>
        <n v="11264.54"/>
        <n v="11255.29"/>
        <n v="11253.42"/>
        <n v="11250.43"/>
        <n v="11244.38"/>
        <n v="11217.35"/>
        <n v="11187.66"/>
        <n v="11186.2"/>
        <n v="11165.42"/>
        <n v="11163.57"/>
        <n v="11150.78"/>
        <n v="11103.33"/>
        <n v="11093.62"/>
        <n v="11090.72"/>
        <n v="11085.59"/>
        <n v="11082.58"/>
        <n v="11073.18"/>
        <n v="11070.54"/>
        <n v="11068.77"/>
        <n v="11068.7"/>
        <n v="11046.02"/>
        <n v="11037.85"/>
        <n v="11037.51"/>
        <n v="11033.66"/>
        <n v="11028.56"/>
        <n v="11018.05"/>
        <n v="11015.17"/>
        <n v="11013.71"/>
        <n v="10991.58"/>
        <n v="10982.5"/>
        <n v="10977.21"/>
        <n v="10976.25"/>
        <n v="10965.45"/>
        <n v="10959.69"/>
        <n v="10959.33"/>
        <n v="10942.13"/>
        <n v="10928.85"/>
        <n v="10923.93"/>
        <n v="10886.66"/>
        <n v="10848.13"/>
        <n v="10825.25"/>
        <n v="10807.49"/>
        <n v="10806.84"/>
        <n v="10797.34"/>
        <n v="10796.35"/>
        <n v="10795.94"/>
        <n v="10791.96"/>
        <n v="10769.75"/>
        <n v="10749.02"/>
        <n v="10736.87"/>
        <n v="10719.57"/>
        <n v="10713.64"/>
        <n v="10704.47"/>
        <n v="10702.64"/>
        <n v="10698.38"/>
        <n v="10690.11"/>
        <n v="10676.83"/>
        <n v="10665.44"/>
        <n v="10627.81"/>
        <n v="10620.26"/>
        <n v="10617.04"/>
        <n v="10608.67"/>
        <n v="10602.39"/>
        <n v="10601.63"/>
        <n v="10601.41"/>
        <n v="10600.55"/>
        <n v="10594.5"/>
        <n v="10594.23"/>
        <n v="10579.71"/>
        <n v="10577.09"/>
        <n v="10564.88"/>
        <n v="10560.49"/>
        <n v="10546.48"/>
        <n v="10495.6"/>
        <n v="10493.95"/>
        <n v="10486.55"/>
        <n v="10464.83"/>
        <n v="10461.98"/>
        <n v="10459.19"/>
        <n v="10455.14"/>
        <n v="10455.1"/>
        <n v="10450.55"/>
        <n v="10436.1"/>
        <n v="10435.07"/>
        <n v="10422.92"/>
        <n v="10419.65"/>
        <n v="10419.59"/>
        <n v="10407.98"/>
        <n v="10407.09"/>
        <n v="10403.27"/>
        <n v="10381.48"/>
        <n v="10370.91"/>
        <n v="10356.67"/>
        <n v="10355.64"/>
        <n v="10352.48"/>
        <n v="10345.93"/>
        <n v="10338.93"/>
        <n v="10329.06"/>
        <n v="10325.21"/>
        <n v="10322.9"/>
        <n v="10315.91"/>
        <n v="10310.78"/>
        <n v="10308.04"/>
        <n v="10276.99"/>
        <n v="10274.33"/>
        <n v="10269.46"/>
        <n v="10264.44"/>
        <n v="10259.13"/>
        <n v="10231.5"/>
        <n v="10226.28"/>
        <n v="10214.64"/>
        <n v="10197.77"/>
        <n v="10191.82"/>
        <n v="10160.87"/>
        <n v="10156.78"/>
        <n v="10146.13"/>
        <n v="10141.14"/>
        <n v="10139.84"/>
        <n v="10118.42"/>
        <n v="10115.01"/>
        <n v="10107.22"/>
        <n v="10106.13"/>
        <n v="10096.97"/>
        <n v="10085.85"/>
        <n v="10072.06"/>
        <n v="10065.41"/>
        <n v="10043.25"/>
        <n v="10027.15"/>
        <n v="10011.44"/>
        <n v="9991.04"/>
        <n v="9964.06"/>
        <n v="9957.72"/>
        <n v="9933.44"/>
        <n v="9931.96"/>
        <n v="9930.64"/>
        <n v="9910.36"/>
        <n v="9907.83"/>
        <n v="9894.69"/>
        <n v="9890.23"/>
        <n v="9880.07"/>
        <n v="9877.61"/>
        <n v="9875.68"/>
        <n v="9872.7"/>
        <n v="9870.59"/>
        <n v="9869.81"/>
        <n v="9866.3"/>
        <n v="9863.47"/>
        <n v="9861.03"/>
        <n v="9855.13"/>
        <n v="9850.43"/>
        <n v="9844.45"/>
        <n v="9836.21"/>
        <n v="9819.25"/>
        <n v="9800.89"/>
        <n v="9788.87"/>
        <n v="9787.32"/>
        <n v="9778.35"/>
        <n v="9764.08"/>
        <n v="9753.49"/>
        <n v="9748.91"/>
        <n v="9724.53"/>
        <n v="9722.77"/>
        <n v="9715.84"/>
        <n v="9710.71"/>
        <n v="9704.67"/>
        <n v="9698.42"/>
        <n v="9684.29"/>
        <n v="9664.34"/>
        <n v="9653.81"/>
        <n v="9644.25"/>
        <n v="9634.54"/>
        <n v="9630.91"/>
        <n v="9630.4"/>
        <n v="9630.3"/>
        <n v="9628.79"/>
        <n v="9625.92"/>
        <n v="9620.33"/>
        <n v="9619.18"/>
        <n v="9617.66"/>
        <n v="9597.63"/>
        <n v="9584.04"/>
        <n v="9583.89"/>
        <n v="9582.54"/>
        <n v="9566.99"/>
        <n v="9563.03"/>
        <n v="9549.57"/>
        <n v="9541.7"/>
        <n v="9540.17"/>
        <n v="9538.65"/>
        <n v="9528.9"/>
        <n v="9507.68"/>
        <n v="9504.31"/>
        <n v="9500.57"/>
        <n v="9487.64"/>
        <n v="9453.92"/>
        <n v="9448.42"/>
        <n v="9447.38"/>
        <n v="9447.25"/>
        <n v="9432.93"/>
        <n v="9414.92"/>
        <n v="9411.01"/>
        <n v="9391.35"/>
        <n v="9386.16"/>
        <n v="9380.75"/>
        <n v="9377.9"/>
        <n v="9377.45"/>
        <n v="9361.33"/>
        <n v="9344.2"/>
        <n v="9338.61"/>
        <n v="9320.26"/>
        <n v="9315.41"/>
        <n v="9310.81"/>
        <n v="9304.7"/>
        <n v="9301.89"/>
        <n v="9290.14"/>
        <n v="9288.03"/>
        <n v="9285.87"/>
        <n v="9283.56"/>
        <n v="9282.48"/>
        <n v="9264.8"/>
        <n v="9249.5"/>
        <n v="9247.94"/>
        <n v="9225.26"/>
        <n v="9222.4"/>
        <n v="9210.06"/>
        <n v="9193.84"/>
        <n v="9182.17"/>
        <n v="9174.14"/>
        <n v="9171.75"/>
        <n v="9159.51"/>
        <n v="9147.5"/>
        <n v="9144.57"/>
        <n v="9140.95"/>
        <n v="9101.8"/>
        <n v="9095.94"/>
        <n v="9095.07"/>
        <n v="9058.73"/>
        <n v="9048.03"/>
        <n v="9010.2"/>
        <n v="8998.43"/>
        <n v="8988.16"/>
        <n v="8978.19"/>
        <n v="8968.33"/>
        <n v="8965.8"/>
        <n v="8964.06"/>
        <n v="8954.99"/>
        <n v="8944.12"/>
        <n v="8932.08"/>
        <n v="8930.93"/>
        <n v="8908.47"/>
        <n v="8906.14"/>
        <n v="8891.14"/>
        <n v="8890.59"/>
        <n v="8871.15"/>
        <n v="8835.26"/>
        <n v="8827.21"/>
        <n v="8825.09"/>
        <n v="8824.27"/>
        <n v="8823.99"/>
        <n v="8823.28"/>
        <n v="8821.88"/>
        <n v="8800.49"/>
        <n v="8798.59"/>
        <n v="8782.47"/>
        <n v="8765.25"/>
        <n v="8760.12"/>
        <n v="8747.68"/>
        <n v="8733.23"/>
        <n v="8703.46"/>
        <n v="8701.84"/>
        <n v="8688.86"/>
        <n v="8671.19"/>
        <n v="8665.14"/>
        <n v="8665.09"/>
        <n v="8627.54"/>
        <n v="8615.3"/>
        <n v="8606.22"/>
        <n v="8605.36"/>
        <n v="8604.48"/>
        <n v="8603.82"/>
        <n v="8601.33"/>
        <n v="8596.83"/>
        <n v="8582.3"/>
        <n v="8573.3"/>
        <n v="8572.04"/>
        <n v="8569.86"/>
        <n v="8567.25"/>
        <n v="8556.91"/>
        <n v="8551.35"/>
        <n v="8547.69"/>
        <n v="8539.67"/>
        <n v="8538.29"/>
        <n v="8534.67"/>
        <n v="8527.53"/>
        <n v="8522.0"/>
        <n v="8520.03"/>
        <n v="8516.83"/>
        <n v="8515.76"/>
        <n v="8471.65"/>
        <n v="8466.35"/>
        <n v="8457.82"/>
        <n v="8450.82"/>
        <n v="8448.66"/>
        <n v="8444.47"/>
        <n v="8442.67"/>
        <n v="8440.05"/>
        <n v="8428.07"/>
        <n v="8413.46"/>
        <n v="8410.05"/>
        <n v="8400.01"/>
        <n v="8396.62"/>
        <n v="8355.54"/>
        <n v="8347.16"/>
        <n v="8342.91"/>
        <n v="8334.59"/>
        <n v="8334.46"/>
        <n v="8314.65"/>
        <n v="8310.84"/>
        <n v="8302.54"/>
        <n v="8283.68"/>
        <n v="8280.62"/>
        <n v="8277.52"/>
        <n v="8271.46"/>
        <n v="8269.04"/>
        <n v="8268.0"/>
        <n v="8252.28"/>
        <n v="8240.59"/>
        <n v="8233.1"/>
        <n v="8232.64"/>
        <n v="8219.2"/>
        <n v="8211.1"/>
        <n v="8188.12"/>
        <n v="8182.89"/>
        <n v="8179.51"/>
        <n v="8177.9"/>
        <n v="8162.72"/>
        <n v="8157.92"/>
        <n v="8125.78"/>
        <n v="8124.41"/>
        <n v="8116.68"/>
        <n v="8116.27"/>
        <n v="8112.59"/>
        <n v="8091.3"/>
        <n v="8083.92"/>
        <n v="8081.74"/>
        <n v="8081.26"/>
        <n v="8077.41"/>
        <n v="8071.57"/>
        <n v="8068.19"/>
        <n v="8067.83"/>
        <n v="8062.76"/>
        <n v="8062.31"/>
        <n v="8059.68"/>
        <n v="8059.06"/>
        <n v="8035.64"/>
        <n v="8027.97"/>
        <n v="8026.67"/>
        <n v="8023.14"/>
        <n v="8021.11"/>
        <n v="8017.06"/>
        <n v="8014.62"/>
        <n v="8004.96"/>
        <n v="7986.48"/>
        <n v="7985.82"/>
        <n v="7980.34"/>
        <n v="7966.81"/>
        <n v="7958.13"/>
        <n v="7954.52"/>
        <n v="7953.72"/>
        <n v="7948.22"/>
        <n v="7935.29"/>
        <n v="7896.41"/>
        <n v="7851.85"/>
        <n v="7844.8"/>
        <n v="7824.37"/>
        <n v="7812.67"/>
        <n v="7804.16"/>
        <n v="7803.77"/>
        <n v="7794.68"/>
        <n v="7789.64"/>
        <n v="7763.06"/>
        <n v="7749.16"/>
        <n v="7742.11"/>
        <n v="7740.34"/>
        <n v="7736.39"/>
        <n v="7731.86"/>
        <n v="7731.43"/>
        <n v="7729.65"/>
        <n v="7727.25"/>
        <n v="7726.85"/>
        <n v="7684.62"/>
        <n v="7682.67"/>
        <n v="7681.17"/>
        <n v="7680.92"/>
        <n v="7676.4"/>
        <n v="7670.75"/>
        <n v="7662.47"/>
        <n v="7657.69"/>
        <n v="7652.26"/>
        <n v="7650.8"/>
        <n v="7650.77"/>
        <n v="7642.05"/>
        <n v="7640.31"/>
        <n v="7639.42"/>
        <n v="7636.92"/>
        <n v="7633.72"/>
        <n v="7626.99"/>
        <n v="7624.63"/>
        <n v="7623.52"/>
        <n v="7623.13"/>
        <n v="7609.6"/>
        <n v="7607.03"/>
        <n v="7585.62"/>
        <n v="7567.13"/>
        <n v="7538.52"/>
        <n v="7537.16"/>
        <n v="7531.7"/>
        <n v="7526.71"/>
        <n v="7518.03"/>
        <n v="7512.27"/>
        <n v="7504.3"/>
        <n v="7494.63"/>
        <n v="7487.38"/>
        <n v="7463.51"/>
        <n v="7450.36"/>
        <n v="7448.4"/>
        <n v="7445.92"/>
        <n v="7443.64"/>
        <n v="7441.5"/>
        <n v="7441.05"/>
        <n v="7421.19"/>
        <n v="7419.48"/>
        <n v="7418.52"/>
        <n v="7403.98"/>
        <n v="7388.85"/>
        <n v="7371.77"/>
        <n v="7362.31"/>
        <n v="7358.18"/>
        <n v="7357.49"/>
        <n v="7349.12"/>
        <n v="7348.14"/>
        <n v="7345.73"/>
        <n v="7345.08"/>
        <n v="7339.93"/>
        <n v="7337.75"/>
        <n v="7325.47"/>
        <n v="7325.05"/>
        <n v="7323.73"/>
        <n v="7322.86"/>
        <n v="7318.22"/>
        <n v="7318.21"/>
        <n v="7304.65"/>
        <n v="7302.46"/>
        <n v="7281.51"/>
        <n v="7273.02"/>
        <n v="7265.7"/>
        <n v="7265.58"/>
        <n v="7261.74"/>
        <n v="7256.72"/>
        <n v="7248.71"/>
        <n v="7243.81"/>
        <n v="7228.22"/>
        <n v="7222.79"/>
        <n v="7220.25"/>
        <n v="7209.49"/>
        <n v="7201.7"/>
        <n v="7196.87"/>
        <n v="7179.52"/>
        <n v="7175.51"/>
        <n v="7173.36"/>
        <n v="7162.01"/>
        <n v="7160.33"/>
        <n v="7160.09"/>
        <n v="7153.55"/>
        <n v="7152.67"/>
        <n v="7151.09"/>
        <n v="7147.47"/>
        <n v="7147.11"/>
        <n v="7144.86"/>
        <n v="7144.4"/>
        <n v="7133.9"/>
        <n v="7128.64"/>
        <n v="7125.25"/>
        <n v="7106.81"/>
        <n v="7096.98"/>
        <n v="7077.19"/>
        <n v="7054.41"/>
        <n v="7050.64"/>
        <n v="7050.02"/>
        <n v="7046.72"/>
        <n v="7045.5"/>
        <n v="7042.11"/>
        <n v="7033.08"/>
        <n v="7003.1"/>
        <n v="6989.95"/>
        <n v="6986.7"/>
        <n v="6985.51"/>
        <n v="6965.21"/>
        <n v="6951.12"/>
        <n v="6948.7"/>
        <n v="6940.94"/>
        <n v="6940.91"/>
        <n v="6938.11"/>
        <n v="6933.24"/>
        <n v="6895.19"/>
        <n v="6877.98"/>
        <n v="6876.53"/>
        <n v="6875.96"/>
        <n v="6868.39"/>
        <n v="6863.49"/>
        <n v="6858.48"/>
        <n v="6849.03"/>
        <n v="6843.17"/>
        <n v="6842.28"/>
        <n v="6837.37"/>
        <n v="6827.69"/>
        <n v="6809.46"/>
        <n v="6799.46"/>
        <n v="6796.86"/>
        <n v="6781.52"/>
        <n v="6781.35"/>
        <n v="6775.96"/>
        <n v="6770.19"/>
        <n v="6753.04"/>
        <n v="6750.27"/>
        <n v="6749.63"/>
        <n v="6748.59"/>
        <n v="6746.74"/>
        <n v="6738.84"/>
        <n v="6737.98"/>
        <n v="6721.37"/>
        <n v="6710.19"/>
        <n v="6706.47"/>
        <n v="6700.56"/>
        <n v="6686.43"/>
        <n v="6666.24"/>
        <n v="6664.69"/>
        <n v="6664.32"/>
        <n v="6653.79"/>
        <n v="6652.53"/>
        <n v="6651.26"/>
        <n v="6640.54"/>
        <n v="6639.3"/>
        <n v="6638.16"/>
        <n v="6630.31"/>
        <n v="6610.11"/>
        <n v="6600.36"/>
        <n v="6600.21"/>
        <n v="6593.51"/>
        <n v="6571.54"/>
        <n v="6571.02"/>
        <n v="6555.07"/>
        <n v="6552.01"/>
        <n v="6551.75"/>
        <n v="6548.2"/>
        <n v="6546.16"/>
        <n v="6536.68"/>
        <n v="6532.04"/>
        <n v="6529.21"/>
        <n v="6512.24"/>
        <n v="6500.24"/>
        <n v="6496.89"/>
        <n v="6481.67"/>
        <n v="6474.01"/>
        <n v="6473.15"/>
        <n v="6457.84"/>
        <n v="6455.86"/>
        <n v="6435.62"/>
        <n v="6423.48"/>
        <n v="6417.28"/>
        <n v="6414.18"/>
        <n v="6412.34"/>
        <n v="6407.05"/>
        <n v="6406.41"/>
        <n v="6402.29"/>
        <n v="6393.6"/>
        <n v="6389.53"/>
        <n v="6389.38"/>
        <n v="6374.16"/>
        <n v="6373.56"/>
        <n v="6367.31"/>
        <n v="6361.47"/>
        <n v="6360.99"/>
        <n v="6358.78"/>
        <n v="6356.27"/>
        <n v="6338.08"/>
        <n v="6335.64"/>
        <n v="6334.34"/>
        <n v="6313.76"/>
        <n v="6311.95"/>
        <n v="6311.11"/>
        <n v="6305.61"/>
        <n v="6302.23"/>
        <n v="6293.63"/>
        <n v="6289.75"/>
        <n v="6282.24"/>
        <n v="6276.3"/>
        <n v="6272.48"/>
        <n v="6269.33"/>
        <n v="6261.2"/>
        <n v="6255.38"/>
        <n v="6254.13"/>
        <n v="6253.85"/>
        <n v="6250.44"/>
        <n v="6238.3"/>
        <n v="6236.95"/>
        <n v="6219.93"/>
        <n v="6208.5"/>
        <n v="6207.26"/>
        <n v="6203.9"/>
        <n v="6198.75"/>
        <n v="6196.45"/>
        <n v="6186.13"/>
        <n v="6185.32"/>
        <n v="6184.3"/>
        <n v="6183.46"/>
        <n v="6183.32"/>
        <n v="6170.96"/>
        <n v="6159.57"/>
        <n v="6152.05"/>
        <n v="6147.12"/>
        <n v="6139.14"/>
        <n v="6138.58"/>
        <n v="6138.5"/>
        <n v="6128.8"/>
        <n v="6123.57"/>
        <n v="6117.49"/>
        <n v="6113.23"/>
        <n v="6112.35"/>
        <n v="6111.95"/>
        <n v="6098.38"/>
        <n v="6082.41"/>
        <n v="6079.67"/>
        <n v="6074.37"/>
        <n v="6067.13"/>
        <n v="6064.37"/>
        <n v="6061.8"/>
        <n v="6059.17"/>
        <n v="5993.62"/>
        <n v="5990.17"/>
        <n v="5989.52"/>
        <n v="5979.99"/>
        <n v="5979.73"/>
        <n v="5979.66"/>
        <n v="5976.83"/>
        <n v="5974.38"/>
        <n v="5972.38"/>
        <n v="5969.72"/>
        <n v="5966.89"/>
        <n v="5960.91"/>
        <n v="5957.35"/>
        <n v="5934.38"/>
        <n v="5927.65"/>
        <n v="5926.93"/>
        <n v="5926.85"/>
        <n v="5920.1"/>
        <n v="5910.94"/>
        <n v="5877.02"/>
        <n v="5855.9"/>
        <n v="5847.24"/>
        <n v="5846.92"/>
        <n v="5843.99"/>
        <n v="5836.52"/>
        <n v="5832.6"/>
        <n v="5816.58"/>
        <n v="5812.9"/>
        <n v="5807.06"/>
        <n v="5778.71"/>
        <n v="5757.41"/>
        <n v="5748.13"/>
        <n v="5741.67"/>
        <n v="5729.01"/>
        <n v="5720.38"/>
        <n v="5709.16"/>
        <n v="5708.87"/>
        <n v="5699.84"/>
        <n v="5698.74"/>
        <n v="5693.43"/>
        <n v="5690.79"/>
        <n v="5679.13"/>
        <n v="5662.23"/>
        <n v="5650.14"/>
        <n v="5649.72"/>
        <n v="5630.46"/>
        <n v="5615.37"/>
        <n v="5612.83"/>
        <n v="5594.85"/>
        <n v="5587.59"/>
        <n v="5584.31"/>
        <n v="5582.95"/>
        <n v="5576.35"/>
        <n v="5552.61"/>
        <n v="5540.35"/>
        <n v="5539.4"/>
        <n v="5503.36"/>
        <n v="5488.26"/>
        <n v="5484.47"/>
        <n v="5478.04"/>
        <n v="5472.45"/>
        <n v="5469.01"/>
        <n v="5466.88"/>
        <n v="5458.05"/>
        <n v="5438.75"/>
        <n v="5428.98"/>
        <n v="5428.73"/>
        <n v="5425.02"/>
        <n v="5415.66"/>
        <n v="5411.99"/>
        <n v="5402.89"/>
        <n v="5400.98"/>
        <n v="5397.62"/>
        <n v="5396.44"/>
        <n v="5385.34"/>
        <n v="5383.54"/>
        <n v="5377.46"/>
        <n v="5375.04"/>
        <n v="5373.36"/>
        <n v="5364.66"/>
        <n v="5354.07"/>
        <n v="5344.81"/>
        <n v="5327.4"/>
        <n v="5325.65"/>
        <n v="5322.24"/>
        <n v="5312.17"/>
        <n v="5306.7"/>
        <n v="5293.67"/>
        <n v="5291.71"/>
        <n v="5275.86"/>
        <n v="5272.18"/>
        <n v="5267.82"/>
        <n v="5266.37"/>
        <n v="5261.47"/>
        <n v="5257.51"/>
        <n v="5253.52"/>
        <n v="5246.05"/>
        <n v="5245.23"/>
        <n v="5240.77"/>
        <n v="5227.99"/>
        <n v="5216.48"/>
        <n v="5213.22"/>
        <n v="5209.58"/>
        <n v="5207.97"/>
        <n v="5198.69"/>
        <n v="5195.58"/>
        <n v="5177.12"/>
        <n v="5166.96"/>
        <n v="5152.13"/>
        <n v="5148.55"/>
        <n v="5144.18"/>
        <n v="5138.26"/>
        <n v="5136.75"/>
        <n v="5125.22"/>
        <n v="5124.19"/>
        <n v="5116.5"/>
        <n v="5087.92"/>
        <n v="5080.1"/>
        <n v="5077.19"/>
        <n v="5059.56"/>
        <n v="5054.05"/>
        <n v="5045.15"/>
        <n v="5043.13"/>
        <n v="5038.57"/>
        <n v="5034.1"/>
        <n v="5031.27"/>
        <n v="5028.15"/>
        <n v="5012.47"/>
        <n v="5003.85"/>
        <n v="5003.77"/>
        <n v="5002.78"/>
        <n v="4999.04"/>
        <n v="4992.38"/>
        <n v="4985.22"/>
        <n v="4949.76"/>
        <n v="4942.06"/>
        <n v="4934.71"/>
        <n v="4931.65"/>
        <n v="4922.92"/>
        <n v="4915.06"/>
        <n v="4911.89"/>
        <n v="4906.41"/>
        <n v="4894.75"/>
        <n v="4894.39"/>
        <n v="4890.0"/>
        <n v="4889.04"/>
        <n v="4883.87"/>
        <n v="4877.98"/>
        <n v="4859.89"/>
        <n v="4846.92"/>
        <n v="4846.53"/>
        <n v="4844.67"/>
        <n v="4843.79"/>
        <n v="4840.95"/>
        <n v="4839.18"/>
        <n v="4837.58"/>
        <n v="4835.43"/>
        <n v="4830.63"/>
        <n v="4827.9"/>
        <n v="4827.1"/>
        <n v="4812.34"/>
        <n v="4795.66"/>
        <n v="4787.42"/>
        <n v="4779.6"/>
        <n v="4766.02"/>
        <n v="4762.33"/>
        <n v="4753.64"/>
        <n v="4751.07"/>
        <n v="4747.05"/>
        <n v="4746.34"/>
        <n v="4740.78"/>
        <n v="4738.27"/>
        <n v="4734.64"/>
        <n v="4728.71"/>
        <n v="4719.74"/>
        <n v="4719.52"/>
        <n v="4718.2"/>
        <n v="4712.12"/>
        <n v="4699.47"/>
        <n v="4687.8"/>
        <n v="4686.39"/>
        <n v="4678.8"/>
        <n v="4674.2"/>
        <n v="4673.39"/>
        <n v="4670.64"/>
        <n v="4667.61"/>
        <n v="4661.29"/>
        <n v="4646.76"/>
        <n v="4618.08"/>
        <n v="4608.03"/>
        <n v="4571.41"/>
        <n v="4564.19"/>
        <n v="4562.84"/>
        <n v="4561.19"/>
        <n v="4544.23"/>
        <n v="4536.26"/>
        <n v="4529.48"/>
        <n v="4527.18"/>
        <n v="4518.83"/>
        <n v="4518.77"/>
        <n v="4518.4"/>
        <n v="4515.71"/>
        <n v="4511.41"/>
        <n v="4504.66"/>
        <n v="4500.34"/>
        <n v="4488.58"/>
        <n v="4468.25"/>
        <n v="4466.62"/>
        <n v="4463.21"/>
        <n v="4462.72"/>
        <n v="4454.4"/>
        <n v="4449.46"/>
        <n v="4441.21"/>
        <n v="4438.26"/>
        <n v="4435.09"/>
        <n v="4433.92"/>
        <n v="4433.39"/>
        <n v="4428.89"/>
        <n v="4420.95"/>
        <n v="4415.16"/>
        <n v="4402.23"/>
        <n v="4399.73"/>
        <n v="4397.31"/>
        <n v="4392.7"/>
        <n v="4391.65"/>
        <n v="4357.04"/>
        <n v="4350.51"/>
        <n v="4349.46"/>
        <n v="4347.02"/>
        <n v="4340.44"/>
        <n v="4337.74"/>
        <n v="4320.41"/>
        <n v="4296.27"/>
        <n v="4278.55"/>
        <n v="4266.17"/>
        <n v="4265.01"/>
        <n v="4260.74"/>
        <n v="4250.24"/>
        <n v="4243.59"/>
        <n v="4239.89"/>
        <n v="4237.13"/>
        <n v="4234.93"/>
        <n v="4189.11"/>
        <n v="4188.73"/>
        <n v="4185.1"/>
        <n v="4163.21"/>
        <n v="4154.97"/>
        <n v="4151.03"/>
        <n v="4149.74"/>
        <n v="4137.52"/>
        <n v="4134.08"/>
        <n v="4133.64"/>
        <n v="4076.5"/>
        <n v="4074.45"/>
        <n v="4070.51"/>
        <n v="4070.42"/>
        <n v="4058.71"/>
        <n v="4058.12"/>
        <n v="4047.94"/>
        <n v="4040.56"/>
        <n v="4039.9"/>
        <n v="4038.41"/>
        <n v="4032.24"/>
        <n v="4005.42"/>
        <n v="4002.36"/>
        <n v="3994.18"/>
        <n v="3989.84"/>
        <n v="3987.93"/>
        <n v="3981.98"/>
        <n v="3972.92"/>
        <n v="3956.07"/>
        <n v="3955.98"/>
        <n v="3947.41"/>
        <n v="3943.6"/>
        <n v="3935.18"/>
        <n v="3931.51"/>
        <n v="3925.76"/>
        <n v="3910.44"/>
        <n v="3906.13"/>
        <n v="3902.07"/>
        <n v="3898.35"/>
        <n v="3889.2"/>
        <n v="3877.3"/>
        <n v="3875.73"/>
        <n v="3866.86"/>
        <n v="3861.21"/>
        <n v="3858.51"/>
        <n v="3857.76"/>
        <n v="3847.67"/>
        <n v="3797.2"/>
        <n v="3796.36"/>
        <n v="3793.55"/>
        <n v="3785.77"/>
        <n v="3773.23"/>
        <n v="3766.88"/>
        <n v="3761.29"/>
        <n v="3757.84"/>
        <n v="3756.62"/>
        <n v="3748.56"/>
        <n v="3736.46"/>
        <n v="3732.63"/>
        <n v="3731.6"/>
        <n v="3722.23"/>
        <n v="3704.35"/>
        <n v="3699.54"/>
        <n v="3693.43"/>
        <n v="3688.38"/>
        <n v="3688.35"/>
        <n v="3678.86"/>
        <n v="3659.35"/>
        <n v="3653.29"/>
        <n v="3645.09"/>
        <n v="3622.13"/>
        <n v="3606.43"/>
        <n v="3603.6"/>
        <n v="3597.6"/>
        <n v="3594.17"/>
        <n v="3591.48"/>
        <n v="3589.14"/>
        <n v="3579.83"/>
        <n v="3578.0"/>
        <n v="3569.96"/>
        <n v="3562.87"/>
        <n v="3561.89"/>
        <n v="3558.62"/>
        <n v="3556.92"/>
        <n v="3554.2"/>
        <n v="3540.12"/>
        <n v="3538.9"/>
        <n v="3537.7"/>
        <n v="3500.61"/>
        <n v="3490.55"/>
        <n v="3484.33"/>
        <n v="3481.87"/>
        <n v="3471.41"/>
        <n v="3463.51"/>
        <n v="3453.77"/>
        <n v="3443.06"/>
        <n v="3436.5"/>
        <n v="3434.38"/>
        <n v="3410.32"/>
        <n v="3393.36"/>
        <n v="3392.98"/>
        <n v="3392.37"/>
        <n v="3385.4"/>
        <n v="3378.91"/>
        <n v="3366.67"/>
        <n v="3353.47"/>
        <n v="3353.28"/>
        <n v="3342.79"/>
        <n v="3309.79"/>
        <n v="3308.46"/>
        <n v="3300.7"/>
        <n v="3292.53"/>
        <n v="3280.22"/>
        <n v="3279.87"/>
        <n v="3277.16"/>
        <n v="3268.85"/>
        <n v="3260.2"/>
        <n v="3238.44"/>
        <n v="3227.12"/>
        <n v="3213.62"/>
        <n v="3208.79"/>
        <n v="3206.49"/>
        <n v="3201.25"/>
        <n v="3180.51"/>
        <n v="3179.96"/>
        <n v="3176.82"/>
        <n v="3176.29"/>
        <n v="3172.02"/>
        <n v="3171.61"/>
        <n v="3167.46"/>
        <n v="3162.02"/>
        <n v="3161.45"/>
        <n v="3128.35"/>
        <n v="3088.06"/>
        <n v="3077.1"/>
        <n v="3070.81"/>
        <n v="3065.49"/>
        <n v="3062.51"/>
        <n v="3056.39"/>
        <n v="3051.73"/>
        <n v="3046.06"/>
        <n v="3044.21"/>
        <n v="3021.81"/>
        <n v="3018.04"/>
        <n v="3012.22"/>
        <n v="2985.67"/>
        <n v="2979.52"/>
        <n v="2974.13"/>
        <n v="2943.41"/>
        <n v="2927.06"/>
        <n v="2913.57"/>
        <n v="2904.09"/>
        <n v="2902.91"/>
        <n v="2899.49"/>
        <n v="2897.46"/>
        <n v="2897.32"/>
        <n v="2867.12"/>
        <n v="2866.09"/>
        <n v="2855.44"/>
        <n v="2850.68"/>
        <n v="2842.76"/>
        <n v="2819.51"/>
        <n v="2803.7"/>
        <n v="2801.26"/>
        <n v="2789.06"/>
        <n v="2775.19"/>
        <n v="2773.46"/>
        <n v="2758.99"/>
        <n v="2755.02"/>
        <n v="2741.95"/>
        <n v="2731.91"/>
        <n v="2730.11"/>
        <n v="2727.4"/>
        <n v="2726.06"/>
        <n v="2721.32"/>
        <n v="2719.28"/>
        <n v="2710.83"/>
        <n v="2709.24"/>
        <n v="2709.11"/>
        <n v="2699.57"/>
        <n v="2690.11"/>
        <n v="2689.5"/>
        <n v="2684.69"/>
        <n v="2680.95"/>
        <n v="2643.27"/>
        <n v="2639.04"/>
        <n v="2632.99"/>
        <n v="2597.78"/>
        <n v="2585.85"/>
        <n v="2585.27"/>
        <n v="2585.04"/>
        <n v="2566.47"/>
        <n v="2545.68"/>
        <n v="2540.39"/>
        <n v="2534.39"/>
        <n v="2527.82"/>
        <n v="2523.17"/>
        <n v="2510.79"/>
        <n v="2500.93"/>
        <n v="2498.41"/>
        <n v="2497.04"/>
        <n v="2494.02"/>
        <n v="2483.74"/>
        <n v="2480.98"/>
        <n v="2473.33"/>
        <n v="2464.62"/>
        <n v="2459.72"/>
        <n v="2457.5"/>
        <n v="2457.21"/>
        <n v="2438.06"/>
        <n v="2416.96"/>
        <n v="2404.73"/>
        <n v="2396.1"/>
        <n v="2395.17"/>
        <n v="2373.3"/>
        <n v="2362.23"/>
        <n v="2352.97"/>
        <n v="2331.52"/>
        <n v="2322.62"/>
        <n v="2304.0"/>
        <n v="2302.3"/>
        <n v="2295.24"/>
        <n v="2277.72"/>
        <n v="2261.57"/>
        <n v="2257.48"/>
        <n v="2254.8"/>
        <n v="2250.84"/>
        <n v="2221.56"/>
        <n v="2219.45"/>
        <n v="2217.6"/>
        <n v="2217.47"/>
        <n v="2213.21"/>
        <n v="2211.13"/>
        <n v="2207.7"/>
        <n v="2205.98"/>
        <n v="2203.74"/>
        <n v="2203.47"/>
        <n v="2201.1"/>
        <n v="2200.83"/>
        <n v="2198.19"/>
        <n v="2196.47"/>
        <n v="2193.2"/>
        <n v="2170.08"/>
        <n v="2166.73"/>
        <n v="2156.75"/>
        <n v="2155.68"/>
        <n v="2154.36"/>
        <n v="2150.47"/>
        <n v="2144.85"/>
        <n v="2138.07"/>
        <n v="2137.65"/>
        <n v="2136.88"/>
        <n v="2134.9"/>
        <n v="2130.68"/>
        <n v="2128.43"/>
        <n v="2118.61"/>
        <n v="2117.34"/>
        <n v="2106.26"/>
        <n v="2104.11"/>
        <n v="2103.08"/>
        <n v="2102.26"/>
        <n v="2094.1"/>
        <n v="2055.32"/>
        <n v="2045.69"/>
        <n v="2026.97"/>
        <n v="2020.55"/>
        <n v="2020.18"/>
        <n v="2007.95"/>
        <n v="1986.93"/>
        <n v="1984.45"/>
        <n v="1981.58"/>
        <n v="1980.07"/>
        <n v="1977.82"/>
        <n v="1972.95"/>
        <n v="1969.61"/>
        <n v="1967.02"/>
        <n v="1964.78"/>
        <n v="1917.32"/>
        <n v="1909.53"/>
        <n v="1908.9"/>
        <n v="1906.36"/>
        <n v="1880.49"/>
        <n v="1880.07"/>
        <n v="1877.93"/>
        <n v="1875.34"/>
        <n v="1865.98"/>
        <n v="1863.45"/>
        <n v="1850.55"/>
        <n v="1842.52"/>
        <n v="1837.28"/>
        <n v="1837.24"/>
        <n v="1832.09"/>
        <n v="1826.84"/>
        <n v="1824.29"/>
        <n v="1822.54"/>
        <n v="1815.88"/>
        <n v="1769.53"/>
        <n v="1759.34"/>
        <n v="1756.6"/>
        <n v="1748.77"/>
        <n v="1744.47"/>
        <n v="1743.21"/>
        <n v="1737.38"/>
        <n v="1731.68"/>
        <n v="1728.9"/>
        <n v="1727.79"/>
        <n v="1727.54"/>
        <n v="1725.55"/>
        <n v="1720.35"/>
        <n v="1719.44"/>
        <n v="1712.23"/>
        <n v="1711.03"/>
        <n v="1708.93"/>
        <n v="1708.0"/>
        <n v="1705.62"/>
        <n v="1704.7"/>
        <n v="1704.57"/>
        <n v="1702.46"/>
        <n v="1694.8"/>
        <n v="1682.6"/>
        <n v="1674.63"/>
        <n v="1665.0"/>
        <n v="1646.43"/>
        <n v="1639.56"/>
        <n v="1635.73"/>
        <n v="1634.57"/>
        <n v="1633.96"/>
        <n v="1633.04"/>
        <n v="1632.56"/>
        <n v="1632.04"/>
        <n v="1631.82"/>
        <n v="1631.67"/>
        <n v="1629.83"/>
        <n v="1628.47"/>
        <n v="1627.28"/>
        <n v="1625.43"/>
        <n v="1622.19"/>
        <n v="1621.88"/>
        <n v="1621.34"/>
        <n v="1617.16"/>
        <n v="1615.77"/>
        <n v="1607.51"/>
        <n v="1566.88"/>
        <n v="1534.3"/>
        <n v="1532.47"/>
        <n v="1526.31"/>
        <n v="1515.34"/>
        <n v="1497.0"/>
        <n v="1493.0"/>
        <n v="1481.0"/>
        <n v="1477.0"/>
        <n v="1467.0"/>
        <n v="1445.0"/>
        <n v="1438.0"/>
        <n v="1422.0"/>
        <n v="1421.0"/>
        <n v="1417.0"/>
        <n v="1402.0"/>
        <n v="1400.44"/>
        <n v="1391.53"/>
        <n v="1390.0"/>
        <n v="1389.0"/>
        <n v="1382.0"/>
        <n v="1359.0"/>
        <n v="1341.16"/>
        <n v="1338.0"/>
        <n v="1332.61"/>
        <n v="1329.17"/>
        <n v="1315.0"/>
        <n v="1304.0"/>
        <n v="1293.0"/>
        <n v="1290.93"/>
        <n v="1286.0"/>
        <n v="1285.0"/>
        <n v="1283.0"/>
        <n v="1276.0"/>
        <n v="1267.0"/>
        <n v="1263.25"/>
        <n v="1261.86"/>
        <n v="1261.44"/>
        <n v="1256.3"/>
        <n v="1253.94"/>
        <n v="1253.0"/>
        <n v="1252.41"/>
        <n v="1242.82"/>
        <n v="1242.26"/>
        <n v="1241.57"/>
        <n v="1241.0"/>
        <n v="1240.0"/>
        <n v="1237.0"/>
        <n v="1234.0"/>
        <n v="1228.0"/>
        <n v="1224.0"/>
        <n v="1220.0"/>
        <n v="1210.0"/>
        <n v="1200.55"/>
        <n v="1200.0"/>
        <n v="1191.0"/>
        <n v="1178.07"/>
        <n v="1178.0"/>
        <n v="1167.0"/>
        <n v="1165.0"/>
        <n v="1163.46"/>
        <n v="1158.32"/>
        <n v="1149.4"/>
        <n v="1149.0"/>
        <n v="1146.8"/>
        <n v="1142.0"/>
        <n v="1141.45"/>
        <n v="1141.0"/>
        <n v="1137.47"/>
        <n v="1137.01"/>
        <n v="1137.0"/>
        <n v="1136.4"/>
        <n v="1135.94"/>
        <n v="1135.0"/>
        <n v="1132.0"/>
        <n v="1131.51"/>
        <n v="1121.87"/>
        <n v="1086.0"/>
        <n v="1082.0"/>
        <n v="1071.0"/>
        <n v="1070.0"/>
        <n v="1068.0"/>
        <n v="1056.0"/>
        <n v="1049.0"/>
        <n v="1047.0"/>
        <n v="1044.0"/>
        <n v="1033.74"/>
        <n v="1019.0"/>
        <n v="1012.0"/>
        <n v="1006.65"/>
        <n v="964.71"/>
        <n v="928.59"/>
        <n v="915.07"/>
        <n v="896.21"/>
        <n v="865.41"/>
        <n v="830.52"/>
        <n v="773.54"/>
        <n v="770.38"/>
        <n v="770.0"/>
        <n v="760.0"/>
        <n v="750.0"/>
        <n v="722.99"/>
        <n v="700.0"/>
        <n v="687.54"/>
        <n v="670.0"/>
        <n v="668.0"/>
        <n v="650.0"/>
        <n v="646.14"/>
        <n v="637.26"/>
        <n v="604.54"/>
        <n v="600.0"/>
        <n v="570.62"/>
        <n v="563.84"/>
      </sharedItems>
    </cacheField>
    <cacheField name="Hospital tier" numFmtId="0">
      <sharedItems>
        <s v="tier - 1"/>
        <s v="tier - 2"/>
        <s v="tier - 3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3" cacheId="0" dataCaption="" rowGrandTotals="0" compact="0" compactData="0">
  <location ref="A1:L2336" firstHeaderRow="0" firstDataRow="11" firstDataCol="0"/>
  <pivotFields>
    <pivotField name="Customer ID" axis="axisRow" compact="0" outline="0" multipleItemSelectionAllowed="1" showAll="0" sortType="ascending" defaultSubtotal="0">
      <items>
        <item x="0"/>
        <item x="9"/>
        <item x="99"/>
        <item x="999"/>
        <item x="1000"/>
        <item x="1001"/>
        <item x="1002"/>
        <item x="1003"/>
        <item x="1004"/>
        <item x="1005"/>
        <item x="1006"/>
        <item x="1007"/>
        <item x="1008"/>
        <item x="100"/>
        <item x="1009"/>
        <item x="1010"/>
        <item x="1011"/>
        <item x="1012"/>
        <item x="1013"/>
        <item x="1014"/>
        <item x="1015"/>
        <item x="1016"/>
        <item x="1017"/>
        <item x="1018"/>
        <item x="101"/>
        <item x="1019"/>
        <item x="1020"/>
        <item x="1021"/>
        <item x="1022"/>
        <item x="1023"/>
        <item x="1024"/>
        <item x="1025"/>
        <item x="1026"/>
        <item x="1027"/>
        <item x="1028"/>
        <item x="102"/>
        <item x="1029"/>
        <item x="1030"/>
        <item x="1031"/>
        <item x="1032"/>
        <item x="1033"/>
        <item x="1034"/>
        <item x="1035"/>
        <item x="1036"/>
        <item x="1037"/>
        <item x="1038"/>
        <item x="103"/>
        <item x="1039"/>
        <item x="1040"/>
        <item x="1041"/>
        <item x="1042"/>
        <item x="1043"/>
        <item x="1044"/>
        <item x="1045"/>
        <item x="1046"/>
        <item x="1047"/>
        <item x="1048"/>
        <item x="104"/>
        <item x="1049"/>
        <item x="1050"/>
        <item x="1051"/>
        <item x="1052"/>
        <item x="1053"/>
        <item x="1054"/>
        <item x="1055"/>
        <item x="1056"/>
        <item x="1057"/>
        <item x="1058"/>
        <item x="105"/>
        <item x="1059"/>
        <item x="1060"/>
        <item x="1061"/>
        <item x="1062"/>
        <item x="1063"/>
        <item x="1064"/>
        <item x="1065"/>
        <item x="1066"/>
        <item x="1067"/>
        <item x="1068"/>
        <item x="106"/>
        <item x="1069"/>
        <item x="1070"/>
        <item x="1071"/>
        <item x="1072"/>
        <item x="1073"/>
        <item x="1074"/>
        <item x="1075"/>
        <item x="1076"/>
        <item x="1077"/>
        <item x="1078"/>
        <item x="107"/>
        <item x="1079"/>
        <item x="1080"/>
        <item x="1081"/>
        <item x="1082"/>
        <item x="1083"/>
        <item x="1084"/>
        <item x="1085"/>
        <item x="1086"/>
        <item x="1087"/>
        <item x="1088"/>
        <item x="108"/>
        <item x="1089"/>
        <item x="1090"/>
        <item x="1091"/>
        <item x="1092"/>
        <item x="1093"/>
        <item x="1094"/>
        <item x="1095"/>
        <item x="1096"/>
        <item x="1097"/>
        <item x="1098"/>
        <item x="10"/>
        <item x="109"/>
        <item x="1099"/>
        <item x="1100"/>
        <item x="1101"/>
        <item x="1102"/>
        <item x="1103"/>
        <item x="1104"/>
        <item x="1105"/>
        <item x="1106"/>
        <item x="1107"/>
        <item x="1108"/>
        <item x="110"/>
        <item x="1109"/>
        <item x="1110"/>
        <item x="1111"/>
        <item x="1112"/>
        <item x="1113"/>
        <item x="1114"/>
        <item x="1115"/>
        <item x="1116"/>
        <item x="1117"/>
        <item x="1118"/>
        <item x="111"/>
        <item x="1119"/>
        <item x="1120"/>
        <item x="1121"/>
        <item x="1122"/>
        <item x="1123"/>
        <item x="1124"/>
        <item x="1125"/>
        <item x="1126"/>
        <item x="1127"/>
        <item x="1128"/>
        <item x="112"/>
        <item x="1129"/>
        <item x="1130"/>
        <item x="1131"/>
        <item x="1132"/>
        <item x="1133"/>
        <item x="1134"/>
        <item x="1135"/>
        <item x="1136"/>
        <item x="1137"/>
        <item x="1138"/>
        <item x="113"/>
        <item x="1139"/>
        <item x="1140"/>
        <item x="1141"/>
        <item x="1142"/>
        <item x="1143"/>
        <item x="1144"/>
        <item x="1145"/>
        <item x="1146"/>
        <item x="1147"/>
        <item x="1148"/>
        <item x="114"/>
        <item x="1149"/>
        <item x="1150"/>
        <item x="1151"/>
        <item x="1152"/>
        <item x="1153"/>
        <item x="1154"/>
        <item x="1155"/>
        <item x="1156"/>
        <item x="1157"/>
        <item x="1158"/>
        <item x="115"/>
        <item x="1159"/>
        <item x="1160"/>
        <item x="1161"/>
        <item x="1162"/>
        <item x="1163"/>
        <item x="1164"/>
        <item x="1165"/>
        <item x="1166"/>
        <item x="1167"/>
        <item x="1168"/>
        <item x="116"/>
        <item x="1169"/>
        <item x="1170"/>
        <item x="1171"/>
        <item x="1172"/>
        <item x="1173"/>
        <item x="1174"/>
        <item x="1175"/>
        <item x="1176"/>
        <item x="1177"/>
        <item x="1178"/>
        <item x="117"/>
        <item x="1179"/>
        <item x="1180"/>
        <item x="1181"/>
        <item x="1182"/>
        <item x="1183"/>
        <item x="1184"/>
        <item x="1185"/>
        <item x="1186"/>
        <item x="1187"/>
        <item x="1188"/>
        <item x="118"/>
        <item x="1189"/>
        <item x="1190"/>
        <item x="1191"/>
        <item x="1192"/>
        <item x="1193"/>
        <item x="1194"/>
        <item x="1195"/>
        <item x="1196"/>
        <item x="1197"/>
        <item x="1198"/>
        <item x="11"/>
        <item x="119"/>
        <item x="1199"/>
        <item x="1200"/>
        <item x="1201"/>
        <item x="1202"/>
        <item x="1203"/>
        <item x="1204"/>
        <item x="1205"/>
        <item x="1206"/>
        <item x="1207"/>
        <item x="1208"/>
        <item x="120"/>
        <item x="1209"/>
        <item x="1210"/>
        <item x="1211"/>
        <item x="1212"/>
        <item x="1213"/>
        <item x="1214"/>
        <item x="1215"/>
        <item x="1216"/>
        <item x="1217"/>
        <item x="1218"/>
        <item x="121"/>
        <item x="1219"/>
        <item x="1220"/>
        <item x="1221"/>
        <item x="1222"/>
        <item x="1223"/>
        <item x="1224"/>
        <item x="1225"/>
        <item x="1226"/>
        <item x="1227"/>
        <item x="1228"/>
        <item x="122"/>
        <item x="1229"/>
        <item x="1230"/>
        <item x="1231"/>
        <item x="1232"/>
        <item x="1233"/>
        <item x="1234"/>
        <item x="1235"/>
        <item x="1236"/>
        <item x="1237"/>
        <item x="1238"/>
        <item x="123"/>
        <item x="1239"/>
        <item x="1240"/>
        <item x="1241"/>
        <item x="1242"/>
        <item x="1243"/>
        <item x="1244"/>
        <item x="1245"/>
        <item x="1246"/>
        <item x="1247"/>
        <item x="1248"/>
        <item x="124"/>
        <item x="1249"/>
        <item x="1250"/>
        <item x="1251"/>
        <item x="1252"/>
        <item x="1253"/>
        <item x="1254"/>
        <item x="1255"/>
        <item x="1256"/>
        <item x="1257"/>
        <item x="1258"/>
        <item x="125"/>
        <item x="1259"/>
        <item x="1260"/>
        <item x="1261"/>
        <item x="1262"/>
        <item x="1263"/>
        <item x="1264"/>
        <item x="1265"/>
        <item x="1266"/>
        <item x="1267"/>
        <item x="1268"/>
        <item x="126"/>
        <item x="1269"/>
        <item x="1270"/>
        <item x="1271"/>
        <item x="1272"/>
        <item x="1273"/>
        <item x="1274"/>
        <item x="1275"/>
        <item x="1276"/>
        <item x="1277"/>
        <item x="1278"/>
        <item x="127"/>
        <item x="1279"/>
        <item x="1280"/>
        <item x="1281"/>
        <item x="1282"/>
        <item x="1283"/>
        <item x="1284"/>
        <item x="1285"/>
        <item x="1286"/>
        <item x="1287"/>
        <item x="1288"/>
        <item x="128"/>
        <item x="1289"/>
        <item x="1290"/>
        <item x="1291"/>
        <item x="1292"/>
        <item x="1293"/>
        <item x="1294"/>
        <item x="1295"/>
        <item x="1296"/>
        <item x="1297"/>
        <item x="1298"/>
        <item x="12"/>
        <item x="129"/>
        <item x="1299"/>
        <item x="1300"/>
        <item x="1301"/>
        <item x="1302"/>
        <item x="1303"/>
        <item x="1304"/>
        <item x="1305"/>
        <item x="1306"/>
        <item x="1307"/>
        <item x="1308"/>
        <item x="130"/>
        <item x="1309"/>
        <item x="1310"/>
        <item x="1311"/>
        <item x="1312"/>
        <item x="1313"/>
        <item x="1314"/>
        <item x="1315"/>
        <item x="1316"/>
        <item x="1317"/>
        <item x="1318"/>
        <item x="131"/>
        <item x="1319"/>
        <item x="1320"/>
        <item x="1321"/>
        <item x="1322"/>
        <item x="1323"/>
        <item x="1324"/>
        <item x="1325"/>
        <item x="1326"/>
        <item x="1327"/>
        <item x="1328"/>
        <item x="132"/>
        <item x="1329"/>
        <item x="1330"/>
        <item x="1331"/>
        <item x="1332"/>
        <item x="1333"/>
        <item x="1334"/>
        <item x="1335"/>
        <item x="1336"/>
        <item x="1337"/>
        <item x="1338"/>
        <item x="133"/>
        <item x="1339"/>
        <item x="1340"/>
        <item x="1341"/>
        <item x="1342"/>
        <item x="1343"/>
        <item x="1344"/>
        <item x="1345"/>
        <item x="1346"/>
        <item x="1347"/>
        <item x="1348"/>
        <item x="134"/>
        <item x="1349"/>
        <item x="1350"/>
        <item x="1351"/>
        <item x="1352"/>
        <item x="1353"/>
        <item x="1354"/>
        <item x="1355"/>
        <item x="1356"/>
        <item x="1357"/>
        <item x="1358"/>
        <item x="135"/>
        <item x="1359"/>
        <item x="1360"/>
        <item x="1361"/>
        <item x="1362"/>
        <item x="1363"/>
        <item x="1364"/>
        <item x="1365"/>
        <item x="1366"/>
        <item x="1367"/>
        <item x="1368"/>
        <item x="136"/>
        <item x="1369"/>
        <item x="1370"/>
        <item x="1371"/>
        <item x="1372"/>
        <item x="1373"/>
        <item x="1374"/>
        <item x="1375"/>
        <item x="1376"/>
        <item x="1377"/>
        <item x="1378"/>
        <item x="137"/>
        <item x="1379"/>
        <item x="1380"/>
        <item x="1381"/>
        <item x="1382"/>
        <item x="1383"/>
        <item x="1384"/>
        <item x="1385"/>
        <item x="1386"/>
        <item x="1387"/>
        <item x="1388"/>
        <item x="138"/>
        <item x="1389"/>
        <item x="1390"/>
        <item x="1391"/>
        <item x="1392"/>
        <item x="1393"/>
        <item x="1394"/>
        <item x="1395"/>
        <item x="1396"/>
        <item x="1397"/>
        <item x="1398"/>
        <item x="13"/>
        <item x="139"/>
        <item x="1399"/>
        <item x="1400"/>
        <item x="1401"/>
        <item x="1402"/>
        <item x="1403"/>
        <item x="1404"/>
        <item x="1405"/>
        <item x="1406"/>
        <item x="1407"/>
        <item x="1408"/>
        <item x="140"/>
        <item x="1409"/>
        <item x="1410"/>
        <item x="1411"/>
        <item x="1412"/>
        <item x="1413"/>
        <item x="1414"/>
        <item x="1415"/>
        <item x="1416"/>
        <item x="1417"/>
        <item x="1418"/>
        <item x="141"/>
        <item x="1419"/>
        <item x="1420"/>
        <item x="1421"/>
        <item x="1422"/>
        <item x="1423"/>
        <item x="1424"/>
        <item x="1425"/>
        <item x="1426"/>
        <item x="1427"/>
        <item x="1428"/>
        <item x="142"/>
        <item x="1429"/>
        <item x="1430"/>
        <item x="1431"/>
        <item x="1432"/>
        <item x="1433"/>
        <item x="1434"/>
        <item x="1435"/>
        <item x="1436"/>
        <item x="1437"/>
        <item x="1438"/>
        <item x="143"/>
        <item x="1439"/>
        <item x="1440"/>
        <item x="1441"/>
        <item x="1442"/>
        <item x="1443"/>
        <item x="1444"/>
        <item x="1445"/>
        <item x="1446"/>
        <item x="1447"/>
        <item x="1448"/>
        <item x="144"/>
        <item x="1449"/>
        <item x="1450"/>
        <item x="1451"/>
        <item x="1452"/>
        <item x="1453"/>
        <item x="1454"/>
        <item x="1455"/>
        <item x="1456"/>
        <item x="1457"/>
        <item x="1458"/>
        <item x="145"/>
        <item x="1459"/>
        <item x="1460"/>
        <item x="1461"/>
        <item x="1462"/>
        <item x="1463"/>
        <item x="1464"/>
        <item x="1465"/>
        <item x="1466"/>
        <item x="1467"/>
        <item x="1468"/>
        <item x="146"/>
        <item x="1469"/>
        <item x="1470"/>
        <item x="1471"/>
        <item x="1472"/>
        <item x="1473"/>
        <item x="1474"/>
        <item x="1475"/>
        <item x="1476"/>
        <item x="1477"/>
        <item x="1478"/>
        <item x="147"/>
        <item x="1479"/>
        <item x="1480"/>
        <item x="1481"/>
        <item x="1482"/>
        <item x="1483"/>
        <item x="1484"/>
        <item x="1485"/>
        <item x="1486"/>
        <item x="1487"/>
        <item x="1488"/>
        <item x="148"/>
        <item x="1489"/>
        <item x="1490"/>
        <item x="1491"/>
        <item x="1492"/>
        <item x="1493"/>
        <item x="1494"/>
        <item x="1495"/>
        <item x="1496"/>
        <item x="1497"/>
        <item x="1498"/>
        <item x="14"/>
        <item x="149"/>
        <item x="1499"/>
        <item x="1500"/>
        <item x="1501"/>
        <item x="1502"/>
        <item x="1503"/>
        <item x="1504"/>
        <item x="1505"/>
        <item x="1506"/>
        <item x="1507"/>
        <item x="1508"/>
        <item x="150"/>
        <item x="1509"/>
        <item x="1510"/>
        <item x="1511"/>
        <item x="1512"/>
        <item x="1513"/>
        <item x="1514"/>
        <item x="1515"/>
        <item x="1516"/>
        <item x="1517"/>
        <item x="1518"/>
        <item x="151"/>
        <item x="1519"/>
        <item x="1520"/>
        <item x="1521"/>
        <item x="1522"/>
        <item x="1523"/>
        <item x="1524"/>
        <item x="1525"/>
        <item x="1526"/>
        <item x="1527"/>
        <item x="1528"/>
        <item x="152"/>
        <item x="1529"/>
        <item x="1530"/>
        <item x="1531"/>
        <item x="1532"/>
        <item x="1533"/>
        <item x="1534"/>
        <item x="1535"/>
        <item x="1536"/>
        <item x="1537"/>
        <item x="1538"/>
        <item x="153"/>
        <item x="1539"/>
        <item x="1540"/>
        <item x="1541"/>
        <item x="1542"/>
        <item x="1543"/>
        <item x="1544"/>
        <item x="1545"/>
        <item x="1546"/>
        <item x="1547"/>
        <item x="1548"/>
        <item x="154"/>
        <item x="1549"/>
        <item x="1550"/>
        <item x="1551"/>
        <item x="1552"/>
        <item x="1553"/>
        <item x="1554"/>
        <item x="1555"/>
        <item x="1556"/>
        <item x="1557"/>
        <item x="1558"/>
        <item x="155"/>
        <item x="1559"/>
        <item x="1560"/>
        <item x="1561"/>
        <item x="1562"/>
        <item x="1563"/>
        <item x="1564"/>
        <item x="1565"/>
        <item x="1566"/>
        <item x="1567"/>
        <item x="1568"/>
        <item x="156"/>
        <item x="1569"/>
        <item x="1570"/>
        <item x="1571"/>
        <item x="1572"/>
        <item x="1573"/>
        <item x="1574"/>
        <item x="1575"/>
        <item x="1576"/>
        <item x="1577"/>
        <item x="1578"/>
        <item x="157"/>
        <item x="1579"/>
        <item x="1580"/>
        <item x="1581"/>
        <item x="1582"/>
        <item x="1583"/>
        <item x="1584"/>
        <item x="1585"/>
        <item x="1586"/>
        <item x="1587"/>
        <item x="1588"/>
        <item x="158"/>
        <item x="1589"/>
        <item x="1590"/>
        <item x="1591"/>
        <item x="1592"/>
        <item x="1593"/>
        <item x="1594"/>
        <item x="1595"/>
        <item x="1596"/>
        <item x="1597"/>
        <item x="1598"/>
        <item x="15"/>
        <item x="159"/>
        <item x="1599"/>
        <item x="1600"/>
        <item x="1601"/>
        <item x="1602"/>
        <item x="1603"/>
        <item x="1604"/>
        <item x="1605"/>
        <item x="1606"/>
        <item x="1607"/>
        <item x="1608"/>
        <item x="160"/>
        <item x="1609"/>
        <item x="1610"/>
        <item x="1611"/>
        <item x="1612"/>
        <item x="1613"/>
        <item x="1614"/>
        <item x="1615"/>
        <item x="1616"/>
        <item x="1617"/>
        <item x="1618"/>
        <item x="161"/>
        <item x="1619"/>
        <item x="1620"/>
        <item x="1621"/>
        <item x="1622"/>
        <item x="1623"/>
        <item x="1624"/>
        <item x="1625"/>
        <item x="1626"/>
        <item x="1627"/>
        <item x="1628"/>
        <item x="162"/>
        <item x="1629"/>
        <item x="1630"/>
        <item x="1631"/>
        <item x="1632"/>
        <item x="1633"/>
        <item x="1634"/>
        <item x="1635"/>
        <item x="1636"/>
        <item x="1637"/>
        <item x="1638"/>
        <item x="163"/>
        <item x="1639"/>
        <item x="1640"/>
        <item x="1641"/>
        <item x="1642"/>
        <item x="1643"/>
        <item x="1644"/>
        <item x="1645"/>
        <item x="1646"/>
        <item x="1647"/>
        <item x="1648"/>
        <item x="164"/>
        <item x="1649"/>
        <item x="1650"/>
        <item x="1651"/>
        <item x="1652"/>
        <item x="1653"/>
        <item x="1654"/>
        <item x="1655"/>
        <item x="1656"/>
        <item x="1657"/>
        <item x="1658"/>
        <item x="165"/>
        <item x="1659"/>
        <item x="1660"/>
        <item x="1661"/>
        <item x="1662"/>
        <item x="1663"/>
        <item x="1664"/>
        <item x="1665"/>
        <item x="1666"/>
        <item x="1667"/>
        <item x="1668"/>
        <item x="166"/>
        <item x="1669"/>
        <item x="1670"/>
        <item x="1671"/>
        <item x="1672"/>
        <item x="1673"/>
        <item x="1674"/>
        <item x="1675"/>
        <item x="1676"/>
        <item x="1677"/>
        <item x="1678"/>
        <item x="167"/>
        <item x="1679"/>
        <item x="1680"/>
        <item x="1681"/>
        <item x="1682"/>
        <item x="1683"/>
        <item x="1684"/>
        <item x="1685"/>
        <item x="1686"/>
        <item x="1687"/>
        <item x="1688"/>
        <item x="168"/>
        <item x="1689"/>
        <item x="1690"/>
        <item x="1691"/>
        <item x="1692"/>
        <item x="1693"/>
        <item x="1694"/>
        <item x="1695"/>
        <item x="1696"/>
        <item x="1697"/>
        <item x="1698"/>
        <item x="16"/>
        <item x="169"/>
        <item x="1699"/>
        <item x="1700"/>
        <item x="1701"/>
        <item x="1702"/>
        <item x="1703"/>
        <item x="1704"/>
        <item x="1705"/>
        <item x="1706"/>
        <item x="1707"/>
        <item x="1708"/>
        <item x="170"/>
        <item x="1709"/>
        <item x="1710"/>
        <item x="1711"/>
        <item x="1712"/>
        <item x="1713"/>
        <item x="1714"/>
        <item x="1715"/>
        <item x="1716"/>
        <item x="1717"/>
        <item x="1718"/>
        <item x="171"/>
        <item x="1719"/>
        <item x="1720"/>
        <item x="1721"/>
        <item x="1722"/>
        <item x="1723"/>
        <item x="1724"/>
        <item x="1725"/>
        <item x="1726"/>
        <item x="1727"/>
        <item x="1728"/>
        <item x="172"/>
        <item x="1729"/>
        <item x="1730"/>
        <item x="1731"/>
        <item x="1732"/>
        <item x="1733"/>
        <item x="1734"/>
        <item x="1735"/>
        <item x="1736"/>
        <item x="1737"/>
        <item x="1738"/>
        <item x="173"/>
        <item x="1739"/>
        <item x="1740"/>
        <item x="1741"/>
        <item x="1742"/>
        <item x="1743"/>
        <item x="1744"/>
        <item x="1745"/>
        <item x="1746"/>
        <item x="1747"/>
        <item x="1748"/>
        <item x="174"/>
        <item x="1749"/>
        <item x="1750"/>
        <item x="1751"/>
        <item x="1752"/>
        <item x="1753"/>
        <item x="1754"/>
        <item x="1755"/>
        <item x="1756"/>
        <item x="1757"/>
        <item x="1758"/>
        <item x="175"/>
        <item x="1759"/>
        <item x="1760"/>
        <item x="1761"/>
        <item x="1762"/>
        <item x="1763"/>
        <item x="1764"/>
        <item x="1765"/>
        <item x="1766"/>
        <item x="1767"/>
        <item x="1768"/>
        <item x="176"/>
        <item x="1769"/>
        <item x="1770"/>
        <item x="1771"/>
        <item x="1772"/>
        <item x="1773"/>
        <item x="1774"/>
        <item x="1775"/>
        <item x="1776"/>
        <item x="1777"/>
        <item x="1778"/>
        <item x="177"/>
        <item x="1779"/>
        <item x="1780"/>
        <item x="1781"/>
        <item x="1782"/>
        <item x="1783"/>
        <item x="1784"/>
        <item x="1785"/>
        <item x="1786"/>
        <item x="1787"/>
        <item x="1788"/>
        <item x="178"/>
        <item x="1789"/>
        <item x="1790"/>
        <item x="1791"/>
        <item x="1792"/>
        <item x="1793"/>
        <item x="1794"/>
        <item x="1795"/>
        <item x="1796"/>
        <item x="1797"/>
        <item x="1798"/>
        <item x="17"/>
        <item x="179"/>
        <item x="1799"/>
        <item x="1800"/>
        <item x="1801"/>
        <item x="1802"/>
        <item x="1803"/>
        <item x="1804"/>
        <item x="1805"/>
        <item x="1806"/>
        <item x="1807"/>
        <item x="1808"/>
        <item x="180"/>
        <item x="1809"/>
        <item x="1810"/>
        <item x="1811"/>
        <item x="1812"/>
        <item x="1813"/>
        <item x="1814"/>
        <item x="1815"/>
        <item x="1816"/>
        <item x="1817"/>
        <item x="1818"/>
        <item x="181"/>
        <item x="1819"/>
        <item x="1820"/>
        <item x="1821"/>
        <item x="1822"/>
        <item x="1823"/>
        <item x="1824"/>
        <item x="1825"/>
        <item x="1826"/>
        <item x="1827"/>
        <item x="1828"/>
        <item x="182"/>
        <item x="1829"/>
        <item x="1830"/>
        <item x="1831"/>
        <item x="1832"/>
        <item x="1833"/>
        <item x="1834"/>
        <item x="1835"/>
        <item x="1836"/>
        <item x="1837"/>
        <item x="1838"/>
        <item x="183"/>
        <item x="1839"/>
        <item x="1840"/>
        <item x="1841"/>
        <item x="1842"/>
        <item x="1843"/>
        <item x="1844"/>
        <item x="1845"/>
        <item x="1846"/>
        <item x="1847"/>
        <item x="1848"/>
        <item x="184"/>
        <item x="1849"/>
        <item x="1850"/>
        <item x="1851"/>
        <item x="1852"/>
        <item x="1853"/>
        <item x="1854"/>
        <item x="1855"/>
        <item x="1856"/>
        <item x="1857"/>
        <item x="1858"/>
        <item x="185"/>
        <item x="1859"/>
        <item x="1860"/>
        <item x="1861"/>
        <item x="1862"/>
        <item x="1863"/>
        <item x="1864"/>
        <item x="1865"/>
        <item x="1866"/>
        <item x="1867"/>
        <item x="1868"/>
        <item x="186"/>
        <item x="1869"/>
        <item x="1870"/>
        <item x="1871"/>
        <item x="1872"/>
        <item x="1873"/>
        <item x="1874"/>
        <item x="1875"/>
        <item x="1876"/>
        <item x="1877"/>
        <item x="1878"/>
        <item x="187"/>
        <item x="1879"/>
        <item x="1880"/>
        <item x="1881"/>
        <item x="1882"/>
        <item x="1883"/>
        <item x="1884"/>
        <item x="1885"/>
        <item x="1886"/>
        <item x="1887"/>
        <item x="1888"/>
        <item x="188"/>
        <item x="1889"/>
        <item x="1890"/>
        <item x="1891"/>
        <item x="1892"/>
        <item x="1893"/>
        <item x="1894"/>
        <item x="1895"/>
        <item x="1896"/>
        <item x="1897"/>
        <item x="1898"/>
        <item x="18"/>
        <item x="189"/>
        <item x="1899"/>
        <item x="1900"/>
        <item x="1901"/>
        <item x="1902"/>
        <item x="1903"/>
        <item x="1904"/>
        <item x="1905"/>
        <item x="1906"/>
        <item x="1907"/>
        <item x="1908"/>
        <item x="190"/>
        <item x="1909"/>
        <item x="1910"/>
        <item x="1911"/>
        <item x="1912"/>
        <item x="1913"/>
        <item x="1914"/>
        <item x="1915"/>
        <item x="1916"/>
        <item x="1917"/>
        <item x="1918"/>
        <item x="191"/>
        <item x="1919"/>
        <item x="1920"/>
        <item x="1921"/>
        <item x="1922"/>
        <item x="1923"/>
        <item x="1924"/>
        <item x="1925"/>
        <item x="1926"/>
        <item x="1927"/>
        <item x="1928"/>
        <item x="192"/>
        <item x="1929"/>
        <item x="1930"/>
        <item x="1931"/>
        <item x="1932"/>
        <item x="1933"/>
        <item x="1934"/>
        <item x="1935"/>
        <item x="1936"/>
        <item x="1937"/>
        <item x="1938"/>
        <item x="193"/>
        <item x="1939"/>
        <item x="1940"/>
        <item x="1941"/>
        <item x="1942"/>
        <item x="1943"/>
        <item x="1944"/>
        <item x="1945"/>
        <item x="1946"/>
        <item x="1947"/>
        <item x="1948"/>
        <item x="194"/>
        <item x="1949"/>
        <item x="1950"/>
        <item x="1951"/>
        <item x="1952"/>
        <item x="1953"/>
        <item x="1954"/>
        <item x="1955"/>
        <item x="1956"/>
        <item x="1957"/>
        <item x="1958"/>
        <item x="195"/>
        <item x="1959"/>
        <item x="1960"/>
        <item x="1961"/>
        <item x="1962"/>
        <item x="1963"/>
        <item x="1964"/>
        <item x="1965"/>
        <item x="1966"/>
        <item x="1967"/>
        <item x="1968"/>
        <item x="196"/>
        <item x="1969"/>
        <item x="1970"/>
        <item x="1971"/>
        <item x="1972"/>
        <item x="1973"/>
        <item x="1974"/>
        <item x="1975"/>
        <item x="1976"/>
        <item x="1977"/>
        <item x="1978"/>
        <item x="197"/>
        <item x="1979"/>
        <item x="1980"/>
        <item x="1981"/>
        <item x="1982"/>
        <item x="1983"/>
        <item x="1984"/>
        <item x="1985"/>
        <item x="1986"/>
        <item x="1987"/>
        <item x="1988"/>
        <item x="198"/>
        <item x="1989"/>
        <item x="1990"/>
        <item x="1991"/>
        <item x="1992"/>
        <item x="1993"/>
        <item x="1994"/>
        <item x="1995"/>
        <item x="1996"/>
        <item x="1997"/>
        <item x="1998"/>
        <item x="1"/>
        <item x="19"/>
        <item x="199"/>
        <item x="1999"/>
        <item x="2000"/>
        <item x="2001"/>
        <item x="2002"/>
        <item x="2003"/>
        <item x="2004"/>
        <item x="2005"/>
        <item x="2006"/>
        <item x="2007"/>
        <item x="2008"/>
        <item x="200"/>
        <item x="2009"/>
        <item x="2010"/>
        <item x="2011"/>
        <item x="2012"/>
        <item x="2013"/>
        <item x="2014"/>
        <item x="2015"/>
        <item x="2016"/>
        <item x="2017"/>
        <item x="2018"/>
        <item x="201"/>
        <item x="2019"/>
        <item x="2020"/>
        <item x="2021"/>
        <item x="2022"/>
        <item x="2023"/>
        <item x="2024"/>
        <item x="2025"/>
        <item x="2026"/>
        <item x="2027"/>
        <item x="2028"/>
        <item x="202"/>
        <item x="2029"/>
        <item x="2030"/>
        <item x="2031"/>
        <item x="2032"/>
        <item x="2033"/>
        <item x="2034"/>
        <item x="2035"/>
        <item x="2036"/>
        <item x="2037"/>
        <item x="2038"/>
        <item x="203"/>
        <item x="2039"/>
        <item x="2040"/>
        <item x="2041"/>
        <item x="2042"/>
        <item x="2043"/>
        <item x="2044"/>
        <item x="2045"/>
        <item x="2046"/>
        <item x="2047"/>
        <item x="2048"/>
        <item x="204"/>
        <item x="2049"/>
        <item x="2050"/>
        <item x="2051"/>
        <item x="2052"/>
        <item x="2053"/>
        <item x="2054"/>
        <item x="2055"/>
        <item x="2056"/>
        <item x="2057"/>
        <item x="2058"/>
        <item x="205"/>
        <item x="2059"/>
        <item x="2060"/>
        <item x="2061"/>
        <item x="2062"/>
        <item x="2063"/>
        <item x="2064"/>
        <item x="2065"/>
        <item x="2066"/>
        <item x="2067"/>
        <item x="2068"/>
        <item x="206"/>
        <item x="2069"/>
        <item x="2070"/>
        <item x="2071"/>
        <item x="2072"/>
        <item x="2073"/>
        <item x="2074"/>
        <item x="2075"/>
        <item x="2076"/>
        <item x="2077"/>
        <item x="2078"/>
        <item x="207"/>
        <item x="2079"/>
        <item x="2080"/>
        <item x="2081"/>
        <item x="2082"/>
        <item x="2083"/>
        <item x="2084"/>
        <item x="2085"/>
        <item x="2086"/>
        <item x="2087"/>
        <item x="2088"/>
        <item x="208"/>
        <item x="2089"/>
        <item x="2090"/>
        <item x="2091"/>
        <item x="2092"/>
        <item x="2093"/>
        <item x="2094"/>
        <item x="2095"/>
        <item x="2096"/>
        <item x="2097"/>
        <item x="2098"/>
        <item x="20"/>
        <item x="209"/>
        <item x="2099"/>
        <item x="2100"/>
        <item x="2101"/>
        <item x="2102"/>
        <item x="2103"/>
        <item x="2104"/>
        <item x="2105"/>
        <item x="2106"/>
        <item x="2107"/>
        <item x="2108"/>
        <item x="210"/>
        <item x="2109"/>
        <item x="2110"/>
        <item x="2111"/>
        <item x="2112"/>
        <item x="2113"/>
        <item x="2114"/>
        <item x="2115"/>
        <item x="2116"/>
        <item x="2117"/>
        <item x="2118"/>
        <item x="211"/>
        <item x="2119"/>
        <item x="2120"/>
        <item x="2121"/>
        <item x="2122"/>
        <item x="2123"/>
        <item x="2124"/>
        <item x="2125"/>
        <item x="2126"/>
        <item x="2127"/>
        <item x="2128"/>
        <item x="212"/>
        <item x="2129"/>
        <item x="2130"/>
        <item x="2131"/>
        <item x="2132"/>
        <item x="2133"/>
        <item x="2134"/>
        <item x="2135"/>
        <item x="2136"/>
        <item x="2137"/>
        <item x="2138"/>
        <item x="213"/>
        <item x="2139"/>
        <item x="2140"/>
        <item x="2141"/>
        <item x="2142"/>
        <item x="2143"/>
        <item x="2144"/>
        <item x="2145"/>
        <item x="2146"/>
        <item x="2147"/>
        <item x="2148"/>
        <item x="214"/>
        <item x="2149"/>
        <item x="2150"/>
        <item x="2151"/>
        <item x="2152"/>
        <item x="2153"/>
        <item x="2154"/>
        <item x="2155"/>
        <item x="2156"/>
        <item x="2157"/>
        <item x="2158"/>
        <item x="215"/>
        <item x="2159"/>
        <item x="2160"/>
        <item x="2161"/>
        <item x="2162"/>
        <item x="2163"/>
        <item x="2164"/>
        <item x="2165"/>
        <item x="2166"/>
        <item x="2167"/>
        <item x="2168"/>
        <item x="216"/>
        <item x="2169"/>
        <item x="2170"/>
        <item x="2171"/>
        <item x="2172"/>
        <item x="2173"/>
        <item x="2174"/>
        <item x="2175"/>
        <item x="2176"/>
        <item x="2177"/>
        <item x="2178"/>
        <item x="217"/>
        <item x="2179"/>
        <item x="2180"/>
        <item x="2181"/>
        <item x="2182"/>
        <item x="2183"/>
        <item x="2184"/>
        <item x="2185"/>
        <item x="2186"/>
        <item x="2187"/>
        <item x="2188"/>
        <item x="218"/>
        <item x="2189"/>
        <item x="2190"/>
        <item x="2191"/>
        <item x="2192"/>
        <item x="2193"/>
        <item x="2194"/>
        <item x="2195"/>
        <item x="2196"/>
        <item x="2197"/>
        <item x="2198"/>
        <item x="21"/>
        <item x="219"/>
        <item x="2199"/>
        <item x="2200"/>
        <item x="2201"/>
        <item x="2202"/>
        <item x="2203"/>
        <item x="2204"/>
        <item x="2205"/>
        <item x="2206"/>
        <item x="2207"/>
        <item x="2208"/>
        <item x="220"/>
        <item x="2209"/>
        <item x="2210"/>
        <item x="2211"/>
        <item x="2212"/>
        <item x="2213"/>
        <item x="2214"/>
        <item x="2215"/>
        <item x="2216"/>
        <item x="2217"/>
        <item x="2218"/>
        <item x="221"/>
        <item x="2219"/>
        <item x="2220"/>
        <item x="2221"/>
        <item x="2222"/>
        <item x="2223"/>
        <item x="2224"/>
        <item x="2225"/>
        <item x="2226"/>
        <item x="2227"/>
        <item x="2228"/>
        <item x="222"/>
        <item x="2229"/>
        <item x="2230"/>
        <item x="2231"/>
        <item x="2232"/>
        <item x="2233"/>
        <item x="2234"/>
        <item x="2235"/>
        <item x="2236"/>
        <item x="2237"/>
        <item x="2238"/>
        <item x="223"/>
        <item x="2239"/>
        <item x="2240"/>
        <item x="2241"/>
        <item x="2242"/>
        <item x="2243"/>
        <item x="2244"/>
        <item x="2245"/>
        <item x="2246"/>
        <item x="2247"/>
        <item x="2248"/>
        <item x="224"/>
        <item x="2249"/>
        <item x="2250"/>
        <item x="2251"/>
        <item x="2252"/>
        <item x="2253"/>
        <item x="2254"/>
        <item x="2255"/>
        <item x="2256"/>
        <item x="2257"/>
        <item x="2258"/>
        <item x="225"/>
        <item x="2259"/>
        <item x="2260"/>
        <item x="2261"/>
        <item x="2262"/>
        <item x="2263"/>
        <item x="2264"/>
        <item x="2265"/>
        <item x="2266"/>
        <item x="2267"/>
        <item x="2268"/>
        <item x="226"/>
        <item x="2269"/>
        <item x="2270"/>
        <item x="2271"/>
        <item x="2272"/>
        <item x="2273"/>
        <item x="2274"/>
        <item x="2275"/>
        <item x="2276"/>
        <item x="2277"/>
        <item x="2278"/>
        <item x="227"/>
        <item x="2279"/>
        <item x="2280"/>
        <item x="2281"/>
        <item x="2282"/>
        <item x="2283"/>
        <item x="2284"/>
        <item x="2285"/>
        <item x="2286"/>
        <item x="2287"/>
        <item x="2288"/>
        <item x="228"/>
        <item x="2289"/>
        <item x="2290"/>
        <item x="2291"/>
        <item x="2292"/>
        <item x="2293"/>
        <item x="2294"/>
        <item x="2295"/>
        <item x="2296"/>
        <item x="2297"/>
        <item x="2298"/>
        <item x="22"/>
        <item x="229"/>
        <item x="2299"/>
        <item x="2300"/>
        <item x="2301"/>
        <item x="2302"/>
        <item x="2303"/>
        <item x="2304"/>
        <item x="2305"/>
        <item x="2306"/>
        <item x="2307"/>
        <item x="2308"/>
        <item x="230"/>
        <item x="2309"/>
        <item x="2310"/>
        <item x="2311"/>
        <item x="2312"/>
        <item x="2313"/>
        <item x="2314"/>
        <item x="2315"/>
        <item x="2316"/>
        <item x="2317"/>
        <item x="2318"/>
        <item x="231"/>
        <item x="2319"/>
        <item x="2320"/>
        <item x="2321"/>
        <item x="2322"/>
        <item x="2323"/>
        <item x="2324"/>
        <item x="2325"/>
        <item x="2326"/>
        <item x="2327"/>
        <item x="2328"/>
        <item x="232"/>
        <item x="2329"/>
        <item x="2330"/>
        <item x="2331"/>
        <item x="2332"/>
        <item x="2333"/>
        <item x="2334"/>
        <item x="233"/>
        <item x="234"/>
        <item x="235"/>
        <item x="236"/>
        <item x="237"/>
        <item x="238"/>
        <item x="23"/>
        <item x="239"/>
        <item x="240"/>
        <item x="241"/>
        <item x="242"/>
        <item x="243"/>
        <item x="244"/>
        <item x="245"/>
        <item x="246"/>
        <item x="247"/>
        <item x="248"/>
        <item x="24"/>
        <item x="249"/>
        <item x="250"/>
        <item x="251"/>
        <item x="252"/>
        <item x="253"/>
        <item x="254"/>
        <item x="255"/>
        <item x="256"/>
        <item x="257"/>
        <item x="258"/>
        <item x="25"/>
        <item x="259"/>
        <item x="260"/>
        <item x="261"/>
        <item x="262"/>
        <item x="263"/>
        <item x="264"/>
        <item x="265"/>
        <item x="266"/>
        <item x="267"/>
        <item x="268"/>
        <item x="26"/>
        <item x="269"/>
        <item x="270"/>
        <item x="271"/>
        <item x="272"/>
        <item x="273"/>
        <item x="274"/>
        <item x="275"/>
        <item x="276"/>
        <item x="277"/>
        <item x="278"/>
        <item x="27"/>
        <item x="279"/>
        <item x="280"/>
        <item x="281"/>
        <item x="282"/>
        <item x="283"/>
        <item x="284"/>
        <item x="285"/>
        <item x="286"/>
        <item x="287"/>
        <item x="288"/>
        <item x="28"/>
        <item x="289"/>
        <item x="290"/>
        <item x="291"/>
        <item x="292"/>
        <item x="293"/>
        <item x="294"/>
        <item x="295"/>
        <item x="296"/>
        <item x="297"/>
        <item x="298"/>
        <item x="2"/>
        <item x="29"/>
        <item x="299"/>
        <item x="300"/>
        <item x="301"/>
        <item x="302"/>
        <item x="303"/>
        <item x="304"/>
        <item x="305"/>
        <item x="306"/>
        <item x="307"/>
        <item x="308"/>
        <item x="30"/>
        <item x="309"/>
        <item x="310"/>
        <item x="311"/>
        <item x="312"/>
        <item x="313"/>
        <item x="314"/>
        <item x="315"/>
        <item x="316"/>
        <item x="317"/>
        <item x="318"/>
        <item x="31"/>
        <item x="319"/>
        <item x="320"/>
        <item x="321"/>
        <item x="322"/>
        <item x="323"/>
        <item x="324"/>
        <item x="325"/>
        <item x="326"/>
        <item x="327"/>
        <item x="328"/>
        <item x="32"/>
        <item x="329"/>
        <item x="330"/>
        <item x="331"/>
        <item x="332"/>
        <item x="333"/>
        <item x="334"/>
        <item x="335"/>
        <item x="336"/>
        <item x="337"/>
        <item x="338"/>
        <item x="33"/>
        <item x="339"/>
        <item x="340"/>
        <item x="341"/>
        <item x="342"/>
        <item x="343"/>
        <item x="344"/>
        <item x="345"/>
        <item x="346"/>
        <item x="347"/>
        <item x="348"/>
        <item x="34"/>
        <item x="349"/>
        <item x="350"/>
        <item x="351"/>
        <item x="352"/>
        <item x="353"/>
        <item x="354"/>
        <item x="355"/>
        <item x="356"/>
        <item x="357"/>
        <item x="358"/>
        <item x="35"/>
        <item x="359"/>
        <item x="360"/>
        <item x="361"/>
        <item x="362"/>
        <item x="363"/>
        <item x="364"/>
        <item x="365"/>
        <item x="366"/>
        <item x="367"/>
        <item x="368"/>
        <item x="36"/>
        <item x="369"/>
        <item x="370"/>
        <item x="371"/>
        <item x="372"/>
        <item x="373"/>
        <item x="374"/>
        <item x="375"/>
        <item x="376"/>
        <item x="377"/>
        <item x="378"/>
        <item x="37"/>
        <item x="379"/>
        <item x="380"/>
        <item x="381"/>
        <item x="382"/>
        <item x="383"/>
        <item x="384"/>
        <item x="385"/>
        <item x="386"/>
        <item x="387"/>
        <item x="388"/>
        <item x="38"/>
        <item x="389"/>
        <item x="390"/>
        <item x="391"/>
        <item x="392"/>
        <item x="393"/>
        <item x="394"/>
        <item x="395"/>
        <item x="396"/>
        <item x="397"/>
        <item x="398"/>
        <item x="3"/>
        <item x="39"/>
        <item x="399"/>
        <item x="400"/>
        <item x="401"/>
        <item x="402"/>
        <item x="403"/>
        <item x="404"/>
        <item x="405"/>
        <item x="406"/>
        <item x="407"/>
        <item x="408"/>
        <item x="40"/>
        <item x="409"/>
        <item x="410"/>
        <item x="411"/>
        <item x="412"/>
        <item x="413"/>
        <item x="414"/>
        <item x="415"/>
        <item x="416"/>
        <item x="417"/>
        <item x="418"/>
        <item x="41"/>
        <item x="419"/>
        <item x="420"/>
        <item x="421"/>
        <item x="422"/>
        <item x="423"/>
        <item x="424"/>
        <item x="425"/>
        <item x="426"/>
        <item x="427"/>
        <item x="428"/>
        <item x="42"/>
        <item x="429"/>
        <item x="430"/>
        <item x="431"/>
        <item x="432"/>
        <item x="433"/>
        <item x="434"/>
        <item x="435"/>
        <item x="436"/>
        <item x="437"/>
        <item x="438"/>
        <item x="43"/>
        <item x="439"/>
        <item x="440"/>
        <item x="441"/>
        <item x="442"/>
        <item x="443"/>
        <item x="444"/>
        <item x="445"/>
        <item x="446"/>
        <item x="447"/>
        <item x="448"/>
        <item x="44"/>
        <item x="449"/>
        <item x="450"/>
        <item x="451"/>
        <item x="452"/>
        <item x="453"/>
        <item x="454"/>
        <item x="455"/>
        <item x="456"/>
        <item x="457"/>
        <item x="458"/>
        <item x="45"/>
        <item x="459"/>
        <item x="460"/>
        <item x="461"/>
        <item x="462"/>
        <item x="463"/>
        <item x="464"/>
        <item x="465"/>
        <item x="466"/>
        <item x="467"/>
        <item x="468"/>
        <item x="46"/>
        <item x="469"/>
        <item x="470"/>
        <item x="471"/>
        <item x="472"/>
        <item x="473"/>
        <item x="474"/>
        <item x="475"/>
        <item x="476"/>
        <item x="477"/>
        <item x="478"/>
        <item x="47"/>
        <item x="479"/>
        <item x="480"/>
        <item x="481"/>
        <item x="482"/>
        <item x="483"/>
        <item x="484"/>
        <item x="485"/>
        <item x="486"/>
        <item x="487"/>
        <item x="488"/>
        <item x="48"/>
        <item x="489"/>
        <item x="490"/>
        <item x="491"/>
        <item x="492"/>
        <item x="493"/>
        <item x="494"/>
        <item x="495"/>
        <item x="496"/>
        <item x="497"/>
        <item x="498"/>
        <item x="4"/>
        <item x="49"/>
        <item x="499"/>
        <item x="500"/>
        <item x="501"/>
        <item x="502"/>
        <item x="503"/>
        <item x="504"/>
        <item x="505"/>
        <item x="506"/>
        <item x="507"/>
        <item x="508"/>
        <item x="50"/>
        <item x="509"/>
        <item x="510"/>
        <item x="511"/>
        <item x="512"/>
        <item x="513"/>
        <item x="514"/>
        <item x="515"/>
        <item x="516"/>
        <item x="517"/>
        <item x="518"/>
        <item x="51"/>
        <item x="519"/>
        <item x="520"/>
        <item x="521"/>
        <item x="522"/>
        <item x="523"/>
        <item x="524"/>
        <item x="525"/>
        <item x="526"/>
        <item x="527"/>
        <item x="528"/>
        <item x="52"/>
        <item x="529"/>
        <item x="530"/>
        <item x="531"/>
        <item x="532"/>
        <item x="533"/>
        <item x="534"/>
        <item x="535"/>
        <item x="536"/>
        <item x="537"/>
        <item x="538"/>
        <item x="53"/>
        <item x="539"/>
        <item x="540"/>
        <item x="541"/>
        <item x="542"/>
        <item x="543"/>
        <item x="544"/>
        <item x="545"/>
        <item x="546"/>
        <item x="547"/>
        <item x="548"/>
        <item x="54"/>
        <item x="549"/>
        <item x="550"/>
        <item x="551"/>
        <item x="552"/>
        <item x="553"/>
        <item x="554"/>
        <item x="555"/>
        <item x="556"/>
        <item x="557"/>
        <item x="558"/>
        <item x="55"/>
        <item x="559"/>
        <item x="560"/>
        <item x="561"/>
        <item x="562"/>
        <item x="563"/>
        <item x="564"/>
        <item x="565"/>
        <item x="566"/>
        <item x="567"/>
        <item x="568"/>
        <item x="56"/>
        <item x="569"/>
        <item x="570"/>
        <item x="571"/>
        <item x="572"/>
        <item x="573"/>
        <item x="574"/>
        <item x="575"/>
        <item x="576"/>
        <item x="577"/>
        <item x="578"/>
        <item x="57"/>
        <item x="579"/>
        <item x="580"/>
        <item x="581"/>
        <item x="582"/>
        <item x="583"/>
        <item x="584"/>
        <item x="585"/>
        <item x="586"/>
        <item x="587"/>
        <item x="588"/>
        <item x="58"/>
        <item x="589"/>
        <item x="590"/>
        <item x="591"/>
        <item x="592"/>
        <item x="593"/>
        <item x="594"/>
        <item x="595"/>
        <item x="596"/>
        <item x="597"/>
        <item x="598"/>
        <item x="5"/>
        <item x="59"/>
        <item x="599"/>
        <item x="600"/>
        <item x="601"/>
        <item x="602"/>
        <item x="603"/>
        <item x="604"/>
        <item x="605"/>
        <item x="606"/>
        <item x="607"/>
        <item x="608"/>
        <item x="60"/>
        <item x="609"/>
        <item x="610"/>
        <item x="611"/>
        <item x="612"/>
        <item x="613"/>
        <item x="614"/>
        <item x="615"/>
        <item x="616"/>
        <item x="617"/>
        <item x="618"/>
        <item x="61"/>
        <item x="619"/>
        <item x="620"/>
        <item x="621"/>
        <item x="622"/>
        <item x="623"/>
        <item x="624"/>
        <item x="625"/>
        <item x="626"/>
        <item x="627"/>
        <item x="628"/>
        <item x="62"/>
        <item x="629"/>
        <item x="630"/>
        <item x="631"/>
        <item x="632"/>
        <item x="633"/>
        <item x="634"/>
        <item x="635"/>
        <item x="636"/>
        <item x="637"/>
        <item x="638"/>
        <item x="63"/>
        <item x="639"/>
        <item x="640"/>
        <item x="641"/>
        <item x="642"/>
        <item x="643"/>
        <item x="644"/>
        <item x="645"/>
        <item x="646"/>
        <item x="647"/>
        <item x="648"/>
        <item x="64"/>
        <item x="649"/>
        <item x="650"/>
        <item x="651"/>
        <item x="652"/>
        <item x="653"/>
        <item x="654"/>
        <item x="655"/>
        <item x="656"/>
        <item x="657"/>
        <item x="658"/>
        <item x="65"/>
        <item x="659"/>
        <item x="660"/>
        <item x="661"/>
        <item x="662"/>
        <item x="663"/>
        <item x="664"/>
        <item x="665"/>
        <item x="666"/>
        <item x="667"/>
        <item x="668"/>
        <item x="66"/>
        <item x="669"/>
        <item x="670"/>
        <item x="671"/>
        <item x="672"/>
        <item x="673"/>
        <item x="674"/>
        <item x="675"/>
        <item x="676"/>
        <item x="677"/>
        <item x="678"/>
        <item x="67"/>
        <item x="679"/>
        <item x="680"/>
        <item x="681"/>
        <item x="682"/>
        <item x="683"/>
        <item x="684"/>
        <item x="685"/>
        <item x="686"/>
        <item x="687"/>
        <item x="688"/>
        <item x="68"/>
        <item x="689"/>
        <item x="690"/>
        <item x="691"/>
        <item x="692"/>
        <item x="693"/>
        <item x="694"/>
        <item x="695"/>
        <item x="696"/>
        <item x="697"/>
        <item x="698"/>
        <item x="6"/>
        <item x="69"/>
        <item x="699"/>
        <item x="700"/>
        <item x="701"/>
        <item x="702"/>
        <item x="703"/>
        <item x="704"/>
        <item x="705"/>
        <item x="706"/>
        <item x="707"/>
        <item x="708"/>
        <item x="70"/>
        <item x="709"/>
        <item x="710"/>
        <item x="711"/>
        <item x="712"/>
        <item x="713"/>
        <item x="714"/>
        <item x="715"/>
        <item x="716"/>
        <item x="717"/>
        <item x="718"/>
        <item x="71"/>
        <item x="719"/>
        <item x="720"/>
        <item x="721"/>
        <item x="722"/>
        <item x="723"/>
        <item x="724"/>
        <item x="725"/>
        <item x="726"/>
        <item x="727"/>
        <item x="728"/>
        <item x="72"/>
        <item x="729"/>
        <item x="730"/>
        <item x="731"/>
        <item x="732"/>
        <item x="733"/>
        <item x="734"/>
        <item x="735"/>
        <item x="736"/>
        <item x="737"/>
        <item x="738"/>
        <item x="73"/>
        <item x="739"/>
        <item x="740"/>
        <item x="741"/>
        <item x="742"/>
        <item x="743"/>
        <item x="744"/>
        <item x="745"/>
        <item x="746"/>
        <item x="747"/>
        <item x="748"/>
        <item x="74"/>
        <item x="749"/>
        <item x="750"/>
        <item x="751"/>
        <item x="752"/>
        <item x="753"/>
        <item x="754"/>
        <item x="755"/>
        <item x="756"/>
        <item x="757"/>
        <item x="758"/>
        <item x="75"/>
        <item x="759"/>
        <item x="760"/>
        <item x="761"/>
        <item x="762"/>
        <item x="763"/>
        <item x="764"/>
        <item x="765"/>
        <item x="766"/>
        <item x="767"/>
        <item x="768"/>
        <item x="76"/>
        <item x="769"/>
        <item x="770"/>
        <item x="771"/>
        <item x="772"/>
        <item x="773"/>
        <item x="774"/>
        <item x="775"/>
        <item x="776"/>
        <item x="777"/>
        <item x="778"/>
        <item x="77"/>
        <item x="779"/>
        <item x="780"/>
        <item x="781"/>
        <item x="782"/>
        <item x="783"/>
        <item x="784"/>
        <item x="785"/>
        <item x="786"/>
        <item x="787"/>
        <item x="788"/>
        <item x="78"/>
        <item x="789"/>
        <item x="790"/>
        <item x="791"/>
        <item x="792"/>
        <item x="793"/>
        <item x="794"/>
        <item x="795"/>
        <item x="796"/>
        <item x="797"/>
        <item x="798"/>
        <item x="7"/>
        <item x="79"/>
        <item x="799"/>
        <item x="800"/>
        <item x="801"/>
        <item x="802"/>
        <item x="803"/>
        <item x="804"/>
        <item x="805"/>
        <item x="806"/>
        <item x="807"/>
        <item x="808"/>
        <item x="80"/>
        <item x="809"/>
        <item x="810"/>
        <item x="811"/>
        <item x="812"/>
        <item x="813"/>
        <item x="814"/>
        <item x="815"/>
        <item x="816"/>
        <item x="817"/>
        <item x="818"/>
        <item x="81"/>
        <item x="819"/>
        <item x="820"/>
        <item x="821"/>
        <item x="822"/>
        <item x="823"/>
        <item x="824"/>
        <item x="825"/>
        <item x="826"/>
        <item x="827"/>
        <item x="828"/>
        <item x="82"/>
        <item x="829"/>
        <item x="830"/>
        <item x="831"/>
        <item x="832"/>
        <item x="833"/>
        <item x="834"/>
        <item x="835"/>
        <item x="836"/>
        <item x="837"/>
        <item x="838"/>
        <item x="83"/>
        <item x="839"/>
        <item x="840"/>
        <item x="841"/>
        <item x="842"/>
        <item x="843"/>
        <item x="844"/>
        <item x="845"/>
        <item x="846"/>
        <item x="847"/>
        <item x="848"/>
        <item x="84"/>
        <item x="849"/>
        <item x="850"/>
        <item x="851"/>
        <item x="852"/>
        <item x="853"/>
        <item x="854"/>
        <item x="855"/>
        <item x="856"/>
        <item x="857"/>
        <item x="858"/>
        <item x="85"/>
        <item x="859"/>
        <item x="860"/>
        <item x="861"/>
        <item x="862"/>
        <item x="863"/>
        <item x="864"/>
        <item x="865"/>
        <item x="866"/>
        <item x="867"/>
        <item x="868"/>
        <item x="86"/>
        <item x="869"/>
        <item x="870"/>
        <item x="871"/>
        <item x="872"/>
        <item x="873"/>
        <item x="874"/>
        <item x="875"/>
        <item x="876"/>
        <item x="877"/>
        <item x="878"/>
        <item x="87"/>
        <item x="879"/>
        <item x="880"/>
        <item x="881"/>
        <item x="882"/>
        <item x="883"/>
        <item x="884"/>
        <item x="885"/>
        <item x="886"/>
        <item x="887"/>
        <item x="888"/>
        <item x="88"/>
        <item x="889"/>
        <item x="890"/>
        <item x="891"/>
        <item x="892"/>
        <item x="893"/>
        <item x="894"/>
        <item x="895"/>
        <item x="896"/>
        <item x="897"/>
        <item x="898"/>
        <item x="8"/>
        <item x="89"/>
        <item x="899"/>
        <item x="900"/>
        <item x="901"/>
        <item x="902"/>
        <item x="903"/>
        <item x="904"/>
        <item x="905"/>
        <item x="906"/>
        <item x="907"/>
        <item x="908"/>
        <item x="90"/>
        <item x="909"/>
        <item x="910"/>
        <item x="911"/>
        <item x="912"/>
        <item x="913"/>
        <item x="914"/>
        <item x="915"/>
        <item x="916"/>
        <item x="917"/>
        <item x="918"/>
        <item x="91"/>
        <item x="919"/>
        <item x="920"/>
        <item x="921"/>
        <item x="922"/>
        <item x="923"/>
        <item x="924"/>
        <item x="925"/>
        <item x="926"/>
        <item x="927"/>
        <item x="928"/>
        <item x="92"/>
        <item x="929"/>
        <item x="930"/>
        <item x="931"/>
        <item x="932"/>
        <item x="933"/>
        <item x="934"/>
        <item x="935"/>
        <item x="936"/>
        <item x="937"/>
        <item x="938"/>
        <item x="93"/>
        <item x="939"/>
        <item x="940"/>
        <item x="941"/>
        <item x="942"/>
        <item x="943"/>
        <item x="944"/>
        <item x="945"/>
        <item x="946"/>
        <item x="947"/>
        <item x="948"/>
        <item x="94"/>
        <item x="949"/>
        <item x="950"/>
        <item x="951"/>
        <item x="952"/>
        <item x="953"/>
        <item x="954"/>
        <item x="955"/>
        <item x="956"/>
        <item x="957"/>
        <item x="958"/>
        <item x="95"/>
        <item x="959"/>
        <item x="960"/>
        <item x="961"/>
        <item x="962"/>
        <item x="963"/>
        <item x="964"/>
        <item x="965"/>
        <item x="966"/>
        <item x="967"/>
        <item x="968"/>
        <item x="96"/>
        <item x="969"/>
        <item x="970"/>
        <item x="971"/>
        <item x="972"/>
        <item x="973"/>
        <item x="974"/>
        <item x="975"/>
        <item x="976"/>
        <item x="977"/>
        <item x="978"/>
        <item x="97"/>
        <item x="979"/>
        <item x="980"/>
        <item x="981"/>
        <item x="982"/>
        <item x="983"/>
        <item x="984"/>
        <item x="985"/>
        <item x="986"/>
        <item x="987"/>
        <item x="988"/>
        <item x="98"/>
        <item x="989"/>
        <item x="990"/>
        <item x="991"/>
        <item x="992"/>
        <item x="993"/>
        <item x="994"/>
        <item x="995"/>
        <item x="996"/>
        <item x="997"/>
        <item x="998"/>
      </items>
    </pivotField>
    <pivotField name="First Name" axis="axisRow" compact="0" outline="0" multipleItemSelectionAllowed="1" showAll="0" sortType="ascending" defaultSubtotal="0">
      <items>
        <item x="1630"/>
        <item x="618"/>
        <item x="463"/>
        <item x="1418"/>
        <item x="202"/>
        <item x="979"/>
        <item x="42"/>
        <item x="503"/>
        <item x="752"/>
        <item x="1174"/>
        <item x="632"/>
        <item x="25"/>
        <item x="691"/>
        <item x="860"/>
        <item x="1978"/>
        <item x="478"/>
        <item x="1998"/>
        <item x="1962"/>
        <item x="1260"/>
        <item x="1647"/>
        <item x="458"/>
        <item x="614"/>
        <item x="1777"/>
        <item x="114"/>
        <item x="1430"/>
        <item x="1744"/>
        <item x="1486"/>
        <item x="878"/>
        <item x="814"/>
        <item x="1171"/>
        <item x="1535"/>
        <item x="142"/>
        <item x="1561"/>
        <item x="1527"/>
        <item x="520"/>
        <item x="1878"/>
        <item x="774"/>
        <item x="1571"/>
        <item x="110"/>
        <item x="782"/>
        <item x="368"/>
        <item x="682"/>
        <item x="1965"/>
        <item x="661"/>
        <item x="346"/>
        <item x="1442"/>
        <item x="734"/>
        <item x="460"/>
        <item x="1225"/>
        <item x="212"/>
        <item x="1949"/>
        <item x="151"/>
        <item x="1210"/>
        <item x="1509"/>
        <item x="290"/>
        <item x="1321"/>
        <item x="868"/>
        <item x="524"/>
        <item x="292"/>
        <item x="827"/>
        <item x="946"/>
        <item x="139"/>
        <item x="1565"/>
        <item x="1759"/>
        <item x="1564"/>
        <item x="1070"/>
        <item x="1343"/>
        <item x="869"/>
        <item x="571"/>
        <item x="1993"/>
        <item x="100"/>
        <item x="1928"/>
        <item x="307"/>
        <item x="546"/>
        <item x="1908"/>
        <item x="1247"/>
        <item x="1034"/>
        <item x="991"/>
        <item x="1935"/>
        <item x="799"/>
        <item x="5"/>
        <item x="1019"/>
        <item x="987"/>
        <item x="558"/>
        <item x="1089"/>
        <item x="552"/>
        <item x="1482"/>
        <item x="1373"/>
        <item x="713"/>
        <item x="145"/>
        <item x="1963"/>
        <item x="1634"/>
        <item x="1539"/>
        <item x="1047"/>
        <item x="1283"/>
        <item x="1301"/>
        <item x="670"/>
        <item x="1637"/>
        <item x="689"/>
        <item x="1522"/>
        <item x="926"/>
        <item x="1690"/>
        <item x="1371"/>
        <item x="639"/>
        <item x="1633"/>
        <item x="830"/>
        <item x="1018"/>
        <item x="433"/>
        <item x="1195"/>
        <item x="1915"/>
        <item x="1399"/>
        <item x="48"/>
        <item x="434"/>
        <item x="1035"/>
        <item x="1799"/>
        <item x="1968"/>
        <item x="981"/>
        <item x="124"/>
        <item x="948"/>
        <item x="777"/>
        <item x="1361"/>
        <item x="1940"/>
        <item x="99"/>
        <item x="1134"/>
        <item x="9"/>
        <item x="794"/>
        <item x="1596"/>
        <item x="1360"/>
        <item x="1017"/>
        <item x="1475"/>
        <item x="692"/>
        <item x="690"/>
        <item x="746"/>
        <item x="1334"/>
        <item x="1426"/>
        <item x="1007"/>
        <item x="1262"/>
        <item x="1266"/>
        <item x="1746"/>
        <item x="1943"/>
        <item x="283"/>
        <item x="395"/>
        <item x="514"/>
        <item x="143"/>
        <item x="781"/>
        <item x="1946"/>
        <item x="1237"/>
        <item x="250"/>
        <item x="1288"/>
        <item x="908"/>
        <item x="1783"/>
        <item x="1104"/>
        <item x="1064"/>
        <item x="1593"/>
        <item x="709"/>
        <item x="844"/>
        <item x="1116"/>
        <item x="1309"/>
        <item x="1674"/>
        <item x="62"/>
        <item x="1263"/>
        <item x="363"/>
        <item x="1622"/>
        <item x="1201"/>
        <item x="1994"/>
        <item x="858"/>
        <item x="1173"/>
        <item x="94"/>
        <item x="705"/>
        <item x="1193"/>
        <item x="1855"/>
        <item x="1433"/>
        <item x="402"/>
        <item x="1106"/>
        <item x="1148"/>
        <item x="1920"/>
        <item x="1585"/>
        <item x="1013"/>
        <item x="1420"/>
        <item x="18"/>
        <item x="1958"/>
        <item x="674"/>
        <item x="1075"/>
        <item x="494"/>
        <item x="807"/>
        <item x="671"/>
        <item x="187"/>
        <item x="1190"/>
        <item x="1918"/>
        <item x="1821"/>
        <item x="801"/>
        <item x="412"/>
        <item x="1926"/>
        <item x="141"/>
        <item x="1204"/>
        <item x="259"/>
        <item x="376"/>
        <item x="1667"/>
        <item x="1661"/>
        <item x="1248"/>
        <item x="1551"/>
        <item x="80"/>
        <item x="1996"/>
        <item x="1781"/>
        <item x="161"/>
        <item x="1851"/>
        <item x="1425"/>
        <item x="1875"/>
        <item x="891"/>
        <item x="737"/>
        <item x="1401"/>
        <item x="1710"/>
        <item x="1885"/>
        <item x="1847"/>
        <item x="1010"/>
        <item x="1353"/>
        <item x="34"/>
        <item x="319"/>
        <item x="1232"/>
        <item x="1460"/>
        <item x="1305"/>
        <item x="344"/>
        <item x="288"/>
        <item x="345"/>
        <item x="183"/>
        <item x="253"/>
        <item x="423"/>
        <item x="262"/>
        <item x="907"/>
        <item x="1786"/>
        <item x="679"/>
        <item x="763"/>
        <item x="1680"/>
        <item x="972"/>
        <item x="101"/>
        <item x="792"/>
        <item x="1319"/>
        <item x="168"/>
        <item x="1716"/>
        <item x="1990"/>
        <item x="550"/>
        <item x="710"/>
        <item x="833"/>
        <item x="543"/>
        <item x="374"/>
        <item x="1768"/>
        <item x="490"/>
        <item x="1462"/>
        <item x="1795"/>
        <item x="1736"/>
        <item x="1479"/>
        <item x="1720"/>
        <item x="1735"/>
        <item x="73"/>
        <item x="593"/>
        <item x="1628"/>
        <item x="51"/>
        <item x="523"/>
        <item x="1842"/>
        <item x="138"/>
        <item x="643"/>
        <item x="193"/>
        <item x="445"/>
        <item x="1860"/>
        <item x="251"/>
        <item x="1409"/>
        <item x="1076"/>
        <item x="1584"/>
        <item x="113"/>
        <item x="206"/>
        <item x="576"/>
        <item x="1975"/>
        <item x="701"/>
        <item x="1841"/>
        <item x="1434"/>
        <item x="1438"/>
        <item x="1473"/>
        <item x="1012"/>
        <item x="751"/>
        <item x="1379"/>
        <item x="1649"/>
        <item x="334"/>
        <item x="1531"/>
        <item x="1992"/>
        <item x="26"/>
        <item x="462"/>
        <item x="1927"/>
        <item x="813"/>
        <item x="715"/>
        <item x="1356"/>
        <item x="519"/>
        <item x="1951"/>
        <item x="1222"/>
        <item x="1375"/>
        <item x="1537"/>
        <item x="854"/>
        <item x="735"/>
        <item x="318"/>
        <item x="1447"/>
        <item x="695"/>
        <item x="436"/>
        <item x="916"/>
        <item x="1024"/>
        <item x="1159"/>
        <item x="1651"/>
        <item x="1779"/>
        <item x="1790"/>
        <item x="335"/>
        <item x="1498"/>
        <item x="912"/>
        <item x="1365"/>
        <item x="850"/>
        <item x="1578"/>
        <item x="1046"/>
        <item x="1659"/>
        <item x="943"/>
        <item x="848"/>
        <item x="1098"/>
        <item x="1182"/>
        <item x="1066"/>
        <item x="1844"/>
        <item x="821"/>
        <item x="504"/>
        <item x="1107"/>
        <item x="1581"/>
        <item x="1351"/>
        <item x="294"/>
        <item x="1037"/>
        <item x="740"/>
        <item x="1592"/>
        <item x="973"/>
        <item x="586"/>
        <item x="185"/>
        <item x="996"/>
        <item x="52"/>
        <item x="1494"/>
        <item x="1265"/>
        <item x="75"/>
        <item x="116"/>
        <item x="77"/>
        <item x="1224"/>
        <item x="1641"/>
        <item x="528"/>
        <item x="1730"/>
        <item x="562"/>
        <item x="372"/>
        <item x="1362"/>
        <item x="1590"/>
        <item x="1867"/>
        <item x="1924"/>
        <item x="1347"/>
        <item x="150"/>
        <item x="797"/>
        <item x="1693"/>
        <item x="1586"/>
        <item x="1549"/>
        <item x="375"/>
        <item x="588"/>
        <item x="394"/>
        <item x="1580"/>
        <item x="1810"/>
        <item x="479"/>
        <item x="215"/>
        <item x="1617"/>
        <item x="651"/>
        <item x="574"/>
        <item x="604"/>
        <item x="1505"/>
        <item x="1437"/>
        <item x="1337"/>
        <item x="1602"/>
        <item x="28"/>
        <item x="928"/>
        <item x="510"/>
        <item x="955"/>
        <item x="1445"/>
        <item x="994"/>
        <item x="698"/>
        <item x="387"/>
        <item x="240"/>
        <item x="1335"/>
        <item x="1451"/>
        <item x="993"/>
        <item x="1798"/>
        <item x="303"/>
        <item x="16"/>
        <item x="428"/>
        <item x="1377"/>
        <item x="1740"/>
        <item x="1754"/>
        <item x="1086"/>
        <item x="144"/>
        <item x="1900"/>
        <item x="1045"/>
        <item x="89"/>
        <item x="392"/>
        <item x="1032"/>
        <item x="829"/>
        <item x="1231"/>
        <item x="921"/>
        <item x="1327"/>
        <item x="1131"/>
        <item x="409"/>
        <item x="902"/>
        <item x="53"/>
        <item x="931"/>
        <item x="564"/>
        <item x="342"/>
        <item x="1988"/>
        <item x="1137"/>
        <item x="1325"/>
        <item x="492"/>
        <item x="1029"/>
        <item x="1493"/>
        <item x="629"/>
        <item x="1749"/>
        <item x="1240"/>
        <item x="1862"/>
        <item x="1020"/>
        <item x="949"/>
        <item x="1036"/>
        <item x="1264"/>
        <item x="1852"/>
        <item x="1521"/>
        <item x="1157"/>
        <item x="47"/>
        <item x="919"/>
        <item x="1803"/>
        <item x="1207"/>
        <item x="1279"/>
        <item x="260"/>
        <item x="904"/>
        <item x="1508"/>
        <item x="267"/>
        <item x="121"/>
        <item x="289"/>
        <item x="1854"/>
        <item x="1271"/>
        <item x="1376"/>
        <item x="664"/>
        <item x="1051"/>
        <item x="1745"/>
        <item x="958"/>
        <item x="1370"/>
        <item x="1156"/>
        <item x="1717"/>
        <item x="1458"/>
        <item x="1763"/>
        <item x="1656"/>
        <item x="194"/>
        <item x="1339"/>
        <item x="1385"/>
        <item x="90"/>
        <item x="1820"/>
        <item x="1884"/>
        <item x="786"/>
        <item x="1588"/>
        <item x="1122"/>
        <item x="235"/>
        <item x="1323"/>
        <item x="1238"/>
        <item x="575"/>
        <item x="296"/>
        <item x="315"/>
        <item x="1128"/>
        <item x="1688"/>
        <item x="745"/>
        <item x="1041"/>
        <item x="299"/>
        <item x="565"/>
        <item x="1896"/>
        <item x="1832"/>
        <item x="988"/>
        <item x="1983"/>
        <item x="1058"/>
        <item x="1322"/>
        <item x="231"/>
        <item x="657"/>
        <item x="977"/>
        <item x="1315"/>
        <item x="471"/>
        <item x="1026"/>
        <item x="1349"/>
        <item x="1645"/>
        <item x="718"/>
        <item x="914"/>
        <item x="783"/>
        <item x="838"/>
        <item x="1306"/>
        <item x="976"/>
        <item x="1414"/>
        <item x="1381"/>
        <item x="87"/>
        <item x="585"/>
        <item x="595"/>
        <item x="545"/>
        <item x="764"/>
        <item x="184"/>
        <item x="65"/>
        <item x="441"/>
        <item x="1991"/>
        <item x="790"/>
        <item x="1424"/>
        <item x="217"/>
        <item x="156"/>
        <item x="537"/>
        <item x="727"/>
        <item x="400"/>
        <item x="61"/>
        <item x="349"/>
        <item x="667"/>
        <item x="1834"/>
        <item x="1725"/>
        <item x="1675"/>
        <item x="1229"/>
        <item x="1932"/>
        <item x="1612"/>
        <item x="366"/>
        <item x="36"/>
        <item x="787"/>
        <item x="384"/>
        <item x="1333"/>
        <item x="180"/>
        <item x="605"/>
        <item x="896"/>
        <item x="1796"/>
        <item x="413"/>
        <item x="534"/>
        <item x="130"/>
        <item x="1275"/>
        <item x="1435"/>
        <item x="882"/>
        <item x="1701"/>
        <item x="1002"/>
        <item x="1787"/>
        <item x="757"/>
        <item x="1476"/>
        <item x="1969"/>
        <item x="1899"/>
        <item x="227"/>
        <item x="570"/>
        <item x="1831"/>
        <item x="1417"/>
        <item x="607"/>
        <item x="601"/>
        <item x="1108"/>
        <item x="942"/>
        <item x="246"/>
        <item x="482"/>
        <item x="1642"/>
        <item x="541"/>
        <item x="186"/>
        <item x="1091"/>
        <item x="952"/>
        <item x="1205"/>
        <item x="1055"/>
        <item x="282"/>
        <item x="754"/>
        <item x="1054"/>
        <item x="1518"/>
        <item x="91"/>
        <item x="697"/>
        <item x="1671"/>
        <item x="811"/>
        <item x="1416"/>
        <item x="1960"/>
        <item x="1525"/>
        <item x="1136"/>
        <item x="224"/>
        <item x="826"/>
        <item x="1242"/>
        <item x="20"/>
        <item x="539"/>
        <item x="759"/>
        <item x="1971"/>
        <item x="527"/>
        <item x="556"/>
        <item x="10"/>
        <item x="1506"/>
        <item x="252"/>
        <item x="885"/>
        <item x="432"/>
        <item x="1793"/>
        <item x="925"/>
        <item x="1646"/>
        <item x="1286"/>
        <item x="1206"/>
        <item x="1471"/>
        <item x="39"/>
        <item x="634"/>
        <item x="362"/>
        <item x="377"/>
        <item x="1843"/>
        <item x="627"/>
        <item x="1043"/>
        <item x="19"/>
        <item x="1236"/>
        <item x="1372"/>
        <item x="1814"/>
        <item x="742"/>
        <item x="650"/>
        <item x="12"/>
        <item x="677"/>
        <item x="1552"/>
        <item x="1964"/>
        <item x="1653"/>
        <item x="507"/>
        <item x="1390"/>
        <item x="11"/>
        <item x="903"/>
        <item x="422"/>
        <item x="1133"/>
        <item x="179"/>
        <item x="321"/>
        <item x="1904"/>
        <item x="725"/>
        <item x="855"/>
        <item x="1797"/>
        <item x="1937"/>
        <item x="1199"/>
        <item x="239"/>
        <item x="1000"/>
        <item x="1085"/>
        <item x="544"/>
        <item x="263"/>
        <item x="1976"/>
        <item x="381"/>
        <item x="628"/>
        <item x="1698"/>
        <item x="1769"/>
        <item x="938"/>
        <item x="97"/>
        <item x="1550"/>
        <item x="1858"/>
        <item x="1806"/>
        <item x="1850"/>
        <item x="506"/>
        <item x="106"/>
        <item x="1084"/>
        <item x="726"/>
        <item x="24"/>
        <item x="191"/>
        <item x="956"/>
        <item x="30"/>
        <item x="1252"/>
        <item x="590"/>
        <item x="1599"/>
        <item x="1972"/>
        <item x="403"/>
        <item x="1135"/>
        <item x="209"/>
        <item x="633"/>
        <item x="1893"/>
        <item x="1397"/>
        <item x="1694"/>
        <item x="487"/>
        <item x="1939"/>
        <item x="884"/>
        <item x="2000"/>
        <item x="1838"/>
        <item x="1272"/>
        <item x="1318"/>
        <item x="1898"/>
        <item x="846"/>
        <item x="1658"/>
        <item x="610"/>
        <item x="658"/>
        <item x="1363"/>
        <item x="897"/>
        <item x="473"/>
        <item x="1074"/>
        <item x="832"/>
        <item x="1132"/>
        <item x="444"/>
        <item x="154"/>
        <item x="1303"/>
        <item x="683"/>
        <item x="1160"/>
        <item x="1478"/>
        <item x="1774"/>
        <item x="1421"/>
        <item x="1501"/>
        <item x="863"/>
        <item x="1300"/>
        <item x="98"/>
        <item x="60"/>
        <item x="1185"/>
        <item x="1342"/>
        <item x="1664"/>
        <item x="298"/>
        <item x="1314"/>
        <item x="890"/>
        <item x="1934"/>
        <item x="1772"/>
        <item x="1632"/>
        <item x="159"/>
        <item x="1497"/>
        <item x="225"/>
        <item x="369"/>
        <item x="862"/>
        <item x="390"/>
        <item x="1756"/>
        <item x="439"/>
        <item x="1987"/>
        <item x="1706"/>
        <item x="719"/>
        <item x="568"/>
        <item x="773"/>
        <item x="809"/>
        <item x="1547"/>
        <item x="573"/>
        <item x="1469"/>
        <item x="1316"/>
        <item x="111"/>
        <item x="623"/>
        <item x="1654"/>
        <item x="404"/>
        <item x="37"/>
        <item x="1528"/>
        <item x="1357"/>
        <item x="1669"/>
        <item x="1057"/>
        <item x="1948"/>
        <item x="959"/>
        <item x="1191"/>
        <item x="621"/>
        <item x="721"/>
        <item x="1760"/>
        <item x="1652"/>
        <item x="876"/>
        <item x="270"/>
        <item x="200"/>
        <item x="279"/>
        <item x="583"/>
        <item x="771"/>
        <item x="1439"/>
        <item x="617"/>
        <item x="485"/>
        <item x="237"/>
        <item x="1102"/>
        <item x="7"/>
        <item x="216"/>
        <item x="27"/>
        <item x="1901"/>
        <item x="1196"/>
        <item x="724"/>
        <item x="1788"/>
        <item x="1792"/>
        <item x="642"/>
        <item x="1257"/>
        <item x="1957"/>
        <item x="170"/>
        <item x="828"/>
        <item x="1436"/>
        <item x="947"/>
        <item x="978"/>
        <item x="611"/>
        <item x="823"/>
        <item x="1124"/>
        <item x="353"/>
        <item x="1285"/>
        <item x="1816"/>
        <item x="1817"/>
        <item x="1734"/>
        <item x="0"/>
        <item x="243"/>
        <item x="1801"/>
        <item x="83"/>
        <item x="1895"/>
        <item x="753"/>
        <item x="324"/>
        <item x="625"/>
        <item x="1126"/>
        <item x="1186"/>
        <item x="966"/>
        <item x="1296"/>
        <item x="1608"/>
        <item x="1429"/>
        <item x="233"/>
        <item x="1514"/>
        <item x="1660"/>
        <item x="1008"/>
        <item x="1095"/>
        <item x="284"/>
        <item x="1465"/>
        <item x="1572"/>
        <item x="1677"/>
        <item x="653"/>
        <item x="1118"/>
        <item x="297"/>
        <item x="953"/>
        <item x="488"/>
        <item x="1408"/>
        <item x="1467"/>
        <item x="899"/>
        <item x="513"/>
        <item x="329"/>
        <item x="1636"/>
        <item x="1663"/>
        <item x="1386"/>
        <item x="708"/>
        <item x="305"/>
        <item x="219"/>
        <item x="1748"/>
        <item x="852"/>
        <item x="935"/>
        <item x="1099"/>
        <item x="226"/>
        <item x="1914"/>
        <item x="291"/>
        <item x="824"/>
        <item x="190"/>
        <item x="328"/>
        <item x="1761"/>
        <item x="660"/>
        <item x="1358"/>
        <item x="688"/>
        <item x="78"/>
        <item x="1751"/>
        <item x="924"/>
        <item x="1984"/>
        <item x="749"/>
        <item x="1313"/>
        <item x="704"/>
        <item x="1324"/>
        <item x="1631"/>
        <item x="817"/>
        <item x="1446"/>
        <item x="378"/>
        <item x="939"/>
        <item x="1758"/>
        <item x="336"/>
        <item x="1444"/>
        <item x="1461"/>
        <item x="21"/>
        <item x="1728"/>
        <item x="474"/>
        <item x="1800"/>
        <item x="1228"/>
        <item x="230"/>
        <item x="717"/>
        <item x="498"/>
        <item x="1863"/>
        <item x="769"/>
        <item x="867"/>
        <item x="1721"/>
        <item x="1597"/>
        <item x="1251"/>
        <item x="526"/>
        <item x="1868"/>
        <item x="64"/>
        <item x="668"/>
        <item x="818"/>
        <item x="989"/>
        <item x="255"/>
        <item x="295"/>
        <item x="1302"/>
        <item x="1765"/>
        <item x="669"/>
        <item x="1484"/>
        <item x="268"/>
        <item x="1691"/>
        <item x="802"/>
        <item x="1169"/>
        <item x="889"/>
        <item x="992"/>
        <item x="1485"/>
        <item x="440"/>
        <item x="44"/>
        <item x="323"/>
        <item x="1384"/>
        <item x="1120"/>
        <item x="1177"/>
        <item x="1973"/>
        <item x="40"/>
        <item x="380"/>
        <item x="501"/>
        <item x="327"/>
        <item x="847"/>
        <item x="1708"/>
        <item x="1536"/>
        <item x="66"/>
        <item x="1422"/>
        <item x="767"/>
        <item x="793"/>
        <item x="1403"/>
        <item x="1255"/>
        <item x="152"/>
        <item x="278"/>
        <item x="866"/>
        <item x="331"/>
        <item x="4"/>
        <item x="940"/>
        <item x="223"/>
        <item x="795"/>
        <item x="1587"/>
        <item x="1113"/>
        <item x="1480"/>
        <item x="174"/>
        <item x="1881"/>
        <item x="386"/>
        <item x="245"/>
        <item x="1538"/>
        <item x="872"/>
        <item x="1341"/>
        <item x="744"/>
        <item x="1294"/>
        <item x="1423"/>
        <item x="929"/>
        <item x="1393"/>
        <item x="118"/>
        <item x="1217"/>
        <item x="1771"/>
        <item x="325"/>
        <item x="122"/>
        <item x="431"/>
        <item x="1359"/>
        <item x="1662"/>
        <item x="1598"/>
        <item x="1031"/>
        <item x="1352"/>
        <item x="347"/>
        <item x="1141"/>
        <item x="1407"/>
        <item x="1942"/>
        <item x="1981"/>
        <item x="1006"/>
        <item x="548"/>
        <item x="350"/>
        <item x="388"/>
        <item x="33"/>
        <item x="177"/>
        <item x="1678"/>
        <item x="962"/>
        <item x="1743"/>
        <item x="1923"/>
        <item x="486"/>
        <item x="280"/>
        <item x="1741"/>
        <item x="192"/>
        <item x="1883"/>
        <item x="540"/>
        <item x="358"/>
        <item x="1835"/>
        <item x="499"/>
        <item x="622"/>
        <item x="1402"/>
        <item x="176"/>
        <item x="1952"/>
        <item x="221"/>
        <item x="1214"/>
        <item x="1922"/>
        <item x="475"/>
        <item x="1995"/>
        <item x="443"/>
        <item x="1595"/>
        <item x="1699"/>
        <item x="624"/>
        <item x="429"/>
        <item x="1038"/>
        <item x="1216"/>
        <item x="1413"/>
        <item x="702"/>
        <item x="1931"/>
        <item x="1955"/>
        <item x="483"/>
        <item x="1299"/>
        <item x="93"/>
        <item x="965"/>
        <item x="856"/>
        <item x="1752"/>
        <item x="1080"/>
        <item x="140"/>
        <item x="1246"/>
        <item x="256"/>
        <item x="1702"/>
        <item x="1679"/>
        <item x="1317"/>
        <item x="330"/>
        <item x="416"/>
        <item x="1039"/>
        <item x="789"/>
        <item x="1917"/>
        <item x="1209"/>
        <item x="199"/>
        <item x="839"/>
        <item x="71"/>
        <item x="35"/>
        <item x="1101"/>
        <item x="733"/>
        <item x="561"/>
        <item x="275"/>
        <item x="1530"/>
        <item x="258"/>
        <item x="1235"/>
        <item x="1489"/>
        <item x="1004"/>
        <item x="1105"/>
        <item x="608"/>
        <item x="1194"/>
        <item x="1639"/>
        <item x="950"/>
        <item x="1956"/>
        <item x="247"/>
        <item x="1293"/>
        <item x="1491"/>
        <item x="1715"/>
        <item x="241"/>
        <item x="1278"/>
        <item x="1857"/>
        <item x="420"/>
        <item x="1340"/>
        <item x="1913"/>
        <item x="592"/>
        <item x="123"/>
        <item x="1624"/>
        <item x="1411"/>
        <item x="1500"/>
        <item x="1163"/>
        <item x="1804"/>
        <item x="68"/>
        <item x="582"/>
        <item x="941"/>
        <item x="1"/>
        <item x="1724"/>
        <item x="1208"/>
        <item x="272"/>
        <item x="982"/>
        <item x="1542"/>
        <item x="1455"/>
        <item x="1477"/>
        <item x="408"/>
        <item x="841"/>
        <item x="1729"/>
        <item x="306"/>
        <item x="1176"/>
        <item x="1840"/>
        <item x="761"/>
        <item x="446"/>
        <item x="880"/>
        <item x="687"/>
        <item x="385"/>
        <item x="672"/>
        <item x="630"/>
        <item x="1312"/>
        <item x="1977"/>
        <item x="257"/>
        <item x="1245"/>
        <item x="1882"/>
        <item x="1770"/>
        <item x="1718"/>
        <item x="1808"/>
        <item x="210"/>
        <item x="389"/>
        <item x="1443"/>
        <item x="1594"/>
        <item x="1463"/>
        <item x="800"/>
        <item x="266"/>
        <item x="489"/>
        <item x="1697"/>
        <item x="877"/>
        <item x="957"/>
        <item x="1621"/>
        <item x="1146"/>
        <item x="654"/>
        <item x="207"/>
        <item x="205"/>
        <item x="1354"/>
        <item x="1627"/>
        <item x="333"/>
        <item x="104"/>
        <item x="382"/>
        <item x="597"/>
        <item x="820"/>
        <item x="535"/>
        <item x="1879"/>
        <item x="2"/>
        <item x="220"/>
        <item x="1789"/>
        <item x="517"/>
        <item x="638"/>
        <item x="1049"/>
        <item x="1916"/>
        <item x="56"/>
        <item x="1864"/>
        <item x="1959"/>
        <item x="132"/>
        <item x="1040"/>
        <item x="1374"/>
        <item x="1219"/>
        <item x="1142"/>
        <item x="1258"/>
        <item x="1155"/>
        <item x="666"/>
        <item x="6"/>
        <item x="265"/>
        <item x="934"/>
        <item x="1348"/>
        <item x="81"/>
        <item x="1111"/>
        <item x="1394"/>
        <item x="857"/>
        <item x="1502"/>
        <item x="1140"/>
        <item x="367"/>
        <item x="218"/>
        <item x="102"/>
        <item x="1877"/>
        <item x="536"/>
        <item x="1534"/>
        <item x="1044"/>
        <item x="1392"/>
        <item x="1081"/>
        <item x="1499"/>
        <item x="933"/>
        <item x="1282"/>
        <item x="1200"/>
        <item x="1369"/>
        <item x="1082"/>
        <item x="587"/>
        <item x="1492"/>
        <item x="1888"/>
        <item x="1683"/>
        <item x="1802"/>
        <item x="1277"/>
        <item x="466"/>
        <item x="599"/>
        <item x="415"/>
        <item x="984"/>
        <item x="1059"/>
        <item x="808"/>
        <item x="472"/>
        <item x="74"/>
        <item x="1582"/>
        <item x="1705"/>
        <item x="1543"/>
        <item x="1249"/>
        <item x="1112"/>
        <item x="779"/>
        <item x="1532"/>
        <item x="393"/>
        <item x="355"/>
        <item x="512"/>
        <item x="1891"/>
        <item x="359"/>
        <item x="554"/>
        <item x="647"/>
        <item x="990"/>
        <item x="1198"/>
        <item x="1387"/>
        <item x="476"/>
        <item x="1344"/>
        <item x="557"/>
        <item x="23"/>
        <item x="1452"/>
        <item x="1954"/>
        <item x="1515"/>
        <item x="1398"/>
        <item x="1726"/>
        <item x="1738"/>
        <item x="525"/>
        <item x="859"/>
        <item x="967"/>
        <item x="711"/>
        <item x="1072"/>
        <item x="1189"/>
        <item x="551"/>
        <item x="158"/>
        <item x="1212"/>
        <item x="652"/>
        <item x="1138"/>
        <item x="1640"/>
        <item x="1503"/>
        <item x="910"/>
        <item x="900"/>
        <item x="1692"/>
        <item x="1490"/>
        <item x="722"/>
        <item x="204"/>
        <item x="43"/>
        <item x="796"/>
        <item x="1695"/>
        <item x="117"/>
        <item x="1150"/>
        <item x="1241"/>
        <item x="1405"/>
        <item x="459"/>
        <item x="1449"/>
        <item x="496"/>
        <item x="1003"/>
        <item x="986"/>
        <item x="600"/>
        <item x="1078"/>
        <item x="1202"/>
        <item x="678"/>
        <item x="731"/>
        <item x="944"/>
        <item x="1030"/>
        <item x="1829"/>
        <item x="1872"/>
        <item x="505"/>
        <item x="149"/>
        <item x="665"/>
        <item x="516"/>
        <item x="1188"/>
        <item x="579"/>
        <item x="1619"/>
        <item x="1731"/>
        <item x="831"/>
        <item x="287"/>
        <item x="419"/>
        <item x="798"/>
        <item x="1152"/>
        <item x="1815"/>
        <item x="553"/>
        <item x="401"/>
        <item x="1516"/>
        <item x="1712"/>
        <item x="79"/>
        <item x="1556"/>
        <item x="572"/>
        <item x="620"/>
        <item x="1028"/>
        <item x="1687"/>
        <item x="430"/>
        <item x="1643"/>
        <item x="1067"/>
        <item x="616"/>
        <item x="584"/>
        <item x="1670"/>
        <item x="1737"/>
        <item x="1566"/>
        <item x="88"/>
        <item x="1053"/>
        <item x="1605"/>
        <item x="743"/>
        <item x="1575"/>
        <item x="1298"/>
        <item x="357"/>
        <item x="1819"/>
        <item x="1218"/>
        <item x="804"/>
        <item x="1250"/>
        <item x="1961"/>
        <item x="1909"/>
        <item x="954"/>
        <item x="1149"/>
        <item x="8"/>
        <item x="1311"/>
        <item x="932"/>
        <item x="1221"/>
        <item x="998"/>
        <item x="1591"/>
        <item x="1061"/>
        <item x="1320"/>
        <item x="137"/>
        <item x="1154"/>
        <item x="835"/>
        <item x="1254"/>
        <item x="637"/>
        <item x="437"/>
        <item x="645"/>
        <item x="189"/>
        <item x="1985"/>
        <item x="373"/>
        <item x="1466"/>
        <item x="815"/>
        <item x="1742"/>
        <item x="396"/>
        <item x="596"/>
        <item x="502"/>
        <item x="67"/>
        <item x="603"/>
        <item x="581"/>
        <item x="1719"/>
        <item x="673"/>
        <item x="450"/>
        <item x="1533"/>
        <item x="1869"/>
        <item x="125"/>
        <item x="960"/>
        <item x="407"/>
        <item x="577"/>
        <item x="1873"/>
        <item x="398"/>
        <item x="649"/>
        <item x="681"/>
        <item x="1289"/>
        <item x="134"/>
        <item x="1703"/>
        <item x="1574"/>
        <item x="822"/>
        <item x="1668"/>
        <item x="169"/>
        <item x="765"/>
        <item x="351"/>
        <item x="426"/>
        <item x="160"/>
        <item x="531"/>
        <item x="1395"/>
        <item x="1950"/>
        <item x="17"/>
        <item x="1623"/>
        <item x="491"/>
        <item x="360"/>
        <item x="1290"/>
        <item x="232"/>
        <item x="391"/>
        <item x="1782"/>
        <item x="1615"/>
        <item x="248"/>
        <item x="1033"/>
        <item x="222"/>
        <item x="46"/>
        <item x="1170"/>
        <item x="1227"/>
        <item x="870"/>
        <item x="530"/>
        <item x="1304"/>
        <item x="1723"/>
        <item x="1280"/>
        <item x="810"/>
        <item x="1650"/>
        <item x="1464"/>
        <item x="468"/>
        <item x="1406"/>
        <item x="1350"/>
        <item x="1060"/>
        <item x="1711"/>
        <item x="706"/>
        <item x="662"/>
        <item x="1328"/>
        <item x="1791"/>
        <item x="1520"/>
        <item x="338"/>
        <item x="913"/>
        <item x="128"/>
        <item x="696"/>
        <item x="675"/>
        <item x="361"/>
        <item x="3"/>
        <item x="927"/>
        <item x="659"/>
        <item x="1109"/>
        <item x="261"/>
        <item x="493"/>
        <item x="602"/>
        <item x="788"/>
        <item x="1175"/>
        <item x="269"/>
        <item x="1892"/>
        <item x="1849"/>
        <item x="383"/>
        <item x="547"/>
        <item x="1203"/>
        <item x="1558"/>
        <item x="337"/>
        <item x="181"/>
        <item x="1666"/>
        <item x="1529"/>
        <item x="892"/>
        <item x="85"/>
        <item x="1526"/>
        <item x="703"/>
        <item x="1310"/>
        <item x="646"/>
        <item x="447"/>
        <item x="1762"/>
        <item x="198"/>
        <item x="461"/>
        <item x="1130"/>
        <item x="1338"/>
        <item x="508"/>
        <item x="1015"/>
        <item x="1050"/>
        <item x="770"/>
        <item x="529"/>
        <item x="1541"/>
        <item x="906"/>
        <item x="1618"/>
        <item x="640"/>
        <item x="736"/>
        <item x="612"/>
        <item x="1890"/>
        <item x="309"/>
        <item x="343"/>
        <item x="1009"/>
        <item x="518"/>
        <item x="964"/>
        <item x="578"/>
        <item x="1986"/>
        <item x="41"/>
        <item x="606"/>
        <item x="418"/>
        <item x="879"/>
        <item x="1905"/>
        <item x="560"/>
        <item x="1187"/>
        <item x="1714"/>
        <item x="1848"/>
        <item x="1601"/>
        <item x="816"/>
        <item x="264"/>
        <item x="1121"/>
        <item x="1519"/>
        <item x="609"/>
        <item x="1215"/>
        <item x="1722"/>
        <item x="974"/>
        <item x="1223"/>
        <item x="760"/>
        <item x="1859"/>
        <item x="1234"/>
        <item x="1431"/>
        <item x="1753"/>
        <item x="332"/>
        <item x="780"/>
        <item x="812"/>
        <item x="894"/>
        <item x="1400"/>
        <item x="875"/>
        <item x="354"/>
        <item x="314"/>
        <item x="229"/>
        <item x="1332"/>
        <item x="566"/>
        <item x="747"/>
        <item x="484"/>
        <item x="348"/>
        <item x="1638"/>
        <item x="313"/>
        <item x="107"/>
        <item x="655"/>
        <item x="1576"/>
        <item x="707"/>
        <item x="1166"/>
        <item x="1614"/>
        <item x="175"/>
        <item x="1903"/>
        <item x="32"/>
        <item x="772"/>
        <item x="1048"/>
        <item x="842"/>
        <item x="961"/>
        <item x="1569"/>
        <item x="1947"/>
        <item x="1953"/>
        <item x="1853"/>
        <item x="1554"/>
        <item x="1412"/>
        <item x="1696"/>
        <item x="1448"/>
        <item x="1607"/>
        <item x="467"/>
        <item x="1941"/>
        <item x="873"/>
        <item x="915"/>
        <item x="676"/>
        <item x="96"/>
        <item x="969"/>
        <item x="1380"/>
        <item x="1197"/>
        <item x="70"/>
        <item x="172"/>
        <item x="1764"/>
        <item x="1184"/>
        <item x="874"/>
        <item x="108"/>
        <item x="1866"/>
        <item x="448"/>
        <item x="379"/>
        <item x="57"/>
        <item x="1011"/>
        <item x="1253"/>
        <item x="1468"/>
        <item x="238"/>
        <item x="1211"/>
        <item x="1921"/>
        <item x="1757"/>
        <item x="84"/>
        <item x="997"/>
        <item x="714"/>
        <item x="1776"/>
        <item x="1727"/>
        <item x="559"/>
        <item x="1366"/>
        <item x="1579"/>
        <item x="756"/>
        <item x="936"/>
        <item x="173"/>
        <item x="1524"/>
        <item x="457"/>
        <item x="234"/>
        <item x="693"/>
        <item x="1001"/>
        <item x="1161"/>
        <item x="249"/>
        <item x="356"/>
        <item x="254"/>
        <item x="59"/>
        <item x="293"/>
        <item x="14"/>
        <item x="1123"/>
        <item x="1079"/>
        <item x="1165"/>
        <item x="1876"/>
        <item x="591"/>
        <item x="1997"/>
        <item x="1088"/>
        <item x="1168"/>
        <item x="1870"/>
        <item x="1929"/>
        <item x="680"/>
        <item x="905"/>
        <item x="109"/>
        <item x="1805"/>
        <item x="1894"/>
        <item x="1880"/>
        <item x="635"/>
        <item x="886"/>
        <item x="1073"/>
        <item x="1495"/>
        <item x="495"/>
        <item x="1147"/>
        <item x="45"/>
        <item x="1655"/>
        <item x="304"/>
        <item x="1268"/>
        <item x="849"/>
        <item x="1704"/>
        <item x="1291"/>
        <item x="923"/>
        <item x="1367"/>
        <item x="1999"/>
        <item x="555"/>
        <item x="1613"/>
        <item x="188"/>
        <item x="656"/>
        <item x="312"/>
        <item x="1269"/>
        <item x="451"/>
        <item x="477"/>
        <item x="1472"/>
        <item x="1145"/>
        <item x="784"/>
        <item x="1945"/>
        <item x="1970"/>
        <item x="1837"/>
        <item x="1100"/>
        <item x="521"/>
        <item x="465"/>
        <item x="1292"/>
        <item x="1827"/>
        <item x="1261"/>
        <item x="1014"/>
        <item x="1635"/>
        <item x="750"/>
        <item x="406"/>
        <item x="29"/>
        <item x="1023"/>
        <item x="1069"/>
        <item x="1545"/>
        <item x="1620"/>
        <item x="1330"/>
        <item x="195"/>
        <item x="316"/>
        <item x="1775"/>
        <item x="1103"/>
        <item x="1139"/>
        <item x="1092"/>
        <item x="155"/>
        <item x="178"/>
        <item x="302"/>
        <item x="1432"/>
        <item x="1346"/>
        <item x="341"/>
        <item x="424"/>
        <item x="1243"/>
        <item x="1382"/>
        <item x="1912"/>
        <item x="442"/>
        <item x="1938"/>
        <item x="480"/>
        <item x="1732"/>
        <item x="92"/>
        <item x="851"/>
        <item x="1665"/>
        <item x="1785"/>
        <item x="1600"/>
        <item x="1022"/>
        <item x="920"/>
        <item x="399"/>
        <item x="1284"/>
        <item x="171"/>
        <item x="1164"/>
        <item x="86"/>
        <item x="1308"/>
        <item x="1450"/>
        <item x="532"/>
        <item x="776"/>
        <item x="1611"/>
        <item x="1930"/>
        <item x="1919"/>
        <item x="712"/>
        <item x="1440"/>
        <item x="1626"/>
        <item x="1510"/>
        <item x="1733"/>
        <item x="55"/>
        <item x="1610"/>
        <item x="1454"/>
        <item x="1378"/>
        <item x="1707"/>
        <item x="732"/>
        <item x="310"/>
        <item x="281"/>
        <item x="1925"/>
        <item x="1583"/>
        <item x="1911"/>
        <item x="165"/>
        <item x="569"/>
        <item x="871"/>
        <item x="414"/>
        <item x="120"/>
        <item x="1062"/>
        <item x="843"/>
        <item x="421"/>
        <item x="806"/>
        <item x="1767"/>
        <item x="449"/>
        <item x="273"/>
        <item x="1589"/>
        <item x="1809"/>
        <item x="1125"/>
        <item x="1616"/>
        <item x="146"/>
        <item x="1391"/>
        <item x="1093"/>
        <item x="1784"/>
        <item x="285"/>
        <item x="211"/>
        <item x="1183"/>
        <item x="1226"/>
        <item x="837"/>
        <item x="1065"/>
        <item x="1560"/>
        <item x="1115"/>
        <item x="1682"/>
        <item x="515"/>
        <item x="1689"/>
        <item x="1427"/>
        <item x="1673"/>
        <item x="1220"/>
        <item x="277"/>
        <item x="308"/>
        <item x="700"/>
        <item x="182"/>
        <item x="1441"/>
        <item x="1823"/>
        <item x="1818"/>
        <item x="845"/>
        <item x="1143"/>
        <item x="1826"/>
        <item x="893"/>
        <item x="397"/>
        <item x="1813"/>
        <item x="699"/>
        <item x="1274"/>
        <item x="1470"/>
        <item x="1672"/>
        <item x="1897"/>
        <item x="1750"/>
        <item x="63"/>
        <item x="1094"/>
        <item x="49"/>
        <item x="1396"/>
        <item x="1887"/>
        <item x="1129"/>
        <item x="1603"/>
        <item x="1567"/>
        <item x="425"/>
        <item x="322"/>
        <item x="411"/>
        <item x="1504"/>
        <item x="567"/>
        <item x="1027"/>
        <item x="1063"/>
        <item x="340"/>
        <item x="1681"/>
        <item x="1114"/>
        <item x="1281"/>
        <item x="311"/>
        <item x="1871"/>
        <item x="685"/>
        <item x="1604"/>
        <item x="1077"/>
        <item x="1295"/>
        <item x="1833"/>
        <item x="741"/>
        <item x="1071"/>
        <item x="720"/>
        <item x="1097"/>
        <item x="1180"/>
        <item x="1259"/>
        <item x="1856"/>
        <item x="1345"/>
        <item x="435"/>
        <item x="1685"/>
        <item x="1151"/>
        <item x="1573"/>
        <item x="1523"/>
        <item x="768"/>
        <item x="594"/>
        <item x="72"/>
        <item x="1383"/>
        <item x="500"/>
        <item x="888"/>
        <item x="522"/>
        <item x="598"/>
        <item x="1389"/>
        <item x="895"/>
        <item x="1507"/>
        <item x="1989"/>
        <item x="1158"/>
        <item x="1822"/>
        <item x="1513"/>
        <item x="930"/>
        <item x="115"/>
        <item x="1548"/>
        <item x="538"/>
        <item x="1811"/>
        <item x="469"/>
        <item x="1336"/>
        <item x="105"/>
        <item x="1974"/>
        <item x="1276"/>
        <item x="1355"/>
        <item x="738"/>
        <item x="999"/>
        <item x="410"/>
        <item x="918"/>
        <item x="352"/>
        <item x="147"/>
        <item x="791"/>
        <item x="775"/>
        <item x="995"/>
        <item x="723"/>
        <item x="276"/>
        <item x="755"/>
        <item x="1979"/>
        <item x="1910"/>
        <item x="1562"/>
        <item x="119"/>
        <item x="1512"/>
        <item x="542"/>
        <item x="1780"/>
        <item x="1179"/>
        <item x="1119"/>
        <item x="1181"/>
        <item x="1559"/>
        <item x="762"/>
        <item x="1966"/>
        <item x="1778"/>
        <item x="157"/>
        <item x="131"/>
        <item x="1568"/>
        <item x="22"/>
        <item x="1428"/>
        <item x="626"/>
        <item x="133"/>
        <item x="730"/>
        <item x="1839"/>
        <item x="1307"/>
        <item x="1213"/>
        <item x="1807"/>
        <item x="975"/>
        <item x="1267"/>
        <item x="684"/>
        <item x="13"/>
        <item x="1700"/>
        <item x="1459"/>
        <item x="326"/>
        <item x="1846"/>
        <item x="1068"/>
        <item x="1368"/>
        <item x="1555"/>
        <item x="153"/>
        <item x="748"/>
        <item x="82"/>
        <item x="840"/>
        <item x="641"/>
        <item x="648"/>
        <item x="126"/>
        <item x="452"/>
        <item x="937"/>
        <item x="729"/>
        <item x="1629"/>
        <item x="1517"/>
        <item x="1456"/>
        <item x="1557"/>
        <item x="1980"/>
        <item x="1331"/>
        <item x="963"/>
        <item x="1874"/>
        <item x="1083"/>
        <item x="1830"/>
        <item x="167"/>
        <item x="1056"/>
        <item x="644"/>
        <item x="1016"/>
        <item x="834"/>
        <item x="1239"/>
        <item x="864"/>
        <item x="1553"/>
        <item x="1967"/>
        <item x="164"/>
        <item x="162"/>
        <item x="819"/>
        <item x="881"/>
        <item x="1570"/>
        <item x="1474"/>
        <item x="1273"/>
        <item x="694"/>
        <item x="1657"/>
        <item x="898"/>
        <item x="853"/>
        <item x="1625"/>
        <item x="613"/>
        <item x="636"/>
        <item x="865"/>
        <item x="861"/>
        <item x="917"/>
        <item x="301"/>
        <item x="1270"/>
        <item x="201"/>
        <item x="69"/>
        <item x="1488"/>
        <item x="785"/>
        <item x="1684"/>
        <item x="1487"/>
        <item x="1577"/>
        <item x="1256"/>
        <item x="509"/>
        <item x="619"/>
        <item x="1052"/>
        <item x="455"/>
        <item x="883"/>
        <item x="980"/>
        <item x="1144"/>
        <item x="470"/>
        <item x="95"/>
        <item x="1907"/>
        <item x="1609"/>
        <item x="825"/>
        <item x="971"/>
        <item x="1747"/>
        <item x="686"/>
        <item x="1117"/>
        <item x="589"/>
        <item x="38"/>
        <item x="901"/>
        <item x="1713"/>
        <item x="803"/>
        <item x="76"/>
        <item x="1933"/>
        <item x="244"/>
        <item x="549"/>
        <item x="1496"/>
        <item x="1686"/>
        <item x="805"/>
        <item x="1828"/>
        <item x="1483"/>
        <item x="15"/>
        <item x="1865"/>
        <item x="1153"/>
        <item x="1794"/>
        <item x="1127"/>
        <item x="945"/>
        <item x="54"/>
        <item x="778"/>
        <item x="58"/>
        <item x="1824"/>
        <item x="1005"/>
        <item x="985"/>
        <item x="663"/>
        <item x="1773"/>
        <item x="339"/>
        <item x="135"/>
        <item x="1287"/>
        <item x="274"/>
        <item x="1404"/>
        <item x="728"/>
        <item x="197"/>
        <item x="1162"/>
        <item x="454"/>
        <item x="50"/>
        <item x="1676"/>
        <item x="213"/>
        <item x="1110"/>
        <item x="136"/>
        <item x="1836"/>
        <item x="1233"/>
        <item x="563"/>
        <item x="1648"/>
        <item x="481"/>
        <item x="1096"/>
        <item x="887"/>
        <item x="911"/>
        <item x="371"/>
        <item x="1172"/>
        <item x="1812"/>
        <item x="983"/>
        <item x="242"/>
        <item x="1021"/>
        <item x="196"/>
        <item x="1886"/>
        <item x="1326"/>
        <item x="31"/>
        <item x="228"/>
        <item x="1861"/>
        <item x="1889"/>
        <item x="1364"/>
        <item x="1606"/>
        <item x="511"/>
        <item x="370"/>
        <item x="1563"/>
        <item x="1329"/>
        <item x="214"/>
        <item x="405"/>
        <item x="453"/>
        <item x="1087"/>
        <item x="364"/>
        <item x="580"/>
        <item x="300"/>
        <item x="1936"/>
        <item x="1453"/>
        <item x="631"/>
        <item x="1982"/>
        <item x="1178"/>
        <item x="1766"/>
        <item x="1544"/>
        <item x="1230"/>
        <item x="615"/>
        <item x="286"/>
        <item x="1025"/>
        <item x="1511"/>
        <item x="1167"/>
        <item x="236"/>
        <item x="758"/>
        <item x="1845"/>
        <item x="417"/>
        <item x="766"/>
        <item x="464"/>
        <item x="1297"/>
        <item x="1546"/>
        <item x="909"/>
        <item x="163"/>
        <item x="1944"/>
        <item x="127"/>
        <item x="970"/>
        <item x="1192"/>
        <item x="1540"/>
        <item x="1410"/>
        <item x="836"/>
        <item x="1457"/>
        <item x="1825"/>
        <item x="203"/>
        <item x="1244"/>
        <item x="129"/>
        <item x="1419"/>
        <item x="922"/>
        <item x="1388"/>
        <item x="716"/>
        <item x="438"/>
        <item x="951"/>
        <item x="271"/>
        <item x="148"/>
        <item x="103"/>
        <item x="320"/>
        <item x="968"/>
        <item x="166"/>
        <item x="456"/>
        <item x="1902"/>
        <item x="1906"/>
        <item x="1090"/>
        <item x="1644"/>
        <item x="365"/>
        <item x="1481"/>
        <item x="317"/>
        <item x="739"/>
        <item x="1739"/>
        <item x="533"/>
        <item x="497"/>
        <item x="1755"/>
        <item x="1709"/>
        <item x="427"/>
        <item x="1042"/>
        <item x="208"/>
        <item x="1415"/>
        <item x="112"/>
      </items>
    </pivotField>
    <pivotField name="BM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t="default"/>
      </items>
    </pivotField>
    <pivotField name="HBA1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t="default"/>
      </items>
    </pivotField>
    <pivotField name="Heart Issues" compact="0" outline="0" multipleItemSelectionAllowed="1" showAll="0">
      <items>
        <item x="0"/>
        <item x="1"/>
        <item t="default"/>
      </items>
    </pivotField>
    <pivotField name="Any Transplants" compact="0" outline="0" multipleItemSelectionAllowed="1" showAll="0">
      <items>
        <item x="0"/>
        <item x="1"/>
        <item t="default"/>
      </items>
    </pivotField>
    <pivotField name="Cancer History" axis="axisRow" compact="0" outline="0" multipleItemSelectionAllowed="1" showAll="0" sortType="ascending" defaultSubtotal="0">
      <items>
        <item x="0"/>
        <item x="1"/>
      </items>
    </pivotField>
    <pivotField name="Number of Major Surgeries" axis="axisRow" compact="0" outline="0" multipleItemSelectionAllowed="1" showAll="0" sortType="ascending" defaultSubtotal="0">
      <items>
        <item x="0"/>
        <item x="3"/>
        <item x="1"/>
        <item x="2"/>
      </items>
    </pivotField>
    <pivotField name="Smoker" axis="axisRow" compact="0" outline="0" multipleItemSelectionAllowed="1" showAll="0" sortType="ascending" defaultSubtotal="0">
      <items>
        <item x="2"/>
        <item x="1"/>
        <item x="0"/>
      </items>
    </pivotField>
    <pivotField name="Weight Status" axis="axisRow" compact="0" outline="0" multipleItemSelectionAllowed="1" showAll="0" sortType="ascending" defaultSubtotal="0">
      <items>
        <item x="2"/>
        <item x="0"/>
        <item x="1"/>
        <item x="3"/>
      </items>
    </pivotField>
    <pivotField name="City tier" axis="axisRow" compact="0" outline="0" multipleItemSelectionAllowed="1" showAll="0" sortType="ascending" defaultSubtotal="0">
      <items>
        <item x="1"/>
        <item x="2"/>
        <item x="0"/>
      </items>
    </pivotField>
    <pivotField name="State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Date of birth" axis="axisRow" compact="0" outline="0" multipleItemSelectionAllowed="1" showAll="0" sortType="ascending" defaultSubtotal="0">
      <items>
        <item x="1304"/>
        <item x="307"/>
        <item x="44"/>
        <item x="110"/>
        <item x="1545"/>
        <item x="1548"/>
        <item x="1677"/>
        <item x="2066"/>
        <item x="2046"/>
        <item x="1915"/>
        <item x="2015"/>
        <item x="263"/>
        <item x="1403"/>
        <item x="1114"/>
        <item x="543"/>
        <item x="468"/>
        <item x="1541"/>
        <item x="1806"/>
        <item x="1620"/>
        <item x="1354"/>
        <item x="1985"/>
        <item x="338"/>
        <item x="784"/>
        <item x="653"/>
        <item x="1232"/>
        <item x="1307"/>
        <item x="1366"/>
        <item x="1558"/>
        <item x="1606"/>
        <item x="1782"/>
        <item x="1833"/>
        <item x="2031"/>
        <item x="797"/>
        <item x="1461"/>
        <item x="236"/>
        <item x="1809"/>
        <item x="1858"/>
        <item x="194"/>
        <item x="553"/>
        <item x="252"/>
        <item x="861"/>
        <item x="274"/>
        <item x="1424"/>
        <item x="1462"/>
        <item x="1707"/>
        <item x="171"/>
        <item x="1829"/>
        <item x="1676"/>
        <item x="1825"/>
        <item x="1845"/>
        <item x="13"/>
        <item x="887"/>
        <item x="898"/>
        <item x="1093"/>
        <item x="1317"/>
        <item x="1739"/>
        <item x="1699"/>
        <item x="1686"/>
        <item x="1138"/>
        <item x="1614"/>
        <item x="1567"/>
        <item x="1976"/>
        <item x="866"/>
        <item x="424"/>
        <item x="1364"/>
        <item x="1271"/>
        <item x="1642"/>
        <item x="473"/>
        <item x="842"/>
        <item x="48"/>
        <item x="1120"/>
        <item x="1044"/>
        <item x="502"/>
        <item x="1629"/>
        <item x="462"/>
        <item x="374"/>
        <item x="1931"/>
        <item x="1865"/>
        <item x="91"/>
        <item x="40"/>
        <item x="394"/>
        <item x="2014"/>
        <item x="761"/>
        <item x="827"/>
        <item x="864"/>
        <item x="989"/>
        <item x="718"/>
        <item x="638"/>
        <item x="1791"/>
        <item x="1912"/>
        <item x="1796"/>
        <item x="798"/>
        <item x="1553"/>
        <item x="1220"/>
        <item x="1173"/>
        <item x="313"/>
        <item x="853"/>
        <item x="1335"/>
        <item x="1624"/>
        <item x="1790"/>
        <item x="1652"/>
        <item x="614"/>
        <item x="977"/>
        <item x="372"/>
        <item x="940"/>
        <item x="1418"/>
        <item x="237"/>
        <item x="748"/>
        <item x="1849"/>
        <item x="551"/>
        <item x="926"/>
        <item x="1505"/>
        <item x="1330"/>
        <item x="137"/>
        <item x="1679"/>
        <item x="1860"/>
        <item x="880"/>
        <item x="1136"/>
        <item x="108"/>
        <item x="31"/>
        <item x="346"/>
        <item x="1308"/>
        <item x="280"/>
        <item x="1741"/>
        <item x="1788"/>
        <item x="1262"/>
        <item x="370"/>
        <item x="1871"/>
        <item x="1369"/>
        <item x="560"/>
        <item x="229"/>
        <item x="922"/>
        <item x="1291"/>
        <item x="1047"/>
        <item x="1060"/>
        <item x="66"/>
        <item x="1615"/>
        <item x="1051"/>
        <item x="359"/>
        <item x="1798"/>
        <item x="1925"/>
        <item x="416"/>
        <item x="666"/>
        <item x="341"/>
        <item x="62"/>
        <item x="509"/>
        <item x="1172"/>
        <item x="1011"/>
        <item x="162"/>
        <item x="525"/>
        <item x="1891"/>
        <item x="22"/>
        <item x="946"/>
        <item x="1230"/>
        <item x="458"/>
        <item x="305"/>
        <item x="1388"/>
        <item x="303"/>
        <item x="1542"/>
        <item x="1662"/>
        <item x="1900"/>
        <item x="1839"/>
        <item x="1966"/>
        <item x="876"/>
        <item x="1059"/>
        <item x="1616"/>
        <item x="365"/>
        <item x="1523"/>
        <item x="428"/>
        <item x="1691"/>
        <item x="738"/>
        <item x="1000"/>
        <item x="59"/>
        <item x="326"/>
        <item x="1106"/>
        <item x="96"/>
        <item x="1245"/>
        <item x="1687"/>
        <item x="1515"/>
        <item x="1512"/>
        <item x="1840"/>
        <item x="627"/>
        <item x="658"/>
        <item x="816"/>
        <item x="52"/>
        <item x="391"/>
        <item x="133"/>
        <item x="1054"/>
        <item x="1995"/>
        <item x="628"/>
        <item x="849"/>
        <item x="1101"/>
        <item x="385"/>
        <item x="354"/>
        <item x="2003"/>
        <item x="528"/>
        <item x="923"/>
        <item x="1073"/>
        <item x="642"/>
        <item x="859"/>
        <item x="1659"/>
        <item x="180"/>
        <item x="523"/>
        <item x="1449"/>
        <item x="1913"/>
        <item x="1936"/>
        <item x="456"/>
        <item x="5"/>
        <item x="721"/>
        <item x="820"/>
        <item x="1303"/>
        <item x="315"/>
        <item x="126"/>
        <item x="466"/>
        <item x="90"/>
        <item x="1407"/>
        <item x="98"/>
        <item x="8"/>
        <item x="618"/>
        <item x="953"/>
        <item x="1447"/>
        <item x="1206"/>
        <item x="1200"/>
        <item x="1203"/>
        <item x="1266"/>
        <item x="455"/>
        <item x="649"/>
        <item x="1429"/>
        <item x="1591"/>
        <item x="1635"/>
        <item x="1666"/>
        <item x="1830"/>
        <item x="201"/>
        <item x="1636"/>
        <item x="937"/>
        <item x="21"/>
        <item x="808"/>
        <item x="892"/>
        <item x="204"/>
        <item x="100"/>
        <item x="1904"/>
        <item x="780"/>
        <item x="847"/>
        <item x="769"/>
        <item x="668"/>
        <item x="1066"/>
        <item x="1135"/>
        <item x="54"/>
        <item x="198"/>
        <item x="1751"/>
        <item x="2020"/>
        <item x="1753"/>
        <item x="2008"/>
        <item x="1967"/>
        <item x="32"/>
        <item x="971"/>
        <item x="1092"/>
        <item x="1633"/>
        <item x="1269"/>
        <item x="356"/>
        <item x="535"/>
        <item x="269"/>
        <item x="1585"/>
        <item x="390"/>
        <item x="1822"/>
        <item x="330"/>
        <item x="87"/>
        <item x="188"/>
        <item x="644"/>
        <item x="1392"/>
        <item x="1625"/>
        <item x="504"/>
        <item x="240"/>
        <item x="951"/>
        <item x="119"/>
        <item x="221"/>
        <item x="1718"/>
        <item x="1563"/>
        <item x="1794"/>
        <item x="755"/>
        <item x="17"/>
        <item x="1217"/>
        <item x="1427"/>
        <item x="122"/>
        <item x="1489"/>
        <item x="1638"/>
        <item x="1861"/>
        <item x="1971"/>
        <item x="1851"/>
        <item x="2048"/>
        <item x="167"/>
        <item x="192"/>
        <item x="382"/>
        <item x="1218"/>
        <item x="1072"/>
        <item x="259"/>
        <item x="1033"/>
        <item x="631"/>
        <item x="1373"/>
        <item x="1525"/>
        <item x="1628"/>
        <item x="298"/>
        <item x="1042"/>
        <item x="1990"/>
        <item x="1258"/>
        <item x="235"/>
        <item x="707"/>
        <item x="46"/>
        <item x="986"/>
        <item x="1463"/>
        <item x="1123"/>
        <item x="1413"/>
        <item x="846"/>
        <item x="1878"/>
        <item x="316"/>
        <item x="1316"/>
        <item x="2047"/>
        <item x="1921"/>
        <item x="1874"/>
        <item x="1740"/>
        <item x="1227"/>
        <item x="1057"/>
        <item x="574"/>
        <item x="1975"/>
        <item x="1785"/>
        <item x="134"/>
        <item x="339"/>
        <item x="795"/>
        <item x="584"/>
        <item x="179"/>
        <item x="1125"/>
        <item x="366"/>
        <item x="1651"/>
        <item x="599"/>
        <item x="342"/>
        <item x="1986"/>
        <item x="1726"/>
        <item x="1570"/>
        <item x="611"/>
        <item x="82"/>
        <item x="1328"/>
        <item x="369"/>
        <item x="1146"/>
        <item x="1213"/>
        <item x="745"/>
        <item x="1406"/>
        <item x="3"/>
        <item x="1566"/>
        <item x="1754"/>
        <item x="692"/>
        <item x="357"/>
        <item x="698"/>
        <item x="890"/>
        <item x="413"/>
        <item x="1365"/>
        <item x="1514"/>
        <item x="591"/>
        <item x="1746"/>
        <item x="993"/>
        <item x="1538"/>
        <item x="1800"/>
        <item x="1792"/>
        <item x="1062"/>
        <item x="1993"/>
        <item x="1844"/>
        <item x="1887"/>
        <item x="714"/>
        <item x="947"/>
        <item x="766"/>
        <item x="1121"/>
        <item x="1185"/>
        <item x="1434"/>
        <item x="787"/>
        <item x="589"/>
        <item x="1416"/>
        <item x="1696"/>
        <item x="507"/>
        <item x="1914"/>
        <item x="682"/>
        <item x="700"/>
        <item x="619"/>
        <item x="1148"/>
        <item x="1021"/>
        <item x="84"/>
        <item x="1163"/>
        <item x="1348"/>
        <item x="495"/>
        <item x="974"/>
        <item x="1690"/>
        <item x="349"/>
        <item x="1787"/>
        <item x="2038"/>
        <item x="932"/>
        <item x="1053"/>
        <item x="1357"/>
        <item x="480"/>
        <item x="1465"/>
        <item x="593"/>
        <item x="904"/>
        <item x="2021"/>
        <item x="1926"/>
        <item x="1841"/>
        <item x="764"/>
        <item x="895"/>
        <item x="1467"/>
        <item x="1187"/>
        <item x="1243"/>
        <item x="1288"/>
        <item x="879"/>
        <item x="363"/>
        <item x="1543"/>
        <item x="848"/>
        <item x="1864"/>
        <item x="243"/>
        <item x="358"/>
        <item x="1954"/>
        <item x="756"/>
        <item x="510"/>
        <item x="833"/>
        <item x="29"/>
        <item x="919"/>
        <item x="195"/>
        <item x="1124"/>
        <item x="1181"/>
        <item x="1933"/>
        <item x="1607"/>
        <item x="709"/>
        <item x="558"/>
        <item x="1070"/>
        <item x="920"/>
        <item x="906"/>
        <item x="1977"/>
        <item x="704"/>
        <item x="125"/>
        <item x="1018"/>
        <item x="386"/>
        <item x="870"/>
        <item x="1147"/>
        <item x="1208"/>
        <item x="1306"/>
        <item x="691"/>
        <item x="337"/>
        <item x="230"/>
        <item x="1437"/>
        <item x="730"/>
        <item x="1211"/>
        <item x="1393"/>
        <item x="118"/>
        <item x="430"/>
        <item x="1923"/>
        <item x="757"/>
        <item x="990"/>
        <item x="908"/>
        <item x="1582"/>
        <item x="854"/>
        <item x="475"/>
        <item x="2056"/>
        <item x="80"/>
        <item x="224"/>
        <item x="915"/>
        <item x="796"/>
        <item x="1345"/>
        <item x="1779"/>
        <item x="1980"/>
        <item x="360"/>
        <item x="1943"/>
        <item x="415"/>
        <item x="1159"/>
        <item x="1956"/>
        <item x="18"/>
        <item x="955"/>
        <item x="271"/>
        <item x="1593"/>
        <item x="1529"/>
        <item x="1410"/>
        <item x="329"/>
        <item x="1550"/>
        <item x="1236"/>
        <item x="1996"/>
        <item x="1892"/>
        <item x="753"/>
        <item x="1137"/>
        <item x="1528"/>
        <item x="258"/>
        <item x="1549"/>
        <item x="2057"/>
        <item x="1982"/>
        <item x="1682"/>
        <item x="1118"/>
        <item x="550"/>
        <item x="71"/>
        <item x="1104"/>
        <item x="1"/>
        <item x="1536"/>
        <item x="1422"/>
        <item x="1226"/>
        <item x="478"/>
        <item x="697"/>
        <item x="800"/>
        <item x="1079"/>
        <item x="1497"/>
        <item x="1589"/>
        <item x="1382"/>
        <item x="266"/>
        <item x="1056"/>
        <item x="1964"/>
        <item x="637"/>
        <item x="28"/>
        <item x="992"/>
        <item x="83"/>
        <item x="422"/>
        <item x="1045"/>
        <item x="1024"/>
        <item x="569"/>
        <item x="1477"/>
        <item x="1482"/>
        <item x="1078"/>
        <item x="107"/>
        <item x="1544"/>
        <item x="487"/>
        <item x="594"/>
        <item x="1071"/>
        <item x="1353"/>
        <item x="587"/>
        <item x="2013"/>
        <item x="465"/>
        <item x="1454"/>
        <item x="1141"/>
        <item x="88"/>
        <item x="149"/>
        <item x="282"/>
        <item x="1709"/>
        <item x="275"/>
        <item x="1113"/>
        <item x="292"/>
        <item x="1387"/>
        <item x="1664"/>
        <item x="685"/>
        <item x="696"/>
        <item x="655"/>
        <item x="641"/>
        <item x="1404"/>
        <item x="1058"/>
        <item x="333"/>
        <item x="492"/>
        <item x="1747"/>
        <item x="135"/>
        <item x="1479"/>
        <item x="539"/>
        <item x="464"/>
        <item x="1131"/>
        <item x="1405"/>
        <item x="712"/>
        <item x="881"/>
        <item x="857"/>
        <item x="1475"/>
        <item x="1590"/>
        <item x="913"/>
        <item x="1981"/>
        <item x="479"/>
        <item x="786"/>
        <item x="376"/>
        <item x="388"/>
        <item x="294"/>
        <item x="332"/>
        <item x="1399"/>
        <item x="1116"/>
        <item x="272"/>
        <item x="2070"/>
        <item x="1863"/>
        <item x="216"/>
        <item x="185"/>
        <item x="36"/>
        <item x="278"/>
        <item x="1464"/>
        <item x="2060"/>
        <item x="819"/>
        <item x="248"/>
        <item x="1812"/>
        <item x="1555"/>
        <item x="254"/>
        <item x="1947"/>
        <item x="297"/>
        <item x="952"/>
        <item x="1164"/>
        <item x="1201"/>
        <item x="1151"/>
        <item x="432"/>
        <item x="152"/>
        <item x="1737"/>
        <item x="1431"/>
        <item x="1196"/>
        <item x="405"/>
        <item x="1474"/>
        <item x="361"/>
        <item x="2049"/>
        <item x="231"/>
        <item x="1278"/>
        <item x="483"/>
        <item x="1421"/>
        <item x="1573"/>
        <item x="184"/>
        <item x="1760"/>
        <item x="606"/>
        <item x="377"/>
        <item x="1946"/>
        <item x="296"/>
        <item x="768"/>
        <item x="883"/>
        <item x="1134"/>
        <item x="888"/>
        <item x="1469"/>
        <item x="433"/>
        <item x="956"/>
        <item x="1261"/>
        <item x="164"/>
        <item x="1588"/>
        <item x="2064"/>
        <item x="1852"/>
        <item x="1924"/>
        <item x="187"/>
        <item x="744"/>
        <item x="1313"/>
        <item x="1390"/>
        <item x="851"/>
        <item x="984"/>
        <item x="1519"/>
        <item x="1619"/>
        <item x="67"/>
        <item x="1960"/>
        <item x="1950"/>
        <item x="1233"/>
        <item x="92"/>
        <item x="1483"/>
        <item x="169"/>
        <item x="176"/>
        <item x="1508"/>
        <item x="404"/>
        <item x="563"/>
        <item x="1717"/>
        <item x="1745"/>
        <item x="679"/>
        <item x="265"/>
        <item x="577"/>
        <item x="421"/>
        <item x="1038"/>
        <item x="95"/>
        <item x="1300"/>
        <item x="1602"/>
        <item x="1599"/>
        <item x="1804"/>
        <item x="1713"/>
        <item x="1927"/>
        <item x="482"/>
        <item x="1170"/>
        <item x="209"/>
        <item x="1251"/>
        <item x="302"/>
        <item x="1281"/>
        <item x="1776"/>
        <item x="1837"/>
        <item x="670"/>
        <item x="568"/>
        <item x="526"/>
        <item x="725"/>
        <item x="56"/>
        <item x="418"/>
        <item x="1127"/>
        <item x="1270"/>
        <item x="288"/>
        <item x="1375"/>
        <item x="1587"/>
        <item x="1611"/>
        <item x="1808"/>
        <item x="1458"/>
        <item x="581"/>
        <item x="686"/>
        <item x="1256"/>
        <item x="676"/>
        <item x="1298"/>
        <item x="540"/>
        <item x="1485"/>
        <item x="1758"/>
        <item x="156"/>
        <item x="872"/>
        <item x="713"/>
        <item x="972"/>
        <item x="284"/>
        <item x="47"/>
        <item x="1705"/>
        <item x="70"/>
        <item x="1195"/>
        <item x="665"/>
        <item x="1896"/>
        <item x="2001"/>
        <item x="1883"/>
        <item x="1957"/>
        <item x="710"/>
        <item x="961"/>
        <item x="646"/>
        <item x="457"/>
        <item x="1368"/>
        <item x="1575"/>
        <item x="930"/>
        <item x="2027"/>
        <item x="2037"/>
        <item x="1204"/>
        <item x="362"/>
        <item x="1581"/>
        <item x="239"/>
        <item x="1848"/>
        <item x="1867"/>
        <item x="728"/>
        <item x="804"/>
        <item x="929"/>
        <item x="873"/>
        <item x="1325"/>
        <item x="1177"/>
        <item x="1712"/>
        <item x="2035"/>
        <item x="1937"/>
        <item x="311"/>
        <item x="1238"/>
        <item x="905"/>
        <item x="1052"/>
        <item x="1326"/>
        <item x="1340"/>
        <item x="1670"/>
        <item x="1356"/>
        <item x="811"/>
        <item x="2025"/>
        <item x="1949"/>
        <item x="875"/>
        <item x="283"/>
        <item x="635"/>
        <item x="590"/>
        <item x="1521"/>
        <item x="1838"/>
        <item x="387"/>
        <item x="12"/>
        <item x="939"/>
        <item x="1453"/>
        <item x="1275"/>
        <item x="1016"/>
        <item x="1484"/>
        <item x="86"/>
        <item x="238"/>
        <item x="1750"/>
        <item x="406"/>
        <item x="39"/>
        <item x="1795"/>
        <item x="2016"/>
        <item x="1756"/>
        <item x="2028"/>
        <item x="749"/>
        <item x="981"/>
        <item x="301"/>
        <item x="1455"/>
        <item x="604"/>
        <item x="1487"/>
        <item x="1180"/>
        <item x="1714"/>
        <item x="1612"/>
        <item x="250"/>
        <item x="1002"/>
        <item x="395"/>
        <item x="344"/>
        <item x="2030"/>
        <item x="1910"/>
        <item x="1199"/>
        <item x="633"/>
        <item x="408"/>
        <item x="317"/>
        <item x="145"/>
        <item x="1040"/>
        <item x="1396"/>
        <item x="901"/>
        <item x="197"/>
        <item x="453"/>
        <item x="1028"/>
        <item x="554"/>
        <item x="925"/>
        <item x="815"/>
        <item x="547"/>
        <item x="1209"/>
        <item x="120"/>
        <item x="472"/>
        <item x="1533"/>
        <item x="1272"/>
        <item x="1656"/>
        <item x="529"/>
        <item x="1998"/>
        <item x="97"/>
        <item x="1133"/>
        <item x="85"/>
        <item x="114"/>
        <item x="34"/>
        <item x="1632"/>
        <item x="1419"/>
        <item x="1517"/>
        <item x="520"/>
        <item x="760"/>
        <item x="1828"/>
        <item x="1630"/>
        <item x="1752"/>
        <item x="2063"/>
        <item x="251"/>
        <item x="1890"/>
        <item x="1075"/>
        <item x="911"/>
        <item x="1571"/>
        <item x="441"/>
        <item x="695"/>
        <item x="659"/>
        <item x="160"/>
        <item x="0"/>
        <item x="885"/>
        <item x="409"/>
        <item x="1117"/>
        <item x="128"/>
        <item x="602"/>
        <item x="1259"/>
        <item x="261"/>
        <item x="1627"/>
        <item x="1768"/>
        <item x="1235"/>
        <item x="1115"/>
        <item x="2026"/>
        <item x="1880"/>
        <item x="2041"/>
        <item x="817"/>
        <item x="882"/>
        <item x="1557"/>
        <item x="1175"/>
        <item x="1309"/>
        <item x="536"/>
        <item x="140"/>
        <item x="1186"/>
        <item x="2017"/>
        <item x="1242"/>
        <item x="1884"/>
        <item x="1240"/>
        <item x="1397"/>
        <item x="538"/>
        <item x="270"/>
        <item x="1873"/>
        <item x="592"/>
        <item x="1935"/>
        <item x="1886"/>
        <item x="20"/>
        <item x="918"/>
        <item x="419"/>
        <item x="410"/>
        <item x="1333"/>
        <item x="1648"/>
        <item x="1395"/>
        <item x="1823"/>
        <item x="1722"/>
        <item x="1398"/>
        <item x="683"/>
        <item x="1336"/>
        <item x="139"/>
        <item x="2018"/>
        <item x="2042"/>
        <item x="1491"/>
        <item x="735"/>
        <item x="1063"/>
        <item x="38"/>
        <item x="174"/>
        <item x="1191"/>
        <item x="322"/>
        <item x="1436"/>
        <item x="834"/>
        <item x="1443"/>
        <item x="1067"/>
        <item x="1494"/>
        <item x="2044"/>
        <item x="1706"/>
        <item x="310"/>
        <item x="1576"/>
        <item x="1675"/>
        <item x="172"/>
        <item x="285"/>
        <item x="1276"/>
        <item x="1807"/>
        <item x="2000"/>
        <item x="2011"/>
        <item x="470"/>
        <item x="907"/>
        <item x="1039"/>
        <item x="1654"/>
        <item x="1888"/>
        <item x="752"/>
        <item x="973"/>
        <item x="426"/>
        <item x="652"/>
        <item x="1789"/>
        <item x="1554"/>
        <item x="1777"/>
        <item x="1286"/>
        <item x="1941"/>
        <item x="1965"/>
        <item x="290"/>
        <item x="622"/>
        <item x="921"/>
        <item x="773"/>
        <item x="1608"/>
        <item x="1731"/>
        <item x="373"/>
        <item x="2040"/>
        <item x="693"/>
        <item x="910"/>
        <item x="936"/>
        <item x="945"/>
        <item x="486"/>
        <item x="1158"/>
        <item x="1749"/>
        <item x="401"/>
        <item x="1302"/>
        <item x="400"/>
        <item x="1826"/>
        <item x="621"/>
        <item x="542"/>
        <item x="24"/>
        <item x="490"/>
        <item x="868"/>
        <item x="182"/>
        <item x="1155"/>
        <item x="821"/>
        <item x="336"/>
        <item x="1492"/>
        <item x="660"/>
        <item x="1579"/>
        <item x="1909"/>
        <item x="783"/>
        <item x="970"/>
        <item x="1094"/>
        <item x="844"/>
        <item x="1334"/>
        <item x="726"/>
        <item x="1294"/>
        <item x="1799"/>
        <item x="1970"/>
        <item x="672"/>
        <item x="759"/>
        <item x="803"/>
        <item x="41"/>
        <item x="411"/>
        <item x="1341"/>
        <item x="720"/>
        <item x="1770"/>
        <item x="1030"/>
        <item x="467"/>
        <item x="1721"/>
        <item x="1702"/>
        <item x="1916"/>
        <item x="657"/>
        <item x="1012"/>
        <item x="1468"/>
        <item x="459"/>
        <item x="289"/>
        <item x="104"/>
        <item x="1476"/>
        <item x="443"/>
        <item x="1684"/>
        <item x="1999"/>
        <item x="1992"/>
        <item x="1945"/>
        <item x="1836"/>
        <item x="737"/>
        <item x="899"/>
        <item x="429"/>
        <item x="1154"/>
        <item x="75"/>
        <item x="435"/>
        <item x="1103"/>
        <item x="934"/>
        <item x="431"/>
        <item x="1955"/>
        <item x="998"/>
        <item x="398"/>
        <item x="1297"/>
        <item x="1744"/>
        <item x="1698"/>
        <item x="1778"/>
        <item x="1689"/>
        <item x="2061"/>
        <item x="1716"/>
        <item x="136"/>
        <item x="1379"/>
        <item x="1513"/>
        <item x="1320"/>
        <item x="527"/>
        <item x="1283"/>
        <item x="1881"/>
        <item x="1490"/>
        <item x="727"/>
        <item x="205"/>
        <item x="1381"/>
        <item x="1142"/>
        <item x="262"/>
        <item x="1660"/>
        <item x="1994"/>
        <item x="2009"/>
        <item x="669"/>
        <item x="634"/>
        <item x="64"/>
        <item x="154"/>
        <item x="1668"/>
        <item x="2012"/>
        <item x="25"/>
        <item x="309"/>
        <item x="1337"/>
        <item x="367"/>
        <item x="1813"/>
        <item x="1856"/>
        <item x="2034"/>
        <item x="680"/>
        <item x="839"/>
        <item x="1174"/>
        <item x="513"/>
        <item x="754"/>
        <item x="1610"/>
        <item x="1466"/>
        <item x="1763"/>
        <item x="1862"/>
        <item x="1324"/>
        <item x="498"/>
        <item x="1520"/>
        <item x="1832"/>
        <item x="1816"/>
        <item x="1089"/>
        <item x="681"/>
        <item x="1551"/>
        <item x="964"/>
        <item x="1237"/>
        <item x="130"/>
        <item x="1371"/>
        <item x="494"/>
        <item x="1444"/>
        <item x="1295"/>
        <item x="522"/>
        <item x="148"/>
        <item x="548"/>
        <item x="314"/>
        <item x="439"/>
        <item x="1653"/>
        <item x="1685"/>
        <item x="131"/>
        <item x="1879"/>
        <item x="190"/>
        <item x="1759"/>
        <item x="1919"/>
        <item x="115"/>
        <item x="715"/>
        <item x="674"/>
        <item x="565"/>
        <item x="1314"/>
        <item x="328"/>
        <item x="45"/>
        <item x="785"/>
        <item x="1169"/>
        <item x="147"/>
        <item x="123"/>
        <item x="1481"/>
        <item x="1622"/>
        <item x="1433"/>
        <item x="758"/>
        <item x="1963"/>
        <item x="559"/>
        <item x="1077"/>
        <item x="623"/>
        <item x="345"/>
        <item x="598"/>
        <item x="89"/>
        <item x="1701"/>
        <item x="1693"/>
        <item x="1669"/>
        <item x="501"/>
        <item x="1764"/>
        <item x="1584"/>
        <item x="2019"/>
        <item x="814"/>
        <item x="368"/>
        <item x="79"/>
        <item x="1119"/>
        <item x="856"/>
        <item x="1282"/>
        <item x="1572"/>
        <item x="1037"/>
        <item x="1451"/>
        <item x="16"/>
        <item x="451"/>
        <item x="546"/>
        <item x="831"/>
        <item x="1043"/>
        <item x="1471"/>
        <item x="675"/>
        <item x="159"/>
        <item x="734"/>
        <item x="417"/>
        <item x="1086"/>
        <item x="212"/>
        <item x="1150"/>
        <item x="1139"/>
        <item x="1617"/>
        <item x="1893"/>
        <item x="378"/>
        <item x="626"/>
        <item x="1022"/>
        <item x="1391"/>
        <item x="1166"/>
        <item x="1568"/>
        <item x="739"/>
        <item x="1831"/>
        <item x="1847"/>
        <item x="616"/>
        <item x="837"/>
        <item x="1293"/>
        <item x="1003"/>
        <item x="1064"/>
        <item x="393"/>
        <item x="763"/>
        <item x="1102"/>
        <item x="912"/>
        <item x="1347"/>
        <item x="111"/>
        <item x="893"/>
        <item x="799"/>
        <item x="1055"/>
        <item x="1143"/>
        <item x="1383"/>
        <item x="30"/>
        <item x="446"/>
        <item x="1531"/>
        <item x="1710"/>
        <item x="1866"/>
        <item x="966"/>
        <item x="144"/>
        <item x="227"/>
        <item x="1069"/>
        <item x="1448"/>
        <item x="1401"/>
        <item x="474"/>
        <item x="1537"/>
        <item x="1850"/>
        <item x="1290"/>
        <item x="1953"/>
        <item x="643"/>
        <item x="531"/>
        <item x="518"/>
        <item x="1108"/>
        <item x="534"/>
        <item x="858"/>
        <item x="477"/>
        <item x="166"/>
        <item x="226"/>
        <item x="1958"/>
        <item x="26"/>
        <item x="268"/>
        <item x="689"/>
        <item x="165"/>
        <item x="1647"/>
        <item x="1027"/>
        <item x="1748"/>
        <item x="1257"/>
        <item x="1786"/>
        <item x="1938"/>
        <item x="207"/>
        <item x="958"/>
        <item x="37"/>
        <item x="805"/>
        <item x="469"/>
        <item x="113"/>
        <item x="281"/>
        <item x="117"/>
        <item x="170"/>
        <item x="942"/>
        <item x="1876"/>
        <item x="1872"/>
        <item x="702"/>
        <item x="257"/>
        <item x="1161"/>
        <item x="1152"/>
        <item x="1500"/>
        <item x="1818"/>
        <item x="203"/>
        <item x="1657"/>
        <item x="1267"/>
        <item x="656"/>
        <item x="620"/>
        <item x="450"/>
        <item x="1671"/>
        <item x="557"/>
        <item x="436"/>
        <item x="1074"/>
        <item x="102"/>
        <item x="1370"/>
        <item x="1742"/>
        <item x="1470"/>
        <item x="957"/>
        <item x="1205"/>
        <item x="65"/>
        <item x="1526"/>
        <item x="155"/>
        <item x="1506"/>
        <item x="1643"/>
        <item x="1246"/>
        <item x="1765"/>
        <item x="1725"/>
        <item x="1700"/>
        <item x="471"/>
        <item x="189"/>
        <item x="1132"/>
        <item x="1299"/>
        <item x="645"/>
        <item x="1090"/>
        <item x="1367"/>
        <item x="552"/>
        <item x="484"/>
        <item x="2055"/>
        <item x="1784"/>
        <item x="724"/>
        <item x="1435"/>
        <item x="1577"/>
        <item x="1522"/>
        <item x="1547"/>
        <item x="810"/>
        <item x="512"/>
        <item x="967"/>
        <item x="978"/>
        <item x="1510"/>
        <item x="1331"/>
        <item x="1319"/>
        <item x="1273"/>
        <item x="1417"/>
        <item x="969"/>
        <item x="1252"/>
        <item x="1323"/>
        <item x="1378"/>
        <item x="1198"/>
        <item x="4"/>
        <item x="1984"/>
        <item x="1979"/>
        <item x="1578"/>
        <item x="2039"/>
        <item x="840"/>
        <item x="1025"/>
        <item x="1080"/>
        <item x="1343"/>
        <item x="1562"/>
        <item x="2051"/>
        <item x="1899"/>
        <item x="1939"/>
        <item x="809"/>
        <item x="319"/>
        <item x="1440"/>
        <item x="733"/>
        <item x="927"/>
        <item x="1727"/>
        <item x="491"/>
        <item x="1952"/>
        <item x="1019"/>
        <item x="276"/>
        <item x="1076"/>
        <item x="1456"/>
        <item x="1321"/>
        <item x="600"/>
        <item x="1310"/>
        <item x="1488"/>
        <item x="215"/>
        <item x="1766"/>
        <item x="364"/>
        <item x="279"/>
        <item x="1157"/>
        <item x="1509"/>
        <item x="863"/>
        <item x="1498"/>
        <item x="570"/>
        <item x="208"/>
        <item x="1942"/>
        <item x="1973"/>
        <item x="186"/>
        <item x="463"/>
        <item x="150"/>
        <item x="515"/>
        <item x="1445"/>
        <item x="1402"/>
        <item x="1868"/>
        <item x="916"/>
        <item x="69"/>
        <item x="902"/>
        <item x="444"/>
        <item x="1046"/>
        <item x="206"/>
        <item x="1084"/>
        <item x="1274"/>
        <item x="505"/>
        <item x="1680"/>
        <item x="741"/>
        <item x="1774"/>
        <item x="1814"/>
        <item x="1771"/>
        <item x="1983"/>
        <item x="894"/>
        <item x="1285"/>
        <item x="158"/>
        <item x="1783"/>
        <item x="323"/>
        <item x="1857"/>
        <item x="1934"/>
        <item x="771"/>
        <item x="792"/>
        <item x="843"/>
        <item x="997"/>
        <item x="617"/>
        <item x="1255"/>
        <item x="1414"/>
        <item x="722"/>
        <item x="138"/>
        <item x="891"/>
        <item x="781"/>
        <item x="941"/>
        <item x="1430"/>
        <item x="950"/>
        <item x="1248"/>
        <item x="1842"/>
        <item x="1502"/>
        <item x="199"/>
        <item x="928"/>
        <item x="671"/>
        <item x="608"/>
        <item x="449"/>
        <item x="1415"/>
        <item x="127"/>
        <item x="1560"/>
        <item x="1645"/>
        <item x="327"/>
        <item x="508"/>
        <item x="651"/>
        <item x="1109"/>
        <item x="662"/>
        <item x="1559"/>
        <item x="1400"/>
        <item x="2067"/>
        <item x="663"/>
        <item x="954"/>
        <item x="877"/>
        <item x="1683"/>
        <item x="213"/>
        <item x="1817"/>
        <item x="1658"/>
        <item x="582"/>
        <item x="742"/>
        <item x="865"/>
        <item x="975"/>
        <item x="1244"/>
        <item x="105"/>
        <item x="1811"/>
        <item x="178"/>
        <item x="596"/>
        <item x="541"/>
        <item x="852"/>
        <item x="1031"/>
        <item x="1193"/>
        <item x="1315"/>
        <item x="141"/>
        <item x="1229"/>
        <item x="1827"/>
        <item x="708"/>
        <item x="1140"/>
        <item x="241"/>
        <item x="331"/>
        <item x="1360"/>
        <item x="1026"/>
        <item x="1473"/>
        <item x="1906"/>
        <item x="962"/>
        <item x="1598"/>
        <item x="1962"/>
        <item x="1969"/>
        <item x="392"/>
        <item x="822"/>
        <item x="1122"/>
        <item x="1184"/>
        <item x="1007"/>
        <item x="588"/>
        <item x="654"/>
        <item x="1697"/>
        <item x="1951"/>
        <item x="688"/>
        <item x="1207"/>
        <item x="72"/>
        <item x="286"/>
        <item x="384"/>
        <item x="1389"/>
        <item x="1478"/>
        <item x="1183"/>
        <item x="300"/>
        <item x="1959"/>
        <item x="1948"/>
        <item x="412"/>
        <item x="1171"/>
        <item x="567"/>
        <item x="968"/>
        <item x="58"/>
        <item x="1394"/>
        <item x="886"/>
        <item x="1441"/>
        <item x="103"/>
        <item x="1743"/>
        <item x="1225"/>
        <item x="1875"/>
        <item x="1846"/>
        <item x="1339"/>
        <item x="1352"/>
        <item x="1524"/>
        <item x="355"/>
        <item x="454"/>
        <item x="1733"/>
        <item x="1870"/>
        <item x="35"/>
        <item x="14"/>
        <item x="371"/>
        <item x="1097"/>
        <item x="1234"/>
        <item x="1496"/>
        <item x="299"/>
        <item x="1650"/>
        <item x="1374"/>
        <item x="1260"/>
        <item x="1264"/>
        <item x="352"/>
        <item x="1908"/>
        <item x="1634"/>
        <item x="779"/>
        <item x="673"/>
        <item x="1082"/>
        <item x="935"/>
        <item x="1346"/>
        <item x="1640"/>
        <item x="1618"/>
        <item x="1210"/>
        <item x="295"/>
        <item x="1504"/>
        <item x="1972"/>
        <item x="10"/>
        <item x="740"/>
        <item x="806"/>
        <item x="200"/>
        <item x="255"/>
        <item x="1426"/>
        <item x="1546"/>
        <item x="381"/>
        <item x="661"/>
        <item x="1311"/>
        <item x="1556"/>
        <item x="1247"/>
        <item x="51"/>
        <item x="476"/>
        <item x="396"/>
        <item x="1049"/>
        <item x="143"/>
        <item x="564"/>
        <item x="1296"/>
        <item x="109"/>
        <item x="1156"/>
        <item x="1574"/>
        <item x="380"/>
        <item x="1099"/>
        <item x="1738"/>
        <item x="222"/>
        <item x="223"/>
        <item x="1930"/>
        <item x="73"/>
        <item x="826"/>
        <item x="1009"/>
        <item x="214"/>
        <item x="1095"/>
        <item x="789"/>
        <item x="1459"/>
        <item x="1974"/>
        <item x="1527"/>
        <item x="1898"/>
        <item x="597"/>
        <item x="175"/>
        <item x="427"/>
        <item x="1361"/>
        <item x="556"/>
        <item x="2059"/>
        <item x="350"/>
        <item x="807"/>
        <item x="931"/>
        <item x="1153"/>
        <item x="991"/>
        <item x="1580"/>
        <item x="202"/>
        <item x="1412"/>
        <item x="1499"/>
        <item x="1623"/>
        <item x="1708"/>
        <item x="2050"/>
        <item x="1991"/>
        <item x="1902"/>
        <item x="1646"/>
        <item x="782"/>
        <item x="78"/>
        <item x="1061"/>
        <item x="1214"/>
        <item x="610"/>
        <item x="1762"/>
        <item x="1793"/>
        <item x="218"/>
        <item x="909"/>
        <item x="996"/>
        <item x="27"/>
        <item x="836"/>
        <item x="1377"/>
        <item x="1780"/>
        <item x="1988"/>
        <item x="1085"/>
        <item x="650"/>
        <item x="402"/>
        <item x="900"/>
        <item x="897"/>
        <item x="994"/>
        <item x="1895"/>
        <item x="1987"/>
        <item x="889"/>
        <item x="1014"/>
        <item x="1162"/>
        <item x="324"/>
        <item x="750"/>
        <item x="1130"/>
        <item x="1597"/>
        <item x="1757"/>
        <item x="1165"/>
        <item x="1797"/>
        <item x="1834"/>
        <item x="778"/>
        <item x="770"/>
        <item x="1034"/>
        <item x="767"/>
        <item x="1600"/>
        <item x="572"/>
        <item x="519"/>
        <item x="1961"/>
        <item x="979"/>
        <item x="716"/>
        <item x="1065"/>
        <item x="1083"/>
        <item x="55"/>
        <item x="1420"/>
        <item x="914"/>
        <item x="1460"/>
        <item x="1723"/>
        <item x="1224"/>
        <item x="1250"/>
        <item x="461"/>
        <item x="625"/>
        <item x="1386"/>
        <item x="835"/>
        <item x="699"/>
        <item x="142"/>
        <item x="1540"/>
        <item x="1604"/>
        <item x="1665"/>
        <item x="580"/>
        <item x="1853"/>
        <item x="774"/>
        <item x="841"/>
        <item x="121"/>
        <item x="903"/>
        <item x="1351"/>
        <item x="1358"/>
        <item x="1592"/>
        <item x="1438"/>
        <item x="1724"/>
        <item x="233"/>
        <item x="1729"/>
        <item x="1189"/>
        <item x="511"/>
        <item x="731"/>
        <item x="177"/>
        <item x="308"/>
        <item x="576"/>
        <item x="793"/>
        <item x="1284"/>
        <item x="601"/>
        <item x="112"/>
        <item x="585"/>
        <item x="2045"/>
        <item x="440"/>
        <item x="869"/>
        <item x="1100"/>
        <item x="267"/>
        <item x="1287"/>
        <item x="497"/>
        <item x="648"/>
        <item x="1029"/>
        <item x="747"/>
        <item x="802"/>
        <item x="1176"/>
        <item x="489"/>
        <item x="129"/>
        <item x="234"/>
        <item x="1761"/>
        <item x="1819"/>
        <item x="965"/>
        <item x="1129"/>
        <item x="987"/>
        <item x="1534"/>
        <item x="1223"/>
        <item x="1017"/>
        <item x="1569"/>
        <item x="1732"/>
        <item x="506"/>
        <item x="1734"/>
        <item x="1663"/>
        <item x="1824"/>
        <item x="530"/>
        <item x="1626"/>
        <item x="751"/>
        <item x="855"/>
        <item x="43"/>
        <item x="1112"/>
        <item x="77"/>
        <item x="1312"/>
        <item x="719"/>
        <item x="1277"/>
        <item x="1719"/>
        <item x="399"/>
        <item x="1376"/>
        <item x="677"/>
        <item x="334"/>
        <item x="1036"/>
        <item x="1385"/>
        <item x="347"/>
        <item x="980"/>
        <item x="579"/>
        <item x="578"/>
        <item x="1327"/>
        <item x="948"/>
        <item x="1486"/>
        <item x="1167"/>
        <item x="1692"/>
        <item x="985"/>
        <item x="1805"/>
        <item x="434"/>
        <item x="1968"/>
        <item x="624"/>
        <item x="340"/>
        <item x="878"/>
        <item x="1178"/>
        <item x="1322"/>
        <item x="481"/>
        <item x="1472"/>
        <item x="1859"/>
        <item x="1978"/>
        <item x="256"/>
        <item x="242"/>
        <item x="555"/>
        <item x="566"/>
        <item x="1535"/>
        <item x="1735"/>
        <item x="173"/>
        <item x="1885"/>
        <item x="687"/>
        <item x="874"/>
        <item x="791"/>
        <item x="94"/>
        <item x="933"/>
        <item x="287"/>
        <item x="575"/>
        <item x="1452"/>
        <item x="706"/>
        <item x="1442"/>
        <item x="1803"/>
        <item x="246"/>
        <item x="1940"/>
        <item x="2032"/>
        <item x="629"/>
        <item x="49"/>
        <item x="850"/>
        <item x="1332"/>
        <item x="1006"/>
        <item x="1561"/>
        <item x="960"/>
        <item x="544"/>
        <item x="1801"/>
        <item x="1639"/>
        <item x="1681"/>
        <item x="711"/>
        <item x="743"/>
        <item x="348"/>
        <item x="630"/>
        <item x="232"/>
        <item x="636"/>
        <item x="982"/>
        <item x="191"/>
        <item x="379"/>
        <item x="603"/>
        <item x="862"/>
        <item x="896"/>
        <item x="690"/>
        <item x="1001"/>
        <item x="312"/>
        <item x="1128"/>
        <item x="1145"/>
        <item x="106"/>
        <item x="452"/>
        <item x="1126"/>
        <item x="524"/>
        <item x="1644"/>
        <item x="1263"/>
        <item x="2004"/>
        <item x="1767"/>
        <item x="609"/>
        <item x="1595"/>
        <item x="1212"/>
        <item x="1318"/>
        <item x="605"/>
        <item x="1655"/>
        <item x="963"/>
        <item x="1911"/>
        <item x="723"/>
        <item x="545"/>
        <item x="245"/>
        <item x="1190"/>
        <item x="1362"/>
        <item x="153"/>
        <item x="2029"/>
        <item x="1854"/>
        <item x="2023"/>
        <item x="1342"/>
        <item x="460"/>
        <item x="1450"/>
        <item x="425"/>
        <item x="1425"/>
        <item x="537"/>
        <item x="437"/>
        <item x="1901"/>
        <item x="824"/>
        <item x="521"/>
        <item x="924"/>
        <item x="1035"/>
        <item x="678"/>
        <item x="1005"/>
        <item x="397"/>
        <item x="1215"/>
        <item x="1182"/>
        <item x="694"/>
        <item x="1637"/>
        <item x="1810"/>
        <item x="249"/>
        <item x="632"/>
        <item x="765"/>
        <item x="1678"/>
        <item x="2007"/>
        <item x="818"/>
        <item x="812"/>
        <item x="403"/>
        <item x="1111"/>
        <item x="884"/>
        <item x="1694"/>
        <item x="389"/>
        <item x="1773"/>
        <item x="244"/>
        <item x="562"/>
        <item x="1329"/>
        <item x="938"/>
        <item x="1197"/>
        <item x="684"/>
        <item x="93"/>
        <item x="1194"/>
        <item x="1564"/>
        <item x="1704"/>
        <item x="2043"/>
        <item x="2062"/>
        <item x="1613"/>
        <item x="7"/>
        <item x="871"/>
        <item x="995"/>
        <item x="61"/>
        <item x="423"/>
        <item x="532"/>
        <item x="99"/>
        <item x="1688"/>
        <item x="1446"/>
        <item x="703"/>
        <item x="1010"/>
        <item x="647"/>
        <item x="1423"/>
        <item x="1503"/>
        <item x="325"/>
        <item x="2068"/>
        <item x="15"/>
        <item x="447"/>
        <item x="383"/>
        <item x="81"/>
        <item x="1720"/>
        <item x="595"/>
        <item x="1772"/>
        <item x="488"/>
        <item x="161"/>
        <item x="788"/>
        <item x="19"/>
        <item x="772"/>
        <item x="1539"/>
        <item x="1518"/>
        <item x="277"/>
        <item x="1219"/>
        <item x="343"/>
        <item x="1621"/>
        <item x="1144"/>
        <item x="790"/>
        <item x="1894"/>
        <item x="293"/>
        <item x="11"/>
        <item x="1048"/>
        <item x="211"/>
        <item x="1603"/>
        <item x="6"/>
        <item x="1775"/>
        <item x="1989"/>
        <item x="2033"/>
        <item x="1032"/>
        <item x="1105"/>
        <item x="664"/>
        <item x="776"/>
        <item x="1596"/>
        <item x="2054"/>
        <item x="247"/>
        <item x="1932"/>
        <item x="1279"/>
        <item x="1015"/>
        <item x="1088"/>
        <item x="60"/>
        <item x="1188"/>
        <item x="438"/>
        <item x="1755"/>
        <item x="516"/>
        <item x="228"/>
        <item x="561"/>
        <item x="63"/>
        <item x="1068"/>
        <item x="615"/>
        <item x="1239"/>
        <item x="944"/>
        <item x="1359"/>
        <item x="1228"/>
        <item x="1008"/>
        <item x="1338"/>
        <item x="1695"/>
        <item x="2058"/>
        <item x="1661"/>
        <item x="2024"/>
        <item x="2022"/>
        <item x="1855"/>
        <item x="1944"/>
        <item x="2005"/>
        <item x="732"/>
        <item x="353"/>
        <item x="976"/>
        <item x="1096"/>
        <item x="101"/>
        <item x="264"/>
        <item x="1480"/>
        <item x="917"/>
        <item x="442"/>
        <item x="832"/>
        <item x="573"/>
        <item x="1409"/>
        <item x="1249"/>
        <item x="1730"/>
        <item x="1674"/>
        <item x="1552"/>
        <item x="407"/>
        <item x="533"/>
        <item x="445"/>
        <item x="1202"/>
        <item x="448"/>
        <item x="1815"/>
        <item x="1631"/>
        <item x="503"/>
        <item x="583"/>
        <item x="1922"/>
        <item x="1889"/>
        <item x="829"/>
        <item x="612"/>
        <item x="157"/>
        <item x="1516"/>
        <item x="1168"/>
        <item x="1432"/>
        <item x="1736"/>
        <item x="1781"/>
        <item x="2052"/>
        <item x="1301"/>
        <item x="304"/>
        <item x="1216"/>
        <item x="1907"/>
        <item x="260"/>
        <item x="2036"/>
        <item x="777"/>
        <item x="813"/>
        <item x="801"/>
        <item x="1091"/>
        <item x="68"/>
        <item x="1289"/>
        <item x="1241"/>
        <item x="1601"/>
        <item x="253"/>
        <item x="514"/>
        <item x="1877"/>
        <item x="1149"/>
        <item x="181"/>
        <item x="23"/>
        <item x="1050"/>
        <item x="1253"/>
        <item x="500"/>
        <item x="193"/>
        <item x="667"/>
        <item x="1355"/>
        <item x="1004"/>
        <item x="1457"/>
        <item x="736"/>
        <item x="219"/>
        <item x="1672"/>
        <item x="1349"/>
        <item x="1586"/>
        <item x="1565"/>
        <item x="1384"/>
        <item x="1649"/>
        <item x="1641"/>
        <item x="1869"/>
        <item x="1769"/>
        <item x="639"/>
        <item x="183"/>
        <item x="571"/>
        <item x="838"/>
        <item x="499"/>
        <item x="225"/>
        <item x="1495"/>
        <item x="1530"/>
        <item x="1711"/>
        <item x="1583"/>
        <item x="151"/>
        <item x="1802"/>
        <item x="1928"/>
        <item x="701"/>
        <item x="828"/>
        <item x="210"/>
        <item x="1160"/>
        <item x="1013"/>
        <item x="1408"/>
        <item x="607"/>
        <item x="220"/>
        <item x="1268"/>
        <item x="1087"/>
        <item x="717"/>
        <item x="983"/>
        <item x="845"/>
        <item x="1835"/>
        <item x="1917"/>
        <item x="860"/>
        <item x="116"/>
        <item x="1020"/>
        <item x="1023"/>
        <item x="74"/>
        <item x="1728"/>
        <item x="1715"/>
        <item x="1609"/>
        <item x="1605"/>
        <item x="1920"/>
        <item x="1929"/>
        <item x="57"/>
        <item x="867"/>
        <item x="42"/>
        <item x="291"/>
        <item x="76"/>
        <item x="321"/>
        <item x="794"/>
        <item x="1254"/>
        <item x="830"/>
        <item x="1363"/>
        <item x="1897"/>
        <item x="2002"/>
        <item x="2065"/>
        <item x="640"/>
        <item x="53"/>
        <item x="999"/>
        <item x="1098"/>
        <item x="335"/>
        <item x="351"/>
        <item x="1673"/>
        <item x="705"/>
        <item x="825"/>
        <item x="1110"/>
        <item x="1192"/>
        <item x="9"/>
        <item x="1411"/>
        <item x="50"/>
        <item x="823"/>
        <item x="549"/>
        <item x="1667"/>
        <item x="1918"/>
        <item x="1882"/>
        <item x="375"/>
        <item x="1221"/>
        <item x="1222"/>
        <item x="1265"/>
        <item x="496"/>
        <item x="2069"/>
        <item x="1821"/>
        <item x="132"/>
        <item x="306"/>
        <item x="586"/>
        <item x="613"/>
        <item x="1350"/>
        <item x="1493"/>
        <item x="1997"/>
        <item x="1903"/>
        <item x="196"/>
        <item x="517"/>
        <item x="1231"/>
        <item x="959"/>
        <item x="1372"/>
        <item x="1511"/>
        <item x="1507"/>
        <item x="729"/>
        <item x="1594"/>
        <item x="1820"/>
        <item x="1905"/>
        <item x="2006"/>
        <item x="1081"/>
        <item x="988"/>
        <item x="1305"/>
        <item x="746"/>
        <item x="1344"/>
        <item x="33"/>
        <item x="1532"/>
        <item x="1501"/>
        <item x="273"/>
        <item x="1292"/>
        <item x="1280"/>
        <item x="2010"/>
        <item x="163"/>
        <item x="762"/>
        <item x="1107"/>
        <item x="485"/>
        <item x="1439"/>
        <item x="775"/>
        <item x="146"/>
        <item x="2053"/>
        <item x="168"/>
        <item x="1843"/>
        <item x="1380"/>
        <item x="949"/>
        <item x="414"/>
        <item x="493"/>
        <item x="1703"/>
        <item x="124"/>
        <item x="420"/>
        <item x="217"/>
        <item x="943"/>
        <item x="1041"/>
        <item x="1428"/>
        <item x="1179"/>
        <item x="318"/>
        <item x="320"/>
        <item x="2"/>
      </items>
    </pivotField>
    <pivotField name="Age" axis="axisRow" compact="0" outline="0" multipleItemSelectionAllowed="1" showAll="0" sortType="ascending" defaultSubtotal="0">
      <items>
        <item x="42"/>
        <item x="40"/>
        <item x="44"/>
        <item x="48"/>
        <item x="22"/>
        <item x="36"/>
        <item x="45"/>
        <item x="32"/>
        <item x="46"/>
        <item x="41"/>
        <item x="6"/>
        <item x="21"/>
        <item x="35"/>
        <item x="43"/>
        <item x="3"/>
        <item x="4"/>
        <item x="24"/>
        <item x="39"/>
        <item x="27"/>
        <item x="18"/>
        <item x="33"/>
        <item x="34"/>
        <item x="38"/>
        <item x="37"/>
        <item x="26"/>
        <item x="19"/>
        <item x="9"/>
        <item x="30"/>
        <item x="1"/>
        <item x="28"/>
        <item x="20"/>
        <item x="31"/>
        <item x="29"/>
        <item x="14"/>
        <item x="15"/>
        <item x="17"/>
        <item x="0"/>
        <item x="23"/>
        <item x="25"/>
        <item x="11"/>
        <item x="13"/>
        <item x="8"/>
        <item x="5"/>
        <item x="12"/>
        <item x="16"/>
        <item x="10"/>
        <item x="7"/>
        <item x="47"/>
        <item x="2"/>
      </items>
    </pivotField>
    <pivotField name="charges" axis="axisRow" compact="0" numFmtId="164" outline="0" multipleItemSelectionAllowed="1" showAll="0" sortType="ascending">
      <items>
        <item x="2330"/>
        <item x="2329"/>
        <item x="2328"/>
        <item x="2327"/>
        <item x="2326"/>
        <item x="2325"/>
        <item x="2324"/>
        <item x="2323"/>
        <item x="2322"/>
        <item x="2321"/>
        <item x="2320"/>
        <item x="2319"/>
        <item x="2318"/>
        <item x="2317"/>
        <item x="2316"/>
        <item x="2315"/>
        <item x="2314"/>
        <item x="2313"/>
        <item x="2312"/>
        <item x="2311"/>
        <item x="2310"/>
        <item x="2309"/>
        <item x="2308"/>
        <item x="2307"/>
        <item x="2306"/>
        <item x="2305"/>
        <item x="2304"/>
        <item x="2303"/>
        <item x="2302"/>
        <item x="2301"/>
        <item x="2300"/>
        <item x="2299"/>
        <item x="2298"/>
        <item x="2297"/>
        <item x="2296"/>
        <item x="2295"/>
        <item x="2294"/>
        <item x="2293"/>
        <item x="2292"/>
        <item x="2291"/>
        <item x="2290"/>
        <item x="2289"/>
        <item x="2288"/>
        <item x="2287"/>
        <item x="2286"/>
        <item x="2285"/>
        <item x="2284"/>
        <item x="2283"/>
        <item x="2282"/>
        <item x="2281"/>
        <item x="2280"/>
        <item x="2279"/>
        <item x="2278"/>
        <item x="2277"/>
        <item x="2276"/>
        <item x="2275"/>
        <item x="2274"/>
        <item x="2273"/>
        <item x="2272"/>
        <item x="2271"/>
        <item x="2270"/>
        <item x="2269"/>
        <item x="2268"/>
        <item x="2267"/>
        <item x="2266"/>
        <item x="2265"/>
        <item x="2264"/>
        <item x="2263"/>
        <item x="2262"/>
        <item x="2261"/>
        <item x="2260"/>
        <item x="2259"/>
        <item x="2258"/>
        <item x="2257"/>
        <item x="2256"/>
        <item x="2255"/>
        <item x="2254"/>
        <item x="2253"/>
        <item x="2252"/>
        <item x="2251"/>
        <item x="2250"/>
        <item x="2249"/>
        <item x="2248"/>
        <item x="2247"/>
        <item x="2246"/>
        <item x="2245"/>
        <item x="2244"/>
        <item x="2243"/>
        <item x="2242"/>
        <item x="2241"/>
        <item x="2240"/>
        <item x="2239"/>
        <item x="2238"/>
        <item x="2237"/>
        <item x="2236"/>
        <item x="2235"/>
        <item x="2234"/>
        <item x="2233"/>
        <item x="2232"/>
        <item x="2231"/>
        <item x="2230"/>
        <item x="2229"/>
        <item x="2228"/>
        <item x="2227"/>
        <item x="2226"/>
        <item x="2225"/>
        <item x="2224"/>
        <item x="2223"/>
        <item x="2222"/>
        <item x="2221"/>
        <item x="2220"/>
        <item x="2219"/>
        <item x="2218"/>
        <item x="2217"/>
        <item x="2216"/>
        <item x="2215"/>
        <item x="2214"/>
        <item x="2213"/>
        <item x="2212"/>
        <item x="2211"/>
        <item x="2210"/>
        <item x="2209"/>
        <item x="2208"/>
        <item x="2207"/>
        <item x="2206"/>
        <item x="2205"/>
        <item x="2204"/>
        <item x="2203"/>
        <item x="2202"/>
        <item x="2201"/>
        <item x="2200"/>
        <item x="2199"/>
        <item x="2198"/>
        <item x="2197"/>
        <item x="2196"/>
        <item x="2195"/>
        <item x="2194"/>
        <item x="2193"/>
        <item x="2192"/>
        <item x="2191"/>
        <item x="2190"/>
        <item x="2189"/>
        <item x="2188"/>
        <item x="2187"/>
        <item x="2186"/>
        <item x="2185"/>
        <item x="2184"/>
        <item x="2183"/>
        <item x="2182"/>
        <item x="2181"/>
        <item x="2180"/>
        <item x="2179"/>
        <item x="2178"/>
        <item x="2177"/>
        <item x="2176"/>
        <item x="2175"/>
        <item x="2174"/>
        <item x="2173"/>
        <item x="2172"/>
        <item x="2171"/>
        <item x="2170"/>
        <item x="2169"/>
        <item x="2168"/>
        <item x="2167"/>
        <item x="2166"/>
        <item x="2165"/>
        <item x="2164"/>
        <item x="2163"/>
        <item x="2162"/>
        <item x="2161"/>
        <item x="2160"/>
        <item x="2159"/>
        <item x="2158"/>
        <item x="2157"/>
        <item x="2156"/>
        <item x="2155"/>
        <item x="2154"/>
        <item x="2153"/>
        <item x="2152"/>
        <item x="2151"/>
        <item x="2150"/>
        <item x="2149"/>
        <item x="2148"/>
        <item x="2147"/>
        <item x="2146"/>
        <item x="2145"/>
        <item x="2144"/>
        <item x="2143"/>
        <item x="2142"/>
        <item x="2141"/>
        <item x="2140"/>
        <item x="2139"/>
        <item x="2138"/>
        <item x="2137"/>
        <item x="2136"/>
        <item x="2135"/>
        <item x="2134"/>
        <item x="2133"/>
        <item x="2132"/>
        <item x="2131"/>
        <item x="2130"/>
        <item x="2129"/>
        <item x="2128"/>
        <item x="2127"/>
        <item x="2126"/>
        <item x="2125"/>
        <item x="2124"/>
        <item x="2123"/>
        <item x="2122"/>
        <item x="2121"/>
        <item x="2120"/>
        <item x="2119"/>
        <item x="2118"/>
        <item x="2117"/>
        <item x="2116"/>
        <item x="2115"/>
        <item x="2114"/>
        <item x="2113"/>
        <item x="2112"/>
        <item x="2111"/>
        <item x="2110"/>
        <item x="2109"/>
        <item x="2108"/>
        <item x="2107"/>
        <item x="2106"/>
        <item x="2105"/>
        <item x="2104"/>
        <item x="2103"/>
        <item x="2102"/>
        <item x="2101"/>
        <item x="2100"/>
        <item x="2099"/>
        <item x="2098"/>
        <item x="2097"/>
        <item x="2096"/>
        <item x="2095"/>
        <item x="2094"/>
        <item x="2093"/>
        <item x="2092"/>
        <item x="2091"/>
        <item x="2090"/>
        <item x="2089"/>
        <item x="2088"/>
        <item x="2087"/>
        <item x="2086"/>
        <item x="2085"/>
        <item x="2084"/>
        <item x="2083"/>
        <item x="2082"/>
        <item x="2081"/>
        <item x="2080"/>
        <item x="2079"/>
        <item x="2078"/>
        <item x="2077"/>
        <item x="2076"/>
        <item x="2075"/>
        <item x="2074"/>
        <item x="2073"/>
        <item x="2072"/>
        <item x="2071"/>
        <item x="2070"/>
        <item x="2069"/>
        <item x="2068"/>
        <item x="2067"/>
        <item x="2066"/>
        <item x="2065"/>
        <item x="2064"/>
        <item x="2063"/>
        <item x="2062"/>
        <item x="2061"/>
        <item x="2060"/>
        <item x="2059"/>
        <item x="2058"/>
        <item x="2057"/>
        <item x="2056"/>
        <item x="2055"/>
        <item x="2054"/>
        <item x="2053"/>
        <item x="2052"/>
        <item x="2051"/>
        <item x="2050"/>
        <item x="2049"/>
        <item x="2048"/>
        <item x="2047"/>
        <item x="2046"/>
        <item x="2045"/>
        <item x="2044"/>
        <item x="2043"/>
        <item x="2042"/>
        <item x="2041"/>
        <item x="2040"/>
        <item x="2039"/>
        <item x="2038"/>
        <item x="2037"/>
        <item x="2036"/>
        <item x="2035"/>
        <item x="2034"/>
        <item x="2033"/>
        <item x="2032"/>
        <item x="2031"/>
        <item x="2030"/>
        <item x="2029"/>
        <item x="2028"/>
        <item x="2027"/>
        <item x="2026"/>
        <item x="2025"/>
        <item x="2024"/>
        <item x="2023"/>
        <item x="2022"/>
        <item x="2021"/>
        <item x="2020"/>
        <item x="2019"/>
        <item x="2018"/>
        <item x="2017"/>
        <item x="2016"/>
        <item x="2015"/>
        <item x="2014"/>
        <item x="2013"/>
        <item x="2012"/>
        <item x="2011"/>
        <item x="2010"/>
        <item x="2009"/>
        <item x="2008"/>
        <item x="2007"/>
        <item x="2006"/>
        <item x="2005"/>
        <item x="2004"/>
        <item x="2003"/>
        <item x="2002"/>
        <item x="2001"/>
        <item x="2000"/>
        <item x="1999"/>
        <item x="1998"/>
        <item x="1997"/>
        <item x="1996"/>
        <item x="1995"/>
        <item x="1994"/>
        <item x="1993"/>
        <item x="1992"/>
        <item x="1991"/>
        <item x="1990"/>
        <item x="1989"/>
        <item x="1988"/>
        <item x="1987"/>
        <item x="1986"/>
        <item x="1985"/>
        <item x="1984"/>
        <item x="1983"/>
        <item x="1982"/>
        <item x="1981"/>
        <item x="1980"/>
        <item x="1979"/>
        <item x="1978"/>
        <item x="1977"/>
        <item x="1976"/>
        <item x="1975"/>
        <item x="1974"/>
        <item x="1973"/>
        <item x="1972"/>
        <item x="1971"/>
        <item x="1970"/>
        <item x="1969"/>
        <item x="1968"/>
        <item x="1967"/>
        <item x="1966"/>
        <item x="1965"/>
        <item x="1964"/>
        <item x="1963"/>
        <item x="1962"/>
        <item x="1961"/>
        <item x="1960"/>
        <item x="1959"/>
        <item x="1958"/>
        <item x="1957"/>
        <item x="1956"/>
        <item x="1955"/>
        <item x="1954"/>
        <item x="1953"/>
        <item x="1952"/>
        <item x="1951"/>
        <item x="1950"/>
        <item x="1949"/>
        <item x="1948"/>
        <item x="1947"/>
        <item x="1946"/>
        <item x="1945"/>
        <item x="1944"/>
        <item x="1943"/>
        <item x="1942"/>
        <item x="1941"/>
        <item x="1940"/>
        <item x="1939"/>
        <item x="1938"/>
        <item x="1937"/>
        <item x="1936"/>
        <item x="1935"/>
        <item x="1934"/>
        <item x="1933"/>
        <item x="1932"/>
        <item x="1931"/>
        <item x="1930"/>
        <item x="1929"/>
        <item x="1928"/>
        <item x="1927"/>
        <item x="1926"/>
        <item x="1925"/>
        <item x="1924"/>
        <item x="1923"/>
        <item x="1922"/>
        <item x="1921"/>
        <item x="1920"/>
        <item x="1919"/>
        <item x="1918"/>
        <item x="1917"/>
        <item x="1916"/>
        <item x="1915"/>
        <item x="1914"/>
        <item x="1913"/>
        <item x="1912"/>
        <item x="1911"/>
        <item x="1910"/>
        <item x="1909"/>
        <item x="1908"/>
        <item x="1907"/>
        <item x="1906"/>
        <item x="1905"/>
        <item x="1904"/>
        <item x="1903"/>
        <item x="1902"/>
        <item x="1901"/>
        <item x="1900"/>
        <item x="1899"/>
        <item x="1898"/>
        <item x="1897"/>
        <item x="1896"/>
        <item x="1895"/>
        <item x="1894"/>
        <item x="1893"/>
        <item x="1892"/>
        <item x="1891"/>
        <item x="1890"/>
        <item x="1889"/>
        <item x="1888"/>
        <item x="1887"/>
        <item x="1886"/>
        <item x="1885"/>
        <item x="1884"/>
        <item x="1883"/>
        <item x="1882"/>
        <item x="1881"/>
        <item x="1880"/>
        <item x="1879"/>
        <item x="1878"/>
        <item x="1877"/>
        <item x="1876"/>
        <item x="1875"/>
        <item x="1874"/>
        <item x="1873"/>
        <item x="1872"/>
        <item x="1871"/>
        <item x="1870"/>
        <item x="1869"/>
        <item x="1868"/>
        <item x="1867"/>
        <item x="1866"/>
        <item x="1865"/>
        <item x="1864"/>
        <item x="1863"/>
        <item x="1862"/>
        <item x="1861"/>
        <item x="1860"/>
        <item x="1859"/>
        <item x="1858"/>
        <item x="1857"/>
        <item x="1856"/>
        <item x="1855"/>
        <item x="1854"/>
        <item x="1853"/>
        <item x="1852"/>
        <item x="1851"/>
        <item x="1850"/>
        <item x="1849"/>
        <item x="1848"/>
        <item x="1847"/>
        <item x="1846"/>
        <item x="1845"/>
        <item x="1844"/>
        <item x="1843"/>
        <item x="1842"/>
        <item x="1841"/>
        <item x="1840"/>
        <item x="1839"/>
        <item x="1838"/>
        <item x="1837"/>
        <item x="1836"/>
        <item x="1835"/>
        <item x="1834"/>
        <item x="1833"/>
        <item x="1832"/>
        <item x="1831"/>
        <item x="1830"/>
        <item x="1829"/>
        <item x="1828"/>
        <item x="1827"/>
        <item x="1826"/>
        <item x="1825"/>
        <item x="1824"/>
        <item x="1823"/>
        <item x="1822"/>
        <item x="1821"/>
        <item x="1820"/>
        <item x="1819"/>
        <item x="1818"/>
        <item x="1817"/>
        <item x="1816"/>
        <item x="1815"/>
        <item x="1814"/>
        <item x="1813"/>
        <item x="1812"/>
        <item x="1811"/>
        <item x="1810"/>
        <item x="1809"/>
        <item x="1808"/>
        <item x="1807"/>
        <item x="1806"/>
        <item x="1805"/>
        <item x="1804"/>
        <item x="1803"/>
        <item x="1802"/>
        <item x="1801"/>
        <item x="1800"/>
        <item x="1799"/>
        <item x="1798"/>
        <item x="1797"/>
        <item x="1796"/>
        <item x="1795"/>
        <item x="1794"/>
        <item x="1793"/>
        <item x="1792"/>
        <item x="1791"/>
        <item x="1790"/>
        <item x="1789"/>
        <item x="1788"/>
        <item x="1787"/>
        <item x="1786"/>
        <item x="1785"/>
        <item x="1784"/>
        <item x="1783"/>
        <item x="1782"/>
        <item x="1781"/>
        <item x="1780"/>
        <item x="1779"/>
        <item x="1778"/>
        <item x="1777"/>
        <item x="1776"/>
        <item x="1775"/>
        <item x="1774"/>
        <item x="1773"/>
        <item x="1772"/>
        <item x="1771"/>
        <item x="1770"/>
        <item x="1769"/>
        <item x="1768"/>
        <item x="1767"/>
        <item x="1766"/>
        <item x="1765"/>
        <item x="1764"/>
        <item x="1763"/>
        <item x="1762"/>
        <item x="1761"/>
        <item x="1760"/>
        <item x="1759"/>
        <item x="1758"/>
        <item x="1757"/>
        <item x="1756"/>
        <item x="1755"/>
        <item x="1754"/>
        <item x="1753"/>
        <item x="1752"/>
        <item x="1751"/>
        <item x="1750"/>
        <item x="1749"/>
        <item x="1748"/>
        <item x="1747"/>
        <item x="1746"/>
        <item x="1745"/>
        <item x="1744"/>
        <item x="1743"/>
        <item x="1742"/>
        <item x="1741"/>
        <item x="1740"/>
        <item x="1739"/>
        <item x="1738"/>
        <item x="1737"/>
        <item x="1736"/>
        <item x="1735"/>
        <item x="1734"/>
        <item x="1733"/>
        <item x="1732"/>
        <item x="1731"/>
        <item x="1730"/>
        <item x="1729"/>
        <item x="1728"/>
        <item x="1727"/>
        <item x="1726"/>
        <item x="1725"/>
        <item x="1724"/>
        <item x="1723"/>
        <item x="1722"/>
        <item x="1721"/>
        <item x="1720"/>
        <item x="1719"/>
        <item x="1718"/>
        <item x="1717"/>
        <item x="1716"/>
        <item x="1715"/>
        <item x="1714"/>
        <item x="1713"/>
        <item x="1712"/>
        <item x="1711"/>
        <item x="1710"/>
        <item x="1709"/>
        <item x="1708"/>
        <item x="1707"/>
        <item x="1706"/>
        <item x="1705"/>
        <item x="1704"/>
        <item x="1703"/>
        <item x="1702"/>
        <item x="1701"/>
        <item x="1700"/>
        <item x="1699"/>
        <item x="1698"/>
        <item x="1697"/>
        <item x="1696"/>
        <item x="1695"/>
        <item x="1694"/>
        <item x="1693"/>
        <item x="1692"/>
        <item x="1691"/>
        <item x="1690"/>
        <item x="1689"/>
        <item x="1688"/>
        <item x="1687"/>
        <item x="1686"/>
        <item x="1685"/>
        <item x="1684"/>
        <item x="1683"/>
        <item x="1682"/>
        <item x="1681"/>
        <item x="1680"/>
        <item x="1679"/>
        <item x="1678"/>
        <item x="1677"/>
        <item x="1676"/>
        <item x="1675"/>
        <item x="1674"/>
        <item x="1673"/>
        <item x="1672"/>
        <item x="1671"/>
        <item x="1670"/>
        <item x="1669"/>
        <item x="1668"/>
        <item x="1667"/>
        <item x="1666"/>
        <item x="1665"/>
        <item x="1664"/>
        <item x="1663"/>
        <item x="1662"/>
        <item x="1661"/>
        <item x="1660"/>
        <item x="1659"/>
        <item x="1658"/>
        <item x="1657"/>
        <item x="1656"/>
        <item x="1655"/>
        <item x="1654"/>
        <item x="1653"/>
        <item x="1652"/>
        <item x="1651"/>
        <item x="1650"/>
        <item x="1649"/>
        <item x="1648"/>
        <item x="1647"/>
        <item x="1646"/>
        <item x="1645"/>
        <item x="1644"/>
        <item x="1643"/>
        <item x="1642"/>
        <item x="1641"/>
        <item x="1640"/>
        <item x="1639"/>
        <item x="1638"/>
        <item x="1637"/>
        <item x="1636"/>
        <item x="1635"/>
        <item x="1634"/>
        <item x="1633"/>
        <item x="1632"/>
        <item x="1631"/>
        <item x="1630"/>
        <item x="1629"/>
        <item x="1628"/>
        <item x="1627"/>
        <item x="1626"/>
        <item x="1625"/>
        <item x="1624"/>
        <item x="1623"/>
        <item x="1622"/>
        <item x="1621"/>
        <item x="1620"/>
        <item x="1619"/>
        <item x="1618"/>
        <item x="1617"/>
        <item x="1616"/>
        <item x="1615"/>
        <item x="1614"/>
        <item x="1613"/>
        <item x="1612"/>
        <item x="1611"/>
        <item x="1610"/>
        <item x="1609"/>
        <item x="1608"/>
        <item x="1607"/>
        <item x="1606"/>
        <item x="1605"/>
        <item x="1604"/>
        <item x="1603"/>
        <item x="1602"/>
        <item x="1601"/>
        <item x="1600"/>
        <item x="1599"/>
        <item x="1598"/>
        <item x="1597"/>
        <item x="1596"/>
        <item x="1595"/>
        <item x="1594"/>
        <item x="1593"/>
        <item x="1592"/>
        <item x="1591"/>
        <item x="1590"/>
        <item x="1589"/>
        <item x="1588"/>
        <item x="1587"/>
        <item x="1586"/>
        <item x="1585"/>
        <item x="1584"/>
        <item x="1583"/>
        <item x="1582"/>
        <item x="1581"/>
        <item x="1580"/>
        <item x="1579"/>
        <item x="1578"/>
        <item x="1577"/>
        <item x="1576"/>
        <item x="1575"/>
        <item x="1574"/>
        <item x="1573"/>
        <item x="1572"/>
        <item x="1571"/>
        <item x="1570"/>
        <item x="1569"/>
        <item x="1568"/>
        <item x="1567"/>
        <item x="1566"/>
        <item x="1565"/>
        <item x="1564"/>
        <item x="1563"/>
        <item x="1562"/>
        <item x="1561"/>
        <item x="1560"/>
        <item x="1559"/>
        <item x="1558"/>
        <item x="1557"/>
        <item x="1556"/>
        <item x="1555"/>
        <item x="1554"/>
        <item x="1553"/>
        <item x="1552"/>
        <item x="1551"/>
        <item x="1550"/>
        <item x="1549"/>
        <item x="1548"/>
        <item x="1547"/>
        <item x="1546"/>
        <item x="1545"/>
        <item x="1544"/>
        <item x="1543"/>
        <item x="1542"/>
        <item x="1541"/>
        <item x="1540"/>
        <item x="1539"/>
        <item x="1538"/>
        <item x="1537"/>
        <item x="1536"/>
        <item x="1535"/>
        <item x="1534"/>
        <item x="1533"/>
        <item x="1532"/>
        <item x="1531"/>
        <item x="1530"/>
        <item x="1529"/>
        <item x="1528"/>
        <item x="1527"/>
        <item x="1526"/>
        <item x="1525"/>
        <item x="1524"/>
        <item x="1523"/>
        <item x="1522"/>
        <item x="1521"/>
        <item x="1520"/>
        <item x="1519"/>
        <item x="1518"/>
        <item x="1517"/>
        <item x="1516"/>
        <item x="1515"/>
        <item x="1514"/>
        <item x="1513"/>
        <item x="1512"/>
        <item x="1511"/>
        <item x="1510"/>
        <item x="1509"/>
        <item x="1508"/>
        <item x="1507"/>
        <item x="1506"/>
        <item x="1505"/>
        <item x="1504"/>
        <item x="1503"/>
        <item x="1502"/>
        <item x="1501"/>
        <item x="1500"/>
        <item x="1499"/>
        <item x="1498"/>
        <item x="1497"/>
        <item x="1496"/>
        <item x="1495"/>
        <item x="1494"/>
        <item x="1493"/>
        <item x="1492"/>
        <item x="1491"/>
        <item x="1490"/>
        <item x="1489"/>
        <item x="1488"/>
        <item x="1487"/>
        <item x="1486"/>
        <item x="1485"/>
        <item x="1484"/>
        <item x="1483"/>
        <item x="1482"/>
        <item x="1481"/>
        <item x="1480"/>
        <item x="1479"/>
        <item x="1478"/>
        <item x="1477"/>
        <item x="1476"/>
        <item x="1475"/>
        <item x="1474"/>
        <item x="1473"/>
        <item x="1472"/>
        <item x="1471"/>
        <item x="1470"/>
        <item x="1469"/>
        <item x="1468"/>
        <item x="1467"/>
        <item x="1466"/>
        <item x="1465"/>
        <item x="1464"/>
        <item x="1463"/>
        <item x="1462"/>
        <item x="1461"/>
        <item x="1460"/>
        <item x="1459"/>
        <item x="1458"/>
        <item x="1457"/>
        <item x="1456"/>
        <item x="1455"/>
        <item x="1454"/>
        <item x="1453"/>
        <item x="1452"/>
        <item x="1451"/>
        <item x="1450"/>
        <item x="1449"/>
        <item x="1448"/>
        <item x="1447"/>
        <item x="1446"/>
        <item x="1445"/>
        <item x="1444"/>
        <item x="1443"/>
        <item x="1442"/>
        <item x="1441"/>
        <item x="1440"/>
        <item x="1439"/>
        <item x="1438"/>
        <item x="1437"/>
        <item x="1436"/>
        <item x="1435"/>
        <item x="1434"/>
        <item x="1433"/>
        <item x="1432"/>
        <item x="1431"/>
        <item x="1430"/>
        <item x="1429"/>
        <item x="1428"/>
        <item x="1427"/>
        <item x="1426"/>
        <item x="1425"/>
        <item x="1424"/>
        <item x="1423"/>
        <item x="1422"/>
        <item x="1421"/>
        <item x="1420"/>
        <item x="1419"/>
        <item x="1418"/>
        <item x="1417"/>
        <item x="1416"/>
        <item x="1415"/>
        <item x="1414"/>
        <item x="1413"/>
        <item x="1412"/>
        <item x="1411"/>
        <item x="1410"/>
        <item x="1409"/>
        <item x="1408"/>
        <item x="1407"/>
        <item x="1406"/>
        <item x="1405"/>
        <item x="1404"/>
        <item x="1403"/>
        <item x="1402"/>
        <item x="1401"/>
        <item x="1400"/>
        <item x="1399"/>
        <item x="1398"/>
        <item x="1397"/>
        <item x="1396"/>
        <item x="1395"/>
        <item x="1394"/>
        <item x="1393"/>
        <item x="1392"/>
        <item x="1391"/>
        <item x="1390"/>
        <item x="1389"/>
        <item x="1388"/>
        <item x="1387"/>
        <item x="1386"/>
        <item x="1385"/>
        <item x="1384"/>
        <item x="1383"/>
        <item x="1382"/>
        <item x="1381"/>
        <item x="1380"/>
        <item x="1379"/>
        <item x="1378"/>
        <item x="1377"/>
        <item x="1376"/>
        <item x="1375"/>
        <item x="1374"/>
        <item x="1373"/>
        <item x="1372"/>
        <item x="1371"/>
        <item x="1370"/>
        <item x="1369"/>
        <item x="1368"/>
        <item x="1367"/>
        <item x="1366"/>
        <item x="1365"/>
        <item x="1364"/>
        <item x="1363"/>
        <item x="1362"/>
        <item x="1361"/>
        <item x="1360"/>
        <item x="1359"/>
        <item x="1358"/>
        <item x="1357"/>
        <item x="1356"/>
        <item x="1355"/>
        <item x="1354"/>
        <item x="1353"/>
        <item x="1352"/>
        <item x="1351"/>
        <item x="1350"/>
        <item x="1349"/>
        <item x="1348"/>
        <item x="1347"/>
        <item x="1346"/>
        <item x="1345"/>
        <item x="1344"/>
        <item x="1343"/>
        <item x="1342"/>
        <item x="1341"/>
        <item x="1340"/>
        <item x="1339"/>
        <item x="1338"/>
        <item x="1337"/>
        <item x="1336"/>
        <item x="1335"/>
        <item x="1334"/>
        <item x="1333"/>
        <item x="1332"/>
        <item x="1331"/>
        <item x="1330"/>
        <item x="1329"/>
        <item x="1328"/>
        <item x="1327"/>
        <item x="1326"/>
        <item x="1325"/>
        <item x="1324"/>
        <item x="1323"/>
        <item x="1322"/>
        <item x="1321"/>
        <item x="1320"/>
        <item x="1319"/>
        <item x="1318"/>
        <item x="1317"/>
        <item x="1316"/>
        <item x="1315"/>
        <item x="1314"/>
        <item x="1313"/>
        <item x="1312"/>
        <item x="1311"/>
        <item x="1310"/>
        <item x="1309"/>
        <item x="1308"/>
        <item x="1307"/>
        <item x="1306"/>
        <item x="1305"/>
        <item x="1304"/>
        <item x="1303"/>
        <item x="1302"/>
        <item x="1301"/>
        <item x="1300"/>
        <item x="1299"/>
        <item x="1298"/>
        <item x="1297"/>
        <item x="1296"/>
        <item x="1295"/>
        <item x="1294"/>
        <item x="1293"/>
        <item x="1292"/>
        <item x="1291"/>
        <item x="1290"/>
        <item x="1289"/>
        <item x="1288"/>
        <item x="1287"/>
        <item x="1286"/>
        <item x="1285"/>
        <item x="1284"/>
        <item x="1283"/>
        <item x="1282"/>
        <item x="1281"/>
        <item x="1280"/>
        <item x="1279"/>
        <item x="1278"/>
        <item x="1277"/>
        <item x="1276"/>
        <item x="1275"/>
        <item x="1274"/>
        <item x="1273"/>
        <item x="1272"/>
        <item x="1271"/>
        <item x="1270"/>
        <item x="1269"/>
        <item x="1268"/>
        <item x="1267"/>
        <item x="1266"/>
        <item x="1265"/>
        <item x="1264"/>
        <item x="1263"/>
        <item x="1262"/>
        <item x="1261"/>
        <item x="1260"/>
        <item x="1259"/>
        <item x="1258"/>
        <item x="1257"/>
        <item x="1256"/>
        <item x="1255"/>
        <item x="1254"/>
        <item x="1253"/>
        <item x="1252"/>
        <item x="1251"/>
        <item x="1250"/>
        <item x="1249"/>
        <item x="1248"/>
        <item x="1247"/>
        <item x="1246"/>
        <item x="1245"/>
        <item x="1244"/>
        <item x="1243"/>
        <item x="1242"/>
        <item x="1241"/>
        <item x="1240"/>
        <item x="1239"/>
        <item x="1238"/>
        <item x="1237"/>
        <item x="1236"/>
        <item x="1235"/>
        <item x="1234"/>
        <item x="1233"/>
        <item x="1232"/>
        <item x="1231"/>
        <item x="1230"/>
        <item x="1229"/>
        <item x="1228"/>
        <item x="1227"/>
        <item x="1226"/>
        <item x="1225"/>
        <item x="1224"/>
        <item x="1223"/>
        <item x="1222"/>
        <item x="1221"/>
        <item x="1220"/>
        <item x="1219"/>
        <item x="1218"/>
        <item x="1217"/>
        <item x="1216"/>
        <item x="1215"/>
        <item x="1214"/>
        <item x="1213"/>
        <item x="1212"/>
        <item x="1211"/>
        <item x="1210"/>
        <item x="1209"/>
        <item x="1208"/>
        <item x="1207"/>
        <item x="1206"/>
        <item x="1205"/>
        <item x="1204"/>
        <item x="1203"/>
        <item x="1202"/>
        <item x="1201"/>
        <item x="1200"/>
        <item x="1199"/>
        <item x="1198"/>
        <item x="1197"/>
        <item x="1196"/>
        <item x="1195"/>
        <item x="1194"/>
        <item x="1193"/>
        <item x="1192"/>
        <item x="1191"/>
        <item x="1190"/>
        <item x="1189"/>
        <item x="1188"/>
        <item x="1187"/>
        <item x="1186"/>
        <item x="1185"/>
        <item x="1184"/>
        <item x="1183"/>
        <item x="1182"/>
        <item x="1181"/>
        <item x="1180"/>
        <item x="1179"/>
        <item x="1178"/>
        <item x="1177"/>
        <item x="1176"/>
        <item x="1175"/>
        <item x="1174"/>
        <item x="1173"/>
        <item x="1172"/>
        <item x="1171"/>
        <item x="1170"/>
        <item x="1169"/>
        <item x="1168"/>
        <item x="1167"/>
        <item x="1166"/>
        <item x="1165"/>
        <item x="1164"/>
        <item x="1163"/>
        <item x="1162"/>
        <item x="1161"/>
        <item x="1160"/>
        <item x="1159"/>
        <item x="1158"/>
        <item x="1157"/>
        <item x="1156"/>
        <item x="1155"/>
        <item x="1154"/>
        <item x="1153"/>
        <item x="1152"/>
        <item x="1151"/>
        <item x="1150"/>
        <item x="1149"/>
        <item x="1148"/>
        <item x="1147"/>
        <item x="1146"/>
        <item x="1145"/>
        <item x="1144"/>
        <item x="1143"/>
        <item x="1142"/>
        <item x="1141"/>
        <item x="1140"/>
        <item x="1139"/>
        <item x="1138"/>
        <item x="1137"/>
        <item x="1136"/>
        <item x="1135"/>
        <item x="1134"/>
        <item x="1133"/>
        <item x="1132"/>
        <item x="1131"/>
        <item x="1130"/>
        <item x="1129"/>
        <item x="1128"/>
        <item x="1127"/>
        <item x="1126"/>
        <item x="1125"/>
        <item x="1124"/>
        <item x="1123"/>
        <item x="1122"/>
        <item x="1121"/>
        <item x="1120"/>
        <item x="1119"/>
        <item x="1118"/>
        <item x="1117"/>
        <item x="1116"/>
        <item x="1115"/>
        <item x="1114"/>
        <item x="1113"/>
        <item x="1112"/>
        <item x="1111"/>
        <item x="1110"/>
        <item x="1109"/>
        <item x="1108"/>
        <item x="1107"/>
        <item x="1106"/>
        <item x="1105"/>
        <item x="1104"/>
        <item x="1103"/>
        <item x="1102"/>
        <item x="1101"/>
        <item x="1100"/>
        <item x="1099"/>
        <item x="1098"/>
        <item x="1097"/>
        <item x="1096"/>
        <item x="1095"/>
        <item x="1094"/>
        <item x="1093"/>
        <item x="1092"/>
        <item x="1091"/>
        <item x="1090"/>
        <item x="1089"/>
        <item x="1088"/>
        <item x="1087"/>
        <item x="1086"/>
        <item x="1085"/>
        <item x="1084"/>
        <item x="1083"/>
        <item x="1082"/>
        <item x="1081"/>
        <item x="1080"/>
        <item x="1079"/>
        <item x="1078"/>
        <item x="1077"/>
        <item x="1076"/>
        <item x="1075"/>
        <item x="1074"/>
        <item x="1073"/>
        <item x="1072"/>
        <item x="1071"/>
        <item x="1070"/>
        <item x="1069"/>
        <item x="1068"/>
        <item x="1067"/>
        <item x="1066"/>
        <item x="1065"/>
        <item x="1064"/>
        <item x="1063"/>
        <item x="1062"/>
        <item x="1061"/>
        <item x="1060"/>
        <item x="1059"/>
        <item x="1058"/>
        <item x="1057"/>
        <item x="1056"/>
        <item x="1055"/>
        <item x="1054"/>
        <item x="1053"/>
        <item x="1052"/>
        <item x="1051"/>
        <item x="1050"/>
        <item x="1049"/>
        <item x="1048"/>
        <item x="1047"/>
        <item x="1046"/>
        <item x="1045"/>
        <item x="1044"/>
        <item x="1043"/>
        <item x="1042"/>
        <item x="1041"/>
        <item x="1040"/>
        <item x="1039"/>
        <item x="1038"/>
        <item x="1037"/>
        <item x="1036"/>
        <item x="1035"/>
        <item x="1034"/>
        <item x="1033"/>
        <item x="1032"/>
        <item x="1031"/>
        <item x="1030"/>
        <item x="1029"/>
        <item x="1028"/>
        <item x="1027"/>
        <item x="1026"/>
        <item x="1025"/>
        <item x="1024"/>
        <item x="1023"/>
        <item x="1022"/>
        <item x="1021"/>
        <item x="1020"/>
        <item x="1019"/>
        <item x="1018"/>
        <item x="1017"/>
        <item x="1016"/>
        <item x="1015"/>
        <item x="1014"/>
        <item x="1013"/>
        <item x="1012"/>
        <item x="1011"/>
        <item x="1010"/>
        <item x="1009"/>
        <item x="1008"/>
        <item x="1007"/>
        <item x="1006"/>
        <item x="1005"/>
        <item x="1004"/>
        <item x="1003"/>
        <item x="1002"/>
        <item x="1001"/>
        <item x="1000"/>
        <item x="999"/>
        <item x="998"/>
        <item x="997"/>
        <item x="996"/>
        <item x="995"/>
        <item x="994"/>
        <item x="993"/>
        <item x="992"/>
        <item x="991"/>
        <item x="990"/>
        <item x="989"/>
        <item x="988"/>
        <item x="987"/>
        <item x="986"/>
        <item x="985"/>
        <item x="984"/>
        <item x="983"/>
        <item x="982"/>
        <item x="981"/>
        <item x="980"/>
        <item x="979"/>
        <item x="978"/>
        <item x="977"/>
        <item x="976"/>
        <item x="975"/>
        <item x="974"/>
        <item x="973"/>
        <item x="972"/>
        <item x="971"/>
        <item x="970"/>
        <item x="969"/>
        <item x="968"/>
        <item x="967"/>
        <item x="966"/>
        <item x="965"/>
        <item x="964"/>
        <item x="963"/>
        <item x="962"/>
        <item x="961"/>
        <item x="960"/>
        <item x="959"/>
        <item x="958"/>
        <item x="957"/>
        <item x="956"/>
        <item x="955"/>
        <item x="954"/>
        <item x="953"/>
        <item x="952"/>
        <item x="951"/>
        <item x="950"/>
        <item x="949"/>
        <item x="948"/>
        <item x="947"/>
        <item x="946"/>
        <item x="945"/>
        <item x="944"/>
        <item x="943"/>
        <item x="942"/>
        <item x="941"/>
        <item x="940"/>
        <item x="939"/>
        <item x="938"/>
        <item x="937"/>
        <item x="936"/>
        <item x="935"/>
        <item x="934"/>
        <item x="933"/>
        <item x="932"/>
        <item x="931"/>
        <item x="930"/>
        <item x="929"/>
        <item x="928"/>
        <item x="927"/>
        <item x="926"/>
        <item x="925"/>
        <item x="924"/>
        <item x="923"/>
        <item x="922"/>
        <item x="921"/>
        <item x="920"/>
        <item x="919"/>
        <item x="918"/>
        <item x="917"/>
        <item x="916"/>
        <item x="915"/>
        <item x="914"/>
        <item x="913"/>
        <item x="912"/>
        <item x="911"/>
        <item x="910"/>
        <item x="909"/>
        <item x="908"/>
        <item x="907"/>
        <item x="906"/>
        <item x="905"/>
        <item x="904"/>
        <item x="903"/>
        <item x="902"/>
        <item x="901"/>
        <item x="900"/>
        <item x="899"/>
        <item x="898"/>
        <item x="897"/>
        <item x="896"/>
        <item x="895"/>
        <item x="894"/>
        <item x="893"/>
        <item x="892"/>
        <item x="891"/>
        <item x="890"/>
        <item x="889"/>
        <item x="888"/>
        <item x="887"/>
        <item x="886"/>
        <item x="885"/>
        <item x="884"/>
        <item x="883"/>
        <item x="882"/>
        <item x="881"/>
        <item x="880"/>
        <item x="879"/>
        <item x="878"/>
        <item x="877"/>
        <item x="876"/>
        <item x="875"/>
        <item x="874"/>
        <item x="873"/>
        <item x="872"/>
        <item x="871"/>
        <item x="870"/>
        <item x="869"/>
        <item x="868"/>
        <item x="867"/>
        <item x="866"/>
        <item x="865"/>
        <item x="864"/>
        <item x="863"/>
        <item x="862"/>
        <item x="861"/>
        <item x="860"/>
        <item x="859"/>
        <item x="858"/>
        <item x="857"/>
        <item x="856"/>
        <item x="855"/>
        <item x="854"/>
        <item x="853"/>
        <item x="852"/>
        <item x="851"/>
        <item x="850"/>
        <item x="849"/>
        <item x="848"/>
        <item x="847"/>
        <item x="846"/>
        <item x="845"/>
        <item x="844"/>
        <item x="843"/>
        <item x="842"/>
        <item x="841"/>
        <item x="840"/>
        <item x="839"/>
        <item x="838"/>
        <item x="837"/>
        <item x="836"/>
        <item x="835"/>
        <item x="834"/>
        <item x="833"/>
        <item x="832"/>
        <item x="831"/>
        <item x="830"/>
        <item x="829"/>
        <item x="828"/>
        <item x="827"/>
        <item x="826"/>
        <item x="825"/>
        <item x="824"/>
        <item x="823"/>
        <item x="822"/>
        <item x="821"/>
        <item x="820"/>
        <item x="819"/>
        <item x="818"/>
        <item x="817"/>
        <item x="816"/>
        <item x="815"/>
        <item x="814"/>
        <item x="813"/>
        <item x="812"/>
        <item x="811"/>
        <item x="810"/>
        <item x="809"/>
        <item x="808"/>
        <item x="807"/>
        <item x="806"/>
        <item x="805"/>
        <item x="804"/>
        <item x="803"/>
        <item x="802"/>
        <item x="801"/>
        <item x="800"/>
        <item x="799"/>
        <item x="798"/>
        <item x="797"/>
        <item x="796"/>
        <item x="795"/>
        <item x="794"/>
        <item x="793"/>
        <item x="792"/>
        <item x="791"/>
        <item x="790"/>
        <item x="789"/>
        <item x="788"/>
        <item x="787"/>
        <item x="786"/>
        <item x="785"/>
        <item x="784"/>
        <item x="783"/>
        <item x="782"/>
        <item x="781"/>
        <item x="780"/>
        <item x="779"/>
        <item x="778"/>
        <item x="777"/>
        <item x="776"/>
        <item x="775"/>
        <item x="774"/>
        <item x="773"/>
        <item x="772"/>
        <item x="771"/>
        <item x="770"/>
        <item x="769"/>
        <item x="768"/>
        <item x="767"/>
        <item x="766"/>
        <item x="765"/>
        <item x="764"/>
        <item x="763"/>
        <item x="762"/>
        <item x="761"/>
        <item x="760"/>
        <item x="759"/>
        <item x="758"/>
        <item x="757"/>
        <item x="756"/>
        <item x="755"/>
        <item x="754"/>
        <item x="753"/>
        <item x="752"/>
        <item x="751"/>
        <item x="750"/>
        <item x="749"/>
        <item x="748"/>
        <item x="747"/>
        <item x="746"/>
        <item x="745"/>
        <item x="744"/>
        <item x="743"/>
        <item x="742"/>
        <item x="741"/>
        <item x="740"/>
        <item x="739"/>
        <item x="738"/>
        <item x="737"/>
        <item x="736"/>
        <item x="735"/>
        <item x="734"/>
        <item x="733"/>
        <item x="732"/>
        <item x="731"/>
        <item x="730"/>
        <item x="729"/>
        <item x="728"/>
        <item x="727"/>
        <item x="726"/>
        <item x="725"/>
        <item x="724"/>
        <item x="723"/>
        <item x="722"/>
        <item x="721"/>
        <item x="720"/>
        <item x="719"/>
        <item x="718"/>
        <item x="717"/>
        <item x="716"/>
        <item x="715"/>
        <item x="714"/>
        <item x="713"/>
        <item x="712"/>
        <item x="711"/>
        <item x="710"/>
        <item x="709"/>
        <item x="708"/>
        <item x="707"/>
        <item x="706"/>
        <item x="705"/>
        <item x="704"/>
        <item x="703"/>
        <item x="702"/>
        <item x="701"/>
        <item x="700"/>
        <item x="699"/>
        <item x="698"/>
        <item x="697"/>
        <item x="696"/>
        <item x="695"/>
        <item x="694"/>
        <item x="693"/>
        <item x="692"/>
        <item x="691"/>
        <item x="690"/>
        <item x="689"/>
        <item x="688"/>
        <item x="687"/>
        <item x="686"/>
        <item x="685"/>
        <item x="684"/>
        <item x="683"/>
        <item x="682"/>
        <item x="681"/>
        <item x="680"/>
        <item x="679"/>
        <item x="678"/>
        <item x="677"/>
        <item x="676"/>
        <item x="675"/>
        <item x="674"/>
        <item x="673"/>
        <item x="672"/>
        <item x="671"/>
        <item x="670"/>
        <item x="669"/>
        <item x="668"/>
        <item x="667"/>
        <item x="666"/>
        <item x="665"/>
        <item x="664"/>
        <item x="663"/>
        <item x="662"/>
        <item x="661"/>
        <item x="660"/>
        <item x="659"/>
        <item x="658"/>
        <item x="657"/>
        <item x="656"/>
        <item x="655"/>
        <item x="654"/>
        <item x="653"/>
        <item x="652"/>
        <item x="651"/>
        <item x="650"/>
        <item x="649"/>
        <item x="648"/>
        <item x="647"/>
        <item x="646"/>
        <item x="645"/>
        <item x="644"/>
        <item x="643"/>
        <item x="642"/>
        <item x="641"/>
        <item x="640"/>
        <item x="639"/>
        <item x="638"/>
        <item x="637"/>
        <item x="636"/>
        <item x="635"/>
        <item x="634"/>
        <item x="633"/>
        <item x="632"/>
        <item x="631"/>
        <item x="630"/>
        <item x="629"/>
        <item x="628"/>
        <item x="627"/>
        <item x="626"/>
        <item x="625"/>
        <item x="624"/>
        <item x="623"/>
        <item x="622"/>
        <item x="621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06"/>
        <item x="605"/>
        <item x="604"/>
        <item x="603"/>
        <item x="602"/>
        <item x="601"/>
        <item x="600"/>
        <item x="599"/>
        <item x="598"/>
        <item x="597"/>
        <item x="596"/>
        <item x="595"/>
        <item x="594"/>
        <item x="593"/>
        <item x="592"/>
        <item x="591"/>
        <item x="590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577"/>
        <item x="576"/>
        <item x="575"/>
        <item x="574"/>
        <item x="573"/>
        <item x="572"/>
        <item x="571"/>
        <item x="570"/>
        <item x="569"/>
        <item x="568"/>
        <item x="567"/>
        <item x="566"/>
        <item x="565"/>
        <item x="564"/>
        <item x="563"/>
        <item x="562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2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name="Hospital tier" axis="axisRow" compact="0" outline="0" multipleItemSelectionAllowed="1" showAll="0" sortType="ascending" defaultSubtotal="0">
      <items>
        <item x="0"/>
        <item x="1"/>
        <item x="2"/>
      </items>
    </pivotField>
  </pivotFields>
  <rowFields>
    <field x="0"/>
    <field x="1"/>
    <field x="6"/>
    <field x="7"/>
    <field x="8"/>
    <field x="9"/>
    <field x="10"/>
    <field x="12"/>
    <field x="13"/>
    <field x="15"/>
    <field x="14"/>
  </rowFields>
</pivotTableDefinition>
</file>

<file path=xl/tables/table1.xml><?xml version="1.0" encoding="utf-8"?>
<table xmlns="http://schemas.openxmlformats.org/spreadsheetml/2006/main" ref="A10:E14" displayName="Average_Healthcare_Charges_by_Age_Group_and_Number_of_Major_Surgeries" name="Average_Healthcare_Charges_by_Age_Group_and_Number_of_Major_Surgeries" id="1">
  <tableColumns count="5">
    <tableColumn name="Age_Group" id="1"/>
    <tableColumn name="0 Surgeries" id="2"/>
    <tableColumn name="1 Surgeries" id="3"/>
    <tableColumn name="2 Surgeries" id="4"/>
    <tableColumn name="3 Surgeries" id="5"/>
  </tableColumns>
  <tableStyleInfo name="Chart1-style" showColumnStripes="0" showFirstColumn="1" showLastColumn="1" showRowStripes="1"/>
</table>
</file>

<file path=xl/tables/table2.xml><?xml version="1.0" encoding="utf-8"?>
<table xmlns="http://schemas.openxmlformats.org/spreadsheetml/2006/main" ref="A16:C22" displayName="Average_Healthcare_Charges_by_Hospital_Tier_and_Smoker_Status" name="Average_Healthcare_Charges_by_Hospital_Tier_and_Smoker_Status" id="2">
  <tableColumns count="3">
    <tableColumn name="Smoker_Label" id="1"/>
    <tableColumn name="Non-Smoker" id="2"/>
    <tableColumn name="Smoker" id="3"/>
  </tableColumns>
  <tableStyleInfo name="Chart1-style 2" showColumnStripes="0" showFirstColumn="1" showLastColumn="1" showRowStripes="1"/>
</table>
</file>

<file path=xl/tables/table3.xml><?xml version="1.0" encoding="utf-8"?>
<table xmlns="http://schemas.openxmlformats.org/spreadsheetml/2006/main" ref="A24:C32" displayName="Average_Healthcare_Charges_by_Weight_Status_and_Smoker_Status" name="Average_Healthcare_Charges_by_Weight_Status_and_Smoker_Status" id="3">
  <tableColumns count="3">
    <tableColumn name="Smoker_Label" id="1"/>
    <tableColumn name="Non-Smoker" id="2"/>
    <tableColumn name="Smoker" id="3"/>
  </tableColumns>
  <tableStyleInfo name="Chart1-style 3" showColumnStripes="0" showFirstColumn="1" showLastColumn="1" showRowStripes="1"/>
</table>
</file>

<file path=xl/tables/table4.xml><?xml version="1.0" encoding="utf-8"?>
<table xmlns="http://schemas.openxmlformats.org/spreadsheetml/2006/main" ref="A34:B38" displayName="Average_Healthcare_Charges_by_Age_Group" name="Average_Healthcare_Charges_by_Age_Group" id="4">
  <tableColumns count="2">
    <tableColumn name="Age_Group" id="1"/>
    <tableColumn name="charges_clean" id="2"/>
  </tableColumns>
  <tableStyleInfo name="Chart1-style 4" showColumnStripes="0" showFirstColumn="1" showLastColumn="1" showRowStripes="1"/>
</table>
</file>

<file path=xl/tables/table5.xml><?xml version="1.0" encoding="utf-8"?>
<table xmlns="http://schemas.openxmlformats.org/spreadsheetml/2006/main" ref="A40:B44" displayName="Average_Healthcare_Charges_by_Age_Group2" name="Average_Healthcare_Charges_by_Age_Group2" id="5">
  <tableColumns count="2">
    <tableColumn name="Age_Group" id="1"/>
    <tableColumn name="charges_clean" id="2"/>
  </tableColumns>
  <tableStyleInfo name="Chart1-style 5" showColumnStripes="0" showFirstColumn="1" showLastColumn="1" showRowStripes="1"/>
</table>
</file>

<file path=xl/tables/table6.xml><?xml version="1.0" encoding="utf-8"?>
<table xmlns="http://schemas.openxmlformats.org/spreadsheetml/2006/main" ref="A46:C52" displayName="Average_Healthcare_Charges_by_Hospital_Tier_and_Smoker_Status2" name="Average_Healthcare_Charges_by_Hospital_Tier_and_Smoker_Status2" id="6">
  <tableColumns count="3">
    <tableColumn name="Smoker_Label" id="1"/>
    <tableColumn name="Non-Smoker" id="2"/>
    <tableColumn name="Smoker" id="3"/>
  </tableColumns>
  <tableStyleInfo name="Chart1-style 6" showColumnStripes="0" showFirstColumn="1" showLastColumn="1" showRowStripes="1"/>
</table>
</file>

<file path=xl/tables/table7.xml><?xml version="1.0" encoding="utf-8"?>
<table xmlns="http://schemas.openxmlformats.org/spreadsheetml/2006/main" ref="A54:C62" displayName="Average_Healthcare_Charges_by_Weight_Status_and_Smoker_Status2" name="Average_Healthcare_Charges_by_Weight_Status_and_Smoker_Status2" id="7">
  <tableColumns count="3">
    <tableColumn name="Smoker_Label" id="1"/>
    <tableColumn name="Non-Smoker" id="2"/>
    <tableColumn name="Smoker" id="3"/>
  </tableColumns>
  <tableStyleInfo name="Chart1-style 7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155CC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4A86E8"/>
      </a:hlink>
      <a:folHlink>
        <a:srgbClr val="4A86E8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11" Type="http://schemas.openxmlformats.org/officeDocument/2006/relationships/table" Target="../tables/table3.xml"/><Relationship Id="rId10" Type="http://schemas.openxmlformats.org/officeDocument/2006/relationships/table" Target="../tables/table2.xml"/><Relationship Id="rId13" Type="http://schemas.openxmlformats.org/officeDocument/2006/relationships/table" Target="../tables/table5.xml"/><Relationship Id="rId12" Type="http://schemas.openxmlformats.org/officeDocument/2006/relationships/table" Target="../tables/table4.xml"/><Relationship Id="rId9" Type="http://schemas.openxmlformats.org/officeDocument/2006/relationships/table" Target="../tables/table1.xml"/><Relationship Id="rId15" Type="http://schemas.openxmlformats.org/officeDocument/2006/relationships/table" Target="../tables/table7.xml"/><Relationship Id="rId14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57"/>
    <col customWidth="1" min="2" max="2" width="37.43"/>
    <col customWidth="1" min="3" max="3" width="24.86"/>
    <col customWidth="1" min="4" max="4" width="11.43"/>
    <col customWidth="1" min="5" max="5" width="16.71"/>
    <col customWidth="1" min="6" max="26" width="8.71"/>
  </cols>
  <sheetData>
    <row r="1" ht="18.75" customHeight="1">
      <c r="A1" s="1" t="s">
        <v>0</v>
      </c>
      <c r="B1" s="2" t="s">
        <v>1</v>
      </c>
      <c r="C1" s="3" t="s">
        <v>2</v>
      </c>
      <c r="D1" s="3" t="s">
        <v>3</v>
      </c>
      <c r="E1" s="4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7" t="s">
        <v>4</v>
      </c>
      <c r="B2" s="9" t="s">
        <v>10</v>
      </c>
      <c r="C2" s="9" t="s">
        <v>12</v>
      </c>
      <c r="D2" s="9" t="s">
        <v>13</v>
      </c>
    </row>
    <row r="3">
      <c r="A3" s="7" t="s">
        <v>14</v>
      </c>
      <c r="B3" s="9" t="s">
        <v>15</v>
      </c>
      <c r="C3" s="9" t="s">
        <v>17</v>
      </c>
      <c r="D3" s="9" t="s">
        <v>18</v>
      </c>
    </row>
    <row r="4">
      <c r="A4" s="7" t="s">
        <v>19</v>
      </c>
      <c r="B4" s="9" t="s">
        <v>21</v>
      </c>
      <c r="C4" s="9" t="s">
        <v>17</v>
      </c>
      <c r="D4" s="9" t="s">
        <v>22</v>
      </c>
    </row>
    <row r="5">
      <c r="A5" s="7" t="s">
        <v>24</v>
      </c>
      <c r="B5" s="9" t="s">
        <v>25</v>
      </c>
      <c r="C5" s="9" t="s">
        <v>12</v>
      </c>
      <c r="D5" s="9" t="s">
        <v>26</v>
      </c>
    </row>
    <row r="6">
      <c r="A6" s="7" t="s">
        <v>28</v>
      </c>
      <c r="B6" s="9" t="s">
        <v>29</v>
      </c>
      <c r="C6" s="9" t="s">
        <v>12</v>
      </c>
      <c r="D6" s="9" t="s">
        <v>30</v>
      </c>
    </row>
    <row r="7">
      <c r="A7" s="7" t="s">
        <v>32</v>
      </c>
      <c r="B7" s="9" t="s">
        <v>33</v>
      </c>
      <c r="C7" s="9" t="s">
        <v>17</v>
      </c>
      <c r="D7" s="9" t="s">
        <v>34</v>
      </c>
    </row>
    <row r="8">
      <c r="A8" s="7" t="s">
        <v>36</v>
      </c>
      <c r="B8" s="9" t="s">
        <v>37</v>
      </c>
      <c r="C8" s="9" t="s">
        <v>17</v>
      </c>
      <c r="D8" s="9" t="s">
        <v>39</v>
      </c>
    </row>
    <row r="9">
      <c r="A9" s="7" t="s">
        <v>40</v>
      </c>
      <c r="B9" s="9" t="s">
        <v>42</v>
      </c>
      <c r="C9" s="9" t="s">
        <v>17</v>
      </c>
      <c r="D9" s="9" t="s">
        <v>43</v>
      </c>
    </row>
    <row r="10">
      <c r="A10" s="7" t="s">
        <v>45</v>
      </c>
      <c r="B10" s="9" t="s">
        <v>46</v>
      </c>
      <c r="C10" s="9" t="s">
        <v>17</v>
      </c>
      <c r="D10" s="9" t="s">
        <v>48</v>
      </c>
    </row>
    <row r="11">
      <c r="A11" s="7" t="s">
        <v>50</v>
      </c>
      <c r="B11" s="9" t="s">
        <v>52</v>
      </c>
      <c r="C11" s="9" t="s">
        <v>12</v>
      </c>
      <c r="D11" s="9" t="s">
        <v>54</v>
      </c>
    </row>
    <row r="12">
      <c r="A12" s="7" t="s">
        <v>55</v>
      </c>
      <c r="B12" s="9" t="s">
        <v>56</v>
      </c>
      <c r="C12" s="9" t="s">
        <v>12</v>
      </c>
      <c r="D12" s="9" t="s">
        <v>57</v>
      </c>
    </row>
    <row r="13">
      <c r="A13" s="7" t="s">
        <v>58</v>
      </c>
      <c r="B13" s="9" t="s">
        <v>59</v>
      </c>
      <c r="C13" s="9" t="s">
        <v>17</v>
      </c>
      <c r="D13" s="9" t="s">
        <v>60</v>
      </c>
    </row>
    <row r="14">
      <c r="A14" s="7" t="s">
        <v>62</v>
      </c>
      <c r="B14" s="9" t="s">
        <v>63</v>
      </c>
      <c r="C14" s="9" t="s">
        <v>17</v>
      </c>
      <c r="D14" s="9" t="s">
        <v>65</v>
      </c>
    </row>
    <row r="15">
      <c r="A15" s="7" t="s">
        <v>66</v>
      </c>
      <c r="B15" s="9" t="s">
        <v>67</v>
      </c>
      <c r="C15" s="9" t="s">
        <v>17</v>
      </c>
      <c r="D15" s="9" t="s">
        <v>69</v>
      </c>
    </row>
    <row r="16">
      <c r="A16" s="7" t="s">
        <v>71</v>
      </c>
      <c r="B16" s="9" t="s">
        <v>72</v>
      </c>
      <c r="C16" s="9" t="s">
        <v>12</v>
      </c>
      <c r="D16" s="9" t="s">
        <v>75</v>
      </c>
    </row>
    <row r="17">
      <c r="A17" s="7" t="s">
        <v>76</v>
      </c>
      <c r="B17" s="9" t="s">
        <v>77</v>
      </c>
      <c r="C17" s="9" t="s">
        <v>17</v>
      </c>
      <c r="D17" s="9" t="s">
        <v>78</v>
      </c>
    </row>
    <row r="18">
      <c r="A18" s="7" t="s">
        <v>79</v>
      </c>
      <c r="B18" s="9" t="s">
        <v>81</v>
      </c>
      <c r="C18" s="9" t="s">
        <v>12</v>
      </c>
      <c r="D18" s="9" t="s">
        <v>82</v>
      </c>
    </row>
    <row r="19">
      <c r="A19" s="7" t="s">
        <v>83</v>
      </c>
      <c r="B19" s="9" t="s">
        <v>84</v>
      </c>
      <c r="C19" s="9" t="s">
        <v>12</v>
      </c>
      <c r="D19" s="9" t="s">
        <v>85</v>
      </c>
    </row>
    <row r="20">
      <c r="A20" s="7" t="s">
        <v>87</v>
      </c>
      <c r="B20" s="9" t="s">
        <v>88</v>
      </c>
      <c r="C20" s="9" t="s">
        <v>17</v>
      </c>
      <c r="D20" s="9" t="s">
        <v>89</v>
      </c>
    </row>
    <row r="21" ht="15.75" customHeight="1">
      <c r="A21" s="7" t="s">
        <v>90</v>
      </c>
      <c r="B21" s="9" t="s">
        <v>92</v>
      </c>
      <c r="C21" s="9" t="s">
        <v>17</v>
      </c>
      <c r="D21" s="9" t="s">
        <v>93</v>
      </c>
    </row>
    <row r="22" ht="15.75" customHeight="1">
      <c r="A22" s="7" t="s">
        <v>94</v>
      </c>
      <c r="B22" s="9" t="s">
        <v>95</v>
      </c>
      <c r="C22" s="9" t="s">
        <v>17</v>
      </c>
      <c r="D22" s="9" t="s">
        <v>96</v>
      </c>
    </row>
    <row r="23" ht="15.75" customHeight="1">
      <c r="A23" s="7" t="s">
        <v>97</v>
      </c>
      <c r="B23" s="9" t="s">
        <v>98</v>
      </c>
      <c r="C23" s="9" t="s">
        <v>12</v>
      </c>
      <c r="D23" s="9" t="s">
        <v>99</v>
      </c>
    </row>
    <row r="24" ht="15.75" customHeight="1">
      <c r="A24" s="7" t="s">
        <v>100</v>
      </c>
      <c r="B24" s="9" t="s">
        <v>101</v>
      </c>
      <c r="C24" s="9" t="s">
        <v>12</v>
      </c>
      <c r="D24" s="9" t="s">
        <v>102</v>
      </c>
    </row>
    <row r="25" ht="15.75" customHeight="1">
      <c r="A25" s="7" t="s">
        <v>103</v>
      </c>
      <c r="B25" s="9" t="s">
        <v>104</v>
      </c>
      <c r="C25" s="9" t="s">
        <v>17</v>
      </c>
      <c r="D25" s="9" t="s">
        <v>105</v>
      </c>
    </row>
    <row r="26" ht="15.75" customHeight="1">
      <c r="A26" s="7" t="s">
        <v>106</v>
      </c>
      <c r="B26" s="9" t="s">
        <v>107</v>
      </c>
      <c r="C26" s="9" t="s">
        <v>17</v>
      </c>
      <c r="D26" s="9" t="s">
        <v>108</v>
      </c>
    </row>
    <row r="27" ht="15.75" customHeight="1">
      <c r="A27" s="7" t="s">
        <v>109</v>
      </c>
      <c r="B27" s="9" t="s">
        <v>110</v>
      </c>
      <c r="C27" s="9" t="s">
        <v>17</v>
      </c>
      <c r="D27" s="9" t="s">
        <v>111</v>
      </c>
    </row>
    <row r="28" ht="15.75" customHeight="1">
      <c r="A28" s="7" t="s">
        <v>112</v>
      </c>
      <c r="B28" s="9" t="s">
        <v>113</v>
      </c>
      <c r="C28" s="9" t="s">
        <v>17</v>
      </c>
      <c r="D28" s="9" t="s">
        <v>114</v>
      </c>
    </row>
    <row r="29" ht="15.75" customHeight="1">
      <c r="A29" s="7" t="s">
        <v>115</v>
      </c>
      <c r="B29" s="9" t="s">
        <v>116</v>
      </c>
      <c r="C29" s="9" t="s">
        <v>12</v>
      </c>
      <c r="D29" s="9" t="s">
        <v>117</v>
      </c>
    </row>
    <row r="30" ht="15.75" customHeight="1">
      <c r="A30" s="7" t="s">
        <v>118</v>
      </c>
      <c r="B30" s="9" t="s">
        <v>119</v>
      </c>
      <c r="C30" s="9" t="s">
        <v>17</v>
      </c>
      <c r="D30" s="9" t="s">
        <v>43</v>
      </c>
    </row>
    <row r="31" ht="15.75" customHeight="1">
      <c r="A31" s="7" t="s">
        <v>120</v>
      </c>
      <c r="B31" s="9" t="s">
        <v>121</v>
      </c>
      <c r="C31" s="9" t="s">
        <v>12</v>
      </c>
      <c r="D31" s="9" t="s">
        <v>122</v>
      </c>
    </row>
    <row r="32" ht="15.75" customHeight="1">
      <c r="A32" s="7" t="s">
        <v>123</v>
      </c>
      <c r="B32" s="9" t="s">
        <v>124</v>
      </c>
      <c r="C32" s="9" t="s">
        <v>12</v>
      </c>
      <c r="D32" s="9" t="s">
        <v>125</v>
      </c>
    </row>
    <row r="33" ht="15.75" customHeight="1">
      <c r="A33" s="7" t="s">
        <v>126</v>
      </c>
      <c r="B33" s="9" t="s">
        <v>127</v>
      </c>
      <c r="C33" s="9" t="s">
        <v>17</v>
      </c>
      <c r="D33" s="9" t="s">
        <v>128</v>
      </c>
    </row>
    <row r="34" ht="15.75" customHeight="1">
      <c r="A34" s="7" t="s">
        <v>129</v>
      </c>
      <c r="B34" s="9" t="s">
        <v>130</v>
      </c>
      <c r="C34" s="9" t="s">
        <v>17</v>
      </c>
      <c r="D34" s="9" t="s">
        <v>131</v>
      </c>
    </row>
    <row r="35" ht="15.75" customHeight="1">
      <c r="A35" s="7" t="s">
        <v>132</v>
      </c>
      <c r="B35" s="9" t="s">
        <v>133</v>
      </c>
      <c r="C35" s="9" t="s">
        <v>12</v>
      </c>
      <c r="D35" s="9" t="s">
        <v>134</v>
      </c>
    </row>
    <row r="36" ht="15.75" customHeight="1">
      <c r="A36" s="7" t="s">
        <v>135</v>
      </c>
      <c r="B36" s="9" t="s">
        <v>136</v>
      </c>
      <c r="C36" s="9" t="s">
        <v>12</v>
      </c>
      <c r="D36" s="9" t="s">
        <v>137</v>
      </c>
    </row>
    <row r="37" ht="15.75" customHeight="1">
      <c r="A37" s="7" t="s">
        <v>138</v>
      </c>
      <c r="B37" s="9" t="s">
        <v>139</v>
      </c>
      <c r="C37" s="9" t="s">
        <v>17</v>
      </c>
      <c r="D37" s="9" t="s">
        <v>141</v>
      </c>
    </row>
    <row r="38" ht="15.75" customHeight="1">
      <c r="A38" s="7" t="s">
        <v>143</v>
      </c>
      <c r="B38" s="9" t="s">
        <v>144</v>
      </c>
      <c r="C38" s="9" t="s">
        <v>17</v>
      </c>
      <c r="D38" s="9" t="s">
        <v>145</v>
      </c>
    </row>
    <row r="39" ht="15.75" customHeight="1">
      <c r="A39" s="7" t="s">
        <v>147</v>
      </c>
      <c r="B39" s="9" t="s">
        <v>148</v>
      </c>
      <c r="C39" s="9" t="s">
        <v>12</v>
      </c>
      <c r="D39" s="9" t="s">
        <v>149</v>
      </c>
    </row>
    <row r="40" ht="15.75" customHeight="1">
      <c r="A40" s="7" t="s">
        <v>150</v>
      </c>
      <c r="B40" s="9" t="s">
        <v>151</v>
      </c>
      <c r="C40" s="9" t="s">
        <v>12</v>
      </c>
      <c r="D40" s="9" t="s">
        <v>152</v>
      </c>
    </row>
    <row r="41" ht="15.75" customHeight="1">
      <c r="A41" s="7" t="s">
        <v>153</v>
      </c>
      <c r="B41" s="9" t="s">
        <v>154</v>
      </c>
      <c r="C41" s="9" t="s">
        <v>17</v>
      </c>
      <c r="D41" s="9" t="s">
        <v>155</v>
      </c>
    </row>
    <row r="42" ht="15.75" customHeight="1">
      <c r="A42" s="7" t="s">
        <v>156</v>
      </c>
      <c r="B42" s="9" t="s">
        <v>157</v>
      </c>
      <c r="C42" s="9" t="s">
        <v>17</v>
      </c>
      <c r="D42" s="9" t="s">
        <v>158</v>
      </c>
    </row>
    <row r="43" ht="15.75" customHeight="1">
      <c r="A43" s="7" t="s">
        <v>159</v>
      </c>
      <c r="B43" s="9" t="s">
        <v>160</v>
      </c>
      <c r="C43" s="9" t="s">
        <v>12</v>
      </c>
      <c r="D43" s="9" t="s">
        <v>161</v>
      </c>
    </row>
    <row r="44" ht="15.75" customHeight="1">
      <c r="A44" s="7" t="s">
        <v>162</v>
      </c>
      <c r="B44" s="9" t="s">
        <v>163</v>
      </c>
      <c r="C44" s="9" t="s">
        <v>12</v>
      </c>
      <c r="D44" s="9" t="s">
        <v>102</v>
      </c>
    </row>
    <row r="45" ht="15.75" customHeight="1">
      <c r="A45" s="7" t="s">
        <v>164</v>
      </c>
      <c r="B45" s="9" t="s">
        <v>165</v>
      </c>
      <c r="C45" s="9" t="s">
        <v>17</v>
      </c>
      <c r="D45" s="9" t="s">
        <v>166</v>
      </c>
    </row>
    <row r="46" ht="15.75" customHeight="1">
      <c r="A46" s="7" t="s">
        <v>167</v>
      </c>
      <c r="B46" s="9" t="s">
        <v>168</v>
      </c>
      <c r="C46" s="9" t="s">
        <v>17</v>
      </c>
      <c r="D46" s="9" t="s">
        <v>169</v>
      </c>
    </row>
    <row r="47" ht="15.75" customHeight="1">
      <c r="A47" s="7" t="s">
        <v>170</v>
      </c>
      <c r="B47" s="9" t="s">
        <v>171</v>
      </c>
      <c r="C47" s="9" t="s">
        <v>12</v>
      </c>
      <c r="D47" s="9" t="s">
        <v>172</v>
      </c>
    </row>
    <row r="48" ht="15.75" customHeight="1">
      <c r="A48" s="7" t="s">
        <v>173</v>
      </c>
      <c r="B48" s="9" t="s">
        <v>174</v>
      </c>
      <c r="C48" s="9" t="s">
        <v>17</v>
      </c>
      <c r="D48" s="9" t="s">
        <v>175</v>
      </c>
    </row>
    <row r="49" ht="15.75" customHeight="1">
      <c r="A49" s="7" t="s">
        <v>176</v>
      </c>
      <c r="B49" s="9" t="s">
        <v>160</v>
      </c>
      <c r="C49" s="9" t="s">
        <v>12</v>
      </c>
      <c r="D49" s="9" t="s">
        <v>177</v>
      </c>
    </row>
    <row r="50" ht="15.75" customHeight="1">
      <c r="A50" s="7" t="s">
        <v>178</v>
      </c>
      <c r="B50" s="9" t="s">
        <v>179</v>
      </c>
      <c r="C50" s="9" t="s">
        <v>17</v>
      </c>
      <c r="D50" s="9" t="s">
        <v>180</v>
      </c>
    </row>
    <row r="51" ht="15.75" customHeight="1">
      <c r="A51" s="7" t="s">
        <v>181</v>
      </c>
      <c r="B51" s="9" t="s">
        <v>182</v>
      </c>
      <c r="C51" s="9" t="s">
        <v>17</v>
      </c>
      <c r="D51" s="9" t="s">
        <v>183</v>
      </c>
    </row>
    <row r="52" ht="15.75" customHeight="1">
      <c r="A52" s="7" t="s">
        <v>185</v>
      </c>
      <c r="B52" s="9" t="s">
        <v>186</v>
      </c>
      <c r="C52" s="9" t="s">
        <v>17</v>
      </c>
      <c r="D52" s="9" t="s">
        <v>187</v>
      </c>
    </row>
    <row r="53" ht="15.75" customHeight="1">
      <c r="A53" s="7" t="s">
        <v>188</v>
      </c>
      <c r="B53" s="9" t="s">
        <v>189</v>
      </c>
      <c r="C53" s="9" t="s">
        <v>12</v>
      </c>
      <c r="D53" s="9" t="s">
        <v>190</v>
      </c>
    </row>
    <row r="54" ht="15.75" customHeight="1">
      <c r="A54" s="7" t="s">
        <v>191</v>
      </c>
      <c r="B54" s="9" t="s">
        <v>192</v>
      </c>
      <c r="C54" s="9" t="s">
        <v>17</v>
      </c>
      <c r="D54" s="9" t="s">
        <v>60</v>
      </c>
    </row>
    <row r="55" ht="15.75" customHeight="1">
      <c r="A55" s="7" t="s">
        <v>193</v>
      </c>
      <c r="B55" s="9" t="s">
        <v>194</v>
      </c>
      <c r="C55" s="9" t="s">
        <v>17</v>
      </c>
      <c r="D55" s="9" t="s">
        <v>195</v>
      </c>
    </row>
    <row r="56" ht="15.75" customHeight="1">
      <c r="A56" s="7" t="s">
        <v>196</v>
      </c>
      <c r="B56" s="9" t="s">
        <v>197</v>
      </c>
      <c r="C56" s="9" t="s">
        <v>12</v>
      </c>
      <c r="D56" s="9" t="s">
        <v>198</v>
      </c>
    </row>
    <row r="57" ht="15.75" customHeight="1">
      <c r="A57" s="7" t="s">
        <v>199</v>
      </c>
      <c r="B57" s="9" t="s">
        <v>200</v>
      </c>
      <c r="C57" s="9" t="s">
        <v>12</v>
      </c>
      <c r="D57" s="9" t="s">
        <v>201</v>
      </c>
    </row>
    <row r="58" ht="15.75" customHeight="1">
      <c r="A58" s="7" t="s">
        <v>202</v>
      </c>
      <c r="B58" s="9" t="s">
        <v>203</v>
      </c>
      <c r="C58" s="9" t="s">
        <v>17</v>
      </c>
      <c r="D58" s="9" t="s">
        <v>204</v>
      </c>
    </row>
    <row r="59" ht="15.75" customHeight="1">
      <c r="A59" s="7" t="s">
        <v>206</v>
      </c>
      <c r="B59" s="9" t="s">
        <v>207</v>
      </c>
      <c r="C59" s="9" t="s">
        <v>12</v>
      </c>
      <c r="D59" s="9" t="s">
        <v>208</v>
      </c>
    </row>
    <row r="60" ht="15.75" customHeight="1">
      <c r="A60" s="7" t="s">
        <v>210</v>
      </c>
      <c r="B60" s="9" t="s">
        <v>211</v>
      </c>
      <c r="C60" s="9" t="s">
        <v>17</v>
      </c>
      <c r="D60" s="9" t="s">
        <v>212</v>
      </c>
    </row>
    <row r="61" ht="15.75" customHeight="1">
      <c r="A61" s="7" t="s">
        <v>213</v>
      </c>
      <c r="B61" s="9" t="s">
        <v>214</v>
      </c>
      <c r="C61" s="9" t="s">
        <v>12</v>
      </c>
      <c r="D61" s="9" t="s">
        <v>215</v>
      </c>
    </row>
    <row r="62" ht="15.75" customHeight="1">
      <c r="A62" s="7" t="s">
        <v>216</v>
      </c>
      <c r="B62" s="9" t="s">
        <v>217</v>
      </c>
      <c r="C62" s="9" t="s">
        <v>17</v>
      </c>
      <c r="D62" s="9" t="s">
        <v>218</v>
      </c>
    </row>
    <row r="63" ht="15.75" customHeight="1">
      <c r="A63" s="7" t="s">
        <v>220</v>
      </c>
      <c r="B63" s="9" t="s">
        <v>221</v>
      </c>
      <c r="C63" s="9" t="s">
        <v>12</v>
      </c>
      <c r="D63" s="9" t="s">
        <v>222</v>
      </c>
    </row>
    <row r="64" ht="15.75" customHeight="1">
      <c r="A64" s="7" t="s">
        <v>223</v>
      </c>
      <c r="B64" s="9" t="s">
        <v>224</v>
      </c>
      <c r="C64" s="9" t="s">
        <v>12</v>
      </c>
      <c r="D64" s="9" t="s">
        <v>225</v>
      </c>
    </row>
    <row r="65" ht="15.75" customHeight="1">
      <c r="A65" s="7" t="s">
        <v>226</v>
      </c>
      <c r="B65" s="9" t="s">
        <v>227</v>
      </c>
      <c r="C65" s="9" t="s">
        <v>17</v>
      </c>
      <c r="D65" s="9" t="s">
        <v>60</v>
      </c>
    </row>
    <row r="66" ht="15.75" customHeight="1">
      <c r="A66" s="7" t="s">
        <v>228</v>
      </c>
      <c r="B66" s="9" t="s">
        <v>229</v>
      </c>
      <c r="C66" s="9" t="s">
        <v>17</v>
      </c>
      <c r="D66" s="9" t="s">
        <v>230</v>
      </c>
    </row>
    <row r="67" ht="15.75" customHeight="1">
      <c r="A67" s="7" t="s">
        <v>231</v>
      </c>
      <c r="B67" s="9" t="s">
        <v>232</v>
      </c>
      <c r="C67" s="9" t="s">
        <v>12</v>
      </c>
      <c r="D67" s="9" t="s">
        <v>233</v>
      </c>
    </row>
    <row r="68" ht="15.75" customHeight="1">
      <c r="A68" s="7" t="s">
        <v>234</v>
      </c>
      <c r="B68" s="9" t="s">
        <v>235</v>
      </c>
      <c r="C68" s="9" t="s">
        <v>17</v>
      </c>
      <c r="D68" s="9" t="s">
        <v>236</v>
      </c>
    </row>
    <row r="69" ht="15.75" customHeight="1">
      <c r="A69" s="7" t="s">
        <v>237</v>
      </c>
      <c r="B69" s="9" t="s">
        <v>239</v>
      </c>
      <c r="C69" s="9" t="s">
        <v>17</v>
      </c>
      <c r="D69" s="9" t="s">
        <v>240</v>
      </c>
    </row>
    <row r="70" ht="15.75" customHeight="1">
      <c r="A70" s="7" t="s">
        <v>242</v>
      </c>
      <c r="B70" s="9" t="s">
        <v>243</v>
      </c>
      <c r="C70" s="9" t="s">
        <v>12</v>
      </c>
      <c r="D70" s="9" t="s">
        <v>244</v>
      </c>
    </row>
    <row r="71" ht="15.75" customHeight="1">
      <c r="A71" s="7" t="s">
        <v>245</v>
      </c>
      <c r="B71" s="9" t="s">
        <v>246</v>
      </c>
      <c r="C71" s="9" t="s">
        <v>17</v>
      </c>
      <c r="D71" s="9" t="s">
        <v>247</v>
      </c>
    </row>
    <row r="72" ht="15.75" customHeight="1">
      <c r="A72" s="7" t="s">
        <v>248</v>
      </c>
      <c r="B72" s="9" t="s">
        <v>249</v>
      </c>
      <c r="C72" s="9" t="s">
        <v>17</v>
      </c>
      <c r="D72" s="9" t="s">
        <v>250</v>
      </c>
    </row>
    <row r="73" ht="15.75" customHeight="1">
      <c r="A73" s="7" t="s">
        <v>251</v>
      </c>
      <c r="B73" s="9" t="s">
        <v>252</v>
      </c>
      <c r="C73" s="9" t="s">
        <v>17</v>
      </c>
      <c r="D73" s="9" t="s">
        <v>253</v>
      </c>
    </row>
    <row r="74" ht="15.75" customHeight="1">
      <c r="A74" s="7" t="s">
        <v>254</v>
      </c>
      <c r="B74" s="9" t="s">
        <v>255</v>
      </c>
      <c r="C74" s="9" t="s">
        <v>12</v>
      </c>
      <c r="D74" s="9" t="s">
        <v>256</v>
      </c>
    </row>
    <row r="75" ht="15.75" customHeight="1">
      <c r="A75" s="7" t="s">
        <v>257</v>
      </c>
      <c r="B75" s="9" t="s">
        <v>258</v>
      </c>
      <c r="C75" s="9" t="s">
        <v>12</v>
      </c>
      <c r="D75" s="9" t="s">
        <v>259</v>
      </c>
    </row>
    <row r="76" ht="15.75" customHeight="1">
      <c r="A76" s="7" t="s">
        <v>260</v>
      </c>
      <c r="B76" s="9" t="s">
        <v>261</v>
      </c>
      <c r="C76" s="9" t="s">
        <v>12</v>
      </c>
      <c r="D76" s="9" t="s">
        <v>262</v>
      </c>
    </row>
    <row r="77" ht="15.75" customHeight="1">
      <c r="A77" s="7" t="s">
        <v>263</v>
      </c>
      <c r="B77" s="9" t="s">
        <v>264</v>
      </c>
      <c r="C77" s="9" t="s">
        <v>17</v>
      </c>
      <c r="D77" s="9" t="s">
        <v>265</v>
      </c>
    </row>
    <row r="78" ht="15.75" customHeight="1">
      <c r="A78" s="7" t="s">
        <v>266</v>
      </c>
      <c r="B78" s="9" t="s">
        <v>267</v>
      </c>
      <c r="C78" s="9" t="s">
        <v>12</v>
      </c>
      <c r="D78" s="9" t="s">
        <v>268</v>
      </c>
    </row>
    <row r="79" ht="15.75" customHeight="1">
      <c r="A79" s="7" t="s">
        <v>270</v>
      </c>
      <c r="B79" s="9" t="s">
        <v>271</v>
      </c>
      <c r="C79" s="9" t="s">
        <v>12</v>
      </c>
      <c r="D79" s="9" t="s">
        <v>273</v>
      </c>
    </row>
    <row r="80" ht="15.75" customHeight="1">
      <c r="A80" s="7" t="s">
        <v>274</v>
      </c>
      <c r="B80" s="9" t="s">
        <v>275</v>
      </c>
      <c r="C80" s="9" t="s">
        <v>17</v>
      </c>
      <c r="D80" s="9" t="s">
        <v>276</v>
      </c>
    </row>
    <row r="81" ht="15.75" customHeight="1">
      <c r="A81" s="7" t="s">
        <v>277</v>
      </c>
      <c r="B81" s="9" t="s">
        <v>278</v>
      </c>
      <c r="C81" s="9" t="s">
        <v>12</v>
      </c>
      <c r="D81" s="9" t="s">
        <v>279</v>
      </c>
    </row>
    <row r="82" ht="15.75" customHeight="1">
      <c r="A82" s="7" t="s">
        <v>280</v>
      </c>
      <c r="B82" s="9" t="s">
        <v>281</v>
      </c>
      <c r="C82" s="9" t="s">
        <v>12</v>
      </c>
      <c r="D82" s="9" t="s">
        <v>282</v>
      </c>
    </row>
    <row r="83" ht="15.75" customHeight="1">
      <c r="A83" s="7" t="s">
        <v>283</v>
      </c>
      <c r="B83" s="9" t="s">
        <v>284</v>
      </c>
      <c r="C83" s="9" t="s">
        <v>17</v>
      </c>
      <c r="D83" s="9" t="s">
        <v>285</v>
      </c>
    </row>
    <row r="84" ht="15.75" customHeight="1">
      <c r="A84" s="7" t="s">
        <v>286</v>
      </c>
      <c r="B84" s="9" t="s">
        <v>287</v>
      </c>
      <c r="C84" s="9" t="s">
        <v>12</v>
      </c>
      <c r="D84" s="9" t="s">
        <v>288</v>
      </c>
    </row>
    <row r="85" ht="15.75" customHeight="1">
      <c r="A85" s="7" t="s">
        <v>289</v>
      </c>
      <c r="B85" s="9" t="s">
        <v>290</v>
      </c>
      <c r="C85" s="9" t="s">
        <v>17</v>
      </c>
      <c r="D85" s="9" t="s">
        <v>291</v>
      </c>
    </row>
    <row r="86" ht="15.75" customHeight="1">
      <c r="A86" s="7" t="s">
        <v>292</v>
      </c>
      <c r="B86" s="9" t="s">
        <v>294</v>
      </c>
      <c r="C86" s="9" t="s">
        <v>17</v>
      </c>
      <c r="D86" s="9" t="s">
        <v>295</v>
      </c>
    </row>
    <row r="87" ht="15.75" customHeight="1">
      <c r="A87" s="7" t="s">
        <v>296</v>
      </c>
      <c r="B87" s="9" t="s">
        <v>297</v>
      </c>
      <c r="C87" s="9" t="s">
        <v>17</v>
      </c>
      <c r="D87" s="9" t="s">
        <v>298</v>
      </c>
    </row>
    <row r="88" ht="15.75" customHeight="1">
      <c r="A88" s="7" t="s">
        <v>299</v>
      </c>
      <c r="B88" s="9" t="s">
        <v>300</v>
      </c>
      <c r="C88" s="9" t="s">
        <v>17</v>
      </c>
      <c r="D88" s="9" t="s">
        <v>301</v>
      </c>
    </row>
    <row r="89" ht="15.75" customHeight="1">
      <c r="A89" s="7" t="s">
        <v>302</v>
      </c>
      <c r="B89" s="9" t="s">
        <v>303</v>
      </c>
      <c r="C89" s="9" t="s">
        <v>12</v>
      </c>
      <c r="D89" s="9" t="s">
        <v>304</v>
      </c>
    </row>
    <row r="90" ht="15.75" customHeight="1">
      <c r="A90" s="7" t="s">
        <v>305</v>
      </c>
      <c r="B90" s="9" t="s">
        <v>306</v>
      </c>
      <c r="C90" s="9" t="s">
        <v>12</v>
      </c>
      <c r="D90" s="9" t="s">
        <v>307</v>
      </c>
    </row>
    <row r="91" ht="15.75" customHeight="1">
      <c r="A91" s="7" t="s">
        <v>308</v>
      </c>
      <c r="B91" s="9" t="s">
        <v>309</v>
      </c>
      <c r="C91" s="9" t="s">
        <v>12</v>
      </c>
      <c r="D91" s="9" t="s">
        <v>310</v>
      </c>
    </row>
    <row r="92" ht="15.75" customHeight="1">
      <c r="A92" s="7" t="s">
        <v>311</v>
      </c>
      <c r="B92" s="9" t="s">
        <v>312</v>
      </c>
      <c r="C92" s="9" t="s">
        <v>12</v>
      </c>
      <c r="D92" s="9" t="s">
        <v>313</v>
      </c>
    </row>
    <row r="93" ht="15.75" customHeight="1">
      <c r="A93" s="7" t="s">
        <v>314</v>
      </c>
      <c r="B93" s="9" t="s">
        <v>315</v>
      </c>
      <c r="C93" s="9" t="s">
        <v>12</v>
      </c>
      <c r="D93" s="9" t="s">
        <v>316</v>
      </c>
    </row>
    <row r="94" ht="15.75" customHeight="1">
      <c r="A94" s="7" t="s">
        <v>318</v>
      </c>
      <c r="B94" s="9" t="s">
        <v>319</v>
      </c>
      <c r="C94" s="9" t="s">
        <v>17</v>
      </c>
      <c r="D94" s="9" t="s">
        <v>320</v>
      </c>
    </row>
    <row r="95" ht="15.75" customHeight="1">
      <c r="A95" s="7" t="s">
        <v>321</v>
      </c>
      <c r="B95" s="9" t="s">
        <v>322</v>
      </c>
      <c r="C95" s="9" t="s">
        <v>17</v>
      </c>
      <c r="D95" s="9" t="s">
        <v>60</v>
      </c>
    </row>
    <row r="96" ht="15.75" customHeight="1">
      <c r="A96" s="7" t="s">
        <v>323</v>
      </c>
      <c r="B96" s="9" t="s">
        <v>324</v>
      </c>
      <c r="C96" s="9" t="s">
        <v>12</v>
      </c>
      <c r="D96" s="9" t="s">
        <v>122</v>
      </c>
    </row>
    <row r="97" ht="15.75" customHeight="1">
      <c r="A97" s="7" t="s">
        <v>326</v>
      </c>
      <c r="B97" s="9" t="s">
        <v>327</v>
      </c>
      <c r="C97" s="9" t="s">
        <v>17</v>
      </c>
      <c r="D97" s="9" t="s">
        <v>328</v>
      </c>
    </row>
    <row r="98" ht="15.75" customHeight="1">
      <c r="A98" s="7" t="s">
        <v>329</v>
      </c>
      <c r="B98" s="9" t="s">
        <v>330</v>
      </c>
      <c r="C98" s="9" t="s">
        <v>12</v>
      </c>
      <c r="D98" s="9" t="s">
        <v>331</v>
      </c>
    </row>
    <row r="99" ht="15.75" customHeight="1">
      <c r="A99" s="7" t="s">
        <v>332</v>
      </c>
      <c r="B99" s="9" t="s">
        <v>333</v>
      </c>
      <c r="C99" s="9" t="s">
        <v>12</v>
      </c>
      <c r="D99" s="9" t="s">
        <v>334</v>
      </c>
    </row>
    <row r="100" ht="15.75" customHeight="1">
      <c r="A100" s="7" t="s">
        <v>335</v>
      </c>
      <c r="B100" s="9" t="s">
        <v>336</v>
      </c>
      <c r="C100" s="9" t="s">
        <v>17</v>
      </c>
      <c r="D100" s="9" t="s">
        <v>337</v>
      </c>
    </row>
    <row r="101" ht="15.75" customHeight="1">
      <c r="A101" s="7" t="s">
        <v>338</v>
      </c>
      <c r="B101" s="9" t="s">
        <v>339</v>
      </c>
      <c r="C101" s="9" t="s">
        <v>17</v>
      </c>
      <c r="D101" s="9" t="s">
        <v>236</v>
      </c>
    </row>
    <row r="102" ht="15.75" customHeight="1">
      <c r="A102" s="7" t="s">
        <v>340</v>
      </c>
      <c r="B102" s="9" t="s">
        <v>341</v>
      </c>
      <c r="C102" s="9" t="s">
        <v>17</v>
      </c>
      <c r="D102" s="9" t="s">
        <v>342</v>
      </c>
    </row>
    <row r="103" ht="15.75" customHeight="1">
      <c r="A103" s="7" t="s">
        <v>343</v>
      </c>
      <c r="B103" s="9" t="s">
        <v>345</v>
      </c>
      <c r="C103" s="9" t="s">
        <v>12</v>
      </c>
      <c r="D103" s="9" t="s">
        <v>346</v>
      </c>
    </row>
    <row r="104" ht="15.75" customHeight="1">
      <c r="A104" s="7" t="s">
        <v>347</v>
      </c>
      <c r="B104" s="9" t="s">
        <v>349</v>
      </c>
      <c r="C104" s="9" t="s">
        <v>17</v>
      </c>
      <c r="D104" s="9" t="s">
        <v>350</v>
      </c>
    </row>
    <row r="105" ht="15.75" customHeight="1">
      <c r="A105" s="7" t="s">
        <v>351</v>
      </c>
      <c r="B105" s="9" t="s">
        <v>352</v>
      </c>
      <c r="C105" s="9" t="s">
        <v>17</v>
      </c>
      <c r="D105" s="9" t="s">
        <v>353</v>
      </c>
    </row>
    <row r="106" ht="15.75" customHeight="1">
      <c r="A106" s="7" t="s">
        <v>354</v>
      </c>
      <c r="B106" s="9" t="s">
        <v>355</v>
      </c>
      <c r="C106" s="9" t="s">
        <v>17</v>
      </c>
      <c r="D106" s="9" t="s">
        <v>356</v>
      </c>
    </row>
    <row r="107" ht="15.75" customHeight="1">
      <c r="A107" s="7" t="s">
        <v>357</v>
      </c>
      <c r="B107" s="9" t="s">
        <v>358</v>
      </c>
      <c r="C107" s="9" t="s">
        <v>17</v>
      </c>
      <c r="D107" s="9" t="s">
        <v>359</v>
      </c>
    </row>
    <row r="108" ht="15.75" customHeight="1">
      <c r="A108" s="7" t="s">
        <v>360</v>
      </c>
      <c r="B108" s="9" t="s">
        <v>361</v>
      </c>
      <c r="C108" s="9" t="s">
        <v>17</v>
      </c>
      <c r="D108" s="9" t="s">
        <v>362</v>
      </c>
    </row>
    <row r="109" ht="15.75" customHeight="1">
      <c r="A109" s="7" t="s">
        <v>363</v>
      </c>
      <c r="B109" s="9" t="s">
        <v>364</v>
      </c>
      <c r="C109" s="9" t="s">
        <v>12</v>
      </c>
      <c r="D109" s="9" t="s">
        <v>365</v>
      </c>
    </row>
    <row r="110" ht="15.75" customHeight="1">
      <c r="A110" s="7" t="s">
        <v>367</v>
      </c>
      <c r="B110" s="9" t="s">
        <v>368</v>
      </c>
      <c r="C110" s="9" t="s">
        <v>12</v>
      </c>
      <c r="D110" s="9" t="s">
        <v>369</v>
      </c>
    </row>
    <row r="111" ht="15.75" customHeight="1">
      <c r="A111" s="7" t="s">
        <v>370</v>
      </c>
      <c r="B111" s="9" t="s">
        <v>371</v>
      </c>
      <c r="C111" s="9" t="s">
        <v>17</v>
      </c>
      <c r="D111" s="9" t="s">
        <v>320</v>
      </c>
    </row>
    <row r="112" ht="15.75" customHeight="1">
      <c r="A112" s="7" t="s">
        <v>372</v>
      </c>
      <c r="B112" s="9" t="s">
        <v>373</v>
      </c>
      <c r="C112" s="9" t="s">
        <v>17</v>
      </c>
      <c r="D112" s="9" t="s">
        <v>374</v>
      </c>
    </row>
    <row r="113" ht="15.75" customHeight="1">
      <c r="A113" s="7" t="s">
        <v>375</v>
      </c>
      <c r="B113" s="9" t="s">
        <v>376</v>
      </c>
      <c r="C113" s="9" t="s">
        <v>12</v>
      </c>
      <c r="D113" s="9" t="s">
        <v>377</v>
      </c>
    </row>
    <row r="114" ht="15.75" customHeight="1">
      <c r="A114" s="7" t="s">
        <v>379</v>
      </c>
      <c r="B114" s="9" t="s">
        <v>380</v>
      </c>
      <c r="C114" s="9" t="s">
        <v>12</v>
      </c>
      <c r="D114" s="9" t="s">
        <v>381</v>
      </c>
    </row>
    <row r="115" ht="15.75" customHeight="1">
      <c r="A115" s="7" t="s">
        <v>382</v>
      </c>
      <c r="B115" s="9" t="s">
        <v>383</v>
      </c>
      <c r="C115" s="9" t="s">
        <v>17</v>
      </c>
      <c r="D115" s="9" t="s">
        <v>384</v>
      </c>
    </row>
    <row r="116" ht="15.75" customHeight="1">
      <c r="A116" s="7" t="s">
        <v>385</v>
      </c>
      <c r="B116" s="9" t="s">
        <v>386</v>
      </c>
      <c r="C116" s="9" t="s">
        <v>17</v>
      </c>
      <c r="D116" s="9" t="s">
        <v>387</v>
      </c>
    </row>
    <row r="117" ht="15.75" customHeight="1">
      <c r="A117" s="7" t="s">
        <v>388</v>
      </c>
      <c r="B117" s="9" t="s">
        <v>389</v>
      </c>
      <c r="C117" s="9" t="s">
        <v>12</v>
      </c>
      <c r="D117" s="9" t="s">
        <v>390</v>
      </c>
    </row>
    <row r="118" ht="15.75" customHeight="1">
      <c r="A118" s="7" t="s">
        <v>391</v>
      </c>
      <c r="B118" s="9" t="s">
        <v>392</v>
      </c>
      <c r="C118" s="9" t="s">
        <v>17</v>
      </c>
      <c r="D118" s="9" t="s">
        <v>393</v>
      </c>
    </row>
    <row r="119" ht="15.75" customHeight="1">
      <c r="A119" s="7" t="s">
        <v>394</v>
      </c>
      <c r="B119" s="9" t="s">
        <v>395</v>
      </c>
      <c r="C119" s="9" t="s">
        <v>17</v>
      </c>
      <c r="D119" s="9" t="s">
        <v>93</v>
      </c>
    </row>
    <row r="120" ht="15.75" customHeight="1">
      <c r="A120" s="7" t="s">
        <v>396</v>
      </c>
      <c r="B120" s="9" t="s">
        <v>397</v>
      </c>
      <c r="C120" s="9" t="s">
        <v>17</v>
      </c>
      <c r="D120" s="9" t="s">
        <v>398</v>
      </c>
    </row>
    <row r="121" ht="15.75" customHeight="1">
      <c r="A121" s="7" t="s">
        <v>399</v>
      </c>
      <c r="B121" s="9" t="s">
        <v>400</v>
      </c>
      <c r="C121" s="9" t="s">
        <v>17</v>
      </c>
      <c r="D121" s="9" t="s">
        <v>401</v>
      </c>
    </row>
    <row r="122" ht="15.75" customHeight="1">
      <c r="A122" s="7" t="s">
        <v>402</v>
      </c>
      <c r="B122" s="9" t="s">
        <v>403</v>
      </c>
      <c r="C122" s="9" t="s">
        <v>17</v>
      </c>
      <c r="D122" s="9" t="s">
        <v>404</v>
      </c>
    </row>
    <row r="123" ht="15.75" customHeight="1">
      <c r="A123" s="7" t="s">
        <v>405</v>
      </c>
      <c r="B123" s="9" t="s">
        <v>406</v>
      </c>
      <c r="C123" s="9" t="s">
        <v>17</v>
      </c>
      <c r="D123" s="9" t="s">
        <v>407</v>
      </c>
    </row>
    <row r="124" ht="15.75" customHeight="1">
      <c r="A124" s="7" t="s">
        <v>408</v>
      </c>
      <c r="B124" s="9" t="s">
        <v>409</v>
      </c>
      <c r="C124" s="9" t="s">
        <v>12</v>
      </c>
      <c r="D124" s="9" t="s">
        <v>410</v>
      </c>
    </row>
    <row r="125" ht="15.75" customHeight="1">
      <c r="A125" s="7" t="s">
        <v>411</v>
      </c>
      <c r="B125" s="9" t="s">
        <v>412</v>
      </c>
      <c r="C125" s="9" t="s">
        <v>17</v>
      </c>
      <c r="D125" s="9" t="s">
        <v>413</v>
      </c>
    </row>
    <row r="126" ht="15.75" customHeight="1">
      <c r="A126" s="7" t="s">
        <v>414</v>
      </c>
      <c r="B126" s="9" t="s">
        <v>415</v>
      </c>
      <c r="C126" s="9" t="s">
        <v>12</v>
      </c>
      <c r="D126" s="9" t="s">
        <v>416</v>
      </c>
    </row>
    <row r="127" ht="15.75" customHeight="1">
      <c r="A127" s="7" t="s">
        <v>418</v>
      </c>
      <c r="B127" s="9" t="s">
        <v>419</v>
      </c>
      <c r="C127" s="9" t="s">
        <v>17</v>
      </c>
      <c r="D127" s="9" t="s">
        <v>420</v>
      </c>
    </row>
    <row r="128" ht="15.75" customHeight="1">
      <c r="A128" s="7" t="s">
        <v>421</v>
      </c>
      <c r="B128" s="9" t="s">
        <v>422</v>
      </c>
      <c r="C128" s="9" t="s">
        <v>17</v>
      </c>
      <c r="D128" s="9" t="s">
        <v>423</v>
      </c>
    </row>
    <row r="129" ht="15.75" customHeight="1">
      <c r="A129" s="7" t="s">
        <v>424</v>
      </c>
      <c r="B129" s="9" t="s">
        <v>425</v>
      </c>
      <c r="C129" s="9" t="s">
        <v>17</v>
      </c>
      <c r="D129" s="9" t="s">
        <v>426</v>
      </c>
    </row>
    <row r="130" ht="15.75" customHeight="1">
      <c r="A130" s="7" t="s">
        <v>427</v>
      </c>
      <c r="B130" s="9" t="s">
        <v>428</v>
      </c>
      <c r="C130" s="9" t="s">
        <v>17</v>
      </c>
      <c r="D130" s="9" t="s">
        <v>429</v>
      </c>
    </row>
    <row r="131" ht="15.75" customHeight="1">
      <c r="A131" s="7" t="s">
        <v>430</v>
      </c>
      <c r="B131" s="9" t="s">
        <v>431</v>
      </c>
      <c r="C131" s="9" t="s">
        <v>17</v>
      </c>
      <c r="D131" s="9" t="s">
        <v>432</v>
      </c>
    </row>
    <row r="132" ht="15.75" customHeight="1">
      <c r="A132" s="7" t="s">
        <v>433</v>
      </c>
      <c r="B132" s="9" t="s">
        <v>434</v>
      </c>
      <c r="C132" s="9" t="s">
        <v>17</v>
      </c>
      <c r="D132" s="9" t="s">
        <v>435</v>
      </c>
    </row>
    <row r="133" ht="15.75" customHeight="1">
      <c r="A133" s="7" t="s">
        <v>436</v>
      </c>
      <c r="B133" s="9" t="s">
        <v>437</v>
      </c>
      <c r="C133" s="9" t="s">
        <v>12</v>
      </c>
      <c r="D133" s="9" t="s">
        <v>439</v>
      </c>
    </row>
    <row r="134" ht="15.75" customHeight="1">
      <c r="A134" s="7" t="s">
        <v>440</v>
      </c>
      <c r="B134" s="9" t="s">
        <v>441</v>
      </c>
      <c r="C134" s="9" t="s">
        <v>17</v>
      </c>
      <c r="D134" s="9" t="s">
        <v>442</v>
      </c>
    </row>
    <row r="135" ht="15.75" customHeight="1">
      <c r="A135" s="7" t="s">
        <v>443</v>
      </c>
      <c r="B135" s="9" t="s">
        <v>444</v>
      </c>
      <c r="C135" s="9" t="s">
        <v>17</v>
      </c>
      <c r="D135" s="9" t="s">
        <v>445</v>
      </c>
    </row>
    <row r="136" ht="15.75" customHeight="1">
      <c r="A136" s="7" t="s">
        <v>446</v>
      </c>
      <c r="B136" s="9" t="s">
        <v>447</v>
      </c>
      <c r="C136" s="9" t="s">
        <v>12</v>
      </c>
      <c r="D136" s="9" t="s">
        <v>448</v>
      </c>
    </row>
    <row r="137" ht="15.75" customHeight="1">
      <c r="A137" s="7" t="s">
        <v>449</v>
      </c>
      <c r="B137" s="9" t="s">
        <v>450</v>
      </c>
      <c r="C137" s="9" t="s">
        <v>12</v>
      </c>
      <c r="D137" s="9" t="s">
        <v>451</v>
      </c>
    </row>
    <row r="138" ht="15.75" customHeight="1">
      <c r="A138" s="7" t="s">
        <v>452</v>
      </c>
      <c r="B138" s="9" t="s">
        <v>453</v>
      </c>
      <c r="C138" s="9" t="s">
        <v>12</v>
      </c>
      <c r="D138" s="9" t="s">
        <v>455</v>
      </c>
    </row>
    <row r="139" ht="15.75" customHeight="1">
      <c r="A139" s="7" t="s">
        <v>456</v>
      </c>
      <c r="B139" s="9" t="s">
        <v>458</v>
      </c>
      <c r="C139" s="9" t="s">
        <v>17</v>
      </c>
      <c r="D139" s="9" t="s">
        <v>459</v>
      </c>
    </row>
    <row r="140" ht="15.75" customHeight="1">
      <c r="A140" s="7" t="s">
        <v>460</v>
      </c>
      <c r="B140" s="9" t="s">
        <v>461</v>
      </c>
      <c r="C140" s="9" t="s">
        <v>17</v>
      </c>
      <c r="D140" s="9" t="s">
        <v>462</v>
      </c>
    </row>
    <row r="141" ht="15.75" customHeight="1">
      <c r="A141" s="7" t="s">
        <v>463</v>
      </c>
      <c r="B141" s="9" t="s">
        <v>464</v>
      </c>
      <c r="C141" s="9" t="s">
        <v>17</v>
      </c>
      <c r="D141" s="9" t="s">
        <v>465</v>
      </c>
    </row>
    <row r="142" ht="15.75" customHeight="1">
      <c r="A142" s="7" t="s">
        <v>466</v>
      </c>
      <c r="B142" s="9" t="s">
        <v>467</v>
      </c>
      <c r="C142" s="9" t="s">
        <v>17</v>
      </c>
      <c r="D142" s="9" t="s">
        <v>468</v>
      </c>
    </row>
    <row r="143" ht="15.75" customHeight="1">
      <c r="A143" s="7" t="s">
        <v>470</v>
      </c>
      <c r="B143" s="9" t="s">
        <v>471</v>
      </c>
      <c r="C143" s="9" t="s">
        <v>17</v>
      </c>
      <c r="D143" s="9" t="s">
        <v>472</v>
      </c>
    </row>
    <row r="144" ht="15.75" customHeight="1">
      <c r="A144" s="7" t="s">
        <v>473</v>
      </c>
      <c r="B144" s="9" t="s">
        <v>474</v>
      </c>
      <c r="C144" s="9" t="s">
        <v>12</v>
      </c>
      <c r="D144" s="9" t="s">
        <v>475</v>
      </c>
    </row>
    <row r="145" ht="15.75" customHeight="1">
      <c r="A145" s="7" t="s">
        <v>476</v>
      </c>
      <c r="B145" s="9" t="s">
        <v>477</v>
      </c>
      <c r="C145" s="9" t="s">
        <v>17</v>
      </c>
      <c r="D145" s="9" t="s">
        <v>478</v>
      </c>
    </row>
    <row r="146" ht="15.75" customHeight="1">
      <c r="A146" s="7" t="s">
        <v>479</v>
      </c>
      <c r="B146" s="9" t="s">
        <v>480</v>
      </c>
      <c r="C146" s="9" t="s">
        <v>17</v>
      </c>
      <c r="D146" s="9" t="s">
        <v>481</v>
      </c>
    </row>
    <row r="147" ht="15.75" customHeight="1">
      <c r="A147" s="7" t="s">
        <v>483</v>
      </c>
      <c r="B147" s="9" t="s">
        <v>484</v>
      </c>
      <c r="C147" s="9" t="s">
        <v>12</v>
      </c>
      <c r="D147" s="9" t="s">
        <v>485</v>
      </c>
    </row>
    <row r="148" ht="15.75" customHeight="1">
      <c r="A148" s="7" t="s">
        <v>486</v>
      </c>
      <c r="B148" s="9" t="s">
        <v>281</v>
      </c>
      <c r="C148" s="9" t="s">
        <v>17</v>
      </c>
      <c r="D148" s="9" t="s">
        <v>487</v>
      </c>
    </row>
    <row r="149" ht="15.75" customHeight="1">
      <c r="A149" s="7" t="s">
        <v>488</v>
      </c>
      <c r="B149" s="9" t="s">
        <v>489</v>
      </c>
      <c r="C149" s="9" t="s">
        <v>17</v>
      </c>
      <c r="D149" s="9" t="s">
        <v>490</v>
      </c>
    </row>
    <row r="150" ht="15.75" customHeight="1">
      <c r="A150" s="7" t="s">
        <v>491</v>
      </c>
      <c r="B150" s="9" t="s">
        <v>492</v>
      </c>
      <c r="C150" s="9" t="s">
        <v>17</v>
      </c>
      <c r="D150" s="9" t="s">
        <v>493</v>
      </c>
    </row>
    <row r="151" ht="15.75" customHeight="1">
      <c r="A151" s="7" t="s">
        <v>494</v>
      </c>
      <c r="B151" s="9" t="s">
        <v>495</v>
      </c>
      <c r="C151" s="9" t="s">
        <v>17</v>
      </c>
      <c r="D151" s="9" t="s">
        <v>496</v>
      </c>
    </row>
    <row r="152" ht="15.75" customHeight="1">
      <c r="A152" s="7" t="s">
        <v>498</v>
      </c>
      <c r="B152" s="9" t="s">
        <v>499</v>
      </c>
      <c r="C152" s="9" t="s">
        <v>12</v>
      </c>
      <c r="D152" s="9" t="s">
        <v>500</v>
      </c>
    </row>
    <row r="153" ht="15.75" customHeight="1">
      <c r="A153" s="7" t="s">
        <v>502</v>
      </c>
      <c r="B153" s="9" t="s">
        <v>503</v>
      </c>
      <c r="C153" s="9" t="s">
        <v>17</v>
      </c>
      <c r="D153" s="9" t="s">
        <v>487</v>
      </c>
    </row>
    <row r="154" ht="15.75" customHeight="1">
      <c r="A154" s="7" t="s">
        <v>504</v>
      </c>
      <c r="B154" s="9" t="s">
        <v>505</v>
      </c>
      <c r="C154" s="9" t="s">
        <v>17</v>
      </c>
      <c r="D154" s="9" t="s">
        <v>506</v>
      </c>
    </row>
    <row r="155" ht="15.75" customHeight="1">
      <c r="A155" s="7" t="s">
        <v>507</v>
      </c>
      <c r="B155" s="9" t="s">
        <v>508</v>
      </c>
      <c r="C155" s="9" t="s">
        <v>17</v>
      </c>
      <c r="D155" s="9" t="s">
        <v>509</v>
      </c>
    </row>
    <row r="156" ht="15.75" customHeight="1">
      <c r="A156" s="7" t="s">
        <v>510</v>
      </c>
      <c r="B156" s="9" t="s">
        <v>511</v>
      </c>
      <c r="C156" s="9" t="s">
        <v>17</v>
      </c>
      <c r="D156" s="9" t="s">
        <v>512</v>
      </c>
    </row>
    <row r="157" ht="15.75" customHeight="1">
      <c r="A157" s="7" t="s">
        <v>513</v>
      </c>
      <c r="B157" s="9" t="s">
        <v>514</v>
      </c>
      <c r="C157" s="9" t="s">
        <v>17</v>
      </c>
      <c r="D157" s="9" t="s">
        <v>516</v>
      </c>
    </row>
    <row r="158" ht="15.75" customHeight="1">
      <c r="A158" s="7" t="s">
        <v>518</v>
      </c>
      <c r="B158" s="9" t="s">
        <v>519</v>
      </c>
      <c r="C158" s="9" t="s">
        <v>17</v>
      </c>
      <c r="D158" s="9" t="s">
        <v>236</v>
      </c>
    </row>
    <row r="159" ht="15.75" customHeight="1">
      <c r="A159" s="7" t="s">
        <v>520</v>
      </c>
      <c r="B159" s="9" t="s">
        <v>521</v>
      </c>
      <c r="C159" s="9" t="s">
        <v>12</v>
      </c>
      <c r="D159" s="9" t="s">
        <v>522</v>
      </c>
    </row>
    <row r="160" ht="15.75" customHeight="1">
      <c r="A160" s="7" t="s">
        <v>523</v>
      </c>
      <c r="B160" s="9" t="s">
        <v>524</v>
      </c>
      <c r="C160" s="9" t="s">
        <v>12</v>
      </c>
      <c r="D160" s="9" t="s">
        <v>525</v>
      </c>
    </row>
    <row r="161" ht="15.75" customHeight="1">
      <c r="A161" s="7" t="s">
        <v>526</v>
      </c>
      <c r="B161" s="9" t="s">
        <v>527</v>
      </c>
      <c r="C161" s="9" t="s">
        <v>17</v>
      </c>
      <c r="D161" s="9" t="s">
        <v>528</v>
      </c>
    </row>
    <row r="162" ht="15.75" customHeight="1">
      <c r="A162" s="7" t="s">
        <v>529</v>
      </c>
      <c r="B162" s="9" t="s">
        <v>530</v>
      </c>
      <c r="C162" s="9" t="s">
        <v>17</v>
      </c>
      <c r="D162" s="9" t="s">
        <v>531</v>
      </c>
    </row>
    <row r="163" ht="15.75" customHeight="1">
      <c r="A163" s="7" t="s">
        <v>532</v>
      </c>
      <c r="B163" s="9" t="s">
        <v>533</v>
      </c>
      <c r="C163" s="9" t="s">
        <v>17</v>
      </c>
      <c r="D163" s="9" t="s">
        <v>534</v>
      </c>
    </row>
    <row r="164" ht="15.75" customHeight="1">
      <c r="A164" s="7" t="s">
        <v>536</v>
      </c>
      <c r="B164" s="9" t="s">
        <v>537</v>
      </c>
      <c r="C164" s="9" t="s">
        <v>17</v>
      </c>
      <c r="D164" s="9" t="s">
        <v>538</v>
      </c>
    </row>
    <row r="165" ht="15.75" customHeight="1">
      <c r="A165" s="7" t="s">
        <v>539</v>
      </c>
      <c r="B165" s="9" t="s">
        <v>540</v>
      </c>
      <c r="C165" s="9" t="s">
        <v>17</v>
      </c>
      <c r="D165" s="9" t="s">
        <v>541</v>
      </c>
    </row>
    <row r="166" ht="15.75" customHeight="1">
      <c r="A166" s="7" t="s">
        <v>542</v>
      </c>
      <c r="B166" s="9" t="s">
        <v>543</v>
      </c>
      <c r="C166" s="9" t="s">
        <v>12</v>
      </c>
      <c r="D166" s="9" t="s">
        <v>544</v>
      </c>
    </row>
    <row r="167" ht="15.75" customHeight="1">
      <c r="A167" s="7" t="s">
        <v>546</v>
      </c>
      <c r="B167" s="9" t="s">
        <v>547</v>
      </c>
      <c r="C167" s="9" t="s">
        <v>17</v>
      </c>
      <c r="D167" s="9" t="s">
        <v>548</v>
      </c>
    </row>
    <row r="168" ht="15.75" customHeight="1">
      <c r="A168" s="7" t="s">
        <v>549</v>
      </c>
      <c r="B168" s="9" t="s">
        <v>550</v>
      </c>
      <c r="C168" s="9" t="s">
        <v>12</v>
      </c>
      <c r="D168" s="9" t="s">
        <v>551</v>
      </c>
    </row>
    <row r="169" ht="15.75" customHeight="1">
      <c r="A169" s="7" t="s">
        <v>552</v>
      </c>
      <c r="B169" s="9" t="s">
        <v>553</v>
      </c>
      <c r="C169" s="9" t="s">
        <v>12</v>
      </c>
      <c r="D169" s="9" t="s">
        <v>554</v>
      </c>
    </row>
    <row r="170" ht="15.75" customHeight="1">
      <c r="A170" s="7" t="s">
        <v>555</v>
      </c>
      <c r="B170" s="9" t="s">
        <v>557</v>
      </c>
      <c r="C170" s="9" t="s">
        <v>17</v>
      </c>
      <c r="D170" s="9" t="s">
        <v>558</v>
      </c>
    </row>
    <row r="171" ht="15.75" customHeight="1">
      <c r="A171" s="7" t="s">
        <v>559</v>
      </c>
      <c r="B171" s="9" t="s">
        <v>560</v>
      </c>
      <c r="C171" s="9" t="s">
        <v>17</v>
      </c>
      <c r="D171" s="9" t="s">
        <v>561</v>
      </c>
    </row>
    <row r="172" ht="15.75" customHeight="1">
      <c r="A172" s="7" t="s">
        <v>562</v>
      </c>
      <c r="B172" s="9" t="s">
        <v>563</v>
      </c>
      <c r="C172" s="9" t="s">
        <v>12</v>
      </c>
      <c r="D172" s="9" t="s">
        <v>122</v>
      </c>
    </row>
    <row r="173" ht="15.75" customHeight="1">
      <c r="A173" s="7" t="s">
        <v>565</v>
      </c>
      <c r="B173" s="9" t="s">
        <v>566</v>
      </c>
      <c r="C173" s="9" t="s">
        <v>12</v>
      </c>
      <c r="D173" s="9" t="s">
        <v>567</v>
      </c>
    </row>
    <row r="174" ht="15.75" customHeight="1">
      <c r="A174" s="7" t="s">
        <v>568</v>
      </c>
      <c r="B174" s="9" t="s">
        <v>569</v>
      </c>
      <c r="C174" s="9" t="s">
        <v>17</v>
      </c>
      <c r="D174" s="9" t="s">
        <v>571</v>
      </c>
    </row>
    <row r="175" ht="15.75" customHeight="1">
      <c r="A175" s="7" t="s">
        <v>572</v>
      </c>
      <c r="B175" s="9" t="s">
        <v>573</v>
      </c>
      <c r="C175" s="9" t="s">
        <v>12</v>
      </c>
      <c r="D175" s="9" t="s">
        <v>369</v>
      </c>
    </row>
    <row r="176" ht="15.75" customHeight="1">
      <c r="A176" s="7" t="s">
        <v>575</v>
      </c>
      <c r="B176" s="9" t="s">
        <v>576</v>
      </c>
      <c r="C176" s="9" t="s">
        <v>17</v>
      </c>
      <c r="D176" s="9" t="s">
        <v>577</v>
      </c>
    </row>
    <row r="177" ht="15.75" customHeight="1">
      <c r="A177" s="7" t="s">
        <v>578</v>
      </c>
      <c r="B177" s="9" t="s">
        <v>579</v>
      </c>
      <c r="C177" s="9" t="s">
        <v>17</v>
      </c>
      <c r="D177" s="9" t="s">
        <v>93</v>
      </c>
    </row>
    <row r="178" ht="15.75" customHeight="1">
      <c r="A178" s="7" t="s">
        <v>580</v>
      </c>
      <c r="B178" s="9" t="s">
        <v>581</v>
      </c>
      <c r="C178" s="9" t="s">
        <v>12</v>
      </c>
      <c r="D178" s="9" t="s">
        <v>583</v>
      </c>
    </row>
    <row r="179" ht="15.75" customHeight="1">
      <c r="A179" s="7" t="s">
        <v>584</v>
      </c>
      <c r="B179" s="9" t="s">
        <v>585</v>
      </c>
      <c r="C179" s="9" t="s">
        <v>12</v>
      </c>
      <c r="D179" s="9" t="s">
        <v>586</v>
      </c>
    </row>
    <row r="180" ht="15.75" customHeight="1">
      <c r="A180" s="7" t="s">
        <v>587</v>
      </c>
      <c r="B180" s="9" t="s">
        <v>588</v>
      </c>
      <c r="C180" s="9" t="s">
        <v>12</v>
      </c>
      <c r="D180" s="9" t="s">
        <v>589</v>
      </c>
    </row>
    <row r="181" ht="15.75" customHeight="1">
      <c r="A181" s="7" t="s">
        <v>590</v>
      </c>
      <c r="B181" s="9" t="s">
        <v>591</v>
      </c>
      <c r="C181" s="9" t="s">
        <v>12</v>
      </c>
      <c r="D181" s="9" t="s">
        <v>592</v>
      </c>
    </row>
    <row r="182" ht="15.75" customHeight="1">
      <c r="A182" s="7" t="s">
        <v>594</v>
      </c>
      <c r="B182" s="9" t="s">
        <v>595</v>
      </c>
      <c r="C182" s="9" t="s">
        <v>12</v>
      </c>
      <c r="D182" s="9" t="s">
        <v>596</v>
      </c>
    </row>
    <row r="183" ht="15.75" customHeight="1">
      <c r="A183" s="7" t="s">
        <v>597</v>
      </c>
      <c r="B183" s="9" t="s">
        <v>598</v>
      </c>
      <c r="C183" s="9" t="s">
        <v>17</v>
      </c>
      <c r="D183" s="9" t="s">
        <v>599</v>
      </c>
    </row>
    <row r="184" ht="15.75" customHeight="1">
      <c r="A184" s="7" t="s">
        <v>600</v>
      </c>
      <c r="B184" s="9" t="s">
        <v>602</v>
      </c>
      <c r="C184" s="9" t="s">
        <v>17</v>
      </c>
      <c r="D184" s="9" t="s">
        <v>603</v>
      </c>
    </row>
    <row r="185" ht="15.75" customHeight="1">
      <c r="A185" s="7" t="s">
        <v>604</v>
      </c>
      <c r="B185" s="9" t="s">
        <v>605</v>
      </c>
      <c r="C185" s="9" t="s">
        <v>17</v>
      </c>
      <c r="D185" s="9" t="s">
        <v>606</v>
      </c>
    </row>
    <row r="186" ht="15.75" customHeight="1">
      <c r="A186" s="7" t="s">
        <v>607</v>
      </c>
      <c r="B186" s="9" t="s">
        <v>608</v>
      </c>
      <c r="C186" s="9" t="s">
        <v>17</v>
      </c>
      <c r="D186" s="9" t="s">
        <v>609</v>
      </c>
    </row>
    <row r="187" ht="15.75" customHeight="1">
      <c r="A187" s="7" t="s">
        <v>611</v>
      </c>
      <c r="B187" s="9" t="s">
        <v>612</v>
      </c>
      <c r="C187" s="9" t="s">
        <v>12</v>
      </c>
      <c r="D187" s="9" t="s">
        <v>613</v>
      </c>
    </row>
    <row r="188" ht="15.75" customHeight="1">
      <c r="A188" s="7" t="s">
        <v>614</v>
      </c>
      <c r="B188" s="9" t="s">
        <v>615</v>
      </c>
      <c r="C188" s="9" t="s">
        <v>17</v>
      </c>
      <c r="D188" s="9" t="s">
        <v>616</v>
      </c>
    </row>
    <row r="189" ht="15.75" customHeight="1">
      <c r="A189" s="7" t="s">
        <v>617</v>
      </c>
      <c r="B189" s="9" t="s">
        <v>618</v>
      </c>
      <c r="C189" s="9" t="s">
        <v>17</v>
      </c>
      <c r="D189" s="9" t="s">
        <v>620</v>
      </c>
    </row>
    <row r="190" ht="15.75" customHeight="1">
      <c r="A190" s="7" t="s">
        <v>621</v>
      </c>
      <c r="B190" s="9" t="s">
        <v>622</v>
      </c>
      <c r="C190" s="9" t="s">
        <v>12</v>
      </c>
      <c r="D190" s="9" t="s">
        <v>623</v>
      </c>
    </row>
    <row r="191" ht="15.75" customHeight="1">
      <c r="A191" s="7" t="s">
        <v>624</v>
      </c>
      <c r="B191" s="9" t="s">
        <v>625</v>
      </c>
      <c r="C191" s="9" t="s">
        <v>12</v>
      </c>
      <c r="D191" s="9" t="s">
        <v>626</v>
      </c>
    </row>
    <row r="192" ht="15.75" customHeight="1">
      <c r="A192" s="7" t="s">
        <v>628</v>
      </c>
      <c r="B192" s="9" t="s">
        <v>629</v>
      </c>
      <c r="C192" s="9" t="s">
        <v>17</v>
      </c>
      <c r="D192" s="9" t="s">
        <v>630</v>
      </c>
    </row>
    <row r="193" ht="15.75" customHeight="1">
      <c r="A193" s="7" t="s">
        <v>631</v>
      </c>
      <c r="B193" s="9" t="s">
        <v>632</v>
      </c>
      <c r="C193" s="9" t="s">
        <v>17</v>
      </c>
      <c r="D193" s="9" t="s">
        <v>633</v>
      </c>
    </row>
    <row r="194" ht="15.75" customHeight="1">
      <c r="A194" s="7" t="s">
        <v>634</v>
      </c>
      <c r="B194" s="9" t="s">
        <v>635</v>
      </c>
      <c r="C194" s="9" t="s">
        <v>12</v>
      </c>
      <c r="D194" s="9" t="s">
        <v>637</v>
      </c>
    </row>
    <row r="195" ht="15.75" customHeight="1">
      <c r="A195" s="7" t="s">
        <v>638</v>
      </c>
      <c r="B195" s="9" t="s">
        <v>639</v>
      </c>
      <c r="C195" s="9" t="s">
        <v>17</v>
      </c>
      <c r="D195" s="9" t="s">
        <v>640</v>
      </c>
    </row>
    <row r="196" ht="15.75" customHeight="1">
      <c r="A196" s="7" t="s">
        <v>641</v>
      </c>
      <c r="B196" s="9" t="s">
        <v>642</v>
      </c>
      <c r="C196" s="9" t="s">
        <v>17</v>
      </c>
      <c r="D196" s="9" t="s">
        <v>643</v>
      </c>
    </row>
    <row r="197" ht="15.75" customHeight="1">
      <c r="A197" s="7" t="s">
        <v>645</v>
      </c>
      <c r="B197" s="9" t="s">
        <v>646</v>
      </c>
      <c r="C197" s="9" t="s">
        <v>17</v>
      </c>
      <c r="D197" s="9" t="s">
        <v>647</v>
      </c>
    </row>
    <row r="198" ht="15.75" customHeight="1">
      <c r="A198" s="7" t="s">
        <v>649</v>
      </c>
      <c r="B198" s="9" t="s">
        <v>650</v>
      </c>
      <c r="C198" s="9" t="s">
        <v>17</v>
      </c>
      <c r="D198" s="9" t="s">
        <v>651</v>
      </c>
    </row>
    <row r="199" ht="15.75" customHeight="1">
      <c r="A199" s="7" t="s">
        <v>652</v>
      </c>
      <c r="B199" s="9" t="s">
        <v>653</v>
      </c>
      <c r="C199" s="9" t="s">
        <v>17</v>
      </c>
      <c r="D199" s="9" t="s">
        <v>472</v>
      </c>
    </row>
    <row r="200" ht="15.75" customHeight="1">
      <c r="A200" s="7" t="s">
        <v>654</v>
      </c>
      <c r="B200" s="9" t="s">
        <v>655</v>
      </c>
      <c r="C200" s="9" t="s">
        <v>12</v>
      </c>
      <c r="D200" s="9" t="s">
        <v>656</v>
      </c>
    </row>
    <row r="201" ht="15.75" customHeight="1">
      <c r="A201" s="7" t="s">
        <v>657</v>
      </c>
      <c r="B201" s="9" t="s">
        <v>658</v>
      </c>
      <c r="C201" s="9" t="s">
        <v>17</v>
      </c>
      <c r="D201" s="9" t="s">
        <v>462</v>
      </c>
    </row>
    <row r="202" ht="15.75" customHeight="1">
      <c r="A202" s="7" t="s">
        <v>660</v>
      </c>
      <c r="B202" s="9" t="s">
        <v>661</v>
      </c>
      <c r="C202" s="9" t="s">
        <v>17</v>
      </c>
      <c r="D202" s="9" t="s">
        <v>662</v>
      </c>
    </row>
    <row r="203" ht="15.75" customHeight="1">
      <c r="A203" s="7" t="s">
        <v>663</v>
      </c>
      <c r="B203" s="9" t="s">
        <v>664</v>
      </c>
      <c r="C203" s="9" t="s">
        <v>17</v>
      </c>
      <c r="D203" s="9" t="s">
        <v>665</v>
      </c>
    </row>
    <row r="204" ht="15.75" customHeight="1">
      <c r="A204" s="7" t="s">
        <v>666</v>
      </c>
      <c r="B204" s="9" t="s">
        <v>667</v>
      </c>
      <c r="C204" s="9" t="s">
        <v>17</v>
      </c>
      <c r="D204" s="9" t="s">
        <v>668</v>
      </c>
    </row>
    <row r="205" ht="15.75" customHeight="1">
      <c r="A205" s="7" t="s">
        <v>669</v>
      </c>
      <c r="B205" s="9" t="s">
        <v>670</v>
      </c>
      <c r="C205" s="9" t="s">
        <v>12</v>
      </c>
      <c r="D205" s="9" t="s">
        <v>304</v>
      </c>
    </row>
    <row r="206" ht="15.75" customHeight="1">
      <c r="A206" s="7" t="s">
        <v>671</v>
      </c>
      <c r="B206" s="9" t="s">
        <v>673</v>
      </c>
      <c r="C206" s="9" t="s">
        <v>17</v>
      </c>
      <c r="D206" s="9" t="s">
        <v>674</v>
      </c>
    </row>
    <row r="207" ht="15.75" customHeight="1">
      <c r="A207" s="7" t="s">
        <v>675</v>
      </c>
      <c r="B207" s="9" t="s">
        <v>676</v>
      </c>
      <c r="C207" s="9" t="s">
        <v>12</v>
      </c>
      <c r="D207" s="9" t="s">
        <v>677</v>
      </c>
    </row>
    <row r="208" ht="15.75" customHeight="1">
      <c r="A208" s="7" t="s">
        <v>678</v>
      </c>
      <c r="B208" s="9" t="s">
        <v>679</v>
      </c>
      <c r="C208" s="9" t="s">
        <v>12</v>
      </c>
      <c r="D208" s="9" t="s">
        <v>680</v>
      </c>
    </row>
    <row r="209" ht="15.75" customHeight="1">
      <c r="A209" s="7" t="s">
        <v>681</v>
      </c>
      <c r="B209" s="9" t="s">
        <v>682</v>
      </c>
      <c r="C209" s="9" t="s">
        <v>17</v>
      </c>
      <c r="D209" s="9" t="s">
        <v>683</v>
      </c>
    </row>
    <row r="210" ht="15.75" customHeight="1">
      <c r="A210" s="7" t="s">
        <v>684</v>
      </c>
      <c r="B210" s="9" t="s">
        <v>686</v>
      </c>
      <c r="C210" s="9" t="s">
        <v>12</v>
      </c>
      <c r="D210" s="9" t="s">
        <v>687</v>
      </c>
    </row>
    <row r="211" ht="15.75" customHeight="1">
      <c r="A211" s="7" t="s">
        <v>688</v>
      </c>
      <c r="B211" s="9" t="s">
        <v>689</v>
      </c>
      <c r="C211" s="9" t="s">
        <v>12</v>
      </c>
      <c r="D211" s="9" t="s">
        <v>690</v>
      </c>
    </row>
    <row r="212" ht="15.75" customHeight="1">
      <c r="A212" s="7" t="s">
        <v>691</v>
      </c>
      <c r="B212" s="9" t="s">
        <v>692</v>
      </c>
      <c r="C212" s="9" t="s">
        <v>17</v>
      </c>
      <c r="D212" s="9" t="s">
        <v>693</v>
      </c>
    </row>
    <row r="213" ht="15.75" customHeight="1">
      <c r="A213" s="7" t="s">
        <v>694</v>
      </c>
      <c r="B213" s="9" t="s">
        <v>695</v>
      </c>
      <c r="C213" s="9" t="s">
        <v>17</v>
      </c>
      <c r="D213" s="9" t="s">
        <v>696</v>
      </c>
    </row>
    <row r="214" ht="15.75" customHeight="1">
      <c r="A214" s="7" t="s">
        <v>697</v>
      </c>
      <c r="B214" s="9" t="s">
        <v>699</v>
      </c>
      <c r="C214" s="9" t="s">
        <v>17</v>
      </c>
      <c r="D214" s="9" t="s">
        <v>700</v>
      </c>
    </row>
    <row r="215" ht="15.75" customHeight="1">
      <c r="A215" s="7" t="s">
        <v>701</v>
      </c>
      <c r="B215" s="9" t="s">
        <v>702</v>
      </c>
      <c r="C215" s="9" t="s">
        <v>17</v>
      </c>
      <c r="D215" s="9" t="s">
        <v>18</v>
      </c>
    </row>
    <row r="216" ht="15.75" customHeight="1">
      <c r="A216" s="7" t="s">
        <v>703</v>
      </c>
      <c r="B216" s="9" t="s">
        <v>704</v>
      </c>
      <c r="C216" s="9" t="s">
        <v>12</v>
      </c>
      <c r="D216" s="9" t="s">
        <v>334</v>
      </c>
    </row>
    <row r="217" ht="15.75" customHeight="1">
      <c r="A217" s="7" t="s">
        <v>705</v>
      </c>
      <c r="B217" s="9" t="s">
        <v>706</v>
      </c>
      <c r="C217" s="9" t="s">
        <v>17</v>
      </c>
      <c r="D217" s="9" t="s">
        <v>708</v>
      </c>
    </row>
    <row r="218" ht="15.75" customHeight="1">
      <c r="A218" s="7" t="s">
        <v>709</v>
      </c>
      <c r="B218" s="9" t="s">
        <v>710</v>
      </c>
      <c r="C218" s="9" t="s">
        <v>17</v>
      </c>
      <c r="D218" s="9" t="s">
        <v>190</v>
      </c>
    </row>
    <row r="219" ht="15.75" customHeight="1">
      <c r="A219" s="7" t="s">
        <v>711</v>
      </c>
      <c r="B219" s="9" t="s">
        <v>712</v>
      </c>
      <c r="C219" s="9" t="s">
        <v>17</v>
      </c>
      <c r="D219" s="9" t="s">
        <v>291</v>
      </c>
    </row>
    <row r="220" ht="15.75" customHeight="1">
      <c r="A220" s="7" t="s">
        <v>713</v>
      </c>
      <c r="B220" s="9" t="s">
        <v>715</v>
      </c>
      <c r="C220" s="9" t="s">
        <v>17</v>
      </c>
      <c r="D220" s="9" t="s">
        <v>716</v>
      </c>
    </row>
    <row r="221" ht="15.75" customHeight="1">
      <c r="A221" s="7" t="s">
        <v>717</v>
      </c>
      <c r="B221" s="9" t="s">
        <v>281</v>
      </c>
      <c r="C221" s="9" t="s">
        <v>17</v>
      </c>
      <c r="D221" s="9" t="s">
        <v>718</v>
      </c>
    </row>
    <row r="222" ht="15.75" customHeight="1">
      <c r="A222" s="7" t="s">
        <v>719</v>
      </c>
      <c r="B222" s="9" t="s">
        <v>720</v>
      </c>
      <c r="C222" s="9" t="s">
        <v>12</v>
      </c>
      <c r="D222" s="9" t="s">
        <v>721</v>
      </c>
    </row>
    <row r="223" ht="15.75" customHeight="1">
      <c r="A223" s="7" t="s">
        <v>722</v>
      </c>
      <c r="B223" s="9" t="s">
        <v>723</v>
      </c>
      <c r="C223" s="9" t="s">
        <v>17</v>
      </c>
      <c r="D223" s="9" t="s">
        <v>725</v>
      </c>
    </row>
    <row r="224" ht="15.75" customHeight="1">
      <c r="A224" s="7" t="s">
        <v>726</v>
      </c>
      <c r="B224" s="9" t="s">
        <v>728</v>
      </c>
      <c r="C224" s="9" t="s">
        <v>17</v>
      </c>
      <c r="D224" s="9" t="s">
        <v>729</v>
      </c>
    </row>
    <row r="225" ht="15.75" customHeight="1">
      <c r="A225" s="7" t="s">
        <v>730</v>
      </c>
      <c r="B225" s="9" t="s">
        <v>731</v>
      </c>
      <c r="C225" s="9" t="s">
        <v>12</v>
      </c>
      <c r="D225" s="9" t="s">
        <v>732</v>
      </c>
    </row>
    <row r="226" ht="15.75" customHeight="1">
      <c r="A226" s="7" t="s">
        <v>733</v>
      </c>
      <c r="B226" s="9" t="s">
        <v>734</v>
      </c>
      <c r="C226" s="9" t="s">
        <v>12</v>
      </c>
      <c r="D226" s="9" t="s">
        <v>279</v>
      </c>
    </row>
    <row r="227" ht="15.75" customHeight="1">
      <c r="A227" s="7" t="s">
        <v>735</v>
      </c>
      <c r="B227" s="9" t="s">
        <v>229</v>
      </c>
      <c r="C227" s="9" t="s">
        <v>17</v>
      </c>
      <c r="D227" s="9" t="s">
        <v>736</v>
      </c>
    </row>
    <row r="228" ht="15.75" customHeight="1">
      <c r="A228" s="7" t="s">
        <v>738</v>
      </c>
      <c r="B228" s="9" t="s">
        <v>739</v>
      </c>
      <c r="C228" s="9" t="s">
        <v>12</v>
      </c>
      <c r="D228" s="9" t="s">
        <v>740</v>
      </c>
    </row>
    <row r="229" ht="15.75" customHeight="1">
      <c r="A229" s="7" t="s">
        <v>741</v>
      </c>
      <c r="B229" s="9" t="s">
        <v>742</v>
      </c>
      <c r="C229" s="9" t="s">
        <v>17</v>
      </c>
      <c r="D229" s="9" t="s">
        <v>743</v>
      </c>
    </row>
    <row r="230" ht="15.75" customHeight="1">
      <c r="A230" s="7" t="s">
        <v>744</v>
      </c>
      <c r="B230" s="9" t="s">
        <v>745</v>
      </c>
      <c r="C230" s="9" t="s">
        <v>12</v>
      </c>
      <c r="D230" s="9" t="s">
        <v>746</v>
      </c>
    </row>
    <row r="231" ht="15.75" customHeight="1">
      <c r="A231" s="7" t="s">
        <v>747</v>
      </c>
      <c r="B231" s="9" t="s">
        <v>748</v>
      </c>
      <c r="C231" s="9" t="s">
        <v>12</v>
      </c>
      <c r="D231" s="9" t="s">
        <v>749</v>
      </c>
    </row>
    <row r="232" ht="15.75" customHeight="1">
      <c r="A232" s="7" t="s">
        <v>751</v>
      </c>
      <c r="B232" s="9" t="s">
        <v>752</v>
      </c>
      <c r="C232" s="9" t="s">
        <v>17</v>
      </c>
      <c r="D232" s="9" t="s">
        <v>753</v>
      </c>
    </row>
    <row r="233" ht="15.75" customHeight="1">
      <c r="A233" s="7" t="s">
        <v>754</v>
      </c>
      <c r="B233" s="9" t="s">
        <v>755</v>
      </c>
      <c r="C233" s="9" t="s">
        <v>17</v>
      </c>
      <c r="D233" s="9" t="s">
        <v>756</v>
      </c>
    </row>
    <row r="234" ht="15.75" customHeight="1">
      <c r="A234" s="7" t="s">
        <v>757</v>
      </c>
      <c r="B234" s="9" t="s">
        <v>758</v>
      </c>
      <c r="C234" s="9" t="s">
        <v>17</v>
      </c>
      <c r="D234" s="9" t="s">
        <v>759</v>
      </c>
    </row>
    <row r="235" ht="15.75" customHeight="1">
      <c r="A235" s="7" t="s">
        <v>760</v>
      </c>
      <c r="B235" s="9" t="s">
        <v>762</v>
      </c>
      <c r="C235" s="9" t="s">
        <v>17</v>
      </c>
      <c r="D235" s="9" t="s">
        <v>763</v>
      </c>
    </row>
    <row r="236" ht="15.75" customHeight="1">
      <c r="A236" s="7" t="s">
        <v>764</v>
      </c>
      <c r="B236" s="9" t="s">
        <v>444</v>
      </c>
      <c r="C236" s="9" t="s">
        <v>17</v>
      </c>
      <c r="D236" s="9" t="s">
        <v>743</v>
      </c>
    </row>
    <row r="237" ht="15.75" customHeight="1">
      <c r="A237" s="7" t="s">
        <v>765</v>
      </c>
      <c r="B237" s="9" t="s">
        <v>766</v>
      </c>
      <c r="C237" s="9" t="s">
        <v>12</v>
      </c>
      <c r="D237" s="9" t="s">
        <v>767</v>
      </c>
    </row>
    <row r="238" ht="15.75" customHeight="1">
      <c r="A238" s="7" t="s">
        <v>768</v>
      </c>
      <c r="B238" s="9" t="s">
        <v>769</v>
      </c>
      <c r="C238" s="9" t="s">
        <v>17</v>
      </c>
      <c r="D238" s="9" t="s">
        <v>770</v>
      </c>
    </row>
    <row r="239" ht="15.75" customHeight="1">
      <c r="A239" s="7" t="s">
        <v>771</v>
      </c>
      <c r="B239" s="9" t="s">
        <v>772</v>
      </c>
      <c r="C239" s="9" t="s">
        <v>17</v>
      </c>
      <c r="D239" s="9" t="s">
        <v>773</v>
      </c>
    </row>
    <row r="240" ht="15.75" customHeight="1">
      <c r="A240" s="7" t="s">
        <v>774</v>
      </c>
      <c r="B240" s="9" t="s">
        <v>775</v>
      </c>
      <c r="C240" s="9" t="s">
        <v>12</v>
      </c>
      <c r="D240" s="9" t="s">
        <v>776</v>
      </c>
    </row>
    <row r="241" ht="15.75" customHeight="1">
      <c r="A241" s="7" t="s">
        <v>778</v>
      </c>
      <c r="B241" s="9" t="s">
        <v>779</v>
      </c>
      <c r="C241" s="9" t="s">
        <v>12</v>
      </c>
      <c r="D241" s="9" t="s">
        <v>780</v>
      </c>
    </row>
    <row r="242" ht="15.75" customHeight="1">
      <c r="A242" s="7" t="s">
        <v>781</v>
      </c>
      <c r="B242" s="9" t="s">
        <v>782</v>
      </c>
      <c r="C242" s="9" t="s">
        <v>17</v>
      </c>
      <c r="D242" s="9" t="s">
        <v>783</v>
      </c>
    </row>
    <row r="243" ht="15.75" customHeight="1">
      <c r="A243" s="7" t="s">
        <v>784</v>
      </c>
      <c r="B243" s="9" t="s">
        <v>785</v>
      </c>
      <c r="C243" s="9" t="s">
        <v>17</v>
      </c>
      <c r="D243" s="9" t="s">
        <v>786</v>
      </c>
    </row>
    <row r="244" ht="15.75" customHeight="1">
      <c r="A244" s="7" t="s">
        <v>787</v>
      </c>
      <c r="B244" s="9" t="s">
        <v>788</v>
      </c>
      <c r="C244" s="9" t="s">
        <v>17</v>
      </c>
      <c r="D244" s="9" t="s">
        <v>789</v>
      </c>
    </row>
    <row r="245" ht="15.75" customHeight="1">
      <c r="A245" s="7" t="s">
        <v>790</v>
      </c>
      <c r="B245" s="9" t="s">
        <v>791</v>
      </c>
      <c r="C245" s="9" t="s">
        <v>17</v>
      </c>
      <c r="D245" s="9" t="s">
        <v>792</v>
      </c>
    </row>
    <row r="246" ht="15.75" customHeight="1">
      <c r="A246" s="7" t="s">
        <v>793</v>
      </c>
      <c r="B246" s="9" t="s">
        <v>794</v>
      </c>
      <c r="C246" s="9" t="s">
        <v>17</v>
      </c>
      <c r="D246" s="9" t="s">
        <v>795</v>
      </c>
    </row>
    <row r="247" ht="15.75" customHeight="1">
      <c r="A247" s="7" t="s">
        <v>796</v>
      </c>
      <c r="B247" s="9" t="s">
        <v>797</v>
      </c>
      <c r="C247" s="9" t="s">
        <v>17</v>
      </c>
      <c r="D247" s="9" t="s">
        <v>798</v>
      </c>
    </row>
    <row r="248" ht="15.75" customHeight="1">
      <c r="A248" s="7" t="s">
        <v>799</v>
      </c>
      <c r="B248" s="9" t="s">
        <v>800</v>
      </c>
      <c r="C248" s="9" t="s">
        <v>12</v>
      </c>
      <c r="D248" s="9" t="s">
        <v>801</v>
      </c>
    </row>
    <row r="249" ht="15.75" customHeight="1">
      <c r="A249" s="7" t="s">
        <v>802</v>
      </c>
      <c r="B249" s="9" t="s">
        <v>803</v>
      </c>
      <c r="C249" s="9" t="s">
        <v>12</v>
      </c>
      <c r="D249" s="9" t="s">
        <v>804</v>
      </c>
    </row>
    <row r="250" ht="15.75" customHeight="1">
      <c r="A250" s="7" t="s">
        <v>805</v>
      </c>
      <c r="B250" s="9" t="s">
        <v>806</v>
      </c>
      <c r="C250" s="9" t="s">
        <v>12</v>
      </c>
      <c r="D250" s="9" t="s">
        <v>807</v>
      </c>
    </row>
    <row r="251" ht="15.75" customHeight="1">
      <c r="A251" s="7" t="s">
        <v>808</v>
      </c>
      <c r="B251" s="9" t="s">
        <v>809</v>
      </c>
      <c r="C251" s="9" t="s">
        <v>12</v>
      </c>
      <c r="D251" s="9" t="s">
        <v>810</v>
      </c>
    </row>
    <row r="252" ht="15.75" customHeight="1">
      <c r="A252" s="7" t="s">
        <v>811</v>
      </c>
      <c r="B252" s="9" t="s">
        <v>812</v>
      </c>
      <c r="C252" s="9" t="s">
        <v>12</v>
      </c>
      <c r="D252" s="9" t="s">
        <v>813</v>
      </c>
    </row>
    <row r="253" ht="15.75" customHeight="1">
      <c r="A253" s="7" t="s">
        <v>814</v>
      </c>
      <c r="B253" s="9" t="s">
        <v>815</v>
      </c>
      <c r="C253" s="9" t="s">
        <v>12</v>
      </c>
      <c r="D253" s="9" t="s">
        <v>13</v>
      </c>
    </row>
    <row r="254" ht="15.75" customHeight="1">
      <c r="A254" s="7" t="s">
        <v>816</v>
      </c>
      <c r="B254" s="9" t="s">
        <v>817</v>
      </c>
      <c r="C254" s="9" t="s">
        <v>12</v>
      </c>
      <c r="D254" s="9" t="s">
        <v>818</v>
      </c>
    </row>
    <row r="255" ht="15.75" customHeight="1">
      <c r="A255" s="7" t="s">
        <v>819</v>
      </c>
      <c r="B255" s="9" t="s">
        <v>820</v>
      </c>
      <c r="C255" s="9" t="s">
        <v>17</v>
      </c>
      <c r="D255" s="9" t="s">
        <v>190</v>
      </c>
    </row>
    <row r="256" ht="15.75" customHeight="1">
      <c r="A256" s="7" t="s">
        <v>821</v>
      </c>
      <c r="B256" s="9" t="s">
        <v>822</v>
      </c>
      <c r="C256" s="9" t="s">
        <v>17</v>
      </c>
      <c r="D256" s="9" t="s">
        <v>823</v>
      </c>
    </row>
    <row r="257" ht="15.75" customHeight="1">
      <c r="A257" s="7" t="s">
        <v>824</v>
      </c>
      <c r="B257" s="9" t="s">
        <v>825</v>
      </c>
      <c r="C257" s="9" t="s">
        <v>17</v>
      </c>
      <c r="D257" s="9" t="s">
        <v>826</v>
      </c>
    </row>
    <row r="258" ht="15.75" customHeight="1">
      <c r="A258" s="7" t="s">
        <v>827</v>
      </c>
      <c r="B258" s="9" t="s">
        <v>828</v>
      </c>
      <c r="C258" s="9" t="s">
        <v>17</v>
      </c>
      <c r="D258" s="9" t="s">
        <v>830</v>
      </c>
    </row>
    <row r="259" ht="15.75" customHeight="1">
      <c r="A259" s="7" t="s">
        <v>831</v>
      </c>
      <c r="B259" s="9" t="s">
        <v>832</v>
      </c>
      <c r="C259" s="9" t="s">
        <v>17</v>
      </c>
      <c r="D259" s="9" t="s">
        <v>833</v>
      </c>
    </row>
    <row r="260" ht="15.75" customHeight="1">
      <c r="A260" s="7" t="s">
        <v>834</v>
      </c>
      <c r="B260" s="9" t="s">
        <v>835</v>
      </c>
      <c r="C260" s="9" t="s">
        <v>17</v>
      </c>
      <c r="D260" s="9" t="s">
        <v>836</v>
      </c>
    </row>
    <row r="261" ht="15.75" customHeight="1">
      <c r="A261" s="7" t="s">
        <v>837</v>
      </c>
      <c r="B261" s="9" t="s">
        <v>838</v>
      </c>
      <c r="C261" s="9" t="s">
        <v>12</v>
      </c>
      <c r="D261" s="9" t="s">
        <v>839</v>
      </c>
    </row>
    <row r="262" ht="15.75" customHeight="1">
      <c r="A262" s="7" t="s">
        <v>840</v>
      </c>
      <c r="B262" s="9" t="s">
        <v>841</v>
      </c>
      <c r="C262" s="9" t="s">
        <v>17</v>
      </c>
      <c r="D262" s="9" t="s">
        <v>843</v>
      </c>
    </row>
    <row r="263" ht="15.75" customHeight="1">
      <c r="A263" s="7" t="s">
        <v>844</v>
      </c>
      <c r="B263" s="9" t="s">
        <v>845</v>
      </c>
      <c r="C263" s="9" t="s">
        <v>12</v>
      </c>
      <c r="D263" s="9" t="s">
        <v>846</v>
      </c>
    </row>
    <row r="264" ht="15.75" customHeight="1">
      <c r="A264" s="7" t="s">
        <v>847</v>
      </c>
      <c r="B264" s="9" t="s">
        <v>848</v>
      </c>
      <c r="C264" s="9" t="s">
        <v>17</v>
      </c>
      <c r="D264" s="9" t="s">
        <v>849</v>
      </c>
    </row>
    <row r="265" ht="15.75" customHeight="1">
      <c r="A265" s="7" t="s">
        <v>850</v>
      </c>
      <c r="B265" s="9" t="s">
        <v>854</v>
      </c>
      <c r="C265" s="9" t="s">
        <v>12</v>
      </c>
      <c r="D265" s="9" t="s">
        <v>855</v>
      </c>
    </row>
    <row r="266" ht="15.75" customHeight="1">
      <c r="A266" s="7" t="s">
        <v>856</v>
      </c>
      <c r="B266" s="9" t="s">
        <v>857</v>
      </c>
      <c r="C266" s="9" t="s">
        <v>12</v>
      </c>
      <c r="D266" s="9" t="s">
        <v>858</v>
      </c>
    </row>
    <row r="267" ht="15.75" customHeight="1">
      <c r="A267" s="7" t="s">
        <v>859</v>
      </c>
      <c r="B267" s="9" t="s">
        <v>860</v>
      </c>
      <c r="C267" s="9" t="s">
        <v>17</v>
      </c>
      <c r="D267" s="9" t="s">
        <v>729</v>
      </c>
    </row>
    <row r="268" ht="15.75" customHeight="1">
      <c r="A268" s="7" t="s">
        <v>861</v>
      </c>
      <c r="B268" s="9" t="s">
        <v>862</v>
      </c>
      <c r="C268" s="9" t="s">
        <v>12</v>
      </c>
      <c r="D268" s="9" t="s">
        <v>863</v>
      </c>
    </row>
    <row r="269" ht="15.75" customHeight="1">
      <c r="A269" s="7" t="s">
        <v>864</v>
      </c>
      <c r="B269" s="9" t="s">
        <v>625</v>
      </c>
      <c r="C269" s="9" t="s">
        <v>12</v>
      </c>
      <c r="D269" s="9" t="s">
        <v>865</v>
      </c>
    </row>
    <row r="270" ht="15.75" customHeight="1">
      <c r="A270" s="7" t="s">
        <v>867</v>
      </c>
      <c r="B270" s="9" t="s">
        <v>868</v>
      </c>
      <c r="C270" s="9" t="s">
        <v>17</v>
      </c>
      <c r="D270" s="9" t="s">
        <v>111</v>
      </c>
    </row>
    <row r="271" ht="15.75" customHeight="1">
      <c r="A271" s="7" t="s">
        <v>869</v>
      </c>
      <c r="B271" s="9" t="s">
        <v>870</v>
      </c>
      <c r="C271" s="9" t="s">
        <v>17</v>
      </c>
      <c r="D271" s="9" t="s">
        <v>871</v>
      </c>
    </row>
    <row r="272" ht="15.75" customHeight="1">
      <c r="A272" s="7" t="s">
        <v>872</v>
      </c>
      <c r="B272" s="9" t="s">
        <v>873</v>
      </c>
      <c r="C272" s="9" t="s">
        <v>17</v>
      </c>
      <c r="D272" s="9" t="s">
        <v>874</v>
      </c>
    </row>
    <row r="273" ht="15.75" customHeight="1">
      <c r="A273" s="7" t="s">
        <v>875</v>
      </c>
      <c r="B273" s="9" t="s">
        <v>876</v>
      </c>
      <c r="C273" s="9" t="s">
        <v>17</v>
      </c>
      <c r="D273" s="9" t="s">
        <v>43</v>
      </c>
    </row>
    <row r="274" ht="15.75" customHeight="1">
      <c r="A274" s="7" t="s">
        <v>878</v>
      </c>
      <c r="B274" s="9" t="s">
        <v>879</v>
      </c>
      <c r="C274" s="9" t="s">
        <v>17</v>
      </c>
      <c r="D274" s="9" t="s">
        <v>880</v>
      </c>
    </row>
    <row r="275" ht="15.75" customHeight="1">
      <c r="A275" s="7" t="s">
        <v>881</v>
      </c>
      <c r="B275" s="9" t="s">
        <v>882</v>
      </c>
      <c r="C275" s="9" t="s">
        <v>17</v>
      </c>
      <c r="D275" s="9" t="s">
        <v>883</v>
      </c>
    </row>
    <row r="276" ht="15.75" customHeight="1">
      <c r="A276" s="7" t="s">
        <v>884</v>
      </c>
      <c r="B276" s="9" t="s">
        <v>885</v>
      </c>
      <c r="C276" s="9" t="s">
        <v>17</v>
      </c>
      <c r="D276" s="9" t="s">
        <v>886</v>
      </c>
    </row>
    <row r="277" ht="15.75" customHeight="1">
      <c r="A277" s="7" t="s">
        <v>888</v>
      </c>
      <c r="B277" s="9" t="s">
        <v>889</v>
      </c>
      <c r="C277" s="9" t="s">
        <v>17</v>
      </c>
      <c r="D277" s="9" t="s">
        <v>674</v>
      </c>
    </row>
    <row r="278" ht="15.75" customHeight="1">
      <c r="A278" s="7" t="s">
        <v>890</v>
      </c>
      <c r="B278" s="9" t="s">
        <v>891</v>
      </c>
      <c r="C278" s="9" t="s">
        <v>17</v>
      </c>
      <c r="D278" s="9" t="s">
        <v>892</v>
      </c>
    </row>
    <row r="279" ht="15.75" customHeight="1">
      <c r="A279" s="7" t="s">
        <v>893</v>
      </c>
      <c r="B279" s="9" t="s">
        <v>895</v>
      </c>
      <c r="C279" s="9" t="s">
        <v>17</v>
      </c>
      <c r="D279" s="9" t="s">
        <v>896</v>
      </c>
    </row>
    <row r="280" ht="15.75" customHeight="1">
      <c r="A280" s="7" t="s">
        <v>897</v>
      </c>
      <c r="B280" s="9" t="s">
        <v>595</v>
      </c>
      <c r="C280" s="9" t="s">
        <v>12</v>
      </c>
      <c r="D280" s="9" t="s">
        <v>898</v>
      </c>
    </row>
    <row r="281" ht="15.75" customHeight="1">
      <c r="A281" s="7" t="s">
        <v>899</v>
      </c>
      <c r="B281" s="9" t="s">
        <v>900</v>
      </c>
      <c r="C281" s="9" t="s">
        <v>17</v>
      </c>
      <c r="D281" s="9" t="s">
        <v>901</v>
      </c>
    </row>
    <row r="282" ht="15.75" customHeight="1">
      <c r="A282" s="7" t="s">
        <v>903</v>
      </c>
      <c r="B282" s="9" t="s">
        <v>904</v>
      </c>
      <c r="C282" s="9" t="s">
        <v>12</v>
      </c>
      <c r="D282" s="9" t="s">
        <v>905</v>
      </c>
    </row>
    <row r="283" ht="15.75" customHeight="1">
      <c r="A283" s="7" t="s">
        <v>906</v>
      </c>
      <c r="B283" s="9" t="s">
        <v>322</v>
      </c>
      <c r="C283" s="9" t="s">
        <v>17</v>
      </c>
      <c r="D283" s="9" t="s">
        <v>907</v>
      </c>
    </row>
    <row r="284" ht="15.75" customHeight="1">
      <c r="A284" s="7" t="s">
        <v>908</v>
      </c>
      <c r="B284" s="9" t="s">
        <v>910</v>
      </c>
      <c r="C284" s="9" t="s">
        <v>17</v>
      </c>
      <c r="D284" s="9" t="s">
        <v>911</v>
      </c>
    </row>
    <row r="285" ht="15.75" customHeight="1">
      <c r="A285" s="7" t="s">
        <v>912</v>
      </c>
      <c r="B285" s="9" t="s">
        <v>913</v>
      </c>
      <c r="C285" s="9" t="s">
        <v>17</v>
      </c>
      <c r="D285" s="9" t="s">
        <v>914</v>
      </c>
    </row>
    <row r="286" ht="15.75" customHeight="1">
      <c r="A286" s="7" t="s">
        <v>915</v>
      </c>
      <c r="B286" s="9" t="s">
        <v>916</v>
      </c>
      <c r="C286" s="9" t="s">
        <v>17</v>
      </c>
      <c r="D286" s="9" t="s">
        <v>917</v>
      </c>
    </row>
    <row r="287" ht="15.75" customHeight="1">
      <c r="A287" s="7" t="s">
        <v>918</v>
      </c>
      <c r="B287" s="9" t="s">
        <v>919</v>
      </c>
      <c r="C287" s="9" t="s">
        <v>12</v>
      </c>
      <c r="D287" s="9" t="s">
        <v>920</v>
      </c>
    </row>
    <row r="288" ht="15.75" customHeight="1">
      <c r="A288" s="7" t="s">
        <v>922</v>
      </c>
      <c r="B288" s="9" t="s">
        <v>923</v>
      </c>
      <c r="C288" s="9" t="s">
        <v>12</v>
      </c>
      <c r="D288" s="9" t="s">
        <v>924</v>
      </c>
    </row>
    <row r="289" ht="15.75" customHeight="1">
      <c r="A289" s="7" t="s">
        <v>925</v>
      </c>
      <c r="B289" s="9" t="s">
        <v>926</v>
      </c>
      <c r="C289" s="9" t="s">
        <v>17</v>
      </c>
      <c r="D289" s="9" t="s">
        <v>674</v>
      </c>
    </row>
    <row r="290" ht="15.75" customHeight="1">
      <c r="A290" s="7" t="s">
        <v>927</v>
      </c>
      <c r="B290" s="9" t="s">
        <v>928</v>
      </c>
      <c r="C290" s="9" t="s">
        <v>17</v>
      </c>
      <c r="D290" s="9" t="s">
        <v>246</v>
      </c>
    </row>
    <row r="291" ht="15.75" customHeight="1">
      <c r="A291" s="7" t="s">
        <v>930</v>
      </c>
      <c r="B291" s="9" t="s">
        <v>931</v>
      </c>
      <c r="C291" s="9" t="s">
        <v>17</v>
      </c>
      <c r="D291" s="9" t="s">
        <v>736</v>
      </c>
    </row>
    <row r="292" ht="15.75" customHeight="1">
      <c r="A292" s="7" t="s">
        <v>932</v>
      </c>
      <c r="B292" s="9" t="s">
        <v>933</v>
      </c>
      <c r="C292" s="9" t="s">
        <v>17</v>
      </c>
      <c r="D292" s="9" t="s">
        <v>934</v>
      </c>
    </row>
    <row r="293" ht="15.75" customHeight="1">
      <c r="A293" s="7" t="s">
        <v>935</v>
      </c>
      <c r="B293" s="9" t="s">
        <v>936</v>
      </c>
      <c r="C293" s="9" t="s">
        <v>17</v>
      </c>
      <c r="D293" s="9" t="s">
        <v>937</v>
      </c>
    </row>
    <row r="294" ht="15.75" customHeight="1">
      <c r="A294" s="7" t="s">
        <v>939</v>
      </c>
      <c r="B294" s="9" t="s">
        <v>940</v>
      </c>
      <c r="C294" s="9" t="s">
        <v>17</v>
      </c>
      <c r="D294" s="9" t="s">
        <v>941</v>
      </c>
    </row>
    <row r="295" ht="15.75" customHeight="1">
      <c r="A295" s="7" t="s">
        <v>942</v>
      </c>
      <c r="B295" s="9" t="s">
        <v>943</v>
      </c>
      <c r="C295" s="9" t="s">
        <v>12</v>
      </c>
      <c r="D295" s="9" t="s">
        <v>944</v>
      </c>
    </row>
    <row r="296" ht="15.75" customHeight="1">
      <c r="A296" s="7" t="s">
        <v>945</v>
      </c>
      <c r="B296" s="9" t="s">
        <v>946</v>
      </c>
      <c r="C296" s="9" t="s">
        <v>17</v>
      </c>
      <c r="D296" s="9" t="s">
        <v>947</v>
      </c>
    </row>
    <row r="297" ht="15.75" customHeight="1">
      <c r="A297" s="7" t="s">
        <v>949</v>
      </c>
      <c r="B297" s="9" t="s">
        <v>950</v>
      </c>
      <c r="C297" s="9" t="s">
        <v>17</v>
      </c>
      <c r="D297" s="9" t="s">
        <v>951</v>
      </c>
    </row>
    <row r="298" ht="15.75" customHeight="1">
      <c r="A298" s="7" t="s">
        <v>952</v>
      </c>
      <c r="B298" s="9" t="s">
        <v>953</v>
      </c>
      <c r="C298" s="9" t="s">
        <v>17</v>
      </c>
      <c r="D298" s="9" t="s">
        <v>954</v>
      </c>
    </row>
    <row r="299" ht="15.75" customHeight="1">
      <c r="A299" s="7" t="s">
        <v>955</v>
      </c>
      <c r="B299" s="9" t="s">
        <v>956</v>
      </c>
      <c r="C299" s="9" t="s">
        <v>12</v>
      </c>
      <c r="D299" s="9" t="s">
        <v>958</v>
      </c>
    </row>
    <row r="300" ht="15.75" customHeight="1">
      <c r="A300" s="7" t="s">
        <v>959</v>
      </c>
      <c r="B300" s="9" t="s">
        <v>960</v>
      </c>
      <c r="C300" s="9" t="s">
        <v>17</v>
      </c>
      <c r="D300" s="9" t="s">
        <v>961</v>
      </c>
    </row>
    <row r="301" ht="15.75" customHeight="1">
      <c r="A301" s="7" t="s">
        <v>962</v>
      </c>
      <c r="B301" s="9" t="s">
        <v>963</v>
      </c>
      <c r="C301" s="9" t="s">
        <v>12</v>
      </c>
      <c r="D301" s="9" t="s">
        <v>964</v>
      </c>
    </row>
    <row r="302" ht="15.75" customHeight="1">
      <c r="A302" s="7" t="s">
        <v>965</v>
      </c>
      <c r="B302" s="9" t="s">
        <v>788</v>
      </c>
      <c r="C302" s="9" t="s">
        <v>17</v>
      </c>
      <c r="D302" s="9" t="s">
        <v>967</v>
      </c>
    </row>
    <row r="303" ht="15.75" customHeight="1">
      <c r="A303" s="7" t="s">
        <v>968</v>
      </c>
      <c r="B303" s="9" t="s">
        <v>807</v>
      </c>
      <c r="C303" s="9" t="s">
        <v>12</v>
      </c>
      <c r="D303" s="9" t="s">
        <v>288</v>
      </c>
    </row>
    <row r="304" ht="15.75" customHeight="1">
      <c r="A304" s="7" t="s">
        <v>969</v>
      </c>
      <c r="B304" s="9" t="s">
        <v>970</v>
      </c>
      <c r="C304" s="9" t="s">
        <v>17</v>
      </c>
      <c r="D304" s="9" t="s">
        <v>972</v>
      </c>
    </row>
    <row r="305" ht="15.75" customHeight="1">
      <c r="A305" s="7" t="s">
        <v>973</v>
      </c>
      <c r="B305" s="9" t="s">
        <v>974</v>
      </c>
      <c r="C305" s="9" t="s">
        <v>12</v>
      </c>
      <c r="D305" s="9" t="s">
        <v>975</v>
      </c>
    </row>
    <row r="306" ht="15.75" customHeight="1">
      <c r="A306" s="7" t="s">
        <v>976</v>
      </c>
      <c r="B306" s="9" t="s">
        <v>977</v>
      </c>
      <c r="C306" s="9" t="s">
        <v>12</v>
      </c>
      <c r="D306" s="9" t="s">
        <v>978</v>
      </c>
    </row>
    <row r="307" ht="15.75" customHeight="1">
      <c r="A307" s="7" t="s">
        <v>979</v>
      </c>
      <c r="B307" s="9" t="s">
        <v>779</v>
      </c>
      <c r="C307" s="9" t="s">
        <v>12</v>
      </c>
      <c r="D307" s="9" t="s">
        <v>981</v>
      </c>
    </row>
    <row r="308" ht="15.75" customHeight="1">
      <c r="A308" s="7" t="s">
        <v>982</v>
      </c>
      <c r="B308" s="9" t="s">
        <v>983</v>
      </c>
      <c r="C308" s="9" t="s">
        <v>12</v>
      </c>
      <c r="D308" s="9" t="s">
        <v>233</v>
      </c>
    </row>
    <row r="309" ht="15.75" customHeight="1">
      <c r="A309" s="7" t="s">
        <v>984</v>
      </c>
      <c r="B309" s="9" t="s">
        <v>985</v>
      </c>
      <c r="C309" s="9" t="s">
        <v>17</v>
      </c>
      <c r="D309" s="9" t="s">
        <v>986</v>
      </c>
    </row>
    <row r="310" ht="15.75" customHeight="1">
      <c r="A310" s="7" t="s">
        <v>987</v>
      </c>
      <c r="B310" s="9" t="s">
        <v>988</v>
      </c>
      <c r="C310" s="9" t="s">
        <v>12</v>
      </c>
      <c r="D310" s="9" t="s">
        <v>989</v>
      </c>
    </row>
    <row r="311" ht="15.75" customHeight="1">
      <c r="A311" s="7" t="s">
        <v>991</v>
      </c>
      <c r="B311" s="9" t="s">
        <v>992</v>
      </c>
      <c r="C311" s="9" t="s">
        <v>12</v>
      </c>
      <c r="D311" s="9" t="s">
        <v>993</v>
      </c>
    </row>
    <row r="312" ht="15.75" customHeight="1">
      <c r="A312" s="7" t="s">
        <v>994</v>
      </c>
      <c r="B312" s="9" t="s">
        <v>249</v>
      </c>
      <c r="C312" s="9" t="s">
        <v>17</v>
      </c>
      <c r="D312" s="9" t="s">
        <v>995</v>
      </c>
    </row>
    <row r="313" ht="15.75" customHeight="1">
      <c r="A313" s="7" t="s">
        <v>996</v>
      </c>
      <c r="B313" s="9" t="s">
        <v>997</v>
      </c>
      <c r="C313" s="9" t="s">
        <v>17</v>
      </c>
      <c r="D313" s="9" t="s">
        <v>998</v>
      </c>
    </row>
    <row r="314" ht="15.75" customHeight="1">
      <c r="A314" s="7" t="s">
        <v>999</v>
      </c>
      <c r="B314" s="9" t="s">
        <v>1000</v>
      </c>
      <c r="C314" s="9" t="s">
        <v>17</v>
      </c>
      <c r="D314" s="9" t="s">
        <v>1002</v>
      </c>
    </row>
    <row r="315" ht="15.75" customHeight="1">
      <c r="A315" s="7" t="s">
        <v>1003</v>
      </c>
      <c r="B315" s="9" t="s">
        <v>1004</v>
      </c>
      <c r="C315" s="9" t="s">
        <v>12</v>
      </c>
      <c r="D315" s="9" t="s">
        <v>1005</v>
      </c>
    </row>
    <row r="316" ht="15.75" customHeight="1">
      <c r="A316" s="7" t="s">
        <v>1006</v>
      </c>
      <c r="B316" s="9" t="s">
        <v>1007</v>
      </c>
      <c r="C316" s="9" t="s">
        <v>12</v>
      </c>
      <c r="D316" s="9" t="s">
        <v>1008</v>
      </c>
    </row>
    <row r="317" ht="15.75" customHeight="1">
      <c r="A317" s="7" t="s">
        <v>1009</v>
      </c>
      <c r="B317" s="9" t="s">
        <v>1010</v>
      </c>
      <c r="C317" s="9" t="s">
        <v>17</v>
      </c>
      <c r="D317" s="9" t="s">
        <v>577</v>
      </c>
    </row>
    <row r="318" ht="15.75" customHeight="1">
      <c r="A318" s="7" t="s">
        <v>1012</v>
      </c>
      <c r="B318" s="9" t="s">
        <v>1013</v>
      </c>
      <c r="C318" s="9" t="s">
        <v>17</v>
      </c>
      <c r="D318" s="9" t="s">
        <v>93</v>
      </c>
    </row>
    <row r="319" ht="15.75" customHeight="1">
      <c r="A319" s="7" t="s">
        <v>1014</v>
      </c>
      <c r="B319" s="9" t="s">
        <v>1015</v>
      </c>
      <c r="C319" s="9" t="s">
        <v>17</v>
      </c>
      <c r="D319" s="9" t="s">
        <v>1016</v>
      </c>
    </row>
    <row r="320" ht="15.75" customHeight="1">
      <c r="A320" s="7" t="s">
        <v>1017</v>
      </c>
      <c r="B320" s="9" t="s">
        <v>1019</v>
      </c>
      <c r="C320" s="9" t="s">
        <v>17</v>
      </c>
      <c r="D320" s="9" t="s">
        <v>1020</v>
      </c>
    </row>
    <row r="321" ht="15.75" customHeight="1">
      <c r="A321" s="7" t="s">
        <v>1021</v>
      </c>
      <c r="B321" s="9" t="s">
        <v>1022</v>
      </c>
      <c r="C321" s="9" t="s">
        <v>12</v>
      </c>
      <c r="D321" s="9" t="s">
        <v>1023</v>
      </c>
    </row>
    <row r="322" ht="15.75" customHeight="1">
      <c r="A322" s="7" t="s">
        <v>1024</v>
      </c>
      <c r="B322" s="9" t="s">
        <v>1025</v>
      </c>
      <c r="C322" s="9" t="s">
        <v>12</v>
      </c>
      <c r="D322" s="9" t="s">
        <v>1026</v>
      </c>
    </row>
    <row r="323" ht="15.75" customHeight="1">
      <c r="A323" s="7" t="s">
        <v>1028</v>
      </c>
      <c r="B323" s="9" t="s">
        <v>1029</v>
      </c>
      <c r="C323" s="9" t="s">
        <v>17</v>
      </c>
      <c r="D323" s="9" t="s">
        <v>1030</v>
      </c>
    </row>
    <row r="324" ht="15.75" customHeight="1">
      <c r="A324" s="7" t="s">
        <v>1031</v>
      </c>
      <c r="B324" s="9" t="s">
        <v>910</v>
      </c>
      <c r="C324" s="9" t="s">
        <v>17</v>
      </c>
      <c r="D324" s="9" t="s">
        <v>1032</v>
      </c>
    </row>
    <row r="325" ht="15.75" customHeight="1">
      <c r="A325" s="7" t="s">
        <v>1033</v>
      </c>
      <c r="B325" s="9" t="s">
        <v>1034</v>
      </c>
      <c r="C325" s="9" t="s">
        <v>17</v>
      </c>
      <c r="D325" s="9" t="s">
        <v>509</v>
      </c>
    </row>
    <row r="326" ht="15.75" customHeight="1">
      <c r="A326" s="7" t="s">
        <v>1036</v>
      </c>
      <c r="B326" s="9" t="s">
        <v>1037</v>
      </c>
      <c r="C326" s="9" t="s">
        <v>12</v>
      </c>
      <c r="D326" s="9" t="s">
        <v>1038</v>
      </c>
    </row>
    <row r="327" ht="15.75" customHeight="1">
      <c r="A327" s="7" t="s">
        <v>1039</v>
      </c>
      <c r="B327" s="9" t="s">
        <v>1040</v>
      </c>
      <c r="C327" s="9" t="s">
        <v>17</v>
      </c>
      <c r="D327" s="9" t="s">
        <v>1042</v>
      </c>
    </row>
    <row r="328" ht="15.75" customHeight="1">
      <c r="A328" s="7" t="s">
        <v>1043</v>
      </c>
      <c r="B328" s="9" t="s">
        <v>1044</v>
      </c>
      <c r="C328" s="9" t="s">
        <v>17</v>
      </c>
      <c r="D328" s="9" t="s">
        <v>753</v>
      </c>
    </row>
    <row r="329" ht="15.75" customHeight="1">
      <c r="A329" s="7" t="s">
        <v>1046</v>
      </c>
      <c r="B329" s="9" t="s">
        <v>1047</v>
      </c>
      <c r="C329" s="9" t="s">
        <v>17</v>
      </c>
      <c r="D329" s="9" t="s">
        <v>1048</v>
      </c>
    </row>
    <row r="330" ht="15.75" customHeight="1">
      <c r="A330" s="7" t="s">
        <v>1049</v>
      </c>
      <c r="B330" s="9" t="s">
        <v>1050</v>
      </c>
      <c r="C330" s="9" t="s">
        <v>17</v>
      </c>
      <c r="D330" s="9" t="s">
        <v>736</v>
      </c>
    </row>
    <row r="331" ht="15.75" customHeight="1">
      <c r="A331" s="7" t="s">
        <v>1051</v>
      </c>
      <c r="B331" s="9" t="s">
        <v>1052</v>
      </c>
      <c r="C331" s="9" t="s">
        <v>17</v>
      </c>
      <c r="D331" s="9" t="s">
        <v>1054</v>
      </c>
    </row>
    <row r="332" ht="15.75" customHeight="1">
      <c r="A332" s="7" t="s">
        <v>1055</v>
      </c>
      <c r="B332" s="9" t="s">
        <v>1056</v>
      </c>
      <c r="C332" s="9" t="s">
        <v>17</v>
      </c>
      <c r="D332" s="9" t="s">
        <v>1057</v>
      </c>
    </row>
    <row r="333" ht="15.75" customHeight="1">
      <c r="A333" s="7" t="s">
        <v>1058</v>
      </c>
      <c r="B333" s="9" t="s">
        <v>1059</v>
      </c>
      <c r="C333" s="9" t="s">
        <v>17</v>
      </c>
      <c r="D333" s="9" t="s">
        <v>1020</v>
      </c>
    </row>
    <row r="334" ht="15.75" customHeight="1">
      <c r="A334" s="7" t="s">
        <v>1061</v>
      </c>
      <c r="B334" s="9" t="s">
        <v>1062</v>
      </c>
      <c r="C334" s="9" t="s">
        <v>12</v>
      </c>
      <c r="D334" s="9" t="s">
        <v>1063</v>
      </c>
    </row>
    <row r="335" ht="15.75" customHeight="1">
      <c r="A335" s="7" t="s">
        <v>1064</v>
      </c>
      <c r="B335" s="9" t="s">
        <v>1066</v>
      </c>
      <c r="C335" s="9" t="s">
        <v>17</v>
      </c>
      <c r="D335" s="9" t="s">
        <v>1067</v>
      </c>
    </row>
    <row r="336" ht="15.75" customHeight="1">
      <c r="A336" s="7" t="s">
        <v>1068</v>
      </c>
      <c r="B336" s="9" t="s">
        <v>166</v>
      </c>
      <c r="C336" s="9" t="s">
        <v>12</v>
      </c>
      <c r="D336" s="9" t="s">
        <v>1069</v>
      </c>
    </row>
    <row r="337" ht="15.75" customHeight="1">
      <c r="A337" s="7" t="s">
        <v>1071</v>
      </c>
      <c r="B337" s="9" t="s">
        <v>1072</v>
      </c>
      <c r="C337" s="9" t="s">
        <v>17</v>
      </c>
      <c r="D337" s="9" t="s">
        <v>1073</v>
      </c>
    </row>
    <row r="338" ht="15.75" customHeight="1">
      <c r="A338" s="7" t="s">
        <v>1075</v>
      </c>
      <c r="B338" s="9" t="s">
        <v>1076</v>
      </c>
      <c r="C338" s="9" t="s">
        <v>12</v>
      </c>
      <c r="D338" s="9" t="s">
        <v>1077</v>
      </c>
    </row>
    <row r="339" ht="15.75" customHeight="1">
      <c r="A339" s="7" t="s">
        <v>1078</v>
      </c>
      <c r="B339" s="9" t="s">
        <v>307</v>
      </c>
      <c r="C339" s="9" t="s">
        <v>12</v>
      </c>
      <c r="D339" s="9" t="s">
        <v>1080</v>
      </c>
    </row>
    <row r="340" ht="15.75" customHeight="1">
      <c r="A340" s="7" t="s">
        <v>1081</v>
      </c>
      <c r="B340" s="9" t="s">
        <v>1082</v>
      </c>
      <c r="C340" s="9" t="s">
        <v>17</v>
      </c>
      <c r="D340" s="9" t="s">
        <v>541</v>
      </c>
    </row>
    <row r="341" ht="15.75" customHeight="1">
      <c r="A341" s="7" t="s">
        <v>1084</v>
      </c>
      <c r="B341" s="9" t="s">
        <v>1085</v>
      </c>
      <c r="C341" s="9" t="s">
        <v>12</v>
      </c>
      <c r="D341" s="9" t="s">
        <v>1086</v>
      </c>
    </row>
    <row r="342" ht="15.75" customHeight="1">
      <c r="A342" s="7" t="s">
        <v>1087</v>
      </c>
      <c r="B342" s="9" t="s">
        <v>1088</v>
      </c>
      <c r="C342" s="9" t="s">
        <v>12</v>
      </c>
      <c r="D342" s="9" t="s">
        <v>1090</v>
      </c>
    </row>
    <row r="343" ht="15.75" customHeight="1">
      <c r="A343" s="7" t="s">
        <v>1091</v>
      </c>
      <c r="B343" s="9" t="s">
        <v>1092</v>
      </c>
      <c r="C343" s="9" t="s">
        <v>12</v>
      </c>
      <c r="D343" s="9" t="s">
        <v>1093</v>
      </c>
    </row>
    <row r="344" ht="15.75" customHeight="1">
      <c r="A344" s="7" t="s">
        <v>1095</v>
      </c>
      <c r="B344" s="9" t="s">
        <v>1096</v>
      </c>
      <c r="C344" s="9" t="s">
        <v>12</v>
      </c>
      <c r="D344" s="9" t="s">
        <v>334</v>
      </c>
    </row>
    <row r="345" ht="15.75" customHeight="1">
      <c r="A345" s="7" t="s">
        <v>1097</v>
      </c>
      <c r="B345" s="9" t="s">
        <v>1098</v>
      </c>
      <c r="C345" s="9" t="s">
        <v>17</v>
      </c>
      <c r="D345" s="9" t="s">
        <v>1100</v>
      </c>
    </row>
    <row r="346" ht="15.75" customHeight="1">
      <c r="A346" s="7" t="s">
        <v>1101</v>
      </c>
      <c r="B346" s="9" t="s">
        <v>1102</v>
      </c>
      <c r="C346" s="9" t="s">
        <v>12</v>
      </c>
      <c r="D346" s="9" t="s">
        <v>1103</v>
      </c>
    </row>
    <row r="347" ht="15.75" customHeight="1">
      <c r="A347" s="7" t="s">
        <v>1104</v>
      </c>
      <c r="B347" s="9" t="s">
        <v>1105</v>
      </c>
      <c r="C347" s="9" t="s">
        <v>17</v>
      </c>
      <c r="D347" s="9" t="s">
        <v>190</v>
      </c>
    </row>
    <row r="348" ht="15.75" customHeight="1">
      <c r="A348" s="7" t="s">
        <v>1107</v>
      </c>
      <c r="B348" s="9" t="s">
        <v>1108</v>
      </c>
      <c r="C348" s="9" t="s">
        <v>12</v>
      </c>
      <c r="D348" s="9" t="s">
        <v>1109</v>
      </c>
    </row>
    <row r="349" ht="15.75" customHeight="1">
      <c r="A349" s="7" t="s">
        <v>1110</v>
      </c>
      <c r="B349" s="9" t="s">
        <v>1111</v>
      </c>
      <c r="C349" s="9" t="s">
        <v>12</v>
      </c>
      <c r="D349" s="9" t="s">
        <v>1113</v>
      </c>
    </row>
    <row r="350" ht="15.75" customHeight="1">
      <c r="A350" s="7" t="s">
        <v>1114</v>
      </c>
      <c r="B350" s="9" t="s">
        <v>1115</v>
      </c>
      <c r="C350" s="9" t="s">
        <v>17</v>
      </c>
      <c r="D350" s="9" t="s">
        <v>1116</v>
      </c>
    </row>
    <row r="351" ht="15.75" customHeight="1">
      <c r="A351" s="7" t="s">
        <v>1118</v>
      </c>
      <c r="B351" s="9" t="s">
        <v>1119</v>
      </c>
      <c r="C351" s="9" t="s">
        <v>12</v>
      </c>
      <c r="D351" s="9" t="s">
        <v>1120</v>
      </c>
    </row>
    <row r="352" ht="15.75" customHeight="1">
      <c r="A352" s="7" t="s">
        <v>1121</v>
      </c>
      <c r="B352" s="9" t="s">
        <v>1122</v>
      </c>
      <c r="C352" s="9" t="s">
        <v>17</v>
      </c>
      <c r="D352" s="9" t="s">
        <v>1124</v>
      </c>
    </row>
    <row r="353" ht="15.75" customHeight="1">
      <c r="A353" s="7" t="s">
        <v>1125</v>
      </c>
      <c r="B353" s="9" t="s">
        <v>1126</v>
      </c>
      <c r="C353" s="9" t="s">
        <v>12</v>
      </c>
      <c r="D353" s="9" t="s">
        <v>1127</v>
      </c>
    </row>
    <row r="354" ht="15.75" customHeight="1">
      <c r="A354" s="7" t="s">
        <v>1129</v>
      </c>
      <c r="B354" s="9" t="s">
        <v>281</v>
      </c>
      <c r="C354" s="9" t="s">
        <v>17</v>
      </c>
      <c r="D354" s="9" t="s">
        <v>1130</v>
      </c>
    </row>
    <row r="355" ht="15.75" customHeight="1">
      <c r="A355" s="7" t="s">
        <v>1132</v>
      </c>
      <c r="B355" s="9" t="s">
        <v>1133</v>
      </c>
      <c r="C355" s="9" t="s">
        <v>12</v>
      </c>
      <c r="D355" s="9" t="s">
        <v>1134</v>
      </c>
    </row>
    <row r="356" ht="15.75" customHeight="1">
      <c r="A356" s="7" t="s">
        <v>1135</v>
      </c>
      <c r="B356" s="9" t="s">
        <v>1137</v>
      </c>
      <c r="C356" s="9" t="s">
        <v>12</v>
      </c>
      <c r="D356" s="9" t="s">
        <v>1138</v>
      </c>
    </row>
    <row r="357" ht="15.75" customHeight="1">
      <c r="A357" s="7" t="s">
        <v>1139</v>
      </c>
      <c r="B357" s="9" t="s">
        <v>1140</v>
      </c>
      <c r="C357" s="9" t="s">
        <v>12</v>
      </c>
      <c r="D357" s="9" t="s">
        <v>1141</v>
      </c>
    </row>
    <row r="358" ht="15.75" customHeight="1">
      <c r="A358" s="7" t="s">
        <v>1143</v>
      </c>
      <c r="B358" s="9" t="s">
        <v>1144</v>
      </c>
      <c r="C358" s="9" t="s">
        <v>17</v>
      </c>
      <c r="D358" s="9" t="s">
        <v>1145</v>
      </c>
    </row>
    <row r="359" ht="15.75" customHeight="1">
      <c r="A359" s="7" t="s">
        <v>1146</v>
      </c>
      <c r="B359" s="9" t="s">
        <v>1148</v>
      </c>
      <c r="C359" s="9" t="s">
        <v>17</v>
      </c>
      <c r="D359" s="9" t="s">
        <v>1149</v>
      </c>
    </row>
    <row r="360" ht="15.75" customHeight="1">
      <c r="A360" s="7" t="s">
        <v>1150</v>
      </c>
      <c r="B360" s="9" t="s">
        <v>1151</v>
      </c>
      <c r="C360" s="9" t="s">
        <v>17</v>
      </c>
      <c r="D360" s="9" t="s">
        <v>1152</v>
      </c>
    </row>
    <row r="361" ht="15.75" customHeight="1">
      <c r="A361" s="7" t="s">
        <v>1153</v>
      </c>
      <c r="B361" s="9" t="s">
        <v>622</v>
      </c>
      <c r="C361" s="9" t="s">
        <v>17</v>
      </c>
      <c r="D361" s="9" t="s">
        <v>1155</v>
      </c>
    </row>
    <row r="362" ht="15.75" customHeight="1">
      <c r="A362" s="7" t="s">
        <v>1156</v>
      </c>
      <c r="B362" s="9" t="s">
        <v>1157</v>
      </c>
      <c r="C362" s="9" t="s">
        <v>17</v>
      </c>
      <c r="D362" s="9" t="s">
        <v>1158</v>
      </c>
    </row>
    <row r="363" ht="15.75" customHeight="1">
      <c r="A363" s="7" t="s">
        <v>1160</v>
      </c>
      <c r="B363" s="9" t="s">
        <v>1161</v>
      </c>
      <c r="C363" s="9" t="s">
        <v>17</v>
      </c>
      <c r="D363" s="9" t="s">
        <v>236</v>
      </c>
    </row>
    <row r="364" ht="15.75" customHeight="1">
      <c r="A364" s="7" t="s">
        <v>1162</v>
      </c>
      <c r="B364" s="9" t="s">
        <v>1163</v>
      </c>
      <c r="C364" s="9" t="s">
        <v>17</v>
      </c>
      <c r="D364" s="9" t="s">
        <v>1164</v>
      </c>
    </row>
    <row r="365" ht="15.75" customHeight="1">
      <c r="A365" s="7" t="s">
        <v>1166</v>
      </c>
      <c r="B365" s="9" t="s">
        <v>1167</v>
      </c>
      <c r="C365" s="9" t="s">
        <v>12</v>
      </c>
      <c r="D365" s="9" t="s">
        <v>1168</v>
      </c>
    </row>
    <row r="366" ht="15.75" customHeight="1">
      <c r="A366" s="7" t="s">
        <v>1169</v>
      </c>
      <c r="B366" s="9" t="s">
        <v>1170</v>
      </c>
      <c r="C366" s="9" t="s">
        <v>12</v>
      </c>
      <c r="D366" s="9" t="s">
        <v>1172</v>
      </c>
    </row>
    <row r="367" ht="15.75" customHeight="1">
      <c r="A367" s="7" t="s">
        <v>1173</v>
      </c>
      <c r="B367" s="9" t="s">
        <v>1175</v>
      </c>
      <c r="C367" s="9" t="s">
        <v>17</v>
      </c>
      <c r="D367" s="9" t="s">
        <v>1176</v>
      </c>
    </row>
    <row r="368" ht="15.75" customHeight="1">
      <c r="A368" s="7" t="s">
        <v>1177</v>
      </c>
      <c r="B368" s="9" t="s">
        <v>1178</v>
      </c>
      <c r="C368" s="9" t="s">
        <v>17</v>
      </c>
      <c r="D368" s="9" t="s">
        <v>1179</v>
      </c>
    </row>
    <row r="369" ht="15.75" customHeight="1">
      <c r="A369" s="7" t="s">
        <v>1181</v>
      </c>
      <c r="B369" s="9" t="s">
        <v>1182</v>
      </c>
      <c r="C369" s="9" t="s">
        <v>12</v>
      </c>
      <c r="D369" s="9" t="s">
        <v>1183</v>
      </c>
    </row>
    <row r="370" ht="15.75" customHeight="1">
      <c r="A370" s="7" t="s">
        <v>1184</v>
      </c>
      <c r="B370" s="9" t="s">
        <v>1186</v>
      </c>
      <c r="C370" s="9" t="s">
        <v>17</v>
      </c>
      <c r="D370" s="9" t="s">
        <v>1187</v>
      </c>
    </row>
    <row r="371" ht="15.75" customHeight="1">
      <c r="A371" s="7" t="s">
        <v>1188</v>
      </c>
      <c r="B371" s="9" t="s">
        <v>1189</v>
      </c>
      <c r="C371" s="9" t="s">
        <v>17</v>
      </c>
      <c r="D371" s="9" t="s">
        <v>1190</v>
      </c>
    </row>
    <row r="372" ht="15.75" customHeight="1">
      <c r="A372" s="7" t="s">
        <v>1192</v>
      </c>
      <c r="B372" s="9" t="s">
        <v>1193</v>
      </c>
      <c r="C372" s="9" t="s">
        <v>12</v>
      </c>
      <c r="D372" s="9" t="s">
        <v>1194</v>
      </c>
    </row>
    <row r="373" ht="15.75" customHeight="1">
      <c r="A373" s="7" t="s">
        <v>1196</v>
      </c>
      <c r="B373" s="9" t="s">
        <v>1197</v>
      </c>
      <c r="C373" s="9" t="s">
        <v>17</v>
      </c>
      <c r="D373" s="9" t="s">
        <v>1198</v>
      </c>
    </row>
    <row r="374" ht="15.75" customHeight="1">
      <c r="A374" s="7" t="s">
        <v>1199</v>
      </c>
      <c r="B374" s="9" t="s">
        <v>1201</v>
      </c>
      <c r="C374" s="9" t="s">
        <v>12</v>
      </c>
      <c r="D374" s="9" t="s">
        <v>1202</v>
      </c>
    </row>
    <row r="375" ht="15.75" customHeight="1">
      <c r="A375" s="7" t="s">
        <v>1203</v>
      </c>
      <c r="B375" s="9" t="s">
        <v>1204</v>
      </c>
      <c r="C375" s="9" t="s">
        <v>12</v>
      </c>
      <c r="D375" s="9" t="s">
        <v>920</v>
      </c>
    </row>
    <row r="376" ht="15.75" customHeight="1">
      <c r="A376" s="7" t="s">
        <v>1206</v>
      </c>
      <c r="B376" s="9" t="s">
        <v>1207</v>
      </c>
      <c r="C376" s="9" t="s">
        <v>12</v>
      </c>
      <c r="D376" s="9" t="s">
        <v>1209</v>
      </c>
    </row>
    <row r="377" ht="15.75" customHeight="1">
      <c r="A377" s="7" t="s">
        <v>1210</v>
      </c>
      <c r="B377" s="9" t="s">
        <v>1211</v>
      </c>
      <c r="C377" s="9" t="s">
        <v>17</v>
      </c>
      <c r="D377" s="9" t="s">
        <v>1212</v>
      </c>
    </row>
    <row r="378" ht="15.75" customHeight="1">
      <c r="A378" s="7" t="s">
        <v>1213</v>
      </c>
      <c r="B378" s="9" t="s">
        <v>1214</v>
      </c>
      <c r="C378" s="9" t="s">
        <v>17</v>
      </c>
      <c r="D378" s="9" t="s">
        <v>509</v>
      </c>
    </row>
    <row r="379" ht="15.75" customHeight="1">
      <c r="A379" s="7" t="s">
        <v>1216</v>
      </c>
      <c r="B379" s="9" t="s">
        <v>1217</v>
      </c>
      <c r="C379" s="9" t="s">
        <v>12</v>
      </c>
      <c r="D379" s="9" t="s">
        <v>1218</v>
      </c>
    </row>
    <row r="380" ht="15.75" customHeight="1">
      <c r="A380" s="7" t="s">
        <v>1220</v>
      </c>
      <c r="B380" s="9" t="s">
        <v>1221</v>
      </c>
      <c r="C380" s="9" t="s">
        <v>12</v>
      </c>
      <c r="D380" s="9" t="s">
        <v>637</v>
      </c>
    </row>
    <row r="381" ht="15.75" customHeight="1">
      <c r="A381" s="7" t="s">
        <v>1223</v>
      </c>
      <c r="B381" s="9" t="s">
        <v>1224</v>
      </c>
      <c r="C381" s="9" t="s">
        <v>17</v>
      </c>
      <c r="D381" s="9" t="s">
        <v>1225</v>
      </c>
    </row>
    <row r="382" ht="15.75" customHeight="1">
      <c r="A382" s="7" t="s">
        <v>1226</v>
      </c>
      <c r="B382" s="9" t="s">
        <v>1227</v>
      </c>
      <c r="C382" s="9" t="s">
        <v>12</v>
      </c>
      <c r="D382" s="9" t="s">
        <v>1228</v>
      </c>
    </row>
    <row r="383" ht="15.75" customHeight="1">
      <c r="A383" s="7" t="s">
        <v>1229</v>
      </c>
      <c r="B383" s="9" t="s">
        <v>1231</v>
      </c>
      <c r="C383" s="9" t="s">
        <v>17</v>
      </c>
      <c r="D383" s="9" t="s">
        <v>39</v>
      </c>
    </row>
    <row r="384" ht="15.75" customHeight="1">
      <c r="A384" s="7" t="s">
        <v>1232</v>
      </c>
      <c r="B384" s="9" t="s">
        <v>1233</v>
      </c>
      <c r="C384" s="9" t="s">
        <v>17</v>
      </c>
      <c r="D384" s="9" t="s">
        <v>759</v>
      </c>
    </row>
    <row r="385" ht="15.75" customHeight="1">
      <c r="A385" s="7" t="s">
        <v>1235</v>
      </c>
      <c r="B385" s="9" t="s">
        <v>1236</v>
      </c>
      <c r="C385" s="9" t="s">
        <v>12</v>
      </c>
      <c r="D385" s="9" t="s">
        <v>268</v>
      </c>
    </row>
    <row r="386" ht="15.75" customHeight="1">
      <c r="A386" s="7" t="s">
        <v>1238</v>
      </c>
      <c r="B386" s="9" t="s">
        <v>1239</v>
      </c>
      <c r="C386" s="9" t="s">
        <v>17</v>
      </c>
      <c r="D386" s="9" t="s">
        <v>1240</v>
      </c>
    </row>
    <row r="387" ht="15.75" customHeight="1">
      <c r="A387" s="7" t="s">
        <v>1242</v>
      </c>
      <c r="B387" s="9" t="s">
        <v>1243</v>
      </c>
      <c r="C387" s="9" t="s">
        <v>17</v>
      </c>
      <c r="D387" s="9" t="s">
        <v>1244</v>
      </c>
    </row>
    <row r="388" ht="15.75" customHeight="1">
      <c r="A388" s="7" t="s">
        <v>1245</v>
      </c>
      <c r="B388" s="9" t="s">
        <v>1247</v>
      </c>
      <c r="C388" s="9" t="s">
        <v>12</v>
      </c>
      <c r="D388" s="9" t="s">
        <v>1248</v>
      </c>
    </row>
    <row r="389" ht="15.75" customHeight="1">
      <c r="A389" s="7" t="s">
        <v>1249</v>
      </c>
      <c r="B389" s="9" t="s">
        <v>1251</v>
      </c>
      <c r="C389" s="9" t="s">
        <v>17</v>
      </c>
      <c r="D389" s="9" t="s">
        <v>1252</v>
      </c>
    </row>
    <row r="390" ht="15.75" customHeight="1">
      <c r="A390" s="7" t="s">
        <v>1253</v>
      </c>
      <c r="B390" s="9" t="s">
        <v>1254</v>
      </c>
      <c r="C390" s="9" t="s">
        <v>12</v>
      </c>
      <c r="D390" s="9" t="s">
        <v>993</v>
      </c>
    </row>
    <row r="391" ht="15.75" customHeight="1">
      <c r="A391" s="7" t="s">
        <v>1256</v>
      </c>
      <c r="B391" s="9" t="s">
        <v>1257</v>
      </c>
      <c r="C391" s="9" t="s">
        <v>12</v>
      </c>
      <c r="D391" s="9" t="s">
        <v>1258</v>
      </c>
    </row>
    <row r="392" ht="15.75" customHeight="1">
      <c r="A392" s="7" t="s">
        <v>1260</v>
      </c>
      <c r="B392" s="9" t="s">
        <v>1262</v>
      </c>
      <c r="C392" s="9" t="s">
        <v>17</v>
      </c>
      <c r="D392" s="9" t="s">
        <v>1263</v>
      </c>
    </row>
    <row r="393" ht="15.75" customHeight="1">
      <c r="A393" s="7" t="s">
        <v>1264</v>
      </c>
      <c r="B393" s="9" t="s">
        <v>1265</v>
      </c>
      <c r="C393" s="9" t="s">
        <v>17</v>
      </c>
      <c r="D393" s="9" t="s">
        <v>183</v>
      </c>
    </row>
    <row r="394" ht="15.75" customHeight="1">
      <c r="A394" s="7" t="s">
        <v>1267</v>
      </c>
      <c r="B394" s="9" t="s">
        <v>1268</v>
      </c>
      <c r="C394" s="9" t="s">
        <v>12</v>
      </c>
      <c r="D394" s="9" t="s">
        <v>1269</v>
      </c>
    </row>
    <row r="395" ht="15.75" customHeight="1">
      <c r="A395" s="7" t="s">
        <v>1270</v>
      </c>
      <c r="B395" s="9" t="s">
        <v>676</v>
      </c>
      <c r="C395" s="9" t="s">
        <v>17</v>
      </c>
      <c r="D395" s="9" t="s">
        <v>1272</v>
      </c>
    </row>
    <row r="396" ht="15.75" customHeight="1">
      <c r="A396" s="7" t="s">
        <v>1273</v>
      </c>
      <c r="B396" s="9" t="s">
        <v>1274</v>
      </c>
      <c r="C396" s="9" t="s">
        <v>12</v>
      </c>
      <c r="D396" s="9" t="s">
        <v>1275</v>
      </c>
    </row>
    <row r="397" ht="15.75" customHeight="1">
      <c r="A397" s="7" t="s">
        <v>1277</v>
      </c>
      <c r="B397" s="9" t="s">
        <v>1278</v>
      </c>
      <c r="C397" s="9" t="s">
        <v>12</v>
      </c>
      <c r="D397" s="9" t="s">
        <v>1279</v>
      </c>
    </row>
    <row r="398" ht="15.75" customHeight="1">
      <c r="A398" s="7" t="s">
        <v>1280</v>
      </c>
      <c r="B398" s="9" t="s">
        <v>1281</v>
      </c>
      <c r="C398" s="9" t="s">
        <v>12</v>
      </c>
      <c r="D398" s="9" t="s">
        <v>1283</v>
      </c>
    </row>
    <row r="399" ht="15.75" customHeight="1">
      <c r="A399" s="7" t="s">
        <v>1284</v>
      </c>
      <c r="B399" s="9" t="s">
        <v>1285</v>
      </c>
      <c r="C399" s="9" t="s">
        <v>17</v>
      </c>
      <c r="D399" s="9" t="s">
        <v>1286</v>
      </c>
    </row>
    <row r="400" ht="15.75" customHeight="1">
      <c r="A400" s="7" t="s">
        <v>1288</v>
      </c>
      <c r="B400" s="9" t="s">
        <v>1289</v>
      </c>
      <c r="C400" s="9" t="s">
        <v>12</v>
      </c>
      <c r="D400" s="9" t="s">
        <v>304</v>
      </c>
    </row>
    <row r="401" ht="15.75" customHeight="1">
      <c r="A401" s="7" t="s">
        <v>1290</v>
      </c>
      <c r="B401" s="9" t="s">
        <v>1291</v>
      </c>
      <c r="C401" s="9" t="s">
        <v>12</v>
      </c>
      <c r="D401" s="9" t="s">
        <v>1293</v>
      </c>
    </row>
    <row r="402" ht="15.75" customHeight="1">
      <c r="A402" s="7" t="s">
        <v>1294</v>
      </c>
      <c r="B402" s="9" t="s">
        <v>1295</v>
      </c>
      <c r="C402" s="9" t="s">
        <v>17</v>
      </c>
      <c r="D402" s="9" t="s">
        <v>1296</v>
      </c>
    </row>
    <row r="403" ht="15.75" customHeight="1">
      <c r="A403" s="7" t="s">
        <v>1297</v>
      </c>
      <c r="B403" s="9" t="s">
        <v>1299</v>
      </c>
      <c r="C403" s="9" t="s">
        <v>12</v>
      </c>
      <c r="D403" s="9" t="s">
        <v>1300</v>
      </c>
    </row>
    <row r="404" ht="15.75" customHeight="1">
      <c r="A404" s="7" t="s">
        <v>1301</v>
      </c>
      <c r="B404" s="9" t="s">
        <v>1302</v>
      </c>
      <c r="C404" s="9" t="s">
        <v>12</v>
      </c>
      <c r="D404" s="9" t="s">
        <v>1303</v>
      </c>
    </row>
    <row r="405" ht="15.75" customHeight="1">
      <c r="A405" s="7" t="s">
        <v>1305</v>
      </c>
      <c r="B405" s="9" t="s">
        <v>1306</v>
      </c>
      <c r="C405" s="9" t="s">
        <v>17</v>
      </c>
      <c r="D405" s="9" t="s">
        <v>1307</v>
      </c>
    </row>
    <row r="406" ht="15.75" customHeight="1">
      <c r="A406" s="7" t="s">
        <v>1308</v>
      </c>
      <c r="B406" s="9" t="s">
        <v>1310</v>
      </c>
      <c r="C406" s="9" t="s">
        <v>17</v>
      </c>
      <c r="D406" s="9" t="s">
        <v>1311</v>
      </c>
    </row>
    <row r="407" ht="15.75" customHeight="1">
      <c r="A407" s="7" t="s">
        <v>1312</v>
      </c>
      <c r="B407" s="9" t="s">
        <v>1313</v>
      </c>
      <c r="C407" s="9" t="s">
        <v>17</v>
      </c>
      <c r="D407" s="9" t="s">
        <v>1314</v>
      </c>
    </row>
    <row r="408" ht="15.75" customHeight="1">
      <c r="A408" s="7" t="s">
        <v>1315</v>
      </c>
      <c r="B408" s="9" t="s">
        <v>1317</v>
      </c>
      <c r="C408" s="9" t="s">
        <v>17</v>
      </c>
      <c r="D408" s="9" t="s">
        <v>1318</v>
      </c>
    </row>
    <row r="409" ht="15.75" customHeight="1">
      <c r="A409" s="7" t="s">
        <v>1319</v>
      </c>
      <c r="B409" s="9" t="s">
        <v>1320</v>
      </c>
      <c r="C409" s="9" t="s">
        <v>17</v>
      </c>
      <c r="D409" s="9" t="s">
        <v>1321</v>
      </c>
    </row>
    <row r="410" ht="15.75" customHeight="1">
      <c r="A410" s="7" t="s">
        <v>1322</v>
      </c>
      <c r="B410" s="9" t="s">
        <v>1323</v>
      </c>
      <c r="C410" s="9" t="s">
        <v>17</v>
      </c>
      <c r="D410" s="9" t="s">
        <v>1325</v>
      </c>
    </row>
    <row r="411" ht="15.75" customHeight="1">
      <c r="A411" s="7" t="s">
        <v>1326</v>
      </c>
      <c r="B411" s="9" t="s">
        <v>1327</v>
      </c>
      <c r="C411" s="9" t="s">
        <v>12</v>
      </c>
      <c r="D411" s="9" t="s">
        <v>1328</v>
      </c>
    </row>
    <row r="412" ht="15.75" customHeight="1">
      <c r="A412" s="7" t="s">
        <v>1329</v>
      </c>
      <c r="B412" s="9" t="s">
        <v>1330</v>
      </c>
      <c r="C412" s="9" t="s">
        <v>12</v>
      </c>
      <c r="D412" s="9" t="s">
        <v>1332</v>
      </c>
    </row>
    <row r="413" ht="15.75" customHeight="1">
      <c r="A413" s="7" t="s">
        <v>1333</v>
      </c>
      <c r="B413" s="9" t="s">
        <v>1334</v>
      </c>
      <c r="C413" s="9" t="s">
        <v>17</v>
      </c>
      <c r="D413" s="9" t="s">
        <v>1335</v>
      </c>
    </row>
    <row r="414" ht="15.75" customHeight="1">
      <c r="A414" s="7" t="s">
        <v>1337</v>
      </c>
      <c r="B414" s="9" t="s">
        <v>1338</v>
      </c>
      <c r="C414" s="9" t="s">
        <v>12</v>
      </c>
      <c r="D414" s="9" t="s">
        <v>1339</v>
      </c>
    </row>
    <row r="415" ht="15.75" customHeight="1">
      <c r="A415" s="7" t="s">
        <v>1341</v>
      </c>
      <c r="B415" s="9" t="s">
        <v>1342</v>
      </c>
      <c r="C415" s="9" t="s">
        <v>12</v>
      </c>
      <c r="D415" s="9" t="s">
        <v>1343</v>
      </c>
    </row>
    <row r="416" ht="15.75" customHeight="1">
      <c r="A416" s="7" t="s">
        <v>1344</v>
      </c>
      <c r="B416" s="9" t="s">
        <v>1345</v>
      </c>
      <c r="C416" s="9" t="s">
        <v>17</v>
      </c>
      <c r="D416" s="9" t="s">
        <v>1347</v>
      </c>
    </row>
    <row r="417" ht="15.75" customHeight="1">
      <c r="A417" s="7" t="s">
        <v>1348</v>
      </c>
      <c r="B417" s="9" t="s">
        <v>1349</v>
      </c>
      <c r="C417" s="9" t="s">
        <v>17</v>
      </c>
      <c r="D417" s="9" t="s">
        <v>39</v>
      </c>
    </row>
    <row r="418" ht="15.75" customHeight="1">
      <c r="A418" s="7" t="s">
        <v>1351</v>
      </c>
      <c r="B418" s="9" t="s">
        <v>1352</v>
      </c>
      <c r="C418" s="9" t="s">
        <v>12</v>
      </c>
      <c r="D418" s="9" t="s">
        <v>1353</v>
      </c>
    </row>
    <row r="419" ht="15.75" customHeight="1">
      <c r="A419" s="7" t="s">
        <v>1355</v>
      </c>
      <c r="B419" s="9" t="s">
        <v>1356</v>
      </c>
      <c r="C419" s="9" t="s">
        <v>12</v>
      </c>
      <c r="D419" s="9" t="s">
        <v>1103</v>
      </c>
    </row>
    <row r="420" ht="15.75" customHeight="1">
      <c r="A420" s="7" t="s">
        <v>1357</v>
      </c>
      <c r="B420" s="9" t="s">
        <v>1359</v>
      </c>
      <c r="C420" s="9" t="s">
        <v>12</v>
      </c>
      <c r="D420" s="9" t="s">
        <v>1360</v>
      </c>
    </row>
    <row r="421" ht="15.75" customHeight="1">
      <c r="A421" s="7" t="s">
        <v>1361</v>
      </c>
      <c r="B421" s="9" t="s">
        <v>1362</v>
      </c>
      <c r="C421" s="9" t="s">
        <v>12</v>
      </c>
      <c r="D421" s="9" t="s">
        <v>1363</v>
      </c>
    </row>
    <row r="422" ht="15.75" customHeight="1">
      <c r="A422" s="7" t="s">
        <v>1365</v>
      </c>
      <c r="B422" s="9" t="s">
        <v>1366</v>
      </c>
      <c r="C422" s="9" t="s">
        <v>17</v>
      </c>
      <c r="D422" s="9" t="s">
        <v>1367</v>
      </c>
    </row>
    <row r="423" ht="15.75" customHeight="1">
      <c r="A423" s="7" t="s">
        <v>1368</v>
      </c>
      <c r="B423" s="9" t="s">
        <v>373</v>
      </c>
      <c r="C423" s="9" t="s">
        <v>12</v>
      </c>
      <c r="D423" s="9" t="s">
        <v>1370</v>
      </c>
    </row>
    <row r="424" ht="15.75" customHeight="1">
      <c r="A424" s="7" t="s">
        <v>1372</v>
      </c>
      <c r="B424" s="9" t="s">
        <v>1373</v>
      </c>
      <c r="C424" s="9" t="s">
        <v>12</v>
      </c>
      <c r="D424" s="9" t="s">
        <v>1374</v>
      </c>
    </row>
    <row r="425" ht="15.75" customHeight="1">
      <c r="A425" s="7" t="s">
        <v>1375</v>
      </c>
      <c r="B425" s="9" t="s">
        <v>1377</v>
      </c>
      <c r="C425" s="9" t="s">
        <v>12</v>
      </c>
      <c r="D425" s="9" t="s">
        <v>1378</v>
      </c>
    </row>
    <row r="426" ht="15.75" customHeight="1">
      <c r="A426" s="7" t="s">
        <v>1379</v>
      </c>
      <c r="B426" s="9" t="s">
        <v>1381</v>
      </c>
      <c r="C426" s="9" t="s">
        <v>17</v>
      </c>
      <c r="D426" s="9" t="s">
        <v>1343</v>
      </c>
    </row>
    <row r="427" ht="15.75" customHeight="1">
      <c r="A427" s="7" t="s">
        <v>1382</v>
      </c>
      <c r="B427" s="9" t="s">
        <v>1383</v>
      </c>
      <c r="C427" s="9" t="s">
        <v>17</v>
      </c>
      <c r="D427" s="9" t="s">
        <v>674</v>
      </c>
    </row>
    <row r="428" ht="15.75" customHeight="1">
      <c r="A428" s="7" t="s">
        <v>1385</v>
      </c>
      <c r="B428" s="9" t="s">
        <v>1386</v>
      </c>
      <c r="C428" s="9" t="s">
        <v>12</v>
      </c>
      <c r="D428" s="9" t="s">
        <v>1387</v>
      </c>
    </row>
    <row r="429" ht="15.75" customHeight="1">
      <c r="A429" s="7" t="s">
        <v>1389</v>
      </c>
      <c r="B429" s="9" t="s">
        <v>1390</v>
      </c>
      <c r="C429" s="9" t="s">
        <v>12</v>
      </c>
      <c r="D429" s="9" t="s">
        <v>1391</v>
      </c>
    </row>
    <row r="430" ht="15.75" customHeight="1">
      <c r="A430" s="7" t="s">
        <v>1393</v>
      </c>
      <c r="B430" s="9" t="s">
        <v>1394</v>
      </c>
      <c r="C430" s="9" t="s">
        <v>12</v>
      </c>
      <c r="D430" s="9" t="s">
        <v>279</v>
      </c>
    </row>
    <row r="431" ht="15.75" customHeight="1">
      <c r="A431" s="7" t="s">
        <v>1395</v>
      </c>
      <c r="B431" s="9" t="s">
        <v>1397</v>
      </c>
      <c r="C431" s="9" t="s">
        <v>12</v>
      </c>
      <c r="D431" s="9" t="s">
        <v>1398</v>
      </c>
    </row>
    <row r="432" ht="15.75" customHeight="1">
      <c r="A432" s="7" t="s">
        <v>1399</v>
      </c>
      <c r="B432" s="9" t="s">
        <v>1400</v>
      </c>
      <c r="C432" s="9" t="s">
        <v>12</v>
      </c>
      <c r="D432" s="9" t="s">
        <v>1402</v>
      </c>
    </row>
    <row r="433" ht="15.75" customHeight="1">
      <c r="A433" s="7" t="s">
        <v>1403</v>
      </c>
      <c r="B433" s="9" t="s">
        <v>1404</v>
      </c>
      <c r="C433" s="9" t="s">
        <v>12</v>
      </c>
      <c r="D433" s="9" t="s">
        <v>1406</v>
      </c>
    </row>
    <row r="434" ht="15.75" customHeight="1">
      <c r="A434" s="7" t="s">
        <v>1407</v>
      </c>
      <c r="B434" s="9" t="s">
        <v>1408</v>
      </c>
      <c r="C434" s="9" t="s">
        <v>17</v>
      </c>
      <c r="D434" s="9" t="s">
        <v>1318</v>
      </c>
    </row>
    <row r="435" ht="15.75" customHeight="1">
      <c r="A435" s="7" t="s">
        <v>1410</v>
      </c>
      <c r="B435" s="9" t="s">
        <v>1411</v>
      </c>
      <c r="C435" s="9" t="s">
        <v>12</v>
      </c>
      <c r="D435" s="9" t="s">
        <v>304</v>
      </c>
    </row>
    <row r="436" ht="15.75" customHeight="1">
      <c r="A436" s="7" t="s">
        <v>1412</v>
      </c>
      <c r="B436" s="9" t="s">
        <v>1413</v>
      </c>
      <c r="C436" s="9" t="s">
        <v>17</v>
      </c>
      <c r="D436" s="9" t="s">
        <v>1415</v>
      </c>
    </row>
    <row r="437" ht="15.75" customHeight="1">
      <c r="A437" s="7" t="s">
        <v>1417</v>
      </c>
      <c r="B437" s="9" t="s">
        <v>1418</v>
      </c>
      <c r="C437" s="9" t="s">
        <v>17</v>
      </c>
      <c r="D437" s="9" t="s">
        <v>1419</v>
      </c>
    </row>
    <row r="438" ht="15.75" customHeight="1">
      <c r="A438" s="7" t="s">
        <v>1420</v>
      </c>
      <c r="B438" s="9" t="s">
        <v>1422</v>
      </c>
      <c r="C438" s="9" t="s">
        <v>17</v>
      </c>
      <c r="D438" s="9" t="s">
        <v>1423</v>
      </c>
    </row>
    <row r="439" ht="15.75" customHeight="1">
      <c r="A439" s="7" t="s">
        <v>1425</v>
      </c>
      <c r="B439" s="9" t="s">
        <v>1426</v>
      </c>
      <c r="C439" s="9" t="s">
        <v>12</v>
      </c>
      <c r="D439" s="9" t="s">
        <v>1172</v>
      </c>
    </row>
    <row r="440" ht="15.75" customHeight="1">
      <c r="A440" s="7" t="s">
        <v>1428</v>
      </c>
      <c r="B440" s="9" t="s">
        <v>1429</v>
      </c>
      <c r="C440" s="9" t="s">
        <v>17</v>
      </c>
      <c r="D440" s="9" t="s">
        <v>1431</v>
      </c>
    </row>
    <row r="441" ht="15.75" customHeight="1">
      <c r="A441" s="7" t="s">
        <v>1432</v>
      </c>
      <c r="B441" s="9" t="s">
        <v>1433</v>
      </c>
      <c r="C441" s="9" t="s">
        <v>12</v>
      </c>
      <c r="D441" s="9" t="s">
        <v>1435</v>
      </c>
    </row>
    <row r="442" ht="15.75" customHeight="1">
      <c r="A442" s="7" t="s">
        <v>1437</v>
      </c>
      <c r="B442" s="9" t="s">
        <v>1438</v>
      </c>
      <c r="C442" s="9" t="s">
        <v>12</v>
      </c>
      <c r="D442" s="9" t="s">
        <v>1439</v>
      </c>
    </row>
    <row r="443" ht="15.75" customHeight="1">
      <c r="A443" s="7" t="s">
        <v>1441</v>
      </c>
      <c r="B443" s="9" t="s">
        <v>1442</v>
      </c>
      <c r="C443" s="9" t="s">
        <v>17</v>
      </c>
      <c r="D443" s="9" t="s">
        <v>1443</v>
      </c>
    </row>
    <row r="444" ht="15.75" customHeight="1">
      <c r="A444" s="7" t="s">
        <v>1444</v>
      </c>
      <c r="B444" s="9" t="s">
        <v>246</v>
      </c>
      <c r="C444" s="9" t="s">
        <v>17</v>
      </c>
      <c r="D444" s="9" t="s">
        <v>1446</v>
      </c>
    </row>
    <row r="445" ht="15.75" customHeight="1">
      <c r="A445" s="7" t="s">
        <v>1447</v>
      </c>
      <c r="B445" s="9" t="s">
        <v>1448</v>
      </c>
      <c r="C445" s="9" t="s">
        <v>12</v>
      </c>
      <c r="D445" s="9" t="s">
        <v>1449</v>
      </c>
    </row>
    <row r="446" ht="15.75" customHeight="1">
      <c r="A446" s="7" t="s">
        <v>1451</v>
      </c>
      <c r="B446" s="9" t="s">
        <v>1452</v>
      </c>
      <c r="C446" s="9" t="s">
        <v>12</v>
      </c>
      <c r="D446" s="9" t="s">
        <v>1453</v>
      </c>
    </row>
    <row r="447" ht="15.75" customHeight="1">
      <c r="A447" s="7" t="s">
        <v>1455</v>
      </c>
      <c r="B447" s="9" t="s">
        <v>1456</v>
      </c>
      <c r="C447" s="9" t="s">
        <v>17</v>
      </c>
      <c r="D447" s="9" t="s">
        <v>1048</v>
      </c>
    </row>
    <row r="448" ht="15.75" customHeight="1">
      <c r="A448" s="7" t="s">
        <v>1457</v>
      </c>
      <c r="B448" s="9" t="s">
        <v>1458</v>
      </c>
      <c r="C448" s="9" t="s">
        <v>12</v>
      </c>
      <c r="D448" s="9" t="s">
        <v>1460</v>
      </c>
    </row>
    <row r="449" ht="15.75" customHeight="1">
      <c r="A449" s="7" t="s">
        <v>1461</v>
      </c>
      <c r="B449" s="9" t="s">
        <v>1462</v>
      </c>
      <c r="C449" s="9" t="s">
        <v>17</v>
      </c>
      <c r="D449" s="9" t="s">
        <v>1463</v>
      </c>
    </row>
    <row r="450" ht="15.75" customHeight="1">
      <c r="A450" s="7" t="s">
        <v>1465</v>
      </c>
      <c r="B450" s="9" t="s">
        <v>13</v>
      </c>
      <c r="C450" s="9" t="s">
        <v>17</v>
      </c>
      <c r="D450" s="9" t="s">
        <v>1466</v>
      </c>
    </row>
    <row r="451" ht="15.75" customHeight="1">
      <c r="A451" s="7" t="s">
        <v>1467</v>
      </c>
      <c r="B451" s="9" t="s">
        <v>1468</v>
      </c>
      <c r="C451" s="9" t="s">
        <v>12</v>
      </c>
      <c r="D451" s="9" t="s">
        <v>1469</v>
      </c>
    </row>
    <row r="452" ht="15.75" customHeight="1">
      <c r="A452" s="7" t="s">
        <v>1470</v>
      </c>
      <c r="B452" s="9" t="s">
        <v>1119</v>
      </c>
      <c r="C452" s="9" t="s">
        <v>12</v>
      </c>
      <c r="D452" s="9" t="s">
        <v>1472</v>
      </c>
    </row>
    <row r="453" ht="15.75" customHeight="1">
      <c r="A453" s="7" t="s">
        <v>1473</v>
      </c>
      <c r="B453" s="9" t="s">
        <v>189</v>
      </c>
      <c r="C453" s="9" t="s">
        <v>17</v>
      </c>
      <c r="D453" s="9" t="s">
        <v>1474</v>
      </c>
    </row>
    <row r="454" ht="15.75" customHeight="1">
      <c r="A454" s="7" t="s">
        <v>1476</v>
      </c>
      <c r="B454" s="9" t="s">
        <v>1477</v>
      </c>
      <c r="C454" s="9" t="s">
        <v>12</v>
      </c>
      <c r="D454" s="9" t="s">
        <v>1478</v>
      </c>
    </row>
    <row r="455" ht="15.75" customHeight="1">
      <c r="A455" s="7" t="s">
        <v>1479</v>
      </c>
      <c r="B455" s="9" t="s">
        <v>1480</v>
      </c>
      <c r="C455" s="9" t="s">
        <v>17</v>
      </c>
      <c r="D455" s="9" t="s">
        <v>442</v>
      </c>
    </row>
    <row r="456" ht="15.75" customHeight="1">
      <c r="A456" s="7" t="s">
        <v>1482</v>
      </c>
      <c r="B456" s="9" t="s">
        <v>1483</v>
      </c>
      <c r="C456" s="9" t="s">
        <v>17</v>
      </c>
      <c r="D456" s="9" t="s">
        <v>39</v>
      </c>
    </row>
    <row r="457" ht="15.75" customHeight="1">
      <c r="A457" s="7" t="s">
        <v>1484</v>
      </c>
      <c r="B457" s="9" t="s">
        <v>1485</v>
      </c>
      <c r="C457" s="9" t="s">
        <v>17</v>
      </c>
      <c r="D457" s="9" t="s">
        <v>785</v>
      </c>
    </row>
    <row r="458" ht="15.75" customHeight="1">
      <c r="A458" s="7" t="s">
        <v>1487</v>
      </c>
      <c r="B458" s="9" t="s">
        <v>1488</v>
      </c>
      <c r="C458" s="9" t="s">
        <v>17</v>
      </c>
      <c r="D458" s="9" t="s">
        <v>246</v>
      </c>
    </row>
    <row r="459" ht="15.75" customHeight="1">
      <c r="A459" s="7" t="s">
        <v>1489</v>
      </c>
      <c r="B459" s="9" t="s">
        <v>1490</v>
      </c>
      <c r="C459" s="9" t="s">
        <v>17</v>
      </c>
      <c r="D459" s="9" t="s">
        <v>1491</v>
      </c>
    </row>
    <row r="460" ht="15.75" customHeight="1">
      <c r="A460" s="7" t="s">
        <v>1493</v>
      </c>
      <c r="B460" s="9" t="s">
        <v>1494</v>
      </c>
      <c r="C460" s="9" t="s">
        <v>12</v>
      </c>
      <c r="D460" s="9" t="s">
        <v>1495</v>
      </c>
    </row>
    <row r="461" ht="15.75" customHeight="1">
      <c r="A461" s="7" t="s">
        <v>1496</v>
      </c>
      <c r="B461" s="9" t="s">
        <v>229</v>
      </c>
      <c r="C461" s="9" t="s">
        <v>17</v>
      </c>
      <c r="D461" s="9" t="s">
        <v>1497</v>
      </c>
    </row>
    <row r="462" ht="15.75" customHeight="1">
      <c r="A462" s="7" t="s">
        <v>1499</v>
      </c>
      <c r="B462" s="9" t="s">
        <v>946</v>
      </c>
      <c r="C462" s="9" t="s">
        <v>12</v>
      </c>
      <c r="D462" s="9" t="s">
        <v>1500</v>
      </c>
    </row>
    <row r="463" ht="15.75" customHeight="1">
      <c r="A463" s="7" t="s">
        <v>1501</v>
      </c>
      <c r="B463" s="9" t="s">
        <v>281</v>
      </c>
      <c r="C463" s="9" t="s">
        <v>12</v>
      </c>
      <c r="D463" s="9" t="s">
        <v>208</v>
      </c>
    </row>
    <row r="464" ht="15.75" customHeight="1">
      <c r="A464" s="7" t="s">
        <v>1503</v>
      </c>
      <c r="B464" s="9" t="s">
        <v>1504</v>
      </c>
      <c r="C464" s="9" t="s">
        <v>12</v>
      </c>
      <c r="D464" s="9" t="s">
        <v>1505</v>
      </c>
    </row>
    <row r="465" ht="15.75" customHeight="1">
      <c r="A465" s="7" t="s">
        <v>1506</v>
      </c>
      <c r="B465" s="9" t="s">
        <v>1507</v>
      </c>
      <c r="C465" s="9" t="s">
        <v>17</v>
      </c>
      <c r="D465" s="9" t="s">
        <v>1508</v>
      </c>
    </row>
    <row r="466" ht="15.75" customHeight="1">
      <c r="A466" s="7" t="s">
        <v>1510</v>
      </c>
      <c r="B466" s="9" t="s">
        <v>1511</v>
      </c>
      <c r="C466" s="9" t="s">
        <v>12</v>
      </c>
      <c r="D466" s="9" t="s">
        <v>268</v>
      </c>
    </row>
    <row r="467" ht="15.75" customHeight="1">
      <c r="A467" s="7" t="s">
        <v>1512</v>
      </c>
      <c r="B467" s="9" t="s">
        <v>1513</v>
      </c>
      <c r="C467" s="9" t="s">
        <v>17</v>
      </c>
      <c r="D467" s="9" t="s">
        <v>1514</v>
      </c>
    </row>
    <row r="468" ht="15.75" customHeight="1">
      <c r="A468" s="7" t="s">
        <v>1516</v>
      </c>
      <c r="B468" s="9" t="s">
        <v>239</v>
      </c>
      <c r="C468" s="9" t="s">
        <v>17</v>
      </c>
      <c r="D468" s="9" t="s">
        <v>1517</v>
      </c>
    </row>
    <row r="469" ht="15.75" customHeight="1">
      <c r="A469" s="7" t="s">
        <v>1518</v>
      </c>
      <c r="B469" s="9" t="s">
        <v>1519</v>
      </c>
      <c r="C469" s="9" t="s">
        <v>12</v>
      </c>
      <c r="D469" s="9" t="s">
        <v>1520</v>
      </c>
    </row>
    <row r="470" ht="15.75" customHeight="1">
      <c r="A470" s="7" t="s">
        <v>1522</v>
      </c>
      <c r="B470" s="9" t="s">
        <v>1523</v>
      </c>
      <c r="C470" s="9" t="s">
        <v>12</v>
      </c>
      <c r="D470" s="9" t="s">
        <v>1524</v>
      </c>
    </row>
    <row r="471" ht="15.75" customHeight="1">
      <c r="A471" s="7" t="s">
        <v>1525</v>
      </c>
      <c r="B471" s="9" t="s">
        <v>1526</v>
      </c>
      <c r="C471" s="9" t="s">
        <v>17</v>
      </c>
      <c r="D471" s="9" t="s">
        <v>1527</v>
      </c>
    </row>
    <row r="472" ht="15.75" customHeight="1">
      <c r="A472" s="7" t="s">
        <v>1529</v>
      </c>
      <c r="B472" s="9" t="s">
        <v>1530</v>
      </c>
      <c r="C472" s="9" t="s">
        <v>17</v>
      </c>
      <c r="D472" s="9" t="s">
        <v>1531</v>
      </c>
    </row>
    <row r="473" ht="15.75" customHeight="1">
      <c r="A473" s="7" t="s">
        <v>1532</v>
      </c>
      <c r="B473" s="9" t="s">
        <v>1533</v>
      </c>
      <c r="C473" s="9" t="s">
        <v>17</v>
      </c>
      <c r="D473" s="9" t="s">
        <v>736</v>
      </c>
    </row>
    <row r="474" ht="15.75" customHeight="1">
      <c r="A474" s="7" t="s">
        <v>1535</v>
      </c>
      <c r="B474" s="9" t="s">
        <v>794</v>
      </c>
      <c r="C474" s="9" t="s">
        <v>17</v>
      </c>
      <c r="D474" s="9" t="s">
        <v>1536</v>
      </c>
    </row>
    <row r="475" ht="15.75" customHeight="1">
      <c r="A475" s="7" t="s">
        <v>1537</v>
      </c>
      <c r="B475" s="9" t="s">
        <v>1538</v>
      </c>
      <c r="C475" s="9" t="s">
        <v>17</v>
      </c>
      <c r="D475" s="9" t="s">
        <v>60</v>
      </c>
    </row>
    <row r="476" ht="15.75" customHeight="1">
      <c r="A476" s="7" t="s">
        <v>1539</v>
      </c>
      <c r="B476" s="9" t="s">
        <v>1540</v>
      </c>
      <c r="C476" s="9" t="s">
        <v>17</v>
      </c>
      <c r="D476" s="9" t="s">
        <v>1541</v>
      </c>
    </row>
    <row r="477" ht="15.75" customHeight="1">
      <c r="A477" s="7" t="s">
        <v>1542</v>
      </c>
      <c r="B477" s="9" t="s">
        <v>1543</v>
      </c>
      <c r="C477" s="9" t="s">
        <v>17</v>
      </c>
      <c r="D477" s="9" t="s">
        <v>1544</v>
      </c>
    </row>
    <row r="478" ht="15.75" customHeight="1">
      <c r="A478" s="7" t="s">
        <v>1545</v>
      </c>
      <c r="B478" s="9" t="s">
        <v>1546</v>
      </c>
      <c r="C478" s="9" t="s">
        <v>12</v>
      </c>
      <c r="D478" s="9" t="s">
        <v>1547</v>
      </c>
    </row>
    <row r="479" ht="15.75" customHeight="1">
      <c r="A479" s="7" t="s">
        <v>1548</v>
      </c>
      <c r="B479" s="9" t="s">
        <v>1549</v>
      </c>
      <c r="C479" s="9" t="s">
        <v>17</v>
      </c>
      <c r="D479" s="9" t="s">
        <v>1550</v>
      </c>
    </row>
    <row r="480" ht="15.75" customHeight="1">
      <c r="A480" s="7" t="s">
        <v>1551</v>
      </c>
      <c r="B480" s="9" t="s">
        <v>1552</v>
      </c>
      <c r="C480" s="9" t="s">
        <v>17</v>
      </c>
      <c r="D480" s="9" t="s">
        <v>1553</v>
      </c>
    </row>
    <row r="481" ht="15.75" customHeight="1">
      <c r="A481" s="7" t="s">
        <v>1554</v>
      </c>
      <c r="B481" s="9" t="s">
        <v>1555</v>
      </c>
      <c r="C481" s="9" t="s">
        <v>17</v>
      </c>
      <c r="D481" s="9" t="s">
        <v>1556</v>
      </c>
    </row>
    <row r="482" ht="15.75" customHeight="1">
      <c r="A482" s="7" t="s">
        <v>1557</v>
      </c>
      <c r="B482" s="9" t="s">
        <v>1558</v>
      </c>
      <c r="C482" s="9" t="s">
        <v>17</v>
      </c>
      <c r="D482" s="9" t="s">
        <v>603</v>
      </c>
    </row>
    <row r="483" ht="15.75" customHeight="1">
      <c r="A483" s="7" t="s">
        <v>1559</v>
      </c>
      <c r="B483" s="9" t="s">
        <v>1560</v>
      </c>
      <c r="C483" s="9" t="s">
        <v>17</v>
      </c>
      <c r="D483" s="9" t="s">
        <v>1561</v>
      </c>
    </row>
    <row r="484" ht="15.75" customHeight="1">
      <c r="A484" s="7" t="s">
        <v>1562</v>
      </c>
      <c r="B484" s="9" t="s">
        <v>1563</v>
      </c>
      <c r="C484" s="9" t="s">
        <v>12</v>
      </c>
      <c r="D484" s="9" t="s">
        <v>1564</v>
      </c>
    </row>
    <row r="485" ht="15.75" customHeight="1">
      <c r="A485" s="7" t="s">
        <v>1565</v>
      </c>
      <c r="B485" s="9" t="s">
        <v>434</v>
      </c>
      <c r="C485" s="9" t="s">
        <v>12</v>
      </c>
      <c r="D485" s="9" t="s">
        <v>1566</v>
      </c>
    </row>
    <row r="486" ht="15.75" customHeight="1">
      <c r="A486" s="7" t="s">
        <v>1567</v>
      </c>
      <c r="B486" s="9" t="s">
        <v>1568</v>
      </c>
      <c r="C486" s="9" t="s">
        <v>17</v>
      </c>
      <c r="D486" s="9" t="s">
        <v>516</v>
      </c>
    </row>
    <row r="487" ht="15.75" customHeight="1">
      <c r="A487" s="7" t="s">
        <v>1569</v>
      </c>
      <c r="B487" s="9" t="s">
        <v>1050</v>
      </c>
      <c r="C487" s="9" t="s">
        <v>17</v>
      </c>
      <c r="D487" s="9" t="s">
        <v>250</v>
      </c>
    </row>
    <row r="488" ht="15.75" customHeight="1">
      <c r="A488" s="7" t="s">
        <v>1571</v>
      </c>
      <c r="B488" s="9" t="s">
        <v>1572</v>
      </c>
      <c r="C488" s="9" t="s">
        <v>1573</v>
      </c>
      <c r="D488" s="9" t="s">
        <v>1574</v>
      </c>
    </row>
    <row r="489" ht="15.75" customHeight="1">
      <c r="A489" s="7" t="s">
        <v>1575</v>
      </c>
      <c r="B489" s="9" t="s">
        <v>1576</v>
      </c>
      <c r="C489" s="9" t="s">
        <v>12</v>
      </c>
      <c r="D489" s="9" t="s">
        <v>1577</v>
      </c>
    </row>
    <row r="490" ht="15.75" customHeight="1">
      <c r="A490" s="7" t="s">
        <v>1578</v>
      </c>
      <c r="B490" s="9" t="s">
        <v>1579</v>
      </c>
      <c r="C490" s="9" t="s">
        <v>17</v>
      </c>
      <c r="D490" s="9" t="s">
        <v>445</v>
      </c>
    </row>
    <row r="491" ht="15.75" customHeight="1">
      <c r="A491" s="7" t="s">
        <v>1580</v>
      </c>
      <c r="B491" s="9" t="s">
        <v>1582</v>
      </c>
      <c r="C491" s="9" t="s">
        <v>17</v>
      </c>
      <c r="D491" s="9" t="s">
        <v>39</v>
      </c>
    </row>
    <row r="492" ht="15.75" customHeight="1">
      <c r="A492" s="7" t="s">
        <v>1583</v>
      </c>
      <c r="B492" s="9" t="s">
        <v>1584</v>
      </c>
      <c r="C492" s="9" t="s">
        <v>12</v>
      </c>
      <c r="D492" s="9" t="s">
        <v>1585</v>
      </c>
    </row>
    <row r="493" ht="15.75" customHeight="1">
      <c r="A493" s="7" t="s">
        <v>1586</v>
      </c>
      <c r="B493" s="9" t="s">
        <v>183</v>
      </c>
      <c r="C493" s="9" t="s">
        <v>12</v>
      </c>
      <c r="D493" s="9" t="s">
        <v>1587</v>
      </c>
    </row>
    <row r="494" ht="15.75" customHeight="1">
      <c r="A494" s="7" t="s">
        <v>1589</v>
      </c>
      <c r="B494" s="9" t="s">
        <v>1590</v>
      </c>
      <c r="C494" s="9" t="s">
        <v>12</v>
      </c>
      <c r="D494" s="9" t="s">
        <v>975</v>
      </c>
    </row>
    <row r="495" ht="15.75" customHeight="1">
      <c r="A495" s="7" t="s">
        <v>1591</v>
      </c>
      <c r="B495" s="9" t="s">
        <v>1592</v>
      </c>
      <c r="C495" s="9" t="s">
        <v>17</v>
      </c>
      <c r="D495" s="9" t="s">
        <v>1594</v>
      </c>
    </row>
    <row r="496" ht="15.75" customHeight="1">
      <c r="A496" s="7" t="s">
        <v>1595</v>
      </c>
      <c r="B496" s="9" t="s">
        <v>1558</v>
      </c>
      <c r="C496" s="9" t="s">
        <v>17</v>
      </c>
      <c r="D496" s="9" t="s">
        <v>1596</v>
      </c>
    </row>
    <row r="497" ht="15.75" customHeight="1">
      <c r="A497" s="7" t="s">
        <v>1597</v>
      </c>
      <c r="B497" s="9" t="s">
        <v>1598</v>
      </c>
      <c r="C497" s="9" t="s">
        <v>1573</v>
      </c>
      <c r="D497" s="9" t="s">
        <v>334</v>
      </c>
    </row>
    <row r="498" ht="15.75" customHeight="1">
      <c r="A498" s="7" t="s">
        <v>1600</v>
      </c>
      <c r="B498" s="9" t="s">
        <v>1601</v>
      </c>
      <c r="C498" s="9" t="s">
        <v>12</v>
      </c>
      <c r="D498" s="9" t="s">
        <v>1602</v>
      </c>
    </row>
    <row r="499" ht="15.75" customHeight="1">
      <c r="A499" s="7" t="s">
        <v>1603</v>
      </c>
      <c r="B499" s="9" t="s">
        <v>1604</v>
      </c>
      <c r="C499" s="9" t="s">
        <v>17</v>
      </c>
      <c r="D499" s="9" t="s">
        <v>736</v>
      </c>
    </row>
    <row r="500" ht="15.75" customHeight="1">
      <c r="A500" s="7" t="s">
        <v>1605</v>
      </c>
      <c r="B500" s="9" t="s">
        <v>1606</v>
      </c>
      <c r="C500" s="9" t="s">
        <v>12</v>
      </c>
      <c r="D500" s="9" t="s">
        <v>1607</v>
      </c>
    </row>
    <row r="501" ht="15.75" customHeight="1">
      <c r="A501" s="7" t="s">
        <v>1609</v>
      </c>
      <c r="B501" s="9" t="s">
        <v>1610</v>
      </c>
      <c r="C501" s="9" t="s">
        <v>12</v>
      </c>
      <c r="D501" s="9" t="s">
        <v>334</v>
      </c>
    </row>
    <row r="502" ht="15.75" customHeight="1">
      <c r="A502" s="7" t="s">
        <v>1611</v>
      </c>
      <c r="B502" s="9" t="s">
        <v>1612</v>
      </c>
      <c r="C502" s="9" t="s">
        <v>17</v>
      </c>
      <c r="D502" s="9" t="s">
        <v>1613</v>
      </c>
    </row>
    <row r="503" ht="15.75" customHeight="1">
      <c r="A503" s="7" t="s">
        <v>1614</v>
      </c>
      <c r="B503" s="9" t="s">
        <v>246</v>
      </c>
      <c r="C503" s="9" t="s">
        <v>17</v>
      </c>
      <c r="D503" s="9" t="s">
        <v>1615</v>
      </c>
    </row>
    <row r="504" ht="15.75" customHeight="1">
      <c r="A504" s="7" t="s">
        <v>1617</v>
      </c>
      <c r="B504" s="9" t="s">
        <v>1618</v>
      </c>
      <c r="C504" s="9" t="s">
        <v>12</v>
      </c>
      <c r="D504" s="9" t="s">
        <v>1619</v>
      </c>
    </row>
    <row r="505" ht="15.75" customHeight="1">
      <c r="A505" s="7" t="s">
        <v>1620</v>
      </c>
      <c r="B505" s="9" t="s">
        <v>1621</v>
      </c>
      <c r="C505" s="9" t="s">
        <v>12</v>
      </c>
      <c r="D505" s="9" t="s">
        <v>1622</v>
      </c>
    </row>
    <row r="506" ht="15.75" customHeight="1">
      <c r="A506" s="7" t="s">
        <v>1624</v>
      </c>
      <c r="B506" s="9" t="s">
        <v>1625</v>
      </c>
      <c r="C506" s="9" t="s">
        <v>12</v>
      </c>
      <c r="D506" s="9" t="s">
        <v>279</v>
      </c>
    </row>
    <row r="507" ht="15.75" customHeight="1">
      <c r="A507" s="7" t="s">
        <v>1626</v>
      </c>
      <c r="B507" s="9" t="s">
        <v>1627</v>
      </c>
      <c r="C507" s="9" t="s">
        <v>12</v>
      </c>
      <c r="D507" s="9" t="s">
        <v>1628</v>
      </c>
    </row>
    <row r="508" ht="15.75" customHeight="1">
      <c r="A508" s="7" t="s">
        <v>1629</v>
      </c>
      <c r="B508" s="9" t="s">
        <v>1630</v>
      </c>
      <c r="C508" s="9" t="s">
        <v>17</v>
      </c>
      <c r="D508" s="9" t="s">
        <v>1631</v>
      </c>
    </row>
    <row r="509" ht="15.75" customHeight="1">
      <c r="A509" s="7" t="s">
        <v>1632</v>
      </c>
      <c r="B509" s="9" t="s">
        <v>1633</v>
      </c>
      <c r="C509" s="9" t="s">
        <v>17</v>
      </c>
      <c r="D509" s="9" t="s">
        <v>1634</v>
      </c>
    </row>
    <row r="510" ht="15.75" customHeight="1">
      <c r="A510" s="7" t="s">
        <v>1636</v>
      </c>
      <c r="B510" s="9" t="s">
        <v>1637</v>
      </c>
      <c r="C510" s="9" t="s">
        <v>12</v>
      </c>
      <c r="D510" s="9" t="s">
        <v>1638</v>
      </c>
    </row>
    <row r="511" ht="15.75" customHeight="1">
      <c r="A511" s="7" t="s">
        <v>1639</v>
      </c>
      <c r="B511" s="9" t="s">
        <v>1640</v>
      </c>
      <c r="C511" s="9" t="s">
        <v>17</v>
      </c>
      <c r="D511" s="9" t="s">
        <v>1641</v>
      </c>
    </row>
    <row r="512" ht="15.75" customHeight="1">
      <c r="A512" s="7" t="s">
        <v>1643</v>
      </c>
      <c r="B512" s="9" t="s">
        <v>1644</v>
      </c>
      <c r="C512" s="9" t="s">
        <v>17</v>
      </c>
      <c r="D512" s="9" t="s">
        <v>1155</v>
      </c>
    </row>
    <row r="513" ht="15.75" customHeight="1">
      <c r="A513" s="7" t="s">
        <v>1645</v>
      </c>
      <c r="B513" s="9" t="s">
        <v>1646</v>
      </c>
      <c r="C513" s="9" t="s">
        <v>17</v>
      </c>
      <c r="D513" s="9" t="s">
        <v>516</v>
      </c>
    </row>
    <row r="514" ht="15.75" customHeight="1">
      <c r="A514" s="7" t="s">
        <v>1648</v>
      </c>
      <c r="B514" s="9" t="s">
        <v>1649</v>
      </c>
      <c r="C514" s="9" t="s">
        <v>17</v>
      </c>
      <c r="D514" s="9" t="s">
        <v>1651</v>
      </c>
    </row>
    <row r="515" ht="15.75" customHeight="1">
      <c r="A515" s="7" t="s">
        <v>1652</v>
      </c>
      <c r="B515" s="9" t="s">
        <v>1653</v>
      </c>
      <c r="C515" s="9" t="s">
        <v>12</v>
      </c>
      <c r="D515" s="9" t="s">
        <v>1654</v>
      </c>
    </row>
    <row r="516" ht="15.75" customHeight="1">
      <c r="A516" s="7" t="s">
        <v>1655</v>
      </c>
      <c r="B516" s="9" t="s">
        <v>1656</v>
      </c>
      <c r="C516" s="9" t="s">
        <v>17</v>
      </c>
      <c r="D516" s="9" t="s">
        <v>1657</v>
      </c>
    </row>
    <row r="517" ht="15.75" customHeight="1">
      <c r="A517" s="7" t="s">
        <v>1659</v>
      </c>
      <c r="B517" s="9" t="s">
        <v>1660</v>
      </c>
      <c r="C517" s="9" t="s">
        <v>17</v>
      </c>
      <c r="D517" s="9" t="s">
        <v>236</v>
      </c>
    </row>
    <row r="518" ht="15.75" customHeight="1">
      <c r="A518" s="7" t="s">
        <v>1661</v>
      </c>
      <c r="B518" s="9" t="s">
        <v>1662</v>
      </c>
      <c r="C518" s="9" t="s">
        <v>12</v>
      </c>
      <c r="D518" s="9" t="s">
        <v>369</v>
      </c>
    </row>
    <row r="519" ht="15.75" customHeight="1">
      <c r="A519" s="7" t="s">
        <v>1663</v>
      </c>
      <c r="B519" s="9" t="s">
        <v>1665</v>
      </c>
      <c r="C519" s="9" t="s">
        <v>12</v>
      </c>
      <c r="D519" s="9" t="s">
        <v>1607</v>
      </c>
    </row>
    <row r="520" ht="15.75" customHeight="1">
      <c r="A520" s="7" t="s">
        <v>1666</v>
      </c>
      <c r="B520" s="9" t="s">
        <v>1667</v>
      </c>
      <c r="C520" s="9" t="s">
        <v>17</v>
      </c>
      <c r="D520" s="9" t="s">
        <v>1296</v>
      </c>
    </row>
    <row r="521" ht="15.75" customHeight="1">
      <c r="A521" s="7" t="s">
        <v>1668</v>
      </c>
      <c r="B521" s="9" t="s">
        <v>1670</v>
      </c>
      <c r="C521" s="9" t="s">
        <v>12</v>
      </c>
      <c r="D521" s="9" t="s">
        <v>1671</v>
      </c>
    </row>
    <row r="522" ht="15.75" customHeight="1">
      <c r="A522" s="7" t="s">
        <v>1672</v>
      </c>
      <c r="B522" s="9" t="s">
        <v>1673</v>
      </c>
      <c r="C522" s="9" t="s">
        <v>17</v>
      </c>
      <c r="D522" s="9" t="s">
        <v>1674</v>
      </c>
    </row>
    <row r="523" ht="15.75" customHeight="1">
      <c r="A523" s="7" t="s">
        <v>1675</v>
      </c>
      <c r="B523" s="9" t="s">
        <v>1676</v>
      </c>
      <c r="C523" s="9" t="s">
        <v>17</v>
      </c>
      <c r="D523" s="9" t="s">
        <v>111</v>
      </c>
    </row>
    <row r="524" ht="15.75" customHeight="1">
      <c r="A524" s="7" t="s">
        <v>1679</v>
      </c>
      <c r="B524" s="9" t="s">
        <v>1680</v>
      </c>
      <c r="C524" s="9" t="s">
        <v>12</v>
      </c>
      <c r="D524" s="9" t="s">
        <v>1681</v>
      </c>
    </row>
    <row r="525" ht="15.75" customHeight="1">
      <c r="A525" s="7" t="s">
        <v>1683</v>
      </c>
      <c r="B525" s="9" t="s">
        <v>1684</v>
      </c>
      <c r="C525" s="9" t="s">
        <v>1573</v>
      </c>
      <c r="D525" s="9" t="s">
        <v>1685</v>
      </c>
    </row>
    <row r="526" ht="15.75" customHeight="1">
      <c r="A526" s="7" t="s">
        <v>1686</v>
      </c>
      <c r="B526" s="9" t="s">
        <v>1687</v>
      </c>
      <c r="C526" s="9" t="s">
        <v>12</v>
      </c>
      <c r="D526" s="9" t="s">
        <v>1688</v>
      </c>
    </row>
    <row r="527" ht="15.75" customHeight="1">
      <c r="A527" s="7" t="s">
        <v>1689</v>
      </c>
      <c r="B527" s="9" t="s">
        <v>1690</v>
      </c>
      <c r="C527" s="9" t="s">
        <v>12</v>
      </c>
      <c r="D527" s="9" t="s">
        <v>623</v>
      </c>
    </row>
    <row r="528" ht="15.75" customHeight="1">
      <c r="A528" s="7" t="s">
        <v>1692</v>
      </c>
      <c r="B528" s="9" t="s">
        <v>1693</v>
      </c>
      <c r="C528" s="9" t="s">
        <v>1573</v>
      </c>
      <c r="D528" s="9" t="s">
        <v>1694</v>
      </c>
    </row>
    <row r="529" ht="15.75" customHeight="1">
      <c r="A529" s="7" t="s">
        <v>1695</v>
      </c>
      <c r="B529" s="9" t="s">
        <v>1696</v>
      </c>
      <c r="C529" s="9" t="s">
        <v>12</v>
      </c>
      <c r="D529" s="9" t="s">
        <v>208</v>
      </c>
    </row>
    <row r="530" ht="15.75" customHeight="1">
      <c r="A530" s="7" t="s">
        <v>1697</v>
      </c>
      <c r="B530" s="9" t="s">
        <v>1698</v>
      </c>
      <c r="C530" s="9" t="s">
        <v>17</v>
      </c>
      <c r="D530" s="9" t="s">
        <v>826</v>
      </c>
    </row>
    <row r="531" ht="15.75" customHeight="1">
      <c r="A531" s="7" t="s">
        <v>1700</v>
      </c>
      <c r="B531" s="9" t="s">
        <v>1701</v>
      </c>
      <c r="C531" s="9" t="s">
        <v>17</v>
      </c>
      <c r="D531" s="9" t="s">
        <v>1702</v>
      </c>
    </row>
    <row r="532" ht="15.75" customHeight="1">
      <c r="A532" s="7" t="s">
        <v>1703</v>
      </c>
      <c r="B532" s="9" t="s">
        <v>1704</v>
      </c>
      <c r="C532" s="9" t="s">
        <v>12</v>
      </c>
      <c r="D532" s="9" t="s">
        <v>1705</v>
      </c>
    </row>
    <row r="533" ht="15.75" customHeight="1">
      <c r="A533" s="7" t="s">
        <v>1706</v>
      </c>
      <c r="B533" s="9" t="s">
        <v>1707</v>
      </c>
      <c r="C533" s="9" t="s">
        <v>17</v>
      </c>
      <c r="D533" s="9" t="s">
        <v>481</v>
      </c>
    </row>
    <row r="534" ht="15.75" customHeight="1">
      <c r="A534" s="7" t="s">
        <v>1709</v>
      </c>
      <c r="B534" s="9" t="s">
        <v>1710</v>
      </c>
      <c r="C534" s="9" t="s">
        <v>12</v>
      </c>
      <c r="D534" s="9" t="s">
        <v>1711</v>
      </c>
    </row>
    <row r="535" ht="15.75" customHeight="1">
      <c r="A535" s="7" t="s">
        <v>1712</v>
      </c>
      <c r="B535" s="9" t="s">
        <v>1713</v>
      </c>
      <c r="C535" s="9" t="s">
        <v>17</v>
      </c>
      <c r="D535" s="9" t="s">
        <v>1634</v>
      </c>
    </row>
    <row r="536" ht="15.75" customHeight="1">
      <c r="A536" s="7" t="s">
        <v>1714</v>
      </c>
      <c r="B536" s="9" t="s">
        <v>1715</v>
      </c>
      <c r="C536" s="9" t="s">
        <v>12</v>
      </c>
      <c r="D536" s="9" t="s">
        <v>1717</v>
      </c>
    </row>
    <row r="537" ht="15.75" customHeight="1">
      <c r="A537" s="7" t="s">
        <v>1718</v>
      </c>
      <c r="B537" s="9" t="s">
        <v>246</v>
      </c>
      <c r="C537" s="9" t="s">
        <v>17</v>
      </c>
      <c r="D537" s="9" t="s">
        <v>1719</v>
      </c>
    </row>
    <row r="538" ht="15.75" customHeight="1">
      <c r="A538" s="7" t="s">
        <v>1720</v>
      </c>
      <c r="B538" s="9" t="s">
        <v>1721</v>
      </c>
      <c r="C538" s="9" t="s">
        <v>12</v>
      </c>
      <c r="D538" s="9" t="s">
        <v>1722</v>
      </c>
    </row>
    <row r="539" ht="15.75" customHeight="1">
      <c r="A539" s="7" t="s">
        <v>1723</v>
      </c>
      <c r="B539" s="9" t="s">
        <v>1725</v>
      </c>
      <c r="C539" s="9" t="s">
        <v>12</v>
      </c>
      <c r="D539" s="9" t="s">
        <v>848</v>
      </c>
    </row>
    <row r="540" ht="15.75" customHeight="1">
      <c r="A540" s="7" t="s">
        <v>1726</v>
      </c>
      <c r="B540" s="9" t="s">
        <v>1727</v>
      </c>
      <c r="C540" s="9" t="s">
        <v>12</v>
      </c>
      <c r="D540" s="9" t="s">
        <v>1705</v>
      </c>
    </row>
    <row r="541" ht="15.75" customHeight="1">
      <c r="A541" s="7" t="s">
        <v>1728</v>
      </c>
      <c r="B541" s="9" t="s">
        <v>387</v>
      </c>
      <c r="C541" s="9" t="s">
        <v>17</v>
      </c>
      <c r="D541" s="9" t="s">
        <v>236</v>
      </c>
    </row>
    <row r="542" ht="15.75" customHeight="1">
      <c r="A542" s="7" t="s">
        <v>1729</v>
      </c>
      <c r="B542" s="9" t="s">
        <v>1730</v>
      </c>
      <c r="C542" s="9" t="s">
        <v>17</v>
      </c>
      <c r="D542" s="9" t="s">
        <v>1732</v>
      </c>
    </row>
    <row r="543" ht="15.75" customHeight="1">
      <c r="A543" s="7" t="s">
        <v>1733</v>
      </c>
      <c r="B543" s="9" t="s">
        <v>1734</v>
      </c>
      <c r="C543" s="9" t="s">
        <v>17</v>
      </c>
      <c r="D543" s="9" t="s">
        <v>1735</v>
      </c>
    </row>
    <row r="544" ht="15.75" customHeight="1">
      <c r="A544" s="7" t="s">
        <v>1736</v>
      </c>
      <c r="B544" s="9" t="s">
        <v>1737</v>
      </c>
      <c r="C544" s="9" t="s">
        <v>12</v>
      </c>
      <c r="D544" s="9" t="s">
        <v>749</v>
      </c>
    </row>
    <row r="545" ht="15.75" customHeight="1">
      <c r="A545" s="7" t="s">
        <v>1738</v>
      </c>
      <c r="B545" s="9" t="s">
        <v>1739</v>
      </c>
      <c r="C545" s="9" t="s">
        <v>12</v>
      </c>
      <c r="D545" s="9" t="s">
        <v>1740</v>
      </c>
    </row>
    <row r="546" ht="15.75" customHeight="1">
      <c r="A546" s="7" t="s">
        <v>1742</v>
      </c>
      <c r="B546" s="9" t="s">
        <v>1743</v>
      </c>
      <c r="C546" s="9" t="s">
        <v>1573</v>
      </c>
      <c r="D546" s="9" t="s">
        <v>1744</v>
      </c>
    </row>
    <row r="547" ht="15.75" customHeight="1">
      <c r="A547" s="7" t="s">
        <v>1745</v>
      </c>
      <c r="B547" s="9" t="s">
        <v>1746</v>
      </c>
      <c r="C547" s="9" t="s">
        <v>17</v>
      </c>
      <c r="D547" s="9" t="s">
        <v>1212</v>
      </c>
    </row>
    <row r="548" ht="15.75" customHeight="1">
      <c r="A548" s="7" t="s">
        <v>1747</v>
      </c>
      <c r="B548" s="9" t="s">
        <v>1748</v>
      </c>
      <c r="C548" s="9" t="s">
        <v>12</v>
      </c>
      <c r="D548" s="9" t="s">
        <v>1749</v>
      </c>
    </row>
    <row r="549" ht="15.75" customHeight="1">
      <c r="A549" s="7" t="s">
        <v>1750</v>
      </c>
      <c r="B549" s="9" t="s">
        <v>1751</v>
      </c>
      <c r="C549" s="9" t="s">
        <v>17</v>
      </c>
      <c r="D549" s="9" t="s">
        <v>1753</v>
      </c>
    </row>
    <row r="550" ht="15.75" customHeight="1">
      <c r="A550" s="7" t="s">
        <v>1754</v>
      </c>
      <c r="B550" s="9" t="s">
        <v>1755</v>
      </c>
      <c r="C550" s="9" t="s">
        <v>17</v>
      </c>
      <c r="D550" s="9" t="s">
        <v>1756</v>
      </c>
    </row>
    <row r="551" ht="15.75" customHeight="1">
      <c r="A551" s="7" t="s">
        <v>1757</v>
      </c>
      <c r="B551" s="9" t="s">
        <v>1758</v>
      </c>
      <c r="C551" s="9" t="s">
        <v>17</v>
      </c>
      <c r="D551" s="9" t="s">
        <v>1759</v>
      </c>
    </row>
    <row r="552" ht="15.75" customHeight="1">
      <c r="A552" s="7" t="s">
        <v>1760</v>
      </c>
      <c r="B552" s="9" t="s">
        <v>1761</v>
      </c>
      <c r="C552" s="9" t="s">
        <v>12</v>
      </c>
      <c r="D552" s="9" t="s">
        <v>1762</v>
      </c>
    </row>
    <row r="553" ht="15.75" customHeight="1">
      <c r="A553" s="7" t="s">
        <v>1763</v>
      </c>
      <c r="B553" s="9" t="s">
        <v>591</v>
      </c>
      <c r="C553" s="9" t="s">
        <v>17</v>
      </c>
      <c r="D553" s="9" t="s">
        <v>1531</v>
      </c>
    </row>
    <row r="554" ht="15.75" customHeight="1">
      <c r="A554" s="7" t="s">
        <v>1765</v>
      </c>
      <c r="B554" s="9" t="s">
        <v>1766</v>
      </c>
      <c r="C554" s="9" t="s">
        <v>17</v>
      </c>
      <c r="D554" s="9" t="s">
        <v>1767</v>
      </c>
    </row>
    <row r="555" ht="15.75" customHeight="1">
      <c r="A555" s="7" t="s">
        <v>1768</v>
      </c>
      <c r="B555" s="9" t="s">
        <v>1769</v>
      </c>
      <c r="C555" s="9" t="s">
        <v>12</v>
      </c>
      <c r="D555" s="9" t="s">
        <v>1770</v>
      </c>
    </row>
    <row r="556" ht="15.75" customHeight="1">
      <c r="A556" s="7" t="s">
        <v>1771</v>
      </c>
      <c r="B556" s="9" t="s">
        <v>1772</v>
      </c>
      <c r="C556" s="9" t="s">
        <v>17</v>
      </c>
      <c r="D556" s="9" t="s">
        <v>342</v>
      </c>
    </row>
    <row r="557" ht="15.75" customHeight="1">
      <c r="A557" s="7" t="s">
        <v>1774</v>
      </c>
      <c r="B557" s="9" t="s">
        <v>1775</v>
      </c>
      <c r="C557" s="9" t="s">
        <v>17</v>
      </c>
      <c r="D557" s="9" t="s">
        <v>1776</v>
      </c>
    </row>
    <row r="558" ht="15.75" customHeight="1">
      <c r="A558" s="7" t="s">
        <v>1777</v>
      </c>
      <c r="B558" s="9" t="s">
        <v>1778</v>
      </c>
      <c r="C558" s="9" t="s">
        <v>12</v>
      </c>
      <c r="D558" s="9" t="s">
        <v>1779</v>
      </c>
    </row>
    <row r="559" ht="15.75" customHeight="1">
      <c r="A559" s="7" t="s">
        <v>1780</v>
      </c>
      <c r="B559" s="9" t="s">
        <v>1781</v>
      </c>
      <c r="C559" s="9" t="s">
        <v>17</v>
      </c>
      <c r="D559" s="9" t="s">
        <v>320</v>
      </c>
    </row>
    <row r="560" ht="15.75" customHeight="1">
      <c r="A560" s="7" t="s">
        <v>1783</v>
      </c>
      <c r="B560" s="9" t="s">
        <v>1784</v>
      </c>
      <c r="C560" s="9" t="s">
        <v>12</v>
      </c>
      <c r="D560" s="9" t="s">
        <v>1785</v>
      </c>
    </row>
    <row r="561" ht="15.75" customHeight="1">
      <c r="A561" s="7" t="s">
        <v>1786</v>
      </c>
      <c r="B561" s="9" t="s">
        <v>1787</v>
      </c>
      <c r="C561" s="9" t="s">
        <v>17</v>
      </c>
      <c r="D561" s="9" t="s">
        <v>1788</v>
      </c>
    </row>
    <row r="562" ht="15.75" customHeight="1">
      <c r="A562" s="7" t="s">
        <v>1789</v>
      </c>
      <c r="B562" s="9" t="s">
        <v>1790</v>
      </c>
      <c r="C562" s="9" t="s">
        <v>12</v>
      </c>
      <c r="D562" s="9" t="s">
        <v>1791</v>
      </c>
    </row>
    <row r="563" ht="15.75" customHeight="1">
      <c r="A563" s="7" t="s">
        <v>1792</v>
      </c>
      <c r="B563" s="9" t="s">
        <v>1793</v>
      </c>
      <c r="C563" s="9" t="s">
        <v>17</v>
      </c>
      <c r="D563" s="9" t="s">
        <v>1795</v>
      </c>
    </row>
    <row r="564" ht="15.75" customHeight="1">
      <c r="A564" s="7" t="s">
        <v>1796</v>
      </c>
      <c r="B564" s="9" t="s">
        <v>1797</v>
      </c>
      <c r="C564" s="9" t="s">
        <v>17</v>
      </c>
      <c r="D564" s="9" t="s">
        <v>1798</v>
      </c>
    </row>
    <row r="565" ht="15.75" customHeight="1">
      <c r="A565" s="7" t="s">
        <v>1799</v>
      </c>
      <c r="B565" s="9" t="s">
        <v>1800</v>
      </c>
      <c r="C565" s="9" t="s">
        <v>12</v>
      </c>
      <c r="D565" s="9" t="s">
        <v>1801</v>
      </c>
    </row>
    <row r="566" ht="15.75" customHeight="1">
      <c r="A566" s="7" t="s">
        <v>1802</v>
      </c>
      <c r="B566" s="9" t="s">
        <v>1804</v>
      </c>
      <c r="C566" s="9" t="s">
        <v>1573</v>
      </c>
      <c r="D566" s="9" t="s">
        <v>1705</v>
      </c>
    </row>
    <row r="567" ht="15.75" customHeight="1">
      <c r="A567" s="7" t="s">
        <v>1805</v>
      </c>
      <c r="B567" s="9" t="s">
        <v>1806</v>
      </c>
      <c r="C567" s="9" t="s">
        <v>17</v>
      </c>
      <c r="D567" s="9" t="s">
        <v>1807</v>
      </c>
    </row>
    <row r="568" ht="15.75" customHeight="1">
      <c r="A568" s="7" t="s">
        <v>1808</v>
      </c>
      <c r="B568" s="9" t="s">
        <v>1809</v>
      </c>
      <c r="C568" s="9" t="s">
        <v>12</v>
      </c>
      <c r="D568" s="9" t="s">
        <v>1810</v>
      </c>
    </row>
    <row r="569" ht="15.75" customHeight="1">
      <c r="A569" s="7" t="s">
        <v>1811</v>
      </c>
      <c r="B569" s="9" t="s">
        <v>1812</v>
      </c>
      <c r="C569" s="9" t="s">
        <v>12</v>
      </c>
      <c r="D569" s="9" t="s">
        <v>1814</v>
      </c>
    </row>
    <row r="570" ht="15.75" customHeight="1">
      <c r="A570" s="7" t="s">
        <v>1815</v>
      </c>
      <c r="B570" s="9" t="s">
        <v>1816</v>
      </c>
      <c r="C570" s="9" t="s">
        <v>12</v>
      </c>
      <c r="D570" s="9" t="s">
        <v>1817</v>
      </c>
    </row>
    <row r="571" ht="15.75" customHeight="1">
      <c r="A571" s="7" t="s">
        <v>1818</v>
      </c>
      <c r="B571" s="9" t="s">
        <v>1819</v>
      </c>
      <c r="C571" s="9" t="s">
        <v>17</v>
      </c>
      <c r="D571" s="9" t="s">
        <v>1820</v>
      </c>
    </row>
    <row r="572" ht="15.75" customHeight="1">
      <c r="A572" s="7" t="s">
        <v>1821</v>
      </c>
      <c r="B572" s="9" t="s">
        <v>1822</v>
      </c>
      <c r="C572" s="9" t="s">
        <v>17</v>
      </c>
      <c r="D572" s="9" t="s">
        <v>1823</v>
      </c>
    </row>
    <row r="573" ht="15.75" customHeight="1">
      <c r="A573" s="7" t="s">
        <v>1825</v>
      </c>
      <c r="B573" s="9" t="s">
        <v>1826</v>
      </c>
      <c r="C573" s="9" t="s">
        <v>17</v>
      </c>
      <c r="D573" s="9" t="s">
        <v>662</v>
      </c>
    </row>
    <row r="574" ht="15.75" customHeight="1">
      <c r="A574" s="7" t="s">
        <v>1827</v>
      </c>
      <c r="B574" s="9" t="s">
        <v>1828</v>
      </c>
      <c r="C574" s="9" t="s">
        <v>1573</v>
      </c>
      <c r="D574" s="9" t="s">
        <v>1829</v>
      </c>
    </row>
    <row r="575" ht="15.75" customHeight="1">
      <c r="A575" s="7" t="s">
        <v>1830</v>
      </c>
      <c r="B575" s="9" t="s">
        <v>1831</v>
      </c>
      <c r="C575" s="9" t="s">
        <v>17</v>
      </c>
      <c r="D575" s="9" t="s">
        <v>1832</v>
      </c>
    </row>
    <row r="576" ht="15.75" customHeight="1">
      <c r="A576" s="7" t="s">
        <v>1834</v>
      </c>
      <c r="B576" s="9" t="s">
        <v>1835</v>
      </c>
      <c r="C576" s="9" t="s">
        <v>17</v>
      </c>
      <c r="D576" s="9" t="s">
        <v>1836</v>
      </c>
    </row>
    <row r="577" ht="15.75" customHeight="1">
      <c r="A577" s="7" t="s">
        <v>1837</v>
      </c>
      <c r="B577" s="9" t="s">
        <v>1838</v>
      </c>
      <c r="C577" s="9" t="s">
        <v>12</v>
      </c>
      <c r="D577" s="9" t="s">
        <v>1839</v>
      </c>
    </row>
    <row r="578" ht="15.75" customHeight="1">
      <c r="A578" s="7" t="s">
        <v>1840</v>
      </c>
      <c r="B578" s="9" t="s">
        <v>1841</v>
      </c>
      <c r="C578" s="9" t="s">
        <v>1573</v>
      </c>
      <c r="D578" s="9" t="s">
        <v>410</v>
      </c>
    </row>
    <row r="579" ht="15.75" customHeight="1">
      <c r="A579" s="7" t="s">
        <v>1843</v>
      </c>
      <c r="B579" s="9" t="s">
        <v>1844</v>
      </c>
      <c r="C579" s="9" t="s">
        <v>17</v>
      </c>
      <c r="D579" s="9" t="s">
        <v>1845</v>
      </c>
    </row>
    <row r="580" ht="15.75" customHeight="1">
      <c r="A580" s="7" t="s">
        <v>1846</v>
      </c>
      <c r="B580" s="9" t="s">
        <v>1847</v>
      </c>
      <c r="C580" s="9" t="s">
        <v>12</v>
      </c>
      <c r="D580" s="9" t="s">
        <v>1848</v>
      </c>
    </row>
    <row r="581" ht="15.75" customHeight="1">
      <c r="A581" s="7" t="s">
        <v>1850</v>
      </c>
      <c r="B581" s="9" t="s">
        <v>1851</v>
      </c>
      <c r="C581" s="9" t="s">
        <v>12</v>
      </c>
      <c r="D581" s="9" t="s">
        <v>1852</v>
      </c>
    </row>
    <row r="582" ht="15.75" customHeight="1">
      <c r="A582" s="7" t="s">
        <v>1853</v>
      </c>
      <c r="B582" s="9" t="s">
        <v>1854</v>
      </c>
      <c r="C582" s="9" t="s">
        <v>17</v>
      </c>
      <c r="D582" s="9" t="s">
        <v>1855</v>
      </c>
    </row>
    <row r="583" ht="15.75" customHeight="1">
      <c r="A583" s="7" t="s">
        <v>1856</v>
      </c>
      <c r="B583" s="9" t="s">
        <v>1857</v>
      </c>
      <c r="C583" s="9" t="s">
        <v>17</v>
      </c>
      <c r="D583" s="9" t="s">
        <v>22</v>
      </c>
    </row>
    <row r="584" ht="15.75" customHeight="1">
      <c r="A584" s="7" t="s">
        <v>1858</v>
      </c>
      <c r="B584" s="9" t="s">
        <v>1859</v>
      </c>
      <c r="C584" s="9" t="s">
        <v>12</v>
      </c>
      <c r="D584" s="9" t="s">
        <v>1860</v>
      </c>
    </row>
    <row r="585" ht="15.75" customHeight="1">
      <c r="A585" s="7" t="s">
        <v>1861</v>
      </c>
      <c r="B585" s="9" t="s">
        <v>1862</v>
      </c>
      <c r="C585" s="9" t="s">
        <v>17</v>
      </c>
      <c r="D585" s="9" t="s">
        <v>1335</v>
      </c>
    </row>
    <row r="586" ht="15.75" customHeight="1">
      <c r="A586" s="7" t="s">
        <v>1864</v>
      </c>
      <c r="B586" s="9" t="s">
        <v>1865</v>
      </c>
      <c r="C586" s="9" t="s">
        <v>12</v>
      </c>
      <c r="D586" s="9" t="s">
        <v>1866</v>
      </c>
    </row>
    <row r="587" ht="15.75" customHeight="1">
      <c r="A587" s="7" t="s">
        <v>1867</v>
      </c>
      <c r="B587" s="9" t="s">
        <v>1868</v>
      </c>
      <c r="C587" s="9" t="s">
        <v>12</v>
      </c>
      <c r="D587" s="9" t="s">
        <v>1172</v>
      </c>
    </row>
    <row r="588" ht="15.75" customHeight="1">
      <c r="A588" s="7" t="s">
        <v>1869</v>
      </c>
      <c r="B588" s="9" t="s">
        <v>1870</v>
      </c>
      <c r="C588" s="9" t="s">
        <v>12</v>
      </c>
      <c r="D588" s="9" t="s">
        <v>1871</v>
      </c>
    </row>
    <row r="589" ht="15.75" customHeight="1">
      <c r="A589" s="7" t="s">
        <v>1873</v>
      </c>
      <c r="B589" s="9" t="s">
        <v>1874</v>
      </c>
      <c r="C589" s="9" t="s">
        <v>12</v>
      </c>
      <c r="D589" s="9" t="s">
        <v>1875</v>
      </c>
    </row>
    <row r="590" ht="15.75" customHeight="1">
      <c r="A590" s="7" t="s">
        <v>1876</v>
      </c>
      <c r="B590" s="9" t="s">
        <v>275</v>
      </c>
      <c r="C590" s="9" t="s">
        <v>1573</v>
      </c>
      <c r="D590" s="9" t="s">
        <v>255</v>
      </c>
    </row>
    <row r="591" ht="15.75" customHeight="1">
      <c r="A591" s="7" t="s">
        <v>1877</v>
      </c>
      <c r="B591" s="9" t="s">
        <v>1878</v>
      </c>
      <c r="C591" s="9" t="s">
        <v>12</v>
      </c>
      <c r="D591" s="9" t="s">
        <v>1880</v>
      </c>
    </row>
    <row r="592" ht="15.75" customHeight="1">
      <c r="A592" s="7" t="s">
        <v>1881</v>
      </c>
      <c r="B592" s="9" t="s">
        <v>1882</v>
      </c>
      <c r="C592" s="9" t="s">
        <v>17</v>
      </c>
      <c r="D592" s="9" t="s">
        <v>836</v>
      </c>
    </row>
    <row r="593" ht="15.75" customHeight="1">
      <c r="A593" s="7" t="s">
        <v>1883</v>
      </c>
      <c r="B593" s="9" t="s">
        <v>239</v>
      </c>
      <c r="C593" s="9" t="s">
        <v>12</v>
      </c>
      <c r="D593" s="9" t="s">
        <v>1884</v>
      </c>
    </row>
    <row r="594" ht="15.75" customHeight="1">
      <c r="A594" s="7" t="s">
        <v>1885</v>
      </c>
      <c r="B594" s="9" t="s">
        <v>1886</v>
      </c>
      <c r="C594" s="9" t="s">
        <v>12</v>
      </c>
      <c r="D594" s="9" t="s">
        <v>1888</v>
      </c>
    </row>
    <row r="595" ht="15.75" customHeight="1">
      <c r="A595" s="7" t="s">
        <v>1889</v>
      </c>
      <c r="B595" s="9" t="s">
        <v>1890</v>
      </c>
      <c r="C595" s="9" t="s">
        <v>1573</v>
      </c>
      <c r="D595" s="9" t="s">
        <v>1891</v>
      </c>
    </row>
    <row r="596" ht="15.75" customHeight="1">
      <c r="A596" s="7" t="s">
        <v>1892</v>
      </c>
      <c r="B596" s="9" t="s">
        <v>1893</v>
      </c>
      <c r="C596" s="9" t="s">
        <v>12</v>
      </c>
      <c r="D596" s="9" t="s">
        <v>1894</v>
      </c>
    </row>
    <row r="597" ht="15.75" customHeight="1">
      <c r="A597" s="7" t="s">
        <v>1895</v>
      </c>
      <c r="B597" s="9" t="s">
        <v>1896</v>
      </c>
      <c r="C597" s="9" t="s">
        <v>17</v>
      </c>
      <c r="D597" s="9" t="s">
        <v>1897</v>
      </c>
    </row>
    <row r="598" ht="15.75" customHeight="1">
      <c r="A598" s="7" t="s">
        <v>1899</v>
      </c>
      <c r="B598" s="9" t="s">
        <v>1900</v>
      </c>
      <c r="C598" s="9" t="s">
        <v>17</v>
      </c>
      <c r="D598" s="9" t="s">
        <v>1901</v>
      </c>
    </row>
    <row r="599" ht="15.75" customHeight="1">
      <c r="A599" s="7" t="s">
        <v>1902</v>
      </c>
      <c r="B599" s="9" t="s">
        <v>1903</v>
      </c>
      <c r="C599" s="9" t="s">
        <v>12</v>
      </c>
      <c r="D599" s="9" t="s">
        <v>1904</v>
      </c>
    </row>
    <row r="600" ht="15.75" customHeight="1">
      <c r="A600" s="7" t="s">
        <v>1905</v>
      </c>
      <c r="B600" s="9" t="s">
        <v>1906</v>
      </c>
      <c r="C600" s="9" t="s">
        <v>12</v>
      </c>
      <c r="D600" s="9" t="s">
        <v>1907</v>
      </c>
    </row>
    <row r="601" ht="15.75" customHeight="1">
      <c r="A601" s="7" t="s">
        <v>1908</v>
      </c>
      <c r="B601" s="9" t="s">
        <v>1910</v>
      </c>
      <c r="C601" s="9" t="s">
        <v>17</v>
      </c>
      <c r="D601" s="9" t="s">
        <v>1911</v>
      </c>
    </row>
    <row r="602" ht="15.75" customHeight="1">
      <c r="A602" s="7" t="s">
        <v>1912</v>
      </c>
      <c r="B602" s="9" t="s">
        <v>1913</v>
      </c>
      <c r="C602" s="9" t="s">
        <v>12</v>
      </c>
      <c r="D602" s="9" t="s">
        <v>1914</v>
      </c>
    </row>
    <row r="603" ht="15.75" customHeight="1">
      <c r="A603" s="7" t="s">
        <v>1915</v>
      </c>
      <c r="B603" s="9" t="s">
        <v>39</v>
      </c>
      <c r="C603" s="9" t="s">
        <v>1573</v>
      </c>
      <c r="D603" s="9" t="s">
        <v>637</v>
      </c>
    </row>
    <row r="604" ht="15.75" customHeight="1">
      <c r="A604" s="7" t="s">
        <v>1916</v>
      </c>
      <c r="B604" s="9" t="s">
        <v>1917</v>
      </c>
      <c r="C604" s="9" t="s">
        <v>1573</v>
      </c>
      <c r="D604" s="9" t="s">
        <v>1918</v>
      </c>
    </row>
    <row r="605" ht="15.75" customHeight="1">
      <c r="A605" s="7" t="s">
        <v>1920</v>
      </c>
      <c r="B605" s="9" t="s">
        <v>1921</v>
      </c>
      <c r="C605" s="9" t="s">
        <v>17</v>
      </c>
      <c r="D605" s="9" t="s">
        <v>1855</v>
      </c>
    </row>
    <row r="606" ht="15.75" customHeight="1">
      <c r="A606" s="7" t="s">
        <v>1922</v>
      </c>
      <c r="B606" s="9" t="s">
        <v>389</v>
      </c>
      <c r="C606" s="9" t="s">
        <v>17</v>
      </c>
      <c r="D606" s="9" t="s">
        <v>1923</v>
      </c>
    </row>
    <row r="607" ht="15.75" customHeight="1">
      <c r="A607" s="7" t="s">
        <v>1925</v>
      </c>
      <c r="B607" s="9" t="s">
        <v>1926</v>
      </c>
      <c r="C607" s="9" t="s">
        <v>17</v>
      </c>
      <c r="D607" s="9" t="s">
        <v>1927</v>
      </c>
    </row>
    <row r="608" ht="15.75" customHeight="1">
      <c r="A608" s="7" t="s">
        <v>1928</v>
      </c>
      <c r="B608" s="9" t="s">
        <v>1929</v>
      </c>
      <c r="C608" s="9" t="s">
        <v>17</v>
      </c>
      <c r="D608" s="9" t="s">
        <v>1930</v>
      </c>
    </row>
    <row r="609" ht="15.75" customHeight="1">
      <c r="A609" s="7" t="s">
        <v>1931</v>
      </c>
      <c r="B609" s="9" t="s">
        <v>1932</v>
      </c>
      <c r="C609" s="9" t="s">
        <v>17</v>
      </c>
      <c r="D609" s="9" t="s">
        <v>1933</v>
      </c>
    </row>
    <row r="610" ht="15.75" customHeight="1">
      <c r="A610" s="7" t="s">
        <v>1935</v>
      </c>
      <c r="B610" s="9" t="s">
        <v>1936</v>
      </c>
      <c r="C610" s="9" t="s">
        <v>17</v>
      </c>
      <c r="D610" s="9" t="s">
        <v>1937</v>
      </c>
    </row>
    <row r="611" ht="15.75" customHeight="1">
      <c r="A611" s="7" t="s">
        <v>1938</v>
      </c>
      <c r="B611" s="9" t="s">
        <v>1939</v>
      </c>
      <c r="C611" s="9" t="s">
        <v>1573</v>
      </c>
      <c r="D611" s="9" t="s">
        <v>1940</v>
      </c>
    </row>
    <row r="612" ht="15.75" customHeight="1">
      <c r="A612" s="7" t="s">
        <v>1941</v>
      </c>
      <c r="B612" s="9" t="s">
        <v>1942</v>
      </c>
      <c r="C612" s="9" t="s">
        <v>17</v>
      </c>
      <c r="D612" s="9" t="s">
        <v>1943</v>
      </c>
    </row>
    <row r="613" ht="15.75" customHeight="1">
      <c r="A613" s="7" t="s">
        <v>1945</v>
      </c>
      <c r="B613" s="9" t="s">
        <v>1946</v>
      </c>
      <c r="C613" s="9" t="s">
        <v>12</v>
      </c>
      <c r="D613" s="9" t="s">
        <v>839</v>
      </c>
    </row>
    <row r="614" ht="15.75" customHeight="1">
      <c r="A614" s="7" t="s">
        <v>1947</v>
      </c>
      <c r="B614" s="9" t="s">
        <v>1948</v>
      </c>
      <c r="C614" s="9" t="s">
        <v>12</v>
      </c>
      <c r="D614" s="9" t="s">
        <v>1950</v>
      </c>
    </row>
    <row r="615" ht="15.75" customHeight="1">
      <c r="A615" s="7" t="s">
        <v>1951</v>
      </c>
      <c r="B615" s="9" t="s">
        <v>1952</v>
      </c>
      <c r="C615" s="9" t="s">
        <v>17</v>
      </c>
      <c r="D615" s="9" t="s">
        <v>1953</v>
      </c>
    </row>
    <row r="616" ht="15.75" customHeight="1">
      <c r="A616" s="7" t="s">
        <v>1955</v>
      </c>
      <c r="B616" s="9" t="s">
        <v>1956</v>
      </c>
      <c r="C616" s="9" t="s">
        <v>12</v>
      </c>
      <c r="D616" s="9" t="s">
        <v>1957</v>
      </c>
    </row>
    <row r="617" ht="15.75" customHeight="1">
      <c r="A617" s="7" t="s">
        <v>1958</v>
      </c>
      <c r="B617" s="9" t="s">
        <v>249</v>
      </c>
      <c r="C617" s="9" t="s">
        <v>12</v>
      </c>
      <c r="D617" s="9" t="s">
        <v>1959</v>
      </c>
    </row>
    <row r="618" ht="15.75" customHeight="1">
      <c r="A618" s="7" t="s">
        <v>1960</v>
      </c>
      <c r="B618" s="9" t="s">
        <v>910</v>
      </c>
      <c r="C618" s="9" t="s">
        <v>1573</v>
      </c>
      <c r="D618" s="9" t="s">
        <v>623</v>
      </c>
    </row>
    <row r="619" ht="15.75" customHeight="1">
      <c r="A619" s="7" t="s">
        <v>1962</v>
      </c>
      <c r="B619" s="9" t="s">
        <v>1963</v>
      </c>
      <c r="C619" s="9" t="s">
        <v>12</v>
      </c>
      <c r="D619" s="9" t="s">
        <v>613</v>
      </c>
    </row>
    <row r="620" ht="15.75" customHeight="1">
      <c r="A620" s="7" t="s">
        <v>1964</v>
      </c>
      <c r="B620" s="9" t="s">
        <v>1965</v>
      </c>
      <c r="C620" s="9" t="s">
        <v>12</v>
      </c>
      <c r="D620" s="9" t="s">
        <v>776</v>
      </c>
    </row>
    <row r="621" ht="15.75" customHeight="1">
      <c r="A621" s="7" t="s">
        <v>1967</v>
      </c>
      <c r="B621" s="9" t="s">
        <v>1968</v>
      </c>
      <c r="C621" s="9" t="s">
        <v>12</v>
      </c>
      <c r="D621" s="9" t="s">
        <v>1969</v>
      </c>
    </row>
    <row r="622" ht="15.75" customHeight="1">
      <c r="A622" s="7" t="s">
        <v>1970</v>
      </c>
      <c r="B622" s="9" t="s">
        <v>1971</v>
      </c>
      <c r="C622" s="9" t="s">
        <v>1573</v>
      </c>
      <c r="D622" s="9" t="s">
        <v>1972</v>
      </c>
    </row>
    <row r="623" ht="15.75" customHeight="1">
      <c r="A623" s="7" t="s">
        <v>1974</v>
      </c>
      <c r="B623" s="9" t="s">
        <v>1975</v>
      </c>
      <c r="C623" s="9" t="s">
        <v>17</v>
      </c>
      <c r="D623" s="9" t="s">
        <v>1976</v>
      </c>
    </row>
    <row r="624" ht="15.75" customHeight="1">
      <c r="A624" s="7" t="s">
        <v>1977</v>
      </c>
      <c r="B624" s="9" t="s">
        <v>1979</v>
      </c>
      <c r="C624" s="9" t="s">
        <v>12</v>
      </c>
      <c r="D624" s="9" t="s">
        <v>1980</v>
      </c>
    </row>
    <row r="625" ht="15.75" customHeight="1">
      <c r="A625" s="7" t="s">
        <v>1981</v>
      </c>
      <c r="B625" s="9" t="s">
        <v>1982</v>
      </c>
      <c r="C625" s="9" t="s">
        <v>17</v>
      </c>
      <c r="D625" s="9" t="s">
        <v>1984</v>
      </c>
    </row>
    <row r="626" ht="15.75" customHeight="1">
      <c r="A626" s="7" t="s">
        <v>1985</v>
      </c>
      <c r="B626" s="9" t="s">
        <v>1986</v>
      </c>
      <c r="C626" s="9" t="s">
        <v>17</v>
      </c>
      <c r="D626" s="9" t="s">
        <v>1987</v>
      </c>
    </row>
    <row r="627" ht="15.75" customHeight="1">
      <c r="A627" s="7" t="s">
        <v>1988</v>
      </c>
      <c r="B627" s="9" t="s">
        <v>1989</v>
      </c>
      <c r="C627" s="9" t="s">
        <v>17</v>
      </c>
      <c r="D627" s="9" t="s">
        <v>1990</v>
      </c>
    </row>
    <row r="628" ht="15.75" customHeight="1">
      <c r="A628" s="7" t="s">
        <v>1991</v>
      </c>
      <c r="B628" s="9" t="s">
        <v>1992</v>
      </c>
      <c r="C628" s="9" t="s">
        <v>17</v>
      </c>
      <c r="D628" s="9" t="s">
        <v>1993</v>
      </c>
    </row>
    <row r="629" ht="15.75" customHeight="1">
      <c r="A629" s="7" t="s">
        <v>1995</v>
      </c>
      <c r="B629" s="9" t="s">
        <v>1996</v>
      </c>
      <c r="C629" s="9" t="s">
        <v>1573</v>
      </c>
      <c r="D629" s="9" t="s">
        <v>1997</v>
      </c>
    </row>
    <row r="630" ht="15.75" customHeight="1">
      <c r="A630" s="7" t="s">
        <v>1998</v>
      </c>
      <c r="B630" s="9" t="s">
        <v>1999</v>
      </c>
      <c r="C630" s="9" t="s">
        <v>17</v>
      </c>
      <c r="D630" s="9" t="s">
        <v>2000</v>
      </c>
    </row>
    <row r="631" ht="15.75" customHeight="1">
      <c r="A631" s="7" t="s">
        <v>2002</v>
      </c>
      <c r="B631" s="9" t="s">
        <v>873</v>
      </c>
      <c r="C631" s="9" t="s">
        <v>12</v>
      </c>
      <c r="D631" s="9" t="s">
        <v>2003</v>
      </c>
    </row>
    <row r="632" ht="15.75" customHeight="1">
      <c r="A632" s="7" t="s">
        <v>2004</v>
      </c>
      <c r="B632" s="9" t="s">
        <v>2005</v>
      </c>
      <c r="C632" s="9" t="s">
        <v>1573</v>
      </c>
      <c r="D632" s="9" t="s">
        <v>2006</v>
      </c>
    </row>
    <row r="633" ht="15.75" customHeight="1">
      <c r="A633" s="7" t="s">
        <v>2007</v>
      </c>
      <c r="B633" s="9" t="s">
        <v>2008</v>
      </c>
      <c r="C633" s="9" t="s">
        <v>17</v>
      </c>
      <c r="D633" s="9" t="s">
        <v>729</v>
      </c>
    </row>
    <row r="634" ht="15.75" customHeight="1">
      <c r="A634" s="7" t="s">
        <v>2010</v>
      </c>
      <c r="B634" s="9" t="s">
        <v>2011</v>
      </c>
      <c r="C634" s="9" t="s">
        <v>17</v>
      </c>
      <c r="D634" s="9" t="s">
        <v>1335</v>
      </c>
    </row>
    <row r="635" ht="15.75" customHeight="1">
      <c r="A635" s="7" t="s">
        <v>2012</v>
      </c>
      <c r="B635" s="9" t="s">
        <v>2013</v>
      </c>
      <c r="C635" s="9" t="s">
        <v>1573</v>
      </c>
      <c r="D635" s="9" t="s">
        <v>2014</v>
      </c>
    </row>
    <row r="636" ht="15.75" customHeight="1">
      <c r="A636" s="7" t="s">
        <v>2015</v>
      </c>
      <c r="B636" s="9" t="s">
        <v>1059</v>
      </c>
      <c r="C636" s="9" t="s">
        <v>17</v>
      </c>
      <c r="D636" s="9" t="s">
        <v>2016</v>
      </c>
    </row>
    <row r="637" ht="15.75" customHeight="1">
      <c r="A637" s="7" t="s">
        <v>2017</v>
      </c>
      <c r="B637" s="9" t="s">
        <v>2018</v>
      </c>
      <c r="C637" s="9" t="s">
        <v>1573</v>
      </c>
      <c r="D637" s="9" t="s">
        <v>2020</v>
      </c>
    </row>
    <row r="638" ht="15.75" customHeight="1">
      <c r="A638" s="7" t="s">
        <v>2021</v>
      </c>
      <c r="B638" s="9" t="s">
        <v>2022</v>
      </c>
      <c r="C638" s="9" t="s">
        <v>12</v>
      </c>
      <c r="D638" s="9" t="s">
        <v>801</v>
      </c>
    </row>
    <row r="639" ht="15.75" customHeight="1">
      <c r="A639" s="7" t="s">
        <v>2023</v>
      </c>
      <c r="B639" s="9" t="s">
        <v>2025</v>
      </c>
      <c r="C639" s="9" t="s">
        <v>17</v>
      </c>
      <c r="D639" s="9" t="s">
        <v>413</v>
      </c>
    </row>
    <row r="640" ht="15.75" customHeight="1">
      <c r="A640" s="7" t="s">
        <v>2027</v>
      </c>
      <c r="B640" s="9" t="s">
        <v>2028</v>
      </c>
      <c r="C640" s="9" t="s">
        <v>12</v>
      </c>
      <c r="D640" s="9" t="s">
        <v>2029</v>
      </c>
    </row>
    <row r="641" ht="15.75" customHeight="1">
      <c r="A641" s="7" t="s">
        <v>2030</v>
      </c>
      <c r="B641" s="9" t="s">
        <v>25</v>
      </c>
      <c r="C641" s="9" t="s">
        <v>1573</v>
      </c>
      <c r="D641" s="9" t="s">
        <v>2032</v>
      </c>
    </row>
    <row r="642" ht="15.75" customHeight="1">
      <c r="A642" s="7" t="s">
        <v>2033</v>
      </c>
      <c r="B642" s="9" t="s">
        <v>2034</v>
      </c>
      <c r="C642" s="9" t="s">
        <v>17</v>
      </c>
      <c r="D642" s="9" t="s">
        <v>2036</v>
      </c>
    </row>
    <row r="643" ht="15.75" customHeight="1">
      <c r="A643" s="7" t="s">
        <v>2037</v>
      </c>
      <c r="B643" s="9" t="s">
        <v>229</v>
      </c>
      <c r="C643" s="9" t="s">
        <v>12</v>
      </c>
      <c r="D643" s="9" t="s">
        <v>2038</v>
      </c>
    </row>
    <row r="644" ht="15.75" customHeight="1">
      <c r="A644" s="7" t="s">
        <v>2039</v>
      </c>
      <c r="B644" s="9" t="s">
        <v>2040</v>
      </c>
      <c r="C644" s="9" t="s">
        <v>17</v>
      </c>
      <c r="D644" s="9" t="s">
        <v>39</v>
      </c>
    </row>
    <row r="645" ht="15.75" customHeight="1">
      <c r="A645" s="7" t="s">
        <v>2041</v>
      </c>
      <c r="B645" s="9" t="s">
        <v>2042</v>
      </c>
      <c r="C645" s="9" t="s">
        <v>17</v>
      </c>
      <c r="D645" s="9" t="s">
        <v>2043</v>
      </c>
    </row>
    <row r="646" ht="15.75" customHeight="1">
      <c r="A646" s="7" t="s">
        <v>2045</v>
      </c>
      <c r="B646" s="9" t="s">
        <v>2046</v>
      </c>
      <c r="C646" s="9" t="s">
        <v>12</v>
      </c>
      <c r="D646" s="9" t="s">
        <v>1293</v>
      </c>
    </row>
    <row r="647" ht="15.75" customHeight="1">
      <c r="A647" s="7" t="s">
        <v>2047</v>
      </c>
      <c r="B647" s="9" t="s">
        <v>2048</v>
      </c>
      <c r="C647" s="9" t="s">
        <v>12</v>
      </c>
      <c r="D647" s="9" t="s">
        <v>2049</v>
      </c>
    </row>
    <row r="648" ht="15.75" customHeight="1">
      <c r="A648" s="7" t="s">
        <v>2050</v>
      </c>
      <c r="B648" s="9" t="s">
        <v>2052</v>
      </c>
      <c r="C648" s="9" t="s">
        <v>12</v>
      </c>
      <c r="D648" s="9" t="s">
        <v>2053</v>
      </c>
    </row>
    <row r="649" ht="15.75" customHeight="1">
      <c r="A649" s="7" t="s">
        <v>2054</v>
      </c>
      <c r="B649" s="9" t="s">
        <v>2055</v>
      </c>
      <c r="C649" s="9" t="s">
        <v>17</v>
      </c>
      <c r="D649" s="9" t="s">
        <v>2056</v>
      </c>
    </row>
    <row r="650" ht="15.75" customHeight="1">
      <c r="A650" s="7" t="s">
        <v>2057</v>
      </c>
      <c r="B650" s="9" t="s">
        <v>2058</v>
      </c>
      <c r="C650" s="9" t="s">
        <v>17</v>
      </c>
      <c r="D650" s="9" t="s">
        <v>1296</v>
      </c>
    </row>
    <row r="651" ht="15.75" customHeight="1">
      <c r="A651" s="7" t="s">
        <v>2060</v>
      </c>
      <c r="B651" s="9" t="s">
        <v>2061</v>
      </c>
      <c r="C651" s="9" t="s">
        <v>12</v>
      </c>
      <c r="D651" s="9" t="s">
        <v>2062</v>
      </c>
    </row>
    <row r="652" ht="15.75" customHeight="1">
      <c r="A652" s="7" t="s">
        <v>2063</v>
      </c>
      <c r="B652" s="9" t="s">
        <v>2064</v>
      </c>
      <c r="C652" s="9" t="s">
        <v>17</v>
      </c>
      <c r="D652" s="9" t="s">
        <v>60</v>
      </c>
    </row>
    <row r="653" ht="15.75" customHeight="1">
      <c r="A653" s="7" t="s">
        <v>2065</v>
      </c>
      <c r="B653" s="9" t="s">
        <v>2066</v>
      </c>
      <c r="C653" s="9" t="s">
        <v>12</v>
      </c>
      <c r="D653" s="9" t="s">
        <v>2067</v>
      </c>
    </row>
    <row r="654" ht="15.75" customHeight="1">
      <c r="A654" s="7" t="s">
        <v>2068</v>
      </c>
      <c r="B654" s="9" t="s">
        <v>2070</v>
      </c>
      <c r="C654" s="9" t="s">
        <v>17</v>
      </c>
      <c r="D654" s="9" t="s">
        <v>2071</v>
      </c>
    </row>
    <row r="655" ht="15.75" customHeight="1">
      <c r="A655" s="7" t="s">
        <v>2072</v>
      </c>
      <c r="B655" s="9" t="s">
        <v>2073</v>
      </c>
      <c r="C655" s="9" t="s">
        <v>17</v>
      </c>
      <c r="D655" s="9" t="s">
        <v>328</v>
      </c>
    </row>
    <row r="656" ht="15.75" customHeight="1">
      <c r="A656" s="7" t="s">
        <v>2074</v>
      </c>
      <c r="B656" s="9" t="s">
        <v>2075</v>
      </c>
      <c r="C656" s="9" t="s">
        <v>17</v>
      </c>
      <c r="D656" s="9" t="s">
        <v>2077</v>
      </c>
    </row>
    <row r="657" ht="15.75" customHeight="1">
      <c r="A657" s="7" t="s">
        <v>2078</v>
      </c>
      <c r="B657" s="9" t="s">
        <v>2079</v>
      </c>
      <c r="C657" s="9" t="s">
        <v>17</v>
      </c>
      <c r="D657" s="9" t="s">
        <v>2080</v>
      </c>
    </row>
    <row r="658" ht="15.75" customHeight="1">
      <c r="A658" s="7" t="s">
        <v>2081</v>
      </c>
      <c r="B658" s="9" t="s">
        <v>2082</v>
      </c>
      <c r="C658" s="9" t="s">
        <v>12</v>
      </c>
      <c r="D658" s="9" t="s">
        <v>2084</v>
      </c>
    </row>
    <row r="659" ht="15.75" customHeight="1">
      <c r="A659" s="7" t="s">
        <v>2085</v>
      </c>
      <c r="B659" s="9" t="s">
        <v>2086</v>
      </c>
      <c r="C659" s="9" t="s">
        <v>12</v>
      </c>
      <c r="D659" s="9" t="s">
        <v>2087</v>
      </c>
    </row>
    <row r="660" ht="15.75" customHeight="1">
      <c r="A660" s="7" t="s">
        <v>2089</v>
      </c>
      <c r="B660" s="9" t="s">
        <v>2090</v>
      </c>
      <c r="C660" s="9" t="s">
        <v>12</v>
      </c>
      <c r="D660" s="9" t="s">
        <v>2091</v>
      </c>
    </row>
    <row r="661" ht="15.75" customHeight="1">
      <c r="A661" s="7" t="s">
        <v>2093</v>
      </c>
      <c r="B661" s="9" t="s">
        <v>2094</v>
      </c>
      <c r="C661" s="9" t="s">
        <v>12</v>
      </c>
      <c r="D661" s="9" t="s">
        <v>2095</v>
      </c>
    </row>
    <row r="662" ht="15.75" customHeight="1">
      <c r="A662" s="7" t="s">
        <v>2096</v>
      </c>
      <c r="B662" s="9" t="s">
        <v>2097</v>
      </c>
      <c r="C662" s="9" t="s">
        <v>17</v>
      </c>
      <c r="D662" s="9" t="s">
        <v>2098</v>
      </c>
    </row>
    <row r="663" ht="15.75" customHeight="1">
      <c r="A663" s="7" t="s">
        <v>2099</v>
      </c>
      <c r="B663" s="9" t="s">
        <v>2100</v>
      </c>
      <c r="C663" s="9" t="s">
        <v>17</v>
      </c>
      <c r="D663" s="9" t="s">
        <v>2102</v>
      </c>
    </row>
    <row r="664" ht="15.75" customHeight="1">
      <c r="A664" s="7" t="s">
        <v>2103</v>
      </c>
      <c r="B664" s="9" t="s">
        <v>2104</v>
      </c>
      <c r="C664" s="9" t="s">
        <v>17</v>
      </c>
      <c r="D664" s="9" t="s">
        <v>2105</v>
      </c>
    </row>
    <row r="665" ht="15.75" customHeight="1">
      <c r="A665" s="7" t="s">
        <v>2107</v>
      </c>
      <c r="B665" s="9" t="s">
        <v>2108</v>
      </c>
      <c r="C665" s="9" t="s">
        <v>12</v>
      </c>
      <c r="D665" s="9" t="s">
        <v>2109</v>
      </c>
    </row>
    <row r="666" ht="15.75" customHeight="1">
      <c r="A666" s="7" t="s">
        <v>2110</v>
      </c>
      <c r="B666" s="9" t="s">
        <v>2111</v>
      </c>
      <c r="C666" s="9" t="s">
        <v>12</v>
      </c>
      <c r="D666" s="9" t="s">
        <v>2113</v>
      </c>
    </row>
    <row r="667" ht="15.75" customHeight="1">
      <c r="A667" s="7" t="s">
        <v>2114</v>
      </c>
      <c r="B667" s="9" t="s">
        <v>2115</v>
      </c>
      <c r="C667" s="9" t="s">
        <v>17</v>
      </c>
      <c r="D667" s="9" t="s">
        <v>2116</v>
      </c>
    </row>
    <row r="668" ht="15.75" customHeight="1">
      <c r="A668" s="7" t="s">
        <v>2118</v>
      </c>
      <c r="B668" s="9" t="s">
        <v>2119</v>
      </c>
      <c r="C668" s="9" t="s">
        <v>1573</v>
      </c>
      <c r="D668" s="9" t="s">
        <v>1791</v>
      </c>
    </row>
    <row r="669" ht="15.75" customHeight="1">
      <c r="A669" s="7" t="s">
        <v>2120</v>
      </c>
      <c r="B669" s="9" t="s">
        <v>2121</v>
      </c>
      <c r="C669" s="9" t="s">
        <v>1573</v>
      </c>
      <c r="D669" s="9" t="s">
        <v>2122</v>
      </c>
    </row>
    <row r="670" ht="15.75" customHeight="1">
      <c r="A670" s="7" t="s">
        <v>2124</v>
      </c>
      <c r="B670" s="9" t="s">
        <v>2125</v>
      </c>
      <c r="C670" s="9" t="s">
        <v>17</v>
      </c>
      <c r="D670" s="9" t="s">
        <v>609</v>
      </c>
    </row>
    <row r="671" ht="15.75" customHeight="1">
      <c r="A671" s="7" t="s">
        <v>2126</v>
      </c>
      <c r="B671" s="9" t="s">
        <v>1175</v>
      </c>
      <c r="C671" s="9" t="s">
        <v>1573</v>
      </c>
      <c r="D671" s="9" t="s">
        <v>279</v>
      </c>
    </row>
    <row r="672" ht="15.75" customHeight="1">
      <c r="A672" s="7" t="s">
        <v>2128</v>
      </c>
      <c r="B672" s="9" t="s">
        <v>2129</v>
      </c>
      <c r="C672" s="9" t="s">
        <v>17</v>
      </c>
      <c r="D672" s="9" t="s">
        <v>2130</v>
      </c>
    </row>
    <row r="673" ht="15.75" customHeight="1">
      <c r="A673" s="7" t="s">
        <v>2132</v>
      </c>
      <c r="B673" s="9" t="s">
        <v>2133</v>
      </c>
      <c r="C673" s="9" t="s">
        <v>12</v>
      </c>
      <c r="D673" s="9" t="s">
        <v>2134</v>
      </c>
    </row>
    <row r="674" ht="15.75" customHeight="1">
      <c r="A674" s="7" t="s">
        <v>2135</v>
      </c>
      <c r="B674" s="9" t="s">
        <v>2136</v>
      </c>
      <c r="C674" s="9" t="s">
        <v>12</v>
      </c>
      <c r="D674" s="9" t="s">
        <v>2138</v>
      </c>
    </row>
    <row r="675" ht="15.75" customHeight="1">
      <c r="A675" s="7" t="s">
        <v>2139</v>
      </c>
      <c r="B675" s="9" t="s">
        <v>2140</v>
      </c>
      <c r="C675" s="9" t="s">
        <v>12</v>
      </c>
      <c r="D675" s="9" t="s">
        <v>2141</v>
      </c>
    </row>
    <row r="676" ht="15.75" customHeight="1">
      <c r="A676" s="7" t="s">
        <v>2143</v>
      </c>
      <c r="B676" s="9" t="s">
        <v>2144</v>
      </c>
      <c r="C676" s="9" t="s">
        <v>12</v>
      </c>
      <c r="D676" s="9" t="s">
        <v>2145</v>
      </c>
    </row>
    <row r="677" ht="15.75" customHeight="1">
      <c r="A677" s="7" t="s">
        <v>2146</v>
      </c>
      <c r="B677" s="9" t="s">
        <v>2147</v>
      </c>
      <c r="C677" s="9" t="s">
        <v>12</v>
      </c>
      <c r="D677" s="9" t="s">
        <v>2148</v>
      </c>
    </row>
    <row r="678" ht="15.75" customHeight="1">
      <c r="A678" s="7" t="s">
        <v>2150</v>
      </c>
      <c r="B678" s="9" t="s">
        <v>2151</v>
      </c>
      <c r="C678" s="9" t="s">
        <v>1573</v>
      </c>
      <c r="D678" s="9" t="s">
        <v>2152</v>
      </c>
    </row>
    <row r="679" ht="15.75" customHeight="1">
      <c r="A679" s="7" t="s">
        <v>2153</v>
      </c>
      <c r="B679" s="9" t="s">
        <v>2154</v>
      </c>
      <c r="C679" s="9" t="s">
        <v>12</v>
      </c>
      <c r="D679" s="9" t="s">
        <v>2156</v>
      </c>
    </row>
    <row r="680" ht="15.75" customHeight="1">
      <c r="A680" s="7" t="s">
        <v>2157</v>
      </c>
      <c r="B680" s="9" t="s">
        <v>2158</v>
      </c>
      <c r="C680" s="9" t="s">
        <v>17</v>
      </c>
      <c r="D680" s="9" t="s">
        <v>2159</v>
      </c>
    </row>
    <row r="681" ht="15.75" customHeight="1">
      <c r="A681" s="7" t="s">
        <v>2161</v>
      </c>
      <c r="B681" s="9" t="s">
        <v>2162</v>
      </c>
      <c r="C681" s="9" t="s">
        <v>17</v>
      </c>
      <c r="D681" s="9" t="s">
        <v>1286</v>
      </c>
    </row>
    <row r="682" ht="15.75" customHeight="1">
      <c r="A682" s="7" t="s">
        <v>2163</v>
      </c>
      <c r="B682" s="9" t="s">
        <v>2164</v>
      </c>
      <c r="C682" s="9" t="s">
        <v>12</v>
      </c>
      <c r="D682" s="9" t="s">
        <v>2166</v>
      </c>
    </row>
    <row r="683" ht="15.75" customHeight="1">
      <c r="A683" s="7" t="s">
        <v>2167</v>
      </c>
      <c r="B683" s="9" t="s">
        <v>2168</v>
      </c>
      <c r="C683" s="9" t="s">
        <v>1573</v>
      </c>
      <c r="D683" s="9" t="s">
        <v>2169</v>
      </c>
    </row>
    <row r="684" ht="15.75" customHeight="1">
      <c r="A684" s="7" t="s">
        <v>2171</v>
      </c>
      <c r="B684" s="9" t="s">
        <v>2172</v>
      </c>
      <c r="C684" s="9" t="s">
        <v>12</v>
      </c>
      <c r="D684" s="9" t="s">
        <v>334</v>
      </c>
    </row>
    <row r="685" ht="15.75" customHeight="1">
      <c r="A685" s="7" t="s">
        <v>2173</v>
      </c>
      <c r="B685" s="9" t="s">
        <v>2174</v>
      </c>
      <c r="C685" s="9" t="s">
        <v>12</v>
      </c>
      <c r="D685" s="9" t="s">
        <v>2176</v>
      </c>
    </row>
    <row r="686" ht="15.75" customHeight="1">
      <c r="A686" s="7" t="s">
        <v>2177</v>
      </c>
      <c r="B686" s="9" t="s">
        <v>2178</v>
      </c>
      <c r="C686" s="9" t="s">
        <v>17</v>
      </c>
      <c r="D686" s="9" t="s">
        <v>2179</v>
      </c>
    </row>
    <row r="687" ht="15.75" customHeight="1">
      <c r="A687" s="7" t="s">
        <v>2181</v>
      </c>
      <c r="B687" s="9" t="s">
        <v>2182</v>
      </c>
      <c r="C687" s="9" t="s">
        <v>17</v>
      </c>
      <c r="D687" s="9" t="s">
        <v>2183</v>
      </c>
    </row>
    <row r="688" ht="15.75" customHeight="1">
      <c r="A688" s="7" t="s">
        <v>2184</v>
      </c>
      <c r="B688" s="9" t="s">
        <v>2185</v>
      </c>
      <c r="C688" s="9" t="s">
        <v>12</v>
      </c>
      <c r="D688" s="9" t="s">
        <v>2186</v>
      </c>
    </row>
    <row r="689" ht="15.75" customHeight="1">
      <c r="A689" s="7" t="s">
        <v>2188</v>
      </c>
      <c r="B689" s="9" t="s">
        <v>2189</v>
      </c>
      <c r="C689" s="9" t="s">
        <v>12</v>
      </c>
      <c r="D689" s="9" t="s">
        <v>2190</v>
      </c>
    </row>
    <row r="690" ht="15.75" customHeight="1">
      <c r="A690" s="7" t="s">
        <v>2192</v>
      </c>
      <c r="B690" s="9" t="s">
        <v>2193</v>
      </c>
      <c r="C690" s="9" t="s">
        <v>12</v>
      </c>
      <c r="D690" s="9" t="s">
        <v>2194</v>
      </c>
    </row>
    <row r="691" ht="15.75" customHeight="1">
      <c r="A691" s="7" t="s">
        <v>2196</v>
      </c>
      <c r="B691" s="9" t="s">
        <v>2197</v>
      </c>
      <c r="C691" s="9" t="s">
        <v>12</v>
      </c>
      <c r="D691" s="9" t="s">
        <v>2198</v>
      </c>
    </row>
    <row r="692" ht="15.75" customHeight="1">
      <c r="A692" s="7" t="s">
        <v>2199</v>
      </c>
      <c r="B692" s="9" t="s">
        <v>2200</v>
      </c>
      <c r="C692" s="9" t="s">
        <v>12</v>
      </c>
      <c r="D692" s="9" t="s">
        <v>2201</v>
      </c>
    </row>
    <row r="693" ht="15.75" customHeight="1">
      <c r="A693" s="7" t="s">
        <v>2203</v>
      </c>
      <c r="B693" s="9" t="s">
        <v>2204</v>
      </c>
      <c r="C693" s="9" t="s">
        <v>17</v>
      </c>
      <c r="D693" s="9" t="s">
        <v>2205</v>
      </c>
    </row>
    <row r="694" ht="15.75" customHeight="1">
      <c r="A694" s="7" t="s">
        <v>2206</v>
      </c>
      <c r="B694" s="9" t="s">
        <v>2208</v>
      </c>
      <c r="C694" s="9" t="s">
        <v>1573</v>
      </c>
      <c r="D694" s="9" t="s">
        <v>2209</v>
      </c>
    </row>
    <row r="695" ht="15.75" customHeight="1">
      <c r="A695" s="7" t="s">
        <v>2210</v>
      </c>
      <c r="B695" s="9" t="s">
        <v>2211</v>
      </c>
      <c r="C695" s="9" t="s">
        <v>12</v>
      </c>
      <c r="D695" s="9" t="s">
        <v>2212</v>
      </c>
    </row>
    <row r="696" ht="15.75" customHeight="1">
      <c r="A696" s="7" t="s">
        <v>2214</v>
      </c>
      <c r="B696" s="9" t="s">
        <v>2215</v>
      </c>
      <c r="C696" s="9" t="s">
        <v>17</v>
      </c>
      <c r="D696" s="9" t="s">
        <v>2216</v>
      </c>
    </row>
    <row r="697" ht="15.75" customHeight="1">
      <c r="A697" s="7" t="s">
        <v>2217</v>
      </c>
      <c r="B697" s="9" t="s">
        <v>2218</v>
      </c>
      <c r="C697" s="9" t="s">
        <v>17</v>
      </c>
      <c r="D697" s="9" t="s">
        <v>2220</v>
      </c>
    </row>
    <row r="698" ht="15.75" customHeight="1">
      <c r="A698" s="7" t="s">
        <v>2221</v>
      </c>
      <c r="B698" s="9" t="s">
        <v>2222</v>
      </c>
      <c r="C698" s="9" t="s">
        <v>17</v>
      </c>
      <c r="D698" s="9" t="s">
        <v>2224</v>
      </c>
    </row>
    <row r="699" ht="15.75" customHeight="1">
      <c r="A699" s="7" t="s">
        <v>2225</v>
      </c>
      <c r="B699" s="9" t="s">
        <v>2226</v>
      </c>
      <c r="C699" s="9" t="s">
        <v>12</v>
      </c>
      <c r="D699" s="9" t="s">
        <v>288</v>
      </c>
    </row>
    <row r="700" ht="15.75" customHeight="1">
      <c r="A700" s="7" t="s">
        <v>2228</v>
      </c>
      <c r="B700" s="9" t="s">
        <v>2229</v>
      </c>
      <c r="C700" s="9" t="s">
        <v>12</v>
      </c>
      <c r="D700" s="9" t="s">
        <v>2230</v>
      </c>
    </row>
    <row r="701" ht="15.75" customHeight="1">
      <c r="A701" s="7" t="s">
        <v>2231</v>
      </c>
      <c r="B701" s="9" t="s">
        <v>2233</v>
      </c>
      <c r="C701" s="9" t="s">
        <v>17</v>
      </c>
      <c r="D701" s="9" t="s">
        <v>2234</v>
      </c>
    </row>
    <row r="702" ht="15.75" customHeight="1">
      <c r="A702" s="7" t="s">
        <v>2235</v>
      </c>
      <c r="B702" s="9" t="s">
        <v>2236</v>
      </c>
      <c r="C702" s="9" t="s">
        <v>1573</v>
      </c>
      <c r="D702" s="9" t="s">
        <v>2238</v>
      </c>
    </row>
    <row r="703" ht="15.75" customHeight="1">
      <c r="A703" s="7" t="s">
        <v>2239</v>
      </c>
      <c r="B703" s="9" t="s">
        <v>2240</v>
      </c>
      <c r="C703" s="9" t="s">
        <v>17</v>
      </c>
      <c r="D703" s="9" t="s">
        <v>2241</v>
      </c>
    </row>
    <row r="704" ht="15.75" customHeight="1">
      <c r="A704" s="7" t="s">
        <v>2242</v>
      </c>
      <c r="B704" s="9" t="s">
        <v>2243</v>
      </c>
      <c r="C704" s="9" t="s">
        <v>17</v>
      </c>
      <c r="D704" s="9" t="s">
        <v>2245</v>
      </c>
    </row>
    <row r="705" ht="15.75" customHeight="1">
      <c r="A705" s="7" t="s">
        <v>2246</v>
      </c>
      <c r="B705" s="9" t="s">
        <v>2247</v>
      </c>
      <c r="C705" s="9" t="s">
        <v>12</v>
      </c>
      <c r="D705" s="9" t="s">
        <v>268</v>
      </c>
    </row>
    <row r="706" ht="15.75" customHeight="1">
      <c r="A706" s="7" t="s">
        <v>2249</v>
      </c>
      <c r="B706" s="9" t="s">
        <v>2250</v>
      </c>
      <c r="C706" s="9" t="s">
        <v>12</v>
      </c>
      <c r="D706" s="9" t="s">
        <v>2251</v>
      </c>
    </row>
    <row r="707" ht="15.75" customHeight="1">
      <c r="A707" s="7" t="s">
        <v>2252</v>
      </c>
      <c r="B707" s="9" t="s">
        <v>2253</v>
      </c>
      <c r="C707" s="9" t="s">
        <v>17</v>
      </c>
      <c r="D707" s="9" t="s">
        <v>2255</v>
      </c>
    </row>
    <row r="708" ht="15.75" customHeight="1">
      <c r="A708" s="7" t="s">
        <v>2256</v>
      </c>
      <c r="B708" s="9" t="s">
        <v>2257</v>
      </c>
      <c r="C708" s="9" t="s">
        <v>12</v>
      </c>
      <c r="D708" s="9" t="s">
        <v>1374</v>
      </c>
    </row>
    <row r="709" ht="15.75" customHeight="1">
      <c r="A709" s="7" t="s">
        <v>2259</v>
      </c>
      <c r="B709" s="9" t="s">
        <v>1558</v>
      </c>
      <c r="C709" s="9" t="s">
        <v>1573</v>
      </c>
      <c r="D709" s="9" t="s">
        <v>1705</v>
      </c>
    </row>
    <row r="710" ht="15.75" customHeight="1">
      <c r="A710" s="7" t="s">
        <v>2260</v>
      </c>
      <c r="B710" s="9" t="s">
        <v>2261</v>
      </c>
      <c r="C710" s="9" t="s">
        <v>1573</v>
      </c>
      <c r="D710" s="9" t="s">
        <v>2262</v>
      </c>
    </row>
    <row r="711" ht="15.75" customHeight="1">
      <c r="A711" s="7" t="s">
        <v>2264</v>
      </c>
      <c r="B711" s="9" t="s">
        <v>2265</v>
      </c>
      <c r="C711" s="9" t="s">
        <v>12</v>
      </c>
      <c r="D711" s="9" t="s">
        <v>2266</v>
      </c>
    </row>
    <row r="712" ht="15.75" customHeight="1">
      <c r="A712" s="7" t="s">
        <v>2268</v>
      </c>
      <c r="B712" s="9" t="s">
        <v>2269</v>
      </c>
      <c r="C712" s="9" t="s">
        <v>12</v>
      </c>
      <c r="D712" s="9" t="s">
        <v>2270</v>
      </c>
    </row>
    <row r="713" ht="15.75" customHeight="1">
      <c r="A713" s="7" t="s">
        <v>2271</v>
      </c>
      <c r="B713" s="9" t="s">
        <v>2273</v>
      </c>
      <c r="C713" s="9" t="s">
        <v>12</v>
      </c>
      <c r="D713" s="9" t="s">
        <v>2274</v>
      </c>
    </row>
    <row r="714" ht="15.75" customHeight="1">
      <c r="A714" s="7" t="s">
        <v>2275</v>
      </c>
      <c r="B714" s="9" t="s">
        <v>2276</v>
      </c>
      <c r="C714" s="9" t="s">
        <v>17</v>
      </c>
      <c r="D714" s="9" t="s">
        <v>2277</v>
      </c>
    </row>
    <row r="715" ht="15.75" customHeight="1">
      <c r="A715" s="7" t="s">
        <v>2278</v>
      </c>
      <c r="B715" s="9" t="s">
        <v>2280</v>
      </c>
      <c r="C715" s="9" t="s">
        <v>1573</v>
      </c>
      <c r="D715" s="9" t="s">
        <v>807</v>
      </c>
    </row>
    <row r="716" ht="15.75" customHeight="1">
      <c r="A716" s="7" t="s">
        <v>2281</v>
      </c>
      <c r="B716" s="9" t="s">
        <v>229</v>
      </c>
      <c r="C716" s="9" t="s">
        <v>1573</v>
      </c>
      <c r="D716" s="9" t="s">
        <v>2283</v>
      </c>
    </row>
    <row r="717" ht="15.75" customHeight="1">
      <c r="A717" s="7" t="s">
        <v>2284</v>
      </c>
      <c r="B717" s="9" t="s">
        <v>2285</v>
      </c>
      <c r="C717" s="9" t="s">
        <v>12</v>
      </c>
      <c r="D717" s="9" t="s">
        <v>2286</v>
      </c>
    </row>
    <row r="718" ht="15.75" customHeight="1">
      <c r="A718" s="7" t="s">
        <v>2288</v>
      </c>
      <c r="B718" s="9" t="s">
        <v>2289</v>
      </c>
      <c r="C718" s="9" t="s">
        <v>12</v>
      </c>
      <c r="D718" s="9" t="s">
        <v>2290</v>
      </c>
    </row>
    <row r="719" ht="15.75" customHeight="1">
      <c r="A719" s="7" t="s">
        <v>2292</v>
      </c>
      <c r="B719" s="9" t="s">
        <v>2293</v>
      </c>
      <c r="C719" s="9" t="s">
        <v>17</v>
      </c>
      <c r="D719" s="9" t="s">
        <v>2294</v>
      </c>
    </row>
    <row r="720" ht="15.75" customHeight="1">
      <c r="A720" s="7" t="s">
        <v>2295</v>
      </c>
      <c r="B720" s="9" t="s">
        <v>2296</v>
      </c>
      <c r="C720" s="9" t="s">
        <v>17</v>
      </c>
      <c r="D720" s="9" t="s">
        <v>2297</v>
      </c>
    </row>
    <row r="721" ht="15.75" customHeight="1">
      <c r="A721" s="7" t="s">
        <v>2299</v>
      </c>
      <c r="B721" s="9" t="s">
        <v>2300</v>
      </c>
      <c r="C721" s="9" t="s">
        <v>17</v>
      </c>
      <c r="D721" s="9" t="s">
        <v>2301</v>
      </c>
    </row>
    <row r="722" ht="15.75" customHeight="1">
      <c r="A722" s="7" t="s">
        <v>2303</v>
      </c>
      <c r="B722" s="9" t="s">
        <v>2304</v>
      </c>
      <c r="C722" s="9" t="s">
        <v>12</v>
      </c>
      <c r="D722" s="9" t="s">
        <v>122</v>
      </c>
    </row>
    <row r="723" ht="15.75" customHeight="1">
      <c r="A723" s="7" t="s">
        <v>2305</v>
      </c>
      <c r="B723" s="9" t="s">
        <v>2306</v>
      </c>
      <c r="C723" s="9" t="s">
        <v>12</v>
      </c>
      <c r="D723" s="9" t="s">
        <v>1328</v>
      </c>
    </row>
    <row r="724" ht="15.75" customHeight="1">
      <c r="A724" s="7" t="s">
        <v>2307</v>
      </c>
      <c r="B724" s="9" t="s">
        <v>2308</v>
      </c>
      <c r="C724" s="9" t="s">
        <v>12</v>
      </c>
      <c r="D724" s="9" t="s">
        <v>2309</v>
      </c>
    </row>
    <row r="725" ht="15.75" customHeight="1">
      <c r="A725" s="7" t="s">
        <v>2311</v>
      </c>
      <c r="B725" s="9" t="s">
        <v>2312</v>
      </c>
      <c r="C725" s="9" t="s">
        <v>1573</v>
      </c>
      <c r="D725" s="9" t="s">
        <v>1587</v>
      </c>
    </row>
    <row r="726" ht="15.75" customHeight="1">
      <c r="A726" s="7" t="s">
        <v>2313</v>
      </c>
      <c r="B726" s="9" t="s">
        <v>2315</v>
      </c>
      <c r="C726" s="9" t="s">
        <v>17</v>
      </c>
      <c r="D726" s="9" t="s">
        <v>2316</v>
      </c>
    </row>
    <row r="727" ht="15.75" customHeight="1">
      <c r="A727" s="7" t="s">
        <v>2317</v>
      </c>
      <c r="B727" s="9" t="s">
        <v>306</v>
      </c>
      <c r="C727" s="9" t="s">
        <v>17</v>
      </c>
      <c r="D727" s="9" t="s">
        <v>883</v>
      </c>
    </row>
    <row r="728" ht="15.75" customHeight="1">
      <c r="A728" s="7" t="s">
        <v>2319</v>
      </c>
      <c r="B728" s="9" t="s">
        <v>2320</v>
      </c>
      <c r="C728" s="9" t="s">
        <v>17</v>
      </c>
      <c r="D728" s="9" t="s">
        <v>93</v>
      </c>
    </row>
    <row r="729" ht="15.75" customHeight="1">
      <c r="A729" s="7" t="s">
        <v>2321</v>
      </c>
      <c r="B729" s="9" t="s">
        <v>2322</v>
      </c>
      <c r="C729" s="9" t="s">
        <v>17</v>
      </c>
      <c r="D729" s="9" t="s">
        <v>2324</v>
      </c>
    </row>
    <row r="730" ht="15.75" customHeight="1">
      <c r="A730" s="7" t="s">
        <v>2325</v>
      </c>
      <c r="B730" s="9" t="s">
        <v>2296</v>
      </c>
      <c r="C730" s="9" t="s">
        <v>17</v>
      </c>
      <c r="D730" s="9" t="s">
        <v>2326</v>
      </c>
    </row>
    <row r="731" ht="15.75" customHeight="1">
      <c r="A731" s="7" t="s">
        <v>2327</v>
      </c>
      <c r="B731" s="9" t="s">
        <v>2328</v>
      </c>
      <c r="C731" s="9" t="s">
        <v>12</v>
      </c>
      <c r="D731" s="9" t="s">
        <v>2330</v>
      </c>
    </row>
    <row r="732" ht="15.75" customHeight="1">
      <c r="A732" s="7" t="s">
        <v>2331</v>
      </c>
      <c r="B732" s="9" t="s">
        <v>2332</v>
      </c>
      <c r="C732" s="9" t="s">
        <v>12</v>
      </c>
      <c r="D732" s="9" t="s">
        <v>592</v>
      </c>
    </row>
    <row r="733" ht="15.75" customHeight="1">
      <c r="A733" s="7" t="s">
        <v>2333</v>
      </c>
      <c r="B733" s="9" t="s">
        <v>2335</v>
      </c>
      <c r="C733" s="9" t="s">
        <v>17</v>
      </c>
      <c r="D733" s="9" t="s">
        <v>2336</v>
      </c>
    </row>
    <row r="734" ht="15.75" customHeight="1">
      <c r="A734" s="7" t="s">
        <v>2337</v>
      </c>
      <c r="B734" s="9" t="s">
        <v>2338</v>
      </c>
      <c r="C734" s="9" t="s">
        <v>12</v>
      </c>
      <c r="D734" s="9" t="s">
        <v>2339</v>
      </c>
    </row>
    <row r="735" ht="15.75" customHeight="1">
      <c r="A735" s="7" t="s">
        <v>2340</v>
      </c>
      <c r="B735" s="9" t="s">
        <v>239</v>
      </c>
      <c r="C735" s="9" t="s">
        <v>12</v>
      </c>
      <c r="D735" s="9" t="s">
        <v>2342</v>
      </c>
    </row>
    <row r="736" ht="15.75" customHeight="1">
      <c r="A736" s="7" t="s">
        <v>2343</v>
      </c>
      <c r="B736" s="9" t="s">
        <v>2344</v>
      </c>
      <c r="C736" s="9" t="s">
        <v>12</v>
      </c>
      <c r="D736" s="9" t="s">
        <v>2345</v>
      </c>
    </row>
    <row r="737" ht="15.75" customHeight="1">
      <c r="A737" s="7" t="s">
        <v>2347</v>
      </c>
      <c r="B737" s="9" t="s">
        <v>2348</v>
      </c>
      <c r="C737" s="9" t="s">
        <v>12</v>
      </c>
      <c r="D737" s="9" t="s">
        <v>2349</v>
      </c>
    </row>
    <row r="738" ht="15.75" customHeight="1">
      <c r="A738" s="7" t="s">
        <v>2350</v>
      </c>
      <c r="B738" s="9" t="s">
        <v>2351</v>
      </c>
      <c r="C738" s="9" t="s">
        <v>17</v>
      </c>
      <c r="D738" s="9" t="s">
        <v>967</v>
      </c>
    </row>
    <row r="739" ht="15.75" customHeight="1">
      <c r="A739" s="7" t="s">
        <v>2353</v>
      </c>
      <c r="B739" s="9" t="s">
        <v>2354</v>
      </c>
      <c r="C739" s="9" t="s">
        <v>17</v>
      </c>
      <c r="D739" s="9" t="s">
        <v>2355</v>
      </c>
    </row>
    <row r="740" ht="15.75" customHeight="1">
      <c r="A740" s="7" t="s">
        <v>2356</v>
      </c>
      <c r="B740" s="9" t="s">
        <v>2357</v>
      </c>
      <c r="C740" s="9" t="s">
        <v>17</v>
      </c>
      <c r="D740" s="9" t="s">
        <v>2358</v>
      </c>
    </row>
    <row r="741" ht="15.75" customHeight="1">
      <c r="A741" s="7" t="s">
        <v>2360</v>
      </c>
      <c r="B741" s="9" t="s">
        <v>2361</v>
      </c>
      <c r="C741" s="9" t="s">
        <v>1573</v>
      </c>
      <c r="D741" s="9" t="s">
        <v>2362</v>
      </c>
    </row>
    <row r="742" ht="15.75" customHeight="1">
      <c r="A742" s="7" t="s">
        <v>2363</v>
      </c>
      <c r="B742" s="9" t="s">
        <v>2364</v>
      </c>
      <c r="C742" s="9" t="s">
        <v>17</v>
      </c>
      <c r="D742" s="9" t="s">
        <v>736</v>
      </c>
    </row>
    <row r="743" ht="15.75" customHeight="1">
      <c r="A743" s="7" t="s">
        <v>2365</v>
      </c>
      <c r="B743" s="9" t="s">
        <v>2366</v>
      </c>
      <c r="C743" s="9" t="s">
        <v>17</v>
      </c>
      <c r="D743" s="9" t="s">
        <v>2367</v>
      </c>
    </row>
    <row r="744" ht="15.75" customHeight="1">
      <c r="A744" s="7" t="s">
        <v>2369</v>
      </c>
      <c r="B744" s="9" t="s">
        <v>2370</v>
      </c>
      <c r="C744" s="9" t="s">
        <v>1573</v>
      </c>
      <c r="D744" s="9" t="s">
        <v>1469</v>
      </c>
    </row>
    <row r="745" ht="15.75" customHeight="1">
      <c r="A745" s="7" t="s">
        <v>2371</v>
      </c>
      <c r="B745" s="9" t="s">
        <v>98</v>
      </c>
      <c r="C745" s="9" t="s">
        <v>1573</v>
      </c>
      <c r="D745" s="9" t="s">
        <v>2372</v>
      </c>
    </row>
    <row r="746" ht="15.75" customHeight="1">
      <c r="A746" s="7" t="s">
        <v>2374</v>
      </c>
      <c r="B746" s="9" t="s">
        <v>2375</v>
      </c>
      <c r="C746" s="9" t="s">
        <v>12</v>
      </c>
      <c r="D746" s="9" t="s">
        <v>2376</v>
      </c>
    </row>
    <row r="747" ht="15.75" customHeight="1">
      <c r="A747" s="7" t="s">
        <v>2377</v>
      </c>
      <c r="B747" s="9" t="s">
        <v>2378</v>
      </c>
      <c r="C747" s="9" t="s">
        <v>17</v>
      </c>
      <c r="D747" s="9" t="s">
        <v>2379</v>
      </c>
    </row>
    <row r="748" ht="15.75" customHeight="1">
      <c r="A748" s="7" t="s">
        <v>2381</v>
      </c>
      <c r="B748" s="9" t="s">
        <v>2382</v>
      </c>
      <c r="C748" s="9" t="s">
        <v>1573</v>
      </c>
      <c r="D748" s="9" t="s">
        <v>2383</v>
      </c>
    </row>
    <row r="749" ht="15.75" customHeight="1">
      <c r="A749" s="7" t="s">
        <v>2384</v>
      </c>
      <c r="B749" s="9" t="s">
        <v>2385</v>
      </c>
      <c r="C749" s="9" t="s">
        <v>17</v>
      </c>
      <c r="D749" s="9" t="s">
        <v>736</v>
      </c>
    </row>
    <row r="750" ht="15.75" customHeight="1">
      <c r="A750" s="7" t="s">
        <v>2387</v>
      </c>
      <c r="B750" s="9" t="s">
        <v>2388</v>
      </c>
      <c r="C750" s="9" t="s">
        <v>17</v>
      </c>
      <c r="D750" s="9" t="s">
        <v>236</v>
      </c>
    </row>
    <row r="751" ht="15.75" customHeight="1">
      <c r="A751" s="7" t="s">
        <v>2389</v>
      </c>
      <c r="B751" s="9" t="s">
        <v>2390</v>
      </c>
      <c r="C751" s="9" t="s">
        <v>12</v>
      </c>
      <c r="D751" s="9" t="s">
        <v>233</v>
      </c>
    </row>
    <row r="752" ht="15.75" customHeight="1">
      <c r="A752" s="7" t="s">
        <v>2392</v>
      </c>
      <c r="B752" s="9" t="s">
        <v>2393</v>
      </c>
      <c r="C752" s="9" t="s">
        <v>17</v>
      </c>
      <c r="D752" s="9" t="s">
        <v>291</v>
      </c>
    </row>
    <row r="753" ht="15.75" customHeight="1">
      <c r="A753" s="7" t="s">
        <v>2394</v>
      </c>
      <c r="B753" s="9" t="s">
        <v>2396</v>
      </c>
      <c r="C753" s="9" t="s">
        <v>12</v>
      </c>
      <c r="D753" s="9" t="s">
        <v>2397</v>
      </c>
    </row>
    <row r="754" ht="15.75" customHeight="1">
      <c r="A754" s="7" t="s">
        <v>2398</v>
      </c>
      <c r="B754" s="9" t="s">
        <v>2400</v>
      </c>
      <c r="C754" s="9" t="s">
        <v>12</v>
      </c>
      <c r="D754" s="9" t="s">
        <v>2401</v>
      </c>
    </row>
    <row r="755" ht="15.75" customHeight="1">
      <c r="A755" s="7" t="s">
        <v>2402</v>
      </c>
      <c r="B755" s="9" t="s">
        <v>2403</v>
      </c>
      <c r="C755" s="9" t="s">
        <v>12</v>
      </c>
      <c r="D755" s="9" t="s">
        <v>2404</v>
      </c>
    </row>
    <row r="756" ht="15.75" customHeight="1">
      <c r="A756" s="7" t="s">
        <v>2405</v>
      </c>
      <c r="B756" s="9" t="s">
        <v>2406</v>
      </c>
      <c r="C756" s="9" t="s">
        <v>1573</v>
      </c>
      <c r="D756" s="9" t="s">
        <v>2407</v>
      </c>
    </row>
    <row r="757" ht="15.75" customHeight="1">
      <c r="A757" s="7" t="s">
        <v>2409</v>
      </c>
      <c r="B757" s="9" t="s">
        <v>2410</v>
      </c>
      <c r="C757" s="9" t="s">
        <v>17</v>
      </c>
      <c r="D757" s="9" t="s">
        <v>2411</v>
      </c>
    </row>
    <row r="758" ht="15.75" customHeight="1">
      <c r="A758" s="7" t="s">
        <v>2412</v>
      </c>
      <c r="B758" s="9" t="s">
        <v>2413</v>
      </c>
      <c r="C758" s="9" t="s">
        <v>17</v>
      </c>
      <c r="D758" s="9" t="s">
        <v>2414</v>
      </c>
    </row>
    <row r="759" ht="15.75" customHeight="1">
      <c r="A759" s="7" t="s">
        <v>2415</v>
      </c>
      <c r="B759" s="9" t="s">
        <v>2416</v>
      </c>
      <c r="C759" s="9" t="s">
        <v>17</v>
      </c>
      <c r="D759" s="9" t="s">
        <v>577</v>
      </c>
    </row>
    <row r="760" ht="15.75" customHeight="1">
      <c r="A760" s="7" t="s">
        <v>2418</v>
      </c>
      <c r="B760" s="9" t="s">
        <v>2419</v>
      </c>
      <c r="C760" s="9" t="s">
        <v>17</v>
      </c>
      <c r="D760" s="9" t="s">
        <v>2420</v>
      </c>
    </row>
    <row r="761" ht="15.75" customHeight="1">
      <c r="A761" s="7" t="s">
        <v>2421</v>
      </c>
      <c r="B761" s="9" t="s">
        <v>2422</v>
      </c>
      <c r="C761" s="9" t="s">
        <v>12</v>
      </c>
      <c r="D761" s="9" t="s">
        <v>2423</v>
      </c>
    </row>
    <row r="762" ht="15.75" customHeight="1">
      <c r="A762" s="7" t="s">
        <v>2425</v>
      </c>
      <c r="B762" s="9" t="s">
        <v>2426</v>
      </c>
      <c r="C762" s="9" t="s">
        <v>12</v>
      </c>
      <c r="D762" s="9" t="s">
        <v>1587</v>
      </c>
    </row>
    <row r="763" ht="15.75" customHeight="1">
      <c r="A763" s="7" t="s">
        <v>2427</v>
      </c>
      <c r="B763" s="9" t="s">
        <v>2428</v>
      </c>
      <c r="C763" s="9" t="s">
        <v>17</v>
      </c>
      <c r="D763" s="9" t="s">
        <v>836</v>
      </c>
    </row>
    <row r="764" ht="15.75" customHeight="1">
      <c r="A764" s="7" t="s">
        <v>2430</v>
      </c>
      <c r="B764" s="9" t="s">
        <v>2431</v>
      </c>
      <c r="C764" s="9" t="s">
        <v>12</v>
      </c>
      <c r="D764" s="9" t="s">
        <v>134</v>
      </c>
    </row>
    <row r="765" ht="15.75" customHeight="1">
      <c r="A765" s="7" t="s">
        <v>2432</v>
      </c>
      <c r="B765" s="9" t="s">
        <v>2433</v>
      </c>
      <c r="C765" s="9" t="s">
        <v>12</v>
      </c>
      <c r="D765" s="9" t="s">
        <v>2435</v>
      </c>
    </row>
    <row r="766" ht="15.75" customHeight="1">
      <c r="A766" s="7" t="s">
        <v>2436</v>
      </c>
      <c r="B766" s="9" t="s">
        <v>2437</v>
      </c>
      <c r="C766" s="9" t="s">
        <v>12</v>
      </c>
      <c r="D766" s="9" t="s">
        <v>2438</v>
      </c>
    </row>
    <row r="767" ht="15.75" customHeight="1">
      <c r="A767" s="7" t="s">
        <v>2439</v>
      </c>
      <c r="B767" s="9" t="s">
        <v>2440</v>
      </c>
      <c r="C767" s="9" t="s">
        <v>12</v>
      </c>
      <c r="D767" s="9" t="s">
        <v>2441</v>
      </c>
    </row>
    <row r="768" ht="15.75" customHeight="1">
      <c r="A768" s="7" t="s">
        <v>2443</v>
      </c>
      <c r="B768" s="9" t="s">
        <v>2444</v>
      </c>
      <c r="C768" s="9" t="s">
        <v>12</v>
      </c>
      <c r="D768" s="9" t="s">
        <v>2445</v>
      </c>
    </row>
    <row r="769" ht="15.75" customHeight="1">
      <c r="A769" s="7" t="s">
        <v>2446</v>
      </c>
      <c r="B769" s="9" t="s">
        <v>2447</v>
      </c>
      <c r="C769" s="9" t="s">
        <v>12</v>
      </c>
      <c r="D769" s="9" t="s">
        <v>2448</v>
      </c>
    </row>
    <row r="770" ht="15.75" customHeight="1">
      <c r="A770" s="7" t="s">
        <v>2450</v>
      </c>
      <c r="B770" s="9" t="s">
        <v>2451</v>
      </c>
      <c r="C770" s="9" t="s">
        <v>12</v>
      </c>
      <c r="D770" s="9" t="s">
        <v>975</v>
      </c>
    </row>
    <row r="771" ht="15.75" customHeight="1">
      <c r="A771" s="7" t="s">
        <v>2452</v>
      </c>
      <c r="B771" s="9" t="s">
        <v>2453</v>
      </c>
      <c r="C771" s="9" t="s">
        <v>12</v>
      </c>
      <c r="D771" s="9" t="s">
        <v>2455</v>
      </c>
    </row>
    <row r="772" ht="15.75" customHeight="1">
      <c r="A772" s="7" t="s">
        <v>2456</v>
      </c>
      <c r="B772" s="9" t="s">
        <v>2457</v>
      </c>
      <c r="C772" s="9" t="s">
        <v>17</v>
      </c>
      <c r="D772" s="9" t="s">
        <v>18</v>
      </c>
    </row>
    <row r="773" ht="15.75" customHeight="1">
      <c r="A773" s="7" t="s">
        <v>2459</v>
      </c>
      <c r="B773" s="9" t="s">
        <v>2460</v>
      </c>
      <c r="C773" s="9" t="s">
        <v>17</v>
      </c>
      <c r="D773" s="9" t="s">
        <v>509</v>
      </c>
    </row>
    <row r="774" ht="15.75" customHeight="1">
      <c r="A774" s="7" t="s">
        <v>2461</v>
      </c>
      <c r="B774" s="9" t="s">
        <v>2462</v>
      </c>
      <c r="C774" s="9" t="s">
        <v>17</v>
      </c>
      <c r="D774" s="9" t="s">
        <v>541</v>
      </c>
    </row>
    <row r="775" ht="15.75" customHeight="1">
      <c r="A775" s="7" t="s">
        <v>2463</v>
      </c>
      <c r="B775" s="9" t="s">
        <v>2464</v>
      </c>
      <c r="C775" s="9" t="s">
        <v>17</v>
      </c>
      <c r="D775" s="9" t="s">
        <v>736</v>
      </c>
    </row>
    <row r="776" ht="15.75" customHeight="1">
      <c r="A776" s="7" t="s">
        <v>2465</v>
      </c>
      <c r="B776" s="9" t="s">
        <v>2466</v>
      </c>
      <c r="C776" s="9" t="s">
        <v>17</v>
      </c>
      <c r="D776" s="9" t="s">
        <v>2468</v>
      </c>
    </row>
    <row r="777" ht="15.75" customHeight="1">
      <c r="A777" s="7" t="s">
        <v>2469</v>
      </c>
      <c r="B777" s="9" t="s">
        <v>2470</v>
      </c>
      <c r="C777" s="9" t="s">
        <v>1573</v>
      </c>
      <c r="D777" s="9" t="s">
        <v>2471</v>
      </c>
    </row>
    <row r="778" ht="15.75" customHeight="1">
      <c r="A778" s="7" t="s">
        <v>2472</v>
      </c>
      <c r="B778" s="9" t="s">
        <v>246</v>
      </c>
      <c r="C778" s="9" t="s">
        <v>1573</v>
      </c>
      <c r="D778" s="9" t="s">
        <v>2473</v>
      </c>
    </row>
    <row r="779" ht="15.75" customHeight="1">
      <c r="A779" s="7" t="s">
        <v>2475</v>
      </c>
      <c r="B779" s="9" t="s">
        <v>1198</v>
      </c>
      <c r="C779" s="9" t="s">
        <v>12</v>
      </c>
      <c r="D779" s="9" t="s">
        <v>2476</v>
      </c>
    </row>
    <row r="780" ht="15.75" customHeight="1">
      <c r="A780" s="7" t="s">
        <v>2477</v>
      </c>
      <c r="B780" s="9" t="s">
        <v>2479</v>
      </c>
      <c r="C780" s="9" t="s">
        <v>17</v>
      </c>
      <c r="D780" s="9" t="s">
        <v>674</v>
      </c>
    </row>
    <row r="781" ht="15.75" customHeight="1">
      <c r="A781" s="7" t="s">
        <v>2480</v>
      </c>
      <c r="B781" s="9" t="s">
        <v>2481</v>
      </c>
      <c r="C781" s="9" t="s">
        <v>12</v>
      </c>
      <c r="D781" s="9" t="s">
        <v>1374</v>
      </c>
    </row>
    <row r="782" ht="15.75" customHeight="1">
      <c r="A782" s="7" t="s">
        <v>2483</v>
      </c>
      <c r="B782" s="9" t="s">
        <v>2484</v>
      </c>
      <c r="C782" s="9" t="s">
        <v>17</v>
      </c>
      <c r="D782" s="9" t="s">
        <v>2485</v>
      </c>
    </row>
    <row r="783" ht="15.75" customHeight="1">
      <c r="A783" s="7" t="s">
        <v>2486</v>
      </c>
      <c r="B783" s="9" t="s">
        <v>2119</v>
      </c>
      <c r="C783" s="9" t="s">
        <v>12</v>
      </c>
      <c r="D783" s="9" t="s">
        <v>2488</v>
      </c>
    </row>
    <row r="784" ht="15.75" customHeight="1">
      <c r="A784" s="7" t="s">
        <v>2489</v>
      </c>
      <c r="B784" s="9" t="s">
        <v>2490</v>
      </c>
      <c r="C784" s="9" t="s">
        <v>12</v>
      </c>
      <c r="D784" s="9" t="s">
        <v>2491</v>
      </c>
    </row>
    <row r="785" ht="15.75" customHeight="1">
      <c r="A785" s="7" t="s">
        <v>2492</v>
      </c>
      <c r="B785" s="9" t="s">
        <v>2494</v>
      </c>
      <c r="C785" s="9" t="s">
        <v>12</v>
      </c>
      <c r="D785" s="9" t="s">
        <v>2495</v>
      </c>
    </row>
    <row r="786" ht="15.75" customHeight="1">
      <c r="A786" s="7" t="s">
        <v>2496</v>
      </c>
      <c r="B786" s="9" t="s">
        <v>2497</v>
      </c>
      <c r="C786" s="9" t="s">
        <v>12</v>
      </c>
      <c r="D786" s="9" t="s">
        <v>2498</v>
      </c>
    </row>
    <row r="787" ht="15.75" customHeight="1">
      <c r="A787" s="7" t="s">
        <v>2500</v>
      </c>
      <c r="B787" s="9" t="s">
        <v>2501</v>
      </c>
      <c r="C787" s="9" t="s">
        <v>12</v>
      </c>
      <c r="D787" s="9" t="s">
        <v>2502</v>
      </c>
    </row>
    <row r="788" ht="15.75" customHeight="1">
      <c r="A788" s="7" t="s">
        <v>2503</v>
      </c>
      <c r="B788" s="9" t="s">
        <v>2504</v>
      </c>
      <c r="C788" s="9" t="s">
        <v>12</v>
      </c>
      <c r="D788" s="9" t="s">
        <v>2506</v>
      </c>
    </row>
    <row r="789" ht="15.75" customHeight="1">
      <c r="A789" s="7" t="s">
        <v>2507</v>
      </c>
      <c r="B789" s="9" t="s">
        <v>154</v>
      </c>
      <c r="C789" s="9" t="s">
        <v>17</v>
      </c>
      <c r="D789" s="9" t="s">
        <v>2508</v>
      </c>
    </row>
    <row r="790" ht="15.75" customHeight="1">
      <c r="A790" s="7" t="s">
        <v>2510</v>
      </c>
      <c r="B790" s="9" t="s">
        <v>2511</v>
      </c>
      <c r="C790" s="9" t="s">
        <v>17</v>
      </c>
      <c r="D790" s="9" t="s">
        <v>2512</v>
      </c>
    </row>
    <row r="791" ht="15.75" customHeight="1">
      <c r="A791" s="7" t="s">
        <v>2513</v>
      </c>
      <c r="B791" s="9" t="s">
        <v>2514</v>
      </c>
      <c r="C791" s="9" t="s">
        <v>17</v>
      </c>
      <c r="D791" s="9" t="s">
        <v>2516</v>
      </c>
    </row>
    <row r="792" ht="15.75" customHeight="1">
      <c r="A792" s="7" t="s">
        <v>2517</v>
      </c>
      <c r="B792" s="9" t="s">
        <v>2518</v>
      </c>
      <c r="C792" s="9" t="s">
        <v>12</v>
      </c>
      <c r="D792" s="9" t="s">
        <v>331</v>
      </c>
    </row>
    <row r="793" ht="15.75" customHeight="1">
      <c r="A793" s="7" t="s">
        <v>2520</v>
      </c>
      <c r="B793" s="9" t="s">
        <v>2521</v>
      </c>
      <c r="C793" s="9" t="s">
        <v>12</v>
      </c>
      <c r="D793" s="9" t="s">
        <v>2522</v>
      </c>
    </row>
    <row r="794" ht="15.75" customHeight="1">
      <c r="A794" s="7" t="s">
        <v>2523</v>
      </c>
      <c r="B794" s="9" t="s">
        <v>2524</v>
      </c>
      <c r="C794" s="9" t="s">
        <v>1573</v>
      </c>
      <c r="D794" s="9" t="s">
        <v>2526</v>
      </c>
    </row>
    <row r="795" ht="15.75" customHeight="1">
      <c r="A795" s="7" t="s">
        <v>2527</v>
      </c>
      <c r="B795" s="9" t="s">
        <v>2528</v>
      </c>
      <c r="C795" s="9" t="s">
        <v>17</v>
      </c>
      <c r="D795" s="9" t="s">
        <v>2529</v>
      </c>
    </row>
    <row r="796" ht="15.75" customHeight="1">
      <c r="A796" s="7" t="s">
        <v>2531</v>
      </c>
      <c r="B796" s="9" t="s">
        <v>2532</v>
      </c>
      <c r="C796" s="9" t="s">
        <v>12</v>
      </c>
      <c r="D796" s="9" t="s">
        <v>623</v>
      </c>
    </row>
    <row r="797" ht="15.75" customHeight="1">
      <c r="A797" s="7" t="s">
        <v>2534</v>
      </c>
      <c r="B797" s="9" t="s">
        <v>2535</v>
      </c>
      <c r="C797" s="9" t="s">
        <v>1573</v>
      </c>
      <c r="D797" s="9" t="s">
        <v>2536</v>
      </c>
    </row>
    <row r="798" ht="15.75" customHeight="1">
      <c r="A798" s="7" t="s">
        <v>2537</v>
      </c>
      <c r="B798" s="9" t="s">
        <v>2538</v>
      </c>
      <c r="C798" s="9" t="s">
        <v>12</v>
      </c>
      <c r="D798" s="9" t="s">
        <v>2540</v>
      </c>
    </row>
    <row r="799" ht="15.75" customHeight="1">
      <c r="A799" s="7" t="s">
        <v>2541</v>
      </c>
      <c r="B799" s="9" t="s">
        <v>2542</v>
      </c>
      <c r="C799" s="9" t="s">
        <v>1573</v>
      </c>
      <c r="D799" s="9" t="s">
        <v>2543</v>
      </c>
    </row>
    <row r="800" ht="15.75" customHeight="1">
      <c r="A800" s="7" t="s">
        <v>2544</v>
      </c>
      <c r="B800" s="9" t="s">
        <v>183</v>
      </c>
      <c r="C800" s="9" t="s">
        <v>12</v>
      </c>
      <c r="D800" s="9" t="s">
        <v>2546</v>
      </c>
    </row>
    <row r="801" ht="15.75" customHeight="1">
      <c r="A801" s="7" t="s">
        <v>2547</v>
      </c>
      <c r="B801" s="9" t="s">
        <v>2550</v>
      </c>
      <c r="C801" s="9" t="s">
        <v>12</v>
      </c>
      <c r="D801" s="9" t="s">
        <v>2551</v>
      </c>
    </row>
    <row r="802" ht="15.75" customHeight="1">
      <c r="A802" s="7" t="s">
        <v>2552</v>
      </c>
      <c r="B802" s="9" t="s">
        <v>2553</v>
      </c>
      <c r="C802" s="9" t="s">
        <v>12</v>
      </c>
      <c r="D802" s="9" t="s">
        <v>2555</v>
      </c>
    </row>
    <row r="803" ht="15.75" customHeight="1">
      <c r="A803" s="7" t="s">
        <v>2556</v>
      </c>
      <c r="B803" s="9" t="s">
        <v>2557</v>
      </c>
      <c r="C803" s="9" t="s">
        <v>1573</v>
      </c>
      <c r="D803" s="9" t="s">
        <v>2558</v>
      </c>
    </row>
    <row r="804" ht="15.75" customHeight="1">
      <c r="A804" s="7" t="s">
        <v>2560</v>
      </c>
      <c r="B804" s="9" t="s">
        <v>873</v>
      </c>
      <c r="C804" s="9" t="s">
        <v>12</v>
      </c>
      <c r="D804" s="9" t="s">
        <v>1449</v>
      </c>
    </row>
    <row r="805" ht="15.75" customHeight="1">
      <c r="A805" s="7" t="s">
        <v>2561</v>
      </c>
      <c r="B805" s="9" t="s">
        <v>2562</v>
      </c>
      <c r="C805" s="9" t="s">
        <v>12</v>
      </c>
      <c r="D805" s="9" t="s">
        <v>1449</v>
      </c>
    </row>
    <row r="806" ht="15.75" customHeight="1">
      <c r="A806" s="7" t="s">
        <v>2564</v>
      </c>
      <c r="B806" s="9" t="s">
        <v>2565</v>
      </c>
      <c r="C806" s="9" t="s">
        <v>17</v>
      </c>
      <c r="D806" s="9" t="s">
        <v>2566</v>
      </c>
    </row>
    <row r="807" ht="15.75" customHeight="1">
      <c r="A807" s="7" t="s">
        <v>2568</v>
      </c>
      <c r="B807" s="9" t="s">
        <v>2569</v>
      </c>
      <c r="C807" s="9" t="s">
        <v>17</v>
      </c>
      <c r="D807" s="9" t="s">
        <v>43</v>
      </c>
    </row>
    <row r="808" ht="15.75" customHeight="1">
      <c r="A808" s="7" t="s">
        <v>2570</v>
      </c>
      <c r="B808" s="9" t="s">
        <v>2571</v>
      </c>
      <c r="C808" s="9" t="s">
        <v>17</v>
      </c>
      <c r="D808" s="9" t="s">
        <v>2573</v>
      </c>
    </row>
    <row r="809" ht="15.75" customHeight="1">
      <c r="A809" s="7" t="s">
        <v>2574</v>
      </c>
      <c r="B809" s="9" t="s">
        <v>2575</v>
      </c>
      <c r="C809" s="9" t="s">
        <v>17</v>
      </c>
      <c r="D809" s="9" t="s">
        <v>2576</v>
      </c>
    </row>
    <row r="810" ht="15.75" customHeight="1">
      <c r="A810" s="7" t="s">
        <v>2577</v>
      </c>
      <c r="B810" s="9" t="s">
        <v>2579</v>
      </c>
      <c r="C810" s="9" t="s">
        <v>1573</v>
      </c>
      <c r="D810" s="9" t="s">
        <v>2580</v>
      </c>
    </row>
    <row r="811" ht="15.75" customHeight="1">
      <c r="A811" s="7" t="s">
        <v>2581</v>
      </c>
      <c r="B811" s="9" t="s">
        <v>2582</v>
      </c>
      <c r="C811" s="9" t="s">
        <v>17</v>
      </c>
      <c r="D811" s="9" t="s">
        <v>2583</v>
      </c>
    </row>
    <row r="812" ht="15.75" customHeight="1">
      <c r="A812" s="7" t="s">
        <v>2585</v>
      </c>
      <c r="B812" s="9" t="s">
        <v>2586</v>
      </c>
      <c r="C812" s="9" t="s">
        <v>17</v>
      </c>
      <c r="D812" s="9" t="s">
        <v>413</v>
      </c>
    </row>
    <row r="813" ht="15.75" customHeight="1">
      <c r="A813" s="7" t="s">
        <v>2587</v>
      </c>
      <c r="B813" s="9" t="s">
        <v>1291</v>
      </c>
      <c r="C813" s="9" t="s">
        <v>17</v>
      </c>
      <c r="D813" s="9" t="s">
        <v>2589</v>
      </c>
    </row>
    <row r="814" ht="15.75" customHeight="1">
      <c r="A814" s="7" t="s">
        <v>2590</v>
      </c>
      <c r="B814" s="9" t="s">
        <v>2591</v>
      </c>
      <c r="C814" s="9" t="s">
        <v>17</v>
      </c>
      <c r="D814" s="9" t="s">
        <v>1855</v>
      </c>
    </row>
    <row r="815" ht="15.75" customHeight="1">
      <c r="A815" s="7" t="s">
        <v>2592</v>
      </c>
      <c r="B815" s="9" t="s">
        <v>2594</v>
      </c>
      <c r="C815" s="9" t="s">
        <v>17</v>
      </c>
      <c r="D815" s="9" t="s">
        <v>2595</v>
      </c>
    </row>
    <row r="816" ht="15.75" customHeight="1">
      <c r="A816" s="7" t="s">
        <v>2596</v>
      </c>
      <c r="B816" s="9" t="s">
        <v>2597</v>
      </c>
      <c r="C816" s="9" t="s">
        <v>17</v>
      </c>
      <c r="D816" s="9" t="s">
        <v>2599</v>
      </c>
    </row>
    <row r="817" ht="15.75" customHeight="1">
      <c r="A817" s="7" t="s">
        <v>2600</v>
      </c>
      <c r="B817" s="9" t="s">
        <v>2601</v>
      </c>
      <c r="C817" s="9" t="s">
        <v>17</v>
      </c>
      <c r="D817" s="9" t="s">
        <v>2602</v>
      </c>
    </row>
    <row r="818" ht="15.75" customHeight="1">
      <c r="A818" s="7" t="s">
        <v>2603</v>
      </c>
      <c r="B818" s="9" t="s">
        <v>2605</v>
      </c>
      <c r="C818" s="9" t="s">
        <v>17</v>
      </c>
      <c r="D818" s="9" t="s">
        <v>2606</v>
      </c>
    </row>
    <row r="819" ht="15.75" customHeight="1">
      <c r="A819" s="7" t="s">
        <v>2607</v>
      </c>
      <c r="B819" s="9" t="s">
        <v>974</v>
      </c>
      <c r="C819" s="9" t="s">
        <v>17</v>
      </c>
      <c r="D819" s="9" t="s">
        <v>1272</v>
      </c>
    </row>
    <row r="820" ht="15.75" customHeight="1">
      <c r="A820" s="7" t="s">
        <v>2609</v>
      </c>
      <c r="B820" s="9" t="s">
        <v>2610</v>
      </c>
      <c r="C820" s="9" t="s">
        <v>17</v>
      </c>
      <c r="D820" s="9" t="s">
        <v>2611</v>
      </c>
    </row>
    <row r="821" ht="15.75" customHeight="1">
      <c r="A821" s="7" t="s">
        <v>2612</v>
      </c>
      <c r="B821" s="9" t="s">
        <v>2614</v>
      </c>
      <c r="C821" s="9" t="s">
        <v>12</v>
      </c>
      <c r="D821" s="9" t="s">
        <v>1884</v>
      </c>
    </row>
    <row r="822" ht="15.75" customHeight="1">
      <c r="A822" s="7" t="s">
        <v>2615</v>
      </c>
      <c r="B822" s="9" t="s">
        <v>2616</v>
      </c>
      <c r="C822" s="9" t="s">
        <v>17</v>
      </c>
      <c r="D822" s="9" t="s">
        <v>2618</v>
      </c>
    </row>
    <row r="823" ht="15.75" customHeight="1">
      <c r="A823" s="7" t="s">
        <v>2620</v>
      </c>
      <c r="B823" s="9" t="s">
        <v>2621</v>
      </c>
      <c r="C823" s="9" t="s">
        <v>17</v>
      </c>
      <c r="D823" s="9" t="s">
        <v>2622</v>
      </c>
    </row>
    <row r="824" ht="15.75" customHeight="1">
      <c r="A824" s="7" t="s">
        <v>2623</v>
      </c>
      <c r="B824" s="9" t="s">
        <v>2624</v>
      </c>
      <c r="C824" s="9" t="s">
        <v>17</v>
      </c>
      <c r="D824" s="9" t="s">
        <v>155</v>
      </c>
    </row>
    <row r="825" ht="15.75" customHeight="1">
      <c r="A825" s="7" t="s">
        <v>2626</v>
      </c>
      <c r="B825" s="9" t="s">
        <v>2197</v>
      </c>
      <c r="C825" s="9" t="s">
        <v>17</v>
      </c>
      <c r="D825" s="9" t="s">
        <v>2627</v>
      </c>
    </row>
    <row r="826" ht="15.75" customHeight="1">
      <c r="A826" s="7" t="s">
        <v>2628</v>
      </c>
      <c r="B826" s="9" t="s">
        <v>2630</v>
      </c>
      <c r="C826" s="9" t="s">
        <v>17</v>
      </c>
      <c r="D826" s="9" t="s">
        <v>2631</v>
      </c>
    </row>
    <row r="827" ht="15.75" customHeight="1">
      <c r="A827" s="7" t="s">
        <v>2632</v>
      </c>
      <c r="B827" s="9" t="s">
        <v>2633</v>
      </c>
      <c r="C827" s="9" t="s">
        <v>12</v>
      </c>
      <c r="D827" s="9" t="s">
        <v>2634</v>
      </c>
    </row>
    <row r="828" ht="15.75" customHeight="1">
      <c r="A828" s="7" t="s">
        <v>2636</v>
      </c>
      <c r="B828" s="9" t="s">
        <v>2637</v>
      </c>
      <c r="C828" s="9" t="s">
        <v>12</v>
      </c>
      <c r="D828" s="9" t="s">
        <v>2638</v>
      </c>
    </row>
    <row r="829" ht="15.75" customHeight="1">
      <c r="A829" s="7" t="s">
        <v>2639</v>
      </c>
      <c r="B829" s="9" t="s">
        <v>183</v>
      </c>
      <c r="C829" s="9" t="s">
        <v>1573</v>
      </c>
      <c r="D829" s="9" t="s">
        <v>2641</v>
      </c>
    </row>
    <row r="830" ht="15.75" customHeight="1">
      <c r="A830" s="7" t="s">
        <v>2642</v>
      </c>
      <c r="B830" s="9" t="s">
        <v>1640</v>
      </c>
      <c r="C830" s="9" t="s">
        <v>1573</v>
      </c>
      <c r="D830" s="9" t="s">
        <v>2644</v>
      </c>
    </row>
    <row r="831" ht="15.75" customHeight="1">
      <c r="A831" s="7" t="s">
        <v>2645</v>
      </c>
      <c r="B831" s="9" t="s">
        <v>2646</v>
      </c>
      <c r="C831" s="9" t="s">
        <v>1573</v>
      </c>
      <c r="D831" s="9" t="s">
        <v>2647</v>
      </c>
    </row>
    <row r="832" ht="15.75" customHeight="1">
      <c r="A832" s="7" t="s">
        <v>2649</v>
      </c>
      <c r="B832" s="9" t="s">
        <v>2650</v>
      </c>
      <c r="C832" s="9" t="s">
        <v>17</v>
      </c>
      <c r="D832" s="9" t="s">
        <v>509</v>
      </c>
    </row>
    <row r="833" ht="15.75" customHeight="1">
      <c r="A833" s="7" t="s">
        <v>2651</v>
      </c>
      <c r="B833" s="9" t="s">
        <v>2652</v>
      </c>
      <c r="C833" s="9" t="s">
        <v>17</v>
      </c>
      <c r="D833" s="9" t="s">
        <v>2654</v>
      </c>
    </row>
    <row r="834" ht="15.75" customHeight="1">
      <c r="A834" s="7" t="s">
        <v>2655</v>
      </c>
      <c r="B834" s="9" t="s">
        <v>2656</v>
      </c>
      <c r="C834" s="9" t="s">
        <v>17</v>
      </c>
      <c r="D834" s="9" t="s">
        <v>2657</v>
      </c>
    </row>
    <row r="835" ht="15.75" customHeight="1">
      <c r="A835" s="7" t="s">
        <v>2658</v>
      </c>
      <c r="B835" s="9" t="s">
        <v>2660</v>
      </c>
      <c r="C835" s="9" t="s">
        <v>1573</v>
      </c>
      <c r="D835" s="9" t="s">
        <v>2186</v>
      </c>
    </row>
    <row r="836" ht="15.75" customHeight="1">
      <c r="A836" s="7" t="s">
        <v>2661</v>
      </c>
      <c r="B836" s="9" t="s">
        <v>2662</v>
      </c>
      <c r="C836" s="9" t="s">
        <v>12</v>
      </c>
      <c r="D836" s="9" t="s">
        <v>2663</v>
      </c>
    </row>
    <row r="837" ht="15.75" customHeight="1">
      <c r="A837" s="7" t="s">
        <v>2664</v>
      </c>
      <c r="B837" s="9" t="s">
        <v>715</v>
      </c>
      <c r="C837" s="9" t="s">
        <v>12</v>
      </c>
      <c r="D837" s="9" t="s">
        <v>2666</v>
      </c>
    </row>
    <row r="838" ht="15.75" customHeight="1">
      <c r="A838" s="7" t="s">
        <v>2667</v>
      </c>
      <c r="B838" s="9" t="s">
        <v>2668</v>
      </c>
      <c r="C838" s="9" t="s">
        <v>12</v>
      </c>
      <c r="D838" s="9" t="s">
        <v>2669</v>
      </c>
    </row>
    <row r="839" ht="15.75" customHeight="1">
      <c r="A839" s="7" t="s">
        <v>2670</v>
      </c>
      <c r="B839" s="9" t="s">
        <v>1999</v>
      </c>
      <c r="C839" s="9" t="s">
        <v>17</v>
      </c>
      <c r="D839" s="9" t="s">
        <v>1807</v>
      </c>
    </row>
    <row r="840" ht="15.75" customHeight="1">
      <c r="A840" s="7" t="s">
        <v>2672</v>
      </c>
      <c r="B840" s="9" t="s">
        <v>2673</v>
      </c>
      <c r="C840" s="9" t="s">
        <v>12</v>
      </c>
      <c r="D840" s="9" t="s">
        <v>749</v>
      </c>
    </row>
    <row r="841" ht="15.75" customHeight="1">
      <c r="A841" s="7" t="s">
        <v>2675</v>
      </c>
      <c r="B841" s="9" t="s">
        <v>2676</v>
      </c>
      <c r="C841" s="9" t="s">
        <v>12</v>
      </c>
      <c r="D841" s="9" t="s">
        <v>2677</v>
      </c>
    </row>
    <row r="842" ht="15.75" customHeight="1">
      <c r="A842" s="7" t="s">
        <v>2678</v>
      </c>
      <c r="B842" s="9" t="s">
        <v>2679</v>
      </c>
      <c r="C842" s="9" t="s">
        <v>12</v>
      </c>
      <c r="D842" s="9" t="s">
        <v>2681</v>
      </c>
    </row>
    <row r="843" ht="15.75" customHeight="1">
      <c r="A843" s="7" t="s">
        <v>2682</v>
      </c>
      <c r="B843" s="9" t="s">
        <v>2683</v>
      </c>
      <c r="C843" s="9" t="s">
        <v>12</v>
      </c>
      <c r="D843" s="9" t="s">
        <v>2471</v>
      </c>
    </row>
    <row r="844" ht="15.75" customHeight="1">
      <c r="A844" s="7" t="s">
        <v>2685</v>
      </c>
      <c r="B844" s="9" t="s">
        <v>2686</v>
      </c>
      <c r="C844" s="9" t="s">
        <v>12</v>
      </c>
      <c r="D844" s="9" t="s">
        <v>2687</v>
      </c>
    </row>
    <row r="845" ht="15.75" customHeight="1">
      <c r="A845" s="7" t="s">
        <v>2689</v>
      </c>
      <c r="B845" s="9" t="s">
        <v>477</v>
      </c>
      <c r="C845" s="9" t="s">
        <v>12</v>
      </c>
      <c r="D845" s="9" t="s">
        <v>1688</v>
      </c>
    </row>
    <row r="846" ht="15.75" customHeight="1">
      <c r="A846" s="7" t="s">
        <v>2690</v>
      </c>
      <c r="B846" s="9" t="s">
        <v>2691</v>
      </c>
      <c r="C846" s="9" t="s">
        <v>1573</v>
      </c>
      <c r="D846" s="9" t="s">
        <v>2692</v>
      </c>
    </row>
    <row r="847" ht="15.75" customHeight="1">
      <c r="A847" s="7" t="s">
        <v>2694</v>
      </c>
      <c r="B847" s="9" t="s">
        <v>2695</v>
      </c>
      <c r="C847" s="9" t="s">
        <v>12</v>
      </c>
      <c r="D847" s="9" t="s">
        <v>2696</v>
      </c>
    </row>
    <row r="848" ht="15.75" customHeight="1">
      <c r="A848" s="7" t="s">
        <v>2697</v>
      </c>
      <c r="B848" s="9" t="s">
        <v>2698</v>
      </c>
      <c r="C848" s="9" t="s">
        <v>12</v>
      </c>
      <c r="D848" s="9" t="s">
        <v>2703</v>
      </c>
    </row>
    <row r="849" ht="15.75" customHeight="1">
      <c r="A849" s="7" t="s">
        <v>2705</v>
      </c>
      <c r="B849" s="9" t="s">
        <v>2706</v>
      </c>
      <c r="C849" s="9" t="s">
        <v>12</v>
      </c>
      <c r="D849" s="9" t="s">
        <v>2707</v>
      </c>
    </row>
    <row r="850" ht="15.75" customHeight="1">
      <c r="A850" s="7" t="s">
        <v>2708</v>
      </c>
      <c r="B850" s="9" t="s">
        <v>2709</v>
      </c>
      <c r="C850" s="9" t="s">
        <v>17</v>
      </c>
      <c r="D850" s="9" t="s">
        <v>190</v>
      </c>
    </row>
    <row r="851" ht="15.75" customHeight="1">
      <c r="A851" s="7" t="s">
        <v>2711</v>
      </c>
      <c r="B851" s="9" t="s">
        <v>2712</v>
      </c>
      <c r="C851" s="9" t="s">
        <v>17</v>
      </c>
      <c r="D851" s="9" t="s">
        <v>166</v>
      </c>
    </row>
    <row r="852" ht="15.75" customHeight="1">
      <c r="A852" s="7" t="s">
        <v>2713</v>
      </c>
      <c r="B852" s="9" t="s">
        <v>2715</v>
      </c>
      <c r="C852" s="9" t="s">
        <v>12</v>
      </c>
      <c r="D852" s="9" t="s">
        <v>2716</v>
      </c>
    </row>
    <row r="853" ht="15.75" customHeight="1">
      <c r="A853" s="7" t="s">
        <v>2717</v>
      </c>
      <c r="B853" s="9" t="s">
        <v>2718</v>
      </c>
      <c r="C853" s="9" t="s">
        <v>1573</v>
      </c>
      <c r="D853" s="9" t="s">
        <v>613</v>
      </c>
    </row>
    <row r="854" ht="15.75" customHeight="1">
      <c r="A854" s="7" t="s">
        <v>2720</v>
      </c>
      <c r="B854" s="9" t="s">
        <v>579</v>
      </c>
      <c r="C854" s="9" t="s">
        <v>17</v>
      </c>
      <c r="D854" s="9" t="s">
        <v>276</v>
      </c>
    </row>
    <row r="855" ht="15.75" customHeight="1">
      <c r="A855" s="7" t="s">
        <v>2721</v>
      </c>
      <c r="B855" s="9" t="s">
        <v>2722</v>
      </c>
      <c r="C855" s="9" t="s">
        <v>17</v>
      </c>
      <c r="D855" s="9" t="s">
        <v>2723</v>
      </c>
    </row>
    <row r="856" ht="15.75" customHeight="1">
      <c r="A856" s="7" t="s">
        <v>2725</v>
      </c>
      <c r="B856" s="9" t="s">
        <v>2726</v>
      </c>
      <c r="C856" s="9" t="s">
        <v>17</v>
      </c>
      <c r="D856" s="9" t="s">
        <v>743</v>
      </c>
    </row>
    <row r="857" ht="15.75" customHeight="1">
      <c r="A857" s="7" t="s">
        <v>2727</v>
      </c>
      <c r="B857" s="9" t="s">
        <v>2728</v>
      </c>
      <c r="C857" s="9" t="s">
        <v>17</v>
      </c>
      <c r="D857" s="9" t="s">
        <v>2729</v>
      </c>
    </row>
    <row r="858" ht="15.75" customHeight="1">
      <c r="A858" s="7" t="s">
        <v>2731</v>
      </c>
      <c r="B858" s="9" t="s">
        <v>2732</v>
      </c>
      <c r="C858" s="9" t="s">
        <v>12</v>
      </c>
      <c r="D858" s="9" t="s">
        <v>2733</v>
      </c>
    </row>
    <row r="859" ht="15.75" customHeight="1">
      <c r="A859" s="7" t="s">
        <v>2734</v>
      </c>
      <c r="B859" s="9" t="s">
        <v>2735</v>
      </c>
      <c r="C859" s="9" t="s">
        <v>12</v>
      </c>
      <c r="D859" s="9" t="s">
        <v>1449</v>
      </c>
    </row>
    <row r="860" ht="15.75" customHeight="1">
      <c r="A860" s="7" t="s">
        <v>2737</v>
      </c>
      <c r="B860" s="9" t="s">
        <v>2738</v>
      </c>
      <c r="C860" s="9" t="s">
        <v>12</v>
      </c>
      <c r="D860" s="9" t="s">
        <v>2739</v>
      </c>
    </row>
    <row r="861" ht="15.75" customHeight="1">
      <c r="A861" s="7" t="s">
        <v>2740</v>
      </c>
      <c r="B861" s="9" t="s">
        <v>2741</v>
      </c>
      <c r="C861" s="9" t="s">
        <v>12</v>
      </c>
      <c r="D861" s="9" t="s">
        <v>2743</v>
      </c>
    </row>
    <row r="862" ht="15.75" customHeight="1">
      <c r="A862" s="7" t="s">
        <v>2744</v>
      </c>
      <c r="B862" s="9" t="s">
        <v>2745</v>
      </c>
      <c r="C862" s="9" t="s">
        <v>17</v>
      </c>
      <c r="D862" s="9" t="s">
        <v>190</v>
      </c>
    </row>
    <row r="863" ht="15.75" customHeight="1">
      <c r="A863" s="7" t="s">
        <v>2746</v>
      </c>
      <c r="B863" s="9" t="s">
        <v>2748</v>
      </c>
      <c r="C863" s="9" t="s">
        <v>12</v>
      </c>
      <c r="D863" s="9" t="s">
        <v>1077</v>
      </c>
    </row>
    <row r="864" ht="15.75" customHeight="1">
      <c r="A864" s="7" t="s">
        <v>2749</v>
      </c>
      <c r="B864" s="9" t="s">
        <v>2750</v>
      </c>
      <c r="C864" s="9" t="s">
        <v>17</v>
      </c>
      <c r="D864" s="9" t="s">
        <v>2752</v>
      </c>
    </row>
    <row r="865" ht="15.75" customHeight="1">
      <c r="A865" s="7" t="s">
        <v>2753</v>
      </c>
      <c r="B865" s="9" t="s">
        <v>2754</v>
      </c>
      <c r="C865" s="9" t="s">
        <v>17</v>
      </c>
      <c r="D865" s="9" t="s">
        <v>2755</v>
      </c>
    </row>
    <row r="866" ht="15.75" customHeight="1">
      <c r="A866" s="7" t="s">
        <v>2757</v>
      </c>
      <c r="B866" s="9" t="s">
        <v>2758</v>
      </c>
      <c r="C866" s="9" t="s">
        <v>17</v>
      </c>
      <c r="D866" s="9" t="s">
        <v>240</v>
      </c>
    </row>
    <row r="867" ht="15.75" customHeight="1">
      <c r="A867" s="7" t="s">
        <v>2759</v>
      </c>
      <c r="B867" s="9" t="s">
        <v>2760</v>
      </c>
      <c r="C867" s="9" t="s">
        <v>1573</v>
      </c>
      <c r="D867" s="9" t="s">
        <v>2762</v>
      </c>
    </row>
    <row r="868" ht="15.75" customHeight="1">
      <c r="A868" s="7" t="s">
        <v>2763</v>
      </c>
      <c r="B868" s="9" t="s">
        <v>2764</v>
      </c>
      <c r="C868" s="9" t="s">
        <v>17</v>
      </c>
      <c r="D868" s="9" t="s">
        <v>2765</v>
      </c>
    </row>
    <row r="869" ht="15.75" customHeight="1">
      <c r="A869" s="7" t="s">
        <v>2766</v>
      </c>
      <c r="B869" s="9" t="s">
        <v>2767</v>
      </c>
      <c r="C869" s="9" t="s">
        <v>17</v>
      </c>
      <c r="D869" s="9" t="s">
        <v>359</v>
      </c>
    </row>
    <row r="870" ht="15.75" customHeight="1">
      <c r="A870" s="7" t="s">
        <v>2769</v>
      </c>
      <c r="B870" s="9" t="s">
        <v>2770</v>
      </c>
      <c r="C870" s="9" t="s">
        <v>17</v>
      </c>
      <c r="D870" s="9" t="s">
        <v>60</v>
      </c>
    </row>
    <row r="871" ht="15.75" customHeight="1">
      <c r="A871" s="7" t="s">
        <v>2771</v>
      </c>
      <c r="B871" s="9" t="s">
        <v>2772</v>
      </c>
      <c r="C871" s="9" t="s">
        <v>17</v>
      </c>
      <c r="D871" s="9" t="s">
        <v>2774</v>
      </c>
    </row>
    <row r="872" ht="15.75" customHeight="1">
      <c r="A872" s="7" t="s">
        <v>2775</v>
      </c>
      <c r="B872" s="9" t="s">
        <v>2776</v>
      </c>
      <c r="C872" s="9" t="s">
        <v>1573</v>
      </c>
      <c r="D872" s="9" t="s">
        <v>2777</v>
      </c>
    </row>
    <row r="873" ht="15.75" customHeight="1">
      <c r="A873" s="7" t="s">
        <v>2779</v>
      </c>
      <c r="B873" s="9" t="s">
        <v>2780</v>
      </c>
      <c r="C873" s="9" t="s">
        <v>12</v>
      </c>
      <c r="D873" s="9" t="s">
        <v>2781</v>
      </c>
    </row>
    <row r="874" ht="15.75" customHeight="1">
      <c r="A874" s="7" t="s">
        <v>2782</v>
      </c>
      <c r="B874" s="9" t="s">
        <v>2783</v>
      </c>
      <c r="C874" s="9" t="s">
        <v>1573</v>
      </c>
      <c r="D874" s="9" t="s">
        <v>1374</v>
      </c>
    </row>
    <row r="875" ht="15.75" customHeight="1">
      <c r="A875" s="7" t="s">
        <v>2785</v>
      </c>
      <c r="B875" s="9" t="s">
        <v>2786</v>
      </c>
      <c r="C875" s="9" t="s">
        <v>12</v>
      </c>
      <c r="D875" s="9" t="s">
        <v>2787</v>
      </c>
    </row>
    <row r="876" ht="15.75" customHeight="1">
      <c r="A876" s="7" t="s">
        <v>2788</v>
      </c>
      <c r="B876" s="9" t="s">
        <v>2789</v>
      </c>
      <c r="C876" s="9" t="s">
        <v>12</v>
      </c>
      <c r="D876" s="9" t="s">
        <v>2791</v>
      </c>
    </row>
    <row r="877" ht="15.75" customHeight="1">
      <c r="A877" s="7" t="s">
        <v>2792</v>
      </c>
      <c r="B877" s="9" t="s">
        <v>2793</v>
      </c>
      <c r="C877" s="9" t="s">
        <v>12</v>
      </c>
      <c r="D877" s="9" t="s">
        <v>2794</v>
      </c>
    </row>
    <row r="878" ht="15.75" customHeight="1">
      <c r="A878" s="7" t="s">
        <v>2795</v>
      </c>
      <c r="B878" s="9" t="s">
        <v>2796</v>
      </c>
      <c r="C878" s="9" t="s">
        <v>1573</v>
      </c>
      <c r="D878" s="9" t="s">
        <v>2067</v>
      </c>
    </row>
    <row r="879" ht="15.75" customHeight="1">
      <c r="A879" s="7" t="s">
        <v>2798</v>
      </c>
      <c r="B879" s="9" t="s">
        <v>2799</v>
      </c>
      <c r="C879" s="9" t="s">
        <v>1573</v>
      </c>
      <c r="D879" s="9" t="s">
        <v>2800</v>
      </c>
    </row>
    <row r="880" ht="15.75" customHeight="1">
      <c r="A880" s="7" t="s">
        <v>2802</v>
      </c>
      <c r="B880" s="9" t="s">
        <v>2803</v>
      </c>
      <c r="C880" s="9" t="s">
        <v>12</v>
      </c>
      <c r="D880" s="9" t="s">
        <v>2804</v>
      </c>
    </row>
    <row r="881" ht="15.75" customHeight="1">
      <c r="A881" s="7" t="s">
        <v>2805</v>
      </c>
      <c r="B881" s="9" t="s">
        <v>2807</v>
      </c>
      <c r="C881" s="9" t="s">
        <v>12</v>
      </c>
      <c r="D881" s="9" t="s">
        <v>2808</v>
      </c>
    </row>
    <row r="882" ht="15.75" customHeight="1">
      <c r="A882" s="7" t="s">
        <v>2809</v>
      </c>
      <c r="B882" s="9" t="s">
        <v>2810</v>
      </c>
      <c r="C882" s="9" t="s">
        <v>12</v>
      </c>
      <c r="D882" s="9" t="s">
        <v>2811</v>
      </c>
    </row>
    <row r="883" ht="15.75" customHeight="1">
      <c r="A883" s="7" t="s">
        <v>2812</v>
      </c>
      <c r="B883" s="9" t="s">
        <v>2813</v>
      </c>
      <c r="C883" s="9" t="s">
        <v>12</v>
      </c>
      <c r="D883" s="9" t="s">
        <v>898</v>
      </c>
    </row>
    <row r="884" ht="15.75" customHeight="1">
      <c r="A884" s="7" t="s">
        <v>2815</v>
      </c>
      <c r="B884" s="9" t="s">
        <v>2816</v>
      </c>
      <c r="C884" s="9" t="s">
        <v>12</v>
      </c>
      <c r="D884" s="9" t="s">
        <v>2817</v>
      </c>
    </row>
    <row r="885" ht="15.75" customHeight="1">
      <c r="A885" s="7" t="s">
        <v>2818</v>
      </c>
      <c r="B885" s="9" t="s">
        <v>2819</v>
      </c>
      <c r="C885" s="9" t="s">
        <v>12</v>
      </c>
      <c r="D885" s="9" t="s">
        <v>2820</v>
      </c>
    </row>
    <row r="886" ht="15.75" customHeight="1">
      <c r="A886" s="7" t="s">
        <v>2822</v>
      </c>
      <c r="B886" s="9" t="s">
        <v>2823</v>
      </c>
      <c r="C886" s="9" t="s">
        <v>12</v>
      </c>
      <c r="D886" s="9" t="s">
        <v>2824</v>
      </c>
    </row>
    <row r="887" ht="15.75" customHeight="1">
      <c r="A887" s="7" t="s">
        <v>2825</v>
      </c>
      <c r="B887" s="9" t="s">
        <v>2826</v>
      </c>
      <c r="C887" s="9" t="s">
        <v>12</v>
      </c>
      <c r="D887" s="9" t="s">
        <v>2827</v>
      </c>
    </row>
    <row r="888" ht="15.75" customHeight="1">
      <c r="A888" s="7" t="s">
        <v>2829</v>
      </c>
      <c r="B888" s="9" t="s">
        <v>2830</v>
      </c>
      <c r="C888" s="9" t="s">
        <v>12</v>
      </c>
      <c r="D888" s="9" t="s">
        <v>2831</v>
      </c>
    </row>
    <row r="889" ht="15.75" customHeight="1">
      <c r="A889" s="7" t="s">
        <v>2832</v>
      </c>
      <c r="B889" s="9" t="s">
        <v>2833</v>
      </c>
      <c r="C889" s="9" t="s">
        <v>1573</v>
      </c>
      <c r="D889" s="9" t="s">
        <v>2835</v>
      </c>
    </row>
    <row r="890" ht="15.75" customHeight="1">
      <c r="A890" s="7" t="s">
        <v>2836</v>
      </c>
      <c r="B890" s="9" t="s">
        <v>2837</v>
      </c>
      <c r="C890" s="9" t="s">
        <v>17</v>
      </c>
      <c r="D890" s="9" t="s">
        <v>2838</v>
      </c>
    </row>
    <row r="891" ht="15.75" customHeight="1">
      <c r="A891" s="7" t="s">
        <v>2840</v>
      </c>
      <c r="B891" s="9" t="s">
        <v>2841</v>
      </c>
      <c r="C891" s="9" t="s">
        <v>17</v>
      </c>
      <c r="D891" s="9" t="s">
        <v>603</v>
      </c>
    </row>
    <row r="892" ht="15.75" customHeight="1">
      <c r="A892" s="7" t="s">
        <v>2842</v>
      </c>
      <c r="B892" s="9" t="s">
        <v>2843</v>
      </c>
      <c r="C892" s="9" t="s">
        <v>17</v>
      </c>
      <c r="D892" s="9" t="s">
        <v>2845</v>
      </c>
    </row>
    <row r="893" ht="15.75" customHeight="1">
      <c r="A893" s="7" t="s">
        <v>2846</v>
      </c>
      <c r="B893" s="9" t="s">
        <v>2847</v>
      </c>
      <c r="C893" s="9" t="s">
        <v>17</v>
      </c>
      <c r="D893" s="9" t="s">
        <v>2848</v>
      </c>
    </row>
    <row r="894" ht="15.75" customHeight="1">
      <c r="A894" s="7" t="s">
        <v>2849</v>
      </c>
      <c r="B894" s="9" t="s">
        <v>2850</v>
      </c>
      <c r="C894" s="9" t="s">
        <v>1573</v>
      </c>
      <c r="D894" s="9" t="s">
        <v>2851</v>
      </c>
    </row>
    <row r="895" ht="15.75" customHeight="1">
      <c r="A895" s="7" t="s">
        <v>2853</v>
      </c>
      <c r="B895" s="9" t="s">
        <v>2854</v>
      </c>
      <c r="C895" s="9" t="s">
        <v>17</v>
      </c>
      <c r="D895" s="9" t="s">
        <v>93</v>
      </c>
    </row>
    <row r="896" ht="15.75" customHeight="1">
      <c r="A896" s="7" t="s">
        <v>2855</v>
      </c>
      <c r="B896" s="9" t="s">
        <v>2856</v>
      </c>
      <c r="C896" s="9" t="s">
        <v>17</v>
      </c>
      <c r="D896" s="9" t="s">
        <v>2857</v>
      </c>
    </row>
    <row r="897" ht="15.75" customHeight="1">
      <c r="A897" s="7" t="s">
        <v>2858</v>
      </c>
      <c r="B897" s="9" t="s">
        <v>2860</v>
      </c>
      <c r="C897" s="9" t="s">
        <v>12</v>
      </c>
      <c r="D897" s="9" t="s">
        <v>2861</v>
      </c>
    </row>
    <row r="898" ht="15.75" customHeight="1">
      <c r="A898" s="7" t="s">
        <v>2862</v>
      </c>
      <c r="B898" s="9" t="s">
        <v>1684</v>
      </c>
      <c r="C898" s="9" t="s">
        <v>12</v>
      </c>
      <c r="D898" s="9" t="s">
        <v>2863</v>
      </c>
    </row>
    <row r="899" ht="15.75" customHeight="1">
      <c r="A899" s="7" t="s">
        <v>2865</v>
      </c>
      <c r="B899" s="9" t="s">
        <v>2866</v>
      </c>
      <c r="C899" s="9" t="s">
        <v>12</v>
      </c>
      <c r="D899" s="9" t="s">
        <v>2867</v>
      </c>
    </row>
    <row r="900" ht="15.75" customHeight="1">
      <c r="A900" s="7" t="s">
        <v>2868</v>
      </c>
      <c r="B900" s="9" t="s">
        <v>658</v>
      </c>
      <c r="C900" s="9" t="s">
        <v>17</v>
      </c>
      <c r="D900" s="9" t="s">
        <v>155</v>
      </c>
    </row>
    <row r="901" ht="15.75" customHeight="1">
      <c r="A901" s="7" t="s">
        <v>2870</v>
      </c>
      <c r="B901" s="9" t="s">
        <v>710</v>
      </c>
      <c r="C901" s="9" t="s">
        <v>1573</v>
      </c>
      <c r="D901" s="9" t="s">
        <v>2871</v>
      </c>
    </row>
    <row r="902" ht="15.75" customHeight="1">
      <c r="A902" s="7" t="s">
        <v>2873</v>
      </c>
      <c r="B902" s="9" t="s">
        <v>2874</v>
      </c>
      <c r="C902" s="9" t="s">
        <v>12</v>
      </c>
      <c r="D902" s="9" t="s">
        <v>2875</v>
      </c>
    </row>
    <row r="903" ht="15.75" customHeight="1">
      <c r="A903" s="7" t="s">
        <v>2876</v>
      </c>
      <c r="B903" s="9" t="s">
        <v>2877</v>
      </c>
      <c r="C903" s="9" t="s">
        <v>17</v>
      </c>
      <c r="D903" s="9" t="s">
        <v>1823</v>
      </c>
    </row>
    <row r="904" ht="15.75" customHeight="1">
      <c r="A904" s="7" t="s">
        <v>2879</v>
      </c>
      <c r="B904" s="9" t="s">
        <v>2880</v>
      </c>
      <c r="C904" s="9" t="s">
        <v>12</v>
      </c>
      <c r="D904" s="9" t="s">
        <v>2881</v>
      </c>
    </row>
    <row r="905" ht="15.75" customHeight="1">
      <c r="A905" s="7" t="s">
        <v>2882</v>
      </c>
      <c r="B905" s="9" t="s">
        <v>328</v>
      </c>
      <c r="C905" s="9" t="s">
        <v>12</v>
      </c>
      <c r="D905" s="9" t="s">
        <v>2884</v>
      </c>
    </row>
    <row r="906" ht="15.75" customHeight="1">
      <c r="A906" s="7" t="s">
        <v>2885</v>
      </c>
      <c r="B906" s="9" t="s">
        <v>2886</v>
      </c>
      <c r="C906" s="9" t="s">
        <v>17</v>
      </c>
      <c r="D906" s="9" t="s">
        <v>2887</v>
      </c>
    </row>
    <row r="907" ht="15.75" customHeight="1">
      <c r="A907" s="7" t="s">
        <v>2888</v>
      </c>
      <c r="B907" s="9" t="s">
        <v>2890</v>
      </c>
      <c r="C907" s="9" t="s">
        <v>12</v>
      </c>
      <c r="D907" s="9" t="s">
        <v>2669</v>
      </c>
    </row>
    <row r="908" ht="15.75" customHeight="1">
      <c r="A908" s="7" t="s">
        <v>2891</v>
      </c>
      <c r="B908" s="9" t="s">
        <v>2892</v>
      </c>
      <c r="C908" s="9" t="s">
        <v>1573</v>
      </c>
      <c r="D908" s="9" t="s">
        <v>2893</v>
      </c>
    </row>
    <row r="909" ht="15.75" customHeight="1">
      <c r="A909" s="7" t="s">
        <v>2895</v>
      </c>
      <c r="B909" s="9" t="s">
        <v>2896</v>
      </c>
      <c r="C909" s="9" t="s">
        <v>17</v>
      </c>
      <c r="D909" s="9" t="s">
        <v>2897</v>
      </c>
    </row>
    <row r="910" ht="15.75" customHeight="1">
      <c r="A910" s="7" t="s">
        <v>2898</v>
      </c>
      <c r="B910" s="9" t="s">
        <v>2899</v>
      </c>
      <c r="C910" s="9" t="s">
        <v>17</v>
      </c>
      <c r="D910" s="9" t="s">
        <v>1020</v>
      </c>
    </row>
    <row r="911" ht="15.75" customHeight="1">
      <c r="A911" s="7" t="s">
        <v>2901</v>
      </c>
      <c r="B911" s="9" t="s">
        <v>2902</v>
      </c>
      <c r="C911" s="9" t="s">
        <v>17</v>
      </c>
      <c r="D911" s="9" t="s">
        <v>2903</v>
      </c>
    </row>
    <row r="912" ht="15.75" customHeight="1">
      <c r="A912" s="7" t="s">
        <v>2905</v>
      </c>
      <c r="B912" s="9" t="s">
        <v>2906</v>
      </c>
      <c r="C912" s="9" t="s">
        <v>17</v>
      </c>
      <c r="D912" s="9" t="s">
        <v>2907</v>
      </c>
    </row>
    <row r="913" ht="15.75" customHeight="1">
      <c r="A913" s="7" t="s">
        <v>2908</v>
      </c>
      <c r="B913" s="9" t="s">
        <v>2909</v>
      </c>
      <c r="C913" s="9" t="s">
        <v>17</v>
      </c>
      <c r="D913" s="9" t="s">
        <v>1335</v>
      </c>
    </row>
    <row r="914" ht="15.75" customHeight="1">
      <c r="A914" s="7" t="s">
        <v>2911</v>
      </c>
      <c r="B914" s="9" t="s">
        <v>2912</v>
      </c>
      <c r="C914" s="9" t="s">
        <v>17</v>
      </c>
      <c r="D914" s="9" t="s">
        <v>291</v>
      </c>
    </row>
    <row r="915" ht="15.75" customHeight="1">
      <c r="A915" s="7" t="s">
        <v>2913</v>
      </c>
      <c r="B915" s="9" t="s">
        <v>434</v>
      </c>
      <c r="C915" s="9" t="s">
        <v>17</v>
      </c>
      <c r="D915" s="9" t="s">
        <v>2914</v>
      </c>
    </row>
    <row r="916" ht="15.75" customHeight="1">
      <c r="A916" s="7" t="s">
        <v>2915</v>
      </c>
      <c r="B916" s="9" t="s">
        <v>2916</v>
      </c>
      <c r="C916" s="9" t="s">
        <v>17</v>
      </c>
      <c r="D916" s="9" t="s">
        <v>2918</v>
      </c>
    </row>
    <row r="917" ht="15.75" customHeight="1">
      <c r="A917" s="7" t="s">
        <v>2925</v>
      </c>
      <c r="B917" s="9" t="s">
        <v>710</v>
      </c>
      <c r="C917" s="9" t="s">
        <v>17</v>
      </c>
      <c r="D917" s="9" t="s">
        <v>2927</v>
      </c>
    </row>
    <row r="918" ht="15.75" customHeight="1">
      <c r="A918" s="7" t="s">
        <v>2928</v>
      </c>
      <c r="B918" s="9" t="s">
        <v>2929</v>
      </c>
      <c r="C918" s="9" t="s">
        <v>12</v>
      </c>
      <c r="D918" s="9" t="s">
        <v>2930</v>
      </c>
    </row>
    <row r="919" ht="15.75" customHeight="1">
      <c r="A919" s="7" t="s">
        <v>2932</v>
      </c>
      <c r="B919" s="9" t="s">
        <v>2933</v>
      </c>
      <c r="C919" s="9" t="s">
        <v>12</v>
      </c>
      <c r="D919" s="9" t="s">
        <v>1370</v>
      </c>
    </row>
    <row r="920" ht="15.75" customHeight="1">
      <c r="A920" s="7" t="s">
        <v>2934</v>
      </c>
      <c r="B920" s="9" t="s">
        <v>2935</v>
      </c>
      <c r="C920" s="9" t="s">
        <v>12</v>
      </c>
      <c r="D920" s="9" t="s">
        <v>177</v>
      </c>
    </row>
    <row r="921" ht="15.75" customHeight="1">
      <c r="A921" s="7" t="s">
        <v>2937</v>
      </c>
      <c r="B921" s="9" t="s">
        <v>2938</v>
      </c>
      <c r="C921" s="9" t="s">
        <v>12</v>
      </c>
      <c r="D921" s="9" t="s">
        <v>2940</v>
      </c>
    </row>
    <row r="922" ht="15.75" customHeight="1">
      <c r="A922" s="7" t="s">
        <v>2941</v>
      </c>
      <c r="B922" s="9" t="s">
        <v>2942</v>
      </c>
      <c r="C922" s="9" t="s">
        <v>12</v>
      </c>
      <c r="D922" s="9" t="s">
        <v>2944</v>
      </c>
    </row>
    <row r="923" ht="15.75" customHeight="1">
      <c r="A923" s="7" t="s">
        <v>2945</v>
      </c>
      <c r="B923" s="9" t="s">
        <v>2946</v>
      </c>
      <c r="C923" s="9" t="s">
        <v>12</v>
      </c>
      <c r="D923" s="9" t="s">
        <v>2947</v>
      </c>
    </row>
    <row r="924" ht="15.75" customHeight="1">
      <c r="A924" s="7" t="s">
        <v>2949</v>
      </c>
      <c r="B924" s="9" t="s">
        <v>2950</v>
      </c>
      <c r="C924" s="9" t="s">
        <v>12</v>
      </c>
      <c r="D924" s="9" t="s">
        <v>2951</v>
      </c>
    </row>
    <row r="925" ht="15.75" customHeight="1">
      <c r="A925" s="7" t="s">
        <v>2952</v>
      </c>
      <c r="B925" s="9" t="s">
        <v>2953</v>
      </c>
      <c r="C925" s="9" t="s">
        <v>12</v>
      </c>
      <c r="D925" s="9" t="s">
        <v>2955</v>
      </c>
    </row>
    <row r="926" ht="15.75" customHeight="1">
      <c r="A926" s="7" t="s">
        <v>2956</v>
      </c>
      <c r="B926" s="9" t="s">
        <v>2957</v>
      </c>
      <c r="C926" s="9" t="s">
        <v>12</v>
      </c>
      <c r="D926" s="9" t="s">
        <v>2958</v>
      </c>
    </row>
    <row r="927" ht="15.75" customHeight="1">
      <c r="A927" s="7" t="s">
        <v>2960</v>
      </c>
      <c r="B927" s="9" t="s">
        <v>2961</v>
      </c>
      <c r="C927" s="9" t="s">
        <v>12</v>
      </c>
      <c r="D927" s="9" t="s">
        <v>2962</v>
      </c>
    </row>
    <row r="928" ht="15.75" customHeight="1">
      <c r="A928" s="7" t="s">
        <v>2963</v>
      </c>
      <c r="B928" s="9" t="s">
        <v>2964</v>
      </c>
      <c r="C928" s="9" t="s">
        <v>12</v>
      </c>
      <c r="D928" s="9" t="s">
        <v>2209</v>
      </c>
    </row>
    <row r="929" ht="15.75" customHeight="1">
      <c r="A929" s="7" t="s">
        <v>2966</v>
      </c>
      <c r="B929" s="9" t="s">
        <v>2967</v>
      </c>
      <c r="C929" s="9" t="s">
        <v>12</v>
      </c>
      <c r="D929" s="9" t="s">
        <v>2968</v>
      </c>
    </row>
    <row r="930" ht="15.75" customHeight="1">
      <c r="A930" s="7" t="s">
        <v>2969</v>
      </c>
      <c r="B930" s="9" t="s">
        <v>2970</v>
      </c>
      <c r="C930" s="9" t="s">
        <v>1573</v>
      </c>
      <c r="D930" s="9" t="s">
        <v>2972</v>
      </c>
    </row>
    <row r="931" ht="15.75" customHeight="1">
      <c r="A931" s="7" t="s">
        <v>2973</v>
      </c>
      <c r="B931" s="9" t="s">
        <v>2974</v>
      </c>
      <c r="C931" s="9" t="s">
        <v>17</v>
      </c>
      <c r="D931" s="9" t="s">
        <v>2975</v>
      </c>
    </row>
    <row r="932" ht="15.75" customHeight="1">
      <c r="A932" s="7" t="s">
        <v>2977</v>
      </c>
      <c r="B932" s="9" t="s">
        <v>2978</v>
      </c>
      <c r="C932" s="9" t="s">
        <v>1573</v>
      </c>
      <c r="D932" s="9" t="s">
        <v>2212</v>
      </c>
    </row>
    <row r="933" ht="15.75" customHeight="1">
      <c r="A933" s="7" t="s">
        <v>2979</v>
      </c>
      <c r="B933" s="9" t="s">
        <v>2981</v>
      </c>
      <c r="C933" s="9" t="s">
        <v>17</v>
      </c>
      <c r="D933" s="9" t="s">
        <v>577</v>
      </c>
    </row>
    <row r="934" ht="15.75" customHeight="1">
      <c r="A934" s="7" t="s">
        <v>2982</v>
      </c>
      <c r="B934" s="9" t="s">
        <v>2983</v>
      </c>
      <c r="C934" s="9" t="s">
        <v>17</v>
      </c>
      <c r="D934" s="9" t="s">
        <v>2985</v>
      </c>
    </row>
    <row r="935" ht="15.75" customHeight="1">
      <c r="A935" s="7" t="s">
        <v>2986</v>
      </c>
      <c r="B935" s="9" t="s">
        <v>46</v>
      </c>
      <c r="C935" s="9" t="s">
        <v>12</v>
      </c>
      <c r="D935" s="9" t="s">
        <v>2987</v>
      </c>
    </row>
    <row r="936" ht="15.75" customHeight="1">
      <c r="A936" s="7" t="s">
        <v>2988</v>
      </c>
      <c r="B936" s="9" t="s">
        <v>2989</v>
      </c>
      <c r="C936" s="9" t="s">
        <v>17</v>
      </c>
      <c r="D936" s="9" t="s">
        <v>2991</v>
      </c>
    </row>
    <row r="937" ht="15.75" customHeight="1">
      <c r="A937" s="7" t="s">
        <v>2992</v>
      </c>
      <c r="B937" s="9" t="s">
        <v>2993</v>
      </c>
      <c r="C937" s="9" t="s">
        <v>17</v>
      </c>
      <c r="D937" s="9" t="s">
        <v>218</v>
      </c>
    </row>
    <row r="938" ht="15.75" customHeight="1">
      <c r="A938" s="7" t="s">
        <v>2994</v>
      </c>
      <c r="B938" s="9" t="s">
        <v>2929</v>
      </c>
      <c r="C938" s="9" t="s">
        <v>1573</v>
      </c>
      <c r="D938" s="9" t="s">
        <v>2996</v>
      </c>
    </row>
    <row r="939" ht="15.75" customHeight="1">
      <c r="A939" s="7" t="s">
        <v>2997</v>
      </c>
      <c r="B939" s="9" t="s">
        <v>2998</v>
      </c>
      <c r="C939" s="9" t="s">
        <v>12</v>
      </c>
      <c r="D939" s="9" t="s">
        <v>2999</v>
      </c>
    </row>
    <row r="940" ht="15.75" customHeight="1">
      <c r="A940" s="7" t="s">
        <v>3000</v>
      </c>
      <c r="B940" s="9" t="s">
        <v>3001</v>
      </c>
      <c r="C940" s="9" t="s">
        <v>17</v>
      </c>
      <c r="D940" s="9" t="s">
        <v>3002</v>
      </c>
    </row>
    <row r="941" ht="15.75" customHeight="1">
      <c r="A941" s="7" t="s">
        <v>3004</v>
      </c>
      <c r="B941" s="9" t="s">
        <v>3005</v>
      </c>
      <c r="C941" s="9" t="s">
        <v>17</v>
      </c>
      <c r="D941" s="9" t="s">
        <v>1286</v>
      </c>
    </row>
    <row r="942" ht="15.75" customHeight="1">
      <c r="A942" s="7" t="s">
        <v>3007</v>
      </c>
      <c r="B942" s="9" t="s">
        <v>3008</v>
      </c>
      <c r="C942" s="9" t="s">
        <v>12</v>
      </c>
      <c r="D942" s="9" t="s">
        <v>3009</v>
      </c>
    </row>
    <row r="943" ht="15.75" customHeight="1">
      <c r="A943" s="7" t="s">
        <v>3010</v>
      </c>
      <c r="B943" s="9" t="s">
        <v>3012</v>
      </c>
      <c r="C943" s="9" t="s">
        <v>12</v>
      </c>
      <c r="D943" s="9" t="s">
        <v>3013</v>
      </c>
    </row>
    <row r="944" ht="15.75" customHeight="1">
      <c r="A944" s="7" t="s">
        <v>3014</v>
      </c>
      <c r="B944" s="9" t="s">
        <v>3015</v>
      </c>
      <c r="C944" s="9" t="s">
        <v>12</v>
      </c>
      <c r="D944" s="9" t="s">
        <v>3016</v>
      </c>
    </row>
    <row r="945" ht="15.75" customHeight="1">
      <c r="A945" s="7" t="s">
        <v>3018</v>
      </c>
      <c r="B945" s="9" t="s">
        <v>1251</v>
      </c>
      <c r="C945" s="9" t="s">
        <v>17</v>
      </c>
      <c r="D945" s="9" t="s">
        <v>3019</v>
      </c>
    </row>
    <row r="946" ht="15.75" customHeight="1">
      <c r="A946" s="7" t="s">
        <v>3020</v>
      </c>
      <c r="B946" s="9" t="s">
        <v>3021</v>
      </c>
      <c r="C946" s="9" t="s">
        <v>12</v>
      </c>
      <c r="D946" s="9" t="s">
        <v>304</v>
      </c>
    </row>
    <row r="947" ht="15.75" customHeight="1">
      <c r="A947" s="7" t="s">
        <v>3023</v>
      </c>
      <c r="B947" s="9" t="s">
        <v>3024</v>
      </c>
      <c r="C947" s="9" t="s">
        <v>17</v>
      </c>
      <c r="D947" s="9" t="s">
        <v>93</v>
      </c>
    </row>
    <row r="948" ht="15.75" customHeight="1">
      <c r="A948" s="7" t="s">
        <v>3025</v>
      </c>
      <c r="B948" s="9" t="s">
        <v>39</v>
      </c>
      <c r="C948" s="9" t="s">
        <v>17</v>
      </c>
      <c r="D948" s="9" t="s">
        <v>3026</v>
      </c>
    </row>
    <row r="949" ht="15.75" customHeight="1">
      <c r="A949" s="7" t="s">
        <v>3028</v>
      </c>
      <c r="B949" s="9" t="s">
        <v>3029</v>
      </c>
      <c r="C949" s="9" t="s">
        <v>17</v>
      </c>
      <c r="D949" s="9" t="s">
        <v>481</v>
      </c>
    </row>
    <row r="950" ht="15.75" customHeight="1">
      <c r="A950" s="7" t="s">
        <v>3031</v>
      </c>
      <c r="B950" s="9" t="s">
        <v>3032</v>
      </c>
      <c r="C950" s="9" t="s">
        <v>17</v>
      </c>
      <c r="D950" s="9" t="s">
        <v>729</v>
      </c>
    </row>
    <row r="951" ht="15.75" customHeight="1">
      <c r="A951" s="7" t="s">
        <v>3033</v>
      </c>
      <c r="B951" s="9" t="s">
        <v>3035</v>
      </c>
      <c r="C951" s="9" t="s">
        <v>17</v>
      </c>
      <c r="D951" s="9" t="s">
        <v>1517</v>
      </c>
    </row>
    <row r="952" ht="15.75" customHeight="1">
      <c r="A952" s="7" t="s">
        <v>3036</v>
      </c>
      <c r="B952" s="9" t="s">
        <v>3037</v>
      </c>
      <c r="C952" s="9" t="s">
        <v>12</v>
      </c>
      <c r="D952" s="9" t="s">
        <v>3039</v>
      </c>
    </row>
    <row r="953" ht="15.75" customHeight="1">
      <c r="A953" s="7" t="s">
        <v>3040</v>
      </c>
      <c r="B953" s="9" t="s">
        <v>307</v>
      </c>
      <c r="C953" s="9" t="s">
        <v>12</v>
      </c>
      <c r="D953" s="9" t="s">
        <v>3041</v>
      </c>
    </row>
    <row r="954" ht="15.75" customHeight="1">
      <c r="A954" s="7" t="s">
        <v>3043</v>
      </c>
      <c r="B954" s="9" t="s">
        <v>3044</v>
      </c>
      <c r="C954" s="9" t="s">
        <v>12</v>
      </c>
      <c r="D954" s="9" t="s">
        <v>3045</v>
      </c>
    </row>
    <row r="955" ht="15.75" customHeight="1">
      <c r="A955" s="7" t="s">
        <v>3046</v>
      </c>
      <c r="B955" s="9" t="s">
        <v>3047</v>
      </c>
      <c r="C955" s="9" t="s">
        <v>17</v>
      </c>
      <c r="D955" s="9" t="s">
        <v>3049</v>
      </c>
    </row>
    <row r="956" ht="15.75" customHeight="1">
      <c r="A956" s="7" t="s">
        <v>3050</v>
      </c>
      <c r="B956" s="9" t="s">
        <v>3051</v>
      </c>
      <c r="C956" s="9" t="s">
        <v>17</v>
      </c>
      <c r="D956" s="9" t="s">
        <v>3052</v>
      </c>
    </row>
    <row r="957" ht="15.75" customHeight="1">
      <c r="A957" s="7" t="s">
        <v>3054</v>
      </c>
      <c r="B957" s="9" t="s">
        <v>3055</v>
      </c>
      <c r="C957" s="9" t="s">
        <v>1573</v>
      </c>
      <c r="D957" s="9" t="s">
        <v>3056</v>
      </c>
    </row>
    <row r="958" ht="15.75" customHeight="1">
      <c r="A958" s="7" t="s">
        <v>3057</v>
      </c>
      <c r="B958" s="9" t="s">
        <v>2847</v>
      </c>
      <c r="C958" s="9" t="s">
        <v>17</v>
      </c>
      <c r="D958" s="9" t="s">
        <v>481</v>
      </c>
    </row>
    <row r="959" ht="15.75" customHeight="1">
      <c r="A959" s="7" t="s">
        <v>3059</v>
      </c>
      <c r="B959" s="9" t="s">
        <v>3060</v>
      </c>
      <c r="C959" s="9" t="s">
        <v>12</v>
      </c>
      <c r="D959" s="9" t="s">
        <v>3061</v>
      </c>
    </row>
    <row r="960" ht="15.75" customHeight="1">
      <c r="A960" s="7" t="s">
        <v>3062</v>
      </c>
      <c r="B960" s="9" t="s">
        <v>3063</v>
      </c>
      <c r="C960" s="9" t="s">
        <v>1573</v>
      </c>
      <c r="D960" s="9" t="s">
        <v>3065</v>
      </c>
    </row>
    <row r="961" ht="15.75" customHeight="1">
      <c r="A961" s="7" t="s">
        <v>3067</v>
      </c>
      <c r="B961" s="9" t="s">
        <v>3068</v>
      </c>
      <c r="C961" s="9" t="s">
        <v>12</v>
      </c>
      <c r="D961" s="9" t="s">
        <v>3069</v>
      </c>
    </row>
    <row r="962" ht="15.75" customHeight="1">
      <c r="A962" s="7" t="s">
        <v>3070</v>
      </c>
      <c r="B962" s="9" t="s">
        <v>3071</v>
      </c>
      <c r="C962" s="9" t="s">
        <v>1573</v>
      </c>
      <c r="D962" s="9" t="s">
        <v>1300</v>
      </c>
    </row>
    <row r="963" ht="15.75" customHeight="1">
      <c r="A963" s="7" t="s">
        <v>3075</v>
      </c>
      <c r="B963" s="9" t="s">
        <v>943</v>
      </c>
      <c r="C963" s="9" t="s">
        <v>17</v>
      </c>
      <c r="D963" s="9" t="s">
        <v>3077</v>
      </c>
    </row>
    <row r="964" ht="15.75" customHeight="1">
      <c r="A964" s="7" t="s">
        <v>3078</v>
      </c>
      <c r="B964" s="9" t="s">
        <v>3079</v>
      </c>
      <c r="C964" s="9" t="s">
        <v>12</v>
      </c>
      <c r="D964" s="9" t="s">
        <v>3081</v>
      </c>
    </row>
    <row r="965" ht="15.75" customHeight="1">
      <c r="A965" s="7" t="s">
        <v>3082</v>
      </c>
      <c r="B965" s="9" t="s">
        <v>3083</v>
      </c>
      <c r="C965" s="9" t="s">
        <v>1573</v>
      </c>
      <c r="D965" s="9" t="s">
        <v>3084</v>
      </c>
    </row>
    <row r="966" ht="15.75" customHeight="1">
      <c r="A966" s="7" t="s">
        <v>3085</v>
      </c>
      <c r="B966" s="9" t="s">
        <v>3086</v>
      </c>
      <c r="C966" s="9" t="s">
        <v>12</v>
      </c>
      <c r="D966" s="9" t="s">
        <v>3087</v>
      </c>
    </row>
    <row r="967" ht="15.75" customHeight="1">
      <c r="A967" s="7" t="s">
        <v>3089</v>
      </c>
      <c r="B967" s="9" t="s">
        <v>3090</v>
      </c>
      <c r="C967" s="9" t="s">
        <v>12</v>
      </c>
      <c r="D967" s="9" t="s">
        <v>3091</v>
      </c>
    </row>
    <row r="968" ht="15.75" customHeight="1">
      <c r="A968" s="7" t="s">
        <v>3092</v>
      </c>
      <c r="B968" s="9" t="s">
        <v>3093</v>
      </c>
      <c r="C968" s="9" t="s">
        <v>12</v>
      </c>
      <c r="D968" s="9" t="s">
        <v>3094</v>
      </c>
    </row>
    <row r="969" ht="15.75" customHeight="1">
      <c r="A969" s="7" t="s">
        <v>3096</v>
      </c>
      <c r="B969" s="9" t="s">
        <v>3097</v>
      </c>
      <c r="C969" s="9" t="s">
        <v>17</v>
      </c>
      <c r="D969" s="9" t="s">
        <v>225</v>
      </c>
    </row>
    <row r="970" ht="15.75" customHeight="1">
      <c r="A970" s="7" t="s">
        <v>3098</v>
      </c>
      <c r="B970" s="9" t="s">
        <v>3099</v>
      </c>
      <c r="C970" s="9" t="s">
        <v>12</v>
      </c>
      <c r="D970" s="9" t="s">
        <v>1969</v>
      </c>
    </row>
    <row r="971" ht="15.75" customHeight="1">
      <c r="A971" s="7" t="s">
        <v>3101</v>
      </c>
      <c r="B971" s="9" t="s">
        <v>3102</v>
      </c>
      <c r="C971" s="9" t="s">
        <v>17</v>
      </c>
      <c r="D971" s="9" t="s">
        <v>3103</v>
      </c>
    </row>
    <row r="972" ht="15.75" customHeight="1">
      <c r="A972" s="7" t="s">
        <v>3104</v>
      </c>
      <c r="B972" s="9" t="s">
        <v>3105</v>
      </c>
      <c r="C972" s="9" t="s">
        <v>12</v>
      </c>
      <c r="D972" s="9" t="s">
        <v>1328</v>
      </c>
    </row>
    <row r="973" ht="15.75" customHeight="1">
      <c r="A973" s="7" t="s">
        <v>3106</v>
      </c>
      <c r="B973" s="9" t="s">
        <v>3107</v>
      </c>
      <c r="C973" s="9" t="s">
        <v>12</v>
      </c>
      <c r="D973" s="9" t="s">
        <v>3109</v>
      </c>
    </row>
    <row r="974" ht="15.75" customHeight="1">
      <c r="A974" s="7" t="s">
        <v>3110</v>
      </c>
      <c r="B974" s="9" t="s">
        <v>3111</v>
      </c>
      <c r="C974" s="9" t="s">
        <v>17</v>
      </c>
      <c r="D974" s="9" t="s">
        <v>516</v>
      </c>
    </row>
    <row r="975" ht="15.75" customHeight="1">
      <c r="A975" s="7" t="s">
        <v>3112</v>
      </c>
      <c r="B975" s="9" t="s">
        <v>2433</v>
      </c>
      <c r="C975" s="9" t="s">
        <v>1573</v>
      </c>
      <c r="D975" s="9" t="s">
        <v>3113</v>
      </c>
    </row>
    <row r="976" ht="15.75" customHeight="1">
      <c r="A976" s="7" t="s">
        <v>3115</v>
      </c>
      <c r="B976" s="9" t="s">
        <v>3116</v>
      </c>
      <c r="C976" s="9" t="s">
        <v>17</v>
      </c>
      <c r="D976" s="9" t="s">
        <v>2216</v>
      </c>
    </row>
    <row r="977" ht="15.75" customHeight="1">
      <c r="A977" s="7" t="s">
        <v>3117</v>
      </c>
      <c r="B977" s="9" t="s">
        <v>3118</v>
      </c>
      <c r="C977" s="9" t="s">
        <v>1573</v>
      </c>
      <c r="D977" s="9" t="s">
        <v>3119</v>
      </c>
    </row>
    <row r="978" ht="15.75" customHeight="1">
      <c r="A978" s="7" t="s">
        <v>3120</v>
      </c>
      <c r="B978" s="9" t="s">
        <v>1558</v>
      </c>
      <c r="C978" s="9" t="s">
        <v>1573</v>
      </c>
      <c r="D978" s="9" t="s">
        <v>3122</v>
      </c>
    </row>
    <row r="979" ht="15.75" customHeight="1">
      <c r="A979" s="7" t="s">
        <v>3123</v>
      </c>
      <c r="B979" s="9" t="s">
        <v>3124</v>
      </c>
      <c r="C979" s="9" t="s">
        <v>17</v>
      </c>
      <c r="D979" s="9" t="s">
        <v>967</v>
      </c>
    </row>
    <row r="980" ht="15.75" customHeight="1">
      <c r="A980" s="7" t="s">
        <v>3125</v>
      </c>
      <c r="B980" s="9" t="s">
        <v>3126</v>
      </c>
      <c r="C980" s="9" t="s">
        <v>17</v>
      </c>
      <c r="D980" s="9" t="s">
        <v>3128</v>
      </c>
    </row>
    <row r="981" ht="15.75" customHeight="1">
      <c r="A981" s="7" t="s">
        <v>3129</v>
      </c>
      <c r="B981" s="9" t="s">
        <v>3130</v>
      </c>
      <c r="C981" s="9" t="s">
        <v>17</v>
      </c>
      <c r="D981" s="9" t="s">
        <v>736</v>
      </c>
    </row>
    <row r="982" ht="15.75" customHeight="1">
      <c r="A982" s="7" t="s">
        <v>3131</v>
      </c>
      <c r="B982" s="9" t="s">
        <v>3132</v>
      </c>
      <c r="C982" s="9" t="s">
        <v>17</v>
      </c>
      <c r="D982" s="9" t="s">
        <v>1236</v>
      </c>
    </row>
    <row r="983" ht="15.75" customHeight="1">
      <c r="A983" s="7" t="s">
        <v>3134</v>
      </c>
      <c r="B983" s="9" t="s">
        <v>3135</v>
      </c>
      <c r="C983" s="9" t="s">
        <v>17</v>
      </c>
      <c r="D983" s="9" t="s">
        <v>3136</v>
      </c>
    </row>
    <row r="984" ht="15.75" customHeight="1">
      <c r="A984" s="7" t="s">
        <v>3137</v>
      </c>
      <c r="B984" s="9" t="s">
        <v>3138</v>
      </c>
      <c r="C984" s="9" t="s">
        <v>17</v>
      </c>
      <c r="D984" s="9" t="s">
        <v>753</v>
      </c>
    </row>
    <row r="985" ht="15.75" customHeight="1">
      <c r="A985" s="7" t="s">
        <v>3139</v>
      </c>
      <c r="B985" s="9" t="s">
        <v>3140</v>
      </c>
      <c r="C985" s="9" t="s">
        <v>1573</v>
      </c>
      <c r="D985" s="9" t="s">
        <v>3142</v>
      </c>
    </row>
    <row r="986" ht="15.75" customHeight="1">
      <c r="A986" s="7" t="s">
        <v>3143</v>
      </c>
      <c r="B986" s="9" t="s">
        <v>3144</v>
      </c>
      <c r="C986" s="9" t="s">
        <v>17</v>
      </c>
      <c r="D986" s="9" t="s">
        <v>3145</v>
      </c>
    </row>
    <row r="987" ht="15.75" customHeight="1">
      <c r="A987" s="7" t="s">
        <v>3146</v>
      </c>
      <c r="B987" s="9" t="s">
        <v>3147</v>
      </c>
      <c r="C987" s="9" t="s">
        <v>12</v>
      </c>
      <c r="D987" s="9" t="s">
        <v>3148</v>
      </c>
    </row>
    <row r="988" ht="15.75" customHeight="1">
      <c r="A988" s="7" t="s">
        <v>3149</v>
      </c>
      <c r="B988" s="9" t="s">
        <v>477</v>
      </c>
      <c r="C988" s="9" t="s">
        <v>12</v>
      </c>
      <c r="D988" s="9" t="s">
        <v>818</v>
      </c>
    </row>
    <row r="989" ht="15.75" customHeight="1">
      <c r="A989" s="7" t="s">
        <v>3151</v>
      </c>
      <c r="B989" s="9" t="s">
        <v>3152</v>
      </c>
      <c r="C989" s="9" t="s">
        <v>1573</v>
      </c>
      <c r="D989" s="9" t="s">
        <v>2820</v>
      </c>
    </row>
    <row r="990" ht="15.75" customHeight="1">
      <c r="A990" s="7" t="s">
        <v>3153</v>
      </c>
      <c r="B990" s="9" t="s">
        <v>3154</v>
      </c>
      <c r="C990" s="9" t="s">
        <v>12</v>
      </c>
      <c r="D990" s="9" t="s">
        <v>3156</v>
      </c>
    </row>
    <row r="991" ht="15.75" customHeight="1">
      <c r="A991" s="7" t="s">
        <v>3157</v>
      </c>
      <c r="B991" s="9" t="s">
        <v>3158</v>
      </c>
      <c r="C991" s="9" t="s">
        <v>12</v>
      </c>
      <c r="D991" s="9" t="s">
        <v>279</v>
      </c>
    </row>
    <row r="992" ht="15.75" customHeight="1">
      <c r="A992" s="7" t="s">
        <v>3159</v>
      </c>
      <c r="B992" s="9" t="s">
        <v>3160</v>
      </c>
      <c r="C992" s="9" t="s">
        <v>12</v>
      </c>
      <c r="D992" s="9" t="s">
        <v>3161</v>
      </c>
    </row>
    <row r="993" ht="15.75" customHeight="1">
      <c r="A993" s="7" t="s">
        <v>3163</v>
      </c>
      <c r="B993" s="9" t="s">
        <v>309</v>
      </c>
      <c r="C993" s="9" t="s">
        <v>17</v>
      </c>
      <c r="D993" s="9" t="s">
        <v>3164</v>
      </c>
    </row>
    <row r="994" ht="15.75" customHeight="1">
      <c r="A994" s="7" t="s">
        <v>3165</v>
      </c>
      <c r="B994" s="9" t="s">
        <v>3166</v>
      </c>
      <c r="C994" s="9" t="s">
        <v>17</v>
      </c>
      <c r="D994" s="9" t="s">
        <v>3167</v>
      </c>
    </row>
    <row r="995" ht="15.75" customHeight="1">
      <c r="A995" s="7" t="s">
        <v>3169</v>
      </c>
      <c r="B995" s="9" t="s">
        <v>3170</v>
      </c>
      <c r="C995" s="9" t="s">
        <v>12</v>
      </c>
      <c r="D995" s="9" t="s">
        <v>3171</v>
      </c>
    </row>
    <row r="996" ht="15.75" customHeight="1">
      <c r="A996" s="7" t="s">
        <v>3172</v>
      </c>
      <c r="B996" s="9" t="s">
        <v>160</v>
      </c>
      <c r="C996" s="9" t="s">
        <v>17</v>
      </c>
      <c r="D996" s="9" t="s">
        <v>3173</v>
      </c>
    </row>
    <row r="997" ht="15.75" customHeight="1">
      <c r="A997" s="7" t="s">
        <v>3174</v>
      </c>
      <c r="B997" s="9" t="s">
        <v>3175</v>
      </c>
      <c r="C997" s="9" t="s">
        <v>1573</v>
      </c>
      <c r="D997" s="9" t="s">
        <v>3177</v>
      </c>
    </row>
    <row r="998" ht="15.75" customHeight="1">
      <c r="A998" s="7" t="s">
        <v>3178</v>
      </c>
      <c r="B998" s="9" t="s">
        <v>107</v>
      </c>
      <c r="C998" s="9" t="s">
        <v>17</v>
      </c>
      <c r="D998" s="9" t="s">
        <v>3179</v>
      </c>
    </row>
    <row r="999" ht="15.75" customHeight="1">
      <c r="A999" s="7" t="s">
        <v>3180</v>
      </c>
      <c r="B999" s="9" t="s">
        <v>3181</v>
      </c>
      <c r="C999" s="9" t="s">
        <v>1573</v>
      </c>
      <c r="D999" s="9" t="s">
        <v>1469</v>
      </c>
    </row>
    <row r="1000" ht="15.75" customHeight="1">
      <c r="A1000" s="7" t="s">
        <v>3183</v>
      </c>
      <c r="B1000" s="9" t="s">
        <v>1769</v>
      </c>
      <c r="C1000" s="9" t="s">
        <v>17</v>
      </c>
      <c r="D1000" s="9" t="s">
        <v>3184</v>
      </c>
    </row>
    <row r="1001" ht="15.75" customHeight="1">
      <c r="A1001" s="7" t="s">
        <v>3185</v>
      </c>
      <c r="B1001" s="9" t="s">
        <v>3186</v>
      </c>
      <c r="C1001" s="9" t="s">
        <v>1573</v>
      </c>
      <c r="D1001" s="9" t="s">
        <v>3188</v>
      </c>
    </row>
    <row r="1002" ht="15.75" customHeight="1">
      <c r="A1002" s="7" t="s">
        <v>3189</v>
      </c>
      <c r="B1002" s="9" t="s">
        <v>3190</v>
      </c>
      <c r="C1002" s="9" t="s">
        <v>17</v>
      </c>
      <c r="D1002" s="9" t="s">
        <v>285</v>
      </c>
    </row>
    <row r="1003" ht="15.75" customHeight="1">
      <c r="A1003" s="7" t="s">
        <v>3191</v>
      </c>
      <c r="B1003" s="9" t="s">
        <v>3192</v>
      </c>
      <c r="C1003" s="9" t="s">
        <v>1573</v>
      </c>
      <c r="D1003" s="9" t="s">
        <v>3193</v>
      </c>
    </row>
    <row r="1004" ht="15.75" customHeight="1">
      <c r="A1004" s="7" t="s">
        <v>3195</v>
      </c>
      <c r="B1004" s="9" t="s">
        <v>3196</v>
      </c>
      <c r="C1004" s="9" t="s">
        <v>12</v>
      </c>
      <c r="D1004" s="9" t="s">
        <v>3197</v>
      </c>
    </row>
    <row r="1005" ht="15.75" customHeight="1">
      <c r="A1005" s="7" t="s">
        <v>3198</v>
      </c>
      <c r="B1005" s="9" t="s">
        <v>3199</v>
      </c>
      <c r="C1005" s="9" t="s">
        <v>17</v>
      </c>
      <c r="D1005" s="9" t="s">
        <v>3200</v>
      </c>
    </row>
    <row r="1006" ht="15.75" customHeight="1">
      <c r="A1006" s="7" t="s">
        <v>3201</v>
      </c>
      <c r="B1006" s="9" t="s">
        <v>3202</v>
      </c>
      <c r="C1006" s="9" t="s">
        <v>17</v>
      </c>
      <c r="D1006" s="9" t="s">
        <v>328</v>
      </c>
    </row>
    <row r="1007" ht="15.75" customHeight="1">
      <c r="A1007" s="7" t="s">
        <v>3204</v>
      </c>
      <c r="B1007" s="9" t="s">
        <v>3205</v>
      </c>
      <c r="C1007" s="9" t="s">
        <v>12</v>
      </c>
      <c r="D1007" s="9" t="s">
        <v>3206</v>
      </c>
    </row>
    <row r="1008" ht="15.75" customHeight="1">
      <c r="A1008" s="7" t="s">
        <v>3207</v>
      </c>
      <c r="B1008" s="9" t="s">
        <v>841</v>
      </c>
      <c r="C1008" s="9" t="s">
        <v>12</v>
      </c>
      <c r="D1008" s="9" t="s">
        <v>3208</v>
      </c>
    </row>
    <row r="1009" ht="15.75" customHeight="1">
      <c r="A1009" s="7" t="s">
        <v>3210</v>
      </c>
      <c r="B1009" s="9" t="s">
        <v>3211</v>
      </c>
      <c r="C1009" s="9" t="s">
        <v>17</v>
      </c>
      <c r="D1009" s="9" t="s">
        <v>3212</v>
      </c>
    </row>
    <row r="1010" ht="15.75" customHeight="1">
      <c r="A1010" s="7" t="s">
        <v>3213</v>
      </c>
      <c r="B1010" s="9" t="s">
        <v>3214</v>
      </c>
      <c r="C1010" s="9" t="s">
        <v>12</v>
      </c>
      <c r="D1010" s="9" t="s">
        <v>613</v>
      </c>
    </row>
    <row r="1011" ht="15.75" customHeight="1">
      <c r="A1011" s="7" t="s">
        <v>3215</v>
      </c>
      <c r="B1011" s="9" t="s">
        <v>3217</v>
      </c>
      <c r="C1011" s="9" t="s">
        <v>12</v>
      </c>
      <c r="D1011" s="9" t="s">
        <v>3218</v>
      </c>
    </row>
    <row r="1012" ht="15.75" customHeight="1">
      <c r="A1012" s="7" t="s">
        <v>3219</v>
      </c>
      <c r="B1012" s="9" t="s">
        <v>3220</v>
      </c>
      <c r="C1012" s="9" t="s">
        <v>12</v>
      </c>
      <c r="D1012" s="9" t="s">
        <v>807</v>
      </c>
    </row>
    <row r="1013" ht="15.75" customHeight="1">
      <c r="A1013" s="7" t="s">
        <v>3221</v>
      </c>
      <c r="B1013" s="9" t="s">
        <v>3222</v>
      </c>
      <c r="C1013" s="9" t="s">
        <v>12</v>
      </c>
      <c r="D1013" s="9" t="s">
        <v>3224</v>
      </c>
    </row>
    <row r="1014" ht="15.75" customHeight="1">
      <c r="A1014" s="7" t="s">
        <v>3225</v>
      </c>
      <c r="B1014" s="9" t="s">
        <v>3226</v>
      </c>
      <c r="C1014" s="9" t="s">
        <v>12</v>
      </c>
      <c r="D1014" s="9" t="s">
        <v>3227</v>
      </c>
    </row>
    <row r="1015" ht="15.75" customHeight="1">
      <c r="A1015" s="7" t="s">
        <v>3228</v>
      </c>
      <c r="B1015" s="9" t="s">
        <v>3229</v>
      </c>
      <c r="C1015" s="9" t="s">
        <v>12</v>
      </c>
      <c r="D1015" s="9" t="s">
        <v>1694</v>
      </c>
    </row>
    <row r="1016" ht="15.75" customHeight="1">
      <c r="A1016" s="7" t="s">
        <v>3231</v>
      </c>
      <c r="B1016" s="9" t="s">
        <v>3232</v>
      </c>
      <c r="C1016" s="9" t="s">
        <v>12</v>
      </c>
      <c r="D1016" s="9" t="s">
        <v>525</v>
      </c>
    </row>
    <row r="1017" ht="15.75" customHeight="1">
      <c r="A1017" s="7" t="s">
        <v>3233</v>
      </c>
      <c r="B1017" s="9" t="s">
        <v>3234</v>
      </c>
      <c r="C1017" s="9" t="s">
        <v>12</v>
      </c>
      <c r="D1017" s="9" t="s">
        <v>3235</v>
      </c>
    </row>
    <row r="1018" ht="15.75" customHeight="1">
      <c r="A1018" s="7" t="s">
        <v>3237</v>
      </c>
      <c r="B1018" s="9" t="s">
        <v>3238</v>
      </c>
      <c r="C1018" s="9" t="s">
        <v>1573</v>
      </c>
      <c r="D1018" s="9" t="s">
        <v>3239</v>
      </c>
    </row>
    <row r="1019" ht="15.75" customHeight="1">
      <c r="A1019" s="7" t="s">
        <v>3240</v>
      </c>
      <c r="B1019" s="9" t="s">
        <v>3241</v>
      </c>
      <c r="C1019" s="9" t="s">
        <v>1573</v>
      </c>
      <c r="D1019" s="9" t="s">
        <v>3242</v>
      </c>
    </row>
    <row r="1020" ht="15.75" customHeight="1">
      <c r="A1020" s="7" t="s">
        <v>3244</v>
      </c>
      <c r="B1020" s="9" t="s">
        <v>3245</v>
      </c>
      <c r="C1020" s="9" t="s">
        <v>17</v>
      </c>
      <c r="D1020" s="9" t="s">
        <v>43</v>
      </c>
    </row>
    <row r="1021" ht="15.75" customHeight="1">
      <c r="A1021" s="7" t="s">
        <v>3246</v>
      </c>
      <c r="B1021" s="9" t="s">
        <v>3247</v>
      </c>
      <c r="C1021" s="9" t="s">
        <v>12</v>
      </c>
      <c r="D1021" s="9" t="s">
        <v>3248</v>
      </c>
    </row>
    <row r="1022" ht="15.75" customHeight="1">
      <c r="A1022" s="7" t="s">
        <v>3249</v>
      </c>
      <c r="B1022" s="9" t="s">
        <v>3250</v>
      </c>
      <c r="C1022" s="9" t="s">
        <v>17</v>
      </c>
      <c r="D1022" s="9" t="s">
        <v>3252</v>
      </c>
    </row>
    <row r="1023" ht="15.75" customHeight="1">
      <c r="A1023" s="7" t="s">
        <v>3253</v>
      </c>
      <c r="B1023" s="9" t="s">
        <v>3254</v>
      </c>
      <c r="C1023" s="9" t="s">
        <v>12</v>
      </c>
      <c r="D1023" s="9" t="s">
        <v>3255</v>
      </c>
    </row>
    <row r="1024" ht="15.75" customHeight="1">
      <c r="A1024" s="7" t="s">
        <v>3256</v>
      </c>
      <c r="B1024" s="9" t="s">
        <v>3258</v>
      </c>
      <c r="C1024" s="9" t="s">
        <v>12</v>
      </c>
      <c r="D1024" s="9" t="s">
        <v>3259</v>
      </c>
    </row>
    <row r="1025" ht="15.75" customHeight="1">
      <c r="A1025" s="7" t="s">
        <v>3260</v>
      </c>
      <c r="B1025" s="9" t="s">
        <v>3261</v>
      </c>
      <c r="C1025" s="9" t="s">
        <v>17</v>
      </c>
      <c r="D1025" s="9" t="s">
        <v>3262</v>
      </c>
    </row>
    <row r="1026" ht="15.75" customHeight="1">
      <c r="A1026" s="7" t="s">
        <v>3263</v>
      </c>
      <c r="B1026" s="9" t="s">
        <v>3264</v>
      </c>
      <c r="C1026" s="9" t="s">
        <v>17</v>
      </c>
      <c r="D1026" s="9" t="s">
        <v>60</v>
      </c>
    </row>
    <row r="1027" ht="15.75" customHeight="1">
      <c r="A1027" s="7" t="s">
        <v>3265</v>
      </c>
      <c r="B1027" s="9" t="s">
        <v>3267</v>
      </c>
      <c r="C1027" s="9" t="s">
        <v>17</v>
      </c>
      <c r="D1027" s="9" t="s">
        <v>3268</v>
      </c>
    </row>
    <row r="1028" ht="15.75" customHeight="1">
      <c r="A1028" s="7" t="s">
        <v>3269</v>
      </c>
      <c r="B1028" s="9" t="s">
        <v>3270</v>
      </c>
      <c r="C1028" s="9" t="s">
        <v>12</v>
      </c>
      <c r="D1028" s="9" t="s">
        <v>3271</v>
      </c>
    </row>
    <row r="1029" ht="15.75" customHeight="1">
      <c r="A1029" s="7" t="s">
        <v>3272</v>
      </c>
      <c r="B1029" s="9" t="s">
        <v>3274</v>
      </c>
      <c r="C1029" s="9" t="s">
        <v>17</v>
      </c>
      <c r="D1029" s="9" t="s">
        <v>3268</v>
      </c>
    </row>
    <row r="1030" ht="15.75" customHeight="1">
      <c r="A1030" s="7" t="s">
        <v>3275</v>
      </c>
      <c r="B1030" s="9" t="s">
        <v>3276</v>
      </c>
      <c r="C1030" s="9" t="s">
        <v>17</v>
      </c>
      <c r="D1030" s="9" t="s">
        <v>285</v>
      </c>
    </row>
    <row r="1031" ht="15.75" customHeight="1">
      <c r="A1031" s="7" t="s">
        <v>3278</v>
      </c>
      <c r="B1031" s="9" t="s">
        <v>3279</v>
      </c>
      <c r="C1031" s="9" t="s">
        <v>12</v>
      </c>
      <c r="D1031" s="9" t="s">
        <v>3280</v>
      </c>
    </row>
    <row r="1032" ht="15.75" customHeight="1">
      <c r="A1032" s="7" t="s">
        <v>3281</v>
      </c>
      <c r="B1032" s="9" t="s">
        <v>3282</v>
      </c>
      <c r="C1032" s="9" t="s">
        <v>17</v>
      </c>
      <c r="D1032" s="9" t="s">
        <v>3283</v>
      </c>
    </row>
    <row r="1033" ht="15.75" customHeight="1">
      <c r="A1033" s="7" t="s">
        <v>3285</v>
      </c>
      <c r="B1033" s="9" t="s">
        <v>3286</v>
      </c>
      <c r="C1033" s="9" t="s">
        <v>12</v>
      </c>
      <c r="D1033" s="9" t="s">
        <v>3287</v>
      </c>
    </row>
    <row r="1034" ht="15.75" customHeight="1">
      <c r="A1034" s="7" t="s">
        <v>3288</v>
      </c>
      <c r="B1034" s="9" t="s">
        <v>2100</v>
      </c>
      <c r="C1034" s="9" t="s">
        <v>12</v>
      </c>
      <c r="D1034" s="9" t="s">
        <v>3290</v>
      </c>
    </row>
    <row r="1035" ht="15.75" customHeight="1">
      <c r="A1035" s="7" t="s">
        <v>3291</v>
      </c>
      <c r="B1035" s="9" t="s">
        <v>3292</v>
      </c>
      <c r="C1035" s="9" t="s">
        <v>12</v>
      </c>
      <c r="D1035" s="9" t="s">
        <v>1248</v>
      </c>
    </row>
    <row r="1036" ht="15.75" customHeight="1">
      <c r="A1036" s="7" t="s">
        <v>3294</v>
      </c>
      <c r="B1036" s="9" t="s">
        <v>3295</v>
      </c>
      <c r="C1036" s="9" t="s">
        <v>12</v>
      </c>
      <c r="D1036" s="9" t="s">
        <v>3296</v>
      </c>
    </row>
    <row r="1037" ht="15.75" customHeight="1">
      <c r="A1037" s="7" t="s">
        <v>3297</v>
      </c>
      <c r="B1037" s="9" t="s">
        <v>3298</v>
      </c>
      <c r="C1037" s="9" t="s">
        <v>12</v>
      </c>
      <c r="D1037" s="9" t="s">
        <v>1810</v>
      </c>
    </row>
    <row r="1038" ht="15.75" customHeight="1">
      <c r="A1038" s="7" t="s">
        <v>3300</v>
      </c>
      <c r="B1038" s="9" t="s">
        <v>3301</v>
      </c>
      <c r="C1038" s="9" t="s">
        <v>17</v>
      </c>
      <c r="D1038" s="9" t="s">
        <v>236</v>
      </c>
    </row>
    <row r="1039" ht="15.75" customHeight="1">
      <c r="A1039" s="7" t="s">
        <v>3302</v>
      </c>
      <c r="B1039" s="9" t="s">
        <v>3304</v>
      </c>
      <c r="C1039" s="9" t="s">
        <v>17</v>
      </c>
      <c r="D1039" s="9" t="s">
        <v>3305</v>
      </c>
    </row>
    <row r="1040" ht="15.75" customHeight="1">
      <c r="A1040" s="7" t="s">
        <v>3306</v>
      </c>
      <c r="B1040" s="9" t="s">
        <v>3307</v>
      </c>
      <c r="C1040" s="9" t="s">
        <v>12</v>
      </c>
      <c r="D1040" s="9" t="s">
        <v>3308</v>
      </c>
    </row>
    <row r="1041" ht="15.75" customHeight="1">
      <c r="A1041" s="7" t="s">
        <v>3310</v>
      </c>
      <c r="B1041" s="9" t="s">
        <v>3311</v>
      </c>
      <c r="C1041" s="9" t="s">
        <v>12</v>
      </c>
      <c r="D1041" s="9" t="s">
        <v>3312</v>
      </c>
    </row>
    <row r="1042" ht="15.75" customHeight="1">
      <c r="A1042" s="7" t="s">
        <v>3313</v>
      </c>
      <c r="B1042" s="9" t="s">
        <v>2197</v>
      </c>
      <c r="C1042" s="9" t="s">
        <v>17</v>
      </c>
      <c r="D1042" s="9" t="s">
        <v>531</v>
      </c>
    </row>
    <row r="1043" ht="15.75" customHeight="1">
      <c r="A1043" s="7" t="s">
        <v>3315</v>
      </c>
      <c r="B1043" s="9" t="s">
        <v>3316</v>
      </c>
      <c r="C1043" s="9" t="s">
        <v>12</v>
      </c>
      <c r="D1043" s="9" t="s">
        <v>3317</v>
      </c>
    </row>
    <row r="1044" ht="15.75" customHeight="1">
      <c r="A1044" s="7" t="s">
        <v>3318</v>
      </c>
      <c r="B1044" s="9" t="s">
        <v>3319</v>
      </c>
      <c r="C1044" s="9" t="s">
        <v>17</v>
      </c>
      <c r="D1044" s="9" t="s">
        <v>3321</v>
      </c>
    </row>
    <row r="1045" ht="15.75" customHeight="1">
      <c r="A1045" s="7" t="s">
        <v>3322</v>
      </c>
      <c r="B1045" s="9" t="s">
        <v>3323</v>
      </c>
      <c r="C1045" s="9" t="s">
        <v>17</v>
      </c>
      <c r="D1045" s="9" t="s">
        <v>3324</v>
      </c>
    </row>
    <row r="1046" ht="15.75" customHeight="1">
      <c r="A1046" s="7" t="s">
        <v>3326</v>
      </c>
      <c r="B1046" s="9" t="s">
        <v>3327</v>
      </c>
      <c r="C1046" s="9" t="s">
        <v>1573</v>
      </c>
      <c r="D1046" s="9" t="s">
        <v>3328</v>
      </c>
    </row>
    <row r="1047" ht="15.75" customHeight="1">
      <c r="A1047" s="7" t="s">
        <v>3329</v>
      </c>
      <c r="B1047" s="9" t="s">
        <v>3330</v>
      </c>
      <c r="C1047" s="9" t="s">
        <v>17</v>
      </c>
      <c r="D1047" s="9" t="s">
        <v>3332</v>
      </c>
    </row>
    <row r="1048" ht="15.75" customHeight="1">
      <c r="A1048" s="7" t="s">
        <v>3333</v>
      </c>
      <c r="B1048" s="9" t="s">
        <v>3334</v>
      </c>
      <c r="C1048" s="9" t="s">
        <v>17</v>
      </c>
      <c r="D1048" s="9" t="s">
        <v>3268</v>
      </c>
    </row>
    <row r="1049" ht="15.75" customHeight="1">
      <c r="A1049" s="7" t="s">
        <v>3335</v>
      </c>
      <c r="B1049" s="9" t="s">
        <v>3337</v>
      </c>
      <c r="C1049" s="9" t="s">
        <v>12</v>
      </c>
      <c r="D1049" s="9" t="s">
        <v>3338</v>
      </c>
    </row>
    <row r="1050" ht="15.75" customHeight="1">
      <c r="A1050" s="7" t="s">
        <v>3339</v>
      </c>
      <c r="B1050" s="9" t="s">
        <v>3340</v>
      </c>
      <c r="C1050" s="9" t="s">
        <v>12</v>
      </c>
      <c r="D1050" s="9" t="s">
        <v>3341</v>
      </c>
    </row>
    <row r="1051" ht="15.75" customHeight="1">
      <c r="A1051" s="7" t="s">
        <v>3343</v>
      </c>
      <c r="B1051" s="9" t="s">
        <v>3344</v>
      </c>
      <c r="C1051" s="9" t="s">
        <v>12</v>
      </c>
      <c r="D1051" s="9" t="s">
        <v>2212</v>
      </c>
    </row>
    <row r="1052" ht="15.75" customHeight="1">
      <c r="A1052" s="7" t="s">
        <v>3345</v>
      </c>
      <c r="B1052" s="9" t="s">
        <v>3346</v>
      </c>
      <c r="C1052" s="9" t="s">
        <v>1573</v>
      </c>
      <c r="D1052" s="9" t="s">
        <v>3347</v>
      </c>
    </row>
    <row r="1053" ht="15.75" customHeight="1">
      <c r="A1053" s="7" t="s">
        <v>3349</v>
      </c>
      <c r="B1053" s="9" t="s">
        <v>3350</v>
      </c>
      <c r="C1053" s="9" t="s">
        <v>17</v>
      </c>
      <c r="D1053" s="9" t="s">
        <v>3351</v>
      </c>
    </row>
    <row r="1054" ht="15.75" customHeight="1">
      <c r="A1054" s="7" t="s">
        <v>3352</v>
      </c>
      <c r="B1054" s="9" t="s">
        <v>3353</v>
      </c>
      <c r="C1054" s="9" t="s">
        <v>12</v>
      </c>
      <c r="D1054" s="9" t="s">
        <v>3355</v>
      </c>
    </row>
    <row r="1055" ht="15.75" customHeight="1">
      <c r="A1055" s="7" t="s">
        <v>3356</v>
      </c>
      <c r="B1055" s="9" t="s">
        <v>3357</v>
      </c>
      <c r="C1055" s="9" t="s">
        <v>17</v>
      </c>
      <c r="D1055" s="9" t="s">
        <v>3358</v>
      </c>
    </row>
    <row r="1056" ht="15.75" customHeight="1">
      <c r="A1056" s="7" t="s">
        <v>3360</v>
      </c>
      <c r="B1056" s="9" t="s">
        <v>3361</v>
      </c>
      <c r="C1056" s="9" t="s">
        <v>1573</v>
      </c>
      <c r="D1056" s="9" t="s">
        <v>1374</v>
      </c>
    </row>
    <row r="1057" ht="15.75" customHeight="1">
      <c r="A1057" s="7" t="s">
        <v>3362</v>
      </c>
      <c r="B1057" s="9" t="s">
        <v>3363</v>
      </c>
      <c r="C1057" s="9" t="s">
        <v>12</v>
      </c>
      <c r="D1057" s="9" t="s">
        <v>3364</v>
      </c>
    </row>
    <row r="1058" ht="15.75" customHeight="1">
      <c r="A1058" s="7" t="s">
        <v>3366</v>
      </c>
      <c r="B1058" s="9" t="s">
        <v>3158</v>
      </c>
      <c r="C1058" s="9" t="s">
        <v>1573</v>
      </c>
      <c r="D1058" s="9" t="s">
        <v>3367</v>
      </c>
    </row>
    <row r="1059" ht="15.75" customHeight="1">
      <c r="A1059" s="7" t="s">
        <v>3368</v>
      </c>
      <c r="B1059" s="9" t="s">
        <v>3369</v>
      </c>
      <c r="C1059" s="9" t="s">
        <v>12</v>
      </c>
      <c r="D1059" s="9" t="s">
        <v>2972</v>
      </c>
    </row>
    <row r="1060" ht="15.75" customHeight="1">
      <c r="A1060" s="7" t="s">
        <v>3371</v>
      </c>
      <c r="B1060" s="9" t="s">
        <v>3372</v>
      </c>
      <c r="C1060" s="9" t="s">
        <v>17</v>
      </c>
      <c r="D1060" s="9" t="s">
        <v>674</v>
      </c>
    </row>
    <row r="1061" ht="15.75" customHeight="1">
      <c r="A1061" s="7" t="s">
        <v>3373</v>
      </c>
      <c r="B1061" s="9" t="s">
        <v>3375</v>
      </c>
      <c r="C1061" s="9" t="s">
        <v>17</v>
      </c>
      <c r="D1061" s="9" t="s">
        <v>3376</v>
      </c>
    </row>
    <row r="1062" ht="15.75" customHeight="1">
      <c r="A1062" s="7" t="s">
        <v>3377</v>
      </c>
      <c r="B1062" s="9" t="s">
        <v>3378</v>
      </c>
      <c r="C1062" s="9" t="s">
        <v>17</v>
      </c>
      <c r="D1062" s="9" t="s">
        <v>3379</v>
      </c>
    </row>
    <row r="1063" ht="15.75" customHeight="1">
      <c r="A1063" s="7" t="s">
        <v>3381</v>
      </c>
      <c r="B1063" s="9" t="s">
        <v>2444</v>
      </c>
      <c r="C1063" s="9" t="s">
        <v>17</v>
      </c>
      <c r="D1063" s="9" t="s">
        <v>3382</v>
      </c>
    </row>
    <row r="1064" ht="15.75" customHeight="1">
      <c r="A1064" s="7" t="s">
        <v>3383</v>
      </c>
      <c r="B1064" s="9" t="s">
        <v>3384</v>
      </c>
      <c r="C1064" s="9" t="s">
        <v>17</v>
      </c>
      <c r="D1064" s="9" t="s">
        <v>3385</v>
      </c>
    </row>
    <row r="1065" ht="15.75" customHeight="1">
      <c r="A1065" s="7" t="s">
        <v>3387</v>
      </c>
      <c r="B1065" s="9" t="s">
        <v>3388</v>
      </c>
      <c r="C1065" s="9" t="s">
        <v>17</v>
      </c>
      <c r="D1065" s="9" t="s">
        <v>3389</v>
      </c>
    </row>
    <row r="1066" ht="15.75" customHeight="1">
      <c r="A1066" s="7" t="s">
        <v>3390</v>
      </c>
      <c r="B1066" s="9" t="s">
        <v>3391</v>
      </c>
      <c r="C1066" s="9" t="s">
        <v>12</v>
      </c>
      <c r="D1066" s="9" t="s">
        <v>3392</v>
      </c>
    </row>
    <row r="1067" ht="15.75" customHeight="1">
      <c r="A1067" s="7" t="s">
        <v>3394</v>
      </c>
      <c r="B1067" s="9" t="s">
        <v>3395</v>
      </c>
      <c r="C1067" s="9" t="s">
        <v>17</v>
      </c>
      <c r="D1067" s="9" t="s">
        <v>3396</v>
      </c>
    </row>
    <row r="1068" ht="15.75" customHeight="1">
      <c r="A1068" s="7" t="s">
        <v>3397</v>
      </c>
      <c r="B1068" s="9" t="s">
        <v>3398</v>
      </c>
      <c r="C1068" s="9" t="s">
        <v>12</v>
      </c>
      <c r="D1068" s="9" t="s">
        <v>3400</v>
      </c>
    </row>
    <row r="1069" ht="15.75" customHeight="1">
      <c r="A1069" s="7" t="s">
        <v>3401</v>
      </c>
      <c r="B1069" s="9" t="s">
        <v>3402</v>
      </c>
      <c r="C1069" s="9" t="s">
        <v>17</v>
      </c>
      <c r="D1069" s="9" t="s">
        <v>39</v>
      </c>
    </row>
    <row r="1070" ht="15.75" customHeight="1">
      <c r="A1070" s="7" t="s">
        <v>3404</v>
      </c>
      <c r="B1070" s="9" t="s">
        <v>2466</v>
      </c>
      <c r="C1070" s="9" t="s">
        <v>12</v>
      </c>
      <c r="D1070" s="9" t="s">
        <v>3405</v>
      </c>
    </row>
    <row r="1071" ht="15.75" customHeight="1">
      <c r="A1071" s="7" t="s">
        <v>3406</v>
      </c>
      <c r="B1071" s="9" t="s">
        <v>3407</v>
      </c>
      <c r="C1071" s="9" t="s">
        <v>12</v>
      </c>
      <c r="D1071" s="9" t="s">
        <v>3408</v>
      </c>
    </row>
    <row r="1072" ht="15.75" customHeight="1">
      <c r="A1072" s="7" t="s">
        <v>3410</v>
      </c>
      <c r="B1072" s="9" t="s">
        <v>3411</v>
      </c>
      <c r="C1072" s="9" t="s">
        <v>12</v>
      </c>
      <c r="D1072" s="9" t="s">
        <v>1113</v>
      </c>
    </row>
    <row r="1073" ht="15.75" customHeight="1">
      <c r="A1073" s="7" t="s">
        <v>3412</v>
      </c>
      <c r="B1073" s="9" t="s">
        <v>3413</v>
      </c>
      <c r="C1073" s="9" t="s">
        <v>1573</v>
      </c>
      <c r="D1073" s="9" t="s">
        <v>3415</v>
      </c>
    </row>
    <row r="1074" ht="15.75" customHeight="1">
      <c r="A1074" s="7" t="s">
        <v>3416</v>
      </c>
      <c r="B1074" s="9" t="s">
        <v>3417</v>
      </c>
      <c r="C1074" s="9" t="s">
        <v>12</v>
      </c>
      <c r="D1074" s="9" t="s">
        <v>3418</v>
      </c>
    </row>
    <row r="1075" ht="15.75" customHeight="1">
      <c r="A1075" s="7" t="s">
        <v>3419</v>
      </c>
      <c r="B1075" s="9" t="s">
        <v>3421</v>
      </c>
      <c r="C1075" s="9" t="s">
        <v>17</v>
      </c>
      <c r="D1075" s="9" t="s">
        <v>481</v>
      </c>
    </row>
    <row r="1076" ht="15.75" customHeight="1">
      <c r="A1076" s="7" t="s">
        <v>3422</v>
      </c>
      <c r="B1076" s="9" t="s">
        <v>3423</v>
      </c>
      <c r="C1076" s="9" t="s">
        <v>17</v>
      </c>
      <c r="D1076" s="9" t="s">
        <v>1759</v>
      </c>
    </row>
    <row r="1077" ht="15.75" customHeight="1">
      <c r="A1077" s="7" t="s">
        <v>3425</v>
      </c>
      <c r="B1077" s="9" t="s">
        <v>1625</v>
      </c>
      <c r="C1077" s="9" t="s">
        <v>17</v>
      </c>
      <c r="D1077" s="9" t="s">
        <v>3426</v>
      </c>
    </row>
    <row r="1078" ht="15.75" customHeight="1">
      <c r="A1078" s="7" t="s">
        <v>3427</v>
      </c>
      <c r="B1078" s="9" t="s">
        <v>3428</v>
      </c>
      <c r="C1078" s="9" t="s">
        <v>12</v>
      </c>
      <c r="D1078" s="9" t="s">
        <v>3430</v>
      </c>
    </row>
    <row r="1079" ht="15.75" customHeight="1">
      <c r="A1079" s="7" t="s">
        <v>3431</v>
      </c>
      <c r="B1079" s="9" t="s">
        <v>3432</v>
      </c>
      <c r="C1079" s="9" t="s">
        <v>17</v>
      </c>
      <c r="D1079" s="9" t="s">
        <v>736</v>
      </c>
    </row>
    <row r="1080" ht="15.75" customHeight="1">
      <c r="A1080" s="7" t="s">
        <v>3434</v>
      </c>
      <c r="B1080" s="9" t="s">
        <v>3435</v>
      </c>
      <c r="C1080" s="9" t="s">
        <v>17</v>
      </c>
      <c r="D1080" s="9" t="s">
        <v>3436</v>
      </c>
    </row>
    <row r="1081" ht="15.75" customHeight="1">
      <c r="A1081" s="7" t="s">
        <v>3437</v>
      </c>
      <c r="B1081" s="9" t="s">
        <v>3438</v>
      </c>
      <c r="C1081" s="9" t="s">
        <v>17</v>
      </c>
      <c r="D1081" s="9" t="s">
        <v>3439</v>
      </c>
    </row>
    <row r="1082" ht="15.75" customHeight="1">
      <c r="A1082" s="7" t="s">
        <v>3440</v>
      </c>
      <c r="B1082" s="9" t="s">
        <v>3441</v>
      </c>
      <c r="C1082" s="9" t="s">
        <v>17</v>
      </c>
      <c r="D1082" s="9" t="s">
        <v>3445</v>
      </c>
    </row>
    <row r="1083" ht="15.75" customHeight="1">
      <c r="A1083" s="7" t="s">
        <v>3447</v>
      </c>
      <c r="B1083" s="9" t="s">
        <v>3448</v>
      </c>
      <c r="C1083" s="9" t="s">
        <v>1573</v>
      </c>
      <c r="D1083" s="9" t="s">
        <v>3449</v>
      </c>
    </row>
    <row r="1084" ht="15.75" customHeight="1">
      <c r="A1084" s="7" t="s">
        <v>3450</v>
      </c>
      <c r="B1084" s="9" t="s">
        <v>3451</v>
      </c>
      <c r="C1084" s="9" t="s">
        <v>1573</v>
      </c>
      <c r="D1084" s="9" t="s">
        <v>3452</v>
      </c>
    </row>
    <row r="1085" ht="15.75" customHeight="1">
      <c r="A1085" s="7" t="s">
        <v>3454</v>
      </c>
      <c r="B1085" s="9" t="s">
        <v>3455</v>
      </c>
      <c r="C1085" s="9" t="s">
        <v>17</v>
      </c>
      <c r="D1085" s="9" t="s">
        <v>3456</v>
      </c>
    </row>
    <row r="1086" ht="15.75" customHeight="1">
      <c r="A1086" s="7" t="s">
        <v>3457</v>
      </c>
      <c r="B1086" s="9" t="s">
        <v>3458</v>
      </c>
      <c r="C1086" s="9" t="s">
        <v>17</v>
      </c>
      <c r="D1086" s="9" t="s">
        <v>1759</v>
      </c>
    </row>
    <row r="1087" ht="15.75" customHeight="1">
      <c r="A1087" s="7" t="s">
        <v>3459</v>
      </c>
      <c r="B1087" s="9" t="s">
        <v>3460</v>
      </c>
      <c r="C1087" s="9" t="s">
        <v>17</v>
      </c>
      <c r="D1087" s="9" t="s">
        <v>736</v>
      </c>
    </row>
    <row r="1088" ht="15.75" customHeight="1">
      <c r="A1088" s="7" t="s">
        <v>3462</v>
      </c>
      <c r="B1088" s="9" t="s">
        <v>3463</v>
      </c>
      <c r="C1088" s="9" t="s">
        <v>12</v>
      </c>
      <c r="D1088" s="9" t="s">
        <v>3464</v>
      </c>
    </row>
    <row r="1089" ht="15.75" customHeight="1">
      <c r="A1089" s="7" t="s">
        <v>3465</v>
      </c>
      <c r="B1089" s="9" t="s">
        <v>3466</v>
      </c>
      <c r="C1089" s="9" t="s">
        <v>12</v>
      </c>
      <c r="D1089" s="9" t="s">
        <v>3467</v>
      </c>
    </row>
    <row r="1090" ht="15.75" customHeight="1">
      <c r="A1090" s="7" t="s">
        <v>3469</v>
      </c>
      <c r="B1090" s="9" t="s">
        <v>3470</v>
      </c>
      <c r="C1090" s="9" t="s">
        <v>1573</v>
      </c>
      <c r="D1090" s="9" t="s">
        <v>3471</v>
      </c>
    </row>
    <row r="1091" ht="15.75" customHeight="1">
      <c r="A1091" s="7" t="s">
        <v>3472</v>
      </c>
      <c r="B1091" s="9" t="s">
        <v>3473</v>
      </c>
      <c r="C1091" s="9" t="s">
        <v>12</v>
      </c>
      <c r="D1091" s="9" t="s">
        <v>3474</v>
      </c>
    </row>
    <row r="1092" ht="15.75" customHeight="1">
      <c r="A1092" s="7" t="s">
        <v>3475</v>
      </c>
      <c r="B1092" s="9" t="s">
        <v>3304</v>
      </c>
      <c r="C1092" s="9" t="s">
        <v>12</v>
      </c>
      <c r="D1092" s="9" t="s">
        <v>3476</v>
      </c>
    </row>
    <row r="1093" ht="15.75" customHeight="1">
      <c r="A1093" s="7" t="s">
        <v>3478</v>
      </c>
      <c r="B1093" s="9" t="s">
        <v>3479</v>
      </c>
      <c r="C1093" s="9" t="s">
        <v>17</v>
      </c>
      <c r="D1093" s="9" t="s">
        <v>3480</v>
      </c>
    </row>
    <row r="1094" ht="15.75" customHeight="1">
      <c r="A1094" s="7" t="s">
        <v>3481</v>
      </c>
      <c r="B1094" s="9" t="s">
        <v>3482</v>
      </c>
      <c r="C1094" s="9" t="s">
        <v>12</v>
      </c>
      <c r="D1094" s="9" t="s">
        <v>3483</v>
      </c>
    </row>
    <row r="1095" ht="15.75" customHeight="1">
      <c r="A1095" s="7" t="s">
        <v>3484</v>
      </c>
      <c r="B1095" s="9" t="s">
        <v>229</v>
      </c>
      <c r="C1095" s="9" t="s">
        <v>17</v>
      </c>
      <c r="D1095" s="9" t="s">
        <v>2657</v>
      </c>
    </row>
    <row r="1096" ht="15.75" customHeight="1">
      <c r="A1096" s="7" t="s">
        <v>3485</v>
      </c>
      <c r="B1096" s="9" t="s">
        <v>3487</v>
      </c>
      <c r="C1096" s="9" t="s">
        <v>17</v>
      </c>
      <c r="D1096" s="9" t="s">
        <v>516</v>
      </c>
    </row>
    <row r="1097" ht="15.75" customHeight="1">
      <c r="A1097" s="7" t="s">
        <v>3488</v>
      </c>
      <c r="B1097" s="9" t="s">
        <v>3489</v>
      </c>
      <c r="C1097" s="9" t="s">
        <v>1573</v>
      </c>
      <c r="D1097" s="9" t="s">
        <v>3490</v>
      </c>
    </row>
    <row r="1098" ht="15.75" customHeight="1">
      <c r="A1098" s="7" t="s">
        <v>3491</v>
      </c>
      <c r="B1098" s="9" t="s">
        <v>3492</v>
      </c>
      <c r="C1098" s="9" t="s">
        <v>12</v>
      </c>
      <c r="D1098" s="9" t="s">
        <v>3493</v>
      </c>
    </row>
    <row r="1099" ht="15.75" customHeight="1">
      <c r="A1099" s="7" t="s">
        <v>3494</v>
      </c>
      <c r="B1099" s="9" t="s">
        <v>3496</v>
      </c>
      <c r="C1099" s="9" t="s">
        <v>12</v>
      </c>
      <c r="D1099" s="9" t="s">
        <v>2212</v>
      </c>
    </row>
    <row r="1100" ht="15.75" customHeight="1">
      <c r="A1100" s="7" t="s">
        <v>3497</v>
      </c>
      <c r="B1100" s="9" t="s">
        <v>825</v>
      </c>
      <c r="C1100" s="9" t="s">
        <v>12</v>
      </c>
      <c r="D1100" s="9" t="s">
        <v>3498</v>
      </c>
    </row>
    <row r="1101" ht="15.75" customHeight="1">
      <c r="A1101" s="7" t="s">
        <v>3499</v>
      </c>
      <c r="B1101" s="9" t="s">
        <v>3500</v>
      </c>
      <c r="C1101" s="9" t="s">
        <v>17</v>
      </c>
      <c r="D1101" s="9" t="s">
        <v>3501</v>
      </c>
    </row>
    <row r="1102" ht="15.75" customHeight="1">
      <c r="A1102" s="7" t="s">
        <v>3502</v>
      </c>
      <c r="B1102" s="9" t="s">
        <v>3503</v>
      </c>
      <c r="C1102" s="9" t="s">
        <v>1573</v>
      </c>
      <c r="D1102" s="9" t="s">
        <v>1469</v>
      </c>
    </row>
    <row r="1103" ht="15.75" customHeight="1">
      <c r="A1103" s="7" t="s">
        <v>3505</v>
      </c>
      <c r="B1103" s="9" t="s">
        <v>1552</v>
      </c>
      <c r="C1103" s="9" t="s">
        <v>17</v>
      </c>
      <c r="D1103" s="9" t="s">
        <v>39</v>
      </c>
    </row>
    <row r="1104" ht="15.75" customHeight="1">
      <c r="A1104" s="7" t="s">
        <v>3506</v>
      </c>
      <c r="B1104" s="9" t="s">
        <v>3507</v>
      </c>
      <c r="C1104" s="9" t="s">
        <v>17</v>
      </c>
      <c r="D1104" s="9" t="s">
        <v>3508</v>
      </c>
    </row>
    <row r="1105" ht="15.75" customHeight="1">
      <c r="A1105" s="7" t="s">
        <v>3509</v>
      </c>
      <c r="B1105" s="9" t="s">
        <v>3511</v>
      </c>
      <c r="C1105" s="9" t="s">
        <v>12</v>
      </c>
      <c r="D1105" s="9" t="s">
        <v>3512</v>
      </c>
    </row>
    <row r="1106" ht="15.75" customHeight="1">
      <c r="A1106" s="7" t="s">
        <v>3513</v>
      </c>
      <c r="B1106" s="9" t="s">
        <v>3514</v>
      </c>
      <c r="C1106" s="9" t="s">
        <v>17</v>
      </c>
      <c r="D1106" s="9" t="s">
        <v>3515</v>
      </c>
    </row>
    <row r="1107" ht="15.75" customHeight="1">
      <c r="A1107" s="7" t="s">
        <v>3517</v>
      </c>
      <c r="B1107" s="9" t="s">
        <v>506</v>
      </c>
      <c r="C1107" s="9" t="s">
        <v>17</v>
      </c>
      <c r="D1107" s="9" t="s">
        <v>398</v>
      </c>
    </row>
    <row r="1108" ht="15.75" customHeight="1">
      <c r="A1108" s="7" t="s">
        <v>3518</v>
      </c>
      <c r="B1108" s="9" t="s">
        <v>3519</v>
      </c>
      <c r="C1108" s="9" t="s">
        <v>17</v>
      </c>
      <c r="D1108" s="9" t="s">
        <v>1897</v>
      </c>
    </row>
    <row r="1109" ht="15.75" customHeight="1">
      <c r="A1109" s="7" t="s">
        <v>3521</v>
      </c>
      <c r="B1109" s="9" t="s">
        <v>3522</v>
      </c>
      <c r="C1109" s="9" t="s">
        <v>12</v>
      </c>
      <c r="D1109" s="9" t="s">
        <v>3523</v>
      </c>
    </row>
    <row r="1110" ht="15.75" customHeight="1">
      <c r="A1110" s="7" t="s">
        <v>3524</v>
      </c>
      <c r="B1110" s="9" t="s">
        <v>3525</v>
      </c>
      <c r="C1110" s="9" t="s">
        <v>1573</v>
      </c>
      <c r="D1110" s="9" t="s">
        <v>3526</v>
      </c>
    </row>
    <row r="1111" ht="15.75" customHeight="1">
      <c r="A1111" s="7" t="s">
        <v>3528</v>
      </c>
      <c r="B1111" s="9" t="s">
        <v>3529</v>
      </c>
      <c r="C1111" s="9" t="s">
        <v>1573</v>
      </c>
      <c r="D1111" s="9" t="s">
        <v>3530</v>
      </c>
    </row>
    <row r="1112" ht="15.75" customHeight="1">
      <c r="A1112" s="7" t="s">
        <v>3531</v>
      </c>
      <c r="B1112" s="9" t="s">
        <v>1291</v>
      </c>
      <c r="C1112" s="9" t="s">
        <v>12</v>
      </c>
      <c r="D1112" s="9" t="s">
        <v>279</v>
      </c>
    </row>
    <row r="1113" ht="15.75" customHeight="1">
      <c r="A1113" s="7" t="s">
        <v>3533</v>
      </c>
      <c r="B1113" s="9" t="s">
        <v>3534</v>
      </c>
      <c r="C1113" s="9" t="s">
        <v>1573</v>
      </c>
      <c r="D1113" s="9" t="s">
        <v>3535</v>
      </c>
    </row>
    <row r="1114" ht="15.75" customHeight="1">
      <c r="A1114" s="7" t="s">
        <v>3536</v>
      </c>
      <c r="B1114" s="9" t="s">
        <v>3537</v>
      </c>
      <c r="C1114" s="9" t="s">
        <v>17</v>
      </c>
      <c r="D1114" s="9" t="s">
        <v>328</v>
      </c>
    </row>
    <row r="1115" ht="15.75" customHeight="1">
      <c r="A1115" s="7" t="s">
        <v>3539</v>
      </c>
      <c r="B1115" s="9" t="s">
        <v>3540</v>
      </c>
      <c r="C1115" s="9" t="s">
        <v>12</v>
      </c>
      <c r="D1115" s="9" t="s">
        <v>3541</v>
      </c>
    </row>
    <row r="1116" ht="15.75" customHeight="1">
      <c r="A1116" s="7" t="s">
        <v>3542</v>
      </c>
      <c r="B1116" s="9" t="s">
        <v>3543</v>
      </c>
      <c r="C1116" s="9" t="s">
        <v>12</v>
      </c>
      <c r="D1116" s="9" t="s">
        <v>3544</v>
      </c>
    </row>
    <row r="1117" ht="15.75" customHeight="1">
      <c r="A1117" s="7" t="s">
        <v>3546</v>
      </c>
      <c r="B1117" s="9" t="s">
        <v>3547</v>
      </c>
      <c r="C1117" s="9" t="s">
        <v>12</v>
      </c>
      <c r="D1117" s="9" t="s">
        <v>3548</v>
      </c>
    </row>
    <row r="1118" ht="15.75" customHeight="1">
      <c r="A1118" s="7" t="s">
        <v>3550</v>
      </c>
      <c r="B1118" s="9" t="s">
        <v>3551</v>
      </c>
      <c r="C1118" s="9" t="s">
        <v>12</v>
      </c>
      <c r="D1118" s="9" t="s">
        <v>3553</v>
      </c>
    </row>
    <row r="1119" ht="15.75" customHeight="1">
      <c r="A1119" s="7" t="s">
        <v>3554</v>
      </c>
      <c r="B1119" s="9" t="s">
        <v>3555</v>
      </c>
      <c r="C1119" s="9" t="s">
        <v>12</v>
      </c>
      <c r="D1119" s="9" t="s">
        <v>749</v>
      </c>
    </row>
    <row r="1120" ht="15.75" customHeight="1">
      <c r="A1120" s="7" t="s">
        <v>3557</v>
      </c>
      <c r="B1120" s="9" t="s">
        <v>3558</v>
      </c>
      <c r="C1120" s="9" t="s">
        <v>17</v>
      </c>
      <c r="D1120" s="9" t="s">
        <v>3560</v>
      </c>
    </row>
    <row r="1121" ht="15.75" customHeight="1">
      <c r="A1121" s="7" t="s">
        <v>3562</v>
      </c>
      <c r="B1121" s="9" t="s">
        <v>3563</v>
      </c>
      <c r="C1121" s="9" t="s">
        <v>17</v>
      </c>
      <c r="D1121" s="9" t="s">
        <v>3564</v>
      </c>
    </row>
    <row r="1122" ht="15.75" customHeight="1">
      <c r="A1122" s="7" t="s">
        <v>3565</v>
      </c>
      <c r="B1122" s="9" t="s">
        <v>3566</v>
      </c>
      <c r="C1122" s="9" t="s">
        <v>17</v>
      </c>
      <c r="D1122" s="9" t="s">
        <v>3568</v>
      </c>
    </row>
    <row r="1123" ht="15.75" customHeight="1">
      <c r="A1123" s="7" t="s">
        <v>3569</v>
      </c>
      <c r="B1123" s="9" t="s">
        <v>3570</v>
      </c>
      <c r="C1123" s="9" t="s">
        <v>17</v>
      </c>
      <c r="D1123" s="9" t="s">
        <v>3571</v>
      </c>
    </row>
    <row r="1124" ht="15.75" customHeight="1">
      <c r="A1124" s="7" t="s">
        <v>3572</v>
      </c>
      <c r="B1124" s="9" t="s">
        <v>3574</v>
      </c>
      <c r="C1124" s="9" t="s">
        <v>12</v>
      </c>
      <c r="D1124" s="9" t="s">
        <v>3575</v>
      </c>
    </row>
    <row r="1125" ht="15.75" customHeight="1">
      <c r="A1125" s="7" t="s">
        <v>3576</v>
      </c>
      <c r="B1125" s="9" t="s">
        <v>3577</v>
      </c>
      <c r="C1125" s="9" t="s">
        <v>17</v>
      </c>
      <c r="D1125" s="9" t="s">
        <v>1314</v>
      </c>
    </row>
    <row r="1126" ht="15.75" customHeight="1">
      <c r="A1126" s="7" t="s">
        <v>3579</v>
      </c>
      <c r="B1126" s="9" t="s">
        <v>3580</v>
      </c>
      <c r="C1126" s="9" t="s">
        <v>1573</v>
      </c>
      <c r="D1126" s="9" t="s">
        <v>3581</v>
      </c>
    </row>
    <row r="1127" ht="15.75" customHeight="1">
      <c r="A1127" s="7" t="s">
        <v>3583</v>
      </c>
      <c r="B1127" s="9" t="s">
        <v>3584</v>
      </c>
      <c r="C1127" s="9" t="s">
        <v>12</v>
      </c>
      <c r="D1127" s="9" t="s">
        <v>3585</v>
      </c>
    </row>
    <row r="1128" ht="15.75" customHeight="1">
      <c r="A1128" s="7" t="s">
        <v>3586</v>
      </c>
      <c r="B1128" s="9" t="s">
        <v>3588</v>
      </c>
      <c r="C1128" s="9" t="s">
        <v>17</v>
      </c>
      <c r="D1128" s="9" t="s">
        <v>1335</v>
      </c>
    </row>
    <row r="1129" ht="15.75" customHeight="1">
      <c r="A1129" s="7" t="s">
        <v>3589</v>
      </c>
      <c r="B1129" s="9" t="s">
        <v>3590</v>
      </c>
      <c r="C1129" s="9" t="s">
        <v>17</v>
      </c>
      <c r="D1129" s="9" t="s">
        <v>183</v>
      </c>
    </row>
    <row r="1130" ht="15.75" customHeight="1">
      <c r="A1130" s="7" t="s">
        <v>3592</v>
      </c>
      <c r="B1130" s="9" t="s">
        <v>3593</v>
      </c>
      <c r="C1130" s="9" t="s">
        <v>17</v>
      </c>
      <c r="D1130" s="9" t="s">
        <v>3594</v>
      </c>
    </row>
    <row r="1131" ht="15.75" customHeight="1">
      <c r="A1131" s="7" t="s">
        <v>3596</v>
      </c>
      <c r="B1131" s="9" t="s">
        <v>3597</v>
      </c>
      <c r="C1131" s="9" t="s">
        <v>12</v>
      </c>
      <c r="D1131" s="9" t="s">
        <v>1705</v>
      </c>
    </row>
    <row r="1132" ht="15.75" customHeight="1">
      <c r="A1132" s="7" t="s">
        <v>3599</v>
      </c>
      <c r="B1132" s="9" t="s">
        <v>3600</v>
      </c>
      <c r="C1132" s="9" t="s">
        <v>1573</v>
      </c>
      <c r="D1132" s="9" t="s">
        <v>3601</v>
      </c>
    </row>
    <row r="1133" ht="15.75" customHeight="1">
      <c r="A1133" s="7" t="s">
        <v>3602</v>
      </c>
      <c r="B1133" s="9" t="s">
        <v>3604</v>
      </c>
      <c r="C1133" s="9" t="s">
        <v>12</v>
      </c>
      <c r="D1133" s="9" t="s">
        <v>3605</v>
      </c>
    </row>
    <row r="1134" ht="15.75" customHeight="1">
      <c r="A1134" s="7" t="s">
        <v>3606</v>
      </c>
      <c r="B1134" s="9" t="s">
        <v>3607</v>
      </c>
      <c r="C1134" s="9" t="s">
        <v>17</v>
      </c>
      <c r="D1134" s="9" t="s">
        <v>3609</v>
      </c>
    </row>
    <row r="1135" ht="15.75" customHeight="1">
      <c r="A1135" s="7" t="s">
        <v>3610</v>
      </c>
      <c r="B1135" s="9" t="s">
        <v>3611</v>
      </c>
      <c r="C1135" s="9" t="s">
        <v>12</v>
      </c>
      <c r="D1135" s="9" t="s">
        <v>626</v>
      </c>
    </row>
    <row r="1136" ht="15.75" customHeight="1">
      <c r="A1136" s="7" t="s">
        <v>3612</v>
      </c>
      <c r="B1136" s="9" t="s">
        <v>3614</v>
      </c>
      <c r="C1136" s="9" t="s">
        <v>12</v>
      </c>
      <c r="D1136" s="9" t="s">
        <v>233</v>
      </c>
    </row>
    <row r="1137" ht="15.75" customHeight="1">
      <c r="A1137" s="7" t="s">
        <v>3615</v>
      </c>
      <c r="B1137" s="9" t="s">
        <v>3616</v>
      </c>
      <c r="C1137" s="9" t="s">
        <v>12</v>
      </c>
      <c r="D1137" s="9" t="s">
        <v>3618</v>
      </c>
    </row>
    <row r="1138" ht="15.75" customHeight="1">
      <c r="A1138" s="7" t="s">
        <v>3619</v>
      </c>
      <c r="B1138" s="9" t="s">
        <v>3620</v>
      </c>
      <c r="C1138" s="9" t="s">
        <v>12</v>
      </c>
      <c r="D1138" s="9" t="s">
        <v>3621</v>
      </c>
    </row>
    <row r="1139" ht="15.75" customHeight="1">
      <c r="A1139" s="7" t="s">
        <v>3623</v>
      </c>
      <c r="B1139" s="9" t="s">
        <v>3624</v>
      </c>
      <c r="C1139" s="9" t="s">
        <v>12</v>
      </c>
      <c r="D1139" s="9" t="s">
        <v>3625</v>
      </c>
    </row>
    <row r="1140" ht="15.75" customHeight="1">
      <c r="A1140" s="7" t="s">
        <v>3626</v>
      </c>
      <c r="B1140" s="9" t="s">
        <v>3627</v>
      </c>
      <c r="C1140" s="9" t="s">
        <v>12</v>
      </c>
      <c r="D1140" s="9" t="s">
        <v>3628</v>
      </c>
    </row>
    <row r="1141" ht="15.75" customHeight="1">
      <c r="A1141" s="7" t="s">
        <v>3629</v>
      </c>
      <c r="B1141" s="9" t="s">
        <v>3630</v>
      </c>
      <c r="C1141" s="9" t="s">
        <v>17</v>
      </c>
      <c r="D1141" s="9" t="s">
        <v>183</v>
      </c>
    </row>
    <row r="1142" ht="15.75" customHeight="1">
      <c r="A1142" s="7" t="s">
        <v>3632</v>
      </c>
      <c r="B1142" s="9" t="s">
        <v>715</v>
      </c>
      <c r="C1142" s="9" t="s">
        <v>17</v>
      </c>
      <c r="D1142" s="9" t="s">
        <v>236</v>
      </c>
    </row>
    <row r="1143" ht="15.75" customHeight="1">
      <c r="A1143" s="7" t="s">
        <v>3633</v>
      </c>
      <c r="B1143" s="9" t="s">
        <v>3634</v>
      </c>
      <c r="C1143" s="9" t="s">
        <v>12</v>
      </c>
      <c r="D1143" s="9" t="s">
        <v>623</v>
      </c>
    </row>
    <row r="1144" ht="15.75" customHeight="1">
      <c r="A1144" s="7" t="s">
        <v>3636</v>
      </c>
      <c r="B1144" s="9" t="s">
        <v>3637</v>
      </c>
      <c r="C1144" s="9" t="s">
        <v>17</v>
      </c>
      <c r="D1144" s="9" t="s">
        <v>2657</v>
      </c>
    </row>
    <row r="1145" ht="15.75" customHeight="1">
      <c r="A1145" s="7" t="s">
        <v>3639</v>
      </c>
      <c r="B1145" s="9" t="s">
        <v>3640</v>
      </c>
      <c r="C1145" s="9" t="s">
        <v>12</v>
      </c>
      <c r="D1145" s="9" t="s">
        <v>3641</v>
      </c>
    </row>
    <row r="1146" ht="15.75" customHeight="1">
      <c r="A1146" s="7" t="s">
        <v>3642</v>
      </c>
      <c r="B1146" s="9" t="s">
        <v>3643</v>
      </c>
      <c r="C1146" s="9" t="s">
        <v>12</v>
      </c>
      <c r="D1146" s="9" t="s">
        <v>102</v>
      </c>
    </row>
    <row r="1147" ht="15.75" customHeight="1">
      <c r="A1147" s="7" t="s">
        <v>3645</v>
      </c>
      <c r="B1147" s="9" t="s">
        <v>3646</v>
      </c>
      <c r="C1147" s="9" t="s">
        <v>17</v>
      </c>
      <c r="D1147" s="9" t="s">
        <v>3647</v>
      </c>
    </row>
    <row r="1148" ht="15.75" customHeight="1">
      <c r="A1148" s="7" t="s">
        <v>3648</v>
      </c>
      <c r="B1148" s="9" t="s">
        <v>3650</v>
      </c>
      <c r="C1148" s="9" t="s">
        <v>17</v>
      </c>
      <c r="D1148" s="9" t="s">
        <v>3651</v>
      </c>
    </row>
    <row r="1149" ht="15.75" customHeight="1">
      <c r="A1149" s="7" t="s">
        <v>3652</v>
      </c>
      <c r="B1149" s="9" t="s">
        <v>3653</v>
      </c>
      <c r="C1149" s="9" t="s">
        <v>17</v>
      </c>
      <c r="D1149" s="9" t="s">
        <v>342</v>
      </c>
    </row>
    <row r="1150" ht="15.75" customHeight="1">
      <c r="A1150" s="7" t="s">
        <v>3654</v>
      </c>
      <c r="B1150" s="9" t="s">
        <v>3655</v>
      </c>
      <c r="C1150" s="9" t="s">
        <v>17</v>
      </c>
      <c r="D1150" s="9" t="s">
        <v>516</v>
      </c>
    </row>
    <row r="1151" ht="15.75" customHeight="1">
      <c r="A1151" s="7" t="s">
        <v>3657</v>
      </c>
      <c r="B1151" s="9" t="s">
        <v>3658</v>
      </c>
      <c r="C1151" s="9" t="s">
        <v>12</v>
      </c>
      <c r="D1151" s="9" t="s">
        <v>3659</v>
      </c>
    </row>
    <row r="1152" ht="15.75" customHeight="1">
      <c r="A1152" s="7" t="s">
        <v>3660</v>
      </c>
      <c r="B1152" s="9" t="s">
        <v>1684</v>
      </c>
      <c r="C1152" s="9" t="s">
        <v>17</v>
      </c>
      <c r="D1152" s="9" t="s">
        <v>3661</v>
      </c>
    </row>
    <row r="1153" ht="15.75" customHeight="1">
      <c r="A1153" s="7" t="s">
        <v>3663</v>
      </c>
      <c r="B1153" s="9" t="s">
        <v>3664</v>
      </c>
      <c r="C1153" s="9" t="s">
        <v>17</v>
      </c>
      <c r="D1153" s="9" t="s">
        <v>3665</v>
      </c>
    </row>
    <row r="1154" ht="15.75" customHeight="1">
      <c r="A1154" s="7" t="s">
        <v>3666</v>
      </c>
      <c r="B1154" s="9" t="s">
        <v>3667</v>
      </c>
      <c r="C1154" s="9" t="s">
        <v>12</v>
      </c>
      <c r="D1154" s="9" t="s">
        <v>1628</v>
      </c>
    </row>
    <row r="1155" ht="15.75" customHeight="1">
      <c r="A1155" s="7" t="s">
        <v>3669</v>
      </c>
      <c r="B1155" s="9" t="s">
        <v>3670</v>
      </c>
      <c r="C1155" s="9" t="s">
        <v>12</v>
      </c>
      <c r="D1155" s="9" t="s">
        <v>3671</v>
      </c>
    </row>
    <row r="1156" ht="15.75" customHeight="1">
      <c r="A1156" s="7" t="s">
        <v>3672</v>
      </c>
      <c r="B1156" s="9" t="s">
        <v>3673</v>
      </c>
      <c r="C1156" s="9" t="s">
        <v>12</v>
      </c>
      <c r="D1156" s="9" t="s">
        <v>3674</v>
      </c>
    </row>
    <row r="1157" ht="15.75" customHeight="1">
      <c r="A1157" s="7" t="s">
        <v>3676</v>
      </c>
      <c r="B1157" s="9" t="s">
        <v>3677</v>
      </c>
      <c r="C1157" s="9" t="s">
        <v>17</v>
      </c>
      <c r="D1157" s="9" t="s">
        <v>3678</v>
      </c>
    </row>
    <row r="1158" ht="15.75" customHeight="1">
      <c r="A1158" s="7" t="s">
        <v>3679</v>
      </c>
      <c r="B1158" s="9" t="s">
        <v>3681</v>
      </c>
      <c r="C1158" s="9" t="s">
        <v>17</v>
      </c>
      <c r="D1158" s="9" t="s">
        <v>3682</v>
      </c>
    </row>
    <row r="1159" ht="15.75" customHeight="1">
      <c r="A1159" s="7" t="s">
        <v>3683</v>
      </c>
      <c r="B1159" s="9" t="s">
        <v>3684</v>
      </c>
      <c r="C1159" s="9" t="s">
        <v>17</v>
      </c>
      <c r="D1159" s="9" t="s">
        <v>3686</v>
      </c>
    </row>
    <row r="1160" ht="15.75" customHeight="1">
      <c r="A1160" s="7" t="s">
        <v>3687</v>
      </c>
      <c r="B1160" s="9" t="s">
        <v>3688</v>
      </c>
      <c r="C1160" s="9" t="s">
        <v>12</v>
      </c>
      <c r="D1160" s="9" t="s">
        <v>3689</v>
      </c>
    </row>
    <row r="1161" ht="15.75" customHeight="1">
      <c r="A1161" s="7" t="s">
        <v>3691</v>
      </c>
      <c r="B1161" s="9" t="s">
        <v>3692</v>
      </c>
      <c r="C1161" s="9" t="s">
        <v>17</v>
      </c>
      <c r="D1161" s="9" t="s">
        <v>3693</v>
      </c>
    </row>
    <row r="1162" ht="15.75" customHeight="1">
      <c r="A1162" s="7" t="s">
        <v>3695</v>
      </c>
      <c r="B1162" s="9" t="s">
        <v>3696</v>
      </c>
      <c r="C1162" s="9" t="s">
        <v>12</v>
      </c>
      <c r="D1162" s="9" t="s">
        <v>3697</v>
      </c>
    </row>
    <row r="1163" ht="15.75" customHeight="1">
      <c r="A1163" s="7" t="s">
        <v>3698</v>
      </c>
      <c r="B1163" s="9" t="s">
        <v>3700</v>
      </c>
      <c r="C1163" s="9" t="s">
        <v>12</v>
      </c>
      <c r="D1163" s="9" t="s">
        <v>3701</v>
      </c>
    </row>
    <row r="1164" ht="15.75" customHeight="1">
      <c r="A1164" s="7" t="s">
        <v>3702</v>
      </c>
      <c r="B1164" s="9" t="s">
        <v>3703</v>
      </c>
      <c r="C1164" s="9" t="s">
        <v>17</v>
      </c>
      <c r="D1164" s="9" t="s">
        <v>3705</v>
      </c>
    </row>
    <row r="1165" ht="15.75" customHeight="1">
      <c r="A1165" s="7" t="s">
        <v>3706</v>
      </c>
      <c r="B1165" s="9" t="s">
        <v>3707</v>
      </c>
      <c r="C1165" s="9" t="s">
        <v>12</v>
      </c>
      <c r="D1165" s="9" t="s">
        <v>3709</v>
      </c>
    </row>
    <row r="1166" ht="15.75" customHeight="1">
      <c r="A1166" s="7" t="s">
        <v>3710</v>
      </c>
      <c r="B1166" s="9" t="s">
        <v>3711</v>
      </c>
      <c r="C1166" s="9" t="s">
        <v>12</v>
      </c>
      <c r="D1166" s="9" t="s">
        <v>3713</v>
      </c>
    </row>
    <row r="1167" ht="15.75" customHeight="1">
      <c r="A1167" s="7" t="s">
        <v>3716</v>
      </c>
      <c r="B1167" s="9" t="s">
        <v>3717</v>
      </c>
      <c r="C1167" s="9" t="s">
        <v>12</v>
      </c>
      <c r="D1167" s="9" t="s">
        <v>680</v>
      </c>
    </row>
    <row r="1168" ht="15.75" customHeight="1">
      <c r="A1168" s="7" t="s">
        <v>3718</v>
      </c>
      <c r="B1168" s="9" t="s">
        <v>3720</v>
      </c>
      <c r="C1168" s="9" t="s">
        <v>12</v>
      </c>
      <c r="D1168" s="9" t="s">
        <v>152</v>
      </c>
    </row>
    <row r="1169" ht="15.75" customHeight="1">
      <c r="A1169" s="7" t="s">
        <v>3721</v>
      </c>
      <c r="B1169" s="9" t="s">
        <v>3722</v>
      </c>
      <c r="C1169" s="9" t="s">
        <v>1573</v>
      </c>
      <c r="D1169" s="9" t="s">
        <v>3724</v>
      </c>
    </row>
    <row r="1170" ht="15.75" customHeight="1">
      <c r="A1170" s="7" t="s">
        <v>3725</v>
      </c>
      <c r="B1170" s="9" t="s">
        <v>160</v>
      </c>
      <c r="C1170" s="9" t="s">
        <v>17</v>
      </c>
      <c r="D1170" s="9" t="s">
        <v>3727</v>
      </c>
    </row>
    <row r="1171" ht="15.75" customHeight="1">
      <c r="A1171" s="7" t="s">
        <v>3729</v>
      </c>
      <c r="B1171" s="9" t="s">
        <v>3730</v>
      </c>
      <c r="C1171" s="9" t="s">
        <v>17</v>
      </c>
      <c r="D1171" s="9" t="s">
        <v>3731</v>
      </c>
    </row>
    <row r="1172" ht="15.75" customHeight="1">
      <c r="A1172" s="7" t="s">
        <v>3733</v>
      </c>
      <c r="B1172" s="9" t="s">
        <v>3166</v>
      </c>
      <c r="C1172" s="9" t="s">
        <v>1573</v>
      </c>
      <c r="D1172" s="9" t="s">
        <v>3735</v>
      </c>
    </row>
    <row r="1173" ht="15.75" customHeight="1">
      <c r="A1173" s="7" t="s">
        <v>3736</v>
      </c>
      <c r="B1173" s="9" t="s">
        <v>3737</v>
      </c>
      <c r="C1173" s="9" t="s">
        <v>12</v>
      </c>
      <c r="D1173" s="9" t="s">
        <v>3738</v>
      </c>
    </row>
    <row r="1174" ht="15.75" customHeight="1">
      <c r="A1174" s="7" t="s">
        <v>3740</v>
      </c>
      <c r="B1174" s="9" t="s">
        <v>3741</v>
      </c>
      <c r="C1174" s="9" t="s">
        <v>17</v>
      </c>
      <c r="D1174" s="9" t="s">
        <v>3743</v>
      </c>
    </row>
    <row r="1175" ht="15.75" customHeight="1">
      <c r="A1175" s="7" t="s">
        <v>3744</v>
      </c>
      <c r="B1175" s="9" t="s">
        <v>3745</v>
      </c>
      <c r="C1175" s="9" t="s">
        <v>1573</v>
      </c>
      <c r="D1175" s="9" t="s">
        <v>3746</v>
      </c>
    </row>
    <row r="1176" ht="15.75" customHeight="1">
      <c r="A1176" s="7" t="s">
        <v>3748</v>
      </c>
      <c r="B1176" s="9" t="s">
        <v>3749</v>
      </c>
      <c r="C1176" s="9" t="s">
        <v>17</v>
      </c>
      <c r="D1176" s="9" t="s">
        <v>3750</v>
      </c>
    </row>
    <row r="1177" ht="15.75" customHeight="1">
      <c r="A1177" s="7" t="s">
        <v>3751</v>
      </c>
      <c r="B1177" s="9" t="s">
        <v>3752</v>
      </c>
      <c r="C1177" s="9" t="s">
        <v>17</v>
      </c>
      <c r="D1177" s="9" t="s">
        <v>3754</v>
      </c>
    </row>
    <row r="1178" ht="15.75" customHeight="1">
      <c r="A1178" s="7" t="s">
        <v>3755</v>
      </c>
      <c r="B1178" s="9" t="s">
        <v>3756</v>
      </c>
      <c r="C1178" s="9" t="s">
        <v>17</v>
      </c>
      <c r="D1178" s="9" t="s">
        <v>3757</v>
      </c>
    </row>
    <row r="1179" ht="15.75" customHeight="1">
      <c r="A1179" s="7" t="s">
        <v>3759</v>
      </c>
      <c r="B1179" s="9" t="s">
        <v>3760</v>
      </c>
      <c r="C1179" s="9" t="s">
        <v>12</v>
      </c>
      <c r="D1179" s="9" t="s">
        <v>3761</v>
      </c>
    </row>
    <row r="1180" ht="15.75" customHeight="1">
      <c r="A1180" s="7" t="s">
        <v>3763</v>
      </c>
      <c r="B1180" s="9" t="s">
        <v>3764</v>
      </c>
      <c r="C1180" s="9" t="s">
        <v>17</v>
      </c>
      <c r="D1180" s="9" t="s">
        <v>250</v>
      </c>
    </row>
    <row r="1181" ht="15.75" customHeight="1">
      <c r="A1181" s="7" t="s">
        <v>3766</v>
      </c>
      <c r="B1181" s="9" t="s">
        <v>3767</v>
      </c>
      <c r="C1181" s="9" t="s">
        <v>12</v>
      </c>
      <c r="D1181" s="9" t="s">
        <v>613</v>
      </c>
    </row>
    <row r="1182" ht="15.75" customHeight="1">
      <c r="A1182" s="7" t="s">
        <v>3769</v>
      </c>
      <c r="B1182" s="9" t="s">
        <v>3770</v>
      </c>
      <c r="C1182" s="9" t="s">
        <v>17</v>
      </c>
      <c r="D1182" s="9" t="s">
        <v>111</v>
      </c>
    </row>
    <row r="1183" ht="15.75" customHeight="1">
      <c r="A1183" s="7" t="s">
        <v>3771</v>
      </c>
      <c r="B1183" s="9" t="s">
        <v>157</v>
      </c>
      <c r="C1183" s="9" t="s">
        <v>12</v>
      </c>
      <c r="D1183" s="9" t="s">
        <v>3773</v>
      </c>
    </row>
    <row r="1184" ht="15.75" customHeight="1">
      <c r="A1184" s="7" t="s">
        <v>3775</v>
      </c>
      <c r="B1184" s="9" t="s">
        <v>3776</v>
      </c>
      <c r="C1184" s="9" t="s">
        <v>12</v>
      </c>
      <c r="D1184" s="9" t="s">
        <v>3777</v>
      </c>
    </row>
    <row r="1185" ht="15.75" customHeight="1">
      <c r="A1185" s="7" t="s">
        <v>3779</v>
      </c>
      <c r="B1185" s="9" t="s">
        <v>3780</v>
      </c>
      <c r="C1185" s="9" t="s">
        <v>1573</v>
      </c>
      <c r="D1185" s="9" t="s">
        <v>3781</v>
      </c>
    </row>
    <row r="1186" ht="15.75" customHeight="1">
      <c r="A1186" s="7" t="s">
        <v>3783</v>
      </c>
      <c r="B1186" s="9" t="s">
        <v>3784</v>
      </c>
      <c r="C1186" s="9" t="s">
        <v>17</v>
      </c>
      <c r="D1186" s="9" t="s">
        <v>3785</v>
      </c>
    </row>
    <row r="1187" ht="15.75" customHeight="1">
      <c r="A1187" s="7" t="s">
        <v>3787</v>
      </c>
      <c r="B1187" s="9" t="s">
        <v>3788</v>
      </c>
      <c r="C1187" s="9" t="s">
        <v>12</v>
      </c>
      <c r="D1187" s="9" t="s">
        <v>102</v>
      </c>
    </row>
    <row r="1188" ht="15.75" customHeight="1">
      <c r="A1188" s="7" t="s">
        <v>3789</v>
      </c>
      <c r="B1188" s="9" t="s">
        <v>3791</v>
      </c>
      <c r="C1188" s="9" t="s">
        <v>12</v>
      </c>
      <c r="D1188" s="9" t="s">
        <v>3792</v>
      </c>
    </row>
    <row r="1189" ht="15.75" customHeight="1">
      <c r="A1189" s="7" t="s">
        <v>3794</v>
      </c>
      <c r="B1189" s="9" t="s">
        <v>885</v>
      </c>
      <c r="C1189" s="9" t="s">
        <v>17</v>
      </c>
      <c r="D1189" s="9" t="s">
        <v>3795</v>
      </c>
    </row>
    <row r="1190" ht="15.75" customHeight="1">
      <c r="A1190" s="7" t="s">
        <v>3796</v>
      </c>
      <c r="B1190" s="9" t="s">
        <v>3798</v>
      </c>
      <c r="C1190" s="9" t="s">
        <v>17</v>
      </c>
      <c r="D1190" s="9" t="s">
        <v>3799</v>
      </c>
    </row>
    <row r="1191" ht="15.75" customHeight="1">
      <c r="A1191" s="7" t="s">
        <v>3800</v>
      </c>
      <c r="B1191" s="9" t="s">
        <v>3801</v>
      </c>
      <c r="C1191" s="9" t="s">
        <v>17</v>
      </c>
      <c r="D1191" s="9" t="s">
        <v>3803</v>
      </c>
    </row>
    <row r="1192" ht="15.75" customHeight="1">
      <c r="A1192" s="7" t="s">
        <v>3804</v>
      </c>
      <c r="B1192" s="9" t="s">
        <v>3805</v>
      </c>
      <c r="C1192" s="9" t="s">
        <v>17</v>
      </c>
      <c r="D1192" s="9" t="s">
        <v>3807</v>
      </c>
    </row>
    <row r="1193" ht="15.75" customHeight="1">
      <c r="A1193" s="7" t="s">
        <v>3808</v>
      </c>
      <c r="B1193" s="9" t="s">
        <v>3809</v>
      </c>
      <c r="C1193" s="9" t="s">
        <v>17</v>
      </c>
      <c r="D1193" s="9" t="s">
        <v>789</v>
      </c>
    </row>
    <row r="1194" ht="15.75" customHeight="1">
      <c r="A1194" s="7" t="s">
        <v>3811</v>
      </c>
      <c r="B1194" s="9" t="s">
        <v>3812</v>
      </c>
      <c r="C1194" s="9" t="s">
        <v>12</v>
      </c>
      <c r="D1194" s="9" t="s">
        <v>1109</v>
      </c>
    </row>
    <row r="1195" ht="15.75" customHeight="1">
      <c r="A1195" s="7" t="s">
        <v>3814</v>
      </c>
      <c r="B1195" s="9" t="s">
        <v>3815</v>
      </c>
      <c r="C1195" s="9" t="s">
        <v>12</v>
      </c>
      <c r="D1195" s="9" t="s">
        <v>369</v>
      </c>
    </row>
    <row r="1196" ht="15.75" customHeight="1">
      <c r="A1196" s="7" t="s">
        <v>3816</v>
      </c>
      <c r="B1196" s="9" t="s">
        <v>3817</v>
      </c>
      <c r="C1196" s="9" t="s">
        <v>12</v>
      </c>
      <c r="D1196" s="9" t="s">
        <v>3818</v>
      </c>
    </row>
    <row r="1197" ht="15.75" customHeight="1">
      <c r="A1197" s="7" t="s">
        <v>3820</v>
      </c>
      <c r="B1197" s="9" t="s">
        <v>3821</v>
      </c>
      <c r="C1197" s="9" t="s">
        <v>12</v>
      </c>
      <c r="D1197" s="9" t="s">
        <v>3822</v>
      </c>
    </row>
    <row r="1198" ht="15.75" customHeight="1">
      <c r="A1198" s="7" t="s">
        <v>3823</v>
      </c>
      <c r="B1198" s="9" t="s">
        <v>3824</v>
      </c>
      <c r="C1198" s="9" t="s">
        <v>12</v>
      </c>
      <c r="D1198" s="9" t="s">
        <v>3826</v>
      </c>
    </row>
    <row r="1199" ht="15.75" customHeight="1">
      <c r="A1199" s="7" t="s">
        <v>3827</v>
      </c>
      <c r="B1199" s="9" t="s">
        <v>3828</v>
      </c>
      <c r="C1199" s="9" t="s">
        <v>17</v>
      </c>
      <c r="D1199" s="9" t="s">
        <v>3268</v>
      </c>
    </row>
    <row r="1200" ht="15.75" customHeight="1">
      <c r="A1200" s="7" t="s">
        <v>3829</v>
      </c>
      <c r="B1200" s="9" t="s">
        <v>3830</v>
      </c>
      <c r="C1200" s="9" t="s">
        <v>17</v>
      </c>
      <c r="D1200" s="9" t="s">
        <v>3831</v>
      </c>
    </row>
    <row r="1201" ht="15.75" customHeight="1">
      <c r="A1201" s="7" t="s">
        <v>3833</v>
      </c>
      <c r="B1201" s="9" t="s">
        <v>3834</v>
      </c>
      <c r="C1201" s="9" t="s">
        <v>1573</v>
      </c>
      <c r="D1201" s="9" t="s">
        <v>2972</v>
      </c>
    </row>
    <row r="1202" ht="15.75" customHeight="1">
      <c r="A1202" s="7" t="s">
        <v>3836</v>
      </c>
      <c r="B1202" s="9" t="s">
        <v>2668</v>
      </c>
      <c r="C1202" s="9" t="s">
        <v>17</v>
      </c>
      <c r="D1202" s="9" t="s">
        <v>183</v>
      </c>
    </row>
    <row r="1203" ht="15.75" customHeight="1">
      <c r="A1203" s="7" t="s">
        <v>3837</v>
      </c>
      <c r="B1203" s="9" t="s">
        <v>3839</v>
      </c>
      <c r="C1203" s="9" t="s">
        <v>1573</v>
      </c>
      <c r="D1203" s="9" t="s">
        <v>3840</v>
      </c>
    </row>
    <row r="1204" ht="15.75" customHeight="1">
      <c r="A1204" s="7" t="s">
        <v>3841</v>
      </c>
      <c r="B1204" s="9" t="s">
        <v>3842</v>
      </c>
      <c r="C1204" s="9" t="s">
        <v>17</v>
      </c>
      <c r="D1204" s="9" t="s">
        <v>3844</v>
      </c>
    </row>
    <row r="1205" ht="15.75" customHeight="1">
      <c r="A1205" s="7" t="s">
        <v>3845</v>
      </c>
      <c r="B1205" s="9" t="s">
        <v>3846</v>
      </c>
      <c r="C1205" s="9" t="s">
        <v>17</v>
      </c>
      <c r="D1205" s="9" t="s">
        <v>1100</v>
      </c>
    </row>
    <row r="1206" ht="15.75" customHeight="1">
      <c r="A1206" s="7" t="s">
        <v>3848</v>
      </c>
      <c r="B1206" s="9" t="s">
        <v>3849</v>
      </c>
      <c r="C1206" s="9" t="s">
        <v>1573</v>
      </c>
      <c r="D1206" s="9" t="s">
        <v>3850</v>
      </c>
    </row>
    <row r="1207" ht="15.75" customHeight="1">
      <c r="A1207" s="7" t="s">
        <v>3852</v>
      </c>
      <c r="B1207" s="9" t="s">
        <v>3853</v>
      </c>
      <c r="C1207" s="9" t="s">
        <v>17</v>
      </c>
      <c r="D1207" s="9" t="s">
        <v>3854</v>
      </c>
    </row>
    <row r="1208" ht="15.75" customHeight="1">
      <c r="A1208" s="7" t="s">
        <v>3855</v>
      </c>
      <c r="B1208" s="9" t="s">
        <v>3857</v>
      </c>
      <c r="C1208" s="9" t="s">
        <v>1573</v>
      </c>
      <c r="D1208" s="9" t="s">
        <v>3858</v>
      </c>
    </row>
    <row r="1209" ht="15.75" customHeight="1">
      <c r="A1209" s="7" t="s">
        <v>3859</v>
      </c>
      <c r="B1209" s="9" t="s">
        <v>1806</v>
      </c>
      <c r="C1209" s="9" t="s">
        <v>12</v>
      </c>
      <c r="D1209" s="9" t="s">
        <v>3861</v>
      </c>
    </row>
    <row r="1210" ht="15.75" customHeight="1">
      <c r="A1210" s="7" t="s">
        <v>3862</v>
      </c>
      <c r="B1210" s="9" t="s">
        <v>3863</v>
      </c>
      <c r="C1210" s="9" t="s">
        <v>17</v>
      </c>
      <c r="D1210" s="9" t="s">
        <v>3864</v>
      </c>
    </row>
    <row r="1211" ht="15.75" customHeight="1">
      <c r="A1211" s="7" t="s">
        <v>3866</v>
      </c>
      <c r="B1211" s="9" t="s">
        <v>1996</v>
      </c>
      <c r="C1211" s="9" t="s">
        <v>17</v>
      </c>
      <c r="D1211" s="9" t="s">
        <v>516</v>
      </c>
    </row>
    <row r="1212" ht="15.75" customHeight="1">
      <c r="A1212" s="7" t="s">
        <v>3867</v>
      </c>
      <c r="B1212" s="9" t="s">
        <v>3868</v>
      </c>
      <c r="C1212" s="9" t="s">
        <v>17</v>
      </c>
      <c r="D1212" s="9" t="s">
        <v>2709</v>
      </c>
    </row>
    <row r="1213" ht="15.75" customHeight="1">
      <c r="A1213" s="7" t="s">
        <v>3870</v>
      </c>
      <c r="B1213" s="9" t="s">
        <v>3871</v>
      </c>
      <c r="C1213" s="9" t="s">
        <v>17</v>
      </c>
      <c r="D1213" s="9" t="s">
        <v>512</v>
      </c>
    </row>
    <row r="1214" ht="15.75" customHeight="1">
      <c r="A1214" s="7" t="s">
        <v>3873</v>
      </c>
      <c r="B1214" s="9" t="s">
        <v>3874</v>
      </c>
      <c r="C1214" s="9" t="s">
        <v>1573</v>
      </c>
      <c r="D1214" s="9" t="s">
        <v>1374</v>
      </c>
    </row>
    <row r="1215" ht="15.75" customHeight="1">
      <c r="A1215" s="7" t="s">
        <v>3875</v>
      </c>
      <c r="B1215" s="9" t="s">
        <v>3877</v>
      </c>
      <c r="C1215" s="9" t="s">
        <v>12</v>
      </c>
      <c r="D1215" s="9" t="s">
        <v>2212</v>
      </c>
    </row>
    <row r="1216" ht="15.75" customHeight="1">
      <c r="A1216" s="7" t="s">
        <v>3878</v>
      </c>
      <c r="B1216" s="9" t="s">
        <v>3879</v>
      </c>
      <c r="C1216" s="9" t="s">
        <v>17</v>
      </c>
      <c r="D1216" s="9" t="s">
        <v>3881</v>
      </c>
    </row>
    <row r="1217" ht="15.75" customHeight="1">
      <c r="A1217" s="7" t="s">
        <v>3882</v>
      </c>
      <c r="B1217" s="9" t="s">
        <v>3883</v>
      </c>
      <c r="C1217" s="9" t="s">
        <v>12</v>
      </c>
      <c r="D1217" s="9" t="s">
        <v>3885</v>
      </c>
    </row>
    <row r="1218" ht="15.75" customHeight="1">
      <c r="A1218" s="7" t="s">
        <v>3886</v>
      </c>
      <c r="B1218" s="9" t="s">
        <v>2390</v>
      </c>
      <c r="C1218" s="9" t="s">
        <v>12</v>
      </c>
      <c r="D1218" s="9" t="s">
        <v>2194</v>
      </c>
    </row>
    <row r="1219" ht="15.75" customHeight="1">
      <c r="A1219" s="7" t="s">
        <v>3888</v>
      </c>
      <c r="B1219" s="9" t="s">
        <v>3889</v>
      </c>
      <c r="C1219" s="9" t="s">
        <v>17</v>
      </c>
      <c r="D1219" s="9" t="s">
        <v>3891</v>
      </c>
    </row>
    <row r="1220" ht="15.75" customHeight="1">
      <c r="A1220" s="7" t="s">
        <v>3893</v>
      </c>
      <c r="B1220" s="9" t="s">
        <v>3894</v>
      </c>
      <c r="C1220" s="9" t="s">
        <v>17</v>
      </c>
      <c r="D1220" s="9" t="s">
        <v>43</v>
      </c>
    </row>
    <row r="1221" ht="15.75" customHeight="1">
      <c r="A1221" s="7" t="s">
        <v>3896</v>
      </c>
      <c r="B1221" s="9" t="s">
        <v>3897</v>
      </c>
      <c r="C1221" s="9" t="s">
        <v>17</v>
      </c>
      <c r="D1221" s="9" t="s">
        <v>3898</v>
      </c>
    </row>
    <row r="1222" ht="15.75" customHeight="1">
      <c r="A1222" s="7" t="s">
        <v>3900</v>
      </c>
      <c r="B1222" s="9" t="s">
        <v>3901</v>
      </c>
      <c r="C1222" s="9" t="s">
        <v>17</v>
      </c>
      <c r="D1222" s="9" t="s">
        <v>3902</v>
      </c>
    </row>
    <row r="1223" ht="15.75" customHeight="1">
      <c r="A1223" s="7" t="s">
        <v>3904</v>
      </c>
      <c r="B1223" s="9" t="s">
        <v>3905</v>
      </c>
      <c r="C1223" s="9" t="s">
        <v>12</v>
      </c>
      <c r="D1223" s="9" t="s">
        <v>3906</v>
      </c>
    </row>
    <row r="1224" ht="15.75" customHeight="1">
      <c r="A1224" s="7" t="s">
        <v>3907</v>
      </c>
      <c r="B1224" s="9" t="s">
        <v>3908</v>
      </c>
      <c r="C1224" s="9" t="s">
        <v>12</v>
      </c>
      <c r="D1224" s="9" t="s">
        <v>3910</v>
      </c>
    </row>
    <row r="1225" ht="15.75" customHeight="1">
      <c r="A1225" s="7" t="s">
        <v>3911</v>
      </c>
      <c r="B1225" s="9" t="s">
        <v>974</v>
      </c>
      <c r="C1225" s="9" t="s">
        <v>17</v>
      </c>
      <c r="D1225" s="9" t="s">
        <v>3913</v>
      </c>
    </row>
    <row r="1226" ht="15.75" customHeight="1">
      <c r="A1226" s="7" t="s">
        <v>3914</v>
      </c>
      <c r="B1226" s="9" t="s">
        <v>189</v>
      </c>
      <c r="C1226" s="9" t="s">
        <v>12</v>
      </c>
      <c r="D1226" s="9" t="s">
        <v>3915</v>
      </c>
    </row>
    <row r="1227" ht="15.75" customHeight="1">
      <c r="A1227" s="7" t="s">
        <v>3916</v>
      </c>
      <c r="B1227" s="9" t="s">
        <v>3917</v>
      </c>
      <c r="C1227" s="9" t="s">
        <v>17</v>
      </c>
      <c r="D1227" s="9" t="s">
        <v>3919</v>
      </c>
    </row>
    <row r="1228" ht="15.75" customHeight="1">
      <c r="A1228" s="7" t="s">
        <v>3920</v>
      </c>
      <c r="B1228" s="9" t="s">
        <v>3921</v>
      </c>
      <c r="C1228" s="9" t="s">
        <v>12</v>
      </c>
      <c r="D1228" s="9" t="s">
        <v>3922</v>
      </c>
    </row>
    <row r="1229" ht="15.75" customHeight="1">
      <c r="A1229" s="7" t="s">
        <v>3923</v>
      </c>
      <c r="B1229" s="9" t="s">
        <v>3924</v>
      </c>
      <c r="C1229" s="9" t="s">
        <v>17</v>
      </c>
      <c r="D1229" s="9" t="s">
        <v>3926</v>
      </c>
    </row>
    <row r="1230" ht="15.75" customHeight="1">
      <c r="A1230" s="7" t="s">
        <v>3927</v>
      </c>
      <c r="B1230" s="9" t="s">
        <v>3928</v>
      </c>
      <c r="C1230" s="9" t="s">
        <v>17</v>
      </c>
      <c r="D1230" s="9" t="s">
        <v>789</v>
      </c>
    </row>
    <row r="1231" ht="15.75" customHeight="1">
      <c r="A1231" s="7" t="s">
        <v>3929</v>
      </c>
      <c r="B1231" s="9" t="s">
        <v>3930</v>
      </c>
      <c r="C1231" s="9" t="s">
        <v>12</v>
      </c>
      <c r="D1231" s="9" t="s">
        <v>3932</v>
      </c>
    </row>
    <row r="1232" ht="15.75" customHeight="1">
      <c r="A1232" s="7" t="s">
        <v>3933</v>
      </c>
      <c r="B1232" s="9" t="s">
        <v>3934</v>
      </c>
      <c r="C1232" s="9" t="s">
        <v>12</v>
      </c>
      <c r="D1232" s="9" t="s">
        <v>3935</v>
      </c>
    </row>
    <row r="1233" ht="15.75" customHeight="1">
      <c r="A1233" s="7" t="s">
        <v>3936</v>
      </c>
      <c r="B1233" s="9" t="s">
        <v>3937</v>
      </c>
      <c r="C1233" s="9" t="s">
        <v>12</v>
      </c>
      <c r="D1233" s="9" t="s">
        <v>3939</v>
      </c>
    </row>
    <row r="1234" ht="15.75" customHeight="1">
      <c r="A1234" s="7" t="s">
        <v>3940</v>
      </c>
      <c r="B1234" s="9" t="s">
        <v>3941</v>
      </c>
      <c r="C1234" s="9" t="s">
        <v>17</v>
      </c>
      <c r="D1234" s="9" t="s">
        <v>3943</v>
      </c>
    </row>
    <row r="1235" ht="15.75" customHeight="1">
      <c r="A1235" s="7" t="s">
        <v>3944</v>
      </c>
      <c r="B1235" s="9" t="s">
        <v>3247</v>
      </c>
      <c r="C1235" s="9" t="s">
        <v>17</v>
      </c>
      <c r="D1235" s="9" t="s">
        <v>3945</v>
      </c>
    </row>
    <row r="1236" ht="15.75" customHeight="1">
      <c r="A1236" s="7" t="s">
        <v>3947</v>
      </c>
      <c r="B1236" s="9" t="s">
        <v>285</v>
      </c>
      <c r="C1236" s="9" t="s">
        <v>1573</v>
      </c>
      <c r="D1236" s="9" t="s">
        <v>3948</v>
      </c>
    </row>
    <row r="1237" ht="15.75" customHeight="1">
      <c r="A1237" s="7" t="s">
        <v>3949</v>
      </c>
      <c r="B1237" s="9" t="s">
        <v>3951</v>
      </c>
      <c r="C1237" s="9" t="s">
        <v>1573</v>
      </c>
      <c r="D1237" s="9" t="s">
        <v>3952</v>
      </c>
    </row>
    <row r="1238" ht="15.75" customHeight="1">
      <c r="A1238" s="7" t="s">
        <v>3953</v>
      </c>
      <c r="B1238" s="9" t="s">
        <v>3954</v>
      </c>
      <c r="C1238" s="9" t="s">
        <v>12</v>
      </c>
      <c r="D1238" s="9" t="s">
        <v>3956</v>
      </c>
    </row>
    <row r="1239" ht="15.75" customHeight="1">
      <c r="A1239" s="7" t="s">
        <v>3957</v>
      </c>
      <c r="B1239" s="9" t="s">
        <v>3958</v>
      </c>
      <c r="C1239" s="9" t="s">
        <v>17</v>
      </c>
      <c r="D1239" s="9" t="s">
        <v>512</v>
      </c>
    </row>
    <row r="1240" ht="15.75" customHeight="1">
      <c r="A1240" s="7" t="s">
        <v>3960</v>
      </c>
      <c r="B1240" s="9" t="s">
        <v>3961</v>
      </c>
      <c r="C1240" s="9" t="s">
        <v>17</v>
      </c>
      <c r="D1240" s="9" t="s">
        <v>3962</v>
      </c>
    </row>
    <row r="1241" ht="15.75" customHeight="1">
      <c r="A1241" s="7" t="s">
        <v>3964</v>
      </c>
      <c r="B1241" s="9" t="s">
        <v>3965</v>
      </c>
      <c r="C1241" s="9" t="s">
        <v>12</v>
      </c>
      <c r="D1241" s="9" t="s">
        <v>3966</v>
      </c>
    </row>
    <row r="1242" ht="15.75" customHeight="1">
      <c r="A1242" s="7" t="s">
        <v>3967</v>
      </c>
      <c r="B1242" s="9" t="s">
        <v>3968</v>
      </c>
      <c r="C1242" s="9" t="s">
        <v>17</v>
      </c>
      <c r="D1242" s="9" t="s">
        <v>3970</v>
      </c>
    </row>
    <row r="1243" ht="15.75" customHeight="1">
      <c r="A1243" s="7" t="s">
        <v>3971</v>
      </c>
      <c r="B1243" s="9" t="s">
        <v>2909</v>
      </c>
      <c r="C1243" s="9" t="s">
        <v>1573</v>
      </c>
      <c r="D1243" s="9" t="s">
        <v>3973</v>
      </c>
    </row>
    <row r="1244" ht="15.75" customHeight="1">
      <c r="A1244" s="7" t="s">
        <v>3974</v>
      </c>
      <c r="B1244" s="9" t="s">
        <v>3976</v>
      </c>
      <c r="C1244" s="9" t="s">
        <v>17</v>
      </c>
      <c r="D1244" s="9" t="s">
        <v>3977</v>
      </c>
    </row>
    <row r="1245" ht="15.75" customHeight="1">
      <c r="A1245" s="7" t="s">
        <v>3979</v>
      </c>
      <c r="B1245" s="9" t="s">
        <v>3980</v>
      </c>
      <c r="C1245" s="9" t="s">
        <v>12</v>
      </c>
      <c r="D1245" s="9" t="s">
        <v>3405</v>
      </c>
    </row>
    <row r="1246" ht="15.75" customHeight="1">
      <c r="A1246" s="7" t="s">
        <v>3982</v>
      </c>
      <c r="B1246" s="9" t="s">
        <v>3842</v>
      </c>
      <c r="C1246" s="9" t="s">
        <v>12</v>
      </c>
      <c r="D1246" s="9" t="s">
        <v>3984</v>
      </c>
    </row>
    <row r="1247" ht="15.75" customHeight="1">
      <c r="A1247" s="7" t="s">
        <v>3985</v>
      </c>
      <c r="B1247" s="9" t="s">
        <v>3986</v>
      </c>
      <c r="C1247" s="9" t="s">
        <v>17</v>
      </c>
      <c r="D1247" s="9" t="s">
        <v>3987</v>
      </c>
    </row>
    <row r="1248" ht="15.75" customHeight="1">
      <c r="A1248" s="7" t="s">
        <v>3989</v>
      </c>
      <c r="B1248" s="9" t="s">
        <v>3990</v>
      </c>
      <c r="C1248" s="9" t="s">
        <v>17</v>
      </c>
      <c r="D1248" s="9" t="s">
        <v>3991</v>
      </c>
    </row>
    <row r="1249" ht="15.75" customHeight="1">
      <c r="A1249" s="7" t="s">
        <v>3993</v>
      </c>
      <c r="B1249" s="9" t="s">
        <v>3994</v>
      </c>
      <c r="C1249" s="9" t="s">
        <v>17</v>
      </c>
      <c r="D1249" s="9" t="s">
        <v>1296</v>
      </c>
    </row>
    <row r="1250" ht="15.75" customHeight="1">
      <c r="A1250" s="7" t="s">
        <v>3996</v>
      </c>
      <c r="B1250" s="9" t="s">
        <v>3997</v>
      </c>
      <c r="C1250" s="9" t="s">
        <v>17</v>
      </c>
      <c r="D1250" s="9" t="s">
        <v>481</v>
      </c>
    </row>
    <row r="1251" ht="15.75" customHeight="1">
      <c r="A1251" s="7" t="s">
        <v>3998</v>
      </c>
      <c r="B1251" s="9" t="s">
        <v>4000</v>
      </c>
      <c r="C1251" s="9" t="s">
        <v>12</v>
      </c>
      <c r="D1251" s="9" t="s">
        <v>4002</v>
      </c>
    </row>
    <row r="1252" ht="15.75" customHeight="1">
      <c r="A1252" s="7" t="s">
        <v>4003</v>
      </c>
      <c r="B1252" s="9" t="s">
        <v>4004</v>
      </c>
      <c r="C1252" s="9" t="s">
        <v>17</v>
      </c>
      <c r="D1252" s="9" t="s">
        <v>4005</v>
      </c>
    </row>
    <row r="1253" ht="15.75" customHeight="1">
      <c r="A1253" s="7" t="s">
        <v>4007</v>
      </c>
      <c r="B1253" s="9" t="s">
        <v>4008</v>
      </c>
      <c r="C1253" s="9" t="s">
        <v>17</v>
      </c>
      <c r="D1253" s="9" t="s">
        <v>1976</v>
      </c>
    </row>
    <row r="1254" ht="15.75" customHeight="1">
      <c r="A1254" s="7" t="s">
        <v>4009</v>
      </c>
      <c r="B1254" s="9" t="s">
        <v>4010</v>
      </c>
      <c r="C1254" s="9" t="s">
        <v>12</v>
      </c>
      <c r="D1254" s="9" t="s">
        <v>4012</v>
      </c>
    </row>
    <row r="1255" ht="15.75" customHeight="1">
      <c r="A1255" s="7" t="s">
        <v>4013</v>
      </c>
      <c r="B1255" s="9" t="s">
        <v>4014</v>
      </c>
      <c r="C1255" s="9" t="s">
        <v>1573</v>
      </c>
      <c r="D1255" s="9" t="s">
        <v>279</v>
      </c>
    </row>
    <row r="1256" ht="15.75" customHeight="1">
      <c r="A1256" s="7" t="s">
        <v>4016</v>
      </c>
      <c r="B1256" s="9" t="s">
        <v>4017</v>
      </c>
      <c r="C1256" s="9" t="s">
        <v>12</v>
      </c>
      <c r="D1256" s="9" t="s">
        <v>4018</v>
      </c>
    </row>
    <row r="1257" ht="15.75" customHeight="1">
      <c r="A1257" s="7" t="s">
        <v>4019</v>
      </c>
      <c r="B1257" s="9" t="s">
        <v>4020</v>
      </c>
      <c r="C1257" s="9" t="s">
        <v>12</v>
      </c>
      <c r="D1257" s="9" t="s">
        <v>4021</v>
      </c>
    </row>
    <row r="1258" ht="15.75" customHeight="1">
      <c r="A1258" s="7" t="s">
        <v>4022</v>
      </c>
      <c r="B1258" s="9" t="s">
        <v>4023</v>
      </c>
      <c r="C1258" s="9" t="s">
        <v>17</v>
      </c>
      <c r="D1258" s="9" t="s">
        <v>509</v>
      </c>
    </row>
    <row r="1259" ht="15.75" customHeight="1">
      <c r="A1259" s="7" t="s">
        <v>4025</v>
      </c>
      <c r="B1259" s="9" t="s">
        <v>4026</v>
      </c>
      <c r="C1259" s="9" t="s">
        <v>12</v>
      </c>
      <c r="D1259" s="9" t="s">
        <v>4027</v>
      </c>
    </row>
    <row r="1260" ht="15.75" customHeight="1">
      <c r="A1260" s="7" t="s">
        <v>4028</v>
      </c>
      <c r="B1260" s="9" t="s">
        <v>4030</v>
      </c>
      <c r="C1260" s="9" t="s">
        <v>17</v>
      </c>
      <c r="D1260" s="9" t="s">
        <v>4031</v>
      </c>
    </row>
    <row r="1261" ht="15.75" customHeight="1">
      <c r="A1261" s="7" t="s">
        <v>4032</v>
      </c>
      <c r="B1261" s="9" t="s">
        <v>3186</v>
      </c>
      <c r="C1261" s="9" t="s">
        <v>17</v>
      </c>
      <c r="D1261" s="9" t="s">
        <v>4034</v>
      </c>
    </row>
    <row r="1262" ht="15.75" customHeight="1">
      <c r="A1262" s="7" t="s">
        <v>4035</v>
      </c>
      <c r="B1262" s="9" t="s">
        <v>4036</v>
      </c>
      <c r="C1262" s="9" t="s">
        <v>17</v>
      </c>
      <c r="D1262" s="9" t="s">
        <v>1286</v>
      </c>
    </row>
    <row r="1263" ht="15.75" customHeight="1">
      <c r="A1263" s="7" t="s">
        <v>4038</v>
      </c>
      <c r="B1263" s="9" t="s">
        <v>4040</v>
      </c>
      <c r="C1263" s="9" t="s">
        <v>12</v>
      </c>
      <c r="D1263" s="9" t="s">
        <v>4041</v>
      </c>
    </row>
    <row r="1264" ht="15.75" customHeight="1">
      <c r="A1264" s="7" t="s">
        <v>4042</v>
      </c>
      <c r="B1264" s="9" t="s">
        <v>4043</v>
      </c>
      <c r="C1264" s="9" t="s">
        <v>12</v>
      </c>
      <c r="D1264" s="9" t="s">
        <v>4045</v>
      </c>
    </row>
    <row r="1265" ht="15.75" customHeight="1">
      <c r="A1265" s="7" t="s">
        <v>4046</v>
      </c>
      <c r="B1265" s="9" t="s">
        <v>4047</v>
      </c>
      <c r="C1265" s="9" t="s">
        <v>17</v>
      </c>
      <c r="D1265" s="9" t="s">
        <v>4048</v>
      </c>
    </row>
    <row r="1266" ht="15.75" customHeight="1">
      <c r="A1266" s="7" t="s">
        <v>4050</v>
      </c>
      <c r="B1266" s="9" t="s">
        <v>4051</v>
      </c>
      <c r="C1266" s="9" t="s">
        <v>17</v>
      </c>
      <c r="D1266" s="9" t="s">
        <v>4052</v>
      </c>
    </row>
    <row r="1267" ht="15.75" customHeight="1">
      <c r="A1267" s="7" t="s">
        <v>4055</v>
      </c>
      <c r="B1267" s="9" t="s">
        <v>4056</v>
      </c>
      <c r="C1267" s="9" t="s">
        <v>17</v>
      </c>
      <c r="D1267" s="9" t="s">
        <v>674</v>
      </c>
    </row>
    <row r="1268" ht="15.75" customHeight="1">
      <c r="A1268" s="7" t="s">
        <v>4057</v>
      </c>
      <c r="B1268" s="9" t="s">
        <v>4058</v>
      </c>
      <c r="C1268" s="9" t="s">
        <v>17</v>
      </c>
      <c r="D1268" s="9" t="s">
        <v>4060</v>
      </c>
    </row>
    <row r="1269" ht="15.75" customHeight="1">
      <c r="A1269" s="7" t="s">
        <v>4061</v>
      </c>
      <c r="B1269" s="9" t="s">
        <v>4062</v>
      </c>
      <c r="C1269" s="9" t="s">
        <v>12</v>
      </c>
      <c r="D1269" s="9" t="s">
        <v>4063</v>
      </c>
    </row>
    <row r="1270" ht="15.75" customHeight="1">
      <c r="A1270" s="7" t="s">
        <v>4065</v>
      </c>
      <c r="B1270" s="9" t="s">
        <v>4066</v>
      </c>
      <c r="C1270" s="9" t="s">
        <v>12</v>
      </c>
      <c r="D1270" s="9" t="s">
        <v>4041</v>
      </c>
    </row>
    <row r="1271" ht="15.75" customHeight="1">
      <c r="A1271" s="7" t="s">
        <v>4067</v>
      </c>
      <c r="B1271" s="9" t="s">
        <v>622</v>
      </c>
      <c r="C1271" s="9" t="s">
        <v>12</v>
      </c>
      <c r="D1271" s="9" t="s">
        <v>4068</v>
      </c>
    </row>
    <row r="1272" ht="15.75" customHeight="1">
      <c r="A1272" s="7" t="s">
        <v>4070</v>
      </c>
      <c r="B1272" s="9" t="s">
        <v>477</v>
      </c>
      <c r="C1272" s="9" t="s">
        <v>17</v>
      </c>
      <c r="D1272" s="9" t="s">
        <v>4071</v>
      </c>
    </row>
    <row r="1273" ht="15.75" customHeight="1">
      <c r="A1273" s="7" t="s">
        <v>4072</v>
      </c>
      <c r="B1273" s="9" t="s">
        <v>4073</v>
      </c>
      <c r="C1273" s="9" t="s">
        <v>17</v>
      </c>
      <c r="D1273" s="9" t="s">
        <v>4075</v>
      </c>
    </row>
    <row r="1274" ht="15.75" customHeight="1">
      <c r="A1274" s="7" t="s">
        <v>4076</v>
      </c>
      <c r="B1274" s="9" t="s">
        <v>4077</v>
      </c>
      <c r="C1274" s="9" t="s">
        <v>17</v>
      </c>
      <c r="D1274" s="9" t="s">
        <v>4078</v>
      </c>
    </row>
    <row r="1275" ht="15.75" customHeight="1">
      <c r="A1275" s="7" t="s">
        <v>4079</v>
      </c>
      <c r="B1275" s="9" t="s">
        <v>4080</v>
      </c>
      <c r="C1275" s="9" t="s">
        <v>17</v>
      </c>
      <c r="D1275" s="9" t="s">
        <v>4081</v>
      </c>
    </row>
    <row r="1276" ht="15.75" customHeight="1">
      <c r="A1276" s="7" t="s">
        <v>4082</v>
      </c>
      <c r="B1276" s="9" t="s">
        <v>4083</v>
      </c>
      <c r="C1276" s="9" t="s">
        <v>17</v>
      </c>
      <c r="D1276" s="9" t="s">
        <v>111</v>
      </c>
    </row>
    <row r="1277" ht="15.75" customHeight="1">
      <c r="A1277" s="7" t="s">
        <v>4084</v>
      </c>
      <c r="B1277" s="9" t="s">
        <v>3126</v>
      </c>
      <c r="C1277" s="9" t="s">
        <v>17</v>
      </c>
      <c r="D1277" s="9" t="s">
        <v>4085</v>
      </c>
    </row>
    <row r="1278" ht="15.75" customHeight="1">
      <c r="A1278" s="7" t="s">
        <v>4086</v>
      </c>
      <c r="B1278" s="9" t="s">
        <v>4087</v>
      </c>
      <c r="C1278" s="9" t="s">
        <v>12</v>
      </c>
      <c r="D1278" s="9" t="s">
        <v>4088</v>
      </c>
    </row>
    <row r="1279" ht="15.75" customHeight="1">
      <c r="A1279" s="7" t="s">
        <v>4090</v>
      </c>
      <c r="B1279" s="9" t="s">
        <v>4091</v>
      </c>
      <c r="C1279" s="9" t="s">
        <v>12</v>
      </c>
      <c r="D1279" s="9" t="s">
        <v>4092</v>
      </c>
    </row>
    <row r="1280" ht="15.75" customHeight="1">
      <c r="A1280" s="7" t="s">
        <v>4094</v>
      </c>
      <c r="B1280" s="9" t="s">
        <v>4096</v>
      </c>
      <c r="C1280" s="9" t="s">
        <v>12</v>
      </c>
      <c r="D1280" s="9" t="s">
        <v>3474</v>
      </c>
    </row>
    <row r="1281" ht="15.75" customHeight="1">
      <c r="A1281" s="7" t="s">
        <v>4097</v>
      </c>
      <c r="B1281" s="9" t="s">
        <v>4099</v>
      </c>
      <c r="C1281" s="9" t="s">
        <v>17</v>
      </c>
      <c r="D1281" s="9" t="s">
        <v>4100</v>
      </c>
    </row>
    <row r="1282" ht="15.75" customHeight="1">
      <c r="A1282" s="7" t="s">
        <v>4101</v>
      </c>
      <c r="B1282" s="9" t="s">
        <v>4102</v>
      </c>
      <c r="C1282" s="9" t="s">
        <v>17</v>
      </c>
      <c r="D1282" s="9" t="s">
        <v>506</v>
      </c>
    </row>
    <row r="1283" ht="15.75" customHeight="1">
      <c r="A1283" s="7" t="s">
        <v>4104</v>
      </c>
      <c r="B1283" s="9" t="s">
        <v>4105</v>
      </c>
      <c r="C1283" s="9" t="s">
        <v>12</v>
      </c>
      <c r="D1283" s="9" t="s">
        <v>4106</v>
      </c>
    </row>
    <row r="1284" ht="15.75" customHeight="1">
      <c r="A1284" s="7" t="s">
        <v>4107</v>
      </c>
      <c r="B1284" s="9" t="s">
        <v>791</v>
      </c>
      <c r="C1284" s="9" t="s">
        <v>17</v>
      </c>
      <c r="D1284" s="9" t="s">
        <v>729</v>
      </c>
    </row>
    <row r="1285" ht="15.75" customHeight="1">
      <c r="A1285" s="7" t="s">
        <v>4109</v>
      </c>
      <c r="B1285" s="9" t="s">
        <v>4110</v>
      </c>
      <c r="C1285" s="9" t="s">
        <v>12</v>
      </c>
      <c r="D1285" s="9" t="s">
        <v>4111</v>
      </c>
    </row>
    <row r="1286" ht="15.75" customHeight="1">
      <c r="A1286" s="7" t="s">
        <v>4113</v>
      </c>
      <c r="B1286" s="9" t="s">
        <v>4114</v>
      </c>
      <c r="C1286" s="9" t="s">
        <v>12</v>
      </c>
      <c r="D1286" s="9" t="s">
        <v>4115</v>
      </c>
    </row>
    <row r="1287" ht="15.75" customHeight="1">
      <c r="A1287" s="7" t="s">
        <v>4116</v>
      </c>
      <c r="B1287" s="9" t="s">
        <v>4117</v>
      </c>
      <c r="C1287" s="9" t="s">
        <v>12</v>
      </c>
      <c r="D1287" s="9" t="s">
        <v>4119</v>
      </c>
    </row>
    <row r="1288" ht="15.75" customHeight="1">
      <c r="A1288" s="7" t="s">
        <v>4120</v>
      </c>
      <c r="B1288" s="9" t="s">
        <v>63</v>
      </c>
      <c r="C1288" s="9" t="s">
        <v>12</v>
      </c>
      <c r="D1288" s="9" t="s">
        <v>4121</v>
      </c>
    </row>
    <row r="1289" ht="15.75" customHeight="1">
      <c r="A1289" s="7" t="s">
        <v>4122</v>
      </c>
      <c r="B1289" s="9" t="s">
        <v>4123</v>
      </c>
      <c r="C1289" s="9" t="s">
        <v>12</v>
      </c>
      <c r="D1289" s="9" t="s">
        <v>623</v>
      </c>
    </row>
    <row r="1290" ht="15.75" customHeight="1">
      <c r="A1290" s="7" t="s">
        <v>4125</v>
      </c>
      <c r="B1290" s="9" t="s">
        <v>4126</v>
      </c>
      <c r="C1290" s="9" t="s">
        <v>12</v>
      </c>
      <c r="D1290" s="9" t="s">
        <v>4127</v>
      </c>
    </row>
    <row r="1291" ht="15.75" customHeight="1">
      <c r="A1291" s="7" t="s">
        <v>4128</v>
      </c>
      <c r="B1291" s="9" t="s">
        <v>4130</v>
      </c>
      <c r="C1291" s="9" t="s">
        <v>12</v>
      </c>
      <c r="D1291" s="9" t="s">
        <v>4131</v>
      </c>
    </row>
    <row r="1292" ht="15.75" customHeight="1">
      <c r="A1292" s="7" t="s">
        <v>4132</v>
      </c>
      <c r="B1292" s="9" t="s">
        <v>4133</v>
      </c>
      <c r="C1292" s="9" t="s">
        <v>12</v>
      </c>
      <c r="D1292" s="9" t="s">
        <v>208</v>
      </c>
    </row>
    <row r="1293" ht="15.75" customHeight="1">
      <c r="A1293" s="7" t="s">
        <v>4134</v>
      </c>
      <c r="B1293" s="9" t="s">
        <v>4136</v>
      </c>
      <c r="C1293" s="9" t="s">
        <v>12</v>
      </c>
      <c r="D1293" s="9" t="s">
        <v>3474</v>
      </c>
    </row>
    <row r="1294" ht="15.75" customHeight="1">
      <c r="A1294" s="7" t="s">
        <v>4137</v>
      </c>
      <c r="B1294" s="9" t="s">
        <v>4138</v>
      </c>
      <c r="C1294" s="9" t="s">
        <v>12</v>
      </c>
      <c r="D1294" s="9" t="s">
        <v>4139</v>
      </c>
    </row>
    <row r="1295" ht="15.75" customHeight="1">
      <c r="A1295" s="7" t="s">
        <v>4141</v>
      </c>
      <c r="B1295" s="9" t="s">
        <v>4142</v>
      </c>
      <c r="C1295" s="9" t="s">
        <v>12</v>
      </c>
      <c r="D1295" s="9" t="s">
        <v>4143</v>
      </c>
    </row>
    <row r="1296" ht="15.75" customHeight="1">
      <c r="A1296" s="7" t="s">
        <v>4144</v>
      </c>
      <c r="B1296" s="9" t="s">
        <v>4145</v>
      </c>
      <c r="C1296" s="9" t="s">
        <v>17</v>
      </c>
      <c r="D1296" s="9" t="s">
        <v>4147</v>
      </c>
    </row>
    <row r="1297" ht="15.75" customHeight="1">
      <c r="A1297" s="7" t="s">
        <v>4148</v>
      </c>
      <c r="B1297" s="9" t="s">
        <v>4149</v>
      </c>
      <c r="C1297" s="9" t="s">
        <v>12</v>
      </c>
      <c r="D1297" s="9" t="s">
        <v>4150</v>
      </c>
    </row>
    <row r="1298" ht="15.75" customHeight="1">
      <c r="A1298" s="7" t="s">
        <v>4151</v>
      </c>
      <c r="B1298" s="9" t="s">
        <v>4152</v>
      </c>
      <c r="C1298" s="9" t="s">
        <v>17</v>
      </c>
      <c r="D1298" s="9" t="s">
        <v>4154</v>
      </c>
    </row>
    <row r="1299" ht="15.75" customHeight="1">
      <c r="A1299" s="7" t="s">
        <v>4155</v>
      </c>
      <c r="B1299" s="9" t="s">
        <v>2040</v>
      </c>
      <c r="C1299" s="9" t="s">
        <v>1573</v>
      </c>
      <c r="D1299" s="9" t="s">
        <v>4157</v>
      </c>
    </row>
    <row r="1300" ht="15.75" customHeight="1">
      <c r="A1300" s="7" t="s">
        <v>4158</v>
      </c>
      <c r="B1300" s="9" t="s">
        <v>3473</v>
      </c>
      <c r="C1300" s="9" t="s">
        <v>12</v>
      </c>
      <c r="D1300" s="9" t="s">
        <v>4159</v>
      </c>
    </row>
    <row r="1301" ht="15.75" customHeight="1">
      <c r="A1301" s="7" t="s">
        <v>4161</v>
      </c>
      <c r="B1301" s="9" t="s">
        <v>4162</v>
      </c>
      <c r="C1301" s="9" t="s">
        <v>17</v>
      </c>
      <c r="D1301" s="9" t="s">
        <v>155</v>
      </c>
    </row>
    <row r="1302" ht="15.75" customHeight="1">
      <c r="A1302" s="7" t="s">
        <v>4163</v>
      </c>
      <c r="B1302" s="9" t="s">
        <v>4164</v>
      </c>
      <c r="C1302" s="9" t="s">
        <v>17</v>
      </c>
      <c r="D1302" s="9" t="s">
        <v>4166</v>
      </c>
    </row>
    <row r="1303" ht="15.75" customHeight="1">
      <c r="A1303" s="7" t="s">
        <v>4167</v>
      </c>
      <c r="B1303" s="9" t="s">
        <v>4168</v>
      </c>
      <c r="C1303" s="9" t="s">
        <v>17</v>
      </c>
      <c r="D1303" s="9" t="s">
        <v>4169</v>
      </c>
    </row>
    <row r="1304" ht="15.75" customHeight="1">
      <c r="A1304" s="7" t="s">
        <v>4170</v>
      </c>
      <c r="B1304" s="9" t="s">
        <v>4171</v>
      </c>
      <c r="C1304" s="9" t="s">
        <v>17</v>
      </c>
      <c r="D1304" s="9" t="s">
        <v>4172</v>
      </c>
    </row>
    <row r="1305" ht="15.75" customHeight="1">
      <c r="A1305" s="7" t="s">
        <v>4174</v>
      </c>
      <c r="B1305" s="9" t="s">
        <v>4175</v>
      </c>
      <c r="C1305" s="9" t="s">
        <v>17</v>
      </c>
      <c r="D1305" s="9" t="s">
        <v>729</v>
      </c>
    </row>
    <row r="1306" ht="15.75" customHeight="1">
      <c r="A1306" s="7" t="s">
        <v>4176</v>
      </c>
      <c r="B1306" s="9" t="s">
        <v>4177</v>
      </c>
      <c r="C1306" s="9" t="s">
        <v>17</v>
      </c>
      <c r="D1306" s="9" t="s">
        <v>1335</v>
      </c>
    </row>
    <row r="1307" ht="15.75" customHeight="1">
      <c r="A1307" s="7" t="s">
        <v>4178</v>
      </c>
      <c r="B1307" s="9" t="s">
        <v>4179</v>
      </c>
      <c r="C1307" s="9" t="s">
        <v>17</v>
      </c>
      <c r="D1307" s="9" t="s">
        <v>4181</v>
      </c>
    </row>
    <row r="1308" ht="15.75" customHeight="1">
      <c r="A1308" s="7" t="s">
        <v>4182</v>
      </c>
      <c r="B1308" s="9" t="s">
        <v>4183</v>
      </c>
      <c r="C1308" s="9" t="s">
        <v>17</v>
      </c>
      <c r="D1308" s="9" t="s">
        <v>4184</v>
      </c>
    </row>
    <row r="1309" ht="15.75" customHeight="1">
      <c r="A1309" s="7" t="s">
        <v>4186</v>
      </c>
      <c r="B1309" s="9" t="s">
        <v>4187</v>
      </c>
      <c r="C1309" s="9" t="s">
        <v>17</v>
      </c>
      <c r="D1309" s="9" t="s">
        <v>2774</v>
      </c>
    </row>
    <row r="1310" ht="15.75" customHeight="1">
      <c r="A1310" s="7" t="s">
        <v>4188</v>
      </c>
      <c r="B1310" s="9" t="s">
        <v>1037</v>
      </c>
      <c r="C1310" s="9" t="s">
        <v>17</v>
      </c>
      <c r="D1310" s="9" t="s">
        <v>4189</v>
      </c>
    </row>
    <row r="1311" ht="15.75" customHeight="1">
      <c r="A1311" s="7" t="s">
        <v>4190</v>
      </c>
      <c r="B1311" s="9" t="s">
        <v>4192</v>
      </c>
      <c r="C1311" s="9" t="s">
        <v>17</v>
      </c>
      <c r="D1311" s="9" t="s">
        <v>4193</v>
      </c>
    </row>
    <row r="1312" ht="15.75" customHeight="1">
      <c r="A1312" s="7" t="s">
        <v>4194</v>
      </c>
      <c r="B1312" s="9" t="s">
        <v>4195</v>
      </c>
      <c r="C1312" s="9" t="s">
        <v>17</v>
      </c>
      <c r="D1312" s="9" t="s">
        <v>4196</v>
      </c>
    </row>
    <row r="1313" ht="15.75" customHeight="1">
      <c r="A1313" s="7" t="s">
        <v>4197</v>
      </c>
      <c r="B1313" s="9" t="s">
        <v>4198</v>
      </c>
      <c r="C1313" s="9" t="s">
        <v>17</v>
      </c>
      <c r="D1313" s="9" t="s">
        <v>1286</v>
      </c>
    </row>
    <row r="1314" ht="15.75" customHeight="1">
      <c r="A1314" s="7" t="s">
        <v>4200</v>
      </c>
      <c r="B1314" s="9" t="s">
        <v>4201</v>
      </c>
      <c r="C1314" s="9" t="s">
        <v>12</v>
      </c>
      <c r="D1314" s="9" t="s">
        <v>4202</v>
      </c>
    </row>
    <row r="1315" ht="15.75" customHeight="1">
      <c r="A1315" s="7" t="s">
        <v>4203</v>
      </c>
      <c r="B1315" s="9" t="s">
        <v>4204</v>
      </c>
      <c r="C1315" s="9" t="s">
        <v>12</v>
      </c>
      <c r="D1315" s="9" t="s">
        <v>863</v>
      </c>
    </row>
    <row r="1316" ht="15.75" customHeight="1">
      <c r="A1316" s="7" t="s">
        <v>4205</v>
      </c>
      <c r="B1316" s="9" t="s">
        <v>4207</v>
      </c>
      <c r="C1316" s="9" t="s">
        <v>17</v>
      </c>
      <c r="D1316" s="9" t="s">
        <v>4208</v>
      </c>
    </row>
    <row r="1317" ht="15.75" customHeight="1">
      <c r="A1317" s="7" t="s">
        <v>4209</v>
      </c>
      <c r="B1317" s="9" t="s">
        <v>4211</v>
      </c>
      <c r="C1317" s="9" t="s">
        <v>12</v>
      </c>
      <c r="D1317" s="9" t="s">
        <v>1587</v>
      </c>
    </row>
    <row r="1318" ht="15.75" customHeight="1">
      <c r="A1318" s="7" t="s">
        <v>4212</v>
      </c>
      <c r="B1318" s="9" t="s">
        <v>4213</v>
      </c>
      <c r="C1318" s="9" t="s">
        <v>12</v>
      </c>
      <c r="D1318" s="9" t="s">
        <v>4214</v>
      </c>
    </row>
    <row r="1319" ht="15.75" customHeight="1">
      <c r="A1319" s="7" t="s">
        <v>4216</v>
      </c>
      <c r="B1319" s="9" t="s">
        <v>4217</v>
      </c>
      <c r="C1319" s="9" t="s">
        <v>12</v>
      </c>
      <c r="D1319" s="9" t="s">
        <v>4218</v>
      </c>
    </row>
    <row r="1320" ht="15.75" customHeight="1">
      <c r="A1320" s="7" t="s">
        <v>4219</v>
      </c>
      <c r="B1320" s="9" t="s">
        <v>4220</v>
      </c>
      <c r="C1320" s="9" t="s">
        <v>17</v>
      </c>
      <c r="D1320" s="9" t="s">
        <v>4222</v>
      </c>
    </row>
    <row r="1321" ht="15.75" customHeight="1">
      <c r="A1321" s="7" t="s">
        <v>4223</v>
      </c>
      <c r="B1321" s="9" t="s">
        <v>4224</v>
      </c>
      <c r="C1321" s="9" t="s">
        <v>12</v>
      </c>
      <c r="D1321" s="9" t="s">
        <v>26</v>
      </c>
    </row>
    <row r="1322" ht="15.75" customHeight="1">
      <c r="A1322" s="7" t="s">
        <v>4226</v>
      </c>
      <c r="B1322" s="9" t="s">
        <v>4227</v>
      </c>
      <c r="C1322" s="9" t="s">
        <v>17</v>
      </c>
      <c r="D1322" s="9" t="s">
        <v>4229</v>
      </c>
    </row>
    <row r="1323" ht="15.75" customHeight="1">
      <c r="A1323" s="7" t="s">
        <v>4230</v>
      </c>
      <c r="B1323" s="9" t="s">
        <v>4231</v>
      </c>
      <c r="C1323" s="9" t="s">
        <v>12</v>
      </c>
      <c r="D1323" s="9" t="s">
        <v>4232</v>
      </c>
    </row>
    <row r="1324" ht="15.75" customHeight="1">
      <c r="A1324" s="7" t="s">
        <v>4234</v>
      </c>
      <c r="B1324" s="9" t="s">
        <v>4235</v>
      </c>
      <c r="C1324" s="9" t="s">
        <v>12</v>
      </c>
      <c r="D1324" s="9" t="s">
        <v>4236</v>
      </c>
    </row>
    <row r="1325" ht="15.75" customHeight="1">
      <c r="A1325" s="7" t="s">
        <v>4237</v>
      </c>
      <c r="B1325" s="9" t="s">
        <v>4238</v>
      </c>
      <c r="C1325" s="9" t="s">
        <v>12</v>
      </c>
      <c r="D1325" s="9" t="s">
        <v>4239</v>
      </c>
    </row>
    <row r="1326" ht="15.75" customHeight="1">
      <c r="A1326" s="7" t="s">
        <v>4241</v>
      </c>
      <c r="B1326" s="9" t="s">
        <v>4242</v>
      </c>
      <c r="C1326" s="9" t="s">
        <v>12</v>
      </c>
      <c r="D1326" s="9" t="s">
        <v>233</v>
      </c>
    </row>
    <row r="1327" ht="15.75" customHeight="1">
      <c r="A1327" s="7" t="s">
        <v>4243</v>
      </c>
      <c r="B1327" s="9" t="s">
        <v>4244</v>
      </c>
      <c r="C1327" s="9" t="s">
        <v>12</v>
      </c>
      <c r="D1327" s="9" t="s">
        <v>4245</v>
      </c>
    </row>
    <row r="1328" ht="15.75" customHeight="1">
      <c r="A1328" s="7" t="s">
        <v>4247</v>
      </c>
      <c r="B1328" s="9" t="s">
        <v>4248</v>
      </c>
      <c r="C1328" s="9" t="s">
        <v>12</v>
      </c>
      <c r="D1328" s="9" t="s">
        <v>1577</v>
      </c>
    </row>
    <row r="1329" ht="15.75" customHeight="1">
      <c r="A1329" s="7" t="s">
        <v>4249</v>
      </c>
      <c r="B1329" s="9" t="s">
        <v>4250</v>
      </c>
      <c r="C1329" s="9" t="s">
        <v>17</v>
      </c>
      <c r="D1329" s="9" t="s">
        <v>4251</v>
      </c>
    </row>
    <row r="1330" ht="15.75" customHeight="1">
      <c r="A1330" s="7" t="s">
        <v>4252</v>
      </c>
      <c r="B1330" s="9" t="s">
        <v>4254</v>
      </c>
      <c r="C1330" s="9" t="s">
        <v>1573</v>
      </c>
      <c r="D1330" s="9" t="s">
        <v>4255</v>
      </c>
    </row>
    <row r="1331" ht="15.75" customHeight="1">
      <c r="A1331" s="7" t="s">
        <v>4256</v>
      </c>
      <c r="B1331" s="9" t="s">
        <v>4257</v>
      </c>
      <c r="C1331" s="9" t="s">
        <v>17</v>
      </c>
      <c r="D1331" s="9" t="s">
        <v>753</v>
      </c>
    </row>
    <row r="1332" ht="15.75" customHeight="1">
      <c r="A1332" s="7" t="s">
        <v>4259</v>
      </c>
      <c r="B1332" s="9" t="s">
        <v>4260</v>
      </c>
      <c r="C1332" s="9" t="s">
        <v>12</v>
      </c>
      <c r="D1332" s="9" t="s">
        <v>1602</v>
      </c>
    </row>
    <row r="1333" ht="15.75" customHeight="1">
      <c r="A1333" s="7" t="s">
        <v>4261</v>
      </c>
      <c r="B1333" s="9" t="s">
        <v>4262</v>
      </c>
      <c r="C1333" s="9" t="s">
        <v>17</v>
      </c>
      <c r="D1333" s="9" t="s">
        <v>4263</v>
      </c>
    </row>
    <row r="1334" ht="15.75" customHeight="1">
      <c r="A1334" s="7" t="s">
        <v>4265</v>
      </c>
      <c r="B1334" s="9" t="s">
        <v>4266</v>
      </c>
      <c r="C1334" s="9" t="s">
        <v>1573</v>
      </c>
      <c r="D1334" s="9" t="s">
        <v>4267</v>
      </c>
    </row>
    <row r="1335" ht="15.75" customHeight="1">
      <c r="A1335" s="7" t="s">
        <v>4268</v>
      </c>
      <c r="B1335" s="9" t="s">
        <v>4269</v>
      </c>
      <c r="C1335" s="9" t="s">
        <v>17</v>
      </c>
      <c r="D1335" s="9" t="s">
        <v>4270</v>
      </c>
    </row>
    <row r="1336" ht="15.75" customHeight="1">
      <c r="A1336" s="7" t="s">
        <v>4271</v>
      </c>
      <c r="B1336" s="9" t="s">
        <v>4273</v>
      </c>
      <c r="C1336" s="9" t="s">
        <v>17</v>
      </c>
      <c r="D1336" s="9" t="s">
        <v>4274</v>
      </c>
    </row>
    <row r="1337" ht="15.75" customHeight="1">
      <c r="A1337" s="7" t="s">
        <v>4275</v>
      </c>
      <c r="B1337" s="9" t="s">
        <v>33</v>
      </c>
      <c r="C1337" s="9" t="s">
        <v>17</v>
      </c>
      <c r="D1337" s="9" t="s">
        <v>4276</v>
      </c>
    </row>
    <row r="1338" ht="15.75" customHeight="1">
      <c r="A1338" s="7" t="s">
        <v>4278</v>
      </c>
      <c r="B1338" s="9" t="s">
        <v>4279</v>
      </c>
      <c r="C1338" s="9" t="s">
        <v>17</v>
      </c>
      <c r="D1338" s="9" t="s">
        <v>4280</v>
      </c>
    </row>
    <row r="1339" ht="15.75" customHeight="1">
      <c r="A1339" s="7" t="s">
        <v>4281</v>
      </c>
      <c r="B1339" s="9" t="s">
        <v>239</v>
      </c>
      <c r="C1339" s="9" t="s">
        <v>1573</v>
      </c>
      <c r="D1339" s="9" t="s">
        <v>1884</v>
      </c>
    </row>
    <row r="1340" ht="15.75" customHeight="1">
      <c r="A1340" s="7" t="s">
        <v>4283</v>
      </c>
      <c r="B1340" s="9" t="s">
        <v>4284</v>
      </c>
      <c r="C1340" s="9" t="s">
        <v>17</v>
      </c>
      <c r="D1340" s="9" t="s">
        <v>512</v>
      </c>
    </row>
    <row r="1341" ht="15.75" customHeight="1">
      <c r="A1341" s="7" t="s">
        <v>4286</v>
      </c>
      <c r="B1341" s="9" t="s">
        <v>4287</v>
      </c>
      <c r="C1341" s="9" t="s">
        <v>17</v>
      </c>
      <c r="D1341" s="9" t="s">
        <v>4288</v>
      </c>
    </row>
    <row r="1342" ht="15.75" customHeight="1">
      <c r="A1342" s="7" t="s">
        <v>4290</v>
      </c>
      <c r="B1342" s="9" t="s">
        <v>4291</v>
      </c>
      <c r="C1342" s="9" t="s">
        <v>1573</v>
      </c>
      <c r="D1342" s="9" t="s">
        <v>4292</v>
      </c>
    </row>
    <row r="1343" ht="15.75" customHeight="1">
      <c r="A1343" s="7" t="s">
        <v>4293</v>
      </c>
      <c r="B1343" s="9" t="s">
        <v>4295</v>
      </c>
      <c r="C1343" s="9" t="s">
        <v>12</v>
      </c>
      <c r="D1343" s="9" t="s">
        <v>4296</v>
      </c>
    </row>
    <row r="1344" ht="15.75" customHeight="1">
      <c r="A1344" s="7" t="s">
        <v>4298</v>
      </c>
      <c r="B1344" s="9" t="s">
        <v>4299</v>
      </c>
      <c r="C1344" s="9" t="s">
        <v>1573</v>
      </c>
      <c r="D1344" s="9" t="s">
        <v>4300</v>
      </c>
    </row>
    <row r="1345" ht="15.75" customHeight="1">
      <c r="A1345" s="7" t="s">
        <v>4302</v>
      </c>
      <c r="B1345" s="9" t="s">
        <v>4303</v>
      </c>
      <c r="C1345" s="9" t="s">
        <v>12</v>
      </c>
      <c r="D1345" s="9" t="s">
        <v>1370</v>
      </c>
    </row>
    <row r="1346" ht="15.75" customHeight="1">
      <c r="A1346" s="7" t="s">
        <v>4304</v>
      </c>
      <c r="B1346" s="9" t="s">
        <v>4305</v>
      </c>
      <c r="C1346" s="9" t="s">
        <v>17</v>
      </c>
      <c r="D1346" s="9" t="s">
        <v>342</v>
      </c>
    </row>
    <row r="1347" ht="15.75" customHeight="1">
      <c r="A1347" s="7" t="s">
        <v>4307</v>
      </c>
      <c r="B1347" s="9" t="s">
        <v>4308</v>
      </c>
      <c r="C1347" s="9" t="s">
        <v>12</v>
      </c>
      <c r="D1347" s="9" t="s">
        <v>4309</v>
      </c>
    </row>
    <row r="1348" ht="15.75" customHeight="1">
      <c r="A1348" s="7" t="s">
        <v>4311</v>
      </c>
      <c r="B1348" s="9" t="s">
        <v>4312</v>
      </c>
      <c r="C1348" s="9" t="s">
        <v>17</v>
      </c>
      <c r="D1348" s="9" t="s">
        <v>599</v>
      </c>
    </row>
    <row r="1349" ht="15.75" customHeight="1">
      <c r="A1349" s="7" t="s">
        <v>4313</v>
      </c>
      <c r="B1349" s="9" t="s">
        <v>4314</v>
      </c>
      <c r="C1349" s="9" t="s">
        <v>12</v>
      </c>
      <c r="D1349" s="9" t="s">
        <v>4316</v>
      </c>
    </row>
    <row r="1350" ht="15.75" customHeight="1">
      <c r="A1350" s="7" t="s">
        <v>4317</v>
      </c>
      <c r="B1350" s="9" t="s">
        <v>4318</v>
      </c>
      <c r="C1350" s="9" t="s">
        <v>1573</v>
      </c>
      <c r="D1350" s="9" t="s">
        <v>1374</v>
      </c>
    </row>
    <row r="1351" ht="15.75" customHeight="1">
      <c r="A1351" s="7" t="s">
        <v>4319</v>
      </c>
      <c r="B1351" s="9" t="s">
        <v>4321</v>
      </c>
      <c r="C1351" s="9" t="s">
        <v>17</v>
      </c>
      <c r="D1351" s="9" t="s">
        <v>4322</v>
      </c>
    </row>
    <row r="1352" ht="15.75" customHeight="1">
      <c r="A1352" s="7" t="s">
        <v>4323</v>
      </c>
      <c r="B1352" s="9" t="s">
        <v>974</v>
      </c>
      <c r="C1352" s="9" t="s">
        <v>12</v>
      </c>
      <c r="D1352" s="9" t="s">
        <v>4324</v>
      </c>
    </row>
    <row r="1353" ht="15.75" customHeight="1">
      <c r="A1353" s="7" t="s">
        <v>4326</v>
      </c>
      <c r="B1353" s="9" t="s">
        <v>4327</v>
      </c>
      <c r="C1353" s="9" t="s">
        <v>17</v>
      </c>
      <c r="D1353" s="9" t="s">
        <v>1252</v>
      </c>
    </row>
    <row r="1354" ht="15.75" customHeight="1">
      <c r="A1354" s="7" t="s">
        <v>4328</v>
      </c>
      <c r="B1354" s="9" t="s">
        <v>4329</v>
      </c>
      <c r="C1354" s="9" t="s">
        <v>12</v>
      </c>
      <c r="D1354" s="9" t="s">
        <v>4331</v>
      </c>
    </row>
    <row r="1355" ht="15.75" customHeight="1">
      <c r="A1355" s="7" t="s">
        <v>4332</v>
      </c>
      <c r="B1355" s="9" t="s">
        <v>1122</v>
      </c>
      <c r="C1355" s="9" t="s">
        <v>12</v>
      </c>
      <c r="D1355" s="9" t="s">
        <v>4333</v>
      </c>
    </row>
    <row r="1356" ht="15.75" customHeight="1">
      <c r="A1356" s="7" t="s">
        <v>4335</v>
      </c>
      <c r="B1356" s="9" t="s">
        <v>3756</v>
      </c>
      <c r="C1356" s="9" t="s">
        <v>12</v>
      </c>
      <c r="D1356" s="9" t="s">
        <v>4336</v>
      </c>
    </row>
    <row r="1357" ht="15.75" customHeight="1">
      <c r="A1357" s="7" t="s">
        <v>4338</v>
      </c>
      <c r="B1357" s="9" t="s">
        <v>4339</v>
      </c>
      <c r="C1357" s="9" t="s">
        <v>12</v>
      </c>
      <c r="D1357" s="9" t="s">
        <v>4340</v>
      </c>
    </row>
    <row r="1358" ht="15.75" customHeight="1">
      <c r="A1358" s="7" t="s">
        <v>4342</v>
      </c>
      <c r="B1358" s="9" t="s">
        <v>4343</v>
      </c>
      <c r="C1358" s="9" t="s">
        <v>12</v>
      </c>
      <c r="D1358" s="9" t="s">
        <v>4344</v>
      </c>
    </row>
    <row r="1359" ht="15.75" customHeight="1">
      <c r="A1359" s="7" t="s">
        <v>4346</v>
      </c>
      <c r="B1359" s="9" t="s">
        <v>4347</v>
      </c>
      <c r="C1359" s="9" t="s">
        <v>17</v>
      </c>
      <c r="D1359" s="9" t="s">
        <v>1943</v>
      </c>
    </row>
    <row r="1360" ht="15.75" customHeight="1">
      <c r="A1360" s="7" t="s">
        <v>4348</v>
      </c>
      <c r="B1360" s="9" t="s">
        <v>4350</v>
      </c>
      <c r="C1360" s="9" t="s">
        <v>12</v>
      </c>
      <c r="D1360" s="9" t="s">
        <v>4351</v>
      </c>
    </row>
    <row r="1361" ht="15.75" customHeight="1">
      <c r="A1361" s="7" t="s">
        <v>4352</v>
      </c>
      <c r="B1361" s="9" t="s">
        <v>444</v>
      </c>
      <c r="C1361" s="9" t="s">
        <v>12</v>
      </c>
      <c r="D1361" s="9" t="s">
        <v>4354</v>
      </c>
    </row>
    <row r="1362" ht="15.75" customHeight="1">
      <c r="A1362" s="7" t="s">
        <v>4355</v>
      </c>
      <c r="B1362" s="9" t="s">
        <v>4356</v>
      </c>
      <c r="C1362" s="9" t="s">
        <v>17</v>
      </c>
      <c r="D1362" s="9" t="s">
        <v>4357</v>
      </c>
    </row>
    <row r="1363" ht="15.75" customHeight="1">
      <c r="A1363" s="7" t="s">
        <v>4359</v>
      </c>
      <c r="B1363" s="9" t="s">
        <v>4360</v>
      </c>
      <c r="C1363" s="9" t="s">
        <v>17</v>
      </c>
      <c r="D1363" s="9" t="s">
        <v>4361</v>
      </c>
    </row>
    <row r="1364" ht="15.75" customHeight="1">
      <c r="A1364" s="7" t="s">
        <v>4362</v>
      </c>
      <c r="B1364" s="9" t="s">
        <v>2601</v>
      </c>
      <c r="C1364" s="9" t="s">
        <v>17</v>
      </c>
      <c r="D1364" s="9" t="s">
        <v>4363</v>
      </c>
    </row>
    <row r="1365" ht="15.75" customHeight="1">
      <c r="A1365" s="7" t="s">
        <v>4365</v>
      </c>
      <c r="B1365" s="9" t="s">
        <v>4366</v>
      </c>
      <c r="C1365" s="9" t="s">
        <v>12</v>
      </c>
      <c r="D1365" s="9" t="s">
        <v>4367</v>
      </c>
    </row>
    <row r="1366" ht="15.75" customHeight="1">
      <c r="A1366" s="7" t="s">
        <v>4369</v>
      </c>
      <c r="B1366" s="9" t="s">
        <v>4370</v>
      </c>
      <c r="C1366" s="9" t="s">
        <v>12</v>
      </c>
      <c r="D1366" s="9" t="s">
        <v>102</v>
      </c>
    </row>
    <row r="1367" ht="15.75" customHeight="1">
      <c r="A1367" s="7" t="s">
        <v>4371</v>
      </c>
      <c r="B1367" s="9" t="s">
        <v>4372</v>
      </c>
      <c r="C1367" s="9" t="s">
        <v>1573</v>
      </c>
      <c r="D1367" s="9" t="s">
        <v>4373</v>
      </c>
    </row>
    <row r="1368" ht="15.75" customHeight="1">
      <c r="A1368" s="7" t="s">
        <v>4375</v>
      </c>
      <c r="B1368" s="9" t="s">
        <v>4376</v>
      </c>
      <c r="C1368" s="9" t="s">
        <v>12</v>
      </c>
      <c r="D1368" s="9" t="s">
        <v>4377</v>
      </c>
    </row>
    <row r="1369" ht="15.75" customHeight="1">
      <c r="A1369" s="7" t="s">
        <v>4378</v>
      </c>
      <c r="B1369" s="9" t="s">
        <v>208</v>
      </c>
      <c r="C1369" s="9" t="s">
        <v>17</v>
      </c>
      <c r="D1369" s="9" t="s">
        <v>342</v>
      </c>
    </row>
    <row r="1370" ht="15.75" customHeight="1">
      <c r="A1370" s="7" t="s">
        <v>4380</v>
      </c>
      <c r="B1370" s="9" t="s">
        <v>4381</v>
      </c>
      <c r="C1370" s="9" t="s">
        <v>17</v>
      </c>
      <c r="D1370" s="9" t="s">
        <v>4383</v>
      </c>
    </row>
    <row r="1371" ht="15.75" customHeight="1">
      <c r="A1371" s="7" t="s">
        <v>4384</v>
      </c>
      <c r="B1371" s="9" t="s">
        <v>4385</v>
      </c>
      <c r="C1371" s="9" t="s">
        <v>17</v>
      </c>
      <c r="D1371" s="9" t="s">
        <v>4386</v>
      </c>
    </row>
    <row r="1372" ht="15.75" customHeight="1">
      <c r="A1372" s="7" t="s">
        <v>4388</v>
      </c>
      <c r="B1372" s="9" t="s">
        <v>4389</v>
      </c>
      <c r="C1372" s="9" t="s">
        <v>12</v>
      </c>
      <c r="D1372" s="9" t="s">
        <v>4390</v>
      </c>
    </row>
    <row r="1373" ht="15.75" customHeight="1">
      <c r="A1373" s="7" t="s">
        <v>4391</v>
      </c>
      <c r="B1373" s="9" t="s">
        <v>4392</v>
      </c>
      <c r="C1373" s="9" t="s">
        <v>12</v>
      </c>
      <c r="D1373" s="9" t="s">
        <v>4393</v>
      </c>
    </row>
    <row r="1374" ht="15.75" customHeight="1">
      <c r="A1374" s="7" t="s">
        <v>4395</v>
      </c>
      <c r="B1374" s="9" t="s">
        <v>591</v>
      </c>
      <c r="C1374" s="9" t="s">
        <v>17</v>
      </c>
      <c r="D1374" s="9" t="s">
        <v>4396</v>
      </c>
    </row>
    <row r="1375" ht="15.75" customHeight="1">
      <c r="A1375" s="7" t="s">
        <v>4397</v>
      </c>
      <c r="B1375" s="9" t="s">
        <v>4399</v>
      </c>
      <c r="C1375" s="9" t="s">
        <v>17</v>
      </c>
      <c r="D1375" s="9" t="s">
        <v>4400</v>
      </c>
    </row>
    <row r="1376" ht="15.75" customHeight="1">
      <c r="A1376" s="7" t="s">
        <v>4401</v>
      </c>
      <c r="B1376" s="9" t="s">
        <v>1769</v>
      </c>
      <c r="C1376" s="9" t="s">
        <v>1573</v>
      </c>
      <c r="D1376" s="9" t="s">
        <v>4403</v>
      </c>
    </row>
    <row r="1377" ht="15.75" customHeight="1">
      <c r="A1377" s="7" t="s">
        <v>4404</v>
      </c>
      <c r="B1377" s="9" t="s">
        <v>4405</v>
      </c>
      <c r="C1377" s="9" t="s">
        <v>17</v>
      </c>
      <c r="D1377" s="9" t="s">
        <v>4406</v>
      </c>
    </row>
    <row r="1378" ht="15.75" customHeight="1">
      <c r="A1378" s="7" t="s">
        <v>4408</v>
      </c>
      <c r="B1378" s="9" t="s">
        <v>4409</v>
      </c>
      <c r="C1378" s="9" t="s">
        <v>17</v>
      </c>
      <c r="D1378" s="9" t="s">
        <v>1155</v>
      </c>
    </row>
    <row r="1379" ht="15.75" customHeight="1">
      <c r="A1379" s="7" t="s">
        <v>4410</v>
      </c>
      <c r="B1379" s="9" t="s">
        <v>4412</v>
      </c>
      <c r="C1379" s="9" t="s">
        <v>12</v>
      </c>
      <c r="D1379" s="9" t="s">
        <v>4413</v>
      </c>
    </row>
    <row r="1380" ht="15.75" customHeight="1">
      <c r="A1380" s="7" t="s">
        <v>4414</v>
      </c>
      <c r="B1380" s="9" t="s">
        <v>4415</v>
      </c>
      <c r="C1380" s="9" t="s">
        <v>17</v>
      </c>
      <c r="D1380" s="9" t="s">
        <v>236</v>
      </c>
    </row>
    <row r="1381" ht="15.75" customHeight="1">
      <c r="A1381" s="7" t="s">
        <v>4417</v>
      </c>
      <c r="B1381" s="9" t="s">
        <v>273</v>
      </c>
      <c r="C1381" s="9" t="s">
        <v>17</v>
      </c>
      <c r="D1381" s="9" t="s">
        <v>683</v>
      </c>
    </row>
    <row r="1382" ht="15.75" customHeight="1">
      <c r="A1382" s="7" t="s">
        <v>4419</v>
      </c>
      <c r="B1382" s="9" t="s">
        <v>4420</v>
      </c>
      <c r="C1382" s="9" t="s">
        <v>17</v>
      </c>
      <c r="D1382" s="9" t="s">
        <v>4422</v>
      </c>
    </row>
    <row r="1383" ht="15.75" customHeight="1">
      <c r="A1383" s="7" t="s">
        <v>4423</v>
      </c>
      <c r="B1383" s="9" t="s">
        <v>4425</v>
      </c>
      <c r="C1383" s="9" t="s">
        <v>12</v>
      </c>
      <c r="D1383" s="9" t="s">
        <v>1705</v>
      </c>
    </row>
    <row r="1384" ht="15.75" customHeight="1">
      <c r="A1384" s="7" t="s">
        <v>4426</v>
      </c>
      <c r="B1384" s="9" t="s">
        <v>2048</v>
      </c>
      <c r="C1384" s="9" t="s">
        <v>17</v>
      </c>
      <c r="D1384" s="9" t="s">
        <v>4427</v>
      </c>
    </row>
    <row r="1385" ht="15.75" customHeight="1">
      <c r="A1385" s="7" t="s">
        <v>4429</v>
      </c>
      <c r="B1385" s="9" t="s">
        <v>4430</v>
      </c>
      <c r="C1385" s="9" t="s">
        <v>17</v>
      </c>
      <c r="D1385" s="9" t="s">
        <v>4431</v>
      </c>
    </row>
    <row r="1386" ht="15.75" customHeight="1">
      <c r="A1386" s="7" t="s">
        <v>4432</v>
      </c>
      <c r="B1386" s="9" t="s">
        <v>910</v>
      </c>
      <c r="C1386" s="9" t="s">
        <v>12</v>
      </c>
      <c r="D1386" s="9" t="s">
        <v>4434</v>
      </c>
    </row>
    <row r="1387" ht="15.75" customHeight="1">
      <c r="A1387" s="7" t="s">
        <v>4435</v>
      </c>
      <c r="B1387" s="9" t="s">
        <v>4436</v>
      </c>
      <c r="C1387" s="9" t="s">
        <v>17</v>
      </c>
      <c r="D1387" s="9" t="s">
        <v>4437</v>
      </c>
    </row>
    <row r="1388" ht="15.75" customHeight="1">
      <c r="A1388" s="7" t="s">
        <v>4439</v>
      </c>
      <c r="B1388" s="9" t="s">
        <v>3196</v>
      </c>
      <c r="C1388" s="9" t="s">
        <v>17</v>
      </c>
      <c r="D1388" s="9" t="s">
        <v>4440</v>
      </c>
    </row>
    <row r="1389" ht="15.75" customHeight="1">
      <c r="A1389" s="7" t="s">
        <v>4441</v>
      </c>
      <c r="B1389" s="9" t="s">
        <v>4442</v>
      </c>
      <c r="C1389" s="9" t="s">
        <v>12</v>
      </c>
      <c r="D1389" s="9" t="s">
        <v>4444</v>
      </c>
    </row>
    <row r="1390" ht="15.75" customHeight="1">
      <c r="A1390" s="7" t="s">
        <v>4445</v>
      </c>
      <c r="B1390" s="9" t="s">
        <v>4446</v>
      </c>
      <c r="C1390" s="9" t="s">
        <v>17</v>
      </c>
      <c r="D1390" s="9" t="s">
        <v>60</v>
      </c>
    </row>
    <row r="1391" ht="15.75" customHeight="1">
      <c r="A1391" s="7" t="s">
        <v>4447</v>
      </c>
      <c r="B1391" s="9" t="s">
        <v>4448</v>
      </c>
      <c r="C1391" s="9" t="s">
        <v>17</v>
      </c>
      <c r="D1391" s="9" t="s">
        <v>1514</v>
      </c>
    </row>
    <row r="1392" ht="15.75" customHeight="1">
      <c r="A1392" s="7" t="s">
        <v>4450</v>
      </c>
      <c r="B1392" s="9" t="s">
        <v>13</v>
      </c>
      <c r="C1392" s="9" t="s">
        <v>17</v>
      </c>
      <c r="D1392" s="9" t="s">
        <v>4451</v>
      </c>
    </row>
    <row r="1393" ht="15.75" customHeight="1">
      <c r="A1393" s="7" t="s">
        <v>4452</v>
      </c>
      <c r="B1393" s="9" t="s">
        <v>4453</v>
      </c>
      <c r="C1393" s="9" t="s">
        <v>17</v>
      </c>
      <c r="D1393" s="9" t="s">
        <v>509</v>
      </c>
    </row>
    <row r="1394" ht="15.75" customHeight="1">
      <c r="A1394" s="7" t="s">
        <v>4455</v>
      </c>
      <c r="B1394" s="9" t="s">
        <v>4456</v>
      </c>
      <c r="C1394" s="9" t="s">
        <v>12</v>
      </c>
      <c r="D1394" s="9" t="s">
        <v>4457</v>
      </c>
    </row>
    <row r="1395" ht="15.75" customHeight="1">
      <c r="A1395" s="7" t="s">
        <v>4458</v>
      </c>
      <c r="B1395" s="9" t="s">
        <v>4459</v>
      </c>
      <c r="C1395" s="9" t="s">
        <v>12</v>
      </c>
      <c r="D1395" s="9" t="s">
        <v>4461</v>
      </c>
    </row>
    <row r="1396" ht="15.75" customHeight="1">
      <c r="A1396" s="7" t="s">
        <v>4462</v>
      </c>
      <c r="B1396" s="9" t="s">
        <v>4463</v>
      </c>
      <c r="C1396" s="9" t="s">
        <v>17</v>
      </c>
      <c r="D1396" s="9" t="s">
        <v>342</v>
      </c>
    </row>
    <row r="1397" ht="15.75" customHeight="1">
      <c r="A1397" s="7" t="s">
        <v>4465</v>
      </c>
      <c r="B1397" s="9" t="s">
        <v>4466</v>
      </c>
      <c r="C1397" s="9" t="s">
        <v>17</v>
      </c>
      <c r="D1397" s="9" t="s">
        <v>342</v>
      </c>
    </row>
    <row r="1398" ht="15.75" customHeight="1">
      <c r="A1398" s="7" t="s">
        <v>4468</v>
      </c>
      <c r="B1398" s="9" t="s">
        <v>4469</v>
      </c>
      <c r="C1398" s="9" t="s">
        <v>12</v>
      </c>
      <c r="D1398" s="9" t="s">
        <v>4470</v>
      </c>
    </row>
    <row r="1399" ht="15.75" customHeight="1">
      <c r="A1399" s="7" t="s">
        <v>4471</v>
      </c>
      <c r="B1399" s="9" t="s">
        <v>4472</v>
      </c>
      <c r="C1399" s="9" t="s">
        <v>1573</v>
      </c>
      <c r="D1399" s="9" t="s">
        <v>4474</v>
      </c>
    </row>
    <row r="1400" ht="15.75" customHeight="1">
      <c r="A1400" s="7" t="s">
        <v>4475</v>
      </c>
      <c r="B1400" s="9" t="s">
        <v>4476</v>
      </c>
      <c r="C1400" s="9" t="s">
        <v>12</v>
      </c>
      <c r="D1400" s="9" t="s">
        <v>807</v>
      </c>
    </row>
    <row r="1401" ht="15.75" customHeight="1">
      <c r="A1401" s="7" t="s">
        <v>4478</v>
      </c>
      <c r="B1401" s="9" t="s">
        <v>4479</v>
      </c>
      <c r="C1401" s="9" t="s">
        <v>12</v>
      </c>
      <c r="D1401" s="9" t="s">
        <v>2330</v>
      </c>
    </row>
    <row r="1402" ht="15.75" customHeight="1">
      <c r="A1402" s="7" t="s">
        <v>4480</v>
      </c>
      <c r="B1402" s="9" t="s">
        <v>3824</v>
      </c>
      <c r="C1402" s="9" t="s">
        <v>12</v>
      </c>
      <c r="D1402" s="9" t="s">
        <v>4482</v>
      </c>
    </row>
    <row r="1403" ht="15.75" customHeight="1">
      <c r="A1403" s="7" t="s">
        <v>4483</v>
      </c>
      <c r="B1403" s="9" t="s">
        <v>4484</v>
      </c>
      <c r="C1403" s="9" t="s">
        <v>12</v>
      </c>
      <c r="D1403" s="9" t="s">
        <v>208</v>
      </c>
    </row>
    <row r="1404" ht="15.75" customHeight="1">
      <c r="A1404" s="7" t="s">
        <v>4486</v>
      </c>
      <c r="B1404" s="9" t="s">
        <v>4487</v>
      </c>
      <c r="C1404" s="9" t="s">
        <v>12</v>
      </c>
      <c r="D1404" s="9" t="s">
        <v>4488</v>
      </c>
    </row>
    <row r="1405" ht="15.75" customHeight="1">
      <c r="A1405" s="7" t="s">
        <v>4489</v>
      </c>
      <c r="B1405" s="9" t="s">
        <v>4490</v>
      </c>
      <c r="C1405" s="9" t="s">
        <v>12</v>
      </c>
      <c r="D1405" s="9" t="s">
        <v>4491</v>
      </c>
    </row>
    <row r="1406" ht="15.75" customHeight="1">
      <c r="A1406" s="7" t="s">
        <v>4492</v>
      </c>
      <c r="B1406" s="9" t="s">
        <v>4494</v>
      </c>
      <c r="C1406" s="9" t="s">
        <v>12</v>
      </c>
      <c r="D1406" s="9" t="s">
        <v>4495</v>
      </c>
    </row>
    <row r="1407" ht="15.75" customHeight="1">
      <c r="A1407" s="7" t="s">
        <v>4496</v>
      </c>
      <c r="B1407" s="9" t="s">
        <v>4498</v>
      </c>
      <c r="C1407" s="9" t="s">
        <v>17</v>
      </c>
      <c r="D1407" s="9" t="s">
        <v>111</v>
      </c>
    </row>
    <row r="1408" ht="15.75" customHeight="1">
      <c r="A1408" s="7" t="s">
        <v>4499</v>
      </c>
      <c r="B1408" s="9" t="s">
        <v>4500</v>
      </c>
      <c r="C1408" s="9" t="s">
        <v>12</v>
      </c>
      <c r="D1408" s="9" t="s">
        <v>2330</v>
      </c>
    </row>
    <row r="1409" ht="15.75" customHeight="1">
      <c r="A1409" s="7" t="s">
        <v>4502</v>
      </c>
      <c r="B1409" s="9" t="s">
        <v>4503</v>
      </c>
      <c r="C1409" s="9" t="s">
        <v>17</v>
      </c>
      <c r="D1409" s="9" t="s">
        <v>169</v>
      </c>
    </row>
    <row r="1410" ht="15.75" customHeight="1">
      <c r="A1410" s="7" t="s">
        <v>4504</v>
      </c>
      <c r="B1410" s="9" t="s">
        <v>4506</v>
      </c>
      <c r="C1410" s="9" t="s">
        <v>17</v>
      </c>
      <c r="D1410" s="9" t="s">
        <v>18</v>
      </c>
    </row>
    <row r="1411" ht="15.75" customHeight="1">
      <c r="A1411" s="7" t="s">
        <v>4507</v>
      </c>
      <c r="B1411" s="9" t="s">
        <v>4509</v>
      </c>
      <c r="C1411" s="9" t="s">
        <v>17</v>
      </c>
      <c r="D1411" s="9" t="s">
        <v>4510</v>
      </c>
    </row>
    <row r="1412" ht="15.75" customHeight="1">
      <c r="A1412" s="7" t="s">
        <v>4511</v>
      </c>
      <c r="B1412" s="9" t="s">
        <v>3534</v>
      </c>
      <c r="C1412" s="9" t="s">
        <v>12</v>
      </c>
      <c r="D1412" s="9" t="s">
        <v>4513</v>
      </c>
    </row>
    <row r="1413" ht="15.75" customHeight="1">
      <c r="A1413" s="7" t="s">
        <v>4514</v>
      </c>
      <c r="B1413" s="9" t="s">
        <v>4515</v>
      </c>
      <c r="C1413" s="9" t="s">
        <v>12</v>
      </c>
      <c r="D1413" s="9" t="s">
        <v>4516</v>
      </c>
    </row>
    <row r="1414" ht="15.75" customHeight="1">
      <c r="A1414" s="7" t="s">
        <v>4518</v>
      </c>
      <c r="B1414" s="9" t="s">
        <v>3924</v>
      </c>
      <c r="C1414" s="9" t="s">
        <v>12</v>
      </c>
      <c r="D1414" s="9" t="s">
        <v>4519</v>
      </c>
    </row>
    <row r="1415" ht="15.75" customHeight="1">
      <c r="A1415" s="7" t="s">
        <v>4521</v>
      </c>
      <c r="B1415" s="9" t="s">
        <v>4522</v>
      </c>
      <c r="C1415" s="9" t="s">
        <v>17</v>
      </c>
      <c r="D1415" s="9" t="s">
        <v>516</v>
      </c>
    </row>
    <row r="1416" ht="15.75" customHeight="1">
      <c r="A1416" s="7" t="s">
        <v>4523</v>
      </c>
      <c r="B1416" s="9" t="s">
        <v>4524</v>
      </c>
      <c r="C1416" s="9" t="s">
        <v>17</v>
      </c>
      <c r="D1416" s="9" t="s">
        <v>4526</v>
      </c>
    </row>
    <row r="1417" ht="15.75" customHeight="1">
      <c r="A1417" s="7" t="s">
        <v>4527</v>
      </c>
      <c r="B1417" s="9" t="s">
        <v>4528</v>
      </c>
      <c r="C1417" s="9" t="s">
        <v>17</v>
      </c>
      <c r="D1417" s="9" t="s">
        <v>291</v>
      </c>
    </row>
    <row r="1418" ht="15.75" customHeight="1">
      <c r="A1418" s="7" t="s">
        <v>4529</v>
      </c>
      <c r="B1418" s="9" t="s">
        <v>4531</v>
      </c>
      <c r="C1418" s="9" t="s">
        <v>12</v>
      </c>
      <c r="D1418" s="9" t="s">
        <v>4532</v>
      </c>
    </row>
    <row r="1419" ht="15.75" customHeight="1">
      <c r="A1419" s="7" t="s">
        <v>4533</v>
      </c>
      <c r="B1419" s="9" t="s">
        <v>4534</v>
      </c>
      <c r="C1419" s="9" t="s">
        <v>1573</v>
      </c>
      <c r="D1419" s="9" t="s">
        <v>369</v>
      </c>
    </row>
    <row r="1420" ht="15.75" customHeight="1">
      <c r="A1420" s="7" t="s">
        <v>4535</v>
      </c>
      <c r="B1420" s="9" t="s">
        <v>4536</v>
      </c>
      <c r="C1420" s="9" t="s">
        <v>17</v>
      </c>
      <c r="D1420" s="9" t="s">
        <v>883</v>
      </c>
    </row>
    <row r="1421" ht="15.75" customHeight="1">
      <c r="A1421" s="7" t="s">
        <v>4538</v>
      </c>
      <c r="B1421" s="9" t="s">
        <v>4539</v>
      </c>
      <c r="C1421" s="9" t="s">
        <v>17</v>
      </c>
      <c r="D1421" s="9" t="s">
        <v>4540</v>
      </c>
    </row>
    <row r="1422" ht="15.75" customHeight="1">
      <c r="A1422" s="7" t="s">
        <v>4542</v>
      </c>
      <c r="B1422" s="9" t="s">
        <v>4543</v>
      </c>
      <c r="C1422" s="9" t="s">
        <v>12</v>
      </c>
      <c r="D1422" s="9" t="s">
        <v>4544</v>
      </c>
    </row>
    <row r="1423" ht="15.75" customHeight="1">
      <c r="A1423" s="7" t="s">
        <v>4546</v>
      </c>
      <c r="B1423" s="9" t="s">
        <v>4547</v>
      </c>
      <c r="C1423" s="9" t="s">
        <v>17</v>
      </c>
      <c r="D1423" s="9" t="s">
        <v>4548</v>
      </c>
    </row>
    <row r="1424" ht="15.75" customHeight="1">
      <c r="A1424" s="7" t="s">
        <v>4549</v>
      </c>
      <c r="B1424" s="9" t="s">
        <v>4550</v>
      </c>
      <c r="C1424" s="9" t="s">
        <v>17</v>
      </c>
      <c r="D1424" s="9" t="s">
        <v>4552</v>
      </c>
    </row>
    <row r="1425" ht="15.75" customHeight="1">
      <c r="A1425" s="7" t="s">
        <v>4553</v>
      </c>
      <c r="B1425" s="9" t="s">
        <v>4554</v>
      </c>
      <c r="C1425" s="9" t="s">
        <v>12</v>
      </c>
      <c r="D1425" s="9" t="s">
        <v>4556</v>
      </c>
    </row>
    <row r="1426" ht="15.75" customHeight="1">
      <c r="A1426" s="7" t="s">
        <v>4557</v>
      </c>
      <c r="B1426" s="9" t="s">
        <v>4558</v>
      </c>
      <c r="C1426" s="9" t="s">
        <v>17</v>
      </c>
      <c r="D1426" s="9" t="s">
        <v>4560</v>
      </c>
    </row>
    <row r="1427" ht="15.75" customHeight="1">
      <c r="A1427" s="7" t="s">
        <v>4561</v>
      </c>
      <c r="B1427" s="9" t="s">
        <v>4562</v>
      </c>
      <c r="C1427" s="9" t="s">
        <v>17</v>
      </c>
      <c r="D1427" s="9" t="s">
        <v>39</v>
      </c>
    </row>
    <row r="1428" ht="15.75" customHeight="1">
      <c r="A1428" s="7" t="s">
        <v>4564</v>
      </c>
      <c r="B1428" s="9" t="s">
        <v>946</v>
      </c>
      <c r="C1428" s="9" t="s">
        <v>12</v>
      </c>
      <c r="D1428" s="9" t="s">
        <v>4565</v>
      </c>
    </row>
    <row r="1429" ht="15.75" customHeight="1">
      <c r="A1429" s="7" t="s">
        <v>4567</v>
      </c>
      <c r="B1429" s="9" t="s">
        <v>4568</v>
      </c>
      <c r="C1429" s="9" t="s">
        <v>12</v>
      </c>
      <c r="D1429" s="9" t="s">
        <v>4569</v>
      </c>
    </row>
    <row r="1430" ht="15.75" customHeight="1">
      <c r="A1430" s="7" t="s">
        <v>4571</v>
      </c>
      <c r="B1430" s="9" t="s">
        <v>229</v>
      </c>
      <c r="C1430" s="9" t="s">
        <v>12</v>
      </c>
      <c r="D1430" s="9" t="s">
        <v>1500</v>
      </c>
    </row>
    <row r="1431" ht="15.75" customHeight="1">
      <c r="A1431" s="7" t="s">
        <v>4572</v>
      </c>
      <c r="B1431" s="9" t="s">
        <v>4574</v>
      </c>
      <c r="C1431" s="9" t="s">
        <v>17</v>
      </c>
      <c r="D1431" s="9" t="s">
        <v>4575</v>
      </c>
    </row>
    <row r="1432" ht="15.75" customHeight="1">
      <c r="A1432" s="7" t="s">
        <v>4576</v>
      </c>
      <c r="B1432" s="9" t="s">
        <v>4578</v>
      </c>
      <c r="C1432" s="9" t="s">
        <v>1573</v>
      </c>
      <c r="D1432" s="9" t="s">
        <v>4579</v>
      </c>
    </row>
    <row r="1433" ht="15.75" customHeight="1">
      <c r="A1433" s="7" t="s">
        <v>4580</v>
      </c>
      <c r="B1433" s="9" t="s">
        <v>4581</v>
      </c>
      <c r="C1433" s="9" t="s">
        <v>12</v>
      </c>
      <c r="D1433" s="9" t="s">
        <v>102</v>
      </c>
    </row>
    <row r="1434" ht="15.75" customHeight="1">
      <c r="A1434" s="7" t="s">
        <v>4583</v>
      </c>
      <c r="B1434" s="9" t="s">
        <v>4584</v>
      </c>
      <c r="C1434" s="9" t="s">
        <v>12</v>
      </c>
      <c r="D1434" s="9" t="s">
        <v>4585</v>
      </c>
    </row>
    <row r="1435" ht="15.75" customHeight="1">
      <c r="A1435" s="7" t="s">
        <v>4587</v>
      </c>
      <c r="B1435" s="9" t="s">
        <v>4588</v>
      </c>
      <c r="C1435" s="9" t="s">
        <v>12</v>
      </c>
      <c r="D1435" s="9" t="s">
        <v>1103</v>
      </c>
    </row>
    <row r="1436" ht="15.75" customHeight="1">
      <c r="A1436" s="7" t="s">
        <v>4590</v>
      </c>
      <c r="B1436" s="9" t="s">
        <v>988</v>
      </c>
      <c r="C1436" s="9" t="s">
        <v>12</v>
      </c>
      <c r="D1436" s="9" t="s">
        <v>4591</v>
      </c>
    </row>
    <row r="1437" ht="15.75" customHeight="1">
      <c r="A1437" s="7" t="s">
        <v>4592</v>
      </c>
      <c r="B1437" s="9" t="s">
        <v>4594</v>
      </c>
      <c r="C1437" s="9" t="s">
        <v>17</v>
      </c>
      <c r="D1437" s="9" t="s">
        <v>4595</v>
      </c>
    </row>
    <row r="1438" ht="15.75" customHeight="1">
      <c r="A1438" s="7" t="s">
        <v>4596</v>
      </c>
      <c r="B1438" s="9" t="s">
        <v>4597</v>
      </c>
      <c r="C1438" s="9" t="s">
        <v>12</v>
      </c>
      <c r="D1438" s="9" t="s">
        <v>2867</v>
      </c>
    </row>
    <row r="1439" ht="15.75" customHeight="1">
      <c r="A1439" s="7" t="s">
        <v>4599</v>
      </c>
      <c r="B1439" s="9" t="s">
        <v>4600</v>
      </c>
      <c r="C1439" s="9" t="s">
        <v>12</v>
      </c>
      <c r="D1439" s="9" t="s">
        <v>4601</v>
      </c>
    </row>
    <row r="1440" ht="15.75" customHeight="1">
      <c r="A1440" s="7" t="s">
        <v>4602</v>
      </c>
      <c r="B1440" s="9" t="s">
        <v>4603</v>
      </c>
      <c r="C1440" s="9" t="s">
        <v>12</v>
      </c>
      <c r="D1440" s="9" t="s">
        <v>2448</v>
      </c>
    </row>
    <row r="1441" ht="15.75" customHeight="1">
      <c r="A1441" s="7" t="s">
        <v>4605</v>
      </c>
      <c r="B1441" s="9" t="s">
        <v>4606</v>
      </c>
      <c r="C1441" s="9" t="s">
        <v>12</v>
      </c>
      <c r="D1441" s="9" t="s">
        <v>4608</v>
      </c>
    </row>
    <row r="1442" ht="15.75" customHeight="1">
      <c r="A1442" s="7" t="s">
        <v>4609</v>
      </c>
      <c r="B1442" s="9" t="s">
        <v>477</v>
      </c>
      <c r="C1442" s="9" t="s">
        <v>12</v>
      </c>
      <c r="D1442" s="9" t="s">
        <v>4610</v>
      </c>
    </row>
    <row r="1443" ht="15.75" customHeight="1">
      <c r="A1443" s="7" t="s">
        <v>4612</v>
      </c>
      <c r="B1443" s="9" t="s">
        <v>786</v>
      </c>
      <c r="C1443" s="9" t="s">
        <v>17</v>
      </c>
      <c r="D1443" s="9" t="s">
        <v>291</v>
      </c>
    </row>
    <row r="1444" ht="15.75" customHeight="1">
      <c r="A1444" s="7" t="s">
        <v>4613</v>
      </c>
      <c r="B1444" s="9" t="s">
        <v>4615</v>
      </c>
      <c r="C1444" s="9" t="s">
        <v>12</v>
      </c>
      <c r="D1444" s="9" t="s">
        <v>1587</v>
      </c>
    </row>
    <row r="1445" ht="15.75" customHeight="1">
      <c r="A1445" s="7" t="s">
        <v>4616</v>
      </c>
      <c r="B1445" s="9" t="s">
        <v>33</v>
      </c>
      <c r="C1445" s="9" t="s">
        <v>12</v>
      </c>
      <c r="D1445" s="9" t="s">
        <v>4618</v>
      </c>
    </row>
    <row r="1446" ht="15.75" customHeight="1">
      <c r="A1446" s="7" t="s">
        <v>4619</v>
      </c>
      <c r="B1446" s="9" t="s">
        <v>4620</v>
      </c>
      <c r="C1446" s="9" t="s">
        <v>17</v>
      </c>
      <c r="D1446" s="9" t="s">
        <v>4622</v>
      </c>
    </row>
    <row r="1447" ht="15.75" customHeight="1">
      <c r="A1447" s="7" t="s">
        <v>4623</v>
      </c>
      <c r="B1447" s="9" t="s">
        <v>239</v>
      </c>
      <c r="C1447" s="9" t="s">
        <v>12</v>
      </c>
      <c r="D1447" s="9" t="s">
        <v>4625</v>
      </c>
    </row>
    <row r="1448" ht="15.75" customHeight="1">
      <c r="A1448" s="7" t="s">
        <v>4632</v>
      </c>
      <c r="B1448" s="9" t="s">
        <v>4633</v>
      </c>
      <c r="C1448" s="9" t="s">
        <v>12</v>
      </c>
      <c r="D1448" s="9" t="s">
        <v>2707</v>
      </c>
    </row>
    <row r="1449" ht="15.75" customHeight="1">
      <c r="A1449" s="7" t="s">
        <v>4635</v>
      </c>
      <c r="B1449" s="9" t="s">
        <v>4636</v>
      </c>
      <c r="C1449" s="9" t="s">
        <v>12</v>
      </c>
      <c r="D1449" s="9" t="s">
        <v>4637</v>
      </c>
    </row>
    <row r="1450" ht="15.75" customHeight="1">
      <c r="A1450" s="7" t="s">
        <v>4639</v>
      </c>
      <c r="B1450" s="9" t="s">
        <v>4640</v>
      </c>
      <c r="C1450" s="9" t="s">
        <v>12</v>
      </c>
      <c r="D1450" s="9" t="s">
        <v>4641</v>
      </c>
    </row>
    <row r="1451" ht="15.75" customHeight="1">
      <c r="A1451" s="7" t="s">
        <v>4642</v>
      </c>
      <c r="B1451" s="9" t="s">
        <v>4644</v>
      </c>
      <c r="C1451" s="9" t="s">
        <v>12</v>
      </c>
      <c r="D1451" s="9" t="s">
        <v>4645</v>
      </c>
    </row>
    <row r="1452" ht="15.75" customHeight="1">
      <c r="A1452" s="7" t="s">
        <v>4646</v>
      </c>
      <c r="B1452" s="9" t="s">
        <v>4648</v>
      </c>
      <c r="C1452" s="9" t="s">
        <v>17</v>
      </c>
      <c r="D1452" s="9" t="s">
        <v>4649</v>
      </c>
    </row>
    <row r="1453" ht="15.75" customHeight="1">
      <c r="A1453" s="7" t="s">
        <v>4650</v>
      </c>
      <c r="B1453" s="9" t="s">
        <v>4651</v>
      </c>
      <c r="C1453" s="9" t="s">
        <v>17</v>
      </c>
      <c r="D1453" s="9" t="s">
        <v>111</v>
      </c>
    </row>
    <row r="1454" ht="15.75" customHeight="1">
      <c r="A1454" s="7" t="s">
        <v>4653</v>
      </c>
      <c r="B1454" s="9" t="s">
        <v>4654</v>
      </c>
      <c r="C1454" s="9" t="s">
        <v>17</v>
      </c>
      <c r="D1454" s="9" t="s">
        <v>2468</v>
      </c>
    </row>
    <row r="1455" ht="15.75" customHeight="1">
      <c r="A1455" s="7" t="s">
        <v>4657</v>
      </c>
      <c r="B1455" s="9" t="s">
        <v>4658</v>
      </c>
      <c r="C1455" s="9" t="s">
        <v>17</v>
      </c>
      <c r="D1455" s="9" t="s">
        <v>4659</v>
      </c>
    </row>
    <row r="1456" ht="15.75" customHeight="1">
      <c r="A1456" s="7" t="s">
        <v>4661</v>
      </c>
      <c r="B1456" s="9" t="s">
        <v>4662</v>
      </c>
      <c r="C1456" s="9" t="s">
        <v>17</v>
      </c>
      <c r="D1456" s="9" t="s">
        <v>4663</v>
      </c>
    </row>
    <row r="1457" ht="15.75" customHeight="1">
      <c r="A1457" s="7" t="s">
        <v>4664</v>
      </c>
      <c r="B1457" s="9" t="s">
        <v>1140</v>
      </c>
      <c r="C1457" s="9" t="s">
        <v>17</v>
      </c>
      <c r="D1457" s="9" t="s">
        <v>4666</v>
      </c>
    </row>
    <row r="1458" ht="15.75" customHeight="1">
      <c r="A1458" s="7" t="s">
        <v>4667</v>
      </c>
      <c r="B1458" s="9" t="s">
        <v>4669</v>
      </c>
      <c r="C1458" s="9" t="s">
        <v>12</v>
      </c>
      <c r="D1458" s="9" t="s">
        <v>4670</v>
      </c>
    </row>
    <row r="1459" ht="15.75" customHeight="1">
      <c r="A1459" s="7" t="s">
        <v>4671</v>
      </c>
      <c r="B1459" s="9" t="s">
        <v>4673</v>
      </c>
      <c r="C1459" s="9" t="s">
        <v>12</v>
      </c>
      <c r="D1459" s="9" t="s">
        <v>807</v>
      </c>
    </row>
    <row r="1460" ht="15.75" customHeight="1">
      <c r="A1460" s="7" t="s">
        <v>4674</v>
      </c>
      <c r="B1460" s="9" t="s">
        <v>4675</v>
      </c>
      <c r="C1460" s="9" t="s">
        <v>17</v>
      </c>
      <c r="D1460" s="9" t="s">
        <v>4676</v>
      </c>
    </row>
    <row r="1461" ht="15.75" customHeight="1">
      <c r="A1461" s="7" t="s">
        <v>4678</v>
      </c>
      <c r="B1461" s="9" t="s">
        <v>2550</v>
      </c>
      <c r="C1461" s="9" t="s">
        <v>17</v>
      </c>
      <c r="D1461" s="9" t="s">
        <v>4679</v>
      </c>
    </row>
    <row r="1462" ht="15.75" customHeight="1">
      <c r="A1462" s="7" t="s">
        <v>4681</v>
      </c>
      <c r="B1462" s="9" t="s">
        <v>936</v>
      </c>
      <c r="C1462" s="9" t="s">
        <v>12</v>
      </c>
      <c r="D1462" s="9" t="s">
        <v>1705</v>
      </c>
    </row>
    <row r="1463" ht="15.75" customHeight="1">
      <c r="A1463" s="7" t="s">
        <v>4683</v>
      </c>
      <c r="B1463" s="9" t="s">
        <v>739</v>
      </c>
      <c r="C1463" s="9" t="s">
        <v>12</v>
      </c>
      <c r="D1463" s="9" t="s">
        <v>4684</v>
      </c>
    </row>
    <row r="1464" ht="15.75" customHeight="1">
      <c r="A1464" s="7" t="s">
        <v>4685</v>
      </c>
      <c r="B1464" s="9" t="s">
        <v>4687</v>
      </c>
      <c r="C1464" s="9" t="s">
        <v>17</v>
      </c>
      <c r="D1464" s="9" t="s">
        <v>826</v>
      </c>
    </row>
    <row r="1465" ht="15.75" customHeight="1">
      <c r="A1465" s="7" t="s">
        <v>4688</v>
      </c>
      <c r="B1465" s="9" t="s">
        <v>4690</v>
      </c>
      <c r="C1465" s="9" t="s">
        <v>17</v>
      </c>
      <c r="D1465" s="9" t="s">
        <v>4691</v>
      </c>
    </row>
    <row r="1466" ht="15.75" customHeight="1">
      <c r="A1466" s="7" t="s">
        <v>4692</v>
      </c>
      <c r="B1466" s="9" t="s">
        <v>873</v>
      </c>
      <c r="C1466" s="9" t="s">
        <v>12</v>
      </c>
      <c r="D1466" s="9" t="s">
        <v>4694</v>
      </c>
    </row>
    <row r="1467" ht="15.75" customHeight="1">
      <c r="A1467" s="7" t="s">
        <v>4695</v>
      </c>
      <c r="B1467" s="9" t="s">
        <v>13</v>
      </c>
      <c r="C1467" s="9" t="s">
        <v>17</v>
      </c>
      <c r="D1467" s="9" t="s">
        <v>4696</v>
      </c>
    </row>
    <row r="1468" ht="15.75" customHeight="1">
      <c r="A1468" s="7" t="s">
        <v>4698</v>
      </c>
      <c r="B1468" s="9" t="s">
        <v>4699</v>
      </c>
      <c r="C1468" s="9" t="s">
        <v>17</v>
      </c>
      <c r="D1468" s="9" t="s">
        <v>4700</v>
      </c>
    </row>
    <row r="1469" ht="15.75" customHeight="1">
      <c r="A1469" s="7" t="s">
        <v>4701</v>
      </c>
      <c r="B1469" s="9" t="s">
        <v>4703</v>
      </c>
      <c r="C1469" s="9" t="s">
        <v>17</v>
      </c>
      <c r="D1469" s="9" t="s">
        <v>4704</v>
      </c>
    </row>
    <row r="1470" ht="15.75" customHeight="1">
      <c r="A1470" s="7" t="s">
        <v>4706</v>
      </c>
      <c r="B1470" s="9" t="s">
        <v>4707</v>
      </c>
      <c r="C1470" s="9" t="s">
        <v>17</v>
      </c>
      <c r="D1470" s="9" t="s">
        <v>753</v>
      </c>
    </row>
    <row r="1471" ht="15.75" customHeight="1">
      <c r="A1471" s="7" t="s">
        <v>4709</v>
      </c>
      <c r="B1471" s="9" t="s">
        <v>4710</v>
      </c>
      <c r="C1471" s="9" t="s">
        <v>12</v>
      </c>
      <c r="D1471" s="9" t="s">
        <v>4711</v>
      </c>
    </row>
    <row r="1472" ht="15.75" customHeight="1">
      <c r="A1472" s="7" t="s">
        <v>4712</v>
      </c>
      <c r="B1472" s="9" t="s">
        <v>4714</v>
      </c>
      <c r="C1472" s="9" t="s">
        <v>17</v>
      </c>
      <c r="D1472" s="9" t="s">
        <v>4715</v>
      </c>
    </row>
    <row r="1473" ht="15.75" customHeight="1">
      <c r="A1473" s="7" t="s">
        <v>4716</v>
      </c>
      <c r="B1473" s="9" t="s">
        <v>4717</v>
      </c>
      <c r="C1473" s="9" t="s">
        <v>12</v>
      </c>
      <c r="D1473" s="9" t="s">
        <v>2551</v>
      </c>
    </row>
    <row r="1474" ht="15.75" customHeight="1">
      <c r="A1474" s="7" t="s">
        <v>4719</v>
      </c>
      <c r="B1474" s="9" t="s">
        <v>4720</v>
      </c>
      <c r="C1474" s="9" t="s">
        <v>17</v>
      </c>
      <c r="D1474" s="9" t="s">
        <v>2297</v>
      </c>
    </row>
    <row r="1475" ht="15.75" customHeight="1">
      <c r="A1475" s="7" t="s">
        <v>4721</v>
      </c>
      <c r="B1475" s="9" t="s">
        <v>4722</v>
      </c>
      <c r="C1475" s="9" t="s">
        <v>17</v>
      </c>
      <c r="D1475" s="9" t="s">
        <v>4723</v>
      </c>
    </row>
    <row r="1476" ht="15.75" customHeight="1">
      <c r="A1476" s="7" t="s">
        <v>4725</v>
      </c>
      <c r="B1476" s="9" t="s">
        <v>4726</v>
      </c>
      <c r="C1476" s="9" t="s">
        <v>12</v>
      </c>
      <c r="D1476" s="9" t="s">
        <v>4727</v>
      </c>
    </row>
    <row r="1477" ht="15.75" customHeight="1">
      <c r="A1477" s="7" t="s">
        <v>4728</v>
      </c>
      <c r="B1477" s="9" t="s">
        <v>4729</v>
      </c>
      <c r="C1477" s="9" t="s">
        <v>17</v>
      </c>
      <c r="D1477" s="9" t="s">
        <v>4731</v>
      </c>
    </row>
    <row r="1478" ht="15.75" customHeight="1">
      <c r="A1478" s="7" t="s">
        <v>4732</v>
      </c>
      <c r="B1478" s="9" t="s">
        <v>4733</v>
      </c>
      <c r="C1478" s="9" t="s">
        <v>12</v>
      </c>
      <c r="D1478" s="9" t="s">
        <v>4150</v>
      </c>
    </row>
    <row r="1479" ht="15.75" customHeight="1">
      <c r="A1479" s="7" t="s">
        <v>4735</v>
      </c>
      <c r="B1479" s="9" t="s">
        <v>4736</v>
      </c>
      <c r="C1479" s="9" t="s">
        <v>17</v>
      </c>
      <c r="D1479" s="9" t="s">
        <v>4738</v>
      </c>
    </row>
    <row r="1480" ht="15.75" customHeight="1">
      <c r="A1480" s="7" t="s">
        <v>4739</v>
      </c>
      <c r="B1480" s="9" t="s">
        <v>4740</v>
      </c>
      <c r="C1480" s="9" t="s">
        <v>17</v>
      </c>
      <c r="D1480" s="9" t="s">
        <v>4742</v>
      </c>
    </row>
    <row r="1481" ht="15.75" customHeight="1">
      <c r="A1481" s="7" t="s">
        <v>4743</v>
      </c>
      <c r="B1481" s="9" t="s">
        <v>4744</v>
      </c>
      <c r="C1481" s="9" t="s">
        <v>12</v>
      </c>
      <c r="D1481" s="9" t="s">
        <v>4745</v>
      </c>
    </row>
    <row r="1482" ht="15.75" customHeight="1">
      <c r="A1482" s="7" t="s">
        <v>4747</v>
      </c>
      <c r="B1482" s="9" t="s">
        <v>4748</v>
      </c>
      <c r="C1482" s="9" t="s">
        <v>17</v>
      </c>
      <c r="D1482" s="9" t="s">
        <v>892</v>
      </c>
    </row>
    <row r="1483" ht="15.75" customHeight="1">
      <c r="A1483" s="7" t="s">
        <v>4750</v>
      </c>
      <c r="B1483" s="9" t="s">
        <v>4314</v>
      </c>
      <c r="C1483" s="9" t="s">
        <v>12</v>
      </c>
      <c r="D1483" s="9" t="s">
        <v>4751</v>
      </c>
    </row>
    <row r="1484" ht="15.75" customHeight="1">
      <c r="A1484" s="7" t="s">
        <v>4753</v>
      </c>
      <c r="B1484" s="9" t="s">
        <v>4754</v>
      </c>
      <c r="C1484" s="9" t="s">
        <v>17</v>
      </c>
      <c r="D1484" s="9" t="s">
        <v>4755</v>
      </c>
    </row>
    <row r="1485" ht="15.75" customHeight="1">
      <c r="A1485" s="7" t="s">
        <v>4756</v>
      </c>
      <c r="B1485" s="9" t="s">
        <v>4758</v>
      </c>
      <c r="C1485" s="9" t="s">
        <v>12</v>
      </c>
      <c r="D1485" s="9" t="s">
        <v>225</v>
      </c>
    </row>
    <row r="1486" ht="15.75" customHeight="1">
      <c r="A1486" s="7" t="s">
        <v>4759</v>
      </c>
      <c r="B1486" s="9" t="s">
        <v>4760</v>
      </c>
      <c r="C1486" s="9" t="s">
        <v>12</v>
      </c>
      <c r="D1486" s="9" t="s">
        <v>2800</v>
      </c>
    </row>
    <row r="1487" ht="15.75" customHeight="1">
      <c r="A1487" s="7" t="s">
        <v>4762</v>
      </c>
      <c r="B1487" s="9" t="s">
        <v>4763</v>
      </c>
      <c r="C1487" s="9" t="s">
        <v>12</v>
      </c>
      <c r="D1487" s="9" t="s">
        <v>4765</v>
      </c>
    </row>
    <row r="1488" ht="15.75" customHeight="1">
      <c r="A1488" s="7" t="s">
        <v>4766</v>
      </c>
      <c r="B1488" s="9" t="s">
        <v>4767</v>
      </c>
      <c r="C1488" s="9" t="s">
        <v>12</v>
      </c>
      <c r="D1488" s="9" t="s">
        <v>4769</v>
      </c>
    </row>
    <row r="1489" ht="15.75" customHeight="1">
      <c r="A1489" s="7" t="s">
        <v>4770</v>
      </c>
      <c r="B1489" s="9" t="s">
        <v>3132</v>
      </c>
      <c r="C1489" s="9" t="s">
        <v>17</v>
      </c>
      <c r="D1489" s="9" t="s">
        <v>4772</v>
      </c>
    </row>
    <row r="1490" ht="15.75" customHeight="1">
      <c r="A1490" s="7" t="s">
        <v>4773</v>
      </c>
      <c r="B1490" s="9" t="s">
        <v>4775</v>
      </c>
      <c r="C1490" s="9" t="s">
        <v>12</v>
      </c>
      <c r="D1490" s="9" t="s">
        <v>4776</v>
      </c>
    </row>
    <row r="1491" ht="15.75" customHeight="1">
      <c r="A1491" s="7" t="s">
        <v>4777</v>
      </c>
      <c r="B1491" s="9" t="s">
        <v>4778</v>
      </c>
      <c r="C1491" s="9" t="s">
        <v>12</v>
      </c>
      <c r="D1491" s="9" t="s">
        <v>4780</v>
      </c>
    </row>
    <row r="1492" ht="15.75" customHeight="1">
      <c r="A1492" s="7" t="s">
        <v>4781</v>
      </c>
      <c r="B1492" s="9" t="s">
        <v>4782</v>
      </c>
      <c r="C1492" s="9" t="s">
        <v>12</v>
      </c>
      <c r="D1492" s="9" t="s">
        <v>4784</v>
      </c>
    </row>
    <row r="1493" ht="15.75" customHeight="1">
      <c r="A1493" s="7" t="s">
        <v>4785</v>
      </c>
      <c r="B1493" s="9" t="s">
        <v>4786</v>
      </c>
      <c r="C1493" s="9" t="s">
        <v>17</v>
      </c>
      <c r="D1493" s="9" t="s">
        <v>4787</v>
      </c>
    </row>
    <row r="1494" ht="15.75" customHeight="1">
      <c r="A1494" s="7" t="s">
        <v>4789</v>
      </c>
      <c r="B1494" s="9" t="s">
        <v>4790</v>
      </c>
      <c r="C1494" s="9" t="s">
        <v>17</v>
      </c>
      <c r="D1494" s="9" t="s">
        <v>4791</v>
      </c>
    </row>
    <row r="1495" ht="15.75" customHeight="1">
      <c r="A1495" s="7" t="s">
        <v>4793</v>
      </c>
      <c r="B1495" s="9" t="s">
        <v>4794</v>
      </c>
      <c r="C1495" s="9" t="s">
        <v>12</v>
      </c>
      <c r="D1495" s="9" t="s">
        <v>4255</v>
      </c>
    </row>
    <row r="1496" ht="15.75" customHeight="1">
      <c r="A1496" s="7" t="s">
        <v>4795</v>
      </c>
      <c r="B1496" s="9" t="s">
        <v>4797</v>
      </c>
      <c r="C1496" s="9" t="s">
        <v>17</v>
      </c>
      <c r="D1496" s="9" t="s">
        <v>4798</v>
      </c>
    </row>
    <row r="1497" ht="15.75" customHeight="1">
      <c r="A1497" s="7" t="s">
        <v>4799</v>
      </c>
      <c r="B1497" s="9" t="s">
        <v>4800</v>
      </c>
      <c r="C1497" s="9" t="s">
        <v>17</v>
      </c>
      <c r="D1497" s="9" t="s">
        <v>4801</v>
      </c>
    </row>
    <row r="1498" ht="15.75" customHeight="1">
      <c r="A1498" s="7" t="s">
        <v>4803</v>
      </c>
      <c r="B1498" s="9" t="s">
        <v>4804</v>
      </c>
      <c r="C1498" s="9" t="s">
        <v>17</v>
      </c>
      <c r="D1498" s="9" t="s">
        <v>4805</v>
      </c>
    </row>
    <row r="1499" ht="15.75" customHeight="1">
      <c r="A1499" s="7" t="s">
        <v>4807</v>
      </c>
      <c r="B1499" s="9" t="s">
        <v>4808</v>
      </c>
      <c r="C1499" s="9" t="s">
        <v>17</v>
      </c>
      <c r="D1499" s="9" t="s">
        <v>342</v>
      </c>
    </row>
    <row r="1500" ht="15.75" customHeight="1">
      <c r="A1500" s="7" t="s">
        <v>4810</v>
      </c>
      <c r="B1500" s="9" t="s">
        <v>1100</v>
      </c>
      <c r="C1500" s="9" t="s">
        <v>12</v>
      </c>
      <c r="D1500" s="9" t="s">
        <v>4811</v>
      </c>
    </row>
    <row r="1501" ht="15.75" customHeight="1">
      <c r="A1501" s="7" t="s">
        <v>4813</v>
      </c>
      <c r="B1501" s="9" t="s">
        <v>4814</v>
      </c>
      <c r="C1501" s="9" t="s">
        <v>12</v>
      </c>
      <c r="D1501" s="9" t="s">
        <v>2145</v>
      </c>
    </row>
    <row r="1502" ht="15.75" customHeight="1">
      <c r="A1502" s="7" t="s">
        <v>4816</v>
      </c>
      <c r="B1502" s="9" t="s">
        <v>4817</v>
      </c>
      <c r="C1502" s="9" t="s">
        <v>1573</v>
      </c>
      <c r="D1502" s="9" t="s">
        <v>4818</v>
      </c>
    </row>
    <row r="1503" ht="15.75" customHeight="1">
      <c r="A1503" s="7" t="s">
        <v>4820</v>
      </c>
      <c r="B1503" s="9" t="s">
        <v>4821</v>
      </c>
      <c r="C1503" s="9" t="s">
        <v>12</v>
      </c>
      <c r="D1503" s="9" t="s">
        <v>2095</v>
      </c>
    </row>
    <row r="1504" ht="15.75" customHeight="1">
      <c r="A1504" s="7" t="s">
        <v>4823</v>
      </c>
      <c r="B1504" s="9" t="s">
        <v>4824</v>
      </c>
      <c r="C1504" s="9" t="s">
        <v>12</v>
      </c>
      <c r="D1504" s="9" t="s">
        <v>4825</v>
      </c>
    </row>
    <row r="1505" ht="15.75" customHeight="1">
      <c r="A1505" s="7" t="s">
        <v>4826</v>
      </c>
      <c r="B1505" s="9" t="s">
        <v>328</v>
      </c>
      <c r="C1505" s="9" t="s">
        <v>17</v>
      </c>
      <c r="D1505" s="9" t="s">
        <v>4827</v>
      </c>
    </row>
    <row r="1506" ht="15.75" customHeight="1">
      <c r="A1506" s="7" t="s">
        <v>4829</v>
      </c>
      <c r="B1506" s="9" t="s">
        <v>4830</v>
      </c>
      <c r="C1506" s="9" t="s">
        <v>17</v>
      </c>
      <c r="D1506" s="9" t="s">
        <v>4831</v>
      </c>
    </row>
    <row r="1507" ht="15.75" customHeight="1">
      <c r="A1507" s="7" t="s">
        <v>4832</v>
      </c>
      <c r="B1507" s="9" t="s">
        <v>4834</v>
      </c>
      <c r="C1507" s="9" t="s">
        <v>12</v>
      </c>
      <c r="D1507" s="9" t="s">
        <v>4835</v>
      </c>
    </row>
    <row r="1508" ht="15.75" customHeight="1">
      <c r="A1508" s="7" t="s">
        <v>4836</v>
      </c>
      <c r="B1508" s="9" t="s">
        <v>4837</v>
      </c>
      <c r="C1508" s="9" t="s">
        <v>17</v>
      </c>
      <c r="D1508" s="9" t="s">
        <v>4440</v>
      </c>
    </row>
    <row r="1509" ht="15.75" customHeight="1">
      <c r="A1509" s="7" t="s">
        <v>4839</v>
      </c>
      <c r="B1509" s="9" t="s">
        <v>2616</v>
      </c>
      <c r="C1509" s="9" t="s">
        <v>17</v>
      </c>
      <c r="D1509" s="9" t="s">
        <v>4841</v>
      </c>
    </row>
    <row r="1510" ht="15.75" customHeight="1">
      <c r="A1510" s="7" t="s">
        <v>4842</v>
      </c>
      <c r="B1510" s="9" t="s">
        <v>550</v>
      </c>
      <c r="C1510" s="9" t="s">
        <v>17</v>
      </c>
      <c r="D1510" s="9" t="s">
        <v>630</v>
      </c>
    </row>
    <row r="1511" ht="15.75" customHeight="1">
      <c r="A1511" s="7" t="s">
        <v>4845</v>
      </c>
      <c r="B1511" s="9" t="s">
        <v>4846</v>
      </c>
      <c r="C1511" s="9" t="s">
        <v>12</v>
      </c>
      <c r="D1511" s="9" t="s">
        <v>4847</v>
      </c>
    </row>
    <row r="1512" ht="15.75" customHeight="1">
      <c r="A1512" s="7" t="s">
        <v>4849</v>
      </c>
      <c r="B1512" s="9" t="s">
        <v>4850</v>
      </c>
      <c r="C1512" s="9" t="s">
        <v>17</v>
      </c>
      <c r="D1512" s="9" t="s">
        <v>516</v>
      </c>
    </row>
    <row r="1513" ht="15.75" customHeight="1">
      <c r="A1513" s="7" t="s">
        <v>4852</v>
      </c>
      <c r="B1513" s="9" t="s">
        <v>4853</v>
      </c>
      <c r="C1513" s="9" t="s">
        <v>17</v>
      </c>
      <c r="D1513" s="9" t="s">
        <v>4854</v>
      </c>
    </row>
    <row r="1514" ht="15.75" customHeight="1">
      <c r="A1514" s="7" t="s">
        <v>4856</v>
      </c>
      <c r="B1514" s="9" t="s">
        <v>4857</v>
      </c>
      <c r="C1514" s="9" t="s">
        <v>12</v>
      </c>
      <c r="D1514" s="9" t="s">
        <v>4858</v>
      </c>
    </row>
    <row r="1515" ht="15.75" customHeight="1">
      <c r="A1515" s="7" t="s">
        <v>4859</v>
      </c>
      <c r="B1515" s="9" t="s">
        <v>4861</v>
      </c>
      <c r="C1515" s="9" t="s">
        <v>17</v>
      </c>
      <c r="D1515" s="9" t="s">
        <v>4862</v>
      </c>
    </row>
    <row r="1516" ht="15.75" customHeight="1">
      <c r="A1516" s="7" t="s">
        <v>4863</v>
      </c>
      <c r="B1516" s="9" t="s">
        <v>4865</v>
      </c>
      <c r="C1516" s="9" t="s">
        <v>17</v>
      </c>
      <c r="D1516" s="9" t="s">
        <v>516</v>
      </c>
    </row>
    <row r="1517" ht="15.75" customHeight="1">
      <c r="A1517" s="7" t="s">
        <v>4866</v>
      </c>
      <c r="B1517" s="9" t="s">
        <v>4868</v>
      </c>
      <c r="C1517" s="9" t="s">
        <v>17</v>
      </c>
      <c r="D1517" s="9" t="s">
        <v>3795</v>
      </c>
    </row>
    <row r="1518" ht="15.75" customHeight="1">
      <c r="A1518" s="7" t="s">
        <v>4870</v>
      </c>
      <c r="B1518" s="9" t="s">
        <v>4871</v>
      </c>
      <c r="C1518" s="9" t="s">
        <v>12</v>
      </c>
      <c r="D1518" s="9" t="s">
        <v>4872</v>
      </c>
    </row>
    <row r="1519" ht="15.75" customHeight="1">
      <c r="A1519" s="7" t="s">
        <v>4874</v>
      </c>
      <c r="B1519" s="9" t="s">
        <v>4875</v>
      </c>
      <c r="C1519" s="9" t="s">
        <v>12</v>
      </c>
      <c r="D1519" s="9" t="s">
        <v>1469</v>
      </c>
    </row>
    <row r="1520" ht="15.75" customHeight="1">
      <c r="A1520" s="7" t="s">
        <v>4876</v>
      </c>
      <c r="B1520" s="9" t="s">
        <v>4877</v>
      </c>
      <c r="C1520" s="9" t="s">
        <v>12</v>
      </c>
      <c r="D1520" s="9" t="s">
        <v>4879</v>
      </c>
    </row>
    <row r="1521" ht="15.75" customHeight="1">
      <c r="A1521" s="7" t="s">
        <v>4880</v>
      </c>
      <c r="B1521" s="9" t="s">
        <v>4881</v>
      </c>
      <c r="C1521" s="9" t="s">
        <v>12</v>
      </c>
      <c r="D1521" s="9" t="s">
        <v>4883</v>
      </c>
    </row>
    <row r="1522" ht="15.75" customHeight="1">
      <c r="A1522" s="7" t="s">
        <v>4884</v>
      </c>
      <c r="B1522" s="9" t="s">
        <v>4886</v>
      </c>
      <c r="C1522" s="9" t="s">
        <v>17</v>
      </c>
      <c r="D1522" s="9" t="s">
        <v>4887</v>
      </c>
    </row>
    <row r="1523" ht="15.75" customHeight="1">
      <c r="A1523" s="7" t="s">
        <v>4888</v>
      </c>
      <c r="B1523" s="9" t="s">
        <v>4889</v>
      </c>
      <c r="C1523" s="9" t="s">
        <v>12</v>
      </c>
      <c r="D1523" s="9" t="s">
        <v>2067</v>
      </c>
    </row>
    <row r="1524" ht="15.75" customHeight="1">
      <c r="A1524" s="7" t="s">
        <v>4891</v>
      </c>
      <c r="B1524" s="9" t="s">
        <v>4892</v>
      </c>
      <c r="C1524" s="9" t="s">
        <v>17</v>
      </c>
      <c r="D1524" s="9" t="s">
        <v>4893</v>
      </c>
    </row>
    <row r="1525" ht="15.75" customHeight="1">
      <c r="A1525" s="7" t="s">
        <v>4894</v>
      </c>
      <c r="B1525" s="9" t="s">
        <v>4895</v>
      </c>
      <c r="C1525" s="9" t="s">
        <v>17</v>
      </c>
      <c r="D1525" s="9" t="s">
        <v>753</v>
      </c>
    </row>
    <row r="1526" ht="15.75" customHeight="1">
      <c r="A1526" s="7" t="s">
        <v>4897</v>
      </c>
      <c r="B1526" s="9" t="s">
        <v>2796</v>
      </c>
      <c r="C1526" s="9" t="s">
        <v>17</v>
      </c>
      <c r="D1526" s="9" t="s">
        <v>4898</v>
      </c>
    </row>
    <row r="1527" ht="15.75" customHeight="1">
      <c r="A1527" s="7" t="s">
        <v>4896</v>
      </c>
      <c r="B1527" s="9" t="s">
        <v>4899</v>
      </c>
      <c r="C1527" s="9" t="s">
        <v>12</v>
      </c>
      <c r="D1527" s="9" t="s">
        <v>4900</v>
      </c>
    </row>
    <row r="1528" ht="15.75" customHeight="1">
      <c r="A1528" s="7" t="s">
        <v>4890</v>
      </c>
      <c r="B1528" s="9" t="s">
        <v>4901</v>
      </c>
      <c r="C1528" s="9" t="s">
        <v>12</v>
      </c>
      <c r="D1528" s="9" t="s">
        <v>4902</v>
      </c>
    </row>
    <row r="1529" ht="15.75" customHeight="1">
      <c r="A1529" s="7" t="s">
        <v>4885</v>
      </c>
      <c r="B1529" s="9" t="s">
        <v>4903</v>
      </c>
      <c r="C1529" s="9" t="s">
        <v>17</v>
      </c>
      <c r="D1529" s="9" t="s">
        <v>4904</v>
      </c>
    </row>
    <row r="1530" ht="15.75" customHeight="1">
      <c r="A1530" s="7" t="s">
        <v>4882</v>
      </c>
      <c r="B1530" s="9" t="s">
        <v>4905</v>
      </c>
      <c r="C1530" s="9" t="s">
        <v>12</v>
      </c>
      <c r="D1530" s="9" t="s">
        <v>4906</v>
      </c>
    </row>
    <row r="1531" ht="15.75" customHeight="1">
      <c r="A1531" s="7" t="s">
        <v>4878</v>
      </c>
      <c r="B1531" s="9" t="s">
        <v>946</v>
      </c>
      <c r="C1531" s="9" t="s">
        <v>12</v>
      </c>
      <c r="D1531" s="9" t="s">
        <v>288</v>
      </c>
    </row>
    <row r="1532" ht="15.75" customHeight="1">
      <c r="A1532" s="7" t="s">
        <v>4873</v>
      </c>
      <c r="B1532" s="9" t="s">
        <v>225</v>
      </c>
      <c r="C1532" s="9" t="s">
        <v>12</v>
      </c>
      <c r="D1532" s="9" t="s">
        <v>4907</v>
      </c>
    </row>
    <row r="1533" ht="15.75" customHeight="1">
      <c r="A1533" s="7" t="s">
        <v>4869</v>
      </c>
      <c r="B1533" s="9" t="s">
        <v>4908</v>
      </c>
      <c r="C1533" s="9" t="s">
        <v>17</v>
      </c>
      <c r="D1533" s="9" t="s">
        <v>4909</v>
      </c>
    </row>
    <row r="1534" ht="15.75" customHeight="1">
      <c r="A1534" s="7" t="s">
        <v>4867</v>
      </c>
      <c r="B1534" s="9" t="s">
        <v>4910</v>
      </c>
      <c r="C1534" s="9" t="s">
        <v>17</v>
      </c>
      <c r="D1534" s="9" t="s">
        <v>1296</v>
      </c>
    </row>
    <row r="1535" ht="15.75" customHeight="1">
      <c r="A1535" s="7" t="s">
        <v>4864</v>
      </c>
      <c r="B1535" s="9" t="s">
        <v>4911</v>
      </c>
      <c r="C1535" s="9" t="s">
        <v>12</v>
      </c>
      <c r="D1535" s="9" t="s">
        <v>304</v>
      </c>
    </row>
    <row r="1536" ht="15.75" customHeight="1">
      <c r="A1536" s="7" t="s">
        <v>4860</v>
      </c>
      <c r="B1536" s="9" t="s">
        <v>4912</v>
      </c>
      <c r="C1536" s="9" t="s">
        <v>17</v>
      </c>
      <c r="D1536" s="9" t="s">
        <v>111</v>
      </c>
    </row>
    <row r="1537" ht="15.75" customHeight="1">
      <c r="A1537" s="7" t="s">
        <v>4855</v>
      </c>
      <c r="B1537" s="9" t="s">
        <v>4913</v>
      </c>
      <c r="C1537" s="9" t="s">
        <v>17</v>
      </c>
      <c r="D1537" s="9" t="s">
        <v>183</v>
      </c>
    </row>
    <row r="1538" ht="15.75" customHeight="1">
      <c r="A1538" s="7" t="s">
        <v>4851</v>
      </c>
      <c r="B1538" s="9" t="s">
        <v>4914</v>
      </c>
      <c r="C1538" s="9" t="s">
        <v>12</v>
      </c>
      <c r="D1538" s="9" t="s">
        <v>4915</v>
      </c>
    </row>
    <row r="1539" ht="15.75" customHeight="1">
      <c r="A1539" s="7" t="s">
        <v>4848</v>
      </c>
      <c r="B1539" s="9" t="s">
        <v>4916</v>
      </c>
      <c r="C1539" s="9" t="s">
        <v>17</v>
      </c>
      <c r="D1539" s="9" t="s">
        <v>736</v>
      </c>
    </row>
    <row r="1540" ht="15.75" customHeight="1">
      <c r="A1540" s="7" t="s">
        <v>4844</v>
      </c>
      <c r="B1540" s="9" t="s">
        <v>4917</v>
      </c>
      <c r="C1540" s="9" t="s">
        <v>17</v>
      </c>
      <c r="D1540" s="9" t="s">
        <v>4918</v>
      </c>
    </row>
    <row r="1541" ht="15.75" customHeight="1">
      <c r="A1541" s="7" t="s">
        <v>4843</v>
      </c>
      <c r="B1541" s="9" t="s">
        <v>4919</v>
      </c>
      <c r="C1541" s="9" t="s">
        <v>12</v>
      </c>
      <c r="D1541" s="9" t="s">
        <v>4920</v>
      </c>
    </row>
    <row r="1542" ht="15.75" customHeight="1">
      <c r="A1542" s="7" t="s">
        <v>4840</v>
      </c>
      <c r="B1542" s="9" t="s">
        <v>4921</v>
      </c>
      <c r="C1542" s="9" t="s">
        <v>12</v>
      </c>
      <c r="D1542" s="9" t="s">
        <v>4922</v>
      </c>
    </row>
    <row r="1543" ht="15.75" customHeight="1">
      <c r="A1543" s="7" t="s">
        <v>4838</v>
      </c>
      <c r="B1543" s="9" t="s">
        <v>1145</v>
      </c>
      <c r="C1543" s="9" t="s">
        <v>17</v>
      </c>
      <c r="D1543" s="9" t="s">
        <v>4923</v>
      </c>
    </row>
    <row r="1544" ht="15.75" customHeight="1">
      <c r="A1544" s="7" t="s">
        <v>4833</v>
      </c>
      <c r="B1544" s="9" t="s">
        <v>4924</v>
      </c>
      <c r="C1544" s="9" t="s">
        <v>17</v>
      </c>
      <c r="D1544" s="9" t="s">
        <v>183</v>
      </c>
    </row>
    <row r="1545" ht="15.75" customHeight="1">
      <c r="A1545" s="7" t="s">
        <v>4828</v>
      </c>
      <c r="B1545" s="9" t="s">
        <v>4925</v>
      </c>
      <c r="C1545" s="9" t="s">
        <v>17</v>
      </c>
      <c r="D1545" s="9" t="s">
        <v>4926</v>
      </c>
    </row>
    <row r="1546" ht="15.75" customHeight="1">
      <c r="A1546" s="7" t="s">
        <v>4822</v>
      </c>
      <c r="B1546" s="9" t="s">
        <v>4927</v>
      </c>
      <c r="C1546" s="9" t="s">
        <v>17</v>
      </c>
      <c r="D1546" s="9" t="s">
        <v>4928</v>
      </c>
    </row>
    <row r="1547" ht="15.75" customHeight="1">
      <c r="A1547" s="7" t="s">
        <v>4819</v>
      </c>
      <c r="B1547" s="9" t="s">
        <v>4929</v>
      </c>
      <c r="C1547" s="9" t="s">
        <v>12</v>
      </c>
      <c r="D1547" s="9" t="s">
        <v>2551</v>
      </c>
    </row>
    <row r="1548" ht="15.75" customHeight="1">
      <c r="A1548" s="7" t="s">
        <v>4815</v>
      </c>
      <c r="B1548" s="9" t="s">
        <v>4930</v>
      </c>
      <c r="C1548" s="9" t="s">
        <v>12</v>
      </c>
      <c r="D1548" s="9" t="s">
        <v>4931</v>
      </c>
    </row>
    <row r="1549" ht="15.75" customHeight="1">
      <c r="A1549" s="7" t="s">
        <v>4812</v>
      </c>
      <c r="B1549" s="9" t="s">
        <v>4932</v>
      </c>
      <c r="C1549" s="9" t="s">
        <v>12</v>
      </c>
      <c r="D1549" s="9" t="s">
        <v>4933</v>
      </c>
    </row>
    <row r="1550" ht="15.75" customHeight="1">
      <c r="A1550" s="7" t="s">
        <v>4809</v>
      </c>
      <c r="B1550" s="9" t="s">
        <v>4357</v>
      </c>
      <c r="C1550" s="9" t="s">
        <v>17</v>
      </c>
      <c r="D1550" s="9" t="s">
        <v>4934</v>
      </c>
    </row>
    <row r="1551" ht="15.75" customHeight="1">
      <c r="A1551" s="7" t="s">
        <v>4806</v>
      </c>
      <c r="B1551" s="9" t="s">
        <v>4935</v>
      </c>
      <c r="C1551" s="9" t="s">
        <v>12</v>
      </c>
      <c r="D1551" s="9" t="s">
        <v>117</v>
      </c>
    </row>
    <row r="1552" ht="15.75" customHeight="1">
      <c r="A1552" s="7" t="s">
        <v>4802</v>
      </c>
      <c r="B1552" s="9" t="s">
        <v>4936</v>
      </c>
      <c r="C1552" s="9" t="s">
        <v>17</v>
      </c>
      <c r="D1552" s="9" t="s">
        <v>4937</v>
      </c>
    </row>
    <row r="1553" ht="15.75" customHeight="1">
      <c r="A1553" s="7" t="s">
        <v>4796</v>
      </c>
      <c r="B1553" s="9" t="s">
        <v>4020</v>
      </c>
      <c r="C1553" s="9" t="s">
        <v>17</v>
      </c>
      <c r="D1553" s="9" t="s">
        <v>1514</v>
      </c>
    </row>
    <row r="1554" ht="15.75" customHeight="1">
      <c r="A1554" s="7" t="s">
        <v>4792</v>
      </c>
      <c r="B1554" s="9" t="s">
        <v>4938</v>
      </c>
      <c r="C1554" s="9" t="s">
        <v>17</v>
      </c>
      <c r="D1554" s="9" t="s">
        <v>4939</v>
      </c>
    </row>
    <row r="1555" ht="15.75" customHeight="1">
      <c r="A1555" s="7" t="s">
        <v>4788</v>
      </c>
      <c r="B1555" s="9" t="s">
        <v>4940</v>
      </c>
      <c r="C1555" s="9" t="s">
        <v>12</v>
      </c>
      <c r="D1555" s="9" t="s">
        <v>4941</v>
      </c>
    </row>
    <row r="1556" ht="15.75" customHeight="1">
      <c r="A1556" s="7" t="s">
        <v>4783</v>
      </c>
      <c r="B1556" s="9" t="s">
        <v>4942</v>
      </c>
      <c r="C1556" s="9" t="s">
        <v>12</v>
      </c>
      <c r="D1556" s="9" t="s">
        <v>637</v>
      </c>
    </row>
    <row r="1557" ht="15.75" customHeight="1">
      <c r="A1557" s="7" t="s">
        <v>4779</v>
      </c>
      <c r="B1557" s="9" t="s">
        <v>3466</v>
      </c>
      <c r="C1557" s="9" t="s">
        <v>17</v>
      </c>
      <c r="D1557" s="9" t="s">
        <v>4943</v>
      </c>
    </row>
    <row r="1558" ht="15.75" customHeight="1">
      <c r="A1558" s="7" t="s">
        <v>4774</v>
      </c>
      <c r="B1558" s="9" t="s">
        <v>4944</v>
      </c>
      <c r="C1558" s="9" t="s">
        <v>12</v>
      </c>
      <c r="D1558" s="9" t="s">
        <v>4945</v>
      </c>
    </row>
    <row r="1559" ht="15.75" customHeight="1">
      <c r="A1559" s="7" t="s">
        <v>4771</v>
      </c>
      <c r="B1559" s="9" t="s">
        <v>4946</v>
      </c>
      <c r="C1559" s="9" t="s">
        <v>12</v>
      </c>
      <c r="D1559" s="9" t="s">
        <v>4488</v>
      </c>
    </row>
    <row r="1560" ht="15.75" customHeight="1">
      <c r="A1560" s="7" t="s">
        <v>4768</v>
      </c>
      <c r="B1560" s="9" t="s">
        <v>4947</v>
      </c>
      <c r="C1560" s="9" t="s">
        <v>12</v>
      </c>
      <c r="D1560" s="9" t="s">
        <v>4948</v>
      </c>
    </row>
    <row r="1561" ht="15.75" customHeight="1">
      <c r="A1561" s="7" t="s">
        <v>4764</v>
      </c>
      <c r="B1561" s="9" t="s">
        <v>4949</v>
      </c>
      <c r="C1561" s="9" t="s">
        <v>12</v>
      </c>
      <c r="D1561" s="9" t="s">
        <v>4950</v>
      </c>
    </row>
    <row r="1562" ht="15.75" customHeight="1">
      <c r="A1562" s="7" t="s">
        <v>4761</v>
      </c>
      <c r="B1562" s="9" t="s">
        <v>4951</v>
      </c>
      <c r="C1562" s="9" t="s">
        <v>17</v>
      </c>
      <c r="D1562" s="9" t="s">
        <v>4952</v>
      </c>
    </row>
    <row r="1563" ht="15.75" customHeight="1">
      <c r="A1563" s="7" t="s">
        <v>4757</v>
      </c>
      <c r="B1563" s="9" t="s">
        <v>4953</v>
      </c>
      <c r="C1563" s="9" t="s">
        <v>17</v>
      </c>
      <c r="D1563" s="9" t="s">
        <v>4954</v>
      </c>
    </row>
    <row r="1564" ht="15.75" customHeight="1">
      <c r="A1564" s="7" t="s">
        <v>4752</v>
      </c>
      <c r="B1564" s="9" t="s">
        <v>4955</v>
      </c>
      <c r="C1564" s="9" t="s">
        <v>17</v>
      </c>
      <c r="D1564" s="9" t="s">
        <v>4956</v>
      </c>
    </row>
    <row r="1565" ht="15.75" customHeight="1">
      <c r="A1565" s="7" t="s">
        <v>4749</v>
      </c>
      <c r="B1565" s="9" t="s">
        <v>183</v>
      </c>
      <c r="C1565" s="9" t="s">
        <v>17</v>
      </c>
      <c r="D1565" s="9" t="s">
        <v>506</v>
      </c>
    </row>
    <row r="1566" ht="15.75" customHeight="1">
      <c r="A1566" s="7" t="s">
        <v>4746</v>
      </c>
      <c r="B1566" s="9" t="s">
        <v>2823</v>
      </c>
      <c r="C1566" s="9" t="s">
        <v>17</v>
      </c>
      <c r="D1566" s="9" t="s">
        <v>4957</v>
      </c>
    </row>
    <row r="1567" ht="15.75" customHeight="1">
      <c r="A1567" s="7" t="s">
        <v>4741</v>
      </c>
      <c r="B1567" s="9" t="s">
        <v>4958</v>
      </c>
      <c r="C1567" s="9" t="s">
        <v>12</v>
      </c>
      <c r="D1567" s="9" t="s">
        <v>4959</v>
      </c>
    </row>
    <row r="1568" ht="15.75" customHeight="1">
      <c r="A1568" s="7" t="s">
        <v>4737</v>
      </c>
      <c r="B1568" s="9" t="s">
        <v>4960</v>
      </c>
      <c r="C1568" s="9" t="s">
        <v>12</v>
      </c>
      <c r="D1568" s="9" t="s">
        <v>1172</v>
      </c>
    </row>
    <row r="1569" ht="15.75" customHeight="1">
      <c r="A1569" s="7" t="s">
        <v>4734</v>
      </c>
      <c r="B1569" s="9" t="s">
        <v>1725</v>
      </c>
      <c r="C1569" s="9" t="s">
        <v>17</v>
      </c>
      <c r="D1569" s="9" t="s">
        <v>4961</v>
      </c>
    </row>
    <row r="1570" ht="15.75" customHeight="1">
      <c r="A1570" s="7" t="s">
        <v>4730</v>
      </c>
      <c r="B1570" s="9" t="s">
        <v>4962</v>
      </c>
      <c r="C1570" s="9" t="s">
        <v>12</v>
      </c>
      <c r="D1570" s="9" t="s">
        <v>4963</v>
      </c>
    </row>
    <row r="1571" ht="15.75" customHeight="1">
      <c r="A1571" s="7" t="s">
        <v>4724</v>
      </c>
      <c r="B1571" s="9" t="s">
        <v>4964</v>
      </c>
      <c r="C1571" s="9" t="s">
        <v>17</v>
      </c>
      <c r="D1571" s="9" t="s">
        <v>3332</v>
      </c>
    </row>
    <row r="1572" ht="15.75" customHeight="1">
      <c r="A1572" s="7" t="s">
        <v>4718</v>
      </c>
      <c r="B1572" s="9" t="s">
        <v>4965</v>
      </c>
      <c r="C1572" s="9" t="s">
        <v>12</v>
      </c>
      <c r="D1572" s="9" t="s">
        <v>3347</v>
      </c>
    </row>
    <row r="1573" ht="15.75" customHeight="1">
      <c r="A1573" s="7" t="s">
        <v>4713</v>
      </c>
      <c r="B1573" s="9" t="s">
        <v>1558</v>
      </c>
      <c r="C1573" s="9" t="s">
        <v>17</v>
      </c>
      <c r="D1573" s="9" t="s">
        <v>4966</v>
      </c>
    </row>
    <row r="1574" ht="15.75" customHeight="1">
      <c r="A1574" s="7" t="s">
        <v>4708</v>
      </c>
      <c r="B1574" s="9" t="s">
        <v>4967</v>
      </c>
      <c r="C1574" s="9" t="s">
        <v>17</v>
      </c>
      <c r="D1574" s="9" t="s">
        <v>4968</v>
      </c>
    </row>
    <row r="1575" ht="15.75" customHeight="1">
      <c r="A1575" s="7" t="s">
        <v>4705</v>
      </c>
      <c r="B1575" s="9" t="s">
        <v>4969</v>
      </c>
      <c r="C1575" s="9" t="s">
        <v>17</v>
      </c>
      <c r="D1575" s="9" t="s">
        <v>4970</v>
      </c>
    </row>
    <row r="1576" ht="15.75" customHeight="1">
      <c r="A1576" s="7" t="s">
        <v>4702</v>
      </c>
      <c r="B1576" s="9" t="s">
        <v>4971</v>
      </c>
      <c r="C1576" s="9" t="s">
        <v>17</v>
      </c>
      <c r="D1576" s="9" t="s">
        <v>105</v>
      </c>
    </row>
    <row r="1577" ht="15.75" customHeight="1">
      <c r="A1577" s="7" t="s">
        <v>4697</v>
      </c>
      <c r="B1577" s="9" t="s">
        <v>1769</v>
      </c>
      <c r="C1577" s="9" t="s">
        <v>12</v>
      </c>
      <c r="D1577" s="9" t="s">
        <v>4972</v>
      </c>
    </row>
    <row r="1578" ht="15.75" customHeight="1">
      <c r="A1578" s="7" t="s">
        <v>4693</v>
      </c>
      <c r="B1578" s="9" t="s">
        <v>4973</v>
      </c>
      <c r="C1578" s="9" t="s">
        <v>17</v>
      </c>
      <c r="D1578" s="9" t="s">
        <v>4974</v>
      </c>
    </row>
    <row r="1579" ht="15.75" customHeight="1">
      <c r="A1579" s="7" t="s">
        <v>4689</v>
      </c>
      <c r="B1579" s="9" t="s">
        <v>4975</v>
      </c>
      <c r="C1579" s="9" t="s">
        <v>17</v>
      </c>
      <c r="D1579" s="9" t="s">
        <v>4976</v>
      </c>
    </row>
    <row r="1580" ht="15.75" customHeight="1">
      <c r="A1580" s="7" t="s">
        <v>4686</v>
      </c>
      <c r="B1580" s="9" t="s">
        <v>2079</v>
      </c>
      <c r="C1580" s="9" t="s">
        <v>12</v>
      </c>
      <c r="D1580" s="9" t="s">
        <v>4977</v>
      </c>
    </row>
    <row r="1581" ht="15.75" customHeight="1">
      <c r="A1581" s="7" t="s">
        <v>4682</v>
      </c>
      <c r="B1581" s="9" t="s">
        <v>4978</v>
      </c>
      <c r="C1581" s="9" t="s">
        <v>17</v>
      </c>
      <c r="D1581" s="9" t="s">
        <v>509</v>
      </c>
    </row>
    <row r="1582" ht="15.75" customHeight="1">
      <c r="A1582" s="7" t="s">
        <v>4680</v>
      </c>
      <c r="B1582" s="9" t="s">
        <v>4979</v>
      </c>
      <c r="C1582" s="9" t="s">
        <v>17</v>
      </c>
      <c r="D1582" s="9" t="s">
        <v>4980</v>
      </c>
    </row>
    <row r="1583" ht="15.75" customHeight="1">
      <c r="A1583" s="7" t="s">
        <v>4677</v>
      </c>
      <c r="B1583" s="9" t="s">
        <v>307</v>
      </c>
      <c r="C1583" s="9" t="s">
        <v>17</v>
      </c>
      <c r="D1583" s="9" t="s">
        <v>4981</v>
      </c>
    </row>
    <row r="1584" ht="15.75" customHeight="1">
      <c r="A1584" s="7" t="s">
        <v>4672</v>
      </c>
      <c r="B1584" s="9" t="s">
        <v>4982</v>
      </c>
      <c r="C1584" s="9" t="s">
        <v>1573</v>
      </c>
      <c r="D1584" s="9" t="s">
        <v>4983</v>
      </c>
    </row>
    <row r="1585" ht="15.75" customHeight="1">
      <c r="A1585" s="7" t="s">
        <v>4668</v>
      </c>
      <c r="B1585" s="9" t="s">
        <v>4984</v>
      </c>
      <c r="C1585" s="9" t="s">
        <v>12</v>
      </c>
      <c r="D1585" s="9" t="s">
        <v>4985</v>
      </c>
    </row>
    <row r="1586" ht="15.75" customHeight="1">
      <c r="A1586" s="7" t="s">
        <v>4665</v>
      </c>
      <c r="B1586" s="9" t="s">
        <v>4986</v>
      </c>
      <c r="C1586" s="9" t="s">
        <v>1573</v>
      </c>
      <c r="D1586" s="9" t="s">
        <v>4987</v>
      </c>
    </row>
    <row r="1587" ht="15.75" customHeight="1">
      <c r="A1587" s="7" t="s">
        <v>4660</v>
      </c>
      <c r="B1587" s="9" t="s">
        <v>4988</v>
      </c>
      <c r="C1587" s="9" t="s">
        <v>12</v>
      </c>
      <c r="D1587" s="9" t="s">
        <v>4989</v>
      </c>
    </row>
    <row r="1588" ht="15.75" customHeight="1">
      <c r="A1588" s="7" t="s">
        <v>4656</v>
      </c>
      <c r="B1588" s="9" t="s">
        <v>4990</v>
      </c>
      <c r="C1588" s="9" t="s">
        <v>17</v>
      </c>
      <c r="D1588" s="9" t="s">
        <v>4991</v>
      </c>
    </row>
    <row r="1589" ht="15.75" customHeight="1">
      <c r="A1589" s="7" t="s">
        <v>4655</v>
      </c>
      <c r="B1589" s="9" t="s">
        <v>4992</v>
      </c>
      <c r="C1589" s="9" t="s">
        <v>17</v>
      </c>
      <c r="D1589" s="9" t="s">
        <v>4993</v>
      </c>
    </row>
    <row r="1590" ht="15.75" customHeight="1">
      <c r="A1590" s="7" t="s">
        <v>4652</v>
      </c>
      <c r="B1590" s="9" t="s">
        <v>4994</v>
      </c>
      <c r="C1590" s="9" t="s">
        <v>12</v>
      </c>
      <c r="D1590" s="9" t="s">
        <v>4995</v>
      </c>
    </row>
    <row r="1591" ht="15.75" customHeight="1">
      <c r="A1591" s="7" t="s">
        <v>4647</v>
      </c>
      <c r="B1591" s="9" t="s">
        <v>960</v>
      </c>
      <c r="C1591" s="9" t="s">
        <v>17</v>
      </c>
      <c r="D1591" s="9" t="s">
        <v>1335</v>
      </c>
    </row>
    <row r="1592" ht="15.75" customHeight="1">
      <c r="A1592" s="7" t="s">
        <v>4643</v>
      </c>
      <c r="B1592" s="9" t="s">
        <v>4996</v>
      </c>
      <c r="C1592" s="9" t="s">
        <v>17</v>
      </c>
      <c r="D1592" s="9" t="s">
        <v>1674</v>
      </c>
    </row>
    <row r="1593" ht="15.75" customHeight="1">
      <c r="A1593" s="7" t="s">
        <v>4638</v>
      </c>
      <c r="B1593" s="9" t="s">
        <v>4997</v>
      </c>
      <c r="C1593" s="9" t="s">
        <v>17</v>
      </c>
      <c r="D1593" s="9" t="s">
        <v>708</v>
      </c>
    </row>
    <row r="1594" ht="15.75" customHeight="1">
      <c r="A1594" s="7" t="s">
        <v>4634</v>
      </c>
      <c r="B1594" s="9" t="s">
        <v>4998</v>
      </c>
      <c r="C1594" s="9" t="s">
        <v>1573</v>
      </c>
      <c r="D1594" s="9" t="s">
        <v>1705</v>
      </c>
    </row>
    <row r="1595" ht="15.75" customHeight="1">
      <c r="A1595" s="7" t="s">
        <v>4631</v>
      </c>
      <c r="B1595" s="9" t="s">
        <v>4999</v>
      </c>
      <c r="C1595" s="9" t="s">
        <v>17</v>
      </c>
      <c r="D1595" s="9" t="s">
        <v>5000</v>
      </c>
    </row>
    <row r="1596" ht="15.75" customHeight="1">
      <c r="A1596" s="7" t="s">
        <v>4630</v>
      </c>
      <c r="B1596" s="9" t="s">
        <v>5001</v>
      </c>
      <c r="C1596" s="9" t="s">
        <v>12</v>
      </c>
      <c r="D1596" s="9" t="s">
        <v>623</v>
      </c>
    </row>
    <row r="1597" ht="15.75" customHeight="1">
      <c r="A1597" s="7" t="s">
        <v>4629</v>
      </c>
      <c r="B1597" s="9" t="s">
        <v>5002</v>
      </c>
      <c r="C1597" s="9" t="s">
        <v>1573</v>
      </c>
      <c r="D1597" s="9" t="s">
        <v>5003</v>
      </c>
    </row>
    <row r="1598" ht="15.75" customHeight="1">
      <c r="A1598" s="7" t="s">
        <v>4628</v>
      </c>
      <c r="B1598" s="9" t="s">
        <v>5004</v>
      </c>
      <c r="C1598" s="9" t="s">
        <v>17</v>
      </c>
      <c r="D1598" s="9" t="s">
        <v>5005</v>
      </c>
    </row>
    <row r="1599" ht="15.75" customHeight="1">
      <c r="A1599" s="7" t="s">
        <v>4627</v>
      </c>
      <c r="B1599" s="9" t="s">
        <v>5006</v>
      </c>
      <c r="C1599" s="9" t="s">
        <v>17</v>
      </c>
      <c r="D1599" s="9" t="s">
        <v>5007</v>
      </c>
    </row>
    <row r="1600" ht="15.75" customHeight="1">
      <c r="A1600" s="7" t="s">
        <v>4626</v>
      </c>
      <c r="B1600" s="9" t="s">
        <v>2964</v>
      </c>
      <c r="C1600" s="9" t="s">
        <v>17</v>
      </c>
      <c r="D1600" s="9" t="s">
        <v>5008</v>
      </c>
    </row>
    <row r="1601" ht="15.75" customHeight="1">
      <c r="A1601" s="7" t="s">
        <v>4624</v>
      </c>
      <c r="B1601" s="9" t="s">
        <v>5009</v>
      </c>
      <c r="C1601" s="9" t="s">
        <v>17</v>
      </c>
      <c r="D1601" s="9" t="s">
        <v>1272</v>
      </c>
    </row>
    <row r="1602" ht="15.75" customHeight="1">
      <c r="A1602" s="7" t="s">
        <v>4621</v>
      </c>
      <c r="B1602" s="9" t="s">
        <v>5010</v>
      </c>
      <c r="C1602" s="9" t="s">
        <v>12</v>
      </c>
      <c r="D1602" s="9" t="s">
        <v>5011</v>
      </c>
    </row>
    <row r="1603" ht="15.75" customHeight="1">
      <c r="A1603" s="7" t="s">
        <v>4617</v>
      </c>
      <c r="B1603" s="9" t="s">
        <v>5012</v>
      </c>
      <c r="C1603" s="9" t="s">
        <v>17</v>
      </c>
      <c r="D1603" s="9" t="s">
        <v>2794</v>
      </c>
    </row>
    <row r="1604" ht="15.75" customHeight="1">
      <c r="A1604" s="7" t="s">
        <v>4614</v>
      </c>
      <c r="B1604" s="9" t="s">
        <v>5013</v>
      </c>
      <c r="C1604" s="9" t="s">
        <v>17</v>
      </c>
      <c r="D1604" s="9" t="s">
        <v>442</v>
      </c>
    </row>
    <row r="1605" ht="15.75" customHeight="1">
      <c r="A1605" s="7" t="s">
        <v>4611</v>
      </c>
      <c r="B1605" s="9" t="s">
        <v>2542</v>
      </c>
      <c r="C1605" s="9" t="s">
        <v>17</v>
      </c>
      <c r="D1605" s="9" t="s">
        <v>5014</v>
      </c>
    </row>
    <row r="1606" ht="15.75" customHeight="1">
      <c r="A1606" s="7" t="s">
        <v>4607</v>
      </c>
      <c r="B1606" s="9" t="s">
        <v>5015</v>
      </c>
      <c r="C1606" s="9" t="s">
        <v>1573</v>
      </c>
      <c r="D1606" s="9" t="s">
        <v>3966</v>
      </c>
    </row>
    <row r="1607" ht="15.75" customHeight="1">
      <c r="A1607" s="7" t="s">
        <v>4604</v>
      </c>
      <c r="B1607" s="9" t="s">
        <v>5016</v>
      </c>
      <c r="C1607" s="9" t="s">
        <v>17</v>
      </c>
      <c r="D1607" s="9" t="s">
        <v>320</v>
      </c>
    </row>
    <row r="1608" ht="15.75" customHeight="1">
      <c r="A1608" s="7" t="s">
        <v>4598</v>
      </c>
      <c r="B1608" s="9" t="s">
        <v>183</v>
      </c>
      <c r="C1608" s="9" t="s">
        <v>17</v>
      </c>
      <c r="D1608" s="9" t="s">
        <v>5017</v>
      </c>
    </row>
    <row r="1609" ht="15.75" customHeight="1">
      <c r="A1609" s="7" t="s">
        <v>4593</v>
      </c>
      <c r="B1609" s="9" t="s">
        <v>5018</v>
      </c>
      <c r="C1609" s="9" t="s">
        <v>12</v>
      </c>
      <c r="D1609" s="9" t="s">
        <v>5019</v>
      </c>
    </row>
    <row r="1610" ht="15.75" customHeight="1">
      <c r="A1610" s="7" t="s">
        <v>4589</v>
      </c>
      <c r="B1610" s="9" t="s">
        <v>5020</v>
      </c>
      <c r="C1610" s="9" t="s">
        <v>12</v>
      </c>
      <c r="D1610" s="9" t="s">
        <v>1705</v>
      </c>
    </row>
    <row r="1611" ht="15.75" customHeight="1">
      <c r="A1611" s="7" t="s">
        <v>4586</v>
      </c>
      <c r="B1611" s="9" t="s">
        <v>5021</v>
      </c>
      <c r="C1611" s="9" t="s">
        <v>12</v>
      </c>
      <c r="D1611" s="9" t="s">
        <v>5022</v>
      </c>
    </row>
    <row r="1612" ht="15.75" customHeight="1">
      <c r="A1612" s="7" t="s">
        <v>4582</v>
      </c>
      <c r="B1612" s="9" t="s">
        <v>5023</v>
      </c>
      <c r="C1612" s="9" t="s">
        <v>12</v>
      </c>
      <c r="D1612" s="9" t="s">
        <v>5024</v>
      </c>
    </row>
    <row r="1613" ht="15.75" customHeight="1">
      <c r="A1613" s="7" t="s">
        <v>4577</v>
      </c>
      <c r="B1613" s="9" t="s">
        <v>5025</v>
      </c>
      <c r="C1613" s="9" t="s">
        <v>12</v>
      </c>
      <c r="D1613" s="9" t="s">
        <v>1293</v>
      </c>
    </row>
    <row r="1614" ht="15.75" customHeight="1">
      <c r="A1614" s="7" t="s">
        <v>4573</v>
      </c>
      <c r="B1614" s="9" t="s">
        <v>5026</v>
      </c>
      <c r="C1614" s="9" t="s">
        <v>17</v>
      </c>
      <c r="D1614" s="9" t="s">
        <v>5027</v>
      </c>
    </row>
    <row r="1615" ht="15.75" customHeight="1">
      <c r="A1615" s="7" t="s">
        <v>4570</v>
      </c>
      <c r="B1615" s="9" t="s">
        <v>5028</v>
      </c>
      <c r="C1615" s="9" t="s">
        <v>12</v>
      </c>
      <c r="D1615" s="9" t="s">
        <v>5029</v>
      </c>
    </row>
    <row r="1616" ht="15.75" customHeight="1">
      <c r="A1616" s="7" t="s">
        <v>4566</v>
      </c>
      <c r="B1616" s="9" t="s">
        <v>5030</v>
      </c>
      <c r="C1616" s="9" t="s">
        <v>17</v>
      </c>
      <c r="D1616" s="9" t="s">
        <v>736</v>
      </c>
    </row>
    <row r="1617" ht="15.75" customHeight="1">
      <c r="A1617" s="7" t="s">
        <v>4563</v>
      </c>
      <c r="B1617" s="9" t="s">
        <v>5031</v>
      </c>
      <c r="C1617" s="9" t="s">
        <v>12</v>
      </c>
      <c r="D1617" s="9" t="s">
        <v>5032</v>
      </c>
    </row>
    <row r="1618" ht="15.75" customHeight="1">
      <c r="A1618" s="7" t="s">
        <v>4559</v>
      </c>
      <c r="B1618" s="9" t="s">
        <v>5033</v>
      </c>
      <c r="C1618" s="9" t="s">
        <v>17</v>
      </c>
      <c r="D1618" s="9" t="s">
        <v>5034</v>
      </c>
    </row>
    <row r="1619" ht="15.75" customHeight="1">
      <c r="A1619" s="7" t="s">
        <v>4555</v>
      </c>
      <c r="B1619" s="9" t="s">
        <v>5035</v>
      </c>
      <c r="C1619" s="9" t="s">
        <v>12</v>
      </c>
      <c r="D1619" s="9" t="s">
        <v>3188</v>
      </c>
    </row>
    <row r="1620" ht="15.75" customHeight="1">
      <c r="A1620" s="7" t="s">
        <v>4551</v>
      </c>
      <c r="B1620" s="9" t="s">
        <v>189</v>
      </c>
      <c r="C1620" s="9" t="s">
        <v>17</v>
      </c>
      <c r="D1620" s="9" t="s">
        <v>5036</v>
      </c>
    </row>
    <row r="1621" ht="15.75" customHeight="1">
      <c r="A1621" s="7" t="s">
        <v>4545</v>
      </c>
      <c r="B1621" s="9" t="s">
        <v>5037</v>
      </c>
      <c r="C1621" s="9" t="s">
        <v>12</v>
      </c>
      <c r="D1621" s="9" t="s">
        <v>5038</v>
      </c>
    </row>
    <row r="1622" ht="15.75" customHeight="1">
      <c r="A1622" s="7" t="s">
        <v>4541</v>
      </c>
      <c r="B1622" s="9" t="s">
        <v>5039</v>
      </c>
      <c r="C1622" s="9" t="s">
        <v>12</v>
      </c>
      <c r="D1622" s="9" t="s">
        <v>5040</v>
      </c>
    </row>
    <row r="1623" ht="15.75" customHeight="1">
      <c r="A1623" s="7" t="s">
        <v>4537</v>
      </c>
      <c r="B1623" s="9" t="s">
        <v>5041</v>
      </c>
      <c r="C1623" s="9" t="s">
        <v>17</v>
      </c>
      <c r="D1623" s="9" t="s">
        <v>603</v>
      </c>
    </row>
    <row r="1624" ht="15.75" customHeight="1">
      <c r="A1624" s="7" t="s">
        <v>4530</v>
      </c>
      <c r="B1624" s="9" t="s">
        <v>5042</v>
      </c>
      <c r="C1624" s="9" t="s">
        <v>17</v>
      </c>
      <c r="D1624" s="9" t="s">
        <v>1943</v>
      </c>
    </row>
    <row r="1625" ht="15.75" customHeight="1">
      <c r="A1625" s="7" t="s">
        <v>4525</v>
      </c>
      <c r="B1625" s="9" t="s">
        <v>5043</v>
      </c>
      <c r="C1625" s="9" t="s">
        <v>12</v>
      </c>
      <c r="D1625" s="9" t="s">
        <v>1374</v>
      </c>
    </row>
    <row r="1626" ht="15.75" customHeight="1">
      <c r="A1626" s="7" t="s">
        <v>4520</v>
      </c>
      <c r="B1626" s="9" t="s">
        <v>5044</v>
      </c>
      <c r="C1626" s="9" t="s">
        <v>12</v>
      </c>
      <c r="D1626" s="9" t="s">
        <v>304</v>
      </c>
    </row>
    <row r="1627" ht="15.75" customHeight="1">
      <c r="A1627" s="7" t="s">
        <v>4517</v>
      </c>
      <c r="B1627" s="9" t="s">
        <v>3298</v>
      </c>
      <c r="C1627" s="9" t="s">
        <v>1573</v>
      </c>
      <c r="D1627" s="9" t="s">
        <v>5045</v>
      </c>
    </row>
    <row r="1628" ht="15.75" customHeight="1">
      <c r="A1628" s="7" t="s">
        <v>4512</v>
      </c>
      <c r="B1628" s="9" t="s">
        <v>5046</v>
      </c>
      <c r="C1628" s="9" t="s">
        <v>12</v>
      </c>
      <c r="D1628" s="9" t="s">
        <v>5047</v>
      </c>
    </row>
    <row r="1629" ht="15.75" customHeight="1">
      <c r="A1629" s="7" t="s">
        <v>4508</v>
      </c>
      <c r="B1629" s="9" t="s">
        <v>5048</v>
      </c>
      <c r="C1629" s="9" t="s">
        <v>17</v>
      </c>
      <c r="D1629" s="9" t="s">
        <v>291</v>
      </c>
    </row>
    <row r="1630" ht="15.75" customHeight="1">
      <c r="A1630" s="7" t="s">
        <v>4505</v>
      </c>
      <c r="B1630" s="9" t="s">
        <v>5049</v>
      </c>
      <c r="C1630" s="9" t="s">
        <v>17</v>
      </c>
      <c r="D1630" s="9" t="s">
        <v>5050</v>
      </c>
    </row>
    <row r="1631" ht="15.75" customHeight="1">
      <c r="A1631" s="7" t="s">
        <v>4501</v>
      </c>
      <c r="B1631" s="9" t="s">
        <v>5051</v>
      </c>
      <c r="C1631" s="9" t="s">
        <v>12</v>
      </c>
      <c r="D1631" s="9" t="s">
        <v>5052</v>
      </c>
    </row>
    <row r="1632" ht="15.75" customHeight="1">
      <c r="A1632" s="7" t="s">
        <v>4497</v>
      </c>
      <c r="B1632" s="9" t="s">
        <v>3279</v>
      </c>
      <c r="C1632" s="9" t="s">
        <v>17</v>
      </c>
      <c r="D1632" s="9" t="s">
        <v>736</v>
      </c>
    </row>
    <row r="1633" ht="15.75" customHeight="1">
      <c r="A1633" s="7" t="s">
        <v>4493</v>
      </c>
      <c r="B1633" s="9" t="s">
        <v>4914</v>
      </c>
      <c r="C1633" s="9" t="s">
        <v>17</v>
      </c>
      <c r="D1633" s="9" t="s">
        <v>5053</v>
      </c>
    </row>
    <row r="1634" ht="15.75" customHeight="1">
      <c r="A1634" s="7" t="s">
        <v>4485</v>
      </c>
      <c r="B1634" s="9" t="s">
        <v>5054</v>
      </c>
      <c r="C1634" s="9" t="s">
        <v>12</v>
      </c>
      <c r="D1634" s="9" t="s">
        <v>3738</v>
      </c>
    </row>
    <row r="1635" ht="15.75" customHeight="1">
      <c r="A1635" s="7" t="s">
        <v>4481</v>
      </c>
      <c r="B1635" s="9" t="s">
        <v>5055</v>
      </c>
      <c r="C1635" s="9" t="s">
        <v>17</v>
      </c>
      <c r="D1635" s="9" t="s">
        <v>5056</v>
      </c>
    </row>
    <row r="1636" ht="15.75" customHeight="1">
      <c r="A1636" s="7" t="s">
        <v>4477</v>
      </c>
      <c r="B1636" s="9" t="s">
        <v>5057</v>
      </c>
      <c r="C1636" s="9" t="s">
        <v>12</v>
      </c>
      <c r="D1636" s="9" t="s">
        <v>5058</v>
      </c>
    </row>
    <row r="1637" ht="15.75" customHeight="1">
      <c r="A1637" s="7" t="s">
        <v>4473</v>
      </c>
      <c r="B1637" s="9" t="s">
        <v>5059</v>
      </c>
      <c r="C1637" s="9" t="s">
        <v>12</v>
      </c>
      <c r="D1637" s="9" t="s">
        <v>1577</v>
      </c>
    </row>
    <row r="1638" ht="15.75" customHeight="1">
      <c r="A1638" s="7" t="s">
        <v>4467</v>
      </c>
      <c r="B1638" s="9" t="s">
        <v>5060</v>
      </c>
      <c r="C1638" s="9" t="s">
        <v>12</v>
      </c>
      <c r="D1638" s="9" t="s">
        <v>5061</v>
      </c>
    </row>
    <row r="1639" ht="15.75" customHeight="1">
      <c r="A1639" s="7" t="s">
        <v>4464</v>
      </c>
      <c r="B1639" s="9" t="s">
        <v>4308</v>
      </c>
      <c r="C1639" s="9" t="s">
        <v>12</v>
      </c>
      <c r="D1639" s="9" t="s">
        <v>5062</v>
      </c>
    </row>
    <row r="1640" ht="15.75" customHeight="1">
      <c r="A1640" s="7" t="s">
        <v>4460</v>
      </c>
      <c r="B1640" s="9" t="s">
        <v>788</v>
      </c>
      <c r="C1640" s="9" t="s">
        <v>17</v>
      </c>
      <c r="D1640" s="9" t="s">
        <v>5063</v>
      </c>
    </row>
    <row r="1641" ht="15.75" customHeight="1">
      <c r="A1641" s="7" t="s">
        <v>4454</v>
      </c>
      <c r="B1641" s="9" t="s">
        <v>5064</v>
      </c>
      <c r="C1641" s="9" t="s">
        <v>12</v>
      </c>
      <c r="D1641" s="9" t="s">
        <v>5065</v>
      </c>
    </row>
    <row r="1642" ht="15.75" customHeight="1">
      <c r="A1642" s="7" t="s">
        <v>4449</v>
      </c>
      <c r="B1642" s="9" t="s">
        <v>5066</v>
      </c>
      <c r="C1642" s="9" t="s">
        <v>12</v>
      </c>
      <c r="D1642" s="9" t="s">
        <v>5067</v>
      </c>
    </row>
    <row r="1643" ht="15.75" customHeight="1">
      <c r="A1643" s="7" t="s">
        <v>4443</v>
      </c>
      <c r="B1643" s="9" t="s">
        <v>1490</v>
      </c>
      <c r="C1643" s="9" t="s">
        <v>12</v>
      </c>
      <c r="D1643" s="9" t="s">
        <v>1500</v>
      </c>
    </row>
    <row r="1644" ht="15.75" customHeight="1">
      <c r="A1644" s="7" t="s">
        <v>4438</v>
      </c>
      <c r="B1644" s="9" t="s">
        <v>5068</v>
      </c>
      <c r="C1644" s="9" t="s">
        <v>12</v>
      </c>
      <c r="D1644" s="9" t="s">
        <v>1671</v>
      </c>
    </row>
    <row r="1645" ht="15.75" customHeight="1">
      <c r="A1645" s="7" t="s">
        <v>4433</v>
      </c>
      <c r="B1645" s="9" t="s">
        <v>1772</v>
      </c>
      <c r="C1645" s="9" t="s">
        <v>17</v>
      </c>
      <c r="D1645" s="9" t="s">
        <v>561</v>
      </c>
    </row>
    <row r="1646" ht="15.75" customHeight="1">
      <c r="A1646" s="7" t="s">
        <v>4428</v>
      </c>
      <c r="B1646" s="9" t="s">
        <v>2511</v>
      </c>
      <c r="C1646" s="9" t="s">
        <v>17</v>
      </c>
      <c r="D1646" s="9" t="s">
        <v>5069</v>
      </c>
    </row>
    <row r="1647" ht="15.75" customHeight="1">
      <c r="A1647" s="7" t="s">
        <v>4424</v>
      </c>
      <c r="B1647" s="9" t="s">
        <v>5070</v>
      </c>
      <c r="C1647" s="9" t="s">
        <v>1573</v>
      </c>
      <c r="D1647" s="9" t="s">
        <v>4002</v>
      </c>
    </row>
    <row r="1648" ht="15.75" customHeight="1">
      <c r="A1648" s="7" t="s">
        <v>4421</v>
      </c>
      <c r="B1648" s="9" t="s">
        <v>5071</v>
      </c>
      <c r="C1648" s="9" t="s">
        <v>17</v>
      </c>
      <c r="D1648" s="9" t="s">
        <v>577</v>
      </c>
    </row>
    <row r="1649" ht="15.75" customHeight="1">
      <c r="A1649" s="7" t="s">
        <v>4418</v>
      </c>
      <c r="B1649" s="9" t="s">
        <v>5072</v>
      </c>
      <c r="C1649" s="9" t="s">
        <v>17</v>
      </c>
      <c r="D1649" s="9" t="s">
        <v>789</v>
      </c>
    </row>
    <row r="1650" ht="15.75" customHeight="1">
      <c r="A1650" s="7" t="s">
        <v>4416</v>
      </c>
      <c r="B1650" s="9" t="s">
        <v>788</v>
      </c>
      <c r="C1650" s="9" t="s">
        <v>12</v>
      </c>
      <c r="D1650" s="9" t="s">
        <v>5032</v>
      </c>
    </row>
    <row r="1651" ht="15.75" customHeight="1">
      <c r="A1651" s="7" t="s">
        <v>4411</v>
      </c>
      <c r="B1651" s="9" t="s">
        <v>5073</v>
      </c>
      <c r="C1651" s="9" t="s">
        <v>1573</v>
      </c>
      <c r="D1651" s="9" t="s">
        <v>334</v>
      </c>
    </row>
    <row r="1652" ht="15.75" customHeight="1">
      <c r="A1652" s="7" t="s">
        <v>4407</v>
      </c>
      <c r="B1652" s="9" t="s">
        <v>5074</v>
      </c>
      <c r="C1652" s="9" t="s">
        <v>17</v>
      </c>
      <c r="D1652" s="9" t="s">
        <v>5075</v>
      </c>
    </row>
    <row r="1653" ht="15.75" customHeight="1">
      <c r="A1653" s="7" t="s">
        <v>4402</v>
      </c>
      <c r="B1653" s="9" t="s">
        <v>5076</v>
      </c>
      <c r="C1653" s="9" t="s">
        <v>12</v>
      </c>
      <c r="D1653" s="9" t="s">
        <v>5077</v>
      </c>
    </row>
    <row r="1654" ht="15.75" customHeight="1">
      <c r="A1654" s="7" t="s">
        <v>4398</v>
      </c>
      <c r="B1654" s="9" t="s">
        <v>5078</v>
      </c>
      <c r="C1654" s="9" t="s">
        <v>12</v>
      </c>
      <c r="D1654" s="9" t="s">
        <v>1587</v>
      </c>
    </row>
    <row r="1655" ht="15.75" customHeight="1">
      <c r="A1655" s="7" t="s">
        <v>4394</v>
      </c>
      <c r="B1655" s="9" t="s">
        <v>5079</v>
      </c>
      <c r="C1655" s="9" t="s">
        <v>17</v>
      </c>
      <c r="D1655" s="9" t="s">
        <v>5080</v>
      </c>
    </row>
    <row r="1656" ht="15.75" customHeight="1">
      <c r="A1656" s="7" t="s">
        <v>4387</v>
      </c>
      <c r="B1656" s="9" t="s">
        <v>5081</v>
      </c>
      <c r="C1656" s="9" t="s">
        <v>17</v>
      </c>
      <c r="D1656" s="9" t="s">
        <v>5082</v>
      </c>
    </row>
    <row r="1657" ht="15.75" customHeight="1">
      <c r="A1657" s="7" t="s">
        <v>4382</v>
      </c>
      <c r="B1657" s="9" t="s">
        <v>5083</v>
      </c>
      <c r="C1657" s="9" t="s">
        <v>17</v>
      </c>
      <c r="D1657" s="9" t="s">
        <v>487</v>
      </c>
    </row>
    <row r="1658" ht="15.75" customHeight="1">
      <c r="A1658" s="7" t="s">
        <v>4379</v>
      </c>
      <c r="B1658" s="9" t="s">
        <v>2273</v>
      </c>
      <c r="C1658" s="9" t="s">
        <v>12</v>
      </c>
      <c r="D1658" s="9" t="s">
        <v>5084</v>
      </c>
    </row>
    <row r="1659" ht="15.75" customHeight="1">
      <c r="A1659" s="7" t="s">
        <v>4374</v>
      </c>
      <c r="B1659" s="9" t="s">
        <v>5085</v>
      </c>
      <c r="C1659" s="9" t="s">
        <v>1573</v>
      </c>
      <c r="D1659" s="9" t="s">
        <v>5086</v>
      </c>
    </row>
    <row r="1660" ht="15.75" customHeight="1">
      <c r="A1660" s="7" t="s">
        <v>4368</v>
      </c>
      <c r="B1660" s="9" t="s">
        <v>2938</v>
      </c>
      <c r="C1660" s="9" t="s">
        <v>12</v>
      </c>
      <c r="D1660" s="9" t="s">
        <v>13</v>
      </c>
    </row>
    <row r="1661" ht="15.75" customHeight="1">
      <c r="A1661" s="7" t="s">
        <v>4364</v>
      </c>
      <c r="B1661" s="9" t="s">
        <v>5087</v>
      </c>
      <c r="C1661" s="9" t="s">
        <v>17</v>
      </c>
      <c r="D1661" s="9" t="s">
        <v>5088</v>
      </c>
    </row>
    <row r="1662" ht="15.75" customHeight="1">
      <c r="A1662" s="7" t="s">
        <v>4358</v>
      </c>
      <c r="B1662" s="9" t="s">
        <v>5089</v>
      </c>
      <c r="C1662" s="9" t="s">
        <v>1573</v>
      </c>
      <c r="D1662" s="9" t="s">
        <v>5090</v>
      </c>
    </row>
    <row r="1663" ht="15.75" customHeight="1">
      <c r="A1663" s="7" t="s">
        <v>4353</v>
      </c>
      <c r="B1663" s="9" t="s">
        <v>5091</v>
      </c>
      <c r="C1663" s="9" t="s">
        <v>17</v>
      </c>
      <c r="D1663" s="9" t="s">
        <v>753</v>
      </c>
    </row>
    <row r="1664" ht="15.75" customHeight="1">
      <c r="A1664" s="7" t="s">
        <v>4349</v>
      </c>
      <c r="B1664" s="9" t="s">
        <v>5092</v>
      </c>
      <c r="C1664" s="9" t="s">
        <v>12</v>
      </c>
      <c r="D1664" s="9" t="s">
        <v>5093</v>
      </c>
    </row>
    <row r="1665" ht="15.75" customHeight="1">
      <c r="A1665" s="7" t="s">
        <v>4345</v>
      </c>
      <c r="B1665" s="9" t="s">
        <v>5094</v>
      </c>
      <c r="C1665" s="9" t="s">
        <v>17</v>
      </c>
      <c r="D1665" s="9" t="s">
        <v>5095</v>
      </c>
    </row>
    <row r="1666" ht="15.75" customHeight="1">
      <c r="A1666" s="7" t="s">
        <v>4341</v>
      </c>
      <c r="B1666" s="9" t="s">
        <v>5096</v>
      </c>
      <c r="C1666" s="9" t="s">
        <v>17</v>
      </c>
      <c r="D1666" s="9" t="s">
        <v>5097</v>
      </c>
    </row>
    <row r="1667" ht="15.75" customHeight="1">
      <c r="A1667" s="7" t="s">
        <v>4337</v>
      </c>
      <c r="B1667" s="9" t="s">
        <v>239</v>
      </c>
      <c r="C1667" s="9" t="s">
        <v>17</v>
      </c>
      <c r="D1667" s="9" t="s">
        <v>5098</v>
      </c>
    </row>
    <row r="1668" ht="15.75" customHeight="1">
      <c r="A1668" s="7" t="s">
        <v>4334</v>
      </c>
      <c r="B1668" s="9" t="s">
        <v>5099</v>
      </c>
      <c r="C1668" s="9" t="s">
        <v>17</v>
      </c>
      <c r="D1668" s="9" t="s">
        <v>155</v>
      </c>
    </row>
    <row r="1669" ht="15.75" customHeight="1">
      <c r="A1669" s="7" t="s">
        <v>4330</v>
      </c>
      <c r="B1669" s="9" t="s">
        <v>5100</v>
      </c>
      <c r="C1669" s="9" t="s">
        <v>17</v>
      </c>
      <c r="D1669" s="9" t="s">
        <v>5101</v>
      </c>
    </row>
    <row r="1670" ht="15.75" customHeight="1">
      <c r="A1670" s="7" t="s">
        <v>4325</v>
      </c>
      <c r="B1670" s="9" t="s">
        <v>1349</v>
      </c>
      <c r="C1670" s="9" t="s">
        <v>17</v>
      </c>
      <c r="D1670" s="9" t="s">
        <v>516</v>
      </c>
    </row>
    <row r="1671" ht="15.75" customHeight="1">
      <c r="A1671" s="7" t="s">
        <v>4320</v>
      </c>
      <c r="B1671" s="9" t="s">
        <v>5102</v>
      </c>
      <c r="C1671" s="9" t="s">
        <v>17</v>
      </c>
      <c r="D1671" s="9" t="s">
        <v>5103</v>
      </c>
    </row>
    <row r="1672" ht="15.75" customHeight="1">
      <c r="A1672" s="7" t="s">
        <v>4315</v>
      </c>
      <c r="B1672" s="9" t="s">
        <v>3824</v>
      </c>
      <c r="C1672" s="9" t="s">
        <v>12</v>
      </c>
      <c r="D1672" s="9" t="s">
        <v>5104</v>
      </c>
    </row>
    <row r="1673" ht="15.75" customHeight="1">
      <c r="A1673" s="7" t="s">
        <v>4310</v>
      </c>
      <c r="B1673" s="9" t="s">
        <v>5105</v>
      </c>
      <c r="C1673" s="9" t="s">
        <v>17</v>
      </c>
      <c r="D1673" s="9" t="s">
        <v>4928</v>
      </c>
    </row>
    <row r="1674" ht="15.75" customHeight="1">
      <c r="A1674" s="7" t="s">
        <v>4306</v>
      </c>
      <c r="B1674" s="9" t="s">
        <v>5106</v>
      </c>
      <c r="C1674" s="9" t="s">
        <v>12</v>
      </c>
      <c r="D1674" s="9" t="s">
        <v>4931</v>
      </c>
    </row>
    <row r="1675" ht="15.75" customHeight="1">
      <c r="A1675" s="7" t="s">
        <v>4301</v>
      </c>
      <c r="B1675" s="9" t="s">
        <v>5107</v>
      </c>
      <c r="C1675" s="9" t="s">
        <v>12</v>
      </c>
      <c r="D1675" s="9" t="s">
        <v>4532</v>
      </c>
    </row>
    <row r="1676" ht="15.75" customHeight="1">
      <c r="A1676" s="7" t="s">
        <v>4297</v>
      </c>
      <c r="B1676" s="9" t="s">
        <v>5108</v>
      </c>
      <c r="C1676" s="9" t="s">
        <v>17</v>
      </c>
      <c r="D1676" s="9" t="s">
        <v>5109</v>
      </c>
    </row>
    <row r="1677" ht="15.75" customHeight="1">
      <c r="A1677" s="7" t="s">
        <v>4294</v>
      </c>
      <c r="B1677" s="9" t="s">
        <v>5110</v>
      </c>
      <c r="C1677" s="9" t="s">
        <v>12</v>
      </c>
      <c r="D1677" s="9" t="s">
        <v>5111</v>
      </c>
    </row>
    <row r="1678" ht="15.75" customHeight="1">
      <c r="A1678" s="7" t="s">
        <v>4289</v>
      </c>
      <c r="B1678" s="9" t="s">
        <v>5112</v>
      </c>
      <c r="C1678" s="9" t="s">
        <v>12</v>
      </c>
      <c r="D1678" s="9" t="s">
        <v>5113</v>
      </c>
    </row>
    <row r="1679" ht="15.75" customHeight="1">
      <c r="A1679" s="7" t="s">
        <v>4285</v>
      </c>
      <c r="B1679" s="9" t="s">
        <v>5114</v>
      </c>
      <c r="C1679" s="9" t="s">
        <v>17</v>
      </c>
      <c r="D1679" s="9" t="s">
        <v>5115</v>
      </c>
    </row>
    <row r="1680" ht="15.75" customHeight="1">
      <c r="A1680" s="7" t="s">
        <v>4282</v>
      </c>
      <c r="B1680" s="9" t="s">
        <v>3717</v>
      </c>
      <c r="C1680" s="9" t="s">
        <v>12</v>
      </c>
      <c r="D1680" s="9" t="s">
        <v>5116</v>
      </c>
    </row>
    <row r="1681" ht="15.75" customHeight="1">
      <c r="A1681" s="7" t="s">
        <v>4277</v>
      </c>
      <c r="B1681" s="9" t="s">
        <v>5117</v>
      </c>
      <c r="C1681" s="9" t="s">
        <v>12</v>
      </c>
      <c r="D1681" s="9" t="s">
        <v>5118</v>
      </c>
    </row>
    <row r="1682" ht="15.75" customHeight="1">
      <c r="A1682" s="7" t="s">
        <v>4272</v>
      </c>
      <c r="B1682" s="9" t="s">
        <v>1816</v>
      </c>
      <c r="C1682" s="9" t="s">
        <v>17</v>
      </c>
      <c r="D1682" s="9" t="s">
        <v>5119</v>
      </c>
    </row>
    <row r="1683" ht="15.75" customHeight="1">
      <c r="A1683" s="7" t="s">
        <v>4264</v>
      </c>
      <c r="B1683" s="9" t="s">
        <v>5120</v>
      </c>
      <c r="C1683" s="9" t="s">
        <v>17</v>
      </c>
      <c r="D1683" s="9" t="s">
        <v>3795</v>
      </c>
    </row>
    <row r="1684" ht="15.75" customHeight="1">
      <c r="A1684" s="7" t="s">
        <v>4258</v>
      </c>
      <c r="B1684" s="9" t="s">
        <v>1119</v>
      </c>
      <c r="C1684" s="9" t="s">
        <v>12</v>
      </c>
      <c r="D1684" s="9" t="s">
        <v>5121</v>
      </c>
    </row>
    <row r="1685" ht="15.75" customHeight="1">
      <c r="A1685" s="7" t="s">
        <v>4253</v>
      </c>
      <c r="B1685" s="9" t="s">
        <v>4303</v>
      </c>
      <c r="C1685" s="9" t="s">
        <v>17</v>
      </c>
      <c r="D1685" s="9" t="s">
        <v>5122</v>
      </c>
    </row>
    <row r="1686" ht="15.75" customHeight="1">
      <c r="A1686" s="7" t="s">
        <v>4246</v>
      </c>
      <c r="B1686" s="9" t="s">
        <v>5123</v>
      </c>
      <c r="C1686" s="9" t="s">
        <v>17</v>
      </c>
      <c r="D1686" s="9" t="s">
        <v>3128</v>
      </c>
    </row>
    <row r="1687" ht="15.75" customHeight="1">
      <c r="A1687" s="7" t="s">
        <v>4240</v>
      </c>
      <c r="B1687" s="9" t="s">
        <v>1549</v>
      </c>
      <c r="C1687" s="9" t="s">
        <v>17</v>
      </c>
      <c r="D1687" s="9" t="s">
        <v>5124</v>
      </c>
    </row>
    <row r="1688" ht="15.75" customHeight="1">
      <c r="A1688" s="7" t="s">
        <v>4233</v>
      </c>
      <c r="B1688" s="9" t="s">
        <v>5125</v>
      </c>
      <c r="C1688" s="9" t="s">
        <v>12</v>
      </c>
      <c r="D1688" s="9" t="s">
        <v>5126</v>
      </c>
    </row>
    <row r="1689" ht="15.75" customHeight="1">
      <c r="A1689" s="7" t="s">
        <v>4228</v>
      </c>
      <c r="B1689" s="9" t="s">
        <v>5127</v>
      </c>
      <c r="C1689" s="9" t="s">
        <v>1573</v>
      </c>
      <c r="D1689" s="9" t="s">
        <v>5128</v>
      </c>
    </row>
    <row r="1690" ht="15.75" customHeight="1">
      <c r="A1690" s="7" t="s">
        <v>4225</v>
      </c>
      <c r="B1690" s="9" t="s">
        <v>5129</v>
      </c>
      <c r="C1690" s="9" t="s">
        <v>17</v>
      </c>
      <c r="D1690" s="9" t="s">
        <v>3807</v>
      </c>
    </row>
    <row r="1691" ht="15.75" customHeight="1">
      <c r="A1691" s="7" t="s">
        <v>4221</v>
      </c>
      <c r="B1691" s="9" t="s">
        <v>5130</v>
      </c>
      <c r="C1691" s="9" t="s">
        <v>12</v>
      </c>
      <c r="D1691" s="9" t="s">
        <v>5131</v>
      </c>
    </row>
    <row r="1692" ht="15.75" customHeight="1">
      <c r="A1692" s="7" t="s">
        <v>4215</v>
      </c>
      <c r="B1692" s="9" t="s">
        <v>5132</v>
      </c>
      <c r="C1692" s="9" t="s">
        <v>12</v>
      </c>
      <c r="D1692" s="9" t="s">
        <v>5133</v>
      </c>
    </row>
    <row r="1693" ht="15.75" customHeight="1">
      <c r="A1693" s="7" t="s">
        <v>4210</v>
      </c>
      <c r="B1693" s="9" t="s">
        <v>5134</v>
      </c>
      <c r="C1693" s="9" t="s">
        <v>17</v>
      </c>
      <c r="D1693" s="9" t="s">
        <v>5135</v>
      </c>
    </row>
    <row r="1694" ht="15.75" customHeight="1">
      <c r="A1694" s="7" t="s">
        <v>4206</v>
      </c>
      <c r="B1694" s="9" t="s">
        <v>1582</v>
      </c>
      <c r="C1694" s="9" t="s">
        <v>17</v>
      </c>
      <c r="D1694" s="9" t="s">
        <v>4908</v>
      </c>
    </row>
    <row r="1695" ht="15.75" customHeight="1">
      <c r="A1695" s="7" t="s">
        <v>4199</v>
      </c>
      <c r="B1695" s="9" t="s">
        <v>5136</v>
      </c>
      <c r="C1695" s="9" t="s">
        <v>12</v>
      </c>
      <c r="D1695" s="9" t="s">
        <v>1914</v>
      </c>
    </row>
    <row r="1696" ht="15.75" customHeight="1">
      <c r="A1696" s="7" t="s">
        <v>4191</v>
      </c>
      <c r="B1696" s="9" t="s">
        <v>5137</v>
      </c>
      <c r="C1696" s="9" t="s">
        <v>12</v>
      </c>
      <c r="D1696" s="9" t="s">
        <v>5138</v>
      </c>
    </row>
    <row r="1697" ht="15.75" customHeight="1">
      <c r="A1697" s="7" t="s">
        <v>4185</v>
      </c>
      <c r="B1697" s="9" t="s">
        <v>5139</v>
      </c>
      <c r="C1697" s="9" t="s">
        <v>12</v>
      </c>
      <c r="D1697" s="9" t="s">
        <v>5140</v>
      </c>
    </row>
    <row r="1698" ht="15.75" customHeight="1">
      <c r="A1698" s="7" t="s">
        <v>4180</v>
      </c>
      <c r="B1698" s="9" t="s">
        <v>4415</v>
      </c>
      <c r="C1698" s="9" t="s">
        <v>12</v>
      </c>
      <c r="D1698" s="9" t="s">
        <v>5141</v>
      </c>
    </row>
    <row r="1699" ht="15.75" customHeight="1">
      <c r="A1699" s="7" t="s">
        <v>4173</v>
      </c>
      <c r="B1699" s="9" t="s">
        <v>5142</v>
      </c>
      <c r="C1699" s="9" t="s">
        <v>12</v>
      </c>
      <c r="D1699" s="9" t="s">
        <v>3338</v>
      </c>
    </row>
    <row r="1700" ht="15.75" customHeight="1">
      <c r="A1700" s="7" t="s">
        <v>4165</v>
      </c>
      <c r="B1700" s="9" t="s">
        <v>5143</v>
      </c>
      <c r="C1700" s="9" t="s">
        <v>17</v>
      </c>
      <c r="D1700" s="9" t="s">
        <v>342</v>
      </c>
    </row>
    <row r="1701" ht="15.75" customHeight="1">
      <c r="A1701" s="7" t="s">
        <v>4160</v>
      </c>
      <c r="B1701" s="9" t="s">
        <v>5144</v>
      </c>
      <c r="C1701" s="9" t="s">
        <v>12</v>
      </c>
      <c r="D1701" s="9" t="s">
        <v>5145</v>
      </c>
    </row>
    <row r="1702" ht="15.75" customHeight="1">
      <c r="A1702" s="7" t="s">
        <v>4156</v>
      </c>
      <c r="B1702" s="9" t="s">
        <v>5146</v>
      </c>
      <c r="C1702" s="9" t="s">
        <v>17</v>
      </c>
      <c r="D1702" s="9" t="s">
        <v>43</v>
      </c>
    </row>
    <row r="1703" ht="15.75" customHeight="1">
      <c r="A1703" s="7" t="s">
        <v>4153</v>
      </c>
      <c r="B1703" s="9" t="s">
        <v>5147</v>
      </c>
      <c r="C1703" s="9" t="s">
        <v>17</v>
      </c>
      <c r="D1703" s="9" t="s">
        <v>276</v>
      </c>
    </row>
    <row r="1704" ht="15.75" customHeight="1">
      <c r="A1704" s="7" t="s">
        <v>4146</v>
      </c>
      <c r="B1704" s="9" t="s">
        <v>5148</v>
      </c>
      <c r="C1704" s="9" t="s">
        <v>17</v>
      </c>
      <c r="D1704" s="9" t="s">
        <v>2297</v>
      </c>
    </row>
    <row r="1705" ht="15.75" customHeight="1">
      <c r="A1705" s="7" t="s">
        <v>4140</v>
      </c>
      <c r="B1705" s="9" t="s">
        <v>5149</v>
      </c>
      <c r="C1705" s="9" t="s">
        <v>12</v>
      </c>
      <c r="D1705" s="9" t="s">
        <v>637</v>
      </c>
    </row>
    <row r="1706" ht="15.75" customHeight="1">
      <c r="A1706" s="7" t="s">
        <v>4135</v>
      </c>
      <c r="B1706" s="9" t="s">
        <v>2451</v>
      </c>
      <c r="C1706" s="9" t="s">
        <v>17</v>
      </c>
      <c r="D1706" s="9" t="s">
        <v>5150</v>
      </c>
    </row>
    <row r="1707" ht="15.75" customHeight="1">
      <c r="A1707" s="7" t="s">
        <v>4129</v>
      </c>
      <c r="B1707" s="9" t="s">
        <v>5151</v>
      </c>
      <c r="C1707" s="9" t="s">
        <v>12</v>
      </c>
      <c r="D1707" s="9" t="s">
        <v>5152</v>
      </c>
    </row>
    <row r="1708" ht="15.75" customHeight="1">
      <c r="A1708" s="7" t="s">
        <v>4124</v>
      </c>
      <c r="B1708" s="9" t="s">
        <v>3627</v>
      </c>
      <c r="C1708" s="9" t="s">
        <v>12</v>
      </c>
      <c r="D1708" s="9" t="s">
        <v>1801</v>
      </c>
    </row>
    <row r="1709" ht="15.75" customHeight="1">
      <c r="A1709" s="7" t="s">
        <v>4118</v>
      </c>
      <c r="B1709" s="9" t="s">
        <v>5153</v>
      </c>
      <c r="C1709" s="9" t="s">
        <v>17</v>
      </c>
      <c r="D1709" s="9" t="s">
        <v>5154</v>
      </c>
    </row>
    <row r="1710" ht="15.75" customHeight="1">
      <c r="A1710" s="7" t="s">
        <v>4112</v>
      </c>
      <c r="B1710" s="9" t="s">
        <v>4415</v>
      </c>
      <c r="C1710" s="9" t="s">
        <v>12</v>
      </c>
      <c r="D1710" s="9" t="s">
        <v>2875</v>
      </c>
    </row>
    <row r="1711" ht="15.75" customHeight="1">
      <c r="A1711" s="7" t="s">
        <v>4108</v>
      </c>
      <c r="B1711" s="9" t="s">
        <v>5155</v>
      </c>
      <c r="C1711" s="9" t="s">
        <v>12</v>
      </c>
      <c r="D1711" s="9" t="s">
        <v>5156</v>
      </c>
    </row>
    <row r="1712" ht="15.75" customHeight="1">
      <c r="A1712" s="7" t="s">
        <v>4103</v>
      </c>
      <c r="B1712" s="9" t="s">
        <v>5157</v>
      </c>
      <c r="C1712" s="9" t="s">
        <v>17</v>
      </c>
      <c r="D1712" s="9" t="s">
        <v>5158</v>
      </c>
    </row>
    <row r="1713" ht="15.75" customHeight="1">
      <c r="A1713" s="7" t="s">
        <v>4098</v>
      </c>
      <c r="B1713" s="9" t="s">
        <v>5159</v>
      </c>
      <c r="C1713" s="9" t="s">
        <v>12</v>
      </c>
      <c r="D1713" s="9" t="s">
        <v>1093</v>
      </c>
    </row>
    <row r="1714" ht="15.75" customHeight="1">
      <c r="A1714" s="7" t="s">
        <v>4095</v>
      </c>
      <c r="B1714" s="9" t="s">
        <v>5160</v>
      </c>
      <c r="C1714" s="9" t="s">
        <v>17</v>
      </c>
      <c r="D1714" s="9" t="s">
        <v>599</v>
      </c>
    </row>
    <row r="1715" ht="15.75" customHeight="1">
      <c r="A1715" s="7" t="s">
        <v>4093</v>
      </c>
      <c r="B1715" s="9" t="s">
        <v>2602</v>
      </c>
      <c r="C1715" s="9" t="s">
        <v>12</v>
      </c>
      <c r="D1715" s="9" t="s">
        <v>5161</v>
      </c>
    </row>
    <row r="1716" ht="15.75" customHeight="1">
      <c r="A1716" s="7" t="s">
        <v>4089</v>
      </c>
      <c r="B1716" s="9" t="s">
        <v>5162</v>
      </c>
      <c r="C1716" s="9" t="s">
        <v>12</v>
      </c>
      <c r="D1716" s="9" t="s">
        <v>5156</v>
      </c>
    </row>
    <row r="1717" ht="15.75" customHeight="1">
      <c r="A1717" s="7" t="s">
        <v>4074</v>
      </c>
      <c r="B1717" s="9" t="s">
        <v>5163</v>
      </c>
      <c r="C1717" s="9" t="s">
        <v>17</v>
      </c>
      <c r="D1717" s="9" t="s">
        <v>328</v>
      </c>
    </row>
    <row r="1718" ht="15.75" customHeight="1">
      <c r="A1718" s="7" t="s">
        <v>4069</v>
      </c>
      <c r="B1718" s="9" t="s">
        <v>753</v>
      </c>
      <c r="C1718" s="9" t="s">
        <v>12</v>
      </c>
      <c r="D1718" s="9" t="s">
        <v>5164</v>
      </c>
    </row>
    <row r="1719" ht="15.75" customHeight="1">
      <c r="A1719" s="7" t="s">
        <v>4064</v>
      </c>
      <c r="B1719" s="9" t="s">
        <v>5165</v>
      </c>
      <c r="C1719" s="9" t="s">
        <v>12</v>
      </c>
      <c r="D1719" s="9" t="s">
        <v>5166</v>
      </c>
    </row>
    <row r="1720" ht="15.75" customHeight="1">
      <c r="A1720" s="7" t="s">
        <v>4059</v>
      </c>
      <c r="B1720" s="9" t="s">
        <v>5167</v>
      </c>
      <c r="C1720" s="9" t="s">
        <v>12</v>
      </c>
      <c r="D1720" s="9" t="s">
        <v>5168</v>
      </c>
    </row>
    <row r="1721" ht="15.75" customHeight="1">
      <c r="A1721" s="7" t="s">
        <v>4054</v>
      </c>
      <c r="B1721" s="9" t="s">
        <v>676</v>
      </c>
      <c r="C1721" s="9" t="s">
        <v>12</v>
      </c>
      <c r="D1721" s="9" t="s">
        <v>5169</v>
      </c>
    </row>
    <row r="1722" ht="15.75" customHeight="1">
      <c r="A1722" s="7" t="s">
        <v>4053</v>
      </c>
      <c r="B1722" s="9" t="s">
        <v>5170</v>
      </c>
      <c r="C1722" s="9" t="s">
        <v>17</v>
      </c>
      <c r="D1722" s="9" t="s">
        <v>285</v>
      </c>
    </row>
    <row r="1723" ht="15.75" customHeight="1">
      <c r="A1723" s="7" t="s">
        <v>4049</v>
      </c>
      <c r="B1723" s="9" t="s">
        <v>5171</v>
      </c>
      <c r="C1723" s="9" t="s">
        <v>17</v>
      </c>
      <c r="D1723" s="9" t="s">
        <v>5172</v>
      </c>
    </row>
    <row r="1724" ht="15.75" customHeight="1">
      <c r="A1724" s="7" t="s">
        <v>4044</v>
      </c>
      <c r="B1724" s="9" t="s">
        <v>5173</v>
      </c>
      <c r="C1724" s="9" t="s">
        <v>12</v>
      </c>
      <c r="D1724" s="9" t="s">
        <v>5174</v>
      </c>
    </row>
    <row r="1725" ht="15.75" customHeight="1">
      <c r="A1725" s="7" t="s">
        <v>4039</v>
      </c>
      <c r="B1725" s="9" t="s">
        <v>5175</v>
      </c>
      <c r="C1725" s="9" t="s">
        <v>17</v>
      </c>
      <c r="D1725" s="9" t="s">
        <v>5176</v>
      </c>
    </row>
    <row r="1726" ht="15.75" customHeight="1">
      <c r="A1726" s="7" t="s">
        <v>4037</v>
      </c>
      <c r="B1726" s="9" t="s">
        <v>4640</v>
      </c>
      <c r="C1726" s="9" t="s">
        <v>12</v>
      </c>
      <c r="D1726" s="9" t="s">
        <v>5177</v>
      </c>
    </row>
    <row r="1727" ht="15.75" customHeight="1">
      <c r="A1727" s="7" t="s">
        <v>4033</v>
      </c>
      <c r="B1727" s="9" t="s">
        <v>5178</v>
      </c>
      <c r="C1727" s="9" t="s">
        <v>12</v>
      </c>
      <c r="D1727" s="9" t="s">
        <v>5179</v>
      </c>
    </row>
    <row r="1728" ht="15.75" customHeight="1">
      <c r="A1728" s="7" t="s">
        <v>4029</v>
      </c>
      <c r="B1728" s="9" t="s">
        <v>5180</v>
      </c>
      <c r="C1728" s="9" t="s">
        <v>12</v>
      </c>
      <c r="D1728" s="9" t="s">
        <v>5181</v>
      </c>
    </row>
    <row r="1729" ht="15.75" customHeight="1">
      <c r="A1729" s="7" t="s">
        <v>4024</v>
      </c>
      <c r="B1729" s="9" t="s">
        <v>2125</v>
      </c>
      <c r="C1729" s="9" t="s">
        <v>17</v>
      </c>
      <c r="D1729" s="9" t="s">
        <v>5182</v>
      </c>
    </row>
    <row r="1730" ht="15.75" customHeight="1">
      <c r="A1730" s="7" t="s">
        <v>4015</v>
      </c>
      <c r="B1730" s="9" t="s">
        <v>5183</v>
      </c>
      <c r="C1730" s="9" t="s">
        <v>17</v>
      </c>
      <c r="D1730" s="9" t="s">
        <v>5184</v>
      </c>
    </row>
    <row r="1731" ht="15.75" customHeight="1">
      <c r="A1731" s="7" t="s">
        <v>4011</v>
      </c>
      <c r="B1731" s="9" t="s">
        <v>5001</v>
      </c>
      <c r="C1731" s="9" t="s">
        <v>17</v>
      </c>
      <c r="D1731" s="9" t="s">
        <v>5185</v>
      </c>
    </row>
    <row r="1732" ht="15.75" customHeight="1">
      <c r="A1732" s="7" t="s">
        <v>4006</v>
      </c>
      <c r="B1732" s="9" t="s">
        <v>1882</v>
      </c>
      <c r="C1732" s="9" t="s">
        <v>12</v>
      </c>
      <c r="D1732" s="9" t="s">
        <v>5186</v>
      </c>
    </row>
    <row r="1733" ht="15.75" customHeight="1">
      <c r="A1733" s="7" t="s">
        <v>4001</v>
      </c>
      <c r="B1733" s="9" t="s">
        <v>3009</v>
      </c>
      <c r="C1733" s="9" t="s">
        <v>12</v>
      </c>
      <c r="D1733" s="9" t="s">
        <v>288</v>
      </c>
    </row>
    <row r="1734" ht="15.75" customHeight="1">
      <c r="A1734" s="7" t="s">
        <v>3999</v>
      </c>
      <c r="B1734" s="9" t="s">
        <v>5187</v>
      </c>
      <c r="C1734" s="9" t="s">
        <v>12</v>
      </c>
      <c r="D1734" s="9" t="s">
        <v>5188</v>
      </c>
    </row>
    <row r="1735" ht="15.75" customHeight="1">
      <c r="A1735" s="7" t="s">
        <v>3995</v>
      </c>
      <c r="B1735" s="9" t="s">
        <v>5189</v>
      </c>
      <c r="C1735" s="9" t="s">
        <v>12</v>
      </c>
      <c r="D1735" s="9" t="s">
        <v>5190</v>
      </c>
    </row>
    <row r="1736" ht="15.75" customHeight="1">
      <c r="A1736" s="7" t="s">
        <v>3992</v>
      </c>
      <c r="B1736" s="9" t="s">
        <v>5191</v>
      </c>
      <c r="C1736" s="9" t="s">
        <v>1573</v>
      </c>
      <c r="D1736" s="9" t="s">
        <v>5192</v>
      </c>
    </row>
    <row r="1737" ht="15.75" customHeight="1">
      <c r="A1737" s="7" t="s">
        <v>3988</v>
      </c>
      <c r="B1737" s="9" t="s">
        <v>5193</v>
      </c>
      <c r="C1737" s="9" t="s">
        <v>12</v>
      </c>
      <c r="D1737" s="9" t="s">
        <v>5194</v>
      </c>
    </row>
    <row r="1738" ht="15.75" customHeight="1">
      <c r="A1738" s="7" t="s">
        <v>3983</v>
      </c>
      <c r="B1738" s="9" t="s">
        <v>328</v>
      </c>
      <c r="C1738" s="9" t="s">
        <v>17</v>
      </c>
      <c r="D1738" s="9" t="s">
        <v>5195</v>
      </c>
    </row>
    <row r="1739" ht="15.75" customHeight="1">
      <c r="A1739" s="7" t="s">
        <v>3981</v>
      </c>
      <c r="B1739" s="9" t="s">
        <v>5196</v>
      </c>
      <c r="C1739" s="9" t="s">
        <v>17</v>
      </c>
      <c r="D1739" s="9" t="s">
        <v>190</v>
      </c>
    </row>
    <row r="1740" ht="15.75" customHeight="1">
      <c r="A1740" s="7" t="s">
        <v>3975</v>
      </c>
      <c r="B1740" s="9" t="s">
        <v>5197</v>
      </c>
      <c r="C1740" s="9" t="s">
        <v>17</v>
      </c>
      <c r="D1740" s="9" t="s">
        <v>5198</v>
      </c>
    </row>
    <row r="1741" ht="15.75" customHeight="1">
      <c r="A1741" s="7" t="s">
        <v>3972</v>
      </c>
      <c r="B1741" s="9" t="s">
        <v>5199</v>
      </c>
      <c r="C1741" s="9" t="s">
        <v>12</v>
      </c>
      <c r="D1741" s="9" t="s">
        <v>5200</v>
      </c>
    </row>
    <row r="1742" ht="15.75" customHeight="1">
      <c r="A1742" s="7" t="s">
        <v>3969</v>
      </c>
      <c r="B1742" s="9" t="s">
        <v>5201</v>
      </c>
      <c r="C1742" s="9" t="s">
        <v>12</v>
      </c>
      <c r="D1742" s="9" t="s">
        <v>5202</v>
      </c>
    </row>
    <row r="1743" ht="15.75" customHeight="1">
      <c r="A1743" s="7" t="s">
        <v>3963</v>
      </c>
      <c r="B1743" s="9" t="s">
        <v>5203</v>
      </c>
      <c r="C1743" s="9" t="s">
        <v>12</v>
      </c>
      <c r="D1743" s="9" t="s">
        <v>5204</v>
      </c>
    </row>
    <row r="1744" ht="15.75" customHeight="1">
      <c r="A1744" s="7" t="s">
        <v>3959</v>
      </c>
      <c r="B1744" s="9" t="s">
        <v>5205</v>
      </c>
      <c r="C1744" s="9" t="s">
        <v>12</v>
      </c>
      <c r="D1744" s="9" t="s">
        <v>5206</v>
      </c>
    </row>
    <row r="1745" ht="15.75" customHeight="1">
      <c r="A1745" s="7" t="s">
        <v>3955</v>
      </c>
      <c r="B1745" s="9" t="s">
        <v>5207</v>
      </c>
      <c r="C1745" s="9" t="s">
        <v>12</v>
      </c>
      <c r="D1745" s="9" t="s">
        <v>1705</v>
      </c>
    </row>
    <row r="1746" ht="15.75" customHeight="1">
      <c r="A1746" s="7" t="s">
        <v>3950</v>
      </c>
      <c r="B1746" s="9" t="s">
        <v>2354</v>
      </c>
      <c r="C1746" s="9" t="s">
        <v>17</v>
      </c>
      <c r="D1746" s="9" t="s">
        <v>5208</v>
      </c>
    </row>
    <row r="1747" ht="15.75" customHeight="1">
      <c r="A1747" s="7" t="s">
        <v>3946</v>
      </c>
      <c r="B1747" s="9" t="s">
        <v>5209</v>
      </c>
      <c r="C1747" s="9" t="s">
        <v>12</v>
      </c>
      <c r="D1747" s="9" t="s">
        <v>4900</v>
      </c>
    </row>
    <row r="1748" ht="15.75" customHeight="1">
      <c r="A1748" s="7" t="s">
        <v>3942</v>
      </c>
      <c r="B1748" s="9" t="s">
        <v>5210</v>
      </c>
      <c r="C1748" s="9" t="s">
        <v>12</v>
      </c>
      <c r="D1748" s="9" t="s">
        <v>5211</v>
      </c>
    </row>
    <row r="1749" ht="15.75" customHeight="1">
      <c r="A1749" s="7" t="s">
        <v>3938</v>
      </c>
      <c r="B1749" s="9" t="s">
        <v>5193</v>
      </c>
      <c r="C1749" s="9" t="s">
        <v>17</v>
      </c>
      <c r="D1749" s="9" t="s">
        <v>5212</v>
      </c>
    </row>
    <row r="1750" ht="15.75" customHeight="1">
      <c r="A1750" s="7" t="s">
        <v>3931</v>
      </c>
      <c r="B1750" s="9" t="s">
        <v>342</v>
      </c>
      <c r="C1750" s="9" t="s">
        <v>17</v>
      </c>
      <c r="D1750" s="9" t="s">
        <v>2589</v>
      </c>
    </row>
    <row r="1751" ht="15.75" customHeight="1">
      <c r="A1751" s="7" t="s">
        <v>3925</v>
      </c>
      <c r="B1751" s="9" t="s">
        <v>3500</v>
      </c>
      <c r="C1751" s="9" t="s">
        <v>17</v>
      </c>
      <c r="D1751" s="9" t="s">
        <v>5213</v>
      </c>
    </row>
    <row r="1752" ht="15.75" customHeight="1">
      <c r="A1752" s="7" t="s">
        <v>3918</v>
      </c>
      <c r="B1752" s="9" t="s">
        <v>5214</v>
      </c>
      <c r="C1752" s="9" t="s">
        <v>1573</v>
      </c>
      <c r="D1752" s="9" t="s">
        <v>5215</v>
      </c>
    </row>
    <row r="1753" ht="15.75" customHeight="1">
      <c r="A1753" s="7" t="s">
        <v>3912</v>
      </c>
      <c r="B1753" s="9" t="s">
        <v>5216</v>
      </c>
      <c r="C1753" s="9" t="s">
        <v>17</v>
      </c>
      <c r="D1753" s="9" t="s">
        <v>5017</v>
      </c>
    </row>
    <row r="1754" ht="15.75" customHeight="1">
      <c r="A1754" s="7" t="s">
        <v>3909</v>
      </c>
      <c r="B1754" s="9" t="s">
        <v>5217</v>
      </c>
      <c r="C1754" s="9" t="s">
        <v>17</v>
      </c>
      <c r="D1754" s="9" t="s">
        <v>5218</v>
      </c>
    </row>
    <row r="1755" ht="15.75" customHeight="1">
      <c r="A1755" s="7" t="s">
        <v>3903</v>
      </c>
      <c r="B1755" s="9" t="s">
        <v>39</v>
      </c>
      <c r="C1755" s="9" t="s">
        <v>17</v>
      </c>
      <c r="D1755" s="9" t="s">
        <v>5219</v>
      </c>
    </row>
    <row r="1756" ht="15.75" customHeight="1">
      <c r="A1756" s="7" t="s">
        <v>3899</v>
      </c>
      <c r="B1756" s="9" t="s">
        <v>5220</v>
      </c>
      <c r="C1756" s="9" t="s">
        <v>12</v>
      </c>
      <c r="D1756" s="9" t="s">
        <v>5221</v>
      </c>
    </row>
    <row r="1757" ht="15.75" customHeight="1">
      <c r="A1757" s="7" t="s">
        <v>3895</v>
      </c>
      <c r="B1757" s="9" t="s">
        <v>5222</v>
      </c>
      <c r="C1757" s="9" t="s">
        <v>12</v>
      </c>
      <c r="D1757" s="9" t="s">
        <v>5223</v>
      </c>
    </row>
    <row r="1758" ht="15.75" customHeight="1">
      <c r="A1758" s="7" t="s">
        <v>3892</v>
      </c>
      <c r="B1758" s="9" t="s">
        <v>788</v>
      </c>
      <c r="C1758" s="9" t="s">
        <v>17</v>
      </c>
      <c r="D1758" s="9" t="s">
        <v>5224</v>
      </c>
    </row>
    <row r="1759" ht="15.75" customHeight="1">
      <c r="A1759" s="7" t="s">
        <v>3890</v>
      </c>
      <c r="B1759" s="9" t="s">
        <v>5225</v>
      </c>
      <c r="C1759" s="9" t="s">
        <v>1573</v>
      </c>
      <c r="D1759" s="9" t="s">
        <v>5226</v>
      </c>
    </row>
    <row r="1760" ht="15.75" customHeight="1">
      <c r="A1760" s="7" t="s">
        <v>3887</v>
      </c>
      <c r="B1760" s="9" t="s">
        <v>5227</v>
      </c>
      <c r="C1760" s="9" t="s">
        <v>17</v>
      </c>
      <c r="D1760" s="9" t="s">
        <v>5228</v>
      </c>
    </row>
    <row r="1761" ht="15.75" customHeight="1">
      <c r="A1761" s="7" t="s">
        <v>3884</v>
      </c>
      <c r="B1761" s="9" t="s">
        <v>5229</v>
      </c>
      <c r="C1761" s="9" t="s">
        <v>17</v>
      </c>
      <c r="D1761" s="9" t="s">
        <v>5230</v>
      </c>
    </row>
    <row r="1762" ht="15.75" customHeight="1">
      <c r="A1762" s="7" t="s">
        <v>3880</v>
      </c>
      <c r="B1762" s="9" t="s">
        <v>5231</v>
      </c>
      <c r="C1762" s="9" t="s">
        <v>17</v>
      </c>
      <c r="D1762" s="9" t="s">
        <v>5232</v>
      </c>
    </row>
    <row r="1763" ht="15.75" customHeight="1">
      <c r="A1763" s="7" t="s">
        <v>3876</v>
      </c>
      <c r="B1763" s="9" t="s">
        <v>5233</v>
      </c>
      <c r="C1763" s="9" t="s">
        <v>12</v>
      </c>
      <c r="D1763" s="9" t="s">
        <v>5234</v>
      </c>
    </row>
    <row r="1764" ht="15.75" customHeight="1">
      <c r="A1764" s="7" t="s">
        <v>3872</v>
      </c>
      <c r="B1764" s="9" t="s">
        <v>5235</v>
      </c>
      <c r="C1764" s="9" t="s">
        <v>12</v>
      </c>
      <c r="D1764" s="9" t="s">
        <v>5236</v>
      </c>
    </row>
    <row r="1765" ht="15.75" customHeight="1">
      <c r="A1765" s="7" t="s">
        <v>3869</v>
      </c>
      <c r="B1765" s="9" t="s">
        <v>755</v>
      </c>
      <c r="C1765" s="9" t="s">
        <v>12</v>
      </c>
      <c r="D1765" s="9" t="s">
        <v>5237</v>
      </c>
    </row>
    <row r="1766" ht="15.75" customHeight="1">
      <c r="A1766" s="7" t="s">
        <v>3865</v>
      </c>
      <c r="B1766" s="9" t="s">
        <v>3696</v>
      </c>
      <c r="C1766" s="9" t="s">
        <v>12</v>
      </c>
      <c r="D1766" s="9" t="s">
        <v>5238</v>
      </c>
    </row>
    <row r="1767" ht="15.75" customHeight="1">
      <c r="A1767" s="7" t="s">
        <v>3860</v>
      </c>
      <c r="B1767" s="9" t="s">
        <v>5239</v>
      </c>
      <c r="C1767" s="9" t="s">
        <v>17</v>
      </c>
      <c r="D1767" s="9" t="s">
        <v>541</v>
      </c>
    </row>
    <row r="1768" ht="15.75" customHeight="1">
      <c r="A1768" s="7" t="s">
        <v>3856</v>
      </c>
      <c r="B1768" s="9" t="s">
        <v>5240</v>
      </c>
      <c r="C1768" s="9" t="s">
        <v>12</v>
      </c>
      <c r="D1768" s="9" t="s">
        <v>3530</v>
      </c>
    </row>
    <row r="1769" ht="15.75" customHeight="1">
      <c r="A1769" s="7" t="s">
        <v>3851</v>
      </c>
      <c r="B1769" s="9" t="s">
        <v>5241</v>
      </c>
      <c r="C1769" s="9" t="s">
        <v>12</v>
      </c>
      <c r="D1769" s="9" t="s">
        <v>623</v>
      </c>
    </row>
    <row r="1770" ht="15.75" customHeight="1">
      <c r="A1770" s="7" t="s">
        <v>3847</v>
      </c>
      <c r="B1770" s="9" t="s">
        <v>5242</v>
      </c>
      <c r="C1770" s="9" t="s">
        <v>12</v>
      </c>
      <c r="D1770" s="9" t="s">
        <v>1705</v>
      </c>
    </row>
    <row r="1771" ht="15.75" customHeight="1">
      <c r="A1771" s="7" t="s">
        <v>3843</v>
      </c>
      <c r="B1771" s="9" t="s">
        <v>5243</v>
      </c>
      <c r="C1771" s="9" t="s">
        <v>12</v>
      </c>
      <c r="D1771" s="9" t="s">
        <v>5244</v>
      </c>
    </row>
    <row r="1772" ht="15.75" customHeight="1">
      <c r="A1772" s="7" t="s">
        <v>3838</v>
      </c>
      <c r="B1772" s="9" t="s">
        <v>5245</v>
      </c>
      <c r="C1772" s="9" t="s">
        <v>12</v>
      </c>
      <c r="D1772" s="9" t="s">
        <v>5246</v>
      </c>
    </row>
    <row r="1773" ht="15.75" customHeight="1">
      <c r="A1773" s="7" t="s">
        <v>3835</v>
      </c>
      <c r="B1773" s="9" t="s">
        <v>5247</v>
      </c>
      <c r="C1773" s="9" t="s">
        <v>12</v>
      </c>
      <c r="D1773" s="9" t="s">
        <v>1607</v>
      </c>
    </row>
    <row r="1774" ht="15.75" customHeight="1">
      <c r="A1774" s="7" t="s">
        <v>3832</v>
      </c>
      <c r="B1774" s="9" t="s">
        <v>5248</v>
      </c>
      <c r="C1774" s="9" t="s">
        <v>12</v>
      </c>
      <c r="D1774" s="9" t="s">
        <v>5249</v>
      </c>
    </row>
    <row r="1775" ht="15.75" customHeight="1">
      <c r="A1775" s="7" t="s">
        <v>3825</v>
      </c>
      <c r="B1775" s="9" t="s">
        <v>1048</v>
      </c>
      <c r="C1775" s="9" t="s">
        <v>17</v>
      </c>
      <c r="D1775" s="9" t="s">
        <v>5250</v>
      </c>
    </row>
    <row r="1776" ht="15.75" customHeight="1">
      <c r="A1776" s="7" t="s">
        <v>3819</v>
      </c>
      <c r="B1776" s="9" t="s">
        <v>5251</v>
      </c>
      <c r="C1776" s="9" t="s">
        <v>12</v>
      </c>
      <c r="D1776" s="9" t="s">
        <v>3341</v>
      </c>
    </row>
    <row r="1777" ht="15.75" customHeight="1">
      <c r="A1777" s="7" t="s">
        <v>3813</v>
      </c>
      <c r="B1777" s="9" t="s">
        <v>5252</v>
      </c>
      <c r="C1777" s="9" t="s">
        <v>12</v>
      </c>
      <c r="D1777" s="9" t="s">
        <v>334</v>
      </c>
    </row>
    <row r="1778" ht="15.75" customHeight="1">
      <c r="A1778" s="7" t="s">
        <v>3810</v>
      </c>
      <c r="B1778" s="9" t="s">
        <v>5253</v>
      </c>
      <c r="C1778" s="9" t="s">
        <v>17</v>
      </c>
      <c r="D1778" s="9" t="s">
        <v>5254</v>
      </c>
    </row>
    <row r="1779" ht="15.75" customHeight="1">
      <c r="A1779" s="7" t="s">
        <v>3806</v>
      </c>
      <c r="B1779" s="9" t="s">
        <v>3503</v>
      </c>
      <c r="C1779" s="9" t="s">
        <v>12</v>
      </c>
      <c r="D1779" s="9" t="s">
        <v>5255</v>
      </c>
    </row>
    <row r="1780" ht="15.75" customHeight="1">
      <c r="A1780" s="7" t="s">
        <v>3802</v>
      </c>
      <c r="B1780" s="9" t="s">
        <v>5256</v>
      </c>
      <c r="C1780" s="9" t="s">
        <v>17</v>
      </c>
      <c r="D1780" s="9" t="s">
        <v>5257</v>
      </c>
    </row>
    <row r="1781" ht="15.75" customHeight="1">
      <c r="A1781" s="7" t="s">
        <v>3797</v>
      </c>
      <c r="B1781" s="9" t="s">
        <v>5258</v>
      </c>
      <c r="C1781" s="9" t="s">
        <v>12</v>
      </c>
      <c r="D1781" s="9" t="s">
        <v>2536</v>
      </c>
    </row>
    <row r="1782" ht="15.75" customHeight="1">
      <c r="A1782" s="7" t="s">
        <v>3793</v>
      </c>
      <c r="B1782" s="9" t="s">
        <v>5259</v>
      </c>
      <c r="C1782" s="9" t="s">
        <v>12</v>
      </c>
      <c r="D1782" s="9" t="s">
        <v>2787</v>
      </c>
    </row>
    <row r="1783" ht="15.75" customHeight="1">
      <c r="A1783" s="7" t="s">
        <v>3790</v>
      </c>
      <c r="B1783" s="9" t="s">
        <v>5012</v>
      </c>
      <c r="C1783" s="9" t="s">
        <v>17</v>
      </c>
      <c r="D1783" s="9" t="s">
        <v>5260</v>
      </c>
    </row>
    <row r="1784" ht="15.75" customHeight="1">
      <c r="A1784" s="7" t="s">
        <v>3786</v>
      </c>
      <c r="B1784" s="9" t="s">
        <v>110</v>
      </c>
      <c r="C1784" s="9" t="s">
        <v>12</v>
      </c>
      <c r="D1784" s="9" t="s">
        <v>5261</v>
      </c>
    </row>
    <row r="1785" ht="15.75" customHeight="1">
      <c r="A1785" s="7" t="s">
        <v>3782</v>
      </c>
      <c r="B1785" s="9" t="s">
        <v>1874</v>
      </c>
      <c r="C1785" s="9" t="s">
        <v>17</v>
      </c>
      <c r="D1785" s="9" t="s">
        <v>2508</v>
      </c>
    </row>
    <row r="1786" ht="15.75" customHeight="1">
      <c r="A1786" s="7" t="s">
        <v>3778</v>
      </c>
      <c r="B1786" s="9" t="s">
        <v>5262</v>
      </c>
      <c r="C1786" s="9" t="s">
        <v>17</v>
      </c>
      <c r="D1786" s="9" t="s">
        <v>5263</v>
      </c>
    </row>
    <row r="1787" ht="15.75" customHeight="1">
      <c r="A1787" s="7" t="s">
        <v>3774</v>
      </c>
      <c r="B1787" s="9" t="s">
        <v>5264</v>
      </c>
      <c r="C1787" s="9" t="s">
        <v>17</v>
      </c>
      <c r="D1787" s="9" t="s">
        <v>93</v>
      </c>
    </row>
    <row r="1788" ht="15.75" customHeight="1">
      <c r="A1788" s="7" t="s">
        <v>3772</v>
      </c>
      <c r="B1788" s="9" t="s">
        <v>5265</v>
      </c>
      <c r="C1788" s="9" t="s">
        <v>17</v>
      </c>
      <c r="D1788" s="9" t="s">
        <v>5266</v>
      </c>
    </row>
    <row r="1789" ht="15.75" customHeight="1">
      <c r="A1789" s="7" t="s">
        <v>3768</v>
      </c>
      <c r="B1789" s="9" t="s">
        <v>3574</v>
      </c>
      <c r="C1789" s="9" t="s">
        <v>17</v>
      </c>
      <c r="D1789" s="9" t="s">
        <v>5267</v>
      </c>
    </row>
    <row r="1790" ht="15.75" customHeight="1">
      <c r="A1790" s="7" t="s">
        <v>3765</v>
      </c>
      <c r="B1790" s="9" t="s">
        <v>5268</v>
      </c>
      <c r="C1790" s="9" t="s">
        <v>17</v>
      </c>
      <c r="D1790" s="9" t="s">
        <v>39</v>
      </c>
    </row>
    <row r="1791" ht="15.75" customHeight="1">
      <c r="A1791" s="7" t="s">
        <v>3762</v>
      </c>
      <c r="B1791" s="9" t="s">
        <v>5269</v>
      </c>
      <c r="C1791" s="9" t="s">
        <v>17</v>
      </c>
      <c r="D1791" s="9" t="s">
        <v>5270</v>
      </c>
    </row>
    <row r="1792" ht="15.75" customHeight="1">
      <c r="A1792" s="7" t="s">
        <v>3758</v>
      </c>
      <c r="B1792" s="9" t="s">
        <v>1323</v>
      </c>
      <c r="C1792" s="9" t="s">
        <v>17</v>
      </c>
      <c r="D1792" s="9" t="s">
        <v>5271</v>
      </c>
    </row>
    <row r="1793" ht="15.75" customHeight="1">
      <c r="A1793" s="7" t="s">
        <v>3753</v>
      </c>
      <c r="B1793" s="9" t="s">
        <v>5272</v>
      </c>
      <c r="C1793" s="9" t="s">
        <v>12</v>
      </c>
      <c r="D1793" s="9" t="s">
        <v>637</v>
      </c>
    </row>
    <row r="1794" ht="15.75" customHeight="1">
      <c r="A1794" s="7" t="s">
        <v>3747</v>
      </c>
      <c r="B1794" s="9" t="s">
        <v>5273</v>
      </c>
      <c r="C1794" s="9" t="s">
        <v>17</v>
      </c>
      <c r="D1794" s="9" t="s">
        <v>509</v>
      </c>
    </row>
    <row r="1795" ht="15.75" customHeight="1">
      <c r="A1795" s="7" t="s">
        <v>3742</v>
      </c>
      <c r="B1795" s="9" t="s">
        <v>5274</v>
      </c>
      <c r="C1795" s="9" t="s">
        <v>12</v>
      </c>
      <c r="D1795" s="9" t="s">
        <v>2095</v>
      </c>
    </row>
    <row r="1796" ht="15.75" customHeight="1">
      <c r="A1796" s="7" t="s">
        <v>3739</v>
      </c>
      <c r="B1796" s="9" t="s">
        <v>4584</v>
      </c>
      <c r="C1796" s="9" t="s">
        <v>17</v>
      </c>
      <c r="D1796" s="9" t="s">
        <v>145</v>
      </c>
    </row>
    <row r="1797" ht="15.75" customHeight="1">
      <c r="A1797" s="7" t="s">
        <v>3734</v>
      </c>
      <c r="B1797" s="9" t="s">
        <v>5275</v>
      </c>
      <c r="C1797" s="9" t="s">
        <v>12</v>
      </c>
      <c r="D1797" s="9" t="s">
        <v>3618</v>
      </c>
    </row>
    <row r="1798" ht="15.75" customHeight="1">
      <c r="A1798" s="7" t="s">
        <v>3732</v>
      </c>
      <c r="B1798" s="9" t="s">
        <v>5276</v>
      </c>
      <c r="C1798" s="9" t="s">
        <v>17</v>
      </c>
      <c r="D1798" s="9" t="s">
        <v>5277</v>
      </c>
    </row>
    <row r="1799" ht="15.75" customHeight="1">
      <c r="A1799" s="7" t="s">
        <v>3728</v>
      </c>
      <c r="B1799" s="9" t="s">
        <v>5278</v>
      </c>
      <c r="C1799" s="9" t="s">
        <v>12</v>
      </c>
      <c r="D1799" s="9" t="s">
        <v>5279</v>
      </c>
    </row>
    <row r="1800" ht="15.75" customHeight="1">
      <c r="A1800" s="7" t="s">
        <v>3726</v>
      </c>
      <c r="B1800" s="9" t="s">
        <v>1790</v>
      </c>
      <c r="C1800" s="9" t="s">
        <v>12</v>
      </c>
      <c r="D1800" s="9" t="s">
        <v>5280</v>
      </c>
    </row>
    <row r="1801" ht="15.75" customHeight="1">
      <c r="A1801" s="7" t="s">
        <v>3723</v>
      </c>
      <c r="B1801" s="9" t="s">
        <v>5281</v>
      </c>
      <c r="C1801" s="9" t="s">
        <v>17</v>
      </c>
      <c r="D1801" s="9" t="s">
        <v>5282</v>
      </c>
    </row>
    <row r="1802" ht="15.75" customHeight="1">
      <c r="A1802" s="7" t="s">
        <v>3719</v>
      </c>
      <c r="B1802" s="9" t="s">
        <v>5283</v>
      </c>
      <c r="C1802" s="9" t="s">
        <v>12</v>
      </c>
      <c r="D1802" s="9" t="s">
        <v>5156</v>
      </c>
    </row>
    <row r="1803" ht="15.75" customHeight="1">
      <c r="A1803" s="7" t="s">
        <v>3715</v>
      </c>
      <c r="B1803" s="9" t="s">
        <v>5284</v>
      </c>
      <c r="C1803" s="9" t="s">
        <v>17</v>
      </c>
      <c r="D1803" s="9" t="s">
        <v>236</v>
      </c>
    </row>
    <row r="1804" ht="15.75" customHeight="1">
      <c r="A1804" s="7" t="s">
        <v>3714</v>
      </c>
      <c r="B1804" s="9" t="s">
        <v>667</v>
      </c>
      <c r="C1804" s="9" t="s">
        <v>17</v>
      </c>
      <c r="D1804" s="9" t="s">
        <v>1855</v>
      </c>
    </row>
    <row r="1805" ht="15.75" customHeight="1">
      <c r="A1805" s="7" t="s">
        <v>3712</v>
      </c>
      <c r="B1805" s="9" t="s">
        <v>119</v>
      </c>
      <c r="C1805" s="9" t="s">
        <v>17</v>
      </c>
      <c r="D1805" s="9" t="s">
        <v>5285</v>
      </c>
    </row>
    <row r="1806" ht="15.75" customHeight="1">
      <c r="A1806" s="7" t="s">
        <v>3708</v>
      </c>
      <c r="B1806" s="9" t="s">
        <v>5286</v>
      </c>
      <c r="C1806" s="9" t="s">
        <v>17</v>
      </c>
      <c r="D1806" s="9" t="s">
        <v>5287</v>
      </c>
    </row>
    <row r="1807" ht="15.75" customHeight="1">
      <c r="A1807" s="7" t="s">
        <v>3704</v>
      </c>
      <c r="B1807" s="9" t="s">
        <v>5288</v>
      </c>
      <c r="C1807" s="9" t="s">
        <v>12</v>
      </c>
      <c r="D1807" s="9" t="s">
        <v>1469</v>
      </c>
    </row>
    <row r="1808" ht="15.75" customHeight="1">
      <c r="A1808" s="7" t="s">
        <v>3699</v>
      </c>
      <c r="B1808" s="9" t="s">
        <v>5289</v>
      </c>
      <c r="C1808" s="9" t="s">
        <v>12</v>
      </c>
      <c r="D1808" s="9" t="s">
        <v>5290</v>
      </c>
    </row>
    <row r="1809" ht="15.75" customHeight="1">
      <c r="A1809" s="7" t="s">
        <v>3694</v>
      </c>
      <c r="B1809" s="9" t="s">
        <v>5291</v>
      </c>
      <c r="C1809" s="9" t="s">
        <v>12</v>
      </c>
      <c r="D1809" s="9" t="s">
        <v>5292</v>
      </c>
    </row>
    <row r="1810" ht="15.75" customHeight="1">
      <c r="A1810" s="7" t="s">
        <v>3690</v>
      </c>
      <c r="B1810" s="9" t="s">
        <v>5293</v>
      </c>
      <c r="C1810" s="9" t="s">
        <v>12</v>
      </c>
      <c r="D1810" s="9" t="s">
        <v>807</v>
      </c>
    </row>
    <row r="1811" ht="15.75" customHeight="1">
      <c r="A1811" s="7" t="s">
        <v>3685</v>
      </c>
      <c r="B1811" s="9" t="s">
        <v>5294</v>
      </c>
      <c r="C1811" s="9" t="s">
        <v>12</v>
      </c>
      <c r="D1811" s="9" t="s">
        <v>5202</v>
      </c>
    </row>
    <row r="1812" ht="15.75" customHeight="1">
      <c r="A1812" s="7" t="s">
        <v>3680</v>
      </c>
      <c r="B1812" s="9" t="s">
        <v>5295</v>
      </c>
      <c r="C1812" s="9" t="s">
        <v>12</v>
      </c>
      <c r="D1812" s="9" t="s">
        <v>5296</v>
      </c>
    </row>
    <row r="1813" ht="15.75" customHeight="1">
      <c r="A1813" s="7" t="s">
        <v>3675</v>
      </c>
      <c r="B1813" s="9" t="s">
        <v>5297</v>
      </c>
      <c r="C1813" s="9" t="s">
        <v>12</v>
      </c>
      <c r="D1813" s="9" t="s">
        <v>5298</v>
      </c>
    </row>
    <row r="1814" ht="15.75" customHeight="1">
      <c r="A1814" s="7" t="s">
        <v>3668</v>
      </c>
      <c r="B1814" s="9" t="s">
        <v>5299</v>
      </c>
      <c r="C1814" s="9" t="s">
        <v>17</v>
      </c>
      <c r="D1814" s="9" t="s">
        <v>5300</v>
      </c>
    </row>
    <row r="1815" ht="15.75" customHeight="1">
      <c r="A1815" s="7" t="s">
        <v>3662</v>
      </c>
      <c r="B1815" s="9" t="s">
        <v>5301</v>
      </c>
      <c r="C1815" s="9" t="s">
        <v>12</v>
      </c>
      <c r="D1815" s="9" t="s">
        <v>1469</v>
      </c>
    </row>
    <row r="1816" ht="15.75" customHeight="1">
      <c r="A1816" s="7" t="s">
        <v>3656</v>
      </c>
      <c r="B1816" s="9" t="s">
        <v>5302</v>
      </c>
      <c r="C1816" s="9" t="s">
        <v>17</v>
      </c>
      <c r="D1816" s="9" t="s">
        <v>2336</v>
      </c>
    </row>
    <row r="1817" ht="15.75" customHeight="1">
      <c r="A1817" s="7" t="s">
        <v>3649</v>
      </c>
      <c r="B1817" s="9" t="s">
        <v>5303</v>
      </c>
      <c r="C1817" s="9" t="s">
        <v>17</v>
      </c>
      <c r="D1817" s="9" t="s">
        <v>5304</v>
      </c>
    </row>
    <row r="1818" ht="15.75" customHeight="1">
      <c r="A1818" s="7" t="s">
        <v>3644</v>
      </c>
      <c r="B1818" s="9" t="s">
        <v>5305</v>
      </c>
      <c r="C1818" s="9" t="s">
        <v>17</v>
      </c>
      <c r="D1818" s="9" t="s">
        <v>5306</v>
      </c>
    </row>
    <row r="1819" ht="15.75" customHeight="1">
      <c r="A1819" s="7" t="s">
        <v>3638</v>
      </c>
      <c r="B1819" s="9" t="s">
        <v>5307</v>
      </c>
      <c r="C1819" s="9" t="s">
        <v>17</v>
      </c>
      <c r="D1819" s="9" t="s">
        <v>4755</v>
      </c>
    </row>
    <row r="1820" ht="15.75" customHeight="1">
      <c r="A1820" s="7" t="s">
        <v>3635</v>
      </c>
      <c r="B1820" s="9" t="s">
        <v>3276</v>
      </c>
      <c r="C1820" s="9" t="s">
        <v>17</v>
      </c>
      <c r="D1820" s="9" t="s">
        <v>1130</v>
      </c>
    </row>
    <row r="1821" ht="15.75" customHeight="1">
      <c r="A1821" s="7" t="s">
        <v>3631</v>
      </c>
      <c r="B1821" s="9" t="s">
        <v>5308</v>
      </c>
      <c r="C1821" s="9" t="s">
        <v>17</v>
      </c>
      <c r="D1821" s="9" t="s">
        <v>5309</v>
      </c>
    </row>
    <row r="1822" ht="15.75" customHeight="1">
      <c r="A1822" s="7" t="s">
        <v>3622</v>
      </c>
      <c r="B1822" s="9" t="s">
        <v>5310</v>
      </c>
      <c r="C1822" s="9" t="s">
        <v>17</v>
      </c>
      <c r="D1822" s="9" t="s">
        <v>285</v>
      </c>
    </row>
    <row r="1823" ht="15.75" customHeight="1">
      <c r="A1823" s="7" t="s">
        <v>3617</v>
      </c>
      <c r="B1823" s="9" t="s">
        <v>5311</v>
      </c>
      <c r="C1823" s="9" t="s">
        <v>17</v>
      </c>
      <c r="D1823" s="9" t="s">
        <v>5312</v>
      </c>
    </row>
    <row r="1824" ht="15.75" customHeight="1">
      <c r="A1824" s="7" t="s">
        <v>3613</v>
      </c>
      <c r="B1824" s="9" t="s">
        <v>5313</v>
      </c>
      <c r="C1824" s="9" t="s">
        <v>12</v>
      </c>
      <c r="D1824" s="9" t="s">
        <v>5314</v>
      </c>
    </row>
    <row r="1825" ht="15.75" customHeight="1">
      <c r="A1825" s="7" t="s">
        <v>3608</v>
      </c>
      <c r="B1825" s="9" t="s">
        <v>2410</v>
      </c>
      <c r="C1825" s="9" t="s">
        <v>17</v>
      </c>
      <c r="D1825" s="9" t="s">
        <v>1517</v>
      </c>
    </row>
    <row r="1826" ht="15.75" customHeight="1">
      <c r="A1826" s="7" t="s">
        <v>3603</v>
      </c>
      <c r="B1826" s="9" t="s">
        <v>5315</v>
      </c>
      <c r="C1826" s="9" t="s">
        <v>12</v>
      </c>
      <c r="D1826" s="9" t="s">
        <v>5316</v>
      </c>
    </row>
    <row r="1827" ht="15.75" customHeight="1">
      <c r="A1827" s="7" t="s">
        <v>3598</v>
      </c>
      <c r="B1827" s="9" t="s">
        <v>5317</v>
      </c>
      <c r="C1827" s="9" t="s">
        <v>12</v>
      </c>
      <c r="D1827" s="9" t="s">
        <v>5318</v>
      </c>
    </row>
    <row r="1828" ht="15.75" customHeight="1">
      <c r="A1828" s="7" t="s">
        <v>3595</v>
      </c>
      <c r="B1828" s="9" t="s">
        <v>5319</v>
      </c>
      <c r="C1828" s="9" t="s">
        <v>12</v>
      </c>
      <c r="D1828" s="9" t="s">
        <v>5320</v>
      </c>
    </row>
    <row r="1829" ht="15.75" customHeight="1">
      <c r="A1829" s="7" t="s">
        <v>3591</v>
      </c>
      <c r="B1829" s="9" t="s">
        <v>5321</v>
      </c>
      <c r="C1829" s="9" t="s">
        <v>12</v>
      </c>
      <c r="D1829" s="9" t="s">
        <v>5174</v>
      </c>
    </row>
    <row r="1830" ht="15.75" customHeight="1">
      <c r="A1830" s="7" t="s">
        <v>3587</v>
      </c>
      <c r="B1830" s="9" t="s">
        <v>5322</v>
      </c>
      <c r="C1830" s="9" t="s">
        <v>12</v>
      </c>
      <c r="D1830" s="9" t="s">
        <v>1449</v>
      </c>
    </row>
    <row r="1831" ht="15.75" customHeight="1">
      <c r="A1831" s="7" t="s">
        <v>3582</v>
      </c>
      <c r="B1831" s="9" t="s">
        <v>625</v>
      </c>
      <c r="C1831" s="9" t="s">
        <v>17</v>
      </c>
      <c r="D1831" s="9" t="s">
        <v>5323</v>
      </c>
    </row>
    <row r="1832" ht="15.75" customHeight="1">
      <c r="A1832" s="7" t="s">
        <v>3578</v>
      </c>
      <c r="B1832" s="9" t="s">
        <v>3279</v>
      </c>
      <c r="C1832" s="9" t="s">
        <v>12</v>
      </c>
      <c r="D1832" s="9" t="s">
        <v>683</v>
      </c>
    </row>
    <row r="1833" ht="15.75" customHeight="1">
      <c r="A1833" s="7" t="s">
        <v>3573</v>
      </c>
      <c r="B1833" s="9" t="s">
        <v>1278</v>
      </c>
      <c r="C1833" s="9" t="s">
        <v>12</v>
      </c>
      <c r="D1833" s="9" t="s">
        <v>5093</v>
      </c>
    </row>
    <row r="1834" ht="15.75" customHeight="1">
      <c r="A1834" s="7" t="s">
        <v>3567</v>
      </c>
      <c r="B1834" s="9" t="s">
        <v>5324</v>
      </c>
      <c r="C1834" s="9" t="s">
        <v>17</v>
      </c>
      <c r="D1834" s="9" t="s">
        <v>5325</v>
      </c>
    </row>
    <row r="1835" ht="15.75" customHeight="1">
      <c r="A1835" s="7" t="s">
        <v>3561</v>
      </c>
      <c r="B1835" s="9" t="s">
        <v>5326</v>
      </c>
      <c r="C1835" s="9" t="s">
        <v>12</v>
      </c>
      <c r="D1835" s="9" t="s">
        <v>5327</v>
      </c>
    </row>
    <row r="1836" ht="15.75" customHeight="1">
      <c r="A1836" s="7" t="s">
        <v>3556</v>
      </c>
      <c r="B1836" s="9" t="s">
        <v>5328</v>
      </c>
      <c r="C1836" s="9" t="s">
        <v>1573</v>
      </c>
      <c r="D1836" s="9" t="s">
        <v>4121</v>
      </c>
    </row>
    <row r="1837" ht="15.75" customHeight="1">
      <c r="A1837" s="7" t="s">
        <v>3552</v>
      </c>
      <c r="B1837" s="9" t="s">
        <v>5329</v>
      </c>
      <c r="C1837" s="9" t="s">
        <v>17</v>
      </c>
      <c r="D1837" s="9" t="s">
        <v>2336</v>
      </c>
    </row>
    <row r="1838" ht="15.75" customHeight="1">
      <c r="A1838" s="7" t="s">
        <v>3545</v>
      </c>
      <c r="B1838" s="9" t="s">
        <v>5330</v>
      </c>
      <c r="C1838" s="9" t="s">
        <v>17</v>
      </c>
      <c r="D1838" s="9" t="s">
        <v>5331</v>
      </c>
    </row>
    <row r="1839" ht="15.75" customHeight="1">
      <c r="A1839" s="7" t="s">
        <v>3538</v>
      </c>
      <c r="B1839" s="9" t="s">
        <v>5332</v>
      </c>
      <c r="C1839" s="9" t="s">
        <v>17</v>
      </c>
      <c r="D1839" s="9" t="s">
        <v>5333</v>
      </c>
    </row>
    <row r="1840" ht="15.75" customHeight="1">
      <c r="A1840" s="7" t="s">
        <v>3532</v>
      </c>
      <c r="B1840" s="9" t="s">
        <v>3745</v>
      </c>
      <c r="C1840" s="9" t="s">
        <v>17</v>
      </c>
      <c r="D1840" s="9" t="s">
        <v>5334</v>
      </c>
    </row>
    <row r="1841" ht="15.75" customHeight="1">
      <c r="A1841" s="7" t="s">
        <v>3527</v>
      </c>
      <c r="B1841" s="9" t="s">
        <v>3924</v>
      </c>
      <c r="C1841" s="9" t="s">
        <v>17</v>
      </c>
      <c r="D1841" s="9" t="s">
        <v>5335</v>
      </c>
    </row>
    <row r="1842" ht="15.75" customHeight="1">
      <c r="A1842" s="7" t="s">
        <v>3520</v>
      </c>
      <c r="B1842" s="9" t="s">
        <v>5336</v>
      </c>
      <c r="C1842" s="9" t="s">
        <v>12</v>
      </c>
      <c r="D1842" s="9" t="s">
        <v>233</v>
      </c>
    </row>
    <row r="1843" ht="15.75" customHeight="1">
      <c r="A1843" s="7" t="s">
        <v>3516</v>
      </c>
      <c r="B1843" s="9" t="s">
        <v>5337</v>
      </c>
      <c r="C1843" s="9" t="s">
        <v>12</v>
      </c>
      <c r="D1843" s="9" t="s">
        <v>5338</v>
      </c>
    </row>
    <row r="1844" ht="15.75" customHeight="1">
      <c r="A1844" s="7" t="s">
        <v>3510</v>
      </c>
      <c r="B1844" s="9" t="s">
        <v>239</v>
      </c>
      <c r="C1844" s="9" t="s">
        <v>17</v>
      </c>
      <c r="D1844" s="9" t="s">
        <v>5339</v>
      </c>
    </row>
    <row r="1845" ht="15.75" customHeight="1">
      <c r="A1845" s="7" t="s">
        <v>3504</v>
      </c>
      <c r="B1845" s="9" t="s">
        <v>5340</v>
      </c>
      <c r="C1845" s="9" t="s">
        <v>17</v>
      </c>
      <c r="D1845" s="9" t="s">
        <v>5341</v>
      </c>
    </row>
    <row r="1846" ht="15.75" customHeight="1">
      <c r="A1846" s="7" t="s">
        <v>3495</v>
      </c>
      <c r="B1846" s="9" t="s">
        <v>5342</v>
      </c>
      <c r="C1846" s="9" t="s">
        <v>17</v>
      </c>
      <c r="D1846" s="9" t="s">
        <v>111</v>
      </c>
    </row>
    <row r="1847" ht="15.75" customHeight="1">
      <c r="A1847" s="7" t="s">
        <v>3486</v>
      </c>
      <c r="B1847" s="9" t="s">
        <v>5343</v>
      </c>
      <c r="C1847" s="9" t="s">
        <v>17</v>
      </c>
      <c r="D1847" s="9" t="s">
        <v>5344</v>
      </c>
    </row>
    <row r="1848" ht="15.75" customHeight="1">
      <c r="A1848" s="7" t="s">
        <v>3477</v>
      </c>
      <c r="B1848" s="9" t="s">
        <v>5345</v>
      </c>
      <c r="C1848" s="9" t="s">
        <v>17</v>
      </c>
      <c r="D1848" s="9" t="s">
        <v>5346</v>
      </c>
    </row>
    <row r="1849" ht="15.75" customHeight="1">
      <c r="A1849" s="7" t="s">
        <v>3468</v>
      </c>
      <c r="B1849" s="9" t="s">
        <v>5347</v>
      </c>
      <c r="C1849" s="9" t="s">
        <v>17</v>
      </c>
      <c r="D1849" s="9" t="s">
        <v>5348</v>
      </c>
    </row>
    <row r="1850" ht="15.75" customHeight="1">
      <c r="A1850" s="7" t="s">
        <v>3461</v>
      </c>
      <c r="B1850" s="9" t="s">
        <v>5349</v>
      </c>
      <c r="C1850" s="9" t="s">
        <v>17</v>
      </c>
      <c r="D1850" s="9" t="s">
        <v>5350</v>
      </c>
    </row>
    <row r="1851" ht="15.75" customHeight="1">
      <c r="A1851" s="7" t="s">
        <v>3453</v>
      </c>
      <c r="B1851" s="9" t="s">
        <v>5351</v>
      </c>
      <c r="C1851" s="9" t="s">
        <v>17</v>
      </c>
      <c r="D1851" s="9" t="s">
        <v>967</v>
      </c>
    </row>
    <row r="1852" ht="15.75" customHeight="1">
      <c r="A1852" s="7" t="s">
        <v>3446</v>
      </c>
      <c r="B1852" s="9" t="s">
        <v>5352</v>
      </c>
      <c r="C1852" s="9" t="s">
        <v>17</v>
      </c>
      <c r="D1852" s="9" t="s">
        <v>183</v>
      </c>
    </row>
    <row r="1853" ht="15.75" customHeight="1">
      <c r="A1853" s="7" t="s">
        <v>3444</v>
      </c>
      <c r="B1853" s="9" t="s">
        <v>5353</v>
      </c>
      <c r="C1853" s="9" t="s">
        <v>17</v>
      </c>
      <c r="D1853" s="9" t="s">
        <v>5354</v>
      </c>
    </row>
    <row r="1854" ht="15.75" customHeight="1">
      <c r="A1854" s="7" t="s">
        <v>3442</v>
      </c>
      <c r="B1854" s="9" t="s">
        <v>5355</v>
      </c>
      <c r="C1854" s="9" t="s">
        <v>17</v>
      </c>
      <c r="D1854" s="9" t="s">
        <v>183</v>
      </c>
    </row>
    <row r="1855" ht="15.75" customHeight="1">
      <c r="A1855" s="7" t="s">
        <v>3433</v>
      </c>
      <c r="B1855" s="9" t="s">
        <v>5055</v>
      </c>
      <c r="C1855" s="9" t="s">
        <v>12</v>
      </c>
      <c r="D1855" s="9" t="s">
        <v>5356</v>
      </c>
    </row>
    <row r="1856" ht="15.75" customHeight="1">
      <c r="A1856" s="7" t="s">
        <v>3429</v>
      </c>
      <c r="B1856" s="9" t="s">
        <v>2193</v>
      </c>
      <c r="C1856" s="9" t="s">
        <v>17</v>
      </c>
      <c r="D1856" s="9" t="s">
        <v>4081</v>
      </c>
    </row>
    <row r="1857" ht="15.75" customHeight="1">
      <c r="A1857" s="7" t="s">
        <v>3424</v>
      </c>
      <c r="B1857" s="9" t="s">
        <v>5357</v>
      </c>
      <c r="C1857" s="9" t="s">
        <v>17</v>
      </c>
      <c r="D1857" s="9" t="s">
        <v>1335</v>
      </c>
    </row>
    <row r="1858" ht="15.75" customHeight="1">
      <c r="A1858" s="7" t="s">
        <v>3420</v>
      </c>
      <c r="B1858" s="9" t="s">
        <v>5358</v>
      </c>
      <c r="C1858" s="9" t="s">
        <v>12</v>
      </c>
      <c r="D1858" s="9" t="s">
        <v>5359</v>
      </c>
    </row>
    <row r="1859" ht="15.75" customHeight="1">
      <c r="A1859" s="7" t="s">
        <v>3414</v>
      </c>
      <c r="B1859" s="9" t="s">
        <v>5360</v>
      </c>
      <c r="C1859" s="9" t="s">
        <v>17</v>
      </c>
      <c r="D1859" s="9" t="s">
        <v>5361</v>
      </c>
    </row>
    <row r="1860" ht="15.75" customHeight="1">
      <c r="A1860" s="7" t="s">
        <v>3409</v>
      </c>
      <c r="B1860" s="9" t="s">
        <v>3458</v>
      </c>
      <c r="C1860" s="9" t="s">
        <v>12</v>
      </c>
      <c r="D1860" s="9" t="s">
        <v>4218</v>
      </c>
    </row>
    <row r="1861" ht="15.75" customHeight="1">
      <c r="A1861" s="7" t="s">
        <v>3403</v>
      </c>
      <c r="B1861" s="9" t="s">
        <v>328</v>
      </c>
      <c r="C1861" s="9" t="s">
        <v>12</v>
      </c>
      <c r="D1861" s="9" t="s">
        <v>5362</v>
      </c>
    </row>
    <row r="1862" ht="15.75" customHeight="1">
      <c r="A1862" s="7" t="s">
        <v>3399</v>
      </c>
      <c r="B1862" s="9" t="s">
        <v>5363</v>
      </c>
      <c r="C1862" s="9" t="s">
        <v>12</v>
      </c>
      <c r="D1862" s="9" t="s">
        <v>5364</v>
      </c>
    </row>
    <row r="1863" ht="15.75" customHeight="1">
      <c r="A1863" s="7" t="s">
        <v>3393</v>
      </c>
      <c r="B1863" s="9" t="s">
        <v>1291</v>
      </c>
      <c r="C1863" s="9" t="s">
        <v>12</v>
      </c>
      <c r="D1863" s="9" t="s">
        <v>1705</v>
      </c>
    </row>
    <row r="1864" ht="15.75" customHeight="1">
      <c r="A1864" s="7" t="s">
        <v>3386</v>
      </c>
      <c r="B1864" s="9" t="s">
        <v>5365</v>
      </c>
      <c r="C1864" s="9" t="s">
        <v>12</v>
      </c>
      <c r="D1864" s="9" t="s">
        <v>5366</v>
      </c>
    </row>
    <row r="1865" ht="15.75" customHeight="1">
      <c r="A1865" s="7" t="s">
        <v>3380</v>
      </c>
      <c r="B1865" s="9" t="s">
        <v>5367</v>
      </c>
      <c r="C1865" s="9" t="s">
        <v>12</v>
      </c>
      <c r="D1865" s="9" t="s">
        <v>201</v>
      </c>
    </row>
    <row r="1866" ht="15.75" customHeight="1">
      <c r="A1866" s="7" t="s">
        <v>3374</v>
      </c>
      <c r="B1866" s="9" t="s">
        <v>13</v>
      </c>
      <c r="C1866" s="9" t="s">
        <v>12</v>
      </c>
      <c r="D1866" s="9" t="s">
        <v>5368</v>
      </c>
    </row>
    <row r="1867" ht="15.75" customHeight="1">
      <c r="A1867" s="7" t="s">
        <v>3370</v>
      </c>
      <c r="B1867" s="9" t="s">
        <v>5369</v>
      </c>
      <c r="C1867" s="9" t="s">
        <v>17</v>
      </c>
      <c r="D1867" s="9" t="s">
        <v>5370</v>
      </c>
    </row>
    <row r="1868" ht="15.75" customHeight="1">
      <c r="A1868" s="7" t="s">
        <v>3365</v>
      </c>
      <c r="B1868" s="9" t="s">
        <v>2601</v>
      </c>
      <c r="C1868" s="9" t="s">
        <v>12</v>
      </c>
      <c r="D1868" s="9" t="s">
        <v>2455</v>
      </c>
    </row>
    <row r="1869" ht="15.75" customHeight="1">
      <c r="A1869" s="7" t="s">
        <v>3359</v>
      </c>
      <c r="B1869" s="9" t="s">
        <v>2273</v>
      </c>
      <c r="C1869" s="9" t="s">
        <v>17</v>
      </c>
      <c r="D1869" s="9" t="s">
        <v>5371</v>
      </c>
    </row>
    <row r="1870" ht="15.75" customHeight="1">
      <c r="A1870" s="7" t="s">
        <v>3354</v>
      </c>
      <c r="B1870" s="9" t="s">
        <v>5372</v>
      </c>
      <c r="C1870" s="9" t="s">
        <v>17</v>
      </c>
      <c r="D1870" s="9" t="s">
        <v>1212</v>
      </c>
    </row>
    <row r="1871" ht="15.75" customHeight="1">
      <c r="A1871" s="7" t="s">
        <v>3348</v>
      </c>
      <c r="B1871" s="9" t="s">
        <v>679</v>
      </c>
      <c r="C1871" s="9" t="s">
        <v>17</v>
      </c>
      <c r="D1871" s="9" t="s">
        <v>429</v>
      </c>
    </row>
    <row r="1872" ht="15.75" customHeight="1">
      <c r="A1872" s="7" t="s">
        <v>3342</v>
      </c>
      <c r="B1872" s="9" t="s">
        <v>5373</v>
      </c>
      <c r="C1872" s="9" t="s">
        <v>17</v>
      </c>
      <c r="D1872" s="9" t="s">
        <v>5374</v>
      </c>
    </row>
    <row r="1873" ht="15.75" customHeight="1">
      <c r="A1873" s="7" t="s">
        <v>3336</v>
      </c>
      <c r="B1873" s="9" t="s">
        <v>5375</v>
      </c>
      <c r="C1873" s="9" t="s">
        <v>17</v>
      </c>
      <c r="D1873" s="9" t="s">
        <v>5376</v>
      </c>
    </row>
    <row r="1874" ht="15.75" customHeight="1">
      <c r="A1874" s="7" t="s">
        <v>3331</v>
      </c>
      <c r="B1874" s="9" t="s">
        <v>5377</v>
      </c>
      <c r="C1874" s="9" t="s">
        <v>17</v>
      </c>
      <c r="D1874" s="9" t="s">
        <v>5378</v>
      </c>
    </row>
    <row r="1875" ht="15.75" customHeight="1">
      <c r="A1875" s="7" t="s">
        <v>3325</v>
      </c>
      <c r="B1875" s="9" t="s">
        <v>5379</v>
      </c>
      <c r="C1875" s="9" t="s">
        <v>17</v>
      </c>
      <c r="D1875" s="9" t="s">
        <v>5380</v>
      </c>
    </row>
    <row r="1876" ht="15.75" customHeight="1">
      <c r="A1876" s="7" t="s">
        <v>3320</v>
      </c>
      <c r="B1876" s="9" t="s">
        <v>5381</v>
      </c>
      <c r="C1876" s="9" t="s">
        <v>17</v>
      </c>
      <c r="D1876" s="9" t="s">
        <v>5382</v>
      </c>
    </row>
    <row r="1877" ht="15.75" customHeight="1">
      <c r="A1877" s="7" t="s">
        <v>3314</v>
      </c>
      <c r="B1877" s="9" t="s">
        <v>3574</v>
      </c>
      <c r="C1877" s="9" t="s">
        <v>12</v>
      </c>
      <c r="D1877" s="9" t="s">
        <v>5383</v>
      </c>
    </row>
    <row r="1878" ht="15.75" customHeight="1">
      <c r="A1878" s="7" t="s">
        <v>3309</v>
      </c>
      <c r="B1878" s="9" t="s">
        <v>5384</v>
      </c>
      <c r="C1878" s="9" t="s">
        <v>12</v>
      </c>
      <c r="D1878" s="9" t="s">
        <v>2194</v>
      </c>
    </row>
    <row r="1879" ht="15.75" customHeight="1">
      <c r="A1879" s="7" t="s">
        <v>3303</v>
      </c>
      <c r="B1879" s="9" t="s">
        <v>2216</v>
      </c>
      <c r="C1879" s="9" t="s">
        <v>1573</v>
      </c>
      <c r="D1879" s="9" t="s">
        <v>5385</v>
      </c>
    </row>
    <row r="1880" ht="15.75" customHeight="1">
      <c r="A1880" s="7" t="s">
        <v>3299</v>
      </c>
      <c r="B1880" s="9" t="s">
        <v>5386</v>
      </c>
      <c r="C1880" s="9" t="s">
        <v>12</v>
      </c>
      <c r="D1880" s="9" t="s">
        <v>5387</v>
      </c>
    </row>
    <row r="1881" ht="15.75" customHeight="1">
      <c r="A1881" s="7" t="s">
        <v>3293</v>
      </c>
      <c r="B1881" s="9" t="s">
        <v>5388</v>
      </c>
      <c r="C1881" s="9" t="s">
        <v>12</v>
      </c>
      <c r="D1881" s="9" t="s">
        <v>5389</v>
      </c>
    </row>
    <row r="1882" ht="15.75" customHeight="1">
      <c r="A1882" s="7" t="s">
        <v>3289</v>
      </c>
      <c r="B1882" s="9" t="s">
        <v>1819</v>
      </c>
      <c r="C1882" s="9" t="s">
        <v>17</v>
      </c>
      <c r="D1882" s="9" t="s">
        <v>5390</v>
      </c>
    </row>
    <row r="1883" ht="15.75" customHeight="1">
      <c r="A1883" s="7" t="s">
        <v>3284</v>
      </c>
      <c r="B1883" s="9" t="s">
        <v>5391</v>
      </c>
      <c r="C1883" s="9" t="s">
        <v>12</v>
      </c>
      <c r="D1883" s="9" t="s">
        <v>5383</v>
      </c>
    </row>
    <row r="1884" ht="15.75" customHeight="1">
      <c r="A1884" s="7" t="s">
        <v>3277</v>
      </c>
      <c r="B1884" s="9" t="s">
        <v>5392</v>
      </c>
      <c r="C1884" s="9" t="s">
        <v>12</v>
      </c>
      <c r="D1884" s="9" t="s">
        <v>5393</v>
      </c>
    </row>
    <row r="1885" ht="15.75" customHeight="1">
      <c r="A1885" s="7" t="s">
        <v>3273</v>
      </c>
      <c r="B1885" s="9" t="s">
        <v>5394</v>
      </c>
      <c r="C1885" s="9" t="s">
        <v>12</v>
      </c>
      <c r="D1885" s="9" t="s">
        <v>5395</v>
      </c>
    </row>
    <row r="1886" ht="15.75" customHeight="1">
      <c r="A1886" s="7" t="s">
        <v>3266</v>
      </c>
      <c r="B1886" s="9" t="s">
        <v>5396</v>
      </c>
      <c r="C1886" s="9" t="s">
        <v>12</v>
      </c>
      <c r="D1886" s="9" t="s">
        <v>5397</v>
      </c>
    </row>
    <row r="1887" ht="15.75" customHeight="1">
      <c r="A1887" s="7" t="s">
        <v>3257</v>
      </c>
      <c r="B1887" s="9" t="s">
        <v>5398</v>
      </c>
      <c r="C1887" s="9" t="s">
        <v>12</v>
      </c>
      <c r="D1887" s="9" t="s">
        <v>5399</v>
      </c>
    </row>
    <row r="1888" ht="15.75" customHeight="1">
      <c r="A1888" s="7" t="s">
        <v>3251</v>
      </c>
      <c r="B1888" s="9" t="s">
        <v>5400</v>
      </c>
      <c r="C1888" s="9" t="s">
        <v>17</v>
      </c>
      <c r="D1888" s="9" t="s">
        <v>5401</v>
      </c>
    </row>
    <row r="1889" ht="15.75" customHeight="1">
      <c r="A1889" s="7" t="s">
        <v>3243</v>
      </c>
      <c r="B1889" s="9" t="s">
        <v>5402</v>
      </c>
      <c r="C1889" s="9" t="s">
        <v>17</v>
      </c>
      <c r="D1889" s="9" t="s">
        <v>1286</v>
      </c>
    </row>
    <row r="1890" ht="15.75" customHeight="1">
      <c r="A1890" s="7" t="s">
        <v>3236</v>
      </c>
      <c r="B1890" s="9" t="s">
        <v>1865</v>
      </c>
      <c r="C1890" s="9" t="s">
        <v>17</v>
      </c>
      <c r="D1890" s="9" t="s">
        <v>5403</v>
      </c>
    </row>
    <row r="1891" ht="15.75" customHeight="1">
      <c r="A1891" s="7" t="s">
        <v>3230</v>
      </c>
      <c r="B1891" s="9" t="s">
        <v>5404</v>
      </c>
      <c r="C1891" s="9" t="s">
        <v>12</v>
      </c>
      <c r="D1891" s="9" t="s">
        <v>3738</v>
      </c>
    </row>
    <row r="1892" ht="15.75" customHeight="1">
      <c r="A1892" s="7" t="s">
        <v>3223</v>
      </c>
      <c r="B1892" s="9" t="s">
        <v>5405</v>
      </c>
      <c r="C1892" s="9" t="s">
        <v>17</v>
      </c>
      <c r="D1892" s="9" t="s">
        <v>93</v>
      </c>
    </row>
    <row r="1893" ht="15.75" customHeight="1">
      <c r="A1893" s="7" t="s">
        <v>3216</v>
      </c>
      <c r="B1893" s="9" t="s">
        <v>5406</v>
      </c>
      <c r="C1893" s="9" t="s">
        <v>17</v>
      </c>
      <c r="D1893" s="9" t="s">
        <v>5407</v>
      </c>
    </row>
    <row r="1894" ht="15.75" customHeight="1">
      <c r="A1894" s="7" t="s">
        <v>3209</v>
      </c>
      <c r="B1894" s="9" t="s">
        <v>5408</v>
      </c>
      <c r="C1894" s="9" t="s">
        <v>12</v>
      </c>
      <c r="D1894" s="9" t="s">
        <v>5409</v>
      </c>
    </row>
    <row r="1895" ht="15.75" customHeight="1">
      <c r="A1895" s="7" t="s">
        <v>3203</v>
      </c>
      <c r="B1895" s="9" t="s">
        <v>5410</v>
      </c>
      <c r="C1895" s="9" t="s">
        <v>17</v>
      </c>
      <c r="D1895" s="9" t="s">
        <v>398</v>
      </c>
    </row>
    <row r="1896" ht="15.75" customHeight="1">
      <c r="A1896" s="7" t="s">
        <v>3194</v>
      </c>
      <c r="B1896" s="9" t="s">
        <v>5411</v>
      </c>
      <c r="C1896" s="9" t="s">
        <v>12</v>
      </c>
      <c r="D1896" s="9" t="s">
        <v>5412</v>
      </c>
    </row>
    <row r="1897" ht="15.75" customHeight="1">
      <c r="A1897" s="7" t="s">
        <v>3187</v>
      </c>
      <c r="B1897" s="9" t="s">
        <v>785</v>
      </c>
      <c r="C1897" s="9" t="s">
        <v>17</v>
      </c>
      <c r="D1897" s="9" t="s">
        <v>5413</v>
      </c>
    </row>
    <row r="1898" ht="15.75" customHeight="1">
      <c r="A1898" s="7" t="s">
        <v>3182</v>
      </c>
      <c r="B1898" s="9" t="s">
        <v>5414</v>
      </c>
      <c r="C1898" s="9" t="s">
        <v>17</v>
      </c>
      <c r="D1898" s="9" t="s">
        <v>516</v>
      </c>
    </row>
    <row r="1899" ht="15.75" customHeight="1">
      <c r="A1899" s="7" t="s">
        <v>3176</v>
      </c>
      <c r="B1899" s="9" t="s">
        <v>249</v>
      </c>
      <c r="C1899" s="9" t="s">
        <v>17</v>
      </c>
      <c r="D1899" s="9" t="s">
        <v>5415</v>
      </c>
    </row>
    <row r="1900" ht="15.75" customHeight="1">
      <c r="A1900" s="7" t="s">
        <v>3168</v>
      </c>
      <c r="B1900" s="9" t="s">
        <v>341</v>
      </c>
      <c r="C1900" s="9" t="s">
        <v>17</v>
      </c>
      <c r="D1900" s="9" t="s">
        <v>1335</v>
      </c>
    </row>
    <row r="1901" ht="15.75" customHeight="1">
      <c r="A1901" s="7" t="s">
        <v>3162</v>
      </c>
      <c r="B1901" s="9" t="s">
        <v>5416</v>
      </c>
      <c r="C1901" s="9" t="s">
        <v>12</v>
      </c>
      <c r="D1901" s="9" t="s">
        <v>334</v>
      </c>
    </row>
    <row r="1902" ht="15.75" customHeight="1">
      <c r="A1902" s="7" t="s">
        <v>3155</v>
      </c>
      <c r="B1902" s="9" t="s">
        <v>5253</v>
      </c>
      <c r="C1902" s="9" t="s">
        <v>12</v>
      </c>
      <c r="D1902" s="9" t="s">
        <v>5417</v>
      </c>
    </row>
    <row r="1903" ht="15.75" customHeight="1">
      <c r="A1903" s="7" t="s">
        <v>3150</v>
      </c>
      <c r="B1903" s="9" t="s">
        <v>5418</v>
      </c>
      <c r="C1903" s="9" t="s">
        <v>12</v>
      </c>
      <c r="D1903" s="9" t="s">
        <v>3618</v>
      </c>
    </row>
    <row r="1904" ht="15.75" customHeight="1">
      <c r="A1904" s="7" t="s">
        <v>3141</v>
      </c>
      <c r="B1904" s="9" t="s">
        <v>5419</v>
      </c>
      <c r="C1904" s="9" t="s">
        <v>12</v>
      </c>
      <c r="D1904" s="9" t="s">
        <v>749</v>
      </c>
    </row>
    <row r="1905" ht="15.75" customHeight="1">
      <c r="A1905" s="7" t="s">
        <v>3133</v>
      </c>
      <c r="B1905" s="9" t="s">
        <v>5420</v>
      </c>
      <c r="C1905" s="9" t="s">
        <v>12</v>
      </c>
      <c r="D1905" s="9" t="s">
        <v>5421</v>
      </c>
    </row>
    <row r="1906" ht="15.75" customHeight="1">
      <c r="A1906" s="7" t="s">
        <v>3127</v>
      </c>
      <c r="B1906" s="9" t="s">
        <v>5422</v>
      </c>
      <c r="C1906" s="9" t="s">
        <v>12</v>
      </c>
      <c r="D1906" s="9" t="s">
        <v>5423</v>
      </c>
    </row>
    <row r="1907" ht="15.75" customHeight="1">
      <c r="A1907" s="7" t="s">
        <v>3121</v>
      </c>
      <c r="B1907" s="9" t="s">
        <v>5424</v>
      </c>
      <c r="C1907" s="9" t="s">
        <v>17</v>
      </c>
      <c r="D1907" s="9" t="s">
        <v>5425</v>
      </c>
    </row>
    <row r="1908" ht="15.75" customHeight="1">
      <c r="A1908" s="7" t="s">
        <v>3114</v>
      </c>
      <c r="B1908" s="9" t="s">
        <v>943</v>
      </c>
      <c r="C1908" s="9" t="s">
        <v>12</v>
      </c>
      <c r="D1908" s="9" t="s">
        <v>5426</v>
      </c>
    </row>
    <row r="1909" ht="15.75" customHeight="1">
      <c r="A1909" s="7" t="s">
        <v>3108</v>
      </c>
      <c r="B1909" s="9" t="s">
        <v>5427</v>
      </c>
      <c r="C1909" s="9" t="s">
        <v>12</v>
      </c>
      <c r="D1909" s="9" t="s">
        <v>5428</v>
      </c>
    </row>
    <row r="1910" ht="15.75" customHeight="1">
      <c r="A1910" s="7" t="s">
        <v>3100</v>
      </c>
      <c r="B1910" s="9" t="s">
        <v>5429</v>
      </c>
      <c r="C1910" s="9" t="s">
        <v>17</v>
      </c>
      <c r="D1910" s="9" t="s">
        <v>5430</v>
      </c>
    </row>
    <row r="1911" ht="15.75" customHeight="1">
      <c r="A1911" s="7" t="s">
        <v>3095</v>
      </c>
      <c r="B1911" s="9" t="s">
        <v>13</v>
      </c>
      <c r="C1911" s="9" t="s">
        <v>17</v>
      </c>
      <c r="D1911" s="9" t="s">
        <v>5431</v>
      </c>
    </row>
    <row r="1912" ht="15.75" customHeight="1">
      <c r="A1912" s="7" t="s">
        <v>3088</v>
      </c>
      <c r="B1912" s="9" t="s">
        <v>5432</v>
      </c>
      <c r="C1912" s="9" t="s">
        <v>12</v>
      </c>
      <c r="D1912" s="9" t="s">
        <v>5433</v>
      </c>
    </row>
    <row r="1913" ht="15.75" customHeight="1">
      <c r="A1913" s="7" t="s">
        <v>3080</v>
      </c>
      <c r="B1913" s="9" t="s">
        <v>1251</v>
      </c>
      <c r="C1913" s="9" t="s">
        <v>17</v>
      </c>
      <c r="D1913" s="9" t="s">
        <v>5434</v>
      </c>
    </row>
    <row r="1914" ht="15.75" customHeight="1">
      <c r="A1914" s="7" t="s">
        <v>3076</v>
      </c>
      <c r="B1914" s="9" t="s">
        <v>5435</v>
      </c>
      <c r="C1914" s="9" t="s">
        <v>17</v>
      </c>
      <c r="D1914" s="9" t="s">
        <v>5436</v>
      </c>
    </row>
    <row r="1915" ht="15.75" customHeight="1">
      <c r="A1915" s="7" t="s">
        <v>3074</v>
      </c>
      <c r="B1915" s="9" t="s">
        <v>1882</v>
      </c>
      <c r="C1915" s="9" t="s">
        <v>17</v>
      </c>
      <c r="D1915" s="9" t="s">
        <v>5437</v>
      </c>
    </row>
    <row r="1916" ht="15.75" customHeight="1">
      <c r="A1916" s="7" t="s">
        <v>3073</v>
      </c>
      <c r="B1916" s="9" t="s">
        <v>5438</v>
      </c>
      <c r="C1916" s="9" t="s">
        <v>12</v>
      </c>
      <c r="D1916" s="9" t="s">
        <v>5439</v>
      </c>
    </row>
    <row r="1917" ht="15.75" customHeight="1">
      <c r="A1917" s="7" t="s">
        <v>3072</v>
      </c>
      <c r="B1917" s="9" t="s">
        <v>5440</v>
      </c>
      <c r="C1917" s="9" t="s">
        <v>17</v>
      </c>
      <c r="D1917" s="9" t="s">
        <v>5441</v>
      </c>
    </row>
    <row r="1918" ht="15.75" customHeight="1">
      <c r="A1918" s="7" t="s">
        <v>3066</v>
      </c>
      <c r="B1918" s="9" t="s">
        <v>5442</v>
      </c>
      <c r="C1918" s="9" t="s">
        <v>17</v>
      </c>
      <c r="D1918" s="9" t="s">
        <v>509</v>
      </c>
    </row>
    <row r="1919" ht="15.75" customHeight="1">
      <c r="A1919" s="7" t="s">
        <v>3064</v>
      </c>
      <c r="B1919" s="9" t="s">
        <v>5443</v>
      </c>
      <c r="C1919" s="9" t="s">
        <v>17</v>
      </c>
      <c r="D1919" s="9" t="s">
        <v>4274</v>
      </c>
    </row>
    <row r="1920" ht="15.75" customHeight="1">
      <c r="A1920" s="7" t="s">
        <v>3058</v>
      </c>
      <c r="B1920" s="9" t="s">
        <v>5444</v>
      </c>
      <c r="C1920" s="9" t="s">
        <v>17</v>
      </c>
      <c r="D1920" s="9" t="s">
        <v>5445</v>
      </c>
    </row>
    <row r="1921" ht="15.75" customHeight="1">
      <c r="A1921" s="7" t="s">
        <v>3053</v>
      </c>
      <c r="B1921" s="9" t="s">
        <v>5446</v>
      </c>
      <c r="C1921" s="9" t="s">
        <v>17</v>
      </c>
      <c r="D1921" s="9" t="s">
        <v>387</v>
      </c>
    </row>
    <row r="1922" ht="15.75" customHeight="1">
      <c r="A1922" s="7" t="s">
        <v>3048</v>
      </c>
      <c r="B1922" s="9" t="s">
        <v>5447</v>
      </c>
      <c r="C1922" s="9" t="s">
        <v>1573</v>
      </c>
      <c r="D1922" s="9" t="s">
        <v>5448</v>
      </c>
    </row>
    <row r="1923" ht="15.75" customHeight="1">
      <c r="A1923" s="7" t="s">
        <v>3042</v>
      </c>
      <c r="B1923" s="9" t="s">
        <v>5449</v>
      </c>
      <c r="C1923" s="9" t="s">
        <v>17</v>
      </c>
      <c r="D1923" s="9" t="s">
        <v>509</v>
      </c>
    </row>
    <row r="1924" ht="15.75" customHeight="1">
      <c r="A1924" s="7" t="s">
        <v>3038</v>
      </c>
      <c r="B1924" s="9" t="s">
        <v>5450</v>
      </c>
      <c r="C1924" s="9" t="s">
        <v>17</v>
      </c>
      <c r="D1924" s="9" t="s">
        <v>2336</v>
      </c>
    </row>
    <row r="1925" ht="15.75" customHeight="1">
      <c r="A1925" s="7" t="s">
        <v>3034</v>
      </c>
      <c r="B1925" s="9" t="s">
        <v>5451</v>
      </c>
      <c r="C1925" s="9" t="s">
        <v>17</v>
      </c>
      <c r="D1925" s="9" t="s">
        <v>5452</v>
      </c>
    </row>
    <row r="1926" ht="15.75" customHeight="1">
      <c r="A1926" s="7" t="s">
        <v>3030</v>
      </c>
      <c r="B1926" s="9" t="s">
        <v>5453</v>
      </c>
      <c r="C1926" s="9" t="s">
        <v>17</v>
      </c>
      <c r="D1926" s="9" t="s">
        <v>462</v>
      </c>
    </row>
    <row r="1927" ht="15.75" customHeight="1">
      <c r="A1927" s="7" t="s">
        <v>3027</v>
      </c>
      <c r="B1927" s="9" t="s">
        <v>2748</v>
      </c>
      <c r="C1927" s="9" t="s">
        <v>12</v>
      </c>
      <c r="D1927" s="9" t="s">
        <v>5454</v>
      </c>
    </row>
    <row r="1928" ht="15.75" customHeight="1">
      <c r="A1928" s="7" t="s">
        <v>3022</v>
      </c>
      <c r="B1928" s="9" t="s">
        <v>5455</v>
      </c>
      <c r="C1928" s="9" t="s">
        <v>12</v>
      </c>
      <c r="D1928" s="9" t="s">
        <v>5456</v>
      </c>
    </row>
    <row r="1929" ht="15.75" customHeight="1">
      <c r="A1929" s="7" t="s">
        <v>3017</v>
      </c>
      <c r="B1929" s="9" t="s">
        <v>5457</v>
      </c>
      <c r="C1929" s="9" t="s">
        <v>17</v>
      </c>
      <c r="D1929" s="9" t="s">
        <v>236</v>
      </c>
    </row>
    <row r="1930" ht="15.75" customHeight="1">
      <c r="A1930" s="7" t="s">
        <v>3011</v>
      </c>
      <c r="B1930" s="9" t="s">
        <v>3473</v>
      </c>
      <c r="C1930" s="9" t="s">
        <v>12</v>
      </c>
      <c r="D1930" s="9" t="s">
        <v>5458</v>
      </c>
    </row>
    <row r="1931" ht="15.75" customHeight="1">
      <c r="A1931" s="7" t="s">
        <v>3006</v>
      </c>
      <c r="B1931" s="9" t="s">
        <v>183</v>
      </c>
      <c r="C1931" s="9" t="s">
        <v>12</v>
      </c>
      <c r="D1931" s="9" t="s">
        <v>3605</v>
      </c>
    </row>
    <row r="1932" ht="15.75" customHeight="1">
      <c r="A1932" s="7" t="s">
        <v>3003</v>
      </c>
      <c r="B1932" s="9" t="s">
        <v>5459</v>
      </c>
      <c r="C1932" s="9" t="s">
        <v>12</v>
      </c>
      <c r="D1932" s="9" t="s">
        <v>5460</v>
      </c>
    </row>
    <row r="1933" ht="15.75" customHeight="1">
      <c r="A1933" s="7" t="s">
        <v>2995</v>
      </c>
      <c r="B1933" s="9" t="s">
        <v>5461</v>
      </c>
      <c r="C1933" s="9" t="s">
        <v>12</v>
      </c>
      <c r="D1933" s="9" t="s">
        <v>5462</v>
      </c>
    </row>
    <row r="1934" ht="15.75" customHeight="1">
      <c r="A1934" s="7" t="s">
        <v>2990</v>
      </c>
      <c r="B1934" s="9" t="s">
        <v>5463</v>
      </c>
      <c r="C1934" s="9" t="s">
        <v>17</v>
      </c>
      <c r="D1934" s="9" t="s">
        <v>291</v>
      </c>
    </row>
    <row r="1935" ht="15.75" customHeight="1">
      <c r="A1935" s="7" t="s">
        <v>2984</v>
      </c>
      <c r="B1935" s="9" t="s">
        <v>5464</v>
      </c>
      <c r="C1935" s="9" t="s">
        <v>12</v>
      </c>
      <c r="D1935" s="9" t="s">
        <v>334</v>
      </c>
    </row>
    <row r="1936" ht="15.75" customHeight="1">
      <c r="A1936" s="7" t="s">
        <v>2980</v>
      </c>
      <c r="B1936" s="9" t="s">
        <v>3795</v>
      </c>
      <c r="C1936" s="9" t="s">
        <v>12</v>
      </c>
      <c r="D1936" s="9" t="s">
        <v>5465</v>
      </c>
    </row>
    <row r="1937" ht="15.75" customHeight="1">
      <c r="A1937" s="7" t="s">
        <v>2976</v>
      </c>
      <c r="B1937" s="9" t="s">
        <v>5466</v>
      </c>
      <c r="C1937" s="9" t="s">
        <v>17</v>
      </c>
      <c r="D1937" s="9" t="s">
        <v>5467</v>
      </c>
    </row>
    <row r="1938" ht="15.75" customHeight="1">
      <c r="A1938" s="7" t="s">
        <v>2971</v>
      </c>
      <c r="B1938" s="9" t="s">
        <v>5468</v>
      </c>
      <c r="C1938" s="9" t="s">
        <v>1573</v>
      </c>
      <c r="D1938" s="9" t="s">
        <v>5469</v>
      </c>
    </row>
    <row r="1939" ht="15.75" customHeight="1">
      <c r="A1939" s="7" t="s">
        <v>2965</v>
      </c>
      <c r="B1939" s="9" t="s">
        <v>5147</v>
      </c>
      <c r="C1939" s="9" t="s">
        <v>17</v>
      </c>
      <c r="D1939" s="9" t="s">
        <v>60</v>
      </c>
    </row>
    <row r="1940" ht="15.75" customHeight="1">
      <c r="A1940" s="7" t="s">
        <v>2959</v>
      </c>
      <c r="B1940" s="9" t="s">
        <v>5470</v>
      </c>
      <c r="C1940" s="9" t="s">
        <v>17</v>
      </c>
      <c r="D1940" s="9" t="s">
        <v>5471</v>
      </c>
    </row>
    <row r="1941" ht="15.75" customHeight="1">
      <c r="A1941" s="7" t="s">
        <v>2954</v>
      </c>
      <c r="B1941" s="9" t="s">
        <v>5472</v>
      </c>
      <c r="C1941" s="9" t="s">
        <v>17</v>
      </c>
      <c r="D1941" s="9" t="s">
        <v>5473</v>
      </c>
    </row>
    <row r="1942" ht="15.75" customHeight="1">
      <c r="A1942" s="7" t="s">
        <v>2948</v>
      </c>
      <c r="B1942" s="9" t="s">
        <v>2616</v>
      </c>
      <c r="C1942" s="9" t="s">
        <v>17</v>
      </c>
      <c r="D1942" s="9" t="s">
        <v>5474</v>
      </c>
    </row>
    <row r="1943" ht="15.75" customHeight="1">
      <c r="A1943" s="7" t="s">
        <v>2943</v>
      </c>
      <c r="B1943" s="9" t="s">
        <v>5475</v>
      </c>
      <c r="C1943" s="9" t="s">
        <v>17</v>
      </c>
      <c r="D1943" s="9" t="s">
        <v>1323</v>
      </c>
    </row>
    <row r="1944" ht="15.75" customHeight="1">
      <c r="A1944" s="7" t="s">
        <v>2939</v>
      </c>
      <c r="B1944" s="9" t="s">
        <v>5476</v>
      </c>
      <c r="C1944" s="9" t="s">
        <v>17</v>
      </c>
      <c r="D1944" s="9" t="s">
        <v>509</v>
      </c>
    </row>
    <row r="1945" ht="15.75" customHeight="1">
      <c r="A1945" s="7" t="s">
        <v>2936</v>
      </c>
      <c r="B1945" s="9" t="s">
        <v>2351</v>
      </c>
      <c r="C1945" s="9" t="s">
        <v>17</v>
      </c>
      <c r="D1945" s="9" t="s">
        <v>5377</v>
      </c>
    </row>
    <row r="1946" ht="15.75" customHeight="1">
      <c r="A1946" s="7" t="s">
        <v>2931</v>
      </c>
      <c r="B1946" s="9" t="s">
        <v>5477</v>
      </c>
      <c r="C1946" s="9" t="s">
        <v>12</v>
      </c>
      <c r="D1946" s="9" t="s">
        <v>369</v>
      </c>
    </row>
    <row r="1947" ht="15.75" customHeight="1">
      <c r="A1947" s="7" t="s">
        <v>2926</v>
      </c>
      <c r="B1947" s="9" t="s">
        <v>5478</v>
      </c>
      <c r="C1947" s="9" t="s">
        <v>17</v>
      </c>
      <c r="D1947" s="9" t="s">
        <v>5382</v>
      </c>
    </row>
    <row r="1948" ht="15.75" customHeight="1">
      <c r="A1948" s="7" t="s">
        <v>2924</v>
      </c>
      <c r="B1948" s="9" t="s">
        <v>5479</v>
      </c>
      <c r="C1948" s="9" t="s">
        <v>17</v>
      </c>
      <c r="D1948" s="9" t="s">
        <v>5480</v>
      </c>
    </row>
    <row r="1949" ht="15.75" customHeight="1">
      <c r="A1949" s="7" t="s">
        <v>2923</v>
      </c>
      <c r="B1949" s="9" t="s">
        <v>5481</v>
      </c>
      <c r="C1949" s="9" t="s">
        <v>17</v>
      </c>
      <c r="D1949" s="9" t="s">
        <v>5482</v>
      </c>
    </row>
    <row r="1950" ht="15.75" customHeight="1">
      <c r="A1950" s="7" t="s">
        <v>2922</v>
      </c>
      <c r="B1950" s="9" t="s">
        <v>5483</v>
      </c>
      <c r="C1950" s="9" t="s">
        <v>12</v>
      </c>
      <c r="D1950" s="9" t="s">
        <v>5484</v>
      </c>
    </row>
    <row r="1951" ht="15.75" customHeight="1">
      <c r="A1951" s="7" t="s">
        <v>2921</v>
      </c>
      <c r="B1951" s="9" t="s">
        <v>1903</v>
      </c>
      <c r="C1951" s="9" t="s">
        <v>17</v>
      </c>
      <c r="D1951" s="9" t="s">
        <v>462</v>
      </c>
    </row>
    <row r="1952" ht="15.75" customHeight="1">
      <c r="A1952" s="7" t="s">
        <v>2920</v>
      </c>
      <c r="B1952" s="9" t="s">
        <v>5485</v>
      </c>
      <c r="C1952" s="9" t="s">
        <v>12</v>
      </c>
      <c r="D1952" s="9" t="s">
        <v>5486</v>
      </c>
    </row>
    <row r="1953" ht="15.75" customHeight="1">
      <c r="A1953" s="7" t="s">
        <v>2919</v>
      </c>
      <c r="B1953" s="9" t="s">
        <v>5487</v>
      </c>
      <c r="C1953" s="9" t="s">
        <v>17</v>
      </c>
      <c r="D1953" s="9" t="s">
        <v>5488</v>
      </c>
    </row>
    <row r="1954" ht="15.75" customHeight="1">
      <c r="A1954" s="7" t="s">
        <v>2917</v>
      </c>
      <c r="B1954" s="9" t="s">
        <v>5489</v>
      </c>
      <c r="C1954" s="9" t="s">
        <v>17</v>
      </c>
      <c r="D1954" s="9" t="s">
        <v>5490</v>
      </c>
    </row>
    <row r="1955" ht="15.75" customHeight="1">
      <c r="A1955" s="7" t="s">
        <v>2910</v>
      </c>
      <c r="B1955" s="9" t="s">
        <v>5491</v>
      </c>
      <c r="C1955" s="9" t="s">
        <v>12</v>
      </c>
      <c r="D1955" s="9" t="s">
        <v>5492</v>
      </c>
    </row>
    <row r="1956" ht="15.75" customHeight="1">
      <c r="A1956" s="7" t="s">
        <v>2904</v>
      </c>
      <c r="B1956" s="9" t="s">
        <v>5493</v>
      </c>
      <c r="C1956" s="9" t="s">
        <v>12</v>
      </c>
      <c r="D1956" s="9" t="s">
        <v>5494</v>
      </c>
    </row>
    <row r="1957" ht="15.75" customHeight="1">
      <c r="A1957" s="7" t="s">
        <v>2900</v>
      </c>
      <c r="B1957" s="9" t="s">
        <v>5495</v>
      </c>
      <c r="C1957" s="9" t="s">
        <v>12</v>
      </c>
      <c r="D1957" s="9" t="s">
        <v>5496</v>
      </c>
    </row>
    <row r="1958" ht="15.75" customHeight="1">
      <c r="A1958" s="7" t="s">
        <v>2894</v>
      </c>
      <c r="B1958" s="9" t="s">
        <v>5497</v>
      </c>
      <c r="C1958" s="9" t="s">
        <v>17</v>
      </c>
      <c r="D1958" s="9" t="s">
        <v>5498</v>
      </c>
    </row>
    <row r="1959" ht="15.75" customHeight="1">
      <c r="A1959" s="7" t="s">
        <v>2889</v>
      </c>
      <c r="B1959" s="9" t="s">
        <v>1092</v>
      </c>
      <c r="C1959" s="9" t="s">
        <v>12</v>
      </c>
      <c r="D1959" s="9" t="s">
        <v>1469</v>
      </c>
    </row>
    <row r="1960" ht="15.75" customHeight="1">
      <c r="A1960" s="7" t="s">
        <v>2883</v>
      </c>
      <c r="B1960" s="9" t="s">
        <v>5499</v>
      </c>
      <c r="C1960" s="9" t="s">
        <v>12</v>
      </c>
      <c r="D1960" s="9" t="s">
        <v>134</v>
      </c>
    </row>
    <row r="1961" ht="15.75" customHeight="1">
      <c r="A1961" s="7" t="s">
        <v>2878</v>
      </c>
      <c r="B1961" s="9" t="s">
        <v>183</v>
      </c>
      <c r="C1961" s="9" t="s">
        <v>12</v>
      </c>
      <c r="D1961" s="9" t="s">
        <v>749</v>
      </c>
    </row>
    <row r="1962" ht="15.75" customHeight="1">
      <c r="A1962" s="7" t="s">
        <v>2872</v>
      </c>
      <c r="B1962" s="9" t="s">
        <v>5500</v>
      </c>
      <c r="C1962" s="9" t="s">
        <v>12</v>
      </c>
      <c r="D1962" s="9" t="s">
        <v>5501</v>
      </c>
    </row>
    <row r="1963" ht="15.75" customHeight="1">
      <c r="A1963" s="7" t="s">
        <v>2869</v>
      </c>
      <c r="B1963" s="9" t="s">
        <v>5253</v>
      </c>
      <c r="C1963" s="9" t="s">
        <v>17</v>
      </c>
      <c r="D1963" s="9" t="s">
        <v>18</v>
      </c>
    </row>
    <row r="1964" ht="15.75" customHeight="1">
      <c r="A1964" s="7" t="s">
        <v>2864</v>
      </c>
      <c r="B1964" s="9" t="s">
        <v>5502</v>
      </c>
      <c r="C1964" s="9" t="s">
        <v>17</v>
      </c>
      <c r="D1964" s="9" t="s">
        <v>5503</v>
      </c>
    </row>
    <row r="1965" ht="15.75" customHeight="1">
      <c r="A1965" s="7" t="s">
        <v>2859</v>
      </c>
      <c r="B1965" s="9" t="s">
        <v>988</v>
      </c>
      <c r="C1965" s="9" t="s">
        <v>17</v>
      </c>
      <c r="D1965" s="9" t="s">
        <v>4875</v>
      </c>
    </row>
    <row r="1966" ht="15.75" customHeight="1">
      <c r="A1966" s="7" t="s">
        <v>2852</v>
      </c>
      <c r="B1966" s="9" t="s">
        <v>5504</v>
      </c>
      <c r="C1966" s="9" t="s">
        <v>12</v>
      </c>
      <c r="D1966" s="9" t="s">
        <v>5505</v>
      </c>
    </row>
    <row r="1967" ht="15.75" customHeight="1">
      <c r="A1967" s="7" t="s">
        <v>2844</v>
      </c>
      <c r="B1967" s="9" t="s">
        <v>194</v>
      </c>
      <c r="C1967" s="9" t="s">
        <v>17</v>
      </c>
      <c r="D1967" s="9" t="s">
        <v>5506</v>
      </c>
    </row>
    <row r="1968" ht="15.75" customHeight="1">
      <c r="A1968" s="7" t="s">
        <v>2839</v>
      </c>
      <c r="B1968" s="9" t="s">
        <v>5507</v>
      </c>
      <c r="C1968" s="9" t="s">
        <v>17</v>
      </c>
      <c r="D1968" s="9" t="s">
        <v>5508</v>
      </c>
    </row>
    <row r="1969" ht="15.75" customHeight="1">
      <c r="A1969" s="7" t="s">
        <v>2834</v>
      </c>
      <c r="B1969" s="9" t="s">
        <v>4372</v>
      </c>
      <c r="C1969" s="9" t="s">
        <v>17</v>
      </c>
      <c r="D1969" s="9" t="s">
        <v>5509</v>
      </c>
    </row>
    <row r="1970" ht="15.75" customHeight="1">
      <c r="A1970" s="7" t="s">
        <v>2828</v>
      </c>
      <c r="B1970" s="9" t="s">
        <v>3558</v>
      </c>
      <c r="C1970" s="9" t="s">
        <v>17</v>
      </c>
      <c r="D1970" s="9" t="s">
        <v>5510</v>
      </c>
    </row>
    <row r="1971" ht="15.75" customHeight="1">
      <c r="A1971" s="7" t="s">
        <v>2821</v>
      </c>
      <c r="B1971" s="9" t="s">
        <v>5511</v>
      </c>
      <c r="C1971" s="9" t="s">
        <v>1573</v>
      </c>
      <c r="D1971" s="9" t="s">
        <v>5512</v>
      </c>
    </row>
    <row r="1972" ht="15.75" customHeight="1">
      <c r="A1972" s="7" t="s">
        <v>2814</v>
      </c>
      <c r="B1972" s="9" t="s">
        <v>5513</v>
      </c>
      <c r="C1972" s="9" t="s">
        <v>12</v>
      </c>
      <c r="D1972" s="9" t="s">
        <v>5514</v>
      </c>
    </row>
    <row r="1973" ht="15.75" customHeight="1">
      <c r="A1973" s="7" t="s">
        <v>2806</v>
      </c>
      <c r="B1973" s="9" t="s">
        <v>5515</v>
      </c>
      <c r="C1973" s="9" t="s">
        <v>17</v>
      </c>
      <c r="D1973" s="9" t="s">
        <v>276</v>
      </c>
    </row>
    <row r="1974" ht="15.75" customHeight="1">
      <c r="A1974" s="7" t="s">
        <v>2801</v>
      </c>
      <c r="B1974" s="9" t="s">
        <v>5516</v>
      </c>
      <c r="C1974" s="9" t="s">
        <v>17</v>
      </c>
      <c r="D1974" s="9" t="s">
        <v>5517</v>
      </c>
    </row>
    <row r="1975" ht="15.75" customHeight="1">
      <c r="A1975" s="7" t="s">
        <v>2797</v>
      </c>
      <c r="B1975" s="9" t="s">
        <v>5518</v>
      </c>
      <c r="C1975" s="9" t="s">
        <v>12</v>
      </c>
      <c r="D1975" s="9" t="s">
        <v>5519</v>
      </c>
    </row>
    <row r="1976" ht="15.75" customHeight="1">
      <c r="A1976" s="7" t="s">
        <v>2790</v>
      </c>
      <c r="B1976" s="9" t="s">
        <v>5520</v>
      </c>
      <c r="C1976" s="9" t="s">
        <v>12</v>
      </c>
      <c r="D1976" s="9" t="s">
        <v>5521</v>
      </c>
    </row>
    <row r="1977" ht="15.75" customHeight="1">
      <c r="A1977" s="7" t="s">
        <v>2784</v>
      </c>
      <c r="B1977" s="9" t="s">
        <v>5522</v>
      </c>
      <c r="C1977" s="9" t="s">
        <v>12</v>
      </c>
      <c r="D1977" s="9" t="s">
        <v>5523</v>
      </c>
    </row>
    <row r="1978" ht="15.75" customHeight="1">
      <c r="A1978" s="7" t="s">
        <v>2778</v>
      </c>
      <c r="B1978" s="9" t="s">
        <v>5524</v>
      </c>
      <c r="C1978" s="9" t="s">
        <v>12</v>
      </c>
      <c r="D1978" s="9" t="s">
        <v>208</v>
      </c>
    </row>
    <row r="1979" ht="15.75" customHeight="1">
      <c r="A1979" s="7" t="s">
        <v>2773</v>
      </c>
      <c r="B1979" s="9" t="s">
        <v>710</v>
      </c>
      <c r="C1979" s="9" t="s">
        <v>12</v>
      </c>
      <c r="D1979" s="9" t="s">
        <v>5525</v>
      </c>
    </row>
    <row r="1980" ht="15.75" customHeight="1">
      <c r="A1980" s="7" t="s">
        <v>2768</v>
      </c>
      <c r="B1980" s="9" t="s">
        <v>5526</v>
      </c>
      <c r="C1980" s="9" t="s">
        <v>12</v>
      </c>
      <c r="D1980" s="9" t="s">
        <v>5527</v>
      </c>
    </row>
    <row r="1981" ht="15.75" customHeight="1">
      <c r="A1981" s="7" t="s">
        <v>2761</v>
      </c>
      <c r="B1981" s="9" t="s">
        <v>5528</v>
      </c>
      <c r="C1981" s="9" t="s">
        <v>12</v>
      </c>
      <c r="D1981" s="9" t="s">
        <v>5529</v>
      </c>
    </row>
    <row r="1982" ht="15.75" customHeight="1">
      <c r="A1982" s="7" t="s">
        <v>2756</v>
      </c>
      <c r="B1982" s="9" t="s">
        <v>5530</v>
      </c>
      <c r="C1982" s="9" t="s">
        <v>12</v>
      </c>
      <c r="D1982" s="9" t="s">
        <v>5531</v>
      </c>
    </row>
    <row r="1983" ht="15.75" customHeight="1">
      <c r="A1983" s="7" t="s">
        <v>2751</v>
      </c>
      <c r="B1983" s="9" t="s">
        <v>5532</v>
      </c>
      <c r="C1983" s="9" t="s">
        <v>12</v>
      </c>
      <c r="D1983" s="9" t="s">
        <v>5533</v>
      </c>
    </row>
    <row r="1984" ht="15.75" customHeight="1">
      <c r="A1984" s="7" t="s">
        <v>2747</v>
      </c>
      <c r="B1984" s="9" t="s">
        <v>5534</v>
      </c>
      <c r="C1984" s="9" t="s">
        <v>12</v>
      </c>
      <c r="D1984" s="9" t="s">
        <v>5535</v>
      </c>
    </row>
    <row r="1985" ht="15.75" customHeight="1">
      <c r="A1985" s="7" t="s">
        <v>2742</v>
      </c>
      <c r="B1985" s="9" t="s">
        <v>5536</v>
      </c>
      <c r="C1985" s="9" t="s">
        <v>17</v>
      </c>
      <c r="D1985" s="9" t="s">
        <v>5537</v>
      </c>
    </row>
    <row r="1986" ht="15.75" customHeight="1">
      <c r="A1986" s="7" t="s">
        <v>2736</v>
      </c>
      <c r="B1986" s="9" t="s">
        <v>5538</v>
      </c>
      <c r="C1986" s="9" t="s">
        <v>17</v>
      </c>
      <c r="D1986" s="9" t="s">
        <v>3268</v>
      </c>
    </row>
    <row r="1987" ht="15.75" customHeight="1">
      <c r="A1987" s="7" t="s">
        <v>2730</v>
      </c>
      <c r="B1987" s="9" t="s">
        <v>5539</v>
      </c>
      <c r="C1987" s="9" t="s">
        <v>17</v>
      </c>
      <c r="D1987" s="9" t="s">
        <v>93</v>
      </c>
    </row>
    <row r="1988" ht="15.75" customHeight="1">
      <c r="A1988" s="7" t="s">
        <v>2724</v>
      </c>
      <c r="B1988" s="9" t="s">
        <v>5540</v>
      </c>
      <c r="C1988" s="9" t="s">
        <v>1573</v>
      </c>
      <c r="D1988" s="9" t="s">
        <v>1093</v>
      </c>
    </row>
    <row r="1989" ht="15.75" customHeight="1">
      <c r="A1989" s="7" t="s">
        <v>2719</v>
      </c>
      <c r="B1989" s="9" t="s">
        <v>5541</v>
      </c>
      <c r="C1989" s="9" t="s">
        <v>17</v>
      </c>
      <c r="D1989" s="9" t="s">
        <v>5542</v>
      </c>
    </row>
    <row r="1990" ht="15.75" customHeight="1">
      <c r="A1990" s="7" t="s">
        <v>2714</v>
      </c>
      <c r="B1990" s="9" t="s">
        <v>5543</v>
      </c>
      <c r="C1990" s="9" t="s">
        <v>12</v>
      </c>
      <c r="D1990" s="9" t="s">
        <v>288</v>
      </c>
    </row>
    <row r="1991" ht="15.75" customHeight="1">
      <c r="A1991" s="7" t="s">
        <v>2710</v>
      </c>
      <c r="B1991" s="9" t="s">
        <v>5544</v>
      </c>
      <c r="C1991" s="9" t="s">
        <v>17</v>
      </c>
      <c r="D1991" s="9" t="s">
        <v>5545</v>
      </c>
    </row>
    <row r="1992" ht="15.75" customHeight="1">
      <c r="A1992" s="7" t="s">
        <v>2704</v>
      </c>
      <c r="B1992" s="9" t="s">
        <v>5546</v>
      </c>
      <c r="C1992" s="9" t="s">
        <v>17</v>
      </c>
      <c r="D1992" s="9" t="s">
        <v>5547</v>
      </c>
    </row>
    <row r="1993" ht="15.75" customHeight="1">
      <c r="A1993" s="7" t="s">
        <v>2702</v>
      </c>
      <c r="B1993" s="9" t="s">
        <v>5548</v>
      </c>
      <c r="C1993" s="9" t="s">
        <v>17</v>
      </c>
      <c r="D1993" s="9" t="s">
        <v>5549</v>
      </c>
    </row>
    <row r="1994" ht="15.75" customHeight="1">
      <c r="A1994" s="7" t="s">
        <v>2701</v>
      </c>
      <c r="B1994" s="9" t="s">
        <v>5550</v>
      </c>
      <c r="C1994" s="9" t="s">
        <v>17</v>
      </c>
      <c r="D1994" s="9" t="s">
        <v>5551</v>
      </c>
    </row>
    <row r="1995" ht="15.75" customHeight="1">
      <c r="A1995" s="7" t="s">
        <v>2700</v>
      </c>
      <c r="B1995" s="9" t="s">
        <v>5552</v>
      </c>
      <c r="C1995" s="9" t="s">
        <v>12</v>
      </c>
      <c r="D1995" s="9" t="s">
        <v>4902</v>
      </c>
    </row>
    <row r="1996" ht="15.75" customHeight="1">
      <c r="A1996" s="7" t="s">
        <v>2699</v>
      </c>
      <c r="B1996" s="9" t="s">
        <v>5553</v>
      </c>
      <c r="C1996" s="9" t="s">
        <v>12</v>
      </c>
      <c r="D1996" s="9" t="s">
        <v>5554</v>
      </c>
    </row>
    <row r="1997" ht="15.75" customHeight="1">
      <c r="A1997" s="7" t="s">
        <v>2693</v>
      </c>
      <c r="B1997" s="9" t="s">
        <v>1236</v>
      </c>
      <c r="C1997" s="9" t="s">
        <v>12</v>
      </c>
      <c r="D1997" s="9" t="s">
        <v>5555</v>
      </c>
    </row>
    <row r="1998" ht="15.75" customHeight="1">
      <c r="A1998" s="7" t="s">
        <v>2688</v>
      </c>
      <c r="B1998" s="9" t="s">
        <v>327</v>
      </c>
      <c r="C1998" s="9" t="s">
        <v>12</v>
      </c>
      <c r="D1998" s="9" t="s">
        <v>818</v>
      </c>
    </row>
    <row r="1999" ht="15.75" customHeight="1">
      <c r="A1999" s="7" t="s">
        <v>2684</v>
      </c>
      <c r="B1999" s="9" t="s">
        <v>5556</v>
      </c>
      <c r="C1999" s="9" t="s">
        <v>12</v>
      </c>
      <c r="D1999" s="9" t="s">
        <v>5557</v>
      </c>
    </row>
    <row r="2000" ht="15.75" customHeight="1">
      <c r="A2000" s="7" t="s">
        <v>2680</v>
      </c>
      <c r="B2000" s="9" t="s">
        <v>943</v>
      </c>
      <c r="C2000" s="9" t="s">
        <v>12</v>
      </c>
      <c r="D2000" s="9" t="s">
        <v>1500</v>
      </c>
    </row>
    <row r="2001" ht="15.75" customHeight="1">
      <c r="A2001" s="7" t="s">
        <v>2674</v>
      </c>
      <c r="B2001" s="9" t="s">
        <v>5558</v>
      </c>
      <c r="C2001" s="9" t="s">
        <v>12</v>
      </c>
      <c r="D2001" s="9" t="s">
        <v>5559</v>
      </c>
    </row>
    <row r="2002" ht="15.75" customHeight="1">
      <c r="A2002" s="7" t="s">
        <v>2671</v>
      </c>
      <c r="B2002" s="9" t="s">
        <v>5560</v>
      </c>
      <c r="C2002" s="9" t="s">
        <v>17</v>
      </c>
      <c r="D2002" s="9" t="s">
        <v>5561</v>
      </c>
    </row>
    <row r="2003" ht="15.75" customHeight="1">
      <c r="A2003" s="7" t="s">
        <v>2665</v>
      </c>
      <c r="B2003" s="9" t="s">
        <v>5562</v>
      </c>
      <c r="C2003" s="9" t="s">
        <v>12</v>
      </c>
      <c r="D2003" s="9" t="s">
        <v>5563</v>
      </c>
    </row>
    <row r="2004" ht="15.75" customHeight="1">
      <c r="A2004" s="7" t="s">
        <v>2659</v>
      </c>
      <c r="B2004" s="9" t="s">
        <v>5564</v>
      </c>
      <c r="C2004" s="9" t="s">
        <v>12</v>
      </c>
      <c r="D2004" s="9" t="s">
        <v>1587</v>
      </c>
    </row>
    <row r="2005" ht="15.75" customHeight="1">
      <c r="A2005" s="7" t="s">
        <v>2653</v>
      </c>
      <c r="B2005" s="9" t="s">
        <v>5565</v>
      </c>
      <c r="C2005" s="9" t="s">
        <v>12</v>
      </c>
      <c r="D2005" s="9" t="s">
        <v>5566</v>
      </c>
    </row>
    <row r="2006" ht="15.75" customHeight="1">
      <c r="A2006" s="7" t="s">
        <v>2648</v>
      </c>
      <c r="B2006" s="9" t="s">
        <v>4133</v>
      </c>
      <c r="C2006" s="9" t="s">
        <v>12</v>
      </c>
      <c r="D2006" s="9" t="s">
        <v>5567</v>
      </c>
    </row>
    <row r="2007" ht="15.75" customHeight="1">
      <c r="A2007" s="7" t="s">
        <v>2643</v>
      </c>
      <c r="B2007" s="9" t="s">
        <v>5568</v>
      </c>
      <c r="C2007" s="9" t="s">
        <v>12</v>
      </c>
      <c r="D2007" s="9" t="s">
        <v>233</v>
      </c>
    </row>
    <row r="2008" ht="15.75" customHeight="1">
      <c r="A2008" s="7" t="s">
        <v>2640</v>
      </c>
      <c r="B2008" s="9" t="s">
        <v>1323</v>
      </c>
      <c r="C2008" s="9" t="s">
        <v>1573</v>
      </c>
      <c r="D2008" s="9" t="s">
        <v>5569</v>
      </c>
    </row>
    <row r="2009" ht="15.75" customHeight="1">
      <c r="A2009" s="7" t="s">
        <v>2635</v>
      </c>
      <c r="B2009" s="9" t="s">
        <v>5570</v>
      </c>
      <c r="C2009" s="9" t="s">
        <v>12</v>
      </c>
      <c r="D2009" s="9" t="s">
        <v>5571</v>
      </c>
    </row>
    <row r="2010" ht="15.75" customHeight="1">
      <c r="A2010" s="7" t="s">
        <v>2629</v>
      </c>
      <c r="B2010" s="9" t="s">
        <v>5572</v>
      </c>
      <c r="C2010" s="9" t="s">
        <v>17</v>
      </c>
      <c r="D2010" s="9" t="s">
        <v>5573</v>
      </c>
    </row>
    <row r="2011" ht="15.75" customHeight="1">
      <c r="A2011" s="7" t="s">
        <v>2625</v>
      </c>
      <c r="B2011" s="9" t="s">
        <v>5574</v>
      </c>
      <c r="C2011" s="9" t="s">
        <v>17</v>
      </c>
      <c r="D2011" s="9" t="s">
        <v>5575</v>
      </c>
    </row>
    <row r="2012" ht="15.75" customHeight="1">
      <c r="A2012" s="7" t="s">
        <v>2619</v>
      </c>
      <c r="B2012" s="9" t="s">
        <v>5576</v>
      </c>
      <c r="C2012" s="9" t="s">
        <v>17</v>
      </c>
      <c r="D2012" s="9" t="s">
        <v>917</v>
      </c>
    </row>
    <row r="2013" ht="15.75" customHeight="1">
      <c r="A2013" s="7" t="s">
        <v>2613</v>
      </c>
      <c r="B2013" s="9" t="s">
        <v>5577</v>
      </c>
      <c r="C2013" s="9" t="s">
        <v>17</v>
      </c>
      <c r="D2013" s="9" t="s">
        <v>674</v>
      </c>
    </row>
    <row r="2014" ht="15.75" customHeight="1">
      <c r="A2014" s="7" t="s">
        <v>2608</v>
      </c>
      <c r="B2014" s="9" t="s">
        <v>3276</v>
      </c>
      <c r="C2014" s="9" t="s">
        <v>12</v>
      </c>
      <c r="D2014" s="9" t="s">
        <v>5578</v>
      </c>
    </row>
    <row r="2015" ht="15.75" customHeight="1">
      <c r="A2015" s="7" t="s">
        <v>2604</v>
      </c>
      <c r="B2015" s="9" t="s">
        <v>5579</v>
      </c>
      <c r="C2015" s="9" t="s">
        <v>17</v>
      </c>
      <c r="D2015" s="9" t="s">
        <v>5580</v>
      </c>
    </row>
    <row r="2016" ht="15.75" customHeight="1">
      <c r="A2016" s="7" t="s">
        <v>2598</v>
      </c>
      <c r="B2016" s="9" t="s">
        <v>5581</v>
      </c>
      <c r="C2016" s="9" t="s">
        <v>12</v>
      </c>
      <c r="D2016" s="9" t="s">
        <v>5582</v>
      </c>
    </row>
    <row r="2017" ht="15.75" customHeight="1">
      <c r="A2017" s="7" t="s">
        <v>2593</v>
      </c>
      <c r="B2017" s="9" t="s">
        <v>5583</v>
      </c>
      <c r="C2017" s="9" t="s">
        <v>17</v>
      </c>
      <c r="D2017" s="9" t="s">
        <v>5482</v>
      </c>
    </row>
    <row r="2018" ht="15.75" customHeight="1">
      <c r="A2018" s="7" t="s">
        <v>2588</v>
      </c>
      <c r="B2018" s="9" t="s">
        <v>5584</v>
      </c>
      <c r="C2018" s="9" t="s">
        <v>12</v>
      </c>
      <c r="D2018" s="9" t="s">
        <v>5585</v>
      </c>
    </row>
    <row r="2019" ht="15.75" customHeight="1">
      <c r="A2019" s="7" t="s">
        <v>2584</v>
      </c>
      <c r="B2019" s="9" t="s">
        <v>5586</v>
      </c>
      <c r="C2019" s="9" t="s">
        <v>12</v>
      </c>
      <c r="D2019" s="9" t="s">
        <v>233</v>
      </c>
    </row>
    <row r="2020" ht="15.75" customHeight="1">
      <c r="A2020" s="7" t="s">
        <v>2578</v>
      </c>
      <c r="B2020" s="9" t="s">
        <v>224</v>
      </c>
      <c r="C2020" s="9" t="s">
        <v>12</v>
      </c>
      <c r="D2020" s="9" t="s">
        <v>5587</v>
      </c>
    </row>
    <row r="2021" ht="15.75" customHeight="1">
      <c r="A2021" s="7" t="s">
        <v>2572</v>
      </c>
      <c r="B2021" s="9" t="s">
        <v>5588</v>
      </c>
      <c r="C2021" s="9" t="s">
        <v>17</v>
      </c>
      <c r="D2021" s="9" t="s">
        <v>5589</v>
      </c>
    </row>
    <row r="2022" ht="15.75" customHeight="1">
      <c r="A2022" s="7" t="s">
        <v>2567</v>
      </c>
      <c r="B2022" s="9" t="s">
        <v>739</v>
      </c>
      <c r="C2022" s="9" t="s">
        <v>17</v>
      </c>
      <c r="D2022" s="9" t="s">
        <v>5267</v>
      </c>
    </row>
    <row r="2023" ht="15.75" customHeight="1">
      <c r="A2023" s="7" t="s">
        <v>2563</v>
      </c>
      <c r="B2023" s="9" t="s">
        <v>5590</v>
      </c>
      <c r="C2023" s="9" t="s">
        <v>12</v>
      </c>
      <c r="D2023" s="9" t="s">
        <v>5591</v>
      </c>
    </row>
    <row r="2024" ht="15.75" customHeight="1">
      <c r="A2024" s="7" t="s">
        <v>2559</v>
      </c>
      <c r="B2024" s="9" t="s">
        <v>5592</v>
      </c>
      <c r="C2024" s="9" t="s">
        <v>17</v>
      </c>
      <c r="D2024" s="9" t="s">
        <v>5593</v>
      </c>
    </row>
    <row r="2025" ht="15.75" customHeight="1">
      <c r="A2025" s="7" t="s">
        <v>2554</v>
      </c>
      <c r="B2025" s="9" t="s">
        <v>5594</v>
      </c>
      <c r="C2025" s="9" t="s">
        <v>12</v>
      </c>
      <c r="D2025" s="9" t="s">
        <v>5595</v>
      </c>
    </row>
    <row r="2026" ht="15.75" customHeight="1">
      <c r="A2026" s="7" t="s">
        <v>2549</v>
      </c>
      <c r="B2026" s="9" t="s">
        <v>5596</v>
      </c>
      <c r="C2026" s="9" t="s">
        <v>12</v>
      </c>
      <c r="D2026" s="9" t="s">
        <v>5597</v>
      </c>
    </row>
    <row r="2027" ht="15.75" customHeight="1">
      <c r="A2027" s="7" t="s">
        <v>2548</v>
      </c>
      <c r="B2027" s="9" t="s">
        <v>5598</v>
      </c>
      <c r="C2027" s="9" t="s">
        <v>17</v>
      </c>
      <c r="D2027" s="9" t="s">
        <v>5599</v>
      </c>
    </row>
    <row r="2028" ht="15.75" customHeight="1">
      <c r="A2028" s="7" t="s">
        <v>2545</v>
      </c>
      <c r="B2028" s="9" t="s">
        <v>4965</v>
      </c>
      <c r="C2028" s="9" t="s">
        <v>12</v>
      </c>
      <c r="D2028" s="9" t="s">
        <v>5600</v>
      </c>
    </row>
    <row r="2029" ht="15.75" customHeight="1">
      <c r="A2029" s="7" t="s">
        <v>2539</v>
      </c>
      <c r="B2029" s="9" t="s">
        <v>5601</v>
      </c>
      <c r="C2029" s="9" t="s">
        <v>17</v>
      </c>
      <c r="D2029" s="9" t="s">
        <v>5602</v>
      </c>
    </row>
    <row r="2030" ht="15.75" customHeight="1">
      <c r="A2030" s="7" t="s">
        <v>2533</v>
      </c>
      <c r="B2030" s="9" t="s">
        <v>5603</v>
      </c>
      <c r="C2030" s="9" t="s">
        <v>17</v>
      </c>
      <c r="D2030" s="9" t="s">
        <v>236</v>
      </c>
    </row>
    <row r="2031" ht="15.75" customHeight="1">
      <c r="A2031" s="7" t="s">
        <v>2530</v>
      </c>
      <c r="B2031" s="9" t="s">
        <v>5604</v>
      </c>
      <c r="C2031" s="9" t="s">
        <v>12</v>
      </c>
      <c r="D2031" s="9" t="s">
        <v>5605</v>
      </c>
    </row>
    <row r="2032" ht="15.75" customHeight="1">
      <c r="A2032" s="7" t="s">
        <v>2525</v>
      </c>
      <c r="B2032" s="9" t="s">
        <v>5606</v>
      </c>
      <c r="C2032" s="9" t="s">
        <v>12</v>
      </c>
      <c r="D2032" s="9" t="s">
        <v>5607</v>
      </c>
    </row>
    <row r="2033" ht="15.75" customHeight="1">
      <c r="A2033" s="7" t="s">
        <v>2519</v>
      </c>
      <c r="B2033" s="9" t="s">
        <v>2308</v>
      </c>
      <c r="C2033" s="9" t="s">
        <v>17</v>
      </c>
      <c r="D2033" s="9" t="s">
        <v>2464</v>
      </c>
    </row>
    <row r="2034" ht="15.75" customHeight="1">
      <c r="A2034" s="7" t="s">
        <v>2515</v>
      </c>
      <c r="B2034" s="9" t="s">
        <v>5608</v>
      </c>
      <c r="C2034" s="9" t="s">
        <v>17</v>
      </c>
      <c r="D2034" s="9" t="s">
        <v>5609</v>
      </c>
    </row>
    <row r="2035" ht="15.75" customHeight="1">
      <c r="A2035" s="7" t="s">
        <v>2509</v>
      </c>
      <c r="B2035" s="9" t="s">
        <v>5610</v>
      </c>
      <c r="C2035" s="9" t="s">
        <v>17</v>
      </c>
      <c r="D2035" s="9" t="s">
        <v>3173</v>
      </c>
    </row>
    <row r="2036" ht="15.75" customHeight="1">
      <c r="A2036" s="7" t="s">
        <v>2505</v>
      </c>
      <c r="B2036" s="9" t="s">
        <v>5611</v>
      </c>
      <c r="C2036" s="9" t="s">
        <v>12</v>
      </c>
      <c r="D2036" s="9" t="s">
        <v>5612</v>
      </c>
    </row>
    <row r="2037" ht="15.75" customHeight="1">
      <c r="A2037" s="7" t="s">
        <v>2499</v>
      </c>
      <c r="B2037" s="9" t="s">
        <v>5613</v>
      </c>
      <c r="C2037" s="9" t="s">
        <v>12</v>
      </c>
      <c r="D2037" s="9" t="s">
        <v>5614</v>
      </c>
    </row>
    <row r="2038" ht="15.75" customHeight="1">
      <c r="A2038" s="7" t="s">
        <v>2493</v>
      </c>
      <c r="B2038" s="9" t="s">
        <v>5615</v>
      </c>
      <c r="C2038" s="9" t="s">
        <v>12</v>
      </c>
      <c r="D2038" s="9" t="s">
        <v>5616</v>
      </c>
    </row>
    <row r="2039" ht="15.75" customHeight="1">
      <c r="A2039" s="7" t="s">
        <v>2487</v>
      </c>
      <c r="B2039" s="9" t="s">
        <v>5617</v>
      </c>
      <c r="C2039" s="9" t="s">
        <v>12</v>
      </c>
      <c r="D2039" s="9" t="s">
        <v>801</v>
      </c>
    </row>
    <row r="2040" ht="15.75" customHeight="1">
      <c r="A2040" s="7" t="s">
        <v>2482</v>
      </c>
      <c r="B2040" s="9" t="s">
        <v>232</v>
      </c>
      <c r="C2040" s="9" t="s">
        <v>17</v>
      </c>
      <c r="D2040" s="9" t="s">
        <v>5618</v>
      </c>
    </row>
    <row r="2041" ht="15.75" customHeight="1">
      <c r="A2041" s="7" t="s">
        <v>2478</v>
      </c>
      <c r="B2041" s="9" t="s">
        <v>5619</v>
      </c>
      <c r="C2041" s="9" t="s">
        <v>12</v>
      </c>
      <c r="D2041" s="9" t="s">
        <v>5620</v>
      </c>
    </row>
    <row r="2042" ht="15.75" customHeight="1">
      <c r="A2042" s="7" t="s">
        <v>2474</v>
      </c>
      <c r="B2042" s="9" t="s">
        <v>328</v>
      </c>
      <c r="C2042" s="9" t="s">
        <v>17</v>
      </c>
      <c r="D2042" s="9" t="s">
        <v>2927</v>
      </c>
    </row>
    <row r="2043" ht="15.75" customHeight="1">
      <c r="A2043" s="7" t="s">
        <v>2467</v>
      </c>
      <c r="B2043" s="9" t="s">
        <v>5621</v>
      </c>
      <c r="C2043" s="9" t="s">
        <v>17</v>
      </c>
      <c r="D2043" s="9" t="s">
        <v>5622</v>
      </c>
    </row>
    <row r="2044" ht="15.75" customHeight="1">
      <c r="A2044" s="7" t="s">
        <v>2458</v>
      </c>
      <c r="B2044" s="9" t="s">
        <v>5623</v>
      </c>
      <c r="C2044" s="9" t="s">
        <v>17</v>
      </c>
      <c r="D2044" s="9" t="s">
        <v>5624</v>
      </c>
    </row>
    <row r="2045" ht="15.75" customHeight="1">
      <c r="A2045" s="7" t="s">
        <v>2454</v>
      </c>
      <c r="B2045" s="9" t="s">
        <v>5625</v>
      </c>
      <c r="C2045" s="9" t="s">
        <v>12</v>
      </c>
      <c r="D2045" s="9" t="s">
        <v>5626</v>
      </c>
    </row>
    <row r="2046" ht="15.75" customHeight="1">
      <c r="A2046" s="7" t="s">
        <v>2449</v>
      </c>
      <c r="B2046" s="9" t="s">
        <v>5627</v>
      </c>
      <c r="C2046" s="9" t="s">
        <v>12</v>
      </c>
      <c r="D2046" s="9" t="s">
        <v>5628</v>
      </c>
    </row>
    <row r="2047" ht="15.75" customHeight="1">
      <c r="A2047" s="7" t="s">
        <v>2442</v>
      </c>
      <c r="B2047" s="9" t="s">
        <v>5629</v>
      </c>
      <c r="C2047" s="9" t="s">
        <v>12</v>
      </c>
      <c r="D2047" s="9" t="s">
        <v>5630</v>
      </c>
    </row>
    <row r="2048" ht="15.75" customHeight="1">
      <c r="A2048" s="7" t="s">
        <v>2434</v>
      </c>
      <c r="B2048" s="9" t="s">
        <v>246</v>
      </c>
      <c r="C2048" s="9" t="s">
        <v>12</v>
      </c>
      <c r="D2048" s="9" t="s">
        <v>279</v>
      </c>
    </row>
    <row r="2049" ht="15.75" customHeight="1">
      <c r="A2049" s="7" t="s">
        <v>2429</v>
      </c>
      <c r="B2049" s="9" t="s">
        <v>5631</v>
      </c>
      <c r="C2049" s="9" t="s">
        <v>12</v>
      </c>
      <c r="D2049" s="9" t="s">
        <v>5632</v>
      </c>
    </row>
    <row r="2050" ht="15.75" customHeight="1">
      <c r="A2050" s="7" t="s">
        <v>2424</v>
      </c>
      <c r="B2050" s="9" t="s">
        <v>3574</v>
      </c>
      <c r="C2050" s="9" t="s">
        <v>17</v>
      </c>
      <c r="D2050" s="9" t="s">
        <v>4640</v>
      </c>
    </row>
    <row r="2051" ht="15.75" customHeight="1">
      <c r="A2051" s="7" t="s">
        <v>2417</v>
      </c>
      <c r="B2051" s="9" t="s">
        <v>4790</v>
      </c>
      <c r="C2051" s="9" t="s">
        <v>17</v>
      </c>
      <c r="D2051" s="9" t="s">
        <v>1823</v>
      </c>
    </row>
    <row r="2052" ht="15.75" customHeight="1">
      <c r="A2052" s="7" t="s">
        <v>2408</v>
      </c>
      <c r="B2052" s="9" t="s">
        <v>5633</v>
      </c>
      <c r="C2052" s="9" t="s">
        <v>17</v>
      </c>
      <c r="D2052" s="9" t="s">
        <v>5634</v>
      </c>
    </row>
    <row r="2053" ht="15.75" customHeight="1">
      <c r="A2053" s="7" t="s">
        <v>2399</v>
      </c>
      <c r="B2053" s="9" t="s">
        <v>2147</v>
      </c>
      <c r="C2053" s="9" t="s">
        <v>12</v>
      </c>
      <c r="D2053" s="9" t="s">
        <v>5635</v>
      </c>
    </row>
    <row r="2054" ht="15.75" customHeight="1">
      <c r="A2054" s="7" t="s">
        <v>2395</v>
      </c>
      <c r="B2054" s="9" t="s">
        <v>5636</v>
      </c>
      <c r="C2054" s="9" t="s">
        <v>12</v>
      </c>
      <c r="D2054" s="9" t="s">
        <v>5637</v>
      </c>
    </row>
    <row r="2055" ht="15.75" customHeight="1">
      <c r="A2055" s="7" t="s">
        <v>2391</v>
      </c>
      <c r="B2055" s="9" t="s">
        <v>5638</v>
      </c>
      <c r="C2055" s="9" t="s">
        <v>12</v>
      </c>
      <c r="D2055" s="9" t="s">
        <v>5639</v>
      </c>
    </row>
    <row r="2056" ht="15.75" customHeight="1">
      <c r="A2056" s="7" t="s">
        <v>2386</v>
      </c>
      <c r="B2056" s="9" t="s">
        <v>1582</v>
      </c>
      <c r="C2056" s="9" t="s">
        <v>12</v>
      </c>
      <c r="D2056" s="9" t="s">
        <v>5640</v>
      </c>
    </row>
    <row r="2057" ht="15.75" customHeight="1">
      <c r="A2057" s="7" t="s">
        <v>2380</v>
      </c>
      <c r="B2057" s="9" t="s">
        <v>5641</v>
      </c>
      <c r="C2057" s="9" t="s">
        <v>17</v>
      </c>
      <c r="D2057" s="9" t="s">
        <v>5642</v>
      </c>
    </row>
    <row r="2058" ht="15.75" customHeight="1">
      <c r="A2058" s="7" t="s">
        <v>2373</v>
      </c>
      <c r="B2058" s="9" t="s">
        <v>5643</v>
      </c>
      <c r="C2058" s="9" t="s">
        <v>12</v>
      </c>
      <c r="D2058" s="9" t="s">
        <v>5644</v>
      </c>
    </row>
    <row r="2059" ht="15.75" customHeight="1">
      <c r="A2059" s="7" t="s">
        <v>2368</v>
      </c>
      <c r="B2059" s="9" t="s">
        <v>5645</v>
      </c>
      <c r="C2059" s="9" t="s">
        <v>17</v>
      </c>
      <c r="D2059" s="9" t="s">
        <v>1759</v>
      </c>
    </row>
    <row r="2060" ht="15.75" customHeight="1">
      <c r="A2060" s="7" t="s">
        <v>2359</v>
      </c>
      <c r="B2060" s="9" t="s">
        <v>5646</v>
      </c>
      <c r="C2060" s="9" t="s">
        <v>12</v>
      </c>
      <c r="D2060" s="9" t="s">
        <v>5647</v>
      </c>
    </row>
    <row r="2061" ht="15.75" customHeight="1">
      <c r="A2061" s="7" t="s">
        <v>2352</v>
      </c>
      <c r="B2061" s="9" t="s">
        <v>5648</v>
      </c>
      <c r="C2061" s="9" t="s">
        <v>17</v>
      </c>
      <c r="D2061" s="9" t="s">
        <v>2907</v>
      </c>
    </row>
    <row r="2062" ht="15.75" customHeight="1">
      <c r="A2062" s="7" t="s">
        <v>2346</v>
      </c>
      <c r="B2062" s="9" t="s">
        <v>5649</v>
      </c>
      <c r="C2062" s="9" t="s">
        <v>17</v>
      </c>
      <c r="D2062" s="9" t="s">
        <v>5650</v>
      </c>
    </row>
    <row r="2063" ht="15.75" customHeight="1">
      <c r="A2063" s="7" t="s">
        <v>2341</v>
      </c>
      <c r="B2063" s="9" t="s">
        <v>5651</v>
      </c>
      <c r="C2063" s="9" t="s">
        <v>17</v>
      </c>
      <c r="D2063" s="9" t="s">
        <v>5652</v>
      </c>
    </row>
    <row r="2064" ht="15.75" customHeight="1">
      <c r="A2064" s="7" t="s">
        <v>2334</v>
      </c>
      <c r="B2064" s="9" t="s">
        <v>4343</v>
      </c>
      <c r="C2064" s="9" t="s">
        <v>12</v>
      </c>
      <c r="D2064" s="9" t="s">
        <v>5653</v>
      </c>
    </row>
    <row r="2065" ht="15.75" customHeight="1">
      <c r="A2065" s="7" t="s">
        <v>2329</v>
      </c>
      <c r="B2065" s="9" t="s">
        <v>1696</v>
      </c>
      <c r="C2065" s="9" t="s">
        <v>12</v>
      </c>
      <c r="D2065" s="9" t="s">
        <v>801</v>
      </c>
    </row>
    <row r="2066" ht="15.75" customHeight="1">
      <c r="A2066" s="7" t="s">
        <v>2323</v>
      </c>
      <c r="B2066" s="9" t="s">
        <v>5654</v>
      </c>
      <c r="C2066" s="9" t="s">
        <v>12</v>
      </c>
      <c r="D2066" s="9" t="s">
        <v>5655</v>
      </c>
    </row>
    <row r="2067" ht="15.75" customHeight="1">
      <c r="A2067" s="7" t="s">
        <v>2318</v>
      </c>
      <c r="B2067" s="9" t="s">
        <v>328</v>
      </c>
      <c r="C2067" s="9" t="s">
        <v>12</v>
      </c>
      <c r="D2067" s="9" t="s">
        <v>5656</v>
      </c>
    </row>
    <row r="2068" ht="15.75" customHeight="1">
      <c r="A2068" s="7" t="s">
        <v>2310</v>
      </c>
      <c r="B2068" s="9" t="s">
        <v>5657</v>
      </c>
      <c r="C2068" s="9" t="s">
        <v>17</v>
      </c>
      <c r="D2068" s="9" t="s">
        <v>4909</v>
      </c>
    </row>
    <row r="2069" ht="15.75" customHeight="1">
      <c r="A2069" s="7" t="s">
        <v>2302</v>
      </c>
      <c r="B2069" s="9" t="s">
        <v>5658</v>
      </c>
      <c r="C2069" s="9" t="s">
        <v>17</v>
      </c>
      <c r="D2069" s="9" t="s">
        <v>5659</v>
      </c>
    </row>
    <row r="2070" ht="15.75" customHeight="1">
      <c r="A2070" s="7" t="s">
        <v>2298</v>
      </c>
      <c r="B2070" s="9" t="s">
        <v>5660</v>
      </c>
      <c r="C2070" s="9" t="s">
        <v>17</v>
      </c>
      <c r="D2070" s="9" t="s">
        <v>5661</v>
      </c>
    </row>
    <row r="2071" ht="15.75" customHeight="1">
      <c r="A2071" s="7" t="s">
        <v>2291</v>
      </c>
      <c r="B2071" s="9" t="s">
        <v>5662</v>
      </c>
      <c r="C2071" s="9" t="s">
        <v>12</v>
      </c>
      <c r="D2071" s="9" t="s">
        <v>623</v>
      </c>
    </row>
    <row r="2072" ht="15.75" customHeight="1">
      <c r="A2072" s="7" t="s">
        <v>2287</v>
      </c>
      <c r="B2072" s="9" t="s">
        <v>658</v>
      </c>
      <c r="C2072" s="9" t="s">
        <v>17</v>
      </c>
      <c r="D2072" s="9" t="s">
        <v>725</v>
      </c>
    </row>
    <row r="2073" ht="15.75" customHeight="1">
      <c r="A2073" s="7" t="s">
        <v>2282</v>
      </c>
      <c r="B2073" s="9" t="s">
        <v>5663</v>
      </c>
      <c r="C2073" s="9" t="s">
        <v>12</v>
      </c>
      <c r="D2073" s="9" t="s">
        <v>5664</v>
      </c>
    </row>
    <row r="2074" ht="15.75" customHeight="1">
      <c r="A2074" s="7" t="s">
        <v>2279</v>
      </c>
      <c r="B2074" s="9" t="s">
        <v>5665</v>
      </c>
      <c r="C2074" s="9" t="s">
        <v>17</v>
      </c>
      <c r="D2074" s="9" t="s">
        <v>5666</v>
      </c>
    </row>
    <row r="2075" ht="15.75" customHeight="1">
      <c r="A2075" s="7" t="s">
        <v>2272</v>
      </c>
      <c r="B2075" s="9" t="s">
        <v>5667</v>
      </c>
      <c r="C2075" s="9" t="s">
        <v>12</v>
      </c>
      <c r="D2075" s="9" t="s">
        <v>5668</v>
      </c>
    </row>
    <row r="2076" ht="15.75" customHeight="1">
      <c r="A2076" s="7" t="s">
        <v>2267</v>
      </c>
      <c r="B2076" s="9" t="s">
        <v>5468</v>
      </c>
      <c r="C2076" s="9" t="s">
        <v>12</v>
      </c>
      <c r="D2076" s="9" t="s">
        <v>5669</v>
      </c>
    </row>
    <row r="2077" ht="15.75" customHeight="1">
      <c r="A2077" s="7" t="s">
        <v>2263</v>
      </c>
      <c r="B2077" s="9" t="s">
        <v>5670</v>
      </c>
      <c r="C2077" s="9" t="s">
        <v>17</v>
      </c>
      <c r="D2077" s="9" t="s">
        <v>5185</v>
      </c>
    </row>
    <row r="2078" ht="15.75" customHeight="1">
      <c r="A2078" s="7" t="s">
        <v>2258</v>
      </c>
      <c r="B2078" s="9" t="s">
        <v>5671</v>
      </c>
      <c r="C2078" s="9" t="s">
        <v>17</v>
      </c>
      <c r="D2078" s="9" t="s">
        <v>320</v>
      </c>
    </row>
    <row r="2079" ht="15.75" customHeight="1">
      <c r="A2079" s="7" t="s">
        <v>2254</v>
      </c>
      <c r="B2079" s="9" t="s">
        <v>5672</v>
      </c>
      <c r="C2079" s="9" t="s">
        <v>17</v>
      </c>
      <c r="D2079" s="9" t="s">
        <v>2056</v>
      </c>
    </row>
    <row r="2080" ht="15.75" customHeight="1">
      <c r="A2080" s="7" t="s">
        <v>2248</v>
      </c>
      <c r="B2080" s="9" t="s">
        <v>5673</v>
      </c>
      <c r="C2080" s="9" t="s">
        <v>17</v>
      </c>
      <c r="D2080" s="9" t="s">
        <v>1759</v>
      </c>
    </row>
    <row r="2081" ht="15.75" customHeight="1">
      <c r="A2081" s="7" t="s">
        <v>2244</v>
      </c>
      <c r="B2081" s="9" t="s">
        <v>2750</v>
      </c>
      <c r="C2081" s="9" t="s">
        <v>12</v>
      </c>
      <c r="D2081" s="9" t="s">
        <v>5674</v>
      </c>
    </row>
    <row r="2082" ht="15.75" customHeight="1">
      <c r="A2082" s="7" t="s">
        <v>2237</v>
      </c>
      <c r="B2082" s="9" t="s">
        <v>5675</v>
      </c>
      <c r="C2082" s="9" t="s">
        <v>12</v>
      </c>
      <c r="D2082" s="9" t="s">
        <v>3792</v>
      </c>
    </row>
    <row r="2083" ht="15.75" customHeight="1">
      <c r="A2083" s="7" t="s">
        <v>2232</v>
      </c>
      <c r="B2083" s="9" t="s">
        <v>5676</v>
      </c>
      <c r="C2083" s="9" t="s">
        <v>12</v>
      </c>
      <c r="D2083" s="9" t="s">
        <v>3474</v>
      </c>
    </row>
    <row r="2084" ht="15.75" customHeight="1">
      <c r="A2084" s="7" t="s">
        <v>2227</v>
      </c>
      <c r="B2084" s="9" t="s">
        <v>5677</v>
      </c>
      <c r="C2084" s="9" t="s">
        <v>12</v>
      </c>
      <c r="D2084" s="9" t="s">
        <v>5678</v>
      </c>
    </row>
    <row r="2085" ht="15.75" customHeight="1">
      <c r="A2085" s="7" t="s">
        <v>2223</v>
      </c>
      <c r="B2085" s="9" t="s">
        <v>5679</v>
      </c>
      <c r="C2085" s="9" t="s">
        <v>12</v>
      </c>
      <c r="D2085" s="9" t="s">
        <v>5680</v>
      </c>
    </row>
    <row r="2086" ht="15.75" customHeight="1">
      <c r="A2086" s="7" t="s">
        <v>2219</v>
      </c>
      <c r="B2086" s="9" t="s">
        <v>5681</v>
      </c>
      <c r="C2086" s="9" t="s">
        <v>12</v>
      </c>
      <c r="D2086" s="9" t="s">
        <v>5682</v>
      </c>
    </row>
    <row r="2087" ht="15.75" customHeight="1">
      <c r="A2087" s="7" t="s">
        <v>2213</v>
      </c>
      <c r="B2087" s="9" t="s">
        <v>5683</v>
      </c>
      <c r="C2087" s="9" t="s">
        <v>17</v>
      </c>
      <c r="D2087" s="9" t="s">
        <v>5684</v>
      </c>
    </row>
    <row r="2088" ht="15.75" customHeight="1">
      <c r="A2088" s="7" t="s">
        <v>2207</v>
      </c>
      <c r="B2088" s="9" t="s">
        <v>658</v>
      </c>
      <c r="C2088" s="9" t="s">
        <v>17</v>
      </c>
      <c r="D2088" s="9" t="s">
        <v>743</v>
      </c>
    </row>
    <row r="2089" ht="15.75" customHeight="1">
      <c r="A2089" s="7" t="s">
        <v>2202</v>
      </c>
      <c r="B2089" s="9" t="s">
        <v>5685</v>
      </c>
      <c r="C2089" s="9" t="s">
        <v>12</v>
      </c>
      <c r="D2089" s="9" t="s">
        <v>5686</v>
      </c>
    </row>
    <row r="2090" ht="15.75" customHeight="1">
      <c r="A2090" s="7" t="s">
        <v>2195</v>
      </c>
      <c r="B2090" s="9" t="s">
        <v>5687</v>
      </c>
      <c r="C2090" s="9" t="s">
        <v>17</v>
      </c>
      <c r="D2090" s="9" t="s">
        <v>5452</v>
      </c>
    </row>
    <row r="2091" ht="15.75" customHeight="1">
      <c r="A2091" s="7" t="s">
        <v>2187</v>
      </c>
      <c r="B2091" s="9" t="s">
        <v>5688</v>
      </c>
      <c r="C2091" s="9" t="s">
        <v>17</v>
      </c>
      <c r="D2091" s="9" t="s">
        <v>5689</v>
      </c>
    </row>
    <row r="2092" ht="15.75" customHeight="1">
      <c r="A2092" s="7" t="s">
        <v>2180</v>
      </c>
      <c r="B2092" s="9" t="s">
        <v>5690</v>
      </c>
      <c r="C2092" s="9" t="s">
        <v>17</v>
      </c>
      <c r="D2092" s="9" t="s">
        <v>5691</v>
      </c>
    </row>
    <row r="2093" ht="15.75" customHeight="1">
      <c r="A2093" s="7" t="s">
        <v>2175</v>
      </c>
      <c r="B2093" s="9" t="s">
        <v>5692</v>
      </c>
      <c r="C2093" s="9" t="s">
        <v>17</v>
      </c>
      <c r="D2093" s="9" t="s">
        <v>472</v>
      </c>
    </row>
    <row r="2094" ht="15.75" customHeight="1">
      <c r="A2094" s="7" t="s">
        <v>2170</v>
      </c>
      <c r="B2094" s="9" t="s">
        <v>5693</v>
      </c>
      <c r="C2094" s="9" t="s">
        <v>17</v>
      </c>
      <c r="D2094" s="9" t="s">
        <v>359</v>
      </c>
    </row>
    <row r="2095" ht="15.75" customHeight="1">
      <c r="A2095" s="7" t="s">
        <v>2165</v>
      </c>
      <c r="B2095" s="9" t="s">
        <v>5694</v>
      </c>
      <c r="C2095" s="9" t="s">
        <v>12</v>
      </c>
      <c r="D2095" s="9" t="s">
        <v>1469</v>
      </c>
    </row>
    <row r="2096" ht="15.75" customHeight="1">
      <c r="A2096" s="7" t="s">
        <v>2160</v>
      </c>
      <c r="B2096" s="9" t="s">
        <v>5695</v>
      </c>
      <c r="C2096" s="9" t="s">
        <v>17</v>
      </c>
      <c r="D2096" s="9" t="s">
        <v>5696</v>
      </c>
    </row>
    <row r="2097" ht="15.75" customHeight="1">
      <c r="A2097" s="7" t="s">
        <v>2155</v>
      </c>
      <c r="B2097" s="9" t="s">
        <v>5697</v>
      </c>
      <c r="C2097" s="9" t="s">
        <v>17</v>
      </c>
      <c r="D2097" s="9" t="s">
        <v>2297</v>
      </c>
    </row>
    <row r="2098" ht="15.75" customHeight="1">
      <c r="A2098" s="7" t="s">
        <v>2149</v>
      </c>
      <c r="B2098" s="9" t="s">
        <v>5698</v>
      </c>
      <c r="C2098" s="9" t="s">
        <v>17</v>
      </c>
      <c r="D2098" s="9" t="s">
        <v>5699</v>
      </c>
    </row>
    <row r="2099" ht="15.75" customHeight="1">
      <c r="A2099" s="7" t="s">
        <v>2142</v>
      </c>
      <c r="B2099" s="9" t="s">
        <v>5700</v>
      </c>
      <c r="C2099" s="9" t="s">
        <v>12</v>
      </c>
      <c r="D2099" s="9" t="s">
        <v>2800</v>
      </c>
    </row>
    <row r="2100" ht="15.75" customHeight="1">
      <c r="A2100" s="7" t="s">
        <v>2137</v>
      </c>
      <c r="B2100" s="9" t="s">
        <v>5701</v>
      </c>
      <c r="C2100" s="9" t="s">
        <v>17</v>
      </c>
      <c r="D2100" s="9" t="s">
        <v>516</v>
      </c>
    </row>
    <row r="2101" ht="15.75" customHeight="1">
      <c r="A2101" s="7" t="s">
        <v>2131</v>
      </c>
      <c r="B2101" s="9" t="s">
        <v>5702</v>
      </c>
      <c r="C2101" s="9" t="s">
        <v>12</v>
      </c>
      <c r="D2101" s="9" t="s">
        <v>5703</v>
      </c>
    </row>
    <row r="2102" ht="15.75" customHeight="1">
      <c r="A2102" s="7" t="s">
        <v>2127</v>
      </c>
      <c r="B2102" s="9" t="s">
        <v>5704</v>
      </c>
      <c r="C2102" s="9" t="s">
        <v>12</v>
      </c>
      <c r="D2102" s="9" t="s">
        <v>5705</v>
      </c>
    </row>
    <row r="2103" ht="15.75" customHeight="1">
      <c r="A2103" s="7" t="s">
        <v>2123</v>
      </c>
      <c r="B2103" s="9" t="s">
        <v>5078</v>
      </c>
      <c r="C2103" s="9" t="s">
        <v>17</v>
      </c>
      <c r="D2103" s="9" t="s">
        <v>1943</v>
      </c>
    </row>
    <row r="2104" ht="15.75" customHeight="1">
      <c r="A2104" s="7" t="s">
        <v>2117</v>
      </c>
      <c r="B2104" s="9" t="s">
        <v>1651</v>
      </c>
      <c r="C2104" s="9" t="s">
        <v>17</v>
      </c>
      <c r="D2104" s="9" t="s">
        <v>5706</v>
      </c>
    </row>
    <row r="2105" ht="15.75" customHeight="1">
      <c r="A2105" s="7" t="s">
        <v>2112</v>
      </c>
      <c r="B2105" s="9" t="s">
        <v>46</v>
      </c>
      <c r="C2105" s="9" t="s">
        <v>17</v>
      </c>
      <c r="D2105" s="9" t="s">
        <v>1152</v>
      </c>
    </row>
    <row r="2106" ht="15.75" customHeight="1">
      <c r="A2106" s="7" t="s">
        <v>2106</v>
      </c>
      <c r="B2106" s="9" t="s">
        <v>5707</v>
      </c>
      <c r="C2106" s="9" t="s">
        <v>12</v>
      </c>
      <c r="D2106" s="9" t="s">
        <v>5708</v>
      </c>
    </row>
    <row r="2107" ht="15.75" customHeight="1">
      <c r="A2107" s="7" t="s">
        <v>2101</v>
      </c>
      <c r="B2107" s="9" t="s">
        <v>5709</v>
      </c>
      <c r="C2107" s="9" t="s">
        <v>12</v>
      </c>
      <c r="D2107" s="9" t="s">
        <v>5710</v>
      </c>
    </row>
    <row r="2108" ht="15.75" customHeight="1">
      <c r="A2108" s="7" t="s">
        <v>2092</v>
      </c>
      <c r="B2108" s="9" t="s">
        <v>5711</v>
      </c>
      <c r="C2108" s="9" t="s">
        <v>12</v>
      </c>
      <c r="D2108" s="9" t="s">
        <v>5712</v>
      </c>
    </row>
    <row r="2109" ht="15.75" customHeight="1">
      <c r="A2109" s="7" t="s">
        <v>2088</v>
      </c>
      <c r="B2109" s="9" t="s">
        <v>5713</v>
      </c>
      <c r="C2109" s="9" t="s">
        <v>12</v>
      </c>
      <c r="D2109" s="9" t="s">
        <v>5714</v>
      </c>
    </row>
    <row r="2110" ht="15.75" customHeight="1">
      <c r="A2110" s="7" t="s">
        <v>2083</v>
      </c>
      <c r="B2110" s="9" t="s">
        <v>1526</v>
      </c>
      <c r="C2110" s="9" t="s">
        <v>12</v>
      </c>
      <c r="D2110" s="9" t="s">
        <v>5715</v>
      </c>
    </row>
    <row r="2111" ht="15.75" customHeight="1">
      <c r="A2111" s="7" t="s">
        <v>2076</v>
      </c>
      <c r="B2111" s="9" t="s">
        <v>5716</v>
      </c>
      <c r="C2111" s="9" t="s">
        <v>12</v>
      </c>
      <c r="D2111" s="9" t="s">
        <v>5717</v>
      </c>
    </row>
    <row r="2112" ht="15.75" customHeight="1">
      <c r="A2112" s="7" t="s">
        <v>2069</v>
      </c>
      <c r="B2112" s="9" t="s">
        <v>5718</v>
      </c>
      <c r="C2112" s="9" t="s">
        <v>12</v>
      </c>
      <c r="D2112" s="9" t="s">
        <v>5719</v>
      </c>
    </row>
    <row r="2113" ht="15.75" customHeight="1">
      <c r="A2113" s="7" t="s">
        <v>2059</v>
      </c>
      <c r="B2113" s="9" t="s">
        <v>5720</v>
      </c>
      <c r="C2113" s="9" t="s">
        <v>12</v>
      </c>
      <c r="D2113" s="9" t="s">
        <v>5721</v>
      </c>
    </row>
    <row r="2114" ht="15.75" customHeight="1">
      <c r="A2114" s="7" t="s">
        <v>2051</v>
      </c>
      <c r="B2114" s="9" t="s">
        <v>5722</v>
      </c>
      <c r="C2114" s="9" t="s">
        <v>12</v>
      </c>
      <c r="D2114" s="9" t="s">
        <v>2707</v>
      </c>
    </row>
    <row r="2115" ht="15.75" customHeight="1">
      <c r="A2115" s="7" t="s">
        <v>2044</v>
      </c>
      <c r="B2115" s="9" t="s">
        <v>5723</v>
      </c>
      <c r="C2115" s="9" t="s">
        <v>12</v>
      </c>
      <c r="D2115" s="9" t="s">
        <v>1103</v>
      </c>
    </row>
    <row r="2116" ht="15.75" customHeight="1">
      <c r="A2116" s="7" t="s">
        <v>2035</v>
      </c>
      <c r="B2116" s="9" t="s">
        <v>5724</v>
      </c>
      <c r="C2116" s="9" t="s">
        <v>12</v>
      </c>
      <c r="D2116" s="9" t="s">
        <v>1694</v>
      </c>
    </row>
    <row r="2117" ht="15.75" customHeight="1">
      <c r="A2117" s="7" t="s">
        <v>2026</v>
      </c>
      <c r="B2117" s="9" t="s">
        <v>5725</v>
      </c>
      <c r="C2117" s="9" t="s">
        <v>12</v>
      </c>
      <c r="D2117" s="9" t="s">
        <v>5726</v>
      </c>
    </row>
    <row r="2118" ht="15.75" customHeight="1">
      <c r="A2118" s="7" t="s">
        <v>2019</v>
      </c>
      <c r="B2118" s="9" t="s">
        <v>5727</v>
      </c>
      <c r="C2118" s="9" t="s">
        <v>12</v>
      </c>
      <c r="D2118" s="9" t="s">
        <v>5728</v>
      </c>
    </row>
    <row r="2119" ht="15.75" customHeight="1">
      <c r="A2119" s="7" t="s">
        <v>2009</v>
      </c>
      <c r="B2119" s="9" t="s">
        <v>5729</v>
      </c>
      <c r="C2119" s="9" t="s">
        <v>17</v>
      </c>
      <c r="D2119" s="9" t="s">
        <v>5730</v>
      </c>
    </row>
    <row r="2120" ht="15.75" customHeight="1">
      <c r="A2120" s="7" t="s">
        <v>2001</v>
      </c>
      <c r="B2120" s="9" t="s">
        <v>5731</v>
      </c>
      <c r="C2120" s="9" t="s">
        <v>17</v>
      </c>
      <c r="D2120" s="9" t="s">
        <v>516</v>
      </c>
    </row>
    <row r="2121" ht="15.75" customHeight="1">
      <c r="A2121" s="7" t="s">
        <v>1994</v>
      </c>
      <c r="B2121" s="9" t="s">
        <v>5732</v>
      </c>
      <c r="C2121" s="9" t="s">
        <v>12</v>
      </c>
      <c r="D2121" s="9" t="s">
        <v>1628</v>
      </c>
    </row>
    <row r="2122" ht="15.75" customHeight="1">
      <c r="A2122" s="7" t="s">
        <v>1983</v>
      </c>
      <c r="B2122" s="9" t="s">
        <v>5733</v>
      </c>
      <c r="C2122" s="9" t="s">
        <v>12</v>
      </c>
      <c r="D2122" s="9" t="s">
        <v>5734</v>
      </c>
    </row>
    <row r="2123" ht="15.75" customHeight="1">
      <c r="A2123" s="7" t="s">
        <v>1978</v>
      </c>
      <c r="B2123" s="9" t="s">
        <v>5735</v>
      </c>
      <c r="C2123" s="9" t="s">
        <v>12</v>
      </c>
      <c r="D2123" s="9" t="s">
        <v>5736</v>
      </c>
    </row>
    <row r="2124" ht="15.75" customHeight="1">
      <c r="A2124" s="7" t="s">
        <v>1973</v>
      </c>
      <c r="B2124" s="9" t="s">
        <v>5737</v>
      </c>
      <c r="C2124" s="9" t="s">
        <v>12</v>
      </c>
      <c r="D2124" s="9" t="s">
        <v>5738</v>
      </c>
    </row>
    <row r="2125" ht="15.75" customHeight="1">
      <c r="A2125" s="7" t="s">
        <v>1966</v>
      </c>
      <c r="B2125" s="9" t="s">
        <v>2375</v>
      </c>
      <c r="C2125" s="9" t="s">
        <v>12</v>
      </c>
      <c r="D2125" s="9" t="s">
        <v>5739</v>
      </c>
    </row>
    <row r="2126" ht="15.75" customHeight="1">
      <c r="A2126" s="7" t="s">
        <v>1961</v>
      </c>
      <c r="B2126" s="9" t="s">
        <v>5740</v>
      </c>
      <c r="C2126" s="9" t="s">
        <v>12</v>
      </c>
      <c r="D2126" s="9" t="s">
        <v>5741</v>
      </c>
    </row>
    <row r="2127" ht="15.75" customHeight="1">
      <c r="A2127" s="7" t="s">
        <v>1954</v>
      </c>
      <c r="B2127" s="9" t="s">
        <v>5742</v>
      </c>
      <c r="C2127" s="9" t="s">
        <v>12</v>
      </c>
      <c r="D2127" s="9" t="s">
        <v>5639</v>
      </c>
    </row>
    <row r="2128" ht="15.75" customHeight="1">
      <c r="A2128" s="7" t="s">
        <v>1949</v>
      </c>
      <c r="B2128" s="9" t="s">
        <v>5743</v>
      </c>
      <c r="C2128" s="9" t="s">
        <v>17</v>
      </c>
      <c r="D2128" s="9" t="s">
        <v>5744</v>
      </c>
    </row>
    <row r="2129" ht="15.75" customHeight="1">
      <c r="A2129" s="7" t="s">
        <v>1944</v>
      </c>
      <c r="B2129" s="9" t="s">
        <v>5745</v>
      </c>
      <c r="C2129" s="9" t="s">
        <v>12</v>
      </c>
      <c r="D2129" s="9" t="s">
        <v>5156</v>
      </c>
    </row>
    <row r="2130" ht="15.75" customHeight="1">
      <c r="A2130" s="7" t="s">
        <v>1934</v>
      </c>
      <c r="B2130" s="9" t="s">
        <v>5746</v>
      </c>
      <c r="C2130" s="9" t="s">
        <v>12</v>
      </c>
      <c r="D2130" s="9" t="s">
        <v>5747</v>
      </c>
    </row>
    <row r="2131" ht="15.75" customHeight="1">
      <c r="A2131" s="7" t="s">
        <v>1924</v>
      </c>
      <c r="B2131" s="9" t="s">
        <v>2582</v>
      </c>
      <c r="C2131" s="9" t="s">
        <v>12</v>
      </c>
      <c r="D2131" s="9" t="s">
        <v>4985</v>
      </c>
    </row>
    <row r="2132" ht="15.75" customHeight="1">
      <c r="A2132" s="7" t="s">
        <v>1919</v>
      </c>
      <c r="B2132" s="9" t="s">
        <v>154</v>
      </c>
      <c r="C2132" s="9" t="s">
        <v>12</v>
      </c>
      <c r="D2132" s="9" t="s">
        <v>5748</v>
      </c>
    </row>
    <row r="2133" ht="15.75" customHeight="1">
      <c r="A2133" s="7" t="s">
        <v>1909</v>
      </c>
      <c r="B2133" s="9" t="s">
        <v>5749</v>
      </c>
      <c r="C2133" s="9" t="s">
        <v>17</v>
      </c>
      <c r="D2133" s="9" t="s">
        <v>5750</v>
      </c>
    </row>
    <row r="2134" ht="15.75" customHeight="1">
      <c r="A2134" s="7" t="s">
        <v>1898</v>
      </c>
      <c r="B2134" s="9" t="s">
        <v>5751</v>
      </c>
      <c r="C2134" s="9" t="s">
        <v>12</v>
      </c>
      <c r="D2134" s="9" t="s">
        <v>5616</v>
      </c>
    </row>
    <row r="2135" ht="15.75" customHeight="1">
      <c r="A2135" s="7" t="s">
        <v>1887</v>
      </c>
      <c r="B2135" s="9" t="s">
        <v>5752</v>
      </c>
      <c r="C2135" s="9" t="s">
        <v>17</v>
      </c>
      <c r="D2135" s="9" t="s">
        <v>836</v>
      </c>
    </row>
    <row r="2136" ht="15.75" customHeight="1">
      <c r="A2136" s="7" t="s">
        <v>1879</v>
      </c>
      <c r="B2136" s="9" t="s">
        <v>5753</v>
      </c>
      <c r="C2136" s="9" t="s">
        <v>17</v>
      </c>
      <c r="D2136" s="9" t="s">
        <v>2668</v>
      </c>
    </row>
    <row r="2137" ht="15.75" customHeight="1">
      <c r="A2137" s="7" t="s">
        <v>1872</v>
      </c>
      <c r="B2137" s="9" t="s">
        <v>5583</v>
      </c>
      <c r="C2137" s="9" t="s">
        <v>17</v>
      </c>
      <c r="D2137" s="9" t="s">
        <v>5754</v>
      </c>
    </row>
    <row r="2138" ht="15.75" customHeight="1">
      <c r="A2138" s="7" t="s">
        <v>1863</v>
      </c>
      <c r="B2138" s="9" t="s">
        <v>4982</v>
      </c>
      <c r="C2138" s="9" t="s">
        <v>17</v>
      </c>
      <c r="D2138" s="9" t="s">
        <v>5755</v>
      </c>
    </row>
    <row r="2139" ht="15.75" customHeight="1">
      <c r="A2139" s="7" t="s">
        <v>1849</v>
      </c>
      <c r="B2139" s="9" t="s">
        <v>5756</v>
      </c>
      <c r="C2139" s="9" t="s">
        <v>1573</v>
      </c>
      <c r="D2139" s="9" t="s">
        <v>1469</v>
      </c>
    </row>
    <row r="2140" ht="15.75" customHeight="1">
      <c r="A2140" s="7" t="s">
        <v>1842</v>
      </c>
      <c r="B2140" s="9" t="s">
        <v>5757</v>
      </c>
      <c r="C2140" s="9" t="s">
        <v>17</v>
      </c>
      <c r="D2140" s="9" t="s">
        <v>5758</v>
      </c>
    </row>
    <row r="2141" ht="15.75" customHeight="1">
      <c r="A2141" s="7" t="s">
        <v>1833</v>
      </c>
      <c r="B2141" s="9" t="s">
        <v>5759</v>
      </c>
      <c r="C2141" s="9" t="s">
        <v>17</v>
      </c>
      <c r="D2141" s="9" t="s">
        <v>328</v>
      </c>
    </row>
    <row r="2142" ht="15.75" customHeight="1">
      <c r="A2142" s="7" t="s">
        <v>1824</v>
      </c>
      <c r="B2142" s="9" t="s">
        <v>5760</v>
      </c>
      <c r="C2142" s="9" t="s">
        <v>12</v>
      </c>
      <c r="D2142" s="9" t="s">
        <v>279</v>
      </c>
    </row>
    <row r="2143" ht="15.75" customHeight="1">
      <c r="A2143" s="7" t="s">
        <v>1813</v>
      </c>
      <c r="B2143" s="9" t="s">
        <v>5761</v>
      </c>
      <c r="C2143" s="9" t="s">
        <v>12</v>
      </c>
      <c r="D2143" s="9" t="s">
        <v>5762</v>
      </c>
    </row>
    <row r="2144" ht="15.75" customHeight="1">
      <c r="A2144" s="7" t="s">
        <v>1803</v>
      </c>
      <c r="B2144" s="9" t="s">
        <v>5763</v>
      </c>
      <c r="C2144" s="9" t="s">
        <v>12</v>
      </c>
      <c r="D2144" s="9" t="s">
        <v>5764</v>
      </c>
    </row>
    <row r="2145" ht="15.75" customHeight="1">
      <c r="A2145" s="7" t="s">
        <v>1794</v>
      </c>
      <c r="B2145" s="9" t="s">
        <v>5765</v>
      </c>
      <c r="C2145" s="9" t="s">
        <v>12</v>
      </c>
      <c r="D2145" s="9" t="s">
        <v>5766</v>
      </c>
    </row>
    <row r="2146" ht="15.75" customHeight="1">
      <c r="A2146" s="7" t="s">
        <v>1782</v>
      </c>
      <c r="B2146" s="9" t="s">
        <v>5767</v>
      </c>
      <c r="C2146" s="9" t="s">
        <v>17</v>
      </c>
      <c r="D2146" s="9" t="s">
        <v>5768</v>
      </c>
    </row>
    <row r="2147" ht="15.75" customHeight="1">
      <c r="A2147" s="7" t="s">
        <v>1773</v>
      </c>
      <c r="B2147" s="9" t="s">
        <v>5769</v>
      </c>
      <c r="C2147" s="9" t="s">
        <v>17</v>
      </c>
      <c r="D2147" s="9" t="s">
        <v>5770</v>
      </c>
    </row>
    <row r="2148" ht="15.75" customHeight="1">
      <c r="A2148" s="7" t="s">
        <v>1764</v>
      </c>
      <c r="B2148" s="9" t="s">
        <v>5771</v>
      </c>
      <c r="C2148" s="9" t="s">
        <v>17</v>
      </c>
      <c r="D2148" s="9" t="s">
        <v>5772</v>
      </c>
    </row>
    <row r="2149" ht="15.75" customHeight="1">
      <c r="A2149" s="7" t="s">
        <v>1752</v>
      </c>
      <c r="B2149" s="9" t="s">
        <v>5773</v>
      </c>
      <c r="C2149" s="9" t="s">
        <v>17</v>
      </c>
      <c r="D2149" s="9" t="s">
        <v>5774</v>
      </c>
    </row>
    <row r="2150" ht="15.75" customHeight="1">
      <c r="A2150" s="7" t="s">
        <v>1741</v>
      </c>
      <c r="B2150" s="9" t="s">
        <v>5775</v>
      </c>
      <c r="C2150" s="9" t="s">
        <v>17</v>
      </c>
      <c r="D2150" s="9" t="s">
        <v>111</v>
      </c>
    </row>
    <row r="2151" ht="15.75" customHeight="1">
      <c r="A2151" s="7" t="s">
        <v>1731</v>
      </c>
      <c r="B2151" s="9" t="s">
        <v>4531</v>
      </c>
      <c r="C2151" s="9" t="s">
        <v>17</v>
      </c>
      <c r="D2151" s="9" t="s">
        <v>5776</v>
      </c>
    </row>
    <row r="2152" ht="15.75" customHeight="1">
      <c r="A2152" s="7" t="s">
        <v>1724</v>
      </c>
      <c r="B2152" s="9" t="s">
        <v>5777</v>
      </c>
      <c r="C2152" s="9" t="s">
        <v>17</v>
      </c>
      <c r="D2152" s="9" t="s">
        <v>5778</v>
      </c>
    </row>
    <row r="2153" ht="15.75" customHeight="1">
      <c r="A2153" s="7" t="s">
        <v>1716</v>
      </c>
      <c r="B2153" s="9" t="s">
        <v>5779</v>
      </c>
      <c r="C2153" s="9" t="s">
        <v>17</v>
      </c>
      <c r="D2153" s="9" t="s">
        <v>5780</v>
      </c>
    </row>
    <row r="2154" ht="15.75" customHeight="1">
      <c r="A2154" s="7" t="s">
        <v>1708</v>
      </c>
      <c r="B2154" s="9" t="s">
        <v>5781</v>
      </c>
      <c r="C2154" s="9" t="s">
        <v>17</v>
      </c>
      <c r="D2154" s="9" t="s">
        <v>5782</v>
      </c>
    </row>
    <row r="2155" ht="15.75" customHeight="1">
      <c r="A2155" s="7" t="s">
        <v>1699</v>
      </c>
      <c r="B2155" s="9" t="s">
        <v>5783</v>
      </c>
      <c r="C2155" s="9" t="s">
        <v>17</v>
      </c>
      <c r="D2155" s="9" t="s">
        <v>5784</v>
      </c>
    </row>
    <row r="2156" ht="15.75" customHeight="1">
      <c r="A2156" s="7" t="s">
        <v>1691</v>
      </c>
      <c r="B2156" s="9" t="s">
        <v>5732</v>
      </c>
      <c r="C2156" s="9" t="s">
        <v>17</v>
      </c>
      <c r="D2156" s="9" t="s">
        <v>5785</v>
      </c>
    </row>
    <row r="2157" ht="15.75" customHeight="1">
      <c r="A2157" s="7" t="s">
        <v>1682</v>
      </c>
      <c r="B2157" s="9" t="s">
        <v>5786</v>
      </c>
      <c r="C2157" s="9" t="s">
        <v>17</v>
      </c>
      <c r="D2157" s="9" t="s">
        <v>5431</v>
      </c>
    </row>
    <row r="2158" ht="15.75" customHeight="1">
      <c r="A2158" s="7" t="s">
        <v>1678</v>
      </c>
      <c r="B2158" s="9" t="s">
        <v>5787</v>
      </c>
      <c r="C2158" s="9" t="s">
        <v>17</v>
      </c>
      <c r="D2158" s="9" t="s">
        <v>43</v>
      </c>
    </row>
    <row r="2159" ht="15.75" customHeight="1">
      <c r="A2159" s="7" t="s">
        <v>1677</v>
      </c>
      <c r="B2159" s="9" t="s">
        <v>5788</v>
      </c>
      <c r="C2159" s="9" t="s">
        <v>12</v>
      </c>
      <c r="D2159" s="9" t="s">
        <v>5789</v>
      </c>
    </row>
    <row r="2160" ht="15.75" customHeight="1">
      <c r="A2160" s="7" t="s">
        <v>1669</v>
      </c>
      <c r="B2160" s="9" t="s">
        <v>5790</v>
      </c>
      <c r="C2160" s="9" t="s">
        <v>12</v>
      </c>
      <c r="D2160" s="9" t="s">
        <v>5202</v>
      </c>
    </row>
    <row r="2161" ht="15.75" customHeight="1">
      <c r="A2161" s="7" t="s">
        <v>1664</v>
      </c>
      <c r="B2161" s="9" t="s">
        <v>5791</v>
      </c>
      <c r="C2161" s="9" t="s">
        <v>12</v>
      </c>
      <c r="D2161" s="9" t="s">
        <v>5792</v>
      </c>
    </row>
    <row r="2162" ht="15.75" customHeight="1">
      <c r="A2162" s="7" t="s">
        <v>1658</v>
      </c>
      <c r="B2162" s="9" t="s">
        <v>5793</v>
      </c>
      <c r="C2162" s="9" t="s">
        <v>12</v>
      </c>
      <c r="D2162" s="9" t="s">
        <v>2471</v>
      </c>
    </row>
    <row r="2163" ht="15.75" customHeight="1">
      <c r="A2163" s="7" t="s">
        <v>1650</v>
      </c>
      <c r="B2163" s="9" t="s">
        <v>5794</v>
      </c>
      <c r="C2163" s="9" t="s">
        <v>12</v>
      </c>
      <c r="D2163" s="9" t="s">
        <v>613</v>
      </c>
    </row>
    <row r="2164" ht="15.75" customHeight="1">
      <c r="A2164" s="7" t="s">
        <v>1642</v>
      </c>
      <c r="B2164" s="9" t="s">
        <v>5795</v>
      </c>
      <c r="C2164" s="9" t="s">
        <v>1573</v>
      </c>
      <c r="D2164" s="9" t="s">
        <v>5796</v>
      </c>
    </row>
    <row r="2165" ht="15.75" customHeight="1">
      <c r="A2165" s="7" t="s">
        <v>1635</v>
      </c>
      <c r="B2165" s="9" t="s">
        <v>281</v>
      </c>
      <c r="C2165" s="9" t="s">
        <v>12</v>
      </c>
      <c r="D2165" s="9" t="s">
        <v>5797</v>
      </c>
    </row>
    <row r="2166" ht="15.75" customHeight="1">
      <c r="A2166" s="7" t="s">
        <v>1623</v>
      </c>
      <c r="B2166" s="9" t="s">
        <v>5798</v>
      </c>
      <c r="C2166" s="9" t="s">
        <v>17</v>
      </c>
      <c r="D2166" s="9" t="s">
        <v>2336</v>
      </c>
    </row>
    <row r="2167" ht="15.75" customHeight="1">
      <c r="A2167" s="7" t="s">
        <v>1616</v>
      </c>
      <c r="B2167" s="9" t="s">
        <v>5799</v>
      </c>
      <c r="C2167" s="9" t="s">
        <v>17</v>
      </c>
      <c r="D2167" s="9" t="s">
        <v>5800</v>
      </c>
    </row>
    <row r="2168" ht="15.75" customHeight="1">
      <c r="A2168" s="7" t="s">
        <v>1608</v>
      </c>
      <c r="B2168" s="9" t="s">
        <v>5801</v>
      </c>
      <c r="C2168" s="9" t="s">
        <v>17</v>
      </c>
      <c r="D2168" s="9" t="s">
        <v>5802</v>
      </c>
    </row>
    <row r="2169" ht="15.75" customHeight="1">
      <c r="A2169" s="7" t="s">
        <v>1599</v>
      </c>
      <c r="B2169" s="9" t="s">
        <v>5803</v>
      </c>
      <c r="C2169" s="9" t="s">
        <v>17</v>
      </c>
      <c r="D2169" s="9" t="s">
        <v>1855</v>
      </c>
    </row>
    <row r="2170" ht="15.75" customHeight="1">
      <c r="A2170" s="7" t="s">
        <v>1593</v>
      </c>
      <c r="B2170" s="9" t="s">
        <v>5804</v>
      </c>
      <c r="C2170" s="9" t="s">
        <v>17</v>
      </c>
      <c r="D2170" s="9" t="s">
        <v>5805</v>
      </c>
    </row>
    <row r="2171" ht="15.75" customHeight="1">
      <c r="A2171" s="7" t="s">
        <v>1588</v>
      </c>
      <c r="B2171" s="9" t="s">
        <v>5806</v>
      </c>
      <c r="C2171" s="9" t="s">
        <v>17</v>
      </c>
      <c r="D2171" s="9" t="s">
        <v>481</v>
      </c>
    </row>
    <row r="2172" ht="15.75" customHeight="1">
      <c r="A2172" s="7" t="s">
        <v>1581</v>
      </c>
      <c r="B2172" s="9" t="s">
        <v>5807</v>
      </c>
      <c r="C2172" s="9" t="s">
        <v>12</v>
      </c>
      <c r="D2172" s="9" t="s">
        <v>3069</v>
      </c>
    </row>
    <row r="2173" ht="15.75" customHeight="1">
      <c r="A2173" s="7" t="s">
        <v>1570</v>
      </c>
      <c r="B2173" s="9" t="s">
        <v>5099</v>
      </c>
      <c r="C2173" s="9" t="s">
        <v>17</v>
      </c>
      <c r="D2173" s="9" t="s">
        <v>506</v>
      </c>
    </row>
    <row r="2174" ht="15.75" customHeight="1">
      <c r="A2174" s="7" t="s">
        <v>1534</v>
      </c>
      <c r="B2174" s="9" t="s">
        <v>5808</v>
      </c>
      <c r="C2174" s="9" t="s">
        <v>17</v>
      </c>
      <c r="D2174" s="9" t="s">
        <v>5809</v>
      </c>
    </row>
    <row r="2175" ht="15.75" customHeight="1">
      <c r="A2175" s="7" t="s">
        <v>1528</v>
      </c>
      <c r="B2175" s="9" t="s">
        <v>3580</v>
      </c>
      <c r="C2175" s="9" t="s">
        <v>12</v>
      </c>
      <c r="D2175" s="9" t="s">
        <v>5810</v>
      </c>
    </row>
    <row r="2176" ht="15.75" customHeight="1">
      <c r="A2176" s="7" t="s">
        <v>1521</v>
      </c>
      <c r="B2176" s="9" t="s">
        <v>5811</v>
      </c>
      <c r="C2176" s="9" t="s">
        <v>17</v>
      </c>
      <c r="D2176" s="9" t="s">
        <v>5812</v>
      </c>
    </row>
    <row r="2177" ht="15.75" customHeight="1">
      <c r="A2177" s="7" t="s">
        <v>1515</v>
      </c>
      <c r="B2177" s="9" t="s">
        <v>739</v>
      </c>
      <c r="C2177" s="9" t="s">
        <v>12</v>
      </c>
      <c r="D2177" s="9" t="s">
        <v>5813</v>
      </c>
    </row>
    <row r="2178" ht="15.75" customHeight="1">
      <c r="A2178" s="7" t="s">
        <v>1509</v>
      </c>
      <c r="B2178" s="9" t="s">
        <v>710</v>
      </c>
      <c r="C2178" s="9" t="s">
        <v>12</v>
      </c>
      <c r="D2178" s="9" t="s">
        <v>5814</v>
      </c>
    </row>
    <row r="2179" ht="15.75" customHeight="1">
      <c r="A2179" s="7" t="s">
        <v>1502</v>
      </c>
      <c r="B2179" s="9" t="s">
        <v>2125</v>
      </c>
      <c r="C2179" s="9" t="s">
        <v>12</v>
      </c>
      <c r="D2179" s="9" t="s">
        <v>1141</v>
      </c>
    </row>
    <row r="2180" ht="15.75" customHeight="1">
      <c r="A2180" s="7" t="s">
        <v>1498</v>
      </c>
      <c r="B2180" s="9" t="s">
        <v>5815</v>
      </c>
      <c r="C2180" s="9" t="s">
        <v>12</v>
      </c>
      <c r="D2180" s="9" t="s">
        <v>5816</v>
      </c>
    </row>
    <row r="2181" ht="15.75" customHeight="1">
      <c r="A2181" s="7" t="s">
        <v>1492</v>
      </c>
      <c r="B2181" s="9" t="s">
        <v>3696</v>
      </c>
      <c r="C2181" s="9" t="s">
        <v>12</v>
      </c>
      <c r="D2181" s="9" t="s">
        <v>1069</v>
      </c>
    </row>
    <row r="2182" ht="15.75" customHeight="1">
      <c r="A2182" s="7" t="s">
        <v>1486</v>
      </c>
      <c r="B2182" s="9" t="s">
        <v>5817</v>
      </c>
      <c r="C2182" s="9" t="s">
        <v>12</v>
      </c>
      <c r="D2182" s="9" t="s">
        <v>5818</v>
      </c>
    </row>
    <row r="2183" ht="15.75" customHeight="1">
      <c r="A2183" s="7" t="s">
        <v>1481</v>
      </c>
      <c r="B2183" s="9" t="s">
        <v>5819</v>
      </c>
      <c r="C2183" s="9" t="s">
        <v>12</v>
      </c>
      <c r="D2183" s="9" t="s">
        <v>1134</v>
      </c>
    </row>
    <row r="2184" ht="15.75" customHeight="1">
      <c r="A2184" s="7" t="s">
        <v>1475</v>
      </c>
      <c r="B2184" s="9" t="s">
        <v>1251</v>
      </c>
      <c r="C2184" s="9" t="s">
        <v>17</v>
      </c>
      <c r="D2184" s="9" t="s">
        <v>5300</v>
      </c>
    </row>
    <row r="2185" ht="15.75" customHeight="1">
      <c r="A2185" s="7" t="s">
        <v>1471</v>
      </c>
      <c r="B2185" s="9" t="s">
        <v>5820</v>
      </c>
      <c r="C2185" s="9" t="s">
        <v>17</v>
      </c>
      <c r="D2185" s="9" t="s">
        <v>5821</v>
      </c>
    </row>
    <row r="2186" ht="15.75" customHeight="1">
      <c r="A2186" s="7" t="s">
        <v>1464</v>
      </c>
      <c r="B2186" s="9" t="s">
        <v>5822</v>
      </c>
      <c r="C2186" s="9" t="s">
        <v>17</v>
      </c>
      <c r="D2186" s="9" t="s">
        <v>830</v>
      </c>
    </row>
    <row r="2187" ht="15.75" customHeight="1">
      <c r="A2187" s="7" t="s">
        <v>1459</v>
      </c>
      <c r="B2187" s="9" t="s">
        <v>1766</v>
      </c>
      <c r="C2187" s="9" t="s">
        <v>17</v>
      </c>
      <c r="D2187" s="9" t="s">
        <v>5823</v>
      </c>
    </row>
    <row r="2188" ht="15.75" customHeight="1">
      <c r="A2188" s="7" t="s">
        <v>1454</v>
      </c>
      <c r="B2188" s="9" t="s">
        <v>5824</v>
      </c>
      <c r="C2188" s="9" t="s">
        <v>17</v>
      </c>
      <c r="D2188" s="9" t="s">
        <v>39</v>
      </c>
    </row>
    <row r="2189" ht="15.75" customHeight="1">
      <c r="A2189" s="7" t="s">
        <v>1450</v>
      </c>
      <c r="B2189" s="9" t="s">
        <v>5825</v>
      </c>
      <c r="C2189" s="9" t="s">
        <v>17</v>
      </c>
      <c r="D2189" s="9" t="s">
        <v>291</v>
      </c>
    </row>
    <row r="2190" ht="15.75" customHeight="1">
      <c r="A2190" s="7" t="s">
        <v>1445</v>
      </c>
      <c r="B2190" s="9" t="s">
        <v>4284</v>
      </c>
      <c r="C2190" s="9" t="s">
        <v>17</v>
      </c>
      <c r="D2190" s="9" t="s">
        <v>5826</v>
      </c>
    </row>
    <row r="2191" ht="15.75" customHeight="1">
      <c r="A2191" s="7" t="s">
        <v>1440</v>
      </c>
      <c r="B2191" s="9" t="s">
        <v>5827</v>
      </c>
      <c r="C2191" s="9" t="s">
        <v>17</v>
      </c>
      <c r="D2191" s="9" t="s">
        <v>5828</v>
      </c>
    </row>
    <row r="2192" ht="15.75" customHeight="1">
      <c r="A2192" s="7" t="s">
        <v>1436</v>
      </c>
      <c r="B2192" s="9" t="s">
        <v>704</v>
      </c>
      <c r="C2192" s="9" t="s">
        <v>17</v>
      </c>
      <c r="D2192" s="9" t="s">
        <v>5829</v>
      </c>
    </row>
    <row r="2193" ht="15.75" customHeight="1">
      <c r="A2193" s="7" t="s">
        <v>1430</v>
      </c>
      <c r="B2193" s="9" t="s">
        <v>5830</v>
      </c>
      <c r="C2193" s="9" t="s">
        <v>17</v>
      </c>
      <c r="D2193" s="9" t="s">
        <v>5831</v>
      </c>
    </row>
    <row r="2194" ht="15.75" customHeight="1">
      <c r="A2194" s="7" t="s">
        <v>1424</v>
      </c>
      <c r="B2194" s="9" t="s">
        <v>5205</v>
      </c>
      <c r="C2194" s="9" t="s">
        <v>17</v>
      </c>
      <c r="D2194" s="9" t="s">
        <v>5832</v>
      </c>
    </row>
    <row r="2195" ht="15.75" customHeight="1">
      <c r="A2195" s="7" t="s">
        <v>1416</v>
      </c>
      <c r="B2195" s="9" t="s">
        <v>1968</v>
      </c>
      <c r="C2195" s="9" t="s">
        <v>17</v>
      </c>
      <c r="D2195" s="9" t="s">
        <v>5833</v>
      </c>
    </row>
    <row r="2196" ht="15.75" customHeight="1">
      <c r="A2196" s="7" t="s">
        <v>1409</v>
      </c>
      <c r="B2196" s="9" t="s">
        <v>5834</v>
      </c>
      <c r="C2196" s="9" t="s">
        <v>17</v>
      </c>
      <c r="D2196" s="9" t="s">
        <v>5835</v>
      </c>
    </row>
    <row r="2197" ht="15.75" customHeight="1">
      <c r="A2197" s="7" t="s">
        <v>1405</v>
      </c>
      <c r="B2197" s="9" t="s">
        <v>1662</v>
      </c>
      <c r="C2197" s="9" t="s">
        <v>17</v>
      </c>
      <c r="D2197" s="9" t="s">
        <v>5836</v>
      </c>
    </row>
    <row r="2198" ht="15.75" customHeight="1">
      <c r="A2198" s="7" t="s">
        <v>1401</v>
      </c>
      <c r="B2198" s="9" t="s">
        <v>5837</v>
      </c>
      <c r="C2198" s="9" t="s">
        <v>17</v>
      </c>
      <c r="D2198" s="9" t="s">
        <v>5838</v>
      </c>
    </row>
    <row r="2199" ht="15.75" customHeight="1">
      <c r="A2199" s="7" t="s">
        <v>1396</v>
      </c>
      <c r="B2199" s="9" t="s">
        <v>5839</v>
      </c>
      <c r="C2199" s="9" t="s">
        <v>17</v>
      </c>
      <c r="D2199" s="9" t="s">
        <v>183</v>
      </c>
    </row>
    <row r="2200" ht="15.75" customHeight="1">
      <c r="A2200" s="7" t="s">
        <v>1392</v>
      </c>
      <c r="B2200" s="9" t="s">
        <v>5840</v>
      </c>
      <c r="C2200" s="9" t="s">
        <v>17</v>
      </c>
      <c r="D2200" s="9" t="s">
        <v>5841</v>
      </c>
    </row>
    <row r="2201" ht="15.75" customHeight="1">
      <c r="A2201" s="7" t="s">
        <v>1388</v>
      </c>
      <c r="B2201" s="9" t="s">
        <v>5842</v>
      </c>
      <c r="C2201" s="9" t="s">
        <v>17</v>
      </c>
      <c r="D2201" s="9" t="s">
        <v>5468</v>
      </c>
    </row>
    <row r="2202" ht="15.75" customHeight="1">
      <c r="A2202" s="7" t="s">
        <v>1384</v>
      </c>
      <c r="B2202" s="9" t="s">
        <v>5843</v>
      </c>
      <c r="C2202" s="9" t="s">
        <v>17</v>
      </c>
      <c r="D2202" s="9" t="s">
        <v>5844</v>
      </c>
    </row>
    <row r="2203" ht="15.75" customHeight="1">
      <c r="A2203" s="7" t="s">
        <v>1380</v>
      </c>
      <c r="B2203" s="9" t="s">
        <v>5845</v>
      </c>
      <c r="C2203" s="9" t="s">
        <v>17</v>
      </c>
      <c r="D2203" s="9" t="s">
        <v>599</v>
      </c>
    </row>
    <row r="2204" ht="15.75" customHeight="1">
      <c r="A2204" s="7" t="s">
        <v>1376</v>
      </c>
      <c r="B2204" s="9" t="s">
        <v>5846</v>
      </c>
      <c r="C2204" s="9" t="s">
        <v>12</v>
      </c>
      <c r="D2204" s="9" t="s">
        <v>5847</v>
      </c>
    </row>
    <row r="2205" ht="15.75" customHeight="1">
      <c r="A2205" s="7" t="s">
        <v>1371</v>
      </c>
      <c r="B2205" s="9" t="s">
        <v>5848</v>
      </c>
      <c r="C2205" s="9" t="s">
        <v>12</v>
      </c>
      <c r="D2205" s="9" t="s">
        <v>5849</v>
      </c>
    </row>
    <row r="2206" ht="15.75" customHeight="1">
      <c r="A2206" s="7" t="s">
        <v>1369</v>
      </c>
      <c r="B2206" s="9" t="s">
        <v>5850</v>
      </c>
      <c r="C2206" s="9" t="s">
        <v>12</v>
      </c>
      <c r="D2206" s="9" t="s">
        <v>5851</v>
      </c>
    </row>
    <row r="2207" ht="15.75" customHeight="1">
      <c r="A2207" s="7" t="s">
        <v>1364</v>
      </c>
      <c r="B2207" s="9" t="s">
        <v>5852</v>
      </c>
      <c r="C2207" s="9" t="s">
        <v>17</v>
      </c>
      <c r="D2207" s="9" t="s">
        <v>5853</v>
      </c>
    </row>
    <row r="2208" ht="15.75" customHeight="1">
      <c r="A2208" s="7" t="s">
        <v>1358</v>
      </c>
      <c r="B2208" s="9" t="s">
        <v>5854</v>
      </c>
      <c r="C2208" s="9" t="s">
        <v>17</v>
      </c>
      <c r="D2208" s="9" t="s">
        <v>4622</v>
      </c>
    </row>
    <row r="2209" ht="15.75" customHeight="1">
      <c r="A2209" s="7" t="s">
        <v>1354</v>
      </c>
      <c r="B2209" s="9" t="s">
        <v>5855</v>
      </c>
      <c r="C2209" s="9" t="s">
        <v>12</v>
      </c>
      <c r="D2209" s="9" t="s">
        <v>5856</v>
      </c>
    </row>
    <row r="2210" ht="15.75" customHeight="1">
      <c r="A2210" s="7" t="s">
        <v>1350</v>
      </c>
      <c r="B2210" s="9" t="s">
        <v>5857</v>
      </c>
      <c r="C2210" s="9" t="s">
        <v>12</v>
      </c>
      <c r="D2210" s="9" t="s">
        <v>5858</v>
      </c>
    </row>
    <row r="2211" ht="15.75" customHeight="1">
      <c r="A2211" s="7" t="s">
        <v>1346</v>
      </c>
      <c r="B2211" s="9" t="s">
        <v>247</v>
      </c>
      <c r="C2211" s="9" t="s">
        <v>12</v>
      </c>
      <c r="D2211" s="9" t="s">
        <v>82</v>
      </c>
    </row>
    <row r="2212" ht="15.75" customHeight="1">
      <c r="A2212" s="7" t="s">
        <v>1340</v>
      </c>
      <c r="B2212" s="9" t="s">
        <v>5859</v>
      </c>
      <c r="C2212" s="9" t="s">
        <v>17</v>
      </c>
      <c r="D2212" s="9" t="s">
        <v>1323</v>
      </c>
    </row>
    <row r="2213" ht="15.75" customHeight="1">
      <c r="A2213" s="7" t="s">
        <v>1336</v>
      </c>
      <c r="B2213" s="9" t="s">
        <v>5289</v>
      </c>
      <c r="C2213" s="9" t="s">
        <v>17</v>
      </c>
      <c r="D2213" s="9" t="s">
        <v>4622</v>
      </c>
    </row>
    <row r="2214" ht="15.75" customHeight="1">
      <c r="A2214" s="7" t="s">
        <v>1331</v>
      </c>
      <c r="B2214" s="9" t="s">
        <v>5860</v>
      </c>
      <c r="C2214" s="9" t="s">
        <v>17</v>
      </c>
      <c r="D2214" s="9" t="s">
        <v>1335</v>
      </c>
    </row>
    <row r="2215" ht="15.75" customHeight="1">
      <c r="A2215" s="7" t="s">
        <v>1324</v>
      </c>
      <c r="B2215" s="9" t="s">
        <v>5861</v>
      </c>
      <c r="C2215" s="9" t="s">
        <v>12</v>
      </c>
      <c r="D2215" s="9" t="s">
        <v>5862</v>
      </c>
    </row>
    <row r="2216" ht="15.75" customHeight="1">
      <c r="A2216" s="7" t="s">
        <v>1316</v>
      </c>
      <c r="B2216" s="9" t="s">
        <v>5863</v>
      </c>
      <c r="C2216" s="9" t="s">
        <v>12</v>
      </c>
      <c r="D2216" s="9" t="s">
        <v>1374</v>
      </c>
    </row>
    <row r="2217" ht="15.75" customHeight="1">
      <c r="A2217" s="7" t="s">
        <v>1309</v>
      </c>
      <c r="B2217" s="9" t="s">
        <v>1198</v>
      </c>
      <c r="C2217" s="9" t="s">
        <v>17</v>
      </c>
      <c r="D2217" s="9" t="s">
        <v>5864</v>
      </c>
    </row>
    <row r="2218" ht="15.75" customHeight="1">
      <c r="A2218" s="7" t="s">
        <v>1304</v>
      </c>
      <c r="B2218" s="9" t="s">
        <v>229</v>
      </c>
      <c r="C2218" s="9" t="s">
        <v>12</v>
      </c>
      <c r="D2218" s="9" t="s">
        <v>5865</v>
      </c>
    </row>
    <row r="2219" ht="15.75" customHeight="1">
      <c r="A2219" s="7" t="s">
        <v>1298</v>
      </c>
      <c r="B2219" s="9" t="s">
        <v>5866</v>
      </c>
      <c r="C2219" s="9" t="s">
        <v>12</v>
      </c>
      <c r="D2219" s="9" t="s">
        <v>2376</v>
      </c>
    </row>
    <row r="2220" ht="15.75" customHeight="1">
      <c r="A2220" s="7" t="s">
        <v>1292</v>
      </c>
      <c r="B2220" s="9" t="s">
        <v>5867</v>
      </c>
      <c r="C2220" s="9" t="s">
        <v>12</v>
      </c>
      <c r="D2220" s="9" t="s">
        <v>749</v>
      </c>
    </row>
    <row r="2221" ht="15.75" customHeight="1">
      <c r="A2221" s="7" t="s">
        <v>1287</v>
      </c>
      <c r="B2221" s="9" t="s">
        <v>5868</v>
      </c>
      <c r="C2221" s="9" t="s">
        <v>12</v>
      </c>
      <c r="D2221" s="9" t="s">
        <v>5869</v>
      </c>
    </row>
    <row r="2222" ht="15.75" customHeight="1">
      <c r="A2222" s="7" t="s">
        <v>1282</v>
      </c>
      <c r="B2222" s="9" t="s">
        <v>5870</v>
      </c>
      <c r="C2222" s="9" t="s">
        <v>17</v>
      </c>
      <c r="D2222" s="9" t="s">
        <v>468</v>
      </c>
    </row>
    <row r="2223" ht="15.75" customHeight="1">
      <c r="A2223" s="7" t="s">
        <v>1276</v>
      </c>
      <c r="B2223" s="9" t="s">
        <v>5871</v>
      </c>
      <c r="C2223" s="9" t="s">
        <v>17</v>
      </c>
      <c r="D2223" s="9" t="s">
        <v>3358</v>
      </c>
    </row>
    <row r="2224" ht="15.75" customHeight="1">
      <c r="A2224" s="7" t="s">
        <v>1271</v>
      </c>
      <c r="B2224" s="9" t="s">
        <v>1558</v>
      </c>
      <c r="C2224" s="9" t="s">
        <v>17</v>
      </c>
      <c r="D2224" s="9" t="s">
        <v>1212</v>
      </c>
    </row>
    <row r="2225" ht="15.75" customHeight="1">
      <c r="A2225" s="7" t="s">
        <v>1266</v>
      </c>
      <c r="B2225" s="9" t="s">
        <v>5872</v>
      </c>
      <c r="C2225" s="9" t="s">
        <v>17</v>
      </c>
      <c r="D2225" s="9" t="s">
        <v>3358</v>
      </c>
    </row>
    <row r="2226" ht="15.75" customHeight="1">
      <c r="A2226" s="7" t="s">
        <v>1261</v>
      </c>
      <c r="B2226" s="9" t="s">
        <v>5293</v>
      </c>
      <c r="C2226" s="9" t="s">
        <v>17</v>
      </c>
      <c r="D2226" s="9" t="s">
        <v>5873</v>
      </c>
    </row>
    <row r="2227" ht="15.75" customHeight="1">
      <c r="A2227" s="7" t="s">
        <v>1259</v>
      </c>
      <c r="B2227" s="9" t="s">
        <v>2393</v>
      </c>
      <c r="C2227" s="9" t="s">
        <v>12</v>
      </c>
      <c r="D2227" s="9" t="s">
        <v>807</v>
      </c>
    </row>
    <row r="2228" ht="15.75" customHeight="1">
      <c r="A2228" s="7" t="s">
        <v>1255</v>
      </c>
      <c r="B2228" s="9" t="s">
        <v>4366</v>
      </c>
      <c r="C2228" s="9" t="s">
        <v>12</v>
      </c>
      <c r="D2228" s="9" t="s">
        <v>4121</v>
      </c>
    </row>
    <row r="2229" ht="15.75" customHeight="1">
      <c r="A2229" s="7" t="s">
        <v>1250</v>
      </c>
      <c r="B2229" s="9" t="s">
        <v>5874</v>
      </c>
      <c r="C2229" s="9" t="s">
        <v>12</v>
      </c>
      <c r="D2229" s="9" t="s">
        <v>5875</v>
      </c>
    </row>
    <row r="2230" ht="15.75" customHeight="1">
      <c r="A2230" s="7" t="s">
        <v>1246</v>
      </c>
      <c r="B2230" s="9" t="s">
        <v>5876</v>
      </c>
      <c r="C2230" s="9" t="s">
        <v>12</v>
      </c>
      <c r="D2230" s="9" t="s">
        <v>5877</v>
      </c>
    </row>
    <row r="2231" ht="15.75" customHeight="1">
      <c r="A2231" s="7" t="s">
        <v>1241</v>
      </c>
      <c r="B2231" s="9" t="s">
        <v>967</v>
      </c>
      <c r="C2231" s="9" t="s">
        <v>17</v>
      </c>
      <c r="D2231" s="9" t="s">
        <v>5878</v>
      </c>
    </row>
    <row r="2232" ht="15.75" customHeight="1">
      <c r="A2232" s="7" t="s">
        <v>1237</v>
      </c>
      <c r="B2232" s="9" t="s">
        <v>5879</v>
      </c>
      <c r="C2232" s="9" t="s">
        <v>12</v>
      </c>
      <c r="D2232" s="9" t="s">
        <v>5880</v>
      </c>
    </row>
    <row r="2233" ht="15.75" customHeight="1">
      <c r="A2233" s="7" t="s">
        <v>1234</v>
      </c>
      <c r="B2233" s="9" t="s">
        <v>5881</v>
      </c>
      <c r="C2233" s="9" t="s">
        <v>12</v>
      </c>
      <c r="D2233" s="9" t="s">
        <v>5882</v>
      </c>
    </row>
    <row r="2234" ht="15.75" customHeight="1">
      <c r="A2234" s="7" t="s">
        <v>1230</v>
      </c>
      <c r="B2234" s="9" t="s">
        <v>5883</v>
      </c>
      <c r="C2234" s="9" t="s">
        <v>12</v>
      </c>
      <c r="D2234" s="9" t="s">
        <v>5884</v>
      </c>
    </row>
    <row r="2235" ht="15.75" customHeight="1">
      <c r="A2235" s="7" t="s">
        <v>1222</v>
      </c>
      <c r="B2235" s="9" t="s">
        <v>3473</v>
      </c>
      <c r="C2235" s="9" t="s">
        <v>17</v>
      </c>
      <c r="D2235" s="9" t="s">
        <v>39</v>
      </c>
    </row>
    <row r="2236" ht="15.75" customHeight="1">
      <c r="A2236" s="7" t="s">
        <v>1219</v>
      </c>
      <c r="B2236" s="9" t="s">
        <v>5885</v>
      </c>
      <c r="C2236" s="9" t="s">
        <v>17</v>
      </c>
      <c r="D2236" s="9" t="s">
        <v>93</v>
      </c>
    </row>
    <row r="2237" ht="15.75" customHeight="1">
      <c r="A2237" s="7" t="s">
        <v>1215</v>
      </c>
      <c r="B2237" s="9" t="s">
        <v>5886</v>
      </c>
      <c r="C2237" s="9" t="s">
        <v>17</v>
      </c>
      <c r="D2237" s="9" t="s">
        <v>5887</v>
      </c>
    </row>
    <row r="2238" ht="15.75" customHeight="1">
      <c r="A2238" s="7" t="s">
        <v>1208</v>
      </c>
      <c r="B2238" s="9" t="s">
        <v>5888</v>
      </c>
      <c r="C2238" s="9" t="s">
        <v>17</v>
      </c>
      <c r="D2238" s="9" t="s">
        <v>5287</v>
      </c>
    </row>
    <row r="2239" ht="15.75" customHeight="1">
      <c r="A2239" s="7" t="s">
        <v>1205</v>
      </c>
      <c r="B2239" s="9" t="s">
        <v>5889</v>
      </c>
      <c r="C2239" s="9" t="s">
        <v>17</v>
      </c>
      <c r="D2239" s="9" t="s">
        <v>5890</v>
      </c>
    </row>
    <row r="2240" ht="15.75" customHeight="1">
      <c r="A2240" s="7" t="s">
        <v>1200</v>
      </c>
      <c r="B2240" s="9" t="s">
        <v>239</v>
      </c>
      <c r="C2240" s="9" t="s">
        <v>17</v>
      </c>
      <c r="D2240" s="9" t="s">
        <v>5891</v>
      </c>
    </row>
    <row r="2241" ht="15.75" customHeight="1">
      <c r="A2241" s="7" t="s">
        <v>1195</v>
      </c>
      <c r="B2241" s="9" t="s">
        <v>5892</v>
      </c>
      <c r="C2241" s="9" t="s">
        <v>12</v>
      </c>
      <c r="D2241" s="9" t="s">
        <v>5893</v>
      </c>
    </row>
    <row r="2242" ht="15.75" customHeight="1">
      <c r="A2242" s="7" t="s">
        <v>1191</v>
      </c>
      <c r="B2242" s="9" t="s">
        <v>5894</v>
      </c>
      <c r="C2242" s="9" t="s">
        <v>12</v>
      </c>
      <c r="D2242" s="9" t="s">
        <v>334</v>
      </c>
    </row>
    <row r="2243" ht="15.75" customHeight="1">
      <c r="A2243" s="7" t="s">
        <v>1185</v>
      </c>
      <c r="B2243" s="9" t="s">
        <v>5895</v>
      </c>
      <c r="C2243" s="9" t="s">
        <v>12</v>
      </c>
      <c r="D2243" s="9" t="s">
        <v>5896</v>
      </c>
    </row>
    <row r="2244" ht="15.75" customHeight="1">
      <c r="A2244" s="7" t="s">
        <v>1180</v>
      </c>
      <c r="B2244" s="9" t="s">
        <v>2938</v>
      </c>
      <c r="C2244" s="9" t="s">
        <v>17</v>
      </c>
      <c r="D2244" s="9" t="s">
        <v>1343</v>
      </c>
    </row>
    <row r="2245" ht="15.75" customHeight="1">
      <c r="A2245" s="7" t="s">
        <v>1174</v>
      </c>
      <c r="B2245" s="9" t="s">
        <v>5897</v>
      </c>
      <c r="C2245" s="9" t="s">
        <v>17</v>
      </c>
      <c r="D2245" s="9" t="s">
        <v>342</v>
      </c>
    </row>
    <row r="2246" ht="15.75" customHeight="1">
      <c r="A2246" s="7" t="s">
        <v>1171</v>
      </c>
      <c r="B2246" s="9" t="s">
        <v>2125</v>
      </c>
      <c r="C2246" s="9" t="s">
        <v>12</v>
      </c>
      <c r="D2246" s="9" t="s">
        <v>4618</v>
      </c>
    </row>
    <row r="2247" ht="15.75" customHeight="1">
      <c r="A2247" s="7" t="s">
        <v>1165</v>
      </c>
      <c r="B2247" s="9" t="s">
        <v>5898</v>
      </c>
      <c r="C2247" s="9" t="s">
        <v>12</v>
      </c>
      <c r="D2247" s="9" t="s">
        <v>2495</v>
      </c>
    </row>
    <row r="2248" ht="15.75" customHeight="1">
      <c r="A2248" s="7" t="s">
        <v>1159</v>
      </c>
      <c r="B2248" s="9" t="s">
        <v>5899</v>
      </c>
      <c r="C2248" s="9" t="s">
        <v>12</v>
      </c>
      <c r="D2248" s="9" t="s">
        <v>334</v>
      </c>
    </row>
    <row r="2249" ht="15.75" customHeight="1">
      <c r="A2249" s="7" t="s">
        <v>1154</v>
      </c>
      <c r="B2249" s="9" t="s">
        <v>5900</v>
      </c>
      <c r="C2249" s="9" t="s">
        <v>17</v>
      </c>
      <c r="D2249" s="9" t="s">
        <v>5901</v>
      </c>
    </row>
    <row r="2250" ht="15.75" customHeight="1">
      <c r="A2250" s="7" t="s">
        <v>1147</v>
      </c>
      <c r="B2250" s="9" t="s">
        <v>5902</v>
      </c>
      <c r="C2250" s="9" t="s">
        <v>17</v>
      </c>
      <c r="D2250" s="9" t="s">
        <v>1674</v>
      </c>
    </row>
    <row r="2251" ht="15.75" customHeight="1">
      <c r="A2251" s="7" t="s">
        <v>1142</v>
      </c>
      <c r="B2251" s="9" t="s">
        <v>5903</v>
      </c>
      <c r="C2251" s="9" t="s">
        <v>12</v>
      </c>
      <c r="D2251" s="9" t="s">
        <v>1884</v>
      </c>
    </row>
    <row r="2252" ht="15.75" customHeight="1">
      <c r="A2252" s="7" t="s">
        <v>1136</v>
      </c>
      <c r="B2252" s="9" t="s">
        <v>5904</v>
      </c>
      <c r="C2252" s="9" t="s">
        <v>12</v>
      </c>
      <c r="D2252" s="9" t="s">
        <v>122</v>
      </c>
    </row>
    <row r="2253" ht="15.75" customHeight="1">
      <c r="A2253" s="7" t="s">
        <v>1131</v>
      </c>
      <c r="B2253" s="9" t="s">
        <v>5905</v>
      </c>
      <c r="C2253" s="9" t="s">
        <v>17</v>
      </c>
      <c r="D2253" s="9" t="s">
        <v>1335</v>
      </c>
    </row>
    <row r="2254" ht="15.75" customHeight="1">
      <c r="A2254" s="7" t="s">
        <v>1128</v>
      </c>
      <c r="B2254" s="9" t="s">
        <v>5906</v>
      </c>
      <c r="C2254" s="9" t="s">
        <v>12</v>
      </c>
      <c r="D2254" s="9" t="s">
        <v>5907</v>
      </c>
    </row>
    <row r="2255" ht="15.75" customHeight="1">
      <c r="A2255" s="7" t="s">
        <v>1123</v>
      </c>
      <c r="B2255" s="9" t="s">
        <v>5908</v>
      </c>
      <c r="C2255" s="9" t="s">
        <v>12</v>
      </c>
      <c r="D2255" s="9" t="s">
        <v>3341</v>
      </c>
    </row>
    <row r="2256" ht="15.75" customHeight="1">
      <c r="A2256" s="7" t="s">
        <v>1117</v>
      </c>
      <c r="B2256" s="9" t="s">
        <v>5909</v>
      </c>
      <c r="C2256" s="9" t="s">
        <v>12</v>
      </c>
      <c r="D2256" s="9" t="s">
        <v>5910</v>
      </c>
    </row>
    <row r="2257" ht="15.75" customHeight="1">
      <c r="A2257" s="7" t="s">
        <v>1112</v>
      </c>
      <c r="B2257" s="9" t="s">
        <v>239</v>
      </c>
      <c r="C2257" s="9" t="s">
        <v>17</v>
      </c>
      <c r="D2257" s="9" t="s">
        <v>5911</v>
      </c>
    </row>
    <row r="2258" ht="15.75" customHeight="1">
      <c r="A2258" s="7" t="s">
        <v>1106</v>
      </c>
      <c r="B2258" s="9" t="s">
        <v>5912</v>
      </c>
      <c r="C2258" s="9" t="s">
        <v>17</v>
      </c>
      <c r="D2258" s="9" t="s">
        <v>5913</v>
      </c>
    </row>
    <row r="2259" ht="15.75" customHeight="1">
      <c r="A2259" s="7" t="s">
        <v>1099</v>
      </c>
      <c r="B2259" s="9" t="s">
        <v>5914</v>
      </c>
      <c r="C2259" s="9" t="s">
        <v>17</v>
      </c>
      <c r="D2259" s="9" t="s">
        <v>5915</v>
      </c>
    </row>
    <row r="2260" ht="15.75" customHeight="1">
      <c r="A2260" s="7" t="s">
        <v>1094</v>
      </c>
      <c r="B2260" s="9" t="s">
        <v>5916</v>
      </c>
      <c r="C2260" s="9" t="s">
        <v>17</v>
      </c>
      <c r="D2260" s="9" t="s">
        <v>5917</v>
      </c>
    </row>
    <row r="2261" ht="15.75" customHeight="1">
      <c r="A2261" s="7" t="s">
        <v>1089</v>
      </c>
      <c r="B2261" s="9" t="s">
        <v>5918</v>
      </c>
      <c r="C2261" s="9" t="s">
        <v>17</v>
      </c>
      <c r="D2261" s="9" t="s">
        <v>753</v>
      </c>
    </row>
    <row r="2262" ht="15.75" customHeight="1">
      <c r="A2262" s="7" t="s">
        <v>1083</v>
      </c>
      <c r="B2262" s="9" t="s">
        <v>5919</v>
      </c>
      <c r="C2262" s="9" t="s">
        <v>12</v>
      </c>
      <c r="D2262" s="9" t="s">
        <v>273</v>
      </c>
    </row>
    <row r="2263" ht="15.75" customHeight="1">
      <c r="A2263" s="7" t="s">
        <v>1079</v>
      </c>
      <c r="B2263" s="9" t="s">
        <v>5920</v>
      </c>
      <c r="C2263" s="9" t="s">
        <v>17</v>
      </c>
      <c r="D2263" s="9" t="s">
        <v>236</v>
      </c>
    </row>
    <row r="2264" ht="15.75" customHeight="1">
      <c r="A2264" s="7" t="s">
        <v>1074</v>
      </c>
      <c r="B2264" s="9" t="s">
        <v>5921</v>
      </c>
      <c r="C2264" s="9" t="s">
        <v>17</v>
      </c>
      <c r="D2264" s="9" t="s">
        <v>683</v>
      </c>
    </row>
    <row r="2265" ht="15.75" customHeight="1">
      <c r="A2265" s="7" t="s">
        <v>1070</v>
      </c>
      <c r="B2265" s="9" t="s">
        <v>5922</v>
      </c>
      <c r="C2265" s="9" t="s">
        <v>17</v>
      </c>
      <c r="D2265" s="9" t="s">
        <v>5923</v>
      </c>
    </row>
    <row r="2266" ht="15.75" customHeight="1">
      <c r="A2266" s="7" t="s">
        <v>1065</v>
      </c>
      <c r="B2266" s="9" t="s">
        <v>5068</v>
      </c>
      <c r="C2266" s="9" t="s">
        <v>17</v>
      </c>
      <c r="D2266" s="9" t="s">
        <v>516</v>
      </c>
    </row>
    <row r="2267" ht="15.75" customHeight="1">
      <c r="A2267" s="7" t="s">
        <v>1060</v>
      </c>
      <c r="B2267" s="9" t="s">
        <v>5924</v>
      </c>
      <c r="C2267" s="9" t="s">
        <v>12</v>
      </c>
      <c r="D2267" s="9" t="s">
        <v>3625</v>
      </c>
    </row>
    <row r="2268" ht="15.75" customHeight="1">
      <c r="A2268" s="7" t="s">
        <v>1053</v>
      </c>
      <c r="B2268" s="9" t="s">
        <v>5925</v>
      </c>
      <c r="C2268" s="9" t="s">
        <v>12</v>
      </c>
      <c r="D2268" s="9" t="s">
        <v>1705</v>
      </c>
    </row>
    <row r="2269" ht="15.75" customHeight="1">
      <c r="A2269" s="7" t="s">
        <v>1045</v>
      </c>
      <c r="B2269" s="9" t="s">
        <v>5926</v>
      </c>
      <c r="C2269" s="9" t="s">
        <v>12</v>
      </c>
      <c r="D2269" s="9" t="s">
        <v>5927</v>
      </c>
    </row>
    <row r="2270" ht="15.75" customHeight="1">
      <c r="A2270" s="7" t="s">
        <v>1041</v>
      </c>
      <c r="B2270" s="9" t="s">
        <v>444</v>
      </c>
      <c r="C2270" s="9" t="s">
        <v>12</v>
      </c>
      <c r="D2270" s="9" t="s">
        <v>5928</v>
      </c>
    </row>
    <row r="2271" ht="15.75" customHeight="1">
      <c r="A2271" s="7" t="s">
        <v>1035</v>
      </c>
      <c r="B2271" s="9" t="s">
        <v>1882</v>
      </c>
      <c r="C2271" s="9" t="s">
        <v>12</v>
      </c>
      <c r="D2271" s="9" t="s">
        <v>4637</v>
      </c>
    </row>
    <row r="2272" ht="15.75" customHeight="1">
      <c r="A2272" s="7" t="s">
        <v>1027</v>
      </c>
      <c r="B2272" s="9" t="s">
        <v>5929</v>
      </c>
      <c r="C2272" s="9" t="s">
        <v>17</v>
      </c>
      <c r="D2272" s="9" t="s">
        <v>5930</v>
      </c>
    </row>
    <row r="2273" ht="15.75" customHeight="1">
      <c r="A2273" s="7" t="s">
        <v>1018</v>
      </c>
      <c r="B2273" s="9" t="s">
        <v>5931</v>
      </c>
      <c r="C2273" s="9" t="s">
        <v>12</v>
      </c>
      <c r="D2273" s="9" t="s">
        <v>5932</v>
      </c>
    </row>
    <row r="2274" ht="15.75" customHeight="1">
      <c r="A2274" s="7" t="s">
        <v>1011</v>
      </c>
      <c r="B2274" s="9" t="s">
        <v>246</v>
      </c>
      <c r="C2274" s="9" t="s">
        <v>17</v>
      </c>
      <c r="D2274" s="9" t="s">
        <v>5933</v>
      </c>
    </row>
    <row r="2275" ht="15.75" customHeight="1">
      <c r="A2275" s="7" t="s">
        <v>1001</v>
      </c>
      <c r="B2275" s="9" t="s">
        <v>5934</v>
      </c>
      <c r="C2275" s="9" t="s">
        <v>12</v>
      </c>
      <c r="D2275" s="9" t="s">
        <v>5816</v>
      </c>
    </row>
    <row r="2276" ht="15.75" customHeight="1">
      <c r="A2276" s="7" t="s">
        <v>990</v>
      </c>
      <c r="B2276" s="9" t="s">
        <v>5935</v>
      </c>
      <c r="C2276" s="9" t="s">
        <v>17</v>
      </c>
      <c r="D2276" s="9" t="s">
        <v>1514</v>
      </c>
    </row>
    <row r="2277" ht="15.75" customHeight="1">
      <c r="A2277" s="7" t="s">
        <v>980</v>
      </c>
      <c r="B2277" s="9" t="s">
        <v>5936</v>
      </c>
      <c r="C2277" s="9" t="s">
        <v>17</v>
      </c>
      <c r="D2277" s="9" t="s">
        <v>3268</v>
      </c>
    </row>
    <row r="2278" ht="15.75" customHeight="1">
      <c r="A2278" s="7" t="s">
        <v>971</v>
      </c>
      <c r="B2278" s="9" t="s">
        <v>5937</v>
      </c>
      <c r="C2278" s="9" t="s">
        <v>12</v>
      </c>
      <c r="D2278" s="9" t="s">
        <v>5938</v>
      </c>
    </row>
    <row r="2279" ht="15.75" customHeight="1">
      <c r="A2279" s="7" t="s">
        <v>966</v>
      </c>
      <c r="B2279" s="9" t="s">
        <v>5939</v>
      </c>
      <c r="C2279" s="9" t="s">
        <v>17</v>
      </c>
      <c r="D2279" s="9" t="s">
        <v>359</v>
      </c>
    </row>
    <row r="2280" ht="15.75" customHeight="1">
      <c r="A2280" s="7" t="s">
        <v>957</v>
      </c>
      <c r="B2280" s="9" t="s">
        <v>591</v>
      </c>
      <c r="C2280" s="9" t="s">
        <v>17</v>
      </c>
      <c r="D2280" s="9" t="s">
        <v>5940</v>
      </c>
    </row>
    <row r="2281" ht="15.75" customHeight="1">
      <c r="A2281" s="7" t="s">
        <v>948</v>
      </c>
      <c r="B2281" s="9" t="s">
        <v>5941</v>
      </c>
      <c r="C2281" s="9" t="s">
        <v>17</v>
      </c>
      <c r="D2281" s="9" t="s">
        <v>276</v>
      </c>
    </row>
    <row r="2282" ht="15.75" customHeight="1">
      <c r="A2282" s="7" t="s">
        <v>938</v>
      </c>
      <c r="B2282" s="9" t="s">
        <v>5942</v>
      </c>
      <c r="C2282" s="9" t="s">
        <v>17</v>
      </c>
      <c r="D2282" s="9" t="s">
        <v>5943</v>
      </c>
    </row>
    <row r="2283" ht="15.75" customHeight="1">
      <c r="A2283" s="7" t="s">
        <v>929</v>
      </c>
      <c r="B2283" s="9" t="s">
        <v>160</v>
      </c>
      <c r="C2283" s="9" t="s">
        <v>12</v>
      </c>
      <c r="D2283" s="9" t="s">
        <v>288</v>
      </c>
    </row>
    <row r="2284" ht="15.75" customHeight="1">
      <c r="A2284" s="7" t="s">
        <v>921</v>
      </c>
      <c r="B2284" s="9" t="s">
        <v>5944</v>
      </c>
      <c r="C2284" s="9" t="s">
        <v>17</v>
      </c>
      <c r="D2284" s="9" t="s">
        <v>60</v>
      </c>
    </row>
    <row r="2285" ht="15.75" customHeight="1">
      <c r="A2285" s="7" t="s">
        <v>909</v>
      </c>
      <c r="B2285" s="9" t="s">
        <v>5945</v>
      </c>
      <c r="C2285" s="9" t="s">
        <v>12</v>
      </c>
      <c r="D2285" s="9" t="s">
        <v>2958</v>
      </c>
    </row>
    <row r="2286" ht="15.75" customHeight="1">
      <c r="A2286" s="7" t="s">
        <v>902</v>
      </c>
      <c r="B2286" s="9" t="s">
        <v>5946</v>
      </c>
      <c r="C2286" s="9" t="s">
        <v>17</v>
      </c>
      <c r="D2286" s="9" t="s">
        <v>5947</v>
      </c>
    </row>
    <row r="2287" ht="15.75" customHeight="1">
      <c r="A2287" s="7" t="s">
        <v>894</v>
      </c>
      <c r="B2287" s="9" t="s">
        <v>5905</v>
      </c>
      <c r="C2287" s="9" t="s">
        <v>12</v>
      </c>
      <c r="D2287" s="9" t="s">
        <v>313</v>
      </c>
    </row>
    <row r="2288" ht="15.75" customHeight="1">
      <c r="A2288" s="7" t="s">
        <v>887</v>
      </c>
      <c r="B2288" s="9" t="s">
        <v>5948</v>
      </c>
      <c r="C2288" s="9" t="s">
        <v>17</v>
      </c>
      <c r="D2288" s="9" t="s">
        <v>5949</v>
      </c>
    </row>
    <row r="2289" ht="15.75" customHeight="1">
      <c r="A2289" s="7" t="s">
        <v>877</v>
      </c>
      <c r="B2289" s="9" t="s">
        <v>5950</v>
      </c>
      <c r="C2289" s="9" t="s">
        <v>12</v>
      </c>
      <c r="D2289" s="9" t="s">
        <v>4645</v>
      </c>
    </row>
    <row r="2290" ht="15.75" customHeight="1">
      <c r="A2290" s="7" t="s">
        <v>866</v>
      </c>
      <c r="B2290" s="9" t="s">
        <v>5951</v>
      </c>
      <c r="C2290" s="9" t="s">
        <v>17</v>
      </c>
      <c r="D2290" s="9" t="s">
        <v>5952</v>
      </c>
    </row>
    <row r="2291" ht="15.75" customHeight="1">
      <c r="A2291" s="7" t="s">
        <v>853</v>
      </c>
      <c r="B2291" s="9" t="s">
        <v>2867</v>
      </c>
      <c r="C2291" s="9" t="s">
        <v>17</v>
      </c>
      <c r="D2291" s="9" t="s">
        <v>5953</v>
      </c>
    </row>
    <row r="2292" ht="15.75" customHeight="1">
      <c r="A2292" s="7" t="s">
        <v>852</v>
      </c>
      <c r="B2292" s="9" t="s">
        <v>591</v>
      </c>
      <c r="C2292" s="9" t="s">
        <v>12</v>
      </c>
      <c r="D2292" s="9" t="s">
        <v>863</v>
      </c>
    </row>
    <row r="2293" ht="15.75" customHeight="1">
      <c r="A2293" s="7" t="s">
        <v>851</v>
      </c>
      <c r="B2293" s="9" t="s">
        <v>5954</v>
      </c>
      <c r="C2293" s="9" t="s">
        <v>17</v>
      </c>
      <c r="D2293" s="9" t="s">
        <v>5955</v>
      </c>
    </row>
    <row r="2294" ht="15.75" customHeight="1">
      <c r="A2294" s="7" t="s">
        <v>842</v>
      </c>
      <c r="B2294" s="9" t="s">
        <v>297</v>
      </c>
      <c r="C2294" s="9" t="s">
        <v>17</v>
      </c>
      <c r="D2294" s="9" t="s">
        <v>183</v>
      </c>
    </row>
    <row r="2295" ht="15.75" customHeight="1">
      <c r="A2295" s="7" t="s">
        <v>829</v>
      </c>
      <c r="B2295" s="9" t="s">
        <v>5956</v>
      </c>
      <c r="C2295" s="9" t="s">
        <v>12</v>
      </c>
      <c r="D2295" s="9" t="s">
        <v>313</v>
      </c>
    </row>
    <row r="2296" ht="15.75" customHeight="1">
      <c r="A2296" s="7" t="s">
        <v>777</v>
      </c>
      <c r="B2296" s="9" t="s">
        <v>5957</v>
      </c>
      <c r="C2296" s="9" t="s">
        <v>17</v>
      </c>
      <c r="D2296" s="9" t="s">
        <v>2297</v>
      </c>
    </row>
    <row r="2297" ht="15.75" customHeight="1">
      <c r="A2297" s="7" t="s">
        <v>761</v>
      </c>
      <c r="B2297" s="9" t="s">
        <v>5958</v>
      </c>
      <c r="C2297" s="9" t="s">
        <v>17</v>
      </c>
      <c r="D2297" s="9" t="s">
        <v>5959</v>
      </c>
    </row>
    <row r="2298" ht="15.75" customHeight="1">
      <c r="A2298" s="7" t="s">
        <v>750</v>
      </c>
      <c r="B2298" s="9" t="s">
        <v>5960</v>
      </c>
      <c r="C2298" s="9" t="s">
        <v>17</v>
      </c>
      <c r="D2298" s="9" t="s">
        <v>5961</v>
      </c>
    </row>
    <row r="2299" ht="15.75" customHeight="1">
      <c r="A2299" s="7" t="s">
        <v>737</v>
      </c>
      <c r="B2299" s="9" t="s">
        <v>5962</v>
      </c>
      <c r="C2299" s="9" t="s">
        <v>12</v>
      </c>
      <c r="D2299" s="9" t="s">
        <v>5963</v>
      </c>
    </row>
    <row r="2300" ht="15.75" customHeight="1">
      <c r="A2300" s="7" t="s">
        <v>727</v>
      </c>
      <c r="B2300" s="9" t="s">
        <v>5964</v>
      </c>
      <c r="C2300" s="9" t="s">
        <v>17</v>
      </c>
      <c r="D2300" s="9" t="s">
        <v>5965</v>
      </c>
    </row>
    <row r="2301" ht="15.75" customHeight="1">
      <c r="A2301" s="7" t="s">
        <v>714</v>
      </c>
      <c r="B2301" s="9" t="s">
        <v>5966</v>
      </c>
      <c r="C2301" s="9" t="s">
        <v>17</v>
      </c>
      <c r="D2301" s="9" t="s">
        <v>285</v>
      </c>
    </row>
    <row r="2302" ht="15.75" customHeight="1">
      <c r="A2302" s="7" t="s">
        <v>707</v>
      </c>
      <c r="B2302" s="9" t="s">
        <v>5967</v>
      </c>
      <c r="C2302" s="9" t="s">
        <v>17</v>
      </c>
      <c r="D2302" s="9" t="s">
        <v>5968</v>
      </c>
    </row>
    <row r="2303" ht="15.75" customHeight="1">
      <c r="A2303" s="7" t="s">
        <v>698</v>
      </c>
      <c r="B2303" s="9" t="s">
        <v>889</v>
      </c>
      <c r="C2303" s="9" t="s">
        <v>17</v>
      </c>
      <c r="D2303" s="9" t="s">
        <v>60</v>
      </c>
    </row>
    <row r="2304" ht="15.75" customHeight="1">
      <c r="A2304" s="7" t="s">
        <v>685</v>
      </c>
      <c r="B2304" s="9" t="s">
        <v>5969</v>
      </c>
      <c r="C2304" s="9" t="s">
        <v>12</v>
      </c>
      <c r="D2304" s="9" t="s">
        <v>5970</v>
      </c>
    </row>
    <row r="2305" ht="15.75" customHeight="1">
      <c r="A2305" s="7" t="s">
        <v>672</v>
      </c>
      <c r="B2305" s="9" t="s">
        <v>5971</v>
      </c>
      <c r="C2305" s="9" t="s">
        <v>17</v>
      </c>
      <c r="D2305" s="9" t="s">
        <v>1514</v>
      </c>
    </row>
    <row r="2306" ht="15.75" customHeight="1">
      <c r="A2306" s="7" t="s">
        <v>659</v>
      </c>
      <c r="B2306" s="9" t="s">
        <v>5972</v>
      </c>
      <c r="C2306" s="9" t="s">
        <v>17</v>
      </c>
      <c r="D2306" s="9" t="s">
        <v>5973</v>
      </c>
    </row>
    <row r="2307" ht="15.75" customHeight="1">
      <c r="A2307" s="7" t="s">
        <v>648</v>
      </c>
      <c r="B2307" s="9" t="s">
        <v>5974</v>
      </c>
      <c r="C2307" s="9" t="s">
        <v>17</v>
      </c>
      <c r="D2307" s="9" t="s">
        <v>3560</v>
      </c>
    </row>
    <row r="2308" ht="15.75" customHeight="1">
      <c r="A2308" s="7" t="s">
        <v>644</v>
      </c>
      <c r="B2308" s="9" t="s">
        <v>5975</v>
      </c>
      <c r="C2308" s="9" t="s">
        <v>12</v>
      </c>
      <c r="D2308" s="9" t="s">
        <v>920</v>
      </c>
    </row>
    <row r="2309" ht="15.75" customHeight="1">
      <c r="A2309" s="7" t="s">
        <v>636</v>
      </c>
      <c r="B2309" s="9" t="s">
        <v>5976</v>
      </c>
      <c r="C2309" s="9" t="s">
        <v>12</v>
      </c>
      <c r="D2309" s="9" t="s">
        <v>5188</v>
      </c>
    </row>
    <row r="2310" ht="15.75" customHeight="1">
      <c r="A2310" s="7" t="s">
        <v>627</v>
      </c>
      <c r="B2310" s="9" t="s">
        <v>5329</v>
      </c>
      <c r="C2310" s="9" t="s">
        <v>12</v>
      </c>
      <c r="D2310" s="9" t="s">
        <v>5156</v>
      </c>
    </row>
    <row r="2311" ht="15.75" customHeight="1">
      <c r="A2311" s="7" t="s">
        <v>619</v>
      </c>
      <c r="B2311" s="9" t="s">
        <v>444</v>
      </c>
      <c r="C2311" s="9" t="s">
        <v>17</v>
      </c>
      <c r="D2311" s="9" t="s">
        <v>516</v>
      </c>
    </row>
    <row r="2312" ht="15.75" customHeight="1">
      <c r="A2312" s="7" t="s">
        <v>610</v>
      </c>
      <c r="B2312" s="9" t="s">
        <v>5977</v>
      </c>
      <c r="C2312" s="9" t="s">
        <v>1573</v>
      </c>
      <c r="D2312" s="9" t="s">
        <v>2095</v>
      </c>
    </row>
    <row r="2313" ht="15.75" customHeight="1">
      <c r="A2313" s="7" t="s">
        <v>601</v>
      </c>
      <c r="B2313" s="9" t="s">
        <v>5978</v>
      </c>
      <c r="C2313" s="9" t="s">
        <v>12</v>
      </c>
      <c r="D2313" s="9" t="s">
        <v>208</v>
      </c>
    </row>
    <row r="2314" ht="15.75" customHeight="1">
      <c r="A2314" s="7" t="s">
        <v>593</v>
      </c>
      <c r="B2314" s="9" t="s">
        <v>5979</v>
      </c>
      <c r="C2314" s="9" t="s">
        <v>17</v>
      </c>
      <c r="D2314" s="9" t="s">
        <v>155</v>
      </c>
    </row>
    <row r="2315" ht="15.75" customHeight="1">
      <c r="A2315" s="7" t="s">
        <v>582</v>
      </c>
      <c r="B2315" s="9" t="s">
        <v>5980</v>
      </c>
      <c r="C2315" s="9" t="s">
        <v>12</v>
      </c>
      <c r="D2315" s="9" t="s">
        <v>1300</v>
      </c>
    </row>
    <row r="2316" ht="15.75" customHeight="1">
      <c r="A2316" s="7" t="s">
        <v>574</v>
      </c>
      <c r="B2316" s="9" t="s">
        <v>2776</v>
      </c>
      <c r="C2316" s="9" t="s">
        <v>12</v>
      </c>
      <c r="D2316" s="9" t="s">
        <v>5981</v>
      </c>
    </row>
    <row r="2317" ht="15.75" customHeight="1">
      <c r="A2317" s="7" t="s">
        <v>564</v>
      </c>
      <c r="B2317" s="9" t="s">
        <v>946</v>
      </c>
      <c r="C2317" s="9" t="s">
        <v>17</v>
      </c>
      <c r="D2317" s="9" t="s">
        <v>5982</v>
      </c>
    </row>
    <row r="2318" ht="15.75" customHeight="1">
      <c r="A2318" s="7" t="s">
        <v>556</v>
      </c>
      <c r="B2318" s="9" t="s">
        <v>5983</v>
      </c>
      <c r="C2318" s="9" t="s">
        <v>17</v>
      </c>
      <c r="D2318" s="9" t="s">
        <v>2529</v>
      </c>
    </row>
    <row r="2319" ht="15.75" customHeight="1">
      <c r="A2319" s="7" t="s">
        <v>545</v>
      </c>
      <c r="B2319" s="9" t="s">
        <v>5210</v>
      </c>
      <c r="C2319" s="9" t="s">
        <v>12</v>
      </c>
      <c r="D2319" s="9" t="s">
        <v>5984</v>
      </c>
    </row>
    <row r="2320" ht="15.75" customHeight="1">
      <c r="A2320" s="7" t="s">
        <v>535</v>
      </c>
      <c r="B2320" s="9" t="s">
        <v>5985</v>
      </c>
      <c r="C2320" s="9" t="s">
        <v>17</v>
      </c>
      <c r="D2320" s="9" t="s">
        <v>5986</v>
      </c>
    </row>
    <row r="2321" ht="15.75" customHeight="1">
      <c r="A2321" s="7" t="s">
        <v>515</v>
      </c>
      <c r="B2321" s="9" t="s">
        <v>5987</v>
      </c>
      <c r="C2321" s="9" t="s">
        <v>12</v>
      </c>
      <c r="D2321" s="9" t="s">
        <v>5988</v>
      </c>
    </row>
    <row r="2322" ht="15.75" customHeight="1">
      <c r="A2322" s="7" t="s">
        <v>497</v>
      </c>
      <c r="B2322" s="9" t="s">
        <v>5989</v>
      </c>
      <c r="C2322" s="9" t="s">
        <v>17</v>
      </c>
      <c r="D2322" s="9" t="s">
        <v>328</v>
      </c>
    </row>
    <row r="2323" ht="15.75" customHeight="1">
      <c r="A2323" s="7" t="s">
        <v>482</v>
      </c>
      <c r="B2323" s="9" t="s">
        <v>5990</v>
      </c>
      <c r="C2323" s="9" t="s">
        <v>12</v>
      </c>
      <c r="D2323" s="9" t="s">
        <v>5991</v>
      </c>
    </row>
    <row r="2324" ht="15.75" customHeight="1">
      <c r="A2324" s="7" t="s">
        <v>469</v>
      </c>
      <c r="B2324" s="9" t="s">
        <v>5992</v>
      </c>
      <c r="C2324" s="9" t="s">
        <v>17</v>
      </c>
      <c r="D2324" s="9" t="s">
        <v>516</v>
      </c>
    </row>
    <row r="2325" ht="15.75" customHeight="1">
      <c r="A2325" s="7" t="s">
        <v>454</v>
      </c>
      <c r="B2325" s="9" t="s">
        <v>5993</v>
      </c>
      <c r="C2325" s="9" t="s">
        <v>12</v>
      </c>
      <c r="D2325" s="9" t="s">
        <v>5994</v>
      </c>
    </row>
    <row r="2326" ht="15.75" customHeight="1">
      <c r="A2326" s="7" t="s">
        <v>438</v>
      </c>
      <c r="B2326" s="9" t="s">
        <v>2406</v>
      </c>
      <c r="C2326" s="9" t="s">
        <v>17</v>
      </c>
      <c r="D2326" s="9" t="s">
        <v>5995</v>
      </c>
    </row>
    <row r="2327" ht="15.75" customHeight="1">
      <c r="A2327" s="7" t="s">
        <v>417</v>
      </c>
      <c r="B2327" s="9" t="s">
        <v>5996</v>
      </c>
      <c r="C2327" s="9" t="s">
        <v>17</v>
      </c>
      <c r="D2327" s="9" t="s">
        <v>5997</v>
      </c>
    </row>
    <row r="2328" ht="15.75" customHeight="1">
      <c r="A2328" s="7" t="s">
        <v>378</v>
      </c>
      <c r="B2328" s="9" t="s">
        <v>1115</v>
      </c>
      <c r="C2328" s="9" t="s">
        <v>12</v>
      </c>
      <c r="D2328" s="9" t="s">
        <v>3474</v>
      </c>
    </row>
    <row r="2329" ht="15.75" customHeight="1">
      <c r="A2329" s="7" t="s">
        <v>366</v>
      </c>
      <c r="B2329" s="9" t="s">
        <v>5998</v>
      </c>
      <c r="C2329" s="9" t="s">
        <v>12</v>
      </c>
      <c r="D2329" s="9" t="s">
        <v>102</v>
      </c>
    </row>
    <row r="2330" ht="15.75" customHeight="1">
      <c r="A2330" s="7" t="s">
        <v>348</v>
      </c>
      <c r="B2330" s="9" t="s">
        <v>5999</v>
      </c>
      <c r="C2330" s="9" t="s">
        <v>12</v>
      </c>
      <c r="D2330" s="9" t="s">
        <v>6000</v>
      </c>
    </row>
    <row r="2331" ht="15.75" customHeight="1">
      <c r="A2331" s="7" t="s">
        <v>317</v>
      </c>
      <c r="B2331" s="9" t="s">
        <v>6001</v>
      </c>
      <c r="C2331" s="9" t="s">
        <v>12</v>
      </c>
      <c r="D2331" s="9" t="s">
        <v>6002</v>
      </c>
    </row>
    <row r="2332" ht="15.75" customHeight="1">
      <c r="A2332" s="7" t="s">
        <v>293</v>
      </c>
      <c r="B2332" s="9" t="s">
        <v>6003</v>
      </c>
      <c r="C2332" s="9" t="s">
        <v>17</v>
      </c>
      <c r="D2332" s="9" t="s">
        <v>1343</v>
      </c>
    </row>
    <row r="2333" ht="15.75" customHeight="1">
      <c r="A2333" s="7" t="s">
        <v>269</v>
      </c>
      <c r="B2333" s="9" t="s">
        <v>6004</v>
      </c>
      <c r="C2333" s="9" t="s">
        <v>17</v>
      </c>
      <c r="D2333" s="9" t="s">
        <v>6005</v>
      </c>
    </row>
    <row r="2334" ht="15.75" customHeight="1">
      <c r="A2334" s="7" t="s">
        <v>238</v>
      </c>
      <c r="B2334" s="9" t="s">
        <v>6006</v>
      </c>
      <c r="C2334" s="9" t="s">
        <v>12</v>
      </c>
      <c r="D2334" s="9" t="s">
        <v>5174</v>
      </c>
    </row>
    <row r="2335" ht="15.75" customHeight="1">
      <c r="A2335" s="7" t="s">
        <v>205</v>
      </c>
      <c r="B2335" s="9" t="s">
        <v>6007</v>
      </c>
      <c r="C2335" s="9" t="s">
        <v>17</v>
      </c>
      <c r="D2335" s="9" t="s">
        <v>6008</v>
      </c>
    </row>
    <row r="2336" ht="15.75" customHeight="1">
      <c r="A2336" s="7" t="s">
        <v>86</v>
      </c>
      <c r="B2336" s="9" t="s">
        <v>6009</v>
      </c>
      <c r="C2336" s="9" t="s">
        <v>17</v>
      </c>
      <c r="D2336" s="9" t="s">
        <v>6010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86"/>
    <col customWidth="1" min="2" max="3" width="8.71"/>
    <col customWidth="1" min="4" max="4" width="11.71"/>
    <col customWidth="1" min="5" max="5" width="15.14"/>
    <col customWidth="1" min="6" max="6" width="13.71"/>
    <col customWidth="1" min="7" max="7" width="24.29"/>
    <col customWidth="1" min="8" max="8" width="8.71"/>
    <col customWidth="1" min="9" max="9" width="13.29"/>
    <col customWidth="1" min="10" max="26" width="8.71"/>
  </cols>
  <sheetData>
    <row r="1" ht="18.75" customHeight="1">
      <c r="A1" s="10" t="str">
        <f>IFERROR(__xludf.DUMMYFUNCTION("INDEX(QUERY('Medical Examinations'!H2:H2336, ""select H, count(H) where H &lt;&gt; '?' and H is not null group by H order by count(H) desc limit 1 label count(H) ''""), 1, 1)"),"No")</f>
        <v>No</v>
      </c>
      <c r="B1" s="12" t="s">
        <v>16</v>
      </c>
      <c r="C1" s="12" t="s">
        <v>31</v>
      </c>
      <c r="D1" s="12" t="s">
        <v>35</v>
      </c>
      <c r="E1" s="12" t="s">
        <v>38</v>
      </c>
      <c r="F1" s="12" t="s">
        <v>41</v>
      </c>
      <c r="G1" s="12" t="s">
        <v>44</v>
      </c>
      <c r="H1" s="12" t="s">
        <v>47</v>
      </c>
      <c r="I1" s="17" t="s">
        <v>53</v>
      </c>
    </row>
    <row r="2">
      <c r="A2" s="18" t="s">
        <v>4</v>
      </c>
      <c r="B2" s="18">
        <v>47.41</v>
      </c>
      <c r="C2" s="18">
        <v>7.47</v>
      </c>
      <c r="D2" s="18" t="s">
        <v>73</v>
      </c>
      <c r="E2" s="18" t="s">
        <v>73</v>
      </c>
      <c r="F2" s="18" t="s">
        <v>73</v>
      </c>
      <c r="G2" s="20">
        <v>0.0</v>
      </c>
      <c r="H2" s="18" t="s">
        <v>80</v>
      </c>
      <c r="I2" s="18" t="str">
        <f t="shared" ref="I2:I2336" si="1">IF(B2&lt;18.5, "Underweight", IF(B2&lt;25, "Normal Weight", IF(B2&lt;30, "Overweight", "Obesity")))</f>
        <v>Obesity</v>
      </c>
      <c r="J2" s="26"/>
      <c r="K2" s="26"/>
    </row>
    <row r="3">
      <c r="A3" s="18" t="s">
        <v>14</v>
      </c>
      <c r="B3" s="18">
        <v>30.36</v>
      </c>
      <c r="C3" s="18">
        <v>5.77</v>
      </c>
      <c r="D3" s="18" t="s">
        <v>73</v>
      </c>
      <c r="E3" s="18" t="s">
        <v>73</v>
      </c>
      <c r="F3" s="18" t="s">
        <v>73</v>
      </c>
      <c r="G3" s="20">
        <v>0.0</v>
      </c>
      <c r="H3" s="18" t="s">
        <v>80</v>
      </c>
      <c r="I3" s="18" t="str">
        <f t="shared" si="1"/>
        <v>Obesity</v>
      </c>
    </row>
    <row r="4">
      <c r="A4" s="18" t="s">
        <v>19</v>
      </c>
      <c r="B4" s="18">
        <v>34.485</v>
      </c>
      <c r="C4" s="18">
        <v>11.87</v>
      </c>
      <c r="D4" s="18" t="s">
        <v>80</v>
      </c>
      <c r="E4" s="18" t="s">
        <v>73</v>
      </c>
      <c r="F4" s="18" t="s">
        <v>73</v>
      </c>
      <c r="G4" s="18">
        <v>2.0</v>
      </c>
      <c r="H4" s="18" t="s">
        <v>80</v>
      </c>
      <c r="I4" s="18" t="str">
        <f t="shared" si="1"/>
        <v>Obesity</v>
      </c>
    </row>
    <row r="5">
      <c r="A5" s="18" t="s">
        <v>24</v>
      </c>
      <c r="B5" s="18">
        <v>38.095</v>
      </c>
      <c r="C5" s="18">
        <v>6.05</v>
      </c>
      <c r="D5" s="18" t="s">
        <v>73</v>
      </c>
      <c r="E5" s="18" t="s">
        <v>73</v>
      </c>
      <c r="F5" s="18" t="s">
        <v>73</v>
      </c>
      <c r="G5" s="20">
        <v>0.0</v>
      </c>
      <c r="H5" s="18" t="s">
        <v>80</v>
      </c>
      <c r="I5" s="18" t="str">
        <f t="shared" si="1"/>
        <v>Obesity</v>
      </c>
    </row>
    <row r="6">
      <c r="A6" s="18" t="s">
        <v>28</v>
      </c>
      <c r="B6" s="18">
        <v>35.53</v>
      </c>
      <c r="C6" s="18">
        <v>5.45</v>
      </c>
      <c r="D6" s="18" t="s">
        <v>73</v>
      </c>
      <c r="E6" s="18" t="s">
        <v>73</v>
      </c>
      <c r="F6" s="18" t="s">
        <v>73</v>
      </c>
      <c r="G6" s="20">
        <v>0.0</v>
      </c>
      <c r="H6" s="18" t="s">
        <v>80</v>
      </c>
      <c r="I6" s="18" t="str">
        <f t="shared" si="1"/>
        <v>Obesity</v>
      </c>
    </row>
    <row r="7">
      <c r="A7" s="18" t="s">
        <v>32</v>
      </c>
      <c r="B7" s="18">
        <v>32.8</v>
      </c>
      <c r="C7" s="18">
        <v>6.59</v>
      </c>
      <c r="D7" s="18" t="s">
        <v>73</v>
      </c>
      <c r="E7" s="18" t="s">
        <v>73</v>
      </c>
      <c r="F7" s="18" t="s">
        <v>73</v>
      </c>
      <c r="G7" s="20">
        <v>0.0</v>
      </c>
      <c r="H7" s="18" t="s">
        <v>80</v>
      </c>
      <c r="I7" s="18" t="str">
        <f t="shared" si="1"/>
        <v>Obesity</v>
      </c>
    </row>
    <row r="8">
      <c r="A8" s="18" t="s">
        <v>36</v>
      </c>
      <c r="B8" s="18">
        <v>36.4</v>
      </c>
      <c r="C8" s="18">
        <v>6.07</v>
      </c>
      <c r="D8" s="18" t="s">
        <v>73</v>
      </c>
      <c r="E8" s="18" t="s">
        <v>73</v>
      </c>
      <c r="F8" s="18" t="s">
        <v>73</v>
      </c>
      <c r="G8" s="20">
        <v>0.0</v>
      </c>
      <c r="H8" s="18" t="s">
        <v>80</v>
      </c>
      <c r="I8" s="18" t="str">
        <f t="shared" si="1"/>
        <v>Obesity</v>
      </c>
    </row>
    <row r="9">
      <c r="A9" s="18" t="s">
        <v>40</v>
      </c>
      <c r="B9" s="18">
        <v>36.96</v>
      </c>
      <c r="C9" s="18">
        <v>7.93</v>
      </c>
      <c r="D9" s="18" t="s">
        <v>73</v>
      </c>
      <c r="E9" s="18" t="s">
        <v>73</v>
      </c>
      <c r="F9" s="18" t="s">
        <v>73</v>
      </c>
      <c r="G9" s="18">
        <v>3.0</v>
      </c>
      <c r="H9" s="18" t="s">
        <v>80</v>
      </c>
      <c r="I9" s="18" t="str">
        <f t="shared" si="1"/>
        <v>Obesity</v>
      </c>
    </row>
    <row r="10">
      <c r="A10" s="18" t="s">
        <v>45</v>
      </c>
      <c r="B10" s="18">
        <v>41.14</v>
      </c>
      <c r="C10" s="18">
        <v>9.58</v>
      </c>
      <c r="D10" s="18" t="s">
        <v>80</v>
      </c>
      <c r="E10" s="18" t="s">
        <v>73</v>
      </c>
      <c r="F10" s="18" t="s">
        <v>184</v>
      </c>
      <c r="G10" s="18">
        <v>1.0</v>
      </c>
      <c r="H10" s="18" t="s">
        <v>80</v>
      </c>
      <c r="I10" s="18" t="str">
        <f t="shared" si="1"/>
        <v>Obesity</v>
      </c>
    </row>
    <row r="11">
      <c r="A11" s="18" t="s">
        <v>50</v>
      </c>
      <c r="B11" s="18">
        <v>38.06</v>
      </c>
      <c r="C11" s="18">
        <v>10.79</v>
      </c>
      <c r="D11" s="18" t="s">
        <v>73</v>
      </c>
      <c r="E11" s="18" t="s">
        <v>73</v>
      </c>
      <c r="F11" s="18" t="s">
        <v>73</v>
      </c>
      <c r="G11" s="20">
        <v>0.0</v>
      </c>
      <c r="H11" s="18" t="s">
        <v>80</v>
      </c>
      <c r="I11" s="18" t="str">
        <f t="shared" si="1"/>
        <v>Obesity</v>
      </c>
    </row>
    <row r="12">
      <c r="A12" s="18" t="s">
        <v>55</v>
      </c>
      <c r="B12" s="18">
        <v>37.7</v>
      </c>
      <c r="C12" s="18">
        <v>5.96</v>
      </c>
      <c r="D12" s="18" t="s">
        <v>80</v>
      </c>
      <c r="E12" s="18" t="s">
        <v>73</v>
      </c>
      <c r="F12" s="18" t="s">
        <v>73</v>
      </c>
      <c r="G12" s="18">
        <v>2.0</v>
      </c>
      <c r="H12" s="18" t="s">
        <v>80</v>
      </c>
      <c r="I12" s="18" t="str">
        <f t="shared" si="1"/>
        <v>Obesity</v>
      </c>
    </row>
    <row r="13">
      <c r="A13" s="18" t="s">
        <v>58</v>
      </c>
      <c r="B13" s="18">
        <v>42.13</v>
      </c>
      <c r="C13" s="18">
        <v>11.9</v>
      </c>
      <c r="D13" s="18" t="s">
        <v>73</v>
      </c>
      <c r="E13" s="18" t="s">
        <v>73</v>
      </c>
      <c r="F13" s="18" t="s">
        <v>73</v>
      </c>
      <c r="G13" s="20">
        <v>0.0</v>
      </c>
      <c r="H13" s="18" t="s">
        <v>80</v>
      </c>
      <c r="I13" s="18" t="str">
        <f t="shared" si="1"/>
        <v>Obesity</v>
      </c>
    </row>
    <row r="14">
      <c r="A14" s="18" t="s">
        <v>62</v>
      </c>
      <c r="B14" s="18">
        <v>40.92</v>
      </c>
      <c r="C14" s="18">
        <v>8.41</v>
      </c>
      <c r="D14" s="18" t="s">
        <v>73</v>
      </c>
      <c r="E14" s="18" t="s">
        <v>73</v>
      </c>
      <c r="F14" s="18" t="s">
        <v>73</v>
      </c>
      <c r="G14" s="20">
        <v>0.0</v>
      </c>
      <c r="H14" s="18" t="s">
        <v>80</v>
      </c>
      <c r="I14" s="18" t="str">
        <f t="shared" si="1"/>
        <v>Obesity</v>
      </c>
    </row>
    <row r="15">
      <c r="A15" s="18" t="s">
        <v>66</v>
      </c>
      <c r="B15" s="18">
        <v>40.565</v>
      </c>
      <c r="C15" s="18">
        <v>7.02</v>
      </c>
      <c r="D15" s="18" t="s">
        <v>73</v>
      </c>
      <c r="E15" s="18" t="s">
        <v>73</v>
      </c>
      <c r="F15" s="18" t="s">
        <v>73</v>
      </c>
      <c r="G15" s="20">
        <v>0.0</v>
      </c>
      <c r="H15" s="18" t="s">
        <v>80</v>
      </c>
      <c r="I15" s="18" t="str">
        <f t="shared" si="1"/>
        <v>Obesity</v>
      </c>
    </row>
    <row r="16">
      <c r="A16" s="18" t="s">
        <v>71</v>
      </c>
      <c r="B16" s="18">
        <v>36.385</v>
      </c>
      <c r="C16" s="18">
        <v>7.59</v>
      </c>
      <c r="D16" s="18" t="s">
        <v>80</v>
      </c>
      <c r="E16" s="18" t="s">
        <v>73</v>
      </c>
      <c r="F16" s="18" t="s">
        <v>73</v>
      </c>
      <c r="G16" s="18">
        <v>2.0</v>
      </c>
      <c r="H16" s="18" t="s">
        <v>80</v>
      </c>
      <c r="I16" s="18" t="str">
        <f t="shared" si="1"/>
        <v>Obesity</v>
      </c>
    </row>
    <row r="17">
      <c r="A17" s="18" t="s">
        <v>76</v>
      </c>
      <c r="B17" s="18">
        <v>39.9</v>
      </c>
      <c r="C17" s="18">
        <v>11.32</v>
      </c>
      <c r="D17" s="18" t="s">
        <v>73</v>
      </c>
      <c r="E17" s="18" t="s">
        <v>73</v>
      </c>
      <c r="F17" s="18" t="s">
        <v>73</v>
      </c>
      <c r="G17" s="20">
        <v>0.0</v>
      </c>
      <c r="H17" s="18" t="s">
        <v>80</v>
      </c>
      <c r="I17" s="18" t="str">
        <f t="shared" si="1"/>
        <v>Obesity</v>
      </c>
    </row>
    <row r="18">
      <c r="A18" s="18" t="s">
        <v>79</v>
      </c>
      <c r="B18" s="18">
        <v>33.8</v>
      </c>
      <c r="C18" s="18">
        <v>7.67</v>
      </c>
      <c r="D18" s="18" t="s">
        <v>73</v>
      </c>
      <c r="E18" s="18" t="s">
        <v>73</v>
      </c>
      <c r="F18" s="18" t="s">
        <v>73</v>
      </c>
      <c r="G18" s="18">
        <v>3.0</v>
      </c>
      <c r="H18" s="18" t="s">
        <v>80</v>
      </c>
      <c r="I18" s="18" t="str">
        <f t="shared" si="1"/>
        <v>Obesity</v>
      </c>
    </row>
    <row r="19">
      <c r="A19" s="18" t="s">
        <v>83</v>
      </c>
      <c r="B19" s="18">
        <v>36.765</v>
      </c>
      <c r="C19" s="18">
        <v>7.29</v>
      </c>
      <c r="D19" s="18" t="s">
        <v>80</v>
      </c>
      <c r="E19" s="18" t="s">
        <v>73</v>
      </c>
      <c r="F19" s="18" t="s">
        <v>184</v>
      </c>
      <c r="G19" s="18">
        <v>1.0</v>
      </c>
      <c r="H19" s="18" t="s">
        <v>80</v>
      </c>
      <c r="I19" s="18" t="str">
        <f t="shared" si="1"/>
        <v>Obesity</v>
      </c>
    </row>
    <row r="20">
      <c r="A20" s="18" t="s">
        <v>87</v>
      </c>
      <c r="B20" s="18">
        <v>36.955</v>
      </c>
      <c r="C20" s="18">
        <v>4.72</v>
      </c>
      <c r="D20" s="18" t="s">
        <v>80</v>
      </c>
      <c r="E20" s="18" t="s">
        <v>73</v>
      </c>
      <c r="F20" s="18" t="s">
        <v>73</v>
      </c>
      <c r="G20" s="18">
        <v>1.0</v>
      </c>
      <c r="H20" s="18" t="s">
        <v>80</v>
      </c>
      <c r="I20" s="18" t="str">
        <f t="shared" si="1"/>
        <v>Obesity</v>
      </c>
    </row>
    <row r="21" ht="15.75" customHeight="1">
      <c r="A21" s="18" t="s">
        <v>90</v>
      </c>
      <c r="B21" s="18">
        <v>42.9</v>
      </c>
      <c r="C21" s="18">
        <v>11.41</v>
      </c>
      <c r="D21" s="18" t="s">
        <v>73</v>
      </c>
      <c r="E21" s="18" t="s">
        <v>73</v>
      </c>
      <c r="F21" s="18" t="s">
        <v>73</v>
      </c>
      <c r="G21" s="20">
        <v>0.0</v>
      </c>
      <c r="H21" s="18" t="s">
        <v>80</v>
      </c>
      <c r="I21" s="18" t="str">
        <f t="shared" si="1"/>
        <v>Obesity</v>
      </c>
      <c r="P21" s="31"/>
    </row>
    <row r="22" ht="15.75" customHeight="1">
      <c r="A22" s="18" t="s">
        <v>94</v>
      </c>
      <c r="B22" s="18">
        <v>36.3</v>
      </c>
      <c r="C22" s="18">
        <v>11.5</v>
      </c>
      <c r="D22" s="18" t="s">
        <v>80</v>
      </c>
      <c r="E22" s="18" t="s">
        <v>73</v>
      </c>
      <c r="F22" s="18" t="s">
        <v>73</v>
      </c>
      <c r="G22" s="18">
        <v>2.0</v>
      </c>
      <c r="H22" s="18" t="s">
        <v>80</v>
      </c>
      <c r="I22" s="18" t="str">
        <f t="shared" si="1"/>
        <v>Obesity</v>
      </c>
    </row>
    <row r="23" ht="15.75" customHeight="1">
      <c r="A23" s="18" t="s">
        <v>97</v>
      </c>
      <c r="B23" s="18">
        <v>32.2</v>
      </c>
      <c r="C23" s="18">
        <v>6.22</v>
      </c>
      <c r="D23" s="18" t="s">
        <v>80</v>
      </c>
      <c r="E23" s="18" t="s">
        <v>73</v>
      </c>
      <c r="F23" s="18" t="s">
        <v>73</v>
      </c>
      <c r="G23" s="18">
        <v>2.0</v>
      </c>
      <c r="H23" s="18" t="s">
        <v>80</v>
      </c>
      <c r="I23" s="18" t="str">
        <f t="shared" si="1"/>
        <v>Obesity</v>
      </c>
    </row>
    <row r="24" ht="15.75" customHeight="1">
      <c r="A24" s="18" t="s">
        <v>100</v>
      </c>
      <c r="B24" s="18">
        <v>31.3</v>
      </c>
      <c r="C24" s="18">
        <v>11.38</v>
      </c>
      <c r="D24" s="18" t="s">
        <v>73</v>
      </c>
      <c r="E24" s="18" t="s">
        <v>73</v>
      </c>
      <c r="F24" s="18" t="s">
        <v>73</v>
      </c>
      <c r="G24" s="18">
        <v>3.0</v>
      </c>
      <c r="H24" s="18" t="s">
        <v>80</v>
      </c>
      <c r="I24" s="18" t="str">
        <f t="shared" si="1"/>
        <v>Obesity</v>
      </c>
    </row>
    <row r="25" ht="15.75" customHeight="1">
      <c r="A25" s="18" t="s">
        <v>103</v>
      </c>
      <c r="B25" s="18">
        <v>41.8</v>
      </c>
      <c r="C25" s="18">
        <v>7.89</v>
      </c>
      <c r="D25" s="18" t="s">
        <v>80</v>
      </c>
      <c r="E25" s="18" t="s">
        <v>73</v>
      </c>
      <c r="F25" s="18" t="s">
        <v>73</v>
      </c>
      <c r="G25" s="18">
        <v>2.0</v>
      </c>
      <c r="H25" s="18" t="s">
        <v>80</v>
      </c>
      <c r="I25" s="18" t="str">
        <f t="shared" si="1"/>
        <v>Obesity</v>
      </c>
    </row>
    <row r="26" ht="15.75" customHeight="1">
      <c r="A26" s="18" t="s">
        <v>106</v>
      </c>
      <c r="B26" s="18">
        <v>35.09</v>
      </c>
      <c r="C26" s="18">
        <v>4.38</v>
      </c>
      <c r="D26" s="18" t="s">
        <v>80</v>
      </c>
      <c r="E26" s="18" t="s">
        <v>73</v>
      </c>
      <c r="F26" s="18" t="s">
        <v>73</v>
      </c>
      <c r="G26" s="18">
        <v>2.0</v>
      </c>
      <c r="H26" s="18" t="s">
        <v>80</v>
      </c>
      <c r="I26" s="18" t="str">
        <f t="shared" si="1"/>
        <v>Obesity</v>
      </c>
    </row>
    <row r="27" ht="15.75" customHeight="1">
      <c r="A27" s="18" t="s">
        <v>109</v>
      </c>
      <c r="B27" s="18">
        <v>33.88</v>
      </c>
      <c r="C27" s="18">
        <v>7.01</v>
      </c>
      <c r="D27" s="18" t="s">
        <v>73</v>
      </c>
      <c r="E27" s="18" t="s">
        <v>73</v>
      </c>
      <c r="F27" s="18" t="s">
        <v>73</v>
      </c>
      <c r="G27" s="18">
        <v>3.0</v>
      </c>
      <c r="H27" s="18" t="s">
        <v>80</v>
      </c>
      <c r="I27" s="18" t="str">
        <f t="shared" si="1"/>
        <v>Obesity</v>
      </c>
    </row>
    <row r="28" ht="15.75" customHeight="1">
      <c r="A28" s="18" t="s">
        <v>112</v>
      </c>
      <c r="B28" s="18">
        <v>30.875</v>
      </c>
      <c r="C28" s="18">
        <v>11.88</v>
      </c>
      <c r="D28" s="18" t="s">
        <v>73</v>
      </c>
      <c r="E28" s="18" t="s">
        <v>73</v>
      </c>
      <c r="F28" s="18" t="s">
        <v>73</v>
      </c>
      <c r="G28" s="20">
        <v>0.0</v>
      </c>
      <c r="H28" s="18" t="s">
        <v>80</v>
      </c>
      <c r="I28" s="18" t="str">
        <f t="shared" si="1"/>
        <v>Obesity</v>
      </c>
    </row>
    <row r="29" ht="15.75" customHeight="1">
      <c r="A29" s="18" t="s">
        <v>115</v>
      </c>
      <c r="B29" s="18">
        <v>36.86</v>
      </c>
      <c r="C29" s="18">
        <v>5.19</v>
      </c>
      <c r="D29" s="18" t="s">
        <v>80</v>
      </c>
      <c r="E29" s="18" t="s">
        <v>73</v>
      </c>
      <c r="F29" s="18" t="s">
        <v>184</v>
      </c>
      <c r="G29" s="18">
        <v>1.0</v>
      </c>
      <c r="H29" s="18" t="s">
        <v>80</v>
      </c>
      <c r="I29" s="18" t="str">
        <f t="shared" si="1"/>
        <v>Obesity</v>
      </c>
    </row>
    <row r="30" ht="15.75" customHeight="1">
      <c r="A30" s="18" t="s">
        <v>118</v>
      </c>
      <c r="B30" s="18">
        <v>35.86</v>
      </c>
      <c r="C30" s="18">
        <v>6.74</v>
      </c>
      <c r="D30" s="18" t="s">
        <v>80</v>
      </c>
      <c r="E30" s="18" t="s">
        <v>73</v>
      </c>
      <c r="F30" s="18" t="s">
        <v>73</v>
      </c>
      <c r="G30" s="18">
        <v>2.0</v>
      </c>
      <c r="H30" s="18" t="s">
        <v>80</v>
      </c>
      <c r="I30" s="18" t="str">
        <f t="shared" si="1"/>
        <v>Obesity</v>
      </c>
    </row>
    <row r="31" ht="15.75" customHeight="1">
      <c r="A31" s="18" t="s">
        <v>120</v>
      </c>
      <c r="B31" s="18">
        <v>37.05</v>
      </c>
      <c r="C31" s="18">
        <v>8.44</v>
      </c>
      <c r="D31" s="18" t="s">
        <v>73</v>
      </c>
      <c r="E31" s="18" t="s">
        <v>73</v>
      </c>
      <c r="F31" s="18" t="s">
        <v>73</v>
      </c>
      <c r="G31" s="20">
        <v>0.0</v>
      </c>
      <c r="H31" s="18" t="s">
        <v>80</v>
      </c>
      <c r="I31" s="18" t="str">
        <f t="shared" si="1"/>
        <v>Obesity</v>
      </c>
    </row>
    <row r="32" ht="15.75" customHeight="1">
      <c r="A32" s="18" t="s">
        <v>123</v>
      </c>
      <c r="B32" s="18">
        <v>43.89</v>
      </c>
      <c r="C32" s="18">
        <v>8.71</v>
      </c>
      <c r="D32" s="18" t="s">
        <v>73</v>
      </c>
      <c r="E32" s="18" t="s">
        <v>73</v>
      </c>
      <c r="F32" s="18" t="s">
        <v>73</v>
      </c>
      <c r="G32" s="20">
        <v>0.0</v>
      </c>
      <c r="H32" s="18" t="s">
        <v>80</v>
      </c>
      <c r="I32" s="18" t="str">
        <f t="shared" si="1"/>
        <v>Obesity</v>
      </c>
    </row>
    <row r="33" ht="15.75" customHeight="1">
      <c r="A33" s="18" t="s">
        <v>126</v>
      </c>
      <c r="B33" s="18">
        <v>42.35</v>
      </c>
      <c r="C33" s="18">
        <v>5.08</v>
      </c>
      <c r="D33" s="18" t="s">
        <v>80</v>
      </c>
      <c r="E33" s="18" t="s">
        <v>73</v>
      </c>
      <c r="F33" s="18" t="s">
        <v>73</v>
      </c>
      <c r="G33" s="20">
        <v>0.0</v>
      </c>
      <c r="H33" s="18" t="s">
        <v>80</v>
      </c>
      <c r="I33" s="18" t="str">
        <f t="shared" si="1"/>
        <v>Obesity</v>
      </c>
    </row>
    <row r="34" ht="15.75" customHeight="1">
      <c r="A34" s="18" t="s">
        <v>129</v>
      </c>
      <c r="B34" s="18">
        <v>31.35</v>
      </c>
      <c r="C34" s="18">
        <v>6.86</v>
      </c>
      <c r="D34" s="18" t="s">
        <v>73</v>
      </c>
      <c r="E34" s="18" t="s">
        <v>73</v>
      </c>
      <c r="F34" s="18" t="s">
        <v>73</v>
      </c>
      <c r="G34" s="20">
        <v>0.0</v>
      </c>
      <c r="H34" s="18" t="s">
        <v>80</v>
      </c>
      <c r="I34" s="18" t="str">
        <f t="shared" si="1"/>
        <v>Obesity</v>
      </c>
    </row>
    <row r="35" ht="15.75" customHeight="1">
      <c r="A35" s="18" t="s">
        <v>132</v>
      </c>
      <c r="B35" s="18">
        <v>47.6</v>
      </c>
      <c r="C35" s="18">
        <v>5.95</v>
      </c>
      <c r="D35" s="18" t="s">
        <v>80</v>
      </c>
      <c r="E35" s="18" t="s">
        <v>73</v>
      </c>
      <c r="F35" s="18" t="s">
        <v>73</v>
      </c>
      <c r="G35" s="20">
        <v>0.0</v>
      </c>
      <c r="H35" s="18" t="s">
        <v>80</v>
      </c>
      <c r="I35" s="18" t="str">
        <f t="shared" si="1"/>
        <v>Obesity</v>
      </c>
    </row>
    <row r="36" ht="15.75" customHeight="1">
      <c r="A36" s="18" t="s">
        <v>135</v>
      </c>
      <c r="B36" s="18">
        <v>46.2</v>
      </c>
      <c r="C36" s="18">
        <v>6.09</v>
      </c>
      <c r="D36" s="18" t="s">
        <v>73</v>
      </c>
      <c r="E36" s="18" t="s">
        <v>73</v>
      </c>
      <c r="F36" s="18" t="s">
        <v>184</v>
      </c>
      <c r="G36" s="18">
        <v>1.0</v>
      </c>
      <c r="H36" s="18" t="s">
        <v>80</v>
      </c>
      <c r="I36" s="18" t="str">
        <f t="shared" si="1"/>
        <v>Obesity</v>
      </c>
    </row>
    <row r="37" ht="15.75" customHeight="1">
      <c r="A37" s="18" t="s">
        <v>138</v>
      </c>
      <c r="B37" s="18">
        <v>32.015</v>
      </c>
      <c r="C37" s="18">
        <v>11.75</v>
      </c>
      <c r="D37" s="18" t="s">
        <v>73</v>
      </c>
      <c r="E37" s="18" t="s">
        <v>73</v>
      </c>
      <c r="F37" s="18" t="s">
        <v>73</v>
      </c>
      <c r="G37" s="20">
        <v>0.0</v>
      </c>
      <c r="H37" s="18" t="s">
        <v>80</v>
      </c>
      <c r="I37" s="18" t="str">
        <f t="shared" si="1"/>
        <v>Obesity</v>
      </c>
    </row>
    <row r="38" ht="15.75" customHeight="1">
      <c r="A38" s="18" t="s">
        <v>143</v>
      </c>
      <c r="B38" s="18">
        <v>40.565</v>
      </c>
      <c r="C38" s="18">
        <v>7.37</v>
      </c>
      <c r="D38" s="18" t="s">
        <v>73</v>
      </c>
      <c r="E38" s="18" t="s">
        <v>73</v>
      </c>
      <c r="F38" s="18" t="s">
        <v>73</v>
      </c>
      <c r="G38" s="20">
        <v>0.0</v>
      </c>
      <c r="H38" s="18" t="s">
        <v>80</v>
      </c>
      <c r="I38" s="18" t="str">
        <f t="shared" si="1"/>
        <v>Obesity</v>
      </c>
    </row>
    <row r="39" ht="15.75" customHeight="1">
      <c r="A39" s="18" t="s">
        <v>147</v>
      </c>
      <c r="B39" s="18">
        <v>32.45</v>
      </c>
      <c r="C39" s="18">
        <v>11.91</v>
      </c>
      <c r="D39" s="18" t="s">
        <v>73</v>
      </c>
      <c r="E39" s="18" t="s">
        <v>73</v>
      </c>
      <c r="F39" s="18" t="s">
        <v>73</v>
      </c>
      <c r="G39" s="20">
        <v>0.0</v>
      </c>
      <c r="H39" s="18" t="s">
        <v>80</v>
      </c>
      <c r="I39" s="18" t="str">
        <f t="shared" si="1"/>
        <v>Obesity</v>
      </c>
    </row>
    <row r="40" ht="15.75" customHeight="1">
      <c r="A40" s="18" t="s">
        <v>150</v>
      </c>
      <c r="B40" s="18">
        <v>34.96</v>
      </c>
      <c r="C40" s="18">
        <v>6.52</v>
      </c>
      <c r="D40" s="18" t="s">
        <v>73</v>
      </c>
      <c r="E40" s="18" t="s">
        <v>73</v>
      </c>
      <c r="F40" s="18" t="s">
        <v>73</v>
      </c>
      <c r="G40" s="20">
        <v>0.0</v>
      </c>
      <c r="H40" s="18" t="s">
        <v>80</v>
      </c>
      <c r="I40" s="18" t="str">
        <f t="shared" si="1"/>
        <v>Obesity</v>
      </c>
    </row>
    <row r="41" ht="15.75" customHeight="1">
      <c r="A41" s="18" t="s">
        <v>153</v>
      </c>
      <c r="B41" s="18">
        <v>35.5</v>
      </c>
      <c r="C41" s="18">
        <v>5.14</v>
      </c>
      <c r="D41" s="18" t="s">
        <v>73</v>
      </c>
      <c r="E41" s="18" t="s">
        <v>73</v>
      </c>
      <c r="F41" s="18" t="s">
        <v>184</v>
      </c>
      <c r="G41" s="18">
        <v>1.0</v>
      </c>
      <c r="H41" s="18" t="s">
        <v>80</v>
      </c>
      <c r="I41" s="18" t="str">
        <f t="shared" si="1"/>
        <v>Obesity</v>
      </c>
    </row>
    <row r="42" ht="15.75" customHeight="1">
      <c r="A42" s="18" t="s">
        <v>156</v>
      </c>
      <c r="B42" s="18">
        <v>52.58</v>
      </c>
      <c r="C42" s="18">
        <v>4.19</v>
      </c>
      <c r="D42" s="18" t="s">
        <v>73</v>
      </c>
      <c r="E42" s="18" t="s">
        <v>80</v>
      </c>
      <c r="F42" s="18" t="s">
        <v>73</v>
      </c>
      <c r="G42" s="18">
        <v>1.0</v>
      </c>
      <c r="H42" s="18" t="s">
        <v>80</v>
      </c>
      <c r="I42" s="18" t="str">
        <f t="shared" si="1"/>
        <v>Obesity</v>
      </c>
    </row>
    <row r="43" ht="15.75" customHeight="1">
      <c r="A43" s="18" t="s">
        <v>159</v>
      </c>
      <c r="B43" s="18">
        <v>35.2</v>
      </c>
      <c r="C43" s="18">
        <v>11.68</v>
      </c>
      <c r="D43" s="18" t="s">
        <v>80</v>
      </c>
      <c r="E43" s="18" t="s">
        <v>73</v>
      </c>
      <c r="F43" s="18" t="s">
        <v>73</v>
      </c>
      <c r="G43" s="20">
        <v>0.0</v>
      </c>
      <c r="H43" s="18" t="s">
        <v>80</v>
      </c>
      <c r="I43" s="18" t="str">
        <f t="shared" si="1"/>
        <v>Obesity</v>
      </c>
    </row>
    <row r="44" ht="15.75" customHeight="1">
      <c r="A44" s="18" t="s">
        <v>162</v>
      </c>
      <c r="B44" s="18">
        <v>38.06</v>
      </c>
      <c r="C44" s="18">
        <v>6.98</v>
      </c>
      <c r="D44" s="18" t="s">
        <v>73</v>
      </c>
      <c r="E44" s="18" t="s">
        <v>73</v>
      </c>
      <c r="F44" s="18" t="s">
        <v>73</v>
      </c>
      <c r="G44" s="20">
        <v>0.0</v>
      </c>
      <c r="H44" s="18" t="s">
        <v>80</v>
      </c>
      <c r="I44" s="18" t="str">
        <f t="shared" si="1"/>
        <v>Obesity</v>
      </c>
    </row>
    <row r="45" ht="15.75" customHeight="1">
      <c r="A45" s="18" t="s">
        <v>164</v>
      </c>
      <c r="B45" s="18">
        <v>34.21</v>
      </c>
      <c r="C45" s="18">
        <v>8.34</v>
      </c>
      <c r="D45" s="18" t="s">
        <v>73</v>
      </c>
      <c r="E45" s="18" t="s">
        <v>73</v>
      </c>
      <c r="F45" s="18" t="s">
        <v>73</v>
      </c>
      <c r="G45" s="20">
        <v>0.0</v>
      </c>
      <c r="H45" s="18" t="s">
        <v>80</v>
      </c>
      <c r="I45" s="18" t="str">
        <f t="shared" si="1"/>
        <v>Obesity</v>
      </c>
    </row>
    <row r="46" ht="15.75" customHeight="1">
      <c r="A46" s="18" t="s">
        <v>167</v>
      </c>
      <c r="B46" s="18">
        <v>38.94</v>
      </c>
      <c r="C46" s="18">
        <v>8.49</v>
      </c>
      <c r="D46" s="18" t="s">
        <v>80</v>
      </c>
      <c r="E46" s="18" t="s">
        <v>73</v>
      </c>
      <c r="F46" s="18" t="s">
        <v>73</v>
      </c>
      <c r="G46" s="18">
        <v>1.0</v>
      </c>
      <c r="H46" s="18" t="s">
        <v>80</v>
      </c>
      <c r="I46" s="18" t="str">
        <f t="shared" si="1"/>
        <v>Obesity</v>
      </c>
    </row>
    <row r="47" ht="15.75" customHeight="1">
      <c r="A47" s="18" t="s">
        <v>170</v>
      </c>
      <c r="B47" s="18">
        <v>30.21</v>
      </c>
      <c r="C47" s="18">
        <v>5.34</v>
      </c>
      <c r="D47" s="18" t="s">
        <v>80</v>
      </c>
      <c r="E47" s="18" t="s">
        <v>73</v>
      </c>
      <c r="F47" s="18" t="s">
        <v>73</v>
      </c>
      <c r="G47" s="18">
        <v>1.0</v>
      </c>
      <c r="H47" s="18" t="s">
        <v>80</v>
      </c>
      <c r="I47" s="18" t="str">
        <f t="shared" si="1"/>
        <v>Obesity</v>
      </c>
    </row>
    <row r="48" ht="15.75" customHeight="1">
      <c r="A48" s="18" t="s">
        <v>173</v>
      </c>
      <c r="B48" s="18">
        <v>33.63</v>
      </c>
      <c r="C48" s="18">
        <v>4.43</v>
      </c>
      <c r="D48" s="18" t="s">
        <v>80</v>
      </c>
      <c r="E48" s="18" t="s">
        <v>73</v>
      </c>
      <c r="F48" s="18" t="s">
        <v>73</v>
      </c>
      <c r="G48" s="18">
        <v>2.0</v>
      </c>
      <c r="H48" s="18" t="s">
        <v>80</v>
      </c>
      <c r="I48" s="18" t="str">
        <f t="shared" si="1"/>
        <v>Obesity</v>
      </c>
    </row>
    <row r="49" ht="15.75" customHeight="1">
      <c r="A49" s="18" t="s">
        <v>176</v>
      </c>
      <c r="B49" s="18">
        <v>40.37</v>
      </c>
      <c r="C49" s="18">
        <v>4.47</v>
      </c>
      <c r="D49" s="18" t="s">
        <v>73</v>
      </c>
      <c r="E49" s="18" t="s">
        <v>73</v>
      </c>
      <c r="F49" s="18" t="s">
        <v>73</v>
      </c>
      <c r="G49" s="20">
        <v>0.0</v>
      </c>
      <c r="H49" s="18" t="s">
        <v>80</v>
      </c>
      <c r="I49" s="18" t="str">
        <f t="shared" si="1"/>
        <v>Obesity</v>
      </c>
    </row>
    <row r="50" ht="15.75" customHeight="1">
      <c r="A50" s="18" t="s">
        <v>178</v>
      </c>
      <c r="B50" s="18">
        <v>53.09</v>
      </c>
      <c r="C50" s="18">
        <v>4.82</v>
      </c>
      <c r="D50" s="18" t="s">
        <v>80</v>
      </c>
      <c r="E50" s="18" t="s">
        <v>73</v>
      </c>
      <c r="F50" s="18" t="s">
        <v>73</v>
      </c>
      <c r="G50" s="18">
        <v>2.0</v>
      </c>
      <c r="H50" s="18" t="s">
        <v>80</v>
      </c>
      <c r="I50" s="18" t="str">
        <f t="shared" si="1"/>
        <v>Obesity</v>
      </c>
    </row>
    <row r="51" ht="15.75" customHeight="1">
      <c r="A51" s="18" t="s">
        <v>181</v>
      </c>
      <c r="B51" s="18">
        <v>31.79</v>
      </c>
      <c r="C51" s="18">
        <v>5.51</v>
      </c>
      <c r="D51" s="18" t="s">
        <v>80</v>
      </c>
      <c r="E51" s="18" t="s">
        <v>73</v>
      </c>
      <c r="F51" s="18" t="s">
        <v>73</v>
      </c>
      <c r="G51" s="18">
        <v>2.0</v>
      </c>
      <c r="H51" s="18" t="s">
        <v>80</v>
      </c>
      <c r="I51" s="18" t="str">
        <f t="shared" si="1"/>
        <v>Obesity</v>
      </c>
    </row>
    <row r="52" ht="15.75" customHeight="1">
      <c r="A52" s="18" t="s">
        <v>185</v>
      </c>
      <c r="B52" s="18">
        <v>41.895</v>
      </c>
      <c r="C52" s="18">
        <v>10.87</v>
      </c>
      <c r="D52" s="18" t="s">
        <v>80</v>
      </c>
      <c r="E52" s="18" t="s">
        <v>73</v>
      </c>
      <c r="F52" s="18" t="s">
        <v>73</v>
      </c>
      <c r="G52" s="18">
        <v>1.0</v>
      </c>
      <c r="H52" s="18" t="s">
        <v>80</v>
      </c>
      <c r="I52" s="18" t="str">
        <f t="shared" si="1"/>
        <v>Obesity</v>
      </c>
    </row>
    <row r="53" ht="15.75" customHeight="1">
      <c r="A53" s="18" t="s">
        <v>188</v>
      </c>
      <c r="B53" s="18">
        <v>31.16</v>
      </c>
      <c r="C53" s="18">
        <v>9.34</v>
      </c>
      <c r="D53" s="18" t="s">
        <v>73</v>
      </c>
      <c r="E53" s="18" t="s">
        <v>73</v>
      </c>
      <c r="F53" s="18" t="s">
        <v>73</v>
      </c>
      <c r="G53" s="20">
        <v>0.0</v>
      </c>
      <c r="H53" s="18" t="s">
        <v>80</v>
      </c>
      <c r="I53" s="18" t="str">
        <f t="shared" si="1"/>
        <v>Obesity</v>
      </c>
    </row>
    <row r="54" ht="15.75" customHeight="1">
      <c r="A54" s="18" t="s">
        <v>191</v>
      </c>
      <c r="B54" s="18">
        <v>34.105</v>
      </c>
      <c r="C54" s="18">
        <v>5.03</v>
      </c>
      <c r="D54" s="18" t="s">
        <v>80</v>
      </c>
      <c r="E54" s="18" t="s">
        <v>73</v>
      </c>
      <c r="F54" s="18" t="s">
        <v>184</v>
      </c>
      <c r="G54" s="18">
        <v>1.0</v>
      </c>
      <c r="H54" s="18" t="s">
        <v>80</v>
      </c>
      <c r="I54" s="18" t="str">
        <f t="shared" si="1"/>
        <v>Obesity</v>
      </c>
    </row>
    <row r="55" ht="15.75" customHeight="1">
      <c r="A55" s="18" t="s">
        <v>193</v>
      </c>
      <c r="B55" s="18">
        <v>51.93</v>
      </c>
      <c r="C55" s="18">
        <v>11.05</v>
      </c>
      <c r="D55" s="18" t="s">
        <v>73</v>
      </c>
      <c r="E55" s="18" t="s">
        <v>73</v>
      </c>
      <c r="F55" s="18" t="s">
        <v>73</v>
      </c>
      <c r="G55" s="20">
        <v>0.0</v>
      </c>
      <c r="H55" s="18" t="s">
        <v>80</v>
      </c>
      <c r="I55" s="18" t="str">
        <f t="shared" si="1"/>
        <v>Obesity</v>
      </c>
    </row>
    <row r="56" ht="15.75" customHeight="1">
      <c r="A56" s="18" t="s">
        <v>196</v>
      </c>
      <c r="B56" s="18">
        <v>38.95</v>
      </c>
      <c r="C56" s="18">
        <v>11.95</v>
      </c>
      <c r="D56" s="18" t="s">
        <v>73</v>
      </c>
      <c r="E56" s="18" t="s">
        <v>73</v>
      </c>
      <c r="F56" s="18" t="s">
        <v>73</v>
      </c>
      <c r="G56" s="20">
        <v>0.0</v>
      </c>
      <c r="H56" s="18" t="s">
        <v>80</v>
      </c>
      <c r="I56" s="18" t="str">
        <f t="shared" si="1"/>
        <v>Obesity</v>
      </c>
    </row>
    <row r="57" ht="15.75" customHeight="1">
      <c r="A57" s="18" t="s">
        <v>199</v>
      </c>
      <c r="B57" s="18">
        <v>36.63</v>
      </c>
      <c r="C57" s="18">
        <v>7.72</v>
      </c>
      <c r="D57" s="18" t="s">
        <v>80</v>
      </c>
      <c r="E57" s="18" t="s">
        <v>73</v>
      </c>
      <c r="F57" s="18" t="s">
        <v>73</v>
      </c>
      <c r="G57" s="18">
        <v>1.0</v>
      </c>
      <c r="H57" s="18" t="s">
        <v>80</v>
      </c>
      <c r="I57" s="18" t="str">
        <f t="shared" si="1"/>
        <v>Obesity</v>
      </c>
    </row>
    <row r="58" ht="15.75" customHeight="1">
      <c r="A58" s="18" t="s">
        <v>202</v>
      </c>
      <c r="B58" s="18">
        <v>34.2</v>
      </c>
      <c r="C58" s="18">
        <v>5.75</v>
      </c>
      <c r="D58" s="18" t="s">
        <v>73</v>
      </c>
      <c r="E58" s="18" t="s">
        <v>73</v>
      </c>
      <c r="F58" s="18" t="s">
        <v>73</v>
      </c>
      <c r="G58" s="18">
        <v>2.0</v>
      </c>
      <c r="H58" s="18" t="s">
        <v>80</v>
      </c>
      <c r="I58" s="18" t="str">
        <f t="shared" si="1"/>
        <v>Obesity</v>
      </c>
    </row>
    <row r="59" ht="15.75" customHeight="1">
      <c r="A59" s="18" t="s">
        <v>206</v>
      </c>
      <c r="B59" s="18">
        <v>50.63</v>
      </c>
      <c r="C59" s="18">
        <v>11.89</v>
      </c>
      <c r="D59" s="18" t="s">
        <v>73</v>
      </c>
      <c r="E59" s="18" t="s">
        <v>73</v>
      </c>
      <c r="F59" s="18" t="s">
        <v>73</v>
      </c>
      <c r="G59" s="20">
        <v>0.0</v>
      </c>
      <c r="H59" s="18" t="s">
        <v>80</v>
      </c>
      <c r="I59" s="18" t="str">
        <f t="shared" si="1"/>
        <v>Obesity</v>
      </c>
    </row>
    <row r="60" ht="15.75" customHeight="1">
      <c r="A60" s="18" t="s">
        <v>210</v>
      </c>
      <c r="B60" s="18">
        <v>36.48</v>
      </c>
      <c r="C60" s="18">
        <v>6.2</v>
      </c>
      <c r="D60" s="18" t="s">
        <v>73</v>
      </c>
      <c r="E60" s="18" t="s">
        <v>73</v>
      </c>
      <c r="F60" s="18" t="s">
        <v>73</v>
      </c>
      <c r="G60" s="20">
        <v>0.0</v>
      </c>
      <c r="H60" s="18" t="s">
        <v>80</v>
      </c>
      <c r="I60" s="18" t="str">
        <f t="shared" si="1"/>
        <v>Obesity</v>
      </c>
    </row>
    <row r="61" ht="15.75" customHeight="1">
      <c r="A61" s="18" t="s">
        <v>213</v>
      </c>
      <c r="B61" s="18">
        <v>54.82</v>
      </c>
      <c r="C61" s="18">
        <v>10.61</v>
      </c>
      <c r="D61" s="18" t="s">
        <v>73</v>
      </c>
      <c r="E61" s="18" t="s">
        <v>73</v>
      </c>
      <c r="F61" s="18" t="s">
        <v>73</v>
      </c>
      <c r="G61" s="20">
        <v>0.0</v>
      </c>
      <c r="H61" s="18" t="s">
        <v>80</v>
      </c>
      <c r="I61" s="18" t="str">
        <f t="shared" si="1"/>
        <v>Obesity</v>
      </c>
    </row>
    <row r="62" ht="15.75" customHeight="1">
      <c r="A62" s="18" t="s">
        <v>216</v>
      </c>
      <c r="B62" s="18">
        <v>38.06</v>
      </c>
      <c r="C62" s="18">
        <v>6.04</v>
      </c>
      <c r="D62" s="18" t="s">
        <v>73</v>
      </c>
      <c r="E62" s="18" t="s">
        <v>73</v>
      </c>
      <c r="F62" s="18" t="s">
        <v>184</v>
      </c>
      <c r="G62" s="18">
        <v>1.0</v>
      </c>
      <c r="H62" s="18" t="s">
        <v>80</v>
      </c>
      <c r="I62" s="18" t="str">
        <f t="shared" si="1"/>
        <v>Obesity</v>
      </c>
    </row>
    <row r="63" ht="15.75" customHeight="1">
      <c r="A63" s="18" t="s">
        <v>220</v>
      </c>
      <c r="B63" s="18">
        <v>51.48</v>
      </c>
      <c r="C63" s="18">
        <v>9.33</v>
      </c>
      <c r="D63" s="18" t="s">
        <v>80</v>
      </c>
      <c r="E63" s="18" t="s">
        <v>73</v>
      </c>
      <c r="F63" s="18" t="s">
        <v>73</v>
      </c>
      <c r="G63" s="20">
        <v>0.0</v>
      </c>
      <c r="H63" s="18" t="s">
        <v>80</v>
      </c>
      <c r="I63" s="18" t="str">
        <f t="shared" si="1"/>
        <v>Obesity</v>
      </c>
    </row>
    <row r="64" ht="15.75" customHeight="1">
      <c r="A64" s="18" t="s">
        <v>223</v>
      </c>
      <c r="B64" s="18">
        <v>52.06</v>
      </c>
      <c r="C64" s="18">
        <v>11.47</v>
      </c>
      <c r="D64" s="18" t="s">
        <v>73</v>
      </c>
      <c r="E64" s="18" t="s">
        <v>73</v>
      </c>
      <c r="F64" s="18" t="s">
        <v>73</v>
      </c>
      <c r="G64" s="20">
        <v>0.0</v>
      </c>
      <c r="H64" s="18" t="s">
        <v>80</v>
      </c>
      <c r="I64" s="18" t="str">
        <f t="shared" si="1"/>
        <v>Obesity</v>
      </c>
    </row>
    <row r="65" ht="15.75" customHeight="1">
      <c r="A65" s="18" t="s">
        <v>226</v>
      </c>
      <c r="B65" s="18">
        <v>30.685</v>
      </c>
      <c r="C65" s="18">
        <v>7.02</v>
      </c>
      <c r="D65" s="18" t="s">
        <v>80</v>
      </c>
      <c r="E65" s="18" t="s">
        <v>73</v>
      </c>
      <c r="F65" s="18" t="s">
        <v>73</v>
      </c>
      <c r="G65" s="20">
        <v>0.0</v>
      </c>
      <c r="H65" s="18" t="s">
        <v>80</v>
      </c>
      <c r="I65" s="18" t="str">
        <f t="shared" si="1"/>
        <v>Obesity</v>
      </c>
    </row>
    <row r="66" ht="15.75" customHeight="1">
      <c r="A66" s="18" t="s">
        <v>228</v>
      </c>
      <c r="B66" s="18">
        <v>36.08</v>
      </c>
      <c r="C66" s="18">
        <v>8.8</v>
      </c>
      <c r="D66" s="18" t="s">
        <v>80</v>
      </c>
      <c r="E66" s="18" t="s">
        <v>73</v>
      </c>
      <c r="F66" s="18" t="s">
        <v>73</v>
      </c>
      <c r="G66" s="18">
        <v>1.0</v>
      </c>
      <c r="H66" s="18" t="s">
        <v>80</v>
      </c>
      <c r="I66" s="18" t="str">
        <f t="shared" si="1"/>
        <v>Obesity</v>
      </c>
    </row>
    <row r="67" ht="15.75" customHeight="1">
      <c r="A67" s="18" t="s">
        <v>231</v>
      </c>
      <c r="B67" s="18">
        <v>54.99</v>
      </c>
      <c r="C67" s="18">
        <v>8.68</v>
      </c>
      <c r="D67" s="18" t="s">
        <v>73</v>
      </c>
      <c r="E67" s="18" t="s">
        <v>73</v>
      </c>
      <c r="F67" s="18" t="s">
        <v>73</v>
      </c>
      <c r="G67" s="18">
        <v>2.0</v>
      </c>
      <c r="H67" s="18" t="s">
        <v>80</v>
      </c>
      <c r="I67" s="18" t="str">
        <f t="shared" si="1"/>
        <v>Obesity</v>
      </c>
    </row>
    <row r="68" ht="15.75" customHeight="1">
      <c r="A68" s="18" t="s">
        <v>234</v>
      </c>
      <c r="B68" s="18">
        <v>35.97</v>
      </c>
      <c r="C68" s="18">
        <v>6.12</v>
      </c>
      <c r="D68" s="18" t="s">
        <v>73</v>
      </c>
      <c r="E68" s="18" t="s">
        <v>73</v>
      </c>
      <c r="F68" s="18" t="s">
        <v>184</v>
      </c>
      <c r="G68" s="18">
        <v>1.0</v>
      </c>
      <c r="H68" s="18" t="s">
        <v>80</v>
      </c>
      <c r="I68" s="18" t="str">
        <f t="shared" si="1"/>
        <v>Obesity</v>
      </c>
    </row>
    <row r="69" ht="15.75" customHeight="1">
      <c r="A69" s="18" t="s">
        <v>237</v>
      </c>
      <c r="B69" s="18">
        <v>45.54</v>
      </c>
      <c r="C69" s="18">
        <v>5.4</v>
      </c>
      <c r="D69" s="18" t="s">
        <v>80</v>
      </c>
      <c r="E69" s="18" t="s">
        <v>73</v>
      </c>
      <c r="F69" s="18" t="s">
        <v>184</v>
      </c>
      <c r="G69" s="18">
        <v>1.0</v>
      </c>
      <c r="H69" s="18" t="s">
        <v>80</v>
      </c>
      <c r="I69" s="18" t="str">
        <f t="shared" si="1"/>
        <v>Obesity</v>
      </c>
    </row>
    <row r="70" ht="15.75" customHeight="1">
      <c r="A70" s="18" t="s">
        <v>242</v>
      </c>
      <c r="B70" s="18">
        <v>35.53</v>
      </c>
      <c r="C70" s="18">
        <v>4.36</v>
      </c>
      <c r="D70" s="18" t="s">
        <v>80</v>
      </c>
      <c r="E70" s="18" t="s">
        <v>73</v>
      </c>
      <c r="F70" s="18" t="s">
        <v>73</v>
      </c>
      <c r="G70" s="20">
        <v>0.0</v>
      </c>
      <c r="H70" s="18" t="s">
        <v>80</v>
      </c>
      <c r="I70" s="18" t="str">
        <f t="shared" si="1"/>
        <v>Obesity</v>
      </c>
    </row>
    <row r="71" ht="15.75" customHeight="1">
      <c r="A71" s="18" t="s">
        <v>245</v>
      </c>
      <c r="B71" s="18">
        <v>30.8</v>
      </c>
      <c r="C71" s="18">
        <v>9.77</v>
      </c>
      <c r="D71" s="18" t="s">
        <v>73</v>
      </c>
      <c r="E71" s="18" t="s">
        <v>73</v>
      </c>
      <c r="F71" s="18" t="s">
        <v>73</v>
      </c>
      <c r="G71" s="20">
        <v>0.0</v>
      </c>
      <c r="H71" s="18" t="s">
        <v>80</v>
      </c>
      <c r="I71" s="18" t="str">
        <f t="shared" si="1"/>
        <v>Obesity</v>
      </c>
    </row>
    <row r="72" ht="15.75" customHeight="1">
      <c r="A72" s="18" t="s">
        <v>248</v>
      </c>
      <c r="B72" s="18">
        <v>38.39</v>
      </c>
      <c r="C72" s="18">
        <v>4.25</v>
      </c>
      <c r="D72" s="18" t="s">
        <v>73</v>
      </c>
      <c r="E72" s="18" t="s">
        <v>73</v>
      </c>
      <c r="F72" s="18" t="s">
        <v>73</v>
      </c>
      <c r="G72" s="18">
        <v>1.0</v>
      </c>
      <c r="H72" s="18" t="s">
        <v>80</v>
      </c>
      <c r="I72" s="18" t="str">
        <f t="shared" si="1"/>
        <v>Obesity</v>
      </c>
    </row>
    <row r="73" ht="15.75" customHeight="1">
      <c r="A73" s="18" t="s">
        <v>251</v>
      </c>
      <c r="B73" s="18">
        <v>32.3</v>
      </c>
      <c r="C73" s="18">
        <v>4.76</v>
      </c>
      <c r="D73" s="18" t="s">
        <v>73</v>
      </c>
      <c r="E73" s="18" t="s">
        <v>73</v>
      </c>
      <c r="F73" s="18" t="s">
        <v>73</v>
      </c>
      <c r="G73" s="18">
        <v>2.0</v>
      </c>
      <c r="H73" s="18" t="s">
        <v>80</v>
      </c>
      <c r="I73" s="18" t="str">
        <f t="shared" si="1"/>
        <v>Obesity</v>
      </c>
    </row>
    <row r="74" ht="15.75" customHeight="1">
      <c r="A74" s="18" t="s">
        <v>254</v>
      </c>
      <c r="B74" s="18">
        <v>48.8</v>
      </c>
      <c r="C74" s="18">
        <v>6.22</v>
      </c>
      <c r="D74" s="18" t="s">
        <v>80</v>
      </c>
      <c r="E74" s="18" t="s">
        <v>73</v>
      </c>
      <c r="F74" s="18" t="s">
        <v>73</v>
      </c>
      <c r="G74" s="18">
        <v>2.0</v>
      </c>
      <c r="H74" s="18" t="s">
        <v>80</v>
      </c>
      <c r="I74" s="18" t="str">
        <f t="shared" si="1"/>
        <v>Obesity</v>
      </c>
    </row>
    <row r="75" ht="15.75" customHeight="1">
      <c r="A75" s="18" t="s">
        <v>257</v>
      </c>
      <c r="B75" s="18">
        <v>45.5</v>
      </c>
      <c r="C75" s="18">
        <v>7.96</v>
      </c>
      <c r="D75" s="18" t="s">
        <v>73</v>
      </c>
      <c r="E75" s="18" t="s">
        <v>73</v>
      </c>
      <c r="F75" s="18" t="s">
        <v>73</v>
      </c>
      <c r="G75" s="20">
        <v>0.0</v>
      </c>
      <c r="H75" s="18" t="s">
        <v>80</v>
      </c>
      <c r="I75" s="18" t="str">
        <f t="shared" si="1"/>
        <v>Obesity</v>
      </c>
    </row>
    <row r="76" ht="15.75" customHeight="1">
      <c r="A76" s="18" t="s">
        <v>260</v>
      </c>
      <c r="B76" s="18">
        <v>53.61</v>
      </c>
      <c r="C76" s="18">
        <v>10.92</v>
      </c>
      <c r="D76" s="18" t="s">
        <v>80</v>
      </c>
      <c r="E76" s="18" t="s">
        <v>73</v>
      </c>
      <c r="F76" s="18" t="s">
        <v>73</v>
      </c>
      <c r="G76" s="18">
        <v>1.0</v>
      </c>
      <c r="H76" s="18" t="s">
        <v>80</v>
      </c>
      <c r="I76" s="18" t="str">
        <f t="shared" si="1"/>
        <v>Obesity</v>
      </c>
    </row>
    <row r="77" ht="15.75" customHeight="1">
      <c r="A77" s="18" t="s">
        <v>263</v>
      </c>
      <c r="B77" s="18">
        <v>36.19</v>
      </c>
      <c r="C77" s="18">
        <v>11.51</v>
      </c>
      <c r="D77" s="18" t="s">
        <v>80</v>
      </c>
      <c r="E77" s="18" t="s">
        <v>73</v>
      </c>
      <c r="F77" s="18" t="s">
        <v>73</v>
      </c>
      <c r="G77" s="18">
        <v>1.0</v>
      </c>
      <c r="H77" s="18" t="s">
        <v>80</v>
      </c>
      <c r="I77" s="18" t="str">
        <f t="shared" si="1"/>
        <v>Obesity</v>
      </c>
    </row>
    <row r="78" ht="15.75" customHeight="1">
      <c r="A78" s="18" t="s">
        <v>266</v>
      </c>
      <c r="B78" s="18">
        <v>34.6</v>
      </c>
      <c r="C78" s="18">
        <v>5.99</v>
      </c>
      <c r="D78" s="18" t="s">
        <v>80</v>
      </c>
      <c r="E78" s="18" t="s">
        <v>73</v>
      </c>
      <c r="F78" s="18" t="s">
        <v>73</v>
      </c>
      <c r="G78" s="20">
        <v>0.0</v>
      </c>
      <c r="H78" s="18" t="s">
        <v>80</v>
      </c>
      <c r="I78" s="18" t="str">
        <f t="shared" si="1"/>
        <v>Obesity</v>
      </c>
    </row>
    <row r="79" ht="15.75" customHeight="1">
      <c r="A79" s="18" t="s">
        <v>270</v>
      </c>
      <c r="B79" s="18">
        <v>54.12</v>
      </c>
      <c r="C79" s="18">
        <v>11.57</v>
      </c>
      <c r="D79" s="18" t="s">
        <v>73</v>
      </c>
      <c r="E79" s="18" t="s">
        <v>73</v>
      </c>
      <c r="F79" s="18" t="s">
        <v>73</v>
      </c>
      <c r="G79" s="20">
        <v>0.0</v>
      </c>
      <c r="H79" s="18" t="s">
        <v>80</v>
      </c>
      <c r="I79" s="18" t="str">
        <f t="shared" si="1"/>
        <v>Obesity</v>
      </c>
    </row>
    <row r="80" ht="15.75" customHeight="1">
      <c r="A80" s="18" t="s">
        <v>274</v>
      </c>
      <c r="B80" s="18">
        <v>48.82</v>
      </c>
      <c r="C80" s="18">
        <v>6.67</v>
      </c>
      <c r="D80" s="18" t="s">
        <v>80</v>
      </c>
      <c r="E80" s="18" t="s">
        <v>73</v>
      </c>
      <c r="F80" s="18" t="s">
        <v>73</v>
      </c>
      <c r="G80" s="20">
        <v>0.0</v>
      </c>
      <c r="H80" s="18" t="s">
        <v>80</v>
      </c>
      <c r="I80" s="18" t="str">
        <f t="shared" si="1"/>
        <v>Obesity</v>
      </c>
    </row>
    <row r="81" ht="15.75" customHeight="1">
      <c r="A81" s="18" t="s">
        <v>277</v>
      </c>
      <c r="B81" s="18">
        <v>51.01</v>
      </c>
      <c r="C81" s="18">
        <v>9.2</v>
      </c>
      <c r="D81" s="18" t="s">
        <v>73</v>
      </c>
      <c r="E81" s="18" t="s">
        <v>73</v>
      </c>
      <c r="F81" s="18" t="s">
        <v>73</v>
      </c>
      <c r="G81" s="20">
        <v>0.0</v>
      </c>
      <c r="H81" s="18" t="s">
        <v>80</v>
      </c>
      <c r="I81" s="18" t="str">
        <f t="shared" si="1"/>
        <v>Obesity</v>
      </c>
    </row>
    <row r="82" ht="15.75" customHeight="1">
      <c r="A82" s="18" t="s">
        <v>280</v>
      </c>
      <c r="B82" s="18">
        <v>45.65</v>
      </c>
      <c r="C82" s="18">
        <v>5.11</v>
      </c>
      <c r="D82" s="18" t="s">
        <v>80</v>
      </c>
      <c r="E82" s="18" t="s">
        <v>73</v>
      </c>
      <c r="F82" s="18" t="s">
        <v>73</v>
      </c>
      <c r="G82" s="18">
        <v>1.0</v>
      </c>
      <c r="H82" s="18" t="s">
        <v>80</v>
      </c>
      <c r="I82" s="18" t="str">
        <f t="shared" si="1"/>
        <v>Obesity</v>
      </c>
    </row>
    <row r="83" ht="15.75" customHeight="1">
      <c r="A83" s="18" t="s">
        <v>283</v>
      </c>
      <c r="B83" s="18">
        <v>52.9</v>
      </c>
      <c r="C83" s="18">
        <v>5.34</v>
      </c>
      <c r="D83" s="18" t="s">
        <v>73</v>
      </c>
      <c r="E83" s="18" t="s">
        <v>73</v>
      </c>
      <c r="F83" s="18" t="s">
        <v>73</v>
      </c>
      <c r="G83" s="20">
        <v>0.0</v>
      </c>
      <c r="H83" s="18" t="s">
        <v>80</v>
      </c>
      <c r="I83" s="18" t="str">
        <f t="shared" si="1"/>
        <v>Obesity</v>
      </c>
    </row>
    <row r="84" ht="15.75" customHeight="1">
      <c r="A84" s="18" t="s">
        <v>286</v>
      </c>
      <c r="B84" s="18">
        <v>45.41</v>
      </c>
      <c r="C84" s="18">
        <v>4.03</v>
      </c>
      <c r="D84" s="18" t="s">
        <v>80</v>
      </c>
      <c r="E84" s="18" t="s">
        <v>73</v>
      </c>
      <c r="F84" s="18" t="s">
        <v>73</v>
      </c>
      <c r="G84" s="18">
        <v>1.0</v>
      </c>
      <c r="H84" s="18" t="s">
        <v>80</v>
      </c>
      <c r="I84" s="18" t="str">
        <f t="shared" si="1"/>
        <v>Obesity</v>
      </c>
    </row>
    <row r="85" ht="15.75" customHeight="1">
      <c r="A85" s="18" t="s">
        <v>289</v>
      </c>
      <c r="B85" s="18">
        <v>49.41</v>
      </c>
      <c r="C85" s="18">
        <v>4.23</v>
      </c>
      <c r="D85" s="18" t="s">
        <v>80</v>
      </c>
      <c r="E85" s="18" t="s">
        <v>73</v>
      </c>
      <c r="F85" s="18" t="s">
        <v>184</v>
      </c>
      <c r="G85" s="18">
        <v>1.0</v>
      </c>
      <c r="H85" s="18" t="s">
        <v>80</v>
      </c>
      <c r="I85" s="18" t="str">
        <f t="shared" si="1"/>
        <v>Obesity</v>
      </c>
    </row>
    <row r="86" ht="15.75" customHeight="1">
      <c r="A86" s="18" t="s">
        <v>292</v>
      </c>
      <c r="B86" s="18">
        <v>31.825</v>
      </c>
      <c r="C86" s="18">
        <v>4.06</v>
      </c>
      <c r="D86" s="18" t="s">
        <v>73</v>
      </c>
      <c r="E86" s="18" t="s">
        <v>73</v>
      </c>
      <c r="F86" s="18" t="s">
        <v>73</v>
      </c>
      <c r="G86" s="18">
        <v>2.0</v>
      </c>
      <c r="H86" s="18" t="s">
        <v>80</v>
      </c>
      <c r="I86" s="18" t="str">
        <f t="shared" si="1"/>
        <v>Obesity</v>
      </c>
    </row>
    <row r="87" ht="15.75" customHeight="1">
      <c r="A87" s="18" t="s">
        <v>296</v>
      </c>
      <c r="B87" s="18">
        <v>51.28</v>
      </c>
      <c r="C87" s="18">
        <v>4.68</v>
      </c>
      <c r="D87" s="18" t="s">
        <v>73</v>
      </c>
      <c r="E87" s="18" t="s">
        <v>73</v>
      </c>
      <c r="F87" s="18" t="s">
        <v>73</v>
      </c>
      <c r="G87" s="18">
        <v>2.0</v>
      </c>
      <c r="H87" s="18" t="s">
        <v>80</v>
      </c>
      <c r="I87" s="18" t="str">
        <f t="shared" si="1"/>
        <v>Obesity</v>
      </c>
    </row>
    <row r="88" ht="15.75" customHeight="1">
      <c r="A88" s="18" t="s">
        <v>299</v>
      </c>
      <c r="B88" s="18">
        <v>34.96</v>
      </c>
      <c r="C88" s="18">
        <v>4.34</v>
      </c>
      <c r="D88" s="18" t="s">
        <v>73</v>
      </c>
      <c r="E88" s="18" t="s">
        <v>73</v>
      </c>
      <c r="F88" s="18" t="s">
        <v>184</v>
      </c>
      <c r="G88" s="18">
        <v>1.0</v>
      </c>
      <c r="H88" s="18" t="s">
        <v>80</v>
      </c>
      <c r="I88" s="18" t="str">
        <f t="shared" si="1"/>
        <v>Obesity</v>
      </c>
    </row>
    <row r="89" ht="15.75" customHeight="1">
      <c r="A89" s="18" t="s">
        <v>302</v>
      </c>
      <c r="B89" s="18">
        <v>33.11</v>
      </c>
      <c r="C89" s="18">
        <v>10.51</v>
      </c>
      <c r="D89" s="18" t="s">
        <v>73</v>
      </c>
      <c r="E89" s="18" t="s">
        <v>73</v>
      </c>
      <c r="F89" s="18" t="s">
        <v>73</v>
      </c>
      <c r="G89" s="20">
        <v>0.0</v>
      </c>
      <c r="H89" s="18" t="s">
        <v>80</v>
      </c>
      <c r="I89" s="18" t="str">
        <f t="shared" si="1"/>
        <v>Obesity</v>
      </c>
    </row>
    <row r="90" ht="15.75" customHeight="1">
      <c r="A90" s="18" t="s">
        <v>305</v>
      </c>
      <c r="B90" s="18">
        <v>54.74</v>
      </c>
      <c r="C90" s="18">
        <v>5.84</v>
      </c>
      <c r="D90" s="18" t="s">
        <v>80</v>
      </c>
      <c r="E90" s="18" t="s">
        <v>73</v>
      </c>
      <c r="F90" s="18" t="s">
        <v>184</v>
      </c>
      <c r="G90" s="18">
        <v>1.0</v>
      </c>
      <c r="H90" s="18" t="s">
        <v>80</v>
      </c>
      <c r="I90" s="18" t="str">
        <f t="shared" si="1"/>
        <v>Obesity</v>
      </c>
    </row>
    <row r="91" ht="15.75" customHeight="1">
      <c r="A91" s="18" t="s">
        <v>308</v>
      </c>
      <c r="B91" s="18">
        <v>32.56</v>
      </c>
      <c r="C91" s="18">
        <v>5.41</v>
      </c>
      <c r="D91" s="18" t="s">
        <v>73</v>
      </c>
      <c r="E91" s="18" t="s">
        <v>73</v>
      </c>
      <c r="F91" s="18" t="s">
        <v>184</v>
      </c>
      <c r="G91" s="18">
        <v>1.0</v>
      </c>
      <c r="H91" s="18" t="s">
        <v>80</v>
      </c>
      <c r="I91" s="18" t="str">
        <f t="shared" si="1"/>
        <v>Obesity</v>
      </c>
    </row>
    <row r="92" ht="15.75" customHeight="1">
      <c r="A92" s="18" t="s">
        <v>311</v>
      </c>
      <c r="B92" s="18">
        <v>39.05</v>
      </c>
      <c r="C92" s="18">
        <v>6.06</v>
      </c>
      <c r="D92" s="18" t="s">
        <v>73</v>
      </c>
      <c r="E92" s="18" t="s">
        <v>73</v>
      </c>
      <c r="F92" s="18" t="s">
        <v>73</v>
      </c>
      <c r="G92" s="18">
        <v>1.0</v>
      </c>
      <c r="H92" s="18" t="s">
        <v>80</v>
      </c>
      <c r="I92" s="18" t="str">
        <f t="shared" si="1"/>
        <v>Obesity</v>
      </c>
    </row>
    <row r="93" ht="15.75" customHeight="1">
      <c r="A93" s="18" t="s">
        <v>314</v>
      </c>
      <c r="B93" s="18">
        <v>42.75</v>
      </c>
      <c r="C93" s="18">
        <v>4.22</v>
      </c>
      <c r="D93" s="18" t="s">
        <v>73</v>
      </c>
      <c r="E93" s="18" t="s">
        <v>73</v>
      </c>
      <c r="F93" s="18" t="s">
        <v>73</v>
      </c>
      <c r="G93" s="20">
        <v>0.0</v>
      </c>
      <c r="H93" s="18" t="s">
        <v>80</v>
      </c>
      <c r="I93" s="18" t="str">
        <f t="shared" si="1"/>
        <v>Obesity</v>
      </c>
    </row>
    <row r="94" ht="15.75" customHeight="1">
      <c r="A94" s="18" t="s">
        <v>318</v>
      </c>
      <c r="B94" s="18">
        <v>50.58</v>
      </c>
      <c r="C94" s="18">
        <v>5.12</v>
      </c>
      <c r="D94" s="18" t="s">
        <v>73</v>
      </c>
      <c r="E94" s="18" t="s">
        <v>73</v>
      </c>
      <c r="F94" s="18" t="s">
        <v>73</v>
      </c>
      <c r="G94" s="18">
        <v>2.0</v>
      </c>
      <c r="H94" s="18" t="s">
        <v>80</v>
      </c>
      <c r="I94" s="18" t="str">
        <f t="shared" si="1"/>
        <v>Obesity</v>
      </c>
    </row>
    <row r="95" ht="15.75" customHeight="1">
      <c r="A95" s="18" t="s">
        <v>321</v>
      </c>
      <c r="B95" s="18">
        <v>30.495</v>
      </c>
      <c r="C95" s="18">
        <v>4.57</v>
      </c>
      <c r="D95" s="18" t="s">
        <v>80</v>
      </c>
      <c r="E95" s="18" t="s">
        <v>73</v>
      </c>
      <c r="F95" s="18" t="s">
        <v>73</v>
      </c>
      <c r="G95" s="20">
        <v>0.0</v>
      </c>
      <c r="H95" s="18" t="s">
        <v>80</v>
      </c>
      <c r="I95" s="18" t="str">
        <f t="shared" si="1"/>
        <v>Obesity</v>
      </c>
    </row>
    <row r="96" ht="15.75" customHeight="1">
      <c r="A96" s="18" t="s">
        <v>323</v>
      </c>
      <c r="B96" s="18">
        <v>48.31</v>
      </c>
      <c r="C96" s="18">
        <v>9.58</v>
      </c>
      <c r="D96" s="18" t="s">
        <v>80</v>
      </c>
      <c r="E96" s="18" t="s">
        <v>73</v>
      </c>
      <c r="F96" s="18" t="s">
        <v>73</v>
      </c>
      <c r="G96" s="18">
        <v>2.0</v>
      </c>
      <c r="H96" s="18" t="s">
        <v>80</v>
      </c>
      <c r="I96" s="18" t="str">
        <f t="shared" si="1"/>
        <v>Obesity</v>
      </c>
    </row>
    <row r="97" ht="15.75" customHeight="1">
      <c r="A97" s="18" t="s">
        <v>326</v>
      </c>
      <c r="B97" s="18">
        <v>48.99</v>
      </c>
      <c r="C97" s="18">
        <v>9.78</v>
      </c>
      <c r="D97" s="18" t="s">
        <v>80</v>
      </c>
      <c r="E97" s="18" t="s">
        <v>73</v>
      </c>
      <c r="F97" s="18" t="s">
        <v>73</v>
      </c>
      <c r="G97" s="18">
        <v>1.0</v>
      </c>
      <c r="H97" s="18" t="s">
        <v>80</v>
      </c>
      <c r="I97" s="18" t="str">
        <f t="shared" si="1"/>
        <v>Obesity</v>
      </c>
    </row>
    <row r="98" ht="15.75" customHeight="1">
      <c r="A98" s="18" t="s">
        <v>329</v>
      </c>
      <c r="B98" s="18">
        <v>38.39</v>
      </c>
      <c r="C98" s="18">
        <v>4.11</v>
      </c>
      <c r="D98" s="18" t="s">
        <v>80</v>
      </c>
      <c r="E98" s="18" t="s">
        <v>73</v>
      </c>
      <c r="F98" s="18" t="s">
        <v>73</v>
      </c>
      <c r="G98" s="20">
        <v>0.0</v>
      </c>
      <c r="H98" s="18" t="s">
        <v>80</v>
      </c>
      <c r="I98" s="18" t="str">
        <f t="shared" si="1"/>
        <v>Obesity</v>
      </c>
    </row>
    <row r="99" ht="15.75" customHeight="1">
      <c r="A99" s="18" t="s">
        <v>332</v>
      </c>
      <c r="B99" s="18">
        <v>44.34</v>
      </c>
      <c r="C99" s="18">
        <v>4.02</v>
      </c>
      <c r="D99" s="18" t="s">
        <v>80</v>
      </c>
      <c r="E99" s="18" t="s">
        <v>73</v>
      </c>
      <c r="F99" s="18" t="s">
        <v>73</v>
      </c>
      <c r="G99" s="18">
        <v>2.0</v>
      </c>
      <c r="H99" s="18" t="s">
        <v>80</v>
      </c>
      <c r="I99" s="18" t="str">
        <f t="shared" si="1"/>
        <v>Obesity</v>
      </c>
    </row>
    <row r="100" ht="15.75" customHeight="1">
      <c r="A100" s="18" t="s">
        <v>335</v>
      </c>
      <c r="B100" s="18">
        <v>41.51</v>
      </c>
      <c r="C100" s="18">
        <v>6.92</v>
      </c>
      <c r="D100" s="18" t="s">
        <v>73</v>
      </c>
      <c r="E100" s="18" t="s">
        <v>73</v>
      </c>
      <c r="F100" s="18" t="s">
        <v>73</v>
      </c>
      <c r="G100" s="20">
        <v>0.0</v>
      </c>
      <c r="H100" s="18" t="s">
        <v>80</v>
      </c>
      <c r="I100" s="18" t="str">
        <f t="shared" si="1"/>
        <v>Obesity</v>
      </c>
    </row>
    <row r="101" ht="15.75" customHeight="1">
      <c r="A101" s="18" t="s">
        <v>338</v>
      </c>
      <c r="B101" s="18">
        <v>48.2</v>
      </c>
      <c r="C101" s="18">
        <v>4.84</v>
      </c>
      <c r="D101" s="18" t="s">
        <v>73</v>
      </c>
      <c r="E101" s="18" t="s">
        <v>73</v>
      </c>
      <c r="F101" s="18" t="s">
        <v>73</v>
      </c>
      <c r="G101" s="20">
        <v>0.0</v>
      </c>
      <c r="H101" s="18" t="s">
        <v>80</v>
      </c>
      <c r="I101" s="18" t="str">
        <f t="shared" si="1"/>
        <v>Obesity</v>
      </c>
    </row>
    <row r="102" ht="15.75" customHeight="1">
      <c r="A102" s="18" t="s">
        <v>340</v>
      </c>
      <c r="B102" s="18">
        <v>35.75</v>
      </c>
      <c r="C102" s="18">
        <v>8.0</v>
      </c>
      <c r="D102" s="18" t="s">
        <v>80</v>
      </c>
      <c r="E102" s="18" t="s">
        <v>73</v>
      </c>
      <c r="F102" s="18" t="s">
        <v>73</v>
      </c>
      <c r="G102" s="20">
        <v>0.0</v>
      </c>
      <c r="H102" s="18" t="s">
        <v>80</v>
      </c>
      <c r="I102" s="18" t="str">
        <f t="shared" si="1"/>
        <v>Obesity</v>
      </c>
    </row>
    <row r="103" ht="15.75" customHeight="1">
      <c r="A103" s="18" t="s">
        <v>343</v>
      </c>
      <c r="B103" s="18">
        <v>53.81</v>
      </c>
      <c r="C103" s="18">
        <v>8.77</v>
      </c>
      <c r="D103" s="18" t="s">
        <v>80</v>
      </c>
      <c r="E103" s="18" t="s">
        <v>73</v>
      </c>
      <c r="F103" s="18" t="s">
        <v>73</v>
      </c>
      <c r="G103" s="20">
        <v>0.0</v>
      </c>
      <c r="H103" s="18" t="s">
        <v>80</v>
      </c>
      <c r="I103" s="18" t="str">
        <f t="shared" si="1"/>
        <v>Obesity</v>
      </c>
    </row>
    <row r="104" ht="15.75" customHeight="1">
      <c r="A104" s="18" t="s">
        <v>347</v>
      </c>
      <c r="B104" s="18">
        <v>49.48</v>
      </c>
      <c r="C104" s="18">
        <v>4.96</v>
      </c>
      <c r="D104" s="18" t="s">
        <v>73</v>
      </c>
      <c r="E104" s="18" t="s">
        <v>73</v>
      </c>
      <c r="F104" s="18" t="s">
        <v>184</v>
      </c>
      <c r="G104" s="18">
        <v>1.0</v>
      </c>
      <c r="H104" s="18" t="s">
        <v>80</v>
      </c>
      <c r="I104" s="18" t="str">
        <f t="shared" si="1"/>
        <v>Obesity</v>
      </c>
    </row>
    <row r="105" ht="15.75" customHeight="1">
      <c r="A105" s="18" t="s">
        <v>351</v>
      </c>
      <c r="B105" s="18">
        <v>34.1</v>
      </c>
      <c r="C105" s="18">
        <v>4.43</v>
      </c>
      <c r="D105" s="18" t="s">
        <v>80</v>
      </c>
      <c r="E105" s="18" t="s">
        <v>73</v>
      </c>
      <c r="F105" s="18" t="s">
        <v>73</v>
      </c>
      <c r="G105" s="20">
        <v>0.0</v>
      </c>
      <c r="H105" s="18" t="s">
        <v>80</v>
      </c>
      <c r="I105" s="18" t="str">
        <f t="shared" si="1"/>
        <v>Obesity</v>
      </c>
    </row>
    <row r="106" ht="15.75" customHeight="1">
      <c r="A106" s="18" t="s">
        <v>354</v>
      </c>
      <c r="B106" s="18">
        <v>35.3</v>
      </c>
      <c r="C106" s="18">
        <v>5.82</v>
      </c>
      <c r="D106" s="18" t="s">
        <v>80</v>
      </c>
      <c r="E106" s="18" t="s">
        <v>73</v>
      </c>
      <c r="F106" s="18" t="s">
        <v>184</v>
      </c>
      <c r="G106" s="18">
        <v>1.0</v>
      </c>
      <c r="H106" s="18" t="s">
        <v>80</v>
      </c>
      <c r="I106" s="18" t="str">
        <f t="shared" si="1"/>
        <v>Obesity</v>
      </c>
    </row>
    <row r="107" ht="15.75" customHeight="1">
      <c r="A107" s="18" t="s">
        <v>357</v>
      </c>
      <c r="B107" s="18">
        <v>43.83</v>
      </c>
      <c r="C107" s="18">
        <v>6.03</v>
      </c>
      <c r="D107" s="18" t="s">
        <v>80</v>
      </c>
      <c r="E107" s="18" t="s">
        <v>73</v>
      </c>
      <c r="F107" s="18" t="s">
        <v>73</v>
      </c>
      <c r="G107" s="18">
        <v>2.0</v>
      </c>
      <c r="H107" s="18" t="s">
        <v>80</v>
      </c>
      <c r="I107" s="18" t="str">
        <f t="shared" si="1"/>
        <v>Obesity</v>
      </c>
    </row>
    <row r="108" ht="15.75" customHeight="1">
      <c r="A108" s="18" t="s">
        <v>360</v>
      </c>
      <c r="B108" s="18">
        <v>50.07</v>
      </c>
      <c r="C108" s="18">
        <v>9.27</v>
      </c>
      <c r="D108" s="18" t="s">
        <v>73</v>
      </c>
      <c r="E108" s="18" t="s">
        <v>73</v>
      </c>
      <c r="F108" s="18" t="s">
        <v>73</v>
      </c>
      <c r="G108" s="20">
        <v>0.0</v>
      </c>
      <c r="H108" s="18" t="s">
        <v>80</v>
      </c>
      <c r="I108" s="18" t="str">
        <f t="shared" si="1"/>
        <v>Obesity</v>
      </c>
    </row>
    <row r="109" ht="15.75" customHeight="1">
      <c r="A109" s="18" t="s">
        <v>363</v>
      </c>
      <c r="B109" s="18">
        <v>32.775</v>
      </c>
      <c r="C109" s="18">
        <v>5.53</v>
      </c>
      <c r="D109" s="18" t="s">
        <v>73</v>
      </c>
      <c r="E109" s="18" t="s">
        <v>73</v>
      </c>
      <c r="F109" s="18" t="s">
        <v>73</v>
      </c>
      <c r="G109" s="20">
        <v>0.0</v>
      </c>
      <c r="H109" s="18" t="s">
        <v>80</v>
      </c>
      <c r="I109" s="18" t="str">
        <f t="shared" si="1"/>
        <v>Obesity</v>
      </c>
    </row>
    <row r="110" ht="15.75" customHeight="1">
      <c r="A110" s="18" t="s">
        <v>367</v>
      </c>
      <c r="B110" s="18">
        <v>34.105</v>
      </c>
      <c r="C110" s="18">
        <v>5.07</v>
      </c>
      <c r="D110" s="18" t="s">
        <v>73</v>
      </c>
      <c r="E110" s="18" t="s">
        <v>73</v>
      </c>
      <c r="F110" s="18" t="s">
        <v>73</v>
      </c>
      <c r="G110" s="18">
        <v>1.0</v>
      </c>
      <c r="H110" s="18" t="s">
        <v>80</v>
      </c>
      <c r="I110" s="18" t="str">
        <f t="shared" si="1"/>
        <v>Obesity</v>
      </c>
    </row>
    <row r="111" ht="15.75" customHeight="1">
      <c r="A111" s="18" t="s">
        <v>370</v>
      </c>
      <c r="B111" s="18">
        <v>48.93</v>
      </c>
      <c r="C111" s="18">
        <v>11.17</v>
      </c>
      <c r="D111" s="18" t="s">
        <v>80</v>
      </c>
      <c r="E111" s="18" t="s">
        <v>73</v>
      </c>
      <c r="F111" s="18" t="s">
        <v>73</v>
      </c>
      <c r="G111" s="18">
        <v>1.0</v>
      </c>
      <c r="H111" s="18" t="s">
        <v>80</v>
      </c>
      <c r="I111" s="18" t="str">
        <f t="shared" si="1"/>
        <v>Obesity</v>
      </c>
    </row>
    <row r="112" ht="15.75" customHeight="1">
      <c r="A112" s="18" t="s">
        <v>372</v>
      </c>
      <c r="B112" s="18">
        <v>37.07</v>
      </c>
      <c r="C112" s="18">
        <v>6.14</v>
      </c>
      <c r="D112" s="18" t="s">
        <v>80</v>
      </c>
      <c r="E112" s="18" t="s">
        <v>73</v>
      </c>
      <c r="F112" s="18" t="s">
        <v>73</v>
      </c>
      <c r="G112" s="20">
        <v>0.0</v>
      </c>
      <c r="H112" s="18" t="s">
        <v>80</v>
      </c>
      <c r="I112" s="18" t="str">
        <f t="shared" si="1"/>
        <v>Obesity</v>
      </c>
    </row>
    <row r="113" ht="15.75" customHeight="1">
      <c r="A113" s="18" t="s">
        <v>375</v>
      </c>
      <c r="B113" s="18">
        <v>51.51</v>
      </c>
      <c r="C113" s="18">
        <v>6.26</v>
      </c>
      <c r="D113" s="18" t="s">
        <v>80</v>
      </c>
      <c r="E113" s="18" t="s">
        <v>73</v>
      </c>
      <c r="F113" s="18" t="s">
        <v>184</v>
      </c>
      <c r="G113" s="18">
        <v>1.0</v>
      </c>
      <c r="H113" s="18" t="s">
        <v>80</v>
      </c>
      <c r="I113" s="18" t="str">
        <f t="shared" si="1"/>
        <v>Obesity</v>
      </c>
    </row>
    <row r="114" ht="15.75" customHeight="1">
      <c r="A114" s="18" t="s">
        <v>379</v>
      </c>
      <c r="B114" s="18">
        <v>34.8</v>
      </c>
      <c r="C114" s="18">
        <v>4.72</v>
      </c>
      <c r="D114" s="18" t="s">
        <v>80</v>
      </c>
      <c r="E114" s="18" t="s">
        <v>73</v>
      </c>
      <c r="F114" s="18" t="s">
        <v>73</v>
      </c>
      <c r="G114" s="20">
        <v>0.0</v>
      </c>
      <c r="H114" s="18" t="s">
        <v>80</v>
      </c>
      <c r="I114" s="18" t="str">
        <f t="shared" si="1"/>
        <v>Obesity</v>
      </c>
    </row>
    <row r="115" ht="15.75" customHeight="1">
      <c r="A115" s="18" t="s">
        <v>382</v>
      </c>
      <c r="B115" s="18">
        <v>36.67</v>
      </c>
      <c r="C115" s="18">
        <v>5.18</v>
      </c>
      <c r="D115" s="18" t="s">
        <v>73</v>
      </c>
      <c r="E115" s="18" t="s">
        <v>73</v>
      </c>
      <c r="F115" s="18" t="s">
        <v>73</v>
      </c>
      <c r="G115" s="18">
        <v>1.0</v>
      </c>
      <c r="H115" s="18" t="s">
        <v>80</v>
      </c>
      <c r="I115" s="18" t="str">
        <f t="shared" si="1"/>
        <v>Obesity</v>
      </c>
    </row>
    <row r="116" ht="15.75" customHeight="1">
      <c r="A116" s="18" t="s">
        <v>385</v>
      </c>
      <c r="B116" s="18">
        <v>30.9</v>
      </c>
      <c r="C116" s="18">
        <v>9.4</v>
      </c>
      <c r="D116" s="18" t="s">
        <v>73</v>
      </c>
      <c r="E116" s="18" t="s">
        <v>73</v>
      </c>
      <c r="F116" s="18" t="s">
        <v>73</v>
      </c>
      <c r="G116" s="18">
        <v>2.0</v>
      </c>
      <c r="H116" s="18" t="s">
        <v>80</v>
      </c>
      <c r="I116" s="18" t="str">
        <f t="shared" si="1"/>
        <v>Obesity</v>
      </c>
    </row>
    <row r="117" ht="15.75" customHeight="1">
      <c r="A117" s="18" t="s">
        <v>388</v>
      </c>
      <c r="B117" s="18">
        <v>30.495</v>
      </c>
      <c r="C117" s="18">
        <v>6.29</v>
      </c>
      <c r="D117" s="18" t="s">
        <v>73</v>
      </c>
      <c r="E117" s="18" t="s">
        <v>73</v>
      </c>
      <c r="F117" s="18" t="s">
        <v>73</v>
      </c>
      <c r="G117" s="20">
        <v>0.0</v>
      </c>
      <c r="H117" s="18" t="s">
        <v>80</v>
      </c>
      <c r="I117" s="18" t="str">
        <f t="shared" si="1"/>
        <v>Obesity</v>
      </c>
    </row>
    <row r="118" ht="15.75" customHeight="1">
      <c r="A118" s="18" t="s">
        <v>391</v>
      </c>
      <c r="B118" s="18">
        <v>44.88</v>
      </c>
      <c r="C118" s="18">
        <v>6.04</v>
      </c>
      <c r="D118" s="18" t="s">
        <v>73</v>
      </c>
      <c r="E118" s="18" t="s">
        <v>73</v>
      </c>
      <c r="F118" s="18" t="s">
        <v>184</v>
      </c>
      <c r="G118" s="18">
        <v>1.0</v>
      </c>
      <c r="H118" s="18" t="s">
        <v>80</v>
      </c>
      <c r="I118" s="18" t="str">
        <f t="shared" si="1"/>
        <v>Obesity</v>
      </c>
    </row>
    <row r="119" ht="15.75" customHeight="1">
      <c r="A119" s="18" t="s">
        <v>394</v>
      </c>
      <c r="B119" s="18">
        <v>44.32</v>
      </c>
      <c r="C119" s="18">
        <v>10.55</v>
      </c>
      <c r="D119" s="18" t="s">
        <v>73</v>
      </c>
      <c r="E119" s="18" t="s">
        <v>73</v>
      </c>
      <c r="F119" s="18" t="s">
        <v>73</v>
      </c>
      <c r="G119" s="20">
        <v>0.0</v>
      </c>
      <c r="H119" s="18" t="s">
        <v>80</v>
      </c>
      <c r="I119" s="18" t="str">
        <f t="shared" si="1"/>
        <v>Obesity</v>
      </c>
    </row>
    <row r="120" ht="15.75" customHeight="1">
      <c r="A120" s="18" t="s">
        <v>396</v>
      </c>
      <c r="B120" s="18">
        <v>46.39</v>
      </c>
      <c r="C120" s="18">
        <v>5.09</v>
      </c>
      <c r="D120" s="18" t="s">
        <v>73</v>
      </c>
      <c r="E120" s="18" t="s">
        <v>73</v>
      </c>
      <c r="F120" s="18" t="s">
        <v>73</v>
      </c>
      <c r="G120" s="20">
        <v>0.0</v>
      </c>
      <c r="H120" s="18" t="s">
        <v>80</v>
      </c>
      <c r="I120" s="18" t="str">
        <f t="shared" si="1"/>
        <v>Obesity</v>
      </c>
    </row>
    <row r="121" ht="15.75" customHeight="1">
      <c r="A121" s="18" t="s">
        <v>399</v>
      </c>
      <c r="B121" s="18">
        <v>42.13</v>
      </c>
      <c r="C121" s="18">
        <v>5.2</v>
      </c>
      <c r="D121" s="18" t="s">
        <v>80</v>
      </c>
      <c r="E121" s="18" t="s">
        <v>73</v>
      </c>
      <c r="F121" s="18" t="s">
        <v>73</v>
      </c>
      <c r="G121" s="18">
        <v>1.0</v>
      </c>
      <c r="H121" s="18" t="s">
        <v>80</v>
      </c>
      <c r="I121" s="18" t="str">
        <f t="shared" si="1"/>
        <v>Obesity</v>
      </c>
    </row>
    <row r="122" ht="15.75" customHeight="1">
      <c r="A122" s="18" t="s">
        <v>402</v>
      </c>
      <c r="B122" s="18">
        <v>30.78</v>
      </c>
      <c r="C122" s="18">
        <v>8.45</v>
      </c>
      <c r="D122" s="18" t="s">
        <v>80</v>
      </c>
      <c r="E122" s="18" t="s">
        <v>73</v>
      </c>
      <c r="F122" s="18" t="s">
        <v>73</v>
      </c>
      <c r="G122" s="20">
        <v>0.0</v>
      </c>
      <c r="H122" s="18" t="s">
        <v>80</v>
      </c>
      <c r="I122" s="18" t="str">
        <f t="shared" si="1"/>
        <v>Obesity</v>
      </c>
    </row>
    <row r="123" ht="15.75" customHeight="1">
      <c r="A123" s="18" t="s">
        <v>405</v>
      </c>
      <c r="B123" s="18">
        <v>31.35</v>
      </c>
      <c r="C123" s="18">
        <v>9.54</v>
      </c>
      <c r="D123" s="18" t="s">
        <v>73</v>
      </c>
      <c r="E123" s="18" t="s">
        <v>73</v>
      </c>
      <c r="F123" s="18" t="s">
        <v>73</v>
      </c>
      <c r="G123" s="20">
        <v>0.0</v>
      </c>
      <c r="H123" s="18" t="s">
        <v>80</v>
      </c>
      <c r="I123" s="18" t="str">
        <f t="shared" si="1"/>
        <v>Obesity</v>
      </c>
    </row>
    <row r="124" ht="15.75" customHeight="1">
      <c r="A124" s="18" t="s">
        <v>408</v>
      </c>
      <c r="B124" s="18">
        <v>41.46</v>
      </c>
      <c r="C124" s="18">
        <v>4.99</v>
      </c>
      <c r="D124" s="18" t="s">
        <v>80</v>
      </c>
      <c r="E124" s="18" t="s">
        <v>73</v>
      </c>
      <c r="F124" s="18" t="s">
        <v>73</v>
      </c>
      <c r="G124" s="18">
        <v>2.0</v>
      </c>
      <c r="H124" s="18" t="s">
        <v>80</v>
      </c>
      <c r="I124" s="18" t="str">
        <f t="shared" si="1"/>
        <v>Obesity</v>
      </c>
    </row>
    <row r="125" ht="15.75" customHeight="1">
      <c r="A125" s="18" t="s">
        <v>411</v>
      </c>
      <c r="B125" s="18">
        <v>48.0</v>
      </c>
      <c r="C125" s="18">
        <v>10.54</v>
      </c>
      <c r="D125" s="18" t="s">
        <v>73</v>
      </c>
      <c r="E125" s="18" t="s">
        <v>73</v>
      </c>
      <c r="F125" s="18" t="s">
        <v>73</v>
      </c>
      <c r="G125" s="20">
        <v>0.0</v>
      </c>
      <c r="H125" s="18" t="s">
        <v>80</v>
      </c>
      <c r="I125" s="18" t="str">
        <f t="shared" si="1"/>
        <v>Obesity</v>
      </c>
    </row>
    <row r="126" ht="15.75" customHeight="1">
      <c r="A126" s="18" t="s">
        <v>414</v>
      </c>
      <c r="B126" s="18">
        <v>49.13</v>
      </c>
      <c r="C126" s="18">
        <v>4.54</v>
      </c>
      <c r="D126" s="18" t="s">
        <v>73</v>
      </c>
      <c r="E126" s="18" t="s">
        <v>73</v>
      </c>
      <c r="F126" s="18" t="s">
        <v>73</v>
      </c>
      <c r="G126" s="20">
        <v>0.0</v>
      </c>
      <c r="H126" s="18" t="s">
        <v>80</v>
      </c>
      <c r="I126" s="18" t="str">
        <f t="shared" si="1"/>
        <v>Obesity</v>
      </c>
    </row>
    <row r="127" ht="15.75" customHeight="1">
      <c r="A127" s="18" t="s">
        <v>418</v>
      </c>
      <c r="B127" s="18">
        <v>37.8</v>
      </c>
      <c r="C127" s="18">
        <v>6.29</v>
      </c>
      <c r="D127" s="18" t="s">
        <v>73</v>
      </c>
      <c r="E127" s="18" t="s">
        <v>73</v>
      </c>
      <c r="F127" s="18" t="s">
        <v>73</v>
      </c>
      <c r="G127" s="18">
        <v>1.0</v>
      </c>
      <c r="H127" s="18" t="s">
        <v>80</v>
      </c>
      <c r="I127" s="18" t="str">
        <f t="shared" si="1"/>
        <v>Obesity</v>
      </c>
    </row>
    <row r="128" ht="15.75" customHeight="1">
      <c r="A128" s="18" t="s">
        <v>421</v>
      </c>
      <c r="B128" s="18">
        <v>38.3</v>
      </c>
      <c r="C128" s="18">
        <v>9.51</v>
      </c>
      <c r="D128" s="18" t="s">
        <v>73</v>
      </c>
      <c r="E128" s="18" t="s">
        <v>73</v>
      </c>
      <c r="F128" s="18" t="s">
        <v>73</v>
      </c>
      <c r="G128" s="20">
        <v>0.0</v>
      </c>
      <c r="H128" s="18" t="s">
        <v>80</v>
      </c>
      <c r="I128" s="18" t="str">
        <f t="shared" si="1"/>
        <v>Obesity</v>
      </c>
    </row>
    <row r="129" ht="15.75" customHeight="1">
      <c r="A129" s="18" t="s">
        <v>424</v>
      </c>
      <c r="B129" s="18">
        <v>32.775</v>
      </c>
      <c r="C129" s="18">
        <v>4.72</v>
      </c>
      <c r="D129" s="18" t="s">
        <v>73</v>
      </c>
      <c r="E129" s="18" t="s">
        <v>73</v>
      </c>
      <c r="F129" s="18" t="s">
        <v>73</v>
      </c>
      <c r="G129" s="20">
        <v>0.0</v>
      </c>
      <c r="H129" s="18" t="s">
        <v>80</v>
      </c>
      <c r="I129" s="18" t="str">
        <f t="shared" si="1"/>
        <v>Obesity</v>
      </c>
    </row>
    <row r="130" ht="15.75" customHeight="1">
      <c r="A130" s="18" t="s">
        <v>427</v>
      </c>
      <c r="B130" s="18">
        <v>34.2</v>
      </c>
      <c r="C130" s="18">
        <v>5.91</v>
      </c>
      <c r="D130" s="18" t="s">
        <v>80</v>
      </c>
      <c r="E130" s="18" t="s">
        <v>73</v>
      </c>
      <c r="F130" s="18" t="s">
        <v>73</v>
      </c>
      <c r="G130" s="20">
        <v>0.0</v>
      </c>
      <c r="H130" s="18" t="s">
        <v>80</v>
      </c>
      <c r="I130" s="18" t="str">
        <f t="shared" si="1"/>
        <v>Obesity</v>
      </c>
    </row>
    <row r="131" ht="15.75" customHeight="1">
      <c r="A131" s="18" t="s">
        <v>430</v>
      </c>
      <c r="B131" s="18">
        <v>30.2</v>
      </c>
      <c r="C131" s="18">
        <v>9.58</v>
      </c>
      <c r="D131" s="18" t="s">
        <v>73</v>
      </c>
      <c r="E131" s="18" t="s">
        <v>73</v>
      </c>
      <c r="F131" s="18" t="s">
        <v>73</v>
      </c>
      <c r="G131" s="20">
        <v>0.0</v>
      </c>
      <c r="H131" s="18" t="s">
        <v>80</v>
      </c>
      <c r="I131" s="18" t="str">
        <f t="shared" si="1"/>
        <v>Obesity</v>
      </c>
    </row>
    <row r="132" ht="15.75" customHeight="1">
      <c r="A132" s="18" t="s">
        <v>433</v>
      </c>
      <c r="B132" s="18">
        <v>48.32</v>
      </c>
      <c r="C132" s="18">
        <v>5.77</v>
      </c>
      <c r="D132" s="18" t="s">
        <v>73</v>
      </c>
      <c r="E132" s="18" t="s">
        <v>73</v>
      </c>
      <c r="F132" s="18" t="s">
        <v>73</v>
      </c>
      <c r="G132" s="20">
        <v>0.0</v>
      </c>
      <c r="H132" s="18" t="s">
        <v>80</v>
      </c>
      <c r="I132" s="18" t="str">
        <f t="shared" si="1"/>
        <v>Obesity</v>
      </c>
    </row>
    <row r="133" ht="15.75" customHeight="1">
      <c r="A133" s="18" t="s">
        <v>436</v>
      </c>
      <c r="B133" s="18">
        <v>44.86</v>
      </c>
      <c r="C133" s="18">
        <v>4.38</v>
      </c>
      <c r="D133" s="18" t="s">
        <v>80</v>
      </c>
      <c r="E133" s="18" t="s">
        <v>73</v>
      </c>
      <c r="F133" s="18" t="s">
        <v>73</v>
      </c>
      <c r="G133" s="20">
        <v>0.0</v>
      </c>
      <c r="H133" s="18" t="s">
        <v>80</v>
      </c>
      <c r="I133" s="18" t="str">
        <f t="shared" si="1"/>
        <v>Obesity</v>
      </c>
    </row>
    <row r="134" ht="15.75" customHeight="1">
      <c r="A134" s="18" t="s">
        <v>440</v>
      </c>
      <c r="B134" s="18">
        <v>52.15</v>
      </c>
      <c r="C134" s="18">
        <v>5.65</v>
      </c>
      <c r="D134" s="18" t="s">
        <v>73</v>
      </c>
      <c r="E134" s="18" t="s">
        <v>73</v>
      </c>
      <c r="F134" s="18" t="s">
        <v>73</v>
      </c>
      <c r="G134" s="18">
        <v>1.0</v>
      </c>
      <c r="H134" s="18" t="s">
        <v>80</v>
      </c>
      <c r="I134" s="18" t="str">
        <f t="shared" si="1"/>
        <v>Obesity</v>
      </c>
    </row>
    <row r="135" ht="15.75" customHeight="1">
      <c r="A135" s="18" t="s">
        <v>443</v>
      </c>
      <c r="B135" s="18">
        <v>41.12</v>
      </c>
      <c r="C135" s="18">
        <v>7.54</v>
      </c>
      <c r="D135" s="18" t="s">
        <v>80</v>
      </c>
      <c r="E135" s="18" t="s">
        <v>73</v>
      </c>
      <c r="F135" s="18" t="s">
        <v>73</v>
      </c>
      <c r="G135" s="20">
        <v>0.0</v>
      </c>
      <c r="H135" s="18" t="s">
        <v>80</v>
      </c>
      <c r="I135" s="18" t="str">
        <f t="shared" si="1"/>
        <v>Obesity</v>
      </c>
    </row>
    <row r="136" ht="15.75" customHeight="1">
      <c r="A136" s="18" t="s">
        <v>446</v>
      </c>
      <c r="B136" s="18">
        <v>38.39</v>
      </c>
      <c r="C136" s="18">
        <v>5.11</v>
      </c>
      <c r="D136" s="18" t="s">
        <v>80</v>
      </c>
      <c r="E136" s="18" t="s">
        <v>73</v>
      </c>
      <c r="F136" s="18" t="s">
        <v>73</v>
      </c>
      <c r="G136" s="18">
        <v>1.0</v>
      </c>
      <c r="H136" s="18" t="s">
        <v>80</v>
      </c>
      <c r="I136" s="18" t="str">
        <f t="shared" si="1"/>
        <v>Obesity</v>
      </c>
    </row>
    <row r="137" ht="15.75" customHeight="1">
      <c r="A137" s="18" t="s">
        <v>449</v>
      </c>
      <c r="B137" s="18">
        <v>46.85</v>
      </c>
      <c r="C137" s="18">
        <v>4.25</v>
      </c>
      <c r="D137" s="18" t="s">
        <v>73</v>
      </c>
      <c r="E137" s="18" t="s">
        <v>73</v>
      </c>
      <c r="F137" s="18" t="s">
        <v>184</v>
      </c>
      <c r="G137" s="18">
        <v>1.0</v>
      </c>
      <c r="H137" s="18" t="s">
        <v>80</v>
      </c>
      <c r="I137" s="18" t="str">
        <f t="shared" si="1"/>
        <v>Obesity</v>
      </c>
    </row>
    <row r="138" ht="15.75" customHeight="1">
      <c r="A138" s="18" t="s">
        <v>452</v>
      </c>
      <c r="B138" s="18">
        <v>42.24</v>
      </c>
      <c r="C138" s="18">
        <v>5.55</v>
      </c>
      <c r="D138" s="18" t="s">
        <v>73</v>
      </c>
      <c r="E138" s="18" t="s">
        <v>80</v>
      </c>
      <c r="F138" s="18" t="s">
        <v>73</v>
      </c>
      <c r="G138" s="18">
        <v>1.0</v>
      </c>
      <c r="H138" s="18" t="s">
        <v>80</v>
      </c>
      <c r="I138" s="18" t="str">
        <f t="shared" si="1"/>
        <v>Obesity</v>
      </c>
    </row>
    <row r="139" ht="15.75" customHeight="1">
      <c r="A139" s="18" t="s">
        <v>456</v>
      </c>
      <c r="B139" s="18">
        <v>34.39</v>
      </c>
      <c r="C139" s="18">
        <v>5.78</v>
      </c>
      <c r="D139" s="18" t="s">
        <v>73</v>
      </c>
      <c r="E139" s="18" t="s">
        <v>73</v>
      </c>
      <c r="F139" s="18" t="s">
        <v>73</v>
      </c>
      <c r="G139" s="20">
        <v>0.0</v>
      </c>
      <c r="H139" s="18" t="s">
        <v>80</v>
      </c>
      <c r="I139" s="18" t="str">
        <f t="shared" si="1"/>
        <v>Obesity</v>
      </c>
    </row>
    <row r="140" ht="15.75" customHeight="1">
      <c r="A140" s="18" t="s">
        <v>460</v>
      </c>
      <c r="B140" s="18">
        <v>42.89</v>
      </c>
      <c r="C140" s="18">
        <v>5.28</v>
      </c>
      <c r="D140" s="18" t="s">
        <v>80</v>
      </c>
      <c r="E140" s="18" t="s">
        <v>73</v>
      </c>
      <c r="F140" s="18" t="s">
        <v>73</v>
      </c>
      <c r="G140" s="20">
        <v>0.0</v>
      </c>
      <c r="H140" s="18" t="s">
        <v>80</v>
      </c>
      <c r="I140" s="18" t="str">
        <f t="shared" si="1"/>
        <v>Obesity</v>
      </c>
    </row>
    <row r="141" ht="15.75" customHeight="1">
      <c r="A141" s="18" t="s">
        <v>463</v>
      </c>
      <c r="B141" s="18">
        <v>36.3</v>
      </c>
      <c r="C141" s="18">
        <v>5.39</v>
      </c>
      <c r="D141" s="18" t="s">
        <v>73</v>
      </c>
      <c r="E141" s="18" t="s">
        <v>73</v>
      </c>
      <c r="F141" s="18" t="s">
        <v>73</v>
      </c>
      <c r="G141" s="20">
        <v>0.0</v>
      </c>
      <c r="H141" s="18" t="s">
        <v>80</v>
      </c>
      <c r="I141" s="18" t="str">
        <f t="shared" si="1"/>
        <v>Obesity</v>
      </c>
    </row>
    <row r="142" ht="15.75" customHeight="1">
      <c r="A142" s="18" t="s">
        <v>466</v>
      </c>
      <c r="B142" s="18">
        <v>35.2</v>
      </c>
      <c r="C142" s="18">
        <v>8.01</v>
      </c>
      <c r="D142" s="18" t="s">
        <v>80</v>
      </c>
      <c r="E142" s="18" t="s">
        <v>73</v>
      </c>
      <c r="F142" s="18" t="s">
        <v>73</v>
      </c>
      <c r="G142" s="18">
        <v>1.0</v>
      </c>
      <c r="H142" s="18" t="s">
        <v>80</v>
      </c>
      <c r="I142" s="18" t="str">
        <f t="shared" si="1"/>
        <v>Obesity</v>
      </c>
    </row>
    <row r="143" ht="15.75" customHeight="1">
      <c r="A143" s="18" t="s">
        <v>470</v>
      </c>
      <c r="B143" s="18">
        <v>53.62</v>
      </c>
      <c r="C143" s="18">
        <v>5.21</v>
      </c>
      <c r="D143" s="18" t="s">
        <v>73</v>
      </c>
      <c r="E143" s="18" t="s">
        <v>73</v>
      </c>
      <c r="F143" s="18" t="s">
        <v>73</v>
      </c>
      <c r="G143" s="20">
        <v>0.0</v>
      </c>
      <c r="H143" s="18" t="s">
        <v>80</v>
      </c>
      <c r="I143" s="18" t="str">
        <f t="shared" si="1"/>
        <v>Obesity</v>
      </c>
    </row>
    <row r="144" ht="15.75" customHeight="1">
      <c r="A144" s="18" t="s">
        <v>473</v>
      </c>
      <c r="B144" s="18">
        <v>36.67</v>
      </c>
      <c r="C144" s="18">
        <v>6.27</v>
      </c>
      <c r="D144" s="18" t="s">
        <v>73</v>
      </c>
      <c r="E144" s="18" t="s">
        <v>73</v>
      </c>
      <c r="F144" s="18" t="s">
        <v>73</v>
      </c>
      <c r="G144" s="20">
        <v>0.0</v>
      </c>
      <c r="H144" s="18" t="s">
        <v>80</v>
      </c>
      <c r="I144" s="18" t="str">
        <f t="shared" si="1"/>
        <v>Obesity</v>
      </c>
    </row>
    <row r="145" ht="15.75" customHeight="1">
      <c r="A145" s="18" t="s">
        <v>476</v>
      </c>
      <c r="B145" s="18">
        <v>33.4</v>
      </c>
      <c r="C145" s="18">
        <v>10.73</v>
      </c>
      <c r="D145" s="18" t="s">
        <v>80</v>
      </c>
      <c r="E145" s="18" t="s">
        <v>73</v>
      </c>
      <c r="F145" s="18" t="s">
        <v>73</v>
      </c>
      <c r="G145" s="18">
        <v>1.0</v>
      </c>
      <c r="H145" s="18" t="s">
        <v>80</v>
      </c>
      <c r="I145" s="18" t="str">
        <f t="shared" si="1"/>
        <v>Obesity</v>
      </c>
    </row>
    <row r="146" ht="15.75" customHeight="1">
      <c r="A146" s="18" t="s">
        <v>479</v>
      </c>
      <c r="B146" s="18">
        <v>42.71</v>
      </c>
      <c r="C146" s="18">
        <v>10.52</v>
      </c>
      <c r="D146" s="18" t="s">
        <v>73</v>
      </c>
      <c r="E146" s="18" t="s">
        <v>73</v>
      </c>
      <c r="F146" s="18" t="s">
        <v>73</v>
      </c>
      <c r="G146" s="20">
        <v>0.0</v>
      </c>
      <c r="H146" s="18" t="s">
        <v>80</v>
      </c>
      <c r="I146" s="18" t="str">
        <f t="shared" si="1"/>
        <v>Obesity</v>
      </c>
    </row>
    <row r="147" ht="15.75" customHeight="1">
      <c r="A147" s="18" t="s">
        <v>483</v>
      </c>
      <c r="B147" s="18">
        <v>41.52</v>
      </c>
      <c r="C147" s="18">
        <v>11.82</v>
      </c>
      <c r="D147" s="18" t="s">
        <v>80</v>
      </c>
      <c r="E147" s="18" t="s">
        <v>73</v>
      </c>
      <c r="F147" s="18" t="s">
        <v>73</v>
      </c>
      <c r="G147" s="18">
        <v>2.0</v>
      </c>
      <c r="H147" s="18" t="s">
        <v>80</v>
      </c>
      <c r="I147" s="18" t="str">
        <f t="shared" si="1"/>
        <v>Obesity</v>
      </c>
    </row>
    <row r="148" ht="15.75" customHeight="1">
      <c r="A148" s="18" t="s">
        <v>486</v>
      </c>
      <c r="B148" s="18">
        <v>39.4</v>
      </c>
      <c r="C148" s="18">
        <v>6.76</v>
      </c>
      <c r="D148" s="18" t="s">
        <v>73</v>
      </c>
      <c r="E148" s="18" t="s">
        <v>73</v>
      </c>
      <c r="F148" s="18" t="s">
        <v>73</v>
      </c>
      <c r="G148" s="20">
        <v>0.0</v>
      </c>
      <c r="H148" s="18" t="s">
        <v>80</v>
      </c>
      <c r="I148" s="18" t="str">
        <f t="shared" si="1"/>
        <v>Obesity</v>
      </c>
    </row>
    <row r="149" ht="15.75" customHeight="1">
      <c r="A149" s="18" t="s">
        <v>488</v>
      </c>
      <c r="B149" s="18">
        <v>46.45</v>
      </c>
      <c r="C149" s="18">
        <v>5.62</v>
      </c>
      <c r="D149" s="18" t="s">
        <v>73</v>
      </c>
      <c r="E149" s="18" t="s">
        <v>73</v>
      </c>
      <c r="F149" s="18" t="s">
        <v>73</v>
      </c>
      <c r="G149" s="20">
        <v>0.0</v>
      </c>
      <c r="H149" s="18" t="s">
        <v>80</v>
      </c>
      <c r="I149" s="18" t="str">
        <f t="shared" si="1"/>
        <v>Obesity</v>
      </c>
    </row>
    <row r="150" ht="15.75" customHeight="1">
      <c r="A150" s="18" t="s">
        <v>491</v>
      </c>
      <c r="B150" s="18">
        <v>35.75</v>
      </c>
      <c r="C150" s="18">
        <v>4.19</v>
      </c>
      <c r="D150" s="18" t="s">
        <v>73</v>
      </c>
      <c r="E150" s="18" t="s">
        <v>73</v>
      </c>
      <c r="F150" s="18" t="s">
        <v>73</v>
      </c>
      <c r="G150" s="20">
        <v>0.0</v>
      </c>
      <c r="H150" s="18" t="s">
        <v>80</v>
      </c>
      <c r="I150" s="18" t="str">
        <f t="shared" si="1"/>
        <v>Obesity</v>
      </c>
    </row>
    <row r="151" ht="15.75" customHeight="1">
      <c r="A151" s="18" t="s">
        <v>494</v>
      </c>
      <c r="B151" s="18">
        <v>26.07</v>
      </c>
      <c r="C151" s="18">
        <v>5.32</v>
      </c>
      <c r="D151" s="18" t="s">
        <v>73</v>
      </c>
      <c r="E151" s="18" t="s">
        <v>73</v>
      </c>
      <c r="F151" s="18" t="s">
        <v>73</v>
      </c>
      <c r="G151" s="20">
        <v>0.0</v>
      </c>
      <c r="H151" s="18" t="s">
        <v>80</v>
      </c>
      <c r="I151" s="18" t="str">
        <f t="shared" si="1"/>
        <v>Overweight</v>
      </c>
    </row>
    <row r="152" ht="15.75" customHeight="1">
      <c r="A152" s="18" t="s">
        <v>498</v>
      </c>
      <c r="B152" s="18">
        <v>36.54</v>
      </c>
      <c r="C152" s="18">
        <v>4.46</v>
      </c>
      <c r="D152" s="18" t="s">
        <v>80</v>
      </c>
      <c r="E152" s="18" t="s">
        <v>73</v>
      </c>
      <c r="F152" s="18" t="s">
        <v>73</v>
      </c>
      <c r="G152" s="18">
        <v>1.0</v>
      </c>
      <c r="H152" s="18" t="s">
        <v>80</v>
      </c>
      <c r="I152" s="18" t="str">
        <f t="shared" si="1"/>
        <v>Obesity</v>
      </c>
    </row>
    <row r="153" ht="15.75" customHeight="1">
      <c r="A153" s="18" t="s">
        <v>502</v>
      </c>
      <c r="B153" s="18">
        <v>51.64</v>
      </c>
      <c r="C153" s="18">
        <v>5.65</v>
      </c>
      <c r="D153" s="18" t="s">
        <v>73</v>
      </c>
      <c r="E153" s="18" t="s">
        <v>73</v>
      </c>
      <c r="F153" s="18" t="s">
        <v>73</v>
      </c>
      <c r="G153" s="20">
        <v>0.0</v>
      </c>
      <c r="H153" s="18" t="s">
        <v>80</v>
      </c>
      <c r="I153" s="18" t="str">
        <f t="shared" si="1"/>
        <v>Obesity</v>
      </c>
    </row>
    <row r="154" ht="15.75" customHeight="1">
      <c r="A154" s="18" t="s">
        <v>504</v>
      </c>
      <c r="B154" s="18">
        <v>42.83</v>
      </c>
      <c r="C154" s="18">
        <v>6.04</v>
      </c>
      <c r="D154" s="18" t="s">
        <v>73</v>
      </c>
      <c r="E154" s="18" t="s">
        <v>73</v>
      </c>
      <c r="F154" s="18" t="s">
        <v>73</v>
      </c>
      <c r="G154" s="18">
        <v>2.0</v>
      </c>
      <c r="H154" s="18" t="s">
        <v>80</v>
      </c>
      <c r="I154" s="18" t="str">
        <f t="shared" si="1"/>
        <v>Obesity</v>
      </c>
    </row>
    <row r="155" ht="15.75" customHeight="1">
      <c r="A155" s="18" t="s">
        <v>507</v>
      </c>
      <c r="B155" s="18">
        <v>40.15</v>
      </c>
      <c r="C155" s="18">
        <v>5.76</v>
      </c>
      <c r="D155" s="18" t="s">
        <v>73</v>
      </c>
      <c r="E155" s="18" t="s">
        <v>73</v>
      </c>
      <c r="F155" s="18" t="s">
        <v>73</v>
      </c>
      <c r="G155" s="18">
        <v>1.0</v>
      </c>
      <c r="H155" s="18" t="s">
        <v>80</v>
      </c>
      <c r="I155" s="18" t="str">
        <f t="shared" si="1"/>
        <v>Obesity</v>
      </c>
    </row>
    <row r="156" ht="15.75" customHeight="1">
      <c r="A156" s="18" t="s">
        <v>510</v>
      </c>
      <c r="B156" s="18">
        <v>27.8</v>
      </c>
      <c r="C156" s="18">
        <v>4.36</v>
      </c>
      <c r="D156" s="18" t="s">
        <v>73</v>
      </c>
      <c r="E156" s="18" t="s">
        <v>73</v>
      </c>
      <c r="F156" s="18" t="s">
        <v>184</v>
      </c>
      <c r="G156" s="18">
        <v>1.0</v>
      </c>
      <c r="H156" s="18" t="s">
        <v>80</v>
      </c>
      <c r="I156" s="18" t="str">
        <f t="shared" si="1"/>
        <v>Overweight</v>
      </c>
    </row>
    <row r="157" ht="15.75" customHeight="1">
      <c r="A157" s="18" t="s">
        <v>513</v>
      </c>
      <c r="B157" s="18">
        <v>45.81</v>
      </c>
      <c r="C157" s="18">
        <v>4.76</v>
      </c>
      <c r="D157" s="18" t="s">
        <v>80</v>
      </c>
      <c r="E157" s="18" t="s">
        <v>73</v>
      </c>
      <c r="F157" s="18" t="s">
        <v>184</v>
      </c>
      <c r="G157" s="18">
        <v>1.0</v>
      </c>
      <c r="H157" s="18" t="s">
        <v>80</v>
      </c>
      <c r="I157" s="18" t="str">
        <f t="shared" si="1"/>
        <v>Obesity</v>
      </c>
    </row>
    <row r="158" ht="15.75" customHeight="1">
      <c r="A158" s="18" t="s">
        <v>518</v>
      </c>
      <c r="B158" s="18">
        <v>34.43</v>
      </c>
      <c r="C158" s="18">
        <v>10.82</v>
      </c>
      <c r="D158" s="18" t="s">
        <v>80</v>
      </c>
      <c r="E158" s="18" t="s">
        <v>73</v>
      </c>
      <c r="F158" s="18" t="s">
        <v>73</v>
      </c>
      <c r="G158" s="18">
        <v>1.0</v>
      </c>
      <c r="H158" s="18" t="s">
        <v>80</v>
      </c>
      <c r="I158" s="18" t="str">
        <f t="shared" si="1"/>
        <v>Obesity</v>
      </c>
    </row>
    <row r="159" ht="15.75" customHeight="1">
      <c r="A159" s="18" t="s">
        <v>520</v>
      </c>
      <c r="B159" s="18">
        <v>41.33</v>
      </c>
      <c r="C159" s="18">
        <v>4.01</v>
      </c>
      <c r="D159" s="18" t="s">
        <v>80</v>
      </c>
      <c r="E159" s="18" t="s">
        <v>73</v>
      </c>
      <c r="F159" s="18" t="s">
        <v>73</v>
      </c>
      <c r="G159" s="20">
        <v>0.0</v>
      </c>
      <c r="H159" s="18" t="s">
        <v>80</v>
      </c>
      <c r="I159" s="18" t="str">
        <f t="shared" si="1"/>
        <v>Obesity</v>
      </c>
    </row>
    <row r="160" ht="15.75" customHeight="1">
      <c r="A160" s="18" t="s">
        <v>523</v>
      </c>
      <c r="B160" s="18">
        <v>31.92</v>
      </c>
      <c r="C160" s="18">
        <v>5.12</v>
      </c>
      <c r="D160" s="18" t="s">
        <v>80</v>
      </c>
      <c r="E160" s="18" t="s">
        <v>73</v>
      </c>
      <c r="F160" s="18" t="s">
        <v>73</v>
      </c>
      <c r="G160" s="18">
        <v>1.0</v>
      </c>
      <c r="H160" s="18" t="s">
        <v>80</v>
      </c>
      <c r="I160" s="18" t="str">
        <f t="shared" si="1"/>
        <v>Obesity</v>
      </c>
    </row>
    <row r="161" ht="15.75" customHeight="1">
      <c r="A161" s="18" t="s">
        <v>526</v>
      </c>
      <c r="B161" s="18">
        <v>39.8</v>
      </c>
      <c r="C161" s="18">
        <v>10.54</v>
      </c>
      <c r="D161" s="18" t="s">
        <v>80</v>
      </c>
      <c r="E161" s="18" t="s">
        <v>73</v>
      </c>
      <c r="F161" s="18" t="s">
        <v>73</v>
      </c>
      <c r="G161" s="18">
        <v>2.0</v>
      </c>
      <c r="H161" s="18" t="s">
        <v>80</v>
      </c>
      <c r="I161" s="18" t="str">
        <f t="shared" si="1"/>
        <v>Obesity</v>
      </c>
    </row>
    <row r="162" ht="15.75" customHeight="1">
      <c r="A162" s="18" t="s">
        <v>529</v>
      </c>
      <c r="B162" s="18">
        <v>42.82</v>
      </c>
      <c r="C162" s="18">
        <v>4.21</v>
      </c>
      <c r="D162" s="18" t="s">
        <v>73</v>
      </c>
      <c r="E162" s="18" t="s">
        <v>73</v>
      </c>
      <c r="F162" s="18" t="s">
        <v>73</v>
      </c>
      <c r="G162" s="20">
        <v>0.0</v>
      </c>
      <c r="H162" s="18" t="s">
        <v>80</v>
      </c>
      <c r="I162" s="18" t="str">
        <f t="shared" si="1"/>
        <v>Obesity</v>
      </c>
    </row>
    <row r="163" ht="15.75" customHeight="1">
      <c r="A163" s="18" t="s">
        <v>532</v>
      </c>
      <c r="B163" s="18">
        <v>33.63</v>
      </c>
      <c r="C163" s="18">
        <v>5.42</v>
      </c>
      <c r="D163" s="18" t="s">
        <v>73</v>
      </c>
      <c r="E163" s="18" t="s">
        <v>73</v>
      </c>
      <c r="F163" s="18" t="s">
        <v>73</v>
      </c>
      <c r="G163" s="20">
        <v>0.0</v>
      </c>
      <c r="H163" s="18" t="s">
        <v>80</v>
      </c>
      <c r="I163" s="18" t="str">
        <f t="shared" si="1"/>
        <v>Obesity</v>
      </c>
    </row>
    <row r="164" ht="15.75" customHeight="1">
      <c r="A164" s="18" t="s">
        <v>536</v>
      </c>
      <c r="B164" s="18">
        <v>37.07</v>
      </c>
      <c r="C164" s="18">
        <v>4.28</v>
      </c>
      <c r="D164" s="18" t="s">
        <v>73</v>
      </c>
      <c r="E164" s="18" t="s">
        <v>80</v>
      </c>
      <c r="F164" s="18" t="s">
        <v>73</v>
      </c>
      <c r="G164" s="18">
        <v>1.0</v>
      </c>
      <c r="H164" s="18" t="s">
        <v>80</v>
      </c>
      <c r="I164" s="18" t="str">
        <f t="shared" si="1"/>
        <v>Obesity</v>
      </c>
    </row>
    <row r="165" ht="15.75" customHeight="1">
      <c r="A165" s="18" t="s">
        <v>539</v>
      </c>
      <c r="B165" s="18">
        <v>35.625</v>
      </c>
      <c r="C165" s="18">
        <v>8.9</v>
      </c>
      <c r="D165" s="18" t="s">
        <v>73</v>
      </c>
      <c r="E165" s="18" t="s">
        <v>73</v>
      </c>
      <c r="F165" s="18" t="s">
        <v>73</v>
      </c>
      <c r="G165" s="20">
        <v>0.0</v>
      </c>
      <c r="H165" s="18" t="s">
        <v>80</v>
      </c>
      <c r="I165" s="18" t="str">
        <f t="shared" si="1"/>
        <v>Obesity</v>
      </c>
    </row>
    <row r="166" ht="15.75" customHeight="1">
      <c r="A166" s="18" t="s">
        <v>542</v>
      </c>
      <c r="B166" s="18">
        <v>42.69</v>
      </c>
      <c r="C166" s="18">
        <v>4.89</v>
      </c>
      <c r="D166" s="18" t="s">
        <v>73</v>
      </c>
      <c r="E166" s="18" t="s">
        <v>73</v>
      </c>
      <c r="F166" s="18" t="s">
        <v>184</v>
      </c>
      <c r="G166" s="18">
        <v>1.0</v>
      </c>
      <c r="H166" s="18" t="s">
        <v>80</v>
      </c>
      <c r="I166" s="18" t="str">
        <f t="shared" si="1"/>
        <v>Obesity</v>
      </c>
    </row>
    <row r="167" ht="15.75" customHeight="1">
      <c r="A167" s="18" t="s">
        <v>546</v>
      </c>
      <c r="B167" s="18">
        <v>37.87</v>
      </c>
      <c r="C167" s="18">
        <v>4.29</v>
      </c>
      <c r="D167" s="18" t="s">
        <v>80</v>
      </c>
      <c r="E167" s="18" t="s">
        <v>73</v>
      </c>
      <c r="F167" s="18" t="s">
        <v>184</v>
      </c>
      <c r="G167" s="18">
        <v>1.0</v>
      </c>
      <c r="H167" s="18" t="s">
        <v>80</v>
      </c>
      <c r="I167" s="18" t="str">
        <f t="shared" si="1"/>
        <v>Obesity</v>
      </c>
    </row>
    <row r="168" ht="15.75" customHeight="1">
      <c r="A168" s="18" t="s">
        <v>549</v>
      </c>
      <c r="B168" s="18">
        <v>40.61</v>
      </c>
      <c r="C168" s="18">
        <v>8.0</v>
      </c>
      <c r="D168" s="18" t="s">
        <v>80</v>
      </c>
      <c r="E168" s="18" t="s">
        <v>73</v>
      </c>
      <c r="F168" s="18" t="s">
        <v>73</v>
      </c>
      <c r="G168" s="18">
        <v>1.0</v>
      </c>
      <c r="H168" s="18" t="s">
        <v>80</v>
      </c>
      <c r="I168" s="18" t="str">
        <f t="shared" si="1"/>
        <v>Obesity</v>
      </c>
    </row>
    <row r="169" ht="15.75" customHeight="1">
      <c r="A169" s="18" t="s">
        <v>552</v>
      </c>
      <c r="B169" s="18">
        <v>30.78</v>
      </c>
      <c r="C169" s="18">
        <v>4.67</v>
      </c>
      <c r="D169" s="18" t="s">
        <v>80</v>
      </c>
      <c r="E169" s="18" t="s">
        <v>73</v>
      </c>
      <c r="F169" s="18" t="s">
        <v>73</v>
      </c>
      <c r="G169" s="20">
        <v>0.0</v>
      </c>
      <c r="H169" s="18" t="s">
        <v>80</v>
      </c>
      <c r="I169" s="18" t="str">
        <f t="shared" si="1"/>
        <v>Obesity</v>
      </c>
    </row>
    <row r="170" ht="15.75" customHeight="1">
      <c r="A170" s="18" t="s">
        <v>555</v>
      </c>
      <c r="B170" s="18">
        <v>49.49</v>
      </c>
      <c r="C170" s="18">
        <v>4.5</v>
      </c>
      <c r="D170" s="18" t="s">
        <v>73</v>
      </c>
      <c r="E170" s="18" t="s">
        <v>73</v>
      </c>
      <c r="F170" s="18" t="s">
        <v>73</v>
      </c>
      <c r="G170" s="20">
        <v>0.0</v>
      </c>
      <c r="H170" s="18" t="s">
        <v>80</v>
      </c>
      <c r="I170" s="18" t="str">
        <f t="shared" si="1"/>
        <v>Obesity</v>
      </c>
    </row>
    <row r="171" ht="15.75" customHeight="1">
      <c r="A171" s="18" t="s">
        <v>559</v>
      </c>
      <c r="B171" s="18">
        <v>37.62</v>
      </c>
      <c r="C171" s="18">
        <v>6.32</v>
      </c>
      <c r="D171" s="18" t="s">
        <v>80</v>
      </c>
      <c r="E171" s="18" t="s">
        <v>80</v>
      </c>
      <c r="F171" s="18" t="s">
        <v>73</v>
      </c>
      <c r="G171" s="18">
        <v>2.0</v>
      </c>
      <c r="H171" s="18" t="s">
        <v>80</v>
      </c>
      <c r="I171" s="18" t="str">
        <f t="shared" si="1"/>
        <v>Obesity</v>
      </c>
    </row>
    <row r="172" ht="15.75" customHeight="1">
      <c r="A172" s="18" t="s">
        <v>562</v>
      </c>
      <c r="B172" s="18">
        <v>36.08</v>
      </c>
      <c r="C172" s="18">
        <v>6.1</v>
      </c>
      <c r="D172" s="18" t="s">
        <v>80</v>
      </c>
      <c r="E172" s="18" t="s">
        <v>73</v>
      </c>
      <c r="F172" s="18" t="s">
        <v>73</v>
      </c>
      <c r="G172" s="18">
        <v>1.0</v>
      </c>
      <c r="H172" s="18" t="s">
        <v>80</v>
      </c>
      <c r="I172" s="18" t="str">
        <f t="shared" si="1"/>
        <v>Obesity</v>
      </c>
    </row>
    <row r="173" ht="15.75" customHeight="1">
      <c r="A173" s="18" t="s">
        <v>565</v>
      </c>
      <c r="B173" s="18">
        <v>33.5</v>
      </c>
      <c r="C173" s="18">
        <v>5.4</v>
      </c>
      <c r="D173" s="18" t="s">
        <v>73</v>
      </c>
      <c r="E173" s="18" t="s">
        <v>73</v>
      </c>
      <c r="F173" s="18" t="s">
        <v>73</v>
      </c>
      <c r="G173" s="20">
        <v>0.0</v>
      </c>
      <c r="H173" s="18" t="s">
        <v>80</v>
      </c>
      <c r="I173" s="18" t="str">
        <f t="shared" si="1"/>
        <v>Obesity</v>
      </c>
    </row>
    <row r="174" ht="15.75" customHeight="1">
      <c r="A174" s="18" t="s">
        <v>568</v>
      </c>
      <c r="B174" s="18">
        <v>47.46</v>
      </c>
      <c r="C174" s="18">
        <v>6.24</v>
      </c>
      <c r="D174" s="18" t="s">
        <v>80</v>
      </c>
      <c r="E174" s="18" t="s">
        <v>73</v>
      </c>
      <c r="F174" s="18" t="s">
        <v>73</v>
      </c>
      <c r="G174" s="18">
        <v>1.0</v>
      </c>
      <c r="H174" s="18" t="s">
        <v>80</v>
      </c>
      <c r="I174" s="18" t="str">
        <f t="shared" si="1"/>
        <v>Obesity</v>
      </c>
    </row>
    <row r="175" ht="15.75" customHeight="1">
      <c r="A175" s="18" t="s">
        <v>572</v>
      </c>
      <c r="B175" s="18">
        <v>49.24</v>
      </c>
      <c r="C175" s="18">
        <v>4.45</v>
      </c>
      <c r="D175" s="18" t="s">
        <v>73</v>
      </c>
      <c r="E175" s="18" t="s">
        <v>73</v>
      </c>
      <c r="F175" s="18" t="s">
        <v>73</v>
      </c>
      <c r="G175" s="20">
        <v>0.0</v>
      </c>
      <c r="H175" s="18" t="s">
        <v>80</v>
      </c>
      <c r="I175" s="18" t="str">
        <f t="shared" si="1"/>
        <v>Obesity</v>
      </c>
    </row>
    <row r="176" ht="15.75" customHeight="1">
      <c r="A176" s="18" t="s">
        <v>575</v>
      </c>
      <c r="B176" s="18">
        <v>54.4</v>
      </c>
      <c r="C176" s="18">
        <v>5.22</v>
      </c>
      <c r="D176" s="18" t="s">
        <v>73</v>
      </c>
      <c r="E176" s="18" t="s">
        <v>73</v>
      </c>
      <c r="F176" s="18" t="s">
        <v>73</v>
      </c>
      <c r="G176" s="18">
        <v>1.0</v>
      </c>
      <c r="H176" s="18" t="s">
        <v>80</v>
      </c>
      <c r="I176" s="18" t="str">
        <f t="shared" si="1"/>
        <v>Obesity</v>
      </c>
    </row>
    <row r="177" ht="15.75" customHeight="1">
      <c r="A177" s="18" t="s">
        <v>578</v>
      </c>
      <c r="B177" s="18">
        <v>35.53</v>
      </c>
      <c r="C177" s="18">
        <v>4.61</v>
      </c>
      <c r="D177" s="18" t="s">
        <v>73</v>
      </c>
      <c r="E177" s="18" t="s">
        <v>73</v>
      </c>
      <c r="F177" s="18" t="s">
        <v>73</v>
      </c>
      <c r="G177" s="18">
        <v>1.0</v>
      </c>
      <c r="H177" s="18" t="s">
        <v>80</v>
      </c>
      <c r="I177" s="18" t="str">
        <f t="shared" si="1"/>
        <v>Obesity</v>
      </c>
    </row>
    <row r="178" ht="15.75" customHeight="1">
      <c r="A178" s="18" t="s">
        <v>580</v>
      </c>
      <c r="B178" s="18">
        <v>39.73</v>
      </c>
      <c r="C178" s="18">
        <v>6.24</v>
      </c>
      <c r="D178" s="18" t="s">
        <v>73</v>
      </c>
      <c r="E178" s="18" t="s">
        <v>73</v>
      </c>
      <c r="F178" s="18" t="s">
        <v>73</v>
      </c>
      <c r="G178" s="20">
        <v>0.0</v>
      </c>
      <c r="H178" s="18" t="s">
        <v>80</v>
      </c>
      <c r="I178" s="18" t="str">
        <f t="shared" si="1"/>
        <v>Obesity</v>
      </c>
    </row>
    <row r="179" ht="15.75" customHeight="1">
      <c r="A179" s="18" t="s">
        <v>584</v>
      </c>
      <c r="B179" s="18">
        <v>35.68</v>
      </c>
      <c r="C179" s="18">
        <v>10.04</v>
      </c>
      <c r="D179" s="18" t="s">
        <v>73</v>
      </c>
      <c r="E179" s="18" t="s">
        <v>73</v>
      </c>
      <c r="F179" s="18" t="s">
        <v>73</v>
      </c>
      <c r="G179" s="20">
        <v>0.0</v>
      </c>
      <c r="H179" s="18" t="s">
        <v>80</v>
      </c>
      <c r="I179" s="18" t="str">
        <f t="shared" si="1"/>
        <v>Obesity</v>
      </c>
    </row>
    <row r="180" ht="15.75" customHeight="1">
      <c r="A180" s="18" t="s">
        <v>587</v>
      </c>
      <c r="B180" s="18">
        <v>48.86</v>
      </c>
      <c r="C180" s="18">
        <v>6.09</v>
      </c>
      <c r="D180" s="18" t="s">
        <v>73</v>
      </c>
      <c r="E180" s="18" t="s">
        <v>73</v>
      </c>
      <c r="F180" s="18" t="s">
        <v>73</v>
      </c>
      <c r="G180" s="20">
        <v>0.0</v>
      </c>
      <c r="H180" s="18" t="s">
        <v>80</v>
      </c>
      <c r="I180" s="18" t="str">
        <f t="shared" si="1"/>
        <v>Obesity</v>
      </c>
    </row>
    <row r="181" ht="15.75" customHeight="1">
      <c r="A181" s="18" t="s">
        <v>590</v>
      </c>
      <c r="B181" s="18">
        <v>34.8</v>
      </c>
      <c r="C181" s="18">
        <v>11.4</v>
      </c>
      <c r="D181" s="18" t="s">
        <v>80</v>
      </c>
      <c r="E181" s="18" t="s">
        <v>73</v>
      </c>
      <c r="F181" s="18" t="s">
        <v>184</v>
      </c>
      <c r="G181" s="18">
        <v>1.0</v>
      </c>
      <c r="H181" s="18" t="s">
        <v>73</v>
      </c>
      <c r="I181" s="18" t="str">
        <f t="shared" si="1"/>
        <v>Obesity</v>
      </c>
    </row>
    <row r="182" ht="15.75" customHeight="1">
      <c r="A182" s="18" t="s">
        <v>594</v>
      </c>
      <c r="B182" s="18">
        <v>32.49</v>
      </c>
      <c r="C182" s="18">
        <v>4.29</v>
      </c>
      <c r="D182" s="18" t="s">
        <v>73</v>
      </c>
      <c r="E182" s="18" t="s">
        <v>73</v>
      </c>
      <c r="F182" s="18" t="s">
        <v>184</v>
      </c>
      <c r="G182" s="18">
        <v>1.0</v>
      </c>
      <c r="H182" s="18" t="s">
        <v>80</v>
      </c>
      <c r="I182" s="18" t="str">
        <f t="shared" si="1"/>
        <v>Obesity</v>
      </c>
    </row>
    <row r="183" ht="15.75" customHeight="1">
      <c r="A183" s="18" t="s">
        <v>597</v>
      </c>
      <c r="B183" s="18">
        <v>39.0</v>
      </c>
      <c r="C183" s="18">
        <v>5.7</v>
      </c>
      <c r="D183" s="18" t="s">
        <v>73</v>
      </c>
      <c r="E183" s="18" t="s">
        <v>73</v>
      </c>
      <c r="F183" s="18" t="s">
        <v>73</v>
      </c>
      <c r="G183" s="18">
        <v>2.0</v>
      </c>
      <c r="H183" s="18" t="s">
        <v>80</v>
      </c>
      <c r="I183" s="18" t="str">
        <f t="shared" si="1"/>
        <v>Obesity</v>
      </c>
    </row>
    <row r="184" ht="15.75" customHeight="1">
      <c r="A184" s="18" t="s">
        <v>600</v>
      </c>
      <c r="B184" s="18">
        <v>35.3</v>
      </c>
      <c r="C184" s="18">
        <v>6.09</v>
      </c>
      <c r="D184" s="18" t="s">
        <v>73</v>
      </c>
      <c r="E184" s="18" t="s">
        <v>73</v>
      </c>
      <c r="F184" s="18" t="s">
        <v>73</v>
      </c>
      <c r="G184" s="18">
        <v>1.0</v>
      </c>
      <c r="H184" s="18" t="s">
        <v>80</v>
      </c>
      <c r="I184" s="18" t="str">
        <f t="shared" si="1"/>
        <v>Obesity</v>
      </c>
    </row>
    <row r="185" ht="15.75" customHeight="1">
      <c r="A185" s="18" t="s">
        <v>604</v>
      </c>
      <c r="B185" s="18">
        <v>33.42</v>
      </c>
      <c r="C185" s="18">
        <v>10.67</v>
      </c>
      <c r="D185" s="18" t="s">
        <v>73</v>
      </c>
      <c r="E185" s="18" t="s">
        <v>73</v>
      </c>
      <c r="F185" s="18" t="s">
        <v>73</v>
      </c>
      <c r="G185" s="20">
        <v>0.0</v>
      </c>
      <c r="H185" s="18" t="s">
        <v>80</v>
      </c>
      <c r="I185" s="18" t="str">
        <f t="shared" si="1"/>
        <v>Obesity</v>
      </c>
    </row>
    <row r="186" ht="15.75" customHeight="1">
      <c r="A186" s="18" t="s">
        <v>607</v>
      </c>
      <c r="B186" s="18">
        <v>37.18</v>
      </c>
      <c r="C186" s="18">
        <v>6.75</v>
      </c>
      <c r="D186" s="18" t="s">
        <v>80</v>
      </c>
      <c r="E186" s="18" t="s">
        <v>73</v>
      </c>
      <c r="F186" s="18" t="s">
        <v>73</v>
      </c>
      <c r="G186" s="18">
        <v>2.0</v>
      </c>
      <c r="H186" s="18" t="s">
        <v>80</v>
      </c>
      <c r="I186" s="18" t="str">
        <f t="shared" si="1"/>
        <v>Obesity</v>
      </c>
    </row>
    <row r="187" ht="15.75" customHeight="1">
      <c r="A187" s="18" t="s">
        <v>611</v>
      </c>
      <c r="B187" s="18">
        <v>33.33</v>
      </c>
      <c r="C187" s="18">
        <v>9.26</v>
      </c>
      <c r="D187" s="18" t="s">
        <v>80</v>
      </c>
      <c r="E187" s="18" t="s">
        <v>73</v>
      </c>
      <c r="F187" s="18" t="s">
        <v>73</v>
      </c>
      <c r="G187" s="18">
        <v>2.0</v>
      </c>
      <c r="H187" s="18" t="s">
        <v>73</v>
      </c>
      <c r="I187" s="18" t="str">
        <f t="shared" si="1"/>
        <v>Obesity</v>
      </c>
    </row>
    <row r="188" ht="15.75" customHeight="1">
      <c r="A188" s="18" t="s">
        <v>614</v>
      </c>
      <c r="B188" s="18">
        <v>53.21</v>
      </c>
      <c r="C188" s="18">
        <v>4.27</v>
      </c>
      <c r="D188" s="18" t="s">
        <v>73</v>
      </c>
      <c r="E188" s="18" t="s">
        <v>73</v>
      </c>
      <c r="F188" s="18" t="s">
        <v>73</v>
      </c>
      <c r="G188" s="18">
        <v>1.0</v>
      </c>
      <c r="H188" s="18" t="s">
        <v>80</v>
      </c>
      <c r="I188" s="18" t="str">
        <f t="shared" si="1"/>
        <v>Obesity</v>
      </c>
    </row>
    <row r="189" ht="15.75" customHeight="1">
      <c r="A189" s="18" t="s">
        <v>617</v>
      </c>
      <c r="B189" s="18">
        <v>38.73</v>
      </c>
      <c r="C189" s="18">
        <v>11.51</v>
      </c>
      <c r="D189" s="18" t="s">
        <v>73</v>
      </c>
      <c r="E189" s="18" t="s">
        <v>73</v>
      </c>
      <c r="F189" s="18" t="s">
        <v>73</v>
      </c>
      <c r="G189" s="18">
        <v>2.0</v>
      </c>
      <c r="H189" s="18" t="s">
        <v>80</v>
      </c>
      <c r="I189" s="18" t="str">
        <f t="shared" si="1"/>
        <v>Obesity</v>
      </c>
    </row>
    <row r="190" ht="15.75" customHeight="1">
      <c r="A190" s="18" t="s">
        <v>621</v>
      </c>
      <c r="B190" s="18">
        <v>29.73</v>
      </c>
      <c r="C190" s="18">
        <v>7.22</v>
      </c>
      <c r="D190" s="18" t="s">
        <v>73</v>
      </c>
      <c r="E190" s="18" t="s">
        <v>73</v>
      </c>
      <c r="F190" s="18" t="s">
        <v>73</v>
      </c>
      <c r="G190" s="20">
        <v>0.0</v>
      </c>
      <c r="H190" s="18" t="s">
        <v>80</v>
      </c>
      <c r="I190" s="18" t="str">
        <f t="shared" si="1"/>
        <v>Overweight</v>
      </c>
    </row>
    <row r="191" ht="15.75" customHeight="1">
      <c r="A191" s="18" t="s">
        <v>624</v>
      </c>
      <c r="B191" s="18">
        <v>34.7</v>
      </c>
      <c r="C191" s="18">
        <v>4.37</v>
      </c>
      <c r="D191" s="18" t="s">
        <v>73</v>
      </c>
      <c r="E191" s="18" t="s">
        <v>73</v>
      </c>
      <c r="F191" s="18" t="s">
        <v>184</v>
      </c>
      <c r="G191" s="18">
        <v>1.0</v>
      </c>
      <c r="H191" s="18" t="s">
        <v>80</v>
      </c>
      <c r="I191" s="18" t="str">
        <f t="shared" si="1"/>
        <v>Obesity</v>
      </c>
    </row>
    <row r="192" ht="15.75" customHeight="1">
      <c r="A192" s="18" t="s">
        <v>628</v>
      </c>
      <c r="B192" s="18">
        <v>38.28</v>
      </c>
      <c r="C192" s="18">
        <v>11.56</v>
      </c>
      <c r="D192" s="18" t="s">
        <v>80</v>
      </c>
      <c r="E192" s="18" t="s">
        <v>73</v>
      </c>
      <c r="F192" s="18" t="s">
        <v>73</v>
      </c>
      <c r="G192" s="18">
        <v>1.0</v>
      </c>
      <c r="H192" s="18" t="s">
        <v>80</v>
      </c>
      <c r="I192" s="18" t="str">
        <f t="shared" si="1"/>
        <v>Obesity</v>
      </c>
    </row>
    <row r="193" ht="15.75" customHeight="1">
      <c r="A193" s="18" t="s">
        <v>631</v>
      </c>
      <c r="B193" s="18">
        <v>33.57</v>
      </c>
      <c r="C193" s="18">
        <v>8.82</v>
      </c>
      <c r="D193" s="18" t="s">
        <v>80</v>
      </c>
      <c r="E193" s="18" t="s">
        <v>73</v>
      </c>
      <c r="F193" s="18" t="s">
        <v>73</v>
      </c>
      <c r="G193" s="20">
        <v>0.0</v>
      </c>
      <c r="H193" s="18" t="s">
        <v>80</v>
      </c>
      <c r="I193" s="18" t="str">
        <f t="shared" si="1"/>
        <v>Obesity</v>
      </c>
    </row>
    <row r="194" ht="15.75" customHeight="1">
      <c r="A194" s="18" t="s">
        <v>634</v>
      </c>
      <c r="B194" s="18">
        <v>52.06</v>
      </c>
      <c r="C194" s="18">
        <v>4.69</v>
      </c>
      <c r="D194" s="18" t="s">
        <v>73</v>
      </c>
      <c r="E194" s="18" t="s">
        <v>73</v>
      </c>
      <c r="F194" s="18" t="s">
        <v>73</v>
      </c>
      <c r="G194" s="18">
        <v>1.0</v>
      </c>
      <c r="H194" s="18" t="s">
        <v>80</v>
      </c>
      <c r="I194" s="18" t="str">
        <f t="shared" si="1"/>
        <v>Obesity</v>
      </c>
    </row>
    <row r="195" ht="15.75" customHeight="1">
      <c r="A195" s="18" t="s">
        <v>638</v>
      </c>
      <c r="B195" s="18">
        <v>38.17</v>
      </c>
      <c r="C195" s="18">
        <v>4.53</v>
      </c>
      <c r="D195" s="18" t="s">
        <v>73</v>
      </c>
      <c r="E195" s="18" t="s">
        <v>80</v>
      </c>
      <c r="F195" s="18" t="s">
        <v>73</v>
      </c>
      <c r="G195" s="18">
        <v>1.0</v>
      </c>
      <c r="H195" s="18" t="s">
        <v>80</v>
      </c>
      <c r="I195" s="18" t="str">
        <f t="shared" si="1"/>
        <v>Obesity</v>
      </c>
    </row>
    <row r="196" ht="15.75" customHeight="1">
      <c r="A196" s="18" t="s">
        <v>641</v>
      </c>
      <c r="B196" s="18">
        <v>36.955</v>
      </c>
      <c r="C196" s="18">
        <v>5.84</v>
      </c>
      <c r="D196" s="18" t="s">
        <v>73</v>
      </c>
      <c r="E196" s="18" t="s">
        <v>73</v>
      </c>
      <c r="F196" s="18" t="s">
        <v>184</v>
      </c>
      <c r="G196" s="18">
        <v>1.0</v>
      </c>
      <c r="H196" s="18" t="s">
        <v>80</v>
      </c>
      <c r="I196" s="18" t="str">
        <f t="shared" si="1"/>
        <v>Obesity</v>
      </c>
    </row>
    <row r="197" ht="15.75" customHeight="1">
      <c r="A197" s="18" t="s">
        <v>645</v>
      </c>
      <c r="B197" s="18">
        <v>34.4</v>
      </c>
      <c r="C197" s="18">
        <v>4.9</v>
      </c>
      <c r="D197" s="18" t="s">
        <v>73</v>
      </c>
      <c r="E197" s="18" t="s">
        <v>73</v>
      </c>
      <c r="F197" s="18" t="s">
        <v>184</v>
      </c>
      <c r="G197" s="18">
        <v>1.0</v>
      </c>
      <c r="H197" s="18" t="s">
        <v>80</v>
      </c>
      <c r="I197" s="18" t="str">
        <f t="shared" si="1"/>
        <v>Obesity</v>
      </c>
    </row>
    <row r="198" ht="15.75" customHeight="1">
      <c r="A198" s="18" t="s">
        <v>649</v>
      </c>
      <c r="B198" s="18">
        <v>31.73</v>
      </c>
      <c r="C198" s="18">
        <v>4.3</v>
      </c>
      <c r="D198" s="18" t="s">
        <v>73</v>
      </c>
      <c r="E198" s="18" t="s">
        <v>73</v>
      </c>
      <c r="F198" s="18" t="s">
        <v>73</v>
      </c>
      <c r="G198" s="20">
        <v>0.0</v>
      </c>
      <c r="H198" s="18" t="s">
        <v>80</v>
      </c>
      <c r="I198" s="18" t="str">
        <f t="shared" si="1"/>
        <v>Obesity</v>
      </c>
    </row>
    <row r="199" ht="15.75" customHeight="1">
      <c r="A199" s="18" t="s">
        <v>652</v>
      </c>
      <c r="B199" s="18">
        <v>36.64</v>
      </c>
      <c r="C199" s="18">
        <v>11.34</v>
      </c>
      <c r="D199" s="18" t="s">
        <v>73</v>
      </c>
      <c r="E199" s="18" t="s">
        <v>73</v>
      </c>
      <c r="F199" s="18" t="s">
        <v>73</v>
      </c>
      <c r="G199" s="20">
        <v>0.0</v>
      </c>
      <c r="H199" s="18" t="s">
        <v>80</v>
      </c>
      <c r="I199" s="18" t="str">
        <f t="shared" si="1"/>
        <v>Obesity</v>
      </c>
    </row>
    <row r="200" ht="15.75" customHeight="1">
      <c r="A200" s="18" t="s">
        <v>654</v>
      </c>
      <c r="B200" s="18">
        <v>36.85</v>
      </c>
      <c r="C200" s="18">
        <v>5.88</v>
      </c>
      <c r="D200" s="18" t="s">
        <v>73</v>
      </c>
      <c r="E200" s="18" t="s">
        <v>80</v>
      </c>
      <c r="F200" s="18" t="s">
        <v>73</v>
      </c>
      <c r="G200" s="18">
        <v>1.0</v>
      </c>
      <c r="H200" s="18" t="s">
        <v>80</v>
      </c>
      <c r="I200" s="18" t="str">
        <f t="shared" si="1"/>
        <v>Obesity</v>
      </c>
    </row>
    <row r="201" ht="15.75" customHeight="1">
      <c r="A201" s="18" t="s">
        <v>657</v>
      </c>
      <c r="B201" s="18">
        <v>33.33</v>
      </c>
      <c r="C201" s="18">
        <v>5.01</v>
      </c>
      <c r="D201" s="18" t="s">
        <v>80</v>
      </c>
      <c r="E201" s="18" t="s">
        <v>73</v>
      </c>
      <c r="F201" s="18" t="s">
        <v>184</v>
      </c>
      <c r="G201" s="18">
        <v>1.0</v>
      </c>
      <c r="H201" s="18" t="s">
        <v>80</v>
      </c>
      <c r="I201" s="18" t="str">
        <f t="shared" si="1"/>
        <v>Obesity</v>
      </c>
    </row>
    <row r="202" ht="15.75" customHeight="1">
      <c r="A202" s="18" t="s">
        <v>660</v>
      </c>
      <c r="B202" s="18">
        <v>39.14</v>
      </c>
      <c r="C202" s="18">
        <v>4.4</v>
      </c>
      <c r="D202" s="18" t="s">
        <v>73</v>
      </c>
      <c r="E202" s="18" t="s">
        <v>73</v>
      </c>
      <c r="F202" s="18" t="s">
        <v>184</v>
      </c>
      <c r="G202" s="18">
        <v>1.0</v>
      </c>
      <c r="H202" s="18" t="s">
        <v>80</v>
      </c>
      <c r="I202" s="18" t="str">
        <f t="shared" si="1"/>
        <v>Obesity</v>
      </c>
    </row>
    <row r="203" ht="15.75" customHeight="1">
      <c r="A203" s="18" t="s">
        <v>663</v>
      </c>
      <c r="B203" s="18">
        <v>32.9</v>
      </c>
      <c r="C203" s="18">
        <v>6.26</v>
      </c>
      <c r="D203" s="18" t="s">
        <v>80</v>
      </c>
      <c r="E203" s="18" t="s">
        <v>73</v>
      </c>
      <c r="F203" s="18" t="s">
        <v>73</v>
      </c>
      <c r="G203" s="20">
        <v>0.0</v>
      </c>
      <c r="H203" s="18" t="s">
        <v>80</v>
      </c>
      <c r="I203" s="18" t="str">
        <f t="shared" si="1"/>
        <v>Obesity</v>
      </c>
    </row>
    <row r="204" ht="15.75" customHeight="1">
      <c r="A204" s="18" t="s">
        <v>666</v>
      </c>
      <c r="B204" s="18">
        <v>29.78</v>
      </c>
      <c r="C204" s="18">
        <v>10.27</v>
      </c>
      <c r="D204" s="18" t="s">
        <v>80</v>
      </c>
      <c r="E204" s="18" t="s">
        <v>73</v>
      </c>
      <c r="F204" s="18" t="s">
        <v>184</v>
      </c>
      <c r="G204" s="18">
        <v>1.0</v>
      </c>
      <c r="H204" s="18" t="s">
        <v>80</v>
      </c>
      <c r="I204" s="18" t="str">
        <f t="shared" si="1"/>
        <v>Overweight</v>
      </c>
    </row>
    <row r="205" ht="15.75" customHeight="1">
      <c r="A205" s="18" t="s">
        <v>669</v>
      </c>
      <c r="B205" s="18">
        <v>32.78</v>
      </c>
      <c r="C205" s="18">
        <v>5.27</v>
      </c>
      <c r="D205" s="18" t="s">
        <v>73</v>
      </c>
      <c r="E205" s="18" t="s">
        <v>73</v>
      </c>
      <c r="F205" s="18" t="s">
        <v>73</v>
      </c>
      <c r="G205" s="20">
        <v>0.0</v>
      </c>
      <c r="H205" s="18" t="s">
        <v>80</v>
      </c>
      <c r="I205" s="18" t="str">
        <f t="shared" si="1"/>
        <v>Obesity</v>
      </c>
    </row>
    <row r="206" ht="15.75" customHeight="1">
      <c r="A206" s="18" t="s">
        <v>671</v>
      </c>
      <c r="B206" s="18">
        <v>41.65</v>
      </c>
      <c r="C206" s="18">
        <v>10.73</v>
      </c>
      <c r="D206" s="18" t="s">
        <v>80</v>
      </c>
      <c r="E206" s="18" t="s">
        <v>73</v>
      </c>
      <c r="F206" s="18" t="s">
        <v>73</v>
      </c>
      <c r="G206" s="20">
        <v>0.0</v>
      </c>
      <c r="H206" s="18" t="s">
        <v>80</v>
      </c>
      <c r="I206" s="18" t="str">
        <f t="shared" si="1"/>
        <v>Obesity</v>
      </c>
    </row>
    <row r="207" ht="15.75" customHeight="1">
      <c r="A207" s="18" t="s">
        <v>675</v>
      </c>
      <c r="B207" s="18">
        <v>50.79</v>
      </c>
      <c r="C207" s="18">
        <v>4.45</v>
      </c>
      <c r="D207" s="18" t="s">
        <v>73</v>
      </c>
      <c r="E207" s="18" t="s">
        <v>73</v>
      </c>
      <c r="F207" s="18" t="s">
        <v>73</v>
      </c>
      <c r="G207" s="18">
        <v>1.0</v>
      </c>
      <c r="H207" s="18" t="s">
        <v>80</v>
      </c>
      <c r="I207" s="18" t="str">
        <f t="shared" si="1"/>
        <v>Obesity</v>
      </c>
    </row>
    <row r="208" ht="15.75" customHeight="1">
      <c r="A208" s="18" t="s">
        <v>678</v>
      </c>
      <c r="B208" s="18">
        <v>35.43</v>
      </c>
      <c r="C208" s="18">
        <v>5.25</v>
      </c>
      <c r="D208" s="18" t="s">
        <v>80</v>
      </c>
      <c r="E208" s="18" t="s">
        <v>73</v>
      </c>
      <c r="F208" s="18" t="s">
        <v>73</v>
      </c>
      <c r="G208" s="20">
        <v>0.0</v>
      </c>
      <c r="H208" s="18" t="s">
        <v>80</v>
      </c>
      <c r="I208" s="18" t="str">
        <f t="shared" si="1"/>
        <v>Obesity</v>
      </c>
    </row>
    <row r="209" ht="15.75" customHeight="1">
      <c r="A209" s="18" t="s">
        <v>681</v>
      </c>
      <c r="B209" s="18">
        <v>35.25</v>
      </c>
      <c r="C209" s="18">
        <v>9.51</v>
      </c>
      <c r="D209" s="18" t="s">
        <v>73</v>
      </c>
      <c r="E209" s="18" t="s">
        <v>73</v>
      </c>
      <c r="F209" s="18" t="s">
        <v>73</v>
      </c>
      <c r="G209" s="20">
        <v>0.0</v>
      </c>
      <c r="H209" s="18" t="s">
        <v>80</v>
      </c>
      <c r="I209" s="18" t="str">
        <f t="shared" si="1"/>
        <v>Obesity</v>
      </c>
    </row>
    <row r="210" ht="15.75" customHeight="1">
      <c r="A210" s="18" t="s">
        <v>684</v>
      </c>
      <c r="B210" s="18">
        <v>36.85</v>
      </c>
      <c r="C210" s="18">
        <v>11.12</v>
      </c>
      <c r="D210" s="18" t="s">
        <v>73</v>
      </c>
      <c r="E210" s="18" t="s">
        <v>73</v>
      </c>
      <c r="F210" s="18" t="s">
        <v>73</v>
      </c>
      <c r="G210" s="20">
        <v>0.0</v>
      </c>
      <c r="H210" s="18" t="s">
        <v>80</v>
      </c>
      <c r="I210" s="18" t="str">
        <f t="shared" si="1"/>
        <v>Obesity</v>
      </c>
    </row>
    <row r="211" ht="15.75" customHeight="1">
      <c r="A211" s="18" t="s">
        <v>688</v>
      </c>
      <c r="B211" s="18">
        <v>31.02</v>
      </c>
      <c r="C211" s="18">
        <v>4.56</v>
      </c>
      <c r="D211" s="18" t="s">
        <v>73</v>
      </c>
      <c r="E211" s="18" t="s">
        <v>80</v>
      </c>
      <c r="F211" s="18" t="s">
        <v>73</v>
      </c>
      <c r="G211" s="18">
        <v>1.0</v>
      </c>
      <c r="H211" s="18" t="s">
        <v>80</v>
      </c>
      <c r="I211" s="18" t="str">
        <f t="shared" si="1"/>
        <v>Obesity</v>
      </c>
    </row>
    <row r="212" ht="15.75" customHeight="1">
      <c r="A212" s="18" t="s">
        <v>691</v>
      </c>
      <c r="B212" s="18">
        <v>35.6</v>
      </c>
      <c r="C212" s="18">
        <v>4.02</v>
      </c>
      <c r="D212" s="18" t="s">
        <v>80</v>
      </c>
      <c r="E212" s="18" t="s">
        <v>80</v>
      </c>
      <c r="F212" s="18" t="s">
        <v>73</v>
      </c>
      <c r="G212" s="18">
        <v>2.0</v>
      </c>
      <c r="H212" s="18" t="s">
        <v>80</v>
      </c>
      <c r="I212" s="18" t="str">
        <f t="shared" si="1"/>
        <v>Obesity</v>
      </c>
    </row>
    <row r="213" ht="15.75" customHeight="1">
      <c r="A213" s="18" t="s">
        <v>694</v>
      </c>
      <c r="B213" s="18">
        <v>34.39</v>
      </c>
      <c r="C213" s="18">
        <v>8.72</v>
      </c>
      <c r="D213" s="18" t="s">
        <v>73</v>
      </c>
      <c r="E213" s="18" t="s">
        <v>73</v>
      </c>
      <c r="F213" s="18" t="s">
        <v>73</v>
      </c>
      <c r="G213" s="20">
        <v>0.0</v>
      </c>
      <c r="H213" s="18" t="s">
        <v>80</v>
      </c>
      <c r="I213" s="18" t="str">
        <f t="shared" si="1"/>
        <v>Obesity</v>
      </c>
    </row>
    <row r="214" ht="15.75" customHeight="1">
      <c r="A214" s="18" t="s">
        <v>697</v>
      </c>
      <c r="B214" s="18">
        <v>29.06</v>
      </c>
      <c r="C214" s="18">
        <v>6.25</v>
      </c>
      <c r="D214" s="18" t="s">
        <v>80</v>
      </c>
      <c r="E214" s="18" t="s">
        <v>73</v>
      </c>
      <c r="F214" s="18" t="s">
        <v>73</v>
      </c>
      <c r="G214" s="18">
        <v>1.0</v>
      </c>
      <c r="H214" s="18" t="s">
        <v>80</v>
      </c>
      <c r="I214" s="18" t="str">
        <f t="shared" si="1"/>
        <v>Overweight</v>
      </c>
    </row>
    <row r="215" ht="15.75" customHeight="1">
      <c r="A215" s="18" t="s">
        <v>701</v>
      </c>
      <c r="B215" s="18">
        <v>35.8</v>
      </c>
      <c r="C215" s="18">
        <v>7.32</v>
      </c>
      <c r="D215" s="18" t="s">
        <v>73</v>
      </c>
      <c r="E215" s="18" t="s">
        <v>73</v>
      </c>
      <c r="F215" s="18" t="s">
        <v>73</v>
      </c>
      <c r="G215" s="18">
        <v>2.0</v>
      </c>
      <c r="H215" s="18" t="s">
        <v>80</v>
      </c>
      <c r="I215" s="18" t="str">
        <f t="shared" si="1"/>
        <v>Obesity</v>
      </c>
    </row>
    <row r="216" ht="15.75" customHeight="1">
      <c r="A216" s="18" t="s">
        <v>703</v>
      </c>
      <c r="B216" s="18">
        <v>49.8</v>
      </c>
      <c r="C216" s="18">
        <v>4.24</v>
      </c>
      <c r="D216" s="18" t="s">
        <v>73</v>
      </c>
      <c r="E216" s="18" t="s">
        <v>73</v>
      </c>
      <c r="F216" s="18" t="s">
        <v>73</v>
      </c>
      <c r="G216" s="18">
        <v>1.0</v>
      </c>
      <c r="H216" s="18" t="s">
        <v>80</v>
      </c>
      <c r="I216" s="18" t="str">
        <f t="shared" si="1"/>
        <v>Obesity</v>
      </c>
    </row>
    <row r="217" ht="15.75" customHeight="1">
      <c r="A217" s="18" t="s">
        <v>705</v>
      </c>
      <c r="B217" s="18">
        <v>35.71</v>
      </c>
      <c r="C217" s="18">
        <v>6.84</v>
      </c>
      <c r="D217" s="18" t="s">
        <v>73</v>
      </c>
      <c r="E217" s="18" t="s">
        <v>73</v>
      </c>
      <c r="F217" s="18" t="s">
        <v>73</v>
      </c>
      <c r="G217" s="18">
        <v>2.0</v>
      </c>
      <c r="H217" s="18" t="s">
        <v>80</v>
      </c>
      <c r="I217" s="18" t="str">
        <f t="shared" si="1"/>
        <v>Obesity</v>
      </c>
    </row>
    <row r="218" ht="15.75" customHeight="1">
      <c r="A218" s="18" t="s">
        <v>709</v>
      </c>
      <c r="B218" s="18">
        <v>30.8</v>
      </c>
      <c r="C218" s="18">
        <v>5.23</v>
      </c>
      <c r="D218" s="18" t="s">
        <v>80</v>
      </c>
      <c r="E218" s="18" t="s">
        <v>73</v>
      </c>
      <c r="F218" s="18" t="s">
        <v>73</v>
      </c>
      <c r="G218" s="18">
        <v>1.0</v>
      </c>
      <c r="H218" s="18" t="s">
        <v>80</v>
      </c>
      <c r="I218" s="18" t="str">
        <f t="shared" si="1"/>
        <v>Obesity</v>
      </c>
    </row>
    <row r="219" ht="15.75" customHeight="1">
      <c r="A219" s="18" t="s">
        <v>711</v>
      </c>
      <c r="B219" s="18">
        <v>33.69</v>
      </c>
      <c r="C219" s="18">
        <v>9.68</v>
      </c>
      <c r="D219" s="18" t="s">
        <v>73</v>
      </c>
      <c r="E219" s="18" t="s">
        <v>73</v>
      </c>
      <c r="F219" s="18" t="s">
        <v>73</v>
      </c>
      <c r="G219" s="20">
        <v>0.0</v>
      </c>
      <c r="H219" s="18" t="s">
        <v>80</v>
      </c>
      <c r="I219" s="18" t="str">
        <f t="shared" si="1"/>
        <v>Obesity</v>
      </c>
    </row>
    <row r="220" ht="15.75" customHeight="1">
      <c r="A220" s="18" t="s">
        <v>713</v>
      </c>
      <c r="B220" s="18">
        <v>42.27</v>
      </c>
      <c r="C220" s="18">
        <v>6.05</v>
      </c>
      <c r="D220" s="18" t="s">
        <v>80</v>
      </c>
      <c r="E220" s="18" t="s">
        <v>73</v>
      </c>
      <c r="F220" s="18" t="s">
        <v>73</v>
      </c>
      <c r="G220" s="18">
        <v>1.0</v>
      </c>
      <c r="H220" s="18" t="s">
        <v>80</v>
      </c>
      <c r="I220" s="18" t="str">
        <f t="shared" si="1"/>
        <v>Obesity</v>
      </c>
    </row>
    <row r="221" ht="15.75" customHeight="1">
      <c r="A221" s="18" t="s">
        <v>717</v>
      </c>
      <c r="B221" s="18">
        <v>53.25</v>
      </c>
      <c r="C221" s="18">
        <v>6.11</v>
      </c>
      <c r="D221" s="18" t="s">
        <v>80</v>
      </c>
      <c r="E221" s="18" t="s">
        <v>73</v>
      </c>
      <c r="F221" s="18" t="s">
        <v>184</v>
      </c>
      <c r="G221" s="18">
        <v>1.0</v>
      </c>
      <c r="H221" s="18" t="s">
        <v>80</v>
      </c>
      <c r="I221" s="18" t="str">
        <f t="shared" si="1"/>
        <v>Obesity</v>
      </c>
    </row>
    <row r="222" ht="15.75" customHeight="1">
      <c r="A222" s="18" t="s">
        <v>719</v>
      </c>
      <c r="B222" s="18">
        <v>26.8</v>
      </c>
      <c r="C222" s="18">
        <v>10.93</v>
      </c>
      <c r="D222" s="18" t="s">
        <v>80</v>
      </c>
      <c r="E222" s="18" t="s">
        <v>73</v>
      </c>
      <c r="F222" s="18" t="s">
        <v>73</v>
      </c>
      <c r="G222" s="20">
        <v>0.0</v>
      </c>
      <c r="H222" s="18" t="s">
        <v>73</v>
      </c>
      <c r="I222" s="18" t="str">
        <f t="shared" si="1"/>
        <v>Overweight</v>
      </c>
    </row>
    <row r="223" ht="15.75" customHeight="1">
      <c r="A223" s="18" t="s">
        <v>722</v>
      </c>
      <c r="B223" s="18">
        <v>28.5</v>
      </c>
      <c r="C223" s="18">
        <v>5.12</v>
      </c>
      <c r="D223" s="18" t="s">
        <v>73</v>
      </c>
      <c r="E223" s="18" t="s">
        <v>73</v>
      </c>
      <c r="F223" s="18" t="s">
        <v>73</v>
      </c>
      <c r="G223" s="18">
        <v>1.0</v>
      </c>
      <c r="H223" s="18" t="s">
        <v>80</v>
      </c>
      <c r="I223" s="18" t="str">
        <f t="shared" si="1"/>
        <v>Overweight</v>
      </c>
    </row>
    <row r="224" ht="15.75" customHeight="1">
      <c r="A224" s="18" t="s">
        <v>726</v>
      </c>
      <c r="B224" s="18">
        <v>22.895</v>
      </c>
      <c r="C224" s="18">
        <v>5.72</v>
      </c>
      <c r="D224" s="18" t="s">
        <v>73</v>
      </c>
      <c r="E224" s="18" t="s">
        <v>73</v>
      </c>
      <c r="F224" s="18" t="s">
        <v>73</v>
      </c>
      <c r="G224" s="20">
        <v>0.0</v>
      </c>
      <c r="H224" s="18" t="s">
        <v>80</v>
      </c>
      <c r="I224" s="18" t="str">
        <f t="shared" si="1"/>
        <v>Normal Weight</v>
      </c>
    </row>
    <row r="225" ht="15.75" customHeight="1">
      <c r="A225" s="18" t="s">
        <v>730</v>
      </c>
      <c r="B225" s="18">
        <v>34.06</v>
      </c>
      <c r="C225" s="18">
        <v>11.83</v>
      </c>
      <c r="D225" s="18" t="s">
        <v>80</v>
      </c>
      <c r="E225" s="18" t="s">
        <v>73</v>
      </c>
      <c r="F225" s="18" t="s">
        <v>73</v>
      </c>
      <c r="G225" s="18">
        <v>1.0</v>
      </c>
      <c r="H225" s="18" t="s">
        <v>80</v>
      </c>
      <c r="I225" s="18" t="str">
        <f t="shared" si="1"/>
        <v>Obesity</v>
      </c>
    </row>
    <row r="226" ht="15.75" customHeight="1">
      <c r="A226" s="18" t="s">
        <v>733</v>
      </c>
      <c r="B226" s="18">
        <v>36.41</v>
      </c>
      <c r="C226" s="18">
        <v>4.55</v>
      </c>
      <c r="D226" s="18" t="s">
        <v>73</v>
      </c>
      <c r="E226" s="18" t="s">
        <v>73</v>
      </c>
      <c r="F226" s="18" t="s">
        <v>73</v>
      </c>
      <c r="G226" s="20">
        <v>0.0</v>
      </c>
      <c r="H226" s="18" t="s">
        <v>80</v>
      </c>
      <c r="I226" s="18" t="str">
        <f t="shared" si="1"/>
        <v>Obesity</v>
      </c>
    </row>
    <row r="227" ht="15.75" customHeight="1">
      <c r="A227" s="18" t="s">
        <v>735</v>
      </c>
      <c r="B227" s="18">
        <v>52.3</v>
      </c>
      <c r="C227" s="18">
        <v>4.87</v>
      </c>
      <c r="D227" s="18" t="s">
        <v>80</v>
      </c>
      <c r="E227" s="18" t="s">
        <v>73</v>
      </c>
      <c r="F227" s="18" t="s">
        <v>184</v>
      </c>
      <c r="G227" s="18">
        <v>1.0</v>
      </c>
      <c r="H227" s="18" t="s">
        <v>80</v>
      </c>
      <c r="I227" s="18" t="str">
        <f t="shared" si="1"/>
        <v>Obesity</v>
      </c>
    </row>
    <row r="228" ht="15.75" customHeight="1">
      <c r="A228" s="18" t="s">
        <v>738</v>
      </c>
      <c r="B228" s="18">
        <v>52.66</v>
      </c>
      <c r="C228" s="18">
        <v>4.45</v>
      </c>
      <c r="D228" s="18" t="s">
        <v>73</v>
      </c>
      <c r="E228" s="18" t="s">
        <v>73</v>
      </c>
      <c r="F228" s="18" t="s">
        <v>73</v>
      </c>
      <c r="G228" s="18">
        <v>1.0</v>
      </c>
      <c r="H228" s="18" t="s">
        <v>80</v>
      </c>
      <c r="I228" s="18" t="str">
        <f t="shared" si="1"/>
        <v>Obesity</v>
      </c>
    </row>
    <row r="229" ht="15.75" customHeight="1">
      <c r="A229" s="18" t="s">
        <v>741</v>
      </c>
      <c r="B229" s="18">
        <v>29.57</v>
      </c>
      <c r="C229" s="18">
        <v>9.42</v>
      </c>
      <c r="D229" s="18" t="s">
        <v>80</v>
      </c>
      <c r="E229" s="18" t="s">
        <v>73</v>
      </c>
      <c r="F229" s="18" t="s">
        <v>73</v>
      </c>
      <c r="G229" s="20">
        <v>0.0</v>
      </c>
      <c r="H229" s="18" t="s">
        <v>80</v>
      </c>
      <c r="I229" s="18" t="str">
        <f t="shared" si="1"/>
        <v>Overweight</v>
      </c>
    </row>
    <row r="230" ht="15.75" customHeight="1">
      <c r="A230" s="18" t="s">
        <v>744</v>
      </c>
      <c r="B230" s="18">
        <v>36.99</v>
      </c>
      <c r="C230" s="18">
        <v>5.37</v>
      </c>
      <c r="D230" s="18" t="s">
        <v>80</v>
      </c>
      <c r="E230" s="18" t="s">
        <v>73</v>
      </c>
      <c r="F230" s="18" t="s">
        <v>184</v>
      </c>
      <c r="G230" s="18">
        <v>1.0</v>
      </c>
      <c r="H230" s="18" t="s">
        <v>80</v>
      </c>
      <c r="I230" s="18" t="str">
        <f t="shared" si="1"/>
        <v>Obesity</v>
      </c>
    </row>
    <row r="231" ht="15.75" customHeight="1">
      <c r="A231" s="18" t="s">
        <v>747</v>
      </c>
      <c r="B231" s="18">
        <v>31.4</v>
      </c>
      <c r="C231" s="18">
        <v>4.6</v>
      </c>
      <c r="D231" s="18" t="s">
        <v>80</v>
      </c>
      <c r="E231" s="18" t="s">
        <v>73</v>
      </c>
      <c r="F231" s="18" t="s">
        <v>73</v>
      </c>
      <c r="G231" s="18">
        <v>1.0</v>
      </c>
      <c r="H231" s="18" t="s">
        <v>80</v>
      </c>
      <c r="I231" s="18" t="str">
        <f t="shared" si="1"/>
        <v>Obesity</v>
      </c>
    </row>
    <row r="232" ht="15.75" customHeight="1">
      <c r="A232" s="18" t="s">
        <v>751</v>
      </c>
      <c r="B232" s="18">
        <v>34.9</v>
      </c>
      <c r="C232" s="18">
        <v>6.22</v>
      </c>
      <c r="D232" s="18" t="s">
        <v>73</v>
      </c>
      <c r="E232" s="18" t="s">
        <v>73</v>
      </c>
      <c r="F232" s="18" t="s">
        <v>184</v>
      </c>
      <c r="G232" s="18">
        <v>1.0</v>
      </c>
      <c r="H232" s="18" t="s">
        <v>80</v>
      </c>
      <c r="I232" s="18" t="str">
        <f t="shared" si="1"/>
        <v>Obesity</v>
      </c>
    </row>
    <row r="233" ht="15.75" customHeight="1">
      <c r="A233" s="18" t="s">
        <v>754</v>
      </c>
      <c r="B233" s="18">
        <v>31.13</v>
      </c>
      <c r="C233" s="18">
        <v>4.52</v>
      </c>
      <c r="D233" s="18" t="s">
        <v>80</v>
      </c>
      <c r="E233" s="18" t="s">
        <v>73</v>
      </c>
      <c r="F233" s="18" t="s">
        <v>73</v>
      </c>
      <c r="G233" s="18">
        <v>1.0</v>
      </c>
      <c r="H233" s="18" t="s">
        <v>80</v>
      </c>
      <c r="I233" s="18" t="str">
        <f t="shared" si="1"/>
        <v>Obesity</v>
      </c>
    </row>
    <row r="234" ht="15.75" customHeight="1">
      <c r="A234" s="18" t="s">
        <v>757</v>
      </c>
      <c r="B234" s="18">
        <v>34.8</v>
      </c>
      <c r="C234" s="18">
        <v>6.18</v>
      </c>
      <c r="D234" s="18" t="s">
        <v>73</v>
      </c>
      <c r="E234" s="18" t="s">
        <v>73</v>
      </c>
      <c r="F234" s="18" t="s">
        <v>184</v>
      </c>
      <c r="G234" s="18">
        <v>1.0</v>
      </c>
      <c r="H234" s="18" t="s">
        <v>80</v>
      </c>
      <c r="I234" s="18" t="str">
        <f t="shared" si="1"/>
        <v>Obesity</v>
      </c>
    </row>
    <row r="235" ht="15.75" customHeight="1">
      <c r="A235" s="18" t="s">
        <v>760</v>
      </c>
      <c r="B235" s="18">
        <v>31.68</v>
      </c>
      <c r="C235" s="18">
        <v>4.4</v>
      </c>
      <c r="D235" s="18" t="s">
        <v>73</v>
      </c>
      <c r="E235" s="18" t="s">
        <v>73</v>
      </c>
      <c r="F235" s="18" t="s">
        <v>73</v>
      </c>
      <c r="G235" s="20">
        <v>0.0</v>
      </c>
      <c r="H235" s="18" t="s">
        <v>80</v>
      </c>
      <c r="I235" s="18" t="str">
        <f t="shared" si="1"/>
        <v>Obesity</v>
      </c>
    </row>
    <row r="236" ht="15.75" customHeight="1">
      <c r="A236" s="18" t="s">
        <v>764</v>
      </c>
      <c r="B236" s="18">
        <v>33.535</v>
      </c>
      <c r="C236" s="18">
        <v>6.23</v>
      </c>
      <c r="D236" s="18" t="s">
        <v>73</v>
      </c>
      <c r="E236" s="18" t="s">
        <v>80</v>
      </c>
      <c r="F236" s="18" t="s">
        <v>73</v>
      </c>
      <c r="G236" s="18">
        <v>1.0</v>
      </c>
      <c r="H236" s="18" t="s">
        <v>80</v>
      </c>
      <c r="I236" s="18" t="str">
        <f t="shared" si="1"/>
        <v>Obesity</v>
      </c>
    </row>
    <row r="237" ht="15.75" customHeight="1">
      <c r="A237" s="18" t="s">
        <v>765</v>
      </c>
      <c r="B237" s="18">
        <v>31.92</v>
      </c>
      <c r="C237" s="18">
        <v>5.33</v>
      </c>
      <c r="D237" s="18" t="s">
        <v>80</v>
      </c>
      <c r="E237" s="18" t="s">
        <v>73</v>
      </c>
      <c r="F237" s="18" t="s">
        <v>73</v>
      </c>
      <c r="G237" s="20">
        <v>0.0</v>
      </c>
      <c r="H237" s="18" t="s">
        <v>80</v>
      </c>
      <c r="I237" s="18" t="str">
        <f t="shared" si="1"/>
        <v>Obesity</v>
      </c>
    </row>
    <row r="238" ht="15.75" customHeight="1">
      <c r="A238" s="18" t="s">
        <v>768</v>
      </c>
      <c r="B238" s="18">
        <v>32.7</v>
      </c>
      <c r="C238" s="18">
        <v>4.09</v>
      </c>
      <c r="D238" s="18" t="s">
        <v>73</v>
      </c>
      <c r="E238" s="18" t="s">
        <v>73</v>
      </c>
      <c r="F238" s="18" t="s">
        <v>73</v>
      </c>
      <c r="G238" s="18">
        <v>1.0</v>
      </c>
      <c r="H238" s="18" t="s">
        <v>80</v>
      </c>
      <c r="I238" s="18" t="str">
        <f t="shared" si="1"/>
        <v>Obesity</v>
      </c>
    </row>
    <row r="239" ht="15.75" customHeight="1">
      <c r="A239" s="18" t="s">
        <v>771</v>
      </c>
      <c r="B239" s="18">
        <v>41.25</v>
      </c>
      <c r="C239" s="18">
        <v>5.19</v>
      </c>
      <c r="D239" s="18" t="s">
        <v>73</v>
      </c>
      <c r="E239" s="18" t="s">
        <v>73</v>
      </c>
      <c r="F239" s="18" t="s">
        <v>73</v>
      </c>
      <c r="G239" s="20">
        <v>0.0</v>
      </c>
      <c r="H239" s="18" t="s">
        <v>80</v>
      </c>
      <c r="I239" s="18" t="str">
        <f t="shared" si="1"/>
        <v>Obesity</v>
      </c>
    </row>
    <row r="240" ht="15.75" customHeight="1">
      <c r="A240" s="18" t="s">
        <v>774</v>
      </c>
      <c r="B240" s="18">
        <v>33.11</v>
      </c>
      <c r="C240" s="18">
        <v>4.12</v>
      </c>
      <c r="D240" s="18" t="s">
        <v>73</v>
      </c>
      <c r="E240" s="18" t="s">
        <v>73</v>
      </c>
      <c r="F240" s="18" t="s">
        <v>184</v>
      </c>
      <c r="G240" s="18">
        <v>1.0</v>
      </c>
      <c r="H240" s="18" t="s">
        <v>80</v>
      </c>
      <c r="I240" s="18" t="str">
        <f t="shared" si="1"/>
        <v>Obesity</v>
      </c>
    </row>
    <row r="241" ht="15.75" customHeight="1">
      <c r="A241" s="18" t="s">
        <v>778</v>
      </c>
      <c r="B241" s="18">
        <v>36.16</v>
      </c>
      <c r="C241" s="18">
        <v>5.1</v>
      </c>
      <c r="D241" s="18" t="s">
        <v>73</v>
      </c>
      <c r="E241" s="18" t="s">
        <v>73</v>
      </c>
      <c r="F241" s="18" t="s">
        <v>73</v>
      </c>
      <c r="G241" s="18">
        <v>1.0</v>
      </c>
      <c r="H241" s="18" t="s">
        <v>80</v>
      </c>
      <c r="I241" s="18" t="str">
        <f t="shared" si="1"/>
        <v>Obesity</v>
      </c>
    </row>
    <row r="242" ht="15.75" customHeight="1">
      <c r="A242" s="18" t="s">
        <v>781</v>
      </c>
      <c r="B242" s="18">
        <v>33.72</v>
      </c>
      <c r="C242" s="18">
        <v>6.21</v>
      </c>
      <c r="D242" s="18" t="s">
        <v>80</v>
      </c>
      <c r="E242" s="18" t="s">
        <v>73</v>
      </c>
      <c r="F242" s="18" t="s">
        <v>184</v>
      </c>
      <c r="G242" s="18">
        <v>1.0</v>
      </c>
      <c r="H242" s="18" t="s">
        <v>80</v>
      </c>
      <c r="I242" s="18" t="str">
        <f t="shared" si="1"/>
        <v>Obesity</v>
      </c>
    </row>
    <row r="243" ht="15.75" customHeight="1">
      <c r="A243" s="18" t="s">
        <v>784</v>
      </c>
      <c r="B243" s="18">
        <v>37.74</v>
      </c>
      <c r="C243" s="18">
        <v>9.53</v>
      </c>
      <c r="D243" s="18" t="s">
        <v>80</v>
      </c>
      <c r="E243" s="18" t="s">
        <v>73</v>
      </c>
      <c r="F243" s="18" t="s">
        <v>73</v>
      </c>
      <c r="G243" s="18">
        <v>1.0</v>
      </c>
      <c r="H243" s="18" t="s">
        <v>80</v>
      </c>
      <c r="I243" s="18" t="str">
        <f t="shared" si="1"/>
        <v>Obesity</v>
      </c>
    </row>
    <row r="244" ht="15.75" customHeight="1">
      <c r="A244" s="18" t="s">
        <v>787</v>
      </c>
      <c r="B244" s="18">
        <v>48.75</v>
      </c>
      <c r="C244" s="18">
        <v>4.64</v>
      </c>
      <c r="D244" s="18" t="s">
        <v>80</v>
      </c>
      <c r="E244" s="18" t="s">
        <v>73</v>
      </c>
      <c r="F244" s="18" t="s">
        <v>73</v>
      </c>
      <c r="G244" s="18">
        <v>1.0</v>
      </c>
      <c r="H244" s="18" t="s">
        <v>80</v>
      </c>
      <c r="I244" s="18" t="str">
        <f t="shared" si="1"/>
        <v>Obesity</v>
      </c>
    </row>
    <row r="245" ht="15.75" customHeight="1">
      <c r="A245" s="18" t="s">
        <v>790</v>
      </c>
      <c r="B245" s="18">
        <v>31.065</v>
      </c>
      <c r="C245" s="18">
        <v>5.05</v>
      </c>
      <c r="D245" s="18" t="s">
        <v>73</v>
      </c>
      <c r="E245" s="18" t="s">
        <v>73</v>
      </c>
      <c r="F245" s="18" t="s">
        <v>73</v>
      </c>
      <c r="G245" s="18">
        <v>1.0</v>
      </c>
      <c r="H245" s="18" t="s">
        <v>80</v>
      </c>
      <c r="I245" s="18" t="str">
        <f t="shared" si="1"/>
        <v>Obesity</v>
      </c>
    </row>
    <row r="246" ht="15.75" customHeight="1">
      <c r="A246" s="18" t="s">
        <v>793</v>
      </c>
      <c r="B246" s="18">
        <v>23.55</v>
      </c>
      <c r="C246" s="18">
        <v>10.38</v>
      </c>
      <c r="D246" s="18" t="s">
        <v>73</v>
      </c>
      <c r="E246" s="18" t="s">
        <v>73</v>
      </c>
      <c r="F246" s="18" t="s">
        <v>73</v>
      </c>
      <c r="G246" s="20">
        <v>0.0</v>
      </c>
      <c r="H246" s="18" t="s">
        <v>80</v>
      </c>
      <c r="I246" s="18" t="str">
        <f t="shared" si="1"/>
        <v>Normal Weight</v>
      </c>
    </row>
    <row r="247" ht="15.75" customHeight="1">
      <c r="A247" s="18" t="s">
        <v>796</v>
      </c>
      <c r="B247" s="18">
        <v>30.18</v>
      </c>
      <c r="C247" s="18">
        <v>8.31</v>
      </c>
      <c r="D247" s="18" t="s">
        <v>80</v>
      </c>
      <c r="E247" s="18" t="s">
        <v>73</v>
      </c>
      <c r="F247" s="18" t="s">
        <v>73</v>
      </c>
      <c r="G247" s="18">
        <v>1.0</v>
      </c>
      <c r="H247" s="18" t="s">
        <v>80</v>
      </c>
      <c r="I247" s="18" t="str">
        <f t="shared" si="1"/>
        <v>Obesity</v>
      </c>
    </row>
    <row r="248" ht="15.75" customHeight="1">
      <c r="A248" s="18" t="s">
        <v>799</v>
      </c>
      <c r="B248" s="18">
        <v>29.94</v>
      </c>
      <c r="C248" s="18">
        <v>7.59</v>
      </c>
      <c r="D248" s="18" t="s">
        <v>73</v>
      </c>
      <c r="E248" s="18" t="s">
        <v>73</v>
      </c>
      <c r="F248" s="18" t="s">
        <v>73</v>
      </c>
      <c r="G248" s="20">
        <v>0.0</v>
      </c>
      <c r="H248" s="18" t="s">
        <v>80</v>
      </c>
      <c r="I248" s="18" t="str">
        <f t="shared" si="1"/>
        <v>Overweight</v>
      </c>
    </row>
    <row r="249" ht="15.75" customHeight="1">
      <c r="A249" s="18" t="s">
        <v>802</v>
      </c>
      <c r="B249" s="18">
        <v>31.4</v>
      </c>
      <c r="C249" s="18">
        <v>5.49</v>
      </c>
      <c r="D249" s="18" t="s">
        <v>73</v>
      </c>
      <c r="E249" s="18" t="s">
        <v>73</v>
      </c>
      <c r="F249" s="18" t="s">
        <v>73</v>
      </c>
      <c r="G249" s="20">
        <v>0.0</v>
      </c>
      <c r="H249" s="18" t="s">
        <v>80</v>
      </c>
      <c r="I249" s="18" t="str">
        <f t="shared" si="1"/>
        <v>Obesity</v>
      </c>
    </row>
    <row r="250" ht="15.75" customHeight="1">
      <c r="A250" s="18" t="s">
        <v>805</v>
      </c>
      <c r="B250" s="18">
        <v>53.06</v>
      </c>
      <c r="C250" s="18">
        <v>11.68</v>
      </c>
      <c r="D250" s="18" t="s">
        <v>73</v>
      </c>
      <c r="E250" s="18" t="s">
        <v>73</v>
      </c>
      <c r="F250" s="18" t="s">
        <v>73</v>
      </c>
      <c r="G250" s="20">
        <v>0.0</v>
      </c>
      <c r="H250" s="18" t="s">
        <v>80</v>
      </c>
      <c r="I250" s="18" t="str">
        <f t="shared" si="1"/>
        <v>Obesity</v>
      </c>
    </row>
    <row r="251" ht="15.75" customHeight="1">
      <c r="A251" s="18" t="s">
        <v>808</v>
      </c>
      <c r="B251" s="18">
        <v>30.25</v>
      </c>
      <c r="C251" s="18">
        <v>4.19</v>
      </c>
      <c r="D251" s="18" t="s">
        <v>73</v>
      </c>
      <c r="E251" s="18" t="s">
        <v>73</v>
      </c>
      <c r="F251" s="18" t="s">
        <v>73</v>
      </c>
      <c r="G251" s="18">
        <v>2.0</v>
      </c>
      <c r="H251" s="18" t="s">
        <v>80</v>
      </c>
      <c r="I251" s="18" t="str">
        <f t="shared" si="1"/>
        <v>Obesity</v>
      </c>
    </row>
    <row r="252" ht="15.75" customHeight="1">
      <c r="A252" s="18" t="s">
        <v>811</v>
      </c>
      <c r="B252" s="18">
        <v>46.68</v>
      </c>
      <c r="C252" s="18">
        <v>4.01</v>
      </c>
      <c r="D252" s="18" t="s">
        <v>73</v>
      </c>
      <c r="E252" s="18" t="s">
        <v>73</v>
      </c>
      <c r="F252" s="18" t="s">
        <v>73</v>
      </c>
      <c r="G252" s="20">
        <v>0.0</v>
      </c>
      <c r="H252" s="18" t="s">
        <v>80</v>
      </c>
      <c r="I252" s="18" t="str">
        <f t="shared" si="1"/>
        <v>Obesity</v>
      </c>
    </row>
    <row r="253" ht="15.75" customHeight="1">
      <c r="A253" s="18" t="s">
        <v>814</v>
      </c>
      <c r="B253" s="18">
        <v>30.4</v>
      </c>
      <c r="C253" s="18">
        <v>5.91</v>
      </c>
      <c r="D253" s="18" t="s">
        <v>73</v>
      </c>
      <c r="E253" s="18" t="s">
        <v>80</v>
      </c>
      <c r="F253" s="18" t="s">
        <v>73</v>
      </c>
      <c r="G253" s="18">
        <v>2.0</v>
      </c>
      <c r="H253" s="18" t="s">
        <v>80</v>
      </c>
      <c r="I253" s="18" t="str">
        <f t="shared" si="1"/>
        <v>Obesity</v>
      </c>
    </row>
    <row r="254" ht="15.75" customHeight="1">
      <c r="A254" s="18" t="s">
        <v>816</v>
      </c>
      <c r="B254" s="18">
        <v>30.2</v>
      </c>
      <c r="C254" s="18">
        <v>4.47</v>
      </c>
      <c r="D254" s="18" t="s">
        <v>80</v>
      </c>
      <c r="E254" s="18" t="s">
        <v>73</v>
      </c>
      <c r="F254" s="18" t="s">
        <v>184</v>
      </c>
      <c r="G254" s="18">
        <v>1.0</v>
      </c>
      <c r="H254" s="18" t="s">
        <v>80</v>
      </c>
      <c r="I254" s="18" t="str">
        <f t="shared" si="1"/>
        <v>Obesity</v>
      </c>
    </row>
    <row r="255" ht="15.75" customHeight="1">
      <c r="A255" s="18" t="s">
        <v>819</v>
      </c>
      <c r="B255" s="18">
        <v>51.18</v>
      </c>
      <c r="C255" s="18">
        <v>4.56</v>
      </c>
      <c r="D255" s="18" t="s">
        <v>80</v>
      </c>
      <c r="E255" s="18" t="s">
        <v>80</v>
      </c>
      <c r="F255" s="18" t="s">
        <v>73</v>
      </c>
      <c r="G255" s="18">
        <v>2.0</v>
      </c>
      <c r="H255" s="18" t="s">
        <v>80</v>
      </c>
      <c r="I255" s="18" t="str">
        <f t="shared" si="1"/>
        <v>Obesity</v>
      </c>
    </row>
    <row r="256" ht="15.75" customHeight="1">
      <c r="A256" s="18" t="s">
        <v>821</v>
      </c>
      <c r="B256" s="18">
        <v>22.18</v>
      </c>
      <c r="C256" s="18">
        <v>9.9</v>
      </c>
      <c r="D256" s="18" t="s">
        <v>73</v>
      </c>
      <c r="E256" s="18" t="s">
        <v>73</v>
      </c>
      <c r="F256" s="18" t="s">
        <v>73</v>
      </c>
      <c r="G256" s="20">
        <v>0.0</v>
      </c>
      <c r="H256" s="18" t="s">
        <v>80</v>
      </c>
      <c r="I256" s="18" t="str">
        <f t="shared" si="1"/>
        <v>Normal Weight</v>
      </c>
    </row>
    <row r="257" ht="15.75" customHeight="1">
      <c r="A257" s="18" t="s">
        <v>824</v>
      </c>
      <c r="B257" s="18">
        <v>31.92</v>
      </c>
      <c r="C257" s="18">
        <v>5.11</v>
      </c>
      <c r="D257" s="18" t="s">
        <v>73</v>
      </c>
      <c r="E257" s="18" t="s">
        <v>73</v>
      </c>
      <c r="F257" s="18" t="s">
        <v>184</v>
      </c>
      <c r="G257" s="18">
        <v>1.0</v>
      </c>
      <c r="H257" s="18" t="s">
        <v>80</v>
      </c>
      <c r="I257" s="18" t="str">
        <f t="shared" si="1"/>
        <v>Obesity</v>
      </c>
    </row>
    <row r="258" ht="15.75" customHeight="1">
      <c r="A258" s="18" t="s">
        <v>827</v>
      </c>
      <c r="B258" s="18">
        <v>31.73</v>
      </c>
      <c r="C258" s="18">
        <v>5.73</v>
      </c>
      <c r="D258" s="18" t="s">
        <v>73</v>
      </c>
      <c r="E258" s="18" t="s">
        <v>80</v>
      </c>
      <c r="F258" s="18" t="s">
        <v>73</v>
      </c>
      <c r="G258" s="18">
        <v>1.0</v>
      </c>
      <c r="H258" s="18" t="s">
        <v>80</v>
      </c>
      <c r="I258" s="18" t="str">
        <f t="shared" si="1"/>
        <v>Obesity</v>
      </c>
    </row>
    <row r="259" ht="15.75" customHeight="1">
      <c r="A259" s="18" t="s">
        <v>831</v>
      </c>
      <c r="B259" s="18">
        <v>45.52</v>
      </c>
      <c r="C259" s="18">
        <v>6.04</v>
      </c>
      <c r="D259" s="18" t="s">
        <v>73</v>
      </c>
      <c r="E259" s="18" t="s">
        <v>73</v>
      </c>
      <c r="F259" s="18" t="s">
        <v>184</v>
      </c>
      <c r="G259" s="18">
        <v>1.0</v>
      </c>
      <c r="H259" s="18" t="s">
        <v>80</v>
      </c>
      <c r="I259" s="18" t="str">
        <f t="shared" si="1"/>
        <v>Obesity</v>
      </c>
    </row>
    <row r="260" ht="15.75" customHeight="1">
      <c r="A260" s="18" t="s">
        <v>834</v>
      </c>
      <c r="B260" s="18">
        <v>52.81</v>
      </c>
      <c r="C260" s="18">
        <v>5.19</v>
      </c>
      <c r="D260" s="18" t="s">
        <v>73</v>
      </c>
      <c r="E260" s="18" t="s">
        <v>73</v>
      </c>
      <c r="F260" s="18" t="s">
        <v>184</v>
      </c>
      <c r="G260" s="18">
        <v>1.0</v>
      </c>
      <c r="H260" s="18" t="s">
        <v>80</v>
      </c>
      <c r="I260" s="18" t="str">
        <f t="shared" si="1"/>
        <v>Obesity</v>
      </c>
    </row>
    <row r="261" ht="15.75" customHeight="1">
      <c r="A261" s="18" t="s">
        <v>837</v>
      </c>
      <c r="B261" s="18">
        <v>33.58</v>
      </c>
      <c r="C261" s="18">
        <v>5.56</v>
      </c>
      <c r="D261" s="18" t="s">
        <v>73</v>
      </c>
      <c r="E261" s="18" t="s">
        <v>73</v>
      </c>
      <c r="F261" s="18" t="s">
        <v>73</v>
      </c>
      <c r="G261" s="18">
        <v>1.0</v>
      </c>
      <c r="H261" s="18" t="s">
        <v>80</v>
      </c>
      <c r="I261" s="18" t="str">
        <f t="shared" si="1"/>
        <v>Obesity</v>
      </c>
    </row>
    <row r="262" ht="15.75" customHeight="1">
      <c r="A262" s="18" t="s">
        <v>840</v>
      </c>
      <c r="B262" s="18">
        <v>30.685</v>
      </c>
      <c r="C262" s="18">
        <v>8.23</v>
      </c>
      <c r="D262" s="18" t="s">
        <v>73</v>
      </c>
      <c r="E262" s="18" t="s">
        <v>73</v>
      </c>
      <c r="F262" s="18" t="s">
        <v>73</v>
      </c>
      <c r="G262" s="20">
        <v>0.0</v>
      </c>
      <c r="H262" s="18" t="s">
        <v>80</v>
      </c>
      <c r="I262" s="18" t="str">
        <f t="shared" si="1"/>
        <v>Obesity</v>
      </c>
    </row>
    <row r="263" ht="15.75" customHeight="1">
      <c r="A263" s="18" t="s">
        <v>844</v>
      </c>
      <c r="B263" s="18">
        <v>37.525</v>
      </c>
      <c r="C263" s="18">
        <v>9.03</v>
      </c>
      <c r="D263" s="18" t="s">
        <v>80</v>
      </c>
      <c r="E263" s="18" t="s">
        <v>73</v>
      </c>
      <c r="F263" s="18" t="s">
        <v>73</v>
      </c>
      <c r="G263" s="18">
        <v>2.0</v>
      </c>
      <c r="H263" s="18" t="s">
        <v>73</v>
      </c>
      <c r="I263" s="18" t="str">
        <f t="shared" si="1"/>
        <v>Obesity</v>
      </c>
    </row>
    <row r="264" ht="15.75" customHeight="1">
      <c r="A264" s="18" t="s">
        <v>847</v>
      </c>
      <c r="B264" s="18">
        <v>34.5</v>
      </c>
      <c r="C264" s="18">
        <v>4.07</v>
      </c>
      <c r="D264" s="18" t="s">
        <v>80</v>
      </c>
      <c r="E264" s="18" t="s">
        <v>73</v>
      </c>
      <c r="F264" s="18" t="s">
        <v>73</v>
      </c>
      <c r="G264" s="20">
        <v>0.0</v>
      </c>
      <c r="H264" s="18" t="s">
        <v>80</v>
      </c>
      <c r="I264" s="18" t="str">
        <f t="shared" si="1"/>
        <v>Obesity</v>
      </c>
    </row>
    <row r="265" ht="15.75" customHeight="1">
      <c r="A265" s="18" t="s">
        <v>850</v>
      </c>
      <c r="B265" s="18">
        <v>28.16</v>
      </c>
      <c r="C265" s="18">
        <v>5.77</v>
      </c>
      <c r="D265" s="18" t="s">
        <v>73</v>
      </c>
      <c r="E265" s="18" t="s">
        <v>73</v>
      </c>
      <c r="F265" s="18" t="s">
        <v>73</v>
      </c>
      <c r="G265" s="18">
        <v>2.0</v>
      </c>
      <c r="H265" s="18" t="s">
        <v>80</v>
      </c>
      <c r="I265" s="18" t="str">
        <f t="shared" si="1"/>
        <v>Overweight</v>
      </c>
    </row>
    <row r="266" ht="15.75" customHeight="1">
      <c r="A266" s="18" t="s">
        <v>856</v>
      </c>
      <c r="B266" s="18">
        <v>30.02</v>
      </c>
      <c r="C266" s="18">
        <v>5.98</v>
      </c>
      <c r="D266" s="18" t="s">
        <v>73</v>
      </c>
      <c r="E266" s="18" t="s">
        <v>73</v>
      </c>
      <c r="F266" s="18" t="s">
        <v>184</v>
      </c>
      <c r="G266" s="18">
        <v>1.0</v>
      </c>
      <c r="H266" s="18" t="s">
        <v>80</v>
      </c>
      <c r="I266" s="18" t="str">
        <f t="shared" si="1"/>
        <v>Obesity</v>
      </c>
    </row>
    <row r="267" ht="15.75" customHeight="1">
      <c r="A267" s="18" t="s">
        <v>859</v>
      </c>
      <c r="B267" s="18">
        <v>37.82</v>
      </c>
      <c r="C267" s="18">
        <v>6.01</v>
      </c>
      <c r="D267" s="18" t="s">
        <v>73</v>
      </c>
      <c r="E267" s="18" t="s">
        <v>73</v>
      </c>
      <c r="F267" s="18" t="s">
        <v>73</v>
      </c>
      <c r="G267" s="20">
        <v>0.0</v>
      </c>
      <c r="H267" s="18" t="s">
        <v>80</v>
      </c>
      <c r="I267" s="18" t="str">
        <f t="shared" si="1"/>
        <v>Obesity</v>
      </c>
    </row>
    <row r="268" ht="15.75" customHeight="1">
      <c r="A268" s="18" t="s">
        <v>861</v>
      </c>
      <c r="B268" s="18">
        <v>33.14</v>
      </c>
      <c r="C268" s="18">
        <v>5.67</v>
      </c>
      <c r="D268" s="18" t="s">
        <v>80</v>
      </c>
      <c r="E268" s="18" t="s">
        <v>73</v>
      </c>
      <c r="F268" s="18" t="s">
        <v>73</v>
      </c>
      <c r="G268" s="20">
        <v>0.0</v>
      </c>
      <c r="H268" s="18" t="s">
        <v>80</v>
      </c>
      <c r="I268" s="18" t="str">
        <f t="shared" si="1"/>
        <v>Obesity</v>
      </c>
    </row>
    <row r="269" ht="15.75" customHeight="1">
      <c r="A269" s="18" t="s">
        <v>864</v>
      </c>
      <c r="B269" s="18">
        <v>25.14</v>
      </c>
      <c r="C269" s="18">
        <v>6.02</v>
      </c>
      <c r="D269" s="18" t="s">
        <v>80</v>
      </c>
      <c r="E269" s="18" t="s">
        <v>73</v>
      </c>
      <c r="F269" s="18" t="s">
        <v>184</v>
      </c>
      <c r="G269" s="18">
        <v>1.0</v>
      </c>
      <c r="H269" s="18" t="s">
        <v>80</v>
      </c>
      <c r="I269" s="18" t="str">
        <f t="shared" si="1"/>
        <v>Overweight</v>
      </c>
    </row>
    <row r="270" ht="15.75" customHeight="1">
      <c r="A270" s="18" t="s">
        <v>867</v>
      </c>
      <c r="B270" s="18">
        <v>20.18</v>
      </c>
      <c r="C270" s="18">
        <v>11.19</v>
      </c>
      <c r="D270" s="18" t="s">
        <v>73</v>
      </c>
      <c r="E270" s="18" t="s">
        <v>73</v>
      </c>
      <c r="F270" s="18" t="s">
        <v>73</v>
      </c>
      <c r="G270" s="20">
        <v>0.0</v>
      </c>
      <c r="H270" s="18" t="s">
        <v>80</v>
      </c>
      <c r="I270" s="18" t="str">
        <f t="shared" si="1"/>
        <v>Normal Weight</v>
      </c>
    </row>
    <row r="271" ht="15.75" customHeight="1">
      <c r="A271" s="18" t="s">
        <v>869</v>
      </c>
      <c r="B271" s="18">
        <v>44.36</v>
      </c>
      <c r="C271" s="18">
        <v>5.11</v>
      </c>
      <c r="D271" s="18" t="s">
        <v>73</v>
      </c>
      <c r="E271" s="18" t="s">
        <v>73</v>
      </c>
      <c r="F271" s="18" t="s">
        <v>73</v>
      </c>
      <c r="G271" s="20">
        <v>0.0</v>
      </c>
      <c r="H271" s="18" t="s">
        <v>80</v>
      </c>
      <c r="I271" s="18" t="str">
        <f t="shared" si="1"/>
        <v>Obesity</v>
      </c>
    </row>
    <row r="272" ht="15.75" customHeight="1">
      <c r="A272" s="18" t="s">
        <v>872</v>
      </c>
      <c r="B272" s="18">
        <v>23.82</v>
      </c>
      <c r="C272" s="18">
        <v>10.85</v>
      </c>
      <c r="D272" s="18" t="s">
        <v>80</v>
      </c>
      <c r="E272" s="18" t="s">
        <v>73</v>
      </c>
      <c r="F272" s="18" t="s">
        <v>73</v>
      </c>
      <c r="G272" s="20">
        <v>0.0</v>
      </c>
      <c r="H272" s="18" t="s">
        <v>80</v>
      </c>
      <c r="I272" s="18" t="str">
        <f t="shared" si="1"/>
        <v>Normal Weight</v>
      </c>
    </row>
    <row r="273" ht="15.75" customHeight="1">
      <c r="A273" s="18" t="s">
        <v>875</v>
      </c>
      <c r="B273" s="18">
        <v>45.0</v>
      </c>
      <c r="C273" s="18">
        <v>5.24</v>
      </c>
      <c r="D273" s="18" t="s">
        <v>80</v>
      </c>
      <c r="E273" s="18" t="s">
        <v>73</v>
      </c>
      <c r="F273" s="18" t="s">
        <v>73</v>
      </c>
      <c r="G273" s="18">
        <v>1.0</v>
      </c>
      <c r="H273" s="18" t="s">
        <v>80</v>
      </c>
      <c r="I273" s="18" t="str">
        <f t="shared" si="1"/>
        <v>Obesity</v>
      </c>
    </row>
    <row r="274" ht="15.75" customHeight="1">
      <c r="A274" s="18" t="s">
        <v>878</v>
      </c>
      <c r="B274" s="18">
        <v>26.62</v>
      </c>
      <c r="C274" s="18">
        <v>10.08</v>
      </c>
      <c r="D274" s="18" t="s">
        <v>73</v>
      </c>
      <c r="E274" s="18" t="s">
        <v>73</v>
      </c>
      <c r="F274" s="18" t="s">
        <v>73</v>
      </c>
      <c r="G274" s="20">
        <v>0.0</v>
      </c>
      <c r="H274" s="18" t="s">
        <v>80</v>
      </c>
      <c r="I274" s="18" t="str">
        <f t="shared" si="1"/>
        <v>Overweight</v>
      </c>
    </row>
    <row r="275" ht="15.75" customHeight="1">
      <c r="A275" s="18" t="s">
        <v>881</v>
      </c>
      <c r="B275" s="18">
        <v>32.67</v>
      </c>
      <c r="C275" s="18">
        <v>10.97</v>
      </c>
      <c r="D275" s="18" t="s">
        <v>80</v>
      </c>
      <c r="E275" s="18" t="s">
        <v>73</v>
      </c>
      <c r="F275" s="18" t="s">
        <v>73</v>
      </c>
      <c r="G275" s="20">
        <v>0.0</v>
      </c>
      <c r="H275" s="18" t="s">
        <v>80</v>
      </c>
      <c r="I275" s="18" t="str">
        <f t="shared" si="1"/>
        <v>Obesity</v>
      </c>
    </row>
    <row r="276" ht="15.75" customHeight="1">
      <c r="A276" s="18" t="s">
        <v>884</v>
      </c>
      <c r="B276" s="18">
        <v>44.44</v>
      </c>
      <c r="C276" s="18">
        <v>4.9</v>
      </c>
      <c r="D276" s="18" t="s">
        <v>80</v>
      </c>
      <c r="E276" s="18" t="s">
        <v>73</v>
      </c>
      <c r="F276" s="18" t="s">
        <v>73</v>
      </c>
      <c r="G276" s="18">
        <v>1.0</v>
      </c>
      <c r="H276" s="18" t="s">
        <v>80</v>
      </c>
      <c r="I276" s="18" t="str">
        <f t="shared" si="1"/>
        <v>Obesity</v>
      </c>
    </row>
    <row r="277" ht="15.75" customHeight="1">
      <c r="A277" s="18" t="s">
        <v>888</v>
      </c>
      <c r="B277" s="18">
        <v>28.31</v>
      </c>
      <c r="C277" s="18">
        <v>5.33</v>
      </c>
      <c r="D277" s="18" t="s">
        <v>73</v>
      </c>
      <c r="E277" s="18" t="s">
        <v>73</v>
      </c>
      <c r="F277" s="18" t="s">
        <v>73</v>
      </c>
      <c r="G277" s="20">
        <v>0.0</v>
      </c>
      <c r="H277" s="18" t="s">
        <v>80</v>
      </c>
      <c r="I277" s="18" t="str">
        <f t="shared" si="1"/>
        <v>Overweight</v>
      </c>
    </row>
    <row r="278" ht="15.75" customHeight="1">
      <c r="A278" s="18" t="s">
        <v>890</v>
      </c>
      <c r="B278" s="18">
        <v>25.05</v>
      </c>
      <c r="C278" s="18">
        <v>4.61</v>
      </c>
      <c r="D278" s="18" t="s">
        <v>73</v>
      </c>
      <c r="E278" s="18" t="s">
        <v>73</v>
      </c>
      <c r="F278" s="18" t="s">
        <v>73</v>
      </c>
      <c r="G278" s="18">
        <v>2.0</v>
      </c>
      <c r="H278" s="18" t="s">
        <v>80</v>
      </c>
      <c r="I278" s="18" t="str">
        <f t="shared" si="1"/>
        <v>Overweight</v>
      </c>
    </row>
    <row r="279" ht="15.75" customHeight="1">
      <c r="A279" s="18" t="s">
        <v>893</v>
      </c>
      <c r="B279" s="18">
        <v>28.34</v>
      </c>
      <c r="C279" s="18">
        <v>8.18</v>
      </c>
      <c r="D279" s="18" t="s">
        <v>73</v>
      </c>
      <c r="E279" s="18" t="s">
        <v>73</v>
      </c>
      <c r="F279" s="18" t="s">
        <v>73</v>
      </c>
      <c r="G279" s="20">
        <v>0.0</v>
      </c>
      <c r="H279" s="18" t="s">
        <v>80</v>
      </c>
      <c r="I279" s="18" t="str">
        <f t="shared" si="1"/>
        <v>Overweight</v>
      </c>
    </row>
    <row r="280" ht="15.75" customHeight="1">
      <c r="A280" s="18" t="s">
        <v>897</v>
      </c>
      <c r="B280" s="18">
        <v>17.765</v>
      </c>
      <c r="C280" s="18">
        <v>5.62</v>
      </c>
      <c r="D280" s="18" t="s">
        <v>73</v>
      </c>
      <c r="E280" s="18" t="s">
        <v>73</v>
      </c>
      <c r="F280" s="18" t="s">
        <v>73</v>
      </c>
      <c r="G280" s="20">
        <v>0.0</v>
      </c>
      <c r="H280" s="18" t="s">
        <v>80</v>
      </c>
      <c r="I280" s="18" t="str">
        <f t="shared" si="1"/>
        <v>Underweight</v>
      </c>
    </row>
    <row r="281" ht="15.75" customHeight="1">
      <c r="A281" s="18" t="s">
        <v>899</v>
      </c>
      <c r="B281" s="18">
        <v>36.12</v>
      </c>
      <c r="C281" s="18">
        <v>5.82</v>
      </c>
      <c r="D281" s="18" t="s">
        <v>73</v>
      </c>
      <c r="E281" s="18" t="s">
        <v>73</v>
      </c>
      <c r="F281" s="18" t="s">
        <v>73</v>
      </c>
      <c r="G281" s="20">
        <v>0.0</v>
      </c>
      <c r="H281" s="18" t="s">
        <v>80</v>
      </c>
      <c r="I281" s="18" t="str">
        <f t="shared" si="1"/>
        <v>Obesity</v>
      </c>
    </row>
    <row r="282" ht="15.75" customHeight="1">
      <c r="A282" s="18" t="s">
        <v>903</v>
      </c>
      <c r="B282" s="18">
        <v>23.19</v>
      </c>
      <c r="C282" s="18">
        <v>7.66</v>
      </c>
      <c r="D282" s="18" t="s">
        <v>73</v>
      </c>
      <c r="E282" s="18" t="s">
        <v>73</v>
      </c>
      <c r="F282" s="18" t="s">
        <v>73</v>
      </c>
      <c r="G282" s="20">
        <v>0.0</v>
      </c>
      <c r="H282" s="18" t="s">
        <v>80</v>
      </c>
      <c r="I282" s="18" t="str">
        <f t="shared" si="1"/>
        <v>Normal Weight</v>
      </c>
    </row>
    <row r="283" ht="15.75" customHeight="1">
      <c r="A283" s="18" t="s">
        <v>906</v>
      </c>
      <c r="B283" s="18">
        <v>35.99</v>
      </c>
      <c r="C283" s="18">
        <v>4.23</v>
      </c>
      <c r="D283" s="18" t="s">
        <v>73</v>
      </c>
      <c r="E283" s="18" t="s">
        <v>73</v>
      </c>
      <c r="F283" s="18" t="s">
        <v>73</v>
      </c>
      <c r="G283" s="20">
        <v>0.0</v>
      </c>
      <c r="H283" s="18" t="s">
        <v>80</v>
      </c>
      <c r="I283" s="18" t="str">
        <f t="shared" si="1"/>
        <v>Obesity</v>
      </c>
    </row>
    <row r="284" ht="15.75" customHeight="1">
      <c r="A284" s="18" t="s">
        <v>908</v>
      </c>
      <c r="B284" s="18">
        <v>30.25</v>
      </c>
      <c r="C284" s="18">
        <v>5.58</v>
      </c>
      <c r="D284" s="18" t="s">
        <v>73</v>
      </c>
      <c r="E284" s="18" t="s">
        <v>73</v>
      </c>
      <c r="F284" s="18" t="s">
        <v>184</v>
      </c>
      <c r="G284" s="18">
        <v>1.0</v>
      </c>
      <c r="H284" s="18" t="s">
        <v>80</v>
      </c>
      <c r="I284" s="18" t="str">
        <f t="shared" si="1"/>
        <v>Obesity</v>
      </c>
    </row>
    <row r="285" ht="15.75" customHeight="1">
      <c r="A285" s="18" t="s">
        <v>912</v>
      </c>
      <c r="B285" s="18">
        <v>26.24</v>
      </c>
      <c r="C285" s="18">
        <v>6.26</v>
      </c>
      <c r="D285" s="18" t="s">
        <v>80</v>
      </c>
      <c r="E285" s="18" t="s">
        <v>73</v>
      </c>
      <c r="F285" s="18" t="s">
        <v>73</v>
      </c>
      <c r="G285" s="20">
        <v>0.0</v>
      </c>
      <c r="H285" s="18" t="s">
        <v>80</v>
      </c>
      <c r="I285" s="18" t="str">
        <f t="shared" si="1"/>
        <v>Overweight</v>
      </c>
    </row>
    <row r="286" ht="15.75" customHeight="1">
      <c r="A286" s="18" t="s">
        <v>915</v>
      </c>
      <c r="B286" s="18">
        <v>31.36</v>
      </c>
      <c r="C286" s="18">
        <v>10.6</v>
      </c>
      <c r="D286" s="18" t="s">
        <v>80</v>
      </c>
      <c r="E286" s="18" t="s">
        <v>73</v>
      </c>
      <c r="F286" s="18" t="s">
        <v>73</v>
      </c>
      <c r="G286" s="20">
        <v>0.0</v>
      </c>
      <c r="H286" s="18" t="s">
        <v>80</v>
      </c>
      <c r="I286" s="18" t="str">
        <f t="shared" si="1"/>
        <v>Obesity</v>
      </c>
    </row>
    <row r="287" ht="15.75" customHeight="1">
      <c r="A287" s="18" t="s">
        <v>918</v>
      </c>
      <c r="B287" s="18">
        <v>25.69</v>
      </c>
      <c r="C287" s="18">
        <v>4.78</v>
      </c>
      <c r="D287" s="18" t="s">
        <v>80</v>
      </c>
      <c r="E287" s="18" t="s">
        <v>73</v>
      </c>
      <c r="F287" s="18" t="s">
        <v>73</v>
      </c>
      <c r="G287" s="20">
        <v>0.0</v>
      </c>
      <c r="H287" s="18" t="s">
        <v>80</v>
      </c>
      <c r="I287" s="18" t="str">
        <f t="shared" si="1"/>
        <v>Overweight</v>
      </c>
    </row>
    <row r="288" ht="15.75" customHeight="1">
      <c r="A288" s="18" t="s">
        <v>922</v>
      </c>
      <c r="B288" s="18">
        <v>25.46</v>
      </c>
      <c r="C288" s="18">
        <v>6.03</v>
      </c>
      <c r="D288" s="18" t="s">
        <v>73</v>
      </c>
      <c r="E288" s="18" t="s">
        <v>73</v>
      </c>
      <c r="F288" s="18" t="s">
        <v>73</v>
      </c>
      <c r="G288" s="18">
        <v>2.0</v>
      </c>
      <c r="H288" s="18" t="s">
        <v>80</v>
      </c>
      <c r="I288" s="18" t="str">
        <f t="shared" si="1"/>
        <v>Overweight</v>
      </c>
    </row>
    <row r="289" ht="15.75" customHeight="1">
      <c r="A289" s="18" t="s">
        <v>925</v>
      </c>
      <c r="B289" s="18">
        <v>31.83</v>
      </c>
      <c r="C289" s="18">
        <v>11.55</v>
      </c>
      <c r="D289" s="18" t="s">
        <v>80</v>
      </c>
      <c r="E289" s="18" t="s">
        <v>73</v>
      </c>
      <c r="F289" s="18" t="s">
        <v>73</v>
      </c>
      <c r="G289" s="18">
        <v>1.0</v>
      </c>
      <c r="H289" s="18" t="s">
        <v>80</v>
      </c>
      <c r="I289" s="18" t="str">
        <f t="shared" si="1"/>
        <v>Obesity</v>
      </c>
    </row>
    <row r="290" ht="15.75" customHeight="1">
      <c r="A290" s="18" t="s">
        <v>927</v>
      </c>
      <c r="B290" s="18">
        <v>24.43</v>
      </c>
      <c r="C290" s="18">
        <v>7.59</v>
      </c>
      <c r="D290" s="18" t="s">
        <v>80</v>
      </c>
      <c r="E290" s="18" t="s">
        <v>73</v>
      </c>
      <c r="F290" s="18" t="s">
        <v>73</v>
      </c>
      <c r="G290" s="18">
        <v>1.0</v>
      </c>
      <c r="H290" s="18" t="s">
        <v>80</v>
      </c>
      <c r="I290" s="18" t="str">
        <f t="shared" si="1"/>
        <v>Normal Weight</v>
      </c>
    </row>
    <row r="291" ht="15.75" customHeight="1">
      <c r="A291" s="18" t="s">
        <v>930</v>
      </c>
      <c r="B291" s="18">
        <v>41.9</v>
      </c>
      <c r="C291" s="18">
        <v>4.26</v>
      </c>
      <c r="D291" s="18" t="s">
        <v>73</v>
      </c>
      <c r="E291" s="18" t="s">
        <v>73</v>
      </c>
      <c r="F291" s="18" t="s">
        <v>73</v>
      </c>
      <c r="G291" s="20">
        <v>0.0</v>
      </c>
      <c r="H291" s="18" t="s">
        <v>80</v>
      </c>
      <c r="I291" s="18" t="str">
        <f t="shared" si="1"/>
        <v>Obesity</v>
      </c>
    </row>
    <row r="292" ht="15.75" customHeight="1">
      <c r="A292" s="18" t="s">
        <v>932</v>
      </c>
      <c r="B292" s="18">
        <v>22.88</v>
      </c>
      <c r="C292" s="18">
        <v>5.9</v>
      </c>
      <c r="D292" s="18" t="s">
        <v>80</v>
      </c>
      <c r="E292" s="18" t="s">
        <v>73</v>
      </c>
      <c r="F292" s="18" t="s">
        <v>184</v>
      </c>
      <c r="G292" s="18">
        <v>1.0</v>
      </c>
      <c r="H292" s="18" t="s">
        <v>80</v>
      </c>
      <c r="I292" s="18" t="str">
        <f t="shared" si="1"/>
        <v>Normal Weight</v>
      </c>
    </row>
    <row r="293" ht="15.75" customHeight="1">
      <c r="A293" s="18" t="s">
        <v>935</v>
      </c>
      <c r="B293" s="18">
        <v>29.735</v>
      </c>
      <c r="C293" s="18">
        <v>7.79</v>
      </c>
      <c r="D293" s="18" t="s">
        <v>73</v>
      </c>
      <c r="E293" s="18" t="s">
        <v>73</v>
      </c>
      <c r="F293" s="18" t="s">
        <v>73</v>
      </c>
      <c r="G293" s="20">
        <v>0.0</v>
      </c>
      <c r="H293" s="18" t="s">
        <v>73</v>
      </c>
      <c r="I293" s="18" t="str">
        <f t="shared" si="1"/>
        <v>Overweight</v>
      </c>
    </row>
    <row r="294" ht="15.75" customHeight="1">
      <c r="A294" s="18" t="s">
        <v>939</v>
      </c>
      <c r="B294" s="18">
        <v>40.74</v>
      </c>
      <c r="C294" s="18">
        <v>5.28</v>
      </c>
      <c r="D294" s="18" t="s">
        <v>73</v>
      </c>
      <c r="E294" s="18" t="s">
        <v>73</v>
      </c>
      <c r="F294" s="18" t="s">
        <v>184</v>
      </c>
      <c r="G294" s="18">
        <v>1.0</v>
      </c>
      <c r="H294" s="18" t="s">
        <v>80</v>
      </c>
      <c r="I294" s="18" t="str">
        <f t="shared" si="1"/>
        <v>Obesity</v>
      </c>
    </row>
    <row r="295" ht="15.75" customHeight="1">
      <c r="A295" s="18" t="s">
        <v>942</v>
      </c>
      <c r="B295" s="18">
        <v>24.14</v>
      </c>
      <c r="C295" s="18">
        <v>5.87</v>
      </c>
      <c r="D295" s="18" t="s">
        <v>73</v>
      </c>
      <c r="E295" s="18" t="s">
        <v>73</v>
      </c>
      <c r="F295" s="18" t="s">
        <v>73</v>
      </c>
      <c r="G295" s="18">
        <v>2.0</v>
      </c>
      <c r="H295" s="18" t="s">
        <v>80</v>
      </c>
      <c r="I295" s="18" t="str">
        <f t="shared" si="1"/>
        <v>Normal Weight</v>
      </c>
    </row>
    <row r="296" ht="15.75" customHeight="1">
      <c r="A296" s="18" t="s">
        <v>945</v>
      </c>
      <c r="B296" s="18">
        <v>25.15</v>
      </c>
      <c r="C296" s="18">
        <v>9.08</v>
      </c>
      <c r="D296" s="18" t="s">
        <v>80</v>
      </c>
      <c r="E296" s="18" t="s">
        <v>73</v>
      </c>
      <c r="F296" s="18" t="s">
        <v>73</v>
      </c>
      <c r="G296" s="18">
        <v>1.0</v>
      </c>
      <c r="H296" s="18" t="s">
        <v>80</v>
      </c>
      <c r="I296" s="18" t="str">
        <f t="shared" si="1"/>
        <v>Overweight</v>
      </c>
    </row>
    <row r="297" ht="15.75" customHeight="1">
      <c r="A297" s="18" t="s">
        <v>949</v>
      </c>
      <c r="B297" s="18">
        <v>28.71</v>
      </c>
      <c r="C297" s="18">
        <v>5.2</v>
      </c>
      <c r="D297" s="18" t="s">
        <v>73</v>
      </c>
      <c r="E297" s="18" t="s">
        <v>73</v>
      </c>
      <c r="F297" s="18" t="s">
        <v>73</v>
      </c>
      <c r="G297" s="18">
        <v>1.0</v>
      </c>
      <c r="H297" s="18" t="s">
        <v>80</v>
      </c>
      <c r="I297" s="18" t="str">
        <f t="shared" si="1"/>
        <v>Overweight</v>
      </c>
    </row>
    <row r="298" ht="15.75" customHeight="1">
      <c r="A298" s="18" t="s">
        <v>952</v>
      </c>
      <c r="B298" s="18">
        <v>23.0</v>
      </c>
      <c r="C298" s="18">
        <v>5.48</v>
      </c>
      <c r="D298" s="18" t="s">
        <v>73</v>
      </c>
      <c r="E298" s="18" t="s">
        <v>73</v>
      </c>
      <c r="F298" s="18" t="s">
        <v>73</v>
      </c>
      <c r="G298" s="20">
        <v>0.0</v>
      </c>
      <c r="H298" s="18" t="s">
        <v>80</v>
      </c>
      <c r="I298" s="18" t="str">
        <f t="shared" si="1"/>
        <v>Normal Weight</v>
      </c>
    </row>
    <row r="299" ht="15.75" customHeight="1">
      <c r="A299" s="18" t="s">
        <v>955</v>
      </c>
      <c r="B299" s="18">
        <v>36.86</v>
      </c>
      <c r="C299" s="18">
        <v>11.95</v>
      </c>
      <c r="D299" s="18" t="s">
        <v>73</v>
      </c>
      <c r="E299" s="18" t="s">
        <v>73</v>
      </c>
      <c r="F299" s="18" t="s">
        <v>73</v>
      </c>
      <c r="G299" s="20">
        <v>0.0</v>
      </c>
      <c r="H299" s="18" t="s">
        <v>73</v>
      </c>
      <c r="I299" s="18" t="str">
        <f t="shared" si="1"/>
        <v>Obesity</v>
      </c>
    </row>
    <row r="300" ht="15.75" customHeight="1">
      <c r="A300" s="18" t="s">
        <v>959</v>
      </c>
      <c r="B300" s="18">
        <v>24.25</v>
      </c>
      <c r="C300" s="18">
        <v>8.7</v>
      </c>
      <c r="D300" s="18" t="s">
        <v>80</v>
      </c>
      <c r="E300" s="18" t="s">
        <v>73</v>
      </c>
      <c r="F300" s="18" t="s">
        <v>73</v>
      </c>
      <c r="G300" s="18">
        <v>1.0</v>
      </c>
      <c r="H300" s="18" t="s">
        <v>80</v>
      </c>
      <c r="I300" s="18" t="str">
        <f t="shared" si="1"/>
        <v>Normal Weight</v>
      </c>
    </row>
    <row r="301" ht="15.75" customHeight="1">
      <c r="A301" s="18" t="s">
        <v>962</v>
      </c>
      <c r="B301" s="18">
        <v>23.85</v>
      </c>
      <c r="C301" s="18">
        <v>7.84</v>
      </c>
      <c r="D301" s="18" t="s">
        <v>73</v>
      </c>
      <c r="E301" s="18" t="s">
        <v>73</v>
      </c>
      <c r="F301" s="18" t="s">
        <v>73</v>
      </c>
      <c r="G301" s="20">
        <v>0.0</v>
      </c>
      <c r="H301" s="18" t="s">
        <v>80</v>
      </c>
      <c r="I301" s="18" t="str">
        <f t="shared" si="1"/>
        <v>Normal Weight</v>
      </c>
    </row>
    <row r="302" ht="15.75" customHeight="1">
      <c r="A302" s="18" t="s">
        <v>965</v>
      </c>
      <c r="B302" s="18">
        <v>40.02</v>
      </c>
      <c r="C302" s="18">
        <v>5.19</v>
      </c>
      <c r="D302" s="18" t="s">
        <v>80</v>
      </c>
      <c r="E302" s="18" t="s">
        <v>73</v>
      </c>
      <c r="F302" s="18" t="s">
        <v>73</v>
      </c>
      <c r="G302" s="18">
        <v>1.0</v>
      </c>
      <c r="H302" s="18" t="s">
        <v>80</v>
      </c>
      <c r="I302" s="18" t="str">
        <f t="shared" si="1"/>
        <v>Obesity</v>
      </c>
    </row>
    <row r="303" ht="15.75" customHeight="1">
      <c r="A303" s="18" t="s">
        <v>968</v>
      </c>
      <c r="B303" s="18">
        <v>19.17</v>
      </c>
      <c r="C303" s="18">
        <v>8.41</v>
      </c>
      <c r="D303" s="18" t="s">
        <v>73</v>
      </c>
      <c r="E303" s="18" t="s">
        <v>73</v>
      </c>
      <c r="F303" s="18" t="s">
        <v>73</v>
      </c>
      <c r="G303" s="20">
        <v>0.0</v>
      </c>
      <c r="H303" s="18" t="s">
        <v>80</v>
      </c>
      <c r="I303" s="18" t="str">
        <f t="shared" si="1"/>
        <v>Normal Weight</v>
      </c>
    </row>
    <row r="304" ht="15.75" customHeight="1">
      <c r="A304" s="18" t="s">
        <v>969</v>
      </c>
      <c r="B304" s="18">
        <v>43.53</v>
      </c>
      <c r="C304" s="18">
        <v>5.86</v>
      </c>
      <c r="D304" s="18" t="s">
        <v>80</v>
      </c>
      <c r="E304" s="18" t="s">
        <v>80</v>
      </c>
      <c r="F304" s="18" t="s">
        <v>73</v>
      </c>
      <c r="G304" s="18">
        <v>2.0</v>
      </c>
      <c r="H304" s="18" t="s">
        <v>80</v>
      </c>
      <c r="I304" s="18" t="str">
        <f t="shared" si="1"/>
        <v>Obesity</v>
      </c>
    </row>
    <row r="305" ht="15.75" customHeight="1">
      <c r="A305" s="18" t="s">
        <v>973</v>
      </c>
      <c r="B305" s="18">
        <v>46.06</v>
      </c>
      <c r="C305" s="18">
        <v>4.18</v>
      </c>
      <c r="D305" s="18" t="s">
        <v>73</v>
      </c>
      <c r="E305" s="18" t="s">
        <v>80</v>
      </c>
      <c r="F305" s="18" t="s">
        <v>73</v>
      </c>
      <c r="G305" s="18">
        <v>1.0</v>
      </c>
      <c r="H305" s="18" t="s">
        <v>80</v>
      </c>
      <c r="I305" s="18" t="str">
        <f t="shared" si="1"/>
        <v>Obesity</v>
      </c>
    </row>
    <row r="306" ht="15.75" customHeight="1">
      <c r="A306" s="18" t="s">
        <v>976</v>
      </c>
      <c r="B306" s="18">
        <v>29.92</v>
      </c>
      <c r="C306" s="18">
        <v>11.99</v>
      </c>
      <c r="D306" s="18" t="s">
        <v>80</v>
      </c>
      <c r="E306" s="18" t="s">
        <v>73</v>
      </c>
      <c r="F306" s="18" t="s">
        <v>73</v>
      </c>
      <c r="G306" s="18">
        <v>2.0</v>
      </c>
      <c r="H306" s="18" t="s">
        <v>80</v>
      </c>
      <c r="I306" s="18" t="str">
        <f t="shared" si="1"/>
        <v>Overweight</v>
      </c>
    </row>
    <row r="307" ht="15.75" customHeight="1">
      <c r="A307" s="18" t="s">
        <v>979</v>
      </c>
      <c r="B307" s="18">
        <v>28.46</v>
      </c>
      <c r="C307" s="18">
        <v>4.85</v>
      </c>
      <c r="D307" s="18" t="s">
        <v>80</v>
      </c>
      <c r="E307" s="18" t="s">
        <v>73</v>
      </c>
      <c r="F307" s="18" t="s">
        <v>73</v>
      </c>
      <c r="G307" s="18">
        <v>1.0</v>
      </c>
      <c r="H307" s="18" t="s">
        <v>80</v>
      </c>
      <c r="I307" s="18" t="str">
        <f t="shared" si="1"/>
        <v>Overweight</v>
      </c>
    </row>
    <row r="308" ht="15.75" customHeight="1">
      <c r="A308" s="18" t="s">
        <v>982</v>
      </c>
      <c r="B308" s="18">
        <v>24.56</v>
      </c>
      <c r="C308" s="18">
        <v>6.18</v>
      </c>
      <c r="D308" s="18" t="s">
        <v>80</v>
      </c>
      <c r="E308" s="18" t="s">
        <v>73</v>
      </c>
      <c r="F308" s="18" t="s">
        <v>184</v>
      </c>
      <c r="G308" s="18">
        <v>1.0</v>
      </c>
      <c r="H308" s="18" t="s">
        <v>80</v>
      </c>
      <c r="I308" s="18" t="str">
        <f t="shared" si="1"/>
        <v>Normal Weight</v>
      </c>
    </row>
    <row r="309" ht="15.75" customHeight="1">
      <c r="A309" s="18" t="s">
        <v>984</v>
      </c>
      <c r="B309" s="18">
        <v>41.19</v>
      </c>
      <c r="C309" s="18">
        <v>6.37</v>
      </c>
      <c r="D309" s="18" t="s">
        <v>73</v>
      </c>
      <c r="E309" s="18" t="s">
        <v>73</v>
      </c>
      <c r="F309" s="18" t="s">
        <v>73</v>
      </c>
      <c r="G309" s="20">
        <v>0.0</v>
      </c>
      <c r="H309" s="18" t="s">
        <v>80</v>
      </c>
      <c r="I309" s="18" t="str">
        <f t="shared" si="1"/>
        <v>Obesity</v>
      </c>
    </row>
    <row r="310" ht="15.75" customHeight="1">
      <c r="A310" s="18" t="s">
        <v>987</v>
      </c>
      <c r="B310" s="18">
        <v>18.63</v>
      </c>
      <c r="C310" s="18">
        <v>9.81</v>
      </c>
      <c r="D310" s="18" t="s">
        <v>80</v>
      </c>
      <c r="E310" s="18" t="s">
        <v>73</v>
      </c>
      <c r="F310" s="18" t="s">
        <v>73</v>
      </c>
      <c r="G310" s="18">
        <v>2.0</v>
      </c>
      <c r="H310" s="18" t="s">
        <v>80</v>
      </c>
      <c r="I310" s="18" t="str">
        <f t="shared" si="1"/>
        <v>Normal Weight</v>
      </c>
    </row>
    <row r="311" ht="15.75" customHeight="1">
      <c r="A311" s="18" t="s">
        <v>991</v>
      </c>
      <c r="B311" s="18">
        <v>26.26</v>
      </c>
      <c r="C311" s="18">
        <v>11.8</v>
      </c>
      <c r="D311" s="18" t="s">
        <v>80</v>
      </c>
      <c r="E311" s="18" t="s">
        <v>73</v>
      </c>
      <c r="F311" s="18" t="s">
        <v>73</v>
      </c>
      <c r="G311" s="18">
        <v>1.0</v>
      </c>
      <c r="H311" s="18" t="s">
        <v>80</v>
      </c>
      <c r="I311" s="18" t="str">
        <f t="shared" si="1"/>
        <v>Overweight</v>
      </c>
    </row>
    <row r="312" ht="15.75" customHeight="1">
      <c r="A312" s="18" t="s">
        <v>994</v>
      </c>
      <c r="B312" s="18">
        <v>22.37</v>
      </c>
      <c r="C312" s="18">
        <v>5.86</v>
      </c>
      <c r="D312" s="18" t="s">
        <v>80</v>
      </c>
      <c r="E312" s="18" t="s">
        <v>73</v>
      </c>
      <c r="F312" s="18" t="s">
        <v>184</v>
      </c>
      <c r="G312" s="18">
        <v>1.0</v>
      </c>
      <c r="H312" s="18" t="s">
        <v>80</v>
      </c>
      <c r="I312" s="18" t="str">
        <f t="shared" si="1"/>
        <v>Normal Weight</v>
      </c>
    </row>
    <row r="313" ht="15.75" customHeight="1">
      <c r="A313" s="18" t="s">
        <v>996</v>
      </c>
      <c r="B313" s="18">
        <v>39.62</v>
      </c>
      <c r="C313" s="18">
        <v>4.28</v>
      </c>
      <c r="D313" s="18" t="s">
        <v>73</v>
      </c>
      <c r="E313" s="18" t="s">
        <v>73</v>
      </c>
      <c r="F313" s="18" t="s">
        <v>73</v>
      </c>
      <c r="G313" s="18">
        <v>1.0</v>
      </c>
      <c r="H313" s="18" t="s">
        <v>80</v>
      </c>
      <c r="I313" s="18" t="str">
        <f t="shared" si="1"/>
        <v>Obesity</v>
      </c>
    </row>
    <row r="314" ht="15.75" customHeight="1">
      <c r="A314" s="18" t="s">
        <v>999</v>
      </c>
      <c r="B314" s="18">
        <v>18.33</v>
      </c>
      <c r="C314" s="18">
        <v>4.16</v>
      </c>
      <c r="D314" s="18" t="s">
        <v>80</v>
      </c>
      <c r="E314" s="18" t="s">
        <v>73</v>
      </c>
      <c r="F314" s="18" t="s">
        <v>73</v>
      </c>
      <c r="G314" s="20">
        <v>0.0</v>
      </c>
      <c r="H314" s="18" t="s">
        <v>80</v>
      </c>
      <c r="I314" s="18" t="str">
        <f t="shared" si="1"/>
        <v>Underweight</v>
      </c>
    </row>
    <row r="315" ht="15.75" customHeight="1">
      <c r="A315" s="18" t="s">
        <v>1003</v>
      </c>
      <c r="B315" s="18">
        <v>17.11</v>
      </c>
      <c r="C315" s="18">
        <v>4.98</v>
      </c>
      <c r="D315" s="18" t="s">
        <v>80</v>
      </c>
      <c r="E315" s="18" t="s">
        <v>73</v>
      </c>
      <c r="F315" s="18" t="s">
        <v>184</v>
      </c>
      <c r="G315" s="18">
        <v>1.0</v>
      </c>
      <c r="H315" s="18" t="s">
        <v>80</v>
      </c>
      <c r="I315" s="18" t="str">
        <f t="shared" si="1"/>
        <v>Underweight</v>
      </c>
    </row>
    <row r="316" ht="15.75" customHeight="1">
      <c r="A316" s="18" t="s">
        <v>1006</v>
      </c>
      <c r="B316" s="18">
        <v>43.5</v>
      </c>
      <c r="C316" s="18">
        <v>6.38</v>
      </c>
      <c r="D316" s="18" t="s">
        <v>73</v>
      </c>
      <c r="E316" s="18" t="s">
        <v>80</v>
      </c>
      <c r="F316" s="18" t="s">
        <v>73</v>
      </c>
      <c r="G316" s="18">
        <v>1.0</v>
      </c>
      <c r="H316" s="18" t="s">
        <v>80</v>
      </c>
      <c r="I316" s="18" t="str">
        <f t="shared" si="1"/>
        <v>Obesity</v>
      </c>
    </row>
    <row r="317" ht="15.75" customHeight="1">
      <c r="A317" s="18" t="s">
        <v>1009</v>
      </c>
      <c r="B317" s="18">
        <v>25.365</v>
      </c>
      <c r="C317" s="18">
        <v>5.19</v>
      </c>
      <c r="D317" s="18" t="s">
        <v>73</v>
      </c>
      <c r="E317" s="18" t="s">
        <v>73</v>
      </c>
      <c r="F317" s="18" t="s">
        <v>73</v>
      </c>
      <c r="G317" s="18">
        <v>2.0</v>
      </c>
      <c r="H317" s="18" t="s">
        <v>73</v>
      </c>
      <c r="I317" s="18" t="str">
        <f t="shared" si="1"/>
        <v>Overweight</v>
      </c>
    </row>
    <row r="318" ht="15.75" customHeight="1">
      <c r="A318" s="18" t="s">
        <v>1012</v>
      </c>
      <c r="B318" s="18">
        <v>28.595</v>
      </c>
      <c r="C318" s="18">
        <v>10.21</v>
      </c>
      <c r="D318" s="18" t="s">
        <v>73</v>
      </c>
      <c r="E318" s="18" t="s">
        <v>73</v>
      </c>
      <c r="F318" s="18" t="s">
        <v>73</v>
      </c>
      <c r="G318" s="20">
        <v>0.0</v>
      </c>
      <c r="H318" s="18" t="s">
        <v>73</v>
      </c>
      <c r="I318" s="18" t="str">
        <f t="shared" si="1"/>
        <v>Overweight</v>
      </c>
    </row>
    <row r="319" ht="15.75" customHeight="1">
      <c r="A319" s="18" t="s">
        <v>1014</v>
      </c>
      <c r="B319" s="18">
        <v>29.83</v>
      </c>
      <c r="C319" s="18">
        <v>9.7</v>
      </c>
      <c r="D319" s="18" t="s">
        <v>80</v>
      </c>
      <c r="E319" s="18" t="s">
        <v>73</v>
      </c>
      <c r="F319" s="18" t="s">
        <v>184</v>
      </c>
      <c r="G319" s="18">
        <v>1.0</v>
      </c>
      <c r="H319" s="18" t="s">
        <v>80</v>
      </c>
      <c r="I319" s="18" t="str">
        <f t="shared" si="1"/>
        <v>Overweight</v>
      </c>
    </row>
    <row r="320" ht="15.75" customHeight="1">
      <c r="A320" s="18" t="s">
        <v>1017</v>
      </c>
      <c r="B320" s="18">
        <v>24.7</v>
      </c>
      <c r="C320" s="18">
        <v>10.25</v>
      </c>
      <c r="D320" s="18" t="s">
        <v>73</v>
      </c>
      <c r="E320" s="18" t="s">
        <v>73</v>
      </c>
      <c r="F320" s="18" t="s">
        <v>73</v>
      </c>
      <c r="G320" s="18">
        <v>3.0</v>
      </c>
      <c r="H320" s="18" t="s">
        <v>73</v>
      </c>
      <c r="I320" s="18" t="str">
        <f t="shared" si="1"/>
        <v>Normal Weight</v>
      </c>
    </row>
    <row r="321" ht="15.75" customHeight="1">
      <c r="A321" s="18" t="s">
        <v>1021</v>
      </c>
      <c r="B321" s="18">
        <v>17.94</v>
      </c>
      <c r="C321" s="18">
        <v>9.77</v>
      </c>
      <c r="D321" s="18" t="s">
        <v>73</v>
      </c>
      <c r="E321" s="18" t="s">
        <v>73</v>
      </c>
      <c r="F321" s="18" t="s">
        <v>73</v>
      </c>
      <c r="G321" s="20">
        <v>0.0</v>
      </c>
      <c r="H321" s="18" t="s">
        <v>80</v>
      </c>
      <c r="I321" s="18" t="str">
        <f t="shared" si="1"/>
        <v>Underweight</v>
      </c>
    </row>
    <row r="322" ht="15.75" customHeight="1">
      <c r="A322" s="18" t="s">
        <v>1024</v>
      </c>
      <c r="B322" s="18">
        <v>21.08</v>
      </c>
      <c r="C322" s="18">
        <v>4.83</v>
      </c>
      <c r="D322" s="18" t="s">
        <v>73</v>
      </c>
      <c r="E322" s="18" t="s">
        <v>73</v>
      </c>
      <c r="F322" s="18" t="s">
        <v>184</v>
      </c>
      <c r="G322" s="18">
        <v>1.0</v>
      </c>
      <c r="H322" s="18" t="s">
        <v>80</v>
      </c>
      <c r="I322" s="18" t="str">
        <f t="shared" si="1"/>
        <v>Normal Weight</v>
      </c>
    </row>
    <row r="323" ht="15.75" customHeight="1">
      <c r="A323" s="18" t="s">
        <v>1028</v>
      </c>
      <c r="B323" s="18">
        <v>37.715</v>
      </c>
      <c r="C323" s="18">
        <v>10.86</v>
      </c>
      <c r="D323" s="18" t="s">
        <v>80</v>
      </c>
      <c r="E323" s="18" t="s">
        <v>73</v>
      </c>
      <c r="F323" s="18" t="s">
        <v>73</v>
      </c>
      <c r="G323" s="20">
        <v>0.0</v>
      </c>
      <c r="H323" s="18" t="s">
        <v>73</v>
      </c>
      <c r="I323" s="18" t="str">
        <f t="shared" si="1"/>
        <v>Obesity</v>
      </c>
    </row>
    <row r="324" ht="15.75" customHeight="1">
      <c r="A324" s="18" t="s">
        <v>1031</v>
      </c>
      <c r="B324" s="18">
        <v>22.39</v>
      </c>
      <c r="C324" s="18">
        <v>9.53</v>
      </c>
      <c r="D324" s="18" t="s">
        <v>80</v>
      </c>
      <c r="E324" s="18" t="s">
        <v>73</v>
      </c>
      <c r="F324" s="18" t="s">
        <v>73</v>
      </c>
      <c r="G324" s="20">
        <v>0.0</v>
      </c>
      <c r="H324" s="18" t="s">
        <v>80</v>
      </c>
      <c r="I324" s="18" t="str">
        <f t="shared" si="1"/>
        <v>Normal Weight</v>
      </c>
    </row>
    <row r="325" ht="15.75" customHeight="1">
      <c r="A325" s="18" t="s">
        <v>1033</v>
      </c>
      <c r="B325" s="18">
        <v>28.78</v>
      </c>
      <c r="C325" s="18">
        <v>5.68</v>
      </c>
      <c r="D325" s="18" t="s">
        <v>73</v>
      </c>
      <c r="E325" s="18" t="s">
        <v>73</v>
      </c>
      <c r="F325" s="18" t="s">
        <v>73</v>
      </c>
      <c r="G325" s="20">
        <v>0.0</v>
      </c>
      <c r="H325" s="18" t="s">
        <v>80</v>
      </c>
      <c r="I325" s="18" t="str">
        <f t="shared" si="1"/>
        <v>Overweight</v>
      </c>
    </row>
    <row r="326" ht="15.75" customHeight="1">
      <c r="A326" s="18" t="s">
        <v>1036</v>
      </c>
      <c r="B326" s="18">
        <v>18.33</v>
      </c>
      <c r="C326" s="18">
        <v>5.57</v>
      </c>
      <c r="D326" s="18" t="s">
        <v>80</v>
      </c>
      <c r="E326" s="18" t="s">
        <v>73</v>
      </c>
      <c r="F326" s="18" t="s">
        <v>73</v>
      </c>
      <c r="G326" s="20">
        <v>0.0</v>
      </c>
      <c r="H326" s="18" t="s">
        <v>80</v>
      </c>
      <c r="I326" s="18" t="str">
        <f t="shared" si="1"/>
        <v>Underweight</v>
      </c>
    </row>
    <row r="327" ht="15.75" customHeight="1">
      <c r="A327" s="18" t="s">
        <v>1039</v>
      </c>
      <c r="B327" s="18">
        <v>26.39</v>
      </c>
      <c r="C327" s="18">
        <v>4.58</v>
      </c>
      <c r="D327" s="18" t="s">
        <v>80</v>
      </c>
      <c r="E327" s="18" t="s">
        <v>73</v>
      </c>
      <c r="F327" s="18" t="s">
        <v>73</v>
      </c>
      <c r="G327" s="18">
        <v>1.0</v>
      </c>
      <c r="H327" s="18" t="s">
        <v>80</v>
      </c>
      <c r="I327" s="18" t="str">
        <f t="shared" si="1"/>
        <v>Overweight</v>
      </c>
    </row>
    <row r="328" ht="15.75" customHeight="1">
      <c r="A328" s="18" t="s">
        <v>1043</v>
      </c>
      <c r="B328" s="18">
        <v>19.26</v>
      </c>
      <c r="C328" s="18">
        <v>8.96</v>
      </c>
      <c r="D328" s="18" t="s">
        <v>80</v>
      </c>
      <c r="E328" s="18" t="s">
        <v>73</v>
      </c>
      <c r="F328" s="18" t="s">
        <v>73</v>
      </c>
      <c r="G328" s="18">
        <v>1.0</v>
      </c>
      <c r="H328" s="18" t="s">
        <v>80</v>
      </c>
      <c r="I328" s="18" t="str">
        <f t="shared" si="1"/>
        <v>Normal Weight</v>
      </c>
    </row>
    <row r="329" ht="15.75" customHeight="1">
      <c r="A329" s="18" t="s">
        <v>1046</v>
      </c>
      <c r="B329" s="18">
        <v>26.92</v>
      </c>
      <c r="C329" s="18">
        <v>6.09</v>
      </c>
      <c r="D329" s="18" t="s">
        <v>73</v>
      </c>
      <c r="E329" s="18" t="s">
        <v>73</v>
      </c>
      <c r="F329" s="18" t="s">
        <v>73</v>
      </c>
      <c r="G329" s="20">
        <v>0.0</v>
      </c>
      <c r="H329" s="18" t="s">
        <v>80</v>
      </c>
      <c r="I329" s="18" t="str">
        <f t="shared" si="1"/>
        <v>Overweight</v>
      </c>
    </row>
    <row r="330" ht="15.75" customHeight="1">
      <c r="A330" s="18" t="s">
        <v>1049</v>
      </c>
      <c r="B330" s="18">
        <v>19.73</v>
      </c>
      <c r="C330" s="18">
        <v>4.36</v>
      </c>
      <c r="D330" s="18" t="s">
        <v>73</v>
      </c>
      <c r="E330" s="18" t="s">
        <v>73</v>
      </c>
      <c r="F330" s="18" t="s">
        <v>73</v>
      </c>
      <c r="G330" s="20">
        <v>0.0</v>
      </c>
      <c r="H330" s="18" t="s">
        <v>80</v>
      </c>
      <c r="I330" s="18" t="str">
        <f t="shared" si="1"/>
        <v>Normal Weight</v>
      </c>
    </row>
    <row r="331" ht="15.75" customHeight="1">
      <c r="A331" s="18" t="s">
        <v>1051</v>
      </c>
      <c r="B331" s="18">
        <v>23.56</v>
      </c>
      <c r="C331" s="18">
        <v>11.74</v>
      </c>
      <c r="D331" s="18" t="s">
        <v>80</v>
      </c>
      <c r="E331" s="18" t="s">
        <v>73</v>
      </c>
      <c r="F331" s="18" t="s">
        <v>73</v>
      </c>
      <c r="G331" s="20">
        <v>0.0</v>
      </c>
      <c r="H331" s="18" t="s">
        <v>80</v>
      </c>
      <c r="I331" s="18" t="str">
        <f t="shared" si="1"/>
        <v>Normal Weight</v>
      </c>
    </row>
    <row r="332" ht="15.75" customHeight="1">
      <c r="A332" s="18" t="s">
        <v>1055</v>
      </c>
      <c r="B332" s="18">
        <v>37.67</v>
      </c>
      <c r="C332" s="18">
        <v>5.89</v>
      </c>
      <c r="D332" s="18" t="s">
        <v>73</v>
      </c>
      <c r="E332" s="18" t="s">
        <v>73</v>
      </c>
      <c r="F332" s="18" t="s">
        <v>73</v>
      </c>
      <c r="G332" s="18">
        <v>1.0</v>
      </c>
      <c r="H332" s="18" t="s">
        <v>80</v>
      </c>
      <c r="I332" s="18" t="str">
        <f t="shared" si="1"/>
        <v>Obesity</v>
      </c>
    </row>
    <row r="333" ht="15.75" customHeight="1">
      <c r="A333" s="18" t="s">
        <v>1058</v>
      </c>
      <c r="B333" s="18">
        <v>18.73</v>
      </c>
      <c r="C333" s="18">
        <v>10.64</v>
      </c>
      <c r="D333" s="18" t="s">
        <v>73</v>
      </c>
      <c r="E333" s="18" t="s">
        <v>73</v>
      </c>
      <c r="F333" s="18" t="s">
        <v>73</v>
      </c>
      <c r="G333" s="18">
        <v>2.0</v>
      </c>
      <c r="H333" s="18" t="s">
        <v>80</v>
      </c>
      <c r="I333" s="18" t="str">
        <f t="shared" si="1"/>
        <v>Normal Weight</v>
      </c>
    </row>
    <row r="334" ht="15.75" customHeight="1">
      <c r="A334" s="18" t="s">
        <v>1061</v>
      </c>
      <c r="B334" s="18">
        <v>33.09</v>
      </c>
      <c r="C334" s="18">
        <v>6.06</v>
      </c>
      <c r="D334" s="18" t="s">
        <v>73</v>
      </c>
      <c r="E334" s="18" t="s">
        <v>73</v>
      </c>
      <c r="F334" s="18" t="s">
        <v>184</v>
      </c>
      <c r="G334" s="18">
        <v>1.0</v>
      </c>
      <c r="H334" s="18" t="s">
        <v>80</v>
      </c>
      <c r="I334" s="18" t="str">
        <f t="shared" si="1"/>
        <v>Obesity</v>
      </c>
    </row>
    <row r="335" ht="15.75" customHeight="1">
      <c r="A335" s="18" t="s">
        <v>1064</v>
      </c>
      <c r="B335" s="18">
        <v>18.33</v>
      </c>
      <c r="C335" s="18">
        <v>7.46</v>
      </c>
      <c r="D335" s="18" t="s">
        <v>80</v>
      </c>
      <c r="E335" s="18" t="s">
        <v>73</v>
      </c>
      <c r="F335" s="18" t="s">
        <v>73</v>
      </c>
      <c r="G335" s="18">
        <v>1.0</v>
      </c>
      <c r="H335" s="18" t="s">
        <v>80</v>
      </c>
      <c r="I335" s="18" t="str">
        <f t="shared" si="1"/>
        <v>Underweight</v>
      </c>
    </row>
    <row r="336" ht="15.75" customHeight="1">
      <c r="A336" s="18" t="s">
        <v>1068</v>
      </c>
      <c r="B336" s="18">
        <v>27.74</v>
      </c>
      <c r="C336" s="18">
        <v>4.68</v>
      </c>
      <c r="D336" s="18" t="s">
        <v>80</v>
      </c>
      <c r="E336" s="18" t="s">
        <v>73</v>
      </c>
      <c r="F336" s="18" t="s">
        <v>73</v>
      </c>
      <c r="G336" s="18">
        <v>2.0</v>
      </c>
      <c r="H336" s="18" t="s">
        <v>80</v>
      </c>
      <c r="I336" s="18" t="str">
        <f t="shared" si="1"/>
        <v>Overweight</v>
      </c>
    </row>
    <row r="337" ht="15.75" customHeight="1">
      <c r="A337" s="18" t="s">
        <v>1071</v>
      </c>
      <c r="B337" s="18">
        <v>24.2</v>
      </c>
      <c r="C337" s="18">
        <v>6.15</v>
      </c>
      <c r="D337" s="18" t="s">
        <v>73</v>
      </c>
      <c r="E337" s="18" t="s">
        <v>73</v>
      </c>
      <c r="F337" s="18" t="s">
        <v>73</v>
      </c>
      <c r="G337" s="18">
        <v>1.0</v>
      </c>
      <c r="H337" s="18" t="s">
        <v>80</v>
      </c>
      <c r="I337" s="18" t="str">
        <f t="shared" si="1"/>
        <v>Normal Weight</v>
      </c>
    </row>
    <row r="338" ht="15.75" customHeight="1">
      <c r="A338" s="18" t="s">
        <v>1075</v>
      </c>
      <c r="B338" s="18">
        <v>22.03</v>
      </c>
      <c r="C338" s="18">
        <v>4.28</v>
      </c>
      <c r="D338" s="18" t="s">
        <v>80</v>
      </c>
      <c r="E338" s="18" t="s">
        <v>73</v>
      </c>
      <c r="F338" s="18" t="s">
        <v>73</v>
      </c>
      <c r="G338" s="20">
        <v>0.0</v>
      </c>
      <c r="H338" s="18" t="s">
        <v>80</v>
      </c>
      <c r="I338" s="18" t="str">
        <f t="shared" si="1"/>
        <v>Normal Weight</v>
      </c>
    </row>
    <row r="339" ht="15.75" customHeight="1">
      <c r="A339" s="18" t="s">
        <v>1078</v>
      </c>
      <c r="B339" s="18">
        <v>26.885</v>
      </c>
      <c r="C339" s="18">
        <v>9.86</v>
      </c>
      <c r="D339" s="18" t="s">
        <v>73</v>
      </c>
      <c r="E339" s="18" t="s">
        <v>73</v>
      </c>
      <c r="F339" s="18" t="s">
        <v>73</v>
      </c>
      <c r="G339" s="18">
        <v>3.0</v>
      </c>
      <c r="H339" s="18" t="s">
        <v>80</v>
      </c>
      <c r="I339" s="18" t="str">
        <f t="shared" si="1"/>
        <v>Overweight</v>
      </c>
    </row>
    <row r="340" ht="15.75" customHeight="1">
      <c r="A340" s="18" t="s">
        <v>1081</v>
      </c>
      <c r="B340" s="18">
        <v>16.36</v>
      </c>
      <c r="C340" s="18">
        <v>11.19</v>
      </c>
      <c r="D340" s="18" t="s">
        <v>73</v>
      </c>
      <c r="E340" s="18" t="s">
        <v>73</v>
      </c>
      <c r="F340" s="18" t="s">
        <v>73</v>
      </c>
      <c r="G340" s="20">
        <v>0.0</v>
      </c>
      <c r="H340" s="18" t="s">
        <v>80</v>
      </c>
      <c r="I340" s="18" t="str">
        <f t="shared" si="1"/>
        <v>Underweight</v>
      </c>
    </row>
    <row r="341" ht="15.75" customHeight="1">
      <c r="A341" s="18" t="s">
        <v>1084</v>
      </c>
      <c r="B341" s="18">
        <v>32.3</v>
      </c>
      <c r="C341" s="18">
        <v>4.89</v>
      </c>
      <c r="D341" s="18" t="s">
        <v>80</v>
      </c>
      <c r="E341" s="18" t="s">
        <v>73</v>
      </c>
      <c r="F341" s="18" t="s">
        <v>184</v>
      </c>
      <c r="G341" s="18">
        <v>1.0</v>
      </c>
      <c r="H341" s="18" t="s">
        <v>73</v>
      </c>
      <c r="I341" s="18" t="str">
        <f t="shared" si="1"/>
        <v>Obesity</v>
      </c>
    </row>
    <row r="342" ht="15.75" customHeight="1">
      <c r="A342" s="18" t="s">
        <v>1087</v>
      </c>
      <c r="B342" s="18">
        <v>16.05</v>
      </c>
      <c r="C342" s="18">
        <v>4.35</v>
      </c>
      <c r="D342" s="18" t="s">
        <v>80</v>
      </c>
      <c r="E342" s="18" t="s">
        <v>73</v>
      </c>
      <c r="F342" s="18" t="s">
        <v>73</v>
      </c>
      <c r="G342" s="20">
        <v>0.0</v>
      </c>
      <c r="H342" s="18" t="s">
        <v>80</v>
      </c>
      <c r="I342" s="18" t="str">
        <f t="shared" si="1"/>
        <v>Underweight</v>
      </c>
    </row>
    <row r="343" ht="15.75" customHeight="1">
      <c r="A343" s="18" t="s">
        <v>1091</v>
      </c>
      <c r="B343" s="18">
        <v>29.07</v>
      </c>
      <c r="C343" s="18">
        <v>8.66</v>
      </c>
      <c r="D343" s="18" t="s">
        <v>80</v>
      </c>
      <c r="E343" s="18" t="s">
        <v>73</v>
      </c>
      <c r="F343" s="18" t="s">
        <v>73</v>
      </c>
      <c r="G343" s="18">
        <v>2.0</v>
      </c>
      <c r="H343" s="18" t="s">
        <v>80</v>
      </c>
      <c r="I343" s="18" t="str">
        <f t="shared" si="1"/>
        <v>Overweight</v>
      </c>
    </row>
    <row r="344" ht="15.75" customHeight="1">
      <c r="A344" s="18" t="s">
        <v>1095</v>
      </c>
      <c r="B344" s="18">
        <v>17.43</v>
      </c>
      <c r="C344" s="18">
        <v>8.64</v>
      </c>
      <c r="D344" s="18" t="s">
        <v>73</v>
      </c>
      <c r="E344" s="18" t="s">
        <v>73</v>
      </c>
      <c r="F344" s="18" t="s">
        <v>73</v>
      </c>
      <c r="G344" s="20">
        <v>0.0</v>
      </c>
      <c r="H344" s="18" t="s">
        <v>80</v>
      </c>
      <c r="I344" s="18" t="str">
        <f t="shared" si="1"/>
        <v>Underweight</v>
      </c>
    </row>
    <row r="345" ht="15.75" customHeight="1">
      <c r="A345" s="18" t="s">
        <v>1097</v>
      </c>
      <c r="B345" s="18">
        <v>19.33</v>
      </c>
      <c r="C345" s="18">
        <v>4.27</v>
      </c>
      <c r="D345" s="18" t="s">
        <v>73</v>
      </c>
      <c r="E345" s="18" t="s">
        <v>73</v>
      </c>
      <c r="F345" s="18" t="s">
        <v>73</v>
      </c>
      <c r="G345" s="20">
        <v>0.0</v>
      </c>
      <c r="H345" s="18" t="s">
        <v>80</v>
      </c>
      <c r="I345" s="18" t="str">
        <f t="shared" si="1"/>
        <v>Normal Weight</v>
      </c>
    </row>
    <row r="346" ht="15.75" customHeight="1">
      <c r="A346" s="18" t="s">
        <v>1101</v>
      </c>
      <c r="B346" s="18">
        <v>30.52</v>
      </c>
      <c r="C346" s="18">
        <v>4.21</v>
      </c>
      <c r="D346" s="18" t="s">
        <v>73</v>
      </c>
      <c r="E346" s="18" t="s">
        <v>73</v>
      </c>
      <c r="F346" s="18" t="s">
        <v>73</v>
      </c>
      <c r="G346" s="18">
        <v>1.0</v>
      </c>
      <c r="H346" s="18" t="s">
        <v>80</v>
      </c>
      <c r="I346" s="18" t="str">
        <f t="shared" si="1"/>
        <v>Obesity</v>
      </c>
    </row>
    <row r="347" ht="15.75" customHeight="1">
      <c r="A347" s="18" t="s">
        <v>1104</v>
      </c>
      <c r="B347" s="18">
        <v>39.21</v>
      </c>
      <c r="C347" s="18">
        <v>5.04</v>
      </c>
      <c r="D347" s="18" t="s">
        <v>73</v>
      </c>
      <c r="E347" s="18" t="s">
        <v>73</v>
      </c>
      <c r="F347" s="18" t="s">
        <v>184</v>
      </c>
      <c r="G347" s="18">
        <v>1.0</v>
      </c>
      <c r="H347" s="18" t="s">
        <v>80</v>
      </c>
      <c r="I347" s="18" t="str">
        <f t="shared" si="1"/>
        <v>Obesity</v>
      </c>
    </row>
    <row r="348" ht="15.75" customHeight="1">
      <c r="A348" s="18" t="s">
        <v>1107</v>
      </c>
      <c r="B348" s="18">
        <v>26.98</v>
      </c>
      <c r="C348" s="18">
        <v>5.21</v>
      </c>
      <c r="D348" s="18" t="s">
        <v>80</v>
      </c>
      <c r="E348" s="18" t="s">
        <v>73</v>
      </c>
      <c r="F348" s="18" t="s">
        <v>73</v>
      </c>
      <c r="G348" s="18">
        <v>2.0</v>
      </c>
      <c r="H348" s="18" t="s">
        <v>80</v>
      </c>
      <c r="I348" s="18" t="str">
        <f t="shared" si="1"/>
        <v>Overweight</v>
      </c>
    </row>
    <row r="349" ht="15.75" customHeight="1">
      <c r="A349" s="18" t="s">
        <v>1110</v>
      </c>
      <c r="B349" s="18">
        <v>25.84</v>
      </c>
      <c r="C349" s="18">
        <v>8.83</v>
      </c>
      <c r="D349" s="18" t="s">
        <v>73</v>
      </c>
      <c r="E349" s="18" t="s">
        <v>73</v>
      </c>
      <c r="F349" s="18" t="s">
        <v>73</v>
      </c>
      <c r="G349" s="20">
        <v>0.0</v>
      </c>
      <c r="H349" s="18" t="s">
        <v>73</v>
      </c>
      <c r="I349" s="18" t="str">
        <f t="shared" si="1"/>
        <v>Overweight</v>
      </c>
    </row>
    <row r="350" ht="15.75" customHeight="1">
      <c r="A350" s="18" t="s">
        <v>1114</v>
      </c>
      <c r="B350" s="18">
        <v>28.31</v>
      </c>
      <c r="C350" s="18">
        <v>8.47</v>
      </c>
      <c r="D350" s="18" t="s">
        <v>80</v>
      </c>
      <c r="E350" s="18" t="s">
        <v>73</v>
      </c>
      <c r="F350" s="18" t="s">
        <v>73</v>
      </c>
      <c r="G350" s="18">
        <v>2.0</v>
      </c>
      <c r="H350" s="18" t="s">
        <v>80</v>
      </c>
      <c r="I350" s="18" t="str">
        <f t="shared" si="1"/>
        <v>Overweight</v>
      </c>
    </row>
    <row r="351" ht="15.75" customHeight="1">
      <c r="A351" s="18" t="s">
        <v>1118</v>
      </c>
      <c r="B351" s="18">
        <v>23.94</v>
      </c>
      <c r="C351" s="18">
        <v>4.2</v>
      </c>
      <c r="D351" s="18" t="s">
        <v>73</v>
      </c>
      <c r="E351" s="18" t="s">
        <v>73</v>
      </c>
      <c r="F351" s="18" t="s">
        <v>73</v>
      </c>
      <c r="G351" s="20">
        <v>0.0</v>
      </c>
      <c r="H351" s="18" t="s">
        <v>80</v>
      </c>
      <c r="I351" s="18" t="str">
        <f t="shared" si="1"/>
        <v>Normal Weight</v>
      </c>
    </row>
    <row r="352" ht="15.75" customHeight="1">
      <c r="A352" s="18" t="s">
        <v>1121</v>
      </c>
      <c r="B352" s="18">
        <v>20.03</v>
      </c>
      <c r="C352" s="18">
        <v>6.14</v>
      </c>
      <c r="D352" s="18" t="s">
        <v>80</v>
      </c>
      <c r="E352" s="18" t="s">
        <v>73</v>
      </c>
      <c r="F352" s="18" t="s">
        <v>73</v>
      </c>
      <c r="G352" s="20">
        <v>0.0</v>
      </c>
      <c r="H352" s="18" t="s">
        <v>80</v>
      </c>
      <c r="I352" s="18" t="str">
        <f t="shared" si="1"/>
        <v>Normal Weight</v>
      </c>
    </row>
    <row r="353" ht="15.75" customHeight="1">
      <c r="A353" s="18" t="s">
        <v>1125</v>
      </c>
      <c r="B353" s="18">
        <v>41.42</v>
      </c>
      <c r="C353" s="18">
        <v>6.07</v>
      </c>
      <c r="D353" s="18" t="s">
        <v>73</v>
      </c>
      <c r="E353" s="18" t="s">
        <v>73</v>
      </c>
      <c r="F353" s="18" t="s">
        <v>73</v>
      </c>
      <c r="G353" s="20">
        <v>0.0</v>
      </c>
      <c r="H353" s="18" t="s">
        <v>73</v>
      </c>
      <c r="I353" s="18" t="str">
        <f t="shared" si="1"/>
        <v>Obesity</v>
      </c>
    </row>
    <row r="354" ht="15.75" customHeight="1">
      <c r="A354" s="18" t="s">
        <v>1129</v>
      </c>
      <c r="B354" s="18">
        <v>36.67</v>
      </c>
      <c r="C354" s="18">
        <v>10.21</v>
      </c>
      <c r="D354" s="18" t="s">
        <v>73</v>
      </c>
      <c r="E354" s="18" t="s">
        <v>73</v>
      </c>
      <c r="F354" s="18" t="s">
        <v>73</v>
      </c>
      <c r="G354" s="20">
        <v>0.0</v>
      </c>
      <c r="H354" s="18" t="s">
        <v>73</v>
      </c>
      <c r="I354" s="18" t="str">
        <f t="shared" si="1"/>
        <v>Obesity</v>
      </c>
    </row>
    <row r="355" ht="15.75" customHeight="1">
      <c r="A355" s="18" t="s">
        <v>1132</v>
      </c>
      <c r="B355" s="18">
        <v>27.645</v>
      </c>
      <c r="C355" s="18">
        <v>4.69</v>
      </c>
      <c r="D355" s="18" t="s">
        <v>73</v>
      </c>
      <c r="E355" s="18" t="s">
        <v>73</v>
      </c>
      <c r="F355" s="18" t="s">
        <v>73</v>
      </c>
      <c r="G355" s="20">
        <v>0.0</v>
      </c>
      <c r="H355" s="18" t="s">
        <v>73</v>
      </c>
      <c r="I355" s="18" t="str">
        <f t="shared" si="1"/>
        <v>Overweight</v>
      </c>
    </row>
    <row r="356" ht="15.75" customHeight="1">
      <c r="A356" s="18" t="s">
        <v>1135</v>
      </c>
      <c r="B356" s="18">
        <v>22.72</v>
      </c>
      <c r="C356" s="18">
        <v>5.71</v>
      </c>
      <c r="D356" s="18" t="s">
        <v>73</v>
      </c>
      <c r="E356" s="18" t="s">
        <v>73</v>
      </c>
      <c r="F356" s="18" t="s">
        <v>73</v>
      </c>
      <c r="G356" s="20">
        <v>0.0</v>
      </c>
      <c r="H356" s="18" t="s">
        <v>80</v>
      </c>
      <c r="I356" s="18" t="str">
        <f t="shared" si="1"/>
        <v>Normal Weight</v>
      </c>
    </row>
    <row r="357" ht="15.75" customHeight="1">
      <c r="A357" s="18" t="s">
        <v>1139</v>
      </c>
      <c r="B357" s="18">
        <v>36.52</v>
      </c>
      <c r="C357" s="18">
        <v>9.07</v>
      </c>
      <c r="D357" s="18" t="s">
        <v>80</v>
      </c>
      <c r="E357" s="18" t="s">
        <v>73</v>
      </c>
      <c r="F357" s="18" t="s">
        <v>184</v>
      </c>
      <c r="G357" s="18">
        <v>1.0</v>
      </c>
      <c r="H357" s="18" t="s">
        <v>73</v>
      </c>
      <c r="I357" s="18" t="str">
        <f t="shared" si="1"/>
        <v>Obesity</v>
      </c>
    </row>
    <row r="358" ht="15.75" customHeight="1">
      <c r="A358" s="18" t="s">
        <v>1143</v>
      </c>
      <c r="B358" s="18">
        <v>33.96</v>
      </c>
      <c r="C358" s="18">
        <v>4.99</v>
      </c>
      <c r="D358" s="18" t="s">
        <v>73</v>
      </c>
      <c r="E358" s="18" t="s">
        <v>73</v>
      </c>
      <c r="F358" s="18" t="s">
        <v>73</v>
      </c>
      <c r="G358" s="20">
        <v>0.0</v>
      </c>
      <c r="H358" s="18" t="s">
        <v>80</v>
      </c>
      <c r="I358" s="18" t="str">
        <f t="shared" si="1"/>
        <v>Obesity</v>
      </c>
    </row>
    <row r="359" ht="15.75" customHeight="1">
      <c r="A359" s="18" t="s">
        <v>1146</v>
      </c>
      <c r="B359" s="18">
        <v>26.695</v>
      </c>
      <c r="C359" s="18">
        <v>8.31</v>
      </c>
      <c r="D359" s="18" t="s">
        <v>73</v>
      </c>
      <c r="E359" s="18" t="s">
        <v>73</v>
      </c>
      <c r="F359" s="18" t="s">
        <v>73</v>
      </c>
      <c r="G359" s="20">
        <v>0.0</v>
      </c>
      <c r="H359" s="18" t="s">
        <v>80</v>
      </c>
      <c r="I359" s="18" t="str">
        <f t="shared" si="1"/>
        <v>Overweight</v>
      </c>
    </row>
    <row r="360" ht="15.75" customHeight="1">
      <c r="A360" s="18" t="s">
        <v>1150</v>
      </c>
      <c r="B360" s="18">
        <v>18.45</v>
      </c>
      <c r="C360" s="18">
        <v>5.07</v>
      </c>
      <c r="D360" s="18" t="s">
        <v>80</v>
      </c>
      <c r="E360" s="18" t="s">
        <v>73</v>
      </c>
      <c r="F360" s="18" t="s">
        <v>73</v>
      </c>
      <c r="G360" s="20">
        <v>0.0</v>
      </c>
      <c r="H360" s="18" t="s">
        <v>80</v>
      </c>
      <c r="I360" s="18" t="str">
        <f t="shared" si="1"/>
        <v>Underweight</v>
      </c>
    </row>
    <row r="361" ht="15.75" customHeight="1">
      <c r="A361" s="18" t="s">
        <v>1153</v>
      </c>
      <c r="B361" s="18">
        <v>33.18</v>
      </c>
      <c r="C361" s="18">
        <v>4.79</v>
      </c>
      <c r="D361" s="18" t="s">
        <v>73</v>
      </c>
      <c r="E361" s="18" t="s">
        <v>73</v>
      </c>
      <c r="F361" s="18" t="s">
        <v>73</v>
      </c>
      <c r="G361" s="20">
        <v>0.0</v>
      </c>
      <c r="H361" s="18" t="s">
        <v>80</v>
      </c>
      <c r="I361" s="18" t="str">
        <f t="shared" si="1"/>
        <v>Obesity</v>
      </c>
    </row>
    <row r="362" ht="15.75" customHeight="1">
      <c r="A362" s="18" t="s">
        <v>1156</v>
      </c>
      <c r="B362" s="18">
        <v>36.1</v>
      </c>
      <c r="C362" s="18">
        <v>11.39</v>
      </c>
      <c r="D362" s="18" t="s">
        <v>80</v>
      </c>
      <c r="E362" s="18" t="s">
        <v>73</v>
      </c>
      <c r="F362" s="18" t="s">
        <v>73</v>
      </c>
      <c r="G362" s="18">
        <v>2.0</v>
      </c>
      <c r="H362" s="18" t="s">
        <v>73</v>
      </c>
      <c r="I362" s="18" t="str">
        <f t="shared" si="1"/>
        <v>Obesity</v>
      </c>
    </row>
    <row r="363" ht="15.75" customHeight="1">
      <c r="A363" s="18" t="s">
        <v>1160</v>
      </c>
      <c r="B363" s="18">
        <v>22.77</v>
      </c>
      <c r="C363" s="18">
        <v>6.0</v>
      </c>
      <c r="D363" s="18" t="s">
        <v>73</v>
      </c>
      <c r="E363" s="18" t="s">
        <v>73</v>
      </c>
      <c r="F363" s="18" t="s">
        <v>73</v>
      </c>
      <c r="G363" s="20">
        <v>0.0</v>
      </c>
      <c r="H363" s="18" t="s">
        <v>80</v>
      </c>
      <c r="I363" s="18" t="str">
        <f t="shared" si="1"/>
        <v>Normal Weight</v>
      </c>
    </row>
    <row r="364" ht="15.75" customHeight="1">
      <c r="A364" s="18" t="s">
        <v>1162</v>
      </c>
      <c r="B364" s="18">
        <v>21.24</v>
      </c>
      <c r="C364" s="18">
        <v>5.13</v>
      </c>
      <c r="D364" s="18" t="s">
        <v>73</v>
      </c>
      <c r="E364" s="18" t="s">
        <v>73</v>
      </c>
      <c r="F364" s="18" t="s">
        <v>73</v>
      </c>
      <c r="G364" s="20">
        <v>0.0</v>
      </c>
      <c r="H364" s="18" t="s">
        <v>80</v>
      </c>
      <c r="I364" s="18" t="str">
        <f t="shared" si="1"/>
        <v>Normal Weight</v>
      </c>
    </row>
    <row r="365" ht="15.75" customHeight="1">
      <c r="A365" s="18" t="s">
        <v>1166</v>
      </c>
      <c r="B365" s="18">
        <v>17.6</v>
      </c>
      <c r="C365" s="18">
        <v>5.26</v>
      </c>
      <c r="D365" s="18" t="s">
        <v>80</v>
      </c>
      <c r="E365" s="18" t="s">
        <v>73</v>
      </c>
      <c r="F365" s="18" t="s">
        <v>73</v>
      </c>
      <c r="G365" s="20">
        <v>0.0</v>
      </c>
      <c r="H365" s="18" t="s">
        <v>80</v>
      </c>
      <c r="I365" s="18" t="str">
        <f t="shared" si="1"/>
        <v>Underweight</v>
      </c>
    </row>
    <row r="366" ht="15.75" customHeight="1">
      <c r="A366" s="18" t="s">
        <v>1169</v>
      </c>
      <c r="B366" s="18">
        <v>26.29</v>
      </c>
      <c r="C366" s="18">
        <v>6.84</v>
      </c>
      <c r="D366" s="18" t="s">
        <v>73</v>
      </c>
      <c r="E366" s="18" t="s">
        <v>73</v>
      </c>
      <c r="F366" s="18" t="s">
        <v>73</v>
      </c>
      <c r="G366" s="20">
        <v>0.0</v>
      </c>
      <c r="H366" s="18" t="s">
        <v>80</v>
      </c>
      <c r="I366" s="18" t="str">
        <f t="shared" si="1"/>
        <v>Overweight</v>
      </c>
    </row>
    <row r="367" ht="15.75" customHeight="1">
      <c r="A367" s="18" t="s">
        <v>1173</v>
      </c>
      <c r="B367" s="18">
        <v>35.31</v>
      </c>
      <c r="C367" s="18">
        <v>9.04</v>
      </c>
      <c r="D367" s="18" t="s">
        <v>73</v>
      </c>
      <c r="E367" s="18" t="s">
        <v>73</v>
      </c>
      <c r="F367" s="18" t="s">
        <v>73</v>
      </c>
      <c r="G367" s="20">
        <v>0.0</v>
      </c>
      <c r="H367" s="18" t="s">
        <v>73</v>
      </c>
      <c r="I367" s="18" t="str">
        <f t="shared" si="1"/>
        <v>Obesity</v>
      </c>
    </row>
    <row r="368" ht="15.75" customHeight="1">
      <c r="A368" s="18" t="s">
        <v>1177</v>
      </c>
      <c r="B368" s="18">
        <v>27.04</v>
      </c>
      <c r="C368" s="18">
        <v>4.1</v>
      </c>
      <c r="D368" s="18" t="s">
        <v>73</v>
      </c>
      <c r="E368" s="18" t="s">
        <v>73</v>
      </c>
      <c r="F368" s="18" t="s">
        <v>73</v>
      </c>
      <c r="G368" s="18">
        <v>1.0</v>
      </c>
      <c r="H368" s="18" t="s">
        <v>80</v>
      </c>
      <c r="I368" s="18" t="str">
        <f t="shared" si="1"/>
        <v>Overweight</v>
      </c>
    </row>
    <row r="369" ht="15.75" customHeight="1">
      <c r="A369" s="18" t="s">
        <v>1181</v>
      </c>
      <c r="B369" s="18">
        <v>30.23</v>
      </c>
      <c r="C369" s="18">
        <v>4.23</v>
      </c>
      <c r="D369" s="18" t="s">
        <v>80</v>
      </c>
      <c r="E369" s="18" t="s">
        <v>73</v>
      </c>
      <c r="F369" s="18" t="s">
        <v>184</v>
      </c>
      <c r="G369" s="18">
        <v>1.0</v>
      </c>
      <c r="H369" s="18" t="s">
        <v>80</v>
      </c>
      <c r="I369" s="18" t="str">
        <f t="shared" si="1"/>
        <v>Obesity</v>
      </c>
    </row>
    <row r="370" ht="15.75" customHeight="1">
      <c r="A370" s="18" t="s">
        <v>1184</v>
      </c>
      <c r="B370" s="18">
        <v>30.6</v>
      </c>
      <c r="C370" s="18">
        <v>6.48</v>
      </c>
      <c r="D370" s="18" t="s">
        <v>80</v>
      </c>
      <c r="E370" s="18" t="s">
        <v>73</v>
      </c>
      <c r="F370" s="18" t="s">
        <v>184</v>
      </c>
      <c r="G370" s="18">
        <v>1.0</v>
      </c>
      <c r="H370" s="18" t="s">
        <v>80</v>
      </c>
      <c r="I370" s="18" t="str">
        <f t="shared" si="1"/>
        <v>Obesity</v>
      </c>
    </row>
    <row r="371" ht="15.75" customHeight="1">
      <c r="A371" s="18" t="s">
        <v>1188</v>
      </c>
      <c r="B371" s="18">
        <v>26.8</v>
      </c>
      <c r="C371" s="18">
        <v>5.53</v>
      </c>
      <c r="D371" s="18" t="s">
        <v>73</v>
      </c>
      <c r="E371" s="18" t="s">
        <v>73</v>
      </c>
      <c r="F371" s="18" t="s">
        <v>73</v>
      </c>
      <c r="G371" s="18">
        <v>1.0</v>
      </c>
      <c r="H371" s="18" t="s">
        <v>80</v>
      </c>
      <c r="I371" s="18" t="str">
        <f t="shared" si="1"/>
        <v>Overweight</v>
      </c>
    </row>
    <row r="372" ht="15.75" customHeight="1">
      <c r="A372" s="18" t="s">
        <v>1192</v>
      </c>
      <c r="B372" s="18">
        <v>16.86</v>
      </c>
      <c r="C372" s="18">
        <v>4.07</v>
      </c>
      <c r="D372" s="18" t="s">
        <v>80</v>
      </c>
      <c r="E372" s="18" t="s">
        <v>73</v>
      </c>
      <c r="F372" s="18" t="s">
        <v>73</v>
      </c>
      <c r="G372" s="20">
        <v>0.0</v>
      </c>
      <c r="H372" s="18" t="s">
        <v>80</v>
      </c>
      <c r="I372" s="18" t="str">
        <f t="shared" si="1"/>
        <v>Underweight</v>
      </c>
    </row>
    <row r="373" ht="15.75" customHeight="1">
      <c r="A373" s="18" t="s">
        <v>1196</v>
      </c>
      <c r="B373" s="18">
        <v>16.3</v>
      </c>
      <c r="C373" s="18">
        <v>5.51</v>
      </c>
      <c r="D373" s="18" t="s">
        <v>73</v>
      </c>
      <c r="E373" s="18" t="s">
        <v>73</v>
      </c>
      <c r="F373" s="18" t="s">
        <v>73</v>
      </c>
      <c r="G373" s="18">
        <v>1.0</v>
      </c>
      <c r="H373" s="18" t="s">
        <v>80</v>
      </c>
      <c r="I373" s="18" t="str">
        <f t="shared" si="1"/>
        <v>Underweight</v>
      </c>
    </row>
    <row r="374" ht="15.75" customHeight="1">
      <c r="A374" s="18" t="s">
        <v>1199</v>
      </c>
      <c r="B374" s="18">
        <v>29.81</v>
      </c>
      <c r="C374" s="18">
        <v>11.66</v>
      </c>
      <c r="D374" s="18" t="s">
        <v>73</v>
      </c>
      <c r="E374" s="18" t="s">
        <v>73</v>
      </c>
      <c r="F374" s="18" t="s">
        <v>73</v>
      </c>
      <c r="G374" s="20">
        <v>0.0</v>
      </c>
      <c r="H374" s="18" t="s">
        <v>80</v>
      </c>
      <c r="I374" s="18" t="str">
        <f t="shared" si="1"/>
        <v>Overweight</v>
      </c>
    </row>
    <row r="375" ht="15.75" customHeight="1">
      <c r="A375" s="18" t="s">
        <v>1203</v>
      </c>
      <c r="B375" s="18">
        <v>16.33</v>
      </c>
      <c r="C375" s="18">
        <v>7.26</v>
      </c>
      <c r="D375" s="18" t="s">
        <v>80</v>
      </c>
      <c r="E375" s="18" t="s">
        <v>73</v>
      </c>
      <c r="F375" s="18" t="s">
        <v>73</v>
      </c>
      <c r="G375" s="20">
        <v>0.0</v>
      </c>
      <c r="H375" s="18" t="s">
        <v>80</v>
      </c>
      <c r="I375" s="18" t="str">
        <f t="shared" si="1"/>
        <v>Underweight</v>
      </c>
    </row>
    <row r="376" ht="15.75" customHeight="1">
      <c r="A376" s="18" t="s">
        <v>1206</v>
      </c>
      <c r="B376" s="18">
        <v>16.37</v>
      </c>
      <c r="C376" s="18">
        <v>4.79</v>
      </c>
      <c r="D376" s="18" t="s">
        <v>80</v>
      </c>
      <c r="E376" s="18" t="s">
        <v>73</v>
      </c>
      <c r="F376" s="18" t="s">
        <v>73</v>
      </c>
      <c r="G376" s="20">
        <v>0.0</v>
      </c>
      <c r="H376" s="18" t="s">
        <v>80</v>
      </c>
      <c r="I376" s="18" t="str">
        <f t="shared" si="1"/>
        <v>Underweight</v>
      </c>
    </row>
    <row r="377" ht="15.75" customHeight="1">
      <c r="A377" s="18" t="s">
        <v>1210</v>
      </c>
      <c r="B377" s="18">
        <v>22.42</v>
      </c>
      <c r="C377" s="18">
        <v>4.68</v>
      </c>
      <c r="D377" s="18" t="s">
        <v>80</v>
      </c>
      <c r="E377" s="18" t="s">
        <v>73</v>
      </c>
      <c r="F377" s="18" t="s">
        <v>73</v>
      </c>
      <c r="G377" s="18">
        <v>1.0</v>
      </c>
      <c r="H377" s="18" t="s">
        <v>73</v>
      </c>
      <c r="I377" s="18" t="str">
        <f t="shared" si="1"/>
        <v>Normal Weight</v>
      </c>
    </row>
    <row r="378" ht="15.75" customHeight="1">
      <c r="A378" s="18" t="s">
        <v>1213</v>
      </c>
      <c r="B378" s="18">
        <v>31.35</v>
      </c>
      <c r="C378" s="18">
        <v>4.33</v>
      </c>
      <c r="D378" s="18" t="s">
        <v>80</v>
      </c>
      <c r="E378" s="18" t="s">
        <v>73</v>
      </c>
      <c r="F378" s="18" t="s">
        <v>184</v>
      </c>
      <c r="G378" s="18">
        <v>1.0</v>
      </c>
      <c r="H378" s="18" t="s">
        <v>73</v>
      </c>
      <c r="I378" s="18" t="str">
        <f t="shared" si="1"/>
        <v>Obesity</v>
      </c>
    </row>
    <row r="379" ht="15.75" customHeight="1">
      <c r="A379" s="18" t="s">
        <v>1216</v>
      </c>
      <c r="B379" s="18">
        <v>31.9</v>
      </c>
      <c r="C379" s="18">
        <v>11.89</v>
      </c>
      <c r="D379" s="18" t="s">
        <v>73</v>
      </c>
      <c r="E379" s="18" t="s">
        <v>73</v>
      </c>
      <c r="F379" s="18" t="s">
        <v>73</v>
      </c>
      <c r="G379" s="20">
        <v>0.0</v>
      </c>
      <c r="H379" s="18" t="s">
        <v>73</v>
      </c>
      <c r="I379" s="18" t="str">
        <f t="shared" si="1"/>
        <v>Obesity</v>
      </c>
    </row>
    <row r="380" ht="15.75" customHeight="1">
      <c r="A380" s="18" t="s">
        <v>1220</v>
      </c>
      <c r="B380" s="18">
        <v>30.6</v>
      </c>
      <c r="C380" s="18">
        <v>5.24</v>
      </c>
      <c r="D380" s="18" t="s">
        <v>73</v>
      </c>
      <c r="E380" s="18" t="s">
        <v>73</v>
      </c>
      <c r="F380" s="18" t="s">
        <v>73</v>
      </c>
      <c r="G380" s="20">
        <v>0.0</v>
      </c>
      <c r="H380" s="18" t="s">
        <v>80</v>
      </c>
      <c r="I380" s="18" t="str">
        <f t="shared" si="1"/>
        <v>Obesity</v>
      </c>
    </row>
    <row r="381" ht="15.75" customHeight="1">
      <c r="A381" s="18" t="s">
        <v>1223</v>
      </c>
      <c r="B381" s="18">
        <v>28.975</v>
      </c>
      <c r="C381" s="18">
        <v>7.63</v>
      </c>
      <c r="D381" s="18" t="s">
        <v>73</v>
      </c>
      <c r="E381" s="18" t="s">
        <v>73</v>
      </c>
      <c r="F381" s="18" t="s">
        <v>73</v>
      </c>
      <c r="G381" s="20">
        <v>0.0</v>
      </c>
      <c r="H381" s="18" t="s">
        <v>80</v>
      </c>
      <c r="I381" s="18" t="str">
        <f t="shared" si="1"/>
        <v>Overweight</v>
      </c>
    </row>
    <row r="382" ht="15.75" customHeight="1">
      <c r="A382" s="18" t="s">
        <v>1226</v>
      </c>
      <c r="B382" s="18">
        <v>24.86</v>
      </c>
      <c r="C382" s="18">
        <v>8.92</v>
      </c>
      <c r="D382" s="18" t="s">
        <v>80</v>
      </c>
      <c r="E382" s="18" t="s">
        <v>73</v>
      </c>
      <c r="F382" s="18" t="s">
        <v>73</v>
      </c>
      <c r="G382" s="18">
        <v>2.0</v>
      </c>
      <c r="H382" s="18" t="s">
        <v>73</v>
      </c>
      <c r="I382" s="18" t="str">
        <f t="shared" si="1"/>
        <v>Normal Weight</v>
      </c>
    </row>
    <row r="383" ht="15.75" customHeight="1">
      <c r="A383" s="18" t="s">
        <v>1229</v>
      </c>
      <c r="B383" s="18">
        <v>19.54</v>
      </c>
      <c r="C383" s="18">
        <v>5.37</v>
      </c>
      <c r="D383" s="18" t="s">
        <v>73</v>
      </c>
      <c r="E383" s="18" t="s">
        <v>73</v>
      </c>
      <c r="F383" s="18" t="s">
        <v>73</v>
      </c>
      <c r="G383" s="20">
        <v>0.0</v>
      </c>
      <c r="H383" s="18" t="s">
        <v>80</v>
      </c>
      <c r="I383" s="18" t="str">
        <f t="shared" si="1"/>
        <v>Normal Weight</v>
      </c>
    </row>
    <row r="384" ht="15.75" customHeight="1">
      <c r="A384" s="18" t="s">
        <v>1232</v>
      </c>
      <c r="B384" s="18">
        <v>26.74</v>
      </c>
      <c r="C384" s="18">
        <v>4.31</v>
      </c>
      <c r="D384" s="18" t="s">
        <v>73</v>
      </c>
      <c r="E384" s="18" t="s">
        <v>73</v>
      </c>
      <c r="F384" s="18" t="s">
        <v>73</v>
      </c>
      <c r="G384" s="20">
        <v>0.0</v>
      </c>
      <c r="H384" s="18" t="s">
        <v>80</v>
      </c>
      <c r="I384" s="18" t="str">
        <f t="shared" si="1"/>
        <v>Overweight</v>
      </c>
    </row>
    <row r="385" ht="15.75" customHeight="1">
      <c r="A385" s="18" t="s">
        <v>1235</v>
      </c>
      <c r="B385" s="18">
        <v>22.99</v>
      </c>
      <c r="C385" s="18">
        <v>10.46</v>
      </c>
      <c r="D385" s="18" t="s">
        <v>73</v>
      </c>
      <c r="E385" s="18" t="s">
        <v>73</v>
      </c>
      <c r="F385" s="18" t="s">
        <v>73</v>
      </c>
      <c r="G385" s="18">
        <v>3.0</v>
      </c>
      <c r="H385" s="18" t="s">
        <v>80</v>
      </c>
      <c r="I385" s="18" t="str">
        <f t="shared" si="1"/>
        <v>Normal Weight</v>
      </c>
    </row>
    <row r="386" ht="15.75" customHeight="1">
      <c r="A386" s="18" t="s">
        <v>1238</v>
      </c>
      <c r="B386" s="18">
        <v>31.46</v>
      </c>
      <c r="C386" s="18">
        <v>7.39</v>
      </c>
      <c r="D386" s="18" t="s">
        <v>73</v>
      </c>
      <c r="E386" s="18" t="s">
        <v>73</v>
      </c>
      <c r="F386" s="18" t="s">
        <v>73</v>
      </c>
      <c r="G386" s="20">
        <v>0.0</v>
      </c>
      <c r="H386" s="18" t="s">
        <v>73</v>
      </c>
      <c r="I386" s="18" t="str">
        <f t="shared" si="1"/>
        <v>Obesity</v>
      </c>
    </row>
    <row r="387" ht="15.75" customHeight="1">
      <c r="A387" s="18" t="s">
        <v>1242</v>
      </c>
      <c r="B387" s="18">
        <v>30.86</v>
      </c>
      <c r="C387" s="18">
        <v>6.18</v>
      </c>
      <c r="D387" s="18" t="s">
        <v>73</v>
      </c>
      <c r="E387" s="18" t="s">
        <v>80</v>
      </c>
      <c r="F387" s="18" t="s">
        <v>73</v>
      </c>
      <c r="G387" s="18">
        <v>2.0</v>
      </c>
      <c r="H387" s="18" t="s">
        <v>80</v>
      </c>
      <c r="I387" s="18" t="str">
        <f t="shared" si="1"/>
        <v>Obesity</v>
      </c>
    </row>
    <row r="388" ht="15.75" customHeight="1">
      <c r="A388" s="18" t="s">
        <v>1245</v>
      </c>
      <c r="B388" s="18">
        <v>31.96</v>
      </c>
      <c r="C388" s="18">
        <v>8.86</v>
      </c>
      <c r="D388" s="18" t="s">
        <v>73</v>
      </c>
      <c r="E388" s="18" t="s">
        <v>73</v>
      </c>
      <c r="F388" s="18" t="s">
        <v>73</v>
      </c>
      <c r="G388" s="20">
        <v>0.0</v>
      </c>
      <c r="H388" s="18" t="s">
        <v>80</v>
      </c>
      <c r="I388" s="18" t="str">
        <f t="shared" si="1"/>
        <v>Obesity</v>
      </c>
    </row>
    <row r="389" ht="15.75" customHeight="1">
      <c r="A389" s="18" t="s">
        <v>1249</v>
      </c>
      <c r="B389" s="18">
        <v>23.76</v>
      </c>
      <c r="C389" s="18">
        <v>10.96</v>
      </c>
      <c r="D389" s="18" t="s">
        <v>73</v>
      </c>
      <c r="E389" s="18" t="s">
        <v>73</v>
      </c>
      <c r="F389" s="18" t="s">
        <v>73</v>
      </c>
      <c r="G389" s="18">
        <v>3.0</v>
      </c>
      <c r="H389" s="18" t="s">
        <v>80</v>
      </c>
      <c r="I389" s="18" t="str">
        <f t="shared" si="1"/>
        <v>Normal Weight</v>
      </c>
    </row>
    <row r="390" ht="15.75" customHeight="1">
      <c r="A390" s="18" t="s">
        <v>1253</v>
      </c>
      <c r="B390" s="18">
        <v>19.38</v>
      </c>
      <c r="C390" s="18">
        <v>6.28</v>
      </c>
      <c r="D390" s="18" t="s">
        <v>73</v>
      </c>
      <c r="E390" s="18" t="s">
        <v>73</v>
      </c>
      <c r="F390" s="18" t="s">
        <v>73</v>
      </c>
      <c r="G390" s="20">
        <v>0.0</v>
      </c>
      <c r="H390" s="18" t="s">
        <v>80</v>
      </c>
      <c r="I390" s="18" t="str">
        <f t="shared" si="1"/>
        <v>Normal Weight</v>
      </c>
    </row>
    <row r="391" ht="15.75" customHeight="1">
      <c r="A391" s="18" t="s">
        <v>1256</v>
      </c>
      <c r="B391" s="18">
        <v>16.21</v>
      </c>
      <c r="C391" s="18">
        <v>6.29</v>
      </c>
      <c r="D391" s="18" t="s">
        <v>80</v>
      </c>
      <c r="E391" s="18" t="s">
        <v>73</v>
      </c>
      <c r="F391" s="18" t="s">
        <v>73</v>
      </c>
      <c r="G391" s="18">
        <v>1.0</v>
      </c>
      <c r="H391" s="18" t="s">
        <v>80</v>
      </c>
      <c r="I391" s="18" t="str">
        <f t="shared" si="1"/>
        <v>Underweight</v>
      </c>
    </row>
    <row r="392" ht="15.75" customHeight="1">
      <c r="A392" s="18" t="s">
        <v>1260</v>
      </c>
      <c r="B392" s="18">
        <v>32.54</v>
      </c>
      <c r="C392" s="18">
        <v>4.02</v>
      </c>
      <c r="D392" s="18" t="s">
        <v>73</v>
      </c>
      <c r="E392" s="18" t="s">
        <v>80</v>
      </c>
      <c r="F392" s="18" t="s">
        <v>73</v>
      </c>
      <c r="G392" s="18">
        <v>1.0</v>
      </c>
      <c r="H392" s="18" t="s">
        <v>80</v>
      </c>
      <c r="I392" s="18" t="str">
        <f t="shared" si="1"/>
        <v>Obesity</v>
      </c>
    </row>
    <row r="393" ht="15.75" customHeight="1">
      <c r="A393" s="18" t="s">
        <v>1264</v>
      </c>
      <c r="B393" s="18">
        <v>36.765</v>
      </c>
      <c r="C393" s="18">
        <v>11.95</v>
      </c>
      <c r="D393" s="18" t="s">
        <v>80</v>
      </c>
      <c r="E393" s="18" t="s">
        <v>73</v>
      </c>
      <c r="F393" s="18" t="s">
        <v>73</v>
      </c>
      <c r="G393" s="18">
        <v>2.0</v>
      </c>
      <c r="H393" s="18" t="s">
        <v>73</v>
      </c>
      <c r="I393" s="18" t="str">
        <f t="shared" si="1"/>
        <v>Obesity</v>
      </c>
    </row>
    <row r="394" ht="15.75" customHeight="1">
      <c r="A394" s="18" t="s">
        <v>1267</v>
      </c>
      <c r="B394" s="18">
        <v>35.91</v>
      </c>
      <c r="C394" s="18">
        <v>8.71</v>
      </c>
      <c r="D394" s="18" t="s">
        <v>73</v>
      </c>
      <c r="E394" s="18" t="s">
        <v>73</v>
      </c>
      <c r="F394" s="18" t="s">
        <v>73</v>
      </c>
      <c r="G394" s="20">
        <v>0.0</v>
      </c>
      <c r="H394" s="18" t="s">
        <v>73</v>
      </c>
      <c r="I394" s="18" t="str">
        <f t="shared" si="1"/>
        <v>Obesity</v>
      </c>
    </row>
    <row r="395" ht="15.75" customHeight="1">
      <c r="A395" s="18" t="s">
        <v>1270</v>
      </c>
      <c r="B395" s="18">
        <v>32.06</v>
      </c>
      <c r="C395" s="18">
        <v>4.67</v>
      </c>
      <c r="D395" s="18" t="s">
        <v>73</v>
      </c>
      <c r="E395" s="18" t="s">
        <v>80</v>
      </c>
      <c r="F395" s="18" t="s">
        <v>73</v>
      </c>
      <c r="G395" s="18">
        <v>1.0</v>
      </c>
      <c r="H395" s="18" t="s">
        <v>80</v>
      </c>
      <c r="I395" s="18" t="str">
        <f t="shared" si="1"/>
        <v>Obesity</v>
      </c>
    </row>
    <row r="396" ht="15.75" customHeight="1">
      <c r="A396" s="18" t="s">
        <v>1273</v>
      </c>
      <c r="B396" s="18">
        <v>24.1</v>
      </c>
      <c r="C396" s="18">
        <v>11.14</v>
      </c>
      <c r="D396" s="18" t="s">
        <v>80</v>
      </c>
      <c r="E396" s="18" t="s">
        <v>73</v>
      </c>
      <c r="F396" s="18" t="s">
        <v>73</v>
      </c>
      <c r="G396" s="18">
        <v>1.0</v>
      </c>
      <c r="H396" s="18" t="s">
        <v>73</v>
      </c>
      <c r="I396" s="18" t="str">
        <f t="shared" si="1"/>
        <v>Normal Weight</v>
      </c>
    </row>
    <row r="397" ht="15.75" customHeight="1">
      <c r="A397" s="18" t="s">
        <v>1277</v>
      </c>
      <c r="B397" s="18">
        <v>27.1</v>
      </c>
      <c r="C397" s="18">
        <v>9.05</v>
      </c>
      <c r="D397" s="18" t="s">
        <v>73</v>
      </c>
      <c r="E397" s="18" t="s">
        <v>73</v>
      </c>
      <c r="F397" s="18" t="s">
        <v>73</v>
      </c>
      <c r="G397" s="18">
        <v>2.0</v>
      </c>
      <c r="H397" s="18" t="s">
        <v>73</v>
      </c>
      <c r="I397" s="18" t="str">
        <f t="shared" si="1"/>
        <v>Overweight</v>
      </c>
    </row>
    <row r="398" ht="15.75" customHeight="1">
      <c r="A398" s="18" t="s">
        <v>1280</v>
      </c>
      <c r="B398" s="18">
        <v>24.42</v>
      </c>
      <c r="C398" s="18">
        <v>11.31</v>
      </c>
      <c r="D398" s="18" t="s">
        <v>73</v>
      </c>
      <c r="E398" s="18" t="s">
        <v>73</v>
      </c>
      <c r="F398" s="18" t="s">
        <v>73</v>
      </c>
      <c r="G398" s="20">
        <v>0.0</v>
      </c>
      <c r="H398" s="18" t="s">
        <v>80</v>
      </c>
      <c r="I398" s="18" t="str">
        <f t="shared" si="1"/>
        <v>Normal Weight</v>
      </c>
    </row>
    <row r="399" ht="15.75" customHeight="1">
      <c r="A399" s="18" t="s">
        <v>1284</v>
      </c>
      <c r="B399" s="18">
        <v>26.695</v>
      </c>
      <c r="C399" s="18">
        <v>4.68</v>
      </c>
      <c r="D399" s="18" t="s">
        <v>80</v>
      </c>
      <c r="E399" s="18" t="s">
        <v>73</v>
      </c>
      <c r="F399" s="18" t="s">
        <v>73</v>
      </c>
      <c r="G399" s="18">
        <v>2.0</v>
      </c>
      <c r="H399" s="18" t="s">
        <v>80</v>
      </c>
      <c r="I399" s="18" t="str">
        <f t="shared" si="1"/>
        <v>Overweight</v>
      </c>
    </row>
    <row r="400" ht="15.75" customHeight="1">
      <c r="A400" s="18" t="s">
        <v>1288</v>
      </c>
      <c r="B400" s="18">
        <v>27.79</v>
      </c>
      <c r="C400" s="18">
        <v>6.05</v>
      </c>
      <c r="D400" s="18" t="s">
        <v>80</v>
      </c>
      <c r="E400" s="18" t="s">
        <v>80</v>
      </c>
      <c r="F400" s="18" t="s">
        <v>73</v>
      </c>
      <c r="G400" s="18">
        <v>1.0</v>
      </c>
      <c r="H400" s="18" t="s">
        <v>80</v>
      </c>
      <c r="I400" s="18" t="str">
        <f t="shared" si="1"/>
        <v>Overweight</v>
      </c>
    </row>
    <row r="401" ht="15.75" customHeight="1">
      <c r="A401" s="18" t="s">
        <v>1290</v>
      </c>
      <c r="B401" s="18">
        <v>32.68</v>
      </c>
      <c r="C401" s="18">
        <v>4.68</v>
      </c>
      <c r="D401" s="18" t="s">
        <v>80</v>
      </c>
      <c r="E401" s="18" t="s">
        <v>73</v>
      </c>
      <c r="F401" s="18" t="s">
        <v>73</v>
      </c>
      <c r="G401" s="20">
        <v>0.0</v>
      </c>
      <c r="H401" s="18" t="s">
        <v>73</v>
      </c>
      <c r="I401" s="18" t="str">
        <f t="shared" si="1"/>
        <v>Obesity</v>
      </c>
    </row>
    <row r="402" ht="15.75" customHeight="1">
      <c r="A402" s="18" t="s">
        <v>1294</v>
      </c>
      <c r="B402" s="18">
        <v>26.4</v>
      </c>
      <c r="C402" s="18">
        <v>9.5</v>
      </c>
      <c r="D402" s="18" t="s">
        <v>80</v>
      </c>
      <c r="E402" s="18" t="s">
        <v>73</v>
      </c>
      <c r="F402" s="18" t="s">
        <v>73</v>
      </c>
      <c r="G402" s="18">
        <v>2.0</v>
      </c>
      <c r="H402" s="18" t="s">
        <v>73</v>
      </c>
      <c r="I402" s="18" t="str">
        <f t="shared" si="1"/>
        <v>Overweight</v>
      </c>
    </row>
    <row r="403" ht="15.75" customHeight="1">
      <c r="A403" s="18" t="s">
        <v>1297</v>
      </c>
      <c r="B403" s="18">
        <v>23.655</v>
      </c>
      <c r="C403" s="18">
        <v>10.84</v>
      </c>
      <c r="D403" s="18" t="s">
        <v>80</v>
      </c>
      <c r="E403" s="18" t="s">
        <v>73</v>
      </c>
      <c r="F403" s="18" t="s">
        <v>184</v>
      </c>
      <c r="G403" s="18">
        <v>1.0</v>
      </c>
      <c r="H403" s="18" t="s">
        <v>80</v>
      </c>
      <c r="I403" s="18" t="str">
        <f t="shared" si="1"/>
        <v>Normal Weight</v>
      </c>
    </row>
    <row r="404" ht="15.75" customHeight="1">
      <c r="A404" s="18" t="s">
        <v>1301</v>
      </c>
      <c r="B404" s="18">
        <v>27.36</v>
      </c>
      <c r="C404" s="18">
        <v>5.88</v>
      </c>
      <c r="D404" s="18" t="s">
        <v>73</v>
      </c>
      <c r="E404" s="18" t="s">
        <v>73</v>
      </c>
      <c r="F404" s="18" t="s">
        <v>73</v>
      </c>
      <c r="G404" s="18">
        <v>2.0</v>
      </c>
      <c r="H404" s="18" t="s">
        <v>73</v>
      </c>
      <c r="I404" s="18" t="str">
        <f t="shared" si="1"/>
        <v>Overweight</v>
      </c>
    </row>
    <row r="405" ht="15.75" customHeight="1">
      <c r="A405" s="18" t="s">
        <v>1305</v>
      </c>
      <c r="B405" s="18">
        <v>27.82</v>
      </c>
      <c r="C405" s="18">
        <v>5.24</v>
      </c>
      <c r="D405" s="18" t="s">
        <v>80</v>
      </c>
      <c r="E405" s="18" t="s">
        <v>73</v>
      </c>
      <c r="F405" s="18" t="s">
        <v>73</v>
      </c>
      <c r="G405" s="20">
        <v>0.0</v>
      </c>
      <c r="H405" s="18" t="s">
        <v>80</v>
      </c>
      <c r="I405" s="18" t="str">
        <f t="shared" si="1"/>
        <v>Overweight</v>
      </c>
    </row>
    <row r="406" ht="15.75" customHeight="1">
      <c r="A406" s="18" t="s">
        <v>1308</v>
      </c>
      <c r="B406" s="18">
        <v>25.46</v>
      </c>
      <c r="C406" s="18">
        <v>11.75</v>
      </c>
      <c r="D406" s="18" t="s">
        <v>73</v>
      </c>
      <c r="E406" s="18" t="s">
        <v>73</v>
      </c>
      <c r="F406" s="18" t="s">
        <v>73</v>
      </c>
      <c r="G406" s="20">
        <v>0.0</v>
      </c>
      <c r="H406" s="18" t="s">
        <v>73</v>
      </c>
      <c r="I406" s="18" t="str">
        <f t="shared" si="1"/>
        <v>Overweight</v>
      </c>
    </row>
    <row r="407" ht="15.75" customHeight="1">
      <c r="A407" s="18" t="s">
        <v>1312</v>
      </c>
      <c r="B407" s="18">
        <v>25.1</v>
      </c>
      <c r="C407" s="18">
        <v>6.97</v>
      </c>
      <c r="D407" s="18" t="s">
        <v>73</v>
      </c>
      <c r="E407" s="18" t="s">
        <v>73</v>
      </c>
      <c r="F407" s="18" t="s">
        <v>73</v>
      </c>
      <c r="G407" s="20">
        <v>0.0</v>
      </c>
      <c r="H407" s="18" t="s">
        <v>80</v>
      </c>
      <c r="I407" s="18" t="str">
        <f t="shared" si="1"/>
        <v>Overweight</v>
      </c>
    </row>
    <row r="408" ht="15.75" customHeight="1">
      <c r="A408" s="18" t="s">
        <v>1315</v>
      </c>
      <c r="B408" s="18">
        <v>32.11</v>
      </c>
      <c r="C408" s="18">
        <v>4.76</v>
      </c>
      <c r="D408" s="18" t="s">
        <v>73</v>
      </c>
      <c r="E408" s="18" t="s">
        <v>73</v>
      </c>
      <c r="F408" s="18" t="s">
        <v>73</v>
      </c>
      <c r="G408" s="18">
        <v>2.0</v>
      </c>
      <c r="H408" s="18" t="s">
        <v>73</v>
      </c>
      <c r="I408" s="18" t="str">
        <f t="shared" si="1"/>
        <v>Obesity</v>
      </c>
    </row>
    <row r="409" ht="15.75" customHeight="1">
      <c r="A409" s="18" t="s">
        <v>1319</v>
      </c>
      <c r="B409" s="18">
        <v>29.8</v>
      </c>
      <c r="C409" s="18">
        <v>8.24</v>
      </c>
      <c r="D409" s="18" t="s">
        <v>80</v>
      </c>
      <c r="E409" s="18" t="s">
        <v>73</v>
      </c>
      <c r="F409" s="18" t="s">
        <v>73</v>
      </c>
      <c r="G409" s="18">
        <v>1.0</v>
      </c>
      <c r="H409" s="18" t="s">
        <v>80</v>
      </c>
      <c r="I409" s="18" t="str">
        <f t="shared" si="1"/>
        <v>Overweight</v>
      </c>
    </row>
    <row r="410" ht="15.75" customHeight="1">
      <c r="A410" s="18" t="s">
        <v>1322</v>
      </c>
      <c r="B410" s="18">
        <v>24.01</v>
      </c>
      <c r="C410" s="18">
        <v>4.76</v>
      </c>
      <c r="D410" s="18" t="s">
        <v>73</v>
      </c>
      <c r="E410" s="18" t="s">
        <v>73</v>
      </c>
      <c r="F410" s="18" t="s">
        <v>73</v>
      </c>
      <c r="G410" s="18">
        <v>1.0</v>
      </c>
      <c r="H410" s="18" t="s">
        <v>80</v>
      </c>
      <c r="I410" s="18" t="str">
        <f t="shared" si="1"/>
        <v>Normal Weight</v>
      </c>
    </row>
    <row r="411" ht="15.75" customHeight="1">
      <c r="A411" s="18" t="s">
        <v>1326</v>
      </c>
      <c r="B411" s="18">
        <v>23.21</v>
      </c>
      <c r="C411" s="18">
        <v>6.03</v>
      </c>
      <c r="D411" s="18" t="s">
        <v>73</v>
      </c>
      <c r="E411" s="18" t="s">
        <v>73</v>
      </c>
      <c r="F411" s="18" t="s">
        <v>73</v>
      </c>
      <c r="G411" s="18">
        <v>1.0</v>
      </c>
      <c r="H411" s="18" t="s">
        <v>73</v>
      </c>
      <c r="I411" s="18" t="str">
        <f t="shared" si="1"/>
        <v>Normal Weight</v>
      </c>
    </row>
    <row r="412" ht="15.75" customHeight="1">
      <c r="A412" s="18" t="s">
        <v>1329</v>
      </c>
      <c r="B412" s="18">
        <v>21.2</v>
      </c>
      <c r="C412" s="18">
        <v>4.07</v>
      </c>
      <c r="D412" s="18" t="s">
        <v>80</v>
      </c>
      <c r="E412" s="18" t="s">
        <v>73</v>
      </c>
      <c r="F412" s="18" t="s">
        <v>73</v>
      </c>
      <c r="G412" s="18">
        <v>1.0</v>
      </c>
      <c r="H412" s="18" t="s">
        <v>80</v>
      </c>
      <c r="I412" s="18" t="str">
        <f t="shared" si="1"/>
        <v>Normal Weight</v>
      </c>
    </row>
    <row r="413" ht="15.75" customHeight="1">
      <c r="A413" s="18" t="s">
        <v>1333</v>
      </c>
      <c r="B413" s="18">
        <v>28.215</v>
      </c>
      <c r="C413" s="18">
        <v>8.26</v>
      </c>
      <c r="D413" s="18" t="s">
        <v>80</v>
      </c>
      <c r="E413" s="18" t="s">
        <v>73</v>
      </c>
      <c r="F413" s="18" t="s">
        <v>73</v>
      </c>
      <c r="G413" s="18">
        <v>1.0</v>
      </c>
      <c r="H413" s="18" t="s">
        <v>80</v>
      </c>
      <c r="I413" s="18" t="str">
        <f t="shared" si="1"/>
        <v>Overweight</v>
      </c>
    </row>
    <row r="414" ht="15.75" customHeight="1">
      <c r="A414" s="18" t="s">
        <v>1337</v>
      </c>
      <c r="B414" s="18">
        <v>38.095</v>
      </c>
      <c r="C414" s="18">
        <v>4.76</v>
      </c>
      <c r="D414" s="18" t="s">
        <v>73</v>
      </c>
      <c r="E414" s="18" t="s">
        <v>73</v>
      </c>
      <c r="F414" s="18" t="s">
        <v>73</v>
      </c>
      <c r="G414" s="18">
        <v>1.0</v>
      </c>
      <c r="H414" s="18" t="s">
        <v>73</v>
      </c>
      <c r="I414" s="18" t="str">
        <f t="shared" si="1"/>
        <v>Obesity</v>
      </c>
    </row>
    <row r="415" ht="15.75" customHeight="1">
      <c r="A415" s="18" t="s">
        <v>1341</v>
      </c>
      <c r="B415" s="18">
        <v>22.61</v>
      </c>
      <c r="C415" s="18">
        <v>6.13</v>
      </c>
      <c r="D415" s="18" t="s">
        <v>80</v>
      </c>
      <c r="E415" s="18" t="s">
        <v>73</v>
      </c>
      <c r="F415" s="18" t="s">
        <v>184</v>
      </c>
      <c r="G415" s="18">
        <v>1.0</v>
      </c>
      <c r="H415" s="18" t="s">
        <v>80</v>
      </c>
      <c r="I415" s="18" t="str">
        <f t="shared" si="1"/>
        <v>Normal Weight</v>
      </c>
    </row>
    <row r="416" ht="15.75" customHeight="1">
      <c r="A416" s="18" t="s">
        <v>1344</v>
      </c>
      <c r="B416" s="18">
        <v>24.32</v>
      </c>
      <c r="C416" s="18">
        <v>10.47</v>
      </c>
      <c r="D416" s="18" t="s">
        <v>80</v>
      </c>
      <c r="E416" s="18" t="s">
        <v>73</v>
      </c>
      <c r="F416" s="18" t="s">
        <v>73</v>
      </c>
      <c r="G416" s="18">
        <v>2.0</v>
      </c>
      <c r="H416" s="18" t="s">
        <v>80</v>
      </c>
      <c r="I416" s="18" t="str">
        <f t="shared" si="1"/>
        <v>Normal Weight</v>
      </c>
    </row>
    <row r="417" ht="15.75" customHeight="1">
      <c r="A417" s="18" t="s">
        <v>1348</v>
      </c>
      <c r="B417" s="18">
        <v>20.96</v>
      </c>
      <c r="C417" s="18">
        <v>4.04</v>
      </c>
      <c r="D417" s="18" t="s">
        <v>80</v>
      </c>
      <c r="E417" s="18" t="s">
        <v>73</v>
      </c>
      <c r="F417" s="18" t="s">
        <v>73</v>
      </c>
      <c r="G417" s="18">
        <v>1.0</v>
      </c>
      <c r="H417" s="18" t="s">
        <v>80</v>
      </c>
      <c r="I417" s="18" t="str">
        <f t="shared" si="1"/>
        <v>Normal Weight</v>
      </c>
    </row>
    <row r="418" ht="15.75" customHeight="1">
      <c r="A418" s="18" t="s">
        <v>1351</v>
      </c>
      <c r="B418" s="18">
        <v>19.68</v>
      </c>
      <c r="C418" s="18">
        <v>5.74</v>
      </c>
      <c r="D418" s="18" t="s">
        <v>73</v>
      </c>
      <c r="E418" s="18" t="s">
        <v>73</v>
      </c>
      <c r="F418" s="18" t="s">
        <v>73</v>
      </c>
      <c r="G418" s="20">
        <v>0.0</v>
      </c>
      <c r="H418" s="18" t="s">
        <v>80</v>
      </c>
      <c r="I418" s="18" t="str">
        <f t="shared" si="1"/>
        <v>Normal Weight</v>
      </c>
    </row>
    <row r="419" ht="15.75" customHeight="1">
      <c r="A419" s="18" t="s">
        <v>1355</v>
      </c>
      <c r="B419" s="18">
        <v>18.1</v>
      </c>
      <c r="C419" s="18">
        <v>6.33</v>
      </c>
      <c r="D419" s="18" t="s">
        <v>73</v>
      </c>
      <c r="E419" s="18" t="s">
        <v>73</v>
      </c>
      <c r="F419" s="18" t="s">
        <v>73</v>
      </c>
      <c r="G419" s="18">
        <v>1.0</v>
      </c>
      <c r="H419" s="18" t="s">
        <v>80</v>
      </c>
      <c r="I419" s="18" t="str">
        <f t="shared" si="1"/>
        <v>Underweight</v>
      </c>
    </row>
    <row r="420" ht="15.75" customHeight="1">
      <c r="A420" s="18" t="s">
        <v>1357</v>
      </c>
      <c r="B420" s="18">
        <v>29.64</v>
      </c>
      <c r="C420" s="18">
        <v>4.28</v>
      </c>
      <c r="D420" s="18" t="s">
        <v>80</v>
      </c>
      <c r="E420" s="18" t="s">
        <v>73</v>
      </c>
      <c r="F420" s="18" t="s">
        <v>73</v>
      </c>
      <c r="G420" s="20">
        <v>0.0</v>
      </c>
      <c r="H420" s="18" t="s">
        <v>73</v>
      </c>
      <c r="I420" s="18" t="str">
        <f t="shared" si="1"/>
        <v>Overweight</v>
      </c>
    </row>
    <row r="421" ht="15.75" customHeight="1">
      <c r="A421" s="18" t="s">
        <v>1361</v>
      </c>
      <c r="B421" s="18">
        <v>25.3</v>
      </c>
      <c r="C421" s="18">
        <v>9.47</v>
      </c>
      <c r="D421" s="18" t="s">
        <v>80</v>
      </c>
      <c r="E421" s="18" t="s">
        <v>73</v>
      </c>
      <c r="F421" s="18" t="s">
        <v>73</v>
      </c>
      <c r="G421" s="18">
        <v>2.0</v>
      </c>
      <c r="H421" s="18" t="s">
        <v>80</v>
      </c>
      <c r="I421" s="18" t="str">
        <f t="shared" si="1"/>
        <v>Overweight</v>
      </c>
    </row>
    <row r="422" ht="15.75" customHeight="1">
      <c r="A422" s="18" t="s">
        <v>1365</v>
      </c>
      <c r="B422" s="18">
        <v>27.6</v>
      </c>
      <c r="C422" s="18">
        <v>4.85</v>
      </c>
      <c r="D422" s="18" t="s">
        <v>80</v>
      </c>
      <c r="E422" s="18" t="s">
        <v>73</v>
      </c>
      <c r="F422" s="18" t="s">
        <v>73</v>
      </c>
      <c r="G422" s="20">
        <v>0.0</v>
      </c>
      <c r="H422" s="18" t="s">
        <v>73</v>
      </c>
      <c r="I422" s="18" t="str">
        <f t="shared" si="1"/>
        <v>Overweight</v>
      </c>
    </row>
    <row r="423" ht="15.75" customHeight="1">
      <c r="A423" s="18" t="s">
        <v>1368</v>
      </c>
      <c r="B423" s="18">
        <v>27.645</v>
      </c>
      <c r="C423" s="18">
        <v>11.03</v>
      </c>
      <c r="D423" s="18" t="s">
        <v>80</v>
      </c>
      <c r="E423" s="18" t="s">
        <v>73</v>
      </c>
      <c r="F423" s="18" t="s">
        <v>73</v>
      </c>
      <c r="G423" s="18">
        <v>1.0</v>
      </c>
      <c r="H423" s="18" t="s">
        <v>80</v>
      </c>
      <c r="I423" s="18" t="str">
        <f t="shared" si="1"/>
        <v>Overweight</v>
      </c>
    </row>
    <row r="424" ht="15.75" customHeight="1">
      <c r="A424" s="18" t="s">
        <v>1372</v>
      </c>
      <c r="B424" s="18">
        <v>27.6</v>
      </c>
      <c r="C424" s="18">
        <v>5.22</v>
      </c>
      <c r="D424" s="18" t="s">
        <v>73</v>
      </c>
      <c r="E424" s="18" t="s">
        <v>73</v>
      </c>
      <c r="F424" s="18" t="s">
        <v>73</v>
      </c>
      <c r="G424" s="18">
        <v>2.0</v>
      </c>
      <c r="H424" s="18" t="s">
        <v>80</v>
      </c>
      <c r="I424" s="18" t="str">
        <f t="shared" si="1"/>
        <v>Overweight</v>
      </c>
    </row>
    <row r="425" ht="15.75" customHeight="1">
      <c r="A425" s="18" t="s">
        <v>1375</v>
      </c>
      <c r="B425" s="18">
        <v>25.08</v>
      </c>
      <c r="C425" s="18">
        <v>9.52</v>
      </c>
      <c r="D425" s="18" t="s">
        <v>80</v>
      </c>
      <c r="E425" s="18" t="s">
        <v>73</v>
      </c>
      <c r="F425" s="18" t="s">
        <v>73</v>
      </c>
      <c r="G425" s="18">
        <v>2.0</v>
      </c>
      <c r="H425" s="18" t="s">
        <v>73</v>
      </c>
      <c r="I425" s="18" t="str">
        <f t="shared" si="1"/>
        <v>Overweight</v>
      </c>
    </row>
    <row r="426" ht="15.75" customHeight="1">
      <c r="A426" s="18" t="s">
        <v>1379</v>
      </c>
      <c r="B426" s="18">
        <v>30.02</v>
      </c>
      <c r="C426" s="18">
        <v>11.09</v>
      </c>
      <c r="D426" s="18" t="s">
        <v>73</v>
      </c>
      <c r="E426" s="18" t="s">
        <v>73</v>
      </c>
      <c r="F426" s="18" t="s">
        <v>73</v>
      </c>
      <c r="G426" s="20">
        <v>0.0</v>
      </c>
      <c r="H426" s="18" t="s">
        <v>73</v>
      </c>
      <c r="I426" s="18" t="str">
        <f t="shared" si="1"/>
        <v>Obesity</v>
      </c>
    </row>
    <row r="427" ht="15.75" customHeight="1">
      <c r="A427" s="18" t="s">
        <v>1382</v>
      </c>
      <c r="B427" s="18">
        <v>27.36</v>
      </c>
      <c r="C427" s="18">
        <v>9.45</v>
      </c>
      <c r="D427" s="18" t="s">
        <v>80</v>
      </c>
      <c r="E427" s="18" t="s">
        <v>73</v>
      </c>
      <c r="F427" s="18" t="s">
        <v>73</v>
      </c>
      <c r="G427" s="18">
        <v>2.0</v>
      </c>
      <c r="H427" s="18" t="s">
        <v>80</v>
      </c>
      <c r="I427" s="18" t="str">
        <f t="shared" si="1"/>
        <v>Overweight</v>
      </c>
    </row>
    <row r="428" ht="15.75" customHeight="1">
      <c r="A428" s="18" t="s">
        <v>1385</v>
      </c>
      <c r="B428" s="18">
        <v>22.2</v>
      </c>
      <c r="C428" s="18">
        <v>5.51</v>
      </c>
      <c r="D428" s="18" t="s">
        <v>73</v>
      </c>
      <c r="E428" s="18" t="s">
        <v>73</v>
      </c>
      <c r="F428" s="18" t="s">
        <v>73</v>
      </c>
      <c r="G428" s="20">
        <v>0.0</v>
      </c>
      <c r="H428" s="18" t="s">
        <v>80</v>
      </c>
      <c r="I428" s="18" t="str">
        <f t="shared" si="1"/>
        <v>Normal Weight</v>
      </c>
    </row>
    <row r="429" ht="15.75" customHeight="1">
      <c r="A429" s="18" t="s">
        <v>1389</v>
      </c>
      <c r="B429" s="18">
        <v>25.71</v>
      </c>
      <c r="C429" s="18">
        <v>4.18</v>
      </c>
      <c r="D429" s="18" t="s">
        <v>73</v>
      </c>
      <c r="E429" s="18" t="s">
        <v>80</v>
      </c>
      <c r="F429" s="18" t="s">
        <v>73</v>
      </c>
      <c r="G429" s="18">
        <v>1.0</v>
      </c>
      <c r="H429" s="18" t="s">
        <v>80</v>
      </c>
      <c r="I429" s="18" t="str">
        <f t="shared" si="1"/>
        <v>Overweight</v>
      </c>
    </row>
    <row r="430" ht="15.75" customHeight="1">
      <c r="A430" s="18" t="s">
        <v>1393</v>
      </c>
      <c r="B430" s="18">
        <v>41.91</v>
      </c>
      <c r="C430" s="18">
        <v>5.98</v>
      </c>
      <c r="D430" s="18" t="s">
        <v>80</v>
      </c>
      <c r="E430" s="18" t="s">
        <v>73</v>
      </c>
      <c r="F430" s="18" t="s">
        <v>73</v>
      </c>
      <c r="G430" s="18">
        <v>1.0</v>
      </c>
      <c r="H430" s="18" t="s">
        <v>73</v>
      </c>
      <c r="I430" s="18" t="str">
        <f t="shared" si="1"/>
        <v>Obesity</v>
      </c>
    </row>
    <row r="431" ht="15.75" customHeight="1">
      <c r="A431" s="18" t="s">
        <v>1395</v>
      </c>
      <c r="B431" s="18">
        <v>25.85</v>
      </c>
      <c r="C431" s="18">
        <v>10.16</v>
      </c>
      <c r="D431" s="18" t="s">
        <v>73</v>
      </c>
      <c r="E431" s="18" t="s">
        <v>73</v>
      </c>
      <c r="F431" s="18" t="s">
        <v>73</v>
      </c>
      <c r="G431" s="20">
        <v>0.0</v>
      </c>
      <c r="H431" s="18" t="s">
        <v>80</v>
      </c>
      <c r="I431" s="18" t="str">
        <f t="shared" si="1"/>
        <v>Overweight</v>
      </c>
    </row>
    <row r="432" ht="15.75" customHeight="1">
      <c r="A432" s="18" t="s">
        <v>1399</v>
      </c>
      <c r="B432" s="18">
        <v>23.845</v>
      </c>
      <c r="C432" s="18">
        <v>11.71</v>
      </c>
      <c r="D432" s="18" t="s">
        <v>73</v>
      </c>
      <c r="E432" s="18" t="s">
        <v>73</v>
      </c>
      <c r="F432" s="18" t="s">
        <v>73</v>
      </c>
      <c r="G432" s="18">
        <v>2.0</v>
      </c>
      <c r="H432" s="18" t="s">
        <v>80</v>
      </c>
      <c r="I432" s="18" t="str">
        <f t="shared" si="1"/>
        <v>Normal Weight</v>
      </c>
    </row>
    <row r="433" ht="15.75" customHeight="1">
      <c r="A433" s="18" t="s">
        <v>1403</v>
      </c>
      <c r="B433" s="18">
        <v>30.59</v>
      </c>
      <c r="C433" s="18">
        <v>5.23</v>
      </c>
      <c r="D433" s="18" t="s">
        <v>73</v>
      </c>
      <c r="E433" s="18" t="s">
        <v>73</v>
      </c>
      <c r="F433" s="18" t="s">
        <v>184</v>
      </c>
      <c r="G433" s="18">
        <v>1.0</v>
      </c>
      <c r="H433" s="18" t="s">
        <v>73</v>
      </c>
      <c r="I433" s="18" t="str">
        <f t="shared" si="1"/>
        <v>Obesity</v>
      </c>
    </row>
    <row r="434" ht="15.75" customHeight="1">
      <c r="A434" s="18" t="s">
        <v>1407</v>
      </c>
      <c r="B434" s="18">
        <v>24.795</v>
      </c>
      <c r="C434" s="18">
        <v>6.85</v>
      </c>
      <c r="D434" s="18" t="s">
        <v>73</v>
      </c>
      <c r="E434" s="18" t="s">
        <v>73</v>
      </c>
      <c r="F434" s="18" t="s">
        <v>73</v>
      </c>
      <c r="G434" s="20">
        <v>0.0</v>
      </c>
      <c r="H434" s="18" t="s">
        <v>80</v>
      </c>
      <c r="I434" s="18" t="str">
        <f t="shared" si="1"/>
        <v>Normal Weight</v>
      </c>
    </row>
    <row r="435" ht="15.75" customHeight="1">
      <c r="A435" s="18" t="s">
        <v>1410</v>
      </c>
      <c r="B435" s="18">
        <v>24.13</v>
      </c>
      <c r="C435" s="18">
        <v>7.05</v>
      </c>
      <c r="D435" s="18" t="s">
        <v>80</v>
      </c>
      <c r="E435" s="18" t="s">
        <v>73</v>
      </c>
      <c r="F435" s="18" t="s">
        <v>73</v>
      </c>
      <c r="G435" s="18">
        <v>2.0</v>
      </c>
      <c r="H435" s="18" t="s">
        <v>80</v>
      </c>
      <c r="I435" s="18" t="str">
        <f t="shared" si="1"/>
        <v>Normal Weight</v>
      </c>
    </row>
    <row r="436" ht="15.75" customHeight="1">
      <c r="A436" s="18" t="s">
        <v>1412</v>
      </c>
      <c r="B436" s="18">
        <v>25.84</v>
      </c>
      <c r="C436" s="18">
        <v>11.64</v>
      </c>
      <c r="D436" s="18" t="s">
        <v>73</v>
      </c>
      <c r="E436" s="18" t="s">
        <v>73</v>
      </c>
      <c r="F436" s="18" t="s">
        <v>73</v>
      </c>
      <c r="G436" s="18">
        <v>2.0</v>
      </c>
      <c r="H436" s="18" t="s">
        <v>80</v>
      </c>
      <c r="I436" s="18" t="str">
        <f t="shared" si="1"/>
        <v>Overweight</v>
      </c>
    </row>
    <row r="437" ht="15.75" customHeight="1">
      <c r="A437" s="18" t="s">
        <v>1417</v>
      </c>
      <c r="B437" s="18">
        <v>28.0</v>
      </c>
      <c r="C437" s="18">
        <v>10.52</v>
      </c>
      <c r="D437" s="18" t="s">
        <v>73</v>
      </c>
      <c r="E437" s="18" t="s">
        <v>73</v>
      </c>
      <c r="F437" s="18" t="s">
        <v>73</v>
      </c>
      <c r="G437" s="20">
        <v>0.0</v>
      </c>
      <c r="H437" s="18" t="s">
        <v>80</v>
      </c>
      <c r="I437" s="18" t="str">
        <f t="shared" si="1"/>
        <v>Overweight</v>
      </c>
    </row>
    <row r="438" ht="15.75" customHeight="1">
      <c r="A438" s="18" t="s">
        <v>1420</v>
      </c>
      <c r="B438" s="18">
        <v>34.1</v>
      </c>
      <c r="C438" s="18">
        <v>4.01</v>
      </c>
      <c r="D438" s="18" t="s">
        <v>80</v>
      </c>
      <c r="E438" s="18" t="s">
        <v>73</v>
      </c>
      <c r="F438" s="18" t="s">
        <v>184</v>
      </c>
      <c r="G438" s="18">
        <v>1.0</v>
      </c>
      <c r="H438" s="18" t="s">
        <v>73</v>
      </c>
      <c r="I438" s="18" t="str">
        <f t="shared" si="1"/>
        <v>Obesity</v>
      </c>
    </row>
    <row r="439" ht="15.75" customHeight="1">
      <c r="A439" s="18" t="s">
        <v>1425</v>
      </c>
      <c r="B439" s="18">
        <v>26.125</v>
      </c>
      <c r="C439" s="18">
        <v>8.56</v>
      </c>
      <c r="D439" s="18" t="s">
        <v>80</v>
      </c>
      <c r="E439" s="18" t="s">
        <v>73</v>
      </c>
      <c r="F439" s="18" t="s">
        <v>73</v>
      </c>
      <c r="G439" s="18">
        <v>1.0</v>
      </c>
      <c r="H439" s="18" t="s">
        <v>80</v>
      </c>
      <c r="I439" s="18" t="str">
        <f t="shared" si="1"/>
        <v>Overweight</v>
      </c>
    </row>
    <row r="440" ht="15.75" customHeight="1">
      <c r="A440" s="18" t="s">
        <v>1428</v>
      </c>
      <c r="B440" s="18">
        <v>25.6</v>
      </c>
      <c r="C440" s="18">
        <v>10.5</v>
      </c>
      <c r="D440" s="18" t="s">
        <v>73</v>
      </c>
      <c r="E440" s="18" t="s">
        <v>73</v>
      </c>
      <c r="F440" s="18" t="s">
        <v>73</v>
      </c>
      <c r="G440" s="18">
        <v>2.0</v>
      </c>
      <c r="H440" s="18" t="s">
        <v>80</v>
      </c>
      <c r="I440" s="18" t="str">
        <f t="shared" si="1"/>
        <v>Overweight</v>
      </c>
    </row>
    <row r="441" ht="15.75" customHeight="1">
      <c r="A441" s="18" t="s">
        <v>1432</v>
      </c>
      <c r="B441" s="18">
        <v>24.32</v>
      </c>
      <c r="C441" s="18">
        <v>6.39</v>
      </c>
      <c r="D441" s="18" t="s">
        <v>73</v>
      </c>
      <c r="E441" s="18" t="s">
        <v>73</v>
      </c>
      <c r="F441" s="18" t="s">
        <v>73</v>
      </c>
      <c r="G441" s="20">
        <v>0.0</v>
      </c>
      <c r="H441" s="18" t="s">
        <v>73</v>
      </c>
      <c r="I441" s="18" t="str">
        <f t="shared" si="1"/>
        <v>Normal Weight</v>
      </c>
    </row>
    <row r="442" ht="15.75" customHeight="1">
      <c r="A442" s="18" t="s">
        <v>1437</v>
      </c>
      <c r="B442" s="18">
        <v>22.88</v>
      </c>
      <c r="C442" s="18">
        <v>5.71</v>
      </c>
      <c r="D442" s="18" t="s">
        <v>80</v>
      </c>
      <c r="E442" s="18" t="s">
        <v>73</v>
      </c>
      <c r="F442" s="18" t="s">
        <v>184</v>
      </c>
      <c r="G442" s="18">
        <v>1.0</v>
      </c>
      <c r="H442" s="18" t="s">
        <v>80</v>
      </c>
      <c r="I442" s="18" t="str">
        <f t="shared" si="1"/>
        <v>Normal Weight</v>
      </c>
    </row>
    <row r="443" ht="15.75" customHeight="1">
      <c r="A443" s="18" t="s">
        <v>1441</v>
      </c>
      <c r="B443" s="18">
        <v>24.985</v>
      </c>
      <c r="C443" s="18">
        <v>4.43</v>
      </c>
      <c r="D443" s="18" t="s">
        <v>80</v>
      </c>
      <c r="E443" s="18" t="s">
        <v>73</v>
      </c>
      <c r="F443" s="18" t="s">
        <v>184</v>
      </c>
      <c r="G443" s="18">
        <v>1.0</v>
      </c>
      <c r="H443" s="18" t="s">
        <v>73</v>
      </c>
      <c r="I443" s="18" t="str">
        <f t="shared" si="1"/>
        <v>Normal Weight</v>
      </c>
    </row>
    <row r="444" ht="15.75" customHeight="1">
      <c r="A444" s="18" t="s">
        <v>1444</v>
      </c>
      <c r="B444" s="18">
        <v>33.1</v>
      </c>
      <c r="C444" s="18">
        <v>5.52</v>
      </c>
      <c r="D444" s="18" t="s">
        <v>73</v>
      </c>
      <c r="E444" s="18" t="s">
        <v>73</v>
      </c>
      <c r="F444" s="18" t="s">
        <v>184</v>
      </c>
      <c r="G444" s="18">
        <v>1.0</v>
      </c>
      <c r="H444" s="18" t="s">
        <v>73</v>
      </c>
      <c r="I444" s="18" t="str">
        <f t="shared" si="1"/>
        <v>Obesity</v>
      </c>
    </row>
    <row r="445" ht="15.75" customHeight="1">
      <c r="A445" s="18" t="s">
        <v>1447</v>
      </c>
      <c r="B445" s="18">
        <v>27.83</v>
      </c>
      <c r="C445" s="18">
        <v>9.2</v>
      </c>
      <c r="D445" s="18" t="s">
        <v>80</v>
      </c>
      <c r="E445" s="18" t="s">
        <v>73</v>
      </c>
      <c r="F445" s="18" t="s">
        <v>73</v>
      </c>
      <c r="G445" s="18">
        <v>1.0</v>
      </c>
      <c r="H445" s="18" t="s">
        <v>80</v>
      </c>
      <c r="I445" s="18" t="str">
        <f t="shared" si="1"/>
        <v>Overweight</v>
      </c>
    </row>
    <row r="446" ht="15.75" customHeight="1">
      <c r="A446" s="18" t="s">
        <v>1451</v>
      </c>
      <c r="B446" s="18">
        <v>30.875</v>
      </c>
      <c r="C446" s="18">
        <v>10.97</v>
      </c>
      <c r="D446" s="18" t="s">
        <v>80</v>
      </c>
      <c r="E446" s="18" t="s">
        <v>73</v>
      </c>
      <c r="F446" s="18" t="s">
        <v>73</v>
      </c>
      <c r="G446" s="18">
        <v>2.0</v>
      </c>
      <c r="H446" s="18" t="s">
        <v>73</v>
      </c>
      <c r="I446" s="18" t="str">
        <f t="shared" si="1"/>
        <v>Obesity</v>
      </c>
    </row>
    <row r="447" ht="15.75" customHeight="1">
      <c r="A447" s="18" t="s">
        <v>1455</v>
      </c>
      <c r="B447" s="18">
        <v>27.265</v>
      </c>
      <c r="C447" s="18">
        <v>4.25</v>
      </c>
      <c r="D447" s="18" t="s">
        <v>73</v>
      </c>
      <c r="E447" s="18" t="s">
        <v>73</v>
      </c>
      <c r="F447" s="18" t="s">
        <v>184</v>
      </c>
      <c r="G447" s="18">
        <v>1.0</v>
      </c>
      <c r="H447" s="18" t="s">
        <v>73</v>
      </c>
      <c r="I447" s="18" t="str">
        <f t="shared" si="1"/>
        <v>Overweight</v>
      </c>
    </row>
    <row r="448" ht="15.75" customHeight="1">
      <c r="A448" s="18" t="s">
        <v>1457</v>
      </c>
      <c r="B448" s="18">
        <v>26.7</v>
      </c>
      <c r="C448" s="18">
        <v>5.23</v>
      </c>
      <c r="D448" s="18" t="s">
        <v>73</v>
      </c>
      <c r="E448" s="18" t="s">
        <v>73</v>
      </c>
      <c r="F448" s="18" t="s">
        <v>184</v>
      </c>
      <c r="G448" s="18">
        <v>1.0</v>
      </c>
      <c r="H448" s="18" t="s">
        <v>80</v>
      </c>
      <c r="I448" s="18" t="str">
        <f t="shared" si="1"/>
        <v>Overweight</v>
      </c>
    </row>
    <row r="449" ht="15.75" customHeight="1">
      <c r="A449" s="18" t="s">
        <v>1461</v>
      </c>
      <c r="B449" s="18">
        <v>29.925</v>
      </c>
      <c r="C449" s="18">
        <v>5.96</v>
      </c>
      <c r="D449" s="18" t="s">
        <v>80</v>
      </c>
      <c r="E449" s="18" t="s">
        <v>73</v>
      </c>
      <c r="F449" s="18" t="s">
        <v>184</v>
      </c>
      <c r="G449" s="18">
        <v>1.0</v>
      </c>
      <c r="H449" s="18" t="s">
        <v>80</v>
      </c>
      <c r="I449" s="18" t="str">
        <f t="shared" si="1"/>
        <v>Overweight</v>
      </c>
    </row>
    <row r="450" ht="15.75" customHeight="1">
      <c r="A450" s="18" t="s">
        <v>1465</v>
      </c>
      <c r="B450" s="18">
        <v>19.95</v>
      </c>
      <c r="C450" s="18">
        <v>4.29</v>
      </c>
      <c r="D450" s="18" t="s">
        <v>80</v>
      </c>
      <c r="E450" s="18" t="s">
        <v>73</v>
      </c>
      <c r="F450" s="18" t="s">
        <v>73</v>
      </c>
      <c r="G450" s="18">
        <v>2.0</v>
      </c>
      <c r="H450" s="18" t="s">
        <v>80</v>
      </c>
      <c r="I450" s="18" t="str">
        <f t="shared" si="1"/>
        <v>Normal Weight</v>
      </c>
    </row>
    <row r="451" ht="15.75" customHeight="1">
      <c r="A451" s="18" t="s">
        <v>1467</v>
      </c>
      <c r="B451" s="18">
        <v>24.225</v>
      </c>
      <c r="C451" s="18">
        <v>4.09</v>
      </c>
      <c r="D451" s="18" t="s">
        <v>73</v>
      </c>
      <c r="E451" s="18" t="s">
        <v>73</v>
      </c>
      <c r="F451" s="18" t="s">
        <v>73</v>
      </c>
      <c r="G451" s="20">
        <v>0.0</v>
      </c>
      <c r="H451" s="18" t="s">
        <v>73</v>
      </c>
      <c r="I451" s="18" t="str">
        <f t="shared" si="1"/>
        <v>Normal Weight</v>
      </c>
    </row>
    <row r="452" ht="15.75" customHeight="1">
      <c r="A452" s="18" t="s">
        <v>1470</v>
      </c>
      <c r="B452" s="18">
        <v>28.12</v>
      </c>
      <c r="C452" s="18">
        <v>4.88</v>
      </c>
      <c r="D452" s="18" t="s">
        <v>73</v>
      </c>
      <c r="E452" s="18" t="s">
        <v>73</v>
      </c>
      <c r="F452" s="18" t="s">
        <v>73</v>
      </c>
      <c r="G452" s="20">
        <v>0.0</v>
      </c>
      <c r="H452" s="18" t="s">
        <v>80</v>
      </c>
      <c r="I452" s="18" t="str">
        <f t="shared" si="1"/>
        <v>Overweight</v>
      </c>
    </row>
    <row r="453" ht="15.75" customHeight="1">
      <c r="A453" s="18" t="s">
        <v>1473</v>
      </c>
      <c r="B453" s="18">
        <v>23.21</v>
      </c>
      <c r="C453" s="18">
        <v>6.76</v>
      </c>
      <c r="D453" s="18" t="s">
        <v>73</v>
      </c>
      <c r="E453" s="18" t="s">
        <v>73</v>
      </c>
      <c r="F453" s="18" t="s">
        <v>73</v>
      </c>
      <c r="G453" s="20">
        <v>0.0</v>
      </c>
      <c r="H453" s="18" t="s">
        <v>80</v>
      </c>
      <c r="I453" s="18" t="str">
        <f t="shared" si="1"/>
        <v>Normal Weight</v>
      </c>
    </row>
    <row r="454" ht="15.75" customHeight="1">
      <c r="A454" s="18" t="s">
        <v>1476</v>
      </c>
      <c r="B454" s="18">
        <v>23.98</v>
      </c>
      <c r="C454" s="18">
        <v>10.67</v>
      </c>
      <c r="D454" s="18" t="s">
        <v>73</v>
      </c>
      <c r="E454" s="18" t="s">
        <v>73</v>
      </c>
      <c r="F454" s="18" t="s">
        <v>73</v>
      </c>
      <c r="G454" s="20">
        <v>0.0</v>
      </c>
      <c r="H454" s="18" t="s">
        <v>73</v>
      </c>
      <c r="I454" s="18" t="str">
        <f t="shared" si="1"/>
        <v>Normal Weight</v>
      </c>
    </row>
    <row r="455" ht="15.75" customHeight="1">
      <c r="A455" s="18" t="s">
        <v>1479</v>
      </c>
      <c r="B455" s="18">
        <v>30.0</v>
      </c>
      <c r="C455" s="18">
        <v>6.21</v>
      </c>
      <c r="D455" s="18" t="s">
        <v>73</v>
      </c>
      <c r="E455" s="18" t="s">
        <v>73</v>
      </c>
      <c r="F455" s="18" t="s">
        <v>73</v>
      </c>
      <c r="G455" s="20">
        <v>0.0</v>
      </c>
      <c r="H455" s="18" t="s">
        <v>80</v>
      </c>
      <c r="I455" s="18" t="str">
        <f t="shared" si="1"/>
        <v>Obesity</v>
      </c>
    </row>
    <row r="456" ht="15.75" customHeight="1">
      <c r="A456" s="18" t="s">
        <v>1482</v>
      </c>
      <c r="B456" s="18">
        <v>17.35</v>
      </c>
      <c r="C456" s="18">
        <v>5.03</v>
      </c>
      <c r="D456" s="18" t="s">
        <v>80</v>
      </c>
      <c r="E456" s="18" t="s">
        <v>73</v>
      </c>
      <c r="F456" s="18" t="s">
        <v>73</v>
      </c>
      <c r="G456" s="20">
        <v>0.0</v>
      </c>
      <c r="H456" s="18" t="s">
        <v>80</v>
      </c>
      <c r="I456" s="18" t="str">
        <f t="shared" si="1"/>
        <v>Underweight</v>
      </c>
    </row>
    <row r="457" ht="15.75" customHeight="1">
      <c r="A457" s="18" t="s">
        <v>1484</v>
      </c>
      <c r="B457" s="18">
        <v>22.705</v>
      </c>
      <c r="C457" s="18">
        <v>5.27</v>
      </c>
      <c r="D457" s="18" t="s">
        <v>73</v>
      </c>
      <c r="E457" s="18" t="s">
        <v>73</v>
      </c>
      <c r="F457" s="18" t="s">
        <v>73</v>
      </c>
      <c r="G457" s="20">
        <v>0.0</v>
      </c>
      <c r="H457" s="18" t="s">
        <v>73</v>
      </c>
      <c r="I457" s="18" t="str">
        <f t="shared" si="1"/>
        <v>Normal Weight</v>
      </c>
    </row>
    <row r="458" ht="15.75" customHeight="1">
      <c r="A458" s="18" t="s">
        <v>1487</v>
      </c>
      <c r="B458" s="18">
        <v>25.41</v>
      </c>
      <c r="C458" s="18">
        <v>10.53</v>
      </c>
      <c r="D458" s="18" t="s">
        <v>80</v>
      </c>
      <c r="E458" s="18" t="s">
        <v>73</v>
      </c>
      <c r="F458" s="18" t="s">
        <v>73</v>
      </c>
      <c r="G458" s="18">
        <v>1.0</v>
      </c>
      <c r="H458" s="18" t="s">
        <v>80</v>
      </c>
      <c r="I458" s="18" t="str">
        <f t="shared" si="1"/>
        <v>Overweight</v>
      </c>
    </row>
    <row r="459" ht="15.75" customHeight="1">
      <c r="A459" s="18" t="s">
        <v>1489</v>
      </c>
      <c r="B459" s="18">
        <v>18.23</v>
      </c>
      <c r="C459" s="18">
        <v>5.78</v>
      </c>
      <c r="D459" s="18" t="s">
        <v>73</v>
      </c>
      <c r="E459" s="18" t="s">
        <v>73</v>
      </c>
      <c r="F459" s="18" t="s">
        <v>184</v>
      </c>
      <c r="G459" s="18">
        <v>1.0</v>
      </c>
      <c r="H459" s="18" t="s">
        <v>80</v>
      </c>
      <c r="I459" s="18" t="str">
        <f t="shared" si="1"/>
        <v>Underweight</v>
      </c>
    </row>
    <row r="460" ht="15.75" customHeight="1">
      <c r="A460" s="18" t="s">
        <v>1493</v>
      </c>
      <c r="B460" s="18">
        <v>24.7</v>
      </c>
      <c r="C460" s="18">
        <v>4.36</v>
      </c>
      <c r="D460" s="18" t="s">
        <v>73</v>
      </c>
      <c r="E460" s="18" t="s">
        <v>73</v>
      </c>
      <c r="F460" s="18" t="s">
        <v>184</v>
      </c>
      <c r="G460" s="18">
        <v>1.0</v>
      </c>
      <c r="H460" s="18" t="s">
        <v>80</v>
      </c>
      <c r="I460" s="18" t="str">
        <f t="shared" si="1"/>
        <v>Normal Weight</v>
      </c>
    </row>
    <row r="461" ht="15.75" customHeight="1">
      <c r="A461" s="18" t="s">
        <v>1496</v>
      </c>
      <c r="B461" s="18">
        <v>37.4</v>
      </c>
      <c r="C461" s="18">
        <v>9.72</v>
      </c>
      <c r="D461" s="18" t="s">
        <v>80</v>
      </c>
      <c r="E461" s="18" t="s">
        <v>73</v>
      </c>
      <c r="F461" s="18" t="s">
        <v>184</v>
      </c>
      <c r="G461" s="18">
        <v>1.0</v>
      </c>
      <c r="H461" s="18" t="s">
        <v>73</v>
      </c>
      <c r="I461" s="18" t="str">
        <f t="shared" si="1"/>
        <v>Obesity</v>
      </c>
    </row>
    <row r="462" ht="15.75" customHeight="1">
      <c r="A462" s="18" t="s">
        <v>1499</v>
      </c>
      <c r="B462" s="18">
        <v>26.885</v>
      </c>
      <c r="C462" s="18">
        <v>5.18</v>
      </c>
      <c r="D462" s="18" t="s">
        <v>73</v>
      </c>
      <c r="E462" s="18" t="s">
        <v>73</v>
      </c>
      <c r="F462" s="18" t="s">
        <v>184</v>
      </c>
      <c r="G462" s="18">
        <v>1.0</v>
      </c>
      <c r="H462" s="18" t="s">
        <v>80</v>
      </c>
      <c r="I462" s="18" t="str">
        <f t="shared" si="1"/>
        <v>Overweight</v>
      </c>
    </row>
    <row r="463" ht="15.75" customHeight="1">
      <c r="A463" s="18" t="s">
        <v>1501</v>
      </c>
      <c r="B463" s="18">
        <v>25.27</v>
      </c>
      <c r="C463" s="18">
        <v>5.29</v>
      </c>
      <c r="D463" s="18" t="s">
        <v>73</v>
      </c>
      <c r="E463" s="18" t="s">
        <v>73</v>
      </c>
      <c r="F463" s="18" t="s">
        <v>184</v>
      </c>
      <c r="G463" s="18">
        <v>1.0</v>
      </c>
      <c r="H463" s="18" t="s">
        <v>80</v>
      </c>
      <c r="I463" s="18" t="str">
        <f t="shared" si="1"/>
        <v>Overweight</v>
      </c>
    </row>
    <row r="464" ht="15.75" customHeight="1">
      <c r="A464" s="18" t="s">
        <v>1503</v>
      </c>
      <c r="B464" s="18">
        <v>23.655</v>
      </c>
      <c r="C464" s="18">
        <v>4.86</v>
      </c>
      <c r="D464" s="18" t="s">
        <v>80</v>
      </c>
      <c r="E464" s="18" t="s">
        <v>73</v>
      </c>
      <c r="F464" s="18" t="s">
        <v>73</v>
      </c>
      <c r="G464" s="20">
        <v>0.0</v>
      </c>
      <c r="H464" s="18" t="s">
        <v>80</v>
      </c>
      <c r="I464" s="18" t="str">
        <f t="shared" si="1"/>
        <v>Normal Weight</v>
      </c>
    </row>
    <row r="465" ht="15.75" customHeight="1">
      <c r="A465" s="18" t="s">
        <v>1506</v>
      </c>
      <c r="B465" s="18">
        <v>55.05</v>
      </c>
      <c r="C465" s="18">
        <v>7.66</v>
      </c>
      <c r="D465" s="18" t="s">
        <v>73</v>
      </c>
      <c r="E465" s="18" t="s">
        <v>73</v>
      </c>
      <c r="F465" s="18" t="s">
        <v>73</v>
      </c>
      <c r="G465" s="20">
        <v>0.0</v>
      </c>
      <c r="H465" s="18" t="s">
        <v>73</v>
      </c>
      <c r="I465" s="18" t="str">
        <f t="shared" si="1"/>
        <v>Obesity</v>
      </c>
    </row>
    <row r="466" ht="15.75" customHeight="1">
      <c r="A466" s="18" t="s">
        <v>1510</v>
      </c>
      <c r="B466" s="18">
        <v>24.89</v>
      </c>
      <c r="C466" s="18">
        <v>6.1</v>
      </c>
      <c r="D466" s="18" t="s">
        <v>80</v>
      </c>
      <c r="E466" s="18" t="s">
        <v>73</v>
      </c>
      <c r="F466" s="18" t="s">
        <v>184</v>
      </c>
      <c r="G466" s="18">
        <v>1.0</v>
      </c>
      <c r="H466" s="18" t="s">
        <v>80</v>
      </c>
      <c r="I466" s="18" t="str">
        <f t="shared" si="1"/>
        <v>Normal Weight</v>
      </c>
    </row>
    <row r="467" ht="15.75" customHeight="1">
      <c r="A467" s="18" t="s">
        <v>1512</v>
      </c>
      <c r="B467" s="18">
        <v>18.715</v>
      </c>
      <c r="C467" s="18">
        <v>4.44</v>
      </c>
      <c r="D467" s="18" t="s">
        <v>73</v>
      </c>
      <c r="E467" s="18" t="s">
        <v>73</v>
      </c>
      <c r="F467" s="18" t="s">
        <v>73</v>
      </c>
      <c r="G467" s="20">
        <v>0.0</v>
      </c>
      <c r="H467" s="18" t="s">
        <v>73</v>
      </c>
      <c r="I467" s="18" t="str">
        <f t="shared" si="1"/>
        <v>Normal Weight</v>
      </c>
    </row>
    <row r="468" ht="15.75" customHeight="1">
      <c r="A468" s="18" t="s">
        <v>1516</v>
      </c>
      <c r="B468" s="18">
        <v>28.12</v>
      </c>
      <c r="C468" s="18">
        <v>6.15</v>
      </c>
      <c r="D468" s="18" t="s">
        <v>73</v>
      </c>
      <c r="E468" s="18" t="s">
        <v>73</v>
      </c>
      <c r="F468" s="18" t="s">
        <v>73</v>
      </c>
      <c r="G468" s="20">
        <v>0.0</v>
      </c>
      <c r="H468" s="18" t="s">
        <v>80</v>
      </c>
      <c r="I468" s="18" t="str">
        <f t="shared" si="1"/>
        <v>Overweight</v>
      </c>
    </row>
    <row r="469" ht="15.75" customHeight="1">
      <c r="A469" s="18" t="s">
        <v>1518</v>
      </c>
      <c r="B469" s="18">
        <v>26.6</v>
      </c>
      <c r="C469" s="18">
        <v>4.53</v>
      </c>
      <c r="D469" s="18" t="s">
        <v>73</v>
      </c>
      <c r="E469" s="18" t="s">
        <v>73</v>
      </c>
      <c r="F469" s="18" t="s">
        <v>73</v>
      </c>
      <c r="G469" s="20">
        <v>0.0</v>
      </c>
      <c r="H469" s="18" t="s">
        <v>80</v>
      </c>
      <c r="I469" s="18" t="str">
        <f t="shared" si="1"/>
        <v>Overweight</v>
      </c>
    </row>
    <row r="470" ht="15.75" customHeight="1">
      <c r="A470" s="18" t="s">
        <v>1522</v>
      </c>
      <c r="B470" s="18">
        <v>30.115</v>
      </c>
      <c r="C470" s="18">
        <v>5.48</v>
      </c>
      <c r="D470" s="18" t="s">
        <v>73</v>
      </c>
      <c r="E470" s="18" t="s">
        <v>80</v>
      </c>
      <c r="F470" s="18" t="s">
        <v>73</v>
      </c>
      <c r="G470" s="18">
        <v>1.0</v>
      </c>
      <c r="H470" s="18" t="s">
        <v>73</v>
      </c>
      <c r="I470" s="18" t="str">
        <f t="shared" si="1"/>
        <v>Obesity</v>
      </c>
    </row>
    <row r="471" ht="15.75" customHeight="1">
      <c r="A471" s="18" t="s">
        <v>1525</v>
      </c>
      <c r="B471" s="18">
        <v>24.605</v>
      </c>
      <c r="C471" s="18">
        <v>5.48</v>
      </c>
      <c r="D471" s="18" t="s">
        <v>73</v>
      </c>
      <c r="E471" s="18" t="s">
        <v>73</v>
      </c>
      <c r="F471" s="18" t="s">
        <v>73</v>
      </c>
      <c r="G471" s="20">
        <v>0.0</v>
      </c>
      <c r="H471" s="18" t="s">
        <v>80</v>
      </c>
      <c r="I471" s="18" t="str">
        <f t="shared" si="1"/>
        <v>Normal Weight</v>
      </c>
    </row>
    <row r="472" ht="15.75" customHeight="1">
      <c r="A472" s="18" t="s">
        <v>1529</v>
      </c>
      <c r="B472" s="18">
        <v>29.6</v>
      </c>
      <c r="C472" s="18">
        <v>8.1</v>
      </c>
      <c r="D472" s="18" t="s">
        <v>73</v>
      </c>
      <c r="E472" s="18" t="s">
        <v>73</v>
      </c>
      <c r="F472" s="18" t="s">
        <v>73</v>
      </c>
      <c r="G472" s="20">
        <v>0.0</v>
      </c>
      <c r="H472" s="18" t="s">
        <v>73</v>
      </c>
      <c r="I472" s="18" t="str">
        <f t="shared" si="1"/>
        <v>Overweight</v>
      </c>
    </row>
    <row r="473" ht="15.75" customHeight="1">
      <c r="A473" s="18" t="s">
        <v>1532</v>
      </c>
      <c r="B473" s="18">
        <v>24.42</v>
      </c>
      <c r="C473" s="18">
        <v>7.16</v>
      </c>
      <c r="D473" s="18" t="s">
        <v>73</v>
      </c>
      <c r="E473" s="18" t="s">
        <v>73</v>
      </c>
      <c r="F473" s="18" t="s">
        <v>73</v>
      </c>
      <c r="G473" s="20">
        <v>0.0</v>
      </c>
      <c r="H473" s="18" t="s">
        <v>80</v>
      </c>
      <c r="I473" s="18" t="str">
        <f t="shared" si="1"/>
        <v>Normal Weight</v>
      </c>
    </row>
    <row r="474" ht="15.75" customHeight="1">
      <c r="A474" s="18" t="s">
        <v>1535</v>
      </c>
      <c r="B474" s="18">
        <v>20.9</v>
      </c>
      <c r="C474" s="18">
        <v>4.55</v>
      </c>
      <c r="D474" s="18" t="s">
        <v>80</v>
      </c>
      <c r="E474" s="18" t="s">
        <v>73</v>
      </c>
      <c r="F474" s="18" t="s">
        <v>184</v>
      </c>
      <c r="G474" s="18">
        <v>1.0</v>
      </c>
      <c r="H474" s="18" t="s">
        <v>80</v>
      </c>
      <c r="I474" s="18" t="str">
        <f t="shared" si="1"/>
        <v>Normal Weight</v>
      </c>
    </row>
    <row r="475" ht="15.75" customHeight="1">
      <c r="A475" s="18" t="s">
        <v>1537</v>
      </c>
      <c r="B475" s="18">
        <v>22.895</v>
      </c>
      <c r="C475" s="18">
        <v>6.03</v>
      </c>
      <c r="D475" s="18" t="s">
        <v>73</v>
      </c>
      <c r="E475" s="18" t="s">
        <v>73</v>
      </c>
      <c r="F475" s="18" t="s">
        <v>73</v>
      </c>
      <c r="G475" s="20">
        <v>0.0</v>
      </c>
      <c r="H475" s="18" t="s">
        <v>80</v>
      </c>
      <c r="I475" s="18" t="str">
        <f t="shared" si="1"/>
        <v>Normal Weight</v>
      </c>
    </row>
    <row r="476" ht="15.75" customHeight="1">
      <c r="A476" s="18" t="s">
        <v>1539</v>
      </c>
      <c r="B476" s="18">
        <v>28.3</v>
      </c>
      <c r="C476" s="18">
        <v>5.47</v>
      </c>
      <c r="D476" s="18" t="s">
        <v>80</v>
      </c>
      <c r="E476" s="18" t="s">
        <v>73</v>
      </c>
      <c r="F476" s="18" t="s">
        <v>184</v>
      </c>
      <c r="G476" s="18">
        <v>1.0</v>
      </c>
      <c r="H476" s="18" t="s">
        <v>80</v>
      </c>
      <c r="I476" s="18" t="str">
        <f t="shared" si="1"/>
        <v>Overweight</v>
      </c>
    </row>
    <row r="477" ht="15.75" customHeight="1">
      <c r="A477" s="18" t="s">
        <v>1542</v>
      </c>
      <c r="B477" s="18">
        <v>54.3</v>
      </c>
      <c r="C477" s="18">
        <v>4.15</v>
      </c>
      <c r="D477" s="18" t="s">
        <v>80</v>
      </c>
      <c r="E477" s="18" t="s">
        <v>73</v>
      </c>
      <c r="F477" s="18" t="s">
        <v>73</v>
      </c>
      <c r="G477" s="18">
        <v>1.0</v>
      </c>
      <c r="H477" s="18" t="s">
        <v>73</v>
      </c>
      <c r="I477" s="18" t="str">
        <f t="shared" si="1"/>
        <v>Obesity</v>
      </c>
    </row>
    <row r="478" ht="15.75" customHeight="1">
      <c r="A478" s="18" t="s">
        <v>1545</v>
      </c>
      <c r="B478" s="18">
        <v>33.345</v>
      </c>
      <c r="C478" s="18">
        <v>11.32</v>
      </c>
      <c r="D478" s="18" t="s">
        <v>80</v>
      </c>
      <c r="E478" s="18" t="s">
        <v>73</v>
      </c>
      <c r="F478" s="18" t="s">
        <v>73</v>
      </c>
      <c r="G478" s="18">
        <v>1.0</v>
      </c>
      <c r="H478" s="18" t="s">
        <v>73</v>
      </c>
      <c r="I478" s="18" t="str">
        <f t="shared" si="1"/>
        <v>Obesity</v>
      </c>
    </row>
    <row r="479" ht="15.75" customHeight="1">
      <c r="A479" s="18" t="s">
        <v>1548</v>
      </c>
      <c r="B479" s="18">
        <v>33.0</v>
      </c>
      <c r="C479" s="18">
        <v>9.51</v>
      </c>
      <c r="D479" s="18" t="s">
        <v>80</v>
      </c>
      <c r="E479" s="18" t="s">
        <v>73</v>
      </c>
      <c r="F479" s="18" t="s">
        <v>73</v>
      </c>
      <c r="G479" s="20">
        <v>0.0</v>
      </c>
      <c r="H479" s="18" t="s">
        <v>73</v>
      </c>
      <c r="I479" s="18" t="str">
        <f t="shared" si="1"/>
        <v>Obesity</v>
      </c>
    </row>
    <row r="480" ht="15.75" customHeight="1">
      <c r="A480" s="18" t="s">
        <v>1551</v>
      </c>
      <c r="B480" s="18">
        <v>28.025</v>
      </c>
      <c r="C480" s="18">
        <v>7.67</v>
      </c>
      <c r="D480" s="18" t="s">
        <v>80</v>
      </c>
      <c r="E480" s="18" t="s">
        <v>73</v>
      </c>
      <c r="F480" s="18" t="s">
        <v>73</v>
      </c>
      <c r="G480" s="18">
        <v>1.0</v>
      </c>
      <c r="H480" s="18" t="s">
        <v>80</v>
      </c>
      <c r="I480" s="18" t="str">
        <f t="shared" si="1"/>
        <v>Overweight</v>
      </c>
    </row>
    <row r="481" ht="15.75" customHeight="1">
      <c r="A481" s="18" t="s">
        <v>1554</v>
      </c>
      <c r="B481" s="18">
        <v>28.69</v>
      </c>
      <c r="C481" s="18">
        <v>6.23</v>
      </c>
      <c r="D481" s="18" t="s">
        <v>73</v>
      </c>
      <c r="E481" s="18" t="s">
        <v>73</v>
      </c>
      <c r="F481" s="18" t="s">
        <v>73</v>
      </c>
      <c r="G481" s="18">
        <v>1.0</v>
      </c>
      <c r="H481" s="18" t="s">
        <v>80</v>
      </c>
      <c r="I481" s="18" t="str">
        <f t="shared" si="1"/>
        <v>Overweight</v>
      </c>
    </row>
    <row r="482" ht="15.75" customHeight="1">
      <c r="A482" s="18" t="s">
        <v>1557</v>
      </c>
      <c r="B482" s="18">
        <v>40.28</v>
      </c>
      <c r="C482" s="18">
        <v>8.9</v>
      </c>
      <c r="D482" s="18" t="s">
        <v>73</v>
      </c>
      <c r="E482" s="18" t="s">
        <v>73</v>
      </c>
      <c r="F482" s="18" t="s">
        <v>73</v>
      </c>
      <c r="G482" s="20">
        <v>0.0</v>
      </c>
      <c r="H482" s="18" t="s">
        <v>73</v>
      </c>
      <c r="I482" s="18" t="str">
        <f t="shared" si="1"/>
        <v>Obesity</v>
      </c>
    </row>
    <row r="483" ht="15.75" customHeight="1">
      <c r="A483" s="18" t="s">
        <v>1559</v>
      </c>
      <c r="B483" s="18">
        <v>37.3</v>
      </c>
      <c r="C483" s="18">
        <v>7.79</v>
      </c>
      <c r="D483" s="18" t="s">
        <v>80</v>
      </c>
      <c r="E483" s="18" t="s">
        <v>73</v>
      </c>
      <c r="F483" s="18" t="s">
        <v>73</v>
      </c>
      <c r="G483" s="20">
        <v>0.0</v>
      </c>
      <c r="H483" s="18" t="s">
        <v>73</v>
      </c>
      <c r="I483" s="18" t="str">
        <f t="shared" si="1"/>
        <v>Obesity</v>
      </c>
    </row>
    <row r="484" ht="15.75" customHeight="1">
      <c r="A484" s="18" t="s">
        <v>1562</v>
      </c>
      <c r="B484" s="18">
        <v>54.47</v>
      </c>
      <c r="C484" s="18">
        <v>4.49</v>
      </c>
      <c r="D484" s="18" t="s">
        <v>80</v>
      </c>
      <c r="E484" s="18" t="s">
        <v>73</v>
      </c>
      <c r="F484" s="18" t="s">
        <v>73</v>
      </c>
      <c r="G484" s="18">
        <v>2.0</v>
      </c>
      <c r="H484" s="18" t="s">
        <v>73</v>
      </c>
      <c r="I484" s="18" t="str">
        <f t="shared" si="1"/>
        <v>Obesity</v>
      </c>
    </row>
    <row r="485" ht="15.75" customHeight="1">
      <c r="A485" s="18" t="s">
        <v>1565</v>
      </c>
      <c r="B485" s="18">
        <v>38.06</v>
      </c>
      <c r="C485" s="18">
        <v>5.24</v>
      </c>
      <c r="D485" s="18" t="s">
        <v>80</v>
      </c>
      <c r="E485" s="18" t="s">
        <v>73</v>
      </c>
      <c r="F485" s="18" t="s">
        <v>184</v>
      </c>
      <c r="G485" s="18">
        <v>1.0</v>
      </c>
      <c r="H485" s="18" t="s">
        <v>73</v>
      </c>
      <c r="I485" s="18" t="str">
        <f t="shared" si="1"/>
        <v>Obesity</v>
      </c>
    </row>
    <row r="486" ht="15.75" customHeight="1">
      <c r="A486" s="18" t="s">
        <v>1567</v>
      </c>
      <c r="B486" s="18">
        <v>51.47</v>
      </c>
      <c r="C486" s="18">
        <v>9.6</v>
      </c>
      <c r="D486" s="18" t="s">
        <v>73</v>
      </c>
      <c r="E486" s="18" t="s">
        <v>73</v>
      </c>
      <c r="F486" s="18" t="s">
        <v>73</v>
      </c>
      <c r="G486" s="20">
        <v>0.0</v>
      </c>
      <c r="H486" s="18" t="s">
        <v>73</v>
      </c>
      <c r="I486" s="18" t="str">
        <f t="shared" si="1"/>
        <v>Obesity</v>
      </c>
    </row>
    <row r="487" ht="15.75" customHeight="1">
      <c r="A487" s="18" t="s">
        <v>1569</v>
      </c>
      <c r="B487" s="18">
        <v>29.8</v>
      </c>
      <c r="C487" s="18">
        <v>5.78</v>
      </c>
      <c r="D487" s="18" t="s">
        <v>80</v>
      </c>
      <c r="E487" s="18" t="s">
        <v>73</v>
      </c>
      <c r="F487" s="18" t="s">
        <v>73</v>
      </c>
      <c r="G487" s="20">
        <v>0.0</v>
      </c>
      <c r="H487" s="18" t="s">
        <v>73</v>
      </c>
      <c r="I487" s="18" t="str">
        <f t="shared" si="1"/>
        <v>Overweight</v>
      </c>
    </row>
    <row r="488" ht="15.75" customHeight="1">
      <c r="A488" s="18" t="s">
        <v>1571</v>
      </c>
      <c r="B488" s="18">
        <v>49.77</v>
      </c>
      <c r="C488" s="18">
        <v>7.02</v>
      </c>
      <c r="D488" s="18" t="s">
        <v>73</v>
      </c>
      <c r="E488" s="18" t="s">
        <v>73</v>
      </c>
      <c r="F488" s="18" t="s">
        <v>73</v>
      </c>
      <c r="G488" s="20">
        <v>0.0</v>
      </c>
      <c r="H488" s="18" t="s">
        <v>73</v>
      </c>
      <c r="I488" s="18" t="str">
        <f t="shared" si="1"/>
        <v>Obesity</v>
      </c>
    </row>
    <row r="489" ht="15.75" customHeight="1">
      <c r="A489" s="18" t="s">
        <v>1575</v>
      </c>
      <c r="B489" s="18">
        <v>25.555</v>
      </c>
      <c r="C489" s="18">
        <v>4.09</v>
      </c>
      <c r="D489" s="18" t="s">
        <v>80</v>
      </c>
      <c r="E489" s="18" t="s">
        <v>73</v>
      </c>
      <c r="F489" s="18" t="s">
        <v>73</v>
      </c>
      <c r="G489" s="20">
        <v>0.0</v>
      </c>
      <c r="H489" s="18" t="s">
        <v>80</v>
      </c>
      <c r="I489" s="18" t="str">
        <f t="shared" si="1"/>
        <v>Overweight</v>
      </c>
    </row>
    <row r="490" ht="15.75" customHeight="1">
      <c r="A490" s="18" t="s">
        <v>1578</v>
      </c>
      <c r="B490" s="18">
        <v>29.64</v>
      </c>
      <c r="C490" s="18">
        <v>4.93</v>
      </c>
      <c r="D490" s="18" t="s">
        <v>73</v>
      </c>
      <c r="E490" s="18" t="s">
        <v>73</v>
      </c>
      <c r="F490" s="18" t="s">
        <v>184</v>
      </c>
      <c r="G490" s="18">
        <v>1.0</v>
      </c>
      <c r="H490" s="18" t="s">
        <v>73</v>
      </c>
      <c r="I490" s="18" t="str">
        <f t="shared" si="1"/>
        <v>Overweight</v>
      </c>
    </row>
    <row r="491" ht="15.75" customHeight="1">
      <c r="A491" s="18" t="s">
        <v>1580</v>
      </c>
      <c r="B491" s="18">
        <v>53.93</v>
      </c>
      <c r="C491" s="18">
        <v>5.34</v>
      </c>
      <c r="D491" s="18" t="s">
        <v>80</v>
      </c>
      <c r="E491" s="18" t="s">
        <v>73</v>
      </c>
      <c r="F491" s="18" t="s">
        <v>73</v>
      </c>
      <c r="G491" s="18">
        <v>2.0</v>
      </c>
      <c r="H491" s="18" t="s">
        <v>73</v>
      </c>
      <c r="I491" s="18" t="str">
        <f t="shared" si="1"/>
        <v>Obesity</v>
      </c>
    </row>
    <row r="492" ht="15.75" customHeight="1">
      <c r="A492" s="18" t="s">
        <v>1583</v>
      </c>
      <c r="B492" s="18">
        <v>28.025</v>
      </c>
      <c r="C492" s="18">
        <v>5.65</v>
      </c>
      <c r="D492" s="18" t="s">
        <v>73</v>
      </c>
      <c r="E492" s="18" t="s">
        <v>73</v>
      </c>
      <c r="F492" s="18" t="s">
        <v>73</v>
      </c>
      <c r="G492" s="18">
        <v>1.0</v>
      </c>
      <c r="H492" s="18" t="s">
        <v>80</v>
      </c>
      <c r="I492" s="18" t="str">
        <f t="shared" si="1"/>
        <v>Overweight</v>
      </c>
    </row>
    <row r="493" ht="15.75" customHeight="1">
      <c r="A493" s="18" t="s">
        <v>1586</v>
      </c>
      <c r="B493" s="18">
        <v>27.5</v>
      </c>
      <c r="C493" s="18">
        <v>4.49</v>
      </c>
      <c r="D493" s="18" t="s">
        <v>73</v>
      </c>
      <c r="E493" s="18" t="s">
        <v>73</v>
      </c>
      <c r="F493" s="18" t="s">
        <v>73</v>
      </c>
      <c r="G493" s="20">
        <v>0.0</v>
      </c>
      <c r="H493" s="18" t="s">
        <v>73</v>
      </c>
      <c r="I493" s="18" t="str">
        <f t="shared" si="1"/>
        <v>Overweight</v>
      </c>
    </row>
    <row r="494" ht="15.75" customHeight="1">
      <c r="A494" s="18" t="s">
        <v>1589</v>
      </c>
      <c r="B494" s="18">
        <v>21.8</v>
      </c>
      <c r="C494" s="18">
        <v>10.55</v>
      </c>
      <c r="D494" s="18" t="s">
        <v>73</v>
      </c>
      <c r="E494" s="18" t="s">
        <v>73</v>
      </c>
      <c r="F494" s="18" t="s">
        <v>73</v>
      </c>
      <c r="G494" s="20">
        <v>0.0</v>
      </c>
      <c r="H494" s="18" t="s">
        <v>80</v>
      </c>
      <c r="I494" s="18" t="str">
        <f t="shared" si="1"/>
        <v>Normal Weight</v>
      </c>
    </row>
    <row r="495" ht="15.75" customHeight="1">
      <c r="A495" s="18" t="s">
        <v>1591</v>
      </c>
      <c r="B495" s="18">
        <v>26.41</v>
      </c>
      <c r="C495" s="18">
        <v>4.92</v>
      </c>
      <c r="D495" s="18" t="s">
        <v>80</v>
      </c>
      <c r="E495" s="18" t="s">
        <v>73</v>
      </c>
      <c r="F495" s="18" t="s">
        <v>184</v>
      </c>
      <c r="G495" s="18">
        <v>1.0</v>
      </c>
      <c r="H495" s="18" t="s">
        <v>80</v>
      </c>
      <c r="I495" s="18" t="str">
        <f t="shared" si="1"/>
        <v>Overweight</v>
      </c>
    </row>
    <row r="496" ht="15.75" customHeight="1">
      <c r="A496" s="18" t="s">
        <v>1595</v>
      </c>
      <c r="B496" s="18">
        <v>27.835</v>
      </c>
      <c r="C496" s="18">
        <v>5.9</v>
      </c>
      <c r="D496" s="18" t="s">
        <v>80</v>
      </c>
      <c r="E496" s="18" t="s">
        <v>73</v>
      </c>
      <c r="F496" s="18" t="s">
        <v>73</v>
      </c>
      <c r="G496" s="18">
        <v>1.0</v>
      </c>
      <c r="H496" s="18" t="s">
        <v>80</v>
      </c>
      <c r="I496" s="18" t="str">
        <f t="shared" si="1"/>
        <v>Overweight</v>
      </c>
    </row>
    <row r="497" ht="15.75" customHeight="1">
      <c r="A497" s="18" t="s">
        <v>1597</v>
      </c>
      <c r="B497" s="18">
        <v>51.74</v>
      </c>
      <c r="C497" s="18">
        <v>4.98</v>
      </c>
      <c r="D497" s="18" t="s">
        <v>80</v>
      </c>
      <c r="E497" s="18" t="s">
        <v>73</v>
      </c>
      <c r="F497" s="18" t="s">
        <v>73</v>
      </c>
      <c r="G497" s="18">
        <v>2.0</v>
      </c>
      <c r="H497" s="18" t="s">
        <v>73</v>
      </c>
      <c r="I497" s="18" t="str">
        <f t="shared" si="1"/>
        <v>Obesity</v>
      </c>
    </row>
    <row r="498" ht="15.75" customHeight="1">
      <c r="A498" s="18" t="s">
        <v>1600</v>
      </c>
      <c r="B498" s="18">
        <v>23.37</v>
      </c>
      <c r="C498" s="18">
        <v>5.8</v>
      </c>
      <c r="D498" s="18" t="s">
        <v>73</v>
      </c>
      <c r="E498" s="18" t="s">
        <v>73</v>
      </c>
      <c r="F498" s="18" t="s">
        <v>73</v>
      </c>
      <c r="G498" s="20">
        <v>0.0</v>
      </c>
      <c r="H498" s="18" t="s">
        <v>80</v>
      </c>
      <c r="I498" s="18" t="str">
        <f t="shared" si="1"/>
        <v>Normal Weight</v>
      </c>
    </row>
    <row r="499" ht="15.75" customHeight="1">
      <c r="A499" s="18" t="s">
        <v>1603</v>
      </c>
      <c r="B499" s="18">
        <v>29.7</v>
      </c>
      <c r="C499" s="18">
        <v>6.21</v>
      </c>
      <c r="D499" s="18" t="s">
        <v>80</v>
      </c>
      <c r="E499" s="18" t="s">
        <v>73</v>
      </c>
      <c r="F499" s="18" t="s">
        <v>184</v>
      </c>
      <c r="G499" s="18">
        <v>1.0</v>
      </c>
      <c r="H499" s="18" t="s">
        <v>80</v>
      </c>
      <c r="I499" s="18" t="str">
        <f t="shared" si="1"/>
        <v>Overweight</v>
      </c>
    </row>
    <row r="500" ht="15.75" customHeight="1">
      <c r="A500" s="18" t="s">
        <v>1605</v>
      </c>
      <c r="B500" s="18">
        <v>20.045</v>
      </c>
      <c r="C500" s="18">
        <v>6.17</v>
      </c>
      <c r="D500" s="18" t="s">
        <v>73</v>
      </c>
      <c r="E500" s="18" t="s">
        <v>73</v>
      </c>
      <c r="F500" s="18" t="s">
        <v>184</v>
      </c>
      <c r="G500" s="18">
        <v>1.0</v>
      </c>
      <c r="H500" s="18" t="s">
        <v>80</v>
      </c>
      <c r="I500" s="18" t="str">
        <f t="shared" si="1"/>
        <v>Normal Weight</v>
      </c>
    </row>
    <row r="501" ht="15.75" customHeight="1">
      <c r="A501" s="18" t="s">
        <v>1609</v>
      </c>
      <c r="B501" s="18">
        <v>27.83</v>
      </c>
      <c r="C501" s="18">
        <v>5.36</v>
      </c>
      <c r="D501" s="18" t="s">
        <v>73</v>
      </c>
      <c r="E501" s="18" t="s">
        <v>73</v>
      </c>
      <c r="F501" s="18" t="s">
        <v>73</v>
      </c>
      <c r="G501" s="18">
        <v>2.0</v>
      </c>
      <c r="H501" s="18" t="s">
        <v>73</v>
      </c>
      <c r="I501" s="18" t="str">
        <f t="shared" si="1"/>
        <v>Overweight</v>
      </c>
    </row>
    <row r="502" ht="15.75" customHeight="1">
      <c r="A502" s="18" t="s">
        <v>1611</v>
      </c>
      <c r="B502" s="18">
        <v>28.93</v>
      </c>
      <c r="C502" s="18">
        <v>5.2</v>
      </c>
      <c r="D502" s="18" t="s">
        <v>73</v>
      </c>
      <c r="E502" s="18" t="s">
        <v>73</v>
      </c>
      <c r="F502" s="18" t="s">
        <v>73</v>
      </c>
      <c r="G502" s="20">
        <v>0.0</v>
      </c>
      <c r="H502" s="18" t="s">
        <v>80</v>
      </c>
      <c r="I502" s="18" t="str">
        <f t="shared" si="1"/>
        <v>Overweight</v>
      </c>
    </row>
    <row r="503" ht="15.75" customHeight="1">
      <c r="A503" s="18" t="s">
        <v>1614</v>
      </c>
      <c r="B503" s="18">
        <v>33.82</v>
      </c>
      <c r="C503" s="18">
        <v>5.42</v>
      </c>
      <c r="D503" s="18" t="s">
        <v>73</v>
      </c>
      <c r="E503" s="18" t="s">
        <v>73</v>
      </c>
      <c r="F503" s="18" t="s">
        <v>73</v>
      </c>
      <c r="G503" s="20">
        <v>0.0</v>
      </c>
      <c r="H503" s="18" t="s">
        <v>73</v>
      </c>
      <c r="I503" s="18" t="str">
        <f t="shared" si="1"/>
        <v>Obesity</v>
      </c>
    </row>
    <row r="504" ht="15.75" customHeight="1">
      <c r="A504" s="18" t="s">
        <v>1617</v>
      </c>
      <c r="B504" s="18">
        <v>20.235</v>
      </c>
      <c r="C504" s="18">
        <v>6.84</v>
      </c>
      <c r="D504" s="18" t="s">
        <v>73</v>
      </c>
      <c r="E504" s="18" t="s">
        <v>73</v>
      </c>
      <c r="F504" s="18" t="s">
        <v>73</v>
      </c>
      <c r="G504" s="20">
        <v>0.0</v>
      </c>
      <c r="H504" s="18" t="s">
        <v>80</v>
      </c>
      <c r="I504" s="18" t="str">
        <f t="shared" si="1"/>
        <v>Normal Weight</v>
      </c>
    </row>
    <row r="505" ht="15.75" customHeight="1">
      <c r="A505" s="18" t="s">
        <v>1620</v>
      </c>
      <c r="B505" s="18">
        <v>49.2</v>
      </c>
      <c r="C505" s="18">
        <v>10.9</v>
      </c>
      <c r="D505" s="18" t="s">
        <v>80</v>
      </c>
      <c r="E505" s="18" t="s">
        <v>73</v>
      </c>
      <c r="F505" s="18" t="s">
        <v>184</v>
      </c>
      <c r="G505" s="18">
        <v>1.0</v>
      </c>
      <c r="H505" s="18" t="s">
        <v>73</v>
      </c>
      <c r="I505" s="18" t="str">
        <f t="shared" si="1"/>
        <v>Obesity</v>
      </c>
    </row>
    <row r="506" ht="15.75" customHeight="1">
      <c r="A506" s="18" t="s">
        <v>1624</v>
      </c>
      <c r="B506" s="18">
        <v>26.4</v>
      </c>
      <c r="C506" s="18">
        <v>4.87</v>
      </c>
      <c r="D506" s="18" t="s">
        <v>80</v>
      </c>
      <c r="E506" s="18" t="s">
        <v>73</v>
      </c>
      <c r="F506" s="18" t="s">
        <v>73</v>
      </c>
      <c r="G506" s="20">
        <v>0.0</v>
      </c>
      <c r="H506" s="18" t="s">
        <v>80</v>
      </c>
      <c r="I506" s="18" t="str">
        <f t="shared" si="1"/>
        <v>Overweight</v>
      </c>
    </row>
    <row r="507" ht="15.75" customHeight="1">
      <c r="A507" s="18" t="s">
        <v>1626</v>
      </c>
      <c r="B507" s="18">
        <v>28.38</v>
      </c>
      <c r="C507" s="18">
        <v>6.07</v>
      </c>
      <c r="D507" s="18" t="s">
        <v>73</v>
      </c>
      <c r="E507" s="18" t="s">
        <v>73</v>
      </c>
      <c r="F507" s="18" t="s">
        <v>73</v>
      </c>
      <c r="G507" s="18">
        <v>1.0</v>
      </c>
      <c r="H507" s="18" t="s">
        <v>80</v>
      </c>
      <c r="I507" s="18" t="str">
        <f t="shared" si="1"/>
        <v>Overweight</v>
      </c>
    </row>
    <row r="508" ht="15.75" customHeight="1">
      <c r="A508" s="18" t="s">
        <v>1629</v>
      </c>
      <c r="B508" s="18">
        <v>24.64</v>
      </c>
      <c r="C508" s="18">
        <v>4.33</v>
      </c>
      <c r="D508" s="18" t="s">
        <v>73</v>
      </c>
      <c r="E508" s="18" t="s">
        <v>73</v>
      </c>
      <c r="F508" s="18" t="s">
        <v>73</v>
      </c>
      <c r="G508" s="20">
        <v>0.0</v>
      </c>
      <c r="H508" s="18" t="s">
        <v>80</v>
      </c>
      <c r="I508" s="18" t="str">
        <f t="shared" si="1"/>
        <v>Normal Weight</v>
      </c>
    </row>
    <row r="509" ht="15.75" customHeight="1">
      <c r="A509" s="18" t="s">
        <v>1632</v>
      </c>
      <c r="B509" s="18">
        <v>39.71</v>
      </c>
      <c r="C509" s="18">
        <v>5.83</v>
      </c>
      <c r="D509" s="18" t="s">
        <v>73</v>
      </c>
      <c r="E509" s="18" t="s">
        <v>73</v>
      </c>
      <c r="F509" s="18" t="s">
        <v>73</v>
      </c>
      <c r="G509" s="18">
        <v>1.0</v>
      </c>
      <c r="H509" s="18" t="s">
        <v>73</v>
      </c>
      <c r="I509" s="18" t="str">
        <f t="shared" si="1"/>
        <v>Obesity</v>
      </c>
    </row>
    <row r="510" ht="15.75" customHeight="1">
      <c r="A510" s="18" t="s">
        <v>1636</v>
      </c>
      <c r="B510" s="18">
        <v>22.22</v>
      </c>
      <c r="C510" s="18">
        <v>5.5</v>
      </c>
      <c r="D510" s="18" t="s">
        <v>73</v>
      </c>
      <c r="E510" s="18" t="s">
        <v>73</v>
      </c>
      <c r="F510" s="18" t="s">
        <v>73</v>
      </c>
      <c r="G510" s="20">
        <v>0.0</v>
      </c>
      <c r="H510" s="18" t="s">
        <v>80</v>
      </c>
      <c r="I510" s="18" t="str">
        <f t="shared" si="1"/>
        <v>Normal Weight</v>
      </c>
    </row>
    <row r="511" ht="15.75" customHeight="1">
      <c r="A511" s="18" t="s">
        <v>1639</v>
      </c>
      <c r="B511" s="18">
        <v>33.345</v>
      </c>
      <c r="C511" s="18">
        <v>4.79</v>
      </c>
      <c r="D511" s="18" t="s">
        <v>73</v>
      </c>
      <c r="E511" s="18" t="s">
        <v>73</v>
      </c>
      <c r="F511" s="18" t="s">
        <v>184</v>
      </c>
      <c r="G511" s="18">
        <v>1.0</v>
      </c>
      <c r="H511" s="18" t="s">
        <v>73</v>
      </c>
      <c r="I511" s="18" t="str">
        <f t="shared" si="1"/>
        <v>Obesity</v>
      </c>
    </row>
    <row r="512" ht="15.75" customHeight="1">
      <c r="A512" s="18" t="s">
        <v>1643</v>
      </c>
      <c r="B512" s="18">
        <v>24.42</v>
      </c>
      <c r="C512" s="18">
        <v>5.81</v>
      </c>
      <c r="D512" s="18" t="s">
        <v>73</v>
      </c>
      <c r="E512" s="18" t="s">
        <v>73</v>
      </c>
      <c r="F512" s="18" t="s">
        <v>73</v>
      </c>
      <c r="G512" s="18">
        <v>1.0</v>
      </c>
      <c r="H512" s="18" t="s">
        <v>80</v>
      </c>
      <c r="I512" s="18" t="str">
        <f t="shared" si="1"/>
        <v>Normal Weight</v>
      </c>
    </row>
    <row r="513" ht="15.75" customHeight="1">
      <c r="A513" s="18" t="s">
        <v>1645</v>
      </c>
      <c r="B513" s="18">
        <v>29.81</v>
      </c>
      <c r="C513" s="18">
        <v>5.58</v>
      </c>
      <c r="D513" s="18" t="s">
        <v>73</v>
      </c>
      <c r="E513" s="18" t="s">
        <v>73</v>
      </c>
      <c r="F513" s="18" t="s">
        <v>73</v>
      </c>
      <c r="G513" s="20">
        <v>0.0</v>
      </c>
      <c r="H513" s="18" t="s">
        <v>80</v>
      </c>
      <c r="I513" s="18" t="str">
        <f t="shared" si="1"/>
        <v>Overweight</v>
      </c>
    </row>
    <row r="514" ht="15.75" customHeight="1">
      <c r="A514" s="18" t="s">
        <v>1648</v>
      </c>
      <c r="B514" s="18">
        <v>51.18</v>
      </c>
      <c r="C514" s="18">
        <v>4.4</v>
      </c>
      <c r="D514" s="18" t="s">
        <v>80</v>
      </c>
      <c r="E514" s="18" t="s">
        <v>73</v>
      </c>
      <c r="F514" s="18" t="s">
        <v>73</v>
      </c>
      <c r="G514" s="18">
        <v>2.0</v>
      </c>
      <c r="H514" s="18" t="s">
        <v>73</v>
      </c>
      <c r="I514" s="18" t="str">
        <f t="shared" si="1"/>
        <v>Obesity</v>
      </c>
    </row>
    <row r="515" ht="15.75" customHeight="1">
      <c r="A515" s="18" t="s">
        <v>1652</v>
      </c>
      <c r="B515" s="18">
        <v>51.37</v>
      </c>
      <c r="C515" s="18">
        <v>8.18</v>
      </c>
      <c r="D515" s="18" t="s">
        <v>80</v>
      </c>
      <c r="E515" s="18" t="s">
        <v>73</v>
      </c>
      <c r="F515" s="18" t="s">
        <v>73</v>
      </c>
      <c r="G515" s="20">
        <v>0.0</v>
      </c>
      <c r="H515" s="18" t="s">
        <v>73</v>
      </c>
      <c r="I515" s="18" t="str">
        <f t="shared" si="1"/>
        <v>Obesity</v>
      </c>
    </row>
    <row r="516" ht="15.75" customHeight="1">
      <c r="A516" s="18" t="s">
        <v>1655</v>
      </c>
      <c r="B516" s="18">
        <v>36.19</v>
      </c>
      <c r="C516" s="18">
        <v>5.52</v>
      </c>
      <c r="D516" s="18" t="s">
        <v>80</v>
      </c>
      <c r="E516" s="18" t="s">
        <v>73</v>
      </c>
      <c r="F516" s="18" t="s">
        <v>73</v>
      </c>
      <c r="G516" s="20">
        <v>0.0</v>
      </c>
      <c r="H516" s="18" t="s">
        <v>73</v>
      </c>
      <c r="I516" s="18" t="str">
        <f t="shared" si="1"/>
        <v>Obesity</v>
      </c>
    </row>
    <row r="517" ht="15.75" customHeight="1">
      <c r="A517" s="18" t="s">
        <v>1659</v>
      </c>
      <c r="B517" s="18">
        <v>25.9</v>
      </c>
      <c r="C517" s="18">
        <v>4.84</v>
      </c>
      <c r="D517" s="18" t="s">
        <v>73</v>
      </c>
      <c r="E517" s="18" t="s">
        <v>73</v>
      </c>
      <c r="F517" s="18" t="s">
        <v>73</v>
      </c>
      <c r="G517" s="20">
        <v>0.0</v>
      </c>
      <c r="H517" s="18" t="s">
        <v>80</v>
      </c>
      <c r="I517" s="18" t="str">
        <f t="shared" si="1"/>
        <v>Overweight</v>
      </c>
    </row>
    <row r="518" ht="15.75" customHeight="1">
      <c r="A518" s="18" t="s">
        <v>1661</v>
      </c>
      <c r="B518" s="18">
        <v>35.72</v>
      </c>
      <c r="C518" s="18">
        <v>4.08</v>
      </c>
      <c r="D518" s="18" t="s">
        <v>73</v>
      </c>
      <c r="E518" s="18" t="s">
        <v>73</v>
      </c>
      <c r="F518" s="18" t="s">
        <v>184</v>
      </c>
      <c r="G518" s="18">
        <v>1.0</v>
      </c>
      <c r="H518" s="18" t="s">
        <v>73</v>
      </c>
      <c r="I518" s="18" t="str">
        <f t="shared" si="1"/>
        <v>Obesity</v>
      </c>
    </row>
    <row r="519" ht="15.75" customHeight="1">
      <c r="A519" s="18" t="s">
        <v>1663</v>
      </c>
      <c r="B519" s="18">
        <v>27.94</v>
      </c>
      <c r="C519" s="18">
        <v>4.48</v>
      </c>
      <c r="D519" s="18" t="s">
        <v>73</v>
      </c>
      <c r="E519" s="18" t="s">
        <v>73</v>
      </c>
      <c r="F519" s="18" t="s">
        <v>184</v>
      </c>
      <c r="G519" s="18">
        <v>1.0</v>
      </c>
      <c r="H519" s="18" t="s">
        <v>80</v>
      </c>
      <c r="I519" s="18" t="str">
        <f t="shared" si="1"/>
        <v>Overweight</v>
      </c>
    </row>
    <row r="520" ht="15.75" customHeight="1">
      <c r="A520" s="18" t="s">
        <v>1666</v>
      </c>
      <c r="B520" s="18">
        <v>27.1</v>
      </c>
      <c r="C520" s="18">
        <v>5.73</v>
      </c>
      <c r="D520" s="18" t="s">
        <v>73</v>
      </c>
      <c r="E520" s="18" t="s">
        <v>73</v>
      </c>
      <c r="F520" s="18" t="s">
        <v>73</v>
      </c>
      <c r="G520" s="20">
        <v>0.0</v>
      </c>
      <c r="H520" s="18" t="s">
        <v>80</v>
      </c>
      <c r="I520" s="18" t="str">
        <f t="shared" si="1"/>
        <v>Overweight</v>
      </c>
    </row>
    <row r="521" ht="15.75" customHeight="1">
      <c r="A521" s="18" t="s">
        <v>1668</v>
      </c>
      <c r="B521" s="18">
        <v>18.3</v>
      </c>
      <c r="C521" s="18">
        <v>5.46</v>
      </c>
      <c r="D521" s="18" t="s">
        <v>80</v>
      </c>
      <c r="E521" s="18" t="s">
        <v>73</v>
      </c>
      <c r="F521" s="18" t="s">
        <v>184</v>
      </c>
      <c r="G521" s="18">
        <v>1.0</v>
      </c>
      <c r="H521" s="18" t="s">
        <v>80</v>
      </c>
      <c r="I521" s="18" t="str">
        <f t="shared" si="1"/>
        <v>Underweight</v>
      </c>
    </row>
    <row r="522" ht="15.75" customHeight="1">
      <c r="A522" s="18" t="s">
        <v>1672</v>
      </c>
      <c r="B522" s="18">
        <v>25.3</v>
      </c>
      <c r="C522" s="18">
        <v>5.02</v>
      </c>
      <c r="D522" s="18" t="s">
        <v>80</v>
      </c>
      <c r="E522" s="18" t="s">
        <v>73</v>
      </c>
      <c r="F522" s="18" t="s">
        <v>73</v>
      </c>
      <c r="G522" s="18">
        <v>1.0</v>
      </c>
      <c r="H522" s="18" t="s">
        <v>80</v>
      </c>
      <c r="I522" s="18" t="str">
        <f t="shared" si="1"/>
        <v>Overweight</v>
      </c>
    </row>
    <row r="523" ht="15.75" customHeight="1">
      <c r="A523" s="18" t="s">
        <v>1675</v>
      </c>
      <c r="B523" s="18">
        <v>38.83</v>
      </c>
      <c r="C523" s="18">
        <v>6.36</v>
      </c>
      <c r="D523" s="18" t="s">
        <v>73</v>
      </c>
      <c r="E523" s="18" t="s">
        <v>73</v>
      </c>
      <c r="F523" s="18" t="s">
        <v>73</v>
      </c>
      <c r="G523" s="18">
        <v>1.0</v>
      </c>
      <c r="H523" s="18" t="s">
        <v>73</v>
      </c>
      <c r="I523" s="18" t="str">
        <f t="shared" si="1"/>
        <v>Obesity</v>
      </c>
    </row>
    <row r="524" ht="15.75" customHeight="1">
      <c r="A524" s="18" t="s">
        <v>1679</v>
      </c>
      <c r="B524" s="18">
        <v>27.6</v>
      </c>
      <c r="C524" s="18">
        <v>5.36</v>
      </c>
      <c r="D524" s="18" t="s">
        <v>73</v>
      </c>
      <c r="E524" s="18" t="s">
        <v>73</v>
      </c>
      <c r="F524" s="18" t="s">
        <v>73</v>
      </c>
      <c r="G524" s="18">
        <v>1.0</v>
      </c>
      <c r="H524" s="18" t="s">
        <v>73</v>
      </c>
      <c r="I524" s="18" t="str">
        <f t="shared" si="1"/>
        <v>Overweight</v>
      </c>
    </row>
    <row r="525" ht="15.75" customHeight="1">
      <c r="A525" s="18" t="s">
        <v>1683</v>
      </c>
      <c r="B525" s="18">
        <v>46.4</v>
      </c>
      <c r="C525" s="18">
        <v>8.37</v>
      </c>
      <c r="D525" s="18" t="s">
        <v>80</v>
      </c>
      <c r="E525" s="18" t="s">
        <v>73</v>
      </c>
      <c r="F525" s="18" t="s">
        <v>184</v>
      </c>
      <c r="G525" s="18">
        <v>1.0</v>
      </c>
      <c r="H525" s="18" t="s">
        <v>73</v>
      </c>
      <c r="I525" s="18" t="str">
        <f t="shared" si="1"/>
        <v>Obesity</v>
      </c>
    </row>
    <row r="526" ht="15.75" customHeight="1">
      <c r="A526" s="18" t="s">
        <v>1686</v>
      </c>
      <c r="B526" s="18">
        <v>51.92</v>
      </c>
      <c r="C526" s="18">
        <v>5.18</v>
      </c>
      <c r="D526" s="18" t="s">
        <v>80</v>
      </c>
      <c r="E526" s="18" t="s">
        <v>73</v>
      </c>
      <c r="F526" s="18" t="s">
        <v>184</v>
      </c>
      <c r="G526" s="18">
        <v>1.0</v>
      </c>
      <c r="H526" s="18" t="s">
        <v>73</v>
      </c>
      <c r="I526" s="18" t="str">
        <f t="shared" si="1"/>
        <v>Obesity</v>
      </c>
    </row>
    <row r="527" ht="15.75" customHeight="1">
      <c r="A527" s="18" t="s">
        <v>1689</v>
      </c>
      <c r="B527" s="18">
        <v>32.395</v>
      </c>
      <c r="C527" s="18">
        <v>5.68</v>
      </c>
      <c r="D527" s="18" t="s">
        <v>80</v>
      </c>
      <c r="E527" s="18" t="s">
        <v>73</v>
      </c>
      <c r="F527" s="18" t="s">
        <v>73</v>
      </c>
      <c r="G527" s="18">
        <v>1.0</v>
      </c>
      <c r="H527" s="18" t="s">
        <v>73</v>
      </c>
      <c r="I527" s="18" t="str">
        <f t="shared" si="1"/>
        <v>Obesity</v>
      </c>
    </row>
    <row r="528" ht="15.75" customHeight="1">
      <c r="A528" s="18" t="s">
        <v>1692</v>
      </c>
      <c r="B528" s="18">
        <v>46.19</v>
      </c>
      <c r="C528" s="18">
        <v>7.31</v>
      </c>
      <c r="D528" s="18" t="s">
        <v>80</v>
      </c>
      <c r="E528" s="18" t="s">
        <v>73</v>
      </c>
      <c r="F528" s="18" t="s">
        <v>184</v>
      </c>
      <c r="G528" s="18">
        <v>1.0</v>
      </c>
      <c r="H528" s="18" t="s">
        <v>73</v>
      </c>
      <c r="I528" s="18" t="str">
        <f t="shared" si="1"/>
        <v>Obesity</v>
      </c>
    </row>
    <row r="529" ht="15.75" customHeight="1">
      <c r="A529" s="18" t="s">
        <v>1695</v>
      </c>
      <c r="B529" s="18">
        <v>27.93</v>
      </c>
      <c r="C529" s="18">
        <v>4.67</v>
      </c>
      <c r="D529" s="18" t="s">
        <v>73</v>
      </c>
      <c r="E529" s="18" t="s">
        <v>73</v>
      </c>
      <c r="F529" s="18" t="s">
        <v>184</v>
      </c>
      <c r="G529" s="18">
        <v>1.0</v>
      </c>
      <c r="H529" s="18" t="s">
        <v>73</v>
      </c>
      <c r="I529" s="18" t="str">
        <f t="shared" si="1"/>
        <v>Overweight</v>
      </c>
    </row>
    <row r="530" ht="15.75" customHeight="1">
      <c r="A530" s="18" t="s">
        <v>1697</v>
      </c>
      <c r="B530" s="18">
        <v>45.62</v>
      </c>
      <c r="C530" s="18">
        <v>6.87</v>
      </c>
      <c r="D530" s="18" t="s">
        <v>73</v>
      </c>
      <c r="E530" s="18" t="s">
        <v>73</v>
      </c>
      <c r="F530" s="18" t="s">
        <v>73</v>
      </c>
      <c r="G530" s="20">
        <v>0.0</v>
      </c>
      <c r="H530" s="18" t="s">
        <v>73</v>
      </c>
      <c r="I530" s="18" t="str">
        <f t="shared" si="1"/>
        <v>Obesity</v>
      </c>
    </row>
    <row r="531" ht="15.75" customHeight="1">
      <c r="A531" s="18" t="s">
        <v>1700</v>
      </c>
      <c r="B531" s="18">
        <v>35.31</v>
      </c>
      <c r="C531" s="18">
        <v>5.87</v>
      </c>
      <c r="D531" s="18" t="s">
        <v>73</v>
      </c>
      <c r="E531" s="18" t="s">
        <v>73</v>
      </c>
      <c r="F531" s="18" t="s">
        <v>184</v>
      </c>
      <c r="G531" s="18">
        <v>1.0</v>
      </c>
      <c r="H531" s="18" t="s">
        <v>73</v>
      </c>
      <c r="I531" s="18" t="str">
        <f t="shared" si="1"/>
        <v>Obesity</v>
      </c>
    </row>
    <row r="532" ht="15.75" customHeight="1">
      <c r="A532" s="18" t="s">
        <v>1703</v>
      </c>
      <c r="B532" s="18">
        <v>30.4</v>
      </c>
      <c r="C532" s="18">
        <v>4.07</v>
      </c>
      <c r="D532" s="18" t="s">
        <v>80</v>
      </c>
      <c r="E532" s="18" t="s">
        <v>73</v>
      </c>
      <c r="F532" s="18" t="s">
        <v>73</v>
      </c>
      <c r="G532" s="18">
        <v>1.0</v>
      </c>
      <c r="H532" s="18" t="s">
        <v>73</v>
      </c>
      <c r="I532" s="18" t="str">
        <f t="shared" si="1"/>
        <v>Obesity</v>
      </c>
    </row>
    <row r="533" ht="15.75" customHeight="1">
      <c r="A533" s="18" t="s">
        <v>1706</v>
      </c>
      <c r="B533" s="18">
        <v>20.13</v>
      </c>
      <c r="C533" s="18">
        <v>6.47</v>
      </c>
      <c r="D533" s="18" t="s">
        <v>73</v>
      </c>
      <c r="E533" s="18" t="s">
        <v>73</v>
      </c>
      <c r="F533" s="18" t="s">
        <v>184</v>
      </c>
      <c r="G533" s="18">
        <v>1.0</v>
      </c>
      <c r="H533" s="18" t="s">
        <v>80</v>
      </c>
      <c r="I533" s="18" t="str">
        <f t="shared" si="1"/>
        <v>Normal Weight</v>
      </c>
    </row>
    <row r="534" ht="15.75" customHeight="1">
      <c r="A534" s="18" t="s">
        <v>1709</v>
      </c>
      <c r="B534" s="18">
        <v>23.655</v>
      </c>
      <c r="C534" s="18">
        <v>5.14</v>
      </c>
      <c r="D534" s="18" t="s">
        <v>73</v>
      </c>
      <c r="E534" s="18" t="s">
        <v>73</v>
      </c>
      <c r="F534" s="18" t="s">
        <v>73</v>
      </c>
      <c r="G534" s="18">
        <v>1.0</v>
      </c>
      <c r="H534" s="18" t="s">
        <v>80</v>
      </c>
      <c r="I534" s="18" t="str">
        <f t="shared" si="1"/>
        <v>Normal Weight</v>
      </c>
    </row>
    <row r="535" ht="15.75" customHeight="1">
      <c r="A535" s="18" t="s">
        <v>1712</v>
      </c>
      <c r="B535" s="18">
        <v>49.05</v>
      </c>
      <c r="C535" s="18">
        <v>9.77</v>
      </c>
      <c r="D535" s="18" t="s">
        <v>80</v>
      </c>
      <c r="E535" s="18" t="s">
        <v>73</v>
      </c>
      <c r="F535" s="18" t="s">
        <v>73</v>
      </c>
      <c r="G535" s="20">
        <v>0.0</v>
      </c>
      <c r="H535" s="18" t="s">
        <v>73</v>
      </c>
      <c r="I535" s="18" t="str">
        <f t="shared" si="1"/>
        <v>Obesity</v>
      </c>
    </row>
    <row r="536" ht="15.75" customHeight="1">
      <c r="A536" s="18" t="s">
        <v>1714</v>
      </c>
      <c r="B536" s="18">
        <v>51.94</v>
      </c>
      <c r="C536" s="18">
        <v>8.8</v>
      </c>
      <c r="D536" s="18" t="s">
        <v>80</v>
      </c>
      <c r="E536" s="18" t="s">
        <v>73</v>
      </c>
      <c r="F536" s="18" t="s">
        <v>73</v>
      </c>
      <c r="G536" s="18">
        <v>2.0</v>
      </c>
      <c r="H536" s="18" t="s">
        <v>73</v>
      </c>
      <c r="I536" s="18" t="str">
        <f t="shared" si="1"/>
        <v>Obesity</v>
      </c>
    </row>
    <row r="537" ht="15.75" customHeight="1">
      <c r="A537" s="18" t="s">
        <v>1718</v>
      </c>
      <c r="B537" s="18">
        <v>29.83</v>
      </c>
      <c r="C537" s="18">
        <v>5.84</v>
      </c>
      <c r="D537" s="18" t="s">
        <v>73</v>
      </c>
      <c r="E537" s="18" t="s">
        <v>73</v>
      </c>
      <c r="F537" s="18" t="s">
        <v>73</v>
      </c>
      <c r="G537" s="18">
        <v>1.0</v>
      </c>
      <c r="H537" s="18" t="s">
        <v>80</v>
      </c>
      <c r="I537" s="18" t="str">
        <f t="shared" si="1"/>
        <v>Overweight</v>
      </c>
    </row>
    <row r="538" ht="15.75" customHeight="1">
      <c r="A538" s="18" t="s">
        <v>1720</v>
      </c>
      <c r="B538" s="18">
        <v>22.6</v>
      </c>
      <c r="C538" s="18">
        <v>10.43</v>
      </c>
      <c r="D538" s="18" t="s">
        <v>80</v>
      </c>
      <c r="E538" s="18" t="s">
        <v>73</v>
      </c>
      <c r="F538" s="18" t="s">
        <v>73</v>
      </c>
      <c r="G538" s="18">
        <v>1.0</v>
      </c>
      <c r="H538" s="18" t="s">
        <v>80</v>
      </c>
      <c r="I538" s="18" t="str">
        <f t="shared" si="1"/>
        <v>Normal Weight</v>
      </c>
    </row>
    <row r="539" ht="15.75" customHeight="1">
      <c r="A539" s="18" t="s">
        <v>1723</v>
      </c>
      <c r="B539" s="18">
        <v>46.69</v>
      </c>
      <c r="C539" s="18">
        <v>4.25</v>
      </c>
      <c r="D539" s="18" t="s">
        <v>80</v>
      </c>
      <c r="E539" s="18" t="s">
        <v>73</v>
      </c>
      <c r="F539" s="18" t="s">
        <v>73</v>
      </c>
      <c r="G539" s="18">
        <v>1.0</v>
      </c>
      <c r="H539" s="18" t="s">
        <v>73</v>
      </c>
      <c r="I539" s="18" t="str">
        <f t="shared" si="1"/>
        <v>Obesity</v>
      </c>
    </row>
    <row r="540" ht="15.75" customHeight="1">
      <c r="A540" s="18" t="s">
        <v>1726</v>
      </c>
      <c r="B540" s="18">
        <v>28.49</v>
      </c>
      <c r="C540" s="18">
        <v>4.89</v>
      </c>
      <c r="D540" s="18" t="s">
        <v>73</v>
      </c>
      <c r="E540" s="18" t="s">
        <v>73</v>
      </c>
      <c r="F540" s="18" t="s">
        <v>73</v>
      </c>
      <c r="G540" s="20">
        <v>0.0</v>
      </c>
      <c r="H540" s="18" t="s">
        <v>80</v>
      </c>
      <c r="I540" s="18" t="str">
        <f t="shared" si="1"/>
        <v>Overweight</v>
      </c>
    </row>
    <row r="541" ht="15.75" customHeight="1">
      <c r="A541" s="18" t="s">
        <v>1728</v>
      </c>
      <c r="B541" s="18">
        <v>28.5</v>
      </c>
      <c r="C541" s="18">
        <v>5.55</v>
      </c>
      <c r="D541" s="18" t="s">
        <v>80</v>
      </c>
      <c r="E541" s="18" t="s">
        <v>73</v>
      </c>
      <c r="F541" s="18" t="s">
        <v>73</v>
      </c>
      <c r="G541" s="18">
        <v>1.0</v>
      </c>
      <c r="H541" s="18" t="s">
        <v>80</v>
      </c>
      <c r="I541" s="18" t="str">
        <f t="shared" si="1"/>
        <v>Overweight</v>
      </c>
    </row>
    <row r="542" ht="15.75" customHeight="1">
      <c r="A542" s="18" t="s">
        <v>1729</v>
      </c>
      <c r="B542" s="18">
        <v>24.4</v>
      </c>
      <c r="C542" s="18">
        <v>4.52</v>
      </c>
      <c r="D542" s="18" t="s">
        <v>73</v>
      </c>
      <c r="E542" s="18" t="s">
        <v>73</v>
      </c>
      <c r="F542" s="18" t="s">
        <v>73</v>
      </c>
      <c r="G542" s="18">
        <v>1.0</v>
      </c>
      <c r="H542" s="18" t="s">
        <v>80</v>
      </c>
      <c r="I542" s="18" t="str">
        <f t="shared" si="1"/>
        <v>Normal Weight</v>
      </c>
    </row>
    <row r="543" ht="15.75" customHeight="1">
      <c r="A543" s="18" t="s">
        <v>1733</v>
      </c>
      <c r="B543" s="18">
        <v>29.15</v>
      </c>
      <c r="C543" s="18">
        <v>4.45</v>
      </c>
      <c r="D543" s="18" t="s">
        <v>80</v>
      </c>
      <c r="E543" s="18" t="s">
        <v>73</v>
      </c>
      <c r="F543" s="18" t="s">
        <v>73</v>
      </c>
      <c r="G543" s="18">
        <v>1.0</v>
      </c>
      <c r="H543" s="18" t="s">
        <v>80</v>
      </c>
      <c r="I543" s="18" t="str">
        <f t="shared" si="1"/>
        <v>Overweight</v>
      </c>
    </row>
    <row r="544" ht="15.75" customHeight="1">
      <c r="A544" s="18" t="s">
        <v>1736</v>
      </c>
      <c r="B544" s="18">
        <v>27.28</v>
      </c>
      <c r="C544" s="18">
        <v>4.72</v>
      </c>
      <c r="D544" s="18" t="s">
        <v>73</v>
      </c>
      <c r="E544" s="18" t="s">
        <v>80</v>
      </c>
      <c r="F544" s="18" t="s">
        <v>73</v>
      </c>
      <c r="G544" s="18">
        <v>1.0</v>
      </c>
      <c r="H544" s="18" t="s">
        <v>80</v>
      </c>
      <c r="I544" s="18" t="str">
        <f t="shared" si="1"/>
        <v>Overweight</v>
      </c>
    </row>
    <row r="545" ht="15.75" customHeight="1">
      <c r="A545" s="18" t="s">
        <v>1738</v>
      </c>
      <c r="B545" s="18">
        <v>32.23</v>
      </c>
      <c r="C545" s="18">
        <v>4.65</v>
      </c>
      <c r="D545" s="18" t="s">
        <v>80</v>
      </c>
      <c r="E545" s="18" t="s">
        <v>73</v>
      </c>
      <c r="F545" s="18" t="s">
        <v>184</v>
      </c>
      <c r="G545" s="18">
        <v>1.0</v>
      </c>
      <c r="H545" s="18" t="s">
        <v>73</v>
      </c>
      <c r="I545" s="18" t="str">
        <f t="shared" si="1"/>
        <v>Obesity</v>
      </c>
    </row>
    <row r="546" ht="15.75" customHeight="1">
      <c r="A546" s="18" t="s">
        <v>1742</v>
      </c>
      <c r="B546" s="18">
        <v>44.2</v>
      </c>
      <c r="C546" s="18">
        <v>11.34</v>
      </c>
      <c r="D546" s="18" t="s">
        <v>80</v>
      </c>
      <c r="E546" s="18" t="s">
        <v>73</v>
      </c>
      <c r="F546" s="18" t="s">
        <v>184</v>
      </c>
      <c r="G546" s="18">
        <v>1.0</v>
      </c>
      <c r="H546" s="18" t="s">
        <v>73</v>
      </c>
      <c r="I546" s="18" t="str">
        <f t="shared" si="1"/>
        <v>Obesity</v>
      </c>
    </row>
    <row r="547" ht="15.75" customHeight="1">
      <c r="A547" s="18" t="s">
        <v>1745</v>
      </c>
      <c r="B547" s="18">
        <v>29.735</v>
      </c>
      <c r="C547" s="18">
        <v>4.53</v>
      </c>
      <c r="D547" s="18" t="s">
        <v>73</v>
      </c>
      <c r="E547" s="18" t="s">
        <v>73</v>
      </c>
      <c r="F547" s="18" t="s">
        <v>184</v>
      </c>
      <c r="G547" s="18">
        <v>1.0</v>
      </c>
      <c r="H547" s="18" t="s">
        <v>73</v>
      </c>
      <c r="I547" s="18" t="str">
        <f t="shared" si="1"/>
        <v>Overweight</v>
      </c>
    </row>
    <row r="548" ht="15.75" customHeight="1">
      <c r="A548" s="18" t="s">
        <v>1747</v>
      </c>
      <c r="B548" s="18">
        <v>28.31</v>
      </c>
      <c r="C548" s="18">
        <v>6.35</v>
      </c>
      <c r="D548" s="18" t="s">
        <v>73</v>
      </c>
      <c r="E548" s="18" t="s">
        <v>73</v>
      </c>
      <c r="F548" s="18" t="s">
        <v>73</v>
      </c>
      <c r="G548" s="20">
        <v>0.0</v>
      </c>
      <c r="H548" s="18" t="s">
        <v>80</v>
      </c>
      <c r="I548" s="18" t="str">
        <f t="shared" si="1"/>
        <v>Overweight</v>
      </c>
    </row>
    <row r="549" ht="15.75" customHeight="1">
      <c r="A549" s="18" t="s">
        <v>1750</v>
      </c>
      <c r="B549" s="18">
        <v>46.62</v>
      </c>
      <c r="C549" s="18">
        <v>8.51</v>
      </c>
      <c r="D549" s="18" t="s">
        <v>73</v>
      </c>
      <c r="E549" s="18" t="s">
        <v>73</v>
      </c>
      <c r="F549" s="18" t="s">
        <v>73</v>
      </c>
      <c r="G549" s="20">
        <v>0.0</v>
      </c>
      <c r="H549" s="18" t="s">
        <v>73</v>
      </c>
      <c r="I549" s="18" t="str">
        <f t="shared" si="1"/>
        <v>Obesity</v>
      </c>
    </row>
    <row r="550" ht="15.75" customHeight="1">
      <c r="A550" s="18" t="s">
        <v>1754</v>
      </c>
      <c r="B550" s="18">
        <v>51.75</v>
      </c>
      <c r="C550" s="18">
        <v>8.59</v>
      </c>
      <c r="D550" s="18" t="s">
        <v>80</v>
      </c>
      <c r="E550" s="18" t="s">
        <v>73</v>
      </c>
      <c r="F550" s="18" t="s">
        <v>73</v>
      </c>
      <c r="G550" s="18">
        <v>1.0</v>
      </c>
      <c r="H550" s="18" t="s">
        <v>73</v>
      </c>
      <c r="I550" s="18" t="str">
        <f t="shared" si="1"/>
        <v>Obesity</v>
      </c>
    </row>
    <row r="551" ht="15.75" customHeight="1">
      <c r="A551" s="18" t="s">
        <v>1757</v>
      </c>
      <c r="B551" s="18">
        <v>25.7</v>
      </c>
      <c r="C551" s="18">
        <v>4.13</v>
      </c>
      <c r="D551" s="18" t="s">
        <v>80</v>
      </c>
      <c r="E551" s="18" t="s">
        <v>73</v>
      </c>
      <c r="F551" s="18" t="s">
        <v>73</v>
      </c>
      <c r="G551" s="20">
        <v>0.0</v>
      </c>
      <c r="H551" s="18" t="s">
        <v>80</v>
      </c>
      <c r="I551" s="18" t="str">
        <f t="shared" si="1"/>
        <v>Overweight</v>
      </c>
    </row>
    <row r="552" ht="15.75" customHeight="1">
      <c r="A552" s="18" t="s">
        <v>1760</v>
      </c>
      <c r="B552" s="18">
        <v>31.79</v>
      </c>
      <c r="C552" s="18">
        <v>4.55</v>
      </c>
      <c r="D552" s="18" t="s">
        <v>73</v>
      </c>
      <c r="E552" s="18" t="s">
        <v>73</v>
      </c>
      <c r="F552" s="18" t="s">
        <v>73</v>
      </c>
      <c r="G552" s="20">
        <v>0.0</v>
      </c>
      <c r="H552" s="18" t="s">
        <v>73</v>
      </c>
      <c r="I552" s="18" t="str">
        <f t="shared" si="1"/>
        <v>Obesity</v>
      </c>
    </row>
    <row r="553" ht="15.75" customHeight="1">
      <c r="A553" s="18" t="s">
        <v>1763</v>
      </c>
      <c r="B553" s="18">
        <v>24.795</v>
      </c>
      <c r="C553" s="18">
        <v>4.52</v>
      </c>
      <c r="D553" s="18" t="s">
        <v>73</v>
      </c>
      <c r="E553" s="18" t="s">
        <v>73</v>
      </c>
      <c r="F553" s="18" t="s">
        <v>73</v>
      </c>
      <c r="G553" s="20">
        <v>0.0</v>
      </c>
      <c r="H553" s="18" t="s">
        <v>80</v>
      </c>
      <c r="I553" s="18" t="str">
        <f t="shared" si="1"/>
        <v>Normal Weight</v>
      </c>
    </row>
    <row r="554" ht="15.75" customHeight="1">
      <c r="A554" s="18" t="s">
        <v>1765</v>
      </c>
      <c r="B554" s="18">
        <v>53.98</v>
      </c>
      <c r="C554" s="18">
        <v>5.07</v>
      </c>
      <c r="D554" s="18" t="s">
        <v>73</v>
      </c>
      <c r="E554" s="18" t="s">
        <v>73</v>
      </c>
      <c r="F554" s="18" t="s">
        <v>184</v>
      </c>
      <c r="G554" s="18">
        <v>1.0</v>
      </c>
      <c r="H554" s="18" t="s">
        <v>73</v>
      </c>
      <c r="I554" s="18" t="str">
        <f t="shared" si="1"/>
        <v>Obesity</v>
      </c>
    </row>
    <row r="555" ht="15.75" customHeight="1">
      <c r="A555" s="18" t="s">
        <v>1768</v>
      </c>
      <c r="B555" s="18">
        <v>41.325</v>
      </c>
      <c r="C555" s="18">
        <v>4.04</v>
      </c>
      <c r="D555" s="18" t="s">
        <v>80</v>
      </c>
      <c r="E555" s="18" t="s">
        <v>73</v>
      </c>
      <c r="F555" s="18" t="s">
        <v>184</v>
      </c>
      <c r="G555" s="18">
        <v>1.0</v>
      </c>
      <c r="H555" s="18" t="s">
        <v>73</v>
      </c>
      <c r="I555" s="18" t="str">
        <f t="shared" si="1"/>
        <v>Obesity</v>
      </c>
    </row>
    <row r="556" ht="15.75" customHeight="1">
      <c r="A556" s="18" t="s">
        <v>1771</v>
      </c>
      <c r="B556" s="18">
        <v>51.65</v>
      </c>
      <c r="C556" s="18">
        <v>5.3</v>
      </c>
      <c r="D556" s="18" t="s">
        <v>80</v>
      </c>
      <c r="E556" s="18" t="s">
        <v>73</v>
      </c>
      <c r="F556" s="18" t="s">
        <v>73</v>
      </c>
      <c r="G556" s="20">
        <v>0.0</v>
      </c>
      <c r="H556" s="18" t="s">
        <v>73</v>
      </c>
      <c r="I556" s="18" t="str">
        <f t="shared" si="1"/>
        <v>Obesity</v>
      </c>
    </row>
    <row r="557" ht="15.75" customHeight="1">
      <c r="A557" s="18" t="s">
        <v>1774</v>
      </c>
      <c r="B557" s="18">
        <v>44.52</v>
      </c>
      <c r="C557" s="18">
        <v>8.64</v>
      </c>
      <c r="D557" s="18" t="s">
        <v>80</v>
      </c>
      <c r="E557" s="18" t="s">
        <v>73</v>
      </c>
      <c r="F557" s="18" t="s">
        <v>184</v>
      </c>
      <c r="G557" s="18">
        <v>1.0</v>
      </c>
      <c r="H557" s="18" t="s">
        <v>73</v>
      </c>
      <c r="I557" s="18" t="str">
        <f t="shared" si="1"/>
        <v>Obesity</v>
      </c>
    </row>
    <row r="558" ht="15.75" customHeight="1">
      <c r="A558" s="18" t="s">
        <v>1777</v>
      </c>
      <c r="B558" s="18">
        <v>53.29</v>
      </c>
      <c r="C558" s="18">
        <v>4.03</v>
      </c>
      <c r="D558" s="18" t="s">
        <v>73</v>
      </c>
      <c r="E558" s="18" t="s">
        <v>73</v>
      </c>
      <c r="F558" s="18" t="s">
        <v>184</v>
      </c>
      <c r="G558" s="18">
        <v>1.0</v>
      </c>
      <c r="H558" s="18" t="s">
        <v>73</v>
      </c>
      <c r="I558" s="18" t="str">
        <f t="shared" si="1"/>
        <v>Obesity</v>
      </c>
    </row>
    <row r="559" ht="15.75" customHeight="1">
      <c r="A559" s="18" t="s">
        <v>1780</v>
      </c>
      <c r="B559" s="18">
        <v>46.63</v>
      </c>
      <c r="C559" s="18">
        <v>4.26</v>
      </c>
      <c r="D559" s="18" t="s">
        <v>80</v>
      </c>
      <c r="E559" s="18" t="s">
        <v>73</v>
      </c>
      <c r="F559" s="18" t="s">
        <v>73</v>
      </c>
      <c r="G559" s="18">
        <v>2.0</v>
      </c>
      <c r="H559" s="18" t="s">
        <v>73</v>
      </c>
      <c r="I559" s="18" t="str">
        <f t="shared" si="1"/>
        <v>Obesity</v>
      </c>
    </row>
    <row r="560" ht="15.75" customHeight="1">
      <c r="A560" s="18" t="s">
        <v>1783</v>
      </c>
      <c r="B560" s="18">
        <v>28.88</v>
      </c>
      <c r="C560" s="18">
        <v>5.35</v>
      </c>
      <c r="D560" s="18" t="s">
        <v>73</v>
      </c>
      <c r="E560" s="18" t="s">
        <v>73</v>
      </c>
      <c r="F560" s="18" t="s">
        <v>184</v>
      </c>
      <c r="G560" s="18">
        <v>1.0</v>
      </c>
      <c r="H560" s="18" t="s">
        <v>80</v>
      </c>
      <c r="I560" s="18" t="str">
        <f t="shared" si="1"/>
        <v>Overweight</v>
      </c>
    </row>
    <row r="561" ht="15.75" customHeight="1">
      <c r="A561" s="18" t="s">
        <v>1786</v>
      </c>
      <c r="B561" s="18">
        <v>23.98</v>
      </c>
      <c r="C561" s="18">
        <v>4.9</v>
      </c>
      <c r="D561" s="18" t="s">
        <v>73</v>
      </c>
      <c r="E561" s="18" t="s">
        <v>73</v>
      </c>
      <c r="F561" s="18" t="s">
        <v>73</v>
      </c>
      <c r="G561" s="20">
        <v>0.0</v>
      </c>
      <c r="H561" s="18" t="s">
        <v>3549</v>
      </c>
      <c r="I561" s="18" t="str">
        <f t="shared" si="1"/>
        <v>Normal Weight</v>
      </c>
    </row>
    <row r="562" ht="15.75" customHeight="1">
      <c r="A562" s="18" t="s">
        <v>1789</v>
      </c>
      <c r="B562" s="18">
        <v>23.65</v>
      </c>
      <c r="C562" s="18">
        <v>4.5</v>
      </c>
      <c r="D562" s="18" t="s">
        <v>73</v>
      </c>
      <c r="E562" s="18" t="s">
        <v>73</v>
      </c>
      <c r="F562" s="18" t="s">
        <v>73</v>
      </c>
      <c r="G562" s="20">
        <v>0.0</v>
      </c>
      <c r="H562" s="18" t="s">
        <v>73</v>
      </c>
      <c r="I562" s="18" t="str">
        <f t="shared" si="1"/>
        <v>Normal Weight</v>
      </c>
    </row>
    <row r="563" ht="15.75" customHeight="1">
      <c r="A563" s="18" t="s">
        <v>1792</v>
      </c>
      <c r="B563" s="18">
        <v>49.09</v>
      </c>
      <c r="C563" s="18">
        <v>8.38</v>
      </c>
      <c r="D563" s="18" t="s">
        <v>80</v>
      </c>
      <c r="E563" s="18" t="s">
        <v>73</v>
      </c>
      <c r="F563" s="18" t="s">
        <v>73</v>
      </c>
      <c r="G563" s="18">
        <v>2.0</v>
      </c>
      <c r="H563" s="18" t="s">
        <v>73</v>
      </c>
      <c r="I563" s="18" t="str">
        <f t="shared" si="1"/>
        <v>Obesity</v>
      </c>
    </row>
    <row r="564" ht="15.75" customHeight="1">
      <c r="A564" s="18" t="s">
        <v>1796</v>
      </c>
      <c r="B564" s="18">
        <v>28.025</v>
      </c>
      <c r="C564" s="18">
        <v>7.03</v>
      </c>
      <c r="D564" s="18" t="s">
        <v>73</v>
      </c>
      <c r="E564" s="18" t="s">
        <v>73</v>
      </c>
      <c r="F564" s="18" t="s">
        <v>73</v>
      </c>
      <c r="G564" s="20">
        <v>0.0</v>
      </c>
      <c r="H564" s="18" t="s">
        <v>80</v>
      </c>
      <c r="I564" s="18" t="str">
        <f t="shared" si="1"/>
        <v>Overweight</v>
      </c>
    </row>
    <row r="565" ht="15.75" customHeight="1">
      <c r="A565" s="18" t="s">
        <v>1799</v>
      </c>
      <c r="B565" s="18">
        <v>43.32</v>
      </c>
      <c r="C565" s="18">
        <v>8.75</v>
      </c>
      <c r="D565" s="18" t="s">
        <v>80</v>
      </c>
      <c r="E565" s="18" t="s">
        <v>73</v>
      </c>
      <c r="F565" s="18" t="s">
        <v>184</v>
      </c>
      <c r="G565" s="18">
        <v>1.0</v>
      </c>
      <c r="H565" s="18" t="s">
        <v>73</v>
      </c>
      <c r="I565" s="18" t="str">
        <f t="shared" si="1"/>
        <v>Obesity</v>
      </c>
    </row>
    <row r="566" ht="15.75" customHeight="1">
      <c r="A566" s="18" t="s">
        <v>1802</v>
      </c>
      <c r="B566" s="18">
        <v>45.92</v>
      </c>
      <c r="C566" s="18">
        <v>9.51</v>
      </c>
      <c r="D566" s="18" t="s">
        <v>73</v>
      </c>
      <c r="E566" s="18" t="s">
        <v>73</v>
      </c>
      <c r="F566" s="18" t="s">
        <v>73</v>
      </c>
      <c r="G566" s="20">
        <v>0.0</v>
      </c>
      <c r="H566" s="18" t="s">
        <v>73</v>
      </c>
      <c r="I566" s="18" t="str">
        <f t="shared" si="1"/>
        <v>Obesity</v>
      </c>
    </row>
    <row r="567" ht="15.75" customHeight="1">
      <c r="A567" s="18" t="s">
        <v>1805</v>
      </c>
      <c r="B567" s="18">
        <v>44.03</v>
      </c>
      <c r="C567" s="18">
        <v>9.36</v>
      </c>
      <c r="D567" s="18" t="s">
        <v>73</v>
      </c>
      <c r="E567" s="18" t="s">
        <v>73</v>
      </c>
      <c r="F567" s="18" t="s">
        <v>73</v>
      </c>
      <c r="G567" s="20">
        <v>0.0</v>
      </c>
      <c r="H567" s="18" t="s">
        <v>73</v>
      </c>
      <c r="I567" s="18" t="str">
        <f t="shared" si="1"/>
        <v>Obesity</v>
      </c>
    </row>
    <row r="568" ht="15.75" customHeight="1">
      <c r="A568" s="18" t="s">
        <v>1808</v>
      </c>
      <c r="B568" s="18">
        <v>24.6</v>
      </c>
      <c r="C568" s="18">
        <v>4.81</v>
      </c>
      <c r="D568" s="18" t="s">
        <v>73</v>
      </c>
      <c r="E568" s="18" t="s">
        <v>73</v>
      </c>
      <c r="F568" s="18" t="s">
        <v>73</v>
      </c>
      <c r="G568" s="20">
        <v>0.0</v>
      </c>
      <c r="H568" s="18" t="s">
        <v>80</v>
      </c>
      <c r="I568" s="18" t="str">
        <f t="shared" si="1"/>
        <v>Normal Weight</v>
      </c>
    </row>
    <row r="569" ht="15.75" customHeight="1">
      <c r="A569" s="18" t="s">
        <v>1811</v>
      </c>
      <c r="B569" s="18">
        <v>49.15</v>
      </c>
      <c r="C569" s="18">
        <v>8.08</v>
      </c>
      <c r="D569" s="18" t="s">
        <v>73</v>
      </c>
      <c r="E569" s="18" t="s">
        <v>73</v>
      </c>
      <c r="F569" s="18" t="s">
        <v>73</v>
      </c>
      <c r="G569" s="20">
        <v>0.0</v>
      </c>
      <c r="H569" s="18" t="s">
        <v>73</v>
      </c>
      <c r="I569" s="18" t="str">
        <f t="shared" si="1"/>
        <v>Obesity</v>
      </c>
    </row>
    <row r="570" ht="15.75" customHeight="1">
      <c r="A570" s="18" t="s">
        <v>1815</v>
      </c>
      <c r="B570" s="18">
        <v>28.31</v>
      </c>
      <c r="C570" s="18">
        <v>6.29</v>
      </c>
      <c r="D570" s="18" t="s">
        <v>73</v>
      </c>
      <c r="E570" s="18" t="s">
        <v>73</v>
      </c>
      <c r="F570" s="18" t="s">
        <v>184</v>
      </c>
      <c r="G570" s="18">
        <v>1.0</v>
      </c>
      <c r="H570" s="18" t="s">
        <v>80</v>
      </c>
      <c r="I570" s="18" t="str">
        <f t="shared" si="1"/>
        <v>Overweight</v>
      </c>
    </row>
    <row r="571" ht="15.75" customHeight="1">
      <c r="A571" s="18" t="s">
        <v>1818</v>
      </c>
      <c r="B571" s="18">
        <v>22.99</v>
      </c>
      <c r="C571" s="18">
        <v>6.29</v>
      </c>
      <c r="D571" s="18" t="s">
        <v>73</v>
      </c>
      <c r="E571" s="18" t="s">
        <v>73</v>
      </c>
      <c r="F571" s="18" t="s">
        <v>73</v>
      </c>
      <c r="G571" s="18">
        <v>1.0</v>
      </c>
      <c r="H571" s="18" t="s">
        <v>80</v>
      </c>
      <c r="I571" s="18" t="str">
        <f t="shared" si="1"/>
        <v>Normal Weight</v>
      </c>
    </row>
    <row r="572" ht="15.75" customHeight="1">
      <c r="A572" s="18" t="s">
        <v>1821</v>
      </c>
      <c r="B572" s="18">
        <v>29.07</v>
      </c>
      <c r="C572" s="18">
        <v>5.12</v>
      </c>
      <c r="D572" s="18" t="s">
        <v>73</v>
      </c>
      <c r="E572" s="18" t="s">
        <v>73</v>
      </c>
      <c r="F572" s="18" t="s">
        <v>184</v>
      </c>
      <c r="G572" s="18">
        <v>1.0</v>
      </c>
      <c r="H572" s="18" t="s">
        <v>80</v>
      </c>
      <c r="I572" s="18" t="str">
        <f t="shared" si="1"/>
        <v>Overweight</v>
      </c>
    </row>
    <row r="573" ht="15.75" customHeight="1">
      <c r="A573" s="18" t="s">
        <v>1825</v>
      </c>
      <c r="B573" s="18">
        <v>42.02</v>
      </c>
      <c r="C573" s="18">
        <v>9.95</v>
      </c>
      <c r="D573" s="18" t="s">
        <v>80</v>
      </c>
      <c r="E573" s="18" t="s">
        <v>73</v>
      </c>
      <c r="F573" s="18" t="s">
        <v>184</v>
      </c>
      <c r="G573" s="18">
        <v>1.0</v>
      </c>
      <c r="H573" s="18" t="s">
        <v>73</v>
      </c>
      <c r="I573" s="18" t="str">
        <f t="shared" si="1"/>
        <v>Obesity</v>
      </c>
    </row>
    <row r="574" ht="15.75" customHeight="1">
      <c r="A574" s="18" t="s">
        <v>1827</v>
      </c>
      <c r="B574" s="18">
        <v>49.07</v>
      </c>
      <c r="C574" s="18">
        <v>9.08</v>
      </c>
      <c r="D574" s="18" t="s">
        <v>80</v>
      </c>
      <c r="E574" s="18" t="s">
        <v>73</v>
      </c>
      <c r="F574" s="18" t="s">
        <v>73</v>
      </c>
      <c r="G574" s="18">
        <v>1.0</v>
      </c>
      <c r="H574" s="18" t="s">
        <v>73</v>
      </c>
      <c r="I574" s="18" t="str">
        <f t="shared" si="1"/>
        <v>Obesity</v>
      </c>
    </row>
    <row r="575" ht="15.75" customHeight="1">
      <c r="A575" s="18" t="s">
        <v>1830</v>
      </c>
      <c r="B575" s="18">
        <v>19.8</v>
      </c>
      <c r="C575" s="18">
        <v>4.82</v>
      </c>
      <c r="D575" s="18" t="s">
        <v>73</v>
      </c>
      <c r="E575" s="18" t="s">
        <v>73</v>
      </c>
      <c r="F575" s="18" t="s">
        <v>73</v>
      </c>
      <c r="G575" s="20">
        <v>0.0</v>
      </c>
      <c r="H575" s="18" t="s">
        <v>80</v>
      </c>
      <c r="I575" s="18" t="str">
        <f t="shared" si="1"/>
        <v>Normal Weight</v>
      </c>
    </row>
    <row r="576" ht="15.75" customHeight="1">
      <c r="A576" s="18" t="s">
        <v>1834</v>
      </c>
      <c r="B576" s="18">
        <v>27.36</v>
      </c>
      <c r="C576" s="18">
        <v>4.65</v>
      </c>
      <c r="D576" s="18" t="s">
        <v>73</v>
      </c>
      <c r="E576" s="18" t="s">
        <v>80</v>
      </c>
      <c r="F576" s="18" t="s">
        <v>73</v>
      </c>
      <c r="G576" s="18">
        <v>1.0</v>
      </c>
      <c r="H576" s="18" t="s">
        <v>80</v>
      </c>
      <c r="I576" s="18" t="str">
        <f t="shared" si="1"/>
        <v>Overweight</v>
      </c>
    </row>
    <row r="577" ht="15.75" customHeight="1">
      <c r="A577" s="18" t="s">
        <v>1837</v>
      </c>
      <c r="B577" s="18">
        <v>42.95</v>
      </c>
      <c r="C577" s="18">
        <v>5.16</v>
      </c>
      <c r="D577" s="18" t="s">
        <v>80</v>
      </c>
      <c r="E577" s="18" t="s">
        <v>73</v>
      </c>
      <c r="F577" s="18" t="s">
        <v>73</v>
      </c>
      <c r="G577" s="18">
        <v>1.0</v>
      </c>
      <c r="H577" s="18" t="s">
        <v>73</v>
      </c>
      <c r="I577" s="18" t="str">
        <f t="shared" si="1"/>
        <v>Obesity</v>
      </c>
    </row>
    <row r="578" ht="15.75" customHeight="1">
      <c r="A578" s="18" t="s">
        <v>1840</v>
      </c>
      <c r="B578" s="18">
        <v>42.66</v>
      </c>
      <c r="C578" s="18">
        <v>10.44</v>
      </c>
      <c r="D578" s="18" t="s">
        <v>73</v>
      </c>
      <c r="E578" s="18" t="s">
        <v>73</v>
      </c>
      <c r="F578" s="18" t="s">
        <v>73</v>
      </c>
      <c r="G578" s="20">
        <v>0.0</v>
      </c>
      <c r="H578" s="18" t="s">
        <v>73</v>
      </c>
      <c r="I578" s="18" t="str">
        <f t="shared" si="1"/>
        <v>Obesity</v>
      </c>
    </row>
    <row r="579" ht="15.75" customHeight="1">
      <c r="A579" s="18" t="s">
        <v>1843</v>
      </c>
      <c r="B579" s="18">
        <v>33.63</v>
      </c>
      <c r="C579" s="18">
        <v>5.69</v>
      </c>
      <c r="D579" s="18" t="s">
        <v>73</v>
      </c>
      <c r="E579" s="18" t="s">
        <v>73</v>
      </c>
      <c r="F579" s="18" t="s">
        <v>73</v>
      </c>
      <c r="G579" s="18">
        <v>1.0</v>
      </c>
      <c r="H579" s="18" t="s">
        <v>73</v>
      </c>
      <c r="I579" s="18" t="str">
        <f t="shared" si="1"/>
        <v>Obesity</v>
      </c>
    </row>
    <row r="580" ht="15.75" customHeight="1">
      <c r="A580" s="18" t="s">
        <v>1846</v>
      </c>
      <c r="B580" s="18">
        <v>26.84</v>
      </c>
      <c r="C580" s="18">
        <v>6.5</v>
      </c>
      <c r="D580" s="18" t="s">
        <v>73</v>
      </c>
      <c r="E580" s="18" t="s">
        <v>73</v>
      </c>
      <c r="F580" s="18" t="s">
        <v>73</v>
      </c>
      <c r="G580" s="20">
        <v>0.0</v>
      </c>
      <c r="H580" s="18" t="s">
        <v>80</v>
      </c>
      <c r="I580" s="18" t="str">
        <f t="shared" si="1"/>
        <v>Overweight</v>
      </c>
    </row>
    <row r="581" ht="15.75" customHeight="1">
      <c r="A581" s="18" t="s">
        <v>1850</v>
      </c>
      <c r="B581" s="18">
        <v>28.3</v>
      </c>
      <c r="C581" s="18">
        <v>5.73</v>
      </c>
      <c r="D581" s="18" t="s">
        <v>73</v>
      </c>
      <c r="E581" s="18" t="s">
        <v>73</v>
      </c>
      <c r="F581" s="18" t="s">
        <v>184</v>
      </c>
      <c r="G581" s="18">
        <v>1.0</v>
      </c>
      <c r="H581" s="18" t="s">
        <v>80</v>
      </c>
      <c r="I581" s="18" t="str">
        <f t="shared" si="1"/>
        <v>Overweight</v>
      </c>
    </row>
    <row r="582" ht="15.75" customHeight="1">
      <c r="A582" s="18" t="s">
        <v>1853</v>
      </c>
      <c r="B582" s="18">
        <v>27.06</v>
      </c>
      <c r="C582" s="18">
        <v>5.74</v>
      </c>
      <c r="D582" s="18" t="s">
        <v>80</v>
      </c>
      <c r="E582" s="18" t="s">
        <v>73</v>
      </c>
      <c r="F582" s="18" t="s">
        <v>73</v>
      </c>
      <c r="G582" s="20">
        <v>0.0</v>
      </c>
      <c r="H582" s="18" t="s">
        <v>80</v>
      </c>
      <c r="I582" s="18" t="str">
        <f t="shared" si="1"/>
        <v>Overweight</v>
      </c>
    </row>
    <row r="583" ht="15.75" customHeight="1">
      <c r="A583" s="18" t="s">
        <v>1856</v>
      </c>
      <c r="B583" s="18">
        <v>47.13</v>
      </c>
      <c r="C583" s="18">
        <v>8.7</v>
      </c>
      <c r="D583" s="18" t="s">
        <v>73</v>
      </c>
      <c r="E583" s="18" t="s">
        <v>73</v>
      </c>
      <c r="F583" s="18" t="s">
        <v>73</v>
      </c>
      <c r="G583" s="20">
        <v>0.0</v>
      </c>
      <c r="H583" s="18" t="s">
        <v>73</v>
      </c>
      <c r="I583" s="18" t="str">
        <f t="shared" si="1"/>
        <v>Obesity</v>
      </c>
    </row>
    <row r="584" ht="15.75" customHeight="1">
      <c r="A584" s="18" t="s">
        <v>1858</v>
      </c>
      <c r="B584" s="18">
        <v>51.72</v>
      </c>
      <c r="C584" s="18">
        <v>5.09</v>
      </c>
      <c r="D584" s="18" t="s">
        <v>73</v>
      </c>
      <c r="E584" s="18" t="s">
        <v>73</v>
      </c>
      <c r="F584" s="18" t="s">
        <v>73</v>
      </c>
      <c r="G584" s="20">
        <v>0.0</v>
      </c>
      <c r="H584" s="18" t="s">
        <v>73</v>
      </c>
      <c r="I584" s="18" t="str">
        <f t="shared" si="1"/>
        <v>Obesity</v>
      </c>
    </row>
    <row r="585" ht="15.75" customHeight="1">
      <c r="A585" s="18" t="s">
        <v>1861</v>
      </c>
      <c r="B585" s="18">
        <v>48.59</v>
      </c>
      <c r="C585" s="18">
        <v>5.57</v>
      </c>
      <c r="D585" s="18" t="s">
        <v>73</v>
      </c>
      <c r="E585" s="18" t="s">
        <v>73</v>
      </c>
      <c r="F585" s="18" t="s">
        <v>73</v>
      </c>
      <c r="G585" s="20">
        <v>0.0</v>
      </c>
      <c r="H585" s="18" t="s">
        <v>73</v>
      </c>
      <c r="I585" s="18" t="str">
        <f t="shared" si="1"/>
        <v>Obesity</v>
      </c>
    </row>
    <row r="586" ht="15.75" customHeight="1">
      <c r="A586" s="18" t="s">
        <v>1864</v>
      </c>
      <c r="B586" s="18">
        <v>45.18</v>
      </c>
      <c r="C586" s="18">
        <v>10.87</v>
      </c>
      <c r="D586" s="18" t="s">
        <v>73</v>
      </c>
      <c r="E586" s="18" t="s">
        <v>73</v>
      </c>
      <c r="F586" s="18" t="s">
        <v>73</v>
      </c>
      <c r="G586" s="20">
        <v>0.0</v>
      </c>
      <c r="H586" s="18" t="s">
        <v>73</v>
      </c>
      <c r="I586" s="18" t="str">
        <f t="shared" si="1"/>
        <v>Obesity</v>
      </c>
    </row>
    <row r="587" ht="15.75" customHeight="1">
      <c r="A587" s="18" t="s">
        <v>1867</v>
      </c>
      <c r="B587" s="18">
        <v>27.9</v>
      </c>
      <c r="C587" s="18">
        <v>6.02</v>
      </c>
      <c r="D587" s="18" t="s">
        <v>73</v>
      </c>
      <c r="E587" s="18" t="s">
        <v>73</v>
      </c>
      <c r="F587" s="18" t="s">
        <v>184</v>
      </c>
      <c r="G587" s="18">
        <v>1.0</v>
      </c>
      <c r="H587" s="18" t="s">
        <v>80</v>
      </c>
      <c r="I587" s="18" t="str">
        <f t="shared" si="1"/>
        <v>Overweight</v>
      </c>
    </row>
    <row r="588" ht="15.75" customHeight="1">
      <c r="A588" s="18" t="s">
        <v>1869</v>
      </c>
      <c r="B588" s="18">
        <v>51.33</v>
      </c>
      <c r="C588" s="18">
        <v>7.0</v>
      </c>
      <c r="D588" s="18" t="s">
        <v>73</v>
      </c>
      <c r="E588" s="18" t="s">
        <v>73</v>
      </c>
      <c r="F588" s="18" t="s">
        <v>73</v>
      </c>
      <c r="G588" s="20">
        <v>0.0</v>
      </c>
      <c r="H588" s="18" t="s">
        <v>73</v>
      </c>
      <c r="I588" s="18" t="str">
        <f t="shared" si="1"/>
        <v>Obesity</v>
      </c>
    </row>
    <row r="589" ht="15.75" customHeight="1">
      <c r="A589" s="18" t="s">
        <v>1873</v>
      </c>
      <c r="B589" s="18">
        <v>30.59</v>
      </c>
      <c r="C589" s="18">
        <v>5.56</v>
      </c>
      <c r="D589" s="18" t="s">
        <v>80</v>
      </c>
      <c r="E589" s="18" t="s">
        <v>73</v>
      </c>
      <c r="F589" s="18" t="s">
        <v>73</v>
      </c>
      <c r="G589" s="18">
        <v>1.0</v>
      </c>
      <c r="H589" s="18" t="s">
        <v>73</v>
      </c>
      <c r="I589" s="18" t="str">
        <f t="shared" si="1"/>
        <v>Obesity</v>
      </c>
    </row>
    <row r="590" ht="15.75" customHeight="1">
      <c r="A590" s="18" t="s">
        <v>1876</v>
      </c>
      <c r="B590" s="18">
        <v>39.23</v>
      </c>
      <c r="C590" s="18">
        <v>8.45</v>
      </c>
      <c r="D590" s="18" t="s">
        <v>73</v>
      </c>
      <c r="E590" s="18" t="s">
        <v>73</v>
      </c>
      <c r="F590" s="18" t="s">
        <v>73</v>
      </c>
      <c r="G590" s="20">
        <v>0.0</v>
      </c>
      <c r="H590" s="18" t="s">
        <v>73</v>
      </c>
      <c r="I590" s="18" t="str">
        <f t="shared" si="1"/>
        <v>Obesity</v>
      </c>
    </row>
    <row r="591" ht="15.75" customHeight="1">
      <c r="A591" s="18" t="s">
        <v>1877</v>
      </c>
      <c r="B591" s="18">
        <v>19.095</v>
      </c>
      <c r="C591" s="18">
        <v>6.19</v>
      </c>
      <c r="D591" s="18" t="s">
        <v>73</v>
      </c>
      <c r="E591" s="18" t="s">
        <v>73</v>
      </c>
      <c r="F591" s="18" t="s">
        <v>73</v>
      </c>
      <c r="G591" s="20">
        <v>0.0</v>
      </c>
      <c r="H591" s="18" t="s">
        <v>80</v>
      </c>
      <c r="I591" s="18" t="str">
        <f t="shared" si="1"/>
        <v>Normal Weight</v>
      </c>
    </row>
    <row r="592" ht="15.75" customHeight="1">
      <c r="A592" s="18" t="s">
        <v>1881</v>
      </c>
      <c r="B592" s="18">
        <v>49.72</v>
      </c>
      <c r="C592" s="18">
        <v>7.71</v>
      </c>
      <c r="D592" s="18" t="s">
        <v>73</v>
      </c>
      <c r="E592" s="18" t="s">
        <v>73</v>
      </c>
      <c r="F592" s="18" t="s">
        <v>73</v>
      </c>
      <c r="G592" s="20">
        <v>0.0</v>
      </c>
      <c r="H592" s="18" t="s">
        <v>73</v>
      </c>
      <c r="I592" s="18" t="str">
        <f t="shared" si="1"/>
        <v>Obesity</v>
      </c>
    </row>
    <row r="593" ht="15.75" customHeight="1">
      <c r="A593" s="18" t="s">
        <v>1883</v>
      </c>
      <c r="B593" s="18">
        <v>21.755</v>
      </c>
      <c r="C593" s="18">
        <v>4.63</v>
      </c>
      <c r="D593" s="18" t="s">
        <v>73</v>
      </c>
      <c r="E593" s="18" t="s">
        <v>73</v>
      </c>
      <c r="F593" s="18" t="s">
        <v>184</v>
      </c>
      <c r="G593" s="18">
        <v>1.0</v>
      </c>
      <c r="H593" s="18" t="s">
        <v>80</v>
      </c>
      <c r="I593" s="18" t="str">
        <f t="shared" si="1"/>
        <v>Normal Weight</v>
      </c>
    </row>
    <row r="594" ht="15.75" customHeight="1">
      <c r="A594" s="18" t="s">
        <v>1885</v>
      </c>
      <c r="B594" s="18">
        <v>48.39</v>
      </c>
      <c r="C594" s="18">
        <v>4.61</v>
      </c>
      <c r="D594" s="18" t="s">
        <v>73</v>
      </c>
      <c r="E594" s="18" t="s">
        <v>73</v>
      </c>
      <c r="F594" s="18" t="s">
        <v>73</v>
      </c>
      <c r="G594" s="20">
        <v>0.0</v>
      </c>
      <c r="H594" s="18" t="s">
        <v>73</v>
      </c>
      <c r="I594" s="18" t="str">
        <f t="shared" si="1"/>
        <v>Obesity</v>
      </c>
    </row>
    <row r="595" ht="15.75" customHeight="1">
      <c r="A595" s="18" t="s">
        <v>1889</v>
      </c>
      <c r="B595" s="18">
        <v>47.15</v>
      </c>
      <c r="C595" s="18">
        <v>9.53</v>
      </c>
      <c r="D595" s="18" t="s">
        <v>80</v>
      </c>
      <c r="E595" s="18" t="s">
        <v>73</v>
      </c>
      <c r="F595" s="18" t="s">
        <v>73</v>
      </c>
      <c r="G595" s="18">
        <v>1.0</v>
      </c>
      <c r="H595" s="18" t="s">
        <v>73</v>
      </c>
      <c r="I595" s="18" t="str">
        <f t="shared" si="1"/>
        <v>Obesity</v>
      </c>
    </row>
    <row r="596" ht="15.75" customHeight="1">
      <c r="A596" s="18" t="s">
        <v>1892</v>
      </c>
      <c r="B596" s="18">
        <v>47.59</v>
      </c>
      <c r="C596" s="18">
        <v>11.43</v>
      </c>
      <c r="D596" s="18" t="s">
        <v>80</v>
      </c>
      <c r="E596" s="18" t="s">
        <v>73</v>
      </c>
      <c r="F596" s="18" t="s">
        <v>73</v>
      </c>
      <c r="G596" s="18">
        <v>2.0</v>
      </c>
      <c r="H596" s="18" t="s">
        <v>73</v>
      </c>
      <c r="I596" s="18" t="str">
        <f t="shared" si="1"/>
        <v>Obesity</v>
      </c>
    </row>
    <row r="597" ht="15.75" customHeight="1">
      <c r="A597" s="18" t="s">
        <v>1895</v>
      </c>
      <c r="B597" s="18">
        <v>39.81</v>
      </c>
      <c r="C597" s="18">
        <v>7.65</v>
      </c>
      <c r="D597" s="18" t="s">
        <v>80</v>
      </c>
      <c r="E597" s="18" t="s">
        <v>73</v>
      </c>
      <c r="F597" s="18" t="s">
        <v>184</v>
      </c>
      <c r="G597" s="18">
        <v>1.0</v>
      </c>
      <c r="H597" s="18" t="s">
        <v>73</v>
      </c>
      <c r="I597" s="18" t="str">
        <f t="shared" si="1"/>
        <v>Obesity</v>
      </c>
    </row>
    <row r="598" ht="15.75" customHeight="1">
      <c r="A598" s="18" t="s">
        <v>1899</v>
      </c>
      <c r="B598" s="18">
        <v>31.02</v>
      </c>
      <c r="C598" s="18">
        <v>5.87</v>
      </c>
      <c r="D598" s="18" t="s">
        <v>80</v>
      </c>
      <c r="E598" s="18" t="s">
        <v>73</v>
      </c>
      <c r="F598" s="18" t="s">
        <v>73</v>
      </c>
      <c r="G598" s="20">
        <v>0.0</v>
      </c>
      <c r="H598" s="18" t="s">
        <v>73</v>
      </c>
      <c r="I598" s="18" t="str">
        <f t="shared" si="1"/>
        <v>Obesity</v>
      </c>
    </row>
    <row r="599" ht="15.75" customHeight="1">
      <c r="A599" s="18" t="s">
        <v>1902</v>
      </c>
      <c r="B599" s="18">
        <v>24.75</v>
      </c>
      <c r="C599" s="18">
        <v>4.36</v>
      </c>
      <c r="D599" s="18" t="s">
        <v>80</v>
      </c>
      <c r="E599" s="18" t="s">
        <v>73</v>
      </c>
      <c r="F599" s="18" t="s">
        <v>73</v>
      </c>
      <c r="G599" s="18">
        <v>1.0</v>
      </c>
      <c r="H599" s="18" t="s">
        <v>80</v>
      </c>
      <c r="I599" s="18" t="str">
        <f t="shared" si="1"/>
        <v>Normal Weight</v>
      </c>
    </row>
    <row r="600" ht="15.75" customHeight="1">
      <c r="A600" s="18" t="s">
        <v>1905</v>
      </c>
      <c r="B600" s="18">
        <v>30.115</v>
      </c>
      <c r="C600" s="18">
        <v>10.12</v>
      </c>
      <c r="D600" s="18" t="s">
        <v>73</v>
      </c>
      <c r="E600" s="18" t="s">
        <v>73</v>
      </c>
      <c r="F600" s="18" t="s">
        <v>73</v>
      </c>
      <c r="G600" s="18">
        <v>3.0</v>
      </c>
      <c r="H600" s="18" t="s">
        <v>73</v>
      </c>
      <c r="I600" s="18" t="str">
        <f t="shared" si="1"/>
        <v>Obesity</v>
      </c>
    </row>
    <row r="601" ht="15.75" customHeight="1">
      <c r="A601" s="18" t="s">
        <v>1908</v>
      </c>
      <c r="B601" s="18">
        <v>26.03</v>
      </c>
      <c r="C601" s="18">
        <v>4.01</v>
      </c>
      <c r="D601" s="18" t="s">
        <v>73</v>
      </c>
      <c r="E601" s="18" t="s">
        <v>73</v>
      </c>
      <c r="F601" s="18" t="s">
        <v>184</v>
      </c>
      <c r="G601" s="18">
        <v>1.0</v>
      </c>
      <c r="H601" s="18" t="s">
        <v>80</v>
      </c>
      <c r="I601" s="18" t="str">
        <f t="shared" si="1"/>
        <v>Overweight</v>
      </c>
    </row>
    <row r="602" ht="15.75" customHeight="1">
      <c r="A602" s="18" t="s">
        <v>1912</v>
      </c>
      <c r="B602" s="18">
        <v>20.045</v>
      </c>
      <c r="C602" s="18">
        <v>4.77</v>
      </c>
      <c r="D602" s="18" t="s">
        <v>80</v>
      </c>
      <c r="E602" s="18" t="s">
        <v>73</v>
      </c>
      <c r="F602" s="18" t="s">
        <v>73</v>
      </c>
      <c r="G602" s="18">
        <v>1.0</v>
      </c>
      <c r="H602" s="18" t="s">
        <v>80</v>
      </c>
      <c r="I602" s="18" t="str">
        <f t="shared" si="1"/>
        <v>Normal Weight</v>
      </c>
    </row>
    <row r="603" ht="15.75" customHeight="1">
      <c r="A603" s="18" t="s">
        <v>1915</v>
      </c>
      <c r="B603" s="18">
        <v>40.24</v>
      </c>
      <c r="C603" s="18">
        <v>6.83</v>
      </c>
      <c r="D603" s="18" t="s">
        <v>73</v>
      </c>
      <c r="E603" s="18" t="s">
        <v>73</v>
      </c>
      <c r="F603" s="18" t="s">
        <v>73</v>
      </c>
      <c r="G603" s="20">
        <v>0.0</v>
      </c>
      <c r="H603" s="18" t="s">
        <v>73</v>
      </c>
      <c r="I603" s="18" t="str">
        <f t="shared" si="1"/>
        <v>Obesity</v>
      </c>
    </row>
    <row r="604" ht="15.75" customHeight="1">
      <c r="A604" s="18" t="s">
        <v>1916</v>
      </c>
      <c r="B604" s="18">
        <v>43.15</v>
      </c>
      <c r="C604" s="18">
        <v>6.14</v>
      </c>
      <c r="D604" s="18" t="s">
        <v>80</v>
      </c>
      <c r="E604" s="18" t="s">
        <v>73</v>
      </c>
      <c r="F604" s="18" t="s">
        <v>184</v>
      </c>
      <c r="G604" s="18">
        <v>1.0</v>
      </c>
      <c r="H604" s="18" t="s">
        <v>73</v>
      </c>
      <c r="I604" s="18" t="str">
        <f t="shared" si="1"/>
        <v>Obesity</v>
      </c>
    </row>
    <row r="605" ht="15.75" customHeight="1">
      <c r="A605" s="18" t="s">
        <v>1920</v>
      </c>
      <c r="B605" s="18">
        <v>27.7</v>
      </c>
      <c r="C605" s="18">
        <v>5.6</v>
      </c>
      <c r="D605" s="18" t="s">
        <v>73</v>
      </c>
      <c r="E605" s="18" t="s">
        <v>73</v>
      </c>
      <c r="F605" s="18" t="s">
        <v>184</v>
      </c>
      <c r="G605" s="18">
        <v>1.0</v>
      </c>
      <c r="H605" s="18" t="s">
        <v>80</v>
      </c>
      <c r="I605" s="18" t="str">
        <f t="shared" si="1"/>
        <v>Overweight</v>
      </c>
    </row>
    <row r="606" ht="15.75" customHeight="1">
      <c r="A606" s="18" t="s">
        <v>1922</v>
      </c>
      <c r="B606" s="18">
        <v>45.68</v>
      </c>
      <c r="C606" s="18">
        <v>4.8</v>
      </c>
      <c r="D606" s="18" t="s">
        <v>73</v>
      </c>
      <c r="E606" s="18" t="s">
        <v>73</v>
      </c>
      <c r="F606" s="18" t="s">
        <v>73</v>
      </c>
      <c r="G606" s="18">
        <v>2.0</v>
      </c>
      <c r="H606" s="18" t="s">
        <v>73</v>
      </c>
      <c r="I606" s="18" t="str">
        <f t="shared" si="1"/>
        <v>Obesity</v>
      </c>
    </row>
    <row r="607" ht="15.75" customHeight="1">
      <c r="A607" s="18" t="s">
        <v>1925</v>
      </c>
      <c r="B607" s="18">
        <v>27.3</v>
      </c>
      <c r="C607" s="18">
        <v>11.89</v>
      </c>
      <c r="D607" s="18" t="s">
        <v>73</v>
      </c>
      <c r="E607" s="18" t="s">
        <v>73</v>
      </c>
      <c r="F607" s="18" t="s">
        <v>73</v>
      </c>
      <c r="G607" s="20">
        <v>0.0</v>
      </c>
      <c r="H607" s="18" t="s">
        <v>80</v>
      </c>
      <c r="I607" s="18" t="str">
        <f t="shared" si="1"/>
        <v>Overweight</v>
      </c>
    </row>
    <row r="608" ht="15.75" customHeight="1">
      <c r="A608" s="18" t="s">
        <v>1928</v>
      </c>
      <c r="B608" s="18">
        <v>54.45</v>
      </c>
      <c r="C608" s="18">
        <v>4.73</v>
      </c>
      <c r="D608" s="18" t="s">
        <v>80</v>
      </c>
      <c r="E608" s="18" t="s">
        <v>73</v>
      </c>
      <c r="F608" s="18" t="s">
        <v>73</v>
      </c>
      <c r="G608" s="18">
        <v>1.0</v>
      </c>
      <c r="H608" s="18" t="s">
        <v>73</v>
      </c>
      <c r="I608" s="18" t="str">
        <f t="shared" si="1"/>
        <v>Obesity</v>
      </c>
    </row>
    <row r="609" ht="15.75" customHeight="1">
      <c r="A609" s="18" t="s">
        <v>1931</v>
      </c>
      <c r="B609" s="18">
        <v>54.43</v>
      </c>
      <c r="C609" s="18">
        <v>4.61</v>
      </c>
      <c r="D609" s="18" t="s">
        <v>80</v>
      </c>
      <c r="E609" s="18" t="s">
        <v>73</v>
      </c>
      <c r="F609" s="18" t="s">
        <v>73</v>
      </c>
      <c r="G609" s="18">
        <v>1.0</v>
      </c>
      <c r="H609" s="18" t="s">
        <v>73</v>
      </c>
      <c r="I609" s="18" t="str">
        <f t="shared" si="1"/>
        <v>Obesity</v>
      </c>
    </row>
    <row r="610" ht="15.75" customHeight="1">
      <c r="A610" s="18" t="s">
        <v>1935</v>
      </c>
      <c r="B610" s="18">
        <v>48.01</v>
      </c>
      <c r="C610" s="18">
        <v>7.3</v>
      </c>
      <c r="D610" s="18" t="s">
        <v>73</v>
      </c>
      <c r="E610" s="18" t="s">
        <v>73</v>
      </c>
      <c r="F610" s="18" t="s">
        <v>73</v>
      </c>
      <c r="G610" s="20">
        <v>0.0</v>
      </c>
      <c r="H610" s="18" t="s">
        <v>73</v>
      </c>
      <c r="I610" s="18" t="str">
        <f t="shared" si="1"/>
        <v>Obesity</v>
      </c>
    </row>
    <row r="611" ht="15.75" customHeight="1">
      <c r="A611" s="18" t="s">
        <v>1938</v>
      </c>
      <c r="B611" s="18">
        <v>48.32</v>
      </c>
      <c r="C611" s="18">
        <v>5.88</v>
      </c>
      <c r="D611" s="18" t="s">
        <v>73</v>
      </c>
      <c r="E611" s="18" t="s">
        <v>73</v>
      </c>
      <c r="F611" s="18" t="s">
        <v>73</v>
      </c>
      <c r="G611" s="20">
        <v>0.0</v>
      </c>
      <c r="H611" s="18" t="s">
        <v>73</v>
      </c>
      <c r="I611" s="18" t="str">
        <f t="shared" si="1"/>
        <v>Obesity</v>
      </c>
    </row>
    <row r="612" ht="15.75" customHeight="1">
      <c r="A612" s="18" t="s">
        <v>1941</v>
      </c>
      <c r="B612" s="18">
        <v>22.895</v>
      </c>
      <c r="C612" s="18">
        <v>4.06</v>
      </c>
      <c r="D612" s="18" t="s">
        <v>73</v>
      </c>
      <c r="E612" s="18" t="s">
        <v>73</v>
      </c>
      <c r="F612" s="18" t="s">
        <v>184</v>
      </c>
      <c r="G612" s="18">
        <v>1.0</v>
      </c>
      <c r="H612" s="18" t="s">
        <v>80</v>
      </c>
      <c r="I612" s="18" t="str">
        <f t="shared" si="1"/>
        <v>Normal Weight</v>
      </c>
    </row>
    <row r="613" ht="15.75" customHeight="1">
      <c r="A613" s="18" t="s">
        <v>1945</v>
      </c>
      <c r="B613" s="18">
        <v>54.85</v>
      </c>
      <c r="C613" s="18">
        <v>4.9</v>
      </c>
      <c r="D613" s="18" t="s">
        <v>73</v>
      </c>
      <c r="E613" s="18" t="s">
        <v>73</v>
      </c>
      <c r="F613" s="18" t="s">
        <v>73</v>
      </c>
      <c r="G613" s="18">
        <v>1.0</v>
      </c>
      <c r="H613" s="18" t="s">
        <v>73</v>
      </c>
      <c r="I613" s="18" t="str">
        <f t="shared" si="1"/>
        <v>Obesity</v>
      </c>
    </row>
    <row r="614" ht="15.75" customHeight="1">
      <c r="A614" s="18" t="s">
        <v>1947</v>
      </c>
      <c r="B614" s="18">
        <v>21.85</v>
      </c>
      <c r="C614" s="18">
        <v>5.52</v>
      </c>
      <c r="D614" s="18" t="s">
        <v>73</v>
      </c>
      <c r="E614" s="18" t="s">
        <v>73</v>
      </c>
      <c r="F614" s="18" t="s">
        <v>184</v>
      </c>
      <c r="G614" s="18">
        <v>1.0</v>
      </c>
      <c r="H614" s="18" t="s">
        <v>80</v>
      </c>
      <c r="I614" s="18" t="str">
        <f t="shared" si="1"/>
        <v>Normal Weight</v>
      </c>
    </row>
    <row r="615" ht="15.75" customHeight="1">
      <c r="A615" s="18" t="s">
        <v>1951</v>
      </c>
      <c r="B615" s="18">
        <v>51.86</v>
      </c>
      <c r="C615" s="18">
        <v>5.2</v>
      </c>
      <c r="D615" s="18" t="s">
        <v>80</v>
      </c>
      <c r="E615" s="18" t="s">
        <v>73</v>
      </c>
      <c r="F615" s="18" t="s">
        <v>73</v>
      </c>
      <c r="G615" s="20">
        <v>0.0</v>
      </c>
      <c r="H615" s="18" t="s">
        <v>73</v>
      </c>
      <c r="I615" s="18" t="str">
        <f t="shared" si="1"/>
        <v>Obesity</v>
      </c>
    </row>
    <row r="616" ht="15.75" customHeight="1">
      <c r="A616" s="18" t="s">
        <v>1955</v>
      </c>
      <c r="B616" s="18">
        <v>39.05</v>
      </c>
      <c r="C616" s="18">
        <v>7.59</v>
      </c>
      <c r="D616" s="18" t="s">
        <v>73</v>
      </c>
      <c r="E616" s="18" t="s">
        <v>73</v>
      </c>
      <c r="F616" s="18" t="s">
        <v>73</v>
      </c>
      <c r="G616" s="18">
        <v>3.0</v>
      </c>
      <c r="H616" s="18" t="s">
        <v>73</v>
      </c>
      <c r="I616" s="18" t="str">
        <f t="shared" si="1"/>
        <v>Obesity</v>
      </c>
    </row>
    <row r="617" ht="15.75" customHeight="1">
      <c r="A617" s="18" t="s">
        <v>1958</v>
      </c>
      <c r="B617" s="18">
        <v>31.825</v>
      </c>
      <c r="C617" s="18">
        <v>8.28</v>
      </c>
      <c r="D617" s="18" t="s">
        <v>73</v>
      </c>
      <c r="E617" s="18" t="s">
        <v>73</v>
      </c>
      <c r="F617" s="18" t="s">
        <v>73</v>
      </c>
      <c r="G617" s="18">
        <v>3.0</v>
      </c>
      <c r="H617" s="18" t="s">
        <v>73</v>
      </c>
      <c r="I617" s="18" t="str">
        <f t="shared" si="1"/>
        <v>Obesity</v>
      </c>
    </row>
    <row r="618" ht="15.75" customHeight="1">
      <c r="A618" s="18" t="s">
        <v>1960</v>
      </c>
      <c r="B618" s="18">
        <v>46.43</v>
      </c>
      <c r="C618" s="18">
        <v>6.72</v>
      </c>
      <c r="D618" s="18" t="s">
        <v>73</v>
      </c>
      <c r="E618" s="18" t="s">
        <v>73</v>
      </c>
      <c r="F618" s="18" t="s">
        <v>73</v>
      </c>
      <c r="G618" s="20">
        <v>0.0</v>
      </c>
      <c r="H618" s="18" t="s">
        <v>73</v>
      </c>
      <c r="I618" s="18" t="str">
        <f t="shared" si="1"/>
        <v>Obesity</v>
      </c>
    </row>
    <row r="619" ht="15.75" customHeight="1">
      <c r="A619" s="18" t="s">
        <v>1962</v>
      </c>
      <c r="B619" s="18">
        <v>53.63</v>
      </c>
      <c r="C619" s="18">
        <v>5.47</v>
      </c>
      <c r="D619" s="18" t="s">
        <v>80</v>
      </c>
      <c r="E619" s="18" t="s">
        <v>73</v>
      </c>
      <c r="F619" s="18" t="s">
        <v>73</v>
      </c>
      <c r="G619" s="18">
        <v>1.0</v>
      </c>
      <c r="H619" s="18" t="s">
        <v>73</v>
      </c>
      <c r="I619" s="18" t="str">
        <f t="shared" si="1"/>
        <v>Obesity</v>
      </c>
    </row>
    <row r="620" ht="15.75" customHeight="1">
      <c r="A620" s="18" t="s">
        <v>1964</v>
      </c>
      <c r="B620" s="18">
        <v>48.7</v>
      </c>
      <c r="C620" s="18">
        <v>4.71</v>
      </c>
      <c r="D620" s="18" t="s">
        <v>73</v>
      </c>
      <c r="E620" s="18" t="s">
        <v>73</v>
      </c>
      <c r="F620" s="18" t="s">
        <v>73</v>
      </c>
      <c r="G620" s="20">
        <v>0.0</v>
      </c>
      <c r="H620" s="18" t="s">
        <v>73</v>
      </c>
      <c r="I620" s="18" t="str">
        <f t="shared" si="1"/>
        <v>Obesity</v>
      </c>
    </row>
    <row r="621" ht="15.75" customHeight="1">
      <c r="A621" s="18" t="s">
        <v>1967</v>
      </c>
      <c r="B621" s="18">
        <v>48.81</v>
      </c>
      <c r="C621" s="18">
        <v>5.49</v>
      </c>
      <c r="D621" s="18" t="s">
        <v>73</v>
      </c>
      <c r="E621" s="18" t="s">
        <v>73</v>
      </c>
      <c r="F621" s="18" t="s">
        <v>73</v>
      </c>
      <c r="G621" s="20">
        <v>0.0</v>
      </c>
      <c r="H621" s="18" t="s">
        <v>73</v>
      </c>
      <c r="I621" s="18" t="str">
        <f t="shared" si="1"/>
        <v>Obesity</v>
      </c>
    </row>
    <row r="622" ht="15.75" customHeight="1">
      <c r="A622" s="18" t="s">
        <v>1970</v>
      </c>
      <c r="B622" s="18">
        <v>47.53</v>
      </c>
      <c r="C622" s="18">
        <v>4.72</v>
      </c>
      <c r="D622" s="18" t="s">
        <v>73</v>
      </c>
      <c r="E622" s="18" t="s">
        <v>73</v>
      </c>
      <c r="F622" s="18" t="s">
        <v>73</v>
      </c>
      <c r="G622" s="20">
        <v>0.0</v>
      </c>
      <c r="H622" s="18" t="s">
        <v>73</v>
      </c>
      <c r="I622" s="18" t="str">
        <f t="shared" si="1"/>
        <v>Obesity</v>
      </c>
    </row>
    <row r="623" ht="15.75" customHeight="1">
      <c r="A623" s="18" t="s">
        <v>1974</v>
      </c>
      <c r="B623" s="18">
        <v>36.85</v>
      </c>
      <c r="C623" s="18">
        <v>6.7</v>
      </c>
      <c r="D623" s="18" t="s">
        <v>73</v>
      </c>
      <c r="E623" s="18" t="s">
        <v>73</v>
      </c>
      <c r="F623" s="18" t="s">
        <v>73</v>
      </c>
      <c r="G623" s="20">
        <v>0.0</v>
      </c>
      <c r="H623" s="18" t="s">
        <v>73</v>
      </c>
      <c r="I623" s="18" t="str">
        <f t="shared" si="1"/>
        <v>Obesity</v>
      </c>
    </row>
    <row r="624" ht="15.75" customHeight="1">
      <c r="A624" s="18" t="s">
        <v>1977</v>
      </c>
      <c r="B624" s="18">
        <v>29.3</v>
      </c>
      <c r="C624" s="18">
        <v>5.5</v>
      </c>
      <c r="D624" s="18" t="s">
        <v>73</v>
      </c>
      <c r="E624" s="18" t="s">
        <v>73</v>
      </c>
      <c r="F624" s="18" t="s">
        <v>73</v>
      </c>
      <c r="G624" s="20">
        <v>0.0</v>
      </c>
      <c r="H624" s="18" t="s">
        <v>73</v>
      </c>
      <c r="I624" s="18" t="str">
        <f t="shared" si="1"/>
        <v>Overweight</v>
      </c>
    </row>
    <row r="625" ht="15.75" customHeight="1">
      <c r="A625" s="18" t="s">
        <v>1981</v>
      </c>
      <c r="B625" s="18">
        <v>19.3</v>
      </c>
      <c r="C625" s="18">
        <v>4.46</v>
      </c>
      <c r="D625" s="18" t="s">
        <v>73</v>
      </c>
      <c r="E625" s="18" t="s">
        <v>73</v>
      </c>
      <c r="F625" s="18" t="s">
        <v>73</v>
      </c>
      <c r="G625" s="18">
        <v>1.0</v>
      </c>
      <c r="H625" s="18" t="s">
        <v>80</v>
      </c>
      <c r="I625" s="18" t="str">
        <f t="shared" si="1"/>
        <v>Normal Weight</v>
      </c>
    </row>
    <row r="626" ht="15.75" customHeight="1">
      <c r="A626" s="18" t="s">
        <v>1985</v>
      </c>
      <c r="B626" s="18">
        <v>24.13</v>
      </c>
      <c r="C626" s="18">
        <v>5.29</v>
      </c>
      <c r="D626" s="18" t="s">
        <v>80</v>
      </c>
      <c r="E626" s="18" t="s">
        <v>73</v>
      </c>
      <c r="F626" s="18" t="s">
        <v>184</v>
      </c>
      <c r="G626" s="18">
        <v>1.0</v>
      </c>
      <c r="H626" s="18" t="s">
        <v>80</v>
      </c>
      <c r="I626" s="18" t="str">
        <f t="shared" si="1"/>
        <v>Normal Weight</v>
      </c>
    </row>
    <row r="627" ht="15.75" customHeight="1">
      <c r="A627" s="18" t="s">
        <v>1988</v>
      </c>
      <c r="B627" s="18">
        <v>46.7</v>
      </c>
      <c r="C627" s="18">
        <v>10.99</v>
      </c>
      <c r="D627" s="18" t="s">
        <v>73</v>
      </c>
      <c r="E627" s="18" t="s">
        <v>73</v>
      </c>
      <c r="F627" s="18" t="s">
        <v>73</v>
      </c>
      <c r="G627" s="20">
        <v>0.0</v>
      </c>
      <c r="H627" s="18" t="s">
        <v>73</v>
      </c>
      <c r="I627" s="18" t="str">
        <f t="shared" si="1"/>
        <v>Obesity</v>
      </c>
    </row>
    <row r="628" ht="15.75" customHeight="1">
      <c r="A628" s="18" t="s">
        <v>1991</v>
      </c>
      <c r="B628" s="18">
        <v>45.27</v>
      </c>
      <c r="C628" s="18">
        <v>5.2</v>
      </c>
      <c r="D628" s="18" t="s">
        <v>80</v>
      </c>
      <c r="E628" s="18" t="s">
        <v>73</v>
      </c>
      <c r="F628" s="18" t="s">
        <v>73</v>
      </c>
      <c r="G628" s="20">
        <v>0.0</v>
      </c>
      <c r="H628" s="18" t="s">
        <v>73</v>
      </c>
      <c r="I628" s="18" t="str">
        <f t="shared" si="1"/>
        <v>Obesity</v>
      </c>
    </row>
    <row r="629" ht="15.75" customHeight="1">
      <c r="A629" s="18" t="s">
        <v>1995</v>
      </c>
      <c r="B629" s="18">
        <v>44.29</v>
      </c>
      <c r="C629" s="18">
        <v>9.66</v>
      </c>
      <c r="D629" s="18" t="s">
        <v>73</v>
      </c>
      <c r="E629" s="18" t="s">
        <v>73</v>
      </c>
      <c r="F629" s="18" t="s">
        <v>73</v>
      </c>
      <c r="G629" s="18">
        <v>2.0</v>
      </c>
      <c r="H629" s="18" t="s">
        <v>73</v>
      </c>
      <c r="I629" s="18" t="str">
        <f t="shared" si="1"/>
        <v>Obesity</v>
      </c>
    </row>
    <row r="630" ht="15.75" customHeight="1">
      <c r="A630" s="18" t="s">
        <v>1998</v>
      </c>
      <c r="B630" s="18">
        <v>54.59</v>
      </c>
      <c r="C630" s="18">
        <v>4.22</v>
      </c>
      <c r="D630" s="18" t="s">
        <v>80</v>
      </c>
      <c r="E630" s="18" t="s">
        <v>73</v>
      </c>
      <c r="F630" s="18" t="s">
        <v>73</v>
      </c>
      <c r="G630" s="18">
        <v>1.0</v>
      </c>
      <c r="H630" s="18" t="s">
        <v>73</v>
      </c>
      <c r="I630" s="18" t="str">
        <f t="shared" si="1"/>
        <v>Obesity</v>
      </c>
    </row>
    <row r="631" ht="15.75" customHeight="1">
      <c r="A631" s="18" t="s">
        <v>2002</v>
      </c>
      <c r="B631" s="18">
        <v>32.965</v>
      </c>
      <c r="C631" s="18">
        <v>11.78</v>
      </c>
      <c r="D631" s="18" t="s">
        <v>73</v>
      </c>
      <c r="E631" s="18" t="s">
        <v>73</v>
      </c>
      <c r="F631" s="18" t="s">
        <v>73</v>
      </c>
      <c r="G631" s="20">
        <v>0.0</v>
      </c>
      <c r="H631" s="18" t="s">
        <v>73</v>
      </c>
      <c r="I631" s="18" t="str">
        <f t="shared" si="1"/>
        <v>Obesity</v>
      </c>
    </row>
    <row r="632" ht="15.75" customHeight="1">
      <c r="A632" s="18" t="s">
        <v>2004</v>
      </c>
      <c r="B632" s="18">
        <v>38.05</v>
      </c>
      <c r="C632" s="18">
        <v>9.62</v>
      </c>
      <c r="D632" s="18" t="s">
        <v>73</v>
      </c>
      <c r="E632" s="18" t="s">
        <v>73</v>
      </c>
      <c r="F632" s="18" t="s">
        <v>73</v>
      </c>
      <c r="G632" s="20">
        <v>0.0</v>
      </c>
      <c r="H632" s="18" t="s">
        <v>73</v>
      </c>
      <c r="I632" s="18" t="str">
        <f t="shared" si="1"/>
        <v>Obesity</v>
      </c>
    </row>
    <row r="633" ht="15.75" customHeight="1">
      <c r="A633" s="18" t="s">
        <v>2007</v>
      </c>
      <c r="B633" s="18">
        <v>46.14</v>
      </c>
      <c r="C633" s="18">
        <v>10.78</v>
      </c>
      <c r="D633" s="18" t="s">
        <v>73</v>
      </c>
      <c r="E633" s="18" t="s">
        <v>73</v>
      </c>
      <c r="F633" s="18" t="s">
        <v>73</v>
      </c>
      <c r="G633" s="20">
        <v>0.0</v>
      </c>
      <c r="H633" s="18" t="s">
        <v>73</v>
      </c>
      <c r="I633" s="18" t="str">
        <f t="shared" si="1"/>
        <v>Obesity</v>
      </c>
    </row>
    <row r="634" ht="15.75" customHeight="1">
      <c r="A634" s="18" t="s">
        <v>2010</v>
      </c>
      <c r="B634" s="18">
        <v>41.325</v>
      </c>
      <c r="C634" s="18">
        <v>5.11</v>
      </c>
      <c r="D634" s="18" t="s">
        <v>80</v>
      </c>
      <c r="E634" s="18" t="s">
        <v>73</v>
      </c>
      <c r="F634" s="18" t="s">
        <v>73</v>
      </c>
      <c r="G634" s="18">
        <v>2.0</v>
      </c>
      <c r="H634" s="18" t="s">
        <v>73</v>
      </c>
      <c r="I634" s="18" t="str">
        <f t="shared" si="1"/>
        <v>Obesity</v>
      </c>
    </row>
    <row r="635" ht="15.75" customHeight="1">
      <c r="A635" s="18" t="s">
        <v>2012</v>
      </c>
      <c r="B635" s="18">
        <v>44.64</v>
      </c>
      <c r="C635" s="18">
        <v>7.18</v>
      </c>
      <c r="D635" s="18" t="s">
        <v>73</v>
      </c>
      <c r="E635" s="18" t="s">
        <v>73</v>
      </c>
      <c r="F635" s="18" t="s">
        <v>73</v>
      </c>
      <c r="G635" s="20">
        <v>0.0</v>
      </c>
      <c r="H635" s="18" t="s">
        <v>73</v>
      </c>
      <c r="I635" s="18" t="str">
        <f t="shared" si="1"/>
        <v>Obesity</v>
      </c>
    </row>
    <row r="636" ht="15.75" customHeight="1">
      <c r="A636" s="18" t="s">
        <v>2015</v>
      </c>
      <c r="B636" s="18">
        <v>25.175</v>
      </c>
      <c r="C636" s="18">
        <v>4.96</v>
      </c>
      <c r="D636" s="18" t="s">
        <v>73</v>
      </c>
      <c r="E636" s="18" t="s">
        <v>80</v>
      </c>
      <c r="F636" s="18" t="s">
        <v>73</v>
      </c>
      <c r="G636" s="18">
        <v>1.0</v>
      </c>
      <c r="H636" s="18" t="s">
        <v>3549</v>
      </c>
      <c r="I636" s="18" t="str">
        <f t="shared" si="1"/>
        <v>Overweight</v>
      </c>
    </row>
    <row r="637" ht="15.75" customHeight="1">
      <c r="A637" s="18" t="s">
        <v>2017</v>
      </c>
      <c r="B637" s="18">
        <v>43.11</v>
      </c>
      <c r="C637" s="18">
        <v>4.67</v>
      </c>
      <c r="D637" s="18" t="s">
        <v>80</v>
      </c>
      <c r="E637" s="18" t="s">
        <v>73</v>
      </c>
      <c r="F637" s="18" t="s">
        <v>73</v>
      </c>
      <c r="G637" s="20">
        <v>0.0</v>
      </c>
      <c r="H637" s="18" t="s">
        <v>73</v>
      </c>
      <c r="I637" s="18" t="str">
        <f t="shared" si="1"/>
        <v>Obesity</v>
      </c>
    </row>
    <row r="638" ht="15.75" customHeight="1">
      <c r="A638" s="18" t="s">
        <v>2021</v>
      </c>
      <c r="B638" s="18">
        <v>53.32</v>
      </c>
      <c r="C638" s="18">
        <v>5.06</v>
      </c>
      <c r="D638" s="18" t="s">
        <v>73</v>
      </c>
      <c r="E638" s="18" t="s">
        <v>73</v>
      </c>
      <c r="F638" s="18" t="s">
        <v>73</v>
      </c>
      <c r="G638" s="20">
        <v>0.0</v>
      </c>
      <c r="H638" s="18" t="s">
        <v>73</v>
      </c>
      <c r="I638" s="18" t="str">
        <f t="shared" si="1"/>
        <v>Obesity</v>
      </c>
    </row>
    <row r="639" ht="15.75" customHeight="1">
      <c r="A639" s="18" t="s">
        <v>2023</v>
      </c>
      <c r="B639" s="18">
        <v>38.04</v>
      </c>
      <c r="C639" s="18">
        <v>5.02</v>
      </c>
      <c r="D639" s="18" t="s">
        <v>80</v>
      </c>
      <c r="E639" s="18" t="s">
        <v>73</v>
      </c>
      <c r="F639" s="18" t="s">
        <v>73</v>
      </c>
      <c r="G639" s="18">
        <v>1.0</v>
      </c>
      <c r="H639" s="18" t="s">
        <v>73</v>
      </c>
      <c r="I639" s="18" t="str">
        <f t="shared" si="1"/>
        <v>Obesity</v>
      </c>
    </row>
    <row r="640" ht="15.75" customHeight="1">
      <c r="A640" s="18" t="s">
        <v>2027</v>
      </c>
      <c r="B640" s="18">
        <v>37.9</v>
      </c>
      <c r="C640" s="18">
        <v>7.76</v>
      </c>
      <c r="D640" s="18" t="s">
        <v>73</v>
      </c>
      <c r="E640" s="18" t="s">
        <v>73</v>
      </c>
      <c r="F640" s="18" t="s">
        <v>73</v>
      </c>
      <c r="G640" s="20">
        <v>0.0</v>
      </c>
      <c r="H640" s="18" t="s">
        <v>73</v>
      </c>
      <c r="I640" s="18" t="str">
        <f t="shared" si="1"/>
        <v>Obesity</v>
      </c>
    </row>
    <row r="641" ht="15.75" customHeight="1">
      <c r="A641" s="18" t="s">
        <v>2030</v>
      </c>
      <c r="B641" s="18">
        <v>39.6</v>
      </c>
      <c r="C641" s="18">
        <v>9.32</v>
      </c>
      <c r="D641" s="18" t="s">
        <v>73</v>
      </c>
      <c r="E641" s="18" t="s">
        <v>73</v>
      </c>
      <c r="F641" s="18" t="s">
        <v>73</v>
      </c>
      <c r="G641" s="20">
        <v>0.0</v>
      </c>
      <c r="H641" s="18" t="s">
        <v>73</v>
      </c>
      <c r="I641" s="18" t="str">
        <f t="shared" si="1"/>
        <v>Obesity</v>
      </c>
    </row>
    <row r="642" ht="15.75" customHeight="1">
      <c r="A642" s="18" t="s">
        <v>2033</v>
      </c>
      <c r="B642" s="18">
        <v>50.92</v>
      </c>
      <c r="C642" s="18">
        <v>5.31</v>
      </c>
      <c r="D642" s="18" t="s">
        <v>80</v>
      </c>
      <c r="E642" s="18" t="s">
        <v>73</v>
      </c>
      <c r="F642" s="18" t="s">
        <v>73</v>
      </c>
      <c r="G642" s="18">
        <v>1.0</v>
      </c>
      <c r="H642" s="18" t="s">
        <v>73</v>
      </c>
      <c r="I642" s="18" t="str">
        <f t="shared" si="1"/>
        <v>Obesity</v>
      </c>
    </row>
    <row r="643" ht="15.75" customHeight="1">
      <c r="A643" s="18" t="s">
        <v>2037</v>
      </c>
      <c r="B643" s="18">
        <v>21.85</v>
      </c>
      <c r="C643" s="18">
        <v>5.56</v>
      </c>
      <c r="D643" s="18" t="s">
        <v>80</v>
      </c>
      <c r="E643" s="18" t="s">
        <v>73</v>
      </c>
      <c r="F643" s="18" t="s">
        <v>73</v>
      </c>
      <c r="G643" s="20">
        <v>0.0</v>
      </c>
      <c r="H643" s="18" t="s">
        <v>80</v>
      </c>
      <c r="I643" s="18" t="str">
        <f t="shared" si="1"/>
        <v>Normal Weight</v>
      </c>
    </row>
    <row r="644" ht="15.75" customHeight="1">
      <c r="A644" s="18" t="s">
        <v>2039</v>
      </c>
      <c r="B644" s="18">
        <v>36.08</v>
      </c>
      <c r="C644" s="18">
        <v>7.11</v>
      </c>
      <c r="D644" s="18" t="s">
        <v>80</v>
      </c>
      <c r="E644" s="18" t="s">
        <v>73</v>
      </c>
      <c r="F644" s="18" t="s">
        <v>184</v>
      </c>
      <c r="G644" s="18">
        <v>1.0</v>
      </c>
      <c r="H644" s="18" t="s">
        <v>73</v>
      </c>
      <c r="I644" s="18" t="str">
        <f t="shared" si="1"/>
        <v>Obesity</v>
      </c>
    </row>
    <row r="645" ht="15.75" customHeight="1">
      <c r="A645" s="18" t="s">
        <v>2041</v>
      </c>
      <c r="B645" s="18">
        <v>40.44</v>
      </c>
      <c r="C645" s="18">
        <v>5.13</v>
      </c>
      <c r="D645" s="18" t="s">
        <v>80</v>
      </c>
      <c r="E645" s="18" t="s">
        <v>73</v>
      </c>
      <c r="F645" s="18" t="s">
        <v>184</v>
      </c>
      <c r="G645" s="18">
        <v>1.0</v>
      </c>
      <c r="H645" s="18" t="s">
        <v>73</v>
      </c>
      <c r="I645" s="18" t="str">
        <f t="shared" si="1"/>
        <v>Obesity</v>
      </c>
    </row>
    <row r="646" ht="15.75" customHeight="1">
      <c r="A646" s="18" t="s">
        <v>2045</v>
      </c>
      <c r="B646" s="18">
        <v>38.095</v>
      </c>
      <c r="C646" s="18">
        <v>10.2</v>
      </c>
      <c r="D646" s="18" t="s">
        <v>73</v>
      </c>
      <c r="E646" s="18" t="s">
        <v>73</v>
      </c>
      <c r="F646" s="18" t="s">
        <v>73</v>
      </c>
      <c r="G646" s="20">
        <v>0.0</v>
      </c>
      <c r="H646" s="18" t="s">
        <v>73</v>
      </c>
      <c r="I646" s="18" t="str">
        <f t="shared" si="1"/>
        <v>Obesity</v>
      </c>
    </row>
    <row r="647" ht="15.75" customHeight="1">
      <c r="A647" s="18" t="s">
        <v>2047</v>
      </c>
      <c r="B647" s="18">
        <v>44.95</v>
      </c>
      <c r="C647" s="18">
        <v>10.4</v>
      </c>
      <c r="D647" s="18" t="s">
        <v>73</v>
      </c>
      <c r="E647" s="18" t="s">
        <v>73</v>
      </c>
      <c r="F647" s="18" t="s">
        <v>73</v>
      </c>
      <c r="G647" s="20">
        <v>0.0</v>
      </c>
      <c r="H647" s="18" t="s">
        <v>73</v>
      </c>
      <c r="I647" s="18" t="str">
        <f t="shared" si="1"/>
        <v>Obesity</v>
      </c>
    </row>
    <row r="648" ht="15.75" customHeight="1">
      <c r="A648" s="18" t="s">
        <v>2050</v>
      </c>
      <c r="B648" s="18">
        <v>35.54</v>
      </c>
      <c r="C648" s="18">
        <v>10.67</v>
      </c>
      <c r="D648" s="18" t="s">
        <v>73</v>
      </c>
      <c r="E648" s="18" t="s">
        <v>73</v>
      </c>
      <c r="F648" s="18" t="s">
        <v>73</v>
      </c>
      <c r="G648" s="20">
        <v>0.0</v>
      </c>
      <c r="H648" s="18" t="s">
        <v>73</v>
      </c>
      <c r="I648" s="18" t="str">
        <f t="shared" si="1"/>
        <v>Obesity</v>
      </c>
    </row>
    <row r="649" ht="15.75" customHeight="1">
      <c r="A649" s="18" t="s">
        <v>2054</v>
      </c>
      <c r="B649" s="18">
        <v>39.8</v>
      </c>
      <c r="C649" s="18">
        <v>4.65</v>
      </c>
      <c r="D649" s="18" t="s">
        <v>80</v>
      </c>
      <c r="E649" s="18" t="s">
        <v>73</v>
      </c>
      <c r="F649" s="18" t="s">
        <v>73</v>
      </c>
      <c r="G649" s="18">
        <v>2.0</v>
      </c>
      <c r="H649" s="18" t="s">
        <v>73</v>
      </c>
      <c r="I649" s="18" t="str">
        <f t="shared" si="1"/>
        <v>Obesity</v>
      </c>
    </row>
    <row r="650" ht="15.75" customHeight="1">
      <c r="A650" s="18" t="s">
        <v>2057</v>
      </c>
      <c r="B650" s="18">
        <v>33.66</v>
      </c>
      <c r="C650" s="18">
        <v>5.65</v>
      </c>
      <c r="D650" s="18" t="s">
        <v>80</v>
      </c>
      <c r="E650" s="18" t="s">
        <v>73</v>
      </c>
      <c r="F650" s="18" t="s">
        <v>73</v>
      </c>
      <c r="G650" s="18">
        <v>2.0</v>
      </c>
      <c r="H650" s="18" t="s">
        <v>73</v>
      </c>
      <c r="I650" s="18" t="str">
        <f t="shared" si="1"/>
        <v>Obesity</v>
      </c>
    </row>
    <row r="651" ht="15.75" customHeight="1">
      <c r="A651" s="18" t="s">
        <v>2060</v>
      </c>
      <c r="B651" s="18">
        <v>35.5</v>
      </c>
      <c r="C651" s="18">
        <v>11.97</v>
      </c>
      <c r="D651" s="18" t="s">
        <v>73</v>
      </c>
      <c r="E651" s="18" t="s">
        <v>73</v>
      </c>
      <c r="F651" s="18" t="s">
        <v>73</v>
      </c>
      <c r="G651" s="20">
        <v>0.0</v>
      </c>
      <c r="H651" s="18" t="s">
        <v>73</v>
      </c>
      <c r="I651" s="18" t="str">
        <f t="shared" si="1"/>
        <v>Obesity</v>
      </c>
    </row>
    <row r="652" ht="15.75" customHeight="1">
      <c r="A652" s="18" t="s">
        <v>2063</v>
      </c>
      <c r="B652" s="18">
        <v>41.63</v>
      </c>
      <c r="C652" s="18">
        <v>6.71</v>
      </c>
      <c r="D652" s="18" t="s">
        <v>73</v>
      </c>
      <c r="E652" s="18" t="s">
        <v>73</v>
      </c>
      <c r="F652" s="18" t="s">
        <v>73</v>
      </c>
      <c r="G652" s="20">
        <v>0.0</v>
      </c>
      <c r="H652" s="18" t="s">
        <v>73</v>
      </c>
      <c r="I652" s="18" t="str">
        <f t="shared" si="1"/>
        <v>Obesity</v>
      </c>
    </row>
    <row r="653" ht="15.75" customHeight="1">
      <c r="A653" s="18" t="s">
        <v>2065</v>
      </c>
      <c r="B653" s="18">
        <v>46.49</v>
      </c>
      <c r="C653" s="18">
        <v>11.92</v>
      </c>
      <c r="D653" s="18" t="s">
        <v>73</v>
      </c>
      <c r="E653" s="18" t="s">
        <v>73</v>
      </c>
      <c r="F653" s="18" t="s">
        <v>73</v>
      </c>
      <c r="G653" s="20">
        <v>0.0</v>
      </c>
      <c r="H653" s="18" t="s">
        <v>73</v>
      </c>
      <c r="I653" s="18" t="str">
        <f t="shared" si="1"/>
        <v>Obesity</v>
      </c>
    </row>
    <row r="654" ht="15.75" customHeight="1">
      <c r="A654" s="18" t="s">
        <v>2068</v>
      </c>
      <c r="B654" s="18">
        <v>43.29</v>
      </c>
      <c r="C654" s="18">
        <v>5.35</v>
      </c>
      <c r="D654" s="18" t="s">
        <v>73</v>
      </c>
      <c r="E654" s="18" t="s">
        <v>73</v>
      </c>
      <c r="F654" s="18" t="s">
        <v>73</v>
      </c>
      <c r="G654" s="18">
        <v>2.0</v>
      </c>
      <c r="H654" s="18" t="s">
        <v>73</v>
      </c>
      <c r="I654" s="18" t="str">
        <f t="shared" si="1"/>
        <v>Obesity</v>
      </c>
    </row>
    <row r="655" ht="15.75" customHeight="1">
      <c r="A655" s="18" t="s">
        <v>2072</v>
      </c>
      <c r="B655" s="18">
        <v>43.08</v>
      </c>
      <c r="C655" s="18">
        <v>8.96</v>
      </c>
      <c r="D655" s="18" t="s">
        <v>80</v>
      </c>
      <c r="E655" s="18" t="s">
        <v>73</v>
      </c>
      <c r="F655" s="18" t="s">
        <v>73</v>
      </c>
      <c r="G655" s="18">
        <v>1.0</v>
      </c>
      <c r="H655" s="18" t="s">
        <v>73</v>
      </c>
      <c r="I655" s="18" t="str">
        <f t="shared" si="1"/>
        <v>Obesity</v>
      </c>
    </row>
    <row r="656" ht="15.75" customHeight="1">
      <c r="A656" s="18" t="s">
        <v>2074</v>
      </c>
      <c r="B656" s="18">
        <v>39.07</v>
      </c>
      <c r="C656" s="18">
        <v>11.93</v>
      </c>
      <c r="D656" s="18" t="s">
        <v>73</v>
      </c>
      <c r="E656" s="18" t="s">
        <v>73</v>
      </c>
      <c r="F656" s="18" t="s">
        <v>73</v>
      </c>
      <c r="G656" s="20">
        <v>0.0</v>
      </c>
      <c r="H656" s="18" t="s">
        <v>73</v>
      </c>
      <c r="I656" s="18" t="str">
        <f t="shared" si="1"/>
        <v>Obesity</v>
      </c>
    </row>
    <row r="657" ht="15.75" customHeight="1">
      <c r="A657" s="18" t="s">
        <v>2078</v>
      </c>
      <c r="B657" s="18">
        <v>41.3</v>
      </c>
      <c r="C657" s="18">
        <v>9.59</v>
      </c>
      <c r="D657" s="18" t="s">
        <v>73</v>
      </c>
      <c r="E657" s="18" t="s">
        <v>73</v>
      </c>
      <c r="F657" s="18" t="s">
        <v>73</v>
      </c>
      <c r="G657" s="20">
        <v>0.0</v>
      </c>
      <c r="H657" s="18" t="s">
        <v>73</v>
      </c>
      <c r="I657" s="18" t="str">
        <f t="shared" si="1"/>
        <v>Obesity</v>
      </c>
    </row>
    <row r="658" ht="15.75" customHeight="1">
      <c r="A658" s="18" t="s">
        <v>2081</v>
      </c>
      <c r="B658" s="18">
        <v>42.95</v>
      </c>
      <c r="C658" s="18">
        <v>11.88</v>
      </c>
      <c r="D658" s="18" t="s">
        <v>80</v>
      </c>
      <c r="E658" s="18" t="s">
        <v>73</v>
      </c>
      <c r="F658" s="18" t="s">
        <v>73</v>
      </c>
      <c r="G658" s="18">
        <v>2.0</v>
      </c>
      <c r="H658" s="18" t="s">
        <v>73</v>
      </c>
      <c r="I658" s="18" t="str">
        <f t="shared" si="1"/>
        <v>Obesity</v>
      </c>
    </row>
    <row r="659" ht="15.75" customHeight="1">
      <c r="A659" s="18" t="s">
        <v>2085</v>
      </c>
      <c r="B659" s="18">
        <v>46.96</v>
      </c>
      <c r="C659" s="18">
        <v>4.64</v>
      </c>
      <c r="D659" s="18" t="s">
        <v>73</v>
      </c>
      <c r="E659" s="18" t="s">
        <v>73</v>
      </c>
      <c r="F659" s="18" t="s">
        <v>184</v>
      </c>
      <c r="G659" s="18">
        <v>1.0</v>
      </c>
      <c r="H659" s="18" t="s">
        <v>73</v>
      </c>
      <c r="I659" s="18" t="str">
        <f t="shared" si="1"/>
        <v>Obesity</v>
      </c>
    </row>
    <row r="660" ht="15.75" customHeight="1">
      <c r="A660" s="18" t="s">
        <v>2089</v>
      </c>
      <c r="B660" s="18">
        <v>30.495</v>
      </c>
      <c r="C660" s="18">
        <v>9.53</v>
      </c>
      <c r="D660" s="18" t="s">
        <v>73</v>
      </c>
      <c r="E660" s="18" t="s">
        <v>73</v>
      </c>
      <c r="F660" s="18" t="s">
        <v>73</v>
      </c>
      <c r="G660" s="20">
        <v>0.0</v>
      </c>
      <c r="H660" s="18" t="s">
        <v>73</v>
      </c>
      <c r="I660" s="18" t="str">
        <f t="shared" si="1"/>
        <v>Obesity</v>
      </c>
    </row>
    <row r="661" ht="15.75" customHeight="1">
      <c r="A661" s="18" t="s">
        <v>2093</v>
      </c>
      <c r="B661" s="18">
        <v>17.955</v>
      </c>
      <c r="C661" s="18">
        <v>5.29</v>
      </c>
      <c r="D661" s="18" t="s">
        <v>80</v>
      </c>
      <c r="E661" s="18" t="s">
        <v>73</v>
      </c>
      <c r="F661" s="18" t="s">
        <v>73</v>
      </c>
      <c r="G661" s="18">
        <v>1.0</v>
      </c>
      <c r="H661" s="18" t="s">
        <v>80</v>
      </c>
      <c r="I661" s="18" t="str">
        <f t="shared" si="1"/>
        <v>Underweight</v>
      </c>
    </row>
    <row r="662" ht="15.75" customHeight="1">
      <c r="A662" s="18" t="s">
        <v>2096</v>
      </c>
      <c r="B662" s="18">
        <v>25.6</v>
      </c>
      <c r="C662" s="18">
        <v>10.95</v>
      </c>
      <c r="D662" s="18" t="s">
        <v>73</v>
      </c>
      <c r="E662" s="18" t="s">
        <v>73</v>
      </c>
      <c r="F662" s="18" t="s">
        <v>73</v>
      </c>
      <c r="G662" s="18">
        <v>3.0</v>
      </c>
      <c r="H662" s="18" t="s">
        <v>73</v>
      </c>
      <c r="I662" s="18" t="str">
        <f t="shared" si="1"/>
        <v>Overweight</v>
      </c>
    </row>
    <row r="663" ht="15.75" customHeight="1">
      <c r="A663" s="18" t="s">
        <v>2099</v>
      </c>
      <c r="B663" s="18">
        <v>34.21</v>
      </c>
      <c r="C663" s="18">
        <v>9.17</v>
      </c>
      <c r="D663" s="18" t="s">
        <v>73</v>
      </c>
      <c r="E663" s="18" t="s">
        <v>73</v>
      </c>
      <c r="F663" s="18" t="s">
        <v>73</v>
      </c>
      <c r="G663" s="20">
        <v>0.0</v>
      </c>
      <c r="H663" s="18" t="s">
        <v>73</v>
      </c>
      <c r="I663" s="18" t="str">
        <f t="shared" si="1"/>
        <v>Obesity</v>
      </c>
    </row>
    <row r="664" ht="15.75" customHeight="1">
      <c r="A664" s="18" t="s">
        <v>2103</v>
      </c>
      <c r="B664" s="18">
        <v>39.74</v>
      </c>
      <c r="C664" s="18">
        <v>7.39</v>
      </c>
      <c r="D664" s="18" t="s">
        <v>73</v>
      </c>
      <c r="E664" s="18" t="s">
        <v>73</v>
      </c>
      <c r="F664" s="18" t="s">
        <v>73</v>
      </c>
      <c r="G664" s="20">
        <v>0.0</v>
      </c>
      <c r="H664" s="18" t="s">
        <v>73</v>
      </c>
      <c r="I664" s="18" t="str">
        <f t="shared" si="1"/>
        <v>Obesity</v>
      </c>
    </row>
    <row r="665" ht="15.75" customHeight="1">
      <c r="A665" s="18" t="s">
        <v>2107</v>
      </c>
      <c r="B665" s="18">
        <v>49.53</v>
      </c>
      <c r="C665" s="18">
        <v>9.13</v>
      </c>
      <c r="D665" s="18" t="s">
        <v>80</v>
      </c>
      <c r="E665" s="18" t="s">
        <v>73</v>
      </c>
      <c r="F665" s="18" t="s">
        <v>73</v>
      </c>
      <c r="G665" s="20">
        <v>0.0</v>
      </c>
      <c r="H665" s="18" t="s">
        <v>73</v>
      </c>
      <c r="I665" s="18" t="str">
        <f t="shared" si="1"/>
        <v>Obesity</v>
      </c>
    </row>
    <row r="666" ht="15.75" customHeight="1">
      <c r="A666" s="18" t="s">
        <v>2110</v>
      </c>
      <c r="B666" s="18">
        <v>39.33</v>
      </c>
      <c r="C666" s="18">
        <v>10.4</v>
      </c>
      <c r="D666" s="18" t="s">
        <v>73</v>
      </c>
      <c r="E666" s="18" t="s">
        <v>73</v>
      </c>
      <c r="F666" s="18" t="s">
        <v>73</v>
      </c>
      <c r="G666" s="18">
        <v>3.0</v>
      </c>
      <c r="H666" s="18" t="s">
        <v>73</v>
      </c>
      <c r="I666" s="18" t="str">
        <f t="shared" si="1"/>
        <v>Obesity</v>
      </c>
    </row>
    <row r="667" ht="15.75" customHeight="1">
      <c r="A667" s="18" t="s">
        <v>2114</v>
      </c>
      <c r="B667" s="18">
        <v>39.98</v>
      </c>
      <c r="C667" s="18">
        <v>9.46</v>
      </c>
      <c r="D667" s="18" t="s">
        <v>80</v>
      </c>
      <c r="E667" s="18" t="s">
        <v>73</v>
      </c>
      <c r="F667" s="18" t="s">
        <v>73</v>
      </c>
      <c r="G667" s="18">
        <v>2.0</v>
      </c>
      <c r="H667" s="18" t="s">
        <v>73</v>
      </c>
      <c r="I667" s="18" t="str">
        <f t="shared" si="1"/>
        <v>Obesity</v>
      </c>
    </row>
    <row r="668" ht="15.75" customHeight="1">
      <c r="A668" s="18" t="s">
        <v>2118</v>
      </c>
      <c r="B668" s="18">
        <v>46.51</v>
      </c>
      <c r="C668" s="18">
        <v>8.69</v>
      </c>
      <c r="D668" s="18" t="s">
        <v>80</v>
      </c>
      <c r="E668" s="18" t="s">
        <v>73</v>
      </c>
      <c r="F668" s="18" t="s">
        <v>73</v>
      </c>
      <c r="G668" s="20">
        <v>0.0</v>
      </c>
      <c r="H668" s="18" t="s">
        <v>73</v>
      </c>
      <c r="I668" s="18" t="str">
        <f t="shared" si="1"/>
        <v>Obesity</v>
      </c>
    </row>
    <row r="669" ht="15.75" customHeight="1">
      <c r="A669" s="18" t="s">
        <v>2120</v>
      </c>
      <c r="B669" s="18">
        <v>43.58</v>
      </c>
      <c r="C669" s="18">
        <v>4.23</v>
      </c>
      <c r="D669" s="18" t="s">
        <v>73</v>
      </c>
      <c r="E669" s="18" t="s">
        <v>73</v>
      </c>
      <c r="F669" s="18" t="s">
        <v>184</v>
      </c>
      <c r="G669" s="18">
        <v>1.0</v>
      </c>
      <c r="H669" s="18" t="s">
        <v>73</v>
      </c>
      <c r="I669" s="18" t="str">
        <f t="shared" si="1"/>
        <v>Obesity</v>
      </c>
    </row>
    <row r="670" ht="15.75" customHeight="1">
      <c r="A670" s="18" t="s">
        <v>2124</v>
      </c>
      <c r="B670" s="18">
        <v>42.28</v>
      </c>
      <c r="C670" s="18">
        <v>9.16</v>
      </c>
      <c r="D670" s="18" t="s">
        <v>80</v>
      </c>
      <c r="E670" s="18" t="s">
        <v>73</v>
      </c>
      <c r="F670" s="18" t="s">
        <v>73</v>
      </c>
      <c r="G670" s="18">
        <v>1.0</v>
      </c>
      <c r="H670" s="18" t="s">
        <v>73</v>
      </c>
      <c r="I670" s="18" t="str">
        <f t="shared" si="1"/>
        <v>Obesity</v>
      </c>
    </row>
    <row r="671" ht="15.75" customHeight="1">
      <c r="A671" s="18" t="s">
        <v>2126</v>
      </c>
      <c r="B671" s="18">
        <v>35.52</v>
      </c>
      <c r="C671" s="18">
        <v>8.26</v>
      </c>
      <c r="D671" s="18" t="s">
        <v>73</v>
      </c>
      <c r="E671" s="18" t="s">
        <v>73</v>
      </c>
      <c r="F671" s="18" t="s">
        <v>73</v>
      </c>
      <c r="G671" s="20">
        <v>0.0</v>
      </c>
      <c r="H671" s="18" t="s">
        <v>73</v>
      </c>
      <c r="I671" s="18" t="str">
        <f t="shared" si="1"/>
        <v>Obesity</v>
      </c>
    </row>
    <row r="672" ht="15.75" customHeight="1">
      <c r="A672" s="18" t="s">
        <v>2128</v>
      </c>
      <c r="B672" s="18">
        <v>33.6</v>
      </c>
      <c r="C672" s="18">
        <v>11.25</v>
      </c>
      <c r="D672" s="18" t="s">
        <v>73</v>
      </c>
      <c r="E672" s="18" t="s">
        <v>73</v>
      </c>
      <c r="F672" s="18" t="s">
        <v>73</v>
      </c>
      <c r="G672" s="20">
        <v>0.0</v>
      </c>
      <c r="H672" s="18" t="s">
        <v>73</v>
      </c>
      <c r="I672" s="18" t="str">
        <f t="shared" si="1"/>
        <v>Obesity</v>
      </c>
    </row>
    <row r="673" ht="15.75" customHeight="1">
      <c r="A673" s="18" t="s">
        <v>2132</v>
      </c>
      <c r="B673" s="18">
        <v>22.42</v>
      </c>
      <c r="C673" s="18">
        <v>6.74</v>
      </c>
      <c r="D673" s="18" t="s">
        <v>73</v>
      </c>
      <c r="E673" s="18" t="s">
        <v>73</v>
      </c>
      <c r="F673" s="18" t="s">
        <v>73</v>
      </c>
      <c r="G673" s="20">
        <v>0.0</v>
      </c>
      <c r="H673" s="18" t="s">
        <v>80</v>
      </c>
      <c r="I673" s="18" t="str">
        <f t="shared" si="1"/>
        <v>Normal Weight</v>
      </c>
    </row>
    <row r="674" ht="15.75" customHeight="1">
      <c r="A674" s="18" t="s">
        <v>2135</v>
      </c>
      <c r="B674" s="18">
        <v>46.86</v>
      </c>
      <c r="C674" s="18">
        <v>4.87</v>
      </c>
      <c r="D674" s="18" t="s">
        <v>73</v>
      </c>
      <c r="E674" s="18" t="s">
        <v>73</v>
      </c>
      <c r="F674" s="18" t="s">
        <v>73</v>
      </c>
      <c r="G674" s="20">
        <v>0.0</v>
      </c>
      <c r="H674" s="18" t="s">
        <v>73</v>
      </c>
      <c r="I674" s="18" t="str">
        <f t="shared" si="1"/>
        <v>Obesity</v>
      </c>
    </row>
    <row r="675" ht="15.75" customHeight="1">
      <c r="A675" s="18" t="s">
        <v>2139</v>
      </c>
      <c r="B675" s="18">
        <v>32.965</v>
      </c>
      <c r="C675" s="18">
        <v>6.68</v>
      </c>
      <c r="D675" s="18" t="s">
        <v>73</v>
      </c>
      <c r="E675" s="18" t="s">
        <v>73</v>
      </c>
      <c r="F675" s="18" t="s">
        <v>73</v>
      </c>
      <c r="G675" s="18">
        <v>3.0</v>
      </c>
      <c r="H675" s="18" t="s">
        <v>73</v>
      </c>
      <c r="I675" s="18" t="str">
        <f t="shared" si="1"/>
        <v>Obesity</v>
      </c>
    </row>
    <row r="676" ht="15.75" customHeight="1">
      <c r="A676" s="18" t="s">
        <v>2143</v>
      </c>
      <c r="B676" s="18">
        <v>39.34</v>
      </c>
      <c r="C676" s="18">
        <v>5.02</v>
      </c>
      <c r="D676" s="18" t="s">
        <v>80</v>
      </c>
      <c r="E676" s="18" t="s">
        <v>73</v>
      </c>
      <c r="F676" s="18" t="s">
        <v>184</v>
      </c>
      <c r="G676" s="18">
        <v>1.0</v>
      </c>
      <c r="H676" s="18" t="s">
        <v>73</v>
      </c>
      <c r="I676" s="18" t="str">
        <f t="shared" si="1"/>
        <v>Obesity</v>
      </c>
    </row>
    <row r="677" ht="15.75" customHeight="1">
      <c r="A677" s="18" t="s">
        <v>2146</v>
      </c>
      <c r="B677" s="18">
        <v>47.0</v>
      </c>
      <c r="C677" s="18">
        <v>10.64</v>
      </c>
      <c r="D677" s="18" t="s">
        <v>80</v>
      </c>
      <c r="E677" s="18" t="s">
        <v>73</v>
      </c>
      <c r="F677" s="18" t="s">
        <v>73</v>
      </c>
      <c r="G677" s="20">
        <v>0.0</v>
      </c>
      <c r="H677" s="18" t="s">
        <v>73</v>
      </c>
      <c r="I677" s="18" t="str">
        <f t="shared" si="1"/>
        <v>Obesity</v>
      </c>
    </row>
    <row r="678" ht="15.75" customHeight="1">
      <c r="A678" s="18" t="s">
        <v>2150</v>
      </c>
      <c r="B678" s="18">
        <v>36.71</v>
      </c>
      <c r="C678" s="18">
        <v>8.74</v>
      </c>
      <c r="D678" s="18" t="s">
        <v>80</v>
      </c>
      <c r="E678" s="18" t="s">
        <v>73</v>
      </c>
      <c r="F678" s="18" t="s">
        <v>73</v>
      </c>
      <c r="G678" s="20">
        <v>0.0</v>
      </c>
      <c r="H678" s="18" t="s">
        <v>73</v>
      </c>
      <c r="I678" s="18" t="str">
        <f t="shared" si="1"/>
        <v>Obesity</v>
      </c>
    </row>
    <row r="679" ht="15.75" customHeight="1">
      <c r="A679" s="18" t="s">
        <v>2153</v>
      </c>
      <c r="B679" s="18">
        <v>53.48</v>
      </c>
      <c r="C679" s="18">
        <v>5.64</v>
      </c>
      <c r="D679" s="18" t="s">
        <v>73</v>
      </c>
      <c r="E679" s="18" t="s">
        <v>73</v>
      </c>
      <c r="F679" s="18" t="s">
        <v>73</v>
      </c>
      <c r="G679" s="20">
        <v>0.0</v>
      </c>
      <c r="H679" s="18" t="s">
        <v>73</v>
      </c>
      <c r="I679" s="18" t="str">
        <f t="shared" si="1"/>
        <v>Obesity</v>
      </c>
    </row>
    <row r="680" ht="15.75" customHeight="1">
      <c r="A680" s="18" t="s">
        <v>2157</v>
      </c>
      <c r="B680" s="18">
        <v>35.5</v>
      </c>
      <c r="C680" s="18">
        <v>10.37</v>
      </c>
      <c r="D680" s="18" t="s">
        <v>73</v>
      </c>
      <c r="E680" s="18" t="s">
        <v>73</v>
      </c>
      <c r="F680" s="18" t="s">
        <v>73</v>
      </c>
      <c r="G680" s="20">
        <v>0.0</v>
      </c>
      <c r="H680" s="18" t="s">
        <v>73</v>
      </c>
      <c r="I680" s="18" t="str">
        <f t="shared" si="1"/>
        <v>Obesity</v>
      </c>
    </row>
    <row r="681" ht="15.75" customHeight="1">
      <c r="A681" s="18" t="s">
        <v>2161</v>
      </c>
      <c r="B681" s="18">
        <v>36.98</v>
      </c>
      <c r="C681" s="18">
        <v>9.56</v>
      </c>
      <c r="D681" s="18" t="s">
        <v>80</v>
      </c>
      <c r="E681" s="18" t="s">
        <v>73</v>
      </c>
      <c r="F681" s="18" t="s">
        <v>73</v>
      </c>
      <c r="G681" s="20">
        <v>0.0</v>
      </c>
      <c r="H681" s="18" t="s">
        <v>73</v>
      </c>
      <c r="I681" s="18" t="str">
        <f t="shared" si="1"/>
        <v>Obesity</v>
      </c>
    </row>
    <row r="682" ht="15.75" customHeight="1">
      <c r="A682" s="18" t="s">
        <v>2163</v>
      </c>
      <c r="B682" s="18">
        <v>32.395</v>
      </c>
      <c r="C682" s="18">
        <v>8.23</v>
      </c>
      <c r="D682" s="18" t="s">
        <v>80</v>
      </c>
      <c r="E682" s="18" t="s">
        <v>73</v>
      </c>
      <c r="F682" s="18" t="s">
        <v>184</v>
      </c>
      <c r="G682" s="18">
        <v>1.0</v>
      </c>
      <c r="H682" s="18" t="s">
        <v>73</v>
      </c>
      <c r="I682" s="18" t="str">
        <f t="shared" si="1"/>
        <v>Obesity</v>
      </c>
    </row>
    <row r="683" ht="15.75" customHeight="1">
      <c r="A683" s="18" t="s">
        <v>2167</v>
      </c>
      <c r="B683" s="18">
        <v>32.73</v>
      </c>
      <c r="C683" s="18">
        <v>7.03</v>
      </c>
      <c r="D683" s="18" t="s">
        <v>73</v>
      </c>
      <c r="E683" s="18" t="s">
        <v>73</v>
      </c>
      <c r="F683" s="18" t="s">
        <v>73</v>
      </c>
      <c r="G683" s="20">
        <v>0.0</v>
      </c>
      <c r="H683" s="18" t="s">
        <v>73</v>
      </c>
      <c r="I683" s="18" t="str">
        <f t="shared" si="1"/>
        <v>Obesity</v>
      </c>
    </row>
    <row r="684" ht="15.75" customHeight="1">
      <c r="A684" s="18" t="s">
        <v>2171</v>
      </c>
      <c r="B684" s="18">
        <v>20.52</v>
      </c>
      <c r="C684" s="18">
        <v>5.45</v>
      </c>
      <c r="D684" s="18" t="s">
        <v>73</v>
      </c>
      <c r="E684" s="18" t="s">
        <v>73</v>
      </c>
      <c r="F684" s="18" t="s">
        <v>73</v>
      </c>
      <c r="G684" s="18">
        <v>1.0</v>
      </c>
      <c r="H684" s="18" t="s">
        <v>80</v>
      </c>
      <c r="I684" s="18" t="str">
        <f t="shared" si="1"/>
        <v>Normal Weight</v>
      </c>
    </row>
    <row r="685" ht="15.75" customHeight="1">
      <c r="A685" s="18" t="s">
        <v>2173</v>
      </c>
      <c r="B685" s="18">
        <v>51.72</v>
      </c>
      <c r="C685" s="18">
        <v>5.76</v>
      </c>
      <c r="D685" s="18" t="s">
        <v>73</v>
      </c>
      <c r="E685" s="18" t="s">
        <v>73</v>
      </c>
      <c r="F685" s="18" t="s">
        <v>73</v>
      </c>
      <c r="G685" s="20">
        <v>0.0</v>
      </c>
      <c r="H685" s="18" t="s">
        <v>73</v>
      </c>
      <c r="I685" s="18" t="str">
        <f t="shared" si="1"/>
        <v>Obesity</v>
      </c>
    </row>
    <row r="686" ht="15.75" customHeight="1">
      <c r="A686" s="18" t="s">
        <v>2177</v>
      </c>
      <c r="B686" s="18">
        <v>50.2</v>
      </c>
      <c r="C686" s="18">
        <v>5.4</v>
      </c>
      <c r="D686" s="18" t="s">
        <v>73</v>
      </c>
      <c r="E686" s="18" t="s">
        <v>73</v>
      </c>
      <c r="F686" s="18" t="s">
        <v>73</v>
      </c>
      <c r="G686" s="20">
        <v>0.0</v>
      </c>
      <c r="H686" s="18" t="s">
        <v>73</v>
      </c>
      <c r="I686" s="18" t="str">
        <f t="shared" si="1"/>
        <v>Obesity</v>
      </c>
    </row>
    <row r="687" ht="15.75" customHeight="1">
      <c r="A687" s="18" t="s">
        <v>2181</v>
      </c>
      <c r="B687" s="18">
        <v>25.52</v>
      </c>
      <c r="C687" s="18">
        <v>6.35</v>
      </c>
      <c r="D687" s="18" t="s">
        <v>73</v>
      </c>
      <c r="E687" s="18" t="s">
        <v>73</v>
      </c>
      <c r="F687" s="18" t="s">
        <v>184</v>
      </c>
      <c r="G687" s="18">
        <v>1.0</v>
      </c>
      <c r="H687" s="18" t="s">
        <v>73</v>
      </c>
      <c r="I687" s="18" t="str">
        <f t="shared" si="1"/>
        <v>Overweight</v>
      </c>
    </row>
    <row r="688" ht="15.75" customHeight="1">
      <c r="A688" s="18" t="s">
        <v>2184</v>
      </c>
      <c r="B688" s="18">
        <v>35.2</v>
      </c>
      <c r="C688" s="18">
        <v>6.26</v>
      </c>
      <c r="D688" s="18" t="s">
        <v>80</v>
      </c>
      <c r="E688" s="18" t="s">
        <v>73</v>
      </c>
      <c r="F688" s="18" t="s">
        <v>73</v>
      </c>
      <c r="G688" s="18">
        <v>2.0</v>
      </c>
      <c r="H688" s="18" t="s">
        <v>73</v>
      </c>
      <c r="I688" s="18" t="str">
        <f t="shared" si="1"/>
        <v>Obesity</v>
      </c>
    </row>
    <row r="689" ht="15.75" customHeight="1">
      <c r="A689" s="18" t="s">
        <v>2188</v>
      </c>
      <c r="B689" s="18">
        <v>41.26</v>
      </c>
      <c r="C689" s="18">
        <v>5.97</v>
      </c>
      <c r="D689" s="18" t="s">
        <v>80</v>
      </c>
      <c r="E689" s="18" t="s">
        <v>73</v>
      </c>
      <c r="F689" s="18" t="s">
        <v>73</v>
      </c>
      <c r="G689" s="20">
        <v>0.0</v>
      </c>
      <c r="H689" s="18" t="s">
        <v>73</v>
      </c>
      <c r="I689" s="18" t="str">
        <f t="shared" si="1"/>
        <v>Obesity</v>
      </c>
    </row>
    <row r="690" ht="15.75" customHeight="1">
      <c r="A690" s="18" t="s">
        <v>2192</v>
      </c>
      <c r="B690" s="18">
        <v>17.195</v>
      </c>
      <c r="C690" s="18">
        <v>5.29</v>
      </c>
      <c r="D690" s="18" t="s">
        <v>80</v>
      </c>
      <c r="E690" s="18" t="s">
        <v>73</v>
      </c>
      <c r="F690" s="18" t="s">
        <v>73</v>
      </c>
      <c r="G690" s="20">
        <v>0.0</v>
      </c>
      <c r="H690" s="18" t="s">
        <v>80</v>
      </c>
      <c r="I690" s="18" t="str">
        <f t="shared" si="1"/>
        <v>Underweight</v>
      </c>
    </row>
    <row r="691" ht="15.75" customHeight="1">
      <c r="A691" s="18" t="s">
        <v>2196</v>
      </c>
      <c r="B691" s="18">
        <v>23.085</v>
      </c>
      <c r="C691" s="18">
        <v>4.27</v>
      </c>
      <c r="D691" s="18" t="s">
        <v>80</v>
      </c>
      <c r="E691" s="18" t="s">
        <v>73</v>
      </c>
      <c r="F691" s="18" t="s">
        <v>73</v>
      </c>
      <c r="G691" s="18">
        <v>2.0</v>
      </c>
      <c r="H691" s="18" t="s">
        <v>73</v>
      </c>
      <c r="I691" s="18" t="str">
        <f t="shared" si="1"/>
        <v>Normal Weight</v>
      </c>
    </row>
    <row r="692" ht="15.75" customHeight="1">
      <c r="A692" s="18" t="s">
        <v>2199</v>
      </c>
      <c r="B692" s="18">
        <v>21.66</v>
      </c>
      <c r="C692" s="18">
        <v>5.2</v>
      </c>
      <c r="D692" s="18" t="s">
        <v>80</v>
      </c>
      <c r="E692" s="18" t="s">
        <v>73</v>
      </c>
      <c r="F692" s="18" t="s">
        <v>73</v>
      </c>
      <c r="G692" s="18">
        <v>2.0</v>
      </c>
      <c r="H692" s="18" t="s">
        <v>73</v>
      </c>
      <c r="I692" s="18" t="str">
        <f t="shared" si="1"/>
        <v>Normal Weight</v>
      </c>
    </row>
    <row r="693" ht="15.75" customHeight="1">
      <c r="A693" s="18" t="s">
        <v>2203</v>
      </c>
      <c r="B693" s="18">
        <v>36.47</v>
      </c>
      <c r="C693" s="18">
        <v>8.23</v>
      </c>
      <c r="D693" s="18" t="s">
        <v>80</v>
      </c>
      <c r="E693" s="18" t="s">
        <v>73</v>
      </c>
      <c r="F693" s="18" t="s">
        <v>73</v>
      </c>
      <c r="G693" s="20">
        <v>0.0</v>
      </c>
      <c r="H693" s="18" t="s">
        <v>73</v>
      </c>
      <c r="I693" s="18" t="str">
        <f t="shared" si="1"/>
        <v>Obesity</v>
      </c>
    </row>
    <row r="694" ht="15.75" customHeight="1">
      <c r="A694" s="18" t="s">
        <v>2206</v>
      </c>
      <c r="B694" s="18">
        <v>36.08</v>
      </c>
      <c r="C694" s="18">
        <v>10.33</v>
      </c>
      <c r="D694" s="18" t="s">
        <v>80</v>
      </c>
      <c r="E694" s="18" t="s">
        <v>73</v>
      </c>
      <c r="F694" s="18" t="s">
        <v>73</v>
      </c>
      <c r="G694" s="20">
        <v>0.0</v>
      </c>
      <c r="H694" s="18" t="s">
        <v>73</v>
      </c>
      <c r="I694" s="18" t="str">
        <f t="shared" si="1"/>
        <v>Obesity</v>
      </c>
    </row>
    <row r="695" ht="15.75" customHeight="1">
      <c r="A695" s="18" t="s">
        <v>2210</v>
      </c>
      <c r="B695" s="18">
        <v>23.18</v>
      </c>
      <c r="C695" s="18">
        <v>6.13</v>
      </c>
      <c r="D695" s="18" t="s">
        <v>73</v>
      </c>
      <c r="E695" s="18" t="s">
        <v>73</v>
      </c>
      <c r="F695" s="18" t="s">
        <v>73</v>
      </c>
      <c r="G695" s="20">
        <v>0.0</v>
      </c>
      <c r="H695" s="18" t="s">
        <v>73</v>
      </c>
      <c r="I695" s="18" t="str">
        <f t="shared" si="1"/>
        <v>Normal Weight</v>
      </c>
    </row>
    <row r="696" ht="15.75" customHeight="1">
      <c r="A696" s="18" t="s">
        <v>2214</v>
      </c>
      <c r="B696" s="18">
        <v>39.16</v>
      </c>
      <c r="C696" s="18">
        <v>8.08</v>
      </c>
      <c r="D696" s="18" t="s">
        <v>73</v>
      </c>
      <c r="E696" s="18" t="s">
        <v>73</v>
      </c>
      <c r="F696" s="18" t="s">
        <v>73</v>
      </c>
      <c r="G696" s="18">
        <v>3.0</v>
      </c>
      <c r="H696" s="18" t="s">
        <v>73</v>
      </c>
      <c r="I696" s="18" t="str">
        <f t="shared" si="1"/>
        <v>Obesity</v>
      </c>
    </row>
    <row r="697" ht="15.75" customHeight="1">
      <c r="A697" s="18" t="s">
        <v>2217</v>
      </c>
      <c r="B697" s="18">
        <v>38.19</v>
      </c>
      <c r="C697" s="18">
        <v>10.49</v>
      </c>
      <c r="D697" s="18" t="s">
        <v>73</v>
      </c>
      <c r="E697" s="18" t="s">
        <v>73</v>
      </c>
      <c r="F697" s="18" t="s">
        <v>73</v>
      </c>
      <c r="G697" s="18">
        <v>3.0</v>
      </c>
      <c r="H697" s="18" t="s">
        <v>73</v>
      </c>
      <c r="I697" s="18" t="str">
        <f t="shared" si="1"/>
        <v>Obesity</v>
      </c>
    </row>
    <row r="698" ht="15.75" customHeight="1">
      <c r="A698" s="18" t="s">
        <v>2221</v>
      </c>
      <c r="B698" s="18">
        <v>26.41</v>
      </c>
      <c r="C698" s="18">
        <v>8.11</v>
      </c>
      <c r="D698" s="18" t="s">
        <v>73</v>
      </c>
      <c r="E698" s="18" t="s">
        <v>73</v>
      </c>
      <c r="F698" s="18" t="s">
        <v>73</v>
      </c>
      <c r="G698" s="18">
        <v>3.0</v>
      </c>
      <c r="H698" s="18" t="s">
        <v>73</v>
      </c>
      <c r="I698" s="18" t="str">
        <f t="shared" si="1"/>
        <v>Overweight</v>
      </c>
    </row>
    <row r="699" ht="15.75" customHeight="1">
      <c r="A699" s="18" t="s">
        <v>2225</v>
      </c>
      <c r="B699" s="18">
        <v>28.785</v>
      </c>
      <c r="C699" s="18">
        <v>6.6</v>
      </c>
      <c r="D699" s="18" t="s">
        <v>73</v>
      </c>
      <c r="E699" s="18" t="s">
        <v>73</v>
      </c>
      <c r="F699" s="18" t="s">
        <v>73</v>
      </c>
      <c r="G699" s="20">
        <v>0.0</v>
      </c>
      <c r="H699" s="18" t="s">
        <v>73</v>
      </c>
      <c r="I699" s="18" t="str">
        <f t="shared" si="1"/>
        <v>Overweight</v>
      </c>
    </row>
    <row r="700" ht="15.75" customHeight="1">
      <c r="A700" s="18" t="s">
        <v>2228</v>
      </c>
      <c r="B700" s="18">
        <v>26.695</v>
      </c>
      <c r="C700" s="18">
        <v>10.14</v>
      </c>
      <c r="D700" s="18" t="s">
        <v>80</v>
      </c>
      <c r="E700" s="18" t="s">
        <v>73</v>
      </c>
      <c r="F700" s="18" t="s">
        <v>184</v>
      </c>
      <c r="G700" s="18">
        <v>1.0</v>
      </c>
      <c r="H700" s="18" t="s">
        <v>73</v>
      </c>
      <c r="I700" s="18" t="str">
        <f t="shared" si="1"/>
        <v>Overweight</v>
      </c>
    </row>
    <row r="701" ht="15.75" customHeight="1">
      <c r="A701" s="18" t="s">
        <v>2231</v>
      </c>
      <c r="B701" s="18">
        <v>32.8</v>
      </c>
      <c r="C701" s="18">
        <v>6.06</v>
      </c>
      <c r="D701" s="18" t="s">
        <v>80</v>
      </c>
      <c r="E701" s="18" t="s">
        <v>73</v>
      </c>
      <c r="F701" s="18" t="s">
        <v>73</v>
      </c>
      <c r="G701" s="18">
        <v>1.0</v>
      </c>
      <c r="H701" s="18" t="s">
        <v>73</v>
      </c>
      <c r="I701" s="18" t="str">
        <f t="shared" si="1"/>
        <v>Obesity</v>
      </c>
    </row>
    <row r="702" ht="15.75" customHeight="1">
      <c r="A702" s="18" t="s">
        <v>2235</v>
      </c>
      <c r="B702" s="18">
        <v>35.87</v>
      </c>
      <c r="C702" s="18">
        <v>9.91</v>
      </c>
      <c r="D702" s="18" t="s">
        <v>80</v>
      </c>
      <c r="E702" s="18" t="s">
        <v>73</v>
      </c>
      <c r="F702" s="18" t="s">
        <v>73</v>
      </c>
      <c r="G702" s="20">
        <v>0.0</v>
      </c>
      <c r="H702" s="18" t="s">
        <v>73</v>
      </c>
      <c r="I702" s="18" t="str">
        <f t="shared" si="1"/>
        <v>Obesity</v>
      </c>
    </row>
    <row r="703" ht="15.75" customHeight="1">
      <c r="A703" s="18" t="s">
        <v>2239</v>
      </c>
      <c r="B703" s="18">
        <v>21.66</v>
      </c>
      <c r="C703" s="18">
        <v>4.14</v>
      </c>
      <c r="D703" s="18" t="s">
        <v>80</v>
      </c>
      <c r="E703" s="18" t="s">
        <v>73</v>
      </c>
      <c r="F703" s="18" t="s">
        <v>73</v>
      </c>
      <c r="G703" s="18">
        <v>2.0</v>
      </c>
      <c r="H703" s="18" t="s">
        <v>73</v>
      </c>
      <c r="I703" s="18" t="str">
        <f t="shared" si="1"/>
        <v>Normal Weight</v>
      </c>
    </row>
    <row r="704" ht="15.75" customHeight="1">
      <c r="A704" s="18" t="s">
        <v>2242</v>
      </c>
      <c r="B704" s="18">
        <v>37.72</v>
      </c>
      <c r="C704" s="18">
        <v>4.38</v>
      </c>
      <c r="D704" s="18" t="s">
        <v>80</v>
      </c>
      <c r="E704" s="18" t="s">
        <v>73</v>
      </c>
      <c r="F704" s="18" t="s">
        <v>184</v>
      </c>
      <c r="G704" s="18">
        <v>1.0</v>
      </c>
      <c r="H704" s="18" t="s">
        <v>73</v>
      </c>
      <c r="I704" s="18" t="str">
        <f t="shared" si="1"/>
        <v>Obesity</v>
      </c>
    </row>
    <row r="705" ht="15.75" customHeight="1">
      <c r="A705" s="18" t="s">
        <v>2246</v>
      </c>
      <c r="B705" s="18">
        <v>39.7</v>
      </c>
      <c r="C705" s="18">
        <v>9.83</v>
      </c>
      <c r="D705" s="18" t="s">
        <v>73</v>
      </c>
      <c r="E705" s="18" t="s">
        <v>73</v>
      </c>
      <c r="F705" s="18" t="s">
        <v>73</v>
      </c>
      <c r="G705" s="18">
        <v>3.0</v>
      </c>
      <c r="H705" s="18" t="s">
        <v>73</v>
      </c>
      <c r="I705" s="18" t="str">
        <f t="shared" si="1"/>
        <v>Obesity</v>
      </c>
    </row>
    <row r="706" ht="15.75" customHeight="1">
      <c r="A706" s="18" t="s">
        <v>2249</v>
      </c>
      <c r="B706" s="18">
        <v>35.97</v>
      </c>
      <c r="C706" s="18">
        <v>11.08</v>
      </c>
      <c r="D706" s="18" t="s">
        <v>73</v>
      </c>
      <c r="E706" s="18" t="s">
        <v>73</v>
      </c>
      <c r="F706" s="18" t="s">
        <v>73</v>
      </c>
      <c r="G706" s="18">
        <v>3.0</v>
      </c>
      <c r="H706" s="18" t="s">
        <v>73</v>
      </c>
      <c r="I706" s="18" t="str">
        <f t="shared" si="1"/>
        <v>Obesity</v>
      </c>
    </row>
    <row r="707" ht="15.75" customHeight="1">
      <c r="A707" s="18" t="s">
        <v>2252</v>
      </c>
      <c r="B707" s="18">
        <v>37.85</v>
      </c>
      <c r="C707" s="18">
        <v>11.01</v>
      </c>
      <c r="D707" s="18" t="s">
        <v>73</v>
      </c>
      <c r="E707" s="18" t="s">
        <v>73</v>
      </c>
      <c r="F707" s="18" t="s">
        <v>73</v>
      </c>
      <c r="G707" s="20">
        <v>0.0</v>
      </c>
      <c r="H707" s="18" t="s">
        <v>73</v>
      </c>
      <c r="I707" s="18" t="str">
        <f t="shared" si="1"/>
        <v>Obesity</v>
      </c>
    </row>
    <row r="708" ht="15.75" customHeight="1">
      <c r="A708" s="18" t="s">
        <v>2256</v>
      </c>
      <c r="B708" s="18">
        <v>21.66</v>
      </c>
      <c r="C708" s="18">
        <v>4.37</v>
      </c>
      <c r="D708" s="18" t="s">
        <v>73</v>
      </c>
      <c r="E708" s="18" t="s">
        <v>80</v>
      </c>
      <c r="F708" s="18" t="s">
        <v>73</v>
      </c>
      <c r="G708" s="18">
        <v>1.0</v>
      </c>
      <c r="H708" s="18" t="s">
        <v>80</v>
      </c>
      <c r="I708" s="18" t="str">
        <f t="shared" si="1"/>
        <v>Normal Weight</v>
      </c>
    </row>
    <row r="709" ht="15.75" customHeight="1">
      <c r="A709" s="18" t="s">
        <v>2259</v>
      </c>
      <c r="B709" s="18">
        <v>39.37</v>
      </c>
      <c r="C709" s="18">
        <v>5.91</v>
      </c>
      <c r="D709" s="18" t="s">
        <v>73</v>
      </c>
      <c r="E709" s="18" t="s">
        <v>73</v>
      </c>
      <c r="F709" s="18" t="s">
        <v>73</v>
      </c>
      <c r="G709" s="18">
        <v>2.0</v>
      </c>
      <c r="H709" s="18" t="s">
        <v>73</v>
      </c>
      <c r="I709" s="18" t="str">
        <f t="shared" si="1"/>
        <v>Obesity</v>
      </c>
    </row>
    <row r="710" ht="15.75" customHeight="1">
      <c r="A710" s="18" t="s">
        <v>2260</v>
      </c>
      <c r="B710" s="18">
        <v>40.88</v>
      </c>
      <c r="C710" s="18">
        <v>7.65</v>
      </c>
      <c r="D710" s="18" t="s">
        <v>73</v>
      </c>
      <c r="E710" s="18" t="s">
        <v>73</v>
      </c>
      <c r="F710" s="18" t="s">
        <v>73</v>
      </c>
      <c r="G710" s="20">
        <v>0.0</v>
      </c>
      <c r="H710" s="18" t="s">
        <v>73</v>
      </c>
      <c r="I710" s="18" t="str">
        <f t="shared" si="1"/>
        <v>Obesity</v>
      </c>
    </row>
    <row r="711" ht="15.75" customHeight="1">
      <c r="A711" s="18" t="s">
        <v>2264</v>
      </c>
      <c r="B711" s="18">
        <v>26.22</v>
      </c>
      <c r="C711" s="18">
        <v>5.37</v>
      </c>
      <c r="D711" s="18" t="s">
        <v>80</v>
      </c>
      <c r="E711" s="18" t="s">
        <v>73</v>
      </c>
      <c r="F711" s="18" t="s">
        <v>73</v>
      </c>
      <c r="G711" s="18">
        <v>2.0</v>
      </c>
      <c r="H711" s="18" t="s">
        <v>73</v>
      </c>
      <c r="I711" s="18" t="str">
        <f t="shared" si="1"/>
        <v>Overweight</v>
      </c>
    </row>
    <row r="712" ht="15.75" customHeight="1">
      <c r="A712" s="18" t="s">
        <v>2268</v>
      </c>
      <c r="B712" s="18">
        <v>25.08</v>
      </c>
      <c r="C712" s="18">
        <v>5.75</v>
      </c>
      <c r="D712" s="18" t="s">
        <v>80</v>
      </c>
      <c r="E712" s="18" t="s">
        <v>73</v>
      </c>
      <c r="F712" s="18" t="s">
        <v>73</v>
      </c>
      <c r="G712" s="18">
        <v>2.0</v>
      </c>
      <c r="H712" s="18" t="s">
        <v>73</v>
      </c>
      <c r="I712" s="18" t="str">
        <f t="shared" si="1"/>
        <v>Overweight</v>
      </c>
    </row>
    <row r="713" ht="15.75" customHeight="1">
      <c r="A713" s="18" t="s">
        <v>2271</v>
      </c>
      <c r="B713" s="18">
        <v>39.1</v>
      </c>
      <c r="C713" s="18">
        <v>6.79</v>
      </c>
      <c r="D713" s="18" t="s">
        <v>80</v>
      </c>
      <c r="E713" s="18" t="s">
        <v>73</v>
      </c>
      <c r="F713" s="18" t="s">
        <v>73</v>
      </c>
      <c r="G713" s="18">
        <v>2.0</v>
      </c>
      <c r="H713" s="18" t="s">
        <v>73</v>
      </c>
      <c r="I713" s="18" t="str">
        <f t="shared" si="1"/>
        <v>Obesity</v>
      </c>
    </row>
    <row r="714" ht="15.75" customHeight="1">
      <c r="A714" s="18" t="s">
        <v>2275</v>
      </c>
      <c r="B714" s="18">
        <v>37.905</v>
      </c>
      <c r="C714" s="18">
        <v>7.03</v>
      </c>
      <c r="D714" s="18" t="s">
        <v>73</v>
      </c>
      <c r="E714" s="18" t="s">
        <v>73</v>
      </c>
      <c r="F714" s="18" t="s">
        <v>73</v>
      </c>
      <c r="G714" s="18">
        <v>3.0</v>
      </c>
      <c r="H714" s="18" t="s">
        <v>73</v>
      </c>
      <c r="I714" s="18" t="str">
        <f t="shared" si="1"/>
        <v>Obesity</v>
      </c>
    </row>
    <row r="715" ht="15.75" customHeight="1">
      <c r="A715" s="18" t="s">
        <v>2278</v>
      </c>
      <c r="B715" s="18">
        <v>43.35</v>
      </c>
      <c r="C715" s="18">
        <v>5.41</v>
      </c>
      <c r="D715" s="18" t="s">
        <v>80</v>
      </c>
      <c r="E715" s="18" t="s">
        <v>73</v>
      </c>
      <c r="F715" s="18" t="s">
        <v>184</v>
      </c>
      <c r="G715" s="18">
        <v>1.0</v>
      </c>
      <c r="H715" s="18" t="s">
        <v>73</v>
      </c>
      <c r="I715" s="18" t="str">
        <f t="shared" si="1"/>
        <v>Obesity</v>
      </c>
    </row>
    <row r="716" ht="15.75" customHeight="1">
      <c r="A716" s="18" t="s">
        <v>2281</v>
      </c>
      <c r="B716" s="18">
        <v>36.15</v>
      </c>
      <c r="C716" s="18">
        <v>8.05</v>
      </c>
      <c r="D716" s="18" t="s">
        <v>73</v>
      </c>
      <c r="E716" s="18" t="s">
        <v>73</v>
      </c>
      <c r="F716" s="18" t="s">
        <v>73</v>
      </c>
      <c r="G716" s="20">
        <v>0.0</v>
      </c>
      <c r="H716" s="18" t="s">
        <v>73</v>
      </c>
      <c r="I716" s="18" t="str">
        <f t="shared" si="1"/>
        <v>Obesity</v>
      </c>
    </row>
    <row r="717" ht="15.75" customHeight="1">
      <c r="A717" s="18" t="s">
        <v>2284</v>
      </c>
      <c r="B717" s="18">
        <v>44.98</v>
      </c>
      <c r="C717" s="18">
        <v>5.94</v>
      </c>
      <c r="D717" s="18" t="s">
        <v>73</v>
      </c>
      <c r="E717" s="18" t="s">
        <v>73</v>
      </c>
      <c r="F717" s="18" t="s">
        <v>73</v>
      </c>
      <c r="G717" s="18">
        <v>1.0</v>
      </c>
      <c r="H717" s="18" t="s">
        <v>73</v>
      </c>
      <c r="I717" s="18" t="str">
        <f t="shared" si="1"/>
        <v>Obesity</v>
      </c>
    </row>
    <row r="718" ht="15.75" customHeight="1">
      <c r="A718" s="18" t="s">
        <v>2288</v>
      </c>
      <c r="B718" s="18">
        <v>38.28</v>
      </c>
      <c r="C718" s="18">
        <v>5.51</v>
      </c>
      <c r="D718" s="18" t="s">
        <v>73</v>
      </c>
      <c r="E718" s="18" t="s">
        <v>80</v>
      </c>
      <c r="F718" s="18" t="s">
        <v>73</v>
      </c>
      <c r="G718" s="18">
        <v>1.0</v>
      </c>
      <c r="H718" s="18" t="s">
        <v>73</v>
      </c>
      <c r="I718" s="18" t="str">
        <f t="shared" si="1"/>
        <v>Obesity</v>
      </c>
    </row>
    <row r="719" ht="15.75" customHeight="1">
      <c r="A719" s="18" t="s">
        <v>2292</v>
      </c>
      <c r="B719" s="18">
        <v>32.3</v>
      </c>
      <c r="C719" s="18">
        <v>6.55</v>
      </c>
      <c r="D719" s="18" t="s">
        <v>80</v>
      </c>
      <c r="E719" s="18" t="s">
        <v>73</v>
      </c>
      <c r="F719" s="18" t="s">
        <v>73</v>
      </c>
      <c r="G719" s="18">
        <v>2.0</v>
      </c>
      <c r="H719" s="18" t="s">
        <v>73</v>
      </c>
      <c r="I719" s="18" t="str">
        <f t="shared" si="1"/>
        <v>Obesity</v>
      </c>
    </row>
    <row r="720" ht="15.75" customHeight="1">
      <c r="A720" s="18" t="s">
        <v>2295</v>
      </c>
      <c r="B720" s="18">
        <v>39.51</v>
      </c>
      <c r="C720" s="18">
        <v>5.79</v>
      </c>
      <c r="D720" s="18" t="s">
        <v>80</v>
      </c>
      <c r="E720" s="18" t="s">
        <v>73</v>
      </c>
      <c r="F720" s="18" t="s">
        <v>73</v>
      </c>
      <c r="G720" s="20">
        <v>0.0</v>
      </c>
      <c r="H720" s="18" t="s">
        <v>73</v>
      </c>
      <c r="I720" s="18" t="str">
        <f t="shared" si="1"/>
        <v>Obesity</v>
      </c>
    </row>
    <row r="721" ht="15.75" customHeight="1">
      <c r="A721" s="18" t="s">
        <v>2299</v>
      </c>
      <c r="B721" s="18">
        <v>50.46</v>
      </c>
      <c r="C721" s="18">
        <v>4.56</v>
      </c>
      <c r="D721" s="18" t="s">
        <v>73</v>
      </c>
      <c r="E721" s="18" t="s">
        <v>73</v>
      </c>
      <c r="F721" s="18" t="s">
        <v>73</v>
      </c>
      <c r="G721" s="20">
        <v>0.0</v>
      </c>
      <c r="H721" s="18" t="s">
        <v>73</v>
      </c>
      <c r="I721" s="18" t="str">
        <f t="shared" si="1"/>
        <v>Obesity</v>
      </c>
    </row>
    <row r="722" ht="15.75" customHeight="1">
      <c r="A722" s="18" t="s">
        <v>2303</v>
      </c>
      <c r="B722" s="18">
        <v>31.73</v>
      </c>
      <c r="C722" s="18">
        <v>7.0</v>
      </c>
      <c r="D722" s="18" t="s">
        <v>73</v>
      </c>
      <c r="E722" s="18" t="s">
        <v>73</v>
      </c>
      <c r="F722" s="18" t="s">
        <v>73</v>
      </c>
      <c r="G722" s="20">
        <v>0.0</v>
      </c>
      <c r="H722" s="18" t="s">
        <v>73</v>
      </c>
      <c r="I722" s="18" t="str">
        <f t="shared" si="1"/>
        <v>Obesity</v>
      </c>
    </row>
    <row r="723" ht="15.75" customHeight="1">
      <c r="A723" s="18" t="s">
        <v>2305</v>
      </c>
      <c r="B723" s="18">
        <v>32.1</v>
      </c>
      <c r="C723" s="18">
        <v>6.57</v>
      </c>
      <c r="D723" s="18" t="s">
        <v>80</v>
      </c>
      <c r="E723" s="18" t="s">
        <v>73</v>
      </c>
      <c r="F723" s="18" t="s">
        <v>184</v>
      </c>
      <c r="G723" s="18">
        <v>1.0</v>
      </c>
      <c r="H723" s="18" t="s">
        <v>73</v>
      </c>
      <c r="I723" s="18" t="str">
        <f t="shared" si="1"/>
        <v>Obesity</v>
      </c>
    </row>
    <row r="724" ht="15.75" customHeight="1">
      <c r="A724" s="18" t="s">
        <v>2307</v>
      </c>
      <c r="B724" s="18">
        <v>27.83</v>
      </c>
      <c r="C724" s="18">
        <v>11.61</v>
      </c>
      <c r="D724" s="18" t="s">
        <v>80</v>
      </c>
      <c r="E724" s="18" t="s">
        <v>73</v>
      </c>
      <c r="F724" s="18" t="s">
        <v>184</v>
      </c>
      <c r="G724" s="18">
        <v>1.0</v>
      </c>
      <c r="H724" s="18" t="s">
        <v>73</v>
      </c>
      <c r="I724" s="18" t="str">
        <f t="shared" si="1"/>
        <v>Overweight</v>
      </c>
    </row>
    <row r="725" ht="15.75" customHeight="1">
      <c r="A725" s="18" t="s">
        <v>2311</v>
      </c>
      <c r="B725" s="18">
        <v>27.72</v>
      </c>
      <c r="C725" s="18">
        <v>8.16</v>
      </c>
      <c r="D725" s="18" t="s">
        <v>80</v>
      </c>
      <c r="E725" s="18" t="s">
        <v>73</v>
      </c>
      <c r="F725" s="18" t="s">
        <v>184</v>
      </c>
      <c r="G725" s="18">
        <v>1.0</v>
      </c>
      <c r="H725" s="18" t="s">
        <v>73</v>
      </c>
      <c r="I725" s="18" t="str">
        <f t="shared" si="1"/>
        <v>Overweight</v>
      </c>
    </row>
    <row r="726" ht="15.75" customHeight="1">
      <c r="A726" s="18" t="s">
        <v>2313</v>
      </c>
      <c r="B726" s="18">
        <v>36.765</v>
      </c>
      <c r="C726" s="18">
        <v>4.48</v>
      </c>
      <c r="D726" s="18" t="s">
        <v>80</v>
      </c>
      <c r="E726" s="18" t="s">
        <v>73</v>
      </c>
      <c r="F726" s="18" t="s">
        <v>73</v>
      </c>
      <c r="G726" s="18">
        <v>2.0</v>
      </c>
      <c r="H726" s="18" t="s">
        <v>73</v>
      </c>
      <c r="I726" s="18" t="str">
        <f t="shared" si="1"/>
        <v>Obesity</v>
      </c>
    </row>
    <row r="727" ht="15.75" customHeight="1">
      <c r="A727" s="18" t="s">
        <v>2317</v>
      </c>
      <c r="B727" s="18">
        <v>48.36</v>
      </c>
      <c r="C727" s="18">
        <v>4.08</v>
      </c>
      <c r="D727" s="18" t="s">
        <v>73</v>
      </c>
      <c r="E727" s="18" t="s">
        <v>73</v>
      </c>
      <c r="F727" s="18" t="s">
        <v>73</v>
      </c>
      <c r="G727" s="20">
        <v>0.0</v>
      </c>
      <c r="H727" s="18" t="s">
        <v>73</v>
      </c>
      <c r="I727" s="18" t="str">
        <f t="shared" si="1"/>
        <v>Obesity</v>
      </c>
    </row>
    <row r="728" ht="15.75" customHeight="1">
      <c r="A728" s="18" t="s">
        <v>2319</v>
      </c>
      <c r="B728" s="18">
        <v>31.445</v>
      </c>
      <c r="C728" s="18">
        <v>4.4</v>
      </c>
      <c r="D728" s="18" t="s">
        <v>80</v>
      </c>
      <c r="E728" s="18" t="s">
        <v>73</v>
      </c>
      <c r="F728" s="18" t="s">
        <v>73</v>
      </c>
      <c r="G728" s="18">
        <v>2.0</v>
      </c>
      <c r="H728" s="18" t="s">
        <v>73</v>
      </c>
      <c r="I728" s="18" t="str">
        <f t="shared" si="1"/>
        <v>Obesity</v>
      </c>
    </row>
    <row r="729" ht="15.75" customHeight="1">
      <c r="A729" s="18" t="s">
        <v>2321</v>
      </c>
      <c r="B729" s="18">
        <v>27.55</v>
      </c>
      <c r="C729" s="18">
        <v>9.02</v>
      </c>
      <c r="D729" s="18" t="s">
        <v>73</v>
      </c>
      <c r="E729" s="18" t="s">
        <v>73</v>
      </c>
      <c r="F729" s="18" t="s">
        <v>73</v>
      </c>
      <c r="G729" s="20">
        <v>0.0</v>
      </c>
      <c r="H729" s="18" t="s">
        <v>73</v>
      </c>
      <c r="I729" s="18" t="str">
        <f t="shared" si="1"/>
        <v>Overweight</v>
      </c>
    </row>
    <row r="730" ht="15.75" customHeight="1">
      <c r="A730" s="18" t="s">
        <v>2325</v>
      </c>
      <c r="B730" s="18">
        <v>33.11</v>
      </c>
      <c r="C730" s="18">
        <v>8.06</v>
      </c>
      <c r="D730" s="18" t="s">
        <v>73</v>
      </c>
      <c r="E730" s="18" t="s">
        <v>73</v>
      </c>
      <c r="F730" s="18" t="s">
        <v>73</v>
      </c>
      <c r="G730" s="20">
        <v>0.0</v>
      </c>
      <c r="H730" s="18" t="s">
        <v>73</v>
      </c>
      <c r="I730" s="18" t="str">
        <f t="shared" si="1"/>
        <v>Obesity</v>
      </c>
    </row>
    <row r="731" ht="15.75" customHeight="1">
      <c r="A731" s="18" t="s">
        <v>2327</v>
      </c>
      <c r="B731" s="18">
        <v>36.85</v>
      </c>
      <c r="C731" s="18">
        <v>6.21</v>
      </c>
      <c r="D731" s="18" t="s">
        <v>80</v>
      </c>
      <c r="E731" s="18" t="s">
        <v>73</v>
      </c>
      <c r="F731" s="18" t="s">
        <v>73</v>
      </c>
      <c r="G731" s="18">
        <v>2.0</v>
      </c>
      <c r="H731" s="18" t="s">
        <v>73</v>
      </c>
      <c r="I731" s="18" t="str">
        <f t="shared" si="1"/>
        <v>Obesity</v>
      </c>
    </row>
    <row r="732" ht="15.75" customHeight="1">
      <c r="A732" s="18" t="s">
        <v>2331</v>
      </c>
      <c r="B732" s="18">
        <v>36.3</v>
      </c>
      <c r="C732" s="18">
        <v>5.79</v>
      </c>
      <c r="D732" s="18" t="s">
        <v>80</v>
      </c>
      <c r="E732" s="18" t="s">
        <v>73</v>
      </c>
      <c r="F732" s="18" t="s">
        <v>73</v>
      </c>
      <c r="G732" s="18">
        <v>2.0</v>
      </c>
      <c r="H732" s="18" t="s">
        <v>73</v>
      </c>
      <c r="I732" s="18" t="str">
        <f t="shared" si="1"/>
        <v>Obesity</v>
      </c>
    </row>
    <row r="733" ht="15.75" customHeight="1">
      <c r="A733" s="18" t="s">
        <v>2333</v>
      </c>
      <c r="B733" s="18">
        <v>45.34</v>
      </c>
      <c r="C733" s="18">
        <v>5.69</v>
      </c>
      <c r="D733" s="18" t="s">
        <v>80</v>
      </c>
      <c r="E733" s="18" t="s">
        <v>73</v>
      </c>
      <c r="F733" s="18" t="s">
        <v>73</v>
      </c>
      <c r="G733" s="20">
        <v>0.0</v>
      </c>
      <c r="H733" s="18" t="s">
        <v>73</v>
      </c>
      <c r="I733" s="18" t="str">
        <f t="shared" si="1"/>
        <v>Obesity</v>
      </c>
    </row>
    <row r="734" ht="15.75" customHeight="1">
      <c r="A734" s="18" t="s">
        <v>2337</v>
      </c>
      <c r="B734" s="18">
        <v>31.8</v>
      </c>
      <c r="C734" s="18">
        <v>5.36</v>
      </c>
      <c r="D734" s="18" t="s">
        <v>80</v>
      </c>
      <c r="E734" s="18" t="s">
        <v>73</v>
      </c>
      <c r="F734" s="18" t="s">
        <v>73</v>
      </c>
      <c r="G734" s="18">
        <v>2.0</v>
      </c>
      <c r="H734" s="18" t="s">
        <v>73</v>
      </c>
      <c r="I734" s="18" t="str">
        <f t="shared" si="1"/>
        <v>Obesity</v>
      </c>
    </row>
    <row r="735" ht="15.75" customHeight="1">
      <c r="A735" s="18" t="s">
        <v>2340</v>
      </c>
      <c r="B735" s="18">
        <v>41.02</v>
      </c>
      <c r="C735" s="18">
        <v>11.37</v>
      </c>
      <c r="D735" s="18" t="s">
        <v>73</v>
      </c>
      <c r="E735" s="18" t="s">
        <v>73</v>
      </c>
      <c r="F735" s="18" t="s">
        <v>73</v>
      </c>
      <c r="G735" s="20">
        <v>0.0</v>
      </c>
      <c r="H735" s="18" t="s">
        <v>73</v>
      </c>
      <c r="I735" s="18" t="str">
        <f t="shared" si="1"/>
        <v>Obesity</v>
      </c>
    </row>
    <row r="736" ht="15.75" customHeight="1">
      <c r="A736" s="18" t="s">
        <v>2343</v>
      </c>
      <c r="B736" s="18">
        <v>32.68</v>
      </c>
      <c r="C736" s="18">
        <v>11.87</v>
      </c>
      <c r="D736" s="18" t="s">
        <v>73</v>
      </c>
      <c r="E736" s="18" t="s">
        <v>73</v>
      </c>
      <c r="F736" s="18" t="s">
        <v>73</v>
      </c>
      <c r="G736" s="20">
        <v>0.0</v>
      </c>
      <c r="H736" s="18" t="s">
        <v>73</v>
      </c>
      <c r="I736" s="18" t="str">
        <f t="shared" si="1"/>
        <v>Obesity</v>
      </c>
    </row>
    <row r="737" ht="15.75" customHeight="1">
      <c r="A737" s="18" t="s">
        <v>2347</v>
      </c>
      <c r="B737" s="18">
        <v>21.7</v>
      </c>
      <c r="C737" s="18">
        <v>4.9</v>
      </c>
      <c r="D737" s="18" t="s">
        <v>73</v>
      </c>
      <c r="E737" s="18" t="s">
        <v>73</v>
      </c>
      <c r="F737" s="18" t="s">
        <v>184</v>
      </c>
      <c r="G737" s="18">
        <v>1.0</v>
      </c>
      <c r="H737" s="18" t="s">
        <v>80</v>
      </c>
      <c r="I737" s="18" t="str">
        <f t="shared" si="1"/>
        <v>Normal Weight</v>
      </c>
    </row>
    <row r="738" ht="15.75" customHeight="1">
      <c r="A738" s="18" t="s">
        <v>2350</v>
      </c>
      <c r="B738" s="18">
        <v>40.48</v>
      </c>
      <c r="C738" s="18">
        <v>6.7</v>
      </c>
      <c r="D738" s="18" t="s">
        <v>73</v>
      </c>
      <c r="E738" s="18" t="s">
        <v>73</v>
      </c>
      <c r="F738" s="18" t="s">
        <v>73</v>
      </c>
      <c r="G738" s="18">
        <v>3.0</v>
      </c>
      <c r="H738" s="18" t="s">
        <v>73</v>
      </c>
      <c r="I738" s="18" t="str">
        <f t="shared" si="1"/>
        <v>Obesity</v>
      </c>
    </row>
    <row r="739" ht="15.75" customHeight="1">
      <c r="A739" s="18" t="s">
        <v>2353</v>
      </c>
      <c r="B739" s="18">
        <v>34.5</v>
      </c>
      <c r="C739" s="18">
        <v>10.3</v>
      </c>
      <c r="D739" s="18" t="s">
        <v>73</v>
      </c>
      <c r="E739" s="18" t="s">
        <v>73</v>
      </c>
      <c r="F739" s="18" t="s">
        <v>73</v>
      </c>
      <c r="G739" s="18">
        <v>3.0</v>
      </c>
      <c r="H739" s="18" t="s">
        <v>73</v>
      </c>
      <c r="I739" s="18" t="str">
        <f t="shared" si="1"/>
        <v>Obesity</v>
      </c>
    </row>
    <row r="740" ht="15.75" customHeight="1">
      <c r="A740" s="18" t="s">
        <v>2356</v>
      </c>
      <c r="B740" s="18">
        <v>45.9</v>
      </c>
      <c r="C740" s="18">
        <v>11.14</v>
      </c>
      <c r="D740" s="18" t="s">
        <v>80</v>
      </c>
      <c r="E740" s="18" t="s">
        <v>73</v>
      </c>
      <c r="F740" s="18" t="s">
        <v>73</v>
      </c>
      <c r="G740" s="18">
        <v>1.0</v>
      </c>
      <c r="H740" s="18" t="s">
        <v>73</v>
      </c>
      <c r="I740" s="18" t="str">
        <f t="shared" si="1"/>
        <v>Obesity</v>
      </c>
    </row>
    <row r="741" ht="15.75" customHeight="1">
      <c r="A741" s="18" t="s">
        <v>2360</v>
      </c>
      <c r="B741" s="18">
        <v>33.48</v>
      </c>
      <c r="C741" s="18">
        <v>4.74</v>
      </c>
      <c r="D741" s="18" t="s">
        <v>80</v>
      </c>
      <c r="E741" s="18" t="s">
        <v>73</v>
      </c>
      <c r="F741" s="18" t="s">
        <v>73</v>
      </c>
      <c r="G741" s="18">
        <v>2.0</v>
      </c>
      <c r="H741" s="18" t="s">
        <v>73</v>
      </c>
      <c r="I741" s="18" t="str">
        <f t="shared" si="1"/>
        <v>Obesity</v>
      </c>
    </row>
    <row r="742" ht="15.75" customHeight="1">
      <c r="A742" s="18" t="s">
        <v>2363</v>
      </c>
      <c r="B742" s="18">
        <v>28.31</v>
      </c>
      <c r="C742" s="18">
        <v>5.96</v>
      </c>
      <c r="D742" s="18" t="s">
        <v>80</v>
      </c>
      <c r="E742" s="18" t="s">
        <v>73</v>
      </c>
      <c r="F742" s="18" t="s">
        <v>73</v>
      </c>
      <c r="G742" s="18">
        <v>2.0</v>
      </c>
      <c r="H742" s="18" t="s">
        <v>73</v>
      </c>
      <c r="I742" s="18" t="str">
        <f t="shared" si="1"/>
        <v>Overweight</v>
      </c>
    </row>
    <row r="743" ht="15.75" customHeight="1">
      <c r="A743" s="18" t="s">
        <v>2365</v>
      </c>
      <c r="B743" s="18">
        <v>21.565</v>
      </c>
      <c r="C743" s="18">
        <v>4.95</v>
      </c>
      <c r="D743" s="18" t="s">
        <v>73</v>
      </c>
      <c r="E743" s="18" t="s">
        <v>80</v>
      </c>
      <c r="F743" s="18" t="s">
        <v>73</v>
      </c>
      <c r="G743" s="18">
        <v>1.0</v>
      </c>
      <c r="H743" s="18" t="s">
        <v>80</v>
      </c>
      <c r="I743" s="18" t="str">
        <f t="shared" si="1"/>
        <v>Normal Weight</v>
      </c>
    </row>
    <row r="744" ht="15.75" customHeight="1">
      <c r="A744" s="18" t="s">
        <v>2369</v>
      </c>
      <c r="B744" s="18">
        <v>35.59</v>
      </c>
      <c r="C744" s="18">
        <v>5.21</v>
      </c>
      <c r="D744" s="18" t="s">
        <v>80</v>
      </c>
      <c r="E744" s="18" t="s">
        <v>73</v>
      </c>
      <c r="F744" s="18" t="s">
        <v>184</v>
      </c>
      <c r="G744" s="18">
        <v>1.0</v>
      </c>
      <c r="H744" s="18" t="s">
        <v>73</v>
      </c>
      <c r="I744" s="18" t="str">
        <f t="shared" si="1"/>
        <v>Obesity</v>
      </c>
    </row>
    <row r="745" ht="15.75" customHeight="1">
      <c r="A745" s="18" t="s">
        <v>2371</v>
      </c>
      <c r="B745" s="18">
        <v>43.44</v>
      </c>
      <c r="C745" s="18">
        <v>4.86</v>
      </c>
      <c r="D745" s="18" t="s">
        <v>80</v>
      </c>
      <c r="E745" s="18" t="s">
        <v>73</v>
      </c>
      <c r="F745" s="18" t="s">
        <v>73</v>
      </c>
      <c r="G745" s="20">
        <v>0.0</v>
      </c>
      <c r="H745" s="18" t="s">
        <v>73</v>
      </c>
      <c r="I745" s="18" t="str">
        <f t="shared" si="1"/>
        <v>Obesity</v>
      </c>
    </row>
    <row r="746" ht="15.75" customHeight="1">
      <c r="A746" s="18" t="s">
        <v>2374</v>
      </c>
      <c r="B746" s="18">
        <v>21.755</v>
      </c>
      <c r="C746" s="18">
        <v>7.79</v>
      </c>
      <c r="D746" s="18" t="s">
        <v>80</v>
      </c>
      <c r="E746" s="18" t="s">
        <v>73</v>
      </c>
      <c r="F746" s="18" t="s">
        <v>73</v>
      </c>
      <c r="G746" s="20">
        <v>0.0</v>
      </c>
      <c r="H746" s="18" t="s">
        <v>73</v>
      </c>
      <c r="I746" s="18" t="str">
        <f t="shared" si="1"/>
        <v>Normal Weight</v>
      </c>
    </row>
    <row r="747" ht="15.75" customHeight="1">
      <c r="A747" s="18" t="s">
        <v>2377</v>
      </c>
      <c r="B747" s="18">
        <v>44.55</v>
      </c>
      <c r="C747" s="18">
        <v>7.12</v>
      </c>
      <c r="D747" s="18" t="s">
        <v>80</v>
      </c>
      <c r="E747" s="18" t="s">
        <v>73</v>
      </c>
      <c r="F747" s="18" t="s">
        <v>73</v>
      </c>
      <c r="G747" s="18">
        <v>1.0</v>
      </c>
      <c r="H747" s="18" t="s">
        <v>73</v>
      </c>
      <c r="I747" s="18" t="str">
        <f t="shared" si="1"/>
        <v>Obesity</v>
      </c>
    </row>
    <row r="748" ht="15.75" customHeight="1">
      <c r="A748" s="18" t="s">
        <v>2381</v>
      </c>
      <c r="B748" s="18">
        <v>43.32</v>
      </c>
      <c r="C748" s="18">
        <v>4.67</v>
      </c>
      <c r="D748" s="18" t="s">
        <v>80</v>
      </c>
      <c r="E748" s="18" t="s">
        <v>73</v>
      </c>
      <c r="F748" s="18" t="s">
        <v>73</v>
      </c>
      <c r="G748" s="20">
        <v>0.0</v>
      </c>
      <c r="H748" s="18" t="s">
        <v>73</v>
      </c>
      <c r="I748" s="18" t="str">
        <f t="shared" si="1"/>
        <v>Obesity</v>
      </c>
    </row>
    <row r="749" ht="15.75" customHeight="1">
      <c r="A749" s="18" t="s">
        <v>2384</v>
      </c>
      <c r="B749" s="18">
        <v>31.23</v>
      </c>
      <c r="C749" s="18">
        <v>9.12</v>
      </c>
      <c r="D749" s="18" t="s">
        <v>80</v>
      </c>
      <c r="E749" s="18" t="s">
        <v>73</v>
      </c>
      <c r="F749" s="18" t="s">
        <v>184</v>
      </c>
      <c r="G749" s="18">
        <v>1.0</v>
      </c>
      <c r="H749" s="18" t="s">
        <v>73</v>
      </c>
      <c r="I749" s="18" t="str">
        <f t="shared" si="1"/>
        <v>Obesity</v>
      </c>
    </row>
    <row r="750" ht="15.75" customHeight="1">
      <c r="A750" s="18" t="s">
        <v>2387</v>
      </c>
      <c r="B750" s="18">
        <v>42.81</v>
      </c>
      <c r="C750" s="18">
        <v>4.15</v>
      </c>
      <c r="D750" s="18" t="s">
        <v>73</v>
      </c>
      <c r="E750" s="18" t="s">
        <v>73</v>
      </c>
      <c r="F750" s="18" t="s">
        <v>73</v>
      </c>
      <c r="G750" s="18">
        <v>1.0</v>
      </c>
      <c r="H750" s="18" t="s">
        <v>73</v>
      </c>
      <c r="I750" s="18" t="str">
        <f t="shared" si="1"/>
        <v>Obesity</v>
      </c>
    </row>
    <row r="751" ht="15.75" customHeight="1">
      <c r="A751" s="18" t="s">
        <v>2389</v>
      </c>
      <c r="B751" s="18">
        <v>35.91</v>
      </c>
      <c r="C751" s="18">
        <v>6.72</v>
      </c>
      <c r="D751" s="18" t="s">
        <v>80</v>
      </c>
      <c r="E751" s="18" t="s">
        <v>73</v>
      </c>
      <c r="F751" s="18" t="s">
        <v>73</v>
      </c>
      <c r="G751" s="18">
        <v>2.0</v>
      </c>
      <c r="H751" s="18" t="s">
        <v>73</v>
      </c>
      <c r="I751" s="18" t="str">
        <f t="shared" si="1"/>
        <v>Obesity</v>
      </c>
    </row>
    <row r="752" ht="15.75" customHeight="1">
      <c r="A752" s="18" t="s">
        <v>2392</v>
      </c>
      <c r="B752" s="18">
        <v>36.65</v>
      </c>
      <c r="C752" s="18">
        <v>5.01</v>
      </c>
      <c r="D752" s="18" t="s">
        <v>80</v>
      </c>
      <c r="E752" s="18" t="s">
        <v>73</v>
      </c>
      <c r="F752" s="18" t="s">
        <v>184</v>
      </c>
      <c r="G752" s="18">
        <v>1.0</v>
      </c>
      <c r="H752" s="18" t="s">
        <v>73</v>
      </c>
      <c r="I752" s="18" t="str">
        <f t="shared" si="1"/>
        <v>Obesity</v>
      </c>
    </row>
    <row r="753" ht="15.75" customHeight="1">
      <c r="A753" s="18" t="s">
        <v>2394</v>
      </c>
      <c r="B753" s="18">
        <v>22.04</v>
      </c>
      <c r="C753" s="18">
        <v>10.9</v>
      </c>
      <c r="D753" s="18" t="s">
        <v>80</v>
      </c>
      <c r="E753" s="18" t="s">
        <v>73</v>
      </c>
      <c r="F753" s="18" t="s">
        <v>73</v>
      </c>
      <c r="G753" s="18">
        <v>2.0</v>
      </c>
      <c r="H753" s="18" t="s">
        <v>73</v>
      </c>
      <c r="I753" s="18" t="str">
        <f t="shared" si="1"/>
        <v>Normal Weight</v>
      </c>
    </row>
    <row r="754" ht="15.75" customHeight="1">
      <c r="A754" s="18" t="s">
        <v>2398</v>
      </c>
      <c r="B754" s="18">
        <v>31.825</v>
      </c>
      <c r="C754" s="18">
        <v>5.52</v>
      </c>
      <c r="D754" s="18" t="s">
        <v>80</v>
      </c>
      <c r="E754" s="18" t="s">
        <v>73</v>
      </c>
      <c r="F754" s="18" t="s">
        <v>73</v>
      </c>
      <c r="G754" s="18">
        <v>1.0</v>
      </c>
      <c r="H754" s="18" t="s">
        <v>73</v>
      </c>
      <c r="I754" s="18" t="str">
        <f t="shared" si="1"/>
        <v>Obesity</v>
      </c>
    </row>
    <row r="755" ht="15.75" customHeight="1">
      <c r="A755" s="18" t="s">
        <v>2402</v>
      </c>
      <c r="B755" s="18">
        <v>53.58</v>
      </c>
      <c r="C755" s="18">
        <v>4.55</v>
      </c>
      <c r="D755" s="18" t="s">
        <v>73</v>
      </c>
      <c r="E755" s="18" t="s">
        <v>73</v>
      </c>
      <c r="F755" s="18" t="s">
        <v>73</v>
      </c>
      <c r="G755" s="18">
        <v>1.0</v>
      </c>
      <c r="H755" s="18" t="s">
        <v>73</v>
      </c>
      <c r="I755" s="18" t="str">
        <f t="shared" si="1"/>
        <v>Obesity</v>
      </c>
    </row>
    <row r="756" ht="15.75" customHeight="1">
      <c r="A756" s="18" t="s">
        <v>2405</v>
      </c>
      <c r="B756" s="18">
        <v>34.3</v>
      </c>
      <c r="C756" s="18">
        <v>11.76</v>
      </c>
      <c r="D756" s="18" t="s">
        <v>73</v>
      </c>
      <c r="E756" s="18" t="s">
        <v>73</v>
      </c>
      <c r="F756" s="18" t="s">
        <v>73</v>
      </c>
      <c r="G756" s="20">
        <v>0.0</v>
      </c>
      <c r="H756" s="18" t="s">
        <v>73</v>
      </c>
      <c r="I756" s="18" t="str">
        <f t="shared" si="1"/>
        <v>Obesity</v>
      </c>
    </row>
    <row r="757" ht="15.75" customHeight="1">
      <c r="A757" s="18" t="s">
        <v>2409</v>
      </c>
      <c r="B757" s="18">
        <v>32.11</v>
      </c>
      <c r="C757" s="18">
        <v>7.06</v>
      </c>
      <c r="D757" s="18" t="s">
        <v>73</v>
      </c>
      <c r="E757" s="18" t="s">
        <v>73</v>
      </c>
      <c r="F757" s="18" t="s">
        <v>73</v>
      </c>
      <c r="G757" s="20">
        <v>0.0</v>
      </c>
      <c r="H757" s="18" t="s">
        <v>73</v>
      </c>
      <c r="I757" s="18" t="str">
        <f t="shared" si="1"/>
        <v>Obesity</v>
      </c>
    </row>
    <row r="758" ht="15.75" customHeight="1">
      <c r="A758" s="18" t="s">
        <v>2412</v>
      </c>
      <c r="B758" s="18">
        <v>31.78</v>
      </c>
      <c r="C758" s="18">
        <v>11.35</v>
      </c>
      <c r="D758" s="18" t="s">
        <v>80</v>
      </c>
      <c r="E758" s="18" t="s">
        <v>73</v>
      </c>
      <c r="F758" s="18" t="s">
        <v>184</v>
      </c>
      <c r="G758" s="18">
        <v>1.0</v>
      </c>
      <c r="H758" s="18" t="s">
        <v>73</v>
      </c>
      <c r="I758" s="18" t="str">
        <f t="shared" si="1"/>
        <v>Obesity</v>
      </c>
    </row>
    <row r="759" ht="15.75" customHeight="1">
      <c r="A759" s="18" t="s">
        <v>2415</v>
      </c>
      <c r="B759" s="18">
        <v>46.89</v>
      </c>
      <c r="C759" s="18">
        <v>5.52</v>
      </c>
      <c r="D759" s="18" t="s">
        <v>73</v>
      </c>
      <c r="E759" s="18" t="s">
        <v>73</v>
      </c>
      <c r="F759" s="18" t="s">
        <v>73</v>
      </c>
      <c r="G759" s="20">
        <v>0.0</v>
      </c>
      <c r="H759" s="18" t="s">
        <v>73</v>
      </c>
      <c r="I759" s="18" t="str">
        <f t="shared" si="1"/>
        <v>Obesity</v>
      </c>
    </row>
    <row r="760" ht="15.75" customHeight="1">
      <c r="A760" s="18" t="s">
        <v>2418</v>
      </c>
      <c r="B760" s="18">
        <v>39.35</v>
      </c>
      <c r="C760" s="18">
        <v>7.86</v>
      </c>
      <c r="D760" s="18" t="s">
        <v>80</v>
      </c>
      <c r="E760" s="18" t="s">
        <v>73</v>
      </c>
      <c r="F760" s="18" t="s">
        <v>73</v>
      </c>
      <c r="G760" s="18">
        <v>1.0</v>
      </c>
      <c r="H760" s="18" t="s">
        <v>73</v>
      </c>
      <c r="I760" s="18" t="str">
        <f t="shared" si="1"/>
        <v>Obesity</v>
      </c>
    </row>
    <row r="761" ht="15.75" customHeight="1">
      <c r="A761" s="18" t="s">
        <v>2421</v>
      </c>
      <c r="B761" s="18">
        <v>39.2</v>
      </c>
      <c r="C761" s="18">
        <v>11.38</v>
      </c>
      <c r="D761" s="18" t="s">
        <v>73</v>
      </c>
      <c r="E761" s="18" t="s">
        <v>73</v>
      </c>
      <c r="F761" s="18" t="s">
        <v>73</v>
      </c>
      <c r="G761" s="20">
        <v>0.0</v>
      </c>
      <c r="H761" s="18" t="s">
        <v>73</v>
      </c>
      <c r="I761" s="18" t="str">
        <f t="shared" si="1"/>
        <v>Obesity</v>
      </c>
    </row>
    <row r="762" ht="15.75" customHeight="1">
      <c r="A762" s="18" t="s">
        <v>2425</v>
      </c>
      <c r="B762" s="18">
        <v>39.16</v>
      </c>
      <c r="C762" s="18">
        <v>10.48</v>
      </c>
      <c r="D762" s="18" t="s">
        <v>73</v>
      </c>
      <c r="E762" s="18" t="s">
        <v>73</v>
      </c>
      <c r="F762" s="18" t="s">
        <v>73</v>
      </c>
      <c r="G762" s="20">
        <v>0.0</v>
      </c>
      <c r="H762" s="18" t="s">
        <v>73</v>
      </c>
      <c r="I762" s="18" t="str">
        <f t="shared" si="1"/>
        <v>Obesity</v>
      </c>
    </row>
    <row r="763" ht="15.75" customHeight="1">
      <c r="A763" s="18" t="s">
        <v>2427</v>
      </c>
      <c r="B763" s="18">
        <v>44.1</v>
      </c>
      <c r="C763" s="18">
        <v>5.04</v>
      </c>
      <c r="D763" s="18" t="s">
        <v>80</v>
      </c>
      <c r="E763" s="18" t="s">
        <v>73</v>
      </c>
      <c r="F763" s="18" t="s">
        <v>73</v>
      </c>
      <c r="G763" s="20">
        <v>0.0</v>
      </c>
      <c r="H763" s="18" t="s">
        <v>73</v>
      </c>
      <c r="I763" s="18" t="str">
        <f t="shared" si="1"/>
        <v>Obesity</v>
      </c>
    </row>
    <row r="764" ht="15.75" customHeight="1">
      <c r="A764" s="18" t="s">
        <v>2430</v>
      </c>
      <c r="B764" s="18">
        <v>33.2</v>
      </c>
      <c r="C764" s="18">
        <v>9.06</v>
      </c>
      <c r="D764" s="18" t="s">
        <v>73</v>
      </c>
      <c r="E764" s="18" t="s">
        <v>73</v>
      </c>
      <c r="F764" s="18" t="s">
        <v>73</v>
      </c>
      <c r="G764" s="20">
        <v>0.0</v>
      </c>
      <c r="H764" s="18" t="s">
        <v>73</v>
      </c>
      <c r="I764" s="18" t="str">
        <f t="shared" si="1"/>
        <v>Obesity</v>
      </c>
    </row>
    <row r="765" ht="15.75" customHeight="1">
      <c r="A765" s="18" t="s">
        <v>2432</v>
      </c>
      <c r="B765" s="18">
        <v>29.92</v>
      </c>
      <c r="C765" s="18">
        <v>11.07</v>
      </c>
      <c r="D765" s="18" t="s">
        <v>73</v>
      </c>
      <c r="E765" s="18" t="s">
        <v>73</v>
      </c>
      <c r="F765" s="18" t="s">
        <v>73</v>
      </c>
      <c r="G765" s="20">
        <v>0.0</v>
      </c>
      <c r="H765" s="18" t="s">
        <v>73</v>
      </c>
      <c r="I765" s="18" t="str">
        <f t="shared" si="1"/>
        <v>Overweight</v>
      </c>
    </row>
    <row r="766" ht="15.75" customHeight="1">
      <c r="A766" s="18" t="s">
        <v>2436</v>
      </c>
      <c r="B766" s="18">
        <v>25.0</v>
      </c>
      <c r="C766" s="18">
        <v>10.45</v>
      </c>
      <c r="D766" s="18" t="s">
        <v>73</v>
      </c>
      <c r="E766" s="18" t="s">
        <v>73</v>
      </c>
      <c r="F766" s="18" t="s">
        <v>73</v>
      </c>
      <c r="G766" s="20">
        <v>0.0</v>
      </c>
      <c r="H766" s="18" t="s">
        <v>73</v>
      </c>
      <c r="I766" s="18" t="str">
        <f t="shared" si="1"/>
        <v>Overweight</v>
      </c>
    </row>
    <row r="767" ht="15.75" customHeight="1">
      <c r="A767" s="18" t="s">
        <v>2439</v>
      </c>
      <c r="B767" s="18">
        <v>38.87</v>
      </c>
      <c r="C767" s="18">
        <v>8.63</v>
      </c>
      <c r="D767" s="18" t="s">
        <v>80</v>
      </c>
      <c r="E767" s="18" t="s">
        <v>73</v>
      </c>
      <c r="F767" s="18" t="s">
        <v>73</v>
      </c>
      <c r="G767" s="18">
        <v>1.0</v>
      </c>
      <c r="H767" s="18" t="s">
        <v>73</v>
      </c>
      <c r="I767" s="18" t="str">
        <f t="shared" si="1"/>
        <v>Obesity</v>
      </c>
    </row>
    <row r="768" ht="15.75" customHeight="1">
      <c r="A768" s="18" t="s">
        <v>2443</v>
      </c>
      <c r="B768" s="18">
        <v>32.3</v>
      </c>
      <c r="C768" s="18">
        <v>5.28</v>
      </c>
      <c r="D768" s="18" t="s">
        <v>80</v>
      </c>
      <c r="E768" s="18" t="s">
        <v>73</v>
      </c>
      <c r="F768" s="18" t="s">
        <v>73</v>
      </c>
      <c r="G768" s="18">
        <v>2.0</v>
      </c>
      <c r="H768" s="18" t="s">
        <v>73</v>
      </c>
      <c r="I768" s="18" t="str">
        <f t="shared" si="1"/>
        <v>Obesity</v>
      </c>
    </row>
    <row r="769" ht="15.75" customHeight="1">
      <c r="A769" s="18" t="s">
        <v>2446</v>
      </c>
      <c r="B769" s="18">
        <v>31.16</v>
      </c>
      <c r="C769" s="18">
        <v>7.49</v>
      </c>
      <c r="D769" s="18" t="s">
        <v>80</v>
      </c>
      <c r="E769" s="18" t="s">
        <v>73</v>
      </c>
      <c r="F769" s="18" t="s">
        <v>73</v>
      </c>
      <c r="G769" s="18">
        <v>2.0</v>
      </c>
      <c r="H769" s="18" t="s">
        <v>73</v>
      </c>
      <c r="I769" s="18" t="str">
        <f t="shared" si="1"/>
        <v>Obesity</v>
      </c>
    </row>
    <row r="770" ht="15.75" customHeight="1">
      <c r="A770" s="18" t="s">
        <v>2450</v>
      </c>
      <c r="B770" s="18">
        <v>54.59</v>
      </c>
      <c r="C770" s="18">
        <v>4.27</v>
      </c>
      <c r="D770" s="18" t="s">
        <v>73</v>
      </c>
      <c r="E770" s="18" t="s">
        <v>73</v>
      </c>
      <c r="F770" s="18" t="s">
        <v>73</v>
      </c>
      <c r="G770" s="20">
        <v>0.0</v>
      </c>
      <c r="H770" s="18" t="s">
        <v>73</v>
      </c>
      <c r="I770" s="18" t="str">
        <f t="shared" si="1"/>
        <v>Obesity</v>
      </c>
    </row>
    <row r="771" ht="15.75" customHeight="1">
      <c r="A771" s="18" t="s">
        <v>2452</v>
      </c>
      <c r="B771" s="18">
        <v>21.09</v>
      </c>
      <c r="C771" s="18">
        <v>9.22</v>
      </c>
      <c r="D771" s="18" t="s">
        <v>80</v>
      </c>
      <c r="E771" s="18" t="s">
        <v>73</v>
      </c>
      <c r="F771" s="18" t="s">
        <v>73</v>
      </c>
      <c r="G771" s="18">
        <v>2.0</v>
      </c>
      <c r="H771" s="18" t="s">
        <v>73</v>
      </c>
      <c r="I771" s="18" t="str">
        <f t="shared" si="1"/>
        <v>Normal Weight</v>
      </c>
    </row>
    <row r="772" ht="15.75" customHeight="1">
      <c r="A772" s="18" t="s">
        <v>2456</v>
      </c>
      <c r="B772" s="18">
        <v>52.41</v>
      </c>
      <c r="C772" s="18">
        <v>5.99</v>
      </c>
      <c r="D772" s="18" t="s">
        <v>73</v>
      </c>
      <c r="E772" s="18" t="s">
        <v>73</v>
      </c>
      <c r="F772" s="18" t="s">
        <v>73</v>
      </c>
      <c r="G772" s="18">
        <v>1.0</v>
      </c>
      <c r="H772" s="18" t="s">
        <v>73</v>
      </c>
      <c r="I772" s="18" t="str">
        <f t="shared" si="1"/>
        <v>Obesity</v>
      </c>
    </row>
    <row r="773" ht="15.75" customHeight="1">
      <c r="A773" s="18" t="s">
        <v>2459</v>
      </c>
      <c r="B773" s="18">
        <v>41.47</v>
      </c>
      <c r="C773" s="18">
        <v>5.86</v>
      </c>
      <c r="D773" s="18" t="s">
        <v>80</v>
      </c>
      <c r="E773" s="18" t="s">
        <v>73</v>
      </c>
      <c r="F773" s="18" t="s">
        <v>73</v>
      </c>
      <c r="G773" s="18">
        <v>2.0</v>
      </c>
      <c r="H773" s="18" t="s">
        <v>73</v>
      </c>
      <c r="I773" s="18" t="str">
        <f t="shared" si="1"/>
        <v>Obesity</v>
      </c>
    </row>
    <row r="774" ht="15.75" customHeight="1">
      <c r="A774" s="18" t="s">
        <v>2461</v>
      </c>
      <c r="B774" s="18">
        <v>33.1</v>
      </c>
      <c r="C774" s="18">
        <v>5.19</v>
      </c>
      <c r="D774" s="18" t="s">
        <v>80</v>
      </c>
      <c r="E774" s="18" t="s">
        <v>73</v>
      </c>
      <c r="F774" s="18" t="s">
        <v>73</v>
      </c>
      <c r="G774" s="18">
        <v>2.0</v>
      </c>
      <c r="H774" s="18" t="s">
        <v>73</v>
      </c>
      <c r="I774" s="18" t="str">
        <f t="shared" si="1"/>
        <v>Obesity</v>
      </c>
    </row>
    <row r="775" ht="15.75" customHeight="1">
      <c r="A775" s="18" t="s">
        <v>2463</v>
      </c>
      <c r="B775" s="18">
        <v>30.8</v>
      </c>
      <c r="C775" s="18">
        <v>4.37</v>
      </c>
      <c r="D775" s="18" t="s">
        <v>80</v>
      </c>
      <c r="E775" s="18" t="s">
        <v>73</v>
      </c>
      <c r="F775" s="18" t="s">
        <v>73</v>
      </c>
      <c r="G775" s="18">
        <v>2.0</v>
      </c>
      <c r="H775" s="18" t="s">
        <v>73</v>
      </c>
      <c r="I775" s="18" t="str">
        <f t="shared" si="1"/>
        <v>Obesity</v>
      </c>
    </row>
    <row r="776" ht="15.75" customHeight="1">
      <c r="A776" s="18" t="s">
        <v>2465</v>
      </c>
      <c r="B776" s="18">
        <v>42.06</v>
      </c>
      <c r="C776" s="18">
        <v>5.32</v>
      </c>
      <c r="D776" s="18" t="s">
        <v>73</v>
      </c>
      <c r="E776" s="18" t="s">
        <v>73</v>
      </c>
      <c r="F776" s="18" t="s">
        <v>73</v>
      </c>
      <c r="G776" s="18">
        <v>1.0</v>
      </c>
      <c r="H776" s="18" t="s">
        <v>73</v>
      </c>
      <c r="I776" s="18" t="str">
        <f t="shared" si="1"/>
        <v>Obesity</v>
      </c>
    </row>
    <row r="777" ht="15.75" customHeight="1">
      <c r="A777" s="18" t="s">
        <v>2469</v>
      </c>
      <c r="B777" s="18">
        <v>39.27</v>
      </c>
      <c r="C777" s="18">
        <v>5.64</v>
      </c>
      <c r="D777" s="18" t="s">
        <v>73</v>
      </c>
      <c r="E777" s="18" t="s">
        <v>73</v>
      </c>
      <c r="F777" s="18" t="s">
        <v>184</v>
      </c>
      <c r="G777" s="18">
        <v>1.0</v>
      </c>
      <c r="H777" s="18" t="s">
        <v>73</v>
      </c>
      <c r="I777" s="18" t="str">
        <f t="shared" si="1"/>
        <v>Obesity</v>
      </c>
    </row>
    <row r="778" ht="15.75" customHeight="1">
      <c r="A778" s="18" t="s">
        <v>2472</v>
      </c>
      <c r="B778" s="18">
        <v>30.71</v>
      </c>
      <c r="C778" s="18">
        <v>5.59</v>
      </c>
      <c r="D778" s="18" t="s">
        <v>80</v>
      </c>
      <c r="E778" s="18" t="s">
        <v>73</v>
      </c>
      <c r="F778" s="18" t="s">
        <v>73</v>
      </c>
      <c r="G778" s="18">
        <v>1.0</v>
      </c>
      <c r="H778" s="18" t="s">
        <v>73</v>
      </c>
      <c r="I778" s="18" t="str">
        <f t="shared" si="1"/>
        <v>Obesity</v>
      </c>
    </row>
    <row r="779" ht="15.75" customHeight="1">
      <c r="A779" s="18" t="s">
        <v>2475</v>
      </c>
      <c r="B779" s="18">
        <v>47.19</v>
      </c>
      <c r="C779" s="18">
        <v>5.29</v>
      </c>
      <c r="D779" s="18" t="s">
        <v>73</v>
      </c>
      <c r="E779" s="18" t="s">
        <v>73</v>
      </c>
      <c r="F779" s="18" t="s">
        <v>73</v>
      </c>
      <c r="G779" s="20">
        <v>0.0</v>
      </c>
      <c r="H779" s="18" t="s">
        <v>73</v>
      </c>
      <c r="I779" s="18" t="str">
        <f t="shared" si="1"/>
        <v>Obesity</v>
      </c>
    </row>
    <row r="780" ht="15.75" customHeight="1">
      <c r="A780" s="18" t="s">
        <v>2477</v>
      </c>
      <c r="B780" s="18">
        <v>30.02</v>
      </c>
      <c r="C780" s="18">
        <v>6.65</v>
      </c>
      <c r="D780" s="18" t="s">
        <v>73</v>
      </c>
      <c r="E780" s="18" t="s">
        <v>73</v>
      </c>
      <c r="F780" s="18" t="s">
        <v>73</v>
      </c>
      <c r="G780" s="20">
        <v>0.0</v>
      </c>
      <c r="H780" s="18" t="s">
        <v>73</v>
      </c>
      <c r="I780" s="18" t="str">
        <f t="shared" si="1"/>
        <v>Obesity</v>
      </c>
    </row>
    <row r="781" ht="15.75" customHeight="1">
      <c r="A781" s="18" t="s">
        <v>2480</v>
      </c>
      <c r="B781" s="18">
        <v>37.91</v>
      </c>
      <c r="C781" s="18">
        <v>5.68</v>
      </c>
      <c r="D781" s="18" t="s">
        <v>80</v>
      </c>
      <c r="E781" s="18" t="s">
        <v>73</v>
      </c>
      <c r="F781" s="18" t="s">
        <v>73</v>
      </c>
      <c r="G781" s="20">
        <v>0.0</v>
      </c>
      <c r="H781" s="18" t="s">
        <v>73</v>
      </c>
      <c r="I781" s="18" t="str">
        <f t="shared" si="1"/>
        <v>Obesity</v>
      </c>
    </row>
    <row r="782" ht="15.75" customHeight="1">
      <c r="A782" s="18" t="s">
        <v>2483</v>
      </c>
      <c r="B782" s="18">
        <v>54.61</v>
      </c>
      <c r="C782" s="18">
        <v>4.49</v>
      </c>
      <c r="D782" s="18" t="s">
        <v>73</v>
      </c>
      <c r="E782" s="18" t="s">
        <v>73</v>
      </c>
      <c r="F782" s="18" t="s">
        <v>73</v>
      </c>
      <c r="G782" s="20">
        <v>0.0</v>
      </c>
      <c r="H782" s="18" t="s">
        <v>73</v>
      </c>
      <c r="I782" s="18" t="str">
        <f t="shared" si="1"/>
        <v>Obesity</v>
      </c>
    </row>
    <row r="783" ht="15.75" customHeight="1">
      <c r="A783" s="18" t="s">
        <v>2486</v>
      </c>
      <c r="B783" s="18">
        <v>36.005</v>
      </c>
      <c r="C783" s="18">
        <v>6.9</v>
      </c>
      <c r="D783" s="18" t="s">
        <v>73</v>
      </c>
      <c r="E783" s="18" t="s">
        <v>73</v>
      </c>
      <c r="F783" s="18" t="s">
        <v>73</v>
      </c>
      <c r="G783" s="20">
        <v>0.0</v>
      </c>
      <c r="H783" s="18" t="s">
        <v>73</v>
      </c>
      <c r="I783" s="18" t="str">
        <f t="shared" si="1"/>
        <v>Obesity</v>
      </c>
    </row>
    <row r="784" ht="15.75" customHeight="1">
      <c r="A784" s="18" t="s">
        <v>2489</v>
      </c>
      <c r="B784" s="18">
        <v>28.7</v>
      </c>
      <c r="C784" s="18">
        <v>11.52</v>
      </c>
      <c r="D784" s="18" t="s">
        <v>73</v>
      </c>
      <c r="E784" s="18" t="s">
        <v>73</v>
      </c>
      <c r="F784" s="18" t="s">
        <v>73</v>
      </c>
      <c r="G784" s="20">
        <v>0.0</v>
      </c>
      <c r="H784" s="18" t="s">
        <v>73</v>
      </c>
      <c r="I784" s="18" t="str">
        <f t="shared" si="1"/>
        <v>Overweight</v>
      </c>
    </row>
    <row r="785" ht="15.75" customHeight="1">
      <c r="A785" s="18" t="s">
        <v>2492</v>
      </c>
      <c r="B785" s="18">
        <v>34.295</v>
      </c>
      <c r="C785" s="18">
        <v>11.24</v>
      </c>
      <c r="D785" s="18" t="s">
        <v>73</v>
      </c>
      <c r="E785" s="18" t="s">
        <v>73</v>
      </c>
      <c r="F785" s="18" t="s">
        <v>73</v>
      </c>
      <c r="G785" s="20">
        <v>0.0</v>
      </c>
      <c r="H785" s="18" t="s">
        <v>73</v>
      </c>
      <c r="I785" s="18" t="str">
        <f t="shared" si="1"/>
        <v>Obesity</v>
      </c>
    </row>
    <row r="786" ht="15.75" customHeight="1">
      <c r="A786" s="18" t="s">
        <v>2496</v>
      </c>
      <c r="B786" s="18">
        <v>27.55</v>
      </c>
      <c r="C786" s="18">
        <v>10.98</v>
      </c>
      <c r="D786" s="18" t="s">
        <v>73</v>
      </c>
      <c r="E786" s="18" t="s">
        <v>73</v>
      </c>
      <c r="F786" s="18" t="s">
        <v>73</v>
      </c>
      <c r="G786" s="20">
        <v>0.0</v>
      </c>
      <c r="H786" s="18" t="s">
        <v>73</v>
      </c>
      <c r="I786" s="18" t="str">
        <f t="shared" si="1"/>
        <v>Overweight</v>
      </c>
    </row>
    <row r="787" ht="15.75" customHeight="1">
      <c r="A787" s="18" t="s">
        <v>2500</v>
      </c>
      <c r="B787" s="18">
        <v>40.7</v>
      </c>
      <c r="C787" s="18">
        <v>5.42</v>
      </c>
      <c r="D787" s="18" t="s">
        <v>73</v>
      </c>
      <c r="E787" s="18" t="s">
        <v>73</v>
      </c>
      <c r="F787" s="18" t="s">
        <v>73</v>
      </c>
      <c r="G787" s="20">
        <v>0.0</v>
      </c>
      <c r="H787" s="18" t="s">
        <v>73</v>
      </c>
      <c r="I787" s="18" t="str">
        <f t="shared" si="1"/>
        <v>Obesity</v>
      </c>
    </row>
    <row r="788" ht="15.75" customHeight="1">
      <c r="A788" s="18" t="s">
        <v>2503</v>
      </c>
      <c r="B788" s="18">
        <v>18.335</v>
      </c>
      <c r="C788" s="18">
        <v>10.97</v>
      </c>
      <c r="D788" s="18" t="s">
        <v>73</v>
      </c>
      <c r="E788" s="18" t="s">
        <v>73</v>
      </c>
      <c r="F788" s="18" t="s">
        <v>73</v>
      </c>
      <c r="G788" s="20">
        <v>0.0</v>
      </c>
      <c r="H788" s="18" t="s">
        <v>73</v>
      </c>
      <c r="I788" s="18" t="str">
        <f t="shared" si="1"/>
        <v>Underweight</v>
      </c>
    </row>
    <row r="789" ht="15.75" customHeight="1">
      <c r="A789" s="18" t="s">
        <v>2507</v>
      </c>
      <c r="B789" s="18">
        <v>33.915</v>
      </c>
      <c r="C789" s="18">
        <v>9.56</v>
      </c>
      <c r="D789" s="18" t="s">
        <v>80</v>
      </c>
      <c r="E789" s="18" t="s">
        <v>73</v>
      </c>
      <c r="F789" s="18" t="s">
        <v>73</v>
      </c>
      <c r="G789" s="18">
        <v>2.0</v>
      </c>
      <c r="H789" s="18" t="s">
        <v>73</v>
      </c>
      <c r="I789" s="18" t="str">
        <f t="shared" si="1"/>
        <v>Obesity</v>
      </c>
    </row>
    <row r="790" ht="15.75" customHeight="1">
      <c r="A790" s="18" t="s">
        <v>2510</v>
      </c>
      <c r="B790" s="18">
        <v>33.535</v>
      </c>
      <c r="C790" s="18">
        <v>9.4</v>
      </c>
      <c r="D790" s="18" t="s">
        <v>80</v>
      </c>
      <c r="E790" s="18" t="s">
        <v>73</v>
      </c>
      <c r="F790" s="18" t="s">
        <v>73</v>
      </c>
      <c r="G790" s="18">
        <v>2.0</v>
      </c>
      <c r="H790" s="18" t="s">
        <v>73</v>
      </c>
      <c r="I790" s="18" t="str">
        <f t="shared" si="1"/>
        <v>Obesity</v>
      </c>
    </row>
    <row r="791" ht="15.75" customHeight="1">
      <c r="A791" s="18" t="s">
        <v>2513</v>
      </c>
      <c r="B791" s="18">
        <v>23.655</v>
      </c>
      <c r="C791" s="18">
        <v>8.48</v>
      </c>
      <c r="D791" s="18" t="s">
        <v>80</v>
      </c>
      <c r="E791" s="18" t="s">
        <v>73</v>
      </c>
      <c r="F791" s="18" t="s">
        <v>73</v>
      </c>
      <c r="G791" s="18">
        <v>2.0</v>
      </c>
      <c r="H791" s="18" t="s">
        <v>73</v>
      </c>
      <c r="I791" s="18" t="str">
        <f t="shared" si="1"/>
        <v>Normal Weight</v>
      </c>
    </row>
    <row r="792" ht="15.75" customHeight="1">
      <c r="A792" s="18" t="s">
        <v>2517</v>
      </c>
      <c r="B792" s="18">
        <v>28.0</v>
      </c>
      <c r="C792" s="18">
        <v>5.57</v>
      </c>
      <c r="D792" s="18" t="s">
        <v>73</v>
      </c>
      <c r="E792" s="18" t="s">
        <v>73</v>
      </c>
      <c r="F792" s="18" t="s">
        <v>73</v>
      </c>
      <c r="G792" s="20">
        <v>0.0</v>
      </c>
      <c r="H792" s="18" t="s">
        <v>73</v>
      </c>
      <c r="I792" s="18" t="str">
        <f t="shared" si="1"/>
        <v>Overweight</v>
      </c>
    </row>
    <row r="793" ht="15.75" customHeight="1">
      <c r="A793" s="18" t="s">
        <v>2520</v>
      </c>
      <c r="B793" s="18">
        <v>30.23</v>
      </c>
      <c r="C793" s="18">
        <v>6.94</v>
      </c>
      <c r="D793" s="18" t="s">
        <v>80</v>
      </c>
      <c r="E793" s="18" t="s">
        <v>73</v>
      </c>
      <c r="F793" s="18" t="s">
        <v>184</v>
      </c>
      <c r="G793" s="18">
        <v>1.0</v>
      </c>
      <c r="H793" s="18" t="s">
        <v>73</v>
      </c>
      <c r="I793" s="18" t="str">
        <f t="shared" si="1"/>
        <v>Obesity</v>
      </c>
    </row>
    <row r="794" ht="15.75" customHeight="1">
      <c r="A794" s="18" t="s">
        <v>2523</v>
      </c>
      <c r="B794" s="18">
        <v>51.14</v>
      </c>
      <c r="C794" s="18">
        <v>4.05</v>
      </c>
      <c r="D794" s="18" t="s">
        <v>73</v>
      </c>
      <c r="E794" s="18" t="s">
        <v>73</v>
      </c>
      <c r="F794" s="18" t="s">
        <v>73</v>
      </c>
      <c r="G794" s="18">
        <v>1.0</v>
      </c>
      <c r="H794" s="18" t="s">
        <v>73</v>
      </c>
      <c r="I794" s="18" t="str">
        <f t="shared" si="1"/>
        <v>Obesity</v>
      </c>
    </row>
    <row r="795" ht="15.75" customHeight="1">
      <c r="A795" s="18" t="s">
        <v>2527</v>
      </c>
      <c r="B795" s="18">
        <v>24.32</v>
      </c>
      <c r="C795" s="18">
        <v>10.22</v>
      </c>
      <c r="D795" s="18" t="s">
        <v>73</v>
      </c>
      <c r="E795" s="18" t="s">
        <v>73</v>
      </c>
      <c r="F795" s="18" t="s">
        <v>73</v>
      </c>
      <c r="G795" s="20">
        <v>0.0</v>
      </c>
      <c r="H795" s="18" t="s">
        <v>73</v>
      </c>
      <c r="I795" s="18" t="str">
        <f t="shared" si="1"/>
        <v>Normal Weight</v>
      </c>
    </row>
    <row r="796" ht="15.75" customHeight="1">
      <c r="A796" s="18" t="s">
        <v>2531</v>
      </c>
      <c r="B796" s="18">
        <v>38.06</v>
      </c>
      <c r="C796" s="18">
        <v>9.24</v>
      </c>
      <c r="D796" s="18" t="s">
        <v>73</v>
      </c>
      <c r="E796" s="18" t="s">
        <v>73</v>
      </c>
      <c r="F796" s="18" t="s">
        <v>73</v>
      </c>
      <c r="G796" s="20">
        <v>0.0</v>
      </c>
      <c r="H796" s="18" t="s">
        <v>73</v>
      </c>
      <c r="I796" s="18" t="str">
        <f t="shared" si="1"/>
        <v>Obesity</v>
      </c>
    </row>
    <row r="797" ht="15.75" customHeight="1">
      <c r="A797" s="18" t="s">
        <v>2534</v>
      </c>
      <c r="B797" s="18">
        <v>37.7</v>
      </c>
      <c r="C797" s="18">
        <v>8.6</v>
      </c>
      <c r="D797" s="18" t="s">
        <v>73</v>
      </c>
      <c r="E797" s="18" t="s">
        <v>73</v>
      </c>
      <c r="F797" s="18" t="s">
        <v>73</v>
      </c>
      <c r="G797" s="20">
        <v>0.0</v>
      </c>
      <c r="H797" s="18" t="s">
        <v>73</v>
      </c>
      <c r="I797" s="18" t="str">
        <f t="shared" si="1"/>
        <v>Obesity</v>
      </c>
    </row>
    <row r="798" ht="15.75" customHeight="1">
      <c r="A798" s="18" t="s">
        <v>2537</v>
      </c>
      <c r="B798" s="18">
        <v>44.0</v>
      </c>
      <c r="C798" s="18">
        <v>9.32</v>
      </c>
      <c r="D798" s="18" t="s">
        <v>80</v>
      </c>
      <c r="E798" s="18" t="s">
        <v>73</v>
      </c>
      <c r="F798" s="18" t="s">
        <v>73</v>
      </c>
      <c r="G798" s="18">
        <v>2.0</v>
      </c>
      <c r="H798" s="18" t="s">
        <v>73</v>
      </c>
      <c r="I798" s="18" t="str">
        <f t="shared" si="1"/>
        <v>Obesity</v>
      </c>
    </row>
    <row r="799" ht="15.75" customHeight="1">
      <c r="A799" s="18" t="s">
        <v>2541</v>
      </c>
      <c r="B799" s="18">
        <v>41.45</v>
      </c>
      <c r="C799" s="18">
        <v>6.12</v>
      </c>
      <c r="D799" s="18" t="s">
        <v>80</v>
      </c>
      <c r="E799" s="18" t="s">
        <v>73</v>
      </c>
      <c r="F799" s="18" t="s">
        <v>73</v>
      </c>
      <c r="G799" s="20">
        <v>0.0</v>
      </c>
      <c r="H799" s="18" t="s">
        <v>73</v>
      </c>
      <c r="I799" s="18" t="str">
        <f t="shared" si="1"/>
        <v>Obesity</v>
      </c>
    </row>
    <row r="800" ht="15.75" customHeight="1">
      <c r="A800" s="18" t="s">
        <v>2544</v>
      </c>
      <c r="B800" s="18">
        <v>25.365</v>
      </c>
      <c r="C800" s="18">
        <v>9.19</v>
      </c>
      <c r="D800" s="18" t="s">
        <v>80</v>
      </c>
      <c r="E800" s="18" t="s">
        <v>73</v>
      </c>
      <c r="F800" s="18" t="s">
        <v>73</v>
      </c>
      <c r="G800" s="20">
        <v>0.0</v>
      </c>
      <c r="H800" s="18" t="s">
        <v>73</v>
      </c>
      <c r="I800" s="18" t="str">
        <f t="shared" si="1"/>
        <v>Overweight</v>
      </c>
    </row>
    <row r="801" ht="15.75" customHeight="1">
      <c r="A801" s="18" t="s">
        <v>2547</v>
      </c>
      <c r="B801" s="18">
        <v>34.56</v>
      </c>
      <c r="C801" s="18">
        <v>5.84</v>
      </c>
      <c r="D801" s="18" t="s">
        <v>80</v>
      </c>
      <c r="E801" s="18" t="s">
        <v>73</v>
      </c>
      <c r="F801" s="18" t="s">
        <v>184</v>
      </c>
      <c r="G801" s="18">
        <v>1.0</v>
      </c>
      <c r="H801" s="18" t="s">
        <v>73</v>
      </c>
      <c r="I801" s="18" t="str">
        <f t="shared" si="1"/>
        <v>Obesity</v>
      </c>
    </row>
    <row r="802" ht="15.75" customHeight="1">
      <c r="A802" s="18" t="s">
        <v>2552</v>
      </c>
      <c r="B802" s="18">
        <v>28.2</v>
      </c>
      <c r="C802" s="18">
        <v>7.19</v>
      </c>
      <c r="D802" s="18" t="s">
        <v>80</v>
      </c>
      <c r="E802" s="18" t="s">
        <v>73</v>
      </c>
      <c r="F802" s="18" t="s">
        <v>73</v>
      </c>
      <c r="G802" s="18">
        <v>2.0</v>
      </c>
      <c r="H802" s="18" t="s">
        <v>73</v>
      </c>
      <c r="I802" s="18" t="str">
        <f t="shared" si="1"/>
        <v>Overweight</v>
      </c>
    </row>
    <row r="803" ht="15.75" customHeight="1">
      <c r="A803" s="18" t="s">
        <v>2556</v>
      </c>
      <c r="B803" s="18">
        <v>30.43</v>
      </c>
      <c r="C803" s="18">
        <v>9.39</v>
      </c>
      <c r="D803" s="18" t="s">
        <v>73</v>
      </c>
      <c r="E803" s="18" t="s">
        <v>73</v>
      </c>
      <c r="F803" s="18" t="s">
        <v>73</v>
      </c>
      <c r="G803" s="20">
        <v>0.0</v>
      </c>
      <c r="H803" s="18" t="s">
        <v>73</v>
      </c>
      <c r="I803" s="18" t="str">
        <f t="shared" si="1"/>
        <v>Obesity</v>
      </c>
    </row>
    <row r="804" ht="15.75" customHeight="1">
      <c r="A804" s="18" t="s">
        <v>2560</v>
      </c>
      <c r="B804" s="18">
        <v>32.395</v>
      </c>
      <c r="C804" s="18">
        <v>4.27</v>
      </c>
      <c r="D804" s="18" t="s">
        <v>80</v>
      </c>
      <c r="E804" s="18" t="s">
        <v>73</v>
      </c>
      <c r="F804" s="18" t="s">
        <v>73</v>
      </c>
      <c r="G804" s="18">
        <v>1.0</v>
      </c>
      <c r="H804" s="18" t="s">
        <v>73</v>
      </c>
      <c r="I804" s="18" t="str">
        <f t="shared" si="1"/>
        <v>Obesity</v>
      </c>
    </row>
    <row r="805" ht="15.75" customHeight="1">
      <c r="A805" s="18" t="s">
        <v>2561</v>
      </c>
      <c r="B805" s="18">
        <v>24.035</v>
      </c>
      <c r="C805" s="18">
        <v>11.71</v>
      </c>
      <c r="D805" s="18" t="s">
        <v>73</v>
      </c>
      <c r="E805" s="18" t="s">
        <v>73</v>
      </c>
      <c r="F805" s="18" t="s">
        <v>73</v>
      </c>
      <c r="G805" s="20">
        <v>0.0</v>
      </c>
      <c r="H805" s="18" t="s">
        <v>73</v>
      </c>
      <c r="I805" s="18" t="str">
        <f t="shared" si="1"/>
        <v>Normal Weight</v>
      </c>
    </row>
    <row r="806" ht="15.75" customHeight="1">
      <c r="A806" s="18" t="s">
        <v>2564</v>
      </c>
      <c r="B806" s="18">
        <v>37.12</v>
      </c>
      <c r="C806" s="18">
        <v>5.29</v>
      </c>
      <c r="D806" s="18" t="s">
        <v>73</v>
      </c>
      <c r="E806" s="18" t="s">
        <v>73</v>
      </c>
      <c r="F806" s="18" t="s">
        <v>73</v>
      </c>
      <c r="G806" s="18">
        <v>2.0</v>
      </c>
      <c r="H806" s="18" t="s">
        <v>73</v>
      </c>
      <c r="I806" s="18" t="str">
        <f t="shared" si="1"/>
        <v>Obesity</v>
      </c>
    </row>
    <row r="807" ht="15.75" customHeight="1">
      <c r="A807" s="18" t="s">
        <v>2568</v>
      </c>
      <c r="B807" s="18">
        <v>34.84</v>
      </c>
      <c r="C807" s="18">
        <v>6.0</v>
      </c>
      <c r="D807" s="18" t="s">
        <v>80</v>
      </c>
      <c r="E807" s="18" t="s">
        <v>73</v>
      </c>
      <c r="F807" s="18" t="s">
        <v>184</v>
      </c>
      <c r="G807" s="18">
        <v>1.0</v>
      </c>
      <c r="H807" s="18" t="s">
        <v>73</v>
      </c>
      <c r="I807" s="18" t="str">
        <f t="shared" si="1"/>
        <v>Obesity</v>
      </c>
    </row>
    <row r="808" ht="15.75" customHeight="1">
      <c r="A808" s="18" t="s">
        <v>2570</v>
      </c>
      <c r="B808" s="18">
        <v>29.53</v>
      </c>
      <c r="C808" s="18">
        <v>10.64</v>
      </c>
      <c r="D808" s="18" t="s">
        <v>73</v>
      </c>
      <c r="E808" s="18" t="s">
        <v>73</v>
      </c>
      <c r="F808" s="18" t="s">
        <v>73</v>
      </c>
      <c r="G808" s="20">
        <v>0.0</v>
      </c>
      <c r="H808" s="18" t="s">
        <v>73</v>
      </c>
      <c r="I808" s="18" t="str">
        <f t="shared" si="1"/>
        <v>Overweight</v>
      </c>
    </row>
    <row r="809" ht="15.75" customHeight="1">
      <c r="A809" s="18" t="s">
        <v>2574</v>
      </c>
      <c r="B809" s="18">
        <v>42.51</v>
      </c>
      <c r="C809" s="18">
        <v>8.21</v>
      </c>
      <c r="D809" s="18" t="s">
        <v>80</v>
      </c>
      <c r="E809" s="18" t="s">
        <v>73</v>
      </c>
      <c r="F809" s="18" t="s">
        <v>73</v>
      </c>
      <c r="G809" s="20">
        <v>0.0</v>
      </c>
      <c r="H809" s="18" t="s">
        <v>73</v>
      </c>
      <c r="I809" s="18" t="str">
        <f t="shared" si="1"/>
        <v>Obesity</v>
      </c>
    </row>
    <row r="810" ht="15.75" customHeight="1">
      <c r="A810" s="18" t="s">
        <v>2577</v>
      </c>
      <c r="B810" s="18">
        <v>38.14</v>
      </c>
      <c r="C810" s="18">
        <v>5.58</v>
      </c>
      <c r="D810" s="18" t="s">
        <v>73</v>
      </c>
      <c r="E810" s="18" t="s">
        <v>73</v>
      </c>
      <c r="F810" s="18" t="s">
        <v>184</v>
      </c>
      <c r="G810" s="18">
        <v>1.0</v>
      </c>
      <c r="H810" s="18" t="s">
        <v>73</v>
      </c>
      <c r="I810" s="18" t="str">
        <f t="shared" si="1"/>
        <v>Obesity</v>
      </c>
    </row>
    <row r="811" ht="15.75" customHeight="1">
      <c r="A811" s="18" t="s">
        <v>2581</v>
      </c>
      <c r="B811" s="18">
        <v>39.93</v>
      </c>
      <c r="C811" s="18">
        <v>8.75</v>
      </c>
      <c r="D811" s="18" t="s">
        <v>73</v>
      </c>
      <c r="E811" s="18" t="s">
        <v>73</v>
      </c>
      <c r="F811" s="18" t="s">
        <v>73</v>
      </c>
      <c r="G811" s="20">
        <v>0.0</v>
      </c>
      <c r="H811" s="18" t="s">
        <v>73</v>
      </c>
      <c r="I811" s="18" t="str">
        <f t="shared" si="1"/>
        <v>Obesity</v>
      </c>
    </row>
    <row r="812" ht="15.75" customHeight="1">
      <c r="A812" s="18" t="s">
        <v>2585</v>
      </c>
      <c r="B812" s="18">
        <v>38.83</v>
      </c>
      <c r="C812" s="18">
        <v>11.86</v>
      </c>
      <c r="D812" s="18" t="s">
        <v>73</v>
      </c>
      <c r="E812" s="18" t="s">
        <v>73</v>
      </c>
      <c r="F812" s="18" t="s">
        <v>73</v>
      </c>
      <c r="G812" s="20">
        <v>0.0</v>
      </c>
      <c r="H812" s="18" t="s">
        <v>73</v>
      </c>
      <c r="I812" s="18" t="str">
        <f t="shared" si="1"/>
        <v>Obesity</v>
      </c>
    </row>
    <row r="813" ht="15.75" customHeight="1">
      <c r="A813" s="18" t="s">
        <v>2587</v>
      </c>
      <c r="B813" s="18">
        <v>37.4</v>
      </c>
      <c r="C813" s="18">
        <v>11.46</v>
      </c>
      <c r="D813" s="18" t="s">
        <v>73</v>
      </c>
      <c r="E813" s="18" t="s">
        <v>73</v>
      </c>
      <c r="F813" s="18" t="s">
        <v>73</v>
      </c>
      <c r="G813" s="20">
        <v>0.0</v>
      </c>
      <c r="H813" s="18" t="s">
        <v>73</v>
      </c>
      <c r="I813" s="18" t="str">
        <f t="shared" si="1"/>
        <v>Obesity</v>
      </c>
    </row>
    <row r="814" ht="15.75" customHeight="1">
      <c r="A814" s="18" t="s">
        <v>2590</v>
      </c>
      <c r="B814" s="18">
        <v>21.4</v>
      </c>
      <c r="C814" s="18">
        <v>9.03</v>
      </c>
      <c r="D814" s="18" t="s">
        <v>73</v>
      </c>
      <c r="E814" s="18" t="s">
        <v>73</v>
      </c>
      <c r="F814" s="18" t="s">
        <v>73</v>
      </c>
      <c r="G814" s="20">
        <v>0.0</v>
      </c>
      <c r="H814" s="18" t="s">
        <v>73</v>
      </c>
      <c r="I814" s="18" t="str">
        <f t="shared" si="1"/>
        <v>Normal Weight</v>
      </c>
    </row>
    <row r="815" ht="15.75" customHeight="1">
      <c r="A815" s="18" t="s">
        <v>2592</v>
      </c>
      <c r="B815" s="18">
        <v>38.38</v>
      </c>
      <c r="C815" s="18">
        <v>8.26</v>
      </c>
      <c r="D815" s="18" t="s">
        <v>80</v>
      </c>
      <c r="E815" s="18" t="s">
        <v>73</v>
      </c>
      <c r="F815" s="18" t="s">
        <v>73</v>
      </c>
      <c r="G815" s="18">
        <v>2.0</v>
      </c>
      <c r="H815" s="18" t="s">
        <v>73</v>
      </c>
      <c r="I815" s="18" t="str">
        <f t="shared" si="1"/>
        <v>Obesity</v>
      </c>
    </row>
    <row r="816" ht="15.75" customHeight="1">
      <c r="A816" s="18" t="s">
        <v>2596</v>
      </c>
      <c r="B816" s="18">
        <v>33.66</v>
      </c>
      <c r="C816" s="18">
        <v>5.42</v>
      </c>
      <c r="D816" s="18" t="s">
        <v>80</v>
      </c>
      <c r="E816" s="18" t="s">
        <v>73</v>
      </c>
      <c r="F816" s="18" t="s">
        <v>73</v>
      </c>
      <c r="G816" s="18">
        <v>2.0</v>
      </c>
      <c r="H816" s="18" t="s">
        <v>73</v>
      </c>
      <c r="I816" s="18" t="str">
        <f t="shared" si="1"/>
        <v>Obesity</v>
      </c>
    </row>
    <row r="817" ht="15.75" customHeight="1">
      <c r="A817" s="18" t="s">
        <v>2600</v>
      </c>
      <c r="B817" s="18">
        <v>31.79</v>
      </c>
      <c r="C817" s="18">
        <v>11.33</v>
      </c>
      <c r="D817" s="18" t="s">
        <v>80</v>
      </c>
      <c r="E817" s="18" t="s">
        <v>73</v>
      </c>
      <c r="F817" s="18" t="s">
        <v>184</v>
      </c>
      <c r="G817" s="18">
        <v>1.0</v>
      </c>
      <c r="H817" s="18" t="s">
        <v>73</v>
      </c>
      <c r="I817" s="18" t="str">
        <f t="shared" si="1"/>
        <v>Obesity</v>
      </c>
    </row>
    <row r="818" ht="15.75" customHeight="1">
      <c r="A818" s="18" t="s">
        <v>2603</v>
      </c>
      <c r="B818" s="18">
        <v>29.7</v>
      </c>
      <c r="C818" s="18">
        <v>7.69</v>
      </c>
      <c r="D818" s="18" t="s">
        <v>80</v>
      </c>
      <c r="E818" s="18" t="s">
        <v>73</v>
      </c>
      <c r="F818" s="18" t="s">
        <v>184</v>
      </c>
      <c r="G818" s="18">
        <v>1.0</v>
      </c>
      <c r="H818" s="18" t="s">
        <v>73</v>
      </c>
      <c r="I818" s="18" t="str">
        <f t="shared" si="1"/>
        <v>Overweight</v>
      </c>
    </row>
    <row r="819" ht="15.75" customHeight="1">
      <c r="A819" s="18" t="s">
        <v>2607</v>
      </c>
      <c r="B819" s="18">
        <v>25.46</v>
      </c>
      <c r="C819" s="18">
        <v>8.77</v>
      </c>
      <c r="D819" s="18" t="s">
        <v>80</v>
      </c>
      <c r="E819" s="18" t="s">
        <v>73</v>
      </c>
      <c r="F819" s="18" t="s">
        <v>184</v>
      </c>
      <c r="G819" s="18">
        <v>1.0</v>
      </c>
      <c r="H819" s="18" t="s">
        <v>73</v>
      </c>
      <c r="I819" s="18" t="str">
        <f t="shared" si="1"/>
        <v>Overweight</v>
      </c>
    </row>
    <row r="820" ht="15.75" customHeight="1">
      <c r="A820" s="18" t="s">
        <v>2609</v>
      </c>
      <c r="B820" s="18">
        <v>39.14</v>
      </c>
      <c r="C820" s="18">
        <v>4.91</v>
      </c>
      <c r="D820" s="18" t="s">
        <v>73</v>
      </c>
      <c r="E820" s="18" t="s">
        <v>80</v>
      </c>
      <c r="F820" s="18" t="s">
        <v>73</v>
      </c>
      <c r="G820" s="18">
        <v>1.0</v>
      </c>
      <c r="H820" s="18" t="s">
        <v>73</v>
      </c>
      <c r="I820" s="18" t="str">
        <f t="shared" si="1"/>
        <v>Obesity</v>
      </c>
    </row>
    <row r="821" ht="15.75" customHeight="1">
      <c r="A821" s="18" t="s">
        <v>2612</v>
      </c>
      <c r="B821" s="18">
        <v>41.2</v>
      </c>
      <c r="C821" s="18">
        <v>4.95</v>
      </c>
      <c r="D821" s="18" t="s">
        <v>73</v>
      </c>
      <c r="E821" s="18" t="s">
        <v>73</v>
      </c>
      <c r="F821" s="18" t="s">
        <v>73</v>
      </c>
      <c r="G821" s="18">
        <v>1.0</v>
      </c>
      <c r="H821" s="18" t="s">
        <v>73</v>
      </c>
      <c r="I821" s="18" t="str">
        <f t="shared" si="1"/>
        <v>Obesity</v>
      </c>
    </row>
    <row r="822" ht="15.75" customHeight="1">
      <c r="A822" s="18" t="s">
        <v>2615</v>
      </c>
      <c r="B822" s="18">
        <v>28.81</v>
      </c>
      <c r="C822" s="18">
        <v>10.8</v>
      </c>
      <c r="D822" s="18" t="s">
        <v>80</v>
      </c>
      <c r="E822" s="18" t="s">
        <v>73</v>
      </c>
      <c r="F822" s="18" t="s">
        <v>184</v>
      </c>
      <c r="G822" s="18">
        <v>1.0</v>
      </c>
      <c r="H822" s="18" t="s">
        <v>73</v>
      </c>
      <c r="I822" s="18" t="str">
        <f t="shared" si="1"/>
        <v>Overweight</v>
      </c>
    </row>
    <row r="823" ht="15.75" customHeight="1">
      <c r="A823" s="18" t="s">
        <v>2620</v>
      </c>
      <c r="B823" s="18">
        <v>37.41</v>
      </c>
      <c r="C823" s="18">
        <v>7.21</v>
      </c>
      <c r="D823" s="18" t="s">
        <v>73</v>
      </c>
      <c r="E823" s="18" t="s">
        <v>73</v>
      </c>
      <c r="F823" s="18" t="s">
        <v>73</v>
      </c>
      <c r="G823" s="18">
        <v>2.0</v>
      </c>
      <c r="H823" s="18" t="s">
        <v>73</v>
      </c>
      <c r="I823" s="18" t="str">
        <f t="shared" si="1"/>
        <v>Obesity</v>
      </c>
    </row>
    <row r="824" ht="15.75" customHeight="1">
      <c r="A824" s="18" t="s">
        <v>2623</v>
      </c>
      <c r="B824" s="18">
        <v>52.54</v>
      </c>
      <c r="C824" s="18">
        <v>5.12</v>
      </c>
      <c r="D824" s="18" t="s">
        <v>73</v>
      </c>
      <c r="E824" s="18" t="s">
        <v>73</v>
      </c>
      <c r="F824" s="18" t="s">
        <v>184</v>
      </c>
      <c r="G824" s="18">
        <v>1.0</v>
      </c>
      <c r="H824" s="18" t="s">
        <v>73</v>
      </c>
      <c r="I824" s="18" t="str">
        <f t="shared" si="1"/>
        <v>Obesity</v>
      </c>
    </row>
    <row r="825" ht="15.75" customHeight="1">
      <c r="A825" s="18" t="s">
        <v>2626</v>
      </c>
      <c r="B825" s="18">
        <v>17.29</v>
      </c>
      <c r="C825" s="18">
        <v>4.62</v>
      </c>
      <c r="D825" s="18" t="s">
        <v>73</v>
      </c>
      <c r="E825" s="18" t="s">
        <v>80</v>
      </c>
      <c r="F825" s="18" t="s">
        <v>73</v>
      </c>
      <c r="G825" s="18">
        <v>1.0</v>
      </c>
      <c r="H825" s="18" t="s">
        <v>80</v>
      </c>
      <c r="I825" s="18" t="str">
        <f t="shared" si="1"/>
        <v>Underweight</v>
      </c>
    </row>
    <row r="826" ht="15.75" customHeight="1">
      <c r="A826" s="18" t="s">
        <v>2628</v>
      </c>
      <c r="B826" s="18">
        <v>31.74</v>
      </c>
      <c r="C826" s="18">
        <v>7.68</v>
      </c>
      <c r="D826" s="18" t="s">
        <v>80</v>
      </c>
      <c r="E826" s="18" t="s">
        <v>73</v>
      </c>
      <c r="F826" s="18" t="s">
        <v>73</v>
      </c>
      <c r="G826" s="20">
        <v>0.0</v>
      </c>
      <c r="H826" s="18" t="s">
        <v>73</v>
      </c>
      <c r="I826" s="18" t="str">
        <f t="shared" si="1"/>
        <v>Obesity</v>
      </c>
    </row>
    <row r="827" ht="15.75" customHeight="1">
      <c r="A827" s="18" t="s">
        <v>2632</v>
      </c>
      <c r="B827" s="18">
        <v>26.505</v>
      </c>
      <c r="C827" s="18">
        <v>6.79</v>
      </c>
      <c r="D827" s="18" t="s">
        <v>80</v>
      </c>
      <c r="E827" s="18" t="s">
        <v>73</v>
      </c>
      <c r="F827" s="18" t="s">
        <v>184</v>
      </c>
      <c r="G827" s="18">
        <v>1.0</v>
      </c>
      <c r="H827" s="18" t="s">
        <v>73</v>
      </c>
      <c r="I827" s="18" t="str">
        <f t="shared" si="1"/>
        <v>Overweight</v>
      </c>
    </row>
    <row r="828" ht="15.75" customHeight="1">
      <c r="A828" s="18" t="s">
        <v>2636</v>
      </c>
      <c r="B828" s="18">
        <v>36.48</v>
      </c>
      <c r="C828" s="18">
        <v>11.09</v>
      </c>
      <c r="D828" s="18" t="s">
        <v>73</v>
      </c>
      <c r="E828" s="18" t="s">
        <v>73</v>
      </c>
      <c r="F828" s="18" t="s">
        <v>73</v>
      </c>
      <c r="G828" s="20">
        <v>0.0</v>
      </c>
      <c r="H828" s="18" t="s">
        <v>73</v>
      </c>
      <c r="I828" s="18" t="str">
        <f t="shared" si="1"/>
        <v>Obesity</v>
      </c>
    </row>
    <row r="829" ht="15.75" customHeight="1">
      <c r="A829" s="18" t="s">
        <v>2639</v>
      </c>
      <c r="B829" s="18">
        <v>39.16</v>
      </c>
      <c r="C829" s="18">
        <v>5.24</v>
      </c>
      <c r="D829" s="18" t="s">
        <v>80</v>
      </c>
      <c r="E829" s="18" t="s">
        <v>73</v>
      </c>
      <c r="F829" s="18" t="s">
        <v>184</v>
      </c>
      <c r="G829" s="18">
        <v>1.0</v>
      </c>
      <c r="H829" s="18" t="s">
        <v>73</v>
      </c>
      <c r="I829" s="18" t="str">
        <f t="shared" si="1"/>
        <v>Obesity</v>
      </c>
    </row>
    <row r="830" ht="15.75" customHeight="1">
      <c r="A830" s="18" t="s">
        <v>2642</v>
      </c>
      <c r="B830" s="18">
        <v>28.22</v>
      </c>
      <c r="C830" s="18">
        <v>7.51</v>
      </c>
      <c r="D830" s="18" t="s">
        <v>80</v>
      </c>
      <c r="E830" s="18" t="s">
        <v>73</v>
      </c>
      <c r="F830" s="18" t="s">
        <v>184</v>
      </c>
      <c r="G830" s="18">
        <v>1.0</v>
      </c>
      <c r="H830" s="18" t="s">
        <v>73</v>
      </c>
      <c r="I830" s="18" t="str">
        <f t="shared" si="1"/>
        <v>Overweight</v>
      </c>
    </row>
    <row r="831" ht="15.75" customHeight="1">
      <c r="A831" s="18" t="s">
        <v>2645</v>
      </c>
      <c r="B831" s="18">
        <v>35.0</v>
      </c>
      <c r="C831" s="18">
        <v>4.13</v>
      </c>
      <c r="D831" s="18" t="s">
        <v>73</v>
      </c>
      <c r="E831" s="18" t="s">
        <v>73</v>
      </c>
      <c r="F831" s="18" t="s">
        <v>73</v>
      </c>
      <c r="G831" s="18">
        <v>2.0</v>
      </c>
      <c r="H831" s="18" t="s">
        <v>73</v>
      </c>
      <c r="I831" s="18" t="str">
        <f t="shared" si="1"/>
        <v>Obesity</v>
      </c>
    </row>
    <row r="832" ht="15.75" customHeight="1">
      <c r="A832" s="18" t="s">
        <v>2649</v>
      </c>
      <c r="B832" s="18">
        <v>36.24</v>
      </c>
      <c r="C832" s="18">
        <v>8.38</v>
      </c>
      <c r="D832" s="18" t="s">
        <v>80</v>
      </c>
      <c r="E832" s="18" t="s">
        <v>73</v>
      </c>
      <c r="F832" s="18" t="s">
        <v>73</v>
      </c>
      <c r="G832" s="18">
        <v>1.0</v>
      </c>
      <c r="H832" s="18" t="s">
        <v>73</v>
      </c>
      <c r="I832" s="18" t="str">
        <f t="shared" si="1"/>
        <v>Obesity</v>
      </c>
    </row>
    <row r="833" ht="15.75" customHeight="1">
      <c r="A833" s="18" t="s">
        <v>2651</v>
      </c>
      <c r="B833" s="18">
        <v>36.955</v>
      </c>
      <c r="C833" s="18">
        <v>8.07</v>
      </c>
      <c r="D833" s="18" t="s">
        <v>73</v>
      </c>
      <c r="E833" s="18" t="s">
        <v>73</v>
      </c>
      <c r="F833" s="18" t="s">
        <v>73</v>
      </c>
      <c r="G833" s="20">
        <v>0.0</v>
      </c>
      <c r="H833" s="18" t="s">
        <v>73</v>
      </c>
      <c r="I833" s="18" t="str">
        <f t="shared" si="1"/>
        <v>Obesity</v>
      </c>
    </row>
    <row r="834" ht="15.75" customHeight="1">
      <c r="A834" s="18" t="s">
        <v>2655</v>
      </c>
      <c r="B834" s="18">
        <v>29.64</v>
      </c>
      <c r="C834" s="18">
        <v>8.95</v>
      </c>
      <c r="D834" s="18" t="s">
        <v>73</v>
      </c>
      <c r="E834" s="18" t="s">
        <v>73</v>
      </c>
      <c r="F834" s="18" t="s">
        <v>73</v>
      </c>
      <c r="G834" s="20">
        <v>0.0</v>
      </c>
      <c r="H834" s="18" t="s">
        <v>73</v>
      </c>
      <c r="I834" s="18" t="str">
        <f t="shared" si="1"/>
        <v>Overweight</v>
      </c>
    </row>
    <row r="835" ht="15.75" customHeight="1">
      <c r="A835" s="18" t="s">
        <v>2658</v>
      </c>
      <c r="B835" s="18">
        <v>42.74</v>
      </c>
      <c r="C835" s="18">
        <v>6.31</v>
      </c>
      <c r="D835" s="18" t="s">
        <v>80</v>
      </c>
      <c r="E835" s="18" t="s">
        <v>73</v>
      </c>
      <c r="F835" s="18" t="s">
        <v>73</v>
      </c>
      <c r="G835" s="18">
        <v>1.0</v>
      </c>
      <c r="H835" s="18" t="s">
        <v>73</v>
      </c>
      <c r="I835" s="18" t="str">
        <f t="shared" si="1"/>
        <v>Obesity</v>
      </c>
    </row>
    <row r="836" ht="15.75" customHeight="1">
      <c r="A836" s="18" t="s">
        <v>2661</v>
      </c>
      <c r="B836" s="18">
        <v>36.13</v>
      </c>
      <c r="C836" s="18">
        <v>7.19</v>
      </c>
      <c r="D836" s="18" t="s">
        <v>80</v>
      </c>
      <c r="E836" s="18" t="s">
        <v>73</v>
      </c>
      <c r="F836" s="18" t="s">
        <v>73</v>
      </c>
      <c r="G836" s="18">
        <v>2.0</v>
      </c>
      <c r="H836" s="18" t="s">
        <v>73</v>
      </c>
      <c r="I836" s="18" t="str">
        <f t="shared" si="1"/>
        <v>Obesity</v>
      </c>
    </row>
    <row r="837" ht="15.75" customHeight="1">
      <c r="A837" s="18" t="s">
        <v>2664</v>
      </c>
      <c r="B837" s="18">
        <v>31.55</v>
      </c>
      <c r="C837" s="18">
        <v>6.11</v>
      </c>
      <c r="D837" s="18" t="s">
        <v>80</v>
      </c>
      <c r="E837" s="18" t="s">
        <v>73</v>
      </c>
      <c r="F837" s="18" t="s">
        <v>73</v>
      </c>
      <c r="G837" s="18">
        <v>1.0</v>
      </c>
      <c r="H837" s="18" t="s">
        <v>73</v>
      </c>
      <c r="I837" s="18" t="str">
        <f t="shared" si="1"/>
        <v>Obesity</v>
      </c>
    </row>
    <row r="838" ht="15.75" customHeight="1">
      <c r="A838" s="18" t="s">
        <v>2667</v>
      </c>
      <c r="B838" s="18">
        <v>52.75</v>
      </c>
      <c r="C838" s="18">
        <v>6.02</v>
      </c>
      <c r="D838" s="18" t="s">
        <v>73</v>
      </c>
      <c r="E838" s="18" t="s">
        <v>73</v>
      </c>
      <c r="F838" s="18" t="s">
        <v>73</v>
      </c>
      <c r="G838" s="18">
        <v>1.0</v>
      </c>
      <c r="H838" s="18" t="s">
        <v>73</v>
      </c>
      <c r="I838" s="18" t="str">
        <f t="shared" si="1"/>
        <v>Obesity</v>
      </c>
    </row>
    <row r="839" ht="15.75" customHeight="1">
      <c r="A839" s="18" t="s">
        <v>2670</v>
      </c>
      <c r="B839" s="18">
        <v>36.67</v>
      </c>
      <c r="C839" s="18">
        <v>11.86</v>
      </c>
      <c r="D839" s="18" t="s">
        <v>73</v>
      </c>
      <c r="E839" s="18" t="s">
        <v>73</v>
      </c>
      <c r="F839" s="18" t="s">
        <v>73</v>
      </c>
      <c r="G839" s="20">
        <v>0.0</v>
      </c>
      <c r="H839" s="18" t="s">
        <v>73</v>
      </c>
      <c r="I839" s="18" t="str">
        <f t="shared" si="1"/>
        <v>Obesity</v>
      </c>
    </row>
    <row r="840" ht="15.75" customHeight="1">
      <c r="A840" s="18" t="s">
        <v>2672</v>
      </c>
      <c r="B840" s="18">
        <v>38.06</v>
      </c>
      <c r="C840" s="18">
        <v>8.25</v>
      </c>
      <c r="D840" s="18" t="s">
        <v>73</v>
      </c>
      <c r="E840" s="18" t="s">
        <v>73</v>
      </c>
      <c r="F840" s="18" t="s">
        <v>73</v>
      </c>
      <c r="G840" s="20">
        <v>0.0</v>
      </c>
      <c r="H840" s="18" t="s">
        <v>73</v>
      </c>
      <c r="I840" s="18" t="str">
        <f t="shared" si="1"/>
        <v>Obesity</v>
      </c>
    </row>
    <row r="841" ht="15.75" customHeight="1">
      <c r="A841" s="18" t="s">
        <v>2675</v>
      </c>
      <c r="B841" s="18">
        <v>38.0</v>
      </c>
      <c r="C841" s="18">
        <v>8.13</v>
      </c>
      <c r="D841" s="18" t="s">
        <v>73</v>
      </c>
      <c r="E841" s="18" t="s">
        <v>73</v>
      </c>
      <c r="F841" s="18" t="s">
        <v>73</v>
      </c>
      <c r="G841" s="20">
        <v>0.0</v>
      </c>
      <c r="H841" s="18" t="s">
        <v>73</v>
      </c>
      <c r="I841" s="18" t="str">
        <f t="shared" si="1"/>
        <v>Obesity</v>
      </c>
    </row>
    <row r="842" ht="15.75" customHeight="1">
      <c r="A842" s="18" t="s">
        <v>2678</v>
      </c>
      <c r="B842" s="18">
        <v>35.1</v>
      </c>
      <c r="C842" s="18">
        <v>10.1</v>
      </c>
      <c r="D842" s="18" t="s">
        <v>73</v>
      </c>
      <c r="E842" s="18" t="s">
        <v>73</v>
      </c>
      <c r="F842" s="18" t="s">
        <v>73</v>
      </c>
      <c r="G842" s="20">
        <v>0.0</v>
      </c>
      <c r="H842" s="18" t="s">
        <v>73</v>
      </c>
      <c r="I842" s="18" t="str">
        <f t="shared" si="1"/>
        <v>Obesity</v>
      </c>
    </row>
    <row r="843" ht="15.75" customHeight="1">
      <c r="A843" s="18" t="s">
        <v>2682</v>
      </c>
      <c r="B843" s="18">
        <v>33.82</v>
      </c>
      <c r="C843" s="18">
        <v>5.89</v>
      </c>
      <c r="D843" s="18" t="s">
        <v>80</v>
      </c>
      <c r="E843" s="18" t="s">
        <v>73</v>
      </c>
      <c r="F843" s="18" t="s">
        <v>73</v>
      </c>
      <c r="G843" s="18">
        <v>2.0</v>
      </c>
      <c r="H843" s="18" t="s">
        <v>73</v>
      </c>
      <c r="I843" s="18" t="str">
        <f t="shared" si="1"/>
        <v>Obesity</v>
      </c>
    </row>
    <row r="844" ht="15.75" customHeight="1">
      <c r="A844" s="18" t="s">
        <v>2685</v>
      </c>
      <c r="B844" s="18">
        <v>37.43</v>
      </c>
      <c r="C844" s="18">
        <v>4.97</v>
      </c>
      <c r="D844" s="18" t="s">
        <v>73</v>
      </c>
      <c r="E844" s="18" t="s">
        <v>73</v>
      </c>
      <c r="F844" s="18" t="s">
        <v>73</v>
      </c>
      <c r="G844" s="18">
        <v>2.0</v>
      </c>
      <c r="H844" s="18" t="s">
        <v>73</v>
      </c>
      <c r="I844" s="18" t="str">
        <f t="shared" si="1"/>
        <v>Obesity</v>
      </c>
    </row>
    <row r="845" ht="15.75" customHeight="1">
      <c r="A845" s="18" t="s">
        <v>2689</v>
      </c>
      <c r="B845" s="18">
        <v>30.5</v>
      </c>
      <c r="C845" s="18">
        <v>9.9</v>
      </c>
      <c r="D845" s="18" t="s">
        <v>73</v>
      </c>
      <c r="E845" s="18" t="s">
        <v>73</v>
      </c>
      <c r="F845" s="18" t="s">
        <v>73</v>
      </c>
      <c r="G845" s="20">
        <v>0.0</v>
      </c>
      <c r="H845" s="18" t="s">
        <v>73</v>
      </c>
      <c r="I845" s="18" t="str">
        <f t="shared" si="1"/>
        <v>Obesity</v>
      </c>
    </row>
    <row r="846" ht="15.75" customHeight="1">
      <c r="A846" s="18" t="s">
        <v>2690</v>
      </c>
      <c r="B846" s="18">
        <v>24.53</v>
      </c>
      <c r="C846" s="18">
        <v>9.05</v>
      </c>
      <c r="D846" s="18" t="s">
        <v>73</v>
      </c>
      <c r="E846" s="18" t="s">
        <v>73</v>
      </c>
      <c r="F846" s="18" t="s">
        <v>73</v>
      </c>
      <c r="G846" s="20">
        <v>0.0</v>
      </c>
      <c r="H846" s="18" t="s">
        <v>73</v>
      </c>
      <c r="I846" s="18" t="str">
        <f t="shared" si="1"/>
        <v>Normal Weight</v>
      </c>
    </row>
    <row r="847" ht="15.75" customHeight="1">
      <c r="A847" s="18" t="s">
        <v>2694</v>
      </c>
      <c r="B847" s="18">
        <v>25.74</v>
      </c>
      <c r="C847" s="18">
        <v>10.93</v>
      </c>
      <c r="D847" s="18" t="s">
        <v>73</v>
      </c>
      <c r="E847" s="18" t="s">
        <v>73</v>
      </c>
      <c r="F847" s="18" t="s">
        <v>73</v>
      </c>
      <c r="G847" s="20">
        <v>0.0</v>
      </c>
      <c r="H847" s="18" t="s">
        <v>73</v>
      </c>
      <c r="I847" s="18" t="str">
        <f t="shared" si="1"/>
        <v>Overweight</v>
      </c>
    </row>
    <row r="848" ht="15.75" customHeight="1">
      <c r="A848" s="18" t="s">
        <v>2697</v>
      </c>
      <c r="B848" s="18">
        <v>34.08</v>
      </c>
      <c r="C848" s="18">
        <v>7.58</v>
      </c>
      <c r="D848" s="18" t="s">
        <v>80</v>
      </c>
      <c r="E848" s="18" t="s">
        <v>73</v>
      </c>
      <c r="F848" s="18" t="s">
        <v>73</v>
      </c>
      <c r="G848" s="18">
        <v>2.0</v>
      </c>
      <c r="H848" s="18" t="s">
        <v>73</v>
      </c>
      <c r="I848" s="18" t="str">
        <f t="shared" si="1"/>
        <v>Obesity</v>
      </c>
    </row>
    <row r="849" ht="15.75" customHeight="1">
      <c r="A849" s="18" t="s">
        <v>2705</v>
      </c>
      <c r="B849" s="18">
        <v>31.35</v>
      </c>
      <c r="C849" s="18">
        <v>11.0</v>
      </c>
      <c r="D849" s="18" t="s">
        <v>80</v>
      </c>
      <c r="E849" s="18" t="s">
        <v>73</v>
      </c>
      <c r="F849" s="18" t="s">
        <v>184</v>
      </c>
      <c r="G849" s="18">
        <v>1.0</v>
      </c>
      <c r="H849" s="18" t="s">
        <v>73</v>
      </c>
      <c r="I849" s="18" t="str">
        <f t="shared" si="1"/>
        <v>Obesity</v>
      </c>
    </row>
    <row r="850" ht="15.75" customHeight="1">
      <c r="A850" s="18" t="s">
        <v>2708</v>
      </c>
      <c r="B850" s="18">
        <v>26.79</v>
      </c>
      <c r="C850" s="18">
        <v>5.06</v>
      </c>
      <c r="D850" s="18" t="s">
        <v>73</v>
      </c>
      <c r="E850" s="18" t="s">
        <v>73</v>
      </c>
      <c r="F850" s="18" t="s">
        <v>73</v>
      </c>
      <c r="G850" s="18">
        <v>1.0</v>
      </c>
      <c r="H850" s="18" t="s">
        <v>73</v>
      </c>
      <c r="I850" s="18" t="str">
        <f t="shared" si="1"/>
        <v>Overweight</v>
      </c>
    </row>
    <row r="851" ht="15.75" customHeight="1">
      <c r="A851" s="18" t="s">
        <v>2711</v>
      </c>
      <c r="B851" s="18">
        <v>42.78</v>
      </c>
      <c r="C851" s="18">
        <v>6.11</v>
      </c>
      <c r="D851" s="18" t="s">
        <v>80</v>
      </c>
      <c r="E851" s="18" t="s">
        <v>73</v>
      </c>
      <c r="F851" s="18" t="s">
        <v>73</v>
      </c>
      <c r="G851" s="18">
        <v>1.0</v>
      </c>
      <c r="H851" s="18" t="s">
        <v>73</v>
      </c>
      <c r="I851" s="18" t="str">
        <f t="shared" si="1"/>
        <v>Obesity</v>
      </c>
    </row>
    <row r="852" ht="15.75" customHeight="1">
      <c r="A852" s="18" t="s">
        <v>2713</v>
      </c>
      <c r="B852" s="18">
        <v>46.75</v>
      </c>
      <c r="C852" s="18">
        <v>6.66</v>
      </c>
      <c r="D852" s="18" t="s">
        <v>80</v>
      </c>
      <c r="E852" s="18" t="s">
        <v>73</v>
      </c>
      <c r="F852" s="18" t="s">
        <v>73</v>
      </c>
      <c r="G852" s="18">
        <v>2.0</v>
      </c>
      <c r="H852" s="18" t="s">
        <v>73</v>
      </c>
      <c r="I852" s="18" t="str">
        <f t="shared" si="1"/>
        <v>Obesity</v>
      </c>
    </row>
    <row r="853" ht="15.75" customHeight="1">
      <c r="A853" s="18" t="s">
        <v>2717</v>
      </c>
      <c r="B853" s="18">
        <v>32.15</v>
      </c>
      <c r="C853" s="18">
        <v>4.02</v>
      </c>
      <c r="D853" s="18" t="s">
        <v>80</v>
      </c>
      <c r="E853" s="18" t="s">
        <v>73</v>
      </c>
      <c r="F853" s="18" t="s">
        <v>184</v>
      </c>
      <c r="G853" s="18">
        <v>1.0</v>
      </c>
      <c r="H853" s="18" t="s">
        <v>73</v>
      </c>
      <c r="I853" s="18" t="str">
        <f t="shared" si="1"/>
        <v>Obesity</v>
      </c>
    </row>
    <row r="854" ht="15.75" customHeight="1">
      <c r="A854" s="18" t="s">
        <v>2720</v>
      </c>
      <c r="B854" s="18">
        <v>43.4</v>
      </c>
      <c r="C854" s="18">
        <v>8.81</v>
      </c>
      <c r="D854" s="18" t="s">
        <v>80</v>
      </c>
      <c r="E854" s="18" t="s">
        <v>73</v>
      </c>
      <c r="F854" s="18" t="s">
        <v>73</v>
      </c>
      <c r="G854" s="18">
        <v>2.0</v>
      </c>
      <c r="H854" s="18" t="s">
        <v>73</v>
      </c>
      <c r="I854" s="18" t="str">
        <f t="shared" si="1"/>
        <v>Obesity</v>
      </c>
    </row>
    <row r="855" ht="15.75" customHeight="1">
      <c r="A855" s="18" t="s">
        <v>2721</v>
      </c>
      <c r="B855" s="18">
        <v>31.57</v>
      </c>
      <c r="C855" s="18">
        <v>7.92</v>
      </c>
      <c r="D855" s="18" t="s">
        <v>80</v>
      </c>
      <c r="E855" s="18" t="s">
        <v>73</v>
      </c>
      <c r="F855" s="18" t="s">
        <v>73</v>
      </c>
      <c r="G855" s="18">
        <v>2.0</v>
      </c>
      <c r="H855" s="18" t="s">
        <v>73</v>
      </c>
      <c r="I855" s="18" t="str">
        <f t="shared" si="1"/>
        <v>Obesity</v>
      </c>
    </row>
    <row r="856" ht="15.75" customHeight="1">
      <c r="A856" s="18" t="s">
        <v>2725</v>
      </c>
      <c r="B856" s="18">
        <v>24.32</v>
      </c>
      <c r="C856" s="18">
        <v>7.48</v>
      </c>
      <c r="D856" s="18" t="s">
        <v>73</v>
      </c>
      <c r="E856" s="18" t="s">
        <v>73</v>
      </c>
      <c r="F856" s="18" t="s">
        <v>73</v>
      </c>
      <c r="G856" s="20">
        <v>0.0</v>
      </c>
      <c r="H856" s="18" t="s">
        <v>73</v>
      </c>
      <c r="I856" s="18" t="str">
        <f t="shared" si="1"/>
        <v>Normal Weight</v>
      </c>
    </row>
    <row r="857" ht="15.75" customHeight="1">
      <c r="A857" s="18" t="s">
        <v>2727</v>
      </c>
      <c r="B857" s="18">
        <v>31.07</v>
      </c>
      <c r="C857" s="18">
        <v>4.62</v>
      </c>
      <c r="D857" s="18" t="s">
        <v>80</v>
      </c>
      <c r="E857" s="18" t="s">
        <v>73</v>
      </c>
      <c r="F857" s="18" t="s">
        <v>73</v>
      </c>
      <c r="G857" s="18">
        <v>2.0</v>
      </c>
      <c r="H857" s="18" t="s">
        <v>73</v>
      </c>
      <c r="I857" s="18" t="str">
        <f t="shared" si="1"/>
        <v>Obesity</v>
      </c>
    </row>
    <row r="858" ht="15.75" customHeight="1">
      <c r="A858" s="18" t="s">
        <v>2731</v>
      </c>
      <c r="B858" s="18">
        <v>35.815</v>
      </c>
      <c r="C858" s="18">
        <v>8.47</v>
      </c>
      <c r="D858" s="18" t="s">
        <v>73</v>
      </c>
      <c r="E858" s="18" t="s">
        <v>73</v>
      </c>
      <c r="F858" s="18" t="s">
        <v>73</v>
      </c>
      <c r="G858" s="20">
        <v>0.0</v>
      </c>
      <c r="H858" s="18" t="s">
        <v>73</v>
      </c>
      <c r="I858" s="18" t="str">
        <f t="shared" si="1"/>
        <v>Obesity</v>
      </c>
    </row>
    <row r="859" ht="15.75" customHeight="1">
      <c r="A859" s="18" t="s">
        <v>2734</v>
      </c>
      <c r="B859" s="18">
        <v>40.81</v>
      </c>
      <c r="C859" s="18">
        <v>10.58</v>
      </c>
      <c r="D859" s="18" t="s">
        <v>80</v>
      </c>
      <c r="E859" s="18" t="s">
        <v>73</v>
      </c>
      <c r="F859" s="18" t="s">
        <v>73</v>
      </c>
      <c r="G859" s="20">
        <v>0.0</v>
      </c>
      <c r="H859" s="18" t="s">
        <v>73</v>
      </c>
      <c r="I859" s="18" t="str">
        <f t="shared" si="1"/>
        <v>Obesity</v>
      </c>
    </row>
    <row r="860" ht="15.75" customHeight="1">
      <c r="A860" s="18" t="s">
        <v>2737</v>
      </c>
      <c r="B860" s="18">
        <v>24.605</v>
      </c>
      <c r="C860" s="18">
        <v>7.48</v>
      </c>
      <c r="D860" s="18" t="s">
        <v>73</v>
      </c>
      <c r="E860" s="18" t="s">
        <v>73</v>
      </c>
      <c r="F860" s="18" t="s">
        <v>73</v>
      </c>
      <c r="G860" s="20">
        <v>0.0</v>
      </c>
      <c r="H860" s="18" t="s">
        <v>73</v>
      </c>
      <c r="I860" s="18" t="str">
        <f t="shared" si="1"/>
        <v>Normal Weight</v>
      </c>
    </row>
    <row r="861" ht="15.75" customHeight="1">
      <c r="A861" s="18" t="s">
        <v>2740</v>
      </c>
      <c r="B861" s="18">
        <v>21.47</v>
      </c>
      <c r="C861" s="18">
        <v>7.82</v>
      </c>
      <c r="D861" s="18" t="s">
        <v>73</v>
      </c>
      <c r="E861" s="18" t="s">
        <v>73</v>
      </c>
      <c r="F861" s="18" t="s">
        <v>73</v>
      </c>
      <c r="G861" s="20">
        <v>0.0</v>
      </c>
      <c r="H861" s="18" t="s">
        <v>73</v>
      </c>
      <c r="I861" s="18" t="str">
        <f t="shared" si="1"/>
        <v>Normal Weight</v>
      </c>
    </row>
    <row r="862" ht="15.75" customHeight="1">
      <c r="A862" s="18" t="s">
        <v>2744</v>
      </c>
      <c r="B862" s="18">
        <v>52.89</v>
      </c>
      <c r="C862" s="18">
        <v>4.96</v>
      </c>
      <c r="D862" s="18" t="s">
        <v>80</v>
      </c>
      <c r="E862" s="18" t="s">
        <v>73</v>
      </c>
      <c r="F862" s="18" t="s">
        <v>73</v>
      </c>
      <c r="G862" s="18">
        <v>1.0</v>
      </c>
      <c r="H862" s="18" t="s">
        <v>73</v>
      </c>
      <c r="I862" s="18" t="str">
        <f t="shared" si="1"/>
        <v>Obesity</v>
      </c>
    </row>
    <row r="863" ht="15.75" customHeight="1">
      <c r="A863" s="18" t="s">
        <v>2746</v>
      </c>
      <c r="B863" s="18">
        <v>32.965</v>
      </c>
      <c r="C863" s="18">
        <v>6.15</v>
      </c>
      <c r="D863" s="18" t="s">
        <v>80</v>
      </c>
      <c r="E863" s="18" t="s">
        <v>73</v>
      </c>
      <c r="F863" s="18" t="s">
        <v>73</v>
      </c>
      <c r="G863" s="18">
        <v>1.0</v>
      </c>
      <c r="H863" s="18" t="s">
        <v>73</v>
      </c>
      <c r="I863" s="18" t="str">
        <f t="shared" si="1"/>
        <v>Obesity</v>
      </c>
    </row>
    <row r="864" ht="15.75" customHeight="1">
      <c r="A864" s="18" t="s">
        <v>2749</v>
      </c>
      <c r="B864" s="18">
        <v>36.8</v>
      </c>
      <c r="C864" s="18">
        <v>4.62</v>
      </c>
      <c r="D864" s="18" t="s">
        <v>73</v>
      </c>
      <c r="E864" s="18" t="s">
        <v>73</v>
      </c>
      <c r="F864" s="18" t="s">
        <v>184</v>
      </c>
      <c r="G864" s="18">
        <v>1.0</v>
      </c>
      <c r="H864" s="18" t="s">
        <v>73</v>
      </c>
      <c r="I864" s="18" t="str">
        <f t="shared" si="1"/>
        <v>Obesity</v>
      </c>
    </row>
    <row r="865" ht="15.75" customHeight="1">
      <c r="A865" s="18" t="s">
        <v>2753</v>
      </c>
      <c r="B865" s="18">
        <v>34.3</v>
      </c>
      <c r="C865" s="18">
        <v>4.87</v>
      </c>
      <c r="D865" s="18" t="s">
        <v>73</v>
      </c>
      <c r="E865" s="18" t="s">
        <v>73</v>
      </c>
      <c r="F865" s="18" t="s">
        <v>73</v>
      </c>
      <c r="G865" s="18">
        <v>2.0</v>
      </c>
      <c r="H865" s="18" t="s">
        <v>73</v>
      </c>
      <c r="I865" s="18" t="str">
        <f t="shared" si="1"/>
        <v>Obesity</v>
      </c>
    </row>
    <row r="866" ht="15.75" customHeight="1">
      <c r="A866" s="18" t="s">
        <v>2757</v>
      </c>
      <c r="B866" s="18">
        <v>35.245</v>
      </c>
      <c r="C866" s="18">
        <v>4.63</v>
      </c>
      <c r="D866" s="18" t="s">
        <v>73</v>
      </c>
      <c r="E866" s="18" t="s">
        <v>73</v>
      </c>
      <c r="F866" s="18" t="s">
        <v>73</v>
      </c>
      <c r="G866" s="20">
        <v>0.0</v>
      </c>
      <c r="H866" s="18" t="s">
        <v>73</v>
      </c>
      <c r="I866" s="18" t="str">
        <f t="shared" si="1"/>
        <v>Obesity</v>
      </c>
    </row>
    <row r="867" ht="15.75" customHeight="1">
      <c r="A867" s="18" t="s">
        <v>2759</v>
      </c>
      <c r="B867" s="18">
        <v>26.23</v>
      </c>
      <c r="C867" s="18">
        <v>11.93</v>
      </c>
      <c r="D867" s="18" t="s">
        <v>73</v>
      </c>
      <c r="E867" s="18" t="s">
        <v>73</v>
      </c>
      <c r="F867" s="18" t="s">
        <v>73</v>
      </c>
      <c r="G867" s="20">
        <v>0.0</v>
      </c>
      <c r="H867" s="18" t="s">
        <v>73</v>
      </c>
      <c r="I867" s="18" t="str">
        <f t="shared" si="1"/>
        <v>Overweight</v>
      </c>
    </row>
    <row r="868" ht="15.75" customHeight="1">
      <c r="A868" s="18" t="s">
        <v>2763</v>
      </c>
      <c r="B868" s="18">
        <v>36.1</v>
      </c>
      <c r="C868" s="18">
        <v>5.65</v>
      </c>
      <c r="D868" s="18" t="s">
        <v>80</v>
      </c>
      <c r="E868" s="18" t="s">
        <v>73</v>
      </c>
      <c r="F868" s="18" t="s">
        <v>73</v>
      </c>
      <c r="G868" s="18">
        <v>2.0</v>
      </c>
      <c r="H868" s="18" t="s">
        <v>73</v>
      </c>
      <c r="I868" s="18" t="str">
        <f t="shared" si="1"/>
        <v>Obesity</v>
      </c>
    </row>
    <row r="869" ht="15.75" customHeight="1">
      <c r="A869" s="18" t="s">
        <v>2766</v>
      </c>
      <c r="B869" s="18">
        <v>37.1</v>
      </c>
      <c r="C869" s="18">
        <v>11.21</v>
      </c>
      <c r="D869" s="18" t="s">
        <v>80</v>
      </c>
      <c r="E869" s="18" t="s">
        <v>73</v>
      </c>
      <c r="F869" s="18" t="s">
        <v>184</v>
      </c>
      <c r="G869" s="18">
        <v>1.0</v>
      </c>
      <c r="H869" s="18" t="s">
        <v>73</v>
      </c>
      <c r="I869" s="18" t="str">
        <f t="shared" si="1"/>
        <v>Obesity</v>
      </c>
    </row>
    <row r="870" ht="15.75" customHeight="1">
      <c r="A870" s="18" t="s">
        <v>2769</v>
      </c>
      <c r="B870" s="18">
        <v>27.5</v>
      </c>
      <c r="C870" s="18">
        <v>10.62</v>
      </c>
      <c r="D870" s="18" t="s">
        <v>80</v>
      </c>
      <c r="E870" s="18" t="s">
        <v>73</v>
      </c>
      <c r="F870" s="18" t="s">
        <v>184</v>
      </c>
      <c r="G870" s="18">
        <v>1.0</v>
      </c>
      <c r="H870" s="18" t="s">
        <v>73</v>
      </c>
      <c r="I870" s="18" t="str">
        <f t="shared" si="1"/>
        <v>Overweight</v>
      </c>
    </row>
    <row r="871" ht="15.75" customHeight="1">
      <c r="A871" s="18" t="s">
        <v>2771</v>
      </c>
      <c r="B871" s="18">
        <v>24.7</v>
      </c>
      <c r="C871" s="18">
        <v>10.7</v>
      </c>
      <c r="D871" s="18" t="s">
        <v>80</v>
      </c>
      <c r="E871" s="18" t="s">
        <v>73</v>
      </c>
      <c r="F871" s="18" t="s">
        <v>184</v>
      </c>
      <c r="G871" s="18">
        <v>1.0</v>
      </c>
      <c r="H871" s="18" t="s">
        <v>73</v>
      </c>
      <c r="I871" s="18" t="str">
        <f t="shared" si="1"/>
        <v>Normal Weight</v>
      </c>
    </row>
    <row r="872" ht="15.75" customHeight="1">
      <c r="A872" s="18" t="s">
        <v>2775</v>
      </c>
      <c r="B872" s="18">
        <v>26.78</v>
      </c>
      <c r="C872" s="18">
        <v>10.02</v>
      </c>
      <c r="D872" s="18" t="s">
        <v>80</v>
      </c>
      <c r="E872" s="18" t="s">
        <v>73</v>
      </c>
      <c r="F872" s="18" t="s">
        <v>184</v>
      </c>
      <c r="G872" s="18">
        <v>1.0</v>
      </c>
      <c r="H872" s="18" t="s">
        <v>73</v>
      </c>
      <c r="I872" s="18" t="str">
        <f t="shared" si="1"/>
        <v>Overweight</v>
      </c>
    </row>
    <row r="873" ht="15.75" customHeight="1">
      <c r="A873" s="18" t="s">
        <v>2779</v>
      </c>
      <c r="B873" s="18">
        <v>45.8</v>
      </c>
      <c r="C873" s="18">
        <v>4.85</v>
      </c>
      <c r="D873" s="18" t="s">
        <v>73</v>
      </c>
      <c r="E873" s="18" t="s">
        <v>73</v>
      </c>
      <c r="F873" s="18" t="s">
        <v>73</v>
      </c>
      <c r="G873" s="20">
        <v>0.0</v>
      </c>
      <c r="H873" s="18" t="s">
        <v>73</v>
      </c>
      <c r="I873" s="18" t="str">
        <f t="shared" si="1"/>
        <v>Obesity</v>
      </c>
    </row>
    <row r="874" ht="15.75" customHeight="1">
      <c r="A874" s="18" t="s">
        <v>2782</v>
      </c>
      <c r="B874" s="18">
        <v>29.0</v>
      </c>
      <c r="C874" s="18">
        <v>4.39</v>
      </c>
      <c r="D874" s="18" t="s">
        <v>80</v>
      </c>
      <c r="E874" s="18" t="s">
        <v>73</v>
      </c>
      <c r="F874" s="18" t="s">
        <v>73</v>
      </c>
      <c r="G874" s="18">
        <v>2.0</v>
      </c>
      <c r="H874" s="18" t="s">
        <v>73</v>
      </c>
      <c r="I874" s="18" t="str">
        <f t="shared" si="1"/>
        <v>Overweight</v>
      </c>
    </row>
    <row r="875" ht="15.75" customHeight="1">
      <c r="A875" s="18" t="s">
        <v>2785</v>
      </c>
      <c r="B875" s="18">
        <v>33.535</v>
      </c>
      <c r="C875" s="18">
        <v>8.24</v>
      </c>
      <c r="D875" s="18" t="s">
        <v>80</v>
      </c>
      <c r="E875" s="18" t="s">
        <v>73</v>
      </c>
      <c r="F875" s="18" t="s">
        <v>73</v>
      </c>
      <c r="G875" s="20">
        <v>0.0</v>
      </c>
      <c r="H875" s="18" t="s">
        <v>73</v>
      </c>
      <c r="I875" s="18" t="str">
        <f t="shared" si="1"/>
        <v>Obesity</v>
      </c>
    </row>
    <row r="876" ht="15.75" customHeight="1">
      <c r="A876" s="18" t="s">
        <v>2788</v>
      </c>
      <c r="B876" s="18">
        <v>32.775</v>
      </c>
      <c r="C876" s="18">
        <v>9.77</v>
      </c>
      <c r="D876" s="18" t="s">
        <v>80</v>
      </c>
      <c r="E876" s="18" t="s">
        <v>73</v>
      </c>
      <c r="F876" s="18" t="s">
        <v>73</v>
      </c>
      <c r="G876" s="20">
        <v>0.0</v>
      </c>
      <c r="H876" s="18" t="s">
        <v>73</v>
      </c>
      <c r="I876" s="18" t="str">
        <f t="shared" si="1"/>
        <v>Obesity</v>
      </c>
    </row>
    <row r="877" ht="15.75" customHeight="1">
      <c r="A877" s="18" t="s">
        <v>2792</v>
      </c>
      <c r="B877" s="18">
        <v>37.51</v>
      </c>
      <c r="C877" s="18">
        <v>5.5</v>
      </c>
      <c r="D877" s="18" t="s">
        <v>80</v>
      </c>
      <c r="E877" s="18" t="s">
        <v>73</v>
      </c>
      <c r="F877" s="18" t="s">
        <v>73</v>
      </c>
      <c r="G877" s="18">
        <v>2.0</v>
      </c>
      <c r="H877" s="18" t="s">
        <v>73</v>
      </c>
      <c r="I877" s="18" t="str">
        <f t="shared" si="1"/>
        <v>Obesity</v>
      </c>
    </row>
    <row r="878" ht="15.75" customHeight="1">
      <c r="A878" s="18" t="s">
        <v>2795</v>
      </c>
      <c r="B878" s="18">
        <v>39.86</v>
      </c>
      <c r="C878" s="18">
        <v>11.84</v>
      </c>
      <c r="D878" s="18" t="s">
        <v>80</v>
      </c>
      <c r="E878" s="18" t="s">
        <v>73</v>
      </c>
      <c r="F878" s="18" t="s">
        <v>73</v>
      </c>
      <c r="G878" s="18">
        <v>1.0</v>
      </c>
      <c r="H878" s="18" t="s">
        <v>73</v>
      </c>
      <c r="I878" s="18" t="str">
        <f t="shared" si="1"/>
        <v>Obesity</v>
      </c>
    </row>
    <row r="879" ht="15.75" customHeight="1">
      <c r="A879" s="18" t="s">
        <v>2798</v>
      </c>
      <c r="B879" s="18">
        <v>42.13</v>
      </c>
      <c r="C879" s="18">
        <v>4.66</v>
      </c>
      <c r="D879" s="18" t="s">
        <v>73</v>
      </c>
      <c r="E879" s="18" t="s">
        <v>73</v>
      </c>
      <c r="F879" s="18" t="s">
        <v>73</v>
      </c>
      <c r="G879" s="20">
        <v>0.0</v>
      </c>
      <c r="H879" s="18" t="s">
        <v>73</v>
      </c>
      <c r="I879" s="18" t="str">
        <f t="shared" si="1"/>
        <v>Obesity</v>
      </c>
    </row>
    <row r="880" ht="15.75" customHeight="1">
      <c r="A880" s="18" t="s">
        <v>2802</v>
      </c>
      <c r="B880" s="18">
        <v>35.99</v>
      </c>
      <c r="C880" s="18">
        <v>11.11</v>
      </c>
      <c r="D880" s="18" t="s">
        <v>73</v>
      </c>
      <c r="E880" s="18" t="s">
        <v>73</v>
      </c>
      <c r="F880" s="18" t="s">
        <v>73</v>
      </c>
      <c r="G880" s="20">
        <v>0.0</v>
      </c>
      <c r="H880" s="18" t="s">
        <v>73</v>
      </c>
      <c r="I880" s="18" t="str">
        <f t="shared" si="1"/>
        <v>Obesity</v>
      </c>
    </row>
    <row r="881" ht="15.75" customHeight="1">
      <c r="A881" s="18" t="s">
        <v>2805</v>
      </c>
      <c r="B881" s="18">
        <v>35.2</v>
      </c>
      <c r="C881" s="18">
        <v>7.72</v>
      </c>
      <c r="D881" s="18" t="s">
        <v>80</v>
      </c>
      <c r="E881" s="18" t="s">
        <v>73</v>
      </c>
      <c r="F881" s="18" t="s">
        <v>184</v>
      </c>
      <c r="G881" s="18">
        <v>1.0</v>
      </c>
      <c r="H881" s="18" t="s">
        <v>73</v>
      </c>
      <c r="I881" s="18" t="str">
        <f t="shared" si="1"/>
        <v>Obesity</v>
      </c>
    </row>
    <row r="882" ht="15.75" customHeight="1">
      <c r="A882" s="18" t="s">
        <v>2809</v>
      </c>
      <c r="B882" s="18">
        <v>29.91</v>
      </c>
      <c r="C882" s="18">
        <v>5.55</v>
      </c>
      <c r="D882" s="18" t="s">
        <v>80</v>
      </c>
      <c r="E882" s="18" t="s">
        <v>73</v>
      </c>
      <c r="F882" s="18" t="s">
        <v>73</v>
      </c>
      <c r="G882" s="18">
        <v>2.0</v>
      </c>
      <c r="H882" s="18" t="s">
        <v>73</v>
      </c>
      <c r="I882" s="18" t="str">
        <f t="shared" si="1"/>
        <v>Overweight</v>
      </c>
    </row>
    <row r="883" ht="15.75" customHeight="1">
      <c r="A883" s="18" t="s">
        <v>2812</v>
      </c>
      <c r="B883" s="18">
        <v>36.48</v>
      </c>
      <c r="C883" s="18">
        <v>5.05</v>
      </c>
      <c r="D883" s="18" t="s">
        <v>80</v>
      </c>
      <c r="E883" s="18" t="s">
        <v>73</v>
      </c>
      <c r="F883" s="18" t="s">
        <v>73</v>
      </c>
      <c r="G883" s="18">
        <v>1.0</v>
      </c>
      <c r="H883" s="18" t="s">
        <v>73</v>
      </c>
      <c r="I883" s="18" t="str">
        <f t="shared" si="1"/>
        <v>Obesity</v>
      </c>
    </row>
    <row r="884" ht="15.75" customHeight="1">
      <c r="A884" s="18" t="s">
        <v>2815</v>
      </c>
      <c r="B884" s="18">
        <v>27.5</v>
      </c>
      <c r="C884" s="18">
        <v>8.69</v>
      </c>
      <c r="D884" s="18" t="s">
        <v>80</v>
      </c>
      <c r="E884" s="18" t="s">
        <v>73</v>
      </c>
      <c r="F884" s="18" t="s">
        <v>184</v>
      </c>
      <c r="G884" s="18">
        <v>1.0</v>
      </c>
      <c r="H884" s="18" t="s">
        <v>73</v>
      </c>
      <c r="I884" s="18" t="str">
        <f t="shared" si="1"/>
        <v>Overweight</v>
      </c>
    </row>
    <row r="885" ht="15.75" customHeight="1">
      <c r="A885" s="18" t="s">
        <v>2818</v>
      </c>
      <c r="B885" s="18">
        <v>33.44</v>
      </c>
      <c r="C885" s="18">
        <v>5.9</v>
      </c>
      <c r="D885" s="18" t="s">
        <v>80</v>
      </c>
      <c r="E885" s="18" t="s">
        <v>73</v>
      </c>
      <c r="F885" s="18" t="s">
        <v>73</v>
      </c>
      <c r="G885" s="18">
        <v>1.0</v>
      </c>
      <c r="H885" s="18" t="s">
        <v>73</v>
      </c>
      <c r="I885" s="18" t="str">
        <f t="shared" si="1"/>
        <v>Obesity</v>
      </c>
    </row>
    <row r="886" ht="15.75" customHeight="1">
      <c r="A886" s="18" t="s">
        <v>2822</v>
      </c>
      <c r="B886" s="18">
        <v>28.215</v>
      </c>
      <c r="C886" s="18">
        <v>6.29</v>
      </c>
      <c r="D886" s="18" t="s">
        <v>80</v>
      </c>
      <c r="E886" s="18" t="s">
        <v>73</v>
      </c>
      <c r="F886" s="18" t="s">
        <v>73</v>
      </c>
      <c r="G886" s="18">
        <v>1.0</v>
      </c>
      <c r="H886" s="18" t="s">
        <v>73</v>
      </c>
      <c r="I886" s="18" t="str">
        <f t="shared" si="1"/>
        <v>Overweight</v>
      </c>
    </row>
    <row r="887" ht="15.75" customHeight="1">
      <c r="A887" s="18" t="s">
        <v>2825</v>
      </c>
      <c r="B887" s="18">
        <v>27.17</v>
      </c>
      <c r="C887" s="18">
        <v>5.84</v>
      </c>
      <c r="D887" s="18" t="s">
        <v>80</v>
      </c>
      <c r="E887" s="18" t="s">
        <v>73</v>
      </c>
      <c r="F887" s="18" t="s">
        <v>73</v>
      </c>
      <c r="G887" s="18">
        <v>1.0</v>
      </c>
      <c r="H887" s="18" t="s">
        <v>73</v>
      </c>
      <c r="I887" s="18" t="str">
        <f t="shared" si="1"/>
        <v>Overweight</v>
      </c>
    </row>
    <row r="888" ht="15.75" customHeight="1">
      <c r="A888" s="18" t="s">
        <v>2829</v>
      </c>
      <c r="B888" s="18">
        <v>35.38</v>
      </c>
      <c r="C888" s="18">
        <v>6.12</v>
      </c>
      <c r="D888" s="18" t="s">
        <v>73</v>
      </c>
      <c r="E888" s="18" t="s">
        <v>73</v>
      </c>
      <c r="F888" s="18" t="s">
        <v>73</v>
      </c>
      <c r="G888" s="20">
        <v>0.0</v>
      </c>
      <c r="H888" s="18" t="s">
        <v>73</v>
      </c>
      <c r="I888" s="18" t="str">
        <f t="shared" si="1"/>
        <v>Obesity</v>
      </c>
    </row>
    <row r="889" ht="15.75" customHeight="1">
      <c r="A889" s="18" t="s">
        <v>2832</v>
      </c>
      <c r="B889" s="18">
        <v>43.48</v>
      </c>
      <c r="C889" s="18">
        <v>6.24</v>
      </c>
      <c r="D889" s="18" t="s">
        <v>73</v>
      </c>
      <c r="E889" s="18" t="s">
        <v>73</v>
      </c>
      <c r="F889" s="18" t="s">
        <v>73</v>
      </c>
      <c r="G889" s="20">
        <v>0.0</v>
      </c>
      <c r="H889" s="18" t="s">
        <v>73</v>
      </c>
      <c r="I889" s="18" t="str">
        <f t="shared" si="1"/>
        <v>Obesity</v>
      </c>
    </row>
    <row r="890" ht="15.75" customHeight="1">
      <c r="A890" s="18" t="s">
        <v>2836</v>
      </c>
      <c r="B890" s="18">
        <v>41.73</v>
      </c>
      <c r="C890" s="18">
        <v>6.25</v>
      </c>
      <c r="D890" s="18" t="s">
        <v>73</v>
      </c>
      <c r="E890" s="18" t="s">
        <v>73</v>
      </c>
      <c r="F890" s="18" t="s">
        <v>73</v>
      </c>
      <c r="G890" s="18">
        <v>1.0</v>
      </c>
      <c r="H890" s="18" t="s">
        <v>73</v>
      </c>
      <c r="I890" s="18" t="str">
        <f t="shared" si="1"/>
        <v>Obesity</v>
      </c>
    </row>
    <row r="891" ht="15.75" customHeight="1">
      <c r="A891" s="18" t="s">
        <v>2840</v>
      </c>
      <c r="B891" s="18">
        <v>28.9</v>
      </c>
      <c r="C891" s="18">
        <v>11.96</v>
      </c>
      <c r="D891" s="18" t="s">
        <v>73</v>
      </c>
      <c r="E891" s="18" t="s">
        <v>73</v>
      </c>
      <c r="F891" s="18" t="s">
        <v>73</v>
      </c>
      <c r="G891" s="20">
        <v>0.0</v>
      </c>
      <c r="H891" s="18" t="s">
        <v>73</v>
      </c>
      <c r="I891" s="18" t="str">
        <f t="shared" si="1"/>
        <v>Overweight</v>
      </c>
    </row>
    <row r="892" ht="15.75" customHeight="1">
      <c r="A892" s="18" t="s">
        <v>2842</v>
      </c>
      <c r="B892" s="18">
        <v>25.74</v>
      </c>
      <c r="C892" s="18">
        <v>7.69</v>
      </c>
      <c r="D892" s="18" t="s">
        <v>73</v>
      </c>
      <c r="E892" s="18" t="s">
        <v>73</v>
      </c>
      <c r="F892" s="18" t="s">
        <v>73</v>
      </c>
      <c r="G892" s="20">
        <v>0.0</v>
      </c>
      <c r="H892" s="18" t="s">
        <v>73</v>
      </c>
      <c r="I892" s="18" t="str">
        <f t="shared" si="1"/>
        <v>Overweight</v>
      </c>
    </row>
    <row r="893" ht="15.75" customHeight="1">
      <c r="A893" s="18" t="s">
        <v>2846</v>
      </c>
      <c r="B893" s="18">
        <v>36.06</v>
      </c>
      <c r="C893" s="18">
        <v>8.83</v>
      </c>
      <c r="D893" s="18" t="s">
        <v>73</v>
      </c>
      <c r="E893" s="18" t="s">
        <v>73</v>
      </c>
      <c r="F893" s="18" t="s">
        <v>73</v>
      </c>
      <c r="G893" s="20">
        <v>0.0</v>
      </c>
      <c r="H893" s="18" t="s">
        <v>73</v>
      </c>
      <c r="I893" s="18" t="str">
        <f t="shared" si="1"/>
        <v>Obesity</v>
      </c>
    </row>
    <row r="894" ht="15.75" customHeight="1">
      <c r="A894" s="18" t="s">
        <v>2849</v>
      </c>
      <c r="B894" s="18">
        <v>43.28</v>
      </c>
      <c r="C894" s="18">
        <v>4.41</v>
      </c>
      <c r="D894" s="18" t="s">
        <v>73</v>
      </c>
      <c r="E894" s="18" t="s">
        <v>73</v>
      </c>
      <c r="F894" s="18" t="s">
        <v>73</v>
      </c>
      <c r="G894" s="20">
        <v>0.0</v>
      </c>
      <c r="H894" s="18" t="s">
        <v>73</v>
      </c>
      <c r="I894" s="18" t="str">
        <f t="shared" si="1"/>
        <v>Obesity</v>
      </c>
    </row>
    <row r="895" ht="15.75" customHeight="1">
      <c r="A895" s="18" t="s">
        <v>2853</v>
      </c>
      <c r="B895" s="18">
        <v>28.785</v>
      </c>
      <c r="C895" s="18">
        <v>9.1</v>
      </c>
      <c r="D895" s="18" t="s">
        <v>80</v>
      </c>
      <c r="E895" s="18" t="s">
        <v>73</v>
      </c>
      <c r="F895" s="18" t="s">
        <v>184</v>
      </c>
      <c r="G895" s="18">
        <v>1.0</v>
      </c>
      <c r="H895" s="18" t="s">
        <v>73</v>
      </c>
      <c r="I895" s="18" t="str">
        <f t="shared" si="1"/>
        <v>Overweight</v>
      </c>
    </row>
    <row r="896" ht="15.75" customHeight="1">
      <c r="A896" s="18" t="s">
        <v>2855</v>
      </c>
      <c r="B896" s="18">
        <v>25.46</v>
      </c>
      <c r="C896" s="18">
        <v>11.52</v>
      </c>
      <c r="D896" s="18" t="s">
        <v>80</v>
      </c>
      <c r="E896" s="18" t="s">
        <v>73</v>
      </c>
      <c r="F896" s="18" t="s">
        <v>184</v>
      </c>
      <c r="G896" s="18">
        <v>1.0</v>
      </c>
      <c r="H896" s="18" t="s">
        <v>73</v>
      </c>
      <c r="I896" s="18" t="str">
        <f t="shared" si="1"/>
        <v>Overweight</v>
      </c>
    </row>
    <row r="897" ht="15.75" customHeight="1">
      <c r="A897" s="18" t="s">
        <v>2858</v>
      </c>
      <c r="B897" s="18">
        <v>30.8</v>
      </c>
      <c r="C897" s="18">
        <v>10.95</v>
      </c>
      <c r="D897" s="18" t="s">
        <v>73</v>
      </c>
      <c r="E897" s="18" t="s">
        <v>73</v>
      </c>
      <c r="F897" s="18" t="s">
        <v>73</v>
      </c>
      <c r="G897" s="20">
        <v>0.0</v>
      </c>
      <c r="H897" s="18" t="s">
        <v>73</v>
      </c>
      <c r="I897" s="18" t="str">
        <f t="shared" si="1"/>
        <v>Obesity</v>
      </c>
    </row>
    <row r="898" ht="15.75" customHeight="1">
      <c r="A898" s="18" t="s">
        <v>2862</v>
      </c>
      <c r="B898" s="18">
        <v>28.88</v>
      </c>
      <c r="C898" s="18">
        <v>11.5</v>
      </c>
      <c r="D898" s="18" t="s">
        <v>73</v>
      </c>
      <c r="E898" s="18" t="s">
        <v>73</v>
      </c>
      <c r="F898" s="18" t="s">
        <v>73</v>
      </c>
      <c r="G898" s="20">
        <v>0.0</v>
      </c>
      <c r="H898" s="18" t="s">
        <v>73</v>
      </c>
      <c r="I898" s="18" t="str">
        <f t="shared" si="1"/>
        <v>Overweight</v>
      </c>
    </row>
    <row r="899" ht="15.75" customHeight="1">
      <c r="A899" s="18" t="s">
        <v>2865</v>
      </c>
      <c r="B899" s="18">
        <v>23.0</v>
      </c>
      <c r="C899" s="18">
        <v>9.88</v>
      </c>
      <c r="D899" s="18" t="s">
        <v>73</v>
      </c>
      <c r="E899" s="18" t="s">
        <v>73</v>
      </c>
      <c r="F899" s="18" t="s">
        <v>73</v>
      </c>
      <c r="G899" s="20">
        <v>0.0</v>
      </c>
      <c r="H899" s="18" t="s">
        <v>73</v>
      </c>
      <c r="I899" s="18" t="str">
        <f t="shared" si="1"/>
        <v>Normal Weight</v>
      </c>
    </row>
    <row r="900" ht="15.75" customHeight="1">
      <c r="A900" s="18" t="s">
        <v>2868</v>
      </c>
      <c r="B900" s="18">
        <v>38.25</v>
      </c>
      <c r="C900" s="18">
        <v>6.2</v>
      </c>
      <c r="D900" s="18" t="s">
        <v>73</v>
      </c>
      <c r="E900" s="18" t="s">
        <v>73</v>
      </c>
      <c r="F900" s="18" t="s">
        <v>73</v>
      </c>
      <c r="G900" s="18">
        <v>1.0</v>
      </c>
      <c r="H900" s="18" t="s">
        <v>73</v>
      </c>
      <c r="I900" s="18" t="str">
        <f t="shared" si="1"/>
        <v>Obesity</v>
      </c>
    </row>
    <row r="901" ht="15.75" customHeight="1">
      <c r="A901" s="18" t="s">
        <v>2870</v>
      </c>
      <c r="B901" s="18">
        <v>39.25</v>
      </c>
      <c r="C901" s="18">
        <v>8.41</v>
      </c>
      <c r="D901" s="18" t="s">
        <v>80</v>
      </c>
      <c r="E901" s="18" t="s">
        <v>73</v>
      </c>
      <c r="F901" s="18" t="s">
        <v>73</v>
      </c>
      <c r="G901" s="18">
        <v>1.0</v>
      </c>
      <c r="H901" s="18" t="s">
        <v>73</v>
      </c>
      <c r="I901" s="18" t="str">
        <f t="shared" si="1"/>
        <v>Obesity</v>
      </c>
    </row>
    <row r="902" ht="15.75" customHeight="1">
      <c r="A902" s="18" t="s">
        <v>2873</v>
      </c>
      <c r="B902" s="18">
        <v>26.6</v>
      </c>
      <c r="C902" s="18">
        <v>5.07</v>
      </c>
      <c r="D902" s="18" t="s">
        <v>80</v>
      </c>
      <c r="E902" s="18" t="s">
        <v>73</v>
      </c>
      <c r="F902" s="18" t="s">
        <v>73</v>
      </c>
      <c r="G902" s="18">
        <v>2.0</v>
      </c>
      <c r="H902" s="18" t="s">
        <v>73</v>
      </c>
      <c r="I902" s="18" t="str">
        <f t="shared" si="1"/>
        <v>Overweight</v>
      </c>
    </row>
    <row r="903" ht="15.75" customHeight="1">
      <c r="A903" s="18" t="s">
        <v>2876</v>
      </c>
      <c r="B903" s="18">
        <v>35.7</v>
      </c>
      <c r="C903" s="18">
        <v>4.06</v>
      </c>
      <c r="D903" s="18" t="s">
        <v>73</v>
      </c>
      <c r="E903" s="18" t="s">
        <v>73</v>
      </c>
      <c r="F903" s="18" t="s">
        <v>184</v>
      </c>
      <c r="G903" s="18">
        <v>1.0</v>
      </c>
      <c r="H903" s="18" t="s">
        <v>73</v>
      </c>
      <c r="I903" s="18" t="str">
        <f t="shared" si="1"/>
        <v>Obesity</v>
      </c>
    </row>
    <row r="904" ht="15.75" customHeight="1">
      <c r="A904" s="18" t="s">
        <v>2879</v>
      </c>
      <c r="B904" s="18">
        <v>20.1</v>
      </c>
      <c r="C904" s="18">
        <v>10.52</v>
      </c>
      <c r="D904" s="18" t="s">
        <v>73</v>
      </c>
      <c r="E904" s="18" t="s">
        <v>73</v>
      </c>
      <c r="F904" s="18" t="s">
        <v>73</v>
      </c>
      <c r="G904" s="20">
        <v>0.0</v>
      </c>
      <c r="H904" s="18" t="s">
        <v>73</v>
      </c>
      <c r="I904" s="18" t="str">
        <f t="shared" si="1"/>
        <v>Normal Weight</v>
      </c>
    </row>
    <row r="905" ht="15.75" customHeight="1">
      <c r="A905" s="18" t="s">
        <v>2882</v>
      </c>
      <c r="B905" s="18">
        <v>22.23</v>
      </c>
      <c r="C905" s="18">
        <v>9.65</v>
      </c>
      <c r="D905" s="18" t="s">
        <v>73</v>
      </c>
      <c r="E905" s="18" t="s">
        <v>73</v>
      </c>
      <c r="F905" s="18" t="s">
        <v>73</v>
      </c>
      <c r="G905" s="20">
        <v>0.0</v>
      </c>
      <c r="H905" s="18" t="s">
        <v>73</v>
      </c>
      <c r="I905" s="18" t="str">
        <f t="shared" si="1"/>
        <v>Normal Weight</v>
      </c>
    </row>
    <row r="906" ht="15.75" customHeight="1">
      <c r="A906" s="18" t="s">
        <v>2885</v>
      </c>
      <c r="B906" s="18">
        <v>36.47</v>
      </c>
      <c r="C906" s="18">
        <v>6.21</v>
      </c>
      <c r="D906" s="18" t="s">
        <v>73</v>
      </c>
      <c r="E906" s="18" t="s">
        <v>73</v>
      </c>
      <c r="F906" s="18" t="s">
        <v>73</v>
      </c>
      <c r="G906" s="20">
        <v>0.0</v>
      </c>
      <c r="H906" s="18" t="s">
        <v>73</v>
      </c>
      <c r="I906" s="18" t="str">
        <f t="shared" si="1"/>
        <v>Obesity</v>
      </c>
    </row>
    <row r="907" ht="15.75" customHeight="1">
      <c r="A907" s="18" t="s">
        <v>2888</v>
      </c>
      <c r="B907" s="18">
        <v>49.64</v>
      </c>
      <c r="C907" s="18">
        <v>4.76</v>
      </c>
      <c r="D907" s="18" t="s">
        <v>73</v>
      </c>
      <c r="E907" s="18" t="s">
        <v>73</v>
      </c>
      <c r="F907" s="18" t="s">
        <v>184</v>
      </c>
      <c r="G907" s="18">
        <v>1.0</v>
      </c>
      <c r="H907" s="18" t="s">
        <v>73</v>
      </c>
      <c r="I907" s="18" t="str">
        <f t="shared" si="1"/>
        <v>Obesity</v>
      </c>
    </row>
    <row r="908" ht="15.75" customHeight="1">
      <c r="A908" s="18" t="s">
        <v>2891</v>
      </c>
      <c r="B908" s="18">
        <v>36.8</v>
      </c>
      <c r="C908" s="18">
        <v>5.73</v>
      </c>
      <c r="D908" s="18" t="s">
        <v>80</v>
      </c>
      <c r="E908" s="18" t="s">
        <v>73</v>
      </c>
      <c r="F908" s="18" t="s">
        <v>184</v>
      </c>
      <c r="G908" s="18">
        <v>1.0</v>
      </c>
      <c r="H908" s="18" t="s">
        <v>73</v>
      </c>
      <c r="I908" s="18" t="str">
        <f t="shared" si="1"/>
        <v>Obesity</v>
      </c>
    </row>
    <row r="909" ht="15.75" customHeight="1">
      <c r="A909" s="18" t="s">
        <v>2895</v>
      </c>
      <c r="B909" s="18">
        <v>33.88</v>
      </c>
      <c r="C909" s="18">
        <v>10.78</v>
      </c>
      <c r="D909" s="18" t="s">
        <v>80</v>
      </c>
      <c r="E909" s="18" t="s">
        <v>73</v>
      </c>
      <c r="F909" s="18" t="s">
        <v>73</v>
      </c>
      <c r="G909" s="20">
        <v>0.0</v>
      </c>
      <c r="H909" s="18" t="s">
        <v>73</v>
      </c>
      <c r="I909" s="18" t="str">
        <f t="shared" si="1"/>
        <v>Obesity</v>
      </c>
    </row>
    <row r="910" ht="15.75" customHeight="1">
      <c r="A910" s="18" t="s">
        <v>2898</v>
      </c>
      <c r="B910" s="18">
        <v>32.01</v>
      </c>
      <c r="C910" s="18">
        <v>5.08</v>
      </c>
      <c r="D910" s="18" t="s">
        <v>80</v>
      </c>
      <c r="E910" s="18" t="s">
        <v>73</v>
      </c>
      <c r="F910" s="18" t="s">
        <v>73</v>
      </c>
      <c r="G910" s="18">
        <v>1.0</v>
      </c>
      <c r="H910" s="18" t="s">
        <v>73</v>
      </c>
      <c r="I910" s="18" t="str">
        <f t="shared" si="1"/>
        <v>Obesity</v>
      </c>
    </row>
    <row r="911" ht="15.75" customHeight="1">
      <c r="A911" s="18" t="s">
        <v>2901</v>
      </c>
      <c r="B911" s="18">
        <v>33.63</v>
      </c>
      <c r="C911" s="18">
        <v>11.39</v>
      </c>
      <c r="D911" s="18" t="s">
        <v>73</v>
      </c>
      <c r="E911" s="18" t="s">
        <v>73</v>
      </c>
      <c r="F911" s="18" t="s">
        <v>73</v>
      </c>
      <c r="G911" s="20">
        <v>0.0</v>
      </c>
      <c r="H911" s="18" t="s">
        <v>73</v>
      </c>
      <c r="I911" s="18" t="str">
        <f t="shared" si="1"/>
        <v>Obesity</v>
      </c>
    </row>
    <row r="912" ht="15.75" customHeight="1">
      <c r="A912" s="18" t="s">
        <v>2905</v>
      </c>
      <c r="B912" s="18">
        <v>34.865</v>
      </c>
      <c r="C912" s="18">
        <v>5.35</v>
      </c>
      <c r="D912" s="18" t="s">
        <v>80</v>
      </c>
      <c r="E912" s="18" t="s">
        <v>73</v>
      </c>
      <c r="F912" s="18" t="s">
        <v>73</v>
      </c>
      <c r="G912" s="18">
        <v>1.0</v>
      </c>
      <c r="H912" s="18" t="s">
        <v>73</v>
      </c>
      <c r="I912" s="18" t="str">
        <f t="shared" si="1"/>
        <v>Obesity</v>
      </c>
    </row>
    <row r="913" ht="15.75" customHeight="1">
      <c r="A913" s="18" t="s">
        <v>2908</v>
      </c>
      <c r="B913" s="18">
        <v>43.11</v>
      </c>
      <c r="C913" s="18">
        <v>5.6</v>
      </c>
      <c r="D913" s="18" t="s">
        <v>73</v>
      </c>
      <c r="E913" s="18" t="s">
        <v>73</v>
      </c>
      <c r="F913" s="18" t="s">
        <v>73</v>
      </c>
      <c r="G913" s="20">
        <v>0.0</v>
      </c>
      <c r="H913" s="18" t="s">
        <v>73</v>
      </c>
      <c r="I913" s="18" t="str">
        <f t="shared" si="1"/>
        <v>Obesity</v>
      </c>
    </row>
    <row r="914" ht="15.75" customHeight="1">
      <c r="A914" s="18" t="s">
        <v>2911</v>
      </c>
      <c r="B914" s="18">
        <v>30.305</v>
      </c>
      <c r="C914" s="18">
        <v>4.27</v>
      </c>
      <c r="D914" s="18" t="s">
        <v>80</v>
      </c>
      <c r="E914" s="18" t="s">
        <v>73</v>
      </c>
      <c r="F914" s="18" t="s">
        <v>73</v>
      </c>
      <c r="G914" s="18">
        <v>1.0</v>
      </c>
      <c r="H914" s="18" t="s">
        <v>73</v>
      </c>
      <c r="I914" s="18" t="str">
        <f t="shared" si="1"/>
        <v>Obesity</v>
      </c>
    </row>
    <row r="915" ht="15.75" customHeight="1">
      <c r="A915" s="18" t="s">
        <v>2913</v>
      </c>
      <c r="B915" s="18">
        <v>25.175</v>
      </c>
      <c r="C915" s="18">
        <v>5.57</v>
      </c>
      <c r="D915" s="18" t="s">
        <v>80</v>
      </c>
      <c r="E915" s="18" t="s">
        <v>73</v>
      </c>
      <c r="F915" s="18" t="s">
        <v>73</v>
      </c>
      <c r="G915" s="18">
        <v>1.0</v>
      </c>
      <c r="H915" s="18" t="s">
        <v>73</v>
      </c>
      <c r="I915" s="18" t="str">
        <f t="shared" si="1"/>
        <v>Overweight</v>
      </c>
    </row>
    <row r="916" ht="15.75" customHeight="1">
      <c r="A916" s="18" t="s">
        <v>2915</v>
      </c>
      <c r="B916" s="18">
        <v>26.8</v>
      </c>
      <c r="C916" s="18">
        <v>5.68</v>
      </c>
      <c r="D916" s="18" t="s">
        <v>80</v>
      </c>
      <c r="E916" s="18" t="s">
        <v>73</v>
      </c>
      <c r="F916" s="18" t="s">
        <v>73</v>
      </c>
      <c r="G916" s="18">
        <v>1.0</v>
      </c>
      <c r="H916" s="18" t="s">
        <v>73</v>
      </c>
      <c r="I916" s="18" t="str">
        <f t="shared" si="1"/>
        <v>Overweight</v>
      </c>
    </row>
    <row r="917" ht="15.75" customHeight="1">
      <c r="A917" s="18" t="s">
        <v>2925</v>
      </c>
      <c r="B917" s="18">
        <v>21.78</v>
      </c>
      <c r="C917" s="18">
        <v>5.3</v>
      </c>
      <c r="D917" s="18" t="s">
        <v>73</v>
      </c>
      <c r="E917" s="18" t="s">
        <v>80</v>
      </c>
      <c r="F917" s="18" t="s">
        <v>73</v>
      </c>
      <c r="G917" s="18">
        <v>1.0</v>
      </c>
      <c r="H917" s="18" t="s">
        <v>73</v>
      </c>
      <c r="I917" s="18" t="str">
        <f t="shared" si="1"/>
        <v>Normal Weight</v>
      </c>
    </row>
    <row r="918" ht="15.75" customHeight="1">
      <c r="A918" s="18" t="s">
        <v>2928</v>
      </c>
      <c r="B918" s="18">
        <v>30.14</v>
      </c>
      <c r="C918" s="18">
        <v>9.45</v>
      </c>
      <c r="D918" s="18" t="s">
        <v>80</v>
      </c>
      <c r="E918" s="18" t="s">
        <v>73</v>
      </c>
      <c r="F918" s="18" t="s">
        <v>73</v>
      </c>
      <c r="G918" s="20">
        <v>0.0</v>
      </c>
      <c r="H918" s="18" t="s">
        <v>73</v>
      </c>
      <c r="I918" s="18" t="str">
        <f t="shared" si="1"/>
        <v>Obesity</v>
      </c>
    </row>
    <row r="919" ht="15.75" customHeight="1">
      <c r="A919" s="18" t="s">
        <v>2932</v>
      </c>
      <c r="B919" s="18">
        <v>29.7</v>
      </c>
      <c r="C919" s="18">
        <v>6.79</v>
      </c>
      <c r="D919" s="18" t="s">
        <v>80</v>
      </c>
      <c r="E919" s="18" t="s">
        <v>73</v>
      </c>
      <c r="F919" s="18" t="s">
        <v>73</v>
      </c>
      <c r="G919" s="20">
        <v>0.0</v>
      </c>
      <c r="H919" s="18" t="s">
        <v>73</v>
      </c>
      <c r="I919" s="18" t="str">
        <f t="shared" si="1"/>
        <v>Overweight</v>
      </c>
    </row>
    <row r="920" ht="15.75" customHeight="1">
      <c r="A920" s="18" t="s">
        <v>2934</v>
      </c>
      <c r="B920" s="18">
        <v>32.395</v>
      </c>
      <c r="C920" s="18">
        <v>11.1</v>
      </c>
      <c r="D920" s="18" t="s">
        <v>80</v>
      </c>
      <c r="E920" s="18" t="s">
        <v>73</v>
      </c>
      <c r="F920" s="18" t="s">
        <v>73</v>
      </c>
      <c r="G920" s="20">
        <v>0.0</v>
      </c>
      <c r="H920" s="18" t="s">
        <v>73</v>
      </c>
      <c r="I920" s="18" t="str">
        <f t="shared" si="1"/>
        <v>Obesity</v>
      </c>
    </row>
    <row r="921" ht="15.75" customHeight="1">
      <c r="A921" s="18" t="s">
        <v>2937</v>
      </c>
      <c r="B921" s="18">
        <v>36.64</v>
      </c>
      <c r="C921" s="18">
        <v>7.26</v>
      </c>
      <c r="D921" s="18" t="s">
        <v>73</v>
      </c>
      <c r="E921" s="18" t="s">
        <v>73</v>
      </c>
      <c r="F921" s="18" t="s">
        <v>73</v>
      </c>
      <c r="G921" s="20">
        <v>0.0</v>
      </c>
      <c r="H921" s="18" t="s">
        <v>73</v>
      </c>
      <c r="I921" s="18" t="str">
        <f t="shared" si="1"/>
        <v>Obesity</v>
      </c>
    </row>
    <row r="922" ht="15.75" customHeight="1">
      <c r="A922" s="18" t="s">
        <v>2941</v>
      </c>
      <c r="B922" s="18">
        <v>39.05</v>
      </c>
      <c r="C922" s="18">
        <v>5.27</v>
      </c>
      <c r="D922" s="18" t="s">
        <v>80</v>
      </c>
      <c r="E922" s="18" t="s">
        <v>73</v>
      </c>
      <c r="F922" s="18" t="s">
        <v>73</v>
      </c>
      <c r="G922" s="18">
        <v>1.0</v>
      </c>
      <c r="H922" s="18" t="s">
        <v>73</v>
      </c>
      <c r="I922" s="18" t="str">
        <f t="shared" si="1"/>
        <v>Obesity</v>
      </c>
    </row>
    <row r="923" ht="15.75" customHeight="1">
      <c r="A923" s="18" t="s">
        <v>2945</v>
      </c>
      <c r="B923" s="18">
        <v>33.1</v>
      </c>
      <c r="C923" s="18">
        <v>5.46</v>
      </c>
      <c r="D923" s="18" t="s">
        <v>80</v>
      </c>
      <c r="E923" s="18" t="s">
        <v>73</v>
      </c>
      <c r="F923" s="18" t="s">
        <v>73</v>
      </c>
      <c r="G923" s="18">
        <v>1.0</v>
      </c>
      <c r="H923" s="18" t="s">
        <v>73</v>
      </c>
      <c r="I923" s="18" t="str">
        <f t="shared" si="1"/>
        <v>Obesity</v>
      </c>
    </row>
    <row r="924" ht="15.75" customHeight="1">
      <c r="A924" s="18" t="s">
        <v>2949</v>
      </c>
      <c r="B924" s="18">
        <v>31.825</v>
      </c>
      <c r="C924" s="18">
        <v>8.13</v>
      </c>
      <c r="D924" s="18" t="s">
        <v>73</v>
      </c>
      <c r="E924" s="18" t="s">
        <v>73</v>
      </c>
      <c r="F924" s="18" t="s">
        <v>73</v>
      </c>
      <c r="G924" s="20">
        <v>0.0</v>
      </c>
      <c r="H924" s="18" t="s">
        <v>73</v>
      </c>
      <c r="I924" s="18" t="str">
        <f t="shared" si="1"/>
        <v>Obesity</v>
      </c>
    </row>
    <row r="925" ht="15.75" customHeight="1">
      <c r="A925" s="18" t="s">
        <v>2952</v>
      </c>
      <c r="B925" s="18">
        <v>29.0</v>
      </c>
      <c r="C925" s="18">
        <v>4.25</v>
      </c>
      <c r="D925" s="18" t="s">
        <v>80</v>
      </c>
      <c r="E925" s="18" t="s">
        <v>73</v>
      </c>
      <c r="F925" s="18" t="s">
        <v>73</v>
      </c>
      <c r="G925" s="18">
        <v>1.0</v>
      </c>
      <c r="H925" s="18" t="s">
        <v>73</v>
      </c>
      <c r="I925" s="18" t="str">
        <f t="shared" si="1"/>
        <v>Overweight</v>
      </c>
    </row>
    <row r="926" ht="15.75" customHeight="1">
      <c r="A926" s="18" t="s">
        <v>2956</v>
      </c>
      <c r="B926" s="18">
        <v>30.495</v>
      </c>
      <c r="C926" s="18">
        <v>8.68</v>
      </c>
      <c r="D926" s="18" t="s">
        <v>73</v>
      </c>
      <c r="E926" s="18" t="s">
        <v>73</v>
      </c>
      <c r="F926" s="18" t="s">
        <v>73</v>
      </c>
      <c r="G926" s="20">
        <v>0.0</v>
      </c>
      <c r="H926" s="18" t="s">
        <v>73</v>
      </c>
      <c r="I926" s="18" t="str">
        <f t="shared" si="1"/>
        <v>Obesity</v>
      </c>
    </row>
    <row r="927" ht="15.75" customHeight="1">
      <c r="A927" s="18" t="s">
        <v>2960</v>
      </c>
      <c r="B927" s="18">
        <v>25.2</v>
      </c>
      <c r="C927" s="18">
        <v>6.25</v>
      </c>
      <c r="D927" s="18" t="s">
        <v>80</v>
      </c>
      <c r="E927" s="18" t="s">
        <v>73</v>
      </c>
      <c r="F927" s="18" t="s">
        <v>73</v>
      </c>
      <c r="G927" s="18">
        <v>1.0</v>
      </c>
      <c r="H927" s="18" t="s">
        <v>73</v>
      </c>
      <c r="I927" s="18" t="str">
        <f t="shared" si="1"/>
        <v>Overweight</v>
      </c>
    </row>
    <row r="928" ht="15.75" customHeight="1">
      <c r="A928" s="18" t="s">
        <v>2963</v>
      </c>
      <c r="B928" s="18">
        <v>22.77</v>
      </c>
      <c r="C928" s="18">
        <v>4.47</v>
      </c>
      <c r="D928" s="18" t="s">
        <v>80</v>
      </c>
      <c r="E928" s="18" t="s">
        <v>73</v>
      </c>
      <c r="F928" s="18" t="s">
        <v>73</v>
      </c>
      <c r="G928" s="18">
        <v>1.0</v>
      </c>
      <c r="H928" s="18" t="s">
        <v>73</v>
      </c>
      <c r="I928" s="18" t="str">
        <f t="shared" si="1"/>
        <v>Normal Weight</v>
      </c>
    </row>
    <row r="929" ht="15.75" customHeight="1">
      <c r="A929" s="18" t="s">
        <v>2966</v>
      </c>
      <c r="B929" s="18">
        <v>23.18</v>
      </c>
      <c r="C929" s="18">
        <v>8.31</v>
      </c>
      <c r="D929" s="18" t="s">
        <v>73</v>
      </c>
      <c r="E929" s="18" t="s">
        <v>73</v>
      </c>
      <c r="F929" s="18" t="s">
        <v>73</v>
      </c>
      <c r="G929" s="20">
        <v>0.0</v>
      </c>
      <c r="H929" s="18" t="s">
        <v>73</v>
      </c>
      <c r="I929" s="18" t="str">
        <f t="shared" si="1"/>
        <v>Normal Weight</v>
      </c>
    </row>
    <row r="930" ht="15.75" customHeight="1">
      <c r="A930" s="18" t="s">
        <v>2969</v>
      </c>
      <c r="B930" s="18">
        <v>35.41</v>
      </c>
      <c r="C930" s="18">
        <v>5.68</v>
      </c>
      <c r="D930" s="18" t="s">
        <v>73</v>
      </c>
      <c r="E930" s="18" t="s">
        <v>73</v>
      </c>
      <c r="F930" s="18" t="s">
        <v>73</v>
      </c>
      <c r="G930" s="20">
        <v>0.0</v>
      </c>
      <c r="H930" s="18" t="s">
        <v>73</v>
      </c>
      <c r="I930" s="18" t="str">
        <f t="shared" si="1"/>
        <v>Obesity</v>
      </c>
    </row>
    <row r="931" ht="15.75" customHeight="1">
      <c r="A931" s="18" t="s">
        <v>2973</v>
      </c>
      <c r="B931" s="18">
        <v>32.11</v>
      </c>
      <c r="C931" s="18">
        <v>4.75</v>
      </c>
      <c r="D931" s="18" t="s">
        <v>80</v>
      </c>
      <c r="E931" s="18" t="s">
        <v>73</v>
      </c>
      <c r="F931" s="18" t="s">
        <v>73</v>
      </c>
      <c r="G931" s="18">
        <v>2.0</v>
      </c>
      <c r="H931" s="18" t="s">
        <v>73</v>
      </c>
      <c r="I931" s="18" t="str">
        <f t="shared" si="1"/>
        <v>Obesity</v>
      </c>
    </row>
    <row r="932" ht="15.75" customHeight="1">
      <c r="A932" s="18" t="s">
        <v>2977</v>
      </c>
      <c r="B932" s="18">
        <v>34.48</v>
      </c>
      <c r="C932" s="18">
        <v>6.31</v>
      </c>
      <c r="D932" s="18" t="s">
        <v>73</v>
      </c>
      <c r="E932" s="18" t="s">
        <v>73</v>
      </c>
      <c r="F932" s="18" t="s">
        <v>184</v>
      </c>
      <c r="G932" s="18">
        <v>1.0</v>
      </c>
      <c r="H932" s="18" t="s">
        <v>73</v>
      </c>
      <c r="I932" s="18" t="str">
        <f t="shared" si="1"/>
        <v>Obesity</v>
      </c>
    </row>
    <row r="933" ht="15.75" customHeight="1">
      <c r="A933" s="18" t="s">
        <v>2979</v>
      </c>
      <c r="B933" s="18">
        <v>34.39</v>
      </c>
      <c r="C933" s="18">
        <v>6.28</v>
      </c>
      <c r="D933" s="18" t="s">
        <v>80</v>
      </c>
      <c r="E933" s="18" t="s">
        <v>73</v>
      </c>
      <c r="F933" s="18" t="s">
        <v>73</v>
      </c>
      <c r="G933" s="18">
        <v>1.0</v>
      </c>
      <c r="H933" s="18" t="s">
        <v>73</v>
      </c>
      <c r="I933" s="18" t="str">
        <f t="shared" si="1"/>
        <v>Obesity</v>
      </c>
    </row>
    <row r="934" ht="15.75" customHeight="1">
      <c r="A934" s="18" t="s">
        <v>2982</v>
      </c>
      <c r="B934" s="18">
        <v>26.4</v>
      </c>
      <c r="C934" s="18">
        <v>9.29</v>
      </c>
      <c r="D934" s="18" t="s">
        <v>80</v>
      </c>
      <c r="E934" s="18" t="s">
        <v>73</v>
      </c>
      <c r="F934" s="18" t="s">
        <v>184</v>
      </c>
      <c r="G934" s="18">
        <v>1.0</v>
      </c>
      <c r="H934" s="18" t="s">
        <v>73</v>
      </c>
      <c r="I934" s="18" t="str">
        <f t="shared" si="1"/>
        <v>Overweight</v>
      </c>
    </row>
    <row r="935" ht="15.75" customHeight="1">
      <c r="A935" s="18" t="s">
        <v>2986</v>
      </c>
      <c r="B935" s="18">
        <v>28.1</v>
      </c>
      <c r="C935" s="18">
        <v>5.79</v>
      </c>
      <c r="D935" s="18" t="s">
        <v>80</v>
      </c>
      <c r="E935" s="18" t="s">
        <v>73</v>
      </c>
      <c r="F935" s="18" t="s">
        <v>184</v>
      </c>
      <c r="G935" s="18">
        <v>1.0</v>
      </c>
      <c r="H935" s="18" t="s">
        <v>73</v>
      </c>
      <c r="I935" s="18" t="str">
        <f t="shared" si="1"/>
        <v>Overweight</v>
      </c>
    </row>
    <row r="936" ht="15.75" customHeight="1">
      <c r="A936" s="18" t="s">
        <v>2988</v>
      </c>
      <c r="B936" s="18">
        <v>27.0</v>
      </c>
      <c r="C936" s="18">
        <v>4.54</v>
      </c>
      <c r="D936" s="18" t="s">
        <v>80</v>
      </c>
      <c r="E936" s="18" t="s">
        <v>73</v>
      </c>
      <c r="F936" s="18" t="s">
        <v>73</v>
      </c>
      <c r="G936" s="18">
        <v>1.0</v>
      </c>
      <c r="H936" s="18" t="s">
        <v>73</v>
      </c>
      <c r="I936" s="18" t="str">
        <f t="shared" si="1"/>
        <v>Overweight</v>
      </c>
    </row>
    <row r="937" ht="15.75" customHeight="1">
      <c r="A937" s="18" t="s">
        <v>2992</v>
      </c>
      <c r="B937" s="18">
        <v>28.595</v>
      </c>
      <c r="C937" s="18">
        <v>4.68</v>
      </c>
      <c r="D937" s="18" t="s">
        <v>80</v>
      </c>
      <c r="E937" s="18" t="s">
        <v>73</v>
      </c>
      <c r="F937" s="18" t="s">
        <v>73</v>
      </c>
      <c r="G937" s="18">
        <v>1.0</v>
      </c>
      <c r="H937" s="18" t="s">
        <v>73</v>
      </c>
      <c r="I937" s="18" t="str">
        <f t="shared" si="1"/>
        <v>Overweight</v>
      </c>
    </row>
    <row r="938" ht="15.75" customHeight="1">
      <c r="A938" s="18" t="s">
        <v>2994</v>
      </c>
      <c r="B938" s="18">
        <v>36.8</v>
      </c>
      <c r="C938" s="18">
        <v>5.88</v>
      </c>
      <c r="D938" s="18" t="s">
        <v>73</v>
      </c>
      <c r="E938" s="18" t="s">
        <v>73</v>
      </c>
      <c r="F938" s="18" t="s">
        <v>73</v>
      </c>
      <c r="G938" s="18">
        <v>1.0</v>
      </c>
      <c r="H938" s="18" t="s">
        <v>73</v>
      </c>
      <c r="I938" s="18" t="str">
        <f t="shared" si="1"/>
        <v>Obesity</v>
      </c>
    </row>
    <row r="939" ht="15.75" customHeight="1">
      <c r="A939" s="18" t="s">
        <v>2997</v>
      </c>
      <c r="B939" s="18">
        <v>23.75</v>
      </c>
      <c r="C939" s="18">
        <v>5.42</v>
      </c>
      <c r="D939" s="18" t="s">
        <v>80</v>
      </c>
      <c r="E939" s="18" t="s">
        <v>73</v>
      </c>
      <c r="F939" s="18" t="s">
        <v>184</v>
      </c>
      <c r="G939" s="18">
        <v>1.0</v>
      </c>
      <c r="H939" s="18" t="s">
        <v>73</v>
      </c>
      <c r="I939" s="18" t="str">
        <f t="shared" si="1"/>
        <v>Normal Weight</v>
      </c>
    </row>
    <row r="940" ht="15.75" customHeight="1">
      <c r="A940" s="18" t="s">
        <v>3000</v>
      </c>
      <c r="B940" s="18">
        <v>35.62</v>
      </c>
      <c r="C940" s="18">
        <v>4.16</v>
      </c>
      <c r="D940" s="18" t="s">
        <v>73</v>
      </c>
      <c r="E940" s="18" t="s">
        <v>73</v>
      </c>
      <c r="F940" s="18" t="s">
        <v>73</v>
      </c>
      <c r="G940" s="20">
        <v>0.0</v>
      </c>
      <c r="H940" s="18" t="s">
        <v>73</v>
      </c>
      <c r="I940" s="18" t="str">
        <f t="shared" si="1"/>
        <v>Obesity</v>
      </c>
    </row>
    <row r="941" ht="15.75" customHeight="1">
      <c r="A941" s="18" t="s">
        <v>3004</v>
      </c>
      <c r="B941" s="18">
        <v>30.69</v>
      </c>
      <c r="C941" s="18">
        <v>7.05</v>
      </c>
      <c r="D941" s="18" t="s">
        <v>80</v>
      </c>
      <c r="E941" s="18" t="s">
        <v>73</v>
      </c>
      <c r="F941" s="18" t="s">
        <v>73</v>
      </c>
      <c r="G941" s="18">
        <v>2.0</v>
      </c>
      <c r="H941" s="18" t="s">
        <v>73</v>
      </c>
      <c r="I941" s="18" t="str">
        <f t="shared" si="1"/>
        <v>Obesity</v>
      </c>
    </row>
    <row r="942" ht="15.75" customHeight="1">
      <c r="A942" s="18" t="s">
        <v>3007</v>
      </c>
      <c r="B942" s="18">
        <v>35.8</v>
      </c>
      <c r="C942" s="18">
        <v>5.63</v>
      </c>
      <c r="D942" s="18" t="s">
        <v>80</v>
      </c>
      <c r="E942" s="18" t="s">
        <v>73</v>
      </c>
      <c r="F942" s="18" t="s">
        <v>73</v>
      </c>
      <c r="G942" s="18">
        <v>2.0</v>
      </c>
      <c r="H942" s="18" t="s">
        <v>73</v>
      </c>
      <c r="I942" s="18" t="str">
        <f t="shared" si="1"/>
        <v>Obesity</v>
      </c>
    </row>
    <row r="943" ht="15.75" customHeight="1">
      <c r="A943" s="18" t="s">
        <v>3010</v>
      </c>
      <c r="B943" s="18">
        <v>28.785</v>
      </c>
      <c r="C943" s="18">
        <v>4.24</v>
      </c>
      <c r="D943" s="18" t="s">
        <v>80</v>
      </c>
      <c r="E943" s="18" t="s">
        <v>73</v>
      </c>
      <c r="F943" s="18" t="s">
        <v>73</v>
      </c>
      <c r="G943" s="18">
        <v>2.0</v>
      </c>
      <c r="H943" s="18" t="s">
        <v>73</v>
      </c>
      <c r="I943" s="18" t="str">
        <f t="shared" si="1"/>
        <v>Overweight</v>
      </c>
    </row>
    <row r="944" ht="15.75" customHeight="1">
      <c r="A944" s="18" t="s">
        <v>3014</v>
      </c>
      <c r="B944" s="18">
        <v>28.595</v>
      </c>
      <c r="C944" s="18">
        <v>4.96</v>
      </c>
      <c r="D944" s="18" t="s">
        <v>80</v>
      </c>
      <c r="E944" s="18" t="s">
        <v>73</v>
      </c>
      <c r="F944" s="18" t="s">
        <v>73</v>
      </c>
      <c r="G944" s="18">
        <v>2.0</v>
      </c>
      <c r="H944" s="18" t="s">
        <v>73</v>
      </c>
      <c r="I944" s="18" t="str">
        <f t="shared" si="1"/>
        <v>Overweight</v>
      </c>
    </row>
    <row r="945" ht="15.75" customHeight="1">
      <c r="A945" s="18" t="s">
        <v>3018</v>
      </c>
      <c r="B945" s="18">
        <v>48.75</v>
      </c>
      <c r="C945" s="18">
        <v>4.34</v>
      </c>
      <c r="D945" s="18" t="s">
        <v>73</v>
      </c>
      <c r="E945" s="18" t="s">
        <v>73</v>
      </c>
      <c r="F945" s="18" t="s">
        <v>73</v>
      </c>
      <c r="G945" s="20">
        <v>0.0</v>
      </c>
      <c r="H945" s="18" t="s">
        <v>73</v>
      </c>
      <c r="I945" s="18" t="str">
        <f t="shared" si="1"/>
        <v>Obesity</v>
      </c>
    </row>
    <row r="946" ht="15.75" customHeight="1">
      <c r="A946" s="18" t="s">
        <v>3020</v>
      </c>
      <c r="B946" s="18">
        <v>28.31</v>
      </c>
      <c r="C946" s="18">
        <v>5.43</v>
      </c>
      <c r="D946" s="18" t="s">
        <v>80</v>
      </c>
      <c r="E946" s="18" t="s">
        <v>73</v>
      </c>
      <c r="F946" s="18" t="s">
        <v>73</v>
      </c>
      <c r="G946" s="18">
        <v>2.0</v>
      </c>
      <c r="H946" s="18" t="s">
        <v>73</v>
      </c>
      <c r="I946" s="18" t="str">
        <f t="shared" si="1"/>
        <v>Overweight</v>
      </c>
    </row>
    <row r="947" ht="15.75" customHeight="1">
      <c r="A947" s="18" t="s">
        <v>3023</v>
      </c>
      <c r="B947" s="18">
        <v>38.39</v>
      </c>
      <c r="C947" s="18">
        <v>8.33</v>
      </c>
      <c r="D947" s="18" t="s">
        <v>80</v>
      </c>
      <c r="E947" s="18" t="s">
        <v>73</v>
      </c>
      <c r="F947" s="18" t="s">
        <v>73</v>
      </c>
      <c r="G947" s="18">
        <v>1.0</v>
      </c>
      <c r="H947" s="18" t="s">
        <v>73</v>
      </c>
      <c r="I947" s="18" t="str">
        <f t="shared" si="1"/>
        <v>Obesity</v>
      </c>
    </row>
    <row r="948" ht="15.75" customHeight="1">
      <c r="A948" s="18" t="s">
        <v>3025</v>
      </c>
      <c r="B948" s="18">
        <v>25.87</v>
      </c>
      <c r="C948" s="18">
        <v>5.63</v>
      </c>
      <c r="D948" s="18" t="s">
        <v>80</v>
      </c>
      <c r="E948" s="18" t="s">
        <v>73</v>
      </c>
      <c r="F948" s="18" t="s">
        <v>73</v>
      </c>
      <c r="G948" s="18">
        <v>1.0</v>
      </c>
      <c r="H948" s="18" t="s">
        <v>73</v>
      </c>
      <c r="I948" s="18" t="str">
        <f t="shared" si="1"/>
        <v>Overweight</v>
      </c>
    </row>
    <row r="949" ht="15.75" customHeight="1">
      <c r="A949" s="18" t="s">
        <v>3028</v>
      </c>
      <c r="B949" s="18">
        <v>43.7</v>
      </c>
      <c r="C949" s="18">
        <v>7.23</v>
      </c>
      <c r="D949" s="18" t="s">
        <v>73</v>
      </c>
      <c r="E949" s="18" t="s">
        <v>73</v>
      </c>
      <c r="F949" s="18" t="s">
        <v>73</v>
      </c>
      <c r="G949" s="20">
        <v>0.0</v>
      </c>
      <c r="H949" s="18" t="s">
        <v>73</v>
      </c>
      <c r="I949" s="18" t="str">
        <f t="shared" si="1"/>
        <v>Obesity</v>
      </c>
    </row>
    <row r="950" ht="15.75" customHeight="1">
      <c r="A950" s="18" t="s">
        <v>3031</v>
      </c>
      <c r="B950" s="18">
        <v>40.945</v>
      </c>
      <c r="C950" s="18">
        <v>10.57</v>
      </c>
      <c r="D950" s="18" t="s">
        <v>73</v>
      </c>
      <c r="E950" s="18" t="s">
        <v>73</v>
      </c>
      <c r="F950" s="18" t="s">
        <v>73</v>
      </c>
      <c r="G950" s="20">
        <v>0.0</v>
      </c>
      <c r="H950" s="18" t="s">
        <v>73</v>
      </c>
      <c r="I950" s="18" t="str">
        <f t="shared" si="1"/>
        <v>Obesity</v>
      </c>
    </row>
    <row r="951" ht="15.75" customHeight="1">
      <c r="A951" s="18" t="s">
        <v>3033</v>
      </c>
      <c r="B951" s="18">
        <v>27.94</v>
      </c>
      <c r="C951" s="18">
        <v>7.92</v>
      </c>
      <c r="D951" s="18" t="s">
        <v>73</v>
      </c>
      <c r="E951" s="18" t="s">
        <v>73</v>
      </c>
      <c r="F951" s="18" t="s">
        <v>73</v>
      </c>
      <c r="G951" s="20">
        <v>0.0</v>
      </c>
      <c r="H951" s="18" t="s">
        <v>73</v>
      </c>
      <c r="I951" s="18" t="str">
        <f t="shared" si="1"/>
        <v>Overweight</v>
      </c>
    </row>
    <row r="952" ht="15.75" customHeight="1">
      <c r="A952" s="18" t="s">
        <v>3036</v>
      </c>
      <c r="B952" s="18">
        <v>31.9</v>
      </c>
      <c r="C952" s="18">
        <v>10.12</v>
      </c>
      <c r="D952" s="18" t="s">
        <v>73</v>
      </c>
      <c r="E952" s="18" t="s">
        <v>73</v>
      </c>
      <c r="F952" s="18" t="s">
        <v>73</v>
      </c>
      <c r="G952" s="18">
        <v>2.0</v>
      </c>
      <c r="H952" s="18" t="s">
        <v>73</v>
      </c>
      <c r="I952" s="18" t="str">
        <f t="shared" si="1"/>
        <v>Obesity</v>
      </c>
    </row>
    <row r="953" ht="15.75" customHeight="1">
      <c r="A953" s="18" t="s">
        <v>3040</v>
      </c>
      <c r="B953" s="18">
        <v>31.64</v>
      </c>
      <c r="C953" s="18">
        <v>7.91</v>
      </c>
      <c r="D953" s="18" t="s">
        <v>73</v>
      </c>
      <c r="E953" s="18" t="s">
        <v>73</v>
      </c>
      <c r="F953" s="18" t="s">
        <v>73</v>
      </c>
      <c r="G953" s="20">
        <v>0.0</v>
      </c>
      <c r="H953" s="18" t="s">
        <v>73</v>
      </c>
      <c r="I953" s="18" t="str">
        <f t="shared" si="1"/>
        <v>Obesity</v>
      </c>
    </row>
    <row r="954" ht="15.75" customHeight="1">
      <c r="A954" s="18" t="s">
        <v>3043</v>
      </c>
      <c r="B954" s="18">
        <v>46.7</v>
      </c>
      <c r="C954" s="18">
        <v>10.9</v>
      </c>
      <c r="D954" s="18" t="s">
        <v>73</v>
      </c>
      <c r="E954" s="18" t="s">
        <v>73</v>
      </c>
      <c r="F954" s="18" t="s">
        <v>73</v>
      </c>
      <c r="G954" s="20">
        <v>0.0</v>
      </c>
      <c r="H954" s="18" t="s">
        <v>73</v>
      </c>
      <c r="I954" s="18" t="str">
        <f t="shared" si="1"/>
        <v>Obesity</v>
      </c>
    </row>
    <row r="955" ht="15.75" customHeight="1">
      <c r="A955" s="18" t="s">
        <v>3046</v>
      </c>
      <c r="B955" s="18">
        <v>18.335</v>
      </c>
      <c r="C955" s="18">
        <v>11.83</v>
      </c>
      <c r="D955" s="18" t="s">
        <v>73</v>
      </c>
      <c r="E955" s="18" t="s">
        <v>73</v>
      </c>
      <c r="F955" s="18" t="s">
        <v>73</v>
      </c>
      <c r="G955" s="20">
        <v>0.0</v>
      </c>
      <c r="H955" s="18" t="s">
        <v>73</v>
      </c>
      <c r="I955" s="18" t="str">
        <f t="shared" si="1"/>
        <v>Underweight</v>
      </c>
    </row>
    <row r="956" ht="15.75" customHeight="1">
      <c r="A956" s="18" t="s">
        <v>3050</v>
      </c>
      <c r="B956" s="18">
        <v>31.24</v>
      </c>
      <c r="C956" s="18">
        <v>7.42</v>
      </c>
      <c r="D956" s="18" t="s">
        <v>80</v>
      </c>
      <c r="E956" s="18" t="s">
        <v>73</v>
      </c>
      <c r="F956" s="18" t="s">
        <v>73</v>
      </c>
      <c r="G956" s="18">
        <v>2.0</v>
      </c>
      <c r="H956" s="18" t="s">
        <v>73</v>
      </c>
      <c r="I956" s="18" t="str">
        <f t="shared" si="1"/>
        <v>Obesity</v>
      </c>
    </row>
    <row r="957" ht="15.75" customHeight="1">
      <c r="A957" s="18" t="s">
        <v>3054</v>
      </c>
      <c r="B957" s="18">
        <v>39.22</v>
      </c>
      <c r="C957" s="18">
        <v>5.62</v>
      </c>
      <c r="D957" s="18" t="s">
        <v>80</v>
      </c>
      <c r="E957" s="18" t="s">
        <v>73</v>
      </c>
      <c r="F957" s="18" t="s">
        <v>73</v>
      </c>
      <c r="G957" s="18">
        <v>1.0</v>
      </c>
      <c r="H957" s="18" t="s">
        <v>73</v>
      </c>
      <c r="I957" s="18" t="str">
        <f t="shared" si="1"/>
        <v>Obesity</v>
      </c>
    </row>
    <row r="958" ht="15.75" customHeight="1">
      <c r="A958" s="18" t="s">
        <v>3057</v>
      </c>
      <c r="B958" s="18">
        <v>24.415</v>
      </c>
      <c r="C958" s="18">
        <v>7.16</v>
      </c>
      <c r="D958" s="18" t="s">
        <v>73</v>
      </c>
      <c r="E958" s="18" t="s">
        <v>73</v>
      </c>
      <c r="F958" s="18" t="s">
        <v>73</v>
      </c>
      <c r="G958" s="20">
        <v>0.0</v>
      </c>
      <c r="H958" s="18" t="s">
        <v>73</v>
      </c>
      <c r="I958" s="18" t="str">
        <f t="shared" si="1"/>
        <v>Normal Weight</v>
      </c>
    </row>
    <row r="959" ht="15.75" customHeight="1">
      <c r="A959" s="18" t="s">
        <v>3059</v>
      </c>
      <c r="B959" s="18">
        <v>32.3</v>
      </c>
      <c r="C959" s="18">
        <v>9.89</v>
      </c>
      <c r="D959" s="18" t="s">
        <v>73</v>
      </c>
      <c r="E959" s="18" t="s">
        <v>73</v>
      </c>
      <c r="F959" s="18" t="s">
        <v>73</v>
      </c>
      <c r="G959" s="20">
        <v>0.0</v>
      </c>
      <c r="H959" s="18" t="s">
        <v>73</v>
      </c>
      <c r="I959" s="18" t="str">
        <f t="shared" si="1"/>
        <v>Obesity</v>
      </c>
    </row>
    <row r="960" ht="15.75" customHeight="1">
      <c r="A960" s="18" t="s">
        <v>3062</v>
      </c>
      <c r="B960" s="18">
        <v>39.94</v>
      </c>
      <c r="C960" s="18">
        <v>5.14</v>
      </c>
      <c r="D960" s="18" t="s">
        <v>73</v>
      </c>
      <c r="E960" s="18" t="s">
        <v>73</v>
      </c>
      <c r="F960" s="18" t="s">
        <v>73</v>
      </c>
      <c r="G960" s="20">
        <v>0.0</v>
      </c>
      <c r="H960" s="18" t="s">
        <v>73</v>
      </c>
      <c r="I960" s="18" t="str">
        <f t="shared" si="1"/>
        <v>Obesity</v>
      </c>
    </row>
    <row r="961" ht="15.75" customHeight="1">
      <c r="A961" s="18" t="s">
        <v>3067</v>
      </c>
      <c r="B961" s="18">
        <v>30.0</v>
      </c>
      <c r="C961" s="18">
        <v>5.61</v>
      </c>
      <c r="D961" s="18" t="s">
        <v>80</v>
      </c>
      <c r="E961" s="18" t="s">
        <v>73</v>
      </c>
      <c r="F961" s="18" t="s">
        <v>184</v>
      </c>
      <c r="G961" s="18">
        <v>1.0</v>
      </c>
      <c r="H961" s="18" t="s">
        <v>73</v>
      </c>
      <c r="I961" s="18" t="str">
        <f t="shared" si="1"/>
        <v>Obesity</v>
      </c>
    </row>
    <row r="962" ht="15.75" customHeight="1">
      <c r="A962" s="18" t="s">
        <v>3070</v>
      </c>
      <c r="B962" s="18">
        <v>35.34</v>
      </c>
      <c r="C962" s="18">
        <v>5.51</v>
      </c>
      <c r="D962" s="18" t="s">
        <v>80</v>
      </c>
      <c r="E962" s="18" t="s">
        <v>73</v>
      </c>
      <c r="F962" s="18" t="s">
        <v>184</v>
      </c>
      <c r="G962" s="18">
        <v>1.0</v>
      </c>
      <c r="H962" s="18" t="s">
        <v>73</v>
      </c>
      <c r="I962" s="18" t="str">
        <f t="shared" si="1"/>
        <v>Obesity</v>
      </c>
    </row>
    <row r="963" ht="15.75" customHeight="1">
      <c r="A963" s="18" t="s">
        <v>3075</v>
      </c>
      <c r="B963" s="18">
        <v>32.205</v>
      </c>
      <c r="C963" s="18">
        <v>8.38</v>
      </c>
      <c r="D963" s="18" t="s">
        <v>80</v>
      </c>
      <c r="E963" s="18" t="s">
        <v>73</v>
      </c>
      <c r="F963" s="18" t="s">
        <v>73</v>
      </c>
      <c r="G963" s="18">
        <v>2.0</v>
      </c>
      <c r="H963" s="18" t="s">
        <v>73</v>
      </c>
      <c r="I963" s="18" t="str">
        <f t="shared" si="1"/>
        <v>Obesity</v>
      </c>
    </row>
    <row r="964" ht="15.75" customHeight="1">
      <c r="A964" s="18" t="s">
        <v>3078</v>
      </c>
      <c r="B964" s="18">
        <v>33.88</v>
      </c>
      <c r="C964" s="18">
        <v>4.68</v>
      </c>
      <c r="D964" s="18" t="s">
        <v>73</v>
      </c>
      <c r="E964" s="18" t="s">
        <v>80</v>
      </c>
      <c r="F964" s="18" t="s">
        <v>73</v>
      </c>
      <c r="G964" s="18">
        <v>1.0</v>
      </c>
      <c r="H964" s="18" t="s">
        <v>73</v>
      </c>
      <c r="I964" s="18" t="str">
        <f t="shared" si="1"/>
        <v>Obesity</v>
      </c>
    </row>
    <row r="965" ht="15.75" customHeight="1">
      <c r="A965" s="18" t="s">
        <v>3082</v>
      </c>
      <c r="B965" s="18">
        <v>26.63</v>
      </c>
      <c r="C965" s="18">
        <v>4.36</v>
      </c>
      <c r="D965" s="18" t="s">
        <v>80</v>
      </c>
      <c r="E965" s="18" t="s">
        <v>73</v>
      </c>
      <c r="F965" s="18" t="s">
        <v>73</v>
      </c>
      <c r="G965" s="18">
        <v>2.0</v>
      </c>
      <c r="H965" s="18" t="s">
        <v>73</v>
      </c>
      <c r="I965" s="18" t="str">
        <f t="shared" si="1"/>
        <v>Overweight</v>
      </c>
    </row>
    <row r="966" ht="15.75" customHeight="1">
      <c r="A966" s="18" t="s">
        <v>3085</v>
      </c>
      <c r="B966" s="18">
        <v>28.7</v>
      </c>
      <c r="C966" s="18">
        <v>7.74</v>
      </c>
      <c r="D966" s="18" t="s">
        <v>73</v>
      </c>
      <c r="E966" s="18" t="s">
        <v>73</v>
      </c>
      <c r="F966" s="18" t="s">
        <v>73</v>
      </c>
      <c r="G966" s="20">
        <v>0.0</v>
      </c>
      <c r="H966" s="18" t="s">
        <v>73</v>
      </c>
      <c r="I966" s="18" t="str">
        <f t="shared" si="1"/>
        <v>Overweight</v>
      </c>
    </row>
    <row r="967" ht="15.75" customHeight="1">
      <c r="A967" s="18" t="s">
        <v>3089</v>
      </c>
      <c r="B967" s="18">
        <v>25.65</v>
      </c>
      <c r="C967" s="18">
        <v>4.05</v>
      </c>
      <c r="D967" s="18" t="s">
        <v>80</v>
      </c>
      <c r="E967" s="18" t="s">
        <v>73</v>
      </c>
      <c r="F967" s="18" t="s">
        <v>73</v>
      </c>
      <c r="G967" s="18">
        <v>2.0</v>
      </c>
      <c r="H967" s="18" t="s">
        <v>73</v>
      </c>
      <c r="I967" s="18" t="str">
        <f t="shared" si="1"/>
        <v>Overweight</v>
      </c>
    </row>
    <row r="968" ht="15.75" customHeight="1">
      <c r="A968" s="18" t="s">
        <v>3092</v>
      </c>
      <c r="B968" s="18">
        <v>36.385</v>
      </c>
      <c r="C968" s="18">
        <v>11.49</v>
      </c>
      <c r="D968" s="18" t="s">
        <v>73</v>
      </c>
      <c r="E968" s="18" t="s">
        <v>73</v>
      </c>
      <c r="F968" s="18" t="s">
        <v>73</v>
      </c>
      <c r="G968" s="20">
        <v>0.0</v>
      </c>
      <c r="H968" s="18" t="s">
        <v>73</v>
      </c>
      <c r="I968" s="18" t="str">
        <f t="shared" si="1"/>
        <v>Obesity</v>
      </c>
    </row>
    <row r="969" ht="15.75" customHeight="1">
      <c r="A969" s="18" t="s">
        <v>3096</v>
      </c>
      <c r="B969" s="18">
        <v>34.69</v>
      </c>
      <c r="C969" s="18">
        <v>5.65</v>
      </c>
      <c r="D969" s="18" t="s">
        <v>73</v>
      </c>
      <c r="E969" s="18" t="s">
        <v>73</v>
      </c>
      <c r="F969" s="18" t="s">
        <v>73</v>
      </c>
      <c r="G969" s="20">
        <v>0.0</v>
      </c>
      <c r="H969" s="18" t="s">
        <v>73</v>
      </c>
      <c r="I969" s="18" t="str">
        <f t="shared" si="1"/>
        <v>Obesity</v>
      </c>
    </row>
    <row r="970" ht="15.75" customHeight="1">
      <c r="A970" s="18" t="s">
        <v>3098</v>
      </c>
      <c r="B970" s="18">
        <v>37.68</v>
      </c>
      <c r="C970" s="18">
        <v>4.29</v>
      </c>
      <c r="D970" s="18" t="s">
        <v>80</v>
      </c>
      <c r="E970" s="18" t="s">
        <v>73</v>
      </c>
      <c r="F970" s="18" t="s">
        <v>73</v>
      </c>
      <c r="G970" s="20">
        <v>0.0</v>
      </c>
      <c r="H970" s="18" t="s">
        <v>73</v>
      </c>
      <c r="I970" s="18" t="str">
        <f t="shared" si="1"/>
        <v>Obesity</v>
      </c>
    </row>
    <row r="971" ht="15.75" customHeight="1">
      <c r="A971" s="18" t="s">
        <v>3101</v>
      </c>
      <c r="B971" s="18">
        <v>35.49</v>
      </c>
      <c r="C971" s="18">
        <v>4.74</v>
      </c>
      <c r="D971" s="18" t="s">
        <v>80</v>
      </c>
      <c r="E971" s="18" t="s">
        <v>73</v>
      </c>
      <c r="F971" s="18" t="s">
        <v>184</v>
      </c>
      <c r="G971" s="18">
        <v>1.0</v>
      </c>
      <c r="H971" s="18" t="s">
        <v>73</v>
      </c>
      <c r="I971" s="18" t="str">
        <f t="shared" si="1"/>
        <v>Obesity</v>
      </c>
    </row>
    <row r="972" ht="15.75" customHeight="1">
      <c r="A972" s="18" t="s">
        <v>3104</v>
      </c>
      <c r="B972" s="18">
        <v>44.7</v>
      </c>
      <c r="C972" s="18">
        <v>7.6</v>
      </c>
      <c r="D972" s="18" t="s">
        <v>80</v>
      </c>
      <c r="E972" s="18" t="s">
        <v>73</v>
      </c>
      <c r="F972" s="18" t="s">
        <v>73</v>
      </c>
      <c r="G972" s="18">
        <v>2.0</v>
      </c>
      <c r="H972" s="18" t="s">
        <v>73</v>
      </c>
      <c r="I972" s="18" t="str">
        <f t="shared" si="1"/>
        <v>Obesity</v>
      </c>
    </row>
    <row r="973" ht="15.75" customHeight="1">
      <c r="A973" s="18" t="s">
        <v>3106</v>
      </c>
      <c r="B973" s="18">
        <v>38.38</v>
      </c>
      <c r="C973" s="18">
        <v>8.5</v>
      </c>
      <c r="D973" s="18" t="s">
        <v>80</v>
      </c>
      <c r="E973" s="18" t="s">
        <v>73</v>
      </c>
      <c r="F973" s="18" t="s">
        <v>73</v>
      </c>
      <c r="G973" s="18">
        <v>2.0</v>
      </c>
      <c r="H973" s="18" t="s">
        <v>73</v>
      </c>
      <c r="I973" s="18" t="str">
        <f t="shared" si="1"/>
        <v>Obesity</v>
      </c>
    </row>
    <row r="974" ht="15.75" customHeight="1">
      <c r="A974" s="18" t="s">
        <v>3110</v>
      </c>
      <c r="B974" s="18">
        <v>35.245</v>
      </c>
      <c r="C974" s="18">
        <v>11.22</v>
      </c>
      <c r="D974" s="18" t="s">
        <v>80</v>
      </c>
      <c r="E974" s="18" t="s">
        <v>73</v>
      </c>
      <c r="F974" s="18" t="s">
        <v>73</v>
      </c>
      <c r="G974" s="20">
        <v>0.0</v>
      </c>
      <c r="H974" s="18" t="s">
        <v>73</v>
      </c>
      <c r="I974" s="18" t="str">
        <f t="shared" si="1"/>
        <v>Obesity</v>
      </c>
    </row>
    <row r="975" ht="15.75" customHeight="1">
      <c r="A975" s="18" t="s">
        <v>3112</v>
      </c>
      <c r="B975" s="18">
        <v>49.84</v>
      </c>
      <c r="C975" s="18">
        <v>5.1</v>
      </c>
      <c r="D975" s="18" t="s">
        <v>80</v>
      </c>
      <c r="E975" s="18" t="s">
        <v>73</v>
      </c>
      <c r="F975" s="18" t="s">
        <v>184</v>
      </c>
      <c r="G975" s="18">
        <v>1.0</v>
      </c>
      <c r="H975" s="18" t="s">
        <v>73</v>
      </c>
      <c r="I975" s="18" t="str">
        <f t="shared" si="1"/>
        <v>Obesity</v>
      </c>
    </row>
    <row r="976" ht="15.75" customHeight="1">
      <c r="A976" s="18" t="s">
        <v>3115</v>
      </c>
      <c r="B976" s="18">
        <v>49.06</v>
      </c>
      <c r="C976" s="18">
        <v>5.43</v>
      </c>
      <c r="D976" s="18" t="s">
        <v>80</v>
      </c>
      <c r="E976" s="18" t="s">
        <v>73</v>
      </c>
      <c r="F976" s="18" t="s">
        <v>73</v>
      </c>
      <c r="G976" s="18">
        <v>1.0</v>
      </c>
      <c r="H976" s="18" t="s">
        <v>73</v>
      </c>
      <c r="I976" s="18" t="str">
        <f t="shared" si="1"/>
        <v>Obesity</v>
      </c>
    </row>
    <row r="977" ht="15.75" customHeight="1">
      <c r="A977" s="18" t="s">
        <v>3117</v>
      </c>
      <c r="B977" s="18">
        <v>30.88</v>
      </c>
      <c r="C977" s="18">
        <v>5.82</v>
      </c>
      <c r="D977" s="18" t="s">
        <v>73</v>
      </c>
      <c r="E977" s="18" t="s">
        <v>73</v>
      </c>
      <c r="F977" s="18" t="s">
        <v>73</v>
      </c>
      <c r="G977" s="18">
        <v>2.0</v>
      </c>
      <c r="H977" s="18" t="s">
        <v>73</v>
      </c>
      <c r="I977" s="18" t="str">
        <f t="shared" si="1"/>
        <v>Obesity</v>
      </c>
    </row>
    <row r="978" ht="15.75" customHeight="1">
      <c r="A978" s="18" t="s">
        <v>3120</v>
      </c>
      <c r="B978" s="18">
        <v>33.35</v>
      </c>
      <c r="C978" s="18">
        <v>6.05</v>
      </c>
      <c r="D978" s="18" t="s">
        <v>73</v>
      </c>
      <c r="E978" s="18" t="s">
        <v>73</v>
      </c>
      <c r="F978" s="18" t="s">
        <v>184</v>
      </c>
      <c r="G978" s="18">
        <v>1.0</v>
      </c>
      <c r="H978" s="18" t="s">
        <v>73</v>
      </c>
      <c r="I978" s="18" t="str">
        <f t="shared" si="1"/>
        <v>Obesity</v>
      </c>
    </row>
    <row r="979" ht="15.75" customHeight="1">
      <c r="A979" s="18" t="s">
        <v>3123</v>
      </c>
      <c r="B979" s="18">
        <v>38.0</v>
      </c>
      <c r="C979" s="18">
        <v>6.38</v>
      </c>
      <c r="D979" s="18" t="s">
        <v>80</v>
      </c>
      <c r="E979" s="18" t="s">
        <v>73</v>
      </c>
      <c r="F979" s="18" t="s">
        <v>73</v>
      </c>
      <c r="G979" s="18">
        <v>1.0</v>
      </c>
      <c r="H979" s="18" t="s">
        <v>73</v>
      </c>
      <c r="I979" s="18" t="str">
        <f t="shared" si="1"/>
        <v>Obesity</v>
      </c>
    </row>
    <row r="980" ht="15.75" customHeight="1">
      <c r="A980" s="18" t="s">
        <v>3125</v>
      </c>
      <c r="B980" s="18">
        <v>36.08</v>
      </c>
      <c r="C980" s="18">
        <v>5.73</v>
      </c>
      <c r="D980" s="18" t="s">
        <v>80</v>
      </c>
      <c r="E980" s="18" t="s">
        <v>73</v>
      </c>
      <c r="F980" s="18" t="s">
        <v>73</v>
      </c>
      <c r="G980" s="18">
        <v>1.0</v>
      </c>
      <c r="H980" s="18" t="s">
        <v>73</v>
      </c>
      <c r="I980" s="18" t="str">
        <f t="shared" si="1"/>
        <v>Obesity</v>
      </c>
    </row>
    <row r="981" ht="15.75" customHeight="1">
      <c r="A981" s="18" t="s">
        <v>3129</v>
      </c>
      <c r="B981" s="18">
        <v>35.7</v>
      </c>
      <c r="C981" s="18">
        <v>5.47</v>
      </c>
      <c r="D981" s="18" t="s">
        <v>80</v>
      </c>
      <c r="E981" s="18" t="s">
        <v>73</v>
      </c>
      <c r="F981" s="18" t="s">
        <v>73</v>
      </c>
      <c r="G981" s="18">
        <v>1.0</v>
      </c>
      <c r="H981" s="18" t="s">
        <v>73</v>
      </c>
      <c r="I981" s="18" t="str">
        <f t="shared" si="1"/>
        <v>Obesity</v>
      </c>
    </row>
    <row r="982" ht="15.75" customHeight="1">
      <c r="A982" s="18" t="s">
        <v>3131</v>
      </c>
      <c r="B982" s="18">
        <v>34.01</v>
      </c>
      <c r="C982" s="18">
        <v>11.3</v>
      </c>
      <c r="D982" s="18" t="s">
        <v>73</v>
      </c>
      <c r="E982" s="18" t="s">
        <v>73</v>
      </c>
      <c r="F982" s="18" t="s">
        <v>73</v>
      </c>
      <c r="G982" s="20">
        <v>0.0</v>
      </c>
      <c r="H982" s="18" t="s">
        <v>73</v>
      </c>
      <c r="I982" s="18" t="str">
        <f t="shared" si="1"/>
        <v>Obesity</v>
      </c>
    </row>
    <row r="983" ht="15.75" customHeight="1">
      <c r="A983" s="18" t="s">
        <v>3134</v>
      </c>
      <c r="B983" s="18">
        <v>31.54</v>
      </c>
      <c r="C983" s="18">
        <v>6.72</v>
      </c>
      <c r="D983" s="18" t="s">
        <v>73</v>
      </c>
      <c r="E983" s="18" t="s">
        <v>73</v>
      </c>
      <c r="F983" s="18" t="s">
        <v>73</v>
      </c>
      <c r="G983" s="20">
        <v>0.0</v>
      </c>
      <c r="H983" s="18" t="s">
        <v>73</v>
      </c>
      <c r="I983" s="18" t="str">
        <f t="shared" si="1"/>
        <v>Obesity</v>
      </c>
    </row>
    <row r="984" ht="15.75" customHeight="1">
      <c r="A984" s="18" t="s">
        <v>3137</v>
      </c>
      <c r="B984" s="18">
        <v>23.3</v>
      </c>
      <c r="C984" s="18">
        <v>5.36</v>
      </c>
      <c r="D984" s="18" t="s">
        <v>80</v>
      </c>
      <c r="E984" s="18" t="s">
        <v>73</v>
      </c>
      <c r="F984" s="18" t="s">
        <v>73</v>
      </c>
      <c r="G984" s="18">
        <v>1.0</v>
      </c>
      <c r="H984" s="18" t="s">
        <v>73</v>
      </c>
      <c r="I984" s="18" t="str">
        <f t="shared" si="1"/>
        <v>Normal Weight</v>
      </c>
    </row>
    <row r="985" ht="15.75" customHeight="1">
      <c r="A985" s="18" t="s">
        <v>3139</v>
      </c>
      <c r="B985" s="18">
        <v>27.75</v>
      </c>
      <c r="C985" s="18">
        <v>9.88</v>
      </c>
      <c r="D985" s="18" t="s">
        <v>73</v>
      </c>
      <c r="E985" s="18" t="s">
        <v>73</v>
      </c>
      <c r="F985" s="18" t="s">
        <v>73</v>
      </c>
      <c r="G985" s="20">
        <v>0.0</v>
      </c>
      <c r="H985" s="18" t="s">
        <v>73</v>
      </c>
      <c r="I985" s="18" t="str">
        <f t="shared" si="1"/>
        <v>Overweight</v>
      </c>
    </row>
    <row r="986" ht="15.75" customHeight="1">
      <c r="A986" s="18" t="s">
        <v>3143</v>
      </c>
      <c r="B986" s="18">
        <v>42.46</v>
      </c>
      <c r="C986" s="18">
        <v>4.11</v>
      </c>
      <c r="D986" s="18" t="s">
        <v>73</v>
      </c>
      <c r="E986" s="18" t="s">
        <v>73</v>
      </c>
      <c r="F986" s="18" t="s">
        <v>73</v>
      </c>
      <c r="G986" s="20">
        <v>0.0</v>
      </c>
      <c r="H986" s="18" t="s">
        <v>73</v>
      </c>
      <c r="I986" s="18" t="str">
        <f t="shared" si="1"/>
        <v>Obesity</v>
      </c>
    </row>
    <row r="987" ht="15.75" customHeight="1">
      <c r="A987" s="18" t="s">
        <v>3146</v>
      </c>
      <c r="B987" s="18">
        <v>54.47</v>
      </c>
      <c r="C987" s="18">
        <v>7.48</v>
      </c>
      <c r="D987" s="18" t="s">
        <v>73</v>
      </c>
      <c r="E987" s="18" t="s">
        <v>73</v>
      </c>
      <c r="F987" s="18" t="s">
        <v>73</v>
      </c>
      <c r="G987" s="20">
        <v>0.0</v>
      </c>
      <c r="H987" s="18" t="s">
        <v>73</v>
      </c>
      <c r="I987" s="18" t="str">
        <f t="shared" si="1"/>
        <v>Obesity</v>
      </c>
    </row>
    <row r="988" ht="15.75" customHeight="1">
      <c r="A988" s="18" t="s">
        <v>3149</v>
      </c>
      <c r="B988" s="18">
        <v>24.93</v>
      </c>
      <c r="C988" s="18">
        <v>9.18</v>
      </c>
      <c r="D988" s="18" t="s">
        <v>80</v>
      </c>
      <c r="E988" s="18" t="s">
        <v>73</v>
      </c>
      <c r="F988" s="18" t="s">
        <v>184</v>
      </c>
      <c r="G988" s="18">
        <v>1.0</v>
      </c>
      <c r="H988" s="18" t="s">
        <v>73</v>
      </c>
      <c r="I988" s="18" t="str">
        <f t="shared" si="1"/>
        <v>Normal Weight</v>
      </c>
    </row>
    <row r="989" ht="15.75" customHeight="1">
      <c r="A989" s="18" t="s">
        <v>3151</v>
      </c>
      <c r="B989" s="18">
        <v>48.12</v>
      </c>
      <c r="C989" s="18">
        <v>4.51</v>
      </c>
      <c r="D989" s="18" t="s">
        <v>80</v>
      </c>
      <c r="E989" s="18" t="s">
        <v>73</v>
      </c>
      <c r="F989" s="18" t="s">
        <v>73</v>
      </c>
      <c r="G989" s="18">
        <v>1.0</v>
      </c>
      <c r="H989" s="18" t="s">
        <v>73</v>
      </c>
      <c r="I989" s="18" t="str">
        <f t="shared" si="1"/>
        <v>Obesity</v>
      </c>
    </row>
    <row r="990" ht="15.75" customHeight="1">
      <c r="A990" s="18" t="s">
        <v>3153</v>
      </c>
      <c r="B990" s="18">
        <v>24.91</v>
      </c>
      <c r="C990" s="18">
        <v>7.33</v>
      </c>
      <c r="D990" s="18" t="s">
        <v>80</v>
      </c>
      <c r="E990" s="18" t="s">
        <v>73</v>
      </c>
      <c r="F990" s="18" t="s">
        <v>184</v>
      </c>
      <c r="G990" s="18">
        <v>1.0</v>
      </c>
      <c r="H990" s="18" t="s">
        <v>73</v>
      </c>
      <c r="I990" s="18" t="str">
        <f t="shared" si="1"/>
        <v>Normal Weight</v>
      </c>
    </row>
    <row r="991" ht="15.75" customHeight="1">
      <c r="A991" s="18" t="s">
        <v>3157</v>
      </c>
      <c r="B991" s="18">
        <v>27.645</v>
      </c>
      <c r="C991" s="18">
        <v>10.56</v>
      </c>
      <c r="D991" s="18" t="s">
        <v>73</v>
      </c>
      <c r="E991" s="18" t="s">
        <v>73</v>
      </c>
      <c r="F991" s="18" t="s">
        <v>73</v>
      </c>
      <c r="G991" s="20">
        <v>0.0</v>
      </c>
      <c r="H991" s="18" t="s">
        <v>73</v>
      </c>
      <c r="I991" s="18" t="str">
        <f t="shared" si="1"/>
        <v>Overweight</v>
      </c>
    </row>
    <row r="992" ht="15.75" customHeight="1">
      <c r="A992" s="18" t="s">
        <v>3159</v>
      </c>
      <c r="B992" s="18">
        <v>33.7</v>
      </c>
      <c r="C992" s="18">
        <v>4.01</v>
      </c>
      <c r="D992" s="18" t="s">
        <v>73</v>
      </c>
      <c r="E992" s="18" t="s">
        <v>73</v>
      </c>
      <c r="F992" s="18" t="s">
        <v>73</v>
      </c>
      <c r="G992" s="18">
        <v>2.0</v>
      </c>
      <c r="H992" s="18" t="s">
        <v>73</v>
      </c>
      <c r="I992" s="18" t="str">
        <f t="shared" si="1"/>
        <v>Obesity</v>
      </c>
    </row>
    <row r="993" ht="15.75" customHeight="1">
      <c r="A993" s="18" t="s">
        <v>3163</v>
      </c>
      <c r="B993" s="18">
        <v>38.93</v>
      </c>
      <c r="C993" s="18">
        <v>5.64</v>
      </c>
      <c r="D993" s="18" t="s">
        <v>80</v>
      </c>
      <c r="E993" s="18" t="s">
        <v>73</v>
      </c>
      <c r="F993" s="18" t="s">
        <v>73</v>
      </c>
      <c r="G993" s="18">
        <v>1.0</v>
      </c>
      <c r="H993" s="18" t="s">
        <v>73</v>
      </c>
      <c r="I993" s="18" t="str">
        <f t="shared" si="1"/>
        <v>Obesity</v>
      </c>
    </row>
    <row r="994" ht="15.75" customHeight="1">
      <c r="A994" s="18" t="s">
        <v>3165</v>
      </c>
      <c r="B994" s="18">
        <v>32.775</v>
      </c>
      <c r="C994" s="18">
        <v>8.02</v>
      </c>
      <c r="D994" s="18" t="s">
        <v>80</v>
      </c>
      <c r="E994" s="18" t="s">
        <v>73</v>
      </c>
      <c r="F994" s="18" t="s">
        <v>73</v>
      </c>
      <c r="G994" s="18">
        <v>2.0</v>
      </c>
      <c r="H994" s="18" t="s">
        <v>73</v>
      </c>
      <c r="I994" s="18" t="str">
        <f t="shared" si="1"/>
        <v>Obesity</v>
      </c>
    </row>
    <row r="995" ht="15.75" customHeight="1">
      <c r="A995" s="18" t="s">
        <v>3169</v>
      </c>
      <c r="B995" s="18">
        <v>29.83</v>
      </c>
      <c r="C995" s="18">
        <v>7.2</v>
      </c>
      <c r="D995" s="18" t="s">
        <v>80</v>
      </c>
      <c r="E995" s="18" t="s">
        <v>73</v>
      </c>
      <c r="F995" s="18" t="s">
        <v>73</v>
      </c>
      <c r="G995" s="20">
        <v>0.0</v>
      </c>
      <c r="H995" s="18" t="s">
        <v>73</v>
      </c>
      <c r="I995" s="18" t="str">
        <f t="shared" si="1"/>
        <v>Overweight</v>
      </c>
    </row>
    <row r="996" ht="15.75" customHeight="1">
      <c r="A996" s="18" t="s">
        <v>3172</v>
      </c>
      <c r="B996" s="18">
        <v>28.31</v>
      </c>
      <c r="C996" s="18">
        <v>4.55</v>
      </c>
      <c r="D996" s="18" t="s">
        <v>73</v>
      </c>
      <c r="E996" s="18" t="s">
        <v>80</v>
      </c>
      <c r="F996" s="18" t="s">
        <v>73</v>
      </c>
      <c r="G996" s="18">
        <v>1.0</v>
      </c>
      <c r="H996" s="18" t="s">
        <v>73</v>
      </c>
      <c r="I996" s="18" t="str">
        <f t="shared" si="1"/>
        <v>Overweight</v>
      </c>
    </row>
    <row r="997" ht="15.75" customHeight="1">
      <c r="A997" s="18" t="s">
        <v>3174</v>
      </c>
      <c r="B997" s="18">
        <v>29.79</v>
      </c>
      <c r="C997" s="18">
        <v>9.03</v>
      </c>
      <c r="D997" s="18" t="s">
        <v>73</v>
      </c>
      <c r="E997" s="18" t="s">
        <v>73</v>
      </c>
      <c r="F997" s="18" t="s">
        <v>73</v>
      </c>
      <c r="G997" s="20">
        <v>0.0</v>
      </c>
      <c r="H997" s="18" t="s">
        <v>73</v>
      </c>
      <c r="I997" s="18" t="str">
        <f t="shared" si="1"/>
        <v>Overweight</v>
      </c>
    </row>
    <row r="998" ht="15.75" customHeight="1">
      <c r="A998" s="18" t="s">
        <v>3178</v>
      </c>
      <c r="B998" s="18">
        <v>36.6</v>
      </c>
      <c r="C998" s="18">
        <v>5.2</v>
      </c>
      <c r="D998" s="18" t="s">
        <v>80</v>
      </c>
      <c r="E998" s="18" t="s">
        <v>73</v>
      </c>
      <c r="F998" s="18" t="s">
        <v>184</v>
      </c>
      <c r="G998" s="18">
        <v>1.0</v>
      </c>
      <c r="H998" s="18" t="s">
        <v>73</v>
      </c>
      <c r="I998" s="18" t="str">
        <f t="shared" si="1"/>
        <v>Obesity</v>
      </c>
    </row>
    <row r="999" ht="15.75" customHeight="1">
      <c r="A999" s="18" t="s">
        <v>3180</v>
      </c>
      <c r="B999" s="18">
        <v>35.93</v>
      </c>
      <c r="C999" s="18">
        <v>8.3</v>
      </c>
      <c r="D999" s="18" t="s">
        <v>80</v>
      </c>
      <c r="E999" s="18" t="s">
        <v>73</v>
      </c>
      <c r="F999" s="18" t="s">
        <v>73</v>
      </c>
      <c r="G999" s="20">
        <v>0.0</v>
      </c>
      <c r="H999" s="18" t="s">
        <v>73</v>
      </c>
      <c r="I999" s="18" t="str">
        <f t="shared" si="1"/>
        <v>Obesity</v>
      </c>
    </row>
    <row r="1000" ht="15.75" customHeight="1">
      <c r="A1000" s="18" t="s">
        <v>3183</v>
      </c>
      <c r="B1000" s="18">
        <v>28.6</v>
      </c>
      <c r="C1000" s="18">
        <v>5.56</v>
      </c>
      <c r="D1000" s="18" t="s">
        <v>80</v>
      </c>
      <c r="E1000" s="18" t="s">
        <v>73</v>
      </c>
      <c r="F1000" s="18" t="s">
        <v>184</v>
      </c>
      <c r="G1000" s="18">
        <v>1.0</v>
      </c>
      <c r="H1000" s="18" t="s">
        <v>73</v>
      </c>
      <c r="I1000" s="18" t="str">
        <f t="shared" si="1"/>
        <v>Overweight</v>
      </c>
    </row>
    <row r="1001" ht="15.75" customHeight="1">
      <c r="A1001" s="18" t="s">
        <v>3185</v>
      </c>
      <c r="B1001" s="18">
        <v>39.17</v>
      </c>
      <c r="C1001" s="18">
        <v>4.15</v>
      </c>
      <c r="D1001" s="18" t="s">
        <v>73</v>
      </c>
      <c r="E1001" s="18" t="s">
        <v>73</v>
      </c>
      <c r="F1001" s="18" t="s">
        <v>73</v>
      </c>
      <c r="G1001" s="20">
        <v>0.0</v>
      </c>
      <c r="H1001" s="18" t="s">
        <v>73</v>
      </c>
      <c r="I1001" s="18" t="str">
        <f t="shared" si="1"/>
        <v>Obesity</v>
      </c>
    </row>
    <row r="1002" ht="15.75" customHeight="1">
      <c r="A1002" s="18" t="s">
        <v>3189</v>
      </c>
      <c r="B1002" s="18">
        <v>26.41</v>
      </c>
      <c r="C1002" s="18">
        <v>5.99</v>
      </c>
      <c r="D1002" s="18" t="s">
        <v>80</v>
      </c>
      <c r="E1002" s="18" t="s">
        <v>73</v>
      </c>
      <c r="F1002" s="18" t="s">
        <v>184</v>
      </c>
      <c r="G1002" s="18">
        <v>1.0</v>
      </c>
      <c r="H1002" s="18" t="s">
        <v>73</v>
      </c>
      <c r="I1002" s="18" t="str">
        <f t="shared" si="1"/>
        <v>Overweight</v>
      </c>
    </row>
    <row r="1003" ht="15.75" customHeight="1">
      <c r="A1003" s="18" t="s">
        <v>3191</v>
      </c>
      <c r="B1003" s="18">
        <v>30.63</v>
      </c>
      <c r="C1003" s="18">
        <v>5.8</v>
      </c>
      <c r="D1003" s="18" t="s">
        <v>80</v>
      </c>
      <c r="E1003" s="18" t="s">
        <v>73</v>
      </c>
      <c r="F1003" s="18" t="s">
        <v>73</v>
      </c>
      <c r="G1003" s="20">
        <v>0.0</v>
      </c>
      <c r="H1003" s="18" t="s">
        <v>73</v>
      </c>
      <c r="I1003" s="18" t="str">
        <f t="shared" si="1"/>
        <v>Obesity</v>
      </c>
    </row>
    <row r="1004" ht="15.75" customHeight="1">
      <c r="A1004" s="18" t="s">
        <v>3195</v>
      </c>
      <c r="B1004" s="18">
        <v>31.73</v>
      </c>
      <c r="C1004" s="18">
        <v>7.32</v>
      </c>
      <c r="D1004" s="18" t="s">
        <v>80</v>
      </c>
      <c r="E1004" s="18" t="s">
        <v>73</v>
      </c>
      <c r="F1004" s="18" t="s">
        <v>73</v>
      </c>
      <c r="G1004" s="18">
        <v>2.0</v>
      </c>
      <c r="H1004" s="18" t="s">
        <v>73</v>
      </c>
      <c r="I1004" s="18" t="str">
        <f t="shared" si="1"/>
        <v>Obesity</v>
      </c>
    </row>
    <row r="1005" ht="15.75" customHeight="1">
      <c r="A1005" s="18" t="s">
        <v>3198</v>
      </c>
      <c r="B1005" s="18">
        <v>30.7</v>
      </c>
      <c r="C1005" s="18">
        <v>5.16</v>
      </c>
      <c r="D1005" s="18" t="s">
        <v>73</v>
      </c>
      <c r="E1005" s="18" t="s">
        <v>73</v>
      </c>
      <c r="F1005" s="18" t="s">
        <v>73</v>
      </c>
      <c r="G1005" s="18">
        <v>2.0</v>
      </c>
      <c r="H1005" s="18" t="s">
        <v>73</v>
      </c>
      <c r="I1005" s="18" t="str">
        <f t="shared" si="1"/>
        <v>Obesity</v>
      </c>
    </row>
    <row r="1006" ht="15.75" customHeight="1">
      <c r="A1006" s="18" t="s">
        <v>3201</v>
      </c>
      <c r="B1006" s="18">
        <v>25.935</v>
      </c>
      <c r="C1006" s="18">
        <v>5.96</v>
      </c>
      <c r="D1006" s="18" t="s">
        <v>80</v>
      </c>
      <c r="E1006" s="18" t="s">
        <v>73</v>
      </c>
      <c r="F1006" s="18" t="s">
        <v>73</v>
      </c>
      <c r="G1006" s="18">
        <v>2.0</v>
      </c>
      <c r="H1006" s="18" t="s">
        <v>73</v>
      </c>
      <c r="I1006" s="18" t="str">
        <f t="shared" si="1"/>
        <v>Overweight</v>
      </c>
    </row>
    <row r="1007" ht="15.75" customHeight="1">
      <c r="A1007" s="18" t="s">
        <v>3204</v>
      </c>
      <c r="B1007" s="18">
        <v>35.9</v>
      </c>
      <c r="C1007" s="18">
        <v>4.85</v>
      </c>
      <c r="D1007" s="18" t="s">
        <v>80</v>
      </c>
      <c r="E1007" s="18" t="s">
        <v>73</v>
      </c>
      <c r="F1007" s="18" t="s">
        <v>184</v>
      </c>
      <c r="G1007" s="18">
        <v>1.0</v>
      </c>
      <c r="H1007" s="18" t="s">
        <v>73</v>
      </c>
      <c r="I1007" s="18" t="str">
        <f t="shared" si="1"/>
        <v>Obesity</v>
      </c>
    </row>
    <row r="1008" ht="15.75" customHeight="1">
      <c r="A1008" s="18" t="s">
        <v>3207</v>
      </c>
      <c r="B1008" s="18">
        <v>26.7</v>
      </c>
      <c r="C1008" s="18">
        <v>5.09</v>
      </c>
      <c r="D1008" s="18" t="s">
        <v>80</v>
      </c>
      <c r="E1008" s="18" t="s">
        <v>73</v>
      </c>
      <c r="F1008" s="18" t="s">
        <v>184</v>
      </c>
      <c r="G1008" s="18">
        <v>1.0</v>
      </c>
      <c r="H1008" s="18" t="s">
        <v>73</v>
      </c>
      <c r="I1008" s="18" t="str">
        <f t="shared" si="1"/>
        <v>Overweight</v>
      </c>
    </row>
    <row r="1009" ht="15.75" customHeight="1">
      <c r="A1009" s="18" t="s">
        <v>3210</v>
      </c>
      <c r="B1009" s="18">
        <v>33.71</v>
      </c>
      <c r="C1009" s="18">
        <v>4.94</v>
      </c>
      <c r="D1009" s="18" t="s">
        <v>73</v>
      </c>
      <c r="E1009" s="18" t="s">
        <v>73</v>
      </c>
      <c r="F1009" s="18" t="s">
        <v>73</v>
      </c>
      <c r="G1009" s="20">
        <v>0.0</v>
      </c>
      <c r="H1009" s="18" t="s">
        <v>73</v>
      </c>
      <c r="I1009" s="18" t="str">
        <f t="shared" si="1"/>
        <v>Obesity</v>
      </c>
    </row>
    <row r="1010" ht="15.75" customHeight="1">
      <c r="A1010" s="18" t="s">
        <v>3213</v>
      </c>
      <c r="B1010" s="18">
        <v>41.91</v>
      </c>
      <c r="C1010" s="18">
        <v>4.92</v>
      </c>
      <c r="D1010" s="18" t="s">
        <v>80</v>
      </c>
      <c r="E1010" s="18" t="s">
        <v>73</v>
      </c>
      <c r="F1010" s="18" t="s">
        <v>73</v>
      </c>
      <c r="G1010" s="18">
        <v>2.0</v>
      </c>
      <c r="H1010" s="18" t="s">
        <v>73</v>
      </c>
      <c r="I1010" s="18" t="str">
        <f t="shared" si="1"/>
        <v>Obesity</v>
      </c>
    </row>
    <row r="1011" ht="15.75" customHeight="1">
      <c r="A1011" s="18" t="s">
        <v>3215</v>
      </c>
      <c r="B1011" s="18">
        <v>39.82</v>
      </c>
      <c r="C1011" s="18">
        <v>6.05</v>
      </c>
      <c r="D1011" s="18" t="s">
        <v>80</v>
      </c>
      <c r="E1011" s="18" t="s">
        <v>73</v>
      </c>
      <c r="F1011" s="18" t="s">
        <v>73</v>
      </c>
      <c r="G1011" s="18">
        <v>2.0</v>
      </c>
      <c r="H1011" s="18" t="s">
        <v>73</v>
      </c>
      <c r="I1011" s="18" t="str">
        <f t="shared" si="1"/>
        <v>Obesity</v>
      </c>
    </row>
    <row r="1012" ht="15.75" customHeight="1">
      <c r="A1012" s="18" t="s">
        <v>3219</v>
      </c>
      <c r="B1012" s="18">
        <v>28.12</v>
      </c>
      <c r="C1012" s="18">
        <v>4.67</v>
      </c>
      <c r="D1012" s="18" t="s">
        <v>73</v>
      </c>
      <c r="E1012" s="18" t="s">
        <v>73</v>
      </c>
      <c r="F1012" s="18" t="s">
        <v>73</v>
      </c>
      <c r="G1012" s="18">
        <v>2.0</v>
      </c>
      <c r="H1012" s="18" t="s">
        <v>73</v>
      </c>
      <c r="I1012" s="18" t="str">
        <f t="shared" si="1"/>
        <v>Overweight</v>
      </c>
    </row>
    <row r="1013" ht="15.75" customHeight="1">
      <c r="A1013" s="18" t="s">
        <v>3221</v>
      </c>
      <c r="B1013" s="18">
        <v>26.98</v>
      </c>
      <c r="C1013" s="18">
        <v>9.81</v>
      </c>
      <c r="D1013" s="18" t="s">
        <v>80</v>
      </c>
      <c r="E1013" s="18" t="s">
        <v>73</v>
      </c>
      <c r="F1013" s="18" t="s">
        <v>73</v>
      </c>
      <c r="G1013" s="20">
        <v>0.0</v>
      </c>
      <c r="H1013" s="18" t="s">
        <v>73</v>
      </c>
      <c r="I1013" s="18" t="str">
        <f t="shared" si="1"/>
        <v>Overweight</v>
      </c>
    </row>
    <row r="1014" ht="15.75" customHeight="1">
      <c r="A1014" s="18" t="s">
        <v>3225</v>
      </c>
      <c r="B1014" s="18">
        <v>27.2</v>
      </c>
      <c r="C1014" s="18">
        <v>6.06</v>
      </c>
      <c r="D1014" s="18" t="s">
        <v>80</v>
      </c>
      <c r="E1014" s="18" t="s">
        <v>73</v>
      </c>
      <c r="F1014" s="18" t="s">
        <v>73</v>
      </c>
      <c r="G1014" s="18">
        <v>2.0</v>
      </c>
      <c r="H1014" s="18" t="s">
        <v>73</v>
      </c>
      <c r="I1014" s="18" t="str">
        <f t="shared" si="1"/>
        <v>Overweight</v>
      </c>
    </row>
    <row r="1015" ht="15.75" customHeight="1">
      <c r="A1015" s="18" t="s">
        <v>3228</v>
      </c>
      <c r="B1015" s="18">
        <v>25.3</v>
      </c>
      <c r="C1015" s="18">
        <v>5.19</v>
      </c>
      <c r="D1015" s="18" t="s">
        <v>80</v>
      </c>
      <c r="E1015" s="18" t="s">
        <v>73</v>
      </c>
      <c r="F1015" s="18" t="s">
        <v>73</v>
      </c>
      <c r="G1015" s="18">
        <v>2.0</v>
      </c>
      <c r="H1015" s="18" t="s">
        <v>73</v>
      </c>
      <c r="I1015" s="18" t="str">
        <f t="shared" si="1"/>
        <v>Overweight</v>
      </c>
    </row>
    <row r="1016" ht="15.75" customHeight="1">
      <c r="A1016" s="18" t="s">
        <v>3231</v>
      </c>
      <c r="B1016" s="18">
        <v>30.25</v>
      </c>
      <c r="C1016" s="18">
        <v>10.16</v>
      </c>
      <c r="D1016" s="18" t="s">
        <v>73</v>
      </c>
      <c r="E1016" s="18" t="s">
        <v>73</v>
      </c>
      <c r="F1016" s="18" t="s">
        <v>73</v>
      </c>
      <c r="G1016" s="20">
        <v>0.0</v>
      </c>
      <c r="H1016" s="18" t="s">
        <v>73</v>
      </c>
      <c r="I1016" s="18" t="str">
        <f t="shared" si="1"/>
        <v>Obesity</v>
      </c>
    </row>
    <row r="1017" ht="15.75" customHeight="1">
      <c r="A1017" s="18" t="s">
        <v>3233</v>
      </c>
      <c r="B1017" s="18">
        <v>54.0</v>
      </c>
      <c r="C1017" s="18">
        <v>4.68</v>
      </c>
      <c r="D1017" s="18" t="s">
        <v>80</v>
      </c>
      <c r="E1017" s="18" t="s">
        <v>80</v>
      </c>
      <c r="F1017" s="18" t="s">
        <v>73</v>
      </c>
      <c r="G1017" s="18">
        <v>2.0</v>
      </c>
      <c r="H1017" s="18" t="s">
        <v>73</v>
      </c>
      <c r="I1017" s="18" t="str">
        <f t="shared" si="1"/>
        <v>Obesity</v>
      </c>
    </row>
    <row r="1018" ht="15.75" customHeight="1">
      <c r="A1018" s="18" t="s">
        <v>3237</v>
      </c>
      <c r="B1018" s="18">
        <v>51.86</v>
      </c>
      <c r="C1018" s="18">
        <v>5.32</v>
      </c>
      <c r="D1018" s="18" t="s">
        <v>80</v>
      </c>
      <c r="E1018" s="18" t="s">
        <v>73</v>
      </c>
      <c r="F1018" s="18" t="s">
        <v>73</v>
      </c>
      <c r="G1018" s="20">
        <v>0.0</v>
      </c>
      <c r="H1018" s="18" t="s">
        <v>73</v>
      </c>
      <c r="I1018" s="18" t="str">
        <f t="shared" si="1"/>
        <v>Obesity</v>
      </c>
    </row>
    <row r="1019" ht="15.75" customHeight="1">
      <c r="A1019" s="18" t="s">
        <v>3240</v>
      </c>
      <c r="B1019" s="18">
        <v>31.39</v>
      </c>
      <c r="C1019" s="18">
        <v>6.99</v>
      </c>
      <c r="D1019" s="18" t="s">
        <v>73</v>
      </c>
      <c r="E1019" s="18" t="s">
        <v>73</v>
      </c>
      <c r="F1019" s="18" t="s">
        <v>73</v>
      </c>
      <c r="G1019" s="20">
        <v>0.0</v>
      </c>
      <c r="H1019" s="18" t="s">
        <v>73</v>
      </c>
      <c r="I1019" s="18" t="str">
        <f t="shared" si="1"/>
        <v>Obesity</v>
      </c>
    </row>
    <row r="1020" ht="15.75" customHeight="1">
      <c r="A1020" s="18" t="s">
        <v>3244</v>
      </c>
      <c r="B1020" s="18">
        <v>39.97</v>
      </c>
      <c r="C1020" s="18">
        <v>5.55</v>
      </c>
      <c r="D1020" s="18" t="s">
        <v>73</v>
      </c>
      <c r="E1020" s="18" t="s">
        <v>73</v>
      </c>
      <c r="F1020" s="18" t="s">
        <v>73</v>
      </c>
      <c r="G1020" s="20">
        <v>0.0</v>
      </c>
      <c r="H1020" s="18" t="s">
        <v>73</v>
      </c>
      <c r="I1020" s="18" t="str">
        <f t="shared" si="1"/>
        <v>Obesity</v>
      </c>
    </row>
    <row r="1021" ht="15.75" customHeight="1">
      <c r="A1021" s="18" t="s">
        <v>3246</v>
      </c>
      <c r="B1021" s="18">
        <v>41.23</v>
      </c>
      <c r="C1021" s="18">
        <v>6.94</v>
      </c>
      <c r="D1021" s="18" t="s">
        <v>73</v>
      </c>
      <c r="E1021" s="18" t="s">
        <v>73</v>
      </c>
      <c r="F1021" s="18" t="s">
        <v>73</v>
      </c>
      <c r="G1021" s="20">
        <v>0.0</v>
      </c>
      <c r="H1021" s="18" t="s">
        <v>73</v>
      </c>
      <c r="I1021" s="18" t="str">
        <f t="shared" si="1"/>
        <v>Obesity</v>
      </c>
    </row>
    <row r="1022" ht="15.75" customHeight="1">
      <c r="A1022" s="18" t="s">
        <v>3249</v>
      </c>
      <c r="B1022" s="18">
        <v>49.45</v>
      </c>
      <c r="C1022" s="18">
        <v>4.2</v>
      </c>
      <c r="D1022" s="18" t="s">
        <v>80</v>
      </c>
      <c r="E1022" s="18" t="s">
        <v>73</v>
      </c>
      <c r="F1022" s="18" t="s">
        <v>73</v>
      </c>
      <c r="G1022" s="20">
        <v>0.0</v>
      </c>
      <c r="H1022" s="18" t="s">
        <v>73</v>
      </c>
      <c r="I1022" s="18" t="str">
        <f t="shared" si="1"/>
        <v>Obesity</v>
      </c>
    </row>
    <row r="1023" ht="15.75" customHeight="1">
      <c r="A1023" s="18" t="s">
        <v>3253</v>
      </c>
      <c r="B1023" s="18">
        <v>41.04</v>
      </c>
      <c r="C1023" s="18">
        <v>5.59</v>
      </c>
      <c r="D1023" s="18" t="s">
        <v>73</v>
      </c>
      <c r="E1023" s="18" t="s">
        <v>73</v>
      </c>
      <c r="F1023" s="18" t="s">
        <v>73</v>
      </c>
      <c r="G1023" s="20">
        <v>0.0</v>
      </c>
      <c r="H1023" s="18" t="s">
        <v>73</v>
      </c>
      <c r="I1023" s="18" t="str">
        <f t="shared" si="1"/>
        <v>Obesity</v>
      </c>
    </row>
    <row r="1024" ht="15.75" customHeight="1">
      <c r="A1024" s="18" t="s">
        <v>3256</v>
      </c>
      <c r="B1024" s="18">
        <v>27.93</v>
      </c>
      <c r="C1024" s="18">
        <v>9.96</v>
      </c>
      <c r="D1024" s="18" t="s">
        <v>73</v>
      </c>
      <c r="E1024" s="18" t="s">
        <v>73</v>
      </c>
      <c r="F1024" s="18" t="s">
        <v>73</v>
      </c>
      <c r="G1024" s="20">
        <v>0.0</v>
      </c>
      <c r="H1024" s="18" t="s">
        <v>73</v>
      </c>
      <c r="I1024" s="18" t="str">
        <f t="shared" si="1"/>
        <v>Overweight</v>
      </c>
    </row>
    <row r="1025" ht="15.75" customHeight="1">
      <c r="A1025" s="18" t="s">
        <v>3260</v>
      </c>
      <c r="B1025" s="18">
        <v>21.01</v>
      </c>
      <c r="C1025" s="18">
        <v>7.37</v>
      </c>
      <c r="D1025" s="18" t="s">
        <v>73</v>
      </c>
      <c r="E1025" s="18" t="s">
        <v>73</v>
      </c>
      <c r="F1025" s="18" t="s">
        <v>73</v>
      </c>
      <c r="G1025" s="20">
        <v>0.0</v>
      </c>
      <c r="H1025" s="18" t="s">
        <v>73</v>
      </c>
      <c r="I1025" s="18" t="str">
        <f t="shared" si="1"/>
        <v>Normal Weight</v>
      </c>
    </row>
    <row r="1026" ht="15.75" customHeight="1">
      <c r="A1026" s="18" t="s">
        <v>3263</v>
      </c>
      <c r="B1026" s="18">
        <v>52.37</v>
      </c>
      <c r="C1026" s="18">
        <v>5.06</v>
      </c>
      <c r="D1026" s="18" t="s">
        <v>80</v>
      </c>
      <c r="E1026" s="18" t="s">
        <v>80</v>
      </c>
      <c r="F1026" s="18" t="s">
        <v>73</v>
      </c>
      <c r="G1026" s="18">
        <v>2.0</v>
      </c>
      <c r="H1026" s="18" t="s">
        <v>73</v>
      </c>
      <c r="I1026" s="18" t="str">
        <f t="shared" si="1"/>
        <v>Obesity</v>
      </c>
    </row>
    <row r="1027" ht="15.75" customHeight="1">
      <c r="A1027" s="18" t="s">
        <v>3265</v>
      </c>
      <c r="B1027" s="18">
        <v>40.37</v>
      </c>
      <c r="C1027" s="18">
        <v>8.21</v>
      </c>
      <c r="D1027" s="18" t="s">
        <v>73</v>
      </c>
      <c r="E1027" s="18" t="s">
        <v>73</v>
      </c>
      <c r="F1027" s="18" t="s">
        <v>73</v>
      </c>
      <c r="G1027" s="20">
        <v>0.0</v>
      </c>
      <c r="H1027" s="18" t="s">
        <v>73</v>
      </c>
      <c r="I1027" s="18" t="str">
        <f t="shared" si="1"/>
        <v>Obesity</v>
      </c>
    </row>
    <row r="1028" ht="15.75" customHeight="1">
      <c r="A1028" s="18" t="s">
        <v>3269</v>
      </c>
      <c r="B1028" s="18">
        <v>41.47</v>
      </c>
      <c r="C1028" s="18">
        <v>10.34</v>
      </c>
      <c r="D1028" s="18" t="s">
        <v>73</v>
      </c>
      <c r="E1028" s="18" t="s">
        <v>73</v>
      </c>
      <c r="F1028" s="18" t="s">
        <v>73</v>
      </c>
      <c r="G1028" s="18">
        <v>2.0</v>
      </c>
      <c r="H1028" s="18" t="s">
        <v>73</v>
      </c>
      <c r="I1028" s="18" t="str">
        <f t="shared" si="1"/>
        <v>Obesity</v>
      </c>
    </row>
    <row r="1029" ht="15.75" customHeight="1">
      <c r="A1029" s="18" t="s">
        <v>3272</v>
      </c>
      <c r="B1029" s="18">
        <v>33.725</v>
      </c>
      <c r="C1029" s="18">
        <v>5.51</v>
      </c>
      <c r="D1029" s="18" t="s">
        <v>80</v>
      </c>
      <c r="E1029" s="18" t="s">
        <v>73</v>
      </c>
      <c r="F1029" s="18" t="s">
        <v>73</v>
      </c>
      <c r="G1029" s="18">
        <v>2.0</v>
      </c>
      <c r="H1029" s="18" t="s">
        <v>73</v>
      </c>
      <c r="I1029" s="18" t="str">
        <f t="shared" si="1"/>
        <v>Obesity</v>
      </c>
    </row>
    <row r="1030" ht="15.75" customHeight="1">
      <c r="A1030" s="18" t="s">
        <v>3275</v>
      </c>
      <c r="B1030" s="18">
        <v>28.1</v>
      </c>
      <c r="C1030" s="18">
        <v>11.2</v>
      </c>
      <c r="D1030" s="18" t="s">
        <v>73</v>
      </c>
      <c r="E1030" s="18" t="s">
        <v>73</v>
      </c>
      <c r="F1030" s="18" t="s">
        <v>73</v>
      </c>
      <c r="G1030" s="20">
        <v>0.0</v>
      </c>
      <c r="H1030" s="18" t="s">
        <v>73</v>
      </c>
      <c r="I1030" s="18" t="str">
        <f t="shared" si="1"/>
        <v>Overweight</v>
      </c>
    </row>
    <row r="1031" ht="15.75" customHeight="1">
      <c r="A1031" s="18" t="s">
        <v>3278</v>
      </c>
      <c r="B1031" s="18">
        <v>37.43</v>
      </c>
      <c r="C1031" s="18">
        <v>4.35</v>
      </c>
      <c r="D1031" s="18" t="s">
        <v>80</v>
      </c>
      <c r="E1031" s="18" t="s">
        <v>73</v>
      </c>
      <c r="F1031" s="18" t="s">
        <v>184</v>
      </c>
      <c r="G1031" s="18">
        <v>1.0</v>
      </c>
      <c r="H1031" s="18" t="s">
        <v>73</v>
      </c>
      <c r="I1031" s="18" t="str">
        <f t="shared" si="1"/>
        <v>Obesity</v>
      </c>
    </row>
    <row r="1032" ht="15.75" customHeight="1">
      <c r="A1032" s="18" t="s">
        <v>3281</v>
      </c>
      <c r="B1032" s="18">
        <v>23.7</v>
      </c>
      <c r="C1032" s="18">
        <v>10.45</v>
      </c>
      <c r="D1032" s="18" t="s">
        <v>73</v>
      </c>
      <c r="E1032" s="18" t="s">
        <v>73</v>
      </c>
      <c r="F1032" s="18" t="s">
        <v>73</v>
      </c>
      <c r="G1032" s="20">
        <v>0.0</v>
      </c>
      <c r="H1032" s="18" t="s">
        <v>73</v>
      </c>
      <c r="I1032" s="18" t="str">
        <f t="shared" si="1"/>
        <v>Normal Weight</v>
      </c>
    </row>
    <row r="1033" ht="15.75" customHeight="1">
      <c r="A1033" s="18" t="s">
        <v>3285</v>
      </c>
      <c r="B1033" s="18">
        <v>24.795</v>
      </c>
      <c r="C1033" s="18">
        <v>4.07</v>
      </c>
      <c r="D1033" s="18" t="s">
        <v>80</v>
      </c>
      <c r="E1033" s="18" t="s">
        <v>73</v>
      </c>
      <c r="F1033" s="18" t="s">
        <v>184</v>
      </c>
      <c r="G1033" s="18">
        <v>1.0</v>
      </c>
      <c r="H1033" s="18" t="s">
        <v>73</v>
      </c>
      <c r="I1033" s="18" t="str">
        <f t="shared" si="1"/>
        <v>Normal Weight</v>
      </c>
    </row>
    <row r="1034" ht="15.75" customHeight="1">
      <c r="A1034" s="18" t="s">
        <v>3288</v>
      </c>
      <c r="B1034" s="18">
        <v>31.9</v>
      </c>
      <c r="C1034" s="18">
        <v>8.34</v>
      </c>
      <c r="D1034" s="18" t="s">
        <v>73</v>
      </c>
      <c r="E1034" s="18" t="s">
        <v>73</v>
      </c>
      <c r="F1034" s="18" t="s">
        <v>73</v>
      </c>
      <c r="G1034" s="20">
        <v>0.0</v>
      </c>
      <c r="H1034" s="18" t="s">
        <v>73</v>
      </c>
      <c r="I1034" s="18" t="str">
        <f t="shared" si="1"/>
        <v>Obesity</v>
      </c>
    </row>
    <row r="1035" ht="15.75" customHeight="1">
      <c r="A1035" s="18" t="s">
        <v>3291</v>
      </c>
      <c r="B1035" s="18">
        <v>32.68</v>
      </c>
      <c r="C1035" s="18">
        <v>7.41</v>
      </c>
      <c r="D1035" s="18" t="s">
        <v>73</v>
      </c>
      <c r="E1035" s="18" t="s">
        <v>73</v>
      </c>
      <c r="F1035" s="18" t="s">
        <v>73</v>
      </c>
      <c r="G1035" s="20">
        <v>0.0</v>
      </c>
      <c r="H1035" s="18" t="s">
        <v>73</v>
      </c>
      <c r="I1035" s="18" t="str">
        <f t="shared" si="1"/>
        <v>Obesity</v>
      </c>
    </row>
    <row r="1036" ht="15.75" customHeight="1">
      <c r="A1036" s="18" t="s">
        <v>3294</v>
      </c>
      <c r="B1036" s="18">
        <v>47.13</v>
      </c>
      <c r="C1036" s="18">
        <v>4.31</v>
      </c>
      <c r="D1036" s="18" t="s">
        <v>73</v>
      </c>
      <c r="E1036" s="18" t="s">
        <v>73</v>
      </c>
      <c r="F1036" s="18" t="s">
        <v>73</v>
      </c>
      <c r="G1036" s="20">
        <v>0.0</v>
      </c>
      <c r="H1036" s="18" t="s">
        <v>73</v>
      </c>
      <c r="I1036" s="18" t="str">
        <f t="shared" si="1"/>
        <v>Obesity</v>
      </c>
    </row>
    <row r="1037" ht="15.75" customHeight="1">
      <c r="A1037" s="18" t="s">
        <v>3297</v>
      </c>
      <c r="B1037" s="18">
        <v>36.67</v>
      </c>
      <c r="C1037" s="18">
        <v>10.83</v>
      </c>
      <c r="D1037" s="18" t="s">
        <v>73</v>
      </c>
      <c r="E1037" s="18" t="s">
        <v>73</v>
      </c>
      <c r="F1037" s="18" t="s">
        <v>73</v>
      </c>
      <c r="G1037" s="20">
        <v>0.0</v>
      </c>
      <c r="H1037" s="18" t="s">
        <v>73</v>
      </c>
      <c r="I1037" s="18" t="str">
        <f t="shared" si="1"/>
        <v>Obesity</v>
      </c>
    </row>
    <row r="1038" ht="15.75" customHeight="1">
      <c r="A1038" s="18" t="s">
        <v>3300</v>
      </c>
      <c r="B1038" s="18">
        <v>33.63</v>
      </c>
      <c r="C1038" s="18">
        <v>11.31</v>
      </c>
      <c r="D1038" s="18" t="s">
        <v>73</v>
      </c>
      <c r="E1038" s="18" t="s">
        <v>73</v>
      </c>
      <c r="F1038" s="18" t="s">
        <v>73</v>
      </c>
      <c r="G1038" s="20">
        <v>0.0</v>
      </c>
      <c r="H1038" s="18" t="s">
        <v>73</v>
      </c>
      <c r="I1038" s="18" t="str">
        <f t="shared" si="1"/>
        <v>Obesity</v>
      </c>
    </row>
    <row r="1039" ht="15.75" customHeight="1">
      <c r="A1039" s="18" t="s">
        <v>3302</v>
      </c>
      <c r="B1039" s="18">
        <v>32.67</v>
      </c>
      <c r="C1039" s="18">
        <v>11.81</v>
      </c>
      <c r="D1039" s="18" t="s">
        <v>80</v>
      </c>
      <c r="E1039" s="18" t="s">
        <v>73</v>
      </c>
      <c r="F1039" s="18" t="s">
        <v>73</v>
      </c>
      <c r="G1039" s="20">
        <v>0.0</v>
      </c>
      <c r="H1039" s="18" t="s">
        <v>73</v>
      </c>
      <c r="I1039" s="18" t="str">
        <f t="shared" si="1"/>
        <v>Obesity</v>
      </c>
    </row>
    <row r="1040" ht="15.75" customHeight="1">
      <c r="A1040" s="18" t="s">
        <v>3306</v>
      </c>
      <c r="B1040" s="18">
        <v>33.3</v>
      </c>
      <c r="C1040" s="18">
        <v>8.26</v>
      </c>
      <c r="D1040" s="18" t="s">
        <v>80</v>
      </c>
      <c r="E1040" s="18" t="s">
        <v>73</v>
      </c>
      <c r="F1040" s="18" t="s">
        <v>73</v>
      </c>
      <c r="G1040" s="18">
        <v>2.0</v>
      </c>
      <c r="H1040" s="18" t="s">
        <v>73</v>
      </c>
      <c r="I1040" s="18" t="str">
        <f t="shared" si="1"/>
        <v>Obesity</v>
      </c>
    </row>
    <row r="1041" ht="15.75" customHeight="1">
      <c r="A1041" s="18" t="s">
        <v>3310</v>
      </c>
      <c r="B1041" s="18">
        <v>30.78</v>
      </c>
      <c r="C1041" s="18">
        <v>10.74</v>
      </c>
      <c r="D1041" s="18" t="s">
        <v>80</v>
      </c>
      <c r="E1041" s="18" t="s">
        <v>73</v>
      </c>
      <c r="F1041" s="18" t="s">
        <v>73</v>
      </c>
      <c r="G1041" s="18">
        <v>2.0</v>
      </c>
      <c r="H1041" s="18" t="s">
        <v>73</v>
      </c>
      <c r="I1041" s="18" t="str">
        <f t="shared" si="1"/>
        <v>Obesity</v>
      </c>
    </row>
    <row r="1042" ht="15.75" customHeight="1">
      <c r="A1042" s="18" t="s">
        <v>3313</v>
      </c>
      <c r="B1042" s="18">
        <v>28.975</v>
      </c>
      <c r="C1042" s="18">
        <v>7.69</v>
      </c>
      <c r="D1042" s="18" t="s">
        <v>80</v>
      </c>
      <c r="E1042" s="18" t="s">
        <v>73</v>
      </c>
      <c r="F1042" s="18" t="s">
        <v>73</v>
      </c>
      <c r="G1042" s="20">
        <v>0.0</v>
      </c>
      <c r="H1042" s="18" t="s">
        <v>73</v>
      </c>
      <c r="I1042" s="18" t="str">
        <f t="shared" si="1"/>
        <v>Overweight</v>
      </c>
    </row>
    <row r="1043" ht="15.75" customHeight="1">
      <c r="A1043" s="18" t="s">
        <v>3315</v>
      </c>
      <c r="B1043" s="18">
        <v>33.4</v>
      </c>
      <c r="C1043" s="18">
        <v>4.84</v>
      </c>
      <c r="D1043" s="18" t="s">
        <v>73</v>
      </c>
      <c r="E1043" s="18" t="s">
        <v>73</v>
      </c>
      <c r="F1043" s="18" t="s">
        <v>73</v>
      </c>
      <c r="G1043" s="20">
        <v>0.0</v>
      </c>
      <c r="H1043" s="18" t="s">
        <v>73</v>
      </c>
      <c r="I1043" s="18" t="str">
        <f t="shared" si="1"/>
        <v>Obesity</v>
      </c>
    </row>
    <row r="1044" ht="15.75" customHeight="1">
      <c r="A1044" s="18" t="s">
        <v>3318</v>
      </c>
      <c r="B1044" s="18">
        <v>21.5</v>
      </c>
      <c r="C1044" s="18">
        <v>9.77</v>
      </c>
      <c r="D1044" s="18" t="s">
        <v>80</v>
      </c>
      <c r="E1044" s="18" t="s">
        <v>73</v>
      </c>
      <c r="F1044" s="18" t="s">
        <v>73</v>
      </c>
      <c r="G1044" s="20">
        <v>0.0</v>
      </c>
      <c r="H1044" s="18" t="s">
        <v>73</v>
      </c>
      <c r="I1044" s="18" t="str">
        <f t="shared" si="1"/>
        <v>Normal Weight</v>
      </c>
    </row>
    <row r="1045" ht="15.75" customHeight="1">
      <c r="A1045" s="18" t="s">
        <v>3322</v>
      </c>
      <c r="B1045" s="18">
        <v>38.14</v>
      </c>
      <c r="C1045" s="18">
        <v>5.84</v>
      </c>
      <c r="D1045" s="18" t="s">
        <v>73</v>
      </c>
      <c r="E1045" s="18" t="s">
        <v>73</v>
      </c>
      <c r="F1045" s="18" t="s">
        <v>73</v>
      </c>
      <c r="G1045" s="20">
        <v>0.0</v>
      </c>
      <c r="H1045" s="18" t="s">
        <v>73</v>
      </c>
      <c r="I1045" s="18" t="str">
        <f t="shared" si="1"/>
        <v>Obesity</v>
      </c>
    </row>
    <row r="1046" ht="15.75" customHeight="1">
      <c r="A1046" s="18" t="s">
        <v>3326</v>
      </c>
      <c r="B1046" s="18">
        <v>35.42</v>
      </c>
      <c r="C1046" s="18">
        <v>8.7</v>
      </c>
      <c r="D1046" s="18" t="s">
        <v>80</v>
      </c>
      <c r="E1046" s="18" t="s">
        <v>73</v>
      </c>
      <c r="F1046" s="18" t="s">
        <v>73</v>
      </c>
      <c r="G1046" s="18">
        <v>1.0</v>
      </c>
      <c r="H1046" s="18" t="s">
        <v>73</v>
      </c>
      <c r="I1046" s="18" t="str">
        <f t="shared" si="1"/>
        <v>Obesity</v>
      </c>
    </row>
    <row r="1047" ht="15.75" customHeight="1">
      <c r="A1047" s="18" t="s">
        <v>3329</v>
      </c>
      <c r="B1047" s="18">
        <v>35.625</v>
      </c>
      <c r="C1047" s="18">
        <v>10.79</v>
      </c>
      <c r="D1047" s="18" t="s">
        <v>73</v>
      </c>
      <c r="E1047" s="18" t="s">
        <v>73</v>
      </c>
      <c r="F1047" s="18" t="s">
        <v>73</v>
      </c>
      <c r="G1047" s="20">
        <v>0.0</v>
      </c>
      <c r="H1047" s="18" t="s">
        <v>73</v>
      </c>
      <c r="I1047" s="18" t="str">
        <f t="shared" si="1"/>
        <v>Obesity</v>
      </c>
    </row>
    <row r="1048" ht="15.75" customHeight="1">
      <c r="A1048" s="18" t="s">
        <v>3333</v>
      </c>
      <c r="B1048" s="18">
        <v>45.51</v>
      </c>
      <c r="C1048" s="18">
        <v>4.32</v>
      </c>
      <c r="D1048" s="18" t="s">
        <v>73</v>
      </c>
      <c r="E1048" s="18" t="s">
        <v>73</v>
      </c>
      <c r="F1048" s="18" t="s">
        <v>73</v>
      </c>
      <c r="G1048" s="18">
        <v>1.0</v>
      </c>
      <c r="H1048" s="18" t="s">
        <v>73</v>
      </c>
      <c r="I1048" s="18" t="str">
        <f t="shared" si="1"/>
        <v>Obesity</v>
      </c>
    </row>
    <row r="1049" ht="15.75" customHeight="1">
      <c r="A1049" s="18" t="s">
        <v>3335</v>
      </c>
      <c r="B1049" s="18">
        <v>37.1</v>
      </c>
      <c r="C1049" s="18">
        <v>7.19</v>
      </c>
      <c r="D1049" s="18" t="s">
        <v>80</v>
      </c>
      <c r="E1049" s="18" t="s">
        <v>73</v>
      </c>
      <c r="F1049" s="18" t="s">
        <v>73</v>
      </c>
      <c r="G1049" s="20">
        <v>0.0</v>
      </c>
      <c r="H1049" s="18" t="s">
        <v>73</v>
      </c>
      <c r="I1049" s="18" t="str">
        <f t="shared" si="1"/>
        <v>Obesity</v>
      </c>
    </row>
    <row r="1050" ht="15.75" customHeight="1">
      <c r="A1050" s="18" t="s">
        <v>3339</v>
      </c>
      <c r="B1050" s="18">
        <v>30.5</v>
      </c>
      <c r="C1050" s="18">
        <v>11.94</v>
      </c>
      <c r="D1050" s="18" t="s">
        <v>80</v>
      </c>
      <c r="E1050" s="18" t="s">
        <v>73</v>
      </c>
      <c r="F1050" s="18" t="s">
        <v>73</v>
      </c>
      <c r="G1050" s="20">
        <v>0.0</v>
      </c>
      <c r="H1050" s="18" t="s">
        <v>73</v>
      </c>
      <c r="I1050" s="18" t="str">
        <f t="shared" si="1"/>
        <v>Obesity</v>
      </c>
    </row>
    <row r="1051" ht="15.75" customHeight="1">
      <c r="A1051" s="18" t="s">
        <v>3343</v>
      </c>
      <c r="B1051" s="18">
        <v>28.16</v>
      </c>
      <c r="C1051" s="18">
        <v>5.56</v>
      </c>
      <c r="D1051" s="18" t="s">
        <v>73</v>
      </c>
      <c r="E1051" s="18" t="s">
        <v>73</v>
      </c>
      <c r="F1051" s="18" t="s">
        <v>73</v>
      </c>
      <c r="G1051" s="18">
        <v>2.0</v>
      </c>
      <c r="H1051" s="18" t="s">
        <v>73</v>
      </c>
      <c r="I1051" s="18" t="str">
        <f t="shared" si="1"/>
        <v>Overweight</v>
      </c>
    </row>
    <row r="1052" ht="15.75" customHeight="1">
      <c r="A1052" s="18" t="s">
        <v>3345</v>
      </c>
      <c r="B1052" s="18">
        <v>29.1</v>
      </c>
      <c r="C1052" s="18">
        <v>5.64</v>
      </c>
      <c r="D1052" s="18" t="s">
        <v>80</v>
      </c>
      <c r="E1052" s="18" t="s">
        <v>73</v>
      </c>
      <c r="F1052" s="18" t="s">
        <v>73</v>
      </c>
      <c r="G1052" s="20">
        <v>0.0</v>
      </c>
      <c r="H1052" s="18" t="s">
        <v>73</v>
      </c>
      <c r="I1052" s="18" t="str">
        <f t="shared" si="1"/>
        <v>Overweight</v>
      </c>
    </row>
    <row r="1053" ht="15.75" customHeight="1">
      <c r="A1053" s="18" t="s">
        <v>3349</v>
      </c>
      <c r="B1053" s="18">
        <v>30.22</v>
      </c>
      <c r="C1053" s="18">
        <v>4.65</v>
      </c>
      <c r="D1053" s="18" t="s">
        <v>73</v>
      </c>
      <c r="E1053" s="18" t="s">
        <v>73</v>
      </c>
      <c r="F1053" s="18" t="s">
        <v>73</v>
      </c>
      <c r="G1053" s="20">
        <v>0.0</v>
      </c>
      <c r="H1053" s="18" t="s">
        <v>73</v>
      </c>
      <c r="I1053" s="18" t="str">
        <f t="shared" si="1"/>
        <v>Obesity</v>
      </c>
    </row>
    <row r="1054" ht="15.75" customHeight="1">
      <c r="A1054" s="18" t="s">
        <v>3352</v>
      </c>
      <c r="B1054" s="18">
        <v>24.29</v>
      </c>
      <c r="C1054" s="18">
        <v>9.05</v>
      </c>
      <c r="D1054" s="18" t="s">
        <v>73</v>
      </c>
      <c r="E1054" s="18" t="s">
        <v>73</v>
      </c>
      <c r="F1054" s="18" t="s">
        <v>73</v>
      </c>
      <c r="G1054" s="20">
        <v>0.0</v>
      </c>
      <c r="H1054" s="18" t="s">
        <v>73</v>
      </c>
      <c r="I1054" s="18" t="str">
        <f t="shared" si="1"/>
        <v>Normal Weight</v>
      </c>
    </row>
    <row r="1055" ht="15.75" customHeight="1">
      <c r="A1055" s="18" t="s">
        <v>3356</v>
      </c>
      <c r="B1055" s="18">
        <v>29.39</v>
      </c>
      <c r="C1055" s="18">
        <v>4.52</v>
      </c>
      <c r="D1055" s="18" t="s">
        <v>80</v>
      </c>
      <c r="E1055" s="18" t="s">
        <v>73</v>
      </c>
      <c r="F1055" s="18" t="s">
        <v>73</v>
      </c>
      <c r="G1055" s="20">
        <v>0.0</v>
      </c>
      <c r="H1055" s="18" t="s">
        <v>73</v>
      </c>
      <c r="I1055" s="18" t="str">
        <f t="shared" si="1"/>
        <v>Overweight</v>
      </c>
    </row>
    <row r="1056" ht="15.75" customHeight="1">
      <c r="A1056" s="18" t="s">
        <v>3360</v>
      </c>
      <c r="B1056" s="18">
        <v>25.66</v>
      </c>
      <c r="C1056" s="18">
        <v>4.62</v>
      </c>
      <c r="D1056" s="18" t="s">
        <v>80</v>
      </c>
      <c r="E1056" s="18" t="s">
        <v>73</v>
      </c>
      <c r="F1056" s="18" t="s">
        <v>73</v>
      </c>
      <c r="G1056" s="18">
        <v>1.0</v>
      </c>
      <c r="H1056" s="18" t="s">
        <v>73</v>
      </c>
      <c r="I1056" s="18" t="str">
        <f t="shared" si="1"/>
        <v>Overweight</v>
      </c>
    </row>
    <row r="1057" ht="15.75" customHeight="1">
      <c r="A1057" s="18" t="s">
        <v>3362</v>
      </c>
      <c r="B1057" s="18">
        <v>39.11</v>
      </c>
      <c r="C1057" s="18">
        <v>5.87</v>
      </c>
      <c r="D1057" s="18" t="s">
        <v>73</v>
      </c>
      <c r="E1057" s="18" t="s">
        <v>73</v>
      </c>
      <c r="F1057" s="18" t="s">
        <v>73</v>
      </c>
      <c r="G1057" s="20">
        <v>0.0</v>
      </c>
      <c r="H1057" s="18" t="s">
        <v>73</v>
      </c>
      <c r="I1057" s="18" t="str">
        <f t="shared" si="1"/>
        <v>Obesity</v>
      </c>
    </row>
    <row r="1058" ht="15.75" customHeight="1">
      <c r="A1058" s="18" t="s">
        <v>3366</v>
      </c>
      <c r="B1058" s="18">
        <v>43.78</v>
      </c>
      <c r="C1058" s="18">
        <v>5.71</v>
      </c>
      <c r="D1058" s="18" t="s">
        <v>73</v>
      </c>
      <c r="E1058" s="18" t="s">
        <v>73</v>
      </c>
      <c r="F1058" s="18" t="s">
        <v>73</v>
      </c>
      <c r="G1058" s="18">
        <v>1.0</v>
      </c>
      <c r="H1058" s="18" t="s">
        <v>73</v>
      </c>
      <c r="I1058" s="18" t="str">
        <f t="shared" si="1"/>
        <v>Obesity</v>
      </c>
    </row>
    <row r="1059" ht="15.75" customHeight="1">
      <c r="A1059" s="18" t="s">
        <v>3368</v>
      </c>
      <c r="B1059" s="18">
        <v>24.35</v>
      </c>
      <c r="C1059" s="18">
        <v>9.08</v>
      </c>
      <c r="D1059" s="18" t="s">
        <v>73</v>
      </c>
      <c r="E1059" s="18" t="s">
        <v>73</v>
      </c>
      <c r="F1059" s="18" t="s">
        <v>73</v>
      </c>
      <c r="G1059" s="20">
        <v>0.0</v>
      </c>
      <c r="H1059" s="18" t="s">
        <v>73</v>
      </c>
      <c r="I1059" s="18" t="str">
        <f t="shared" si="1"/>
        <v>Normal Weight</v>
      </c>
    </row>
    <row r="1060" ht="15.75" customHeight="1">
      <c r="A1060" s="18" t="s">
        <v>3371</v>
      </c>
      <c r="B1060" s="18">
        <v>40.3</v>
      </c>
      <c r="C1060" s="18">
        <v>5.3</v>
      </c>
      <c r="D1060" s="18" t="s">
        <v>80</v>
      </c>
      <c r="E1060" s="18" t="s">
        <v>73</v>
      </c>
      <c r="F1060" s="18" t="s">
        <v>73</v>
      </c>
      <c r="G1060" s="18">
        <v>2.0</v>
      </c>
      <c r="H1060" s="18" t="s">
        <v>73</v>
      </c>
      <c r="I1060" s="18" t="str">
        <f t="shared" si="1"/>
        <v>Obesity</v>
      </c>
    </row>
    <row r="1061" ht="15.75" customHeight="1">
      <c r="A1061" s="18" t="s">
        <v>3373</v>
      </c>
      <c r="B1061" s="18">
        <v>32.775</v>
      </c>
      <c r="C1061" s="18">
        <v>11.76</v>
      </c>
      <c r="D1061" s="18" t="s">
        <v>80</v>
      </c>
      <c r="E1061" s="18" t="s">
        <v>73</v>
      </c>
      <c r="F1061" s="18" t="s">
        <v>73</v>
      </c>
      <c r="G1061" s="20">
        <v>0.0</v>
      </c>
      <c r="H1061" s="18" t="s">
        <v>73</v>
      </c>
      <c r="I1061" s="18" t="str">
        <f t="shared" si="1"/>
        <v>Obesity</v>
      </c>
    </row>
    <row r="1062" ht="15.75" customHeight="1">
      <c r="A1062" s="18" t="s">
        <v>3377</v>
      </c>
      <c r="B1062" s="18">
        <v>39.6</v>
      </c>
      <c r="C1062" s="18">
        <v>5.11</v>
      </c>
      <c r="D1062" s="18" t="s">
        <v>80</v>
      </c>
      <c r="E1062" s="18" t="s">
        <v>73</v>
      </c>
      <c r="F1062" s="18" t="s">
        <v>73</v>
      </c>
      <c r="G1062" s="18">
        <v>2.0</v>
      </c>
      <c r="H1062" s="18" t="s">
        <v>73</v>
      </c>
      <c r="I1062" s="18" t="str">
        <f t="shared" si="1"/>
        <v>Obesity</v>
      </c>
    </row>
    <row r="1063" ht="15.75" customHeight="1">
      <c r="A1063" s="18" t="s">
        <v>3381</v>
      </c>
      <c r="B1063" s="18">
        <v>30.97</v>
      </c>
      <c r="C1063" s="18">
        <v>5.54</v>
      </c>
      <c r="D1063" s="18" t="s">
        <v>73</v>
      </c>
      <c r="E1063" s="18" t="s">
        <v>73</v>
      </c>
      <c r="F1063" s="18" t="s">
        <v>73</v>
      </c>
      <c r="G1063" s="18">
        <v>2.0</v>
      </c>
      <c r="H1063" s="18" t="s">
        <v>73</v>
      </c>
      <c r="I1063" s="18" t="str">
        <f t="shared" si="1"/>
        <v>Obesity</v>
      </c>
    </row>
    <row r="1064" ht="15.75" customHeight="1">
      <c r="A1064" s="18" t="s">
        <v>3383</v>
      </c>
      <c r="B1064" s="18">
        <v>27.645</v>
      </c>
      <c r="C1064" s="18">
        <v>8.87</v>
      </c>
      <c r="D1064" s="18" t="s">
        <v>80</v>
      </c>
      <c r="E1064" s="18" t="s">
        <v>73</v>
      </c>
      <c r="F1064" s="18" t="s">
        <v>73</v>
      </c>
      <c r="G1064" s="20">
        <v>0.0</v>
      </c>
      <c r="H1064" s="18" t="s">
        <v>73</v>
      </c>
      <c r="I1064" s="18" t="str">
        <f t="shared" si="1"/>
        <v>Overweight</v>
      </c>
    </row>
    <row r="1065" ht="15.75" customHeight="1">
      <c r="A1065" s="18" t="s">
        <v>3387</v>
      </c>
      <c r="B1065" s="18">
        <v>34.43</v>
      </c>
      <c r="C1065" s="18">
        <v>5.96</v>
      </c>
      <c r="D1065" s="18" t="s">
        <v>80</v>
      </c>
      <c r="E1065" s="18" t="s">
        <v>73</v>
      </c>
      <c r="F1065" s="18" t="s">
        <v>73</v>
      </c>
      <c r="G1065" s="18">
        <v>2.0</v>
      </c>
      <c r="H1065" s="18" t="s">
        <v>73</v>
      </c>
      <c r="I1065" s="18" t="str">
        <f t="shared" si="1"/>
        <v>Obesity</v>
      </c>
    </row>
    <row r="1066" ht="15.75" customHeight="1">
      <c r="A1066" s="18" t="s">
        <v>3390</v>
      </c>
      <c r="B1066" s="18">
        <v>39.6</v>
      </c>
      <c r="C1066" s="18">
        <v>4.44</v>
      </c>
      <c r="D1066" s="18" t="s">
        <v>80</v>
      </c>
      <c r="E1066" s="18" t="s">
        <v>73</v>
      </c>
      <c r="F1066" s="18" t="s">
        <v>184</v>
      </c>
      <c r="G1066" s="18">
        <v>1.0</v>
      </c>
      <c r="H1066" s="18" t="s">
        <v>73</v>
      </c>
      <c r="I1066" s="18" t="str">
        <f t="shared" si="1"/>
        <v>Obesity</v>
      </c>
    </row>
    <row r="1067" ht="15.75" customHeight="1">
      <c r="A1067" s="18" t="s">
        <v>3394</v>
      </c>
      <c r="B1067" s="18">
        <v>22.1</v>
      </c>
      <c r="C1067" s="18">
        <v>4.65</v>
      </c>
      <c r="D1067" s="18" t="s">
        <v>80</v>
      </c>
      <c r="E1067" s="18" t="s">
        <v>73</v>
      </c>
      <c r="F1067" s="18" t="s">
        <v>73</v>
      </c>
      <c r="G1067" s="18">
        <v>2.0</v>
      </c>
      <c r="H1067" s="18" t="s">
        <v>73</v>
      </c>
      <c r="I1067" s="18" t="str">
        <f t="shared" si="1"/>
        <v>Normal Weight</v>
      </c>
    </row>
    <row r="1068" ht="15.75" customHeight="1">
      <c r="A1068" s="18" t="s">
        <v>3397</v>
      </c>
      <c r="B1068" s="18">
        <v>33.25</v>
      </c>
      <c r="C1068" s="18">
        <v>5.64</v>
      </c>
      <c r="D1068" s="18" t="s">
        <v>80</v>
      </c>
      <c r="E1068" s="18" t="s">
        <v>73</v>
      </c>
      <c r="F1068" s="18" t="s">
        <v>184</v>
      </c>
      <c r="G1068" s="18">
        <v>1.0</v>
      </c>
      <c r="H1068" s="18" t="s">
        <v>73</v>
      </c>
      <c r="I1068" s="18" t="str">
        <f t="shared" si="1"/>
        <v>Obesity</v>
      </c>
    </row>
    <row r="1069" ht="15.75" customHeight="1">
      <c r="A1069" s="18" t="s">
        <v>3401</v>
      </c>
      <c r="B1069" s="18">
        <v>33.33</v>
      </c>
      <c r="C1069" s="18">
        <v>10.19</v>
      </c>
      <c r="D1069" s="18" t="s">
        <v>73</v>
      </c>
      <c r="E1069" s="18" t="s">
        <v>73</v>
      </c>
      <c r="F1069" s="18" t="s">
        <v>73</v>
      </c>
      <c r="G1069" s="20">
        <v>0.0</v>
      </c>
      <c r="H1069" s="18" t="s">
        <v>73</v>
      </c>
      <c r="I1069" s="18" t="str">
        <f t="shared" si="1"/>
        <v>Obesity</v>
      </c>
    </row>
    <row r="1070" ht="15.75" customHeight="1">
      <c r="A1070" s="18" t="s">
        <v>3404</v>
      </c>
      <c r="B1070" s="18">
        <v>30.5</v>
      </c>
      <c r="C1070" s="18">
        <v>10.79</v>
      </c>
      <c r="D1070" s="18" t="s">
        <v>73</v>
      </c>
      <c r="E1070" s="18" t="s">
        <v>73</v>
      </c>
      <c r="F1070" s="18" t="s">
        <v>73</v>
      </c>
      <c r="G1070" s="20">
        <v>0.0</v>
      </c>
      <c r="H1070" s="18" t="s">
        <v>73</v>
      </c>
      <c r="I1070" s="18" t="str">
        <f t="shared" si="1"/>
        <v>Obesity</v>
      </c>
    </row>
    <row r="1071" ht="15.75" customHeight="1">
      <c r="A1071" s="18" t="s">
        <v>3406</v>
      </c>
      <c r="B1071" s="18">
        <v>30.3</v>
      </c>
      <c r="C1071" s="18">
        <v>4.24</v>
      </c>
      <c r="D1071" s="18" t="s">
        <v>73</v>
      </c>
      <c r="E1071" s="18" t="s">
        <v>73</v>
      </c>
      <c r="F1071" s="18" t="s">
        <v>73</v>
      </c>
      <c r="G1071" s="20">
        <v>0.0</v>
      </c>
      <c r="H1071" s="18" t="s">
        <v>73</v>
      </c>
      <c r="I1071" s="18" t="str">
        <f t="shared" si="1"/>
        <v>Obesity</v>
      </c>
    </row>
    <row r="1072" ht="15.75" customHeight="1">
      <c r="A1072" s="18" t="s">
        <v>3410</v>
      </c>
      <c r="B1072" s="18">
        <v>26.22</v>
      </c>
      <c r="C1072" s="18">
        <v>5.83</v>
      </c>
      <c r="D1072" s="18" t="s">
        <v>73</v>
      </c>
      <c r="E1072" s="18" t="s">
        <v>73</v>
      </c>
      <c r="F1072" s="18" t="s">
        <v>73</v>
      </c>
      <c r="G1072" s="18">
        <v>2.0</v>
      </c>
      <c r="H1072" s="18" t="s">
        <v>73</v>
      </c>
      <c r="I1072" s="18" t="str">
        <f t="shared" si="1"/>
        <v>Overweight</v>
      </c>
    </row>
    <row r="1073" ht="15.75" customHeight="1">
      <c r="A1073" s="18" t="s">
        <v>3412</v>
      </c>
      <c r="B1073" s="18">
        <v>29.99</v>
      </c>
      <c r="C1073" s="18">
        <v>11.85</v>
      </c>
      <c r="D1073" s="18" t="s">
        <v>73</v>
      </c>
      <c r="E1073" s="18" t="s">
        <v>73</v>
      </c>
      <c r="F1073" s="18" t="s">
        <v>73</v>
      </c>
      <c r="G1073" s="20">
        <v>0.0</v>
      </c>
      <c r="H1073" s="18" t="s">
        <v>73</v>
      </c>
      <c r="I1073" s="18" t="str">
        <f t="shared" si="1"/>
        <v>Overweight</v>
      </c>
    </row>
    <row r="1074" ht="15.75" customHeight="1">
      <c r="A1074" s="18" t="s">
        <v>3416</v>
      </c>
      <c r="B1074" s="18">
        <v>36.38</v>
      </c>
      <c r="C1074" s="18">
        <v>5.98</v>
      </c>
      <c r="D1074" s="18" t="s">
        <v>73</v>
      </c>
      <c r="E1074" s="18" t="s">
        <v>73</v>
      </c>
      <c r="F1074" s="18" t="s">
        <v>73</v>
      </c>
      <c r="G1074" s="18">
        <v>1.0</v>
      </c>
      <c r="H1074" s="18" t="s">
        <v>73</v>
      </c>
      <c r="I1074" s="18" t="str">
        <f t="shared" si="1"/>
        <v>Obesity</v>
      </c>
    </row>
    <row r="1075" ht="15.75" customHeight="1">
      <c r="A1075" s="18" t="s">
        <v>3419</v>
      </c>
      <c r="B1075" s="18">
        <v>31.16</v>
      </c>
      <c r="C1075" s="18">
        <v>4.26</v>
      </c>
      <c r="D1075" s="18" t="s">
        <v>80</v>
      </c>
      <c r="E1075" s="18" t="s">
        <v>73</v>
      </c>
      <c r="F1075" s="18" t="s">
        <v>184</v>
      </c>
      <c r="G1075" s="18">
        <v>1.0</v>
      </c>
      <c r="H1075" s="18" t="s">
        <v>73</v>
      </c>
      <c r="I1075" s="18" t="str">
        <f t="shared" si="1"/>
        <v>Obesity</v>
      </c>
    </row>
    <row r="1076" ht="15.75" customHeight="1">
      <c r="A1076" s="18" t="s">
        <v>3422</v>
      </c>
      <c r="B1076" s="18">
        <v>25.55</v>
      </c>
      <c r="C1076" s="18">
        <v>4.96</v>
      </c>
      <c r="D1076" s="18" t="s">
        <v>80</v>
      </c>
      <c r="E1076" s="18" t="s">
        <v>73</v>
      </c>
      <c r="F1076" s="18" t="s">
        <v>73</v>
      </c>
      <c r="G1076" s="18">
        <v>1.0</v>
      </c>
      <c r="H1076" s="18" t="s">
        <v>73</v>
      </c>
      <c r="I1076" s="18" t="str">
        <f t="shared" si="1"/>
        <v>Overweight</v>
      </c>
    </row>
    <row r="1077" ht="15.75" customHeight="1">
      <c r="A1077" s="18" t="s">
        <v>3425</v>
      </c>
      <c r="B1077" s="18">
        <v>28.77</v>
      </c>
      <c r="C1077" s="18">
        <v>4.0</v>
      </c>
      <c r="D1077" s="18" t="s">
        <v>80</v>
      </c>
      <c r="E1077" s="18" t="s">
        <v>73</v>
      </c>
      <c r="F1077" s="18" t="s">
        <v>73</v>
      </c>
      <c r="G1077" s="20">
        <v>0.0</v>
      </c>
      <c r="H1077" s="18" t="s">
        <v>73</v>
      </c>
      <c r="I1077" s="18" t="str">
        <f t="shared" si="1"/>
        <v>Overweight</v>
      </c>
    </row>
    <row r="1078" ht="15.75" customHeight="1">
      <c r="A1078" s="18" t="s">
        <v>3427</v>
      </c>
      <c r="B1078" s="18">
        <v>23.14</v>
      </c>
      <c r="C1078" s="18">
        <v>4.15</v>
      </c>
      <c r="D1078" s="18" t="s">
        <v>80</v>
      </c>
      <c r="E1078" s="18" t="s">
        <v>73</v>
      </c>
      <c r="F1078" s="18" t="s">
        <v>73</v>
      </c>
      <c r="G1078" s="18">
        <v>1.0</v>
      </c>
      <c r="H1078" s="18" t="s">
        <v>73</v>
      </c>
      <c r="I1078" s="18" t="str">
        <f t="shared" si="1"/>
        <v>Normal Weight</v>
      </c>
    </row>
    <row r="1079" ht="15.75" customHeight="1">
      <c r="A1079" s="18" t="s">
        <v>3431</v>
      </c>
      <c r="B1079" s="18">
        <v>39.6</v>
      </c>
      <c r="C1079" s="18">
        <v>11.36</v>
      </c>
      <c r="D1079" s="18" t="s">
        <v>73</v>
      </c>
      <c r="E1079" s="18" t="s">
        <v>73</v>
      </c>
      <c r="F1079" s="18" t="s">
        <v>73</v>
      </c>
      <c r="G1079" s="20">
        <v>0.0</v>
      </c>
      <c r="H1079" s="18" t="s">
        <v>73</v>
      </c>
      <c r="I1079" s="18" t="str">
        <f t="shared" si="1"/>
        <v>Obesity</v>
      </c>
    </row>
    <row r="1080" ht="15.75" customHeight="1">
      <c r="A1080" s="18" t="s">
        <v>3434</v>
      </c>
      <c r="B1080" s="18">
        <v>29.2</v>
      </c>
      <c r="C1080" s="18">
        <v>7.53</v>
      </c>
      <c r="D1080" s="18" t="s">
        <v>73</v>
      </c>
      <c r="E1080" s="18" t="s">
        <v>73</v>
      </c>
      <c r="F1080" s="18" t="s">
        <v>73</v>
      </c>
      <c r="G1080" s="20">
        <v>0.0</v>
      </c>
      <c r="H1080" s="18" t="s">
        <v>73</v>
      </c>
      <c r="I1080" s="18" t="str">
        <f t="shared" si="1"/>
        <v>Overweight</v>
      </c>
    </row>
    <row r="1081" ht="15.75" customHeight="1">
      <c r="A1081" s="18" t="s">
        <v>3437</v>
      </c>
      <c r="B1081" s="18">
        <v>32.775</v>
      </c>
      <c r="C1081" s="18">
        <v>7.95</v>
      </c>
      <c r="D1081" s="18" t="s">
        <v>73</v>
      </c>
      <c r="E1081" s="18" t="s">
        <v>73</v>
      </c>
      <c r="F1081" s="18" t="s">
        <v>73</v>
      </c>
      <c r="G1081" s="20">
        <v>0.0</v>
      </c>
      <c r="H1081" s="18" t="s">
        <v>73</v>
      </c>
      <c r="I1081" s="18" t="str">
        <f t="shared" si="1"/>
        <v>Obesity</v>
      </c>
    </row>
    <row r="1082" ht="15.75" customHeight="1">
      <c r="A1082" s="18" t="s">
        <v>3440</v>
      </c>
      <c r="B1082" s="18">
        <v>24.035</v>
      </c>
      <c r="C1082" s="18">
        <v>8.5</v>
      </c>
      <c r="D1082" s="18" t="s">
        <v>73</v>
      </c>
      <c r="E1082" s="18" t="s">
        <v>73</v>
      </c>
      <c r="F1082" s="18" t="s">
        <v>73</v>
      </c>
      <c r="G1082" s="20">
        <v>0.0</v>
      </c>
      <c r="H1082" s="18" t="s">
        <v>73</v>
      </c>
      <c r="I1082" s="18" t="str">
        <f t="shared" si="1"/>
        <v>Normal Weight</v>
      </c>
    </row>
    <row r="1083" ht="15.75" customHeight="1">
      <c r="A1083" s="18" t="s">
        <v>3447</v>
      </c>
      <c r="B1083" s="18">
        <v>30.55</v>
      </c>
      <c r="C1083" s="18">
        <v>5.89</v>
      </c>
      <c r="D1083" s="18" t="s">
        <v>73</v>
      </c>
      <c r="E1083" s="18" t="s">
        <v>73</v>
      </c>
      <c r="F1083" s="18" t="s">
        <v>184</v>
      </c>
      <c r="G1083" s="18">
        <v>1.0</v>
      </c>
      <c r="H1083" s="18" t="s">
        <v>73</v>
      </c>
      <c r="I1083" s="18" t="str">
        <f t="shared" si="1"/>
        <v>Obesity</v>
      </c>
    </row>
    <row r="1084" ht="15.75" customHeight="1">
      <c r="A1084" s="18" t="s">
        <v>3450</v>
      </c>
      <c r="B1084" s="18">
        <v>28.81</v>
      </c>
      <c r="C1084" s="18">
        <v>8.76</v>
      </c>
      <c r="D1084" s="18" t="s">
        <v>73</v>
      </c>
      <c r="E1084" s="18" t="s">
        <v>73</v>
      </c>
      <c r="F1084" s="18" t="s">
        <v>73</v>
      </c>
      <c r="G1084" s="18">
        <v>2.0</v>
      </c>
      <c r="H1084" s="18" t="s">
        <v>73</v>
      </c>
      <c r="I1084" s="18" t="str">
        <f t="shared" si="1"/>
        <v>Overweight</v>
      </c>
    </row>
    <row r="1085" ht="15.75" customHeight="1">
      <c r="A1085" s="18" t="s">
        <v>3454</v>
      </c>
      <c r="B1085" s="18">
        <v>31.66</v>
      </c>
      <c r="C1085" s="18">
        <v>4.11</v>
      </c>
      <c r="D1085" s="18" t="s">
        <v>73</v>
      </c>
      <c r="E1085" s="18" t="s">
        <v>73</v>
      </c>
      <c r="F1085" s="18" t="s">
        <v>73</v>
      </c>
      <c r="G1085" s="20">
        <v>0.0</v>
      </c>
      <c r="H1085" s="18" t="s">
        <v>73</v>
      </c>
      <c r="I1085" s="18" t="str">
        <f t="shared" si="1"/>
        <v>Obesity</v>
      </c>
    </row>
    <row r="1086" ht="15.75" customHeight="1">
      <c r="A1086" s="18" t="s">
        <v>3457</v>
      </c>
      <c r="B1086" s="18">
        <v>28.215</v>
      </c>
      <c r="C1086" s="18">
        <v>7.56</v>
      </c>
      <c r="D1086" s="18" t="s">
        <v>80</v>
      </c>
      <c r="E1086" s="18" t="s">
        <v>73</v>
      </c>
      <c r="F1086" s="18" t="s">
        <v>73</v>
      </c>
      <c r="G1086" s="18">
        <v>1.0</v>
      </c>
      <c r="H1086" s="18" t="s">
        <v>73</v>
      </c>
      <c r="I1086" s="18" t="str">
        <f t="shared" si="1"/>
        <v>Overweight</v>
      </c>
    </row>
    <row r="1087" ht="15.75" customHeight="1">
      <c r="A1087" s="18" t="s">
        <v>3459</v>
      </c>
      <c r="B1087" s="18">
        <v>26.12</v>
      </c>
      <c r="C1087" s="18">
        <v>4.17</v>
      </c>
      <c r="D1087" s="18" t="s">
        <v>80</v>
      </c>
      <c r="E1087" s="18" t="s">
        <v>73</v>
      </c>
      <c r="F1087" s="18" t="s">
        <v>184</v>
      </c>
      <c r="G1087" s="18">
        <v>1.0</v>
      </c>
      <c r="H1087" s="18" t="s">
        <v>73</v>
      </c>
      <c r="I1087" s="18" t="str">
        <f t="shared" si="1"/>
        <v>Overweight</v>
      </c>
    </row>
    <row r="1088" ht="15.75" customHeight="1">
      <c r="A1088" s="18" t="s">
        <v>3462</v>
      </c>
      <c r="B1088" s="18">
        <v>36.63</v>
      </c>
      <c r="C1088" s="18">
        <v>11.42</v>
      </c>
      <c r="D1088" s="18" t="s">
        <v>73</v>
      </c>
      <c r="E1088" s="18" t="s">
        <v>73</v>
      </c>
      <c r="F1088" s="18" t="s">
        <v>73</v>
      </c>
      <c r="G1088" s="18">
        <v>2.0</v>
      </c>
      <c r="H1088" s="18" t="s">
        <v>73</v>
      </c>
      <c r="I1088" s="18" t="str">
        <f t="shared" si="1"/>
        <v>Obesity</v>
      </c>
    </row>
    <row r="1089" ht="15.75" customHeight="1">
      <c r="A1089" s="18" t="s">
        <v>3465</v>
      </c>
      <c r="B1089" s="18">
        <v>33.345</v>
      </c>
      <c r="C1089" s="18">
        <v>7.33</v>
      </c>
      <c r="D1089" s="18" t="s">
        <v>73</v>
      </c>
      <c r="E1089" s="18" t="s">
        <v>73</v>
      </c>
      <c r="F1089" s="18" t="s">
        <v>73</v>
      </c>
      <c r="G1089" s="18">
        <v>2.0</v>
      </c>
      <c r="H1089" s="18" t="s">
        <v>73</v>
      </c>
      <c r="I1089" s="18" t="str">
        <f t="shared" si="1"/>
        <v>Obesity</v>
      </c>
    </row>
    <row r="1090" ht="15.75" customHeight="1">
      <c r="A1090" s="18" t="s">
        <v>3469</v>
      </c>
      <c r="B1090" s="18">
        <v>27.11</v>
      </c>
      <c r="C1090" s="18">
        <v>6.7</v>
      </c>
      <c r="D1090" s="18" t="s">
        <v>73</v>
      </c>
      <c r="E1090" s="18" t="s">
        <v>73</v>
      </c>
      <c r="F1090" s="18" t="s">
        <v>73</v>
      </c>
      <c r="G1090" s="20">
        <v>0.0</v>
      </c>
      <c r="H1090" s="18" t="s">
        <v>73</v>
      </c>
      <c r="I1090" s="18" t="str">
        <f t="shared" si="1"/>
        <v>Overweight</v>
      </c>
    </row>
    <row r="1091" ht="15.75" customHeight="1">
      <c r="A1091" s="18" t="s">
        <v>3472</v>
      </c>
      <c r="B1091" s="18">
        <v>26.6</v>
      </c>
      <c r="C1091" s="18">
        <v>5.27</v>
      </c>
      <c r="D1091" s="18" t="s">
        <v>80</v>
      </c>
      <c r="E1091" s="18" t="s">
        <v>73</v>
      </c>
      <c r="F1091" s="18" t="s">
        <v>184</v>
      </c>
      <c r="G1091" s="18">
        <v>1.0</v>
      </c>
      <c r="H1091" s="18" t="s">
        <v>73</v>
      </c>
      <c r="I1091" s="18" t="str">
        <f t="shared" si="1"/>
        <v>Overweight</v>
      </c>
    </row>
    <row r="1092" ht="15.75" customHeight="1">
      <c r="A1092" s="18" t="s">
        <v>3475</v>
      </c>
      <c r="B1092" s="18">
        <v>30.41</v>
      </c>
      <c r="C1092" s="18">
        <v>7.72</v>
      </c>
      <c r="D1092" s="18" t="s">
        <v>73</v>
      </c>
      <c r="E1092" s="18" t="s">
        <v>73</v>
      </c>
      <c r="F1092" s="18" t="s">
        <v>73</v>
      </c>
      <c r="G1092" s="20">
        <v>0.0</v>
      </c>
      <c r="H1092" s="18" t="s">
        <v>73</v>
      </c>
      <c r="I1092" s="18" t="str">
        <f t="shared" si="1"/>
        <v>Obesity</v>
      </c>
    </row>
    <row r="1093" ht="15.75" customHeight="1">
      <c r="A1093" s="18" t="s">
        <v>3478</v>
      </c>
      <c r="B1093" s="18">
        <v>28.98</v>
      </c>
      <c r="C1093" s="18">
        <v>8.68</v>
      </c>
      <c r="D1093" s="18" t="s">
        <v>73</v>
      </c>
      <c r="E1093" s="18" t="s">
        <v>73</v>
      </c>
      <c r="F1093" s="18" t="s">
        <v>73</v>
      </c>
      <c r="G1093" s="18">
        <v>2.0</v>
      </c>
      <c r="H1093" s="18" t="s">
        <v>73</v>
      </c>
      <c r="I1093" s="18" t="str">
        <f t="shared" si="1"/>
        <v>Overweight</v>
      </c>
    </row>
    <row r="1094" ht="15.75" customHeight="1">
      <c r="A1094" s="18" t="s">
        <v>3481</v>
      </c>
      <c r="B1094" s="18">
        <v>31.24</v>
      </c>
      <c r="C1094" s="18">
        <v>9.8</v>
      </c>
      <c r="D1094" s="18" t="s">
        <v>73</v>
      </c>
      <c r="E1094" s="18" t="s">
        <v>73</v>
      </c>
      <c r="F1094" s="18" t="s">
        <v>73</v>
      </c>
      <c r="G1094" s="20">
        <v>0.0</v>
      </c>
      <c r="H1094" s="18" t="s">
        <v>73</v>
      </c>
      <c r="I1094" s="18" t="str">
        <f t="shared" si="1"/>
        <v>Obesity</v>
      </c>
    </row>
    <row r="1095" ht="15.75" customHeight="1">
      <c r="A1095" s="18" t="s">
        <v>3484</v>
      </c>
      <c r="B1095" s="18">
        <v>31.54</v>
      </c>
      <c r="C1095" s="18">
        <v>4.44</v>
      </c>
      <c r="D1095" s="18" t="s">
        <v>73</v>
      </c>
      <c r="E1095" s="18" t="s">
        <v>73</v>
      </c>
      <c r="F1095" s="18" t="s">
        <v>73</v>
      </c>
      <c r="G1095" s="20">
        <v>0.0</v>
      </c>
      <c r="H1095" s="18" t="s">
        <v>73</v>
      </c>
      <c r="I1095" s="18" t="str">
        <f t="shared" si="1"/>
        <v>Obesity</v>
      </c>
    </row>
    <row r="1096" ht="15.75" customHeight="1">
      <c r="A1096" s="18" t="s">
        <v>3485</v>
      </c>
      <c r="B1096" s="18">
        <v>38.6</v>
      </c>
      <c r="C1096" s="18">
        <v>7.19</v>
      </c>
      <c r="D1096" s="18" t="s">
        <v>80</v>
      </c>
      <c r="E1096" s="18" t="s">
        <v>73</v>
      </c>
      <c r="F1096" s="18" t="s">
        <v>73</v>
      </c>
      <c r="G1096" s="18">
        <v>2.0</v>
      </c>
      <c r="H1096" s="18" t="s">
        <v>73</v>
      </c>
      <c r="I1096" s="18" t="str">
        <f t="shared" si="1"/>
        <v>Obesity</v>
      </c>
    </row>
    <row r="1097" ht="15.75" customHeight="1">
      <c r="A1097" s="18" t="s">
        <v>3488</v>
      </c>
      <c r="B1097" s="18">
        <v>37.95</v>
      </c>
      <c r="C1097" s="18">
        <v>6.06</v>
      </c>
      <c r="D1097" s="18" t="s">
        <v>73</v>
      </c>
      <c r="E1097" s="18" t="s">
        <v>73</v>
      </c>
      <c r="F1097" s="18" t="s">
        <v>73</v>
      </c>
      <c r="G1097" s="20">
        <v>0.0</v>
      </c>
      <c r="H1097" s="18" t="s">
        <v>73</v>
      </c>
      <c r="I1097" s="18" t="str">
        <f t="shared" si="1"/>
        <v>Obesity</v>
      </c>
    </row>
    <row r="1098" ht="15.75" customHeight="1">
      <c r="A1098" s="18" t="s">
        <v>3491</v>
      </c>
      <c r="B1098" s="18">
        <v>38.97</v>
      </c>
      <c r="C1098" s="18">
        <v>5.12</v>
      </c>
      <c r="D1098" s="18" t="s">
        <v>73</v>
      </c>
      <c r="E1098" s="18" t="s">
        <v>73</v>
      </c>
      <c r="F1098" s="18" t="s">
        <v>73</v>
      </c>
      <c r="G1098" s="20">
        <v>0.0</v>
      </c>
      <c r="H1098" s="18" t="s">
        <v>73</v>
      </c>
      <c r="I1098" s="18" t="str">
        <f t="shared" si="1"/>
        <v>Obesity</v>
      </c>
    </row>
    <row r="1099" ht="15.75" customHeight="1">
      <c r="A1099" s="18" t="s">
        <v>3494</v>
      </c>
      <c r="B1099" s="18">
        <v>21.2</v>
      </c>
      <c r="C1099" s="18">
        <v>10.72</v>
      </c>
      <c r="D1099" s="18" t="s">
        <v>73</v>
      </c>
      <c r="E1099" s="18" t="s">
        <v>73</v>
      </c>
      <c r="F1099" s="18" t="s">
        <v>73</v>
      </c>
      <c r="G1099" s="20">
        <v>0.0</v>
      </c>
      <c r="H1099" s="18" t="s">
        <v>73</v>
      </c>
      <c r="I1099" s="18" t="str">
        <f t="shared" si="1"/>
        <v>Normal Weight</v>
      </c>
    </row>
    <row r="1100" ht="15.75" customHeight="1">
      <c r="A1100" s="18" t="s">
        <v>3497</v>
      </c>
      <c r="B1100" s="18">
        <v>23.96</v>
      </c>
      <c r="C1100" s="18">
        <v>9.58</v>
      </c>
      <c r="D1100" s="18" t="s">
        <v>80</v>
      </c>
      <c r="E1100" s="18" t="s">
        <v>73</v>
      </c>
      <c r="F1100" s="18" t="s">
        <v>184</v>
      </c>
      <c r="G1100" s="18">
        <v>1.0</v>
      </c>
      <c r="H1100" s="18" t="s">
        <v>73</v>
      </c>
      <c r="I1100" s="18" t="str">
        <f t="shared" si="1"/>
        <v>Normal Weight</v>
      </c>
    </row>
    <row r="1101" ht="15.75" customHeight="1">
      <c r="A1101" s="18" t="s">
        <v>3499</v>
      </c>
      <c r="B1101" s="18">
        <v>35.93</v>
      </c>
      <c r="C1101" s="18">
        <v>6.4</v>
      </c>
      <c r="D1101" s="18" t="s">
        <v>80</v>
      </c>
      <c r="E1101" s="18" t="s">
        <v>73</v>
      </c>
      <c r="F1101" s="18" t="s">
        <v>73</v>
      </c>
      <c r="G1101" s="18">
        <v>1.0</v>
      </c>
      <c r="H1101" s="18" t="s">
        <v>73</v>
      </c>
      <c r="I1101" s="18" t="str">
        <f t="shared" si="1"/>
        <v>Obesity</v>
      </c>
    </row>
    <row r="1102" ht="15.75" customHeight="1">
      <c r="A1102" s="18" t="s">
        <v>3502</v>
      </c>
      <c r="B1102" s="18">
        <v>26.11</v>
      </c>
      <c r="C1102" s="18">
        <v>6.8</v>
      </c>
      <c r="D1102" s="18" t="s">
        <v>80</v>
      </c>
      <c r="E1102" s="18" t="s">
        <v>73</v>
      </c>
      <c r="F1102" s="18" t="s">
        <v>73</v>
      </c>
      <c r="G1102" s="18">
        <v>2.0</v>
      </c>
      <c r="H1102" s="18" t="s">
        <v>73</v>
      </c>
      <c r="I1102" s="18" t="str">
        <f t="shared" si="1"/>
        <v>Overweight</v>
      </c>
    </row>
    <row r="1103" ht="15.75" customHeight="1">
      <c r="A1103" s="18" t="s">
        <v>3505</v>
      </c>
      <c r="B1103" s="18">
        <v>32.3</v>
      </c>
      <c r="C1103" s="18">
        <v>9.48</v>
      </c>
      <c r="D1103" s="18" t="s">
        <v>73</v>
      </c>
      <c r="E1103" s="18" t="s">
        <v>73</v>
      </c>
      <c r="F1103" s="18" t="s">
        <v>73</v>
      </c>
      <c r="G1103" s="18">
        <v>2.0</v>
      </c>
      <c r="H1103" s="18" t="s">
        <v>73</v>
      </c>
      <c r="I1103" s="18" t="str">
        <f t="shared" si="1"/>
        <v>Obesity</v>
      </c>
    </row>
    <row r="1104" ht="15.75" customHeight="1">
      <c r="A1104" s="18" t="s">
        <v>3506</v>
      </c>
      <c r="B1104" s="18">
        <v>28.69</v>
      </c>
      <c r="C1104" s="18">
        <v>7.45</v>
      </c>
      <c r="D1104" s="18" t="s">
        <v>73</v>
      </c>
      <c r="E1104" s="18" t="s">
        <v>73</v>
      </c>
      <c r="F1104" s="18" t="s">
        <v>73</v>
      </c>
      <c r="G1104" s="18">
        <v>2.0</v>
      </c>
      <c r="H1104" s="18" t="s">
        <v>73</v>
      </c>
      <c r="I1104" s="18" t="str">
        <f t="shared" si="1"/>
        <v>Overweight</v>
      </c>
    </row>
    <row r="1105" ht="15.75" customHeight="1">
      <c r="A1105" s="18" t="s">
        <v>3509</v>
      </c>
      <c r="B1105" s="18">
        <v>31.28</v>
      </c>
      <c r="C1105" s="18">
        <v>6.94</v>
      </c>
      <c r="D1105" s="18" t="s">
        <v>80</v>
      </c>
      <c r="E1105" s="18" t="s">
        <v>73</v>
      </c>
      <c r="F1105" s="18" t="s">
        <v>73</v>
      </c>
      <c r="G1105" s="18">
        <v>1.0</v>
      </c>
      <c r="H1105" s="18" t="s">
        <v>73</v>
      </c>
      <c r="I1105" s="18" t="str">
        <f t="shared" si="1"/>
        <v>Obesity</v>
      </c>
    </row>
    <row r="1106" ht="15.75" customHeight="1">
      <c r="A1106" s="18" t="s">
        <v>3513</v>
      </c>
      <c r="B1106" s="18">
        <v>30.21</v>
      </c>
      <c r="C1106" s="18">
        <v>7.83</v>
      </c>
      <c r="D1106" s="18" t="s">
        <v>73</v>
      </c>
      <c r="E1106" s="18" t="s">
        <v>73</v>
      </c>
      <c r="F1106" s="18" t="s">
        <v>73</v>
      </c>
      <c r="G1106" s="20">
        <v>0.0</v>
      </c>
      <c r="H1106" s="18" t="s">
        <v>73</v>
      </c>
      <c r="I1106" s="18" t="str">
        <f t="shared" si="1"/>
        <v>Obesity</v>
      </c>
    </row>
    <row r="1107" ht="15.75" customHeight="1">
      <c r="A1107" s="18" t="s">
        <v>3517</v>
      </c>
      <c r="B1107" s="18">
        <v>38.28</v>
      </c>
      <c r="C1107" s="18">
        <v>10.17</v>
      </c>
      <c r="D1107" s="18" t="s">
        <v>80</v>
      </c>
      <c r="E1107" s="18" t="s">
        <v>73</v>
      </c>
      <c r="F1107" s="18" t="s">
        <v>73</v>
      </c>
      <c r="G1107" s="20">
        <v>0.0</v>
      </c>
      <c r="H1107" s="18" t="s">
        <v>73</v>
      </c>
      <c r="I1107" s="18" t="str">
        <f t="shared" si="1"/>
        <v>Obesity</v>
      </c>
    </row>
    <row r="1108" ht="15.75" customHeight="1">
      <c r="A1108" s="18" t="s">
        <v>3518</v>
      </c>
      <c r="B1108" s="18">
        <v>29.9</v>
      </c>
      <c r="C1108" s="18">
        <v>8.96</v>
      </c>
      <c r="D1108" s="18" t="s">
        <v>80</v>
      </c>
      <c r="E1108" s="18" t="s">
        <v>73</v>
      </c>
      <c r="F1108" s="18" t="s">
        <v>73</v>
      </c>
      <c r="G1108" s="20">
        <v>0.0</v>
      </c>
      <c r="H1108" s="18" t="s">
        <v>73</v>
      </c>
      <c r="I1108" s="18" t="str">
        <f t="shared" si="1"/>
        <v>Overweight</v>
      </c>
    </row>
    <row r="1109" ht="15.75" customHeight="1">
      <c r="A1109" s="18" t="s">
        <v>3521</v>
      </c>
      <c r="B1109" s="18">
        <v>23.18</v>
      </c>
      <c r="C1109" s="18">
        <v>6.96</v>
      </c>
      <c r="D1109" s="18" t="s">
        <v>80</v>
      </c>
      <c r="E1109" s="18" t="s">
        <v>73</v>
      </c>
      <c r="F1109" s="18" t="s">
        <v>73</v>
      </c>
      <c r="G1109" s="18">
        <v>2.0</v>
      </c>
      <c r="H1109" s="18" t="s">
        <v>73</v>
      </c>
      <c r="I1109" s="18" t="str">
        <f t="shared" si="1"/>
        <v>Normal Weight</v>
      </c>
    </row>
    <row r="1110" ht="15.75" customHeight="1">
      <c r="A1110" s="18" t="s">
        <v>3524</v>
      </c>
      <c r="B1110" s="18">
        <v>33.02</v>
      </c>
      <c r="C1110" s="18">
        <v>5.07</v>
      </c>
      <c r="D1110" s="18" t="s">
        <v>80</v>
      </c>
      <c r="E1110" s="18" t="s">
        <v>73</v>
      </c>
      <c r="F1110" s="18" t="s">
        <v>73</v>
      </c>
      <c r="G1110" s="20">
        <v>0.0</v>
      </c>
      <c r="H1110" s="18" t="s">
        <v>73</v>
      </c>
      <c r="I1110" s="18" t="str">
        <f t="shared" si="1"/>
        <v>Obesity</v>
      </c>
    </row>
    <row r="1111" ht="15.75" customHeight="1">
      <c r="A1111" s="18" t="s">
        <v>3528</v>
      </c>
      <c r="B1111" s="18">
        <v>27.29</v>
      </c>
      <c r="C1111" s="18">
        <v>5.85</v>
      </c>
      <c r="D1111" s="18" t="s">
        <v>73</v>
      </c>
      <c r="E1111" s="18" t="s">
        <v>73</v>
      </c>
      <c r="F1111" s="18" t="s">
        <v>73</v>
      </c>
      <c r="G1111" s="18">
        <v>2.0</v>
      </c>
      <c r="H1111" s="18" t="s">
        <v>73</v>
      </c>
      <c r="I1111" s="18" t="str">
        <f t="shared" si="1"/>
        <v>Overweight</v>
      </c>
    </row>
    <row r="1112" ht="15.75" customHeight="1">
      <c r="A1112" s="18" t="s">
        <v>3531</v>
      </c>
      <c r="B1112" s="18">
        <v>23.18</v>
      </c>
      <c r="C1112" s="18">
        <v>10.56</v>
      </c>
      <c r="D1112" s="18" t="s">
        <v>73</v>
      </c>
      <c r="E1112" s="18" t="s">
        <v>73</v>
      </c>
      <c r="F1112" s="18" t="s">
        <v>73</v>
      </c>
      <c r="G1112" s="18">
        <v>2.0</v>
      </c>
      <c r="H1112" s="18" t="s">
        <v>73</v>
      </c>
      <c r="I1112" s="18" t="str">
        <f t="shared" si="1"/>
        <v>Normal Weight</v>
      </c>
    </row>
    <row r="1113" ht="15.75" customHeight="1">
      <c r="A1113" s="18" t="s">
        <v>3533</v>
      </c>
      <c r="B1113" s="18">
        <v>32.66</v>
      </c>
      <c r="C1113" s="18">
        <v>8.92</v>
      </c>
      <c r="D1113" s="18" t="s">
        <v>80</v>
      </c>
      <c r="E1113" s="18" t="s">
        <v>73</v>
      </c>
      <c r="F1113" s="18" t="s">
        <v>73</v>
      </c>
      <c r="G1113" s="20">
        <v>0.0</v>
      </c>
      <c r="H1113" s="18" t="s">
        <v>73</v>
      </c>
      <c r="I1113" s="18" t="str">
        <f t="shared" si="1"/>
        <v>Obesity</v>
      </c>
    </row>
    <row r="1114" ht="15.75" customHeight="1">
      <c r="A1114" s="18" t="s">
        <v>3536</v>
      </c>
      <c r="B1114" s="18">
        <v>30.78</v>
      </c>
      <c r="C1114" s="18">
        <v>8.63</v>
      </c>
      <c r="D1114" s="18" t="s">
        <v>73</v>
      </c>
      <c r="E1114" s="18" t="s">
        <v>73</v>
      </c>
      <c r="F1114" s="18" t="s">
        <v>73</v>
      </c>
      <c r="G1114" s="20">
        <v>0.0</v>
      </c>
      <c r="H1114" s="18" t="s">
        <v>73</v>
      </c>
      <c r="I1114" s="18" t="str">
        <f t="shared" si="1"/>
        <v>Obesity</v>
      </c>
    </row>
    <row r="1115" ht="15.75" customHeight="1">
      <c r="A1115" s="18" t="s">
        <v>3539</v>
      </c>
      <c r="B1115" s="18">
        <v>47.2</v>
      </c>
      <c r="C1115" s="18">
        <v>6.29</v>
      </c>
      <c r="D1115" s="18" t="s">
        <v>80</v>
      </c>
      <c r="E1115" s="18" t="s">
        <v>73</v>
      </c>
      <c r="F1115" s="18" t="s">
        <v>184</v>
      </c>
      <c r="G1115" s="18">
        <v>1.0</v>
      </c>
      <c r="H1115" s="18" t="s">
        <v>73</v>
      </c>
      <c r="I1115" s="18" t="str">
        <f t="shared" si="1"/>
        <v>Obesity</v>
      </c>
    </row>
    <row r="1116" ht="15.75" customHeight="1">
      <c r="A1116" s="18" t="s">
        <v>3542</v>
      </c>
      <c r="B1116" s="18">
        <v>31.6</v>
      </c>
      <c r="C1116" s="18">
        <v>5.75</v>
      </c>
      <c r="D1116" s="18" t="s">
        <v>73</v>
      </c>
      <c r="E1116" s="18" t="s">
        <v>73</v>
      </c>
      <c r="F1116" s="18" t="s">
        <v>73</v>
      </c>
      <c r="G1116" s="18">
        <v>2.0</v>
      </c>
      <c r="H1116" s="18" t="s">
        <v>73</v>
      </c>
      <c r="I1116" s="18" t="str">
        <f t="shared" si="1"/>
        <v>Obesity</v>
      </c>
    </row>
    <row r="1117" ht="15.75" customHeight="1">
      <c r="A1117" s="18" t="s">
        <v>3546</v>
      </c>
      <c r="B1117" s="18">
        <v>33.915</v>
      </c>
      <c r="C1117" s="18">
        <v>6.66</v>
      </c>
      <c r="D1117" s="18" t="s">
        <v>80</v>
      </c>
      <c r="E1117" s="18" t="s">
        <v>73</v>
      </c>
      <c r="F1117" s="18" t="s">
        <v>73</v>
      </c>
      <c r="G1117" s="18">
        <v>1.0</v>
      </c>
      <c r="H1117" s="18" t="s">
        <v>73</v>
      </c>
      <c r="I1117" s="18" t="str">
        <f t="shared" si="1"/>
        <v>Obesity</v>
      </c>
    </row>
    <row r="1118" ht="15.75" customHeight="1">
      <c r="A1118" s="18" t="s">
        <v>3550</v>
      </c>
      <c r="B1118" s="18">
        <v>23.54</v>
      </c>
      <c r="C1118" s="18">
        <v>5.1</v>
      </c>
      <c r="D1118" s="18" t="s">
        <v>73</v>
      </c>
      <c r="E1118" s="18" t="s">
        <v>73</v>
      </c>
      <c r="F1118" s="18" t="s">
        <v>73</v>
      </c>
      <c r="G1118" s="18">
        <v>2.0</v>
      </c>
      <c r="H1118" s="18" t="s">
        <v>73</v>
      </c>
      <c r="I1118" s="18" t="str">
        <f t="shared" si="1"/>
        <v>Normal Weight</v>
      </c>
    </row>
    <row r="1119" ht="15.75" customHeight="1">
      <c r="A1119" s="18" t="s">
        <v>3554</v>
      </c>
      <c r="B1119" s="18">
        <v>27.075</v>
      </c>
      <c r="C1119" s="18">
        <v>4.41</v>
      </c>
      <c r="D1119" s="18" t="s">
        <v>73</v>
      </c>
      <c r="E1119" s="18" t="s">
        <v>73</v>
      </c>
      <c r="F1119" s="18" t="s">
        <v>73</v>
      </c>
      <c r="G1119" s="18">
        <v>2.0</v>
      </c>
      <c r="H1119" s="18" t="s">
        <v>73</v>
      </c>
      <c r="I1119" s="18" t="str">
        <f t="shared" si="1"/>
        <v>Overweight</v>
      </c>
    </row>
    <row r="1120" ht="15.75" customHeight="1">
      <c r="A1120" s="18" t="s">
        <v>3557</v>
      </c>
      <c r="B1120" s="18">
        <v>25.8</v>
      </c>
      <c r="C1120" s="18">
        <v>5.52</v>
      </c>
      <c r="D1120" s="18" t="s">
        <v>80</v>
      </c>
      <c r="E1120" s="18" t="s">
        <v>73</v>
      </c>
      <c r="F1120" s="18" t="s">
        <v>73</v>
      </c>
      <c r="G1120" s="20">
        <v>0.0</v>
      </c>
      <c r="H1120" s="18" t="s">
        <v>73</v>
      </c>
      <c r="I1120" s="18" t="str">
        <f t="shared" si="1"/>
        <v>Overweight</v>
      </c>
    </row>
    <row r="1121" ht="15.75" customHeight="1">
      <c r="A1121" s="18" t="s">
        <v>3562</v>
      </c>
      <c r="B1121" s="18">
        <v>36.1</v>
      </c>
      <c r="C1121" s="18">
        <v>4.62</v>
      </c>
      <c r="D1121" s="18" t="s">
        <v>80</v>
      </c>
      <c r="E1121" s="18" t="s">
        <v>73</v>
      </c>
      <c r="F1121" s="18" t="s">
        <v>184</v>
      </c>
      <c r="G1121" s="18">
        <v>1.0</v>
      </c>
      <c r="H1121" s="18" t="s">
        <v>73</v>
      </c>
      <c r="I1121" s="18" t="str">
        <f t="shared" si="1"/>
        <v>Obesity</v>
      </c>
    </row>
    <row r="1122" ht="15.75" customHeight="1">
      <c r="A1122" s="18" t="s">
        <v>3565</v>
      </c>
      <c r="B1122" s="18">
        <v>30.495</v>
      </c>
      <c r="C1122" s="18">
        <v>5.74</v>
      </c>
      <c r="D1122" s="18" t="s">
        <v>80</v>
      </c>
      <c r="E1122" s="18" t="s">
        <v>73</v>
      </c>
      <c r="F1122" s="18" t="s">
        <v>184</v>
      </c>
      <c r="G1122" s="18">
        <v>1.0</v>
      </c>
      <c r="H1122" s="18" t="s">
        <v>73</v>
      </c>
      <c r="I1122" s="18" t="str">
        <f t="shared" si="1"/>
        <v>Obesity</v>
      </c>
    </row>
    <row r="1123" ht="15.75" customHeight="1">
      <c r="A1123" s="18" t="s">
        <v>3569</v>
      </c>
      <c r="B1123" s="18">
        <v>21.4</v>
      </c>
      <c r="C1123" s="18">
        <v>6.3</v>
      </c>
      <c r="D1123" s="18" t="s">
        <v>80</v>
      </c>
      <c r="E1123" s="18" t="s">
        <v>73</v>
      </c>
      <c r="F1123" s="18" t="s">
        <v>184</v>
      </c>
      <c r="G1123" s="18">
        <v>1.0</v>
      </c>
      <c r="H1123" s="18" t="s">
        <v>73</v>
      </c>
      <c r="I1123" s="18" t="str">
        <f t="shared" si="1"/>
        <v>Normal Weight</v>
      </c>
    </row>
    <row r="1124" ht="15.75" customHeight="1">
      <c r="A1124" s="18" t="s">
        <v>3572</v>
      </c>
      <c r="B1124" s="18">
        <v>32.3</v>
      </c>
      <c r="C1124" s="18">
        <v>10.27</v>
      </c>
      <c r="D1124" s="18" t="s">
        <v>73</v>
      </c>
      <c r="E1124" s="18" t="s">
        <v>73</v>
      </c>
      <c r="F1124" s="18" t="s">
        <v>73</v>
      </c>
      <c r="G1124" s="20">
        <v>0.0</v>
      </c>
      <c r="H1124" s="18" t="s">
        <v>73</v>
      </c>
      <c r="I1124" s="18" t="str">
        <f t="shared" si="1"/>
        <v>Obesity</v>
      </c>
    </row>
    <row r="1125" ht="15.75" customHeight="1">
      <c r="A1125" s="18" t="s">
        <v>3576</v>
      </c>
      <c r="B1125" s="18">
        <v>29.78</v>
      </c>
      <c r="C1125" s="18">
        <v>5.85</v>
      </c>
      <c r="D1125" s="18" t="s">
        <v>73</v>
      </c>
      <c r="E1125" s="18" t="s">
        <v>73</v>
      </c>
      <c r="F1125" s="18" t="s">
        <v>184</v>
      </c>
      <c r="G1125" s="18">
        <v>1.0</v>
      </c>
      <c r="H1125" s="18" t="s">
        <v>73</v>
      </c>
      <c r="I1125" s="18" t="str">
        <f t="shared" si="1"/>
        <v>Overweight</v>
      </c>
    </row>
    <row r="1126" ht="15.75" customHeight="1">
      <c r="A1126" s="18" t="s">
        <v>3579</v>
      </c>
      <c r="B1126" s="18">
        <v>34.76</v>
      </c>
      <c r="C1126" s="18">
        <v>5.92</v>
      </c>
      <c r="D1126" s="18" t="s">
        <v>80</v>
      </c>
      <c r="E1126" s="18" t="s">
        <v>73</v>
      </c>
      <c r="F1126" s="18" t="s">
        <v>73</v>
      </c>
      <c r="G1126" s="18">
        <v>1.0</v>
      </c>
      <c r="H1126" s="18" t="s">
        <v>73</v>
      </c>
      <c r="I1126" s="18" t="str">
        <f t="shared" si="1"/>
        <v>Obesity</v>
      </c>
    </row>
    <row r="1127" ht="15.75" customHeight="1">
      <c r="A1127" s="18" t="s">
        <v>3583</v>
      </c>
      <c r="B1127" s="18">
        <v>18.335</v>
      </c>
      <c r="C1127" s="18">
        <v>10.01</v>
      </c>
      <c r="D1127" s="18" t="s">
        <v>80</v>
      </c>
      <c r="E1127" s="18" t="s">
        <v>73</v>
      </c>
      <c r="F1127" s="18" t="s">
        <v>73</v>
      </c>
      <c r="G1127" s="18">
        <v>2.0</v>
      </c>
      <c r="H1127" s="18" t="s">
        <v>73</v>
      </c>
      <c r="I1127" s="18" t="str">
        <f t="shared" si="1"/>
        <v>Underweight</v>
      </c>
    </row>
    <row r="1128" ht="15.75" customHeight="1">
      <c r="A1128" s="18" t="s">
        <v>3586</v>
      </c>
      <c r="B1128" s="18">
        <v>32.3</v>
      </c>
      <c r="C1128" s="18">
        <v>9.59</v>
      </c>
      <c r="D1128" s="18" t="s">
        <v>73</v>
      </c>
      <c r="E1128" s="18" t="s">
        <v>73</v>
      </c>
      <c r="F1128" s="18" t="s">
        <v>73</v>
      </c>
      <c r="G1128" s="20">
        <v>0.0</v>
      </c>
      <c r="H1128" s="18" t="s">
        <v>73</v>
      </c>
      <c r="I1128" s="18" t="str">
        <f t="shared" si="1"/>
        <v>Obesity</v>
      </c>
    </row>
    <row r="1129" ht="15.75" customHeight="1">
      <c r="A1129" s="18" t="s">
        <v>3589</v>
      </c>
      <c r="B1129" s="18">
        <v>27.74</v>
      </c>
      <c r="C1129" s="18">
        <v>10.37</v>
      </c>
      <c r="D1129" s="18" t="s">
        <v>73</v>
      </c>
      <c r="E1129" s="18" t="s">
        <v>73</v>
      </c>
      <c r="F1129" s="18" t="s">
        <v>73</v>
      </c>
      <c r="G1129" s="20">
        <v>0.0</v>
      </c>
      <c r="H1129" s="18" t="s">
        <v>73</v>
      </c>
      <c r="I1129" s="18" t="str">
        <f t="shared" si="1"/>
        <v>Overweight</v>
      </c>
    </row>
    <row r="1130" ht="15.75" customHeight="1">
      <c r="A1130" s="18" t="s">
        <v>3592</v>
      </c>
      <c r="B1130" s="18">
        <v>24.0</v>
      </c>
      <c r="C1130" s="18">
        <v>4.01</v>
      </c>
      <c r="D1130" s="18" t="s">
        <v>80</v>
      </c>
      <c r="E1130" s="18" t="s">
        <v>73</v>
      </c>
      <c r="F1130" s="18" t="s">
        <v>73</v>
      </c>
      <c r="G1130" s="18">
        <v>1.0</v>
      </c>
      <c r="H1130" s="18" t="s">
        <v>73</v>
      </c>
      <c r="I1130" s="18" t="str">
        <f t="shared" si="1"/>
        <v>Normal Weight</v>
      </c>
    </row>
    <row r="1131" ht="15.75" customHeight="1">
      <c r="A1131" s="18" t="s">
        <v>3596</v>
      </c>
      <c r="B1131" s="18">
        <v>31.78</v>
      </c>
      <c r="C1131" s="18">
        <v>4.24</v>
      </c>
      <c r="D1131" s="18" t="s">
        <v>80</v>
      </c>
      <c r="E1131" s="18" t="s">
        <v>73</v>
      </c>
      <c r="F1131" s="18" t="s">
        <v>184</v>
      </c>
      <c r="G1131" s="18">
        <v>1.0</v>
      </c>
      <c r="H1131" s="18" t="s">
        <v>73</v>
      </c>
      <c r="I1131" s="18" t="str">
        <f t="shared" si="1"/>
        <v>Obesity</v>
      </c>
    </row>
    <row r="1132" ht="15.75" customHeight="1">
      <c r="A1132" s="18" t="s">
        <v>3599</v>
      </c>
      <c r="B1132" s="18">
        <v>32.25</v>
      </c>
      <c r="C1132" s="18">
        <v>5.36</v>
      </c>
      <c r="D1132" s="18" t="s">
        <v>80</v>
      </c>
      <c r="E1132" s="18" t="s">
        <v>73</v>
      </c>
      <c r="F1132" s="18" t="s">
        <v>73</v>
      </c>
      <c r="G1132" s="20">
        <v>0.0</v>
      </c>
      <c r="H1132" s="18" t="s">
        <v>73</v>
      </c>
      <c r="I1132" s="18" t="str">
        <f t="shared" si="1"/>
        <v>Obesity</v>
      </c>
    </row>
    <row r="1133" ht="15.75" customHeight="1">
      <c r="A1133" s="18" t="s">
        <v>3602</v>
      </c>
      <c r="B1133" s="18">
        <v>30.115</v>
      </c>
      <c r="C1133" s="18">
        <v>4.99</v>
      </c>
      <c r="D1133" s="18" t="s">
        <v>73</v>
      </c>
      <c r="E1133" s="18" t="s">
        <v>73</v>
      </c>
      <c r="F1133" s="18" t="s">
        <v>73</v>
      </c>
      <c r="G1133" s="18">
        <v>2.0</v>
      </c>
      <c r="H1133" s="18" t="s">
        <v>73</v>
      </c>
      <c r="I1133" s="18" t="str">
        <f t="shared" si="1"/>
        <v>Obesity</v>
      </c>
    </row>
    <row r="1134" ht="15.75" customHeight="1">
      <c r="A1134" s="18" t="s">
        <v>3606</v>
      </c>
      <c r="B1134" s="18">
        <v>22.41</v>
      </c>
      <c r="C1134" s="18">
        <v>8.68</v>
      </c>
      <c r="D1134" s="18" t="s">
        <v>73</v>
      </c>
      <c r="E1134" s="18" t="s">
        <v>73</v>
      </c>
      <c r="F1134" s="18" t="s">
        <v>73</v>
      </c>
      <c r="G1134" s="20">
        <v>0.0</v>
      </c>
      <c r="H1134" s="18" t="s">
        <v>73</v>
      </c>
      <c r="I1134" s="18" t="str">
        <f t="shared" si="1"/>
        <v>Normal Weight</v>
      </c>
    </row>
    <row r="1135" ht="15.75" customHeight="1">
      <c r="A1135" s="18" t="s">
        <v>3610</v>
      </c>
      <c r="B1135" s="18">
        <v>45.72</v>
      </c>
      <c r="C1135" s="18">
        <v>4.23</v>
      </c>
      <c r="D1135" s="18" t="s">
        <v>80</v>
      </c>
      <c r="E1135" s="18" t="s">
        <v>73</v>
      </c>
      <c r="F1135" s="18" t="s">
        <v>73</v>
      </c>
      <c r="G1135" s="20">
        <v>0.0</v>
      </c>
      <c r="H1135" s="18" t="s">
        <v>73</v>
      </c>
      <c r="I1135" s="18" t="str">
        <f t="shared" si="1"/>
        <v>Obesity</v>
      </c>
    </row>
    <row r="1136" ht="15.75" customHeight="1">
      <c r="A1136" s="18" t="s">
        <v>3612</v>
      </c>
      <c r="B1136" s="18">
        <v>25.0</v>
      </c>
      <c r="C1136" s="18">
        <v>5.32</v>
      </c>
      <c r="D1136" s="18" t="s">
        <v>80</v>
      </c>
      <c r="E1136" s="18" t="s">
        <v>73</v>
      </c>
      <c r="F1136" s="18" t="s">
        <v>73</v>
      </c>
      <c r="G1136" s="18">
        <v>2.0</v>
      </c>
      <c r="H1136" s="18" t="s">
        <v>73</v>
      </c>
      <c r="I1136" s="18" t="str">
        <f t="shared" si="1"/>
        <v>Overweight</v>
      </c>
    </row>
    <row r="1137" ht="15.75" customHeight="1">
      <c r="A1137" s="18" t="s">
        <v>3615</v>
      </c>
      <c r="B1137" s="18">
        <v>39.5</v>
      </c>
      <c r="C1137" s="18">
        <v>6.66</v>
      </c>
      <c r="D1137" s="18" t="s">
        <v>73</v>
      </c>
      <c r="E1137" s="18" t="s">
        <v>73</v>
      </c>
      <c r="F1137" s="18" t="s">
        <v>73</v>
      </c>
      <c r="G1137" s="20">
        <v>0.0</v>
      </c>
      <c r="H1137" s="18" t="s">
        <v>73</v>
      </c>
      <c r="I1137" s="18" t="str">
        <f t="shared" si="1"/>
        <v>Obesity</v>
      </c>
    </row>
    <row r="1138" ht="15.75" customHeight="1">
      <c r="A1138" s="18" t="s">
        <v>3619</v>
      </c>
      <c r="B1138" s="18">
        <v>37.73</v>
      </c>
      <c r="C1138" s="18">
        <v>7.4</v>
      </c>
      <c r="D1138" s="18" t="s">
        <v>73</v>
      </c>
      <c r="E1138" s="18" t="s">
        <v>73</v>
      </c>
      <c r="F1138" s="18" t="s">
        <v>73</v>
      </c>
      <c r="G1138" s="20">
        <v>0.0</v>
      </c>
      <c r="H1138" s="18" t="s">
        <v>73</v>
      </c>
      <c r="I1138" s="18" t="str">
        <f t="shared" si="1"/>
        <v>Obesity</v>
      </c>
    </row>
    <row r="1139" ht="15.75" customHeight="1">
      <c r="A1139" s="18" t="s">
        <v>3623</v>
      </c>
      <c r="B1139" s="18">
        <v>40.66</v>
      </c>
      <c r="C1139" s="18">
        <v>10.08</v>
      </c>
      <c r="D1139" s="18" t="s">
        <v>73</v>
      </c>
      <c r="E1139" s="18" t="s">
        <v>73</v>
      </c>
      <c r="F1139" s="18" t="s">
        <v>73</v>
      </c>
      <c r="G1139" s="20">
        <v>0.0</v>
      </c>
      <c r="H1139" s="18" t="s">
        <v>73</v>
      </c>
      <c r="I1139" s="18" t="str">
        <f t="shared" si="1"/>
        <v>Obesity</v>
      </c>
    </row>
    <row r="1140" ht="15.75" customHeight="1">
      <c r="A1140" s="18" t="s">
        <v>3626</v>
      </c>
      <c r="B1140" s="18">
        <v>34.2</v>
      </c>
      <c r="C1140" s="18">
        <v>8.58</v>
      </c>
      <c r="D1140" s="18" t="s">
        <v>73</v>
      </c>
      <c r="E1140" s="18" t="s">
        <v>73</v>
      </c>
      <c r="F1140" s="18" t="s">
        <v>73</v>
      </c>
      <c r="G1140" s="20">
        <v>0.0</v>
      </c>
      <c r="H1140" s="18" t="s">
        <v>73</v>
      </c>
      <c r="I1140" s="18" t="str">
        <f t="shared" si="1"/>
        <v>Obesity</v>
      </c>
    </row>
    <row r="1141" ht="15.75" customHeight="1">
      <c r="A1141" s="18" t="s">
        <v>3629</v>
      </c>
      <c r="B1141" s="18">
        <v>46.51</v>
      </c>
      <c r="C1141" s="18">
        <v>5.84</v>
      </c>
      <c r="D1141" s="18" t="s">
        <v>73</v>
      </c>
      <c r="E1141" s="18" t="s">
        <v>73</v>
      </c>
      <c r="F1141" s="18" t="s">
        <v>73</v>
      </c>
      <c r="G1141" s="18">
        <v>1.0</v>
      </c>
      <c r="H1141" s="18" t="s">
        <v>73</v>
      </c>
      <c r="I1141" s="18" t="str">
        <f t="shared" si="1"/>
        <v>Obesity</v>
      </c>
    </row>
    <row r="1142" ht="15.75" customHeight="1">
      <c r="A1142" s="18" t="s">
        <v>3632</v>
      </c>
      <c r="B1142" s="18">
        <v>28.88</v>
      </c>
      <c r="C1142" s="18">
        <v>4.86</v>
      </c>
      <c r="D1142" s="18" t="s">
        <v>80</v>
      </c>
      <c r="E1142" s="18" t="s">
        <v>73</v>
      </c>
      <c r="F1142" s="18" t="s">
        <v>184</v>
      </c>
      <c r="G1142" s="18">
        <v>1.0</v>
      </c>
      <c r="H1142" s="18" t="s">
        <v>73</v>
      </c>
      <c r="I1142" s="18" t="str">
        <f t="shared" si="1"/>
        <v>Overweight</v>
      </c>
    </row>
    <row r="1143" ht="15.75" customHeight="1">
      <c r="A1143" s="18" t="s">
        <v>3633</v>
      </c>
      <c r="B1143" s="18">
        <v>33.915</v>
      </c>
      <c r="C1143" s="18">
        <v>11.52</v>
      </c>
      <c r="D1143" s="18" t="s">
        <v>73</v>
      </c>
      <c r="E1143" s="18" t="s">
        <v>73</v>
      </c>
      <c r="F1143" s="18" t="s">
        <v>73</v>
      </c>
      <c r="G1143" s="20">
        <v>0.0</v>
      </c>
      <c r="H1143" s="18" t="s">
        <v>73</v>
      </c>
      <c r="I1143" s="18" t="str">
        <f t="shared" si="1"/>
        <v>Obesity</v>
      </c>
    </row>
    <row r="1144" ht="15.75" customHeight="1">
      <c r="A1144" s="18" t="s">
        <v>3636</v>
      </c>
      <c r="B1144" s="18">
        <v>24.32</v>
      </c>
      <c r="C1144" s="18">
        <v>6.15</v>
      </c>
      <c r="D1144" s="18" t="s">
        <v>80</v>
      </c>
      <c r="E1144" s="18" t="s">
        <v>73</v>
      </c>
      <c r="F1144" s="18" t="s">
        <v>184</v>
      </c>
      <c r="G1144" s="18">
        <v>1.0</v>
      </c>
      <c r="H1144" s="18" t="s">
        <v>73</v>
      </c>
      <c r="I1144" s="18" t="str">
        <f t="shared" si="1"/>
        <v>Normal Weight</v>
      </c>
    </row>
    <row r="1145" ht="15.75" customHeight="1">
      <c r="A1145" s="18" t="s">
        <v>3639</v>
      </c>
      <c r="B1145" s="18">
        <v>25.8</v>
      </c>
      <c r="C1145" s="18">
        <v>9.94</v>
      </c>
      <c r="D1145" s="18" t="s">
        <v>73</v>
      </c>
      <c r="E1145" s="18" t="s">
        <v>73</v>
      </c>
      <c r="F1145" s="18" t="s">
        <v>73</v>
      </c>
      <c r="G1145" s="20">
        <v>0.0</v>
      </c>
      <c r="H1145" s="18" t="s">
        <v>73</v>
      </c>
      <c r="I1145" s="18" t="str">
        <f t="shared" si="1"/>
        <v>Overweight</v>
      </c>
    </row>
    <row r="1146" ht="15.75" customHeight="1">
      <c r="A1146" s="18" t="s">
        <v>3642</v>
      </c>
      <c r="B1146" s="18">
        <v>21.56</v>
      </c>
      <c r="C1146" s="18">
        <v>10.56</v>
      </c>
      <c r="D1146" s="18" t="s">
        <v>73</v>
      </c>
      <c r="E1146" s="18" t="s">
        <v>73</v>
      </c>
      <c r="F1146" s="18" t="s">
        <v>73</v>
      </c>
      <c r="G1146" s="20">
        <v>0.0</v>
      </c>
      <c r="H1146" s="18" t="s">
        <v>73</v>
      </c>
      <c r="I1146" s="18" t="str">
        <f t="shared" si="1"/>
        <v>Normal Weight</v>
      </c>
    </row>
    <row r="1147" ht="15.75" customHeight="1">
      <c r="A1147" s="18" t="s">
        <v>3645</v>
      </c>
      <c r="B1147" s="18">
        <v>31.6</v>
      </c>
      <c r="C1147" s="18">
        <v>6.79</v>
      </c>
      <c r="D1147" s="18" t="s">
        <v>73</v>
      </c>
      <c r="E1147" s="18" t="s">
        <v>73</v>
      </c>
      <c r="F1147" s="18" t="s">
        <v>73</v>
      </c>
      <c r="G1147" s="20">
        <v>0.0</v>
      </c>
      <c r="H1147" s="18" t="s">
        <v>73</v>
      </c>
      <c r="I1147" s="18" t="str">
        <f t="shared" si="1"/>
        <v>Obesity</v>
      </c>
    </row>
    <row r="1148" ht="15.75" customHeight="1">
      <c r="A1148" s="18" t="s">
        <v>3648</v>
      </c>
      <c r="B1148" s="18">
        <v>42.93</v>
      </c>
      <c r="C1148" s="18">
        <v>4.8</v>
      </c>
      <c r="D1148" s="18" t="s">
        <v>73</v>
      </c>
      <c r="E1148" s="18" t="s">
        <v>73</v>
      </c>
      <c r="F1148" s="18" t="s">
        <v>73</v>
      </c>
      <c r="G1148" s="18">
        <v>1.0</v>
      </c>
      <c r="H1148" s="18" t="s">
        <v>73</v>
      </c>
      <c r="I1148" s="18" t="str">
        <f t="shared" si="1"/>
        <v>Obesity</v>
      </c>
    </row>
    <row r="1149" ht="15.75" customHeight="1">
      <c r="A1149" s="18" t="s">
        <v>3652</v>
      </c>
      <c r="B1149" s="18">
        <v>26.72</v>
      </c>
      <c r="C1149" s="18">
        <v>5.75</v>
      </c>
      <c r="D1149" s="18" t="s">
        <v>73</v>
      </c>
      <c r="E1149" s="18" t="s">
        <v>73</v>
      </c>
      <c r="F1149" s="18" t="s">
        <v>73</v>
      </c>
      <c r="G1149" s="18">
        <v>2.0</v>
      </c>
      <c r="H1149" s="18" t="s">
        <v>73</v>
      </c>
      <c r="I1149" s="18" t="str">
        <f t="shared" si="1"/>
        <v>Overweight</v>
      </c>
    </row>
    <row r="1150" ht="15.75" customHeight="1">
      <c r="A1150" s="18" t="s">
        <v>3654</v>
      </c>
      <c r="B1150" s="18">
        <v>26.67</v>
      </c>
      <c r="C1150" s="18">
        <v>5.81</v>
      </c>
      <c r="D1150" s="18" t="s">
        <v>73</v>
      </c>
      <c r="E1150" s="18" t="s">
        <v>73</v>
      </c>
      <c r="F1150" s="18" t="s">
        <v>73</v>
      </c>
      <c r="G1150" s="18">
        <v>2.0</v>
      </c>
      <c r="H1150" s="18" t="s">
        <v>73</v>
      </c>
      <c r="I1150" s="18" t="str">
        <f t="shared" si="1"/>
        <v>Overweight</v>
      </c>
    </row>
    <row r="1151" ht="15.75" customHeight="1">
      <c r="A1151" s="18" t="s">
        <v>3657</v>
      </c>
      <c r="B1151" s="18">
        <v>42.68</v>
      </c>
      <c r="C1151" s="18">
        <v>9.28</v>
      </c>
      <c r="D1151" s="18" t="s">
        <v>73</v>
      </c>
      <c r="E1151" s="18" t="s">
        <v>73</v>
      </c>
      <c r="F1151" s="18" t="s">
        <v>73</v>
      </c>
      <c r="G1151" s="18">
        <v>2.0</v>
      </c>
      <c r="H1151" s="18" t="s">
        <v>73</v>
      </c>
      <c r="I1151" s="18" t="str">
        <f t="shared" si="1"/>
        <v>Obesity</v>
      </c>
    </row>
    <row r="1152" ht="15.75" customHeight="1">
      <c r="A1152" s="18" t="s">
        <v>3660</v>
      </c>
      <c r="B1152" s="18">
        <v>24.31</v>
      </c>
      <c r="C1152" s="18">
        <v>6.37</v>
      </c>
      <c r="D1152" s="18" t="s">
        <v>73</v>
      </c>
      <c r="E1152" s="18" t="s">
        <v>73</v>
      </c>
      <c r="F1152" s="18" t="s">
        <v>73</v>
      </c>
      <c r="G1152" s="20">
        <v>0.0</v>
      </c>
      <c r="H1152" s="18" t="s">
        <v>73</v>
      </c>
      <c r="I1152" s="18" t="str">
        <f t="shared" si="1"/>
        <v>Normal Weight</v>
      </c>
    </row>
    <row r="1153" ht="15.75" customHeight="1">
      <c r="A1153" s="18" t="s">
        <v>3663</v>
      </c>
      <c r="B1153" s="18">
        <v>44.75</v>
      </c>
      <c r="C1153" s="18">
        <v>5.09</v>
      </c>
      <c r="D1153" s="18" t="s">
        <v>80</v>
      </c>
      <c r="E1153" s="18" t="s">
        <v>73</v>
      </c>
      <c r="F1153" s="18" t="s">
        <v>73</v>
      </c>
      <c r="G1153" s="20">
        <v>0.0</v>
      </c>
      <c r="H1153" s="18" t="s">
        <v>73</v>
      </c>
      <c r="I1153" s="18" t="str">
        <f t="shared" si="1"/>
        <v>Obesity</v>
      </c>
    </row>
    <row r="1154" ht="15.75" customHeight="1">
      <c r="A1154" s="18" t="s">
        <v>3666</v>
      </c>
      <c r="B1154" s="18">
        <v>30.78</v>
      </c>
      <c r="C1154" s="18">
        <v>7.94</v>
      </c>
      <c r="D1154" s="18" t="s">
        <v>73</v>
      </c>
      <c r="E1154" s="18" t="s">
        <v>73</v>
      </c>
      <c r="F1154" s="18" t="s">
        <v>73</v>
      </c>
      <c r="G1154" s="18">
        <v>2.0</v>
      </c>
      <c r="H1154" s="18" t="s">
        <v>73</v>
      </c>
      <c r="I1154" s="18" t="str">
        <f t="shared" si="1"/>
        <v>Obesity</v>
      </c>
    </row>
    <row r="1155" ht="15.75" customHeight="1">
      <c r="A1155" s="18" t="s">
        <v>3669</v>
      </c>
      <c r="B1155" s="18">
        <v>21.86</v>
      </c>
      <c r="C1155" s="18">
        <v>10.95</v>
      </c>
      <c r="D1155" s="18" t="s">
        <v>73</v>
      </c>
      <c r="E1155" s="18" t="s">
        <v>73</v>
      </c>
      <c r="F1155" s="18" t="s">
        <v>73</v>
      </c>
      <c r="G1155" s="20">
        <v>0.0</v>
      </c>
      <c r="H1155" s="18" t="s">
        <v>73</v>
      </c>
      <c r="I1155" s="18" t="str">
        <f t="shared" si="1"/>
        <v>Normal Weight</v>
      </c>
    </row>
    <row r="1156" ht="15.75" customHeight="1">
      <c r="A1156" s="18" t="s">
        <v>3672</v>
      </c>
      <c r="B1156" s="18">
        <v>49.09</v>
      </c>
      <c r="C1156" s="18">
        <v>6.3</v>
      </c>
      <c r="D1156" s="18" t="s">
        <v>80</v>
      </c>
      <c r="E1156" s="18" t="s">
        <v>73</v>
      </c>
      <c r="F1156" s="18" t="s">
        <v>73</v>
      </c>
      <c r="G1156" s="20">
        <v>0.0</v>
      </c>
      <c r="H1156" s="18" t="s">
        <v>73</v>
      </c>
      <c r="I1156" s="18" t="str">
        <f t="shared" si="1"/>
        <v>Obesity</v>
      </c>
    </row>
    <row r="1157" ht="15.75" customHeight="1">
      <c r="A1157" s="18" t="s">
        <v>3676</v>
      </c>
      <c r="B1157" s="18">
        <v>47.74</v>
      </c>
      <c r="C1157" s="18">
        <v>8.05</v>
      </c>
      <c r="D1157" s="18" t="s">
        <v>80</v>
      </c>
      <c r="E1157" s="18" t="s">
        <v>73</v>
      </c>
      <c r="F1157" s="18" t="s">
        <v>73</v>
      </c>
      <c r="G1157" s="18">
        <v>2.0</v>
      </c>
      <c r="H1157" s="18" t="s">
        <v>73</v>
      </c>
      <c r="I1157" s="18" t="str">
        <f t="shared" si="1"/>
        <v>Obesity</v>
      </c>
    </row>
    <row r="1158" ht="15.75" customHeight="1">
      <c r="A1158" s="18" t="s">
        <v>3679</v>
      </c>
      <c r="B1158" s="18">
        <v>30.2</v>
      </c>
      <c r="C1158" s="18">
        <v>9.88</v>
      </c>
      <c r="D1158" s="18" t="s">
        <v>80</v>
      </c>
      <c r="E1158" s="18" t="s">
        <v>73</v>
      </c>
      <c r="F1158" s="18" t="s">
        <v>73</v>
      </c>
      <c r="G1158" s="18">
        <v>2.0</v>
      </c>
      <c r="H1158" s="18" t="s">
        <v>73</v>
      </c>
      <c r="I1158" s="18" t="str">
        <f t="shared" si="1"/>
        <v>Obesity</v>
      </c>
    </row>
    <row r="1159" ht="15.75" customHeight="1">
      <c r="A1159" s="18" t="s">
        <v>3683</v>
      </c>
      <c r="B1159" s="18">
        <v>33.25</v>
      </c>
      <c r="C1159" s="18">
        <v>7.42</v>
      </c>
      <c r="D1159" s="18" t="s">
        <v>80</v>
      </c>
      <c r="E1159" s="18" t="s">
        <v>73</v>
      </c>
      <c r="F1159" s="18" t="s">
        <v>73</v>
      </c>
      <c r="G1159" s="18">
        <v>2.0</v>
      </c>
      <c r="H1159" s="18" t="s">
        <v>73</v>
      </c>
      <c r="I1159" s="18" t="str">
        <f t="shared" si="1"/>
        <v>Obesity</v>
      </c>
    </row>
    <row r="1160" ht="15.75" customHeight="1">
      <c r="A1160" s="18" t="s">
        <v>3687</v>
      </c>
      <c r="B1160" s="18">
        <v>26.6</v>
      </c>
      <c r="C1160" s="18">
        <v>8.45</v>
      </c>
      <c r="D1160" s="18" t="s">
        <v>80</v>
      </c>
      <c r="E1160" s="18" t="s">
        <v>73</v>
      </c>
      <c r="F1160" s="18" t="s">
        <v>73</v>
      </c>
      <c r="G1160" s="18">
        <v>1.0</v>
      </c>
      <c r="H1160" s="18" t="s">
        <v>73</v>
      </c>
      <c r="I1160" s="18" t="str">
        <f t="shared" si="1"/>
        <v>Overweight</v>
      </c>
    </row>
    <row r="1161" ht="15.75" customHeight="1">
      <c r="A1161" s="18" t="s">
        <v>3691</v>
      </c>
      <c r="B1161" s="18">
        <v>26.35</v>
      </c>
      <c r="C1161" s="18">
        <v>6.21</v>
      </c>
      <c r="D1161" s="18" t="s">
        <v>73</v>
      </c>
      <c r="E1161" s="18" t="s">
        <v>73</v>
      </c>
      <c r="F1161" s="18" t="s">
        <v>73</v>
      </c>
      <c r="G1161" s="18">
        <v>2.0</v>
      </c>
      <c r="H1161" s="18" t="s">
        <v>73</v>
      </c>
      <c r="I1161" s="18" t="str">
        <f t="shared" si="1"/>
        <v>Overweight</v>
      </c>
    </row>
    <row r="1162" ht="15.75" customHeight="1">
      <c r="A1162" s="18" t="s">
        <v>3695</v>
      </c>
      <c r="B1162" s="18">
        <v>39.995</v>
      </c>
      <c r="C1162" s="18">
        <v>4.65</v>
      </c>
      <c r="D1162" s="18" t="s">
        <v>73</v>
      </c>
      <c r="E1162" s="18" t="s">
        <v>73</v>
      </c>
      <c r="F1162" s="18" t="s">
        <v>73</v>
      </c>
      <c r="G1162" s="20">
        <v>0.0</v>
      </c>
      <c r="H1162" s="18" t="s">
        <v>73</v>
      </c>
      <c r="I1162" s="18" t="str">
        <f t="shared" si="1"/>
        <v>Obesity</v>
      </c>
    </row>
    <row r="1163" ht="15.75" customHeight="1">
      <c r="A1163" s="18" t="s">
        <v>3698</v>
      </c>
      <c r="B1163" s="18">
        <v>22.92</v>
      </c>
      <c r="C1163" s="18">
        <v>5.87</v>
      </c>
      <c r="D1163" s="18" t="s">
        <v>80</v>
      </c>
      <c r="E1163" s="18" t="s">
        <v>73</v>
      </c>
      <c r="F1163" s="18" t="s">
        <v>73</v>
      </c>
      <c r="G1163" s="18">
        <v>1.0</v>
      </c>
      <c r="H1163" s="18" t="s">
        <v>73</v>
      </c>
      <c r="I1163" s="18" t="str">
        <f t="shared" si="1"/>
        <v>Normal Weight</v>
      </c>
    </row>
    <row r="1164" ht="15.75" customHeight="1">
      <c r="A1164" s="18" t="s">
        <v>3702</v>
      </c>
      <c r="B1164" s="18">
        <v>24.78</v>
      </c>
      <c r="C1164" s="18">
        <v>4.24</v>
      </c>
      <c r="D1164" s="18" t="s">
        <v>80</v>
      </c>
      <c r="E1164" s="18" t="s">
        <v>73</v>
      </c>
      <c r="F1164" s="18" t="s">
        <v>73</v>
      </c>
      <c r="G1164" s="18">
        <v>2.0</v>
      </c>
      <c r="H1164" s="18" t="s">
        <v>73</v>
      </c>
      <c r="I1164" s="18" t="str">
        <f t="shared" si="1"/>
        <v>Normal Weight</v>
      </c>
    </row>
    <row r="1165" ht="15.75" customHeight="1">
      <c r="A1165" s="18" t="s">
        <v>3706</v>
      </c>
      <c r="B1165" s="18">
        <v>34.07</v>
      </c>
      <c r="C1165" s="18">
        <v>7.81</v>
      </c>
      <c r="D1165" s="18" t="s">
        <v>80</v>
      </c>
      <c r="E1165" s="18" t="s">
        <v>73</v>
      </c>
      <c r="F1165" s="18" t="s">
        <v>73</v>
      </c>
      <c r="G1165" s="20">
        <v>0.0</v>
      </c>
      <c r="H1165" s="18" t="s">
        <v>73</v>
      </c>
      <c r="I1165" s="18" t="str">
        <f t="shared" si="1"/>
        <v>Obesity</v>
      </c>
    </row>
    <row r="1166" ht="15.75" customHeight="1">
      <c r="A1166" s="18" t="s">
        <v>3710</v>
      </c>
      <c r="B1166" s="18">
        <v>30.14</v>
      </c>
      <c r="C1166" s="18">
        <v>9.85</v>
      </c>
      <c r="D1166" s="18" t="s">
        <v>73</v>
      </c>
      <c r="E1166" s="18" t="s">
        <v>73</v>
      </c>
      <c r="F1166" s="18" t="s">
        <v>73</v>
      </c>
      <c r="G1166" s="20">
        <v>0.0</v>
      </c>
      <c r="H1166" s="18" t="s">
        <v>73</v>
      </c>
      <c r="I1166" s="18" t="str">
        <f t="shared" si="1"/>
        <v>Obesity</v>
      </c>
    </row>
    <row r="1167" ht="15.75" customHeight="1">
      <c r="A1167" s="18" t="s">
        <v>3716</v>
      </c>
      <c r="B1167" s="18">
        <v>18.05</v>
      </c>
      <c r="C1167" s="18">
        <v>6.94</v>
      </c>
      <c r="D1167" s="18" t="s">
        <v>73</v>
      </c>
      <c r="E1167" s="18" t="s">
        <v>73</v>
      </c>
      <c r="F1167" s="18" t="s">
        <v>73</v>
      </c>
      <c r="G1167" s="20">
        <v>0.0</v>
      </c>
      <c r="H1167" s="18" t="s">
        <v>73</v>
      </c>
      <c r="I1167" s="18" t="str">
        <f t="shared" si="1"/>
        <v>Underweight</v>
      </c>
    </row>
    <row r="1168" ht="15.75" customHeight="1">
      <c r="A1168" s="18" t="s">
        <v>3718</v>
      </c>
      <c r="B1168" s="18">
        <v>37.4</v>
      </c>
      <c r="C1168" s="18">
        <v>11.3</v>
      </c>
      <c r="D1168" s="18" t="s">
        <v>80</v>
      </c>
      <c r="E1168" s="18" t="s">
        <v>73</v>
      </c>
      <c r="F1168" s="18" t="s">
        <v>73</v>
      </c>
      <c r="G1168" s="18">
        <v>2.0</v>
      </c>
      <c r="H1168" s="18" t="s">
        <v>73</v>
      </c>
      <c r="I1168" s="18" t="str">
        <f t="shared" si="1"/>
        <v>Obesity</v>
      </c>
    </row>
    <row r="1169" ht="15.75" customHeight="1">
      <c r="A1169" s="18" t="s">
        <v>3721</v>
      </c>
      <c r="B1169" s="18">
        <v>25.75</v>
      </c>
      <c r="C1169" s="18">
        <v>9.23</v>
      </c>
      <c r="D1169" s="18" t="s">
        <v>73</v>
      </c>
      <c r="E1169" s="18" t="s">
        <v>73</v>
      </c>
      <c r="F1169" s="18" t="s">
        <v>73</v>
      </c>
      <c r="G1169" s="20">
        <v>0.0</v>
      </c>
      <c r="H1169" s="18" t="s">
        <v>73</v>
      </c>
      <c r="I1169" s="18" t="str">
        <f t="shared" si="1"/>
        <v>Overweight</v>
      </c>
    </row>
    <row r="1170" ht="15.75" customHeight="1">
      <c r="A1170" s="18" t="s">
        <v>3725</v>
      </c>
      <c r="B1170" s="18">
        <v>32.3</v>
      </c>
      <c r="C1170" s="18">
        <v>4.37</v>
      </c>
      <c r="D1170" s="18" t="s">
        <v>73</v>
      </c>
      <c r="E1170" s="18" t="s">
        <v>73</v>
      </c>
      <c r="F1170" s="18" t="s">
        <v>73</v>
      </c>
      <c r="G1170" s="18">
        <v>2.0</v>
      </c>
      <c r="H1170" s="18" t="s">
        <v>73</v>
      </c>
      <c r="I1170" s="18" t="str">
        <f t="shared" si="1"/>
        <v>Obesity</v>
      </c>
    </row>
    <row r="1171" ht="15.75" customHeight="1">
      <c r="A1171" s="18" t="s">
        <v>3729</v>
      </c>
      <c r="B1171" s="18">
        <v>28.61</v>
      </c>
      <c r="C1171" s="18">
        <v>5.76</v>
      </c>
      <c r="D1171" s="18" t="s">
        <v>73</v>
      </c>
      <c r="E1171" s="18" t="s">
        <v>73</v>
      </c>
      <c r="F1171" s="18" t="s">
        <v>184</v>
      </c>
      <c r="G1171" s="18">
        <v>1.0</v>
      </c>
      <c r="H1171" s="18" t="s">
        <v>73</v>
      </c>
      <c r="I1171" s="18" t="str">
        <f t="shared" si="1"/>
        <v>Overweight</v>
      </c>
    </row>
    <row r="1172" ht="15.75" customHeight="1">
      <c r="A1172" s="18" t="s">
        <v>3733</v>
      </c>
      <c r="B1172" s="18">
        <v>45.41</v>
      </c>
      <c r="C1172" s="18">
        <v>4.96</v>
      </c>
      <c r="D1172" s="18" t="s">
        <v>73</v>
      </c>
      <c r="E1172" s="18" t="s">
        <v>73</v>
      </c>
      <c r="F1172" s="18" t="s">
        <v>73</v>
      </c>
      <c r="G1172" s="18">
        <v>1.0</v>
      </c>
      <c r="H1172" s="18" t="s">
        <v>73</v>
      </c>
      <c r="I1172" s="18" t="str">
        <f t="shared" si="1"/>
        <v>Obesity</v>
      </c>
    </row>
    <row r="1173" ht="15.75" customHeight="1">
      <c r="A1173" s="18" t="s">
        <v>3736</v>
      </c>
      <c r="B1173" s="18">
        <v>31.2</v>
      </c>
      <c r="C1173" s="18">
        <v>11.04</v>
      </c>
      <c r="D1173" s="18" t="s">
        <v>80</v>
      </c>
      <c r="E1173" s="18" t="s">
        <v>73</v>
      </c>
      <c r="F1173" s="18" t="s">
        <v>73</v>
      </c>
      <c r="G1173" s="18">
        <v>2.0</v>
      </c>
      <c r="H1173" s="18" t="s">
        <v>73</v>
      </c>
      <c r="I1173" s="18" t="str">
        <f t="shared" si="1"/>
        <v>Obesity</v>
      </c>
    </row>
    <row r="1174" ht="15.75" customHeight="1">
      <c r="A1174" s="18" t="s">
        <v>3740</v>
      </c>
      <c r="B1174" s="18">
        <v>29.83</v>
      </c>
      <c r="C1174" s="18">
        <v>7.81</v>
      </c>
      <c r="D1174" s="18" t="s">
        <v>80</v>
      </c>
      <c r="E1174" s="18" t="s">
        <v>73</v>
      </c>
      <c r="F1174" s="18" t="s">
        <v>73</v>
      </c>
      <c r="G1174" s="18">
        <v>1.0</v>
      </c>
      <c r="H1174" s="18" t="s">
        <v>73</v>
      </c>
      <c r="I1174" s="18" t="str">
        <f t="shared" si="1"/>
        <v>Overweight</v>
      </c>
    </row>
    <row r="1175" ht="15.75" customHeight="1">
      <c r="A1175" s="18" t="s">
        <v>3744</v>
      </c>
      <c r="B1175" s="18">
        <v>29.06</v>
      </c>
      <c r="C1175" s="18">
        <v>4.55</v>
      </c>
      <c r="D1175" s="18" t="s">
        <v>73</v>
      </c>
      <c r="E1175" s="18" t="s">
        <v>73</v>
      </c>
      <c r="F1175" s="18" t="s">
        <v>73</v>
      </c>
      <c r="G1175" s="20">
        <v>0.0</v>
      </c>
      <c r="H1175" s="18" t="s">
        <v>73</v>
      </c>
      <c r="I1175" s="18" t="str">
        <f t="shared" si="1"/>
        <v>Overweight</v>
      </c>
    </row>
    <row r="1176" ht="15.75" customHeight="1">
      <c r="A1176" s="18" t="s">
        <v>3748</v>
      </c>
      <c r="B1176" s="18">
        <v>27.455</v>
      </c>
      <c r="C1176" s="18">
        <v>6.13</v>
      </c>
      <c r="D1176" s="18" t="s">
        <v>73</v>
      </c>
      <c r="E1176" s="18" t="s">
        <v>73</v>
      </c>
      <c r="F1176" s="18" t="s">
        <v>73</v>
      </c>
      <c r="G1176" s="18">
        <v>2.0</v>
      </c>
      <c r="H1176" s="18" t="s">
        <v>73</v>
      </c>
      <c r="I1176" s="18" t="str">
        <f t="shared" si="1"/>
        <v>Overweight</v>
      </c>
    </row>
    <row r="1177" ht="15.75" customHeight="1">
      <c r="A1177" s="18" t="s">
        <v>3751</v>
      </c>
      <c r="B1177" s="18">
        <v>23.01</v>
      </c>
      <c r="C1177" s="18">
        <v>6.04</v>
      </c>
      <c r="D1177" s="18" t="s">
        <v>80</v>
      </c>
      <c r="E1177" s="18" t="s">
        <v>73</v>
      </c>
      <c r="F1177" s="18" t="s">
        <v>73</v>
      </c>
      <c r="G1177" s="18">
        <v>1.0</v>
      </c>
      <c r="H1177" s="18" t="s">
        <v>73</v>
      </c>
      <c r="I1177" s="18" t="str">
        <f t="shared" si="1"/>
        <v>Normal Weight</v>
      </c>
    </row>
    <row r="1178" ht="15.75" customHeight="1">
      <c r="A1178" s="18" t="s">
        <v>3755</v>
      </c>
      <c r="B1178" s="18">
        <v>31.39</v>
      </c>
      <c r="C1178" s="18">
        <v>8.85</v>
      </c>
      <c r="D1178" s="18" t="s">
        <v>80</v>
      </c>
      <c r="E1178" s="18" t="s">
        <v>73</v>
      </c>
      <c r="F1178" s="18" t="s">
        <v>73</v>
      </c>
      <c r="G1178" s="20">
        <v>0.0</v>
      </c>
      <c r="H1178" s="18" t="s">
        <v>73</v>
      </c>
      <c r="I1178" s="18" t="str">
        <f t="shared" si="1"/>
        <v>Obesity</v>
      </c>
    </row>
    <row r="1179" ht="15.75" customHeight="1">
      <c r="A1179" s="18" t="s">
        <v>3759</v>
      </c>
      <c r="B1179" s="18">
        <v>34.77</v>
      </c>
      <c r="C1179" s="18">
        <v>10.54</v>
      </c>
      <c r="D1179" s="18" t="s">
        <v>73</v>
      </c>
      <c r="E1179" s="18" t="s">
        <v>73</v>
      </c>
      <c r="F1179" s="18" t="s">
        <v>73</v>
      </c>
      <c r="G1179" s="18">
        <v>2.0</v>
      </c>
      <c r="H1179" s="18" t="s">
        <v>73</v>
      </c>
      <c r="I1179" s="18" t="str">
        <f t="shared" si="1"/>
        <v>Obesity</v>
      </c>
    </row>
    <row r="1180" ht="15.75" customHeight="1">
      <c r="A1180" s="18" t="s">
        <v>3763</v>
      </c>
      <c r="B1180" s="18">
        <v>24.48</v>
      </c>
      <c r="C1180" s="18">
        <v>4.37</v>
      </c>
      <c r="D1180" s="18" t="s">
        <v>80</v>
      </c>
      <c r="E1180" s="18" t="s">
        <v>73</v>
      </c>
      <c r="F1180" s="18" t="s">
        <v>73</v>
      </c>
      <c r="G1180" s="18">
        <v>2.0</v>
      </c>
      <c r="H1180" s="18" t="s">
        <v>73</v>
      </c>
      <c r="I1180" s="18" t="str">
        <f t="shared" si="1"/>
        <v>Normal Weight</v>
      </c>
    </row>
    <row r="1181" ht="15.75" customHeight="1">
      <c r="A1181" s="18" t="s">
        <v>3766</v>
      </c>
      <c r="B1181" s="18">
        <v>22.61</v>
      </c>
      <c r="C1181" s="18">
        <v>9.63</v>
      </c>
      <c r="D1181" s="18" t="s">
        <v>73</v>
      </c>
      <c r="E1181" s="18" t="s">
        <v>73</v>
      </c>
      <c r="F1181" s="18" t="s">
        <v>73</v>
      </c>
      <c r="G1181" s="18">
        <v>2.0</v>
      </c>
      <c r="H1181" s="18" t="s">
        <v>73</v>
      </c>
      <c r="I1181" s="18" t="str">
        <f t="shared" si="1"/>
        <v>Normal Weight</v>
      </c>
    </row>
    <row r="1182" ht="15.75" customHeight="1">
      <c r="A1182" s="18" t="s">
        <v>3769</v>
      </c>
      <c r="B1182" s="18">
        <v>34.3</v>
      </c>
      <c r="C1182" s="18">
        <v>10.37</v>
      </c>
      <c r="D1182" s="18" t="s">
        <v>73</v>
      </c>
      <c r="E1182" s="18" t="s">
        <v>73</v>
      </c>
      <c r="F1182" s="18" t="s">
        <v>73</v>
      </c>
      <c r="G1182" s="20">
        <v>0.0</v>
      </c>
      <c r="H1182" s="18" t="s">
        <v>73</v>
      </c>
      <c r="I1182" s="18" t="str">
        <f t="shared" si="1"/>
        <v>Obesity</v>
      </c>
    </row>
    <row r="1183" ht="15.75" customHeight="1">
      <c r="A1183" s="18" t="s">
        <v>3771</v>
      </c>
      <c r="B1183" s="18">
        <v>46.09</v>
      </c>
      <c r="C1183" s="18">
        <v>5.44</v>
      </c>
      <c r="D1183" s="18" t="s">
        <v>73</v>
      </c>
      <c r="E1183" s="18" t="s">
        <v>73</v>
      </c>
      <c r="F1183" s="18" t="s">
        <v>73</v>
      </c>
      <c r="G1183" s="18">
        <v>2.0</v>
      </c>
      <c r="H1183" s="18" t="s">
        <v>73</v>
      </c>
      <c r="I1183" s="18" t="str">
        <f t="shared" si="1"/>
        <v>Obesity</v>
      </c>
    </row>
    <row r="1184" ht="15.75" customHeight="1">
      <c r="A1184" s="18" t="s">
        <v>3775</v>
      </c>
      <c r="B1184" s="18">
        <v>44.745</v>
      </c>
      <c r="C1184" s="18">
        <v>5.19</v>
      </c>
      <c r="D1184" s="18" t="s">
        <v>73</v>
      </c>
      <c r="E1184" s="18" t="s">
        <v>73</v>
      </c>
      <c r="F1184" s="18" t="s">
        <v>73</v>
      </c>
      <c r="G1184" s="18">
        <v>2.0</v>
      </c>
      <c r="H1184" s="18" t="s">
        <v>73</v>
      </c>
      <c r="I1184" s="18" t="str">
        <f t="shared" si="1"/>
        <v>Obesity</v>
      </c>
    </row>
    <row r="1185" ht="15.75" customHeight="1">
      <c r="A1185" s="18" t="s">
        <v>3779</v>
      </c>
      <c r="B1185" s="18">
        <v>26.33</v>
      </c>
      <c r="C1185" s="18">
        <v>11.8</v>
      </c>
      <c r="D1185" s="18" t="s">
        <v>80</v>
      </c>
      <c r="E1185" s="18" t="s">
        <v>73</v>
      </c>
      <c r="F1185" s="18" t="s">
        <v>73</v>
      </c>
      <c r="G1185" s="18">
        <v>1.0</v>
      </c>
      <c r="H1185" s="18" t="s">
        <v>73</v>
      </c>
      <c r="I1185" s="18" t="str">
        <f t="shared" si="1"/>
        <v>Overweight</v>
      </c>
    </row>
    <row r="1186" ht="15.75" customHeight="1">
      <c r="A1186" s="18" t="s">
        <v>3783</v>
      </c>
      <c r="B1186" s="18">
        <v>26.6</v>
      </c>
      <c r="C1186" s="18">
        <v>8.38</v>
      </c>
      <c r="D1186" s="18" t="s">
        <v>73</v>
      </c>
      <c r="E1186" s="18" t="s">
        <v>73</v>
      </c>
      <c r="F1186" s="18" t="s">
        <v>73</v>
      </c>
      <c r="G1186" s="18">
        <v>2.0</v>
      </c>
      <c r="H1186" s="18" t="s">
        <v>73</v>
      </c>
      <c r="I1186" s="18" t="str">
        <f t="shared" si="1"/>
        <v>Overweight</v>
      </c>
    </row>
    <row r="1187" ht="15.75" customHeight="1">
      <c r="A1187" s="18" t="s">
        <v>3787</v>
      </c>
      <c r="B1187" s="18">
        <v>27.5</v>
      </c>
      <c r="C1187" s="18">
        <v>7.58</v>
      </c>
      <c r="D1187" s="18" t="s">
        <v>73</v>
      </c>
      <c r="E1187" s="18" t="s">
        <v>73</v>
      </c>
      <c r="F1187" s="18" t="s">
        <v>73</v>
      </c>
      <c r="G1187" s="20">
        <v>0.0</v>
      </c>
      <c r="H1187" s="18" t="s">
        <v>73</v>
      </c>
      <c r="I1187" s="18" t="str">
        <f t="shared" si="1"/>
        <v>Overweight</v>
      </c>
    </row>
    <row r="1188" ht="15.75" customHeight="1">
      <c r="A1188" s="18" t="s">
        <v>3789</v>
      </c>
      <c r="B1188" s="18">
        <v>41.55</v>
      </c>
      <c r="C1188" s="18">
        <v>4.61</v>
      </c>
      <c r="D1188" s="18" t="s">
        <v>73</v>
      </c>
      <c r="E1188" s="18" t="s">
        <v>73</v>
      </c>
      <c r="F1188" s="18" t="s">
        <v>73</v>
      </c>
      <c r="G1188" s="18">
        <v>1.0</v>
      </c>
      <c r="H1188" s="18" t="s">
        <v>73</v>
      </c>
      <c r="I1188" s="18" t="str">
        <f t="shared" si="1"/>
        <v>Obesity</v>
      </c>
    </row>
    <row r="1189" ht="15.75" customHeight="1">
      <c r="A1189" s="18" t="s">
        <v>3794</v>
      </c>
      <c r="B1189" s="18">
        <v>41.47</v>
      </c>
      <c r="C1189" s="18">
        <v>4.7</v>
      </c>
      <c r="D1189" s="18" t="s">
        <v>80</v>
      </c>
      <c r="E1189" s="18" t="s">
        <v>73</v>
      </c>
      <c r="F1189" s="18" t="s">
        <v>184</v>
      </c>
      <c r="G1189" s="18">
        <v>1.0</v>
      </c>
      <c r="H1189" s="18" t="s">
        <v>73</v>
      </c>
      <c r="I1189" s="18" t="str">
        <f t="shared" si="1"/>
        <v>Obesity</v>
      </c>
    </row>
    <row r="1190" ht="15.75" customHeight="1">
      <c r="A1190" s="18" t="s">
        <v>3796</v>
      </c>
      <c r="B1190" s="18">
        <v>24.795</v>
      </c>
      <c r="C1190" s="18">
        <v>6.05</v>
      </c>
      <c r="D1190" s="18" t="s">
        <v>80</v>
      </c>
      <c r="E1190" s="18" t="s">
        <v>73</v>
      </c>
      <c r="F1190" s="18" t="s">
        <v>73</v>
      </c>
      <c r="G1190" s="20">
        <v>0.0</v>
      </c>
      <c r="H1190" s="18" t="s">
        <v>73</v>
      </c>
      <c r="I1190" s="18" t="str">
        <f t="shared" si="1"/>
        <v>Normal Weight</v>
      </c>
    </row>
    <row r="1191" ht="15.75" customHeight="1">
      <c r="A1191" s="18" t="s">
        <v>3800</v>
      </c>
      <c r="B1191" s="18">
        <v>29.48</v>
      </c>
      <c r="C1191" s="18">
        <v>5.63</v>
      </c>
      <c r="D1191" s="18" t="s">
        <v>80</v>
      </c>
      <c r="E1191" s="18" t="s">
        <v>73</v>
      </c>
      <c r="F1191" s="18" t="s">
        <v>184</v>
      </c>
      <c r="G1191" s="18">
        <v>1.0</v>
      </c>
      <c r="H1191" s="18" t="s">
        <v>73</v>
      </c>
      <c r="I1191" s="18" t="str">
        <f t="shared" si="1"/>
        <v>Overweight</v>
      </c>
    </row>
    <row r="1192" ht="15.75" customHeight="1">
      <c r="A1192" s="18" t="s">
        <v>3804</v>
      </c>
      <c r="B1192" s="18">
        <v>28.09</v>
      </c>
      <c r="C1192" s="18">
        <v>6.06</v>
      </c>
      <c r="D1192" s="18" t="s">
        <v>73</v>
      </c>
      <c r="E1192" s="18" t="s">
        <v>73</v>
      </c>
      <c r="F1192" s="18" t="s">
        <v>184</v>
      </c>
      <c r="G1192" s="18">
        <v>1.0</v>
      </c>
      <c r="H1192" s="18" t="s">
        <v>73</v>
      </c>
      <c r="I1192" s="18" t="str">
        <f t="shared" si="1"/>
        <v>Overweight</v>
      </c>
    </row>
    <row r="1193" ht="15.75" customHeight="1">
      <c r="A1193" s="18" t="s">
        <v>3808</v>
      </c>
      <c r="B1193" s="18">
        <v>32.73</v>
      </c>
      <c r="C1193" s="18">
        <v>5.19</v>
      </c>
      <c r="D1193" s="18" t="s">
        <v>73</v>
      </c>
      <c r="E1193" s="18" t="s">
        <v>73</v>
      </c>
      <c r="F1193" s="18" t="s">
        <v>73</v>
      </c>
      <c r="G1193" s="18">
        <v>1.0</v>
      </c>
      <c r="H1193" s="18" t="s">
        <v>73</v>
      </c>
      <c r="I1193" s="18" t="str">
        <f t="shared" si="1"/>
        <v>Obesity</v>
      </c>
    </row>
    <row r="1194" ht="15.75" customHeight="1">
      <c r="A1194" s="18" t="s">
        <v>3811</v>
      </c>
      <c r="B1194" s="18">
        <v>27.36</v>
      </c>
      <c r="C1194" s="18">
        <v>8.96</v>
      </c>
      <c r="D1194" s="18" t="s">
        <v>73</v>
      </c>
      <c r="E1194" s="18" t="s">
        <v>73</v>
      </c>
      <c r="F1194" s="18" t="s">
        <v>73</v>
      </c>
      <c r="G1194" s="20">
        <v>0.0</v>
      </c>
      <c r="H1194" s="18" t="s">
        <v>73</v>
      </c>
      <c r="I1194" s="18" t="str">
        <f t="shared" si="1"/>
        <v>Overweight</v>
      </c>
    </row>
    <row r="1195" ht="15.75" customHeight="1">
      <c r="A1195" s="18" t="s">
        <v>3814</v>
      </c>
      <c r="B1195" s="18">
        <v>27.265</v>
      </c>
      <c r="C1195" s="18">
        <v>11.39</v>
      </c>
      <c r="D1195" s="18" t="s">
        <v>73</v>
      </c>
      <c r="E1195" s="18" t="s">
        <v>73</v>
      </c>
      <c r="F1195" s="18" t="s">
        <v>73</v>
      </c>
      <c r="G1195" s="20">
        <v>0.0</v>
      </c>
      <c r="H1195" s="18" t="s">
        <v>73</v>
      </c>
      <c r="I1195" s="18" t="str">
        <f t="shared" si="1"/>
        <v>Overweight</v>
      </c>
    </row>
    <row r="1196" ht="15.75" customHeight="1">
      <c r="A1196" s="18" t="s">
        <v>3816</v>
      </c>
      <c r="B1196" s="18">
        <v>48.07</v>
      </c>
      <c r="C1196" s="18">
        <v>4.06</v>
      </c>
      <c r="D1196" s="18" t="s">
        <v>80</v>
      </c>
      <c r="E1196" s="18" t="s">
        <v>73</v>
      </c>
      <c r="F1196" s="18" t="s">
        <v>73</v>
      </c>
      <c r="G1196" s="20">
        <v>0.0</v>
      </c>
      <c r="H1196" s="18" t="s">
        <v>73</v>
      </c>
      <c r="I1196" s="18" t="str">
        <f t="shared" si="1"/>
        <v>Obesity</v>
      </c>
    </row>
    <row r="1197" ht="15.75" customHeight="1">
      <c r="A1197" s="18" t="s">
        <v>3820</v>
      </c>
      <c r="B1197" s="18">
        <v>30.8</v>
      </c>
      <c r="C1197" s="18">
        <v>5.23</v>
      </c>
      <c r="D1197" s="18" t="s">
        <v>80</v>
      </c>
      <c r="E1197" s="18" t="s">
        <v>73</v>
      </c>
      <c r="F1197" s="18" t="s">
        <v>73</v>
      </c>
      <c r="G1197" s="20">
        <v>0.0</v>
      </c>
      <c r="H1197" s="18" t="s">
        <v>73</v>
      </c>
      <c r="I1197" s="18" t="str">
        <f t="shared" si="1"/>
        <v>Obesity</v>
      </c>
    </row>
    <row r="1198" ht="15.75" customHeight="1">
      <c r="A1198" s="18" t="s">
        <v>3823</v>
      </c>
      <c r="B1198" s="18">
        <v>32.3</v>
      </c>
      <c r="C1198" s="18">
        <v>5.05</v>
      </c>
      <c r="D1198" s="18" t="s">
        <v>80</v>
      </c>
      <c r="E1198" s="18" t="s">
        <v>73</v>
      </c>
      <c r="F1198" s="18" t="s">
        <v>73</v>
      </c>
      <c r="G1198" s="20">
        <v>0.0</v>
      </c>
      <c r="H1198" s="18" t="s">
        <v>73</v>
      </c>
      <c r="I1198" s="18" t="str">
        <f t="shared" si="1"/>
        <v>Obesity</v>
      </c>
    </row>
    <row r="1199" ht="15.75" customHeight="1">
      <c r="A1199" s="18" t="s">
        <v>3827</v>
      </c>
      <c r="B1199" s="18">
        <v>39.7</v>
      </c>
      <c r="C1199" s="18">
        <v>7.34</v>
      </c>
      <c r="D1199" s="18" t="s">
        <v>73</v>
      </c>
      <c r="E1199" s="18" t="s">
        <v>73</v>
      </c>
      <c r="F1199" s="18" t="s">
        <v>73</v>
      </c>
      <c r="G1199" s="20">
        <v>0.0</v>
      </c>
      <c r="H1199" s="18" t="s">
        <v>73</v>
      </c>
      <c r="I1199" s="18" t="str">
        <f t="shared" si="1"/>
        <v>Obesity</v>
      </c>
    </row>
    <row r="1200" ht="15.75" customHeight="1">
      <c r="A1200" s="18" t="s">
        <v>3829</v>
      </c>
      <c r="B1200" s="18">
        <v>35.97</v>
      </c>
      <c r="C1200" s="18">
        <v>8.13</v>
      </c>
      <c r="D1200" s="18" t="s">
        <v>73</v>
      </c>
      <c r="E1200" s="18" t="s">
        <v>73</v>
      </c>
      <c r="F1200" s="18" t="s">
        <v>73</v>
      </c>
      <c r="G1200" s="20">
        <v>0.0</v>
      </c>
      <c r="H1200" s="18" t="s">
        <v>73</v>
      </c>
      <c r="I1200" s="18" t="str">
        <f t="shared" si="1"/>
        <v>Obesity</v>
      </c>
    </row>
    <row r="1201" ht="15.75" customHeight="1">
      <c r="A1201" s="18" t="s">
        <v>3833</v>
      </c>
      <c r="B1201" s="18">
        <v>25.86</v>
      </c>
      <c r="C1201" s="18">
        <v>6.68</v>
      </c>
      <c r="D1201" s="18" t="s">
        <v>80</v>
      </c>
      <c r="E1201" s="18" t="s">
        <v>73</v>
      </c>
      <c r="F1201" s="18" t="s">
        <v>73</v>
      </c>
      <c r="G1201" s="18">
        <v>1.0</v>
      </c>
      <c r="H1201" s="18" t="s">
        <v>73</v>
      </c>
      <c r="I1201" s="18" t="str">
        <f t="shared" si="1"/>
        <v>Overweight</v>
      </c>
    </row>
    <row r="1202" ht="15.75" customHeight="1">
      <c r="A1202" s="18" t="s">
        <v>3836</v>
      </c>
      <c r="B1202" s="18">
        <v>30.03</v>
      </c>
      <c r="C1202" s="18">
        <v>11.51</v>
      </c>
      <c r="D1202" s="18" t="s">
        <v>73</v>
      </c>
      <c r="E1202" s="18" t="s">
        <v>73</v>
      </c>
      <c r="F1202" s="18" t="s">
        <v>73</v>
      </c>
      <c r="G1202" s="20">
        <v>0.0</v>
      </c>
      <c r="H1202" s="18" t="s">
        <v>73</v>
      </c>
      <c r="I1202" s="18" t="str">
        <f t="shared" si="1"/>
        <v>Obesity</v>
      </c>
    </row>
    <row r="1203" ht="15.75" customHeight="1">
      <c r="A1203" s="18" t="s">
        <v>3837</v>
      </c>
      <c r="B1203" s="18">
        <v>25.76</v>
      </c>
      <c r="C1203" s="18">
        <v>6.02</v>
      </c>
      <c r="D1203" s="18" t="s">
        <v>80</v>
      </c>
      <c r="E1203" s="18" t="s">
        <v>73</v>
      </c>
      <c r="F1203" s="18" t="s">
        <v>184</v>
      </c>
      <c r="G1203" s="18">
        <v>1.0</v>
      </c>
      <c r="H1203" s="18" t="s">
        <v>73</v>
      </c>
      <c r="I1203" s="18" t="str">
        <f t="shared" si="1"/>
        <v>Overweight</v>
      </c>
    </row>
    <row r="1204" ht="15.75" customHeight="1">
      <c r="A1204" s="18" t="s">
        <v>3841</v>
      </c>
      <c r="B1204" s="18">
        <v>22.42</v>
      </c>
      <c r="C1204" s="18">
        <v>7.96</v>
      </c>
      <c r="D1204" s="18" t="s">
        <v>73</v>
      </c>
      <c r="E1204" s="18" t="s">
        <v>73</v>
      </c>
      <c r="F1204" s="18" t="s">
        <v>73</v>
      </c>
      <c r="G1204" s="20">
        <v>0.0</v>
      </c>
      <c r="H1204" s="18" t="s">
        <v>73</v>
      </c>
      <c r="I1204" s="18" t="str">
        <f t="shared" si="1"/>
        <v>Normal Weight</v>
      </c>
    </row>
    <row r="1205" ht="15.75" customHeight="1">
      <c r="A1205" s="18" t="s">
        <v>3845</v>
      </c>
      <c r="B1205" s="18">
        <v>33.18</v>
      </c>
      <c r="C1205" s="18">
        <v>6.01</v>
      </c>
      <c r="D1205" s="18" t="s">
        <v>80</v>
      </c>
      <c r="E1205" s="18" t="s">
        <v>73</v>
      </c>
      <c r="F1205" s="18" t="s">
        <v>73</v>
      </c>
      <c r="G1205" s="18">
        <v>1.0</v>
      </c>
      <c r="H1205" s="18" t="s">
        <v>73</v>
      </c>
      <c r="I1205" s="18" t="str">
        <f t="shared" si="1"/>
        <v>Obesity</v>
      </c>
    </row>
    <row r="1206" ht="15.75" customHeight="1">
      <c r="A1206" s="18" t="s">
        <v>3848</v>
      </c>
      <c r="B1206" s="18">
        <v>43.04</v>
      </c>
      <c r="C1206" s="18">
        <v>5.9</v>
      </c>
      <c r="D1206" s="18" t="s">
        <v>80</v>
      </c>
      <c r="E1206" s="18" t="s">
        <v>73</v>
      </c>
      <c r="F1206" s="18" t="s">
        <v>73</v>
      </c>
      <c r="G1206" s="20">
        <v>0.0</v>
      </c>
      <c r="H1206" s="18" t="s">
        <v>73</v>
      </c>
      <c r="I1206" s="18" t="str">
        <f t="shared" si="1"/>
        <v>Obesity</v>
      </c>
    </row>
    <row r="1207" ht="15.75" customHeight="1">
      <c r="A1207" s="18" t="s">
        <v>3852</v>
      </c>
      <c r="B1207" s="18">
        <v>34.15</v>
      </c>
      <c r="C1207" s="18">
        <v>4.49</v>
      </c>
      <c r="D1207" s="18" t="s">
        <v>80</v>
      </c>
      <c r="E1207" s="18" t="s">
        <v>73</v>
      </c>
      <c r="F1207" s="18" t="s">
        <v>73</v>
      </c>
      <c r="G1207" s="18">
        <v>1.0</v>
      </c>
      <c r="H1207" s="18" t="s">
        <v>73</v>
      </c>
      <c r="I1207" s="18" t="str">
        <f t="shared" si="1"/>
        <v>Obesity</v>
      </c>
    </row>
    <row r="1208" ht="15.75" customHeight="1">
      <c r="A1208" s="18" t="s">
        <v>3855</v>
      </c>
      <c r="B1208" s="18">
        <v>25.78</v>
      </c>
      <c r="C1208" s="18">
        <v>6.25</v>
      </c>
      <c r="D1208" s="18" t="s">
        <v>73</v>
      </c>
      <c r="E1208" s="18" t="s">
        <v>73</v>
      </c>
      <c r="F1208" s="18" t="s">
        <v>73</v>
      </c>
      <c r="G1208" s="20">
        <v>0.0</v>
      </c>
      <c r="H1208" s="18" t="s">
        <v>73</v>
      </c>
      <c r="I1208" s="18" t="str">
        <f t="shared" si="1"/>
        <v>Overweight</v>
      </c>
    </row>
    <row r="1209" ht="15.75" customHeight="1">
      <c r="A1209" s="18" t="s">
        <v>3859</v>
      </c>
      <c r="B1209" s="18">
        <v>21.02</v>
      </c>
      <c r="C1209" s="18">
        <v>9.62</v>
      </c>
      <c r="D1209" s="18" t="s">
        <v>80</v>
      </c>
      <c r="E1209" s="18" t="s">
        <v>73</v>
      </c>
      <c r="F1209" s="18" t="s">
        <v>184</v>
      </c>
      <c r="G1209" s="18">
        <v>1.0</v>
      </c>
      <c r="H1209" s="18" t="s">
        <v>73</v>
      </c>
      <c r="I1209" s="18" t="str">
        <f t="shared" si="1"/>
        <v>Normal Weight</v>
      </c>
    </row>
    <row r="1210" ht="15.75" customHeight="1">
      <c r="A1210" s="18" t="s">
        <v>3862</v>
      </c>
      <c r="B1210" s="18">
        <v>37.51</v>
      </c>
      <c r="C1210" s="18">
        <v>11.06</v>
      </c>
      <c r="D1210" s="18" t="s">
        <v>73</v>
      </c>
      <c r="E1210" s="18" t="s">
        <v>73</v>
      </c>
      <c r="F1210" s="18" t="s">
        <v>73</v>
      </c>
      <c r="G1210" s="18">
        <v>2.0</v>
      </c>
      <c r="H1210" s="18" t="s">
        <v>73</v>
      </c>
      <c r="I1210" s="18" t="str">
        <f t="shared" si="1"/>
        <v>Obesity</v>
      </c>
    </row>
    <row r="1211" ht="15.75" customHeight="1">
      <c r="A1211" s="18" t="s">
        <v>3866</v>
      </c>
      <c r="B1211" s="18">
        <v>25.745</v>
      </c>
      <c r="C1211" s="18">
        <v>6.11</v>
      </c>
      <c r="D1211" s="18" t="s">
        <v>80</v>
      </c>
      <c r="E1211" s="18" t="s">
        <v>73</v>
      </c>
      <c r="F1211" s="18" t="s">
        <v>73</v>
      </c>
      <c r="G1211" s="20">
        <v>0.0</v>
      </c>
      <c r="H1211" s="18" t="s">
        <v>73</v>
      </c>
      <c r="I1211" s="18" t="str">
        <f t="shared" si="1"/>
        <v>Overweight</v>
      </c>
    </row>
    <row r="1212" ht="15.75" customHeight="1">
      <c r="A1212" s="18" t="s">
        <v>3867</v>
      </c>
      <c r="B1212" s="18">
        <v>31.35</v>
      </c>
      <c r="C1212" s="18">
        <v>11.49</v>
      </c>
      <c r="D1212" s="18" t="s">
        <v>73</v>
      </c>
      <c r="E1212" s="18" t="s">
        <v>73</v>
      </c>
      <c r="F1212" s="18" t="s">
        <v>73</v>
      </c>
      <c r="G1212" s="18">
        <v>2.0</v>
      </c>
      <c r="H1212" s="18" t="s">
        <v>73</v>
      </c>
      <c r="I1212" s="18" t="str">
        <f t="shared" si="1"/>
        <v>Obesity</v>
      </c>
    </row>
    <row r="1213" ht="15.75" customHeight="1">
      <c r="A1213" s="18" t="s">
        <v>3870</v>
      </c>
      <c r="B1213" s="18">
        <v>29.83</v>
      </c>
      <c r="C1213" s="18">
        <v>8.68</v>
      </c>
      <c r="D1213" s="18" t="s">
        <v>73</v>
      </c>
      <c r="E1213" s="18" t="s">
        <v>73</v>
      </c>
      <c r="F1213" s="18" t="s">
        <v>73</v>
      </c>
      <c r="G1213" s="18">
        <v>2.0</v>
      </c>
      <c r="H1213" s="18" t="s">
        <v>73</v>
      </c>
      <c r="I1213" s="18" t="str">
        <f t="shared" si="1"/>
        <v>Overweight</v>
      </c>
    </row>
    <row r="1214" ht="15.75" customHeight="1">
      <c r="A1214" s="18" t="s">
        <v>3873</v>
      </c>
      <c r="B1214" s="18">
        <v>25.49</v>
      </c>
      <c r="C1214" s="18">
        <v>5.68</v>
      </c>
      <c r="D1214" s="18" t="s">
        <v>80</v>
      </c>
      <c r="E1214" s="18" t="s">
        <v>73</v>
      </c>
      <c r="F1214" s="18" t="s">
        <v>184</v>
      </c>
      <c r="G1214" s="18">
        <v>1.0</v>
      </c>
      <c r="H1214" s="18" t="s">
        <v>73</v>
      </c>
      <c r="I1214" s="18" t="str">
        <f t="shared" si="1"/>
        <v>Overweight</v>
      </c>
    </row>
    <row r="1215" ht="15.75" customHeight="1">
      <c r="A1215" s="18" t="s">
        <v>3875</v>
      </c>
      <c r="B1215" s="18">
        <v>34.1</v>
      </c>
      <c r="C1215" s="18">
        <v>8.45</v>
      </c>
      <c r="D1215" s="18" t="s">
        <v>73</v>
      </c>
      <c r="E1215" s="18" t="s">
        <v>73</v>
      </c>
      <c r="F1215" s="18" t="s">
        <v>73</v>
      </c>
      <c r="G1215" s="20">
        <v>0.0</v>
      </c>
      <c r="H1215" s="18" t="s">
        <v>73</v>
      </c>
      <c r="I1215" s="18" t="str">
        <f t="shared" si="1"/>
        <v>Obesity</v>
      </c>
    </row>
    <row r="1216" ht="15.75" customHeight="1">
      <c r="A1216" s="18" t="s">
        <v>3878</v>
      </c>
      <c r="B1216" s="18">
        <v>25.84</v>
      </c>
      <c r="C1216" s="18">
        <v>8.51</v>
      </c>
      <c r="D1216" s="18" t="s">
        <v>73</v>
      </c>
      <c r="E1216" s="18" t="s">
        <v>73</v>
      </c>
      <c r="F1216" s="18" t="s">
        <v>73</v>
      </c>
      <c r="G1216" s="18">
        <v>2.0</v>
      </c>
      <c r="H1216" s="18" t="s">
        <v>73</v>
      </c>
      <c r="I1216" s="18" t="str">
        <f t="shared" si="1"/>
        <v>Overweight</v>
      </c>
    </row>
    <row r="1217" ht="15.75" customHeight="1">
      <c r="A1217" s="18" t="s">
        <v>3882</v>
      </c>
      <c r="B1217" s="18">
        <v>20.6</v>
      </c>
      <c r="C1217" s="18">
        <v>7.62</v>
      </c>
      <c r="D1217" s="18" t="s">
        <v>73</v>
      </c>
      <c r="E1217" s="18" t="s">
        <v>73</v>
      </c>
      <c r="F1217" s="18" t="s">
        <v>73</v>
      </c>
      <c r="G1217" s="20">
        <v>0.0</v>
      </c>
      <c r="H1217" s="18" t="s">
        <v>73</v>
      </c>
      <c r="I1217" s="18" t="str">
        <f t="shared" si="1"/>
        <v>Normal Weight</v>
      </c>
    </row>
    <row r="1218" ht="15.75" customHeight="1">
      <c r="A1218" s="18" t="s">
        <v>3886</v>
      </c>
      <c r="B1218" s="18">
        <v>28.88</v>
      </c>
      <c r="C1218" s="18">
        <v>10.18</v>
      </c>
      <c r="D1218" s="18" t="s">
        <v>73</v>
      </c>
      <c r="E1218" s="18" t="s">
        <v>73</v>
      </c>
      <c r="F1218" s="18" t="s">
        <v>73</v>
      </c>
      <c r="G1218" s="20">
        <v>0.0</v>
      </c>
      <c r="H1218" s="18" t="s">
        <v>73</v>
      </c>
      <c r="I1218" s="18" t="str">
        <f t="shared" si="1"/>
        <v>Overweight</v>
      </c>
    </row>
    <row r="1219" ht="15.75" customHeight="1">
      <c r="A1219" s="18" t="s">
        <v>3888</v>
      </c>
      <c r="B1219" s="18">
        <v>28.24</v>
      </c>
      <c r="C1219" s="18">
        <v>5.36</v>
      </c>
      <c r="D1219" s="18" t="s">
        <v>73</v>
      </c>
      <c r="E1219" s="18" t="s">
        <v>73</v>
      </c>
      <c r="F1219" s="18" t="s">
        <v>73</v>
      </c>
      <c r="G1219" s="20">
        <v>0.0</v>
      </c>
      <c r="H1219" s="18" t="s">
        <v>73</v>
      </c>
      <c r="I1219" s="18" t="str">
        <f t="shared" si="1"/>
        <v>Overweight</v>
      </c>
    </row>
    <row r="1220" ht="15.75" customHeight="1">
      <c r="A1220" s="18" t="s">
        <v>3893</v>
      </c>
      <c r="B1220" s="18">
        <v>25.46</v>
      </c>
      <c r="C1220" s="18">
        <v>11.78</v>
      </c>
      <c r="D1220" s="18" t="s">
        <v>80</v>
      </c>
      <c r="E1220" s="18" t="s">
        <v>73</v>
      </c>
      <c r="F1220" s="18" t="s">
        <v>73</v>
      </c>
      <c r="G1220" s="18">
        <v>1.0</v>
      </c>
      <c r="H1220" s="18" t="s">
        <v>73</v>
      </c>
      <c r="I1220" s="18" t="str">
        <f t="shared" si="1"/>
        <v>Overweight</v>
      </c>
    </row>
    <row r="1221" ht="15.75" customHeight="1">
      <c r="A1221" s="18" t="s">
        <v>3896</v>
      </c>
      <c r="B1221" s="18">
        <v>29.64</v>
      </c>
      <c r="C1221" s="18">
        <v>10.82</v>
      </c>
      <c r="D1221" s="18" t="s">
        <v>80</v>
      </c>
      <c r="E1221" s="18" t="s">
        <v>73</v>
      </c>
      <c r="F1221" s="18" t="s">
        <v>73</v>
      </c>
      <c r="G1221" s="20">
        <v>0.0</v>
      </c>
      <c r="H1221" s="18" t="s">
        <v>73</v>
      </c>
      <c r="I1221" s="18" t="str">
        <f t="shared" si="1"/>
        <v>Overweight</v>
      </c>
    </row>
    <row r="1222" ht="15.75" customHeight="1">
      <c r="A1222" s="18" t="s">
        <v>3900</v>
      </c>
      <c r="B1222" s="18">
        <v>31.27</v>
      </c>
      <c r="C1222" s="18">
        <v>7.73</v>
      </c>
      <c r="D1222" s="18" t="s">
        <v>80</v>
      </c>
      <c r="E1222" s="18" t="s">
        <v>73</v>
      </c>
      <c r="F1222" s="18" t="s">
        <v>73</v>
      </c>
      <c r="G1222" s="18">
        <v>1.0</v>
      </c>
      <c r="H1222" s="18" t="s">
        <v>73</v>
      </c>
      <c r="I1222" s="18" t="str">
        <f t="shared" si="1"/>
        <v>Obesity</v>
      </c>
    </row>
    <row r="1223" ht="15.75" customHeight="1">
      <c r="A1223" s="18" t="s">
        <v>3904</v>
      </c>
      <c r="B1223" s="18">
        <v>19.95</v>
      </c>
      <c r="C1223" s="18">
        <v>6.24</v>
      </c>
      <c r="D1223" s="18" t="s">
        <v>80</v>
      </c>
      <c r="E1223" s="18" t="s">
        <v>73</v>
      </c>
      <c r="F1223" s="18" t="s">
        <v>73</v>
      </c>
      <c r="G1223" s="20">
        <v>0.0</v>
      </c>
      <c r="H1223" s="18" t="s">
        <v>73</v>
      </c>
      <c r="I1223" s="18" t="str">
        <f t="shared" si="1"/>
        <v>Normal Weight</v>
      </c>
    </row>
    <row r="1224" ht="15.75" customHeight="1">
      <c r="A1224" s="18" t="s">
        <v>3907</v>
      </c>
      <c r="B1224" s="18">
        <v>21.3</v>
      </c>
      <c r="C1224" s="18">
        <v>10.42</v>
      </c>
      <c r="D1224" s="18" t="s">
        <v>73</v>
      </c>
      <c r="E1224" s="18" t="s">
        <v>73</v>
      </c>
      <c r="F1224" s="18" t="s">
        <v>73</v>
      </c>
      <c r="G1224" s="18">
        <v>2.0</v>
      </c>
      <c r="H1224" s="18" t="s">
        <v>73</v>
      </c>
      <c r="I1224" s="18" t="str">
        <f t="shared" si="1"/>
        <v>Normal Weight</v>
      </c>
    </row>
    <row r="1225" ht="15.75" customHeight="1">
      <c r="A1225" s="18" t="s">
        <v>3911</v>
      </c>
      <c r="B1225" s="18">
        <v>31.635</v>
      </c>
      <c r="C1225" s="18">
        <v>11.11</v>
      </c>
      <c r="D1225" s="18" t="s">
        <v>73</v>
      </c>
      <c r="E1225" s="18" t="s">
        <v>73</v>
      </c>
      <c r="F1225" s="18" t="s">
        <v>73</v>
      </c>
      <c r="G1225" s="20">
        <v>0.0</v>
      </c>
      <c r="H1225" s="18" t="s">
        <v>73</v>
      </c>
      <c r="I1225" s="18" t="str">
        <f t="shared" si="1"/>
        <v>Obesity</v>
      </c>
    </row>
    <row r="1226" ht="15.75" customHeight="1">
      <c r="A1226" s="18" t="s">
        <v>3914</v>
      </c>
      <c r="B1226" s="18">
        <v>23.9</v>
      </c>
      <c r="C1226" s="18">
        <v>7.67</v>
      </c>
      <c r="D1226" s="18" t="s">
        <v>80</v>
      </c>
      <c r="E1226" s="18" t="s">
        <v>73</v>
      </c>
      <c r="F1226" s="18" t="s">
        <v>73</v>
      </c>
      <c r="G1226" s="18">
        <v>2.0</v>
      </c>
      <c r="H1226" s="18" t="s">
        <v>73</v>
      </c>
      <c r="I1226" s="18" t="str">
        <f t="shared" si="1"/>
        <v>Normal Weight</v>
      </c>
    </row>
    <row r="1227" ht="15.75" customHeight="1">
      <c r="A1227" s="18" t="s">
        <v>3916</v>
      </c>
      <c r="B1227" s="18">
        <v>34.15</v>
      </c>
      <c r="C1227" s="18">
        <v>6.15</v>
      </c>
      <c r="D1227" s="18" t="s">
        <v>73</v>
      </c>
      <c r="E1227" s="18" t="s">
        <v>73</v>
      </c>
      <c r="F1227" s="18" t="s">
        <v>73</v>
      </c>
      <c r="G1227" s="20">
        <v>0.0</v>
      </c>
      <c r="H1227" s="18" t="s">
        <v>73</v>
      </c>
      <c r="I1227" s="18" t="str">
        <f t="shared" si="1"/>
        <v>Obesity</v>
      </c>
    </row>
    <row r="1228" ht="15.75" customHeight="1">
      <c r="A1228" s="18" t="s">
        <v>3920</v>
      </c>
      <c r="B1228" s="18">
        <v>28.71</v>
      </c>
      <c r="C1228" s="18">
        <v>5.71</v>
      </c>
      <c r="D1228" s="18" t="s">
        <v>73</v>
      </c>
      <c r="E1228" s="18" t="s">
        <v>73</v>
      </c>
      <c r="F1228" s="18" t="s">
        <v>73</v>
      </c>
      <c r="G1228" s="20">
        <v>0.0</v>
      </c>
      <c r="H1228" s="18" t="s">
        <v>73</v>
      </c>
      <c r="I1228" s="18" t="str">
        <f t="shared" si="1"/>
        <v>Overweight</v>
      </c>
    </row>
    <row r="1229" ht="15.75" customHeight="1">
      <c r="A1229" s="18" t="s">
        <v>3923</v>
      </c>
      <c r="B1229" s="18">
        <v>36.7</v>
      </c>
      <c r="C1229" s="18">
        <v>8.7</v>
      </c>
      <c r="D1229" s="18" t="s">
        <v>80</v>
      </c>
      <c r="E1229" s="18" t="s">
        <v>73</v>
      </c>
      <c r="F1229" s="18" t="s">
        <v>73</v>
      </c>
      <c r="G1229" s="18">
        <v>2.0</v>
      </c>
      <c r="H1229" s="18" t="s">
        <v>73</v>
      </c>
      <c r="I1229" s="18" t="str">
        <f t="shared" si="1"/>
        <v>Obesity</v>
      </c>
    </row>
    <row r="1230" ht="15.75" customHeight="1">
      <c r="A1230" s="18" t="s">
        <v>3927</v>
      </c>
      <c r="B1230" s="18">
        <v>34.1</v>
      </c>
      <c r="C1230" s="18">
        <v>9.04</v>
      </c>
      <c r="D1230" s="18" t="s">
        <v>80</v>
      </c>
      <c r="E1230" s="18" t="s">
        <v>73</v>
      </c>
      <c r="F1230" s="18" t="s">
        <v>73</v>
      </c>
      <c r="G1230" s="18">
        <v>2.0</v>
      </c>
      <c r="H1230" s="18" t="s">
        <v>73</v>
      </c>
      <c r="I1230" s="18" t="str">
        <f t="shared" si="1"/>
        <v>Obesity</v>
      </c>
    </row>
    <row r="1231" ht="15.75" customHeight="1">
      <c r="A1231" s="18" t="s">
        <v>3929</v>
      </c>
      <c r="B1231" s="18">
        <v>25.7</v>
      </c>
      <c r="C1231" s="18">
        <v>5.61</v>
      </c>
      <c r="D1231" s="18" t="s">
        <v>73</v>
      </c>
      <c r="E1231" s="18" t="s">
        <v>73</v>
      </c>
      <c r="F1231" s="18" t="s">
        <v>73</v>
      </c>
      <c r="G1231" s="20">
        <v>0.0</v>
      </c>
      <c r="H1231" s="18" t="s">
        <v>73</v>
      </c>
      <c r="I1231" s="18" t="str">
        <f t="shared" si="1"/>
        <v>Overweight</v>
      </c>
    </row>
    <row r="1232" ht="15.75" customHeight="1">
      <c r="A1232" s="18" t="s">
        <v>3933</v>
      </c>
      <c r="B1232" s="18">
        <v>21.68</v>
      </c>
      <c r="C1232" s="18">
        <v>8.12</v>
      </c>
      <c r="D1232" s="18" t="s">
        <v>73</v>
      </c>
      <c r="E1232" s="18" t="s">
        <v>73</v>
      </c>
      <c r="F1232" s="18" t="s">
        <v>73</v>
      </c>
      <c r="G1232" s="20">
        <v>0.0</v>
      </c>
      <c r="H1232" s="18" t="s">
        <v>73</v>
      </c>
      <c r="I1232" s="18" t="str">
        <f t="shared" si="1"/>
        <v>Normal Weight</v>
      </c>
    </row>
    <row r="1233" ht="15.75" customHeight="1">
      <c r="A1233" s="18" t="s">
        <v>3936</v>
      </c>
      <c r="B1233" s="18">
        <v>25.175</v>
      </c>
      <c r="C1233" s="18">
        <v>4.74</v>
      </c>
      <c r="D1233" s="18" t="s">
        <v>73</v>
      </c>
      <c r="E1233" s="18" t="s">
        <v>73</v>
      </c>
      <c r="F1233" s="18" t="s">
        <v>73</v>
      </c>
      <c r="G1233" s="20">
        <v>0.0</v>
      </c>
      <c r="H1233" s="18" t="s">
        <v>73</v>
      </c>
      <c r="I1233" s="18" t="str">
        <f t="shared" si="1"/>
        <v>Overweight</v>
      </c>
    </row>
    <row r="1234" ht="15.75" customHeight="1">
      <c r="A1234" s="18" t="s">
        <v>3940</v>
      </c>
      <c r="B1234" s="18">
        <v>44.77</v>
      </c>
      <c r="C1234" s="18">
        <v>4.06</v>
      </c>
      <c r="D1234" s="18" t="s">
        <v>73</v>
      </c>
      <c r="E1234" s="18" t="s">
        <v>73</v>
      </c>
      <c r="F1234" s="18" t="s">
        <v>73</v>
      </c>
      <c r="G1234" s="18">
        <v>2.0</v>
      </c>
      <c r="H1234" s="18" t="s">
        <v>73</v>
      </c>
      <c r="I1234" s="18" t="str">
        <f t="shared" si="1"/>
        <v>Obesity</v>
      </c>
    </row>
    <row r="1235" ht="15.75" customHeight="1">
      <c r="A1235" s="18" t="s">
        <v>3944</v>
      </c>
      <c r="B1235" s="18">
        <v>37.07</v>
      </c>
      <c r="C1235" s="18">
        <v>5.69</v>
      </c>
      <c r="D1235" s="18" t="s">
        <v>73</v>
      </c>
      <c r="E1235" s="18" t="s">
        <v>73</v>
      </c>
      <c r="F1235" s="18" t="s">
        <v>73</v>
      </c>
      <c r="G1235" s="18">
        <v>2.0</v>
      </c>
      <c r="H1235" s="18" t="s">
        <v>73</v>
      </c>
      <c r="I1235" s="18" t="str">
        <f t="shared" si="1"/>
        <v>Obesity</v>
      </c>
    </row>
    <row r="1236" ht="15.75" customHeight="1">
      <c r="A1236" s="18" t="s">
        <v>3947</v>
      </c>
      <c r="B1236" s="18">
        <v>39.8</v>
      </c>
      <c r="C1236" s="18">
        <v>5.66</v>
      </c>
      <c r="D1236" s="18" t="s">
        <v>73</v>
      </c>
      <c r="E1236" s="18" t="s">
        <v>73</v>
      </c>
      <c r="F1236" s="18" t="s">
        <v>184</v>
      </c>
      <c r="G1236" s="18">
        <v>1.0</v>
      </c>
      <c r="H1236" s="18" t="s">
        <v>73</v>
      </c>
      <c r="I1236" s="18" t="str">
        <f t="shared" si="1"/>
        <v>Obesity</v>
      </c>
    </row>
    <row r="1237" ht="15.75" customHeight="1">
      <c r="A1237" s="18" t="s">
        <v>3949</v>
      </c>
      <c r="B1237" s="18">
        <v>26.36</v>
      </c>
      <c r="C1237" s="18">
        <v>4.32</v>
      </c>
      <c r="D1237" s="18" t="s">
        <v>73</v>
      </c>
      <c r="E1237" s="18" t="s">
        <v>73</v>
      </c>
      <c r="F1237" s="18" t="s">
        <v>184</v>
      </c>
      <c r="G1237" s="18">
        <v>1.0</v>
      </c>
      <c r="H1237" s="18" t="s">
        <v>73</v>
      </c>
      <c r="I1237" s="18" t="str">
        <f t="shared" si="1"/>
        <v>Overweight</v>
      </c>
    </row>
    <row r="1238" ht="15.75" customHeight="1">
      <c r="A1238" s="18" t="s">
        <v>3953</v>
      </c>
      <c r="B1238" s="18">
        <v>29.925</v>
      </c>
      <c r="C1238" s="18">
        <v>8.29</v>
      </c>
      <c r="D1238" s="18" t="s">
        <v>73</v>
      </c>
      <c r="E1238" s="18" t="s">
        <v>73</v>
      </c>
      <c r="F1238" s="18" t="s">
        <v>73</v>
      </c>
      <c r="G1238" s="18">
        <v>2.0</v>
      </c>
      <c r="H1238" s="18" t="s">
        <v>73</v>
      </c>
      <c r="I1238" s="18" t="str">
        <f t="shared" si="1"/>
        <v>Overweight</v>
      </c>
    </row>
    <row r="1239" ht="15.75" customHeight="1">
      <c r="A1239" s="18" t="s">
        <v>3957</v>
      </c>
      <c r="B1239" s="18">
        <v>37.29</v>
      </c>
      <c r="C1239" s="18">
        <v>10.46</v>
      </c>
      <c r="D1239" s="18" t="s">
        <v>73</v>
      </c>
      <c r="E1239" s="18" t="s">
        <v>73</v>
      </c>
      <c r="F1239" s="18" t="s">
        <v>73</v>
      </c>
      <c r="G1239" s="20">
        <v>0.0</v>
      </c>
      <c r="H1239" s="18" t="s">
        <v>73</v>
      </c>
      <c r="I1239" s="18" t="str">
        <f t="shared" si="1"/>
        <v>Obesity</v>
      </c>
    </row>
    <row r="1240" ht="15.75" customHeight="1">
      <c r="A1240" s="18" t="s">
        <v>3960</v>
      </c>
      <c r="B1240" s="18">
        <v>30.2</v>
      </c>
      <c r="C1240" s="18">
        <v>11.96</v>
      </c>
      <c r="D1240" s="18" t="s">
        <v>73</v>
      </c>
      <c r="E1240" s="18" t="s">
        <v>73</v>
      </c>
      <c r="F1240" s="18" t="s">
        <v>73</v>
      </c>
      <c r="G1240" s="20">
        <v>0.0</v>
      </c>
      <c r="H1240" s="18" t="s">
        <v>73</v>
      </c>
      <c r="I1240" s="18" t="str">
        <f t="shared" si="1"/>
        <v>Obesity</v>
      </c>
    </row>
    <row r="1241" ht="15.75" customHeight="1">
      <c r="A1241" s="18" t="s">
        <v>3964</v>
      </c>
      <c r="B1241" s="18">
        <v>24.225</v>
      </c>
      <c r="C1241" s="18">
        <v>4.25</v>
      </c>
      <c r="D1241" s="18" t="s">
        <v>80</v>
      </c>
      <c r="E1241" s="18" t="s">
        <v>73</v>
      </c>
      <c r="F1241" s="18" t="s">
        <v>184</v>
      </c>
      <c r="G1241" s="18">
        <v>1.0</v>
      </c>
      <c r="H1241" s="18" t="s">
        <v>73</v>
      </c>
      <c r="I1241" s="18" t="str">
        <f t="shared" si="1"/>
        <v>Normal Weight</v>
      </c>
    </row>
    <row r="1242" ht="15.75" customHeight="1">
      <c r="A1242" s="18" t="s">
        <v>3967</v>
      </c>
      <c r="B1242" s="18">
        <v>31.445</v>
      </c>
      <c r="C1242" s="18">
        <v>8.33</v>
      </c>
      <c r="D1242" s="18" t="s">
        <v>73</v>
      </c>
      <c r="E1242" s="18" t="s">
        <v>73</v>
      </c>
      <c r="F1242" s="18" t="s">
        <v>73</v>
      </c>
      <c r="G1242" s="20">
        <v>0.0</v>
      </c>
      <c r="H1242" s="18" t="s">
        <v>73</v>
      </c>
      <c r="I1242" s="18" t="str">
        <f t="shared" si="1"/>
        <v>Obesity</v>
      </c>
    </row>
    <row r="1243" ht="15.75" customHeight="1">
      <c r="A1243" s="18" t="s">
        <v>3971</v>
      </c>
      <c r="B1243" s="18">
        <v>38.88</v>
      </c>
      <c r="C1243" s="18">
        <v>4.29</v>
      </c>
      <c r="D1243" s="18" t="s">
        <v>73</v>
      </c>
      <c r="E1243" s="18" t="s">
        <v>73</v>
      </c>
      <c r="F1243" s="18" t="s">
        <v>73</v>
      </c>
      <c r="G1243" s="18">
        <v>1.0</v>
      </c>
      <c r="H1243" s="18" t="s">
        <v>73</v>
      </c>
      <c r="I1243" s="18" t="str">
        <f t="shared" si="1"/>
        <v>Obesity</v>
      </c>
    </row>
    <row r="1244" ht="15.75" customHeight="1">
      <c r="A1244" s="18" t="s">
        <v>3974</v>
      </c>
      <c r="B1244" s="18">
        <v>43.89</v>
      </c>
      <c r="C1244" s="18">
        <v>6.32</v>
      </c>
      <c r="D1244" s="18" t="s">
        <v>80</v>
      </c>
      <c r="E1244" s="18" t="s">
        <v>73</v>
      </c>
      <c r="F1244" s="18" t="s">
        <v>73</v>
      </c>
      <c r="G1244" s="20">
        <v>0.0</v>
      </c>
      <c r="H1244" s="18" t="s">
        <v>73</v>
      </c>
      <c r="I1244" s="18" t="str">
        <f t="shared" si="1"/>
        <v>Obesity</v>
      </c>
    </row>
    <row r="1245" ht="15.75" customHeight="1">
      <c r="A1245" s="18" t="s">
        <v>3979</v>
      </c>
      <c r="B1245" s="18">
        <v>25.6</v>
      </c>
      <c r="C1245" s="18">
        <v>5.65</v>
      </c>
      <c r="D1245" s="18" t="s">
        <v>73</v>
      </c>
      <c r="E1245" s="18" t="s">
        <v>73</v>
      </c>
      <c r="F1245" s="18" t="s">
        <v>73</v>
      </c>
      <c r="G1245" s="18">
        <v>2.0</v>
      </c>
      <c r="H1245" s="18" t="s">
        <v>73</v>
      </c>
      <c r="I1245" s="18" t="str">
        <f t="shared" si="1"/>
        <v>Overweight</v>
      </c>
    </row>
    <row r="1246" ht="15.75" customHeight="1">
      <c r="A1246" s="18" t="s">
        <v>3982</v>
      </c>
      <c r="B1246" s="18">
        <v>29.545</v>
      </c>
      <c r="C1246" s="18">
        <v>8.41</v>
      </c>
      <c r="D1246" s="18" t="s">
        <v>80</v>
      </c>
      <c r="E1246" s="18" t="s">
        <v>73</v>
      </c>
      <c r="F1246" s="18" t="s">
        <v>73</v>
      </c>
      <c r="G1246" s="18">
        <v>1.0</v>
      </c>
      <c r="H1246" s="18" t="s">
        <v>73</v>
      </c>
      <c r="I1246" s="18" t="str">
        <f t="shared" si="1"/>
        <v>Overweight</v>
      </c>
    </row>
    <row r="1247" ht="15.75" customHeight="1">
      <c r="A1247" s="18" t="s">
        <v>3985</v>
      </c>
      <c r="B1247" s="18">
        <v>23.25</v>
      </c>
      <c r="C1247" s="18">
        <v>11.96</v>
      </c>
      <c r="D1247" s="18" t="s">
        <v>80</v>
      </c>
      <c r="E1247" s="18" t="s">
        <v>73</v>
      </c>
      <c r="F1247" s="18" t="s">
        <v>73</v>
      </c>
      <c r="G1247" s="20">
        <v>0.0</v>
      </c>
      <c r="H1247" s="18" t="s">
        <v>73</v>
      </c>
      <c r="I1247" s="18" t="str">
        <f t="shared" si="1"/>
        <v>Normal Weight</v>
      </c>
    </row>
    <row r="1248" ht="15.75" customHeight="1">
      <c r="A1248" s="18" t="s">
        <v>3989</v>
      </c>
      <c r="B1248" s="18">
        <v>43.95</v>
      </c>
      <c r="C1248" s="18">
        <v>5.17</v>
      </c>
      <c r="D1248" s="18" t="s">
        <v>80</v>
      </c>
      <c r="E1248" s="18" t="s">
        <v>73</v>
      </c>
      <c r="F1248" s="18" t="s">
        <v>184</v>
      </c>
      <c r="G1248" s="18">
        <v>1.0</v>
      </c>
      <c r="H1248" s="18" t="s">
        <v>73</v>
      </c>
      <c r="I1248" s="18" t="str">
        <f t="shared" si="1"/>
        <v>Obesity</v>
      </c>
    </row>
    <row r="1249" ht="15.75" customHeight="1">
      <c r="A1249" s="18" t="s">
        <v>3993</v>
      </c>
      <c r="B1249" s="18">
        <v>21.85</v>
      </c>
      <c r="C1249" s="18">
        <v>8.76</v>
      </c>
      <c r="D1249" s="18" t="s">
        <v>73</v>
      </c>
      <c r="E1249" s="18" t="s">
        <v>73</v>
      </c>
      <c r="F1249" s="18" t="s">
        <v>73</v>
      </c>
      <c r="G1249" s="20">
        <v>0.0</v>
      </c>
      <c r="H1249" s="18" t="s">
        <v>73</v>
      </c>
      <c r="I1249" s="18" t="str">
        <f t="shared" si="1"/>
        <v>Normal Weight</v>
      </c>
    </row>
    <row r="1250" ht="15.75" customHeight="1">
      <c r="A1250" s="18" t="s">
        <v>3996</v>
      </c>
      <c r="B1250" s="18">
        <v>25.73</v>
      </c>
      <c r="C1250" s="18">
        <v>7.99</v>
      </c>
      <c r="D1250" s="18" t="s">
        <v>73</v>
      </c>
      <c r="E1250" s="18" t="s">
        <v>73</v>
      </c>
      <c r="F1250" s="18" t="s">
        <v>73</v>
      </c>
      <c r="G1250" s="18">
        <v>2.0</v>
      </c>
      <c r="H1250" s="18" t="s">
        <v>73</v>
      </c>
      <c r="I1250" s="18" t="str">
        <f t="shared" si="1"/>
        <v>Overweight</v>
      </c>
    </row>
    <row r="1251" ht="15.75" customHeight="1">
      <c r="A1251" s="18" t="s">
        <v>3998</v>
      </c>
      <c r="B1251" s="18">
        <v>32.23</v>
      </c>
      <c r="C1251" s="18">
        <v>8.59</v>
      </c>
      <c r="D1251" s="18" t="s">
        <v>73</v>
      </c>
      <c r="E1251" s="18" t="s">
        <v>73</v>
      </c>
      <c r="F1251" s="18" t="s">
        <v>73</v>
      </c>
      <c r="G1251" s="20">
        <v>0.0</v>
      </c>
      <c r="H1251" s="18" t="s">
        <v>73</v>
      </c>
      <c r="I1251" s="18" t="str">
        <f t="shared" si="1"/>
        <v>Obesity</v>
      </c>
    </row>
    <row r="1252" ht="15.75" customHeight="1">
      <c r="A1252" s="18" t="s">
        <v>4003</v>
      </c>
      <c r="B1252" s="18">
        <v>32.205</v>
      </c>
      <c r="C1252" s="18">
        <v>6.14</v>
      </c>
      <c r="D1252" s="18" t="s">
        <v>73</v>
      </c>
      <c r="E1252" s="18" t="s">
        <v>73</v>
      </c>
      <c r="F1252" s="18" t="s">
        <v>73</v>
      </c>
      <c r="G1252" s="18">
        <v>2.0</v>
      </c>
      <c r="H1252" s="18" t="s">
        <v>73</v>
      </c>
      <c r="I1252" s="18" t="str">
        <f t="shared" si="1"/>
        <v>Obesity</v>
      </c>
    </row>
    <row r="1253" ht="15.75" customHeight="1">
      <c r="A1253" s="18" t="s">
        <v>4007</v>
      </c>
      <c r="B1253" s="18">
        <v>26.41</v>
      </c>
      <c r="C1253" s="18">
        <v>4.08</v>
      </c>
      <c r="D1253" s="18" t="s">
        <v>73</v>
      </c>
      <c r="E1253" s="18" t="s">
        <v>73</v>
      </c>
      <c r="F1253" s="18" t="s">
        <v>73</v>
      </c>
      <c r="G1253" s="18">
        <v>2.0</v>
      </c>
      <c r="H1253" s="18" t="s">
        <v>73</v>
      </c>
      <c r="I1253" s="18" t="str">
        <f t="shared" si="1"/>
        <v>Overweight</v>
      </c>
    </row>
    <row r="1254" ht="15.75" customHeight="1">
      <c r="A1254" s="18" t="s">
        <v>4009</v>
      </c>
      <c r="B1254" s="18">
        <v>30.2</v>
      </c>
      <c r="C1254" s="18">
        <v>6.25</v>
      </c>
      <c r="D1254" s="18" t="s">
        <v>80</v>
      </c>
      <c r="E1254" s="18" t="s">
        <v>73</v>
      </c>
      <c r="F1254" s="18" t="s">
        <v>73</v>
      </c>
      <c r="G1254" s="20">
        <v>0.0</v>
      </c>
      <c r="H1254" s="18" t="s">
        <v>73</v>
      </c>
      <c r="I1254" s="18" t="str">
        <f t="shared" si="1"/>
        <v>Obesity</v>
      </c>
    </row>
    <row r="1255" ht="15.75" customHeight="1">
      <c r="A1255" s="18" t="s">
        <v>4013</v>
      </c>
      <c r="B1255" s="18">
        <v>31.26</v>
      </c>
      <c r="C1255" s="18">
        <v>5.94</v>
      </c>
      <c r="D1255" s="18" t="s">
        <v>80</v>
      </c>
      <c r="E1255" s="18" t="s">
        <v>73</v>
      </c>
      <c r="F1255" s="18" t="s">
        <v>73</v>
      </c>
      <c r="G1255" s="18">
        <v>1.0</v>
      </c>
      <c r="H1255" s="18" t="s">
        <v>73</v>
      </c>
      <c r="I1255" s="18" t="str">
        <f t="shared" si="1"/>
        <v>Obesity</v>
      </c>
    </row>
    <row r="1256" ht="15.75" customHeight="1">
      <c r="A1256" s="18" t="s">
        <v>4016</v>
      </c>
      <c r="B1256" s="18">
        <v>33.725</v>
      </c>
      <c r="C1256" s="18">
        <v>6.45</v>
      </c>
      <c r="D1256" s="18" t="s">
        <v>80</v>
      </c>
      <c r="E1256" s="18" t="s">
        <v>73</v>
      </c>
      <c r="F1256" s="18" t="s">
        <v>73</v>
      </c>
      <c r="G1256" s="20">
        <v>0.0</v>
      </c>
      <c r="H1256" s="18" t="s">
        <v>73</v>
      </c>
      <c r="I1256" s="18" t="str">
        <f t="shared" si="1"/>
        <v>Obesity</v>
      </c>
    </row>
    <row r="1257" ht="15.75" customHeight="1">
      <c r="A1257" s="18" t="s">
        <v>4019</v>
      </c>
      <c r="B1257" s="18">
        <v>28.9</v>
      </c>
      <c r="C1257" s="18">
        <v>5.74</v>
      </c>
      <c r="D1257" s="18" t="s">
        <v>80</v>
      </c>
      <c r="E1257" s="18" t="s">
        <v>73</v>
      </c>
      <c r="F1257" s="18" t="s">
        <v>73</v>
      </c>
      <c r="G1257" s="20">
        <v>0.0</v>
      </c>
      <c r="H1257" s="18" t="s">
        <v>73</v>
      </c>
      <c r="I1257" s="18" t="str">
        <f t="shared" si="1"/>
        <v>Overweight</v>
      </c>
    </row>
    <row r="1258" ht="15.75" customHeight="1">
      <c r="A1258" s="18" t="s">
        <v>4022</v>
      </c>
      <c r="B1258" s="18">
        <v>45.69</v>
      </c>
      <c r="C1258" s="18">
        <v>4.43</v>
      </c>
      <c r="D1258" s="18" t="s">
        <v>80</v>
      </c>
      <c r="E1258" s="18" t="s">
        <v>73</v>
      </c>
      <c r="F1258" s="18" t="s">
        <v>73</v>
      </c>
      <c r="G1258" s="20">
        <v>0.0</v>
      </c>
      <c r="H1258" s="18" t="s">
        <v>73</v>
      </c>
      <c r="I1258" s="18" t="str">
        <f t="shared" si="1"/>
        <v>Obesity</v>
      </c>
    </row>
    <row r="1259" ht="15.75" customHeight="1">
      <c r="A1259" s="18" t="s">
        <v>4025</v>
      </c>
      <c r="B1259" s="18">
        <v>21.03</v>
      </c>
      <c r="C1259" s="18">
        <v>6.5</v>
      </c>
      <c r="D1259" s="18" t="s">
        <v>73</v>
      </c>
      <c r="E1259" s="18" t="s">
        <v>73</v>
      </c>
      <c r="F1259" s="18" t="s">
        <v>73</v>
      </c>
      <c r="G1259" s="20">
        <v>0.0</v>
      </c>
      <c r="H1259" s="18" t="s">
        <v>73</v>
      </c>
      <c r="I1259" s="18" t="str">
        <f t="shared" si="1"/>
        <v>Normal Weight</v>
      </c>
    </row>
    <row r="1260" ht="15.75" customHeight="1">
      <c r="A1260" s="18" t="s">
        <v>4028</v>
      </c>
      <c r="B1260" s="18">
        <v>37.0</v>
      </c>
      <c r="C1260" s="18">
        <v>8.75</v>
      </c>
      <c r="D1260" s="18" t="s">
        <v>73</v>
      </c>
      <c r="E1260" s="18" t="s">
        <v>73</v>
      </c>
      <c r="F1260" s="18" t="s">
        <v>73</v>
      </c>
      <c r="G1260" s="20">
        <v>0.0</v>
      </c>
      <c r="H1260" s="18" t="s">
        <v>73</v>
      </c>
      <c r="I1260" s="18" t="str">
        <f t="shared" si="1"/>
        <v>Obesity</v>
      </c>
    </row>
    <row r="1261" ht="15.75" customHeight="1">
      <c r="A1261" s="18" t="s">
        <v>4032</v>
      </c>
      <c r="B1261" s="18">
        <v>25.4</v>
      </c>
      <c r="C1261" s="18">
        <v>11.96</v>
      </c>
      <c r="D1261" s="18" t="s">
        <v>73</v>
      </c>
      <c r="E1261" s="18" t="s">
        <v>73</v>
      </c>
      <c r="F1261" s="18" t="s">
        <v>73</v>
      </c>
      <c r="G1261" s="20">
        <v>0.0</v>
      </c>
      <c r="H1261" s="18" t="s">
        <v>73</v>
      </c>
      <c r="I1261" s="18" t="str">
        <f t="shared" si="1"/>
        <v>Overweight</v>
      </c>
    </row>
    <row r="1262" ht="15.75" customHeight="1">
      <c r="A1262" s="18" t="s">
        <v>4035</v>
      </c>
      <c r="B1262" s="18">
        <v>32.3</v>
      </c>
      <c r="C1262" s="18">
        <v>10.54</v>
      </c>
      <c r="D1262" s="18" t="s">
        <v>73</v>
      </c>
      <c r="E1262" s="18" t="s">
        <v>73</v>
      </c>
      <c r="F1262" s="18" t="s">
        <v>73</v>
      </c>
      <c r="G1262" s="20">
        <v>0.0</v>
      </c>
      <c r="H1262" s="18" t="s">
        <v>73</v>
      </c>
      <c r="I1262" s="18" t="str">
        <f t="shared" si="1"/>
        <v>Obesity</v>
      </c>
    </row>
    <row r="1263" ht="15.75" customHeight="1">
      <c r="A1263" s="18" t="s">
        <v>4038</v>
      </c>
      <c r="B1263" s="18">
        <v>23.94</v>
      </c>
      <c r="C1263" s="18">
        <v>4.54</v>
      </c>
      <c r="D1263" s="18" t="s">
        <v>80</v>
      </c>
      <c r="E1263" s="18" t="s">
        <v>73</v>
      </c>
      <c r="F1263" s="18" t="s">
        <v>184</v>
      </c>
      <c r="G1263" s="18">
        <v>1.0</v>
      </c>
      <c r="H1263" s="18" t="s">
        <v>73</v>
      </c>
      <c r="I1263" s="18" t="str">
        <f t="shared" si="1"/>
        <v>Normal Weight</v>
      </c>
    </row>
    <row r="1264" ht="15.75" customHeight="1">
      <c r="A1264" s="18" t="s">
        <v>4042</v>
      </c>
      <c r="B1264" s="18">
        <v>46.4</v>
      </c>
      <c r="C1264" s="18">
        <v>5.71</v>
      </c>
      <c r="D1264" s="18" t="s">
        <v>73</v>
      </c>
      <c r="E1264" s="18" t="s">
        <v>73</v>
      </c>
      <c r="F1264" s="18" t="s">
        <v>73</v>
      </c>
      <c r="G1264" s="20">
        <v>0.0</v>
      </c>
      <c r="H1264" s="18" t="s">
        <v>73</v>
      </c>
      <c r="I1264" s="18" t="str">
        <f t="shared" si="1"/>
        <v>Obesity</v>
      </c>
    </row>
    <row r="1265" ht="15.75" customHeight="1">
      <c r="A1265" s="18" t="s">
        <v>4046</v>
      </c>
      <c r="B1265" s="18">
        <v>40.375</v>
      </c>
      <c r="C1265" s="18">
        <v>6.25</v>
      </c>
      <c r="D1265" s="18" t="s">
        <v>80</v>
      </c>
      <c r="E1265" s="18" t="s">
        <v>73</v>
      </c>
      <c r="F1265" s="18" t="s">
        <v>73</v>
      </c>
      <c r="G1265" s="20">
        <v>0.0</v>
      </c>
      <c r="H1265" s="18" t="s">
        <v>73</v>
      </c>
      <c r="I1265" s="18" t="str">
        <f t="shared" si="1"/>
        <v>Obesity</v>
      </c>
    </row>
    <row r="1266" ht="15.75" customHeight="1">
      <c r="A1266" s="18" t="s">
        <v>4050</v>
      </c>
      <c r="B1266" s="18">
        <v>28.7</v>
      </c>
      <c r="C1266" s="18">
        <v>9.47</v>
      </c>
      <c r="D1266" s="18" t="s">
        <v>73</v>
      </c>
      <c r="E1266" s="18" t="s">
        <v>73</v>
      </c>
      <c r="F1266" s="18" t="s">
        <v>73</v>
      </c>
      <c r="G1266" s="18">
        <v>2.0</v>
      </c>
      <c r="H1266" s="18" t="s">
        <v>73</v>
      </c>
      <c r="I1266" s="18" t="str">
        <f t="shared" si="1"/>
        <v>Overweight</v>
      </c>
    </row>
    <row r="1267" ht="15.75" customHeight="1">
      <c r="A1267" s="18" t="s">
        <v>4055</v>
      </c>
      <c r="B1267" s="18">
        <v>26.63</v>
      </c>
      <c r="C1267" s="18">
        <v>5.7</v>
      </c>
      <c r="D1267" s="18" t="s">
        <v>73</v>
      </c>
      <c r="E1267" s="18" t="s">
        <v>73</v>
      </c>
      <c r="F1267" s="18" t="s">
        <v>73</v>
      </c>
      <c r="G1267" s="20">
        <v>0.0</v>
      </c>
      <c r="H1267" s="18" t="s">
        <v>73</v>
      </c>
      <c r="I1267" s="18" t="str">
        <f t="shared" si="1"/>
        <v>Overweight</v>
      </c>
    </row>
    <row r="1268" ht="15.75" customHeight="1">
      <c r="A1268" s="18" t="s">
        <v>4057</v>
      </c>
      <c r="B1268" s="18">
        <v>22.515</v>
      </c>
      <c r="C1268" s="18">
        <v>11.18</v>
      </c>
      <c r="D1268" s="18" t="s">
        <v>73</v>
      </c>
      <c r="E1268" s="18" t="s">
        <v>73</v>
      </c>
      <c r="F1268" s="18" t="s">
        <v>73</v>
      </c>
      <c r="G1268" s="18">
        <v>2.0</v>
      </c>
      <c r="H1268" s="18" t="s">
        <v>73</v>
      </c>
      <c r="I1268" s="18" t="str">
        <f t="shared" si="1"/>
        <v>Normal Weight</v>
      </c>
    </row>
    <row r="1269" ht="15.75" customHeight="1">
      <c r="A1269" s="18" t="s">
        <v>4061</v>
      </c>
      <c r="B1269" s="18">
        <v>36.575</v>
      </c>
      <c r="C1269" s="18">
        <v>10.98</v>
      </c>
      <c r="D1269" s="18" t="s">
        <v>73</v>
      </c>
      <c r="E1269" s="18" t="s">
        <v>73</v>
      </c>
      <c r="F1269" s="18" t="s">
        <v>73</v>
      </c>
      <c r="G1269" s="20">
        <v>0.0</v>
      </c>
      <c r="H1269" s="18" t="s">
        <v>73</v>
      </c>
      <c r="I1269" s="18" t="str">
        <f t="shared" si="1"/>
        <v>Obesity</v>
      </c>
    </row>
    <row r="1270" ht="15.75" customHeight="1">
      <c r="A1270" s="18" t="s">
        <v>4065</v>
      </c>
      <c r="B1270" s="18">
        <v>23.66</v>
      </c>
      <c r="C1270" s="18">
        <v>5.11</v>
      </c>
      <c r="D1270" s="18" t="s">
        <v>80</v>
      </c>
      <c r="E1270" s="18" t="s">
        <v>73</v>
      </c>
      <c r="F1270" s="18" t="s">
        <v>184</v>
      </c>
      <c r="G1270" s="18">
        <v>1.0</v>
      </c>
      <c r="H1270" s="18" t="s">
        <v>73</v>
      </c>
      <c r="I1270" s="18" t="str">
        <f t="shared" si="1"/>
        <v>Normal Weight</v>
      </c>
    </row>
    <row r="1271" ht="15.75" customHeight="1">
      <c r="A1271" s="18" t="s">
        <v>4067</v>
      </c>
      <c r="B1271" s="18">
        <v>18.62</v>
      </c>
      <c r="C1271" s="18">
        <v>10.24</v>
      </c>
      <c r="D1271" s="18" t="s">
        <v>73</v>
      </c>
      <c r="E1271" s="18" t="s">
        <v>73</v>
      </c>
      <c r="F1271" s="18" t="s">
        <v>73</v>
      </c>
      <c r="G1271" s="20">
        <v>0.0</v>
      </c>
      <c r="H1271" s="18" t="s">
        <v>73</v>
      </c>
      <c r="I1271" s="18" t="str">
        <f t="shared" si="1"/>
        <v>Normal Weight</v>
      </c>
    </row>
    <row r="1272" ht="15.75" customHeight="1">
      <c r="A1272" s="18" t="s">
        <v>4070</v>
      </c>
      <c r="B1272" s="18">
        <v>19.19</v>
      </c>
      <c r="C1272" s="18">
        <v>7.71</v>
      </c>
      <c r="D1272" s="18" t="s">
        <v>80</v>
      </c>
      <c r="E1272" s="18" t="s">
        <v>73</v>
      </c>
      <c r="F1272" s="18" t="s">
        <v>73</v>
      </c>
      <c r="G1272" s="18">
        <v>1.0</v>
      </c>
      <c r="H1272" s="18" t="s">
        <v>73</v>
      </c>
      <c r="I1272" s="18" t="str">
        <f t="shared" si="1"/>
        <v>Normal Weight</v>
      </c>
    </row>
    <row r="1273" ht="15.75" customHeight="1">
      <c r="A1273" s="18" t="s">
        <v>4072</v>
      </c>
      <c r="B1273" s="18">
        <v>27.5</v>
      </c>
      <c r="C1273" s="18">
        <v>6.03</v>
      </c>
      <c r="D1273" s="18" t="s">
        <v>73</v>
      </c>
      <c r="E1273" s="18" t="s">
        <v>73</v>
      </c>
      <c r="F1273" s="18" t="s">
        <v>73</v>
      </c>
      <c r="G1273" s="20">
        <v>0.0</v>
      </c>
      <c r="H1273" s="18" t="s">
        <v>73</v>
      </c>
      <c r="I1273" s="18" t="str">
        <f t="shared" si="1"/>
        <v>Overweight</v>
      </c>
    </row>
    <row r="1274" ht="15.75" customHeight="1">
      <c r="A1274" s="18" t="s">
        <v>4076</v>
      </c>
      <c r="B1274" s="18">
        <v>27.36</v>
      </c>
      <c r="C1274" s="18">
        <v>5.96</v>
      </c>
      <c r="D1274" s="18" t="s">
        <v>73</v>
      </c>
      <c r="E1274" s="18" t="s">
        <v>73</v>
      </c>
      <c r="F1274" s="18" t="s">
        <v>184</v>
      </c>
      <c r="G1274" s="18">
        <v>1.0</v>
      </c>
      <c r="H1274" s="18" t="s">
        <v>73</v>
      </c>
      <c r="I1274" s="18" t="str">
        <f t="shared" si="1"/>
        <v>Overweight</v>
      </c>
    </row>
    <row r="1275" ht="15.75" customHeight="1">
      <c r="A1275" s="18" t="s">
        <v>4079</v>
      </c>
      <c r="B1275" s="18">
        <v>20.35</v>
      </c>
      <c r="C1275" s="18">
        <v>4.16</v>
      </c>
      <c r="D1275" s="18" t="s">
        <v>73</v>
      </c>
      <c r="E1275" s="18" t="s">
        <v>73</v>
      </c>
      <c r="F1275" s="18" t="s">
        <v>73</v>
      </c>
      <c r="G1275" s="20">
        <v>0.0</v>
      </c>
      <c r="H1275" s="18" t="s">
        <v>73</v>
      </c>
      <c r="I1275" s="18" t="str">
        <f t="shared" si="1"/>
        <v>Normal Weight</v>
      </c>
    </row>
    <row r="1276" ht="15.75" customHeight="1">
      <c r="A1276" s="18" t="s">
        <v>4082</v>
      </c>
      <c r="B1276" s="18">
        <v>24.035</v>
      </c>
      <c r="C1276" s="18">
        <v>6.11</v>
      </c>
      <c r="D1276" s="18" t="s">
        <v>73</v>
      </c>
      <c r="E1276" s="18" t="s">
        <v>73</v>
      </c>
      <c r="F1276" s="18" t="s">
        <v>73</v>
      </c>
      <c r="G1276" s="20">
        <v>0.0</v>
      </c>
      <c r="H1276" s="18" t="s">
        <v>73</v>
      </c>
      <c r="I1276" s="18" t="str">
        <f t="shared" si="1"/>
        <v>Normal Weight</v>
      </c>
    </row>
    <row r="1277" ht="15.75" customHeight="1">
      <c r="A1277" s="18" t="s">
        <v>4084</v>
      </c>
      <c r="B1277" s="18">
        <v>23.56</v>
      </c>
      <c r="C1277" s="18">
        <v>5.97</v>
      </c>
      <c r="D1277" s="18" t="s">
        <v>73</v>
      </c>
      <c r="E1277" s="18" t="s">
        <v>73</v>
      </c>
      <c r="F1277" s="18" t="s">
        <v>73</v>
      </c>
      <c r="G1277" s="20">
        <v>0.0</v>
      </c>
      <c r="H1277" s="18" t="s">
        <v>73</v>
      </c>
      <c r="I1277" s="18" t="str">
        <f t="shared" si="1"/>
        <v>Normal Weight</v>
      </c>
    </row>
    <row r="1278" ht="15.75" customHeight="1">
      <c r="A1278" s="18" t="s">
        <v>4086</v>
      </c>
      <c r="B1278" s="18">
        <v>27.17</v>
      </c>
      <c r="C1278" s="18">
        <v>10.81</v>
      </c>
      <c r="D1278" s="18" t="s">
        <v>73</v>
      </c>
      <c r="E1278" s="18" t="s">
        <v>73</v>
      </c>
      <c r="F1278" s="18" t="s">
        <v>73</v>
      </c>
      <c r="G1278" s="18">
        <v>2.0</v>
      </c>
      <c r="H1278" s="18" t="s">
        <v>73</v>
      </c>
      <c r="I1278" s="18" t="str">
        <f t="shared" si="1"/>
        <v>Overweight</v>
      </c>
    </row>
    <row r="1279" ht="15.75" customHeight="1">
      <c r="A1279" s="18" t="s">
        <v>4090</v>
      </c>
      <c r="B1279" s="18">
        <v>34.32</v>
      </c>
      <c r="C1279" s="18">
        <v>5.7</v>
      </c>
      <c r="D1279" s="18" t="s">
        <v>80</v>
      </c>
      <c r="E1279" s="18" t="s">
        <v>73</v>
      </c>
      <c r="F1279" s="18" t="s">
        <v>184</v>
      </c>
      <c r="G1279" s="18">
        <v>1.0</v>
      </c>
      <c r="H1279" s="18" t="s">
        <v>73</v>
      </c>
      <c r="I1279" s="18" t="str">
        <f t="shared" si="1"/>
        <v>Obesity</v>
      </c>
    </row>
    <row r="1280" ht="15.75" customHeight="1">
      <c r="A1280" s="18" t="s">
        <v>4094</v>
      </c>
      <c r="B1280" s="18">
        <v>23.87</v>
      </c>
      <c r="C1280" s="18">
        <v>4.77</v>
      </c>
      <c r="D1280" s="18" t="s">
        <v>80</v>
      </c>
      <c r="E1280" s="18" t="s">
        <v>73</v>
      </c>
      <c r="F1280" s="18" t="s">
        <v>184</v>
      </c>
      <c r="G1280" s="18">
        <v>1.0</v>
      </c>
      <c r="H1280" s="18" t="s">
        <v>73</v>
      </c>
      <c r="I1280" s="18" t="str">
        <f t="shared" si="1"/>
        <v>Normal Weight</v>
      </c>
    </row>
    <row r="1281" ht="15.75" customHeight="1">
      <c r="A1281" s="18" t="s">
        <v>4097</v>
      </c>
      <c r="B1281" s="18">
        <v>30.15</v>
      </c>
      <c r="C1281" s="18">
        <v>4.25</v>
      </c>
      <c r="D1281" s="18" t="s">
        <v>73</v>
      </c>
      <c r="E1281" s="18" t="s">
        <v>73</v>
      </c>
      <c r="F1281" s="18" t="s">
        <v>73</v>
      </c>
      <c r="G1281" s="18">
        <v>1.0</v>
      </c>
      <c r="H1281" s="18" t="s">
        <v>73</v>
      </c>
      <c r="I1281" s="18" t="str">
        <f t="shared" si="1"/>
        <v>Obesity</v>
      </c>
    </row>
    <row r="1282" ht="15.75" customHeight="1">
      <c r="A1282" s="18" t="s">
        <v>4101</v>
      </c>
      <c r="B1282" s="18">
        <v>26.36</v>
      </c>
      <c r="C1282" s="18">
        <v>5.52</v>
      </c>
      <c r="D1282" s="18" t="s">
        <v>73</v>
      </c>
      <c r="E1282" s="18" t="s">
        <v>73</v>
      </c>
      <c r="F1282" s="18" t="s">
        <v>73</v>
      </c>
      <c r="G1282" s="20">
        <v>0.0</v>
      </c>
      <c r="H1282" s="18" t="s">
        <v>73</v>
      </c>
      <c r="I1282" s="18" t="str">
        <f t="shared" si="1"/>
        <v>Overweight</v>
      </c>
    </row>
    <row r="1283" ht="15.75" customHeight="1">
      <c r="A1283" s="18" t="s">
        <v>4104</v>
      </c>
      <c r="B1283" s="18">
        <v>45.32</v>
      </c>
      <c r="C1283" s="18">
        <v>6.53</v>
      </c>
      <c r="D1283" s="18" t="s">
        <v>80</v>
      </c>
      <c r="E1283" s="18" t="s">
        <v>73</v>
      </c>
      <c r="F1283" s="18" t="s">
        <v>73</v>
      </c>
      <c r="G1283" s="18">
        <v>1.0</v>
      </c>
      <c r="H1283" s="18" t="s">
        <v>73</v>
      </c>
      <c r="I1283" s="18" t="str">
        <f t="shared" si="1"/>
        <v>Obesity</v>
      </c>
    </row>
    <row r="1284" ht="15.75" customHeight="1">
      <c r="A1284" s="18" t="s">
        <v>4107</v>
      </c>
      <c r="B1284" s="18">
        <v>31.93</v>
      </c>
      <c r="C1284" s="18">
        <v>4.82</v>
      </c>
      <c r="D1284" s="18" t="s">
        <v>80</v>
      </c>
      <c r="E1284" s="18" t="s">
        <v>73</v>
      </c>
      <c r="F1284" s="18" t="s">
        <v>73</v>
      </c>
      <c r="G1284" s="18">
        <v>1.0</v>
      </c>
      <c r="H1284" s="18" t="s">
        <v>73</v>
      </c>
      <c r="I1284" s="18" t="str">
        <f t="shared" si="1"/>
        <v>Obesity</v>
      </c>
    </row>
    <row r="1285" ht="15.75" customHeight="1">
      <c r="A1285" s="18" t="s">
        <v>4109</v>
      </c>
      <c r="B1285" s="18">
        <v>36.0</v>
      </c>
      <c r="C1285" s="18">
        <v>11.94</v>
      </c>
      <c r="D1285" s="18" t="s">
        <v>80</v>
      </c>
      <c r="E1285" s="18" t="s">
        <v>73</v>
      </c>
      <c r="F1285" s="18" t="s">
        <v>73</v>
      </c>
      <c r="G1285" s="18">
        <v>1.0</v>
      </c>
      <c r="H1285" s="18" t="s">
        <v>73</v>
      </c>
      <c r="I1285" s="18" t="str">
        <f t="shared" si="1"/>
        <v>Obesity</v>
      </c>
    </row>
    <row r="1286" ht="15.75" customHeight="1">
      <c r="A1286" s="18" t="s">
        <v>4113</v>
      </c>
      <c r="B1286" s="18">
        <v>32.0</v>
      </c>
      <c r="C1286" s="18">
        <v>7.85</v>
      </c>
      <c r="D1286" s="18" t="s">
        <v>80</v>
      </c>
      <c r="E1286" s="18" t="s">
        <v>73</v>
      </c>
      <c r="F1286" s="18" t="s">
        <v>73</v>
      </c>
      <c r="G1286" s="18">
        <v>1.0</v>
      </c>
      <c r="H1286" s="18" t="s">
        <v>73</v>
      </c>
      <c r="I1286" s="18" t="str">
        <f t="shared" si="1"/>
        <v>Obesity</v>
      </c>
    </row>
    <row r="1287" ht="15.75" customHeight="1">
      <c r="A1287" s="18" t="s">
        <v>4116</v>
      </c>
      <c r="B1287" s="18">
        <v>29.37</v>
      </c>
      <c r="C1287" s="18">
        <v>8.01</v>
      </c>
      <c r="D1287" s="18" t="s">
        <v>80</v>
      </c>
      <c r="E1287" s="18" t="s">
        <v>73</v>
      </c>
      <c r="F1287" s="18" t="s">
        <v>73</v>
      </c>
      <c r="G1287" s="18">
        <v>1.0</v>
      </c>
      <c r="H1287" s="18" t="s">
        <v>73</v>
      </c>
      <c r="I1287" s="18" t="str">
        <f t="shared" si="1"/>
        <v>Overweight</v>
      </c>
    </row>
    <row r="1288" ht="15.75" customHeight="1">
      <c r="A1288" s="18" t="s">
        <v>4120</v>
      </c>
      <c r="B1288" s="18">
        <v>23.6</v>
      </c>
      <c r="C1288" s="18">
        <v>7.4</v>
      </c>
      <c r="D1288" s="18" t="s">
        <v>80</v>
      </c>
      <c r="E1288" s="18" t="s">
        <v>73</v>
      </c>
      <c r="F1288" s="18" t="s">
        <v>73</v>
      </c>
      <c r="G1288" s="18">
        <v>1.0</v>
      </c>
      <c r="H1288" s="18" t="s">
        <v>73</v>
      </c>
      <c r="I1288" s="18" t="str">
        <f t="shared" si="1"/>
        <v>Normal Weight</v>
      </c>
    </row>
    <row r="1289" ht="15.75" customHeight="1">
      <c r="A1289" s="18" t="s">
        <v>4122</v>
      </c>
      <c r="B1289" s="18">
        <v>33.155</v>
      </c>
      <c r="C1289" s="18">
        <v>8.38</v>
      </c>
      <c r="D1289" s="18" t="s">
        <v>80</v>
      </c>
      <c r="E1289" s="18" t="s">
        <v>73</v>
      </c>
      <c r="F1289" s="18" t="s">
        <v>73</v>
      </c>
      <c r="G1289" s="20">
        <v>0.0</v>
      </c>
      <c r="H1289" s="18" t="s">
        <v>73</v>
      </c>
      <c r="I1289" s="18" t="str">
        <f t="shared" si="1"/>
        <v>Obesity</v>
      </c>
    </row>
    <row r="1290" ht="15.75" customHeight="1">
      <c r="A1290" s="18" t="s">
        <v>4125</v>
      </c>
      <c r="B1290" s="18">
        <v>24.32</v>
      </c>
      <c r="C1290" s="18">
        <v>11.56</v>
      </c>
      <c r="D1290" s="18" t="s">
        <v>80</v>
      </c>
      <c r="E1290" s="18" t="s">
        <v>73</v>
      </c>
      <c r="F1290" s="18" t="s">
        <v>73</v>
      </c>
      <c r="G1290" s="18">
        <v>1.0</v>
      </c>
      <c r="H1290" s="18" t="s">
        <v>73</v>
      </c>
      <c r="I1290" s="18" t="str">
        <f t="shared" si="1"/>
        <v>Normal Weight</v>
      </c>
    </row>
    <row r="1291" ht="15.75" customHeight="1">
      <c r="A1291" s="18" t="s">
        <v>4128</v>
      </c>
      <c r="B1291" s="18">
        <v>36.3</v>
      </c>
      <c r="C1291" s="18">
        <v>4.61</v>
      </c>
      <c r="D1291" s="18" t="s">
        <v>73</v>
      </c>
      <c r="E1291" s="18" t="s">
        <v>73</v>
      </c>
      <c r="F1291" s="18" t="s">
        <v>73</v>
      </c>
      <c r="G1291" s="20">
        <v>0.0</v>
      </c>
      <c r="H1291" s="18" t="s">
        <v>73</v>
      </c>
      <c r="I1291" s="18" t="str">
        <f t="shared" si="1"/>
        <v>Obesity</v>
      </c>
    </row>
    <row r="1292" ht="15.75" customHeight="1">
      <c r="A1292" s="18" t="s">
        <v>4132</v>
      </c>
      <c r="B1292" s="18">
        <v>34.4</v>
      </c>
      <c r="C1292" s="18">
        <v>4.95</v>
      </c>
      <c r="D1292" s="18" t="s">
        <v>73</v>
      </c>
      <c r="E1292" s="18" t="s">
        <v>73</v>
      </c>
      <c r="F1292" s="18" t="s">
        <v>184</v>
      </c>
      <c r="G1292" s="18">
        <v>1.0</v>
      </c>
      <c r="H1292" s="18" t="s">
        <v>73</v>
      </c>
      <c r="I1292" s="18" t="str">
        <f t="shared" si="1"/>
        <v>Obesity</v>
      </c>
    </row>
    <row r="1293" ht="15.75" customHeight="1">
      <c r="A1293" s="18" t="s">
        <v>4134</v>
      </c>
      <c r="B1293" s="18">
        <v>30.9</v>
      </c>
      <c r="C1293" s="18">
        <v>5.04</v>
      </c>
      <c r="D1293" s="18" t="s">
        <v>73</v>
      </c>
      <c r="E1293" s="18" t="s">
        <v>73</v>
      </c>
      <c r="F1293" s="18" t="s">
        <v>73</v>
      </c>
      <c r="G1293" s="20">
        <v>0.0</v>
      </c>
      <c r="H1293" s="18" t="s">
        <v>73</v>
      </c>
      <c r="I1293" s="18" t="str">
        <f t="shared" si="1"/>
        <v>Obesity</v>
      </c>
    </row>
    <row r="1294" ht="15.75" customHeight="1">
      <c r="A1294" s="18" t="s">
        <v>4137</v>
      </c>
      <c r="B1294" s="18">
        <v>28.6</v>
      </c>
      <c r="C1294" s="18">
        <v>5.42</v>
      </c>
      <c r="D1294" s="18" t="s">
        <v>73</v>
      </c>
      <c r="E1294" s="18" t="s">
        <v>73</v>
      </c>
      <c r="F1294" s="18" t="s">
        <v>73</v>
      </c>
      <c r="G1294" s="20">
        <v>0.0</v>
      </c>
      <c r="H1294" s="18" t="s">
        <v>73</v>
      </c>
      <c r="I1294" s="18" t="str">
        <f t="shared" si="1"/>
        <v>Overweight</v>
      </c>
    </row>
    <row r="1295" ht="15.75" customHeight="1">
      <c r="A1295" s="18" t="s">
        <v>4141</v>
      </c>
      <c r="B1295" s="18">
        <v>27.83</v>
      </c>
      <c r="C1295" s="18">
        <v>5.39</v>
      </c>
      <c r="D1295" s="18" t="s">
        <v>73</v>
      </c>
      <c r="E1295" s="18" t="s">
        <v>73</v>
      </c>
      <c r="F1295" s="18" t="s">
        <v>73</v>
      </c>
      <c r="G1295" s="20">
        <v>0.0</v>
      </c>
      <c r="H1295" s="18" t="s">
        <v>73</v>
      </c>
      <c r="I1295" s="18" t="str">
        <f t="shared" si="1"/>
        <v>Overweight</v>
      </c>
    </row>
    <row r="1296" ht="15.75" customHeight="1">
      <c r="A1296" s="18" t="s">
        <v>4144</v>
      </c>
      <c r="B1296" s="18">
        <v>39.64</v>
      </c>
      <c r="C1296" s="18">
        <v>6.0</v>
      </c>
      <c r="D1296" s="18" t="s">
        <v>73</v>
      </c>
      <c r="E1296" s="18" t="s">
        <v>73</v>
      </c>
      <c r="F1296" s="18" t="s">
        <v>184</v>
      </c>
      <c r="G1296" s="18">
        <v>1.0</v>
      </c>
      <c r="H1296" s="18" t="s">
        <v>73</v>
      </c>
      <c r="I1296" s="18" t="str">
        <f t="shared" si="1"/>
        <v>Obesity</v>
      </c>
    </row>
    <row r="1297" ht="15.75" customHeight="1">
      <c r="A1297" s="18" t="s">
        <v>4148</v>
      </c>
      <c r="B1297" s="18">
        <v>38.48</v>
      </c>
      <c r="C1297" s="18">
        <v>6.02</v>
      </c>
      <c r="D1297" s="18" t="s">
        <v>73</v>
      </c>
      <c r="E1297" s="18" t="s">
        <v>73</v>
      </c>
      <c r="F1297" s="18" t="s">
        <v>73</v>
      </c>
      <c r="G1297" s="18">
        <v>1.0</v>
      </c>
      <c r="H1297" s="18" t="s">
        <v>73</v>
      </c>
      <c r="I1297" s="18" t="str">
        <f t="shared" si="1"/>
        <v>Obesity</v>
      </c>
    </row>
    <row r="1298" ht="15.75" customHeight="1">
      <c r="A1298" s="18" t="s">
        <v>4151</v>
      </c>
      <c r="B1298" s="18">
        <v>36.2</v>
      </c>
      <c r="C1298" s="18">
        <v>4.62</v>
      </c>
      <c r="D1298" s="18" t="s">
        <v>73</v>
      </c>
      <c r="E1298" s="18" t="s">
        <v>73</v>
      </c>
      <c r="F1298" s="18" t="s">
        <v>73</v>
      </c>
      <c r="G1298" s="18">
        <v>2.0</v>
      </c>
      <c r="H1298" s="18" t="s">
        <v>73</v>
      </c>
      <c r="I1298" s="18" t="str">
        <f t="shared" si="1"/>
        <v>Obesity</v>
      </c>
    </row>
    <row r="1299" ht="15.75" customHeight="1">
      <c r="A1299" s="18" t="s">
        <v>4155</v>
      </c>
      <c r="B1299" s="18">
        <v>27.13</v>
      </c>
      <c r="C1299" s="18">
        <v>5.59</v>
      </c>
      <c r="D1299" s="18" t="s">
        <v>73</v>
      </c>
      <c r="E1299" s="18" t="s">
        <v>73</v>
      </c>
      <c r="F1299" s="18" t="s">
        <v>73</v>
      </c>
      <c r="G1299" s="18">
        <v>1.0</v>
      </c>
      <c r="H1299" s="18" t="s">
        <v>73</v>
      </c>
      <c r="I1299" s="18" t="str">
        <f t="shared" si="1"/>
        <v>Overweight</v>
      </c>
    </row>
    <row r="1300" ht="15.75" customHeight="1">
      <c r="A1300" s="18" t="s">
        <v>4158</v>
      </c>
      <c r="B1300" s="18">
        <v>20.75</v>
      </c>
      <c r="C1300" s="18">
        <v>5.18</v>
      </c>
      <c r="D1300" s="18" t="s">
        <v>80</v>
      </c>
      <c r="E1300" s="18" t="s">
        <v>73</v>
      </c>
      <c r="F1300" s="18" t="s">
        <v>73</v>
      </c>
      <c r="G1300" s="18">
        <v>2.0</v>
      </c>
      <c r="H1300" s="18" t="s">
        <v>73</v>
      </c>
      <c r="I1300" s="18" t="str">
        <f t="shared" si="1"/>
        <v>Normal Weight</v>
      </c>
    </row>
    <row r="1301" ht="15.75" customHeight="1">
      <c r="A1301" s="18" t="s">
        <v>4161</v>
      </c>
      <c r="B1301" s="18">
        <v>26.6</v>
      </c>
      <c r="C1301" s="18">
        <v>6.29</v>
      </c>
      <c r="D1301" s="18" t="s">
        <v>73</v>
      </c>
      <c r="E1301" s="18" t="s">
        <v>73</v>
      </c>
      <c r="F1301" s="18" t="s">
        <v>73</v>
      </c>
      <c r="G1301" s="18">
        <v>2.0</v>
      </c>
      <c r="H1301" s="18" t="s">
        <v>73</v>
      </c>
      <c r="I1301" s="18" t="str">
        <f t="shared" si="1"/>
        <v>Overweight</v>
      </c>
    </row>
    <row r="1302" ht="15.75" customHeight="1">
      <c r="A1302" s="18" t="s">
        <v>4163</v>
      </c>
      <c r="B1302" s="18">
        <v>25.3</v>
      </c>
      <c r="C1302" s="18">
        <v>4.49</v>
      </c>
      <c r="D1302" s="18" t="s">
        <v>73</v>
      </c>
      <c r="E1302" s="18" t="s">
        <v>73</v>
      </c>
      <c r="F1302" s="18" t="s">
        <v>73</v>
      </c>
      <c r="G1302" s="18">
        <v>2.0</v>
      </c>
      <c r="H1302" s="18" t="s">
        <v>73</v>
      </c>
      <c r="I1302" s="18" t="str">
        <f t="shared" si="1"/>
        <v>Overweight</v>
      </c>
    </row>
    <row r="1303" ht="15.75" customHeight="1">
      <c r="A1303" s="18" t="s">
        <v>4167</v>
      </c>
      <c r="B1303" s="18">
        <v>18.84</v>
      </c>
      <c r="C1303" s="18">
        <v>11.82</v>
      </c>
      <c r="D1303" s="18" t="s">
        <v>80</v>
      </c>
      <c r="E1303" s="18" t="s">
        <v>73</v>
      </c>
      <c r="F1303" s="18" t="s">
        <v>184</v>
      </c>
      <c r="G1303" s="18">
        <v>1.0</v>
      </c>
      <c r="H1303" s="18" t="s">
        <v>73</v>
      </c>
      <c r="I1303" s="18" t="str">
        <f t="shared" si="1"/>
        <v>Normal Weight</v>
      </c>
    </row>
    <row r="1304" ht="15.75" customHeight="1">
      <c r="A1304" s="18" t="s">
        <v>4170</v>
      </c>
      <c r="B1304" s="18">
        <v>19.57</v>
      </c>
      <c r="C1304" s="18">
        <v>7.41</v>
      </c>
      <c r="D1304" s="18" t="s">
        <v>80</v>
      </c>
      <c r="E1304" s="18" t="s">
        <v>73</v>
      </c>
      <c r="F1304" s="18" t="s">
        <v>73</v>
      </c>
      <c r="G1304" s="18">
        <v>1.0</v>
      </c>
      <c r="H1304" s="18" t="s">
        <v>73</v>
      </c>
      <c r="I1304" s="18" t="str">
        <f t="shared" si="1"/>
        <v>Normal Weight</v>
      </c>
    </row>
    <row r="1305" ht="15.75" customHeight="1">
      <c r="A1305" s="18" t="s">
        <v>4174</v>
      </c>
      <c r="B1305" s="18">
        <v>30.495</v>
      </c>
      <c r="C1305" s="18">
        <v>5.97</v>
      </c>
      <c r="D1305" s="18" t="s">
        <v>73</v>
      </c>
      <c r="E1305" s="18" t="s">
        <v>73</v>
      </c>
      <c r="F1305" s="18" t="s">
        <v>73</v>
      </c>
      <c r="G1305" s="20">
        <v>0.0</v>
      </c>
      <c r="H1305" s="18" t="s">
        <v>73</v>
      </c>
      <c r="I1305" s="18" t="str">
        <f t="shared" si="1"/>
        <v>Obesity</v>
      </c>
    </row>
    <row r="1306" ht="15.75" customHeight="1">
      <c r="A1306" s="18" t="s">
        <v>4176</v>
      </c>
      <c r="B1306" s="18">
        <v>30.115</v>
      </c>
      <c r="C1306" s="18">
        <v>5.74</v>
      </c>
      <c r="D1306" s="18" t="s">
        <v>73</v>
      </c>
      <c r="E1306" s="18" t="s">
        <v>73</v>
      </c>
      <c r="F1306" s="18" t="s">
        <v>184</v>
      </c>
      <c r="G1306" s="18">
        <v>1.0</v>
      </c>
      <c r="H1306" s="18" t="s">
        <v>73</v>
      </c>
      <c r="I1306" s="18" t="str">
        <f t="shared" si="1"/>
        <v>Obesity</v>
      </c>
    </row>
    <row r="1307" ht="15.75" customHeight="1">
      <c r="A1307" s="18" t="s">
        <v>4178</v>
      </c>
      <c r="B1307" s="18">
        <v>24.78</v>
      </c>
      <c r="C1307" s="18">
        <v>9.85</v>
      </c>
      <c r="D1307" s="18" t="s">
        <v>73</v>
      </c>
      <c r="E1307" s="18" t="s">
        <v>73</v>
      </c>
      <c r="F1307" s="18" t="s">
        <v>73</v>
      </c>
      <c r="G1307" s="20">
        <v>0.0</v>
      </c>
      <c r="H1307" s="18" t="s">
        <v>73</v>
      </c>
      <c r="I1307" s="18" t="str">
        <f t="shared" si="1"/>
        <v>Normal Weight</v>
      </c>
    </row>
    <row r="1308" ht="15.75" customHeight="1">
      <c r="A1308" s="18" t="s">
        <v>4182</v>
      </c>
      <c r="B1308" s="18">
        <v>24.77</v>
      </c>
      <c r="C1308" s="18">
        <v>7.59</v>
      </c>
      <c r="D1308" s="18" t="s">
        <v>73</v>
      </c>
      <c r="E1308" s="18" t="s">
        <v>73</v>
      </c>
      <c r="F1308" s="18" t="s">
        <v>73</v>
      </c>
      <c r="G1308" s="20">
        <v>0.0</v>
      </c>
      <c r="H1308" s="18" t="s">
        <v>73</v>
      </c>
      <c r="I1308" s="18" t="str">
        <f t="shared" si="1"/>
        <v>Normal Weight</v>
      </c>
    </row>
    <row r="1309" ht="15.75" customHeight="1">
      <c r="A1309" s="18" t="s">
        <v>4186</v>
      </c>
      <c r="B1309" s="18">
        <v>16.58</v>
      </c>
      <c r="C1309" s="18">
        <v>6.98</v>
      </c>
      <c r="D1309" s="18" t="s">
        <v>80</v>
      </c>
      <c r="E1309" s="18" t="s">
        <v>73</v>
      </c>
      <c r="F1309" s="18" t="s">
        <v>184</v>
      </c>
      <c r="G1309" s="18">
        <v>1.0</v>
      </c>
      <c r="H1309" s="18" t="s">
        <v>73</v>
      </c>
      <c r="I1309" s="18" t="str">
        <f t="shared" si="1"/>
        <v>Underweight</v>
      </c>
    </row>
    <row r="1310" ht="15.75" customHeight="1">
      <c r="A1310" s="18" t="s">
        <v>4188</v>
      </c>
      <c r="B1310" s="18">
        <v>38.17</v>
      </c>
      <c r="C1310" s="18">
        <v>4.73</v>
      </c>
      <c r="D1310" s="18" t="s">
        <v>80</v>
      </c>
      <c r="E1310" s="18" t="s">
        <v>73</v>
      </c>
      <c r="F1310" s="18" t="s">
        <v>73</v>
      </c>
      <c r="G1310" s="20">
        <v>0.0</v>
      </c>
      <c r="H1310" s="18" t="s">
        <v>73</v>
      </c>
      <c r="I1310" s="18" t="str">
        <f t="shared" si="1"/>
        <v>Obesity</v>
      </c>
    </row>
    <row r="1311" ht="15.75" customHeight="1">
      <c r="A1311" s="18" t="s">
        <v>4190</v>
      </c>
      <c r="B1311" s="18">
        <v>39.425</v>
      </c>
      <c r="C1311" s="18">
        <v>4.76</v>
      </c>
      <c r="D1311" s="18" t="s">
        <v>80</v>
      </c>
      <c r="E1311" s="18" t="s">
        <v>73</v>
      </c>
      <c r="F1311" s="18" t="s">
        <v>73</v>
      </c>
      <c r="G1311" s="20">
        <v>0.0</v>
      </c>
      <c r="H1311" s="18" t="s">
        <v>73</v>
      </c>
      <c r="I1311" s="18" t="str">
        <f t="shared" si="1"/>
        <v>Obesity</v>
      </c>
    </row>
    <row r="1312" ht="15.75" customHeight="1">
      <c r="A1312" s="18" t="s">
        <v>4194</v>
      </c>
      <c r="B1312" s="18">
        <v>33.44</v>
      </c>
      <c r="C1312" s="18">
        <v>6.24</v>
      </c>
      <c r="D1312" s="18" t="s">
        <v>80</v>
      </c>
      <c r="E1312" s="18" t="s">
        <v>73</v>
      </c>
      <c r="F1312" s="18" t="s">
        <v>73</v>
      </c>
      <c r="G1312" s="20">
        <v>0.0</v>
      </c>
      <c r="H1312" s="18" t="s">
        <v>73</v>
      </c>
      <c r="I1312" s="18" t="str">
        <f t="shared" si="1"/>
        <v>Obesity</v>
      </c>
    </row>
    <row r="1313" ht="15.75" customHeight="1">
      <c r="A1313" s="18" t="s">
        <v>4197</v>
      </c>
      <c r="B1313" s="18">
        <v>33.345</v>
      </c>
      <c r="C1313" s="18">
        <v>5.44</v>
      </c>
      <c r="D1313" s="18" t="s">
        <v>80</v>
      </c>
      <c r="E1313" s="18" t="s">
        <v>73</v>
      </c>
      <c r="F1313" s="18" t="s">
        <v>73</v>
      </c>
      <c r="G1313" s="20">
        <v>0.0</v>
      </c>
      <c r="H1313" s="18" t="s">
        <v>73</v>
      </c>
      <c r="I1313" s="18" t="str">
        <f t="shared" si="1"/>
        <v>Obesity</v>
      </c>
    </row>
    <row r="1314" ht="15.75" customHeight="1">
      <c r="A1314" s="18" t="s">
        <v>4200</v>
      </c>
      <c r="B1314" s="18">
        <v>38.79</v>
      </c>
      <c r="C1314" s="18">
        <v>5.08</v>
      </c>
      <c r="D1314" s="18" t="s">
        <v>73</v>
      </c>
      <c r="E1314" s="18" t="s">
        <v>73</v>
      </c>
      <c r="F1314" s="18" t="s">
        <v>184</v>
      </c>
      <c r="G1314" s="18">
        <v>1.0</v>
      </c>
      <c r="H1314" s="18" t="s">
        <v>73</v>
      </c>
      <c r="I1314" s="18" t="str">
        <f t="shared" si="1"/>
        <v>Obesity</v>
      </c>
    </row>
    <row r="1315" ht="15.75" customHeight="1">
      <c r="A1315" s="18" t="s">
        <v>4203</v>
      </c>
      <c r="B1315" s="18">
        <v>30.685</v>
      </c>
      <c r="C1315" s="18">
        <v>4.87</v>
      </c>
      <c r="D1315" s="18" t="s">
        <v>73</v>
      </c>
      <c r="E1315" s="18" t="s">
        <v>73</v>
      </c>
      <c r="F1315" s="18" t="s">
        <v>184</v>
      </c>
      <c r="G1315" s="18">
        <v>1.0</v>
      </c>
      <c r="H1315" s="18" t="s">
        <v>73</v>
      </c>
      <c r="I1315" s="18" t="str">
        <f t="shared" si="1"/>
        <v>Obesity</v>
      </c>
    </row>
    <row r="1316" ht="15.75" customHeight="1">
      <c r="A1316" s="18" t="s">
        <v>4205</v>
      </c>
      <c r="B1316" s="18">
        <v>22.135</v>
      </c>
      <c r="C1316" s="18">
        <v>8.17</v>
      </c>
      <c r="D1316" s="18" t="s">
        <v>73</v>
      </c>
      <c r="E1316" s="18" t="s">
        <v>73</v>
      </c>
      <c r="F1316" s="18" t="s">
        <v>73</v>
      </c>
      <c r="G1316" s="20">
        <v>0.0</v>
      </c>
      <c r="H1316" s="18" t="s">
        <v>73</v>
      </c>
      <c r="I1316" s="18" t="str">
        <f t="shared" si="1"/>
        <v>Normal Weight</v>
      </c>
    </row>
    <row r="1317" ht="15.75" customHeight="1">
      <c r="A1317" s="18" t="s">
        <v>4209</v>
      </c>
      <c r="B1317" s="18">
        <v>33.33</v>
      </c>
      <c r="C1317" s="18">
        <v>7.61</v>
      </c>
      <c r="D1317" s="18" t="s">
        <v>73</v>
      </c>
      <c r="E1317" s="18" t="s">
        <v>73</v>
      </c>
      <c r="F1317" s="18" t="s">
        <v>73</v>
      </c>
      <c r="G1317" s="20">
        <v>0.0</v>
      </c>
      <c r="H1317" s="18" t="s">
        <v>73</v>
      </c>
      <c r="I1317" s="18" t="str">
        <f t="shared" si="1"/>
        <v>Obesity</v>
      </c>
    </row>
    <row r="1318" ht="15.75" customHeight="1">
      <c r="A1318" s="18" t="s">
        <v>4212</v>
      </c>
      <c r="B1318" s="18">
        <v>31.13</v>
      </c>
      <c r="C1318" s="18">
        <v>10.1</v>
      </c>
      <c r="D1318" s="18" t="s">
        <v>73</v>
      </c>
      <c r="E1318" s="18" t="s">
        <v>73</v>
      </c>
      <c r="F1318" s="18" t="s">
        <v>73</v>
      </c>
      <c r="G1318" s="20">
        <v>0.0</v>
      </c>
      <c r="H1318" s="18" t="s">
        <v>73</v>
      </c>
      <c r="I1318" s="18" t="str">
        <f t="shared" si="1"/>
        <v>Obesity</v>
      </c>
    </row>
    <row r="1319" ht="15.75" customHeight="1">
      <c r="A1319" s="18" t="s">
        <v>4216</v>
      </c>
      <c r="B1319" s="18">
        <v>28.9</v>
      </c>
      <c r="C1319" s="18">
        <v>11.24</v>
      </c>
      <c r="D1319" s="18" t="s">
        <v>73</v>
      </c>
      <c r="E1319" s="18" t="s">
        <v>73</v>
      </c>
      <c r="F1319" s="18" t="s">
        <v>73</v>
      </c>
      <c r="G1319" s="20">
        <v>0.0</v>
      </c>
      <c r="H1319" s="18" t="s">
        <v>73</v>
      </c>
      <c r="I1319" s="18" t="str">
        <f t="shared" si="1"/>
        <v>Overweight</v>
      </c>
    </row>
    <row r="1320" ht="15.75" customHeight="1">
      <c r="A1320" s="18" t="s">
        <v>4219</v>
      </c>
      <c r="B1320" s="18">
        <v>43.31</v>
      </c>
      <c r="C1320" s="18">
        <v>6.1</v>
      </c>
      <c r="D1320" s="18" t="s">
        <v>80</v>
      </c>
      <c r="E1320" s="18" t="s">
        <v>80</v>
      </c>
      <c r="F1320" s="18" t="s">
        <v>73</v>
      </c>
      <c r="G1320" s="18">
        <v>1.0</v>
      </c>
      <c r="H1320" s="18" t="s">
        <v>73</v>
      </c>
      <c r="I1320" s="18" t="str">
        <f t="shared" si="1"/>
        <v>Obesity</v>
      </c>
    </row>
    <row r="1321" ht="15.75" customHeight="1">
      <c r="A1321" s="18" t="s">
        <v>4223</v>
      </c>
      <c r="B1321" s="18">
        <v>22.8</v>
      </c>
      <c r="C1321" s="18">
        <v>6.98</v>
      </c>
      <c r="D1321" s="18" t="s">
        <v>73</v>
      </c>
      <c r="E1321" s="18" t="s">
        <v>73</v>
      </c>
      <c r="F1321" s="18" t="s">
        <v>73</v>
      </c>
      <c r="G1321" s="20">
        <v>0.0</v>
      </c>
      <c r="H1321" s="18" t="s">
        <v>73</v>
      </c>
      <c r="I1321" s="18" t="str">
        <f t="shared" si="1"/>
        <v>Normal Weight</v>
      </c>
    </row>
    <row r="1322" ht="15.75" customHeight="1">
      <c r="A1322" s="18" t="s">
        <v>4226</v>
      </c>
      <c r="B1322" s="18">
        <v>19.09</v>
      </c>
      <c r="C1322" s="18">
        <v>4.0</v>
      </c>
      <c r="D1322" s="18" t="s">
        <v>80</v>
      </c>
      <c r="E1322" s="18" t="s">
        <v>73</v>
      </c>
      <c r="F1322" s="18" t="s">
        <v>73</v>
      </c>
      <c r="G1322" s="18">
        <v>1.0</v>
      </c>
      <c r="H1322" s="18" t="s">
        <v>73</v>
      </c>
      <c r="I1322" s="18" t="str">
        <f t="shared" si="1"/>
        <v>Normal Weight</v>
      </c>
    </row>
    <row r="1323" ht="15.75" customHeight="1">
      <c r="A1323" s="18" t="s">
        <v>4230</v>
      </c>
      <c r="B1323" s="18">
        <v>23.37</v>
      </c>
      <c r="C1323" s="18">
        <v>4.23</v>
      </c>
      <c r="D1323" s="18" t="s">
        <v>73</v>
      </c>
      <c r="E1323" s="18" t="s">
        <v>73</v>
      </c>
      <c r="F1323" s="18" t="s">
        <v>73</v>
      </c>
      <c r="G1323" s="20">
        <v>0.0</v>
      </c>
      <c r="H1323" s="18" t="s">
        <v>73</v>
      </c>
      <c r="I1323" s="18" t="str">
        <f t="shared" si="1"/>
        <v>Normal Weight</v>
      </c>
    </row>
    <row r="1324" ht="15.75" customHeight="1">
      <c r="A1324" s="18" t="s">
        <v>4234</v>
      </c>
      <c r="B1324" s="18">
        <v>33.44</v>
      </c>
      <c r="C1324" s="18">
        <v>4.72</v>
      </c>
      <c r="D1324" s="18" t="s">
        <v>80</v>
      </c>
      <c r="E1324" s="18" t="s">
        <v>73</v>
      </c>
      <c r="F1324" s="18" t="s">
        <v>73</v>
      </c>
      <c r="G1324" s="20">
        <v>0.0</v>
      </c>
      <c r="H1324" s="18" t="s">
        <v>73</v>
      </c>
      <c r="I1324" s="18" t="str">
        <f t="shared" si="1"/>
        <v>Obesity</v>
      </c>
    </row>
    <row r="1325" ht="15.75" customHeight="1">
      <c r="A1325" s="18" t="s">
        <v>4237</v>
      </c>
      <c r="B1325" s="18">
        <v>28.05</v>
      </c>
      <c r="C1325" s="18">
        <v>5.63</v>
      </c>
      <c r="D1325" s="18" t="s">
        <v>80</v>
      </c>
      <c r="E1325" s="18" t="s">
        <v>73</v>
      </c>
      <c r="F1325" s="18" t="s">
        <v>73</v>
      </c>
      <c r="G1325" s="20">
        <v>0.0</v>
      </c>
      <c r="H1325" s="18" t="s">
        <v>73</v>
      </c>
      <c r="I1325" s="18" t="str">
        <f t="shared" si="1"/>
        <v>Overweight</v>
      </c>
    </row>
    <row r="1326" ht="15.75" customHeight="1">
      <c r="A1326" s="18" t="s">
        <v>4241</v>
      </c>
      <c r="B1326" s="18">
        <v>27.72</v>
      </c>
      <c r="C1326" s="18">
        <v>5.83</v>
      </c>
      <c r="D1326" s="18" t="s">
        <v>80</v>
      </c>
      <c r="E1326" s="18" t="s">
        <v>73</v>
      </c>
      <c r="F1326" s="18" t="s">
        <v>73</v>
      </c>
      <c r="G1326" s="20">
        <v>0.0</v>
      </c>
      <c r="H1326" s="18" t="s">
        <v>73</v>
      </c>
      <c r="I1326" s="18" t="str">
        <f t="shared" si="1"/>
        <v>Overweight</v>
      </c>
    </row>
    <row r="1327" ht="15.75" customHeight="1">
      <c r="A1327" s="18" t="s">
        <v>4243</v>
      </c>
      <c r="B1327" s="18">
        <v>29.81</v>
      </c>
      <c r="C1327" s="18">
        <v>9.23</v>
      </c>
      <c r="D1327" s="18" t="s">
        <v>73</v>
      </c>
      <c r="E1327" s="18" t="s">
        <v>73</v>
      </c>
      <c r="F1327" s="18" t="s">
        <v>73</v>
      </c>
      <c r="G1327" s="20">
        <v>0.0</v>
      </c>
      <c r="H1327" s="18" t="s">
        <v>73</v>
      </c>
      <c r="I1327" s="18" t="str">
        <f t="shared" si="1"/>
        <v>Overweight</v>
      </c>
    </row>
    <row r="1328" ht="15.75" customHeight="1">
      <c r="A1328" s="18" t="s">
        <v>4247</v>
      </c>
      <c r="B1328" s="18">
        <v>23.98</v>
      </c>
      <c r="C1328" s="18">
        <v>9.89</v>
      </c>
      <c r="D1328" s="18" t="s">
        <v>73</v>
      </c>
      <c r="E1328" s="18" t="s">
        <v>73</v>
      </c>
      <c r="F1328" s="18" t="s">
        <v>73</v>
      </c>
      <c r="G1328" s="20">
        <v>0.0</v>
      </c>
      <c r="H1328" s="18" t="s">
        <v>73</v>
      </c>
      <c r="I1328" s="18" t="str">
        <f t="shared" si="1"/>
        <v>Normal Weight</v>
      </c>
    </row>
    <row r="1329" ht="15.75" customHeight="1">
      <c r="A1329" s="18" t="s">
        <v>4249</v>
      </c>
      <c r="B1329" s="18">
        <v>17.34</v>
      </c>
      <c r="C1329" s="18">
        <v>12.0</v>
      </c>
      <c r="D1329" s="18" t="s">
        <v>73</v>
      </c>
      <c r="E1329" s="18" t="s">
        <v>73</v>
      </c>
      <c r="F1329" s="18" t="s">
        <v>73</v>
      </c>
      <c r="G1329" s="20">
        <v>0.0</v>
      </c>
      <c r="H1329" s="18" t="s">
        <v>73</v>
      </c>
      <c r="I1329" s="18" t="str">
        <f t="shared" si="1"/>
        <v>Underweight</v>
      </c>
    </row>
    <row r="1330" ht="15.75" customHeight="1">
      <c r="A1330" s="18" t="s">
        <v>4252</v>
      </c>
      <c r="B1330" s="18">
        <v>40.39</v>
      </c>
      <c r="C1330" s="18">
        <v>4.24</v>
      </c>
      <c r="D1330" s="18" t="s">
        <v>80</v>
      </c>
      <c r="E1330" s="18" t="s">
        <v>73</v>
      </c>
      <c r="F1330" s="18" t="s">
        <v>184</v>
      </c>
      <c r="G1330" s="18">
        <v>1.0</v>
      </c>
      <c r="H1330" s="18" t="s">
        <v>73</v>
      </c>
      <c r="I1330" s="18" t="str">
        <f t="shared" si="1"/>
        <v>Obesity</v>
      </c>
    </row>
    <row r="1331" ht="15.75" customHeight="1">
      <c r="A1331" s="18" t="s">
        <v>4256</v>
      </c>
      <c r="B1331" s="18">
        <v>25.96</v>
      </c>
      <c r="C1331" s="18">
        <v>4.68</v>
      </c>
      <c r="D1331" s="18" t="s">
        <v>80</v>
      </c>
      <c r="E1331" s="18" t="s">
        <v>73</v>
      </c>
      <c r="F1331" s="18" t="s">
        <v>184</v>
      </c>
      <c r="G1331" s="18">
        <v>1.0</v>
      </c>
      <c r="H1331" s="18" t="s">
        <v>73</v>
      </c>
      <c r="I1331" s="18" t="str">
        <f t="shared" si="1"/>
        <v>Overweight</v>
      </c>
    </row>
    <row r="1332" ht="15.75" customHeight="1">
      <c r="A1332" s="18" t="s">
        <v>4259</v>
      </c>
      <c r="B1332" s="18">
        <v>17.68</v>
      </c>
      <c r="C1332" s="18">
        <v>8.57</v>
      </c>
      <c r="D1332" s="18" t="s">
        <v>80</v>
      </c>
      <c r="E1332" s="18" t="s">
        <v>73</v>
      </c>
      <c r="F1332" s="18" t="s">
        <v>184</v>
      </c>
      <c r="G1332" s="18">
        <v>1.0</v>
      </c>
      <c r="H1332" s="18" t="s">
        <v>73</v>
      </c>
      <c r="I1332" s="18" t="str">
        <f t="shared" si="1"/>
        <v>Underweight</v>
      </c>
    </row>
    <row r="1333" ht="15.75" customHeight="1">
      <c r="A1333" s="18" t="s">
        <v>4261</v>
      </c>
      <c r="B1333" s="18">
        <v>30.875</v>
      </c>
      <c r="C1333" s="18">
        <v>4.1</v>
      </c>
      <c r="D1333" s="18" t="s">
        <v>73</v>
      </c>
      <c r="E1333" s="18" t="s">
        <v>73</v>
      </c>
      <c r="F1333" s="18" t="s">
        <v>73</v>
      </c>
      <c r="G1333" s="20">
        <v>0.0</v>
      </c>
      <c r="H1333" s="18" t="s">
        <v>73</v>
      </c>
      <c r="I1333" s="18" t="str">
        <f t="shared" si="1"/>
        <v>Obesity</v>
      </c>
    </row>
    <row r="1334" ht="15.75" customHeight="1">
      <c r="A1334" s="18" t="s">
        <v>4265</v>
      </c>
      <c r="B1334" s="18">
        <v>30.81</v>
      </c>
      <c r="C1334" s="18">
        <v>4.49</v>
      </c>
      <c r="D1334" s="18" t="s">
        <v>73</v>
      </c>
      <c r="E1334" s="18" t="s">
        <v>73</v>
      </c>
      <c r="F1334" s="18" t="s">
        <v>73</v>
      </c>
      <c r="G1334" s="20">
        <v>0.0</v>
      </c>
      <c r="H1334" s="18" t="s">
        <v>73</v>
      </c>
      <c r="I1334" s="18" t="str">
        <f t="shared" si="1"/>
        <v>Obesity</v>
      </c>
    </row>
    <row r="1335" ht="15.75" customHeight="1">
      <c r="A1335" s="18" t="s">
        <v>4268</v>
      </c>
      <c r="B1335" s="18">
        <v>36.85</v>
      </c>
      <c r="C1335" s="18">
        <v>8.8</v>
      </c>
      <c r="D1335" s="18" t="s">
        <v>73</v>
      </c>
      <c r="E1335" s="18" t="s">
        <v>73</v>
      </c>
      <c r="F1335" s="18" t="s">
        <v>73</v>
      </c>
      <c r="G1335" s="18">
        <v>2.0</v>
      </c>
      <c r="H1335" s="18" t="s">
        <v>73</v>
      </c>
      <c r="I1335" s="18" t="str">
        <f t="shared" si="1"/>
        <v>Obesity</v>
      </c>
    </row>
    <row r="1336" ht="15.75" customHeight="1">
      <c r="A1336" s="18" t="s">
        <v>4271</v>
      </c>
      <c r="B1336" s="18">
        <v>35.86</v>
      </c>
      <c r="C1336" s="18">
        <v>7.93</v>
      </c>
      <c r="D1336" s="18" t="s">
        <v>73</v>
      </c>
      <c r="E1336" s="18" t="s">
        <v>73</v>
      </c>
      <c r="F1336" s="18" t="s">
        <v>73</v>
      </c>
      <c r="G1336" s="18">
        <v>2.0</v>
      </c>
      <c r="H1336" s="18" t="s">
        <v>73</v>
      </c>
      <c r="I1336" s="18" t="str">
        <f t="shared" si="1"/>
        <v>Obesity</v>
      </c>
    </row>
    <row r="1337" ht="15.75" customHeight="1">
      <c r="A1337" s="18" t="s">
        <v>4275</v>
      </c>
      <c r="B1337" s="18">
        <v>30.3</v>
      </c>
      <c r="C1337" s="18">
        <v>9.45</v>
      </c>
      <c r="D1337" s="18" t="s">
        <v>73</v>
      </c>
      <c r="E1337" s="18" t="s">
        <v>73</v>
      </c>
      <c r="F1337" s="18" t="s">
        <v>73</v>
      </c>
      <c r="G1337" s="18">
        <v>2.0</v>
      </c>
      <c r="H1337" s="18" t="s">
        <v>73</v>
      </c>
      <c r="I1337" s="18" t="str">
        <f t="shared" si="1"/>
        <v>Obesity</v>
      </c>
    </row>
    <row r="1338" ht="15.75" customHeight="1">
      <c r="A1338" s="18" t="s">
        <v>4278</v>
      </c>
      <c r="B1338" s="18">
        <v>32.015</v>
      </c>
      <c r="C1338" s="18">
        <v>7.67</v>
      </c>
      <c r="D1338" s="18" t="s">
        <v>73</v>
      </c>
      <c r="E1338" s="18" t="s">
        <v>73</v>
      </c>
      <c r="F1338" s="18" t="s">
        <v>73</v>
      </c>
      <c r="G1338" s="20">
        <v>0.0</v>
      </c>
      <c r="H1338" s="18" t="s">
        <v>73</v>
      </c>
      <c r="I1338" s="18" t="str">
        <f t="shared" si="1"/>
        <v>Obesity</v>
      </c>
    </row>
    <row r="1339" ht="15.75" customHeight="1">
      <c r="A1339" s="18" t="s">
        <v>4281</v>
      </c>
      <c r="B1339" s="18">
        <v>25.06</v>
      </c>
      <c r="C1339" s="18">
        <v>10.53</v>
      </c>
      <c r="D1339" s="18" t="s">
        <v>73</v>
      </c>
      <c r="E1339" s="18" t="s">
        <v>73</v>
      </c>
      <c r="F1339" s="18" t="s">
        <v>73</v>
      </c>
      <c r="G1339" s="18">
        <v>2.0</v>
      </c>
      <c r="H1339" s="18" t="s">
        <v>73</v>
      </c>
      <c r="I1339" s="18" t="str">
        <f t="shared" si="1"/>
        <v>Overweight</v>
      </c>
    </row>
    <row r="1340" ht="15.75" customHeight="1">
      <c r="A1340" s="18" t="s">
        <v>4283</v>
      </c>
      <c r="B1340" s="18">
        <v>18.83</v>
      </c>
      <c r="C1340" s="18">
        <v>10.08</v>
      </c>
      <c r="D1340" s="18" t="s">
        <v>80</v>
      </c>
      <c r="E1340" s="18" t="s">
        <v>73</v>
      </c>
      <c r="F1340" s="18" t="s">
        <v>73</v>
      </c>
      <c r="G1340" s="20">
        <v>0.0</v>
      </c>
      <c r="H1340" s="18" t="s">
        <v>73</v>
      </c>
      <c r="I1340" s="18" t="str">
        <f t="shared" si="1"/>
        <v>Normal Weight</v>
      </c>
    </row>
    <row r="1341" ht="15.75" customHeight="1">
      <c r="A1341" s="18" t="s">
        <v>4286</v>
      </c>
      <c r="B1341" s="18">
        <v>47.52</v>
      </c>
      <c r="C1341" s="18">
        <v>11.39</v>
      </c>
      <c r="D1341" s="18" t="s">
        <v>80</v>
      </c>
      <c r="E1341" s="18" t="s">
        <v>73</v>
      </c>
      <c r="F1341" s="18" t="s">
        <v>73</v>
      </c>
      <c r="G1341" s="18">
        <v>1.0</v>
      </c>
      <c r="H1341" s="18" t="s">
        <v>73</v>
      </c>
      <c r="I1341" s="18" t="str">
        <f t="shared" si="1"/>
        <v>Obesity</v>
      </c>
    </row>
    <row r="1342" ht="15.75" customHeight="1">
      <c r="A1342" s="18" t="s">
        <v>4290</v>
      </c>
      <c r="B1342" s="18">
        <v>37.82</v>
      </c>
      <c r="C1342" s="18">
        <v>6.36</v>
      </c>
      <c r="D1342" s="18" t="s">
        <v>73</v>
      </c>
      <c r="E1342" s="18" t="s">
        <v>73</v>
      </c>
      <c r="F1342" s="18" t="s">
        <v>73</v>
      </c>
      <c r="G1342" s="20">
        <v>0.0</v>
      </c>
      <c r="H1342" s="18" t="s">
        <v>73</v>
      </c>
      <c r="I1342" s="18" t="str">
        <f t="shared" si="1"/>
        <v>Obesity</v>
      </c>
    </row>
    <row r="1343" ht="15.75" customHeight="1">
      <c r="A1343" s="18" t="s">
        <v>4293</v>
      </c>
      <c r="B1343" s="18">
        <v>44.16</v>
      </c>
      <c r="C1343" s="18">
        <v>5.31</v>
      </c>
      <c r="D1343" s="18" t="s">
        <v>80</v>
      </c>
      <c r="E1343" s="18" t="s">
        <v>73</v>
      </c>
      <c r="F1343" s="18" t="s">
        <v>73</v>
      </c>
      <c r="G1343" s="20">
        <v>0.0</v>
      </c>
      <c r="H1343" s="18" t="s">
        <v>73</v>
      </c>
      <c r="I1343" s="18" t="str">
        <f t="shared" si="1"/>
        <v>Obesity</v>
      </c>
    </row>
    <row r="1344" ht="15.75" customHeight="1">
      <c r="A1344" s="18" t="s">
        <v>4298</v>
      </c>
      <c r="B1344" s="18">
        <v>37.05</v>
      </c>
      <c r="C1344" s="18">
        <v>4.74</v>
      </c>
      <c r="D1344" s="18" t="s">
        <v>73</v>
      </c>
      <c r="E1344" s="18" t="s">
        <v>73</v>
      </c>
      <c r="F1344" s="18" t="s">
        <v>184</v>
      </c>
      <c r="G1344" s="18">
        <v>1.0</v>
      </c>
      <c r="H1344" s="18" t="s">
        <v>73</v>
      </c>
      <c r="I1344" s="18" t="str">
        <f t="shared" si="1"/>
        <v>Obesity</v>
      </c>
    </row>
    <row r="1345" ht="15.75" customHeight="1">
      <c r="A1345" s="18" t="s">
        <v>4302</v>
      </c>
      <c r="B1345" s="18">
        <v>18.66</v>
      </c>
      <c r="C1345" s="18">
        <v>11.35</v>
      </c>
      <c r="D1345" s="18" t="s">
        <v>73</v>
      </c>
      <c r="E1345" s="18" t="s">
        <v>73</v>
      </c>
      <c r="F1345" s="18" t="s">
        <v>73</v>
      </c>
      <c r="G1345" s="20">
        <v>0.0</v>
      </c>
      <c r="H1345" s="18" t="s">
        <v>73</v>
      </c>
      <c r="I1345" s="18" t="str">
        <f t="shared" si="1"/>
        <v>Normal Weight</v>
      </c>
    </row>
    <row r="1346" ht="15.75" customHeight="1">
      <c r="A1346" s="18" t="s">
        <v>4304</v>
      </c>
      <c r="B1346" s="18">
        <v>36.2</v>
      </c>
      <c r="C1346" s="18">
        <v>6.81</v>
      </c>
      <c r="D1346" s="18" t="s">
        <v>80</v>
      </c>
      <c r="E1346" s="18" t="s">
        <v>73</v>
      </c>
      <c r="F1346" s="18" t="s">
        <v>73</v>
      </c>
      <c r="G1346" s="18">
        <v>1.0</v>
      </c>
      <c r="H1346" s="18" t="s">
        <v>73</v>
      </c>
      <c r="I1346" s="18" t="str">
        <f t="shared" si="1"/>
        <v>Obesity</v>
      </c>
    </row>
    <row r="1347" ht="15.75" customHeight="1">
      <c r="A1347" s="18" t="s">
        <v>4307</v>
      </c>
      <c r="B1347" s="18">
        <v>18.87</v>
      </c>
      <c r="C1347" s="18">
        <v>8.06</v>
      </c>
      <c r="D1347" s="18" t="s">
        <v>73</v>
      </c>
      <c r="E1347" s="18" t="s">
        <v>73</v>
      </c>
      <c r="F1347" s="18" t="s">
        <v>73</v>
      </c>
      <c r="G1347" s="20">
        <v>0.0</v>
      </c>
      <c r="H1347" s="18" t="s">
        <v>73</v>
      </c>
      <c r="I1347" s="18" t="str">
        <f t="shared" si="1"/>
        <v>Normal Weight</v>
      </c>
    </row>
    <row r="1348" ht="15.75" customHeight="1">
      <c r="A1348" s="18" t="s">
        <v>4311</v>
      </c>
      <c r="B1348" s="18">
        <v>32.3</v>
      </c>
      <c r="C1348" s="18">
        <v>6.74</v>
      </c>
      <c r="D1348" s="18" t="s">
        <v>80</v>
      </c>
      <c r="E1348" s="18" t="s">
        <v>73</v>
      </c>
      <c r="F1348" s="18" t="s">
        <v>73</v>
      </c>
      <c r="G1348" s="18">
        <v>1.0</v>
      </c>
      <c r="H1348" s="18" t="s">
        <v>73</v>
      </c>
      <c r="I1348" s="18" t="str">
        <f t="shared" si="1"/>
        <v>Obesity</v>
      </c>
    </row>
    <row r="1349" ht="15.75" customHeight="1">
      <c r="A1349" s="18" t="s">
        <v>4313</v>
      </c>
      <c r="B1349" s="18">
        <v>22.64</v>
      </c>
      <c r="C1349" s="18">
        <v>6.54</v>
      </c>
      <c r="D1349" s="18" t="s">
        <v>80</v>
      </c>
      <c r="E1349" s="18" t="s">
        <v>73</v>
      </c>
      <c r="F1349" s="18" t="s">
        <v>73</v>
      </c>
      <c r="G1349" s="18">
        <v>2.0</v>
      </c>
      <c r="H1349" s="18" t="s">
        <v>73</v>
      </c>
      <c r="I1349" s="18" t="str">
        <f t="shared" si="1"/>
        <v>Normal Weight</v>
      </c>
    </row>
    <row r="1350" ht="15.75" customHeight="1">
      <c r="A1350" s="18" t="s">
        <v>4317</v>
      </c>
      <c r="B1350" s="18">
        <v>28.69</v>
      </c>
      <c r="C1350" s="18">
        <v>5.4</v>
      </c>
      <c r="D1350" s="18" t="s">
        <v>73</v>
      </c>
      <c r="E1350" s="18" t="s">
        <v>73</v>
      </c>
      <c r="F1350" s="18" t="s">
        <v>73</v>
      </c>
      <c r="G1350" s="20">
        <v>0.0</v>
      </c>
      <c r="H1350" s="18" t="s">
        <v>73</v>
      </c>
      <c r="I1350" s="18" t="str">
        <f t="shared" si="1"/>
        <v>Overweight</v>
      </c>
    </row>
    <row r="1351" ht="15.75" customHeight="1">
      <c r="A1351" s="18" t="s">
        <v>4319</v>
      </c>
      <c r="B1351" s="18">
        <v>28.16</v>
      </c>
      <c r="C1351" s="18">
        <v>5.58</v>
      </c>
      <c r="D1351" s="18" t="s">
        <v>80</v>
      </c>
      <c r="E1351" s="18" t="s">
        <v>73</v>
      </c>
      <c r="F1351" s="18" t="s">
        <v>73</v>
      </c>
      <c r="G1351" s="20">
        <v>0.0</v>
      </c>
      <c r="H1351" s="18" t="s">
        <v>73</v>
      </c>
      <c r="I1351" s="18" t="str">
        <f t="shared" si="1"/>
        <v>Overweight</v>
      </c>
    </row>
    <row r="1352" ht="15.75" customHeight="1">
      <c r="A1352" s="18" t="s">
        <v>4323</v>
      </c>
      <c r="B1352" s="18">
        <v>45.54</v>
      </c>
      <c r="C1352" s="18">
        <v>5.84</v>
      </c>
      <c r="D1352" s="18" t="s">
        <v>73</v>
      </c>
      <c r="E1352" s="18" t="s">
        <v>73</v>
      </c>
      <c r="F1352" s="18" t="s">
        <v>184</v>
      </c>
      <c r="G1352" s="18">
        <v>1.0</v>
      </c>
      <c r="H1352" s="18" t="s">
        <v>73</v>
      </c>
      <c r="I1352" s="18" t="str">
        <f t="shared" si="1"/>
        <v>Obesity</v>
      </c>
    </row>
    <row r="1353" ht="15.75" customHeight="1">
      <c r="A1353" s="18" t="s">
        <v>4326</v>
      </c>
      <c r="B1353" s="18">
        <v>28.7</v>
      </c>
      <c r="C1353" s="18">
        <v>4.2</v>
      </c>
      <c r="D1353" s="18" t="s">
        <v>73</v>
      </c>
      <c r="E1353" s="18" t="s">
        <v>73</v>
      </c>
      <c r="F1353" s="18" t="s">
        <v>73</v>
      </c>
      <c r="G1353" s="20">
        <v>0.0</v>
      </c>
      <c r="H1353" s="18" t="s">
        <v>73</v>
      </c>
      <c r="I1353" s="18" t="str">
        <f t="shared" si="1"/>
        <v>Overweight</v>
      </c>
    </row>
    <row r="1354" ht="15.75" customHeight="1">
      <c r="A1354" s="18" t="s">
        <v>4328</v>
      </c>
      <c r="B1354" s="18">
        <v>27.74</v>
      </c>
      <c r="C1354" s="18">
        <v>6.06</v>
      </c>
      <c r="D1354" s="18" t="s">
        <v>80</v>
      </c>
      <c r="E1354" s="18" t="s">
        <v>73</v>
      </c>
      <c r="F1354" s="18" t="s">
        <v>73</v>
      </c>
      <c r="G1354" s="20">
        <v>0.0</v>
      </c>
      <c r="H1354" s="18" t="s">
        <v>73</v>
      </c>
      <c r="I1354" s="18" t="str">
        <f t="shared" si="1"/>
        <v>Overweight</v>
      </c>
    </row>
    <row r="1355" ht="15.75" customHeight="1">
      <c r="A1355" s="18" t="s">
        <v>4332</v>
      </c>
      <c r="B1355" s="18">
        <v>36.955</v>
      </c>
      <c r="C1355" s="18">
        <v>7.57</v>
      </c>
      <c r="D1355" s="18" t="s">
        <v>73</v>
      </c>
      <c r="E1355" s="18" t="s">
        <v>73</v>
      </c>
      <c r="F1355" s="18" t="s">
        <v>73</v>
      </c>
      <c r="G1355" s="20">
        <v>0.0</v>
      </c>
      <c r="H1355" s="18" t="s">
        <v>73</v>
      </c>
      <c r="I1355" s="18" t="str">
        <f t="shared" si="1"/>
        <v>Obesity</v>
      </c>
    </row>
    <row r="1356" ht="15.75" customHeight="1">
      <c r="A1356" s="18" t="s">
        <v>4335</v>
      </c>
      <c r="B1356" s="18">
        <v>30.69</v>
      </c>
      <c r="C1356" s="18">
        <v>6.15</v>
      </c>
      <c r="D1356" s="18" t="s">
        <v>73</v>
      </c>
      <c r="E1356" s="18" t="s">
        <v>73</v>
      </c>
      <c r="F1356" s="18" t="s">
        <v>73</v>
      </c>
      <c r="G1356" s="20">
        <v>0.0</v>
      </c>
      <c r="H1356" s="18" t="s">
        <v>73</v>
      </c>
      <c r="I1356" s="18" t="str">
        <f t="shared" si="1"/>
        <v>Obesity</v>
      </c>
    </row>
    <row r="1357" ht="15.75" customHeight="1">
      <c r="A1357" s="18" t="s">
        <v>4338</v>
      </c>
      <c r="B1357" s="18">
        <v>24.985</v>
      </c>
      <c r="C1357" s="18">
        <v>4.56</v>
      </c>
      <c r="D1357" s="18" t="s">
        <v>73</v>
      </c>
      <c r="E1357" s="18" t="s">
        <v>73</v>
      </c>
      <c r="F1357" s="18" t="s">
        <v>73</v>
      </c>
      <c r="G1357" s="20">
        <v>0.0</v>
      </c>
      <c r="H1357" s="18" t="s">
        <v>73</v>
      </c>
      <c r="I1357" s="18" t="str">
        <f t="shared" si="1"/>
        <v>Normal Weight</v>
      </c>
    </row>
    <row r="1358" ht="15.75" customHeight="1">
      <c r="A1358" s="18" t="s">
        <v>4342</v>
      </c>
      <c r="B1358" s="18">
        <v>39.42</v>
      </c>
      <c r="C1358" s="18">
        <v>4.72</v>
      </c>
      <c r="D1358" s="18" t="s">
        <v>80</v>
      </c>
      <c r="E1358" s="18" t="s">
        <v>73</v>
      </c>
      <c r="F1358" s="18" t="s">
        <v>73</v>
      </c>
      <c r="G1358" s="18">
        <v>1.0</v>
      </c>
      <c r="H1358" s="18" t="s">
        <v>73</v>
      </c>
      <c r="I1358" s="18" t="str">
        <f t="shared" si="1"/>
        <v>Obesity</v>
      </c>
    </row>
    <row r="1359" ht="15.75" customHeight="1">
      <c r="A1359" s="18" t="s">
        <v>4346</v>
      </c>
      <c r="B1359" s="18">
        <v>16.8</v>
      </c>
      <c r="C1359" s="18">
        <v>7.98</v>
      </c>
      <c r="D1359" s="18" t="s">
        <v>73</v>
      </c>
      <c r="E1359" s="18" t="s">
        <v>73</v>
      </c>
      <c r="F1359" s="18" t="s">
        <v>73</v>
      </c>
      <c r="G1359" s="20">
        <v>0.0</v>
      </c>
      <c r="H1359" s="18" t="s">
        <v>73</v>
      </c>
      <c r="I1359" s="18" t="str">
        <f t="shared" si="1"/>
        <v>Underweight</v>
      </c>
    </row>
    <row r="1360" ht="15.75" customHeight="1">
      <c r="A1360" s="18" t="s">
        <v>4348</v>
      </c>
      <c r="B1360" s="18">
        <v>23.275</v>
      </c>
      <c r="C1360" s="18">
        <v>6.26</v>
      </c>
      <c r="D1360" s="18" t="s">
        <v>80</v>
      </c>
      <c r="E1360" s="18" t="s">
        <v>73</v>
      </c>
      <c r="F1360" s="18" t="s">
        <v>184</v>
      </c>
      <c r="G1360" s="18">
        <v>1.0</v>
      </c>
      <c r="H1360" s="18" t="s">
        <v>73</v>
      </c>
      <c r="I1360" s="18" t="str">
        <f t="shared" si="1"/>
        <v>Normal Weight</v>
      </c>
    </row>
    <row r="1361" ht="15.75" customHeight="1">
      <c r="A1361" s="18" t="s">
        <v>4352</v>
      </c>
      <c r="B1361" s="18">
        <v>22.8</v>
      </c>
      <c r="C1361" s="18">
        <v>4.29</v>
      </c>
      <c r="D1361" s="18" t="s">
        <v>80</v>
      </c>
      <c r="E1361" s="18" t="s">
        <v>73</v>
      </c>
      <c r="F1361" s="18" t="s">
        <v>184</v>
      </c>
      <c r="G1361" s="18">
        <v>1.0</v>
      </c>
      <c r="H1361" s="18" t="s">
        <v>73</v>
      </c>
      <c r="I1361" s="18" t="str">
        <f t="shared" si="1"/>
        <v>Normal Weight</v>
      </c>
    </row>
    <row r="1362" ht="15.75" customHeight="1">
      <c r="A1362" s="18" t="s">
        <v>4355</v>
      </c>
      <c r="B1362" s="18">
        <v>24.3</v>
      </c>
      <c r="C1362" s="18">
        <v>5.43</v>
      </c>
      <c r="D1362" s="18" t="s">
        <v>73</v>
      </c>
      <c r="E1362" s="18" t="s">
        <v>73</v>
      </c>
      <c r="F1362" s="18" t="s">
        <v>73</v>
      </c>
      <c r="G1362" s="18">
        <v>2.0</v>
      </c>
      <c r="H1362" s="18" t="s">
        <v>73</v>
      </c>
      <c r="I1362" s="18" t="str">
        <f t="shared" si="1"/>
        <v>Normal Weight</v>
      </c>
    </row>
    <row r="1363" ht="15.75" customHeight="1">
      <c r="A1363" s="18" t="s">
        <v>4359</v>
      </c>
      <c r="B1363" s="18">
        <v>25.13</v>
      </c>
      <c r="C1363" s="18">
        <v>8.0</v>
      </c>
      <c r="D1363" s="18" t="s">
        <v>80</v>
      </c>
      <c r="E1363" s="18" t="s">
        <v>73</v>
      </c>
      <c r="F1363" s="18" t="s">
        <v>73</v>
      </c>
      <c r="G1363" s="18">
        <v>1.0</v>
      </c>
      <c r="H1363" s="18" t="s">
        <v>73</v>
      </c>
      <c r="I1363" s="18" t="str">
        <f t="shared" si="1"/>
        <v>Overweight</v>
      </c>
    </row>
    <row r="1364" ht="15.75" customHeight="1">
      <c r="A1364" s="18" t="s">
        <v>4362</v>
      </c>
      <c r="B1364" s="18">
        <v>22.72</v>
      </c>
      <c r="C1364" s="18">
        <v>9.96</v>
      </c>
      <c r="D1364" s="18" t="s">
        <v>80</v>
      </c>
      <c r="E1364" s="18" t="s">
        <v>73</v>
      </c>
      <c r="F1364" s="18" t="s">
        <v>73</v>
      </c>
      <c r="G1364" s="18">
        <v>2.0</v>
      </c>
      <c r="H1364" s="18" t="s">
        <v>73</v>
      </c>
      <c r="I1364" s="18" t="str">
        <f t="shared" si="1"/>
        <v>Normal Weight</v>
      </c>
    </row>
    <row r="1365" ht="15.75" customHeight="1">
      <c r="A1365" s="18" t="s">
        <v>4365</v>
      </c>
      <c r="B1365" s="18">
        <v>32.6</v>
      </c>
      <c r="C1365" s="18">
        <v>6.8</v>
      </c>
      <c r="D1365" s="18" t="s">
        <v>80</v>
      </c>
      <c r="E1365" s="18" t="s">
        <v>73</v>
      </c>
      <c r="F1365" s="18" t="s">
        <v>73</v>
      </c>
      <c r="G1365" s="20">
        <v>0.0</v>
      </c>
      <c r="H1365" s="18" t="s">
        <v>73</v>
      </c>
      <c r="I1365" s="18" t="str">
        <f t="shared" si="1"/>
        <v>Obesity</v>
      </c>
    </row>
    <row r="1366" ht="15.75" customHeight="1">
      <c r="A1366" s="18" t="s">
        <v>4369</v>
      </c>
      <c r="B1366" s="18">
        <v>17.28</v>
      </c>
      <c r="C1366" s="18">
        <v>6.22</v>
      </c>
      <c r="D1366" s="18" t="s">
        <v>80</v>
      </c>
      <c r="E1366" s="18" t="s">
        <v>73</v>
      </c>
      <c r="F1366" s="18" t="s">
        <v>73</v>
      </c>
      <c r="G1366" s="18">
        <v>2.0</v>
      </c>
      <c r="H1366" s="18" t="s">
        <v>73</v>
      </c>
      <c r="I1366" s="18" t="str">
        <f t="shared" si="1"/>
        <v>Underweight</v>
      </c>
    </row>
    <row r="1367" ht="15.75" customHeight="1">
      <c r="A1367" s="18" t="s">
        <v>4371</v>
      </c>
      <c r="B1367" s="18">
        <v>27.92</v>
      </c>
      <c r="C1367" s="18">
        <v>5.79</v>
      </c>
      <c r="D1367" s="18" t="s">
        <v>73</v>
      </c>
      <c r="E1367" s="18" t="s">
        <v>73</v>
      </c>
      <c r="F1367" s="18" t="s">
        <v>73</v>
      </c>
      <c r="G1367" s="18">
        <v>1.0</v>
      </c>
      <c r="H1367" s="18" t="s">
        <v>73</v>
      </c>
      <c r="I1367" s="18" t="str">
        <f t="shared" si="1"/>
        <v>Overweight</v>
      </c>
    </row>
    <row r="1368" ht="15.75" customHeight="1">
      <c r="A1368" s="18" t="s">
        <v>4375</v>
      </c>
      <c r="B1368" s="18">
        <v>38.285</v>
      </c>
      <c r="C1368" s="18">
        <v>5.41</v>
      </c>
      <c r="D1368" s="18" t="s">
        <v>73</v>
      </c>
      <c r="E1368" s="18" t="s">
        <v>73</v>
      </c>
      <c r="F1368" s="18" t="s">
        <v>73</v>
      </c>
      <c r="G1368" s="20">
        <v>0.0</v>
      </c>
      <c r="H1368" s="18" t="s">
        <v>73</v>
      </c>
      <c r="I1368" s="18" t="str">
        <f t="shared" si="1"/>
        <v>Obesity</v>
      </c>
    </row>
    <row r="1369" ht="15.75" customHeight="1">
      <c r="A1369" s="18" t="s">
        <v>4378</v>
      </c>
      <c r="B1369" s="18">
        <v>16.48</v>
      </c>
      <c r="C1369" s="18">
        <v>11.05</v>
      </c>
      <c r="D1369" s="18" t="s">
        <v>73</v>
      </c>
      <c r="E1369" s="18" t="s">
        <v>73</v>
      </c>
      <c r="F1369" s="18" t="s">
        <v>73</v>
      </c>
      <c r="G1369" s="20">
        <v>0.0</v>
      </c>
      <c r="H1369" s="18" t="s">
        <v>73</v>
      </c>
      <c r="I1369" s="18" t="str">
        <f t="shared" si="1"/>
        <v>Underweight</v>
      </c>
    </row>
    <row r="1370" ht="15.75" customHeight="1">
      <c r="A1370" s="18" t="s">
        <v>4380</v>
      </c>
      <c r="B1370" s="18">
        <v>38.57</v>
      </c>
      <c r="C1370" s="18">
        <v>6.27</v>
      </c>
      <c r="D1370" s="18" t="s">
        <v>73</v>
      </c>
      <c r="E1370" s="18" t="s">
        <v>73</v>
      </c>
      <c r="F1370" s="18" t="s">
        <v>73</v>
      </c>
      <c r="G1370" s="20">
        <v>0.0</v>
      </c>
      <c r="H1370" s="18" t="s">
        <v>73</v>
      </c>
      <c r="I1370" s="18" t="str">
        <f t="shared" si="1"/>
        <v>Obesity</v>
      </c>
    </row>
    <row r="1371" ht="15.75" customHeight="1">
      <c r="A1371" s="18" t="s">
        <v>4384</v>
      </c>
      <c r="B1371" s="18">
        <v>43.85</v>
      </c>
      <c r="C1371" s="18">
        <v>4.77</v>
      </c>
      <c r="D1371" s="18" t="s">
        <v>80</v>
      </c>
      <c r="E1371" s="18" t="s">
        <v>73</v>
      </c>
      <c r="F1371" s="18" t="s">
        <v>73</v>
      </c>
      <c r="G1371" s="20">
        <v>0.0</v>
      </c>
      <c r="H1371" s="18" t="s">
        <v>73</v>
      </c>
      <c r="I1371" s="18" t="str">
        <f t="shared" si="1"/>
        <v>Obesity</v>
      </c>
    </row>
    <row r="1372" ht="15.75" customHeight="1">
      <c r="A1372" s="18" t="s">
        <v>4388</v>
      </c>
      <c r="B1372" s="18">
        <v>30.11</v>
      </c>
      <c r="C1372" s="18">
        <v>4.08</v>
      </c>
      <c r="D1372" s="18" t="s">
        <v>73</v>
      </c>
      <c r="E1372" s="18" t="s">
        <v>73</v>
      </c>
      <c r="F1372" s="18" t="s">
        <v>73</v>
      </c>
      <c r="G1372" s="20">
        <v>0.0</v>
      </c>
      <c r="H1372" s="18" t="s">
        <v>73</v>
      </c>
      <c r="I1372" s="18" t="str">
        <f t="shared" si="1"/>
        <v>Obesity</v>
      </c>
    </row>
    <row r="1373" ht="15.75" customHeight="1">
      <c r="A1373" s="18" t="s">
        <v>4391</v>
      </c>
      <c r="B1373" s="18">
        <v>31.59</v>
      </c>
      <c r="C1373" s="18">
        <v>6.01</v>
      </c>
      <c r="D1373" s="18" t="s">
        <v>73</v>
      </c>
      <c r="E1373" s="18" t="s">
        <v>73</v>
      </c>
      <c r="F1373" s="18" t="s">
        <v>73</v>
      </c>
      <c r="G1373" s="20">
        <v>0.0</v>
      </c>
      <c r="H1373" s="18" t="s">
        <v>73</v>
      </c>
      <c r="I1373" s="18" t="str">
        <f t="shared" si="1"/>
        <v>Obesity</v>
      </c>
    </row>
    <row r="1374" ht="15.75" customHeight="1">
      <c r="A1374" s="18" t="s">
        <v>4395</v>
      </c>
      <c r="B1374" s="18">
        <v>40.15</v>
      </c>
      <c r="C1374" s="18">
        <v>11.84</v>
      </c>
      <c r="D1374" s="18" t="s">
        <v>73</v>
      </c>
      <c r="E1374" s="18" t="s">
        <v>73</v>
      </c>
      <c r="F1374" s="18" t="s">
        <v>73</v>
      </c>
      <c r="G1374" s="20">
        <v>0.0</v>
      </c>
      <c r="H1374" s="18" t="s">
        <v>73</v>
      </c>
      <c r="I1374" s="18" t="str">
        <f t="shared" si="1"/>
        <v>Obesity</v>
      </c>
    </row>
    <row r="1375" ht="15.75" customHeight="1">
      <c r="A1375" s="18" t="s">
        <v>4397</v>
      </c>
      <c r="B1375" s="18">
        <v>40.7</v>
      </c>
      <c r="C1375" s="18">
        <v>6.27</v>
      </c>
      <c r="D1375" s="18" t="s">
        <v>80</v>
      </c>
      <c r="E1375" s="18" t="s">
        <v>73</v>
      </c>
      <c r="F1375" s="18" t="s">
        <v>184</v>
      </c>
      <c r="G1375" s="18">
        <v>1.0</v>
      </c>
      <c r="H1375" s="18" t="s">
        <v>73</v>
      </c>
      <c r="I1375" s="18" t="str">
        <f t="shared" si="1"/>
        <v>Obesity</v>
      </c>
    </row>
    <row r="1376" ht="15.75" customHeight="1">
      <c r="A1376" s="18" t="s">
        <v>4401</v>
      </c>
      <c r="B1376" s="18">
        <v>40.76</v>
      </c>
      <c r="C1376" s="18">
        <v>5.28</v>
      </c>
      <c r="D1376" s="18" t="s">
        <v>73</v>
      </c>
      <c r="E1376" s="18" t="s">
        <v>73</v>
      </c>
      <c r="F1376" s="18" t="s">
        <v>73</v>
      </c>
      <c r="G1376" s="20">
        <v>0.0</v>
      </c>
      <c r="H1376" s="18" t="s">
        <v>73</v>
      </c>
      <c r="I1376" s="18" t="str">
        <f t="shared" si="1"/>
        <v>Obesity</v>
      </c>
    </row>
    <row r="1377" ht="15.75" customHeight="1">
      <c r="A1377" s="18" t="s">
        <v>4404</v>
      </c>
      <c r="B1377" s="18">
        <v>29.7</v>
      </c>
      <c r="C1377" s="18">
        <v>7.03</v>
      </c>
      <c r="D1377" s="18" t="s">
        <v>73</v>
      </c>
      <c r="E1377" s="18" t="s">
        <v>73</v>
      </c>
      <c r="F1377" s="18" t="s">
        <v>73</v>
      </c>
      <c r="G1377" s="20">
        <v>0.0</v>
      </c>
      <c r="H1377" s="18" t="s">
        <v>73</v>
      </c>
      <c r="I1377" s="18" t="str">
        <f t="shared" si="1"/>
        <v>Overweight</v>
      </c>
    </row>
    <row r="1378" ht="15.75" customHeight="1">
      <c r="A1378" s="18" t="s">
        <v>4408</v>
      </c>
      <c r="B1378" s="18">
        <v>40.58</v>
      </c>
      <c r="C1378" s="18">
        <v>5.32</v>
      </c>
      <c r="D1378" s="18" t="s">
        <v>80</v>
      </c>
      <c r="E1378" s="18" t="s">
        <v>73</v>
      </c>
      <c r="F1378" s="18" t="s">
        <v>184</v>
      </c>
      <c r="G1378" s="18">
        <v>1.0</v>
      </c>
      <c r="H1378" s="18" t="s">
        <v>73</v>
      </c>
      <c r="I1378" s="18" t="str">
        <f t="shared" si="1"/>
        <v>Obesity</v>
      </c>
    </row>
    <row r="1379" ht="15.75" customHeight="1">
      <c r="A1379" s="18" t="s">
        <v>4410</v>
      </c>
      <c r="B1379" s="18">
        <v>33.06</v>
      </c>
      <c r="C1379" s="18">
        <v>9.59</v>
      </c>
      <c r="D1379" s="18" t="s">
        <v>80</v>
      </c>
      <c r="E1379" s="18" t="s">
        <v>73</v>
      </c>
      <c r="F1379" s="18" t="s">
        <v>73</v>
      </c>
      <c r="G1379" s="20">
        <v>0.0</v>
      </c>
      <c r="H1379" s="18" t="s">
        <v>73</v>
      </c>
      <c r="I1379" s="18" t="str">
        <f t="shared" si="1"/>
        <v>Obesity</v>
      </c>
    </row>
    <row r="1380" ht="15.75" customHeight="1">
      <c r="A1380" s="18" t="s">
        <v>4414</v>
      </c>
      <c r="B1380" s="18">
        <v>26.62</v>
      </c>
      <c r="C1380" s="18">
        <v>6.15</v>
      </c>
      <c r="D1380" s="18" t="s">
        <v>80</v>
      </c>
      <c r="E1380" s="18" t="s">
        <v>73</v>
      </c>
      <c r="F1380" s="18" t="s">
        <v>73</v>
      </c>
      <c r="G1380" s="20">
        <v>0.0</v>
      </c>
      <c r="H1380" s="18" t="s">
        <v>73</v>
      </c>
      <c r="I1380" s="18" t="str">
        <f t="shared" si="1"/>
        <v>Overweight</v>
      </c>
    </row>
    <row r="1381" ht="15.75" customHeight="1">
      <c r="A1381" s="18" t="s">
        <v>4417</v>
      </c>
      <c r="B1381" s="18">
        <v>37.1</v>
      </c>
      <c r="C1381" s="18">
        <v>11.08</v>
      </c>
      <c r="D1381" s="18" t="s">
        <v>73</v>
      </c>
      <c r="E1381" s="18" t="s">
        <v>73</v>
      </c>
      <c r="F1381" s="18" t="s">
        <v>73</v>
      </c>
      <c r="G1381" s="20">
        <v>0.0</v>
      </c>
      <c r="H1381" s="18" t="s">
        <v>73</v>
      </c>
      <c r="I1381" s="18" t="str">
        <f t="shared" si="1"/>
        <v>Obesity</v>
      </c>
    </row>
    <row r="1382" ht="15.75" customHeight="1">
      <c r="A1382" s="18" t="s">
        <v>4419</v>
      </c>
      <c r="B1382" s="18">
        <v>18.28</v>
      </c>
      <c r="C1382" s="18">
        <v>7.95</v>
      </c>
      <c r="D1382" s="18" t="s">
        <v>73</v>
      </c>
      <c r="E1382" s="18" t="s">
        <v>73</v>
      </c>
      <c r="F1382" s="18" t="s">
        <v>73</v>
      </c>
      <c r="G1382" s="20">
        <v>0.0</v>
      </c>
      <c r="H1382" s="18" t="s">
        <v>73</v>
      </c>
      <c r="I1382" s="18" t="str">
        <f t="shared" si="1"/>
        <v>Underweight</v>
      </c>
    </row>
    <row r="1383" ht="15.75" customHeight="1">
      <c r="A1383" s="18" t="s">
        <v>4423</v>
      </c>
      <c r="B1383" s="18">
        <v>35.815</v>
      </c>
      <c r="C1383" s="18">
        <v>6.23</v>
      </c>
      <c r="D1383" s="18" t="s">
        <v>73</v>
      </c>
      <c r="E1383" s="18" t="s">
        <v>73</v>
      </c>
      <c r="F1383" s="18" t="s">
        <v>73</v>
      </c>
      <c r="G1383" s="20">
        <v>0.0</v>
      </c>
      <c r="H1383" s="18" t="s">
        <v>73</v>
      </c>
      <c r="I1383" s="18" t="str">
        <f t="shared" si="1"/>
        <v>Obesity</v>
      </c>
    </row>
    <row r="1384" ht="15.75" customHeight="1">
      <c r="A1384" s="18" t="s">
        <v>4426</v>
      </c>
      <c r="B1384" s="18">
        <v>30.69</v>
      </c>
      <c r="C1384" s="18">
        <v>6.5</v>
      </c>
      <c r="D1384" s="18" t="s">
        <v>73</v>
      </c>
      <c r="E1384" s="18" t="s">
        <v>73</v>
      </c>
      <c r="F1384" s="18" t="s">
        <v>73</v>
      </c>
      <c r="G1384" s="20">
        <v>0.0</v>
      </c>
      <c r="H1384" s="18" t="s">
        <v>73</v>
      </c>
      <c r="I1384" s="18" t="str">
        <f t="shared" si="1"/>
        <v>Obesity</v>
      </c>
    </row>
    <row r="1385" ht="15.75" customHeight="1">
      <c r="A1385" s="18" t="s">
        <v>4429</v>
      </c>
      <c r="B1385" s="18">
        <v>26.125</v>
      </c>
      <c r="C1385" s="18">
        <v>5.22</v>
      </c>
      <c r="D1385" s="18" t="s">
        <v>73</v>
      </c>
      <c r="E1385" s="18" t="s">
        <v>73</v>
      </c>
      <c r="F1385" s="18" t="s">
        <v>73</v>
      </c>
      <c r="G1385" s="20">
        <v>0.0</v>
      </c>
      <c r="H1385" s="18" t="s">
        <v>73</v>
      </c>
      <c r="I1385" s="18" t="str">
        <f t="shared" si="1"/>
        <v>Overweight</v>
      </c>
    </row>
    <row r="1386" ht="15.75" customHeight="1">
      <c r="A1386" s="18" t="s">
        <v>4432</v>
      </c>
      <c r="B1386" s="18">
        <v>34.58</v>
      </c>
      <c r="C1386" s="18">
        <v>6.3</v>
      </c>
      <c r="D1386" s="18" t="s">
        <v>73</v>
      </c>
      <c r="E1386" s="18" t="s">
        <v>73</v>
      </c>
      <c r="F1386" s="18" t="s">
        <v>184</v>
      </c>
      <c r="G1386" s="18">
        <v>1.0</v>
      </c>
      <c r="H1386" s="18" t="s">
        <v>73</v>
      </c>
      <c r="I1386" s="18" t="str">
        <f t="shared" si="1"/>
        <v>Obesity</v>
      </c>
    </row>
    <row r="1387" ht="15.75" customHeight="1">
      <c r="A1387" s="18" t="s">
        <v>4435</v>
      </c>
      <c r="B1387" s="18">
        <v>27.4</v>
      </c>
      <c r="C1387" s="18">
        <v>8.84</v>
      </c>
      <c r="D1387" s="18" t="s">
        <v>73</v>
      </c>
      <c r="E1387" s="18" t="s">
        <v>73</v>
      </c>
      <c r="F1387" s="18" t="s">
        <v>73</v>
      </c>
      <c r="G1387" s="20">
        <v>0.0</v>
      </c>
      <c r="H1387" s="18" t="s">
        <v>73</v>
      </c>
      <c r="I1387" s="18" t="str">
        <f t="shared" si="1"/>
        <v>Overweight</v>
      </c>
    </row>
    <row r="1388" ht="15.75" customHeight="1">
      <c r="A1388" s="18" t="s">
        <v>4439</v>
      </c>
      <c r="B1388" s="18">
        <v>27.53</v>
      </c>
      <c r="C1388" s="18">
        <v>4.11</v>
      </c>
      <c r="D1388" s="18" t="s">
        <v>73</v>
      </c>
      <c r="E1388" s="18" t="s">
        <v>73</v>
      </c>
      <c r="F1388" s="18" t="s">
        <v>73</v>
      </c>
      <c r="G1388" s="18">
        <v>1.0</v>
      </c>
      <c r="H1388" s="18" t="s">
        <v>73</v>
      </c>
      <c r="I1388" s="18" t="str">
        <f t="shared" si="1"/>
        <v>Overweight</v>
      </c>
    </row>
    <row r="1389" ht="15.75" customHeight="1">
      <c r="A1389" s="18" t="s">
        <v>4441</v>
      </c>
      <c r="B1389" s="18">
        <v>33.0</v>
      </c>
      <c r="C1389" s="18">
        <v>4.57</v>
      </c>
      <c r="D1389" s="18" t="s">
        <v>73</v>
      </c>
      <c r="E1389" s="18" t="s">
        <v>73</v>
      </c>
      <c r="F1389" s="18" t="s">
        <v>73</v>
      </c>
      <c r="G1389" s="20">
        <v>0.0</v>
      </c>
      <c r="H1389" s="18" t="s">
        <v>73</v>
      </c>
      <c r="I1389" s="18" t="str">
        <f t="shared" si="1"/>
        <v>Obesity</v>
      </c>
    </row>
    <row r="1390" ht="15.75" customHeight="1">
      <c r="A1390" s="18" t="s">
        <v>4445</v>
      </c>
      <c r="B1390" s="18">
        <v>25.78</v>
      </c>
      <c r="C1390" s="18">
        <v>11.06</v>
      </c>
      <c r="D1390" s="18" t="s">
        <v>80</v>
      </c>
      <c r="E1390" s="18" t="s">
        <v>73</v>
      </c>
      <c r="F1390" s="18" t="s">
        <v>73</v>
      </c>
      <c r="G1390" s="20">
        <v>0.0</v>
      </c>
      <c r="H1390" s="18" t="s">
        <v>73</v>
      </c>
      <c r="I1390" s="18" t="str">
        <f t="shared" si="1"/>
        <v>Overweight</v>
      </c>
    </row>
    <row r="1391" ht="15.75" customHeight="1">
      <c r="A1391" s="18" t="s">
        <v>4447</v>
      </c>
      <c r="B1391" s="18">
        <v>22.66</v>
      </c>
      <c r="C1391" s="18">
        <v>10.68</v>
      </c>
      <c r="D1391" s="18" t="s">
        <v>73</v>
      </c>
      <c r="E1391" s="18" t="s">
        <v>73</v>
      </c>
      <c r="F1391" s="18" t="s">
        <v>73</v>
      </c>
      <c r="G1391" s="20">
        <v>0.0</v>
      </c>
      <c r="H1391" s="18" t="s">
        <v>73</v>
      </c>
      <c r="I1391" s="18" t="str">
        <f t="shared" si="1"/>
        <v>Normal Weight</v>
      </c>
    </row>
    <row r="1392" ht="15.75" customHeight="1">
      <c r="A1392" s="18" t="s">
        <v>4450</v>
      </c>
      <c r="B1392" s="18">
        <v>38.81</v>
      </c>
      <c r="C1392" s="18">
        <v>6.14</v>
      </c>
      <c r="D1392" s="18" t="s">
        <v>80</v>
      </c>
      <c r="E1392" s="18" t="s">
        <v>73</v>
      </c>
      <c r="F1392" s="18" t="s">
        <v>73</v>
      </c>
      <c r="G1392" s="18">
        <v>1.0</v>
      </c>
      <c r="H1392" s="18" t="s">
        <v>73</v>
      </c>
      <c r="I1392" s="18" t="str">
        <f t="shared" si="1"/>
        <v>Obesity</v>
      </c>
    </row>
    <row r="1393" ht="15.75" customHeight="1">
      <c r="A1393" s="18" t="s">
        <v>4452</v>
      </c>
      <c r="B1393" s="18">
        <v>38.51</v>
      </c>
      <c r="C1393" s="18">
        <v>5.45</v>
      </c>
      <c r="D1393" s="18" t="s">
        <v>80</v>
      </c>
      <c r="E1393" s="18" t="s">
        <v>73</v>
      </c>
      <c r="F1393" s="18" t="s">
        <v>73</v>
      </c>
      <c r="G1393" s="20">
        <v>0.0</v>
      </c>
      <c r="H1393" s="18" t="s">
        <v>73</v>
      </c>
      <c r="I1393" s="18" t="str">
        <f t="shared" si="1"/>
        <v>Obesity</v>
      </c>
    </row>
    <row r="1394" ht="15.75" customHeight="1">
      <c r="A1394" s="18" t="s">
        <v>4455</v>
      </c>
      <c r="B1394" s="18">
        <v>22.98</v>
      </c>
      <c r="C1394" s="18">
        <v>6.14</v>
      </c>
      <c r="D1394" s="18" t="s">
        <v>80</v>
      </c>
      <c r="E1394" s="18" t="s">
        <v>73</v>
      </c>
      <c r="F1394" s="18" t="s">
        <v>73</v>
      </c>
      <c r="G1394" s="20">
        <v>0.0</v>
      </c>
      <c r="H1394" s="18" t="s">
        <v>73</v>
      </c>
      <c r="I1394" s="18" t="str">
        <f t="shared" si="1"/>
        <v>Normal Weight</v>
      </c>
    </row>
    <row r="1395" ht="15.75" customHeight="1">
      <c r="A1395" s="18" t="s">
        <v>4458</v>
      </c>
      <c r="B1395" s="18">
        <v>15.65</v>
      </c>
      <c r="C1395" s="18">
        <v>7.85</v>
      </c>
      <c r="D1395" s="18" t="s">
        <v>73</v>
      </c>
      <c r="E1395" s="18" t="s">
        <v>73</v>
      </c>
      <c r="F1395" s="18" t="s">
        <v>73</v>
      </c>
      <c r="G1395" s="20">
        <v>0.0</v>
      </c>
      <c r="H1395" s="18" t="s">
        <v>73</v>
      </c>
      <c r="I1395" s="18" t="str">
        <f t="shared" si="1"/>
        <v>Underweight</v>
      </c>
    </row>
    <row r="1396" ht="15.75" customHeight="1">
      <c r="A1396" s="18" t="s">
        <v>4462</v>
      </c>
      <c r="B1396" s="18">
        <v>39.97</v>
      </c>
      <c r="C1396" s="18">
        <v>4.09</v>
      </c>
      <c r="D1396" s="18" t="s">
        <v>73</v>
      </c>
      <c r="E1396" s="18" t="s">
        <v>73</v>
      </c>
      <c r="F1396" s="18" t="s">
        <v>73</v>
      </c>
      <c r="G1396" s="18">
        <v>1.0</v>
      </c>
      <c r="H1396" s="18" t="s">
        <v>73</v>
      </c>
      <c r="I1396" s="18" t="str">
        <f t="shared" si="1"/>
        <v>Obesity</v>
      </c>
    </row>
    <row r="1397" ht="15.75" customHeight="1">
      <c r="A1397" s="18" t="s">
        <v>4465</v>
      </c>
      <c r="B1397" s="18">
        <v>37.22</v>
      </c>
      <c r="C1397" s="18">
        <v>4.62</v>
      </c>
      <c r="D1397" s="18" t="s">
        <v>73</v>
      </c>
      <c r="E1397" s="18" t="s">
        <v>73</v>
      </c>
      <c r="F1397" s="18" t="s">
        <v>184</v>
      </c>
      <c r="G1397" s="18">
        <v>1.0</v>
      </c>
      <c r="H1397" s="18" t="s">
        <v>73</v>
      </c>
      <c r="I1397" s="18" t="str">
        <f t="shared" si="1"/>
        <v>Obesity</v>
      </c>
    </row>
    <row r="1398" ht="15.75" customHeight="1">
      <c r="A1398" s="18" t="s">
        <v>4468</v>
      </c>
      <c r="B1398" s="18">
        <v>41.325</v>
      </c>
      <c r="C1398" s="18">
        <v>5.77</v>
      </c>
      <c r="D1398" s="18" t="s">
        <v>73</v>
      </c>
      <c r="E1398" s="18" t="s">
        <v>73</v>
      </c>
      <c r="F1398" s="18" t="s">
        <v>73</v>
      </c>
      <c r="G1398" s="20">
        <v>0.0</v>
      </c>
      <c r="H1398" s="18" t="s">
        <v>73</v>
      </c>
      <c r="I1398" s="18" t="str">
        <f t="shared" si="1"/>
        <v>Obesity</v>
      </c>
    </row>
    <row r="1399" ht="15.75" customHeight="1">
      <c r="A1399" s="18" t="s">
        <v>4471</v>
      </c>
      <c r="B1399" s="18">
        <v>40.31</v>
      </c>
      <c r="C1399" s="18">
        <v>5.84</v>
      </c>
      <c r="D1399" s="18" t="s">
        <v>73</v>
      </c>
      <c r="E1399" s="18" t="s">
        <v>73</v>
      </c>
      <c r="F1399" s="18" t="s">
        <v>73</v>
      </c>
      <c r="G1399" s="20">
        <v>0.0</v>
      </c>
      <c r="H1399" s="18" t="s">
        <v>73</v>
      </c>
      <c r="I1399" s="18" t="str">
        <f t="shared" si="1"/>
        <v>Obesity</v>
      </c>
    </row>
    <row r="1400" ht="15.75" customHeight="1">
      <c r="A1400" s="18" t="s">
        <v>4475</v>
      </c>
      <c r="B1400" s="18">
        <v>29.48</v>
      </c>
      <c r="C1400" s="18">
        <v>4.91</v>
      </c>
      <c r="D1400" s="18" t="s">
        <v>73</v>
      </c>
      <c r="E1400" s="18" t="s">
        <v>73</v>
      </c>
      <c r="F1400" s="18" t="s">
        <v>73</v>
      </c>
      <c r="G1400" s="20">
        <v>0.0</v>
      </c>
      <c r="H1400" s="18" t="s">
        <v>73</v>
      </c>
      <c r="I1400" s="18" t="str">
        <f t="shared" si="1"/>
        <v>Overweight</v>
      </c>
    </row>
    <row r="1401" ht="15.75" customHeight="1">
      <c r="A1401" s="18" t="s">
        <v>4478</v>
      </c>
      <c r="B1401" s="18">
        <v>33.155</v>
      </c>
      <c r="C1401" s="18">
        <v>5.07</v>
      </c>
      <c r="D1401" s="18" t="s">
        <v>73</v>
      </c>
      <c r="E1401" s="18" t="s">
        <v>73</v>
      </c>
      <c r="F1401" s="18" t="s">
        <v>73</v>
      </c>
      <c r="G1401" s="20">
        <v>0.0</v>
      </c>
      <c r="H1401" s="18" t="s">
        <v>73</v>
      </c>
      <c r="I1401" s="18" t="str">
        <f t="shared" si="1"/>
        <v>Obesity</v>
      </c>
    </row>
    <row r="1402" ht="15.75" customHeight="1">
      <c r="A1402" s="18" t="s">
        <v>4480</v>
      </c>
      <c r="B1402" s="18">
        <v>42.85</v>
      </c>
      <c r="C1402" s="18">
        <v>5.81</v>
      </c>
      <c r="D1402" s="18" t="s">
        <v>80</v>
      </c>
      <c r="E1402" s="18" t="s">
        <v>73</v>
      </c>
      <c r="F1402" s="18" t="s">
        <v>73</v>
      </c>
      <c r="G1402" s="20">
        <v>0.0</v>
      </c>
      <c r="H1402" s="18" t="s">
        <v>73</v>
      </c>
      <c r="I1402" s="18" t="str">
        <f t="shared" si="1"/>
        <v>Obesity</v>
      </c>
    </row>
    <row r="1403" ht="15.75" customHeight="1">
      <c r="A1403" s="18" t="s">
        <v>4483</v>
      </c>
      <c r="B1403" s="18">
        <v>32.34</v>
      </c>
      <c r="C1403" s="18">
        <v>11.2</v>
      </c>
      <c r="D1403" s="18" t="s">
        <v>73</v>
      </c>
      <c r="E1403" s="18" t="s">
        <v>73</v>
      </c>
      <c r="F1403" s="18" t="s">
        <v>73</v>
      </c>
      <c r="G1403" s="20">
        <v>0.0</v>
      </c>
      <c r="H1403" s="18" t="s">
        <v>73</v>
      </c>
      <c r="I1403" s="18" t="str">
        <f t="shared" si="1"/>
        <v>Obesity</v>
      </c>
    </row>
    <row r="1404" ht="15.75" customHeight="1">
      <c r="A1404" s="18" t="s">
        <v>4486</v>
      </c>
      <c r="B1404" s="18">
        <v>27.5</v>
      </c>
      <c r="C1404" s="18">
        <v>10.75</v>
      </c>
      <c r="D1404" s="18" t="s">
        <v>73</v>
      </c>
      <c r="E1404" s="18" t="s">
        <v>73</v>
      </c>
      <c r="F1404" s="18" t="s">
        <v>73</v>
      </c>
      <c r="G1404" s="20">
        <v>0.0</v>
      </c>
      <c r="H1404" s="18" t="s">
        <v>73</v>
      </c>
      <c r="I1404" s="18" t="str">
        <f t="shared" si="1"/>
        <v>Overweight</v>
      </c>
    </row>
    <row r="1405" ht="15.75" customHeight="1">
      <c r="A1405" s="18" t="s">
        <v>4489</v>
      </c>
      <c r="B1405" s="18">
        <v>25.8</v>
      </c>
      <c r="C1405" s="18">
        <v>7.8</v>
      </c>
      <c r="D1405" s="18" t="s">
        <v>73</v>
      </c>
      <c r="E1405" s="18" t="s">
        <v>73</v>
      </c>
      <c r="F1405" s="18" t="s">
        <v>73</v>
      </c>
      <c r="G1405" s="20">
        <v>0.0</v>
      </c>
      <c r="H1405" s="18" t="s">
        <v>73</v>
      </c>
      <c r="I1405" s="18" t="str">
        <f t="shared" si="1"/>
        <v>Overweight</v>
      </c>
    </row>
    <row r="1406" ht="15.75" customHeight="1">
      <c r="A1406" s="18" t="s">
        <v>4492</v>
      </c>
      <c r="B1406" s="18">
        <v>25.0</v>
      </c>
      <c r="C1406" s="18">
        <v>7.04</v>
      </c>
      <c r="D1406" s="18" t="s">
        <v>73</v>
      </c>
      <c r="E1406" s="18" t="s">
        <v>73</v>
      </c>
      <c r="F1406" s="18" t="s">
        <v>73</v>
      </c>
      <c r="G1406" s="20">
        <v>0.0</v>
      </c>
      <c r="H1406" s="18" t="s">
        <v>73</v>
      </c>
      <c r="I1406" s="18" t="str">
        <f t="shared" si="1"/>
        <v>Overweight</v>
      </c>
    </row>
    <row r="1407" ht="15.75" customHeight="1">
      <c r="A1407" s="18" t="s">
        <v>4496</v>
      </c>
      <c r="B1407" s="18">
        <v>41.2</v>
      </c>
      <c r="C1407" s="18">
        <v>4.18</v>
      </c>
      <c r="D1407" s="18" t="s">
        <v>80</v>
      </c>
      <c r="E1407" s="18" t="s">
        <v>73</v>
      </c>
      <c r="F1407" s="18" t="s">
        <v>73</v>
      </c>
      <c r="G1407" s="20">
        <v>0.0</v>
      </c>
      <c r="H1407" s="18" t="s">
        <v>73</v>
      </c>
      <c r="I1407" s="18" t="str">
        <f t="shared" si="1"/>
        <v>Obesity</v>
      </c>
    </row>
    <row r="1408" ht="15.75" customHeight="1">
      <c r="A1408" s="18" t="s">
        <v>4499</v>
      </c>
      <c r="B1408" s="18">
        <v>17.78</v>
      </c>
      <c r="C1408" s="18">
        <v>8.19</v>
      </c>
      <c r="D1408" s="18" t="s">
        <v>73</v>
      </c>
      <c r="E1408" s="18" t="s">
        <v>73</v>
      </c>
      <c r="F1408" s="18" t="s">
        <v>73</v>
      </c>
      <c r="G1408" s="20">
        <v>0.0</v>
      </c>
      <c r="H1408" s="18" t="s">
        <v>73</v>
      </c>
      <c r="I1408" s="18" t="str">
        <f t="shared" si="1"/>
        <v>Underweight</v>
      </c>
    </row>
    <row r="1409" ht="15.75" customHeight="1">
      <c r="A1409" s="18" t="s">
        <v>4502</v>
      </c>
      <c r="B1409" s="18">
        <v>40.12</v>
      </c>
      <c r="C1409" s="18">
        <v>6.22</v>
      </c>
      <c r="D1409" s="18" t="s">
        <v>80</v>
      </c>
      <c r="E1409" s="18" t="s">
        <v>73</v>
      </c>
      <c r="F1409" s="18" t="s">
        <v>184</v>
      </c>
      <c r="G1409" s="18">
        <v>1.0</v>
      </c>
      <c r="H1409" s="18" t="s">
        <v>73</v>
      </c>
      <c r="I1409" s="18" t="str">
        <f t="shared" si="1"/>
        <v>Obesity</v>
      </c>
    </row>
    <row r="1410" ht="15.75" customHeight="1">
      <c r="A1410" s="18" t="s">
        <v>4504</v>
      </c>
      <c r="B1410" s="18">
        <v>19.35</v>
      </c>
      <c r="C1410" s="18">
        <v>8.22</v>
      </c>
      <c r="D1410" s="18" t="s">
        <v>80</v>
      </c>
      <c r="E1410" s="18" t="s">
        <v>73</v>
      </c>
      <c r="F1410" s="18" t="s">
        <v>73</v>
      </c>
      <c r="G1410" s="20">
        <v>0.0</v>
      </c>
      <c r="H1410" s="18" t="s">
        <v>73</v>
      </c>
      <c r="I1410" s="18" t="str">
        <f t="shared" si="1"/>
        <v>Normal Weight</v>
      </c>
    </row>
    <row r="1411" ht="15.75" customHeight="1">
      <c r="A1411" s="18" t="s">
        <v>4507</v>
      </c>
      <c r="B1411" s="18">
        <v>36.69</v>
      </c>
      <c r="C1411" s="18">
        <v>6.15</v>
      </c>
      <c r="D1411" s="18" t="s">
        <v>73</v>
      </c>
      <c r="E1411" s="18" t="s">
        <v>73</v>
      </c>
      <c r="F1411" s="18" t="s">
        <v>73</v>
      </c>
      <c r="G1411" s="20">
        <v>0.0</v>
      </c>
      <c r="H1411" s="18" t="s">
        <v>73</v>
      </c>
      <c r="I1411" s="18" t="str">
        <f t="shared" si="1"/>
        <v>Obesity</v>
      </c>
    </row>
    <row r="1412" ht="15.75" customHeight="1">
      <c r="A1412" s="18" t="s">
        <v>4511</v>
      </c>
      <c r="B1412" s="18">
        <v>28.51</v>
      </c>
      <c r="C1412" s="18">
        <v>5.65</v>
      </c>
      <c r="D1412" s="18" t="s">
        <v>80</v>
      </c>
      <c r="E1412" s="18" t="s">
        <v>73</v>
      </c>
      <c r="F1412" s="18" t="s">
        <v>73</v>
      </c>
      <c r="G1412" s="18">
        <v>1.0</v>
      </c>
      <c r="H1412" s="18" t="s">
        <v>73</v>
      </c>
      <c r="I1412" s="18" t="str">
        <f t="shared" si="1"/>
        <v>Overweight</v>
      </c>
    </row>
    <row r="1413" ht="15.75" customHeight="1">
      <c r="A1413" s="18" t="s">
        <v>4514</v>
      </c>
      <c r="B1413" s="18">
        <v>30.21</v>
      </c>
      <c r="C1413" s="18">
        <v>5.5</v>
      </c>
      <c r="D1413" s="18" t="s">
        <v>73</v>
      </c>
      <c r="E1413" s="18" t="s">
        <v>73</v>
      </c>
      <c r="F1413" s="18" t="s">
        <v>73</v>
      </c>
      <c r="G1413" s="18">
        <v>1.0</v>
      </c>
      <c r="H1413" s="18" t="s">
        <v>73</v>
      </c>
      <c r="I1413" s="18" t="str">
        <f t="shared" si="1"/>
        <v>Obesity</v>
      </c>
    </row>
    <row r="1414" ht="15.75" customHeight="1">
      <c r="A1414" s="18" t="s">
        <v>4518</v>
      </c>
      <c r="B1414" s="18">
        <v>24.33</v>
      </c>
      <c r="C1414" s="18">
        <v>8.0</v>
      </c>
      <c r="D1414" s="18" t="s">
        <v>73</v>
      </c>
      <c r="E1414" s="18" t="s">
        <v>73</v>
      </c>
      <c r="F1414" s="18" t="s">
        <v>73</v>
      </c>
      <c r="G1414" s="20">
        <v>0.0</v>
      </c>
      <c r="H1414" s="18" t="s">
        <v>73</v>
      </c>
      <c r="I1414" s="18" t="str">
        <f t="shared" si="1"/>
        <v>Normal Weight</v>
      </c>
    </row>
    <row r="1415" ht="15.75" customHeight="1">
      <c r="A1415" s="18" t="s">
        <v>4521</v>
      </c>
      <c r="B1415" s="18">
        <v>19.855</v>
      </c>
      <c r="C1415" s="18">
        <v>5.71</v>
      </c>
      <c r="D1415" s="18" t="s">
        <v>80</v>
      </c>
      <c r="E1415" s="18" t="s">
        <v>73</v>
      </c>
      <c r="F1415" s="18" t="s">
        <v>73</v>
      </c>
      <c r="G1415" s="20">
        <v>0.0</v>
      </c>
      <c r="H1415" s="18" t="s">
        <v>73</v>
      </c>
      <c r="I1415" s="18" t="str">
        <f t="shared" si="1"/>
        <v>Normal Weight</v>
      </c>
    </row>
    <row r="1416" ht="15.75" customHeight="1">
      <c r="A1416" s="18" t="s">
        <v>4523</v>
      </c>
      <c r="B1416" s="18">
        <v>25.365</v>
      </c>
      <c r="C1416" s="18">
        <v>11.71</v>
      </c>
      <c r="D1416" s="18" t="s">
        <v>73</v>
      </c>
      <c r="E1416" s="18" t="s">
        <v>73</v>
      </c>
      <c r="F1416" s="18" t="s">
        <v>73</v>
      </c>
      <c r="G1416" s="20">
        <v>0.0</v>
      </c>
      <c r="H1416" s="18" t="s">
        <v>73</v>
      </c>
      <c r="I1416" s="18" t="str">
        <f t="shared" si="1"/>
        <v>Overweight</v>
      </c>
    </row>
    <row r="1417" ht="15.75" customHeight="1">
      <c r="A1417" s="18" t="s">
        <v>4527</v>
      </c>
      <c r="B1417" s="18">
        <v>29.6</v>
      </c>
      <c r="C1417" s="18">
        <v>6.17</v>
      </c>
      <c r="D1417" s="18" t="s">
        <v>80</v>
      </c>
      <c r="E1417" s="18" t="s">
        <v>73</v>
      </c>
      <c r="F1417" s="18" t="s">
        <v>184</v>
      </c>
      <c r="G1417" s="18">
        <v>1.0</v>
      </c>
      <c r="H1417" s="18" t="s">
        <v>73</v>
      </c>
      <c r="I1417" s="18" t="str">
        <f t="shared" si="1"/>
        <v>Overweight</v>
      </c>
    </row>
    <row r="1418" ht="15.75" customHeight="1">
      <c r="A1418" s="18" t="s">
        <v>4529</v>
      </c>
      <c r="B1418" s="18">
        <v>39.43</v>
      </c>
      <c r="C1418" s="18">
        <v>6.1</v>
      </c>
      <c r="D1418" s="18" t="s">
        <v>80</v>
      </c>
      <c r="E1418" s="18" t="s">
        <v>73</v>
      </c>
      <c r="F1418" s="18" t="s">
        <v>184</v>
      </c>
      <c r="G1418" s="18">
        <v>1.0</v>
      </c>
      <c r="H1418" s="18" t="s">
        <v>73</v>
      </c>
      <c r="I1418" s="18" t="str">
        <f t="shared" si="1"/>
        <v>Obesity</v>
      </c>
    </row>
    <row r="1419" ht="15.75" customHeight="1">
      <c r="A1419" s="18" t="s">
        <v>4533</v>
      </c>
      <c r="B1419" s="18">
        <v>27.34</v>
      </c>
      <c r="C1419" s="18">
        <v>5.19</v>
      </c>
      <c r="D1419" s="18" t="s">
        <v>80</v>
      </c>
      <c r="E1419" s="18" t="s">
        <v>73</v>
      </c>
      <c r="F1419" s="18" t="s">
        <v>73</v>
      </c>
      <c r="G1419" s="18">
        <v>1.0</v>
      </c>
      <c r="H1419" s="18" t="s">
        <v>73</v>
      </c>
      <c r="I1419" s="18" t="str">
        <f t="shared" si="1"/>
        <v>Overweight</v>
      </c>
    </row>
    <row r="1420" ht="15.75" customHeight="1">
      <c r="A1420" s="18" t="s">
        <v>4535</v>
      </c>
      <c r="B1420" s="18">
        <v>39.01</v>
      </c>
      <c r="C1420" s="18">
        <v>5.37</v>
      </c>
      <c r="D1420" s="18" t="s">
        <v>80</v>
      </c>
      <c r="E1420" s="18" t="s">
        <v>73</v>
      </c>
      <c r="F1420" s="18" t="s">
        <v>73</v>
      </c>
      <c r="G1420" s="20">
        <v>0.0</v>
      </c>
      <c r="H1420" s="18" t="s">
        <v>73</v>
      </c>
      <c r="I1420" s="18" t="str">
        <f t="shared" si="1"/>
        <v>Obesity</v>
      </c>
    </row>
    <row r="1421" ht="15.75" customHeight="1">
      <c r="A1421" s="18" t="s">
        <v>4538</v>
      </c>
      <c r="B1421" s="18">
        <v>18.99</v>
      </c>
      <c r="C1421" s="18">
        <v>10.82</v>
      </c>
      <c r="D1421" s="18" t="s">
        <v>80</v>
      </c>
      <c r="E1421" s="18" t="s">
        <v>73</v>
      </c>
      <c r="F1421" s="18" t="s">
        <v>73</v>
      </c>
      <c r="G1421" s="20">
        <v>0.0</v>
      </c>
      <c r="H1421" s="18" t="s">
        <v>73</v>
      </c>
      <c r="I1421" s="18" t="str">
        <f t="shared" si="1"/>
        <v>Normal Weight</v>
      </c>
    </row>
    <row r="1422" ht="15.75" customHeight="1">
      <c r="A1422" s="18" t="s">
        <v>4542</v>
      </c>
      <c r="B1422" s="18">
        <v>42.3</v>
      </c>
      <c r="C1422" s="18">
        <v>6.06</v>
      </c>
      <c r="D1422" s="18" t="s">
        <v>80</v>
      </c>
      <c r="E1422" s="18" t="s">
        <v>73</v>
      </c>
      <c r="F1422" s="18" t="s">
        <v>73</v>
      </c>
      <c r="G1422" s="20">
        <v>0.0</v>
      </c>
      <c r="H1422" s="18" t="s">
        <v>73</v>
      </c>
      <c r="I1422" s="18" t="str">
        <f t="shared" si="1"/>
        <v>Obesity</v>
      </c>
    </row>
    <row r="1423" ht="15.75" customHeight="1">
      <c r="A1423" s="18" t="s">
        <v>4546</v>
      </c>
      <c r="B1423" s="18">
        <v>39.805</v>
      </c>
      <c r="C1423" s="18">
        <v>5.91</v>
      </c>
      <c r="D1423" s="18" t="s">
        <v>73</v>
      </c>
      <c r="E1423" s="18" t="s">
        <v>73</v>
      </c>
      <c r="F1423" s="18" t="s">
        <v>73</v>
      </c>
      <c r="G1423" s="20">
        <v>0.0</v>
      </c>
      <c r="H1423" s="18" t="s">
        <v>73</v>
      </c>
      <c r="I1423" s="18" t="str">
        <f t="shared" si="1"/>
        <v>Obesity</v>
      </c>
    </row>
    <row r="1424" ht="15.75" customHeight="1">
      <c r="A1424" s="18" t="s">
        <v>4549</v>
      </c>
      <c r="B1424" s="18">
        <v>33.7</v>
      </c>
      <c r="C1424" s="18">
        <v>5.87</v>
      </c>
      <c r="D1424" s="18" t="s">
        <v>73</v>
      </c>
      <c r="E1424" s="18" t="s">
        <v>73</v>
      </c>
      <c r="F1424" s="18" t="s">
        <v>73</v>
      </c>
      <c r="G1424" s="20">
        <v>0.0</v>
      </c>
      <c r="H1424" s="18" t="s">
        <v>73</v>
      </c>
      <c r="I1424" s="18" t="str">
        <f t="shared" si="1"/>
        <v>Obesity</v>
      </c>
    </row>
    <row r="1425" ht="15.75" customHeight="1">
      <c r="A1425" s="18" t="s">
        <v>4553</v>
      </c>
      <c r="B1425" s="18">
        <v>36.195</v>
      </c>
      <c r="C1425" s="18">
        <v>6.22</v>
      </c>
      <c r="D1425" s="18" t="s">
        <v>73</v>
      </c>
      <c r="E1425" s="18" t="s">
        <v>73</v>
      </c>
      <c r="F1425" s="18" t="s">
        <v>73</v>
      </c>
      <c r="G1425" s="20">
        <v>0.0</v>
      </c>
      <c r="H1425" s="18" t="s">
        <v>73</v>
      </c>
      <c r="I1425" s="18" t="str">
        <f t="shared" si="1"/>
        <v>Obesity</v>
      </c>
    </row>
    <row r="1426" ht="15.75" customHeight="1">
      <c r="A1426" s="18" t="s">
        <v>4557</v>
      </c>
      <c r="B1426" s="18">
        <v>32.6</v>
      </c>
      <c r="C1426" s="18">
        <v>5.73</v>
      </c>
      <c r="D1426" s="18" t="s">
        <v>73</v>
      </c>
      <c r="E1426" s="18" t="s">
        <v>73</v>
      </c>
      <c r="F1426" s="18" t="s">
        <v>184</v>
      </c>
      <c r="G1426" s="18">
        <v>1.0</v>
      </c>
      <c r="H1426" s="18" t="s">
        <v>73</v>
      </c>
      <c r="I1426" s="18" t="str">
        <f t="shared" si="1"/>
        <v>Obesity</v>
      </c>
    </row>
    <row r="1427" ht="15.75" customHeight="1">
      <c r="A1427" s="18" t="s">
        <v>4561</v>
      </c>
      <c r="B1427" s="18">
        <v>30.2</v>
      </c>
      <c r="C1427" s="18">
        <v>5.7</v>
      </c>
      <c r="D1427" s="18" t="s">
        <v>73</v>
      </c>
      <c r="E1427" s="18" t="s">
        <v>73</v>
      </c>
      <c r="F1427" s="18" t="s">
        <v>73</v>
      </c>
      <c r="G1427" s="20">
        <v>0.0</v>
      </c>
      <c r="H1427" s="18" t="s">
        <v>73</v>
      </c>
      <c r="I1427" s="18" t="str">
        <f t="shared" si="1"/>
        <v>Obesity</v>
      </c>
    </row>
    <row r="1428" ht="15.75" customHeight="1">
      <c r="A1428" s="18" t="s">
        <v>4564</v>
      </c>
      <c r="B1428" s="18">
        <v>27.645</v>
      </c>
      <c r="C1428" s="18">
        <v>9.91</v>
      </c>
      <c r="D1428" s="18" t="s">
        <v>73</v>
      </c>
      <c r="E1428" s="18" t="s">
        <v>73</v>
      </c>
      <c r="F1428" s="18" t="s">
        <v>73</v>
      </c>
      <c r="G1428" s="20">
        <v>0.0</v>
      </c>
      <c r="H1428" s="18" t="s">
        <v>73</v>
      </c>
      <c r="I1428" s="18" t="str">
        <f t="shared" si="1"/>
        <v>Overweight</v>
      </c>
    </row>
    <row r="1429" ht="15.75" customHeight="1">
      <c r="A1429" s="18" t="s">
        <v>4567</v>
      </c>
      <c r="B1429" s="18">
        <v>26.41</v>
      </c>
      <c r="C1429" s="18">
        <v>11.4</v>
      </c>
      <c r="D1429" s="18" t="s">
        <v>73</v>
      </c>
      <c r="E1429" s="18" t="s">
        <v>73</v>
      </c>
      <c r="F1429" s="18" t="s">
        <v>73</v>
      </c>
      <c r="G1429" s="20">
        <v>0.0</v>
      </c>
      <c r="H1429" s="18" t="s">
        <v>73</v>
      </c>
      <c r="I1429" s="18" t="str">
        <f t="shared" si="1"/>
        <v>Overweight</v>
      </c>
    </row>
    <row r="1430" ht="15.75" customHeight="1">
      <c r="A1430" s="18" t="s">
        <v>4571</v>
      </c>
      <c r="B1430" s="18">
        <v>34.1</v>
      </c>
      <c r="C1430" s="18">
        <v>6.29</v>
      </c>
      <c r="D1430" s="18" t="s">
        <v>80</v>
      </c>
      <c r="E1430" s="18" t="s">
        <v>73</v>
      </c>
      <c r="F1430" s="18" t="s">
        <v>184</v>
      </c>
      <c r="G1430" s="18">
        <v>1.0</v>
      </c>
      <c r="H1430" s="18" t="s">
        <v>73</v>
      </c>
      <c r="I1430" s="18" t="str">
        <f t="shared" si="1"/>
        <v>Obesity</v>
      </c>
    </row>
    <row r="1431" ht="15.75" customHeight="1">
      <c r="A1431" s="18" t="s">
        <v>4572</v>
      </c>
      <c r="B1431" s="18">
        <v>17.3</v>
      </c>
      <c r="C1431" s="18">
        <v>9.28</v>
      </c>
      <c r="D1431" s="18" t="s">
        <v>73</v>
      </c>
      <c r="E1431" s="18" t="s">
        <v>73</v>
      </c>
      <c r="F1431" s="18" t="s">
        <v>73</v>
      </c>
      <c r="G1431" s="20">
        <v>0.0</v>
      </c>
      <c r="H1431" s="18" t="s">
        <v>73</v>
      </c>
      <c r="I1431" s="18" t="str">
        <f t="shared" si="1"/>
        <v>Underweight</v>
      </c>
    </row>
    <row r="1432" ht="15.75" customHeight="1">
      <c r="A1432" s="18" t="s">
        <v>4576</v>
      </c>
      <c r="B1432" s="18">
        <v>35.02</v>
      </c>
      <c r="C1432" s="18">
        <v>4.78</v>
      </c>
      <c r="D1432" s="18" t="s">
        <v>73</v>
      </c>
      <c r="E1432" s="18" t="s">
        <v>73</v>
      </c>
      <c r="F1432" s="18" t="s">
        <v>184</v>
      </c>
      <c r="G1432" s="18">
        <v>1.0</v>
      </c>
      <c r="H1432" s="18" t="s">
        <v>73</v>
      </c>
      <c r="I1432" s="18" t="str">
        <f t="shared" si="1"/>
        <v>Obesity</v>
      </c>
    </row>
    <row r="1433" ht="15.75" customHeight="1">
      <c r="A1433" s="18" t="s">
        <v>4580</v>
      </c>
      <c r="B1433" s="18">
        <v>37.1</v>
      </c>
      <c r="C1433" s="18">
        <v>8.87</v>
      </c>
      <c r="D1433" s="18" t="s">
        <v>80</v>
      </c>
      <c r="E1433" s="18" t="s">
        <v>73</v>
      </c>
      <c r="F1433" s="18" t="s">
        <v>73</v>
      </c>
      <c r="G1433" s="20">
        <v>0.0</v>
      </c>
      <c r="H1433" s="18" t="s">
        <v>73</v>
      </c>
      <c r="I1433" s="18" t="str">
        <f t="shared" si="1"/>
        <v>Obesity</v>
      </c>
    </row>
    <row r="1434" ht="15.75" customHeight="1">
      <c r="A1434" s="18" t="s">
        <v>4583</v>
      </c>
      <c r="B1434" s="18">
        <v>16.79</v>
      </c>
      <c r="C1434" s="18">
        <v>11.4</v>
      </c>
      <c r="D1434" s="18" t="s">
        <v>73</v>
      </c>
      <c r="E1434" s="18" t="s">
        <v>73</v>
      </c>
      <c r="F1434" s="18" t="s">
        <v>73</v>
      </c>
      <c r="G1434" s="20">
        <v>0.0</v>
      </c>
      <c r="H1434" s="18" t="s">
        <v>73</v>
      </c>
      <c r="I1434" s="18" t="str">
        <f t="shared" si="1"/>
        <v>Underweight</v>
      </c>
    </row>
    <row r="1435" ht="15.75" customHeight="1">
      <c r="A1435" s="18" t="s">
        <v>4587</v>
      </c>
      <c r="B1435" s="18">
        <v>31.635</v>
      </c>
      <c r="C1435" s="18">
        <v>9.13</v>
      </c>
      <c r="D1435" s="18" t="s">
        <v>80</v>
      </c>
      <c r="E1435" s="18" t="s">
        <v>73</v>
      </c>
      <c r="F1435" s="18" t="s">
        <v>73</v>
      </c>
      <c r="G1435" s="20">
        <v>0.0</v>
      </c>
      <c r="H1435" s="18" t="s">
        <v>73</v>
      </c>
      <c r="I1435" s="18" t="str">
        <f t="shared" si="1"/>
        <v>Obesity</v>
      </c>
    </row>
    <row r="1436" ht="15.75" customHeight="1">
      <c r="A1436" s="18" t="s">
        <v>4590</v>
      </c>
      <c r="B1436" s="18">
        <v>24.19</v>
      </c>
      <c r="C1436" s="18">
        <v>6.22</v>
      </c>
      <c r="D1436" s="18" t="s">
        <v>80</v>
      </c>
      <c r="E1436" s="18" t="s">
        <v>73</v>
      </c>
      <c r="F1436" s="18" t="s">
        <v>184</v>
      </c>
      <c r="G1436" s="18">
        <v>1.0</v>
      </c>
      <c r="H1436" s="18" t="s">
        <v>73</v>
      </c>
      <c r="I1436" s="18" t="str">
        <f t="shared" si="1"/>
        <v>Normal Weight</v>
      </c>
    </row>
    <row r="1437" ht="15.75" customHeight="1">
      <c r="A1437" s="18" t="s">
        <v>4592</v>
      </c>
      <c r="B1437" s="18">
        <v>35.29</v>
      </c>
      <c r="C1437" s="18">
        <v>5.9</v>
      </c>
      <c r="D1437" s="18" t="s">
        <v>73</v>
      </c>
      <c r="E1437" s="18" t="s">
        <v>73</v>
      </c>
      <c r="F1437" s="18" t="s">
        <v>184</v>
      </c>
      <c r="G1437" s="18">
        <v>1.0</v>
      </c>
      <c r="H1437" s="18" t="s">
        <v>73</v>
      </c>
      <c r="I1437" s="18" t="str">
        <f t="shared" si="1"/>
        <v>Obesity</v>
      </c>
    </row>
    <row r="1438" ht="15.75" customHeight="1">
      <c r="A1438" s="18" t="s">
        <v>4596</v>
      </c>
      <c r="B1438" s="18">
        <v>35.3</v>
      </c>
      <c r="C1438" s="18">
        <v>4.45</v>
      </c>
      <c r="D1438" s="18" t="s">
        <v>73</v>
      </c>
      <c r="E1438" s="18" t="s">
        <v>73</v>
      </c>
      <c r="F1438" s="18" t="s">
        <v>73</v>
      </c>
      <c r="G1438" s="20">
        <v>0.0</v>
      </c>
      <c r="H1438" s="18" t="s">
        <v>73</v>
      </c>
      <c r="I1438" s="18" t="str">
        <f t="shared" si="1"/>
        <v>Obesity</v>
      </c>
    </row>
    <row r="1439" ht="15.75" customHeight="1">
      <c r="A1439" s="18" t="s">
        <v>4599</v>
      </c>
      <c r="B1439" s="18">
        <v>35.64</v>
      </c>
      <c r="C1439" s="18">
        <v>6.17</v>
      </c>
      <c r="D1439" s="18" t="s">
        <v>73</v>
      </c>
      <c r="E1439" s="18" t="s">
        <v>73</v>
      </c>
      <c r="F1439" s="18" t="s">
        <v>184</v>
      </c>
      <c r="G1439" s="18">
        <v>1.0</v>
      </c>
      <c r="H1439" s="18" t="s">
        <v>73</v>
      </c>
      <c r="I1439" s="18" t="str">
        <f t="shared" si="1"/>
        <v>Obesity</v>
      </c>
    </row>
    <row r="1440" ht="15.75" customHeight="1">
      <c r="A1440" s="18" t="s">
        <v>4602</v>
      </c>
      <c r="B1440" s="18">
        <v>33.1</v>
      </c>
      <c r="C1440" s="18">
        <v>4.93</v>
      </c>
      <c r="D1440" s="18" t="s">
        <v>73</v>
      </c>
      <c r="E1440" s="18" t="s">
        <v>73</v>
      </c>
      <c r="F1440" s="18" t="s">
        <v>73</v>
      </c>
      <c r="G1440" s="20">
        <v>0.0</v>
      </c>
      <c r="H1440" s="18" t="s">
        <v>73</v>
      </c>
      <c r="I1440" s="18" t="str">
        <f t="shared" si="1"/>
        <v>Obesity</v>
      </c>
    </row>
    <row r="1441" ht="15.75" customHeight="1">
      <c r="A1441" s="18" t="s">
        <v>4605</v>
      </c>
      <c r="B1441" s="18">
        <v>26.41</v>
      </c>
      <c r="C1441" s="18">
        <v>7.32</v>
      </c>
      <c r="D1441" s="18" t="s">
        <v>80</v>
      </c>
      <c r="E1441" s="18" t="s">
        <v>73</v>
      </c>
      <c r="F1441" s="18" t="s">
        <v>73</v>
      </c>
      <c r="G1441" s="18">
        <v>1.0</v>
      </c>
      <c r="H1441" s="18" t="s">
        <v>73</v>
      </c>
      <c r="I1441" s="18" t="str">
        <f t="shared" si="1"/>
        <v>Overweight</v>
      </c>
    </row>
    <row r="1442" ht="15.75" customHeight="1">
      <c r="A1442" s="18" t="s">
        <v>4609</v>
      </c>
      <c r="B1442" s="18">
        <v>29.9</v>
      </c>
      <c r="C1442" s="18">
        <v>5.27</v>
      </c>
      <c r="D1442" s="18" t="s">
        <v>73</v>
      </c>
      <c r="E1442" s="18" t="s">
        <v>73</v>
      </c>
      <c r="F1442" s="18" t="s">
        <v>184</v>
      </c>
      <c r="G1442" s="18">
        <v>1.0</v>
      </c>
      <c r="H1442" s="18" t="s">
        <v>73</v>
      </c>
      <c r="I1442" s="18" t="str">
        <f t="shared" si="1"/>
        <v>Overweight</v>
      </c>
    </row>
    <row r="1443" ht="15.75" customHeight="1">
      <c r="A1443" s="18" t="s">
        <v>4612</v>
      </c>
      <c r="B1443" s="18">
        <v>25.24</v>
      </c>
      <c r="C1443" s="18">
        <v>5.82</v>
      </c>
      <c r="D1443" s="18" t="s">
        <v>73</v>
      </c>
      <c r="E1443" s="18" t="s">
        <v>73</v>
      </c>
      <c r="F1443" s="18" t="s">
        <v>73</v>
      </c>
      <c r="G1443" s="18">
        <v>1.0</v>
      </c>
      <c r="H1443" s="18" t="s">
        <v>73</v>
      </c>
      <c r="I1443" s="18" t="str">
        <f t="shared" si="1"/>
        <v>Overweight</v>
      </c>
    </row>
    <row r="1444" ht="15.75" customHeight="1">
      <c r="A1444" s="18" t="s">
        <v>4613</v>
      </c>
      <c r="B1444" s="18">
        <v>25.08</v>
      </c>
      <c r="C1444" s="18">
        <v>5.8</v>
      </c>
      <c r="D1444" s="18" t="s">
        <v>73</v>
      </c>
      <c r="E1444" s="18" t="s">
        <v>73</v>
      </c>
      <c r="F1444" s="18" t="s">
        <v>184</v>
      </c>
      <c r="G1444" s="18">
        <v>1.0</v>
      </c>
      <c r="H1444" s="18" t="s">
        <v>73</v>
      </c>
      <c r="I1444" s="18" t="str">
        <f t="shared" si="1"/>
        <v>Overweight</v>
      </c>
    </row>
    <row r="1445" ht="15.75" customHeight="1">
      <c r="A1445" s="18" t="s">
        <v>4616</v>
      </c>
      <c r="B1445" s="18">
        <v>29.165</v>
      </c>
      <c r="C1445" s="18">
        <v>4.87</v>
      </c>
      <c r="D1445" s="18" t="s">
        <v>73</v>
      </c>
      <c r="E1445" s="18" t="s">
        <v>80</v>
      </c>
      <c r="F1445" s="18" t="s">
        <v>73</v>
      </c>
      <c r="G1445" s="18">
        <v>1.0</v>
      </c>
      <c r="H1445" s="18" t="s">
        <v>73</v>
      </c>
      <c r="I1445" s="18" t="str">
        <f t="shared" si="1"/>
        <v>Overweight</v>
      </c>
    </row>
    <row r="1446" ht="15.75" customHeight="1">
      <c r="A1446" s="18" t="s">
        <v>4619</v>
      </c>
      <c r="B1446" s="18">
        <v>15.05</v>
      </c>
      <c r="C1446" s="18">
        <v>8.12</v>
      </c>
      <c r="D1446" s="18" t="s">
        <v>73</v>
      </c>
      <c r="E1446" s="18" t="s">
        <v>73</v>
      </c>
      <c r="F1446" s="18" t="s">
        <v>73</v>
      </c>
      <c r="G1446" s="20">
        <v>0.0</v>
      </c>
      <c r="H1446" s="18" t="s">
        <v>73</v>
      </c>
      <c r="I1446" s="18" t="str">
        <f t="shared" si="1"/>
        <v>Underweight</v>
      </c>
    </row>
    <row r="1447" ht="15.75" customHeight="1">
      <c r="A1447" s="18" t="s">
        <v>4623</v>
      </c>
      <c r="B1447" s="18">
        <v>19.95</v>
      </c>
      <c r="C1447" s="18">
        <v>4.36</v>
      </c>
      <c r="D1447" s="18" t="s">
        <v>73</v>
      </c>
      <c r="E1447" s="18" t="s">
        <v>73</v>
      </c>
      <c r="F1447" s="18" t="s">
        <v>73</v>
      </c>
      <c r="G1447" s="18">
        <v>2.0</v>
      </c>
      <c r="H1447" s="18" t="s">
        <v>73</v>
      </c>
      <c r="I1447" s="18" t="str">
        <f t="shared" si="1"/>
        <v>Normal Weight</v>
      </c>
    </row>
    <row r="1448" ht="15.75" customHeight="1">
      <c r="A1448" s="18" t="s">
        <v>4632</v>
      </c>
      <c r="B1448" s="18">
        <v>16.66</v>
      </c>
      <c r="C1448" s="18">
        <v>9.16</v>
      </c>
      <c r="D1448" s="18" t="s">
        <v>73</v>
      </c>
      <c r="E1448" s="18" t="s">
        <v>73</v>
      </c>
      <c r="F1448" s="18" t="s">
        <v>73</v>
      </c>
      <c r="G1448" s="20">
        <v>0.0</v>
      </c>
      <c r="H1448" s="18" t="s">
        <v>73</v>
      </c>
      <c r="I1448" s="18" t="str">
        <f t="shared" si="1"/>
        <v>Underweight</v>
      </c>
    </row>
    <row r="1449" ht="15.75" customHeight="1">
      <c r="A1449" s="18" t="s">
        <v>4635</v>
      </c>
      <c r="B1449" s="18">
        <v>16.62</v>
      </c>
      <c r="C1449" s="18">
        <v>9.14</v>
      </c>
      <c r="D1449" s="18" t="s">
        <v>73</v>
      </c>
      <c r="E1449" s="18" t="s">
        <v>73</v>
      </c>
      <c r="F1449" s="18" t="s">
        <v>73</v>
      </c>
      <c r="G1449" s="20">
        <v>0.0</v>
      </c>
      <c r="H1449" s="18" t="s">
        <v>73</v>
      </c>
      <c r="I1449" s="18" t="str">
        <f t="shared" si="1"/>
        <v>Underweight</v>
      </c>
    </row>
    <row r="1450" ht="15.75" customHeight="1">
      <c r="A1450" s="18" t="s">
        <v>4639</v>
      </c>
      <c r="B1450" s="18">
        <v>15.36</v>
      </c>
      <c r="C1450" s="18">
        <v>5.49</v>
      </c>
      <c r="D1450" s="18" t="s">
        <v>80</v>
      </c>
      <c r="E1450" s="18" t="s">
        <v>73</v>
      </c>
      <c r="F1450" s="18" t="s">
        <v>73</v>
      </c>
      <c r="G1450" s="18">
        <v>2.0</v>
      </c>
      <c r="H1450" s="18" t="s">
        <v>73</v>
      </c>
      <c r="I1450" s="18" t="str">
        <f t="shared" si="1"/>
        <v>Underweight</v>
      </c>
    </row>
    <row r="1451" ht="15.75" customHeight="1">
      <c r="A1451" s="18" t="s">
        <v>4642</v>
      </c>
      <c r="B1451" s="18">
        <v>27.74</v>
      </c>
      <c r="C1451" s="18">
        <v>5.96</v>
      </c>
      <c r="D1451" s="18" t="s">
        <v>80</v>
      </c>
      <c r="E1451" s="18" t="s">
        <v>73</v>
      </c>
      <c r="F1451" s="18" t="s">
        <v>73</v>
      </c>
      <c r="G1451" s="20">
        <v>0.0</v>
      </c>
      <c r="H1451" s="18" t="s">
        <v>73</v>
      </c>
      <c r="I1451" s="18" t="str">
        <f t="shared" si="1"/>
        <v>Overweight</v>
      </c>
    </row>
    <row r="1452" ht="15.75" customHeight="1">
      <c r="A1452" s="18" t="s">
        <v>4646</v>
      </c>
      <c r="B1452" s="18">
        <v>22.44</v>
      </c>
      <c r="C1452" s="18">
        <v>4.62</v>
      </c>
      <c r="D1452" s="18" t="s">
        <v>80</v>
      </c>
      <c r="E1452" s="18" t="s">
        <v>73</v>
      </c>
      <c r="F1452" s="18" t="s">
        <v>73</v>
      </c>
      <c r="G1452" s="20">
        <v>0.0</v>
      </c>
      <c r="H1452" s="18" t="s">
        <v>73</v>
      </c>
      <c r="I1452" s="18" t="str">
        <f t="shared" si="1"/>
        <v>Normal Weight</v>
      </c>
    </row>
    <row r="1453" ht="15.75" customHeight="1">
      <c r="A1453" s="18" t="s">
        <v>4650</v>
      </c>
      <c r="B1453" s="18">
        <v>37.05</v>
      </c>
      <c r="C1453" s="18">
        <v>9.96</v>
      </c>
      <c r="D1453" s="18" t="s">
        <v>80</v>
      </c>
      <c r="E1453" s="18" t="s">
        <v>73</v>
      </c>
      <c r="F1453" s="18" t="s">
        <v>73</v>
      </c>
      <c r="G1453" s="20">
        <v>0.0</v>
      </c>
      <c r="H1453" s="18" t="s">
        <v>73</v>
      </c>
      <c r="I1453" s="18" t="str">
        <f t="shared" si="1"/>
        <v>Obesity</v>
      </c>
    </row>
    <row r="1454" ht="15.75" customHeight="1">
      <c r="A1454" s="18" t="s">
        <v>4653</v>
      </c>
      <c r="B1454" s="18">
        <v>22.95</v>
      </c>
      <c r="C1454" s="18">
        <v>10.53</v>
      </c>
      <c r="D1454" s="18" t="s">
        <v>73</v>
      </c>
      <c r="E1454" s="18" t="s">
        <v>73</v>
      </c>
      <c r="F1454" s="18" t="s">
        <v>73</v>
      </c>
      <c r="G1454" s="18">
        <v>2.0</v>
      </c>
      <c r="H1454" s="18" t="s">
        <v>73</v>
      </c>
      <c r="I1454" s="18" t="str">
        <f t="shared" si="1"/>
        <v>Normal Weight</v>
      </c>
    </row>
    <row r="1455" ht="15.75" customHeight="1">
      <c r="A1455" s="18" t="s">
        <v>4657</v>
      </c>
      <c r="B1455" s="18">
        <v>34.2</v>
      </c>
      <c r="C1455" s="18">
        <v>6.69</v>
      </c>
      <c r="D1455" s="18" t="s">
        <v>80</v>
      </c>
      <c r="E1455" s="18" t="s">
        <v>73</v>
      </c>
      <c r="F1455" s="18" t="s">
        <v>73</v>
      </c>
      <c r="G1455" s="20">
        <v>0.0</v>
      </c>
      <c r="H1455" s="18" t="s">
        <v>73</v>
      </c>
      <c r="I1455" s="18" t="str">
        <f t="shared" si="1"/>
        <v>Obesity</v>
      </c>
    </row>
    <row r="1456" ht="15.75" customHeight="1">
      <c r="A1456" s="18" t="s">
        <v>4661</v>
      </c>
      <c r="B1456" s="18">
        <v>30.59</v>
      </c>
      <c r="C1456" s="18">
        <v>9.55</v>
      </c>
      <c r="D1456" s="18" t="s">
        <v>80</v>
      </c>
      <c r="E1456" s="18" t="s">
        <v>73</v>
      </c>
      <c r="F1456" s="18" t="s">
        <v>73</v>
      </c>
      <c r="G1456" s="20">
        <v>0.0</v>
      </c>
      <c r="H1456" s="18" t="s">
        <v>73</v>
      </c>
      <c r="I1456" s="18" t="str">
        <f t="shared" si="1"/>
        <v>Obesity</v>
      </c>
    </row>
    <row r="1457" ht="15.75" customHeight="1">
      <c r="A1457" s="18" t="s">
        <v>4664</v>
      </c>
      <c r="B1457" s="18">
        <v>25.51</v>
      </c>
      <c r="C1457" s="18">
        <v>6.05</v>
      </c>
      <c r="D1457" s="18" t="s">
        <v>73</v>
      </c>
      <c r="E1457" s="18" t="s">
        <v>73</v>
      </c>
      <c r="F1457" s="18" t="s">
        <v>73</v>
      </c>
      <c r="G1457" s="20">
        <v>0.0</v>
      </c>
      <c r="H1457" s="18" t="s">
        <v>73</v>
      </c>
      <c r="I1457" s="18" t="str">
        <f t="shared" si="1"/>
        <v>Overweight</v>
      </c>
    </row>
    <row r="1458" ht="15.75" customHeight="1">
      <c r="A1458" s="18" t="s">
        <v>4667</v>
      </c>
      <c r="B1458" s="18">
        <v>29.04</v>
      </c>
      <c r="C1458" s="18">
        <v>10.56</v>
      </c>
      <c r="D1458" s="18" t="s">
        <v>80</v>
      </c>
      <c r="E1458" s="18" t="s">
        <v>73</v>
      </c>
      <c r="F1458" s="18" t="s">
        <v>73</v>
      </c>
      <c r="G1458" s="18">
        <v>1.0</v>
      </c>
      <c r="H1458" s="18" t="s">
        <v>73</v>
      </c>
      <c r="I1458" s="18" t="str">
        <f t="shared" si="1"/>
        <v>Overweight</v>
      </c>
    </row>
    <row r="1459" ht="15.75" customHeight="1">
      <c r="A1459" s="18" t="s">
        <v>4671</v>
      </c>
      <c r="B1459" s="18">
        <v>22.135</v>
      </c>
      <c r="C1459" s="18">
        <v>10.81</v>
      </c>
      <c r="D1459" s="18" t="s">
        <v>80</v>
      </c>
      <c r="E1459" s="18" t="s">
        <v>73</v>
      </c>
      <c r="F1459" s="18" t="s">
        <v>73</v>
      </c>
      <c r="G1459" s="18">
        <v>1.0</v>
      </c>
      <c r="H1459" s="18" t="s">
        <v>73</v>
      </c>
      <c r="I1459" s="18" t="str">
        <f t="shared" si="1"/>
        <v>Normal Weight</v>
      </c>
    </row>
    <row r="1460" ht="15.75" customHeight="1">
      <c r="A1460" s="18" t="s">
        <v>4674</v>
      </c>
      <c r="B1460" s="18">
        <v>21.375</v>
      </c>
      <c r="C1460" s="18">
        <v>4.32</v>
      </c>
      <c r="D1460" s="18" t="s">
        <v>73</v>
      </c>
      <c r="E1460" s="18" t="s">
        <v>73</v>
      </c>
      <c r="F1460" s="18" t="s">
        <v>73</v>
      </c>
      <c r="G1460" s="20">
        <v>0.0</v>
      </c>
      <c r="H1460" s="18" t="s">
        <v>73</v>
      </c>
      <c r="I1460" s="18" t="str">
        <f t="shared" si="1"/>
        <v>Normal Weight</v>
      </c>
    </row>
    <row r="1461" ht="15.75" customHeight="1">
      <c r="A1461" s="18" t="s">
        <v>4678</v>
      </c>
      <c r="B1461" s="18">
        <v>29.19</v>
      </c>
      <c r="C1461" s="18">
        <v>4.37</v>
      </c>
      <c r="D1461" s="18" t="s">
        <v>73</v>
      </c>
      <c r="E1461" s="18" t="s">
        <v>73</v>
      </c>
      <c r="F1461" s="18" t="s">
        <v>73</v>
      </c>
      <c r="G1461" s="20">
        <v>0.0</v>
      </c>
      <c r="H1461" s="18" t="s">
        <v>73</v>
      </c>
      <c r="I1461" s="18" t="str">
        <f t="shared" si="1"/>
        <v>Overweight</v>
      </c>
    </row>
    <row r="1462" ht="15.75" customHeight="1">
      <c r="A1462" s="18" t="s">
        <v>4681</v>
      </c>
      <c r="B1462" s="18">
        <v>31.92</v>
      </c>
      <c r="C1462" s="18">
        <v>4.81</v>
      </c>
      <c r="D1462" s="18" t="s">
        <v>80</v>
      </c>
      <c r="E1462" s="18" t="s">
        <v>73</v>
      </c>
      <c r="F1462" s="18" t="s">
        <v>184</v>
      </c>
      <c r="G1462" s="18">
        <v>1.0</v>
      </c>
      <c r="H1462" s="18" t="s">
        <v>73</v>
      </c>
      <c r="I1462" s="18" t="str">
        <f t="shared" si="1"/>
        <v>Obesity</v>
      </c>
    </row>
    <row r="1463" ht="15.75" customHeight="1">
      <c r="A1463" s="18" t="s">
        <v>4683</v>
      </c>
      <c r="B1463" s="18">
        <v>26.315</v>
      </c>
      <c r="C1463" s="18">
        <v>4.56</v>
      </c>
      <c r="D1463" s="18" t="s">
        <v>80</v>
      </c>
      <c r="E1463" s="18" t="s">
        <v>73</v>
      </c>
      <c r="F1463" s="18" t="s">
        <v>184</v>
      </c>
      <c r="G1463" s="18">
        <v>1.0</v>
      </c>
      <c r="H1463" s="18" t="s">
        <v>73</v>
      </c>
      <c r="I1463" s="18" t="str">
        <f t="shared" si="1"/>
        <v>Overweight</v>
      </c>
    </row>
    <row r="1464" ht="15.75" customHeight="1">
      <c r="A1464" s="18" t="s">
        <v>4685</v>
      </c>
      <c r="B1464" s="18">
        <v>35.3</v>
      </c>
      <c r="C1464" s="18">
        <v>4.39</v>
      </c>
      <c r="D1464" s="18" t="s">
        <v>73</v>
      </c>
      <c r="E1464" s="18" t="s">
        <v>73</v>
      </c>
      <c r="F1464" s="18" t="s">
        <v>73</v>
      </c>
      <c r="G1464" s="20">
        <v>0.0</v>
      </c>
      <c r="H1464" s="18" t="s">
        <v>73</v>
      </c>
      <c r="I1464" s="18" t="str">
        <f t="shared" si="1"/>
        <v>Obesity</v>
      </c>
    </row>
    <row r="1465" ht="15.75" customHeight="1">
      <c r="A1465" s="18" t="s">
        <v>4688</v>
      </c>
      <c r="B1465" s="18">
        <v>18.91</v>
      </c>
      <c r="C1465" s="18">
        <v>11.44</v>
      </c>
      <c r="D1465" s="18" t="s">
        <v>73</v>
      </c>
      <c r="E1465" s="18" t="s">
        <v>73</v>
      </c>
      <c r="F1465" s="18" t="s">
        <v>73</v>
      </c>
      <c r="G1465" s="20">
        <v>0.0</v>
      </c>
      <c r="H1465" s="18" t="s">
        <v>73</v>
      </c>
      <c r="I1465" s="18" t="str">
        <f t="shared" si="1"/>
        <v>Normal Weight</v>
      </c>
    </row>
    <row r="1466" ht="15.75" customHeight="1">
      <c r="A1466" s="18" t="s">
        <v>4692</v>
      </c>
      <c r="B1466" s="18">
        <v>22.41</v>
      </c>
      <c r="C1466" s="18">
        <v>11.37</v>
      </c>
      <c r="D1466" s="18" t="s">
        <v>80</v>
      </c>
      <c r="E1466" s="18" t="s">
        <v>73</v>
      </c>
      <c r="F1466" s="18" t="s">
        <v>73</v>
      </c>
      <c r="G1466" s="18">
        <v>1.0</v>
      </c>
      <c r="H1466" s="18" t="s">
        <v>73</v>
      </c>
      <c r="I1466" s="18" t="str">
        <f t="shared" si="1"/>
        <v>Normal Weight</v>
      </c>
    </row>
    <row r="1467" ht="15.75" customHeight="1">
      <c r="A1467" s="18" t="s">
        <v>4695</v>
      </c>
      <c r="B1467" s="18">
        <v>22.705</v>
      </c>
      <c r="C1467" s="18">
        <v>6.14</v>
      </c>
      <c r="D1467" s="18" t="s">
        <v>73</v>
      </c>
      <c r="E1467" s="18" t="s">
        <v>73</v>
      </c>
      <c r="F1467" s="18" t="s">
        <v>73</v>
      </c>
      <c r="G1467" s="20">
        <v>0.0</v>
      </c>
      <c r="H1467" s="18" t="s">
        <v>73</v>
      </c>
      <c r="I1467" s="18" t="str">
        <f t="shared" si="1"/>
        <v>Normal Weight</v>
      </c>
    </row>
    <row r="1468" ht="15.75" customHeight="1">
      <c r="A1468" s="18" t="s">
        <v>4698</v>
      </c>
      <c r="B1468" s="18">
        <v>37.18</v>
      </c>
      <c r="C1468" s="18">
        <v>4.89</v>
      </c>
      <c r="D1468" s="18" t="s">
        <v>73</v>
      </c>
      <c r="E1468" s="18" t="s">
        <v>73</v>
      </c>
      <c r="F1468" s="18" t="s">
        <v>73</v>
      </c>
      <c r="G1468" s="20">
        <v>0.0</v>
      </c>
      <c r="H1468" s="18" t="s">
        <v>73</v>
      </c>
      <c r="I1468" s="18" t="str">
        <f t="shared" si="1"/>
        <v>Obesity</v>
      </c>
    </row>
    <row r="1469" ht="15.75" customHeight="1">
      <c r="A1469" s="18" t="s">
        <v>4701</v>
      </c>
      <c r="B1469" s="18">
        <v>35.97</v>
      </c>
      <c r="C1469" s="18">
        <v>4.6</v>
      </c>
      <c r="D1469" s="18" t="s">
        <v>73</v>
      </c>
      <c r="E1469" s="18" t="s">
        <v>73</v>
      </c>
      <c r="F1469" s="18" t="s">
        <v>73</v>
      </c>
      <c r="G1469" s="20">
        <v>0.0</v>
      </c>
      <c r="H1469" s="18" t="s">
        <v>73</v>
      </c>
      <c r="I1469" s="18" t="str">
        <f t="shared" si="1"/>
        <v>Obesity</v>
      </c>
    </row>
    <row r="1470" ht="15.75" customHeight="1">
      <c r="A1470" s="18" t="s">
        <v>4706</v>
      </c>
      <c r="B1470" s="18">
        <v>35.8</v>
      </c>
      <c r="C1470" s="18">
        <v>4.42</v>
      </c>
      <c r="D1470" s="18" t="s">
        <v>73</v>
      </c>
      <c r="E1470" s="18" t="s">
        <v>73</v>
      </c>
      <c r="F1470" s="18" t="s">
        <v>73</v>
      </c>
      <c r="G1470" s="20">
        <v>0.0</v>
      </c>
      <c r="H1470" s="18" t="s">
        <v>73</v>
      </c>
      <c r="I1470" s="18" t="str">
        <f t="shared" si="1"/>
        <v>Obesity</v>
      </c>
    </row>
    <row r="1471" ht="15.75" customHeight="1">
      <c r="A1471" s="18" t="s">
        <v>4709</v>
      </c>
      <c r="B1471" s="18">
        <v>28.31</v>
      </c>
      <c r="C1471" s="18">
        <v>7.48</v>
      </c>
      <c r="D1471" s="18" t="s">
        <v>80</v>
      </c>
      <c r="E1471" s="18" t="s">
        <v>73</v>
      </c>
      <c r="F1471" s="18" t="s">
        <v>73</v>
      </c>
      <c r="G1471" s="20">
        <v>0.0</v>
      </c>
      <c r="H1471" s="18" t="s">
        <v>73</v>
      </c>
      <c r="I1471" s="18" t="str">
        <f t="shared" si="1"/>
        <v>Overweight</v>
      </c>
    </row>
    <row r="1472" ht="15.75" customHeight="1">
      <c r="A1472" s="18" t="s">
        <v>4712</v>
      </c>
      <c r="B1472" s="18">
        <v>38.06</v>
      </c>
      <c r="C1472" s="18">
        <v>10.74</v>
      </c>
      <c r="D1472" s="18" t="s">
        <v>73</v>
      </c>
      <c r="E1472" s="18" t="s">
        <v>73</v>
      </c>
      <c r="F1472" s="18" t="s">
        <v>73</v>
      </c>
      <c r="G1472" s="20">
        <v>0.0</v>
      </c>
      <c r="H1472" s="18" t="s">
        <v>73</v>
      </c>
      <c r="I1472" s="18" t="str">
        <f t="shared" si="1"/>
        <v>Obesity</v>
      </c>
    </row>
    <row r="1473" ht="15.75" customHeight="1">
      <c r="A1473" s="18" t="s">
        <v>4716</v>
      </c>
      <c r="B1473" s="18">
        <v>28.0</v>
      </c>
      <c r="C1473" s="18">
        <v>5.19</v>
      </c>
      <c r="D1473" s="18" t="s">
        <v>73</v>
      </c>
      <c r="E1473" s="18" t="s">
        <v>73</v>
      </c>
      <c r="F1473" s="18" t="s">
        <v>73</v>
      </c>
      <c r="G1473" s="18">
        <v>1.0</v>
      </c>
      <c r="H1473" s="18" t="s">
        <v>73</v>
      </c>
      <c r="I1473" s="18" t="str">
        <f t="shared" si="1"/>
        <v>Overweight</v>
      </c>
    </row>
    <row r="1474" ht="15.75" customHeight="1">
      <c r="A1474" s="18" t="s">
        <v>4719</v>
      </c>
      <c r="B1474" s="18">
        <v>34.32</v>
      </c>
      <c r="C1474" s="18">
        <v>9.17</v>
      </c>
      <c r="D1474" s="18" t="s">
        <v>73</v>
      </c>
      <c r="E1474" s="18" t="s">
        <v>73</v>
      </c>
      <c r="F1474" s="18" t="s">
        <v>73</v>
      </c>
      <c r="G1474" s="20">
        <v>0.0</v>
      </c>
      <c r="H1474" s="18" t="s">
        <v>73</v>
      </c>
      <c r="I1474" s="18" t="str">
        <f t="shared" si="1"/>
        <v>Obesity</v>
      </c>
    </row>
    <row r="1475" ht="15.75" customHeight="1">
      <c r="A1475" s="18" t="s">
        <v>4721</v>
      </c>
      <c r="B1475" s="18">
        <v>22.3</v>
      </c>
      <c r="C1475" s="18">
        <v>4.95</v>
      </c>
      <c r="D1475" s="18" t="s">
        <v>80</v>
      </c>
      <c r="E1475" s="18" t="s">
        <v>73</v>
      </c>
      <c r="F1475" s="18" t="s">
        <v>73</v>
      </c>
      <c r="G1475" s="20">
        <v>0.0</v>
      </c>
      <c r="H1475" s="18" t="s">
        <v>73</v>
      </c>
      <c r="I1475" s="18" t="str">
        <f t="shared" si="1"/>
        <v>Normal Weight</v>
      </c>
    </row>
    <row r="1476" ht="15.75" customHeight="1">
      <c r="A1476" s="18" t="s">
        <v>4725</v>
      </c>
      <c r="B1476" s="18">
        <v>27.835</v>
      </c>
      <c r="C1476" s="18">
        <v>6.03</v>
      </c>
      <c r="D1476" s="18" t="s">
        <v>73</v>
      </c>
      <c r="E1476" s="18" t="s">
        <v>73</v>
      </c>
      <c r="F1476" s="18" t="s">
        <v>73</v>
      </c>
      <c r="G1476" s="18">
        <v>1.0</v>
      </c>
      <c r="H1476" s="18" t="s">
        <v>73</v>
      </c>
      <c r="I1476" s="18" t="str">
        <f t="shared" si="1"/>
        <v>Overweight</v>
      </c>
    </row>
    <row r="1477" ht="15.75" customHeight="1">
      <c r="A1477" s="18" t="s">
        <v>4728</v>
      </c>
      <c r="B1477" s="18">
        <v>39.23</v>
      </c>
      <c r="C1477" s="18">
        <v>5.36</v>
      </c>
      <c r="D1477" s="18" t="s">
        <v>73</v>
      </c>
      <c r="E1477" s="18" t="s">
        <v>73</v>
      </c>
      <c r="F1477" s="18" t="s">
        <v>73</v>
      </c>
      <c r="G1477" s="20">
        <v>0.0</v>
      </c>
      <c r="H1477" s="18" t="s">
        <v>73</v>
      </c>
      <c r="I1477" s="18" t="str">
        <f t="shared" si="1"/>
        <v>Obesity</v>
      </c>
    </row>
    <row r="1478" ht="15.75" customHeight="1">
      <c r="A1478" s="18" t="s">
        <v>4732</v>
      </c>
      <c r="B1478" s="18">
        <v>19.95</v>
      </c>
      <c r="C1478" s="18">
        <v>6.11</v>
      </c>
      <c r="D1478" s="18" t="s">
        <v>73</v>
      </c>
      <c r="E1478" s="18" t="s">
        <v>73</v>
      </c>
      <c r="F1478" s="18" t="s">
        <v>73</v>
      </c>
      <c r="G1478" s="18">
        <v>1.0</v>
      </c>
      <c r="H1478" s="18" t="s">
        <v>73</v>
      </c>
      <c r="I1478" s="18" t="str">
        <f t="shared" si="1"/>
        <v>Normal Weight</v>
      </c>
    </row>
    <row r="1479" ht="15.75" customHeight="1">
      <c r="A1479" s="18" t="s">
        <v>4735</v>
      </c>
      <c r="B1479" s="18">
        <v>34.64</v>
      </c>
      <c r="C1479" s="18">
        <v>4.88</v>
      </c>
      <c r="D1479" s="18" t="s">
        <v>73</v>
      </c>
      <c r="E1479" s="18" t="s">
        <v>73</v>
      </c>
      <c r="F1479" s="18" t="s">
        <v>184</v>
      </c>
      <c r="G1479" s="18">
        <v>1.0</v>
      </c>
      <c r="H1479" s="18" t="s">
        <v>73</v>
      </c>
      <c r="I1479" s="18" t="str">
        <f t="shared" si="1"/>
        <v>Obesity</v>
      </c>
    </row>
    <row r="1480" ht="15.75" customHeight="1">
      <c r="A1480" s="18" t="s">
        <v>4739</v>
      </c>
      <c r="B1480" s="18">
        <v>18.75</v>
      </c>
      <c r="C1480" s="18">
        <v>6.72</v>
      </c>
      <c r="D1480" s="18" t="s">
        <v>73</v>
      </c>
      <c r="E1480" s="18" t="s">
        <v>73</v>
      </c>
      <c r="F1480" s="18" t="s">
        <v>73</v>
      </c>
      <c r="G1480" s="20">
        <v>0.0</v>
      </c>
      <c r="H1480" s="18" t="s">
        <v>73</v>
      </c>
      <c r="I1480" s="18" t="str">
        <f t="shared" si="1"/>
        <v>Normal Weight</v>
      </c>
    </row>
    <row r="1481" ht="15.75" customHeight="1">
      <c r="A1481" s="18" t="s">
        <v>4743</v>
      </c>
      <c r="B1481" s="18">
        <v>26.48</v>
      </c>
      <c r="C1481" s="18">
        <v>4.2</v>
      </c>
      <c r="D1481" s="18" t="s">
        <v>73</v>
      </c>
      <c r="E1481" s="18" t="s">
        <v>73</v>
      </c>
      <c r="F1481" s="18" t="s">
        <v>73</v>
      </c>
      <c r="G1481" s="18">
        <v>1.0</v>
      </c>
      <c r="H1481" s="18" t="s">
        <v>73</v>
      </c>
      <c r="I1481" s="18" t="str">
        <f t="shared" si="1"/>
        <v>Overweight</v>
      </c>
    </row>
    <row r="1482" ht="15.75" customHeight="1">
      <c r="A1482" s="18" t="s">
        <v>4747</v>
      </c>
      <c r="B1482" s="18">
        <v>34.83</v>
      </c>
      <c r="C1482" s="18">
        <v>5.79</v>
      </c>
      <c r="D1482" s="18" t="s">
        <v>73</v>
      </c>
      <c r="E1482" s="18" t="s">
        <v>73</v>
      </c>
      <c r="F1482" s="18" t="s">
        <v>73</v>
      </c>
      <c r="G1482" s="18">
        <v>1.0</v>
      </c>
      <c r="H1482" s="18" t="s">
        <v>73</v>
      </c>
      <c r="I1482" s="18" t="str">
        <f t="shared" si="1"/>
        <v>Obesity</v>
      </c>
    </row>
    <row r="1483" ht="15.75" customHeight="1">
      <c r="A1483" s="18" t="s">
        <v>4750</v>
      </c>
      <c r="B1483" s="18">
        <v>25.46</v>
      </c>
      <c r="C1483" s="18">
        <v>4.29</v>
      </c>
      <c r="D1483" s="18" t="s">
        <v>73</v>
      </c>
      <c r="E1483" s="18" t="s">
        <v>73</v>
      </c>
      <c r="F1483" s="18" t="s">
        <v>73</v>
      </c>
      <c r="G1483" s="20">
        <v>0.0</v>
      </c>
      <c r="H1483" s="18" t="s">
        <v>73</v>
      </c>
      <c r="I1483" s="18" t="str">
        <f t="shared" si="1"/>
        <v>Overweight</v>
      </c>
    </row>
    <row r="1484" ht="15.75" customHeight="1">
      <c r="A1484" s="18" t="s">
        <v>4753</v>
      </c>
      <c r="B1484" s="18">
        <v>23.31</v>
      </c>
      <c r="C1484" s="18">
        <v>8.27</v>
      </c>
      <c r="D1484" s="18" t="s">
        <v>73</v>
      </c>
      <c r="E1484" s="18" t="s">
        <v>73</v>
      </c>
      <c r="F1484" s="18" t="s">
        <v>73</v>
      </c>
      <c r="G1484" s="20">
        <v>0.0</v>
      </c>
      <c r="H1484" s="18" t="s">
        <v>73</v>
      </c>
      <c r="I1484" s="18" t="str">
        <f t="shared" si="1"/>
        <v>Normal Weight</v>
      </c>
    </row>
    <row r="1485" ht="15.75" customHeight="1">
      <c r="A1485" s="18" t="s">
        <v>4756</v>
      </c>
      <c r="B1485" s="18">
        <v>29.0</v>
      </c>
      <c r="C1485" s="18">
        <v>4.56</v>
      </c>
      <c r="D1485" s="18" t="s">
        <v>73</v>
      </c>
      <c r="E1485" s="18" t="s">
        <v>73</v>
      </c>
      <c r="F1485" s="18" t="s">
        <v>73</v>
      </c>
      <c r="G1485" s="20">
        <v>0.0</v>
      </c>
      <c r="H1485" s="18" t="s">
        <v>73</v>
      </c>
      <c r="I1485" s="18" t="str">
        <f t="shared" si="1"/>
        <v>Overweight</v>
      </c>
    </row>
    <row r="1486" ht="15.75" customHeight="1">
      <c r="A1486" s="18" t="s">
        <v>4759</v>
      </c>
      <c r="B1486" s="18">
        <v>32.87</v>
      </c>
      <c r="C1486" s="18">
        <v>5.33</v>
      </c>
      <c r="D1486" s="18" t="s">
        <v>73</v>
      </c>
      <c r="E1486" s="18" t="s">
        <v>73</v>
      </c>
      <c r="F1486" s="18" t="s">
        <v>73</v>
      </c>
      <c r="G1486" s="20">
        <v>0.0</v>
      </c>
      <c r="H1486" s="18" t="s">
        <v>73</v>
      </c>
      <c r="I1486" s="18" t="str">
        <f t="shared" si="1"/>
        <v>Obesity</v>
      </c>
    </row>
    <row r="1487" ht="15.75" customHeight="1">
      <c r="A1487" s="18" t="s">
        <v>4762</v>
      </c>
      <c r="B1487" s="18">
        <v>26.18</v>
      </c>
      <c r="C1487" s="18">
        <v>5.63</v>
      </c>
      <c r="D1487" s="18" t="s">
        <v>73</v>
      </c>
      <c r="E1487" s="18" t="s">
        <v>73</v>
      </c>
      <c r="F1487" s="18" t="s">
        <v>73</v>
      </c>
      <c r="G1487" s="20">
        <v>0.0</v>
      </c>
      <c r="H1487" s="18" t="s">
        <v>73</v>
      </c>
      <c r="I1487" s="18" t="str">
        <f t="shared" si="1"/>
        <v>Overweight</v>
      </c>
    </row>
    <row r="1488" ht="15.75" customHeight="1">
      <c r="A1488" s="18" t="s">
        <v>4766</v>
      </c>
      <c r="B1488" s="18">
        <v>25.3</v>
      </c>
      <c r="C1488" s="18">
        <v>5.12</v>
      </c>
      <c r="D1488" s="18" t="s">
        <v>73</v>
      </c>
      <c r="E1488" s="18" t="s">
        <v>73</v>
      </c>
      <c r="F1488" s="18" t="s">
        <v>73</v>
      </c>
      <c r="G1488" s="20">
        <v>0.0</v>
      </c>
      <c r="H1488" s="18" t="s">
        <v>73</v>
      </c>
      <c r="I1488" s="18" t="str">
        <f t="shared" si="1"/>
        <v>Overweight</v>
      </c>
    </row>
    <row r="1489" ht="15.75" customHeight="1">
      <c r="A1489" s="18" t="s">
        <v>4770</v>
      </c>
      <c r="B1489" s="18">
        <v>36.94</v>
      </c>
      <c r="C1489" s="18">
        <v>5.15</v>
      </c>
      <c r="D1489" s="18" t="s">
        <v>80</v>
      </c>
      <c r="E1489" s="18" t="s">
        <v>73</v>
      </c>
      <c r="F1489" s="18" t="s">
        <v>73</v>
      </c>
      <c r="G1489" s="18">
        <v>1.0</v>
      </c>
      <c r="H1489" s="18" t="s">
        <v>73</v>
      </c>
      <c r="I1489" s="18" t="str">
        <f t="shared" si="1"/>
        <v>Obesity</v>
      </c>
    </row>
    <row r="1490" ht="15.75" customHeight="1">
      <c r="A1490" s="18" t="s">
        <v>4773</v>
      </c>
      <c r="B1490" s="18">
        <v>22.86</v>
      </c>
      <c r="C1490" s="18">
        <v>7.5</v>
      </c>
      <c r="D1490" s="18" t="s">
        <v>73</v>
      </c>
      <c r="E1490" s="18" t="s">
        <v>73</v>
      </c>
      <c r="F1490" s="18" t="s">
        <v>73</v>
      </c>
      <c r="G1490" s="20">
        <v>0.0</v>
      </c>
      <c r="H1490" s="18" t="s">
        <v>73</v>
      </c>
      <c r="I1490" s="18" t="str">
        <f t="shared" si="1"/>
        <v>Normal Weight</v>
      </c>
    </row>
    <row r="1491" ht="15.75" customHeight="1">
      <c r="A1491" s="18" t="s">
        <v>4777</v>
      </c>
      <c r="B1491" s="18">
        <v>18.76</v>
      </c>
      <c r="C1491" s="18">
        <v>4.88</v>
      </c>
      <c r="D1491" s="18" t="s">
        <v>80</v>
      </c>
      <c r="E1491" s="18" t="s">
        <v>73</v>
      </c>
      <c r="F1491" s="18" t="s">
        <v>184</v>
      </c>
      <c r="G1491" s="18">
        <v>1.0</v>
      </c>
      <c r="H1491" s="18" t="s">
        <v>73</v>
      </c>
      <c r="I1491" s="18" t="str">
        <f t="shared" si="1"/>
        <v>Normal Weight</v>
      </c>
    </row>
    <row r="1492" ht="15.75" customHeight="1">
      <c r="A1492" s="18" t="s">
        <v>4781</v>
      </c>
      <c r="B1492" s="18">
        <v>24.36</v>
      </c>
      <c r="C1492" s="18">
        <v>5.57</v>
      </c>
      <c r="D1492" s="18" t="s">
        <v>73</v>
      </c>
      <c r="E1492" s="18" t="s">
        <v>73</v>
      </c>
      <c r="F1492" s="18" t="s">
        <v>73</v>
      </c>
      <c r="G1492" s="20">
        <v>0.0</v>
      </c>
      <c r="H1492" s="18" t="s">
        <v>73</v>
      </c>
      <c r="I1492" s="18" t="str">
        <f t="shared" si="1"/>
        <v>Normal Weight</v>
      </c>
    </row>
    <row r="1493" ht="15.75" customHeight="1">
      <c r="A1493" s="18" t="s">
        <v>4785</v>
      </c>
      <c r="B1493" s="18">
        <v>32.3</v>
      </c>
      <c r="C1493" s="18">
        <v>5.31</v>
      </c>
      <c r="D1493" s="18" t="s">
        <v>73</v>
      </c>
      <c r="E1493" s="18" t="s">
        <v>73</v>
      </c>
      <c r="F1493" s="18" t="s">
        <v>73</v>
      </c>
      <c r="G1493" s="20">
        <v>0.0</v>
      </c>
      <c r="H1493" s="18" t="s">
        <v>73</v>
      </c>
      <c r="I1493" s="18" t="str">
        <f t="shared" si="1"/>
        <v>Obesity</v>
      </c>
    </row>
    <row r="1494" ht="15.75" customHeight="1">
      <c r="A1494" s="18" t="s">
        <v>4789</v>
      </c>
      <c r="B1494" s="18">
        <v>22.705</v>
      </c>
      <c r="C1494" s="18">
        <v>4.57</v>
      </c>
      <c r="D1494" s="18" t="s">
        <v>80</v>
      </c>
      <c r="E1494" s="18" t="s">
        <v>73</v>
      </c>
      <c r="F1494" s="18" t="s">
        <v>73</v>
      </c>
      <c r="G1494" s="20">
        <v>0.0</v>
      </c>
      <c r="H1494" s="18" t="s">
        <v>73</v>
      </c>
      <c r="I1494" s="18" t="str">
        <f t="shared" si="1"/>
        <v>Normal Weight</v>
      </c>
    </row>
    <row r="1495" ht="15.75" customHeight="1">
      <c r="A1495" s="18" t="s">
        <v>4793</v>
      </c>
      <c r="B1495" s="18">
        <v>21.79</v>
      </c>
      <c r="C1495" s="18">
        <v>8.7</v>
      </c>
      <c r="D1495" s="18" t="s">
        <v>80</v>
      </c>
      <c r="E1495" s="18" t="s">
        <v>73</v>
      </c>
      <c r="F1495" s="18" t="s">
        <v>73</v>
      </c>
      <c r="G1495" s="18">
        <v>1.0</v>
      </c>
      <c r="H1495" s="18" t="s">
        <v>73</v>
      </c>
      <c r="I1495" s="18" t="str">
        <f t="shared" si="1"/>
        <v>Normal Weight</v>
      </c>
    </row>
    <row r="1496" ht="15.75" customHeight="1">
      <c r="A1496" s="18" t="s">
        <v>4795</v>
      </c>
      <c r="B1496" s="18">
        <v>24.52</v>
      </c>
      <c r="C1496" s="18">
        <v>4.76</v>
      </c>
      <c r="D1496" s="18" t="s">
        <v>73</v>
      </c>
      <c r="E1496" s="18" t="s">
        <v>73</v>
      </c>
      <c r="F1496" s="18" t="s">
        <v>73</v>
      </c>
      <c r="G1496" s="20">
        <v>0.0</v>
      </c>
      <c r="H1496" s="18" t="s">
        <v>73</v>
      </c>
      <c r="I1496" s="18" t="str">
        <f t="shared" si="1"/>
        <v>Normal Weight</v>
      </c>
    </row>
    <row r="1497" ht="15.75" customHeight="1">
      <c r="A1497" s="18" t="s">
        <v>4799</v>
      </c>
      <c r="B1497" s="18">
        <v>39.52</v>
      </c>
      <c r="C1497" s="18">
        <v>11.81</v>
      </c>
      <c r="D1497" s="18" t="s">
        <v>73</v>
      </c>
      <c r="E1497" s="18" t="s">
        <v>73</v>
      </c>
      <c r="F1497" s="18" t="s">
        <v>73</v>
      </c>
      <c r="G1497" s="20">
        <v>0.0</v>
      </c>
      <c r="H1497" s="18" t="s">
        <v>73</v>
      </c>
      <c r="I1497" s="18" t="str">
        <f t="shared" si="1"/>
        <v>Obesity</v>
      </c>
    </row>
    <row r="1498" ht="15.75" customHeight="1">
      <c r="A1498" s="18" t="s">
        <v>4803</v>
      </c>
      <c r="B1498" s="18">
        <v>24.49</v>
      </c>
      <c r="C1498" s="18">
        <v>4.67</v>
      </c>
      <c r="D1498" s="18" t="s">
        <v>73</v>
      </c>
      <c r="E1498" s="18" t="s">
        <v>73</v>
      </c>
      <c r="F1498" s="18" t="s">
        <v>73</v>
      </c>
      <c r="G1498" s="20">
        <v>0.0</v>
      </c>
      <c r="H1498" s="18" t="s">
        <v>73</v>
      </c>
      <c r="I1498" s="18" t="str">
        <f t="shared" si="1"/>
        <v>Normal Weight</v>
      </c>
    </row>
    <row r="1499" ht="15.75" customHeight="1">
      <c r="A1499" s="18" t="s">
        <v>4807</v>
      </c>
      <c r="B1499" s="18">
        <v>26.315</v>
      </c>
      <c r="C1499" s="18">
        <v>6.02</v>
      </c>
      <c r="D1499" s="18" t="s">
        <v>73</v>
      </c>
      <c r="E1499" s="18" t="s">
        <v>73</v>
      </c>
      <c r="F1499" s="18" t="s">
        <v>73</v>
      </c>
      <c r="G1499" s="20">
        <v>0.0</v>
      </c>
      <c r="H1499" s="18" t="s">
        <v>73</v>
      </c>
      <c r="I1499" s="18" t="str">
        <f t="shared" si="1"/>
        <v>Overweight</v>
      </c>
    </row>
    <row r="1500" ht="15.75" customHeight="1">
      <c r="A1500" s="18" t="s">
        <v>4810</v>
      </c>
      <c r="B1500" s="18">
        <v>22.58</v>
      </c>
      <c r="C1500" s="18">
        <v>7.46</v>
      </c>
      <c r="D1500" s="18" t="s">
        <v>73</v>
      </c>
      <c r="E1500" s="18" t="s">
        <v>73</v>
      </c>
      <c r="F1500" s="18" t="s">
        <v>73</v>
      </c>
      <c r="G1500" s="20">
        <v>0.0</v>
      </c>
      <c r="H1500" s="18" t="s">
        <v>73</v>
      </c>
      <c r="I1500" s="18" t="str">
        <f t="shared" si="1"/>
        <v>Normal Weight</v>
      </c>
    </row>
    <row r="1501" ht="15.75" customHeight="1">
      <c r="A1501" s="18" t="s">
        <v>4813</v>
      </c>
      <c r="B1501" s="18">
        <v>19.475</v>
      </c>
      <c r="C1501" s="18">
        <v>4.74</v>
      </c>
      <c r="D1501" s="18" t="s">
        <v>73</v>
      </c>
      <c r="E1501" s="18" t="s">
        <v>73</v>
      </c>
      <c r="F1501" s="18" t="s">
        <v>73</v>
      </c>
      <c r="G1501" s="18">
        <v>1.0</v>
      </c>
      <c r="H1501" s="18" t="s">
        <v>73</v>
      </c>
      <c r="I1501" s="18" t="str">
        <f t="shared" si="1"/>
        <v>Normal Weight</v>
      </c>
    </row>
    <row r="1502" ht="15.75" customHeight="1">
      <c r="A1502" s="18" t="s">
        <v>4816</v>
      </c>
      <c r="B1502" s="18">
        <v>26.33</v>
      </c>
      <c r="C1502" s="18">
        <v>4.79</v>
      </c>
      <c r="D1502" s="18" t="s">
        <v>73</v>
      </c>
      <c r="E1502" s="18" t="s">
        <v>73</v>
      </c>
      <c r="F1502" s="18" t="s">
        <v>73</v>
      </c>
      <c r="G1502" s="20">
        <v>0.0</v>
      </c>
      <c r="H1502" s="18" t="s">
        <v>73</v>
      </c>
      <c r="I1502" s="18" t="str">
        <f t="shared" si="1"/>
        <v>Overweight</v>
      </c>
    </row>
    <row r="1503" ht="15.75" customHeight="1">
      <c r="A1503" s="18" t="s">
        <v>4820</v>
      </c>
      <c r="B1503" s="18">
        <v>17.29</v>
      </c>
      <c r="C1503" s="18">
        <v>5.35</v>
      </c>
      <c r="D1503" s="18" t="s">
        <v>80</v>
      </c>
      <c r="E1503" s="18" t="s">
        <v>73</v>
      </c>
      <c r="F1503" s="18" t="s">
        <v>73</v>
      </c>
      <c r="G1503" s="20">
        <v>0.0</v>
      </c>
      <c r="H1503" s="18" t="s">
        <v>73</v>
      </c>
      <c r="I1503" s="18" t="str">
        <f t="shared" si="1"/>
        <v>Underweight</v>
      </c>
    </row>
    <row r="1504" ht="15.75" customHeight="1">
      <c r="A1504" s="18" t="s">
        <v>4823</v>
      </c>
      <c r="B1504" s="18">
        <v>42.88</v>
      </c>
      <c r="C1504" s="18">
        <v>4.87</v>
      </c>
      <c r="D1504" s="18" t="s">
        <v>73</v>
      </c>
      <c r="E1504" s="18" t="s">
        <v>80</v>
      </c>
      <c r="F1504" s="18" t="s">
        <v>73</v>
      </c>
      <c r="G1504" s="18">
        <v>1.0</v>
      </c>
      <c r="H1504" s="18" t="s">
        <v>73</v>
      </c>
      <c r="I1504" s="18" t="str">
        <f t="shared" si="1"/>
        <v>Obesity</v>
      </c>
    </row>
    <row r="1505" ht="15.75" customHeight="1">
      <c r="A1505" s="18" t="s">
        <v>4826</v>
      </c>
      <c r="B1505" s="18">
        <v>32.2</v>
      </c>
      <c r="C1505" s="18">
        <v>10.09</v>
      </c>
      <c r="D1505" s="18" t="s">
        <v>80</v>
      </c>
      <c r="E1505" s="18" t="s">
        <v>73</v>
      </c>
      <c r="F1505" s="18" t="s">
        <v>73</v>
      </c>
      <c r="G1505" s="20">
        <v>0.0</v>
      </c>
      <c r="H1505" s="18" t="s">
        <v>73</v>
      </c>
      <c r="I1505" s="18" t="str">
        <f t="shared" si="1"/>
        <v>Obesity</v>
      </c>
    </row>
    <row r="1506" ht="15.75" customHeight="1">
      <c r="A1506" s="18" t="s">
        <v>4829</v>
      </c>
      <c r="B1506" s="18">
        <v>18.75</v>
      </c>
      <c r="C1506" s="18">
        <v>5.47</v>
      </c>
      <c r="D1506" s="18" t="s">
        <v>80</v>
      </c>
      <c r="E1506" s="18" t="s">
        <v>73</v>
      </c>
      <c r="F1506" s="18" t="s">
        <v>184</v>
      </c>
      <c r="G1506" s="18">
        <v>1.0</v>
      </c>
      <c r="H1506" s="18" t="s">
        <v>73</v>
      </c>
      <c r="I1506" s="18" t="str">
        <f t="shared" si="1"/>
        <v>Normal Weight</v>
      </c>
    </row>
    <row r="1507" ht="15.75" customHeight="1">
      <c r="A1507" s="18" t="s">
        <v>4832</v>
      </c>
      <c r="B1507" s="18">
        <v>22.36</v>
      </c>
      <c r="C1507" s="18">
        <v>8.6</v>
      </c>
      <c r="D1507" s="18" t="s">
        <v>73</v>
      </c>
      <c r="E1507" s="18" t="s">
        <v>73</v>
      </c>
      <c r="F1507" s="18" t="s">
        <v>73</v>
      </c>
      <c r="G1507" s="20">
        <v>0.0</v>
      </c>
      <c r="H1507" s="18" t="s">
        <v>73</v>
      </c>
      <c r="I1507" s="18" t="str">
        <f t="shared" si="1"/>
        <v>Normal Weight</v>
      </c>
    </row>
    <row r="1508" ht="15.75" customHeight="1">
      <c r="A1508" s="18" t="s">
        <v>4836</v>
      </c>
      <c r="B1508" s="18">
        <v>23.94</v>
      </c>
      <c r="C1508" s="18">
        <v>10.74</v>
      </c>
      <c r="D1508" s="18" t="s">
        <v>80</v>
      </c>
      <c r="E1508" s="18" t="s">
        <v>73</v>
      </c>
      <c r="F1508" s="18" t="s">
        <v>73</v>
      </c>
      <c r="G1508" s="20">
        <v>0.0</v>
      </c>
      <c r="H1508" s="18" t="s">
        <v>73</v>
      </c>
      <c r="I1508" s="18" t="str">
        <f t="shared" si="1"/>
        <v>Normal Weight</v>
      </c>
    </row>
    <row r="1509" ht="15.75" customHeight="1">
      <c r="A1509" s="18" t="s">
        <v>4839</v>
      </c>
      <c r="B1509" s="18">
        <v>30.1</v>
      </c>
      <c r="C1509" s="18">
        <v>4.39</v>
      </c>
      <c r="D1509" s="18" t="s">
        <v>73</v>
      </c>
      <c r="E1509" s="18" t="s">
        <v>73</v>
      </c>
      <c r="F1509" s="18" t="s">
        <v>184</v>
      </c>
      <c r="G1509" s="18">
        <v>1.0</v>
      </c>
      <c r="H1509" s="18" t="s">
        <v>73</v>
      </c>
      <c r="I1509" s="18" t="str">
        <f t="shared" si="1"/>
        <v>Obesity</v>
      </c>
    </row>
    <row r="1510" ht="15.75" customHeight="1">
      <c r="A1510" s="18" t="s">
        <v>4842</v>
      </c>
      <c r="B1510" s="18">
        <v>21.93</v>
      </c>
      <c r="C1510" s="18">
        <v>6.3</v>
      </c>
      <c r="D1510" s="18" t="s">
        <v>73</v>
      </c>
      <c r="E1510" s="18" t="s">
        <v>73</v>
      </c>
      <c r="F1510" s="18" t="s">
        <v>73</v>
      </c>
      <c r="G1510" s="20">
        <v>0.0</v>
      </c>
      <c r="H1510" s="18" t="s">
        <v>73</v>
      </c>
      <c r="I1510" s="18" t="str">
        <f t="shared" si="1"/>
        <v>Normal Weight</v>
      </c>
    </row>
    <row r="1511" ht="15.75" customHeight="1">
      <c r="A1511" s="18" t="s">
        <v>4845</v>
      </c>
      <c r="B1511" s="18">
        <v>39.75</v>
      </c>
      <c r="C1511" s="18">
        <v>5.41</v>
      </c>
      <c r="D1511" s="18" t="s">
        <v>73</v>
      </c>
      <c r="E1511" s="18" t="s">
        <v>80</v>
      </c>
      <c r="F1511" s="18" t="s">
        <v>73</v>
      </c>
      <c r="G1511" s="18">
        <v>1.0</v>
      </c>
      <c r="H1511" s="18" t="s">
        <v>73</v>
      </c>
      <c r="I1511" s="18" t="str">
        <f t="shared" si="1"/>
        <v>Obesity</v>
      </c>
    </row>
    <row r="1512" ht="15.75" customHeight="1">
      <c r="A1512" s="18" t="s">
        <v>4849</v>
      </c>
      <c r="B1512" s="18">
        <v>26.03</v>
      </c>
      <c r="C1512" s="18">
        <v>4.47</v>
      </c>
      <c r="D1512" s="18" t="s">
        <v>73</v>
      </c>
      <c r="E1512" s="18" t="s">
        <v>73</v>
      </c>
      <c r="F1512" s="18" t="s">
        <v>184</v>
      </c>
      <c r="G1512" s="18">
        <v>1.0</v>
      </c>
      <c r="H1512" s="18" t="s">
        <v>73</v>
      </c>
      <c r="I1512" s="18" t="str">
        <f t="shared" si="1"/>
        <v>Overweight</v>
      </c>
    </row>
    <row r="1513" ht="15.75" customHeight="1">
      <c r="A1513" s="18" t="s">
        <v>4852</v>
      </c>
      <c r="B1513" s="18">
        <v>34.51</v>
      </c>
      <c r="C1513" s="18">
        <v>6.26</v>
      </c>
      <c r="D1513" s="18" t="s">
        <v>73</v>
      </c>
      <c r="E1513" s="18" t="s">
        <v>73</v>
      </c>
      <c r="F1513" s="18" t="s">
        <v>73</v>
      </c>
      <c r="G1513" s="20">
        <v>0.0</v>
      </c>
      <c r="H1513" s="18" t="s">
        <v>73</v>
      </c>
      <c r="I1513" s="18" t="str">
        <f t="shared" si="1"/>
        <v>Obesity</v>
      </c>
    </row>
    <row r="1514" ht="15.75" customHeight="1">
      <c r="A1514" s="18" t="s">
        <v>4856</v>
      </c>
      <c r="B1514" s="18">
        <v>19.32</v>
      </c>
      <c r="C1514" s="18">
        <v>11.58</v>
      </c>
      <c r="D1514" s="18" t="s">
        <v>80</v>
      </c>
      <c r="E1514" s="18" t="s">
        <v>73</v>
      </c>
      <c r="F1514" s="18" t="s">
        <v>73</v>
      </c>
      <c r="G1514" s="18">
        <v>1.0</v>
      </c>
      <c r="H1514" s="18" t="s">
        <v>73</v>
      </c>
      <c r="I1514" s="18" t="str">
        <f t="shared" si="1"/>
        <v>Normal Weight</v>
      </c>
    </row>
    <row r="1515" ht="15.75" customHeight="1">
      <c r="A1515" s="18" t="s">
        <v>4859</v>
      </c>
      <c r="B1515" s="18">
        <v>28.5</v>
      </c>
      <c r="C1515" s="18">
        <v>4.36</v>
      </c>
      <c r="D1515" s="18" t="s">
        <v>73</v>
      </c>
      <c r="E1515" s="18" t="s">
        <v>73</v>
      </c>
      <c r="F1515" s="18" t="s">
        <v>73</v>
      </c>
      <c r="G1515" s="20">
        <v>0.0</v>
      </c>
      <c r="H1515" s="18" t="s">
        <v>73</v>
      </c>
      <c r="I1515" s="18" t="str">
        <f t="shared" si="1"/>
        <v>Overweight</v>
      </c>
    </row>
    <row r="1516" ht="15.75" customHeight="1">
      <c r="A1516" s="18" t="s">
        <v>4863</v>
      </c>
      <c r="B1516" s="18">
        <v>30.875</v>
      </c>
      <c r="C1516" s="18">
        <v>4.14</v>
      </c>
      <c r="D1516" s="18" t="s">
        <v>80</v>
      </c>
      <c r="E1516" s="18" t="s">
        <v>73</v>
      </c>
      <c r="F1516" s="18" t="s">
        <v>73</v>
      </c>
      <c r="G1516" s="20">
        <v>0.0</v>
      </c>
      <c r="H1516" s="18" t="s">
        <v>73</v>
      </c>
      <c r="I1516" s="18" t="str">
        <f t="shared" si="1"/>
        <v>Obesity</v>
      </c>
    </row>
    <row r="1517" ht="15.75" customHeight="1">
      <c r="A1517" s="18" t="s">
        <v>4866</v>
      </c>
      <c r="B1517" s="18">
        <v>24.02</v>
      </c>
      <c r="C1517" s="18">
        <v>4.38</v>
      </c>
      <c r="D1517" s="18" t="s">
        <v>73</v>
      </c>
      <c r="E1517" s="18" t="s">
        <v>73</v>
      </c>
      <c r="F1517" s="18" t="s">
        <v>73</v>
      </c>
      <c r="G1517" s="20">
        <v>0.0</v>
      </c>
      <c r="H1517" s="18" t="s">
        <v>73</v>
      </c>
      <c r="I1517" s="18" t="str">
        <f t="shared" si="1"/>
        <v>Normal Weight</v>
      </c>
    </row>
    <row r="1518" ht="15.75" customHeight="1">
      <c r="A1518" s="18" t="s">
        <v>4870</v>
      </c>
      <c r="B1518" s="18">
        <v>36.08</v>
      </c>
      <c r="C1518" s="18">
        <v>11.61</v>
      </c>
      <c r="D1518" s="18" t="s">
        <v>80</v>
      </c>
      <c r="E1518" s="18" t="s">
        <v>73</v>
      </c>
      <c r="F1518" s="18" t="s">
        <v>73</v>
      </c>
      <c r="G1518" s="20">
        <v>0.0</v>
      </c>
      <c r="H1518" s="18" t="s">
        <v>73</v>
      </c>
      <c r="I1518" s="18" t="str">
        <f t="shared" si="1"/>
        <v>Obesity</v>
      </c>
    </row>
    <row r="1519" ht="15.75" customHeight="1">
      <c r="A1519" s="18" t="s">
        <v>4874</v>
      </c>
      <c r="B1519" s="18">
        <v>32.2</v>
      </c>
      <c r="C1519" s="18">
        <v>10.59</v>
      </c>
      <c r="D1519" s="18" t="s">
        <v>80</v>
      </c>
      <c r="E1519" s="18" t="s">
        <v>73</v>
      </c>
      <c r="F1519" s="18" t="s">
        <v>73</v>
      </c>
      <c r="G1519" s="20">
        <v>0.0</v>
      </c>
      <c r="H1519" s="18" t="s">
        <v>73</v>
      </c>
      <c r="I1519" s="18" t="str">
        <f t="shared" si="1"/>
        <v>Obesity</v>
      </c>
    </row>
    <row r="1520" ht="15.75" customHeight="1">
      <c r="A1520" s="18" t="s">
        <v>4876</v>
      </c>
      <c r="B1520" s="18">
        <v>28.05</v>
      </c>
      <c r="C1520" s="18">
        <v>11.85</v>
      </c>
      <c r="D1520" s="18" t="s">
        <v>80</v>
      </c>
      <c r="E1520" s="18" t="s">
        <v>73</v>
      </c>
      <c r="F1520" s="18" t="s">
        <v>73</v>
      </c>
      <c r="G1520" s="20">
        <v>0.0</v>
      </c>
      <c r="H1520" s="18" t="s">
        <v>73</v>
      </c>
      <c r="I1520" s="18" t="str">
        <f t="shared" si="1"/>
        <v>Overweight</v>
      </c>
    </row>
    <row r="1521" ht="15.75" customHeight="1">
      <c r="A1521" s="18" t="s">
        <v>4880</v>
      </c>
      <c r="B1521" s="18">
        <v>19.0</v>
      </c>
      <c r="C1521" s="18">
        <v>5.46</v>
      </c>
      <c r="D1521" s="18" t="s">
        <v>80</v>
      </c>
      <c r="E1521" s="18" t="s">
        <v>73</v>
      </c>
      <c r="F1521" s="18" t="s">
        <v>73</v>
      </c>
      <c r="G1521" s="18">
        <v>1.0</v>
      </c>
      <c r="H1521" s="18" t="s">
        <v>73</v>
      </c>
      <c r="I1521" s="18" t="str">
        <f t="shared" si="1"/>
        <v>Normal Weight</v>
      </c>
    </row>
    <row r="1522" ht="15.75" customHeight="1">
      <c r="A1522" s="18" t="s">
        <v>4884</v>
      </c>
      <c r="B1522" s="18">
        <v>16.13</v>
      </c>
      <c r="C1522" s="18">
        <v>4.54</v>
      </c>
      <c r="D1522" s="18" t="s">
        <v>80</v>
      </c>
      <c r="E1522" s="18" t="s">
        <v>73</v>
      </c>
      <c r="F1522" s="18" t="s">
        <v>73</v>
      </c>
      <c r="G1522" s="18">
        <v>2.0</v>
      </c>
      <c r="H1522" s="18" t="s">
        <v>73</v>
      </c>
      <c r="I1522" s="18" t="str">
        <f t="shared" si="1"/>
        <v>Underweight</v>
      </c>
    </row>
    <row r="1523" ht="15.75" customHeight="1">
      <c r="A1523" s="18" t="s">
        <v>4888</v>
      </c>
      <c r="B1523" s="18">
        <v>18.77</v>
      </c>
      <c r="C1523" s="18">
        <v>11.98</v>
      </c>
      <c r="D1523" s="18" t="s">
        <v>80</v>
      </c>
      <c r="E1523" s="18" t="s">
        <v>73</v>
      </c>
      <c r="F1523" s="18" t="s">
        <v>73</v>
      </c>
      <c r="G1523" s="18">
        <v>2.0</v>
      </c>
      <c r="H1523" s="18" t="s">
        <v>73</v>
      </c>
      <c r="I1523" s="18" t="str">
        <f t="shared" si="1"/>
        <v>Normal Weight</v>
      </c>
    </row>
    <row r="1524" ht="15.75" customHeight="1">
      <c r="A1524" s="18" t="s">
        <v>4891</v>
      </c>
      <c r="B1524" s="18">
        <v>28.88</v>
      </c>
      <c r="C1524" s="18">
        <v>6.59</v>
      </c>
      <c r="D1524" s="18" t="s">
        <v>80</v>
      </c>
      <c r="E1524" s="18" t="s">
        <v>73</v>
      </c>
      <c r="F1524" s="18" t="s">
        <v>73</v>
      </c>
      <c r="G1524" s="18">
        <v>1.0</v>
      </c>
      <c r="H1524" s="18" t="s">
        <v>73</v>
      </c>
      <c r="I1524" s="18" t="str">
        <f t="shared" si="1"/>
        <v>Overweight</v>
      </c>
    </row>
    <row r="1525" ht="15.75" customHeight="1">
      <c r="A1525" s="18" t="s">
        <v>4894</v>
      </c>
      <c r="B1525" s="18">
        <v>27.55</v>
      </c>
      <c r="C1525" s="18">
        <v>10.83</v>
      </c>
      <c r="D1525" s="18" t="s">
        <v>80</v>
      </c>
      <c r="E1525" s="18" t="s">
        <v>73</v>
      </c>
      <c r="F1525" s="18" t="s">
        <v>73</v>
      </c>
      <c r="G1525" s="18">
        <v>1.0</v>
      </c>
      <c r="H1525" s="18" t="s">
        <v>73</v>
      </c>
      <c r="I1525" s="18" t="str">
        <f t="shared" si="1"/>
        <v>Overweight</v>
      </c>
    </row>
    <row r="1526" ht="15.75" customHeight="1">
      <c r="A1526" s="18" t="s">
        <v>4897</v>
      </c>
      <c r="B1526" s="18">
        <v>15.6</v>
      </c>
      <c r="C1526" s="18">
        <v>8.6</v>
      </c>
      <c r="D1526" s="18" t="s">
        <v>73</v>
      </c>
      <c r="E1526" s="18" t="s">
        <v>73</v>
      </c>
      <c r="F1526" s="18" t="s">
        <v>73</v>
      </c>
      <c r="G1526" s="20">
        <v>0.0</v>
      </c>
      <c r="H1526" s="18" t="s">
        <v>73</v>
      </c>
      <c r="I1526" s="18" t="str">
        <f t="shared" si="1"/>
        <v>Underweight</v>
      </c>
    </row>
    <row r="1527" ht="15.75" customHeight="1">
      <c r="A1527" s="18" t="s">
        <v>4896</v>
      </c>
      <c r="B1527" s="18">
        <v>21.99</v>
      </c>
      <c r="C1527" s="18">
        <v>11.17</v>
      </c>
      <c r="D1527" s="18" t="s">
        <v>73</v>
      </c>
      <c r="E1527" s="18" t="s">
        <v>73</v>
      </c>
      <c r="F1527" s="18" t="s">
        <v>73</v>
      </c>
      <c r="G1527" s="20">
        <v>0.0</v>
      </c>
      <c r="H1527" s="18" t="s">
        <v>73</v>
      </c>
      <c r="I1527" s="18" t="str">
        <f t="shared" si="1"/>
        <v>Normal Weight</v>
      </c>
    </row>
    <row r="1528" ht="15.75" customHeight="1">
      <c r="A1528" s="18" t="s">
        <v>4890</v>
      </c>
      <c r="B1528" s="18">
        <v>34.85</v>
      </c>
      <c r="C1528" s="18">
        <v>5.75</v>
      </c>
      <c r="D1528" s="18" t="s">
        <v>73</v>
      </c>
      <c r="E1528" s="18" t="s">
        <v>73</v>
      </c>
      <c r="F1528" s="18" t="s">
        <v>73</v>
      </c>
      <c r="G1528" s="20">
        <v>0.0</v>
      </c>
      <c r="H1528" s="18" t="s">
        <v>73</v>
      </c>
      <c r="I1528" s="18" t="str">
        <f t="shared" si="1"/>
        <v>Obesity</v>
      </c>
    </row>
    <row r="1529" ht="15.75" customHeight="1">
      <c r="A1529" s="18" t="s">
        <v>4885</v>
      </c>
      <c r="B1529" s="18">
        <v>24.51</v>
      </c>
      <c r="C1529" s="18">
        <v>4.83</v>
      </c>
      <c r="D1529" s="18" t="s">
        <v>80</v>
      </c>
      <c r="E1529" s="18" t="s">
        <v>73</v>
      </c>
      <c r="F1529" s="18" t="s">
        <v>184</v>
      </c>
      <c r="G1529" s="18">
        <v>1.0</v>
      </c>
      <c r="H1529" s="18" t="s">
        <v>73</v>
      </c>
      <c r="I1529" s="18" t="str">
        <f t="shared" si="1"/>
        <v>Normal Weight</v>
      </c>
    </row>
    <row r="1530" ht="15.75" customHeight="1">
      <c r="A1530" s="18" t="s">
        <v>4882</v>
      </c>
      <c r="B1530" s="18">
        <v>19.4</v>
      </c>
      <c r="C1530" s="18">
        <v>11.93</v>
      </c>
      <c r="D1530" s="18" t="s">
        <v>73</v>
      </c>
      <c r="E1530" s="18" t="s">
        <v>73</v>
      </c>
      <c r="F1530" s="18" t="s">
        <v>73</v>
      </c>
      <c r="G1530" s="20">
        <v>0.0</v>
      </c>
      <c r="H1530" s="18" t="s">
        <v>73</v>
      </c>
      <c r="I1530" s="18" t="str">
        <f t="shared" si="1"/>
        <v>Normal Weight</v>
      </c>
    </row>
    <row r="1531" ht="15.75" customHeight="1">
      <c r="A1531" s="18" t="s">
        <v>4878</v>
      </c>
      <c r="B1531" s="18">
        <v>15.1</v>
      </c>
      <c r="C1531" s="18">
        <v>8.41</v>
      </c>
      <c r="D1531" s="18" t="s">
        <v>73</v>
      </c>
      <c r="E1531" s="18" t="s">
        <v>73</v>
      </c>
      <c r="F1531" s="18" t="s">
        <v>73</v>
      </c>
      <c r="G1531" s="20">
        <v>0.0</v>
      </c>
      <c r="H1531" s="18" t="s">
        <v>73</v>
      </c>
      <c r="I1531" s="18" t="str">
        <f t="shared" si="1"/>
        <v>Underweight</v>
      </c>
    </row>
    <row r="1532" ht="15.75" customHeight="1">
      <c r="A1532" s="18" t="s">
        <v>4873</v>
      </c>
      <c r="B1532" s="18">
        <v>23.37</v>
      </c>
      <c r="C1532" s="18">
        <v>5.59</v>
      </c>
      <c r="D1532" s="18" t="s">
        <v>80</v>
      </c>
      <c r="E1532" s="18" t="s">
        <v>73</v>
      </c>
      <c r="F1532" s="18" t="s">
        <v>73</v>
      </c>
      <c r="G1532" s="20">
        <v>0.0</v>
      </c>
      <c r="H1532" s="18" t="s">
        <v>73</v>
      </c>
      <c r="I1532" s="18" t="str">
        <f t="shared" si="1"/>
        <v>Normal Weight</v>
      </c>
    </row>
    <row r="1533" ht="15.75" customHeight="1">
      <c r="A1533" s="18" t="s">
        <v>4869</v>
      </c>
      <c r="B1533" s="18">
        <v>42.4</v>
      </c>
      <c r="C1533" s="18">
        <v>4.06</v>
      </c>
      <c r="D1533" s="18" t="s">
        <v>73</v>
      </c>
      <c r="E1533" s="18" t="s">
        <v>73</v>
      </c>
      <c r="F1533" s="18" t="s">
        <v>73</v>
      </c>
      <c r="G1533" s="20">
        <v>0.0</v>
      </c>
      <c r="H1533" s="18" t="s">
        <v>73</v>
      </c>
      <c r="I1533" s="18" t="str">
        <f t="shared" si="1"/>
        <v>Obesity</v>
      </c>
    </row>
    <row r="1534" ht="15.75" customHeight="1">
      <c r="A1534" s="18" t="s">
        <v>4867</v>
      </c>
      <c r="B1534" s="18">
        <v>28.405</v>
      </c>
      <c r="C1534" s="18">
        <v>7.02</v>
      </c>
      <c r="D1534" s="18" t="s">
        <v>80</v>
      </c>
      <c r="E1534" s="18" t="s">
        <v>73</v>
      </c>
      <c r="F1534" s="18" t="s">
        <v>73</v>
      </c>
      <c r="G1534" s="20">
        <v>0.0</v>
      </c>
      <c r="H1534" s="18" t="s">
        <v>73</v>
      </c>
      <c r="I1534" s="18" t="str">
        <f t="shared" si="1"/>
        <v>Overweight</v>
      </c>
    </row>
    <row r="1535" ht="15.75" customHeight="1">
      <c r="A1535" s="18" t="s">
        <v>4864</v>
      </c>
      <c r="B1535" s="18">
        <v>23.4</v>
      </c>
      <c r="C1535" s="18">
        <v>4.47</v>
      </c>
      <c r="D1535" s="18" t="s">
        <v>73</v>
      </c>
      <c r="E1535" s="18" t="s">
        <v>73</v>
      </c>
      <c r="F1535" s="18" t="s">
        <v>73</v>
      </c>
      <c r="G1535" s="20">
        <v>0.0</v>
      </c>
      <c r="H1535" s="18" t="s">
        <v>73</v>
      </c>
      <c r="I1535" s="18" t="str">
        <f t="shared" si="1"/>
        <v>Normal Weight</v>
      </c>
    </row>
    <row r="1536" ht="15.75" customHeight="1">
      <c r="A1536" s="18" t="s">
        <v>4860</v>
      </c>
      <c r="B1536" s="18">
        <v>33.44</v>
      </c>
      <c r="C1536" s="18">
        <v>4.54</v>
      </c>
      <c r="D1536" s="18" t="s">
        <v>73</v>
      </c>
      <c r="E1536" s="18" t="s">
        <v>73</v>
      </c>
      <c r="F1536" s="18" t="s">
        <v>73</v>
      </c>
      <c r="G1536" s="20">
        <v>0.0</v>
      </c>
      <c r="H1536" s="18" t="s">
        <v>73</v>
      </c>
      <c r="I1536" s="18" t="str">
        <f t="shared" si="1"/>
        <v>Obesity</v>
      </c>
    </row>
    <row r="1537" ht="15.75" customHeight="1">
      <c r="A1537" s="18" t="s">
        <v>4855</v>
      </c>
      <c r="B1537" s="18">
        <v>21.12</v>
      </c>
      <c r="C1537" s="18">
        <v>4.99</v>
      </c>
      <c r="D1537" s="18" t="s">
        <v>73</v>
      </c>
      <c r="E1537" s="18" t="s">
        <v>73</v>
      </c>
      <c r="F1537" s="18" t="s">
        <v>73</v>
      </c>
      <c r="G1537" s="18">
        <v>1.0</v>
      </c>
      <c r="H1537" s="18" t="s">
        <v>73</v>
      </c>
      <c r="I1537" s="18" t="str">
        <f t="shared" si="1"/>
        <v>Normal Weight</v>
      </c>
    </row>
    <row r="1538" ht="15.75" customHeight="1">
      <c r="A1538" s="18" t="s">
        <v>4851</v>
      </c>
      <c r="B1538" s="18">
        <v>18.48</v>
      </c>
      <c r="C1538" s="18">
        <v>10.84</v>
      </c>
      <c r="D1538" s="18" t="s">
        <v>80</v>
      </c>
      <c r="E1538" s="18" t="s">
        <v>73</v>
      </c>
      <c r="F1538" s="18" t="s">
        <v>73</v>
      </c>
      <c r="G1538" s="18">
        <v>2.0</v>
      </c>
      <c r="H1538" s="18" t="s">
        <v>73</v>
      </c>
      <c r="I1538" s="18" t="str">
        <f t="shared" si="1"/>
        <v>Underweight</v>
      </c>
    </row>
    <row r="1539" ht="15.75" customHeight="1">
      <c r="A1539" s="18" t="s">
        <v>4848</v>
      </c>
      <c r="B1539" s="18">
        <v>16.815</v>
      </c>
      <c r="C1539" s="18">
        <v>5.63</v>
      </c>
      <c r="D1539" s="18" t="s">
        <v>73</v>
      </c>
      <c r="E1539" s="18" t="s">
        <v>73</v>
      </c>
      <c r="F1539" s="18" t="s">
        <v>73</v>
      </c>
      <c r="G1539" s="18">
        <v>1.0</v>
      </c>
      <c r="H1539" s="18" t="s">
        <v>73</v>
      </c>
      <c r="I1539" s="18" t="str">
        <f t="shared" si="1"/>
        <v>Underweight</v>
      </c>
    </row>
    <row r="1540" ht="15.75" customHeight="1">
      <c r="A1540" s="18" t="s">
        <v>4844</v>
      </c>
      <c r="B1540" s="18">
        <v>26.72</v>
      </c>
      <c r="C1540" s="18">
        <v>4.14</v>
      </c>
      <c r="D1540" s="18" t="s">
        <v>73</v>
      </c>
      <c r="E1540" s="18" t="s">
        <v>73</v>
      </c>
      <c r="F1540" s="18" t="s">
        <v>73</v>
      </c>
      <c r="G1540" s="20">
        <v>0.0</v>
      </c>
      <c r="H1540" s="18" t="s">
        <v>73</v>
      </c>
      <c r="I1540" s="18" t="str">
        <f t="shared" si="1"/>
        <v>Overweight</v>
      </c>
    </row>
    <row r="1541" ht="15.75" customHeight="1">
      <c r="A1541" s="18" t="s">
        <v>4843</v>
      </c>
      <c r="B1541" s="18">
        <v>41.42</v>
      </c>
      <c r="C1541" s="18">
        <v>5.17</v>
      </c>
      <c r="D1541" s="18" t="s">
        <v>73</v>
      </c>
      <c r="E1541" s="18" t="s">
        <v>73</v>
      </c>
      <c r="F1541" s="18" t="s">
        <v>184</v>
      </c>
      <c r="G1541" s="18">
        <v>1.0</v>
      </c>
      <c r="H1541" s="18" t="s">
        <v>73</v>
      </c>
      <c r="I1541" s="18" t="str">
        <f t="shared" si="1"/>
        <v>Obesity</v>
      </c>
    </row>
    <row r="1542" ht="15.75" customHeight="1">
      <c r="A1542" s="18" t="s">
        <v>4840</v>
      </c>
      <c r="B1542" s="18">
        <v>20.69</v>
      </c>
      <c r="C1542" s="18">
        <v>6.93</v>
      </c>
      <c r="D1542" s="18" t="s">
        <v>73</v>
      </c>
      <c r="E1542" s="18" t="s">
        <v>73</v>
      </c>
      <c r="F1542" s="18" t="s">
        <v>73</v>
      </c>
      <c r="G1542" s="18">
        <v>2.0</v>
      </c>
      <c r="H1542" s="18" t="s">
        <v>73</v>
      </c>
      <c r="I1542" s="18" t="str">
        <f t="shared" si="1"/>
        <v>Normal Weight</v>
      </c>
    </row>
    <row r="1543" ht="15.75" customHeight="1">
      <c r="A1543" s="18" t="s">
        <v>4838</v>
      </c>
      <c r="B1543" s="18">
        <v>41.23</v>
      </c>
      <c r="C1543" s="18">
        <v>4.24</v>
      </c>
      <c r="D1543" s="18" t="s">
        <v>73</v>
      </c>
      <c r="E1543" s="18" t="s">
        <v>73</v>
      </c>
      <c r="F1543" s="18" t="s">
        <v>73</v>
      </c>
      <c r="G1543" s="20">
        <v>0.0</v>
      </c>
      <c r="H1543" s="18" t="s">
        <v>73</v>
      </c>
      <c r="I1543" s="18" t="str">
        <f t="shared" si="1"/>
        <v>Obesity</v>
      </c>
    </row>
    <row r="1544" ht="15.75" customHeight="1">
      <c r="A1544" s="18" t="s">
        <v>4833</v>
      </c>
      <c r="B1544" s="18">
        <v>29.9</v>
      </c>
      <c r="C1544" s="18">
        <v>5.91</v>
      </c>
      <c r="D1544" s="18" t="s">
        <v>73</v>
      </c>
      <c r="E1544" s="18" t="s">
        <v>73</v>
      </c>
      <c r="F1544" s="18" t="s">
        <v>73</v>
      </c>
      <c r="G1544" s="20">
        <v>0.0</v>
      </c>
      <c r="H1544" s="18" t="s">
        <v>73</v>
      </c>
      <c r="I1544" s="18" t="str">
        <f t="shared" si="1"/>
        <v>Overweight</v>
      </c>
    </row>
    <row r="1545" ht="15.75" customHeight="1">
      <c r="A1545" s="18" t="s">
        <v>4828</v>
      </c>
      <c r="B1545" s="18">
        <v>34.105</v>
      </c>
      <c r="C1545" s="18">
        <v>5.93</v>
      </c>
      <c r="D1545" s="18" t="s">
        <v>73</v>
      </c>
      <c r="E1545" s="18" t="s">
        <v>73</v>
      </c>
      <c r="F1545" s="18" t="s">
        <v>73</v>
      </c>
      <c r="G1545" s="20">
        <v>0.0</v>
      </c>
      <c r="H1545" s="18" t="s">
        <v>73</v>
      </c>
      <c r="I1545" s="18" t="str">
        <f t="shared" si="1"/>
        <v>Obesity</v>
      </c>
    </row>
    <row r="1546" ht="15.75" customHeight="1">
      <c r="A1546" s="18" t="s">
        <v>4822</v>
      </c>
      <c r="B1546" s="18">
        <v>24.97</v>
      </c>
      <c r="C1546" s="18">
        <v>5.66</v>
      </c>
      <c r="D1546" s="18" t="s">
        <v>73</v>
      </c>
      <c r="E1546" s="18" t="s">
        <v>73</v>
      </c>
      <c r="F1546" s="18" t="s">
        <v>73</v>
      </c>
      <c r="G1546" s="20">
        <v>0.0</v>
      </c>
      <c r="H1546" s="18" t="s">
        <v>73</v>
      </c>
      <c r="I1546" s="18" t="str">
        <f t="shared" si="1"/>
        <v>Normal Weight</v>
      </c>
    </row>
    <row r="1547" ht="15.75" customHeight="1">
      <c r="A1547" s="18" t="s">
        <v>4819</v>
      </c>
      <c r="B1547" s="18">
        <v>34.8</v>
      </c>
      <c r="C1547" s="18">
        <v>4.19</v>
      </c>
      <c r="D1547" s="18" t="s">
        <v>73</v>
      </c>
      <c r="E1547" s="18" t="s">
        <v>73</v>
      </c>
      <c r="F1547" s="18" t="s">
        <v>73</v>
      </c>
      <c r="G1547" s="18">
        <v>1.0</v>
      </c>
      <c r="H1547" s="18" t="s">
        <v>73</v>
      </c>
      <c r="I1547" s="18" t="str">
        <f t="shared" si="1"/>
        <v>Obesity</v>
      </c>
    </row>
    <row r="1548" ht="15.75" customHeight="1">
      <c r="A1548" s="18" t="s">
        <v>4815</v>
      </c>
      <c r="B1548" s="18">
        <v>32.965</v>
      </c>
      <c r="C1548" s="18">
        <v>9.21</v>
      </c>
      <c r="D1548" s="18" t="s">
        <v>80</v>
      </c>
      <c r="E1548" s="18" t="s">
        <v>73</v>
      </c>
      <c r="F1548" s="18" t="s">
        <v>73</v>
      </c>
      <c r="G1548" s="20">
        <v>0.0</v>
      </c>
      <c r="H1548" s="18" t="s">
        <v>73</v>
      </c>
      <c r="I1548" s="18" t="str">
        <f t="shared" si="1"/>
        <v>Obesity</v>
      </c>
    </row>
    <row r="1549" ht="15.75" customHeight="1">
      <c r="A1549" s="18" t="s">
        <v>4812</v>
      </c>
      <c r="B1549" s="18">
        <v>27.265</v>
      </c>
      <c r="C1549" s="18">
        <v>5.51</v>
      </c>
      <c r="D1549" s="18" t="s">
        <v>73</v>
      </c>
      <c r="E1549" s="18" t="s">
        <v>73</v>
      </c>
      <c r="F1549" s="18" t="s">
        <v>73</v>
      </c>
      <c r="G1549" s="18">
        <v>1.0</v>
      </c>
      <c r="H1549" s="18" t="s">
        <v>73</v>
      </c>
      <c r="I1549" s="18" t="str">
        <f t="shared" si="1"/>
        <v>Overweight</v>
      </c>
    </row>
    <row r="1550" ht="15.75" customHeight="1">
      <c r="A1550" s="18" t="s">
        <v>4809</v>
      </c>
      <c r="B1550" s="18">
        <v>17.06</v>
      </c>
      <c r="C1550" s="18">
        <v>8.5</v>
      </c>
      <c r="D1550" s="18" t="s">
        <v>73</v>
      </c>
      <c r="E1550" s="18" t="s">
        <v>73</v>
      </c>
      <c r="F1550" s="18" t="s">
        <v>73</v>
      </c>
      <c r="G1550" s="20">
        <v>0.0</v>
      </c>
      <c r="H1550" s="18" t="s">
        <v>73</v>
      </c>
      <c r="I1550" s="18" t="str">
        <f t="shared" si="1"/>
        <v>Underweight</v>
      </c>
    </row>
    <row r="1551" ht="15.75" customHeight="1">
      <c r="A1551" s="18" t="s">
        <v>4806</v>
      </c>
      <c r="B1551" s="18">
        <v>36.29</v>
      </c>
      <c r="C1551" s="18">
        <v>6.23</v>
      </c>
      <c r="D1551" s="18" t="s">
        <v>73</v>
      </c>
      <c r="E1551" s="18" t="s">
        <v>73</v>
      </c>
      <c r="F1551" s="18" t="s">
        <v>73</v>
      </c>
      <c r="G1551" s="20">
        <v>0.0</v>
      </c>
      <c r="H1551" s="18" t="s">
        <v>73</v>
      </c>
      <c r="I1551" s="18" t="str">
        <f t="shared" si="1"/>
        <v>Obesity</v>
      </c>
    </row>
    <row r="1552" ht="15.75" customHeight="1">
      <c r="A1552" s="18" t="s">
        <v>4802</v>
      </c>
      <c r="B1552" s="18">
        <v>28.595</v>
      </c>
      <c r="C1552" s="18">
        <v>8.53</v>
      </c>
      <c r="D1552" s="18" t="s">
        <v>80</v>
      </c>
      <c r="E1552" s="18" t="s">
        <v>73</v>
      </c>
      <c r="F1552" s="18" t="s">
        <v>73</v>
      </c>
      <c r="G1552" s="18">
        <v>1.0</v>
      </c>
      <c r="H1552" s="18" t="s">
        <v>73</v>
      </c>
      <c r="I1552" s="18" t="str">
        <f t="shared" si="1"/>
        <v>Overweight</v>
      </c>
    </row>
    <row r="1553" ht="15.75" customHeight="1">
      <c r="A1553" s="18" t="s">
        <v>4796</v>
      </c>
      <c r="B1553" s="18">
        <v>17.8</v>
      </c>
      <c r="C1553" s="18">
        <v>5.75</v>
      </c>
      <c r="D1553" s="18" t="s">
        <v>80</v>
      </c>
      <c r="E1553" s="18" t="s">
        <v>73</v>
      </c>
      <c r="F1553" s="18" t="s">
        <v>184</v>
      </c>
      <c r="G1553" s="18">
        <v>1.0</v>
      </c>
      <c r="H1553" s="18" t="s">
        <v>73</v>
      </c>
      <c r="I1553" s="18" t="str">
        <f t="shared" si="1"/>
        <v>Underweight</v>
      </c>
    </row>
    <row r="1554" ht="15.75" customHeight="1">
      <c r="A1554" s="18" t="s">
        <v>4792</v>
      </c>
      <c r="B1554" s="18">
        <v>21.4</v>
      </c>
      <c r="C1554" s="18">
        <v>5.6</v>
      </c>
      <c r="D1554" s="18" t="s">
        <v>73</v>
      </c>
      <c r="E1554" s="18" t="s">
        <v>73</v>
      </c>
      <c r="F1554" s="18" t="s">
        <v>73</v>
      </c>
      <c r="G1554" s="20">
        <v>0.0</v>
      </c>
      <c r="H1554" s="18" t="s">
        <v>73</v>
      </c>
      <c r="I1554" s="18" t="str">
        <f t="shared" si="1"/>
        <v>Normal Weight</v>
      </c>
    </row>
    <row r="1555" ht="15.75" customHeight="1">
      <c r="A1555" s="18" t="s">
        <v>4788</v>
      </c>
      <c r="B1555" s="18">
        <v>23.01</v>
      </c>
      <c r="C1555" s="18">
        <v>4.68</v>
      </c>
      <c r="D1555" s="18" t="s">
        <v>73</v>
      </c>
      <c r="E1555" s="18" t="s">
        <v>73</v>
      </c>
      <c r="F1555" s="18" t="s">
        <v>73</v>
      </c>
      <c r="G1555" s="20">
        <v>0.0</v>
      </c>
      <c r="H1555" s="18" t="s">
        <v>73</v>
      </c>
      <c r="I1555" s="18" t="str">
        <f t="shared" si="1"/>
        <v>Normal Weight</v>
      </c>
    </row>
    <row r="1556" ht="15.75" customHeight="1">
      <c r="A1556" s="18" t="s">
        <v>4783</v>
      </c>
      <c r="B1556" s="18">
        <v>19.86</v>
      </c>
      <c r="C1556" s="18">
        <v>5.62</v>
      </c>
      <c r="D1556" s="18" t="s">
        <v>80</v>
      </c>
      <c r="E1556" s="18" t="s">
        <v>73</v>
      </c>
      <c r="F1556" s="18" t="s">
        <v>73</v>
      </c>
      <c r="G1556" s="20">
        <v>0.0</v>
      </c>
      <c r="H1556" s="18" t="s">
        <v>73</v>
      </c>
      <c r="I1556" s="18" t="str">
        <f t="shared" si="1"/>
        <v>Normal Weight</v>
      </c>
    </row>
    <row r="1557" ht="15.75" customHeight="1">
      <c r="A1557" s="18" t="s">
        <v>4779</v>
      </c>
      <c r="B1557" s="18">
        <v>33.58</v>
      </c>
      <c r="C1557" s="18">
        <v>5.08</v>
      </c>
      <c r="D1557" s="18" t="s">
        <v>73</v>
      </c>
      <c r="E1557" s="18" t="s">
        <v>73</v>
      </c>
      <c r="F1557" s="18" t="s">
        <v>73</v>
      </c>
      <c r="G1557" s="20">
        <v>0.0</v>
      </c>
      <c r="H1557" s="18" t="s">
        <v>73</v>
      </c>
      <c r="I1557" s="18" t="str">
        <f t="shared" si="1"/>
        <v>Obesity</v>
      </c>
    </row>
    <row r="1558" ht="15.75" customHeight="1">
      <c r="A1558" s="18" t="s">
        <v>4774</v>
      </c>
      <c r="B1558" s="18">
        <v>29.81</v>
      </c>
      <c r="C1558" s="18">
        <v>5.28</v>
      </c>
      <c r="D1558" s="18" t="s">
        <v>73</v>
      </c>
      <c r="E1558" s="18" t="s">
        <v>73</v>
      </c>
      <c r="F1558" s="18" t="s">
        <v>73</v>
      </c>
      <c r="G1558" s="20">
        <v>0.0</v>
      </c>
      <c r="H1558" s="18" t="s">
        <v>73</v>
      </c>
      <c r="I1558" s="18" t="str">
        <f t="shared" si="1"/>
        <v>Overweight</v>
      </c>
    </row>
    <row r="1559" ht="15.75" customHeight="1">
      <c r="A1559" s="18" t="s">
        <v>4771</v>
      </c>
      <c r="B1559" s="18">
        <v>27.4</v>
      </c>
      <c r="C1559" s="18">
        <v>4.61</v>
      </c>
      <c r="D1559" s="18" t="s">
        <v>73</v>
      </c>
      <c r="E1559" s="18" t="s">
        <v>73</v>
      </c>
      <c r="F1559" s="18" t="s">
        <v>73</v>
      </c>
      <c r="G1559" s="20">
        <v>0.0</v>
      </c>
      <c r="H1559" s="18" t="s">
        <v>73</v>
      </c>
      <c r="I1559" s="18" t="str">
        <f t="shared" si="1"/>
        <v>Overweight</v>
      </c>
    </row>
    <row r="1560" ht="15.75" customHeight="1">
      <c r="A1560" s="18" t="s">
        <v>4768</v>
      </c>
      <c r="B1560" s="18">
        <v>17.98</v>
      </c>
      <c r="C1560" s="18">
        <v>6.57</v>
      </c>
      <c r="D1560" s="18" t="s">
        <v>80</v>
      </c>
      <c r="E1560" s="18" t="s">
        <v>73</v>
      </c>
      <c r="F1560" s="18" t="s">
        <v>73</v>
      </c>
      <c r="G1560" s="18">
        <v>2.0</v>
      </c>
      <c r="H1560" s="18" t="s">
        <v>73</v>
      </c>
      <c r="I1560" s="18" t="str">
        <f t="shared" si="1"/>
        <v>Underweight</v>
      </c>
    </row>
    <row r="1561" ht="15.75" customHeight="1">
      <c r="A1561" s="18" t="s">
        <v>4764</v>
      </c>
      <c r="B1561" s="18">
        <v>37.9</v>
      </c>
      <c r="C1561" s="18">
        <v>5.83</v>
      </c>
      <c r="D1561" s="18" t="s">
        <v>73</v>
      </c>
      <c r="E1561" s="18" t="s">
        <v>73</v>
      </c>
      <c r="F1561" s="18" t="s">
        <v>73</v>
      </c>
      <c r="G1561" s="20">
        <v>0.0</v>
      </c>
      <c r="H1561" s="18" t="s">
        <v>73</v>
      </c>
      <c r="I1561" s="18" t="str">
        <f t="shared" si="1"/>
        <v>Obesity</v>
      </c>
    </row>
    <row r="1562" ht="15.75" customHeight="1">
      <c r="A1562" s="18" t="s">
        <v>4761</v>
      </c>
      <c r="B1562" s="18">
        <v>25.27</v>
      </c>
      <c r="C1562" s="18">
        <v>6.98</v>
      </c>
      <c r="D1562" s="18" t="s">
        <v>80</v>
      </c>
      <c r="E1562" s="18" t="s">
        <v>73</v>
      </c>
      <c r="F1562" s="18" t="s">
        <v>73</v>
      </c>
      <c r="G1562" s="20">
        <v>0.0</v>
      </c>
      <c r="H1562" s="18" t="s">
        <v>73</v>
      </c>
      <c r="I1562" s="18" t="str">
        <f t="shared" si="1"/>
        <v>Overweight</v>
      </c>
    </row>
    <row r="1563" ht="15.75" customHeight="1">
      <c r="A1563" s="18" t="s">
        <v>4757</v>
      </c>
      <c r="B1563" s="18">
        <v>29.26</v>
      </c>
      <c r="C1563" s="18">
        <v>4.03</v>
      </c>
      <c r="D1563" s="18" t="s">
        <v>73</v>
      </c>
      <c r="E1563" s="18" t="s">
        <v>73</v>
      </c>
      <c r="F1563" s="18" t="s">
        <v>73</v>
      </c>
      <c r="G1563" s="18">
        <v>1.0</v>
      </c>
      <c r="H1563" s="18" t="s">
        <v>73</v>
      </c>
      <c r="I1563" s="18" t="str">
        <f t="shared" si="1"/>
        <v>Overweight</v>
      </c>
    </row>
    <row r="1564" ht="15.75" customHeight="1">
      <c r="A1564" s="18" t="s">
        <v>4752</v>
      </c>
      <c r="B1564" s="18">
        <v>27.835</v>
      </c>
      <c r="C1564" s="18">
        <v>4.56</v>
      </c>
      <c r="D1564" s="18" t="s">
        <v>73</v>
      </c>
      <c r="E1564" s="18" t="s">
        <v>73</v>
      </c>
      <c r="F1564" s="18" t="s">
        <v>73</v>
      </c>
      <c r="G1564" s="18">
        <v>1.0</v>
      </c>
      <c r="H1564" s="18" t="s">
        <v>73</v>
      </c>
      <c r="I1564" s="18" t="str">
        <f t="shared" si="1"/>
        <v>Overweight</v>
      </c>
    </row>
    <row r="1565" ht="15.75" customHeight="1">
      <c r="A1565" s="18" t="s">
        <v>4749</v>
      </c>
      <c r="B1565" s="18">
        <v>46.53</v>
      </c>
      <c r="C1565" s="18">
        <v>5.38</v>
      </c>
      <c r="D1565" s="18" t="s">
        <v>80</v>
      </c>
      <c r="E1565" s="18" t="s">
        <v>73</v>
      </c>
      <c r="F1565" s="18" t="s">
        <v>73</v>
      </c>
      <c r="G1565" s="20">
        <v>0.0</v>
      </c>
      <c r="H1565" s="18" t="s">
        <v>73</v>
      </c>
      <c r="I1565" s="18" t="str">
        <f t="shared" si="1"/>
        <v>Obesity</v>
      </c>
    </row>
    <row r="1566" ht="15.75" customHeight="1">
      <c r="A1566" s="18" t="s">
        <v>4746</v>
      </c>
      <c r="B1566" s="18">
        <v>20.58</v>
      </c>
      <c r="C1566" s="18">
        <v>11.04</v>
      </c>
      <c r="D1566" s="18" t="s">
        <v>80</v>
      </c>
      <c r="E1566" s="18" t="s">
        <v>73</v>
      </c>
      <c r="F1566" s="18" t="s">
        <v>73</v>
      </c>
      <c r="G1566" s="18">
        <v>1.0</v>
      </c>
      <c r="H1566" s="18" t="s">
        <v>73</v>
      </c>
      <c r="I1566" s="18" t="str">
        <f t="shared" si="1"/>
        <v>Normal Weight</v>
      </c>
    </row>
    <row r="1567" ht="15.75" customHeight="1">
      <c r="A1567" s="18" t="s">
        <v>4741</v>
      </c>
      <c r="B1567" s="18">
        <v>19.53</v>
      </c>
      <c r="C1567" s="18">
        <v>6.09</v>
      </c>
      <c r="D1567" s="18" t="s">
        <v>80</v>
      </c>
      <c r="E1567" s="18" t="s">
        <v>73</v>
      </c>
      <c r="F1567" s="18" t="s">
        <v>73</v>
      </c>
      <c r="G1567" s="20">
        <v>0.0</v>
      </c>
      <c r="H1567" s="18" t="s">
        <v>73</v>
      </c>
      <c r="I1567" s="18" t="str">
        <f t="shared" si="1"/>
        <v>Normal Weight</v>
      </c>
    </row>
    <row r="1568" ht="15.75" customHeight="1">
      <c r="A1568" s="18" t="s">
        <v>4737</v>
      </c>
      <c r="B1568" s="18">
        <v>27.7</v>
      </c>
      <c r="C1568" s="18">
        <v>4.71</v>
      </c>
      <c r="D1568" s="18" t="s">
        <v>73</v>
      </c>
      <c r="E1568" s="18" t="s">
        <v>73</v>
      </c>
      <c r="F1568" s="18" t="s">
        <v>73</v>
      </c>
      <c r="G1568" s="18">
        <v>1.0</v>
      </c>
      <c r="H1568" s="18" t="s">
        <v>73</v>
      </c>
      <c r="I1568" s="18" t="str">
        <f t="shared" si="1"/>
        <v>Overweight</v>
      </c>
    </row>
    <row r="1569" ht="15.75" customHeight="1">
      <c r="A1569" s="18" t="s">
        <v>4734</v>
      </c>
      <c r="B1569" s="18">
        <v>18.92</v>
      </c>
      <c r="C1569" s="18">
        <v>8.18</v>
      </c>
      <c r="D1569" s="18" t="s">
        <v>73</v>
      </c>
      <c r="E1569" s="18" t="s">
        <v>73</v>
      </c>
      <c r="F1569" s="18" t="s">
        <v>73</v>
      </c>
      <c r="G1569" s="20">
        <v>0.0</v>
      </c>
      <c r="H1569" s="18" t="s">
        <v>73</v>
      </c>
      <c r="I1569" s="18" t="str">
        <f t="shared" si="1"/>
        <v>Normal Weight</v>
      </c>
    </row>
    <row r="1570" ht="15.75" customHeight="1">
      <c r="A1570" s="18" t="s">
        <v>4730</v>
      </c>
      <c r="B1570" s="18">
        <v>17.76</v>
      </c>
      <c r="C1570" s="18">
        <v>11.18</v>
      </c>
      <c r="D1570" s="18" t="s">
        <v>80</v>
      </c>
      <c r="E1570" s="18" t="s">
        <v>73</v>
      </c>
      <c r="F1570" s="18" t="s">
        <v>73</v>
      </c>
      <c r="G1570" s="18">
        <v>2.0</v>
      </c>
      <c r="H1570" s="18" t="s">
        <v>73</v>
      </c>
      <c r="I1570" s="18" t="str">
        <f t="shared" si="1"/>
        <v>Underweight</v>
      </c>
    </row>
    <row r="1571" ht="15.75" customHeight="1">
      <c r="A1571" s="18" t="s">
        <v>4724</v>
      </c>
      <c r="B1571" s="18">
        <v>29.83</v>
      </c>
      <c r="C1571" s="18">
        <v>5.03</v>
      </c>
      <c r="D1571" s="18" t="s">
        <v>80</v>
      </c>
      <c r="E1571" s="18" t="s">
        <v>73</v>
      </c>
      <c r="F1571" s="18" t="s">
        <v>73</v>
      </c>
      <c r="G1571" s="20">
        <v>0.0</v>
      </c>
      <c r="H1571" s="18" t="s">
        <v>73</v>
      </c>
      <c r="I1571" s="18" t="str">
        <f t="shared" si="1"/>
        <v>Overweight</v>
      </c>
    </row>
    <row r="1572" ht="15.75" customHeight="1">
      <c r="A1572" s="18" t="s">
        <v>4718</v>
      </c>
      <c r="B1572" s="18">
        <v>23.465</v>
      </c>
      <c r="C1572" s="18">
        <v>5.56</v>
      </c>
      <c r="D1572" s="18" t="s">
        <v>73</v>
      </c>
      <c r="E1572" s="18" t="s">
        <v>73</v>
      </c>
      <c r="F1572" s="18" t="s">
        <v>73</v>
      </c>
      <c r="G1572" s="18">
        <v>1.0</v>
      </c>
      <c r="H1572" s="18" t="s">
        <v>73</v>
      </c>
      <c r="I1572" s="18" t="str">
        <f t="shared" si="1"/>
        <v>Normal Weight</v>
      </c>
    </row>
    <row r="1573" ht="15.75" customHeight="1">
      <c r="A1573" s="18" t="s">
        <v>4713</v>
      </c>
      <c r="B1573" s="18">
        <v>29.355</v>
      </c>
      <c r="C1573" s="18">
        <v>4.33</v>
      </c>
      <c r="D1573" s="18" t="s">
        <v>73</v>
      </c>
      <c r="E1573" s="18" t="s">
        <v>73</v>
      </c>
      <c r="F1573" s="18" t="s">
        <v>73</v>
      </c>
      <c r="G1573" s="20">
        <v>0.0</v>
      </c>
      <c r="H1573" s="18" t="s">
        <v>73</v>
      </c>
      <c r="I1573" s="18" t="str">
        <f t="shared" si="1"/>
        <v>Overweight</v>
      </c>
    </row>
    <row r="1574" ht="15.75" customHeight="1">
      <c r="A1574" s="18" t="s">
        <v>4708</v>
      </c>
      <c r="B1574" s="18">
        <v>35.49</v>
      </c>
      <c r="C1574" s="18">
        <v>5.21</v>
      </c>
      <c r="D1574" s="18" t="s">
        <v>80</v>
      </c>
      <c r="E1574" s="18" t="s">
        <v>73</v>
      </c>
      <c r="F1574" s="18" t="s">
        <v>184</v>
      </c>
      <c r="G1574" s="18">
        <v>1.0</v>
      </c>
      <c r="H1574" s="18" t="s">
        <v>73</v>
      </c>
      <c r="I1574" s="18" t="str">
        <f t="shared" si="1"/>
        <v>Obesity</v>
      </c>
    </row>
    <row r="1575" ht="15.75" customHeight="1">
      <c r="A1575" s="18" t="s">
        <v>4705</v>
      </c>
      <c r="B1575" s="18">
        <v>26.315</v>
      </c>
      <c r="C1575" s="18">
        <v>5.89</v>
      </c>
      <c r="D1575" s="18" t="s">
        <v>73</v>
      </c>
      <c r="E1575" s="18" t="s">
        <v>73</v>
      </c>
      <c r="F1575" s="18" t="s">
        <v>73</v>
      </c>
      <c r="G1575" s="20">
        <v>0.0</v>
      </c>
      <c r="H1575" s="18" t="s">
        <v>73</v>
      </c>
      <c r="I1575" s="18" t="str">
        <f t="shared" si="1"/>
        <v>Overweight</v>
      </c>
    </row>
    <row r="1576" ht="15.75" customHeight="1">
      <c r="A1576" s="18" t="s">
        <v>4702</v>
      </c>
      <c r="B1576" s="18">
        <v>19.79</v>
      </c>
      <c r="C1576" s="18">
        <v>4.81</v>
      </c>
      <c r="D1576" s="18" t="s">
        <v>80</v>
      </c>
      <c r="E1576" s="18" t="s">
        <v>73</v>
      </c>
      <c r="F1576" s="18" t="s">
        <v>73</v>
      </c>
      <c r="G1576" s="20">
        <v>0.0</v>
      </c>
      <c r="H1576" s="18" t="s">
        <v>73</v>
      </c>
      <c r="I1576" s="18" t="str">
        <f t="shared" si="1"/>
        <v>Normal Weight</v>
      </c>
    </row>
    <row r="1577" ht="15.75" customHeight="1">
      <c r="A1577" s="18" t="s">
        <v>4697</v>
      </c>
      <c r="B1577" s="18">
        <v>40.565</v>
      </c>
      <c r="C1577" s="18">
        <v>5.66</v>
      </c>
      <c r="D1577" s="18" t="s">
        <v>73</v>
      </c>
      <c r="E1577" s="18" t="s">
        <v>73</v>
      </c>
      <c r="F1577" s="18" t="s">
        <v>73</v>
      </c>
      <c r="G1577" s="18">
        <v>1.0</v>
      </c>
      <c r="H1577" s="18" t="s">
        <v>73</v>
      </c>
      <c r="I1577" s="18" t="str">
        <f t="shared" si="1"/>
        <v>Obesity</v>
      </c>
    </row>
    <row r="1578" ht="15.75" customHeight="1">
      <c r="A1578" s="18" t="s">
        <v>4693</v>
      </c>
      <c r="B1578" s="18">
        <v>18.03</v>
      </c>
      <c r="C1578" s="18">
        <v>10.66</v>
      </c>
      <c r="D1578" s="18" t="s">
        <v>80</v>
      </c>
      <c r="E1578" s="18" t="s">
        <v>73</v>
      </c>
      <c r="F1578" s="18" t="s">
        <v>73</v>
      </c>
      <c r="G1578" s="18">
        <v>2.0</v>
      </c>
      <c r="H1578" s="18" t="s">
        <v>73</v>
      </c>
      <c r="I1578" s="18" t="str">
        <f t="shared" si="1"/>
        <v>Underweight</v>
      </c>
    </row>
    <row r="1579" ht="15.75" customHeight="1">
      <c r="A1579" s="18" t="s">
        <v>4689</v>
      </c>
      <c r="B1579" s="18">
        <v>34.65</v>
      </c>
      <c r="C1579" s="18">
        <v>5.98</v>
      </c>
      <c r="D1579" s="18" t="s">
        <v>80</v>
      </c>
      <c r="E1579" s="18" t="s">
        <v>73</v>
      </c>
      <c r="F1579" s="18" t="s">
        <v>73</v>
      </c>
      <c r="G1579" s="20">
        <v>0.0</v>
      </c>
      <c r="H1579" s="18" t="s">
        <v>73</v>
      </c>
      <c r="I1579" s="18" t="str">
        <f t="shared" si="1"/>
        <v>Obesity</v>
      </c>
    </row>
    <row r="1580" ht="15.75" customHeight="1">
      <c r="A1580" s="18" t="s">
        <v>4686</v>
      </c>
      <c r="B1580" s="18">
        <v>42.94</v>
      </c>
      <c r="C1580" s="18">
        <v>4.34</v>
      </c>
      <c r="D1580" s="18" t="s">
        <v>73</v>
      </c>
      <c r="E1580" s="18" t="s">
        <v>73</v>
      </c>
      <c r="F1580" s="18" t="s">
        <v>73</v>
      </c>
      <c r="G1580" s="20">
        <v>0.0</v>
      </c>
      <c r="H1580" s="18" t="s">
        <v>73</v>
      </c>
      <c r="I1580" s="18" t="str">
        <f t="shared" si="1"/>
        <v>Obesity</v>
      </c>
    </row>
    <row r="1581" ht="15.75" customHeight="1">
      <c r="A1581" s="18" t="s">
        <v>4682</v>
      </c>
      <c r="B1581" s="18">
        <v>31.255</v>
      </c>
      <c r="C1581" s="18">
        <v>5.17</v>
      </c>
      <c r="D1581" s="18" t="s">
        <v>73</v>
      </c>
      <c r="E1581" s="18" t="s">
        <v>73</v>
      </c>
      <c r="F1581" s="18" t="s">
        <v>73</v>
      </c>
      <c r="G1581" s="20">
        <v>0.0</v>
      </c>
      <c r="H1581" s="18" t="s">
        <v>73</v>
      </c>
      <c r="I1581" s="18" t="str">
        <f t="shared" si="1"/>
        <v>Obesity</v>
      </c>
    </row>
    <row r="1582" ht="15.75" customHeight="1">
      <c r="A1582" s="18" t="s">
        <v>4680</v>
      </c>
      <c r="B1582" s="18">
        <v>45.43</v>
      </c>
      <c r="C1582" s="18">
        <v>4.23</v>
      </c>
      <c r="D1582" s="18" t="s">
        <v>80</v>
      </c>
      <c r="E1582" s="18" t="s">
        <v>73</v>
      </c>
      <c r="F1582" s="18" t="s">
        <v>184</v>
      </c>
      <c r="G1582" s="18">
        <v>1.0</v>
      </c>
      <c r="H1582" s="18" t="s">
        <v>73</v>
      </c>
      <c r="I1582" s="18" t="str">
        <f t="shared" si="1"/>
        <v>Obesity</v>
      </c>
    </row>
    <row r="1583" ht="15.75" customHeight="1">
      <c r="A1583" s="18" t="s">
        <v>4677</v>
      </c>
      <c r="B1583" s="18">
        <v>32.34</v>
      </c>
      <c r="C1583" s="18">
        <v>4.88</v>
      </c>
      <c r="D1583" s="18" t="s">
        <v>80</v>
      </c>
      <c r="E1583" s="18" t="s">
        <v>73</v>
      </c>
      <c r="F1583" s="18" t="s">
        <v>184</v>
      </c>
      <c r="G1583" s="18">
        <v>1.0</v>
      </c>
      <c r="H1583" s="18" t="s">
        <v>73</v>
      </c>
      <c r="I1583" s="18" t="str">
        <f t="shared" si="1"/>
        <v>Obesity</v>
      </c>
    </row>
    <row r="1584" ht="15.75" customHeight="1">
      <c r="A1584" s="18" t="s">
        <v>4672</v>
      </c>
      <c r="B1584" s="18">
        <v>25.46</v>
      </c>
      <c r="C1584" s="18">
        <v>9.71</v>
      </c>
      <c r="D1584" s="18" t="s">
        <v>80</v>
      </c>
      <c r="E1584" s="18" t="s">
        <v>73</v>
      </c>
      <c r="F1584" s="18" t="s">
        <v>73</v>
      </c>
      <c r="G1584" s="18">
        <v>1.0</v>
      </c>
      <c r="H1584" s="18" t="s">
        <v>73</v>
      </c>
      <c r="I1584" s="18" t="str">
        <f t="shared" si="1"/>
        <v>Overweight</v>
      </c>
    </row>
    <row r="1585" ht="15.75" customHeight="1">
      <c r="A1585" s="18" t="s">
        <v>4668</v>
      </c>
      <c r="B1585" s="18">
        <v>37.145</v>
      </c>
      <c r="C1585" s="18">
        <v>5.32</v>
      </c>
      <c r="D1585" s="18" t="s">
        <v>73</v>
      </c>
      <c r="E1585" s="18" t="s">
        <v>73</v>
      </c>
      <c r="F1585" s="18" t="s">
        <v>73</v>
      </c>
      <c r="G1585" s="20">
        <v>0.0</v>
      </c>
      <c r="H1585" s="18" t="s">
        <v>73</v>
      </c>
      <c r="I1585" s="18" t="str">
        <f t="shared" si="1"/>
        <v>Obesity</v>
      </c>
    </row>
    <row r="1586" ht="15.75" customHeight="1">
      <c r="A1586" s="18" t="s">
        <v>4665</v>
      </c>
      <c r="B1586" s="18">
        <v>30.8</v>
      </c>
      <c r="C1586" s="18">
        <v>5.83</v>
      </c>
      <c r="D1586" s="18" t="s">
        <v>80</v>
      </c>
      <c r="E1586" s="18" t="s">
        <v>73</v>
      </c>
      <c r="F1586" s="18" t="s">
        <v>73</v>
      </c>
      <c r="G1586" s="20">
        <v>0.0</v>
      </c>
      <c r="H1586" s="18" t="s">
        <v>73</v>
      </c>
      <c r="I1586" s="18" t="str">
        <f t="shared" si="1"/>
        <v>Obesity</v>
      </c>
    </row>
    <row r="1587" ht="15.75" customHeight="1">
      <c r="A1587" s="18" t="s">
        <v>4660</v>
      </c>
      <c r="B1587" s="18">
        <v>29.5</v>
      </c>
      <c r="C1587" s="18">
        <v>5.54</v>
      </c>
      <c r="D1587" s="18" t="s">
        <v>80</v>
      </c>
      <c r="E1587" s="18" t="s">
        <v>73</v>
      </c>
      <c r="F1587" s="18" t="s">
        <v>73</v>
      </c>
      <c r="G1587" s="20">
        <v>0.0</v>
      </c>
      <c r="H1587" s="18" t="s">
        <v>73</v>
      </c>
      <c r="I1587" s="18" t="str">
        <f t="shared" si="1"/>
        <v>Overweight</v>
      </c>
    </row>
    <row r="1588" ht="15.75" customHeight="1">
      <c r="A1588" s="18" t="s">
        <v>4656</v>
      </c>
      <c r="B1588" s="18">
        <v>43.39</v>
      </c>
      <c r="C1588" s="18">
        <v>5.85</v>
      </c>
      <c r="D1588" s="18" t="s">
        <v>73</v>
      </c>
      <c r="E1588" s="18" t="s">
        <v>80</v>
      </c>
      <c r="F1588" s="18" t="s">
        <v>73</v>
      </c>
      <c r="G1588" s="18">
        <v>1.0</v>
      </c>
      <c r="H1588" s="18" t="s">
        <v>73</v>
      </c>
      <c r="I1588" s="18" t="str">
        <f t="shared" si="1"/>
        <v>Obesity</v>
      </c>
    </row>
    <row r="1589" ht="15.75" customHeight="1">
      <c r="A1589" s="18" t="s">
        <v>4655</v>
      </c>
      <c r="B1589" s="18">
        <v>15.08</v>
      </c>
      <c r="C1589" s="18">
        <v>4.85</v>
      </c>
      <c r="D1589" s="18" t="s">
        <v>80</v>
      </c>
      <c r="E1589" s="18" t="s">
        <v>73</v>
      </c>
      <c r="F1589" s="18" t="s">
        <v>184</v>
      </c>
      <c r="G1589" s="18">
        <v>1.0</v>
      </c>
      <c r="H1589" s="18" t="s">
        <v>73</v>
      </c>
      <c r="I1589" s="18" t="str">
        <f t="shared" si="1"/>
        <v>Underweight</v>
      </c>
    </row>
    <row r="1590" ht="15.75" customHeight="1">
      <c r="A1590" s="18" t="s">
        <v>4652</v>
      </c>
      <c r="B1590" s="18">
        <v>20.48</v>
      </c>
      <c r="C1590" s="18">
        <v>11.09</v>
      </c>
      <c r="D1590" s="18" t="s">
        <v>73</v>
      </c>
      <c r="E1590" s="18" t="s">
        <v>73</v>
      </c>
      <c r="F1590" s="18" t="s">
        <v>73</v>
      </c>
      <c r="G1590" s="20">
        <v>0.0</v>
      </c>
      <c r="H1590" s="18" t="s">
        <v>73</v>
      </c>
      <c r="I1590" s="18" t="str">
        <f t="shared" si="1"/>
        <v>Normal Weight</v>
      </c>
    </row>
    <row r="1591" ht="15.75" customHeight="1">
      <c r="A1591" s="18" t="s">
        <v>4647</v>
      </c>
      <c r="B1591" s="18">
        <v>34.45</v>
      </c>
      <c r="C1591" s="18">
        <v>5.58</v>
      </c>
      <c r="D1591" s="18" t="s">
        <v>80</v>
      </c>
      <c r="E1591" s="18" t="s">
        <v>73</v>
      </c>
      <c r="F1591" s="18" t="s">
        <v>73</v>
      </c>
      <c r="G1591" s="20">
        <v>0.0</v>
      </c>
      <c r="H1591" s="18" t="s">
        <v>73</v>
      </c>
      <c r="I1591" s="18" t="str">
        <f t="shared" si="1"/>
        <v>Obesity</v>
      </c>
    </row>
    <row r="1592" ht="15.75" customHeight="1">
      <c r="A1592" s="18" t="s">
        <v>4643</v>
      </c>
      <c r="B1592" s="18">
        <v>34.21</v>
      </c>
      <c r="C1592" s="18">
        <v>9.72</v>
      </c>
      <c r="D1592" s="18" t="s">
        <v>80</v>
      </c>
      <c r="E1592" s="18" t="s">
        <v>73</v>
      </c>
      <c r="F1592" s="18" t="s">
        <v>73</v>
      </c>
      <c r="G1592" s="20">
        <v>0.0</v>
      </c>
      <c r="H1592" s="18" t="s">
        <v>73</v>
      </c>
      <c r="I1592" s="18" t="str">
        <f t="shared" si="1"/>
        <v>Obesity</v>
      </c>
    </row>
    <row r="1593" ht="15.75" customHeight="1">
      <c r="A1593" s="18" t="s">
        <v>4638</v>
      </c>
      <c r="B1593" s="18">
        <v>28.8</v>
      </c>
      <c r="C1593" s="18">
        <v>11.41</v>
      </c>
      <c r="D1593" s="18" t="s">
        <v>80</v>
      </c>
      <c r="E1593" s="18" t="s">
        <v>73</v>
      </c>
      <c r="F1593" s="18" t="s">
        <v>73</v>
      </c>
      <c r="G1593" s="20">
        <v>0.0</v>
      </c>
      <c r="H1593" s="18" t="s">
        <v>73</v>
      </c>
      <c r="I1593" s="18" t="str">
        <f t="shared" si="1"/>
        <v>Overweight</v>
      </c>
    </row>
    <row r="1594" ht="15.75" customHeight="1">
      <c r="A1594" s="18" t="s">
        <v>4634</v>
      </c>
      <c r="B1594" s="18">
        <v>31.74</v>
      </c>
      <c r="C1594" s="18">
        <v>4.46</v>
      </c>
      <c r="D1594" s="18" t="s">
        <v>73</v>
      </c>
      <c r="E1594" s="18" t="s">
        <v>73</v>
      </c>
      <c r="F1594" s="18" t="s">
        <v>184</v>
      </c>
      <c r="G1594" s="18">
        <v>1.0</v>
      </c>
      <c r="H1594" s="18" t="s">
        <v>73</v>
      </c>
      <c r="I1594" s="18" t="str">
        <f t="shared" si="1"/>
        <v>Obesity</v>
      </c>
    </row>
    <row r="1595" ht="15.75" customHeight="1">
      <c r="A1595" s="18" t="s">
        <v>4631</v>
      </c>
      <c r="B1595" s="18">
        <v>21.78</v>
      </c>
      <c r="C1595" s="18">
        <v>9.31</v>
      </c>
      <c r="D1595" s="18" t="s">
        <v>80</v>
      </c>
      <c r="E1595" s="18" t="s">
        <v>73</v>
      </c>
      <c r="F1595" s="18" t="s">
        <v>73</v>
      </c>
      <c r="G1595" s="20">
        <v>0.0</v>
      </c>
      <c r="H1595" s="18" t="s">
        <v>73</v>
      </c>
      <c r="I1595" s="18" t="str">
        <f t="shared" si="1"/>
        <v>Normal Weight</v>
      </c>
    </row>
    <row r="1596" ht="15.75" customHeight="1">
      <c r="A1596" s="18" t="s">
        <v>4630</v>
      </c>
      <c r="B1596" s="18">
        <v>23.75</v>
      </c>
      <c r="C1596" s="18">
        <v>5.03</v>
      </c>
      <c r="D1596" s="18" t="s">
        <v>73</v>
      </c>
      <c r="E1596" s="18" t="s">
        <v>73</v>
      </c>
      <c r="F1596" s="18" t="s">
        <v>73</v>
      </c>
      <c r="G1596" s="18">
        <v>1.0</v>
      </c>
      <c r="H1596" s="18" t="s">
        <v>73</v>
      </c>
      <c r="I1596" s="18" t="str">
        <f t="shared" si="1"/>
        <v>Normal Weight</v>
      </c>
    </row>
    <row r="1597" ht="15.75" customHeight="1">
      <c r="A1597" s="18" t="s">
        <v>4629</v>
      </c>
      <c r="B1597" s="18">
        <v>33.21</v>
      </c>
      <c r="C1597" s="18">
        <v>5.07</v>
      </c>
      <c r="D1597" s="18" t="s">
        <v>80</v>
      </c>
      <c r="E1597" s="18" t="s">
        <v>73</v>
      </c>
      <c r="F1597" s="18" t="s">
        <v>73</v>
      </c>
      <c r="G1597" s="18">
        <v>1.0</v>
      </c>
      <c r="H1597" s="18" t="s">
        <v>73</v>
      </c>
      <c r="I1597" s="18" t="str">
        <f t="shared" si="1"/>
        <v>Obesity</v>
      </c>
    </row>
    <row r="1598" ht="15.75" customHeight="1">
      <c r="A1598" s="18" t="s">
        <v>4628</v>
      </c>
      <c r="B1598" s="18">
        <v>17.7</v>
      </c>
      <c r="C1598" s="18">
        <v>10.42</v>
      </c>
      <c r="D1598" s="18" t="s">
        <v>80</v>
      </c>
      <c r="E1598" s="18" t="s">
        <v>73</v>
      </c>
      <c r="F1598" s="18" t="s">
        <v>73</v>
      </c>
      <c r="G1598" s="18">
        <v>2.0</v>
      </c>
      <c r="H1598" s="18" t="s">
        <v>73</v>
      </c>
      <c r="I1598" s="18" t="str">
        <f t="shared" si="1"/>
        <v>Underweight</v>
      </c>
    </row>
    <row r="1599" ht="15.75" customHeight="1">
      <c r="A1599" s="18" t="s">
        <v>4627</v>
      </c>
      <c r="B1599" s="18">
        <v>17.2</v>
      </c>
      <c r="C1599" s="18">
        <v>6.45</v>
      </c>
      <c r="D1599" s="18" t="s">
        <v>73</v>
      </c>
      <c r="E1599" s="18" t="s">
        <v>73</v>
      </c>
      <c r="F1599" s="18" t="s">
        <v>73</v>
      </c>
      <c r="G1599" s="18">
        <v>2.0</v>
      </c>
      <c r="H1599" s="18" t="s">
        <v>73</v>
      </c>
      <c r="I1599" s="18" t="str">
        <f t="shared" si="1"/>
        <v>Underweight</v>
      </c>
    </row>
    <row r="1600" ht="15.75" customHeight="1">
      <c r="A1600" s="18" t="s">
        <v>4626</v>
      </c>
      <c r="B1600" s="18">
        <v>19.21</v>
      </c>
      <c r="C1600" s="18">
        <v>5.52</v>
      </c>
      <c r="D1600" s="18" t="s">
        <v>73</v>
      </c>
      <c r="E1600" s="18" t="s">
        <v>73</v>
      </c>
      <c r="F1600" s="18" t="s">
        <v>73</v>
      </c>
      <c r="G1600" s="18">
        <v>2.0</v>
      </c>
      <c r="H1600" s="18" t="s">
        <v>73</v>
      </c>
      <c r="I1600" s="18" t="str">
        <f t="shared" si="1"/>
        <v>Normal Weight</v>
      </c>
    </row>
    <row r="1601" ht="15.75" customHeight="1">
      <c r="A1601" s="18" t="s">
        <v>4624</v>
      </c>
      <c r="B1601" s="18">
        <v>23.2</v>
      </c>
      <c r="C1601" s="18">
        <v>4.41</v>
      </c>
      <c r="D1601" s="18" t="s">
        <v>73</v>
      </c>
      <c r="E1601" s="18" t="s">
        <v>73</v>
      </c>
      <c r="F1601" s="18" t="s">
        <v>184</v>
      </c>
      <c r="G1601" s="18">
        <v>1.0</v>
      </c>
      <c r="H1601" s="18" t="s">
        <v>73</v>
      </c>
      <c r="I1601" s="18" t="str">
        <f t="shared" si="1"/>
        <v>Normal Weight</v>
      </c>
    </row>
    <row r="1602" ht="15.75" customHeight="1">
      <c r="A1602" s="18" t="s">
        <v>4621</v>
      </c>
      <c r="B1602" s="18">
        <v>32.5</v>
      </c>
      <c r="C1602" s="18">
        <v>4.69</v>
      </c>
      <c r="D1602" s="18" t="s">
        <v>80</v>
      </c>
      <c r="E1602" s="18" t="s">
        <v>73</v>
      </c>
      <c r="F1602" s="18" t="s">
        <v>184</v>
      </c>
      <c r="G1602" s="18">
        <v>1.0</v>
      </c>
      <c r="H1602" s="18" t="s">
        <v>73</v>
      </c>
      <c r="I1602" s="18" t="str">
        <f t="shared" si="1"/>
        <v>Obesity</v>
      </c>
    </row>
    <row r="1603" ht="15.75" customHeight="1">
      <c r="A1603" s="18" t="s">
        <v>4617</v>
      </c>
      <c r="B1603" s="18">
        <v>20.9</v>
      </c>
      <c r="C1603" s="18">
        <v>6.94</v>
      </c>
      <c r="D1603" s="18" t="s">
        <v>73</v>
      </c>
      <c r="E1603" s="18" t="s">
        <v>73</v>
      </c>
      <c r="F1603" s="18" t="s">
        <v>73</v>
      </c>
      <c r="G1603" s="20">
        <v>0.0</v>
      </c>
      <c r="H1603" s="18" t="s">
        <v>73</v>
      </c>
      <c r="I1603" s="18" t="str">
        <f t="shared" si="1"/>
        <v>Normal Weight</v>
      </c>
    </row>
    <row r="1604" ht="15.75" customHeight="1">
      <c r="A1604" s="18" t="s">
        <v>4614</v>
      </c>
      <c r="B1604" s="18">
        <v>19.11</v>
      </c>
      <c r="C1604" s="18">
        <v>4.35</v>
      </c>
      <c r="D1604" s="18" t="s">
        <v>73</v>
      </c>
      <c r="E1604" s="18" t="s">
        <v>73</v>
      </c>
      <c r="F1604" s="18" t="s">
        <v>73</v>
      </c>
      <c r="G1604" s="18">
        <v>2.0</v>
      </c>
      <c r="H1604" s="18" t="s">
        <v>73</v>
      </c>
      <c r="I1604" s="18" t="str">
        <f t="shared" si="1"/>
        <v>Normal Weight</v>
      </c>
    </row>
    <row r="1605" ht="15.75" customHeight="1">
      <c r="A1605" s="18" t="s">
        <v>4611</v>
      </c>
      <c r="B1605" s="18">
        <v>31.17</v>
      </c>
      <c r="C1605" s="18">
        <v>5.28</v>
      </c>
      <c r="D1605" s="18" t="s">
        <v>73</v>
      </c>
      <c r="E1605" s="18" t="s">
        <v>73</v>
      </c>
      <c r="F1605" s="18" t="s">
        <v>73</v>
      </c>
      <c r="G1605" s="18">
        <v>1.0</v>
      </c>
      <c r="H1605" s="18" t="s">
        <v>73</v>
      </c>
      <c r="I1605" s="18" t="str">
        <f t="shared" si="1"/>
        <v>Obesity</v>
      </c>
    </row>
    <row r="1606" ht="15.75" customHeight="1">
      <c r="A1606" s="18" t="s">
        <v>4607</v>
      </c>
      <c r="B1606" s="18">
        <v>36.08</v>
      </c>
      <c r="C1606" s="18">
        <v>4.29</v>
      </c>
      <c r="D1606" s="18" t="s">
        <v>73</v>
      </c>
      <c r="E1606" s="18" t="s">
        <v>73</v>
      </c>
      <c r="F1606" s="18" t="s">
        <v>73</v>
      </c>
      <c r="G1606" s="20">
        <v>0.0</v>
      </c>
      <c r="H1606" s="18" t="s">
        <v>73</v>
      </c>
      <c r="I1606" s="18" t="str">
        <f t="shared" si="1"/>
        <v>Obesity</v>
      </c>
    </row>
    <row r="1607" ht="15.75" customHeight="1">
      <c r="A1607" s="18" t="s">
        <v>4604</v>
      </c>
      <c r="B1607" s="18">
        <v>28.025</v>
      </c>
      <c r="C1607" s="18">
        <v>5.69</v>
      </c>
      <c r="D1607" s="18" t="s">
        <v>80</v>
      </c>
      <c r="E1607" s="18" t="s">
        <v>73</v>
      </c>
      <c r="F1607" s="18" t="s">
        <v>73</v>
      </c>
      <c r="G1607" s="20">
        <v>0.0</v>
      </c>
      <c r="H1607" s="18" t="s">
        <v>73</v>
      </c>
      <c r="I1607" s="18" t="str">
        <f t="shared" si="1"/>
        <v>Overweight</v>
      </c>
    </row>
    <row r="1608" ht="15.75" customHeight="1">
      <c r="A1608" s="18" t="s">
        <v>4598</v>
      </c>
      <c r="B1608" s="18">
        <v>24.32</v>
      </c>
      <c r="C1608" s="18">
        <v>5.56</v>
      </c>
      <c r="D1608" s="18" t="s">
        <v>80</v>
      </c>
      <c r="E1608" s="18" t="s">
        <v>73</v>
      </c>
      <c r="F1608" s="18" t="s">
        <v>73</v>
      </c>
      <c r="G1608" s="20">
        <v>0.0</v>
      </c>
      <c r="H1608" s="18" t="s">
        <v>73</v>
      </c>
      <c r="I1608" s="18" t="str">
        <f t="shared" si="1"/>
        <v>Normal Weight</v>
      </c>
    </row>
    <row r="1609" ht="15.75" customHeight="1">
      <c r="A1609" s="18" t="s">
        <v>4593</v>
      </c>
      <c r="B1609" s="18">
        <v>38.0</v>
      </c>
      <c r="C1609" s="18">
        <v>5.41</v>
      </c>
      <c r="D1609" s="18" t="s">
        <v>80</v>
      </c>
      <c r="E1609" s="18" t="s">
        <v>73</v>
      </c>
      <c r="F1609" s="18" t="s">
        <v>73</v>
      </c>
      <c r="G1609" s="18">
        <v>1.0</v>
      </c>
      <c r="H1609" s="18" t="s">
        <v>73</v>
      </c>
      <c r="I1609" s="18" t="str">
        <f t="shared" si="1"/>
        <v>Obesity</v>
      </c>
    </row>
    <row r="1610" ht="15.75" customHeight="1">
      <c r="A1610" s="18" t="s">
        <v>4589</v>
      </c>
      <c r="B1610" s="18">
        <v>31.6</v>
      </c>
      <c r="C1610" s="18">
        <v>10.85</v>
      </c>
      <c r="D1610" s="18" t="s">
        <v>80</v>
      </c>
      <c r="E1610" s="18" t="s">
        <v>73</v>
      </c>
      <c r="F1610" s="18" t="s">
        <v>73</v>
      </c>
      <c r="G1610" s="20">
        <v>0.0</v>
      </c>
      <c r="H1610" s="18" t="s">
        <v>73</v>
      </c>
      <c r="I1610" s="18" t="str">
        <f t="shared" si="1"/>
        <v>Obesity</v>
      </c>
    </row>
    <row r="1611" ht="15.75" customHeight="1">
      <c r="A1611" s="18" t="s">
        <v>4586</v>
      </c>
      <c r="B1611" s="18">
        <v>31.02</v>
      </c>
      <c r="C1611" s="18">
        <v>11.63</v>
      </c>
      <c r="D1611" s="18" t="s">
        <v>80</v>
      </c>
      <c r="E1611" s="18" t="s">
        <v>73</v>
      </c>
      <c r="F1611" s="18" t="s">
        <v>73</v>
      </c>
      <c r="G1611" s="20">
        <v>0.0</v>
      </c>
      <c r="H1611" s="18" t="s">
        <v>73</v>
      </c>
      <c r="I1611" s="18" t="str">
        <f t="shared" si="1"/>
        <v>Obesity</v>
      </c>
    </row>
    <row r="1612" ht="15.75" customHeight="1">
      <c r="A1612" s="18" t="s">
        <v>4582</v>
      </c>
      <c r="B1612" s="18">
        <v>29.26</v>
      </c>
      <c r="C1612" s="18">
        <v>5.68</v>
      </c>
      <c r="D1612" s="18" t="s">
        <v>80</v>
      </c>
      <c r="E1612" s="18" t="s">
        <v>73</v>
      </c>
      <c r="F1612" s="18" t="s">
        <v>73</v>
      </c>
      <c r="G1612" s="18">
        <v>1.0</v>
      </c>
      <c r="H1612" s="18" t="s">
        <v>73</v>
      </c>
      <c r="I1612" s="18" t="str">
        <f t="shared" si="1"/>
        <v>Overweight</v>
      </c>
    </row>
    <row r="1613" ht="15.75" customHeight="1">
      <c r="A1613" s="18" t="s">
        <v>4577</v>
      </c>
      <c r="B1613" s="18">
        <v>15.09</v>
      </c>
      <c r="C1613" s="18">
        <v>7.59</v>
      </c>
      <c r="D1613" s="18" t="s">
        <v>80</v>
      </c>
      <c r="E1613" s="18" t="s">
        <v>73</v>
      </c>
      <c r="F1613" s="18" t="s">
        <v>73</v>
      </c>
      <c r="G1613" s="18">
        <v>2.0</v>
      </c>
      <c r="H1613" s="18" t="s">
        <v>73</v>
      </c>
      <c r="I1613" s="18" t="str">
        <f t="shared" si="1"/>
        <v>Underweight</v>
      </c>
    </row>
    <row r="1614" ht="15.75" customHeight="1">
      <c r="A1614" s="18" t="s">
        <v>4573</v>
      </c>
      <c r="B1614" s="18">
        <v>22.63</v>
      </c>
      <c r="C1614" s="18">
        <v>5.09</v>
      </c>
      <c r="D1614" s="18" t="s">
        <v>80</v>
      </c>
      <c r="E1614" s="18" t="s">
        <v>73</v>
      </c>
      <c r="F1614" s="18" t="s">
        <v>73</v>
      </c>
      <c r="G1614" s="20">
        <v>0.0</v>
      </c>
      <c r="H1614" s="18" t="s">
        <v>73</v>
      </c>
      <c r="I1614" s="18" t="str">
        <f t="shared" si="1"/>
        <v>Normal Weight</v>
      </c>
    </row>
    <row r="1615" ht="15.75" customHeight="1">
      <c r="A1615" s="18" t="s">
        <v>4570</v>
      </c>
      <c r="B1615" s="18">
        <v>23.46</v>
      </c>
      <c r="C1615" s="18">
        <v>4.21</v>
      </c>
      <c r="D1615" s="18" t="s">
        <v>73</v>
      </c>
      <c r="E1615" s="18" t="s">
        <v>73</v>
      </c>
      <c r="F1615" s="18" t="s">
        <v>73</v>
      </c>
      <c r="G1615" s="18">
        <v>1.0</v>
      </c>
      <c r="H1615" s="18" t="s">
        <v>73</v>
      </c>
      <c r="I1615" s="18" t="str">
        <f t="shared" si="1"/>
        <v>Normal Weight</v>
      </c>
    </row>
    <row r="1616" ht="15.75" customHeight="1">
      <c r="A1616" s="18" t="s">
        <v>4566</v>
      </c>
      <c r="B1616" s="18">
        <v>22.56</v>
      </c>
      <c r="C1616" s="18">
        <v>4.34</v>
      </c>
      <c r="D1616" s="18" t="s">
        <v>80</v>
      </c>
      <c r="E1616" s="18" t="s">
        <v>73</v>
      </c>
      <c r="F1616" s="18" t="s">
        <v>73</v>
      </c>
      <c r="G1616" s="20">
        <v>0.0</v>
      </c>
      <c r="H1616" s="18" t="s">
        <v>73</v>
      </c>
      <c r="I1616" s="18" t="str">
        <f t="shared" si="1"/>
        <v>Normal Weight</v>
      </c>
    </row>
    <row r="1617" ht="15.75" customHeight="1">
      <c r="A1617" s="18" t="s">
        <v>4563</v>
      </c>
      <c r="B1617" s="18">
        <v>19.28</v>
      </c>
      <c r="C1617" s="18">
        <v>11.85</v>
      </c>
      <c r="D1617" s="18" t="s">
        <v>73</v>
      </c>
      <c r="E1617" s="18" t="s">
        <v>73</v>
      </c>
      <c r="F1617" s="18" t="s">
        <v>73</v>
      </c>
      <c r="G1617" s="18">
        <v>2.0</v>
      </c>
      <c r="H1617" s="18" t="s">
        <v>73</v>
      </c>
      <c r="I1617" s="18" t="str">
        <f t="shared" si="1"/>
        <v>Normal Weight</v>
      </c>
    </row>
    <row r="1618" ht="15.75" customHeight="1">
      <c r="A1618" s="18" t="s">
        <v>4559</v>
      </c>
      <c r="B1618" s="18">
        <v>15.37</v>
      </c>
      <c r="C1618" s="18">
        <v>9.61</v>
      </c>
      <c r="D1618" s="18" t="s">
        <v>80</v>
      </c>
      <c r="E1618" s="18" t="s">
        <v>73</v>
      </c>
      <c r="F1618" s="18" t="s">
        <v>73</v>
      </c>
      <c r="G1618" s="18">
        <v>2.0</v>
      </c>
      <c r="H1618" s="18" t="s">
        <v>73</v>
      </c>
      <c r="I1618" s="18" t="str">
        <f t="shared" si="1"/>
        <v>Underweight</v>
      </c>
    </row>
    <row r="1619" ht="15.75" customHeight="1">
      <c r="A1619" s="18" t="s">
        <v>4555</v>
      </c>
      <c r="B1619" s="18">
        <v>18.71</v>
      </c>
      <c r="C1619" s="18">
        <v>5.29</v>
      </c>
      <c r="D1619" s="18" t="s">
        <v>80</v>
      </c>
      <c r="E1619" s="18" t="s">
        <v>73</v>
      </c>
      <c r="F1619" s="18" t="s">
        <v>73</v>
      </c>
      <c r="G1619" s="20">
        <v>0.0</v>
      </c>
      <c r="H1619" s="18" t="s">
        <v>73</v>
      </c>
      <c r="I1619" s="18" t="str">
        <f t="shared" si="1"/>
        <v>Normal Weight</v>
      </c>
    </row>
    <row r="1620" ht="15.75" customHeight="1">
      <c r="A1620" s="18" t="s">
        <v>4551</v>
      </c>
      <c r="B1620" s="18">
        <v>20.61</v>
      </c>
      <c r="C1620" s="18">
        <v>6.89</v>
      </c>
      <c r="D1620" s="18" t="s">
        <v>73</v>
      </c>
      <c r="E1620" s="18" t="s">
        <v>73</v>
      </c>
      <c r="F1620" s="18" t="s">
        <v>73</v>
      </c>
      <c r="G1620" s="20">
        <v>0.0</v>
      </c>
      <c r="H1620" s="18" t="s">
        <v>73</v>
      </c>
      <c r="I1620" s="18" t="str">
        <f t="shared" si="1"/>
        <v>Normal Weight</v>
      </c>
    </row>
    <row r="1621" ht="15.75" customHeight="1">
      <c r="A1621" s="18" t="s">
        <v>4545</v>
      </c>
      <c r="B1621" s="18">
        <v>15.99</v>
      </c>
      <c r="C1621" s="18">
        <v>4.57</v>
      </c>
      <c r="D1621" s="18" t="s">
        <v>80</v>
      </c>
      <c r="E1621" s="18" t="s">
        <v>73</v>
      </c>
      <c r="F1621" s="18" t="s">
        <v>184</v>
      </c>
      <c r="G1621" s="18">
        <v>1.0</v>
      </c>
      <c r="H1621" s="18" t="s">
        <v>73</v>
      </c>
      <c r="I1621" s="18" t="str">
        <f t="shared" si="1"/>
        <v>Underweight</v>
      </c>
    </row>
    <row r="1622" ht="15.75" customHeight="1">
      <c r="A1622" s="18" t="s">
        <v>4541</v>
      </c>
      <c r="B1622" s="18">
        <v>33.155</v>
      </c>
      <c r="C1622" s="18">
        <v>4.32</v>
      </c>
      <c r="D1622" s="18" t="s">
        <v>73</v>
      </c>
      <c r="E1622" s="18" t="s">
        <v>73</v>
      </c>
      <c r="F1622" s="18" t="s">
        <v>73</v>
      </c>
      <c r="G1622" s="20">
        <v>0.0</v>
      </c>
      <c r="H1622" s="18" t="s">
        <v>73</v>
      </c>
      <c r="I1622" s="18" t="str">
        <f t="shared" si="1"/>
        <v>Obesity</v>
      </c>
    </row>
    <row r="1623" ht="15.75" customHeight="1">
      <c r="A1623" s="18" t="s">
        <v>4537</v>
      </c>
      <c r="B1623" s="18">
        <v>26.22</v>
      </c>
      <c r="C1623" s="18">
        <v>5.57</v>
      </c>
      <c r="D1623" s="18" t="s">
        <v>80</v>
      </c>
      <c r="E1623" s="18" t="s">
        <v>73</v>
      </c>
      <c r="F1623" s="18" t="s">
        <v>184</v>
      </c>
      <c r="G1623" s="18">
        <v>1.0</v>
      </c>
      <c r="H1623" s="18" t="s">
        <v>73</v>
      </c>
      <c r="I1623" s="18" t="str">
        <f t="shared" si="1"/>
        <v>Overweight</v>
      </c>
    </row>
    <row r="1624" ht="15.75" customHeight="1">
      <c r="A1624" s="18" t="s">
        <v>4530</v>
      </c>
      <c r="B1624" s="18">
        <v>21.85</v>
      </c>
      <c r="C1624" s="18">
        <v>5.26</v>
      </c>
      <c r="D1624" s="18" t="s">
        <v>80</v>
      </c>
      <c r="E1624" s="18" t="s">
        <v>73</v>
      </c>
      <c r="F1624" s="18" t="s">
        <v>184</v>
      </c>
      <c r="G1624" s="18">
        <v>1.0</v>
      </c>
      <c r="H1624" s="18" t="s">
        <v>73</v>
      </c>
      <c r="I1624" s="18" t="str">
        <f t="shared" si="1"/>
        <v>Normal Weight</v>
      </c>
    </row>
    <row r="1625" ht="15.75" customHeight="1">
      <c r="A1625" s="18" t="s">
        <v>4525</v>
      </c>
      <c r="B1625" s="18">
        <v>30.495</v>
      </c>
      <c r="C1625" s="18">
        <v>6.25</v>
      </c>
      <c r="D1625" s="18" t="s">
        <v>73</v>
      </c>
      <c r="E1625" s="18" t="s">
        <v>73</v>
      </c>
      <c r="F1625" s="18" t="s">
        <v>73</v>
      </c>
      <c r="G1625" s="20">
        <v>0.0</v>
      </c>
      <c r="H1625" s="18" t="s">
        <v>73</v>
      </c>
      <c r="I1625" s="18" t="str">
        <f t="shared" si="1"/>
        <v>Obesity</v>
      </c>
    </row>
    <row r="1626" ht="15.75" customHeight="1">
      <c r="A1626" s="18" t="s">
        <v>4520</v>
      </c>
      <c r="B1626" s="18">
        <v>34.105</v>
      </c>
      <c r="C1626" s="18">
        <v>5.67</v>
      </c>
      <c r="D1626" s="18" t="s">
        <v>80</v>
      </c>
      <c r="E1626" s="18" t="s">
        <v>73</v>
      </c>
      <c r="F1626" s="18" t="s">
        <v>73</v>
      </c>
      <c r="G1626" s="20">
        <v>0.0</v>
      </c>
      <c r="H1626" s="18" t="s">
        <v>73</v>
      </c>
      <c r="I1626" s="18" t="str">
        <f t="shared" si="1"/>
        <v>Obesity</v>
      </c>
    </row>
    <row r="1627" ht="15.75" customHeight="1">
      <c r="A1627" s="18" t="s">
        <v>4517</v>
      </c>
      <c r="B1627" s="18">
        <v>32.77</v>
      </c>
      <c r="C1627" s="18">
        <v>4.42</v>
      </c>
      <c r="D1627" s="18" t="s">
        <v>80</v>
      </c>
      <c r="E1627" s="18" t="s">
        <v>73</v>
      </c>
      <c r="F1627" s="18" t="s">
        <v>73</v>
      </c>
      <c r="G1627" s="18">
        <v>1.0</v>
      </c>
      <c r="H1627" s="18" t="s">
        <v>73</v>
      </c>
      <c r="I1627" s="18" t="str">
        <f t="shared" si="1"/>
        <v>Obesity</v>
      </c>
    </row>
    <row r="1628" ht="15.75" customHeight="1">
      <c r="A1628" s="18" t="s">
        <v>4512</v>
      </c>
      <c r="B1628" s="18">
        <v>16.85</v>
      </c>
      <c r="C1628" s="18">
        <v>11.75</v>
      </c>
      <c r="D1628" s="18" t="s">
        <v>80</v>
      </c>
      <c r="E1628" s="18" t="s">
        <v>73</v>
      </c>
      <c r="F1628" s="18" t="s">
        <v>73</v>
      </c>
      <c r="G1628" s="18">
        <v>2.0</v>
      </c>
      <c r="H1628" s="18" t="s">
        <v>73</v>
      </c>
      <c r="I1628" s="18" t="str">
        <f t="shared" si="1"/>
        <v>Underweight</v>
      </c>
    </row>
    <row r="1629" ht="15.75" customHeight="1">
      <c r="A1629" s="18" t="s">
        <v>4508</v>
      </c>
      <c r="B1629" s="18">
        <v>34.7</v>
      </c>
      <c r="C1629" s="18">
        <v>6.06</v>
      </c>
      <c r="D1629" s="18" t="s">
        <v>73</v>
      </c>
      <c r="E1629" s="18" t="s">
        <v>73</v>
      </c>
      <c r="F1629" s="18" t="s">
        <v>73</v>
      </c>
      <c r="G1629" s="18">
        <v>1.0</v>
      </c>
      <c r="H1629" s="18" t="s">
        <v>73</v>
      </c>
      <c r="I1629" s="18" t="str">
        <f t="shared" si="1"/>
        <v>Obesity</v>
      </c>
    </row>
    <row r="1630" ht="15.75" customHeight="1">
      <c r="A1630" s="18" t="s">
        <v>4505</v>
      </c>
      <c r="B1630" s="18">
        <v>37.05</v>
      </c>
      <c r="C1630" s="18">
        <v>5.48</v>
      </c>
      <c r="D1630" s="18" t="s">
        <v>73</v>
      </c>
      <c r="E1630" s="18" t="s">
        <v>73</v>
      </c>
      <c r="F1630" s="18" t="s">
        <v>73</v>
      </c>
      <c r="G1630" s="18">
        <v>1.0</v>
      </c>
      <c r="H1630" s="18" t="s">
        <v>73</v>
      </c>
      <c r="I1630" s="18" t="str">
        <f t="shared" si="1"/>
        <v>Obesity</v>
      </c>
    </row>
    <row r="1631" ht="15.75" customHeight="1">
      <c r="A1631" s="18" t="s">
        <v>4501</v>
      </c>
      <c r="B1631" s="18">
        <v>18.78</v>
      </c>
      <c r="C1631" s="18">
        <v>4.45</v>
      </c>
      <c r="D1631" s="18" t="s">
        <v>73</v>
      </c>
      <c r="E1631" s="18" t="s">
        <v>73</v>
      </c>
      <c r="F1631" s="18" t="s">
        <v>184</v>
      </c>
      <c r="G1631" s="18">
        <v>1.0</v>
      </c>
      <c r="H1631" s="18" t="s">
        <v>73</v>
      </c>
      <c r="I1631" s="18" t="str">
        <f t="shared" si="1"/>
        <v>Normal Weight</v>
      </c>
    </row>
    <row r="1632" ht="15.75" customHeight="1">
      <c r="A1632" s="18" t="s">
        <v>4497</v>
      </c>
      <c r="B1632" s="18">
        <v>28.025</v>
      </c>
      <c r="C1632" s="18">
        <v>5.0</v>
      </c>
      <c r="D1632" s="18" t="s">
        <v>73</v>
      </c>
      <c r="E1632" s="18" t="s">
        <v>73</v>
      </c>
      <c r="F1632" s="18" t="s">
        <v>73</v>
      </c>
      <c r="G1632" s="18">
        <v>1.0</v>
      </c>
      <c r="H1632" s="18" t="s">
        <v>73</v>
      </c>
      <c r="I1632" s="18" t="str">
        <f t="shared" si="1"/>
        <v>Overweight</v>
      </c>
    </row>
    <row r="1633" ht="15.75" customHeight="1">
      <c r="A1633" s="18" t="s">
        <v>4493</v>
      </c>
      <c r="B1633" s="18">
        <v>35.09</v>
      </c>
      <c r="C1633" s="18">
        <v>5.84</v>
      </c>
      <c r="D1633" s="18" t="s">
        <v>73</v>
      </c>
      <c r="E1633" s="18" t="s">
        <v>73</v>
      </c>
      <c r="F1633" s="18" t="s">
        <v>73</v>
      </c>
      <c r="G1633" s="20">
        <v>0.0</v>
      </c>
      <c r="H1633" s="18" t="s">
        <v>73</v>
      </c>
      <c r="I1633" s="18" t="str">
        <f t="shared" si="1"/>
        <v>Obesity</v>
      </c>
    </row>
    <row r="1634" ht="15.75" customHeight="1">
      <c r="A1634" s="18" t="s">
        <v>4485</v>
      </c>
      <c r="B1634" s="18">
        <v>34.42</v>
      </c>
      <c r="C1634" s="18">
        <v>5.21</v>
      </c>
      <c r="D1634" s="18" t="s">
        <v>80</v>
      </c>
      <c r="E1634" s="18" t="s">
        <v>73</v>
      </c>
      <c r="F1634" s="18" t="s">
        <v>73</v>
      </c>
      <c r="G1634" s="20">
        <v>0.0</v>
      </c>
      <c r="H1634" s="18" t="s">
        <v>73</v>
      </c>
      <c r="I1634" s="18" t="str">
        <f t="shared" si="1"/>
        <v>Obesity</v>
      </c>
    </row>
    <row r="1635" ht="15.75" customHeight="1">
      <c r="A1635" s="18" t="s">
        <v>4481</v>
      </c>
      <c r="B1635" s="18">
        <v>29.4</v>
      </c>
      <c r="C1635" s="18">
        <v>4.26</v>
      </c>
      <c r="D1635" s="18" t="s">
        <v>73</v>
      </c>
      <c r="E1635" s="18" t="s">
        <v>73</v>
      </c>
      <c r="F1635" s="18" t="s">
        <v>73</v>
      </c>
      <c r="G1635" s="20">
        <v>0.0</v>
      </c>
      <c r="H1635" s="18" t="s">
        <v>73</v>
      </c>
      <c r="I1635" s="18" t="str">
        <f t="shared" si="1"/>
        <v>Overweight</v>
      </c>
    </row>
    <row r="1636" ht="15.75" customHeight="1">
      <c r="A1636" s="18" t="s">
        <v>4477</v>
      </c>
      <c r="B1636" s="18">
        <v>21.31</v>
      </c>
      <c r="C1636" s="18">
        <v>4.17</v>
      </c>
      <c r="D1636" s="18" t="s">
        <v>73</v>
      </c>
      <c r="E1636" s="18" t="s">
        <v>73</v>
      </c>
      <c r="F1636" s="18" t="s">
        <v>73</v>
      </c>
      <c r="G1636" s="20">
        <v>0.0</v>
      </c>
      <c r="H1636" s="18" t="s">
        <v>73</v>
      </c>
      <c r="I1636" s="18" t="str">
        <f t="shared" si="1"/>
        <v>Normal Weight</v>
      </c>
    </row>
    <row r="1637" ht="15.75" customHeight="1">
      <c r="A1637" s="18" t="s">
        <v>4473</v>
      </c>
      <c r="B1637" s="18">
        <v>19.56</v>
      </c>
      <c r="C1637" s="18">
        <v>11.96</v>
      </c>
      <c r="D1637" s="18" t="s">
        <v>73</v>
      </c>
      <c r="E1637" s="18" t="s">
        <v>73</v>
      </c>
      <c r="F1637" s="18" t="s">
        <v>73</v>
      </c>
      <c r="G1637" s="20">
        <v>0.0</v>
      </c>
      <c r="H1637" s="18" t="s">
        <v>73</v>
      </c>
      <c r="I1637" s="18" t="str">
        <f t="shared" si="1"/>
        <v>Normal Weight</v>
      </c>
    </row>
    <row r="1638" ht="15.75" customHeight="1">
      <c r="A1638" s="18" t="s">
        <v>4467</v>
      </c>
      <c r="B1638" s="18">
        <v>37.335</v>
      </c>
      <c r="C1638" s="18">
        <v>6.26</v>
      </c>
      <c r="D1638" s="18" t="s">
        <v>80</v>
      </c>
      <c r="E1638" s="18" t="s">
        <v>73</v>
      </c>
      <c r="F1638" s="18" t="s">
        <v>73</v>
      </c>
      <c r="G1638" s="18">
        <v>1.0</v>
      </c>
      <c r="H1638" s="18" t="s">
        <v>73</v>
      </c>
      <c r="I1638" s="18" t="str">
        <f t="shared" si="1"/>
        <v>Obesity</v>
      </c>
    </row>
    <row r="1639" ht="15.75" customHeight="1">
      <c r="A1639" s="18" t="s">
        <v>4464</v>
      </c>
      <c r="B1639" s="18">
        <v>19.53</v>
      </c>
      <c r="C1639" s="18">
        <v>11.68</v>
      </c>
      <c r="D1639" s="18" t="s">
        <v>73</v>
      </c>
      <c r="E1639" s="18" t="s">
        <v>73</v>
      </c>
      <c r="F1639" s="18" t="s">
        <v>73</v>
      </c>
      <c r="G1639" s="20">
        <v>0.0</v>
      </c>
      <c r="H1639" s="18" t="s">
        <v>73</v>
      </c>
      <c r="I1639" s="18" t="str">
        <f t="shared" si="1"/>
        <v>Normal Weight</v>
      </c>
    </row>
    <row r="1640" ht="15.75" customHeight="1">
      <c r="A1640" s="18" t="s">
        <v>4460</v>
      </c>
      <c r="B1640" s="18">
        <v>34.1</v>
      </c>
      <c r="C1640" s="18">
        <v>5.16</v>
      </c>
      <c r="D1640" s="18" t="s">
        <v>73</v>
      </c>
      <c r="E1640" s="18" t="s">
        <v>73</v>
      </c>
      <c r="F1640" s="18" t="s">
        <v>73</v>
      </c>
      <c r="G1640" s="20">
        <v>0.0</v>
      </c>
      <c r="H1640" s="18" t="s">
        <v>73</v>
      </c>
      <c r="I1640" s="18" t="str">
        <f t="shared" si="1"/>
        <v>Obesity</v>
      </c>
    </row>
    <row r="1641" ht="15.75" customHeight="1">
      <c r="A1641" s="18" t="s">
        <v>4454</v>
      </c>
      <c r="B1641" s="18">
        <v>16.5</v>
      </c>
      <c r="C1641" s="18">
        <v>6.9</v>
      </c>
      <c r="D1641" s="18" t="s">
        <v>80</v>
      </c>
      <c r="E1641" s="18" t="s">
        <v>73</v>
      </c>
      <c r="F1641" s="18" t="s">
        <v>73</v>
      </c>
      <c r="G1641" s="18">
        <v>2.0</v>
      </c>
      <c r="H1641" s="18" t="s">
        <v>73</v>
      </c>
      <c r="I1641" s="18" t="str">
        <f t="shared" si="1"/>
        <v>Underweight</v>
      </c>
    </row>
    <row r="1642" ht="15.75" customHeight="1">
      <c r="A1642" s="18" t="s">
        <v>4449</v>
      </c>
      <c r="B1642" s="18">
        <v>30.69</v>
      </c>
      <c r="C1642" s="18">
        <v>4.83</v>
      </c>
      <c r="D1642" s="18" t="s">
        <v>73</v>
      </c>
      <c r="E1642" s="18" t="s">
        <v>73</v>
      </c>
      <c r="F1642" s="18" t="s">
        <v>73</v>
      </c>
      <c r="G1642" s="18">
        <v>1.0</v>
      </c>
      <c r="H1642" s="18" t="s">
        <v>73</v>
      </c>
      <c r="I1642" s="18" t="str">
        <f t="shared" si="1"/>
        <v>Obesity</v>
      </c>
    </row>
    <row r="1643" ht="15.75" customHeight="1">
      <c r="A1643" s="18" t="s">
        <v>4443</v>
      </c>
      <c r="B1643" s="18">
        <v>28.93</v>
      </c>
      <c r="C1643" s="18">
        <v>4.87</v>
      </c>
      <c r="D1643" s="18" t="s">
        <v>73</v>
      </c>
      <c r="E1643" s="18" t="s">
        <v>73</v>
      </c>
      <c r="F1643" s="18" t="s">
        <v>73</v>
      </c>
      <c r="G1643" s="18">
        <v>1.0</v>
      </c>
      <c r="H1643" s="18" t="s">
        <v>73</v>
      </c>
      <c r="I1643" s="18" t="str">
        <f t="shared" si="1"/>
        <v>Overweight</v>
      </c>
    </row>
    <row r="1644" ht="15.75" customHeight="1">
      <c r="A1644" s="18" t="s">
        <v>4438</v>
      </c>
      <c r="B1644" s="18">
        <v>38.9</v>
      </c>
      <c r="C1644" s="18">
        <v>4.28</v>
      </c>
      <c r="D1644" s="18" t="s">
        <v>73</v>
      </c>
      <c r="E1644" s="18" t="s">
        <v>73</v>
      </c>
      <c r="F1644" s="18" t="s">
        <v>73</v>
      </c>
      <c r="G1644" s="20">
        <v>0.0</v>
      </c>
      <c r="H1644" s="18" t="s">
        <v>73</v>
      </c>
      <c r="I1644" s="18" t="str">
        <f t="shared" si="1"/>
        <v>Obesity</v>
      </c>
    </row>
    <row r="1645" ht="15.75" customHeight="1">
      <c r="A1645" s="18" t="s">
        <v>4433</v>
      </c>
      <c r="B1645" s="18">
        <v>26.9</v>
      </c>
      <c r="C1645" s="18">
        <v>4.07</v>
      </c>
      <c r="D1645" s="18" t="s">
        <v>73</v>
      </c>
      <c r="E1645" s="18" t="s">
        <v>73</v>
      </c>
      <c r="F1645" s="18" t="s">
        <v>73</v>
      </c>
      <c r="G1645" s="20">
        <v>0.0</v>
      </c>
      <c r="H1645" s="18" t="s">
        <v>73</v>
      </c>
      <c r="I1645" s="18" t="str">
        <f t="shared" si="1"/>
        <v>Overweight</v>
      </c>
    </row>
    <row r="1646" ht="15.75" customHeight="1">
      <c r="A1646" s="18" t="s">
        <v>4428</v>
      </c>
      <c r="B1646" s="18">
        <v>24.86</v>
      </c>
      <c r="C1646" s="18">
        <v>6.23</v>
      </c>
      <c r="D1646" s="18" t="s">
        <v>73</v>
      </c>
      <c r="E1646" s="18" t="s">
        <v>73</v>
      </c>
      <c r="F1646" s="18" t="s">
        <v>73</v>
      </c>
      <c r="G1646" s="20">
        <v>0.0</v>
      </c>
      <c r="H1646" s="18" t="s">
        <v>73</v>
      </c>
      <c r="I1646" s="18" t="str">
        <f t="shared" si="1"/>
        <v>Normal Weight</v>
      </c>
    </row>
    <row r="1647" ht="15.75" customHeight="1">
      <c r="A1647" s="18" t="s">
        <v>4424</v>
      </c>
      <c r="B1647" s="18">
        <v>39.14</v>
      </c>
      <c r="C1647" s="18">
        <v>6.24</v>
      </c>
      <c r="D1647" s="18" t="s">
        <v>73</v>
      </c>
      <c r="E1647" s="18" t="s">
        <v>80</v>
      </c>
      <c r="F1647" s="18" t="s">
        <v>73</v>
      </c>
      <c r="G1647" s="18">
        <v>1.0</v>
      </c>
      <c r="H1647" s="18" t="s">
        <v>73</v>
      </c>
      <c r="I1647" s="18" t="str">
        <f t="shared" si="1"/>
        <v>Obesity</v>
      </c>
    </row>
    <row r="1648" ht="15.75" customHeight="1">
      <c r="A1648" s="18" t="s">
        <v>4421</v>
      </c>
      <c r="B1648" s="18">
        <v>39.8</v>
      </c>
      <c r="C1648" s="18">
        <v>6.17</v>
      </c>
      <c r="D1648" s="18" t="s">
        <v>73</v>
      </c>
      <c r="E1648" s="18" t="s">
        <v>73</v>
      </c>
      <c r="F1648" s="18" t="s">
        <v>184</v>
      </c>
      <c r="G1648" s="18">
        <v>1.0</v>
      </c>
      <c r="H1648" s="18" t="s">
        <v>73</v>
      </c>
      <c r="I1648" s="18" t="str">
        <f t="shared" si="1"/>
        <v>Obesity</v>
      </c>
    </row>
    <row r="1649" ht="15.75" customHeight="1">
      <c r="A1649" s="18" t="s">
        <v>4418</v>
      </c>
      <c r="B1649" s="18">
        <v>34.32</v>
      </c>
      <c r="C1649" s="18">
        <v>5.16</v>
      </c>
      <c r="D1649" s="18" t="s">
        <v>73</v>
      </c>
      <c r="E1649" s="18" t="s">
        <v>73</v>
      </c>
      <c r="F1649" s="18" t="s">
        <v>73</v>
      </c>
      <c r="G1649" s="18">
        <v>1.0</v>
      </c>
      <c r="H1649" s="18" t="s">
        <v>73</v>
      </c>
      <c r="I1649" s="18" t="str">
        <f t="shared" si="1"/>
        <v>Obesity</v>
      </c>
    </row>
    <row r="1650" ht="15.75" customHeight="1">
      <c r="A1650" s="18" t="s">
        <v>4416</v>
      </c>
      <c r="B1650" s="18">
        <v>32.51</v>
      </c>
      <c r="C1650" s="18">
        <v>4.3</v>
      </c>
      <c r="D1650" s="18" t="s">
        <v>73</v>
      </c>
      <c r="E1650" s="18" t="s">
        <v>73</v>
      </c>
      <c r="F1650" s="18" t="s">
        <v>73</v>
      </c>
      <c r="G1650" s="20">
        <v>0.0</v>
      </c>
      <c r="H1650" s="18" t="s">
        <v>73</v>
      </c>
      <c r="I1650" s="18" t="str">
        <f t="shared" si="1"/>
        <v>Obesity</v>
      </c>
    </row>
    <row r="1651" ht="15.75" customHeight="1">
      <c r="A1651" s="18" t="s">
        <v>4411</v>
      </c>
      <c r="B1651" s="18">
        <v>30.71</v>
      </c>
      <c r="C1651" s="18">
        <v>6.14</v>
      </c>
      <c r="D1651" s="18" t="s">
        <v>73</v>
      </c>
      <c r="E1651" s="18" t="s">
        <v>73</v>
      </c>
      <c r="F1651" s="18" t="s">
        <v>184</v>
      </c>
      <c r="G1651" s="18">
        <v>1.0</v>
      </c>
      <c r="H1651" s="18" t="s">
        <v>73</v>
      </c>
      <c r="I1651" s="18" t="str">
        <f t="shared" si="1"/>
        <v>Obesity</v>
      </c>
    </row>
    <row r="1652" ht="15.75" customHeight="1">
      <c r="A1652" s="18" t="s">
        <v>4407</v>
      </c>
      <c r="B1652" s="18">
        <v>28.9</v>
      </c>
      <c r="C1652" s="18">
        <v>5.36</v>
      </c>
      <c r="D1652" s="18" t="s">
        <v>73</v>
      </c>
      <c r="E1652" s="18" t="s">
        <v>73</v>
      </c>
      <c r="F1652" s="18" t="s">
        <v>73</v>
      </c>
      <c r="G1652" s="18">
        <v>1.0</v>
      </c>
      <c r="H1652" s="18" t="s">
        <v>73</v>
      </c>
      <c r="I1652" s="18" t="str">
        <f t="shared" si="1"/>
        <v>Overweight</v>
      </c>
    </row>
    <row r="1653" ht="15.75" customHeight="1">
      <c r="A1653" s="18" t="s">
        <v>4402</v>
      </c>
      <c r="B1653" s="18">
        <v>36.19</v>
      </c>
      <c r="C1653" s="18">
        <v>4.3</v>
      </c>
      <c r="D1653" s="18" t="s">
        <v>73</v>
      </c>
      <c r="E1653" s="18" t="s">
        <v>73</v>
      </c>
      <c r="F1653" s="18" t="s">
        <v>73</v>
      </c>
      <c r="G1653" s="20">
        <v>0.0</v>
      </c>
      <c r="H1653" s="18" t="s">
        <v>73</v>
      </c>
      <c r="I1653" s="18" t="str">
        <f t="shared" si="1"/>
        <v>Obesity</v>
      </c>
    </row>
    <row r="1654" ht="15.75" customHeight="1">
      <c r="A1654" s="18" t="s">
        <v>4398</v>
      </c>
      <c r="B1654" s="18">
        <v>29.6</v>
      </c>
      <c r="C1654" s="18">
        <v>4.09</v>
      </c>
      <c r="D1654" s="18" t="s">
        <v>73</v>
      </c>
      <c r="E1654" s="18" t="s">
        <v>73</v>
      </c>
      <c r="F1654" s="18" t="s">
        <v>73</v>
      </c>
      <c r="G1654" s="20">
        <v>0.0</v>
      </c>
      <c r="H1654" s="18" t="s">
        <v>73</v>
      </c>
      <c r="I1654" s="18" t="str">
        <f t="shared" si="1"/>
        <v>Overweight</v>
      </c>
    </row>
    <row r="1655" ht="15.75" customHeight="1">
      <c r="A1655" s="18" t="s">
        <v>4394</v>
      </c>
      <c r="B1655" s="18">
        <v>30.95</v>
      </c>
      <c r="C1655" s="18">
        <v>6.27</v>
      </c>
      <c r="D1655" s="18" t="s">
        <v>73</v>
      </c>
      <c r="E1655" s="18" t="s">
        <v>73</v>
      </c>
      <c r="F1655" s="18" t="s">
        <v>184</v>
      </c>
      <c r="G1655" s="18">
        <v>1.0</v>
      </c>
      <c r="H1655" s="18" t="s">
        <v>73</v>
      </c>
      <c r="I1655" s="18" t="str">
        <f t="shared" si="1"/>
        <v>Obesity</v>
      </c>
    </row>
    <row r="1656" ht="15.75" customHeight="1">
      <c r="A1656" s="18" t="s">
        <v>4387</v>
      </c>
      <c r="B1656" s="18">
        <v>19.95</v>
      </c>
      <c r="C1656" s="18">
        <v>5.39</v>
      </c>
      <c r="D1656" s="18" t="s">
        <v>73</v>
      </c>
      <c r="E1656" s="18" t="s">
        <v>73</v>
      </c>
      <c r="F1656" s="18" t="s">
        <v>73</v>
      </c>
      <c r="G1656" s="18">
        <v>1.0</v>
      </c>
      <c r="H1656" s="18" t="s">
        <v>73</v>
      </c>
      <c r="I1656" s="18" t="str">
        <f t="shared" si="1"/>
        <v>Normal Weight</v>
      </c>
    </row>
    <row r="1657" ht="15.75" customHeight="1">
      <c r="A1657" s="18" t="s">
        <v>4382</v>
      </c>
      <c r="B1657" s="18">
        <v>23.65</v>
      </c>
      <c r="C1657" s="18">
        <v>5.75</v>
      </c>
      <c r="D1657" s="18" t="s">
        <v>80</v>
      </c>
      <c r="E1657" s="18" t="s">
        <v>73</v>
      </c>
      <c r="F1657" s="18" t="s">
        <v>73</v>
      </c>
      <c r="G1657" s="20">
        <v>0.0</v>
      </c>
      <c r="H1657" s="18" t="s">
        <v>73</v>
      </c>
      <c r="I1657" s="18" t="str">
        <f t="shared" si="1"/>
        <v>Normal Weight</v>
      </c>
    </row>
    <row r="1658" ht="15.75" customHeight="1">
      <c r="A1658" s="18" t="s">
        <v>4379</v>
      </c>
      <c r="B1658" s="18">
        <v>43.34</v>
      </c>
      <c r="C1658" s="18">
        <v>4.91</v>
      </c>
      <c r="D1658" s="18" t="s">
        <v>73</v>
      </c>
      <c r="E1658" s="18" t="s">
        <v>73</v>
      </c>
      <c r="F1658" s="18" t="s">
        <v>73</v>
      </c>
      <c r="G1658" s="18">
        <v>1.0</v>
      </c>
      <c r="H1658" s="18" t="s">
        <v>73</v>
      </c>
      <c r="I1658" s="18" t="str">
        <f t="shared" si="1"/>
        <v>Obesity</v>
      </c>
    </row>
    <row r="1659" ht="15.75" customHeight="1">
      <c r="A1659" s="18" t="s">
        <v>4374</v>
      </c>
      <c r="B1659" s="18">
        <v>31.98</v>
      </c>
      <c r="C1659" s="18">
        <v>4.46</v>
      </c>
      <c r="D1659" s="18" t="s">
        <v>80</v>
      </c>
      <c r="E1659" s="18" t="s">
        <v>73</v>
      </c>
      <c r="F1659" s="18" t="s">
        <v>73</v>
      </c>
      <c r="G1659" s="18">
        <v>1.0</v>
      </c>
      <c r="H1659" s="18" t="s">
        <v>73</v>
      </c>
      <c r="I1659" s="18" t="str">
        <f t="shared" si="1"/>
        <v>Obesity</v>
      </c>
    </row>
    <row r="1660" ht="15.75" customHeight="1">
      <c r="A1660" s="18" t="s">
        <v>4368</v>
      </c>
      <c r="B1660" s="18">
        <v>35.86</v>
      </c>
      <c r="C1660" s="18">
        <v>6.22</v>
      </c>
      <c r="D1660" s="18" t="s">
        <v>73</v>
      </c>
      <c r="E1660" s="18" t="s">
        <v>73</v>
      </c>
      <c r="F1660" s="18" t="s">
        <v>73</v>
      </c>
      <c r="G1660" s="18">
        <v>1.0</v>
      </c>
      <c r="H1660" s="18" t="s">
        <v>73</v>
      </c>
      <c r="I1660" s="18" t="str">
        <f t="shared" si="1"/>
        <v>Obesity</v>
      </c>
    </row>
    <row r="1661" ht="15.75" customHeight="1">
      <c r="A1661" s="18" t="s">
        <v>4364</v>
      </c>
      <c r="B1661" s="18">
        <v>15.2</v>
      </c>
      <c r="C1661" s="18">
        <v>8.82</v>
      </c>
      <c r="D1661" s="18" t="s">
        <v>73</v>
      </c>
      <c r="E1661" s="18" t="s">
        <v>73</v>
      </c>
      <c r="F1661" s="18" t="s">
        <v>73</v>
      </c>
      <c r="G1661" s="20">
        <v>0.0</v>
      </c>
      <c r="H1661" s="18" t="s">
        <v>73</v>
      </c>
      <c r="I1661" s="18" t="str">
        <f t="shared" si="1"/>
        <v>Underweight</v>
      </c>
    </row>
    <row r="1662" ht="15.75" customHeight="1">
      <c r="A1662" s="18" t="s">
        <v>4358</v>
      </c>
      <c r="B1662" s="18">
        <v>37.2</v>
      </c>
      <c r="C1662" s="18">
        <v>10.14</v>
      </c>
      <c r="D1662" s="18" t="s">
        <v>73</v>
      </c>
      <c r="E1662" s="18" t="s">
        <v>73</v>
      </c>
      <c r="F1662" s="18" t="s">
        <v>73</v>
      </c>
      <c r="G1662" s="20">
        <v>0.0</v>
      </c>
      <c r="H1662" s="18" t="s">
        <v>73</v>
      </c>
      <c r="I1662" s="18" t="str">
        <f t="shared" si="1"/>
        <v>Obesity</v>
      </c>
    </row>
    <row r="1663" ht="15.75" customHeight="1">
      <c r="A1663" s="18" t="s">
        <v>4353</v>
      </c>
      <c r="B1663" s="18">
        <v>17.91</v>
      </c>
      <c r="C1663" s="18">
        <v>4.66</v>
      </c>
      <c r="D1663" s="18" t="s">
        <v>73</v>
      </c>
      <c r="E1663" s="18" t="s">
        <v>73</v>
      </c>
      <c r="F1663" s="18" t="s">
        <v>73</v>
      </c>
      <c r="G1663" s="18">
        <v>2.0</v>
      </c>
      <c r="H1663" s="18" t="s">
        <v>73</v>
      </c>
      <c r="I1663" s="18" t="str">
        <f t="shared" si="1"/>
        <v>Underweight</v>
      </c>
    </row>
    <row r="1664" ht="15.75" customHeight="1">
      <c r="A1664" s="18" t="s">
        <v>4349</v>
      </c>
      <c r="B1664" s="18">
        <v>20.76</v>
      </c>
      <c r="C1664" s="18">
        <v>6.26</v>
      </c>
      <c r="D1664" s="18" t="s">
        <v>73</v>
      </c>
      <c r="E1664" s="18" t="s">
        <v>73</v>
      </c>
      <c r="F1664" s="18" t="s">
        <v>73</v>
      </c>
      <c r="G1664" s="20">
        <v>0.0</v>
      </c>
      <c r="H1664" s="18" t="s">
        <v>73</v>
      </c>
      <c r="I1664" s="18" t="str">
        <f t="shared" si="1"/>
        <v>Normal Weight</v>
      </c>
    </row>
    <row r="1665" ht="15.75" customHeight="1">
      <c r="A1665" s="18" t="s">
        <v>4345</v>
      </c>
      <c r="B1665" s="18">
        <v>38.99</v>
      </c>
      <c r="C1665" s="18">
        <v>5.21</v>
      </c>
      <c r="D1665" s="18" t="s">
        <v>73</v>
      </c>
      <c r="E1665" s="18" t="s">
        <v>80</v>
      </c>
      <c r="F1665" s="18" t="s">
        <v>73</v>
      </c>
      <c r="G1665" s="18">
        <v>1.0</v>
      </c>
      <c r="H1665" s="18" t="s">
        <v>73</v>
      </c>
      <c r="I1665" s="18" t="str">
        <f t="shared" si="1"/>
        <v>Obesity</v>
      </c>
    </row>
    <row r="1666" ht="15.75" customHeight="1">
      <c r="A1666" s="18" t="s">
        <v>4341</v>
      </c>
      <c r="B1666" s="18">
        <v>42.655</v>
      </c>
      <c r="C1666" s="18">
        <v>5.94</v>
      </c>
      <c r="D1666" s="18" t="s">
        <v>80</v>
      </c>
      <c r="E1666" s="18" t="s">
        <v>73</v>
      </c>
      <c r="F1666" s="18" t="s">
        <v>184</v>
      </c>
      <c r="G1666" s="18">
        <v>1.0</v>
      </c>
      <c r="H1666" s="18" t="s">
        <v>73</v>
      </c>
      <c r="I1666" s="18" t="str">
        <f t="shared" si="1"/>
        <v>Obesity</v>
      </c>
    </row>
    <row r="1667" ht="15.75" customHeight="1">
      <c r="A1667" s="18" t="s">
        <v>4337</v>
      </c>
      <c r="B1667" s="18">
        <v>30.57</v>
      </c>
      <c r="C1667" s="18">
        <v>5.34</v>
      </c>
      <c r="D1667" s="18" t="s">
        <v>73</v>
      </c>
      <c r="E1667" s="18" t="s">
        <v>73</v>
      </c>
      <c r="F1667" s="18" t="s">
        <v>184</v>
      </c>
      <c r="G1667" s="18">
        <v>1.0</v>
      </c>
      <c r="H1667" s="18" t="s">
        <v>73</v>
      </c>
      <c r="I1667" s="18" t="str">
        <f t="shared" si="1"/>
        <v>Obesity</v>
      </c>
    </row>
    <row r="1668" ht="15.75" customHeight="1">
      <c r="A1668" s="18" t="s">
        <v>4334</v>
      </c>
      <c r="B1668" s="18">
        <v>17.7</v>
      </c>
      <c r="C1668" s="18">
        <v>6.38</v>
      </c>
      <c r="D1668" s="18" t="s">
        <v>73</v>
      </c>
      <c r="E1668" s="18" t="s">
        <v>73</v>
      </c>
      <c r="F1668" s="18" t="s">
        <v>73</v>
      </c>
      <c r="G1668" s="18">
        <v>2.0</v>
      </c>
      <c r="H1668" s="18" t="s">
        <v>73</v>
      </c>
      <c r="I1668" s="18" t="str">
        <f t="shared" si="1"/>
        <v>Underweight</v>
      </c>
    </row>
    <row r="1669" ht="15.75" customHeight="1">
      <c r="A1669" s="18" t="s">
        <v>4330</v>
      </c>
      <c r="B1669" s="18">
        <v>34.77</v>
      </c>
      <c r="C1669" s="18">
        <v>4.47</v>
      </c>
      <c r="D1669" s="18" t="s">
        <v>73</v>
      </c>
      <c r="E1669" s="18" t="s">
        <v>73</v>
      </c>
      <c r="F1669" s="18" t="s">
        <v>73</v>
      </c>
      <c r="G1669" s="18">
        <v>1.0</v>
      </c>
      <c r="H1669" s="18" t="s">
        <v>73</v>
      </c>
      <c r="I1669" s="18" t="str">
        <f t="shared" si="1"/>
        <v>Obesity</v>
      </c>
    </row>
    <row r="1670" ht="15.75" customHeight="1">
      <c r="A1670" s="18" t="s">
        <v>4325</v>
      </c>
      <c r="B1670" s="18">
        <v>16.88</v>
      </c>
      <c r="C1670" s="18">
        <v>9.96</v>
      </c>
      <c r="D1670" s="18" t="s">
        <v>73</v>
      </c>
      <c r="E1670" s="18" t="s">
        <v>73</v>
      </c>
      <c r="F1670" s="18" t="s">
        <v>73</v>
      </c>
      <c r="G1670" s="20">
        <v>0.0</v>
      </c>
      <c r="H1670" s="18" t="s">
        <v>73</v>
      </c>
      <c r="I1670" s="18" t="str">
        <f t="shared" si="1"/>
        <v>Underweight</v>
      </c>
    </row>
    <row r="1671" ht="15.75" customHeight="1">
      <c r="A1671" s="18" t="s">
        <v>4320</v>
      </c>
      <c r="B1671" s="18">
        <v>40.26</v>
      </c>
      <c r="C1671" s="18">
        <v>9.92</v>
      </c>
      <c r="D1671" s="18" t="s">
        <v>80</v>
      </c>
      <c r="E1671" s="18" t="s">
        <v>73</v>
      </c>
      <c r="F1671" s="18" t="s">
        <v>73</v>
      </c>
      <c r="G1671" s="20">
        <v>0.0</v>
      </c>
      <c r="H1671" s="18" t="s">
        <v>73</v>
      </c>
      <c r="I1671" s="18" t="str">
        <f t="shared" si="1"/>
        <v>Obesity</v>
      </c>
    </row>
    <row r="1672" ht="15.75" customHeight="1">
      <c r="A1672" s="18" t="s">
        <v>4315</v>
      </c>
      <c r="B1672" s="18">
        <v>25.6</v>
      </c>
      <c r="C1672" s="18">
        <v>6.03</v>
      </c>
      <c r="D1672" s="18" t="s">
        <v>73</v>
      </c>
      <c r="E1672" s="18" t="s">
        <v>73</v>
      </c>
      <c r="F1672" s="18" t="s">
        <v>184</v>
      </c>
      <c r="G1672" s="18">
        <v>1.0</v>
      </c>
      <c r="H1672" s="18" t="s">
        <v>73</v>
      </c>
      <c r="I1672" s="18" t="str">
        <f t="shared" si="1"/>
        <v>Overweight</v>
      </c>
    </row>
    <row r="1673" ht="15.75" customHeight="1">
      <c r="A1673" s="18" t="s">
        <v>4310</v>
      </c>
      <c r="B1673" s="18">
        <v>33.55</v>
      </c>
      <c r="C1673" s="18">
        <v>10.9</v>
      </c>
      <c r="D1673" s="18" t="s">
        <v>80</v>
      </c>
      <c r="E1673" s="18" t="s">
        <v>73</v>
      </c>
      <c r="F1673" s="18" t="s">
        <v>73</v>
      </c>
      <c r="G1673" s="20">
        <v>0.0</v>
      </c>
      <c r="H1673" s="18" t="s">
        <v>73</v>
      </c>
      <c r="I1673" s="18" t="str">
        <f t="shared" si="1"/>
        <v>Obesity</v>
      </c>
    </row>
    <row r="1674" ht="15.75" customHeight="1">
      <c r="A1674" s="18" t="s">
        <v>4306</v>
      </c>
      <c r="B1674" s="18">
        <v>16.69</v>
      </c>
      <c r="C1674" s="18">
        <v>10.66</v>
      </c>
      <c r="D1674" s="18" t="s">
        <v>73</v>
      </c>
      <c r="E1674" s="18" t="s">
        <v>73</v>
      </c>
      <c r="F1674" s="18" t="s">
        <v>73</v>
      </c>
      <c r="G1674" s="20">
        <v>0.0</v>
      </c>
      <c r="H1674" s="18" t="s">
        <v>73</v>
      </c>
      <c r="I1674" s="18" t="str">
        <f t="shared" si="1"/>
        <v>Underweight</v>
      </c>
    </row>
    <row r="1675" ht="15.75" customHeight="1">
      <c r="A1675" s="18" t="s">
        <v>4301</v>
      </c>
      <c r="B1675" s="18">
        <v>19.95</v>
      </c>
      <c r="C1675" s="18">
        <v>4.05</v>
      </c>
      <c r="D1675" s="18" t="s">
        <v>73</v>
      </c>
      <c r="E1675" s="18" t="s">
        <v>73</v>
      </c>
      <c r="F1675" s="18" t="s">
        <v>73</v>
      </c>
      <c r="G1675" s="18">
        <v>1.0</v>
      </c>
      <c r="H1675" s="18" t="s">
        <v>73</v>
      </c>
      <c r="I1675" s="18" t="str">
        <f t="shared" si="1"/>
        <v>Normal Weight</v>
      </c>
    </row>
    <row r="1676" ht="15.75" customHeight="1">
      <c r="A1676" s="18" t="s">
        <v>4297</v>
      </c>
      <c r="B1676" s="18">
        <v>17.55</v>
      </c>
      <c r="C1676" s="18">
        <v>4.23</v>
      </c>
      <c r="D1676" s="18" t="s">
        <v>73</v>
      </c>
      <c r="E1676" s="18" t="s">
        <v>73</v>
      </c>
      <c r="F1676" s="18" t="s">
        <v>73</v>
      </c>
      <c r="G1676" s="18">
        <v>2.0</v>
      </c>
      <c r="H1676" s="18" t="s">
        <v>73</v>
      </c>
      <c r="I1676" s="18" t="str">
        <f t="shared" si="1"/>
        <v>Underweight</v>
      </c>
    </row>
    <row r="1677" ht="15.75" customHeight="1">
      <c r="A1677" s="18" t="s">
        <v>4294</v>
      </c>
      <c r="B1677" s="18">
        <v>22.01</v>
      </c>
      <c r="C1677" s="18">
        <v>5.01</v>
      </c>
      <c r="D1677" s="18" t="s">
        <v>73</v>
      </c>
      <c r="E1677" s="18" t="s">
        <v>73</v>
      </c>
      <c r="F1677" s="18" t="s">
        <v>73</v>
      </c>
      <c r="G1677" s="18">
        <v>1.0</v>
      </c>
      <c r="H1677" s="18" t="s">
        <v>73</v>
      </c>
      <c r="I1677" s="18" t="str">
        <f t="shared" si="1"/>
        <v>Normal Weight</v>
      </c>
    </row>
    <row r="1678" ht="15.75" customHeight="1">
      <c r="A1678" s="18" t="s">
        <v>4289</v>
      </c>
      <c r="B1678" s="18">
        <v>41.8</v>
      </c>
      <c r="C1678" s="18">
        <v>5.82</v>
      </c>
      <c r="D1678" s="18" t="s">
        <v>80</v>
      </c>
      <c r="E1678" s="18" t="s">
        <v>73</v>
      </c>
      <c r="F1678" s="18" t="s">
        <v>184</v>
      </c>
      <c r="G1678" s="18">
        <v>1.0</v>
      </c>
      <c r="H1678" s="18" t="s">
        <v>73</v>
      </c>
      <c r="I1678" s="18" t="str">
        <f t="shared" si="1"/>
        <v>Obesity</v>
      </c>
    </row>
    <row r="1679" ht="15.75" customHeight="1">
      <c r="A1679" s="18" t="s">
        <v>4285</v>
      </c>
      <c r="B1679" s="18">
        <v>19.17</v>
      </c>
      <c r="C1679" s="18">
        <v>7.94</v>
      </c>
      <c r="D1679" s="18" t="s">
        <v>73</v>
      </c>
      <c r="E1679" s="18" t="s">
        <v>73</v>
      </c>
      <c r="F1679" s="18" t="s">
        <v>73</v>
      </c>
      <c r="G1679" s="20">
        <v>0.0</v>
      </c>
      <c r="H1679" s="18" t="s">
        <v>73</v>
      </c>
      <c r="I1679" s="18" t="str">
        <f t="shared" si="1"/>
        <v>Normal Weight</v>
      </c>
    </row>
    <row r="1680" ht="15.75" customHeight="1">
      <c r="A1680" s="18" t="s">
        <v>4282</v>
      </c>
      <c r="B1680" s="18">
        <v>32.8</v>
      </c>
      <c r="C1680" s="18">
        <v>6.16</v>
      </c>
      <c r="D1680" s="18" t="s">
        <v>80</v>
      </c>
      <c r="E1680" s="18" t="s">
        <v>73</v>
      </c>
      <c r="F1680" s="18" t="s">
        <v>184</v>
      </c>
      <c r="G1680" s="18">
        <v>1.0</v>
      </c>
      <c r="H1680" s="18" t="s">
        <v>73</v>
      </c>
      <c r="I1680" s="18" t="str">
        <f t="shared" si="1"/>
        <v>Obesity</v>
      </c>
    </row>
    <row r="1681" ht="15.75" customHeight="1">
      <c r="A1681" s="18" t="s">
        <v>4277</v>
      </c>
      <c r="B1681" s="18">
        <v>35.815</v>
      </c>
      <c r="C1681" s="18">
        <v>4.15</v>
      </c>
      <c r="D1681" s="18" t="s">
        <v>73</v>
      </c>
      <c r="E1681" s="18" t="s">
        <v>73</v>
      </c>
      <c r="F1681" s="18" t="s">
        <v>73</v>
      </c>
      <c r="G1681" s="18">
        <v>1.0</v>
      </c>
      <c r="H1681" s="18" t="s">
        <v>73</v>
      </c>
      <c r="I1681" s="18" t="str">
        <f t="shared" si="1"/>
        <v>Obesity</v>
      </c>
    </row>
    <row r="1682" ht="15.75" customHeight="1">
      <c r="A1682" s="18" t="s">
        <v>4272</v>
      </c>
      <c r="B1682" s="18">
        <v>24.3</v>
      </c>
      <c r="C1682" s="18">
        <v>6.23</v>
      </c>
      <c r="D1682" s="18" t="s">
        <v>73</v>
      </c>
      <c r="E1682" s="18" t="s">
        <v>73</v>
      </c>
      <c r="F1682" s="18" t="s">
        <v>73</v>
      </c>
      <c r="G1682" s="20">
        <v>0.0</v>
      </c>
      <c r="H1682" s="18" t="s">
        <v>73</v>
      </c>
      <c r="I1682" s="18" t="str">
        <f t="shared" si="1"/>
        <v>Normal Weight</v>
      </c>
    </row>
    <row r="1683" ht="15.75" customHeight="1">
      <c r="A1683" s="18" t="s">
        <v>4264</v>
      </c>
      <c r="B1683" s="18">
        <v>19.06</v>
      </c>
      <c r="C1683" s="18">
        <v>7.41</v>
      </c>
      <c r="D1683" s="18" t="s">
        <v>73</v>
      </c>
      <c r="E1683" s="18" t="s">
        <v>73</v>
      </c>
      <c r="F1683" s="18" t="s">
        <v>73</v>
      </c>
      <c r="G1683" s="20">
        <v>0.0</v>
      </c>
      <c r="H1683" s="18" t="s">
        <v>73</v>
      </c>
      <c r="I1683" s="18" t="str">
        <f t="shared" si="1"/>
        <v>Normal Weight</v>
      </c>
    </row>
    <row r="1684" ht="15.75" customHeight="1">
      <c r="A1684" s="18" t="s">
        <v>4258</v>
      </c>
      <c r="B1684" s="18">
        <v>33.25</v>
      </c>
      <c r="C1684" s="18">
        <v>5.62</v>
      </c>
      <c r="D1684" s="18" t="s">
        <v>80</v>
      </c>
      <c r="E1684" s="18" t="s">
        <v>73</v>
      </c>
      <c r="F1684" s="18" t="s">
        <v>73</v>
      </c>
      <c r="G1684" s="18">
        <v>1.0</v>
      </c>
      <c r="H1684" s="18" t="s">
        <v>73</v>
      </c>
      <c r="I1684" s="18" t="str">
        <f t="shared" si="1"/>
        <v>Obesity</v>
      </c>
    </row>
    <row r="1685" ht="15.75" customHeight="1">
      <c r="A1685" s="18" t="s">
        <v>4253</v>
      </c>
      <c r="B1685" s="18">
        <v>21.37</v>
      </c>
      <c r="C1685" s="18">
        <v>4.54</v>
      </c>
      <c r="D1685" s="18" t="s">
        <v>80</v>
      </c>
      <c r="E1685" s="18" t="s">
        <v>73</v>
      </c>
      <c r="F1685" s="18" t="s">
        <v>184</v>
      </c>
      <c r="G1685" s="18">
        <v>1.0</v>
      </c>
      <c r="H1685" s="18" t="s">
        <v>73</v>
      </c>
      <c r="I1685" s="18" t="str">
        <f t="shared" si="1"/>
        <v>Normal Weight</v>
      </c>
    </row>
    <row r="1686" ht="15.75" customHeight="1">
      <c r="A1686" s="18" t="s">
        <v>4246</v>
      </c>
      <c r="B1686" s="18">
        <v>34.43</v>
      </c>
      <c r="C1686" s="18">
        <v>8.62</v>
      </c>
      <c r="D1686" s="18" t="s">
        <v>80</v>
      </c>
      <c r="E1686" s="18" t="s">
        <v>73</v>
      </c>
      <c r="F1686" s="18" t="s">
        <v>73</v>
      </c>
      <c r="G1686" s="18">
        <v>1.0</v>
      </c>
      <c r="H1686" s="18" t="s">
        <v>73</v>
      </c>
      <c r="I1686" s="18" t="str">
        <f t="shared" si="1"/>
        <v>Obesity</v>
      </c>
    </row>
    <row r="1687" ht="15.75" customHeight="1">
      <c r="A1687" s="18" t="s">
        <v>4240</v>
      </c>
      <c r="B1687" s="18">
        <v>20.86</v>
      </c>
      <c r="C1687" s="18">
        <v>4.36</v>
      </c>
      <c r="D1687" s="18" t="s">
        <v>80</v>
      </c>
      <c r="E1687" s="18" t="s">
        <v>73</v>
      </c>
      <c r="F1687" s="18" t="s">
        <v>73</v>
      </c>
      <c r="G1687" s="20">
        <v>0.0</v>
      </c>
      <c r="H1687" s="18" t="s">
        <v>73</v>
      </c>
      <c r="I1687" s="18" t="str">
        <f t="shared" si="1"/>
        <v>Normal Weight</v>
      </c>
    </row>
    <row r="1688" ht="15.75" customHeight="1">
      <c r="A1688" s="18" t="s">
        <v>4233</v>
      </c>
      <c r="B1688" s="18">
        <v>18.34</v>
      </c>
      <c r="C1688" s="18">
        <v>10.01</v>
      </c>
      <c r="D1688" s="18" t="s">
        <v>73</v>
      </c>
      <c r="E1688" s="18" t="s">
        <v>73</v>
      </c>
      <c r="F1688" s="18" t="s">
        <v>73</v>
      </c>
      <c r="G1688" s="20">
        <v>0.0</v>
      </c>
      <c r="H1688" s="18" t="s">
        <v>73</v>
      </c>
      <c r="I1688" s="18" t="str">
        <f t="shared" si="1"/>
        <v>Underweight</v>
      </c>
    </row>
    <row r="1689" ht="15.75" customHeight="1">
      <c r="A1689" s="18" t="s">
        <v>4228</v>
      </c>
      <c r="B1689" s="18">
        <v>34.15</v>
      </c>
      <c r="C1689" s="18">
        <v>5.42</v>
      </c>
      <c r="D1689" s="18" t="s">
        <v>73</v>
      </c>
      <c r="E1689" s="18" t="s">
        <v>73</v>
      </c>
      <c r="F1689" s="18" t="s">
        <v>73</v>
      </c>
      <c r="G1689" s="20">
        <v>0.0</v>
      </c>
      <c r="H1689" s="18" t="s">
        <v>73</v>
      </c>
      <c r="I1689" s="18" t="str">
        <f t="shared" si="1"/>
        <v>Obesity</v>
      </c>
    </row>
    <row r="1690" ht="15.75" customHeight="1">
      <c r="A1690" s="18" t="s">
        <v>4225</v>
      </c>
      <c r="B1690" s="18">
        <v>18.35</v>
      </c>
      <c r="C1690" s="18">
        <v>5.12</v>
      </c>
      <c r="D1690" s="18" t="s">
        <v>73</v>
      </c>
      <c r="E1690" s="18" t="s">
        <v>73</v>
      </c>
      <c r="F1690" s="18" t="s">
        <v>73</v>
      </c>
      <c r="G1690" s="20">
        <v>0.0</v>
      </c>
      <c r="H1690" s="18" t="s">
        <v>73</v>
      </c>
      <c r="I1690" s="18" t="str">
        <f t="shared" si="1"/>
        <v>Underweight</v>
      </c>
    </row>
    <row r="1691" ht="15.75" customHeight="1">
      <c r="A1691" s="18" t="s">
        <v>4221</v>
      </c>
      <c r="B1691" s="18">
        <v>22.13</v>
      </c>
      <c r="C1691" s="18">
        <v>9.2</v>
      </c>
      <c r="D1691" s="18" t="s">
        <v>80</v>
      </c>
      <c r="E1691" s="18" t="s">
        <v>73</v>
      </c>
      <c r="F1691" s="18" t="s">
        <v>73</v>
      </c>
      <c r="G1691" s="20">
        <v>0.0</v>
      </c>
      <c r="H1691" s="18" t="s">
        <v>73</v>
      </c>
      <c r="I1691" s="18" t="str">
        <f t="shared" si="1"/>
        <v>Normal Weight</v>
      </c>
    </row>
    <row r="1692" ht="15.75" customHeight="1">
      <c r="A1692" s="18" t="s">
        <v>4215</v>
      </c>
      <c r="B1692" s="18">
        <v>22.51</v>
      </c>
      <c r="C1692" s="18">
        <v>6.08</v>
      </c>
      <c r="D1692" s="18" t="s">
        <v>80</v>
      </c>
      <c r="E1692" s="18" t="s">
        <v>73</v>
      </c>
      <c r="F1692" s="18" t="s">
        <v>73</v>
      </c>
      <c r="G1692" s="18">
        <v>1.0</v>
      </c>
      <c r="H1692" s="18" t="s">
        <v>73</v>
      </c>
      <c r="I1692" s="18" t="str">
        <f t="shared" si="1"/>
        <v>Normal Weight</v>
      </c>
    </row>
    <row r="1693" ht="15.75" customHeight="1">
      <c r="A1693" s="18" t="s">
        <v>4210</v>
      </c>
      <c r="B1693" s="18">
        <v>31.0</v>
      </c>
      <c r="C1693" s="18">
        <v>4.77</v>
      </c>
      <c r="D1693" s="18" t="s">
        <v>73</v>
      </c>
      <c r="E1693" s="18" t="s">
        <v>73</v>
      </c>
      <c r="F1693" s="18" t="s">
        <v>73</v>
      </c>
      <c r="G1693" s="18">
        <v>1.0</v>
      </c>
      <c r="H1693" s="18" t="s">
        <v>73</v>
      </c>
      <c r="I1693" s="18" t="str">
        <f t="shared" si="1"/>
        <v>Obesity</v>
      </c>
    </row>
    <row r="1694" ht="15.75" customHeight="1">
      <c r="A1694" s="18" t="s">
        <v>4206</v>
      </c>
      <c r="B1694" s="18">
        <v>28.27</v>
      </c>
      <c r="C1694" s="18">
        <v>4.62</v>
      </c>
      <c r="D1694" s="18" t="s">
        <v>73</v>
      </c>
      <c r="E1694" s="18" t="s">
        <v>73</v>
      </c>
      <c r="F1694" s="18" t="s">
        <v>73</v>
      </c>
      <c r="G1694" s="18">
        <v>1.0</v>
      </c>
      <c r="H1694" s="18" t="s">
        <v>73</v>
      </c>
      <c r="I1694" s="18" t="str">
        <f t="shared" si="1"/>
        <v>Overweight</v>
      </c>
    </row>
    <row r="1695" ht="15.75" customHeight="1">
      <c r="A1695" s="18" t="s">
        <v>4199</v>
      </c>
      <c r="B1695" s="18">
        <v>29.92</v>
      </c>
      <c r="C1695" s="18">
        <v>9.07</v>
      </c>
      <c r="D1695" s="18" t="s">
        <v>80</v>
      </c>
      <c r="E1695" s="18" t="s">
        <v>73</v>
      </c>
      <c r="F1695" s="18" t="s">
        <v>73</v>
      </c>
      <c r="G1695" s="18">
        <v>1.0</v>
      </c>
      <c r="H1695" s="18" t="s">
        <v>73</v>
      </c>
      <c r="I1695" s="18" t="str">
        <f t="shared" si="1"/>
        <v>Overweight</v>
      </c>
    </row>
    <row r="1696" ht="15.75" customHeight="1">
      <c r="A1696" s="18" t="s">
        <v>4191</v>
      </c>
      <c r="B1696" s="18">
        <v>25.9</v>
      </c>
      <c r="C1696" s="18">
        <v>9.12</v>
      </c>
      <c r="D1696" s="18" t="s">
        <v>80</v>
      </c>
      <c r="E1696" s="18" t="s">
        <v>73</v>
      </c>
      <c r="F1696" s="18" t="s">
        <v>73</v>
      </c>
      <c r="G1696" s="18">
        <v>1.0</v>
      </c>
      <c r="H1696" s="18" t="s">
        <v>73</v>
      </c>
      <c r="I1696" s="18" t="str">
        <f t="shared" si="1"/>
        <v>Overweight</v>
      </c>
    </row>
    <row r="1697" ht="15.75" customHeight="1">
      <c r="A1697" s="18" t="s">
        <v>4185</v>
      </c>
      <c r="B1697" s="18">
        <v>27.74</v>
      </c>
      <c r="C1697" s="18">
        <v>7.32</v>
      </c>
      <c r="D1697" s="18" t="s">
        <v>80</v>
      </c>
      <c r="E1697" s="18" t="s">
        <v>73</v>
      </c>
      <c r="F1697" s="18" t="s">
        <v>73</v>
      </c>
      <c r="G1697" s="18">
        <v>1.0</v>
      </c>
      <c r="H1697" s="18" t="s">
        <v>73</v>
      </c>
      <c r="I1697" s="18" t="str">
        <f t="shared" si="1"/>
        <v>Overweight</v>
      </c>
    </row>
    <row r="1698" ht="15.75" customHeight="1">
      <c r="A1698" s="18" t="s">
        <v>4180</v>
      </c>
      <c r="B1698" s="18">
        <v>17.26</v>
      </c>
      <c r="C1698" s="18">
        <v>11.73</v>
      </c>
      <c r="D1698" s="18" t="s">
        <v>73</v>
      </c>
      <c r="E1698" s="18" t="s">
        <v>73</v>
      </c>
      <c r="F1698" s="18" t="s">
        <v>73</v>
      </c>
      <c r="G1698" s="18">
        <v>2.0</v>
      </c>
      <c r="H1698" s="18" t="s">
        <v>73</v>
      </c>
      <c r="I1698" s="18" t="str">
        <f t="shared" si="1"/>
        <v>Underweight</v>
      </c>
    </row>
    <row r="1699" ht="15.75" customHeight="1">
      <c r="A1699" s="18" t="s">
        <v>4173</v>
      </c>
      <c r="B1699" s="18">
        <v>19.855</v>
      </c>
      <c r="C1699" s="18">
        <v>6.64</v>
      </c>
      <c r="D1699" s="18" t="s">
        <v>80</v>
      </c>
      <c r="E1699" s="18" t="s">
        <v>73</v>
      </c>
      <c r="F1699" s="18" t="s">
        <v>73</v>
      </c>
      <c r="G1699" s="18">
        <v>1.0</v>
      </c>
      <c r="H1699" s="18" t="s">
        <v>73</v>
      </c>
      <c r="I1699" s="18" t="str">
        <f t="shared" si="1"/>
        <v>Normal Weight</v>
      </c>
    </row>
    <row r="1700" ht="15.75" customHeight="1">
      <c r="A1700" s="18" t="s">
        <v>4165</v>
      </c>
      <c r="B1700" s="18">
        <v>41.69</v>
      </c>
      <c r="C1700" s="18">
        <v>5.78</v>
      </c>
      <c r="D1700" s="18" t="s">
        <v>73</v>
      </c>
      <c r="E1700" s="18" t="s">
        <v>73</v>
      </c>
      <c r="F1700" s="18" t="s">
        <v>73</v>
      </c>
      <c r="G1700" s="20">
        <v>0.0</v>
      </c>
      <c r="H1700" s="18" t="s">
        <v>73</v>
      </c>
      <c r="I1700" s="18" t="str">
        <f t="shared" si="1"/>
        <v>Obesity</v>
      </c>
    </row>
    <row r="1701" ht="15.75" customHeight="1">
      <c r="A1701" s="18" t="s">
        <v>4160</v>
      </c>
      <c r="B1701" s="18">
        <v>16.12</v>
      </c>
      <c r="C1701" s="18">
        <v>10.45</v>
      </c>
      <c r="D1701" s="18" t="s">
        <v>73</v>
      </c>
      <c r="E1701" s="18" t="s">
        <v>73</v>
      </c>
      <c r="F1701" s="18" t="s">
        <v>73</v>
      </c>
      <c r="G1701" s="20">
        <v>0.0</v>
      </c>
      <c r="H1701" s="18" t="s">
        <v>73</v>
      </c>
      <c r="I1701" s="18" t="str">
        <f t="shared" si="1"/>
        <v>Underweight</v>
      </c>
    </row>
    <row r="1702" ht="15.75" customHeight="1">
      <c r="A1702" s="18" t="s">
        <v>4156</v>
      </c>
      <c r="B1702" s="18">
        <v>37.43</v>
      </c>
      <c r="C1702" s="18">
        <v>4.52</v>
      </c>
      <c r="D1702" s="18" t="s">
        <v>73</v>
      </c>
      <c r="E1702" s="18" t="s">
        <v>73</v>
      </c>
      <c r="F1702" s="18" t="s">
        <v>73</v>
      </c>
      <c r="G1702" s="18">
        <v>1.0</v>
      </c>
      <c r="H1702" s="18" t="s">
        <v>73</v>
      </c>
      <c r="I1702" s="18" t="str">
        <f t="shared" si="1"/>
        <v>Obesity</v>
      </c>
    </row>
    <row r="1703" ht="15.75" customHeight="1">
      <c r="A1703" s="18" t="s">
        <v>4153</v>
      </c>
      <c r="B1703" s="18">
        <v>31.065</v>
      </c>
      <c r="C1703" s="18">
        <v>5.71</v>
      </c>
      <c r="D1703" s="18" t="s">
        <v>73</v>
      </c>
      <c r="E1703" s="18" t="s">
        <v>73</v>
      </c>
      <c r="F1703" s="18" t="s">
        <v>73</v>
      </c>
      <c r="G1703" s="20">
        <v>0.0</v>
      </c>
      <c r="H1703" s="18" t="s">
        <v>73</v>
      </c>
      <c r="I1703" s="18" t="str">
        <f t="shared" si="1"/>
        <v>Obesity</v>
      </c>
    </row>
    <row r="1704" ht="15.75" customHeight="1">
      <c r="A1704" s="18" t="s">
        <v>4146</v>
      </c>
      <c r="B1704" s="18">
        <v>25.08</v>
      </c>
      <c r="C1704" s="18">
        <v>4.77</v>
      </c>
      <c r="D1704" s="18" t="s">
        <v>73</v>
      </c>
      <c r="E1704" s="18" t="s">
        <v>73</v>
      </c>
      <c r="F1704" s="18" t="s">
        <v>73</v>
      </c>
      <c r="G1704" s="20">
        <v>0.0</v>
      </c>
      <c r="H1704" s="18" t="s">
        <v>73</v>
      </c>
      <c r="I1704" s="18" t="str">
        <f t="shared" si="1"/>
        <v>Overweight</v>
      </c>
    </row>
    <row r="1705" ht="15.75" customHeight="1">
      <c r="A1705" s="18" t="s">
        <v>4140</v>
      </c>
      <c r="B1705" s="18">
        <v>15.2</v>
      </c>
      <c r="C1705" s="18">
        <v>7.81</v>
      </c>
      <c r="D1705" s="18" t="s">
        <v>80</v>
      </c>
      <c r="E1705" s="18" t="s">
        <v>73</v>
      </c>
      <c r="F1705" s="18" t="s">
        <v>73</v>
      </c>
      <c r="G1705" s="18">
        <v>1.0</v>
      </c>
      <c r="H1705" s="18" t="s">
        <v>73</v>
      </c>
      <c r="I1705" s="18" t="str">
        <f t="shared" si="1"/>
        <v>Underweight</v>
      </c>
    </row>
    <row r="1706" ht="15.75" customHeight="1">
      <c r="A1706" s="18" t="s">
        <v>4135</v>
      </c>
      <c r="B1706" s="18">
        <v>22.34</v>
      </c>
      <c r="C1706" s="18">
        <v>5.19</v>
      </c>
      <c r="D1706" s="18" t="s">
        <v>80</v>
      </c>
      <c r="E1706" s="18" t="s">
        <v>73</v>
      </c>
      <c r="F1706" s="18" t="s">
        <v>73</v>
      </c>
      <c r="G1706" s="20">
        <v>0.0</v>
      </c>
      <c r="H1706" s="18" t="s">
        <v>73</v>
      </c>
      <c r="I1706" s="18" t="str">
        <f t="shared" si="1"/>
        <v>Normal Weight</v>
      </c>
    </row>
    <row r="1707" ht="15.75" customHeight="1">
      <c r="A1707" s="18" t="s">
        <v>4129</v>
      </c>
      <c r="B1707" s="18">
        <v>40.15</v>
      </c>
      <c r="C1707" s="18">
        <v>5.93</v>
      </c>
      <c r="D1707" s="18" t="s">
        <v>73</v>
      </c>
      <c r="E1707" s="18" t="s">
        <v>73</v>
      </c>
      <c r="F1707" s="18" t="s">
        <v>73</v>
      </c>
      <c r="G1707" s="18">
        <v>1.0</v>
      </c>
      <c r="H1707" s="18" t="s">
        <v>73</v>
      </c>
      <c r="I1707" s="18" t="str">
        <f t="shared" si="1"/>
        <v>Obesity</v>
      </c>
    </row>
    <row r="1708" ht="15.75" customHeight="1">
      <c r="A1708" s="18" t="s">
        <v>4124</v>
      </c>
      <c r="B1708" s="18">
        <v>37.73</v>
      </c>
      <c r="C1708" s="18">
        <v>6.29</v>
      </c>
      <c r="D1708" s="18" t="s">
        <v>73</v>
      </c>
      <c r="E1708" s="18" t="s">
        <v>73</v>
      </c>
      <c r="F1708" s="18" t="s">
        <v>73</v>
      </c>
      <c r="G1708" s="18">
        <v>1.0</v>
      </c>
      <c r="H1708" s="18" t="s">
        <v>73</v>
      </c>
      <c r="I1708" s="18" t="str">
        <f t="shared" si="1"/>
        <v>Obesity</v>
      </c>
    </row>
    <row r="1709" ht="15.75" customHeight="1">
      <c r="A1709" s="18" t="s">
        <v>4118</v>
      </c>
      <c r="B1709" s="18">
        <v>25.35</v>
      </c>
      <c r="C1709" s="18">
        <v>4.9</v>
      </c>
      <c r="D1709" s="18" t="s">
        <v>73</v>
      </c>
      <c r="E1709" s="18" t="s">
        <v>73</v>
      </c>
      <c r="F1709" s="18" t="s">
        <v>73</v>
      </c>
      <c r="G1709" s="20">
        <v>0.0</v>
      </c>
      <c r="H1709" s="18" t="s">
        <v>73</v>
      </c>
      <c r="I1709" s="18" t="str">
        <f t="shared" si="1"/>
        <v>Overweight</v>
      </c>
    </row>
    <row r="1710" ht="15.75" customHeight="1">
      <c r="A1710" s="18" t="s">
        <v>4112</v>
      </c>
      <c r="B1710" s="18">
        <v>26.41</v>
      </c>
      <c r="C1710" s="18">
        <v>5.07</v>
      </c>
      <c r="D1710" s="18" t="s">
        <v>80</v>
      </c>
      <c r="E1710" s="18" t="s">
        <v>73</v>
      </c>
      <c r="F1710" s="18" t="s">
        <v>73</v>
      </c>
      <c r="G1710" s="18">
        <v>1.0</v>
      </c>
      <c r="H1710" s="18" t="s">
        <v>73</v>
      </c>
      <c r="I1710" s="18" t="str">
        <f t="shared" si="1"/>
        <v>Overweight</v>
      </c>
    </row>
    <row r="1711" ht="15.75" customHeight="1">
      <c r="A1711" s="18" t="s">
        <v>4108</v>
      </c>
      <c r="B1711" s="18">
        <v>27.6</v>
      </c>
      <c r="C1711" s="18">
        <v>5.33</v>
      </c>
      <c r="D1711" s="18" t="s">
        <v>73</v>
      </c>
      <c r="E1711" s="18" t="s">
        <v>73</v>
      </c>
      <c r="F1711" s="18" t="s">
        <v>73</v>
      </c>
      <c r="G1711" s="18">
        <v>1.0</v>
      </c>
      <c r="H1711" s="18" t="s">
        <v>73</v>
      </c>
      <c r="I1711" s="18" t="str">
        <f t="shared" si="1"/>
        <v>Overweight</v>
      </c>
    </row>
    <row r="1712" ht="15.75" customHeight="1">
      <c r="A1712" s="18" t="s">
        <v>4103</v>
      </c>
      <c r="B1712" s="18">
        <v>33.82</v>
      </c>
      <c r="C1712" s="18">
        <v>8.93</v>
      </c>
      <c r="D1712" s="18" t="s">
        <v>80</v>
      </c>
      <c r="E1712" s="18" t="s">
        <v>73</v>
      </c>
      <c r="F1712" s="18" t="s">
        <v>73</v>
      </c>
      <c r="G1712" s="18">
        <v>1.0</v>
      </c>
      <c r="H1712" s="18" t="s">
        <v>73</v>
      </c>
      <c r="I1712" s="18" t="str">
        <f t="shared" si="1"/>
        <v>Obesity</v>
      </c>
    </row>
    <row r="1713" ht="15.75" customHeight="1">
      <c r="A1713" s="18" t="s">
        <v>4098</v>
      </c>
      <c r="B1713" s="18">
        <v>32.9</v>
      </c>
      <c r="C1713" s="18">
        <v>4.35</v>
      </c>
      <c r="D1713" s="18" t="s">
        <v>73</v>
      </c>
      <c r="E1713" s="18" t="s">
        <v>73</v>
      </c>
      <c r="F1713" s="18" t="s">
        <v>73</v>
      </c>
      <c r="G1713" s="20">
        <v>0.0</v>
      </c>
      <c r="H1713" s="18" t="s">
        <v>73</v>
      </c>
      <c r="I1713" s="18" t="str">
        <f t="shared" si="1"/>
        <v>Obesity</v>
      </c>
    </row>
    <row r="1714" ht="15.75" customHeight="1">
      <c r="A1714" s="18" t="s">
        <v>4095</v>
      </c>
      <c r="B1714" s="18">
        <v>30.875</v>
      </c>
      <c r="C1714" s="18">
        <v>9.54</v>
      </c>
      <c r="D1714" s="18" t="s">
        <v>80</v>
      </c>
      <c r="E1714" s="18" t="s">
        <v>73</v>
      </c>
      <c r="F1714" s="18" t="s">
        <v>73</v>
      </c>
      <c r="G1714" s="18">
        <v>1.0</v>
      </c>
      <c r="H1714" s="18" t="s">
        <v>73</v>
      </c>
      <c r="I1714" s="18" t="str">
        <f t="shared" si="1"/>
        <v>Obesity</v>
      </c>
    </row>
    <row r="1715" ht="15.75" customHeight="1">
      <c r="A1715" s="18" t="s">
        <v>4093</v>
      </c>
      <c r="B1715" s="18">
        <v>32.64</v>
      </c>
      <c r="C1715" s="18">
        <v>5.91</v>
      </c>
      <c r="D1715" s="18" t="s">
        <v>73</v>
      </c>
      <c r="E1715" s="18" t="s">
        <v>73</v>
      </c>
      <c r="F1715" s="18" t="s">
        <v>73</v>
      </c>
      <c r="G1715" s="20">
        <v>0.0</v>
      </c>
      <c r="H1715" s="18" t="s">
        <v>73</v>
      </c>
      <c r="I1715" s="18" t="str">
        <f t="shared" si="1"/>
        <v>Obesity</v>
      </c>
    </row>
    <row r="1716" ht="15.75" customHeight="1">
      <c r="A1716" s="18" t="s">
        <v>4089</v>
      </c>
      <c r="B1716" s="18">
        <v>22.135</v>
      </c>
      <c r="C1716" s="18">
        <v>5.1</v>
      </c>
      <c r="D1716" s="18" t="s">
        <v>73</v>
      </c>
      <c r="E1716" s="18" t="s">
        <v>73</v>
      </c>
      <c r="F1716" s="18" t="s">
        <v>73</v>
      </c>
      <c r="G1716" s="20">
        <v>0.0</v>
      </c>
      <c r="H1716" s="18" t="s">
        <v>73</v>
      </c>
      <c r="I1716" s="18" t="str">
        <f t="shared" si="1"/>
        <v>Normal Weight</v>
      </c>
    </row>
    <row r="1717" ht="15.75" customHeight="1">
      <c r="A1717" s="18" t="s">
        <v>4074</v>
      </c>
      <c r="B1717" s="18">
        <v>16.53</v>
      </c>
      <c r="C1717" s="18">
        <v>5.08</v>
      </c>
      <c r="D1717" s="18" t="s">
        <v>73</v>
      </c>
      <c r="E1717" s="18" t="s">
        <v>73</v>
      </c>
      <c r="F1717" s="18" t="s">
        <v>73</v>
      </c>
      <c r="G1717" s="18">
        <v>2.0</v>
      </c>
      <c r="H1717" s="18" t="s">
        <v>73</v>
      </c>
      <c r="I1717" s="18" t="str">
        <f t="shared" si="1"/>
        <v>Underweight</v>
      </c>
    </row>
    <row r="1718" ht="15.75" customHeight="1">
      <c r="A1718" s="18" t="s">
        <v>4069</v>
      </c>
      <c r="B1718" s="18">
        <v>32.775</v>
      </c>
      <c r="C1718" s="18">
        <v>4.75</v>
      </c>
      <c r="D1718" s="18" t="s">
        <v>73</v>
      </c>
      <c r="E1718" s="18" t="s">
        <v>73</v>
      </c>
      <c r="F1718" s="18" t="s">
        <v>73</v>
      </c>
      <c r="G1718" s="20">
        <v>0.0</v>
      </c>
      <c r="H1718" s="18" t="s">
        <v>73</v>
      </c>
      <c r="I1718" s="18" t="str">
        <f t="shared" si="1"/>
        <v>Obesity</v>
      </c>
    </row>
    <row r="1719" ht="15.75" customHeight="1">
      <c r="A1719" s="18" t="s">
        <v>4064</v>
      </c>
      <c r="B1719" s="18">
        <v>30.9</v>
      </c>
      <c r="C1719" s="18">
        <v>6.05</v>
      </c>
      <c r="D1719" s="18" t="s">
        <v>73</v>
      </c>
      <c r="E1719" s="18" t="s">
        <v>73</v>
      </c>
      <c r="F1719" s="18" t="s">
        <v>73</v>
      </c>
      <c r="G1719" s="18">
        <v>1.0</v>
      </c>
      <c r="H1719" s="18" t="s">
        <v>73</v>
      </c>
      <c r="I1719" s="18" t="str">
        <f t="shared" si="1"/>
        <v>Obesity</v>
      </c>
    </row>
    <row r="1720" ht="15.75" customHeight="1">
      <c r="A1720" s="18" t="s">
        <v>4059</v>
      </c>
      <c r="B1720" s="18">
        <v>15.58</v>
      </c>
      <c r="C1720" s="18">
        <v>11.56</v>
      </c>
      <c r="D1720" s="18" t="s">
        <v>73</v>
      </c>
      <c r="E1720" s="18" t="s">
        <v>73</v>
      </c>
      <c r="F1720" s="18" t="s">
        <v>73</v>
      </c>
      <c r="G1720" s="20">
        <v>0.0</v>
      </c>
      <c r="H1720" s="18" t="s">
        <v>73</v>
      </c>
      <c r="I1720" s="18" t="str">
        <f t="shared" si="1"/>
        <v>Underweight</v>
      </c>
    </row>
    <row r="1721" ht="15.75" customHeight="1">
      <c r="A1721" s="18" t="s">
        <v>4054</v>
      </c>
      <c r="B1721" s="18">
        <v>26.315</v>
      </c>
      <c r="C1721" s="18">
        <v>5.76</v>
      </c>
      <c r="D1721" s="18" t="s">
        <v>73</v>
      </c>
      <c r="E1721" s="18" t="s">
        <v>73</v>
      </c>
      <c r="F1721" s="18" t="s">
        <v>73</v>
      </c>
      <c r="G1721" s="20">
        <v>0.0</v>
      </c>
      <c r="H1721" s="18" t="s">
        <v>73</v>
      </c>
      <c r="I1721" s="18" t="str">
        <f t="shared" si="1"/>
        <v>Overweight</v>
      </c>
    </row>
    <row r="1722" ht="15.75" customHeight="1">
      <c r="A1722" s="18" t="s">
        <v>4053</v>
      </c>
      <c r="B1722" s="18">
        <v>35.61</v>
      </c>
      <c r="C1722" s="18">
        <v>5.65</v>
      </c>
      <c r="D1722" s="18" t="s">
        <v>73</v>
      </c>
      <c r="E1722" s="18" t="s">
        <v>80</v>
      </c>
      <c r="F1722" s="18" t="s">
        <v>73</v>
      </c>
      <c r="G1722" s="18">
        <v>1.0</v>
      </c>
      <c r="H1722" s="18" t="s">
        <v>73</v>
      </c>
      <c r="I1722" s="18" t="str">
        <f t="shared" si="1"/>
        <v>Obesity</v>
      </c>
    </row>
    <row r="1723" ht="15.75" customHeight="1">
      <c r="A1723" s="18" t="s">
        <v>4049</v>
      </c>
      <c r="B1723" s="18">
        <v>37.56</v>
      </c>
      <c r="C1723" s="18">
        <v>5.88</v>
      </c>
      <c r="D1723" s="18" t="s">
        <v>73</v>
      </c>
      <c r="E1723" s="18" t="s">
        <v>80</v>
      </c>
      <c r="F1723" s="18" t="s">
        <v>73</v>
      </c>
      <c r="G1723" s="18">
        <v>1.0</v>
      </c>
      <c r="H1723" s="18" t="s">
        <v>73</v>
      </c>
      <c r="I1723" s="18" t="str">
        <f t="shared" si="1"/>
        <v>Obesity</v>
      </c>
    </row>
    <row r="1724" ht="15.75" customHeight="1">
      <c r="A1724" s="18" t="s">
        <v>4044</v>
      </c>
      <c r="B1724" s="18">
        <v>15.49</v>
      </c>
      <c r="C1724" s="18">
        <v>9.6</v>
      </c>
      <c r="D1724" s="18" t="s">
        <v>73</v>
      </c>
      <c r="E1724" s="18" t="s">
        <v>73</v>
      </c>
      <c r="F1724" s="18" t="s">
        <v>73</v>
      </c>
      <c r="G1724" s="20">
        <v>0.0</v>
      </c>
      <c r="H1724" s="18" t="s">
        <v>73</v>
      </c>
      <c r="I1724" s="18" t="str">
        <f t="shared" si="1"/>
        <v>Underweight</v>
      </c>
    </row>
    <row r="1725" ht="15.75" customHeight="1">
      <c r="A1725" s="18" t="s">
        <v>4039</v>
      </c>
      <c r="B1725" s="18">
        <v>23.48</v>
      </c>
      <c r="C1725" s="18">
        <v>6.24</v>
      </c>
      <c r="D1725" s="18" t="s">
        <v>73</v>
      </c>
      <c r="E1725" s="18" t="s">
        <v>73</v>
      </c>
      <c r="F1725" s="18" t="s">
        <v>73</v>
      </c>
      <c r="G1725" s="18">
        <v>1.0</v>
      </c>
      <c r="H1725" s="18" t="s">
        <v>73</v>
      </c>
      <c r="I1725" s="18" t="str">
        <f t="shared" si="1"/>
        <v>Normal Weight</v>
      </c>
    </row>
    <row r="1726" ht="15.75" customHeight="1">
      <c r="A1726" s="18" t="s">
        <v>4037</v>
      </c>
      <c r="B1726" s="18">
        <v>30.02</v>
      </c>
      <c r="C1726" s="18">
        <v>7.63</v>
      </c>
      <c r="D1726" s="18" t="s">
        <v>80</v>
      </c>
      <c r="E1726" s="18" t="s">
        <v>73</v>
      </c>
      <c r="F1726" s="18" t="s">
        <v>73</v>
      </c>
      <c r="G1726" s="18">
        <v>1.0</v>
      </c>
      <c r="H1726" s="18" t="s">
        <v>73</v>
      </c>
      <c r="I1726" s="18" t="str">
        <f t="shared" si="1"/>
        <v>Obesity</v>
      </c>
    </row>
    <row r="1727" ht="15.75" customHeight="1">
      <c r="A1727" s="18" t="s">
        <v>4033</v>
      </c>
      <c r="B1727" s="18">
        <v>26.885</v>
      </c>
      <c r="C1727" s="18">
        <v>8.66</v>
      </c>
      <c r="D1727" s="18" t="s">
        <v>80</v>
      </c>
      <c r="E1727" s="18" t="s">
        <v>73</v>
      </c>
      <c r="F1727" s="18" t="s">
        <v>73</v>
      </c>
      <c r="G1727" s="18">
        <v>1.0</v>
      </c>
      <c r="H1727" s="18" t="s">
        <v>73</v>
      </c>
      <c r="I1727" s="18" t="str">
        <f t="shared" si="1"/>
        <v>Overweight</v>
      </c>
    </row>
    <row r="1728" ht="15.75" customHeight="1">
      <c r="A1728" s="18" t="s">
        <v>4029</v>
      </c>
      <c r="B1728" s="18">
        <v>25.84</v>
      </c>
      <c r="C1728" s="18">
        <v>8.55</v>
      </c>
      <c r="D1728" s="18" t="s">
        <v>80</v>
      </c>
      <c r="E1728" s="18" t="s">
        <v>73</v>
      </c>
      <c r="F1728" s="18" t="s">
        <v>73</v>
      </c>
      <c r="G1728" s="18">
        <v>1.0</v>
      </c>
      <c r="H1728" s="18" t="s">
        <v>73</v>
      </c>
      <c r="I1728" s="18" t="str">
        <f t="shared" si="1"/>
        <v>Overweight</v>
      </c>
    </row>
    <row r="1729" ht="15.75" customHeight="1">
      <c r="A1729" s="18" t="s">
        <v>4024</v>
      </c>
      <c r="B1729" s="18">
        <v>27.455</v>
      </c>
      <c r="C1729" s="18">
        <v>4.54</v>
      </c>
      <c r="D1729" s="18" t="s">
        <v>73</v>
      </c>
      <c r="E1729" s="18" t="s">
        <v>73</v>
      </c>
      <c r="F1729" s="18" t="s">
        <v>73</v>
      </c>
      <c r="G1729" s="20">
        <v>0.0</v>
      </c>
      <c r="H1729" s="18" t="s">
        <v>73</v>
      </c>
      <c r="I1729" s="18" t="str">
        <f t="shared" si="1"/>
        <v>Overweight</v>
      </c>
    </row>
    <row r="1730" ht="15.75" customHeight="1">
      <c r="A1730" s="18" t="s">
        <v>4015</v>
      </c>
      <c r="B1730" s="18">
        <v>24.605</v>
      </c>
      <c r="C1730" s="18">
        <v>5.7</v>
      </c>
      <c r="D1730" s="18" t="s">
        <v>73</v>
      </c>
      <c r="E1730" s="18" t="s">
        <v>73</v>
      </c>
      <c r="F1730" s="18" t="s">
        <v>73</v>
      </c>
      <c r="G1730" s="20">
        <v>0.0</v>
      </c>
      <c r="H1730" s="18" t="s">
        <v>73</v>
      </c>
      <c r="I1730" s="18" t="str">
        <f t="shared" si="1"/>
        <v>Normal Weight</v>
      </c>
    </row>
    <row r="1731" ht="15.75" customHeight="1">
      <c r="A1731" s="18" t="s">
        <v>4011</v>
      </c>
      <c r="B1731" s="18">
        <v>30.8</v>
      </c>
      <c r="C1731" s="18">
        <v>5.07</v>
      </c>
      <c r="D1731" s="18" t="s">
        <v>73</v>
      </c>
      <c r="E1731" s="18" t="s">
        <v>73</v>
      </c>
      <c r="F1731" s="18" t="s">
        <v>73</v>
      </c>
      <c r="G1731" s="20">
        <v>0.0</v>
      </c>
      <c r="H1731" s="18" t="s">
        <v>73</v>
      </c>
      <c r="I1731" s="18" t="str">
        <f t="shared" si="1"/>
        <v>Obesity</v>
      </c>
    </row>
    <row r="1732" ht="15.75" customHeight="1">
      <c r="A1732" s="18" t="s">
        <v>4006</v>
      </c>
      <c r="B1732" s="18">
        <v>34.8</v>
      </c>
      <c r="C1732" s="18">
        <v>4.38</v>
      </c>
      <c r="D1732" s="18" t="s">
        <v>73</v>
      </c>
      <c r="E1732" s="18" t="s">
        <v>73</v>
      </c>
      <c r="F1732" s="18" t="s">
        <v>73</v>
      </c>
      <c r="G1732" s="18">
        <v>1.0</v>
      </c>
      <c r="H1732" s="18" t="s">
        <v>73</v>
      </c>
      <c r="I1732" s="18" t="str">
        <f t="shared" si="1"/>
        <v>Obesity</v>
      </c>
    </row>
    <row r="1733" ht="15.75" customHeight="1">
      <c r="A1733" s="18" t="s">
        <v>4001</v>
      </c>
      <c r="B1733" s="18">
        <v>34.21</v>
      </c>
      <c r="C1733" s="18">
        <v>4.54</v>
      </c>
      <c r="D1733" s="18" t="s">
        <v>73</v>
      </c>
      <c r="E1733" s="18" t="s">
        <v>73</v>
      </c>
      <c r="F1733" s="18" t="s">
        <v>73</v>
      </c>
      <c r="G1733" s="18">
        <v>1.0</v>
      </c>
      <c r="H1733" s="18" t="s">
        <v>73</v>
      </c>
      <c r="I1733" s="18" t="str">
        <f t="shared" si="1"/>
        <v>Obesity</v>
      </c>
    </row>
    <row r="1734" ht="15.75" customHeight="1">
      <c r="A1734" s="18" t="s">
        <v>3999</v>
      </c>
      <c r="B1734" s="18">
        <v>31.0</v>
      </c>
      <c r="C1734" s="18">
        <v>5.38</v>
      </c>
      <c r="D1734" s="18" t="s">
        <v>73</v>
      </c>
      <c r="E1734" s="18" t="s">
        <v>73</v>
      </c>
      <c r="F1734" s="18" t="s">
        <v>73</v>
      </c>
      <c r="G1734" s="18">
        <v>1.0</v>
      </c>
      <c r="H1734" s="18" t="s">
        <v>73</v>
      </c>
      <c r="I1734" s="18" t="str">
        <f t="shared" si="1"/>
        <v>Obesity</v>
      </c>
    </row>
    <row r="1735" ht="15.75" customHeight="1">
      <c r="A1735" s="18" t="s">
        <v>3995</v>
      </c>
      <c r="B1735" s="18">
        <v>26.125</v>
      </c>
      <c r="C1735" s="18">
        <v>5.55</v>
      </c>
      <c r="D1735" s="18" t="s">
        <v>73</v>
      </c>
      <c r="E1735" s="18" t="s">
        <v>73</v>
      </c>
      <c r="F1735" s="18" t="s">
        <v>73</v>
      </c>
      <c r="G1735" s="18">
        <v>1.0</v>
      </c>
      <c r="H1735" s="18" t="s">
        <v>73</v>
      </c>
      <c r="I1735" s="18" t="str">
        <f t="shared" si="1"/>
        <v>Overweight</v>
      </c>
    </row>
    <row r="1736" ht="15.75" customHeight="1">
      <c r="A1736" s="18" t="s">
        <v>3992</v>
      </c>
      <c r="B1736" s="18">
        <v>30.13</v>
      </c>
      <c r="C1736" s="18">
        <v>4.03</v>
      </c>
      <c r="D1736" s="18" t="s">
        <v>80</v>
      </c>
      <c r="E1736" s="18" t="s">
        <v>73</v>
      </c>
      <c r="F1736" s="18" t="s">
        <v>73</v>
      </c>
      <c r="G1736" s="18">
        <v>1.0</v>
      </c>
      <c r="H1736" s="18" t="s">
        <v>73</v>
      </c>
      <c r="I1736" s="18" t="str">
        <f t="shared" si="1"/>
        <v>Obesity</v>
      </c>
    </row>
    <row r="1737" ht="15.75" customHeight="1">
      <c r="A1737" s="18" t="s">
        <v>3988</v>
      </c>
      <c r="B1737" s="18">
        <v>34.19</v>
      </c>
      <c r="C1737" s="18">
        <v>4.19</v>
      </c>
      <c r="D1737" s="18" t="s">
        <v>73</v>
      </c>
      <c r="E1737" s="18" t="s">
        <v>73</v>
      </c>
      <c r="F1737" s="18" t="s">
        <v>73</v>
      </c>
      <c r="G1737" s="20">
        <v>0.0</v>
      </c>
      <c r="H1737" s="18" t="s">
        <v>73</v>
      </c>
      <c r="I1737" s="18" t="str">
        <f t="shared" si="1"/>
        <v>Obesity</v>
      </c>
    </row>
    <row r="1738" ht="15.75" customHeight="1">
      <c r="A1738" s="18" t="s">
        <v>3983</v>
      </c>
      <c r="B1738" s="18">
        <v>22.515</v>
      </c>
      <c r="C1738" s="18">
        <v>4.37</v>
      </c>
      <c r="D1738" s="18" t="s">
        <v>73</v>
      </c>
      <c r="E1738" s="18" t="s">
        <v>73</v>
      </c>
      <c r="F1738" s="18" t="s">
        <v>184</v>
      </c>
      <c r="G1738" s="18">
        <v>1.0</v>
      </c>
      <c r="H1738" s="18" t="s">
        <v>73</v>
      </c>
      <c r="I1738" s="18" t="str">
        <f t="shared" si="1"/>
        <v>Normal Weight</v>
      </c>
    </row>
    <row r="1739" ht="15.75" customHeight="1">
      <c r="A1739" s="18" t="s">
        <v>3981</v>
      </c>
      <c r="B1739" s="18">
        <v>18.24</v>
      </c>
      <c r="C1739" s="18">
        <v>5.31</v>
      </c>
      <c r="D1739" s="18" t="s">
        <v>80</v>
      </c>
      <c r="E1739" s="18" t="s">
        <v>73</v>
      </c>
      <c r="F1739" s="18" t="s">
        <v>184</v>
      </c>
      <c r="G1739" s="18">
        <v>1.0</v>
      </c>
      <c r="H1739" s="18" t="s">
        <v>73</v>
      </c>
      <c r="I1739" s="18" t="str">
        <f t="shared" si="1"/>
        <v>Underweight</v>
      </c>
    </row>
    <row r="1740" ht="15.75" customHeight="1">
      <c r="A1740" s="18" t="s">
        <v>3975</v>
      </c>
      <c r="B1740" s="18">
        <v>37.28</v>
      </c>
      <c r="C1740" s="18">
        <v>4.66</v>
      </c>
      <c r="D1740" s="18" t="s">
        <v>73</v>
      </c>
      <c r="E1740" s="18" t="s">
        <v>80</v>
      </c>
      <c r="F1740" s="18" t="s">
        <v>73</v>
      </c>
      <c r="G1740" s="18">
        <v>1.0</v>
      </c>
      <c r="H1740" s="18" t="s">
        <v>73</v>
      </c>
      <c r="I1740" s="18" t="str">
        <f t="shared" si="1"/>
        <v>Obesity</v>
      </c>
    </row>
    <row r="1741" ht="15.75" customHeight="1">
      <c r="A1741" s="18" t="s">
        <v>3972</v>
      </c>
      <c r="B1741" s="18">
        <v>18.2</v>
      </c>
      <c r="C1741" s="18">
        <v>6.19</v>
      </c>
      <c r="D1741" s="18" t="s">
        <v>73</v>
      </c>
      <c r="E1741" s="18" t="s">
        <v>73</v>
      </c>
      <c r="F1741" s="18" t="s">
        <v>184</v>
      </c>
      <c r="G1741" s="18">
        <v>1.0</v>
      </c>
      <c r="H1741" s="18" t="s">
        <v>73</v>
      </c>
      <c r="I1741" s="18" t="str">
        <f t="shared" si="1"/>
        <v>Underweight</v>
      </c>
    </row>
    <row r="1742" ht="15.75" customHeight="1">
      <c r="A1742" s="18" t="s">
        <v>3969</v>
      </c>
      <c r="B1742" s="18">
        <v>20.53</v>
      </c>
      <c r="C1742" s="18">
        <v>4.86</v>
      </c>
      <c r="D1742" s="18" t="s">
        <v>73</v>
      </c>
      <c r="E1742" s="18" t="s">
        <v>73</v>
      </c>
      <c r="F1742" s="18" t="s">
        <v>73</v>
      </c>
      <c r="G1742" s="18">
        <v>1.0</v>
      </c>
      <c r="H1742" s="18" t="s">
        <v>73</v>
      </c>
      <c r="I1742" s="18" t="str">
        <f t="shared" si="1"/>
        <v>Normal Weight</v>
      </c>
    </row>
    <row r="1743" ht="15.75" customHeight="1">
      <c r="A1743" s="18" t="s">
        <v>3963</v>
      </c>
      <c r="B1743" s="18">
        <v>23.79</v>
      </c>
      <c r="C1743" s="18">
        <v>4.74</v>
      </c>
      <c r="D1743" s="18" t="s">
        <v>73</v>
      </c>
      <c r="E1743" s="18" t="s">
        <v>73</v>
      </c>
      <c r="F1743" s="18" t="s">
        <v>73</v>
      </c>
      <c r="G1743" s="20">
        <v>0.0</v>
      </c>
      <c r="H1743" s="18" t="s">
        <v>73</v>
      </c>
      <c r="I1743" s="18" t="str">
        <f t="shared" si="1"/>
        <v>Normal Weight</v>
      </c>
    </row>
    <row r="1744" ht="15.75" customHeight="1">
      <c r="A1744" s="18" t="s">
        <v>3959</v>
      </c>
      <c r="B1744" s="18">
        <v>29.8</v>
      </c>
      <c r="C1744" s="18">
        <v>6.03</v>
      </c>
      <c r="D1744" s="18" t="s">
        <v>73</v>
      </c>
      <c r="E1744" s="18" t="s">
        <v>73</v>
      </c>
      <c r="F1744" s="18" t="s">
        <v>73</v>
      </c>
      <c r="G1744" s="20">
        <v>0.0</v>
      </c>
      <c r="H1744" s="18" t="s">
        <v>73</v>
      </c>
      <c r="I1744" s="18" t="str">
        <f t="shared" si="1"/>
        <v>Overweight</v>
      </c>
    </row>
    <row r="1745" ht="15.75" customHeight="1">
      <c r="A1745" s="18" t="s">
        <v>3955</v>
      </c>
      <c r="B1745" s="18">
        <v>31.54</v>
      </c>
      <c r="C1745" s="18">
        <v>4.71</v>
      </c>
      <c r="D1745" s="18" t="s">
        <v>73</v>
      </c>
      <c r="E1745" s="18" t="s">
        <v>73</v>
      </c>
      <c r="F1745" s="18" t="s">
        <v>73</v>
      </c>
      <c r="G1745" s="20">
        <v>0.0</v>
      </c>
      <c r="H1745" s="18" t="s">
        <v>73</v>
      </c>
      <c r="I1745" s="18" t="str">
        <f t="shared" si="1"/>
        <v>Obesity</v>
      </c>
    </row>
    <row r="1746" ht="15.75" customHeight="1">
      <c r="A1746" s="18" t="s">
        <v>3950</v>
      </c>
      <c r="B1746" s="18">
        <v>20.82</v>
      </c>
      <c r="C1746" s="18">
        <v>5.55</v>
      </c>
      <c r="D1746" s="18" t="s">
        <v>73</v>
      </c>
      <c r="E1746" s="18" t="s">
        <v>73</v>
      </c>
      <c r="F1746" s="18" t="s">
        <v>73</v>
      </c>
      <c r="G1746" s="18">
        <v>1.0</v>
      </c>
      <c r="H1746" s="18" t="s">
        <v>73</v>
      </c>
      <c r="I1746" s="18" t="str">
        <f t="shared" si="1"/>
        <v>Normal Weight</v>
      </c>
    </row>
    <row r="1747" ht="15.75" customHeight="1">
      <c r="A1747" s="18" t="s">
        <v>3946</v>
      </c>
      <c r="B1747" s="18">
        <v>38.83</v>
      </c>
      <c r="C1747" s="18">
        <v>4.78</v>
      </c>
      <c r="D1747" s="18" t="s">
        <v>73</v>
      </c>
      <c r="E1747" s="18" t="s">
        <v>73</v>
      </c>
      <c r="F1747" s="18" t="s">
        <v>184</v>
      </c>
      <c r="G1747" s="18">
        <v>1.0</v>
      </c>
      <c r="H1747" s="18" t="s">
        <v>73</v>
      </c>
      <c r="I1747" s="18" t="str">
        <f t="shared" si="1"/>
        <v>Obesity</v>
      </c>
    </row>
    <row r="1748" ht="15.75" customHeight="1">
      <c r="A1748" s="18" t="s">
        <v>3942</v>
      </c>
      <c r="B1748" s="18">
        <v>23.44</v>
      </c>
      <c r="C1748" s="18">
        <v>4.65</v>
      </c>
      <c r="D1748" s="18" t="s">
        <v>80</v>
      </c>
      <c r="E1748" s="18" t="s">
        <v>73</v>
      </c>
      <c r="F1748" s="18" t="s">
        <v>73</v>
      </c>
      <c r="G1748" s="18">
        <v>1.0</v>
      </c>
      <c r="H1748" s="18" t="s">
        <v>73</v>
      </c>
      <c r="I1748" s="18" t="str">
        <f t="shared" si="1"/>
        <v>Normal Weight</v>
      </c>
    </row>
    <row r="1749" ht="15.75" customHeight="1">
      <c r="A1749" s="18" t="s">
        <v>3938</v>
      </c>
      <c r="B1749" s="18">
        <v>24.13</v>
      </c>
      <c r="C1749" s="18">
        <v>5.2</v>
      </c>
      <c r="D1749" s="18" t="s">
        <v>73</v>
      </c>
      <c r="E1749" s="18" t="s">
        <v>73</v>
      </c>
      <c r="F1749" s="18" t="s">
        <v>73</v>
      </c>
      <c r="G1749" s="18">
        <v>1.0</v>
      </c>
      <c r="H1749" s="18" t="s">
        <v>73</v>
      </c>
      <c r="I1749" s="18" t="str">
        <f t="shared" si="1"/>
        <v>Normal Weight</v>
      </c>
    </row>
    <row r="1750" ht="15.75" customHeight="1">
      <c r="A1750" s="18" t="s">
        <v>3931</v>
      </c>
      <c r="B1750" s="18">
        <v>42.13</v>
      </c>
      <c r="C1750" s="18">
        <v>4.54</v>
      </c>
      <c r="D1750" s="18" t="s">
        <v>80</v>
      </c>
      <c r="E1750" s="18" t="s">
        <v>73</v>
      </c>
      <c r="F1750" s="18" t="s">
        <v>73</v>
      </c>
      <c r="G1750" s="18">
        <v>1.0</v>
      </c>
      <c r="H1750" s="18" t="s">
        <v>73</v>
      </c>
      <c r="I1750" s="18" t="str">
        <f t="shared" si="1"/>
        <v>Obesity</v>
      </c>
    </row>
    <row r="1751" ht="15.75" customHeight="1">
      <c r="A1751" s="18" t="s">
        <v>3925</v>
      </c>
      <c r="B1751" s="18">
        <v>17.86</v>
      </c>
      <c r="C1751" s="18">
        <v>4.11</v>
      </c>
      <c r="D1751" s="18" t="s">
        <v>73</v>
      </c>
      <c r="E1751" s="18" t="s">
        <v>73</v>
      </c>
      <c r="F1751" s="18" t="s">
        <v>73</v>
      </c>
      <c r="G1751" s="18">
        <v>1.0</v>
      </c>
      <c r="H1751" s="18" t="s">
        <v>73</v>
      </c>
      <c r="I1751" s="18" t="str">
        <f t="shared" si="1"/>
        <v>Underweight</v>
      </c>
    </row>
    <row r="1752" ht="15.75" customHeight="1">
      <c r="A1752" s="18" t="s">
        <v>3918</v>
      </c>
      <c r="B1752" s="18">
        <v>32.78</v>
      </c>
      <c r="C1752" s="18">
        <v>4.63</v>
      </c>
      <c r="D1752" s="18" t="s">
        <v>73</v>
      </c>
      <c r="E1752" s="18" t="s">
        <v>73</v>
      </c>
      <c r="F1752" s="18" t="s">
        <v>73</v>
      </c>
      <c r="G1752" s="20">
        <v>0.0</v>
      </c>
      <c r="H1752" s="18" t="s">
        <v>73</v>
      </c>
      <c r="I1752" s="18" t="str">
        <f t="shared" si="1"/>
        <v>Obesity</v>
      </c>
    </row>
    <row r="1753" ht="15.75" customHeight="1">
      <c r="A1753" s="18" t="s">
        <v>3912</v>
      </c>
      <c r="B1753" s="18">
        <v>23.9</v>
      </c>
      <c r="C1753" s="18">
        <v>6.06</v>
      </c>
      <c r="D1753" s="18" t="s">
        <v>80</v>
      </c>
      <c r="E1753" s="18" t="s">
        <v>73</v>
      </c>
      <c r="F1753" s="18" t="s">
        <v>184</v>
      </c>
      <c r="G1753" s="18">
        <v>1.0</v>
      </c>
      <c r="H1753" s="18" t="s">
        <v>73</v>
      </c>
      <c r="I1753" s="18" t="str">
        <f t="shared" si="1"/>
        <v>Normal Weight</v>
      </c>
    </row>
    <row r="1754" ht="15.75" customHeight="1">
      <c r="A1754" s="18" t="s">
        <v>3909</v>
      </c>
      <c r="B1754" s="18">
        <v>15.47</v>
      </c>
      <c r="C1754" s="18">
        <v>8.43</v>
      </c>
      <c r="D1754" s="18" t="s">
        <v>73</v>
      </c>
      <c r="E1754" s="18" t="s">
        <v>73</v>
      </c>
      <c r="F1754" s="18" t="s">
        <v>73</v>
      </c>
      <c r="G1754" s="20">
        <v>0.0</v>
      </c>
      <c r="H1754" s="18" t="s">
        <v>73</v>
      </c>
      <c r="I1754" s="18" t="str">
        <f t="shared" si="1"/>
        <v>Underweight</v>
      </c>
    </row>
    <row r="1755" ht="15.75" customHeight="1">
      <c r="A1755" s="18" t="s">
        <v>3903</v>
      </c>
      <c r="B1755" s="18">
        <v>28.54</v>
      </c>
      <c r="C1755" s="18">
        <v>5.51</v>
      </c>
      <c r="D1755" s="18" t="s">
        <v>73</v>
      </c>
      <c r="E1755" s="18" t="s">
        <v>73</v>
      </c>
      <c r="F1755" s="18" t="s">
        <v>184</v>
      </c>
      <c r="G1755" s="18">
        <v>1.0</v>
      </c>
      <c r="H1755" s="18" t="s">
        <v>73</v>
      </c>
      <c r="I1755" s="18" t="str">
        <f t="shared" si="1"/>
        <v>Overweight</v>
      </c>
    </row>
    <row r="1756" ht="15.75" customHeight="1">
      <c r="A1756" s="18" t="s">
        <v>3899</v>
      </c>
      <c r="B1756" s="18">
        <v>18.54</v>
      </c>
      <c r="C1756" s="18">
        <v>4.95</v>
      </c>
      <c r="D1756" s="18" t="s">
        <v>73</v>
      </c>
      <c r="E1756" s="18" t="s">
        <v>73</v>
      </c>
      <c r="F1756" s="18" t="s">
        <v>73</v>
      </c>
      <c r="G1756" s="20">
        <v>0.0</v>
      </c>
      <c r="H1756" s="18" t="s">
        <v>73</v>
      </c>
      <c r="I1756" s="18" t="str">
        <f t="shared" si="1"/>
        <v>Normal Weight</v>
      </c>
    </row>
    <row r="1757" ht="15.75" customHeight="1">
      <c r="A1757" s="18" t="s">
        <v>3895</v>
      </c>
      <c r="B1757" s="18">
        <v>32.18</v>
      </c>
      <c r="C1757" s="18">
        <v>6.44</v>
      </c>
      <c r="D1757" s="18" t="s">
        <v>80</v>
      </c>
      <c r="E1757" s="18" t="s">
        <v>73</v>
      </c>
      <c r="F1757" s="18" t="s">
        <v>184</v>
      </c>
      <c r="G1757" s="18">
        <v>1.0</v>
      </c>
      <c r="H1757" s="18" t="s">
        <v>73</v>
      </c>
      <c r="I1757" s="18" t="str">
        <f t="shared" si="1"/>
        <v>Obesity</v>
      </c>
    </row>
    <row r="1758" ht="15.75" customHeight="1">
      <c r="A1758" s="18" t="s">
        <v>3892</v>
      </c>
      <c r="B1758" s="18">
        <v>37.38</v>
      </c>
      <c r="C1758" s="18">
        <v>6.05</v>
      </c>
      <c r="D1758" s="18" t="s">
        <v>80</v>
      </c>
      <c r="E1758" s="18" t="s">
        <v>73</v>
      </c>
      <c r="F1758" s="18" t="s">
        <v>73</v>
      </c>
      <c r="G1758" s="20">
        <v>0.0</v>
      </c>
      <c r="H1758" s="18" t="s">
        <v>73</v>
      </c>
      <c r="I1758" s="18" t="str">
        <f t="shared" si="1"/>
        <v>Obesity</v>
      </c>
    </row>
    <row r="1759" ht="15.75" customHeight="1">
      <c r="A1759" s="18" t="s">
        <v>3890</v>
      </c>
      <c r="B1759" s="18">
        <v>31.12</v>
      </c>
      <c r="C1759" s="18">
        <v>4.76</v>
      </c>
      <c r="D1759" s="18" t="s">
        <v>80</v>
      </c>
      <c r="E1759" s="18" t="s">
        <v>73</v>
      </c>
      <c r="F1759" s="18" t="s">
        <v>184</v>
      </c>
      <c r="G1759" s="18">
        <v>1.0</v>
      </c>
      <c r="H1759" s="18" t="s">
        <v>73</v>
      </c>
      <c r="I1759" s="18" t="str">
        <f t="shared" si="1"/>
        <v>Obesity</v>
      </c>
    </row>
    <row r="1760" ht="15.75" customHeight="1">
      <c r="A1760" s="18" t="s">
        <v>3887</v>
      </c>
      <c r="B1760" s="18">
        <v>22.01</v>
      </c>
      <c r="C1760" s="18">
        <v>6.72</v>
      </c>
      <c r="D1760" s="18" t="s">
        <v>80</v>
      </c>
      <c r="E1760" s="18" t="s">
        <v>73</v>
      </c>
      <c r="F1760" s="18" t="s">
        <v>73</v>
      </c>
      <c r="G1760" s="18">
        <v>1.0</v>
      </c>
      <c r="H1760" s="18" t="s">
        <v>73</v>
      </c>
      <c r="I1760" s="18" t="str">
        <f t="shared" si="1"/>
        <v>Normal Weight</v>
      </c>
    </row>
    <row r="1761" ht="15.75" customHeight="1">
      <c r="A1761" s="18" t="s">
        <v>3884</v>
      </c>
      <c r="B1761" s="18">
        <v>27.645</v>
      </c>
      <c r="C1761" s="18">
        <v>5.7</v>
      </c>
      <c r="D1761" s="18" t="s">
        <v>73</v>
      </c>
      <c r="E1761" s="18" t="s">
        <v>73</v>
      </c>
      <c r="F1761" s="18" t="s">
        <v>73</v>
      </c>
      <c r="G1761" s="20">
        <v>0.0</v>
      </c>
      <c r="H1761" s="18" t="s">
        <v>73</v>
      </c>
      <c r="I1761" s="18" t="str">
        <f t="shared" si="1"/>
        <v>Overweight</v>
      </c>
    </row>
    <row r="1762" ht="15.75" customHeight="1">
      <c r="A1762" s="18" t="s">
        <v>3880</v>
      </c>
      <c r="B1762" s="18">
        <v>29.64</v>
      </c>
      <c r="C1762" s="18">
        <v>5.31</v>
      </c>
      <c r="D1762" s="18" t="s">
        <v>80</v>
      </c>
      <c r="E1762" s="18" t="s">
        <v>73</v>
      </c>
      <c r="F1762" s="18" t="s">
        <v>73</v>
      </c>
      <c r="G1762" s="20">
        <v>0.0</v>
      </c>
      <c r="H1762" s="18" t="s">
        <v>73</v>
      </c>
      <c r="I1762" s="18" t="str">
        <f t="shared" si="1"/>
        <v>Overweight</v>
      </c>
    </row>
    <row r="1763" ht="15.75" customHeight="1">
      <c r="A1763" s="18" t="s">
        <v>3876</v>
      </c>
      <c r="B1763" s="18">
        <v>33.7</v>
      </c>
      <c r="C1763" s="18">
        <v>4.32</v>
      </c>
      <c r="D1763" s="18" t="s">
        <v>80</v>
      </c>
      <c r="E1763" s="18" t="s">
        <v>73</v>
      </c>
      <c r="F1763" s="18" t="s">
        <v>73</v>
      </c>
      <c r="G1763" s="18">
        <v>1.0</v>
      </c>
      <c r="H1763" s="18" t="s">
        <v>73</v>
      </c>
      <c r="I1763" s="18" t="str">
        <f t="shared" si="1"/>
        <v>Obesity</v>
      </c>
    </row>
    <row r="1764" ht="15.75" customHeight="1">
      <c r="A1764" s="18" t="s">
        <v>3872</v>
      </c>
      <c r="B1764" s="18">
        <v>27.5</v>
      </c>
      <c r="C1764" s="18">
        <v>4.23</v>
      </c>
      <c r="D1764" s="18" t="s">
        <v>80</v>
      </c>
      <c r="E1764" s="18" t="s">
        <v>73</v>
      </c>
      <c r="F1764" s="18" t="s">
        <v>73</v>
      </c>
      <c r="G1764" s="18">
        <v>1.0</v>
      </c>
      <c r="H1764" s="18" t="s">
        <v>73</v>
      </c>
      <c r="I1764" s="18" t="str">
        <f t="shared" si="1"/>
        <v>Overweight</v>
      </c>
    </row>
    <row r="1765" ht="15.75" customHeight="1">
      <c r="A1765" s="18" t="s">
        <v>3869</v>
      </c>
      <c r="B1765" s="18">
        <v>16.12</v>
      </c>
      <c r="C1765" s="18">
        <v>6.09</v>
      </c>
      <c r="D1765" s="18" t="s">
        <v>73</v>
      </c>
      <c r="E1765" s="18" t="s">
        <v>73</v>
      </c>
      <c r="F1765" s="18" t="s">
        <v>73</v>
      </c>
      <c r="G1765" s="20">
        <v>0.0</v>
      </c>
      <c r="H1765" s="18" t="s">
        <v>73</v>
      </c>
      <c r="I1765" s="18" t="str">
        <f t="shared" si="1"/>
        <v>Underweight</v>
      </c>
    </row>
    <row r="1766" ht="15.75" customHeight="1">
      <c r="A1766" s="18" t="s">
        <v>3865</v>
      </c>
      <c r="B1766" s="18">
        <v>26.73</v>
      </c>
      <c r="C1766" s="18">
        <v>4.74</v>
      </c>
      <c r="D1766" s="18" t="s">
        <v>80</v>
      </c>
      <c r="E1766" s="18" t="s">
        <v>73</v>
      </c>
      <c r="F1766" s="18" t="s">
        <v>73</v>
      </c>
      <c r="G1766" s="18">
        <v>1.0</v>
      </c>
      <c r="H1766" s="18" t="s">
        <v>73</v>
      </c>
      <c r="I1766" s="18" t="str">
        <f t="shared" si="1"/>
        <v>Overweight</v>
      </c>
    </row>
    <row r="1767" ht="15.75" customHeight="1">
      <c r="A1767" s="18" t="s">
        <v>3860</v>
      </c>
      <c r="B1767" s="18">
        <v>37.25</v>
      </c>
      <c r="C1767" s="18">
        <v>6.23</v>
      </c>
      <c r="D1767" s="18" t="s">
        <v>80</v>
      </c>
      <c r="E1767" s="18" t="s">
        <v>73</v>
      </c>
      <c r="F1767" s="18" t="s">
        <v>73</v>
      </c>
      <c r="G1767" s="20">
        <v>0.0</v>
      </c>
      <c r="H1767" s="18" t="s">
        <v>73</v>
      </c>
      <c r="I1767" s="18" t="str">
        <f t="shared" si="1"/>
        <v>Obesity</v>
      </c>
    </row>
    <row r="1768" ht="15.75" customHeight="1">
      <c r="A1768" s="18" t="s">
        <v>3856</v>
      </c>
      <c r="B1768" s="18">
        <v>23.56</v>
      </c>
      <c r="C1768" s="18">
        <v>5.45</v>
      </c>
      <c r="D1768" s="18" t="s">
        <v>80</v>
      </c>
      <c r="E1768" s="18" t="s">
        <v>73</v>
      </c>
      <c r="F1768" s="18" t="s">
        <v>73</v>
      </c>
      <c r="G1768" s="18">
        <v>1.0</v>
      </c>
      <c r="H1768" s="18" t="s">
        <v>73</v>
      </c>
      <c r="I1768" s="18" t="str">
        <f t="shared" si="1"/>
        <v>Normal Weight</v>
      </c>
    </row>
    <row r="1769" ht="15.75" customHeight="1">
      <c r="A1769" s="18" t="s">
        <v>3851</v>
      </c>
      <c r="B1769" s="18">
        <v>15.84</v>
      </c>
      <c r="C1769" s="18">
        <v>10.34</v>
      </c>
      <c r="D1769" s="18" t="s">
        <v>73</v>
      </c>
      <c r="E1769" s="18" t="s">
        <v>73</v>
      </c>
      <c r="F1769" s="18" t="s">
        <v>73</v>
      </c>
      <c r="G1769" s="18">
        <v>2.0</v>
      </c>
      <c r="H1769" s="18" t="s">
        <v>73</v>
      </c>
      <c r="I1769" s="18" t="str">
        <f t="shared" si="1"/>
        <v>Underweight</v>
      </c>
    </row>
    <row r="1770" ht="15.75" customHeight="1">
      <c r="A1770" s="18" t="s">
        <v>3847</v>
      </c>
      <c r="B1770" s="18">
        <v>36.63</v>
      </c>
      <c r="C1770" s="18">
        <v>5.15</v>
      </c>
      <c r="D1770" s="18" t="s">
        <v>73</v>
      </c>
      <c r="E1770" s="18" t="s">
        <v>73</v>
      </c>
      <c r="F1770" s="18" t="s">
        <v>73</v>
      </c>
      <c r="G1770" s="20">
        <v>0.0</v>
      </c>
      <c r="H1770" s="18" t="s">
        <v>73</v>
      </c>
      <c r="I1770" s="18" t="str">
        <f t="shared" si="1"/>
        <v>Obesity</v>
      </c>
    </row>
    <row r="1771" ht="15.75" customHeight="1">
      <c r="A1771" s="18" t="s">
        <v>3843</v>
      </c>
      <c r="B1771" s="18">
        <v>16.47</v>
      </c>
      <c r="C1771" s="18">
        <v>11.72</v>
      </c>
      <c r="D1771" s="18" t="s">
        <v>73</v>
      </c>
      <c r="E1771" s="18" t="s">
        <v>73</v>
      </c>
      <c r="F1771" s="18" t="s">
        <v>73</v>
      </c>
      <c r="G1771" s="20">
        <v>0.0</v>
      </c>
      <c r="H1771" s="18" t="s">
        <v>73</v>
      </c>
      <c r="I1771" s="18" t="str">
        <f t="shared" si="1"/>
        <v>Underweight</v>
      </c>
    </row>
    <row r="1772" ht="15.75" customHeight="1">
      <c r="A1772" s="18" t="s">
        <v>3838</v>
      </c>
      <c r="B1772" s="18">
        <v>25.8</v>
      </c>
      <c r="C1772" s="18">
        <v>5.29</v>
      </c>
      <c r="D1772" s="18" t="s">
        <v>73</v>
      </c>
      <c r="E1772" s="18" t="s">
        <v>73</v>
      </c>
      <c r="F1772" s="18" t="s">
        <v>73</v>
      </c>
      <c r="G1772" s="20">
        <v>0.0</v>
      </c>
      <c r="H1772" s="18" t="s">
        <v>73</v>
      </c>
      <c r="I1772" s="18" t="str">
        <f t="shared" si="1"/>
        <v>Overweight</v>
      </c>
    </row>
    <row r="1773" ht="15.75" customHeight="1">
      <c r="A1773" s="18" t="s">
        <v>3835</v>
      </c>
      <c r="B1773" s="18">
        <v>23.6</v>
      </c>
      <c r="C1773" s="18">
        <v>4.33</v>
      </c>
      <c r="D1773" s="18" t="s">
        <v>73</v>
      </c>
      <c r="E1773" s="18" t="s">
        <v>73</v>
      </c>
      <c r="F1773" s="18" t="s">
        <v>73</v>
      </c>
      <c r="G1773" s="20">
        <v>0.0</v>
      </c>
      <c r="H1773" s="18" t="s">
        <v>73</v>
      </c>
      <c r="I1773" s="18" t="str">
        <f t="shared" si="1"/>
        <v>Normal Weight</v>
      </c>
    </row>
    <row r="1774" ht="15.75" customHeight="1">
      <c r="A1774" s="18" t="s">
        <v>3832</v>
      </c>
      <c r="B1774" s="18">
        <v>32.11</v>
      </c>
      <c r="C1774" s="18">
        <v>6.24</v>
      </c>
      <c r="D1774" s="18" t="s">
        <v>73</v>
      </c>
      <c r="E1774" s="18" t="s">
        <v>73</v>
      </c>
      <c r="F1774" s="18" t="s">
        <v>184</v>
      </c>
      <c r="G1774" s="18">
        <v>1.0</v>
      </c>
      <c r="H1774" s="18" t="s">
        <v>73</v>
      </c>
      <c r="I1774" s="18" t="str">
        <f t="shared" si="1"/>
        <v>Obesity</v>
      </c>
    </row>
    <row r="1775" ht="15.75" customHeight="1">
      <c r="A1775" s="18" t="s">
        <v>3825</v>
      </c>
      <c r="B1775" s="18">
        <v>30.115</v>
      </c>
      <c r="C1775" s="18">
        <v>11.61</v>
      </c>
      <c r="D1775" s="18" t="s">
        <v>73</v>
      </c>
      <c r="E1775" s="18" t="s">
        <v>73</v>
      </c>
      <c r="F1775" s="18" t="s">
        <v>73</v>
      </c>
      <c r="G1775" s="20">
        <v>0.0</v>
      </c>
      <c r="H1775" s="18" t="s">
        <v>73</v>
      </c>
      <c r="I1775" s="18" t="str">
        <f t="shared" si="1"/>
        <v>Obesity</v>
      </c>
    </row>
    <row r="1776" ht="15.75" customHeight="1">
      <c r="A1776" s="18" t="s">
        <v>3819</v>
      </c>
      <c r="B1776" s="18">
        <v>20.28</v>
      </c>
      <c r="C1776" s="18">
        <v>11.07</v>
      </c>
      <c r="D1776" s="18" t="s">
        <v>80</v>
      </c>
      <c r="E1776" s="18" t="s">
        <v>73</v>
      </c>
      <c r="F1776" s="18" t="s">
        <v>73</v>
      </c>
      <c r="G1776" s="20">
        <v>0.0</v>
      </c>
      <c r="H1776" s="18" t="s">
        <v>73</v>
      </c>
      <c r="I1776" s="18" t="str">
        <f t="shared" si="1"/>
        <v>Normal Weight</v>
      </c>
    </row>
    <row r="1777" ht="15.75" customHeight="1">
      <c r="A1777" s="18" t="s">
        <v>3813</v>
      </c>
      <c r="B1777" s="18">
        <v>20.235</v>
      </c>
      <c r="C1777" s="18">
        <v>5.19</v>
      </c>
      <c r="D1777" s="18" t="s">
        <v>73</v>
      </c>
      <c r="E1777" s="18" t="s">
        <v>73</v>
      </c>
      <c r="F1777" s="18" t="s">
        <v>184</v>
      </c>
      <c r="G1777" s="18">
        <v>1.0</v>
      </c>
      <c r="H1777" s="18" t="s">
        <v>73</v>
      </c>
      <c r="I1777" s="18" t="str">
        <f t="shared" si="1"/>
        <v>Normal Weight</v>
      </c>
    </row>
    <row r="1778" ht="15.75" customHeight="1">
      <c r="A1778" s="18" t="s">
        <v>3810</v>
      </c>
      <c r="B1778" s="18">
        <v>25.27</v>
      </c>
      <c r="C1778" s="18">
        <v>5.7</v>
      </c>
      <c r="D1778" s="18" t="s">
        <v>80</v>
      </c>
      <c r="E1778" s="18" t="s">
        <v>73</v>
      </c>
      <c r="F1778" s="18" t="s">
        <v>73</v>
      </c>
      <c r="G1778" s="18">
        <v>1.0</v>
      </c>
      <c r="H1778" s="18" t="s">
        <v>73</v>
      </c>
      <c r="I1778" s="18" t="str">
        <f t="shared" si="1"/>
        <v>Overweight</v>
      </c>
    </row>
    <row r="1779" ht="15.75" customHeight="1">
      <c r="A1779" s="18" t="s">
        <v>3806</v>
      </c>
      <c r="B1779" s="18">
        <v>24.24</v>
      </c>
      <c r="C1779" s="18">
        <v>6.15</v>
      </c>
      <c r="D1779" s="18" t="s">
        <v>73</v>
      </c>
      <c r="E1779" s="18" t="s">
        <v>73</v>
      </c>
      <c r="F1779" s="18" t="s">
        <v>73</v>
      </c>
      <c r="G1779" s="20">
        <v>0.0</v>
      </c>
      <c r="H1779" s="18" t="s">
        <v>73</v>
      </c>
      <c r="I1779" s="18" t="str">
        <f t="shared" si="1"/>
        <v>Normal Weight</v>
      </c>
    </row>
    <row r="1780" ht="15.75" customHeight="1">
      <c r="A1780" s="18" t="s">
        <v>3802</v>
      </c>
      <c r="B1780" s="18">
        <v>35.75</v>
      </c>
      <c r="C1780" s="18">
        <v>5.07</v>
      </c>
      <c r="D1780" s="18" t="s">
        <v>73</v>
      </c>
      <c r="E1780" s="18" t="s">
        <v>73</v>
      </c>
      <c r="F1780" s="18" t="s">
        <v>73</v>
      </c>
      <c r="G1780" s="20">
        <v>0.0</v>
      </c>
      <c r="H1780" s="18" t="s">
        <v>73</v>
      </c>
      <c r="I1780" s="18" t="str">
        <f t="shared" si="1"/>
        <v>Obesity</v>
      </c>
    </row>
    <row r="1781" ht="15.75" customHeight="1">
      <c r="A1781" s="18" t="s">
        <v>3797</v>
      </c>
      <c r="B1781" s="18">
        <v>29.92</v>
      </c>
      <c r="C1781" s="18">
        <v>10.97</v>
      </c>
      <c r="D1781" s="18" t="s">
        <v>80</v>
      </c>
      <c r="E1781" s="18" t="s">
        <v>73</v>
      </c>
      <c r="F1781" s="18" t="s">
        <v>73</v>
      </c>
      <c r="G1781" s="18">
        <v>1.0</v>
      </c>
      <c r="H1781" s="18" t="s">
        <v>73</v>
      </c>
      <c r="I1781" s="18" t="str">
        <f t="shared" si="1"/>
        <v>Overweight</v>
      </c>
    </row>
    <row r="1782" ht="15.75" customHeight="1">
      <c r="A1782" s="18" t="s">
        <v>3793</v>
      </c>
      <c r="B1782" s="18">
        <v>26.2</v>
      </c>
      <c r="C1782" s="18">
        <v>10.93</v>
      </c>
      <c r="D1782" s="18" t="s">
        <v>80</v>
      </c>
      <c r="E1782" s="18" t="s">
        <v>73</v>
      </c>
      <c r="F1782" s="18" t="s">
        <v>73</v>
      </c>
      <c r="G1782" s="18">
        <v>1.0</v>
      </c>
      <c r="H1782" s="18" t="s">
        <v>73</v>
      </c>
      <c r="I1782" s="18" t="str">
        <f t="shared" si="1"/>
        <v>Overweight</v>
      </c>
    </row>
    <row r="1783" ht="15.75" customHeight="1">
      <c r="A1783" s="18" t="s">
        <v>3790</v>
      </c>
      <c r="B1783" s="18">
        <v>26.695</v>
      </c>
      <c r="C1783" s="18">
        <v>4.21</v>
      </c>
      <c r="D1783" s="18" t="s">
        <v>80</v>
      </c>
      <c r="E1783" s="18" t="s">
        <v>73</v>
      </c>
      <c r="F1783" s="18" t="s">
        <v>184</v>
      </c>
      <c r="G1783" s="18">
        <v>1.0</v>
      </c>
      <c r="H1783" s="18" t="s">
        <v>73</v>
      </c>
      <c r="I1783" s="18" t="str">
        <f t="shared" si="1"/>
        <v>Overweight</v>
      </c>
    </row>
    <row r="1784" ht="15.75" customHeight="1">
      <c r="A1784" s="18" t="s">
        <v>3786</v>
      </c>
      <c r="B1784" s="18">
        <v>23.16</v>
      </c>
      <c r="C1784" s="18">
        <v>5.5</v>
      </c>
      <c r="D1784" s="18" t="s">
        <v>73</v>
      </c>
      <c r="E1784" s="18" t="s">
        <v>73</v>
      </c>
      <c r="F1784" s="18" t="s">
        <v>73</v>
      </c>
      <c r="G1784" s="20">
        <v>0.0</v>
      </c>
      <c r="H1784" s="18" t="s">
        <v>73</v>
      </c>
      <c r="I1784" s="18" t="str">
        <f t="shared" si="1"/>
        <v>Normal Weight</v>
      </c>
    </row>
    <row r="1785" ht="15.75" customHeight="1">
      <c r="A1785" s="18" t="s">
        <v>3782</v>
      </c>
      <c r="B1785" s="18">
        <v>32.585</v>
      </c>
      <c r="C1785" s="18">
        <v>4.93</v>
      </c>
      <c r="D1785" s="18" t="s">
        <v>80</v>
      </c>
      <c r="E1785" s="18" t="s">
        <v>73</v>
      </c>
      <c r="F1785" s="18" t="s">
        <v>73</v>
      </c>
      <c r="G1785" s="18">
        <v>1.0</v>
      </c>
      <c r="H1785" s="18" t="s">
        <v>73</v>
      </c>
      <c r="I1785" s="18" t="str">
        <f t="shared" si="1"/>
        <v>Obesity</v>
      </c>
    </row>
    <row r="1786" ht="15.75" customHeight="1">
      <c r="A1786" s="18" t="s">
        <v>3778</v>
      </c>
      <c r="B1786" s="18">
        <v>33.97</v>
      </c>
      <c r="C1786" s="18">
        <v>5.6</v>
      </c>
      <c r="D1786" s="18" t="s">
        <v>80</v>
      </c>
      <c r="E1786" s="18" t="s">
        <v>73</v>
      </c>
      <c r="F1786" s="18" t="s">
        <v>73</v>
      </c>
      <c r="G1786" s="20">
        <v>0.0</v>
      </c>
      <c r="H1786" s="18" t="s">
        <v>73</v>
      </c>
      <c r="I1786" s="18" t="str">
        <f t="shared" si="1"/>
        <v>Obesity</v>
      </c>
    </row>
    <row r="1787" ht="15.75" customHeight="1">
      <c r="A1787" s="18" t="s">
        <v>3774</v>
      </c>
      <c r="B1787" s="18">
        <v>16.57</v>
      </c>
      <c r="C1787" s="18">
        <v>9.99</v>
      </c>
      <c r="D1787" s="18" t="s">
        <v>73</v>
      </c>
      <c r="E1787" s="18" t="s">
        <v>73</v>
      </c>
      <c r="F1787" s="18" t="s">
        <v>73</v>
      </c>
      <c r="G1787" s="20">
        <v>0.0</v>
      </c>
      <c r="H1787" s="18" t="s">
        <v>73</v>
      </c>
      <c r="I1787" s="18" t="str">
        <f t="shared" si="1"/>
        <v>Underweight</v>
      </c>
    </row>
    <row r="1788" ht="15.75" customHeight="1">
      <c r="A1788" s="18" t="s">
        <v>3772</v>
      </c>
      <c r="B1788" s="18">
        <v>17.55</v>
      </c>
      <c r="C1788" s="18">
        <v>5.93</v>
      </c>
      <c r="D1788" s="18" t="s">
        <v>73</v>
      </c>
      <c r="E1788" s="18" t="s">
        <v>73</v>
      </c>
      <c r="F1788" s="18" t="s">
        <v>184</v>
      </c>
      <c r="G1788" s="18">
        <v>1.0</v>
      </c>
      <c r="H1788" s="18" t="s">
        <v>73</v>
      </c>
      <c r="I1788" s="18" t="str">
        <f t="shared" si="1"/>
        <v>Underweight</v>
      </c>
    </row>
    <row r="1789" ht="15.75" customHeight="1">
      <c r="A1789" s="18" t="s">
        <v>3768</v>
      </c>
      <c r="B1789" s="18">
        <v>29.41</v>
      </c>
      <c r="C1789" s="18">
        <v>6.29</v>
      </c>
      <c r="D1789" s="18" t="s">
        <v>80</v>
      </c>
      <c r="E1789" s="18" t="s">
        <v>73</v>
      </c>
      <c r="F1789" s="18" t="s">
        <v>73</v>
      </c>
      <c r="G1789" s="18">
        <v>1.0</v>
      </c>
      <c r="H1789" s="18" t="s">
        <v>73</v>
      </c>
      <c r="I1789" s="18" t="str">
        <f t="shared" si="1"/>
        <v>Overweight</v>
      </c>
    </row>
    <row r="1790" ht="15.75" customHeight="1">
      <c r="A1790" s="18" t="s">
        <v>3765</v>
      </c>
      <c r="B1790" s="18">
        <v>17.91</v>
      </c>
      <c r="C1790" s="18">
        <v>5.65</v>
      </c>
      <c r="D1790" s="18" t="s">
        <v>73</v>
      </c>
      <c r="E1790" s="18" t="s">
        <v>73</v>
      </c>
      <c r="F1790" s="18" t="s">
        <v>73</v>
      </c>
      <c r="G1790" s="18">
        <v>1.0</v>
      </c>
      <c r="H1790" s="18" t="s">
        <v>73</v>
      </c>
      <c r="I1790" s="18" t="str">
        <f t="shared" si="1"/>
        <v>Underweight</v>
      </c>
    </row>
    <row r="1791" ht="15.75" customHeight="1">
      <c r="A1791" s="18" t="s">
        <v>3762</v>
      </c>
      <c r="B1791" s="18">
        <v>31.57</v>
      </c>
      <c r="C1791" s="18">
        <v>6.15</v>
      </c>
      <c r="D1791" s="18" t="s">
        <v>73</v>
      </c>
      <c r="E1791" s="18" t="s">
        <v>73</v>
      </c>
      <c r="F1791" s="18" t="s">
        <v>73</v>
      </c>
      <c r="G1791" s="18">
        <v>1.0</v>
      </c>
      <c r="H1791" s="18" t="s">
        <v>73</v>
      </c>
      <c r="I1791" s="18" t="str">
        <f t="shared" si="1"/>
        <v>Obesity</v>
      </c>
    </row>
    <row r="1792" ht="15.75" customHeight="1">
      <c r="A1792" s="18" t="s">
        <v>3758</v>
      </c>
      <c r="B1792" s="18">
        <v>33.18</v>
      </c>
      <c r="C1792" s="18">
        <v>5.22</v>
      </c>
      <c r="D1792" s="18" t="s">
        <v>73</v>
      </c>
      <c r="E1792" s="18" t="s">
        <v>80</v>
      </c>
      <c r="F1792" s="18" t="s">
        <v>73</v>
      </c>
      <c r="G1792" s="18">
        <v>1.0</v>
      </c>
      <c r="H1792" s="18" t="s">
        <v>73</v>
      </c>
      <c r="I1792" s="18" t="str">
        <f t="shared" si="1"/>
        <v>Obesity</v>
      </c>
    </row>
    <row r="1793" ht="15.75" customHeight="1">
      <c r="A1793" s="18" t="s">
        <v>3753</v>
      </c>
      <c r="B1793" s="18">
        <v>37.0</v>
      </c>
      <c r="C1793" s="18">
        <v>11.66</v>
      </c>
      <c r="D1793" s="18" t="s">
        <v>73</v>
      </c>
      <c r="E1793" s="18" t="s">
        <v>73</v>
      </c>
      <c r="F1793" s="18" t="s">
        <v>73</v>
      </c>
      <c r="G1793" s="20">
        <v>0.0</v>
      </c>
      <c r="H1793" s="18" t="s">
        <v>73</v>
      </c>
      <c r="I1793" s="18" t="str">
        <f t="shared" si="1"/>
        <v>Obesity</v>
      </c>
    </row>
    <row r="1794" ht="15.75" customHeight="1">
      <c r="A1794" s="18" t="s">
        <v>3747</v>
      </c>
      <c r="B1794" s="18">
        <v>18.905</v>
      </c>
      <c r="C1794" s="18">
        <v>4.91</v>
      </c>
      <c r="D1794" s="18" t="s">
        <v>80</v>
      </c>
      <c r="E1794" s="18" t="s">
        <v>73</v>
      </c>
      <c r="F1794" s="18" t="s">
        <v>73</v>
      </c>
      <c r="G1794" s="18">
        <v>1.0</v>
      </c>
      <c r="H1794" s="18" t="s">
        <v>73</v>
      </c>
      <c r="I1794" s="18" t="str">
        <f t="shared" si="1"/>
        <v>Normal Weight</v>
      </c>
    </row>
    <row r="1795" ht="15.75" customHeight="1">
      <c r="A1795" s="18" t="s">
        <v>3742</v>
      </c>
      <c r="B1795" s="18">
        <v>20.03</v>
      </c>
      <c r="C1795" s="18">
        <v>9.25</v>
      </c>
      <c r="D1795" s="18" t="s">
        <v>80</v>
      </c>
      <c r="E1795" s="18" t="s">
        <v>73</v>
      </c>
      <c r="F1795" s="18" t="s">
        <v>73</v>
      </c>
      <c r="G1795" s="20">
        <v>0.0</v>
      </c>
      <c r="H1795" s="18" t="s">
        <v>73</v>
      </c>
      <c r="I1795" s="18" t="str">
        <f t="shared" si="1"/>
        <v>Normal Weight</v>
      </c>
    </row>
    <row r="1796" ht="15.75" customHeight="1">
      <c r="A1796" s="18" t="s">
        <v>3739</v>
      </c>
      <c r="B1796" s="18">
        <v>16.7</v>
      </c>
      <c r="C1796" s="18">
        <v>11.48</v>
      </c>
      <c r="D1796" s="18" t="s">
        <v>73</v>
      </c>
      <c r="E1796" s="18" t="s">
        <v>73</v>
      </c>
      <c r="F1796" s="18" t="s">
        <v>73</v>
      </c>
      <c r="G1796" s="20">
        <v>0.0</v>
      </c>
      <c r="H1796" s="18" t="s">
        <v>73</v>
      </c>
      <c r="I1796" s="18" t="str">
        <f t="shared" si="1"/>
        <v>Underweight</v>
      </c>
    </row>
    <row r="1797" ht="15.75" customHeight="1">
      <c r="A1797" s="18" t="s">
        <v>3734</v>
      </c>
      <c r="B1797" s="18">
        <v>39.82</v>
      </c>
      <c r="C1797" s="18">
        <v>6.06</v>
      </c>
      <c r="D1797" s="18" t="s">
        <v>73</v>
      </c>
      <c r="E1797" s="18" t="s">
        <v>73</v>
      </c>
      <c r="F1797" s="18" t="s">
        <v>73</v>
      </c>
      <c r="G1797" s="20">
        <v>0.0</v>
      </c>
      <c r="H1797" s="18" t="s">
        <v>73</v>
      </c>
      <c r="I1797" s="18" t="str">
        <f t="shared" si="1"/>
        <v>Obesity</v>
      </c>
    </row>
    <row r="1798" ht="15.75" customHeight="1">
      <c r="A1798" s="18" t="s">
        <v>3732</v>
      </c>
      <c r="B1798" s="18">
        <v>22.04</v>
      </c>
      <c r="C1798" s="18">
        <v>5.86</v>
      </c>
      <c r="D1798" s="18" t="s">
        <v>73</v>
      </c>
      <c r="E1798" s="18" t="s">
        <v>73</v>
      </c>
      <c r="F1798" s="18" t="s">
        <v>73</v>
      </c>
      <c r="G1798" s="18">
        <v>1.0</v>
      </c>
      <c r="H1798" s="18" t="s">
        <v>73</v>
      </c>
      <c r="I1798" s="18" t="str">
        <f t="shared" si="1"/>
        <v>Normal Weight</v>
      </c>
    </row>
    <row r="1799" ht="15.75" customHeight="1">
      <c r="A1799" s="18" t="s">
        <v>3728</v>
      </c>
      <c r="B1799" s="18">
        <v>28.27</v>
      </c>
      <c r="C1799" s="18">
        <v>5.33</v>
      </c>
      <c r="D1799" s="18" t="s">
        <v>73</v>
      </c>
      <c r="E1799" s="18" t="s">
        <v>73</v>
      </c>
      <c r="F1799" s="18" t="s">
        <v>73</v>
      </c>
      <c r="G1799" s="20">
        <v>0.0</v>
      </c>
      <c r="H1799" s="18" t="s">
        <v>73</v>
      </c>
      <c r="I1799" s="18" t="str">
        <f t="shared" si="1"/>
        <v>Overweight</v>
      </c>
    </row>
    <row r="1800" ht="15.75" customHeight="1">
      <c r="A1800" s="18" t="s">
        <v>3726</v>
      </c>
      <c r="B1800" s="18">
        <v>18.5</v>
      </c>
      <c r="C1800" s="18">
        <v>5.33</v>
      </c>
      <c r="D1800" s="18" t="s">
        <v>73</v>
      </c>
      <c r="E1800" s="18" t="s">
        <v>73</v>
      </c>
      <c r="F1800" s="18" t="s">
        <v>73</v>
      </c>
      <c r="G1800" s="20">
        <v>0.0</v>
      </c>
      <c r="H1800" s="18" t="s">
        <v>73</v>
      </c>
      <c r="I1800" s="18" t="str">
        <f t="shared" si="1"/>
        <v>Normal Weight</v>
      </c>
    </row>
    <row r="1801" ht="15.75" customHeight="1">
      <c r="A1801" s="18" t="s">
        <v>3723</v>
      </c>
      <c r="B1801" s="18">
        <v>38.6</v>
      </c>
      <c r="C1801" s="18">
        <v>6.02</v>
      </c>
      <c r="D1801" s="18" t="s">
        <v>73</v>
      </c>
      <c r="E1801" s="18" t="s">
        <v>73</v>
      </c>
      <c r="F1801" s="18" t="s">
        <v>73</v>
      </c>
      <c r="G1801" s="18">
        <v>1.0</v>
      </c>
      <c r="H1801" s="18" t="s">
        <v>73</v>
      </c>
      <c r="I1801" s="18" t="str">
        <f t="shared" si="1"/>
        <v>Obesity</v>
      </c>
    </row>
    <row r="1802" ht="15.75" customHeight="1">
      <c r="A1802" s="18" t="s">
        <v>3719</v>
      </c>
      <c r="B1802" s="18">
        <v>43.12</v>
      </c>
      <c r="C1802" s="18">
        <v>6.25</v>
      </c>
      <c r="D1802" s="18" t="s">
        <v>73</v>
      </c>
      <c r="E1802" s="18" t="s">
        <v>73</v>
      </c>
      <c r="F1802" s="18" t="s">
        <v>73</v>
      </c>
      <c r="G1802" s="18">
        <v>1.0</v>
      </c>
      <c r="H1802" s="18" t="s">
        <v>73</v>
      </c>
      <c r="I1802" s="18" t="str">
        <f t="shared" si="1"/>
        <v>Obesity</v>
      </c>
    </row>
    <row r="1803" ht="15.75" customHeight="1">
      <c r="A1803" s="18" t="s">
        <v>3715</v>
      </c>
      <c r="B1803" s="18">
        <v>30.5</v>
      </c>
      <c r="C1803" s="18">
        <v>4.81</v>
      </c>
      <c r="D1803" s="18" t="s">
        <v>73</v>
      </c>
      <c r="E1803" s="18" t="s">
        <v>73</v>
      </c>
      <c r="F1803" s="18" t="s">
        <v>73</v>
      </c>
      <c r="G1803" s="18">
        <v>1.0</v>
      </c>
      <c r="H1803" s="18" t="s">
        <v>73</v>
      </c>
      <c r="I1803" s="18" t="str">
        <f t="shared" si="1"/>
        <v>Obesity</v>
      </c>
    </row>
    <row r="1804" ht="15.75" customHeight="1">
      <c r="A1804" s="18" t="s">
        <v>3714</v>
      </c>
      <c r="B1804" s="18">
        <v>27.61</v>
      </c>
      <c r="C1804" s="18">
        <v>4.6</v>
      </c>
      <c r="D1804" s="18" t="s">
        <v>73</v>
      </c>
      <c r="E1804" s="18" t="s">
        <v>73</v>
      </c>
      <c r="F1804" s="18" t="s">
        <v>73</v>
      </c>
      <c r="G1804" s="18">
        <v>1.0</v>
      </c>
      <c r="H1804" s="18" t="s">
        <v>73</v>
      </c>
      <c r="I1804" s="18" t="str">
        <f t="shared" si="1"/>
        <v>Overweight</v>
      </c>
    </row>
    <row r="1805" ht="15.75" customHeight="1">
      <c r="A1805" s="18" t="s">
        <v>3712</v>
      </c>
      <c r="B1805" s="18">
        <v>27.1</v>
      </c>
      <c r="C1805" s="18">
        <v>5.08</v>
      </c>
      <c r="D1805" s="18" t="s">
        <v>73</v>
      </c>
      <c r="E1805" s="18" t="s">
        <v>73</v>
      </c>
      <c r="F1805" s="18" t="s">
        <v>73</v>
      </c>
      <c r="G1805" s="18">
        <v>1.0</v>
      </c>
      <c r="H1805" s="18" t="s">
        <v>73</v>
      </c>
      <c r="I1805" s="18" t="str">
        <f t="shared" si="1"/>
        <v>Overweight</v>
      </c>
    </row>
    <row r="1806" ht="15.75" customHeight="1">
      <c r="A1806" s="18" t="s">
        <v>3708</v>
      </c>
      <c r="B1806" s="18">
        <v>35.93</v>
      </c>
      <c r="C1806" s="18">
        <v>5.43</v>
      </c>
      <c r="D1806" s="18" t="s">
        <v>73</v>
      </c>
      <c r="E1806" s="18" t="s">
        <v>80</v>
      </c>
      <c r="F1806" s="18" t="s">
        <v>73</v>
      </c>
      <c r="G1806" s="18">
        <v>1.0</v>
      </c>
      <c r="H1806" s="18" t="s">
        <v>73</v>
      </c>
      <c r="I1806" s="18" t="str">
        <f t="shared" si="1"/>
        <v>Obesity</v>
      </c>
    </row>
    <row r="1807" ht="15.75" customHeight="1">
      <c r="A1807" s="18" t="s">
        <v>3704</v>
      </c>
      <c r="B1807" s="18">
        <v>32.68</v>
      </c>
      <c r="C1807" s="18">
        <v>5.44</v>
      </c>
      <c r="D1807" s="18" t="s">
        <v>73</v>
      </c>
      <c r="E1807" s="18" t="s">
        <v>73</v>
      </c>
      <c r="F1807" s="18" t="s">
        <v>73</v>
      </c>
      <c r="G1807" s="20">
        <v>0.0</v>
      </c>
      <c r="H1807" s="18" t="s">
        <v>73</v>
      </c>
      <c r="I1807" s="18" t="str">
        <f t="shared" si="1"/>
        <v>Obesity</v>
      </c>
    </row>
    <row r="1808" ht="15.75" customHeight="1">
      <c r="A1808" s="18" t="s">
        <v>3699</v>
      </c>
      <c r="B1808" s="18">
        <v>20.74</v>
      </c>
      <c r="C1808" s="18">
        <v>11.69</v>
      </c>
      <c r="D1808" s="18" t="s">
        <v>80</v>
      </c>
      <c r="E1808" s="18" t="s">
        <v>73</v>
      </c>
      <c r="F1808" s="18" t="s">
        <v>73</v>
      </c>
      <c r="G1808" s="18">
        <v>1.0</v>
      </c>
      <c r="H1808" s="18" t="s">
        <v>73</v>
      </c>
      <c r="I1808" s="18" t="str">
        <f t="shared" si="1"/>
        <v>Normal Weight</v>
      </c>
    </row>
    <row r="1809" ht="15.75" customHeight="1">
      <c r="A1809" s="18" t="s">
        <v>3694</v>
      </c>
      <c r="B1809" s="18">
        <v>15.57</v>
      </c>
      <c r="C1809" s="18">
        <v>6.07</v>
      </c>
      <c r="D1809" s="18" t="s">
        <v>73</v>
      </c>
      <c r="E1809" s="18" t="s">
        <v>73</v>
      </c>
      <c r="F1809" s="18" t="s">
        <v>73</v>
      </c>
      <c r="G1809" s="20">
        <v>0.0</v>
      </c>
      <c r="H1809" s="18" t="s">
        <v>73</v>
      </c>
      <c r="I1809" s="18" t="str">
        <f t="shared" si="1"/>
        <v>Underweight</v>
      </c>
    </row>
    <row r="1810" ht="15.75" customHeight="1">
      <c r="A1810" s="18" t="s">
        <v>3690</v>
      </c>
      <c r="B1810" s="18">
        <v>23.845</v>
      </c>
      <c r="C1810" s="18">
        <v>4.36</v>
      </c>
      <c r="D1810" s="18" t="s">
        <v>73</v>
      </c>
      <c r="E1810" s="18" t="s">
        <v>73</v>
      </c>
      <c r="F1810" s="18" t="s">
        <v>73</v>
      </c>
      <c r="G1810" s="20">
        <v>0.0</v>
      </c>
      <c r="H1810" s="18" t="s">
        <v>73</v>
      </c>
      <c r="I1810" s="18" t="str">
        <f t="shared" si="1"/>
        <v>Normal Weight</v>
      </c>
    </row>
    <row r="1811" ht="15.75" customHeight="1">
      <c r="A1811" s="18" t="s">
        <v>3685</v>
      </c>
      <c r="B1811" s="18">
        <v>22.895</v>
      </c>
      <c r="C1811" s="18">
        <v>5.24</v>
      </c>
      <c r="D1811" s="18" t="s">
        <v>73</v>
      </c>
      <c r="E1811" s="18" t="s">
        <v>73</v>
      </c>
      <c r="F1811" s="18" t="s">
        <v>73</v>
      </c>
      <c r="G1811" s="18">
        <v>1.0</v>
      </c>
      <c r="H1811" s="18" t="s">
        <v>73</v>
      </c>
      <c r="I1811" s="18" t="str">
        <f t="shared" si="1"/>
        <v>Normal Weight</v>
      </c>
    </row>
    <row r="1812" ht="15.75" customHeight="1">
      <c r="A1812" s="18" t="s">
        <v>3680</v>
      </c>
      <c r="B1812" s="18">
        <v>21.945</v>
      </c>
      <c r="C1812" s="18">
        <v>5.37</v>
      </c>
      <c r="D1812" s="18" t="s">
        <v>73</v>
      </c>
      <c r="E1812" s="18" t="s">
        <v>73</v>
      </c>
      <c r="F1812" s="18" t="s">
        <v>73</v>
      </c>
      <c r="G1812" s="18">
        <v>1.0</v>
      </c>
      <c r="H1812" s="18" t="s">
        <v>73</v>
      </c>
      <c r="I1812" s="18" t="str">
        <f t="shared" si="1"/>
        <v>Normal Weight</v>
      </c>
    </row>
    <row r="1813" ht="15.75" customHeight="1">
      <c r="A1813" s="18" t="s">
        <v>3675</v>
      </c>
      <c r="B1813" s="18">
        <v>19.47</v>
      </c>
      <c r="C1813" s="18">
        <v>6.6</v>
      </c>
      <c r="D1813" s="18" t="s">
        <v>80</v>
      </c>
      <c r="E1813" s="18" t="s">
        <v>73</v>
      </c>
      <c r="F1813" s="18" t="s">
        <v>73</v>
      </c>
      <c r="G1813" s="20">
        <v>0.0</v>
      </c>
      <c r="H1813" s="18" t="s">
        <v>73</v>
      </c>
      <c r="I1813" s="18" t="str">
        <f t="shared" si="1"/>
        <v>Normal Weight</v>
      </c>
    </row>
    <row r="1814" ht="15.75" customHeight="1">
      <c r="A1814" s="18" t="s">
        <v>3668</v>
      </c>
      <c r="B1814" s="18">
        <v>15.61</v>
      </c>
      <c r="C1814" s="18">
        <v>5.77</v>
      </c>
      <c r="D1814" s="18" t="s">
        <v>73</v>
      </c>
      <c r="E1814" s="18" t="s">
        <v>73</v>
      </c>
      <c r="F1814" s="18" t="s">
        <v>73</v>
      </c>
      <c r="G1814" s="20">
        <v>0.0</v>
      </c>
      <c r="H1814" s="18" t="s">
        <v>73</v>
      </c>
      <c r="I1814" s="18" t="str">
        <f t="shared" si="1"/>
        <v>Underweight</v>
      </c>
    </row>
    <row r="1815" ht="15.75" customHeight="1">
      <c r="A1815" s="18" t="s">
        <v>3662</v>
      </c>
      <c r="B1815" s="18">
        <v>28.6</v>
      </c>
      <c r="C1815" s="18">
        <v>6.08</v>
      </c>
      <c r="D1815" s="18" t="s">
        <v>73</v>
      </c>
      <c r="E1815" s="18" t="s">
        <v>73</v>
      </c>
      <c r="F1815" s="18" t="s">
        <v>184</v>
      </c>
      <c r="G1815" s="18">
        <v>1.0</v>
      </c>
      <c r="H1815" s="18" t="s">
        <v>73</v>
      </c>
      <c r="I1815" s="18" t="str">
        <f t="shared" si="1"/>
        <v>Overweight</v>
      </c>
    </row>
    <row r="1816" ht="15.75" customHeight="1">
      <c r="A1816" s="18" t="s">
        <v>3656</v>
      </c>
      <c r="B1816" s="18">
        <v>46.53</v>
      </c>
      <c r="C1816" s="18">
        <v>4.16</v>
      </c>
      <c r="D1816" s="18" t="s">
        <v>73</v>
      </c>
      <c r="E1816" s="18" t="s">
        <v>73</v>
      </c>
      <c r="F1816" s="18" t="s">
        <v>73</v>
      </c>
      <c r="G1816" s="20">
        <v>0.0</v>
      </c>
      <c r="H1816" s="18" t="s">
        <v>73</v>
      </c>
      <c r="I1816" s="18" t="str">
        <f t="shared" si="1"/>
        <v>Obesity</v>
      </c>
    </row>
    <row r="1817" ht="15.75" customHeight="1">
      <c r="A1817" s="18" t="s">
        <v>3649</v>
      </c>
      <c r="B1817" s="18">
        <v>34.99</v>
      </c>
      <c r="C1817" s="18">
        <v>5.1</v>
      </c>
      <c r="D1817" s="18" t="s">
        <v>73</v>
      </c>
      <c r="E1817" s="18" t="s">
        <v>73</v>
      </c>
      <c r="F1817" s="18" t="s">
        <v>184</v>
      </c>
      <c r="G1817" s="18">
        <v>1.0</v>
      </c>
      <c r="H1817" s="18" t="s">
        <v>73</v>
      </c>
      <c r="I1817" s="18" t="str">
        <f t="shared" si="1"/>
        <v>Obesity</v>
      </c>
    </row>
    <row r="1818" ht="15.75" customHeight="1">
      <c r="A1818" s="18" t="s">
        <v>3644</v>
      </c>
      <c r="B1818" s="18">
        <v>17.05</v>
      </c>
      <c r="C1818" s="18">
        <v>5.3</v>
      </c>
      <c r="D1818" s="18" t="s">
        <v>73</v>
      </c>
      <c r="E1818" s="18" t="s">
        <v>73</v>
      </c>
      <c r="F1818" s="18" t="s">
        <v>184</v>
      </c>
      <c r="G1818" s="18">
        <v>1.0</v>
      </c>
      <c r="H1818" s="18" t="s">
        <v>73</v>
      </c>
      <c r="I1818" s="18" t="str">
        <f t="shared" si="1"/>
        <v>Underweight</v>
      </c>
    </row>
    <row r="1819" ht="15.75" customHeight="1">
      <c r="A1819" s="18" t="s">
        <v>3638</v>
      </c>
      <c r="B1819" s="18">
        <v>37.18</v>
      </c>
      <c r="C1819" s="18">
        <v>4.9</v>
      </c>
      <c r="D1819" s="18" t="s">
        <v>73</v>
      </c>
      <c r="E1819" s="18" t="s">
        <v>73</v>
      </c>
      <c r="F1819" s="18" t="s">
        <v>73</v>
      </c>
      <c r="G1819" s="20">
        <v>0.0</v>
      </c>
      <c r="H1819" s="18" t="s">
        <v>73</v>
      </c>
      <c r="I1819" s="18" t="str">
        <f t="shared" si="1"/>
        <v>Obesity</v>
      </c>
    </row>
    <row r="1820" ht="15.75" customHeight="1">
      <c r="A1820" s="18" t="s">
        <v>3635</v>
      </c>
      <c r="B1820" s="18">
        <v>35.2</v>
      </c>
      <c r="C1820" s="18">
        <v>5.55</v>
      </c>
      <c r="D1820" s="18" t="s">
        <v>73</v>
      </c>
      <c r="E1820" s="18" t="s">
        <v>73</v>
      </c>
      <c r="F1820" s="18" t="s">
        <v>73</v>
      </c>
      <c r="G1820" s="20">
        <v>0.0</v>
      </c>
      <c r="H1820" s="18" t="s">
        <v>73</v>
      </c>
      <c r="I1820" s="18" t="str">
        <f t="shared" si="1"/>
        <v>Obesity</v>
      </c>
    </row>
    <row r="1821" ht="15.75" customHeight="1">
      <c r="A1821" s="18" t="s">
        <v>3631</v>
      </c>
      <c r="B1821" s="18">
        <v>37.335</v>
      </c>
      <c r="C1821" s="18">
        <v>4.95</v>
      </c>
      <c r="D1821" s="18" t="s">
        <v>73</v>
      </c>
      <c r="E1821" s="18" t="s">
        <v>73</v>
      </c>
      <c r="F1821" s="18" t="s">
        <v>73</v>
      </c>
      <c r="G1821" s="20">
        <v>0.0</v>
      </c>
      <c r="H1821" s="18" t="s">
        <v>73</v>
      </c>
      <c r="I1821" s="18" t="str">
        <f t="shared" si="1"/>
        <v>Obesity</v>
      </c>
    </row>
    <row r="1822" ht="15.75" customHeight="1">
      <c r="A1822" s="18" t="s">
        <v>3622</v>
      </c>
      <c r="B1822" s="18">
        <v>27.265</v>
      </c>
      <c r="C1822" s="18">
        <v>6.46</v>
      </c>
      <c r="D1822" s="18" t="s">
        <v>80</v>
      </c>
      <c r="E1822" s="18" t="s">
        <v>73</v>
      </c>
      <c r="F1822" s="18" t="s">
        <v>73</v>
      </c>
      <c r="G1822" s="20">
        <v>0.0</v>
      </c>
      <c r="H1822" s="18" t="s">
        <v>73</v>
      </c>
      <c r="I1822" s="18" t="str">
        <f t="shared" si="1"/>
        <v>Overweight</v>
      </c>
    </row>
    <row r="1823" ht="15.75" customHeight="1">
      <c r="A1823" s="18" t="s">
        <v>3617</v>
      </c>
      <c r="B1823" s="18">
        <v>30.8</v>
      </c>
      <c r="C1823" s="18">
        <v>4.9</v>
      </c>
      <c r="D1823" s="18" t="s">
        <v>80</v>
      </c>
      <c r="E1823" s="18" t="s">
        <v>73</v>
      </c>
      <c r="F1823" s="18" t="s">
        <v>73</v>
      </c>
      <c r="G1823" s="20">
        <v>0.0</v>
      </c>
      <c r="H1823" s="18" t="s">
        <v>73</v>
      </c>
      <c r="I1823" s="18" t="str">
        <f t="shared" si="1"/>
        <v>Obesity</v>
      </c>
    </row>
    <row r="1824" ht="15.75" customHeight="1">
      <c r="A1824" s="18" t="s">
        <v>3613</v>
      </c>
      <c r="B1824" s="18">
        <v>30.21</v>
      </c>
      <c r="C1824" s="18">
        <v>5.21</v>
      </c>
      <c r="D1824" s="18" t="s">
        <v>73</v>
      </c>
      <c r="E1824" s="18" t="s">
        <v>73</v>
      </c>
      <c r="F1824" s="18" t="s">
        <v>73</v>
      </c>
      <c r="G1824" s="18">
        <v>1.0</v>
      </c>
      <c r="H1824" s="18" t="s">
        <v>73</v>
      </c>
      <c r="I1824" s="18" t="str">
        <f t="shared" si="1"/>
        <v>Obesity</v>
      </c>
    </row>
    <row r="1825" ht="15.75" customHeight="1">
      <c r="A1825" s="18" t="s">
        <v>3608</v>
      </c>
      <c r="B1825" s="18">
        <v>35.34</v>
      </c>
      <c r="C1825" s="18">
        <v>4.13</v>
      </c>
      <c r="D1825" s="18" t="s">
        <v>73</v>
      </c>
      <c r="E1825" s="18" t="s">
        <v>80</v>
      </c>
      <c r="F1825" s="18" t="s">
        <v>73</v>
      </c>
      <c r="G1825" s="18">
        <v>1.0</v>
      </c>
      <c r="H1825" s="18" t="s">
        <v>73</v>
      </c>
      <c r="I1825" s="18" t="str">
        <f t="shared" si="1"/>
        <v>Obesity</v>
      </c>
    </row>
    <row r="1826" ht="15.75" customHeight="1">
      <c r="A1826" s="18" t="s">
        <v>3603</v>
      </c>
      <c r="B1826" s="18">
        <v>26.695</v>
      </c>
      <c r="C1826" s="18">
        <v>5.28</v>
      </c>
      <c r="D1826" s="18" t="s">
        <v>73</v>
      </c>
      <c r="E1826" s="18" t="s">
        <v>73</v>
      </c>
      <c r="F1826" s="18" t="s">
        <v>73</v>
      </c>
      <c r="G1826" s="20">
        <v>0.0</v>
      </c>
      <c r="H1826" s="18" t="s">
        <v>73</v>
      </c>
      <c r="I1826" s="18" t="str">
        <f t="shared" si="1"/>
        <v>Overweight</v>
      </c>
    </row>
    <row r="1827" ht="15.75" customHeight="1">
      <c r="A1827" s="18" t="s">
        <v>3598</v>
      </c>
      <c r="B1827" s="18">
        <v>29.355</v>
      </c>
      <c r="C1827" s="18">
        <v>4.68</v>
      </c>
      <c r="D1827" s="18" t="s">
        <v>80</v>
      </c>
      <c r="E1827" s="18" t="s">
        <v>73</v>
      </c>
      <c r="F1827" s="18" t="s">
        <v>73</v>
      </c>
      <c r="G1827" s="20">
        <v>0.0</v>
      </c>
      <c r="H1827" s="18" t="s">
        <v>73</v>
      </c>
      <c r="I1827" s="18" t="str">
        <f t="shared" si="1"/>
        <v>Overweight</v>
      </c>
    </row>
    <row r="1828" ht="15.75" customHeight="1">
      <c r="A1828" s="18" t="s">
        <v>3595</v>
      </c>
      <c r="B1828" s="18">
        <v>29.59</v>
      </c>
      <c r="C1828" s="18">
        <v>4.06</v>
      </c>
      <c r="D1828" s="18" t="s">
        <v>73</v>
      </c>
      <c r="E1828" s="18" t="s">
        <v>73</v>
      </c>
      <c r="F1828" s="18" t="s">
        <v>73</v>
      </c>
      <c r="G1828" s="20">
        <v>0.0</v>
      </c>
      <c r="H1828" s="18" t="s">
        <v>73</v>
      </c>
      <c r="I1828" s="18" t="str">
        <f t="shared" si="1"/>
        <v>Overweight</v>
      </c>
    </row>
    <row r="1829" ht="15.75" customHeight="1">
      <c r="A1829" s="18" t="s">
        <v>3591</v>
      </c>
      <c r="B1829" s="18">
        <v>31.35</v>
      </c>
      <c r="C1829" s="18">
        <v>4.2</v>
      </c>
      <c r="D1829" s="18" t="s">
        <v>73</v>
      </c>
      <c r="E1829" s="18" t="s">
        <v>80</v>
      </c>
      <c r="F1829" s="18" t="s">
        <v>73</v>
      </c>
      <c r="G1829" s="18">
        <v>1.0</v>
      </c>
      <c r="H1829" s="18" t="s">
        <v>73</v>
      </c>
      <c r="I1829" s="18" t="str">
        <f t="shared" si="1"/>
        <v>Obesity</v>
      </c>
    </row>
    <row r="1830" ht="15.75" customHeight="1">
      <c r="A1830" s="18" t="s">
        <v>3587</v>
      </c>
      <c r="B1830" s="18">
        <v>20.52</v>
      </c>
      <c r="C1830" s="18">
        <v>4.83</v>
      </c>
      <c r="D1830" s="18" t="s">
        <v>73</v>
      </c>
      <c r="E1830" s="18" t="s">
        <v>73</v>
      </c>
      <c r="F1830" s="18" t="s">
        <v>73</v>
      </c>
      <c r="G1830" s="20">
        <v>0.0</v>
      </c>
      <c r="H1830" s="18" t="s">
        <v>73</v>
      </c>
      <c r="I1830" s="18" t="str">
        <f t="shared" si="1"/>
        <v>Normal Weight</v>
      </c>
    </row>
    <row r="1831" ht="15.75" customHeight="1">
      <c r="A1831" s="18" t="s">
        <v>3582</v>
      </c>
      <c r="B1831" s="18">
        <v>42.9</v>
      </c>
      <c r="C1831" s="18">
        <v>4.87</v>
      </c>
      <c r="D1831" s="18" t="s">
        <v>80</v>
      </c>
      <c r="E1831" s="18" t="s">
        <v>73</v>
      </c>
      <c r="F1831" s="18" t="s">
        <v>73</v>
      </c>
      <c r="G1831" s="18">
        <v>1.0</v>
      </c>
      <c r="H1831" s="18" t="s">
        <v>73</v>
      </c>
      <c r="I1831" s="18" t="str">
        <f t="shared" si="1"/>
        <v>Obesity</v>
      </c>
    </row>
    <row r="1832" ht="15.75" customHeight="1">
      <c r="A1832" s="18" t="s">
        <v>3578</v>
      </c>
      <c r="B1832" s="18">
        <v>24.6</v>
      </c>
      <c r="C1832" s="18">
        <v>5.86</v>
      </c>
      <c r="D1832" s="18" t="s">
        <v>73</v>
      </c>
      <c r="E1832" s="18" t="s">
        <v>73</v>
      </c>
      <c r="F1832" s="18" t="s">
        <v>184</v>
      </c>
      <c r="G1832" s="18">
        <v>1.0</v>
      </c>
      <c r="H1832" s="18" t="s">
        <v>73</v>
      </c>
      <c r="I1832" s="18" t="str">
        <f t="shared" si="1"/>
        <v>Normal Weight</v>
      </c>
    </row>
    <row r="1833" ht="15.75" customHeight="1">
      <c r="A1833" s="18" t="s">
        <v>3573</v>
      </c>
      <c r="B1833" s="18">
        <v>28.405</v>
      </c>
      <c r="C1833" s="18">
        <v>4.12</v>
      </c>
      <c r="D1833" s="18" t="s">
        <v>73</v>
      </c>
      <c r="E1833" s="18" t="s">
        <v>73</v>
      </c>
      <c r="F1833" s="18" t="s">
        <v>73</v>
      </c>
      <c r="G1833" s="18">
        <v>1.0</v>
      </c>
      <c r="H1833" s="18" t="s">
        <v>73</v>
      </c>
      <c r="I1833" s="18" t="str">
        <f t="shared" si="1"/>
        <v>Overweight</v>
      </c>
    </row>
    <row r="1834" ht="15.75" customHeight="1">
      <c r="A1834" s="18" t="s">
        <v>3567</v>
      </c>
      <c r="B1834" s="18">
        <v>34.675</v>
      </c>
      <c r="C1834" s="18">
        <v>5.71</v>
      </c>
      <c r="D1834" s="18" t="s">
        <v>80</v>
      </c>
      <c r="E1834" s="18" t="s">
        <v>73</v>
      </c>
      <c r="F1834" s="18" t="s">
        <v>73</v>
      </c>
      <c r="G1834" s="18">
        <v>1.0</v>
      </c>
      <c r="H1834" s="18" t="s">
        <v>73</v>
      </c>
      <c r="I1834" s="18" t="str">
        <f t="shared" si="1"/>
        <v>Obesity</v>
      </c>
    </row>
    <row r="1835" ht="15.75" customHeight="1">
      <c r="A1835" s="18" t="s">
        <v>3561</v>
      </c>
      <c r="B1835" s="18">
        <v>18.85</v>
      </c>
      <c r="C1835" s="18">
        <v>6.03</v>
      </c>
      <c r="D1835" s="18" t="s">
        <v>73</v>
      </c>
      <c r="E1835" s="18" t="s">
        <v>73</v>
      </c>
      <c r="F1835" s="18" t="s">
        <v>73</v>
      </c>
      <c r="G1835" s="18">
        <v>1.0</v>
      </c>
      <c r="H1835" s="18" t="s">
        <v>73</v>
      </c>
      <c r="I1835" s="18" t="str">
        <f t="shared" si="1"/>
        <v>Normal Weight</v>
      </c>
    </row>
    <row r="1836" ht="15.75" customHeight="1">
      <c r="A1836" s="18" t="s">
        <v>3556</v>
      </c>
      <c r="B1836" s="18">
        <v>34.13</v>
      </c>
      <c r="C1836" s="18">
        <v>5.65</v>
      </c>
      <c r="D1836" s="18" t="s">
        <v>73</v>
      </c>
      <c r="E1836" s="18" t="s">
        <v>73</v>
      </c>
      <c r="F1836" s="18" t="s">
        <v>184</v>
      </c>
      <c r="G1836" s="18">
        <v>1.0</v>
      </c>
      <c r="H1836" s="18" t="s">
        <v>73</v>
      </c>
      <c r="I1836" s="18" t="str">
        <f t="shared" si="1"/>
        <v>Obesity</v>
      </c>
    </row>
    <row r="1837" ht="15.75" customHeight="1">
      <c r="A1837" s="18" t="s">
        <v>3552</v>
      </c>
      <c r="B1837" s="18">
        <v>17.34</v>
      </c>
      <c r="C1837" s="18">
        <v>5.05</v>
      </c>
      <c r="D1837" s="18" t="s">
        <v>73</v>
      </c>
      <c r="E1837" s="18" t="s">
        <v>73</v>
      </c>
      <c r="F1837" s="18" t="s">
        <v>73</v>
      </c>
      <c r="G1837" s="20">
        <v>0.0</v>
      </c>
      <c r="H1837" s="18" t="s">
        <v>73</v>
      </c>
      <c r="I1837" s="18" t="str">
        <f t="shared" si="1"/>
        <v>Underweight</v>
      </c>
    </row>
    <row r="1838" ht="15.75" customHeight="1">
      <c r="A1838" s="18" t="s">
        <v>3545</v>
      </c>
      <c r="B1838" s="18">
        <v>17.44</v>
      </c>
      <c r="C1838" s="18">
        <v>6.26</v>
      </c>
      <c r="D1838" s="18" t="s">
        <v>73</v>
      </c>
      <c r="E1838" s="18" t="s">
        <v>73</v>
      </c>
      <c r="F1838" s="18" t="s">
        <v>73</v>
      </c>
      <c r="G1838" s="20">
        <v>0.0</v>
      </c>
      <c r="H1838" s="18" t="s">
        <v>73</v>
      </c>
      <c r="I1838" s="18" t="str">
        <f t="shared" si="1"/>
        <v>Underweight</v>
      </c>
    </row>
    <row r="1839" ht="15.75" customHeight="1">
      <c r="A1839" s="18" t="s">
        <v>3538</v>
      </c>
      <c r="B1839" s="18">
        <v>33.66</v>
      </c>
      <c r="C1839" s="18">
        <v>4.08</v>
      </c>
      <c r="D1839" s="18" t="s">
        <v>80</v>
      </c>
      <c r="E1839" s="18" t="s">
        <v>73</v>
      </c>
      <c r="F1839" s="18" t="s">
        <v>184</v>
      </c>
      <c r="G1839" s="18">
        <v>1.0</v>
      </c>
      <c r="H1839" s="18" t="s">
        <v>73</v>
      </c>
      <c r="I1839" s="18" t="str">
        <f t="shared" si="1"/>
        <v>Obesity</v>
      </c>
    </row>
    <row r="1840" ht="15.75" customHeight="1">
      <c r="A1840" s="18" t="s">
        <v>3532</v>
      </c>
      <c r="B1840" s="18">
        <v>21.375</v>
      </c>
      <c r="C1840" s="18">
        <v>6.19</v>
      </c>
      <c r="D1840" s="18" t="s">
        <v>80</v>
      </c>
      <c r="E1840" s="18" t="s">
        <v>73</v>
      </c>
      <c r="F1840" s="18" t="s">
        <v>73</v>
      </c>
      <c r="G1840" s="18">
        <v>1.0</v>
      </c>
      <c r="H1840" s="18" t="s">
        <v>73</v>
      </c>
      <c r="I1840" s="18" t="str">
        <f t="shared" si="1"/>
        <v>Normal Weight</v>
      </c>
    </row>
    <row r="1841" ht="15.75" customHeight="1">
      <c r="A1841" s="18" t="s">
        <v>3527</v>
      </c>
      <c r="B1841" s="18">
        <v>27.14</v>
      </c>
      <c r="C1841" s="18">
        <v>6.01</v>
      </c>
      <c r="D1841" s="18" t="s">
        <v>73</v>
      </c>
      <c r="E1841" s="18" t="s">
        <v>73</v>
      </c>
      <c r="F1841" s="18" t="s">
        <v>73</v>
      </c>
      <c r="G1841" s="18">
        <v>1.0</v>
      </c>
      <c r="H1841" s="18" t="s">
        <v>73</v>
      </c>
      <c r="I1841" s="18" t="str">
        <f t="shared" si="1"/>
        <v>Overweight</v>
      </c>
    </row>
    <row r="1842" ht="15.75" customHeight="1">
      <c r="A1842" s="18" t="s">
        <v>3520</v>
      </c>
      <c r="B1842" s="18">
        <v>35.78</v>
      </c>
      <c r="C1842" s="18">
        <v>6.07</v>
      </c>
      <c r="D1842" s="18" t="s">
        <v>73</v>
      </c>
      <c r="E1842" s="18" t="s">
        <v>80</v>
      </c>
      <c r="F1842" s="18" t="s">
        <v>73</v>
      </c>
      <c r="G1842" s="18">
        <v>1.0</v>
      </c>
      <c r="H1842" s="18" t="s">
        <v>73</v>
      </c>
      <c r="I1842" s="18" t="str">
        <f t="shared" si="1"/>
        <v>Obesity</v>
      </c>
    </row>
    <row r="1843" ht="15.75" customHeight="1">
      <c r="A1843" s="18" t="s">
        <v>3516</v>
      </c>
      <c r="B1843" s="18">
        <v>34.96</v>
      </c>
      <c r="C1843" s="18">
        <v>5.63</v>
      </c>
      <c r="D1843" s="18" t="s">
        <v>73</v>
      </c>
      <c r="E1843" s="18" t="s">
        <v>73</v>
      </c>
      <c r="F1843" s="18" t="s">
        <v>73</v>
      </c>
      <c r="G1843" s="20">
        <v>0.0</v>
      </c>
      <c r="H1843" s="18" t="s">
        <v>73</v>
      </c>
      <c r="I1843" s="18" t="str">
        <f t="shared" si="1"/>
        <v>Obesity</v>
      </c>
    </row>
    <row r="1844" ht="15.75" customHeight="1">
      <c r="A1844" s="18" t="s">
        <v>3510</v>
      </c>
      <c r="B1844" s="18">
        <v>38.39</v>
      </c>
      <c r="C1844" s="18">
        <v>6.05</v>
      </c>
      <c r="D1844" s="18" t="s">
        <v>73</v>
      </c>
      <c r="E1844" s="18" t="s">
        <v>73</v>
      </c>
      <c r="F1844" s="18" t="s">
        <v>73</v>
      </c>
      <c r="G1844" s="20">
        <v>0.0</v>
      </c>
      <c r="H1844" s="18" t="s">
        <v>73</v>
      </c>
      <c r="I1844" s="18" t="str">
        <f t="shared" si="1"/>
        <v>Obesity</v>
      </c>
    </row>
    <row r="1845" ht="15.75" customHeight="1">
      <c r="A1845" s="18" t="s">
        <v>3504</v>
      </c>
      <c r="B1845" s="18">
        <v>33.82</v>
      </c>
      <c r="C1845" s="18">
        <v>4.65</v>
      </c>
      <c r="D1845" s="18" t="s">
        <v>73</v>
      </c>
      <c r="E1845" s="18" t="s">
        <v>73</v>
      </c>
      <c r="F1845" s="18" t="s">
        <v>73</v>
      </c>
      <c r="G1845" s="20">
        <v>0.0</v>
      </c>
      <c r="H1845" s="18" t="s">
        <v>73</v>
      </c>
      <c r="I1845" s="18" t="str">
        <f t="shared" si="1"/>
        <v>Obesity</v>
      </c>
    </row>
    <row r="1846" ht="15.75" customHeight="1">
      <c r="A1846" s="18" t="s">
        <v>3495</v>
      </c>
      <c r="B1846" s="18">
        <v>27.835</v>
      </c>
      <c r="C1846" s="18">
        <v>5.37</v>
      </c>
      <c r="D1846" s="18" t="s">
        <v>73</v>
      </c>
      <c r="E1846" s="18" t="s">
        <v>73</v>
      </c>
      <c r="F1846" s="18" t="s">
        <v>73</v>
      </c>
      <c r="G1846" s="20">
        <v>0.0</v>
      </c>
      <c r="H1846" s="18" t="s">
        <v>73</v>
      </c>
      <c r="I1846" s="18" t="str">
        <f t="shared" si="1"/>
        <v>Overweight</v>
      </c>
    </row>
    <row r="1847" ht="15.75" customHeight="1">
      <c r="A1847" s="18" t="s">
        <v>3486</v>
      </c>
      <c r="B1847" s="18">
        <v>33.0</v>
      </c>
      <c r="C1847" s="18">
        <v>5.39</v>
      </c>
      <c r="D1847" s="18" t="s">
        <v>73</v>
      </c>
      <c r="E1847" s="18" t="s">
        <v>73</v>
      </c>
      <c r="F1847" s="18" t="s">
        <v>73</v>
      </c>
      <c r="G1847" s="20">
        <v>0.0</v>
      </c>
      <c r="H1847" s="18" t="s">
        <v>73</v>
      </c>
      <c r="I1847" s="18" t="str">
        <f t="shared" si="1"/>
        <v>Obesity</v>
      </c>
    </row>
    <row r="1848" ht="15.75" customHeight="1">
      <c r="A1848" s="18" t="s">
        <v>3477</v>
      </c>
      <c r="B1848" s="18">
        <v>26.885</v>
      </c>
      <c r="C1848" s="18">
        <v>5.86</v>
      </c>
      <c r="D1848" s="18" t="s">
        <v>73</v>
      </c>
      <c r="E1848" s="18" t="s">
        <v>73</v>
      </c>
      <c r="F1848" s="18" t="s">
        <v>73</v>
      </c>
      <c r="G1848" s="20">
        <v>0.0</v>
      </c>
      <c r="H1848" s="18" t="s">
        <v>73</v>
      </c>
      <c r="I1848" s="18" t="str">
        <f t="shared" si="1"/>
        <v>Overweight</v>
      </c>
    </row>
    <row r="1849" ht="15.75" customHeight="1">
      <c r="A1849" s="18" t="s">
        <v>3468</v>
      </c>
      <c r="B1849" s="18">
        <v>29.26</v>
      </c>
      <c r="C1849" s="18">
        <v>4.44</v>
      </c>
      <c r="D1849" s="18" t="s">
        <v>73</v>
      </c>
      <c r="E1849" s="18" t="s">
        <v>73</v>
      </c>
      <c r="F1849" s="18" t="s">
        <v>73</v>
      </c>
      <c r="G1849" s="20">
        <v>0.0</v>
      </c>
      <c r="H1849" s="18" t="s">
        <v>73</v>
      </c>
      <c r="I1849" s="18" t="str">
        <f t="shared" si="1"/>
        <v>Overweight</v>
      </c>
    </row>
    <row r="1850" ht="15.75" customHeight="1">
      <c r="A1850" s="18" t="s">
        <v>3461</v>
      </c>
      <c r="B1850" s="18">
        <v>26.98</v>
      </c>
      <c r="C1850" s="18">
        <v>4.41</v>
      </c>
      <c r="D1850" s="18" t="s">
        <v>73</v>
      </c>
      <c r="E1850" s="18" t="s">
        <v>73</v>
      </c>
      <c r="F1850" s="18" t="s">
        <v>73</v>
      </c>
      <c r="G1850" s="20">
        <v>0.0</v>
      </c>
      <c r="H1850" s="18" t="s">
        <v>73</v>
      </c>
      <c r="I1850" s="18" t="str">
        <f t="shared" si="1"/>
        <v>Overweight</v>
      </c>
    </row>
    <row r="1851" ht="15.75" customHeight="1">
      <c r="A1851" s="18" t="s">
        <v>3453</v>
      </c>
      <c r="B1851" s="18">
        <v>32.11</v>
      </c>
      <c r="C1851" s="18">
        <v>5.19</v>
      </c>
      <c r="D1851" s="18" t="s">
        <v>73</v>
      </c>
      <c r="E1851" s="18" t="s">
        <v>73</v>
      </c>
      <c r="F1851" s="18" t="s">
        <v>184</v>
      </c>
      <c r="G1851" s="18">
        <v>1.0</v>
      </c>
      <c r="H1851" s="18" t="s">
        <v>73</v>
      </c>
      <c r="I1851" s="18" t="str">
        <f t="shared" si="1"/>
        <v>Obesity</v>
      </c>
    </row>
    <row r="1852" ht="15.75" customHeight="1">
      <c r="A1852" s="18" t="s">
        <v>3446</v>
      </c>
      <c r="B1852" s="18">
        <v>31.73</v>
      </c>
      <c r="C1852" s="18">
        <v>5.16</v>
      </c>
      <c r="D1852" s="18" t="s">
        <v>73</v>
      </c>
      <c r="E1852" s="18" t="s">
        <v>73</v>
      </c>
      <c r="F1852" s="18" t="s">
        <v>184</v>
      </c>
      <c r="G1852" s="18">
        <v>1.0</v>
      </c>
      <c r="H1852" s="18" t="s">
        <v>73</v>
      </c>
      <c r="I1852" s="18" t="str">
        <f t="shared" si="1"/>
        <v>Obesity</v>
      </c>
    </row>
    <row r="1853" ht="15.75" customHeight="1">
      <c r="A1853" s="18" t="s">
        <v>3444</v>
      </c>
      <c r="B1853" s="18">
        <v>22.515</v>
      </c>
      <c r="C1853" s="18">
        <v>4.24</v>
      </c>
      <c r="D1853" s="18" t="s">
        <v>73</v>
      </c>
      <c r="E1853" s="18" t="s">
        <v>73</v>
      </c>
      <c r="F1853" s="18" t="s">
        <v>73</v>
      </c>
      <c r="G1853" s="20">
        <v>0.0</v>
      </c>
      <c r="H1853" s="18" t="s">
        <v>73</v>
      </c>
      <c r="I1853" s="18" t="str">
        <f t="shared" si="1"/>
        <v>Normal Weight</v>
      </c>
    </row>
    <row r="1854" ht="15.75" customHeight="1">
      <c r="A1854" s="18" t="s">
        <v>3442</v>
      </c>
      <c r="B1854" s="18">
        <v>25.9</v>
      </c>
      <c r="C1854" s="18">
        <v>5.45</v>
      </c>
      <c r="D1854" s="18" t="s">
        <v>73</v>
      </c>
      <c r="E1854" s="18" t="s">
        <v>73</v>
      </c>
      <c r="F1854" s="18" t="s">
        <v>73</v>
      </c>
      <c r="G1854" s="18">
        <v>1.0</v>
      </c>
      <c r="H1854" s="18" t="s">
        <v>73</v>
      </c>
      <c r="I1854" s="18" t="str">
        <f t="shared" si="1"/>
        <v>Overweight</v>
      </c>
    </row>
    <row r="1855" ht="15.75" customHeight="1">
      <c r="A1855" s="18" t="s">
        <v>3433</v>
      </c>
      <c r="B1855" s="18">
        <v>27.72</v>
      </c>
      <c r="C1855" s="18">
        <v>5.03</v>
      </c>
      <c r="D1855" s="18" t="s">
        <v>80</v>
      </c>
      <c r="E1855" s="18" t="s">
        <v>73</v>
      </c>
      <c r="F1855" s="18" t="s">
        <v>73</v>
      </c>
      <c r="G1855" s="18">
        <v>1.0</v>
      </c>
      <c r="H1855" s="18" t="s">
        <v>73</v>
      </c>
      <c r="I1855" s="18" t="str">
        <f t="shared" si="1"/>
        <v>Overweight</v>
      </c>
    </row>
    <row r="1856" ht="15.75" customHeight="1">
      <c r="A1856" s="18" t="s">
        <v>3429</v>
      </c>
      <c r="B1856" s="18">
        <v>31.5</v>
      </c>
      <c r="C1856" s="18">
        <v>9.62</v>
      </c>
      <c r="D1856" s="18" t="s">
        <v>80</v>
      </c>
      <c r="E1856" s="18" t="s">
        <v>73</v>
      </c>
      <c r="F1856" s="18" t="s">
        <v>73</v>
      </c>
      <c r="G1856" s="18">
        <v>1.0</v>
      </c>
      <c r="H1856" s="18" t="s">
        <v>73</v>
      </c>
      <c r="I1856" s="18" t="str">
        <f t="shared" si="1"/>
        <v>Obesity</v>
      </c>
    </row>
    <row r="1857" ht="15.75" customHeight="1">
      <c r="A1857" s="18" t="s">
        <v>3424</v>
      </c>
      <c r="B1857" s="18">
        <v>29.7</v>
      </c>
      <c r="C1857" s="18">
        <v>6.77</v>
      </c>
      <c r="D1857" s="18" t="s">
        <v>80</v>
      </c>
      <c r="E1857" s="18" t="s">
        <v>73</v>
      </c>
      <c r="F1857" s="18" t="s">
        <v>73</v>
      </c>
      <c r="G1857" s="18">
        <v>1.0</v>
      </c>
      <c r="H1857" s="18" t="s">
        <v>73</v>
      </c>
      <c r="I1857" s="18" t="str">
        <f t="shared" si="1"/>
        <v>Overweight</v>
      </c>
    </row>
    <row r="1858" ht="15.75" customHeight="1">
      <c r="A1858" s="18" t="s">
        <v>3420</v>
      </c>
      <c r="B1858" s="18">
        <v>21.26</v>
      </c>
      <c r="C1858" s="18">
        <v>5.36</v>
      </c>
      <c r="D1858" s="18" t="s">
        <v>80</v>
      </c>
      <c r="E1858" s="18" t="s">
        <v>73</v>
      </c>
      <c r="F1858" s="18" t="s">
        <v>73</v>
      </c>
      <c r="G1858" s="18">
        <v>1.0</v>
      </c>
      <c r="H1858" s="18" t="s">
        <v>73</v>
      </c>
      <c r="I1858" s="18" t="str">
        <f t="shared" si="1"/>
        <v>Normal Weight</v>
      </c>
    </row>
    <row r="1859" ht="15.75" customHeight="1">
      <c r="A1859" s="18" t="s">
        <v>3414</v>
      </c>
      <c r="B1859" s="18">
        <v>17.09</v>
      </c>
      <c r="C1859" s="18">
        <v>5.69</v>
      </c>
      <c r="D1859" s="18" t="s">
        <v>73</v>
      </c>
      <c r="E1859" s="18" t="s">
        <v>73</v>
      </c>
      <c r="F1859" s="18" t="s">
        <v>73</v>
      </c>
      <c r="G1859" s="20">
        <v>0.0</v>
      </c>
      <c r="H1859" s="18" t="s">
        <v>73</v>
      </c>
      <c r="I1859" s="18" t="str">
        <f t="shared" si="1"/>
        <v>Underweight</v>
      </c>
    </row>
    <row r="1860" ht="15.75" customHeight="1">
      <c r="A1860" s="18" t="s">
        <v>3409</v>
      </c>
      <c r="B1860" s="18">
        <v>24.3</v>
      </c>
      <c r="C1860" s="18">
        <v>4.9</v>
      </c>
      <c r="D1860" s="18" t="s">
        <v>80</v>
      </c>
      <c r="E1860" s="18" t="s">
        <v>73</v>
      </c>
      <c r="F1860" s="18" t="s">
        <v>184</v>
      </c>
      <c r="G1860" s="18">
        <v>1.0</v>
      </c>
      <c r="H1860" s="18" t="s">
        <v>73</v>
      </c>
      <c r="I1860" s="18" t="str">
        <f t="shared" si="1"/>
        <v>Normal Weight</v>
      </c>
    </row>
    <row r="1861" ht="15.75" customHeight="1">
      <c r="A1861" s="18" t="s">
        <v>3403</v>
      </c>
      <c r="B1861" s="18">
        <v>29.735</v>
      </c>
      <c r="C1861" s="18">
        <v>5.78</v>
      </c>
      <c r="D1861" s="18" t="s">
        <v>73</v>
      </c>
      <c r="E1861" s="18" t="s">
        <v>73</v>
      </c>
      <c r="F1861" s="18" t="s">
        <v>73</v>
      </c>
      <c r="G1861" s="20">
        <v>0.0</v>
      </c>
      <c r="H1861" s="18" t="s">
        <v>73</v>
      </c>
      <c r="I1861" s="18" t="str">
        <f t="shared" si="1"/>
        <v>Overweight</v>
      </c>
    </row>
    <row r="1862" ht="15.75" customHeight="1">
      <c r="A1862" s="18" t="s">
        <v>3399</v>
      </c>
      <c r="B1862" s="18">
        <v>29.26</v>
      </c>
      <c r="C1862" s="18">
        <v>4.7</v>
      </c>
      <c r="D1862" s="18" t="s">
        <v>73</v>
      </c>
      <c r="E1862" s="18" t="s">
        <v>73</v>
      </c>
      <c r="F1862" s="18" t="s">
        <v>73</v>
      </c>
      <c r="G1862" s="20">
        <v>0.0</v>
      </c>
      <c r="H1862" s="18" t="s">
        <v>73</v>
      </c>
      <c r="I1862" s="18" t="str">
        <f t="shared" si="1"/>
        <v>Overweight</v>
      </c>
    </row>
    <row r="1863" ht="15.75" customHeight="1">
      <c r="A1863" s="18" t="s">
        <v>3393</v>
      </c>
      <c r="B1863" s="18">
        <v>33.0</v>
      </c>
      <c r="C1863" s="18">
        <v>6.28</v>
      </c>
      <c r="D1863" s="18" t="s">
        <v>73</v>
      </c>
      <c r="E1863" s="18" t="s">
        <v>73</v>
      </c>
      <c r="F1863" s="18" t="s">
        <v>73</v>
      </c>
      <c r="G1863" s="20">
        <v>0.0</v>
      </c>
      <c r="H1863" s="18" t="s">
        <v>73</v>
      </c>
      <c r="I1863" s="18" t="str">
        <f t="shared" si="1"/>
        <v>Obesity</v>
      </c>
    </row>
    <row r="1864" ht="15.75" customHeight="1">
      <c r="A1864" s="18" t="s">
        <v>3386</v>
      </c>
      <c r="B1864" s="18">
        <v>31.065</v>
      </c>
      <c r="C1864" s="18">
        <v>4.23</v>
      </c>
      <c r="D1864" s="18" t="s">
        <v>73</v>
      </c>
      <c r="E1864" s="18" t="s">
        <v>73</v>
      </c>
      <c r="F1864" s="18" t="s">
        <v>73</v>
      </c>
      <c r="G1864" s="20">
        <v>0.0</v>
      </c>
      <c r="H1864" s="18" t="s">
        <v>73</v>
      </c>
      <c r="I1864" s="18" t="str">
        <f t="shared" si="1"/>
        <v>Obesity</v>
      </c>
    </row>
    <row r="1865" ht="15.75" customHeight="1">
      <c r="A1865" s="18" t="s">
        <v>3380</v>
      </c>
      <c r="B1865" s="18">
        <v>26.51</v>
      </c>
      <c r="C1865" s="18">
        <v>6.17</v>
      </c>
      <c r="D1865" s="18" t="s">
        <v>73</v>
      </c>
      <c r="E1865" s="18" t="s">
        <v>73</v>
      </c>
      <c r="F1865" s="18" t="s">
        <v>73</v>
      </c>
      <c r="G1865" s="20">
        <v>0.0</v>
      </c>
      <c r="H1865" s="18" t="s">
        <v>73</v>
      </c>
      <c r="I1865" s="18" t="str">
        <f t="shared" si="1"/>
        <v>Overweight</v>
      </c>
    </row>
    <row r="1866" ht="15.75" customHeight="1">
      <c r="A1866" s="18" t="s">
        <v>3374</v>
      </c>
      <c r="B1866" s="18">
        <v>28.88</v>
      </c>
      <c r="C1866" s="18">
        <v>4.96</v>
      </c>
      <c r="D1866" s="18" t="s">
        <v>73</v>
      </c>
      <c r="E1866" s="18" t="s">
        <v>73</v>
      </c>
      <c r="F1866" s="18" t="s">
        <v>73</v>
      </c>
      <c r="G1866" s="20">
        <v>0.0</v>
      </c>
      <c r="H1866" s="18" t="s">
        <v>73</v>
      </c>
      <c r="I1866" s="18" t="str">
        <f t="shared" si="1"/>
        <v>Overweight</v>
      </c>
    </row>
    <row r="1867" ht="15.75" customHeight="1">
      <c r="A1867" s="18" t="s">
        <v>3370</v>
      </c>
      <c r="B1867" s="18">
        <v>35.815</v>
      </c>
      <c r="C1867" s="18">
        <v>5.11</v>
      </c>
      <c r="D1867" s="18" t="s">
        <v>80</v>
      </c>
      <c r="E1867" s="18" t="s">
        <v>73</v>
      </c>
      <c r="F1867" s="18" t="s">
        <v>73</v>
      </c>
      <c r="G1867" s="18">
        <v>1.0</v>
      </c>
      <c r="H1867" s="18" t="s">
        <v>73</v>
      </c>
      <c r="I1867" s="18" t="str">
        <f t="shared" si="1"/>
        <v>Obesity</v>
      </c>
    </row>
    <row r="1868" ht="15.75" customHeight="1">
      <c r="A1868" s="18" t="s">
        <v>3365</v>
      </c>
      <c r="B1868" s="18">
        <v>21.28</v>
      </c>
      <c r="C1868" s="18">
        <v>4.05</v>
      </c>
      <c r="D1868" s="18" t="s">
        <v>73</v>
      </c>
      <c r="E1868" s="18" t="s">
        <v>80</v>
      </c>
      <c r="F1868" s="18" t="s">
        <v>73</v>
      </c>
      <c r="G1868" s="18">
        <v>1.0</v>
      </c>
      <c r="H1868" s="18" t="s">
        <v>73</v>
      </c>
      <c r="I1868" s="18" t="str">
        <f t="shared" si="1"/>
        <v>Normal Weight</v>
      </c>
    </row>
    <row r="1869" ht="15.75" customHeight="1">
      <c r="A1869" s="18" t="s">
        <v>3359</v>
      </c>
      <c r="B1869" s="18">
        <v>33.81</v>
      </c>
      <c r="C1869" s="18">
        <v>6.49</v>
      </c>
      <c r="D1869" s="18" t="s">
        <v>73</v>
      </c>
      <c r="E1869" s="18" t="s">
        <v>73</v>
      </c>
      <c r="F1869" s="18" t="s">
        <v>184</v>
      </c>
      <c r="G1869" s="18">
        <v>1.0</v>
      </c>
      <c r="H1869" s="18" t="s">
        <v>73</v>
      </c>
      <c r="I1869" s="18" t="str">
        <f t="shared" si="1"/>
        <v>Obesity</v>
      </c>
    </row>
    <row r="1870" ht="15.75" customHeight="1">
      <c r="A1870" s="18" t="s">
        <v>3354</v>
      </c>
      <c r="B1870" s="18">
        <v>44.22</v>
      </c>
      <c r="C1870" s="18">
        <v>4.19</v>
      </c>
      <c r="D1870" s="18" t="s">
        <v>73</v>
      </c>
      <c r="E1870" s="18" t="s">
        <v>73</v>
      </c>
      <c r="F1870" s="18" t="s">
        <v>73</v>
      </c>
      <c r="G1870" s="18">
        <v>1.0</v>
      </c>
      <c r="H1870" s="18" t="s">
        <v>73</v>
      </c>
      <c r="I1870" s="18" t="str">
        <f t="shared" si="1"/>
        <v>Obesity</v>
      </c>
    </row>
    <row r="1871" ht="15.75" customHeight="1">
      <c r="A1871" s="18" t="s">
        <v>3348</v>
      </c>
      <c r="B1871" s="18">
        <v>15.46</v>
      </c>
      <c r="C1871" s="18">
        <v>4.99</v>
      </c>
      <c r="D1871" s="18" t="s">
        <v>80</v>
      </c>
      <c r="E1871" s="18" t="s">
        <v>73</v>
      </c>
      <c r="F1871" s="18" t="s">
        <v>184</v>
      </c>
      <c r="G1871" s="18">
        <v>1.0</v>
      </c>
      <c r="H1871" s="18" t="s">
        <v>73</v>
      </c>
      <c r="I1871" s="18" t="str">
        <f t="shared" si="1"/>
        <v>Underweight</v>
      </c>
    </row>
    <row r="1872" ht="15.75" customHeight="1">
      <c r="A1872" s="18" t="s">
        <v>3342</v>
      </c>
      <c r="B1872" s="18">
        <v>30.3</v>
      </c>
      <c r="C1872" s="18">
        <v>4.77</v>
      </c>
      <c r="D1872" s="18" t="s">
        <v>80</v>
      </c>
      <c r="E1872" s="18" t="s">
        <v>73</v>
      </c>
      <c r="F1872" s="18" t="s">
        <v>73</v>
      </c>
      <c r="G1872" s="18">
        <v>1.0</v>
      </c>
      <c r="H1872" s="18" t="s">
        <v>73</v>
      </c>
      <c r="I1872" s="18" t="str">
        <f t="shared" si="1"/>
        <v>Obesity</v>
      </c>
    </row>
    <row r="1873" ht="15.75" customHeight="1">
      <c r="A1873" s="18" t="s">
        <v>3336</v>
      </c>
      <c r="B1873" s="18">
        <v>16.67</v>
      </c>
      <c r="C1873" s="18">
        <v>5.46</v>
      </c>
      <c r="D1873" s="18" t="s">
        <v>73</v>
      </c>
      <c r="E1873" s="18" t="s">
        <v>73</v>
      </c>
      <c r="F1873" s="18" t="s">
        <v>73</v>
      </c>
      <c r="G1873" s="20">
        <v>0.0</v>
      </c>
      <c r="H1873" s="18" t="s">
        <v>73</v>
      </c>
      <c r="I1873" s="18" t="str">
        <f t="shared" si="1"/>
        <v>Underweight</v>
      </c>
    </row>
    <row r="1874" ht="15.75" customHeight="1">
      <c r="A1874" s="18" t="s">
        <v>3331</v>
      </c>
      <c r="B1874" s="18">
        <v>28.595</v>
      </c>
      <c r="C1874" s="18">
        <v>5.43</v>
      </c>
      <c r="D1874" s="18" t="s">
        <v>73</v>
      </c>
      <c r="E1874" s="18" t="s">
        <v>73</v>
      </c>
      <c r="F1874" s="18" t="s">
        <v>73</v>
      </c>
      <c r="G1874" s="20">
        <v>0.0</v>
      </c>
      <c r="H1874" s="18" t="s">
        <v>73</v>
      </c>
      <c r="I1874" s="18" t="str">
        <f t="shared" si="1"/>
        <v>Overweight</v>
      </c>
    </row>
    <row r="1875" ht="15.75" customHeight="1">
      <c r="A1875" s="18" t="s">
        <v>3325</v>
      </c>
      <c r="B1875" s="18">
        <v>25.935</v>
      </c>
      <c r="C1875" s="18">
        <v>4.29</v>
      </c>
      <c r="D1875" s="18" t="s">
        <v>73</v>
      </c>
      <c r="E1875" s="18" t="s">
        <v>73</v>
      </c>
      <c r="F1875" s="18" t="s">
        <v>73</v>
      </c>
      <c r="G1875" s="20">
        <v>0.0</v>
      </c>
      <c r="H1875" s="18" t="s">
        <v>73</v>
      </c>
      <c r="I1875" s="18" t="str">
        <f t="shared" si="1"/>
        <v>Overweight</v>
      </c>
    </row>
    <row r="1876" ht="15.75" customHeight="1">
      <c r="A1876" s="18" t="s">
        <v>3320</v>
      </c>
      <c r="B1876" s="18">
        <v>27.645</v>
      </c>
      <c r="C1876" s="18">
        <v>5.25</v>
      </c>
      <c r="D1876" s="18" t="s">
        <v>73</v>
      </c>
      <c r="E1876" s="18" t="s">
        <v>73</v>
      </c>
      <c r="F1876" s="18" t="s">
        <v>73</v>
      </c>
      <c r="G1876" s="18">
        <v>1.0</v>
      </c>
      <c r="H1876" s="18" t="s">
        <v>73</v>
      </c>
      <c r="I1876" s="18" t="str">
        <f t="shared" si="1"/>
        <v>Overweight</v>
      </c>
    </row>
    <row r="1877" ht="15.75" customHeight="1">
      <c r="A1877" s="18" t="s">
        <v>3314</v>
      </c>
      <c r="B1877" s="18">
        <v>30.1</v>
      </c>
      <c r="C1877" s="18">
        <v>4.04</v>
      </c>
      <c r="D1877" s="18" t="s">
        <v>73</v>
      </c>
      <c r="E1877" s="18" t="s">
        <v>73</v>
      </c>
      <c r="F1877" s="18" t="s">
        <v>73</v>
      </c>
      <c r="G1877" s="18">
        <v>1.0</v>
      </c>
      <c r="H1877" s="18" t="s">
        <v>73</v>
      </c>
      <c r="I1877" s="18" t="str">
        <f t="shared" si="1"/>
        <v>Obesity</v>
      </c>
    </row>
    <row r="1878" ht="15.75" customHeight="1">
      <c r="A1878" s="18" t="s">
        <v>3309</v>
      </c>
      <c r="B1878" s="18">
        <v>26.79</v>
      </c>
      <c r="C1878" s="18">
        <v>5.0</v>
      </c>
      <c r="D1878" s="18" t="s">
        <v>80</v>
      </c>
      <c r="E1878" s="18" t="s">
        <v>73</v>
      </c>
      <c r="F1878" s="18" t="s">
        <v>184</v>
      </c>
      <c r="G1878" s="18">
        <v>1.0</v>
      </c>
      <c r="H1878" s="18" t="s">
        <v>73</v>
      </c>
      <c r="I1878" s="18" t="str">
        <f t="shared" si="1"/>
        <v>Overweight</v>
      </c>
    </row>
    <row r="1879" ht="15.75" customHeight="1">
      <c r="A1879" s="18" t="s">
        <v>3303</v>
      </c>
      <c r="B1879" s="18">
        <v>27.1</v>
      </c>
      <c r="C1879" s="18">
        <v>4.01</v>
      </c>
      <c r="D1879" s="18" t="s">
        <v>80</v>
      </c>
      <c r="E1879" s="18" t="s">
        <v>73</v>
      </c>
      <c r="F1879" s="18" t="s">
        <v>73</v>
      </c>
      <c r="G1879" s="18">
        <v>1.0</v>
      </c>
      <c r="H1879" s="18" t="s">
        <v>73</v>
      </c>
      <c r="I1879" s="18" t="str">
        <f t="shared" si="1"/>
        <v>Overweight</v>
      </c>
    </row>
    <row r="1880" ht="15.75" customHeight="1">
      <c r="A1880" s="18" t="s">
        <v>3299</v>
      </c>
      <c r="B1880" s="18">
        <v>24.31</v>
      </c>
      <c r="C1880" s="18">
        <v>5.4</v>
      </c>
      <c r="D1880" s="18" t="s">
        <v>73</v>
      </c>
      <c r="E1880" s="18" t="s">
        <v>73</v>
      </c>
      <c r="F1880" s="18" t="s">
        <v>73</v>
      </c>
      <c r="G1880" s="20">
        <v>0.0</v>
      </c>
      <c r="H1880" s="18" t="s">
        <v>73</v>
      </c>
      <c r="I1880" s="18" t="str">
        <f t="shared" si="1"/>
        <v>Normal Weight</v>
      </c>
    </row>
    <row r="1881" ht="15.75" customHeight="1">
      <c r="A1881" s="18" t="s">
        <v>3293</v>
      </c>
      <c r="B1881" s="18">
        <v>15.53</v>
      </c>
      <c r="C1881" s="18">
        <v>5.81</v>
      </c>
      <c r="D1881" s="18" t="s">
        <v>73</v>
      </c>
      <c r="E1881" s="18" t="s">
        <v>73</v>
      </c>
      <c r="F1881" s="18" t="s">
        <v>73</v>
      </c>
      <c r="G1881" s="18">
        <v>1.0</v>
      </c>
      <c r="H1881" s="18" t="s">
        <v>73</v>
      </c>
      <c r="I1881" s="18" t="str">
        <f t="shared" si="1"/>
        <v>Underweight</v>
      </c>
    </row>
    <row r="1882" ht="15.75" customHeight="1">
      <c r="A1882" s="18" t="s">
        <v>3289</v>
      </c>
      <c r="B1882" s="18">
        <v>30.7</v>
      </c>
      <c r="C1882" s="18">
        <v>5.82</v>
      </c>
      <c r="D1882" s="18" t="s">
        <v>73</v>
      </c>
      <c r="E1882" s="18" t="s">
        <v>73</v>
      </c>
      <c r="F1882" s="18" t="s">
        <v>73</v>
      </c>
      <c r="G1882" s="18">
        <v>1.0</v>
      </c>
      <c r="H1882" s="18" t="s">
        <v>73</v>
      </c>
      <c r="I1882" s="18" t="str">
        <f t="shared" si="1"/>
        <v>Obesity</v>
      </c>
    </row>
    <row r="1883" ht="15.75" customHeight="1">
      <c r="A1883" s="18" t="s">
        <v>3284</v>
      </c>
      <c r="B1883" s="18">
        <v>33.33</v>
      </c>
      <c r="C1883" s="18">
        <v>4.82</v>
      </c>
      <c r="D1883" s="18" t="s">
        <v>73</v>
      </c>
      <c r="E1883" s="18" t="s">
        <v>73</v>
      </c>
      <c r="F1883" s="18" t="s">
        <v>73</v>
      </c>
      <c r="G1883" s="18">
        <v>1.0</v>
      </c>
      <c r="H1883" s="18" t="s">
        <v>73</v>
      </c>
      <c r="I1883" s="18" t="str">
        <f t="shared" si="1"/>
        <v>Obesity</v>
      </c>
    </row>
    <row r="1884" ht="15.75" customHeight="1">
      <c r="A1884" s="18" t="s">
        <v>3277</v>
      </c>
      <c r="B1884" s="18">
        <v>32.4</v>
      </c>
      <c r="C1884" s="18">
        <v>5.08</v>
      </c>
      <c r="D1884" s="18" t="s">
        <v>73</v>
      </c>
      <c r="E1884" s="18" t="s">
        <v>73</v>
      </c>
      <c r="F1884" s="18" t="s">
        <v>73</v>
      </c>
      <c r="G1884" s="18">
        <v>1.0</v>
      </c>
      <c r="H1884" s="18" t="s">
        <v>73</v>
      </c>
      <c r="I1884" s="18" t="str">
        <f t="shared" si="1"/>
        <v>Obesity</v>
      </c>
    </row>
    <row r="1885" ht="15.75" customHeight="1">
      <c r="A1885" s="18" t="s">
        <v>3273</v>
      </c>
      <c r="B1885" s="18">
        <v>27.93</v>
      </c>
      <c r="C1885" s="18">
        <v>5.59</v>
      </c>
      <c r="D1885" s="18" t="s">
        <v>73</v>
      </c>
      <c r="E1885" s="18" t="s">
        <v>73</v>
      </c>
      <c r="F1885" s="18" t="s">
        <v>73</v>
      </c>
      <c r="G1885" s="18">
        <v>1.0</v>
      </c>
      <c r="H1885" s="18" t="s">
        <v>73</v>
      </c>
      <c r="I1885" s="18" t="str">
        <f t="shared" si="1"/>
        <v>Overweight</v>
      </c>
    </row>
    <row r="1886" ht="15.75" customHeight="1">
      <c r="A1886" s="18" t="s">
        <v>3266</v>
      </c>
      <c r="B1886" s="18">
        <v>21.755</v>
      </c>
      <c r="C1886" s="18">
        <v>5.12</v>
      </c>
      <c r="D1886" s="18" t="s">
        <v>73</v>
      </c>
      <c r="E1886" s="18" t="s">
        <v>73</v>
      </c>
      <c r="F1886" s="18" t="s">
        <v>73</v>
      </c>
      <c r="G1886" s="20">
        <v>0.0</v>
      </c>
      <c r="H1886" s="18" t="s">
        <v>73</v>
      </c>
      <c r="I1886" s="18" t="str">
        <f t="shared" si="1"/>
        <v>Normal Weight</v>
      </c>
    </row>
    <row r="1887" ht="15.75" customHeight="1">
      <c r="A1887" s="18" t="s">
        <v>3257</v>
      </c>
      <c r="B1887" s="18">
        <v>25.935</v>
      </c>
      <c r="C1887" s="18">
        <v>4.95</v>
      </c>
      <c r="D1887" s="18" t="s">
        <v>73</v>
      </c>
      <c r="E1887" s="18" t="s">
        <v>73</v>
      </c>
      <c r="F1887" s="18" t="s">
        <v>73</v>
      </c>
      <c r="G1887" s="20">
        <v>0.0</v>
      </c>
      <c r="H1887" s="18" t="s">
        <v>73</v>
      </c>
      <c r="I1887" s="18" t="str">
        <f t="shared" si="1"/>
        <v>Overweight</v>
      </c>
    </row>
    <row r="1888" ht="15.75" customHeight="1">
      <c r="A1888" s="18" t="s">
        <v>3251</v>
      </c>
      <c r="B1888" s="18">
        <v>31.5</v>
      </c>
      <c r="C1888" s="18">
        <v>6.16</v>
      </c>
      <c r="D1888" s="18" t="s">
        <v>73</v>
      </c>
      <c r="E1888" s="18" t="s">
        <v>73</v>
      </c>
      <c r="F1888" s="18" t="s">
        <v>73</v>
      </c>
      <c r="G1888" s="20">
        <v>0.0</v>
      </c>
      <c r="H1888" s="18" t="s">
        <v>73</v>
      </c>
      <c r="I1888" s="18" t="str">
        <f t="shared" si="1"/>
        <v>Obesity</v>
      </c>
    </row>
    <row r="1889" ht="15.75" customHeight="1">
      <c r="A1889" s="18" t="s">
        <v>3243</v>
      </c>
      <c r="B1889" s="18">
        <v>30.03</v>
      </c>
      <c r="C1889" s="18">
        <v>6.41</v>
      </c>
      <c r="D1889" s="18" t="s">
        <v>73</v>
      </c>
      <c r="E1889" s="18" t="s">
        <v>73</v>
      </c>
      <c r="F1889" s="18" t="s">
        <v>73</v>
      </c>
      <c r="G1889" s="20">
        <v>0.0</v>
      </c>
      <c r="H1889" s="18" t="s">
        <v>73</v>
      </c>
      <c r="I1889" s="18" t="str">
        <f t="shared" si="1"/>
        <v>Obesity</v>
      </c>
    </row>
    <row r="1890" ht="15.75" customHeight="1">
      <c r="A1890" s="18" t="s">
        <v>3236</v>
      </c>
      <c r="B1890" s="18">
        <v>33.48</v>
      </c>
      <c r="C1890" s="18">
        <v>8.94</v>
      </c>
      <c r="D1890" s="18" t="s">
        <v>73</v>
      </c>
      <c r="E1890" s="18" t="s">
        <v>73</v>
      </c>
      <c r="F1890" s="18" t="s">
        <v>73</v>
      </c>
      <c r="G1890" s="20">
        <v>0.0</v>
      </c>
      <c r="H1890" s="18" t="s">
        <v>73</v>
      </c>
      <c r="I1890" s="18" t="str">
        <f t="shared" si="1"/>
        <v>Obesity</v>
      </c>
    </row>
    <row r="1891" ht="15.75" customHeight="1">
      <c r="A1891" s="18" t="s">
        <v>3230</v>
      </c>
      <c r="B1891" s="18">
        <v>16.51</v>
      </c>
      <c r="C1891" s="18">
        <v>4.42</v>
      </c>
      <c r="D1891" s="18" t="s">
        <v>80</v>
      </c>
      <c r="E1891" s="18" t="s">
        <v>73</v>
      </c>
      <c r="F1891" s="18" t="s">
        <v>184</v>
      </c>
      <c r="G1891" s="18">
        <v>1.0</v>
      </c>
      <c r="H1891" s="18" t="s">
        <v>73</v>
      </c>
      <c r="I1891" s="18" t="str">
        <f t="shared" si="1"/>
        <v>Underweight</v>
      </c>
    </row>
    <row r="1892" ht="15.75" customHeight="1">
      <c r="A1892" s="18" t="s">
        <v>3223</v>
      </c>
      <c r="B1892" s="18">
        <v>33.155</v>
      </c>
      <c r="C1892" s="18">
        <v>5.3</v>
      </c>
      <c r="D1892" s="18" t="s">
        <v>80</v>
      </c>
      <c r="E1892" s="18" t="s">
        <v>73</v>
      </c>
      <c r="F1892" s="18" t="s">
        <v>73</v>
      </c>
      <c r="G1892" s="18">
        <v>1.0</v>
      </c>
      <c r="H1892" s="18" t="s">
        <v>73</v>
      </c>
      <c r="I1892" s="18" t="str">
        <f t="shared" si="1"/>
        <v>Obesity</v>
      </c>
    </row>
    <row r="1893" ht="15.75" customHeight="1">
      <c r="A1893" s="18" t="s">
        <v>3216</v>
      </c>
      <c r="B1893" s="18">
        <v>37.29</v>
      </c>
      <c r="C1893" s="18">
        <v>4.64</v>
      </c>
      <c r="D1893" s="18" t="s">
        <v>73</v>
      </c>
      <c r="E1893" s="18" t="s">
        <v>73</v>
      </c>
      <c r="F1893" s="18" t="s">
        <v>184</v>
      </c>
      <c r="G1893" s="18">
        <v>1.0</v>
      </c>
      <c r="H1893" s="18" t="s">
        <v>73</v>
      </c>
      <c r="I1893" s="18" t="str">
        <f t="shared" si="1"/>
        <v>Obesity</v>
      </c>
    </row>
    <row r="1894" ht="15.75" customHeight="1">
      <c r="A1894" s="18" t="s">
        <v>3209</v>
      </c>
      <c r="B1894" s="18">
        <v>20.23</v>
      </c>
      <c r="C1894" s="18">
        <v>6.16</v>
      </c>
      <c r="D1894" s="18" t="s">
        <v>80</v>
      </c>
      <c r="E1894" s="18" t="s">
        <v>73</v>
      </c>
      <c r="F1894" s="18" t="s">
        <v>73</v>
      </c>
      <c r="G1894" s="18">
        <v>1.0</v>
      </c>
      <c r="H1894" s="18" t="s">
        <v>73</v>
      </c>
      <c r="I1894" s="18" t="str">
        <f t="shared" si="1"/>
        <v>Normal Weight</v>
      </c>
    </row>
    <row r="1895" ht="15.75" customHeight="1">
      <c r="A1895" s="18" t="s">
        <v>3203</v>
      </c>
      <c r="B1895" s="18">
        <v>28.975</v>
      </c>
      <c r="C1895" s="18">
        <v>4.12</v>
      </c>
      <c r="D1895" s="18" t="s">
        <v>73</v>
      </c>
      <c r="E1895" s="18" t="s">
        <v>73</v>
      </c>
      <c r="F1895" s="18" t="s">
        <v>184</v>
      </c>
      <c r="G1895" s="18">
        <v>1.0</v>
      </c>
      <c r="H1895" s="18" t="s">
        <v>73</v>
      </c>
      <c r="I1895" s="18" t="str">
        <f t="shared" si="1"/>
        <v>Overweight</v>
      </c>
    </row>
    <row r="1896" ht="15.75" customHeight="1">
      <c r="A1896" s="18" t="s">
        <v>3194</v>
      </c>
      <c r="B1896" s="18">
        <v>16.42</v>
      </c>
      <c r="C1896" s="18">
        <v>5.77</v>
      </c>
      <c r="D1896" s="18" t="s">
        <v>80</v>
      </c>
      <c r="E1896" s="18" t="s">
        <v>73</v>
      </c>
      <c r="F1896" s="18" t="s">
        <v>184</v>
      </c>
      <c r="G1896" s="18">
        <v>1.0</v>
      </c>
      <c r="H1896" s="18" t="s">
        <v>73</v>
      </c>
      <c r="I1896" s="18" t="str">
        <f t="shared" si="1"/>
        <v>Underweight</v>
      </c>
    </row>
    <row r="1897" ht="15.75" customHeight="1">
      <c r="A1897" s="18" t="s">
        <v>3187</v>
      </c>
      <c r="B1897" s="18">
        <v>17.56</v>
      </c>
      <c r="C1897" s="18">
        <v>6.2</v>
      </c>
      <c r="D1897" s="18" t="s">
        <v>73</v>
      </c>
      <c r="E1897" s="18" t="s">
        <v>73</v>
      </c>
      <c r="F1897" s="18" t="s">
        <v>73</v>
      </c>
      <c r="G1897" s="18">
        <v>1.0</v>
      </c>
      <c r="H1897" s="18" t="s">
        <v>73</v>
      </c>
      <c r="I1897" s="18" t="str">
        <f t="shared" si="1"/>
        <v>Underweight</v>
      </c>
    </row>
    <row r="1898" ht="15.75" customHeight="1">
      <c r="A1898" s="18" t="s">
        <v>3182</v>
      </c>
      <c r="B1898" s="18">
        <v>24.13</v>
      </c>
      <c r="C1898" s="18">
        <v>4.39</v>
      </c>
      <c r="D1898" s="18" t="s">
        <v>73</v>
      </c>
      <c r="E1898" s="18" t="s">
        <v>73</v>
      </c>
      <c r="F1898" s="18" t="s">
        <v>73</v>
      </c>
      <c r="G1898" s="18">
        <v>1.0</v>
      </c>
      <c r="H1898" s="18" t="s">
        <v>73</v>
      </c>
      <c r="I1898" s="18" t="str">
        <f t="shared" si="1"/>
        <v>Normal Weight</v>
      </c>
    </row>
    <row r="1899" ht="15.75" customHeight="1">
      <c r="A1899" s="18" t="s">
        <v>3176</v>
      </c>
      <c r="B1899" s="18">
        <v>19.95</v>
      </c>
      <c r="C1899" s="18">
        <v>5.13</v>
      </c>
      <c r="D1899" s="18" t="s">
        <v>73</v>
      </c>
      <c r="E1899" s="18" t="s">
        <v>80</v>
      </c>
      <c r="F1899" s="18" t="s">
        <v>73</v>
      </c>
      <c r="G1899" s="18">
        <v>2.0</v>
      </c>
      <c r="H1899" s="18" t="s">
        <v>73</v>
      </c>
      <c r="I1899" s="18" t="str">
        <f t="shared" si="1"/>
        <v>Normal Weight</v>
      </c>
    </row>
    <row r="1900" ht="15.75" customHeight="1">
      <c r="A1900" s="18" t="s">
        <v>3168</v>
      </c>
      <c r="B1900" s="18">
        <v>21.24</v>
      </c>
      <c r="C1900" s="18">
        <v>4.49</v>
      </c>
      <c r="D1900" s="18" t="s">
        <v>73</v>
      </c>
      <c r="E1900" s="18" t="s">
        <v>73</v>
      </c>
      <c r="F1900" s="18" t="s">
        <v>73</v>
      </c>
      <c r="G1900" s="20">
        <v>0.0</v>
      </c>
      <c r="H1900" s="18" t="s">
        <v>73</v>
      </c>
      <c r="I1900" s="18" t="str">
        <f t="shared" si="1"/>
        <v>Normal Weight</v>
      </c>
    </row>
    <row r="1901" ht="15.75" customHeight="1">
      <c r="A1901" s="18" t="s">
        <v>3162</v>
      </c>
      <c r="B1901" s="18">
        <v>44.22</v>
      </c>
      <c r="C1901" s="18">
        <v>6.35</v>
      </c>
      <c r="D1901" s="18" t="s">
        <v>73</v>
      </c>
      <c r="E1901" s="18" t="s">
        <v>73</v>
      </c>
      <c r="F1901" s="18" t="s">
        <v>73</v>
      </c>
      <c r="G1901" s="20">
        <v>0.0</v>
      </c>
      <c r="H1901" s="18" t="s">
        <v>73</v>
      </c>
      <c r="I1901" s="18" t="str">
        <f t="shared" si="1"/>
        <v>Obesity</v>
      </c>
    </row>
    <row r="1902" ht="15.75" customHeight="1">
      <c r="A1902" s="18" t="s">
        <v>3155</v>
      </c>
      <c r="B1902" s="18">
        <v>41.1</v>
      </c>
      <c r="C1902" s="18">
        <v>5.79</v>
      </c>
      <c r="D1902" s="18" t="s">
        <v>73</v>
      </c>
      <c r="E1902" s="18" t="s">
        <v>73</v>
      </c>
      <c r="F1902" s="18" t="s">
        <v>73</v>
      </c>
      <c r="G1902" s="20">
        <v>0.0</v>
      </c>
      <c r="H1902" s="18" t="s">
        <v>73</v>
      </c>
      <c r="I1902" s="18" t="str">
        <f t="shared" si="1"/>
        <v>Obesity</v>
      </c>
    </row>
    <row r="1903" ht="15.75" customHeight="1">
      <c r="A1903" s="18" t="s">
        <v>3150</v>
      </c>
      <c r="B1903" s="18">
        <v>34.2</v>
      </c>
      <c r="C1903" s="18">
        <v>4.78</v>
      </c>
      <c r="D1903" s="18" t="s">
        <v>80</v>
      </c>
      <c r="E1903" s="18" t="s">
        <v>73</v>
      </c>
      <c r="F1903" s="18" t="s">
        <v>73</v>
      </c>
      <c r="G1903" s="20">
        <v>0.0</v>
      </c>
      <c r="H1903" s="18" t="s">
        <v>73</v>
      </c>
      <c r="I1903" s="18" t="str">
        <f t="shared" si="1"/>
        <v>Obesity</v>
      </c>
    </row>
    <row r="1904" ht="15.75" customHeight="1">
      <c r="A1904" s="18" t="s">
        <v>3141</v>
      </c>
      <c r="B1904" s="18">
        <v>29.92</v>
      </c>
      <c r="C1904" s="18">
        <v>6.02</v>
      </c>
      <c r="D1904" s="18" t="s">
        <v>80</v>
      </c>
      <c r="E1904" s="18" t="s">
        <v>73</v>
      </c>
      <c r="F1904" s="18" t="s">
        <v>73</v>
      </c>
      <c r="G1904" s="20">
        <v>0.0</v>
      </c>
      <c r="H1904" s="18" t="s">
        <v>73</v>
      </c>
      <c r="I1904" s="18" t="str">
        <f t="shared" si="1"/>
        <v>Overweight</v>
      </c>
    </row>
    <row r="1905" ht="15.75" customHeight="1">
      <c r="A1905" s="18" t="s">
        <v>3133</v>
      </c>
      <c r="B1905" s="18">
        <v>28.93</v>
      </c>
      <c r="C1905" s="18">
        <v>4.44</v>
      </c>
      <c r="D1905" s="18" t="s">
        <v>73</v>
      </c>
      <c r="E1905" s="18" t="s">
        <v>73</v>
      </c>
      <c r="F1905" s="18" t="s">
        <v>73</v>
      </c>
      <c r="G1905" s="20">
        <v>0.0</v>
      </c>
      <c r="H1905" s="18" t="s">
        <v>73</v>
      </c>
      <c r="I1905" s="18" t="str">
        <f t="shared" si="1"/>
        <v>Overweight</v>
      </c>
    </row>
    <row r="1906" ht="15.75" customHeight="1">
      <c r="A1906" s="18" t="s">
        <v>3127</v>
      </c>
      <c r="B1906" s="18">
        <v>31.255</v>
      </c>
      <c r="C1906" s="18">
        <v>5.84</v>
      </c>
      <c r="D1906" s="18" t="s">
        <v>80</v>
      </c>
      <c r="E1906" s="18" t="s">
        <v>73</v>
      </c>
      <c r="F1906" s="18" t="s">
        <v>73</v>
      </c>
      <c r="G1906" s="18">
        <v>1.0</v>
      </c>
      <c r="H1906" s="18" t="s">
        <v>73</v>
      </c>
      <c r="I1906" s="18" t="str">
        <f t="shared" si="1"/>
        <v>Obesity</v>
      </c>
    </row>
    <row r="1907" ht="15.75" customHeight="1">
      <c r="A1907" s="18" t="s">
        <v>3121</v>
      </c>
      <c r="B1907" s="18">
        <v>29.83</v>
      </c>
      <c r="C1907" s="18">
        <v>5.39</v>
      </c>
      <c r="D1907" s="18" t="s">
        <v>73</v>
      </c>
      <c r="E1907" s="18" t="s">
        <v>73</v>
      </c>
      <c r="F1907" s="18" t="s">
        <v>73</v>
      </c>
      <c r="G1907" s="20">
        <v>0.0</v>
      </c>
      <c r="H1907" s="18" t="s">
        <v>73</v>
      </c>
      <c r="I1907" s="18" t="str">
        <f t="shared" si="1"/>
        <v>Overweight</v>
      </c>
    </row>
    <row r="1908" ht="15.75" customHeight="1">
      <c r="A1908" s="18" t="s">
        <v>3114</v>
      </c>
      <c r="B1908" s="18">
        <v>29.59</v>
      </c>
      <c r="C1908" s="18">
        <v>6.16</v>
      </c>
      <c r="D1908" s="18" t="s">
        <v>73</v>
      </c>
      <c r="E1908" s="18" t="s">
        <v>73</v>
      </c>
      <c r="F1908" s="18" t="s">
        <v>184</v>
      </c>
      <c r="G1908" s="18">
        <v>1.0</v>
      </c>
      <c r="H1908" s="18" t="s">
        <v>73</v>
      </c>
      <c r="I1908" s="18" t="str">
        <f t="shared" si="1"/>
        <v>Overweight</v>
      </c>
    </row>
    <row r="1909" ht="15.75" customHeight="1">
      <c r="A1909" s="18" t="s">
        <v>3108</v>
      </c>
      <c r="B1909" s="18">
        <v>31.16</v>
      </c>
      <c r="C1909" s="18">
        <v>4.49</v>
      </c>
      <c r="D1909" s="18" t="s">
        <v>73</v>
      </c>
      <c r="E1909" s="18" t="s">
        <v>73</v>
      </c>
      <c r="F1909" s="18" t="s">
        <v>184</v>
      </c>
      <c r="G1909" s="18">
        <v>1.0</v>
      </c>
      <c r="H1909" s="18" t="s">
        <v>73</v>
      </c>
      <c r="I1909" s="18" t="str">
        <f t="shared" si="1"/>
        <v>Obesity</v>
      </c>
    </row>
    <row r="1910" ht="15.75" customHeight="1">
      <c r="A1910" s="18" t="s">
        <v>3100</v>
      </c>
      <c r="B1910" s="18">
        <v>34.21</v>
      </c>
      <c r="C1910" s="18">
        <v>4.48</v>
      </c>
      <c r="D1910" s="18" t="s">
        <v>80</v>
      </c>
      <c r="E1910" s="18" t="s">
        <v>73</v>
      </c>
      <c r="F1910" s="18" t="s">
        <v>73</v>
      </c>
      <c r="G1910" s="18">
        <v>1.0</v>
      </c>
      <c r="H1910" s="18" t="s">
        <v>73</v>
      </c>
      <c r="I1910" s="18" t="str">
        <f t="shared" si="1"/>
        <v>Obesity</v>
      </c>
    </row>
    <row r="1911" ht="15.75" customHeight="1">
      <c r="A1911" s="18" t="s">
        <v>3095</v>
      </c>
      <c r="B1911" s="18">
        <v>34.86</v>
      </c>
      <c r="C1911" s="18">
        <v>10.97</v>
      </c>
      <c r="D1911" s="18" t="s">
        <v>73</v>
      </c>
      <c r="E1911" s="18" t="s">
        <v>73</v>
      </c>
      <c r="F1911" s="18" t="s">
        <v>73</v>
      </c>
      <c r="G1911" s="20">
        <v>0.0</v>
      </c>
      <c r="H1911" s="18" t="s">
        <v>73</v>
      </c>
      <c r="I1911" s="18" t="str">
        <f t="shared" si="1"/>
        <v>Obesity</v>
      </c>
    </row>
    <row r="1912" ht="15.75" customHeight="1">
      <c r="A1912" s="18" t="s">
        <v>3088</v>
      </c>
      <c r="B1912" s="18">
        <v>34.58</v>
      </c>
      <c r="C1912" s="18">
        <v>5.14</v>
      </c>
      <c r="D1912" s="18" t="s">
        <v>73</v>
      </c>
      <c r="E1912" s="18" t="s">
        <v>80</v>
      </c>
      <c r="F1912" s="18" t="s">
        <v>73</v>
      </c>
      <c r="G1912" s="18">
        <v>2.0</v>
      </c>
      <c r="H1912" s="18" t="s">
        <v>73</v>
      </c>
      <c r="I1912" s="18" t="str">
        <f t="shared" si="1"/>
        <v>Obesity</v>
      </c>
    </row>
    <row r="1913" ht="15.75" customHeight="1">
      <c r="A1913" s="18" t="s">
        <v>3080</v>
      </c>
      <c r="B1913" s="18">
        <v>17.94</v>
      </c>
      <c r="C1913" s="18">
        <v>5.17</v>
      </c>
      <c r="D1913" s="18" t="s">
        <v>80</v>
      </c>
      <c r="E1913" s="18" t="s">
        <v>73</v>
      </c>
      <c r="F1913" s="18" t="s">
        <v>73</v>
      </c>
      <c r="G1913" s="20">
        <v>0.0</v>
      </c>
      <c r="H1913" s="18" t="s">
        <v>73</v>
      </c>
      <c r="I1913" s="18" t="str">
        <f t="shared" si="1"/>
        <v>Underweight</v>
      </c>
    </row>
    <row r="1914" ht="15.75" customHeight="1">
      <c r="A1914" s="18" t="s">
        <v>3076</v>
      </c>
      <c r="B1914" s="18">
        <v>26.8</v>
      </c>
      <c r="C1914" s="18">
        <v>6.18</v>
      </c>
      <c r="D1914" s="18" t="s">
        <v>80</v>
      </c>
      <c r="E1914" s="18" t="s">
        <v>73</v>
      </c>
      <c r="F1914" s="18" t="s">
        <v>184</v>
      </c>
      <c r="G1914" s="18">
        <v>1.0</v>
      </c>
      <c r="H1914" s="18" t="s">
        <v>73</v>
      </c>
      <c r="I1914" s="18" t="str">
        <f t="shared" si="1"/>
        <v>Overweight</v>
      </c>
    </row>
    <row r="1915" ht="15.75" customHeight="1">
      <c r="A1915" s="18" t="s">
        <v>3074</v>
      </c>
      <c r="B1915" s="18">
        <v>17.69</v>
      </c>
      <c r="C1915" s="18">
        <v>9.07</v>
      </c>
      <c r="D1915" s="18" t="s">
        <v>80</v>
      </c>
      <c r="E1915" s="18" t="s">
        <v>73</v>
      </c>
      <c r="F1915" s="18" t="s">
        <v>73</v>
      </c>
      <c r="G1915" s="20">
        <v>0.0</v>
      </c>
      <c r="H1915" s="18" t="s">
        <v>73</v>
      </c>
      <c r="I1915" s="18" t="str">
        <f t="shared" si="1"/>
        <v>Underweight</v>
      </c>
    </row>
    <row r="1916" ht="15.75" customHeight="1">
      <c r="A1916" s="18" t="s">
        <v>3073</v>
      </c>
      <c r="B1916" s="18">
        <v>25.77</v>
      </c>
      <c r="C1916" s="18">
        <v>4.43</v>
      </c>
      <c r="D1916" s="18" t="s">
        <v>73</v>
      </c>
      <c r="E1916" s="18" t="s">
        <v>73</v>
      </c>
      <c r="F1916" s="18" t="s">
        <v>184</v>
      </c>
      <c r="G1916" s="18">
        <v>1.0</v>
      </c>
      <c r="H1916" s="18" t="s">
        <v>73</v>
      </c>
      <c r="I1916" s="18" t="str">
        <f t="shared" si="1"/>
        <v>Overweight</v>
      </c>
    </row>
    <row r="1917" ht="15.75" customHeight="1">
      <c r="A1917" s="18" t="s">
        <v>3072</v>
      </c>
      <c r="B1917" s="18">
        <v>34.46</v>
      </c>
      <c r="C1917" s="18">
        <v>4.17</v>
      </c>
      <c r="D1917" s="18" t="s">
        <v>73</v>
      </c>
      <c r="E1917" s="18" t="s">
        <v>80</v>
      </c>
      <c r="F1917" s="18" t="s">
        <v>73</v>
      </c>
      <c r="G1917" s="18">
        <v>1.0</v>
      </c>
      <c r="H1917" s="18" t="s">
        <v>73</v>
      </c>
      <c r="I1917" s="18" t="str">
        <f t="shared" si="1"/>
        <v>Obesity</v>
      </c>
    </row>
    <row r="1918" ht="15.75" customHeight="1">
      <c r="A1918" s="18" t="s">
        <v>3066</v>
      </c>
      <c r="B1918" s="18">
        <v>30.875</v>
      </c>
      <c r="C1918" s="18">
        <v>4.95</v>
      </c>
      <c r="D1918" s="18" t="s">
        <v>80</v>
      </c>
      <c r="E1918" s="18" t="s">
        <v>73</v>
      </c>
      <c r="F1918" s="18" t="s">
        <v>73</v>
      </c>
      <c r="G1918" s="20">
        <v>0.0</v>
      </c>
      <c r="H1918" s="18" t="s">
        <v>73</v>
      </c>
      <c r="I1918" s="18" t="str">
        <f t="shared" si="1"/>
        <v>Obesity</v>
      </c>
    </row>
    <row r="1919" ht="15.75" customHeight="1">
      <c r="A1919" s="18" t="s">
        <v>3064</v>
      </c>
      <c r="B1919" s="18">
        <v>39.49</v>
      </c>
      <c r="C1919" s="18">
        <v>5.13</v>
      </c>
      <c r="D1919" s="18" t="s">
        <v>73</v>
      </c>
      <c r="E1919" s="18" t="s">
        <v>73</v>
      </c>
      <c r="F1919" s="18" t="s">
        <v>73</v>
      </c>
      <c r="G1919" s="20">
        <v>0.0</v>
      </c>
      <c r="H1919" s="18" t="s">
        <v>73</v>
      </c>
      <c r="I1919" s="18" t="str">
        <f t="shared" si="1"/>
        <v>Obesity</v>
      </c>
    </row>
    <row r="1920" ht="15.75" customHeight="1">
      <c r="A1920" s="18" t="s">
        <v>3058</v>
      </c>
      <c r="B1920" s="18">
        <v>28.88</v>
      </c>
      <c r="C1920" s="18">
        <v>4.1</v>
      </c>
      <c r="D1920" s="18" t="s">
        <v>73</v>
      </c>
      <c r="E1920" s="18" t="s">
        <v>73</v>
      </c>
      <c r="F1920" s="18" t="s">
        <v>73</v>
      </c>
      <c r="G1920" s="20">
        <v>0.0</v>
      </c>
      <c r="H1920" s="18" t="s">
        <v>73</v>
      </c>
      <c r="I1920" s="18" t="str">
        <f t="shared" si="1"/>
        <v>Overweight</v>
      </c>
    </row>
    <row r="1921" ht="15.75" customHeight="1">
      <c r="A1921" s="18" t="s">
        <v>3053</v>
      </c>
      <c r="B1921" s="18">
        <v>20.235</v>
      </c>
      <c r="C1921" s="18">
        <v>5.01</v>
      </c>
      <c r="D1921" s="18" t="s">
        <v>80</v>
      </c>
      <c r="E1921" s="18" t="s">
        <v>73</v>
      </c>
      <c r="F1921" s="18" t="s">
        <v>73</v>
      </c>
      <c r="G1921" s="20">
        <v>0.0</v>
      </c>
      <c r="H1921" s="18" t="s">
        <v>73</v>
      </c>
      <c r="I1921" s="18" t="str">
        <f t="shared" si="1"/>
        <v>Normal Weight</v>
      </c>
    </row>
    <row r="1922" ht="15.75" customHeight="1">
      <c r="A1922" s="18" t="s">
        <v>3048</v>
      </c>
      <c r="B1922" s="18">
        <v>30.67</v>
      </c>
      <c r="C1922" s="18">
        <v>5.09</v>
      </c>
      <c r="D1922" s="18" t="s">
        <v>80</v>
      </c>
      <c r="E1922" s="18" t="s">
        <v>73</v>
      </c>
      <c r="F1922" s="18" t="s">
        <v>73</v>
      </c>
      <c r="G1922" s="20">
        <v>0.0</v>
      </c>
      <c r="H1922" s="18" t="s">
        <v>73</v>
      </c>
      <c r="I1922" s="18" t="str">
        <f t="shared" si="1"/>
        <v>Obesity</v>
      </c>
    </row>
    <row r="1923" ht="15.75" customHeight="1">
      <c r="A1923" s="18" t="s">
        <v>3042</v>
      </c>
      <c r="B1923" s="18">
        <v>30.875</v>
      </c>
      <c r="C1923" s="18">
        <v>6.49</v>
      </c>
      <c r="D1923" s="18" t="s">
        <v>73</v>
      </c>
      <c r="E1923" s="18" t="s">
        <v>73</v>
      </c>
      <c r="F1923" s="18" t="s">
        <v>73</v>
      </c>
      <c r="G1923" s="20">
        <v>0.0</v>
      </c>
      <c r="H1923" s="18" t="s">
        <v>73</v>
      </c>
      <c r="I1923" s="18" t="str">
        <f t="shared" si="1"/>
        <v>Obesity</v>
      </c>
    </row>
    <row r="1924" ht="15.75" customHeight="1">
      <c r="A1924" s="18" t="s">
        <v>3038</v>
      </c>
      <c r="B1924" s="18">
        <v>23.8</v>
      </c>
      <c r="C1924" s="18">
        <v>4.08</v>
      </c>
      <c r="D1924" s="18" t="s">
        <v>73</v>
      </c>
      <c r="E1924" s="18" t="s">
        <v>73</v>
      </c>
      <c r="F1924" s="18" t="s">
        <v>73</v>
      </c>
      <c r="G1924" s="20">
        <v>0.0</v>
      </c>
      <c r="H1924" s="18" t="s">
        <v>73</v>
      </c>
      <c r="I1924" s="18" t="str">
        <f t="shared" si="1"/>
        <v>Normal Weight</v>
      </c>
    </row>
    <row r="1925" ht="15.75" customHeight="1">
      <c r="A1925" s="18" t="s">
        <v>3034</v>
      </c>
      <c r="B1925" s="18">
        <v>15.37</v>
      </c>
      <c r="C1925" s="18">
        <v>8.63</v>
      </c>
      <c r="D1925" s="18" t="s">
        <v>80</v>
      </c>
      <c r="E1925" s="18" t="s">
        <v>73</v>
      </c>
      <c r="F1925" s="18" t="s">
        <v>73</v>
      </c>
      <c r="G1925" s="20">
        <v>0.0</v>
      </c>
      <c r="H1925" s="18" t="s">
        <v>73</v>
      </c>
      <c r="I1925" s="18" t="str">
        <f t="shared" si="1"/>
        <v>Underweight</v>
      </c>
    </row>
    <row r="1926" ht="15.75" customHeight="1">
      <c r="A1926" s="18" t="s">
        <v>3030</v>
      </c>
      <c r="B1926" s="18">
        <v>30.4</v>
      </c>
      <c r="C1926" s="18">
        <v>5.28</v>
      </c>
      <c r="D1926" s="18" t="s">
        <v>73</v>
      </c>
      <c r="E1926" s="18" t="s">
        <v>73</v>
      </c>
      <c r="F1926" s="18" t="s">
        <v>73</v>
      </c>
      <c r="G1926" s="20">
        <v>0.0</v>
      </c>
      <c r="H1926" s="18" t="s">
        <v>73</v>
      </c>
      <c r="I1926" s="18" t="str">
        <f t="shared" si="1"/>
        <v>Obesity</v>
      </c>
    </row>
    <row r="1927" ht="15.75" customHeight="1">
      <c r="A1927" s="18" t="s">
        <v>3027</v>
      </c>
      <c r="B1927" s="18">
        <v>19.48</v>
      </c>
      <c r="C1927" s="18">
        <v>5.63</v>
      </c>
      <c r="D1927" s="18" t="s">
        <v>80</v>
      </c>
      <c r="E1927" s="18" t="s">
        <v>73</v>
      </c>
      <c r="F1927" s="18" t="s">
        <v>73</v>
      </c>
      <c r="G1927" s="18">
        <v>1.0</v>
      </c>
      <c r="H1927" s="18" t="s">
        <v>73</v>
      </c>
      <c r="I1927" s="18" t="str">
        <f t="shared" si="1"/>
        <v>Normal Weight</v>
      </c>
    </row>
    <row r="1928" ht="15.75" customHeight="1">
      <c r="A1928" s="18" t="s">
        <v>3022</v>
      </c>
      <c r="B1928" s="18">
        <v>16.96</v>
      </c>
      <c r="C1928" s="18">
        <v>11.47</v>
      </c>
      <c r="D1928" s="18" t="s">
        <v>80</v>
      </c>
      <c r="E1928" s="18" t="s">
        <v>73</v>
      </c>
      <c r="F1928" s="18" t="s">
        <v>73</v>
      </c>
      <c r="G1928" s="20">
        <v>0.0</v>
      </c>
      <c r="H1928" s="18" t="s">
        <v>73</v>
      </c>
      <c r="I1928" s="18" t="str">
        <f t="shared" si="1"/>
        <v>Underweight</v>
      </c>
    </row>
    <row r="1929" ht="15.75" customHeight="1">
      <c r="A1929" s="18" t="s">
        <v>3017</v>
      </c>
      <c r="B1929" s="18">
        <v>19.05</v>
      </c>
      <c r="C1929" s="18">
        <v>4.92</v>
      </c>
      <c r="D1929" s="18" t="s">
        <v>73</v>
      </c>
      <c r="E1929" s="18" t="s">
        <v>73</v>
      </c>
      <c r="F1929" s="18" t="s">
        <v>73</v>
      </c>
      <c r="G1929" s="18">
        <v>1.0</v>
      </c>
      <c r="H1929" s="18" t="s">
        <v>73</v>
      </c>
      <c r="I1929" s="18" t="str">
        <f t="shared" si="1"/>
        <v>Normal Weight</v>
      </c>
    </row>
    <row r="1930" ht="15.75" customHeight="1">
      <c r="A1930" s="18" t="s">
        <v>3011</v>
      </c>
      <c r="B1930" s="18">
        <v>37.62</v>
      </c>
      <c r="C1930" s="18">
        <v>4.18</v>
      </c>
      <c r="D1930" s="18" t="s">
        <v>73</v>
      </c>
      <c r="E1930" s="18" t="s">
        <v>73</v>
      </c>
      <c r="F1930" s="18" t="s">
        <v>73</v>
      </c>
      <c r="G1930" s="20">
        <v>0.0</v>
      </c>
      <c r="H1930" s="18" t="s">
        <v>73</v>
      </c>
      <c r="I1930" s="18" t="str">
        <f t="shared" si="1"/>
        <v>Obesity</v>
      </c>
    </row>
    <row r="1931" ht="15.75" customHeight="1">
      <c r="A1931" s="18" t="s">
        <v>3006</v>
      </c>
      <c r="B1931" s="18">
        <v>29.1</v>
      </c>
      <c r="C1931" s="18">
        <v>4.67</v>
      </c>
      <c r="D1931" s="18" t="s">
        <v>73</v>
      </c>
      <c r="E1931" s="18" t="s">
        <v>73</v>
      </c>
      <c r="F1931" s="18" t="s">
        <v>73</v>
      </c>
      <c r="G1931" s="20">
        <v>0.0</v>
      </c>
      <c r="H1931" s="18" t="s">
        <v>73</v>
      </c>
      <c r="I1931" s="18" t="str">
        <f t="shared" si="1"/>
        <v>Overweight</v>
      </c>
    </row>
    <row r="1932" ht="15.75" customHeight="1">
      <c r="A1932" s="18" t="s">
        <v>3003</v>
      </c>
      <c r="B1932" s="18">
        <v>26.62</v>
      </c>
      <c r="C1932" s="18">
        <v>6.24</v>
      </c>
      <c r="D1932" s="18" t="s">
        <v>73</v>
      </c>
      <c r="E1932" s="18" t="s">
        <v>73</v>
      </c>
      <c r="F1932" s="18" t="s">
        <v>73</v>
      </c>
      <c r="G1932" s="20">
        <v>0.0</v>
      </c>
      <c r="H1932" s="18" t="s">
        <v>73</v>
      </c>
      <c r="I1932" s="18" t="str">
        <f t="shared" si="1"/>
        <v>Overweight</v>
      </c>
    </row>
    <row r="1933" ht="15.75" customHeight="1">
      <c r="A1933" s="18" t="s">
        <v>2995</v>
      </c>
      <c r="B1933" s="18">
        <v>25.74</v>
      </c>
      <c r="C1933" s="18">
        <v>5.99</v>
      </c>
      <c r="D1933" s="18" t="s">
        <v>73</v>
      </c>
      <c r="E1933" s="18" t="s">
        <v>73</v>
      </c>
      <c r="F1933" s="18" t="s">
        <v>73</v>
      </c>
      <c r="G1933" s="20">
        <v>0.0</v>
      </c>
      <c r="H1933" s="18" t="s">
        <v>73</v>
      </c>
      <c r="I1933" s="18" t="str">
        <f t="shared" si="1"/>
        <v>Overweight</v>
      </c>
    </row>
    <row r="1934" ht="15.75" customHeight="1">
      <c r="A1934" s="18" t="s">
        <v>2990</v>
      </c>
      <c r="B1934" s="18">
        <v>18.22</v>
      </c>
      <c r="C1934" s="18">
        <v>10.27</v>
      </c>
      <c r="D1934" s="18" t="s">
        <v>80</v>
      </c>
      <c r="E1934" s="18" t="s">
        <v>73</v>
      </c>
      <c r="F1934" s="18" t="s">
        <v>73</v>
      </c>
      <c r="G1934" s="18">
        <v>1.0</v>
      </c>
      <c r="H1934" s="18" t="s">
        <v>73</v>
      </c>
      <c r="I1934" s="18" t="str">
        <f t="shared" si="1"/>
        <v>Underweight</v>
      </c>
    </row>
    <row r="1935" ht="15.75" customHeight="1">
      <c r="A1935" s="18" t="s">
        <v>2984</v>
      </c>
      <c r="B1935" s="18">
        <v>26.03</v>
      </c>
      <c r="C1935" s="18">
        <v>5.97</v>
      </c>
      <c r="D1935" s="18" t="s">
        <v>73</v>
      </c>
      <c r="E1935" s="18" t="s">
        <v>73</v>
      </c>
      <c r="F1935" s="18" t="s">
        <v>184</v>
      </c>
      <c r="G1935" s="18">
        <v>1.0</v>
      </c>
      <c r="H1935" s="18" t="s">
        <v>73</v>
      </c>
      <c r="I1935" s="18" t="str">
        <f t="shared" si="1"/>
        <v>Overweight</v>
      </c>
    </row>
    <row r="1936" ht="15.75" customHeight="1">
      <c r="A1936" s="18" t="s">
        <v>2980</v>
      </c>
      <c r="B1936" s="18">
        <v>17.29</v>
      </c>
      <c r="C1936" s="18">
        <v>4.98</v>
      </c>
      <c r="D1936" s="18" t="s">
        <v>73</v>
      </c>
      <c r="E1936" s="18" t="s">
        <v>73</v>
      </c>
      <c r="F1936" s="18" t="s">
        <v>73</v>
      </c>
      <c r="G1936" s="20">
        <v>0.0</v>
      </c>
      <c r="H1936" s="18" t="s">
        <v>73</v>
      </c>
      <c r="I1936" s="18" t="str">
        <f t="shared" si="1"/>
        <v>Underweight</v>
      </c>
    </row>
    <row r="1937" ht="15.75" customHeight="1">
      <c r="A1937" s="18" t="s">
        <v>2976</v>
      </c>
      <c r="B1937" s="18">
        <v>18.17</v>
      </c>
      <c r="C1937" s="18">
        <v>6.91</v>
      </c>
      <c r="D1937" s="18" t="s">
        <v>80</v>
      </c>
      <c r="E1937" s="18" t="s">
        <v>73</v>
      </c>
      <c r="F1937" s="18" t="s">
        <v>73</v>
      </c>
      <c r="G1937" s="18">
        <v>1.0</v>
      </c>
      <c r="H1937" s="18" t="s">
        <v>73</v>
      </c>
      <c r="I1937" s="18" t="str">
        <f t="shared" si="1"/>
        <v>Underweight</v>
      </c>
    </row>
    <row r="1938" ht="15.75" customHeight="1">
      <c r="A1938" s="18" t="s">
        <v>2971</v>
      </c>
      <c r="B1938" s="18">
        <v>32.54</v>
      </c>
      <c r="C1938" s="18">
        <v>6.38</v>
      </c>
      <c r="D1938" s="18" t="s">
        <v>73</v>
      </c>
      <c r="E1938" s="18" t="s">
        <v>80</v>
      </c>
      <c r="F1938" s="18" t="s">
        <v>73</v>
      </c>
      <c r="G1938" s="18">
        <v>1.0</v>
      </c>
      <c r="H1938" s="18" t="s">
        <v>73</v>
      </c>
      <c r="I1938" s="18" t="str">
        <f t="shared" si="1"/>
        <v>Obesity</v>
      </c>
    </row>
    <row r="1939" ht="15.75" customHeight="1">
      <c r="A1939" s="18" t="s">
        <v>2965</v>
      </c>
      <c r="B1939" s="18">
        <v>30.25</v>
      </c>
      <c r="C1939" s="18">
        <v>4.77</v>
      </c>
      <c r="D1939" s="18" t="s">
        <v>73</v>
      </c>
      <c r="E1939" s="18" t="s">
        <v>73</v>
      </c>
      <c r="F1939" s="18" t="s">
        <v>73</v>
      </c>
      <c r="G1939" s="20">
        <v>0.0</v>
      </c>
      <c r="H1939" s="18" t="s">
        <v>73</v>
      </c>
      <c r="I1939" s="18" t="str">
        <f t="shared" si="1"/>
        <v>Obesity</v>
      </c>
    </row>
    <row r="1940" ht="15.75" customHeight="1">
      <c r="A1940" s="18" t="s">
        <v>2959</v>
      </c>
      <c r="B1940" s="18">
        <v>19.59</v>
      </c>
      <c r="C1940" s="18">
        <v>6.04</v>
      </c>
      <c r="D1940" s="18" t="s">
        <v>80</v>
      </c>
      <c r="E1940" s="18" t="s">
        <v>73</v>
      </c>
      <c r="F1940" s="18" t="s">
        <v>73</v>
      </c>
      <c r="G1940" s="18">
        <v>1.0</v>
      </c>
      <c r="H1940" s="18" t="s">
        <v>73</v>
      </c>
      <c r="I1940" s="18" t="str">
        <f t="shared" si="1"/>
        <v>Normal Weight</v>
      </c>
    </row>
    <row r="1941" ht="15.75" customHeight="1">
      <c r="A1941" s="18" t="s">
        <v>2954</v>
      </c>
      <c r="B1941" s="18">
        <v>45.9</v>
      </c>
      <c r="C1941" s="18">
        <v>4.3</v>
      </c>
      <c r="D1941" s="18" t="s">
        <v>80</v>
      </c>
      <c r="E1941" s="18" t="s">
        <v>73</v>
      </c>
      <c r="F1941" s="18" t="s">
        <v>73</v>
      </c>
      <c r="G1941" s="18">
        <v>1.0</v>
      </c>
      <c r="H1941" s="18" t="s">
        <v>73</v>
      </c>
      <c r="I1941" s="18" t="str">
        <f t="shared" si="1"/>
        <v>Obesity</v>
      </c>
    </row>
    <row r="1942" ht="15.75" customHeight="1">
      <c r="A1942" s="18" t="s">
        <v>2948</v>
      </c>
      <c r="B1942" s="18">
        <v>17.06</v>
      </c>
      <c r="C1942" s="18">
        <v>8.75</v>
      </c>
      <c r="D1942" s="18" t="s">
        <v>80</v>
      </c>
      <c r="E1942" s="18" t="s">
        <v>73</v>
      </c>
      <c r="F1942" s="18" t="s">
        <v>73</v>
      </c>
      <c r="G1942" s="20">
        <v>0.0</v>
      </c>
      <c r="H1942" s="18" t="s">
        <v>73</v>
      </c>
      <c r="I1942" s="18" t="str">
        <f t="shared" si="1"/>
        <v>Underweight</v>
      </c>
    </row>
    <row r="1943" ht="15.75" customHeight="1">
      <c r="A1943" s="18" t="s">
        <v>2943</v>
      </c>
      <c r="B1943" s="18">
        <v>32.07</v>
      </c>
      <c r="C1943" s="18">
        <v>5.25</v>
      </c>
      <c r="D1943" s="18" t="s">
        <v>73</v>
      </c>
      <c r="E1943" s="18" t="s">
        <v>73</v>
      </c>
      <c r="F1943" s="18" t="s">
        <v>184</v>
      </c>
      <c r="G1943" s="18">
        <v>1.0</v>
      </c>
      <c r="H1943" s="18" t="s">
        <v>73</v>
      </c>
      <c r="I1943" s="18" t="str">
        <f t="shared" si="1"/>
        <v>Obesity</v>
      </c>
    </row>
    <row r="1944" ht="15.75" customHeight="1">
      <c r="A1944" s="18" t="s">
        <v>2939</v>
      </c>
      <c r="B1944" s="18">
        <v>16.5</v>
      </c>
      <c r="C1944" s="18">
        <v>5.03</v>
      </c>
      <c r="D1944" s="18" t="s">
        <v>73</v>
      </c>
      <c r="E1944" s="18" t="s">
        <v>73</v>
      </c>
      <c r="F1944" s="18" t="s">
        <v>73</v>
      </c>
      <c r="G1944" s="18">
        <v>1.0</v>
      </c>
      <c r="H1944" s="18" t="s">
        <v>73</v>
      </c>
      <c r="I1944" s="18" t="str">
        <f t="shared" si="1"/>
        <v>Underweight</v>
      </c>
    </row>
    <row r="1945" ht="15.75" customHeight="1">
      <c r="A1945" s="18" t="s">
        <v>2936</v>
      </c>
      <c r="B1945" s="18">
        <v>31.4</v>
      </c>
      <c r="C1945" s="18">
        <v>5.88</v>
      </c>
      <c r="D1945" s="18" t="s">
        <v>73</v>
      </c>
      <c r="E1945" s="18" t="s">
        <v>73</v>
      </c>
      <c r="F1945" s="18" t="s">
        <v>73</v>
      </c>
      <c r="G1945" s="18">
        <v>1.0</v>
      </c>
      <c r="H1945" s="18" t="s">
        <v>73</v>
      </c>
      <c r="I1945" s="18" t="str">
        <f t="shared" si="1"/>
        <v>Obesity</v>
      </c>
    </row>
    <row r="1946" ht="15.75" customHeight="1">
      <c r="A1946" s="18" t="s">
        <v>2931</v>
      </c>
      <c r="B1946" s="18">
        <v>20.36</v>
      </c>
      <c r="C1946" s="18">
        <v>4.49</v>
      </c>
      <c r="D1946" s="18" t="s">
        <v>73</v>
      </c>
      <c r="E1946" s="18" t="s">
        <v>73</v>
      </c>
      <c r="F1946" s="18" t="s">
        <v>73</v>
      </c>
      <c r="G1946" s="20">
        <v>0.0</v>
      </c>
      <c r="H1946" s="18" t="s">
        <v>73</v>
      </c>
      <c r="I1946" s="18" t="str">
        <f t="shared" si="1"/>
        <v>Normal Weight</v>
      </c>
    </row>
    <row r="1947" ht="15.75" customHeight="1">
      <c r="A1947" s="18" t="s">
        <v>2926</v>
      </c>
      <c r="B1947" s="18">
        <v>25.46</v>
      </c>
      <c r="C1947" s="18">
        <v>4.14</v>
      </c>
      <c r="D1947" s="18" t="s">
        <v>73</v>
      </c>
      <c r="E1947" s="18" t="s">
        <v>73</v>
      </c>
      <c r="F1947" s="18" t="s">
        <v>73</v>
      </c>
      <c r="G1947" s="18">
        <v>1.0</v>
      </c>
      <c r="H1947" s="18" t="s">
        <v>73</v>
      </c>
      <c r="I1947" s="18" t="str">
        <f t="shared" si="1"/>
        <v>Overweight</v>
      </c>
    </row>
    <row r="1948" ht="15.75" customHeight="1">
      <c r="A1948" s="18" t="s">
        <v>2924</v>
      </c>
      <c r="B1948" s="18">
        <v>17.09</v>
      </c>
      <c r="C1948" s="18">
        <v>5.8</v>
      </c>
      <c r="D1948" s="18" t="s">
        <v>80</v>
      </c>
      <c r="E1948" s="18" t="s">
        <v>73</v>
      </c>
      <c r="F1948" s="18" t="s">
        <v>73</v>
      </c>
      <c r="G1948" s="20">
        <v>0.0</v>
      </c>
      <c r="H1948" s="18" t="s">
        <v>73</v>
      </c>
      <c r="I1948" s="18" t="str">
        <f t="shared" si="1"/>
        <v>Underweight</v>
      </c>
    </row>
    <row r="1949" ht="15.75" customHeight="1">
      <c r="A1949" s="18" t="s">
        <v>2923</v>
      </c>
      <c r="B1949" s="18">
        <v>20.83</v>
      </c>
      <c r="C1949" s="18">
        <v>5.12</v>
      </c>
      <c r="D1949" s="18" t="s">
        <v>73</v>
      </c>
      <c r="E1949" s="18" t="s">
        <v>73</v>
      </c>
      <c r="F1949" s="18" t="s">
        <v>73</v>
      </c>
      <c r="G1949" s="20">
        <v>0.0</v>
      </c>
      <c r="H1949" s="18" t="s">
        <v>73</v>
      </c>
      <c r="I1949" s="18" t="str">
        <f t="shared" si="1"/>
        <v>Normal Weight</v>
      </c>
    </row>
    <row r="1950" ht="15.75" customHeight="1">
      <c r="A1950" s="18" t="s">
        <v>2922</v>
      </c>
      <c r="B1950" s="18">
        <v>18.92</v>
      </c>
      <c r="C1950" s="18">
        <v>5.98</v>
      </c>
      <c r="D1950" s="18" t="s">
        <v>80</v>
      </c>
      <c r="E1950" s="18" t="s">
        <v>73</v>
      </c>
      <c r="F1950" s="18" t="s">
        <v>73</v>
      </c>
      <c r="G1950" s="18">
        <v>1.0</v>
      </c>
      <c r="H1950" s="18" t="s">
        <v>73</v>
      </c>
      <c r="I1950" s="18" t="str">
        <f t="shared" si="1"/>
        <v>Normal Weight</v>
      </c>
    </row>
    <row r="1951" ht="15.75" customHeight="1">
      <c r="A1951" s="18" t="s">
        <v>2921</v>
      </c>
      <c r="B1951" s="18">
        <v>37.1</v>
      </c>
      <c r="C1951" s="18">
        <v>5.46</v>
      </c>
      <c r="D1951" s="18" t="s">
        <v>73</v>
      </c>
      <c r="E1951" s="18" t="s">
        <v>73</v>
      </c>
      <c r="F1951" s="18" t="s">
        <v>73</v>
      </c>
      <c r="G1951" s="20">
        <v>0.0</v>
      </c>
      <c r="H1951" s="18" t="s">
        <v>73</v>
      </c>
      <c r="I1951" s="18" t="str">
        <f t="shared" si="1"/>
        <v>Obesity</v>
      </c>
    </row>
    <row r="1952" ht="15.75" customHeight="1">
      <c r="A1952" s="18" t="s">
        <v>2920</v>
      </c>
      <c r="B1952" s="18">
        <v>22.515</v>
      </c>
      <c r="C1952" s="18">
        <v>4.91</v>
      </c>
      <c r="D1952" s="18" t="s">
        <v>80</v>
      </c>
      <c r="E1952" s="18" t="s">
        <v>73</v>
      </c>
      <c r="F1952" s="18" t="s">
        <v>184</v>
      </c>
      <c r="G1952" s="18">
        <v>1.0</v>
      </c>
      <c r="H1952" s="18" t="s">
        <v>73</v>
      </c>
      <c r="I1952" s="18" t="str">
        <f t="shared" si="1"/>
        <v>Normal Weight</v>
      </c>
    </row>
    <row r="1953" ht="15.75" customHeight="1">
      <c r="A1953" s="18" t="s">
        <v>2919</v>
      </c>
      <c r="B1953" s="18">
        <v>32.7</v>
      </c>
      <c r="C1953" s="18">
        <v>4.66</v>
      </c>
      <c r="D1953" s="18" t="s">
        <v>73</v>
      </c>
      <c r="E1953" s="18" t="s">
        <v>73</v>
      </c>
      <c r="F1953" s="18" t="s">
        <v>73</v>
      </c>
      <c r="G1953" s="20">
        <v>0.0</v>
      </c>
      <c r="H1953" s="18" t="s">
        <v>73</v>
      </c>
      <c r="I1953" s="18" t="str">
        <f t="shared" si="1"/>
        <v>Obesity</v>
      </c>
    </row>
    <row r="1954" ht="15.75" customHeight="1">
      <c r="A1954" s="18" t="s">
        <v>2917</v>
      </c>
      <c r="B1954" s="18">
        <v>17.75</v>
      </c>
      <c r="C1954" s="18">
        <v>6.8</v>
      </c>
      <c r="D1954" s="18" t="s">
        <v>80</v>
      </c>
      <c r="E1954" s="18" t="s">
        <v>73</v>
      </c>
      <c r="F1954" s="18" t="s">
        <v>73</v>
      </c>
      <c r="G1954" s="18">
        <v>1.0</v>
      </c>
      <c r="H1954" s="18" t="s">
        <v>73</v>
      </c>
      <c r="I1954" s="18" t="str">
        <f t="shared" si="1"/>
        <v>Underweight</v>
      </c>
    </row>
    <row r="1955" ht="15.75" customHeight="1">
      <c r="A1955" s="18" t="s">
        <v>2910</v>
      </c>
      <c r="B1955" s="18">
        <v>33.63</v>
      </c>
      <c r="C1955" s="18">
        <v>4.47</v>
      </c>
      <c r="D1955" s="18" t="s">
        <v>80</v>
      </c>
      <c r="E1955" s="18" t="s">
        <v>73</v>
      </c>
      <c r="F1955" s="18" t="s">
        <v>73</v>
      </c>
      <c r="G1955" s="20">
        <v>0.0</v>
      </c>
      <c r="H1955" s="18" t="s">
        <v>73</v>
      </c>
      <c r="I1955" s="18" t="str">
        <f t="shared" si="1"/>
        <v>Obesity</v>
      </c>
    </row>
    <row r="1956" ht="15.75" customHeight="1">
      <c r="A1956" s="18" t="s">
        <v>2904</v>
      </c>
      <c r="B1956" s="18">
        <v>34.8</v>
      </c>
      <c r="C1956" s="18">
        <v>4.08</v>
      </c>
      <c r="D1956" s="18" t="s">
        <v>80</v>
      </c>
      <c r="E1956" s="18" t="s">
        <v>73</v>
      </c>
      <c r="F1956" s="18" t="s">
        <v>73</v>
      </c>
      <c r="G1956" s="18">
        <v>1.0</v>
      </c>
      <c r="H1956" s="18" t="s">
        <v>73</v>
      </c>
      <c r="I1956" s="18" t="str">
        <f t="shared" si="1"/>
        <v>Obesity</v>
      </c>
    </row>
    <row r="1957" ht="15.75" customHeight="1">
      <c r="A1957" s="18" t="s">
        <v>2900</v>
      </c>
      <c r="B1957" s="18">
        <v>16.81</v>
      </c>
      <c r="C1957" s="18">
        <v>5.51</v>
      </c>
      <c r="D1957" s="18" t="s">
        <v>80</v>
      </c>
      <c r="E1957" s="18" t="s">
        <v>73</v>
      </c>
      <c r="F1957" s="18" t="s">
        <v>73</v>
      </c>
      <c r="G1957" s="18">
        <v>1.0</v>
      </c>
      <c r="H1957" s="18" t="s">
        <v>73</v>
      </c>
      <c r="I1957" s="18" t="str">
        <f t="shared" si="1"/>
        <v>Underweight</v>
      </c>
    </row>
    <row r="1958" ht="15.75" customHeight="1">
      <c r="A1958" s="18" t="s">
        <v>2894</v>
      </c>
      <c r="B1958" s="18">
        <v>16.69</v>
      </c>
      <c r="C1958" s="18">
        <v>8.4</v>
      </c>
      <c r="D1958" s="18" t="s">
        <v>80</v>
      </c>
      <c r="E1958" s="18" t="s">
        <v>73</v>
      </c>
      <c r="F1958" s="18" t="s">
        <v>73</v>
      </c>
      <c r="G1958" s="20">
        <v>0.0</v>
      </c>
      <c r="H1958" s="18" t="s">
        <v>73</v>
      </c>
      <c r="I1958" s="18" t="str">
        <f t="shared" si="1"/>
        <v>Underweight</v>
      </c>
    </row>
    <row r="1959" ht="15.75" customHeight="1">
      <c r="A1959" s="18" t="s">
        <v>2889</v>
      </c>
      <c r="B1959" s="18">
        <v>23.21</v>
      </c>
      <c r="C1959" s="18">
        <v>5.14</v>
      </c>
      <c r="D1959" s="18" t="s">
        <v>80</v>
      </c>
      <c r="E1959" s="18" t="s">
        <v>73</v>
      </c>
      <c r="F1959" s="18" t="s">
        <v>73</v>
      </c>
      <c r="G1959" s="18">
        <v>1.0</v>
      </c>
      <c r="H1959" s="18" t="s">
        <v>73</v>
      </c>
      <c r="I1959" s="18" t="str">
        <f t="shared" si="1"/>
        <v>Normal Weight</v>
      </c>
    </row>
    <row r="1960" ht="15.75" customHeight="1">
      <c r="A1960" s="18" t="s">
        <v>2883</v>
      </c>
      <c r="B1960" s="18">
        <v>25.175</v>
      </c>
      <c r="C1960" s="18">
        <v>5.21</v>
      </c>
      <c r="D1960" s="18" t="s">
        <v>80</v>
      </c>
      <c r="E1960" s="18" t="s">
        <v>73</v>
      </c>
      <c r="F1960" s="18" t="s">
        <v>73</v>
      </c>
      <c r="G1960" s="18">
        <v>1.0</v>
      </c>
      <c r="H1960" s="18" t="s">
        <v>73</v>
      </c>
      <c r="I1960" s="18" t="str">
        <f t="shared" si="1"/>
        <v>Overweight</v>
      </c>
    </row>
    <row r="1961" ht="15.75" customHeight="1">
      <c r="A1961" s="18" t="s">
        <v>2878</v>
      </c>
      <c r="B1961" s="18">
        <v>34.77</v>
      </c>
      <c r="C1961" s="18">
        <v>6.23</v>
      </c>
      <c r="D1961" s="18" t="s">
        <v>73</v>
      </c>
      <c r="E1961" s="18" t="s">
        <v>73</v>
      </c>
      <c r="F1961" s="18" t="s">
        <v>73</v>
      </c>
      <c r="G1961" s="20">
        <v>0.0</v>
      </c>
      <c r="H1961" s="18" t="s">
        <v>73</v>
      </c>
      <c r="I1961" s="18" t="str">
        <f t="shared" si="1"/>
        <v>Obesity</v>
      </c>
    </row>
    <row r="1962" ht="15.75" customHeight="1">
      <c r="A1962" s="18" t="s">
        <v>2872</v>
      </c>
      <c r="B1962" s="18">
        <v>27.7</v>
      </c>
      <c r="C1962" s="18">
        <v>5.6</v>
      </c>
      <c r="D1962" s="18" t="s">
        <v>73</v>
      </c>
      <c r="E1962" s="18" t="s">
        <v>73</v>
      </c>
      <c r="F1962" s="18" t="s">
        <v>73</v>
      </c>
      <c r="G1962" s="18">
        <v>1.0</v>
      </c>
      <c r="H1962" s="18" t="s">
        <v>73</v>
      </c>
      <c r="I1962" s="18" t="str">
        <f t="shared" si="1"/>
        <v>Overweight</v>
      </c>
    </row>
    <row r="1963" ht="15.75" customHeight="1">
      <c r="A1963" s="18" t="s">
        <v>2869</v>
      </c>
      <c r="B1963" s="18">
        <v>19.12</v>
      </c>
      <c r="C1963" s="18">
        <v>4.72</v>
      </c>
      <c r="D1963" s="18" t="s">
        <v>80</v>
      </c>
      <c r="E1963" s="18" t="s">
        <v>73</v>
      </c>
      <c r="F1963" s="18" t="s">
        <v>73</v>
      </c>
      <c r="G1963" s="18">
        <v>1.0</v>
      </c>
      <c r="H1963" s="18" t="s">
        <v>73</v>
      </c>
      <c r="I1963" s="18" t="str">
        <f t="shared" si="1"/>
        <v>Normal Weight</v>
      </c>
    </row>
    <row r="1964" ht="15.75" customHeight="1">
      <c r="A1964" s="18" t="s">
        <v>2864</v>
      </c>
      <c r="B1964" s="18">
        <v>32.67</v>
      </c>
      <c r="C1964" s="18">
        <v>4.67</v>
      </c>
      <c r="D1964" s="18" t="s">
        <v>73</v>
      </c>
      <c r="E1964" s="18" t="s">
        <v>73</v>
      </c>
      <c r="F1964" s="18" t="s">
        <v>184</v>
      </c>
      <c r="G1964" s="18">
        <v>1.0</v>
      </c>
      <c r="H1964" s="18" t="s">
        <v>73</v>
      </c>
      <c r="I1964" s="18" t="str">
        <f t="shared" si="1"/>
        <v>Obesity</v>
      </c>
    </row>
    <row r="1965" ht="15.75" customHeight="1">
      <c r="A1965" s="18" t="s">
        <v>2859</v>
      </c>
      <c r="B1965" s="18">
        <v>28.5</v>
      </c>
      <c r="C1965" s="18">
        <v>6.11</v>
      </c>
      <c r="D1965" s="18" t="s">
        <v>73</v>
      </c>
      <c r="E1965" s="18" t="s">
        <v>73</v>
      </c>
      <c r="F1965" s="18" t="s">
        <v>73</v>
      </c>
      <c r="G1965" s="18">
        <v>1.0</v>
      </c>
      <c r="H1965" s="18" t="s">
        <v>73</v>
      </c>
      <c r="I1965" s="18" t="str">
        <f t="shared" si="1"/>
        <v>Overweight</v>
      </c>
    </row>
    <row r="1966" ht="15.75" customHeight="1">
      <c r="A1966" s="18" t="s">
        <v>2852</v>
      </c>
      <c r="B1966" s="18">
        <v>39.27</v>
      </c>
      <c r="C1966" s="18">
        <v>6.25</v>
      </c>
      <c r="D1966" s="18" t="s">
        <v>73</v>
      </c>
      <c r="E1966" s="18" t="s">
        <v>73</v>
      </c>
      <c r="F1966" s="18" t="s">
        <v>73</v>
      </c>
      <c r="G1966" s="20">
        <v>0.0</v>
      </c>
      <c r="H1966" s="18" t="s">
        <v>73</v>
      </c>
      <c r="I1966" s="18" t="str">
        <f t="shared" si="1"/>
        <v>Obesity</v>
      </c>
    </row>
    <row r="1967" ht="15.75" customHeight="1">
      <c r="A1967" s="18" t="s">
        <v>2844</v>
      </c>
      <c r="B1967" s="18">
        <v>32.49</v>
      </c>
      <c r="C1967" s="18">
        <v>4.0</v>
      </c>
      <c r="D1967" s="18" t="s">
        <v>80</v>
      </c>
      <c r="E1967" s="18" t="s">
        <v>73</v>
      </c>
      <c r="F1967" s="18" t="s">
        <v>73</v>
      </c>
      <c r="G1967" s="20">
        <v>0.0</v>
      </c>
      <c r="H1967" s="18" t="s">
        <v>73</v>
      </c>
      <c r="I1967" s="18" t="str">
        <f t="shared" si="1"/>
        <v>Obesity</v>
      </c>
    </row>
    <row r="1968" ht="15.75" customHeight="1">
      <c r="A1968" s="18" t="s">
        <v>2839</v>
      </c>
      <c r="B1968" s="18">
        <v>23.7</v>
      </c>
      <c r="C1968" s="18">
        <v>5.55</v>
      </c>
      <c r="D1968" s="18" t="s">
        <v>80</v>
      </c>
      <c r="E1968" s="18" t="s">
        <v>73</v>
      </c>
      <c r="F1968" s="18" t="s">
        <v>73</v>
      </c>
      <c r="G1968" s="20">
        <v>0.0</v>
      </c>
      <c r="H1968" s="18" t="s">
        <v>73</v>
      </c>
      <c r="I1968" s="18" t="str">
        <f t="shared" si="1"/>
        <v>Normal Weight</v>
      </c>
    </row>
    <row r="1969" ht="15.75" customHeight="1">
      <c r="A1969" s="18" t="s">
        <v>2834</v>
      </c>
      <c r="B1969" s="18">
        <v>30.4</v>
      </c>
      <c r="C1969" s="18">
        <v>5.95</v>
      </c>
      <c r="D1969" s="18" t="s">
        <v>73</v>
      </c>
      <c r="E1969" s="18" t="s">
        <v>80</v>
      </c>
      <c r="F1969" s="18" t="s">
        <v>73</v>
      </c>
      <c r="G1969" s="18">
        <v>1.0</v>
      </c>
      <c r="H1969" s="18" t="s">
        <v>73</v>
      </c>
      <c r="I1969" s="18" t="str">
        <f t="shared" si="1"/>
        <v>Obesity</v>
      </c>
    </row>
    <row r="1970" ht="15.75" customHeight="1">
      <c r="A1970" s="18" t="s">
        <v>2828</v>
      </c>
      <c r="B1970" s="18">
        <v>38.94</v>
      </c>
      <c r="C1970" s="18">
        <v>4.36</v>
      </c>
      <c r="D1970" s="18" t="s">
        <v>73</v>
      </c>
      <c r="E1970" s="18" t="s">
        <v>73</v>
      </c>
      <c r="F1970" s="18" t="s">
        <v>184</v>
      </c>
      <c r="G1970" s="18">
        <v>1.0</v>
      </c>
      <c r="H1970" s="18" t="s">
        <v>73</v>
      </c>
      <c r="I1970" s="18" t="str">
        <f t="shared" si="1"/>
        <v>Obesity</v>
      </c>
    </row>
    <row r="1971" ht="15.75" customHeight="1">
      <c r="A1971" s="18" t="s">
        <v>2821</v>
      </c>
      <c r="B1971" s="18">
        <v>31.02</v>
      </c>
      <c r="C1971" s="18">
        <v>4.84</v>
      </c>
      <c r="D1971" s="18" t="s">
        <v>73</v>
      </c>
      <c r="E1971" s="18" t="s">
        <v>73</v>
      </c>
      <c r="F1971" s="18" t="s">
        <v>184</v>
      </c>
      <c r="G1971" s="18">
        <v>1.0</v>
      </c>
      <c r="H1971" s="18" t="s">
        <v>73</v>
      </c>
      <c r="I1971" s="18" t="str">
        <f t="shared" si="1"/>
        <v>Obesity</v>
      </c>
    </row>
    <row r="1972" ht="15.75" customHeight="1">
      <c r="A1972" s="18" t="s">
        <v>2814</v>
      </c>
      <c r="B1972" s="18">
        <v>17.5</v>
      </c>
      <c r="C1972" s="18">
        <v>4.56</v>
      </c>
      <c r="D1972" s="18" t="s">
        <v>73</v>
      </c>
      <c r="E1972" s="18" t="s">
        <v>73</v>
      </c>
      <c r="F1972" s="18" t="s">
        <v>73</v>
      </c>
      <c r="G1972" s="18">
        <v>1.0</v>
      </c>
      <c r="H1972" s="18" t="s">
        <v>73</v>
      </c>
      <c r="I1972" s="18" t="str">
        <f t="shared" si="1"/>
        <v>Underweight</v>
      </c>
    </row>
    <row r="1973" ht="15.75" customHeight="1">
      <c r="A1973" s="18" t="s">
        <v>2806</v>
      </c>
      <c r="B1973" s="18">
        <v>34.8</v>
      </c>
      <c r="C1973" s="18">
        <v>4.42</v>
      </c>
      <c r="D1973" s="18" t="s">
        <v>80</v>
      </c>
      <c r="E1973" s="18" t="s">
        <v>80</v>
      </c>
      <c r="F1973" s="18" t="s">
        <v>73</v>
      </c>
      <c r="G1973" s="18">
        <v>2.0</v>
      </c>
      <c r="H1973" s="18" t="s">
        <v>73</v>
      </c>
      <c r="I1973" s="18" t="str">
        <f t="shared" si="1"/>
        <v>Obesity</v>
      </c>
    </row>
    <row r="1974" ht="15.75" customHeight="1">
      <c r="A1974" s="18" t="s">
        <v>2801</v>
      </c>
      <c r="B1974" s="18">
        <v>17.3</v>
      </c>
      <c r="C1974" s="18">
        <v>7.66</v>
      </c>
      <c r="D1974" s="18" t="s">
        <v>80</v>
      </c>
      <c r="E1974" s="18" t="s">
        <v>73</v>
      </c>
      <c r="F1974" s="18" t="s">
        <v>73</v>
      </c>
      <c r="G1974" s="18">
        <v>1.0</v>
      </c>
      <c r="H1974" s="18" t="s">
        <v>73</v>
      </c>
      <c r="I1974" s="18" t="str">
        <f t="shared" si="1"/>
        <v>Underweight</v>
      </c>
    </row>
    <row r="1975" ht="15.75" customHeight="1">
      <c r="A1975" s="18" t="s">
        <v>2797</v>
      </c>
      <c r="B1975" s="18">
        <v>32.25</v>
      </c>
      <c r="C1975" s="18">
        <v>5.2</v>
      </c>
      <c r="D1975" s="18" t="s">
        <v>80</v>
      </c>
      <c r="E1975" s="18" t="s">
        <v>73</v>
      </c>
      <c r="F1975" s="18" t="s">
        <v>73</v>
      </c>
      <c r="G1975" s="20">
        <v>0.0</v>
      </c>
      <c r="H1975" s="18" t="s">
        <v>73</v>
      </c>
      <c r="I1975" s="18" t="str">
        <f t="shared" si="1"/>
        <v>Obesity</v>
      </c>
    </row>
    <row r="1976" ht="15.75" customHeight="1">
      <c r="A1976" s="18" t="s">
        <v>2790</v>
      </c>
      <c r="B1976" s="18">
        <v>42.4</v>
      </c>
      <c r="C1976" s="18">
        <v>5.53</v>
      </c>
      <c r="D1976" s="18" t="s">
        <v>80</v>
      </c>
      <c r="E1976" s="18" t="s">
        <v>73</v>
      </c>
      <c r="F1976" s="18" t="s">
        <v>73</v>
      </c>
      <c r="G1976" s="20">
        <v>0.0</v>
      </c>
      <c r="H1976" s="18" t="s">
        <v>73</v>
      </c>
      <c r="I1976" s="18" t="str">
        <f t="shared" si="1"/>
        <v>Obesity</v>
      </c>
    </row>
    <row r="1977" ht="15.75" customHeight="1">
      <c r="A1977" s="18" t="s">
        <v>2784</v>
      </c>
      <c r="B1977" s="18">
        <v>38.665</v>
      </c>
      <c r="C1977" s="18">
        <v>4.86</v>
      </c>
      <c r="D1977" s="18" t="s">
        <v>73</v>
      </c>
      <c r="E1977" s="18" t="s">
        <v>80</v>
      </c>
      <c r="F1977" s="18" t="s">
        <v>73</v>
      </c>
      <c r="G1977" s="18">
        <v>1.0</v>
      </c>
      <c r="H1977" s="18" t="s">
        <v>73</v>
      </c>
      <c r="I1977" s="18" t="str">
        <f t="shared" si="1"/>
        <v>Obesity</v>
      </c>
    </row>
    <row r="1978" ht="15.75" customHeight="1">
      <c r="A1978" s="18" t="s">
        <v>2778</v>
      </c>
      <c r="B1978" s="18">
        <v>29.92</v>
      </c>
      <c r="C1978" s="18">
        <v>5.49</v>
      </c>
      <c r="D1978" s="18" t="s">
        <v>80</v>
      </c>
      <c r="E1978" s="18" t="s">
        <v>73</v>
      </c>
      <c r="F1978" s="18" t="s">
        <v>73</v>
      </c>
      <c r="G1978" s="20">
        <v>0.0</v>
      </c>
      <c r="H1978" s="18" t="s">
        <v>73</v>
      </c>
      <c r="I1978" s="18" t="str">
        <f t="shared" si="1"/>
        <v>Overweight</v>
      </c>
    </row>
    <row r="1979" ht="15.75" customHeight="1">
      <c r="A1979" s="18" t="s">
        <v>2773</v>
      </c>
      <c r="B1979" s="18">
        <v>29.48</v>
      </c>
      <c r="C1979" s="18">
        <v>4.09</v>
      </c>
      <c r="D1979" s="18" t="s">
        <v>80</v>
      </c>
      <c r="E1979" s="18" t="s">
        <v>73</v>
      </c>
      <c r="F1979" s="18" t="s">
        <v>73</v>
      </c>
      <c r="G1979" s="20">
        <v>0.0</v>
      </c>
      <c r="H1979" s="18" t="s">
        <v>73</v>
      </c>
      <c r="I1979" s="18" t="str">
        <f t="shared" si="1"/>
        <v>Overweight</v>
      </c>
    </row>
    <row r="1980" ht="15.75" customHeight="1">
      <c r="A1980" s="18" t="s">
        <v>2768</v>
      </c>
      <c r="B1980" s="18">
        <v>28.785</v>
      </c>
      <c r="C1980" s="18">
        <v>4.31</v>
      </c>
      <c r="D1980" s="18" t="s">
        <v>80</v>
      </c>
      <c r="E1980" s="18" t="s">
        <v>73</v>
      </c>
      <c r="F1980" s="18" t="s">
        <v>73</v>
      </c>
      <c r="G1980" s="20">
        <v>0.0</v>
      </c>
      <c r="H1980" s="18" t="s">
        <v>73</v>
      </c>
      <c r="I1980" s="18" t="str">
        <f t="shared" si="1"/>
        <v>Overweight</v>
      </c>
    </row>
    <row r="1981" ht="15.75" customHeight="1">
      <c r="A1981" s="18" t="s">
        <v>2761</v>
      </c>
      <c r="B1981" s="18">
        <v>19.8</v>
      </c>
      <c r="C1981" s="18">
        <v>4.0</v>
      </c>
      <c r="D1981" s="18" t="s">
        <v>80</v>
      </c>
      <c r="E1981" s="18" t="s">
        <v>73</v>
      </c>
      <c r="F1981" s="18" t="s">
        <v>73</v>
      </c>
      <c r="G1981" s="20">
        <v>0.0</v>
      </c>
      <c r="H1981" s="18" t="s">
        <v>73</v>
      </c>
      <c r="I1981" s="18" t="str">
        <f t="shared" si="1"/>
        <v>Normal Weight</v>
      </c>
    </row>
    <row r="1982" ht="15.75" customHeight="1">
      <c r="A1982" s="18" t="s">
        <v>2756</v>
      </c>
      <c r="B1982" s="18">
        <v>35.53</v>
      </c>
      <c r="C1982" s="18">
        <v>4.68</v>
      </c>
      <c r="D1982" s="18" t="s">
        <v>73</v>
      </c>
      <c r="E1982" s="18" t="s">
        <v>73</v>
      </c>
      <c r="F1982" s="18" t="s">
        <v>184</v>
      </c>
      <c r="G1982" s="18">
        <v>1.0</v>
      </c>
      <c r="H1982" s="18" t="s">
        <v>73</v>
      </c>
      <c r="I1982" s="18" t="str">
        <f t="shared" si="1"/>
        <v>Obesity</v>
      </c>
    </row>
    <row r="1983" ht="15.75" customHeight="1">
      <c r="A1983" s="18" t="s">
        <v>2751</v>
      </c>
      <c r="B1983" s="18">
        <v>21.47</v>
      </c>
      <c r="C1983" s="18">
        <v>4.02</v>
      </c>
      <c r="D1983" s="18" t="s">
        <v>80</v>
      </c>
      <c r="E1983" s="18" t="s">
        <v>73</v>
      </c>
      <c r="F1983" s="18" t="s">
        <v>73</v>
      </c>
      <c r="G1983" s="18">
        <v>1.0</v>
      </c>
      <c r="H1983" s="18" t="s">
        <v>73</v>
      </c>
      <c r="I1983" s="18" t="str">
        <f t="shared" si="1"/>
        <v>Normal Weight</v>
      </c>
    </row>
    <row r="1984" ht="15.75" customHeight="1">
      <c r="A1984" s="18" t="s">
        <v>2747</v>
      </c>
      <c r="B1984" s="18">
        <v>25.9</v>
      </c>
      <c r="C1984" s="18">
        <v>5.12</v>
      </c>
      <c r="D1984" s="18" t="s">
        <v>73</v>
      </c>
      <c r="E1984" s="18" t="s">
        <v>73</v>
      </c>
      <c r="F1984" s="18" t="s">
        <v>184</v>
      </c>
      <c r="G1984" s="18">
        <v>1.0</v>
      </c>
      <c r="H1984" s="18" t="s">
        <v>73</v>
      </c>
      <c r="I1984" s="18" t="str">
        <f t="shared" si="1"/>
        <v>Overweight</v>
      </c>
    </row>
    <row r="1985" ht="15.75" customHeight="1">
      <c r="A1985" s="18" t="s">
        <v>2742</v>
      </c>
      <c r="B1985" s="18">
        <v>20.81</v>
      </c>
      <c r="C1985" s="18">
        <v>5.52</v>
      </c>
      <c r="D1985" s="18" t="s">
        <v>73</v>
      </c>
      <c r="E1985" s="18" t="s">
        <v>73</v>
      </c>
      <c r="F1985" s="18" t="s">
        <v>73</v>
      </c>
      <c r="G1985" s="20">
        <v>0.0</v>
      </c>
      <c r="H1985" s="18" t="s">
        <v>73</v>
      </c>
      <c r="I1985" s="18" t="str">
        <f t="shared" si="1"/>
        <v>Normal Weight</v>
      </c>
    </row>
    <row r="1986" ht="15.75" customHeight="1">
      <c r="A1986" s="18" t="s">
        <v>2736</v>
      </c>
      <c r="B1986" s="18">
        <v>25.84</v>
      </c>
      <c r="C1986" s="18">
        <v>5.81</v>
      </c>
      <c r="D1986" s="18" t="s">
        <v>80</v>
      </c>
      <c r="E1986" s="18" t="s">
        <v>73</v>
      </c>
      <c r="F1986" s="18" t="s">
        <v>184</v>
      </c>
      <c r="G1986" s="18">
        <v>1.0</v>
      </c>
      <c r="H1986" s="18" t="s">
        <v>73</v>
      </c>
      <c r="I1986" s="18" t="str">
        <f t="shared" si="1"/>
        <v>Overweight</v>
      </c>
    </row>
    <row r="1987" ht="15.75" customHeight="1">
      <c r="A1987" s="18" t="s">
        <v>2730</v>
      </c>
      <c r="B1987" s="18">
        <v>30.95</v>
      </c>
      <c r="C1987" s="18">
        <v>5.16</v>
      </c>
      <c r="D1987" s="18" t="s">
        <v>73</v>
      </c>
      <c r="E1987" s="18" t="s">
        <v>73</v>
      </c>
      <c r="F1987" s="18" t="s">
        <v>184</v>
      </c>
      <c r="G1987" s="18">
        <v>1.0</v>
      </c>
      <c r="H1987" s="18" t="s">
        <v>73</v>
      </c>
      <c r="I1987" s="18" t="str">
        <f t="shared" si="1"/>
        <v>Obesity</v>
      </c>
    </row>
    <row r="1988" ht="15.75" customHeight="1">
      <c r="A1988" s="18" t="s">
        <v>2724</v>
      </c>
      <c r="B1988" s="18">
        <v>30.54</v>
      </c>
      <c r="C1988" s="18">
        <v>5.0</v>
      </c>
      <c r="D1988" s="18" t="s">
        <v>73</v>
      </c>
      <c r="E1988" s="18" t="s">
        <v>73</v>
      </c>
      <c r="F1988" s="18" t="s">
        <v>184</v>
      </c>
      <c r="G1988" s="18">
        <v>1.0</v>
      </c>
      <c r="H1988" s="18" t="s">
        <v>73</v>
      </c>
      <c r="I1988" s="18" t="str">
        <f t="shared" si="1"/>
        <v>Obesity</v>
      </c>
    </row>
    <row r="1989" ht="15.75" customHeight="1">
      <c r="A1989" s="18" t="s">
        <v>2719</v>
      </c>
      <c r="B1989" s="18">
        <v>33.915</v>
      </c>
      <c r="C1989" s="18">
        <v>5.84</v>
      </c>
      <c r="D1989" s="18" t="s">
        <v>80</v>
      </c>
      <c r="E1989" s="18" t="s">
        <v>73</v>
      </c>
      <c r="F1989" s="18" t="s">
        <v>73</v>
      </c>
      <c r="G1989" s="20">
        <v>0.0</v>
      </c>
      <c r="H1989" s="18" t="s">
        <v>73</v>
      </c>
      <c r="I1989" s="18" t="str">
        <f t="shared" si="1"/>
        <v>Obesity</v>
      </c>
    </row>
    <row r="1990" ht="15.75" customHeight="1">
      <c r="A1990" s="18" t="s">
        <v>2714</v>
      </c>
      <c r="B1990" s="18">
        <v>33.31</v>
      </c>
      <c r="C1990" s="18">
        <v>4.19</v>
      </c>
      <c r="D1990" s="18" t="s">
        <v>73</v>
      </c>
      <c r="E1990" s="18" t="s">
        <v>73</v>
      </c>
      <c r="F1990" s="18" t="s">
        <v>184</v>
      </c>
      <c r="G1990" s="18">
        <v>1.0</v>
      </c>
      <c r="H1990" s="18" t="s">
        <v>73</v>
      </c>
      <c r="I1990" s="18" t="str">
        <f t="shared" si="1"/>
        <v>Obesity</v>
      </c>
    </row>
    <row r="1991" ht="15.75" customHeight="1">
      <c r="A1991" s="18" t="s">
        <v>2710</v>
      </c>
      <c r="B1991" s="18">
        <v>25.745</v>
      </c>
      <c r="C1991" s="18">
        <v>4.62</v>
      </c>
      <c r="D1991" s="18" t="s">
        <v>80</v>
      </c>
      <c r="E1991" s="18" t="s">
        <v>73</v>
      </c>
      <c r="F1991" s="18" t="s">
        <v>73</v>
      </c>
      <c r="G1991" s="20">
        <v>0.0</v>
      </c>
      <c r="H1991" s="18" t="s">
        <v>73</v>
      </c>
      <c r="I1991" s="18" t="str">
        <f t="shared" si="1"/>
        <v>Overweight</v>
      </c>
    </row>
    <row r="1992" ht="15.75" customHeight="1">
      <c r="A1992" s="18" t="s">
        <v>2704</v>
      </c>
      <c r="B1992" s="18">
        <v>37.1</v>
      </c>
      <c r="C1992" s="18">
        <v>6.24</v>
      </c>
      <c r="D1992" s="18" t="s">
        <v>73</v>
      </c>
      <c r="E1992" s="18" t="s">
        <v>73</v>
      </c>
      <c r="F1992" s="18" t="s">
        <v>73</v>
      </c>
      <c r="G1992" s="20">
        <v>0.0</v>
      </c>
      <c r="H1992" s="18" t="s">
        <v>73</v>
      </c>
      <c r="I1992" s="18" t="str">
        <f t="shared" si="1"/>
        <v>Obesity</v>
      </c>
    </row>
    <row r="1993" ht="15.75" customHeight="1">
      <c r="A1993" s="18" t="s">
        <v>2702</v>
      </c>
      <c r="B1993" s="18">
        <v>35.435</v>
      </c>
      <c r="C1993" s="18">
        <v>5.81</v>
      </c>
      <c r="D1993" s="18" t="s">
        <v>73</v>
      </c>
      <c r="E1993" s="18" t="s">
        <v>73</v>
      </c>
      <c r="F1993" s="18" t="s">
        <v>73</v>
      </c>
      <c r="G1993" s="20">
        <v>0.0</v>
      </c>
      <c r="H1993" s="18" t="s">
        <v>73</v>
      </c>
      <c r="I1993" s="18" t="str">
        <f t="shared" si="1"/>
        <v>Obesity</v>
      </c>
    </row>
    <row r="1994" ht="15.75" customHeight="1">
      <c r="A1994" s="18" t="s">
        <v>2701</v>
      </c>
      <c r="B1994" s="18">
        <v>20.4</v>
      </c>
      <c r="C1994" s="18">
        <v>4.83</v>
      </c>
      <c r="D1994" s="18" t="s">
        <v>73</v>
      </c>
      <c r="E1994" s="18" t="s">
        <v>73</v>
      </c>
      <c r="F1994" s="18" t="s">
        <v>73</v>
      </c>
      <c r="G1994" s="20">
        <v>0.0</v>
      </c>
      <c r="H1994" s="18" t="s">
        <v>73</v>
      </c>
      <c r="I1994" s="18" t="str">
        <f t="shared" si="1"/>
        <v>Normal Weight</v>
      </c>
    </row>
    <row r="1995" ht="15.75" customHeight="1">
      <c r="A1995" s="18" t="s">
        <v>2700</v>
      </c>
      <c r="B1995" s="18">
        <v>42.13</v>
      </c>
      <c r="C1995" s="18">
        <v>5.72</v>
      </c>
      <c r="D1995" s="18" t="s">
        <v>80</v>
      </c>
      <c r="E1995" s="18" t="s">
        <v>73</v>
      </c>
      <c r="F1995" s="18" t="s">
        <v>184</v>
      </c>
      <c r="G1995" s="18">
        <v>1.0</v>
      </c>
      <c r="H1995" s="18" t="s">
        <v>73</v>
      </c>
      <c r="I1995" s="18" t="str">
        <f t="shared" si="1"/>
        <v>Obesity</v>
      </c>
    </row>
    <row r="1996" ht="15.75" customHeight="1">
      <c r="A1996" s="18" t="s">
        <v>2699</v>
      </c>
      <c r="B1996" s="18">
        <v>33.99</v>
      </c>
      <c r="C1996" s="18">
        <v>4.83</v>
      </c>
      <c r="D1996" s="18" t="s">
        <v>80</v>
      </c>
      <c r="E1996" s="18" t="s">
        <v>73</v>
      </c>
      <c r="F1996" s="18" t="s">
        <v>184</v>
      </c>
      <c r="G1996" s="18">
        <v>1.0</v>
      </c>
      <c r="H1996" s="18" t="s">
        <v>73</v>
      </c>
      <c r="I1996" s="18" t="str">
        <f t="shared" si="1"/>
        <v>Obesity</v>
      </c>
    </row>
    <row r="1997" ht="15.75" customHeight="1">
      <c r="A1997" s="18" t="s">
        <v>2693</v>
      </c>
      <c r="B1997" s="18">
        <v>28.595</v>
      </c>
      <c r="C1997" s="18">
        <v>4.14</v>
      </c>
      <c r="D1997" s="18" t="s">
        <v>80</v>
      </c>
      <c r="E1997" s="18" t="s">
        <v>73</v>
      </c>
      <c r="F1997" s="18" t="s">
        <v>184</v>
      </c>
      <c r="G1997" s="18">
        <v>1.0</v>
      </c>
      <c r="H1997" s="18" t="s">
        <v>73</v>
      </c>
      <c r="I1997" s="18" t="str">
        <f t="shared" si="1"/>
        <v>Overweight</v>
      </c>
    </row>
    <row r="1998" ht="15.75" customHeight="1">
      <c r="A1998" s="18" t="s">
        <v>2688</v>
      </c>
      <c r="B1998" s="18">
        <v>20.8</v>
      </c>
      <c r="C1998" s="18">
        <v>4.07</v>
      </c>
      <c r="D1998" s="18" t="s">
        <v>80</v>
      </c>
      <c r="E1998" s="18" t="s">
        <v>73</v>
      </c>
      <c r="F1998" s="18" t="s">
        <v>184</v>
      </c>
      <c r="G1998" s="18">
        <v>1.0</v>
      </c>
      <c r="H1998" s="18" t="s">
        <v>73</v>
      </c>
      <c r="I1998" s="18" t="str">
        <f t="shared" si="1"/>
        <v>Normal Weight</v>
      </c>
    </row>
    <row r="1999" ht="15.75" customHeight="1">
      <c r="A1999" s="18" t="s">
        <v>2684</v>
      </c>
      <c r="B1999" s="18">
        <v>23.465</v>
      </c>
      <c r="C1999" s="18">
        <v>6.26</v>
      </c>
      <c r="D1999" s="18" t="s">
        <v>80</v>
      </c>
      <c r="E1999" s="18" t="s">
        <v>73</v>
      </c>
      <c r="F1999" s="18" t="s">
        <v>184</v>
      </c>
      <c r="G1999" s="18">
        <v>1.0</v>
      </c>
      <c r="H1999" s="18" t="s">
        <v>73</v>
      </c>
      <c r="I1999" s="18" t="str">
        <f t="shared" si="1"/>
        <v>Normal Weight</v>
      </c>
    </row>
    <row r="2000" ht="15.75" customHeight="1">
      <c r="A2000" s="18" t="s">
        <v>2680</v>
      </c>
      <c r="B2000" s="18">
        <v>40.185</v>
      </c>
      <c r="C2000" s="18">
        <v>5.88</v>
      </c>
      <c r="D2000" s="18" t="s">
        <v>80</v>
      </c>
      <c r="E2000" s="18" t="s">
        <v>73</v>
      </c>
      <c r="F2000" s="18" t="s">
        <v>73</v>
      </c>
      <c r="G2000" s="20">
        <v>0.0</v>
      </c>
      <c r="H2000" s="18" t="s">
        <v>73</v>
      </c>
      <c r="I2000" s="18" t="str">
        <f t="shared" si="1"/>
        <v>Obesity</v>
      </c>
    </row>
    <row r="2001" ht="15.75" customHeight="1">
      <c r="A2001" s="18" t="s">
        <v>2674</v>
      </c>
      <c r="B2001" s="18">
        <v>21.89</v>
      </c>
      <c r="C2001" s="18">
        <v>5.72</v>
      </c>
      <c r="D2001" s="18" t="s">
        <v>80</v>
      </c>
      <c r="E2001" s="18" t="s">
        <v>73</v>
      </c>
      <c r="F2001" s="18" t="s">
        <v>73</v>
      </c>
      <c r="G2001" s="20">
        <v>0.0</v>
      </c>
      <c r="H2001" s="18" t="s">
        <v>73</v>
      </c>
      <c r="I2001" s="18" t="str">
        <f t="shared" si="1"/>
        <v>Normal Weight</v>
      </c>
    </row>
    <row r="2002" ht="15.75" customHeight="1">
      <c r="A2002" s="18" t="s">
        <v>2671</v>
      </c>
      <c r="B2002" s="18">
        <v>29.34</v>
      </c>
      <c r="C2002" s="18">
        <v>6.09</v>
      </c>
      <c r="D2002" s="18" t="s">
        <v>80</v>
      </c>
      <c r="E2002" s="18" t="s">
        <v>80</v>
      </c>
      <c r="F2002" s="18" t="s">
        <v>73</v>
      </c>
      <c r="G2002" s="18">
        <v>2.0</v>
      </c>
      <c r="H2002" s="18" t="s">
        <v>73</v>
      </c>
      <c r="I2002" s="18" t="str">
        <f t="shared" si="1"/>
        <v>Overweight</v>
      </c>
    </row>
    <row r="2003" ht="15.75" customHeight="1">
      <c r="A2003" s="18" t="s">
        <v>2665</v>
      </c>
      <c r="B2003" s="18">
        <v>22.61</v>
      </c>
      <c r="C2003" s="18">
        <v>4.25</v>
      </c>
      <c r="D2003" s="18" t="s">
        <v>80</v>
      </c>
      <c r="E2003" s="18" t="s">
        <v>73</v>
      </c>
      <c r="F2003" s="18" t="s">
        <v>73</v>
      </c>
      <c r="G2003" s="20">
        <v>0.0</v>
      </c>
      <c r="H2003" s="18" t="s">
        <v>73</v>
      </c>
      <c r="I2003" s="18" t="str">
        <f t="shared" si="1"/>
        <v>Normal Weight</v>
      </c>
    </row>
    <row r="2004" ht="15.75" customHeight="1">
      <c r="A2004" s="18" t="s">
        <v>2659</v>
      </c>
      <c r="B2004" s="18">
        <v>22.23</v>
      </c>
      <c r="C2004" s="18">
        <v>6.09</v>
      </c>
      <c r="D2004" s="18" t="s">
        <v>80</v>
      </c>
      <c r="E2004" s="18" t="s">
        <v>73</v>
      </c>
      <c r="F2004" s="18" t="s">
        <v>73</v>
      </c>
      <c r="G2004" s="20">
        <v>0.0</v>
      </c>
      <c r="H2004" s="18" t="s">
        <v>73</v>
      </c>
      <c r="I2004" s="18" t="str">
        <f t="shared" si="1"/>
        <v>Normal Weight</v>
      </c>
    </row>
    <row r="2005" ht="15.75" customHeight="1">
      <c r="A2005" s="18" t="s">
        <v>2653</v>
      </c>
      <c r="B2005" s="18">
        <v>33.4</v>
      </c>
      <c r="C2005" s="18">
        <v>5.51</v>
      </c>
      <c r="D2005" s="18" t="s">
        <v>73</v>
      </c>
      <c r="E2005" s="18" t="s">
        <v>73</v>
      </c>
      <c r="F2005" s="18" t="s">
        <v>73</v>
      </c>
      <c r="G2005" s="20">
        <v>0.0</v>
      </c>
      <c r="H2005" s="18" t="s">
        <v>73</v>
      </c>
      <c r="I2005" s="18" t="str">
        <f t="shared" si="1"/>
        <v>Obesity</v>
      </c>
    </row>
    <row r="2006" ht="15.75" customHeight="1">
      <c r="A2006" s="18" t="s">
        <v>2648</v>
      </c>
      <c r="B2006" s="18">
        <v>33.11</v>
      </c>
      <c r="C2006" s="18">
        <v>5.63</v>
      </c>
      <c r="D2006" s="18" t="s">
        <v>73</v>
      </c>
      <c r="E2006" s="18" t="s">
        <v>73</v>
      </c>
      <c r="F2006" s="18" t="s">
        <v>73</v>
      </c>
      <c r="G2006" s="20">
        <v>0.0</v>
      </c>
      <c r="H2006" s="18" t="s">
        <v>73</v>
      </c>
      <c r="I2006" s="18" t="str">
        <f t="shared" si="1"/>
        <v>Obesity</v>
      </c>
    </row>
    <row r="2007" ht="15.75" customHeight="1">
      <c r="A2007" s="18" t="s">
        <v>2643</v>
      </c>
      <c r="B2007" s="18">
        <v>16.815</v>
      </c>
      <c r="C2007" s="18">
        <v>5.29</v>
      </c>
      <c r="D2007" s="18" t="s">
        <v>80</v>
      </c>
      <c r="E2007" s="18" t="s">
        <v>73</v>
      </c>
      <c r="F2007" s="18" t="s">
        <v>73</v>
      </c>
      <c r="G2007" s="20">
        <v>0.0</v>
      </c>
      <c r="H2007" s="18" t="s">
        <v>73</v>
      </c>
      <c r="I2007" s="18" t="str">
        <f t="shared" si="1"/>
        <v>Underweight</v>
      </c>
    </row>
    <row r="2008" ht="15.75" customHeight="1">
      <c r="A2008" s="18" t="s">
        <v>2640</v>
      </c>
      <c r="B2008" s="18">
        <v>25.61</v>
      </c>
      <c r="C2008" s="18">
        <v>4.0</v>
      </c>
      <c r="D2008" s="18" t="s">
        <v>73</v>
      </c>
      <c r="E2008" s="18" t="s">
        <v>73</v>
      </c>
      <c r="F2008" s="18" t="s">
        <v>184</v>
      </c>
      <c r="G2008" s="18">
        <v>1.0</v>
      </c>
      <c r="H2008" s="18" t="s">
        <v>73</v>
      </c>
      <c r="I2008" s="18" t="str">
        <f t="shared" si="1"/>
        <v>Overweight</v>
      </c>
    </row>
    <row r="2009" ht="15.75" customHeight="1">
      <c r="A2009" s="18" t="s">
        <v>2635</v>
      </c>
      <c r="B2009" s="18">
        <v>25.8</v>
      </c>
      <c r="C2009" s="18">
        <v>5.49</v>
      </c>
      <c r="D2009" s="18" t="s">
        <v>73</v>
      </c>
      <c r="E2009" s="18" t="s">
        <v>73</v>
      </c>
      <c r="F2009" s="18" t="s">
        <v>73</v>
      </c>
      <c r="G2009" s="20">
        <v>0.0</v>
      </c>
      <c r="H2009" s="18" t="s">
        <v>73</v>
      </c>
      <c r="I2009" s="18" t="str">
        <f t="shared" si="1"/>
        <v>Overweight</v>
      </c>
    </row>
    <row r="2010" ht="15.75" customHeight="1">
      <c r="A2010" s="18" t="s">
        <v>2629</v>
      </c>
      <c r="B2010" s="18">
        <v>27.39</v>
      </c>
      <c r="C2010" s="18">
        <v>5.34</v>
      </c>
      <c r="D2010" s="18" t="s">
        <v>73</v>
      </c>
      <c r="E2010" s="18" t="s">
        <v>73</v>
      </c>
      <c r="F2010" s="18" t="s">
        <v>73</v>
      </c>
      <c r="G2010" s="20">
        <v>0.0</v>
      </c>
      <c r="H2010" s="18" t="s">
        <v>73</v>
      </c>
      <c r="I2010" s="18" t="str">
        <f t="shared" si="1"/>
        <v>Overweight</v>
      </c>
    </row>
    <row r="2011" ht="15.75" customHeight="1">
      <c r="A2011" s="18" t="s">
        <v>2625</v>
      </c>
      <c r="B2011" s="18">
        <v>17.03</v>
      </c>
      <c r="C2011" s="18">
        <v>4.12</v>
      </c>
      <c r="D2011" s="18" t="s">
        <v>73</v>
      </c>
      <c r="E2011" s="18" t="s">
        <v>73</v>
      </c>
      <c r="F2011" s="18" t="s">
        <v>73</v>
      </c>
      <c r="G2011" s="18">
        <v>1.0</v>
      </c>
      <c r="H2011" s="18" t="s">
        <v>73</v>
      </c>
      <c r="I2011" s="18" t="str">
        <f t="shared" si="1"/>
        <v>Underweight</v>
      </c>
    </row>
    <row r="2012" ht="15.75" customHeight="1">
      <c r="A2012" s="18" t="s">
        <v>2619</v>
      </c>
      <c r="B2012" s="18">
        <v>23.75</v>
      </c>
      <c r="C2012" s="18">
        <v>5.49</v>
      </c>
      <c r="D2012" s="18" t="s">
        <v>80</v>
      </c>
      <c r="E2012" s="18" t="s">
        <v>73</v>
      </c>
      <c r="F2012" s="18" t="s">
        <v>73</v>
      </c>
      <c r="G2012" s="20">
        <v>0.0</v>
      </c>
      <c r="H2012" s="18" t="s">
        <v>73</v>
      </c>
      <c r="I2012" s="18" t="str">
        <f t="shared" si="1"/>
        <v>Normal Weight</v>
      </c>
    </row>
    <row r="2013" ht="15.75" customHeight="1">
      <c r="A2013" s="18" t="s">
        <v>2613</v>
      </c>
      <c r="B2013" s="18">
        <v>26.03</v>
      </c>
      <c r="C2013" s="18">
        <v>5.11</v>
      </c>
      <c r="D2013" s="18" t="s">
        <v>80</v>
      </c>
      <c r="E2013" s="18" t="s">
        <v>73</v>
      </c>
      <c r="F2013" s="18" t="s">
        <v>73</v>
      </c>
      <c r="G2013" s="18">
        <v>1.0</v>
      </c>
      <c r="H2013" s="18" t="s">
        <v>73</v>
      </c>
      <c r="I2013" s="18" t="str">
        <f t="shared" si="1"/>
        <v>Overweight</v>
      </c>
    </row>
    <row r="2014" ht="15.75" customHeight="1">
      <c r="A2014" s="18" t="s">
        <v>2608</v>
      </c>
      <c r="B2014" s="18">
        <v>16.08</v>
      </c>
      <c r="C2014" s="18">
        <v>5.94</v>
      </c>
      <c r="D2014" s="18" t="s">
        <v>73</v>
      </c>
      <c r="E2014" s="18" t="s">
        <v>73</v>
      </c>
      <c r="F2014" s="18" t="s">
        <v>73</v>
      </c>
      <c r="G2014" s="20">
        <v>0.0</v>
      </c>
      <c r="H2014" s="18" t="s">
        <v>73</v>
      </c>
      <c r="I2014" s="18" t="str">
        <f t="shared" si="1"/>
        <v>Underweight</v>
      </c>
    </row>
    <row r="2015" ht="15.75" customHeight="1">
      <c r="A2015" s="18" t="s">
        <v>2604</v>
      </c>
      <c r="B2015" s="18">
        <v>30.875</v>
      </c>
      <c r="C2015" s="18">
        <v>5.54</v>
      </c>
      <c r="D2015" s="18" t="s">
        <v>73</v>
      </c>
      <c r="E2015" s="18" t="s">
        <v>73</v>
      </c>
      <c r="F2015" s="18" t="s">
        <v>73</v>
      </c>
      <c r="G2015" s="20">
        <v>0.0</v>
      </c>
      <c r="H2015" s="18" t="s">
        <v>73</v>
      </c>
      <c r="I2015" s="18" t="str">
        <f t="shared" si="1"/>
        <v>Obesity</v>
      </c>
    </row>
    <row r="2016" ht="15.75" customHeight="1">
      <c r="A2016" s="18" t="s">
        <v>2598</v>
      </c>
      <c r="B2016" s="18">
        <v>31.79</v>
      </c>
      <c r="C2016" s="18">
        <v>7.09</v>
      </c>
      <c r="D2016" s="18" t="s">
        <v>73</v>
      </c>
      <c r="E2016" s="18" t="s">
        <v>73</v>
      </c>
      <c r="F2016" s="18" t="s">
        <v>73</v>
      </c>
      <c r="G2016" s="20">
        <v>0.0</v>
      </c>
      <c r="H2016" s="18" t="s">
        <v>73</v>
      </c>
      <c r="I2016" s="18" t="str">
        <f t="shared" si="1"/>
        <v>Obesity</v>
      </c>
    </row>
    <row r="2017" ht="15.75" customHeight="1">
      <c r="A2017" s="18" t="s">
        <v>2593</v>
      </c>
      <c r="B2017" s="18">
        <v>28.48</v>
      </c>
      <c r="C2017" s="18">
        <v>6.22</v>
      </c>
      <c r="D2017" s="18" t="s">
        <v>80</v>
      </c>
      <c r="E2017" s="18" t="s">
        <v>73</v>
      </c>
      <c r="F2017" s="18" t="s">
        <v>184</v>
      </c>
      <c r="G2017" s="18">
        <v>1.0</v>
      </c>
      <c r="H2017" s="18" t="s">
        <v>73</v>
      </c>
      <c r="I2017" s="18" t="str">
        <f t="shared" si="1"/>
        <v>Overweight</v>
      </c>
    </row>
    <row r="2018" ht="15.75" customHeight="1">
      <c r="A2018" s="18" t="s">
        <v>2588</v>
      </c>
      <c r="B2018" s="18">
        <v>26.6</v>
      </c>
      <c r="C2018" s="18">
        <v>4.33</v>
      </c>
      <c r="D2018" s="18" t="s">
        <v>73</v>
      </c>
      <c r="E2018" s="18" t="s">
        <v>73</v>
      </c>
      <c r="F2018" s="18" t="s">
        <v>73</v>
      </c>
      <c r="G2018" s="18">
        <v>1.0</v>
      </c>
      <c r="H2018" s="18" t="s">
        <v>73</v>
      </c>
      <c r="I2018" s="18" t="str">
        <f t="shared" si="1"/>
        <v>Overweight</v>
      </c>
    </row>
    <row r="2019" ht="15.75" customHeight="1">
      <c r="A2019" s="18" t="s">
        <v>2584</v>
      </c>
      <c r="B2019" s="18">
        <v>25.27</v>
      </c>
      <c r="C2019" s="18">
        <v>5.83</v>
      </c>
      <c r="D2019" s="18" t="s">
        <v>73</v>
      </c>
      <c r="E2019" s="18" t="s">
        <v>73</v>
      </c>
      <c r="F2019" s="18" t="s">
        <v>73</v>
      </c>
      <c r="G2019" s="18">
        <v>1.0</v>
      </c>
      <c r="H2019" s="18" t="s">
        <v>73</v>
      </c>
      <c r="I2019" s="18" t="str">
        <f t="shared" si="1"/>
        <v>Overweight</v>
      </c>
    </row>
    <row r="2020" ht="15.75" customHeight="1">
      <c r="A2020" s="18" t="s">
        <v>2578</v>
      </c>
      <c r="B2020" s="18">
        <v>34.485</v>
      </c>
      <c r="C2020" s="18">
        <v>4.7</v>
      </c>
      <c r="D2020" s="18" t="s">
        <v>80</v>
      </c>
      <c r="E2020" s="18" t="s">
        <v>73</v>
      </c>
      <c r="F2020" s="18" t="s">
        <v>184</v>
      </c>
      <c r="G2020" s="18">
        <v>1.0</v>
      </c>
      <c r="H2020" s="18" t="s">
        <v>73</v>
      </c>
      <c r="I2020" s="18" t="str">
        <f t="shared" si="1"/>
        <v>Obesity</v>
      </c>
    </row>
    <row r="2021" ht="15.75" customHeight="1">
      <c r="A2021" s="18" t="s">
        <v>2572</v>
      </c>
      <c r="B2021" s="18">
        <v>15.57</v>
      </c>
      <c r="C2021" s="18">
        <v>4.07</v>
      </c>
      <c r="D2021" s="18" t="s">
        <v>80</v>
      </c>
      <c r="E2021" s="18" t="s">
        <v>73</v>
      </c>
      <c r="F2021" s="18" t="s">
        <v>73</v>
      </c>
      <c r="G2021" s="18">
        <v>1.0</v>
      </c>
      <c r="H2021" s="18" t="s">
        <v>73</v>
      </c>
      <c r="I2021" s="18" t="str">
        <f t="shared" si="1"/>
        <v>Underweight</v>
      </c>
    </row>
    <row r="2022" ht="15.75" customHeight="1">
      <c r="A2022" s="18" t="s">
        <v>2567</v>
      </c>
      <c r="B2022" s="18">
        <v>30.36</v>
      </c>
      <c r="C2022" s="18">
        <v>9.39</v>
      </c>
      <c r="D2022" s="18" t="s">
        <v>73</v>
      </c>
      <c r="E2022" s="18" t="s">
        <v>73</v>
      </c>
      <c r="F2022" s="18" t="s">
        <v>73</v>
      </c>
      <c r="G2022" s="20">
        <v>0.0</v>
      </c>
      <c r="H2022" s="18" t="s">
        <v>73</v>
      </c>
      <c r="I2022" s="18" t="str">
        <f t="shared" si="1"/>
        <v>Obesity</v>
      </c>
    </row>
    <row r="2023" ht="15.75" customHeight="1">
      <c r="A2023" s="18" t="s">
        <v>2563</v>
      </c>
      <c r="B2023" s="18">
        <v>19.37</v>
      </c>
      <c r="C2023" s="18">
        <v>4.18</v>
      </c>
      <c r="D2023" s="18" t="s">
        <v>73</v>
      </c>
      <c r="E2023" s="18" t="s">
        <v>73</v>
      </c>
      <c r="F2023" s="18" t="s">
        <v>73</v>
      </c>
      <c r="G2023" s="20">
        <v>0.0</v>
      </c>
      <c r="H2023" s="18" t="s">
        <v>73</v>
      </c>
      <c r="I2023" s="18" t="str">
        <f t="shared" si="1"/>
        <v>Normal Weight</v>
      </c>
    </row>
    <row r="2024" ht="15.75" customHeight="1">
      <c r="A2024" s="18" t="s">
        <v>2559</v>
      </c>
      <c r="B2024" s="18">
        <v>16.71</v>
      </c>
      <c r="C2024" s="18">
        <v>4.18</v>
      </c>
      <c r="D2024" s="18" t="s">
        <v>73</v>
      </c>
      <c r="E2024" s="18" t="s">
        <v>73</v>
      </c>
      <c r="F2024" s="18" t="s">
        <v>73</v>
      </c>
      <c r="G2024" s="18">
        <v>1.0</v>
      </c>
      <c r="H2024" s="18" t="s">
        <v>73</v>
      </c>
      <c r="I2024" s="18" t="str">
        <f t="shared" si="1"/>
        <v>Underweight</v>
      </c>
    </row>
    <row r="2025" ht="15.75" customHeight="1">
      <c r="A2025" s="18" t="s">
        <v>2554</v>
      </c>
      <c r="B2025" s="18">
        <v>24.1</v>
      </c>
      <c r="C2025" s="18">
        <v>4.4</v>
      </c>
      <c r="D2025" s="18" t="s">
        <v>80</v>
      </c>
      <c r="E2025" s="18" t="s">
        <v>73</v>
      </c>
      <c r="F2025" s="18" t="s">
        <v>73</v>
      </c>
      <c r="G2025" s="18">
        <v>1.0</v>
      </c>
      <c r="H2025" s="18" t="s">
        <v>73</v>
      </c>
      <c r="I2025" s="18" t="str">
        <f t="shared" si="1"/>
        <v>Normal Weight</v>
      </c>
    </row>
    <row r="2026" ht="15.75" customHeight="1">
      <c r="A2026" s="18" t="s">
        <v>2549</v>
      </c>
      <c r="B2026" s="18">
        <v>29.77</v>
      </c>
      <c r="C2026" s="18">
        <v>9.9</v>
      </c>
      <c r="D2026" s="18" t="s">
        <v>73</v>
      </c>
      <c r="E2026" s="18" t="s">
        <v>73</v>
      </c>
      <c r="F2026" s="18" t="s">
        <v>73</v>
      </c>
      <c r="G2026" s="20">
        <v>0.0</v>
      </c>
      <c r="H2026" s="18" t="s">
        <v>73</v>
      </c>
      <c r="I2026" s="18" t="str">
        <f t="shared" si="1"/>
        <v>Overweight</v>
      </c>
    </row>
    <row r="2027" ht="15.75" customHeight="1">
      <c r="A2027" s="18" t="s">
        <v>2548</v>
      </c>
      <c r="B2027" s="18">
        <v>46.53</v>
      </c>
      <c r="C2027" s="18">
        <v>4.84</v>
      </c>
      <c r="D2027" s="18" t="s">
        <v>80</v>
      </c>
      <c r="E2027" s="18" t="s">
        <v>73</v>
      </c>
      <c r="F2027" s="18" t="s">
        <v>73</v>
      </c>
      <c r="G2027" s="20">
        <v>0.0</v>
      </c>
      <c r="H2027" s="18" t="s">
        <v>73</v>
      </c>
      <c r="I2027" s="18" t="str">
        <f t="shared" si="1"/>
        <v>Obesity</v>
      </c>
    </row>
    <row r="2028" ht="15.75" customHeight="1">
      <c r="A2028" s="18" t="s">
        <v>2545</v>
      </c>
      <c r="B2028" s="18">
        <v>23.4</v>
      </c>
      <c r="C2028" s="18">
        <v>5.53</v>
      </c>
      <c r="D2028" s="18" t="s">
        <v>73</v>
      </c>
      <c r="E2028" s="18" t="s">
        <v>73</v>
      </c>
      <c r="F2028" s="18" t="s">
        <v>184</v>
      </c>
      <c r="G2028" s="18">
        <v>1.0</v>
      </c>
      <c r="H2028" s="18" t="s">
        <v>73</v>
      </c>
      <c r="I2028" s="18" t="str">
        <f t="shared" si="1"/>
        <v>Normal Weight</v>
      </c>
    </row>
    <row r="2029" ht="15.75" customHeight="1">
      <c r="A2029" s="18" t="s">
        <v>2539</v>
      </c>
      <c r="B2029" s="18">
        <v>30.0</v>
      </c>
      <c r="C2029" s="18">
        <v>4.33</v>
      </c>
      <c r="D2029" s="18" t="s">
        <v>80</v>
      </c>
      <c r="E2029" s="18" t="s">
        <v>73</v>
      </c>
      <c r="F2029" s="18" t="s">
        <v>73</v>
      </c>
      <c r="G2029" s="20">
        <v>0.0</v>
      </c>
      <c r="H2029" s="18" t="s">
        <v>73</v>
      </c>
      <c r="I2029" s="18" t="str">
        <f t="shared" si="1"/>
        <v>Obesity</v>
      </c>
    </row>
    <row r="2030" ht="15.75" customHeight="1">
      <c r="A2030" s="18" t="s">
        <v>2533</v>
      </c>
      <c r="B2030" s="18">
        <v>29.15</v>
      </c>
      <c r="C2030" s="18">
        <v>4.91</v>
      </c>
      <c r="D2030" s="18" t="s">
        <v>80</v>
      </c>
      <c r="E2030" s="18" t="s">
        <v>73</v>
      </c>
      <c r="F2030" s="18" t="s">
        <v>73</v>
      </c>
      <c r="G2030" s="20">
        <v>0.0</v>
      </c>
      <c r="H2030" s="18" t="s">
        <v>73</v>
      </c>
      <c r="I2030" s="18" t="str">
        <f t="shared" si="1"/>
        <v>Overweight</v>
      </c>
    </row>
    <row r="2031" ht="15.75" customHeight="1">
      <c r="A2031" s="18" t="s">
        <v>2530</v>
      </c>
      <c r="B2031" s="18">
        <v>34.865</v>
      </c>
      <c r="C2031" s="18">
        <v>4.8</v>
      </c>
      <c r="D2031" s="18" t="s">
        <v>73</v>
      </c>
      <c r="E2031" s="18" t="s">
        <v>73</v>
      </c>
      <c r="F2031" s="18" t="s">
        <v>73</v>
      </c>
      <c r="G2031" s="20">
        <v>0.0</v>
      </c>
      <c r="H2031" s="18" t="s">
        <v>73</v>
      </c>
      <c r="I2031" s="18" t="str">
        <f t="shared" si="1"/>
        <v>Obesity</v>
      </c>
    </row>
    <row r="2032" ht="15.75" customHeight="1">
      <c r="A2032" s="18" t="s">
        <v>2525</v>
      </c>
      <c r="B2032" s="18">
        <v>28.12</v>
      </c>
      <c r="C2032" s="18">
        <v>5.55</v>
      </c>
      <c r="D2032" s="18" t="s">
        <v>80</v>
      </c>
      <c r="E2032" s="18" t="s">
        <v>80</v>
      </c>
      <c r="F2032" s="18" t="s">
        <v>73</v>
      </c>
      <c r="G2032" s="18">
        <v>2.0</v>
      </c>
      <c r="H2032" s="18" t="s">
        <v>73</v>
      </c>
      <c r="I2032" s="18" t="str">
        <f t="shared" si="1"/>
        <v>Overweight</v>
      </c>
    </row>
    <row r="2033" ht="15.75" customHeight="1">
      <c r="A2033" s="18" t="s">
        <v>2519</v>
      </c>
      <c r="B2033" s="18">
        <v>29.45</v>
      </c>
      <c r="C2033" s="18">
        <v>5.24</v>
      </c>
      <c r="D2033" s="18" t="s">
        <v>80</v>
      </c>
      <c r="E2033" s="18" t="s">
        <v>73</v>
      </c>
      <c r="F2033" s="18" t="s">
        <v>73</v>
      </c>
      <c r="G2033" s="20">
        <v>0.0</v>
      </c>
      <c r="H2033" s="18" t="s">
        <v>73</v>
      </c>
      <c r="I2033" s="18" t="str">
        <f t="shared" si="1"/>
        <v>Overweight</v>
      </c>
    </row>
    <row r="2034" ht="15.75" customHeight="1">
      <c r="A2034" s="18" t="s">
        <v>2515</v>
      </c>
      <c r="B2034" s="18">
        <v>27.94</v>
      </c>
      <c r="C2034" s="18">
        <v>6.08</v>
      </c>
      <c r="D2034" s="18" t="s">
        <v>73</v>
      </c>
      <c r="E2034" s="18" t="s">
        <v>73</v>
      </c>
      <c r="F2034" s="18" t="s">
        <v>184</v>
      </c>
      <c r="G2034" s="18">
        <v>1.0</v>
      </c>
      <c r="H2034" s="18" t="s">
        <v>73</v>
      </c>
      <c r="I2034" s="18" t="str">
        <f t="shared" si="1"/>
        <v>Overweight</v>
      </c>
    </row>
    <row r="2035" ht="15.75" customHeight="1">
      <c r="A2035" s="18" t="s">
        <v>2509</v>
      </c>
      <c r="B2035" s="18">
        <v>27.2</v>
      </c>
      <c r="C2035" s="18">
        <v>5.83</v>
      </c>
      <c r="D2035" s="18" t="s">
        <v>73</v>
      </c>
      <c r="E2035" s="18" t="s">
        <v>73</v>
      </c>
      <c r="F2035" s="18" t="s">
        <v>184</v>
      </c>
      <c r="G2035" s="18">
        <v>1.0</v>
      </c>
      <c r="H2035" s="18" t="s">
        <v>73</v>
      </c>
      <c r="I2035" s="18" t="str">
        <f t="shared" si="1"/>
        <v>Overweight</v>
      </c>
    </row>
    <row r="2036" ht="15.75" customHeight="1">
      <c r="A2036" s="18" t="s">
        <v>2505</v>
      </c>
      <c r="B2036" s="18">
        <v>33.345</v>
      </c>
      <c r="C2036" s="18">
        <v>4.29</v>
      </c>
      <c r="D2036" s="18" t="s">
        <v>73</v>
      </c>
      <c r="E2036" s="18" t="s">
        <v>73</v>
      </c>
      <c r="F2036" s="18" t="s">
        <v>73</v>
      </c>
      <c r="G2036" s="18">
        <v>1.0</v>
      </c>
      <c r="H2036" s="18" t="s">
        <v>73</v>
      </c>
      <c r="I2036" s="18" t="str">
        <f t="shared" si="1"/>
        <v>Obesity</v>
      </c>
    </row>
    <row r="2037" ht="15.75" customHeight="1">
      <c r="A2037" s="18" t="s">
        <v>2499</v>
      </c>
      <c r="B2037" s="18">
        <v>29.925</v>
      </c>
      <c r="C2037" s="18">
        <v>5.3</v>
      </c>
      <c r="D2037" s="18" t="s">
        <v>73</v>
      </c>
      <c r="E2037" s="18" t="s">
        <v>73</v>
      </c>
      <c r="F2037" s="18" t="s">
        <v>73</v>
      </c>
      <c r="G2037" s="18">
        <v>1.0</v>
      </c>
      <c r="H2037" s="18" t="s">
        <v>73</v>
      </c>
      <c r="I2037" s="18" t="str">
        <f t="shared" si="1"/>
        <v>Overweight</v>
      </c>
    </row>
    <row r="2038" ht="15.75" customHeight="1">
      <c r="A2038" s="18" t="s">
        <v>2493</v>
      </c>
      <c r="B2038" s="18">
        <v>24.225</v>
      </c>
      <c r="C2038" s="18">
        <v>4.42</v>
      </c>
      <c r="D2038" s="18" t="s">
        <v>73</v>
      </c>
      <c r="E2038" s="18" t="s">
        <v>73</v>
      </c>
      <c r="F2038" s="18" t="s">
        <v>73</v>
      </c>
      <c r="G2038" s="18">
        <v>1.0</v>
      </c>
      <c r="H2038" s="18" t="s">
        <v>73</v>
      </c>
      <c r="I2038" s="18" t="str">
        <f t="shared" si="1"/>
        <v>Normal Weight</v>
      </c>
    </row>
    <row r="2039" ht="15.75" customHeight="1">
      <c r="A2039" s="18" t="s">
        <v>2487</v>
      </c>
      <c r="B2039" s="18">
        <v>29.68</v>
      </c>
      <c r="C2039" s="18">
        <v>5.68</v>
      </c>
      <c r="D2039" s="18" t="s">
        <v>73</v>
      </c>
      <c r="E2039" s="18" t="s">
        <v>80</v>
      </c>
      <c r="F2039" s="18" t="s">
        <v>73</v>
      </c>
      <c r="G2039" s="18">
        <v>1.0</v>
      </c>
      <c r="H2039" s="18" t="s">
        <v>73</v>
      </c>
      <c r="I2039" s="18" t="str">
        <f t="shared" si="1"/>
        <v>Overweight</v>
      </c>
    </row>
    <row r="2040" ht="15.75" customHeight="1">
      <c r="A2040" s="18" t="s">
        <v>2482</v>
      </c>
      <c r="B2040" s="18">
        <v>20.615</v>
      </c>
      <c r="C2040" s="18">
        <v>6.05</v>
      </c>
      <c r="D2040" s="18" t="s">
        <v>73</v>
      </c>
      <c r="E2040" s="18" t="s">
        <v>73</v>
      </c>
      <c r="F2040" s="18" t="s">
        <v>184</v>
      </c>
      <c r="G2040" s="18">
        <v>1.0</v>
      </c>
      <c r="H2040" s="18" t="s">
        <v>73</v>
      </c>
      <c r="I2040" s="18" t="str">
        <f t="shared" si="1"/>
        <v>Normal Weight</v>
      </c>
    </row>
    <row r="2041" ht="15.75" customHeight="1">
      <c r="A2041" s="18" t="s">
        <v>2478</v>
      </c>
      <c r="B2041" s="18">
        <v>32.12</v>
      </c>
      <c r="C2041" s="18">
        <v>5.33</v>
      </c>
      <c r="D2041" s="18" t="s">
        <v>73</v>
      </c>
      <c r="E2041" s="18" t="s">
        <v>80</v>
      </c>
      <c r="F2041" s="18" t="s">
        <v>73</v>
      </c>
      <c r="G2041" s="18">
        <v>1.0</v>
      </c>
      <c r="H2041" s="18" t="s">
        <v>73</v>
      </c>
      <c r="I2041" s="18" t="str">
        <f t="shared" si="1"/>
        <v>Obesity</v>
      </c>
    </row>
    <row r="2042" ht="15.75" customHeight="1">
      <c r="A2042" s="18" t="s">
        <v>2474</v>
      </c>
      <c r="B2042" s="18">
        <v>27.36</v>
      </c>
      <c r="C2042" s="18">
        <v>6.22</v>
      </c>
      <c r="D2042" s="18" t="s">
        <v>73</v>
      </c>
      <c r="E2042" s="18" t="s">
        <v>73</v>
      </c>
      <c r="F2042" s="18" t="s">
        <v>73</v>
      </c>
      <c r="G2042" s="20">
        <v>0.0</v>
      </c>
      <c r="H2042" s="18" t="s">
        <v>73</v>
      </c>
      <c r="I2042" s="18" t="str">
        <f t="shared" si="1"/>
        <v>Overweight</v>
      </c>
    </row>
    <row r="2043" ht="15.75" customHeight="1">
      <c r="A2043" s="18" t="s">
        <v>2467</v>
      </c>
      <c r="B2043" s="18">
        <v>17.385</v>
      </c>
      <c r="C2043" s="18">
        <v>5.84</v>
      </c>
      <c r="D2043" s="18" t="s">
        <v>73</v>
      </c>
      <c r="E2043" s="18" t="s">
        <v>73</v>
      </c>
      <c r="F2043" s="18" t="s">
        <v>73</v>
      </c>
      <c r="G2043" s="20">
        <v>0.0</v>
      </c>
      <c r="H2043" s="18" t="s">
        <v>73</v>
      </c>
      <c r="I2043" s="18" t="str">
        <f t="shared" si="1"/>
        <v>Underweight</v>
      </c>
    </row>
    <row r="2044" ht="15.75" customHeight="1">
      <c r="A2044" s="18" t="s">
        <v>2458</v>
      </c>
      <c r="B2044" s="18">
        <v>30.13</v>
      </c>
      <c r="C2044" s="18">
        <v>5.71</v>
      </c>
      <c r="D2044" s="18" t="s">
        <v>73</v>
      </c>
      <c r="E2044" s="18" t="s">
        <v>80</v>
      </c>
      <c r="F2044" s="18" t="s">
        <v>73</v>
      </c>
      <c r="G2044" s="18">
        <v>1.0</v>
      </c>
      <c r="H2044" s="18" t="s">
        <v>73</v>
      </c>
      <c r="I2044" s="18" t="str">
        <f t="shared" si="1"/>
        <v>Obesity</v>
      </c>
    </row>
    <row r="2045" ht="15.75" customHeight="1">
      <c r="A2045" s="18" t="s">
        <v>2454</v>
      </c>
      <c r="B2045" s="18">
        <v>25.44</v>
      </c>
      <c r="C2045" s="18">
        <v>6.04</v>
      </c>
      <c r="D2045" s="18" t="s">
        <v>80</v>
      </c>
      <c r="E2045" s="18" t="s">
        <v>73</v>
      </c>
      <c r="F2045" s="18" t="s">
        <v>184</v>
      </c>
      <c r="G2045" s="18">
        <v>1.0</v>
      </c>
      <c r="H2045" s="18" t="s">
        <v>73</v>
      </c>
      <c r="I2045" s="18" t="str">
        <f t="shared" si="1"/>
        <v>Overweight</v>
      </c>
    </row>
    <row r="2046" ht="15.75" customHeight="1">
      <c r="A2046" s="18" t="s">
        <v>2449</v>
      </c>
      <c r="B2046" s="18">
        <v>39.805</v>
      </c>
      <c r="C2046" s="18">
        <v>4.38</v>
      </c>
      <c r="D2046" s="18" t="s">
        <v>73</v>
      </c>
      <c r="E2046" s="18" t="s">
        <v>80</v>
      </c>
      <c r="F2046" s="18" t="s">
        <v>73</v>
      </c>
      <c r="G2046" s="18">
        <v>1.0</v>
      </c>
      <c r="H2046" s="18" t="s">
        <v>73</v>
      </c>
      <c r="I2046" s="18" t="str">
        <f t="shared" si="1"/>
        <v>Obesity</v>
      </c>
    </row>
    <row r="2047" ht="15.75" customHeight="1">
      <c r="A2047" s="18" t="s">
        <v>2442</v>
      </c>
      <c r="B2047" s="18">
        <v>30.4</v>
      </c>
      <c r="C2047" s="18">
        <v>5.56</v>
      </c>
      <c r="D2047" s="18" t="s">
        <v>80</v>
      </c>
      <c r="E2047" s="18" t="s">
        <v>80</v>
      </c>
      <c r="F2047" s="18" t="s">
        <v>73</v>
      </c>
      <c r="G2047" s="18">
        <v>1.0</v>
      </c>
      <c r="H2047" s="18" t="s">
        <v>73</v>
      </c>
      <c r="I2047" s="18" t="str">
        <f t="shared" si="1"/>
        <v>Obesity</v>
      </c>
    </row>
    <row r="2048" ht="15.75" customHeight="1">
      <c r="A2048" s="18" t="s">
        <v>2434</v>
      </c>
      <c r="B2048" s="18">
        <v>23.18</v>
      </c>
      <c r="C2048" s="18">
        <v>4.24</v>
      </c>
      <c r="D2048" s="18" t="s">
        <v>73</v>
      </c>
      <c r="E2048" s="18" t="s">
        <v>80</v>
      </c>
      <c r="F2048" s="18" t="s">
        <v>73</v>
      </c>
      <c r="G2048" s="18">
        <v>1.0</v>
      </c>
      <c r="H2048" s="18" t="s">
        <v>73</v>
      </c>
      <c r="I2048" s="18" t="str">
        <f t="shared" si="1"/>
        <v>Normal Weight</v>
      </c>
    </row>
    <row r="2049" ht="15.75" customHeight="1">
      <c r="A2049" s="18" t="s">
        <v>2429</v>
      </c>
      <c r="B2049" s="18">
        <v>39.615</v>
      </c>
      <c r="C2049" s="18">
        <v>6.32</v>
      </c>
      <c r="D2049" s="18" t="s">
        <v>73</v>
      </c>
      <c r="E2049" s="18" t="s">
        <v>73</v>
      </c>
      <c r="F2049" s="18" t="s">
        <v>184</v>
      </c>
      <c r="G2049" s="18">
        <v>1.0</v>
      </c>
      <c r="H2049" s="18" t="s">
        <v>73</v>
      </c>
      <c r="I2049" s="18" t="str">
        <f t="shared" si="1"/>
        <v>Obesity</v>
      </c>
    </row>
    <row r="2050" ht="15.75" customHeight="1">
      <c r="A2050" s="18" t="s">
        <v>2424</v>
      </c>
      <c r="B2050" s="18">
        <v>30.59</v>
      </c>
      <c r="C2050" s="18">
        <v>6.3</v>
      </c>
      <c r="D2050" s="18" t="s">
        <v>80</v>
      </c>
      <c r="E2050" s="18" t="s">
        <v>73</v>
      </c>
      <c r="F2050" s="18" t="s">
        <v>184</v>
      </c>
      <c r="G2050" s="18">
        <v>1.0</v>
      </c>
      <c r="H2050" s="18" t="s">
        <v>73</v>
      </c>
      <c r="I2050" s="18" t="str">
        <f t="shared" si="1"/>
        <v>Obesity</v>
      </c>
    </row>
    <row r="2051" ht="15.75" customHeight="1">
      <c r="A2051" s="18" t="s">
        <v>2417</v>
      </c>
      <c r="B2051" s="18">
        <v>16.72</v>
      </c>
      <c r="C2051" s="18">
        <v>4.38</v>
      </c>
      <c r="D2051" s="18" t="s">
        <v>80</v>
      </c>
      <c r="E2051" s="18" t="s">
        <v>73</v>
      </c>
      <c r="F2051" s="18" t="s">
        <v>73</v>
      </c>
      <c r="G2051" s="18">
        <v>1.0</v>
      </c>
      <c r="H2051" s="18" t="s">
        <v>73</v>
      </c>
      <c r="I2051" s="18" t="str">
        <f t="shared" si="1"/>
        <v>Underweight</v>
      </c>
    </row>
    <row r="2052" ht="15.75" customHeight="1">
      <c r="A2052" s="18" t="s">
        <v>2408</v>
      </c>
      <c r="B2052" s="18">
        <v>26.22</v>
      </c>
      <c r="C2052" s="18">
        <v>4.65</v>
      </c>
      <c r="D2052" s="18" t="s">
        <v>80</v>
      </c>
      <c r="E2052" s="18" t="s">
        <v>73</v>
      </c>
      <c r="F2052" s="18" t="s">
        <v>184</v>
      </c>
      <c r="G2052" s="18">
        <v>1.0</v>
      </c>
      <c r="H2052" s="18" t="s">
        <v>73</v>
      </c>
      <c r="I2052" s="18" t="str">
        <f t="shared" si="1"/>
        <v>Overweight</v>
      </c>
    </row>
    <row r="2053" ht="15.75" customHeight="1">
      <c r="A2053" s="18" t="s">
        <v>2399</v>
      </c>
      <c r="B2053" s="18">
        <v>31.825</v>
      </c>
      <c r="C2053" s="18">
        <v>4.7</v>
      </c>
      <c r="D2053" s="18" t="s">
        <v>73</v>
      </c>
      <c r="E2053" s="18" t="s">
        <v>73</v>
      </c>
      <c r="F2053" s="18" t="s">
        <v>184</v>
      </c>
      <c r="G2053" s="18">
        <v>1.0</v>
      </c>
      <c r="H2053" s="18" t="s">
        <v>73</v>
      </c>
      <c r="I2053" s="18" t="str">
        <f t="shared" si="1"/>
        <v>Obesity</v>
      </c>
    </row>
    <row r="2054" ht="15.75" customHeight="1">
      <c r="A2054" s="18" t="s">
        <v>2395</v>
      </c>
      <c r="B2054" s="18">
        <v>25.745</v>
      </c>
      <c r="C2054" s="18">
        <v>4.34</v>
      </c>
      <c r="D2054" s="18" t="s">
        <v>73</v>
      </c>
      <c r="E2054" s="18" t="s">
        <v>73</v>
      </c>
      <c r="F2054" s="18" t="s">
        <v>184</v>
      </c>
      <c r="G2054" s="18">
        <v>1.0</v>
      </c>
      <c r="H2054" s="18" t="s">
        <v>73</v>
      </c>
      <c r="I2054" s="18" t="str">
        <f t="shared" si="1"/>
        <v>Overweight</v>
      </c>
    </row>
    <row r="2055" ht="15.75" customHeight="1">
      <c r="A2055" s="18" t="s">
        <v>2391</v>
      </c>
      <c r="B2055" s="18">
        <v>24.605</v>
      </c>
      <c r="C2055" s="18">
        <v>5.62</v>
      </c>
      <c r="D2055" s="18" t="s">
        <v>73</v>
      </c>
      <c r="E2055" s="18" t="s">
        <v>73</v>
      </c>
      <c r="F2055" s="18" t="s">
        <v>184</v>
      </c>
      <c r="G2055" s="18">
        <v>1.0</v>
      </c>
      <c r="H2055" s="18" t="s">
        <v>73</v>
      </c>
      <c r="I2055" s="18" t="str">
        <f t="shared" si="1"/>
        <v>Normal Weight</v>
      </c>
    </row>
    <row r="2056" ht="15.75" customHeight="1">
      <c r="A2056" s="18" t="s">
        <v>2386</v>
      </c>
      <c r="B2056" s="18">
        <v>24.51</v>
      </c>
      <c r="C2056" s="18">
        <v>4.24</v>
      </c>
      <c r="D2056" s="18" t="s">
        <v>73</v>
      </c>
      <c r="E2056" s="18" t="s">
        <v>73</v>
      </c>
      <c r="F2056" s="18" t="s">
        <v>184</v>
      </c>
      <c r="G2056" s="18">
        <v>1.0</v>
      </c>
      <c r="H2056" s="18" t="s">
        <v>73</v>
      </c>
      <c r="I2056" s="18" t="str">
        <f t="shared" si="1"/>
        <v>Normal Weight</v>
      </c>
    </row>
    <row r="2057" ht="15.75" customHeight="1">
      <c r="A2057" s="18" t="s">
        <v>2380</v>
      </c>
      <c r="B2057" s="18">
        <v>31.065</v>
      </c>
      <c r="C2057" s="18">
        <v>4.57</v>
      </c>
      <c r="D2057" s="18" t="s">
        <v>80</v>
      </c>
      <c r="E2057" s="18" t="s">
        <v>73</v>
      </c>
      <c r="F2057" s="18" t="s">
        <v>73</v>
      </c>
      <c r="G2057" s="20">
        <v>0.0</v>
      </c>
      <c r="H2057" s="18" t="s">
        <v>73</v>
      </c>
      <c r="I2057" s="18" t="str">
        <f t="shared" si="1"/>
        <v>Obesity</v>
      </c>
    </row>
    <row r="2058" ht="15.75" customHeight="1">
      <c r="A2058" s="18" t="s">
        <v>2373</v>
      </c>
      <c r="B2058" s="18">
        <v>28.12</v>
      </c>
      <c r="C2058" s="18">
        <v>5.05</v>
      </c>
      <c r="D2058" s="18" t="s">
        <v>73</v>
      </c>
      <c r="E2058" s="18" t="s">
        <v>73</v>
      </c>
      <c r="F2058" s="18" t="s">
        <v>73</v>
      </c>
      <c r="G2058" s="20">
        <v>0.0</v>
      </c>
      <c r="H2058" s="18" t="s">
        <v>73</v>
      </c>
      <c r="I2058" s="18" t="str">
        <f t="shared" si="1"/>
        <v>Overweight</v>
      </c>
    </row>
    <row r="2059" ht="15.75" customHeight="1">
      <c r="A2059" s="18" t="s">
        <v>2368</v>
      </c>
      <c r="B2059" s="18">
        <v>38.06</v>
      </c>
      <c r="C2059" s="18">
        <v>6.16</v>
      </c>
      <c r="D2059" s="18" t="s">
        <v>73</v>
      </c>
      <c r="E2059" s="18" t="s">
        <v>73</v>
      </c>
      <c r="F2059" s="18" t="s">
        <v>73</v>
      </c>
      <c r="G2059" s="20">
        <v>0.0</v>
      </c>
      <c r="H2059" s="18" t="s">
        <v>73</v>
      </c>
      <c r="I2059" s="18" t="str">
        <f t="shared" si="1"/>
        <v>Obesity</v>
      </c>
    </row>
    <row r="2060" ht="15.75" customHeight="1">
      <c r="A2060" s="18" t="s">
        <v>2359</v>
      </c>
      <c r="B2060" s="18">
        <v>24.96</v>
      </c>
      <c r="C2060" s="18">
        <v>4.57</v>
      </c>
      <c r="D2060" s="18" t="s">
        <v>73</v>
      </c>
      <c r="E2060" s="18" t="s">
        <v>73</v>
      </c>
      <c r="F2060" s="18" t="s">
        <v>73</v>
      </c>
      <c r="G2060" s="20">
        <v>0.0</v>
      </c>
      <c r="H2060" s="18" t="s">
        <v>73</v>
      </c>
      <c r="I2060" s="18" t="str">
        <f t="shared" si="1"/>
        <v>Normal Weight</v>
      </c>
    </row>
    <row r="2061" ht="15.75" customHeight="1">
      <c r="A2061" s="18" t="s">
        <v>2352</v>
      </c>
      <c r="B2061" s="18">
        <v>17.67</v>
      </c>
      <c r="C2061" s="18">
        <v>5.53</v>
      </c>
      <c r="D2061" s="18" t="s">
        <v>80</v>
      </c>
      <c r="E2061" s="18" t="s">
        <v>73</v>
      </c>
      <c r="F2061" s="18" t="s">
        <v>73</v>
      </c>
      <c r="G2061" s="20">
        <v>0.0</v>
      </c>
      <c r="H2061" s="18" t="s">
        <v>73</v>
      </c>
      <c r="I2061" s="18" t="str">
        <f t="shared" si="1"/>
        <v>Underweight</v>
      </c>
    </row>
    <row r="2062" ht="15.75" customHeight="1">
      <c r="A2062" s="18" t="s">
        <v>2346</v>
      </c>
      <c r="B2062" s="18">
        <v>31.35</v>
      </c>
      <c r="C2062" s="18">
        <v>5.84</v>
      </c>
      <c r="D2062" s="18" t="s">
        <v>73</v>
      </c>
      <c r="E2062" s="18" t="s">
        <v>80</v>
      </c>
      <c r="F2062" s="18" t="s">
        <v>73</v>
      </c>
      <c r="G2062" s="18">
        <v>1.0</v>
      </c>
      <c r="H2062" s="18" t="s">
        <v>73</v>
      </c>
      <c r="I2062" s="18" t="str">
        <f t="shared" si="1"/>
        <v>Obesity</v>
      </c>
    </row>
    <row r="2063" ht="15.75" customHeight="1">
      <c r="A2063" s="18" t="s">
        <v>2341</v>
      </c>
      <c r="B2063" s="18">
        <v>28.31</v>
      </c>
      <c r="C2063" s="18">
        <v>6.41</v>
      </c>
      <c r="D2063" s="18" t="s">
        <v>73</v>
      </c>
      <c r="E2063" s="18" t="s">
        <v>80</v>
      </c>
      <c r="F2063" s="18" t="s">
        <v>73</v>
      </c>
      <c r="G2063" s="18">
        <v>1.0</v>
      </c>
      <c r="H2063" s="18" t="s">
        <v>73</v>
      </c>
      <c r="I2063" s="18" t="str">
        <f t="shared" si="1"/>
        <v>Overweight</v>
      </c>
    </row>
    <row r="2064" ht="15.75" customHeight="1">
      <c r="A2064" s="18" t="s">
        <v>2334</v>
      </c>
      <c r="B2064" s="18">
        <v>30.3</v>
      </c>
      <c r="C2064" s="18">
        <v>4.73</v>
      </c>
      <c r="D2064" s="18" t="s">
        <v>80</v>
      </c>
      <c r="E2064" s="18" t="s">
        <v>73</v>
      </c>
      <c r="F2064" s="18" t="s">
        <v>184</v>
      </c>
      <c r="G2064" s="18">
        <v>1.0</v>
      </c>
      <c r="H2064" s="18" t="s">
        <v>73</v>
      </c>
      <c r="I2064" s="18" t="str">
        <f t="shared" si="1"/>
        <v>Obesity</v>
      </c>
    </row>
    <row r="2065" ht="15.75" customHeight="1">
      <c r="A2065" s="18" t="s">
        <v>2329</v>
      </c>
      <c r="B2065" s="18">
        <v>26.4</v>
      </c>
      <c r="C2065" s="18">
        <v>6.22</v>
      </c>
      <c r="D2065" s="18" t="s">
        <v>80</v>
      </c>
      <c r="E2065" s="18" t="s">
        <v>73</v>
      </c>
      <c r="F2065" s="18" t="s">
        <v>73</v>
      </c>
      <c r="G2065" s="20">
        <v>0.0</v>
      </c>
      <c r="H2065" s="18" t="s">
        <v>73</v>
      </c>
      <c r="I2065" s="18" t="str">
        <f t="shared" si="1"/>
        <v>Overweight</v>
      </c>
    </row>
    <row r="2066" ht="15.75" customHeight="1">
      <c r="A2066" s="18" t="s">
        <v>2323</v>
      </c>
      <c r="B2066" s="18">
        <v>22.135</v>
      </c>
      <c r="C2066" s="18">
        <v>4.46</v>
      </c>
      <c r="D2066" s="18" t="s">
        <v>80</v>
      </c>
      <c r="E2066" s="18" t="s">
        <v>73</v>
      </c>
      <c r="F2066" s="18" t="s">
        <v>73</v>
      </c>
      <c r="G2066" s="20">
        <v>0.0</v>
      </c>
      <c r="H2066" s="18" t="s">
        <v>73</v>
      </c>
      <c r="I2066" s="18" t="str">
        <f t="shared" si="1"/>
        <v>Normal Weight</v>
      </c>
    </row>
    <row r="2067" ht="15.75" customHeight="1">
      <c r="A2067" s="18" t="s">
        <v>2318</v>
      </c>
      <c r="B2067" s="18">
        <v>17.4</v>
      </c>
      <c r="C2067" s="18">
        <v>4.5</v>
      </c>
      <c r="D2067" s="18" t="s">
        <v>80</v>
      </c>
      <c r="E2067" s="18" t="s">
        <v>73</v>
      </c>
      <c r="F2067" s="18" t="s">
        <v>73</v>
      </c>
      <c r="G2067" s="20">
        <v>0.0</v>
      </c>
      <c r="H2067" s="18" t="s">
        <v>73</v>
      </c>
      <c r="I2067" s="18" t="str">
        <f t="shared" si="1"/>
        <v>Underweight</v>
      </c>
    </row>
    <row r="2068" ht="15.75" customHeight="1">
      <c r="A2068" s="18" t="s">
        <v>2310</v>
      </c>
      <c r="B2068" s="18">
        <v>28.06</v>
      </c>
      <c r="C2068" s="18">
        <v>8.93</v>
      </c>
      <c r="D2068" s="18" t="s">
        <v>73</v>
      </c>
      <c r="E2068" s="18" t="s">
        <v>73</v>
      </c>
      <c r="F2068" s="18" t="s">
        <v>73</v>
      </c>
      <c r="G2068" s="20">
        <v>0.0</v>
      </c>
      <c r="H2068" s="18" t="s">
        <v>73</v>
      </c>
      <c r="I2068" s="18" t="str">
        <f t="shared" si="1"/>
        <v>Overweight</v>
      </c>
    </row>
    <row r="2069" ht="15.75" customHeight="1">
      <c r="A2069" s="18" t="s">
        <v>2302</v>
      </c>
      <c r="B2069" s="18">
        <v>31.13</v>
      </c>
      <c r="C2069" s="18">
        <v>11.02</v>
      </c>
      <c r="D2069" s="18" t="s">
        <v>73</v>
      </c>
      <c r="E2069" s="18" t="s">
        <v>73</v>
      </c>
      <c r="F2069" s="18" t="s">
        <v>73</v>
      </c>
      <c r="G2069" s="20">
        <v>0.0</v>
      </c>
      <c r="H2069" s="18" t="s">
        <v>73</v>
      </c>
      <c r="I2069" s="18" t="str">
        <f t="shared" si="1"/>
        <v>Obesity</v>
      </c>
    </row>
    <row r="2070" ht="15.75" customHeight="1">
      <c r="A2070" s="18" t="s">
        <v>2298</v>
      </c>
      <c r="B2070" s="18">
        <v>18.46</v>
      </c>
      <c r="C2070" s="18">
        <v>5.25</v>
      </c>
      <c r="D2070" s="18" t="s">
        <v>73</v>
      </c>
      <c r="E2070" s="18" t="s">
        <v>73</v>
      </c>
      <c r="F2070" s="18" t="s">
        <v>73</v>
      </c>
      <c r="G2070" s="20">
        <v>0.0</v>
      </c>
      <c r="H2070" s="18" t="s">
        <v>73</v>
      </c>
      <c r="I2070" s="18" t="str">
        <f t="shared" si="1"/>
        <v>Underweight</v>
      </c>
    </row>
    <row r="2071" ht="15.75" customHeight="1">
      <c r="A2071" s="18" t="s">
        <v>2291</v>
      </c>
      <c r="B2071" s="18">
        <v>17.3</v>
      </c>
      <c r="C2071" s="18">
        <v>4.75</v>
      </c>
      <c r="D2071" s="18" t="s">
        <v>73</v>
      </c>
      <c r="E2071" s="18" t="s">
        <v>73</v>
      </c>
      <c r="F2071" s="18" t="s">
        <v>73</v>
      </c>
      <c r="G2071" s="20">
        <v>0.0</v>
      </c>
      <c r="H2071" s="18" t="s">
        <v>73</v>
      </c>
      <c r="I2071" s="18" t="str">
        <f t="shared" si="1"/>
        <v>Underweight</v>
      </c>
    </row>
    <row r="2072" ht="15.75" customHeight="1">
      <c r="A2072" s="18" t="s">
        <v>2287</v>
      </c>
      <c r="B2072" s="18">
        <v>35.625</v>
      </c>
      <c r="C2072" s="18">
        <v>4.68</v>
      </c>
      <c r="D2072" s="18" t="s">
        <v>80</v>
      </c>
      <c r="E2072" s="18" t="s">
        <v>73</v>
      </c>
      <c r="F2072" s="18" t="s">
        <v>184</v>
      </c>
      <c r="G2072" s="18">
        <v>1.0</v>
      </c>
      <c r="H2072" s="18" t="s">
        <v>73</v>
      </c>
      <c r="I2072" s="18" t="str">
        <f t="shared" si="1"/>
        <v>Obesity</v>
      </c>
    </row>
    <row r="2073" ht="15.75" customHeight="1">
      <c r="A2073" s="18" t="s">
        <v>2282</v>
      </c>
      <c r="B2073" s="18">
        <v>20.235</v>
      </c>
      <c r="C2073" s="18">
        <v>6.17</v>
      </c>
      <c r="D2073" s="18" t="s">
        <v>80</v>
      </c>
      <c r="E2073" s="18" t="s">
        <v>80</v>
      </c>
      <c r="F2073" s="18" t="s">
        <v>73</v>
      </c>
      <c r="G2073" s="18">
        <v>2.0</v>
      </c>
      <c r="H2073" s="18" t="s">
        <v>73</v>
      </c>
      <c r="I2073" s="18" t="str">
        <f t="shared" si="1"/>
        <v>Normal Weight</v>
      </c>
    </row>
    <row r="2074" ht="15.75" customHeight="1">
      <c r="A2074" s="18" t="s">
        <v>2279</v>
      </c>
      <c r="B2074" s="18">
        <v>27.55</v>
      </c>
      <c r="C2074" s="18">
        <v>4.56</v>
      </c>
      <c r="D2074" s="18" t="s">
        <v>80</v>
      </c>
      <c r="E2074" s="18" t="s">
        <v>73</v>
      </c>
      <c r="F2074" s="18" t="s">
        <v>184</v>
      </c>
      <c r="G2074" s="18">
        <v>1.0</v>
      </c>
      <c r="H2074" s="18" t="s">
        <v>73</v>
      </c>
      <c r="I2074" s="18" t="str">
        <f t="shared" si="1"/>
        <v>Overweight</v>
      </c>
    </row>
    <row r="2075" ht="15.75" customHeight="1">
      <c r="A2075" s="18" t="s">
        <v>2272</v>
      </c>
      <c r="B2075" s="18">
        <v>17.97</v>
      </c>
      <c r="C2075" s="18">
        <v>6.3</v>
      </c>
      <c r="D2075" s="18" t="s">
        <v>73</v>
      </c>
      <c r="E2075" s="18" t="s">
        <v>73</v>
      </c>
      <c r="F2075" s="18" t="s">
        <v>73</v>
      </c>
      <c r="G2075" s="20">
        <v>0.0</v>
      </c>
      <c r="H2075" s="18" t="s">
        <v>73</v>
      </c>
      <c r="I2075" s="18" t="str">
        <f t="shared" si="1"/>
        <v>Underweight</v>
      </c>
    </row>
    <row r="2076" ht="15.75" customHeight="1">
      <c r="A2076" s="18" t="s">
        <v>2267</v>
      </c>
      <c r="B2076" s="18">
        <v>29.98</v>
      </c>
      <c r="C2076" s="18">
        <v>6.03</v>
      </c>
      <c r="D2076" s="18" t="s">
        <v>73</v>
      </c>
      <c r="E2076" s="18" t="s">
        <v>80</v>
      </c>
      <c r="F2076" s="18" t="s">
        <v>73</v>
      </c>
      <c r="G2076" s="18">
        <v>1.0</v>
      </c>
      <c r="H2076" s="18" t="s">
        <v>73</v>
      </c>
      <c r="I2076" s="18" t="str">
        <f t="shared" si="1"/>
        <v>Overweight</v>
      </c>
    </row>
    <row r="2077" ht="15.75" customHeight="1">
      <c r="A2077" s="18" t="s">
        <v>2263</v>
      </c>
      <c r="B2077" s="18">
        <v>33.66</v>
      </c>
      <c r="C2077" s="18">
        <v>4.2</v>
      </c>
      <c r="D2077" s="18" t="s">
        <v>80</v>
      </c>
      <c r="E2077" s="18" t="s">
        <v>73</v>
      </c>
      <c r="F2077" s="18" t="s">
        <v>73</v>
      </c>
      <c r="G2077" s="18">
        <v>1.0</v>
      </c>
      <c r="H2077" s="18" t="s">
        <v>73</v>
      </c>
      <c r="I2077" s="18" t="str">
        <f t="shared" si="1"/>
        <v>Obesity</v>
      </c>
    </row>
    <row r="2078" ht="15.75" customHeight="1">
      <c r="A2078" s="18" t="s">
        <v>2258</v>
      </c>
      <c r="B2078" s="18">
        <v>32.67</v>
      </c>
      <c r="C2078" s="18">
        <v>5.61</v>
      </c>
      <c r="D2078" s="18" t="s">
        <v>80</v>
      </c>
      <c r="E2078" s="18" t="s">
        <v>73</v>
      </c>
      <c r="F2078" s="18" t="s">
        <v>73</v>
      </c>
      <c r="G2078" s="18">
        <v>1.0</v>
      </c>
      <c r="H2078" s="18" t="s">
        <v>73</v>
      </c>
      <c r="I2078" s="18" t="str">
        <f t="shared" si="1"/>
        <v>Obesity</v>
      </c>
    </row>
    <row r="2079" ht="15.75" customHeight="1">
      <c r="A2079" s="18" t="s">
        <v>2254</v>
      </c>
      <c r="B2079" s="18">
        <v>30.5</v>
      </c>
      <c r="C2079" s="18">
        <v>5.88</v>
      </c>
      <c r="D2079" s="18" t="s">
        <v>80</v>
      </c>
      <c r="E2079" s="18" t="s">
        <v>73</v>
      </c>
      <c r="F2079" s="18" t="s">
        <v>73</v>
      </c>
      <c r="G2079" s="18">
        <v>1.0</v>
      </c>
      <c r="H2079" s="18" t="s">
        <v>73</v>
      </c>
      <c r="I2079" s="18" t="str">
        <f t="shared" si="1"/>
        <v>Obesity</v>
      </c>
    </row>
    <row r="2080" ht="15.75" customHeight="1">
      <c r="A2080" s="18" t="s">
        <v>2248</v>
      </c>
      <c r="B2080" s="18">
        <v>23.1</v>
      </c>
      <c r="C2080" s="18">
        <v>5.92</v>
      </c>
      <c r="D2080" s="18" t="s">
        <v>80</v>
      </c>
      <c r="E2080" s="18" t="s">
        <v>73</v>
      </c>
      <c r="F2080" s="18" t="s">
        <v>73</v>
      </c>
      <c r="G2080" s="18">
        <v>1.0</v>
      </c>
      <c r="H2080" s="18" t="s">
        <v>73</v>
      </c>
      <c r="I2080" s="18" t="str">
        <f t="shared" si="1"/>
        <v>Normal Weight</v>
      </c>
    </row>
    <row r="2081" ht="15.75" customHeight="1">
      <c r="A2081" s="18" t="s">
        <v>2244</v>
      </c>
      <c r="B2081" s="18">
        <v>39.49</v>
      </c>
      <c r="C2081" s="18">
        <v>4.81</v>
      </c>
      <c r="D2081" s="18" t="s">
        <v>73</v>
      </c>
      <c r="E2081" s="18" t="s">
        <v>73</v>
      </c>
      <c r="F2081" s="18" t="s">
        <v>73</v>
      </c>
      <c r="G2081" s="18">
        <v>1.0</v>
      </c>
      <c r="H2081" s="18" t="s">
        <v>73</v>
      </c>
      <c r="I2081" s="18" t="str">
        <f t="shared" si="1"/>
        <v>Obesity</v>
      </c>
    </row>
    <row r="2082" ht="15.75" customHeight="1">
      <c r="A2082" s="18" t="s">
        <v>2237</v>
      </c>
      <c r="B2082" s="18">
        <v>33.99</v>
      </c>
      <c r="C2082" s="18">
        <v>4.55</v>
      </c>
      <c r="D2082" s="18" t="s">
        <v>73</v>
      </c>
      <c r="E2082" s="18" t="s">
        <v>73</v>
      </c>
      <c r="F2082" s="18" t="s">
        <v>73</v>
      </c>
      <c r="G2082" s="18">
        <v>1.0</v>
      </c>
      <c r="H2082" s="18" t="s">
        <v>73</v>
      </c>
      <c r="I2082" s="18" t="str">
        <f t="shared" si="1"/>
        <v>Obesity</v>
      </c>
    </row>
    <row r="2083" ht="15.75" customHeight="1">
      <c r="A2083" s="18" t="s">
        <v>2232</v>
      </c>
      <c r="B2083" s="18">
        <v>27.72</v>
      </c>
      <c r="C2083" s="18">
        <v>6.43</v>
      </c>
      <c r="D2083" s="18" t="s">
        <v>73</v>
      </c>
      <c r="E2083" s="18" t="s">
        <v>73</v>
      </c>
      <c r="F2083" s="18" t="s">
        <v>73</v>
      </c>
      <c r="G2083" s="18">
        <v>1.0</v>
      </c>
      <c r="H2083" s="18" t="s">
        <v>73</v>
      </c>
      <c r="I2083" s="18" t="str">
        <f t="shared" si="1"/>
        <v>Overweight</v>
      </c>
    </row>
    <row r="2084" ht="15.75" customHeight="1">
      <c r="A2084" s="18" t="s">
        <v>2227</v>
      </c>
      <c r="B2084" s="18">
        <v>30.59</v>
      </c>
      <c r="C2084" s="18">
        <v>11.62</v>
      </c>
      <c r="D2084" s="18" t="s">
        <v>73</v>
      </c>
      <c r="E2084" s="18" t="s">
        <v>73</v>
      </c>
      <c r="F2084" s="18" t="s">
        <v>73</v>
      </c>
      <c r="G2084" s="20">
        <v>0.0</v>
      </c>
      <c r="H2084" s="18" t="s">
        <v>73</v>
      </c>
      <c r="I2084" s="18" t="str">
        <f t="shared" si="1"/>
        <v>Obesity</v>
      </c>
    </row>
    <row r="2085" ht="15.75" customHeight="1">
      <c r="A2085" s="18" t="s">
        <v>2223</v>
      </c>
      <c r="B2085" s="18">
        <v>22.6</v>
      </c>
      <c r="C2085" s="18">
        <v>6.04</v>
      </c>
      <c r="D2085" s="18" t="s">
        <v>73</v>
      </c>
      <c r="E2085" s="18" t="s">
        <v>73</v>
      </c>
      <c r="F2085" s="18" t="s">
        <v>73</v>
      </c>
      <c r="G2085" s="18">
        <v>1.0</v>
      </c>
      <c r="H2085" s="18" t="s">
        <v>73</v>
      </c>
      <c r="I2085" s="18" t="str">
        <f t="shared" si="1"/>
        <v>Normal Weight</v>
      </c>
    </row>
    <row r="2086" ht="15.75" customHeight="1">
      <c r="A2086" s="18" t="s">
        <v>2219</v>
      </c>
      <c r="B2086" s="18">
        <v>28.785</v>
      </c>
      <c r="C2086" s="18">
        <v>8.82</v>
      </c>
      <c r="D2086" s="18" t="s">
        <v>73</v>
      </c>
      <c r="E2086" s="18" t="s">
        <v>73</v>
      </c>
      <c r="F2086" s="18" t="s">
        <v>73</v>
      </c>
      <c r="G2086" s="20">
        <v>0.0</v>
      </c>
      <c r="H2086" s="18" t="s">
        <v>73</v>
      </c>
      <c r="I2086" s="18" t="str">
        <f t="shared" si="1"/>
        <v>Overweight</v>
      </c>
    </row>
    <row r="2087" ht="15.75" customHeight="1">
      <c r="A2087" s="18" t="s">
        <v>2213</v>
      </c>
      <c r="B2087" s="18">
        <v>50.38</v>
      </c>
      <c r="C2087" s="18">
        <v>5.8</v>
      </c>
      <c r="D2087" s="18" t="s">
        <v>73</v>
      </c>
      <c r="E2087" s="18" t="s">
        <v>73</v>
      </c>
      <c r="F2087" s="18" t="s">
        <v>73</v>
      </c>
      <c r="G2087" s="20">
        <v>0.0</v>
      </c>
      <c r="H2087" s="18" t="s">
        <v>73</v>
      </c>
      <c r="I2087" s="18" t="str">
        <f t="shared" si="1"/>
        <v>Obesity</v>
      </c>
    </row>
    <row r="2088" ht="15.75" customHeight="1">
      <c r="A2088" s="18" t="s">
        <v>2207</v>
      </c>
      <c r="B2088" s="18">
        <v>35.2</v>
      </c>
      <c r="C2088" s="18">
        <v>4.28</v>
      </c>
      <c r="D2088" s="18" t="s">
        <v>73</v>
      </c>
      <c r="E2088" s="18" t="s">
        <v>73</v>
      </c>
      <c r="F2088" s="18" t="s">
        <v>73</v>
      </c>
      <c r="G2088" s="20">
        <v>0.0</v>
      </c>
      <c r="H2088" s="18" t="s">
        <v>73</v>
      </c>
      <c r="I2088" s="18" t="str">
        <f t="shared" si="1"/>
        <v>Obesity</v>
      </c>
    </row>
    <row r="2089" ht="15.75" customHeight="1">
      <c r="A2089" s="18" t="s">
        <v>2202</v>
      </c>
      <c r="B2089" s="18">
        <v>35.72</v>
      </c>
      <c r="C2089" s="18">
        <v>5.5</v>
      </c>
      <c r="D2089" s="18" t="s">
        <v>80</v>
      </c>
      <c r="E2089" s="18" t="s">
        <v>73</v>
      </c>
      <c r="F2089" s="18" t="s">
        <v>73</v>
      </c>
      <c r="G2089" s="20">
        <v>0.0</v>
      </c>
      <c r="H2089" s="18" t="s">
        <v>73</v>
      </c>
      <c r="I2089" s="18" t="str">
        <f t="shared" si="1"/>
        <v>Obesity</v>
      </c>
    </row>
    <row r="2090" ht="15.75" customHeight="1">
      <c r="A2090" s="18" t="s">
        <v>2195</v>
      </c>
      <c r="B2090" s="18">
        <v>24.51</v>
      </c>
      <c r="C2090" s="18">
        <v>4.69</v>
      </c>
      <c r="D2090" s="18" t="s">
        <v>73</v>
      </c>
      <c r="E2090" s="18" t="s">
        <v>73</v>
      </c>
      <c r="F2090" s="18" t="s">
        <v>73</v>
      </c>
      <c r="G2090" s="20">
        <v>0.0</v>
      </c>
      <c r="H2090" s="18" t="s">
        <v>73</v>
      </c>
      <c r="I2090" s="18" t="str">
        <f t="shared" si="1"/>
        <v>Normal Weight</v>
      </c>
    </row>
    <row r="2091" ht="15.75" customHeight="1">
      <c r="A2091" s="18" t="s">
        <v>2187</v>
      </c>
      <c r="B2091" s="18">
        <v>23.845</v>
      </c>
      <c r="C2091" s="18">
        <v>4.43</v>
      </c>
      <c r="D2091" s="18" t="s">
        <v>73</v>
      </c>
      <c r="E2091" s="18" t="s">
        <v>73</v>
      </c>
      <c r="F2091" s="18" t="s">
        <v>73</v>
      </c>
      <c r="G2091" s="20">
        <v>0.0</v>
      </c>
      <c r="H2091" s="18" t="s">
        <v>73</v>
      </c>
      <c r="I2091" s="18" t="str">
        <f t="shared" si="1"/>
        <v>Normal Weight</v>
      </c>
    </row>
    <row r="2092" ht="15.75" customHeight="1">
      <c r="A2092" s="18" t="s">
        <v>2180</v>
      </c>
      <c r="B2092" s="18">
        <v>15.68</v>
      </c>
      <c r="C2092" s="18">
        <v>6.16</v>
      </c>
      <c r="D2092" s="18" t="s">
        <v>80</v>
      </c>
      <c r="E2092" s="18" t="s">
        <v>73</v>
      </c>
      <c r="F2092" s="18" t="s">
        <v>73</v>
      </c>
      <c r="G2092" s="18">
        <v>1.0</v>
      </c>
      <c r="H2092" s="18" t="s">
        <v>73</v>
      </c>
      <c r="I2092" s="18" t="str">
        <f t="shared" si="1"/>
        <v>Underweight</v>
      </c>
    </row>
    <row r="2093" ht="15.75" customHeight="1">
      <c r="A2093" s="18" t="s">
        <v>2175</v>
      </c>
      <c r="B2093" s="18">
        <v>32.395</v>
      </c>
      <c r="C2093" s="18">
        <v>6.66</v>
      </c>
      <c r="D2093" s="18" t="s">
        <v>73</v>
      </c>
      <c r="E2093" s="18" t="s">
        <v>73</v>
      </c>
      <c r="F2093" s="18" t="s">
        <v>73</v>
      </c>
      <c r="G2093" s="20">
        <v>0.0</v>
      </c>
      <c r="H2093" s="18" t="s">
        <v>73</v>
      </c>
      <c r="I2093" s="18" t="str">
        <f t="shared" si="1"/>
        <v>Obesity</v>
      </c>
    </row>
    <row r="2094" ht="15.75" customHeight="1">
      <c r="A2094" s="18" t="s">
        <v>2170</v>
      </c>
      <c r="B2094" s="18">
        <v>23.655</v>
      </c>
      <c r="C2094" s="18">
        <v>5.92</v>
      </c>
      <c r="D2094" s="18" t="s">
        <v>73</v>
      </c>
      <c r="E2094" s="18" t="s">
        <v>73</v>
      </c>
      <c r="F2094" s="18" t="s">
        <v>73</v>
      </c>
      <c r="G2094" s="18">
        <v>1.0</v>
      </c>
      <c r="H2094" s="18" t="s">
        <v>73</v>
      </c>
      <c r="I2094" s="18" t="str">
        <f t="shared" si="1"/>
        <v>Normal Weight</v>
      </c>
    </row>
    <row r="2095" ht="15.75" customHeight="1">
      <c r="A2095" s="18" t="s">
        <v>2165</v>
      </c>
      <c r="B2095" s="18">
        <v>28.4</v>
      </c>
      <c r="C2095" s="18">
        <v>5.97</v>
      </c>
      <c r="D2095" s="18" t="s">
        <v>73</v>
      </c>
      <c r="E2095" s="18" t="s">
        <v>73</v>
      </c>
      <c r="F2095" s="18" t="s">
        <v>184</v>
      </c>
      <c r="G2095" s="18">
        <v>1.0</v>
      </c>
      <c r="H2095" s="18" t="s">
        <v>73</v>
      </c>
      <c r="I2095" s="18" t="str">
        <f t="shared" si="1"/>
        <v>Overweight</v>
      </c>
    </row>
    <row r="2096" ht="15.75" customHeight="1">
      <c r="A2096" s="18" t="s">
        <v>2160</v>
      </c>
      <c r="B2096" s="18">
        <v>35.42</v>
      </c>
      <c r="C2096" s="18">
        <v>4.64</v>
      </c>
      <c r="D2096" s="18" t="s">
        <v>80</v>
      </c>
      <c r="E2096" s="18" t="s">
        <v>73</v>
      </c>
      <c r="F2096" s="18" t="s">
        <v>73</v>
      </c>
      <c r="G2096" s="20">
        <v>0.0</v>
      </c>
      <c r="H2096" s="18" t="s">
        <v>73</v>
      </c>
      <c r="I2096" s="18" t="str">
        <f t="shared" si="1"/>
        <v>Obesity</v>
      </c>
    </row>
    <row r="2097" ht="15.75" customHeight="1">
      <c r="A2097" s="18" t="s">
        <v>2155</v>
      </c>
      <c r="B2097" s="18">
        <v>26.18</v>
      </c>
      <c r="C2097" s="18">
        <v>6.12</v>
      </c>
      <c r="D2097" s="18" t="s">
        <v>73</v>
      </c>
      <c r="E2097" s="18" t="s">
        <v>80</v>
      </c>
      <c r="F2097" s="18" t="s">
        <v>73</v>
      </c>
      <c r="G2097" s="18">
        <v>1.0</v>
      </c>
      <c r="H2097" s="18" t="s">
        <v>73</v>
      </c>
      <c r="I2097" s="18" t="str">
        <f t="shared" si="1"/>
        <v>Overweight</v>
      </c>
    </row>
    <row r="2098" ht="15.75" customHeight="1">
      <c r="A2098" s="18" t="s">
        <v>2149</v>
      </c>
      <c r="B2098" s="18">
        <v>20.8</v>
      </c>
      <c r="C2098" s="18">
        <v>4.87</v>
      </c>
      <c r="D2098" s="18" t="s">
        <v>80</v>
      </c>
      <c r="E2098" s="18" t="s">
        <v>73</v>
      </c>
      <c r="F2098" s="18" t="s">
        <v>73</v>
      </c>
      <c r="G2098" s="20">
        <v>0.0</v>
      </c>
      <c r="H2098" s="18" t="s">
        <v>73</v>
      </c>
      <c r="I2098" s="18" t="str">
        <f t="shared" si="1"/>
        <v>Normal Weight</v>
      </c>
    </row>
    <row r="2099" ht="15.75" customHeight="1">
      <c r="A2099" s="18" t="s">
        <v>2142</v>
      </c>
      <c r="B2099" s="18">
        <v>15.82</v>
      </c>
      <c r="C2099" s="18">
        <v>4.6</v>
      </c>
      <c r="D2099" s="18" t="s">
        <v>73</v>
      </c>
      <c r="E2099" s="18" t="s">
        <v>73</v>
      </c>
      <c r="F2099" s="18" t="s">
        <v>73</v>
      </c>
      <c r="G2099" s="20">
        <v>0.0</v>
      </c>
      <c r="H2099" s="18" t="s">
        <v>73</v>
      </c>
      <c r="I2099" s="18" t="str">
        <f t="shared" si="1"/>
        <v>Underweight</v>
      </c>
    </row>
    <row r="2100" ht="15.75" customHeight="1">
      <c r="A2100" s="18" t="s">
        <v>2137</v>
      </c>
      <c r="B2100" s="18">
        <v>17.67</v>
      </c>
      <c r="C2100" s="18">
        <v>4.78</v>
      </c>
      <c r="D2100" s="18" t="s">
        <v>73</v>
      </c>
      <c r="E2100" s="18" t="s">
        <v>73</v>
      </c>
      <c r="F2100" s="18" t="s">
        <v>73</v>
      </c>
      <c r="G2100" s="20">
        <v>0.0</v>
      </c>
      <c r="H2100" s="18" t="s">
        <v>73</v>
      </c>
      <c r="I2100" s="18" t="str">
        <f t="shared" si="1"/>
        <v>Underweight</v>
      </c>
    </row>
    <row r="2101" ht="15.75" customHeight="1">
      <c r="A2101" s="18" t="s">
        <v>2131</v>
      </c>
      <c r="B2101" s="18">
        <v>31.92</v>
      </c>
      <c r="C2101" s="18">
        <v>11.05</v>
      </c>
      <c r="D2101" s="18" t="s">
        <v>73</v>
      </c>
      <c r="E2101" s="18" t="s">
        <v>73</v>
      </c>
      <c r="F2101" s="18" t="s">
        <v>73</v>
      </c>
      <c r="G2101" s="20">
        <v>0.0</v>
      </c>
      <c r="H2101" s="18" t="s">
        <v>73</v>
      </c>
      <c r="I2101" s="18" t="str">
        <f t="shared" si="1"/>
        <v>Obesity</v>
      </c>
    </row>
    <row r="2102" ht="15.75" customHeight="1">
      <c r="A2102" s="18" t="s">
        <v>2127</v>
      </c>
      <c r="B2102" s="18">
        <v>28.975</v>
      </c>
      <c r="C2102" s="18">
        <v>7.62</v>
      </c>
      <c r="D2102" s="18" t="s">
        <v>73</v>
      </c>
      <c r="E2102" s="18" t="s">
        <v>73</v>
      </c>
      <c r="F2102" s="18" t="s">
        <v>73</v>
      </c>
      <c r="G2102" s="20">
        <v>0.0</v>
      </c>
      <c r="H2102" s="18" t="s">
        <v>73</v>
      </c>
      <c r="I2102" s="18" t="str">
        <f t="shared" si="1"/>
        <v>Overweight</v>
      </c>
    </row>
    <row r="2103" ht="15.75" customHeight="1">
      <c r="A2103" s="18" t="s">
        <v>2123</v>
      </c>
      <c r="B2103" s="18">
        <v>31.73</v>
      </c>
      <c r="C2103" s="18">
        <v>4.78</v>
      </c>
      <c r="D2103" s="18" t="s">
        <v>80</v>
      </c>
      <c r="E2103" s="18" t="s">
        <v>80</v>
      </c>
      <c r="F2103" s="18" t="s">
        <v>73</v>
      </c>
      <c r="G2103" s="18">
        <v>2.0</v>
      </c>
      <c r="H2103" s="18" t="s">
        <v>73</v>
      </c>
      <c r="I2103" s="18" t="str">
        <f t="shared" si="1"/>
        <v>Obesity</v>
      </c>
    </row>
    <row r="2104" ht="15.75" customHeight="1">
      <c r="A2104" s="18" t="s">
        <v>2117</v>
      </c>
      <c r="B2104" s="18">
        <v>28.88</v>
      </c>
      <c r="C2104" s="18">
        <v>6.09</v>
      </c>
      <c r="D2104" s="18" t="s">
        <v>80</v>
      </c>
      <c r="E2104" s="18" t="s">
        <v>80</v>
      </c>
      <c r="F2104" s="18" t="s">
        <v>73</v>
      </c>
      <c r="G2104" s="18">
        <v>2.0</v>
      </c>
      <c r="H2104" s="18" t="s">
        <v>73</v>
      </c>
      <c r="I2104" s="18" t="str">
        <f t="shared" si="1"/>
        <v>Overweight</v>
      </c>
    </row>
    <row r="2105" ht="15.75" customHeight="1">
      <c r="A2105" s="18" t="s">
        <v>2112</v>
      </c>
      <c r="B2105" s="18">
        <v>25.555</v>
      </c>
      <c r="C2105" s="18">
        <v>5.11</v>
      </c>
      <c r="D2105" s="18" t="s">
        <v>73</v>
      </c>
      <c r="E2105" s="18" t="s">
        <v>73</v>
      </c>
      <c r="F2105" s="18" t="s">
        <v>184</v>
      </c>
      <c r="G2105" s="18">
        <v>1.0</v>
      </c>
      <c r="H2105" s="18" t="s">
        <v>73</v>
      </c>
      <c r="I2105" s="18" t="str">
        <f t="shared" si="1"/>
        <v>Overweight</v>
      </c>
    </row>
    <row r="2106" ht="15.75" customHeight="1">
      <c r="A2106" s="18" t="s">
        <v>2106</v>
      </c>
      <c r="B2106" s="18">
        <v>37.29</v>
      </c>
      <c r="C2106" s="18">
        <v>4.46</v>
      </c>
      <c r="D2106" s="18" t="s">
        <v>73</v>
      </c>
      <c r="E2106" s="18" t="s">
        <v>80</v>
      </c>
      <c r="F2106" s="18" t="s">
        <v>73</v>
      </c>
      <c r="G2106" s="18">
        <v>1.0</v>
      </c>
      <c r="H2106" s="18" t="s">
        <v>73</v>
      </c>
      <c r="I2106" s="18" t="str">
        <f t="shared" si="1"/>
        <v>Obesity</v>
      </c>
    </row>
    <row r="2107" ht="15.75" customHeight="1">
      <c r="A2107" s="18" t="s">
        <v>2101</v>
      </c>
      <c r="B2107" s="18">
        <v>40.28</v>
      </c>
      <c r="C2107" s="18">
        <v>6.11</v>
      </c>
      <c r="D2107" s="18" t="s">
        <v>73</v>
      </c>
      <c r="E2107" s="18" t="s">
        <v>80</v>
      </c>
      <c r="F2107" s="18" t="s">
        <v>73</v>
      </c>
      <c r="G2107" s="18">
        <v>1.0</v>
      </c>
      <c r="H2107" s="18" t="s">
        <v>73</v>
      </c>
      <c r="I2107" s="18" t="str">
        <f t="shared" si="1"/>
        <v>Obesity</v>
      </c>
    </row>
    <row r="2108" ht="15.75" customHeight="1">
      <c r="A2108" s="18" t="s">
        <v>2092</v>
      </c>
      <c r="B2108" s="18">
        <v>40.185</v>
      </c>
      <c r="C2108" s="18">
        <v>4.66</v>
      </c>
      <c r="D2108" s="18" t="s">
        <v>73</v>
      </c>
      <c r="E2108" s="18" t="s">
        <v>80</v>
      </c>
      <c r="F2108" s="18" t="s">
        <v>73</v>
      </c>
      <c r="G2108" s="18">
        <v>1.0</v>
      </c>
      <c r="H2108" s="18" t="s">
        <v>73</v>
      </c>
      <c r="I2108" s="18" t="str">
        <f t="shared" si="1"/>
        <v>Obesity</v>
      </c>
    </row>
    <row r="2109" ht="15.75" customHeight="1">
      <c r="A2109" s="18" t="s">
        <v>2088</v>
      </c>
      <c r="B2109" s="18">
        <v>23.57</v>
      </c>
      <c r="C2109" s="18">
        <v>6.14</v>
      </c>
      <c r="D2109" s="18" t="s">
        <v>73</v>
      </c>
      <c r="E2109" s="18" t="s">
        <v>73</v>
      </c>
      <c r="F2109" s="18" t="s">
        <v>73</v>
      </c>
      <c r="G2109" s="20">
        <v>0.0</v>
      </c>
      <c r="H2109" s="18" t="s">
        <v>73</v>
      </c>
      <c r="I2109" s="18" t="str">
        <f t="shared" si="1"/>
        <v>Normal Weight</v>
      </c>
    </row>
    <row r="2110" ht="15.75" customHeight="1">
      <c r="A2110" s="18" t="s">
        <v>2083</v>
      </c>
      <c r="B2110" s="18">
        <v>35.625</v>
      </c>
      <c r="C2110" s="18">
        <v>6.21</v>
      </c>
      <c r="D2110" s="18" t="s">
        <v>73</v>
      </c>
      <c r="E2110" s="18" t="s">
        <v>80</v>
      </c>
      <c r="F2110" s="18" t="s">
        <v>73</v>
      </c>
      <c r="G2110" s="18">
        <v>1.0</v>
      </c>
      <c r="H2110" s="18" t="s">
        <v>73</v>
      </c>
      <c r="I2110" s="18" t="str">
        <f t="shared" si="1"/>
        <v>Obesity</v>
      </c>
    </row>
    <row r="2111" ht="15.75" customHeight="1">
      <c r="A2111" s="18" t="s">
        <v>2076</v>
      </c>
      <c r="B2111" s="18">
        <v>33.155</v>
      </c>
      <c r="C2111" s="18">
        <v>4.6</v>
      </c>
      <c r="D2111" s="18" t="s">
        <v>73</v>
      </c>
      <c r="E2111" s="18" t="s">
        <v>80</v>
      </c>
      <c r="F2111" s="18" t="s">
        <v>73</v>
      </c>
      <c r="G2111" s="18">
        <v>1.0</v>
      </c>
      <c r="H2111" s="18" t="s">
        <v>73</v>
      </c>
      <c r="I2111" s="18" t="str">
        <f t="shared" si="1"/>
        <v>Obesity</v>
      </c>
    </row>
    <row r="2112" ht="15.75" customHeight="1">
      <c r="A2112" s="18" t="s">
        <v>2069</v>
      </c>
      <c r="B2112" s="18">
        <v>31.92</v>
      </c>
      <c r="C2112" s="18">
        <v>5.04</v>
      </c>
      <c r="D2112" s="18" t="s">
        <v>73</v>
      </c>
      <c r="E2112" s="18" t="s">
        <v>80</v>
      </c>
      <c r="F2112" s="18" t="s">
        <v>73</v>
      </c>
      <c r="G2112" s="18">
        <v>1.0</v>
      </c>
      <c r="H2112" s="18" t="s">
        <v>73</v>
      </c>
      <c r="I2112" s="18" t="str">
        <f t="shared" si="1"/>
        <v>Obesity</v>
      </c>
    </row>
    <row r="2113" ht="15.75" customHeight="1">
      <c r="A2113" s="18" t="s">
        <v>2059</v>
      </c>
      <c r="B2113" s="18">
        <v>30.305</v>
      </c>
      <c r="C2113" s="18">
        <v>5.08</v>
      </c>
      <c r="D2113" s="18" t="s">
        <v>73</v>
      </c>
      <c r="E2113" s="18" t="s">
        <v>80</v>
      </c>
      <c r="F2113" s="18" t="s">
        <v>73</v>
      </c>
      <c r="G2113" s="18">
        <v>1.0</v>
      </c>
      <c r="H2113" s="18" t="s">
        <v>73</v>
      </c>
      <c r="I2113" s="18" t="str">
        <f t="shared" si="1"/>
        <v>Obesity</v>
      </c>
    </row>
    <row r="2114" ht="15.75" customHeight="1">
      <c r="A2114" s="18" t="s">
        <v>2051</v>
      </c>
      <c r="B2114" s="18">
        <v>30.115</v>
      </c>
      <c r="C2114" s="18">
        <v>4.38</v>
      </c>
      <c r="D2114" s="18" t="s">
        <v>73</v>
      </c>
      <c r="E2114" s="18" t="s">
        <v>80</v>
      </c>
      <c r="F2114" s="18" t="s">
        <v>73</v>
      </c>
      <c r="G2114" s="18">
        <v>1.0</v>
      </c>
      <c r="H2114" s="18" t="s">
        <v>73</v>
      </c>
      <c r="I2114" s="18" t="str">
        <f t="shared" si="1"/>
        <v>Obesity</v>
      </c>
    </row>
    <row r="2115" ht="15.75" customHeight="1">
      <c r="A2115" s="18" t="s">
        <v>2044</v>
      </c>
      <c r="B2115" s="18">
        <v>24.09</v>
      </c>
      <c r="C2115" s="18">
        <v>4.79</v>
      </c>
      <c r="D2115" s="18" t="s">
        <v>73</v>
      </c>
      <c r="E2115" s="18" t="s">
        <v>80</v>
      </c>
      <c r="F2115" s="18" t="s">
        <v>73</v>
      </c>
      <c r="G2115" s="18">
        <v>1.0</v>
      </c>
      <c r="H2115" s="18" t="s">
        <v>73</v>
      </c>
      <c r="I2115" s="18" t="str">
        <f t="shared" si="1"/>
        <v>Normal Weight</v>
      </c>
    </row>
    <row r="2116" ht="15.75" customHeight="1">
      <c r="A2116" s="18" t="s">
        <v>2035</v>
      </c>
      <c r="B2116" s="18">
        <v>28.215</v>
      </c>
      <c r="C2116" s="18">
        <v>4.21</v>
      </c>
      <c r="D2116" s="18" t="s">
        <v>73</v>
      </c>
      <c r="E2116" s="18" t="s">
        <v>80</v>
      </c>
      <c r="F2116" s="18" t="s">
        <v>73</v>
      </c>
      <c r="G2116" s="18">
        <v>1.0</v>
      </c>
      <c r="H2116" s="18" t="s">
        <v>73</v>
      </c>
      <c r="I2116" s="18" t="str">
        <f t="shared" si="1"/>
        <v>Overweight</v>
      </c>
    </row>
    <row r="2117" ht="15.75" customHeight="1">
      <c r="A2117" s="18" t="s">
        <v>2026</v>
      </c>
      <c r="B2117" s="18">
        <v>26.315</v>
      </c>
      <c r="C2117" s="18">
        <v>5.47</v>
      </c>
      <c r="D2117" s="18" t="s">
        <v>73</v>
      </c>
      <c r="E2117" s="18" t="s">
        <v>80</v>
      </c>
      <c r="F2117" s="18" t="s">
        <v>73</v>
      </c>
      <c r="G2117" s="18">
        <v>1.0</v>
      </c>
      <c r="H2117" s="18" t="s">
        <v>73</v>
      </c>
      <c r="I2117" s="18" t="str">
        <f t="shared" si="1"/>
        <v>Overweight</v>
      </c>
    </row>
    <row r="2118" ht="15.75" customHeight="1">
      <c r="A2118" s="18" t="s">
        <v>2019</v>
      </c>
      <c r="B2118" s="18">
        <v>25.08</v>
      </c>
      <c r="C2118" s="18">
        <v>5.09</v>
      </c>
      <c r="D2118" s="18" t="s">
        <v>73</v>
      </c>
      <c r="E2118" s="18" t="s">
        <v>80</v>
      </c>
      <c r="F2118" s="18" t="s">
        <v>73</v>
      </c>
      <c r="G2118" s="18">
        <v>1.0</v>
      </c>
      <c r="H2118" s="18" t="s">
        <v>73</v>
      </c>
      <c r="I2118" s="18" t="str">
        <f t="shared" si="1"/>
        <v>Overweight</v>
      </c>
    </row>
    <row r="2119" ht="15.75" customHeight="1">
      <c r="A2119" s="18" t="s">
        <v>2009</v>
      </c>
      <c r="B2119" s="18">
        <v>15.41</v>
      </c>
      <c r="C2119" s="18">
        <v>5.08</v>
      </c>
      <c r="D2119" s="18" t="s">
        <v>73</v>
      </c>
      <c r="E2119" s="18" t="s">
        <v>73</v>
      </c>
      <c r="F2119" s="18" t="s">
        <v>73</v>
      </c>
      <c r="G2119" s="20">
        <v>0.0</v>
      </c>
      <c r="H2119" s="18" t="s">
        <v>73</v>
      </c>
      <c r="I2119" s="18" t="str">
        <f t="shared" si="1"/>
        <v>Underweight</v>
      </c>
    </row>
    <row r="2120" ht="15.75" customHeight="1">
      <c r="A2120" s="18" t="s">
        <v>2001</v>
      </c>
      <c r="B2120" s="18">
        <v>23.83</v>
      </c>
      <c r="C2120" s="18">
        <v>5.68</v>
      </c>
      <c r="D2120" s="18" t="s">
        <v>73</v>
      </c>
      <c r="E2120" s="18" t="s">
        <v>73</v>
      </c>
      <c r="F2120" s="18" t="s">
        <v>73</v>
      </c>
      <c r="G2120" s="20">
        <v>0.0</v>
      </c>
      <c r="H2120" s="18" t="s">
        <v>73</v>
      </c>
      <c r="I2120" s="18" t="str">
        <f t="shared" si="1"/>
        <v>Normal Weight</v>
      </c>
    </row>
    <row r="2121" ht="15.75" customHeight="1">
      <c r="A2121" s="18" t="s">
        <v>1994</v>
      </c>
      <c r="B2121" s="18">
        <v>36.0</v>
      </c>
      <c r="C2121" s="18">
        <v>4.66</v>
      </c>
      <c r="D2121" s="18" t="s">
        <v>73</v>
      </c>
      <c r="E2121" s="18" t="s">
        <v>80</v>
      </c>
      <c r="F2121" s="18" t="s">
        <v>73</v>
      </c>
      <c r="G2121" s="18">
        <v>1.0</v>
      </c>
      <c r="H2121" s="18" t="s">
        <v>73</v>
      </c>
      <c r="I2121" s="18" t="str">
        <f t="shared" si="1"/>
        <v>Obesity</v>
      </c>
    </row>
    <row r="2122" ht="15.75" customHeight="1">
      <c r="A2122" s="18" t="s">
        <v>1983</v>
      </c>
      <c r="B2122" s="18">
        <v>28.82</v>
      </c>
      <c r="C2122" s="18">
        <v>5.59</v>
      </c>
      <c r="D2122" s="18" t="s">
        <v>73</v>
      </c>
      <c r="E2122" s="18" t="s">
        <v>80</v>
      </c>
      <c r="F2122" s="18" t="s">
        <v>73</v>
      </c>
      <c r="G2122" s="18">
        <v>1.0</v>
      </c>
      <c r="H2122" s="18" t="s">
        <v>73</v>
      </c>
      <c r="I2122" s="18" t="str">
        <f t="shared" si="1"/>
        <v>Overweight</v>
      </c>
    </row>
    <row r="2123" ht="15.75" customHeight="1">
      <c r="A2123" s="18" t="s">
        <v>1978</v>
      </c>
      <c r="B2123" s="18">
        <v>28.05</v>
      </c>
      <c r="C2123" s="18">
        <v>6.2</v>
      </c>
      <c r="D2123" s="18" t="s">
        <v>73</v>
      </c>
      <c r="E2123" s="18" t="s">
        <v>80</v>
      </c>
      <c r="F2123" s="18" t="s">
        <v>73</v>
      </c>
      <c r="G2123" s="18">
        <v>1.0</v>
      </c>
      <c r="H2123" s="18" t="s">
        <v>73</v>
      </c>
      <c r="I2123" s="18" t="str">
        <f t="shared" si="1"/>
        <v>Overweight</v>
      </c>
    </row>
    <row r="2124" ht="15.75" customHeight="1">
      <c r="A2124" s="18" t="s">
        <v>1973</v>
      </c>
      <c r="B2124" s="18">
        <v>27.1</v>
      </c>
      <c r="C2124" s="18">
        <v>4.45</v>
      </c>
      <c r="D2124" s="18" t="s">
        <v>73</v>
      </c>
      <c r="E2124" s="18" t="s">
        <v>80</v>
      </c>
      <c r="F2124" s="18" t="s">
        <v>73</v>
      </c>
      <c r="G2124" s="18">
        <v>1.0</v>
      </c>
      <c r="H2124" s="18" t="s">
        <v>73</v>
      </c>
      <c r="I2124" s="18" t="str">
        <f t="shared" si="1"/>
        <v>Overweight</v>
      </c>
    </row>
    <row r="2125" ht="15.75" customHeight="1">
      <c r="A2125" s="18" t="s">
        <v>1966</v>
      </c>
      <c r="B2125" s="18">
        <v>24.3</v>
      </c>
      <c r="C2125" s="18">
        <v>6.1</v>
      </c>
      <c r="D2125" s="18" t="s">
        <v>80</v>
      </c>
      <c r="E2125" s="18" t="s">
        <v>80</v>
      </c>
      <c r="F2125" s="18" t="s">
        <v>73</v>
      </c>
      <c r="G2125" s="18">
        <v>1.0</v>
      </c>
      <c r="H2125" s="18" t="s">
        <v>73</v>
      </c>
      <c r="I2125" s="18" t="str">
        <f t="shared" si="1"/>
        <v>Normal Weight</v>
      </c>
    </row>
    <row r="2126" ht="15.75" customHeight="1">
      <c r="A2126" s="18" t="s">
        <v>1961</v>
      </c>
      <c r="B2126" s="18">
        <v>30.72</v>
      </c>
      <c r="C2126" s="18">
        <v>6.06</v>
      </c>
      <c r="D2126" s="18" t="s">
        <v>73</v>
      </c>
      <c r="E2126" s="18" t="s">
        <v>80</v>
      </c>
      <c r="F2126" s="18" t="s">
        <v>73</v>
      </c>
      <c r="G2126" s="18">
        <v>1.0</v>
      </c>
      <c r="H2126" s="18" t="s">
        <v>73</v>
      </c>
      <c r="I2126" s="18" t="str">
        <f t="shared" si="1"/>
        <v>Obesity</v>
      </c>
    </row>
    <row r="2127" ht="15.75" customHeight="1">
      <c r="A2127" s="18" t="s">
        <v>1954</v>
      </c>
      <c r="B2127" s="18">
        <v>37.43</v>
      </c>
      <c r="C2127" s="18">
        <v>4.56</v>
      </c>
      <c r="D2127" s="18" t="s">
        <v>73</v>
      </c>
      <c r="E2127" s="18" t="s">
        <v>73</v>
      </c>
      <c r="F2127" s="18" t="s">
        <v>184</v>
      </c>
      <c r="G2127" s="18">
        <v>1.0</v>
      </c>
      <c r="H2127" s="18" t="s">
        <v>73</v>
      </c>
      <c r="I2127" s="18" t="str">
        <f t="shared" si="1"/>
        <v>Obesity</v>
      </c>
    </row>
    <row r="2128" ht="15.75" customHeight="1">
      <c r="A2128" s="18" t="s">
        <v>1949</v>
      </c>
      <c r="B2128" s="18">
        <v>25.74</v>
      </c>
      <c r="C2128" s="18">
        <v>6.41</v>
      </c>
      <c r="D2128" s="18" t="s">
        <v>80</v>
      </c>
      <c r="E2128" s="18" t="s">
        <v>73</v>
      </c>
      <c r="F2128" s="18" t="s">
        <v>184</v>
      </c>
      <c r="G2128" s="18">
        <v>1.0</v>
      </c>
      <c r="H2128" s="18" t="s">
        <v>73</v>
      </c>
      <c r="I2128" s="18" t="str">
        <f t="shared" si="1"/>
        <v>Overweight</v>
      </c>
    </row>
    <row r="2129" ht="15.75" customHeight="1">
      <c r="A2129" s="18" t="s">
        <v>1944</v>
      </c>
      <c r="B2129" s="18">
        <v>36.575</v>
      </c>
      <c r="C2129" s="18">
        <v>5.57</v>
      </c>
      <c r="D2129" s="18" t="s">
        <v>73</v>
      </c>
      <c r="E2129" s="18" t="s">
        <v>73</v>
      </c>
      <c r="F2129" s="18" t="s">
        <v>184</v>
      </c>
      <c r="G2129" s="18">
        <v>1.0</v>
      </c>
      <c r="H2129" s="18" t="s">
        <v>73</v>
      </c>
      <c r="I2129" s="18" t="str">
        <f t="shared" si="1"/>
        <v>Obesity</v>
      </c>
    </row>
    <row r="2130" ht="15.75" customHeight="1">
      <c r="A2130" s="18" t="s">
        <v>1934</v>
      </c>
      <c r="B2130" s="18">
        <v>35.15</v>
      </c>
      <c r="C2130" s="18">
        <v>5.47</v>
      </c>
      <c r="D2130" s="18" t="s">
        <v>73</v>
      </c>
      <c r="E2130" s="18" t="s">
        <v>73</v>
      </c>
      <c r="F2130" s="18" t="s">
        <v>184</v>
      </c>
      <c r="G2130" s="18">
        <v>1.0</v>
      </c>
      <c r="H2130" s="18" t="s">
        <v>73</v>
      </c>
      <c r="I2130" s="18" t="str">
        <f t="shared" si="1"/>
        <v>Obesity</v>
      </c>
    </row>
    <row r="2131" ht="15.75" customHeight="1">
      <c r="A2131" s="18" t="s">
        <v>1924</v>
      </c>
      <c r="B2131" s="18">
        <v>32.11</v>
      </c>
      <c r="C2131" s="18">
        <v>4.43</v>
      </c>
      <c r="D2131" s="18" t="s">
        <v>73</v>
      </c>
      <c r="E2131" s="18" t="s">
        <v>73</v>
      </c>
      <c r="F2131" s="18" t="s">
        <v>184</v>
      </c>
      <c r="G2131" s="18">
        <v>1.0</v>
      </c>
      <c r="H2131" s="18" t="s">
        <v>73</v>
      </c>
      <c r="I2131" s="18" t="str">
        <f t="shared" si="1"/>
        <v>Obesity</v>
      </c>
    </row>
    <row r="2132" ht="15.75" customHeight="1">
      <c r="A2132" s="18" t="s">
        <v>1919</v>
      </c>
      <c r="B2132" s="18">
        <v>30.495</v>
      </c>
      <c r="C2132" s="18">
        <v>4.95</v>
      </c>
      <c r="D2132" s="18" t="s">
        <v>73</v>
      </c>
      <c r="E2132" s="18" t="s">
        <v>73</v>
      </c>
      <c r="F2132" s="18" t="s">
        <v>184</v>
      </c>
      <c r="G2132" s="18">
        <v>1.0</v>
      </c>
      <c r="H2132" s="18" t="s">
        <v>73</v>
      </c>
      <c r="I2132" s="18" t="str">
        <f t="shared" si="1"/>
        <v>Obesity</v>
      </c>
    </row>
    <row r="2133" ht="15.75" customHeight="1">
      <c r="A2133" s="18" t="s">
        <v>1909</v>
      </c>
      <c r="B2133" s="18">
        <v>29.24</v>
      </c>
      <c r="C2133" s="18">
        <v>4.04</v>
      </c>
      <c r="D2133" s="18" t="s">
        <v>73</v>
      </c>
      <c r="E2133" s="18" t="s">
        <v>80</v>
      </c>
      <c r="F2133" s="18" t="s">
        <v>73</v>
      </c>
      <c r="G2133" s="18">
        <v>1.0</v>
      </c>
      <c r="H2133" s="18" t="s">
        <v>73</v>
      </c>
      <c r="I2133" s="18" t="str">
        <f t="shared" si="1"/>
        <v>Overweight</v>
      </c>
    </row>
    <row r="2134" ht="15.75" customHeight="1">
      <c r="A2134" s="18" t="s">
        <v>1898</v>
      </c>
      <c r="B2134" s="18">
        <v>22.515</v>
      </c>
      <c r="C2134" s="18">
        <v>5.93</v>
      </c>
      <c r="D2134" s="18" t="s">
        <v>73</v>
      </c>
      <c r="E2134" s="18" t="s">
        <v>73</v>
      </c>
      <c r="F2134" s="18" t="s">
        <v>184</v>
      </c>
      <c r="G2134" s="18">
        <v>1.0</v>
      </c>
      <c r="H2134" s="18" t="s">
        <v>73</v>
      </c>
      <c r="I2134" s="18" t="str">
        <f t="shared" si="1"/>
        <v>Normal Weight</v>
      </c>
    </row>
    <row r="2135" ht="15.75" customHeight="1">
      <c r="A2135" s="18" t="s">
        <v>1887</v>
      </c>
      <c r="B2135" s="18">
        <v>15.65</v>
      </c>
      <c r="C2135" s="18">
        <v>4.23</v>
      </c>
      <c r="D2135" s="18" t="s">
        <v>73</v>
      </c>
      <c r="E2135" s="18" t="s">
        <v>73</v>
      </c>
      <c r="F2135" s="18" t="s">
        <v>73</v>
      </c>
      <c r="G2135" s="20">
        <v>0.0</v>
      </c>
      <c r="H2135" s="18" t="s">
        <v>73</v>
      </c>
      <c r="I2135" s="18" t="str">
        <f t="shared" si="1"/>
        <v>Underweight</v>
      </c>
    </row>
    <row r="2136" ht="15.75" customHeight="1">
      <c r="A2136" s="18" t="s">
        <v>1879</v>
      </c>
      <c r="B2136" s="18">
        <v>27.36</v>
      </c>
      <c r="C2136" s="18">
        <v>5.59</v>
      </c>
      <c r="D2136" s="18" t="s">
        <v>80</v>
      </c>
      <c r="E2136" s="18" t="s">
        <v>73</v>
      </c>
      <c r="F2136" s="18" t="s">
        <v>73</v>
      </c>
      <c r="G2136" s="20">
        <v>0.0</v>
      </c>
      <c r="H2136" s="18" t="s">
        <v>73</v>
      </c>
      <c r="I2136" s="18" t="str">
        <f t="shared" si="1"/>
        <v>Overweight</v>
      </c>
    </row>
    <row r="2137" ht="15.75" customHeight="1">
      <c r="A2137" s="18" t="s">
        <v>1872</v>
      </c>
      <c r="B2137" s="18">
        <v>22.3</v>
      </c>
      <c r="C2137" s="18">
        <v>4.89</v>
      </c>
      <c r="D2137" s="18" t="s">
        <v>80</v>
      </c>
      <c r="E2137" s="18" t="s">
        <v>73</v>
      </c>
      <c r="F2137" s="18" t="s">
        <v>73</v>
      </c>
      <c r="G2137" s="20">
        <v>0.0</v>
      </c>
      <c r="H2137" s="18" t="s">
        <v>73</v>
      </c>
      <c r="I2137" s="18" t="str">
        <f t="shared" si="1"/>
        <v>Normal Weight</v>
      </c>
    </row>
    <row r="2138" ht="15.75" customHeight="1">
      <c r="A2138" s="18" t="s">
        <v>1863</v>
      </c>
      <c r="B2138" s="18">
        <v>26.03</v>
      </c>
      <c r="C2138" s="18">
        <v>5.81</v>
      </c>
      <c r="D2138" s="18" t="s">
        <v>80</v>
      </c>
      <c r="E2138" s="18" t="s">
        <v>73</v>
      </c>
      <c r="F2138" s="18" t="s">
        <v>73</v>
      </c>
      <c r="G2138" s="20">
        <v>0.0</v>
      </c>
      <c r="H2138" s="18" t="s">
        <v>73</v>
      </c>
      <c r="I2138" s="18" t="str">
        <f t="shared" si="1"/>
        <v>Overweight</v>
      </c>
    </row>
    <row r="2139" ht="15.75" customHeight="1">
      <c r="A2139" s="18" t="s">
        <v>1849</v>
      </c>
      <c r="B2139" s="18">
        <v>27.74</v>
      </c>
      <c r="C2139" s="18">
        <v>4.29</v>
      </c>
      <c r="D2139" s="18" t="s">
        <v>73</v>
      </c>
      <c r="E2139" s="18" t="s">
        <v>80</v>
      </c>
      <c r="F2139" s="18" t="s">
        <v>73</v>
      </c>
      <c r="G2139" s="18">
        <v>1.0</v>
      </c>
      <c r="H2139" s="18" t="s">
        <v>73</v>
      </c>
      <c r="I2139" s="18" t="str">
        <f t="shared" si="1"/>
        <v>Overweight</v>
      </c>
    </row>
    <row r="2140" ht="15.75" customHeight="1">
      <c r="A2140" s="18" t="s">
        <v>1842</v>
      </c>
      <c r="B2140" s="18">
        <v>32.11</v>
      </c>
      <c r="C2140" s="18">
        <v>4.03</v>
      </c>
      <c r="D2140" s="18" t="s">
        <v>80</v>
      </c>
      <c r="E2140" s="18" t="s">
        <v>80</v>
      </c>
      <c r="F2140" s="18" t="s">
        <v>73</v>
      </c>
      <c r="G2140" s="18">
        <v>2.0</v>
      </c>
      <c r="H2140" s="18" t="s">
        <v>73</v>
      </c>
      <c r="I2140" s="18" t="str">
        <f t="shared" si="1"/>
        <v>Obesity</v>
      </c>
    </row>
    <row r="2141" ht="15.75" customHeight="1">
      <c r="A2141" s="18" t="s">
        <v>1833</v>
      </c>
      <c r="B2141" s="18">
        <v>25.175</v>
      </c>
      <c r="C2141" s="18">
        <v>6.29</v>
      </c>
      <c r="D2141" s="18" t="s">
        <v>80</v>
      </c>
      <c r="E2141" s="18" t="s">
        <v>80</v>
      </c>
      <c r="F2141" s="18" t="s">
        <v>73</v>
      </c>
      <c r="G2141" s="18">
        <v>2.0</v>
      </c>
      <c r="H2141" s="18" t="s">
        <v>73</v>
      </c>
      <c r="I2141" s="18" t="str">
        <f t="shared" si="1"/>
        <v>Overweight</v>
      </c>
    </row>
    <row r="2142" ht="15.75" customHeight="1">
      <c r="A2142" s="18" t="s">
        <v>1824</v>
      </c>
      <c r="B2142" s="18">
        <v>39.49</v>
      </c>
      <c r="C2142" s="18">
        <v>4.48</v>
      </c>
      <c r="D2142" s="18" t="s">
        <v>80</v>
      </c>
      <c r="E2142" s="18" t="s">
        <v>73</v>
      </c>
      <c r="F2142" s="18" t="s">
        <v>73</v>
      </c>
      <c r="G2142" s="20">
        <v>0.0</v>
      </c>
      <c r="H2142" s="18" t="s">
        <v>73</v>
      </c>
      <c r="I2142" s="18" t="str">
        <f t="shared" si="1"/>
        <v>Obesity</v>
      </c>
    </row>
    <row r="2143" ht="15.75" customHeight="1">
      <c r="A2143" s="18" t="s">
        <v>1813</v>
      </c>
      <c r="B2143" s="18">
        <v>34.87</v>
      </c>
      <c r="C2143" s="18">
        <v>5.51</v>
      </c>
      <c r="D2143" s="18" t="s">
        <v>80</v>
      </c>
      <c r="E2143" s="18" t="s">
        <v>73</v>
      </c>
      <c r="F2143" s="18" t="s">
        <v>73</v>
      </c>
      <c r="G2143" s="20">
        <v>0.0</v>
      </c>
      <c r="H2143" s="18" t="s">
        <v>73</v>
      </c>
      <c r="I2143" s="18" t="str">
        <f t="shared" si="1"/>
        <v>Obesity</v>
      </c>
    </row>
    <row r="2144" ht="15.75" customHeight="1">
      <c r="A2144" s="18" t="s">
        <v>1803</v>
      </c>
      <c r="B2144" s="18">
        <v>34.6</v>
      </c>
      <c r="C2144" s="18">
        <v>4.5</v>
      </c>
      <c r="D2144" s="18" t="s">
        <v>80</v>
      </c>
      <c r="E2144" s="18" t="s">
        <v>73</v>
      </c>
      <c r="F2144" s="18" t="s">
        <v>73</v>
      </c>
      <c r="G2144" s="20">
        <v>0.0</v>
      </c>
      <c r="H2144" s="18" t="s">
        <v>73</v>
      </c>
      <c r="I2144" s="18" t="str">
        <f t="shared" si="1"/>
        <v>Obesity</v>
      </c>
    </row>
    <row r="2145" ht="15.75" customHeight="1">
      <c r="A2145" s="18" t="s">
        <v>1794</v>
      </c>
      <c r="B2145" s="18">
        <v>25.8</v>
      </c>
      <c r="C2145" s="18">
        <v>6.29</v>
      </c>
      <c r="D2145" s="18" t="s">
        <v>80</v>
      </c>
      <c r="E2145" s="18" t="s">
        <v>73</v>
      </c>
      <c r="F2145" s="18" t="s">
        <v>73</v>
      </c>
      <c r="G2145" s="20">
        <v>0.0</v>
      </c>
      <c r="H2145" s="18" t="s">
        <v>73</v>
      </c>
      <c r="I2145" s="18" t="str">
        <f t="shared" si="1"/>
        <v>Overweight</v>
      </c>
    </row>
    <row r="2146" ht="15.75" customHeight="1">
      <c r="A2146" s="18" t="s">
        <v>1782</v>
      </c>
      <c r="B2146" s="18">
        <v>35.86</v>
      </c>
      <c r="C2146" s="18">
        <v>4.33</v>
      </c>
      <c r="D2146" s="18" t="s">
        <v>73</v>
      </c>
      <c r="E2146" s="18" t="s">
        <v>73</v>
      </c>
      <c r="F2146" s="18" t="s">
        <v>73</v>
      </c>
      <c r="G2146" s="18">
        <v>1.0</v>
      </c>
      <c r="H2146" s="18" t="s">
        <v>73</v>
      </c>
      <c r="I2146" s="18" t="str">
        <f t="shared" si="1"/>
        <v>Obesity</v>
      </c>
    </row>
    <row r="2147" ht="15.75" customHeight="1">
      <c r="A2147" s="18" t="s">
        <v>1773</v>
      </c>
      <c r="B2147" s="18">
        <v>40.47</v>
      </c>
      <c r="C2147" s="18">
        <v>11.15</v>
      </c>
      <c r="D2147" s="18" t="s">
        <v>73</v>
      </c>
      <c r="E2147" s="18" t="s">
        <v>73</v>
      </c>
      <c r="F2147" s="18" t="s">
        <v>73</v>
      </c>
      <c r="G2147" s="20">
        <v>0.0</v>
      </c>
      <c r="H2147" s="18" t="s">
        <v>73</v>
      </c>
      <c r="I2147" s="18" t="str">
        <f t="shared" si="1"/>
        <v>Obesity</v>
      </c>
    </row>
    <row r="2148" ht="15.75" customHeight="1">
      <c r="A2148" s="18" t="s">
        <v>1764</v>
      </c>
      <c r="B2148" s="18">
        <v>32.01</v>
      </c>
      <c r="C2148" s="18">
        <v>6.45</v>
      </c>
      <c r="D2148" s="18" t="s">
        <v>73</v>
      </c>
      <c r="E2148" s="18" t="s">
        <v>73</v>
      </c>
      <c r="F2148" s="18" t="s">
        <v>73</v>
      </c>
      <c r="G2148" s="18">
        <v>1.0</v>
      </c>
      <c r="H2148" s="18" t="s">
        <v>73</v>
      </c>
      <c r="I2148" s="18" t="str">
        <f t="shared" si="1"/>
        <v>Obesity</v>
      </c>
    </row>
    <row r="2149" ht="15.75" customHeight="1">
      <c r="A2149" s="18" t="s">
        <v>1752</v>
      </c>
      <c r="B2149" s="18">
        <v>33.0</v>
      </c>
      <c r="C2149" s="18">
        <v>9.27</v>
      </c>
      <c r="D2149" s="18" t="s">
        <v>73</v>
      </c>
      <c r="E2149" s="18" t="s">
        <v>73</v>
      </c>
      <c r="F2149" s="18" t="s">
        <v>73</v>
      </c>
      <c r="G2149" s="20">
        <v>0.0</v>
      </c>
      <c r="H2149" s="18" t="s">
        <v>73</v>
      </c>
      <c r="I2149" s="18" t="str">
        <f t="shared" si="1"/>
        <v>Obesity</v>
      </c>
    </row>
    <row r="2150" ht="15.75" customHeight="1">
      <c r="A2150" s="18" t="s">
        <v>1741</v>
      </c>
      <c r="B2150" s="18">
        <v>29.3</v>
      </c>
      <c r="C2150" s="18">
        <v>6.15</v>
      </c>
      <c r="D2150" s="18" t="s">
        <v>73</v>
      </c>
      <c r="E2150" s="18" t="s">
        <v>73</v>
      </c>
      <c r="F2150" s="18" t="s">
        <v>73</v>
      </c>
      <c r="G2150" s="18">
        <v>1.0</v>
      </c>
      <c r="H2150" s="18" t="s">
        <v>73</v>
      </c>
      <c r="I2150" s="18" t="str">
        <f t="shared" si="1"/>
        <v>Overweight</v>
      </c>
    </row>
    <row r="2151" ht="15.75" customHeight="1">
      <c r="A2151" s="18" t="s">
        <v>1731</v>
      </c>
      <c r="B2151" s="18">
        <v>25.8</v>
      </c>
      <c r="C2151" s="18">
        <v>4.13</v>
      </c>
      <c r="D2151" s="18" t="s">
        <v>73</v>
      </c>
      <c r="E2151" s="18" t="s">
        <v>73</v>
      </c>
      <c r="F2151" s="18" t="s">
        <v>73</v>
      </c>
      <c r="G2151" s="18">
        <v>1.0</v>
      </c>
      <c r="H2151" s="18" t="s">
        <v>73</v>
      </c>
      <c r="I2151" s="18" t="str">
        <f t="shared" si="1"/>
        <v>Overweight</v>
      </c>
    </row>
    <row r="2152" ht="15.75" customHeight="1">
      <c r="A2152" s="18" t="s">
        <v>1724</v>
      </c>
      <c r="B2152" s="18">
        <v>23.4</v>
      </c>
      <c r="C2152" s="18">
        <v>4.24</v>
      </c>
      <c r="D2152" s="18" t="s">
        <v>73</v>
      </c>
      <c r="E2152" s="18" t="s">
        <v>73</v>
      </c>
      <c r="F2152" s="18" t="s">
        <v>73</v>
      </c>
      <c r="G2152" s="18">
        <v>1.0</v>
      </c>
      <c r="H2152" s="18" t="s">
        <v>73</v>
      </c>
      <c r="I2152" s="18" t="str">
        <f t="shared" si="1"/>
        <v>Normal Weight</v>
      </c>
    </row>
    <row r="2153" ht="15.75" customHeight="1">
      <c r="A2153" s="18" t="s">
        <v>1716</v>
      </c>
      <c r="B2153" s="18">
        <v>27.93</v>
      </c>
      <c r="C2153" s="18">
        <v>9.88</v>
      </c>
      <c r="D2153" s="18" t="s">
        <v>73</v>
      </c>
      <c r="E2153" s="18" t="s">
        <v>73</v>
      </c>
      <c r="F2153" s="18" t="s">
        <v>73</v>
      </c>
      <c r="G2153" s="20">
        <v>0.0</v>
      </c>
      <c r="H2153" s="18" t="s">
        <v>73</v>
      </c>
      <c r="I2153" s="18" t="str">
        <f t="shared" si="1"/>
        <v>Overweight</v>
      </c>
    </row>
    <row r="2154" ht="15.75" customHeight="1">
      <c r="A2154" s="18" t="s">
        <v>1708</v>
      </c>
      <c r="B2154" s="18">
        <v>22.0</v>
      </c>
      <c r="C2154" s="18">
        <v>9.5</v>
      </c>
      <c r="D2154" s="18" t="s">
        <v>73</v>
      </c>
      <c r="E2154" s="18" t="s">
        <v>73</v>
      </c>
      <c r="F2154" s="18" t="s">
        <v>73</v>
      </c>
      <c r="G2154" s="20">
        <v>0.0</v>
      </c>
      <c r="H2154" s="18" t="s">
        <v>73</v>
      </c>
      <c r="I2154" s="18" t="str">
        <f t="shared" si="1"/>
        <v>Normal Weight</v>
      </c>
    </row>
    <row r="2155" ht="15.75" customHeight="1">
      <c r="A2155" s="18" t="s">
        <v>1699</v>
      </c>
      <c r="B2155" s="18">
        <v>36.86</v>
      </c>
      <c r="C2155" s="18">
        <v>4.97</v>
      </c>
      <c r="D2155" s="18" t="s">
        <v>80</v>
      </c>
      <c r="E2155" s="18" t="s">
        <v>73</v>
      </c>
      <c r="F2155" s="18" t="s">
        <v>73</v>
      </c>
      <c r="G2155" s="20">
        <v>0.0</v>
      </c>
      <c r="H2155" s="18" t="s">
        <v>73</v>
      </c>
      <c r="I2155" s="18" t="str">
        <f t="shared" si="1"/>
        <v>Obesity</v>
      </c>
    </row>
    <row r="2156" ht="15.75" customHeight="1">
      <c r="A2156" s="18" t="s">
        <v>1691</v>
      </c>
      <c r="B2156" s="18">
        <v>31.255</v>
      </c>
      <c r="C2156" s="18">
        <v>5.49</v>
      </c>
      <c r="D2156" s="18" t="s">
        <v>80</v>
      </c>
      <c r="E2156" s="18" t="s">
        <v>73</v>
      </c>
      <c r="F2156" s="18" t="s">
        <v>73</v>
      </c>
      <c r="G2156" s="20">
        <v>0.0</v>
      </c>
      <c r="H2156" s="18" t="s">
        <v>73</v>
      </c>
      <c r="I2156" s="18" t="str">
        <f t="shared" si="1"/>
        <v>Obesity</v>
      </c>
    </row>
    <row r="2157" ht="15.75" customHeight="1">
      <c r="A2157" s="18" t="s">
        <v>1682</v>
      </c>
      <c r="B2157" s="18">
        <v>23.06</v>
      </c>
      <c r="C2157" s="18">
        <v>4.47</v>
      </c>
      <c r="D2157" s="18" t="s">
        <v>73</v>
      </c>
      <c r="E2157" s="18" t="s">
        <v>73</v>
      </c>
      <c r="F2157" s="18" t="s">
        <v>73</v>
      </c>
      <c r="G2157" s="20">
        <v>0.0</v>
      </c>
      <c r="H2157" s="18" t="s">
        <v>73</v>
      </c>
      <c r="I2157" s="18" t="str">
        <f t="shared" si="1"/>
        <v>Normal Weight</v>
      </c>
    </row>
    <row r="2158" ht="15.75" customHeight="1">
      <c r="A2158" s="18" t="s">
        <v>1678</v>
      </c>
      <c r="B2158" s="18">
        <v>28.975</v>
      </c>
      <c r="C2158" s="18">
        <v>4.34</v>
      </c>
      <c r="D2158" s="18" t="s">
        <v>80</v>
      </c>
      <c r="E2158" s="18" t="s">
        <v>73</v>
      </c>
      <c r="F2158" s="18" t="s">
        <v>73</v>
      </c>
      <c r="G2158" s="20">
        <v>0.0</v>
      </c>
      <c r="H2158" s="18" t="s">
        <v>73</v>
      </c>
      <c r="I2158" s="18" t="str">
        <f t="shared" si="1"/>
        <v>Overweight</v>
      </c>
    </row>
    <row r="2159" ht="15.75" customHeight="1">
      <c r="A2159" s="18" t="s">
        <v>1677</v>
      </c>
      <c r="B2159" s="18">
        <v>33.3</v>
      </c>
      <c r="C2159" s="18">
        <v>9.49</v>
      </c>
      <c r="D2159" s="18" t="s">
        <v>73</v>
      </c>
      <c r="E2159" s="18" t="s">
        <v>73</v>
      </c>
      <c r="F2159" s="18" t="s">
        <v>73</v>
      </c>
      <c r="G2159" s="20">
        <v>0.0</v>
      </c>
      <c r="H2159" s="18" t="s">
        <v>73</v>
      </c>
      <c r="I2159" s="18" t="str">
        <f t="shared" si="1"/>
        <v>Obesity</v>
      </c>
    </row>
    <row r="2160" ht="15.75" customHeight="1">
      <c r="A2160" s="18" t="s">
        <v>1669</v>
      </c>
      <c r="B2160" s="18">
        <v>33.0</v>
      </c>
      <c r="C2160" s="18">
        <v>10.16</v>
      </c>
      <c r="D2160" s="18" t="s">
        <v>73</v>
      </c>
      <c r="E2160" s="18" t="s">
        <v>73</v>
      </c>
      <c r="F2160" s="18" t="s">
        <v>73</v>
      </c>
      <c r="G2160" s="20">
        <v>0.0</v>
      </c>
      <c r="H2160" s="18" t="s">
        <v>73</v>
      </c>
      <c r="I2160" s="18" t="str">
        <f t="shared" si="1"/>
        <v>Obesity</v>
      </c>
    </row>
    <row r="2161" ht="15.75" customHeight="1">
      <c r="A2161" s="18" t="s">
        <v>1664</v>
      </c>
      <c r="B2161" s="18">
        <v>31.46</v>
      </c>
      <c r="C2161" s="18">
        <v>11.19</v>
      </c>
      <c r="D2161" s="18" t="s">
        <v>73</v>
      </c>
      <c r="E2161" s="18" t="s">
        <v>73</v>
      </c>
      <c r="F2161" s="18" t="s">
        <v>73</v>
      </c>
      <c r="G2161" s="20">
        <v>0.0</v>
      </c>
      <c r="H2161" s="18" t="s">
        <v>73</v>
      </c>
      <c r="I2161" s="18" t="str">
        <f t="shared" si="1"/>
        <v>Obesity</v>
      </c>
    </row>
    <row r="2162" ht="15.75" customHeight="1">
      <c r="A2162" s="18" t="s">
        <v>1658</v>
      </c>
      <c r="B2162" s="18">
        <v>29.6</v>
      </c>
      <c r="C2162" s="18">
        <v>11.03</v>
      </c>
      <c r="D2162" s="18" t="s">
        <v>73</v>
      </c>
      <c r="E2162" s="18" t="s">
        <v>73</v>
      </c>
      <c r="F2162" s="18" t="s">
        <v>73</v>
      </c>
      <c r="G2162" s="20">
        <v>0.0</v>
      </c>
      <c r="H2162" s="18" t="s">
        <v>73</v>
      </c>
      <c r="I2162" s="18" t="str">
        <f t="shared" si="1"/>
        <v>Overweight</v>
      </c>
    </row>
    <row r="2163" ht="15.75" customHeight="1">
      <c r="A2163" s="18" t="s">
        <v>1650</v>
      </c>
      <c r="B2163" s="18">
        <v>22.05</v>
      </c>
      <c r="C2163" s="18">
        <v>4.43</v>
      </c>
      <c r="D2163" s="18" t="s">
        <v>80</v>
      </c>
      <c r="E2163" s="18" t="s">
        <v>73</v>
      </c>
      <c r="F2163" s="18" t="s">
        <v>73</v>
      </c>
      <c r="G2163" s="20">
        <v>0.0</v>
      </c>
      <c r="H2163" s="18" t="s">
        <v>73</v>
      </c>
      <c r="I2163" s="18" t="str">
        <f t="shared" si="1"/>
        <v>Normal Weight</v>
      </c>
    </row>
    <row r="2164" ht="15.75" customHeight="1">
      <c r="A2164" s="18" t="s">
        <v>1642</v>
      </c>
      <c r="B2164" s="18">
        <v>27.06</v>
      </c>
      <c r="C2164" s="18">
        <v>6.14</v>
      </c>
      <c r="D2164" s="18" t="s">
        <v>73</v>
      </c>
      <c r="E2164" s="18" t="s">
        <v>80</v>
      </c>
      <c r="F2164" s="18" t="s">
        <v>73</v>
      </c>
      <c r="G2164" s="18">
        <v>1.0</v>
      </c>
      <c r="H2164" s="18" t="s">
        <v>73</v>
      </c>
      <c r="I2164" s="18" t="str">
        <f t="shared" si="1"/>
        <v>Overweight</v>
      </c>
    </row>
    <row r="2165" ht="15.75" customHeight="1">
      <c r="A2165" s="18" t="s">
        <v>1635</v>
      </c>
      <c r="B2165" s="18">
        <v>20.49</v>
      </c>
      <c r="C2165" s="18">
        <v>4.87</v>
      </c>
      <c r="D2165" s="18" t="s">
        <v>73</v>
      </c>
      <c r="E2165" s="18" t="s">
        <v>73</v>
      </c>
      <c r="F2165" s="18" t="s">
        <v>73</v>
      </c>
      <c r="G2165" s="20">
        <v>0.0</v>
      </c>
      <c r="H2165" s="18" t="s">
        <v>73</v>
      </c>
      <c r="I2165" s="18" t="str">
        <f t="shared" si="1"/>
        <v>Normal Weight</v>
      </c>
    </row>
    <row r="2166" ht="15.75" customHeight="1">
      <c r="A2166" s="18" t="s">
        <v>1623</v>
      </c>
      <c r="B2166" s="18">
        <v>28.4</v>
      </c>
      <c r="C2166" s="18">
        <v>4.3</v>
      </c>
      <c r="D2166" s="18" t="s">
        <v>73</v>
      </c>
      <c r="E2166" s="18" t="s">
        <v>73</v>
      </c>
      <c r="F2166" s="18" t="s">
        <v>184</v>
      </c>
      <c r="G2166" s="18">
        <v>1.0</v>
      </c>
      <c r="H2166" s="18" t="s">
        <v>73</v>
      </c>
      <c r="I2166" s="18" t="str">
        <f t="shared" si="1"/>
        <v>Overweight</v>
      </c>
    </row>
    <row r="2167" ht="15.75" customHeight="1">
      <c r="A2167" s="18" t="s">
        <v>1616</v>
      </c>
      <c r="B2167" s="18">
        <v>41.91</v>
      </c>
      <c r="C2167" s="18">
        <v>6.19</v>
      </c>
      <c r="D2167" s="18" t="s">
        <v>73</v>
      </c>
      <c r="E2167" s="18" t="s">
        <v>73</v>
      </c>
      <c r="F2167" s="18" t="s">
        <v>73</v>
      </c>
      <c r="G2167" s="20">
        <v>0.0</v>
      </c>
      <c r="H2167" s="18" t="s">
        <v>73</v>
      </c>
      <c r="I2167" s="18" t="str">
        <f t="shared" si="1"/>
        <v>Obesity</v>
      </c>
    </row>
    <row r="2168" ht="15.75" customHeight="1">
      <c r="A2168" s="18" t="s">
        <v>1608</v>
      </c>
      <c r="B2168" s="18">
        <v>24.6</v>
      </c>
      <c r="C2168" s="18">
        <v>6.19</v>
      </c>
      <c r="D2168" s="18" t="s">
        <v>73</v>
      </c>
      <c r="E2168" s="18" t="s">
        <v>73</v>
      </c>
      <c r="F2168" s="18" t="s">
        <v>184</v>
      </c>
      <c r="G2168" s="18">
        <v>1.0</v>
      </c>
      <c r="H2168" s="18" t="s">
        <v>73</v>
      </c>
      <c r="I2168" s="18" t="str">
        <f t="shared" si="1"/>
        <v>Normal Weight</v>
      </c>
    </row>
    <row r="2169" ht="15.75" customHeight="1">
      <c r="A2169" s="18" t="s">
        <v>1599</v>
      </c>
      <c r="B2169" s="18">
        <v>20.9</v>
      </c>
      <c r="C2169" s="18">
        <v>5.12</v>
      </c>
      <c r="D2169" s="18" t="s">
        <v>73</v>
      </c>
      <c r="E2169" s="18" t="s">
        <v>73</v>
      </c>
      <c r="F2169" s="18" t="s">
        <v>184</v>
      </c>
      <c r="G2169" s="18">
        <v>1.0</v>
      </c>
      <c r="H2169" s="18" t="s">
        <v>73</v>
      </c>
      <c r="I2169" s="18" t="str">
        <f t="shared" si="1"/>
        <v>Normal Weight</v>
      </c>
    </row>
    <row r="2170" ht="15.75" customHeight="1">
      <c r="A2170" s="18" t="s">
        <v>1593</v>
      </c>
      <c r="B2170" s="18">
        <v>34.4</v>
      </c>
      <c r="C2170" s="18">
        <v>4.04</v>
      </c>
      <c r="D2170" s="18" t="s">
        <v>73</v>
      </c>
      <c r="E2170" s="18" t="s">
        <v>73</v>
      </c>
      <c r="F2170" s="18" t="s">
        <v>73</v>
      </c>
      <c r="G2170" s="20">
        <v>0.0</v>
      </c>
      <c r="H2170" s="18" t="s">
        <v>73</v>
      </c>
      <c r="I2170" s="18" t="str">
        <f t="shared" si="1"/>
        <v>Obesity</v>
      </c>
    </row>
    <row r="2171" ht="15.75" customHeight="1">
      <c r="A2171" s="18" t="s">
        <v>1588</v>
      </c>
      <c r="B2171" s="18">
        <v>32.56</v>
      </c>
      <c r="C2171" s="18">
        <v>5.36</v>
      </c>
      <c r="D2171" s="18" t="s">
        <v>73</v>
      </c>
      <c r="E2171" s="18" t="s">
        <v>73</v>
      </c>
      <c r="F2171" s="18" t="s">
        <v>73</v>
      </c>
      <c r="G2171" s="20">
        <v>0.0</v>
      </c>
      <c r="H2171" s="18" t="s">
        <v>73</v>
      </c>
      <c r="I2171" s="18" t="str">
        <f t="shared" si="1"/>
        <v>Obesity</v>
      </c>
    </row>
    <row r="2172" ht="15.75" customHeight="1">
      <c r="A2172" s="18" t="s">
        <v>1581</v>
      </c>
      <c r="B2172" s="18">
        <v>27.98</v>
      </c>
      <c r="C2172" s="18">
        <v>4.38</v>
      </c>
      <c r="D2172" s="18" t="s">
        <v>73</v>
      </c>
      <c r="E2172" s="18" t="s">
        <v>80</v>
      </c>
      <c r="F2172" s="18" t="s">
        <v>73</v>
      </c>
      <c r="G2172" s="18">
        <v>1.0</v>
      </c>
      <c r="H2172" s="18" t="s">
        <v>73</v>
      </c>
      <c r="I2172" s="18" t="str">
        <f t="shared" si="1"/>
        <v>Overweight</v>
      </c>
    </row>
    <row r="2173" ht="15.75" customHeight="1">
      <c r="A2173" s="18" t="s">
        <v>1570</v>
      </c>
      <c r="B2173" s="18">
        <v>26.51</v>
      </c>
      <c r="C2173" s="18">
        <v>4.58</v>
      </c>
      <c r="D2173" s="18" t="s">
        <v>73</v>
      </c>
      <c r="E2173" s="18" t="s">
        <v>73</v>
      </c>
      <c r="F2173" s="18" t="s">
        <v>73</v>
      </c>
      <c r="G2173" s="20">
        <v>0.0</v>
      </c>
      <c r="H2173" s="18" t="s">
        <v>73</v>
      </c>
      <c r="I2173" s="18" t="str">
        <f t="shared" si="1"/>
        <v>Overweight</v>
      </c>
    </row>
    <row r="2174" ht="15.75" customHeight="1">
      <c r="A2174" s="18" t="s">
        <v>1534</v>
      </c>
      <c r="B2174" s="18">
        <v>29.735</v>
      </c>
      <c r="C2174" s="18">
        <v>11.92</v>
      </c>
      <c r="D2174" s="18" t="s">
        <v>73</v>
      </c>
      <c r="E2174" s="18" t="s">
        <v>73</v>
      </c>
      <c r="F2174" s="18" t="s">
        <v>73</v>
      </c>
      <c r="G2174" s="20">
        <v>0.0</v>
      </c>
      <c r="H2174" s="18" t="s">
        <v>73</v>
      </c>
      <c r="I2174" s="18" t="str">
        <f t="shared" si="1"/>
        <v>Overweight</v>
      </c>
    </row>
    <row r="2175" ht="15.75" customHeight="1">
      <c r="A2175" s="18" t="s">
        <v>1528</v>
      </c>
      <c r="B2175" s="18">
        <v>40.5</v>
      </c>
      <c r="C2175" s="18">
        <v>5.4</v>
      </c>
      <c r="D2175" s="18" t="s">
        <v>73</v>
      </c>
      <c r="E2175" s="18" t="s">
        <v>73</v>
      </c>
      <c r="F2175" s="18" t="s">
        <v>184</v>
      </c>
      <c r="G2175" s="18">
        <v>1.0</v>
      </c>
      <c r="H2175" s="18" t="s">
        <v>73</v>
      </c>
      <c r="I2175" s="18" t="str">
        <f t="shared" si="1"/>
        <v>Obesity</v>
      </c>
    </row>
    <row r="2176" ht="15.75" customHeight="1">
      <c r="A2176" s="18" t="s">
        <v>1521</v>
      </c>
      <c r="B2176" s="18">
        <v>25.64</v>
      </c>
      <c r="C2176" s="18">
        <v>4.76</v>
      </c>
      <c r="D2176" s="18" t="s">
        <v>73</v>
      </c>
      <c r="E2176" s="18" t="s">
        <v>73</v>
      </c>
      <c r="F2176" s="18" t="s">
        <v>73</v>
      </c>
      <c r="G2176" s="18">
        <v>1.0</v>
      </c>
      <c r="H2176" s="18" t="s">
        <v>73</v>
      </c>
      <c r="I2176" s="18" t="str">
        <f t="shared" si="1"/>
        <v>Overweight</v>
      </c>
    </row>
    <row r="2177" ht="15.75" customHeight="1">
      <c r="A2177" s="18" t="s">
        <v>1515</v>
      </c>
      <c r="B2177" s="18">
        <v>32.9</v>
      </c>
      <c r="C2177" s="18">
        <v>4.78</v>
      </c>
      <c r="D2177" s="18" t="s">
        <v>73</v>
      </c>
      <c r="E2177" s="18" t="s">
        <v>73</v>
      </c>
      <c r="F2177" s="18" t="s">
        <v>184</v>
      </c>
      <c r="G2177" s="18">
        <v>1.0</v>
      </c>
      <c r="H2177" s="18" t="s">
        <v>73</v>
      </c>
      <c r="I2177" s="18" t="str">
        <f t="shared" si="1"/>
        <v>Obesity</v>
      </c>
    </row>
    <row r="2178" ht="15.75" customHeight="1">
      <c r="A2178" s="18" t="s">
        <v>1509</v>
      </c>
      <c r="B2178" s="18">
        <v>29.8</v>
      </c>
      <c r="C2178" s="18">
        <v>4.26</v>
      </c>
      <c r="D2178" s="18" t="s">
        <v>73</v>
      </c>
      <c r="E2178" s="18" t="s">
        <v>73</v>
      </c>
      <c r="F2178" s="18" t="s">
        <v>184</v>
      </c>
      <c r="G2178" s="18">
        <v>1.0</v>
      </c>
      <c r="H2178" s="18" t="s">
        <v>73</v>
      </c>
      <c r="I2178" s="18" t="str">
        <f t="shared" si="1"/>
        <v>Overweight</v>
      </c>
    </row>
    <row r="2179" ht="15.75" customHeight="1">
      <c r="A2179" s="18" t="s">
        <v>1502</v>
      </c>
      <c r="B2179" s="18">
        <v>28.9</v>
      </c>
      <c r="C2179" s="18">
        <v>5.85</v>
      </c>
      <c r="D2179" s="18" t="s">
        <v>73</v>
      </c>
      <c r="E2179" s="18" t="s">
        <v>73</v>
      </c>
      <c r="F2179" s="18" t="s">
        <v>184</v>
      </c>
      <c r="G2179" s="18">
        <v>1.0</v>
      </c>
      <c r="H2179" s="18" t="s">
        <v>73</v>
      </c>
      <c r="I2179" s="18" t="str">
        <f t="shared" si="1"/>
        <v>Overweight</v>
      </c>
    </row>
    <row r="2180" ht="15.75" customHeight="1">
      <c r="A2180" s="18" t="s">
        <v>1498</v>
      </c>
      <c r="B2180" s="18">
        <v>24.7</v>
      </c>
      <c r="C2180" s="18">
        <v>5.32</v>
      </c>
      <c r="D2180" s="18" t="s">
        <v>73</v>
      </c>
      <c r="E2180" s="18" t="s">
        <v>73</v>
      </c>
      <c r="F2180" s="18" t="s">
        <v>184</v>
      </c>
      <c r="G2180" s="18">
        <v>1.0</v>
      </c>
      <c r="H2180" s="18" t="s">
        <v>73</v>
      </c>
      <c r="I2180" s="18" t="str">
        <f t="shared" si="1"/>
        <v>Normal Weight</v>
      </c>
    </row>
    <row r="2181" ht="15.75" customHeight="1">
      <c r="A2181" s="18" t="s">
        <v>1492</v>
      </c>
      <c r="B2181" s="18">
        <v>20.6</v>
      </c>
      <c r="C2181" s="18">
        <v>5.14</v>
      </c>
      <c r="D2181" s="18" t="s">
        <v>73</v>
      </c>
      <c r="E2181" s="18" t="s">
        <v>73</v>
      </c>
      <c r="F2181" s="18" t="s">
        <v>184</v>
      </c>
      <c r="G2181" s="18">
        <v>1.0</v>
      </c>
      <c r="H2181" s="18" t="s">
        <v>73</v>
      </c>
      <c r="I2181" s="18" t="str">
        <f t="shared" si="1"/>
        <v>Normal Weight</v>
      </c>
    </row>
    <row r="2182" ht="15.75" customHeight="1">
      <c r="A2182" s="18" t="s">
        <v>1486</v>
      </c>
      <c r="B2182" s="18">
        <v>18.6</v>
      </c>
      <c r="C2182" s="18">
        <v>5.0</v>
      </c>
      <c r="D2182" s="18" t="s">
        <v>73</v>
      </c>
      <c r="E2182" s="18" t="s">
        <v>73</v>
      </c>
      <c r="F2182" s="18" t="s">
        <v>184</v>
      </c>
      <c r="G2182" s="18">
        <v>1.0</v>
      </c>
      <c r="H2182" s="18" t="s">
        <v>73</v>
      </c>
      <c r="I2182" s="18" t="str">
        <f t="shared" si="1"/>
        <v>Normal Weight</v>
      </c>
    </row>
    <row r="2183" ht="15.75" customHeight="1">
      <c r="A2183" s="18" t="s">
        <v>1481</v>
      </c>
      <c r="B2183" s="18">
        <v>17.8</v>
      </c>
      <c r="C2183" s="18">
        <v>4.55</v>
      </c>
      <c r="D2183" s="18" t="s">
        <v>73</v>
      </c>
      <c r="E2183" s="18" t="s">
        <v>73</v>
      </c>
      <c r="F2183" s="18" t="s">
        <v>184</v>
      </c>
      <c r="G2183" s="18">
        <v>1.0</v>
      </c>
      <c r="H2183" s="18" t="s">
        <v>73</v>
      </c>
      <c r="I2183" s="18" t="str">
        <f t="shared" si="1"/>
        <v>Underweight</v>
      </c>
    </row>
    <row r="2184" ht="15.75" customHeight="1">
      <c r="A2184" s="18" t="s">
        <v>1475</v>
      </c>
      <c r="B2184" s="18">
        <v>35.2</v>
      </c>
      <c r="C2184" s="18">
        <v>5.97</v>
      </c>
      <c r="D2184" s="18" t="s">
        <v>73</v>
      </c>
      <c r="E2184" s="18" t="s">
        <v>80</v>
      </c>
      <c r="F2184" s="18" t="s">
        <v>73</v>
      </c>
      <c r="G2184" s="18">
        <v>1.0</v>
      </c>
      <c r="H2184" s="18" t="s">
        <v>73</v>
      </c>
      <c r="I2184" s="18" t="str">
        <f t="shared" si="1"/>
        <v>Obesity</v>
      </c>
    </row>
    <row r="2185" ht="15.75" customHeight="1">
      <c r="A2185" s="18" t="s">
        <v>1471</v>
      </c>
      <c r="B2185" s="18">
        <v>33.77</v>
      </c>
      <c r="C2185" s="18">
        <v>4.02</v>
      </c>
      <c r="D2185" s="18" t="s">
        <v>73</v>
      </c>
      <c r="E2185" s="18" t="s">
        <v>80</v>
      </c>
      <c r="F2185" s="18" t="s">
        <v>73</v>
      </c>
      <c r="G2185" s="18">
        <v>1.0</v>
      </c>
      <c r="H2185" s="18" t="s">
        <v>73</v>
      </c>
      <c r="I2185" s="18" t="str">
        <f t="shared" si="1"/>
        <v>Obesity</v>
      </c>
    </row>
    <row r="2186" ht="15.75" customHeight="1">
      <c r="A2186" s="18" t="s">
        <v>1464</v>
      </c>
      <c r="B2186" s="18">
        <v>30.03</v>
      </c>
      <c r="C2186" s="18">
        <v>4.04</v>
      </c>
      <c r="D2186" s="18" t="s">
        <v>73</v>
      </c>
      <c r="E2186" s="18" t="s">
        <v>80</v>
      </c>
      <c r="F2186" s="18" t="s">
        <v>73</v>
      </c>
      <c r="G2186" s="18">
        <v>1.0</v>
      </c>
      <c r="H2186" s="18" t="s">
        <v>73</v>
      </c>
      <c r="I2186" s="18" t="str">
        <f t="shared" si="1"/>
        <v>Obesity</v>
      </c>
    </row>
    <row r="2187" ht="15.75" customHeight="1">
      <c r="A2187" s="18" t="s">
        <v>1459</v>
      </c>
      <c r="B2187" s="18">
        <v>29.37</v>
      </c>
      <c r="C2187" s="18">
        <v>5.54</v>
      </c>
      <c r="D2187" s="18" t="s">
        <v>73</v>
      </c>
      <c r="E2187" s="18" t="s">
        <v>80</v>
      </c>
      <c r="F2187" s="18" t="s">
        <v>73</v>
      </c>
      <c r="G2187" s="18">
        <v>1.0</v>
      </c>
      <c r="H2187" s="18" t="s">
        <v>73</v>
      </c>
      <c r="I2187" s="18" t="str">
        <f t="shared" si="1"/>
        <v>Overweight</v>
      </c>
    </row>
    <row r="2188" ht="15.75" customHeight="1">
      <c r="A2188" s="18" t="s">
        <v>1454</v>
      </c>
      <c r="B2188" s="18">
        <v>28.5</v>
      </c>
      <c r="C2188" s="18">
        <v>4.03</v>
      </c>
      <c r="D2188" s="18" t="s">
        <v>73</v>
      </c>
      <c r="E2188" s="18" t="s">
        <v>80</v>
      </c>
      <c r="F2188" s="18" t="s">
        <v>73</v>
      </c>
      <c r="G2188" s="18">
        <v>1.0</v>
      </c>
      <c r="H2188" s="18" t="s">
        <v>73</v>
      </c>
      <c r="I2188" s="18" t="str">
        <f t="shared" si="1"/>
        <v>Overweight</v>
      </c>
    </row>
    <row r="2189" ht="15.75" customHeight="1">
      <c r="A2189" s="18" t="s">
        <v>1450</v>
      </c>
      <c r="B2189" s="18">
        <v>23.32</v>
      </c>
      <c r="C2189" s="18">
        <v>5.62</v>
      </c>
      <c r="D2189" s="18" t="s">
        <v>73</v>
      </c>
      <c r="E2189" s="18" t="s">
        <v>80</v>
      </c>
      <c r="F2189" s="18" t="s">
        <v>73</v>
      </c>
      <c r="G2189" s="18">
        <v>1.0</v>
      </c>
      <c r="H2189" s="18" t="s">
        <v>73</v>
      </c>
      <c r="I2189" s="18" t="str">
        <f t="shared" si="1"/>
        <v>Normal Weight</v>
      </c>
    </row>
    <row r="2190" ht="15.75" customHeight="1">
      <c r="A2190" s="18" t="s">
        <v>1445</v>
      </c>
      <c r="B2190" s="18">
        <v>26.125</v>
      </c>
      <c r="C2190" s="18">
        <v>5.27</v>
      </c>
      <c r="D2190" s="18" t="s">
        <v>73</v>
      </c>
      <c r="E2190" s="18" t="s">
        <v>80</v>
      </c>
      <c r="F2190" s="18" t="s">
        <v>73</v>
      </c>
      <c r="G2190" s="18">
        <v>1.0</v>
      </c>
      <c r="H2190" s="18" t="s">
        <v>73</v>
      </c>
      <c r="I2190" s="18" t="str">
        <f t="shared" si="1"/>
        <v>Overweight</v>
      </c>
    </row>
    <row r="2191" ht="15.75" customHeight="1">
      <c r="A2191" s="18" t="s">
        <v>1440</v>
      </c>
      <c r="B2191" s="18">
        <v>25.46</v>
      </c>
      <c r="C2191" s="18">
        <v>5.18</v>
      </c>
      <c r="D2191" s="18" t="s">
        <v>73</v>
      </c>
      <c r="E2191" s="18" t="s">
        <v>80</v>
      </c>
      <c r="F2191" s="18" t="s">
        <v>73</v>
      </c>
      <c r="G2191" s="18">
        <v>1.0</v>
      </c>
      <c r="H2191" s="18" t="s">
        <v>73</v>
      </c>
      <c r="I2191" s="18" t="str">
        <f t="shared" si="1"/>
        <v>Overweight</v>
      </c>
    </row>
    <row r="2192" ht="15.75" customHeight="1">
      <c r="A2192" s="18" t="s">
        <v>1436</v>
      </c>
      <c r="B2192" s="18">
        <v>23.75</v>
      </c>
      <c r="C2192" s="18">
        <v>5.27</v>
      </c>
      <c r="D2192" s="18" t="s">
        <v>73</v>
      </c>
      <c r="E2192" s="18" t="s">
        <v>80</v>
      </c>
      <c r="F2192" s="18" t="s">
        <v>73</v>
      </c>
      <c r="G2192" s="18">
        <v>1.0</v>
      </c>
      <c r="H2192" s="18" t="s">
        <v>73</v>
      </c>
      <c r="I2192" s="18" t="str">
        <f t="shared" si="1"/>
        <v>Normal Weight</v>
      </c>
    </row>
    <row r="2193" ht="15.75" customHeight="1">
      <c r="A2193" s="18" t="s">
        <v>1430</v>
      </c>
      <c r="B2193" s="18">
        <v>23.085</v>
      </c>
      <c r="C2193" s="18">
        <v>5.62</v>
      </c>
      <c r="D2193" s="18" t="s">
        <v>73</v>
      </c>
      <c r="E2193" s="18" t="s">
        <v>80</v>
      </c>
      <c r="F2193" s="18" t="s">
        <v>73</v>
      </c>
      <c r="G2193" s="18">
        <v>1.0</v>
      </c>
      <c r="H2193" s="18" t="s">
        <v>73</v>
      </c>
      <c r="I2193" s="18" t="str">
        <f t="shared" si="1"/>
        <v>Normal Weight</v>
      </c>
    </row>
    <row r="2194" ht="15.75" customHeight="1">
      <c r="A2194" s="18" t="s">
        <v>1424</v>
      </c>
      <c r="B2194" s="18">
        <v>22.99</v>
      </c>
      <c r="C2194" s="18">
        <v>5.06</v>
      </c>
      <c r="D2194" s="18" t="s">
        <v>73</v>
      </c>
      <c r="E2194" s="18" t="s">
        <v>80</v>
      </c>
      <c r="F2194" s="18" t="s">
        <v>73</v>
      </c>
      <c r="G2194" s="18">
        <v>1.0</v>
      </c>
      <c r="H2194" s="18" t="s">
        <v>73</v>
      </c>
      <c r="I2194" s="18" t="str">
        <f t="shared" si="1"/>
        <v>Normal Weight</v>
      </c>
    </row>
    <row r="2195" ht="15.75" customHeight="1">
      <c r="A2195" s="18" t="s">
        <v>1416</v>
      </c>
      <c r="B2195" s="18">
        <v>21.47</v>
      </c>
      <c r="C2195" s="18">
        <v>4.69</v>
      </c>
      <c r="D2195" s="18" t="s">
        <v>73</v>
      </c>
      <c r="E2195" s="18" t="s">
        <v>80</v>
      </c>
      <c r="F2195" s="18" t="s">
        <v>73</v>
      </c>
      <c r="G2195" s="18">
        <v>1.0</v>
      </c>
      <c r="H2195" s="18" t="s">
        <v>73</v>
      </c>
      <c r="I2195" s="18" t="str">
        <f t="shared" si="1"/>
        <v>Normal Weight</v>
      </c>
    </row>
    <row r="2196" ht="15.75" customHeight="1">
      <c r="A2196" s="18" t="s">
        <v>1409</v>
      </c>
      <c r="B2196" s="18">
        <v>15.96</v>
      </c>
      <c r="C2196" s="18">
        <v>5.44</v>
      </c>
      <c r="D2196" s="18" t="s">
        <v>73</v>
      </c>
      <c r="E2196" s="18" t="s">
        <v>80</v>
      </c>
      <c r="F2196" s="18" t="s">
        <v>73</v>
      </c>
      <c r="G2196" s="18">
        <v>1.0</v>
      </c>
      <c r="H2196" s="18" t="s">
        <v>73</v>
      </c>
      <c r="I2196" s="18" t="str">
        <f t="shared" si="1"/>
        <v>Underweight</v>
      </c>
    </row>
    <row r="2197" ht="15.75" customHeight="1">
      <c r="A2197" s="18" t="s">
        <v>1405</v>
      </c>
      <c r="B2197" s="18">
        <v>39.5</v>
      </c>
      <c r="C2197" s="18">
        <v>5.05</v>
      </c>
      <c r="D2197" s="18" t="s">
        <v>73</v>
      </c>
      <c r="E2197" s="18" t="s">
        <v>80</v>
      </c>
      <c r="F2197" s="18" t="s">
        <v>73</v>
      </c>
      <c r="G2197" s="18">
        <v>1.0</v>
      </c>
      <c r="H2197" s="18" t="s">
        <v>73</v>
      </c>
      <c r="I2197" s="18" t="str">
        <f t="shared" si="1"/>
        <v>Obesity</v>
      </c>
    </row>
    <row r="2198" ht="15.75" customHeight="1">
      <c r="A2198" s="18" t="s">
        <v>1401</v>
      </c>
      <c r="B2198" s="18">
        <v>33.77</v>
      </c>
      <c r="C2198" s="18">
        <v>6.0</v>
      </c>
      <c r="D2198" s="18" t="s">
        <v>73</v>
      </c>
      <c r="E2198" s="18" t="s">
        <v>80</v>
      </c>
      <c r="F2198" s="18" t="s">
        <v>73</v>
      </c>
      <c r="G2198" s="18">
        <v>1.0</v>
      </c>
      <c r="H2198" s="18" t="s">
        <v>73</v>
      </c>
      <c r="I2198" s="18" t="str">
        <f t="shared" si="1"/>
        <v>Obesity</v>
      </c>
    </row>
    <row r="2199" ht="15.75" customHeight="1">
      <c r="A2199" s="18" t="s">
        <v>1396</v>
      </c>
      <c r="B2199" s="18">
        <v>26.84</v>
      </c>
      <c r="C2199" s="18">
        <v>5.99</v>
      </c>
      <c r="D2199" s="18" t="s">
        <v>80</v>
      </c>
      <c r="E2199" s="18" t="s">
        <v>80</v>
      </c>
      <c r="F2199" s="18" t="s">
        <v>73</v>
      </c>
      <c r="G2199" s="18">
        <v>1.0</v>
      </c>
      <c r="H2199" s="18" t="s">
        <v>73</v>
      </c>
      <c r="I2199" s="18" t="str">
        <f t="shared" si="1"/>
        <v>Overweight</v>
      </c>
    </row>
    <row r="2200" ht="15.75" customHeight="1">
      <c r="A2200" s="18" t="s">
        <v>1392</v>
      </c>
      <c r="B2200" s="18">
        <v>35.53</v>
      </c>
      <c r="C2200" s="18">
        <v>4.36</v>
      </c>
      <c r="D2200" s="18" t="s">
        <v>73</v>
      </c>
      <c r="E2200" s="18" t="s">
        <v>73</v>
      </c>
      <c r="F2200" s="18" t="s">
        <v>184</v>
      </c>
      <c r="G2200" s="18">
        <v>1.0</v>
      </c>
      <c r="H2200" s="18" t="s">
        <v>73</v>
      </c>
      <c r="I2200" s="18" t="str">
        <f t="shared" si="1"/>
        <v>Obesity</v>
      </c>
    </row>
    <row r="2201" ht="15.75" customHeight="1">
      <c r="A2201" s="18" t="s">
        <v>1388</v>
      </c>
      <c r="B2201" s="18">
        <v>30.59</v>
      </c>
      <c r="C2201" s="18">
        <v>4.41</v>
      </c>
      <c r="D2201" s="18" t="s">
        <v>73</v>
      </c>
      <c r="E2201" s="18" t="s">
        <v>73</v>
      </c>
      <c r="F2201" s="18" t="s">
        <v>184</v>
      </c>
      <c r="G2201" s="18">
        <v>1.0</v>
      </c>
      <c r="H2201" s="18" t="s">
        <v>73</v>
      </c>
      <c r="I2201" s="18" t="str">
        <f t="shared" si="1"/>
        <v>Obesity</v>
      </c>
    </row>
    <row r="2202" ht="15.75" customHeight="1">
      <c r="A2202" s="18" t="s">
        <v>1384</v>
      </c>
      <c r="B2202" s="18">
        <v>30.59</v>
      </c>
      <c r="C2202" s="18">
        <v>4.17</v>
      </c>
      <c r="D2202" s="18" t="s">
        <v>73</v>
      </c>
      <c r="E2202" s="18" t="s">
        <v>73</v>
      </c>
      <c r="F2202" s="18" t="s">
        <v>184</v>
      </c>
      <c r="G2202" s="18">
        <v>1.0</v>
      </c>
      <c r="H2202" s="18" t="s">
        <v>73</v>
      </c>
      <c r="I2202" s="18" t="str">
        <f t="shared" si="1"/>
        <v>Obesity</v>
      </c>
    </row>
    <row r="2203" ht="15.75" customHeight="1">
      <c r="A2203" s="18" t="s">
        <v>1380</v>
      </c>
      <c r="B2203" s="18">
        <v>27.835</v>
      </c>
      <c r="C2203" s="18">
        <v>4.44</v>
      </c>
      <c r="D2203" s="18" t="s">
        <v>73</v>
      </c>
      <c r="E2203" s="18" t="s">
        <v>73</v>
      </c>
      <c r="F2203" s="18" t="s">
        <v>184</v>
      </c>
      <c r="G2203" s="18">
        <v>1.0</v>
      </c>
      <c r="H2203" s="18" t="s">
        <v>73</v>
      </c>
      <c r="I2203" s="18" t="str">
        <f t="shared" si="1"/>
        <v>Overweight</v>
      </c>
    </row>
    <row r="2204" ht="15.75" customHeight="1">
      <c r="A2204" s="18" t="s">
        <v>1376</v>
      </c>
      <c r="B2204" s="18">
        <v>40.26</v>
      </c>
      <c r="C2204" s="18">
        <v>5.52</v>
      </c>
      <c r="D2204" s="18" t="s">
        <v>73</v>
      </c>
      <c r="E2204" s="18" t="s">
        <v>80</v>
      </c>
      <c r="F2204" s="18" t="s">
        <v>73</v>
      </c>
      <c r="G2204" s="18">
        <v>1.0</v>
      </c>
      <c r="H2204" s="18" t="s">
        <v>73</v>
      </c>
      <c r="I2204" s="18" t="str">
        <f t="shared" si="1"/>
        <v>Obesity</v>
      </c>
    </row>
    <row r="2205" ht="15.75" customHeight="1">
      <c r="A2205" s="18" t="s">
        <v>1371</v>
      </c>
      <c r="B2205" s="18">
        <v>39.82</v>
      </c>
      <c r="C2205" s="18">
        <v>6.01</v>
      </c>
      <c r="D2205" s="18" t="s">
        <v>73</v>
      </c>
      <c r="E2205" s="18" t="s">
        <v>80</v>
      </c>
      <c r="F2205" s="18" t="s">
        <v>73</v>
      </c>
      <c r="G2205" s="18">
        <v>1.0</v>
      </c>
      <c r="H2205" s="18" t="s">
        <v>73</v>
      </c>
      <c r="I2205" s="18" t="str">
        <f t="shared" si="1"/>
        <v>Obesity</v>
      </c>
    </row>
    <row r="2206" ht="15.75" customHeight="1">
      <c r="A2206" s="18" t="s">
        <v>1369</v>
      </c>
      <c r="B2206" s="18">
        <v>39.16</v>
      </c>
      <c r="C2206" s="18">
        <v>5.81</v>
      </c>
      <c r="D2206" s="18" t="s">
        <v>73</v>
      </c>
      <c r="E2206" s="18" t="s">
        <v>80</v>
      </c>
      <c r="F2206" s="18" t="s">
        <v>73</v>
      </c>
      <c r="G2206" s="18">
        <v>1.0</v>
      </c>
      <c r="H2206" s="18" t="s">
        <v>73</v>
      </c>
      <c r="I2206" s="18" t="str">
        <f t="shared" si="1"/>
        <v>Obesity</v>
      </c>
    </row>
    <row r="2207" ht="15.75" customHeight="1">
      <c r="A2207" s="18" t="s">
        <v>1364</v>
      </c>
      <c r="B2207" s="18">
        <v>25.555</v>
      </c>
      <c r="C2207" s="18">
        <v>4.37</v>
      </c>
      <c r="D2207" s="18" t="s">
        <v>73</v>
      </c>
      <c r="E2207" s="18" t="s">
        <v>73</v>
      </c>
      <c r="F2207" s="18" t="s">
        <v>184</v>
      </c>
      <c r="G2207" s="18">
        <v>1.0</v>
      </c>
      <c r="H2207" s="18" t="s">
        <v>73</v>
      </c>
      <c r="I2207" s="18" t="str">
        <f t="shared" si="1"/>
        <v>Overweight</v>
      </c>
    </row>
    <row r="2208" ht="15.75" customHeight="1">
      <c r="A2208" s="18" t="s">
        <v>1358</v>
      </c>
      <c r="B2208" s="18">
        <v>25.175</v>
      </c>
      <c r="C2208" s="18">
        <v>5.74</v>
      </c>
      <c r="D2208" s="18" t="s">
        <v>73</v>
      </c>
      <c r="E2208" s="18" t="s">
        <v>73</v>
      </c>
      <c r="F2208" s="18" t="s">
        <v>184</v>
      </c>
      <c r="G2208" s="18">
        <v>1.0</v>
      </c>
      <c r="H2208" s="18" t="s">
        <v>73</v>
      </c>
      <c r="I2208" s="18" t="str">
        <f t="shared" si="1"/>
        <v>Overweight</v>
      </c>
    </row>
    <row r="2209" ht="15.75" customHeight="1">
      <c r="A2209" s="18" t="s">
        <v>1354</v>
      </c>
      <c r="B2209" s="18">
        <v>38.28</v>
      </c>
      <c r="C2209" s="18">
        <v>5.39</v>
      </c>
      <c r="D2209" s="18" t="s">
        <v>73</v>
      </c>
      <c r="E2209" s="18" t="s">
        <v>80</v>
      </c>
      <c r="F2209" s="18" t="s">
        <v>73</v>
      </c>
      <c r="G2209" s="18">
        <v>1.0</v>
      </c>
      <c r="H2209" s="18" t="s">
        <v>73</v>
      </c>
      <c r="I2209" s="18" t="str">
        <f t="shared" si="1"/>
        <v>Obesity</v>
      </c>
    </row>
    <row r="2210" ht="15.75" customHeight="1">
      <c r="A2210" s="18" t="s">
        <v>1350</v>
      </c>
      <c r="B2210" s="18">
        <v>38.17</v>
      </c>
      <c r="C2210" s="18">
        <v>4.07</v>
      </c>
      <c r="D2210" s="18" t="s">
        <v>73</v>
      </c>
      <c r="E2210" s="18" t="s">
        <v>80</v>
      </c>
      <c r="F2210" s="18" t="s">
        <v>73</v>
      </c>
      <c r="G2210" s="18">
        <v>1.0</v>
      </c>
      <c r="H2210" s="18" t="s">
        <v>73</v>
      </c>
      <c r="I2210" s="18" t="str">
        <f t="shared" si="1"/>
        <v>Obesity</v>
      </c>
    </row>
    <row r="2211" ht="15.75" customHeight="1">
      <c r="A2211" s="18" t="s">
        <v>1346</v>
      </c>
      <c r="B2211" s="18">
        <v>36.85</v>
      </c>
      <c r="C2211" s="18">
        <v>5.49</v>
      </c>
      <c r="D2211" s="18" t="s">
        <v>73</v>
      </c>
      <c r="E2211" s="18" t="s">
        <v>80</v>
      </c>
      <c r="F2211" s="18" t="s">
        <v>73</v>
      </c>
      <c r="G2211" s="18">
        <v>1.0</v>
      </c>
      <c r="H2211" s="18" t="s">
        <v>73</v>
      </c>
      <c r="I2211" s="18" t="str">
        <f t="shared" si="1"/>
        <v>Obesity</v>
      </c>
    </row>
    <row r="2212" ht="15.75" customHeight="1">
      <c r="A2212" s="18" t="s">
        <v>1340</v>
      </c>
      <c r="B2212" s="18">
        <v>22.61</v>
      </c>
      <c r="C2212" s="18">
        <v>5.68</v>
      </c>
      <c r="D2212" s="18" t="s">
        <v>73</v>
      </c>
      <c r="E2212" s="18" t="s">
        <v>73</v>
      </c>
      <c r="F2212" s="18" t="s">
        <v>184</v>
      </c>
      <c r="G2212" s="18">
        <v>1.0</v>
      </c>
      <c r="H2212" s="18" t="s">
        <v>73</v>
      </c>
      <c r="I2212" s="18" t="str">
        <f t="shared" si="1"/>
        <v>Normal Weight</v>
      </c>
    </row>
    <row r="2213" ht="15.75" customHeight="1">
      <c r="A2213" s="18" t="s">
        <v>1336</v>
      </c>
      <c r="B2213" s="18">
        <v>21.755</v>
      </c>
      <c r="C2213" s="18">
        <v>6.09</v>
      </c>
      <c r="D2213" s="18" t="s">
        <v>73</v>
      </c>
      <c r="E2213" s="18" t="s">
        <v>73</v>
      </c>
      <c r="F2213" s="18" t="s">
        <v>184</v>
      </c>
      <c r="G2213" s="18">
        <v>1.0</v>
      </c>
      <c r="H2213" s="18" t="s">
        <v>73</v>
      </c>
      <c r="I2213" s="18" t="str">
        <f t="shared" si="1"/>
        <v>Normal Weight</v>
      </c>
    </row>
    <row r="2214" ht="15.75" customHeight="1">
      <c r="A2214" s="18" t="s">
        <v>1331</v>
      </c>
      <c r="B2214" s="18">
        <v>20.425</v>
      </c>
      <c r="C2214" s="18">
        <v>5.53</v>
      </c>
      <c r="D2214" s="18" t="s">
        <v>73</v>
      </c>
      <c r="E2214" s="18" t="s">
        <v>73</v>
      </c>
      <c r="F2214" s="18" t="s">
        <v>184</v>
      </c>
      <c r="G2214" s="18">
        <v>1.0</v>
      </c>
      <c r="H2214" s="18" t="s">
        <v>73</v>
      </c>
      <c r="I2214" s="18" t="str">
        <f t="shared" si="1"/>
        <v>Normal Weight</v>
      </c>
    </row>
    <row r="2215" ht="15.75" customHeight="1">
      <c r="A2215" s="18" t="s">
        <v>1324</v>
      </c>
      <c r="B2215" s="18">
        <v>31.35</v>
      </c>
      <c r="C2215" s="18">
        <v>4.28</v>
      </c>
      <c r="D2215" s="18" t="s">
        <v>73</v>
      </c>
      <c r="E2215" s="18" t="s">
        <v>80</v>
      </c>
      <c r="F2215" s="18" t="s">
        <v>73</v>
      </c>
      <c r="G2215" s="18">
        <v>1.0</v>
      </c>
      <c r="H2215" s="18" t="s">
        <v>73</v>
      </c>
      <c r="I2215" s="18" t="str">
        <f t="shared" si="1"/>
        <v>Obesity</v>
      </c>
    </row>
    <row r="2216" ht="15.75" customHeight="1">
      <c r="A2216" s="18" t="s">
        <v>1316</v>
      </c>
      <c r="B2216" s="18">
        <v>31.13</v>
      </c>
      <c r="C2216" s="18">
        <v>6.01</v>
      </c>
      <c r="D2216" s="18" t="s">
        <v>73</v>
      </c>
      <c r="E2216" s="18" t="s">
        <v>80</v>
      </c>
      <c r="F2216" s="18" t="s">
        <v>73</v>
      </c>
      <c r="G2216" s="18">
        <v>1.0</v>
      </c>
      <c r="H2216" s="18" t="s">
        <v>73</v>
      </c>
      <c r="I2216" s="18" t="str">
        <f t="shared" si="1"/>
        <v>Obesity</v>
      </c>
    </row>
    <row r="2217" ht="15.75" customHeight="1">
      <c r="A2217" s="18" t="s">
        <v>1309</v>
      </c>
      <c r="B2217" s="18">
        <v>17.48</v>
      </c>
      <c r="C2217" s="18">
        <v>4.59</v>
      </c>
      <c r="D2217" s="18" t="s">
        <v>73</v>
      </c>
      <c r="E2217" s="18" t="s">
        <v>73</v>
      </c>
      <c r="F2217" s="18" t="s">
        <v>184</v>
      </c>
      <c r="G2217" s="18">
        <v>1.0</v>
      </c>
      <c r="H2217" s="18" t="s">
        <v>73</v>
      </c>
      <c r="I2217" s="18" t="str">
        <f t="shared" si="1"/>
        <v>Underweight</v>
      </c>
    </row>
    <row r="2218" ht="15.75" customHeight="1">
      <c r="A2218" s="18" t="s">
        <v>1304</v>
      </c>
      <c r="B2218" s="18">
        <v>22.57</v>
      </c>
      <c r="C2218" s="18">
        <v>5.8</v>
      </c>
      <c r="D2218" s="18" t="s">
        <v>80</v>
      </c>
      <c r="E2218" s="18" t="s">
        <v>73</v>
      </c>
      <c r="F2218" s="18" t="s">
        <v>73</v>
      </c>
      <c r="G2218" s="18">
        <v>1.0</v>
      </c>
      <c r="H2218" s="18" t="s">
        <v>73</v>
      </c>
      <c r="I2218" s="18" t="str">
        <f t="shared" si="1"/>
        <v>Normal Weight</v>
      </c>
    </row>
    <row r="2219" ht="15.75" customHeight="1">
      <c r="A2219" s="18" t="s">
        <v>1298</v>
      </c>
      <c r="B2219" s="18">
        <v>26.73</v>
      </c>
      <c r="C2219" s="18">
        <v>5.08</v>
      </c>
      <c r="D2219" s="18" t="s">
        <v>73</v>
      </c>
      <c r="E2219" s="18" t="s">
        <v>80</v>
      </c>
      <c r="F2219" s="18" t="s">
        <v>73</v>
      </c>
      <c r="G2219" s="18">
        <v>1.0</v>
      </c>
      <c r="H2219" s="18" t="s">
        <v>73</v>
      </c>
      <c r="I2219" s="18" t="str">
        <f t="shared" si="1"/>
        <v>Overweight</v>
      </c>
    </row>
    <row r="2220" ht="15.75" customHeight="1">
      <c r="A2220" s="18" t="s">
        <v>1292</v>
      </c>
      <c r="B2220" s="18">
        <v>20.79</v>
      </c>
      <c r="C2220" s="18">
        <v>5.84</v>
      </c>
      <c r="D2220" s="18" t="s">
        <v>73</v>
      </c>
      <c r="E2220" s="18" t="s">
        <v>80</v>
      </c>
      <c r="F2220" s="18" t="s">
        <v>73</v>
      </c>
      <c r="G2220" s="18">
        <v>1.0</v>
      </c>
      <c r="H2220" s="18" t="s">
        <v>73</v>
      </c>
      <c r="I2220" s="18" t="str">
        <f t="shared" si="1"/>
        <v>Normal Weight</v>
      </c>
    </row>
    <row r="2221" ht="15.75" customHeight="1">
      <c r="A2221" s="18" t="s">
        <v>1287</v>
      </c>
      <c r="B2221" s="18">
        <v>20.15</v>
      </c>
      <c r="C2221" s="18">
        <v>4.15</v>
      </c>
      <c r="D2221" s="18" t="s">
        <v>73</v>
      </c>
      <c r="E2221" s="18" t="s">
        <v>73</v>
      </c>
      <c r="F2221" s="18" t="s">
        <v>73</v>
      </c>
      <c r="G2221" s="18">
        <v>1.0</v>
      </c>
      <c r="H2221" s="18" t="s">
        <v>73</v>
      </c>
      <c r="I2221" s="18" t="str">
        <f t="shared" si="1"/>
        <v>Normal Weight</v>
      </c>
    </row>
    <row r="2222" ht="15.75" customHeight="1">
      <c r="A2222" s="18" t="s">
        <v>1282</v>
      </c>
      <c r="B2222" s="18">
        <v>36.85</v>
      </c>
      <c r="C2222" s="18">
        <v>4.36</v>
      </c>
      <c r="D2222" s="18" t="s">
        <v>80</v>
      </c>
      <c r="E2222" s="18" t="s">
        <v>73</v>
      </c>
      <c r="F2222" s="18" t="s">
        <v>73</v>
      </c>
      <c r="G2222" s="20">
        <v>0.0</v>
      </c>
      <c r="H2222" s="18" t="s">
        <v>73</v>
      </c>
      <c r="I2222" s="18" t="str">
        <f t="shared" si="1"/>
        <v>Obesity</v>
      </c>
    </row>
    <row r="2223" ht="15.75" customHeight="1">
      <c r="A2223" s="18" t="s">
        <v>1276</v>
      </c>
      <c r="B2223" s="18">
        <v>35.53</v>
      </c>
      <c r="C2223" s="18">
        <v>4.55</v>
      </c>
      <c r="D2223" s="18" t="s">
        <v>80</v>
      </c>
      <c r="E2223" s="18" t="s">
        <v>73</v>
      </c>
      <c r="F2223" s="18" t="s">
        <v>73</v>
      </c>
      <c r="G2223" s="20">
        <v>0.0</v>
      </c>
      <c r="H2223" s="18" t="s">
        <v>73</v>
      </c>
      <c r="I2223" s="18" t="str">
        <f t="shared" si="1"/>
        <v>Obesity</v>
      </c>
    </row>
    <row r="2224" ht="15.75" customHeight="1">
      <c r="A2224" s="18" t="s">
        <v>1271</v>
      </c>
      <c r="B2224" s="18">
        <v>31.1</v>
      </c>
      <c r="C2224" s="18">
        <v>4.37</v>
      </c>
      <c r="D2224" s="18" t="s">
        <v>80</v>
      </c>
      <c r="E2224" s="18" t="s">
        <v>73</v>
      </c>
      <c r="F2224" s="18" t="s">
        <v>73</v>
      </c>
      <c r="G2224" s="20">
        <v>0.0</v>
      </c>
      <c r="H2224" s="18" t="s">
        <v>73</v>
      </c>
      <c r="I2224" s="18" t="str">
        <f t="shared" si="1"/>
        <v>Obesity</v>
      </c>
    </row>
    <row r="2225" ht="15.75" customHeight="1">
      <c r="A2225" s="18" t="s">
        <v>1266</v>
      </c>
      <c r="B2225" s="18">
        <v>23.21</v>
      </c>
      <c r="C2225" s="18">
        <v>5.24</v>
      </c>
      <c r="D2225" s="18" t="s">
        <v>80</v>
      </c>
      <c r="E2225" s="18" t="s">
        <v>73</v>
      </c>
      <c r="F2225" s="18" t="s">
        <v>73</v>
      </c>
      <c r="G2225" s="20">
        <v>0.0</v>
      </c>
      <c r="H2225" s="18" t="s">
        <v>73</v>
      </c>
      <c r="I2225" s="18" t="str">
        <f t="shared" si="1"/>
        <v>Normal Weight</v>
      </c>
    </row>
    <row r="2226" ht="15.75" customHeight="1">
      <c r="A2226" s="18" t="s">
        <v>1261</v>
      </c>
      <c r="B2226" s="18">
        <v>18.36</v>
      </c>
      <c r="C2226" s="18">
        <v>5.96</v>
      </c>
      <c r="D2226" s="18" t="s">
        <v>73</v>
      </c>
      <c r="E2226" s="18" t="s">
        <v>73</v>
      </c>
      <c r="F2226" s="18" t="s">
        <v>73</v>
      </c>
      <c r="G2226" s="18">
        <v>1.0</v>
      </c>
      <c r="H2226" s="18" t="s">
        <v>73</v>
      </c>
      <c r="I2226" s="18" t="str">
        <f t="shared" si="1"/>
        <v>Underweight</v>
      </c>
    </row>
    <row r="2227" ht="15.75" customHeight="1">
      <c r="A2227" s="18" t="s">
        <v>1259</v>
      </c>
      <c r="B2227" s="18">
        <v>15.92</v>
      </c>
      <c r="C2227" s="18">
        <v>4.76</v>
      </c>
      <c r="D2227" s="18" t="s">
        <v>80</v>
      </c>
      <c r="E2227" s="18" t="s">
        <v>73</v>
      </c>
      <c r="F2227" s="18" t="s">
        <v>73</v>
      </c>
      <c r="G2227" s="18">
        <v>1.0</v>
      </c>
      <c r="H2227" s="18" t="s">
        <v>73</v>
      </c>
      <c r="I2227" s="18" t="str">
        <f t="shared" si="1"/>
        <v>Underweight</v>
      </c>
    </row>
    <row r="2228" ht="15.75" customHeight="1">
      <c r="A2228" s="18" t="s">
        <v>1255</v>
      </c>
      <c r="B2228" s="18">
        <v>15.17</v>
      </c>
      <c r="C2228" s="18">
        <v>4.3</v>
      </c>
      <c r="D2228" s="18" t="s">
        <v>80</v>
      </c>
      <c r="E2228" s="18" t="s">
        <v>73</v>
      </c>
      <c r="F2228" s="18" t="s">
        <v>184</v>
      </c>
      <c r="G2228" s="18">
        <v>1.0</v>
      </c>
      <c r="H2228" s="18" t="s">
        <v>73</v>
      </c>
      <c r="I2228" s="18" t="str">
        <f t="shared" si="1"/>
        <v>Underweight</v>
      </c>
    </row>
    <row r="2229" ht="15.75" customHeight="1">
      <c r="A2229" s="18" t="s">
        <v>1250</v>
      </c>
      <c r="B2229" s="18">
        <v>16.63</v>
      </c>
      <c r="C2229" s="18">
        <v>4.5</v>
      </c>
      <c r="D2229" s="18" t="s">
        <v>73</v>
      </c>
      <c r="E2229" s="18" t="s">
        <v>73</v>
      </c>
      <c r="F2229" s="18" t="s">
        <v>73</v>
      </c>
      <c r="G2229" s="18">
        <v>1.0</v>
      </c>
      <c r="H2229" s="18" t="s">
        <v>73</v>
      </c>
      <c r="I2229" s="18" t="str">
        <f t="shared" si="1"/>
        <v>Underweight</v>
      </c>
    </row>
    <row r="2230" ht="15.75" customHeight="1">
      <c r="A2230" s="18" t="s">
        <v>1246</v>
      </c>
      <c r="B2230" s="18">
        <v>19.39</v>
      </c>
      <c r="C2230" s="18">
        <v>5.59</v>
      </c>
      <c r="D2230" s="18" t="s">
        <v>73</v>
      </c>
      <c r="E2230" s="18" t="s">
        <v>73</v>
      </c>
      <c r="F2230" s="18" t="s">
        <v>184</v>
      </c>
      <c r="G2230" s="18">
        <v>1.0</v>
      </c>
      <c r="H2230" s="18" t="s">
        <v>73</v>
      </c>
      <c r="I2230" s="18" t="str">
        <f t="shared" si="1"/>
        <v>Normal Weight</v>
      </c>
    </row>
    <row r="2231" ht="15.75" customHeight="1">
      <c r="A2231" s="18" t="s">
        <v>1241</v>
      </c>
      <c r="B2231" s="18">
        <v>17.34</v>
      </c>
      <c r="C2231" s="18">
        <v>6.29</v>
      </c>
      <c r="D2231" s="18" t="s">
        <v>80</v>
      </c>
      <c r="E2231" s="18" t="s">
        <v>73</v>
      </c>
      <c r="F2231" s="18" t="s">
        <v>184</v>
      </c>
      <c r="G2231" s="18">
        <v>1.0</v>
      </c>
      <c r="H2231" s="18" t="s">
        <v>73</v>
      </c>
      <c r="I2231" s="18" t="str">
        <f t="shared" si="1"/>
        <v>Underweight</v>
      </c>
    </row>
    <row r="2232" ht="15.75" customHeight="1">
      <c r="A2232" s="18" t="s">
        <v>1237</v>
      </c>
      <c r="B2232" s="18">
        <v>17.94</v>
      </c>
      <c r="C2232" s="18">
        <v>4.19</v>
      </c>
      <c r="D2232" s="18" t="s">
        <v>73</v>
      </c>
      <c r="E2232" s="18" t="s">
        <v>80</v>
      </c>
      <c r="F2232" s="18" t="s">
        <v>73</v>
      </c>
      <c r="G2232" s="18">
        <v>1.0</v>
      </c>
      <c r="H2232" s="18" t="s">
        <v>73</v>
      </c>
      <c r="I2232" s="18" t="str">
        <f t="shared" si="1"/>
        <v>Underweight</v>
      </c>
    </row>
    <row r="2233" ht="15.75" customHeight="1">
      <c r="A2233" s="18" t="s">
        <v>1234</v>
      </c>
      <c r="B2233" s="18">
        <v>16.67</v>
      </c>
      <c r="C2233" s="18">
        <v>4.7</v>
      </c>
      <c r="D2233" s="18" t="s">
        <v>80</v>
      </c>
      <c r="E2233" s="18" t="s">
        <v>73</v>
      </c>
      <c r="F2233" s="18" t="s">
        <v>184</v>
      </c>
      <c r="G2233" s="18">
        <v>1.0</v>
      </c>
      <c r="H2233" s="18" t="s">
        <v>73</v>
      </c>
      <c r="I2233" s="18" t="str">
        <f t="shared" si="1"/>
        <v>Underweight</v>
      </c>
    </row>
    <row r="2234" ht="15.75" customHeight="1">
      <c r="A2234" s="18" t="s">
        <v>1230</v>
      </c>
      <c r="B2234" s="18">
        <v>20.58</v>
      </c>
      <c r="C2234" s="18">
        <v>5.64</v>
      </c>
      <c r="D2234" s="18" t="s">
        <v>80</v>
      </c>
      <c r="E2234" s="18" t="s">
        <v>73</v>
      </c>
      <c r="F2234" s="18" t="s">
        <v>73</v>
      </c>
      <c r="G2234" s="20">
        <v>0.0</v>
      </c>
      <c r="H2234" s="18" t="s">
        <v>73</v>
      </c>
      <c r="I2234" s="18" t="str">
        <f t="shared" si="1"/>
        <v>Normal Weight</v>
      </c>
    </row>
    <row r="2235" ht="15.75" customHeight="1">
      <c r="A2235" s="18" t="s">
        <v>1222</v>
      </c>
      <c r="B2235" s="18">
        <v>16.5</v>
      </c>
      <c r="C2235" s="18">
        <v>4.11</v>
      </c>
      <c r="D2235" s="18" t="s">
        <v>80</v>
      </c>
      <c r="E2235" s="18" t="s">
        <v>73</v>
      </c>
      <c r="F2235" s="18" t="s">
        <v>73</v>
      </c>
      <c r="G2235" s="20">
        <v>0.0</v>
      </c>
      <c r="H2235" s="18" t="s">
        <v>73</v>
      </c>
      <c r="I2235" s="18" t="str">
        <f t="shared" si="1"/>
        <v>Underweight</v>
      </c>
    </row>
    <row r="2236" ht="15.75" customHeight="1">
      <c r="A2236" s="18" t="s">
        <v>1219</v>
      </c>
      <c r="B2236" s="18">
        <v>15.41</v>
      </c>
      <c r="C2236" s="18">
        <v>5.43</v>
      </c>
      <c r="D2236" s="18" t="s">
        <v>80</v>
      </c>
      <c r="E2236" s="18" t="s">
        <v>73</v>
      </c>
      <c r="F2236" s="18" t="s">
        <v>184</v>
      </c>
      <c r="G2236" s="18">
        <v>1.0</v>
      </c>
      <c r="H2236" s="18" t="s">
        <v>73</v>
      </c>
      <c r="I2236" s="18" t="str">
        <f t="shared" si="1"/>
        <v>Underweight</v>
      </c>
    </row>
    <row r="2237" ht="15.75" customHeight="1">
      <c r="A2237" s="18" t="s">
        <v>1215</v>
      </c>
      <c r="B2237" s="18">
        <v>24.59</v>
      </c>
      <c r="C2237" s="18">
        <v>4.38</v>
      </c>
      <c r="D2237" s="18" t="s">
        <v>73</v>
      </c>
      <c r="E2237" s="18" t="s">
        <v>73</v>
      </c>
      <c r="F2237" s="18" t="s">
        <v>73</v>
      </c>
      <c r="G2237" s="18">
        <v>1.0</v>
      </c>
      <c r="H2237" s="18" t="s">
        <v>73</v>
      </c>
      <c r="I2237" s="18" t="str">
        <f t="shared" si="1"/>
        <v>Normal Weight</v>
      </c>
    </row>
    <row r="2238" ht="15.75" customHeight="1">
      <c r="A2238" s="18" t="s">
        <v>1208</v>
      </c>
      <c r="B2238" s="18">
        <v>33.33</v>
      </c>
      <c r="C2238" s="18">
        <v>9.79</v>
      </c>
      <c r="D2238" s="18" t="s">
        <v>73</v>
      </c>
      <c r="E2238" s="18" t="s">
        <v>73</v>
      </c>
      <c r="F2238" s="18" t="s">
        <v>73</v>
      </c>
      <c r="G2238" s="20">
        <v>0.0</v>
      </c>
      <c r="H2238" s="18" t="s">
        <v>73</v>
      </c>
      <c r="I2238" s="18" t="str">
        <f t="shared" si="1"/>
        <v>Obesity</v>
      </c>
    </row>
    <row r="2239" ht="15.75" customHeight="1">
      <c r="A2239" s="18" t="s">
        <v>1205</v>
      </c>
      <c r="B2239" s="18">
        <v>18.5</v>
      </c>
      <c r="C2239" s="18">
        <v>11.84</v>
      </c>
      <c r="D2239" s="18" t="s">
        <v>73</v>
      </c>
      <c r="E2239" s="18" t="s">
        <v>73</v>
      </c>
      <c r="F2239" s="18" t="s">
        <v>73</v>
      </c>
      <c r="G2239" s="20">
        <v>0.0</v>
      </c>
      <c r="H2239" s="18" t="s">
        <v>73</v>
      </c>
      <c r="I2239" s="18" t="str">
        <f t="shared" si="1"/>
        <v>Normal Weight</v>
      </c>
    </row>
    <row r="2240" ht="15.75" customHeight="1">
      <c r="A2240" s="18" t="s">
        <v>1200</v>
      </c>
      <c r="B2240" s="18">
        <v>18.58</v>
      </c>
      <c r="C2240" s="18">
        <v>6.22</v>
      </c>
      <c r="D2240" s="18" t="s">
        <v>73</v>
      </c>
      <c r="E2240" s="18" t="s">
        <v>73</v>
      </c>
      <c r="F2240" s="18" t="s">
        <v>73</v>
      </c>
      <c r="G2240" s="20">
        <v>0.0</v>
      </c>
      <c r="H2240" s="18" t="s">
        <v>73</v>
      </c>
      <c r="I2240" s="18" t="str">
        <f t="shared" si="1"/>
        <v>Normal Weight</v>
      </c>
    </row>
    <row r="2241" ht="15.75" customHeight="1">
      <c r="A2241" s="18" t="s">
        <v>1195</v>
      </c>
      <c r="B2241" s="18">
        <v>16.64</v>
      </c>
      <c r="C2241" s="18">
        <v>10.01</v>
      </c>
      <c r="D2241" s="18" t="s">
        <v>73</v>
      </c>
      <c r="E2241" s="18" t="s">
        <v>73</v>
      </c>
      <c r="F2241" s="18" t="s">
        <v>73</v>
      </c>
      <c r="G2241" s="20">
        <v>0.0</v>
      </c>
      <c r="H2241" s="18" t="s">
        <v>73</v>
      </c>
      <c r="I2241" s="18" t="str">
        <f t="shared" si="1"/>
        <v>Underweight</v>
      </c>
    </row>
    <row r="2242" ht="15.75" customHeight="1">
      <c r="A2242" s="18" t="s">
        <v>1191</v>
      </c>
      <c r="B2242" s="18">
        <v>19.33</v>
      </c>
      <c r="C2242" s="18">
        <v>4.32</v>
      </c>
      <c r="D2242" s="18" t="s">
        <v>73</v>
      </c>
      <c r="E2242" s="18" t="s">
        <v>73</v>
      </c>
      <c r="F2242" s="18" t="s">
        <v>73</v>
      </c>
      <c r="G2242" s="18">
        <v>1.0</v>
      </c>
      <c r="H2242" s="18" t="s">
        <v>73</v>
      </c>
      <c r="I2242" s="18" t="str">
        <f t="shared" si="1"/>
        <v>Normal Weight</v>
      </c>
    </row>
    <row r="2243" ht="15.75" customHeight="1">
      <c r="A2243" s="18" t="s">
        <v>1185</v>
      </c>
      <c r="B2243" s="18">
        <v>21.26</v>
      </c>
      <c r="C2243" s="18">
        <v>5.65</v>
      </c>
      <c r="D2243" s="18" t="s">
        <v>80</v>
      </c>
      <c r="E2243" s="18" t="s">
        <v>73</v>
      </c>
      <c r="F2243" s="18" t="s">
        <v>184</v>
      </c>
      <c r="G2243" s="18">
        <v>1.0</v>
      </c>
      <c r="H2243" s="18" t="s">
        <v>73</v>
      </c>
      <c r="I2243" s="18" t="str">
        <f t="shared" si="1"/>
        <v>Normal Weight</v>
      </c>
    </row>
    <row r="2244" ht="15.75" customHeight="1">
      <c r="A2244" s="18" t="s">
        <v>1180</v>
      </c>
      <c r="B2244" s="18">
        <v>15.6</v>
      </c>
      <c r="C2244" s="18">
        <v>4.12</v>
      </c>
      <c r="D2244" s="18" t="s">
        <v>80</v>
      </c>
      <c r="E2244" s="18" t="s">
        <v>73</v>
      </c>
      <c r="F2244" s="18" t="s">
        <v>73</v>
      </c>
      <c r="G2244" s="18">
        <v>1.0</v>
      </c>
      <c r="H2244" s="18" t="s">
        <v>73</v>
      </c>
      <c r="I2244" s="18" t="str">
        <f t="shared" si="1"/>
        <v>Underweight</v>
      </c>
    </row>
    <row r="2245" ht="15.75" customHeight="1">
      <c r="A2245" s="18" t="s">
        <v>1174</v>
      </c>
      <c r="B2245" s="18">
        <v>24.39</v>
      </c>
      <c r="C2245" s="18">
        <v>6.24</v>
      </c>
      <c r="D2245" s="18" t="s">
        <v>73</v>
      </c>
      <c r="E2245" s="18" t="s">
        <v>73</v>
      </c>
      <c r="F2245" s="18" t="s">
        <v>73</v>
      </c>
      <c r="G2245" s="18">
        <v>1.0</v>
      </c>
      <c r="H2245" s="18" t="s">
        <v>73</v>
      </c>
      <c r="I2245" s="18" t="str">
        <f t="shared" si="1"/>
        <v>Normal Weight</v>
      </c>
    </row>
    <row r="2246" ht="15.75" customHeight="1">
      <c r="A2246" s="18" t="s">
        <v>1171</v>
      </c>
      <c r="B2246" s="18">
        <v>24.75</v>
      </c>
      <c r="C2246" s="18">
        <v>4.83</v>
      </c>
      <c r="D2246" s="18" t="s">
        <v>73</v>
      </c>
      <c r="E2246" s="18" t="s">
        <v>73</v>
      </c>
      <c r="F2246" s="18" t="s">
        <v>73</v>
      </c>
      <c r="G2246" s="20">
        <v>0.0</v>
      </c>
      <c r="H2246" s="18" t="s">
        <v>73</v>
      </c>
      <c r="I2246" s="18" t="str">
        <f t="shared" si="1"/>
        <v>Normal Weight</v>
      </c>
    </row>
    <row r="2247" ht="15.75" customHeight="1">
      <c r="A2247" s="18" t="s">
        <v>1165</v>
      </c>
      <c r="B2247" s="18">
        <v>20.88</v>
      </c>
      <c r="C2247" s="18">
        <v>7.4</v>
      </c>
      <c r="D2247" s="18" t="s">
        <v>73</v>
      </c>
      <c r="E2247" s="18" t="s">
        <v>73</v>
      </c>
      <c r="F2247" s="18" t="s">
        <v>73</v>
      </c>
      <c r="G2247" s="20">
        <v>0.0</v>
      </c>
      <c r="H2247" s="18" t="s">
        <v>73</v>
      </c>
      <c r="I2247" s="18" t="str">
        <f t="shared" si="1"/>
        <v>Normal Weight</v>
      </c>
    </row>
    <row r="2248" ht="15.75" customHeight="1">
      <c r="A2248" s="18" t="s">
        <v>1159</v>
      </c>
      <c r="B2248" s="18">
        <v>20.43</v>
      </c>
      <c r="C2248" s="18">
        <v>4.54</v>
      </c>
      <c r="D2248" s="18" t="s">
        <v>73</v>
      </c>
      <c r="E2248" s="18" t="s">
        <v>73</v>
      </c>
      <c r="F2248" s="18" t="s">
        <v>73</v>
      </c>
      <c r="G2248" s="20">
        <v>0.0</v>
      </c>
      <c r="H2248" s="18" t="s">
        <v>73</v>
      </c>
      <c r="I2248" s="18" t="str">
        <f t="shared" si="1"/>
        <v>Normal Weight</v>
      </c>
    </row>
    <row r="2249" ht="15.75" customHeight="1">
      <c r="A2249" s="18" t="s">
        <v>1154</v>
      </c>
      <c r="B2249" s="18">
        <v>15.18</v>
      </c>
      <c r="C2249" s="18">
        <v>11.11</v>
      </c>
      <c r="D2249" s="18" t="s">
        <v>73</v>
      </c>
      <c r="E2249" s="18" t="s">
        <v>73</v>
      </c>
      <c r="F2249" s="18" t="s">
        <v>73</v>
      </c>
      <c r="G2249" s="20">
        <v>0.0</v>
      </c>
      <c r="H2249" s="18" t="s">
        <v>73</v>
      </c>
      <c r="I2249" s="18" t="str">
        <f t="shared" si="1"/>
        <v>Underweight</v>
      </c>
    </row>
    <row r="2250" ht="15.75" customHeight="1">
      <c r="A2250" s="18" t="s">
        <v>1147</v>
      </c>
      <c r="B2250" s="18">
        <v>15.12</v>
      </c>
      <c r="C2250" s="18">
        <v>4.03</v>
      </c>
      <c r="D2250" s="18" t="s">
        <v>80</v>
      </c>
      <c r="E2250" s="18" t="s">
        <v>73</v>
      </c>
      <c r="F2250" s="18" t="s">
        <v>73</v>
      </c>
      <c r="G2250" s="20">
        <v>0.0</v>
      </c>
      <c r="H2250" s="18" t="s">
        <v>73</v>
      </c>
      <c r="I2250" s="18" t="str">
        <f t="shared" si="1"/>
        <v>Underweight</v>
      </c>
    </row>
    <row r="2251" ht="15.75" customHeight="1">
      <c r="A2251" s="18" t="s">
        <v>1142</v>
      </c>
      <c r="B2251" s="18">
        <v>23.88</v>
      </c>
      <c r="C2251" s="18">
        <v>4.51</v>
      </c>
      <c r="D2251" s="18" t="s">
        <v>73</v>
      </c>
      <c r="E2251" s="18" t="s">
        <v>73</v>
      </c>
      <c r="F2251" s="18" t="s">
        <v>73</v>
      </c>
      <c r="G2251" s="18">
        <v>1.0</v>
      </c>
      <c r="H2251" s="18" t="s">
        <v>73</v>
      </c>
      <c r="I2251" s="18" t="str">
        <f t="shared" si="1"/>
        <v>Normal Weight</v>
      </c>
    </row>
    <row r="2252" ht="15.75" customHeight="1">
      <c r="A2252" s="18" t="s">
        <v>1136</v>
      </c>
      <c r="B2252" s="18">
        <v>16.13</v>
      </c>
      <c r="C2252" s="18">
        <v>5.56</v>
      </c>
      <c r="D2252" s="18" t="s">
        <v>73</v>
      </c>
      <c r="E2252" s="18" t="s">
        <v>80</v>
      </c>
      <c r="F2252" s="18" t="s">
        <v>73</v>
      </c>
      <c r="G2252" s="18">
        <v>1.0</v>
      </c>
      <c r="H2252" s="18" t="s">
        <v>73</v>
      </c>
      <c r="I2252" s="18" t="str">
        <f t="shared" si="1"/>
        <v>Underweight</v>
      </c>
    </row>
    <row r="2253" ht="15.75" customHeight="1">
      <c r="A2253" s="18" t="s">
        <v>1131</v>
      </c>
      <c r="B2253" s="18">
        <v>24.09</v>
      </c>
      <c r="C2253" s="18">
        <v>4.1</v>
      </c>
      <c r="D2253" s="18" t="s">
        <v>73</v>
      </c>
      <c r="E2253" s="18" t="s">
        <v>80</v>
      </c>
      <c r="F2253" s="18" t="s">
        <v>73</v>
      </c>
      <c r="G2253" s="18">
        <v>1.0</v>
      </c>
      <c r="H2253" s="18" t="s">
        <v>73</v>
      </c>
      <c r="I2253" s="18" t="str">
        <f t="shared" si="1"/>
        <v>Normal Weight</v>
      </c>
    </row>
    <row r="2254" ht="15.75" customHeight="1">
      <c r="A2254" s="18" t="s">
        <v>1128</v>
      </c>
      <c r="B2254" s="18">
        <v>19.43</v>
      </c>
      <c r="C2254" s="18">
        <v>5.85</v>
      </c>
      <c r="D2254" s="18" t="s">
        <v>73</v>
      </c>
      <c r="E2254" s="18" t="s">
        <v>80</v>
      </c>
      <c r="F2254" s="18" t="s">
        <v>73</v>
      </c>
      <c r="G2254" s="18">
        <v>1.0</v>
      </c>
      <c r="H2254" s="18" t="s">
        <v>73</v>
      </c>
      <c r="I2254" s="18" t="str">
        <f t="shared" si="1"/>
        <v>Normal Weight</v>
      </c>
    </row>
    <row r="2255" ht="15.75" customHeight="1">
      <c r="A2255" s="18" t="s">
        <v>1123</v>
      </c>
      <c r="B2255" s="18">
        <v>15.22</v>
      </c>
      <c r="C2255" s="18">
        <v>4.92</v>
      </c>
      <c r="D2255" s="18" t="s">
        <v>80</v>
      </c>
      <c r="E2255" s="18" t="s">
        <v>73</v>
      </c>
      <c r="F2255" s="18" t="s">
        <v>184</v>
      </c>
      <c r="G2255" s="18">
        <v>1.0</v>
      </c>
      <c r="H2255" s="18" t="s">
        <v>73</v>
      </c>
      <c r="I2255" s="18" t="str">
        <f t="shared" si="1"/>
        <v>Underweight</v>
      </c>
    </row>
    <row r="2256" ht="15.75" customHeight="1">
      <c r="A2256" s="18" t="s">
        <v>1117</v>
      </c>
      <c r="B2256" s="18">
        <v>20.72</v>
      </c>
      <c r="C2256" s="18">
        <v>9.46</v>
      </c>
      <c r="D2256" s="18" t="s">
        <v>73</v>
      </c>
      <c r="E2256" s="18" t="s">
        <v>73</v>
      </c>
      <c r="F2256" s="18" t="s">
        <v>73</v>
      </c>
      <c r="G2256" s="20">
        <v>0.0</v>
      </c>
      <c r="H2256" s="18" t="s">
        <v>73</v>
      </c>
      <c r="I2256" s="18" t="str">
        <f t="shared" si="1"/>
        <v>Normal Weight</v>
      </c>
    </row>
    <row r="2257" ht="15.75" customHeight="1">
      <c r="A2257" s="18" t="s">
        <v>1112</v>
      </c>
      <c r="B2257" s="18">
        <v>35.4</v>
      </c>
      <c r="C2257" s="18">
        <v>5.94</v>
      </c>
      <c r="D2257" s="18" t="s">
        <v>73</v>
      </c>
      <c r="E2257" s="18" t="s">
        <v>73</v>
      </c>
      <c r="F2257" s="18" t="s">
        <v>184</v>
      </c>
      <c r="G2257" s="18">
        <v>1.0</v>
      </c>
      <c r="H2257" s="18" t="s">
        <v>73</v>
      </c>
      <c r="I2257" s="18" t="str">
        <f t="shared" si="1"/>
        <v>Obesity</v>
      </c>
    </row>
    <row r="2258" ht="15.75" customHeight="1">
      <c r="A2258" s="18" t="s">
        <v>1106</v>
      </c>
      <c r="B2258" s="18">
        <v>34.4</v>
      </c>
      <c r="C2258" s="18">
        <v>5.7</v>
      </c>
      <c r="D2258" s="18" t="s">
        <v>73</v>
      </c>
      <c r="E2258" s="18" t="s">
        <v>73</v>
      </c>
      <c r="F2258" s="18" t="s">
        <v>184</v>
      </c>
      <c r="G2258" s="18">
        <v>1.0</v>
      </c>
      <c r="H2258" s="18" t="s">
        <v>73</v>
      </c>
      <c r="I2258" s="18" t="str">
        <f t="shared" si="1"/>
        <v>Obesity</v>
      </c>
    </row>
    <row r="2259" ht="15.75" customHeight="1">
      <c r="A2259" s="18" t="s">
        <v>1099</v>
      </c>
      <c r="B2259" s="18">
        <v>34.1</v>
      </c>
      <c r="C2259" s="18">
        <v>4.13</v>
      </c>
      <c r="D2259" s="18" t="s">
        <v>73</v>
      </c>
      <c r="E2259" s="18" t="s">
        <v>73</v>
      </c>
      <c r="F2259" s="18" t="s">
        <v>184</v>
      </c>
      <c r="G2259" s="18">
        <v>1.0</v>
      </c>
      <c r="H2259" s="18" t="s">
        <v>73</v>
      </c>
      <c r="I2259" s="18" t="str">
        <f t="shared" si="1"/>
        <v>Obesity</v>
      </c>
    </row>
    <row r="2260" ht="15.75" customHeight="1">
      <c r="A2260" s="18" t="s">
        <v>1094</v>
      </c>
      <c r="B2260" s="18">
        <v>30.4</v>
      </c>
      <c r="C2260" s="18">
        <v>4.77</v>
      </c>
      <c r="D2260" s="18" t="s">
        <v>73</v>
      </c>
      <c r="E2260" s="18" t="s">
        <v>73</v>
      </c>
      <c r="F2260" s="18" t="s">
        <v>184</v>
      </c>
      <c r="G2260" s="18">
        <v>1.0</v>
      </c>
      <c r="H2260" s="18" t="s">
        <v>73</v>
      </c>
      <c r="I2260" s="18" t="str">
        <f t="shared" si="1"/>
        <v>Obesity</v>
      </c>
    </row>
    <row r="2261" ht="15.75" customHeight="1">
      <c r="A2261" s="18" t="s">
        <v>1089</v>
      </c>
      <c r="B2261" s="18">
        <v>28.7</v>
      </c>
      <c r="C2261" s="18">
        <v>4.99</v>
      </c>
      <c r="D2261" s="18" t="s">
        <v>73</v>
      </c>
      <c r="E2261" s="18" t="s">
        <v>73</v>
      </c>
      <c r="F2261" s="18" t="s">
        <v>184</v>
      </c>
      <c r="G2261" s="18">
        <v>1.0</v>
      </c>
      <c r="H2261" s="18" t="s">
        <v>73</v>
      </c>
      <c r="I2261" s="18" t="str">
        <f t="shared" si="1"/>
        <v>Overweight</v>
      </c>
    </row>
    <row r="2262" ht="15.75" customHeight="1">
      <c r="A2262" s="18" t="s">
        <v>1083</v>
      </c>
      <c r="B2262" s="18">
        <v>17.44</v>
      </c>
      <c r="C2262" s="18">
        <v>4.42</v>
      </c>
      <c r="D2262" s="18" t="s">
        <v>80</v>
      </c>
      <c r="E2262" s="18" t="s">
        <v>73</v>
      </c>
      <c r="F2262" s="18" t="s">
        <v>184</v>
      </c>
      <c r="G2262" s="18">
        <v>1.0</v>
      </c>
      <c r="H2262" s="18" t="s">
        <v>73</v>
      </c>
      <c r="I2262" s="18" t="str">
        <f t="shared" si="1"/>
        <v>Underweight</v>
      </c>
    </row>
    <row r="2263" ht="15.75" customHeight="1">
      <c r="A2263" s="18" t="s">
        <v>1079</v>
      </c>
      <c r="B2263" s="18">
        <v>27.6</v>
      </c>
      <c r="C2263" s="18">
        <v>4.01</v>
      </c>
      <c r="D2263" s="18" t="s">
        <v>73</v>
      </c>
      <c r="E2263" s="18" t="s">
        <v>73</v>
      </c>
      <c r="F2263" s="18" t="s">
        <v>184</v>
      </c>
      <c r="G2263" s="18">
        <v>1.0</v>
      </c>
      <c r="H2263" s="18" t="s">
        <v>73</v>
      </c>
      <c r="I2263" s="18" t="str">
        <f t="shared" si="1"/>
        <v>Overweight</v>
      </c>
    </row>
    <row r="2264" ht="15.75" customHeight="1">
      <c r="A2264" s="18" t="s">
        <v>1074</v>
      </c>
      <c r="B2264" s="18">
        <v>20.7</v>
      </c>
      <c r="C2264" s="18">
        <v>4.49</v>
      </c>
      <c r="D2264" s="18" t="s">
        <v>73</v>
      </c>
      <c r="E2264" s="18" t="s">
        <v>73</v>
      </c>
      <c r="F2264" s="18" t="s">
        <v>184</v>
      </c>
      <c r="G2264" s="18">
        <v>1.0</v>
      </c>
      <c r="H2264" s="18" t="s">
        <v>73</v>
      </c>
      <c r="I2264" s="18" t="str">
        <f t="shared" si="1"/>
        <v>Normal Weight</v>
      </c>
    </row>
    <row r="2265" ht="15.75" customHeight="1">
      <c r="A2265" s="18" t="s">
        <v>1070</v>
      </c>
      <c r="B2265" s="18">
        <v>20.3</v>
      </c>
      <c r="C2265" s="18">
        <v>6.37</v>
      </c>
      <c r="D2265" s="18" t="s">
        <v>73</v>
      </c>
      <c r="E2265" s="18" t="s">
        <v>73</v>
      </c>
      <c r="F2265" s="18" t="s">
        <v>184</v>
      </c>
      <c r="G2265" s="18">
        <v>1.0</v>
      </c>
      <c r="H2265" s="18" t="s">
        <v>73</v>
      </c>
      <c r="I2265" s="18" t="str">
        <f t="shared" si="1"/>
        <v>Normal Weight</v>
      </c>
    </row>
    <row r="2266" ht="15.75" customHeight="1">
      <c r="A2266" s="18" t="s">
        <v>1065</v>
      </c>
      <c r="B2266" s="18">
        <v>19.8</v>
      </c>
      <c r="C2266" s="18">
        <v>5.12</v>
      </c>
      <c r="D2266" s="18" t="s">
        <v>73</v>
      </c>
      <c r="E2266" s="18" t="s">
        <v>73</v>
      </c>
      <c r="F2266" s="18" t="s">
        <v>184</v>
      </c>
      <c r="G2266" s="18">
        <v>1.0</v>
      </c>
      <c r="H2266" s="18" t="s">
        <v>73</v>
      </c>
      <c r="I2266" s="18" t="str">
        <f t="shared" si="1"/>
        <v>Normal Weight</v>
      </c>
    </row>
    <row r="2267" ht="15.75" customHeight="1">
      <c r="A2267" s="18" t="s">
        <v>1060</v>
      </c>
      <c r="B2267" s="18">
        <v>21.87</v>
      </c>
      <c r="C2267" s="18">
        <v>8.59</v>
      </c>
      <c r="D2267" s="18" t="s">
        <v>73</v>
      </c>
      <c r="E2267" s="18" t="s">
        <v>73</v>
      </c>
      <c r="F2267" s="18" t="s">
        <v>73</v>
      </c>
      <c r="G2267" s="20">
        <v>0.0</v>
      </c>
      <c r="H2267" s="18" t="s">
        <v>73</v>
      </c>
      <c r="I2267" s="18" t="str">
        <f t="shared" si="1"/>
        <v>Normal Weight</v>
      </c>
    </row>
    <row r="2268" ht="15.75" customHeight="1">
      <c r="A2268" s="18" t="s">
        <v>1053</v>
      </c>
      <c r="B2268" s="18">
        <v>16.6</v>
      </c>
      <c r="C2268" s="18">
        <v>5.87</v>
      </c>
      <c r="D2268" s="18" t="s">
        <v>73</v>
      </c>
      <c r="E2268" s="18" t="s">
        <v>73</v>
      </c>
      <c r="F2268" s="18" t="s">
        <v>73</v>
      </c>
      <c r="G2268" s="18">
        <v>1.0</v>
      </c>
      <c r="H2268" s="18" t="s">
        <v>73</v>
      </c>
      <c r="I2268" s="18" t="str">
        <f t="shared" si="1"/>
        <v>Underweight</v>
      </c>
    </row>
    <row r="2269" ht="15.75" customHeight="1">
      <c r="A2269" s="18" t="s">
        <v>1045</v>
      </c>
      <c r="B2269" s="18">
        <v>21.98</v>
      </c>
      <c r="C2269" s="18">
        <v>7.03</v>
      </c>
      <c r="D2269" s="18" t="s">
        <v>73</v>
      </c>
      <c r="E2269" s="18" t="s">
        <v>73</v>
      </c>
      <c r="F2269" s="18" t="s">
        <v>73</v>
      </c>
      <c r="G2269" s="20">
        <v>0.0</v>
      </c>
      <c r="H2269" s="18" t="s">
        <v>73</v>
      </c>
      <c r="I2269" s="18" t="str">
        <f t="shared" si="1"/>
        <v>Normal Weight</v>
      </c>
    </row>
    <row r="2270" ht="15.75" customHeight="1">
      <c r="A2270" s="18" t="s">
        <v>1041</v>
      </c>
      <c r="B2270" s="18">
        <v>19.7</v>
      </c>
      <c r="C2270" s="18">
        <v>5.51</v>
      </c>
      <c r="D2270" s="18" t="s">
        <v>73</v>
      </c>
      <c r="E2270" s="18" t="s">
        <v>73</v>
      </c>
      <c r="F2270" s="18" t="s">
        <v>73</v>
      </c>
      <c r="G2270" s="18">
        <v>1.0</v>
      </c>
      <c r="H2270" s="18" t="s">
        <v>73</v>
      </c>
      <c r="I2270" s="18" t="str">
        <f t="shared" si="1"/>
        <v>Normal Weight</v>
      </c>
    </row>
    <row r="2271" ht="15.75" customHeight="1">
      <c r="A2271" s="18" t="s">
        <v>1035</v>
      </c>
      <c r="B2271" s="18">
        <v>19.21</v>
      </c>
      <c r="C2271" s="18">
        <v>4.76</v>
      </c>
      <c r="D2271" s="18" t="s">
        <v>73</v>
      </c>
      <c r="E2271" s="18" t="s">
        <v>80</v>
      </c>
      <c r="F2271" s="18" t="s">
        <v>73</v>
      </c>
      <c r="G2271" s="18">
        <v>1.0</v>
      </c>
      <c r="H2271" s="18" t="s">
        <v>73</v>
      </c>
      <c r="I2271" s="18" t="str">
        <f t="shared" si="1"/>
        <v>Normal Weight</v>
      </c>
    </row>
    <row r="2272" ht="15.75" customHeight="1">
      <c r="A2272" s="18" t="s">
        <v>1027</v>
      </c>
      <c r="B2272" s="18">
        <v>19.3</v>
      </c>
      <c r="C2272" s="18">
        <v>4.7</v>
      </c>
      <c r="D2272" s="18" t="s">
        <v>73</v>
      </c>
      <c r="E2272" s="18" t="s">
        <v>80</v>
      </c>
      <c r="F2272" s="18" t="s">
        <v>73</v>
      </c>
      <c r="G2272" s="18">
        <v>1.0</v>
      </c>
      <c r="H2272" s="18" t="s">
        <v>73</v>
      </c>
      <c r="I2272" s="18" t="str">
        <f t="shared" si="1"/>
        <v>Normal Weight</v>
      </c>
    </row>
    <row r="2273" ht="15.75" customHeight="1">
      <c r="A2273" s="18" t="s">
        <v>1018</v>
      </c>
      <c r="B2273" s="18">
        <v>16.22</v>
      </c>
      <c r="C2273" s="18">
        <v>6.21</v>
      </c>
      <c r="D2273" s="18" t="s">
        <v>80</v>
      </c>
      <c r="E2273" s="18" t="s">
        <v>73</v>
      </c>
      <c r="F2273" s="18" t="s">
        <v>73</v>
      </c>
      <c r="G2273" s="20">
        <v>0.0</v>
      </c>
      <c r="H2273" s="18" t="s">
        <v>73</v>
      </c>
      <c r="I2273" s="18" t="str">
        <f t="shared" si="1"/>
        <v>Underweight</v>
      </c>
    </row>
    <row r="2274" ht="15.75" customHeight="1">
      <c r="A2274" s="18" t="s">
        <v>1011</v>
      </c>
      <c r="B2274" s="18">
        <v>17.12</v>
      </c>
      <c r="C2274" s="18">
        <v>4.52</v>
      </c>
      <c r="D2274" s="18" t="s">
        <v>73</v>
      </c>
      <c r="E2274" s="18" t="s">
        <v>80</v>
      </c>
      <c r="F2274" s="18" t="s">
        <v>73</v>
      </c>
      <c r="G2274" s="18">
        <v>1.0</v>
      </c>
      <c r="H2274" s="18" t="s">
        <v>73</v>
      </c>
      <c r="I2274" s="18" t="str">
        <f t="shared" si="1"/>
        <v>Underweight</v>
      </c>
    </row>
    <row r="2275" ht="15.75" customHeight="1">
      <c r="A2275" s="18" t="s">
        <v>1001</v>
      </c>
      <c r="B2275" s="18">
        <v>19.07</v>
      </c>
      <c r="C2275" s="18">
        <v>5.45</v>
      </c>
      <c r="D2275" s="18" t="s">
        <v>73</v>
      </c>
      <c r="E2275" s="18" t="s">
        <v>73</v>
      </c>
      <c r="F2275" s="18" t="s">
        <v>73</v>
      </c>
      <c r="G2275" s="18">
        <v>1.0</v>
      </c>
      <c r="H2275" s="18" t="s">
        <v>73</v>
      </c>
      <c r="I2275" s="18" t="str">
        <f t="shared" si="1"/>
        <v>Normal Weight</v>
      </c>
    </row>
    <row r="2276" ht="15.75" customHeight="1">
      <c r="A2276" s="18" t="s">
        <v>990</v>
      </c>
      <c r="B2276" s="18">
        <v>15.56</v>
      </c>
      <c r="C2276" s="18">
        <v>4.42</v>
      </c>
      <c r="D2276" s="18" t="s">
        <v>73</v>
      </c>
      <c r="E2276" s="18" t="s">
        <v>73</v>
      </c>
      <c r="F2276" s="18" t="s">
        <v>73</v>
      </c>
      <c r="G2276" s="20">
        <v>0.0</v>
      </c>
      <c r="H2276" s="18" t="s">
        <v>73</v>
      </c>
      <c r="I2276" s="18" t="str">
        <f t="shared" si="1"/>
        <v>Underweight</v>
      </c>
    </row>
    <row r="2277" ht="15.75" customHeight="1">
      <c r="A2277" s="18" t="s">
        <v>980</v>
      </c>
      <c r="B2277" s="18">
        <v>22.76</v>
      </c>
      <c r="C2277" s="18">
        <v>9.44</v>
      </c>
      <c r="D2277" s="18" t="s">
        <v>73</v>
      </c>
      <c r="E2277" s="18" t="s">
        <v>73</v>
      </c>
      <c r="F2277" s="18" t="s">
        <v>73</v>
      </c>
      <c r="G2277" s="20">
        <v>0.0</v>
      </c>
      <c r="H2277" s="18" t="s">
        <v>73</v>
      </c>
      <c r="I2277" s="18" t="str">
        <f t="shared" si="1"/>
        <v>Normal Weight</v>
      </c>
    </row>
    <row r="2278" ht="15.75" customHeight="1">
      <c r="A2278" s="18" t="s">
        <v>971</v>
      </c>
      <c r="B2278" s="18">
        <v>22.79</v>
      </c>
      <c r="C2278" s="18">
        <v>6.15</v>
      </c>
      <c r="D2278" s="18" t="s">
        <v>80</v>
      </c>
      <c r="E2278" s="18" t="s">
        <v>73</v>
      </c>
      <c r="F2278" s="18" t="s">
        <v>184</v>
      </c>
      <c r="G2278" s="18">
        <v>1.0</v>
      </c>
      <c r="H2278" s="18" t="s">
        <v>73</v>
      </c>
      <c r="I2278" s="18" t="str">
        <f t="shared" si="1"/>
        <v>Normal Weight</v>
      </c>
    </row>
    <row r="2279" ht="15.75" customHeight="1">
      <c r="A2279" s="18" t="s">
        <v>966</v>
      </c>
      <c r="B2279" s="18">
        <v>17.41</v>
      </c>
      <c r="C2279" s="18">
        <v>5.13</v>
      </c>
      <c r="D2279" s="18" t="s">
        <v>80</v>
      </c>
      <c r="E2279" s="18" t="s">
        <v>73</v>
      </c>
      <c r="F2279" s="18" t="s">
        <v>73</v>
      </c>
      <c r="G2279" s="20">
        <v>0.0</v>
      </c>
      <c r="H2279" s="18" t="s">
        <v>73</v>
      </c>
      <c r="I2279" s="18" t="str">
        <f t="shared" si="1"/>
        <v>Underweight</v>
      </c>
    </row>
    <row r="2280" ht="15.75" customHeight="1">
      <c r="A2280" s="18" t="s">
        <v>957</v>
      </c>
      <c r="B2280" s="18">
        <v>19.32</v>
      </c>
      <c r="C2280" s="18">
        <v>4.96</v>
      </c>
      <c r="D2280" s="18" t="s">
        <v>80</v>
      </c>
      <c r="E2280" s="18" t="s">
        <v>73</v>
      </c>
      <c r="F2280" s="18" t="s">
        <v>73</v>
      </c>
      <c r="G2280" s="20">
        <v>0.0</v>
      </c>
      <c r="H2280" s="18" t="s">
        <v>73</v>
      </c>
      <c r="I2280" s="18" t="str">
        <f t="shared" si="1"/>
        <v>Normal Weight</v>
      </c>
    </row>
    <row r="2281" ht="15.75" customHeight="1">
      <c r="A2281" s="18" t="s">
        <v>948</v>
      </c>
      <c r="B2281" s="18">
        <v>18.25</v>
      </c>
      <c r="C2281" s="18">
        <v>10.95</v>
      </c>
      <c r="D2281" s="18" t="s">
        <v>73</v>
      </c>
      <c r="E2281" s="18" t="s">
        <v>73</v>
      </c>
      <c r="F2281" s="18" t="s">
        <v>73</v>
      </c>
      <c r="G2281" s="20">
        <v>0.0</v>
      </c>
      <c r="H2281" s="18" t="s">
        <v>73</v>
      </c>
      <c r="I2281" s="18" t="str">
        <f t="shared" si="1"/>
        <v>Underweight</v>
      </c>
    </row>
    <row r="2282" ht="15.75" customHeight="1">
      <c r="A2282" s="18" t="s">
        <v>938</v>
      </c>
      <c r="B2282" s="18">
        <v>53.13</v>
      </c>
      <c r="C2282" s="18">
        <v>4.44</v>
      </c>
      <c r="D2282" s="18" t="s">
        <v>73</v>
      </c>
      <c r="E2282" s="18" t="s">
        <v>80</v>
      </c>
      <c r="F2282" s="18" t="s">
        <v>73</v>
      </c>
      <c r="G2282" s="18">
        <v>1.0</v>
      </c>
      <c r="H2282" s="18" t="s">
        <v>73</v>
      </c>
      <c r="I2282" s="18" t="str">
        <f t="shared" si="1"/>
        <v>Obesity</v>
      </c>
    </row>
    <row r="2283" ht="15.75" customHeight="1">
      <c r="A2283" s="18" t="s">
        <v>929</v>
      </c>
      <c r="B2283" s="18">
        <v>20.46</v>
      </c>
      <c r="C2283" s="18">
        <v>4.02</v>
      </c>
      <c r="D2283" s="18" t="s">
        <v>73</v>
      </c>
      <c r="E2283" s="18" t="s">
        <v>73</v>
      </c>
      <c r="F2283" s="18" t="s">
        <v>73</v>
      </c>
      <c r="G2283" s="20">
        <v>0.0</v>
      </c>
      <c r="H2283" s="18" t="s">
        <v>73</v>
      </c>
      <c r="I2283" s="18" t="str">
        <f t="shared" si="1"/>
        <v>Normal Weight</v>
      </c>
    </row>
    <row r="2284" ht="15.75" customHeight="1">
      <c r="A2284" s="18" t="s">
        <v>921</v>
      </c>
      <c r="B2284" s="18">
        <v>43.01</v>
      </c>
      <c r="C2284" s="18">
        <v>5.44</v>
      </c>
      <c r="D2284" s="18" t="s">
        <v>73</v>
      </c>
      <c r="E2284" s="18" t="s">
        <v>80</v>
      </c>
      <c r="F2284" s="18" t="s">
        <v>73</v>
      </c>
      <c r="G2284" s="18">
        <v>1.0</v>
      </c>
      <c r="H2284" s="18" t="s">
        <v>73</v>
      </c>
      <c r="I2284" s="18" t="str">
        <f t="shared" si="1"/>
        <v>Obesity</v>
      </c>
    </row>
    <row r="2285" ht="15.75" customHeight="1">
      <c r="A2285" s="18" t="s">
        <v>909</v>
      </c>
      <c r="B2285" s="18">
        <v>15.01</v>
      </c>
      <c r="C2285" s="18">
        <v>4.15</v>
      </c>
      <c r="D2285" s="18" t="s">
        <v>73</v>
      </c>
      <c r="E2285" s="18" t="s">
        <v>73</v>
      </c>
      <c r="F2285" s="18" t="s">
        <v>184</v>
      </c>
      <c r="G2285" s="18">
        <v>1.0</v>
      </c>
      <c r="H2285" s="18" t="s">
        <v>73</v>
      </c>
      <c r="I2285" s="18" t="str">
        <f t="shared" si="1"/>
        <v>Underweight</v>
      </c>
    </row>
    <row r="2286" ht="15.75" customHeight="1">
      <c r="A2286" s="18" t="s">
        <v>902</v>
      </c>
      <c r="B2286" s="18">
        <v>41.14</v>
      </c>
      <c r="C2286" s="18">
        <v>6.02</v>
      </c>
      <c r="D2286" s="18" t="s">
        <v>73</v>
      </c>
      <c r="E2286" s="18" t="s">
        <v>80</v>
      </c>
      <c r="F2286" s="18" t="s">
        <v>73</v>
      </c>
      <c r="G2286" s="18">
        <v>1.0</v>
      </c>
      <c r="H2286" s="18" t="s">
        <v>73</v>
      </c>
      <c r="I2286" s="18" t="str">
        <f t="shared" si="1"/>
        <v>Obesity</v>
      </c>
    </row>
    <row r="2287" ht="15.75" customHeight="1">
      <c r="A2287" s="18" t="s">
        <v>894</v>
      </c>
      <c r="B2287" s="18">
        <v>16.55</v>
      </c>
      <c r="C2287" s="18">
        <v>7.73</v>
      </c>
      <c r="D2287" s="18" t="s">
        <v>73</v>
      </c>
      <c r="E2287" s="18" t="s">
        <v>73</v>
      </c>
      <c r="F2287" s="18" t="s">
        <v>73</v>
      </c>
      <c r="G2287" s="20">
        <v>0.0</v>
      </c>
      <c r="H2287" s="18" t="s">
        <v>73</v>
      </c>
      <c r="I2287" s="18" t="str">
        <f t="shared" si="1"/>
        <v>Underweight</v>
      </c>
    </row>
    <row r="2288" ht="15.75" customHeight="1">
      <c r="A2288" s="18" t="s">
        <v>887</v>
      </c>
      <c r="B2288" s="18">
        <v>37.29</v>
      </c>
      <c r="C2288" s="18">
        <v>5.03</v>
      </c>
      <c r="D2288" s="18" t="s">
        <v>73</v>
      </c>
      <c r="E2288" s="18" t="s">
        <v>80</v>
      </c>
      <c r="F2288" s="18" t="s">
        <v>73</v>
      </c>
      <c r="G2288" s="18">
        <v>1.0</v>
      </c>
      <c r="H2288" s="18" t="s">
        <v>73</v>
      </c>
      <c r="I2288" s="18" t="str">
        <f t="shared" si="1"/>
        <v>Obesity</v>
      </c>
    </row>
    <row r="2289" ht="15.75" customHeight="1">
      <c r="A2289" s="18" t="s">
        <v>877</v>
      </c>
      <c r="B2289" s="18">
        <v>16.74</v>
      </c>
      <c r="C2289" s="18">
        <v>4.08</v>
      </c>
      <c r="D2289" s="18" t="s">
        <v>80</v>
      </c>
      <c r="E2289" s="18" t="s">
        <v>73</v>
      </c>
      <c r="F2289" s="18" t="s">
        <v>73</v>
      </c>
      <c r="G2289" s="20">
        <v>0.0</v>
      </c>
      <c r="H2289" s="18" t="s">
        <v>73</v>
      </c>
      <c r="I2289" s="18" t="str">
        <f t="shared" si="1"/>
        <v>Underweight</v>
      </c>
    </row>
    <row r="2290" ht="15.75" customHeight="1">
      <c r="A2290" s="18" t="s">
        <v>866</v>
      </c>
      <c r="B2290" s="18">
        <v>34.43</v>
      </c>
      <c r="C2290" s="18">
        <v>4.27</v>
      </c>
      <c r="D2290" s="18" t="s">
        <v>73</v>
      </c>
      <c r="E2290" s="18" t="s">
        <v>80</v>
      </c>
      <c r="F2290" s="18" t="s">
        <v>73</v>
      </c>
      <c r="G2290" s="18">
        <v>1.0</v>
      </c>
      <c r="H2290" s="18" t="s">
        <v>73</v>
      </c>
      <c r="I2290" s="18" t="str">
        <f t="shared" si="1"/>
        <v>Obesity</v>
      </c>
    </row>
    <row r="2291" ht="15.75" customHeight="1">
      <c r="A2291" s="18" t="s">
        <v>853</v>
      </c>
      <c r="B2291" s="18">
        <v>34.1</v>
      </c>
      <c r="C2291" s="18">
        <v>4.07</v>
      </c>
      <c r="D2291" s="18" t="s">
        <v>73</v>
      </c>
      <c r="E2291" s="18" t="s">
        <v>80</v>
      </c>
      <c r="F2291" s="18" t="s">
        <v>73</v>
      </c>
      <c r="G2291" s="18">
        <v>1.0</v>
      </c>
      <c r="H2291" s="18" t="s">
        <v>73</v>
      </c>
      <c r="I2291" s="18" t="str">
        <f t="shared" si="1"/>
        <v>Obesity</v>
      </c>
    </row>
    <row r="2292" ht="15.75" customHeight="1">
      <c r="A2292" s="18" t="s">
        <v>852</v>
      </c>
      <c r="B2292" s="18">
        <v>19.3</v>
      </c>
      <c r="C2292" s="18">
        <v>10.36</v>
      </c>
      <c r="D2292" s="18" t="s">
        <v>73</v>
      </c>
      <c r="E2292" s="18" t="s">
        <v>73</v>
      </c>
      <c r="F2292" s="18" t="s">
        <v>73</v>
      </c>
      <c r="G2292" s="20">
        <v>0.0</v>
      </c>
      <c r="H2292" s="18" t="s">
        <v>73</v>
      </c>
      <c r="I2292" s="18" t="str">
        <f t="shared" si="1"/>
        <v>Normal Weight</v>
      </c>
    </row>
    <row r="2293" ht="15.75" customHeight="1">
      <c r="A2293" s="18" t="s">
        <v>851</v>
      </c>
      <c r="B2293" s="18">
        <v>33.66</v>
      </c>
      <c r="C2293" s="18">
        <v>5.71</v>
      </c>
      <c r="D2293" s="18" t="s">
        <v>73</v>
      </c>
      <c r="E2293" s="18" t="s">
        <v>80</v>
      </c>
      <c r="F2293" s="18" t="s">
        <v>73</v>
      </c>
      <c r="G2293" s="18">
        <v>1.0</v>
      </c>
      <c r="H2293" s="18" t="s">
        <v>73</v>
      </c>
      <c r="I2293" s="18" t="str">
        <f t="shared" si="1"/>
        <v>Obesity</v>
      </c>
    </row>
    <row r="2294" ht="15.75" customHeight="1">
      <c r="A2294" s="18" t="s">
        <v>842</v>
      </c>
      <c r="B2294" s="18">
        <v>33.33</v>
      </c>
      <c r="C2294" s="18">
        <v>6.08</v>
      </c>
      <c r="D2294" s="18" t="s">
        <v>73</v>
      </c>
      <c r="E2294" s="18" t="s">
        <v>80</v>
      </c>
      <c r="F2294" s="18" t="s">
        <v>73</v>
      </c>
      <c r="G2294" s="18">
        <v>1.0</v>
      </c>
      <c r="H2294" s="18" t="s">
        <v>73</v>
      </c>
      <c r="I2294" s="18" t="str">
        <f t="shared" si="1"/>
        <v>Obesity</v>
      </c>
    </row>
    <row r="2295" ht="15.75" customHeight="1">
      <c r="A2295" s="18" t="s">
        <v>829</v>
      </c>
      <c r="B2295" s="18">
        <v>21.84</v>
      </c>
      <c r="C2295" s="18">
        <v>5.71</v>
      </c>
      <c r="D2295" s="18" t="s">
        <v>73</v>
      </c>
      <c r="E2295" s="18" t="s">
        <v>80</v>
      </c>
      <c r="F2295" s="18" t="s">
        <v>73</v>
      </c>
      <c r="G2295" s="18">
        <v>1.0</v>
      </c>
      <c r="H2295" s="18" t="s">
        <v>73</v>
      </c>
      <c r="I2295" s="18" t="str">
        <f t="shared" si="1"/>
        <v>Normal Weight</v>
      </c>
    </row>
    <row r="2296" ht="15.75" customHeight="1">
      <c r="A2296" s="18" t="s">
        <v>777</v>
      </c>
      <c r="B2296" s="18">
        <v>16.87</v>
      </c>
      <c r="C2296" s="18">
        <v>9.13</v>
      </c>
      <c r="D2296" s="18" t="s">
        <v>73</v>
      </c>
      <c r="E2296" s="18" t="s">
        <v>73</v>
      </c>
      <c r="F2296" s="18" t="s">
        <v>73</v>
      </c>
      <c r="G2296" s="20">
        <v>0.0</v>
      </c>
      <c r="H2296" s="18" t="s">
        <v>73</v>
      </c>
      <c r="I2296" s="18" t="str">
        <f t="shared" si="1"/>
        <v>Underweight</v>
      </c>
    </row>
    <row r="2297" ht="15.75" customHeight="1">
      <c r="A2297" s="18" t="s">
        <v>761</v>
      </c>
      <c r="B2297" s="18">
        <v>30.14</v>
      </c>
      <c r="C2297" s="18">
        <v>5.49</v>
      </c>
      <c r="D2297" s="18" t="s">
        <v>73</v>
      </c>
      <c r="E2297" s="18" t="s">
        <v>80</v>
      </c>
      <c r="F2297" s="18" t="s">
        <v>73</v>
      </c>
      <c r="G2297" s="18">
        <v>1.0</v>
      </c>
      <c r="H2297" s="18" t="s">
        <v>73</v>
      </c>
      <c r="I2297" s="18" t="str">
        <f t="shared" si="1"/>
        <v>Obesity</v>
      </c>
    </row>
    <row r="2298" ht="15.75" customHeight="1">
      <c r="A2298" s="18" t="s">
        <v>750</v>
      </c>
      <c r="B2298" s="18">
        <v>23.21</v>
      </c>
      <c r="C2298" s="18">
        <v>4.37</v>
      </c>
      <c r="D2298" s="18" t="s">
        <v>73</v>
      </c>
      <c r="E2298" s="18" t="s">
        <v>80</v>
      </c>
      <c r="F2298" s="18" t="s">
        <v>73</v>
      </c>
      <c r="G2298" s="18">
        <v>1.0</v>
      </c>
      <c r="H2298" s="18" t="s">
        <v>73</v>
      </c>
      <c r="I2298" s="18" t="str">
        <f t="shared" si="1"/>
        <v>Normal Weight</v>
      </c>
    </row>
    <row r="2299" ht="15.75" customHeight="1">
      <c r="A2299" s="18" t="s">
        <v>737</v>
      </c>
      <c r="B2299" s="18">
        <v>17.17</v>
      </c>
      <c r="C2299" s="18">
        <v>8.46</v>
      </c>
      <c r="D2299" s="18" t="s">
        <v>73</v>
      </c>
      <c r="E2299" s="18" t="s">
        <v>73</v>
      </c>
      <c r="F2299" s="18" t="s">
        <v>73</v>
      </c>
      <c r="G2299" s="20">
        <v>0.0</v>
      </c>
      <c r="H2299" s="18" t="s">
        <v>73</v>
      </c>
      <c r="I2299" s="18" t="str">
        <f t="shared" si="1"/>
        <v>Underweight</v>
      </c>
    </row>
    <row r="2300" ht="15.75" customHeight="1">
      <c r="A2300" s="18" t="s">
        <v>727</v>
      </c>
      <c r="B2300" s="18">
        <v>15.61</v>
      </c>
      <c r="C2300" s="18">
        <v>5.28</v>
      </c>
      <c r="D2300" s="18" t="s">
        <v>73</v>
      </c>
      <c r="E2300" s="18" t="s">
        <v>73</v>
      </c>
      <c r="F2300" s="18" t="s">
        <v>73</v>
      </c>
      <c r="G2300" s="18">
        <v>1.0</v>
      </c>
      <c r="H2300" s="18" t="s">
        <v>73</v>
      </c>
      <c r="I2300" s="18" t="str">
        <f t="shared" si="1"/>
        <v>Underweight</v>
      </c>
    </row>
    <row r="2301" ht="15.75" customHeight="1">
      <c r="A2301" s="18" t="s">
        <v>714</v>
      </c>
      <c r="B2301" s="18">
        <v>17.98</v>
      </c>
      <c r="C2301" s="18">
        <v>5.33</v>
      </c>
      <c r="D2301" s="18" t="s">
        <v>80</v>
      </c>
      <c r="E2301" s="18" t="s">
        <v>73</v>
      </c>
      <c r="F2301" s="18" t="s">
        <v>184</v>
      </c>
      <c r="G2301" s="18">
        <v>1.0</v>
      </c>
      <c r="H2301" s="18" t="s">
        <v>73</v>
      </c>
      <c r="I2301" s="18" t="str">
        <f t="shared" si="1"/>
        <v>Underweight</v>
      </c>
    </row>
    <row r="2302" ht="15.75" customHeight="1">
      <c r="A2302" s="18" t="s">
        <v>707</v>
      </c>
      <c r="B2302" s="18">
        <v>21.64</v>
      </c>
      <c r="C2302" s="18">
        <v>5.5</v>
      </c>
      <c r="D2302" s="18" t="s">
        <v>73</v>
      </c>
      <c r="E2302" s="18" t="s">
        <v>80</v>
      </c>
      <c r="F2302" s="18" t="s">
        <v>73</v>
      </c>
      <c r="G2302" s="18">
        <v>1.0</v>
      </c>
      <c r="H2302" s="18" t="s">
        <v>73</v>
      </c>
      <c r="I2302" s="18" t="str">
        <f t="shared" si="1"/>
        <v>Normal Weight</v>
      </c>
    </row>
    <row r="2303" ht="15.75" customHeight="1">
      <c r="A2303" s="18" t="s">
        <v>698</v>
      </c>
      <c r="B2303" s="18">
        <v>16.4</v>
      </c>
      <c r="C2303" s="18">
        <v>5.4</v>
      </c>
      <c r="D2303" s="18" t="s">
        <v>73</v>
      </c>
      <c r="E2303" s="18" t="s">
        <v>73</v>
      </c>
      <c r="F2303" s="18" t="s">
        <v>184</v>
      </c>
      <c r="G2303" s="18">
        <v>1.0</v>
      </c>
      <c r="H2303" s="18" t="s">
        <v>73</v>
      </c>
      <c r="I2303" s="18" t="str">
        <f t="shared" si="1"/>
        <v>Underweight</v>
      </c>
    </row>
    <row r="2304" ht="15.75" customHeight="1">
      <c r="A2304" s="18" t="s">
        <v>685</v>
      </c>
      <c r="B2304" s="18">
        <v>15.77</v>
      </c>
      <c r="C2304" s="18">
        <v>6.05</v>
      </c>
      <c r="D2304" s="18" t="s">
        <v>80</v>
      </c>
      <c r="E2304" s="18" t="s">
        <v>73</v>
      </c>
      <c r="F2304" s="18" t="s">
        <v>73</v>
      </c>
      <c r="G2304" s="18">
        <v>1.0</v>
      </c>
      <c r="H2304" s="18" t="s">
        <v>73</v>
      </c>
      <c r="I2304" s="18" t="str">
        <f t="shared" si="1"/>
        <v>Underweight</v>
      </c>
    </row>
    <row r="2305" ht="15.75" customHeight="1">
      <c r="A2305" s="18" t="s">
        <v>672</v>
      </c>
      <c r="B2305" s="18">
        <v>18.27</v>
      </c>
      <c r="C2305" s="18">
        <v>11.46</v>
      </c>
      <c r="D2305" s="18" t="s">
        <v>73</v>
      </c>
      <c r="E2305" s="18" t="s">
        <v>73</v>
      </c>
      <c r="F2305" s="18" t="s">
        <v>73</v>
      </c>
      <c r="G2305" s="20">
        <v>0.0</v>
      </c>
      <c r="H2305" s="18" t="s">
        <v>73</v>
      </c>
      <c r="I2305" s="18" t="str">
        <f t="shared" si="1"/>
        <v>Underweight</v>
      </c>
    </row>
    <row r="2306" ht="15.75" customHeight="1">
      <c r="A2306" s="18" t="s">
        <v>659</v>
      </c>
      <c r="B2306" s="18">
        <v>16.49</v>
      </c>
      <c r="C2306" s="18">
        <v>8.48</v>
      </c>
      <c r="D2306" s="18" t="s">
        <v>73</v>
      </c>
      <c r="E2306" s="18" t="s">
        <v>73</v>
      </c>
      <c r="F2306" s="18" t="s">
        <v>73</v>
      </c>
      <c r="G2306" s="20">
        <v>0.0</v>
      </c>
      <c r="H2306" s="18" t="s">
        <v>73</v>
      </c>
      <c r="I2306" s="18" t="str">
        <f t="shared" si="1"/>
        <v>Underweight</v>
      </c>
    </row>
    <row r="2307" ht="15.75" customHeight="1">
      <c r="A2307" s="18" t="s">
        <v>648</v>
      </c>
      <c r="B2307" s="18">
        <v>16.14</v>
      </c>
      <c r="C2307" s="18">
        <v>4.86</v>
      </c>
      <c r="D2307" s="18" t="s">
        <v>73</v>
      </c>
      <c r="E2307" s="18" t="s">
        <v>73</v>
      </c>
      <c r="F2307" s="18" t="s">
        <v>73</v>
      </c>
      <c r="G2307" s="20">
        <v>0.0</v>
      </c>
      <c r="H2307" s="18" t="s">
        <v>73</v>
      </c>
      <c r="I2307" s="18" t="str">
        <f t="shared" si="1"/>
        <v>Underweight</v>
      </c>
    </row>
    <row r="2308" ht="15.75" customHeight="1">
      <c r="A2308" s="18" t="s">
        <v>644</v>
      </c>
      <c r="B2308" s="18">
        <v>20.85</v>
      </c>
      <c r="C2308" s="18">
        <v>4.45</v>
      </c>
      <c r="D2308" s="18" t="s">
        <v>80</v>
      </c>
      <c r="E2308" s="18" t="s">
        <v>73</v>
      </c>
      <c r="F2308" s="18" t="s">
        <v>73</v>
      </c>
      <c r="G2308" s="18">
        <v>1.0</v>
      </c>
      <c r="H2308" s="18" t="s">
        <v>73</v>
      </c>
      <c r="I2308" s="18" t="str">
        <f t="shared" si="1"/>
        <v>Normal Weight</v>
      </c>
    </row>
    <row r="2309" ht="15.75" customHeight="1">
      <c r="A2309" s="18" t="s">
        <v>636</v>
      </c>
      <c r="B2309" s="18">
        <v>15.88</v>
      </c>
      <c r="C2309" s="18">
        <v>4.36</v>
      </c>
      <c r="D2309" s="18" t="s">
        <v>73</v>
      </c>
      <c r="E2309" s="18" t="s">
        <v>73</v>
      </c>
      <c r="F2309" s="18" t="s">
        <v>73</v>
      </c>
      <c r="G2309" s="20">
        <v>0.0</v>
      </c>
      <c r="H2309" s="18" t="s">
        <v>73</v>
      </c>
      <c r="I2309" s="18" t="str">
        <f t="shared" si="1"/>
        <v>Underweight</v>
      </c>
    </row>
    <row r="2310" ht="15.75" customHeight="1">
      <c r="A2310" s="18" t="s">
        <v>627</v>
      </c>
      <c r="B2310" s="18">
        <v>20.66</v>
      </c>
      <c r="C2310" s="18">
        <v>5.8</v>
      </c>
      <c r="D2310" s="18" t="s">
        <v>73</v>
      </c>
      <c r="E2310" s="18" t="s">
        <v>80</v>
      </c>
      <c r="F2310" s="18" t="s">
        <v>73</v>
      </c>
      <c r="G2310" s="18">
        <v>1.0</v>
      </c>
      <c r="H2310" s="18" t="s">
        <v>73</v>
      </c>
      <c r="I2310" s="18" t="str">
        <f t="shared" si="1"/>
        <v>Normal Weight</v>
      </c>
    </row>
    <row r="2311" ht="15.75" customHeight="1">
      <c r="A2311" s="18" t="s">
        <v>619</v>
      </c>
      <c r="B2311" s="18">
        <v>20.4</v>
      </c>
      <c r="C2311" s="18">
        <v>5.27</v>
      </c>
      <c r="D2311" s="18" t="s">
        <v>73</v>
      </c>
      <c r="E2311" s="18" t="s">
        <v>73</v>
      </c>
      <c r="F2311" s="18" t="s">
        <v>73</v>
      </c>
      <c r="G2311" s="20">
        <v>0.0</v>
      </c>
      <c r="H2311" s="18" t="s">
        <v>73</v>
      </c>
      <c r="I2311" s="18" t="str">
        <f t="shared" si="1"/>
        <v>Normal Weight</v>
      </c>
    </row>
    <row r="2312" ht="15.75" customHeight="1">
      <c r="A2312" s="18" t="s">
        <v>610</v>
      </c>
      <c r="B2312" s="18">
        <v>25.19</v>
      </c>
      <c r="C2312" s="18">
        <v>5.64</v>
      </c>
      <c r="D2312" s="18" t="s">
        <v>80</v>
      </c>
      <c r="E2312" s="18" t="s">
        <v>73</v>
      </c>
      <c r="F2312" s="18" t="s">
        <v>73</v>
      </c>
      <c r="G2312" s="20">
        <v>0.0</v>
      </c>
      <c r="H2312" s="18" t="s">
        <v>73</v>
      </c>
      <c r="I2312" s="18" t="str">
        <f t="shared" si="1"/>
        <v>Overweight</v>
      </c>
    </row>
    <row r="2313" ht="15.75" customHeight="1">
      <c r="A2313" s="18" t="s">
        <v>601</v>
      </c>
      <c r="B2313" s="18">
        <v>20.54</v>
      </c>
      <c r="C2313" s="18">
        <v>4.2</v>
      </c>
      <c r="D2313" s="18" t="s">
        <v>80</v>
      </c>
      <c r="E2313" s="18" t="s">
        <v>73</v>
      </c>
      <c r="F2313" s="18" t="s">
        <v>73</v>
      </c>
      <c r="G2313" s="18">
        <v>1.0</v>
      </c>
      <c r="H2313" s="18" t="s">
        <v>73</v>
      </c>
      <c r="I2313" s="18" t="str">
        <f t="shared" si="1"/>
        <v>Normal Weight</v>
      </c>
    </row>
    <row r="2314" ht="15.75" customHeight="1">
      <c r="A2314" s="18" t="s">
        <v>593</v>
      </c>
      <c r="B2314" s="18">
        <v>20.13</v>
      </c>
      <c r="C2314" s="18">
        <v>5.42</v>
      </c>
      <c r="D2314" s="18" t="s">
        <v>73</v>
      </c>
      <c r="E2314" s="18" t="s">
        <v>73</v>
      </c>
      <c r="F2314" s="18" t="s">
        <v>73</v>
      </c>
      <c r="G2314" s="20">
        <v>0.0</v>
      </c>
      <c r="H2314" s="18" t="s">
        <v>73</v>
      </c>
      <c r="I2314" s="18" t="str">
        <f t="shared" si="1"/>
        <v>Normal Weight</v>
      </c>
    </row>
    <row r="2315" ht="15.75" customHeight="1">
      <c r="A2315" s="18" t="s">
        <v>582</v>
      </c>
      <c r="B2315" s="18">
        <v>18.93</v>
      </c>
      <c r="C2315" s="18">
        <v>6.11</v>
      </c>
      <c r="D2315" s="18" t="s">
        <v>73</v>
      </c>
      <c r="E2315" s="18" t="s">
        <v>73</v>
      </c>
      <c r="F2315" s="18" t="s">
        <v>184</v>
      </c>
      <c r="G2315" s="18">
        <v>1.0</v>
      </c>
      <c r="H2315" s="18" t="s">
        <v>73</v>
      </c>
      <c r="I2315" s="18" t="str">
        <f t="shared" si="1"/>
        <v>Normal Weight</v>
      </c>
    </row>
    <row r="2316" ht="15.75" customHeight="1">
      <c r="A2316" s="18" t="s">
        <v>574</v>
      </c>
      <c r="B2316" s="18">
        <v>24.14</v>
      </c>
      <c r="C2316" s="18">
        <v>5.29</v>
      </c>
      <c r="D2316" s="18" t="s">
        <v>73</v>
      </c>
      <c r="E2316" s="18" t="s">
        <v>80</v>
      </c>
      <c r="F2316" s="18" t="s">
        <v>73</v>
      </c>
      <c r="G2316" s="18">
        <v>1.0</v>
      </c>
      <c r="H2316" s="18" t="s">
        <v>73</v>
      </c>
      <c r="I2316" s="18" t="str">
        <f t="shared" si="1"/>
        <v>Normal Weight</v>
      </c>
    </row>
    <row r="2317" ht="15.75" customHeight="1">
      <c r="A2317" s="18" t="s">
        <v>564</v>
      </c>
      <c r="B2317" s="18">
        <v>25.03</v>
      </c>
      <c r="C2317" s="18">
        <v>5.91</v>
      </c>
      <c r="D2317" s="18" t="s">
        <v>73</v>
      </c>
      <c r="E2317" s="18" t="s">
        <v>80</v>
      </c>
      <c r="F2317" s="18" t="s">
        <v>73</v>
      </c>
      <c r="G2317" s="18">
        <v>1.0</v>
      </c>
      <c r="H2317" s="18" t="s">
        <v>73</v>
      </c>
      <c r="I2317" s="18" t="str">
        <f t="shared" si="1"/>
        <v>Overweight</v>
      </c>
    </row>
    <row r="2318" ht="15.75" customHeight="1">
      <c r="A2318" s="18" t="s">
        <v>556</v>
      </c>
      <c r="B2318" s="18">
        <v>20.47</v>
      </c>
      <c r="C2318" s="18">
        <v>5.81</v>
      </c>
      <c r="D2318" s="18" t="s">
        <v>80</v>
      </c>
      <c r="E2318" s="18" t="s">
        <v>73</v>
      </c>
      <c r="F2318" s="18" t="s">
        <v>73</v>
      </c>
      <c r="G2318" s="18">
        <v>1.0</v>
      </c>
      <c r="H2318" s="18" t="s">
        <v>73</v>
      </c>
      <c r="I2318" s="18" t="str">
        <f t="shared" si="1"/>
        <v>Normal Weight</v>
      </c>
    </row>
    <row r="2319" ht="15.75" customHeight="1">
      <c r="A2319" s="18" t="s">
        <v>545</v>
      </c>
      <c r="B2319" s="18">
        <v>18.82</v>
      </c>
      <c r="C2319" s="18">
        <v>5.51</v>
      </c>
      <c r="D2319" s="18" t="s">
        <v>80</v>
      </c>
      <c r="E2319" s="18" t="s">
        <v>73</v>
      </c>
      <c r="F2319" s="18" t="s">
        <v>73</v>
      </c>
      <c r="G2319" s="20">
        <v>0.0</v>
      </c>
      <c r="H2319" s="18" t="s">
        <v>73</v>
      </c>
      <c r="I2319" s="18" t="str">
        <f t="shared" si="1"/>
        <v>Normal Weight</v>
      </c>
    </row>
    <row r="2320" ht="15.75" customHeight="1">
      <c r="A2320" s="18" t="s">
        <v>535</v>
      </c>
      <c r="B2320" s="18">
        <v>17.08</v>
      </c>
      <c r="C2320" s="18">
        <v>5.73</v>
      </c>
      <c r="D2320" s="18" t="s">
        <v>73</v>
      </c>
      <c r="E2320" s="18" t="s">
        <v>73</v>
      </c>
      <c r="F2320" s="18" t="s">
        <v>184</v>
      </c>
      <c r="G2320" s="18">
        <v>1.0</v>
      </c>
      <c r="H2320" s="18" t="s">
        <v>73</v>
      </c>
      <c r="I2320" s="18" t="str">
        <f t="shared" si="1"/>
        <v>Underweight</v>
      </c>
    </row>
    <row r="2321" ht="15.75" customHeight="1">
      <c r="A2321" s="18" t="s">
        <v>515</v>
      </c>
      <c r="B2321" s="18">
        <v>19.21</v>
      </c>
      <c r="C2321" s="18">
        <v>5.53</v>
      </c>
      <c r="D2321" s="18" t="s">
        <v>80</v>
      </c>
      <c r="E2321" s="18" t="s">
        <v>73</v>
      </c>
      <c r="F2321" s="18" t="s">
        <v>73</v>
      </c>
      <c r="G2321" s="20">
        <v>0.0</v>
      </c>
      <c r="H2321" s="18" t="s">
        <v>73</v>
      </c>
      <c r="I2321" s="18" t="str">
        <f t="shared" si="1"/>
        <v>Normal Weight</v>
      </c>
    </row>
    <row r="2322" ht="15.75" customHeight="1">
      <c r="A2322" s="18" t="s">
        <v>497</v>
      </c>
      <c r="B2322" s="18">
        <v>17.86</v>
      </c>
      <c r="C2322" s="18">
        <v>5.43</v>
      </c>
      <c r="D2322" s="18" t="s">
        <v>73</v>
      </c>
      <c r="E2322" s="18" t="s">
        <v>73</v>
      </c>
      <c r="F2322" s="18" t="s">
        <v>184</v>
      </c>
      <c r="G2322" s="18">
        <v>1.0</v>
      </c>
      <c r="H2322" s="18" t="s">
        <v>73</v>
      </c>
      <c r="I2322" s="18" t="str">
        <f t="shared" si="1"/>
        <v>Underweight</v>
      </c>
    </row>
    <row r="2323" ht="15.75" customHeight="1">
      <c r="A2323" s="18" t="s">
        <v>482</v>
      </c>
      <c r="B2323" s="18">
        <v>21.38</v>
      </c>
      <c r="C2323" s="18">
        <v>8.01</v>
      </c>
      <c r="D2323" s="18" t="s">
        <v>73</v>
      </c>
      <c r="E2323" s="18" t="s">
        <v>73</v>
      </c>
      <c r="F2323" s="18" t="s">
        <v>73</v>
      </c>
      <c r="G2323" s="20">
        <v>0.0</v>
      </c>
      <c r="H2323" s="18" t="s">
        <v>73</v>
      </c>
      <c r="I2323" s="18" t="str">
        <f t="shared" si="1"/>
        <v>Normal Weight</v>
      </c>
    </row>
    <row r="2324" ht="15.75" customHeight="1">
      <c r="A2324" s="18" t="s">
        <v>469</v>
      </c>
      <c r="B2324" s="18">
        <v>23.35</v>
      </c>
      <c r="C2324" s="18">
        <v>5.94</v>
      </c>
      <c r="D2324" s="18" t="s">
        <v>73</v>
      </c>
      <c r="E2324" s="18" t="s">
        <v>73</v>
      </c>
      <c r="F2324" s="18" t="s">
        <v>73</v>
      </c>
      <c r="G2324" s="20">
        <v>0.0</v>
      </c>
      <c r="H2324" s="18" t="s">
        <v>73</v>
      </c>
      <c r="I2324" s="18" t="str">
        <f t="shared" si="1"/>
        <v>Normal Weight</v>
      </c>
    </row>
    <row r="2325" ht="15.75" customHeight="1">
      <c r="A2325" s="18" t="s">
        <v>454</v>
      </c>
      <c r="B2325" s="18">
        <v>22.24</v>
      </c>
      <c r="C2325" s="18">
        <v>5.04</v>
      </c>
      <c r="D2325" s="18" t="s">
        <v>73</v>
      </c>
      <c r="E2325" s="18" t="s">
        <v>73</v>
      </c>
      <c r="F2325" s="18" t="s">
        <v>73</v>
      </c>
      <c r="G2325" s="20">
        <v>0.0</v>
      </c>
      <c r="H2325" s="18" t="s">
        <v>73</v>
      </c>
      <c r="I2325" s="18" t="str">
        <f t="shared" si="1"/>
        <v>Normal Weight</v>
      </c>
    </row>
    <row r="2326" ht="15.75" customHeight="1">
      <c r="A2326" s="18" t="s">
        <v>438</v>
      </c>
      <c r="B2326" s="18">
        <v>24.76</v>
      </c>
      <c r="C2326" s="18">
        <v>4.54</v>
      </c>
      <c r="D2326" s="18" t="s">
        <v>80</v>
      </c>
      <c r="E2326" s="18" t="s">
        <v>73</v>
      </c>
      <c r="F2326" s="18" t="s">
        <v>73</v>
      </c>
      <c r="G2326" s="20">
        <v>0.0</v>
      </c>
      <c r="H2326" s="18" t="s">
        <v>73</v>
      </c>
      <c r="I2326" s="18" t="str">
        <f t="shared" si="1"/>
        <v>Normal Weight</v>
      </c>
    </row>
    <row r="2327" ht="15.75" customHeight="1">
      <c r="A2327" s="18" t="s">
        <v>417</v>
      </c>
      <c r="B2327" s="18">
        <v>20.1</v>
      </c>
      <c r="C2327" s="18">
        <v>5.6</v>
      </c>
      <c r="D2327" s="18" t="s">
        <v>80</v>
      </c>
      <c r="E2327" s="18" t="s">
        <v>73</v>
      </c>
      <c r="F2327" s="18" t="s">
        <v>184</v>
      </c>
      <c r="G2327" s="18">
        <v>1.0</v>
      </c>
      <c r="H2327" s="18" t="s">
        <v>73</v>
      </c>
      <c r="I2327" s="18" t="str">
        <f t="shared" si="1"/>
        <v>Normal Weight</v>
      </c>
    </row>
    <row r="2328" ht="15.75" customHeight="1">
      <c r="A2328" s="18" t="s">
        <v>378</v>
      </c>
      <c r="B2328" s="18">
        <v>21.77</v>
      </c>
      <c r="C2328" s="18">
        <v>10.67</v>
      </c>
      <c r="D2328" s="18" t="s">
        <v>73</v>
      </c>
      <c r="E2328" s="18" t="s">
        <v>73</v>
      </c>
      <c r="F2328" s="18" t="s">
        <v>73</v>
      </c>
      <c r="G2328" s="20">
        <v>0.0</v>
      </c>
      <c r="H2328" s="18" t="s">
        <v>73</v>
      </c>
      <c r="I2328" s="18" t="str">
        <f t="shared" si="1"/>
        <v>Normal Weight</v>
      </c>
    </row>
    <row r="2329" ht="15.75" customHeight="1">
      <c r="A2329" s="18" t="s">
        <v>366</v>
      </c>
      <c r="B2329" s="18">
        <v>17.82</v>
      </c>
      <c r="C2329" s="18">
        <v>5.26</v>
      </c>
      <c r="D2329" s="18" t="s">
        <v>80</v>
      </c>
      <c r="E2329" s="18" t="s">
        <v>73</v>
      </c>
      <c r="F2329" s="18" t="s">
        <v>73</v>
      </c>
      <c r="G2329" s="18">
        <v>1.0</v>
      </c>
      <c r="H2329" s="18" t="s">
        <v>73</v>
      </c>
      <c r="I2329" s="18" t="str">
        <f t="shared" si="1"/>
        <v>Underweight</v>
      </c>
    </row>
    <row r="2330" ht="15.75" customHeight="1">
      <c r="A2330" s="18" t="s">
        <v>348</v>
      </c>
      <c r="B2330" s="18">
        <v>17.07</v>
      </c>
      <c r="C2330" s="18">
        <v>5.22</v>
      </c>
      <c r="D2330" s="18" t="s">
        <v>73</v>
      </c>
      <c r="E2330" s="18" t="s">
        <v>73</v>
      </c>
      <c r="F2330" s="18" t="s">
        <v>184</v>
      </c>
      <c r="G2330" s="18">
        <v>1.0</v>
      </c>
      <c r="H2330" s="18" t="s">
        <v>73</v>
      </c>
      <c r="I2330" s="18" t="str">
        <f t="shared" si="1"/>
        <v>Underweight</v>
      </c>
    </row>
    <row r="2331" ht="15.75" customHeight="1">
      <c r="A2331" s="18" t="s">
        <v>317</v>
      </c>
      <c r="B2331" s="18">
        <v>22.24</v>
      </c>
      <c r="C2331" s="18">
        <v>4.29</v>
      </c>
      <c r="D2331" s="18" t="s">
        <v>80</v>
      </c>
      <c r="E2331" s="18" t="s">
        <v>73</v>
      </c>
      <c r="F2331" s="18" t="s">
        <v>73</v>
      </c>
      <c r="G2331" s="20">
        <v>0.0</v>
      </c>
      <c r="H2331" s="18" t="s">
        <v>73</v>
      </c>
      <c r="I2331" s="18" t="str">
        <f t="shared" si="1"/>
        <v>Normal Weight</v>
      </c>
    </row>
    <row r="2332" ht="15.75" customHeight="1">
      <c r="A2332" s="18" t="s">
        <v>293</v>
      </c>
      <c r="B2332" s="18">
        <v>22.34</v>
      </c>
      <c r="C2332" s="18">
        <v>5.57</v>
      </c>
      <c r="D2332" s="18" t="s">
        <v>73</v>
      </c>
      <c r="E2332" s="18" t="s">
        <v>73</v>
      </c>
      <c r="F2332" s="18" t="s">
        <v>73</v>
      </c>
      <c r="G2332" s="18">
        <v>1.0</v>
      </c>
      <c r="H2332" s="18" t="s">
        <v>73</v>
      </c>
      <c r="I2332" s="18" t="str">
        <f t="shared" si="1"/>
        <v>Normal Weight</v>
      </c>
    </row>
    <row r="2333" ht="15.75" customHeight="1">
      <c r="A2333" s="18" t="s">
        <v>269</v>
      </c>
      <c r="B2333" s="18">
        <v>17.7</v>
      </c>
      <c r="C2333" s="18">
        <v>6.28</v>
      </c>
      <c r="D2333" s="18" t="s">
        <v>73</v>
      </c>
      <c r="E2333" s="18" t="s">
        <v>73</v>
      </c>
      <c r="F2333" s="18" t="s">
        <v>73</v>
      </c>
      <c r="G2333" s="18">
        <v>1.0</v>
      </c>
      <c r="H2333" s="18" t="s">
        <v>73</v>
      </c>
      <c r="I2333" s="18" t="str">
        <f t="shared" si="1"/>
        <v>Underweight</v>
      </c>
    </row>
    <row r="2334" ht="15.75" customHeight="1">
      <c r="A2334" s="18" t="s">
        <v>238</v>
      </c>
      <c r="B2334" s="18">
        <v>16.47</v>
      </c>
      <c r="C2334" s="18">
        <v>6.35</v>
      </c>
      <c r="D2334" s="18" t="s">
        <v>73</v>
      </c>
      <c r="E2334" s="18" t="s">
        <v>73</v>
      </c>
      <c r="F2334" s="18" t="s">
        <v>184</v>
      </c>
      <c r="G2334" s="18">
        <v>1.0</v>
      </c>
      <c r="H2334" s="18" t="s">
        <v>73</v>
      </c>
      <c r="I2334" s="18" t="str">
        <f t="shared" si="1"/>
        <v>Underweight</v>
      </c>
    </row>
    <row r="2335" ht="15.75" customHeight="1">
      <c r="A2335" s="18" t="s">
        <v>205</v>
      </c>
      <c r="B2335" s="18">
        <v>17.6</v>
      </c>
      <c r="C2335" s="18">
        <v>4.39</v>
      </c>
      <c r="D2335" s="18" t="s">
        <v>73</v>
      </c>
      <c r="E2335" s="18" t="s">
        <v>73</v>
      </c>
      <c r="F2335" s="18" t="s">
        <v>73</v>
      </c>
      <c r="G2335" s="18">
        <v>1.0</v>
      </c>
      <c r="H2335" s="18" t="s">
        <v>73</v>
      </c>
      <c r="I2335" s="18" t="str">
        <f t="shared" si="1"/>
        <v>Underweight</v>
      </c>
    </row>
    <row r="2336" ht="15.75" customHeight="1">
      <c r="A2336" s="18" t="s">
        <v>86</v>
      </c>
      <c r="B2336" s="18">
        <v>17.58</v>
      </c>
      <c r="C2336" s="18">
        <v>4.51</v>
      </c>
      <c r="D2336" s="18" t="s">
        <v>73</v>
      </c>
      <c r="E2336" s="18" t="s">
        <v>73</v>
      </c>
      <c r="F2336" s="18" t="s">
        <v>73</v>
      </c>
      <c r="G2336" s="18">
        <v>1.0</v>
      </c>
      <c r="H2336" s="18" t="s">
        <v>73</v>
      </c>
      <c r="I2336" s="18" t="str">
        <f t="shared" si="1"/>
        <v>Underweight</v>
      </c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86"/>
    <col customWidth="1" min="2" max="4" width="8.71"/>
    <col customWidth="1" min="5" max="5" width="13.14"/>
    <col customWidth="1" min="6" max="7" width="8.71"/>
    <col customWidth="1" min="8" max="8" width="13.14"/>
    <col customWidth="1" min="9" max="12" width="8.71"/>
    <col customWidth="1" min="13" max="14" width="15.0"/>
    <col customWidth="1" min="15" max="28" width="8.71"/>
  </cols>
  <sheetData>
    <row r="1" ht="18.75" customHeight="1">
      <c r="A1" s="6" t="s">
        <v>0</v>
      </c>
      <c r="B1" s="6" t="s">
        <v>5</v>
      </c>
      <c r="C1" s="6" t="s">
        <v>6</v>
      </c>
      <c r="D1" s="6" t="s">
        <v>7</v>
      </c>
      <c r="E1" s="8" t="s">
        <v>8</v>
      </c>
      <c r="F1" s="6" t="s">
        <v>9</v>
      </c>
      <c r="G1" s="11" t="s">
        <v>11</v>
      </c>
      <c r="H1" s="6" t="s">
        <v>20</v>
      </c>
      <c r="I1" s="6" t="s">
        <v>23</v>
      </c>
      <c r="J1" s="14" t="s">
        <v>27</v>
      </c>
      <c r="K1" s="14" t="s">
        <v>49</v>
      </c>
      <c r="L1" s="16"/>
      <c r="M1" s="8" t="s">
        <v>61</v>
      </c>
      <c r="N1" s="8" t="s">
        <v>64</v>
      </c>
      <c r="O1" s="5"/>
      <c r="P1" s="19"/>
      <c r="S1" s="5"/>
      <c r="T1" s="5"/>
      <c r="U1" s="5"/>
      <c r="V1" s="5"/>
      <c r="W1" s="5"/>
      <c r="X1" s="5"/>
      <c r="Y1" s="5"/>
      <c r="Z1" s="5"/>
      <c r="AA1" s="5"/>
      <c r="AB1" s="5"/>
    </row>
    <row r="2">
      <c r="A2" s="18" t="s">
        <v>86</v>
      </c>
      <c r="B2" s="18">
        <v>1992.0</v>
      </c>
      <c r="C2" s="18" t="s">
        <v>91</v>
      </c>
      <c r="D2" s="18">
        <v>9.0</v>
      </c>
      <c r="E2" s="18" t="str">
        <f t="shared" ref="E2:E2344" si="1">TEXT(DATEVALUE(D2 &amp; "-" &amp; C2 &amp; "-" &amp; B2), "dd/mm/yy") </f>
        <v>09/07/92</v>
      </c>
      <c r="F2" s="18">
        <v>0.0</v>
      </c>
      <c r="G2" s="27">
        <v>563.84</v>
      </c>
      <c r="H2" s="18" t="s">
        <v>140</v>
      </c>
      <c r="I2" s="18" t="s">
        <v>142</v>
      </c>
      <c r="J2" s="18" t="s">
        <v>146</v>
      </c>
      <c r="K2" s="29">
        <f t="shared" ref="K2:K2344" si="2">IFERROR(DATEDIF(DATEVALUE(D2 &amp; "-" &amp; C2 &amp; "-" &amp; B2), DATE(2023, 6, 8), "Y"), "No Data")</f>
        <v>30</v>
      </c>
      <c r="M2" s="6" t="s">
        <v>0</v>
      </c>
      <c r="N2" s="28">
        <f>COUNTIF(A2:A2344,"~?")</f>
        <v>0</v>
      </c>
      <c r="P2" s="30"/>
    </row>
    <row r="3">
      <c r="A3" s="18" t="s">
        <v>205</v>
      </c>
      <c r="B3" s="18">
        <v>1992.0</v>
      </c>
      <c r="C3" s="18" t="s">
        <v>209</v>
      </c>
      <c r="D3" s="18">
        <v>30.0</v>
      </c>
      <c r="E3" s="18" t="str">
        <f t="shared" si="1"/>
        <v>30/11/92</v>
      </c>
      <c r="F3" s="18">
        <v>0.0</v>
      </c>
      <c r="G3" s="27">
        <v>570.62</v>
      </c>
      <c r="H3" s="18" t="s">
        <v>140</v>
      </c>
      <c r="I3" s="18" t="s">
        <v>219</v>
      </c>
      <c r="J3" s="18" t="s">
        <v>146</v>
      </c>
      <c r="K3" s="29">
        <f t="shared" si="2"/>
        <v>30</v>
      </c>
      <c r="M3" s="6" t="s">
        <v>5</v>
      </c>
      <c r="N3" s="28">
        <f>COUNTIF(B3:B2345,"~?")</f>
        <v>0</v>
      </c>
      <c r="P3" s="30"/>
    </row>
    <row r="4">
      <c r="A4" s="18" t="s">
        <v>238</v>
      </c>
      <c r="B4" s="18">
        <v>1993.0</v>
      </c>
      <c r="C4" s="18" t="s">
        <v>241</v>
      </c>
      <c r="D4" s="18">
        <v>30.0</v>
      </c>
      <c r="E4" s="18" t="str">
        <f t="shared" si="1"/>
        <v>30/06/93</v>
      </c>
      <c r="F4" s="18">
        <v>0.0</v>
      </c>
      <c r="G4" s="27">
        <v>600.0</v>
      </c>
      <c r="H4" s="18" t="s">
        <v>140</v>
      </c>
      <c r="I4" s="18" t="s">
        <v>219</v>
      </c>
      <c r="J4" s="18" t="s">
        <v>146</v>
      </c>
      <c r="K4" s="29">
        <f t="shared" si="2"/>
        <v>29</v>
      </c>
      <c r="M4" s="6" t="s">
        <v>6</v>
      </c>
      <c r="N4" s="32">
        <f>COUNTIF(C3:C2345,"~?")</f>
        <v>0</v>
      </c>
      <c r="P4" s="30"/>
    </row>
    <row r="5">
      <c r="A5" s="18" t="s">
        <v>269</v>
      </c>
      <c r="B5" s="18">
        <v>1992.0</v>
      </c>
      <c r="C5" s="18" t="s">
        <v>272</v>
      </c>
      <c r="D5" s="18">
        <v>13.0</v>
      </c>
      <c r="E5" s="18" t="str">
        <f t="shared" si="1"/>
        <v>13/09/92</v>
      </c>
      <c r="F5" s="18">
        <v>0.0</v>
      </c>
      <c r="G5" s="27">
        <v>604.54</v>
      </c>
      <c r="H5" s="18" t="s">
        <v>142</v>
      </c>
      <c r="I5" s="18" t="s">
        <v>142</v>
      </c>
      <c r="J5" s="18" t="s">
        <v>146</v>
      </c>
      <c r="K5" s="29">
        <f t="shared" si="2"/>
        <v>30</v>
      </c>
      <c r="M5" s="6" t="s">
        <v>7</v>
      </c>
      <c r="N5" s="28">
        <f>COUNTIF(D3:D2345,"~?")</f>
        <v>0</v>
      </c>
      <c r="P5" s="30"/>
    </row>
    <row r="6">
      <c r="A6" s="18" t="s">
        <v>293</v>
      </c>
      <c r="B6" s="18">
        <v>1998.0</v>
      </c>
      <c r="C6" s="18" t="s">
        <v>91</v>
      </c>
      <c r="D6" s="18">
        <v>27.0</v>
      </c>
      <c r="E6" s="18" t="str">
        <f t="shared" si="1"/>
        <v>27/07/98</v>
      </c>
      <c r="F6" s="18">
        <v>0.0</v>
      </c>
      <c r="G6" s="27">
        <v>637.26</v>
      </c>
      <c r="H6" s="18" t="s">
        <v>142</v>
      </c>
      <c r="I6" s="18" t="s">
        <v>142</v>
      </c>
      <c r="J6" s="18" t="s">
        <v>146</v>
      </c>
      <c r="K6" s="29">
        <f t="shared" si="2"/>
        <v>24</v>
      </c>
      <c r="M6" s="6" t="s">
        <v>9</v>
      </c>
      <c r="N6" s="28">
        <f>COUNTIF(F3:F2345,"~?")</f>
        <v>0</v>
      </c>
      <c r="P6" s="30"/>
    </row>
    <row r="7" ht="17.25" customHeight="1">
      <c r="A7" s="18" t="s">
        <v>317</v>
      </c>
      <c r="B7" s="18">
        <v>2001.0</v>
      </c>
      <c r="C7" s="18" t="s">
        <v>209</v>
      </c>
      <c r="D7" s="18">
        <v>20.0</v>
      </c>
      <c r="E7" s="18" t="str">
        <f t="shared" si="1"/>
        <v>20/11/01</v>
      </c>
      <c r="F7" s="18">
        <v>0.0</v>
      </c>
      <c r="G7" s="27">
        <v>646.14</v>
      </c>
      <c r="H7" s="18" t="s">
        <v>142</v>
      </c>
      <c r="I7" s="18" t="s">
        <v>142</v>
      </c>
      <c r="J7" s="18" t="s">
        <v>325</v>
      </c>
      <c r="K7" s="29">
        <f t="shared" si="2"/>
        <v>21</v>
      </c>
      <c r="M7" s="6" t="s">
        <v>11</v>
      </c>
      <c r="N7" s="28">
        <f>COUNTIF(G3:G2345,"~?")</f>
        <v>0</v>
      </c>
      <c r="O7" s="20" t="s">
        <v>344</v>
      </c>
      <c r="P7" s="30"/>
    </row>
    <row r="8">
      <c r="A8" s="18" t="s">
        <v>348</v>
      </c>
      <c r="B8" s="18">
        <v>1993.0</v>
      </c>
      <c r="C8" s="18" t="s">
        <v>241</v>
      </c>
      <c r="D8" s="18">
        <v>1.0</v>
      </c>
      <c r="E8" s="18" t="str">
        <f t="shared" si="1"/>
        <v>01/06/93</v>
      </c>
      <c r="F8" s="18">
        <v>0.0</v>
      </c>
      <c r="G8" s="27">
        <v>650.0</v>
      </c>
      <c r="H8" s="18" t="s">
        <v>142</v>
      </c>
      <c r="I8" s="18" t="s">
        <v>142</v>
      </c>
      <c r="J8" s="18" t="s">
        <v>146</v>
      </c>
      <c r="K8" s="29">
        <f t="shared" si="2"/>
        <v>30</v>
      </c>
      <c r="M8" s="6" t="s">
        <v>20</v>
      </c>
      <c r="N8" s="28">
        <f>COUNTIF(H3:H2345,"~?")</f>
        <v>0</v>
      </c>
      <c r="P8" s="30"/>
    </row>
    <row r="9">
      <c r="A9" s="18" t="s">
        <v>366</v>
      </c>
      <c r="B9" s="18">
        <v>1995.0</v>
      </c>
      <c r="C9" s="18" t="s">
        <v>91</v>
      </c>
      <c r="D9" s="18">
        <v>4.0</v>
      </c>
      <c r="E9" s="18" t="str">
        <f t="shared" si="1"/>
        <v>04/07/95</v>
      </c>
      <c r="F9" s="18">
        <v>0.0</v>
      </c>
      <c r="G9" s="27">
        <v>650.0</v>
      </c>
      <c r="H9" s="18" t="s">
        <v>142</v>
      </c>
      <c r="I9" s="18" t="s">
        <v>142</v>
      </c>
      <c r="J9" s="18" t="s">
        <v>146</v>
      </c>
      <c r="K9" s="29">
        <f t="shared" si="2"/>
        <v>27</v>
      </c>
      <c r="M9" s="6" t="s">
        <v>23</v>
      </c>
      <c r="N9" s="28">
        <f>COUNTIF(I3:I2345,"~?")</f>
        <v>0</v>
      </c>
      <c r="P9" s="30"/>
    </row>
    <row r="10">
      <c r="A10" s="18" t="s">
        <v>378</v>
      </c>
      <c r="B10" s="18">
        <v>2002.0</v>
      </c>
      <c r="C10" s="18" t="s">
        <v>209</v>
      </c>
      <c r="D10" s="18">
        <v>29.0</v>
      </c>
      <c r="E10" s="18" t="str">
        <f t="shared" si="1"/>
        <v>29/11/02</v>
      </c>
      <c r="F10" s="18">
        <v>0.0</v>
      </c>
      <c r="G10" s="27">
        <v>668.0</v>
      </c>
      <c r="H10" s="18" t="s">
        <v>142</v>
      </c>
      <c r="I10" s="18" t="s">
        <v>140</v>
      </c>
      <c r="J10" s="18" t="s">
        <v>325</v>
      </c>
      <c r="K10" s="29">
        <f t="shared" si="2"/>
        <v>20</v>
      </c>
      <c r="M10" s="6" t="s">
        <v>27</v>
      </c>
      <c r="N10" s="28">
        <f>COUNTIF(J3:J2345,"~?")</f>
        <v>0</v>
      </c>
    </row>
    <row r="11">
      <c r="A11" s="18" t="s">
        <v>417</v>
      </c>
      <c r="B11" s="18">
        <v>1997.0</v>
      </c>
      <c r="C11" s="18" t="s">
        <v>209</v>
      </c>
      <c r="D11" s="18">
        <v>9.0</v>
      </c>
      <c r="E11" s="18" t="str">
        <f t="shared" si="1"/>
        <v>09/11/97</v>
      </c>
      <c r="F11" s="18">
        <v>0.0</v>
      </c>
      <c r="G11" s="27">
        <v>670.0</v>
      </c>
      <c r="H11" s="18" t="s">
        <v>142</v>
      </c>
      <c r="I11" s="18" t="s">
        <v>142</v>
      </c>
      <c r="J11" s="18" t="s">
        <v>146</v>
      </c>
      <c r="K11" s="29">
        <f t="shared" si="2"/>
        <v>25</v>
      </c>
    </row>
    <row r="12">
      <c r="A12" s="18" t="s">
        <v>438</v>
      </c>
      <c r="B12" s="18">
        <v>2001.0</v>
      </c>
      <c r="C12" s="18" t="s">
        <v>272</v>
      </c>
      <c r="D12" s="18">
        <v>12.0</v>
      </c>
      <c r="E12" s="18" t="str">
        <f t="shared" si="1"/>
        <v>12/09/01</v>
      </c>
      <c r="F12" s="18">
        <v>0.0</v>
      </c>
      <c r="G12" s="27">
        <v>687.54</v>
      </c>
      <c r="H12" s="18" t="s">
        <v>142</v>
      </c>
      <c r="I12" s="18" t="s">
        <v>140</v>
      </c>
      <c r="J12" s="18" t="s">
        <v>146</v>
      </c>
      <c r="K12" s="29">
        <f t="shared" si="2"/>
        <v>21</v>
      </c>
    </row>
    <row r="13">
      <c r="A13" s="18" t="s">
        <v>454</v>
      </c>
      <c r="B13" s="18">
        <v>1999.0</v>
      </c>
      <c r="C13" s="18" t="s">
        <v>457</v>
      </c>
      <c r="D13" s="18">
        <v>26.0</v>
      </c>
      <c r="E13" s="18" t="str">
        <f t="shared" si="1"/>
        <v>26/12/99</v>
      </c>
      <c r="F13" s="18">
        <v>0.0</v>
      </c>
      <c r="G13" s="27">
        <v>700.0</v>
      </c>
      <c r="H13" s="20" t="s">
        <v>140</v>
      </c>
      <c r="I13" s="18" t="s">
        <v>142</v>
      </c>
      <c r="J13" s="18" t="s">
        <v>146</v>
      </c>
      <c r="K13" s="29">
        <f t="shared" si="2"/>
        <v>23</v>
      </c>
    </row>
    <row r="14">
      <c r="A14" s="18" t="s">
        <v>469</v>
      </c>
      <c r="B14" s="18">
        <v>1999.0</v>
      </c>
      <c r="C14" s="18" t="s">
        <v>457</v>
      </c>
      <c r="D14" s="18">
        <v>14.0</v>
      </c>
      <c r="E14" s="18" t="str">
        <f t="shared" si="1"/>
        <v>14/12/99</v>
      </c>
      <c r="F14" s="18">
        <v>0.0</v>
      </c>
      <c r="G14" s="27">
        <v>722.99</v>
      </c>
      <c r="H14" s="18" t="s">
        <v>142</v>
      </c>
      <c r="I14" s="18" t="s">
        <v>219</v>
      </c>
      <c r="J14" s="18" t="s">
        <v>146</v>
      </c>
      <c r="K14" s="29">
        <f t="shared" si="2"/>
        <v>23</v>
      </c>
    </row>
    <row r="15">
      <c r="A15" s="18" t="s">
        <v>482</v>
      </c>
      <c r="B15" s="18">
        <v>2002.0</v>
      </c>
      <c r="C15" s="20">
        <v>0.0</v>
      </c>
      <c r="D15" s="18">
        <v>19.0</v>
      </c>
      <c r="E15" s="18" t="str">
        <f t="shared" si="1"/>
        <v>#VALUE!</v>
      </c>
      <c r="F15" s="18">
        <v>0.0</v>
      </c>
      <c r="G15" s="27">
        <v>750.0</v>
      </c>
      <c r="H15" s="18" t="s">
        <v>142</v>
      </c>
      <c r="I15" s="18" t="s">
        <v>219</v>
      </c>
      <c r="J15" s="18" t="s">
        <v>325</v>
      </c>
      <c r="K15" s="29" t="str">
        <f t="shared" si="2"/>
        <v>No Data</v>
      </c>
    </row>
    <row r="16">
      <c r="A16" s="18" t="s">
        <v>497</v>
      </c>
      <c r="B16" s="18">
        <v>1993.0</v>
      </c>
      <c r="C16" s="18" t="s">
        <v>501</v>
      </c>
      <c r="D16" s="18">
        <v>9.0</v>
      </c>
      <c r="E16" s="18" t="str">
        <f t="shared" si="1"/>
        <v>09/08/93</v>
      </c>
      <c r="F16" s="18">
        <v>0.0</v>
      </c>
      <c r="G16" s="27">
        <v>760.0</v>
      </c>
      <c r="H16" s="18" t="s">
        <v>142</v>
      </c>
      <c r="I16" s="18" t="s">
        <v>219</v>
      </c>
      <c r="J16" s="18" t="s">
        <v>146</v>
      </c>
      <c r="K16" s="29">
        <f t="shared" si="2"/>
        <v>29</v>
      </c>
      <c r="M16" s="34"/>
    </row>
    <row r="17">
      <c r="A17" s="18" t="s">
        <v>515</v>
      </c>
      <c r="B17" s="18">
        <v>1996.0</v>
      </c>
      <c r="C17" s="18" t="s">
        <v>517</v>
      </c>
      <c r="D17" s="18">
        <v>22.0</v>
      </c>
      <c r="E17" s="18" t="str">
        <f t="shared" si="1"/>
        <v>22/10/96</v>
      </c>
      <c r="F17" s="18">
        <v>0.0</v>
      </c>
      <c r="G17" s="27">
        <v>760.0</v>
      </c>
      <c r="H17" s="18" t="s">
        <v>142</v>
      </c>
      <c r="I17" s="18" t="s">
        <v>142</v>
      </c>
      <c r="J17" s="18" t="s">
        <v>146</v>
      </c>
      <c r="K17" s="29">
        <f t="shared" si="2"/>
        <v>26</v>
      </c>
      <c r="M17" s="26"/>
    </row>
    <row r="18">
      <c r="A18" s="18" t="s">
        <v>535</v>
      </c>
      <c r="B18" s="18">
        <v>1993.0</v>
      </c>
      <c r="C18" s="18" t="s">
        <v>241</v>
      </c>
      <c r="D18" s="18">
        <v>28.0</v>
      </c>
      <c r="E18" s="18" t="str">
        <f t="shared" si="1"/>
        <v>28/06/93</v>
      </c>
      <c r="F18" s="18">
        <v>0.0</v>
      </c>
      <c r="G18" s="27">
        <v>770.0</v>
      </c>
      <c r="H18" s="18" t="s">
        <v>142</v>
      </c>
      <c r="I18" s="18" t="s">
        <v>142</v>
      </c>
      <c r="J18" s="18" t="s">
        <v>146</v>
      </c>
      <c r="K18" s="29">
        <f t="shared" si="2"/>
        <v>29</v>
      </c>
    </row>
    <row r="19">
      <c r="A19" s="18" t="s">
        <v>545</v>
      </c>
      <c r="B19" s="18">
        <v>1996.0</v>
      </c>
      <c r="C19" s="20">
        <v>0.0</v>
      </c>
      <c r="D19" s="18">
        <v>18.0</v>
      </c>
      <c r="E19" s="18" t="str">
        <f t="shared" si="1"/>
        <v>#VALUE!</v>
      </c>
      <c r="F19" s="18">
        <v>0.0</v>
      </c>
      <c r="G19" s="27">
        <v>770.38</v>
      </c>
      <c r="H19" s="18" t="s">
        <v>142</v>
      </c>
      <c r="I19" s="18" t="s">
        <v>140</v>
      </c>
      <c r="J19" s="18" t="s">
        <v>325</v>
      </c>
      <c r="K19" s="29" t="str">
        <f t="shared" si="2"/>
        <v>No Data</v>
      </c>
    </row>
    <row r="20">
      <c r="A20" s="18" t="s">
        <v>556</v>
      </c>
      <c r="B20" s="18">
        <v>1995.0</v>
      </c>
      <c r="C20" s="18" t="s">
        <v>457</v>
      </c>
      <c r="D20" s="18">
        <v>7.0</v>
      </c>
      <c r="E20" s="18" t="str">
        <f t="shared" si="1"/>
        <v>07/12/95</v>
      </c>
      <c r="F20" s="18">
        <v>0.0</v>
      </c>
      <c r="G20" s="27">
        <v>773.54</v>
      </c>
      <c r="H20" s="18" t="s">
        <v>142</v>
      </c>
      <c r="I20" s="18" t="s">
        <v>140</v>
      </c>
      <c r="J20" s="18" t="s">
        <v>146</v>
      </c>
      <c r="K20" s="29">
        <f t="shared" si="2"/>
        <v>27</v>
      </c>
    </row>
    <row r="21" ht="15.75" customHeight="1">
      <c r="A21" s="18" t="s">
        <v>564</v>
      </c>
      <c r="B21" s="18">
        <v>2004.0</v>
      </c>
      <c r="C21" s="18" t="s">
        <v>517</v>
      </c>
      <c r="D21" s="18">
        <v>7.0</v>
      </c>
      <c r="E21" s="18" t="str">
        <f t="shared" si="1"/>
        <v>07/10/04</v>
      </c>
      <c r="F21" s="18">
        <v>0.0</v>
      </c>
      <c r="G21" s="27">
        <v>830.52</v>
      </c>
      <c r="H21" s="18" t="s">
        <v>142</v>
      </c>
      <c r="I21" s="18" t="s">
        <v>140</v>
      </c>
      <c r="J21" s="18" t="s">
        <v>570</v>
      </c>
      <c r="K21" s="29">
        <f t="shared" si="2"/>
        <v>18</v>
      </c>
    </row>
    <row r="22" ht="15.75" customHeight="1">
      <c r="A22" s="18" t="s">
        <v>574</v>
      </c>
      <c r="B22" s="18">
        <v>2000.0</v>
      </c>
      <c r="C22" s="18" t="s">
        <v>209</v>
      </c>
      <c r="D22" s="18">
        <v>18.0</v>
      </c>
      <c r="E22" s="18" t="str">
        <f t="shared" si="1"/>
        <v>18/11/00</v>
      </c>
      <c r="F22" s="18">
        <v>0.0</v>
      </c>
      <c r="G22" s="27">
        <v>865.41</v>
      </c>
      <c r="H22" s="18" t="s">
        <v>142</v>
      </c>
      <c r="I22" s="18" t="s">
        <v>219</v>
      </c>
      <c r="J22" s="18" t="s">
        <v>146</v>
      </c>
      <c r="K22" s="29">
        <f t="shared" si="2"/>
        <v>22</v>
      </c>
    </row>
    <row r="23" ht="15.75" customHeight="1">
      <c r="A23" s="18" t="s">
        <v>582</v>
      </c>
      <c r="B23" s="18">
        <v>1993.0</v>
      </c>
      <c r="C23" s="18" t="s">
        <v>209</v>
      </c>
      <c r="D23" s="18">
        <v>27.0</v>
      </c>
      <c r="E23" s="18" t="str">
        <f t="shared" si="1"/>
        <v>27/11/93</v>
      </c>
      <c r="F23" s="18">
        <v>0.0</v>
      </c>
      <c r="G23" s="27">
        <v>896.21</v>
      </c>
      <c r="H23" s="18" t="s">
        <v>142</v>
      </c>
      <c r="I23" s="18" t="s">
        <v>219</v>
      </c>
      <c r="J23" s="18" t="s">
        <v>146</v>
      </c>
      <c r="K23" s="29">
        <f t="shared" si="2"/>
        <v>29</v>
      </c>
    </row>
    <row r="24" ht="15.75" customHeight="1">
      <c r="A24" s="18" t="s">
        <v>593</v>
      </c>
      <c r="B24" s="18">
        <v>1994.0</v>
      </c>
      <c r="C24" s="18" t="s">
        <v>517</v>
      </c>
      <c r="D24" s="18">
        <v>30.0</v>
      </c>
      <c r="E24" s="18" t="str">
        <f t="shared" si="1"/>
        <v>30/10/94</v>
      </c>
      <c r="F24" s="18">
        <v>0.0</v>
      </c>
      <c r="G24" s="27">
        <v>915.07</v>
      </c>
      <c r="H24" s="18" t="s">
        <v>142</v>
      </c>
      <c r="I24" s="18" t="s">
        <v>219</v>
      </c>
      <c r="J24" s="18" t="s">
        <v>146</v>
      </c>
      <c r="K24" s="29">
        <f t="shared" si="2"/>
        <v>28</v>
      </c>
    </row>
    <row r="25" ht="15.75" customHeight="1">
      <c r="A25" s="18" t="s">
        <v>601</v>
      </c>
      <c r="B25" s="18">
        <v>1995.0</v>
      </c>
      <c r="C25" s="18" t="s">
        <v>517</v>
      </c>
      <c r="D25" s="18">
        <v>28.0</v>
      </c>
      <c r="E25" s="18" t="str">
        <f t="shared" si="1"/>
        <v>28/10/95</v>
      </c>
      <c r="F25" s="18">
        <v>0.0</v>
      </c>
      <c r="G25" s="27">
        <v>928.59</v>
      </c>
      <c r="H25" s="18" t="s">
        <v>142</v>
      </c>
      <c r="I25" s="18" t="s">
        <v>219</v>
      </c>
      <c r="J25" s="18" t="s">
        <v>146</v>
      </c>
      <c r="K25" s="29">
        <f t="shared" si="2"/>
        <v>27</v>
      </c>
    </row>
    <row r="26" ht="15.75" customHeight="1">
      <c r="A26" s="18" t="s">
        <v>610</v>
      </c>
      <c r="B26" s="18">
        <v>2001.0</v>
      </c>
      <c r="C26" s="18" t="s">
        <v>501</v>
      </c>
      <c r="D26" s="18">
        <v>19.0</v>
      </c>
      <c r="E26" s="18" t="str">
        <f t="shared" si="1"/>
        <v>19/08/01</v>
      </c>
      <c r="F26" s="18">
        <v>0.0</v>
      </c>
      <c r="G26" s="27">
        <v>964.71</v>
      </c>
      <c r="H26" s="18" t="s">
        <v>142</v>
      </c>
      <c r="I26" s="18" t="s">
        <v>140</v>
      </c>
      <c r="J26" s="18" t="s">
        <v>146</v>
      </c>
      <c r="K26" s="29">
        <f t="shared" si="2"/>
        <v>21</v>
      </c>
    </row>
    <row r="27" ht="15.75" customHeight="1">
      <c r="A27" s="18" t="s">
        <v>619</v>
      </c>
      <c r="B27" s="18">
        <v>1994.0</v>
      </c>
      <c r="C27" s="18" t="s">
        <v>209</v>
      </c>
      <c r="D27" s="18">
        <v>22.0</v>
      </c>
      <c r="E27" s="18" t="str">
        <f t="shared" si="1"/>
        <v>22/11/94</v>
      </c>
      <c r="F27" s="18">
        <v>0.0</v>
      </c>
      <c r="G27" s="27">
        <v>1006.65</v>
      </c>
      <c r="H27" s="18" t="s">
        <v>142</v>
      </c>
      <c r="I27" s="18" t="s">
        <v>140</v>
      </c>
      <c r="J27" s="18" t="s">
        <v>146</v>
      </c>
      <c r="K27" s="29">
        <f t="shared" si="2"/>
        <v>28</v>
      </c>
    </row>
    <row r="28" ht="15.75" customHeight="1">
      <c r="A28" s="18" t="s">
        <v>627</v>
      </c>
      <c r="B28" s="18">
        <v>2000.0</v>
      </c>
      <c r="C28" s="18" t="s">
        <v>517</v>
      </c>
      <c r="D28" s="18">
        <v>9.0</v>
      </c>
      <c r="E28" s="18" t="str">
        <f t="shared" si="1"/>
        <v>09/10/00</v>
      </c>
      <c r="F28" s="18">
        <v>0.0</v>
      </c>
      <c r="G28" s="27">
        <v>1012.0</v>
      </c>
      <c r="H28" s="18" t="s">
        <v>142</v>
      </c>
      <c r="I28" s="18" t="s">
        <v>140</v>
      </c>
      <c r="J28" s="18" t="s">
        <v>146</v>
      </c>
      <c r="K28" s="29">
        <f t="shared" si="2"/>
        <v>22</v>
      </c>
    </row>
    <row r="29" ht="15.75" customHeight="1">
      <c r="A29" s="18" t="s">
        <v>636</v>
      </c>
      <c r="B29" s="18">
        <v>1999.0</v>
      </c>
      <c r="C29" s="18" t="s">
        <v>501</v>
      </c>
      <c r="D29" s="18">
        <v>5.0</v>
      </c>
      <c r="E29" s="18" t="str">
        <f t="shared" si="1"/>
        <v>05/08/99</v>
      </c>
      <c r="F29" s="18">
        <v>0.0</v>
      </c>
      <c r="G29" s="27">
        <v>1019.0</v>
      </c>
      <c r="H29" s="18" t="s">
        <v>142</v>
      </c>
      <c r="I29" s="18" t="s">
        <v>140</v>
      </c>
      <c r="J29" s="18" t="s">
        <v>146</v>
      </c>
      <c r="K29" s="29">
        <f t="shared" si="2"/>
        <v>23</v>
      </c>
    </row>
    <row r="30" ht="15.75" customHeight="1">
      <c r="A30" s="18" t="s">
        <v>644</v>
      </c>
      <c r="B30" s="18">
        <v>1995.0</v>
      </c>
      <c r="C30" s="18" t="s">
        <v>517</v>
      </c>
      <c r="D30" s="18">
        <v>5.0</v>
      </c>
      <c r="E30" s="18" t="str">
        <f t="shared" si="1"/>
        <v>05/10/95</v>
      </c>
      <c r="F30" s="18">
        <v>0.0</v>
      </c>
      <c r="G30" s="27">
        <v>1033.74</v>
      </c>
      <c r="H30" s="18" t="s">
        <v>142</v>
      </c>
      <c r="I30" s="18" t="s">
        <v>219</v>
      </c>
      <c r="J30" s="18" t="s">
        <v>146</v>
      </c>
      <c r="K30" s="29">
        <f t="shared" si="2"/>
        <v>27</v>
      </c>
    </row>
    <row r="31" ht="15.75" customHeight="1">
      <c r="A31" s="18" t="s">
        <v>648</v>
      </c>
      <c r="B31" s="18">
        <v>1994.0</v>
      </c>
      <c r="C31" s="18" t="s">
        <v>209</v>
      </c>
      <c r="D31" s="18">
        <v>17.0</v>
      </c>
      <c r="E31" s="18" t="str">
        <f t="shared" si="1"/>
        <v>17/11/94</v>
      </c>
      <c r="F31" s="18">
        <v>0.0</v>
      </c>
      <c r="G31" s="27">
        <v>1044.0</v>
      </c>
      <c r="H31" s="18" t="s">
        <v>142</v>
      </c>
      <c r="I31" s="18" t="s">
        <v>140</v>
      </c>
      <c r="J31" s="18" t="s">
        <v>146</v>
      </c>
      <c r="K31" s="29">
        <f t="shared" si="2"/>
        <v>28</v>
      </c>
    </row>
    <row r="32" ht="15.75" customHeight="1">
      <c r="A32" s="18" t="s">
        <v>659</v>
      </c>
      <c r="B32" s="18">
        <v>2002.0</v>
      </c>
      <c r="C32" s="18" t="s">
        <v>91</v>
      </c>
      <c r="D32" s="18">
        <v>20.0</v>
      </c>
      <c r="E32" s="18" t="str">
        <f t="shared" si="1"/>
        <v>20/07/02</v>
      </c>
      <c r="F32" s="18">
        <v>0.0</v>
      </c>
      <c r="G32" s="27">
        <v>1047.0</v>
      </c>
      <c r="H32" s="18" t="s">
        <v>142</v>
      </c>
      <c r="I32" s="18" t="s">
        <v>219</v>
      </c>
      <c r="J32" s="18" t="s">
        <v>146</v>
      </c>
      <c r="K32" s="29">
        <f t="shared" si="2"/>
        <v>20</v>
      </c>
    </row>
    <row r="33" ht="15.75" customHeight="1">
      <c r="A33" s="18" t="s">
        <v>672</v>
      </c>
      <c r="B33" s="18">
        <v>2002.0</v>
      </c>
      <c r="C33" s="18" t="s">
        <v>91</v>
      </c>
      <c r="D33" s="18">
        <v>1.0</v>
      </c>
      <c r="E33" s="18" t="str">
        <f t="shared" si="1"/>
        <v>01/07/02</v>
      </c>
      <c r="F33" s="18">
        <v>0.0</v>
      </c>
      <c r="G33" s="27">
        <v>1049.0</v>
      </c>
      <c r="H33" s="18" t="s">
        <v>142</v>
      </c>
      <c r="I33" s="18" t="s">
        <v>140</v>
      </c>
      <c r="J33" s="18" t="s">
        <v>325</v>
      </c>
      <c r="K33" s="29">
        <f t="shared" si="2"/>
        <v>20</v>
      </c>
    </row>
    <row r="34" ht="15.75" customHeight="1">
      <c r="A34" s="18" t="s">
        <v>685</v>
      </c>
      <c r="B34" s="18">
        <v>1995.0</v>
      </c>
      <c r="C34" s="18" t="s">
        <v>241</v>
      </c>
      <c r="D34" s="18">
        <v>1.0</v>
      </c>
      <c r="E34" s="18" t="str">
        <f t="shared" si="1"/>
        <v>01/06/95</v>
      </c>
      <c r="F34" s="18">
        <v>0.0</v>
      </c>
      <c r="G34" s="27">
        <v>1056.0</v>
      </c>
      <c r="H34" s="18" t="s">
        <v>142</v>
      </c>
      <c r="I34" s="18" t="s">
        <v>140</v>
      </c>
      <c r="J34" s="18" t="s">
        <v>146</v>
      </c>
      <c r="K34" s="29">
        <f t="shared" si="2"/>
        <v>28</v>
      </c>
    </row>
    <row r="35" ht="15.75" customHeight="1">
      <c r="A35" s="18" t="s">
        <v>698</v>
      </c>
      <c r="B35" s="18">
        <v>1993.0</v>
      </c>
      <c r="C35" s="18" t="s">
        <v>272</v>
      </c>
      <c r="D35" s="18">
        <v>28.0</v>
      </c>
      <c r="E35" s="18" t="str">
        <f t="shared" si="1"/>
        <v>28/09/93</v>
      </c>
      <c r="F35" s="18">
        <v>0.0</v>
      </c>
      <c r="G35" s="27">
        <v>1068.0</v>
      </c>
      <c r="H35" s="18" t="s">
        <v>142</v>
      </c>
      <c r="I35" s="18" t="s">
        <v>219</v>
      </c>
      <c r="J35" s="18" t="s">
        <v>146</v>
      </c>
      <c r="K35" s="29">
        <f t="shared" si="2"/>
        <v>29</v>
      </c>
    </row>
    <row r="36" ht="15.75" customHeight="1">
      <c r="A36" s="18" t="s">
        <v>707</v>
      </c>
      <c r="B36" s="18">
        <v>2004.0</v>
      </c>
      <c r="C36" s="18" t="s">
        <v>501</v>
      </c>
      <c r="D36" s="18">
        <v>24.0</v>
      </c>
      <c r="E36" s="18" t="str">
        <f t="shared" si="1"/>
        <v>24/08/04</v>
      </c>
      <c r="F36" s="18">
        <v>0.0</v>
      </c>
      <c r="G36" s="27">
        <v>1070.0</v>
      </c>
      <c r="H36" s="18" t="s">
        <v>142</v>
      </c>
      <c r="I36" s="18" t="s">
        <v>142</v>
      </c>
      <c r="J36" s="18" t="s">
        <v>146</v>
      </c>
      <c r="K36" s="29">
        <f t="shared" si="2"/>
        <v>18</v>
      </c>
    </row>
    <row r="37" ht="15.75" customHeight="1">
      <c r="A37" s="18" t="s">
        <v>714</v>
      </c>
      <c r="B37" s="18">
        <v>1997.0</v>
      </c>
      <c r="C37" s="18" t="s">
        <v>501</v>
      </c>
      <c r="D37" s="18">
        <v>13.0</v>
      </c>
      <c r="E37" s="18" t="str">
        <f t="shared" si="1"/>
        <v>13/08/97</v>
      </c>
      <c r="F37" s="18">
        <v>0.0</v>
      </c>
      <c r="G37" s="27">
        <v>1071.0</v>
      </c>
      <c r="H37" s="18" t="s">
        <v>142</v>
      </c>
      <c r="I37" s="18" t="s">
        <v>142</v>
      </c>
      <c r="J37" s="18" t="s">
        <v>146</v>
      </c>
      <c r="K37" s="29">
        <f t="shared" si="2"/>
        <v>25</v>
      </c>
    </row>
    <row r="38" ht="15.75" customHeight="1">
      <c r="A38" s="18" t="s">
        <v>727</v>
      </c>
      <c r="B38" s="18">
        <v>1998.0</v>
      </c>
      <c r="C38" s="18" t="s">
        <v>457</v>
      </c>
      <c r="D38" s="18">
        <v>26.0</v>
      </c>
      <c r="E38" s="18" t="str">
        <f t="shared" si="1"/>
        <v>26/12/98</v>
      </c>
      <c r="F38" s="18">
        <v>0.0</v>
      </c>
      <c r="G38" s="27">
        <v>1082.0</v>
      </c>
      <c r="H38" s="18" t="s">
        <v>142</v>
      </c>
      <c r="I38" s="18" t="s">
        <v>140</v>
      </c>
      <c r="J38" s="18" t="s">
        <v>146</v>
      </c>
      <c r="K38" s="29">
        <f t="shared" si="2"/>
        <v>24</v>
      </c>
    </row>
    <row r="39" ht="15.75" customHeight="1">
      <c r="A39" s="18" t="s">
        <v>737</v>
      </c>
      <c r="B39" s="18">
        <v>2002.0</v>
      </c>
      <c r="C39" s="18" t="s">
        <v>501</v>
      </c>
      <c r="D39" s="18">
        <v>13.0</v>
      </c>
      <c r="E39" s="18" t="str">
        <f t="shared" si="1"/>
        <v>13/08/02</v>
      </c>
      <c r="F39" s="18">
        <v>0.0</v>
      </c>
      <c r="G39" s="27">
        <v>1086.0</v>
      </c>
      <c r="H39" s="18" t="s">
        <v>142</v>
      </c>
      <c r="I39" s="18" t="s">
        <v>142</v>
      </c>
      <c r="J39" s="18" t="s">
        <v>146</v>
      </c>
      <c r="K39" s="29">
        <f t="shared" si="2"/>
        <v>20</v>
      </c>
    </row>
    <row r="40" ht="15.75" customHeight="1">
      <c r="A40" s="18" t="s">
        <v>750</v>
      </c>
      <c r="B40" s="18">
        <v>2004.0</v>
      </c>
      <c r="C40" s="18" t="s">
        <v>209</v>
      </c>
      <c r="D40" s="18">
        <v>12.0</v>
      </c>
      <c r="E40" s="18" t="str">
        <f t="shared" si="1"/>
        <v>12/11/04</v>
      </c>
      <c r="F40" s="18">
        <v>0.0</v>
      </c>
      <c r="G40" s="27">
        <v>1121.87</v>
      </c>
      <c r="H40" s="18" t="s">
        <v>142</v>
      </c>
      <c r="I40" s="18" t="s">
        <v>219</v>
      </c>
      <c r="J40" s="18" t="s">
        <v>146</v>
      </c>
      <c r="K40" s="29">
        <f t="shared" si="2"/>
        <v>18</v>
      </c>
    </row>
    <row r="41" ht="15.75" customHeight="1">
      <c r="A41" s="18" t="s">
        <v>761</v>
      </c>
      <c r="B41" s="18">
        <v>2004.0</v>
      </c>
      <c r="C41" s="18" t="s">
        <v>241</v>
      </c>
      <c r="D41" s="18">
        <v>14.0</v>
      </c>
      <c r="E41" s="18" t="str">
        <f t="shared" si="1"/>
        <v>14/06/04</v>
      </c>
      <c r="F41" s="18">
        <v>0.0</v>
      </c>
      <c r="G41" s="27">
        <v>1131.51</v>
      </c>
      <c r="H41" s="18" t="s">
        <v>142</v>
      </c>
      <c r="I41" s="18" t="s">
        <v>219</v>
      </c>
      <c r="J41" s="18" t="s">
        <v>146</v>
      </c>
      <c r="K41" s="29">
        <f t="shared" si="2"/>
        <v>18</v>
      </c>
    </row>
    <row r="42" ht="15.75" customHeight="1">
      <c r="A42" s="18" t="s">
        <v>777</v>
      </c>
      <c r="B42" s="18">
        <v>2002.0</v>
      </c>
      <c r="C42" s="18" t="s">
        <v>91</v>
      </c>
      <c r="D42" s="18">
        <v>19.0</v>
      </c>
      <c r="E42" s="18" t="str">
        <f t="shared" si="1"/>
        <v>19/07/02</v>
      </c>
      <c r="F42" s="18">
        <v>0.0</v>
      </c>
      <c r="G42" s="27">
        <v>1132.0</v>
      </c>
      <c r="H42" s="18" t="s">
        <v>142</v>
      </c>
      <c r="I42" s="18" t="s">
        <v>219</v>
      </c>
      <c r="J42" s="18" t="s">
        <v>146</v>
      </c>
      <c r="K42" s="29">
        <f t="shared" si="2"/>
        <v>20</v>
      </c>
      <c r="P42" s="36"/>
    </row>
    <row r="43" ht="15.75" customHeight="1">
      <c r="A43" s="18" t="s">
        <v>829</v>
      </c>
      <c r="B43" s="18">
        <v>2004.0</v>
      </c>
      <c r="C43" s="18" t="s">
        <v>517</v>
      </c>
      <c r="D43" s="18">
        <v>6.0</v>
      </c>
      <c r="E43" s="18" t="str">
        <f t="shared" si="1"/>
        <v>06/10/04</v>
      </c>
      <c r="F43" s="18">
        <v>0.0</v>
      </c>
      <c r="G43" s="27">
        <v>1135.0</v>
      </c>
      <c r="H43" s="18" t="s">
        <v>142</v>
      </c>
      <c r="I43" s="18" t="s">
        <v>142</v>
      </c>
      <c r="J43" s="18" t="s">
        <v>146</v>
      </c>
      <c r="K43" s="29">
        <f t="shared" si="2"/>
        <v>18</v>
      </c>
    </row>
    <row r="44" ht="15.75" customHeight="1">
      <c r="A44" s="18" t="s">
        <v>842</v>
      </c>
      <c r="B44" s="18">
        <v>2004.0</v>
      </c>
      <c r="C44" s="18" t="s">
        <v>241</v>
      </c>
      <c r="D44" s="18">
        <v>11.0</v>
      </c>
      <c r="E44" s="18" t="str">
        <f t="shared" si="1"/>
        <v>11/06/04</v>
      </c>
      <c r="F44" s="18">
        <v>0.0</v>
      </c>
      <c r="G44" s="27">
        <v>1135.94</v>
      </c>
      <c r="H44" s="18" t="s">
        <v>142</v>
      </c>
      <c r="I44" s="18" t="s">
        <v>142</v>
      </c>
      <c r="J44" s="18" t="s">
        <v>146</v>
      </c>
      <c r="K44" s="29">
        <f t="shared" si="2"/>
        <v>18</v>
      </c>
    </row>
    <row r="45" ht="15.75" customHeight="1">
      <c r="A45" s="18" t="s">
        <v>851</v>
      </c>
      <c r="B45" s="18">
        <v>2004.0</v>
      </c>
      <c r="C45" s="18" t="s">
        <v>209</v>
      </c>
      <c r="D45" s="18">
        <v>28.0</v>
      </c>
      <c r="E45" s="18" t="str">
        <f t="shared" si="1"/>
        <v>28/11/04</v>
      </c>
      <c r="F45" s="18">
        <v>0.0</v>
      </c>
      <c r="G45" s="27">
        <v>1136.4</v>
      </c>
      <c r="H45" s="18" t="s">
        <v>142</v>
      </c>
      <c r="I45" s="18" t="s">
        <v>142</v>
      </c>
      <c r="J45" s="18" t="s">
        <v>146</v>
      </c>
      <c r="K45" s="29">
        <f t="shared" si="2"/>
        <v>18</v>
      </c>
    </row>
    <row r="46" ht="15.75" customHeight="1">
      <c r="A46" s="18" t="s">
        <v>852</v>
      </c>
      <c r="B46" s="18">
        <v>2002.0</v>
      </c>
      <c r="C46" s="18" t="s">
        <v>501</v>
      </c>
      <c r="D46" s="18">
        <v>11.0</v>
      </c>
      <c r="E46" s="18" t="str">
        <f t="shared" si="1"/>
        <v>11/08/02</v>
      </c>
      <c r="F46" s="18">
        <v>0.0</v>
      </c>
      <c r="G46" s="27">
        <v>1137.0</v>
      </c>
      <c r="H46" s="18" t="s">
        <v>142</v>
      </c>
      <c r="I46" s="18" t="s">
        <v>219</v>
      </c>
      <c r="J46" s="18" t="s">
        <v>146</v>
      </c>
      <c r="K46" s="29">
        <f t="shared" si="2"/>
        <v>20</v>
      </c>
    </row>
    <row r="47" ht="15.75" customHeight="1">
      <c r="A47" s="20">
        <v>0.0</v>
      </c>
      <c r="B47" s="18">
        <v>2004.0</v>
      </c>
      <c r="C47" s="18" t="s">
        <v>209</v>
      </c>
      <c r="D47" s="18">
        <v>6.0</v>
      </c>
      <c r="E47" s="18" t="str">
        <f t="shared" si="1"/>
        <v>06/11/04</v>
      </c>
      <c r="F47" s="18">
        <v>0.0</v>
      </c>
      <c r="G47" s="27">
        <v>1137.01</v>
      </c>
      <c r="H47" s="18" t="s">
        <v>142</v>
      </c>
      <c r="I47" s="18" t="s">
        <v>219</v>
      </c>
      <c r="J47" s="18" t="s">
        <v>146</v>
      </c>
      <c r="K47" s="29">
        <f t="shared" si="2"/>
        <v>18</v>
      </c>
    </row>
    <row r="48" ht="15.75" customHeight="1">
      <c r="A48" s="18" t="s">
        <v>853</v>
      </c>
      <c r="B48" s="18">
        <v>2004.0</v>
      </c>
      <c r="C48" s="18" t="s">
        <v>517</v>
      </c>
      <c r="D48" s="18">
        <v>15.0</v>
      </c>
      <c r="E48" s="18" t="str">
        <f t="shared" si="1"/>
        <v>15/10/04</v>
      </c>
      <c r="F48" s="18">
        <v>0.0</v>
      </c>
      <c r="G48" s="27">
        <v>1137.01</v>
      </c>
      <c r="H48" s="18" t="s">
        <v>142</v>
      </c>
      <c r="I48" s="18" t="s">
        <v>219</v>
      </c>
      <c r="J48" s="18" t="s">
        <v>146</v>
      </c>
      <c r="K48" s="29">
        <f t="shared" si="2"/>
        <v>18</v>
      </c>
    </row>
    <row r="49" ht="15.75" customHeight="1">
      <c r="A49" s="18" t="s">
        <v>866</v>
      </c>
      <c r="B49" s="18">
        <v>2004.0</v>
      </c>
      <c r="C49" s="18" t="s">
        <v>209</v>
      </c>
      <c r="D49" s="18">
        <v>27.0</v>
      </c>
      <c r="E49" s="18" t="str">
        <f t="shared" si="1"/>
        <v>27/11/04</v>
      </c>
      <c r="F49" s="18">
        <v>0.0</v>
      </c>
      <c r="G49" s="27">
        <v>1137.47</v>
      </c>
      <c r="H49" s="18" t="s">
        <v>142</v>
      </c>
      <c r="I49" s="18" t="s">
        <v>140</v>
      </c>
      <c r="J49" s="18" t="s">
        <v>146</v>
      </c>
      <c r="K49" s="29">
        <f t="shared" si="2"/>
        <v>18</v>
      </c>
    </row>
    <row r="50" ht="15.75" customHeight="1">
      <c r="A50" s="18" t="s">
        <v>877</v>
      </c>
      <c r="B50" s="18">
        <v>2001.0</v>
      </c>
      <c r="C50" s="18" t="s">
        <v>517</v>
      </c>
      <c r="D50" s="18">
        <v>25.0</v>
      </c>
      <c r="E50" s="18" t="str">
        <f t="shared" si="1"/>
        <v>25/10/01</v>
      </c>
      <c r="F50" s="18">
        <v>0.0</v>
      </c>
      <c r="G50" s="27">
        <v>1141.0</v>
      </c>
      <c r="H50" s="18" t="s">
        <v>142</v>
      </c>
      <c r="I50" s="18" t="s">
        <v>219</v>
      </c>
      <c r="J50" s="18" t="s">
        <v>146</v>
      </c>
      <c r="K50" s="29">
        <f t="shared" si="2"/>
        <v>21</v>
      </c>
    </row>
    <row r="51" ht="15.75" customHeight="1">
      <c r="A51" s="18" t="s">
        <v>887</v>
      </c>
      <c r="B51" s="18">
        <v>2004.0</v>
      </c>
      <c r="C51" s="18" t="s">
        <v>272</v>
      </c>
      <c r="D51" s="18">
        <v>12.0</v>
      </c>
      <c r="E51" s="18" t="str">
        <f t="shared" si="1"/>
        <v>12/09/04</v>
      </c>
      <c r="F51" s="18">
        <v>0.0</v>
      </c>
      <c r="G51" s="27">
        <v>1141.45</v>
      </c>
      <c r="H51" s="18" t="s">
        <v>142</v>
      </c>
      <c r="I51" s="18" t="s">
        <v>142</v>
      </c>
      <c r="J51" s="18" t="s">
        <v>146</v>
      </c>
      <c r="K51" s="29">
        <f t="shared" si="2"/>
        <v>18</v>
      </c>
    </row>
    <row r="52" ht="15.75" customHeight="1">
      <c r="A52" s="18" t="s">
        <v>894</v>
      </c>
      <c r="B52" s="18">
        <v>2002.0</v>
      </c>
      <c r="C52" s="18" t="s">
        <v>517</v>
      </c>
      <c r="D52" s="18">
        <v>1.0</v>
      </c>
      <c r="E52" s="18" t="str">
        <f t="shared" si="1"/>
        <v>01/10/02</v>
      </c>
      <c r="F52" s="18">
        <v>0.0</v>
      </c>
      <c r="G52" s="27">
        <v>1142.0</v>
      </c>
      <c r="H52" s="18" t="s">
        <v>142</v>
      </c>
      <c r="I52" s="18" t="s">
        <v>140</v>
      </c>
      <c r="J52" s="18" t="s">
        <v>570</v>
      </c>
      <c r="K52" s="29">
        <f t="shared" si="2"/>
        <v>20</v>
      </c>
    </row>
    <row r="53" ht="15.75" customHeight="1">
      <c r="A53" s="18" t="s">
        <v>902</v>
      </c>
      <c r="B53" s="18">
        <v>2004.0</v>
      </c>
      <c r="C53" s="18" t="s">
        <v>241</v>
      </c>
      <c r="D53" s="18">
        <v>10.0</v>
      </c>
      <c r="E53" s="18" t="str">
        <f t="shared" si="1"/>
        <v>10/06/04</v>
      </c>
      <c r="F53" s="18">
        <v>0.0</v>
      </c>
      <c r="G53" s="27">
        <v>1146.8</v>
      </c>
      <c r="H53" s="18" t="s">
        <v>140</v>
      </c>
      <c r="I53" s="18" t="s">
        <v>140</v>
      </c>
      <c r="J53" s="18" t="s">
        <v>146</v>
      </c>
      <c r="K53" s="29">
        <f t="shared" si="2"/>
        <v>18</v>
      </c>
    </row>
    <row r="54" ht="15.75" customHeight="1">
      <c r="A54" s="18" t="s">
        <v>909</v>
      </c>
      <c r="B54" s="18">
        <v>2003.0</v>
      </c>
      <c r="C54" s="18" t="s">
        <v>241</v>
      </c>
      <c r="D54" s="18">
        <v>12.0</v>
      </c>
      <c r="E54" s="18" t="str">
        <f t="shared" si="1"/>
        <v>12/06/03</v>
      </c>
      <c r="F54" s="18">
        <v>0.0</v>
      </c>
      <c r="G54" s="27">
        <v>1149.0</v>
      </c>
      <c r="H54" s="18" t="s">
        <v>140</v>
      </c>
      <c r="I54" s="18" t="s">
        <v>219</v>
      </c>
      <c r="J54" s="18" t="s">
        <v>325</v>
      </c>
      <c r="K54" s="29">
        <f t="shared" si="2"/>
        <v>19</v>
      </c>
    </row>
    <row r="55" ht="15.75" customHeight="1">
      <c r="A55" s="18" t="s">
        <v>921</v>
      </c>
      <c r="B55" s="18">
        <v>2004.0</v>
      </c>
      <c r="C55" s="18" t="s">
        <v>91</v>
      </c>
      <c r="D55" s="18">
        <v>18.0</v>
      </c>
      <c r="E55" s="18" t="str">
        <f t="shared" si="1"/>
        <v>18/07/04</v>
      </c>
      <c r="F55" s="18">
        <v>0.0</v>
      </c>
      <c r="G55" s="27">
        <v>1149.4</v>
      </c>
      <c r="H55" s="18" t="s">
        <v>140</v>
      </c>
      <c r="I55" s="18" t="s">
        <v>140</v>
      </c>
      <c r="J55" s="18" t="s">
        <v>146</v>
      </c>
      <c r="K55" s="29">
        <f t="shared" si="2"/>
        <v>18</v>
      </c>
    </row>
    <row r="56" ht="15.75" customHeight="1">
      <c r="A56" s="18" t="s">
        <v>929</v>
      </c>
      <c r="B56" s="18">
        <v>1994.0</v>
      </c>
      <c r="C56" s="18" t="s">
        <v>91</v>
      </c>
      <c r="D56" s="18">
        <v>26.0</v>
      </c>
      <c r="E56" s="18" t="str">
        <f t="shared" si="1"/>
        <v>26/07/94</v>
      </c>
      <c r="F56" s="18">
        <v>0.0</v>
      </c>
      <c r="G56" s="27">
        <v>1158.32</v>
      </c>
      <c r="H56" s="18" t="s">
        <v>140</v>
      </c>
      <c r="I56" s="18" t="s">
        <v>219</v>
      </c>
      <c r="J56" s="18" t="s">
        <v>146</v>
      </c>
      <c r="K56" s="29">
        <f t="shared" si="2"/>
        <v>28</v>
      </c>
    </row>
    <row r="57" ht="15.75" customHeight="1">
      <c r="A57" s="18" t="s">
        <v>938</v>
      </c>
      <c r="B57" s="18">
        <v>2004.0</v>
      </c>
      <c r="C57" s="18" t="s">
        <v>209</v>
      </c>
      <c r="D57" s="18">
        <v>11.0</v>
      </c>
      <c r="E57" s="18" t="str">
        <f t="shared" si="1"/>
        <v>11/11/04</v>
      </c>
      <c r="F57" s="18">
        <v>0.0</v>
      </c>
      <c r="G57" s="27">
        <v>1163.46</v>
      </c>
      <c r="H57" s="18" t="s">
        <v>140</v>
      </c>
      <c r="I57" s="18" t="s">
        <v>142</v>
      </c>
      <c r="J57" s="18" t="s">
        <v>146</v>
      </c>
      <c r="K57" s="29">
        <f t="shared" si="2"/>
        <v>18</v>
      </c>
    </row>
    <row r="58" ht="15.75" customHeight="1">
      <c r="A58" s="18" t="s">
        <v>948</v>
      </c>
      <c r="B58" s="18">
        <v>2002.0</v>
      </c>
      <c r="C58" s="18" t="s">
        <v>241</v>
      </c>
      <c r="D58" s="18">
        <v>11.0</v>
      </c>
      <c r="E58" s="18" t="str">
        <f t="shared" si="1"/>
        <v>11/06/02</v>
      </c>
      <c r="F58" s="18">
        <v>0.0</v>
      </c>
      <c r="G58" s="27">
        <v>1165.0</v>
      </c>
      <c r="H58" s="18" t="s">
        <v>140</v>
      </c>
      <c r="I58" s="18" t="s">
        <v>142</v>
      </c>
      <c r="J58" s="18" t="s">
        <v>325</v>
      </c>
      <c r="K58" s="29">
        <f t="shared" si="2"/>
        <v>20</v>
      </c>
    </row>
    <row r="59" ht="15.75" customHeight="1">
      <c r="A59" s="18" t="s">
        <v>957</v>
      </c>
      <c r="B59" s="18">
        <v>2001.0</v>
      </c>
      <c r="C59" s="18" t="s">
        <v>209</v>
      </c>
      <c r="D59" s="18">
        <v>12.0</v>
      </c>
      <c r="E59" s="18" t="str">
        <f t="shared" si="1"/>
        <v>12/11/01</v>
      </c>
      <c r="F59" s="18">
        <v>0.0</v>
      </c>
      <c r="G59" s="27">
        <v>1167.0</v>
      </c>
      <c r="H59" s="18" t="s">
        <v>140</v>
      </c>
      <c r="I59" s="18" t="s">
        <v>219</v>
      </c>
      <c r="J59" s="18" t="s">
        <v>146</v>
      </c>
      <c r="K59" s="29">
        <f t="shared" si="2"/>
        <v>21</v>
      </c>
    </row>
    <row r="60" ht="15.75" customHeight="1">
      <c r="A60" s="18" t="s">
        <v>966</v>
      </c>
      <c r="B60" s="18">
        <v>1996.0</v>
      </c>
      <c r="C60" s="18" t="s">
        <v>501</v>
      </c>
      <c r="D60" s="18">
        <v>11.0</v>
      </c>
      <c r="E60" s="18" t="str">
        <f t="shared" si="1"/>
        <v>11/08/96</v>
      </c>
      <c r="F60" s="18">
        <v>0.0</v>
      </c>
      <c r="G60" s="27">
        <v>1178.0</v>
      </c>
      <c r="H60" s="18" t="s">
        <v>140</v>
      </c>
      <c r="I60" s="18" t="s">
        <v>142</v>
      </c>
      <c r="J60" s="18" t="s">
        <v>146</v>
      </c>
      <c r="K60" s="29">
        <f t="shared" si="2"/>
        <v>26</v>
      </c>
    </row>
    <row r="61" ht="15.75" customHeight="1">
      <c r="A61" s="18" t="s">
        <v>971</v>
      </c>
      <c r="B61" s="18">
        <v>1997.0</v>
      </c>
      <c r="C61" s="18" t="s">
        <v>241</v>
      </c>
      <c r="D61" s="18">
        <v>28.0</v>
      </c>
      <c r="E61" s="18" t="str">
        <f t="shared" si="1"/>
        <v>28/06/97</v>
      </c>
      <c r="F61" s="18">
        <v>0.0</v>
      </c>
      <c r="G61" s="27">
        <v>1178.07</v>
      </c>
      <c r="H61" s="18" t="s">
        <v>140</v>
      </c>
      <c r="I61" s="18" t="s">
        <v>140</v>
      </c>
      <c r="J61" s="18" t="s">
        <v>146</v>
      </c>
      <c r="K61" s="29">
        <f t="shared" si="2"/>
        <v>25</v>
      </c>
    </row>
    <row r="62" ht="15.75" customHeight="1">
      <c r="A62" s="18" t="s">
        <v>980</v>
      </c>
      <c r="B62" s="18">
        <v>2002.0</v>
      </c>
      <c r="C62" s="18" t="s">
        <v>501</v>
      </c>
      <c r="D62" s="18">
        <v>26.0</v>
      </c>
      <c r="E62" s="18" t="str">
        <f t="shared" si="1"/>
        <v>26/08/02</v>
      </c>
      <c r="F62" s="18">
        <v>0.0</v>
      </c>
      <c r="G62" s="27">
        <v>1191.0</v>
      </c>
      <c r="H62" s="18" t="s">
        <v>140</v>
      </c>
      <c r="I62" s="18" t="s">
        <v>219</v>
      </c>
      <c r="J62" s="18" t="s">
        <v>146</v>
      </c>
      <c r="K62" s="29">
        <f t="shared" si="2"/>
        <v>20</v>
      </c>
    </row>
    <row r="63" ht="15.75" customHeight="1">
      <c r="A63" s="18" t="s">
        <v>990</v>
      </c>
      <c r="B63" s="18">
        <v>1999.0</v>
      </c>
      <c r="C63" s="18" t="s">
        <v>241</v>
      </c>
      <c r="D63" s="18">
        <v>28.0</v>
      </c>
      <c r="E63" s="18" t="str">
        <f t="shared" si="1"/>
        <v>28/06/99</v>
      </c>
      <c r="F63" s="18">
        <v>0.0</v>
      </c>
      <c r="G63" s="27">
        <v>1200.0</v>
      </c>
      <c r="H63" s="18" t="s">
        <v>140</v>
      </c>
      <c r="I63" s="18" t="s">
        <v>142</v>
      </c>
      <c r="J63" s="18" t="s">
        <v>325</v>
      </c>
      <c r="K63" s="29">
        <f t="shared" si="2"/>
        <v>23</v>
      </c>
    </row>
    <row r="64" ht="15.75" customHeight="1">
      <c r="A64" s="18" t="s">
        <v>1001</v>
      </c>
      <c r="B64" s="18">
        <v>1992.0</v>
      </c>
      <c r="C64" s="18" t="s">
        <v>517</v>
      </c>
      <c r="D64" s="18">
        <v>6.0</v>
      </c>
      <c r="E64" s="18" t="str">
        <f t="shared" si="1"/>
        <v>06/10/92</v>
      </c>
      <c r="F64" s="18">
        <v>0.0</v>
      </c>
      <c r="G64" s="27">
        <v>1200.55</v>
      </c>
      <c r="H64" s="18" t="s">
        <v>140</v>
      </c>
      <c r="I64" s="18" t="s">
        <v>142</v>
      </c>
      <c r="J64" s="18" t="s">
        <v>146</v>
      </c>
      <c r="K64" s="29">
        <f t="shared" si="2"/>
        <v>30</v>
      </c>
    </row>
    <row r="65" ht="15.75" customHeight="1">
      <c r="A65" s="18" t="s">
        <v>1011</v>
      </c>
      <c r="B65" s="18">
        <v>2004.0</v>
      </c>
      <c r="C65" s="18" t="s">
        <v>241</v>
      </c>
      <c r="D65" s="18">
        <v>2.0</v>
      </c>
      <c r="E65" s="18" t="str">
        <f t="shared" si="1"/>
        <v>02/06/04</v>
      </c>
      <c r="F65" s="18">
        <v>0.0</v>
      </c>
      <c r="G65" s="27">
        <v>1210.0</v>
      </c>
      <c r="H65" s="18" t="s">
        <v>140</v>
      </c>
      <c r="I65" s="18" t="s">
        <v>219</v>
      </c>
      <c r="J65" s="18" t="s">
        <v>146</v>
      </c>
      <c r="K65" s="29">
        <f t="shared" si="2"/>
        <v>19</v>
      </c>
    </row>
    <row r="66" ht="15.75" customHeight="1">
      <c r="A66" s="18" t="s">
        <v>1018</v>
      </c>
      <c r="B66" s="18">
        <v>1996.0</v>
      </c>
      <c r="C66" s="18" t="s">
        <v>209</v>
      </c>
      <c r="D66" s="18">
        <v>4.0</v>
      </c>
      <c r="E66" s="18" t="str">
        <f t="shared" si="1"/>
        <v>04/11/96</v>
      </c>
      <c r="F66" s="18">
        <v>0.0</v>
      </c>
      <c r="G66" s="27">
        <v>1220.0</v>
      </c>
      <c r="H66" s="18" t="s">
        <v>140</v>
      </c>
      <c r="I66" s="18" t="s">
        <v>142</v>
      </c>
      <c r="J66" s="18" t="s">
        <v>325</v>
      </c>
      <c r="K66" s="29">
        <f t="shared" si="2"/>
        <v>26</v>
      </c>
    </row>
    <row r="67" ht="15.75" customHeight="1">
      <c r="A67" s="18" t="s">
        <v>1027</v>
      </c>
      <c r="B67" s="18">
        <v>2004.0</v>
      </c>
      <c r="C67" s="18" t="s">
        <v>91</v>
      </c>
      <c r="D67" s="18">
        <v>9.0</v>
      </c>
      <c r="E67" s="18" t="str">
        <f t="shared" si="1"/>
        <v>09/07/04</v>
      </c>
      <c r="F67" s="18">
        <v>0.0</v>
      </c>
      <c r="G67" s="27">
        <v>1224.0</v>
      </c>
      <c r="H67" s="18" t="s">
        <v>140</v>
      </c>
      <c r="I67" s="18" t="s">
        <v>219</v>
      </c>
      <c r="J67" s="18" t="s">
        <v>146</v>
      </c>
      <c r="K67" s="29">
        <f t="shared" si="2"/>
        <v>18</v>
      </c>
    </row>
    <row r="68" ht="15.75" customHeight="1">
      <c r="A68" s="18" t="s">
        <v>1035</v>
      </c>
      <c r="B68" s="18">
        <v>2004.0</v>
      </c>
      <c r="C68" s="18" t="s">
        <v>517</v>
      </c>
      <c r="D68" s="18">
        <v>16.0</v>
      </c>
      <c r="E68" s="18" t="str">
        <f t="shared" si="1"/>
        <v>16/10/04</v>
      </c>
      <c r="F68" s="18">
        <v>0.0</v>
      </c>
      <c r="G68" s="27">
        <v>1228.0</v>
      </c>
      <c r="H68" s="18" t="s">
        <v>140</v>
      </c>
      <c r="I68" s="18" t="s">
        <v>219</v>
      </c>
      <c r="J68" s="18" t="s">
        <v>325</v>
      </c>
      <c r="K68" s="29">
        <f t="shared" si="2"/>
        <v>18</v>
      </c>
    </row>
    <row r="69" ht="15.75" customHeight="1">
      <c r="A69" s="18" t="s">
        <v>1041</v>
      </c>
      <c r="B69" s="18">
        <v>1998.0</v>
      </c>
      <c r="C69" s="18" t="s">
        <v>91</v>
      </c>
      <c r="D69" s="18">
        <v>13.0</v>
      </c>
      <c r="E69" s="18" t="str">
        <f t="shared" si="1"/>
        <v>13/07/98</v>
      </c>
      <c r="F69" s="18">
        <v>0.0</v>
      </c>
      <c r="G69" s="27">
        <v>1234.0</v>
      </c>
      <c r="H69" s="18" t="s">
        <v>140</v>
      </c>
      <c r="I69" s="18" t="s">
        <v>219</v>
      </c>
      <c r="J69" s="18" t="s">
        <v>146</v>
      </c>
      <c r="K69" s="29">
        <f t="shared" si="2"/>
        <v>24</v>
      </c>
    </row>
    <row r="70" ht="15.75" customHeight="1">
      <c r="A70" s="18" t="s">
        <v>1045</v>
      </c>
      <c r="B70" s="18">
        <v>2002.0</v>
      </c>
      <c r="C70" s="18" t="s">
        <v>457</v>
      </c>
      <c r="D70" s="18">
        <v>12.0</v>
      </c>
      <c r="E70" s="18" t="str">
        <f t="shared" si="1"/>
        <v>12/12/02</v>
      </c>
      <c r="F70" s="18">
        <v>0.0</v>
      </c>
      <c r="G70" s="27">
        <v>1237.0</v>
      </c>
      <c r="H70" s="18" t="s">
        <v>140</v>
      </c>
      <c r="I70" s="18" t="s">
        <v>140</v>
      </c>
      <c r="J70" s="18" t="s">
        <v>146</v>
      </c>
      <c r="K70" s="29">
        <f t="shared" si="2"/>
        <v>20</v>
      </c>
    </row>
    <row r="71" ht="15.75" customHeight="1">
      <c r="A71" s="18" t="s">
        <v>1053</v>
      </c>
      <c r="B71" s="18">
        <v>1998.0</v>
      </c>
      <c r="C71" s="18" t="s">
        <v>517</v>
      </c>
      <c r="D71" s="18">
        <v>11.0</v>
      </c>
      <c r="E71" s="18" t="str">
        <f t="shared" si="1"/>
        <v>11/10/98</v>
      </c>
      <c r="F71" s="18">
        <v>0.0</v>
      </c>
      <c r="G71" s="27">
        <v>1240.0</v>
      </c>
      <c r="H71" s="18" t="s">
        <v>140</v>
      </c>
      <c r="I71" s="18" t="s">
        <v>219</v>
      </c>
      <c r="J71" s="18" t="s">
        <v>325</v>
      </c>
      <c r="K71" s="29">
        <f t="shared" si="2"/>
        <v>24</v>
      </c>
    </row>
    <row r="72" ht="15.75" customHeight="1">
      <c r="A72" s="18" t="s">
        <v>1060</v>
      </c>
      <c r="B72" s="18">
        <v>2002.0</v>
      </c>
      <c r="C72" s="18" t="s">
        <v>91</v>
      </c>
      <c r="D72" s="18">
        <v>1.0</v>
      </c>
      <c r="E72" s="18" t="str">
        <f t="shared" si="1"/>
        <v>01/07/02</v>
      </c>
      <c r="F72" s="18">
        <v>0.0</v>
      </c>
      <c r="G72" s="27">
        <v>1241.0</v>
      </c>
      <c r="H72" s="18" t="s">
        <v>140</v>
      </c>
      <c r="I72" s="18" t="s">
        <v>140</v>
      </c>
      <c r="J72" s="18" t="s">
        <v>146</v>
      </c>
      <c r="K72" s="29">
        <f t="shared" si="2"/>
        <v>20</v>
      </c>
    </row>
    <row r="73" ht="15.75" customHeight="1">
      <c r="A73" s="18" t="s">
        <v>1065</v>
      </c>
      <c r="B73" s="18">
        <v>2003.0</v>
      </c>
      <c r="C73" s="18" t="s">
        <v>501</v>
      </c>
      <c r="D73" s="18">
        <v>2.0</v>
      </c>
      <c r="E73" s="18" t="str">
        <f t="shared" si="1"/>
        <v>02/08/03</v>
      </c>
      <c r="F73" s="18">
        <v>0.0</v>
      </c>
      <c r="G73" s="27">
        <v>1241.57</v>
      </c>
      <c r="H73" s="18" t="s">
        <v>140</v>
      </c>
      <c r="I73" s="18" t="s">
        <v>140</v>
      </c>
      <c r="J73" s="18" t="s">
        <v>570</v>
      </c>
      <c r="K73" s="29">
        <f t="shared" si="2"/>
        <v>19</v>
      </c>
    </row>
    <row r="74" ht="15.75" customHeight="1">
      <c r="A74" s="18" t="s">
        <v>1070</v>
      </c>
      <c r="B74" s="18">
        <v>2003.0</v>
      </c>
      <c r="C74" s="18" t="s">
        <v>272</v>
      </c>
      <c r="D74" s="18">
        <v>15.0</v>
      </c>
      <c r="E74" s="18" t="str">
        <f t="shared" si="1"/>
        <v>15/09/03</v>
      </c>
      <c r="F74" s="18">
        <v>0.0</v>
      </c>
      <c r="G74" s="27">
        <v>1242.26</v>
      </c>
      <c r="H74" s="18" t="s">
        <v>140</v>
      </c>
      <c r="I74" s="18" t="s">
        <v>219</v>
      </c>
      <c r="J74" s="18" t="s">
        <v>570</v>
      </c>
      <c r="K74" s="29">
        <f t="shared" si="2"/>
        <v>19</v>
      </c>
    </row>
    <row r="75" ht="15.75" customHeight="1">
      <c r="A75" s="18" t="s">
        <v>1074</v>
      </c>
      <c r="B75" s="18">
        <v>2003.0</v>
      </c>
      <c r="C75" s="18" t="s">
        <v>272</v>
      </c>
      <c r="D75" s="18">
        <v>8.0</v>
      </c>
      <c r="E75" s="18" t="str">
        <f t="shared" si="1"/>
        <v>08/09/03</v>
      </c>
      <c r="F75" s="18">
        <v>0.0</v>
      </c>
      <c r="G75" s="27">
        <v>1242.82</v>
      </c>
      <c r="H75" s="18" t="s">
        <v>140</v>
      </c>
      <c r="I75" s="18" t="s">
        <v>219</v>
      </c>
      <c r="J75" s="18" t="s">
        <v>570</v>
      </c>
      <c r="K75" s="29">
        <f t="shared" si="2"/>
        <v>19</v>
      </c>
    </row>
    <row r="76" ht="15.75" customHeight="1">
      <c r="A76" s="18" t="s">
        <v>1079</v>
      </c>
      <c r="B76" s="18">
        <v>2003.0</v>
      </c>
      <c r="C76" s="18" t="s">
        <v>272</v>
      </c>
      <c r="D76" s="18">
        <v>15.0</v>
      </c>
      <c r="E76" s="18" t="str">
        <f t="shared" si="1"/>
        <v>15/09/03</v>
      </c>
      <c r="F76" s="18">
        <v>0.0</v>
      </c>
      <c r="G76" s="27">
        <v>1252.41</v>
      </c>
      <c r="H76" s="18" t="s">
        <v>140</v>
      </c>
      <c r="I76" s="18" t="s">
        <v>142</v>
      </c>
      <c r="J76" s="18" t="s">
        <v>570</v>
      </c>
      <c r="K76" s="29">
        <f t="shared" si="2"/>
        <v>19</v>
      </c>
    </row>
    <row r="77" ht="15.75" customHeight="1">
      <c r="A77" s="18" t="s">
        <v>1083</v>
      </c>
      <c r="B77" s="18">
        <v>1997.0</v>
      </c>
      <c r="C77" s="18" t="s">
        <v>209</v>
      </c>
      <c r="D77" s="18">
        <v>4.0</v>
      </c>
      <c r="E77" s="18" t="str">
        <f t="shared" si="1"/>
        <v>04/11/97</v>
      </c>
      <c r="F77" s="18">
        <v>0.0</v>
      </c>
      <c r="G77" s="27">
        <v>1253.0</v>
      </c>
      <c r="H77" s="18" t="s">
        <v>140</v>
      </c>
      <c r="I77" s="18" t="s">
        <v>140</v>
      </c>
      <c r="J77" s="18" t="s">
        <v>146</v>
      </c>
      <c r="K77" s="29">
        <f t="shared" si="2"/>
        <v>25</v>
      </c>
    </row>
    <row r="78" ht="15.75" customHeight="1">
      <c r="A78" s="18" t="s">
        <v>1089</v>
      </c>
      <c r="B78" s="18">
        <v>2003.0</v>
      </c>
      <c r="C78" s="18" t="s">
        <v>457</v>
      </c>
      <c r="D78" s="18">
        <v>10.0</v>
      </c>
      <c r="E78" s="18" t="str">
        <f t="shared" si="1"/>
        <v>10/12/03</v>
      </c>
      <c r="F78" s="18">
        <v>0.0</v>
      </c>
      <c r="G78" s="27">
        <v>1253.94</v>
      </c>
      <c r="H78" s="18" t="s">
        <v>140</v>
      </c>
      <c r="I78" s="18" t="s">
        <v>140</v>
      </c>
      <c r="J78" s="18" t="s">
        <v>570</v>
      </c>
      <c r="K78" s="29">
        <f t="shared" si="2"/>
        <v>19</v>
      </c>
    </row>
    <row r="79" ht="15.75" customHeight="1">
      <c r="A79" s="18" t="s">
        <v>1094</v>
      </c>
      <c r="B79" s="18">
        <v>2003.0</v>
      </c>
      <c r="C79" s="18" t="s">
        <v>517</v>
      </c>
      <c r="D79" s="18">
        <v>13.0</v>
      </c>
      <c r="E79" s="18" t="str">
        <f t="shared" si="1"/>
        <v>13/10/03</v>
      </c>
      <c r="F79" s="18">
        <v>0.0</v>
      </c>
      <c r="G79" s="27">
        <v>1256.3</v>
      </c>
      <c r="H79" s="18" t="s">
        <v>140</v>
      </c>
      <c r="I79" s="18" t="s">
        <v>142</v>
      </c>
      <c r="J79" s="18" t="s">
        <v>570</v>
      </c>
      <c r="K79" s="29">
        <f t="shared" si="2"/>
        <v>19</v>
      </c>
    </row>
    <row r="80" ht="15.75" customHeight="1">
      <c r="A80" s="18" t="s">
        <v>1099</v>
      </c>
      <c r="B80" s="18">
        <v>2003.0</v>
      </c>
      <c r="C80" s="18" t="s">
        <v>517</v>
      </c>
      <c r="D80" s="18">
        <v>30.0</v>
      </c>
      <c r="E80" s="18" t="str">
        <f t="shared" si="1"/>
        <v>30/10/03</v>
      </c>
      <c r="F80" s="18">
        <v>0.0</v>
      </c>
      <c r="G80" s="27">
        <v>1261.44</v>
      </c>
      <c r="H80" s="18" t="s">
        <v>140</v>
      </c>
      <c r="I80" s="18" t="s">
        <v>142</v>
      </c>
      <c r="J80" s="18" t="s">
        <v>570</v>
      </c>
      <c r="K80" s="29">
        <f t="shared" si="2"/>
        <v>19</v>
      </c>
    </row>
    <row r="81" ht="15.75" customHeight="1">
      <c r="A81" s="18" t="s">
        <v>1106</v>
      </c>
      <c r="B81" s="18">
        <v>2003.0</v>
      </c>
      <c r="C81" s="18" t="s">
        <v>501</v>
      </c>
      <c r="D81" s="18">
        <v>15.0</v>
      </c>
      <c r="E81" s="18" t="str">
        <f t="shared" si="1"/>
        <v>15/08/03</v>
      </c>
      <c r="F81" s="18">
        <v>0.0</v>
      </c>
      <c r="G81" s="27">
        <v>1261.86</v>
      </c>
      <c r="H81" s="18" t="s">
        <v>140</v>
      </c>
      <c r="I81" s="18" t="s">
        <v>142</v>
      </c>
      <c r="J81" s="18" t="s">
        <v>570</v>
      </c>
      <c r="K81" s="29">
        <f t="shared" si="2"/>
        <v>19</v>
      </c>
    </row>
    <row r="82" ht="15.75" customHeight="1">
      <c r="A82" s="18" t="s">
        <v>1112</v>
      </c>
      <c r="B82" s="18">
        <v>2003.0</v>
      </c>
      <c r="C82" s="18" t="s">
        <v>209</v>
      </c>
      <c r="D82" s="18">
        <v>21.0</v>
      </c>
      <c r="E82" s="18" t="str">
        <f t="shared" si="1"/>
        <v>21/11/03</v>
      </c>
      <c r="F82" s="18">
        <v>0.0</v>
      </c>
      <c r="G82" s="27">
        <v>1263.25</v>
      </c>
      <c r="H82" s="18" t="s">
        <v>140</v>
      </c>
      <c r="I82" s="18" t="s">
        <v>142</v>
      </c>
      <c r="J82" s="18" t="s">
        <v>570</v>
      </c>
      <c r="K82" s="29">
        <f t="shared" si="2"/>
        <v>19</v>
      </c>
    </row>
    <row r="83" ht="15.75" customHeight="1">
      <c r="A83" s="18" t="s">
        <v>1117</v>
      </c>
      <c r="B83" s="18">
        <v>2002.0</v>
      </c>
      <c r="C83" s="18" t="s">
        <v>457</v>
      </c>
      <c r="D83" s="18">
        <v>4.0</v>
      </c>
      <c r="E83" s="18" t="str">
        <f t="shared" si="1"/>
        <v>04/12/02</v>
      </c>
      <c r="F83" s="18">
        <v>0.0</v>
      </c>
      <c r="G83" s="27">
        <v>1267.0</v>
      </c>
      <c r="H83" s="18" t="s">
        <v>140</v>
      </c>
      <c r="I83" s="18" t="s">
        <v>219</v>
      </c>
      <c r="J83" s="18" t="s">
        <v>146</v>
      </c>
      <c r="K83" s="29">
        <f t="shared" si="2"/>
        <v>20</v>
      </c>
    </row>
    <row r="84" ht="15.75" customHeight="1">
      <c r="A84" s="18" t="s">
        <v>1123</v>
      </c>
      <c r="B84" s="18">
        <v>1997.0</v>
      </c>
      <c r="C84" s="18" t="s">
        <v>517</v>
      </c>
      <c r="D84" s="18">
        <v>26.0</v>
      </c>
      <c r="E84" s="18" t="str">
        <f t="shared" si="1"/>
        <v>26/10/97</v>
      </c>
      <c r="F84" s="18">
        <v>0.0</v>
      </c>
      <c r="G84" s="27">
        <v>1276.0</v>
      </c>
      <c r="H84" s="18" t="s">
        <v>140</v>
      </c>
      <c r="I84" s="18" t="s">
        <v>140</v>
      </c>
      <c r="J84" s="18" t="s">
        <v>325</v>
      </c>
      <c r="K84" s="29">
        <f t="shared" si="2"/>
        <v>25</v>
      </c>
    </row>
    <row r="85" ht="15.75" customHeight="1">
      <c r="A85" s="18" t="s">
        <v>1128</v>
      </c>
      <c r="B85" s="18">
        <v>2004.0</v>
      </c>
      <c r="C85" s="18" t="s">
        <v>272</v>
      </c>
      <c r="D85" s="18">
        <v>30.0</v>
      </c>
      <c r="E85" s="18" t="str">
        <f t="shared" si="1"/>
        <v>30/09/04</v>
      </c>
      <c r="F85" s="18">
        <v>0.0</v>
      </c>
      <c r="G85" s="27">
        <v>1283.0</v>
      </c>
      <c r="H85" s="18" t="s">
        <v>140</v>
      </c>
      <c r="I85" s="18" t="s">
        <v>219</v>
      </c>
      <c r="J85" s="18" t="s">
        <v>146</v>
      </c>
      <c r="K85" s="29">
        <f t="shared" si="2"/>
        <v>18</v>
      </c>
    </row>
    <row r="86" ht="15.75" customHeight="1">
      <c r="A86" s="18" t="s">
        <v>1131</v>
      </c>
      <c r="B86" s="18">
        <v>2004.0</v>
      </c>
      <c r="C86" s="18" t="s">
        <v>91</v>
      </c>
      <c r="D86" s="18">
        <v>28.0</v>
      </c>
      <c r="E86" s="18" t="str">
        <f t="shared" si="1"/>
        <v>28/07/04</v>
      </c>
      <c r="F86" s="18">
        <v>0.0</v>
      </c>
      <c r="G86" s="27">
        <v>1285.0</v>
      </c>
      <c r="H86" s="18" t="s">
        <v>140</v>
      </c>
      <c r="I86" s="18" t="s">
        <v>142</v>
      </c>
      <c r="J86" s="18" t="s">
        <v>146</v>
      </c>
      <c r="K86" s="29">
        <f t="shared" si="2"/>
        <v>18</v>
      </c>
    </row>
    <row r="87" ht="15.75" customHeight="1">
      <c r="A87" s="18" t="s">
        <v>1136</v>
      </c>
      <c r="B87" s="18">
        <v>2000.0</v>
      </c>
      <c r="C87" s="18" t="s">
        <v>241</v>
      </c>
      <c r="D87" s="18">
        <v>26.0</v>
      </c>
      <c r="E87" s="18" t="str">
        <f t="shared" si="1"/>
        <v>26/06/00</v>
      </c>
      <c r="F87" s="18">
        <v>0.0</v>
      </c>
      <c r="G87" s="27">
        <v>1286.0</v>
      </c>
      <c r="H87" s="18" t="s">
        <v>140</v>
      </c>
      <c r="I87" s="18" t="s">
        <v>140</v>
      </c>
      <c r="J87" s="18" t="s">
        <v>146</v>
      </c>
      <c r="K87" s="29">
        <f t="shared" si="2"/>
        <v>22</v>
      </c>
    </row>
    <row r="88" ht="15.75" customHeight="1">
      <c r="A88" s="18" t="s">
        <v>1142</v>
      </c>
      <c r="B88" s="18">
        <v>1998.0</v>
      </c>
      <c r="C88" s="18" t="s">
        <v>241</v>
      </c>
      <c r="D88" s="18">
        <v>4.0</v>
      </c>
      <c r="E88" s="18" t="str">
        <f t="shared" si="1"/>
        <v>04/06/98</v>
      </c>
      <c r="F88" s="18">
        <v>0.0</v>
      </c>
      <c r="G88" s="27">
        <v>1290.93</v>
      </c>
      <c r="H88" s="18" t="s">
        <v>140</v>
      </c>
      <c r="I88" s="18" t="s">
        <v>140</v>
      </c>
      <c r="J88" s="18" t="s">
        <v>146</v>
      </c>
      <c r="K88" s="29">
        <f t="shared" si="2"/>
        <v>25</v>
      </c>
    </row>
    <row r="89" ht="15.75" customHeight="1">
      <c r="A89" s="18" t="s">
        <v>1147</v>
      </c>
      <c r="B89" s="18">
        <v>2001.0</v>
      </c>
      <c r="C89" s="18" t="s">
        <v>209</v>
      </c>
      <c r="D89" s="18">
        <v>29.0</v>
      </c>
      <c r="E89" s="18" t="str">
        <f t="shared" si="1"/>
        <v>29/11/01</v>
      </c>
      <c r="F89" s="18">
        <v>0.0</v>
      </c>
      <c r="G89" s="27">
        <v>1293.0</v>
      </c>
      <c r="H89" s="18" t="s">
        <v>140</v>
      </c>
      <c r="I89" s="18" t="s">
        <v>142</v>
      </c>
      <c r="J89" s="18" t="s">
        <v>325</v>
      </c>
      <c r="K89" s="29">
        <f t="shared" si="2"/>
        <v>21</v>
      </c>
    </row>
    <row r="90" ht="15.75" customHeight="1">
      <c r="A90" s="18" t="s">
        <v>1154</v>
      </c>
      <c r="B90" s="18">
        <v>2002.0</v>
      </c>
      <c r="C90" s="18" t="s">
        <v>457</v>
      </c>
      <c r="D90" s="18">
        <v>10.0</v>
      </c>
      <c r="E90" s="18" t="str">
        <f t="shared" si="1"/>
        <v>10/12/02</v>
      </c>
      <c r="F90" s="18">
        <v>0.0</v>
      </c>
      <c r="G90" s="27">
        <v>1304.0</v>
      </c>
      <c r="H90" s="18" t="s">
        <v>140</v>
      </c>
      <c r="I90" s="18" t="s">
        <v>140</v>
      </c>
      <c r="J90" s="18" t="s">
        <v>325</v>
      </c>
      <c r="K90" s="29">
        <f t="shared" si="2"/>
        <v>20</v>
      </c>
    </row>
    <row r="91" ht="15.75" customHeight="1">
      <c r="A91" s="18" t="s">
        <v>1159</v>
      </c>
      <c r="B91" s="18">
        <v>1999.0</v>
      </c>
      <c r="C91" s="18" t="s">
        <v>457</v>
      </c>
      <c r="D91" s="18">
        <v>2.0</v>
      </c>
      <c r="E91" s="18" t="str">
        <f t="shared" si="1"/>
        <v>02/12/99</v>
      </c>
      <c r="F91" s="18">
        <v>0.0</v>
      </c>
      <c r="G91" s="27">
        <v>1304.0</v>
      </c>
      <c r="H91" s="18" t="s">
        <v>140</v>
      </c>
      <c r="I91" s="18" t="s">
        <v>140</v>
      </c>
      <c r="J91" s="18" t="s">
        <v>146</v>
      </c>
      <c r="K91" s="29">
        <f t="shared" si="2"/>
        <v>23</v>
      </c>
    </row>
    <row r="92" ht="15.75" customHeight="1">
      <c r="A92" s="18" t="s">
        <v>1165</v>
      </c>
      <c r="B92" s="18">
        <v>2002.0</v>
      </c>
      <c r="C92" s="18" t="s">
        <v>517</v>
      </c>
      <c r="D92" s="18">
        <v>13.0</v>
      </c>
      <c r="E92" s="18" t="str">
        <f t="shared" si="1"/>
        <v>13/10/02</v>
      </c>
      <c r="F92" s="18">
        <v>0.0</v>
      </c>
      <c r="G92" s="27">
        <v>1315.0</v>
      </c>
      <c r="H92" s="18" t="s">
        <v>140</v>
      </c>
      <c r="I92" s="18" t="s">
        <v>140</v>
      </c>
      <c r="J92" s="18" t="s">
        <v>146</v>
      </c>
      <c r="K92" s="29">
        <f t="shared" si="2"/>
        <v>20</v>
      </c>
    </row>
    <row r="93" ht="15.75" customHeight="1">
      <c r="A93" s="18" t="s">
        <v>1171</v>
      </c>
      <c r="B93" s="18">
        <v>1999.0</v>
      </c>
      <c r="C93" s="18" t="s">
        <v>517</v>
      </c>
      <c r="D93" s="18">
        <v>14.0</v>
      </c>
      <c r="E93" s="18" t="str">
        <f t="shared" si="1"/>
        <v>14/10/99</v>
      </c>
      <c r="F93" s="18">
        <v>0.0</v>
      </c>
      <c r="G93" s="27">
        <v>1329.17</v>
      </c>
      <c r="H93" s="18" t="s">
        <v>140</v>
      </c>
      <c r="I93" s="18" t="s">
        <v>142</v>
      </c>
      <c r="J93" s="18" t="s">
        <v>146</v>
      </c>
      <c r="K93" s="29">
        <f t="shared" si="2"/>
        <v>23</v>
      </c>
    </row>
    <row r="94" ht="15.75" customHeight="1">
      <c r="A94" s="18" t="s">
        <v>1174</v>
      </c>
      <c r="B94" s="18">
        <v>1998.0</v>
      </c>
      <c r="C94" s="18" t="s">
        <v>91</v>
      </c>
      <c r="D94" s="18">
        <v>12.0</v>
      </c>
      <c r="E94" s="18" t="str">
        <f t="shared" si="1"/>
        <v>12/07/98</v>
      </c>
      <c r="F94" s="18">
        <v>0.0</v>
      </c>
      <c r="G94" s="27">
        <v>1332.61</v>
      </c>
      <c r="H94" s="18" t="s">
        <v>140</v>
      </c>
      <c r="I94" s="18" t="s">
        <v>142</v>
      </c>
      <c r="J94" s="18" t="s">
        <v>146</v>
      </c>
      <c r="K94" s="29">
        <f t="shared" si="2"/>
        <v>24</v>
      </c>
    </row>
    <row r="95" ht="15.75" customHeight="1">
      <c r="A95" s="18" t="s">
        <v>1180</v>
      </c>
      <c r="B95" s="18">
        <v>1995.0</v>
      </c>
      <c r="C95" s="18" t="s">
        <v>91</v>
      </c>
      <c r="D95" s="18">
        <v>30.0</v>
      </c>
      <c r="E95" s="18" t="str">
        <f t="shared" si="1"/>
        <v>30/07/95</v>
      </c>
      <c r="F95" s="18">
        <v>0.0</v>
      </c>
      <c r="G95" s="27">
        <v>1338.0</v>
      </c>
      <c r="H95" s="18" t="s">
        <v>140</v>
      </c>
      <c r="I95" s="18" t="s">
        <v>142</v>
      </c>
      <c r="J95" s="18" t="s">
        <v>325</v>
      </c>
      <c r="K95" s="29">
        <f t="shared" si="2"/>
        <v>27</v>
      </c>
    </row>
    <row r="96" ht="15.75" customHeight="1">
      <c r="A96" s="18" t="s">
        <v>1185</v>
      </c>
      <c r="B96" s="18">
        <v>1997.0</v>
      </c>
      <c r="C96" s="18" t="s">
        <v>209</v>
      </c>
      <c r="D96" s="18">
        <v>7.0</v>
      </c>
      <c r="E96" s="18" t="str">
        <f t="shared" si="1"/>
        <v>07/11/97</v>
      </c>
      <c r="F96" s="18">
        <v>0.0</v>
      </c>
      <c r="G96" s="27">
        <v>1341.16</v>
      </c>
      <c r="H96" s="18" t="s">
        <v>140</v>
      </c>
      <c r="I96" s="18" t="s">
        <v>140</v>
      </c>
      <c r="J96" s="18" t="s">
        <v>325</v>
      </c>
      <c r="K96" s="29">
        <f t="shared" si="2"/>
        <v>25</v>
      </c>
    </row>
    <row r="97" ht="15.75" customHeight="1">
      <c r="A97" s="18" t="s">
        <v>1191</v>
      </c>
      <c r="B97" s="18">
        <v>1998.0</v>
      </c>
      <c r="C97" s="18" t="s">
        <v>457</v>
      </c>
      <c r="D97" s="18">
        <v>3.0</v>
      </c>
      <c r="E97" s="18" t="str">
        <f t="shared" si="1"/>
        <v>03/12/98</v>
      </c>
      <c r="F97" s="18">
        <v>0.0</v>
      </c>
      <c r="G97" s="27">
        <v>1359.0</v>
      </c>
      <c r="H97" s="18" t="s">
        <v>140</v>
      </c>
      <c r="I97" s="18" t="s">
        <v>219</v>
      </c>
      <c r="J97" s="18" t="s">
        <v>146</v>
      </c>
      <c r="K97" s="29">
        <f t="shared" si="2"/>
        <v>24</v>
      </c>
    </row>
    <row r="98" ht="15.75" customHeight="1">
      <c r="A98" s="18" t="s">
        <v>1195</v>
      </c>
      <c r="B98" s="18">
        <v>2002.0</v>
      </c>
      <c r="C98" s="18" t="s">
        <v>501</v>
      </c>
      <c r="D98" s="18">
        <v>15.0</v>
      </c>
      <c r="E98" s="18" t="str">
        <f t="shared" si="1"/>
        <v>15/08/02</v>
      </c>
      <c r="F98" s="18">
        <v>0.0</v>
      </c>
      <c r="G98" s="27">
        <v>1382.0</v>
      </c>
      <c r="H98" s="18" t="s">
        <v>140</v>
      </c>
      <c r="I98" s="18" t="s">
        <v>219</v>
      </c>
      <c r="J98" s="18" t="s">
        <v>146</v>
      </c>
      <c r="K98" s="29">
        <f t="shared" si="2"/>
        <v>20</v>
      </c>
    </row>
    <row r="99" ht="15.75" customHeight="1">
      <c r="A99" s="18" t="s">
        <v>1200</v>
      </c>
      <c r="B99" s="18">
        <v>1999.0</v>
      </c>
      <c r="C99" s="18" t="s">
        <v>91</v>
      </c>
      <c r="D99" s="18">
        <v>6.0</v>
      </c>
      <c r="E99" s="18" t="str">
        <f t="shared" si="1"/>
        <v>06/07/99</v>
      </c>
      <c r="F99" s="18">
        <v>0.0</v>
      </c>
      <c r="G99" s="27">
        <v>1389.0</v>
      </c>
      <c r="H99" s="18" t="s">
        <v>140</v>
      </c>
      <c r="I99" s="18" t="s">
        <v>140</v>
      </c>
      <c r="J99" s="18" t="s">
        <v>146</v>
      </c>
      <c r="K99" s="29">
        <f t="shared" si="2"/>
        <v>23</v>
      </c>
    </row>
    <row r="100" ht="15.75" customHeight="1">
      <c r="A100" s="18" t="s">
        <v>1205</v>
      </c>
      <c r="B100" s="18">
        <v>2002.0</v>
      </c>
      <c r="C100" s="18" t="s">
        <v>209</v>
      </c>
      <c r="D100" s="18">
        <v>14.0</v>
      </c>
      <c r="E100" s="18" t="str">
        <f t="shared" si="1"/>
        <v>14/11/02</v>
      </c>
      <c r="F100" s="18">
        <v>0.0</v>
      </c>
      <c r="G100" s="27">
        <v>1390.0</v>
      </c>
      <c r="H100" s="18" t="s">
        <v>140</v>
      </c>
      <c r="I100" s="18" t="s">
        <v>140</v>
      </c>
      <c r="J100" s="18" t="s">
        <v>146</v>
      </c>
      <c r="K100" s="29">
        <f t="shared" si="2"/>
        <v>20</v>
      </c>
    </row>
    <row r="101" ht="15.75" customHeight="1">
      <c r="A101" s="18" t="s">
        <v>1208</v>
      </c>
      <c r="B101" s="18">
        <v>2002.0</v>
      </c>
      <c r="C101" s="18" t="s">
        <v>457</v>
      </c>
      <c r="D101" s="18">
        <v>22.0</v>
      </c>
      <c r="E101" s="18" t="str">
        <f t="shared" si="1"/>
        <v>22/12/02</v>
      </c>
      <c r="F101" s="18">
        <v>0.0</v>
      </c>
      <c r="G101" s="27">
        <v>1391.53</v>
      </c>
      <c r="H101" s="18" t="s">
        <v>140</v>
      </c>
      <c r="I101" s="18" t="s">
        <v>219</v>
      </c>
      <c r="J101" s="18" t="s">
        <v>146</v>
      </c>
      <c r="K101" s="29">
        <f t="shared" si="2"/>
        <v>20</v>
      </c>
    </row>
    <row r="102" ht="15.75" customHeight="1">
      <c r="A102" s="18" t="s">
        <v>1215</v>
      </c>
      <c r="B102" s="18">
        <v>1998.0</v>
      </c>
      <c r="C102" s="18" t="s">
        <v>272</v>
      </c>
      <c r="D102" s="18">
        <v>5.0</v>
      </c>
      <c r="E102" s="18" t="str">
        <f t="shared" si="1"/>
        <v>05/09/98</v>
      </c>
      <c r="F102" s="18">
        <v>0.0</v>
      </c>
      <c r="G102" s="27">
        <v>1400.44</v>
      </c>
      <c r="H102" s="18" t="s">
        <v>140</v>
      </c>
      <c r="I102" s="18" t="s">
        <v>140</v>
      </c>
      <c r="J102" s="18" t="s">
        <v>146</v>
      </c>
      <c r="K102" s="29">
        <f t="shared" si="2"/>
        <v>24</v>
      </c>
    </row>
    <row r="103" ht="15.75" customHeight="1">
      <c r="A103" s="18" t="s">
        <v>1219</v>
      </c>
      <c r="B103" s="18">
        <v>1997.0</v>
      </c>
      <c r="C103" s="18" t="s">
        <v>517</v>
      </c>
      <c r="D103" s="18">
        <v>27.0</v>
      </c>
      <c r="E103" s="18" t="str">
        <f t="shared" si="1"/>
        <v>27/10/97</v>
      </c>
      <c r="F103" s="18">
        <v>0.0</v>
      </c>
      <c r="G103" s="27">
        <v>1402.0</v>
      </c>
      <c r="H103" s="18" t="s">
        <v>140</v>
      </c>
      <c r="I103" s="18" t="s">
        <v>142</v>
      </c>
      <c r="J103" s="18" t="s">
        <v>570</v>
      </c>
      <c r="K103" s="29">
        <f t="shared" si="2"/>
        <v>25</v>
      </c>
    </row>
    <row r="104" ht="15.75" customHeight="1">
      <c r="A104" s="18" t="s">
        <v>1222</v>
      </c>
      <c r="B104" s="18">
        <v>1996.0</v>
      </c>
      <c r="C104" s="18" t="s">
        <v>241</v>
      </c>
      <c r="D104" s="18">
        <v>23.0</v>
      </c>
      <c r="E104" s="18" t="str">
        <f t="shared" si="1"/>
        <v>23/06/96</v>
      </c>
      <c r="F104" s="18">
        <v>0.0</v>
      </c>
      <c r="G104" s="27">
        <v>1417.0</v>
      </c>
      <c r="H104" s="18" t="s">
        <v>140</v>
      </c>
      <c r="I104" s="18" t="s">
        <v>142</v>
      </c>
      <c r="J104" s="18" t="s">
        <v>146</v>
      </c>
      <c r="K104" s="29">
        <f t="shared" si="2"/>
        <v>26</v>
      </c>
    </row>
    <row r="105" ht="15.75" customHeight="1">
      <c r="A105" s="18" t="s">
        <v>1230</v>
      </c>
      <c r="B105" s="18">
        <v>2001.0</v>
      </c>
      <c r="C105" s="18" t="s">
        <v>501</v>
      </c>
      <c r="D105" s="18">
        <v>23.0</v>
      </c>
      <c r="E105" s="18" t="str">
        <f t="shared" si="1"/>
        <v>23/08/01</v>
      </c>
      <c r="F105" s="18">
        <v>0.0</v>
      </c>
      <c r="G105" s="27">
        <v>1421.0</v>
      </c>
      <c r="H105" s="18" t="s">
        <v>140</v>
      </c>
      <c r="I105" s="18" t="s">
        <v>140</v>
      </c>
      <c r="J105" s="18" t="s">
        <v>146</v>
      </c>
      <c r="K105" s="29">
        <f t="shared" si="2"/>
        <v>21</v>
      </c>
    </row>
    <row r="106" ht="15.75" customHeight="1">
      <c r="A106" s="18" t="s">
        <v>1234</v>
      </c>
      <c r="B106" s="18">
        <v>1997.0</v>
      </c>
      <c r="C106" s="18" t="s">
        <v>457</v>
      </c>
      <c r="D106" s="18">
        <v>5.0</v>
      </c>
      <c r="E106" s="18" t="str">
        <f t="shared" si="1"/>
        <v>05/12/97</v>
      </c>
      <c r="F106" s="18">
        <v>0.0</v>
      </c>
      <c r="G106" s="27">
        <v>1422.0</v>
      </c>
      <c r="H106" s="18" t="s">
        <v>140</v>
      </c>
      <c r="I106" s="18" t="s">
        <v>140</v>
      </c>
      <c r="J106" s="18" t="s">
        <v>146</v>
      </c>
      <c r="K106" s="29">
        <f t="shared" si="2"/>
        <v>25</v>
      </c>
    </row>
    <row r="107" ht="15.75" customHeight="1">
      <c r="A107" s="18" t="s">
        <v>1237</v>
      </c>
      <c r="B107" s="18">
        <v>2000.0</v>
      </c>
      <c r="C107" s="18" t="s">
        <v>272</v>
      </c>
      <c r="D107" s="18">
        <v>1.0</v>
      </c>
      <c r="E107" s="18" t="str">
        <f t="shared" si="1"/>
        <v>01/09/00</v>
      </c>
      <c r="F107" s="18">
        <v>0.0</v>
      </c>
      <c r="G107" s="27">
        <v>1438.0</v>
      </c>
      <c r="H107" s="18" t="s">
        <v>140</v>
      </c>
      <c r="I107" s="18" t="s">
        <v>140</v>
      </c>
      <c r="J107" s="18" t="s">
        <v>146</v>
      </c>
      <c r="K107" s="29">
        <f t="shared" si="2"/>
        <v>22</v>
      </c>
    </row>
    <row r="108" ht="15.75" customHeight="1">
      <c r="A108" s="18" t="s">
        <v>1241</v>
      </c>
      <c r="B108" s="18">
        <v>1997.0</v>
      </c>
      <c r="C108" s="18" t="s">
        <v>241</v>
      </c>
      <c r="D108" s="18">
        <v>19.0</v>
      </c>
      <c r="E108" s="18" t="str">
        <f t="shared" si="1"/>
        <v>19/06/97</v>
      </c>
      <c r="F108" s="18">
        <v>0.0</v>
      </c>
      <c r="G108" s="27">
        <v>1445.0</v>
      </c>
      <c r="H108" s="18" t="s">
        <v>140</v>
      </c>
      <c r="I108" s="18" t="s">
        <v>219</v>
      </c>
      <c r="J108" s="18" t="s">
        <v>146</v>
      </c>
      <c r="K108" s="29">
        <f t="shared" si="2"/>
        <v>25</v>
      </c>
    </row>
    <row r="109" ht="15.75" customHeight="1">
      <c r="A109" s="18" t="s">
        <v>1246</v>
      </c>
      <c r="B109" s="18">
        <v>2003.0</v>
      </c>
      <c r="C109" s="18" t="s">
        <v>241</v>
      </c>
      <c r="D109" s="18">
        <v>20.0</v>
      </c>
      <c r="E109" s="18" t="str">
        <f t="shared" si="1"/>
        <v>20/06/03</v>
      </c>
      <c r="F109" s="18">
        <v>0.0</v>
      </c>
      <c r="G109" s="27">
        <v>1467.0</v>
      </c>
      <c r="H109" s="18" t="s">
        <v>140</v>
      </c>
      <c r="I109" s="18" t="s">
        <v>140</v>
      </c>
      <c r="J109" s="18" t="s">
        <v>146</v>
      </c>
      <c r="K109" s="29">
        <f t="shared" si="2"/>
        <v>19</v>
      </c>
    </row>
    <row r="110" ht="15.75" customHeight="1">
      <c r="A110" s="18" t="s">
        <v>1250</v>
      </c>
      <c r="B110" s="18">
        <v>1998.0</v>
      </c>
      <c r="C110" s="18" t="s">
        <v>457</v>
      </c>
      <c r="D110" s="18">
        <v>7.0</v>
      </c>
      <c r="E110" s="18" t="str">
        <f t="shared" si="1"/>
        <v>07/12/98</v>
      </c>
      <c r="F110" s="18">
        <v>0.0</v>
      </c>
      <c r="G110" s="27">
        <v>1477.0</v>
      </c>
      <c r="H110" s="18" t="s">
        <v>140</v>
      </c>
      <c r="I110" s="18" t="s">
        <v>219</v>
      </c>
      <c r="J110" s="18" t="s">
        <v>146</v>
      </c>
      <c r="K110" s="29">
        <f t="shared" si="2"/>
        <v>24</v>
      </c>
    </row>
    <row r="111" ht="15.75" customHeight="1">
      <c r="A111" s="18" t="s">
        <v>1255</v>
      </c>
      <c r="B111" s="18">
        <v>1997.0</v>
      </c>
      <c r="C111" s="18" t="s">
        <v>241</v>
      </c>
      <c r="D111" s="18">
        <v>9.0</v>
      </c>
      <c r="E111" s="18" t="str">
        <f t="shared" si="1"/>
        <v>09/06/97</v>
      </c>
      <c r="F111" s="18">
        <v>0.0</v>
      </c>
      <c r="G111" s="27">
        <v>1481.0</v>
      </c>
      <c r="H111" s="18" t="s">
        <v>140</v>
      </c>
      <c r="I111" s="18" t="s">
        <v>219</v>
      </c>
      <c r="J111" s="18" t="s">
        <v>325</v>
      </c>
      <c r="K111" s="29">
        <f t="shared" si="2"/>
        <v>25</v>
      </c>
    </row>
    <row r="112" ht="15.75" customHeight="1">
      <c r="A112" s="18" t="s">
        <v>1259</v>
      </c>
      <c r="B112" s="18">
        <v>1995.0</v>
      </c>
      <c r="C112" s="18" t="s">
        <v>517</v>
      </c>
      <c r="D112" s="18">
        <v>7.0</v>
      </c>
      <c r="E112" s="18" t="str">
        <f t="shared" si="1"/>
        <v>07/10/95</v>
      </c>
      <c r="F112" s="18">
        <v>0.0</v>
      </c>
      <c r="G112" s="27">
        <v>1493.0</v>
      </c>
      <c r="H112" s="18" t="s">
        <v>140</v>
      </c>
      <c r="I112" s="18" t="s">
        <v>142</v>
      </c>
      <c r="J112" s="18" t="s">
        <v>146</v>
      </c>
      <c r="K112" s="29">
        <f t="shared" si="2"/>
        <v>27</v>
      </c>
    </row>
    <row r="113" ht="15.75" customHeight="1">
      <c r="A113" s="18" t="s">
        <v>1261</v>
      </c>
      <c r="B113" s="18">
        <v>1998.0</v>
      </c>
      <c r="C113" s="18" t="s">
        <v>241</v>
      </c>
      <c r="D113" s="18">
        <v>19.0</v>
      </c>
      <c r="E113" s="18" t="str">
        <f t="shared" si="1"/>
        <v>19/06/98</v>
      </c>
      <c r="F113" s="18">
        <v>0.0</v>
      </c>
      <c r="G113" s="27">
        <v>1497.0</v>
      </c>
      <c r="H113" s="18" t="s">
        <v>140</v>
      </c>
      <c r="I113" s="18" t="s">
        <v>140</v>
      </c>
      <c r="J113" s="18" t="s">
        <v>146</v>
      </c>
      <c r="K113" s="29">
        <f t="shared" si="2"/>
        <v>24</v>
      </c>
    </row>
    <row r="114" ht="15.75" customHeight="1">
      <c r="A114" s="18" t="s">
        <v>1266</v>
      </c>
      <c r="B114" s="18">
        <v>2001.0</v>
      </c>
      <c r="C114" s="18" t="s">
        <v>501</v>
      </c>
      <c r="D114" s="18">
        <v>25.0</v>
      </c>
      <c r="E114" s="18" t="str">
        <f t="shared" si="1"/>
        <v>25/08/01</v>
      </c>
      <c r="F114" s="18">
        <v>0.0</v>
      </c>
      <c r="G114" s="27">
        <v>1515.34</v>
      </c>
      <c r="H114" s="18" t="s">
        <v>140</v>
      </c>
      <c r="I114" s="18" t="s">
        <v>142</v>
      </c>
      <c r="J114" s="18" t="s">
        <v>146</v>
      </c>
      <c r="K114" s="29">
        <f t="shared" si="2"/>
        <v>21</v>
      </c>
    </row>
    <row r="115" ht="15.75" customHeight="1">
      <c r="A115" s="18" t="s">
        <v>1271</v>
      </c>
      <c r="B115" s="18">
        <v>2001.0</v>
      </c>
      <c r="C115" s="18" t="s">
        <v>91</v>
      </c>
      <c r="D115" s="18">
        <v>7.0</v>
      </c>
      <c r="E115" s="18" t="str">
        <f t="shared" si="1"/>
        <v>07/07/01</v>
      </c>
      <c r="F115" s="18">
        <v>0.0</v>
      </c>
      <c r="G115" s="27">
        <v>1526.31</v>
      </c>
      <c r="H115" s="18" t="s">
        <v>140</v>
      </c>
      <c r="I115" s="18" t="s">
        <v>142</v>
      </c>
      <c r="J115" s="18" t="s">
        <v>570</v>
      </c>
      <c r="K115" s="29">
        <f t="shared" si="2"/>
        <v>21</v>
      </c>
    </row>
    <row r="116" ht="15.75" customHeight="1">
      <c r="A116" s="18" t="s">
        <v>1276</v>
      </c>
      <c r="B116" s="18">
        <v>2001.0</v>
      </c>
      <c r="C116" s="18" t="s">
        <v>241</v>
      </c>
      <c r="D116" s="18">
        <v>2.0</v>
      </c>
      <c r="E116" s="18" t="str">
        <f t="shared" si="1"/>
        <v>02/06/01</v>
      </c>
      <c r="F116" s="18">
        <v>0.0</v>
      </c>
      <c r="G116" s="27">
        <v>1532.47</v>
      </c>
      <c r="H116" s="18" t="s">
        <v>140</v>
      </c>
      <c r="I116" s="18" t="s">
        <v>140</v>
      </c>
      <c r="J116" s="18" t="s">
        <v>146</v>
      </c>
      <c r="K116" s="29">
        <f t="shared" si="2"/>
        <v>22</v>
      </c>
    </row>
    <row r="117" ht="15.75" customHeight="1">
      <c r="A117" s="18" t="s">
        <v>1282</v>
      </c>
      <c r="B117" s="18">
        <v>2001.0</v>
      </c>
      <c r="C117" s="18" t="s">
        <v>457</v>
      </c>
      <c r="D117" s="18">
        <v>5.0</v>
      </c>
      <c r="E117" s="18" t="str">
        <f t="shared" si="1"/>
        <v>05/12/01</v>
      </c>
      <c r="F117" s="18">
        <v>0.0</v>
      </c>
      <c r="G117" s="27">
        <v>1534.3</v>
      </c>
      <c r="H117" s="18" t="s">
        <v>140</v>
      </c>
      <c r="I117" s="18" t="s">
        <v>140</v>
      </c>
      <c r="J117" s="18" t="s">
        <v>146</v>
      </c>
      <c r="K117" s="29">
        <f t="shared" si="2"/>
        <v>21</v>
      </c>
    </row>
    <row r="118" ht="15.75" customHeight="1">
      <c r="A118" s="18" t="s">
        <v>1287</v>
      </c>
      <c r="B118" s="18">
        <v>1992.0</v>
      </c>
      <c r="C118" s="18" t="s">
        <v>272</v>
      </c>
      <c r="D118" s="18">
        <v>22.0</v>
      </c>
      <c r="E118" s="18" t="str">
        <f t="shared" si="1"/>
        <v>22/09/92</v>
      </c>
      <c r="F118" s="18">
        <v>0.0</v>
      </c>
      <c r="G118" s="27">
        <v>1566.88</v>
      </c>
      <c r="H118" s="18" t="s">
        <v>140</v>
      </c>
      <c r="I118" s="18" t="s">
        <v>219</v>
      </c>
      <c r="J118" s="18" t="s">
        <v>146</v>
      </c>
      <c r="K118" s="29">
        <f t="shared" si="2"/>
        <v>30</v>
      </c>
    </row>
    <row r="119" ht="15.75" customHeight="1">
      <c r="A119" s="18" t="s">
        <v>1292</v>
      </c>
      <c r="B119" s="18">
        <v>2004.0</v>
      </c>
      <c r="C119" s="18" t="s">
        <v>209</v>
      </c>
      <c r="D119" s="18">
        <v>19.0</v>
      </c>
      <c r="E119" s="18" t="str">
        <f t="shared" si="1"/>
        <v>19/11/04</v>
      </c>
      <c r="F119" s="18">
        <v>0.0</v>
      </c>
      <c r="G119" s="27">
        <v>1607.51</v>
      </c>
      <c r="H119" s="18" t="s">
        <v>140</v>
      </c>
      <c r="I119" s="18" t="s">
        <v>142</v>
      </c>
      <c r="J119" s="18" t="s">
        <v>146</v>
      </c>
      <c r="K119" s="29">
        <f t="shared" si="2"/>
        <v>18</v>
      </c>
    </row>
    <row r="120" ht="15.75" customHeight="1">
      <c r="A120" s="18" t="s">
        <v>1298</v>
      </c>
      <c r="B120" s="18">
        <v>2004.0</v>
      </c>
      <c r="C120" s="18" t="s">
        <v>91</v>
      </c>
      <c r="D120" s="18">
        <v>22.0</v>
      </c>
      <c r="E120" s="18" t="str">
        <f t="shared" si="1"/>
        <v>22/07/04</v>
      </c>
      <c r="F120" s="18">
        <v>0.0</v>
      </c>
      <c r="G120" s="27">
        <v>1615.77</v>
      </c>
      <c r="H120" s="18" t="s">
        <v>140</v>
      </c>
      <c r="I120" s="18" t="s">
        <v>219</v>
      </c>
      <c r="J120" s="18" t="s">
        <v>146</v>
      </c>
      <c r="K120" s="29">
        <f t="shared" si="2"/>
        <v>18</v>
      </c>
    </row>
    <row r="121" ht="15.75" customHeight="1">
      <c r="A121" s="18" t="s">
        <v>1304</v>
      </c>
      <c r="B121" s="18">
        <v>1995.0</v>
      </c>
      <c r="C121" s="18" t="s">
        <v>501</v>
      </c>
      <c r="D121" s="18">
        <v>5.0</v>
      </c>
      <c r="E121" s="18" t="str">
        <f t="shared" si="1"/>
        <v>05/08/95</v>
      </c>
      <c r="F121" s="18">
        <v>0.0</v>
      </c>
      <c r="G121" s="27">
        <v>1617.16</v>
      </c>
      <c r="H121" s="18" t="s">
        <v>140</v>
      </c>
      <c r="I121" s="18" t="s">
        <v>219</v>
      </c>
      <c r="J121" s="18" t="s">
        <v>146</v>
      </c>
      <c r="K121" s="29">
        <f t="shared" si="2"/>
        <v>27</v>
      </c>
    </row>
    <row r="122" ht="15.75" customHeight="1">
      <c r="A122" s="18" t="s">
        <v>1309</v>
      </c>
      <c r="B122" s="18">
        <v>2003.0</v>
      </c>
      <c r="C122" s="18" t="s">
        <v>272</v>
      </c>
      <c r="D122" s="18">
        <v>14.0</v>
      </c>
      <c r="E122" s="18" t="str">
        <f t="shared" si="1"/>
        <v>14/09/03</v>
      </c>
      <c r="F122" s="18">
        <v>0.0</v>
      </c>
      <c r="G122" s="27">
        <v>1621.34</v>
      </c>
      <c r="H122" s="18" t="s">
        <v>140</v>
      </c>
      <c r="I122" s="18" t="s">
        <v>140</v>
      </c>
      <c r="J122" s="18" t="s">
        <v>325</v>
      </c>
      <c r="K122" s="29">
        <f t="shared" si="2"/>
        <v>19</v>
      </c>
    </row>
    <row r="123" ht="15.75" customHeight="1">
      <c r="A123" s="18" t="s">
        <v>1316</v>
      </c>
      <c r="B123" s="18">
        <v>2004.0</v>
      </c>
      <c r="C123" s="18" t="s">
        <v>501</v>
      </c>
      <c r="D123" s="18">
        <v>21.0</v>
      </c>
      <c r="E123" s="18" t="str">
        <f t="shared" si="1"/>
        <v>21/08/04</v>
      </c>
      <c r="F123" s="18">
        <v>0.0</v>
      </c>
      <c r="G123" s="27">
        <v>1621.88</v>
      </c>
      <c r="H123" s="18" t="s">
        <v>140</v>
      </c>
      <c r="I123" s="18" t="s">
        <v>140</v>
      </c>
      <c r="J123" s="18" t="s">
        <v>146</v>
      </c>
      <c r="K123" s="29">
        <f t="shared" si="2"/>
        <v>18</v>
      </c>
    </row>
    <row r="124" ht="15.75" customHeight="1">
      <c r="A124" s="18" t="s">
        <v>1324</v>
      </c>
      <c r="B124" s="18">
        <v>2004.0</v>
      </c>
      <c r="C124" s="18" t="s">
        <v>91</v>
      </c>
      <c r="D124" s="18">
        <v>25.0</v>
      </c>
      <c r="E124" s="18" t="str">
        <f t="shared" si="1"/>
        <v>25/07/04</v>
      </c>
      <c r="F124" s="18">
        <v>0.0</v>
      </c>
      <c r="G124" s="27">
        <v>1622.19</v>
      </c>
      <c r="H124" s="18" t="s">
        <v>140</v>
      </c>
      <c r="I124" s="18" t="s">
        <v>219</v>
      </c>
      <c r="J124" s="18" t="s">
        <v>146</v>
      </c>
      <c r="K124" s="29">
        <f t="shared" si="2"/>
        <v>18</v>
      </c>
    </row>
    <row r="125" ht="15.75" customHeight="1">
      <c r="A125" s="18" t="s">
        <v>1331</v>
      </c>
      <c r="B125" s="18">
        <v>2003.0</v>
      </c>
      <c r="C125" s="18" t="s">
        <v>272</v>
      </c>
      <c r="D125" s="18">
        <v>9.0</v>
      </c>
      <c r="E125" s="18" t="str">
        <f t="shared" si="1"/>
        <v>09/09/03</v>
      </c>
      <c r="F125" s="18">
        <v>0.0</v>
      </c>
      <c r="G125" s="27">
        <v>1625.43</v>
      </c>
      <c r="H125" s="18" t="s">
        <v>140</v>
      </c>
      <c r="I125" s="18" t="s">
        <v>142</v>
      </c>
      <c r="J125" s="18" t="s">
        <v>325</v>
      </c>
      <c r="K125" s="29">
        <f t="shared" si="2"/>
        <v>19</v>
      </c>
    </row>
    <row r="126" ht="15.75" customHeight="1">
      <c r="A126" s="18" t="s">
        <v>1336</v>
      </c>
      <c r="B126" s="18">
        <v>2003.0</v>
      </c>
      <c r="C126" s="18" t="s">
        <v>457</v>
      </c>
      <c r="D126" s="18">
        <v>4.0</v>
      </c>
      <c r="E126" s="18" t="str">
        <f t="shared" si="1"/>
        <v>04/12/03</v>
      </c>
      <c r="F126" s="18">
        <v>0.0</v>
      </c>
      <c r="G126" s="27">
        <v>1627.28</v>
      </c>
      <c r="H126" s="18" t="s">
        <v>140</v>
      </c>
      <c r="I126" s="18" t="s">
        <v>140</v>
      </c>
      <c r="J126" s="18" t="s">
        <v>325</v>
      </c>
      <c r="K126" s="29">
        <f t="shared" si="2"/>
        <v>19</v>
      </c>
    </row>
    <row r="127" ht="15.75" customHeight="1">
      <c r="A127" s="18" t="s">
        <v>1340</v>
      </c>
      <c r="B127" s="18">
        <v>2003.0</v>
      </c>
      <c r="C127" s="18" t="s">
        <v>91</v>
      </c>
      <c r="D127" s="18">
        <v>17.0</v>
      </c>
      <c r="E127" s="18" t="str">
        <f t="shared" si="1"/>
        <v>17/07/03</v>
      </c>
      <c r="F127" s="18">
        <v>0.0</v>
      </c>
      <c r="G127" s="27">
        <v>1628.47</v>
      </c>
      <c r="H127" s="18" t="s">
        <v>140</v>
      </c>
      <c r="I127" s="18" t="s">
        <v>219</v>
      </c>
      <c r="J127" s="18" t="s">
        <v>325</v>
      </c>
      <c r="K127" s="29">
        <f t="shared" si="2"/>
        <v>19</v>
      </c>
    </row>
    <row r="128" ht="15.75" customHeight="1">
      <c r="A128" s="18" t="s">
        <v>1346</v>
      </c>
      <c r="B128" s="18">
        <v>2004.0</v>
      </c>
      <c r="C128" s="18" t="s">
        <v>517</v>
      </c>
      <c r="D128" s="18">
        <v>4.0</v>
      </c>
      <c r="E128" s="18" t="str">
        <f t="shared" si="1"/>
        <v>04/10/04</v>
      </c>
      <c r="F128" s="18">
        <v>0.0</v>
      </c>
      <c r="G128" s="27">
        <v>1629.83</v>
      </c>
      <c r="H128" s="18" t="s">
        <v>140</v>
      </c>
      <c r="I128" s="18" t="s">
        <v>140</v>
      </c>
      <c r="J128" s="18" t="s">
        <v>146</v>
      </c>
      <c r="K128" s="29">
        <f t="shared" si="2"/>
        <v>18</v>
      </c>
    </row>
    <row r="129" ht="15.75" customHeight="1">
      <c r="A129" s="18" t="s">
        <v>1350</v>
      </c>
      <c r="B129" s="18">
        <v>2004.0</v>
      </c>
      <c r="C129" s="18" t="s">
        <v>457</v>
      </c>
      <c r="D129" s="18">
        <v>5.0</v>
      </c>
      <c r="E129" s="18" t="str">
        <f t="shared" si="1"/>
        <v>05/12/04</v>
      </c>
      <c r="F129" s="18">
        <v>0.0</v>
      </c>
      <c r="G129" s="27">
        <v>1631.67</v>
      </c>
      <c r="H129" s="18" t="s">
        <v>140</v>
      </c>
      <c r="I129" s="18" t="s">
        <v>142</v>
      </c>
      <c r="J129" s="18" t="s">
        <v>146</v>
      </c>
      <c r="K129" s="29">
        <f t="shared" si="2"/>
        <v>18</v>
      </c>
    </row>
    <row r="130" ht="15.75" customHeight="1">
      <c r="A130" s="18" t="s">
        <v>1354</v>
      </c>
      <c r="B130" s="18">
        <v>2004.0</v>
      </c>
      <c r="C130" s="18" t="s">
        <v>91</v>
      </c>
      <c r="D130" s="18">
        <v>9.0</v>
      </c>
      <c r="E130" s="18" t="str">
        <f t="shared" si="1"/>
        <v>09/07/04</v>
      </c>
      <c r="F130" s="18">
        <v>0.0</v>
      </c>
      <c r="G130" s="27">
        <v>1631.82</v>
      </c>
      <c r="H130" s="18" t="s">
        <v>140</v>
      </c>
      <c r="I130" s="18" t="s">
        <v>219</v>
      </c>
      <c r="J130" s="18" t="s">
        <v>146</v>
      </c>
      <c r="K130" s="29">
        <f t="shared" si="2"/>
        <v>18</v>
      </c>
    </row>
    <row r="131" ht="15.75" customHeight="1">
      <c r="A131" s="18" t="s">
        <v>1358</v>
      </c>
      <c r="B131" s="18">
        <v>2003.0</v>
      </c>
      <c r="C131" s="18" t="s">
        <v>517</v>
      </c>
      <c r="D131" s="18">
        <v>3.0</v>
      </c>
      <c r="E131" s="18" t="str">
        <f t="shared" si="1"/>
        <v>03/10/03</v>
      </c>
      <c r="F131" s="18">
        <v>0.0</v>
      </c>
      <c r="G131" s="27">
        <v>1632.04</v>
      </c>
      <c r="H131" s="18" t="s">
        <v>140</v>
      </c>
      <c r="I131" s="18" t="s">
        <v>140</v>
      </c>
      <c r="J131" s="18" t="s">
        <v>325</v>
      </c>
      <c r="K131" s="29">
        <f t="shared" si="2"/>
        <v>19</v>
      </c>
    </row>
    <row r="132" ht="15.75" customHeight="1">
      <c r="A132" s="18" t="s">
        <v>1364</v>
      </c>
      <c r="B132" s="18">
        <v>2003.0</v>
      </c>
      <c r="C132" s="18" t="s">
        <v>272</v>
      </c>
      <c r="D132" s="18">
        <v>16.0</v>
      </c>
      <c r="E132" s="18" t="str">
        <f t="shared" si="1"/>
        <v>16/09/03</v>
      </c>
      <c r="F132" s="18">
        <v>0.0</v>
      </c>
      <c r="G132" s="27">
        <v>1632.56</v>
      </c>
      <c r="H132" s="18" t="s">
        <v>140</v>
      </c>
      <c r="I132" s="18" t="s">
        <v>140</v>
      </c>
      <c r="J132" s="18" t="s">
        <v>325</v>
      </c>
      <c r="K132" s="29">
        <f t="shared" si="2"/>
        <v>19</v>
      </c>
    </row>
    <row r="133" ht="15.75" customHeight="1">
      <c r="A133" s="18" t="s">
        <v>1369</v>
      </c>
      <c r="B133" s="18">
        <v>2004.0</v>
      </c>
      <c r="C133" s="18" t="s">
        <v>457</v>
      </c>
      <c r="D133" s="18">
        <v>13.0</v>
      </c>
      <c r="E133" s="18" t="str">
        <f t="shared" si="1"/>
        <v>13/12/04</v>
      </c>
      <c r="F133" s="18">
        <v>0.0</v>
      </c>
      <c r="G133" s="27">
        <v>1633.04</v>
      </c>
      <c r="H133" s="18" t="s">
        <v>140</v>
      </c>
      <c r="I133" s="18" t="s">
        <v>140</v>
      </c>
      <c r="J133" s="18" t="s">
        <v>146</v>
      </c>
      <c r="K133" s="29">
        <f t="shared" si="2"/>
        <v>18</v>
      </c>
    </row>
    <row r="134" ht="15.75" customHeight="1">
      <c r="A134" s="18" t="s">
        <v>1371</v>
      </c>
      <c r="B134" s="18">
        <v>2004.0</v>
      </c>
      <c r="C134" s="18" t="s">
        <v>501</v>
      </c>
      <c r="D134" s="18">
        <v>8.0</v>
      </c>
      <c r="E134" s="18" t="str">
        <f t="shared" si="1"/>
        <v>08/08/04</v>
      </c>
      <c r="F134" s="18">
        <v>0.0</v>
      </c>
      <c r="G134" s="27">
        <v>1633.96</v>
      </c>
      <c r="H134" s="18" t="s">
        <v>140</v>
      </c>
      <c r="I134" s="18" t="s">
        <v>219</v>
      </c>
      <c r="J134" s="18" t="s">
        <v>146</v>
      </c>
      <c r="K134" s="29">
        <f t="shared" si="2"/>
        <v>18</v>
      </c>
    </row>
    <row r="135" ht="15.75" customHeight="1">
      <c r="A135" s="18" t="s">
        <v>1376</v>
      </c>
      <c r="B135" s="18">
        <v>2004.0</v>
      </c>
      <c r="C135" s="18" t="s">
        <v>241</v>
      </c>
      <c r="D135" s="18">
        <v>13.0</v>
      </c>
      <c r="E135" s="18" t="str">
        <f t="shared" si="1"/>
        <v>13/06/04</v>
      </c>
      <c r="F135" s="18">
        <v>0.0</v>
      </c>
      <c r="G135" s="27">
        <v>1634.57</v>
      </c>
      <c r="H135" s="18" t="s">
        <v>140</v>
      </c>
      <c r="I135" s="18" t="s">
        <v>140</v>
      </c>
      <c r="J135" s="18" t="s">
        <v>146</v>
      </c>
      <c r="K135" s="29">
        <f t="shared" si="2"/>
        <v>18</v>
      </c>
    </row>
    <row r="136" ht="15.75" customHeight="1">
      <c r="A136" s="18" t="s">
        <v>1380</v>
      </c>
      <c r="B136" s="18">
        <v>2003.0</v>
      </c>
      <c r="C136" s="18" t="s">
        <v>457</v>
      </c>
      <c r="D136" s="18">
        <v>30.0</v>
      </c>
      <c r="E136" s="18" t="str">
        <f t="shared" si="1"/>
        <v>30/12/03</v>
      </c>
      <c r="F136" s="18">
        <v>0.0</v>
      </c>
      <c r="G136" s="27">
        <v>1635.73</v>
      </c>
      <c r="H136" s="18" t="s">
        <v>140</v>
      </c>
      <c r="I136" s="18" t="s">
        <v>142</v>
      </c>
      <c r="J136" s="18" t="s">
        <v>325</v>
      </c>
      <c r="K136" s="29">
        <f t="shared" si="2"/>
        <v>19</v>
      </c>
    </row>
    <row r="137" ht="15.75" customHeight="1">
      <c r="A137" s="18" t="s">
        <v>1384</v>
      </c>
      <c r="B137" s="18">
        <v>2003.0</v>
      </c>
      <c r="C137" s="18" t="s">
        <v>272</v>
      </c>
      <c r="D137" s="18">
        <v>16.0</v>
      </c>
      <c r="E137" s="18" t="str">
        <f t="shared" si="1"/>
        <v>16/09/03</v>
      </c>
      <c r="F137" s="18">
        <v>0.0</v>
      </c>
      <c r="G137" s="27">
        <v>1639.56</v>
      </c>
      <c r="H137" s="18" t="s">
        <v>140</v>
      </c>
      <c r="I137" s="18" t="s">
        <v>140</v>
      </c>
      <c r="J137" s="18" t="s">
        <v>325</v>
      </c>
      <c r="K137" s="29">
        <f t="shared" si="2"/>
        <v>19</v>
      </c>
    </row>
    <row r="138" ht="15.75" customHeight="1">
      <c r="A138" s="18" t="s">
        <v>1388</v>
      </c>
      <c r="B138" s="18">
        <v>2003.0</v>
      </c>
      <c r="C138" s="18" t="s">
        <v>501</v>
      </c>
      <c r="D138" s="18">
        <v>21.0</v>
      </c>
      <c r="E138" s="18" t="str">
        <f t="shared" si="1"/>
        <v>21/08/03</v>
      </c>
      <c r="F138" s="18">
        <v>0.0</v>
      </c>
      <c r="G138" s="27">
        <v>1639.56</v>
      </c>
      <c r="H138" s="18" t="s">
        <v>140</v>
      </c>
      <c r="I138" s="18" t="s">
        <v>140</v>
      </c>
      <c r="J138" s="18" t="s">
        <v>325</v>
      </c>
      <c r="K138" s="29">
        <f t="shared" si="2"/>
        <v>19</v>
      </c>
    </row>
    <row r="139" ht="15.75" customHeight="1">
      <c r="A139" s="18" t="s">
        <v>1392</v>
      </c>
      <c r="B139" s="18">
        <v>2003.0</v>
      </c>
      <c r="C139" s="18" t="s">
        <v>457</v>
      </c>
      <c r="D139" s="18">
        <v>30.0</v>
      </c>
      <c r="E139" s="18" t="str">
        <f t="shared" si="1"/>
        <v>30/12/03</v>
      </c>
      <c r="F139" s="18">
        <v>0.0</v>
      </c>
      <c r="G139" s="27">
        <v>1646.43</v>
      </c>
      <c r="H139" s="18" t="s">
        <v>140</v>
      </c>
      <c r="I139" s="18" t="s">
        <v>219</v>
      </c>
      <c r="J139" s="18" t="s">
        <v>325</v>
      </c>
      <c r="K139" s="29">
        <f t="shared" si="2"/>
        <v>19</v>
      </c>
    </row>
    <row r="140" ht="15.75" customHeight="1">
      <c r="A140" s="18" t="s">
        <v>1396</v>
      </c>
      <c r="B140" s="18">
        <v>2000.0</v>
      </c>
      <c r="C140" s="18" t="s">
        <v>517</v>
      </c>
      <c r="D140" s="18">
        <v>23.0</v>
      </c>
      <c r="E140" s="18" t="str">
        <f t="shared" si="1"/>
        <v>23/10/00</v>
      </c>
      <c r="F140" s="18">
        <v>0.0</v>
      </c>
      <c r="G140" s="27">
        <v>1665.0</v>
      </c>
      <c r="H140" s="18" t="s">
        <v>140</v>
      </c>
      <c r="I140" s="18" t="s">
        <v>140</v>
      </c>
      <c r="J140" s="18" t="s">
        <v>146</v>
      </c>
      <c r="K140" s="29">
        <f t="shared" si="2"/>
        <v>22</v>
      </c>
    </row>
    <row r="141" ht="15.75" customHeight="1">
      <c r="A141" s="18" t="s">
        <v>1401</v>
      </c>
      <c r="B141" s="18">
        <v>2000.0</v>
      </c>
      <c r="C141" s="18" t="s">
        <v>241</v>
      </c>
      <c r="D141" s="18">
        <v>10.0</v>
      </c>
      <c r="E141" s="18" t="str">
        <f t="shared" si="1"/>
        <v>10/06/00</v>
      </c>
      <c r="F141" s="18">
        <v>0.0</v>
      </c>
      <c r="G141" s="27">
        <v>1674.63</v>
      </c>
      <c r="H141" s="18" t="s">
        <v>140</v>
      </c>
      <c r="I141" s="18" t="s">
        <v>140</v>
      </c>
      <c r="J141" s="18" t="s">
        <v>146</v>
      </c>
      <c r="K141" s="29">
        <f t="shared" si="2"/>
        <v>22</v>
      </c>
    </row>
    <row r="142" ht="15.75" customHeight="1">
      <c r="A142" s="18" t="s">
        <v>1405</v>
      </c>
      <c r="B142" s="18">
        <v>2000.0</v>
      </c>
      <c r="C142" s="18" t="s">
        <v>517</v>
      </c>
      <c r="D142" s="18">
        <v>21.0</v>
      </c>
      <c r="E142" s="18" t="str">
        <f t="shared" si="1"/>
        <v>21/10/00</v>
      </c>
      <c r="F142" s="18">
        <v>0.0</v>
      </c>
      <c r="G142" s="27">
        <v>1682.6</v>
      </c>
      <c r="H142" s="18" t="s">
        <v>140</v>
      </c>
      <c r="I142" s="18" t="s">
        <v>140</v>
      </c>
      <c r="J142" s="18" t="s">
        <v>570</v>
      </c>
      <c r="K142" s="29">
        <f t="shared" si="2"/>
        <v>22</v>
      </c>
    </row>
    <row r="143" ht="15.75" customHeight="1">
      <c r="A143" s="18" t="s">
        <v>1409</v>
      </c>
      <c r="B143" s="18">
        <v>2004.0</v>
      </c>
      <c r="C143" s="18" t="s">
        <v>209</v>
      </c>
      <c r="D143" s="18">
        <v>17.0</v>
      </c>
      <c r="E143" s="18" t="str">
        <f t="shared" si="1"/>
        <v>17/11/04</v>
      </c>
      <c r="F143" s="18">
        <v>0.0</v>
      </c>
      <c r="G143" s="27">
        <v>1694.8</v>
      </c>
      <c r="H143" s="18" t="s">
        <v>140</v>
      </c>
      <c r="I143" s="18" t="s">
        <v>140</v>
      </c>
      <c r="J143" s="18" t="s">
        <v>1414</v>
      </c>
      <c r="K143" s="29">
        <f t="shared" si="2"/>
        <v>18</v>
      </c>
    </row>
    <row r="144" ht="15.75" customHeight="1">
      <c r="A144" s="18" t="s">
        <v>1416</v>
      </c>
      <c r="B144" s="18">
        <v>2004.0</v>
      </c>
      <c r="C144" s="18" t="s">
        <v>457</v>
      </c>
      <c r="D144" s="18">
        <v>10.0</v>
      </c>
      <c r="E144" s="18" t="str">
        <f t="shared" si="1"/>
        <v>10/12/04</v>
      </c>
      <c r="F144" s="18">
        <v>0.0</v>
      </c>
      <c r="G144" s="27">
        <v>1702.46</v>
      </c>
      <c r="H144" s="18" t="s">
        <v>140</v>
      </c>
      <c r="I144" s="18" t="s">
        <v>142</v>
      </c>
      <c r="J144" s="18" t="s">
        <v>1421</v>
      </c>
      <c r="K144" s="29">
        <f t="shared" si="2"/>
        <v>18</v>
      </c>
    </row>
    <row r="145" ht="15.75" customHeight="1">
      <c r="A145" s="18" t="s">
        <v>1424</v>
      </c>
      <c r="B145" s="18">
        <v>2004.0</v>
      </c>
      <c r="C145" s="18" t="s">
        <v>209</v>
      </c>
      <c r="D145" s="18">
        <v>7.0</v>
      </c>
      <c r="E145" s="18" t="str">
        <f t="shared" si="1"/>
        <v>07/11/04</v>
      </c>
      <c r="F145" s="18">
        <v>0.0</v>
      </c>
      <c r="G145" s="27">
        <v>1704.57</v>
      </c>
      <c r="H145" s="18" t="s">
        <v>140</v>
      </c>
      <c r="I145" s="18" t="s">
        <v>219</v>
      </c>
      <c r="J145" s="18" t="s">
        <v>1427</v>
      </c>
      <c r="K145" s="29">
        <f t="shared" si="2"/>
        <v>18</v>
      </c>
    </row>
    <row r="146" ht="15.75" customHeight="1">
      <c r="A146" s="18" t="s">
        <v>1430</v>
      </c>
      <c r="B146" s="18">
        <v>2004.0</v>
      </c>
      <c r="C146" s="18" t="s">
        <v>457</v>
      </c>
      <c r="D146" s="18">
        <v>14.0</v>
      </c>
      <c r="E146" s="18" t="str">
        <f t="shared" si="1"/>
        <v>14/12/04</v>
      </c>
      <c r="F146" s="18">
        <v>0.0</v>
      </c>
      <c r="G146" s="27">
        <v>1704.7</v>
      </c>
      <c r="H146" s="18" t="s">
        <v>140</v>
      </c>
      <c r="I146" s="18" t="s">
        <v>142</v>
      </c>
      <c r="J146" s="18" t="s">
        <v>1434</v>
      </c>
      <c r="K146" s="29">
        <f t="shared" si="2"/>
        <v>18</v>
      </c>
    </row>
    <row r="147" ht="15.75" customHeight="1">
      <c r="A147" s="18" t="s">
        <v>1436</v>
      </c>
      <c r="B147" s="18">
        <v>2004.0</v>
      </c>
      <c r="C147" s="18" t="s">
        <v>457</v>
      </c>
      <c r="D147" s="18">
        <v>6.0</v>
      </c>
      <c r="E147" s="18" t="str">
        <f t="shared" si="1"/>
        <v>06/12/04</v>
      </c>
      <c r="F147" s="18">
        <v>0.0</v>
      </c>
      <c r="G147" s="27">
        <v>1705.62</v>
      </c>
      <c r="H147" s="18" t="s">
        <v>140</v>
      </c>
      <c r="I147" s="18" t="s">
        <v>140</v>
      </c>
      <c r="J147" s="18" t="s">
        <v>1414</v>
      </c>
      <c r="K147" s="29">
        <f t="shared" si="2"/>
        <v>18</v>
      </c>
    </row>
    <row r="148" ht="15.75" customHeight="1">
      <c r="A148" s="18" t="s">
        <v>1440</v>
      </c>
      <c r="B148" s="18">
        <v>2004.0</v>
      </c>
      <c r="C148" s="18" t="s">
        <v>517</v>
      </c>
      <c r="D148" s="18">
        <v>17.0</v>
      </c>
      <c r="E148" s="18" t="str">
        <f t="shared" si="1"/>
        <v>17/10/04</v>
      </c>
      <c r="F148" s="18">
        <v>0.0</v>
      </c>
      <c r="G148" s="27">
        <v>1708.0</v>
      </c>
      <c r="H148" s="18" t="s">
        <v>142</v>
      </c>
      <c r="I148" s="18" t="s">
        <v>140</v>
      </c>
      <c r="J148" s="18" t="s">
        <v>1427</v>
      </c>
      <c r="K148" s="29">
        <f t="shared" si="2"/>
        <v>18</v>
      </c>
    </row>
    <row r="149" ht="15.75" customHeight="1">
      <c r="A149" s="18" t="s">
        <v>1445</v>
      </c>
      <c r="B149" s="18">
        <v>2004.0</v>
      </c>
      <c r="C149" s="18" t="s">
        <v>457</v>
      </c>
      <c r="D149" s="18">
        <v>12.0</v>
      </c>
      <c r="E149" s="18" t="str">
        <f t="shared" si="1"/>
        <v>12/12/04</v>
      </c>
      <c r="F149" s="18">
        <v>0.0</v>
      </c>
      <c r="G149" s="27">
        <v>1708.93</v>
      </c>
      <c r="H149" s="18" t="s">
        <v>142</v>
      </c>
      <c r="I149" s="18" t="s">
        <v>219</v>
      </c>
      <c r="J149" s="18" t="s">
        <v>1421</v>
      </c>
      <c r="K149" s="29">
        <f t="shared" si="2"/>
        <v>18</v>
      </c>
    </row>
    <row r="150" ht="15.75" customHeight="1">
      <c r="A150" s="18" t="s">
        <v>1450</v>
      </c>
      <c r="B150" s="18">
        <v>2004.0</v>
      </c>
      <c r="C150" s="18" t="s">
        <v>272</v>
      </c>
      <c r="D150" s="18">
        <v>19.0</v>
      </c>
      <c r="E150" s="18" t="str">
        <f t="shared" si="1"/>
        <v>19/09/04</v>
      </c>
      <c r="F150" s="18">
        <v>1.0</v>
      </c>
      <c r="G150" s="27">
        <v>1711.03</v>
      </c>
      <c r="H150" s="18" t="s">
        <v>142</v>
      </c>
      <c r="I150" s="18" t="s">
        <v>142</v>
      </c>
      <c r="J150" s="18" t="s">
        <v>146</v>
      </c>
      <c r="K150" s="29">
        <f t="shared" si="2"/>
        <v>18</v>
      </c>
    </row>
    <row r="151" ht="15.75" customHeight="1">
      <c r="A151" s="18" t="s">
        <v>1454</v>
      </c>
      <c r="B151" s="18">
        <v>2004.0</v>
      </c>
      <c r="C151" s="18" t="s">
        <v>272</v>
      </c>
      <c r="D151" s="18">
        <v>21.0</v>
      </c>
      <c r="E151" s="18" t="str">
        <f t="shared" si="1"/>
        <v>21/09/04</v>
      </c>
      <c r="F151" s="18">
        <v>0.0</v>
      </c>
      <c r="G151" s="27">
        <v>1712.23</v>
      </c>
      <c r="H151" s="18" t="s">
        <v>142</v>
      </c>
      <c r="I151" s="18" t="s">
        <v>219</v>
      </c>
      <c r="J151" s="18" t="s">
        <v>1427</v>
      </c>
      <c r="K151" s="29">
        <f t="shared" si="2"/>
        <v>18</v>
      </c>
    </row>
    <row r="152" ht="15.75" customHeight="1">
      <c r="A152" s="18" t="s">
        <v>1459</v>
      </c>
      <c r="B152" s="18">
        <v>2004.0</v>
      </c>
      <c r="C152" s="18" t="s">
        <v>241</v>
      </c>
      <c r="D152" s="18">
        <v>10.0</v>
      </c>
      <c r="E152" s="18" t="str">
        <f t="shared" si="1"/>
        <v>10/06/04</v>
      </c>
      <c r="F152" s="18">
        <v>1.0</v>
      </c>
      <c r="G152" s="27">
        <v>1719.44</v>
      </c>
      <c r="H152" s="18" t="s">
        <v>142</v>
      </c>
      <c r="I152" s="18" t="s">
        <v>142</v>
      </c>
      <c r="J152" s="18" t="s">
        <v>146</v>
      </c>
      <c r="K152" s="29">
        <f t="shared" si="2"/>
        <v>18</v>
      </c>
    </row>
    <row r="153" ht="15.75" customHeight="1">
      <c r="A153" s="18" t="s">
        <v>1464</v>
      </c>
      <c r="B153" s="18">
        <v>2004.0</v>
      </c>
      <c r="C153" s="18" t="s">
        <v>272</v>
      </c>
      <c r="D153" s="18">
        <v>11.0</v>
      </c>
      <c r="E153" s="18" t="str">
        <f t="shared" si="1"/>
        <v>11/09/04</v>
      </c>
      <c r="F153" s="18">
        <v>1.0</v>
      </c>
      <c r="G153" s="27">
        <v>1720.35</v>
      </c>
      <c r="H153" s="18" t="s">
        <v>142</v>
      </c>
      <c r="I153" s="18" t="s">
        <v>142</v>
      </c>
      <c r="J153" s="18" t="s">
        <v>146</v>
      </c>
      <c r="K153" s="29">
        <f t="shared" si="2"/>
        <v>18</v>
      </c>
    </row>
    <row r="154" ht="15.75" customHeight="1">
      <c r="A154" s="18" t="s">
        <v>1471</v>
      </c>
      <c r="B154" s="18">
        <v>2004.0</v>
      </c>
      <c r="C154" s="18" t="s">
        <v>517</v>
      </c>
      <c r="D154" s="18">
        <v>21.0</v>
      </c>
      <c r="E154" s="18" t="str">
        <f t="shared" si="1"/>
        <v>21/10/04</v>
      </c>
      <c r="F154" s="18">
        <v>1.0</v>
      </c>
      <c r="G154" s="27">
        <v>1725.55</v>
      </c>
      <c r="H154" s="18" t="s">
        <v>142</v>
      </c>
      <c r="I154" s="18" t="s">
        <v>140</v>
      </c>
      <c r="J154" s="18" t="s">
        <v>146</v>
      </c>
      <c r="K154" s="29">
        <f t="shared" si="2"/>
        <v>18</v>
      </c>
    </row>
    <row r="155" ht="15.75" customHeight="1">
      <c r="A155" s="18" t="s">
        <v>1475</v>
      </c>
      <c r="B155" s="18">
        <v>2004.0</v>
      </c>
      <c r="C155" s="18" t="s">
        <v>272</v>
      </c>
      <c r="D155" s="18">
        <v>9.0</v>
      </c>
      <c r="E155" s="18" t="str">
        <f t="shared" si="1"/>
        <v>09/09/04</v>
      </c>
      <c r="F155" s="18">
        <v>1.0</v>
      </c>
      <c r="G155" s="27">
        <v>1727.54</v>
      </c>
      <c r="H155" s="18" t="s">
        <v>142</v>
      </c>
      <c r="I155" s="18" t="s">
        <v>219</v>
      </c>
      <c r="J155" s="18" t="s">
        <v>146</v>
      </c>
      <c r="K155" s="29">
        <f t="shared" si="2"/>
        <v>18</v>
      </c>
    </row>
    <row r="156" ht="15.75" customHeight="1">
      <c r="A156" s="18" t="s">
        <v>1481</v>
      </c>
      <c r="B156" s="18">
        <v>2003.0</v>
      </c>
      <c r="C156" s="18" t="s">
        <v>209</v>
      </c>
      <c r="D156" s="18">
        <v>21.0</v>
      </c>
      <c r="E156" s="18" t="str">
        <f t="shared" si="1"/>
        <v>21/11/03</v>
      </c>
      <c r="F156" s="18">
        <v>0.0</v>
      </c>
      <c r="G156" s="27">
        <v>1727.79</v>
      </c>
      <c r="H156" s="18" t="s">
        <v>142</v>
      </c>
      <c r="I156" s="18" t="s">
        <v>142</v>
      </c>
      <c r="J156" s="18" t="s">
        <v>570</v>
      </c>
      <c r="K156" s="29">
        <f t="shared" si="2"/>
        <v>19</v>
      </c>
    </row>
    <row r="157" ht="15.75" customHeight="1">
      <c r="A157" s="18" t="s">
        <v>1486</v>
      </c>
      <c r="B157" s="18">
        <v>2003.0</v>
      </c>
      <c r="C157" s="18" t="s">
        <v>272</v>
      </c>
      <c r="D157" s="18">
        <v>1.0</v>
      </c>
      <c r="E157" s="18" t="str">
        <f t="shared" si="1"/>
        <v>01/09/03</v>
      </c>
      <c r="F157" s="18">
        <v>0.0</v>
      </c>
      <c r="G157" s="27">
        <v>1728.9</v>
      </c>
      <c r="H157" s="18" t="s">
        <v>142</v>
      </c>
      <c r="I157" s="18" t="s">
        <v>140</v>
      </c>
      <c r="J157" s="18" t="s">
        <v>570</v>
      </c>
      <c r="K157" s="29">
        <f t="shared" si="2"/>
        <v>19</v>
      </c>
    </row>
    <row r="158" ht="15.75" customHeight="1">
      <c r="A158" s="18" t="s">
        <v>1492</v>
      </c>
      <c r="B158" s="18">
        <v>2003.0</v>
      </c>
      <c r="C158" s="18" t="s">
        <v>209</v>
      </c>
      <c r="D158" s="18">
        <v>9.0</v>
      </c>
      <c r="E158" s="18" t="str">
        <f t="shared" si="1"/>
        <v>09/11/03</v>
      </c>
      <c r="F158" s="18">
        <v>0.0</v>
      </c>
      <c r="G158" s="27">
        <v>1731.68</v>
      </c>
      <c r="H158" s="18" t="s">
        <v>142</v>
      </c>
      <c r="I158" s="18" t="s">
        <v>140</v>
      </c>
      <c r="J158" s="18" t="s">
        <v>570</v>
      </c>
      <c r="K158" s="29">
        <f t="shared" si="2"/>
        <v>19</v>
      </c>
    </row>
    <row r="159" ht="15.75" customHeight="1">
      <c r="A159" s="18" t="s">
        <v>1498</v>
      </c>
      <c r="B159" s="18">
        <v>2003.0</v>
      </c>
      <c r="C159" s="18" t="s">
        <v>209</v>
      </c>
      <c r="D159" s="18">
        <v>14.0</v>
      </c>
      <c r="E159" s="18" t="str">
        <f t="shared" si="1"/>
        <v>14/11/03</v>
      </c>
      <c r="F159" s="18">
        <v>0.0</v>
      </c>
      <c r="G159" s="27">
        <v>1737.38</v>
      </c>
      <c r="H159" s="18" t="s">
        <v>142</v>
      </c>
      <c r="I159" s="18" t="s">
        <v>140</v>
      </c>
      <c r="J159" s="18" t="s">
        <v>570</v>
      </c>
      <c r="K159" s="29">
        <f t="shared" si="2"/>
        <v>19</v>
      </c>
    </row>
    <row r="160" ht="15.75" customHeight="1">
      <c r="A160" s="18" t="s">
        <v>1502</v>
      </c>
      <c r="B160" s="18">
        <v>2003.0</v>
      </c>
      <c r="C160" s="18" t="s">
        <v>91</v>
      </c>
      <c r="D160" s="18">
        <v>25.0</v>
      </c>
      <c r="E160" s="18" t="str">
        <f t="shared" si="1"/>
        <v>25/07/03</v>
      </c>
      <c r="F160" s="18">
        <v>0.0</v>
      </c>
      <c r="G160" s="27">
        <v>1743.21</v>
      </c>
      <c r="H160" s="18" t="s">
        <v>142</v>
      </c>
      <c r="I160" s="18" t="s">
        <v>219</v>
      </c>
      <c r="J160" s="18" t="s">
        <v>570</v>
      </c>
      <c r="K160" s="29">
        <f t="shared" si="2"/>
        <v>19</v>
      </c>
    </row>
    <row r="161" ht="15.75" customHeight="1">
      <c r="A161" s="18" t="s">
        <v>1509</v>
      </c>
      <c r="B161" s="18">
        <v>2003.0</v>
      </c>
      <c r="C161" s="18" t="s">
        <v>91</v>
      </c>
      <c r="D161" s="18">
        <v>28.0</v>
      </c>
      <c r="E161" s="18" t="str">
        <f t="shared" si="1"/>
        <v>28/07/03</v>
      </c>
      <c r="F161" s="18">
        <v>0.0</v>
      </c>
      <c r="G161" s="27">
        <v>1744.47</v>
      </c>
      <c r="H161" s="18" t="s">
        <v>142</v>
      </c>
      <c r="I161" s="18" t="s">
        <v>219</v>
      </c>
      <c r="J161" s="18" t="s">
        <v>570</v>
      </c>
      <c r="K161" s="29">
        <f t="shared" si="2"/>
        <v>19</v>
      </c>
    </row>
    <row r="162" ht="15.75" customHeight="1">
      <c r="A162" s="18" t="s">
        <v>1515</v>
      </c>
      <c r="B162" s="18">
        <v>2003.0</v>
      </c>
      <c r="C162" s="18" t="s">
        <v>272</v>
      </c>
      <c r="D162" s="18">
        <v>26.0</v>
      </c>
      <c r="E162" s="18" t="str">
        <f t="shared" si="1"/>
        <v>26/09/03</v>
      </c>
      <c r="F162" s="18">
        <v>0.0</v>
      </c>
      <c r="G162" s="27">
        <v>1748.77</v>
      </c>
      <c r="H162" s="18" t="s">
        <v>142</v>
      </c>
      <c r="I162" s="18" t="s">
        <v>219</v>
      </c>
      <c r="J162" s="18" t="s">
        <v>570</v>
      </c>
      <c r="K162" s="29">
        <f t="shared" si="2"/>
        <v>19</v>
      </c>
    </row>
    <row r="163" ht="15.75" customHeight="1">
      <c r="A163" s="18" t="s">
        <v>1521</v>
      </c>
      <c r="B163" s="18">
        <v>1998.0</v>
      </c>
      <c r="C163" s="18" t="s">
        <v>517</v>
      </c>
      <c r="D163" s="18">
        <v>7.0</v>
      </c>
      <c r="E163" s="18" t="str">
        <f t="shared" si="1"/>
        <v>07/10/98</v>
      </c>
      <c r="F163" s="18">
        <v>0.0</v>
      </c>
      <c r="G163" s="27">
        <v>1756.6</v>
      </c>
      <c r="H163" s="18" t="s">
        <v>142</v>
      </c>
      <c r="I163" s="18" t="s">
        <v>142</v>
      </c>
      <c r="J163" s="18" t="s">
        <v>146</v>
      </c>
      <c r="K163" s="29">
        <f t="shared" si="2"/>
        <v>24</v>
      </c>
    </row>
    <row r="164" ht="15.75" customHeight="1">
      <c r="A164" s="18" t="s">
        <v>1528</v>
      </c>
      <c r="B164" s="18">
        <v>2003.0</v>
      </c>
      <c r="C164" s="18" t="s">
        <v>209</v>
      </c>
      <c r="D164" s="18">
        <v>19.0</v>
      </c>
      <c r="E164" s="18" t="str">
        <f t="shared" si="1"/>
        <v>19/11/03</v>
      </c>
      <c r="F164" s="18">
        <v>0.0</v>
      </c>
      <c r="G164" s="27">
        <v>1759.34</v>
      </c>
      <c r="H164" s="18" t="s">
        <v>142</v>
      </c>
      <c r="I164" s="18" t="s">
        <v>219</v>
      </c>
      <c r="J164" s="18" t="s">
        <v>570</v>
      </c>
      <c r="K164" s="29">
        <f t="shared" si="2"/>
        <v>19</v>
      </c>
    </row>
    <row r="165" ht="15.75" customHeight="1">
      <c r="A165" s="18" t="s">
        <v>1534</v>
      </c>
      <c r="B165" s="18">
        <v>2002.0</v>
      </c>
      <c r="C165" s="18" t="s">
        <v>457</v>
      </c>
      <c r="D165" s="18">
        <v>13.0</v>
      </c>
      <c r="E165" s="18" t="str">
        <f t="shared" si="1"/>
        <v>13/12/02</v>
      </c>
      <c r="F165" s="18">
        <v>0.0</v>
      </c>
      <c r="G165" s="27">
        <v>1769.53</v>
      </c>
      <c r="H165" s="18" t="s">
        <v>142</v>
      </c>
      <c r="I165" s="18" t="s">
        <v>142</v>
      </c>
      <c r="J165" s="18" t="s">
        <v>325</v>
      </c>
      <c r="K165" s="29">
        <f t="shared" si="2"/>
        <v>20</v>
      </c>
    </row>
    <row r="166" ht="15.75" customHeight="1">
      <c r="A166" s="18" t="s">
        <v>1570</v>
      </c>
      <c r="B166" s="18">
        <v>1999.0</v>
      </c>
      <c r="C166" s="18" t="s">
        <v>272</v>
      </c>
      <c r="D166" s="18">
        <v>25.0</v>
      </c>
      <c r="E166" s="18" t="str">
        <f t="shared" si="1"/>
        <v>25/09/99</v>
      </c>
      <c r="F166" s="18">
        <v>0.0</v>
      </c>
      <c r="G166" s="27">
        <v>1815.88</v>
      </c>
      <c r="H166" s="18" t="s">
        <v>142</v>
      </c>
      <c r="I166" s="18" t="s">
        <v>142</v>
      </c>
      <c r="J166" s="18" t="s">
        <v>146</v>
      </c>
      <c r="K166" s="29">
        <f t="shared" si="2"/>
        <v>23</v>
      </c>
    </row>
    <row r="167" ht="15.75" customHeight="1">
      <c r="A167" s="18" t="s">
        <v>1581</v>
      </c>
      <c r="B167" s="18">
        <v>2004.0</v>
      </c>
      <c r="C167" s="18" t="s">
        <v>501</v>
      </c>
      <c r="D167" s="18">
        <v>19.0</v>
      </c>
      <c r="E167" s="18" t="str">
        <f t="shared" si="1"/>
        <v>19/08/04</v>
      </c>
      <c r="F167" s="18">
        <v>0.0</v>
      </c>
      <c r="G167" s="27">
        <v>1822.54</v>
      </c>
      <c r="H167" s="18" t="s">
        <v>142</v>
      </c>
      <c r="I167" s="18" t="s">
        <v>219</v>
      </c>
      <c r="J167" s="18" t="s">
        <v>325</v>
      </c>
      <c r="K167" s="29">
        <f t="shared" si="2"/>
        <v>18</v>
      </c>
    </row>
    <row r="168" ht="15.75" customHeight="1">
      <c r="A168" s="18" t="s">
        <v>1588</v>
      </c>
      <c r="B168" s="18">
        <v>1999.0</v>
      </c>
      <c r="C168" s="18" t="s">
        <v>209</v>
      </c>
      <c r="D168" s="18">
        <v>17.0</v>
      </c>
      <c r="E168" s="18" t="str">
        <f t="shared" si="1"/>
        <v>17/11/99</v>
      </c>
      <c r="F168" s="18">
        <v>0.0</v>
      </c>
      <c r="G168" s="27">
        <v>1824.29</v>
      </c>
      <c r="H168" s="18" t="s">
        <v>142</v>
      </c>
      <c r="I168" s="18" t="s">
        <v>142</v>
      </c>
      <c r="J168" s="18" t="s">
        <v>146</v>
      </c>
      <c r="K168" s="29">
        <f t="shared" si="2"/>
        <v>23</v>
      </c>
    </row>
    <row r="169" ht="15.75" customHeight="1">
      <c r="A169" s="18" t="s">
        <v>1593</v>
      </c>
      <c r="B169" s="18">
        <v>1999.0</v>
      </c>
      <c r="C169" s="18" t="s">
        <v>517</v>
      </c>
      <c r="D169" s="18">
        <v>1.0</v>
      </c>
      <c r="E169" s="18" t="str">
        <f t="shared" si="1"/>
        <v>01/10/99</v>
      </c>
      <c r="F169" s="18">
        <v>0.0</v>
      </c>
      <c r="G169" s="27">
        <v>1826.84</v>
      </c>
      <c r="H169" s="18" t="s">
        <v>142</v>
      </c>
      <c r="I169" s="18" t="s">
        <v>140</v>
      </c>
      <c r="J169" s="18" t="s">
        <v>570</v>
      </c>
      <c r="K169" s="29">
        <f t="shared" si="2"/>
        <v>23</v>
      </c>
    </row>
    <row r="170" ht="15.75" customHeight="1">
      <c r="A170" s="18" t="s">
        <v>1599</v>
      </c>
      <c r="B170" s="18">
        <v>2003.0</v>
      </c>
      <c r="C170" s="18" t="s">
        <v>501</v>
      </c>
      <c r="D170" s="18">
        <v>11.0</v>
      </c>
      <c r="E170" s="18" t="str">
        <f t="shared" si="1"/>
        <v>11/08/03</v>
      </c>
      <c r="F170" s="18">
        <v>1.0</v>
      </c>
      <c r="G170" s="27">
        <v>1832.09</v>
      </c>
      <c r="H170" s="18" t="s">
        <v>142</v>
      </c>
      <c r="I170" s="18" t="s">
        <v>142</v>
      </c>
      <c r="J170" s="18" t="s">
        <v>570</v>
      </c>
      <c r="K170" s="29">
        <f t="shared" si="2"/>
        <v>19</v>
      </c>
    </row>
    <row r="171" ht="15.75" customHeight="1">
      <c r="A171" s="18" t="s">
        <v>1608</v>
      </c>
      <c r="B171" s="18">
        <v>2003.0</v>
      </c>
      <c r="C171" s="18" t="s">
        <v>501</v>
      </c>
      <c r="D171" s="18">
        <v>4.0</v>
      </c>
      <c r="E171" s="18" t="str">
        <f t="shared" si="1"/>
        <v>04/08/03</v>
      </c>
      <c r="F171" s="18">
        <v>1.0</v>
      </c>
      <c r="G171" s="27">
        <v>1837.24</v>
      </c>
      <c r="H171" s="18" t="s">
        <v>142</v>
      </c>
      <c r="I171" s="18" t="s">
        <v>140</v>
      </c>
      <c r="J171" s="18" t="s">
        <v>570</v>
      </c>
      <c r="K171" s="29">
        <f t="shared" si="2"/>
        <v>19</v>
      </c>
    </row>
    <row r="172" ht="15.75" customHeight="1">
      <c r="A172" s="18" t="s">
        <v>1616</v>
      </c>
      <c r="B172" s="18">
        <v>1999.0</v>
      </c>
      <c r="C172" s="18" t="s">
        <v>457</v>
      </c>
      <c r="D172" s="18">
        <v>12.0</v>
      </c>
      <c r="E172" s="18" t="str">
        <f t="shared" si="1"/>
        <v>12/12/99</v>
      </c>
      <c r="F172" s="18">
        <v>0.0</v>
      </c>
      <c r="G172" s="27">
        <v>1837.28</v>
      </c>
      <c r="H172" s="18" t="s">
        <v>142</v>
      </c>
      <c r="I172" s="18" t="s">
        <v>140</v>
      </c>
      <c r="J172" s="18" t="s">
        <v>146</v>
      </c>
      <c r="K172" s="29">
        <f t="shared" si="2"/>
        <v>23</v>
      </c>
    </row>
    <row r="173" ht="15.75" customHeight="1">
      <c r="A173" s="18" t="s">
        <v>1623</v>
      </c>
      <c r="B173" s="18">
        <v>2003.0</v>
      </c>
      <c r="C173" s="18" t="s">
        <v>91</v>
      </c>
      <c r="D173" s="18">
        <v>20.0</v>
      </c>
      <c r="E173" s="18" t="str">
        <f t="shared" si="1"/>
        <v>20/07/03</v>
      </c>
      <c r="F173" s="18">
        <v>1.0</v>
      </c>
      <c r="G173" s="27">
        <v>1842.52</v>
      </c>
      <c r="H173" s="18" t="s">
        <v>142</v>
      </c>
      <c r="I173" s="18" t="s">
        <v>140</v>
      </c>
      <c r="J173" s="18" t="s">
        <v>570</v>
      </c>
      <c r="K173" s="29">
        <f t="shared" si="2"/>
        <v>19</v>
      </c>
    </row>
    <row r="174" ht="15.75" customHeight="1">
      <c r="A174" s="18" t="s">
        <v>1635</v>
      </c>
      <c r="B174" s="18">
        <v>1994.0</v>
      </c>
      <c r="C174" s="18" t="s">
        <v>457</v>
      </c>
      <c r="D174" s="18">
        <v>6.0</v>
      </c>
      <c r="E174" s="18" t="str">
        <f t="shared" si="1"/>
        <v>06/12/94</v>
      </c>
      <c r="F174" s="18">
        <v>0.0</v>
      </c>
      <c r="G174" s="27">
        <v>1850.55</v>
      </c>
      <c r="H174" s="18" t="s">
        <v>142</v>
      </c>
      <c r="I174" s="18" t="s">
        <v>140</v>
      </c>
      <c r="J174" s="18" t="s">
        <v>325</v>
      </c>
      <c r="K174" s="29">
        <f t="shared" si="2"/>
        <v>28</v>
      </c>
    </row>
    <row r="175" ht="15.75" customHeight="1">
      <c r="A175" s="18" t="s">
        <v>1642</v>
      </c>
      <c r="B175" s="18">
        <v>2004.0</v>
      </c>
      <c r="C175" s="18" t="s">
        <v>457</v>
      </c>
      <c r="D175" s="18">
        <v>27.0</v>
      </c>
      <c r="E175" s="18" t="str">
        <f t="shared" si="1"/>
        <v>27/12/04</v>
      </c>
      <c r="F175" s="18">
        <v>0.0</v>
      </c>
      <c r="G175" s="27">
        <v>1863.45</v>
      </c>
      <c r="H175" s="18" t="s">
        <v>142</v>
      </c>
      <c r="I175" s="18" t="s">
        <v>219</v>
      </c>
      <c r="J175" s="18" t="s">
        <v>1647</v>
      </c>
      <c r="K175" s="29">
        <f t="shared" si="2"/>
        <v>18</v>
      </c>
    </row>
    <row r="176" ht="15.75" customHeight="1">
      <c r="A176" s="18" t="s">
        <v>1650</v>
      </c>
      <c r="B176" s="18">
        <v>1996.0</v>
      </c>
      <c r="C176" s="18" t="s">
        <v>91</v>
      </c>
      <c r="D176" s="18">
        <v>2.0</v>
      </c>
      <c r="E176" s="18" t="str">
        <f t="shared" si="1"/>
        <v>02/07/96</v>
      </c>
      <c r="F176" s="18">
        <v>0.0</v>
      </c>
      <c r="G176" s="27">
        <v>1865.98</v>
      </c>
      <c r="H176" s="18" t="s">
        <v>142</v>
      </c>
      <c r="I176" s="18" t="s">
        <v>142</v>
      </c>
      <c r="J176" s="18" t="s">
        <v>325</v>
      </c>
      <c r="K176" s="29">
        <f t="shared" si="2"/>
        <v>26</v>
      </c>
    </row>
    <row r="177" ht="15.75" customHeight="1">
      <c r="A177" s="18" t="s">
        <v>1658</v>
      </c>
      <c r="B177" s="18">
        <v>2002.0</v>
      </c>
      <c r="C177" s="18" t="s">
        <v>272</v>
      </c>
      <c r="D177" s="18">
        <v>22.0</v>
      </c>
      <c r="E177" s="18" t="str">
        <f t="shared" si="1"/>
        <v>22/09/02</v>
      </c>
      <c r="F177" s="18">
        <v>0.0</v>
      </c>
      <c r="G177" s="27">
        <v>1875.34</v>
      </c>
      <c r="H177" s="18" t="s">
        <v>142</v>
      </c>
      <c r="I177" s="18" t="s">
        <v>140</v>
      </c>
      <c r="J177" s="18" t="s">
        <v>570</v>
      </c>
      <c r="K177" s="29">
        <f t="shared" si="2"/>
        <v>20</v>
      </c>
    </row>
    <row r="178" ht="15.75" customHeight="1">
      <c r="A178" s="18" t="s">
        <v>1664</v>
      </c>
      <c r="B178" s="18">
        <v>2002.0</v>
      </c>
      <c r="C178" s="18" t="s">
        <v>517</v>
      </c>
      <c r="D178" s="18">
        <v>29.0</v>
      </c>
      <c r="E178" s="18" t="str">
        <f t="shared" si="1"/>
        <v>29/10/02</v>
      </c>
      <c r="F178" s="18">
        <v>0.0</v>
      </c>
      <c r="G178" s="27">
        <v>1877.93</v>
      </c>
      <c r="H178" s="18" t="s">
        <v>142</v>
      </c>
      <c r="I178" s="18" t="s">
        <v>219</v>
      </c>
      <c r="J178" s="18" t="s">
        <v>146</v>
      </c>
      <c r="K178" s="29">
        <f t="shared" si="2"/>
        <v>20</v>
      </c>
    </row>
    <row r="179" ht="15.75" customHeight="1">
      <c r="A179" s="18" t="s">
        <v>1669</v>
      </c>
      <c r="B179" s="18">
        <v>2002.0</v>
      </c>
      <c r="C179" s="18" t="s">
        <v>501</v>
      </c>
      <c r="D179" s="18">
        <v>29.0</v>
      </c>
      <c r="E179" s="18" t="str">
        <f t="shared" si="1"/>
        <v>29/08/02</v>
      </c>
      <c r="F179" s="18">
        <v>0.0</v>
      </c>
      <c r="G179" s="27">
        <v>1880.07</v>
      </c>
      <c r="H179" s="18" t="s">
        <v>142</v>
      </c>
      <c r="I179" s="18" t="s">
        <v>140</v>
      </c>
      <c r="J179" s="18" t="s">
        <v>146</v>
      </c>
      <c r="K179" s="29">
        <f t="shared" si="2"/>
        <v>20</v>
      </c>
    </row>
    <row r="180" ht="15.75" customHeight="1">
      <c r="A180" s="18" t="s">
        <v>1677</v>
      </c>
      <c r="B180" s="18">
        <v>2002.0</v>
      </c>
      <c r="C180" s="18" t="s">
        <v>501</v>
      </c>
      <c r="D180" s="18">
        <v>21.0</v>
      </c>
      <c r="E180" s="18" t="str">
        <f t="shared" si="1"/>
        <v>21/08/02</v>
      </c>
      <c r="F180" s="18">
        <v>0.0</v>
      </c>
      <c r="G180" s="27">
        <v>1880.49</v>
      </c>
      <c r="H180" s="18" t="s">
        <v>142</v>
      </c>
      <c r="I180" s="18" t="s">
        <v>219</v>
      </c>
      <c r="J180" s="18" t="s">
        <v>570</v>
      </c>
      <c r="K180" s="29">
        <f t="shared" si="2"/>
        <v>20</v>
      </c>
    </row>
    <row r="181" ht="15.75" customHeight="1">
      <c r="A181" s="18" t="s">
        <v>1678</v>
      </c>
      <c r="B181" s="18">
        <v>2001.0</v>
      </c>
      <c r="C181" s="18" t="s">
        <v>501</v>
      </c>
      <c r="D181" s="18">
        <v>10.0</v>
      </c>
      <c r="E181" s="18" t="str">
        <f t="shared" si="1"/>
        <v>10/08/01</v>
      </c>
      <c r="F181" s="18">
        <v>0.0</v>
      </c>
      <c r="G181" s="27">
        <v>1906.36</v>
      </c>
      <c r="H181" s="18" t="s">
        <v>142</v>
      </c>
      <c r="I181" s="18" t="s">
        <v>219</v>
      </c>
      <c r="J181" s="18" t="s">
        <v>325</v>
      </c>
      <c r="K181" s="29">
        <f t="shared" si="2"/>
        <v>21</v>
      </c>
    </row>
    <row r="182" ht="15.75" customHeight="1">
      <c r="A182" s="18" t="s">
        <v>1682</v>
      </c>
      <c r="B182" s="18">
        <v>1994.0</v>
      </c>
      <c r="C182" s="18" t="s">
        <v>517</v>
      </c>
      <c r="D182" s="18">
        <v>6.0</v>
      </c>
      <c r="E182" s="18" t="str">
        <f t="shared" si="1"/>
        <v>06/10/94</v>
      </c>
      <c r="F182" s="18">
        <v>0.0</v>
      </c>
      <c r="G182" s="27">
        <v>1908.9</v>
      </c>
      <c r="H182" s="18" t="s">
        <v>142</v>
      </c>
      <c r="I182" s="18" t="s">
        <v>142</v>
      </c>
      <c r="J182" s="18" t="s">
        <v>146</v>
      </c>
      <c r="K182" s="29">
        <f t="shared" si="2"/>
        <v>28</v>
      </c>
    </row>
    <row r="183" ht="15.75" customHeight="1">
      <c r="A183" s="18" t="s">
        <v>1691</v>
      </c>
      <c r="B183" s="18">
        <v>2001.0</v>
      </c>
      <c r="C183" s="18" t="s">
        <v>501</v>
      </c>
      <c r="D183" s="18">
        <v>3.0</v>
      </c>
      <c r="E183" s="18" t="str">
        <f t="shared" si="1"/>
        <v>03/08/01</v>
      </c>
      <c r="F183" s="18">
        <v>0.0</v>
      </c>
      <c r="G183" s="27">
        <v>1909.53</v>
      </c>
      <c r="H183" s="18" t="s">
        <v>142</v>
      </c>
      <c r="I183" s="18" t="s">
        <v>142</v>
      </c>
      <c r="J183" s="18" t="s">
        <v>325</v>
      </c>
      <c r="K183" s="29">
        <f t="shared" si="2"/>
        <v>21</v>
      </c>
    </row>
    <row r="184" ht="15.75" customHeight="1">
      <c r="A184" s="18" t="s">
        <v>1699</v>
      </c>
      <c r="B184" s="18">
        <v>2001.0</v>
      </c>
      <c r="C184" s="18" t="s">
        <v>457</v>
      </c>
      <c r="D184" s="18">
        <v>9.0</v>
      </c>
      <c r="E184" s="18" t="str">
        <f t="shared" si="1"/>
        <v>09/12/01</v>
      </c>
      <c r="F184" s="18">
        <v>0.0</v>
      </c>
      <c r="G184" s="27">
        <v>1917.32</v>
      </c>
      <c r="H184" s="18" t="s">
        <v>142</v>
      </c>
      <c r="I184" s="18" t="s">
        <v>140</v>
      </c>
      <c r="J184" s="18" t="s">
        <v>325</v>
      </c>
      <c r="K184" s="29">
        <f t="shared" si="2"/>
        <v>21</v>
      </c>
    </row>
    <row r="185" ht="15.75" customHeight="1">
      <c r="A185" s="18" t="s">
        <v>1708</v>
      </c>
      <c r="B185" s="18">
        <v>2002.0</v>
      </c>
      <c r="C185" s="18" t="s">
        <v>272</v>
      </c>
      <c r="D185" s="18">
        <v>7.0</v>
      </c>
      <c r="E185" s="18" t="str">
        <f t="shared" si="1"/>
        <v>07/09/02</v>
      </c>
      <c r="F185" s="18">
        <v>1.0</v>
      </c>
      <c r="G185" s="27">
        <v>1964.78</v>
      </c>
      <c r="H185" s="18" t="s">
        <v>142</v>
      </c>
      <c r="I185" s="18" t="s">
        <v>219</v>
      </c>
      <c r="J185" s="18" t="s">
        <v>570</v>
      </c>
      <c r="K185" s="29">
        <f t="shared" si="2"/>
        <v>20</v>
      </c>
    </row>
    <row r="186" ht="15.75" customHeight="1">
      <c r="A186" s="18" t="s">
        <v>1716</v>
      </c>
      <c r="B186" s="18">
        <v>2002.0</v>
      </c>
      <c r="C186" s="18" t="s">
        <v>91</v>
      </c>
      <c r="D186" s="18">
        <v>29.0</v>
      </c>
      <c r="E186" s="18" t="str">
        <f t="shared" si="1"/>
        <v>29/07/02</v>
      </c>
      <c r="F186" s="18">
        <v>0.0</v>
      </c>
      <c r="G186" s="27">
        <v>1967.02</v>
      </c>
      <c r="H186" s="18" t="s">
        <v>142</v>
      </c>
      <c r="I186" s="18" t="s">
        <v>140</v>
      </c>
      <c r="J186" s="18" t="s">
        <v>1427</v>
      </c>
      <c r="K186" s="29">
        <f t="shared" si="2"/>
        <v>20</v>
      </c>
    </row>
    <row r="187" ht="15.75" customHeight="1">
      <c r="A187" s="18" t="s">
        <v>1724</v>
      </c>
      <c r="B187" s="18">
        <v>1998.0</v>
      </c>
      <c r="C187" s="18" t="s">
        <v>272</v>
      </c>
      <c r="D187" s="18">
        <v>28.0</v>
      </c>
      <c r="E187" s="18" t="str">
        <f t="shared" si="1"/>
        <v>28/09/98</v>
      </c>
      <c r="F187" s="18">
        <v>0.0</v>
      </c>
      <c r="G187" s="27">
        <v>1969.61</v>
      </c>
      <c r="H187" s="18" t="s">
        <v>142</v>
      </c>
      <c r="I187" s="18" t="s">
        <v>142</v>
      </c>
      <c r="J187" s="18" t="s">
        <v>570</v>
      </c>
      <c r="K187" s="29">
        <f t="shared" si="2"/>
        <v>24</v>
      </c>
    </row>
    <row r="188" ht="15.75" customHeight="1">
      <c r="A188" s="18" t="s">
        <v>1731</v>
      </c>
      <c r="B188" s="18">
        <v>1998.0</v>
      </c>
      <c r="C188" s="18" t="s">
        <v>517</v>
      </c>
      <c r="D188" s="18">
        <v>5.0</v>
      </c>
      <c r="E188" s="18" t="str">
        <f t="shared" si="1"/>
        <v>05/10/98</v>
      </c>
      <c r="F188" s="18">
        <v>0.0</v>
      </c>
      <c r="G188" s="27">
        <v>1972.95</v>
      </c>
      <c r="H188" s="18" t="s">
        <v>142</v>
      </c>
      <c r="I188" s="18" t="s">
        <v>219</v>
      </c>
      <c r="J188" s="18" t="s">
        <v>570</v>
      </c>
      <c r="K188" s="29">
        <f t="shared" si="2"/>
        <v>24</v>
      </c>
    </row>
    <row r="189" ht="15.75" customHeight="1">
      <c r="A189" s="18" t="s">
        <v>1741</v>
      </c>
      <c r="B189" s="18">
        <v>1998.0</v>
      </c>
      <c r="C189" s="18" t="s">
        <v>272</v>
      </c>
      <c r="D189" s="18">
        <v>29.0</v>
      </c>
      <c r="E189" s="18" t="str">
        <f t="shared" si="1"/>
        <v>29/09/98</v>
      </c>
      <c r="F189" s="18">
        <v>0.0</v>
      </c>
      <c r="G189" s="27">
        <v>1977.82</v>
      </c>
      <c r="H189" s="18" t="s">
        <v>142</v>
      </c>
      <c r="I189" s="18" t="s">
        <v>219</v>
      </c>
      <c r="J189" s="18" t="s">
        <v>570</v>
      </c>
      <c r="K189" s="29">
        <f t="shared" si="2"/>
        <v>24</v>
      </c>
    </row>
    <row r="190" ht="15.75" customHeight="1">
      <c r="A190" s="18" t="s">
        <v>1752</v>
      </c>
      <c r="B190" s="18">
        <v>2002.0</v>
      </c>
      <c r="C190" s="18" t="s">
        <v>91</v>
      </c>
      <c r="D190" s="18">
        <v>16.0</v>
      </c>
      <c r="E190" s="18" t="str">
        <f t="shared" si="1"/>
        <v>16/07/02</v>
      </c>
      <c r="F190" s="18">
        <v>1.0</v>
      </c>
      <c r="G190" s="27">
        <v>1980.07</v>
      </c>
      <c r="H190" s="18" t="s">
        <v>142</v>
      </c>
      <c r="I190" s="18" t="s">
        <v>142</v>
      </c>
      <c r="J190" s="18" t="s">
        <v>570</v>
      </c>
      <c r="K190" s="29">
        <f t="shared" si="2"/>
        <v>20</v>
      </c>
    </row>
    <row r="191" ht="15.75" customHeight="1">
      <c r="A191" s="18" t="s">
        <v>1764</v>
      </c>
      <c r="B191" s="18">
        <v>1998.0</v>
      </c>
      <c r="C191" s="18" t="s">
        <v>457</v>
      </c>
      <c r="D191" s="18">
        <v>29.0</v>
      </c>
      <c r="E191" s="18" t="str">
        <f t="shared" si="1"/>
        <v>29/12/98</v>
      </c>
      <c r="F191" s="18">
        <v>0.0</v>
      </c>
      <c r="G191" s="27">
        <v>1981.58</v>
      </c>
      <c r="H191" s="18" t="s">
        <v>142</v>
      </c>
      <c r="I191" s="18" t="s">
        <v>219</v>
      </c>
      <c r="J191" s="18" t="s">
        <v>146</v>
      </c>
      <c r="K191" s="29">
        <f t="shared" si="2"/>
        <v>24</v>
      </c>
    </row>
    <row r="192" ht="15.75" customHeight="1">
      <c r="A192" s="18" t="s">
        <v>1773</v>
      </c>
      <c r="B192" s="18">
        <v>2002.0</v>
      </c>
      <c r="C192" s="18" t="s">
        <v>272</v>
      </c>
      <c r="D192" s="18">
        <v>29.0</v>
      </c>
      <c r="E192" s="18" t="str">
        <f t="shared" si="1"/>
        <v>29/09/02</v>
      </c>
      <c r="F192" s="18">
        <v>0.0</v>
      </c>
      <c r="G192" s="27">
        <v>1984.45</v>
      </c>
      <c r="H192" s="18" t="s">
        <v>142</v>
      </c>
      <c r="I192" s="18" t="s">
        <v>142</v>
      </c>
      <c r="J192" s="18" t="s">
        <v>1427</v>
      </c>
      <c r="K192" s="29">
        <f t="shared" si="2"/>
        <v>20</v>
      </c>
    </row>
    <row r="193" ht="15.75" customHeight="1">
      <c r="A193" s="18" t="s">
        <v>1782</v>
      </c>
      <c r="B193" s="18">
        <v>1998.0</v>
      </c>
      <c r="C193" s="18" t="s">
        <v>272</v>
      </c>
      <c r="D193" s="18">
        <v>14.0</v>
      </c>
      <c r="E193" s="18" t="str">
        <f t="shared" si="1"/>
        <v>14/09/98</v>
      </c>
      <c r="F193" s="18">
        <v>0.0</v>
      </c>
      <c r="G193" s="27">
        <v>1986.93</v>
      </c>
      <c r="H193" s="18" t="s">
        <v>142</v>
      </c>
      <c r="I193" s="18" t="s">
        <v>140</v>
      </c>
      <c r="J193" s="18" t="s">
        <v>146</v>
      </c>
      <c r="K193" s="29">
        <f t="shared" si="2"/>
        <v>24</v>
      </c>
    </row>
    <row r="194" ht="15.75" customHeight="1">
      <c r="A194" s="18" t="s">
        <v>1794</v>
      </c>
      <c r="B194" s="18">
        <v>2001.0</v>
      </c>
      <c r="C194" s="18" t="s">
        <v>501</v>
      </c>
      <c r="D194" s="18">
        <v>14.0</v>
      </c>
      <c r="E194" s="18" t="str">
        <f t="shared" si="1"/>
        <v>14/08/01</v>
      </c>
      <c r="F194" s="18">
        <v>0.0</v>
      </c>
      <c r="G194" s="27">
        <v>2007.95</v>
      </c>
      <c r="H194" s="18" t="s">
        <v>142</v>
      </c>
      <c r="I194" s="18" t="s">
        <v>140</v>
      </c>
      <c r="J194" s="18" t="s">
        <v>570</v>
      </c>
      <c r="K194" s="29">
        <f t="shared" si="2"/>
        <v>21</v>
      </c>
    </row>
    <row r="195" ht="15.75" customHeight="1">
      <c r="A195" s="18" t="s">
        <v>1803</v>
      </c>
      <c r="B195" s="18">
        <v>2001.0</v>
      </c>
      <c r="C195" s="18" t="s">
        <v>91</v>
      </c>
      <c r="D195" s="18">
        <v>1.0</v>
      </c>
      <c r="E195" s="18" t="str">
        <f t="shared" si="1"/>
        <v>01/07/01</v>
      </c>
      <c r="F195" s="18">
        <v>0.0</v>
      </c>
      <c r="G195" s="27">
        <v>2020.18</v>
      </c>
      <c r="H195" s="18" t="s">
        <v>142</v>
      </c>
      <c r="I195" s="18" t="s">
        <v>219</v>
      </c>
      <c r="J195" s="18" t="s">
        <v>570</v>
      </c>
      <c r="K195" s="29">
        <f t="shared" si="2"/>
        <v>21</v>
      </c>
    </row>
    <row r="196" ht="15.75" customHeight="1">
      <c r="A196" s="18" t="s">
        <v>1813</v>
      </c>
      <c r="B196" s="18">
        <v>2001.0</v>
      </c>
      <c r="C196" s="18" t="s">
        <v>272</v>
      </c>
      <c r="D196" s="18">
        <v>6.0</v>
      </c>
      <c r="E196" s="18" t="str">
        <f t="shared" si="1"/>
        <v>06/09/01</v>
      </c>
      <c r="F196" s="18">
        <v>0.0</v>
      </c>
      <c r="G196" s="27">
        <v>2020.55</v>
      </c>
      <c r="H196" s="18" t="s">
        <v>142</v>
      </c>
      <c r="I196" s="18" t="s">
        <v>140</v>
      </c>
      <c r="J196" s="18" t="s">
        <v>146</v>
      </c>
      <c r="K196" s="29">
        <f t="shared" si="2"/>
        <v>21</v>
      </c>
    </row>
    <row r="197" ht="15.75" customHeight="1">
      <c r="A197" s="18" t="s">
        <v>1824</v>
      </c>
      <c r="B197" s="18">
        <v>2001.0</v>
      </c>
      <c r="C197" s="18" t="s">
        <v>501</v>
      </c>
      <c r="D197" s="18">
        <v>4.0</v>
      </c>
      <c r="E197" s="18" t="str">
        <f t="shared" si="1"/>
        <v>04/08/01</v>
      </c>
      <c r="F197" s="18">
        <v>0.0</v>
      </c>
      <c r="G197" s="27">
        <v>2026.97</v>
      </c>
      <c r="H197" s="18" t="s">
        <v>142</v>
      </c>
      <c r="I197" s="18" t="s">
        <v>140</v>
      </c>
      <c r="J197" s="18" t="s">
        <v>146</v>
      </c>
      <c r="K197" s="29">
        <f t="shared" si="2"/>
        <v>21</v>
      </c>
    </row>
    <row r="198" ht="15.75" customHeight="1">
      <c r="A198" s="18" t="s">
        <v>1833</v>
      </c>
      <c r="B198" s="18">
        <v>2000.0</v>
      </c>
      <c r="C198" s="18" t="s">
        <v>272</v>
      </c>
      <c r="D198" s="18">
        <v>2.0</v>
      </c>
      <c r="E198" s="18" t="str">
        <f t="shared" si="1"/>
        <v>02/09/00</v>
      </c>
      <c r="F198" s="18">
        <v>0.0</v>
      </c>
      <c r="G198" s="27">
        <v>2045.69</v>
      </c>
      <c r="H198" s="18" t="s">
        <v>142</v>
      </c>
      <c r="I198" s="18" t="s">
        <v>142</v>
      </c>
      <c r="J198" s="18" t="s">
        <v>325</v>
      </c>
      <c r="K198" s="29">
        <f t="shared" si="2"/>
        <v>22</v>
      </c>
    </row>
    <row r="199" ht="15.75" customHeight="1">
      <c r="A199" s="18" t="s">
        <v>1842</v>
      </c>
      <c r="B199" s="18">
        <v>2000.0</v>
      </c>
      <c r="C199" s="18" t="s">
        <v>91</v>
      </c>
      <c r="D199" s="18">
        <v>26.0</v>
      </c>
      <c r="E199" s="18" t="str">
        <f t="shared" si="1"/>
        <v>26/07/00</v>
      </c>
      <c r="F199" s="18">
        <v>0.0</v>
      </c>
      <c r="G199" s="27">
        <v>2055.32</v>
      </c>
      <c r="H199" s="18" t="s">
        <v>142</v>
      </c>
      <c r="I199" s="18" t="s">
        <v>142</v>
      </c>
      <c r="J199" s="18" t="s">
        <v>325</v>
      </c>
      <c r="K199" s="29">
        <f t="shared" si="2"/>
        <v>22</v>
      </c>
    </row>
    <row r="200" ht="15.75" customHeight="1">
      <c r="A200" s="18" t="s">
        <v>1849</v>
      </c>
      <c r="B200" s="18">
        <v>2004.0</v>
      </c>
      <c r="C200" s="18" t="s">
        <v>241</v>
      </c>
      <c r="D200" s="18">
        <v>12.0</v>
      </c>
      <c r="E200" s="18" t="str">
        <f t="shared" si="1"/>
        <v>12/06/04</v>
      </c>
      <c r="F200" s="18">
        <v>0.0</v>
      </c>
      <c r="G200" s="27">
        <v>2094.1</v>
      </c>
      <c r="H200" s="18" t="s">
        <v>142</v>
      </c>
      <c r="I200" s="18" t="s">
        <v>140</v>
      </c>
      <c r="J200" s="18" t="s">
        <v>1647</v>
      </c>
      <c r="K200" s="29">
        <f t="shared" si="2"/>
        <v>18</v>
      </c>
    </row>
    <row r="201" ht="15.75" customHeight="1">
      <c r="A201" s="18" t="s">
        <v>1863</v>
      </c>
      <c r="B201" s="18">
        <v>2001.0</v>
      </c>
      <c r="C201" s="18" t="s">
        <v>501</v>
      </c>
      <c r="D201" s="18">
        <v>14.0</v>
      </c>
      <c r="E201" s="18" t="str">
        <f t="shared" si="1"/>
        <v>14/08/01</v>
      </c>
      <c r="F201" s="18">
        <v>0.0</v>
      </c>
      <c r="G201" s="27">
        <v>2102.26</v>
      </c>
      <c r="H201" s="18" t="s">
        <v>142</v>
      </c>
      <c r="I201" s="18" t="s">
        <v>140</v>
      </c>
      <c r="J201" s="18" t="s">
        <v>1421</v>
      </c>
      <c r="K201" s="29">
        <f t="shared" si="2"/>
        <v>21</v>
      </c>
    </row>
    <row r="202" ht="15.75" customHeight="1">
      <c r="A202" s="18" t="s">
        <v>1872</v>
      </c>
      <c r="B202" s="18">
        <v>2001.0</v>
      </c>
      <c r="C202" s="18" t="s">
        <v>241</v>
      </c>
      <c r="D202" s="18">
        <v>22.0</v>
      </c>
      <c r="E202" s="18" t="str">
        <f t="shared" si="1"/>
        <v>22/06/01</v>
      </c>
      <c r="F202" s="18">
        <v>1.0</v>
      </c>
      <c r="G202" s="27">
        <v>2103.08</v>
      </c>
      <c r="H202" s="18" t="s">
        <v>142</v>
      </c>
      <c r="I202" s="18" t="s">
        <v>140</v>
      </c>
      <c r="J202" s="18" t="s">
        <v>570</v>
      </c>
      <c r="K202" s="29">
        <f t="shared" si="2"/>
        <v>21</v>
      </c>
    </row>
    <row r="203" ht="15.75" customHeight="1">
      <c r="A203" s="18" t="s">
        <v>1879</v>
      </c>
      <c r="B203" s="18">
        <v>2001.0</v>
      </c>
      <c r="C203" s="18" t="s">
        <v>209</v>
      </c>
      <c r="D203" s="18">
        <v>28.0</v>
      </c>
      <c r="E203" s="18" t="str">
        <f t="shared" si="1"/>
        <v>28/11/01</v>
      </c>
      <c r="F203" s="18">
        <v>0.0</v>
      </c>
      <c r="G203" s="27">
        <v>2104.11</v>
      </c>
      <c r="H203" s="18" t="s">
        <v>140</v>
      </c>
      <c r="I203" s="18" t="s">
        <v>219</v>
      </c>
      <c r="J203" s="18" t="s">
        <v>1427</v>
      </c>
      <c r="K203" s="29">
        <f t="shared" si="2"/>
        <v>21</v>
      </c>
    </row>
    <row r="204" ht="15.75" customHeight="1">
      <c r="A204" s="18" t="s">
        <v>1887</v>
      </c>
      <c r="B204" s="18">
        <v>1989.0</v>
      </c>
      <c r="C204" s="18" t="s">
        <v>91</v>
      </c>
      <c r="D204" s="18">
        <v>21.0</v>
      </c>
      <c r="E204" s="18" t="str">
        <f t="shared" si="1"/>
        <v>21/07/89</v>
      </c>
      <c r="F204" s="18">
        <v>3.0</v>
      </c>
      <c r="G204" s="27">
        <v>2106.26</v>
      </c>
      <c r="H204" s="18" t="s">
        <v>140</v>
      </c>
      <c r="I204" s="18" t="s">
        <v>140</v>
      </c>
      <c r="J204" s="18" t="s">
        <v>146</v>
      </c>
      <c r="K204" s="29">
        <f t="shared" si="2"/>
        <v>33</v>
      </c>
    </row>
    <row r="205" ht="15.75" customHeight="1">
      <c r="A205" s="18" t="s">
        <v>1898</v>
      </c>
      <c r="B205" s="18">
        <v>2003.0</v>
      </c>
      <c r="C205" s="18" t="s">
        <v>272</v>
      </c>
      <c r="D205" s="18">
        <v>30.0</v>
      </c>
      <c r="E205" s="18" t="str">
        <f t="shared" si="1"/>
        <v>30/09/03</v>
      </c>
      <c r="F205" s="18">
        <v>0.0</v>
      </c>
      <c r="G205" s="27">
        <v>2117.34</v>
      </c>
      <c r="H205" s="18" t="s">
        <v>140</v>
      </c>
      <c r="I205" s="18" t="s">
        <v>142</v>
      </c>
      <c r="J205" s="18" t="s">
        <v>325</v>
      </c>
      <c r="K205" s="29">
        <f t="shared" si="2"/>
        <v>19</v>
      </c>
    </row>
    <row r="206" ht="15.75" customHeight="1">
      <c r="A206" s="18" t="s">
        <v>1909</v>
      </c>
      <c r="B206" s="18">
        <v>2004.0</v>
      </c>
      <c r="C206" s="18" t="s">
        <v>209</v>
      </c>
      <c r="D206" s="18">
        <v>4.0</v>
      </c>
      <c r="E206" s="18" t="str">
        <f t="shared" si="1"/>
        <v>04/11/04</v>
      </c>
      <c r="F206" s="18">
        <v>0.0</v>
      </c>
      <c r="G206" s="27">
        <v>2118.61</v>
      </c>
      <c r="H206" s="18" t="s">
        <v>140</v>
      </c>
      <c r="I206" s="18" t="s">
        <v>219</v>
      </c>
      <c r="J206" s="18" t="s">
        <v>325</v>
      </c>
      <c r="K206" s="29">
        <f t="shared" si="2"/>
        <v>18</v>
      </c>
    </row>
    <row r="207" ht="15.75" customHeight="1">
      <c r="A207" s="18" t="s">
        <v>1919</v>
      </c>
      <c r="B207" s="18">
        <v>2003.0</v>
      </c>
      <c r="C207" s="18" t="s">
        <v>501</v>
      </c>
      <c r="D207" s="18">
        <v>30.0</v>
      </c>
      <c r="E207" s="18" t="str">
        <f t="shared" si="1"/>
        <v>30/08/03</v>
      </c>
      <c r="F207" s="18">
        <v>0.0</v>
      </c>
      <c r="G207" s="27">
        <v>2128.43</v>
      </c>
      <c r="H207" s="18" t="s">
        <v>140</v>
      </c>
      <c r="I207" s="18" t="s">
        <v>219</v>
      </c>
      <c r="J207" s="18" t="s">
        <v>325</v>
      </c>
      <c r="K207" s="29">
        <f t="shared" si="2"/>
        <v>19</v>
      </c>
    </row>
    <row r="208" ht="15.75" customHeight="1">
      <c r="A208" s="18" t="s">
        <v>1924</v>
      </c>
      <c r="B208" s="18">
        <v>2003.0</v>
      </c>
      <c r="C208" s="18" t="s">
        <v>457</v>
      </c>
      <c r="D208" s="18">
        <v>22.0</v>
      </c>
      <c r="E208" s="18" t="str">
        <f t="shared" si="1"/>
        <v>22/12/03</v>
      </c>
      <c r="F208" s="18">
        <v>0.0</v>
      </c>
      <c r="G208" s="27">
        <v>2130.68</v>
      </c>
      <c r="H208" s="18" t="s">
        <v>140</v>
      </c>
      <c r="I208" s="18" t="s">
        <v>142</v>
      </c>
      <c r="J208" s="18" t="s">
        <v>325</v>
      </c>
      <c r="K208" s="29">
        <f t="shared" si="2"/>
        <v>19</v>
      </c>
    </row>
    <row r="209" ht="15.75" customHeight="1">
      <c r="A209" s="18" t="s">
        <v>1934</v>
      </c>
      <c r="B209" s="18">
        <v>2003.0</v>
      </c>
      <c r="C209" s="18" t="s">
        <v>272</v>
      </c>
      <c r="D209" s="18">
        <v>1.0</v>
      </c>
      <c r="E209" s="18" t="str">
        <f t="shared" si="1"/>
        <v>01/09/03</v>
      </c>
      <c r="F209" s="18">
        <v>0.0</v>
      </c>
      <c r="G209" s="27">
        <v>2134.9</v>
      </c>
      <c r="H209" s="18" t="s">
        <v>140</v>
      </c>
      <c r="I209" s="18" t="s">
        <v>142</v>
      </c>
      <c r="J209" s="18" t="s">
        <v>325</v>
      </c>
      <c r="K209" s="29">
        <f t="shared" si="2"/>
        <v>19</v>
      </c>
    </row>
    <row r="210" ht="15.75" customHeight="1">
      <c r="A210" s="18" t="s">
        <v>1944</v>
      </c>
      <c r="B210" s="18">
        <v>2003.0</v>
      </c>
      <c r="C210" s="18" t="s">
        <v>272</v>
      </c>
      <c r="D210" s="18">
        <v>26.0</v>
      </c>
      <c r="E210" s="18" t="str">
        <f t="shared" si="1"/>
        <v>26/09/03</v>
      </c>
      <c r="F210" s="18">
        <v>0.0</v>
      </c>
      <c r="G210" s="27">
        <v>2136.88</v>
      </c>
      <c r="H210" s="18" t="s">
        <v>140</v>
      </c>
      <c r="I210" s="18" t="s">
        <v>140</v>
      </c>
      <c r="J210" s="18" t="s">
        <v>325</v>
      </c>
      <c r="K210" s="29">
        <f t="shared" si="2"/>
        <v>19</v>
      </c>
    </row>
    <row r="211" ht="15.75" customHeight="1">
      <c r="A211" s="18" t="s">
        <v>1949</v>
      </c>
      <c r="B211" s="18">
        <v>1997.0</v>
      </c>
      <c r="C211" s="18" t="s">
        <v>272</v>
      </c>
      <c r="D211" s="18">
        <v>3.0</v>
      </c>
      <c r="E211" s="18" t="str">
        <f t="shared" si="1"/>
        <v>03/09/97</v>
      </c>
      <c r="F211" s="18">
        <v>0.0</v>
      </c>
      <c r="G211" s="27">
        <v>2137.65</v>
      </c>
      <c r="H211" s="18" t="s">
        <v>142</v>
      </c>
      <c r="I211" s="18" t="s">
        <v>219</v>
      </c>
      <c r="J211" s="18" t="s">
        <v>146</v>
      </c>
      <c r="K211" s="29">
        <f t="shared" si="2"/>
        <v>25</v>
      </c>
    </row>
    <row r="212" ht="15.75" customHeight="1">
      <c r="A212" s="18" t="s">
        <v>1954</v>
      </c>
      <c r="B212" s="18">
        <v>2003.0</v>
      </c>
      <c r="C212" s="18" t="s">
        <v>501</v>
      </c>
      <c r="D212" s="18">
        <v>19.0</v>
      </c>
      <c r="E212" s="18" t="str">
        <f t="shared" si="1"/>
        <v>19/08/03</v>
      </c>
      <c r="F212" s="18">
        <v>0.0</v>
      </c>
      <c r="G212" s="27">
        <v>2138.07</v>
      </c>
      <c r="H212" s="18" t="s">
        <v>140</v>
      </c>
      <c r="I212" s="18" t="s">
        <v>219</v>
      </c>
      <c r="J212" s="18" t="s">
        <v>325</v>
      </c>
      <c r="K212" s="29">
        <f t="shared" si="2"/>
        <v>19</v>
      </c>
    </row>
    <row r="213" ht="15.75" customHeight="1">
      <c r="A213" s="18" t="s">
        <v>1961</v>
      </c>
      <c r="B213" s="18">
        <v>2004.0</v>
      </c>
      <c r="C213" s="18" t="s">
        <v>517</v>
      </c>
      <c r="D213" s="18">
        <v>4.0</v>
      </c>
      <c r="E213" s="18" t="str">
        <f t="shared" si="1"/>
        <v>04/10/04</v>
      </c>
      <c r="F213" s="18">
        <v>0.0</v>
      </c>
      <c r="G213" s="27">
        <v>2144.85</v>
      </c>
      <c r="H213" s="18" t="s">
        <v>140</v>
      </c>
      <c r="I213" s="18" t="s">
        <v>219</v>
      </c>
      <c r="J213" s="18" t="s">
        <v>570</v>
      </c>
      <c r="K213" s="29">
        <f t="shared" si="2"/>
        <v>18</v>
      </c>
    </row>
    <row r="214" ht="15.75" customHeight="1">
      <c r="A214" s="18" t="s">
        <v>1966</v>
      </c>
      <c r="B214" s="18">
        <v>2000.0</v>
      </c>
      <c r="C214" s="18" t="s">
        <v>457</v>
      </c>
      <c r="D214" s="18">
        <v>27.0</v>
      </c>
      <c r="E214" s="18" t="str">
        <f t="shared" si="1"/>
        <v>27/12/00</v>
      </c>
      <c r="F214" s="18">
        <v>0.0</v>
      </c>
      <c r="G214" s="27">
        <v>2150.47</v>
      </c>
      <c r="H214" s="18" t="s">
        <v>140</v>
      </c>
      <c r="I214" s="18" t="s">
        <v>142</v>
      </c>
      <c r="J214" s="18" t="s">
        <v>570</v>
      </c>
      <c r="K214" s="29">
        <f t="shared" si="2"/>
        <v>22</v>
      </c>
    </row>
    <row r="215" ht="15.75" customHeight="1">
      <c r="A215" s="18" t="s">
        <v>1973</v>
      </c>
      <c r="B215" s="18">
        <v>2000.0</v>
      </c>
      <c r="C215" s="18" t="s">
        <v>517</v>
      </c>
      <c r="D215" s="18">
        <v>22.0</v>
      </c>
      <c r="E215" s="18" t="str">
        <f t="shared" si="1"/>
        <v>22/10/00</v>
      </c>
      <c r="F215" s="18">
        <v>0.0</v>
      </c>
      <c r="G215" s="27">
        <v>2154.36</v>
      </c>
      <c r="H215" s="18" t="s">
        <v>140</v>
      </c>
      <c r="I215" s="18" t="s">
        <v>140</v>
      </c>
      <c r="J215" s="18" t="s">
        <v>570</v>
      </c>
      <c r="K215" s="29">
        <f t="shared" si="2"/>
        <v>22</v>
      </c>
    </row>
    <row r="216" ht="15.75" customHeight="1">
      <c r="A216" s="18" t="s">
        <v>1978</v>
      </c>
      <c r="B216" s="18">
        <v>2000.0</v>
      </c>
      <c r="C216" s="18" t="s">
        <v>209</v>
      </c>
      <c r="D216" s="18">
        <v>29.0</v>
      </c>
      <c r="E216" s="18" t="str">
        <f t="shared" si="1"/>
        <v>29/11/00</v>
      </c>
      <c r="F216" s="18">
        <v>0.0</v>
      </c>
      <c r="G216" s="27">
        <v>2155.68</v>
      </c>
      <c r="H216" s="18" t="s">
        <v>140</v>
      </c>
      <c r="I216" s="18" t="s">
        <v>142</v>
      </c>
      <c r="J216" s="18" t="s">
        <v>146</v>
      </c>
      <c r="K216" s="29">
        <f t="shared" si="2"/>
        <v>22</v>
      </c>
    </row>
    <row r="217" ht="15.75" customHeight="1">
      <c r="A217" s="18" t="s">
        <v>1983</v>
      </c>
      <c r="B217" s="18">
        <v>2000.0</v>
      </c>
      <c r="C217" s="18" t="s">
        <v>457</v>
      </c>
      <c r="D217" s="18">
        <v>10.0</v>
      </c>
      <c r="E217" s="18" t="str">
        <f t="shared" si="1"/>
        <v>10/12/00</v>
      </c>
      <c r="F217" s="18">
        <v>0.0</v>
      </c>
      <c r="G217" s="27">
        <v>2156.75</v>
      </c>
      <c r="H217" s="18" t="s">
        <v>140</v>
      </c>
      <c r="I217" s="18" t="s">
        <v>140</v>
      </c>
      <c r="J217" s="18" t="s">
        <v>146</v>
      </c>
      <c r="K217" s="29">
        <f t="shared" si="2"/>
        <v>22</v>
      </c>
    </row>
    <row r="218" ht="15.75" customHeight="1">
      <c r="A218" s="18" t="s">
        <v>1994</v>
      </c>
      <c r="B218" s="18">
        <v>2000.0</v>
      </c>
      <c r="C218" s="18" t="s">
        <v>501</v>
      </c>
      <c r="D218" s="18">
        <v>23.0</v>
      </c>
      <c r="E218" s="18" t="str">
        <f t="shared" si="1"/>
        <v>23/08/00</v>
      </c>
      <c r="F218" s="18">
        <v>0.0</v>
      </c>
      <c r="G218" s="27">
        <v>2166.73</v>
      </c>
      <c r="H218" s="18" t="s">
        <v>140</v>
      </c>
      <c r="I218" s="18" t="s">
        <v>140</v>
      </c>
      <c r="J218" s="18" t="s">
        <v>570</v>
      </c>
      <c r="K218" s="29">
        <f t="shared" si="2"/>
        <v>22</v>
      </c>
    </row>
    <row r="219" ht="15.75" customHeight="1">
      <c r="A219" s="18" t="s">
        <v>2001</v>
      </c>
      <c r="B219" s="18">
        <v>1994.0</v>
      </c>
      <c r="C219" s="18" t="s">
        <v>272</v>
      </c>
      <c r="D219" s="18">
        <v>27.0</v>
      </c>
      <c r="E219" s="18" t="str">
        <f t="shared" si="1"/>
        <v>27/09/94</v>
      </c>
      <c r="F219" s="18">
        <v>0.0</v>
      </c>
      <c r="G219" s="27">
        <v>2170.08</v>
      </c>
      <c r="H219" s="18" t="s">
        <v>140</v>
      </c>
      <c r="I219" s="18" t="s">
        <v>140</v>
      </c>
      <c r="J219" s="18" t="s">
        <v>146</v>
      </c>
      <c r="K219" s="29">
        <f t="shared" si="2"/>
        <v>28</v>
      </c>
    </row>
    <row r="220" ht="15.75" customHeight="1">
      <c r="A220" s="18" t="s">
        <v>2009</v>
      </c>
      <c r="B220" s="18">
        <v>1991.0</v>
      </c>
      <c r="C220" s="18" t="s">
        <v>457</v>
      </c>
      <c r="D220" s="18">
        <v>16.0</v>
      </c>
      <c r="E220" s="18" t="str">
        <f t="shared" si="1"/>
        <v>16/12/91</v>
      </c>
      <c r="F220" s="18">
        <v>3.0</v>
      </c>
      <c r="G220" s="27">
        <v>2193.2</v>
      </c>
      <c r="H220" s="18" t="s">
        <v>140</v>
      </c>
      <c r="I220" s="18" t="s">
        <v>140</v>
      </c>
      <c r="J220" s="18" t="s">
        <v>325</v>
      </c>
      <c r="K220" s="29">
        <f t="shared" si="2"/>
        <v>31</v>
      </c>
    </row>
    <row r="221" ht="15.75" customHeight="1">
      <c r="A221" s="18" t="s">
        <v>2019</v>
      </c>
      <c r="B221" s="18">
        <v>2004.0</v>
      </c>
      <c r="C221" s="18" t="s">
        <v>457</v>
      </c>
      <c r="D221" s="18">
        <v>7.0</v>
      </c>
      <c r="E221" s="18" t="str">
        <f t="shared" si="1"/>
        <v>07/12/04</v>
      </c>
      <c r="F221" s="18">
        <v>0.0</v>
      </c>
      <c r="G221" s="27">
        <v>2196.47</v>
      </c>
      <c r="H221" s="18" t="s">
        <v>140</v>
      </c>
      <c r="I221" s="18" t="s">
        <v>142</v>
      </c>
      <c r="J221" s="18" t="s">
        <v>2024</v>
      </c>
      <c r="K221" s="29">
        <f t="shared" si="2"/>
        <v>18</v>
      </c>
    </row>
    <row r="222" ht="15.75" customHeight="1">
      <c r="A222" s="18" t="s">
        <v>2026</v>
      </c>
      <c r="B222" s="18">
        <v>2004.0</v>
      </c>
      <c r="C222" s="18" t="s">
        <v>272</v>
      </c>
      <c r="D222" s="18">
        <v>3.0</v>
      </c>
      <c r="E222" s="18" t="str">
        <f t="shared" si="1"/>
        <v>03/09/04</v>
      </c>
      <c r="F222" s="18">
        <v>0.0</v>
      </c>
      <c r="G222" s="27">
        <v>2198.19</v>
      </c>
      <c r="H222" s="18" t="s">
        <v>140</v>
      </c>
      <c r="I222" s="18" t="s">
        <v>219</v>
      </c>
      <c r="J222" s="18" t="s">
        <v>2031</v>
      </c>
      <c r="K222" s="29">
        <f t="shared" si="2"/>
        <v>18</v>
      </c>
    </row>
    <row r="223" ht="15.75" customHeight="1">
      <c r="A223" s="18" t="s">
        <v>2035</v>
      </c>
      <c r="B223" s="18">
        <v>2004.0</v>
      </c>
      <c r="C223" s="18" t="s">
        <v>272</v>
      </c>
      <c r="D223" s="18">
        <v>12.0</v>
      </c>
      <c r="E223" s="18" t="str">
        <f t="shared" si="1"/>
        <v>12/09/04</v>
      </c>
      <c r="F223" s="18">
        <v>0.0</v>
      </c>
      <c r="G223" s="27">
        <v>2200.83</v>
      </c>
      <c r="H223" s="18" t="s">
        <v>140</v>
      </c>
      <c r="I223" s="18" t="s">
        <v>140</v>
      </c>
      <c r="J223" s="18" t="s">
        <v>2024</v>
      </c>
      <c r="K223" s="29">
        <f t="shared" si="2"/>
        <v>18</v>
      </c>
    </row>
    <row r="224" ht="15.75" customHeight="1">
      <c r="A224" s="18" t="s">
        <v>2044</v>
      </c>
      <c r="B224" s="18">
        <v>2004.0</v>
      </c>
      <c r="C224" s="18" t="s">
        <v>91</v>
      </c>
      <c r="D224" s="18">
        <v>27.0</v>
      </c>
      <c r="E224" s="18" t="str">
        <f t="shared" si="1"/>
        <v>27/07/04</v>
      </c>
      <c r="F224" s="18">
        <v>1.0</v>
      </c>
      <c r="G224" s="27">
        <v>2201.1</v>
      </c>
      <c r="H224" s="18" t="s">
        <v>140</v>
      </c>
      <c r="I224" s="18" t="s">
        <v>142</v>
      </c>
      <c r="J224" s="18" t="s">
        <v>146</v>
      </c>
      <c r="K224" s="29">
        <f t="shared" si="2"/>
        <v>18</v>
      </c>
    </row>
    <row r="225" ht="15.75" customHeight="1">
      <c r="A225" s="18" t="s">
        <v>2051</v>
      </c>
      <c r="B225" s="18">
        <v>2004.0</v>
      </c>
      <c r="C225" s="18" t="s">
        <v>501</v>
      </c>
      <c r="D225" s="18">
        <v>6.0</v>
      </c>
      <c r="E225" s="18" t="str">
        <f t="shared" si="1"/>
        <v>06/08/04</v>
      </c>
      <c r="F225" s="18">
        <v>0.0</v>
      </c>
      <c r="G225" s="27">
        <v>2203.47</v>
      </c>
      <c r="H225" s="18" t="s">
        <v>140</v>
      </c>
      <c r="I225" s="18" t="s">
        <v>140</v>
      </c>
      <c r="J225" s="18" t="s">
        <v>2024</v>
      </c>
      <c r="K225" s="29">
        <f t="shared" si="2"/>
        <v>18</v>
      </c>
    </row>
    <row r="226" ht="15.75" customHeight="1">
      <c r="A226" s="18" t="s">
        <v>2059</v>
      </c>
      <c r="B226" s="18">
        <v>2004.0</v>
      </c>
      <c r="C226" s="18" t="s">
        <v>517</v>
      </c>
      <c r="D226" s="18">
        <v>28.0</v>
      </c>
      <c r="E226" s="18" t="str">
        <f t="shared" si="1"/>
        <v>28/10/04</v>
      </c>
      <c r="F226" s="18">
        <v>0.0</v>
      </c>
      <c r="G226" s="27">
        <v>2203.74</v>
      </c>
      <c r="H226" s="18" t="s">
        <v>140</v>
      </c>
      <c r="I226" s="18" t="s">
        <v>140</v>
      </c>
      <c r="J226" s="18" t="s">
        <v>2024</v>
      </c>
      <c r="K226" s="29">
        <f t="shared" si="2"/>
        <v>18</v>
      </c>
    </row>
    <row r="227" ht="15.75" customHeight="1">
      <c r="A227" s="18" t="s">
        <v>2069</v>
      </c>
      <c r="B227" s="18">
        <v>2004.0</v>
      </c>
      <c r="C227" s="18" t="s">
        <v>209</v>
      </c>
      <c r="D227" s="18">
        <v>13.0</v>
      </c>
      <c r="E227" s="18" t="str">
        <f t="shared" si="1"/>
        <v>13/11/04</v>
      </c>
      <c r="F227" s="18">
        <v>0.0</v>
      </c>
      <c r="G227" s="27">
        <v>2205.98</v>
      </c>
      <c r="H227" s="18" t="s">
        <v>140</v>
      </c>
      <c r="I227" s="18" t="s">
        <v>142</v>
      </c>
      <c r="J227" s="18" t="s">
        <v>2024</v>
      </c>
      <c r="K227" s="29">
        <f t="shared" si="2"/>
        <v>18</v>
      </c>
    </row>
    <row r="228" ht="15.75" customHeight="1">
      <c r="A228" s="18" t="s">
        <v>2076</v>
      </c>
      <c r="B228" s="18">
        <v>2004.0</v>
      </c>
      <c r="C228" s="18" t="s">
        <v>501</v>
      </c>
      <c r="D228" s="18">
        <v>6.0</v>
      </c>
      <c r="E228" s="18" t="str">
        <f t="shared" si="1"/>
        <v>06/08/04</v>
      </c>
      <c r="F228" s="18">
        <v>0.0</v>
      </c>
      <c r="G228" s="27">
        <v>2207.7</v>
      </c>
      <c r="H228" s="18" t="s">
        <v>140</v>
      </c>
      <c r="I228" s="18" t="s">
        <v>140</v>
      </c>
      <c r="J228" s="18" t="s">
        <v>2024</v>
      </c>
      <c r="K228" s="29">
        <f t="shared" si="2"/>
        <v>18</v>
      </c>
    </row>
    <row r="229" ht="15.75" customHeight="1">
      <c r="A229" s="18" t="s">
        <v>2083</v>
      </c>
      <c r="B229" s="18">
        <v>2004.0</v>
      </c>
      <c r="C229" s="18" t="s">
        <v>91</v>
      </c>
      <c r="D229" s="18">
        <v>27.0</v>
      </c>
      <c r="E229" s="18" t="str">
        <f t="shared" si="1"/>
        <v>27/07/04</v>
      </c>
      <c r="F229" s="18">
        <v>0.0</v>
      </c>
      <c r="G229" s="27">
        <v>2211.13</v>
      </c>
      <c r="H229" s="18" t="s">
        <v>140</v>
      </c>
      <c r="I229" s="18" t="s">
        <v>140</v>
      </c>
      <c r="J229" s="18" t="s">
        <v>2024</v>
      </c>
      <c r="K229" s="29">
        <f t="shared" si="2"/>
        <v>18</v>
      </c>
    </row>
    <row r="230" ht="15.75" customHeight="1">
      <c r="A230" s="18" t="s">
        <v>2088</v>
      </c>
      <c r="B230" s="18">
        <v>1994.0</v>
      </c>
      <c r="C230" s="18" t="s">
        <v>209</v>
      </c>
      <c r="D230" s="18">
        <v>17.0</v>
      </c>
      <c r="E230" s="18" t="str">
        <f t="shared" si="1"/>
        <v>17/11/94</v>
      </c>
      <c r="F230" s="18">
        <v>0.0</v>
      </c>
      <c r="G230" s="27">
        <v>2213.21</v>
      </c>
      <c r="H230" s="18" t="s">
        <v>140</v>
      </c>
      <c r="I230" s="18" t="s">
        <v>140</v>
      </c>
      <c r="J230" s="18" t="s">
        <v>146</v>
      </c>
      <c r="K230" s="29">
        <f t="shared" si="2"/>
        <v>28</v>
      </c>
    </row>
    <row r="231" ht="15.75" customHeight="1">
      <c r="A231" s="18" t="s">
        <v>2092</v>
      </c>
      <c r="B231" s="18">
        <v>2004.0</v>
      </c>
      <c r="C231" s="18" t="s">
        <v>241</v>
      </c>
      <c r="D231" s="18">
        <v>13.0</v>
      </c>
      <c r="E231" s="18" t="str">
        <f t="shared" si="1"/>
        <v>13/06/04</v>
      </c>
      <c r="F231" s="18">
        <v>0.0</v>
      </c>
      <c r="G231" s="27">
        <v>2217.47</v>
      </c>
      <c r="H231" s="18" t="s">
        <v>140</v>
      </c>
      <c r="I231" s="18" t="s">
        <v>219</v>
      </c>
      <c r="J231" s="18" t="s">
        <v>2024</v>
      </c>
      <c r="K231" s="29">
        <f t="shared" si="2"/>
        <v>18</v>
      </c>
    </row>
    <row r="232" ht="15.75" customHeight="1">
      <c r="A232" s="18" t="s">
        <v>2101</v>
      </c>
      <c r="B232" s="18">
        <v>2004.0</v>
      </c>
      <c r="C232" s="18" t="s">
        <v>272</v>
      </c>
      <c r="D232" s="18">
        <v>25.0</v>
      </c>
      <c r="E232" s="18" t="str">
        <f t="shared" si="1"/>
        <v>25/09/04</v>
      </c>
      <c r="F232" s="18">
        <v>0.0</v>
      </c>
      <c r="G232" s="27">
        <v>2217.6</v>
      </c>
      <c r="H232" s="18" t="s">
        <v>140</v>
      </c>
      <c r="I232" s="18" t="s">
        <v>219</v>
      </c>
      <c r="J232" s="18" t="s">
        <v>2024</v>
      </c>
      <c r="K232" s="29">
        <f t="shared" si="2"/>
        <v>18</v>
      </c>
    </row>
    <row r="233" ht="15.75" customHeight="1">
      <c r="A233" s="18" t="s">
        <v>2106</v>
      </c>
      <c r="B233" s="18">
        <v>2004.0</v>
      </c>
      <c r="C233" s="18" t="s">
        <v>457</v>
      </c>
      <c r="D233" s="18">
        <v>12.0</v>
      </c>
      <c r="E233" s="18" t="str">
        <f t="shared" si="1"/>
        <v>12/12/04</v>
      </c>
      <c r="F233" s="18">
        <v>1.0</v>
      </c>
      <c r="G233" s="27">
        <v>2219.45</v>
      </c>
      <c r="H233" s="18" t="s">
        <v>140</v>
      </c>
      <c r="I233" s="18" t="s">
        <v>219</v>
      </c>
      <c r="J233" s="18" t="s">
        <v>146</v>
      </c>
      <c r="K233" s="29">
        <f t="shared" si="2"/>
        <v>18</v>
      </c>
    </row>
    <row r="234" ht="15.75" customHeight="1">
      <c r="A234" s="18" t="s">
        <v>2112</v>
      </c>
      <c r="B234" s="18">
        <v>2003.0</v>
      </c>
      <c r="C234" s="18" t="s">
        <v>457</v>
      </c>
      <c r="D234" s="18">
        <v>10.0</v>
      </c>
      <c r="E234" s="18" t="str">
        <f t="shared" si="1"/>
        <v>10/12/03</v>
      </c>
      <c r="F234" s="18">
        <v>1.0</v>
      </c>
      <c r="G234" s="27">
        <v>2221.56</v>
      </c>
      <c r="H234" s="18" t="s">
        <v>140</v>
      </c>
      <c r="I234" s="18" t="s">
        <v>142</v>
      </c>
      <c r="J234" s="18" t="s">
        <v>325</v>
      </c>
      <c r="K234" s="29">
        <f t="shared" si="2"/>
        <v>19</v>
      </c>
    </row>
    <row r="235" ht="15.75" customHeight="1">
      <c r="A235" s="18" t="s">
        <v>2117</v>
      </c>
      <c r="B235" s="18">
        <v>2000.0</v>
      </c>
      <c r="C235" s="18" t="s">
        <v>241</v>
      </c>
      <c r="D235" s="18">
        <v>30.0</v>
      </c>
      <c r="E235" s="18" t="str">
        <f t="shared" si="1"/>
        <v>30/06/00</v>
      </c>
      <c r="F235" s="18">
        <v>0.0</v>
      </c>
      <c r="G235" s="27">
        <v>2250.84</v>
      </c>
      <c r="H235" s="18" t="s">
        <v>140</v>
      </c>
      <c r="I235" s="18" t="s">
        <v>140</v>
      </c>
      <c r="J235" s="18" t="s">
        <v>1434</v>
      </c>
      <c r="K235" s="29">
        <f t="shared" si="2"/>
        <v>22</v>
      </c>
    </row>
    <row r="236" ht="15.75" customHeight="1">
      <c r="A236" s="18" t="s">
        <v>2123</v>
      </c>
      <c r="B236" s="18">
        <v>2000.0</v>
      </c>
      <c r="C236" s="18" t="s">
        <v>457</v>
      </c>
      <c r="D236" s="18">
        <v>11.0</v>
      </c>
      <c r="E236" s="18" t="str">
        <f t="shared" si="1"/>
        <v>11/12/00</v>
      </c>
      <c r="F236" s="18">
        <v>0.0</v>
      </c>
      <c r="G236" s="27">
        <v>2254.8</v>
      </c>
      <c r="H236" s="18" t="s">
        <v>140</v>
      </c>
      <c r="I236" s="18" t="s">
        <v>142</v>
      </c>
      <c r="J236" s="18" t="s">
        <v>1427</v>
      </c>
      <c r="K236" s="29">
        <f t="shared" si="2"/>
        <v>22</v>
      </c>
    </row>
    <row r="237" ht="15.75" customHeight="1">
      <c r="A237" s="18" t="s">
        <v>2127</v>
      </c>
      <c r="B237" s="18">
        <v>2002.0</v>
      </c>
      <c r="C237" s="18" t="s">
        <v>91</v>
      </c>
      <c r="D237" s="18">
        <v>15.0</v>
      </c>
      <c r="E237" s="18" t="str">
        <f t="shared" si="1"/>
        <v>15/07/02</v>
      </c>
      <c r="F237" s="18">
        <v>0.0</v>
      </c>
      <c r="G237" s="27">
        <v>2257.48</v>
      </c>
      <c r="H237" s="18" t="s">
        <v>140</v>
      </c>
      <c r="I237" s="18" t="s">
        <v>219</v>
      </c>
      <c r="J237" s="18" t="s">
        <v>325</v>
      </c>
      <c r="K237" s="29">
        <f t="shared" si="2"/>
        <v>20</v>
      </c>
    </row>
    <row r="238" ht="15.75" customHeight="1">
      <c r="A238" s="18" t="s">
        <v>2131</v>
      </c>
      <c r="B238" s="18">
        <v>2002.0</v>
      </c>
      <c r="C238" s="18" t="s">
        <v>209</v>
      </c>
      <c r="D238" s="18">
        <v>12.0</v>
      </c>
      <c r="E238" s="18" t="str">
        <f t="shared" si="1"/>
        <v>12/11/02</v>
      </c>
      <c r="F238" s="18">
        <v>0.0</v>
      </c>
      <c r="G238" s="27">
        <v>2261.57</v>
      </c>
      <c r="H238" s="18" t="s">
        <v>140</v>
      </c>
      <c r="I238" s="18" t="s">
        <v>219</v>
      </c>
      <c r="J238" s="18" t="s">
        <v>325</v>
      </c>
      <c r="K238" s="29">
        <f t="shared" si="2"/>
        <v>20</v>
      </c>
    </row>
    <row r="239" ht="15.75" customHeight="1">
      <c r="A239" s="18" t="s">
        <v>2137</v>
      </c>
      <c r="B239" s="18">
        <v>1991.0</v>
      </c>
      <c r="C239" s="18" t="s">
        <v>241</v>
      </c>
      <c r="D239" s="18">
        <v>16.0</v>
      </c>
      <c r="E239" s="18" t="str">
        <f t="shared" si="1"/>
        <v>16/06/91</v>
      </c>
      <c r="F239" s="18">
        <v>3.0</v>
      </c>
      <c r="G239" s="27">
        <v>2277.72</v>
      </c>
      <c r="H239" s="18" t="s">
        <v>140</v>
      </c>
      <c r="I239" s="18" t="s">
        <v>219</v>
      </c>
      <c r="J239" s="18" t="s">
        <v>146</v>
      </c>
      <c r="K239" s="29">
        <f t="shared" si="2"/>
        <v>31</v>
      </c>
    </row>
    <row r="240" ht="15.75" customHeight="1">
      <c r="A240" s="18" t="s">
        <v>2142</v>
      </c>
      <c r="B240" s="18">
        <v>1989.0</v>
      </c>
      <c r="C240" s="18" t="s">
        <v>517</v>
      </c>
      <c r="D240" s="18">
        <v>5.0</v>
      </c>
      <c r="E240" s="18" t="str">
        <f t="shared" si="1"/>
        <v>05/10/89</v>
      </c>
      <c r="F240" s="18">
        <v>3.0</v>
      </c>
      <c r="G240" s="27">
        <v>2295.24</v>
      </c>
      <c r="H240" s="18" t="s">
        <v>140</v>
      </c>
      <c r="I240" s="18" t="s">
        <v>219</v>
      </c>
      <c r="J240" s="18" t="s">
        <v>146</v>
      </c>
      <c r="K240" s="29">
        <f t="shared" si="2"/>
        <v>33</v>
      </c>
    </row>
    <row r="241" ht="15.75" customHeight="1">
      <c r="A241" s="18" t="s">
        <v>2149</v>
      </c>
      <c r="B241" s="18">
        <v>1996.0</v>
      </c>
      <c r="C241" s="18" t="s">
        <v>209</v>
      </c>
      <c r="D241" s="18">
        <v>28.0</v>
      </c>
      <c r="E241" s="18" t="str">
        <f t="shared" si="1"/>
        <v>28/11/96</v>
      </c>
      <c r="F241" s="18">
        <v>0.0</v>
      </c>
      <c r="G241" s="27">
        <v>2302.3</v>
      </c>
      <c r="H241" s="18" t="s">
        <v>219</v>
      </c>
      <c r="I241" s="18" t="s">
        <v>140</v>
      </c>
      <c r="J241" s="18" t="s">
        <v>570</v>
      </c>
      <c r="K241" s="29">
        <f t="shared" si="2"/>
        <v>26</v>
      </c>
    </row>
    <row r="242" ht="15.75" customHeight="1">
      <c r="A242" s="18" t="s">
        <v>2155</v>
      </c>
      <c r="B242" s="18">
        <v>2004.0</v>
      </c>
      <c r="C242" s="18" t="s">
        <v>272</v>
      </c>
      <c r="D242" s="18">
        <v>6.0</v>
      </c>
      <c r="E242" s="18" t="str">
        <f t="shared" si="1"/>
        <v>06/09/04</v>
      </c>
      <c r="F242" s="18">
        <v>2.0</v>
      </c>
      <c r="G242" s="27">
        <v>2304.0</v>
      </c>
      <c r="H242" s="18" t="s">
        <v>140</v>
      </c>
      <c r="I242" s="18" t="s">
        <v>142</v>
      </c>
      <c r="J242" s="18" t="s">
        <v>146</v>
      </c>
      <c r="K242" s="29">
        <f t="shared" si="2"/>
        <v>18</v>
      </c>
    </row>
    <row r="243" ht="15.75" customHeight="1">
      <c r="A243" s="18" t="s">
        <v>2160</v>
      </c>
      <c r="B243" s="18">
        <v>1996.0</v>
      </c>
      <c r="C243" s="18" t="s">
        <v>457</v>
      </c>
      <c r="D243" s="18">
        <v>17.0</v>
      </c>
      <c r="E243" s="18" t="str">
        <f t="shared" si="1"/>
        <v>17/12/96</v>
      </c>
      <c r="F243" s="18">
        <v>0.0</v>
      </c>
      <c r="G243" s="27">
        <v>2322.62</v>
      </c>
      <c r="H243" s="18" t="s">
        <v>140</v>
      </c>
      <c r="I243" s="18" t="s">
        <v>219</v>
      </c>
      <c r="J243" s="18" t="s">
        <v>146</v>
      </c>
      <c r="K243" s="29">
        <f t="shared" si="2"/>
        <v>26</v>
      </c>
    </row>
    <row r="244" ht="15.75" customHeight="1">
      <c r="A244" s="18" t="s">
        <v>2165</v>
      </c>
      <c r="B244" s="18">
        <v>2003.0</v>
      </c>
      <c r="C244" s="18" t="s">
        <v>209</v>
      </c>
      <c r="D244" s="18">
        <v>18.0</v>
      </c>
      <c r="E244" s="18" t="str">
        <f t="shared" si="1"/>
        <v>18/11/03</v>
      </c>
      <c r="F244" s="18">
        <v>1.0</v>
      </c>
      <c r="G244" s="27">
        <v>2331.52</v>
      </c>
      <c r="H244" s="18" t="s">
        <v>140</v>
      </c>
      <c r="I244" s="18" t="s">
        <v>142</v>
      </c>
      <c r="J244" s="18" t="s">
        <v>570</v>
      </c>
      <c r="K244" s="29">
        <f t="shared" si="2"/>
        <v>19</v>
      </c>
    </row>
    <row r="245" ht="15.75" customHeight="1">
      <c r="A245" s="18" t="s">
        <v>2170</v>
      </c>
      <c r="B245" s="18">
        <v>1998.0</v>
      </c>
      <c r="C245" s="18" t="s">
        <v>517</v>
      </c>
      <c r="D245" s="18">
        <v>21.0</v>
      </c>
      <c r="E245" s="18" t="str">
        <f t="shared" si="1"/>
        <v>21/10/98</v>
      </c>
      <c r="F245" s="18">
        <v>0.0</v>
      </c>
      <c r="G245" s="27">
        <v>2352.97</v>
      </c>
      <c r="H245" s="18" t="s">
        <v>142</v>
      </c>
      <c r="I245" s="18" t="s">
        <v>142</v>
      </c>
      <c r="J245" s="18" t="s">
        <v>325</v>
      </c>
      <c r="K245" s="29">
        <f t="shared" si="2"/>
        <v>24</v>
      </c>
    </row>
    <row r="246" ht="15.75" customHeight="1">
      <c r="A246" s="18" t="s">
        <v>2175</v>
      </c>
      <c r="B246" s="18">
        <v>2002.0</v>
      </c>
      <c r="C246" s="18" t="s">
        <v>209</v>
      </c>
      <c r="D246" s="18">
        <v>5.0</v>
      </c>
      <c r="E246" s="18" t="str">
        <f t="shared" si="1"/>
        <v>05/11/02</v>
      </c>
      <c r="F246" s="18">
        <v>1.0</v>
      </c>
      <c r="G246" s="27">
        <v>2362.23</v>
      </c>
      <c r="H246" s="18" t="s">
        <v>140</v>
      </c>
      <c r="I246" s="18" t="s">
        <v>219</v>
      </c>
      <c r="J246" s="18" t="s">
        <v>325</v>
      </c>
      <c r="K246" s="29">
        <f t="shared" si="2"/>
        <v>20</v>
      </c>
    </row>
    <row r="247" ht="15.75" customHeight="1">
      <c r="A247" s="18" t="s">
        <v>2180</v>
      </c>
      <c r="B247" s="18">
        <v>1988.0</v>
      </c>
      <c r="C247" s="18" t="s">
        <v>457</v>
      </c>
      <c r="D247" s="18">
        <v>12.0</v>
      </c>
      <c r="E247" s="18" t="str">
        <f t="shared" si="1"/>
        <v>12/12/88</v>
      </c>
      <c r="F247" s="18">
        <v>3.0</v>
      </c>
      <c r="G247" s="27">
        <v>2373.3</v>
      </c>
      <c r="H247" s="18" t="s">
        <v>140</v>
      </c>
      <c r="I247" s="18" t="s">
        <v>140</v>
      </c>
      <c r="J247" s="18" t="s">
        <v>146</v>
      </c>
      <c r="K247" s="29">
        <f t="shared" si="2"/>
        <v>34</v>
      </c>
    </row>
    <row r="248" ht="15.75" customHeight="1">
      <c r="A248" s="18" t="s">
        <v>2187</v>
      </c>
      <c r="B248" s="18">
        <v>1999.0</v>
      </c>
      <c r="C248" s="18" t="s">
        <v>457</v>
      </c>
      <c r="D248" s="18">
        <v>17.0</v>
      </c>
      <c r="E248" s="18" t="str">
        <f t="shared" si="1"/>
        <v>17/12/99</v>
      </c>
      <c r="F248" s="18">
        <v>0.0</v>
      </c>
      <c r="G248" s="27">
        <v>2395.17</v>
      </c>
      <c r="H248" s="18" t="s">
        <v>140</v>
      </c>
      <c r="I248" s="18" t="s">
        <v>219</v>
      </c>
      <c r="J248" s="18" t="s">
        <v>2191</v>
      </c>
      <c r="K248" s="29">
        <f t="shared" si="2"/>
        <v>23</v>
      </c>
    </row>
    <row r="249" ht="15.75" customHeight="1">
      <c r="A249" s="18" t="s">
        <v>2195</v>
      </c>
      <c r="B249" s="18">
        <v>1999.0</v>
      </c>
      <c r="C249" s="18" t="s">
        <v>501</v>
      </c>
      <c r="D249" s="18">
        <v>10.0</v>
      </c>
      <c r="E249" s="18" t="str">
        <f t="shared" si="1"/>
        <v>10/08/99</v>
      </c>
      <c r="F249" s="18">
        <v>0.0</v>
      </c>
      <c r="G249" s="27">
        <v>2396.1</v>
      </c>
      <c r="H249" s="18" t="s">
        <v>140</v>
      </c>
      <c r="I249" s="18" t="s">
        <v>219</v>
      </c>
      <c r="J249" s="18" t="s">
        <v>1421</v>
      </c>
      <c r="K249" s="29">
        <f t="shared" si="2"/>
        <v>23</v>
      </c>
    </row>
    <row r="250" ht="15.75" customHeight="1">
      <c r="A250" s="18" t="s">
        <v>2202</v>
      </c>
      <c r="B250" s="18">
        <v>2001.0</v>
      </c>
      <c r="C250" s="18" t="s">
        <v>241</v>
      </c>
      <c r="D250" s="18">
        <v>3.0</v>
      </c>
      <c r="E250" s="18" t="str">
        <f t="shared" si="1"/>
        <v>03/06/01</v>
      </c>
      <c r="F250" s="18">
        <v>0.0</v>
      </c>
      <c r="G250" s="27">
        <v>2404.73</v>
      </c>
      <c r="H250" s="18" t="s">
        <v>140</v>
      </c>
      <c r="I250" s="18" t="s">
        <v>142</v>
      </c>
      <c r="J250" s="18" t="s">
        <v>325</v>
      </c>
      <c r="K250" s="29">
        <f t="shared" si="2"/>
        <v>22</v>
      </c>
    </row>
    <row r="251" ht="15.75" customHeight="1">
      <c r="A251" s="18" t="s">
        <v>2207</v>
      </c>
      <c r="B251" s="18">
        <v>1999.0</v>
      </c>
      <c r="C251" s="18" t="s">
        <v>209</v>
      </c>
      <c r="D251" s="18">
        <v>12.0</v>
      </c>
      <c r="E251" s="18" t="str">
        <f t="shared" si="1"/>
        <v>12/11/99</v>
      </c>
      <c r="F251" s="18">
        <v>1.0</v>
      </c>
      <c r="G251" s="27">
        <v>2416.96</v>
      </c>
      <c r="H251" s="18" t="s">
        <v>140</v>
      </c>
      <c r="I251" s="18" t="s">
        <v>140</v>
      </c>
      <c r="J251" s="18" t="s">
        <v>570</v>
      </c>
      <c r="K251" s="29">
        <f t="shared" si="2"/>
        <v>23</v>
      </c>
    </row>
    <row r="252" ht="15.75" customHeight="1">
      <c r="A252" s="18" t="s">
        <v>2213</v>
      </c>
      <c r="B252" s="18">
        <v>1999.0</v>
      </c>
      <c r="C252" s="18" t="s">
        <v>209</v>
      </c>
      <c r="D252" s="18">
        <v>21.0</v>
      </c>
      <c r="E252" s="18" t="str">
        <f t="shared" si="1"/>
        <v>21/11/99</v>
      </c>
      <c r="F252" s="18">
        <v>1.0</v>
      </c>
      <c r="G252" s="27">
        <v>2438.06</v>
      </c>
      <c r="H252" s="18" t="s">
        <v>140</v>
      </c>
      <c r="I252" s="18" t="s">
        <v>140</v>
      </c>
      <c r="J252" s="18" t="s">
        <v>146</v>
      </c>
      <c r="K252" s="29">
        <f t="shared" si="2"/>
        <v>23</v>
      </c>
    </row>
    <row r="253" ht="15.75" customHeight="1">
      <c r="A253" s="18" t="s">
        <v>2219</v>
      </c>
      <c r="B253" s="18">
        <v>2002.0</v>
      </c>
      <c r="C253" s="18" t="s">
        <v>91</v>
      </c>
      <c r="D253" s="18">
        <v>29.0</v>
      </c>
      <c r="E253" s="18" t="str">
        <f t="shared" si="1"/>
        <v>29/07/02</v>
      </c>
      <c r="F253" s="18">
        <v>0.0</v>
      </c>
      <c r="G253" s="27">
        <v>2457.21</v>
      </c>
      <c r="H253" s="18" t="s">
        <v>140</v>
      </c>
      <c r="I253" s="18" t="s">
        <v>219</v>
      </c>
      <c r="J253" s="18" t="s">
        <v>2024</v>
      </c>
      <c r="K253" s="29">
        <f t="shared" si="2"/>
        <v>20</v>
      </c>
    </row>
    <row r="254" ht="15.75" customHeight="1">
      <c r="A254" s="18" t="s">
        <v>2223</v>
      </c>
      <c r="B254" s="18">
        <v>1998.0</v>
      </c>
      <c r="C254" s="18" t="s">
        <v>209</v>
      </c>
      <c r="D254" s="18">
        <v>19.0</v>
      </c>
      <c r="E254" s="18" t="str">
        <f t="shared" si="1"/>
        <v>19/11/98</v>
      </c>
      <c r="F254" s="18">
        <v>0.0</v>
      </c>
      <c r="G254" s="27">
        <v>2457.5</v>
      </c>
      <c r="H254" s="18" t="s">
        <v>140</v>
      </c>
      <c r="I254" s="18" t="s">
        <v>219</v>
      </c>
      <c r="J254" s="18" t="s">
        <v>570</v>
      </c>
      <c r="K254" s="29">
        <f t="shared" si="2"/>
        <v>24</v>
      </c>
    </row>
    <row r="255" ht="15.75" customHeight="1">
      <c r="A255" s="18" t="s">
        <v>2227</v>
      </c>
      <c r="B255" s="18">
        <v>2002.0</v>
      </c>
      <c r="C255" s="18" t="s">
        <v>91</v>
      </c>
      <c r="D255" s="18">
        <v>11.0</v>
      </c>
      <c r="E255" s="18" t="str">
        <f t="shared" si="1"/>
        <v>11/07/02</v>
      </c>
      <c r="F255" s="18">
        <v>0.0</v>
      </c>
      <c r="G255" s="27">
        <v>2459.72</v>
      </c>
      <c r="H255" s="18" t="s">
        <v>140</v>
      </c>
      <c r="I255" s="18" t="s">
        <v>140</v>
      </c>
      <c r="J255" s="18" t="s">
        <v>2024</v>
      </c>
      <c r="K255" s="29">
        <f t="shared" si="2"/>
        <v>20</v>
      </c>
    </row>
    <row r="256" ht="15.75" customHeight="1">
      <c r="A256" s="18" t="s">
        <v>2232</v>
      </c>
      <c r="B256" s="18">
        <v>1998.0</v>
      </c>
      <c r="C256" s="18" t="s">
        <v>501</v>
      </c>
      <c r="D256" s="18">
        <v>17.0</v>
      </c>
      <c r="E256" s="18" t="str">
        <f t="shared" si="1"/>
        <v>17/08/98</v>
      </c>
      <c r="F256" s="18">
        <v>0.0</v>
      </c>
      <c r="G256" s="27">
        <v>2464.62</v>
      </c>
      <c r="H256" s="18" t="s">
        <v>140</v>
      </c>
      <c r="I256" s="18" t="s">
        <v>142</v>
      </c>
      <c r="J256" s="18" t="s">
        <v>146</v>
      </c>
      <c r="K256" s="29">
        <f t="shared" si="2"/>
        <v>24</v>
      </c>
    </row>
    <row r="257" ht="15.75" customHeight="1">
      <c r="A257" s="18" t="s">
        <v>2237</v>
      </c>
      <c r="B257" s="18">
        <v>1998.0</v>
      </c>
      <c r="C257" s="18" t="s">
        <v>91</v>
      </c>
      <c r="D257" s="18">
        <v>2.0</v>
      </c>
      <c r="E257" s="18" t="str">
        <f t="shared" si="1"/>
        <v>02/07/98</v>
      </c>
      <c r="F257" s="18">
        <v>0.0</v>
      </c>
      <c r="G257" s="27">
        <v>2473.33</v>
      </c>
      <c r="H257" s="18" t="s">
        <v>140</v>
      </c>
      <c r="I257" s="18" t="s">
        <v>142</v>
      </c>
      <c r="J257" s="18" t="s">
        <v>146</v>
      </c>
      <c r="K257" s="29">
        <f t="shared" si="2"/>
        <v>24</v>
      </c>
    </row>
    <row r="258" ht="15.75" customHeight="1">
      <c r="A258" s="18" t="s">
        <v>2244</v>
      </c>
      <c r="B258" s="18">
        <v>1998.0</v>
      </c>
      <c r="C258" s="18" t="s">
        <v>241</v>
      </c>
      <c r="D258" s="18">
        <v>20.0</v>
      </c>
      <c r="E258" s="18" t="str">
        <f t="shared" si="1"/>
        <v>20/06/98</v>
      </c>
      <c r="F258" s="18">
        <v>0.0</v>
      </c>
      <c r="G258" s="27">
        <v>2480.98</v>
      </c>
      <c r="H258" s="18" t="s">
        <v>140</v>
      </c>
      <c r="I258" s="18" t="s">
        <v>140</v>
      </c>
      <c r="J258" s="18" t="s">
        <v>146</v>
      </c>
      <c r="K258" s="29">
        <f t="shared" si="2"/>
        <v>24</v>
      </c>
    </row>
    <row r="259" ht="15.75" customHeight="1">
      <c r="A259" s="18" t="s">
        <v>2248</v>
      </c>
      <c r="B259" s="18">
        <v>1995.0</v>
      </c>
      <c r="C259" s="18" t="s">
        <v>209</v>
      </c>
      <c r="D259" s="18">
        <v>6.0</v>
      </c>
      <c r="E259" s="18" t="str">
        <f t="shared" si="1"/>
        <v>06/11/95</v>
      </c>
      <c r="F259" s="18">
        <v>0.0</v>
      </c>
      <c r="G259" s="27">
        <v>2483.74</v>
      </c>
      <c r="H259" s="18" t="s">
        <v>142</v>
      </c>
      <c r="I259" s="18" t="s">
        <v>140</v>
      </c>
      <c r="J259" s="18" t="s">
        <v>146</v>
      </c>
      <c r="K259" s="29">
        <f t="shared" si="2"/>
        <v>27</v>
      </c>
    </row>
    <row r="260" ht="15.75" customHeight="1">
      <c r="A260" s="18" t="s">
        <v>2254</v>
      </c>
      <c r="B260" s="18">
        <v>1995.0</v>
      </c>
      <c r="C260" s="18" t="s">
        <v>517</v>
      </c>
      <c r="D260" s="18">
        <v>14.0</v>
      </c>
      <c r="E260" s="18" t="str">
        <f t="shared" si="1"/>
        <v>14/10/95</v>
      </c>
      <c r="F260" s="18">
        <v>0.0</v>
      </c>
      <c r="G260" s="27">
        <v>2494.02</v>
      </c>
      <c r="H260" s="18" t="s">
        <v>142</v>
      </c>
      <c r="I260" s="18" t="s">
        <v>219</v>
      </c>
      <c r="J260" s="18" t="s">
        <v>570</v>
      </c>
      <c r="K260" s="29">
        <f t="shared" si="2"/>
        <v>27</v>
      </c>
    </row>
    <row r="261" ht="15.75" customHeight="1">
      <c r="A261" s="18" t="s">
        <v>2258</v>
      </c>
      <c r="B261" s="18">
        <v>1995.0</v>
      </c>
      <c r="C261" s="18" t="s">
        <v>91</v>
      </c>
      <c r="D261" s="18">
        <v>9.0</v>
      </c>
      <c r="E261" s="18" t="str">
        <f t="shared" si="1"/>
        <v>09/07/95</v>
      </c>
      <c r="F261" s="18">
        <v>0.0</v>
      </c>
      <c r="G261" s="27">
        <v>2497.04</v>
      </c>
      <c r="H261" s="18" t="s">
        <v>142</v>
      </c>
      <c r="I261" s="18" t="s">
        <v>142</v>
      </c>
      <c r="J261" s="18" t="s">
        <v>146</v>
      </c>
      <c r="K261" s="29">
        <f t="shared" si="2"/>
        <v>27</v>
      </c>
    </row>
    <row r="262" ht="15.75" customHeight="1">
      <c r="A262" s="18" t="s">
        <v>2263</v>
      </c>
      <c r="B262" s="18">
        <v>1995.0</v>
      </c>
      <c r="C262" s="18" t="s">
        <v>517</v>
      </c>
      <c r="D262" s="18">
        <v>15.0</v>
      </c>
      <c r="E262" s="18" t="str">
        <f t="shared" si="1"/>
        <v>15/10/95</v>
      </c>
      <c r="F262" s="18">
        <v>0.0</v>
      </c>
      <c r="G262" s="27">
        <v>2498.41</v>
      </c>
      <c r="H262" s="18" t="s">
        <v>142</v>
      </c>
      <c r="I262" s="18" t="s">
        <v>142</v>
      </c>
      <c r="J262" s="18" t="s">
        <v>146</v>
      </c>
      <c r="K262" s="29">
        <f t="shared" si="2"/>
        <v>27</v>
      </c>
    </row>
    <row r="263" ht="15.75" customHeight="1">
      <c r="A263" s="18" t="s">
        <v>2267</v>
      </c>
      <c r="B263" s="18">
        <v>2004.0</v>
      </c>
      <c r="C263" s="18" t="s">
        <v>272</v>
      </c>
      <c r="D263" s="18">
        <v>6.0</v>
      </c>
      <c r="E263" s="18" t="str">
        <f t="shared" si="1"/>
        <v>06/09/04</v>
      </c>
      <c r="F263" s="18">
        <v>0.0</v>
      </c>
      <c r="G263" s="27">
        <v>2500.93</v>
      </c>
      <c r="H263" s="18" t="s">
        <v>140</v>
      </c>
      <c r="I263" s="18" t="s">
        <v>140</v>
      </c>
      <c r="J263" s="18" t="s">
        <v>325</v>
      </c>
      <c r="K263" s="29">
        <f t="shared" si="2"/>
        <v>18</v>
      </c>
    </row>
    <row r="264" ht="15.75" customHeight="1">
      <c r="A264" s="18" t="s">
        <v>2272</v>
      </c>
      <c r="B264" s="18">
        <v>1991.0</v>
      </c>
      <c r="C264" s="18" t="s">
        <v>501</v>
      </c>
      <c r="D264" s="18">
        <v>5.0</v>
      </c>
      <c r="E264" s="18" t="str">
        <f t="shared" si="1"/>
        <v>05/08/91</v>
      </c>
      <c r="F264" s="18">
        <v>3.0</v>
      </c>
      <c r="G264" s="27">
        <v>2510.79</v>
      </c>
      <c r="H264" s="18" t="s">
        <v>140</v>
      </c>
      <c r="I264" s="18" t="s">
        <v>219</v>
      </c>
      <c r="J264" s="18" t="s">
        <v>146</v>
      </c>
      <c r="K264" s="29">
        <f t="shared" si="2"/>
        <v>31</v>
      </c>
    </row>
    <row r="265" ht="15.75" customHeight="1">
      <c r="A265" s="18" t="s">
        <v>2279</v>
      </c>
      <c r="B265" s="18">
        <v>1997.0</v>
      </c>
      <c r="C265" s="18" t="s">
        <v>209</v>
      </c>
      <c r="D265" s="18">
        <v>2.0</v>
      </c>
      <c r="E265" s="18" t="str">
        <f t="shared" si="1"/>
        <v>02/11/97</v>
      </c>
      <c r="F265" s="18">
        <v>0.0</v>
      </c>
      <c r="G265" s="27">
        <v>2523.17</v>
      </c>
      <c r="H265" s="18" t="s">
        <v>142</v>
      </c>
      <c r="I265" s="18" t="s">
        <v>219</v>
      </c>
      <c r="J265" s="18" t="s">
        <v>325</v>
      </c>
      <c r="K265" s="29">
        <f t="shared" si="2"/>
        <v>25</v>
      </c>
    </row>
    <row r="266" ht="15.75" customHeight="1">
      <c r="A266" s="18" t="s">
        <v>2282</v>
      </c>
      <c r="B266" s="18">
        <v>2000.0</v>
      </c>
      <c r="C266" s="18" t="s">
        <v>501</v>
      </c>
      <c r="D266" s="18">
        <v>25.0</v>
      </c>
      <c r="E266" s="18" t="str">
        <f t="shared" si="1"/>
        <v>25/08/00</v>
      </c>
      <c r="F266" s="18">
        <v>0.0</v>
      </c>
      <c r="G266" s="27">
        <v>2527.82</v>
      </c>
      <c r="H266" s="18" t="s">
        <v>140</v>
      </c>
      <c r="I266" s="18" t="s">
        <v>142</v>
      </c>
      <c r="J266" s="18" t="s">
        <v>325</v>
      </c>
      <c r="K266" s="29">
        <f t="shared" si="2"/>
        <v>22</v>
      </c>
    </row>
    <row r="267" ht="15.75" customHeight="1">
      <c r="A267" s="18" t="s">
        <v>2287</v>
      </c>
      <c r="B267" s="18">
        <v>1997.0</v>
      </c>
      <c r="C267" s="18" t="s">
        <v>91</v>
      </c>
      <c r="D267" s="18">
        <v>28.0</v>
      </c>
      <c r="E267" s="18" t="str">
        <f t="shared" si="1"/>
        <v>28/07/97</v>
      </c>
      <c r="F267" s="18">
        <v>0.0</v>
      </c>
      <c r="G267" s="27">
        <v>2534.39</v>
      </c>
      <c r="H267" s="18" t="s">
        <v>142</v>
      </c>
      <c r="I267" s="18" t="s">
        <v>142</v>
      </c>
      <c r="J267" s="18" t="s">
        <v>325</v>
      </c>
      <c r="K267" s="29">
        <f t="shared" si="2"/>
        <v>25</v>
      </c>
    </row>
    <row r="268" ht="15.75" customHeight="1">
      <c r="A268" s="18" t="s">
        <v>2291</v>
      </c>
      <c r="B268" s="18">
        <v>1990.0</v>
      </c>
      <c r="C268" s="18" t="s">
        <v>517</v>
      </c>
      <c r="D268" s="18">
        <v>1.0</v>
      </c>
      <c r="E268" s="18" t="str">
        <f t="shared" si="1"/>
        <v>01/10/90</v>
      </c>
      <c r="F268" s="18">
        <v>3.0</v>
      </c>
      <c r="G268" s="27">
        <v>2540.39</v>
      </c>
      <c r="H268" s="18" t="s">
        <v>140</v>
      </c>
      <c r="I268" s="18" t="s">
        <v>140</v>
      </c>
      <c r="J268" s="18" t="s">
        <v>146</v>
      </c>
      <c r="K268" s="29">
        <f t="shared" si="2"/>
        <v>32</v>
      </c>
    </row>
    <row r="269" ht="15.75" customHeight="1">
      <c r="A269" s="18" t="s">
        <v>2298</v>
      </c>
      <c r="B269" s="18">
        <v>1991.0</v>
      </c>
      <c r="C269" s="18" t="s">
        <v>209</v>
      </c>
      <c r="D269" s="18">
        <v>17.0</v>
      </c>
      <c r="E269" s="18" t="str">
        <f t="shared" si="1"/>
        <v>17/11/91</v>
      </c>
      <c r="F269" s="18">
        <v>3.0</v>
      </c>
      <c r="G269" s="27">
        <v>2545.68</v>
      </c>
      <c r="H269" s="18" t="s">
        <v>140</v>
      </c>
      <c r="I269" s="18" t="s">
        <v>219</v>
      </c>
      <c r="J269" s="18" t="s">
        <v>146</v>
      </c>
      <c r="K269" s="29">
        <f t="shared" si="2"/>
        <v>31</v>
      </c>
    </row>
    <row r="270" ht="15.75" customHeight="1">
      <c r="A270" s="18" t="s">
        <v>2302</v>
      </c>
      <c r="B270" s="18">
        <v>2002.0</v>
      </c>
      <c r="C270" s="18" t="s">
        <v>517</v>
      </c>
      <c r="D270" s="18">
        <v>11.0</v>
      </c>
      <c r="E270" s="18" t="str">
        <f t="shared" si="1"/>
        <v>11/10/02</v>
      </c>
      <c r="F270" s="18">
        <v>2.0</v>
      </c>
      <c r="G270" s="27">
        <v>2566.47</v>
      </c>
      <c r="H270" s="18" t="s">
        <v>140</v>
      </c>
      <c r="I270" s="18" t="s">
        <v>142</v>
      </c>
      <c r="J270" s="18" t="s">
        <v>146</v>
      </c>
      <c r="K270" s="29">
        <f t="shared" si="2"/>
        <v>20</v>
      </c>
    </row>
    <row r="271" ht="15.75" customHeight="1">
      <c r="A271" s="18" t="s">
        <v>2310</v>
      </c>
      <c r="B271" s="18">
        <v>2002.0</v>
      </c>
      <c r="C271" s="18" t="s">
        <v>91</v>
      </c>
      <c r="D271" s="18">
        <v>20.0</v>
      </c>
      <c r="E271" s="18" t="str">
        <f t="shared" si="1"/>
        <v>20/07/02</v>
      </c>
      <c r="F271" s="18">
        <v>0.0</v>
      </c>
      <c r="G271" s="27">
        <v>2585.04</v>
      </c>
      <c r="H271" s="18" t="s">
        <v>140</v>
      </c>
      <c r="I271" s="18" t="s">
        <v>140</v>
      </c>
      <c r="J271" s="18" t="s">
        <v>2314</v>
      </c>
      <c r="K271" s="29">
        <f t="shared" si="2"/>
        <v>20</v>
      </c>
    </row>
    <row r="272" ht="15.75" customHeight="1">
      <c r="A272" s="18" t="s">
        <v>2318</v>
      </c>
      <c r="B272" s="18">
        <v>2001.0</v>
      </c>
      <c r="C272" s="18" t="s">
        <v>517</v>
      </c>
      <c r="D272" s="18">
        <v>15.0</v>
      </c>
      <c r="E272" s="18" t="str">
        <f t="shared" si="1"/>
        <v>15/10/01</v>
      </c>
      <c r="F272" s="18">
        <v>1.0</v>
      </c>
      <c r="G272" s="27">
        <v>2585.27</v>
      </c>
      <c r="H272" s="18" t="s">
        <v>140</v>
      </c>
      <c r="I272" s="18" t="s">
        <v>142</v>
      </c>
      <c r="J272" s="18" t="s">
        <v>570</v>
      </c>
      <c r="K272" s="29">
        <f t="shared" si="2"/>
        <v>21</v>
      </c>
    </row>
    <row r="273" ht="15.75" customHeight="1">
      <c r="A273" s="18" t="s">
        <v>2323</v>
      </c>
      <c r="B273" s="18">
        <v>2001.0</v>
      </c>
      <c r="C273" s="18" t="s">
        <v>91</v>
      </c>
      <c r="D273" s="18">
        <v>28.0</v>
      </c>
      <c r="E273" s="18" t="str">
        <f t="shared" si="1"/>
        <v>28/07/01</v>
      </c>
      <c r="F273" s="18">
        <v>0.0</v>
      </c>
      <c r="G273" s="27">
        <v>2585.85</v>
      </c>
      <c r="H273" s="18" t="s">
        <v>140</v>
      </c>
      <c r="I273" s="18" t="s">
        <v>140</v>
      </c>
      <c r="J273" s="18" t="s">
        <v>2024</v>
      </c>
      <c r="K273" s="29">
        <f t="shared" si="2"/>
        <v>21</v>
      </c>
    </row>
    <row r="274" ht="15.75" customHeight="1">
      <c r="A274" s="18" t="s">
        <v>2329</v>
      </c>
      <c r="B274" s="18">
        <v>2001.0</v>
      </c>
      <c r="C274" s="18" t="s">
        <v>501</v>
      </c>
      <c r="D274" s="18">
        <v>26.0</v>
      </c>
      <c r="E274" s="18" t="str">
        <f t="shared" si="1"/>
        <v>26/08/01</v>
      </c>
      <c r="F274" s="18">
        <v>1.0</v>
      </c>
      <c r="G274" s="27">
        <v>2597.78</v>
      </c>
      <c r="H274" s="18" t="s">
        <v>140</v>
      </c>
      <c r="I274" s="18" t="s">
        <v>219</v>
      </c>
      <c r="J274" s="18" t="s">
        <v>570</v>
      </c>
      <c r="K274" s="29">
        <f t="shared" si="2"/>
        <v>21</v>
      </c>
    </row>
    <row r="275" ht="15.75" customHeight="1">
      <c r="A275" s="18" t="s">
        <v>2334</v>
      </c>
      <c r="B275" s="18">
        <v>1997.0</v>
      </c>
      <c r="C275" s="18" t="s">
        <v>501</v>
      </c>
      <c r="D275" s="18">
        <v>26.0</v>
      </c>
      <c r="E275" s="18" t="str">
        <f t="shared" si="1"/>
        <v>26/08/97</v>
      </c>
      <c r="F275" s="18">
        <v>0.0</v>
      </c>
      <c r="G275" s="27">
        <v>2632.99</v>
      </c>
      <c r="H275" s="18" t="s">
        <v>140</v>
      </c>
      <c r="I275" s="18" t="s">
        <v>219</v>
      </c>
      <c r="J275" s="18" t="s">
        <v>570</v>
      </c>
      <c r="K275" s="29">
        <f t="shared" si="2"/>
        <v>25</v>
      </c>
    </row>
    <row r="276" ht="15.75" customHeight="1">
      <c r="A276" s="18" t="s">
        <v>2341</v>
      </c>
      <c r="B276" s="18">
        <v>2000.0</v>
      </c>
      <c r="C276" s="18" t="s">
        <v>241</v>
      </c>
      <c r="D276" s="18">
        <v>24.0</v>
      </c>
      <c r="E276" s="18" t="str">
        <f t="shared" si="1"/>
        <v>24/06/00</v>
      </c>
      <c r="F276" s="18">
        <v>1.0</v>
      </c>
      <c r="G276" s="27">
        <v>2639.04</v>
      </c>
      <c r="H276" s="18" t="s">
        <v>140</v>
      </c>
      <c r="I276" s="18" t="s">
        <v>140</v>
      </c>
      <c r="J276" s="18" t="s">
        <v>325</v>
      </c>
      <c r="K276" s="29">
        <f t="shared" si="2"/>
        <v>22</v>
      </c>
    </row>
    <row r="277" ht="15.75" customHeight="1">
      <c r="A277" s="18" t="s">
        <v>2346</v>
      </c>
      <c r="B277" s="18">
        <v>2000.0</v>
      </c>
      <c r="C277" s="18" t="s">
        <v>457</v>
      </c>
      <c r="D277" s="18">
        <v>9.0</v>
      </c>
      <c r="E277" s="18" t="str">
        <f t="shared" si="1"/>
        <v>09/12/00</v>
      </c>
      <c r="F277" s="18">
        <v>1.0</v>
      </c>
      <c r="G277" s="27">
        <v>2643.27</v>
      </c>
      <c r="H277" s="18" t="s">
        <v>140</v>
      </c>
      <c r="I277" s="18" t="s">
        <v>219</v>
      </c>
      <c r="J277" s="18" t="s">
        <v>325</v>
      </c>
      <c r="K277" s="29">
        <f t="shared" si="2"/>
        <v>22</v>
      </c>
    </row>
    <row r="278" ht="15.75" customHeight="1">
      <c r="A278" s="18" t="s">
        <v>2352</v>
      </c>
      <c r="B278" s="18">
        <v>1996.0</v>
      </c>
      <c r="C278" s="18" t="s">
        <v>501</v>
      </c>
      <c r="D278" s="18">
        <v>5.0</v>
      </c>
      <c r="E278" s="18" t="str">
        <f t="shared" si="1"/>
        <v>05/08/96</v>
      </c>
      <c r="F278" s="18">
        <v>0.0</v>
      </c>
      <c r="G278" s="27">
        <v>2680.95</v>
      </c>
      <c r="H278" s="18" t="s">
        <v>142</v>
      </c>
      <c r="I278" s="18" t="s">
        <v>140</v>
      </c>
      <c r="J278" s="18" t="s">
        <v>325</v>
      </c>
      <c r="K278" s="29">
        <f t="shared" si="2"/>
        <v>26</v>
      </c>
    </row>
    <row r="279" ht="15.75" customHeight="1">
      <c r="A279" s="18" t="s">
        <v>2359</v>
      </c>
      <c r="B279" s="18">
        <v>1994.0</v>
      </c>
      <c r="C279" s="18" t="s">
        <v>272</v>
      </c>
      <c r="D279" s="18">
        <v>17.0</v>
      </c>
      <c r="E279" s="18" t="str">
        <f t="shared" si="1"/>
        <v>17/09/94</v>
      </c>
      <c r="F279" s="18">
        <v>0.0</v>
      </c>
      <c r="G279" s="27">
        <v>2684.69</v>
      </c>
      <c r="H279" s="18" t="s">
        <v>140</v>
      </c>
      <c r="I279" s="18" t="s">
        <v>140</v>
      </c>
      <c r="J279" s="18" t="s">
        <v>146</v>
      </c>
      <c r="K279" s="29">
        <f t="shared" si="2"/>
        <v>28</v>
      </c>
    </row>
    <row r="280" ht="15.75" customHeight="1">
      <c r="A280" s="18" t="s">
        <v>2368</v>
      </c>
      <c r="B280" s="18">
        <v>1994.0</v>
      </c>
      <c r="C280" s="18" t="s">
        <v>517</v>
      </c>
      <c r="D280" s="18">
        <v>2.0</v>
      </c>
      <c r="E280" s="18" t="str">
        <f t="shared" si="1"/>
        <v>02/10/94</v>
      </c>
      <c r="F280" s="18">
        <v>0.0</v>
      </c>
      <c r="G280" s="27">
        <v>2689.5</v>
      </c>
      <c r="H280" s="18" t="s">
        <v>142</v>
      </c>
      <c r="I280" s="18" t="s">
        <v>140</v>
      </c>
      <c r="J280" s="18" t="s">
        <v>146</v>
      </c>
      <c r="K280" s="29">
        <f t="shared" si="2"/>
        <v>28</v>
      </c>
    </row>
    <row r="281" ht="15.75" customHeight="1">
      <c r="A281" s="18" t="s">
        <v>2373</v>
      </c>
      <c r="B281" s="18">
        <v>1999.0</v>
      </c>
      <c r="C281" s="18" t="s">
        <v>241</v>
      </c>
      <c r="D281" s="18">
        <v>11.0</v>
      </c>
      <c r="E281" s="18" t="str">
        <f t="shared" si="1"/>
        <v>11/06/99</v>
      </c>
      <c r="F281" s="18">
        <v>0.0</v>
      </c>
      <c r="G281" s="27">
        <v>2690.11</v>
      </c>
      <c r="H281" s="18" t="s">
        <v>140</v>
      </c>
      <c r="I281" s="18" t="s">
        <v>140</v>
      </c>
      <c r="J281" s="18" t="s">
        <v>325</v>
      </c>
      <c r="K281" s="29">
        <f t="shared" si="2"/>
        <v>23</v>
      </c>
    </row>
    <row r="282" ht="15.75" customHeight="1">
      <c r="A282" s="18" t="s">
        <v>2380</v>
      </c>
      <c r="B282" s="18">
        <v>1996.0</v>
      </c>
      <c r="C282" s="18" t="s">
        <v>241</v>
      </c>
      <c r="D282" s="18">
        <v>13.0</v>
      </c>
      <c r="E282" s="18" t="str">
        <f t="shared" si="1"/>
        <v>13/06/96</v>
      </c>
      <c r="F282" s="18">
        <v>0.0</v>
      </c>
      <c r="G282" s="27">
        <v>2699.57</v>
      </c>
      <c r="H282" s="18" t="s">
        <v>140</v>
      </c>
      <c r="I282" s="18" t="s">
        <v>219</v>
      </c>
      <c r="J282" s="18" t="s">
        <v>325</v>
      </c>
      <c r="K282" s="29">
        <f t="shared" si="2"/>
        <v>26</v>
      </c>
    </row>
    <row r="283" ht="15.75" customHeight="1">
      <c r="A283" s="18" t="s">
        <v>2386</v>
      </c>
      <c r="B283" s="18">
        <v>2003.0</v>
      </c>
      <c r="C283" s="18" t="s">
        <v>91</v>
      </c>
      <c r="D283" s="18">
        <v>17.0</v>
      </c>
      <c r="E283" s="18" t="str">
        <f t="shared" si="1"/>
        <v>17/07/03</v>
      </c>
      <c r="F283" s="18">
        <v>1.0</v>
      </c>
      <c r="G283" s="27">
        <v>2709.11</v>
      </c>
      <c r="H283" s="18" t="s">
        <v>140</v>
      </c>
      <c r="I283" s="18" t="s">
        <v>140</v>
      </c>
      <c r="J283" s="18" t="s">
        <v>325</v>
      </c>
      <c r="K283" s="29">
        <f t="shared" si="2"/>
        <v>19</v>
      </c>
    </row>
    <row r="284" ht="15.75" customHeight="1">
      <c r="A284" s="18" t="s">
        <v>2391</v>
      </c>
      <c r="B284" s="18">
        <v>2003.0</v>
      </c>
      <c r="C284" s="18" t="s">
        <v>209</v>
      </c>
      <c r="D284" s="18">
        <v>21.0</v>
      </c>
      <c r="E284" s="18" t="str">
        <f t="shared" si="1"/>
        <v>21/11/03</v>
      </c>
      <c r="F284" s="18">
        <v>1.0</v>
      </c>
      <c r="G284" s="27">
        <v>2709.24</v>
      </c>
      <c r="H284" s="18" t="s">
        <v>140</v>
      </c>
      <c r="I284" s="18" t="s">
        <v>140</v>
      </c>
      <c r="J284" s="18" t="s">
        <v>325</v>
      </c>
      <c r="K284" s="29">
        <f t="shared" si="2"/>
        <v>19</v>
      </c>
    </row>
    <row r="285" ht="15.75" customHeight="1">
      <c r="A285" s="18" t="s">
        <v>2395</v>
      </c>
      <c r="B285" s="18">
        <v>2003.0</v>
      </c>
      <c r="C285" s="18" t="s">
        <v>457</v>
      </c>
      <c r="D285" s="18">
        <v>1.0</v>
      </c>
      <c r="E285" s="18" t="str">
        <f t="shared" si="1"/>
        <v>01/12/03</v>
      </c>
      <c r="F285" s="18">
        <v>1.0</v>
      </c>
      <c r="G285" s="27">
        <v>2710.83</v>
      </c>
      <c r="H285" s="18" t="s">
        <v>140</v>
      </c>
      <c r="I285" s="18" t="s">
        <v>142</v>
      </c>
      <c r="J285" s="18" t="s">
        <v>325</v>
      </c>
      <c r="K285" s="29">
        <f t="shared" si="2"/>
        <v>19</v>
      </c>
    </row>
    <row r="286" ht="15.75" customHeight="1">
      <c r="A286" s="18" t="s">
        <v>2399</v>
      </c>
      <c r="B286" s="18">
        <v>2003.0</v>
      </c>
      <c r="C286" s="18" t="s">
        <v>501</v>
      </c>
      <c r="D286" s="18">
        <v>6.0</v>
      </c>
      <c r="E286" s="18" t="str">
        <f t="shared" si="1"/>
        <v>06/08/03</v>
      </c>
      <c r="F286" s="18">
        <v>1.0</v>
      </c>
      <c r="G286" s="27">
        <v>2719.28</v>
      </c>
      <c r="H286" s="18" t="s">
        <v>140</v>
      </c>
      <c r="I286" s="18" t="s">
        <v>140</v>
      </c>
      <c r="J286" s="18" t="s">
        <v>325</v>
      </c>
      <c r="K286" s="29">
        <f t="shared" si="2"/>
        <v>19</v>
      </c>
    </row>
    <row r="287" ht="15.75" customHeight="1">
      <c r="A287" s="18" t="s">
        <v>2408</v>
      </c>
      <c r="B287" s="18">
        <v>1997.0</v>
      </c>
      <c r="C287" s="18" t="s">
        <v>517</v>
      </c>
      <c r="D287" s="18">
        <v>30.0</v>
      </c>
      <c r="E287" s="18" t="str">
        <f t="shared" si="1"/>
        <v>30/10/97</v>
      </c>
      <c r="F287" s="18">
        <v>0.0</v>
      </c>
      <c r="G287" s="27">
        <v>2721.32</v>
      </c>
      <c r="H287" s="18" t="s">
        <v>219</v>
      </c>
      <c r="I287" s="18" t="s">
        <v>142</v>
      </c>
      <c r="J287" s="18" t="s">
        <v>2191</v>
      </c>
      <c r="K287" s="29">
        <f t="shared" si="2"/>
        <v>25</v>
      </c>
    </row>
    <row r="288" ht="15.75" customHeight="1">
      <c r="A288" s="18" t="s">
        <v>2417</v>
      </c>
      <c r="B288" s="18">
        <v>1988.0</v>
      </c>
      <c r="C288" s="18" t="s">
        <v>501</v>
      </c>
      <c r="D288" s="18">
        <v>20.0</v>
      </c>
      <c r="E288" s="18" t="str">
        <f t="shared" si="1"/>
        <v>20/08/88</v>
      </c>
      <c r="F288" s="18">
        <v>3.0</v>
      </c>
      <c r="G288" s="27">
        <v>2726.06</v>
      </c>
      <c r="H288" s="18" t="s">
        <v>140</v>
      </c>
      <c r="I288" s="18" t="s">
        <v>140</v>
      </c>
      <c r="J288" s="18" t="s">
        <v>146</v>
      </c>
      <c r="K288" s="29">
        <f t="shared" si="2"/>
        <v>34</v>
      </c>
    </row>
    <row r="289" ht="15.75" customHeight="1">
      <c r="A289" s="18" t="s">
        <v>2424</v>
      </c>
      <c r="B289" s="18">
        <v>1997.0</v>
      </c>
      <c r="C289" s="18" t="s">
        <v>517</v>
      </c>
      <c r="D289" s="18">
        <v>6.0</v>
      </c>
      <c r="E289" s="18" t="str">
        <f t="shared" si="1"/>
        <v>06/10/97</v>
      </c>
      <c r="F289" s="18">
        <v>0.0</v>
      </c>
      <c r="G289" s="27">
        <v>2727.4</v>
      </c>
      <c r="H289" s="18" t="s">
        <v>142</v>
      </c>
      <c r="I289" s="18" t="s">
        <v>142</v>
      </c>
      <c r="J289" s="18" t="s">
        <v>1427</v>
      </c>
      <c r="K289" s="29">
        <f t="shared" si="2"/>
        <v>25</v>
      </c>
    </row>
    <row r="290" ht="15.75" customHeight="1">
      <c r="A290" s="18" t="s">
        <v>2429</v>
      </c>
      <c r="B290" s="18">
        <v>2003.0</v>
      </c>
      <c r="C290" s="18" t="s">
        <v>457</v>
      </c>
      <c r="D290" s="18">
        <v>3.0</v>
      </c>
      <c r="E290" s="18" t="str">
        <f t="shared" si="1"/>
        <v>03/12/03</v>
      </c>
      <c r="F290" s="18">
        <v>1.0</v>
      </c>
      <c r="G290" s="27">
        <v>2730.11</v>
      </c>
      <c r="H290" s="18" t="s">
        <v>140</v>
      </c>
      <c r="I290" s="18" t="s">
        <v>142</v>
      </c>
      <c r="J290" s="18" t="s">
        <v>325</v>
      </c>
      <c r="K290" s="29">
        <f t="shared" si="2"/>
        <v>19</v>
      </c>
    </row>
    <row r="291" ht="15.75" customHeight="1">
      <c r="A291" s="18" t="s">
        <v>2434</v>
      </c>
      <c r="B291" s="18">
        <v>2000.0</v>
      </c>
      <c r="C291" s="18" t="s">
        <v>457</v>
      </c>
      <c r="D291" s="18">
        <v>17.0</v>
      </c>
      <c r="E291" s="18" t="str">
        <f t="shared" si="1"/>
        <v>17/12/00</v>
      </c>
      <c r="F291" s="18">
        <v>0.0</v>
      </c>
      <c r="G291" s="27">
        <v>2731.91</v>
      </c>
      <c r="H291" s="18" t="s">
        <v>140</v>
      </c>
      <c r="I291" s="18" t="s">
        <v>142</v>
      </c>
      <c r="J291" s="18" t="s">
        <v>2024</v>
      </c>
      <c r="K291" s="29">
        <f t="shared" si="2"/>
        <v>22</v>
      </c>
    </row>
    <row r="292" ht="15.75" customHeight="1">
      <c r="A292" s="18" t="s">
        <v>2442</v>
      </c>
      <c r="B292" s="18">
        <v>2000.0</v>
      </c>
      <c r="C292" s="18" t="s">
        <v>517</v>
      </c>
      <c r="D292" s="18">
        <v>3.0</v>
      </c>
      <c r="E292" s="18" t="str">
        <f t="shared" si="1"/>
        <v>03/10/00</v>
      </c>
      <c r="F292" s="18">
        <v>0.0</v>
      </c>
      <c r="G292" s="27">
        <v>2741.95</v>
      </c>
      <c r="H292" s="18" t="s">
        <v>140</v>
      </c>
      <c r="I292" s="18" t="s">
        <v>142</v>
      </c>
      <c r="J292" s="18" t="s">
        <v>2024</v>
      </c>
      <c r="K292" s="29">
        <f t="shared" si="2"/>
        <v>22</v>
      </c>
    </row>
    <row r="293" ht="15.75" customHeight="1">
      <c r="A293" s="18" t="s">
        <v>2449</v>
      </c>
      <c r="B293" s="18">
        <v>2000.0</v>
      </c>
      <c r="C293" s="18" t="s">
        <v>517</v>
      </c>
      <c r="D293" s="18">
        <v>11.0</v>
      </c>
      <c r="E293" s="18" t="str">
        <f t="shared" si="1"/>
        <v>11/10/00</v>
      </c>
      <c r="F293" s="18">
        <v>0.0</v>
      </c>
      <c r="G293" s="27">
        <v>2755.02</v>
      </c>
      <c r="H293" s="18" t="s">
        <v>140</v>
      </c>
      <c r="I293" s="18" t="s">
        <v>219</v>
      </c>
      <c r="J293" s="18" t="s">
        <v>2024</v>
      </c>
      <c r="K293" s="29">
        <f t="shared" si="2"/>
        <v>22</v>
      </c>
    </row>
    <row r="294" ht="15.75" customHeight="1">
      <c r="A294" s="18" t="s">
        <v>2454</v>
      </c>
      <c r="B294" s="18">
        <v>1997.0</v>
      </c>
      <c r="C294" s="18" t="s">
        <v>501</v>
      </c>
      <c r="D294" s="18">
        <v>10.0</v>
      </c>
      <c r="E294" s="18" t="str">
        <f t="shared" si="1"/>
        <v>10/08/97</v>
      </c>
      <c r="F294" s="18">
        <v>0.0</v>
      </c>
      <c r="G294" s="27">
        <v>2758.99</v>
      </c>
      <c r="H294" s="18" t="s">
        <v>140</v>
      </c>
      <c r="I294" s="18" t="s">
        <v>219</v>
      </c>
      <c r="J294" s="18" t="s">
        <v>325</v>
      </c>
      <c r="K294" s="29">
        <f t="shared" si="2"/>
        <v>25</v>
      </c>
    </row>
    <row r="295" ht="15.75" customHeight="1">
      <c r="A295" s="18" t="s">
        <v>2458</v>
      </c>
      <c r="B295" s="18">
        <v>2004.0</v>
      </c>
      <c r="C295" s="18" t="s">
        <v>209</v>
      </c>
      <c r="D295" s="18">
        <v>14.0</v>
      </c>
      <c r="E295" s="18" t="str">
        <f t="shared" si="1"/>
        <v>14/11/04</v>
      </c>
      <c r="F295" s="18">
        <v>0.0</v>
      </c>
      <c r="G295" s="27">
        <v>2773.46</v>
      </c>
      <c r="H295" s="18" t="s">
        <v>140</v>
      </c>
      <c r="I295" s="18" t="s">
        <v>219</v>
      </c>
      <c r="J295" s="18" t="s">
        <v>2314</v>
      </c>
      <c r="K295" s="29">
        <f t="shared" si="2"/>
        <v>18</v>
      </c>
    </row>
    <row r="296" ht="15.75" customHeight="1">
      <c r="A296" s="20">
        <v>0.0</v>
      </c>
      <c r="B296" s="18">
        <v>1999.0</v>
      </c>
      <c r="C296" s="18" t="s">
        <v>241</v>
      </c>
      <c r="D296" s="18">
        <v>9.0</v>
      </c>
      <c r="E296" s="18" t="str">
        <f t="shared" si="1"/>
        <v>09/06/99</v>
      </c>
      <c r="F296" s="18">
        <v>1.0</v>
      </c>
      <c r="G296" s="27">
        <v>2775.19</v>
      </c>
      <c r="H296" s="18" t="s">
        <v>140</v>
      </c>
      <c r="I296" s="18" t="s">
        <v>219</v>
      </c>
      <c r="J296" s="18" t="s">
        <v>325</v>
      </c>
      <c r="K296" s="29">
        <f t="shared" si="2"/>
        <v>23</v>
      </c>
    </row>
    <row r="297" ht="15.75" customHeight="1">
      <c r="A297" s="18" t="s">
        <v>2467</v>
      </c>
      <c r="B297" s="18">
        <v>1999.0</v>
      </c>
      <c r="C297" s="18" t="s">
        <v>501</v>
      </c>
      <c r="D297" s="18">
        <v>29.0</v>
      </c>
      <c r="E297" s="18" t="str">
        <f t="shared" si="1"/>
        <v>29/08/99</v>
      </c>
      <c r="F297" s="18">
        <v>1.0</v>
      </c>
      <c r="G297" s="27">
        <v>2775.19</v>
      </c>
      <c r="H297" s="18" t="s">
        <v>140</v>
      </c>
      <c r="I297" s="18" t="s">
        <v>219</v>
      </c>
      <c r="J297" s="18" t="s">
        <v>325</v>
      </c>
      <c r="K297" s="29">
        <f t="shared" si="2"/>
        <v>23</v>
      </c>
    </row>
    <row r="298" ht="15.75" customHeight="1">
      <c r="A298" s="18" t="s">
        <v>2474</v>
      </c>
      <c r="B298" s="18">
        <v>1999.0</v>
      </c>
      <c r="C298" s="18" t="s">
        <v>457</v>
      </c>
      <c r="D298" s="18">
        <v>24.0</v>
      </c>
      <c r="E298" s="18" t="str">
        <f t="shared" si="1"/>
        <v>24/12/99</v>
      </c>
      <c r="F298" s="18">
        <v>1.0</v>
      </c>
      <c r="G298" s="27">
        <v>2789.06</v>
      </c>
      <c r="H298" s="18" t="s">
        <v>140</v>
      </c>
      <c r="I298" s="18" t="s">
        <v>142</v>
      </c>
      <c r="J298" s="18" t="s">
        <v>325</v>
      </c>
      <c r="K298" s="29">
        <f t="shared" si="2"/>
        <v>23</v>
      </c>
    </row>
    <row r="299" ht="15.75" customHeight="1">
      <c r="A299" s="18" t="s">
        <v>2478</v>
      </c>
      <c r="B299" s="18">
        <v>2004.0</v>
      </c>
      <c r="C299" s="18" t="s">
        <v>501</v>
      </c>
      <c r="D299" s="18">
        <v>4.0</v>
      </c>
      <c r="E299" s="18" t="str">
        <f t="shared" si="1"/>
        <v>04/08/04</v>
      </c>
      <c r="F299" s="18">
        <v>2.0</v>
      </c>
      <c r="G299" s="27">
        <v>2801.26</v>
      </c>
      <c r="H299" s="18" t="s">
        <v>140</v>
      </c>
      <c r="I299" s="18" t="s">
        <v>142</v>
      </c>
      <c r="J299" s="18" t="s">
        <v>146</v>
      </c>
      <c r="K299" s="29">
        <f t="shared" si="2"/>
        <v>18</v>
      </c>
    </row>
    <row r="300" ht="15.75" customHeight="1">
      <c r="A300" s="18" t="s">
        <v>2482</v>
      </c>
      <c r="B300" s="18">
        <v>2003.0</v>
      </c>
      <c r="C300" s="18" t="s">
        <v>272</v>
      </c>
      <c r="D300" s="18">
        <v>23.0</v>
      </c>
      <c r="E300" s="18" t="str">
        <f t="shared" si="1"/>
        <v>23/09/03</v>
      </c>
      <c r="F300" s="18">
        <v>2.0</v>
      </c>
      <c r="G300" s="27">
        <v>2803.7</v>
      </c>
      <c r="H300" s="18" t="s">
        <v>140</v>
      </c>
      <c r="I300" s="18" t="s">
        <v>219</v>
      </c>
      <c r="J300" s="18" t="s">
        <v>325</v>
      </c>
      <c r="K300" s="29">
        <f t="shared" si="2"/>
        <v>19</v>
      </c>
    </row>
    <row r="301" ht="15.75" customHeight="1">
      <c r="A301" s="18" t="s">
        <v>2487</v>
      </c>
      <c r="B301" s="18">
        <v>2000.0</v>
      </c>
      <c r="C301" s="18" t="s">
        <v>517</v>
      </c>
      <c r="D301" s="18">
        <v>1.0</v>
      </c>
      <c r="E301" s="18" t="str">
        <f t="shared" si="1"/>
        <v>01/10/00</v>
      </c>
      <c r="F301" s="18">
        <v>0.0</v>
      </c>
      <c r="G301" s="27">
        <v>2819.51</v>
      </c>
      <c r="H301" s="18" t="s">
        <v>140</v>
      </c>
      <c r="I301" s="18" t="s">
        <v>142</v>
      </c>
      <c r="J301" s="18" t="s">
        <v>570</v>
      </c>
      <c r="K301" s="29">
        <f t="shared" si="2"/>
        <v>22</v>
      </c>
    </row>
    <row r="302" ht="15.75" customHeight="1">
      <c r="A302" s="18" t="s">
        <v>2493</v>
      </c>
      <c r="B302" s="18">
        <v>1998.0</v>
      </c>
      <c r="C302" s="18" t="s">
        <v>209</v>
      </c>
      <c r="D302" s="18">
        <v>15.0</v>
      </c>
      <c r="E302" s="18" t="str">
        <f t="shared" si="1"/>
        <v>15/11/98</v>
      </c>
      <c r="F302" s="18">
        <v>0.0</v>
      </c>
      <c r="G302" s="27">
        <v>2842.76</v>
      </c>
      <c r="H302" s="18" t="s">
        <v>140</v>
      </c>
      <c r="I302" s="18" t="s">
        <v>142</v>
      </c>
      <c r="J302" s="18" t="s">
        <v>325</v>
      </c>
      <c r="K302" s="29">
        <f t="shared" si="2"/>
        <v>24</v>
      </c>
    </row>
    <row r="303" ht="15.75" customHeight="1">
      <c r="A303" s="18" t="s">
        <v>2499</v>
      </c>
      <c r="B303" s="18">
        <v>1998.0</v>
      </c>
      <c r="C303" s="18" t="s">
        <v>241</v>
      </c>
      <c r="D303" s="18">
        <v>17.0</v>
      </c>
      <c r="E303" s="18" t="str">
        <f t="shared" si="1"/>
        <v>17/06/98</v>
      </c>
      <c r="F303" s="18">
        <v>0.0</v>
      </c>
      <c r="G303" s="27">
        <v>2850.68</v>
      </c>
      <c r="H303" s="18" t="s">
        <v>140</v>
      </c>
      <c r="I303" s="18" t="s">
        <v>142</v>
      </c>
      <c r="J303" s="18" t="s">
        <v>325</v>
      </c>
      <c r="K303" s="29">
        <f t="shared" si="2"/>
        <v>24</v>
      </c>
    </row>
    <row r="304" ht="15.75" customHeight="1">
      <c r="A304" s="18" t="s">
        <v>2505</v>
      </c>
      <c r="B304" s="18">
        <v>1998.0</v>
      </c>
      <c r="C304" s="18" t="s">
        <v>272</v>
      </c>
      <c r="D304" s="18">
        <v>4.0</v>
      </c>
      <c r="E304" s="18" t="str">
        <f t="shared" si="1"/>
        <v>04/09/98</v>
      </c>
      <c r="F304" s="18">
        <v>0.0</v>
      </c>
      <c r="G304" s="27">
        <v>2855.44</v>
      </c>
      <c r="H304" s="18" t="s">
        <v>140</v>
      </c>
      <c r="I304" s="18" t="s">
        <v>142</v>
      </c>
      <c r="J304" s="18" t="s">
        <v>325</v>
      </c>
      <c r="K304" s="29">
        <f t="shared" si="2"/>
        <v>24</v>
      </c>
    </row>
    <row r="305" ht="15.75" customHeight="1">
      <c r="A305" s="18" t="s">
        <v>2509</v>
      </c>
      <c r="B305" s="18">
        <v>1993.0</v>
      </c>
      <c r="C305" s="18" t="s">
        <v>209</v>
      </c>
      <c r="D305" s="18">
        <v>1.0</v>
      </c>
      <c r="E305" s="18" t="str">
        <f t="shared" si="1"/>
        <v>01/11/93</v>
      </c>
      <c r="F305" s="18">
        <v>0.0</v>
      </c>
      <c r="G305" s="27">
        <v>2866.09</v>
      </c>
      <c r="H305" s="18" t="s">
        <v>142</v>
      </c>
      <c r="I305" s="18" t="s">
        <v>142</v>
      </c>
      <c r="J305" s="18" t="s">
        <v>570</v>
      </c>
      <c r="K305" s="29">
        <f t="shared" si="2"/>
        <v>29</v>
      </c>
    </row>
    <row r="306" ht="15.75" customHeight="1">
      <c r="A306" s="18" t="s">
        <v>2515</v>
      </c>
      <c r="B306" s="18">
        <v>1993.0</v>
      </c>
      <c r="C306" s="18" t="s">
        <v>501</v>
      </c>
      <c r="D306" s="18">
        <v>12.0</v>
      </c>
      <c r="E306" s="18" t="str">
        <f t="shared" si="1"/>
        <v>12/08/93</v>
      </c>
      <c r="F306" s="18">
        <v>0.0</v>
      </c>
      <c r="G306" s="27">
        <v>2867.12</v>
      </c>
      <c r="H306" s="18" t="s">
        <v>219</v>
      </c>
      <c r="I306" s="18" t="s">
        <v>142</v>
      </c>
      <c r="J306" s="18" t="s">
        <v>146</v>
      </c>
      <c r="K306" s="29">
        <f t="shared" si="2"/>
        <v>29</v>
      </c>
    </row>
    <row r="307" ht="15.75" customHeight="1">
      <c r="A307" s="18" t="s">
        <v>2519</v>
      </c>
      <c r="B307" s="18">
        <v>1996.0</v>
      </c>
      <c r="C307" s="18" t="s">
        <v>241</v>
      </c>
      <c r="D307" s="18">
        <v>21.0</v>
      </c>
      <c r="E307" s="18" t="str">
        <f t="shared" si="1"/>
        <v>21/06/96</v>
      </c>
      <c r="F307" s="18">
        <v>0.0</v>
      </c>
      <c r="G307" s="27">
        <v>2897.32</v>
      </c>
      <c r="H307" s="18" t="s">
        <v>142</v>
      </c>
      <c r="I307" s="18" t="s">
        <v>142</v>
      </c>
      <c r="J307" s="18" t="s">
        <v>1427</v>
      </c>
      <c r="K307" s="29">
        <f t="shared" si="2"/>
        <v>26</v>
      </c>
    </row>
    <row r="308" ht="15.75" customHeight="1">
      <c r="A308" s="18" t="s">
        <v>2525</v>
      </c>
      <c r="B308" s="18">
        <v>2000.0</v>
      </c>
      <c r="C308" s="18" t="s">
        <v>91</v>
      </c>
      <c r="D308" s="18">
        <v>14.0</v>
      </c>
      <c r="E308" s="18" t="str">
        <f t="shared" si="1"/>
        <v>14/07/00</v>
      </c>
      <c r="F308" s="18">
        <v>0.0</v>
      </c>
      <c r="G308" s="27">
        <v>2897.46</v>
      </c>
      <c r="H308" s="18" t="s">
        <v>140</v>
      </c>
      <c r="I308" s="18" t="s">
        <v>219</v>
      </c>
      <c r="J308" s="18" t="s">
        <v>325</v>
      </c>
      <c r="K308" s="29">
        <f t="shared" si="2"/>
        <v>22</v>
      </c>
    </row>
    <row r="309" ht="15.75" customHeight="1">
      <c r="A309" s="18" t="s">
        <v>2530</v>
      </c>
      <c r="B309" s="18">
        <v>1999.0</v>
      </c>
      <c r="C309" s="18" t="s">
        <v>209</v>
      </c>
      <c r="D309" s="18">
        <v>1.0</v>
      </c>
      <c r="E309" s="18" t="str">
        <f t="shared" si="1"/>
        <v>01/11/99</v>
      </c>
      <c r="F309" s="18">
        <v>0.0</v>
      </c>
      <c r="G309" s="27">
        <v>2899.49</v>
      </c>
      <c r="H309" s="18" t="s">
        <v>140</v>
      </c>
      <c r="I309" s="18" t="s">
        <v>140</v>
      </c>
      <c r="J309" s="18" t="s">
        <v>2024</v>
      </c>
      <c r="K309" s="29">
        <f t="shared" si="2"/>
        <v>23</v>
      </c>
    </row>
    <row r="310" ht="15.75" customHeight="1">
      <c r="A310" s="18" t="s">
        <v>2533</v>
      </c>
      <c r="B310" s="18">
        <v>1996.0</v>
      </c>
      <c r="C310" s="18" t="s">
        <v>517</v>
      </c>
      <c r="D310" s="18">
        <v>24.0</v>
      </c>
      <c r="E310" s="18" t="str">
        <f t="shared" si="1"/>
        <v>24/10/96</v>
      </c>
      <c r="F310" s="18">
        <v>1.0</v>
      </c>
      <c r="G310" s="27">
        <v>2902.91</v>
      </c>
      <c r="H310" s="18" t="s">
        <v>140</v>
      </c>
      <c r="I310" s="18" t="s">
        <v>140</v>
      </c>
      <c r="J310" s="18" t="s">
        <v>146</v>
      </c>
      <c r="K310" s="29">
        <f t="shared" si="2"/>
        <v>26</v>
      </c>
    </row>
    <row r="311" ht="15.75" customHeight="1">
      <c r="A311" s="18" t="s">
        <v>2539</v>
      </c>
      <c r="B311" s="18">
        <v>1996.0</v>
      </c>
      <c r="C311" s="18" t="s">
        <v>241</v>
      </c>
      <c r="D311" s="18">
        <v>13.0</v>
      </c>
      <c r="E311" s="18" t="str">
        <f t="shared" si="1"/>
        <v>13/06/96</v>
      </c>
      <c r="F311" s="18">
        <v>1.0</v>
      </c>
      <c r="G311" s="27">
        <v>2904.09</v>
      </c>
      <c r="H311" s="18" t="s">
        <v>140</v>
      </c>
      <c r="I311" s="18" t="s">
        <v>140</v>
      </c>
      <c r="J311" s="18" t="s">
        <v>570</v>
      </c>
      <c r="K311" s="29">
        <f t="shared" si="2"/>
        <v>26</v>
      </c>
    </row>
    <row r="312" ht="15.75" customHeight="1">
      <c r="A312" s="18" t="s">
        <v>2545</v>
      </c>
      <c r="B312" s="18">
        <v>2003.0</v>
      </c>
      <c r="C312" s="18" t="s">
        <v>241</v>
      </c>
      <c r="D312" s="18">
        <v>5.0</v>
      </c>
      <c r="E312" s="18" t="str">
        <f t="shared" si="1"/>
        <v>05/06/03</v>
      </c>
      <c r="F312" s="18">
        <v>2.0</v>
      </c>
      <c r="G312" s="27">
        <v>2913.57</v>
      </c>
      <c r="H312" s="18" t="s">
        <v>140</v>
      </c>
      <c r="I312" s="18" t="s">
        <v>140</v>
      </c>
      <c r="J312" s="18" t="s">
        <v>570</v>
      </c>
      <c r="K312" s="29">
        <f t="shared" si="2"/>
        <v>20</v>
      </c>
    </row>
    <row r="313" ht="15.75" customHeight="1">
      <c r="A313" s="18" t="s">
        <v>2548</v>
      </c>
      <c r="B313" s="18">
        <v>1996.0</v>
      </c>
      <c r="C313" s="18" t="s">
        <v>241</v>
      </c>
      <c r="D313" s="18">
        <v>30.0</v>
      </c>
      <c r="E313" s="18" t="str">
        <f t="shared" si="1"/>
        <v>30/06/96</v>
      </c>
      <c r="F313" s="18">
        <v>1.0</v>
      </c>
      <c r="G313" s="27">
        <v>2927.06</v>
      </c>
      <c r="H313" s="18" t="s">
        <v>140</v>
      </c>
      <c r="I313" s="18" t="s">
        <v>140</v>
      </c>
      <c r="J313" s="18" t="s">
        <v>146</v>
      </c>
      <c r="K313" s="29">
        <f t="shared" si="2"/>
        <v>26</v>
      </c>
    </row>
    <row r="314" ht="15.75" customHeight="1">
      <c r="A314" s="18" t="s">
        <v>2549</v>
      </c>
      <c r="B314" s="18">
        <v>2002.0</v>
      </c>
      <c r="C314" s="18" t="s">
        <v>272</v>
      </c>
      <c r="D314" s="18">
        <v>30.0</v>
      </c>
      <c r="E314" s="18" t="str">
        <f t="shared" si="1"/>
        <v>30/09/02</v>
      </c>
      <c r="F314" s="18">
        <v>0.0</v>
      </c>
      <c r="G314" s="27">
        <v>2943.41</v>
      </c>
      <c r="H314" s="18" t="s">
        <v>140</v>
      </c>
      <c r="I314" s="18" t="s">
        <v>142</v>
      </c>
      <c r="J314" s="18" t="s">
        <v>325</v>
      </c>
      <c r="K314" s="29">
        <f t="shared" si="2"/>
        <v>20</v>
      </c>
    </row>
    <row r="315" ht="15.75" customHeight="1">
      <c r="A315" s="18" t="s">
        <v>2554</v>
      </c>
      <c r="B315" s="18">
        <v>1995.0</v>
      </c>
      <c r="C315" s="18" t="s">
        <v>272</v>
      </c>
      <c r="D315" s="18">
        <v>24.0</v>
      </c>
      <c r="E315" s="18" t="str">
        <f t="shared" si="1"/>
        <v>24/09/95</v>
      </c>
      <c r="F315" s="18">
        <v>0.0</v>
      </c>
      <c r="G315" s="27">
        <v>2974.13</v>
      </c>
      <c r="H315" s="18" t="s">
        <v>140</v>
      </c>
      <c r="I315" s="18" t="s">
        <v>219</v>
      </c>
      <c r="J315" s="18" t="s">
        <v>570</v>
      </c>
      <c r="K315" s="29">
        <f t="shared" si="2"/>
        <v>27</v>
      </c>
    </row>
    <row r="316" ht="15.75" customHeight="1">
      <c r="A316" s="18" t="s">
        <v>2559</v>
      </c>
      <c r="B316" s="18">
        <v>1987.0</v>
      </c>
      <c r="C316" s="18" t="s">
        <v>241</v>
      </c>
      <c r="D316" s="18">
        <v>18.0</v>
      </c>
      <c r="E316" s="18" t="str">
        <f t="shared" si="1"/>
        <v>18/06/87</v>
      </c>
      <c r="F316" s="18">
        <v>3.0</v>
      </c>
      <c r="G316" s="27">
        <v>2979.52</v>
      </c>
      <c r="H316" s="18" t="s">
        <v>140</v>
      </c>
      <c r="I316" s="18" t="s">
        <v>142</v>
      </c>
      <c r="J316" s="18" t="s">
        <v>146</v>
      </c>
      <c r="K316" s="29">
        <f t="shared" si="2"/>
        <v>35</v>
      </c>
    </row>
    <row r="317" ht="15.75" customHeight="1">
      <c r="A317" s="18" t="s">
        <v>2563</v>
      </c>
      <c r="B317" s="18">
        <v>1991.0</v>
      </c>
      <c r="C317" s="18" t="s">
        <v>209</v>
      </c>
      <c r="D317" s="18">
        <v>20.0</v>
      </c>
      <c r="E317" s="18" t="str">
        <f t="shared" si="1"/>
        <v>20/11/91</v>
      </c>
      <c r="F317" s="18">
        <v>3.0</v>
      </c>
      <c r="G317" s="27">
        <v>2985.67</v>
      </c>
      <c r="H317" s="18" t="s">
        <v>140</v>
      </c>
      <c r="I317" s="18" t="s">
        <v>140</v>
      </c>
      <c r="J317" s="18" t="s">
        <v>146</v>
      </c>
      <c r="K317" s="29">
        <f t="shared" si="2"/>
        <v>31</v>
      </c>
    </row>
    <row r="318" ht="15.75" customHeight="1">
      <c r="A318" s="18" t="s">
        <v>2567</v>
      </c>
      <c r="B318" s="18">
        <v>2002.0</v>
      </c>
      <c r="C318" s="18" t="s">
        <v>457</v>
      </c>
      <c r="D318" s="18">
        <v>15.0</v>
      </c>
      <c r="E318" s="18" t="str">
        <f t="shared" si="1"/>
        <v>15/12/02</v>
      </c>
      <c r="F318" s="18">
        <v>0.0</v>
      </c>
      <c r="G318" s="27">
        <v>3012.22</v>
      </c>
      <c r="H318" s="18" t="s">
        <v>140</v>
      </c>
      <c r="I318" s="18" t="s">
        <v>142</v>
      </c>
      <c r="J318" s="18" t="s">
        <v>325</v>
      </c>
      <c r="K318" s="29">
        <f t="shared" si="2"/>
        <v>20</v>
      </c>
    </row>
    <row r="319" ht="15.75" customHeight="1">
      <c r="A319" s="18" t="s">
        <v>2572</v>
      </c>
      <c r="B319" s="18">
        <v>1988.0</v>
      </c>
      <c r="C319" s="18" t="s">
        <v>272</v>
      </c>
      <c r="D319" s="18">
        <v>28.0</v>
      </c>
      <c r="E319" s="18" t="str">
        <f t="shared" si="1"/>
        <v>28/09/88</v>
      </c>
      <c r="F319" s="18">
        <v>3.0</v>
      </c>
      <c r="G319" s="27">
        <v>3018.04</v>
      </c>
      <c r="H319" s="18" t="s">
        <v>140</v>
      </c>
      <c r="I319" s="18" t="s">
        <v>140</v>
      </c>
      <c r="J319" s="18" t="s">
        <v>325</v>
      </c>
      <c r="K319" s="29">
        <f t="shared" si="2"/>
        <v>34</v>
      </c>
    </row>
    <row r="320" ht="15.75" customHeight="1">
      <c r="A320" s="18" t="s">
        <v>2578</v>
      </c>
      <c r="B320" s="18">
        <v>1997.0</v>
      </c>
      <c r="C320" s="18" t="s">
        <v>457</v>
      </c>
      <c r="D320" s="18">
        <v>19.0</v>
      </c>
      <c r="E320" s="18" t="str">
        <f t="shared" si="1"/>
        <v>19/12/97</v>
      </c>
      <c r="F320" s="18">
        <v>0.0</v>
      </c>
      <c r="G320" s="27">
        <v>3021.81</v>
      </c>
      <c r="H320" s="18" t="s">
        <v>140</v>
      </c>
      <c r="I320" s="18" t="s">
        <v>142</v>
      </c>
      <c r="J320" s="18" t="s">
        <v>325</v>
      </c>
      <c r="K320" s="29">
        <f t="shared" si="2"/>
        <v>25</v>
      </c>
    </row>
    <row r="321" ht="15.75" customHeight="1">
      <c r="A321" s="18" t="s">
        <v>2584</v>
      </c>
      <c r="B321" s="18">
        <v>1998.0</v>
      </c>
      <c r="C321" s="18" t="s">
        <v>272</v>
      </c>
      <c r="D321" s="18">
        <v>15.0</v>
      </c>
      <c r="E321" s="18" t="str">
        <f t="shared" si="1"/>
        <v>15/09/98</v>
      </c>
      <c r="F321" s="18">
        <v>0.0</v>
      </c>
      <c r="G321" s="27">
        <v>3044.21</v>
      </c>
      <c r="H321" s="18" t="s">
        <v>140</v>
      </c>
      <c r="I321" s="18" t="s">
        <v>142</v>
      </c>
      <c r="J321" s="18" t="s">
        <v>2024</v>
      </c>
      <c r="K321" s="29">
        <f t="shared" si="2"/>
        <v>24</v>
      </c>
    </row>
    <row r="322" ht="15.75" customHeight="1">
      <c r="A322" s="18" t="s">
        <v>2588</v>
      </c>
      <c r="B322" s="18">
        <v>1998.0</v>
      </c>
      <c r="C322" s="18" t="s">
        <v>501</v>
      </c>
      <c r="D322" s="18">
        <v>9.0</v>
      </c>
      <c r="E322" s="18" t="str">
        <f t="shared" si="1"/>
        <v>09/08/98</v>
      </c>
      <c r="F322" s="18">
        <v>0.0</v>
      </c>
      <c r="G322" s="27">
        <v>3046.06</v>
      </c>
      <c r="H322" s="18" t="s">
        <v>140</v>
      </c>
      <c r="I322" s="18" t="s">
        <v>219</v>
      </c>
      <c r="J322" s="18" t="s">
        <v>2031</v>
      </c>
      <c r="K322" s="29">
        <f t="shared" si="2"/>
        <v>24</v>
      </c>
    </row>
    <row r="323" ht="15.75" customHeight="1">
      <c r="A323" s="18" t="s">
        <v>2593</v>
      </c>
      <c r="B323" s="18">
        <v>1997.0</v>
      </c>
      <c r="C323" s="18" t="s">
        <v>457</v>
      </c>
      <c r="D323" s="18">
        <v>22.0</v>
      </c>
      <c r="E323" s="18" t="str">
        <f t="shared" si="1"/>
        <v>22/12/97</v>
      </c>
      <c r="F323" s="18">
        <v>0.0</v>
      </c>
      <c r="G323" s="27">
        <v>3051.73</v>
      </c>
      <c r="H323" s="18" t="s">
        <v>140</v>
      </c>
      <c r="I323" s="18" t="s">
        <v>140</v>
      </c>
      <c r="J323" s="18" t="s">
        <v>570</v>
      </c>
      <c r="K323" s="29">
        <f t="shared" si="2"/>
        <v>25</v>
      </c>
    </row>
    <row r="324" ht="15.75" customHeight="1">
      <c r="A324" s="18" t="s">
        <v>2598</v>
      </c>
      <c r="B324" s="18">
        <v>2002.0</v>
      </c>
      <c r="C324" s="18" t="s">
        <v>241</v>
      </c>
      <c r="D324" s="18">
        <v>21.0</v>
      </c>
      <c r="E324" s="18" t="str">
        <f t="shared" si="1"/>
        <v>21/06/02</v>
      </c>
      <c r="F324" s="18">
        <v>2.0</v>
      </c>
      <c r="G324" s="27">
        <v>3056.39</v>
      </c>
      <c r="H324" s="18" t="s">
        <v>140</v>
      </c>
      <c r="I324" s="18" t="s">
        <v>142</v>
      </c>
      <c r="J324" s="18" t="s">
        <v>146</v>
      </c>
      <c r="K324" s="29">
        <f t="shared" si="2"/>
        <v>20</v>
      </c>
    </row>
    <row r="325" ht="15.75" customHeight="1">
      <c r="A325" s="18" t="s">
        <v>2604</v>
      </c>
      <c r="B325" s="18">
        <v>1994.0</v>
      </c>
      <c r="C325" s="18" t="s">
        <v>272</v>
      </c>
      <c r="D325" s="18">
        <v>26.0</v>
      </c>
      <c r="E325" s="18" t="str">
        <f t="shared" si="1"/>
        <v>26/09/94</v>
      </c>
      <c r="F325" s="18">
        <v>0.0</v>
      </c>
      <c r="G325" s="27">
        <v>3062.51</v>
      </c>
      <c r="H325" s="18" t="s">
        <v>142</v>
      </c>
      <c r="I325" s="18" t="s">
        <v>219</v>
      </c>
      <c r="J325" s="18" t="s">
        <v>325</v>
      </c>
      <c r="K325" s="29">
        <f t="shared" si="2"/>
        <v>28</v>
      </c>
    </row>
    <row r="326" ht="15.75" customHeight="1">
      <c r="A326" s="18" t="s">
        <v>2608</v>
      </c>
      <c r="B326" s="18">
        <v>1989.0</v>
      </c>
      <c r="C326" s="18" t="s">
        <v>517</v>
      </c>
      <c r="D326" s="18">
        <v>1.0</v>
      </c>
      <c r="E326" s="18" t="str">
        <f t="shared" si="1"/>
        <v>01/10/89</v>
      </c>
      <c r="F326" s="18">
        <v>3.0</v>
      </c>
      <c r="G326" s="27">
        <v>3065.49</v>
      </c>
      <c r="H326" s="18" t="s">
        <v>140</v>
      </c>
      <c r="I326" s="18" t="s">
        <v>219</v>
      </c>
      <c r="J326" s="18" t="s">
        <v>325</v>
      </c>
      <c r="K326" s="29">
        <f t="shared" si="2"/>
        <v>33</v>
      </c>
    </row>
    <row r="327" ht="15.75" customHeight="1">
      <c r="A327" s="18" t="s">
        <v>2613</v>
      </c>
      <c r="B327" s="18">
        <v>1995.0</v>
      </c>
      <c r="C327" s="18" t="s">
        <v>272</v>
      </c>
      <c r="D327" s="18">
        <v>10.0</v>
      </c>
      <c r="E327" s="18" t="str">
        <f t="shared" si="1"/>
        <v>10/09/95</v>
      </c>
      <c r="F327" s="18">
        <v>0.0</v>
      </c>
      <c r="G327" s="27">
        <v>3070.81</v>
      </c>
      <c r="H327" s="18" t="s">
        <v>142</v>
      </c>
      <c r="I327" s="18" t="s">
        <v>219</v>
      </c>
      <c r="J327" s="18" t="s">
        <v>2617</v>
      </c>
      <c r="K327" s="29">
        <f t="shared" si="2"/>
        <v>27</v>
      </c>
    </row>
    <row r="328" ht="15.75" customHeight="1">
      <c r="A328" s="18" t="s">
        <v>2619</v>
      </c>
      <c r="B328" s="18">
        <v>2001.0</v>
      </c>
      <c r="C328" s="18" t="s">
        <v>517</v>
      </c>
      <c r="D328" s="18">
        <v>13.0</v>
      </c>
      <c r="E328" s="18" t="str">
        <f t="shared" si="1"/>
        <v>13/10/01</v>
      </c>
      <c r="F328" s="18">
        <v>2.0</v>
      </c>
      <c r="G328" s="27">
        <v>3077.1</v>
      </c>
      <c r="H328" s="18" t="s">
        <v>140</v>
      </c>
      <c r="I328" s="18" t="s">
        <v>219</v>
      </c>
      <c r="J328" s="18" t="s">
        <v>325</v>
      </c>
      <c r="K328" s="29">
        <f t="shared" si="2"/>
        <v>21</v>
      </c>
    </row>
    <row r="329" ht="15.75" customHeight="1">
      <c r="A329" s="18" t="s">
        <v>2625</v>
      </c>
      <c r="B329" s="18">
        <v>1987.0</v>
      </c>
      <c r="C329" s="18" t="s">
        <v>501</v>
      </c>
      <c r="D329" s="18">
        <v>1.0</v>
      </c>
      <c r="E329" s="18" t="str">
        <f t="shared" si="1"/>
        <v>01/08/87</v>
      </c>
      <c r="F329" s="18">
        <v>3.0</v>
      </c>
      <c r="G329" s="27">
        <v>3088.06</v>
      </c>
      <c r="H329" s="18" t="s">
        <v>140</v>
      </c>
      <c r="I329" s="18" t="s">
        <v>140</v>
      </c>
      <c r="J329" s="18" t="s">
        <v>146</v>
      </c>
      <c r="K329" s="29">
        <f t="shared" si="2"/>
        <v>35</v>
      </c>
    </row>
    <row r="330" ht="15.75" customHeight="1">
      <c r="A330" s="18" t="s">
        <v>2629</v>
      </c>
      <c r="B330" s="18">
        <v>1999.0</v>
      </c>
      <c r="C330" s="18" t="s">
        <v>241</v>
      </c>
      <c r="D330" s="18">
        <v>25.0</v>
      </c>
      <c r="E330" s="18" t="str">
        <f t="shared" si="1"/>
        <v>25/06/99</v>
      </c>
      <c r="F330" s="18">
        <v>0.0</v>
      </c>
      <c r="G330" s="27">
        <v>3128.35</v>
      </c>
      <c r="H330" s="18" t="s">
        <v>140</v>
      </c>
      <c r="I330" s="18" t="s">
        <v>142</v>
      </c>
      <c r="J330" s="18" t="s">
        <v>2314</v>
      </c>
      <c r="K330" s="29">
        <f t="shared" si="2"/>
        <v>23</v>
      </c>
    </row>
    <row r="331" ht="15.75" customHeight="1">
      <c r="A331" s="18" t="s">
        <v>2635</v>
      </c>
      <c r="B331" s="18">
        <v>1994.0</v>
      </c>
      <c r="C331" s="18" t="s">
        <v>91</v>
      </c>
      <c r="D331" s="18">
        <v>10.0</v>
      </c>
      <c r="E331" s="18" t="str">
        <f t="shared" si="1"/>
        <v>10/07/94</v>
      </c>
      <c r="F331" s="18">
        <v>0.0</v>
      </c>
      <c r="G331" s="27">
        <v>3161.45</v>
      </c>
      <c r="H331" s="18" t="s">
        <v>140</v>
      </c>
      <c r="I331" s="18" t="s">
        <v>219</v>
      </c>
      <c r="J331" s="18" t="s">
        <v>570</v>
      </c>
      <c r="K331" s="29">
        <f t="shared" si="2"/>
        <v>28</v>
      </c>
    </row>
    <row r="332" ht="15.75" customHeight="1">
      <c r="A332" s="18" t="s">
        <v>2640</v>
      </c>
      <c r="B332" s="18">
        <v>1993.0</v>
      </c>
      <c r="C332" s="18" t="s">
        <v>272</v>
      </c>
      <c r="D332" s="18">
        <v>25.0</v>
      </c>
      <c r="E332" s="18" t="str">
        <f t="shared" si="1"/>
        <v>25/09/93</v>
      </c>
      <c r="F332" s="18">
        <v>0.0</v>
      </c>
      <c r="G332" s="27">
        <v>3162.02</v>
      </c>
      <c r="H332" s="18" t="s">
        <v>140</v>
      </c>
      <c r="I332" s="18" t="s">
        <v>142</v>
      </c>
      <c r="J332" s="18" t="s">
        <v>146</v>
      </c>
      <c r="K332" s="29">
        <f t="shared" si="2"/>
        <v>29</v>
      </c>
    </row>
    <row r="333" ht="15.75" customHeight="1">
      <c r="A333" s="18" t="s">
        <v>2643</v>
      </c>
      <c r="B333" s="18">
        <v>2001.0</v>
      </c>
      <c r="C333" s="18" t="s">
        <v>501</v>
      </c>
      <c r="D333" s="18">
        <v>29.0</v>
      </c>
      <c r="E333" s="18" t="str">
        <f t="shared" si="1"/>
        <v>29/08/01</v>
      </c>
      <c r="F333" s="18">
        <v>1.0</v>
      </c>
      <c r="G333" s="27">
        <v>3167.46</v>
      </c>
      <c r="H333" s="18" t="s">
        <v>140</v>
      </c>
      <c r="I333" s="18" t="s">
        <v>142</v>
      </c>
      <c r="J333" s="18" t="s">
        <v>2024</v>
      </c>
      <c r="K333" s="29">
        <f t="shared" si="2"/>
        <v>21</v>
      </c>
    </row>
    <row r="334" ht="15.75" customHeight="1">
      <c r="A334" s="18" t="s">
        <v>2648</v>
      </c>
      <c r="B334" s="18">
        <v>1994.0</v>
      </c>
      <c r="C334" s="18" t="s">
        <v>517</v>
      </c>
      <c r="D334" s="18">
        <v>25.0</v>
      </c>
      <c r="E334" s="18" t="str">
        <f t="shared" si="1"/>
        <v>25/10/94</v>
      </c>
      <c r="F334" s="18">
        <v>0.0</v>
      </c>
      <c r="G334" s="27">
        <v>3171.61</v>
      </c>
      <c r="H334" s="18" t="s">
        <v>140</v>
      </c>
      <c r="I334" s="18" t="s">
        <v>142</v>
      </c>
      <c r="J334" s="18" t="s">
        <v>146</v>
      </c>
      <c r="K334" s="29">
        <f t="shared" si="2"/>
        <v>28</v>
      </c>
    </row>
    <row r="335" ht="15.75" customHeight="1">
      <c r="A335" s="18" t="s">
        <v>2653</v>
      </c>
      <c r="B335" s="18">
        <v>1994.0</v>
      </c>
      <c r="C335" s="18" t="s">
        <v>91</v>
      </c>
      <c r="D335" s="18">
        <v>6.0</v>
      </c>
      <c r="E335" s="18" t="str">
        <f t="shared" si="1"/>
        <v>06/07/94</v>
      </c>
      <c r="F335" s="18">
        <v>0.0</v>
      </c>
      <c r="G335" s="27">
        <v>3172.02</v>
      </c>
      <c r="H335" s="18" t="s">
        <v>140</v>
      </c>
      <c r="I335" s="18" t="s">
        <v>219</v>
      </c>
      <c r="J335" s="18" t="s">
        <v>570</v>
      </c>
      <c r="K335" s="29">
        <f t="shared" si="2"/>
        <v>28</v>
      </c>
    </row>
    <row r="336" ht="15.75" customHeight="1">
      <c r="A336" s="18" t="s">
        <v>2659</v>
      </c>
      <c r="B336" s="18">
        <v>1996.0</v>
      </c>
      <c r="C336" s="18" t="s">
        <v>501</v>
      </c>
      <c r="D336" s="18">
        <v>14.0</v>
      </c>
      <c r="E336" s="18" t="str">
        <f t="shared" si="1"/>
        <v>14/08/96</v>
      </c>
      <c r="F336" s="18">
        <v>0.0</v>
      </c>
      <c r="G336" s="27">
        <v>3176.29</v>
      </c>
      <c r="H336" s="18" t="s">
        <v>140</v>
      </c>
      <c r="I336" s="18" t="s">
        <v>140</v>
      </c>
      <c r="J336" s="18" t="s">
        <v>325</v>
      </c>
      <c r="K336" s="29">
        <f t="shared" si="2"/>
        <v>26</v>
      </c>
    </row>
    <row r="337" ht="15.75" customHeight="1">
      <c r="A337" s="18" t="s">
        <v>2665</v>
      </c>
      <c r="B337" s="18">
        <v>1996.0</v>
      </c>
      <c r="C337" s="18" t="s">
        <v>91</v>
      </c>
      <c r="D337" s="18">
        <v>3.0</v>
      </c>
      <c r="E337" s="18" t="str">
        <f t="shared" si="1"/>
        <v>03/07/96</v>
      </c>
      <c r="F337" s="18">
        <v>0.0</v>
      </c>
      <c r="G337" s="27">
        <v>3176.82</v>
      </c>
      <c r="H337" s="18" t="s">
        <v>140</v>
      </c>
      <c r="I337" s="18" t="s">
        <v>219</v>
      </c>
      <c r="J337" s="18" t="s">
        <v>325</v>
      </c>
      <c r="K337" s="29">
        <f t="shared" si="2"/>
        <v>26</v>
      </c>
    </row>
    <row r="338" ht="15.75" customHeight="1">
      <c r="A338" s="18" t="s">
        <v>2671</v>
      </c>
      <c r="B338" s="18">
        <v>2000.0</v>
      </c>
      <c r="C338" s="18" t="s">
        <v>272</v>
      </c>
      <c r="D338" s="18">
        <v>23.0</v>
      </c>
      <c r="E338" s="18" t="str">
        <f t="shared" si="1"/>
        <v>23/09/00</v>
      </c>
      <c r="F338" s="18">
        <v>0.0</v>
      </c>
      <c r="G338" s="27">
        <v>3179.96</v>
      </c>
      <c r="H338" s="18" t="s">
        <v>140</v>
      </c>
      <c r="I338" s="18" t="s">
        <v>140</v>
      </c>
      <c r="J338" s="18" t="s">
        <v>325</v>
      </c>
      <c r="K338" s="29">
        <f t="shared" si="2"/>
        <v>22</v>
      </c>
    </row>
    <row r="339" ht="15.75" customHeight="1">
      <c r="A339" s="18" t="s">
        <v>2674</v>
      </c>
      <c r="B339" s="18">
        <v>2001.0</v>
      </c>
      <c r="C339" s="18" t="s">
        <v>272</v>
      </c>
      <c r="D339" s="18">
        <v>2.0</v>
      </c>
      <c r="E339" s="18" t="str">
        <f t="shared" si="1"/>
        <v>02/09/01</v>
      </c>
      <c r="F339" s="18">
        <v>2.0</v>
      </c>
      <c r="G339" s="27">
        <v>3180.51</v>
      </c>
      <c r="H339" s="18" t="s">
        <v>140</v>
      </c>
      <c r="I339" s="18" t="s">
        <v>140</v>
      </c>
      <c r="J339" s="18" t="s">
        <v>146</v>
      </c>
      <c r="K339" s="29">
        <f t="shared" si="2"/>
        <v>21</v>
      </c>
    </row>
    <row r="340" ht="15.75" customHeight="1">
      <c r="A340" s="18" t="s">
        <v>2680</v>
      </c>
      <c r="B340" s="18">
        <v>1996.0</v>
      </c>
      <c r="C340" s="18" t="s">
        <v>517</v>
      </c>
      <c r="D340" s="18">
        <v>11.0</v>
      </c>
      <c r="E340" s="18" t="str">
        <f t="shared" si="1"/>
        <v>11/10/96</v>
      </c>
      <c r="F340" s="18">
        <v>0.0</v>
      </c>
      <c r="G340" s="27">
        <v>3201.25</v>
      </c>
      <c r="H340" s="18" t="s">
        <v>140</v>
      </c>
      <c r="I340" s="18" t="s">
        <v>142</v>
      </c>
      <c r="J340" s="18" t="s">
        <v>325</v>
      </c>
      <c r="K340" s="29">
        <f t="shared" si="2"/>
        <v>26</v>
      </c>
    </row>
    <row r="341" ht="15.75" customHeight="1">
      <c r="A341" s="18" t="s">
        <v>2684</v>
      </c>
      <c r="B341" s="18">
        <v>1997.0</v>
      </c>
      <c r="C341" s="18" t="s">
        <v>91</v>
      </c>
      <c r="D341" s="18">
        <v>5.0</v>
      </c>
      <c r="E341" s="18" t="str">
        <f t="shared" si="1"/>
        <v>05/07/97</v>
      </c>
      <c r="F341" s="18">
        <v>0.0</v>
      </c>
      <c r="G341" s="27">
        <v>3206.49</v>
      </c>
      <c r="H341" s="18" t="s">
        <v>140</v>
      </c>
      <c r="I341" s="18" t="s">
        <v>142</v>
      </c>
      <c r="J341" s="18" t="s">
        <v>2024</v>
      </c>
      <c r="K341" s="29">
        <f t="shared" si="2"/>
        <v>25</v>
      </c>
    </row>
    <row r="342" ht="15.75" customHeight="1">
      <c r="A342" s="18" t="s">
        <v>2688</v>
      </c>
      <c r="B342" s="18">
        <v>1997.0</v>
      </c>
      <c r="C342" s="18" t="s">
        <v>457</v>
      </c>
      <c r="D342" s="18">
        <v>22.0</v>
      </c>
      <c r="E342" s="18" t="str">
        <f t="shared" si="1"/>
        <v>22/12/97</v>
      </c>
      <c r="F342" s="18">
        <v>1.0</v>
      </c>
      <c r="G342" s="27">
        <v>3208.79</v>
      </c>
      <c r="H342" s="18" t="s">
        <v>140</v>
      </c>
      <c r="I342" s="18" t="s">
        <v>142</v>
      </c>
      <c r="J342" s="18" t="s">
        <v>570</v>
      </c>
      <c r="K342" s="29">
        <f t="shared" si="2"/>
        <v>25</v>
      </c>
    </row>
    <row r="343" ht="15.75" customHeight="1">
      <c r="A343" s="18" t="s">
        <v>2693</v>
      </c>
      <c r="B343" s="18">
        <v>1997.0</v>
      </c>
      <c r="C343" s="18" t="s">
        <v>91</v>
      </c>
      <c r="D343" s="18">
        <v>6.0</v>
      </c>
      <c r="E343" s="18" t="str">
        <f t="shared" si="1"/>
        <v>06/07/97</v>
      </c>
      <c r="F343" s="18">
        <v>0.0</v>
      </c>
      <c r="G343" s="27">
        <v>3213.62</v>
      </c>
      <c r="H343" s="18" t="s">
        <v>140</v>
      </c>
      <c r="I343" s="18" t="s">
        <v>140</v>
      </c>
      <c r="J343" s="18" t="s">
        <v>2024</v>
      </c>
      <c r="K343" s="29">
        <f t="shared" si="2"/>
        <v>25</v>
      </c>
    </row>
    <row r="344" ht="15.75" customHeight="1">
      <c r="A344" s="18" t="s">
        <v>2699</v>
      </c>
      <c r="B344" s="18">
        <v>1997.0</v>
      </c>
      <c r="C344" s="18" t="s">
        <v>501</v>
      </c>
      <c r="D344" s="18">
        <v>2.0</v>
      </c>
      <c r="E344" s="18" t="str">
        <f t="shared" si="1"/>
        <v>02/08/97</v>
      </c>
      <c r="F344" s="18">
        <v>1.0</v>
      </c>
      <c r="G344" s="27">
        <v>3227.12</v>
      </c>
      <c r="H344" s="18" t="s">
        <v>140</v>
      </c>
      <c r="I344" s="18" t="s">
        <v>142</v>
      </c>
      <c r="J344" s="18" t="s">
        <v>146</v>
      </c>
      <c r="K344" s="29">
        <f t="shared" si="2"/>
        <v>25</v>
      </c>
    </row>
    <row r="345" ht="15.75" customHeight="1">
      <c r="A345" s="18" t="s">
        <v>2700</v>
      </c>
      <c r="B345" s="18">
        <v>1997.0</v>
      </c>
      <c r="C345" s="18" t="s">
        <v>272</v>
      </c>
      <c r="D345" s="18">
        <v>2.0</v>
      </c>
      <c r="E345" s="18" t="str">
        <f t="shared" si="1"/>
        <v>02/09/97</v>
      </c>
      <c r="F345" s="18">
        <v>1.0</v>
      </c>
      <c r="G345" s="27">
        <v>3238.44</v>
      </c>
      <c r="H345" s="18" t="s">
        <v>140</v>
      </c>
      <c r="I345" s="18" t="s">
        <v>142</v>
      </c>
      <c r="J345" s="18" t="s">
        <v>146</v>
      </c>
      <c r="K345" s="29">
        <f t="shared" si="2"/>
        <v>25</v>
      </c>
    </row>
    <row r="346" ht="15.75" customHeight="1">
      <c r="A346" s="18" t="s">
        <v>2701</v>
      </c>
      <c r="B346" s="18">
        <v>1991.0</v>
      </c>
      <c r="C346" s="18" t="s">
        <v>209</v>
      </c>
      <c r="D346" s="18">
        <v>13.0</v>
      </c>
      <c r="E346" s="18" t="str">
        <f t="shared" si="1"/>
        <v>13/11/91</v>
      </c>
      <c r="F346" s="18">
        <v>0.0</v>
      </c>
      <c r="G346" s="27">
        <v>3260.2</v>
      </c>
      <c r="H346" s="18" t="s">
        <v>142</v>
      </c>
      <c r="I346" s="18" t="s">
        <v>140</v>
      </c>
      <c r="J346" s="18" t="s">
        <v>570</v>
      </c>
      <c r="K346" s="29">
        <f t="shared" si="2"/>
        <v>31</v>
      </c>
    </row>
    <row r="347" ht="15.75" customHeight="1">
      <c r="A347" s="18" t="s">
        <v>2702</v>
      </c>
      <c r="B347" s="18">
        <v>1994.0</v>
      </c>
      <c r="C347" s="18" t="s">
        <v>457</v>
      </c>
      <c r="D347" s="18">
        <v>2.0</v>
      </c>
      <c r="E347" s="18" t="str">
        <f t="shared" si="1"/>
        <v>02/12/94</v>
      </c>
      <c r="F347" s="18">
        <v>0.0</v>
      </c>
      <c r="G347" s="27">
        <v>3268.85</v>
      </c>
      <c r="H347" s="18" t="s">
        <v>142</v>
      </c>
      <c r="I347" s="18" t="s">
        <v>219</v>
      </c>
      <c r="J347" s="18" t="s">
        <v>1427</v>
      </c>
      <c r="K347" s="29">
        <f t="shared" si="2"/>
        <v>28</v>
      </c>
    </row>
    <row r="348" ht="15.75" customHeight="1">
      <c r="A348" s="18" t="s">
        <v>2704</v>
      </c>
      <c r="B348" s="18">
        <v>1994.0</v>
      </c>
      <c r="C348" s="18" t="s">
        <v>91</v>
      </c>
      <c r="D348" s="18">
        <v>1.0</v>
      </c>
      <c r="E348" s="18" t="str">
        <f t="shared" si="1"/>
        <v>01/07/94</v>
      </c>
      <c r="F348" s="18">
        <v>1.0</v>
      </c>
      <c r="G348" s="27">
        <v>3277.16</v>
      </c>
      <c r="H348" s="18" t="s">
        <v>140</v>
      </c>
      <c r="I348" s="18" t="s">
        <v>142</v>
      </c>
      <c r="J348" s="18" t="s">
        <v>570</v>
      </c>
      <c r="K348" s="29">
        <f t="shared" si="2"/>
        <v>28</v>
      </c>
    </row>
    <row r="349" ht="15.75" customHeight="1">
      <c r="A349" s="18" t="s">
        <v>2710</v>
      </c>
      <c r="B349" s="18">
        <v>2001.0</v>
      </c>
      <c r="C349" s="18" t="s">
        <v>517</v>
      </c>
      <c r="D349" s="18">
        <v>6.0</v>
      </c>
      <c r="E349" s="18" t="str">
        <f t="shared" si="1"/>
        <v>06/10/01</v>
      </c>
      <c r="F349" s="18">
        <v>2.0</v>
      </c>
      <c r="G349" s="27">
        <v>3279.87</v>
      </c>
      <c r="H349" s="18" t="s">
        <v>140</v>
      </c>
      <c r="I349" s="18" t="s">
        <v>219</v>
      </c>
      <c r="J349" s="18" t="s">
        <v>2617</v>
      </c>
      <c r="K349" s="29">
        <f t="shared" si="2"/>
        <v>21</v>
      </c>
    </row>
    <row r="350" ht="15.75" customHeight="1">
      <c r="A350" s="18" t="s">
        <v>2714</v>
      </c>
      <c r="B350" s="18">
        <v>2003.0</v>
      </c>
      <c r="C350" s="18" t="s">
        <v>91</v>
      </c>
      <c r="D350" s="18">
        <v>3.0</v>
      </c>
      <c r="E350" s="18" t="str">
        <f t="shared" si="1"/>
        <v>03/07/03</v>
      </c>
      <c r="F350" s="18">
        <v>0.0</v>
      </c>
      <c r="G350" s="27">
        <v>3280.22</v>
      </c>
      <c r="H350" s="18" t="s">
        <v>140</v>
      </c>
      <c r="I350" s="18" t="s">
        <v>142</v>
      </c>
      <c r="J350" s="18" t="s">
        <v>570</v>
      </c>
      <c r="K350" s="29">
        <f t="shared" si="2"/>
        <v>19</v>
      </c>
    </row>
    <row r="351" ht="15.75" customHeight="1">
      <c r="A351" s="18" t="s">
        <v>2719</v>
      </c>
      <c r="B351" s="18">
        <v>1996.0</v>
      </c>
      <c r="C351" s="18" t="s">
        <v>209</v>
      </c>
      <c r="D351" s="18">
        <v>17.0</v>
      </c>
      <c r="E351" s="18" t="str">
        <f t="shared" si="1"/>
        <v>17/11/96</v>
      </c>
      <c r="F351" s="18">
        <v>1.0</v>
      </c>
      <c r="G351" s="27">
        <v>3292.53</v>
      </c>
      <c r="H351" s="18" t="s">
        <v>140</v>
      </c>
      <c r="I351" s="18" t="s">
        <v>140</v>
      </c>
      <c r="J351" s="18" t="s">
        <v>325</v>
      </c>
      <c r="K351" s="29">
        <f t="shared" si="2"/>
        <v>26</v>
      </c>
    </row>
    <row r="352" ht="15.75" customHeight="1">
      <c r="A352" s="18" t="s">
        <v>2724</v>
      </c>
      <c r="B352" s="18">
        <v>2003.0</v>
      </c>
      <c r="C352" s="18" t="s">
        <v>457</v>
      </c>
      <c r="D352" s="18">
        <v>5.0</v>
      </c>
      <c r="E352" s="18" t="str">
        <f t="shared" si="1"/>
        <v>05/12/03</v>
      </c>
      <c r="F352" s="18">
        <v>0.0</v>
      </c>
      <c r="G352" s="27">
        <v>3300.7</v>
      </c>
      <c r="H352" s="18" t="s">
        <v>140</v>
      </c>
      <c r="I352" s="18" t="s">
        <v>140</v>
      </c>
      <c r="J352" s="18" t="s">
        <v>1647</v>
      </c>
      <c r="K352" s="29">
        <f t="shared" si="2"/>
        <v>19</v>
      </c>
    </row>
    <row r="353" ht="15.75" customHeight="1">
      <c r="A353" s="18" t="s">
        <v>2730</v>
      </c>
      <c r="B353" s="18">
        <v>2003.0</v>
      </c>
      <c r="C353" s="18" t="s">
        <v>209</v>
      </c>
      <c r="D353" s="18">
        <v>18.0</v>
      </c>
      <c r="E353" s="18" t="str">
        <f t="shared" si="1"/>
        <v>18/11/03</v>
      </c>
      <c r="F353" s="18">
        <v>0.0</v>
      </c>
      <c r="G353" s="27">
        <v>3308.46</v>
      </c>
      <c r="H353" s="18" t="s">
        <v>140</v>
      </c>
      <c r="I353" s="18" t="s">
        <v>219</v>
      </c>
      <c r="J353" s="18" t="s">
        <v>2314</v>
      </c>
      <c r="K353" s="29">
        <f t="shared" si="2"/>
        <v>19</v>
      </c>
    </row>
    <row r="354" ht="15.75" customHeight="1">
      <c r="A354" s="18" t="s">
        <v>2736</v>
      </c>
      <c r="B354" s="18">
        <v>1997.0</v>
      </c>
      <c r="C354" s="18" t="s">
        <v>241</v>
      </c>
      <c r="D354" s="18">
        <v>20.0</v>
      </c>
      <c r="E354" s="18" t="str">
        <f t="shared" si="1"/>
        <v>20/06/97</v>
      </c>
      <c r="F354" s="18">
        <v>1.0</v>
      </c>
      <c r="G354" s="27">
        <v>3309.79</v>
      </c>
      <c r="H354" s="18" t="s">
        <v>142</v>
      </c>
      <c r="I354" s="18" t="s">
        <v>142</v>
      </c>
      <c r="J354" s="18" t="s">
        <v>2617</v>
      </c>
      <c r="K354" s="29">
        <f t="shared" si="2"/>
        <v>25</v>
      </c>
    </row>
    <row r="355" ht="15.75" customHeight="1">
      <c r="A355" s="18" t="s">
        <v>2742</v>
      </c>
      <c r="B355" s="18">
        <v>1991.0</v>
      </c>
      <c r="C355" s="18" t="s">
        <v>272</v>
      </c>
      <c r="D355" s="18">
        <v>1.0</v>
      </c>
      <c r="E355" s="18" t="str">
        <f t="shared" si="1"/>
        <v>01/09/91</v>
      </c>
      <c r="F355" s="18">
        <v>3.0</v>
      </c>
      <c r="G355" s="27">
        <v>3342.79</v>
      </c>
      <c r="H355" s="18" t="s">
        <v>140</v>
      </c>
      <c r="I355" s="18" t="s">
        <v>219</v>
      </c>
      <c r="J355" s="18" t="s">
        <v>146</v>
      </c>
      <c r="K355" s="29">
        <f t="shared" si="2"/>
        <v>31</v>
      </c>
    </row>
    <row r="356" ht="15.75" customHeight="1">
      <c r="A356" s="18" t="s">
        <v>2747</v>
      </c>
      <c r="B356" s="18">
        <v>1993.0</v>
      </c>
      <c r="C356" s="18" t="s">
        <v>517</v>
      </c>
      <c r="D356" s="18">
        <v>28.0</v>
      </c>
      <c r="E356" s="18" t="str">
        <f t="shared" si="1"/>
        <v>28/10/93</v>
      </c>
      <c r="F356" s="18">
        <v>0.0</v>
      </c>
      <c r="G356" s="27">
        <v>3353.28</v>
      </c>
      <c r="H356" s="18" t="s">
        <v>140</v>
      </c>
      <c r="I356" s="18" t="s">
        <v>219</v>
      </c>
      <c r="J356" s="18" t="s">
        <v>570</v>
      </c>
      <c r="K356" s="29">
        <f t="shared" si="2"/>
        <v>29</v>
      </c>
    </row>
    <row r="357" ht="15.75" customHeight="1">
      <c r="A357" s="18" t="s">
        <v>2751</v>
      </c>
      <c r="B357" s="18">
        <v>1995.0</v>
      </c>
      <c r="C357" s="18" t="s">
        <v>241</v>
      </c>
      <c r="D357" s="18">
        <v>23.0</v>
      </c>
      <c r="E357" s="18" t="str">
        <f t="shared" si="1"/>
        <v>23/06/95</v>
      </c>
      <c r="F357" s="18">
        <v>0.0</v>
      </c>
      <c r="G357" s="27">
        <v>3353.47</v>
      </c>
      <c r="H357" s="18" t="s">
        <v>140</v>
      </c>
      <c r="I357" s="18" t="s">
        <v>142</v>
      </c>
      <c r="J357" s="18" t="s">
        <v>325</v>
      </c>
      <c r="K357" s="29">
        <f t="shared" si="2"/>
        <v>27</v>
      </c>
    </row>
    <row r="358" ht="15.75" customHeight="1">
      <c r="A358" s="18" t="s">
        <v>2756</v>
      </c>
      <c r="B358" s="18">
        <v>1993.0</v>
      </c>
      <c r="C358" s="18" t="s">
        <v>517</v>
      </c>
      <c r="D358" s="18">
        <v>7.0</v>
      </c>
      <c r="E358" s="18" t="str">
        <f t="shared" si="1"/>
        <v>07/10/93</v>
      </c>
      <c r="F358" s="18">
        <v>0.0</v>
      </c>
      <c r="G358" s="27">
        <v>3366.67</v>
      </c>
      <c r="H358" s="18" t="s">
        <v>140</v>
      </c>
      <c r="I358" s="18" t="s">
        <v>140</v>
      </c>
      <c r="J358" s="18" t="s">
        <v>146</v>
      </c>
      <c r="K358" s="29">
        <f t="shared" si="2"/>
        <v>29</v>
      </c>
    </row>
    <row r="359" ht="15.75" customHeight="1">
      <c r="A359" s="18" t="s">
        <v>2761</v>
      </c>
      <c r="B359" s="18">
        <v>1996.0</v>
      </c>
      <c r="C359" s="18" t="s">
        <v>457</v>
      </c>
      <c r="D359" s="18">
        <v>14.0</v>
      </c>
      <c r="E359" s="18" t="str">
        <f t="shared" si="1"/>
        <v>14/12/96</v>
      </c>
      <c r="F359" s="18">
        <v>1.0</v>
      </c>
      <c r="G359" s="27">
        <v>3378.91</v>
      </c>
      <c r="H359" s="18" t="s">
        <v>140</v>
      </c>
      <c r="I359" s="18" t="s">
        <v>219</v>
      </c>
      <c r="J359" s="18" t="s">
        <v>570</v>
      </c>
      <c r="K359" s="29">
        <f t="shared" si="2"/>
        <v>26</v>
      </c>
    </row>
    <row r="360" ht="15.75" customHeight="1">
      <c r="A360" s="18" t="s">
        <v>2768</v>
      </c>
      <c r="B360" s="18">
        <v>1996.0</v>
      </c>
      <c r="C360" s="18" t="s">
        <v>209</v>
      </c>
      <c r="D360" s="18">
        <v>13.0</v>
      </c>
      <c r="E360" s="18" t="str">
        <f t="shared" si="1"/>
        <v>13/11/96</v>
      </c>
      <c r="F360" s="18">
        <v>0.0</v>
      </c>
      <c r="G360" s="27">
        <v>3385.4</v>
      </c>
      <c r="H360" s="18" t="s">
        <v>140</v>
      </c>
      <c r="I360" s="18" t="s">
        <v>140</v>
      </c>
      <c r="J360" s="18" t="s">
        <v>2024</v>
      </c>
      <c r="K360" s="29">
        <f t="shared" si="2"/>
        <v>26</v>
      </c>
    </row>
    <row r="361" ht="15.75" customHeight="1">
      <c r="A361" s="18" t="s">
        <v>2773</v>
      </c>
      <c r="B361" s="18">
        <v>1996.0</v>
      </c>
      <c r="C361" s="18" t="s">
        <v>501</v>
      </c>
      <c r="D361" s="18">
        <v>10.0</v>
      </c>
      <c r="E361" s="18" t="str">
        <f t="shared" si="1"/>
        <v>10/08/96</v>
      </c>
      <c r="F361" s="18">
        <v>1.0</v>
      </c>
      <c r="G361" s="27">
        <v>3392.37</v>
      </c>
      <c r="H361" s="18" t="s">
        <v>140</v>
      </c>
      <c r="I361" s="18" t="s">
        <v>142</v>
      </c>
      <c r="J361" s="18" t="s">
        <v>146</v>
      </c>
      <c r="K361" s="29">
        <f t="shared" si="2"/>
        <v>26</v>
      </c>
    </row>
    <row r="362" ht="15.75" customHeight="1">
      <c r="A362" s="18" t="s">
        <v>2778</v>
      </c>
      <c r="B362" s="18">
        <v>1996.0</v>
      </c>
      <c r="C362" s="18" t="s">
        <v>517</v>
      </c>
      <c r="D362" s="18">
        <v>27.0</v>
      </c>
      <c r="E362" s="18" t="str">
        <f t="shared" si="1"/>
        <v>27/10/96</v>
      </c>
      <c r="F362" s="18">
        <v>1.0</v>
      </c>
      <c r="G362" s="27">
        <v>3392.98</v>
      </c>
      <c r="H362" s="18" t="s">
        <v>140</v>
      </c>
      <c r="I362" s="18" t="s">
        <v>142</v>
      </c>
      <c r="J362" s="18" t="s">
        <v>146</v>
      </c>
      <c r="K362" s="29">
        <f t="shared" si="2"/>
        <v>26</v>
      </c>
    </row>
    <row r="363" ht="15.75" customHeight="1">
      <c r="A363" s="18" t="s">
        <v>2784</v>
      </c>
      <c r="B363" s="18">
        <v>2004.0</v>
      </c>
      <c r="C363" s="18" t="s">
        <v>91</v>
      </c>
      <c r="D363" s="18">
        <v>16.0</v>
      </c>
      <c r="E363" s="18" t="str">
        <f t="shared" si="1"/>
        <v>16/07/04</v>
      </c>
      <c r="F363" s="18">
        <v>2.0</v>
      </c>
      <c r="G363" s="27">
        <v>3393.36</v>
      </c>
      <c r="H363" s="18" t="s">
        <v>140</v>
      </c>
      <c r="I363" s="18" t="s">
        <v>140</v>
      </c>
      <c r="J363" s="18" t="s">
        <v>2031</v>
      </c>
      <c r="K363" s="29">
        <f t="shared" si="2"/>
        <v>18</v>
      </c>
    </row>
    <row r="364" ht="15.75" customHeight="1">
      <c r="A364" s="18" t="s">
        <v>2790</v>
      </c>
      <c r="B364" s="18">
        <v>1996.0</v>
      </c>
      <c r="C364" s="18" t="s">
        <v>457</v>
      </c>
      <c r="D364" s="18">
        <v>19.0</v>
      </c>
      <c r="E364" s="18" t="str">
        <f t="shared" si="1"/>
        <v>19/12/96</v>
      </c>
      <c r="F364" s="18">
        <v>1.0</v>
      </c>
      <c r="G364" s="27">
        <v>3410.32</v>
      </c>
      <c r="H364" s="18" t="s">
        <v>140</v>
      </c>
      <c r="I364" s="18" t="s">
        <v>140</v>
      </c>
      <c r="J364" s="18" t="s">
        <v>570</v>
      </c>
      <c r="K364" s="29">
        <f t="shared" si="2"/>
        <v>26</v>
      </c>
    </row>
    <row r="365" ht="15.75" customHeight="1">
      <c r="A365" s="18" t="s">
        <v>2797</v>
      </c>
      <c r="B365" s="18">
        <v>2001.0</v>
      </c>
      <c r="C365" s="18" t="s">
        <v>457</v>
      </c>
      <c r="D365" s="18">
        <v>26.0</v>
      </c>
      <c r="E365" s="18" t="str">
        <f t="shared" si="1"/>
        <v>26/12/01</v>
      </c>
      <c r="F365" s="18">
        <v>0.0</v>
      </c>
      <c r="G365" s="27">
        <v>3434.38</v>
      </c>
      <c r="H365" s="18" t="s">
        <v>140</v>
      </c>
      <c r="I365" s="18" t="s">
        <v>140</v>
      </c>
      <c r="J365" s="18" t="s">
        <v>570</v>
      </c>
      <c r="K365" s="29">
        <f t="shared" si="2"/>
        <v>21</v>
      </c>
    </row>
    <row r="366" ht="15.75" customHeight="1">
      <c r="A366" s="18" t="s">
        <v>2801</v>
      </c>
      <c r="B366" s="18">
        <v>1986.0</v>
      </c>
      <c r="C366" s="18" t="s">
        <v>501</v>
      </c>
      <c r="D366" s="18">
        <v>27.0</v>
      </c>
      <c r="E366" s="18" t="str">
        <f t="shared" si="1"/>
        <v>27/08/86</v>
      </c>
      <c r="F366" s="18">
        <v>3.0</v>
      </c>
      <c r="G366" s="27">
        <v>3436.5</v>
      </c>
      <c r="H366" s="18" t="s">
        <v>140</v>
      </c>
      <c r="I366" s="18" t="s">
        <v>219</v>
      </c>
      <c r="J366" s="18" t="s">
        <v>146</v>
      </c>
      <c r="K366" s="29">
        <f t="shared" si="2"/>
        <v>36</v>
      </c>
    </row>
    <row r="367" ht="15.75" customHeight="1">
      <c r="A367" s="18" t="s">
        <v>2806</v>
      </c>
      <c r="B367" s="18">
        <v>2000.0</v>
      </c>
      <c r="C367" s="18" t="s">
        <v>241</v>
      </c>
      <c r="D367" s="18">
        <v>20.0</v>
      </c>
      <c r="E367" s="18" t="str">
        <f t="shared" si="1"/>
        <v>20/06/00</v>
      </c>
      <c r="F367" s="18">
        <v>3.0</v>
      </c>
      <c r="G367" s="27">
        <v>3443.06</v>
      </c>
      <c r="H367" s="18" t="s">
        <v>140</v>
      </c>
      <c r="I367" s="18" t="s">
        <v>219</v>
      </c>
      <c r="J367" s="18" t="s">
        <v>570</v>
      </c>
      <c r="K367" s="29">
        <f t="shared" si="2"/>
        <v>22</v>
      </c>
    </row>
    <row r="368" ht="15.75" customHeight="1">
      <c r="A368" s="18" t="s">
        <v>2814</v>
      </c>
      <c r="B368" s="18">
        <v>1987.0</v>
      </c>
      <c r="C368" s="18" t="s">
        <v>272</v>
      </c>
      <c r="D368" s="18">
        <v>14.0</v>
      </c>
      <c r="E368" s="18" t="str">
        <f t="shared" si="1"/>
        <v>14/09/87</v>
      </c>
      <c r="F368" s="18">
        <v>3.0</v>
      </c>
      <c r="G368" s="27">
        <v>3453.77</v>
      </c>
      <c r="H368" s="18" t="s">
        <v>140</v>
      </c>
      <c r="I368" s="18" t="s">
        <v>219</v>
      </c>
      <c r="J368" s="18" t="s">
        <v>570</v>
      </c>
      <c r="K368" s="29">
        <f t="shared" si="2"/>
        <v>35</v>
      </c>
    </row>
    <row r="369" ht="15.75" customHeight="1">
      <c r="A369" s="18" t="s">
        <v>2821</v>
      </c>
      <c r="B369" s="18">
        <v>2003.0</v>
      </c>
      <c r="C369" s="18" t="s">
        <v>91</v>
      </c>
      <c r="D369" s="18">
        <v>29.0</v>
      </c>
      <c r="E369" s="18" t="str">
        <f t="shared" si="1"/>
        <v>29/07/03</v>
      </c>
      <c r="F369" s="18">
        <v>0.0</v>
      </c>
      <c r="G369" s="27">
        <v>3463.51</v>
      </c>
      <c r="H369" s="18" t="s">
        <v>140</v>
      </c>
      <c r="I369" s="18" t="s">
        <v>219</v>
      </c>
      <c r="J369" s="18" t="s">
        <v>1647</v>
      </c>
      <c r="K369" s="29">
        <f t="shared" si="2"/>
        <v>19</v>
      </c>
    </row>
    <row r="370" ht="15.75" customHeight="1">
      <c r="A370" s="18" t="s">
        <v>2828</v>
      </c>
      <c r="B370" s="18">
        <v>1993.0</v>
      </c>
      <c r="C370" s="18" t="s">
        <v>517</v>
      </c>
      <c r="D370" s="18">
        <v>12.0</v>
      </c>
      <c r="E370" s="18" t="str">
        <f t="shared" si="1"/>
        <v>12/10/93</v>
      </c>
      <c r="F370" s="18">
        <v>1.0</v>
      </c>
      <c r="G370" s="27">
        <v>3471.41</v>
      </c>
      <c r="H370" s="18" t="s">
        <v>140</v>
      </c>
      <c r="I370" s="18" t="s">
        <v>140</v>
      </c>
      <c r="J370" s="18" t="s">
        <v>146</v>
      </c>
      <c r="K370" s="29">
        <f t="shared" si="2"/>
        <v>29</v>
      </c>
    </row>
    <row r="371" ht="15.75" customHeight="1">
      <c r="A371" s="18" t="s">
        <v>2834</v>
      </c>
      <c r="B371" s="18">
        <v>2004.0</v>
      </c>
      <c r="C371" s="18" t="s">
        <v>241</v>
      </c>
      <c r="D371" s="18">
        <v>26.0</v>
      </c>
      <c r="E371" s="18" t="str">
        <f t="shared" si="1"/>
        <v>26/06/04</v>
      </c>
      <c r="F371" s="18">
        <v>3.0</v>
      </c>
      <c r="G371" s="27">
        <v>3481.87</v>
      </c>
      <c r="H371" s="18" t="s">
        <v>140</v>
      </c>
      <c r="I371" s="18" t="s">
        <v>142</v>
      </c>
      <c r="J371" s="18" t="s">
        <v>1427</v>
      </c>
      <c r="K371" s="29">
        <f t="shared" si="2"/>
        <v>18</v>
      </c>
    </row>
    <row r="372" ht="15.75" customHeight="1">
      <c r="A372" s="18" t="s">
        <v>2839</v>
      </c>
      <c r="B372" s="18">
        <v>1996.0</v>
      </c>
      <c r="C372" s="18" t="s">
        <v>272</v>
      </c>
      <c r="D372" s="18">
        <v>19.0</v>
      </c>
      <c r="E372" s="18" t="str">
        <f t="shared" si="1"/>
        <v>19/09/96</v>
      </c>
      <c r="F372" s="18">
        <v>2.0</v>
      </c>
      <c r="G372" s="27">
        <v>3484.33</v>
      </c>
      <c r="H372" s="18" t="s">
        <v>142</v>
      </c>
      <c r="I372" s="18" t="s">
        <v>142</v>
      </c>
      <c r="J372" s="18" t="s">
        <v>570</v>
      </c>
      <c r="K372" s="29">
        <f t="shared" si="2"/>
        <v>26</v>
      </c>
    </row>
    <row r="373" ht="15.75" customHeight="1">
      <c r="A373" s="18" t="s">
        <v>2844</v>
      </c>
      <c r="B373" s="18">
        <v>1996.0</v>
      </c>
      <c r="C373" s="18" t="s">
        <v>272</v>
      </c>
      <c r="D373" s="18">
        <v>18.0</v>
      </c>
      <c r="E373" s="18" t="str">
        <f t="shared" si="1"/>
        <v>18/09/96</v>
      </c>
      <c r="F373" s="18">
        <v>1.0</v>
      </c>
      <c r="G373" s="27">
        <v>3490.55</v>
      </c>
      <c r="H373" s="18" t="s">
        <v>219</v>
      </c>
      <c r="I373" s="18" t="s">
        <v>140</v>
      </c>
      <c r="J373" s="18" t="s">
        <v>1414</v>
      </c>
      <c r="K373" s="29">
        <f t="shared" si="2"/>
        <v>26</v>
      </c>
    </row>
    <row r="374" ht="15.75" customHeight="1">
      <c r="A374" s="18" t="s">
        <v>2852</v>
      </c>
      <c r="B374" s="18">
        <v>1999.0</v>
      </c>
      <c r="C374" s="18" t="s">
        <v>272</v>
      </c>
      <c r="D374" s="18">
        <v>22.0</v>
      </c>
      <c r="E374" s="18" t="str">
        <f t="shared" si="1"/>
        <v>22/09/99</v>
      </c>
      <c r="F374" s="18">
        <v>2.0</v>
      </c>
      <c r="G374" s="27">
        <v>3500.61</v>
      </c>
      <c r="H374" s="18" t="s">
        <v>140</v>
      </c>
      <c r="I374" s="18" t="s">
        <v>140</v>
      </c>
      <c r="J374" s="18" t="s">
        <v>146</v>
      </c>
      <c r="K374" s="29">
        <f t="shared" si="2"/>
        <v>23</v>
      </c>
    </row>
    <row r="375" ht="15.75" customHeight="1">
      <c r="A375" s="18" t="s">
        <v>2859</v>
      </c>
      <c r="B375" s="18">
        <v>1998.0</v>
      </c>
      <c r="C375" s="18" t="s">
        <v>272</v>
      </c>
      <c r="D375" s="18">
        <v>16.0</v>
      </c>
      <c r="E375" s="18" t="str">
        <f t="shared" si="1"/>
        <v>16/09/98</v>
      </c>
      <c r="F375" s="18">
        <v>2.0</v>
      </c>
      <c r="G375" s="27">
        <v>3537.7</v>
      </c>
      <c r="H375" s="18" t="s">
        <v>142</v>
      </c>
      <c r="I375" s="18" t="s">
        <v>142</v>
      </c>
      <c r="J375" s="18" t="s">
        <v>325</v>
      </c>
      <c r="K375" s="29">
        <f t="shared" si="2"/>
        <v>24</v>
      </c>
    </row>
    <row r="376" ht="15.75" customHeight="1">
      <c r="A376" s="18" t="s">
        <v>2864</v>
      </c>
      <c r="B376" s="18">
        <v>2003.0</v>
      </c>
      <c r="C376" s="18" t="s">
        <v>501</v>
      </c>
      <c r="D376" s="18">
        <v>24.0</v>
      </c>
      <c r="E376" s="18" t="str">
        <f t="shared" si="1"/>
        <v>24/08/03</v>
      </c>
      <c r="F376" s="18">
        <v>0.0</v>
      </c>
      <c r="G376" s="27">
        <v>3538.9</v>
      </c>
      <c r="H376" s="18" t="s">
        <v>140</v>
      </c>
      <c r="I376" s="18" t="s">
        <v>140</v>
      </c>
      <c r="J376" s="18" t="s">
        <v>325</v>
      </c>
      <c r="K376" s="29">
        <f t="shared" si="2"/>
        <v>19</v>
      </c>
    </row>
    <row r="377" ht="15.75" customHeight="1">
      <c r="A377" s="18" t="s">
        <v>2869</v>
      </c>
      <c r="B377" s="18">
        <v>1988.0</v>
      </c>
      <c r="C377" s="18" t="s">
        <v>517</v>
      </c>
      <c r="D377" s="18">
        <v>15.0</v>
      </c>
      <c r="E377" s="18" t="str">
        <f t="shared" si="1"/>
        <v>15/10/88</v>
      </c>
      <c r="F377" s="18">
        <v>3.0</v>
      </c>
      <c r="G377" s="27">
        <v>3540.12</v>
      </c>
      <c r="H377" s="18" t="s">
        <v>140</v>
      </c>
      <c r="I377" s="18" t="s">
        <v>219</v>
      </c>
      <c r="J377" s="18" t="s">
        <v>146</v>
      </c>
      <c r="K377" s="29">
        <f t="shared" si="2"/>
        <v>34</v>
      </c>
    </row>
    <row r="378" ht="15.75" customHeight="1">
      <c r="A378" s="18" t="s">
        <v>2872</v>
      </c>
      <c r="B378" s="18">
        <v>1992.0</v>
      </c>
      <c r="C378" s="18" t="s">
        <v>457</v>
      </c>
      <c r="D378" s="18">
        <v>22.0</v>
      </c>
      <c r="E378" s="18" t="str">
        <f t="shared" si="1"/>
        <v>22/12/92</v>
      </c>
      <c r="F378" s="18">
        <v>0.0</v>
      </c>
      <c r="G378" s="27">
        <v>3554.2</v>
      </c>
      <c r="H378" s="18" t="s">
        <v>140</v>
      </c>
      <c r="I378" s="18" t="s">
        <v>142</v>
      </c>
      <c r="J378" s="18" t="s">
        <v>570</v>
      </c>
      <c r="K378" s="29">
        <f t="shared" si="2"/>
        <v>30</v>
      </c>
    </row>
    <row r="379" ht="15.75" customHeight="1">
      <c r="A379" s="18" t="s">
        <v>2878</v>
      </c>
      <c r="B379" s="18">
        <v>1994.0</v>
      </c>
      <c r="C379" s="18" t="s">
        <v>272</v>
      </c>
      <c r="D379" s="18">
        <v>24.0</v>
      </c>
      <c r="E379" s="18" t="str">
        <f t="shared" si="1"/>
        <v>24/09/94</v>
      </c>
      <c r="F379" s="18">
        <v>0.0</v>
      </c>
      <c r="G379" s="27">
        <v>3556.92</v>
      </c>
      <c r="H379" s="18" t="s">
        <v>140</v>
      </c>
      <c r="I379" s="18" t="s">
        <v>142</v>
      </c>
      <c r="J379" s="18" t="s">
        <v>325</v>
      </c>
      <c r="K379" s="29">
        <f t="shared" si="2"/>
        <v>28</v>
      </c>
    </row>
    <row r="380" ht="15.75" customHeight="1">
      <c r="A380" s="18" t="s">
        <v>2883</v>
      </c>
      <c r="B380" s="18">
        <v>1995.0</v>
      </c>
      <c r="C380" s="18" t="s">
        <v>517</v>
      </c>
      <c r="D380" s="18">
        <v>9.0</v>
      </c>
      <c r="E380" s="18" t="str">
        <f t="shared" si="1"/>
        <v>09/10/95</v>
      </c>
      <c r="F380" s="18">
        <v>0.0</v>
      </c>
      <c r="G380" s="27">
        <v>3558.62</v>
      </c>
      <c r="H380" s="18" t="s">
        <v>140</v>
      </c>
      <c r="I380" s="18" t="s">
        <v>142</v>
      </c>
      <c r="J380" s="18" t="s">
        <v>2024</v>
      </c>
      <c r="K380" s="29">
        <f t="shared" si="2"/>
        <v>27</v>
      </c>
    </row>
    <row r="381" ht="15.75" customHeight="1">
      <c r="A381" s="18" t="s">
        <v>2889</v>
      </c>
      <c r="B381" s="18">
        <v>1995.0</v>
      </c>
      <c r="C381" s="18" t="s">
        <v>241</v>
      </c>
      <c r="D381" s="18">
        <v>16.0</v>
      </c>
      <c r="E381" s="18" t="str">
        <f t="shared" si="1"/>
        <v>16/06/95</v>
      </c>
      <c r="F381" s="18">
        <v>1.0</v>
      </c>
      <c r="G381" s="27">
        <v>3561.89</v>
      </c>
      <c r="H381" s="18" t="s">
        <v>140</v>
      </c>
      <c r="I381" s="18" t="s">
        <v>219</v>
      </c>
      <c r="J381" s="18" t="s">
        <v>146</v>
      </c>
      <c r="K381" s="29">
        <f t="shared" si="2"/>
        <v>27</v>
      </c>
    </row>
    <row r="382" ht="15.75" customHeight="1">
      <c r="A382" s="18" t="s">
        <v>2894</v>
      </c>
      <c r="B382" s="18">
        <v>1981.0</v>
      </c>
      <c r="C382" s="18" t="s">
        <v>517</v>
      </c>
      <c r="D382" s="18">
        <v>10.0</v>
      </c>
      <c r="E382" s="18" t="str">
        <f t="shared" si="1"/>
        <v>10/10/81</v>
      </c>
      <c r="F382" s="18">
        <v>1.0</v>
      </c>
      <c r="G382" s="27">
        <v>3562.87</v>
      </c>
      <c r="H382" s="18" t="s">
        <v>140</v>
      </c>
      <c r="I382" s="18" t="s">
        <v>219</v>
      </c>
      <c r="J382" s="18" t="s">
        <v>146</v>
      </c>
      <c r="K382" s="29">
        <f t="shared" si="2"/>
        <v>41</v>
      </c>
    </row>
    <row r="383" ht="15.75" customHeight="1">
      <c r="A383" s="18" t="s">
        <v>2900</v>
      </c>
      <c r="B383" s="18">
        <v>1988.0</v>
      </c>
      <c r="C383" s="18" t="s">
        <v>501</v>
      </c>
      <c r="D383" s="18">
        <v>18.0</v>
      </c>
      <c r="E383" s="18" t="str">
        <f t="shared" si="1"/>
        <v>18/08/88</v>
      </c>
      <c r="F383" s="18">
        <v>3.0</v>
      </c>
      <c r="G383" s="27">
        <v>3569.96</v>
      </c>
      <c r="H383" s="18" t="s">
        <v>140</v>
      </c>
      <c r="I383" s="18" t="s">
        <v>219</v>
      </c>
      <c r="J383" s="18" t="s">
        <v>325</v>
      </c>
      <c r="K383" s="29">
        <f t="shared" si="2"/>
        <v>34</v>
      </c>
    </row>
    <row r="384" ht="15.75" customHeight="1">
      <c r="A384" s="18" t="s">
        <v>2904</v>
      </c>
      <c r="B384" s="18">
        <v>1995.0</v>
      </c>
      <c r="C384" s="18" t="s">
        <v>501</v>
      </c>
      <c r="D384" s="18">
        <v>23.0</v>
      </c>
      <c r="E384" s="18" t="str">
        <f t="shared" si="1"/>
        <v>23/08/95</v>
      </c>
      <c r="F384" s="18">
        <v>1.0</v>
      </c>
      <c r="G384" s="27">
        <v>3578.0</v>
      </c>
      <c r="H384" s="18" t="s">
        <v>140</v>
      </c>
      <c r="I384" s="18" t="s">
        <v>142</v>
      </c>
      <c r="J384" s="18" t="s">
        <v>570</v>
      </c>
      <c r="K384" s="29">
        <f t="shared" si="2"/>
        <v>27</v>
      </c>
    </row>
    <row r="385" ht="15.75" customHeight="1">
      <c r="A385" s="18" t="s">
        <v>2910</v>
      </c>
      <c r="B385" s="18">
        <v>2001.0</v>
      </c>
      <c r="C385" s="18" t="s">
        <v>209</v>
      </c>
      <c r="D385" s="18">
        <v>11.0</v>
      </c>
      <c r="E385" s="18" t="str">
        <f t="shared" si="1"/>
        <v>11/11/01</v>
      </c>
      <c r="F385" s="18">
        <v>2.0</v>
      </c>
      <c r="G385" s="27">
        <v>3579.83</v>
      </c>
      <c r="H385" s="18" t="s">
        <v>140</v>
      </c>
      <c r="I385" s="18" t="s">
        <v>140</v>
      </c>
      <c r="J385" s="18" t="s">
        <v>325</v>
      </c>
      <c r="K385" s="29">
        <f t="shared" si="2"/>
        <v>21</v>
      </c>
    </row>
    <row r="386" ht="15.75" customHeight="1">
      <c r="A386" s="18" t="s">
        <v>2917</v>
      </c>
      <c r="B386" s="18">
        <v>1986.0</v>
      </c>
      <c r="C386" s="18" t="s">
        <v>457</v>
      </c>
      <c r="D386" s="18">
        <v>27.0</v>
      </c>
      <c r="E386" s="18" t="str">
        <f t="shared" si="1"/>
        <v>27/12/86</v>
      </c>
      <c r="F386" s="18">
        <v>3.0</v>
      </c>
      <c r="G386" s="27">
        <v>3589.14</v>
      </c>
      <c r="H386" s="18" t="s">
        <v>140</v>
      </c>
      <c r="I386" s="18" t="s">
        <v>140</v>
      </c>
      <c r="J386" s="18" t="s">
        <v>146</v>
      </c>
      <c r="K386" s="29">
        <f t="shared" si="2"/>
        <v>36</v>
      </c>
    </row>
    <row r="387" ht="15.75" customHeight="1">
      <c r="A387" s="18" t="s">
        <v>2919</v>
      </c>
      <c r="B387" s="18">
        <v>1999.0</v>
      </c>
      <c r="C387" s="18" t="s">
        <v>241</v>
      </c>
      <c r="D387" s="18">
        <v>6.0</v>
      </c>
      <c r="E387" s="18" t="str">
        <f t="shared" si="1"/>
        <v>06/06/99</v>
      </c>
      <c r="F387" s="18">
        <v>3.0</v>
      </c>
      <c r="G387" s="27">
        <v>3591.48</v>
      </c>
      <c r="H387" s="18" t="s">
        <v>140</v>
      </c>
      <c r="I387" s="18" t="s">
        <v>142</v>
      </c>
      <c r="J387" s="18" t="s">
        <v>570</v>
      </c>
      <c r="K387" s="29">
        <f t="shared" si="2"/>
        <v>24</v>
      </c>
    </row>
    <row r="388" ht="15.75" customHeight="1">
      <c r="A388" s="18" t="s">
        <v>2920</v>
      </c>
      <c r="B388" s="18">
        <v>1997.0</v>
      </c>
      <c r="C388" s="18" t="s">
        <v>209</v>
      </c>
      <c r="D388" s="18">
        <v>4.0</v>
      </c>
      <c r="E388" s="18" t="str">
        <f t="shared" si="1"/>
        <v>04/11/97</v>
      </c>
      <c r="F388" s="18">
        <v>1.0</v>
      </c>
      <c r="G388" s="27">
        <v>3594.17</v>
      </c>
      <c r="H388" s="18" t="s">
        <v>140</v>
      </c>
      <c r="I388" s="18" t="s">
        <v>140</v>
      </c>
      <c r="J388" s="18" t="s">
        <v>325</v>
      </c>
      <c r="K388" s="29">
        <f t="shared" si="2"/>
        <v>25</v>
      </c>
    </row>
    <row r="389" ht="15.75" customHeight="1">
      <c r="A389" s="18" t="s">
        <v>2921</v>
      </c>
      <c r="B389" s="18">
        <v>1999.0</v>
      </c>
      <c r="C389" s="18" t="s">
        <v>501</v>
      </c>
      <c r="D389" s="18">
        <v>12.0</v>
      </c>
      <c r="E389" s="18" t="str">
        <f t="shared" si="1"/>
        <v>12/08/99</v>
      </c>
      <c r="F389" s="18">
        <v>3.0</v>
      </c>
      <c r="G389" s="27">
        <v>3597.6</v>
      </c>
      <c r="H389" s="18" t="s">
        <v>140</v>
      </c>
      <c r="I389" s="18" t="s">
        <v>140</v>
      </c>
      <c r="J389" s="18" t="s">
        <v>570</v>
      </c>
      <c r="K389" s="29">
        <f t="shared" si="2"/>
        <v>23</v>
      </c>
    </row>
    <row r="390" ht="15.75" customHeight="1">
      <c r="A390" s="18" t="s">
        <v>2922</v>
      </c>
      <c r="B390" s="18">
        <v>1988.0</v>
      </c>
      <c r="C390" s="18" t="s">
        <v>209</v>
      </c>
      <c r="D390" s="18">
        <v>4.0</v>
      </c>
      <c r="E390" s="18" t="str">
        <f t="shared" si="1"/>
        <v>04/11/88</v>
      </c>
      <c r="F390" s="18">
        <v>3.0</v>
      </c>
      <c r="G390" s="27">
        <v>3603.6</v>
      </c>
      <c r="H390" s="18" t="s">
        <v>140</v>
      </c>
      <c r="I390" s="18" t="s">
        <v>219</v>
      </c>
      <c r="J390" s="18" t="s">
        <v>146</v>
      </c>
      <c r="K390" s="29">
        <f t="shared" si="2"/>
        <v>34</v>
      </c>
    </row>
    <row r="391" ht="15.75" customHeight="1">
      <c r="A391" s="18" t="s">
        <v>2923</v>
      </c>
      <c r="B391" s="18">
        <v>1990.0</v>
      </c>
      <c r="C391" s="18" t="s">
        <v>517</v>
      </c>
      <c r="D391" s="18">
        <v>11.0</v>
      </c>
      <c r="E391" s="18" t="str">
        <f t="shared" si="1"/>
        <v>11/10/90</v>
      </c>
      <c r="F391" s="18">
        <v>3.0</v>
      </c>
      <c r="G391" s="27">
        <v>3606.43</v>
      </c>
      <c r="H391" s="18" t="s">
        <v>140</v>
      </c>
      <c r="I391" s="18" t="s">
        <v>219</v>
      </c>
      <c r="J391" s="18" t="s">
        <v>146</v>
      </c>
      <c r="K391" s="29">
        <f t="shared" si="2"/>
        <v>32</v>
      </c>
    </row>
    <row r="392" ht="15.75" customHeight="1">
      <c r="A392" s="18" t="s">
        <v>2924</v>
      </c>
      <c r="B392" s="18">
        <v>1985.0</v>
      </c>
      <c r="C392" s="18" t="s">
        <v>241</v>
      </c>
      <c r="D392" s="18">
        <v>14.0</v>
      </c>
      <c r="E392" s="18" t="str">
        <f t="shared" si="1"/>
        <v>14/06/85</v>
      </c>
      <c r="F392" s="18">
        <v>3.0</v>
      </c>
      <c r="G392" s="27">
        <v>3622.13</v>
      </c>
      <c r="H392" s="18" t="s">
        <v>140</v>
      </c>
      <c r="I392" s="18" t="s">
        <v>219</v>
      </c>
      <c r="J392" s="18" t="s">
        <v>146</v>
      </c>
      <c r="K392" s="29">
        <f t="shared" si="2"/>
        <v>37</v>
      </c>
    </row>
    <row r="393" ht="15.75" customHeight="1">
      <c r="A393" s="18" t="s">
        <v>2926</v>
      </c>
      <c r="B393" s="18">
        <v>1992.0</v>
      </c>
      <c r="C393" s="18" t="s">
        <v>209</v>
      </c>
      <c r="D393" s="18">
        <v>17.0</v>
      </c>
      <c r="E393" s="18" t="str">
        <f t="shared" si="1"/>
        <v>17/11/92</v>
      </c>
      <c r="F393" s="18">
        <v>0.0</v>
      </c>
      <c r="G393" s="27">
        <v>3645.09</v>
      </c>
      <c r="H393" s="18" t="s">
        <v>219</v>
      </c>
      <c r="I393" s="18" t="s">
        <v>140</v>
      </c>
      <c r="J393" s="18" t="s">
        <v>2191</v>
      </c>
      <c r="K393" s="29">
        <f t="shared" si="2"/>
        <v>30</v>
      </c>
    </row>
    <row r="394" ht="15.75" customHeight="1">
      <c r="A394" s="18" t="s">
        <v>2931</v>
      </c>
      <c r="B394" s="18">
        <v>1990.0</v>
      </c>
      <c r="C394" s="18" t="s">
        <v>209</v>
      </c>
      <c r="D394" s="18">
        <v>8.0</v>
      </c>
      <c r="E394" s="18" t="str">
        <f t="shared" si="1"/>
        <v>08/11/90</v>
      </c>
      <c r="F394" s="18">
        <v>3.0</v>
      </c>
      <c r="G394" s="27">
        <v>3653.29</v>
      </c>
      <c r="H394" s="18" t="s">
        <v>140</v>
      </c>
      <c r="I394" s="18" t="s">
        <v>142</v>
      </c>
      <c r="J394" s="18" t="s">
        <v>570</v>
      </c>
      <c r="K394" s="29">
        <f t="shared" si="2"/>
        <v>32</v>
      </c>
    </row>
    <row r="395" ht="15.75" customHeight="1">
      <c r="A395" s="18" t="s">
        <v>2936</v>
      </c>
      <c r="B395" s="18">
        <v>1992.0</v>
      </c>
      <c r="C395" s="18" t="s">
        <v>272</v>
      </c>
      <c r="D395" s="18">
        <v>14.0</v>
      </c>
      <c r="E395" s="18" t="str">
        <f t="shared" si="1"/>
        <v>14/09/92</v>
      </c>
      <c r="F395" s="18">
        <v>1.0</v>
      </c>
      <c r="G395" s="27">
        <v>3659.35</v>
      </c>
      <c r="H395" s="18" t="s">
        <v>142</v>
      </c>
      <c r="I395" s="18" t="s">
        <v>219</v>
      </c>
      <c r="J395" s="18" t="s">
        <v>570</v>
      </c>
      <c r="K395" s="29">
        <f t="shared" si="2"/>
        <v>30</v>
      </c>
    </row>
    <row r="396" ht="15.75" customHeight="1">
      <c r="A396" s="18" t="s">
        <v>2939</v>
      </c>
      <c r="B396" s="18">
        <v>1984.0</v>
      </c>
      <c r="C396" s="18" t="s">
        <v>91</v>
      </c>
      <c r="D396" s="18">
        <v>6.0</v>
      </c>
      <c r="E396" s="18" t="str">
        <f t="shared" si="1"/>
        <v>06/07/84</v>
      </c>
      <c r="F396" s="18">
        <v>3.0</v>
      </c>
      <c r="G396" s="27">
        <v>3678.86</v>
      </c>
      <c r="H396" s="18" t="s">
        <v>140</v>
      </c>
      <c r="I396" s="18" t="s">
        <v>142</v>
      </c>
      <c r="J396" s="18" t="s">
        <v>146</v>
      </c>
      <c r="K396" s="29">
        <f t="shared" si="2"/>
        <v>38</v>
      </c>
    </row>
    <row r="397" ht="15.75" customHeight="1">
      <c r="A397" s="18" t="s">
        <v>2943</v>
      </c>
      <c r="B397" s="18">
        <v>2003.0</v>
      </c>
      <c r="C397" s="18" t="s">
        <v>91</v>
      </c>
      <c r="D397" s="18">
        <v>10.0</v>
      </c>
      <c r="E397" s="18" t="str">
        <f t="shared" si="1"/>
        <v>10/07/03</v>
      </c>
      <c r="F397" s="18">
        <v>0.0</v>
      </c>
      <c r="G397" s="27">
        <v>3688.35</v>
      </c>
      <c r="H397" s="18" t="s">
        <v>140</v>
      </c>
      <c r="I397" s="18" t="s">
        <v>140</v>
      </c>
      <c r="J397" s="18" t="s">
        <v>2314</v>
      </c>
      <c r="K397" s="29">
        <f t="shared" si="2"/>
        <v>19</v>
      </c>
    </row>
    <row r="398" ht="15.75" customHeight="1">
      <c r="A398" s="18" t="s">
        <v>2948</v>
      </c>
      <c r="B398" s="18">
        <v>1981.0</v>
      </c>
      <c r="C398" s="18" t="s">
        <v>457</v>
      </c>
      <c r="D398" s="18">
        <v>14.0</v>
      </c>
      <c r="E398" s="18" t="str">
        <f t="shared" si="1"/>
        <v>14/12/81</v>
      </c>
      <c r="F398" s="18">
        <v>1.0</v>
      </c>
      <c r="G398" s="27">
        <v>3688.38</v>
      </c>
      <c r="H398" s="18" t="s">
        <v>140</v>
      </c>
      <c r="I398" s="18" t="s">
        <v>140</v>
      </c>
      <c r="J398" s="18" t="s">
        <v>146</v>
      </c>
      <c r="K398" s="29">
        <f t="shared" si="2"/>
        <v>41</v>
      </c>
    </row>
    <row r="399" ht="15.75" customHeight="1">
      <c r="A399" s="18" t="s">
        <v>2954</v>
      </c>
      <c r="B399" s="18">
        <v>1995.0</v>
      </c>
      <c r="C399" s="18" t="s">
        <v>517</v>
      </c>
      <c r="D399" s="18">
        <v>21.0</v>
      </c>
      <c r="E399" s="18" t="str">
        <f t="shared" si="1"/>
        <v>21/10/95</v>
      </c>
      <c r="F399" s="18">
        <v>2.0</v>
      </c>
      <c r="G399" s="27">
        <v>3693.43</v>
      </c>
      <c r="H399" s="18" t="s">
        <v>140</v>
      </c>
      <c r="I399" s="18" t="s">
        <v>142</v>
      </c>
      <c r="J399" s="18" t="s">
        <v>570</v>
      </c>
      <c r="K399" s="29">
        <f t="shared" si="2"/>
        <v>27</v>
      </c>
    </row>
    <row r="400" ht="15.75" customHeight="1">
      <c r="A400" s="18" t="s">
        <v>2959</v>
      </c>
      <c r="B400" s="18">
        <v>1988.0</v>
      </c>
      <c r="C400" s="18" t="s">
        <v>501</v>
      </c>
      <c r="D400" s="18">
        <v>18.0</v>
      </c>
      <c r="E400" s="18" t="str">
        <f t="shared" si="1"/>
        <v>18/08/88</v>
      </c>
      <c r="F400" s="18">
        <v>3.0</v>
      </c>
      <c r="G400" s="27">
        <v>3699.54</v>
      </c>
      <c r="H400" s="18" t="s">
        <v>140</v>
      </c>
      <c r="I400" s="18" t="s">
        <v>142</v>
      </c>
      <c r="J400" s="18" t="s">
        <v>146</v>
      </c>
      <c r="K400" s="29">
        <f t="shared" si="2"/>
        <v>34</v>
      </c>
    </row>
    <row r="401" ht="15.75" customHeight="1">
      <c r="A401" s="18" t="s">
        <v>2965</v>
      </c>
      <c r="B401" s="18">
        <v>1989.0</v>
      </c>
      <c r="C401" s="18" t="s">
        <v>457</v>
      </c>
      <c r="D401" s="18">
        <v>2.0</v>
      </c>
      <c r="E401" s="18" t="str">
        <f t="shared" si="1"/>
        <v>02/12/89</v>
      </c>
      <c r="F401" s="18">
        <v>0.0</v>
      </c>
      <c r="G401" s="27">
        <v>3704.35</v>
      </c>
      <c r="H401" s="18" t="s">
        <v>140</v>
      </c>
      <c r="I401" s="18" t="s">
        <v>140</v>
      </c>
      <c r="J401" s="18" t="s">
        <v>146</v>
      </c>
      <c r="K401" s="29">
        <f t="shared" si="2"/>
        <v>33</v>
      </c>
    </row>
    <row r="402" ht="15.75" customHeight="1">
      <c r="A402" s="18" t="s">
        <v>2971</v>
      </c>
      <c r="B402" s="18">
        <v>2004.0</v>
      </c>
      <c r="C402" s="18" t="s">
        <v>209</v>
      </c>
      <c r="D402" s="18">
        <v>5.0</v>
      </c>
      <c r="E402" s="18" t="str">
        <f t="shared" si="1"/>
        <v>05/11/04</v>
      </c>
      <c r="F402" s="18">
        <v>0.0</v>
      </c>
      <c r="G402" s="27">
        <v>3722.23</v>
      </c>
      <c r="H402" s="18" t="s">
        <v>140</v>
      </c>
      <c r="I402" s="18" t="s">
        <v>140</v>
      </c>
      <c r="J402" s="18" t="s">
        <v>1647</v>
      </c>
      <c r="K402" s="29">
        <f t="shared" si="2"/>
        <v>18</v>
      </c>
    </row>
    <row r="403" ht="15.75" customHeight="1">
      <c r="A403" s="18" t="s">
        <v>2976</v>
      </c>
      <c r="B403" s="18">
        <v>1986.0</v>
      </c>
      <c r="C403" s="18" t="s">
        <v>457</v>
      </c>
      <c r="D403" s="18">
        <v>1.0</v>
      </c>
      <c r="E403" s="18" t="str">
        <f t="shared" si="1"/>
        <v>01/12/86</v>
      </c>
      <c r="F403" s="18">
        <v>3.0</v>
      </c>
      <c r="G403" s="27">
        <v>3731.6</v>
      </c>
      <c r="H403" s="18" t="s">
        <v>140</v>
      </c>
      <c r="I403" s="18" t="s">
        <v>140</v>
      </c>
      <c r="J403" s="18" t="s">
        <v>146</v>
      </c>
      <c r="K403" s="29">
        <f t="shared" si="2"/>
        <v>36</v>
      </c>
    </row>
    <row r="404" ht="15.75" customHeight="1">
      <c r="A404" s="18" t="s">
        <v>2980</v>
      </c>
      <c r="B404" s="18">
        <v>1994.0</v>
      </c>
      <c r="C404" s="18" t="s">
        <v>501</v>
      </c>
      <c r="D404" s="18">
        <v>22.0</v>
      </c>
      <c r="E404" s="18" t="str">
        <f t="shared" si="1"/>
        <v>22/08/94</v>
      </c>
      <c r="F404" s="18">
        <v>0.0</v>
      </c>
      <c r="G404" s="27">
        <v>3732.63</v>
      </c>
      <c r="H404" s="18" t="s">
        <v>140</v>
      </c>
      <c r="I404" s="18" t="s">
        <v>142</v>
      </c>
      <c r="J404" s="18" t="s">
        <v>2024</v>
      </c>
      <c r="K404" s="29">
        <f t="shared" si="2"/>
        <v>28</v>
      </c>
    </row>
    <row r="405" ht="15.75" customHeight="1">
      <c r="A405" s="18" t="s">
        <v>2984</v>
      </c>
      <c r="B405" s="18">
        <v>1993.0</v>
      </c>
      <c r="C405" s="18" t="s">
        <v>241</v>
      </c>
      <c r="D405" s="18">
        <v>22.0</v>
      </c>
      <c r="E405" s="18" t="str">
        <f t="shared" si="1"/>
        <v>22/06/93</v>
      </c>
      <c r="F405" s="18">
        <v>0.0</v>
      </c>
      <c r="G405" s="27">
        <v>3736.46</v>
      </c>
      <c r="H405" s="18" t="s">
        <v>140</v>
      </c>
      <c r="I405" s="18" t="s">
        <v>140</v>
      </c>
      <c r="J405" s="18" t="s">
        <v>325</v>
      </c>
      <c r="K405" s="29">
        <f t="shared" si="2"/>
        <v>29</v>
      </c>
    </row>
    <row r="406" ht="15.75" customHeight="1">
      <c r="A406" s="18" t="s">
        <v>2990</v>
      </c>
      <c r="B406" s="18">
        <v>1986.0</v>
      </c>
      <c r="C406" s="18" t="s">
        <v>272</v>
      </c>
      <c r="D406" s="18">
        <v>9.0</v>
      </c>
      <c r="E406" s="18" t="str">
        <f t="shared" si="1"/>
        <v>09/09/86</v>
      </c>
      <c r="F406" s="18">
        <v>3.0</v>
      </c>
      <c r="G406" s="27">
        <v>3748.56</v>
      </c>
      <c r="H406" s="18" t="s">
        <v>140</v>
      </c>
      <c r="I406" s="18" t="s">
        <v>140</v>
      </c>
      <c r="J406" s="18" t="s">
        <v>146</v>
      </c>
      <c r="K406" s="29">
        <f t="shared" si="2"/>
        <v>36</v>
      </c>
    </row>
    <row r="407" ht="15.75" customHeight="1">
      <c r="A407" s="18" t="s">
        <v>2995</v>
      </c>
      <c r="B407" s="18">
        <v>1991.0</v>
      </c>
      <c r="C407" s="18" t="s">
        <v>517</v>
      </c>
      <c r="D407" s="18">
        <v>28.0</v>
      </c>
      <c r="E407" s="18" t="str">
        <f t="shared" si="1"/>
        <v>28/10/91</v>
      </c>
      <c r="F407" s="18">
        <v>0.0</v>
      </c>
      <c r="G407" s="27">
        <v>3756.62</v>
      </c>
      <c r="H407" s="18" t="s">
        <v>140</v>
      </c>
      <c r="I407" s="18" t="s">
        <v>140</v>
      </c>
      <c r="J407" s="18" t="s">
        <v>146</v>
      </c>
      <c r="K407" s="29">
        <f t="shared" si="2"/>
        <v>31</v>
      </c>
    </row>
    <row r="408" ht="15.75" customHeight="1">
      <c r="A408" s="18" t="s">
        <v>3003</v>
      </c>
      <c r="B408" s="18">
        <v>1991.0</v>
      </c>
      <c r="C408" s="18" t="s">
        <v>501</v>
      </c>
      <c r="D408" s="18">
        <v>25.0</v>
      </c>
      <c r="E408" s="18" t="str">
        <f t="shared" si="1"/>
        <v>25/08/91</v>
      </c>
      <c r="F408" s="18">
        <v>0.0</v>
      </c>
      <c r="G408" s="27">
        <v>3757.84</v>
      </c>
      <c r="H408" s="18" t="s">
        <v>140</v>
      </c>
      <c r="I408" s="18" t="s">
        <v>219</v>
      </c>
      <c r="J408" s="18" t="s">
        <v>146</v>
      </c>
      <c r="K408" s="29">
        <f t="shared" si="2"/>
        <v>31</v>
      </c>
    </row>
    <row r="409" ht="15.75" customHeight="1">
      <c r="A409" s="18" t="s">
        <v>3006</v>
      </c>
      <c r="B409" s="18">
        <v>1991.0</v>
      </c>
      <c r="C409" s="18" t="s">
        <v>517</v>
      </c>
      <c r="D409" s="18">
        <v>24.0</v>
      </c>
      <c r="E409" s="18" t="str">
        <f t="shared" si="1"/>
        <v>24/10/91</v>
      </c>
      <c r="F409" s="18">
        <v>0.0</v>
      </c>
      <c r="G409" s="27">
        <v>3761.29</v>
      </c>
      <c r="H409" s="18" t="s">
        <v>140</v>
      </c>
      <c r="I409" s="18" t="s">
        <v>142</v>
      </c>
      <c r="J409" s="18" t="s">
        <v>570</v>
      </c>
      <c r="K409" s="29">
        <f t="shared" si="2"/>
        <v>31</v>
      </c>
    </row>
    <row r="410" ht="15.75" customHeight="1">
      <c r="A410" s="18" t="s">
        <v>3011</v>
      </c>
      <c r="B410" s="18">
        <v>1994.0</v>
      </c>
      <c r="C410" s="18" t="s">
        <v>209</v>
      </c>
      <c r="D410" s="18">
        <v>21.0</v>
      </c>
      <c r="E410" s="18" t="str">
        <f t="shared" si="1"/>
        <v>21/11/94</v>
      </c>
      <c r="F410" s="18">
        <v>1.0</v>
      </c>
      <c r="G410" s="27">
        <v>3766.88</v>
      </c>
      <c r="H410" s="18" t="s">
        <v>140</v>
      </c>
      <c r="I410" s="18" t="s">
        <v>219</v>
      </c>
      <c r="J410" s="18" t="s">
        <v>146</v>
      </c>
      <c r="K410" s="29">
        <f t="shared" si="2"/>
        <v>28</v>
      </c>
    </row>
    <row r="411" ht="15.75" customHeight="1">
      <c r="A411" s="18" t="s">
        <v>3017</v>
      </c>
      <c r="B411" s="18">
        <v>1987.0</v>
      </c>
      <c r="C411" s="18" t="s">
        <v>517</v>
      </c>
      <c r="D411" s="18">
        <v>24.0</v>
      </c>
      <c r="E411" s="18" t="str">
        <f t="shared" si="1"/>
        <v>24/10/87</v>
      </c>
      <c r="F411" s="18">
        <v>3.0</v>
      </c>
      <c r="G411" s="27">
        <v>3773.23</v>
      </c>
      <c r="H411" s="18" t="s">
        <v>140</v>
      </c>
      <c r="I411" s="18" t="s">
        <v>142</v>
      </c>
      <c r="J411" s="18" t="s">
        <v>146</v>
      </c>
      <c r="K411" s="29">
        <f t="shared" si="2"/>
        <v>35</v>
      </c>
    </row>
    <row r="412" ht="15.75" customHeight="1">
      <c r="A412" s="18" t="s">
        <v>3022</v>
      </c>
      <c r="B412" s="18">
        <v>1981.0</v>
      </c>
      <c r="C412" s="18" t="s">
        <v>457</v>
      </c>
      <c r="D412" s="18">
        <v>13.0</v>
      </c>
      <c r="E412" s="18" t="str">
        <f t="shared" si="1"/>
        <v>13/12/81</v>
      </c>
      <c r="F412" s="18">
        <v>1.0</v>
      </c>
      <c r="G412" s="27">
        <v>3785.77</v>
      </c>
      <c r="H412" s="18" t="s">
        <v>140</v>
      </c>
      <c r="I412" s="18" t="s">
        <v>219</v>
      </c>
      <c r="J412" s="18" t="s">
        <v>146</v>
      </c>
      <c r="K412" s="29">
        <f t="shared" si="2"/>
        <v>41</v>
      </c>
    </row>
    <row r="413" ht="15.75" customHeight="1">
      <c r="A413" s="18" t="s">
        <v>3027</v>
      </c>
      <c r="B413" s="18">
        <v>1988.0</v>
      </c>
      <c r="C413" s="18" t="s">
        <v>501</v>
      </c>
      <c r="D413" s="18">
        <v>28.0</v>
      </c>
      <c r="E413" s="18" t="str">
        <f t="shared" si="1"/>
        <v>28/08/88</v>
      </c>
      <c r="F413" s="18">
        <v>3.0</v>
      </c>
      <c r="G413" s="27">
        <v>3793.55</v>
      </c>
      <c r="H413" s="18" t="s">
        <v>140</v>
      </c>
      <c r="I413" s="18" t="s">
        <v>142</v>
      </c>
      <c r="J413" s="18" t="s">
        <v>146</v>
      </c>
      <c r="K413" s="29">
        <f t="shared" si="2"/>
        <v>34</v>
      </c>
    </row>
    <row r="414" ht="15.75" customHeight="1">
      <c r="A414" s="18" t="s">
        <v>3030</v>
      </c>
      <c r="B414" s="18">
        <v>1999.0</v>
      </c>
      <c r="C414" s="18" t="s">
        <v>241</v>
      </c>
      <c r="D414" s="18">
        <v>24.0</v>
      </c>
      <c r="E414" s="18" t="str">
        <f t="shared" si="1"/>
        <v>24/06/99</v>
      </c>
      <c r="F414" s="18">
        <v>0.0</v>
      </c>
      <c r="G414" s="27">
        <v>3796.36</v>
      </c>
      <c r="H414" s="18" t="s">
        <v>140</v>
      </c>
      <c r="I414" s="18" t="s">
        <v>142</v>
      </c>
      <c r="J414" s="18" t="s">
        <v>325</v>
      </c>
      <c r="K414" s="29">
        <f t="shared" si="2"/>
        <v>23</v>
      </c>
    </row>
    <row r="415" ht="15.75" customHeight="1">
      <c r="A415" s="18" t="s">
        <v>3034</v>
      </c>
      <c r="B415" s="18">
        <v>1981.0</v>
      </c>
      <c r="C415" s="18" t="s">
        <v>272</v>
      </c>
      <c r="D415" s="18">
        <v>29.0</v>
      </c>
      <c r="E415" s="18" t="str">
        <f t="shared" si="1"/>
        <v>29/09/81</v>
      </c>
      <c r="F415" s="18">
        <v>1.0</v>
      </c>
      <c r="G415" s="27">
        <v>3797.2</v>
      </c>
      <c r="H415" s="18" t="s">
        <v>140</v>
      </c>
      <c r="I415" s="18" t="s">
        <v>142</v>
      </c>
      <c r="J415" s="18" t="s">
        <v>325</v>
      </c>
      <c r="K415" s="29">
        <f t="shared" si="2"/>
        <v>41</v>
      </c>
    </row>
    <row r="416" ht="15.75" customHeight="1">
      <c r="A416" s="18" t="s">
        <v>3038</v>
      </c>
      <c r="B416" s="18">
        <v>1994.0</v>
      </c>
      <c r="C416" s="18" t="s">
        <v>501</v>
      </c>
      <c r="D416" s="18">
        <v>12.0</v>
      </c>
      <c r="E416" s="18" t="str">
        <f t="shared" si="1"/>
        <v>12/08/94</v>
      </c>
      <c r="F416" s="18">
        <v>2.0</v>
      </c>
      <c r="G416" s="27">
        <v>3847.67</v>
      </c>
      <c r="H416" s="18" t="s">
        <v>142</v>
      </c>
      <c r="I416" s="18" t="s">
        <v>140</v>
      </c>
      <c r="J416" s="18" t="s">
        <v>570</v>
      </c>
      <c r="K416" s="29">
        <f t="shared" si="2"/>
        <v>28</v>
      </c>
    </row>
    <row r="417" ht="15.75" customHeight="1">
      <c r="A417" s="18" t="s">
        <v>3042</v>
      </c>
      <c r="B417" s="18">
        <v>1991.0</v>
      </c>
      <c r="C417" s="18" t="s">
        <v>501</v>
      </c>
      <c r="D417" s="18">
        <v>19.0</v>
      </c>
      <c r="E417" s="18" t="str">
        <f t="shared" si="1"/>
        <v>19/08/91</v>
      </c>
      <c r="F417" s="18">
        <v>0.0</v>
      </c>
      <c r="G417" s="27">
        <v>3857.76</v>
      </c>
      <c r="H417" s="18" t="s">
        <v>142</v>
      </c>
      <c r="I417" s="18" t="s">
        <v>219</v>
      </c>
      <c r="J417" s="18" t="s">
        <v>1427</v>
      </c>
      <c r="K417" s="29">
        <f t="shared" si="2"/>
        <v>31</v>
      </c>
    </row>
    <row r="418" ht="15.75" customHeight="1">
      <c r="A418" s="18" t="s">
        <v>3048</v>
      </c>
      <c r="B418" s="18">
        <v>2001.0</v>
      </c>
      <c r="C418" s="18" t="s">
        <v>241</v>
      </c>
      <c r="D418" s="18">
        <v>6.0</v>
      </c>
      <c r="E418" s="18" t="str">
        <f t="shared" si="1"/>
        <v>06/06/01</v>
      </c>
      <c r="F418" s="18">
        <v>0.0</v>
      </c>
      <c r="G418" s="27">
        <v>3858.51</v>
      </c>
      <c r="H418" s="18" t="s">
        <v>140</v>
      </c>
      <c r="I418" s="18" t="s">
        <v>142</v>
      </c>
      <c r="J418" s="18" t="s">
        <v>1647</v>
      </c>
      <c r="K418" s="29">
        <f t="shared" si="2"/>
        <v>22</v>
      </c>
    </row>
    <row r="419" ht="15.75" customHeight="1">
      <c r="A419" s="18" t="s">
        <v>3053</v>
      </c>
      <c r="B419" s="18">
        <v>2001.0</v>
      </c>
      <c r="C419" s="18" t="s">
        <v>517</v>
      </c>
      <c r="D419" s="18">
        <v>18.0</v>
      </c>
      <c r="E419" s="18" t="str">
        <f t="shared" si="1"/>
        <v>18/10/01</v>
      </c>
      <c r="F419" s="18">
        <v>3.0</v>
      </c>
      <c r="G419" s="27">
        <v>3861.21</v>
      </c>
      <c r="H419" s="18" t="s">
        <v>140</v>
      </c>
      <c r="I419" s="18" t="s">
        <v>140</v>
      </c>
      <c r="J419" s="18" t="s">
        <v>1427</v>
      </c>
      <c r="K419" s="29">
        <f t="shared" si="2"/>
        <v>21</v>
      </c>
    </row>
    <row r="420" ht="15.75" customHeight="1">
      <c r="A420" s="18" t="s">
        <v>3058</v>
      </c>
      <c r="B420" s="18">
        <v>1990.0</v>
      </c>
      <c r="C420" s="18" t="s">
        <v>241</v>
      </c>
      <c r="D420" s="18">
        <v>24.0</v>
      </c>
      <c r="E420" s="18" t="str">
        <f t="shared" si="1"/>
        <v>24/06/90</v>
      </c>
      <c r="F420" s="18">
        <v>0.0</v>
      </c>
      <c r="G420" s="27">
        <v>3866.86</v>
      </c>
      <c r="H420" s="18" t="s">
        <v>219</v>
      </c>
      <c r="I420" s="18" t="s">
        <v>219</v>
      </c>
      <c r="J420" s="18" t="s">
        <v>325</v>
      </c>
      <c r="K420" s="29">
        <f t="shared" si="2"/>
        <v>32</v>
      </c>
    </row>
    <row r="421" ht="15.75" customHeight="1">
      <c r="A421" s="18" t="s">
        <v>3064</v>
      </c>
      <c r="B421" s="18">
        <v>1991.0</v>
      </c>
      <c r="C421" s="18" t="s">
        <v>91</v>
      </c>
      <c r="D421" s="18">
        <v>25.0</v>
      </c>
      <c r="E421" s="18" t="str">
        <f t="shared" si="1"/>
        <v>25/07/91</v>
      </c>
      <c r="F421" s="18">
        <v>1.0</v>
      </c>
      <c r="G421" s="27">
        <v>3875.73</v>
      </c>
      <c r="H421" s="18" t="s">
        <v>140</v>
      </c>
      <c r="I421" s="18" t="s">
        <v>142</v>
      </c>
      <c r="J421" s="18" t="s">
        <v>146</v>
      </c>
      <c r="K421" s="29">
        <f t="shared" si="2"/>
        <v>31</v>
      </c>
    </row>
    <row r="422" ht="15.75" customHeight="1">
      <c r="A422" s="18" t="s">
        <v>3066</v>
      </c>
      <c r="B422" s="18">
        <v>1996.0</v>
      </c>
      <c r="C422" s="18" t="s">
        <v>517</v>
      </c>
      <c r="D422" s="18">
        <v>23.0</v>
      </c>
      <c r="E422" s="18" t="str">
        <f t="shared" si="1"/>
        <v>23/10/96</v>
      </c>
      <c r="F422" s="18">
        <v>2.0</v>
      </c>
      <c r="G422" s="27">
        <v>3877.3</v>
      </c>
      <c r="H422" s="18" t="s">
        <v>219</v>
      </c>
      <c r="I422" s="18" t="s">
        <v>142</v>
      </c>
      <c r="J422" s="18" t="s">
        <v>325</v>
      </c>
      <c r="K422" s="29">
        <f t="shared" si="2"/>
        <v>26</v>
      </c>
    </row>
    <row r="423" ht="15.75" customHeight="1">
      <c r="A423" s="18" t="s">
        <v>3072</v>
      </c>
      <c r="B423" s="18">
        <v>2004.0</v>
      </c>
      <c r="C423" s="18" t="s">
        <v>91</v>
      </c>
      <c r="D423" s="18">
        <v>13.0</v>
      </c>
      <c r="E423" s="18" t="str">
        <f t="shared" si="1"/>
        <v>13/07/04</v>
      </c>
      <c r="F423" s="18">
        <v>0.0</v>
      </c>
      <c r="G423" s="27">
        <v>3889.2</v>
      </c>
      <c r="H423" s="18" t="s">
        <v>140</v>
      </c>
      <c r="I423" s="18" t="s">
        <v>140</v>
      </c>
      <c r="J423" s="18" t="s">
        <v>325</v>
      </c>
      <c r="K423" s="29">
        <f t="shared" si="2"/>
        <v>18</v>
      </c>
    </row>
    <row r="424" ht="15.75" customHeight="1">
      <c r="A424" s="18" t="s">
        <v>3073</v>
      </c>
      <c r="B424" s="18">
        <v>1993.0</v>
      </c>
      <c r="C424" s="18" t="s">
        <v>272</v>
      </c>
      <c r="D424" s="18">
        <v>14.0</v>
      </c>
      <c r="E424" s="18" t="str">
        <f t="shared" si="1"/>
        <v>14/09/93</v>
      </c>
      <c r="F424" s="18">
        <v>0.0</v>
      </c>
      <c r="G424" s="27">
        <v>3898.35</v>
      </c>
      <c r="H424" s="18" t="s">
        <v>140</v>
      </c>
      <c r="I424" s="18" t="s">
        <v>140</v>
      </c>
      <c r="J424" s="18" t="s">
        <v>325</v>
      </c>
      <c r="K424" s="29">
        <f t="shared" si="2"/>
        <v>29</v>
      </c>
    </row>
    <row r="425" ht="15.75" customHeight="1">
      <c r="A425" s="18" t="s">
        <v>3074</v>
      </c>
      <c r="B425" s="18">
        <v>1981.0</v>
      </c>
      <c r="C425" s="18" t="s">
        <v>501</v>
      </c>
      <c r="D425" s="18">
        <v>27.0</v>
      </c>
      <c r="E425" s="18" t="str">
        <f t="shared" si="1"/>
        <v>27/08/81</v>
      </c>
      <c r="F425" s="18">
        <v>1.0</v>
      </c>
      <c r="G425" s="27">
        <v>3902.07</v>
      </c>
      <c r="H425" s="18" t="s">
        <v>140</v>
      </c>
      <c r="I425" s="18" t="s">
        <v>140</v>
      </c>
      <c r="J425" s="18" t="s">
        <v>146</v>
      </c>
      <c r="K425" s="29">
        <f t="shared" si="2"/>
        <v>41</v>
      </c>
    </row>
    <row r="426" ht="15.75" customHeight="1">
      <c r="A426" s="18" t="s">
        <v>3076</v>
      </c>
      <c r="B426" s="18">
        <v>1997.0</v>
      </c>
      <c r="C426" s="18" t="s">
        <v>209</v>
      </c>
      <c r="D426" s="18">
        <v>24.0</v>
      </c>
      <c r="E426" s="18" t="str">
        <f t="shared" si="1"/>
        <v>24/11/97</v>
      </c>
      <c r="F426" s="18">
        <v>3.0</v>
      </c>
      <c r="G426" s="27">
        <v>3906.13</v>
      </c>
      <c r="H426" s="18" t="s">
        <v>142</v>
      </c>
      <c r="I426" s="18" t="s">
        <v>142</v>
      </c>
      <c r="J426" s="18" t="s">
        <v>570</v>
      </c>
      <c r="K426" s="29">
        <f t="shared" si="2"/>
        <v>25</v>
      </c>
    </row>
    <row r="427" ht="15.75" customHeight="1">
      <c r="A427" s="18" t="s">
        <v>3080</v>
      </c>
      <c r="B427" s="18">
        <v>1985.0</v>
      </c>
      <c r="C427" s="18" t="s">
        <v>91</v>
      </c>
      <c r="D427" s="18">
        <v>5.0</v>
      </c>
      <c r="E427" s="18" t="str">
        <f t="shared" si="1"/>
        <v>05/07/85</v>
      </c>
      <c r="F427" s="18">
        <v>3.0</v>
      </c>
      <c r="G427" s="27">
        <v>3910.44</v>
      </c>
      <c r="H427" s="18" t="s">
        <v>140</v>
      </c>
      <c r="I427" s="18" t="s">
        <v>140</v>
      </c>
      <c r="J427" s="18" t="s">
        <v>146</v>
      </c>
      <c r="K427" s="29">
        <f t="shared" si="2"/>
        <v>37</v>
      </c>
    </row>
    <row r="428" ht="15.75" customHeight="1">
      <c r="A428" s="18" t="s">
        <v>3088</v>
      </c>
      <c r="B428" s="18">
        <v>2000.0</v>
      </c>
      <c r="C428" s="18" t="s">
        <v>91</v>
      </c>
      <c r="D428" s="18">
        <v>10.0</v>
      </c>
      <c r="E428" s="18" t="str">
        <f t="shared" si="1"/>
        <v>10/07/00</v>
      </c>
      <c r="F428" s="18">
        <v>2.0</v>
      </c>
      <c r="G428" s="27">
        <v>3925.76</v>
      </c>
      <c r="H428" s="18" t="s">
        <v>140</v>
      </c>
      <c r="I428" s="18" t="s">
        <v>140</v>
      </c>
      <c r="J428" s="18" t="s">
        <v>2024</v>
      </c>
      <c r="K428" s="29">
        <f t="shared" si="2"/>
        <v>22</v>
      </c>
    </row>
    <row r="429" ht="15.75" customHeight="1">
      <c r="A429" s="18" t="s">
        <v>3095</v>
      </c>
      <c r="B429" s="18">
        <v>2002.0</v>
      </c>
      <c r="C429" s="18" t="s">
        <v>241</v>
      </c>
      <c r="D429" s="18">
        <v>15.0</v>
      </c>
      <c r="E429" s="18" t="str">
        <f t="shared" si="1"/>
        <v>15/06/02</v>
      </c>
      <c r="F429" s="18">
        <v>0.0</v>
      </c>
      <c r="G429" s="27">
        <v>3931.51</v>
      </c>
      <c r="H429" s="18" t="s">
        <v>140</v>
      </c>
      <c r="I429" s="18" t="s">
        <v>142</v>
      </c>
      <c r="J429" s="18" t="s">
        <v>570</v>
      </c>
      <c r="K429" s="29">
        <f t="shared" si="2"/>
        <v>20</v>
      </c>
    </row>
    <row r="430" ht="15.75" customHeight="1">
      <c r="A430" s="18" t="s">
        <v>3100</v>
      </c>
      <c r="B430" s="18">
        <v>1988.0</v>
      </c>
      <c r="C430" s="18" t="s">
        <v>517</v>
      </c>
      <c r="D430" s="18">
        <v>24.0</v>
      </c>
      <c r="E430" s="18" t="str">
        <f t="shared" si="1"/>
        <v>24/10/88</v>
      </c>
      <c r="F430" s="18">
        <v>0.0</v>
      </c>
      <c r="G430" s="27">
        <v>3935.18</v>
      </c>
      <c r="H430" s="18" t="s">
        <v>142</v>
      </c>
      <c r="I430" s="18" t="s">
        <v>219</v>
      </c>
      <c r="J430" s="18" t="s">
        <v>146</v>
      </c>
      <c r="K430" s="29">
        <f t="shared" si="2"/>
        <v>34</v>
      </c>
    </row>
    <row r="431" ht="15.75" customHeight="1">
      <c r="A431" s="18" t="s">
        <v>3108</v>
      </c>
      <c r="B431" s="18">
        <v>1993.0</v>
      </c>
      <c r="C431" s="18" t="s">
        <v>272</v>
      </c>
      <c r="D431" s="18">
        <v>29.0</v>
      </c>
      <c r="E431" s="18" t="str">
        <f t="shared" si="1"/>
        <v>29/09/93</v>
      </c>
      <c r="F431" s="18">
        <v>0.0</v>
      </c>
      <c r="G431" s="27">
        <v>3943.6</v>
      </c>
      <c r="H431" s="18" t="s">
        <v>140</v>
      </c>
      <c r="I431" s="18" t="s">
        <v>142</v>
      </c>
      <c r="J431" s="18" t="s">
        <v>2024</v>
      </c>
      <c r="K431" s="29">
        <f t="shared" si="2"/>
        <v>29</v>
      </c>
    </row>
    <row r="432" ht="15.75" customHeight="1">
      <c r="A432" s="18" t="s">
        <v>3114</v>
      </c>
      <c r="B432" s="18">
        <v>1993.0</v>
      </c>
      <c r="C432" s="18" t="s">
        <v>209</v>
      </c>
      <c r="D432" s="18">
        <v>11.0</v>
      </c>
      <c r="E432" s="18" t="str">
        <f t="shared" si="1"/>
        <v>11/11/93</v>
      </c>
      <c r="F432" s="18">
        <v>1.0</v>
      </c>
      <c r="G432" s="27">
        <v>3947.41</v>
      </c>
      <c r="H432" s="18" t="s">
        <v>140</v>
      </c>
      <c r="I432" s="18" t="s">
        <v>140</v>
      </c>
      <c r="J432" s="18" t="s">
        <v>146</v>
      </c>
      <c r="K432" s="29">
        <f t="shared" si="2"/>
        <v>29</v>
      </c>
    </row>
    <row r="433" ht="15.75" customHeight="1">
      <c r="A433" s="18" t="s">
        <v>3121</v>
      </c>
      <c r="B433" s="18">
        <v>1999.0</v>
      </c>
      <c r="C433" s="18" t="s">
        <v>91</v>
      </c>
      <c r="D433" s="18">
        <v>10.0</v>
      </c>
      <c r="E433" s="18" t="str">
        <f t="shared" si="1"/>
        <v>10/07/99</v>
      </c>
      <c r="F433" s="18">
        <v>0.0</v>
      </c>
      <c r="G433" s="27">
        <v>3955.98</v>
      </c>
      <c r="H433" s="18" t="s">
        <v>140</v>
      </c>
      <c r="I433" s="18" t="s">
        <v>142</v>
      </c>
      <c r="J433" s="18" t="s">
        <v>2314</v>
      </c>
      <c r="K433" s="29">
        <f t="shared" si="2"/>
        <v>23</v>
      </c>
    </row>
    <row r="434" ht="15.75" customHeight="1">
      <c r="A434" s="18" t="s">
        <v>3127</v>
      </c>
      <c r="B434" s="18">
        <v>1995.0</v>
      </c>
      <c r="C434" s="18" t="s">
        <v>91</v>
      </c>
      <c r="D434" s="18">
        <v>11.0</v>
      </c>
      <c r="E434" s="18" t="str">
        <f t="shared" si="1"/>
        <v>11/07/95</v>
      </c>
      <c r="F434" s="18">
        <v>1.0</v>
      </c>
      <c r="G434" s="27">
        <v>3956.07</v>
      </c>
      <c r="H434" s="18" t="s">
        <v>140</v>
      </c>
      <c r="I434" s="18" t="s">
        <v>140</v>
      </c>
      <c r="J434" s="18" t="s">
        <v>325</v>
      </c>
      <c r="K434" s="29">
        <f t="shared" si="2"/>
        <v>27</v>
      </c>
    </row>
    <row r="435" ht="15.75" customHeight="1">
      <c r="A435" s="18" t="s">
        <v>3133</v>
      </c>
      <c r="B435" s="18">
        <v>1990.0</v>
      </c>
      <c r="C435" s="18" t="s">
        <v>91</v>
      </c>
      <c r="D435" s="18">
        <v>29.0</v>
      </c>
      <c r="E435" s="18" t="str">
        <f t="shared" si="1"/>
        <v>29/07/90</v>
      </c>
      <c r="F435" s="18">
        <v>0.0</v>
      </c>
      <c r="G435" s="27">
        <v>3972.92</v>
      </c>
      <c r="H435" s="18" t="s">
        <v>140</v>
      </c>
      <c r="I435" s="18" t="s">
        <v>142</v>
      </c>
      <c r="J435" s="18" t="s">
        <v>146</v>
      </c>
      <c r="K435" s="29">
        <f t="shared" si="2"/>
        <v>32</v>
      </c>
    </row>
    <row r="436" ht="15.75" customHeight="1">
      <c r="A436" s="18" t="s">
        <v>3141</v>
      </c>
      <c r="B436" s="18">
        <v>1996.0</v>
      </c>
      <c r="C436" s="18" t="s">
        <v>501</v>
      </c>
      <c r="D436" s="18">
        <v>17.0</v>
      </c>
      <c r="E436" s="18" t="str">
        <f t="shared" si="1"/>
        <v>17/08/96</v>
      </c>
      <c r="F436" s="18">
        <v>2.0</v>
      </c>
      <c r="G436" s="27">
        <v>3981.98</v>
      </c>
      <c r="H436" s="18" t="s">
        <v>140</v>
      </c>
      <c r="I436" s="18" t="s">
        <v>140</v>
      </c>
      <c r="J436" s="18" t="s">
        <v>146</v>
      </c>
      <c r="K436" s="29">
        <f t="shared" si="2"/>
        <v>26</v>
      </c>
    </row>
    <row r="437" ht="15.75" customHeight="1">
      <c r="A437" s="18" t="s">
        <v>3150</v>
      </c>
      <c r="B437" s="18">
        <v>1996.0</v>
      </c>
      <c r="C437" s="18" t="s">
        <v>272</v>
      </c>
      <c r="D437" s="18">
        <v>8.0</v>
      </c>
      <c r="E437" s="18" t="str">
        <f t="shared" si="1"/>
        <v>08/09/96</v>
      </c>
      <c r="F437" s="18">
        <v>2.0</v>
      </c>
      <c r="G437" s="27">
        <v>3987.93</v>
      </c>
      <c r="H437" s="18" t="s">
        <v>140</v>
      </c>
      <c r="I437" s="18" t="s">
        <v>140</v>
      </c>
      <c r="J437" s="18" t="s">
        <v>570</v>
      </c>
      <c r="K437" s="29">
        <f t="shared" si="2"/>
        <v>26</v>
      </c>
    </row>
    <row r="438" ht="15.75" customHeight="1">
      <c r="A438" s="18" t="s">
        <v>3155</v>
      </c>
      <c r="B438" s="18">
        <v>1990.0</v>
      </c>
      <c r="C438" s="18" t="s">
        <v>209</v>
      </c>
      <c r="D438" s="18">
        <v>22.0</v>
      </c>
      <c r="E438" s="18" t="str">
        <f t="shared" si="1"/>
        <v>22/11/90</v>
      </c>
      <c r="F438" s="18">
        <v>0.0</v>
      </c>
      <c r="G438" s="27">
        <v>3989.84</v>
      </c>
      <c r="H438" s="18" t="s">
        <v>140</v>
      </c>
      <c r="I438" s="18" t="s">
        <v>140</v>
      </c>
      <c r="J438" s="18" t="s">
        <v>570</v>
      </c>
      <c r="K438" s="29">
        <f t="shared" si="2"/>
        <v>32</v>
      </c>
    </row>
    <row r="439" ht="15.75" customHeight="1">
      <c r="A439" s="18" t="s">
        <v>3162</v>
      </c>
      <c r="B439" s="18">
        <v>1990.0</v>
      </c>
      <c r="C439" s="18" t="s">
        <v>209</v>
      </c>
      <c r="D439" s="18">
        <v>1.0</v>
      </c>
      <c r="E439" s="18" t="str">
        <f t="shared" si="1"/>
        <v>01/11/90</v>
      </c>
      <c r="F439" s="18">
        <v>0.0</v>
      </c>
      <c r="G439" s="27">
        <v>3994.18</v>
      </c>
      <c r="H439" s="18" t="s">
        <v>140</v>
      </c>
      <c r="I439" s="18" t="s">
        <v>140</v>
      </c>
      <c r="J439" s="18" t="s">
        <v>146</v>
      </c>
      <c r="K439" s="29">
        <f t="shared" si="2"/>
        <v>32</v>
      </c>
    </row>
    <row r="440" ht="15.75" customHeight="1">
      <c r="A440" s="18" t="s">
        <v>3168</v>
      </c>
      <c r="B440" s="18">
        <v>1989.0</v>
      </c>
      <c r="C440" s="18" t="s">
        <v>91</v>
      </c>
      <c r="D440" s="18">
        <v>10.0</v>
      </c>
      <c r="E440" s="18" t="str">
        <f t="shared" si="1"/>
        <v>10/07/89</v>
      </c>
      <c r="F440" s="18">
        <v>3.0</v>
      </c>
      <c r="G440" s="27">
        <v>4002.36</v>
      </c>
      <c r="H440" s="18" t="s">
        <v>140</v>
      </c>
      <c r="I440" s="18" t="s">
        <v>219</v>
      </c>
      <c r="J440" s="18" t="s">
        <v>146</v>
      </c>
      <c r="K440" s="29">
        <f t="shared" si="2"/>
        <v>33</v>
      </c>
    </row>
    <row r="441" ht="15.75" customHeight="1">
      <c r="A441" s="18" t="s">
        <v>3176</v>
      </c>
      <c r="B441" s="18">
        <v>2000.0</v>
      </c>
      <c r="C441" s="18" t="s">
        <v>272</v>
      </c>
      <c r="D441" s="18">
        <v>13.0</v>
      </c>
      <c r="E441" s="18" t="str">
        <f t="shared" si="1"/>
        <v>13/09/00</v>
      </c>
      <c r="F441" s="18">
        <v>3.0</v>
      </c>
      <c r="G441" s="27">
        <v>4005.42</v>
      </c>
      <c r="H441" s="18" t="s">
        <v>140</v>
      </c>
      <c r="I441" s="18" t="s">
        <v>219</v>
      </c>
      <c r="J441" s="18" t="s">
        <v>1414</v>
      </c>
      <c r="K441" s="29">
        <f t="shared" si="2"/>
        <v>22</v>
      </c>
    </row>
    <row r="442" ht="15.75" customHeight="1">
      <c r="A442" s="18" t="s">
        <v>3182</v>
      </c>
      <c r="B442" s="18">
        <v>1992.0</v>
      </c>
      <c r="C442" s="18" t="s">
        <v>517</v>
      </c>
      <c r="D442" s="18">
        <v>11.0</v>
      </c>
      <c r="E442" s="18" t="str">
        <f t="shared" si="1"/>
        <v>11/10/92</v>
      </c>
      <c r="F442" s="18">
        <v>1.0</v>
      </c>
      <c r="G442" s="27">
        <v>4032.24</v>
      </c>
      <c r="H442" s="18" t="s">
        <v>142</v>
      </c>
      <c r="I442" s="18" t="s">
        <v>142</v>
      </c>
      <c r="J442" s="18" t="s">
        <v>325</v>
      </c>
      <c r="K442" s="29">
        <f t="shared" si="2"/>
        <v>30</v>
      </c>
    </row>
    <row r="443" ht="15.75" customHeight="1">
      <c r="A443" s="18" t="s">
        <v>3187</v>
      </c>
      <c r="B443" s="18">
        <v>1984.0</v>
      </c>
      <c r="C443" s="18" t="s">
        <v>91</v>
      </c>
      <c r="D443" s="18">
        <v>7.0</v>
      </c>
      <c r="E443" s="18" t="str">
        <f t="shared" si="1"/>
        <v>07/07/84</v>
      </c>
      <c r="F443" s="18">
        <v>3.0</v>
      </c>
      <c r="G443" s="27">
        <v>4038.41</v>
      </c>
      <c r="H443" s="18" t="s">
        <v>140</v>
      </c>
      <c r="I443" s="18" t="s">
        <v>219</v>
      </c>
      <c r="J443" s="18" t="s">
        <v>146</v>
      </c>
      <c r="K443" s="29">
        <f t="shared" si="2"/>
        <v>38</v>
      </c>
    </row>
    <row r="444" ht="15.75" customHeight="1">
      <c r="A444" s="18" t="s">
        <v>3194</v>
      </c>
      <c r="B444" s="18">
        <v>1983.0</v>
      </c>
      <c r="C444" s="18" t="s">
        <v>209</v>
      </c>
      <c r="D444" s="18">
        <v>10.0</v>
      </c>
      <c r="E444" s="18" t="str">
        <f t="shared" si="1"/>
        <v>10/11/83</v>
      </c>
      <c r="F444" s="18">
        <v>3.0</v>
      </c>
      <c r="G444" s="27">
        <v>4039.9</v>
      </c>
      <c r="H444" s="18" t="s">
        <v>140</v>
      </c>
      <c r="I444" s="18" t="s">
        <v>219</v>
      </c>
      <c r="J444" s="18" t="s">
        <v>146</v>
      </c>
      <c r="K444" s="29">
        <f t="shared" si="2"/>
        <v>39</v>
      </c>
    </row>
    <row r="445" ht="15.75" customHeight="1">
      <c r="A445" s="18" t="s">
        <v>3203</v>
      </c>
      <c r="B445" s="18">
        <v>1993.0</v>
      </c>
      <c r="C445" s="18" t="s">
        <v>457</v>
      </c>
      <c r="D445" s="18">
        <v>26.0</v>
      </c>
      <c r="E445" s="18" t="str">
        <f t="shared" si="1"/>
        <v>26/12/93</v>
      </c>
      <c r="F445" s="18">
        <v>1.0</v>
      </c>
      <c r="G445" s="27">
        <v>4040.56</v>
      </c>
      <c r="H445" s="18" t="s">
        <v>142</v>
      </c>
      <c r="I445" s="18" t="s">
        <v>142</v>
      </c>
      <c r="J445" s="18" t="s">
        <v>1414</v>
      </c>
      <c r="K445" s="29">
        <f t="shared" si="2"/>
        <v>29</v>
      </c>
    </row>
    <row r="446" ht="15.75" customHeight="1">
      <c r="A446" s="18" t="s">
        <v>3209</v>
      </c>
      <c r="B446" s="18">
        <v>1988.0</v>
      </c>
      <c r="C446" s="18" t="s">
        <v>209</v>
      </c>
      <c r="D446" s="18">
        <v>30.0</v>
      </c>
      <c r="E446" s="18" t="str">
        <f t="shared" si="1"/>
        <v>30/11/88</v>
      </c>
      <c r="F446" s="18">
        <v>3.0</v>
      </c>
      <c r="G446" s="27">
        <v>4047.94</v>
      </c>
      <c r="H446" s="18" t="s">
        <v>140</v>
      </c>
      <c r="I446" s="18" t="s">
        <v>219</v>
      </c>
      <c r="J446" s="18" t="s">
        <v>146</v>
      </c>
      <c r="K446" s="29">
        <f t="shared" si="2"/>
        <v>34</v>
      </c>
    </row>
    <row r="447" ht="15.75" customHeight="1">
      <c r="A447" s="18" t="s">
        <v>3216</v>
      </c>
      <c r="B447" s="18">
        <v>1993.0</v>
      </c>
      <c r="C447" s="18" t="s">
        <v>501</v>
      </c>
      <c r="D447" s="18">
        <v>13.0</v>
      </c>
      <c r="E447" s="18" t="str">
        <f t="shared" si="1"/>
        <v>13/08/93</v>
      </c>
      <c r="F447" s="18">
        <v>2.0</v>
      </c>
      <c r="G447" s="27">
        <v>4058.12</v>
      </c>
      <c r="H447" s="18" t="s">
        <v>140</v>
      </c>
      <c r="I447" s="18" t="s">
        <v>219</v>
      </c>
      <c r="J447" s="18" t="s">
        <v>146</v>
      </c>
      <c r="K447" s="29">
        <f t="shared" si="2"/>
        <v>29</v>
      </c>
    </row>
    <row r="448" ht="15.75" customHeight="1">
      <c r="A448" s="18" t="s">
        <v>3223</v>
      </c>
      <c r="B448" s="18">
        <v>1995.0</v>
      </c>
      <c r="C448" s="18" t="s">
        <v>272</v>
      </c>
      <c r="D448" s="18">
        <v>14.0</v>
      </c>
      <c r="E448" s="18" t="str">
        <f t="shared" si="1"/>
        <v>14/09/95</v>
      </c>
      <c r="F448" s="18">
        <v>2.0</v>
      </c>
      <c r="G448" s="27">
        <v>4058.71</v>
      </c>
      <c r="H448" s="18" t="s">
        <v>142</v>
      </c>
      <c r="I448" s="18" t="s">
        <v>142</v>
      </c>
      <c r="J448" s="18" t="s">
        <v>325</v>
      </c>
      <c r="K448" s="29">
        <f t="shared" si="2"/>
        <v>27</v>
      </c>
    </row>
    <row r="449" ht="15.75" customHeight="1">
      <c r="A449" s="18" t="s">
        <v>3230</v>
      </c>
      <c r="B449" s="18">
        <v>1983.0</v>
      </c>
      <c r="C449" s="18" t="s">
        <v>272</v>
      </c>
      <c r="D449" s="18">
        <v>16.0</v>
      </c>
      <c r="E449" s="18" t="str">
        <f t="shared" si="1"/>
        <v>16/09/83</v>
      </c>
      <c r="F449" s="18">
        <v>3.0</v>
      </c>
      <c r="G449" s="27">
        <v>4070.42</v>
      </c>
      <c r="H449" s="18" t="s">
        <v>140</v>
      </c>
      <c r="I449" s="18" t="s">
        <v>219</v>
      </c>
      <c r="J449" s="18" t="s">
        <v>146</v>
      </c>
      <c r="K449" s="29">
        <f t="shared" si="2"/>
        <v>39</v>
      </c>
    </row>
    <row r="450" ht="15.75" customHeight="1">
      <c r="A450" s="18" t="s">
        <v>3236</v>
      </c>
      <c r="B450" s="18">
        <v>2002.0</v>
      </c>
      <c r="C450" s="18" t="s">
        <v>517</v>
      </c>
      <c r="D450" s="18">
        <v>18.0</v>
      </c>
      <c r="E450" s="18" t="str">
        <f t="shared" si="1"/>
        <v>18/10/02</v>
      </c>
      <c r="F450" s="18">
        <v>0.0</v>
      </c>
      <c r="G450" s="27">
        <v>4070.51</v>
      </c>
      <c r="H450" s="18" t="s">
        <v>140</v>
      </c>
      <c r="I450" s="18" t="s">
        <v>219</v>
      </c>
      <c r="J450" s="18" t="s">
        <v>325</v>
      </c>
      <c r="K450" s="29">
        <f t="shared" si="2"/>
        <v>20</v>
      </c>
    </row>
    <row r="451" ht="15.75" customHeight="1">
      <c r="A451" s="18" t="s">
        <v>3243</v>
      </c>
      <c r="B451" s="18">
        <v>1990.0</v>
      </c>
      <c r="C451" s="18" t="s">
        <v>457</v>
      </c>
      <c r="D451" s="18">
        <v>1.0</v>
      </c>
      <c r="E451" s="18" t="str">
        <f t="shared" si="1"/>
        <v>01/12/90</v>
      </c>
      <c r="F451" s="18">
        <v>1.0</v>
      </c>
      <c r="G451" s="27">
        <v>4074.45</v>
      </c>
      <c r="H451" s="18" t="s">
        <v>142</v>
      </c>
      <c r="I451" s="18" t="s">
        <v>140</v>
      </c>
      <c r="J451" s="18" t="s">
        <v>146</v>
      </c>
      <c r="K451" s="29">
        <f t="shared" si="2"/>
        <v>32</v>
      </c>
    </row>
    <row r="452" ht="15.75" customHeight="1">
      <c r="A452" s="18" t="s">
        <v>3251</v>
      </c>
      <c r="B452" s="18">
        <v>1990.0</v>
      </c>
      <c r="C452" s="18" t="s">
        <v>457</v>
      </c>
      <c r="D452" s="18">
        <v>14.0</v>
      </c>
      <c r="E452" s="18" t="str">
        <f t="shared" si="1"/>
        <v>14/12/90</v>
      </c>
      <c r="F452" s="18">
        <v>1.0</v>
      </c>
      <c r="G452" s="27">
        <v>4076.5</v>
      </c>
      <c r="H452" s="18" t="s">
        <v>140</v>
      </c>
      <c r="I452" s="18" t="s">
        <v>142</v>
      </c>
      <c r="J452" s="18" t="s">
        <v>570</v>
      </c>
      <c r="K452" s="29">
        <f t="shared" si="2"/>
        <v>32</v>
      </c>
    </row>
    <row r="453" ht="15.75" customHeight="1">
      <c r="A453" s="18" t="s">
        <v>3257</v>
      </c>
      <c r="B453" s="18">
        <v>1994.0</v>
      </c>
      <c r="C453" s="18" t="s">
        <v>501</v>
      </c>
      <c r="D453" s="18">
        <v>21.0</v>
      </c>
      <c r="E453" s="18" t="str">
        <f t="shared" si="1"/>
        <v>21/08/94</v>
      </c>
      <c r="F453" s="18">
        <v>1.0</v>
      </c>
      <c r="G453" s="27">
        <v>4133.64</v>
      </c>
      <c r="H453" s="18" t="s">
        <v>140</v>
      </c>
      <c r="I453" s="18" t="s">
        <v>142</v>
      </c>
      <c r="J453" s="18" t="s">
        <v>325</v>
      </c>
      <c r="K453" s="29">
        <f t="shared" si="2"/>
        <v>28</v>
      </c>
    </row>
    <row r="454" ht="15.75" customHeight="1">
      <c r="A454" s="18" t="s">
        <v>3266</v>
      </c>
      <c r="B454" s="18">
        <v>1991.0</v>
      </c>
      <c r="C454" s="18" t="s">
        <v>501</v>
      </c>
      <c r="D454" s="18">
        <v>6.0</v>
      </c>
      <c r="E454" s="18" t="str">
        <f t="shared" si="1"/>
        <v>06/08/91</v>
      </c>
      <c r="F454" s="18">
        <v>0.0</v>
      </c>
      <c r="G454" s="27">
        <v>4134.08</v>
      </c>
      <c r="H454" s="18" t="s">
        <v>140</v>
      </c>
      <c r="I454" s="18" t="s">
        <v>219</v>
      </c>
      <c r="J454" s="18" t="s">
        <v>325</v>
      </c>
      <c r="K454" s="29">
        <f t="shared" si="2"/>
        <v>31</v>
      </c>
    </row>
    <row r="455" ht="15.75" customHeight="1">
      <c r="A455" s="18" t="s">
        <v>3273</v>
      </c>
      <c r="B455" s="18">
        <v>1992.0</v>
      </c>
      <c r="C455" s="18" t="s">
        <v>241</v>
      </c>
      <c r="D455" s="18">
        <v>18.0</v>
      </c>
      <c r="E455" s="18" t="str">
        <f t="shared" si="1"/>
        <v>18/06/92</v>
      </c>
      <c r="F455" s="18">
        <v>0.0</v>
      </c>
      <c r="G455" s="27">
        <v>4137.52</v>
      </c>
      <c r="H455" s="18" t="s">
        <v>140</v>
      </c>
      <c r="I455" s="18" t="s">
        <v>142</v>
      </c>
      <c r="J455" s="18" t="s">
        <v>2024</v>
      </c>
      <c r="K455" s="29">
        <f t="shared" si="2"/>
        <v>30</v>
      </c>
    </row>
    <row r="456" ht="15.75" customHeight="1">
      <c r="A456" s="18" t="s">
        <v>3277</v>
      </c>
      <c r="B456" s="18">
        <v>1992.0</v>
      </c>
      <c r="C456" s="18" t="s">
        <v>241</v>
      </c>
      <c r="D456" s="18">
        <v>28.0</v>
      </c>
      <c r="E456" s="18" t="str">
        <f t="shared" si="1"/>
        <v>28/06/92</v>
      </c>
      <c r="F456" s="18">
        <v>1.0</v>
      </c>
      <c r="G456" s="27">
        <v>4149.74</v>
      </c>
      <c r="H456" s="18" t="s">
        <v>140</v>
      </c>
      <c r="I456" s="18" t="s">
        <v>219</v>
      </c>
      <c r="J456" s="18" t="s">
        <v>570</v>
      </c>
      <c r="K456" s="29">
        <f t="shared" si="2"/>
        <v>30</v>
      </c>
    </row>
    <row r="457" ht="15.75" customHeight="1">
      <c r="A457" s="18" t="s">
        <v>3284</v>
      </c>
      <c r="B457" s="18">
        <v>1992.0</v>
      </c>
      <c r="C457" s="18" t="s">
        <v>501</v>
      </c>
      <c r="D457" s="18">
        <v>4.0</v>
      </c>
      <c r="E457" s="18" t="str">
        <f t="shared" si="1"/>
        <v>04/08/92</v>
      </c>
      <c r="F457" s="18">
        <v>1.0</v>
      </c>
      <c r="G457" s="27">
        <v>4151.03</v>
      </c>
      <c r="H457" s="18" t="s">
        <v>140</v>
      </c>
      <c r="I457" s="18" t="s">
        <v>140</v>
      </c>
      <c r="J457" s="18" t="s">
        <v>146</v>
      </c>
      <c r="K457" s="29">
        <f t="shared" si="2"/>
        <v>30</v>
      </c>
    </row>
    <row r="458" ht="15.75" customHeight="1">
      <c r="A458" s="18" t="s">
        <v>3289</v>
      </c>
      <c r="B458" s="18">
        <v>1998.0</v>
      </c>
      <c r="C458" s="18" t="s">
        <v>209</v>
      </c>
      <c r="D458" s="18">
        <v>26.0</v>
      </c>
      <c r="E458" s="18" t="str">
        <f t="shared" si="1"/>
        <v>26/11/98</v>
      </c>
      <c r="F458" s="18">
        <v>0.0</v>
      </c>
      <c r="G458" s="27">
        <v>4154.97</v>
      </c>
      <c r="H458" s="18" t="s">
        <v>140</v>
      </c>
      <c r="I458" s="18" t="s">
        <v>219</v>
      </c>
      <c r="J458" s="18" t="s">
        <v>325</v>
      </c>
      <c r="K458" s="29">
        <f t="shared" si="2"/>
        <v>24</v>
      </c>
    </row>
    <row r="459" ht="15.75" customHeight="1">
      <c r="A459" s="18" t="s">
        <v>3293</v>
      </c>
      <c r="B459" s="18">
        <v>1984.0</v>
      </c>
      <c r="C459" s="18" t="s">
        <v>272</v>
      </c>
      <c r="D459" s="18">
        <v>16.0</v>
      </c>
      <c r="E459" s="18" t="str">
        <f t="shared" si="1"/>
        <v>16/09/84</v>
      </c>
      <c r="F459" s="18">
        <v>3.0</v>
      </c>
      <c r="G459" s="27">
        <v>4163.21</v>
      </c>
      <c r="H459" s="18" t="s">
        <v>140</v>
      </c>
      <c r="I459" s="18" t="s">
        <v>140</v>
      </c>
      <c r="J459" s="18" t="s">
        <v>325</v>
      </c>
      <c r="K459" s="29">
        <f t="shared" si="2"/>
        <v>38</v>
      </c>
    </row>
    <row r="460" ht="15.75" customHeight="1">
      <c r="A460" s="18" t="s">
        <v>3299</v>
      </c>
      <c r="B460" s="18">
        <v>1989.0</v>
      </c>
      <c r="C460" s="18" t="s">
        <v>241</v>
      </c>
      <c r="D460" s="18">
        <v>25.0</v>
      </c>
      <c r="E460" s="18" t="str">
        <f t="shared" si="1"/>
        <v>25/06/89</v>
      </c>
      <c r="F460" s="18">
        <v>0.0</v>
      </c>
      <c r="G460" s="27">
        <v>4185.1</v>
      </c>
      <c r="H460" s="18" t="s">
        <v>140</v>
      </c>
      <c r="I460" s="18" t="s">
        <v>142</v>
      </c>
      <c r="J460" s="18" t="s">
        <v>146</v>
      </c>
      <c r="K460" s="29">
        <f t="shared" si="2"/>
        <v>33</v>
      </c>
    </row>
    <row r="461" ht="15.75" customHeight="1">
      <c r="A461" s="18" t="s">
        <v>3303</v>
      </c>
      <c r="B461" s="18">
        <v>1995.0</v>
      </c>
      <c r="C461" s="18" t="s">
        <v>517</v>
      </c>
      <c r="D461" s="18">
        <v>3.0</v>
      </c>
      <c r="E461" s="18" t="str">
        <f t="shared" si="1"/>
        <v>03/10/95</v>
      </c>
      <c r="F461" s="18">
        <v>0.0</v>
      </c>
      <c r="G461" s="27">
        <v>4188.73</v>
      </c>
      <c r="H461" s="18" t="s">
        <v>140</v>
      </c>
      <c r="I461" s="18" t="s">
        <v>140</v>
      </c>
      <c r="J461" s="18" t="s">
        <v>1647</v>
      </c>
      <c r="K461" s="29">
        <f t="shared" si="2"/>
        <v>27</v>
      </c>
    </row>
    <row r="462" ht="15.75" customHeight="1">
      <c r="A462" s="18" t="s">
        <v>3309</v>
      </c>
      <c r="B462" s="18">
        <v>1997.0</v>
      </c>
      <c r="C462" s="18" t="s">
        <v>272</v>
      </c>
      <c r="D462" s="18">
        <v>6.0</v>
      </c>
      <c r="E462" s="18" t="str">
        <f t="shared" si="1"/>
        <v>06/09/97</v>
      </c>
      <c r="F462" s="18">
        <v>2.0</v>
      </c>
      <c r="G462" s="27">
        <v>4189.11</v>
      </c>
      <c r="H462" s="18" t="s">
        <v>140</v>
      </c>
      <c r="I462" s="18" t="s">
        <v>140</v>
      </c>
      <c r="J462" s="18" t="s">
        <v>325</v>
      </c>
      <c r="K462" s="29">
        <f t="shared" si="2"/>
        <v>25</v>
      </c>
    </row>
    <row r="463" ht="15.75" customHeight="1">
      <c r="A463" s="18" t="s">
        <v>3314</v>
      </c>
      <c r="B463" s="18">
        <v>1998.0</v>
      </c>
      <c r="C463" s="18" t="s">
        <v>457</v>
      </c>
      <c r="D463" s="18">
        <v>14.0</v>
      </c>
      <c r="E463" s="18" t="str">
        <f t="shared" si="1"/>
        <v>14/12/98</v>
      </c>
      <c r="F463" s="18">
        <v>3.0</v>
      </c>
      <c r="G463" s="27">
        <v>4234.93</v>
      </c>
      <c r="H463" s="18" t="s">
        <v>140</v>
      </c>
      <c r="I463" s="18" t="s">
        <v>219</v>
      </c>
      <c r="J463" s="18" t="s">
        <v>570</v>
      </c>
      <c r="K463" s="29">
        <f t="shared" si="2"/>
        <v>24</v>
      </c>
    </row>
    <row r="464" ht="15.75" customHeight="1">
      <c r="A464" s="18" t="s">
        <v>3320</v>
      </c>
      <c r="B464" s="18">
        <v>1992.0</v>
      </c>
      <c r="C464" s="18" t="s">
        <v>241</v>
      </c>
      <c r="D464" s="18">
        <v>27.0</v>
      </c>
      <c r="E464" s="18" t="str">
        <f t="shared" si="1"/>
        <v>27/06/92</v>
      </c>
      <c r="F464" s="18">
        <v>1.0</v>
      </c>
      <c r="G464" s="27">
        <v>4237.13</v>
      </c>
      <c r="H464" s="18" t="s">
        <v>142</v>
      </c>
      <c r="I464" s="18" t="s">
        <v>219</v>
      </c>
      <c r="J464" s="18" t="s">
        <v>1427</v>
      </c>
      <c r="K464" s="29">
        <f t="shared" si="2"/>
        <v>30</v>
      </c>
    </row>
    <row r="465" ht="15.75" customHeight="1">
      <c r="A465" s="18" t="s">
        <v>3325</v>
      </c>
      <c r="B465" s="18">
        <v>1991.0</v>
      </c>
      <c r="C465" s="18" t="s">
        <v>209</v>
      </c>
      <c r="D465" s="18">
        <v>3.0</v>
      </c>
      <c r="E465" s="18" t="str">
        <f t="shared" si="1"/>
        <v>03/11/91</v>
      </c>
      <c r="F465" s="18">
        <v>1.0</v>
      </c>
      <c r="G465" s="27">
        <v>4239.89</v>
      </c>
      <c r="H465" s="18" t="s">
        <v>140</v>
      </c>
      <c r="I465" s="18" t="s">
        <v>140</v>
      </c>
      <c r="J465" s="18" t="s">
        <v>325</v>
      </c>
      <c r="K465" s="29">
        <f t="shared" si="2"/>
        <v>31</v>
      </c>
    </row>
    <row r="466" ht="15.75" customHeight="1">
      <c r="A466" s="18" t="s">
        <v>3331</v>
      </c>
      <c r="B466" s="18">
        <v>1991.0</v>
      </c>
      <c r="C466" s="18" t="s">
        <v>457</v>
      </c>
      <c r="D466" s="18">
        <v>1.0</v>
      </c>
      <c r="E466" s="18" t="str">
        <f t="shared" si="1"/>
        <v>01/12/91</v>
      </c>
      <c r="F466" s="18">
        <v>1.0</v>
      </c>
      <c r="G466" s="27">
        <v>4243.59</v>
      </c>
      <c r="H466" s="18" t="s">
        <v>142</v>
      </c>
      <c r="I466" s="18" t="s">
        <v>219</v>
      </c>
      <c r="J466" s="18" t="s">
        <v>325</v>
      </c>
      <c r="K466" s="29">
        <f t="shared" si="2"/>
        <v>31</v>
      </c>
    </row>
    <row r="467" ht="15.75" customHeight="1">
      <c r="A467" s="18" t="s">
        <v>3336</v>
      </c>
      <c r="B467" s="18">
        <v>1982.0</v>
      </c>
      <c r="C467" s="18" t="s">
        <v>241</v>
      </c>
      <c r="D467" s="18">
        <v>16.0</v>
      </c>
      <c r="E467" s="18" t="str">
        <f t="shared" si="1"/>
        <v>16/06/82</v>
      </c>
      <c r="F467" s="18">
        <v>3.0</v>
      </c>
      <c r="G467" s="27">
        <v>4250.24</v>
      </c>
      <c r="H467" s="18" t="s">
        <v>140</v>
      </c>
      <c r="I467" s="18" t="s">
        <v>142</v>
      </c>
      <c r="J467" s="18" t="s">
        <v>146</v>
      </c>
      <c r="K467" s="29">
        <f t="shared" si="2"/>
        <v>40</v>
      </c>
    </row>
    <row r="468" ht="15.75" customHeight="1">
      <c r="A468" s="18" t="s">
        <v>3342</v>
      </c>
      <c r="B468" s="18">
        <v>1995.0</v>
      </c>
      <c r="C468" s="18" t="s">
        <v>517</v>
      </c>
      <c r="D468" s="18">
        <v>14.0</v>
      </c>
      <c r="E468" s="18" t="str">
        <f t="shared" si="1"/>
        <v>14/10/95</v>
      </c>
      <c r="F468" s="18">
        <v>3.0</v>
      </c>
      <c r="G468" s="27">
        <v>4260.74</v>
      </c>
      <c r="H468" s="18" t="s">
        <v>142</v>
      </c>
      <c r="I468" s="18" t="s">
        <v>140</v>
      </c>
      <c r="J468" s="18" t="s">
        <v>570</v>
      </c>
      <c r="K468" s="29">
        <f t="shared" si="2"/>
        <v>27</v>
      </c>
    </row>
    <row r="469" ht="15.75" customHeight="1">
      <c r="A469" s="18" t="s">
        <v>3348</v>
      </c>
      <c r="B469" s="18">
        <v>1983.0</v>
      </c>
      <c r="C469" s="18" t="s">
        <v>209</v>
      </c>
      <c r="D469" s="18">
        <v>20.0</v>
      </c>
      <c r="E469" s="18" t="str">
        <f t="shared" si="1"/>
        <v>20/11/83</v>
      </c>
      <c r="F469" s="18">
        <v>3.0</v>
      </c>
      <c r="G469" s="27">
        <v>4265.01</v>
      </c>
      <c r="H469" s="18" t="s">
        <v>140</v>
      </c>
      <c r="I469" s="18" t="s">
        <v>219</v>
      </c>
      <c r="J469" s="18" t="s">
        <v>325</v>
      </c>
      <c r="K469" s="29">
        <f t="shared" si="2"/>
        <v>39</v>
      </c>
    </row>
    <row r="470" ht="15.75" customHeight="1">
      <c r="A470" s="18" t="s">
        <v>3354</v>
      </c>
      <c r="B470" s="18">
        <v>1992.0</v>
      </c>
      <c r="C470" s="18" t="s">
        <v>241</v>
      </c>
      <c r="D470" s="18">
        <v>18.0</v>
      </c>
      <c r="E470" s="18" t="str">
        <f t="shared" si="1"/>
        <v>18/06/92</v>
      </c>
      <c r="F470" s="18">
        <v>2.0</v>
      </c>
      <c r="G470" s="27">
        <v>4266.17</v>
      </c>
      <c r="H470" s="18" t="s">
        <v>142</v>
      </c>
      <c r="I470" s="18" t="s">
        <v>140</v>
      </c>
      <c r="J470" s="18" t="s">
        <v>146</v>
      </c>
      <c r="K470" s="29">
        <f t="shared" si="2"/>
        <v>30</v>
      </c>
    </row>
    <row r="471" ht="15.75" customHeight="1">
      <c r="A471" s="18" t="s">
        <v>3359</v>
      </c>
      <c r="B471" s="18">
        <v>2003.0</v>
      </c>
      <c r="C471" s="18" t="s">
        <v>241</v>
      </c>
      <c r="D471" s="18">
        <v>8.0</v>
      </c>
      <c r="E471" s="18" t="str">
        <f t="shared" si="1"/>
        <v>08/06/03</v>
      </c>
      <c r="F471" s="18">
        <v>0.0</v>
      </c>
      <c r="G471" s="27">
        <v>4278.55</v>
      </c>
      <c r="H471" s="18" t="s">
        <v>140</v>
      </c>
      <c r="I471" s="18" t="s">
        <v>219</v>
      </c>
      <c r="J471" s="18" t="s">
        <v>2314</v>
      </c>
      <c r="K471" s="29">
        <f t="shared" si="2"/>
        <v>20</v>
      </c>
    </row>
    <row r="472" ht="15.75" customHeight="1">
      <c r="A472" s="18" t="s">
        <v>3365</v>
      </c>
      <c r="B472" s="18">
        <v>2000.0</v>
      </c>
      <c r="C472" s="18" t="s">
        <v>209</v>
      </c>
      <c r="D472" s="18">
        <v>25.0</v>
      </c>
      <c r="E472" s="18" t="str">
        <f t="shared" si="1"/>
        <v>25/11/00</v>
      </c>
      <c r="F472" s="18">
        <v>3.0</v>
      </c>
      <c r="G472" s="27">
        <v>4296.27</v>
      </c>
      <c r="H472" s="18" t="s">
        <v>140</v>
      </c>
      <c r="I472" s="18" t="s">
        <v>142</v>
      </c>
      <c r="J472" s="18" t="s">
        <v>325</v>
      </c>
      <c r="K472" s="29">
        <f t="shared" si="2"/>
        <v>22</v>
      </c>
    </row>
    <row r="473" ht="15.75" customHeight="1">
      <c r="A473" s="18" t="s">
        <v>3370</v>
      </c>
      <c r="B473" s="18">
        <v>1988.0</v>
      </c>
      <c r="C473" s="18" t="s">
        <v>457</v>
      </c>
      <c r="D473" s="18">
        <v>19.0</v>
      </c>
      <c r="E473" s="18" t="str">
        <f t="shared" si="1"/>
        <v>19/12/88</v>
      </c>
      <c r="F473" s="18">
        <v>0.0</v>
      </c>
      <c r="G473" s="27">
        <v>4320.41</v>
      </c>
      <c r="H473" s="18" t="s">
        <v>140</v>
      </c>
      <c r="I473" s="18" t="s">
        <v>219</v>
      </c>
      <c r="J473" s="18" t="s">
        <v>325</v>
      </c>
      <c r="K473" s="29">
        <f t="shared" si="2"/>
        <v>34</v>
      </c>
    </row>
    <row r="474" ht="15.75" customHeight="1">
      <c r="A474" s="18" t="s">
        <v>3374</v>
      </c>
      <c r="B474" s="18">
        <v>1994.0</v>
      </c>
      <c r="C474" s="18" t="s">
        <v>209</v>
      </c>
      <c r="D474" s="18">
        <v>2.0</v>
      </c>
      <c r="E474" s="18" t="str">
        <f t="shared" si="1"/>
        <v>02/11/94</v>
      </c>
      <c r="F474" s="18">
        <v>1.0</v>
      </c>
      <c r="G474" s="27">
        <v>4337.74</v>
      </c>
      <c r="H474" s="18" t="s">
        <v>140</v>
      </c>
      <c r="I474" s="18" t="s">
        <v>219</v>
      </c>
      <c r="J474" s="18" t="s">
        <v>2024</v>
      </c>
      <c r="K474" s="29">
        <f t="shared" si="2"/>
        <v>28</v>
      </c>
    </row>
    <row r="475" ht="15.75" customHeight="1">
      <c r="A475" s="18" t="s">
        <v>3380</v>
      </c>
      <c r="B475" s="18">
        <v>1994.0</v>
      </c>
      <c r="C475" s="18" t="s">
        <v>517</v>
      </c>
      <c r="D475" s="18">
        <v>26.0</v>
      </c>
      <c r="E475" s="18" t="str">
        <f t="shared" si="1"/>
        <v>26/10/94</v>
      </c>
      <c r="F475" s="18">
        <v>2.0</v>
      </c>
      <c r="G475" s="27">
        <v>4340.44</v>
      </c>
      <c r="H475" s="18" t="s">
        <v>140</v>
      </c>
      <c r="I475" s="18" t="s">
        <v>219</v>
      </c>
      <c r="J475" s="18" t="s">
        <v>146</v>
      </c>
      <c r="K475" s="29">
        <f t="shared" si="2"/>
        <v>28</v>
      </c>
    </row>
    <row r="476" ht="15.75" customHeight="1">
      <c r="A476" s="18" t="s">
        <v>3386</v>
      </c>
      <c r="B476" s="18">
        <v>1991.0</v>
      </c>
      <c r="C476" s="18" t="s">
        <v>241</v>
      </c>
      <c r="D476" s="18">
        <v>1.0</v>
      </c>
      <c r="E476" s="18" t="str">
        <f t="shared" si="1"/>
        <v>01/06/91</v>
      </c>
      <c r="F476" s="18">
        <v>0.0</v>
      </c>
      <c r="G476" s="27">
        <v>4347.02</v>
      </c>
      <c r="H476" s="18" t="s">
        <v>140</v>
      </c>
      <c r="I476" s="18" t="s">
        <v>219</v>
      </c>
      <c r="J476" s="18" t="s">
        <v>2024</v>
      </c>
      <c r="K476" s="29">
        <f t="shared" si="2"/>
        <v>32</v>
      </c>
    </row>
    <row r="477" ht="15.75" customHeight="1">
      <c r="A477" s="18" t="s">
        <v>3393</v>
      </c>
      <c r="B477" s="18">
        <v>1994.0</v>
      </c>
      <c r="C477" s="18" t="s">
        <v>209</v>
      </c>
      <c r="D477" s="18">
        <v>1.0</v>
      </c>
      <c r="E477" s="18" t="str">
        <f t="shared" si="1"/>
        <v>01/11/94</v>
      </c>
      <c r="F477" s="18">
        <v>2.0</v>
      </c>
      <c r="G477" s="27">
        <v>4349.46</v>
      </c>
      <c r="H477" s="18" t="s">
        <v>140</v>
      </c>
      <c r="I477" s="18" t="s">
        <v>140</v>
      </c>
      <c r="J477" s="18" t="s">
        <v>146</v>
      </c>
      <c r="K477" s="29">
        <f t="shared" si="2"/>
        <v>28</v>
      </c>
    </row>
    <row r="478" ht="15.75" customHeight="1">
      <c r="A478" s="18" t="s">
        <v>3399</v>
      </c>
      <c r="B478" s="18">
        <v>1991.0</v>
      </c>
      <c r="C478" s="18" t="s">
        <v>272</v>
      </c>
      <c r="D478" s="18">
        <v>13.0</v>
      </c>
      <c r="E478" s="18" t="str">
        <f t="shared" si="1"/>
        <v>13/09/91</v>
      </c>
      <c r="F478" s="18">
        <v>1.0</v>
      </c>
      <c r="G478" s="27">
        <v>4350.51</v>
      </c>
      <c r="H478" s="18" t="s">
        <v>140</v>
      </c>
      <c r="I478" s="18" t="s">
        <v>140</v>
      </c>
      <c r="J478" s="18" t="s">
        <v>146</v>
      </c>
      <c r="K478" s="29">
        <f t="shared" si="2"/>
        <v>31</v>
      </c>
    </row>
    <row r="479" ht="15.75" customHeight="1">
      <c r="A479" s="18" t="s">
        <v>3403</v>
      </c>
      <c r="B479" s="18">
        <v>1990.0</v>
      </c>
      <c r="C479" s="18" t="s">
        <v>501</v>
      </c>
      <c r="D479" s="18">
        <v>28.0</v>
      </c>
      <c r="E479" s="18" t="str">
        <f t="shared" si="1"/>
        <v>28/08/90</v>
      </c>
      <c r="F479" s="18">
        <v>0.0</v>
      </c>
      <c r="G479" s="27">
        <v>4357.04</v>
      </c>
      <c r="H479" s="18" t="s">
        <v>140</v>
      </c>
      <c r="I479" s="18" t="s">
        <v>142</v>
      </c>
      <c r="J479" s="18" t="s">
        <v>325</v>
      </c>
      <c r="K479" s="29">
        <f t="shared" si="2"/>
        <v>32</v>
      </c>
    </row>
    <row r="480" ht="15.75" customHeight="1">
      <c r="A480" s="18" t="s">
        <v>3409</v>
      </c>
      <c r="B480" s="18">
        <v>1997.0</v>
      </c>
      <c r="C480" s="18" t="s">
        <v>209</v>
      </c>
      <c r="D480" s="18">
        <v>29.0</v>
      </c>
      <c r="E480" s="18" t="str">
        <f t="shared" si="1"/>
        <v>29/11/97</v>
      </c>
      <c r="F480" s="18">
        <v>3.0</v>
      </c>
      <c r="G480" s="27">
        <v>4391.65</v>
      </c>
      <c r="H480" s="18" t="s">
        <v>140</v>
      </c>
      <c r="I480" s="18" t="s">
        <v>140</v>
      </c>
      <c r="J480" s="18" t="s">
        <v>570</v>
      </c>
      <c r="K480" s="29">
        <f t="shared" si="2"/>
        <v>25</v>
      </c>
    </row>
    <row r="481" ht="15.75" customHeight="1">
      <c r="A481" s="18" t="s">
        <v>3414</v>
      </c>
      <c r="B481" s="18">
        <v>1982.0</v>
      </c>
      <c r="C481" s="18" t="s">
        <v>241</v>
      </c>
      <c r="D481" s="18">
        <v>29.0</v>
      </c>
      <c r="E481" s="18" t="str">
        <f t="shared" si="1"/>
        <v>29/06/82</v>
      </c>
      <c r="F481" s="18">
        <v>3.0</v>
      </c>
      <c r="G481" s="27">
        <v>4392.7</v>
      </c>
      <c r="H481" s="18" t="s">
        <v>140</v>
      </c>
      <c r="I481" s="18" t="s">
        <v>140</v>
      </c>
      <c r="J481" s="18" t="s">
        <v>146</v>
      </c>
      <c r="K481" s="29">
        <f t="shared" si="2"/>
        <v>40</v>
      </c>
    </row>
    <row r="482" ht="15.75" customHeight="1">
      <c r="A482" s="18" t="s">
        <v>3420</v>
      </c>
      <c r="B482" s="18">
        <v>1988.0</v>
      </c>
      <c r="C482" s="18" t="s">
        <v>91</v>
      </c>
      <c r="D482" s="18">
        <v>18.0</v>
      </c>
      <c r="E482" s="18" t="str">
        <f t="shared" si="1"/>
        <v>18/07/88</v>
      </c>
      <c r="F482" s="18">
        <v>3.0</v>
      </c>
      <c r="G482" s="27">
        <v>4397.31</v>
      </c>
      <c r="H482" s="18" t="s">
        <v>140</v>
      </c>
      <c r="I482" s="18" t="s">
        <v>140</v>
      </c>
      <c r="J482" s="18" t="s">
        <v>146</v>
      </c>
      <c r="K482" s="29">
        <f t="shared" si="2"/>
        <v>34</v>
      </c>
    </row>
    <row r="483" ht="15.75" customHeight="1">
      <c r="A483" s="18" t="s">
        <v>3424</v>
      </c>
      <c r="B483" s="18">
        <v>1986.0</v>
      </c>
      <c r="C483" s="18" t="s">
        <v>501</v>
      </c>
      <c r="D483" s="18">
        <v>11.0</v>
      </c>
      <c r="E483" s="18" t="str">
        <f t="shared" si="1"/>
        <v>11/08/86</v>
      </c>
      <c r="F483" s="18">
        <v>0.0</v>
      </c>
      <c r="G483" s="27">
        <v>4399.73</v>
      </c>
      <c r="H483" s="18" t="s">
        <v>142</v>
      </c>
      <c r="I483" s="18" t="s">
        <v>140</v>
      </c>
      <c r="J483" s="18" t="s">
        <v>146</v>
      </c>
      <c r="K483" s="29">
        <f t="shared" si="2"/>
        <v>36</v>
      </c>
    </row>
    <row r="484" ht="15.75" customHeight="1">
      <c r="A484" s="18" t="s">
        <v>3429</v>
      </c>
      <c r="B484" s="18">
        <v>1986.0</v>
      </c>
      <c r="C484" s="18" t="s">
        <v>91</v>
      </c>
      <c r="D484" s="18">
        <v>13.0</v>
      </c>
      <c r="E484" s="18" t="str">
        <f t="shared" si="1"/>
        <v>13/07/86</v>
      </c>
      <c r="F484" s="18">
        <v>0.0</v>
      </c>
      <c r="G484" s="27">
        <v>4402.23</v>
      </c>
      <c r="H484" s="18" t="s">
        <v>140</v>
      </c>
      <c r="I484" s="18" t="s">
        <v>140</v>
      </c>
      <c r="J484" s="18" t="s">
        <v>570</v>
      </c>
      <c r="K484" s="29">
        <f t="shared" si="2"/>
        <v>36</v>
      </c>
    </row>
    <row r="485" ht="15.75" customHeight="1">
      <c r="A485" s="18" t="s">
        <v>3433</v>
      </c>
      <c r="B485" s="18">
        <v>1988.0</v>
      </c>
      <c r="C485" s="18" t="s">
        <v>272</v>
      </c>
      <c r="D485" s="18">
        <v>16.0</v>
      </c>
      <c r="E485" s="18" t="str">
        <f t="shared" si="1"/>
        <v>16/09/88</v>
      </c>
      <c r="F485" s="18">
        <v>0.0</v>
      </c>
      <c r="G485" s="27">
        <v>4415.16</v>
      </c>
      <c r="H485" s="18" t="s">
        <v>140</v>
      </c>
      <c r="I485" s="18" t="s">
        <v>219</v>
      </c>
      <c r="J485" s="18" t="s">
        <v>146</v>
      </c>
      <c r="K485" s="29">
        <f t="shared" si="2"/>
        <v>34</v>
      </c>
    </row>
    <row r="486" ht="15.75" customHeight="1">
      <c r="A486" s="18" t="s">
        <v>3442</v>
      </c>
      <c r="B486" s="18">
        <v>1992.0</v>
      </c>
      <c r="C486" s="18" t="s">
        <v>501</v>
      </c>
      <c r="D486" s="18">
        <v>15.0</v>
      </c>
      <c r="E486" s="18" t="str">
        <f t="shared" si="1"/>
        <v>15/08/92</v>
      </c>
      <c r="F486" s="18">
        <v>0.0</v>
      </c>
      <c r="G486" s="27">
        <v>4420.95</v>
      </c>
      <c r="H486" s="18" t="s">
        <v>140</v>
      </c>
      <c r="I486" s="18" t="s">
        <v>142</v>
      </c>
      <c r="J486" s="18" t="s">
        <v>3443</v>
      </c>
      <c r="K486" s="29">
        <f t="shared" si="2"/>
        <v>30</v>
      </c>
    </row>
    <row r="487" ht="15.75" customHeight="1">
      <c r="A487" s="18" t="s">
        <v>3444</v>
      </c>
      <c r="B487" s="18">
        <v>1994.0</v>
      </c>
      <c r="C487" s="18" t="s">
        <v>457</v>
      </c>
      <c r="D487" s="18">
        <v>29.0</v>
      </c>
      <c r="E487" s="18" t="str">
        <f t="shared" si="1"/>
        <v>29/12/94</v>
      </c>
      <c r="F487" s="18">
        <v>2.0</v>
      </c>
      <c r="G487" s="27">
        <v>4428.89</v>
      </c>
      <c r="H487" s="18" t="s">
        <v>142</v>
      </c>
      <c r="I487" s="18" t="s">
        <v>219</v>
      </c>
      <c r="J487" s="18" t="s">
        <v>2617</v>
      </c>
      <c r="K487" s="29">
        <f t="shared" si="2"/>
        <v>28</v>
      </c>
    </row>
    <row r="488" ht="15.75" customHeight="1">
      <c r="A488" s="18" t="s">
        <v>3446</v>
      </c>
      <c r="B488" s="18">
        <v>1993.0</v>
      </c>
      <c r="C488" s="18" t="s">
        <v>272</v>
      </c>
      <c r="D488" s="18">
        <v>4.0</v>
      </c>
      <c r="E488" s="18" t="str">
        <f t="shared" si="1"/>
        <v>04/09/93</v>
      </c>
      <c r="F488" s="18">
        <v>2.0</v>
      </c>
      <c r="G488" s="27">
        <v>4433.39</v>
      </c>
      <c r="H488" s="18" t="s">
        <v>140</v>
      </c>
      <c r="I488" s="18" t="s">
        <v>142</v>
      </c>
      <c r="J488" s="18" t="s">
        <v>325</v>
      </c>
      <c r="K488" s="29">
        <f t="shared" si="2"/>
        <v>29</v>
      </c>
    </row>
    <row r="489" ht="15.75" customHeight="1">
      <c r="A489" s="18" t="s">
        <v>3453</v>
      </c>
      <c r="B489" s="18">
        <v>1993.0</v>
      </c>
      <c r="C489" s="18" t="s">
        <v>457</v>
      </c>
      <c r="D489" s="18">
        <v>23.0</v>
      </c>
      <c r="E489" s="18" t="str">
        <f t="shared" si="1"/>
        <v>23/12/93</v>
      </c>
      <c r="F489" s="18">
        <v>2.0</v>
      </c>
      <c r="G489" s="27">
        <v>4433.92</v>
      </c>
      <c r="H489" s="18" t="s">
        <v>140</v>
      </c>
      <c r="I489" s="18" t="s">
        <v>140</v>
      </c>
      <c r="J489" s="18" t="s">
        <v>325</v>
      </c>
      <c r="K489" s="29">
        <f t="shared" si="2"/>
        <v>29</v>
      </c>
    </row>
    <row r="490" ht="15.75" customHeight="1">
      <c r="A490" s="18" t="s">
        <v>3461</v>
      </c>
      <c r="B490" s="18">
        <v>1994.0</v>
      </c>
      <c r="C490" s="18" t="s">
        <v>517</v>
      </c>
      <c r="D490" s="18">
        <v>8.0</v>
      </c>
      <c r="E490" s="18" t="str">
        <f t="shared" si="1"/>
        <v>08/10/94</v>
      </c>
      <c r="F490" s="18">
        <v>2.0</v>
      </c>
      <c r="G490" s="27">
        <v>4435.09</v>
      </c>
      <c r="H490" s="18" t="s">
        <v>142</v>
      </c>
      <c r="I490" s="18" t="s">
        <v>140</v>
      </c>
      <c r="J490" s="18" t="s">
        <v>1427</v>
      </c>
      <c r="K490" s="29">
        <f t="shared" si="2"/>
        <v>28</v>
      </c>
    </row>
    <row r="491" ht="15.75" customHeight="1">
      <c r="A491" s="18" t="s">
        <v>3468</v>
      </c>
      <c r="B491" s="18">
        <v>1994.0</v>
      </c>
      <c r="C491" s="18" t="s">
        <v>517</v>
      </c>
      <c r="D491" s="18">
        <v>24.0</v>
      </c>
      <c r="E491" s="18" t="str">
        <f t="shared" si="1"/>
        <v>24/10/94</v>
      </c>
      <c r="F491" s="18">
        <v>2.0</v>
      </c>
      <c r="G491" s="27">
        <v>4438.26</v>
      </c>
      <c r="H491" s="18" t="s">
        <v>140</v>
      </c>
      <c r="I491" s="18" t="s">
        <v>142</v>
      </c>
      <c r="J491" s="18" t="s">
        <v>2617</v>
      </c>
      <c r="K491" s="29">
        <f t="shared" si="2"/>
        <v>28</v>
      </c>
    </row>
    <row r="492" ht="15.75" customHeight="1">
      <c r="A492" s="18" t="s">
        <v>3477</v>
      </c>
      <c r="B492" s="18">
        <v>1991.0</v>
      </c>
      <c r="C492" s="18" t="s">
        <v>272</v>
      </c>
      <c r="D492" s="18">
        <v>3.0</v>
      </c>
      <c r="E492" s="18" t="str">
        <f t="shared" si="1"/>
        <v>03/09/91</v>
      </c>
      <c r="F492" s="18">
        <v>1.0</v>
      </c>
      <c r="G492" s="27">
        <v>4441.21</v>
      </c>
      <c r="H492" s="18" t="s">
        <v>219</v>
      </c>
      <c r="I492" s="18" t="s">
        <v>140</v>
      </c>
      <c r="J492" s="18" t="s">
        <v>2191</v>
      </c>
      <c r="K492" s="29">
        <f t="shared" si="2"/>
        <v>31</v>
      </c>
    </row>
    <row r="493" ht="15.75" customHeight="1">
      <c r="A493" s="18" t="s">
        <v>3486</v>
      </c>
      <c r="B493" s="18">
        <v>1994.0</v>
      </c>
      <c r="C493" s="18" t="s">
        <v>241</v>
      </c>
      <c r="D493" s="18">
        <v>28.0</v>
      </c>
      <c r="E493" s="18" t="str">
        <f t="shared" si="1"/>
        <v>28/06/94</v>
      </c>
      <c r="F493" s="18">
        <v>3.0</v>
      </c>
      <c r="G493" s="27">
        <v>4449.46</v>
      </c>
      <c r="H493" s="18" t="s">
        <v>219</v>
      </c>
      <c r="I493" s="18" t="s">
        <v>140</v>
      </c>
      <c r="J493" s="18" t="s">
        <v>146</v>
      </c>
      <c r="K493" s="29">
        <f t="shared" si="2"/>
        <v>28</v>
      </c>
    </row>
    <row r="494" ht="15.75" customHeight="1">
      <c r="A494" s="18" t="s">
        <v>3495</v>
      </c>
      <c r="B494" s="18">
        <v>1990.0</v>
      </c>
      <c r="C494" s="18" t="s">
        <v>501</v>
      </c>
      <c r="D494" s="18">
        <v>8.0</v>
      </c>
      <c r="E494" s="18" t="str">
        <f t="shared" si="1"/>
        <v>08/08/90</v>
      </c>
      <c r="F494" s="18">
        <v>1.0</v>
      </c>
      <c r="G494" s="27">
        <v>4454.4</v>
      </c>
      <c r="H494" s="18" t="s">
        <v>140</v>
      </c>
      <c r="I494" s="18" t="s">
        <v>142</v>
      </c>
      <c r="J494" s="18" t="s">
        <v>325</v>
      </c>
      <c r="K494" s="29">
        <f t="shared" si="2"/>
        <v>32</v>
      </c>
    </row>
    <row r="495" ht="15.75" customHeight="1">
      <c r="A495" s="18" t="s">
        <v>3504</v>
      </c>
      <c r="B495" s="18">
        <v>1990.0</v>
      </c>
      <c r="C495" s="18" t="s">
        <v>91</v>
      </c>
      <c r="D495" s="18">
        <v>15.0</v>
      </c>
      <c r="E495" s="18" t="str">
        <f t="shared" si="1"/>
        <v>15/07/90</v>
      </c>
      <c r="F495" s="18">
        <v>1.0</v>
      </c>
      <c r="G495" s="27">
        <v>4462.72</v>
      </c>
      <c r="H495" s="18" t="s">
        <v>140</v>
      </c>
      <c r="I495" s="18" t="s">
        <v>142</v>
      </c>
      <c r="J495" s="18" t="s">
        <v>325</v>
      </c>
      <c r="K495" s="29">
        <f t="shared" si="2"/>
        <v>32</v>
      </c>
    </row>
    <row r="496" ht="15.75" customHeight="1">
      <c r="A496" s="18" t="s">
        <v>3510</v>
      </c>
      <c r="B496" s="18">
        <v>1991.0</v>
      </c>
      <c r="C496" s="18" t="s">
        <v>91</v>
      </c>
      <c r="D496" s="18">
        <v>4.0</v>
      </c>
      <c r="E496" s="18" t="str">
        <f t="shared" si="1"/>
        <v>04/07/91</v>
      </c>
      <c r="F496" s="18">
        <v>2.0</v>
      </c>
      <c r="G496" s="27">
        <v>4463.21</v>
      </c>
      <c r="H496" s="18" t="s">
        <v>142</v>
      </c>
      <c r="I496" s="18" t="s">
        <v>142</v>
      </c>
      <c r="J496" s="18" t="s">
        <v>146</v>
      </c>
      <c r="K496" s="29">
        <f t="shared" si="2"/>
        <v>31</v>
      </c>
    </row>
    <row r="497" ht="15.75" customHeight="1">
      <c r="A497" s="18" t="s">
        <v>3516</v>
      </c>
      <c r="B497" s="18">
        <v>1999.0</v>
      </c>
      <c r="C497" s="18" t="s">
        <v>209</v>
      </c>
      <c r="D497" s="18">
        <v>20.0</v>
      </c>
      <c r="E497" s="18" t="str">
        <f t="shared" si="1"/>
        <v>20/11/99</v>
      </c>
      <c r="F497" s="18">
        <v>3.0</v>
      </c>
      <c r="G497" s="27">
        <v>4466.62</v>
      </c>
      <c r="H497" s="18" t="s">
        <v>140</v>
      </c>
      <c r="I497" s="18" t="s">
        <v>140</v>
      </c>
      <c r="J497" s="18" t="s">
        <v>325</v>
      </c>
      <c r="K497" s="29">
        <f t="shared" si="2"/>
        <v>23</v>
      </c>
    </row>
    <row r="498" ht="15.75" customHeight="1">
      <c r="A498" s="18" t="s">
        <v>3520</v>
      </c>
      <c r="B498" s="18">
        <v>2004.0</v>
      </c>
      <c r="C498" s="18" t="s">
        <v>91</v>
      </c>
      <c r="D498" s="18">
        <v>18.0</v>
      </c>
      <c r="E498" s="18" t="str">
        <f t="shared" si="1"/>
        <v>18/07/04</v>
      </c>
      <c r="F498" s="18">
        <v>0.0</v>
      </c>
      <c r="G498" s="27">
        <v>4468.25</v>
      </c>
      <c r="H498" s="18" t="s">
        <v>140</v>
      </c>
      <c r="I498" s="18" t="s">
        <v>140</v>
      </c>
      <c r="J498" s="18" t="s">
        <v>325</v>
      </c>
      <c r="K498" s="29">
        <f t="shared" si="2"/>
        <v>18</v>
      </c>
    </row>
    <row r="499" ht="15.75" customHeight="1">
      <c r="A499" s="18" t="s">
        <v>3527</v>
      </c>
      <c r="B499" s="18">
        <v>1992.0</v>
      </c>
      <c r="C499" s="18" t="s">
        <v>91</v>
      </c>
      <c r="D499" s="18">
        <v>12.0</v>
      </c>
      <c r="E499" s="18" t="str">
        <f t="shared" si="1"/>
        <v>12/07/92</v>
      </c>
      <c r="F499" s="18">
        <v>0.0</v>
      </c>
      <c r="G499" s="27">
        <v>4488.58</v>
      </c>
      <c r="H499" s="18" t="s">
        <v>140</v>
      </c>
      <c r="I499" s="18" t="s">
        <v>142</v>
      </c>
      <c r="J499" s="18" t="s">
        <v>325</v>
      </c>
      <c r="K499" s="29">
        <f t="shared" si="2"/>
        <v>30</v>
      </c>
    </row>
    <row r="500" ht="15.75" customHeight="1">
      <c r="A500" s="18" t="s">
        <v>3532</v>
      </c>
      <c r="B500" s="18">
        <v>1988.0</v>
      </c>
      <c r="C500" s="18" t="s">
        <v>241</v>
      </c>
      <c r="D500" s="18">
        <v>26.0</v>
      </c>
      <c r="E500" s="18" t="str">
        <f t="shared" si="1"/>
        <v>26/06/88</v>
      </c>
      <c r="F500" s="18">
        <v>0.0</v>
      </c>
      <c r="G500" s="27">
        <v>4500.34</v>
      </c>
      <c r="H500" s="18" t="s">
        <v>140</v>
      </c>
      <c r="I500" s="18" t="s">
        <v>219</v>
      </c>
      <c r="J500" s="18" t="s">
        <v>2617</v>
      </c>
      <c r="K500" s="29">
        <f t="shared" si="2"/>
        <v>34</v>
      </c>
    </row>
    <row r="501" ht="15.75" customHeight="1">
      <c r="A501" s="18" t="s">
        <v>3538</v>
      </c>
      <c r="B501" s="18">
        <v>1997.0</v>
      </c>
      <c r="C501" s="18" t="s">
        <v>517</v>
      </c>
      <c r="D501" s="18">
        <v>13.0</v>
      </c>
      <c r="E501" s="18" t="str">
        <f t="shared" si="1"/>
        <v>13/10/97</v>
      </c>
      <c r="F501" s="18">
        <v>4.0</v>
      </c>
      <c r="G501" s="27">
        <v>4504.66</v>
      </c>
      <c r="H501" s="18" t="s">
        <v>219</v>
      </c>
      <c r="I501" s="18" t="s">
        <v>140</v>
      </c>
      <c r="J501" s="18" t="s">
        <v>146</v>
      </c>
      <c r="K501" s="29">
        <f t="shared" si="2"/>
        <v>25</v>
      </c>
    </row>
    <row r="502" ht="15.75" customHeight="1">
      <c r="A502" s="18" t="s">
        <v>3545</v>
      </c>
      <c r="B502" s="18">
        <v>1982.0</v>
      </c>
      <c r="C502" s="18" t="s">
        <v>272</v>
      </c>
      <c r="D502" s="18">
        <v>27.0</v>
      </c>
      <c r="E502" s="18" t="str">
        <f t="shared" si="1"/>
        <v>27/09/82</v>
      </c>
      <c r="F502" s="18">
        <v>3.0</v>
      </c>
      <c r="G502" s="27">
        <v>4511.41</v>
      </c>
      <c r="H502" s="18" t="s">
        <v>140</v>
      </c>
      <c r="I502" s="18" t="s">
        <v>142</v>
      </c>
      <c r="J502" s="18" t="s">
        <v>146</v>
      </c>
      <c r="K502" s="29">
        <f t="shared" si="2"/>
        <v>40</v>
      </c>
    </row>
    <row r="503" ht="15.75" customHeight="1">
      <c r="A503" s="18" t="s">
        <v>3552</v>
      </c>
      <c r="B503" s="18">
        <v>1980.0</v>
      </c>
      <c r="C503" s="18" t="s">
        <v>241</v>
      </c>
      <c r="D503" s="18">
        <v>16.0</v>
      </c>
      <c r="E503" s="18" t="str">
        <f t="shared" si="1"/>
        <v>16/06/80</v>
      </c>
      <c r="F503" s="18">
        <v>2.0</v>
      </c>
      <c r="G503" s="27">
        <v>4515.71</v>
      </c>
      <c r="H503" s="18" t="s">
        <v>140</v>
      </c>
      <c r="I503" s="18" t="s">
        <v>142</v>
      </c>
      <c r="J503" s="18" t="s">
        <v>146</v>
      </c>
      <c r="K503" s="29">
        <f t="shared" si="2"/>
        <v>42</v>
      </c>
    </row>
    <row r="504" ht="15.75" customHeight="1">
      <c r="A504" s="18" t="s">
        <v>3556</v>
      </c>
      <c r="B504" s="18">
        <v>2003.0</v>
      </c>
      <c r="C504" s="18" t="s">
        <v>517</v>
      </c>
      <c r="D504" s="18">
        <v>2.0</v>
      </c>
      <c r="E504" s="18" t="str">
        <f t="shared" si="1"/>
        <v>02/10/03</v>
      </c>
      <c r="F504" s="18">
        <v>0.0</v>
      </c>
      <c r="G504" s="27">
        <v>4518.4</v>
      </c>
      <c r="H504" s="18" t="s">
        <v>140</v>
      </c>
      <c r="I504" s="18" t="s">
        <v>142</v>
      </c>
      <c r="J504" s="18" t="s">
        <v>3559</v>
      </c>
      <c r="K504" s="29">
        <f t="shared" si="2"/>
        <v>19</v>
      </c>
    </row>
    <row r="505" ht="15.75" customHeight="1">
      <c r="A505" s="18" t="s">
        <v>3561</v>
      </c>
      <c r="B505" s="18">
        <v>1987.0</v>
      </c>
      <c r="C505" s="18" t="s">
        <v>457</v>
      </c>
      <c r="D505" s="18">
        <v>5.0</v>
      </c>
      <c r="E505" s="18" t="str">
        <f t="shared" si="1"/>
        <v>05/12/87</v>
      </c>
      <c r="F505" s="18">
        <v>3.0</v>
      </c>
      <c r="G505" s="27">
        <v>4518.77</v>
      </c>
      <c r="H505" s="18" t="s">
        <v>140</v>
      </c>
      <c r="I505" s="18" t="s">
        <v>142</v>
      </c>
      <c r="J505" s="18" t="s">
        <v>325</v>
      </c>
      <c r="K505" s="29">
        <f t="shared" si="2"/>
        <v>35</v>
      </c>
    </row>
    <row r="506" ht="15.75" customHeight="1">
      <c r="A506" s="18" t="s">
        <v>3567</v>
      </c>
      <c r="B506" s="18">
        <v>1988.0</v>
      </c>
      <c r="C506" s="18" t="s">
        <v>457</v>
      </c>
      <c r="D506" s="18">
        <v>21.0</v>
      </c>
      <c r="E506" s="18" t="str">
        <f t="shared" si="1"/>
        <v>21/12/88</v>
      </c>
      <c r="F506" s="18">
        <v>0.0</v>
      </c>
      <c r="G506" s="27">
        <v>4518.83</v>
      </c>
      <c r="H506" s="18" t="s">
        <v>140</v>
      </c>
      <c r="I506" s="18" t="s">
        <v>140</v>
      </c>
      <c r="J506" s="18" t="s">
        <v>2617</v>
      </c>
      <c r="K506" s="29">
        <f t="shared" si="2"/>
        <v>34</v>
      </c>
    </row>
    <row r="507" ht="15.75" customHeight="1">
      <c r="A507" s="18" t="s">
        <v>3573</v>
      </c>
      <c r="B507" s="18">
        <v>1992.0</v>
      </c>
      <c r="C507" s="18" t="s">
        <v>501</v>
      </c>
      <c r="D507" s="18">
        <v>13.0</v>
      </c>
      <c r="E507" s="18" t="str">
        <f t="shared" si="1"/>
        <v>13/08/92</v>
      </c>
      <c r="F507" s="18">
        <v>1.0</v>
      </c>
      <c r="G507" s="27">
        <v>4527.18</v>
      </c>
      <c r="H507" s="18" t="s">
        <v>140</v>
      </c>
      <c r="I507" s="18" t="s">
        <v>140</v>
      </c>
      <c r="J507" s="18" t="s">
        <v>325</v>
      </c>
      <c r="K507" s="29">
        <f t="shared" si="2"/>
        <v>30</v>
      </c>
    </row>
    <row r="508" ht="15.75" customHeight="1">
      <c r="A508" s="18" t="s">
        <v>3578</v>
      </c>
      <c r="B508" s="18">
        <v>1993.0</v>
      </c>
      <c r="C508" s="18" t="s">
        <v>241</v>
      </c>
      <c r="D508" s="18">
        <v>29.0</v>
      </c>
      <c r="E508" s="18" t="str">
        <f t="shared" si="1"/>
        <v>29/06/93</v>
      </c>
      <c r="F508" s="18">
        <v>2.0</v>
      </c>
      <c r="G508" s="27">
        <v>4529.48</v>
      </c>
      <c r="H508" s="18" t="s">
        <v>140</v>
      </c>
      <c r="I508" s="18" t="s">
        <v>219</v>
      </c>
      <c r="J508" s="18" t="s">
        <v>570</v>
      </c>
      <c r="K508" s="29">
        <f t="shared" si="2"/>
        <v>29</v>
      </c>
    </row>
    <row r="509" ht="15.75" customHeight="1">
      <c r="A509" s="18" t="s">
        <v>3582</v>
      </c>
      <c r="B509" s="18">
        <v>1988.0</v>
      </c>
      <c r="C509" s="18" t="s">
        <v>241</v>
      </c>
      <c r="D509" s="18">
        <v>13.0</v>
      </c>
      <c r="E509" s="18" t="str">
        <f t="shared" si="1"/>
        <v>13/06/88</v>
      </c>
      <c r="F509" s="18">
        <v>1.0</v>
      </c>
      <c r="G509" s="27">
        <v>4536.26</v>
      </c>
      <c r="H509" s="18" t="s">
        <v>140</v>
      </c>
      <c r="I509" s="18" t="s">
        <v>140</v>
      </c>
      <c r="J509" s="18" t="s">
        <v>570</v>
      </c>
      <c r="K509" s="29">
        <f t="shared" si="2"/>
        <v>34</v>
      </c>
    </row>
    <row r="510" ht="15.75" customHeight="1">
      <c r="A510" s="18" t="s">
        <v>3587</v>
      </c>
      <c r="B510" s="18">
        <v>1990.0</v>
      </c>
      <c r="C510" s="18" t="s">
        <v>209</v>
      </c>
      <c r="D510" s="18">
        <v>17.0</v>
      </c>
      <c r="E510" s="18" t="str">
        <f t="shared" si="1"/>
        <v>17/11/90</v>
      </c>
      <c r="F510" s="18">
        <v>0.0</v>
      </c>
      <c r="G510" s="27">
        <v>4544.23</v>
      </c>
      <c r="H510" s="18" t="s">
        <v>140</v>
      </c>
      <c r="I510" s="18" t="s">
        <v>219</v>
      </c>
      <c r="J510" s="18" t="s">
        <v>2024</v>
      </c>
      <c r="K510" s="29">
        <f t="shared" si="2"/>
        <v>32</v>
      </c>
    </row>
    <row r="511" ht="15.75" customHeight="1">
      <c r="A511" s="18" t="s">
        <v>3591</v>
      </c>
      <c r="B511" s="18">
        <v>2004.0</v>
      </c>
      <c r="C511" s="18" t="s">
        <v>457</v>
      </c>
      <c r="D511" s="18">
        <v>22.0</v>
      </c>
      <c r="E511" s="18" t="str">
        <f t="shared" si="1"/>
        <v>22/12/04</v>
      </c>
      <c r="F511" s="18">
        <v>4.0</v>
      </c>
      <c r="G511" s="27">
        <v>4561.19</v>
      </c>
      <c r="H511" s="18" t="s">
        <v>140</v>
      </c>
      <c r="I511" s="18" t="s">
        <v>140</v>
      </c>
      <c r="J511" s="18" t="s">
        <v>2024</v>
      </c>
      <c r="K511" s="29">
        <f t="shared" si="2"/>
        <v>18</v>
      </c>
    </row>
    <row r="512" ht="15.75" customHeight="1">
      <c r="A512" s="18" t="s">
        <v>3595</v>
      </c>
      <c r="B512" s="18">
        <v>1990.0</v>
      </c>
      <c r="C512" s="18" t="s">
        <v>272</v>
      </c>
      <c r="D512" s="18">
        <v>20.0</v>
      </c>
      <c r="E512" s="18" t="str">
        <f t="shared" si="1"/>
        <v>20/09/90</v>
      </c>
      <c r="F512" s="18">
        <v>1.0</v>
      </c>
      <c r="G512" s="27">
        <v>4562.84</v>
      </c>
      <c r="H512" s="18" t="s">
        <v>140</v>
      </c>
      <c r="I512" s="18" t="s">
        <v>140</v>
      </c>
      <c r="J512" s="18" t="s">
        <v>146</v>
      </c>
      <c r="K512" s="29">
        <f t="shared" si="2"/>
        <v>32</v>
      </c>
    </row>
    <row r="513" ht="15.75" customHeight="1">
      <c r="A513" s="18" t="s">
        <v>3598</v>
      </c>
      <c r="B513" s="18">
        <v>1996.0</v>
      </c>
      <c r="C513" s="18" t="s">
        <v>457</v>
      </c>
      <c r="D513" s="18">
        <v>25.0</v>
      </c>
      <c r="E513" s="18" t="str">
        <f t="shared" si="1"/>
        <v>25/12/96</v>
      </c>
      <c r="F513" s="18">
        <v>2.0</v>
      </c>
      <c r="G513" s="27">
        <v>4564.19</v>
      </c>
      <c r="H513" s="18" t="s">
        <v>140</v>
      </c>
      <c r="I513" s="18" t="s">
        <v>140</v>
      </c>
      <c r="J513" s="18" t="s">
        <v>2024</v>
      </c>
      <c r="K513" s="29">
        <f t="shared" si="2"/>
        <v>26</v>
      </c>
    </row>
    <row r="514" ht="15.75" customHeight="1">
      <c r="A514" s="18" t="s">
        <v>3603</v>
      </c>
      <c r="B514" s="18">
        <v>1989.0</v>
      </c>
      <c r="C514" s="18" t="s">
        <v>272</v>
      </c>
      <c r="D514" s="18">
        <v>18.0</v>
      </c>
      <c r="E514" s="18" t="str">
        <f t="shared" si="1"/>
        <v>18/09/89</v>
      </c>
      <c r="F514" s="18">
        <v>0.0</v>
      </c>
      <c r="G514" s="27">
        <v>4571.41</v>
      </c>
      <c r="H514" s="18" t="s">
        <v>140</v>
      </c>
      <c r="I514" s="18" t="s">
        <v>140</v>
      </c>
      <c r="J514" s="18" t="s">
        <v>325</v>
      </c>
      <c r="K514" s="29">
        <f t="shared" si="2"/>
        <v>33</v>
      </c>
    </row>
    <row r="515" ht="15.75" customHeight="1">
      <c r="A515" s="18" t="s">
        <v>3608</v>
      </c>
      <c r="B515" s="18">
        <v>2000.0</v>
      </c>
      <c r="C515" s="18" t="s">
        <v>91</v>
      </c>
      <c r="D515" s="18">
        <v>2.0</v>
      </c>
      <c r="E515" s="18" t="str">
        <f t="shared" si="1"/>
        <v>02/07/00</v>
      </c>
      <c r="F515" s="18">
        <v>0.0</v>
      </c>
      <c r="G515" s="27">
        <v>4608.03</v>
      </c>
      <c r="H515" s="18" t="s">
        <v>140</v>
      </c>
      <c r="I515" s="18" t="s">
        <v>142</v>
      </c>
      <c r="J515" s="18" t="s">
        <v>570</v>
      </c>
      <c r="K515" s="29">
        <f t="shared" si="2"/>
        <v>22</v>
      </c>
    </row>
    <row r="516" ht="15.75" customHeight="1">
      <c r="A516" s="18" t="s">
        <v>3613</v>
      </c>
      <c r="B516" s="18">
        <v>1998.0</v>
      </c>
      <c r="C516" s="18" t="s">
        <v>241</v>
      </c>
      <c r="D516" s="18">
        <v>29.0</v>
      </c>
      <c r="E516" s="18" t="str">
        <f t="shared" si="1"/>
        <v>29/06/98</v>
      </c>
      <c r="F516" s="18">
        <v>3.0</v>
      </c>
      <c r="G516" s="27">
        <v>4618.08</v>
      </c>
      <c r="H516" s="18" t="s">
        <v>140</v>
      </c>
      <c r="I516" s="18" t="s">
        <v>219</v>
      </c>
      <c r="J516" s="18" t="s">
        <v>325</v>
      </c>
      <c r="K516" s="29">
        <f t="shared" si="2"/>
        <v>24</v>
      </c>
    </row>
    <row r="517" ht="15.75" customHeight="1">
      <c r="A517" s="18" t="s">
        <v>3617</v>
      </c>
      <c r="B517" s="18">
        <v>1985.0</v>
      </c>
      <c r="C517" s="18" t="s">
        <v>241</v>
      </c>
      <c r="D517" s="18">
        <v>22.0</v>
      </c>
      <c r="E517" s="18" t="str">
        <f t="shared" si="1"/>
        <v>22/06/85</v>
      </c>
      <c r="F517" s="18">
        <v>0.0</v>
      </c>
      <c r="G517" s="27">
        <v>4646.76</v>
      </c>
      <c r="H517" s="18" t="s">
        <v>219</v>
      </c>
      <c r="I517" s="18" t="s">
        <v>219</v>
      </c>
      <c r="J517" s="18" t="s">
        <v>570</v>
      </c>
      <c r="K517" s="29">
        <f t="shared" si="2"/>
        <v>37</v>
      </c>
    </row>
    <row r="518" ht="15.75" customHeight="1">
      <c r="A518" s="18" t="s">
        <v>3622</v>
      </c>
      <c r="B518" s="18">
        <v>1996.0</v>
      </c>
      <c r="C518" s="18" t="s">
        <v>517</v>
      </c>
      <c r="D518" s="18">
        <v>25.0</v>
      </c>
      <c r="E518" s="18" t="str">
        <f t="shared" si="1"/>
        <v>25/10/96</v>
      </c>
      <c r="F518" s="18">
        <v>3.0</v>
      </c>
      <c r="G518" s="27">
        <v>4661.29</v>
      </c>
      <c r="H518" s="18" t="s">
        <v>140</v>
      </c>
      <c r="I518" s="18" t="s">
        <v>219</v>
      </c>
      <c r="J518" s="18" t="s">
        <v>2617</v>
      </c>
      <c r="K518" s="29">
        <f t="shared" si="2"/>
        <v>26</v>
      </c>
    </row>
    <row r="519" ht="15.75" customHeight="1">
      <c r="A519" s="18" t="s">
        <v>3631</v>
      </c>
      <c r="B519" s="18">
        <v>1990.0</v>
      </c>
      <c r="C519" s="18" t="s">
        <v>501</v>
      </c>
      <c r="D519" s="18">
        <v>5.0</v>
      </c>
      <c r="E519" s="18" t="str">
        <f t="shared" si="1"/>
        <v>05/08/90</v>
      </c>
      <c r="F519" s="18">
        <v>1.0</v>
      </c>
      <c r="G519" s="27">
        <v>4667.61</v>
      </c>
      <c r="H519" s="18" t="s">
        <v>142</v>
      </c>
      <c r="I519" s="18" t="s">
        <v>142</v>
      </c>
      <c r="J519" s="18" t="s">
        <v>1427</v>
      </c>
      <c r="K519" s="29">
        <f t="shared" si="2"/>
        <v>32</v>
      </c>
    </row>
    <row r="520" ht="15.75" customHeight="1">
      <c r="A520" s="18" t="s">
        <v>3635</v>
      </c>
      <c r="B520" s="18">
        <v>1990.0</v>
      </c>
      <c r="C520" s="18" t="s">
        <v>272</v>
      </c>
      <c r="D520" s="18">
        <v>26.0</v>
      </c>
      <c r="E520" s="18" t="str">
        <f t="shared" si="1"/>
        <v>26/09/90</v>
      </c>
      <c r="F520" s="18">
        <v>2.0</v>
      </c>
      <c r="G520" s="27">
        <v>4670.64</v>
      </c>
      <c r="H520" s="18" t="s">
        <v>140</v>
      </c>
      <c r="I520" s="18" t="s">
        <v>140</v>
      </c>
      <c r="J520" s="18" t="s">
        <v>570</v>
      </c>
      <c r="K520" s="29">
        <f t="shared" si="2"/>
        <v>32</v>
      </c>
    </row>
    <row r="521" ht="15.75" customHeight="1">
      <c r="A521" s="18" t="s">
        <v>3638</v>
      </c>
      <c r="B521" s="18">
        <v>1990.0</v>
      </c>
      <c r="C521" s="18" t="s">
        <v>91</v>
      </c>
      <c r="D521" s="18">
        <v>13.0</v>
      </c>
      <c r="E521" s="18" t="str">
        <f t="shared" si="1"/>
        <v>13/07/90</v>
      </c>
      <c r="F521" s="18">
        <v>2.0</v>
      </c>
      <c r="G521" s="27">
        <v>4673.39</v>
      </c>
      <c r="H521" s="18" t="s">
        <v>140</v>
      </c>
      <c r="I521" s="18" t="s">
        <v>219</v>
      </c>
      <c r="J521" s="18" t="s">
        <v>146</v>
      </c>
      <c r="K521" s="29">
        <f t="shared" si="2"/>
        <v>32</v>
      </c>
    </row>
    <row r="522" ht="15.75" customHeight="1">
      <c r="A522" s="18" t="s">
        <v>3644</v>
      </c>
      <c r="B522" s="18">
        <v>1979.0</v>
      </c>
      <c r="C522" s="18" t="s">
        <v>517</v>
      </c>
      <c r="D522" s="18">
        <v>18.0</v>
      </c>
      <c r="E522" s="18" t="str">
        <f t="shared" si="1"/>
        <v>18/10/79</v>
      </c>
      <c r="F522" s="18">
        <v>2.0</v>
      </c>
      <c r="G522" s="27">
        <v>4674.2</v>
      </c>
      <c r="H522" s="18" t="s">
        <v>140</v>
      </c>
      <c r="I522" s="18" t="s">
        <v>219</v>
      </c>
      <c r="J522" s="18" t="s">
        <v>146</v>
      </c>
      <c r="K522" s="29">
        <f t="shared" si="2"/>
        <v>43</v>
      </c>
    </row>
    <row r="523" ht="15.75" customHeight="1">
      <c r="A523" s="18" t="s">
        <v>3649</v>
      </c>
      <c r="B523" s="18">
        <v>2003.0</v>
      </c>
      <c r="C523" s="18" t="s">
        <v>517</v>
      </c>
      <c r="D523" s="18">
        <v>4.0</v>
      </c>
      <c r="E523" s="18" t="str">
        <f t="shared" si="1"/>
        <v>04/10/03</v>
      </c>
      <c r="F523" s="18">
        <v>0.0</v>
      </c>
      <c r="G523" s="27">
        <v>4678.8</v>
      </c>
      <c r="H523" s="18" t="s">
        <v>140</v>
      </c>
      <c r="I523" s="18" t="s">
        <v>219</v>
      </c>
      <c r="J523" s="18" t="s">
        <v>2314</v>
      </c>
      <c r="K523" s="29">
        <f t="shared" si="2"/>
        <v>19</v>
      </c>
    </row>
    <row r="524" ht="15.75" customHeight="1">
      <c r="A524" s="18" t="s">
        <v>3656</v>
      </c>
      <c r="B524" s="18">
        <v>1990.0</v>
      </c>
      <c r="C524" s="18" t="s">
        <v>272</v>
      </c>
      <c r="D524" s="18">
        <v>4.0</v>
      </c>
      <c r="E524" s="18" t="str">
        <f t="shared" si="1"/>
        <v>04/09/90</v>
      </c>
      <c r="F524" s="18">
        <v>2.0</v>
      </c>
      <c r="G524" s="27">
        <v>4686.39</v>
      </c>
      <c r="H524" s="18" t="s">
        <v>142</v>
      </c>
      <c r="I524" s="18" t="s">
        <v>142</v>
      </c>
      <c r="J524" s="18" t="s">
        <v>146</v>
      </c>
      <c r="K524" s="29">
        <f t="shared" si="2"/>
        <v>32</v>
      </c>
    </row>
    <row r="525" ht="15.75" customHeight="1">
      <c r="A525" s="18" t="s">
        <v>3662</v>
      </c>
      <c r="B525" s="18">
        <v>2003.0</v>
      </c>
      <c r="C525" s="18" t="s">
        <v>241</v>
      </c>
      <c r="D525" s="18">
        <v>22.0</v>
      </c>
      <c r="E525" s="18" t="str">
        <f t="shared" si="1"/>
        <v>22/06/03</v>
      </c>
      <c r="F525" s="18">
        <v>5.0</v>
      </c>
      <c r="G525" s="27">
        <v>4687.8</v>
      </c>
      <c r="H525" s="18" t="s">
        <v>140</v>
      </c>
      <c r="I525" s="18" t="s">
        <v>142</v>
      </c>
      <c r="J525" s="18" t="s">
        <v>570</v>
      </c>
      <c r="K525" s="29">
        <f t="shared" si="2"/>
        <v>19</v>
      </c>
    </row>
    <row r="526" ht="15.75" customHeight="1">
      <c r="A526" s="18" t="s">
        <v>3668</v>
      </c>
      <c r="B526" s="18">
        <v>1977.0</v>
      </c>
      <c r="C526" s="18" t="s">
        <v>457</v>
      </c>
      <c r="D526" s="18">
        <v>4.0</v>
      </c>
      <c r="E526" s="18" t="str">
        <f t="shared" si="1"/>
        <v>04/12/77</v>
      </c>
      <c r="F526" s="18">
        <v>2.0</v>
      </c>
      <c r="G526" s="27">
        <v>4699.47</v>
      </c>
      <c r="H526" s="18" t="s">
        <v>140</v>
      </c>
      <c r="I526" s="18" t="s">
        <v>142</v>
      </c>
      <c r="J526" s="18" t="s">
        <v>146</v>
      </c>
      <c r="K526" s="29">
        <f t="shared" si="2"/>
        <v>45</v>
      </c>
    </row>
    <row r="527" ht="15.75" customHeight="1">
      <c r="A527" s="18" t="s">
        <v>3675</v>
      </c>
      <c r="B527" s="18">
        <v>1981.0</v>
      </c>
      <c r="C527" s="18" t="s">
        <v>501</v>
      </c>
      <c r="D527" s="18">
        <v>12.0</v>
      </c>
      <c r="E527" s="18" t="str">
        <f t="shared" si="1"/>
        <v>12/08/81</v>
      </c>
      <c r="F527" s="18">
        <v>1.0</v>
      </c>
      <c r="G527" s="27">
        <v>4712.12</v>
      </c>
      <c r="H527" s="18" t="s">
        <v>140</v>
      </c>
      <c r="I527" s="18" t="s">
        <v>142</v>
      </c>
      <c r="J527" s="18" t="s">
        <v>570</v>
      </c>
      <c r="K527" s="29">
        <f t="shared" si="2"/>
        <v>41</v>
      </c>
    </row>
    <row r="528" ht="15.75" customHeight="1">
      <c r="A528" s="18" t="s">
        <v>3680</v>
      </c>
      <c r="B528" s="18">
        <v>1992.0</v>
      </c>
      <c r="C528" s="18" t="s">
        <v>517</v>
      </c>
      <c r="D528" s="18">
        <v>9.0</v>
      </c>
      <c r="E528" s="18" t="str">
        <f t="shared" si="1"/>
        <v>09/10/92</v>
      </c>
      <c r="F528" s="18">
        <v>1.0</v>
      </c>
      <c r="G528" s="27">
        <v>4718.2</v>
      </c>
      <c r="H528" s="18" t="s">
        <v>140</v>
      </c>
      <c r="I528" s="18" t="s">
        <v>142</v>
      </c>
      <c r="J528" s="18" t="s">
        <v>2024</v>
      </c>
      <c r="K528" s="29">
        <f t="shared" si="2"/>
        <v>30</v>
      </c>
    </row>
    <row r="529" ht="15.75" customHeight="1">
      <c r="A529" s="18" t="s">
        <v>3685</v>
      </c>
      <c r="B529" s="18">
        <v>1992.0</v>
      </c>
      <c r="C529" s="18" t="s">
        <v>272</v>
      </c>
      <c r="D529" s="18">
        <v>28.0</v>
      </c>
      <c r="E529" s="18" t="str">
        <f t="shared" si="1"/>
        <v>28/09/92</v>
      </c>
      <c r="F529" s="18">
        <v>1.0</v>
      </c>
      <c r="G529" s="27">
        <v>4719.52</v>
      </c>
      <c r="H529" s="18" t="s">
        <v>140</v>
      </c>
      <c r="I529" s="18" t="s">
        <v>140</v>
      </c>
      <c r="J529" s="18" t="s">
        <v>2024</v>
      </c>
      <c r="K529" s="29">
        <f t="shared" si="2"/>
        <v>30</v>
      </c>
    </row>
    <row r="530" ht="15.75" customHeight="1">
      <c r="A530" s="18" t="s">
        <v>3690</v>
      </c>
      <c r="B530" s="18">
        <v>1994.0</v>
      </c>
      <c r="C530" s="18" t="s">
        <v>501</v>
      </c>
      <c r="D530" s="18">
        <v>12.0</v>
      </c>
      <c r="E530" s="18" t="str">
        <f t="shared" si="1"/>
        <v>12/08/94</v>
      </c>
      <c r="F530" s="18">
        <v>2.0</v>
      </c>
      <c r="G530" s="27">
        <v>4719.74</v>
      </c>
      <c r="H530" s="18" t="s">
        <v>140</v>
      </c>
      <c r="I530" s="18" t="s">
        <v>219</v>
      </c>
      <c r="J530" s="18" t="s">
        <v>325</v>
      </c>
      <c r="K530" s="29">
        <f t="shared" si="2"/>
        <v>28</v>
      </c>
    </row>
    <row r="531" ht="15.75" customHeight="1">
      <c r="A531" s="18" t="s">
        <v>3694</v>
      </c>
      <c r="B531" s="18">
        <v>1980.0</v>
      </c>
      <c r="C531" s="18" t="s">
        <v>91</v>
      </c>
      <c r="D531" s="18">
        <v>2.0</v>
      </c>
      <c r="E531" s="18" t="str">
        <f t="shared" si="1"/>
        <v>02/07/80</v>
      </c>
      <c r="F531" s="18">
        <v>2.0</v>
      </c>
      <c r="G531" s="27">
        <v>4728.71</v>
      </c>
      <c r="H531" s="18" t="s">
        <v>140</v>
      </c>
      <c r="I531" s="18" t="s">
        <v>142</v>
      </c>
      <c r="J531" s="18" t="s">
        <v>325</v>
      </c>
      <c r="K531" s="29">
        <f t="shared" si="2"/>
        <v>42</v>
      </c>
    </row>
    <row r="532" ht="15.75" customHeight="1">
      <c r="A532" s="18" t="s">
        <v>3699</v>
      </c>
      <c r="B532" s="18">
        <v>1986.0</v>
      </c>
      <c r="C532" s="18" t="s">
        <v>272</v>
      </c>
      <c r="D532" s="18">
        <v>5.0</v>
      </c>
      <c r="E532" s="18" t="str">
        <f t="shared" si="1"/>
        <v>05/09/86</v>
      </c>
      <c r="F532" s="18">
        <v>3.0</v>
      </c>
      <c r="G532" s="27">
        <v>4734.64</v>
      </c>
      <c r="H532" s="18" t="s">
        <v>140</v>
      </c>
      <c r="I532" s="18" t="s">
        <v>219</v>
      </c>
      <c r="J532" s="18" t="s">
        <v>146</v>
      </c>
      <c r="K532" s="29">
        <f t="shared" si="2"/>
        <v>36</v>
      </c>
    </row>
    <row r="533" ht="15.75" customHeight="1">
      <c r="A533" s="18" t="s">
        <v>3704</v>
      </c>
      <c r="B533" s="18">
        <v>1991.0</v>
      </c>
      <c r="C533" s="18" t="s">
        <v>517</v>
      </c>
      <c r="D533" s="18">
        <v>12.0</v>
      </c>
      <c r="E533" s="18" t="str">
        <f t="shared" si="1"/>
        <v>12/10/91</v>
      </c>
      <c r="F533" s="18">
        <v>1.0</v>
      </c>
      <c r="G533" s="27">
        <v>4738.27</v>
      </c>
      <c r="H533" s="18" t="s">
        <v>140</v>
      </c>
      <c r="I533" s="18" t="s">
        <v>142</v>
      </c>
      <c r="J533" s="18" t="s">
        <v>325</v>
      </c>
      <c r="K533" s="29">
        <f t="shared" si="2"/>
        <v>31</v>
      </c>
    </row>
    <row r="534" ht="15.75" customHeight="1">
      <c r="A534" s="18" t="s">
        <v>3708</v>
      </c>
      <c r="B534" s="18">
        <v>2004.0</v>
      </c>
      <c r="C534" s="18" t="s">
        <v>209</v>
      </c>
      <c r="D534" s="18">
        <v>24.0</v>
      </c>
      <c r="E534" s="18" t="str">
        <f t="shared" si="1"/>
        <v>24/11/04</v>
      </c>
      <c r="F534" s="18">
        <v>0.0</v>
      </c>
      <c r="G534" s="27">
        <v>4740.78</v>
      </c>
      <c r="H534" s="18" t="s">
        <v>140</v>
      </c>
      <c r="I534" s="18" t="s">
        <v>142</v>
      </c>
      <c r="J534" s="18" t="s">
        <v>2314</v>
      </c>
      <c r="K534" s="29">
        <f t="shared" si="2"/>
        <v>18</v>
      </c>
    </row>
    <row r="535" ht="15.75" customHeight="1">
      <c r="A535" s="18" t="s">
        <v>3712</v>
      </c>
      <c r="B535" s="18">
        <v>1987.0</v>
      </c>
      <c r="C535" s="18" t="s">
        <v>241</v>
      </c>
      <c r="D535" s="18">
        <v>5.0</v>
      </c>
      <c r="E535" s="18" t="str">
        <f t="shared" si="1"/>
        <v>05/06/87</v>
      </c>
      <c r="F535" s="18">
        <v>1.0</v>
      </c>
      <c r="G535" s="27">
        <v>4746.34</v>
      </c>
      <c r="H535" s="18" t="s">
        <v>140</v>
      </c>
      <c r="I535" s="18" t="s">
        <v>140</v>
      </c>
      <c r="J535" s="18" t="s">
        <v>570</v>
      </c>
      <c r="K535" s="29">
        <f t="shared" si="2"/>
        <v>36</v>
      </c>
    </row>
    <row r="536" ht="15.75" customHeight="1">
      <c r="A536" s="18" t="s">
        <v>3714</v>
      </c>
      <c r="B536" s="18">
        <v>1987.0</v>
      </c>
      <c r="C536" s="18" t="s">
        <v>272</v>
      </c>
      <c r="D536" s="18">
        <v>2.0</v>
      </c>
      <c r="E536" s="18" t="str">
        <f t="shared" si="1"/>
        <v>02/09/87</v>
      </c>
      <c r="F536" s="18">
        <v>1.0</v>
      </c>
      <c r="G536" s="27">
        <v>4747.05</v>
      </c>
      <c r="H536" s="18" t="s">
        <v>140</v>
      </c>
      <c r="I536" s="18" t="s">
        <v>140</v>
      </c>
      <c r="J536" s="18" t="s">
        <v>146</v>
      </c>
      <c r="K536" s="29">
        <f t="shared" si="2"/>
        <v>35</v>
      </c>
    </row>
    <row r="537" ht="15.75" customHeight="1">
      <c r="A537" s="18" t="s">
        <v>3715</v>
      </c>
      <c r="B537" s="18">
        <v>1987.0</v>
      </c>
      <c r="C537" s="18" t="s">
        <v>209</v>
      </c>
      <c r="D537" s="18">
        <v>22.0</v>
      </c>
      <c r="E537" s="18" t="str">
        <f t="shared" si="1"/>
        <v>22/11/87</v>
      </c>
      <c r="F537" s="18">
        <v>1.0</v>
      </c>
      <c r="G537" s="27">
        <v>4751.07</v>
      </c>
      <c r="H537" s="18" t="s">
        <v>142</v>
      </c>
      <c r="I537" s="18" t="s">
        <v>219</v>
      </c>
      <c r="J537" s="18" t="s">
        <v>570</v>
      </c>
      <c r="K537" s="29">
        <f t="shared" si="2"/>
        <v>35</v>
      </c>
    </row>
    <row r="538" ht="15.75" customHeight="1">
      <c r="A538" s="18" t="s">
        <v>3719</v>
      </c>
      <c r="B538" s="18">
        <v>1992.0</v>
      </c>
      <c r="C538" s="18" t="s">
        <v>501</v>
      </c>
      <c r="D538" s="18">
        <v>16.0</v>
      </c>
      <c r="E538" s="18" t="str">
        <f t="shared" si="1"/>
        <v>16/08/92</v>
      </c>
      <c r="F538" s="18">
        <v>2.0</v>
      </c>
      <c r="G538" s="27">
        <v>4753.64</v>
      </c>
      <c r="H538" s="18" t="s">
        <v>140</v>
      </c>
      <c r="I538" s="18" t="s">
        <v>142</v>
      </c>
      <c r="J538" s="18" t="s">
        <v>146</v>
      </c>
      <c r="K538" s="29">
        <f t="shared" si="2"/>
        <v>30</v>
      </c>
    </row>
    <row r="539" ht="15.75" customHeight="1">
      <c r="A539" s="18" t="s">
        <v>3723</v>
      </c>
      <c r="B539" s="18">
        <v>1987.0</v>
      </c>
      <c r="C539" s="18" t="s">
        <v>272</v>
      </c>
      <c r="D539" s="18">
        <v>27.0</v>
      </c>
      <c r="E539" s="18" t="str">
        <f t="shared" si="1"/>
        <v>27/09/87</v>
      </c>
      <c r="F539" s="18">
        <v>1.0</v>
      </c>
      <c r="G539" s="27">
        <v>4762.33</v>
      </c>
      <c r="H539" s="18" t="s">
        <v>142</v>
      </c>
      <c r="I539" s="18" t="s">
        <v>142</v>
      </c>
      <c r="J539" s="18" t="s">
        <v>570</v>
      </c>
      <c r="K539" s="29">
        <f t="shared" si="2"/>
        <v>35</v>
      </c>
    </row>
    <row r="540" ht="15.75" customHeight="1">
      <c r="A540" s="18" t="s">
        <v>3726</v>
      </c>
      <c r="B540" s="18">
        <v>1989.0</v>
      </c>
      <c r="C540" s="18" t="s">
        <v>501</v>
      </c>
      <c r="D540" s="18">
        <v>1.0</v>
      </c>
      <c r="E540" s="18" t="str">
        <f t="shared" si="1"/>
        <v>01/08/89</v>
      </c>
      <c r="F540" s="18">
        <v>1.0</v>
      </c>
      <c r="G540" s="27">
        <v>4766.02</v>
      </c>
      <c r="H540" s="18" t="s">
        <v>140</v>
      </c>
      <c r="I540" s="18" t="s">
        <v>142</v>
      </c>
      <c r="J540" s="18" t="s">
        <v>570</v>
      </c>
      <c r="K540" s="29">
        <f t="shared" si="2"/>
        <v>33</v>
      </c>
    </row>
    <row r="541" ht="15.75" customHeight="1">
      <c r="A541" s="18" t="s">
        <v>3728</v>
      </c>
      <c r="B541" s="18">
        <v>1989.0</v>
      </c>
      <c r="C541" s="18" t="s">
        <v>457</v>
      </c>
      <c r="D541" s="18">
        <v>9.0</v>
      </c>
      <c r="E541" s="18" t="str">
        <f t="shared" si="1"/>
        <v>09/12/89</v>
      </c>
      <c r="F541" s="18">
        <v>1.0</v>
      </c>
      <c r="G541" s="27">
        <v>4779.6</v>
      </c>
      <c r="H541" s="18" t="s">
        <v>140</v>
      </c>
      <c r="I541" s="18" t="s">
        <v>142</v>
      </c>
      <c r="J541" s="18" t="s">
        <v>146</v>
      </c>
      <c r="K541" s="29">
        <f t="shared" si="2"/>
        <v>33</v>
      </c>
    </row>
    <row r="542" ht="15.75" customHeight="1">
      <c r="A542" s="18" t="s">
        <v>3732</v>
      </c>
      <c r="B542" s="18">
        <v>1987.0</v>
      </c>
      <c r="C542" s="18" t="s">
        <v>241</v>
      </c>
      <c r="D542" s="18">
        <v>22.0</v>
      </c>
      <c r="E542" s="18" t="str">
        <f t="shared" si="1"/>
        <v>22/06/87</v>
      </c>
      <c r="F542" s="18">
        <v>3.0</v>
      </c>
      <c r="G542" s="27">
        <v>4787.42</v>
      </c>
      <c r="H542" s="18" t="s">
        <v>140</v>
      </c>
      <c r="I542" s="18" t="s">
        <v>142</v>
      </c>
      <c r="J542" s="18" t="s">
        <v>146</v>
      </c>
      <c r="K542" s="29">
        <f t="shared" si="2"/>
        <v>35</v>
      </c>
    </row>
    <row r="543" ht="15.75" customHeight="1">
      <c r="A543" s="18" t="s">
        <v>3734</v>
      </c>
      <c r="B543" s="18">
        <v>1989.0</v>
      </c>
      <c r="C543" s="18" t="s">
        <v>457</v>
      </c>
      <c r="D543" s="18">
        <v>16.0</v>
      </c>
      <c r="E543" s="18" t="str">
        <f t="shared" si="1"/>
        <v>16/12/89</v>
      </c>
      <c r="F543" s="18">
        <v>1.0</v>
      </c>
      <c r="G543" s="27">
        <v>4795.66</v>
      </c>
      <c r="H543" s="18" t="s">
        <v>140</v>
      </c>
      <c r="I543" s="18" t="s">
        <v>219</v>
      </c>
      <c r="J543" s="18" t="s">
        <v>146</v>
      </c>
      <c r="K543" s="29">
        <f t="shared" si="2"/>
        <v>33</v>
      </c>
    </row>
    <row r="544" ht="15.75" customHeight="1">
      <c r="A544" s="18" t="s">
        <v>3739</v>
      </c>
      <c r="B544" s="18">
        <v>1978.0</v>
      </c>
      <c r="C544" s="18" t="s">
        <v>517</v>
      </c>
      <c r="D544" s="18">
        <v>3.0</v>
      </c>
      <c r="E544" s="18" t="str">
        <f t="shared" si="1"/>
        <v>03/10/78</v>
      </c>
      <c r="F544" s="18">
        <v>2.0</v>
      </c>
      <c r="G544" s="27">
        <v>4812.34</v>
      </c>
      <c r="H544" s="18" t="s">
        <v>140</v>
      </c>
      <c r="I544" s="18" t="s">
        <v>142</v>
      </c>
      <c r="J544" s="18" t="s">
        <v>146</v>
      </c>
      <c r="K544" s="29">
        <f t="shared" si="2"/>
        <v>44</v>
      </c>
    </row>
    <row r="545" ht="15.75" customHeight="1">
      <c r="A545" s="18" t="s">
        <v>3742</v>
      </c>
      <c r="B545" s="18">
        <v>1981.0</v>
      </c>
      <c r="C545" s="18" t="s">
        <v>91</v>
      </c>
      <c r="D545" s="18">
        <v>3.0</v>
      </c>
      <c r="E545" s="18" t="str">
        <f t="shared" si="1"/>
        <v>03/07/81</v>
      </c>
      <c r="F545" s="18">
        <v>1.0</v>
      </c>
      <c r="G545" s="27">
        <v>4827.1</v>
      </c>
      <c r="H545" s="18" t="s">
        <v>140</v>
      </c>
      <c r="I545" s="18" t="s">
        <v>219</v>
      </c>
      <c r="J545" s="18" t="s">
        <v>146</v>
      </c>
      <c r="K545" s="29">
        <f t="shared" si="2"/>
        <v>41</v>
      </c>
    </row>
    <row r="546" ht="15.75" customHeight="1">
      <c r="A546" s="18" t="s">
        <v>3747</v>
      </c>
      <c r="B546" s="18">
        <v>1995.0</v>
      </c>
      <c r="C546" s="18" t="s">
        <v>457</v>
      </c>
      <c r="D546" s="18">
        <v>1.0</v>
      </c>
      <c r="E546" s="18" t="str">
        <f t="shared" si="1"/>
        <v>01/12/95</v>
      </c>
      <c r="F546" s="18">
        <v>3.0</v>
      </c>
      <c r="G546" s="27">
        <v>4827.9</v>
      </c>
      <c r="H546" s="18" t="s">
        <v>219</v>
      </c>
      <c r="I546" s="18" t="s">
        <v>140</v>
      </c>
      <c r="J546" s="20">
        <v>0.0</v>
      </c>
      <c r="K546" s="29">
        <f t="shared" si="2"/>
        <v>27</v>
      </c>
    </row>
    <row r="547" ht="15.75" customHeight="1">
      <c r="A547" s="18" t="s">
        <v>3753</v>
      </c>
      <c r="B547" s="18">
        <v>2002.0</v>
      </c>
      <c r="C547" s="18" t="s">
        <v>241</v>
      </c>
      <c r="D547" s="18">
        <v>27.0</v>
      </c>
      <c r="E547" s="18" t="str">
        <f t="shared" si="1"/>
        <v>27/06/02</v>
      </c>
      <c r="F547" s="18">
        <v>5.0</v>
      </c>
      <c r="G547" s="27">
        <v>4830.63</v>
      </c>
      <c r="H547" s="18" t="s">
        <v>140</v>
      </c>
      <c r="I547" s="18" t="s">
        <v>219</v>
      </c>
      <c r="J547" s="18" t="s">
        <v>570</v>
      </c>
      <c r="K547" s="29">
        <f t="shared" si="2"/>
        <v>20</v>
      </c>
    </row>
    <row r="548" ht="15.75" customHeight="1">
      <c r="A548" s="18" t="s">
        <v>3758</v>
      </c>
      <c r="B548" s="18">
        <v>2000.0</v>
      </c>
      <c r="C548" s="18" t="s">
        <v>457</v>
      </c>
      <c r="D548" s="18">
        <v>11.0</v>
      </c>
      <c r="E548" s="18" t="str">
        <f t="shared" si="1"/>
        <v>11/12/00</v>
      </c>
      <c r="F548" s="18">
        <v>0.0</v>
      </c>
      <c r="G548" s="27">
        <v>4835.43</v>
      </c>
      <c r="H548" s="18" t="s">
        <v>140</v>
      </c>
      <c r="I548" s="18" t="s">
        <v>140</v>
      </c>
      <c r="J548" s="18" t="s">
        <v>2314</v>
      </c>
      <c r="K548" s="29">
        <f t="shared" si="2"/>
        <v>22</v>
      </c>
    </row>
    <row r="549" ht="15.75" customHeight="1">
      <c r="A549" s="18" t="s">
        <v>3762</v>
      </c>
      <c r="B549" s="18">
        <v>1992.0</v>
      </c>
      <c r="C549" s="18" t="s">
        <v>272</v>
      </c>
      <c r="D549" s="18">
        <v>10.0</v>
      </c>
      <c r="E549" s="18" t="str">
        <f t="shared" si="1"/>
        <v>10/09/92</v>
      </c>
      <c r="F549" s="18">
        <v>3.0</v>
      </c>
      <c r="G549" s="27">
        <v>4837.58</v>
      </c>
      <c r="H549" s="18" t="s">
        <v>142</v>
      </c>
      <c r="I549" s="18" t="s">
        <v>140</v>
      </c>
      <c r="J549" s="18" t="s">
        <v>146</v>
      </c>
      <c r="K549" s="29">
        <f t="shared" si="2"/>
        <v>30</v>
      </c>
    </row>
    <row r="550" ht="15.75" customHeight="1">
      <c r="A550" s="18" t="s">
        <v>3765</v>
      </c>
      <c r="B550" s="18">
        <v>1984.0</v>
      </c>
      <c r="C550" s="18" t="s">
        <v>517</v>
      </c>
      <c r="D550" s="18">
        <v>15.0</v>
      </c>
      <c r="E550" s="18" t="str">
        <f t="shared" si="1"/>
        <v>15/10/84</v>
      </c>
      <c r="F550" s="18">
        <v>3.0</v>
      </c>
      <c r="G550" s="27">
        <v>4839.18</v>
      </c>
      <c r="H550" s="18" t="s">
        <v>140</v>
      </c>
      <c r="I550" s="18" t="s">
        <v>219</v>
      </c>
      <c r="J550" s="18" t="s">
        <v>325</v>
      </c>
      <c r="K550" s="29">
        <f t="shared" si="2"/>
        <v>38</v>
      </c>
    </row>
    <row r="551" ht="15.75" customHeight="1">
      <c r="A551" s="18" t="s">
        <v>3768</v>
      </c>
      <c r="B551" s="18">
        <v>1995.0</v>
      </c>
      <c r="C551" s="18" t="s">
        <v>272</v>
      </c>
      <c r="D551" s="18">
        <v>29.0</v>
      </c>
      <c r="E551" s="18" t="str">
        <f t="shared" si="1"/>
        <v>29/09/95</v>
      </c>
      <c r="F551" s="18">
        <v>0.0</v>
      </c>
      <c r="G551" s="27">
        <v>4840.95</v>
      </c>
      <c r="H551" s="18" t="s">
        <v>140</v>
      </c>
      <c r="I551" s="18" t="s">
        <v>219</v>
      </c>
      <c r="J551" s="18" t="s">
        <v>2314</v>
      </c>
      <c r="K551" s="29">
        <f t="shared" si="2"/>
        <v>27</v>
      </c>
    </row>
    <row r="552" ht="15.75" customHeight="1">
      <c r="A552" s="18" t="s">
        <v>3772</v>
      </c>
      <c r="B552" s="18">
        <v>1979.0</v>
      </c>
      <c r="C552" s="18" t="s">
        <v>457</v>
      </c>
      <c r="D552" s="18">
        <v>13.0</v>
      </c>
      <c r="E552" s="18" t="str">
        <f t="shared" si="1"/>
        <v>13/12/79</v>
      </c>
      <c r="F552" s="18">
        <v>2.0</v>
      </c>
      <c r="G552" s="27">
        <v>4843.79</v>
      </c>
      <c r="H552" s="18" t="s">
        <v>140</v>
      </c>
      <c r="I552" s="18" t="s">
        <v>142</v>
      </c>
      <c r="J552" s="18" t="s">
        <v>146</v>
      </c>
      <c r="K552" s="29">
        <f t="shared" si="2"/>
        <v>43</v>
      </c>
    </row>
    <row r="553" ht="15.75" customHeight="1">
      <c r="A553" s="18" t="s">
        <v>3774</v>
      </c>
      <c r="B553" s="18">
        <v>1974.0</v>
      </c>
      <c r="C553" s="18" t="s">
        <v>272</v>
      </c>
      <c r="D553" s="18">
        <v>11.0</v>
      </c>
      <c r="E553" s="18" t="str">
        <f t="shared" si="1"/>
        <v>11/09/74</v>
      </c>
      <c r="F553" s="18">
        <v>0.0</v>
      </c>
      <c r="G553" s="27">
        <v>4844.67</v>
      </c>
      <c r="H553" s="18" t="s">
        <v>140</v>
      </c>
      <c r="I553" s="18" t="s">
        <v>140</v>
      </c>
      <c r="J553" s="18" t="s">
        <v>146</v>
      </c>
      <c r="K553" s="29">
        <f t="shared" si="2"/>
        <v>48</v>
      </c>
    </row>
    <row r="554" ht="15.75" customHeight="1">
      <c r="A554" s="18" t="s">
        <v>3778</v>
      </c>
      <c r="B554" s="18">
        <v>2001.0</v>
      </c>
      <c r="C554" s="18" t="s">
        <v>241</v>
      </c>
      <c r="D554" s="18">
        <v>7.0</v>
      </c>
      <c r="E554" s="18" t="str">
        <f t="shared" si="1"/>
        <v>07/06/01</v>
      </c>
      <c r="F554" s="18">
        <v>0.0</v>
      </c>
      <c r="G554" s="27">
        <v>4846.53</v>
      </c>
      <c r="H554" s="18" t="s">
        <v>140</v>
      </c>
      <c r="I554" s="18" t="s">
        <v>142</v>
      </c>
      <c r="J554" s="18" t="s">
        <v>2314</v>
      </c>
      <c r="K554" s="29">
        <f t="shared" si="2"/>
        <v>22</v>
      </c>
    </row>
    <row r="555" ht="15.75" customHeight="1">
      <c r="A555" s="18" t="s">
        <v>3782</v>
      </c>
      <c r="B555" s="18">
        <v>1995.0</v>
      </c>
      <c r="C555" s="18" t="s">
        <v>457</v>
      </c>
      <c r="D555" s="18">
        <v>27.0</v>
      </c>
      <c r="E555" s="18" t="str">
        <f t="shared" si="1"/>
        <v>27/12/95</v>
      </c>
      <c r="F555" s="18">
        <v>3.0</v>
      </c>
      <c r="G555" s="27">
        <v>4846.92</v>
      </c>
      <c r="H555" s="18" t="s">
        <v>140</v>
      </c>
      <c r="I555" s="18" t="s">
        <v>142</v>
      </c>
      <c r="J555" s="18" t="s">
        <v>2617</v>
      </c>
      <c r="K555" s="29">
        <f t="shared" si="2"/>
        <v>27</v>
      </c>
    </row>
    <row r="556" ht="15.75" customHeight="1">
      <c r="A556" s="18" t="s">
        <v>3786</v>
      </c>
      <c r="B556" s="18">
        <v>1989.0</v>
      </c>
      <c r="C556" s="18" t="s">
        <v>272</v>
      </c>
      <c r="D556" s="18">
        <v>1.0</v>
      </c>
      <c r="E556" s="18" t="str">
        <f t="shared" si="1"/>
        <v>01/09/89</v>
      </c>
      <c r="F556" s="18">
        <v>3.0</v>
      </c>
      <c r="G556" s="27">
        <v>4859.89</v>
      </c>
      <c r="H556" s="18" t="s">
        <v>140</v>
      </c>
      <c r="I556" s="18" t="s">
        <v>142</v>
      </c>
      <c r="J556" s="18" t="s">
        <v>570</v>
      </c>
      <c r="K556" s="29">
        <f t="shared" si="2"/>
        <v>33</v>
      </c>
    </row>
    <row r="557" ht="15.75" customHeight="1">
      <c r="A557" s="18" t="s">
        <v>3790</v>
      </c>
      <c r="B557" s="18">
        <v>1997.0</v>
      </c>
      <c r="C557" s="18" t="s">
        <v>272</v>
      </c>
      <c r="D557" s="18">
        <v>29.0</v>
      </c>
      <c r="E557" s="18" t="str">
        <f t="shared" si="1"/>
        <v>29/09/97</v>
      </c>
      <c r="F557" s="18">
        <v>4.0</v>
      </c>
      <c r="G557" s="27">
        <v>4877.98</v>
      </c>
      <c r="H557" s="18" t="s">
        <v>140</v>
      </c>
      <c r="I557" s="18" t="s">
        <v>142</v>
      </c>
      <c r="J557" s="18" t="s">
        <v>325</v>
      </c>
      <c r="K557" s="29">
        <f t="shared" si="2"/>
        <v>25</v>
      </c>
    </row>
    <row r="558" ht="15.75" customHeight="1">
      <c r="A558" s="18" t="s">
        <v>3793</v>
      </c>
      <c r="B558" s="18">
        <v>1986.0</v>
      </c>
      <c r="C558" s="18" t="s">
        <v>457</v>
      </c>
      <c r="D558" s="18">
        <v>23.0</v>
      </c>
      <c r="E558" s="18" t="str">
        <f t="shared" si="1"/>
        <v>23/12/86</v>
      </c>
      <c r="F558" s="18">
        <v>0.0</v>
      </c>
      <c r="G558" s="27">
        <v>4883.87</v>
      </c>
      <c r="H558" s="18" t="s">
        <v>140</v>
      </c>
      <c r="I558" s="18" t="s">
        <v>219</v>
      </c>
      <c r="J558" s="18" t="s">
        <v>570</v>
      </c>
      <c r="K558" s="29">
        <f t="shared" si="2"/>
        <v>36</v>
      </c>
    </row>
    <row r="559" ht="15.75" customHeight="1">
      <c r="A559" s="18" t="s">
        <v>3797</v>
      </c>
      <c r="B559" s="18">
        <v>1986.0</v>
      </c>
      <c r="C559" s="18" t="s">
        <v>517</v>
      </c>
      <c r="D559" s="18">
        <v>27.0</v>
      </c>
      <c r="E559" s="18" t="str">
        <f t="shared" si="1"/>
        <v>27/10/86</v>
      </c>
      <c r="F559" s="18">
        <v>0.0</v>
      </c>
      <c r="G559" s="27">
        <v>4889.04</v>
      </c>
      <c r="H559" s="18" t="s">
        <v>140</v>
      </c>
      <c r="I559" s="18" t="s">
        <v>219</v>
      </c>
      <c r="J559" s="18" t="s">
        <v>146</v>
      </c>
      <c r="K559" s="29">
        <f t="shared" si="2"/>
        <v>36</v>
      </c>
    </row>
    <row r="560" ht="15.75" customHeight="1">
      <c r="A560" s="18" t="s">
        <v>3802</v>
      </c>
      <c r="B560" s="18">
        <v>1989.0</v>
      </c>
      <c r="C560" s="18" t="s">
        <v>91</v>
      </c>
      <c r="D560" s="18">
        <v>10.0</v>
      </c>
      <c r="E560" s="18" t="str">
        <f t="shared" si="1"/>
        <v>10/07/89</v>
      </c>
      <c r="F560" s="18">
        <v>2.0</v>
      </c>
      <c r="G560" s="27">
        <v>4890.0</v>
      </c>
      <c r="H560" s="18" t="s">
        <v>142</v>
      </c>
      <c r="I560" s="18" t="s">
        <v>140</v>
      </c>
      <c r="J560" s="18" t="s">
        <v>146</v>
      </c>
      <c r="K560" s="29">
        <f t="shared" si="2"/>
        <v>33</v>
      </c>
    </row>
    <row r="561" ht="15.75" customHeight="1">
      <c r="A561" s="18" t="s">
        <v>3806</v>
      </c>
      <c r="B561" s="18">
        <v>1990.0</v>
      </c>
      <c r="C561" s="18" t="s">
        <v>209</v>
      </c>
      <c r="D561" s="18">
        <v>28.0</v>
      </c>
      <c r="E561" s="18" t="str">
        <f t="shared" si="1"/>
        <v>28/11/90</v>
      </c>
      <c r="F561" s="18">
        <v>3.0</v>
      </c>
      <c r="G561" s="27">
        <v>4894.39</v>
      </c>
      <c r="H561" s="18" t="s">
        <v>140</v>
      </c>
      <c r="I561" s="18" t="s">
        <v>142</v>
      </c>
      <c r="J561" s="18" t="s">
        <v>146</v>
      </c>
      <c r="K561" s="29">
        <f t="shared" si="2"/>
        <v>32</v>
      </c>
    </row>
    <row r="562" ht="15.75" customHeight="1">
      <c r="A562" s="18" t="s">
        <v>3810</v>
      </c>
      <c r="B562" s="18">
        <v>1988.0</v>
      </c>
      <c r="C562" s="18" t="s">
        <v>272</v>
      </c>
      <c r="D562" s="18">
        <v>23.0</v>
      </c>
      <c r="E562" s="18" t="str">
        <f t="shared" si="1"/>
        <v>23/09/88</v>
      </c>
      <c r="F562" s="18">
        <v>1.0</v>
      </c>
      <c r="G562" s="27">
        <v>4894.75</v>
      </c>
      <c r="H562" s="18" t="s">
        <v>142</v>
      </c>
      <c r="I562" s="18" t="s">
        <v>142</v>
      </c>
      <c r="J562" s="18" t="s">
        <v>325</v>
      </c>
      <c r="K562" s="29">
        <f t="shared" si="2"/>
        <v>34</v>
      </c>
    </row>
    <row r="563" ht="15.75" customHeight="1">
      <c r="A563" s="18" t="s">
        <v>3813</v>
      </c>
      <c r="B563" s="18">
        <v>1993.0</v>
      </c>
      <c r="C563" s="18" t="s">
        <v>91</v>
      </c>
      <c r="D563" s="18">
        <v>10.0</v>
      </c>
      <c r="E563" s="18" t="str">
        <f t="shared" si="1"/>
        <v>10/07/93</v>
      </c>
      <c r="F563" s="18">
        <v>2.0</v>
      </c>
      <c r="G563" s="27">
        <v>4906.41</v>
      </c>
      <c r="H563" s="18" t="s">
        <v>140</v>
      </c>
      <c r="I563" s="18" t="s">
        <v>219</v>
      </c>
      <c r="J563" s="18" t="s">
        <v>325</v>
      </c>
      <c r="K563" s="29">
        <f t="shared" si="2"/>
        <v>29</v>
      </c>
    </row>
    <row r="564" ht="15.75" customHeight="1">
      <c r="A564" s="18" t="s">
        <v>3819</v>
      </c>
      <c r="B564" s="18">
        <v>1981.0</v>
      </c>
      <c r="C564" s="18" t="s">
        <v>517</v>
      </c>
      <c r="D564" s="18">
        <v>18.0</v>
      </c>
      <c r="E564" s="18" t="str">
        <f t="shared" si="1"/>
        <v>18/10/81</v>
      </c>
      <c r="F564" s="18">
        <v>1.0</v>
      </c>
      <c r="G564" s="27">
        <v>4911.89</v>
      </c>
      <c r="H564" s="18" t="s">
        <v>140</v>
      </c>
      <c r="I564" s="18" t="s">
        <v>142</v>
      </c>
      <c r="J564" s="18" t="s">
        <v>146</v>
      </c>
      <c r="K564" s="29">
        <f t="shared" si="2"/>
        <v>41</v>
      </c>
    </row>
    <row r="565" ht="15.75" customHeight="1">
      <c r="A565" s="18" t="s">
        <v>3825</v>
      </c>
      <c r="B565" s="18">
        <v>2002.0</v>
      </c>
      <c r="C565" s="18" t="s">
        <v>501</v>
      </c>
      <c r="D565" s="18">
        <v>21.0</v>
      </c>
      <c r="E565" s="18" t="str">
        <f t="shared" si="1"/>
        <v>21/08/02</v>
      </c>
      <c r="F565" s="18">
        <v>5.0</v>
      </c>
      <c r="G565" s="27">
        <v>4915.06</v>
      </c>
      <c r="H565" s="18" t="s">
        <v>140</v>
      </c>
      <c r="I565" s="18" t="s">
        <v>219</v>
      </c>
      <c r="J565" s="18" t="s">
        <v>2617</v>
      </c>
      <c r="K565" s="29">
        <f t="shared" si="2"/>
        <v>20</v>
      </c>
    </row>
    <row r="566" ht="15.75" customHeight="1">
      <c r="A566" s="18" t="s">
        <v>3832</v>
      </c>
      <c r="B566" s="18">
        <v>1993.0</v>
      </c>
      <c r="C566" s="18" t="s">
        <v>501</v>
      </c>
      <c r="D566" s="18">
        <v>10.0</v>
      </c>
      <c r="E566" s="18" t="str">
        <f t="shared" si="1"/>
        <v>10/08/93</v>
      </c>
      <c r="F566" s="18">
        <v>2.0</v>
      </c>
      <c r="G566" s="27">
        <v>4922.92</v>
      </c>
      <c r="H566" s="18" t="s">
        <v>140</v>
      </c>
      <c r="I566" s="18" t="s">
        <v>140</v>
      </c>
      <c r="J566" s="18" t="s">
        <v>325</v>
      </c>
      <c r="K566" s="29">
        <f t="shared" si="2"/>
        <v>29</v>
      </c>
    </row>
    <row r="567" ht="15.75" customHeight="1">
      <c r="A567" s="18" t="s">
        <v>3835</v>
      </c>
      <c r="B567" s="18">
        <v>1991.0</v>
      </c>
      <c r="C567" s="18" t="s">
        <v>501</v>
      </c>
      <c r="D567" s="18">
        <v>23.0</v>
      </c>
      <c r="E567" s="18" t="str">
        <f t="shared" si="1"/>
        <v>23/08/91</v>
      </c>
      <c r="F567" s="18">
        <v>2.0</v>
      </c>
      <c r="G567" s="27">
        <v>4931.65</v>
      </c>
      <c r="H567" s="18" t="s">
        <v>140</v>
      </c>
      <c r="I567" s="18" t="s">
        <v>142</v>
      </c>
      <c r="J567" s="18" t="s">
        <v>570</v>
      </c>
      <c r="K567" s="29">
        <f t="shared" si="2"/>
        <v>31</v>
      </c>
    </row>
    <row r="568" ht="15.75" customHeight="1">
      <c r="A568" s="18" t="s">
        <v>3838</v>
      </c>
      <c r="B568" s="18">
        <v>1991.0</v>
      </c>
      <c r="C568" s="18" t="s">
        <v>209</v>
      </c>
      <c r="D568" s="18">
        <v>27.0</v>
      </c>
      <c r="E568" s="18" t="str">
        <f t="shared" si="1"/>
        <v>27/11/91</v>
      </c>
      <c r="F568" s="18">
        <v>2.0</v>
      </c>
      <c r="G568" s="27">
        <v>4934.71</v>
      </c>
      <c r="H568" s="18" t="s">
        <v>140</v>
      </c>
      <c r="I568" s="18" t="s">
        <v>142</v>
      </c>
      <c r="J568" s="18" t="s">
        <v>570</v>
      </c>
      <c r="K568" s="29">
        <f t="shared" si="2"/>
        <v>31</v>
      </c>
    </row>
    <row r="569" ht="15.75" customHeight="1">
      <c r="A569" s="18" t="s">
        <v>3843</v>
      </c>
      <c r="B569" s="18">
        <v>1974.0</v>
      </c>
      <c r="C569" s="18" t="s">
        <v>241</v>
      </c>
      <c r="D569" s="18">
        <v>26.0</v>
      </c>
      <c r="E569" s="18" t="str">
        <f t="shared" si="1"/>
        <v>26/06/74</v>
      </c>
      <c r="F569" s="18">
        <v>0.0</v>
      </c>
      <c r="G569" s="27">
        <v>4942.06</v>
      </c>
      <c r="H569" s="18" t="s">
        <v>140</v>
      </c>
      <c r="I569" s="18" t="s">
        <v>140</v>
      </c>
      <c r="J569" s="18" t="s">
        <v>146</v>
      </c>
      <c r="K569" s="29">
        <f t="shared" si="2"/>
        <v>48</v>
      </c>
    </row>
    <row r="570" ht="15.75" customHeight="1">
      <c r="A570" s="18" t="s">
        <v>3847</v>
      </c>
      <c r="B570" s="18">
        <v>1991.0</v>
      </c>
      <c r="C570" s="18" t="s">
        <v>501</v>
      </c>
      <c r="D570" s="18">
        <v>30.0</v>
      </c>
      <c r="E570" s="18" t="str">
        <f t="shared" si="1"/>
        <v>30/08/91</v>
      </c>
      <c r="F570" s="18">
        <v>2.0</v>
      </c>
      <c r="G570" s="27">
        <v>4949.76</v>
      </c>
      <c r="H570" s="18" t="s">
        <v>140</v>
      </c>
      <c r="I570" s="18" t="s">
        <v>219</v>
      </c>
      <c r="J570" s="18" t="s">
        <v>146</v>
      </c>
      <c r="K570" s="29">
        <f t="shared" si="2"/>
        <v>31</v>
      </c>
    </row>
    <row r="571" ht="15.75" customHeight="1">
      <c r="A571" s="18" t="s">
        <v>3851</v>
      </c>
      <c r="B571" s="18">
        <v>1973.0</v>
      </c>
      <c r="C571" s="18" t="s">
        <v>209</v>
      </c>
      <c r="D571" s="18">
        <v>7.0</v>
      </c>
      <c r="E571" s="18" t="str">
        <f t="shared" si="1"/>
        <v>07/11/73</v>
      </c>
      <c r="F571" s="18">
        <v>0.0</v>
      </c>
      <c r="G571" s="27">
        <v>4985.22</v>
      </c>
      <c r="H571" s="18" t="s">
        <v>140</v>
      </c>
      <c r="I571" s="18" t="s">
        <v>142</v>
      </c>
      <c r="J571" s="18" t="s">
        <v>146</v>
      </c>
      <c r="K571" s="29">
        <f t="shared" si="2"/>
        <v>49</v>
      </c>
    </row>
    <row r="572" ht="15.75" customHeight="1">
      <c r="A572" s="18" t="s">
        <v>3856</v>
      </c>
      <c r="B572" s="18">
        <v>1988.0</v>
      </c>
      <c r="C572" s="18" t="s">
        <v>241</v>
      </c>
      <c r="D572" s="18">
        <v>24.0</v>
      </c>
      <c r="E572" s="18" t="str">
        <f t="shared" si="1"/>
        <v>24/06/88</v>
      </c>
      <c r="F572" s="18">
        <v>0.0</v>
      </c>
      <c r="G572" s="27">
        <v>4992.38</v>
      </c>
      <c r="H572" s="18" t="s">
        <v>140</v>
      </c>
      <c r="I572" s="18" t="s">
        <v>142</v>
      </c>
      <c r="J572" s="18" t="s">
        <v>2024</v>
      </c>
      <c r="K572" s="29">
        <f t="shared" si="2"/>
        <v>34</v>
      </c>
    </row>
    <row r="573" ht="15.75" customHeight="1">
      <c r="A573" s="18" t="s">
        <v>3860</v>
      </c>
      <c r="B573" s="18">
        <v>2001.0</v>
      </c>
      <c r="C573" s="18" t="s">
        <v>517</v>
      </c>
      <c r="D573" s="18">
        <v>5.0</v>
      </c>
      <c r="E573" s="18" t="str">
        <f t="shared" si="1"/>
        <v>05/10/01</v>
      </c>
      <c r="F573" s="18">
        <v>0.0</v>
      </c>
      <c r="G573" s="27">
        <v>4999.04</v>
      </c>
      <c r="H573" s="18" t="s">
        <v>140</v>
      </c>
      <c r="I573" s="18" t="s">
        <v>140</v>
      </c>
      <c r="J573" s="18" t="s">
        <v>570</v>
      </c>
      <c r="K573" s="29">
        <f t="shared" si="2"/>
        <v>21</v>
      </c>
    </row>
    <row r="574" ht="15.75" customHeight="1">
      <c r="A574" s="18" t="s">
        <v>3865</v>
      </c>
      <c r="B574" s="18">
        <v>1988.0</v>
      </c>
      <c r="C574" s="18" t="s">
        <v>272</v>
      </c>
      <c r="D574" s="18">
        <v>4.0</v>
      </c>
      <c r="E574" s="18" t="str">
        <f t="shared" si="1"/>
        <v>04/09/88</v>
      </c>
      <c r="F574" s="18">
        <v>1.0</v>
      </c>
      <c r="G574" s="27">
        <v>5002.78</v>
      </c>
      <c r="H574" s="18" t="s">
        <v>140</v>
      </c>
      <c r="I574" s="18" t="s">
        <v>140</v>
      </c>
      <c r="J574" s="18" t="s">
        <v>146</v>
      </c>
      <c r="K574" s="29">
        <f t="shared" si="2"/>
        <v>34</v>
      </c>
    </row>
    <row r="575" ht="15.75" customHeight="1">
      <c r="A575" s="18" t="s">
        <v>3869</v>
      </c>
      <c r="B575" s="18">
        <v>1977.0</v>
      </c>
      <c r="C575" s="18" t="s">
        <v>241</v>
      </c>
      <c r="D575" s="18">
        <v>9.0</v>
      </c>
      <c r="E575" s="18" t="str">
        <f t="shared" si="1"/>
        <v>09/06/77</v>
      </c>
      <c r="F575" s="18">
        <v>2.0</v>
      </c>
      <c r="G575" s="27">
        <v>5003.77</v>
      </c>
      <c r="H575" s="18" t="s">
        <v>140</v>
      </c>
      <c r="I575" s="18" t="s">
        <v>142</v>
      </c>
      <c r="J575" s="18" t="s">
        <v>146</v>
      </c>
      <c r="K575" s="29">
        <f t="shared" si="2"/>
        <v>45</v>
      </c>
    </row>
    <row r="576" ht="15.75" customHeight="1">
      <c r="A576" s="18" t="s">
        <v>3872</v>
      </c>
      <c r="B576" s="18">
        <v>1988.0</v>
      </c>
      <c r="C576" s="18" t="s">
        <v>91</v>
      </c>
      <c r="D576" s="18">
        <v>8.0</v>
      </c>
      <c r="E576" s="18" t="str">
        <f t="shared" si="1"/>
        <v>08/07/88</v>
      </c>
      <c r="F576" s="18">
        <v>1.0</v>
      </c>
      <c r="G576" s="27">
        <v>5003.85</v>
      </c>
      <c r="H576" s="18" t="s">
        <v>140</v>
      </c>
      <c r="I576" s="18" t="s">
        <v>142</v>
      </c>
      <c r="J576" s="18" t="s">
        <v>570</v>
      </c>
      <c r="K576" s="29">
        <f t="shared" si="2"/>
        <v>34</v>
      </c>
    </row>
    <row r="577" ht="15.75" customHeight="1">
      <c r="A577" s="18" t="s">
        <v>3876</v>
      </c>
      <c r="B577" s="18">
        <v>1988.0</v>
      </c>
      <c r="C577" s="18" t="s">
        <v>209</v>
      </c>
      <c r="D577" s="18">
        <v>9.0</v>
      </c>
      <c r="E577" s="18" t="str">
        <f t="shared" si="1"/>
        <v>09/11/88</v>
      </c>
      <c r="F577" s="18">
        <v>1.0</v>
      </c>
      <c r="G577" s="27">
        <v>5012.47</v>
      </c>
      <c r="H577" s="18" t="s">
        <v>140</v>
      </c>
      <c r="I577" s="18" t="s">
        <v>142</v>
      </c>
      <c r="J577" s="18" t="s">
        <v>570</v>
      </c>
      <c r="K577" s="29">
        <f t="shared" si="2"/>
        <v>34</v>
      </c>
    </row>
    <row r="578" ht="15.75" customHeight="1">
      <c r="A578" s="18" t="s">
        <v>3880</v>
      </c>
      <c r="B578" s="18">
        <v>1985.0</v>
      </c>
      <c r="C578" s="18" t="s">
        <v>457</v>
      </c>
      <c r="D578" s="18">
        <v>28.0</v>
      </c>
      <c r="E578" s="18" t="str">
        <f t="shared" si="1"/>
        <v>28/12/85</v>
      </c>
      <c r="F578" s="18">
        <v>0.0</v>
      </c>
      <c r="G578" s="27">
        <v>5028.15</v>
      </c>
      <c r="H578" s="18" t="s">
        <v>219</v>
      </c>
      <c r="I578" s="18" t="s">
        <v>140</v>
      </c>
      <c r="J578" s="18" t="s">
        <v>325</v>
      </c>
      <c r="K578" s="29">
        <f t="shared" si="2"/>
        <v>37</v>
      </c>
    </row>
    <row r="579" ht="15.75" customHeight="1">
      <c r="A579" s="18" t="s">
        <v>3884</v>
      </c>
      <c r="B579" s="18">
        <v>1991.0</v>
      </c>
      <c r="C579" s="18" t="s">
        <v>272</v>
      </c>
      <c r="D579" s="18">
        <v>10.0</v>
      </c>
      <c r="E579" s="18" t="str">
        <f t="shared" si="1"/>
        <v>10/09/91</v>
      </c>
      <c r="F579" s="18">
        <v>2.0</v>
      </c>
      <c r="G579" s="27">
        <v>5031.27</v>
      </c>
      <c r="H579" s="18" t="s">
        <v>142</v>
      </c>
      <c r="I579" s="18" t="s">
        <v>219</v>
      </c>
      <c r="J579" s="18" t="s">
        <v>1427</v>
      </c>
      <c r="K579" s="29">
        <f t="shared" si="2"/>
        <v>31</v>
      </c>
    </row>
    <row r="580" ht="15.75" customHeight="1">
      <c r="A580" s="18" t="s">
        <v>3887</v>
      </c>
      <c r="B580" s="18">
        <v>1986.0</v>
      </c>
      <c r="C580" s="18" t="s">
        <v>241</v>
      </c>
      <c r="D580" s="18">
        <v>29.0</v>
      </c>
      <c r="E580" s="18" t="str">
        <f t="shared" si="1"/>
        <v>29/06/86</v>
      </c>
      <c r="F580" s="18">
        <v>3.0</v>
      </c>
      <c r="G580" s="27">
        <v>5034.1</v>
      </c>
      <c r="H580" s="18" t="s">
        <v>140</v>
      </c>
      <c r="I580" s="18" t="s">
        <v>140</v>
      </c>
      <c r="J580" s="18" t="s">
        <v>146</v>
      </c>
      <c r="K580" s="29">
        <f t="shared" si="2"/>
        <v>36</v>
      </c>
    </row>
    <row r="581" ht="15.75" customHeight="1">
      <c r="A581" s="18" t="s">
        <v>3890</v>
      </c>
      <c r="B581" s="18">
        <v>1997.0</v>
      </c>
      <c r="C581" s="18" t="s">
        <v>457</v>
      </c>
      <c r="D581" s="18">
        <v>4.0</v>
      </c>
      <c r="E581" s="18" t="str">
        <f t="shared" si="1"/>
        <v>04/12/97</v>
      </c>
      <c r="F581" s="18">
        <v>0.0</v>
      </c>
      <c r="G581" s="27">
        <v>5038.57</v>
      </c>
      <c r="H581" s="18" t="s">
        <v>140</v>
      </c>
      <c r="I581" s="18" t="s">
        <v>140</v>
      </c>
      <c r="J581" s="18" t="s">
        <v>1647</v>
      </c>
      <c r="K581" s="29">
        <f t="shared" si="2"/>
        <v>25</v>
      </c>
    </row>
    <row r="582" ht="15.75" customHeight="1">
      <c r="A582" s="18" t="s">
        <v>3892</v>
      </c>
      <c r="B582" s="18">
        <v>2001.0</v>
      </c>
      <c r="C582" s="18" t="s">
        <v>517</v>
      </c>
      <c r="D582" s="18">
        <v>16.0</v>
      </c>
      <c r="E582" s="18" t="str">
        <f t="shared" si="1"/>
        <v>16/10/01</v>
      </c>
      <c r="F582" s="18">
        <v>0.0</v>
      </c>
      <c r="G582" s="27">
        <v>5043.13</v>
      </c>
      <c r="H582" s="18" t="s">
        <v>140</v>
      </c>
      <c r="I582" s="18" t="s">
        <v>142</v>
      </c>
      <c r="J582" s="18" t="s">
        <v>570</v>
      </c>
      <c r="K582" s="29">
        <f t="shared" si="2"/>
        <v>21</v>
      </c>
    </row>
    <row r="583" ht="15.75" customHeight="1">
      <c r="A583" s="18" t="s">
        <v>3895</v>
      </c>
      <c r="B583" s="18">
        <v>1997.0</v>
      </c>
      <c r="C583" s="18" t="s">
        <v>91</v>
      </c>
      <c r="D583" s="18">
        <v>29.0</v>
      </c>
      <c r="E583" s="18" t="str">
        <f t="shared" si="1"/>
        <v>29/07/97</v>
      </c>
      <c r="F583" s="18">
        <v>0.0</v>
      </c>
      <c r="G583" s="27">
        <v>5045.15</v>
      </c>
      <c r="H583" s="18" t="s">
        <v>140</v>
      </c>
      <c r="I583" s="18" t="s">
        <v>140</v>
      </c>
      <c r="J583" s="18" t="s">
        <v>325</v>
      </c>
      <c r="K583" s="29">
        <f t="shared" si="2"/>
        <v>25</v>
      </c>
    </row>
    <row r="584" ht="15.75" customHeight="1">
      <c r="A584" s="18" t="s">
        <v>3899</v>
      </c>
      <c r="B584" s="18">
        <v>1980.0</v>
      </c>
      <c r="C584" s="18" t="s">
        <v>272</v>
      </c>
      <c r="D584" s="18">
        <v>7.0</v>
      </c>
      <c r="E584" s="18" t="str">
        <f t="shared" si="1"/>
        <v>07/09/80</v>
      </c>
      <c r="F584" s="18">
        <v>2.0</v>
      </c>
      <c r="G584" s="27">
        <v>5054.05</v>
      </c>
      <c r="H584" s="18" t="s">
        <v>140</v>
      </c>
      <c r="I584" s="18" t="s">
        <v>140</v>
      </c>
      <c r="J584" s="18" t="s">
        <v>146</v>
      </c>
      <c r="K584" s="29">
        <f t="shared" si="2"/>
        <v>42</v>
      </c>
    </row>
    <row r="585" ht="15.75" customHeight="1">
      <c r="A585" s="18" t="s">
        <v>3903</v>
      </c>
      <c r="B585" s="18">
        <v>1993.0</v>
      </c>
      <c r="C585" s="18" t="s">
        <v>241</v>
      </c>
      <c r="D585" s="18">
        <v>11.0</v>
      </c>
      <c r="E585" s="18" t="str">
        <f t="shared" si="1"/>
        <v>11/06/93</v>
      </c>
      <c r="F585" s="18">
        <v>0.0</v>
      </c>
      <c r="G585" s="27">
        <v>5059.56</v>
      </c>
      <c r="H585" s="18" t="s">
        <v>140</v>
      </c>
      <c r="I585" s="18" t="s">
        <v>219</v>
      </c>
      <c r="J585" s="18" t="s">
        <v>2314</v>
      </c>
      <c r="K585" s="29">
        <f t="shared" si="2"/>
        <v>29</v>
      </c>
    </row>
    <row r="586" ht="15.75" customHeight="1">
      <c r="A586" s="18" t="s">
        <v>3909</v>
      </c>
      <c r="B586" s="18">
        <v>1978.0</v>
      </c>
      <c r="C586" s="18" t="s">
        <v>209</v>
      </c>
      <c r="D586" s="18">
        <v>22.0</v>
      </c>
      <c r="E586" s="18" t="str">
        <f t="shared" si="1"/>
        <v>22/11/78</v>
      </c>
      <c r="F586" s="18">
        <v>2.0</v>
      </c>
      <c r="G586" s="27">
        <v>5077.19</v>
      </c>
      <c r="H586" s="18" t="s">
        <v>140</v>
      </c>
      <c r="I586" s="18" t="s">
        <v>142</v>
      </c>
      <c r="J586" s="18" t="s">
        <v>325</v>
      </c>
      <c r="K586" s="29">
        <f t="shared" si="2"/>
        <v>44</v>
      </c>
    </row>
    <row r="587" ht="15.75" customHeight="1">
      <c r="A587" s="18" t="s">
        <v>3912</v>
      </c>
      <c r="B587" s="18">
        <v>1997.0</v>
      </c>
      <c r="C587" s="18" t="s">
        <v>91</v>
      </c>
      <c r="D587" s="18">
        <v>14.0</v>
      </c>
      <c r="E587" s="18" t="str">
        <f t="shared" si="1"/>
        <v>14/07/97</v>
      </c>
      <c r="F587" s="18">
        <v>5.0</v>
      </c>
      <c r="G587" s="27">
        <v>5080.1</v>
      </c>
      <c r="H587" s="18" t="s">
        <v>142</v>
      </c>
      <c r="I587" s="18" t="s">
        <v>140</v>
      </c>
      <c r="J587" s="18" t="s">
        <v>570</v>
      </c>
      <c r="K587" s="29">
        <f t="shared" si="2"/>
        <v>25</v>
      </c>
    </row>
    <row r="588" ht="15.75" customHeight="1">
      <c r="A588" s="18" t="s">
        <v>3918</v>
      </c>
      <c r="B588" s="18">
        <v>1999.0</v>
      </c>
      <c r="C588" s="18" t="s">
        <v>241</v>
      </c>
      <c r="D588" s="18">
        <v>19.0</v>
      </c>
      <c r="E588" s="18" t="str">
        <f t="shared" si="1"/>
        <v>19/06/99</v>
      </c>
      <c r="F588" s="18">
        <v>0.0</v>
      </c>
      <c r="G588" s="27">
        <v>5087.92</v>
      </c>
      <c r="H588" s="18" t="s">
        <v>140</v>
      </c>
      <c r="I588" s="18" t="s">
        <v>140</v>
      </c>
      <c r="J588" s="18" t="s">
        <v>3559</v>
      </c>
      <c r="K588" s="29">
        <f t="shared" si="2"/>
        <v>23</v>
      </c>
    </row>
    <row r="589" ht="15.75" customHeight="1">
      <c r="A589" s="18" t="s">
        <v>3925</v>
      </c>
      <c r="B589" s="18">
        <v>1987.0</v>
      </c>
      <c r="C589" s="18" t="s">
        <v>209</v>
      </c>
      <c r="D589" s="18">
        <v>18.0</v>
      </c>
      <c r="E589" s="18" t="str">
        <f t="shared" si="1"/>
        <v>18/11/87</v>
      </c>
      <c r="F589" s="18">
        <v>1.0</v>
      </c>
      <c r="G589" s="27">
        <v>5116.5</v>
      </c>
      <c r="H589" s="18" t="s">
        <v>140</v>
      </c>
      <c r="I589" s="18" t="s">
        <v>140</v>
      </c>
      <c r="J589" s="18" t="s">
        <v>325</v>
      </c>
      <c r="K589" s="29">
        <f t="shared" si="2"/>
        <v>35</v>
      </c>
    </row>
    <row r="590" ht="15.75" customHeight="1">
      <c r="A590" s="18" t="s">
        <v>3931</v>
      </c>
      <c r="B590" s="18">
        <v>1988.0</v>
      </c>
      <c r="C590" s="18" t="s">
        <v>209</v>
      </c>
      <c r="D590" s="18">
        <v>1.0</v>
      </c>
      <c r="E590" s="18" t="str">
        <f t="shared" si="1"/>
        <v>01/11/88</v>
      </c>
      <c r="F590" s="18">
        <v>2.0</v>
      </c>
      <c r="G590" s="27">
        <v>5124.19</v>
      </c>
      <c r="H590" s="18" t="s">
        <v>140</v>
      </c>
      <c r="I590" s="18" t="s">
        <v>142</v>
      </c>
      <c r="J590" s="18" t="s">
        <v>146</v>
      </c>
      <c r="K590" s="29">
        <f t="shared" si="2"/>
        <v>34</v>
      </c>
    </row>
    <row r="591" ht="15.75" customHeight="1">
      <c r="A591" s="18" t="s">
        <v>3938</v>
      </c>
      <c r="B591" s="18">
        <v>1987.0</v>
      </c>
      <c r="C591" s="18" t="s">
        <v>272</v>
      </c>
      <c r="D591" s="18">
        <v>13.0</v>
      </c>
      <c r="E591" s="18" t="str">
        <f t="shared" si="1"/>
        <v>13/09/87</v>
      </c>
      <c r="F591" s="18">
        <v>1.0</v>
      </c>
      <c r="G591" s="27">
        <v>5125.22</v>
      </c>
      <c r="H591" s="18" t="s">
        <v>219</v>
      </c>
      <c r="I591" s="18" t="s">
        <v>140</v>
      </c>
      <c r="J591" s="18" t="s">
        <v>325</v>
      </c>
      <c r="K591" s="29">
        <f t="shared" si="2"/>
        <v>35</v>
      </c>
    </row>
    <row r="592" ht="15.75" customHeight="1">
      <c r="A592" s="18" t="s">
        <v>3942</v>
      </c>
      <c r="B592" s="18">
        <v>1988.0</v>
      </c>
      <c r="C592" s="18" t="s">
        <v>272</v>
      </c>
      <c r="D592" s="18">
        <v>15.0</v>
      </c>
      <c r="E592" s="18" t="str">
        <f t="shared" si="1"/>
        <v>15/09/88</v>
      </c>
      <c r="F592" s="18">
        <v>3.0</v>
      </c>
      <c r="G592" s="27">
        <v>5136.75</v>
      </c>
      <c r="H592" s="18" t="s">
        <v>140</v>
      </c>
      <c r="I592" s="18" t="s">
        <v>219</v>
      </c>
      <c r="J592" s="18" t="s">
        <v>146</v>
      </c>
      <c r="K592" s="29">
        <f t="shared" si="2"/>
        <v>34</v>
      </c>
    </row>
    <row r="593" ht="15.75" customHeight="1">
      <c r="A593" s="18" t="s">
        <v>3946</v>
      </c>
      <c r="B593" s="18">
        <v>1993.0</v>
      </c>
      <c r="C593" s="18" t="s">
        <v>457</v>
      </c>
      <c r="D593" s="18">
        <v>10.0</v>
      </c>
      <c r="E593" s="18" t="str">
        <f t="shared" si="1"/>
        <v>10/12/93</v>
      </c>
      <c r="F593" s="18">
        <v>3.0</v>
      </c>
      <c r="G593" s="27">
        <v>5138.26</v>
      </c>
      <c r="H593" s="18" t="s">
        <v>140</v>
      </c>
      <c r="I593" s="18" t="s">
        <v>140</v>
      </c>
      <c r="J593" s="18" t="s">
        <v>146</v>
      </c>
      <c r="K593" s="29">
        <f t="shared" si="2"/>
        <v>29</v>
      </c>
    </row>
    <row r="594" ht="15.75" customHeight="1">
      <c r="A594" s="18" t="s">
        <v>3950</v>
      </c>
      <c r="B594" s="18">
        <v>1984.0</v>
      </c>
      <c r="C594" s="18" t="s">
        <v>501</v>
      </c>
      <c r="D594" s="18">
        <v>22.0</v>
      </c>
      <c r="E594" s="18" t="str">
        <f t="shared" si="1"/>
        <v>22/08/84</v>
      </c>
      <c r="F594" s="18">
        <v>3.0</v>
      </c>
      <c r="G594" s="27">
        <v>5144.18</v>
      </c>
      <c r="H594" s="18" t="s">
        <v>140</v>
      </c>
      <c r="I594" s="18" t="s">
        <v>219</v>
      </c>
      <c r="J594" s="18" t="s">
        <v>146</v>
      </c>
      <c r="K594" s="29">
        <f t="shared" si="2"/>
        <v>38</v>
      </c>
    </row>
    <row r="595" ht="15.75" customHeight="1">
      <c r="A595" s="18" t="s">
        <v>3955</v>
      </c>
      <c r="B595" s="18">
        <v>1990.0</v>
      </c>
      <c r="C595" s="18" t="s">
        <v>501</v>
      </c>
      <c r="D595" s="18">
        <v>22.0</v>
      </c>
      <c r="E595" s="18" t="str">
        <f t="shared" si="1"/>
        <v>22/08/90</v>
      </c>
      <c r="F595" s="18">
        <v>1.0</v>
      </c>
      <c r="G595" s="27">
        <v>5148.55</v>
      </c>
      <c r="H595" s="18" t="s">
        <v>140</v>
      </c>
      <c r="I595" s="18" t="s">
        <v>140</v>
      </c>
      <c r="J595" s="18" t="s">
        <v>2024</v>
      </c>
      <c r="K595" s="29">
        <f t="shared" si="2"/>
        <v>32</v>
      </c>
    </row>
    <row r="596" ht="15.75" customHeight="1">
      <c r="A596" s="18" t="s">
        <v>3959</v>
      </c>
      <c r="B596" s="18">
        <v>1990.0</v>
      </c>
      <c r="C596" s="18" t="s">
        <v>517</v>
      </c>
      <c r="D596" s="18">
        <v>9.0</v>
      </c>
      <c r="E596" s="18" t="str">
        <f t="shared" si="1"/>
        <v>09/10/90</v>
      </c>
      <c r="F596" s="18">
        <v>2.0</v>
      </c>
      <c r="G596" s="27">
        <v>5152.13</v>
      </c>
      <c r="H596" s="18" t="s">
        <v>140</v>
      </c>
      <c r="I596" s="18" t="s">
        <v>140</v>
      </c>
      <c r="J596" s="18" t="s">
        <v>570</v>
      </c>
      <c r="K596" s="29">
        <f t="shared" si="2"/>
        <v>32</v>
      </c>
    </row>
    <row r="597" ht="15.75" customHeight="1">
      <c r="A597" s="18" t="s">
        <v>3963</v>
      </c>
      <c r="B597" s="18">
        <v>1991.0</v>
      </c>
      <c r="C597" s="18" t="s">
        <v>501</v>
      </c>
      <c r="D597" s="18">
        <v>29.0</v>
      </c>
      <c r="E597" s="18" t="str">
        <f t="shared" si="1"/>
        <v>29/08/91</v>
      </c>
      <c r="F597" s="18">
        <v>3.0</v>
      </c>
      <c r="G597" s="27">
        <v>5166.96</v>
      </c>
      <c r="H597" s="18" t="s">
        <v>140</v>
      </c>
      <c r="I597" s="18" t="s">
        <v>140</v>
      </c>
      <c r="J597" s="18" t="s">
        <v>325</v>
      </c>
      <c r="K597" s="29">
        <f t="shared" si="2"/>
        <v>31</v>
      </c>
    </row>
    <row r="598" ht="15.75" customHeight="1">
      <c r="A598" s="18" t="s">
        <v>3969</v>
      </c>
      <c r="B598" s="18">
        <v>1984.0</v>
      </c>
      <c r="C598" s="18" t="s">
        <v>517</v>
      </c>
      <c r="D598" s="18">
        <v>16.0</v>
      </c>
      <c r="E598" s="18" t="str">
        <f t="shared" si="1"/>
        <v>16/10/84</v>
      </c>
      <c r="F598" s="18">
        <v>3.0</v>
      </c>
      <c r="G598" s="27">
        <v>5177.12</v>
      </c>
      <c r="H598" s="18" t="s">
        <v>140</v>
      </c>
      <c r="I598" s="18" t="s">
        <v>219</v>
      </c>
      <c r="J598" s="18" t="s">
        <v>146</v>
      </c>
      <c r="K598" s="29">
        <f t="shared" si="2"/>
        <v>38</v>
      </c>
    </row>
    <row r="599" ht="15.75" customHeight="1">
      <c r="A599" s="18" t="s">
        <v>3972</v>
      </c>
      <c r="B599" s="18">
        <v>1979.0</v>
      </c>
      <c r="C599" s="18" t="s">
        <v>272</v>
      </c>
      <c r="D599" s="18">
        <v>12.0</v>
      </c>
      <c r="E599" s="18" t="str">
        <f t="shared" si="1"/>
        <v>12/09/79</v>
      </c>
      <c r="F599" s="18">
        <v>2.0</v>
      </c>
      <c r="G599" s="27">
        <v>5195.58</v>
      </c>
      <c r="H599" s="18" t="s">
        <v>140</v>
      </c>
      <c r="I599" s="18" t="s">
        <v>140</v>
      </c>
      <c r="J599" s="18" t="s">
        <v>146</v>
      </c>
      <c r="K599" s="29">
        <f t="shared" si="2"/>
        <v>43</v>
      </c>
    </row>
    <row r="600" ht="15.75" customHeight="1">
      <c r="A600" s="18" t="s">
        <v>3975</v>
      </c>
      <c r="B600" s="18">
        <v>2004.0</v>
      </c>
      <c r="C600" s="18" t="s">
        <v>241</v>
      </c>
      <c r="D600" s="18">
        <v>6.0</v>
      </c>
      <c r="E600" s="18" t="str">
        <f t="shared" si="1"/>
        <v>06/06/04</v>
      </c>
      <c r="F600" s="18">
        <v>0.0</v>
      </c>
      <c r="G600" s="27">
        <v>5198.69</v>
      </c>
      <c r="H600" s="18" t="s">
        <v>140</v>
      </c>
      <c r="I600" s="18" t="s">
        <v>140</v>
      </c>
      <c r="J600" s="18" t="s">
        <v>3978</v>
      </c>
      <c r="K600" s="29">
        <f t="shared" si="2"/>
        <v>19</v>
      </c>
    </row>
    <row r="601" ht="15.75" customHeight="1">
      <c r="A601" s="18" t="s">
        <v>3981</v>
      </c>
      <c r="B601" s="18">
        <v>1983.0</v>
      </c>
      <c r="C601" s="18" t="s">
        <v>517</v>
      </c>
      <c r="D601" s="18">
        <v>24.0</v>
      </c>
      <c r="E601" s="18" t="str">
        <f t="shared" si="1"/>
        <v>24/10/83</v>
      </c>
      <c r="F601" s="18">
        <v>3.0</v>
      </c>
      <c r="G601" s="27">
        <v>5207.97</v>
      </c>
      <c r="H601" s="18" t="s">
        <v>140</v>
      </c>
      <c r="I601" s="18" t="s">
        <v>140</v>
      </c>
      <c r="J601" s="18" t="s">
        <v>325</v>
      </c>
      <c r="K601" s="29">
        <f t="shared" si="2"/>
        <v>39</v>
      </c>
    </row>
    <row r="602" ht="15.75" customHeight="1">
      <c r="A602" s="18" t="s">
        <v>3983</v>
      </c>
      <c r="B602" s="18">
        <v>1993.0</v>
      </c>
      <c r="C602" s="18" t="s">
        <v>241</v>
      </c>
      <c r="D602" s="18">
        <v>17.0</v>
      </c>
      <c r="E602" s="18" t="str">
        <f t="shared" si="1"/>
        <v>17/06/93</v>
      </c>
      <c r="F602" s="18">
        <v>3.0</v>
      </c>
      <c r="G602" s="27">
        <v>5209.58</v>
      </c>
      <c r="H602" s="18" t="s">
        <v>142</v>
      </c>
      <c r="I602" s="18" t="s">
        <v>142</v>
      </c>
      <c r="J602" s="18" t="s">
        <v>2617</v>
      </c>
      <c r="K602" s="29">
        <f t="shared" si="2"/>
        <v>29</v>
      </c>
    </row>
    <row r="603" ht="15.75" customHeight="1">
      <c r="A603" s="18" t="s">
        <v>3988</v>
      </c>
      <c r="B603" s="18">
        <v>1999.0</v>
      </c>
      <c r="C603" s="18" t="s">
        <v>457</v>
      </c>
      <c r="D603" s="18">
        <v>1.0</v>
      </c>
      <c r="E603" s="18" t="str">
        <f t="shared" si="1"/>
        <v>01/12/99</v>
      </c>
      <c r="F603" s="18">
        <v>0.0</v>
      </c>
      <c r="G603" s="27">
        <v>5213.22</v>
      </c>
      <c r="H603" s="18" t="s">
        <v>140</v>
      </c>
      <c r="I603" s="18" t="s">
        <v>219</v>
      </c>
      <c r="J603" s="18" t="s">
        <v>325</v>
      </c>
      <c r="K603" s="29">
        <f t="shared" si="2"/>
        <v>23</v>
      </c>
    </row>
    <row r="604" ht="15.75" customHeight="1">
      <c r="A604" s="18" t="s">
        <v>3992</v>
      </c>
      <c r="B604" s="18">
        <v>1995.0</v>
      </c>
      <c r="C604" s="18" t="s">
        <v>241</v>
      </c>
      <c r="D604" s="18">
        <v>6.0</v>
      </c>
      <c r="E604" s="18" t="str">
        <f t="shared" si="1"/>
        <v>06/06/95</v>
      </c>
      <c r="F604" s="18">
        <v>0.0</v>
      </c>
      <c r="G604" s="27">
        <v>5216.48</v>
      </c>
      <c r="H604" s="18" t="s">
        <v>140</v>
      </c>
      <c r="I604" s="18" t="s">
        <v>140</v>
      </c>
      <c r="J604" s="18" t="s">
        <v>1647</v>
      </c>
      <c r="K604" s="29">
        <f t="shared" si="2"/>
        <v>28</v>
      </c>
    </row>
    <row r="605" ht="15.75" customHeight="1">
      <c r="A605" s="18" t="s">
        <v>3995</v>
      </c>
      <c r="B605" s="18">
        <v>1987.0</v>
      </c>
      <c r="C605" s="18" t="s">
        <v>241</v>
      </c>
      <c r="D605" s="18">
        <v>29.0</v>
      </c>
      <c r="E605" s="18" t="str">
        <f t="shared" si="1"/>
        <v>29/06/87</v>
      </c>
      <c r="F605" s="18">
        <v>0.0</v>
      </c>
      <c r="G605" s="27">
        <v>5227.99</v>
      </c>
      <c r="H605" s="18" t="s">
        <v>140</v>
      </c>
      <c r="I605" s="18" t="s">
        <v>219</v>
      </c>
      <c r="J605" s="18" t="s">
        <v>2024</v>
      </c>
      <c r="K605" s="29">
        <f t="shared" si="2"/>
        <v>35</v>
      </c>
    </row>
    <row r="606" ht="15.75" customHeight="1">
      <c r="A606" s="18" t="s">
        <v>3999</v>
      </c>
      <c r="B606" s="18">
        <v>1987.0</v>
      </c>
      <c r="C606" s="18" t="s">
        <v>457</v>
      </c>
      <c r="D606" s="18">
        <v>26.0</v>
      </c>
      <c r="E606" s="18" t="str">
        <f t="shared" si="1"/>
        <v>26/12/87</v>
      </c>
      <c r="F606" s="18">
        <v>1.0</v>
      </c>
      <c r="G606" s="27">
        <v>5240.77</v>
      </c>
      <c r="H606" s="18" t="s">
        <v>140</v>
      </c>
      <c r="I606" s="18" t="s">
        <v>140</v>
      </c>
      <c r="J606" s="18" t="s">
        <v>570</v>
      </c>
      <c r="K606" s="29">
        <f t="shared" si="2"/>
        <v>35</v>
      </c>
    </row>
    <row r="607" ht="15.75" customHeight="1">
      <c r="A607" s="18" t="s">
        <v>4001</v>
      </c>
      <c r="B607" s="18">
        <v>1987.0</v>
      </c>
      <c r="C607" s="18" t="s">
        <v>91</v>
      </c>
      <c r="D607" s="18">
        <v>5.0</v>
      </c>
      <c r="E607" s="18" t="str">
        <f t="shared" si="1"/>
        <v>05/07/87</v>
      </c>
      <c r="F607" s="18">
        <v>1.0</v>
      </c>
      <c r="G607" s="27">
        <v>5245.23</v>
      </c>
      <c r="H607" s="18" t="s">
        <v>140</v>
      </c>
      <c r="I607" s="18" t="s">
        <v>140</v>
      </c>
      <c r="J607" s="18" t="s">
        <v>146</v>
      </c>
      <c r="K607" s="29">
        <f t="shared" si="2"/>
        <v>35</v>
      </c>
    </row>
    <row r="608" ht="15.75" customHeight="1">
      <c r="A608" s="18" t="s">
        <v>4006</v>
      </c>
      <c r="B608" s="18">
        <v>1987.0</v>
      </c>
      <c r="C608" s="18" t="s">
        <v>272</v>
      </c>
      <c r="D608" s="18">
        <v>9.0</v>
      </c>
      <c r="E608" s="18" t="str">
        <f t="shared" si="1"/>
        <v>09/09/87</v>
      </c>
      <c r="F608" s="18">
        <v>1.0</v>
      </c>
      <c r="G608" s="27">
        <v>5246.05</v>
      </c>
      <c r="H608" s="18" t="s">
        <v>140</v>
      </c>
      <c r="I608" s="18" t="s">
        <v>142</v>
      </c>
      <c r="J608" s="18" t="s">
        <v>570</v>
      </c>
      <c r="K608" s="29">
        <f t="shared" si="2"/>
        <v>35</v>
      </c>
    </row>
    <row r="609" ht="15.75" customHeight="1">
      <c r="A609" s="18" t="s">
        <v>4011</v>
      </c>
      <c r="B609" s="18">
        <v>1990.0</v>
      </c>
      <c r="C609" s="18" t="s">
        <v>91</v>
      </c>
      <c r="D609" s="18">
        <v>6.0</v>
      </c>
      <c r="E609" s="18" t="str">
        <f t="shared" si="1"/>
        <v>06/07/90</v>
      </c>
      <c r="F609" s="18">
        <v>3.0</v>
      </c>
      <c r="G609" s="27">
        <v>5253.52</v>
      </c>
      <c r="H609" s="18" t="s">
        <v>142</v>
      </c>
      <c r="I609" s="18" t="s">
        <v>142</v>
      </c>
      <c r="J609" s="18" t="s">
        <v>570</v>
      </c>
      <c r="K609" s="29">
        <f t="shared" si="2"/>
        <v>32</v>
      </c>
    </row>
    <row r="610" ht="15.75" customHeight="1">
      <c r="A610" s="18" t="s">
        <v>4015</v>
      </c>
      <c r="B610" s="18">
        <v>1989.0</v>
      </c>
      <c r="C610" s="18" t="s">
        <v>209</v>
      </c>
      <c r="D610" s="18">
        <v>25.0</v>
      </c>
      <c r="E610" s="18" t="str">
        <f t="shared" si="1"/>
        <v>25/11/89</v>
      </c>
      <c r="F610" s="18">
        <v>2.0</v>
      </c>
      <c r="G610" s="27">
        <v>5257.51</v>
      </c>
      <c r="H610" s="18" t="s">
        <v>140</v>
      </c>
      <c r="I610" s="18" t="s">
        <v>140</v>
      </c>
      <c r="J610" s="18" t="s">
        <v>325</v>
      </c>
      <c r="K610" s="29">
        <f t="shared" si="2"/>
        <v>33</v>
      </c>
    </row>
    <row r="611" ht="15.75" customHeight="1">
      <c r="A611" s="18" t="s">
        <v>4024</v>
      </c>
      <c r="B611" s="18">
        <v>1989.0</v>
      </c>
      <c r="C611" s="18" t="s">
        <v>91</v>
      </c>
      <c r="D611" s="18">
        <v>19.0</v>
      </c>
      <c r="E611" s="18" t="str">
        <f t="shared" si="1"/>
        <v>19/07/89</v>
      </c>
      <c r="F611" s="18">
        <v>2.0</v>
      </c>
      <c r="G611" s="27">
        <v>5261.47</v>
      </c>
      <c r="H611" s="18" t="s">
        <v>140</v>
      </c>
      <c r="I611" s="18" t="s">
        <v>140</v>
      </c>
      <c r="J611" s="18" t="s">
        <v>325</v>
      </c>
      <c r="K611" s="29">
        <f t="shared" si="2"/>
        <v>33</v>
      </c>
    </row>
    <row r="612" ht="15.75" customHeight="1">
      <c r="A612" s="18" t="s">
        <v>4029</v>
      </c>
      <c r="B612" s="18">
        <v>1986.0</v>
      </c>
      <c r="C612" s="18" t="s">
        <v>517</v>
      </c>
      <c r="D612" s="18">
        <v>25.0</v>
      </c>
      <c r="E612" s="18" t="str">
        <f t="shared" si="1"/>
        <v>25/10/86</v>
      </c>
      <c r="F612" s="18">
        <v>0.0</v>
      </c>
      <c r="G612" s="27">
        <v>5266.37</v>
      </c>
      <c r="H612" s="18" t="s">
        <v>140</v>
      </c>
      <c r="I612" s="18" t="s">
        <v>140</v>
      </c>
      <c r="J612" s="18" t="s">
        <v>325</v>
      </c>
      <c r="K612" s="29">
        <f t="shared" si="2"/>
        <v>36</v>
      </c>
    </row>
    <row r="613" ht="15.75" customHeight="1">
      <c r="A613" s="18" t="s">
        <v>4033</v>
      </c>
      <c r="B613" s="18">
        <v>1986.0</v>
      </c>
      <c r="C613" s="18" t="s">
        <v>272</v>
      </c>
      <c r="D613" s="18">
        <v>20.0</v>
      </c>
      <c r="E613" s="18" t="str">
        <f t="shared" si="1"/>
        <v>20/09/86</v>
      </c>
      <c r="F613" s="18">
        <v>0.0</v>
      </c>
      <c r="G613" s="27">
        <v>5267.82</v>
      </c>
      <c r="H613" s="18" t="s">
        <v>140</v>
      </c>
      <c r="I613" s="18" t="s">
        <v>140</v>
      </c>
      <c r="J613" s="18" t="s">
        <v>325</v>
      </c>
      <c r="K613" s="29">
        <f t="shared" si="2"/>
        <v>36</v>
      </c>
    </row>
    <row r="614" ht="15.75" customHeight="1">
      <c r="A614" s="18" t="s">
        <v>4037</v>
      </c>
      <c r="B614" s="18">
        <v>1986.0</v>
      </c>
      <c r="C614" s="18" t="s">
        <v>517</v>
      </c>
      <c r="D614" s="18">
        <v>20.0</v>
      </c>
      <c r="E614" s="18" t="str">
        <f t="shared" si="1"/>
        <v>20/10/86</v>
      </c>
      <c r="F614" s="18">
        <v>0.0</v>
      </c>
      <c r="G614" s="27">
        <v>5272.18</v>
      </c>
      <c r="H614" s="18" t="s">
        <v>140</v>
      </c>
      <c r="I614" s="18" t="s">
        <v>142</v>
      </c>
      <c r="J614" s="18" t="s">
        <v>325</v>
      </c>
      <c r="K614" s="29">
        <f t="shared" si="2"/>
        <v>36</v>
      </c>
    </row>
    <row r="615" ht="15.75" customHeight="1">
      <c r="A615" s="18" t="s">
        <v>4039</v>
      </c>
      <c r="B615" s="18">
        <v>1987.0</v>
      </c>
      <c r="C615" s="18" t="s">
        <v>272</v>
      </c>
      <c r="D615" s="18">
        <v>1.0</v>
      </c>
      <c r="E615" s="18" t="str">
        <f t="shared" si="1"/>
        <v>01/09/87</v>
      </c>
      <c r="F615" s="18">
        <v>3.0</v>
      </c>
      <c r="G615" s="27">
        <v>5275.86</v>
      </c>
      <c r="H615" s="18" t="s">
        <v>140</v>
      </c>
      <c r="I615" s="18" t="s">
        <v>140</v>
      </c>
      <c r="J615" s="18" t="s">
        <v>146</v>
      </c>
      <c r="K615" s="29">
        <f t="shared" si="2"/>
        <v>35</v>
      </c>
    </row>
    <row r="616" ht="15.75" customHeight="1">
      <c r="A616" s="18" t="s">
        <v>4044</v>
      </c>
      <c r="B616" s="18">
        <v>1974.0</v>
      </c>
      <c r="C616" s="18" t="s">
        <v>209</v>
      </c>
      <c r="D616" s="18">
        <v>12.0</v>
      </c>
      <c r="E616" s="18" t="str">
        <f t="shared" si="1"/>
        <v>12/11/74</v>
      </c>
      <c r="F616" s="18">
        <v>0.0</v>
      </c>
      <c r="G616" s="27">
        <v>5291.71</v>
      </c>
      <c r="H616" s="18" t="s">
        <v>140</v>
      </c>
      <c r="I616" s="18" t="s">
        <v>140</v>
      </c>
      <c r="J616" s="18" t="s">
        <v>325</v>
      </c>
      <c r="K616" s="29">
        <f t="shared" si="2"/>
        <v>48</v>
      </c>
    </row>
    <row r="617" ht="15.75" customHeight="1">
      <c r="A617" s="18" t="s">
        <v>4049</v>
      </c>
      <c r="B617" s="18">
        <v>2004.0</v>
      </c>
      <c r="C617" s="18" t="s">
        <v>501</v>
      </c>
      <c r="D617" s="18">
        <v>22.0</v>
      </c>
      <c r="E617" s="18" t="str">
        <f t="shared" si="1"/>
        <v>22/08/04</v>
      </c>
      <c r="F617" s="18">
        <v>0.0</v>
      </c>
      <c r="G617" s="27">
        <v>5293.67</v>
      </c>
      <c r="H617" s="18" t="s">
        <v>140</v>
      </c>
      <c r="I617" s="18" t="s">
        <v>140</v>
      </c>
      <c r="J617" s="18" t="s">
        <v>3978</v>
      </c>
      <c r="K617" s="29">
        <f t="shared" si="2"/>
        <v>18</v>
      </c>
    </row>
    <row r="618" ht="15.75" customHeight="1">
      <c r="A618" s="18" t="s">
        <v>4053</v>
      </c>
      <c r="B618" s="18">
        <v>2000.0</v>
      </c>
      <c r="C618" s="18" t="s">
        <v>272</v>
      </c>
      <c r="D618" s="18">
        <v>9.0</v>
      </c>
      <c r="E618" s="18" t="str">
        <f t="shared" si="1"/>
        <v>09/09/00</v>
      </c>
      <c r="F618" s="18">
        <v>0.0</v>
      </c>
      <c r="G618" s="27">
        <v>5306.7</v>
      </c>
      <c r="H618" s="18" t="s">
        <v>140</v>
      </c>
      <c r="I618" s="18" t="s">
        <v>142</v>
      </c>
      <c r="J618" s="18" t="s">
        <v>325</v>
      </c>
      <c r="K618" s="29">
        <f t="shared" si="2"/>
        <v>22</v>
      </c>
    </row>
    <row r="619" ht="15.75" customHeight="1">
      <c r="A619" s="18" t="s">
        <v>4054</v>
      </c>
      <c r="B619" s="18">
        <v>1994.0</v>
      </c>
      <c r="C619" s="18" t="s">
        <v>209</v>
      </c>
      <c r="D619" s="18">
        <v>13.0</v>
      </c>
      <c r="E619" s="18" t="str">
        <f t="shared" si="1"/>
        <v>13/11/94</v>
      </c>
      <c r="F619" s="18">
        <v>3.0</v>
      </c>
      <c r="G619" s="27">
        <v>5312.17</v>
      </c>
      <c r="H619" s="18" t="s">
        <v>140</v>
      </c>
      <c r="I619" s="18" t="s">
        <v>140</v>
      </c>
      <c r="J619" s="18" t="s">
        <v>325</v>
      </c>
      <c r="K619" s="29">
        <f t="shared" si="2"/>
        <v>28</v>
      </c>
    </row>
    <row r="620" ht="15.75" customHeight="1">
      <c r="A620" s="18" t="s">
        <v>4059</v>
      </c>
      <c r="B620" s="18">
        <v>1974.0</v>
      </c>
      <c r="C620" s="18" t="s">
        <v>272</v>
      </c>
      <c r="D620" s="18">
        <v>2.0</v>
      </c>
      <c r="E620" s="18" t="str">
        <f t="shared" si="1"/>
        <v>02/09/74</v>
      </c>
      <c r="F620" s="18">
        <v>0.0</v>
      </c>
      <c r="G620" s="27">
        <v>5322.24</v>
      </c>
      <c r="H620" s="18" t="s">
        <v>140</v>
      </c>
      <c r="I620" s="18" t="s">
        <v>219</v>
      </c>
      <c r="J620" s="18" t="s">
        <v>325</v>
      </c>
      <c r="K620" s="29">
        <f t="shared" si="2"/>
        <v>48</v>
      </c>
    </row>
    <row r="621" ht="15.75" customHeight="1">
      <c r="A621" s="18" t="s">
        <v>4064</v>
      </c>
      <c r="B621" s="18">
        <v>1992.0</v>
      </c>
      <c r="C621" s="18" t="s">
        <v>241</v>
      </c>
      <c r="D621" s="18">
        <v>18.0</v>
      </c>
      <c r="E621" s="18" t="str">
        <f t="shared" si="1"/>
        <v>18/06/92</v>
      </c>
      <c r="F621" s="18">
        <v>3.0</v>
      </c>
      <c r="G621" s="27">
        <v>5325.65</v>
      </c>
      <c r="H621" s="18" t="s">
        <v>140</v>
      </c>
      <c r="I621" s="18" t="s">
        <v>219</v>
      </c>
      <c r="J621" s="18" t="s">
        <v>570</v>
      </c>
      <c r="K621" s="29">
        <f t="shared" si="2"/>
        <v>30</v>
      </c>
    </row>
    <row r="622" ht="15.75" customHeight="1">
      <c r="A622" s="18" t="s">
        <v>4069</v>
      </c>
      <c r="B622" s="18">
        <v>1991.0</v>
      </c>
      <c r="C622" s="18" t="s">
        <v>501</v>
      </c>
      <c r="D622" s="18">
        <v>28.0</v>
      </c>
      <c r="E622" s="18" t="str">
        <f t="shared" si="1"/>
        <v>28/08/91</v>
      </c>
      <c r="F622" s="18">
        <v>2.0</v>
      </c>
      <c r="G622" s="27">
        <v>5327.4</v>
      </c>
      <c r="H622" s="18" t="s">
        <v>140</v>
      </c>
      <c r="I622" s="18" t="s">
        <v>219</v>
      </c>
      <c r="J622" s="18" t="s">
        <v>325</v>
      </c>
      <c r="K622" s="29">
        <f t="shared" si="2"/>
        <v>31</v>
      </c>
    </row>
    <row r="623" ht="15.75" customHeight="1">
      <c r="A623" s="18" t="s">
        <v>4074</v>
      </c>
      <c r="B623" s="18">
        <v>1972.0</v>
      </c>
      <c r="C623" s="18" t="s">
        <v>457</v>
      </c>
      <c r="D623" s="18">
        <v>15.0</v>
      </c>
      <c r="E623" s="18" t="str">
        <f t="shared" si="1"/>
        <v>15/12/72</v>
      </c>
      <c r="F623" s="18">
        <v>0.0</v>
      </c>
      <c r="G623" s="27">
        <v>5344.81</v>
      </c>
      <c r="H623" s="18" t="s">
        <v>140</v>
      </c>
      <c r="I623" s="18" t="s">
        <v>142</v>
      </c>
      <c r="J623" s="18" t="s">
        <v>146</v>
      </c>
      <c r="K623" s="29">
        <f t="shared" si="2"/>
        <v>50</v>
      </c>
    </row>
    <row r="624" ht="15.75" customHeight="1">
      <c r="A624" s="18" t="s">
        <v>4089</v>
      </c>
      <c r="B624" s="18">
        <v>1989.0</v>
      </c>
      <c r="C624" s="18" t="s">
        <v>209</v>
      </c>
      <c r="D624" s="18">
        <v>7.0</v>
      </c>
      <c r="E624" s="18" t="str">
        <f t="shared" si="1"/>
        <v>07/11/89</v>
      </c>
      <c r="F624" s="18">
        <v>1.0</v>
      </c>
      <c r="G624" s="27">
        <v>5354.07</v>
      </c>
      <c r="H624" s="18" t="s">
        <v>140</v>
      </c>
      <c r="I624" s="18" t="s">
        <v>142</v>
      </c>
      <c r="J624" s="18" t="s">
        <v>2024</v>
      </c>
      <c r="K624" s="29">
        <f t="shared" si="2"/>
        <v>33</v>
      </c>
    </row>
    <row r="625" ht="15.75" customHeight="1">
      <c r="A625" s="18" t="s">
        <v>4093</v>
      </c>
      <c r="B625" s="18">
        <v>1994.0</v>
      </c>
      <c r="C625" s="18" t="s">
        <v>457</v>
      </c>
      <c r="D625" s="18">
        <v>7.0</v>
      </c>
      <c r="E625" s="18" t="str">
        <f t="shared" si="1"/>
        <v>07/12/94</v>
      </c>
      <c r="F625" s="18">
        <v>0.0</v>
      </c>
      <c r="G625" s="27">
        <v>5364.66</v>
      </c>
      <c r="H625" s="18" t="s">
        <v>140</v>
      </c>
      <c r="I625" s="18" t="s">
        <v>219</v>
      </c>
      <c r="J625" s="18" t="s">
        <v>570</v>
      </c>
      <c r="K625" s="29">
        <f t="shared" si="2"/>
        <v>28</v>
      </c>
    </row>
    <row r="626" ht="15.75" customHeight="1">
      <c r="A626" s="18" t="s">
        <v>4095</v>
      </c>
      <c r="B626" s="18">
        <v>1986.0</v>
      </c>
      <c r="C626" s="18" t="s">
        <v>241</v>
      </c>
      <c r="D626" s="18">
        <v>1.0</v>
      </c>
      <c r="E626" s="18" t="str">
        <f t="shared" si="1"/>
        <v>01/06/86</v>
      </c>
      <c r="F626" s="18">
        <v>1.0</v>
      </c>
      <c r="G626" s="27">
        <v>5373.36</v>
      </c>
      <c r="H626" s="18" t="s">
        <v>140</v>
      </c>
      <c r="I626" s="18" t="s">
        <v>140</v>
      </c>
      <c r="J626" s="18" t="s">
        <v>325</v>
      </c>
      <c r="K626" s="29">
        <f t="shared" si="2"/>
        <v>37</v>
      </c>
    </row>
    <row r="627" ht="15.75" customHeight="1">
      <c r="A627" s="18" t="s">
        <v>4098</v>
      </c>
      <c r="B627" s="18">
        <v>1989.0</v>
      </c>
      <c r="C627" s="18" t="s">
        <v>209</v>
      </c>
      <c r="D627" s="18">
        <v>18.0</v>
      </c>
      <c r="E627" s="18" t="str">
        <f t="shared" si="1"/>
        <v>18/11/89</v>
      </c>
      <c r="F627" s="18">
        <v>2.0</v>
      </c>
      <c r="G627" s="27">
        <v>5375.04</v>
      </c>
      <c r="H627" s="18" t="s">
        <v>140</v>
      </c>
      <c r="I627" s="18" t="s">
        <v>219</v>
      </c>
      <c r="J627" s="18" t="s">
        <v>570</v>
      </c>
      <c r="K627" s="29">
        <f t="shared" si="2"/>
        <v>33</v>
      </c>
    </row>
    <row r="628" ht="15.75" customHeight="1">
      <c r="A628" s="18" t="s">
        <v>4103</v>
      </c>
      <c r="B628" s="18">
        <v>1986.0</v>
      </c>
      <c r="C628" s="18" t="s">
        <v>91</v>
      </c>
      <c r="D628" s="18">
        <v>22.0</v>
      </c>
      <c r="E628" s="18" t="str">
        <f t="shared" si="1"/>
        <v>22/07/86</v>
      </c>
      <c r="F628" s="18">
        <v>1.0</v>
      </c>
      <c r="G628" s="27">
        <v>5377.46</v>
      </c>
      <c r="H628" s="18" t="s">
        <v>140</v>
      </c>
      <c r="I628" s="18" t="s">
        <v>142</v>
      </c>
      <c r="J628" s="18" t="s">
        <v>325</v>
      </c>
      <c r="K628" s="29">
        <f t="shared" si="2"/>
        <v>36</v>
      </c>
    </row>
    <row r="629" ht="15.75" customHeight="1">
      <c r="A629" s="18" t="s">
        <v>4108</v>
      </c>
      <c r="B629" s="18">
        <v>1984.0</v>
      </c>
      <c r="C629" s="18" t="s">
        <v>241</v>
      </c>
      <c r="D629" s="18">
        <v>1.0</v>
      </c>
      <c r="E629" s="18" t="str">
        <f t="shared" si="1"/>
        <v>01/06/84</v>
      </c>
      <c r="F629" s="18">
        <v>0.0</v>
      </c>
      <c r="G629" s="27">
        <v>5383.54</v>
      </c>
      <c r="H629" s="18" t="s">
        <v>140</v>
      </c>
      <c r="I629" s="18" t="s">
        <v>142</v>
      </c>
      <c r="J629" s="18" t="s">
        <v>570</v>
      </c>
      <c r="K629" s="29">
        <f t="shared" si="2"/>
        <v>39</v>
      </c>
    </row>
    <row r="630" ht="15.75" customHeight="1">
      <c r="A630" s="18" t="s">
        <v>4112</v>
      </c>
      <c r="B630" s="18">
        <v>1988.0</v>
      </c>
      <c r="C630" s="18" t="s">
        <v>501</v>
      </c>
      <c r="D630" s="18">
        <v>8.0</v>
      </c>
      <c r="E630" s="18" t="str">
        <f t="shared" si="1"/>
        <v>08/08/88</v>
      </c>
      <c r="F630" s="18">
        <v>1.0</v>
      </c>
      <c r="G630" s="27">
        <v>5385.34</v>
      </c>
      <c r="H630" s="18" t="s">
        <v>140</v>
      </c>
      <c r="I630" s="18" t="s">
        <v>142</v>
      </c>
      <c r="J630" s="18" t="s">
        <v>325</v>
      </c>
      <c r="K630" s="29">
        <f t="shared" si="2"/>
        <v>34</v>
      </c>
    </row>
    <row r="631" ht="15.75" customHeight="1">
      <c r="A631" s="18" t="s">
        <v>4118</v>
      </c>
      <c r="B631" s="18">
        <v>1989.0</v>
      </c>
      <c r="C631" s="18" t="s">
        <v>209</v>
      </c>
      <c r="D631" s="18">
        <v>6.0</v>
      </c>
      <c r="E631" s="18" t="str">
        <f t="shared" si="1"/>
        <v>06/11/89</v>
      </c>
      <c r="F631" s="18">
        <v>3.0</v>
      </c>
      <c r="G631" s="27">
        <v>5396.44</v>
      </c>
      <c r="H631" s="18" t="s">
        <v>140</v>
      </c>
      <c r="I631" s="18" t="s">
        <v>142</v>
      </c>
      <c r="J631" s="18" t="s">
        <v>146</v>
      </c>
      <c r="K631" s="29">
        <f t="shared" si="2"/>
        <v>33</v>
      </c>
    </row>
    <row r="632" ht="15.75" customHeight="1">
      <c r="A632" s="18" t="s">
        <v>4124</v>
      </c>
      <c r="B632" s="18">
        <v>1984.0</v>
      </c>
      <c r="C632" s="18" t="s">
        <v>272</v>
      </c>
      <c r="D632" s="18">
        <v>3.0</v>
      </c>
      <c r="E632" s="18" t="str">
        <f t="shared" si="1"/>
        <v>03/09/84</v>
      </c>
      <c r="F632" s="18">
        <v>0.0</v>
      </c>
      <c r="G632" s="27">
        <v>5397.62</v>
      </c>
      <c r="H632" s="18" t="s">
        <v>140</v>
      </c>
      <c r="I632" s="18" t="s">
        <v>140</v>
      </c>
      <c r="J632" s="18" t="s">
        <v>146</v>
      </c>
      <c r="K632" s="29">
        <f t="shared" si="2"/>
        <v>38</v>
      </c>
    </row>
    <row r="633" ht="15.75" customHeight="1">
      <c r="A633" s="18" t="s">
        <v>4129</v>
      </c>
      <c r="B633" s="18">
        <v>1984.0</v>
      </c>
      <c r="C633" s="18" t="s">
        <v>501</v>
      </c>
      <c r="D633" s="18">
        <v>1.0</v>
      </c>
      <c r="E633" s="18" t="str">
        <f t="shared" si="1"/>
        <v>01/08/84</v>
      </c>
      <c r="F633" s="18">
        <v>0.0</v>
      </c>
      <c r="G633" s="27">
        <v>5400.98</v>
      </c>
      <c r="H633" s="18" t="s">
        <v>140</v>
      </c>
      <c r="I633" s="18" t="s">
        <v>140</v>
      </c>
      <c r="J633" s="18" t="s">
        <v>146</v>
      </c>
      <c r="K633" s="29">
        <f t="shared" si="2"/>
        <v>38</v>
      </c>
    </row>
    <row r="634" ht="15.75" customHeight="1">
      <c r="A634" s="18" t="s">
        <v>4135</v>
      </c>
      <c r="B634" s="18">
        <v>1985.0</v>
      </c>
      <c r="C634" s="18" t="s">
        <v>457</v>
      </c>
      <c r="D634" s="18">
        <v>23.0</v>
      </c>
      <c r="E634" s="18" t="str">
        <f t="shared" si="1"/>
        <v>23/12/85</v>
      </c>
      <c r="F634" s="18">
        <v>3.0</v>
      </c>
      <c r="G634" s="27">
        <v>5402.89</v>
      </c>
      <c r="H634" s="18" t="s">
        <v>140</v>
      </c>
      <c r="I634" s="18" t="s">
        <v>219</v>
      </c>
      <c r="J634" s="18" t="s">
        <v>146</v>
      </c>
      <c r="K634" s="29">
        <f t="shared" si="2"/>
        <v>37</v>
      </c>
    </row>
    <row r="635" ht="15.75" customHeight="1">
      <c r="A635" s="18" t="s">
        <v>4140</v>
      </c>
      <c r="B635" s="18">
        <v>1975.0</v>
      </c>
      <c r="C635" s="18" t="s">
        <v>272</v>
      </c>
      <c r="D635" s="18">
        <v>27.0</v>
      </c>
      <c r="E635" s="18" t="str">
        <f t="shared" si="1"/>
        <v>27/09/75</v>
      </c>
      <c r="F635" s="18">
        <v>1.0</v>
      </c>
      <c r="G635" s="27">
        <v>5411.99</v>
      </c>
      <c r="H635" s="18" t="s">
        <v>140</v>
      </c>
      <c r="I635" s="18" t="s">
        <v>142</v>
      </c>
      <c r="J635" s="18" t="s">
        <v>325</v>
      </c>
      <c r="K635" s="29">
        <f t="shared" si="2"/>
        <v>47</v>
      </c>
    </row>
    <row r="636" ht="15.75" customHeight="1">
      <c r="A636" s="18" t="s">
        <v>4146</v>
      </c>
      <c r="B636" s="18">
        <v>1982.0</v>
      </c>
      <c r="C636" s="18" t="s">
        <v>272</v>
      </c>
      <c r="D636" s="18">
        <v>27.0</v>
      </c>
      <c r="E636" s="18" t="str">
        <f t="shared" si="1"/>
        <v>27/09/82</v>
      </c>
      <c r="F636" s="18">
        <v>0.0</v>
      </c>
      <c r="G636" s="27">
        <v>5415.66</v>
      </c>
      <c r="H636" s="18" t="s">
        <v>140</v>
      </c>
      <c r="I636" s="18" t="s">
        <v>142</v>
      </c>
      <c r="J636" s="18" t="s">
        <v>146</v>
      </c>
      <c r="K636" s="29">
        <f t="shared" si="2"/>
        <v>40</v>
      </c>
    </row>
    <row r="637" ht="15.75" customHeight="1">
      <c r="A637" s="18" t="s">
        <v>4153</v>
      </c>
      <c r="B637" s="18">
        <v>1991.0</v>
      </c>
      <c r="C637" s="18" t="s">
        <v>91</v>
      </c>
      <c r="D637" s="18">
        <v>6.0</v>
      </c>
      <c r="E637" s="18" t="str">
        <f t="shared" si="1"/>
        <v>06/07/91</v>
      </c>
      <c r="F637" s="18">
        <v>3.0</v>
      </c>
      <c r="G637" s="27">
        <v>5425.02</v>
      </c>
      <c r="H637" s="18" t="s">
        <v>140</v>
      </c>
      <c r="I637" s="18" t="s">
        <v>219</v>
      </c>
      <c r="J637" s="18" t="s">
        <v>325</v>
      </c>
      <c r="K637" s="29">
        <f t="shared" si="2"/>
        <v>31</v>
      </c>
    </row>
    <row r="638" ht="15.75" customHeight="1">
      <c r="A638" s="18" t="s">
        <v>4156</v>
      </c>
      <c r="B638" s="18">
        <v>1992.0</v>
      </c>
      <c r="C638" s="18" t="s">
        <v>272</v>
      </c>
      <c r="D638" s="18">
        <v>17.0</v>
      </c>
      <c r="E638" s="18" t="str">
        <f t="shared" si="1"/>
        <v>17/09/92</v>
      </c>
      <c r="F638" s="18">
        <v>3.0</v>
      </c>
      <c r="G638" s="27">
        <v>5428.73</v>
      </c>
      <c r="H638" s="18" t="s">
        <v>142</v>
      </c>
      <c r="I638" s="18" t="s">
        <v>219</v>
      </c>
      <c r="J638" s="18" t="s">
        <v>2617</v>
      </c>
      <c r="K638" s="29">
        <f t="shared" si="2"/>
        <v>30</v>
      </c>
    </row>
    <row r="639" ht="15.75" customHeight="1">
      <c r="A639" s="18" t="s">
        <v>4160</v>
      </c>
      <c r="B639" s="18">
        <v>1978.0</v>
      </c>
      <c r="C639" s="18" t="s">
        <v>241</v>
      </c>
      <c r="D639" s="18">
        <v>8.0</v>
      </c>
      <c r="E639" s="18" t="str">
        <f t="shared" si="1"/>
        <v>08/06/78</v>
      </c>
      <c r="F639" s="18">
        <v>2.0</v>
      </c>
      <c r="G639" s="27">
        <v>5428.98</v>
      </c>
      <c r="H639" s="18" t="s">
        <v>140</v>
      </c>
      <c r="I639" s="18" t="s">
        <v>140</v>
      </c>
      <c r="J639" s="18" t="s">
        <v>325</v>
      </c>
      <c r="K639" s="29">
        <f t="shared" si="2"/>
        <v>45</v>
      </c>
    </row>
    <row r="640" ht="15.75" customHeight="1">
      <c r="A640" s="18" t="s">
        <v>4165</v>
      </c>
      <c r="B640" s="18">
        <v>1982.0</v>
      </c>
      <c r="C640" s="18" t="s">
        <v>501</v>
      </c>
      <c r="D640" s="18">
        <v>25.0</v>
      </c>
      <c r="E640" s="18" t="str">
        <f t="shared" si="1"/>
        <v>25/08/82</v>
      </c>
      <c r="F640" s="18">
        <v>0.0</v>
      </c>
      <c r="G640" s="27">
        <v>5438.75</v>
      </c>
      <c r="H640" s="18" t="s">
        <v>142</v>
      </c>
      <c r="I640" s="18" t="s">
        <v>140</v>
      </c>
      <c r="J640" s="18" t="s">
        <v>146</v>
      </c>
      <c r="K640" s="29">
        <f t="shared" si="2"/>
        <v>40</v>
      </c>
    </row>
    <row r="641" ht="15.75" customHeight="1">
      <c r="A641" s="18" t="s">
        <v>4173</v>
      </c>
      <c r="B641" s="18">
        <v>1986.0</v>
      </c>
      <c r="C641" s="18" t="s">
        <v>457</v>
      </c>
      <c r="D641" s="18">
        <v>25.0</v>
      </c>
      <c r="E641" s="18" t="str">
        <f t="shared" si="1"/>
        <v>25/12/86</v>
      </c>
      <c r="F641" s="18">
        <v>0.0</v>
      </c>
      <c r="G641" s="27">
        <v>5458.05</v>
      </c>
      <c r="H641" s="18" t="s">
        <v>140</v>
      </c>
      <c r="I641" s="18" t="s">
        <v>140</v>
      </c>
      <c r="J641" s="18" t="s">
        <v>2024</v>
      </c>
      <c r="K641" s="29">
        <f t="shared" si="2"/>
        <v>36</v>
      </c>
    </row>
    <row r="642" ht="15.75" customHeight="1">
      <c r="A642" s="18" t="s">
        <v>4180</v>
      </c>
      <c r="B642" s="18">
        <v>1973.0</v>
      </c>
      <c r="C642" s="18" t="s">
        <v>517</v>
      </c>
      <c r="D642" s="18">
        <v>24.0</v>
      </c>
      <c r="E642" s="18" t="str">
        <f t="shared" si="1"/>
        <v>24/10/73</v>
      </c>
      <c r="F642" s="18">
        <v>0.0</v>
      </c>
      <c r="G642" s="27">
        <v>5466.88</v>
      </c>
      <c r="H642" s="18" t="s">
        <v>140</v>
      </c>
      <c r="I642" s="18" t="s">
        <v>140</v>
      </c>
      <c r="J642" s="18" t="s">
        <v>146</v>
      </c>
      <c r="K642" s="29">
        <f t="shared" si="2"/>
        <v>49</v>
      </c>
    </row>
    <row r="643" ht="15.75" customHeight="1">
      <c r="A643" s="18" t="s">
        <v>4185</v>
      </c>
      <c r="B643" s="18">
        <v>1986.0</v>
      </c>
      <c r="C643" s="18" t="s">
        <v>457</v>
      </c>
      <c r="D643" s="18">
        <v>2.0</v>
      </c>
      <c r="E643" s="18" t="str">
        <f t="shared" si="1"/>
        <v>02/12/86</v>
      </c>
      <c r="F643" s="18">
        <v>0.0</v>
      </c>
      <c r="G643" s="27">
        <v>5469.01</v>
      </c>
      <c r="H643" s="18" t="s">
        <v>140</v>
      </c>
      <c r="I643" s="18" t="s">
        <v>140</v>
      </c>
      <c r="J643" s="18" t="s">
        <v>2024</v>
      </c>
      <c r="K643" s="29">
        <f t="shared" si="2"/>
        <v>36</v>
      </c>
    </row>
    <row r="644" ht="15.75" customHeight="1">
      <c r="A644" s="18" t="s">
        <v>4191</v>
      </c>
      <c r="B644" s="18">
        <v>1986.0</v>
      </c>
      <c r="C644" s="18" t="s">
        <v>91</v>
      </c>
      <c r="D644" s="18">
        <v>12.0</v>
      </c>
      <c r="E644" s="18" t="str">
        <f t="shared" si="1"/>
        <v>12/07/86</v>
      </c>
      <c r="F644" s="18">
        <v>1.0</v>
      </c>
      <c r="G644" s="27">
        <v>5472.45</v>
      </c>
      <c r="H644" s="18" t="s">
        <v>140</v>
      </c>
      <c r="I644" s="18" t="s">
        <v>142</v>
      </c>
      <c r="J644" s="18" t="s">
        <v>570</v>
      </c>
      <c r="K644" s="29">
        <f t="shared" si="2"/>
        <v>36</v>
      </c>
    </row>
    <row r="645" ht="15.75" customHeight="1">
      <c r="A645" s="18" t="s">
        <v>4199</v>
      </c>
      <c r="B645" s="18">
        <v>1986.0</v>
      </c>
      <c r="C645" s="18" t="s">
        <v>272</v>
      </c>
      <c r="D645" s="18">
        <v>30.0</v>
      </c>
      <c r="E645" s="18" t="str">
        <f t="shared" si="1"/>
        <v>30/09/86</v>
      </c>
      <c r="F645" s="18">
        <v>1.0</v>
      </c>
      <c r="G645" s="27">
        <v>5478.04</v>
      </c>
      <c r="H645" s="18" t="s">
        <v>140</v>
      </c>
      <c r="I645" s="18" t="s">
        <v>142</v>
      </c>
      <c r="J645" s="18" t="s">
        <v>146</v>
      </c>
      <c r="K645" s="29">
        <f t="shared" si="2"/>
        <v>36</v>
      </c>
    </row>
    <row r="646" ht="15.75" customHeight="1">
      <c r="A646" s="18" t="s">
        <v>4206</v>
      </c>
      <c r="B646" s="18">
        <v>1984.0</v>
      </c>
      <c r="C646" s="18" t="s">
        <v>501</v>
      </c>
      <c r="D646" s="18">
        <v>26.0</v>
      </c>
      <c r="E646" s="18" t="str">
        <f t="shared" si="1"/>
        <v>26/08/84</v>
      </c>
      <c r="F646" s="18">
        <v>1.0</v>
      </c>
      <c r="G646" s="27">
        <v>5484.47</v>
      </c>
      <c r="H646" s="18" t="s">
        <v>140</v>
      </c>
      <c r="I646" s="18" t="s">
        <v>140</v>
      </c>
      <c r="J646" s="18" t="s">
        <v>146</v>
      </c>
      <c r="K646" s="29">
        <f t="shared" si="2"/>
        <v>38</v>
      </c>
    </row>
    <row r="647" ht="15.75" customHeight="1">
      <c r="A647" s="18" t="s">
        <v>4210</v>
      </c>
      <c r="B647" s="18">
        <v>1984.0</v>
      </c>
      <c r="C647" s="18" t="s">
        <v>501</v>
      </c>
      <c r="D647" s="18">
        <v>17.0</v>
      </c>
      <c r="E647" s="18" t="str">
        <f t="shared" si="1"/>
        <v>17/08/84</v>
      </c>
      <c r="F647" s="18">
        <v>1.0</v>
      </c>
      <c r="G647" s="27">
        <v>5488.26</v>
      </c>
      <c r="H647" s="18" t="s">
        <v>140</v>
      </c>
      <c r="I647" s="18" t="s">
        <v>142</v>
      </c>
      <c r="J647" s="18" t="s">
        <v>570</v>
      </c>
      <c r="K647" s="29">
        <f t="shared" si="2"/>
        <v>38</v>
      </c>
    </row>
    <row r="648" ht="15.75" customHeight="1">
      <c r="A648" s="18" t="s">
        <v>4215</v>
      </c>
      <c r="B648" s="18">
        <v>1988.0</v>
      </c>
      <c r="C648" s="18" t="s">
        <v>91</v>
      </c>
      <c r="D648" s="18">
        <v>29.0</v>
      </c>
      <c r="E648" s="18" t="str">
        <f t="shared" si="1"/>
        <v>29/07/88</v>
      </c>
      <c r="F648" s="18">
        <v>3.0</v>
      </c>
      <c r="G648" s="27">
        <v>5503.36</v>
      </c>
      <c r="H648" s="18" t="s">
        <v>140</v>
      </c>
      <c r="I648" s="18" t="s">
        <v>140</v>
      </c>
      <c r="J648" s="18" t="s">
        <v>325</v>
      </c>
      <c r="K648" s="29">
        <f t="shared" si="2"/>
        <v>34</v>
      </c>
    </row>
    <row r="649" ht="15.75" customHeight="1">
      <c r="A649" s="18" t="s">
        <v>4221</v>
      </c>
      <c r="B649" s="18">
        <v>1981.0</v>
      </c>
      <c r="C649" s="18" t="s">
        <v>209</v>
      </c>
      <c r="D649" s="18">
        <v>7.0</v>
      </c>
      <c r="E649" s="18" t="str">
        <f t="shared" si="1"/>
        <v>07/11/81</v>
      </c>
      <c r="F649" s="18">
        <v>1.0</v>
      </c>
      <c r="G649" s="27">
        <v>5539.4</v>
      </c>
      <c r="H649" s="18" t="s">
        <v>140</v>
      </c>
      <c r="I649" s="18" t="s">
        <v>140</v>
      </c>
      <c r="J649" s="18" t="s">
        <v>146</v>
      </c>
      <c r="K649" s="29">
        <f t="shared" si="2"/>
        <v>41</v>
      </c>
    </row>
    <row r="650" ht="15.75" customHeight="1">
      <c r="A650" s="18" t="s">
        <v>4225</v>
      </c>
      <c r="B650" s="18">
        <v>1980.0</v>
      </c>
      <c r="C650" s="18" t="s">
        <v>457</v>
      </c>
      <c r="D650" s="18">
        <v>7.0</v>
      </c>
      <c r="E650" s="18" t="str">
        <f t="shared" si="1"/>
        <v>07/12/80</v>
      </c>
      <c r="F650" s="18">
        <v>2.0</v>
      </c>
      <c r="G650" s="27">
        <v>5540.35</v>
      </c>
      <c r="H650" s="18" t="s">
        <v>140</v>
      </c>
      <c r="I650" s="18" t="s">
        <v>140</v>
      </c>
      <c r="J650" s="18" t="s">
        <v>325</v>
      </c>
      <c r="K650" s="29">
        <f t="shared" si="2"/>
        <v>42</v>
      </c>
    </row>
    <row r="651" ht="15.75" customHeight="1">
      <c r="A651" s="18" t="s">
        <v>4228</v>
      </c>
      <c r="B651" s="18">
        <v>1999.0</v>
      </c>
      <c r="C651" s="18" t="s">
        <v>272</v>
      </c>
      <c r="D651" s="18">
        <v>22.0</v>
      </c>
      <c r="E651" s="18" t="str">
        <f t="shared" si="1"/>
        <v>22/09/99</v>
      </c>
      <c r="F651" s="18">
        <v>0.0</v>
      </c>
      <c r="G651" s="27">
        <v>5552.61</v>
      </c>
      <c r="H651" s="18" t="s">
        <v>140</v>
      </c>
      <c r="I651" s="18" t="s">
        <v>142</v>
      </c>
      <c r="J651" s="18" t="s">
        <v>3559</v>
      </c>
      <c r="K651" s="29">
        <f t="shared" si="2"/>
        <v>23</v>
      </c>
    </row>
    <row r="652" ht="15.75" customHeight="1">
      <c r="A652" s="18" t="s">
        <v>4233</v>
      </c>
      <c r="B652" s="18">
        <v>1974.0</v>
      </c>
      <c r="C652" s="18" t="s">
        <v>272</v>
      </c>
      <c r="D652" s="18">
        <v>18.0</v>
      </c>
      <c r="E652" s="18" t="str">
        <f t="shared" si="1"/>
        <v>18/09/74</v>
      </c>
      <c r="F652" s="18">
        <v>0.0</v>
      </c>
      <c r="G652" s="27">
        <v>5576.35</v>
      </c>
      <c r="H652" s="18" t="s">
        <v>140</v>
      </c>
      <c r="I652" s="18" t="s">
        <v>142</v>
      </c>
      <c r="J652" s="18" t="s">
        <v>146</v>
      </c>
      <c r="K652" s="29">
        <f t="shared" si="2"/>
        <v>48</v>
      </c>
    </row>
    <row r="653" ht="15.75" customHeight="1">
      <c r="A653" s="18" t="s">
        <v>4240</v>
      </c>
      <c r="B653" s="18">
        <v>1985.0</v>
      </c>
      <c r="C653" s="18" t="s">
        <v>272</v>
      </c>
      <c r="D653" s="18">
        <v>5.0</v>
      </c>
      <c r="E653" s="18" t="str">
        <f t="shared" si="1"/>
        <v>05/09/85</v>
      </c>
      <c r="F653" s="18">
        <v>3.0</v>
      </c>
      <c r="G653" s="27">
        <v>5582.95</v>
      </c>
      <c r="H653" s="18" t="s">
        <v>140</v>
      </c>
      <c r="I653" s="18" t="s">
        <v>219</v>
      </c>
      <c r="J653" s="18" t="s">
        <v>325</v>
      </c>
      <c r="K653" s="29">
        <f t="shared" si="2"/>
        <v>37</v>
      </c>
    </row>
    <row r="654" ht="15.75" customHeight="1">
      <c r="A654" s="18" t="s">
        <v>4246</v>
      </c>
      <c r="B654" s="18">
        <v>1986.0</v>
      </c>
      <c r="C654" s="18" t="s">
        <v>209</v>
      </c>
      <c r="D654" s="18">
        <v>21.0</v>
      </c>
      <c r="E654" s="18" t="str">
        <f t="shared" si="1"/>
        <v>21/11/86</v>
      </c>
      <c r="F654" s="18">
        <v>2.0</v>
      </c>
      <c r="G654" s="27">
        <v>5584.31</v>
      </c>
      <c r="H654" s="18" t="s">
        <v>142</v>
      </c>
      <c r="I654" s="18" t="s">
        <v>219</v>
      </c>
      <c r="J654" s="18" t="s">
        <v>146</v>
      </c>
      <c r="K654" s="29">
        <f t="shared" si="2"/>
        <v>36</v>
      </c>
    </row>
    <row r="655" ht="15.75" customHeight="1">
      <c r="A655" s="18" t="s">
        <v>4253</v>
      </c>
      <c r="B655" s="18">
        <v>1983.0</v>
      </c>
      <c r="C655" s="18" t="s">
        <v>517</v>
      </c>
      <c r="D655" s="18">
        <v>3.0</v>
      </c>
      <c r="E655" s="18" t="str">
        <f t="shared" si="1"/>
        <v>03/10/83</v>
      </c>
      <c r="F655" s="18">
        <v>3.0</v>
      </c>
      <c r="G655" s="27">
        <v>5587.59</v>
      </c>
      <c r="H655" s="18" t="s">
        <v>140</v>
      </c>
      <c r="I655" s="18" t="s">
        <v>219</v>
      </c>
      <c r="J655" s="18" t="s">
        <v>146</v>
      </c>
      <c r="K655" s="29">
        <f t="shared" si="2"/>
        <v>39</v>
      </c>
    </row>
    <row r="656" ht="15.75" customHeight="1">
      <c r="A656" s="18" t="s">
        <v>4258</v>
      </c>
      <c r="B656" s="18">
        <v>1988.0</v>
      </c>
      <c r="C656" s="18" t="s">
        <v>209</v>
      </c>
      <c r="D656" s="18">
        <v>18.0</v>
      </c>
      <c r="E656" s="18" t="str">
        <f t="shared" si="1"/>
        <v>18/11/88</v>
      </c>
      <c r="F656" s="18">
        <v>1.0</v>
      </c>
      <c r="G656" s="27">
        <v>5594.85</v>
      </c>
      <c r="H656" s="18" t="s">
        <v>140</v>
      </c>
      <c r="I656" s="18" t="s">
        <v>142</v>
      </c>
      <c r="J656" s="18" t="s">
        <v>2024</v>
      </c>
      <c r="K656" s="29">
        <f t="shared" si="2"/>
        <v>34</v>
      </c>
    </row>
    <row r="657" ht="15.75" customHeight="1">
      <c r="A657" s="18" t="s">
        <v>4264</v>
      </c>
      <c r="B657" s="18">
        <v>1978.0</v>
      </c>
      <c r="C657" s="18" t="s">
        <v>272</v>
      </c>
      <c r="D657" s="18">
        <v>11.0</v>
      </c>
      <c r="E657" s="18" t="str">
        <f t="shared" si="1"/>
        <v>11/09/78</v>
      </c>
      <c r="F657" s="18">
        <v>2.0</v>
      </c>
      <c r="G657" s="27">
        <v>5612.83</v>
      </c>
      <c r="H657" s="18" t="s">
        <v>140</v>
      </c>
      <c r="I657" s="18" t="s">
        <v>142</v>
      </c>
      <c r="J657" s="18" t="s">
        <v>146</v>
      </c>
      <c r="K657" s="29">
        <f t="shared" si="2"/>
        <v>44</v>
      </c>
    </row>
    <row r="658" ht="15.75" customHeight="1">
      <c r="A658" s="18" t="s">
        <v>4272</v>
      </c>
      <c r="B658" s="18">
        <v>1994.0</v>
      </c>
      <c r="C658" s="18" t="s">
        <v>209</v>
      </c>
      <c r="D658" s="18">
        <v>15.0</v>
      </c>
      <c r="E658" s="18" t="str">
        <f t="shared" si="1"/>
        <v>15/11/94</v>
      </c>
      <c r="F658" s="18">
        <v>5.0</v>
      </c>
      <c r="G658" s="27">
        <v>5615.37</v>
      </c>
      <c r="H658" s="18" t="s">
        <v>140</v>
      </c>
      <c r="I658" s="18" t="s">
        <v>142</v>
      </c>
      <c r="J658" s="18" t="s">
        <v>570</v>
      </c>
      <c r="K658" s="29">
        <f t="shared" si="2"/>
        <v>28</v>
      </c>
    </row>
    <row r="659" ht="15.75" customHeight="1">
      <c r="A659" s="18" t="s">
        <v>4277</v>
      </c>
      <c r="B659" s="18">
        <v>1987.0</v>
      </c>
      <c r="C659" s="18" t="s">
        <v>457</v>
      </c>
      <c r="D659" s="18">
        <v>9.0</v>
      </c>
      <c r="E659" s="18" t="str">
        <f t="shared" si="1"/>
        <v>09/12/87</v>
      </c>
      <c r="F659" s="18">
        <v>1.0</v>
      </c>
      <c r="G659" s="27">
        <v>5630.46</v>
      </c>
      <c r="H659" s="18" t="s">
        <v>140</v>
      </c>
      <c r="I659" s="18" t="s">
        <v>142</v>
      </c>
      <c r="J659" s="18" t="s">
        <v>325</v>
      </c>
      <c r="K659" s="29">
        <f t="shared" si="2"/>
        <v>35</v>
      </c>
    </row>
    <row r="660" ht="15.75" customHeight="1">
      <c r="A660" s="18" t="s">
        <v>4282</v>
      </c>
      <c r="B660" s="18">
        <v>1983.0</v>
      </c>
      <c r="C660" s="18" t="s">
        <v>241</v>
      </c>
      <c r="D660" s="18">
        <v>8.0</v>
      </c>
      <c r="E660" s="18" t="str">
        <f t="shared" si="1"/>
        <v>08/06/83</v>
      </c>
      <c r="F660" s="18">
        <v>0.0</v>
      </c>
      <c r="G660" s="27">
        <v>5649.72</v>
      </c>
      <c r="H660" s="18" t="s">
        <v>140</v>
      </c>
      <c r="I660" s="18" t="s">
        <v>142</v>
      </c>
      <c r="J660" s="18" t="s">
        <v>570</v>
      </c>
      <c r="K660" s="29">
        <f t="shared" si="2"/>
        <v>40</v>
      </c>
    </row>
    <row r="661" ht="15.75" customHeight="1">
      <c r="A661" s="18" t="s">
        <v>4285</v>
      </c>
      <c r="B661" s="18">
        <v>1978.0</v>
      </c>
      <c r="C661" s="18" t="s">
        <v>272</v>
      </c>
      <c r="D661" s="18">
        <v>27.0</v>
      </c>
      <c r="E661" s="18" t="str">
        <f t="shared" si="1"/>
        <v>27/09/78</v>
      </c>
      <c r="F661" s="18">
        <v>2.0</v>
      </c>
      <c r="G661" s="27">
        <v>5650.14</v>
      </c>
      <c r="H661" s="18" t="s">
        <v>140</v>
      </c>
      <c r="I661" s="18" t="s">
        <v>219</v>
      </c>
      <c r="J661" s="18" t="s">
        <v>146</v>
      </c>
      <c r="K661" s="29">
        <f t="shared" si="2"/>
        <v>44</v>
      </c>
    </row>
    <row r="662" ht="15.75" customHeight="1">
      <c r="A662" s="18" t="s">
        <v>4289</v>
      </c>
      <c r="B662" s="18">
        <v>1983.0</v>
      </c>
      <c r="C662" s="18" t="s">
        <v>272</v>
      </c>
      <c r="D662" s="18">
        <v>3.0</v>
      </c>
      <c r="E662" s="18" t="str">
        <f t="shared" si="1"/>
        <v>03/09/83</v>
      </c>
      <c r="F662" s="18">
        <v>0.0</v>
      </c>
      <c r="G662" s="27">
        <v>5662.23</v>
      </c>
      <c r="H662" s="18" t="s">
        <v>140</v>
      </c>
      <c r="I662" s="18" t="s">
        <v>219</v>
      </c>
      <c r="J662" s="18" t="s">
        <v>146</v>
      </c>
      <c r="K662" s="29">
        <f t="shared" si="2"/>
        <v>39</v>
      </c>
    </row>
    <row r="663" ht="15.75" customHeight="1">
      <c r="A663" s="18" t="s">
        <v>4294</v>
      </c>
      <c r="B663" s="18">
        <v>1984.0</v>
      </c>
      <c r="C663" s="18" t="s">
        <v>501</v>
      </c>
      <c r="D663" s="18">
        <v>12.0</v>
      </c>
      <c r="E663" s="18" t="str">
        <f t="shared" si="1"/>
        <v>12/08/84</v>
      </c>
      <c r="F663" s="18">
        <v>3.0</v>
      </c>
      <c r="G663" s="27">
        <v>5679.13</v>
      </c>
      <c r="H663" s="18" t="s">
        <v>140</v>
      </c>
      <c r="I663" s="18" t="s">
        <v>140</v>
      </c>
      <c r="J663" s="18" t="s">
        <v>146</v>
      </c>
      <c r="K663" s="29">
        <f t="shared" si="2"/>
        <v>38</v>
      </c>
    </row>
    <row r="664" ht="15.75" customHeight="1">
      <c r="A664" s="18" t="s">
        <v>4297</v>
      </c>
      <c r="B664" s="18">
        <v>1972.0</v>
      </c>
      <c r="C664" s="18" t="s">
        <v>517</v>
      </c>
      <c r="D664" s="18">
        <v>28.0</v>
      </c>
      <c r="E664" s="18" t="str">
        <f t="shared" si="1"/>
        <v>28/10/72</v>
      </c>
      <c r="F664" s="18">
        <v>0.0</v>
      </c>
      <c r="G664" s="27">
        <v>5690.79</v>
      </c>
      <c r="H664" s="18" t="s">
        <v>140</v>
      </c>
      <c r="I664" s="18" t="s">
        <v>219</v>
      </c>
      <c r="J664" s="18" t="s">
        <v>146</v>
      </c>
      <c r="K664" s="29">
        <f t="shared" si="2"/>
        <v>50</v>
      </c>
    </row>
    <row r="665" ht="15.75" customHeight="1">
      <c r="A665" s="18" t="s">
        <v>4301</v>
      </c>
      <c r="B665" s="18">
        <v>1992.0</v>
      </c>
      <c r="C665" s="18" t="s">
        <v>209</v>
      </c>
      <c r="D665" s="18">
        <v>3.0</v>
      </c>
      <c r="E665" s="18" t="str">
        <f t="shared" si="1"/>
        <v>03/11/92</v>
      </c>
      <c r="F665" s="18">
        <v>3.0</v>
      </c>
      <c r="G665" s="27">
        <v>5693.43</v>
      </c>
      <c r="H665" s="18" t="s">
        <v>140</v>
      </c>
      <c r="I665" s="18" t="s">
        <v>142</v>
      </c>
      <c r="J665" s="18" t="s">
        <v>325</v>
      </c>
      <c r="K665" s="29">
        <f t="shared" si="2"/>
        <v>30</v>
      </c>
    </row>
    <row r="666" ht="15.75" customHeight="1">
      <c r="A666" s="18" t="s">
        <v>4306</v>
      </c>
      <c r="B666" s="18">
        <v>1974.0</v>
      </c>
      <c r="C666" s="18" t="s">
        <v>91</v>
      </c>
      <c r="D666" s="18">
        <v>6.0</v>
      </c>
      <c r="E666" s="18" t="str">
        <f t="shared" si="1"/>
        <v>06/07/74</v>
      </c>
      <c r="F666" s="18">
        <v>0.0</v>
      </c>
      <c r="G666" s="27">
        <v>5698.74</v>
      </c>
      <c r="H666" s="18" t="s">
        <v>140</v>
      </c>
      <c r="I666" s="18" t="s">
        <v>140</v>
      </c>
      <c r="J666" s="18" t="s">
        <v>325</v>
      </c>
      <c r="K666" s="29">
        <f t="shared" si="2"/>
        <v>48</v>
      </c>
    </row>
    <row r="667" ht="15.75" customHeight="1">
      <c r="A667" s="18" t="s">
        <v>4310</v>
      </c>
      <c r="B667" s="18">
        <v>1981.0</v>
      </c>
      <c r="C667" s="18" t="s">
        <v>241</v>
      </c>
      <c r="D667" s="18">
        <v>15.0</v>
      </c>
      <c r="E667" s="18" t="str">
        <f t="shared" si="1"/>
        <v>15/06/81</v>
      </c>
      <c r="F667" s="18">
        <v>0.0</v>
      </c>
      <c r="G667" s="27">
        <v>5699.84</v>
      </c>
      <c r="H667" s="18" t="s">
        <v>140</v>
      </c>
      <c r="I667" s="18" t="s">
        <v>142</v>
      </c>
      <c r="J667" s="18" t="s">
        <v>146</v>
      </c>
      <c r="K667" s="29">
        <f t="shared" si="2"/>
        <v>41</v>
      </c>
    </row>
    <row r="668" ht="15.75" customHeight="1">
      <c r="A668" s="18" t="s">
        <v>4315</v>
      </c>
      <c r="B668" s="18">
        <v>1993.0</v>
      </c>
      <c r="C668" s="18" t="s">
        <v>209</v>
      </c>
      <c r="D668" s="18">
        <v>3.0</v>
      </c>
      <c r="E668" s="18" t="str">
        <f t="shared" si="1"/>
        <v>03/11/93</v>
      </c>
      <c r="F668" s="18">
        <v>4.0</v>
      </c>
      <c r="G668" s="27">
        <v>5708.87</v>
      </c>
      <c r="H668" s="18" t="s">
        <v>140</v>
      </c>
      <c r="I668" s="18" t="s">
        <v>219</v>
      </c>
      <c r="J668" s="18" t="s">
        <v>570</v>
      </c>
      <c r="K668" s="29">
        <f t="shared" si="2"/>
        <v>29</v>
      </c>
    </row>
    <row r="669" ht="15.75" customHeight="1">
      <c r="A669" s="18" t="s">
        <v>4320</v>
      </c>
      <c r="B669" s="18">
        <v>1981.0</v>
      </c>
      <c r="C669" s="18" t="s">
        <v>501</v>
      </c>
      <c r="D669" s="18">
        <v>30.0</v>
      </c>
      <c r="E669" s="18" t="str">
        <f t="shared" si="1"/>
        <v>30/08/81</v>
      </c>
      <c r="F669" s="18">
        <v>0.0</v>
      </c>
      <c r="G669" s="27">
        <v>5709.16</v>
      </c>
      <c r="H669" s="18" t="s">
        <v>142</v>
      </c>
      <c r="I669" s="18" t="s">
        <v>142</v>
      </c>
      <c r="J669" s="18" t="s">
        <v>146</v>
      </c>
      <c r="K669" s="29">
        <f t="shared" si="2"/>
        <v>41</v>
      </c>
    </row>
    <row r="670" ht="15.75" customHeight="1">
      <c r="A670" s="18" t="s">
        <v>4325</v>
      </c>
      <c r="B670" s="18">
        <v>1971.0</v>
      </c>
      <c r="C670" s="18" t="s">
        <v>457</v>
      </c>
      <c r="D670" s="18">
        <v>18.0</v>
      </c>
      <c r="E670" s="18" t="str">
        <f t="shared" si="1"/>
        <v>18/12/71</v>
      </c>
      <c r="F670" s="18">
        <v>0.0</v>
      </c>
      <c r="G670" s="27">
        <v>5720.38</v>
      </c>
      <c r="H670" s="18" t="s">
        <v>140</v>
      </c>
      <c r="I670" s="18" t="s">
        <v>219</v>
      </c>
      <c r="J670" s="18" t="s">
        <v>146</v>
      </c>
      <c r="K670" s="29">
        <f t="shared" si="2"/>
        <v>51</v>
      </c>
    </row>
    <row r="671" ht="15.75" customHeight="1">
      <c r="A671" s="18" t="s">
        <v>4330</v>
      </c>
      <c r="B671" s="18">
        <v>1987.0</v>
      </c>
      <c r="C671" s="18" t="s">
        <v>517</v>
      </c>
      <c r="D671" s="18">
        <v>19.0</v>
      </c>
      <c r="E671" s="18" t="str">
        <f t="shared" si="1"/>
        <v>19/10/87</v>
      </c>
      <c r="F671" s="18">
        <v>2.0</v>
      </c>
      <c r="G671" s="27">
        <v>5729.01</v>
      </c>
      <c r="H671" s="18" t="s">
        <v>219</v>
      </c>
      <c r="I671" s="18" t="s">
        <v>140</v>
      </c>
      <c r="J671" s="18" t="s">
        <v>325</v>
      </c>
      <c r="K671" s="29">
        <f t="shared" si="2"/>
        <v>35</v>
      </c>
    </row>
    <row r="672" ht="15.75" customHeight="1">
      <c r="A672" s="18" t="s">
        <v>4334</v>
      </c>
      <c r="B672" s="18">
        <v>1972.0</v>
      </c>
      <c r="C672" s="18" t="s">
        <v>501</v>
      </c>
      <c r="D672" s="18">
        <v>21.0</v>
      </c>
      <c r="E672" s="18" t="str">
        <f t="shared" si="1"/>
        <v>21/08/72</v>
      </c>
      <c r="F672" s="18">
        <v>0.0</v>
      </c>
      <c r="G672" s="27">
        <v>5741.67</v>
      </c>
      <c r="H672" s="18" t="s">
        <v>140</v>
      </c>
      <c r="I672" s="18" t="s">
        <v>142</v>
      </c>
      <c r="J672" s="18" t="s">
        <v>146</v>
      </c>
      <c r="K672" s="29">
        <f t="shared" si="2"/>
        <v>50</v>
      </c>
    </row>
    <row r="673" ht="15.75" customHeight="1">
      <c r="A673" s="18" t="s">
        <v>4337</v>
      </c>
      <c r="B673" s="18">
        <v>1993.0</v>
      </c>
      <c r="C673" s="18" t="s">
        <v>241</v>
      </c>
      <c r="D673" s="18">
        <v>10.0</v>
      </c>
      <c r="E673" s="18" t="str">
        <f t="shared" si="1"/>
        <v>10/06/93</v>
      </c>
      <c r="F673" s="18">
        <v>0.0</v>
      </c>
      <c r="G673" s="27">
        <v>5748.13</v>
      </c>
      <c r="H673" s="18" t="s">
        <v>140</v>
      </c>
      <c r="I673" s="18" t="s">
        <v>219</v>
      </c>
      <c r="J673" s="18" t="s">
        <v>2314</v>
      </c>
      <c r="K673" s="29">
        <f t="shared" si="2"/>
        <v>29</v>
      </c>
    </row>
    <row r="674" ht="15.75" customHeight="1">
      <c r="A674" s="18" t="s">
        <v>4341</v>
      </c>
      <c r="B674" s="18">
        <v>1983.0</v>
      </c>
      <c r="C674" s="18" t="s">
        <v>501</v>
      </c>
      <c r="D674" s="18">
        <v>30.0</v>
      </c>
      <c r="E674" s="18" t="str">
        <f t="shared" si="1"/>
        <v>30/08/83</v>
      </c>
      <c r="F674" s="18">
        <v>0.0</v>
      </c>
      <c r="G674" s="27">
        <v>5757.41</v>
      </c>
      <c r="H674" s="18" t="s">
        <v>140</v>
      </c>
      <c r="I674" s="18" t="s">
        <v>142</v>
      </c>
      <c r="J674" s="18" t="s">
        <v>1421</v>
      </c>
      <c r="K674" s="29">
        <f t="shared" si="2"/>
        <v>39</v>
      </c>
    </row>
    <row r="675" ht="15.75" customHeight="1">
      <c r="A675" s="18" t="s">
        <v>4345</v>
      </c>
      <c r="B675" s="18">
        <v>2004.0</v>
      </c>
      <c r="C675" s="18" t="s">
        <v>209</v>
      </c>
      <c r="D675" s="18">
        <v>1.0</v>
      </c>
      <c r="E675" s="18" t="str">
        <f t="shared" si="1"/>
        <v>01/11/04</v>
      </c>
      <c r="F675" s="18">
        <v>0.0</v>
      </c>
      <c r="G675" s="27">
        <v>5778.71</v>
      </c>
      <c r="H675" s="18" t="s">
        <v>140</v>
      </c>
      <c r="I675" s="18" t="s">
        <v>142</v>
      </c>
      <c r="J675" s="18" t="s">
        <v>3978</v>
      </c>
      <c r="K675" s="29">
        <f t="shared" si="2"/>
        <v>18</v>
      </c>
    </row>
    <row r="676" ht="15.75" customHeight="1">
      <c r="A676" s="18" t="s">
        <v>4349</v>
      </c>
      <c r="B676" s="18">
        <v>1980.0</v>
      </c>
      <c r="C676" s="18" t="s">
        <v>272</v>
      </c>
      <c r="D676" s="18">
        <v>18.0</v>
      </c>
      <c r="E676" s="18" t="str">
        <f t="shared" si="1"/>
        <v>18/09/80</v>
      </c>
      <c r="F676" s="18">
        <v>2.0</v>
      </c>
      <c r="G676" s="27">
        <v>5807.06</v>
      </c>
      <c r="H676" s="18" t="s">
        <v>140</v>
      </c>
      <c r="I676" s="18" t="s">
        <v>142</v>
      </c>
      <c r="J676" s="18" t="s">
        <v>146</v>
      </c>
      <c r="K676" s="29">
        <f t="shared" si="2"/>
        <v>42</v>
      </c>
    </row>
    <row r="677" ht="15.75" customHeight="1">
      <c r="A677" s="18" t="s">
        <v>4353</v>
      </c>
      <c r="B677" s="18">
        <v>1972.0</v>
      </c>
      <c r="C677" s="18" t="s">
        <v>209</v>
      </c>
      <c r="D677" s="18">
        <v>2.0</v>
      </c>
      <c r="E677" s="18" t="str">
        <f t="shared" si="1"/>
        <v>02/11/72</v>
      </c>
      <c r="F677" s="18">
        <v>0.0</v>
      </c>
      <c r="G677" s="27">
        <v>5812.9</v>
      </c>
      <c r="H677" s="18" t="s">
        <v>140</v>
      </c>
      <c r="I677" s="18" t="s">
        <v>140</v>
      </c>
      <c r="J677" s="18" t="s">
        <v>146</v>
      </c>
      <c r="K677" s="29">
        <f t="shared" si="2"/>
        <v>50</v>
      </c>
    </row>
    <row r="678" ht="15.75" customHeight="1">
      <c r="A678" s="18" t="s">
        <v>4358</v>
      </c>
      <c r="B678" s="18">
        <v>2002.0</v>
      </c>
      <c r="C678" s="18" t="s">
        <v>91</v>
      </c>
      <c r="D678" s="18">
        <v>22.0</v>
      </c>
      <c r="E678" s="18" t="str">
        <f t="shared" si="1"/>
        <v>22/07/02</v>
      </c>
      <c r="F678" s="18">
        <v>0.0</v>
      </c>
      <c r="G678" s="27">
        <v>5816.58</v>
      </c>
      <c r="H678" s="18" t="s">
        <v>140</v>
      </c>
      <c r="I678" s="18" t="s">
        <v>140</v>
      </c>
      <c r="J678" s="18" t="s">
        <v>3559</v>
      </c>
      <c r="K678" s="29">
        <f t="shared" si="2"/>
        <v>20</v>
      </c>
    </row>
    <row r="679" ht="15.75" customHeight="1">
      <c r="A679" s="18" t="s">
        <v>4364</v>
      </c>
      <c r="B679" s="18">
        <v>1971.0</v>
      </c>
      <c r="C679" s="18" t="s">
        <v>272</v>
      </c>
      <c r="D679" s="18">
        <v>27.0</v>
      </c>
      <c r="E679" s="18" t="str">
        <f t="shared" si="1"/>
        <v>27/09/71</v>
      </c>
      <c r="F679" s="18">
        <v>0.0</v>
      </c>
      <c r="G679" s="27">
        <v>5832.6</v>
      </c>
      <c r="H679" s="18" t="s">
        <v>140</v>
      </c>
      <c r="I679" s="18" t="s">
        <v>142</v>
      </c>
      <c r="J679" s="18" t="s">
        <v>325</v>
      </c>
      <c r="K679" s="29">
        <f t="shared" si="2"/>
        <v>51</v>
      </c>
    </row>
    <row r="680" ht="15.75" customHeight="1">
      <c r="A680" s="18" t="s">
        <v>4368</v>
      </c>
      <c r="B680" s="18">
        <v>1987.0</v>
      </c>
      <c r="C680" s="18" t="s">
        <v>91</v>
      </c>
      <c r="D680" s="18">
        <v>27.0</v>
      </c>
      <c r="E680" s="18" t="str">
        <f t="shared" si="1"/>
        <v>27/07/87</v>
      </c>
      <c r="F680" s="18">
        <v>2.0</v>
      </c>
      <c r="G680" s="27">
        <v>5836.52</v>
      </c>
      <c r="H680" s="18" t="s">
        <v>140</v>
      </c>
      <c r="I680" s="18" t="s">
        <v>142</v>
      </c>
      <c r="J680" s="18" t="s">
        <v>146</v>
      </c>
      <c r="K680" s="29">
        <f t="shared" si="2"/>
        <v>35</v>
      </c>
    </row>
    <row r="681" ht="15.75" customHeight="1">
      <c r="A681" s="18" t="s">
        <v>4374</v>
      </c>
      <c r="B681" s="18">
        <v>1995.0</v>
      </c>
      <c r="C681" s="18" t="s">
        <v>501</v>
      </c>
      <c r="D681" s="18">
        <v>20.0</v>
      </c>
      <c r="E681" s="18" t="str">
        <f t="shared" si="1"/>
        <v>20/08/95</v>
      </c>
      <c r="F681" s="18">
        <v>0.0</v>
      </c>
      <c r="G681" s="27">
        <v>5843.99</v>
      </c>
      <c r="H681" s="18" t="s">
        <v>140</v>
      </c>
      <c r="I681" s="18" t="s">
        <v>140</v>
      </c>
      <c r="J681" s="18" t="s">
        <v>1647</v>
      </c>
      <c r="K681" s="29">
        <f t="shared" si="2"/>
        <v>27</v>
      </c>
    </row>
    <row r="682" ht="15.75" customHeight="1">
      <c r="A682" s="18" t="s">
        <v>4379</v>
      </c>
      <c r="B682" s="18">
        <v>1987.0</v>
      </c>
      <c r="C682" s="18" t="s">
        <v>272</v>
      </c>
      <c r="D682" s="18">
        <v>30.0</v>
      </c>
      <c r="E682" s="18" t="str">
        <f t="shared" si="1"/>
        <v>30/09/87</v>
      </c>
      <c r="F682" s="18">
        <v>2.0</v>
      </c>
      <c r="G682" s="27">
        <v>5846.92</v>
      </c>
      <c r="H682" s="18" t="s">
        <v>140</v>
      </c>
      <c r="I682" s="18" t="s">
        <v>140</v>
      </c>
      <c r="J682" s="18" t="s">
        <v>146</v>
      </c>
      <c r="K682" s="29">
        <f t="shared" si="2"/>
        <v>35</v>
      </c>
    </row>
    <row r="683" ht="15.75" customHeight="1">
      <c r="A683" s="18" t="s">
        <v>4382</v>
      </c>
      <c r="B683" s="18">
        <v>1985.0</v>
      </c>
      <c r="C683" s="18" t="s">
        <v>241</v>
      </c>
      <c r="D683" s="18">
        <v>18.0</v>
      </c>
      <c r="E683" s="18" t="str">
        <f t="shared" si="1"/>
        <v>18/06/85</v>
      </c>
      <c r="F683" s="18">
        <v>3.0</v>
      </c>
      <c r="G683" s="27">
        <v>5847.24</v>
      </c>
      <c r="H683" s="18" t="s">
        <v>140</v>
      </c>
      <c r="I683" s="18" t="s">
        <v>219</v>
      </c>
      <c r="J683" s="18" t="s">
        <v>146</v>
      </c>
      <c r="K683" s="29">
        <f t="shared" si="2"/>
        <v>37</v>
      </c>
    </row>
    <row r="684" ht="15.75" customHeight="1">
      <c r="A684" s="18" t="s">
        <v>4387</v>
      </c>
      <c r="B684" s="18">
        <v>1984.0</v>
      </c>
      <c r="C684" s="18" t="s">
        <v>209</v>
      </c>
      <c r="D684" s="18">
        <v>22.0</v>
      </c>
      <c r="E684" s="18" t="str">
        <f t="shared" si="1"/>
        <v>22/11/84</v>
      </c>
      <c r="F684" s="18">
        <v>1.0</v>
      </c>
      <c r="G684" s="27">
        <v>5855.9</v>
      </c>
      <c r="H684" s="18" t="s">
        <v>140</v>
      </c>
      <c r="I684" s="18" t="s">
        <v>142</v>
      </c>
      <c r="J684" s="18" t="s">
        <v>325</v>
      </c>
      <c r="K684" s="29">
        <f t="shared" si="2"/>
        <v>38</v>
      </c>
    </row>
    <row r="685" ht="15.75" customHeight="1">
      <c r="A685" s="18" t="s">
        <v>4394</v>
      </c>
      <c r="B685" s="18">
        <v>1993.0</v>
      </c>
      <c r="C685" s="18" t="s">
        <v>517</v>
      </c>
      <c r="D685" s="18">
        <v>19.0</v>
      </c>
      <c r="E685" s="18" t="str">
        <f t="shared" si="1"/>
        <v>19/10/93</v>
      </c>
      <c r="F685" s="18">
        <v>0.0</v>
      </c>
      <c r="G685" s="27">
        <v>5877.02</v>
      </c>
      <c r="H685" s="18" t="s">
        <v>140</v>
      </c>
      <c r="I685" s="18" t="s">
        <v>140</v>
      </c>
      <c r="J685" s="18" t="s">
        <v>2314</v>
      </c>
      <c r="K685" s="29">
        <f t="shared" si="2"/>
        <v>29</v>
      </c>
    </row>
    <row r="686" ht="15.75" customHeight="1">
      <c r="A686" s="18" t="s">
        <v>4398</v>
      </c>
      <c r="B686" s="18">
        <v>1982.0</v>
      </c>
      <c r="C686" s="18" t="s">
        <v>91</v>
      </c>
      <c r="D686" s="18">
        <v>8.0</v>
      </c>
      <c r="E686" s="18" t="str">
        <f t="shared" si="1"/>
        <v>08/07/82</v>
      </c>
      <c r="F686" s="18">
        <v>0.0</v>
      </c>
      <c r="G686" s="27">
        <v>5910.94</v>
      </c>
      <c r="H686" s="18" t="s">
        <v>140</v>
      </c>
      <c r="I686" s="18" t="s">
        <v>219</v>
      </c>
      <c r="J686" s="18" t="s">
        <v>570</v>
      </c>
      <c r="K686" s="29">
        <f t="shared" si="2"/>
        <v>40</v>
      </c>
    </row>
    <row r="687" ht="15.75" customHeight="1">
      <c r="A687" s="18" t="s">
        <v>4402</v>
      </c>
      <c r="B687" s="18">
        <v>1982.0</v>
      </c>
      <c r="C687" s="18" t="s">
        <v>457</v>
      </c>
      <c r="D687" s="18">
        <v>21.0</v>
      </c>
      <c r="E687" s="18" t="str">
        <f t="shared" si="1"/>
        <v>21/12/82</v>
      </c>
      <c r="F687" s="18">
        <v>0.0</v>
      </c>
      <c r="G687" s="27">
        <v>5920.1</v>
      </c>
      <c r="H687" s="18" t="s">
        <v>140</v>
      </c>
      <c r="I687" s="18" t="s">
        <v>219</v>
      </c>
      <c r="J687" s="18" t="s">
        <v>146</v>
      </c>
      <c r="K687" s="29">
        <f t="shared" si="2"/>
        <v>40</v>
      </c>
    </row>
    <row r="688" ht="15.75" customHeight="1">
      <c r="A688" s="18" t="s">
        <v>4407</v>
      </c>
      <c r="B688" s="18">
        <v>1987.0</v>
      </c>
      <c r="C688" s="18" t="s">
        <v>91</v>
      </c>
      <c r="D688" s="18">
        <v>29.0</v>
      </c>
      <c r="E688" s="18" t="str">
        <f t="shared" si="1"/>
        <v>29/07/87</v>
      </c>
      <c r="F688" s="18">
        <v>3.0</v>
      </c>
      <c r="G688" s="27">
        <v>5926.85</v>
      </c>
      <c r="H688" s="18" t="s">
        <v>142</v>
      </c>
      <c r="I688" s="18" t="s">
        <v>142</v>
      </c>
      <c r="J688" s="18" t="s">
        <v>570</v>
      </c>
      <c r="K688" s="29">
        <f t="shared" si="2"/>
        <v>35</v>
      </c>
    </row>
    <row r="689" ht="15.75" customHeight="1">
      <c r="A689" s="18" t="s">
        <v>4411</v>
      </c>
      <c r="B689" s="18">
        <v>1993.0</v>
      </c>
      <c r="C689" s="18" t="s">
        <v>501</v>
      </c>
      <c r="D689" s="18">
        <v>13.0</v>
      </c>
      <c r="E689" s="18" t="str">
        <f t="shared" si="1"/>
        <v>13/08/93</v>
      </c>
      <c r="F689" s="18">
        <v>0.0</v>
      </c>
      <c r="G689" s="27">
        <v>5926.93</v>
      </c>
      <c r="H689" s="18" t="s">
        <v>140</v>
      </c>
      <c r="I689" s="18" t="s">
        <v>140</v>
      </c>
      <c r="J689" s="18" t="s">
        <v>1647</v>
      </c>
      <c r="K689" s="29">
        <f t="shared" si="2"/>
        <v>29</v>
      </c>
    </row>
    <row r="690" ht="15.75" customHeight="1">
      <c r="A690" s="18" t="s">
        <v>4416</v>
      </c>
      <c r="B690" s="18">
        <v>1994.0</v>
      </c>
      <c r="C690" s="18" t="s">
        <v>91</v>
      </c>
      <c r="D690" s="18">
        <v>30.0</v>
      </c>
      <c r="E690" s="18" t="str">
        <f t="shared" si="1"/>
        <v>30/07/94</v>
      </c>
      <c r="F690" s="18">
        <v>0.0</v>
      </c>
      <c r="G690" s="27">
        <v>5927.65</v>
      </c>
      <c r="H690" s="18" t="s">
        <v>140</v>
      </c>
      <c r="I690" s="18" t="s">
        <v>219</v>
      </c>
      <c r="J690" s="18" t="s">
        <v>325</v>
      </c>
      <c r="K690" s="29">
        <f t="shared" si="2"/>
        <v>28</v>
      </c>
    </row>
    <row r="691" ht="15.75" customHeight="1">
      <c r="A691" s="18" t="s">
        <v>4418</v>
      </c>
      <c r="B691" s="18">
        <v>1987.0</v>
      </c>
      <c r="C691" s="18" t="s">
        <v>91</v>
      </c>
      <c r="D691" s="18">
        <v>14.0</v>
      </c>
      <c r="E691" s="18" t="str">
        <f t="shared" si="1"/>
        <v>14/07/87</v>
      </c>
      <c r="F691" s="18">
        <v>3.0</v>
      </c>
      <c r="G691" s="27">
        <v>5934.38</v>
      </c>
      <c r="H691" s="18" t="s">
        <v>142</v>
      </c>
      <c r="I691" s="18" t="s">
        <v>140</v>
      </c>
      <c r="J691" s="18" t="s">
        <v>146</v>
      </c>
      <c r="K691" s="29">
        <f t="shared" si="2"/>
        <v>35</v>
      </c>
    </row>
    <row r="692" ht="15.75" customHeight="1">
      <c r="A692" s="18" t="s">
        <v>4421</v>
      </c>
      <c r="B692" s="18">
        <v>2003.0</v>
      </c>
      <c r="C692" s="18" t="s">
        <v>501</v>
      </c>
      <c r="D692" s="18">
        <v>13.0</v>
      </c>
      <c r="E692" s="18" t="str">
        <f t="shared" si="1"/>
        <v>13/08/03</v>
      </c>
      <c r="F692" s="18">
        <v>0.0</v>
      </c>
      <c r="G692" s="27">
        <v>5957.35</v>
      </c>
      <c r="H692" s="18" t="s">
        <v>140</v>
      </c>
      <c r="I692" s="18" t="s">
        <v>140</v>
      </c>
      <c r="J692" s="18" t="s">
        <v>325</v>
      </c>
      <c r="K692" s="29">
        <f t="shared" si="2"/>
        <v>19</v>
      </c>
    </row>
    <row r="693" ht="15.75" customHeight="1">
      <c r="A693" s="18" t="s">
        <v>4424</v>
      </c>
      <c r="B693" s="18">
        <v>2004.0</v>
      </c>
      <c r="C693" s="18" t="s">
        <v>91</v>
      </c>
      <c r="D693" s="18">
        <v>15.0</v>
      </c>
      <c r="E693" s="18" t="str">
        <f t="shared" si="1"/>
        <v>15/07/04</v>
      </c>
      <c r="F693" s="18">
        <v>0.0</v>
      </c>
      <c r="G693" s="27">
        <v>5960.91</v>
      </c>
      <c r="H693" s="18" t="s">
        <v>140</v>
      </c>
      <c r="I693" s="18" t="s">
        <v>219</v>
      </c>
      <c r="J693" s="18" t="s">
        <v>3559</v>
      </c>
      <c r="K693" s="29">
        <f t="shared" si="2"/>
        <v>18</v>
      </c>
    </row>
    <row r="694" ht="15.75" customHeight="1">
      <c r="A694" s="18" t="s">
        <v>4428</v>
      </c>
      <c r="B694" s="18">
        <v>1980.0</v>
      </c>
      <c r="C694" s="18" t="s">
        <v>501</v>
      </c>
      <c r="D694" s="18">
        <v>5.0</v>
      </c>
      <c r="E694" s="18" t="str">
        <f t="shared" si="1"/>
        <v>05/08/80</v>
      </c>
      <c r="F694" s="18">
        <v>0.0</v>
      </c>
      <c r="G694" s="27">
        <v>5966.89</v>
      </c>
      <c r="H694" s="18" t="s">
        <v>140</v>
      </c>
      <c r="I694" s="18" t="s">
        <v>142</v>
      </c>
      <c r="J694" s="18" t="s">
        <v>146</v>
      </c>
      <c r="K694" s="29">
        <f t="shared" si="2"/>
        <v>42</v>
      </c>
    </row>
    <row r="695" ht="15.75" customHeight="1">
      <c r="A695" s="18" t="s">
        <v>4433</v>
      </c>
      <c r="B695" s="18">
        <v>1980.0</v>
      </c>
      <c r="C695" s="18" t="s">
        <v>91</v>
      </c>
      <c r="D695" s="18">
        <v>21.0</v>
      </c>
      <c r="E695" s="18" t="str">
        <f t="shared" si="1"/>
        <v>21/07/80</v>
      </c>
      <c r="F695" s="18">
        <v>0.0</v>
      </c>
      <c r="G695" s="27">
        <v>5969.72</v>
      </c>
      <c r="H695" s="18" t="s">
        <v>142</v>
      </c>
      <c r="I695" s="18" t="s">
        <v>142</v>
      </c>
      <c r="J695" s="18" t="s">
        <v>570</v>
      </c>
      <c r="K695" s="29">
        <f t="shared" si="2"/>
        <v>42</v>
      </c>
    </row>
    <row r="696" ht="15.75" customHeight="1">
      <c r="A696" s="18" t="s">
        <v>4438</v>
      </c>
      <c r="B696" s="18">
        <v>1989.0</v>
      </c>
      <c r="C696" s="18" t="s">
        <v>91</v>
      </c>
      <c r="D696" s="18">
        <v>22.0</v>
      </c>
      <c r="E696" s="18" t="str">
        <f t="shared" si="1"/>
        <v>22/07/89</v>
      </c>
      <c r="F696" s="18">
        <v>3.0</v>
      </c>
      <c r="G696" s="27">
        <v>5972.38</v>
      </c>
      <c r="H696" s="18" t="s">
        <v>140</v>
      </c>
      <c r="I696" s="18" t="s">
        <v>140</v>
      </c>
      <c r="J696" s="18" t="s">
        <v>570</v>
      </c>
      <c r="K696" s="29">
        <f t="shared" si="2"/>
        <v>33</v>
      </c>
    </row>
    <row r="697" ht="15.75" customHeight="1">
      <c r="A697" s="18" t="s">
        <v>4443</v>
      </c>
      <c r="B697" s="18">
        <v>1984.0</v>
      </c>
      <c r="C697" s="18" t="s">
        <v>272</v>
      </c>
      <c r="D697" s="18">
        <v>19.0</v>
      </c>
      <c r="E697" s="18" t="str">
        <f t="shared" si="1"/>
        <v>19/09/84</v>
      </c>
      <c r="F697" s="18">
        <v>1.0</v>
      </c>
      <c r="G697" s="27">
        <v>5974.38</v>
      </c>
      <c r="H697" s="18" t="s">
        <v>140</v>
      </c>
      <c r="I697" s="18" t="s">
        <v>142</v>
      </c>
      <c r="J697" s="18" t="s">
        <v>146</v>
      </c>
      <c r="K697" s="29">
        <f t="shared" si="2"/>
        <v>38</v>
      </c>
    </row>
    <row r="698" ht="15.75" customHeight="1">
      <c r="A698" s="18" t="s">
        <v>4449</v>
      </c>
      <c r="B698" s="18">
        <v>1984.0</v>
      </c>
      <c r="C698" s="18" t="s">
        <v>209</v>
      </c>
      <c r="D698" s="18">
        <v>11.0</v>
      </c>
      <c r="E698" s="18" t="str">
        <f t="shared" si="1"/>
        <v>11/11/84</v>
      </c>
      <c r="F698" s="18">
        <v>1.0</v>
      </c>
      <c r="G698" s="27">
        <v>5976.83</v>
      </c>
      <c r="H698" s="18" t="s">
        <v>140</v>
      </c>
      <c r="I698" s="18" t="s">
        <v>140</v>
      </c>
      <c r="J698" s="18" t="s">
        <v>146</v>
      </c>
      <c r="K698" s="29">
        <f t="shared" si="2"/>
        <v>38</v>
      </c>
    </row>
    <row r="699" ht="15.75" customHeight="1">
      <c r="A699" s="18" t="s">
        <v>4454</v>
      </c>
      <c r="B699" s="18">
        <v>1970.0</v>
      </c>
      <c r="C699" s="18" t="s">
        <v>241</v>
      </c>
      <c r="D699" s="18">
        <v>25.0</v>
      </c>
      <c r="E699" s="18" t="str">
        <f t="shared" si="1"/>
        <v>25/06/70</v>
      </c>
      <c r="F699" s="18">
        <v>0.0</v>
      </c>
      <c r="G699" s="27">
        <v>5979.66</v>
      </c>
      <c r="H699" s="18" t="s">
        <v>140</v>
      </c>
      <c r="I699" s="18" t="s">
        <v>142</v>
      </c>
      <c r="J699" s="18" t="s">
        <v>146</v>
      </c>
      <c r="K699" s="29">
        <f t="shared" si="2"/>
        <v>52</v>
      </c>
    </row>
    <row r="700" ht="15.75" customHeight="1">
      <c r="A700" s="18" t="s">
        <v>4460</v>
      </c>
      <c r="B700" s="18">
        <v>1980.0</v>
      </c>
      <c r="C700" s="18" t="s">
        <v>517</v>
      </c>
      <c r="D700" s="18">
        <v>10.0</v>
      </c>
      <c r="E700" s="18" t="str">
        <f t="shared" si="1"/>
        <v>10/10/80</v>
      </c>
      <c r="F700" s="18">
        <v>0.0</v>
      </c>
      <c r="G700" s="27">
        <v>5979.73</v>
      </c>
      <c r="H700" s="18" t="s">
        <v>140</v>
      </c>
      <c r="I700" s="18" t="s">
        <v>140</v>
      </c>
      <c r="J700" s="18" t="s">
        <v>570</v>
      </c>
      <c r="K700" s="29">
        <f t="shared" si="2"/>
        <v>42</v>
      </c>
    </row>
    <row r="701" ht="15.75" customHeight="1">
      <c r="A701" s="18" t="s">
        <v>4464</v>
      </c>
      <c r="B701" s="18">
        <v>1974.0</v>
      </c>
      <c r="C701" s="18" t="s">
        <v>517</v>
      </c>
      <c r="D701" s="18">
        <v>11.0</v>
      </c>
      <c r="E701" s="18" t="str">
        <f t="shared" si="1"/>
        <v>11/10/74</v>
      </c>
      <c r="F701" s="18">
        <v>0.0</v>
      </c>
      <c r="G701" s="27">
        <v>5979.99</v>
      </c>
      <c r="H701" s="18" t="s">
        <v>140</v>
      </c>
      <c r="I701" s="18" t="s">
        <v>142</v>
      </c>
      <c r="J701" s="18" t="s">
        <v>146</v>
      </c>
      <c r="K701" s="29">
        <f t="shared" si="2"/>
        <v>48</v>
      </c>
    </row>
    <row r="702" ht="15.75" customHeight="1">
      <c r="A702" s="18" t="s">
        <v>4467</v>
      </c>
      <c r="B702" s="18">
        <v>1988.0</v>
      </c>
      <c r="C702" s="18" t="s">
        <v>241</v>
      </c>
      <c r="D702" s="18">
        <v>10.0</v>
      </c>
      <c r="E702" s="18" t="str">
        <f t="shared" si="1"/>
        <v>10/06/88</v>
      </c>
      <c r="F702" s="18">
        <v>2.0</v>
      </c>
      <c r="G702" s="27">
        <v>5989.52</v>
      </c>
      <c r="H702" s="18" t="s">
        <v>140</v>
      </c>
      <c r="I702" s="18" t="s">
        <v>219</v>
      </c>
      <c r="J702" s="18" t="s">
        <v>325</v>
      </c>
      <c r="K702" s="29">
        <f t="shared" si="2"/>
        <v>34</v>
      </c>
    </row>
    <row r="703" ht="15.75" customHeight="1">
      <c r="A703" s="18" t="s">
        <v>4473</v>
      </c>
      <c r="B703" s="18">
        <v>1974.0</v>
      </c>
      <c r="C703" s="18" t="s">
        <v>501</v>
      </c>
      <c r="D703" s="18">
        <v>17.0</v>
      </c>
      <c r="E703" s="18" t="str">
        <f t="shared" si="1"/>
        <v>17/08/74</v>
      </c>
      <c r="F703" s="18">
        <v>0.0</v>
      </c>
      <c r="G703" s="27">
        <v>5990.17</v>
      </c>
      <c r="H703" s="18" t="s">
        <v>140</v>
      </c>
      <c r="I703" s="18" t="s">
        <v>140</v>
      </c>
      <c r="J703" s="18" t="s">
        <v>146</v>
      </c>
      <c r="K703" s="29">
        <f t="shared" si="2"/>
        <v>48</v>
      </c>
    </row>
    <row r="704" ht="15.75" customHeight="1">
      <c r="A704" s="18" t="s">
        <v>4477</v>
      </c>
      <c r="B704" s="18">
        <v>1980.0</v>
      </c>
      <c r="C704" s="18" t="s">
        <v>501</v>
      </c>
      <c r="D704" s="18">
        <v>8.0</v>
      </c>
      <c r="E704" s="18" t="str">
        <f t="shared" si="1"/>
        <v>08/08/80</v>
      </c>
      <c r="F704" s="18">
        <v>2.0</v>
      </c>
      <c r="G704" s="27">
        <v>5993.62</v>
      </c>
      <c r="H704" s="18" t="s">
        <v>140</v>
      </c>
      <c r="I704" s="18" t="s">
        <v>142</v>
      </c>
      <c r="J704" s="18" t="s">
        <v>146</v>
      </c>
      <c r="K704" s="29">
        <f t="shared" si="2"/>
        <v>42</v>
      </c>
    </row>
    <row r="705" ht="15.75" customHeight="1">
      <c r="A705" s="18" t="s">
        <v>4481</v>
      </c>
      <c r="B705" s="18">
        <v>1989.0</v>
      </c>
      <c r="C705" s="18" t="s">
        <v>501</v>
      </c>
      <c r="D705" s="18">
        <v>16.0</v>
      </c>
      <c r="E705" s="18" t="str">
        <f t="shared" si="1"/>
        <v>16/08/89</v>
      </c>
      <c r="F705" s="18">
        <v>4.0</v>
      </c>
      <c r="G705" s="27">
        <v>6059.17</v>
      </c>
      <c r="H705" s="18" t="s">
        <v>140</v>
      </c>
      <c r="I705" s="18" t="s">
        <v>219</v>
      </c>
      <c r="J705" s="18" t="s">
        <v>570</v>
      </c>
      <c r="K705" s="29">
        <f t="shared" si="2"/>
        <v>33</v>
      </c>
    </row>
    <row r="706" ht="15.75" customHeight="1">
      <c r="A706" s="18" t="s">
        <v>4485</v>
      </c>
      <c r="B706" s="18">
        <v>1996.0</v>
      </c>
      <c r="C706" s="18" t="s">
        <v>91</v>
      </c>
      <c r="D706" s="18">
        <v>28.0</v>
      </c>
      <c r="E706" s="18" t="str">
        <f t="shared" si="1"/>
        <v>28/07/96</v>
      </c>
      <c r="F706" s="18">
        <v>0.0</v>
      </c>
      <c r="G706" s="27">
        <v>6061.8</v>
      </c>
      <c r="H706" s="18" t="s">
        <v>140</v>
      </c>
      <c r="I706" s="18" t="s">
        <v>142</v>
      </c>
      <c r="J706" s="18" t="s">
        <v>325</v>
      </c>
      <c r="K706" s="29">
        <f t="shared" si="2"/>
        <v>26</v>
      </c>
    </row>
    <row r="707" ht="15.75" customHeight="1">
      <c r="A707" s="18" t="s">
        <v>4493</v>
      </c>
      <c r="B707" s="18">
        <v>1994.0</v>
      </c>
      <c r="C707" s="18" t="s">
        <v>209</v>
      </c>
      <c r="D707" s="18">
        <v>8.0</v>
      </c>
      <c r="E707" s="18" t="str">
        <f t="shared" si="1"/>
        <v>08/11/94</v>
      </c>
      <c r="F707" s="18">
        <v>0.0</v>
      </c>
      <c r="G707" s="27">
        <v>6064.37</v>
      </c>
      <c r="H707" s="18" t="s">
        <v>140</v>
      </c>
      <c r="I707" s="18" t="s">
        <v>140</v>
      </c>
      <c r="J707" s="18" t="s">
        <v>570</v>
      </c>
      <c r="K707" s="29">
        <f t="shared" si="2"/>
        <v>28</v>
      </c>
    </row>
    <row r="708" ht="15.75" customHeight="1">
      <c r="A708" s="18" t="s">
        <v>4497</v>
      </c>
      <c r="B708" s="18">
        <v>1984.0</v>
      </c>
      <c r="C708" s="18" t="s">
        <v>272</v>
      </c>
      <c r="D708" s="18">
        <v>21.0</v>
      </c>
      <c r="E708" s="18" t="str">
        <f t="shared" si="1"/>
        <v>21/09/84</v>
      </c>
      <c r="F708" s="18">
        <v>1.0</v>
      </c>
      <c r="G708" s="27">
        <v>6067.13</v>
      </c>
      <c r="H708" s="18" t="s">
        <v>142</v>
      </c>
      <c r="I708" s="18" t="s">
        <v>219</v>
      </c>
      <c r="J708" s="18" t="s">
        <v>1427</v>
      </c>
      <c r="K708" s="29">
        <f t="shared" si="2"/>
        <v>38</v>
      </c>
    </row>
    <row r="709" ht="15.75" customHeight="1">
      <c r="A709" s="18" t="s">
        <v>4501</v>
      </c>
      <c r="B709" s="18">
        <v>1979.0</v>
      </c>
      <c r="C709" s="18" t="s">
        <v>501</v>
      </c>
      <c r="D709" s="18">
        <v>8.0</v>
      </c>
      <c r="E709" s="18" t="str">
        <f t="shared" si="1"/>
        <v>08/08/79</v>
      </c>
      <c r="F709" s="18">
        <v>2.0</v>
      </c>
      <c r="G709" s="27">
        <v>6074.37</v>
      </c>
      <c r="H709" s="18" t="s">
        <v>140</v>
      </c>
      <c r="I709" s="18" t="s">
        <v>140</v>
      </c>
      <c r="J709" s="18" t="s">
        <v>325</v>
      </c>
      <c r="K709" s="29">
        <f t="shared" si="2"/>
        <v>43</v>
      </c>
    </row>
    <row r="710" ht="15.75" customHeight="1">
      <c r="A710" s="18" t="s">
        <v>4505</v>
      </c>
      <c r="B710" s="18">
        <v>1984.0</v>
      </c>
      <c r="C710" s="18" t="s">
        <v>517</v>
      </c>
      <c r="D710" s="18">
        <v>14.0</v>
      </c>
      <c r="E710" s="18" t="str">
        <f t="shared" si="1"/>
        <v>14/10/84</v>
      </c>
      <c r="F710" s="18">
        <v>1.0</v>
      </c>
      <c r="G710" s="27">
        <v>6079.67</v>
      </c>
      <c r="H710" s="18" t="s">
        <v>219</v>
      </c>
      <c r="I710" s="18" t="s">
        <v>219</v>
      </c>
      <c r="J710" s="18" t="s">
        <v>2191</v>
      </c>
      <c r="K710" s="29">
        <f t="shared" si="2"/>
        <v>38</v>
      </c>
    </row>
    <row r="711" ht="15.75" customHeight="1">
      <c r="A711" s="18" t="s">
        <v>4508</v>
      </c>
      <c r="B711" s="18">
        <v>1984.0</v>
      </c>
      <c r="C711" s="18" t="s">
        <v>91</v>
      </c>
      <c r="D711" s="18">
        <v>25.0</v>
      </c>
      <c r="E711" s="18" t="str">
        <f t="shared" si="1"/>
        <v>25/07/84</v>
      </c>
      <c r="F711" s="18">
        <v>2.0</v>
      </c>
      <c r="G711" s="27">
        <v>6082.41</v>
      </c>
      <c r="H711" s="18" t="s">
        <v>219</v>
      </c>
      <c r="I711" s="18" t="s">
        <v>140</v>
      </c>
      <c r="J711" s="18" t="s">
        <v>570</v>
      </c>
      <c r="K711" s="29">
        <f t="shared" si="2"/>
        <v>38</v>
      </c>
    </row>
    <row r="712" ht="15.75" customHeight="1">
      <c r="A712" s="18" t="s">
        <v>4512</v>
      </c>
      <c r="B712" s="18">
        <v>1970.0</v>
      </c>
      <c r="C712" s="18" t="s">
        <v>241</v>
      </c>
      <c r="D712" s="18">
        <v>9.0</v>
      </c>
      <c r="E712" s="18" t="str">
        <f t="shared" si="1"/>
        <v>09/06/70</v>
      </c>
      <c r="F712" s="18">
        <v>0.0</v>
      </c>
      <c r="G712" s="27">
        <v>6098.38</v>
      </c>
      <c r="H712" s="18" t="s">
        <v>140</v>
      </c>
      <c r="I712" s="18" t="s">
        <v>140</v>
      </c>
      <c r="J712" s="18" t="s">
        <v>146</v>
      </c>
      <c r="K712" s="29">
        <f t="shared" si="2"/>
        <v>52</v>
      </c>
    </row>
    <row r="713" ht="15.75" customHeight="1">
      <c r="A713" s="18" t="s">
        <v>4517</v>
      </c>
      <c r="B713" s="18">
        <v>1995.0</v>
      </c>
      <c r="C713" s="18" t="s">
        <v>272</v>
      </c>
      <c r="D713" s="18">
        <v>9.0</v>
      </c>
      <c r="E713" s="18" t="str">
        <f t="shared" si="1"/>
        <v>09/09/95</v>
      </c>
      <c r="F713" s="18">
        <v>0.0</v>
      </c>
      <c r="G713" s="27">
        <v>6111.95</v>
      </c>
      <c r="H713" s="18" t="s">
        <v>140</v>
      </c>
      <c r="I713" s="18" t="s">
        <v>142</v>
      </c>
      <c r="J713" s="18" t="s">
        <v>3559</v>
      </c>
      <c r="K713" s="29">
        <f t="shared" si="2"/>
        <v>27</v>
      </c>
    </row>
    <row r="714" ht="15.75" customHeight="1">
      <c r="A714" s="18" t="s">
        <v>4520</v>
      </c>
      <c r="B714" s="18">
        <v>1985.0</v>
      </c>
      <c r="C714" s="18" t="s">
        <v>91</v>
      </c>
      <c r="D714" s="18">
        <v>21.0</v>
      </c>
      <c r="E714" s="18" t="str">
        <f t="shared" si="1"/>
        <v>21/07/85</v>
      </c>
      <c r="F714" s="18">
        <v>1.0</v>
      </c>
      <c r="G714" s="27">
        <v>6112.35</v>
      </c>
      <c r="H714" s="18" t="s">
        <v>140</v>
      </c>
      <c r="I714" s="18" t="s">
        <v>219</v>
      </c>
      <c r="J714" s="18" t="s">
        <v>325</v>
      </c>
      <c r="K714" s="29">
        <f t="shared" si="2"/>
        <v>37</v>
      </c>
    </row>
    <row r="715" ht="15.75" customHeight="1">
      <c r="A715" s="18" t="s">
        <v>4525</v>
      </c>
      <c r="B715" s="18">
        <v>1991.0</v>
      </c>
      <c r="C715" s="18" t="s">
        <v>91</v>
      </c>
      <c r="D715" s="18">
        <v>25.0</v>
      </c>
      <c r="E715" s="18" t="str">
        <f t="shared" si="1"/>
        <v>25/07/91</v>
      </c>
      <c r="F715" s="18">
        <v>3.0</v>
      </c>
      <c r="G715" s="27">
        <v>6113.23</v>
      </c>
      <c r="H715" s="18" t="s">
        <v>140</v>
      </c>
      <c r="I715" s="18" t="s">
        <v>140</v>
      </c>
      <c r="J715" s="18" t="s">
        <v>2024</v>
      </c>
      <c r="K715" s="29">
        <f t="shared" si="2"/>
        <v>31</v>
      </c>
    </row>
    <row r="716" ht="15.75" customHeight="1">
      <c r="A716" s="18" t="s">
        <v>4530</v>
      </c>
      <c r="B716" s="18">
        <v>1983.0</v>
      </c>
      <c r="C716" s="18" t="s">
        <v>501</v>
      </c>
      <c r="D716" s="18">
        <v>11.0</v>
      </c>
      <c r="E716" s="18" t="str">
        <f t="shared" si="1"/>
        <v>11/08/83</v>
      </c>
      <c r="F716" s="18">
        <v>1.0</v>
      </c>
      <c r="G716" s="27">
        <v>6117.49</v>
      </c>
      <c r="H716" s="18" t="s">
        <v>140</v>
      </c>
      <c r="I716" s="18" t="s">
        <v>142</v>
      </c>
      <c r="J716" s="18" t="s">
        <v>325</v>
      </c>
      <c r="K716" s="29">
        <f t="shared" si="2"/>
        <v>39</v>
      </c>
    </row>
    <row r="717" ht="15.75" customHeight="1">
      <c r="A717" s="18" t="s">
        <v>4537</v>
      </c>
      <c r="B717" s="18">
        <v>1983.0</v>
      </c>
      <c r="C717" s="18" t="s">
        <v>209</v>
      </c>
      <c r="D717" s="18">
        <v>16.0</v>
      </c>
      <c r="E717" s="18" t="str">
        <f t="shared" si="1"/>
        <v>16/11/83</v>
      </c>
      <c r="F717" s="18">
        <v>1.0</v>
      </c>
      <c r="G717" s="27">
        <v>6123.57</v>
      </c>
      <c r="H717" s="18" t="s">
        <v>142</v>
      </c>
      <c r="I717" s="18" t="s">
        <v>140</v>
      </c>
      <c r="J717" s="18" t="s">
        <v>325</v>
      </c>
      <c r="K717" s="29">
        <f t="shared" si="2"/>
        <v>39</v>
      </c>
    </row>
    <row r="718" ht="15.75" customHeight="1">
      <c r="A718" s="18" t="s">
        <v>4541</v>
      </c>
      <c r="B718" s="18">
        <v>1990.0</v>
      </c>
      <c r="C718" s="18" t="s">
        <v>501</v>
      </c>
      <c r="D718" s="18">
        <v>18.0</v>
      </c>
      <c r="E718" s="18" t="str">
        <f t="shared" si="1"/>
        <v>18/08/90</v>
      </c>
      <c r="F718" s="18">
        <v>3.0</v>
      </c>
      <c r="G718" s="27">
        <v>6128.8</v>
      </c>
      <c r="H718" s="18" t="s">
        <v>140</v>
      </c>
      <c r="I718" s="18" t="s">
        <v>142</v>
      </c>
      <c r="J718" s="18" t="s">
        <v>325</v>
      </c>
      <c r="K718" s="29">
        <f t="shared" si="2"/>
        <v>32</v>
      </c>
    </row>
    <row r="719" ht="15.75" customHeight="1">
      <c r="A719" s="18" t="s">
        <v>4545</v>
      </c>
      <c r="B719" s="18">
        <v>1969.0</v>
      </c>
      <c r="C719" s="18" t="s">
        <v>209</v>
      </c>
      <c r="D719" s="18">
        <v>9.0</v>
      </c>
      <c r="E719" s="18" t="str">
        <f t="shared" si="1"/>
        <v>09/11/69</v>
      </c>
      <c r="F719" s="18">
        <v>0.0</v>
      </c>
      <c r="G719" s="27">
        <v>6138.5</v>
      </c>
      <c r="H719" s="18" t="s">
        <v>140</v>
      </c>
      <c r="I719" s="18" t="s">
        <v>140</v>
      </c>
      <c r="J719" s="18" t="s">
        <v>570</v>
      </c>
      <c r="K719" s="29">
        <f t="shared" si="2"/>
        <v>53</v>
      </c>
    </row>
    <row r="720" ht="15.75" customHeight="1">
      <c r="A720" s="18" t="s">
        <v>4551</v>
      </c>
      <c r="B720" s="18">
        <v>1978.0</v>
      </c>
      <c r="C720" s="18" t="s">
        <v>272</v>
      </c>
      <c r="D720" s="18">
        <v>5.0</v>
      </c>
      <c r="E720" s="18" t="str">
        <f t="shared" si="1"/>
        <v>05/09/78</v>
      </c>
      <c r="F720" s="18">
        <v>2.0</v>
      </c>
      <c r="G720" s="27">
        <v>6138.58</v>
      </c>
      <c r="H720" s="18" t="s">
        <v>140</v>
      </c>
      <c r="I720" s="18" t="s">
        <v>219</v>
      </c>
      <c r="J720" s="18" t="s">
        <v>146</v>
      </c>
      <c r="K720" s="29">
        <f t="shared" si="2"/>
        <v>44</v>
      </c>
    </row>
    <row r="721" ht="15.75" customHeight="1">
      <c r="A721" s="18" t="s">
        <v>4555</v>
      </c>
      <c r="B721" s="18">
        <v>1976.0</v>
      </c>
      <c r="C721" s="18" t="s">
        <v>457</v>
      </c>
      <c r="D721" s="18">
        <v>12.0</v>
      </c>
      <c r="E721" s="18" t="str">
        <f t="shared" si="1"/>
        <v>12/12/76</v>
      </c>
      <c r="F721" s="18">
        <v>2.0</v>
      </c>
      <c r="G721" s="27">
        <v>6139.14</v>
      </c>
      <c r="H721" s="18" t="s">
        <v>140</v>
      </c>
      <c r="I721" s="18" t="s">
        <v>142</v>
      </c>
      <c r="J721" s="18" t="s">
        <v>146</v>
      </c>
      <c r="K721" s="29">
        <f t="shared" si="2"/>
        <v>46</v>
      </c>
    </row>
    <row r="722" ht="15.75" customHeight="1">
      <c r="A722" s="18" t="s">
        <v>4559</v>
      </c>
      <c r="B722" s="18">
        <v>1970.0</v>
      </c>
      <c r="C722" s="18" t="s">
        <v>517</v>
      </c>
      <c r="D722" s="18">
        <v>14.0</v>
      </c>
      <c r="E722" s="18" t="str">
        <f t="shared" si="1"/>
        <v>14/10/70</v>
      </c>
      <c r="F722" s="18">
        <v>0.0</v>
      </c>
      <c r="G722" s="27">
        <v>6147.12</v>
      </c>
      <c r="H722" s="18" t="s">
        <v>140</v>
      </c>
      <c r="I722" s="18" t="s">
        <v>142</v>
      </c>
      <c r="J722" s="18" t="s">
        <v>325</v>
      </c>
      <c r="K722" s="29">
        <f t="shared" si="2"/>
        <v>52</v>
      </c>
    </row>
    <row r="723" ht="15.75" customHeight="1">
      <c r="A723" s="18" t="s">
        <v>4563</v>
      </c>
      <c r="B723" s="18">
        <v>1973.0</v>
      </c>
      <c r="C723" s="18" t="s">
        <v>209</v>
      </c>
      <c r="D723" s="18">
        <v>6.0</v>
      </c>
      <c r="E723" s="18" t="str">
        <f t="shared" si="1"/>
        <v>06/11/73</v>
      </c>
      <c r="F723" s="18">
        <v>0.0</v>
      </c>
      <c r="G723" s="27">
        <v>6152.05</v>
      </c>
      <c r="H723" s="18" t="s">
        <v>140</v>
      </c>
      <c r="I723" s="18" t="s">
        <v>142</v>
      </c>
      <c r="J723" s="18" t="s">
        <v>146</v>
      </c>
      <c r="K723" s="29">
        <f t="shared" si="2"/>
        <v>49</v>
      </c>
    </row>
    <row r="724" ht="15.75" customHeight="1">
      <c r="A724" s="18" t="s">
        <v>4566</v>
      </c>
      <c r="B724" s="18">
        <v>1985.0</v>
      </c>
      <c r="C724" s="18" t="s">
        <v>517</v>
      </c>
      <c r="D724" s="18">
        <v>15.0</v>
      </c>
      <c r="E724" s="18" t="str">
        <f t="shared" si="1"/>
        <v>15/10/85</v>
      </c>
      <c r="F724" s="18">
        <v>3.0</v>
      </c>
      <c r="G724" s="27">
        <v>6159.57</v>
      </c>
      <c r="H724" s="18" t="s">
        <v>140</v>
      </c>
      <c r="I724" s="18" t="s">
        <v>219</v>
      </c>
      <c r="J724" s="18" t="s">
        <v>325</v>
      </c>
      <c r="K724" s="29">
        <f t="shared" si="2"/>
        <v>37</v>
      </c>
    </row>
    <row r="725" ht="15.75" customHeight="1">
      <c r="A725" s="18" t="s">
        <v>4570</v>
      </c>
      <c r="B725" s="18">
        <v>1984.0</v>
      </c>
      <c r="C725" s="18" t="s">
        <v>517</v>
      </c>
      <c r="D725" s="18">
        <v>6.0</v>
      </c>
      <c r="E725" s="18" t="str">
        <f t="shared" si="1"/>
        <v>06/10/84</v>
      </c>
      <c r="F725" s="18">
        <v>3.0</v>
      </c>
      <c r="G725" s="27">
        <v>6170.96</v>
      </c>
      <c r="H725" s="18" t="s">
        <v>140</v>
      </c>
      <c r="I725" s="18" t="s">
        <v>219</v>
      </c>
      <c r="J725" s="18" t="s">
        <v>146</v>
      </c>
      <c r="K725" s="29">
        <f t="shared" si="2"/>
        <v>38</v>
      </c>
    </row>
    <row r="726" ht="15.75" customHeight="1">
      <c r="A726" s="18" t="s">
        <v>4573</v>
      </c>
      <c r="B726" s="18">
        <v>1985.0</v>
      </c>
      <c r="C726" s="18" t="s">
        <v>501</v>
      </c>
      <c r="D726" s="18">
        <v>9.0</v>
      </c>
      <c r="E726" s="18" t="str">
        <f t="shared" si="1"/>
        <v>09/08/85</v>
      </c>
      <c r="F726" s="18">
        <v>3.0</v>
      </c>
      <c r="G726" s="27">
        <v>6183.32</v>
      </c>
      <c r="H726" s="18" t="s">
        <v>140</v>
      </c>
      <c r="I726" s="18" t="s">
        <v>140</v>
      </c>
      <c r="J726" s="18" t="s">
        <v>325</v>
      </c>
      <c r="K726" s="29">
        <f t="shared" si="2"/>
        <v>37</v>
      </c>
    </row>
    <row r="727" ht="15.75" customHeight="1">
      <c r="A727" s="18" t="s">
        <v>4577</v>
      </c>
      <c r="B727" s="18">
        <v>1970.0</v>
      </c>
      <c r="C727" s="18" t="s">
        <v>517</v>
      </c>
      <c r="D727" s="18">
        <v>5.0</v>
      </c>
      <c r="E727" s="18" t="str">
        <f t="shared" si="1"/>
        <v>05/10/70</v>
      </c>
      <c r="F727" s="18">
        <v>0.0</v>
      </c>
      <c r="G727" s="27">
        <v>6183.46</v>
      </c>
      <c r="H727" s="18" t="s">
        <v>140</v>
      </c>
      <c r="I727" s="18" t="s">
        <v>140</v>
      </c>
      <c r="J727" s="18" t="s">
        <v>325</v>
      </c>
      <c r="K727" s="29">
        <f t="shared" si="2"/>
        <v>52</v>
      </c>
    </row>
    <row r="728" ht="15.75" customHeight="1">
      <c r="A728" s="18" t="s">
        <v>4582</v>
      </c>
      <c r="B728" s="18">
        <v>1988.0</v>
      </c>
      <c r="C728" s="18" t="s">
        <v>209</v>
      </c>
      <c r="D728" s="18">
        <v>1.0</v>
      </c>
      <c r="E728" s="18" t="str">
        <f t="shared" si="1"/>
        <v>01/11/88</v>
      </c>
      <c r="F728" s="18">
        <v>3.0</v>
      </c>
      <c r="G728" s="27">
        <v>6184.3</v>
      </c>
      <c r="H728" s="18" t="s">
        <v>140</v>
      </c>
      <c r="I728" s="18" t="s">
        <v>142</v>
      </c>
      <c r="J728" s="18" t="s">
        <v>146</v>
      </c>
      <c r="K728" s="29">
        <f t="shared" si="2"/>
        <v>34</v>
      </c>
    </row>
    <row r="729" ht="15.75" customHeight="1">
      <c r="A729" s="18" t="s">
        <v>4586</v>
      </c>
      <c r="B729" s="18">
        <v>1981.0</v>
      </c>
      <c r="C729" s="18" t="s">
        <v>209</v>
      </c>
      <c r="D729" s="18">
        <v>22.0</v>
      </c>
      <c r="E729" s="18" t="str">
        <f t="shared" si="1"/>
        <v>22/11/81</v>
      </c>
      <c r="F729" s="18">
        <v>0.0</v>
      </c>
      <c r="G729" s="27">
        <v>6185.32</v>
      </c>
      <c r="H729" s="18" t="s">
        <v>140</v>
      </c>
      <c r="I729" s="18" t="s">
        <v>219</v>
      </c>
      <c r="J729" s="18" t="s">
        <v>146</v>
      </c>
      <c r="K729" s="29">
        <f t="shared" si="2"/>
        <v>41</v>
      </c>
    </row>
    <row r="730" ht="15.75" customHeight="1">
      <c r="A730" s="18" t="s">
        <v>4589</v>
      </c>
      <c r="B730" s="18">
        <v>1981.0</v>
      </c>
      <c r="C730" s="18" t="s">
        <v>517</v>
      </c>
      <c r="D730" s="18">
        <v>1.0</v>
      </c>
      <c r="E730" s="18" t="str">
        <f t="shared" si="1"/>
        <v>01/10/81</v>
      </c>
      <c r="F730" s="18">
        <v>0.0</v>
      </c>
      <c r="G730" s="27">
        <v>6186.13</v>
      </c>
      <c r="H730" s="18" t="s">
        <v>140</v>
      </c>
      <c r="I730" s="18" t="s">
        <v>142</v>
      </c>
      <c r="J730" s="18" t="s">
        <v>570</v>
      </c>
      <c r="K730" s="29">
        <f t="shared" si="2"/>
        <v>41</v>
      </c>
    </row>
    <row r="731" ht="15.75" customHeight="1">
      <c r="A731" s="18" t="s">
        <v>4593</v>
      </c>
      <c r="B731" s="18">
        <v>1988.0</v>
      </c>
      <c r="C731" s="18" t="s">
        <v>517</v>
      </c>
      <c r="D731" s="18">
        <v>23.0</v>
      </c>
      <c r="E731" s="18" t="str">
        <f t="shared" si="1"/>
        <v>23/10/88</v>
      </c>
      <c r="F731" s="18">
        <v>3.0</v>
      </c>
      <c r="G731" s="27">
        <v>6196.45</v>
      </c>
      <c r="H731" s="18" t="s">
        <v>140</v>
      </c>
      <c r="I731" s="18" t="s">
        <v>219</v>
      </c>
      <c r="J731" s="18" t="s">
        <v>570</v>
      </c>
      <c r="K731" s="29">
        <f t="shared" si="2"/>
        <v>34</v>
      </c>
    </row>
    <row r="732" ht="15.75" customHeight="1">
      <c r="A732" s="18" t="s">
        <v>4598</v>
      </c>
      <c r="B732" s="18">
        <v>1985.0</v>
      </c>
      <c r="C732" s="18" t="s">
        <v>91</v>
      </c>
      <c r="D732" s="18">
        <v>22.0</v>
      </c>
      <c r="E732" s="18" t="str">
        <f t="shared" si="1"/>
        <v>22/07/85</v>
      </c>
      <c r="F732" s="18">
        <v>2.0</v>
      </c>
      <c r="G732" s="27">
        <v>6198.75</v>
      </c>
      <c r="H732" s="18" t="s">
        <v>140</v>
      </c>
      <c r="I732" s="18" t="s">
        <v>219</v>
      </c>
      <c r="J732" s="18" t="s">
        <v>325</v>
      </c>
      <c r="K732" s="29">
        <f t="shared" si="2"/>
        <v>37</v>
      </c>
    </row>
    <row r="733" ht="15.75" customHeight="1">
      <c r="A733" s="20">
        <v>0.0</v>
      </c>
      <c r="B733" s="18">
        <v>1985.0</v>
      </c>
      <c r="C733" s="18" t="s">
        <v>457</v>
      </c>
      <c r="D733" s="18">
        <v>20.0</v>
      </c>
      <c r="E733" s="18" t="str">
        <f t="shared" si="1"/>
        <v>20/12/85</v>
      </c>
      <c r="F733" s="18">
        <v>2.0</v>
      </c>
      <c r="G733" s="27">
        <v>6203.9</v>
      </c>
      <c r="H733" s="18" t="s">
        <v>219</v>
      </c>
      <c r="I733" s="18" t="s">
        <v>140</v>
      </c>
      <c r="J733" s="18" t="s">
        <v>325</v>
      </c>
      <c r="K733" s="29">
        <f t="shared" si="2"/>
        <v>37</v>
      </c>
    </row>
    <row r="734" ht="15.75" customHeight="1">
      <c r="A734" s="18" t="s">
        <v>4604</v>
      </c>
      <c r="B734" s="18">
        <v>1985.0</v>
      </c>
      <c r="C734" s="18" t="s">
        <v>272</v>
      </c>
      <c r="D734" s="18">
        <v>22.0</v>
      </c>
      <c r="E734" s="18" t="str">
        <f t="shared" si="1"/>
        <v>22/09/85</v>
      </c>
      <c r="F734" s="18">
        <v>2.0</v>
      </c>
      <c r="G734" s="27">
        <v>6203.9</v>
      </c>
      <c r="H734" s="18" t="s">
        <v>140</v>
      </c>
      <c r="I734" s="18" t="s">
        <v>140</v>
      </c>
      <c r="J734" s="18" t="s">
        <v>325</v>
      </c>
      <c r="K734" s="29">
        <f t="shared" si="2"/>
        <v>37</v>
      </c>
    </row>
    <row r="735" ht="15.75" customHeight="1">
      <c r="A735" s="18" t="s">
        <v>4607</v>
      </c>
      <c r="B735" s="18">
        <v>1999.0</v>
      </c>
      <c r="C735" s="18" t="s">
        <v>272</v>
      </c>
      <c r="D735" s="18">
        <v>10.0</v>
      </c>
      <c r="E735" s="18" t="str">
        <f t="shared" si="1"/>
        <v>10/09/99</v>
      </c>
      <c r="F735" s="18">
        <v>0.0</v>
      </c>
      <c r="G735" s="27">
        <v>6207.26</v>
      </c>
      <c r="H735" s="18" t="s">
        <v>140</v>
      </c>
      <c r="I735" s="18" t="s">
        <v>140</v>
      </c>
      <c r="J735" s="18" t="s">
        <v>3559</v>
      </c>
      <c r="K735" s="29">
        <f t="shared" si="2"/>
        <v>23</v>
      </c>
    </row>
    <row r="736" ht="15.75" customHeight="1">
      <c r="A736" s="18" t="s">
        <v>4611</v>
      </c>
      <c r="B736" s="18">
        <v>1992.0</v>
      </c>
      <c r="C736" s="18" t="s">
        <v>501</v>
      </c>
      <c r="D736" s="18">
        <v>12.0</v>
      </c>
      <c r="E736" s="18" t="str">
        <f t="shared" si="1"/>
        <v>12/08/92</v>
      </c>
      <c r="F736" s="18">
        <v>0.0</v>
      </c>
      <c r="G736" s="27">
        <v>6208.5</v>
      </c>
      <c r="H736" s="18" t="s">
        <v>140</v>
      </c>
      <c r="I736" s="18" t="s">
        <v>219</v>
      </c>
      <c r="J736" s="18" t="s">
        <v>2314</v>
      </c>
      <c r="K736" s="29">
        <f t="shared" si="2"/>
        <v>30</v>
      </c>
    </row>
    <row r="737" ht="15.75" customHeight="1">
      <c r="A737" s="18" t="s">
        <v>4614</v>
      </c>
      <c r="B737" s="18">
        <v>1972.0</v>
      </c>
      <c r="C737" s="18" t="s">
        <v>241</v>
      </c>
      <c r="D737" s="18">
        <v>29.0</v>
      </c>
      <c r="E737" s="18" t="str">
        <f t="shared" si="1"/>
        <v>29/06/72</v>
      </c>
      <c r="F737" s="18">
        <v>0.0</v>
      </c>
      <c r="G737" s="27">
        <v>6219.93</v>
      </c>
      <c r="H737" s="18" t="s">
        <v>140</v>
      </c>
      <c r="I737" s="18" t="s">
        <v>140</v>
      </c>
      <c r="J737" s="18" t="s">
        <v>146</v>
      </c>
      <c r="K737" s="29">
        <f t="shared" si="2"/>
        <v>50</v>
      </c>
    </row>
    <row r="738" ht="15.75" customHeight="1">
      <c r="A738" s="18" t="s">
        <v>4617</v>
      </c>
      <c r="B738" s="18">
        <v>1978.0</v>
      </c>
      <c r="C738" s="18" t="s">
        <v>272</v>
      </c>
      <c r="D738" s="18">
        <v>19.0</v>
      </c>
      <c r="E738" s="18" t="str">
        <f t="shared" si="1"/>
        <v>19/09/78</v>
      </c>
      <c r="F738" s="18">
        <v>2.0</v>
      </c>
      <c r="G738" s="27">
        <v>6236.95</v>
      </c>
      <c r="H738" s="18" t="s">
        <v>140</v>
      </c>
      <c r="I738" s="18" t="s">
        <v>140</v>
      </c>
      <c r="J738" s="18" t="s">
        <v>146</v>
      </c>
      <c r="K738" s="29">
        <f t="shared" si="2"/>
        <v>44</v>
      </c>
    </row>
    <row r="739" ht="15.75" customHeight="1">
      <c r="A739" s="18" t="s">
        <v>4621</v>
      </c>
      <c r="B739" s="18">
        <v>1983.0</v>
      </c>
      <c r="C739" s="18" t="s">
        <v>501</v>
      </c>
      <c r="D739" s="18">
        <v>11.0</v>
      </c>
      <c r="E739" s="18" t="str">
        <f t="shared" si="1"/>
        <v>11/08/83</v>
      </c>
      <c r="F739" s="18">
        <v>1.0</v>
      </c>
      <c r="G739" s="27">
        <v>6238.3</v>
      </c>
      <c r="H739" s="18" t="s">
        <v>140</v>
      </c>
      <c r="I739" s="18" t="s">
        <v>219</v>
      </c>
      <c r="J739" s="18" t="s">
        <v>570</v>
      </c>
      <c r="K739" s="29">
        <f t="shared" si="2"/>
        <v>39</v>
      </c>
    </row>
    <row r="740" ht="15.75" customHeight="1">
      <c r="A740" s="18" t="s">
        <v>4624</v>
      </c>
      <c r="B740" s="18">
        <v>1979.0</v>
      </c>
      <c r="C740" s="18" t="s">
        <v>517</v>
      </c>
      <c r="D740" s="18">
        <v>10.0</v>
      </c>
      <c r="E740" s="18" t="str">
        <f t="shared" si="1"/>
        <v>10/10/79</v>
      </c>
      <c r="F740" s="18">
        <v>0.0</v>
      </c>
      <c r="G740" s="27">
        <v>6250.44</v>
      </c>
      <c r="H740" s="18" t="s">
        <v>140</v>
      </c>
      <c r="I740" s="18" t="s">
        <v>219</v>
      </c>
      <c r="J740" s="18" t="s">
        <v>570</v>
      </c>
      <c r="K740" s="29">
        <f t="shared" si="2"/>
        <v>43</v>
      </c>
    </row>
    <row r="741" ht="15.75" customHeight="1">
      <c r="A741" s="18" t="s">
        <v>4626</v>
      </c>
      <c r="B741" s="18">
        <v>1972.0</v>
      </c>
      <c r="C741" s="18" t="s">
        <v>209</v>
      </c>
      <c r="D741" s="18">
        <v>11.0</v>
      </c>
      <c r="E741" s="18" t="str">
        <f t="shared" si="1"/>
        <v>11/11/72</v>
      </c>
      <c r="F741" s="18">
        <v>0.0</v>
      </c>
      <c r="G741" s="27">
        <v>6253.85</v>
      </c>
      <c r="H741" s="18" t="s">
        <v>140</v>
      </c>
      <c r="I741" s="18" t="s">
        <v>140</v>
      </c>
      <c r="J741" s="18" t="s">
        <v>146</v>
      </c>
      <c r="K741" s="29">
        <f t="shared" si="2"/>
        <v>50</v>
      </c>
    </row>
    <row r="742" ht="15.75" customHeight="1">
      <c r="A742" s="18" t="s">
        <v>4627</v>
      </c>
      <c r="B742" s="18">
        <v>1972.0</v>
      </c>
      <c r="C742" s="18" t="s">
        <v>272</v>
      </c>
      <c r="D742" s="18">
        <v>8.0</v>
      </c>
      <c r="E742" s="18" t="str">
        <f t="shared" si="1"/>
        <v>08/09/72</v>
      </c>
      <c r="F742" s="18">
        <v>0.0</v>
      </c>
      <c r="G742" s="27">
        <v>6254.13</v>
      </c>
      <c r="H742" s="18" t="s">
        <v>140</v>
      </c>
      <c r="I742" s="18" t="s">
        <v>140</v>
      </c>
      <c r="J742" s="18" t="s">
        <v>325</v>
      </c>
      <c r="K742" s="29">
        <f t="shared" si="2"/>
        <v>50</v>
      </c>
    </row>
    <row r="743" ht="15.75" customHeight="1">
      <c r="A743" s="18" t="s">
        <v>4628</v>
      </c>
      <c r="B743" s="18">
        <v>1970.0</v>
      </c>
      <c r="C743" s="18" t="s">
        <v>517</v>
      </c>
      <c r="D743" s="18">
        <v>11.0</v>
      </c>
      <c r="E743" s="18" t="str">
        <f t="shared" si="1"/>
        <v>11/10/70</v>
      </c>
      <c r="F743" s="18">
        <v>0.0</v>
      </c>
      <c r="G743" s="27">
        <v>6255.38</v>
      </c>
      <c r="H743" s="18" t="s">
        <v>140</v>
      </c>
      <c r="I743" s="18" t="s">
        <v>140</v>
      </c>
      <c r="J743" s="18" t="s">
        <v>146</v>
      </c>
      <c r="K743" s="29">
        <f t="shared" si="2"/>
        <v>52</v>
      </c>
    </row>
    <row r="744" ht="15.75" customHeight="1">
      <c r="A744" s="18" t="s">
        <v>4629</v>
      </c>
      <c r="B744" s="18">
        <v>1995.0</v>
      </c>
      <c r="C744" s="18" t="s">
        <v>517</v>
      </c>
      <c r="D744" s="18">
        <v>17.0</v>
      </c>
      <c r="E744" s="18" t="str">
        <f t="shared" si="1"/>
        <v>17/10/95</v>
      </c>
      <c r="F744" s="18">
        <v>0.0</v>
      </c>
      <c r="G744" s="27">
        <v>6261.2</v>
      </c>
      <c r="H744" s="18" t="s">
        <v>140</v>
      </c>
      <c r="I744" s="18" t="s">
        <v>219</v>
      </c>
      <c r="J744" s="18" t="s">
        <v>3559</v>
      </c>
      <c r="K744" s="29">
        <f t="shared" si="2"/>
        <v>27</v>
      </c>
    </row>
    <row r="745" ht="15.75" customHeight="1">
      <c r="A745" s="18" t="s">
        <v>4630</v>
      </c>
      <c r="B745" s="18">
        <v>1984.0</v>
      </c>
      <c r="C745" s="18" t="s">
        <v>272</v>
      </c>
      <c r="D745" s="18">
        <v>25.0</v>
      </c>
      <c r="E745" s="18" t="str">
        <f t="shared" si="1"/>
        <v>25/09/84</v>
      </c>
      <c r="F745" s="18">
        <v>3.0</v>
      </c>
      <c r="G745" s="27">
        <v>6269.33</v>
      </c>
      <c r="H745" s="18" t="s">
        <v>140</v>
      </c>
      <c r="I745" s="18" t="s">
        <v>219</v>
      </c>
      <c r="J745" s="18" t="s">
        <v>146</v>
      </c>
      <c r="K745" s="29">
        <f t="shared" si="2"/>
        <v>38</v>
      </c>
    </row>
    <row r="746" ht="15.75" customHeight="1">
      <c r="A746" s="18" t="s">
        <v>4631</v>
      </c>
      <c r="B746" s="18">
        <v>1981.0</v>
      </c>
      <c r="C746" s="18" t="s">
        <v>241</v>
      </c>
      <c r="D746" s="18">
        <v>30.0</v>
      </c>
      <c r="E746" s="18" t="str">
        <f t="shared" si="1"/>
        <v>30/06/81</v>
      </c>
      <c r="F746" s="18">
        <v>1.0</v>
      </c>
      <c r="G746" s="27">
        <v>6272.48</v>
      </c>
      <c r="H746" s="18" t="s">
        <v>219</v>
      </c>
      <c r="I746" s="18" t="s">
        <v>142</v>
      </c>
      <c r="J746" s="18" t="s">
        <v>146</v>
      </c>
      <c r="K746" s="29">
        <f t="shared" si="2"/>
        <v>41</v>
      </c>
    </row>
    <row r="747" ht="15.75" customHeight="1">
      <c r="A747" s="18" t="s">
        <v>4634</v>
      </c>
      <c r="B747" s="18">
        <v>1993.0</v>
      </c>
      <c r="C747" s="18" t="s">
        <v>517</v>
      </c>
      <c r="D747" s="18">
        <v>16.0</v>
      </c>
      <c r="E747" s="18" t="str">
        <f t="shared" si="1"/>
        <v>16/10/93</v>
      </c>
      <c r="F747" s="18">
        <v>0.0</v>
      </c>
      <c r="G747" s="27">
        <v>6276.3</v>
      </c>
      <c r="H747" s="18" t="s">
        <v>140</v>
      </c>
      <c r="I747" s="18" t="s">
        <v>219</v>
      </c>
      <c r="J747" s="18" t="s">
        <v>1647</v>
      </c>
      <c r="K747" s="29">
        <f t="shared" si="2"/>
        <v>29</v>
      </c>
    </row>
    <row r="748" ht="15.75" customHeight="1">
      <c r="A748" s="18" t="s">
        <v>4638</v>
      </c>
      <c r="B748" s="18">
        <v>1981.0</v>
      </c>
      <c r="C748" s="18" t="s">
        <v>209</v>
      </c>
      <c r="D748" s="18">
        <v>24.0</v>
      </c>
      <c r="E748" s="18" t="str">
        <f t="shared" si="1"/>
        <v>24/11/81</v>
      </c>
      <c r="F748" s="18">
        <v>1.0</v>
      </c>
      <c r="G748" s="27">
        <v>6282.24</v>
      </c>
      <c r="H748" s="18" t="s">
        <v>140</v>
      </c>
      <c r="I748" s="18" t="s">
        <v>219</v>
      </c>
      <c r="J748" s="18" t="s">
        <v>570</v>
      </c>
      <c r="K748" s="29">
        <f t="shared" si="2"/>
        <v>41</v>
      </c>
    </row>
    <row r="749" ht="15.75" customHeight="1">
      <c r="A749" s="18" t="s">
        <v>4643</v>
      </c>
      <c r="B749" s="18">
        <v>1981.0</v>
      </c>
      <c r="C749" s="18" t="s">
        <v>501</v>
      </c>
      <c r="D749" s="18">
        <v>26.0</v>
      </c>
      <c r="E749" s="18" t="str">
        <f t="shared" si="1"/>
        <v>26/08/81</v>
      </c>
      <c r="F749" s="18">
        <v>1.0</v>
      </c>
      <c r="G749" s="27">
        <v>6289.75</v>
      </c>
      <c r="H749" s="18" t="s">
        <v>140</v>
      </c>
      <c r="I749" s="18" t="s">
        <v>142</v>
      </c>
      <c r="J749" s="18" t="s">
        <v>146</v>
      </c>
      <c r="K749" s="29">
        <f t="shared" si="2"/>
        <v>41</v>
      </c>
    </row>
    <row r="750" ht="15.75" customHeight="1">
      <c r="A750" s="18" t="s">
        <v>4647</v>
      </c>
      <c r="B750" s="18">
        <v>1996.0</v>
      </c>
      <c r="C750" s="18" t="s">
        <v>91</v>
      </c>
      <c r="D750" s="18">
        <v>4.0</v>
      </c>
      <c r="E750" s="18" t="str">
        <f t="shared" si="1"/>
        <v>04/07/96</v>
      </c>
      <c r="F750" s="18">
        <v>0.0</v>
      </c>
      <c r="G750" s="27">
        <v>6293.63</v>
      </c>
      <c r="H750" s="18" t="s">
        <v>140</v>
      </c>
      <c r="I750" s="18" t="s">
        <v>142</v>
      </c>
      <c r="J750" s="18" t="s">
        <v>2314</v>
      </c>
      <c r="K750" s="29">
        <f t="shared" si="2"/>
        <v>26</v>
      </c>
    </row>
    <row r="751" ht="15.75" customHeight="1">
      <c r="A751" s="18" t="s">
        <v>4652</v>
      </c>
      <c r="B751" s="18">
        <v>1974.0</v>
      </c>
      <c r="C751" s="18" t="s">
        <v>272</v>
      </c>
      <c r="D751" s="18">
        <v>17.0</v>
      </c>
      <c r="E751" s="18" t="str">
        <f t="shared" si="1"/>
        <v>17/09/74</v>
      </c>
      <c r="F751" s="18">
        <v>0.0</v>
      </c>
      <c r="G751" s="27">
        <v>6302.23</v>
      </c>
      <c r="H751" s="18" t="s">
        <v>140</v>
      </c>
      <c r="I751" s="18" t="s">
        <v>219</v>
      </c>
      <c r="J751" s="18" t="s">
        <v>146</v>
      </c>
      <c r="K751" s="29">
        <f t="shared" si="2"/>
        <v>48</v>
      </c>
    </row>
    <row r="752" ht="15.75" customHeight="1">
      <c r="A752" s="18" t="s">
        <v>4655</v>
      </c>
      <c r="B752" s="18">
        <v>1969.0</v>
      </c>
      <c r="C752" s="18" t="s">
        <v>272</v>
      </c>
      <c r="D752" s="18">
        <v>4.0</v>
      </c>
      <c r="E752" s="18" t="str">
        <f t="shared" si="1"/>
        <v>04/09/69</v>
      </c>
      <c r="F752" s="18">
        <v>0.0</v>
      </c>
      <c r="G752" s="27">
        <v>6305.61</v>
      </c>
      <c r="H752" s="18" t="s">
        <v>140</v>
      </c>
      <c r="I752" s="18" t="s">
        <v>140</v>
      </c>
      <c r="J752" s="18" t="s">
        <v>325</v>
      </c>
      <c r="K752" s="29">
        <f t="shared" si="2"/>
        <v>53</v>
      </c>
    </row>
    <row r="753" ht="15.75" customHeight="1">
      <c r="A753" s="18" t="s">
        <v>4656</v>
      </c>
      <c r="B753" s="18">
        <v>2004.0</v>
      </c>
      <c r="C753" s="18" t="s">
        <v>91</v>
      </c>
      <c r="D753" s="18">
        <v>27.0</v>
      </c>
      <c r="E753" s="18" t="str">
        <f t="shared" si="1"/>
        <v>27/07/04</v>
      </c>
      <c r="F753" s="18">
        <v>0.0</v>
      </c>
      <c r="G753" s="27">
        <v>6311.11</v>
      </c>
      <c r="H753" s="18" t="s">
        <v>140</v>
      </c>
      <c r="I753" s="18" t="s">
        <v>140</v>
      </c>
      <c r="J753" s="18" t="s">
        <v>570</v>
      </c>
      <c r="K753" s="29">
        <f t="shared" si="2"/>
        <v>18</v>
      </c>
    </row>
    <row r="754" ht="15.75" customHeight="1">
      <c r="A754" s="18" t="s">
        <v>4660</v>
      </c>
      <c r="B754" s="18">
        <v>1985.0</v>
      </c>
      <c r="C754" s="18" t="s">
        <v>209</v>
      </c>
      <c r="D754" s="18">
        <v>19.0</v>
      </c>
      <c r="E754" s="18" t="str">
        <f t="shared" si="1"/>
        <v>19/11/85</v>
      </c>
      <c r="F754" s="18">
        <v>2.0</v>
      </c>
      <c r="G754" s="27">
        <v>6311.95</v>
      </c>
      <c r="H754" s="18" t="s">
        <v>140</v>
      </c>
      <c r="I754" s="18" t="s">
        <v>219</v>
      </c>
      <c r="J754" s="18" t="s">
        <v>570</v>
      </c>
      <c r="K754" s="29">
        <f t="shared" si="2"/>
        <v>37</v>
      </c>
    </row>
    <row r="755" ht="15.75" customHeight="1">
      <c r="A755" s="18" t="s">
        <v>4665</v>
      </c>
      <c r="B755" s="18">
        <v>1985.0</v>
      </c>
      <c r="C755" s="18" t="s">
        <v>457</v>
      </c>
      <c r="D755" s="18">
        <v>15.0</v>
      </c>
      <c r="E755" s="18" t="str">
        <f t="shared" si="1"/>
        <v>15/12/85</v>
      </c>
      <c r="F755" s="18">
        <v>2.0</v>
      </c>
      <c r="G755" s="27">
        <v>6313.76</v>
      </c>
      <c r="H755" s="18" t="s">
        <v>140</v>
      </c>
      <c r="I755" s="18" t="s">
        <v>219</v>
      </c>
      <c r="J755" s="18" t="s">
        <v>146</v>
      </c>
      <c r="K755" s="29">
        <f t="shared" si="2"/>
        <v>37</v>
      </c>
    </row>
    <row r="756" ht="15.75" customHeight="1">
      <c r="A756" s="18" t="s">
        <v>4668</v>
      </c>
      <c r="B756" s="18">
        <v>1990.0</v>
      </c>
      <c r="C756" s="18" t="s">
        <v>501</v>
      </c>
      <c r="D756" s="18">
        <v>13.0</v>
      </c>
      <c r="E756" s="18" t="str">
        <f t="shared" si="1"/>
        <v>13/08/90</v>
      </c>
      <c r="F756" s="18">
        <v>3.0</v>
      </c>
      <c r="G756" s="27">
        <v>6334.34</v>
      </c>
      <c r="H756" s="18" t="s">
        <v>140</v>
      </c>
      <c r="I756" s="18" t="s">
        <v>140</v>
      </c>
      <c r="J756" s="18" t="s">
        <v>2024</v>
      </c>
      <c r="K756" s="29">
        <f t="shared" si="2"/>
        <v>32</v>
      </c>
    </row>
    <row r="757" ht="15.75" customHeight="1">
      <c r="A757" s="18" t="s">
        <v>4672</v>
      </c>
      <c r="B757" s="18">
        <v>1986.0</v>
      </c>
      <c r="C757" s="18" t="s">
        <v>272</v>
      </c>
      <c r="D757" s="18">
        <v>25.0</v>
      </c>
      <c r="E757" s="18" t="str">
        <f t="shared" si="1"/>
        <v>25/09/86</v>
      </c>
      <c r="F757" s="18">
        <v>3.0</v>
      </c>
      <c r="G757" s="27">
        <v>6335.64</v>
      </c>
      <c r="H757" s="18" t="s">
        <v>140</v>
      </c>
      <c r="I757" s="18" t="s">
        <v>140</v>
      </c>
      <c r="J757" s="18" t="s">
        <v>146</v>
      </c>
      <c r="K757" s="29">
        <f t="shared" si="2"/>
        <v>36</v>
      </c>
    </row>
    <row r="758" ht="15.75" customHeight="1">
      <c r="A758" s="18" t="s">
        <v>4677</v>
      </c>
      <c r="B758" s="18">
        <v>1983.0</v>
      </c>
      <c r="C758" s="18" t="s">
        <v>517</v>
      </c>
      <c r="D758" s="18">
        <v>21.0</v>
      </c>
      <c r="E758" s="18" t="str">
        <f t="shared" si="1"/>
        <v>21/10/83</v>
      </c>
      <c r="F758" s="18">
        <v>2.0</v>
      </c>
      <c r="G758" s="27">
        <v>6338.08</v>
      </c>
      <c r="H758" s="18" t="s">
        <v>140</v>
      </c>
      <c r="I758" s="18" t="s">
        <v>219</v>
      </c>
      <c r="J758" s="18" t="s">
        <v>146</v>
      </c>
      <c r="K758" s="29">
        <f t="shared" si="2"/>
        <v>39</v>
      </c>
    </row>
    <row r="759" ht="15.75" customHeight="1">
      <c r="A759" s="18" t="s">
        <v>4680</v>
      </c>
      <c r="B759" s="18">
        <v>1983.0</v>
      </c>
      <c r="C759" s="18" t="s">
        <v>501</v>
      </c>
      <c r="D759" s="18">
        <v>19.0</v>
      </c>
      <c r="E759" s="18" t="str">
        <f t="shared" si="1"/>
        <v>19/08/83</v>
      </c>
      <c r="F759" s="18">
        <v>2.0</v>
      </c>
      <c r="G759" s="27">
        <v>6356.27</v>
      </c>
      <c r="H759" s="18" t="s">
        <v>142</v>
      </c>
      <c r="I759" s="18" t="s">
        <v>140</v>
      </c>
      <c r="J759" s="18" t="s">
        <v>146</v>
      </c>
      <c r="K759" s="29">
        <f t="shared" si="2"/>
        <v>39</v>
      </c>
    </row>
    <row r="760" ht="15.75" customHeight="1">
      <c r="A760" s="18" t="s">
        <v>4682</v>
      </c>
      <c r="B760" s="18">
        <v>1980.0</v>
      </c>
      <c r="C760" s="18" t="s">
        <v>517</v>
      </c>
      <c r="D760" s="18">
        <v>30.0</v>
      </c>
      <c r="E760" s="18" t="str">
        <f t="shared" si="1"/>
        <v>30/10/80</v>
      </c>
      <c r="F760" s="18">
        <v>0.0</v>
      </c>
      <c r="G760" s="27">
        <v>6358.78</v>
      </c>
      <c r="H760" s="18" t="s">
        <v>140</v>
      </c>
      <c r="I760" s="18" t="s">
        <v>219</v>
      </c>
      <c r="J760" s="18" t="s">
        <v>325</v>
      </c>
      <c r="K760" s="29">
        <f t="shared" si="2"/>
        <v>42</v>
      </c>
    </row>
    <row r="761" ht="15.75" customHeight="1">
      <c r="A761" s="18" t="s">
        <v>4686</v>
      </c>
      <c r="B761" s="18">
        <v>1989.0</v>
      </c>
      <c r="C761" s="18" t="s">
        <v>241</v>
      </c>
      <c r="D761" s="18">
        <v>24.0</v>
      </c>
      <c r="E761" s="18" t="str">
        <f t="shared" si="1"/>
        <v>24/06/89</v>
      </c>
      <c r="F761" s="18">
        <v>3.0</v>
      </c>
      <c r="G761" s="27">
        <v>6360.99</v>
      </c>
      <c r="H761" s="18" t="s">
        <v>140</v>
      </c>
      <c r="I761" s="18" t="s">
        <v>140</v>
      </c>
      <c r="J761" s="18" t="s">
        <v>325</v>
      </c>
      <c r="K761" s="29">
        <f t="shared" si="2"/>
        <v>33</v>
      </c>
    </row>
    <row r="762" ht="15.75" customHeight="1">
      <c r="A762" s="18" t="s">
        <v>4689</v>
      </c>
      <c r="B762" s="18">
        <v>1996.0</v>
      </c>
      <c r="C762" s="18" t="s">
        <v>91</v>
      </c>
      <c r="D762" s="18">
        <v>7.0</v>
      </c>
      <c r="E762" s="18" t="str">
        <f t="shared" si="1"/>
        <v>07/07/96</v>
      </c>
      <c r="F762" s="18">
        <v>0.0</v>
      </c>
      <c r="G762" s="27">
        <v>6361.47</v>
      </c>
      <c r="H762" s="18" t="s">
        <v>140</v>
      </c>
      <c r="I762" s="18" t="s">
        <v>142</v>
      </c>
      <c r="J762" s="18" t="s">
        <v>2314</v>
      </c>
      <c r="K762" s="29">
        <f t="shared" si="2"/>
        <v>26</v>
      </c>
    </row>
    <row r="763" ht="15.75" customHeight="1">
      <c r="A763" s="18" t="s">
        <v>4693</v>
      </c>
      <c r="B763" s="18">
        <v>1970.0</v>
      </c>
      <c r="C763" s="18" t="s">
        <v>209</v>
      </c>
      <c r="D763" s="18">
        <v>9.0</v>
      </c>
      <c r="E763" s="18" t="str">
        <f t="shared" si="1"/>
        <v>09/11/70</v>
      </c>
      <c r="F763" s="18">
        <v>0.0</v>
      </c>
      <c r="G763" s="27">
        <v>6367.31</v>
      </c>
      <c r="H763" s="18" t="s">
        <v>140</v>
      </c>
      <c r="I763" s="18" t="s">
        <v>219</v>
      </c>
      <c r="J763" s="18" t="s">
        <v>146</v>
      </c>
      <c r="K763" s="29">
        <f t="shared" si="2"/>
        <v>52</v>
      </c>
    </row>
    <row r="764" ht="15.75" customHeight="1">
      <c r="A764" s="18" t="s">
        <v>4697</v>
      </c>
      <c r="B764" s="18">
        <v>1984.0</v>
      </c>
      <c r="C764" s="18" t="s">
        <v>501</v>
      </c>
      <c r="D764" s="18">
        <v>13.0</v>
      </c>
      <c r="E764" s="18" t="str">
        <f t="shared" si="1"/>
        <v>13/08/84</v>
      </c>
      <c r="F764" s="18">
        <v>1.0</v>
      </c>
      <c r="G764" s="27">
        <v>6373.56</v>
      </c>
      <c r="H764" s="18" t="s">
        <v>140</v>
      </c>
      <c r="I764" s="18" t="s">
        <v>219</v>
      </c>
      <c r="J764" s="18" t="s">
        <v>325</v>
      </c>
      <c r="K764" s="29">
        <f t="shared" si="2"/>
        <v>38</v>
      </c>
    </row>
    <row r="765" ht="15.75" customHeight="1">
      <c r="A765" s="18" t="s">
        <v>4702</v>
      </c>
      <c r="B765" s="18">
        <v>1976.0</v>
      </c>
      <c r="C765" s="18" t="s">
        <v>209</v>
      </c>
      <c r="D765" s="18">
        <v>18.0</v>
      </c>
      <c r="E765" s="18" t="str">
        <f t="shared" si="1"/>
        <v>18/11/76</v>
      </c>
      <c r="F765" s="18">
        <v>2.0</v>
      </c>
      <c r="G765" s="27">
        <v>6374.16</v>
      </c>
      <c r="H765" s="18" t="s">
        <v>140</v>
      </c>
      <c r="I765" s="18" t="s">
        <v>140</v>
      </c>
      <c r="J765" s="18" t="s">
        <v>146</v>
      </c>
      <c r="K765" s="29">
        <f t="shared" si="2"/>
        <v>46</v>
      </c>
    </row>
    <row r="766" ht="15.75" customHeight="1">
      <c r="A766" s="18" t="s">
        <v>4705</v>
      </c>
      <c r="B766" s="18">
        <v>1982.0</v>
      </c>
      <c r="C766" s="18" t="s">
        <v>501</v>
      </c>
      <c r="D766" s="18">
        <v>6.0</v>
      </c>
      <c r="E766" s="18" t="str">
        <f t="shared" si="1"/>
        <v>06/08/82</v>
      </c>
      <c r="F766" s="18">
        <v>1.0</v>
      </c>
      <c r="G766" s="27">
        <v>6389.38</v>
      </c>
      <c r="H766" s="18" t="s">
        <v>219</v>
      </c>
      <c r="I766" s="18" t="s">
        <v>140</v>
      </c>
      <c r="J766" s="18" t="s">
        <v>325</v>
      </c>
      <c r="K766" s="29">
        <f t="shared" si="2"/>
        <v>40</v>
      </c>
    </row>
    <row r="767" ht="15.75" customHeight="1">
      <c r="A767" s="18" t="s">
        <v>4708</v>
      </c>
      <c r="B767" s="18">
        <v>1997.0</v>
      </c>
      <c r="C767" s="18" t="s">
        <v>501</v>
      </c>
      <c r="D767" s="18">
        <v>16.0</v>
      </c>
      <c r="E767" s="18" t="str">
        <f t="shared" si="1"/>
        <v>16/08/97</v>
      </c>
      <c r="F767" s="18">
        <v>0.0</v>
      </c>
      <c r="G767" s="27">
        <v>6389.53</v>
      </c>
      <c r="H767" s="18" t="s">
        <v>140</v>
      </c>
      <c r="I767" s="18" t="s">
        <v>140</v>
      </c>
      <c r="J767" s="18" t="s">
        <v>2314</v>
      </c>
      <c r="K767" s="29">
        <f t="shared" si="2"/>
        <v>25</v>
      </c>
    </row>
    <row r="768" ht="15.75" customHeight="1">
      <c r="A768" s="18" t="s">
        <v>4713</v>
      </c>
      <c r="B768" s="18">
        <v>1982.0</v>
      </c>
      <c r="C768" s="18" t="s">
        <v>517</v>
      </c>
      <c r="D768" s="18">
        <v>28.0</v>
      </c>
      <c r="E768" s="18" t="str">
        <f t="shared" si="1"/>
        <v>28/10/82</v>
      </c>
      <c r="F768" s="18">
        <v>1.0</v>
      </c>
      <c r="G768" s="27">
        <v>6393.6</v>
      </c>
      <c r="H768" s="18" t="s">
        <v>140</v>
      </c>
      <c r="I768" s="18" t="s">
        <v>219</v>
      </c>
      <c r="J768" s="18" t="s">
        <v>325</v>
      </c>
      <c r="K768" s="29">
        <f t="shared" si="2"/>
        <v>40</v>
      </c>
    </row>
    <row r="769" ht="15.75" customHeight="1">
      <c r="A769" s="18" t="s">
        <v>4718</v>
      </c>
      <c r="B769" s="18">
        <v>1987.0</v>
      </c>
      <c r="C769" s="18" t="s">
        <v>272</v>
      </c>
      <c r="D769" s="18">
        <v>9.0</v>
      </c>
      <c r="E769" s="18" t="str">
        <f t="shared" si="1"/>
        <v>09/09/87</v>
      </c>
      <c r="F769" s="18">
        <v>2.0</v>
      </c>
      <c r="G769" s="27">
        <v>6402.29</v>
      </c>
      <c r="H769" s="18" t="s">
        <v>140</v>
      </c>
      <c r="I769" s="18" t="s">
        <v>142</v>
      </c>
      <c r="J769" s="18" t="s">
        <v>2024</v>
      </c>
      <c r="K769" s="29">
        <f t="shared" si="2"/>
        <v>35</v>
      </c>
    </row>
    <row r="770" ht="15.75" customHeight="1">
      <c r="A770" s="18" t="s">
        <v>4724</v>
      </c>
      <c r="B770" s="18">
        <v>1985.0</v>
      </c>
      <c r="C770" s="18" t="s">
        <v>457</v>
      </c>
      <c r="D770" s="18">
        <v>10.0</v>
      </c>
      <c r="E770" s="18" t="str">
        <f t="shared" si="1"/>
        <v>10/12/85</v>
      </c>
      <c r="F770" s="18">
        <v>2.0</v>
      </c>
      <c r="G770" s="27">
        <v>6406.41</v>
      </c>
      <c r="H770" s="18" t="s">
        <v>219</v>
      </c>
      <c r="I770" s="18" t="s">
        <v>142</v>
      </c>
      <c r="J770" s="18" t="s">
        <v>2191</v>
      </c>
      <c r="K770" s="29">
        <f t="shared" si="2"/>
        <v>37</v>
      </c>
    </row>
    <row r="771" ht="15.75" customHeight="1">
      <c r="A771" s="18" t="s">
        <v>4730</v>
      </c>
      <c r="B771" s="18">
        <v>1970.0</v>
      </c>
      <c r="C771" s="18" t="s">
        <v>501</v>
      </c>
      <c r="D771" s="18">
        <v>20.0</v>
      </c>
      <c r="E771" s="18" t="str">
        <f t="shared" si="1"/>
        <v>20/08/70</v>
      </c>
      <c r="F771" s="18">
        <v>0.0</v>
      </c>
      <c r="G771" s="27">
        <v>6407.05</v>
      </c>
      <c r="H771" s="18" t="s">
        <v>140</v>
      </c>
      <c r="I771" s="18" t="s">
        <v>219</v>
      </c>
      <c r="J771" s="18" t="s">
        <v>146</v>
      </c>
      <c r="K771" s="29">
        <f t="shared" si="2"/>
        <v>52</v>
      </c>
    </row>
    <row r="772" ht="15.75" customHeight="1">
      <c r="A772" s="18" t="s">
        <v>4734</v>
      </c>
      <c r="B772" s="18">
        <v>1971.0</v>
      </c>
      <c r="C772" s="18" t="s">
        <v>501</v>
      </c>
      <c r="D772" s="18">
        <v>22.0</v>
      </c>
      <c r="E772" s="18" t="str">
        <f t="shared" si="1"/>
        <v>22/08/71</v>
      </c>
      <c r="F772" s="18">
        <v>0.0</v>
      </c>
      <c r="G772" s="27">
        <v>6412.34</v>
      </c>
      <c r="H772" s="18" t="s">
        <v>140</v>
      </c>
      <c r="I772" s="18" t="s">
        <v>142</v>
      </c>
      <c r="J772" s="18" t="s">
        <v>146</v>
      </c>
      <c r="K772" s="29">
        <f t="shared" si="2"/>
        <v>51</v>
      </c>
    </row>
    <row r="773" ht="15.75" customHeight="1">
      <c r="A773" s="18" t="s">
        <v>4737</v>
      </c>
      <c r="B773" s="18">
        <v>1987.0</v>
      </c>
      <c r="C773" s="18" t="s">
        <v>272</v>
      </c>
      <c r="D773" s="18">
        <v>4.0</v>
      </c>
      <c r="E773" s="18" t="str">
        <f t="shared" si="1"/>
        <v>04/09/87</v>
      </c>
      <c r="F773" s="18">
        <v>3.0</v>
      </c>
      <c r="G773" s="27">
        <v>6414.18</v>
      </c>
      <c r="H773" s="18" t="s">
        <v>140</v>
      </c>
      <c r="I773" s="18" t="s">
        <v>140</v>
      </c>
      <c r="J773" s="18" t="s">
        <v>570</v>
      </c>
      <c r="K773" s="29">
        <f t="shared" si="2"/>
        <v>35</v>
      </c>
    </row>
    <row r="774" ht="15.75" customHeight="1">
      <c r="A774" s="18" t="s">
        <v>4741</v>
      </c>
      <c r="B774" s="18">
        <v>1976.0</v>
      </c>
      <c r="C774" s="18" t="s">
        <v>457</v>
      </c>
      <c r="D774" s="18">
        <v>30.0</v>
      </c>
      <c r="E774" s="18" t="str">
        <f t="shared" si="1"/>
        <v>30/12/76</v>
      </c>
      <c r="F774" s="18">
        <v>2.0</v>
      </c>
      <c r="G774" s="27">
        <v>6417.28</v>
      </c>
      <c r="H774" s="18" t="s">
        <v>140</v>
      </c>
      <c r="I774" s="18" t="s">
        <v>142</v>
      </c>
      <c r="J774" s="18" t="s">
        <v>146</v>
      </c>
      <c r="K774" s="29">
        <f t="shared" si="2"/>
        <v>46</v>
      </c>
    </row>
    <row r="775" ht="15.75" customHeight="1">
      <c r="A775" s="18" t="s">
        <v>4746</v>
      </c>
      <c r="B775" s="18">
        <v>1975.0</v>
      </c>
      <c r="C775" s="18" t="s">
        <v>501</v>
      </c>
      <c r="D775" s="18">
        <v>5.0</v>
      </c>
      <c r="E775" s="18" t="str">
        <f t="shared" si="1"/>
        <v>05/08/75</v>
      </c>
      <c r="F775" s="18">
        <v>1.0</v>
      </c>
      <c r="G775" s="27">
        <v>6423.48</v>
      </c>
      <c r="H775" s="18" t="s">
        <v>140</v>
      </c>
      <c r="I775" s="18" t="s">
        <v>142</v>
      </c>
      <c r="J775" s="18" t="s">
        <v>146</v>
      </c>
      <c r="K775" s="29">
        <f t="shared" si="2"/>
        <v>47</v>
      </c>
    </row>
    <row r="776" ht="15.75" customHeight="1">
      <c r="A776" s="18" t="s">
        <v>4749</v>
      </c>
      <c r="B776" s="18">
        <v>1985.0</v>
      </c>
      <c r="C776" s="18" t="s">
        <v>91</v>
      </c>
      <c r="D776" s="18">
        <v>22.0</v>
      </c>
      <c r="E776" s="18" t="str">
        <f t="shared" si="1"/>
        <v>22/07/85</v>
      </c>
      <c r="F776" s="18">
        <v>3.0</v>
      </c>
      <c r="G776" s="27">
        <v>6435.62</v>
      </c>
      <c r="H776" s="18" t="s">
        <v>142</v>
      </c>
      <c r="I776" s="18" t="s">
        <v>140</v>
      </c>
      <c r="J776" s="18" t="s">
        <v>146</v>
      </c>
      <c r="K776" s="29">
        <f t="shared" si="2"/>
        <v>37</v>
      </c>
    </row>
    <row r="777" ht="15.75" customHeight="1">
      <c r="A777" s="18" t="s">
        <v>4752</v>
      </c>
      <c r="B777" s="18">
        <v>1984.0</v>
      </c>
      <c r="C777" s="18" t="s">
        <v>501</v>
      </c>
      <c r="D777" s="18">
        <v>26.0</v>
      </c>
      <c r="E777" s="18" t="str">
        <f t="shared" si="1"/>
        <v>26/08/84</v>
      </c>
      <c r="F777" s="18">
        <v>2.0</v>
      </c>
      <c r="G777" s="27">
        <v>6455.86</v>
      </c>
      <c r="H777" s="18" t="s">
        <v>142</v>
      </c>
      <c r="I777" s="18" t="s">
        <v>142</v>
      </c>
      <c r="J777" s="18" t="s">
        <v>325</v>
      </c>
      <c r="K777" s="29">
        <f t="shared" si="2"/>
        <v>38</v>
      </c>
    </row>
    <row r="778" ht="15.75" customHeight="1">
      <c r="A778" s="18" t="s">
        <v>4757</v>
      </c>
      <c r="B778" s="18">
        <v>1984.0</v>
      </c>
      <c r="C778" s="18" t="s">
        <v>209</v>
      </c>
      <c r="D778" s="18">
        <v>1.0</v>
      </c>
      <c r="E778" s="18" t="str">
        <f t="shared" si="1"/>
        <v>01/11/84</v>
      </c>
      <c r="F778" s="18">
        <v>2.0</v>
      </c>
      <c r="G778" s="27">
        <v>6457.84</v>
      </c>
      <c r="H778" s="18" t="s">
        <v>140</v>
      </c>
      <c r="I778" s="18" t="s">
        <v>142</v>
      </c>
      <c r="J778" s="18" t="s">
        <v>325</v>
      </c>
      <c r="K778" s="29">
        <f t="shared" si="2"/>
        <v>38</v>
      </c>
    </row>
    <row r="779" ht="15.75" customHeight="1">
      <c r="A779" s="18" t="s">
        <v>4761</v>
      </c>
      <c r="B779" s="18">
        <v>1981.0</v>
      </c>
      <c r="C779" s="18" t="s">
        <v>91</v>
      </c>
      <c r="D779" s="18">
        <v>27.0</v>
      </c>
      <c r="E779" s="18" t="str">
        <f t="shared" si="1"/>
        <v>27/07/81</v>
      </c>
      <c r="F779" s="18">
        <v>1.0</v>
      </c>
      <c r="G779" s="27">
        <v>6473.15</v>
      </c>
      <c r="H779" s="18" t="s">
        <v>140</v>
      </c>
      <c r="I779" s="18" t="s">
        <v>140</v>
      </c>
      <c r="J779" s="18" t="s">
        <v>146</v>
      </c>
      <c r="K779" s="29">
        <f t="shared" si="2"/>
        <v>41</v>
      </c>
    </row>
    <row r="780" ht="15.75" customHeight="1">
      <c r="A780" s="18" t="s">
        <v>4764</v>
      </c>
      <c r="B780" s="18">
        <v>1980.0</v>
      </c>
      <c r="C780" s="18" t="s">
        <v>241</v>
      </c>
      <c r="D780" s="18">
        <v>8.0</v>
      </c>
      <c r="E780" s="18" t="str">
        <f t="shared" si="1"/>
        <v>08/06/80</v>
      </c>
      <c r="F780" s="18">
        <v>0.0</v>
      </c>
      <c r="G780" s="27">
        <v>6474.01</v>
      </c>
      <c r="H780" s="18" t="s">
        <v>140</v>
      </c>
      <c r="I780" s="18" t="s">
        <v>142</v>
      </c>
      <c r="J780" s="18" t="s">
        <v>570</v>
      </c>
      <c r="K780" s="29">
        <f t="shared" si="2"/>
        <v>43</v>
      </c>
    </row>
    <row r="781" ht="15.75" customHeight="1">
      <c r="A781" s="18" t="s">
        <v>4768</v>
      </c>
      <c r="B781" s="18">
        <v>1970.0</v>
      </c>
      <c r="C781" s="18" t="s">
        <v>457</v>
      </c>
      <c r="D781" s="18">
        <v>1.0</v>
      </c>
      <c r="E781" s="18" t="str">
        <f t="shared" si="1"/>
        <v>01/12/70</v>
      </c>
      <c r="F781" s="18">
        <v>0.0</v>
      </c>
      <c r="G781" s="27">
        <v>6481.67</v>
      </c>
      <c r="H781" s="18" t="s">
        <v>140</v>
      </c>
      <c r="I781" s="18" t="s">
        <v>140</v>
      </c>
      <c r="J781" s="18" t="s">
        <v>146</v>
      </c>
      <c r="K781" s="29">
        <f t="shared" si="2"/>
        <v>52</v>
      </c>
    </row>
    <row r="782" ht="15.75" customHeight="1">
      <c r="A782" s="18" t="s">
        <v>4771</v>
      </c>
      <c r="B782" s="18">
        <v>1982.0</v>
      </c>
      <c r="C782" s="18" t="s">
        <v>517</v>
      </c>
      <c r="D782" s="18">
        <v>9.0</v>
      </c>
      <c r="E782" s="18" t="str">
        <f t="shared" si="1"/>
        <v>09/10/82</v>
      </c>
      <c r="F782" s="18">
        <v>1.0</v>
      </c>
      <c r="G782" s="27">
        <v>6496.89</v>
      </c>
      <c r="H782" s="18" t="s">
        <v>140</v>
      </c>
      <c r="I782" s="18" t="s">
        <v>142</v>
      </c>
      <c r="J782" s="18" t="s">
        <v>570</v>
      </c>
      <c r="K782" s="29">
        <f t="shared" si="2"/>
        <v>40</v>
      </c>
    </row>
    <row r="783" ht="15.75" customHeight="1">
      <c r="A783" s="18" t="s">
        <v>4774</v>
      </c>
      <c r="B783" s="18">
        <v>1982.0</v>
      </c>
      <c r="C783" s="18" t="s">
        <v>501</v>
      </c>
      <c r="D783" s="18">
        <v>28.0</v>
      </c>
      <c r="E783" s="18" t="str">
        <f t="shared" si="1"/>
        <v>28/08/82</v>
      </c>
      <c r="F783" s="18">
        <v>1.0</v>
      </c>
      <c r="G783" s="27">
        <v>6500.24</v>
      </c>
      <c r="H783" s="18" t="s">
        <v>140</v>
      </c>
      <c r="I783" s="18" t="s">
        <v>140</v>
      </c>
      <c r="J783" s="18" t="s">
        <v>146</v>
      </c>
      <c r="K783" s="29">
        <f t="shared" si="2"/>
        <v>40</v>
      </c>
    </row>
    <row r="784" ht="15.75" customHeight="1">
      <c r="A784" s="18" t="s">
        <v>4779</v>
      </c>
      <c r="B784" s="18">
        <v>1994.0</v>
      </c>
      <c r="C784" s="18" t="s">
        <v>91</v>
      </c>
      <c r="D784" s="18">
        <v>7.0</v>
      </c>
      <c r="E784" s="18" t="str">
        <f t="shared" si="1"/>
        <v>07/07/94</v>
      </c>
      <c r="F784" s="18">
        <v>0.0</v>
      </c>
      <c r="G784" s="27">
        <v>6512.24</v>
      </c>
      <c r="H784" s="18" t="s">
        <v>140</v>
      </c>
      <c r="I784" s="18" t="s">
        <v>219</v>
      </c>
      <c r="J784" s="18" t="s">
        <v>2314</v>
      </c>
      <c r="K784" s="29">
        <f t="shared" si="2"/>
        <v>28</v>
      </c>
    </row>
    <row r="785" ht="15.75" customHeight="1">
      <c r="A785" s="18" t="s">
        <v>4783</v>
      </c>
      <c r="B785" s="18">
        <v>1976.0</v>
      </c>
      <c r="C785" s="18" t="s">
        <v>517</v>
      </c>
      <c r="D785" s="18">
        <v>23.0</v>
      </c>
      <c r="E785" s="18" t="str">
        <f t="shared" si="1"/>
        <v>23/10/76</v>
      </c>
      <c r="F785" s="18">
        <v>2.0</v>
      </c>
      <c r="G785" s="27">
        <v>6529.21</v>
      </c>
      <c r="H785" s="18" t="s">
        <v>140</v>
      </c>
      <c r="I785" s="18" t="s">
        <v>219</v>
      </c>
      <c r="J785" s="18" t="s">
        <v>146</v>
      </c>
      <c r="K785" s="29">
        <f t="shared" si="2"/>
        <v>46</v>
      </c>
    </row>
    <row r="786" ht="15.75" customHeight="1">
      <c r="A786" s="18" t="s">
        <v>4788</v>
      </c>
      <c r="B786" s="18">
        <v>1982.0</v>
      </c>
      <c r="C786" s="18" t="s">
        <v>501</v>
      </c>
      <c r="D786" s="18">
        <v>12.0</v>
      </c>
      <c r="E786" s="18" t="str">
        <f t="shared" si="1"/>
        <v>12/08/82</v>
      </c>
      <c r="F786" s="18">
        <v>3.0</v>
      </c>
      <c r="G786" s="27">
        <v>6532.04</v>
      </c>
      <c r="H786" s="18" t="s">
        <v>140</v>
      </c>
      <c r="I786" s="18" t="s">
        <v>219</v>
      </c>
      <c r="J786" s="18" t="s">
        <v>146</v>
      </c>
      <c r="K786" s="29">
        <f t="shared" si="2"/>
        <v>40</v>
      </c>
    </row>
    <row r="787" ht="15.75" customHeight="1">
      <c r="A787" s="18" t="s">
        <v>4792</v>
      </c>
      <c r="B787" s="18">
        <v>1982.0</v>
      </c>
      <c r="C787" s="18" t="s">
        <v>517</v>
      </c>
      <c r="D787" s="18">
        <v>2.0</v>
      </c>
      <c r="E787" s="18" t="str">
        <f t="shared" si="1"/>
        <v>02/10/82</v>
      </c>
      <c r="F787" s="18">
        <v>3.0</v>
      </c>
      <c r="G787" s="27">
        <v>6536.68</v>
      </c>
      <c r="H787" s="18" t="s">
        <v>140</v>
      </c>
      <c r="I787" s="18" t="s">
        <v>140</v>
      </c>
      <c r="J787" s="18" t="s">
        <v>325</v>
      </c>
      <c r="K787" s="29">
        <f t="shared" si="2"/>
        <v>40</v>
      </c>
    </row>
    <row r="788" ht="15.75" customHeight="1">
      <c r="A788" s="18" t="s">
        <v>4796</v>
      </c>
      <c r="B788" s="18">
        <v>1969.0</v>
      </c>
      <c r="C788" s="18" t="s">
        <v>457</v>
      </c>
      <c r="D788" s="18">
        <v>3.0</v>
      </c>
      <c r="E788" s="18" t="str">
        <f t="shared" si="1"/>
        <v>03/12/69</v>
      </c>
      <c r="F788" s="18">
        <v>0.0</v>
      </c>
      <c r="G788" s="27">
        <v>6546.16</v>
      </c>
      <c r="H788" s="18" t="s">
        <v>140</v>
      </c>
      <c r="I788" s="18" t="s">
        <v>142</v>
      </c>
      <c r="J788" s="18" t="s">
        <v>146</v>
      </c>
      <c r="K788" s="29">
        <f t="shared" si="2"/>
        <v>53</v>
      </c>
    </row>
    <row r="789" ht="15.75" customHeight="1">
      <c r="A789" s="18" t="s">
        <v>4802</v>
      </c>
      <c r="B789" s="18">
        <v>1986.0</v>
      </c>
      <c r="C789" s="18" t="s">
        <v>457</v>
      </c>
      <c r="D789" s="18">
        <v>18.0</v>
      </c>
      <c r="E789" s="18" t="str">
        <f t="shared" si="1"/>
        <v>18/12/86</v>
      </c>
      <c r="F789" s="18">
        <v>3.0</v>
      </c>
      <c r="G789" s="27">
        <v>6548.2</v>
      </c>
      <c r="H789" s="18" t="s">
        <v>140</v>
      </c>
      <c r="I789" s="18" t="s">
        <v>142</v>
      </c>
      <c r="J789" s="18" t="s">
        <v>325</v>
      </c>
      <c r="K789" s="29">
        <f t="shared" si="2"/>
        <v>36</v>
      </c>
    </row>
    <row r="790" ht="15.75" customHeight="1">
      <c r="A790" s="18" t="s">
        <v>4806</v>
      </c>
      <c r="B790" s="18">
        <v>1989.0</v>
      </c>
      <c r="C790" s="18" t="s">
        <v>501</v>
      </c>
      <c r="D790" s="18">
        <v>6.0</v>
      </c>
      <c r="E790" s="18" t="str">
        <f t="shared" si="1"/>
        <v>06/08/89</v>
      </c>
      <c r="F790" s="18">
        <v>3.0</v>
      </c>
      <c r="G790" s="27">
        <v>6551.75</v>
      </c>
      <c r="H790" s="18" t="s">
        <v>140</v>
      </c>
      <c r="I790" s="18" t="s">
        <v>140</v>
      </c>
      <c r="J790" s="18" t="s">
        <v>2024</v>
      </c>
      <c r="K790" s="29">
        <f t="shared" si="2"/>
        <v>33</v>
      </c>
    </row>
    <row r="791" ht="15.75" customHeight="1">
      <c r="A791" s="18" t="s">
        <v>4809</v>
      </c>
      <c r="B791" s="18">
        <v>1968.0</v>
      </c>
      <c r="C791" s="18" t="s">
        <v>457</v>
      </c>
      <c r="D791" s="18">
        <v>11.0</v>
      </c>
      <c r="E791" s="18" t="str">
        <f t="shared" si="1"/>
        <v>11/12/68</v>
      </c>
      <c r="F791" s="18">
        <v>0.0</v>
      </c>
      <c r="G791" s="27">
        <v>6552.01</v>
      </c>
      <c r="H791" s="18" t="s">
        <v>142</v>
      </c>
      <c r="I791" s="18" t="s">
        <v>140</v>
      </c>
      <c r="J791" s="18" t="s">
        <v>146</v>
      </c>
      <c r="K791" s="29">
        <f t="shared" si="2"/>
        <v>54</v>
      </c>
    </row>
    <row r="792" ht="15.75" customHeight="1">
      <c r="A792" s="18" t="s">
        <v>4812</v>
      </c>
      <c r="B792" s="18">
        <v>1984.0</v>
      </c>
      <c r="C792" s="18" t="s">
        <v>272</v>
      </c>
      <c r="D792" s="18">
        <v>20.0</v>
      </c>
      <c r="E792" s="18" t="str">
        <f t="shared" si="1"/>
        <v>20/09/84</v>
      </c>
      <c r="F792" s="18">
        <v>1.0</v>
      </c>
      <c r="G792" s="27">
        <v>6555.07</v>
      </c>
      <c r="H792" s="18" t="s">
        <v>140</v>
      </c>
      <c r="I792" s="18" t="s">
        <v>140</v>
      </c>
      <c r="J792" s="18" t="s">
        <v>2024</v>
      </c>
      <c r="K792" s="29">
        <f t="shared" si="2"/>
        <v>38</v>
      </c>
    </row>
    <row r="793" ht="15.75" customHeight="1">
      <c r="A793" s="18" t="s">
        <v>4815</v>
      </c>
      <c r="B793" s="18">
        <v>1981.0</v>
      </c>
      <c r="C793" s="18" t="s">
        <v>91</v>
      </c>
      <c r="D793" s="18">
        <v>20.0</v>
      </c>
      <c r="E793" s="18" t="str">
        <f t="shared" si="1"/>
        <v>20/07/81</v>
      </c>
      <c r="F793" s="18">
        <v>0.0</v>
      </c>
      <c r="G793" s="27">
        <v>6571.02</v>
      </c>
      <c r="H793" s="18" t="s">
        <v>140</v>
      </c>
      <c r="I793" s="18" t="s">
        <v>219</v>
      </c>
      <c r="J793" s="18" t="s">
        <v>325</v>
      </c>
      <c r="K793" s="29">
        <f t="shared" si="2"/>
        <v>41</v>
      </c>
    </row>
    <row r="794" ht="15.75" customHeight="1">
      <c r="A794" s="18" t="s">
        <v>4819</v>
      </c>
      <c r="B794" s="18">
        <v>1984.0</v>
      </c>
      <c r="C794" s="18" t="s">
        <v>517</v>
      </c>
      <c r="D794" s="18">
        <v>5.0</v>
      </c>
      <c r="E794" s="18" t="str">
        <f t="shared" si="1"/>
        <v>05/10/84</v>
      </c>
      <c r="F794" s="18">
        <v>2.0</v>
      </c>
      <c r="G794" s="27">
        <v>6571.54</v>
      </c>
      <c r="H794" s="18" t="s">
        <v>140</v>
      </c>
      <c r="I794" s="18" t="s">
        <v>142</v>
      </c>
      <c r="J794" s="18" t="s">
        <v>570</v>
      </c>
      <c r="K794" s="29">
        <f t="shared" si="2"/>
        <v>38</v>
      </c>
    </row>
    <row r="795" ht="15.75" customHeight="1">
      <c r="A795" s="18" t="s">
        <v>4822</v>
      </c>
      <c r="B795" s="18">
        <v>1982.0</v>
      </c>
      <c r="C795" s="18" t="s">
        <v>209</v>
      </c>
      <c r="D795" s="18">
        <v>22.0</v>
      </c>
      <c r="E795" s="18" t="str">
        <f t="shared" si="1"/>
        <v>22/11/82</v>
      </c>
      <c r="F795" s="18">
        <v>2.0</v>
      </c>
      <c r="G795" s="27">
        <v>6593.51</v>
      </c>
      <c r="H795" s="18" t="s">
        <v>140</v>
      </c>
      <c r="I795" s="18" t="s">
        <v>219</v>
      </c>
      <c r="J795" s="18" t="s">
        <v>146</v>
      </c>
      <c r="K795" s="29">
        <f t="shared" si="2"/>
        <v>40</v>
      </c>
    </row>
    <row r="796" ht="15.75" customHeight="1">
      <c r="A796" s="18" t="s">
        <v>4828</v>
      </c>
      <c r="B796" s="18">
        <v>1982.0</v>
      </c>
      <c r="C796" s="18" t="s">
        <v>457</v>
      </c>
      <c r="D796" s="18">
        <v>29.0</v>
      </c>
      <c r="E796" s="18" t="str">
        <f t="shared" si="1"/>
        <v>29/12/82</v>
      </c>
      <c r="F796" s="18">
        <v>1.0</v>
      </c>
      <c r="G796" s="27">
        <v>6600.21</v>
      </c>
      <c r="H796" s="18" t="s">
        <v>142</v>
      </c>
      <c r="I796" s="18" t="s">
        <v>140</v>
      </c>
      <c r="J796" s="18" t="s">
        <v>1427</v>
      </c>
      <c r="K796" s="29">
        <f t="shared" si="2"/>
        <v>40</v>
      </c>
    </row>
    <row r="797" ht="15.75" customHeight="1">
      <c r="A797" s="18" t="s">
        <v>4833</v>
      </c>
      <c r="B797" s="18">
        <v>1982.0</v>
      </c>
      <c r="C797" s="18" t="s">
        <v>209</v>
      </c>
      <c r="D797" s="18">
        <v>7.0</v>
      </c>
      <c r="E797" s="18" t="str">
        <f t="shared" si="1"/>
        <v>07/11/82</v>
      </c>
      <c r="F797" s="18">
        <v>2.0</v>
      </c>
      <c r="G797" s="27">
        <v>6600.36</v>
      </c>
      <c r="H797" s="18" t="s">
        <v>140</v>
      </c>
      <c r="I797" s="18" t="s">
        <v>142</v>
      </c>
      <c r="J797" s="18" t="s">
        <v>570</v>
      </c>
      <c r="K797" s="29">
        <f t="shared" si="2"/>
        <v>40</v>
      </c>
    </row>
    <row r="798" ht="15.75" customHeight="1">
      <c r="A798" s="18" t="s">
        <v>4838</v>
      </c>
      <c r="B798" s="18">
        <v>1982.0</v>
      </c>
      <c r="C798" s="18" t="s">
        <v>501</v>
      </c>
      <c r="D798" s="18">
        <v>28.0</v>
      </c>
      <c r="E798" s="18" t="str">
        <f t="shared" si="1"/>
        <v>28/08/82</v>
      </c>
      <c r="F798" s="18">
        <v>1.0</v>
      </c>
      <c r="G798" s="27">
        <v>6610.11</v>
      </c>
      <c r="H798" s="18" t="s">
        <v>142</v>
      </c>
      <c r="I798" s="18" t="s">
        <v>140</v>
      </c>
      <c r="J798" s="18" t="s">
        <v>1414</v>
      </c>
      <c r="K798" s="29">
        <f t="shared" si="2"/>
        <v>40</v>
      </c>
    </row>
    <row r="799" ht="15.75" customHeight="1">
      <c r="A799" s="18" t="s">
        <v>4840</v>
      </c>
      <c r="B799" s="18">
        <v>1973.0</v>
      </c>
      <c r="C799" s="18" t="s">
        <v>501</v>
      </c>
      <c r="D799" s="18">
        <v>29.0</v>
      </c>
      <c r="E799" s="18" t="str">
        <f t="shared" si="1"/>
        <v>29/08/73</v>
      </c>
      <c r="F799" s="18">
        <v>0.0</v>
      </c>
      <c r="G799" s="27">
        <v>6630.31</v>
      </c>
      <c r="H799" s="18" t="s">
        <v>140</v>
      </c>
      <c r="I799" s="18" t="s">
        <v>219</v>
      </c>
      <c r="J799" s="18" t="s">
        <v>146</v>
      </c>
      <c r="K799" s="29">
        <f t="shared" si="2"/>
        <v>49</v>
      </c>
    </row>
    <row r="800" ht="15.75" customHeight="1">
      <c r="A800" s="18" t="s">
        <v>4843</v>
      </c>
      <c r="B800" s="18">
        <v>2003.0</v>
      </c>
      <c r="C800" s="18" t="s">
        <v>272</v>
      </c>
      <c r="D800" s="18">
        <v>4.0</v>
      </c>
      <c r="E800" s="18" t="str">
        <f t="shared" si="1"/>
        <v>04/09/03</v>
      </c>
      <c r="F800" s="18">
        <v>0.0</v>
      </c>
      <c r="G800" s="27">
        <v>6638.16</v>
      </c>
      <c r="H800" s="18" t="s">
        <v>140</v>
      </c>
      <c r="I800" s="18" t="s">
        <v>219</v>
      </c>
      <c r="J800" s="18" t="s">
        <v>325</v>
      </c>
      <c r="K800" s="29">
        <f t="shared" si="2"/>
        <v>19</v>
      </c>
    </row>
    <row r="801" ht="15.75" customHeight="1">
      <c r="A801" s="18" t="s">
        <v>4844</v>
      </c>
      <c r="B801" s="18">
        <v>1990.0</v>
      </c>
      <c r="C801" s="18" t="s">
        <v>241</v>
      </c>
      <c r="D801" s="18">
        <v>6.0</v>
      </c>
      <c r="E801" s="18" t="str">
        <f t="shared" si="1"/>
        <v>06/06/90</v>
      </c>
      <c r="F801" s="18">
        <v>3.0</v>
      </c>
      <c r="G801" s="27">
        <v>6639.3</v>
      </c>
      <c r="H801" s="18" t="s">
        <v>140</v>
      </c>
      <c r="I801" s="18" t="s">
        <v>140</v>
      </c>
      <c r="J801" s="18" t="s">
        <v>2314</v>
      </c>
      <c r="K801" s="29">
        <f t="shared" si="2"/>
        <v>33</v>
      </c>
    </row>
    <row r="802" ht="15.75" customHeight="1">
      <c r="A802" s="18" t="s">
        <v>4848</v>
      </c>
      <c r="B802" s="18">
        <v>1984.0</v>
      </c>
      <c r="C802" s="18" t="s">
        <v>457</v>
      </c>
      <c r="D802" s="18">
        <v>8.0</v>
      </c>
      <c r="E802" s="18" t="str">
        <f t="shared" si="1"/>
        <v>08/12/84</v>
      </c>
      <c r="F802" s="18">
        <v>2.0</v>
      </c>
      <c r="G802" s="27">
        <v>6640.54</v>
      </c>
      <c r="H802" s="18" t="s">
        <v>140</v>
      </c>
      <c r="I802" s="18" t="s">
        <v>142</v>
      </c>
      <c r="J802" s="18" t="s">
        <v>1421</v>
      </c>
      <c r="K802" s="29">
        <f t="shared" si="2"/>
        <v>38</v>
      </c>
    </row>
    <row r="803" ht="15.75" customHeight="1">
      <c r="A803" s="18" t="s">
        <v>4851</v>
      </c>
      <c r="B803" s="18">
        <v>1970.0</v>
      </c>
      <c r="C803" s="18" t="s">
        <v>209</v>
      </c>
      <c r="D803" s="18">
        <v>8.0</v>
      </c>
      <c r="E803" s="18" t="str">
        <f t="shared" si="1"/>
        <v>08/11/70</v>
      </c>
      <c r="F803" s="18">
        <v>0.0</v>
      </c>
      <c r="G803" s="27">
        <v>6651.26</v>
      </c>
      <c r="H803" s="18" t="s">
        <v>140</v>
      </c>
      <c r="I803" s="18" t="s">
        <v>142</v>
      </c>
      <c r="J803" s="18" t="s">
        <v>146</v>
      </c>
      <c r="K803" s="29">
        <f t="shared" si="2"/>
        <v>52</v>
      </c>
    </row>
    <row r="804" ht="15.75" customHeight="1">
      <c r="A804" s="18" t="s">
        <v>4855</v>
      </c>
      <c r="B804" s="18">
        <v>1984.0</v>
      </c>
      <c r="C804" s="18" t="s">
        <v>91</v>
      </c>
      <c r="D804" s="18">
        <v>1.0</v>
      </c>
      <c r="E804" s="18" t="str">
        <f t="shared" si="1"/>
        <v>01/07/84</v>
      </c>
      <c r="F804" s="18">
        <v>3.0</v>
      </c>
      <c r="G804" s="27">
        <v>6652.53</v>
      </c>
      <c r="H804" s="18" t="s">
        <v>142</v>
      </c>
      <c r="I804" s="18" t="s">
        <v>140</v>
      </c>
      <c r="J804" s="18" t="s">
        <v>146</v>
      </c>
      <c r="K804" s="29">
        <f t="shared" si="2"/>
        <v>38</v>
      </c>
    </row>
    <row r="805" ht="15.75" customHeight="1">
      <c r="A805" s="18" t="s">
        <v>4860</v>
      </c>
      <c r="B805" s="18">
        <v>1989.0</v>
      </c>
      <c r="C805" s="18" t="s">
        <v>209</v>
      </c>
      <c r="D805" s="18">
        <v>19.0</v>
      </c>
      <c r="E805" s="18" t="str">
        <f t="shared" si="1"/>
        <v>19/11/89</v>
      </c>
      <c r="F805" s="18">
        <v>5.0</v>
      </c>
      <c r="G805" s="27">
        <v>6653.79</v>
      </c>
      <c r="H805" s="18" t="s">
        <v>140</v>
      </c>
      <c r="I805" s="18" t="s">
        <v>219</v>
      </c>
      <c r="J805" s="18" t="s">
        <v>146</v>
      </c>
      <c r="K805" s="29">
        <f t="shared" si="2"/>
        <v>33</v>
      </c>
    </row>
    <row r="806" ht="15.75" customHeight="1">
      <c r="A806" s="18" t="s">
        <v>4864</v>
      </c>
      <c r="B806" s="18">
        <v>1982.0</v>
      </c>
      <c r="C806" s="18" t="s">
        <v>272</v>
      </c>
      <c r="D806" s="18">
        <v>27.0</v>
      </c>
      <c r="E806" s="18" t="str">
        <f t="shared" si="1"/>
        <v>27/09/82</v>
      </c>
      <c r="F806" s="18">
        <v>3.0</v>
      </c>
      <c r="G806" s="27">
        <v>6664.32</v>
      </c>
      <c r="H806" s="18" t="s">
        <v>140</v>
      </c>
      <c r="I806" s="18" t="s">
        <v>140</v>
      </c>
      <c r="J806" s="18" t="s">
        <v>146</v>
      </c>
      <c r="K806" s="29">
        <f t="shared" si="2"/>
        <v>40</v>
      </c>
    </row>
    <row r="807" ht="15.75" customHeight="1">
      <c r="A807" s="18" t="s">
        <v>4867</v>
      </c>
      <c r="B807" s="18">
        <v>1981.0</v>
      </c>
      <c r="C807" s="18" t="s">
        <v>272</v>
      </c>
      <c r="D807" s="18">
        <v>17.0</v>
      </c>
      <c r="E807" s="18" t="str">
        <f t="shared" si="1"/>
        <v>17/09/81</v>
      </c>
      <c r="F807" s="18">
        <v>1.0</v>
      </c>
      <c r="G807" s="27">
        <v>6664.69</v>
      </c>
      <c r="H807" s="18" t="s">
        <v>142</v>
      </c>
      <c r="I807" s="18" t="s">
        <v>219</v>
      </c>
      <c r="J807" s="18" t="s">
        <v>325</v>
      </c>
      <c r="K807" s="29">
        <f t="shared" si="2"/>
        <v>41</v>
      </c>
    </row>
    <row r="808" ht="15.75" customHeight="1">
      <c r="A808" s="18" t="s">
        <v>4869</v>
      </c>
      <c r="B808" s="18">
        <v>1989.0</v>
      </c>
      <c r="C808" s="18" t="s">
        <v>517</v>
      </c>
      <c r="D808" s="18">
        <v>20.0</v>
      </c>
      <c r="E808" s="18" t="str">
        <f t="shared" si="1"/>
        <v>20/10/89</v>
      </c>
      <c r="F808" s="18">
        <v>5.0</v>
      </c>
      <c r="G808" s="27">
        <v>6666.24</v>
      </c>
      <c r="H808" s="18" t="s">
        <v>142</v>
      </c>
      <c r="I808" s="18" t="s">
        <v>219</v>
      </c>
      <c r="J808" s="18" t="s">
        <v>570</v>
      </c>
      <c r="K808" s="29">
        <f t="shared" si="2"/>
        <v>33</v>
      </c>
    </row>
    <row r="809" ht="15.75" customHeight="1">
      <c r="A809" s="18" t="s">
        <v>4873</v>
      </c>
      <c r="B809" s="18">
        <v>1985.0</v>
      </c>
      <c r="C809" s="18" t="s">
        <v>91</v>
      </c>
      <c r="D809" s="18">
        <v>9.0</v>
      </c>
      <c r="E809" s="18" t="str">
        <f t="shared" si="1"/>
        <v>09/07/85</v>
      </c>
      <c r="F809" s="18">
        <v>2.0</v>
      </c>
      <c r="G809" s="27">
        <v>6686.43</v>
      </c>
      <c r="H809" s="18" t="s">
        <v>140</v>
      </c>
      <c r="I809" s="18" t="s">
        <v>142</v>
      </c>
      <c r="J809" s="18" t="s">
        <v>325</v>
      </c>
      <c r="K809" s="29">
        <f t="shared" si="2"/>
        <v>37</v>
      </c>
    </row>
    <row r="810" ht="15.75" customHeight="1">
      <c r="A810" s="18" t="s">
        <v>4878</v>
      </c>
      <c r="B810" s="18">
        <v>1968.0</v>
      </c>
      <c r="C810" s="18" t="s">
        <v>91</v>
      </c>
      <c r="D810" s="18">
        <v>13.0</v>
      </c>
      <c r="E810" s="18" t="str">
        <f t="shared" si="1"/>
        <v>13/07/68</v>
      </c>
      <c r="F810" s="18">
        <v>0.0</v>
      </c>
      <c r="G810" s="27">
        <v>6700.56</v>
      </c>
      <c r="H810" s="18" t="s">
        <v>142</v>
      </c>
      <c r="I810" s="18" t="s">
        <v>219</v>
      </c>
      <c r="J810" s="18" t="s">
        <v>325</v>
      </c>
      <c r="K810" s="29">
        <f t="shared" si="2"/>
        <v>54</v>
      </c>
    </row>
    <row r="811" ht="15.75" customHeight="1">
      <c r="A811" s="18" t="s">
        <v>4882</v>
      </c>
      <c r="B811" s="18">
        <v>1971.0</v>
      </c>
      <c r="C811" s="18" t="s">
        <v>457</v>
      </c>
      <c r="D811" s="18">
        <v>12.0</v>
      </c>
      <c r="E811" s="18" t="str">
        <f t="shared" si="1"/>
        <v>12/12/71</v>
      </c>
      <c r="F811" s="18">
        <v>0.0</v>
      </c>
      <c r="G811" s="27">
        <v>6706.47</v>
      </c>
      <c r="H811" s="18" t="s">
        <v>140</v>
      </c>
      <c r="I811" s="18" t="s">
        <v>219</v>
      </c>
      <c r="J811" s="18" t="s">
        <v>146</v>
      </c>
      <c r="K811" s="29">
        <f t="shared" si="2"/>
        <v>51</v>
      </c>
    </row>
    <row r="812" ht="15.75" customHeight="1">
      <c r="A812" s="18" t="s">
        <v>4885</v>
      </c>
      <c r="B812" s="18">
        <v>1983.0</v>
      </c>
      <c r="C812" s="18" t="s">
        <v>241</v>
      </c>
      <c r="D812" s="18">
        <v>12.0</v>
      </c>
      <c r="E812" s="18" t="str">
        <f t="shared" si="1"/>
        <v>12/06/83</v>
      </c>
      <c r="F812" s="18">
        <v>2.0</v>
      </c>
      <c r="G812" s="27">
        <v>6710.19</v>
      </c>
      <c r="H812" s="18" t="s">
        <v>142</v>
      </c>
      <c r="I812" s="18" t="s">
        <v>142</v>
      </c>
      <c r="J812" s="18" t="s">
        <v>325</v>
      </c>
      <c r="K812" s="29">
        <f t="shared" si="2"/>
        <v>39</v>
      </c>
    </row>
    <row r="813" ht="15.75" customHeight="1">
      <c r="A813" s="18" t="s">
        <v>4890</v>
      </c>
      <c r="B813" s="18">
        <v>1994.0</v>
      </c>
      <c r="C813" s="18" t="s">
        <v>241</v>
      </c>
      <c r="D813" s="18">
        <v>13.0</v>
      </c>
      <c r="E813" s="18" t="str">
        <f t="shared" si="1"/>
        <v>13/06/94</v>
      </c>
      <c r="F813" s="18">
        <v>0.0</v>
      </c>
      <c r="G813" s="27">
        <v>6721.37</v>
      </c>
      <c r="H813" s="18" t="s">
        <v>140</v>
      </c>
      <c r="I813" s="18" t="s">
        <v>219</v>
      </c>
      <c r="J813" s="18" t="s">
        <v>325</v>
      </c>
      <c r="K813" s="29">
        <f t="shared" si="2"/>
        <v>28</v>
      </c>
    </row>
    <row r="814" ht="15.75" customHeight="1">
      <c r="A814" s="18" t="s">
        <v>4896</v>
      </c>
      <c r="B814" s="18">
        <v>1978.0</v>
      </c>
      <c r="C814" s="18" t="s">
        <v>517</v>
      </c>
      <c r="D814" s="18">
        <v>21.0</v>
      </c>
      <c r="E814" s="18" t="str">
        <f t="shared" si="1"/>
        <v>21/10/78</v>
      </c>
      <c r="F814" s="18">
        <v>2.0</v>
      </c>
      <c r="G814" s="27">
        <v>6737.98</v>
      </c>
      <c r="H814" s="18" t="s">
        <v>140</v>
      </c>
      <c r="I814" s="18" t="s">
        <v>142</v>
      </c>
      <c r="J814" s="18" t="s">
        <v>146</v>
      </c>
      <c r="K814" s="29">
        <f t="shared" si="2"/>
        <v>44</v>
      </c>
    </row>
    <row r="815" ht="15.75" customHeight="1">
      <c r="A815" s="18" t="s">
        <v>4897</v>
      </c>
      <c r="B815" s="18">
        <v>1968.0</v>
      </c>
      <c r="C815" s="18" t="s">
        <v>91</v>
      </c>
      <c r="D815" s="18">
        <v>18.0</v>
      </c>
      <c r="E815" s="18" t="str">
        <f t="shared" si="1"/>
        <v>18/07/68</v>
      </c>
      <c r="F815" s="18">
        <v>0.0</v>
      </c>
      <c r="G815" s="27">
        <v>6738.84</v>
      </c>
      <c r="H815" s="18" t="s">
        <v>142</v>
      </c>
      <c r="I815" s="18" t="s">
        <v>219</v>
      </c>
      <c r="J815" s="18" t="s">
        <v>325</v>
      </c>
      <c r="K815" s="29">
        <f t="shared" si="2"/>
        <v>54</v>
      </c>
    </row>
    <row r="816" ht="15.75" customHeight="1">
      <c r="A816" s="18" t="s">
        <v>4894</v>
      </c>
      <c r="B816" s="18">
        <v>1986.0</v>
      </c>
      <c r="C816" s="18" t="s">
        <v>501</v>
      </c>
      <c r="D816" s="18">
        <v>7.0</v>
      </c>
      <c r="E816" s="18" t="str">
        <f t="shared" si="1"/>
        <v>07/08/86</v>
      </c>
      <c r="F816" s="18">
        <v>3.0</v>
      </c>
      <c r="G816" s="27">
        <v>6746.74</v>
      </c>
      <c r="H816" s="18" t="s">
        <v>142</v>
      </c>
      <c r="I816" s="18" t="s">
        <v>140</v>
      </c>
      <c r="J816" s="18" t="s">
        <v>1427</v>
      </c>
      <c r="K816" s="29">
        <f t="shared" si="2"/>
        <v>36</v>
      </c>
    </row>
    <row r="817" ht="15.75" customHeight="1">
      <c r="A817" s="18" t="s">
        <v>4891</v>
      </c>
      <c r="B817" s="18">
        <v>1986.0</v>
      </c>
      <c r="C817" s="18" t="s">
        <v>241</v>
      </c>
      <c r="D817" s="18">
        <v>5.0</v>
      </c>
      <c r="E817" s="18" t="str">
        <f t="shared" si="1"/>
        <v>05/06/86</v>
      </c>
      <c r="F817" s="18">
        <v>3.0</v>
      </c>
      <c r="G817" s="27">
        <v>6748.59</v>
      </c>
      <c r="H817" s="18" t="s">
        <v>142</v>
      </c>
      <c r="I817" s="18" t="s">
        <v>219</v>
      </c>
      <c r="J817" s="18" t="s">
        <v>1427</v>
      </c>
      <c r="K817" s="29">
        <f t="shared" si="2"/>
        <v>37</v>
      </c>
    </row>
    <row r="818" ht="15.75" customHeight="1">
      <c r="A818" s="18" t="s">
        <v>4888</v>
      </c>
      <c r="B818" s="18">
        <v>1970.0</v>
      </c>
      <c r="C818" s="18" t="s">
        <v>241</v>
      </c>
      <c r="D818" s="18">
        <v>17.0</v>
      </c>
      <c r="E818" s="18" t="str">
        <f t="shared" si="1"/>
        <v>17/06/70</v>
      </c>
      <c r="F818" s="18">
        <v>0.0</v>
      </c>
      <c r="G818" s="27">
        <v>6749.63</v>
      </c>
      <c r="H818" s="18" t="s">
        <v>140</v>
      </c>
      <c r="I818" s="18" t="s">
        <v>219</v>
      </c>
      <c r="J818" s="18" t="s">
        <v>146</v>
      </c>
      <c r="K818" s="29">
        <f t="shared" si="2"/>
        <v>52</v>
      </c>
    </row>
    <row r="819" ht="15.75" customHeight="1">
      <c r="A819" s="18" t="s">
        <v>4884</v>
      </c>
      <c r="B819" s="18">
        <v>1966.0</v>
      </c>
      <c r="C819" s="18" t="s">
        <v>457</v>
      </c>
      <c r="D819" s="18">
        <v>9.0</v>
      </c>
      <c r="E819" s="18" t="str">
        <f t="shared" si="1"/>
        <v>09/12/66</v>
      </c>
      <c r="F819" s="18">
        <v>0.0</v>
      </c>
      <c r="G819" s="27">
        <v>6750.27</v>
      </c>
      <c r="H819" s="18" t="s">
        <v>142</v>
      </c>
      <c r="I819" s="18" t="s">
        <v>140</v>
      </c>
      <c r="J819" s="18" t="s">
        <v>146</v>
      </c>
      <c r="K819" s="29">
        <f t="shared" si="2"/>
        <v>56</v>
      </c>
    </row>
    <row r="820" ht="15.75" customHeight="1">
      <c r="A820" s="18" t="s">
        <v>4880</v>
      </c>
      <c r="B820" s="18">
        <v>1988.0</v>
      </c>
      <c r="C820" s="18" t="s">
        <v>517</v>
      </c>
      <c r="D820" s="18">
        <v>10.0</v>
      </c>
      <c r="E820" s="18" t="str">
        <f t="shared" si="1"/>
        <v>10/10/88</v>
      </c>
      <c r="F820" s="18">
        <v>3.0</v>
      </c>
      <c r="G820" s="27">
        <v>6753.04</v>
      </c>
      <c r="H820" s="18" t="s">
        <v>140</v>
      </c>
      <c r="I820" s="18" t="s">
        <v>140</v>
      </c>
      <c r="J820" s="18" t="s">
        <v>2024</v>
      </c>
      <c r="K820" s="29">
        <f t="shared" si="2"/>
        <v>34</v>
      </c>
    </row>
    <row r="821" ht="15.75" customHeight="1">
      <c r="A821" s="18" t="s">
        <v>4876</v>
      </c>
      <c r="B821" s="18">
        <v>1981.0</v>
      </c>
      <c r="C821" s="18" t="s">
        <v>272</v>
      </c>
      <c r="D821" s="18">
        <v>21.0</v>
      </c>
      <c r="E821" s="18" t="str">
        <f t="shared" si="1"/>
        <v>21/09/81</v>
      </c>
      <c r="F821" s="18">
        <v>1.0</v>
      </c>
      <c r="G821" s="27">
        <v>6770.19</v>
      </c>
      <c r="H821" s="18" t="s">
        <v>140</v>
      </c>
      <c r="I821" s="18" t="s">
        <v>142</v>
      </c>
      <c r="J821" s="18" t="s">
        <v>146</v>
      </c>
      <c r="K821" s="29">
        <f t="shared" si="2"/>
        <v>41</v>
      </c>
    </row>
    <row r="822" ht="15.75" customHeight="1">
      <c r="A822" s="18" t="s">
        <v>4874</v>
      </c>
      <c r="B822" s="18">
        <v>1981.0</v>
      </c>
      <c r="C822" s="18" t="s">
        <v>272</v>
      </c>
      <c r="D822" s="18">
        <v>3.0</v>
      </c>
      <c r="E822" s="18" t="str">
        <f t="shared" si="1"/>
        <v>03/09/81</v>
      </c>
      <c r="F822" s="18">
        <v>1.0</v>
      </c>
      <c r="G822" s="27">
        <v>6775.96</v>
      </c>
      <c r="H822" s="18" t="s">
        <v>140</v>
      </c>
      <c r="I822" s="18" t="s">
        <v>142</v>
      </c>
      <c r="J822" s="18" t="s">
        <v>570</v>
      </c>
      <c r="K822" s="29">
        <f t="shared" si="2"/>
        <v>41</v>
      </c>
    </row>
    <row r="823" ht="15.75" customHeight="1">
      <c r="A823" s="18" t="s">
        <v>4870</v>
      </c>
      <c r="B823" s="18">
        <v>1981.0</v>
      </c>
      <c r="C823" s="18" t="s">
        <v>517</v>
      </c>
      <c r="D823" s="18">
        <v>8.0</v>
      </c>
      <c r="E823" s="18" t="str">
        <f t="shared" si="1"/>
        <v>08/10/81</v>
      </c>
      <c r="F823" s="18">
        <v>1.0</v>
      </c>
      <c r="G823" s="27">
        <v>6781.35</v>
      </c>
      <c r="H823" s="18" t="s">
        <v>140</v>
      </c>
      <c r="I823" s="18" t="s">
        <v>219</v>
      </c>
      <c r="J823" s="18" t="s">
        <v>146</v>
      </c>
      <c r="K823" s="29">
        <f t="shared" si="2"/>
        <v>41</v>
      </c>
    </row>
    <row r="824" ht="15.75" customHeight="1">
      <c r="A824" s="18" t="s">
        <v>4866</v>
      </c>
      <c r="B824" s="18">
        <v>1980.0</v>
      </c>
      <c r="C824" s="18" t="s">
        <v>209</v>
      </c>
      <c r="D824" s="18">
        <v>23.0</v>
      </c>
      <c r="E824" s="18" t="str">
        <f t="shared" si="1"/>
        <v>23/11/80</v>
      </c>
      <c r="F824" s="18">
        <v>2.0</v>
      </c>
      <c r="G824" s="27">
        <v>6781.52</v>
      </c>
      <c r="H824" s="18" t="s">
        <v>140</v>
      </c>
      <c r="I824" s="18" t="s">
        <v>140</v>
      </c>
      <c r="J824" s="18" t="s">
        <v>146</v>
      </c>
      <c r="K824" s="29">
        <f t="shared" si="2"/>
        <v>42</v>
      </c>
    </row>
    <row r="825" ht="15.75" customHeight="1">
      <c r="A825" s="18" t="s">
        <v>4863</v>
      </c>
      <c r="B825" s="18">
        <v>1985.0</v>
      </c>
      <c r="C825" s="18" t="s">
        <v>457</v>
      </c>
      <c r="D825" s="18">
        <v>24.0</v>
      </c>
      <c r="E825" s="18" t="str">
        <f t="shared" si="1"/>
        <v>24/12/85</v>
      </c>
      <c r="F825" s="18">
        <v>3.0</v>
      </c>
      <c r="G825" s="27">
        <v>6796.86</v>
      </c>
      <c r="H825" s="18" t="s">
        <v>142</v>
      </c>
      <c r="I825" s="18" t="s">
        <v>142</v>
      </c>
      <c r="J825" s="18" t="s">
        <v>325</v>
      </c>
      <c r="K825" s="29">
        <f t="shared" si="2"/>
        <v>37</v>
      </c>
    </row>
    <row r="826" ht="15.75" customHeight="1">
      <c r="A826" s="18" t="s">
        <v>4859</v>
      </c>
      <c r="B826" s="18">
        <v>1991.0</v>
      </c>
      <c r="C826" s="18" t="s">
        <v>241</v>
      </c>
      <c r="D826" s="18">
        <v>29.0</v>
      </c>
      <c r="E826" s="18" t="str">
        <f t="shared" si="1"/>
        <v>29/06/91</v>
      </c>
      <c r="F826" s="18">
        <v>5.0</v>
      </c>
      <c r="G826" s="27">
        <v>6799.46</v>
      </c>
      <c r="H826" s="18" t="s">
        <v>219</v>
      </c>
      <c r="I826" s="18" t="s">
        <v>140</v>
      </c>
      <c r="J826" s="18" t="s">
        <v>2191</v>
      </c>
      <c r="K826" s="29">
        <f t="shared" si="2"/>
        <v>31</v>
      </c>
    </row>
    <row r="827" ht="15.75" customHeight="1">
      <c r="A827" s="18" t="s">
        <v>4856</v>
      </c>
      <c r="B827" s="18">
        <v>1975.0</v>
      </c>
      <c r="C827" s="18" t="s">
        <v>501</v>
      </c>
      <c r="D827" s="18">
        <v>17.0</v>
      </c>
      <c r="E827" s="18" t="str">
        <f t="shared" si="1"/>
        <v>17/08/75</v>
      </c>
      <c r="F827" s="18">
        <v>1.0</v>
      </c>
      <c r="G827" s="27">
        <v>6809.46</v>
      </c>
      <c r="H827" s="18" t="s">
        <v>140</v>
      </c>
      <c r="I827" s="18" t="s">
        <v>219</v>
      </c>
      <c r="J827" s="18" t="s">
        <v>325</v>
      </c>
      <c r="K827" s="29">
        <f t="shared" si="2"/>
        <v>47</v>
      </c>
    </row>
    <row r="828" ht="15.75" customHeight="1">
      <c r="A828" s="18" t="s">
        <v>4852</v>
      </c>
      <c r="B828" s="18">
        <v>1994.0</v>
      </c>
      <c r="C828" s="18" t="s">
        <v>91</v>
      </c>
      <c r="D828" s="18">
        <v>8.0</v>
      </c>
      <c r="E828" s="18" t="str">
        <f t="shared" si="1"/>
        <v>08/07/94</v>
      </c>
      <c r="F828" s="18">
        <v>0.0</v>
      </c>
      <c r="G828" s="27">
        <v>6827.69</v>
      </c>
      <c r="H828" s="18" t="s">
        <v>140</v>
      </c>
      <c r="I828" s="18" t="s">
        <v>140</v>
      </c>
      <c r="J828" s="18" t="s">
        <v>2314</v>
      </c>
      <c r="K828" s="29">
        <f t="shared" si="2"/>
        <v>28</v>
      </c>
    </row>
    <row r="829" ht="15.75" customHeight="1">
      <c r="A829" s="18" t="s">
        <v>4849</v>
      </c>
      <c r="B829" s="18">
        <v>1979.0</v>
      </c>
      <c r="C829" s="18" t="s">
        <v>91</v>
      </c>
      <c r="D829" s="18">
        <v>15.0</v>
      </c>
      <c r="E829" s="18" t="str">
        <f t="shared" si="1"/>
        <v>15/07/79</v>
      </c>
      <c r="F829" s="18">
        <v>0.0</v>
      </c>
      <c r="G829" s="27">
        <v>6837.37</v>
      </c>
      <c r="H829" s="18" t="s">
        <v>142</v>
      </c>
      <c r="I829" s="18" t="s">
        <v>219</v>
      </c>
      <c r="J829" s="18" t="s">
        <v>1427</v>
      </c>
      <c r="K829" s="29">
        <f t="shared" si="2"/>
        <v>43</v>
      </c>
    </row>
    <row r="830" ht="15.75" customHeight="1">
      <c r="A830" s="18" t="s">
        <v>4845</v>
      </c>
      <c r="B830" s="18">
        <v>2000.0</v>
      </c>
      <c r="C830" s="18" t="s">
        <v>209</v>
      </c>
      <c r="D830" s="18">
        <v>30.0</v>
      </c>
      <c r="E830" s="18" t="str">
        <f t="shared" si="1"/>
        <v>30/11/00</v>
      </c>
      <c r="F830" s="18">
        <v>0.0</v>
      </c>
      <c r="G830" s="27">
        <v>6842.28</v>
      </c>
      <c r="H830" s="18" t="s">
        <v>140</v>
      </c>
      <c r="I830" s="18" t="s">
        <v>219</v>
      </c>
      <c r="J830" s="18" t="s">
        <v>325</v>
      </c>
      <c r="K830" s="29">
        <f t="shared" si="2"/>
        <v>22</v>
      </c>
    </row>
    <row r="831" ht="15.75" customHeight="1">
      <c r="A831" s="18" t="s">
        <v>4842</v>
      </c>
      <c r="B831" s="18">
        <v>1977.0</v>
      </c>
      <c r="C831" s="18" t="s">
        <v>241</v>
      </c>
      <c r="D831" s="18">
        <v>15.0</v>
      </c>
      <c r="E831" s="18" t="str">
        <f t="shared" si="1"/>
        <v>15/06/77</v>
      </c>
      <c r="F831" s="18">
        <v>2.0</v>
      </c>
      <c r="G831" s="27">
        <v>6843.17</v>
      </c>
      <c r="H831" s="18" t="s">
        <v>140</v>
      </c>
      <c r="I831" s="18" t="s">
        <v>219</v>
      </c>
      <c r="J831" s="18" t="s">
        <v>146</v>
      </c>
      <c r="K831" s="29">
        <f t="shared" si="2"/>
        <v>45</v>
      </c>
    </row>
    <row r="832" ht="15.75" customHeight="1">
      <c r="A832" s="18" t="s">
        <v>4839</v>
      </c>
      <c r="B832" s="18">
        <v>1979.0</v>
      </c>
      <c r="C832" s="18" t="s">
        <v>209</v>
      </c>
      <c r="D832" s="18">
        <v>4.0</v>
      </c>
      <c r="E832" s="18" t="str">
        <f t="shared" si="1"/>
        <v>04/11/79</v>
      </c>
      <c r="F832" s="18">
        <v>1.0</v>
      </c>
      <c r="G832" s="27">
        <v>6849.03</v>
      </c>
      <c r="H832" s="18" t="s">
        <v>140</v>
      </c>
      <c r="I832" s="18" t="s">
        <v>140</v>
      </c>
      <c r="J832" s="18" t="s">
        <v>570</v>
      </c>
      <c r="K832" s="29">
        <f t="shared" si="2"/>
        <v>43</v>
      </c>
    </row>
    <row r="833" ht="15.75" customHeight="1">
      <c r="A833" s="18" t="s">
        <v>4836</v>
      </c>
      <c r="B833" s="18">
        <v>1981.0</v>
      </c>
      <c r="C833" s="18" t="s">
        <v>241</v>
      </c>
      <c r="D833" s="18">
        <v>19.0</v>
      </c>
      <c r="E833" s="18" t="str">
        <f t="shared" si="1"/>
        <v>19/06/81</v>
      </c>
      <c r="F833" s="18">
        <v>1.0</v>
      </c>
      <c r="G833" s="27">
        <v>6858.48</v>
      </c>
      <c r="H833" s="18" t="s">
        <v>140</v>
      </c>
      <c r="I833" s="18" t="s">
        <v>140</v>
      </c>
      <c r="J833" s="18" t="s">
        <v>1421</v>
      </c>
      <c r="K833" s="29">
        <f t="shared" si="2"/>
        <v>41</v>
      </c>
    </row>
    <row r="834" ht="15.75" customHeight="1">
      <c r="A834" s="18" t="s">
        <v>4832</v>
      </c>
      <c r="B834" s="18">
        <v>1978.0</v>
      </c>
      <c r="C834" s="18" t="s">
        <v>501</v>
      </c>
      <c r="D834" s="18">
        <v>5.0</v>
      </c>
      <c r="E834" s="18" t="str">
        <f t="shared" si="1"/>
        <v>05/08/78</v>
      </c>
      <c r="F834" s="18">
        <v>2.0</v>
      </c>
      <c r="G834" s="27">
        <v>6863.49</v>
      </c>
      <c r="H834" s="18" t="s">
        <v>140</v>
      </c>
      <c r="I834" s="18" t="s">
        <v>219</v>
      </c>
      <c r="J834" s="18" t="s">
        <v>146</v>
      </c>
      <c r="K834" s="29">
        <f t="shared" si="2"/>
        <v>44</v>
      </c>
    </row>
    <row r="835" ht="15.75" customHeight="1">
      <c r="A835" s="18" t="s">
        <v>4829</v>
      </c>
      <c r="B835" s="18">
        <v>1969.0</v>
      </c>
      <c r="C835" s="18" t="s">
        <v>517</v>
      </c>
      <c r="D835" s="18">
        <v>23.0</v>
      </c>
      <c r="E835" s="18" t="str">
        <f t="shared" si="1"/>
        <v>23/10/69</v>
      </c>
      <c r="F835" s="18">
        <v>0.0</v>
      </c>
      <c r="G835" s="27">
        <v>6868.39</v>
      </c>
      <c r="H835" s="18" t="s">
        <v>140</v>
      </c>
      <c r="I835" s="18" t="s">
        <v>140</v>
      </c>
      <c r="J835" s="18" t="s">
        <v>146</v>
      </c>
      <c r="K835" s="29">
        <f t="shared" si="2"/>
        <v>53</v>
      </c>
    </row>
    <row r="836" ht="15.75" customHeight="1">
      <c r="A836" s="18" t="s">
        <v>4826</v>
      </c>
      <c r="B836" s="18">
        <v>1981.0</v>
      </c>
      <c r="C836" s="18" t="s">
        <v>241</v>
      </c>
      <c r="D836" s="18">
        <v>23.0</v>
      </c>
      <c r="E836" s="18" t="str">
        <f t="shared" si="1"/>
        <v>23/06/81</v>
      </c>
      <c r="F836" s="18">
        <v>2.0</v>
      </c>
      <c r="G836" s="27">
        <v>6875.96</v>
      </c>
      <c r="H836" s="18" t="s">
        <v>140</v>
      </c>
      <c r="I836" s="18" t="s">
        <v>140</v>
      </c>
      <c r="J836" s="18" t="s">
        <v>570</v>
      </c>
      <c r="K836" s="29">
        <f t="shared" si="2"/>
        <v>41</v>
      </c>
    </row>
    <row r="837" ht="15.75" customHeight="1">
      <c r="A837" s="18" t="s">
        <v>4823</v>
      </c>
      <c r="B837" s="18">
        <v>2004.0</v>
      </c>
      <c r="C837" s="18" t="s">
        <v>457</v>
      </c>
      <c r="D837" s="18">
        <v>24.0</v>
      </c>
      <c r="E837" s="18" t="str">
        <f t="shared" si="1"/>
        <v>24/12/04</v>
      </c>
      <c r="F837" s="18">
        <v>0.0</v>
      </c>
      <c r="G837" s="27">
        <v>6876.53</v>
      </c>
      <c r="H837" s="18" t="s">
        <v>140</v>
      </c>
      <c r="I837" s="18" t="s">
        <v>219</v>
      </c>
      <c r="J837" s="18" t="s">
        <v>325</v>
      </c>
      <c r="K837" s="29">
        <f t="shared" si="2"/>
        <v>18</v>
      </c>
    </row>
    <row r="838" ht="15.75" customHeight="1">
      <c r="A838" s="18" t="s">
        <v>4820</v>
      </c>
      <c r="B838" s="18">
        <v>1985.0</v>
      </c>
      <c r="C838" s="18" t="s">
        <v>272</v>
      </c>
      <c r="D838" s="18">
        <v>10.0</v>
      </c>
      <c r="E838" s="18" t="str">
        <f t="shared" si="1"/>
        <v>10/09/85</v>
      </c>
      <c r="F838" s="18">
        <v>2.0</v>
      </c>
      <c r="G838" s="27">
        <v>6877.98</v>
      </c>
      <c r="H838" s="18" t="s">
        <v>140</v>
      </c>
      <c r="I838" s="18" t="s">
        <v>219</v>
      </c>
      <c r="J838" s="18" t="s">
        <v>2024</v>
      </c>
      <c r="K838" s="29">
        <f t="shared" si="2"/>
        <v>37</v>
      </c>
    </row>
    <row r="839" ht="15.75" customHeight="1">
      <c r="A839" s="18" t="s">
        <v>4816</v>
      </c>
      <c r="B839" s="18">
        <v>1989.0</v>
      </c>
      <c r="C839" s="18" t="s">
        <v>457</v>
      </c>
      <c r="D839" s="18">
        <v>21.0</v>
      </c>
      <c r="E839" s="18" t="str">
        <f t="shared" si="1"/>
        <v>21/12/89</v>
      </c>
      <c r="F839" s="18">
        <v>3.0</v>
      </c>
      <c r="G839" s="27">
        <v>6895.19</v>
      </c>
      <c r="H839" s="18" t="s">
        <v>140</v>
      </c>
      <c r="I839" s="18" t="s">
        <v>142</v>
      </c>
      <c r="J839" s="18" t="s">
        <v>2024</v>
      </c>
      <c r="K839" s="29">
        <f t="shared" si="2"/>
        <v>33</v>
      </c>
    </row>
    <row r="840" ht="15.75" customHeight="1">
      <c r="A840" s="18" t="s">
        <v>4813</v>
      </c>
      <c r="B840" s="18">
        <v>1984.0</v>
      </c>
      <c r="C840" s="18" t="s">
        <v>272</v>
      </c>
      <c r="D840" s="18">
        <v>5.0</v>
      </c>
      <c r="E840" s="18" t="str">
        <f t="shared" si="1"/>
        <v>05/09/84</v>
      </c>
      <c r="F840" s="18">
        <v>2.0</v>
      </c>
      <c r="G840" s="27">
        <v>6933.24</v>
      </c>
      <c r="H840" s="18" t="s">
        <v>140</v>
      </c>
      <c r="I840" s="18" t="s">
        <v>142</v>
      </c>
      <c r="J840" s="18" t="s">
        <v>325</v>
      </c>
      <c r="K840" s="29">
        <f t="shared" si="2"/>
        <v>38</v>
      </c>
    </row>
    <row r="841" ht="15.75" customHeight="1">
      <c r="A841" s="18" t="s">
        <v>4810</v>
      </c>
      <c r="B841" s="18">
        <v>1978.0</v>
      </c>
      <c r="C841" s="18" t="s">
        <v>209</v>
      </c>
      <c r="D841" s="18">
        <v>29.0</v>
      </c>
      <c r="E841" s="18" t="str">
        <f t="shared" si="1"/>
        <v>29/11/78</v>
      </c>
      <c r="F841" s="18">
        <v>2.0</v>
      </c>
      <c r="G841" s="27">
        <v>6938.11</v>
      </c>
      <c r="H841" s="18" t="s">
        <v>140</v>
      </c>
      <c r="I841" s="18" t="s">
        <v>140</v>
      </c>
      <c r="J841" s="18" t="s">
        <v>146</v>
      </c>
      <c r="K841" s="29">
        <f t="shared" si="2"/>
        <v>44</v>
      </c>
    </row>
    <row r="842" ht="15.75" customHeight="1">
      <c r="A842" s="18" t="s">
        <v>4807</v>
      </c>
      <c r="B842" s="18">
        <v>1980.0</v>
      </c>
      <c r="C842" s="18" t="s">
        <v>501</v>
      </c>
      <c r="D842" s="18">
        <v>30.0</v>
      </c>
      <c r="E842" s="18" t="str">
        <f t="shared" si="1"/>
        <v>30/08/80</v>
      </c>
      <c r="F842" s="18">
        <v>1.0</v>
      </c>
      <c r="G842" s="27">
        <v>6940.91</v>
      </c>
      <c r="H842" s="18" t="s">
        <v>140</v>
      </c>
      <c r="I842" s="18" t="s">
        <v>140</v>
      </c>
      <c r="J842" s="18" t="s">
        <v>325</v>
      </c>
      <c r="K842" s="29">
        <f t="shared" si="2"/>
        <v>42</v>
      </c>
    </row>
    <row r="843" ht="15.75" customHeight="1">
      <c r="A843" s="18" t="s">
        <v>4803</v>
      </c>
      <c r="B843" s="18">
        <v>1980.0</v>
      </c>
      <c r="C843" s="18" t="s">
        <v>517</v>
      </c>
      <c r="D843" s="18">
        <v>5.0</v>
      </c>
      <c r="E843" s="18" t="str">
        <f t="shared" si="1"/>
        <v>05/10/80</v>
      </c>
      <c r="F843" s="18">
        <v>2.0</v>
      </c>
      <c r="G843" s="27">
        <v>6940.94</v>
      </c>
      <c r="H843" s="18" t="s">
        <v>140</v>
      </c>
      <c r="I843" s="18" t="s">
        <v>142</v>
      </c>
      <c r="J843" s="18" t="s">
        <v>146</v>
      </c>
      <c r="K843" s="29">
        <f t="shared" si="2"/>
        <v>42</v>
      </c>
    </row>
    <row r="844" ht="15.75" customHeight="1">
      <c r="A844" s="18" t="s">
        <v>4799</v>
      </c>
      <c r="B844" s="18">
        <v>1978.0</v>
      </c>
      <c r="C844" s="18" t="s">
        <v>457</v>
      </c>
      <c r="D844" s="18">
        <v>15.0</v>
      </c>
      <c r="E844" s="18" t="str">
        <f t="shared" si="1"/>
        <v>15/12/78</v>
      </c>
      <c r="F844" s="18">
        <v>0.0</v>
      </c>
      <c r="G844" s="27">
        <v>6948.7</v>
      </c>
      <c r="H844" s="18" t="s">
        <v>219</v>
      </c>
      <c r="I844" s="18" t="s">
        <v>140</v>
      </c>
      <c r="J844" s="18" t="s">
        <v>325</v>
      </c>
      <c r="K844" s="29">
        <f t="shared" si="2"/>
        <v>44</v>
      </c>
    </row>
    <row r="845" ht="15.75" customHeight="1">
      <c r="A845" s="18" t="s">
        <v>4795</v>
      </c>
      <c r="B845" s="18">
        <v>1980.0</v>
      </c>
      <c r="C845" s="18" t="s">
        <v>501</v>
      </c>
      <c r="D845" s="18">
        <v>18.0</v>
      </c>
      <c r="E845" s="18" t="str">
        <f t="shared" si="1"/>
        <v>18/08/80</v>
      </c>
      <c r="F845" s="18">
        <v>2.0</v>
      </c>
      <c r="G845" s="27">
        <v>6951.12</v>
      </c>
      <c r="H845" s="18" t="s">
        <v>140</v>
      </c>
      <c r="I845" s="18" t="s">
        <v>140</v>
      </c>
      <c r="J845" s="18" t="s">
        <v>146</v>
      </c>
      <c r="K845" s="29">
        <f t="shared" si="2"/>
        <v>42</v>
      </c>
    </row>
    <row r="846" ht="15.75" customHeight="1">
      <c r="A846" s="18" t="s">
        <v>4793</v>
      </c>
      <c r="B846" s="18">
        <v>1975.0</v>
      </c>
      <c r="C846" s="18" t="s">
        <v>241</v>
      </c>
      <c r="D846" s="18">
        <v>3.0</v>
      </c>
      <c r="E846" s="18" t="str">
        <f t="shared" si="1"/>
        <v>03/06/75</v>
      </c>
      <c r="F846" s="18">
        <v>1.0</v>
      </c>
      <c r="G846" s="27">
        <v>6965.21</v>
      </c>
      <c r="H846" s="18" t="s">
        <v>140</v>
      </c>
      <c r="I846" s="18" t="s">
        <v>142</v>
      </c>
      <c r="J846" s="18" t="s">
        <v>146</v>
      </c>
      <c r="K846" s="29">
        <f t="shared" si="2"/>
        <v>48</v>
      </c>
    </row>
    <row r="847" ht="15.75" customHeight="1">
      <c r="A847" s="18" t="s">
        <v>4789</v>
      </c>
      <c r="B847" s="18">
        <v>1985.0</v>
      </c>
      <c r="C847" s="18" t="s">
        <v>457</v>
      </c>
      <c r="D847" s="18">
        <v>10.0</v>
      </c>
      <c r="E847" s="18" t="str">
        <f t="shared" si="1"/>
        <v>10/12/85</v>
      </c>
      <c r="F847" s="18">
        <v>3.0</v>
      </c>
      <c r="G847" s="27">
        <v>6985.51</v>
      </c>
      <c r="H847" s="18" t="s">
        <v>140</v>
      </c>
      <c r="I847" s="18" t="s">
        <v>140</v>
      </c>
      <c r="J847" s="18" t="s">
        <v>1421</v>
      </c>
      <c r="K847" s="29">
        <f t="shared" si="2"/>
        <v>37</v>
      </c>
    </row>
    <row r="848" ht="15.75" customHeight="1">
      <c r="A848" s="18" t="s">
        <v>4785</v>
      </c>
      <c r="B848" s="18">
        <v>1982.0</v>
      </c>
      <c r="C848" s="18" t="s">
        <v>517</v>
      </c>
      <c r="D848" s="18">
        <v>18.0</v>
      </c>
      <c r="E848" s="18" t="str">
        <f t="shared" si="1"/>
        <v>18/10/82</v>
      </c>
      <c r="F848" s="18">
        <v>2.0</v>
      </c>
      <c r="G848" s="27">
        <v>6986.7</v>
      </c>
      <c r="H848" s="18" t="s">
        <v>142</v>
      </c>
      <c r="I848" s="18" t="s">
        <v>219</v>
      </c>
      <c r="J848" s="18" t="s">
        <v>325</v>
      </c>
      <c r="K848" s="29">
        <f t="shared" si="2"/>
        <v>40</v>
      </c>
    </row>
    <row r="849" ht="15.75" customHeight="1">
      <c r="A849" s="18" t="s">
        <v>4781</v>
      </c>
      <c r="B849" s="18">
        <v>1982.0</v>
      </c>
      <c r="C849" s="18" t="s">
        <v>272</v>
      </c>
      <c r="D849" s="18">
        <v>1.0</v>
      </c>
      <c r="E849" s="18" t="str">
        <f t="shared" si="1"/>
        <v>01/09/82</v>
      </c>
      <c r="F849" s="18">
        <v>3.0</v>
      </c>
      <c r="G849" s="27">
        <v>6989.95</v>
      </c>
      <c r="H849" s="18" t="s">
        <v>140</v>
      </c>
      <c r="I849" s="18" t="s">
        <v>219</v>
      </c>
      <c r="J849" s="18" t="s">
        <v>146</v>
      </c>
      <c r="K849" s="29">
        <f t="shared" si="2"/>
        <v>40</v>
      </c>
    </row>
    <row r="850" ht="15.75" customHeight="1">
      <c r="A850" s="18" t="s">
        <v>4777</v>
      </c>
      <c r="B850" s="18">
        <v>1969.0</v>
      </c>
      <c r="C850" s="18" t="s">
        <v>91</v>
      </c>
      <c r="D850" s="18">
        <v>6.0</v>
      </c>
      <c r="E850" s="18" t="str">
        <f t="shared" si="1"/>
        <v>06/07/69</v>
      </c>
      <c r="F850" s="18">
        <v>0.0</v>
      </c>
      <c r="G850" s="27">
        <v>7003.1</v>
      </c>
      <c r="H850" s="18" t="s">
        <v>140</v>
      </c>
      <c r="I850" s="18" t="s">
        <v>142</v>
      </c>
      <c r="J850" s="18" t="s">
        <v>146</v>
      </c>
      <c r="K850" s="29">
        <f t="shared" si="2"/>
        <v>53</v>
      </c>
    </row>
    <row r="851" ht="15.75" customHeight="1">
      <c r="A851" s="18" t="s">
        <v>4773</v>
      </c>
      <c r="B851" s="18">
        <v>1978.0</v>
      </c>
      <c r="C851" s="18" t="s">
        <v>241</v>
      </c>
      <c r="D851" s="18">
        <v>2.0</v>
      </c>
      <c r="E851" s="18" t="str">
        <f t="shared" si="1"/>
        <v>02/06/78</v>
      </c>
      <c r="F851" s="18">
        <v>2.0</v>
      </c>
      <c r="G851" s="27">
        <v>7033.08</v>
      </c>
      <c r="H851" s="18" t="s">
        <v>140</v>
      </c>
      <c r="I851" s="18" t="s">
        <v>140</v>
      </c>
      <c r="J851" s="18" t="s">
        <v>146</v>
      </c>
      <c r="K851" s="29">
        <f t="shared" si="2"/>
        <v>45</v>
      </c>
    </row>
    <row r="852" ht="15.75" customHeight="1">
      <c r="A852" s="18" t="s">
        <v>4770</v>
      </c>
      <c r="B852" s="18">
        <v>1995.0</v>
      </c>
      <c r="C852" s="18" t="s">
        <v>517</v>
      </c>
      <c r="D852" s="18">
        <v>29.0</v>
      </c>
      <c r="E852" s="18" t="str">
        <f t="shared" si="1"/>
        <v>29/10/95</v>
      </c>
      <c r="F852" s="18">
        <v>0.0</v>
      </c>
      <c r="G852" s="27">
        <v>7042.11</v>
      </c>
      <c r="H852" s="18" t="s">
        <v>140</v>
      </c>
      <c r="I852" s="18" t="s">
        <v>142</v>
      </c>
      <c r="J852" s="18" t="s">
        <v>325</v>
      </c>
      <c r="K852" s="29">
        <f t="shared" si="2"/>
        <v>27</v>
      </c>
    </row>
    <row r="853" ht="15.75" customHeight="1">
      <c r="A853" s="18" t="s">
        <v>4766</v>
      </c>
      <c r="B853" s="18">
        <v>1980.0</v>
      </c>
      <c r="C853" s="18" t="s">
        <v>91</v>
      </c>
      <c r="D853" s="18">
        <v>26.0</v>
      </c>
      <c r="E853" s="18" t="str">
        <f t="shared" si="1"/>
        <v>26/07/80</v>
      </c>
      <c r="F853" s="18">
        <v>1.0</v>
      </c>
      <c r="G853" s="27">
        <v>7045.5</v>
      </c>
      <c r="H853" s="18" t="s">
        <v>140</v>
      </c>
      <c r="I853" s="18" t="s">
        <v>219</v>
      </c>
      <c r="J853" s="18" t="s">
        <v>570</v>
      </c>
      <c r="K853" s="29">
        <f t="shared" si="2"/>
        <v>42</v>
      </c>
    </row>
    <row r="854" ht="15.75" customHeight="1">
      <c r="A854" s="18" t="s">
        <v>4762</v>
      </c>
      <c r="B854" s="18">
        <v>1980.0</v>
      </c>
      <c r="C854" s="18" t="s">
        <v>517</v>
      </c>
      <c r="D854" s="18">
        <v>22.0</v>
      </c>
      <c r="E854" s="18" t="str">
        <f t="shared" si="1"/>
        <v>22/10/80</v>
      </c>
      <c r="F854" s="18">
        <v>1.0</v>
      </c>
      <c r="G854" s="27">
        <v>7046.72</v>
      </c>
      <c r="H854" s="18" t="s">
        <v>140</v>
      </c>
      <c r="I854" s="18" t="s">
        <v>142</v>
      </c>
      <c r="J854" s="18" t="s">
        <v>146</v>
      </c>
      <c r="K854" s="29">
        <f t="shared" si="2"/>
        <v>42</v>
      </c>
    </row>
    <row r="855" ht="15.75" customHeight="1">
      <c r="A855" s="18" t="s">
        <v>4759</v>
      </c>
      <c r="B855" s="18">
        <v>1980.0</v>
      </c>
      <c r="C855" s="18" t="s">
        <v>91</v>
      </c>
      <c r="D855" s="18">
        <v>21.0</v>
      </c>
      <c r="E855" s="18" t="str">
        <f t="shared" si="1"/>
        <v>21/07/80</v>
      </c>
      <c r="F855" s="18">
        <v>0.0</v>
      </c>
      <c r="G855" s="27">
        <v>7050.02</v>
      </c>
      <c r="H855" s="18" t="s">
        <v>140</v>
      </c>
      <c r="I855" s="18" t="s">
        <v>219</v>
      </c>
      <c r="J855" s="18" t="s">
        <v>2024</v>
      </c>
      <c r="K855" s="29">
        <f t="shared" si="2"/>
        <v>42</v>
      </c>
    </row>
    <row r="856" ht="15.75" customHeight="1">
      <c r="A856" s="18" t="s">
        <v>4756</v>
      </c>
      <c r="B856" s="18">
        <v>1980.0</v>
      </c>
      <c r="C856" s="18" t="s">
        <v>241</v>
      </c>
      <c r="D856" s="18">
        <v>28.0</v>
      </c>
      <c r="E856" s="18" t="str">
        <f t="shared" si="1"/>
        <v>28/06/80</v>
      </c>
      <c r="F856" s="18">
        <v>1.0</v>
      </c>
      <c r="G856" s="27">
        <v>7050.64</v>
      </c>
      <c r="H856" s="18" t="s">
        <v>140</v>
      </c>
      <c r="I856" s="18" t="s">
        <v>142</v>
      </c>
      <c r="J856" s="18" t="s">
        <v>570</v>
      </c>
      <c r="K856" s="29">
        <f t="shared" si="2"/>
        <v>42</v>
      </c>
    </row>
    <row r="857" ht="15.75" customHeight="1">
      <c r="A857" s="18" t="s">
        <v>4753</v>
      </c>
      <c r="B857" s="18">
        <v>1978.0</v>
      </c>
      <c r="C857" s="18" t="s">
        <v>241</v>
      </c>
      <c r="D857" s="18">
        <v>24.0</v>
      </c>
      <c r="E857" s="18" t="str">
        <f t="shared" si="1"/>
        <v>24/06/78</v>
      </c>
      <c r="F857" s="18">
        <v>2.0</v>
      </c>
      <c r="G857" s="27">
        <v>7054.41</v>
      </c>
      <c r="H857" s="18" t="s">
        <v>140</v>
      </c>
      <c r="I857" s="18" t="s">
        <v>140</v>
      </c>
      <c r="J857" s="18" t="s">
        <v>146</v>
      </c>
      <c r="K857" s="29">
        <f t="shared" si="2"/>
        <v>44</v>
      </c>
    </row>
    <row r="858" ht="15.75" customHeight="1">
      <c r="A858" s="18" t="s">
        <v>4750</v>
      </c>
      <c r="B858" s="18">
        <v>1982.0</v>
      </c>
      <c r="C858" s="18" t="s">
        <v>517</v>
      </c>
      <c r="D858" s="18">
        <v>6.0</v>
      </c>
      <c r="E858" s="18" t="str">
        <f t="shared" si="1"/>
        <v>06/10/82</v>
      </c>
      <c r="F858" s="18">
        <v>1.0</v>
      </c>
      <c r="G858" s="27">
        <v>7077.19</v>
      </c>
      <c r="H858" s="18" t="s">
        <v>140</v>
      </c>
      <c r="I858" s="18" t="s">
        <v>142</v>
      </c>
      <c r="J858" s="18" t="s">
        <v>2024</v>
      </c>
      <c r="K858" s="29">
        <f t="shared" si="2"/>
        <v>40</v>
      </c>
    </row>
    <row r="859" ht="15.75" customHeight="1">
      <c r="A859" s="18" t="s">
        <v>4747</v>
      </c>
      <c r="B859" s="18">
        <v>1992.0</v>
      </c>
      <c r="C859" s="18" t="s">
        <v>241</v>
      </c>
      <c r="D859" s="18">
        <v>18.0</v>
      </c>
      <c r="E859" s="18" t="str">
        <f t="shared" si="1"/>
        <v>18/06/92</v>
      </c>
      <c r="F859" s="18">
        <v>0.0</v>
      </c>
      <c r="G859" s="27">
        <v>7096.98</v>
      </c>
      <c r="H859" s="18" t="s">
        <v>140</v>
      </c>
      <c r="I859" s="18" t="s">
        <v>140</v>
      </c>
      <c r="J859" s="18" t="s">
        <v>325</v>
      </c>
      <c r="K859" s="29">
        <f t="shared" si="2"/>
        <v>30</v>
      </c>
    </row>
    <row r="860" ht="15.75" customHeight="1">
      <c r="A860" s="18" t="s">
        <v>4743</v>
      </c>
      <c r="B860" s="18">
        <v>1987.0</v>
      </c>
      <c r="C860" s="18" t="s">
        <v>501</v>
      </c>
      <c r="D860" s="18">
        <v>11.0</v>
      </c>
      <c r="E860" s="18" t="str">
        <f t="shared" si="1"/>
        <v>11/08/87</v>
      </c>
      <c r="F860" s="18">
        <v>3.0</v>
      </c>
      <c r="G860" s="27">
        <v>7106.81</v>
      </c>
      <c r="H860" s="18" t="s">
        <v>140</v>
      </c>
      <c r="I860" s="18" t="s">
        <v>219</v>
      </c>
      <c r="J860" s="18" t="s">
        <v>325</v>
      </c>
      <c r="K860" s="29">
        <f t="shared" si="2"/>
        <v>35</v>
      </c>
    </row>
    <row r="861" ht="15.75" customHeight="1">
      <c r="A861" s="18" t="s">
        <v>4739</v>
      </c>
      <c r="B861" s="18">
        <v>1968.0</v>
      </c>
      <c r="C861" s="18" t="s">
        <v>241</v>
      </c>
      <c r="D861" s="18">
        <v>29.0</v>
      </c>
      <c r="E861" s="18" t="str">
        <f t="shared" si="1"/>
        <v>29/06/68</v>
      </c>
      <c r="F861" s="18">
        <v>0.0</v>
      </c>
      <c r="G861" s="27">
        <v>7125.25</v>
      </c>
      <c r="H861" s="18" t="s">
        <v>142</v>
      </c>
      <c r="I861" s="18" t="s">
        <v>140</v>
      </c>
      <c r="J861" s="18" t="s">
        <v>146</v>
      </c>
      <c r="K861" s="29">
        <f t="shared" si="2"/>
        <v>54</v>
      </c>
    </row>
    <row r="862" ht="15.75" customHeight="1">
      <c r="A862" s="18" t="s">
        <v>4735</v>
      </c>
      <c r="B862" s="18">
        <v>1993.0</v>
      </c>
      <c r="C862" s="18" t="s">
        <v>501</v>
      </c>
      <c r="D862" s="18">
        <v>1.0</v>
      </c>
      <c r="E862" s="18" t="str">
        <f t="shared" si="1"/>
        <v>01/08/93</v>
      </c>
      <c r="F862" s="18">
        <v>0.0</v>
      </c>
      <c r="G862" s="27">
        <v>7128.64</v>
      </c>
      <c r="H862" s="18" t="s">
        <v>140</v>
      </c>
      <c r="I862" s="18" t="s">
        <v>140</v>
      </c>
      <c r="J862" s="18" t="s">
        <v>2314</v>
      </c>
      <c r="K862" s="29">
        <f t="shared" si="2"/>
        <v>29</v>
      </c>
    </row>
    <row r="863" ht="15.75" customHeight="1">
      <c r="A863" s="18" t="s">
        <v>4732</v>
      </c>
      <c r="B863" s="18">
        <v>1984.0</v>
      </c>
      <c r="C863" s="18" t="s">
        <v>91</v>
      </c>
      <c r="D863" s="18">
        <v>7.0</v>
      </c>
      <c r="E863" s="18" t="str">
        <f t="shared" si="1"/>
        <v>07/07/84</v>
      </c>
      <c r="F863" s="18">
        <v>2.0</v>
      </c>
      <c r="G863" s="27">
        <v>7133.9</v>
      </c>
      <c r="H863" s="18" t="s">
        <v>140</v>
      </c>
      <c r="I863" s="18" t="s">
        <v>219</v>
      </c>
      <c r="J863" s="18" t="s">
        <v>2024</v>
      </c>
      <c r="K863" s="29">
        <f t="shared" si="2"/>
        <v>38</v>
      </c>
    </row>
    <row r="864" ht="15.75" customHeight="1">
      <c r="A864" s="18" t="s">
        <v>4728</v>
      </c>
      <c r="B864" s="18">
        <v>1999.0</v>
      </c>
      <c r="C864" s="18" t="s">
        <v>501</v>
      </c>
      <c r="D864" s="18">
        <v>8.0</v>
      </c>
      <c r="E864" s="18" t="str">
        <f t="shared" si="1"/>
        <v>08/08/99</v>
      </c>
      <c r="F864" s="18">
        <v>0.0</v>
      </c>
      <c r="G864" s="27">
        <v>7144.4</v>
      </c>
      <c r="H864" s="18" t="s">
        <v>140</v>
      </c>
      <c r="I864" s="18" t="s">
        <v>219</v>
      </c>
      <c r="J864" s="18" t="s">
        <v>3978</v>
      </c>
      <c r="K864" s="29">
        <f t="shared" si="2"/>
        <v>23</v>
      </c>
    </row>
    <row r="865" ht="15.75" customHeight="1">
      <c r="A865" s="18" t="s">
        <v>4725</v>
      </c>
      <c r="B865" s="18">
        <v>1984.0</v>
      </c>
      <c r="C865" s="18" t="s">
        <v>209</v>
      </c>
      <c r="D865" s="18">
        <v>21.0</v>
      </c>
      <c r="E865" s="18" t="str">
        <f t="shared" si="1"/>
        <v>21/11/84</v>
      </c>
      <c r="F865" s="18">
        <v>2.0</v>
      </c>
      <c r="G865" s="27">
        <v>7144.86</v>
      </c>
      <c r="H865" s="18" t="s">
        <v>140</v>
      </c>
      <c r="I865" s="18" t="s">
        <v>140</v>
      </c>
      <c r="J865" s="18" t="s">
        <v>2024</v>
      </c>
      <c r="K865" s="29">
        <f t="shared" si="2"/>
        <v>38</v>
      </c>
    </row>
    <row r="866" ht="15.75" customHeight="1">
      <c r="A866" s="18" t="s">
        <v>4721</v>
      </c>
      <c r="B866" s="18">
        <v>1976.0</v>
      </c>
      <c r="C866" s="18" t="s">
        <v>241</v>
      </c>
      <c r="D866" s="18">
        <v>24.0</v>
      </c>
      <c r="E866" s="18" t="str">
        <f t="shared" si="1"/>
        <v>24/06/76</v>
      </c>
      <c r="F866" s="18">
        <v>0.0</v>
      </c>
      <c r="G866" s="27">
        <v>7147.11</v>
      </c>
      <c r="H866" s="18" t="s">
        <v>142</v>
      </c>
      <c r="I866" s="18" t="s">
        <v>140</v>
      </c>
      <c r="J866" s="18" t="s">
        <v>570</v>
      </c>
      <c r="K866" s="29">
        <f t="shared" si="2"/>
        <v>46</v>
      </c>
    </row>
    <row r="867" ht="15.75" customHeight="1">
      <c r="A867" s="18" t="s">
        <v>4719</v>
      </c>
      <c r="B867" s="18">
        <v>1978.0</v>
      </c>
      <c r="C867" s="18" t="s">
        <v>91</v>
      </c>
      <c r="D867" s="18">
        <v>30.0</v>
      </c>
      <c r="E867" s="18" t="str">
        <f t="shared" si="1"/>
        <v>30/07/78</v>
      </c>
      <c r="F867" s="18">
        <v>1.0</v>
      </c>
      <c r="G867" s="27">
        <v>7147.47</v>
      </c>
      <c r="H867" s="18" t="s">
        <v>140</v>
      </c>
      <c r="I867" s="18" t="s">
        <v>142</v>
      </c>
      <c r="J867" s="18" t="s">
        <v>146</v>
      </c>
      <c r="K867" s="29">
        <f t="shared" si="2"/>
        <v>44</v>
      </c>
    </row>
    <row r="868" ht="15.75" customHeight="1">
      <c r="A868" s="18" t="s">
        <v>4716</v>
      </c>
      <c r="B868" s="18">
        <v>1984.0</v>
      </c>
      <c r="C868" s="18" t="s">
        <v>241</v>
      </c>
      <c r="D868" s="18">
        <v>29.0</v>
      </c>
      <c r="E868" s="18" t="str">
        <f t="shared" si="1"/>
        <v>29/06/84</v>
      </c>
      <c r="F868" s="18">
        <v>3.0</v>
      </c>
      <c r="G868" s="27">
        <v>7151.09</v>
      </c>
      <c r="H868" s="18" t="s">
        <v>140</v>
      </c>
      <c r="I868" s="18" t="s">
        <v>140</v>
      </c>
      <c r="J868" s="18" t="s">
        <v>570</v>
      </c>
      <c r="K868" s="29">
        <f t="shared" si="2"/>
        <v>38</v>
      </c>
    </row>
    <row r="869" ht="15.75" customHeight="1">
      <c r="A869" s="18" t="s">
        <v>4712</v>
      </c>
      <c r="B869" s="18">
        <v>1978.0</v>
      </c>
      <c r="C869" s="18" t="s">
        <v>272</v>
      </c>
      <c r="D869" s="18">
        <v>6.0</v>
      </c>
      <c r="E869" s="18" t="str">
        <f t="shared" si="1"/>
        <v>06/09/78</v>
      </c>
      <c r="F869" s="18">
        <v>1.0</v>
      </c>
      <c r="G869" s="27">
        <v>7152.67</v>
      </c>
      <c r="H869" s="18" t="s">
        <v>142</v>
      </c>
      <c r="I869" s="18" t="s">
        <v>140</v>
      </c>
      <c r="J869" s="18" t="s">
        <v>146</v>
      </c>
      <c r="K869" s="29">
        <f t="shared" si="2"/>
        <v>44</v>
      </c>
    </row>
    <row r="870" ht="15.75" customHeight="1">
      <c r="A870" s="18" t="s">
        <v>4709</v>
      </c>
      <c r="B870" s="18">
        <v>1981.0</v>
      </c>
      <c r="C870" s="18" t="s">
        <v>91</v>
      </c>
      <c r="D870" s="18">
        <v>17.0</v>
      </c>
      <c r="E870" s="18" t="str">
        <f t="shared" si="1"/>
        <v>17/07/81</v>
      </c>
      <c r="F870" s="18">
        <v>1.0</v>
      </c>
      <c r="G870" s="27">
        <v>7153.55</v>
      </c>
      <c r="H870" s="18" t="s">
        <v>140</v>
      </c>
      <c r="I870" s="18" t="s">
        <v>219</v>
      </c>
      <c r="J870" s="18" t="s">
        <v>325</v>
      </c>
      <c r="K870" s="29">
        <f t="shared" si="2"/>
        <v>41</v>
      </c>
    </row>
    <row r="871" ht="15.75" customHeight="1">
      <c r="A871" s="18" t="s">
        <v>4706</v>
      </c>
      <c r="B871" s="18">
        <v>1980.0</v>
      </c>
      <c r="C871" s="18" t="s">
        <v>241</v>
      </c>
      <c r="D871" s="18">
        <v>22.0</v>
      </c>
      <c r="E871" s="18" t="str">
        <f t="shared" si="1"/>
        <v>22/06/80</v>
      </c>
      <c r="F871" s="18">
        <v>2.0</v>
      </c>
      <c r="G871" s="27">
        <v>7160.09</v>
      </c>
      <c r="H871" s="18" t="s">
        <v>140</v>
      </c>
      <c r="I871" s="18" t="s">
        <v>140</v>
      </c>
      <c r="J871" s="18" t="s">
        <v>570</v>
      </c>
      <c r="K871" s="29">
        <f t="shared" si="2"/>
        <v>42</v>
      </c>
    </row>
    <row r="872" ht="15.75" customHeight="1">
      <c r="A872" s="18" t="s">
        <v>4701</v>
      </c>
      <c r="B872" s="18">
        <v>1980.0</v>
      </c>
      <c r="C872" s="18" t="s">
        <v>517</v>
      </c>
      <c r="D872" s="18">
        <v>7.0</v>
      </c>
      <c r="E872" s="18" t="str">
        <f t="shared" si="1"/>
        <v>07/10/80</v>
      </c>
      <c r="F872" s="18">
        <v>2.0</v>
      </c>
      <c r="G872" s="27">
        <v>7160.33</v>
      </c>
      <c r="H872" s="18" t="s">
        <v>140</v>
      </c>
      <c r="I872" s="18" t="s">
        <v>219</v>
      </c>
      <c r="J872" s="18" t="s">
        <v>146</v>
      </c>
      <c r="K872" s="29">
        <f t="shared" si="2"/>
        <v>42</v>
      </c>
    </row>
    <row r="873" ht="15.75" customHeight="1">
      <c r="A873" s="18" t="s">
        <v>4698</v>
      </c>
      <c r="B873" s="18">
        <v>1980.0</v>
      </c>
      <c r="C873" s="18" t="s">
        <v>272</v>
      </c>
      <c r="D873" s="18">
        <v>30.0</v>
      </c>
      <c r="E873" s="18" t="str">
        <f t="shared" si="1"/>
        <v>30/09/80</v>
      </c>
      <c r="F873" s="18">
        <v>2.0</v>
      </c>
      <c r="G873" s="27">
        <v>7162.01</v>
      </c>
      <c r="H873" s="18" t="s">
        <v>140</v>
      </c>
      <c r="I873" s="18" t="s">
        <v>142</v>
      </c>
      <c r="J873" s="18" t="s">
        <v>146</v>
      </c>
      <c r="K873" s="29">
        <f t="shared" si="2"/>
        <v>42</v>
      </c>
    </row>
    <row r="874" ht="15.75" customHeight="1">
      <c r="A874" s="18" t="s">
        <v>4695</v>
      </c>
      <c r="B874" s="18">
        <v>1982.0</v>
      </c>
      <c r="C874" s="18" t="s">
        <v>501</v>
      </c>
      <c r="D874" s="18">
        <v>16.0</v>
      </c>
      <c r="E874" s="18" t="str">
        <f t="shared" si="1"/>
        <v>16/08/82</v>
      </c>
      <c r="F874" s="18">
        <v>2.0</v>
      </c>
      <c r="G874" s="27">
        <v>7173.36</v>
      </c>
      <c r="H874" s="18" t="s">
        <v>142</v>
      </c>
      <c r="I874" s="18" t="s">
        <v>140</v>
      </c>
      <c r="J874" s="18" t="s">
        <v>1427</v>
      </c>
      <c r="K874" s="29">
        <f t="shared" si="2"/>
        <v>40</v>
      </c>
    </row>
    <row r="875" ht="15.75" customHeight="1">
      <c r="A875" s="18" t="s">
        <v>4692</v>
      </c>
      <c r="B875" s="18">
        <v>1975.0</v>
      </c>
      <c r="C875" s="18" t="s">
        <v>91</v>
      </c>
      <c r="D875" s="18">
        <v>19.0</v>
      </c>
      <c r="E875" s="18" t="str">
        <f t="shared" si="1"/>
        <v>19/07/75</v>
      </c>
      <c r="F875" s="18">
        <v>1.0</v>
      </c>
      <c r="G875" s="27">
        <v>7175.51</v>
      </c>
      <c r="H875" s="18" t="s">
        <v>140</v>
      </c>
      <c r="I875" s="18" t="s">
        <v>142</v>
      </c>
      <c r="J875" s="18" t="s">
        <v>146</v>
      </c>
      <c r="K875" s="29">
        <f t="shared" si="2"/>
        <v>47</v>
      </c>
    </row>
    <row r="876" ht="15.75" customHeight="1">
      <c r="A876" s="18" t="s">
        <v>4688</v>
      </c>
      <c r="B876" s="18">
        <v>1968.0</v>
      </c>
      <c r="C876" s="18" t="s">
        <v>501</v>
      </c>
      <c r="D876" s="18">
        <v>26.0</v>
      </c>
      <c r="E876" s="18" t="str">
        <f t="shared" si="1"/>
        <v>26/08/68</v>
      </c>
      <c r="F876" s="18">
        <v>0.0</v>
      </c>
      <c r="G876" s="27">
        <v>7179.52</v>
      </c>
      <c r="H876" s="18" t="s">
        <v>142</v>
      </c>
      <c r="I876" s="18" t="s">
        <v>142</v>
      </c>
      <c r="J876" s="18" t="s">
        <v>146</v>
      </c>
      <c r="K876" s="29">
        <f t="shared" si="2"/>
        <v>54</v>
      </c>
    </row>
    <row r="877" ht="15.75" customHeight="1">
      <c r="A877" s="18" t="s">
        <v>4685</v>
      </c>
      <c r="B877" s="18">
        <v>1982.0</v>
      </c>
      <c r="C877" s="18" t="s">
        <v>272</v>
      </c>
      <c r="D877" s="18">
        <v>14.0</v>
      </c>
      <c r="E877" s="18" t="str">
        <f t="shared" si="1"/>
        <v>14/09/82</v>
      </c>
      <c r="F877" s="18">
        <v>3.0</v>
      </c>
      <c r="G877" s="27">
        <v>7196.87</v>
      </c>
      <c r="H877" s="18" t="s">
        <v>142</v>
      </c>
      <c r="I877" s="18" t="s">
        <v>140</v>
      </c>
      <c r="J877" s="18" t="s">
        <v>570</v>
      </c>
      <c r="K877" s="29">
        <f t="shared" si="2"/>
        <v>40</v>
      </c>
    </row>
    <row r="878" ht="15.75" customHeight="1">
      <c r="A878" s="18" t="s">
        <v>4683</v>
      </c>
      <c r="B878" s="18">
        <v>1983.0</v>
      </c>
      <c r="C878" s="18" t="s">
        <v>501</v>
      </c>
      <c r="D878" s="18">
        <v>11.0</v>
      </c>
      <c r="E878" s="18" t="str">
        <f t="shared" si="1"/>
        <v>11/08/83</v>
      </c>
      <c r="F878" s="18">
        <v>2.0</v>
      </c>
      <c r="G878" s="27">
        <v>7201.7</v>
      </c>
      <c r="H878" s="18" t="s">
        <v>140</v>
      </c>
      <c r="I878" s="18" t="s">
        <v>142</v>
      </c>
      <c r="J878" s="18" t="s">
        <v>325</v>
      </c>
      <c r="K878" s="29">
        <f t="shared" si="2"/>
        <v>39</v>
      </c>
    </row>
    <row r="879" ht="15.75" customHeight="1">
      <c r="A879" s="18" t="s">
        <v>4681</v>
      </c>
      <c r="B879" s="18">
        <v>1983.0</v>
      </c>
      <c r="C879" s="18" t="s">
        <v>209</v>
      </c>
      <c r="D879" s="18">
        <v>21.0</v>
      </c>
      <c r="E879" s="18" t="str">
        <f t="shared" si="1"/>
        <v>21/11/83</v>
      </c>
      <c r="F879" s="18">
        <v>2.0</v>
      </c>
      <c r="G879" s="27">
        <v>7209.49</v>
      </c>
      <c r="H879" s="18" t="s">
        <v>140</v>
      </c>
      <c r="I879" s="18" t="s">
        <v>142</v>
      </c>
      <c r="J879" s="18" t="s">
        <v>325</v>
      </c>
      <c r="K879" s="29">
        <f t="shared" si="2"/>
        <v>39</v>
      </c>
    </row>
    <row r="880" ht="15.75" customHeight="1">
      <c r="A880" s="18" t="s">
        <v>4678</v>
      </c>
      <c r="B880" s="18">
        <v>1991.0</v>
      </c>
      <c r="C880" s="18" t="s">
        <v>241</v>
      </c>
      <c r="D880" s="18">
        <v>28.0</v>
      </c>
      <c r="E880" s="18" t="str">
        <f t="shared" si="1"/>
        <v>28/06/91</v>
      </c>
      <c r="F880" s="18">
        <v>3.0</v>
      </c>
      <c r="G880" s="27">
        <v>7220.25</v>
      </c>
      <c r="H880" s="18" t="s">
        <v>140</v>
      </c>
      <c r="I880" s="18" t="s">
        <v>140</v>
      </c>
      <c r="J880" s="18" t="s">
        <v>2314</v>
      </c>
      <c r="K880" s="29">
        <f t="shared" si="2"/>
        <v>31</v>
      </c>
    </row>
    <row r="881" ht="15.75" customHeight="1">
      <c r="A881" s="18" t="s">
        <v>4674</v>
      </c>
      <c r="B881" s="18">
        <v>1977.0</v>
      </c>
      <c r="C881" s="18" t="s">
        <v>272</v>
      </c>
      <c r="D881" s="18">
        <v>15.0</v>
      </c>
      <c r="E881" s="18" t="str">
        <f t="shared" si="1"/>
        <v>15/09/77</v>
      </c>
      <c r="F881" s="18">
        <v>0.0</v>
      </c>
      <c r="G881" s="27">
        <v>7222.79</v>
      </c>
      <c r="H881" s="18" t="s">
        <v>142</v>
      </c>
      <c r="I881" s="18" t="s">
        <v>142</v>
      </c>
      <c r="J881" s="18" t="s">
        <v>325</v>
      </c>
      <c r="K881" s="29">
        <f t="shared" si="2"/>
        <v>45</v>
      </c>
    </row>
    <row r="882" ht="15.75" customHeight="1">
      <c r="A882" s="18" t="s">
        <v>4671</v>
      </c>
      <c r="B882" s="18">
        <v>1986.0</v>
      </c>
      <c r="C882" s="18" t="s">
        <v>91</v>
      </c>
      <c r="D882" s="18">
        <v>13.0</v>
      </c>
      <c r="E882" s="18" t="str">
        <f t="shared" si="1"/>
        <v>13/07/86</v>
      </c>
      <c r="F882" s="18">
        <v>3.0</v>
      </c>
      <c r="G882" s="27">
        <v>7228.22</v>
      </c>
      <c r="H882" s="18" t="s">
        <v>140</v>
      </c>
      <c r="I882" s="18" t="s">
        <v>219</v>
      </c>
      <c r="J882" s="18" t="s">
        <v>2024</v>
      </c>
      <c r="K882" s="29">
        <f t="shared" si="2"/>
        <v>36</v>
      </c>
    </row>
    <row r="883" ht="15.75" customHeight="1">
      <c r="A883" s="18" t="s">
        <v>4667</v>
      </c>
      <c r="B883" s="18">
        <v>1986.0</v>
      </c>
      <c r="C883" s="18" t="s">
        <v>272</v>
      </c>
      <c r="D883" s="18">
        <v>2.0</v>
      </c>
      <c r="E883" s="18" t="str">
        <f t="shared" si="1"/>
        <v>02/09/86</v>
      </c>
      <c r="F883" s="18">
        <v>4.0</v>
      </c>
      <c r="G883" s="27">
        <v>7243.81</v>
      </c>
      <c r="H883" s="18" t="s">
        <v>140</v>
      </c>
      <c r="I883" s="18" t="s">
        <v>142</v>
      </c>
      <c r="J883" s="18" t="s">
        <v>146</v>
      </c>
      <c r="K883" s="29">
        <f t="shared" si="2"/>
        <v>36</v>
      </c>
    </row>
    <row r="884" ht="15.75" customHeight="1">
      <c r="A884" s="18" t="s">
        <v>4664</v>
      </c>
      <c r="B884" s="18">
        <v>1982.0</v>
      </c>
      <c r="C884" s="18" t="s">
        <v>91</v>
      </c>
      <c r="D884" s="18">
        <v>24.0</v>
      </c>
      <c r="E884" s="18" t="str">
        <f t="shared" si="1"/>
        <v>24/07/82</v>
      </c>
      <c r="F884" s="18">
        <v>3.0</v>
      </c>
      <c r="G884" s="27">
        <v>7248.71</v>
      </c>
      <c r="H884" s="18" t="s">
        <v>140</v>
      </c>
      <c r="I884" s="18" t="s">
        <v>219</v>
      </c>
      <c r="J884" s="18" t="s">
        <v>146</v>
      </c>
      <c r="K884" s="29">
        <f t="shared" si="2"/>
        <v>40</v>
      </c>
    </row>
    <row r="885" ht="15.75" customHeight="1">
      <c r="A885" s="18" t="s">
        <v>4661</v>
      </c>
      <c r="B885" s="18">
        <v>1981.0</v>
      </c>
      <c r="C885" s="18" t="s">
        <v>501</v>
      </c>
      <c r="D885" s="18">
        <v>14.0</v>
      </c>
      <c r="E885" s="18" t="str">
        <f t="shared" si="1"/>
        <v>14/08/81</v>
      </c>
      <c r="F885" s="18">
        <v>2.0</v>
      </c>
      <c r="G885" s="27">
        <v>7256.72</v>
      </c>
      <c r="H885" s="18" t="s">
        <v>142</v>
      </c>
      <c r="I885" s="18" t="s">
        <v>140</v>
      </c>
      <c r="J885" s="18" t="s">
        <v>325</v>
      </c>
      <c r="K885" s="29">
        <f t="shared" si="2"/>
        <v>41</v>
      </c>
    </row>
    <row r="886" ht="15.75" customHeight="1">
      <c r="A886" s="18" t="s">
        <v>4657</v>
      </c>
      <c r="B886" s="18">
        <v>1981.0</v>
      </c>
      <c r="C886" s="18" t="s">
        <v>241</v>
      </c>
      <c r="D886" s="18">
        <v>13.0</v>
      </c>
      <c r="E886" s="18" t="str">
        <f t="shared" si="1"/>
        <v>13/06/81</v>
      </c>
      <c r="F886" s="18">
        <v>2.0</v>
      </c>
      <c r="G886" s="27">
        <v>7261.74</v>
      </c>
      <c r="H886" s="18" t="s">
        <v>142</v>
      </c>
      <c r="I886" s="18" t="s">
        <v>142</v>
      </c>
      <c r="J886" s="18" t="s">
        <v>325</v>
      </c>
      <c r="K886" s="29">
        <f t="shared" si="2"/>
        <v>41</v>
      </c>
    </row>
    <row r="887" ht="15.75" customHeight="1">
      <c r="A887" s="18" t="s">
        <v>4653</v>
      </c>
      <c r="B887" s="18">
        <v>1973.0</v>
      </c>
      <c r="C887" s="18" t="s">
        <v>517</v>
      </c>
      <c r="D887" s="18">
        <v>25.0</v>
      </c>
      <c r="E887" s="18" t="str">
        <f t="shared" si="1"/>
        <v>25/10/73</v>
      </c>
      <c r="F887" s="18">
        <v>0.0</v>
      </c>
      <c r="G887" s="27">
        <v>7265.58</v>
      </c>
      <c r="H887" s="18" t="s">
        <v>140</v>
      </c>
      <c r="I887" s="18" t="s">
        <v>140</v>
      </c>
      <c r="J887" s="18" t="s">
        <v>146</v>
      </c>
      <c r="K887" s="29">
        <f t="shared" si="2"/>
        <v>49</v>
      </c>
    </row>
    <row r="888" ht="15.75" customHeight="1">
      <c r="A888" s="18" t="s">
        <v>4650</v>
      </c>
      <c r="B888" s="18">
        <v>1981.0</v>
      </c>
      <c r="C888" s="18" t="s">
        <v>501</v>
      </c>
      <c r="D888" s="18">
        <v>4.0</v>
      </c>
      <c r="E888" s="18" t="str">
        <f t="shared" si="1"/>
        <v>04/08/81</v>
      </c>
      <c r="F888" s="18">
        <v>2.0</v>
      </c>
      <c r="G888" s="27">
        <v>7265.7</v>
      </c>
      <c r="H888" s="18" t="s">
        <v>142</v>
      </c>
      <c r="I888" s="18" t="s">
        <v>142</v>
      </c>
      <c r="J888" s="18" t="s">
        <v>325</v>
      </c>
      <c r="K888" s="29">
        <f t="shared" si="2"/>
        <v>41</v>
      </c>
    </row>
    <row r="889" ht="15.75" customHeight="1">
      <c r="A889" s="18" t="s">
        <v>4646</v>
      </c>
      <c r="B889" s="18">
        <v>1976.0</v>
      </c>
      <c r="C889" s="18" t="s">
        <v>457</v>
      </c>
      <c r="D889" s="18">
        <v>18.0</v>
      </c>
      <c r="E889" s="18" t="str">
        <f t="shared" si="1"/>
        <v>18/12/76</v>
      </c>
      <c r="F889" s="18">
        <v>2.0</v>
      </c>
      <c r="G889" s="27">
        <v>7273.02</v>
      </c>
      <c r="H889" s="18" t="s">
        <v>140</v>
      </c>
      <c r="I889" s="18" t="s">
        <v>219</v>
      </c>
      <c r="J889" s="18" t="s">
        <v>146</v>
      </c>
      <c r="K889" s="29">
        <f t="shared" si="2"/>
        <v>46</v>
      </c>
    </row>
    <row r="890" ht="15.75" customHeight="1">
      <c r="A890" s="18" t="s">
        <v>4642</v>
      </c>
      <c r="B890" s="18">
        <v>1985.0</v>
      </c>
      <c r="C890" s="18" t="s">
        <v>209</v>
      </c>
      <c r="D890" s="18">
        <v>2.0</v>
      </c>
      <c r="E890" s="18" t="str">
        <f t="shared" si="1"/>
        <v>02/11/85</v>
      </c>
      <c r="F890" s="18">
        <v>3.0</v>
      </c>
      <c r="G890" s="27">
        <v>7281.51</v>
      </c>
      <c r="H890" s="18" t="s">
        <v>140</v>
      </c>
      <c r="I890" s="18" t="s">
        <v>219</v>
      </c>
      <c r="J890" s="18" t="s">
        <v>325</v>
      </c>
      <c r="K890" s="29">
        <f t="shared" si="2"/>
        <v>37</v>
      </c>
    </row>
    <row r="891" ht="15.75" customHeight="1">
      <c r="A891" s="18" t="s">
        <v>4639</v>
      </c>
      <c r="B891" s="18">
        <v>1966.0</v>
      </c>
      <c r="C891" s="18" t="s">
        <v>457</v>
      </c>
      <c r="D891" s="18">
        <v>26.0</v>
      </c>
      <c r="E891" s="18" t="str">
        <f t="shared" si="1"/>
        <v>26/12/66</v>
      </c>
      <c r="F891" s="18">
        <v>0.0</v>
      </c>
      <c r="G891" s="27">
        <v>7302.46</v>
      </c>
      <c r="H891" s="18" t="s">
        <v>142</v>
      </c>
      <c r="I891" s="18" t="s">
        <v>219</v>
      </c>
      <c r="J891" s="18" t="s">
        <v>325</v>
      </c>
      <c r="K891" s="29">
        <f t="shared" si="2"/>
        <v>56</v>
      </c>
    </row>
    <row r="892" ht="15.75" customHeight="1">
      <c r="A892" s="18" t="s">
        <v>4635</v>
      </c>
      <c r="B892" s="18">
        <v>1965.0</v>
      </c>
      <c r="C892" s="18" t="s">
        <v>241</v>
      </c>
      <c r="D892" s="18">
        <v>6.0</v>
      </c>
      <c r="E892" s="18" t="str">
        <f t="shared" si="1"/>
        <v>06/06/65</v>
      </c>
      <c r="F892" s="18">
        <v>0.0</v>
      </c>
      <c r="G892" s="27">
        <v>7304.65</v>
      </c>
      <c r="H892" s="18" t="s">
        <v>142</v>
      </c>
      <c r="I892" s="18" t="s">
        <v>142</v>
      </c>
      <c r="J892" s="18" t="s">
        <v>146</v>
      </c>
      <c r="K892" s="29">
        <f t="shared" si="2"/>
        <v>58</v>
      </c>
    </row>
    <row r="893" ht="15.75" customHeight="1">
      <c r="A893" s="18" t="s">
        <v>4632</v>
      </c>
      <c r="B893" s="18">
        <v>1965.0</v>
      </c>
      <c r="C893" s="18" t="s">
        <v>241</v>
      </c>
      <c r="D893" s="18">
        <v>25.0</v>
      </c>
      <c r="E893" s="18" t="str">
        <f t="shared" si="1"/>
        <v>25/06/65</v>
      </c>
      <c r="F893" s="18">
        <v>0.0</v>
      </c>
      <c r="G893" s="27">
        <v>7318.21</v>
      </c>
      <c r="H893" s="18" t="s">
        <v>142</v>
      </c>
      <c r="I893" s="18" t="s">
        <v>219</v>
      </c>
      <c r="J893" s="18" t="s">
        <v>146</v>
      </c>
      <c r="K893" s="29">
        <f t="shared" si="2"/>
        <v>57</v>
      </c>
    </row>
    <row r="894" ht="15.75" customHeight="1">
      <c r="A894" s="18" t="s">
        <v>4623</v>
      </c>
      <c r="B894" s="18">
        <v>1972.0</v>
      </c>
      <c r="C894" s="18" t="s">
        <v>501</v>
      </c>
      <c r="D894" s="18">
        <v>11.0</v>
      </c>
      <c r="E894" s="18" t="str">
        <f t="shared" si="1"/>
        <v>11/08/72</v>
      </c>
      <c r="F894" s="18">
        <v>0.0</v>
      </c>
      <c r="G894" s="27">
        <v>7318.22</v>
      </c>
      <c r="H894" s="18" t="s">
        <v>140</v>
      </c>
      <c r="I894" s="18" t="s">
        <v>142</v>
      </c>
      <c r="J894" s="18" t="s">
        <v>325</v>
      </c>
      <c r="K894" s="29">
        <f t="shared" si="2"/>
        <v>50</v>
      </c>
    </row>
    <row r="895" ht="15.75" customHeight="1">
      <c r="A895" s="18" t="s">
        <v>4619</v>
      </c>
      <c r="B895" s="18">
        <v>1965.0</v>
      </c>
      <c r="C895" s="18" t="s">
        <v>91</v>
      </c>
      <c r="D895" s="18">
        <v>11.0</v>
      </c>
      <c r="E895" s="18" t="str">
        <f t="shared" si="1"/>
        <v>11/07/65</v>
      </c>
      <c r="F895" s="18">
        <v>0.0</v>
      </c>
      <c r="G895" s="27">
        <v>7322.86</v>
      </c>
      <c r="H895" s="18" t="s">
        <v>142</v>
      </c>
      <c r="I895" s="18" t="s">
        <v>142</v>
      </c>
      <c r="J895" s="18" t="s">
        <v>325</v>
      </c>
      <c r="K895" s="29">
        <f t="shared" si="2"/>
        <v>57</v>
      </c>
    </row>
    <row r="896" ht="15.75" customHeight="1">
      <c r="A896" s="18" t="s">
        <v>4616</v>
      </c>
      <c r="B896" s="18">
        <v>2004.0</v>
      </c>
      <c r="C896" s="18" t="s">
        <v>209</v>
      </c>
      <c r="D896" s="18">
        <v>15.0</v>
      </c>
      <c r="E896" s="18" t="str">
        <f t="shared" si="1"/>
        <v>15/11/04</v>
      </c>
      <c r="F896" s="18">
        <v>0.0</v>
      </c>
      <c r="G896" s="27">
        <v>7323.73</v>
      </c>
      <c r="H896" s="18" t="s">
        <v>140</v>
      </c>
      <c r="I896" s="18" t="s">
        <v>140</v>
      </c>
      <c r="J896" s="18" t="s">
        <v>2024</v>
      </c>
      <c r="K896" s="29">
        <f t="shared" si="2"/>
        <v>18</v>
      </c>
    </row>
    <row r="897" ht="15.75" customHeight="1">
      <c r="A897" s="18" t="s">
        <v>4613</v>
      </c>
      <c r="B897" s="18">
        <v>1979.0</v>
      </c>
      <c r="C897" s="18" t="s">
        <v>241</v>
      </c>
      <c r="D897" s="18">
        <v>19.0</v>
      </c>
      <c r="E897" s="18" t="str">
        <f t="shared" si="1"/>
        <v>19/06/79</v>
      </c>
      <c r="F897" s="18">
        <v>0.0</v>
      </c>
      <c r="G897" s="27">
        <v>7325.05</v>
      </c>
      <c r="H897" s="18" t="s">
        <v>140</v>
      </c>
      <c r="I897" s="18" t="s">
        <v>142</v>
      </c>
      <c r="J897" s="18" t="s">
        <v>2024</v>
      </c>
      <c r="K897" s="29">
        <f t="shared" si="2"/>
        <v>43</v>
      </c>
    </row>
    <row r="898" ht="15.75" customHeight="1">
      <c r="A898" s="18" t="s">
        <v>4612</v>
      </c>
      <c r="B898" s="18">
        <v>1984.0</v>
      </c>
      <c r="C898" s="18" t="s">
        <v>91</v>
      </c>
      <c r="D898" s="18">
        <v>25.0</v>
      </c>
      <c r="E898" s="18" t="str">
        <f t="shared" si="1"/>
        <v>25/07/84</v>
      </c>
      <c r="F898" s="18">
        <v>3.0</v>
      </c>
      <c r="G898" s="27">
        <v>7325.47</v>
      </c>
      <c r="H898" s="18" t="s">
        <v>140</v>
      </c>
      <c r="I898" s="18" t="s">
        <v>219</v>
      </c>
      <c r="J898" s="18" t="s">
        <v>325</v>
      </c>
      <c r="K898" s="29">
        <f t="shared" si="2"/>
        <v>38</v>
      </c>
    </row>
    <row r="899" ht="15.75" customHeight="1">
      <c r="A899" s="18" t="s">
        <v>4609</v>
      </c>
      <c r="B899" s="18">
        <v>1979.0</v>
      </c>
      <c r="C899" s="18" t="s">
        <v>272</v>
      </c>
      <c r="D899" s="18">
        <v>19.0</v>
      </c>
      <c r="E899" s="18" t="str">
        <f t="shared" si="1"/>
        <v>19/09/79</v>
      </c>
      <c r="F899" s="18">
        <v>1.0</v>
      </c>
      <c r="G899" s="27">
        <v>7337.75</v>
      </c>
      <c r="H899" s="18" t="s">
        <v>140</v>
      </c>
      <c r="I899" s="18" t="s">
        <v>142</v>
      </c>
      <c r="J899" s="18" t="s">
        <v>570</v>
      </c>
      <c r="K899" s="29">
        <f t="shared" si="2"/>
        <v>43</v>
      </c>
    </row>
    <row r="900" ht="15.75" customHeight="1">
      <c r="A900" s="18" t="s">
        <v>4605</v>
      </c>
      <c r="B900" s="18">
        <v>1986.0</v>
      </c>
      <c r="C900" s="18" t="s">
        <v>241</v>
      </c>
      <c r="D900" s="18">
        <v>15.0</v>
      </c>
      <c r="E900" s="18" t="str">
        <f t="shared" si="1"/>
        <v>15/06/86</v>
      </c>
      <c r="F900" s="18">
        <v>3.0</v>
      </c>
      <c r="G900" s="27">
        <v>7339.93</v>
      </c>
      <c r="H900" s="18" t="s">
        <v>140</v>
      </c>
      <c r="I900" s="18" t="s">
        <v>140</v>
      </c>
      <c r="J900" s="18" t="s">
        <v>325</v>
      </c>
      <c r="K900" s="29">
        <f t="shared" si="2"/>
        <v>36</v>
      </c>
    </row>
    <row r="901" ht="15.75" customHeight="1">
      <c r="A901" s="18" t="s">
        <v>4602</v>
      </c>
      <c r="B901" s="18">
        <v>1977.0</v>
      </c>
      <c r="C901" s="18" t="s">
        <v>457</v>
      </c>
      <c r="D901" s="18">
        <v>18.0</v>
      </c>
      <c r="E901" s="18" t="str">
        <f t="shared" si="1"/>
        <v>18/12/77</v>
      </c>
      <c r="F901" s="18">
        <v>0.0</v>
      </c>
      <c r="G901" s="27">
        <v>7345.08</v>
      </c>
      <c r="H901" s="18" t="s">
        <v>140</v>
      </c>
      <c r="I901" s="18" t="s">
        <v>219</v>
      </c>
      <c r="J901" s="18" t="s">
        <v>570</v>
      </c>
      <c r="K901" s="29">
        <f t="shared" si="2"/>
        <v>45</v>
      </c>
    </row>
    <row r="902" ht="15.75" customHeight="1">
      <c r="A902" s="18" t="s">
        <v>4599</v>
      </c>
      <c r="B902" s="18">
        <v>1979.0</v>
      </c>
      <c r="C902" s="18" t="s">
        <v>241</v>
      </c>
      <c r="D902" s="18">
        <v>26.0</v>
      </c>
      <c r="E902" s="18" t="str">
        <f t="shared" si="1"/>
        <v>26/06/79</v>
      </c>
      <c r="F902" s="18">
        <v>1.0</v>
      </c>
      <c r="G902" s="27">
        <v>7345.73</v>
      </c>
      <c r="H902" s="18" t="s">
        <v>140</v>
      </c>
      <c r="I902" s="18" t="s">
        <v>219</v>
      </c>
      <c r="J902" s="18" t="s">
        <v>146</v>
      </c>
      <c r="K902" s="29">
        <f t="shared" si="2"/>
        <v>43</v>
      </c>
    </row>
    <row r="903" ht="15.75" customHeight="1">
      <c r="A903" s="18" t="s">
        <v>4596</v>
      </c>
      <c r="B903" s="18">
        <v>1977.0</v>
      </c>
      <c r="C903" s="18" t="s">
        <v>457</v>
      </c>
      <c r="D903" s="18">
        <v>1.0</v>
      </c>
      <c r="E903" s="18" t="str">
        <f t="shared" si="1"/>
        <v>01/12/77</v>
      </c>
      <c r="F903" s="18">
        <v>0.0</v>
      </c>
      <c r="G903" s="27">
        <v>7348.14</v>
      </c>
      <c r="H903" s="18" t="s">
        <v>140</v>
      </c>
      <c r="I903" s="18" t="s">
        <v>219</v>
      </c>
      <c r="J903" s="18" t="s">
        <v>570</v>
      </c>
      <c r="K903" s="29">
        <f t="shared" si="2"/>
        <v>45</v>
      </c>
    </row>
    <row r="904" ht="15.75" customHeight="1">
      <c r="A904" s="18" t="s">
        <v>4592</v>
      </c>
      <c r="B904" s="18">
        <v>1993.0</v>
      </c>
      <c r="C904" s="18" t="s">
        <v>517</v>
      </c>
      <c r="D904" s="18">
        <v>5.0</v>
      </c>
      <c r="E904" s="18" t="str">
        <f t="shared" si="1"/>
        <v>05/10/93</v>
      </c>
      <c r="F904" s="18">
        <v>0.0</v>
      </c>
      <c r="G904" s="27">
        <v>7349.12</v>
      </c>
      <c r="H904" s="18" t="s">
        <v>140</v>
      </c>
      <c r="I904" s="18" t="s">
        <v>140</v>
      </c>
      <c r="J904" s="18" t="s">
        <v>2314</v>
      </c>
      <c r="K904" s="29">
        <f t="shared" si="2"/>
        <v>29</v>
      </c>
    </row>
    <row r="905" ht="15.75" customHeight="1">
      <c r="A905" s="18" t="s">
        <v>4590</v>
      </c>
      <c r="B905" s="18">
        <v>1983.0</v>
      </c>
      <c r="C905" s="18" t="s">
        <v>241</v>
      </c>
      <c r="D905" s="18">
        <v>21.0</v>
      </c>
      <c r="E905" s="18" t="str">
        <f t="shared" si="1"/>
        <v>21/06/83</v>
      </c>
      <c r="F905" s="18">
        <v>3.0</v>
      </c>
      <c r="G905" s="27">
        <v>7357.49</v>
      </c>
      <c r="H905" s="18" t="s">
        <v>140</v>
      </c>
      <c r="I905" s="18" t="s">
        <v>140</v>
      </c>
      <c r="J905" s="18" t="s">
        <v>325</v>
      </c>
      <c r="K905" s="29">
        <f t="shared" si="2"/>
        <v>39</v>
      </c>
    </row>
    <row r="906" ht="15.75" customHeight="1">
      <c r="A906" s="18" t="s">
        <v>4587</v>
      </c>
      <c r="B906" s="18">
        <v>1981.0</v>
      </c>
      <c r="C906" s="18" t="s">
        <v>91</v>
      </c>
      <c r="D906" s="18">
        <v>16.0</v>
      </c>
      <c r="E906" s="18" t="str">
        <f t="shared" si="1"/>
        <v>16/07/81</v>
      </c>
      <c r="F906" s="18">
        <v>1.0</v>
      </c>
      <c r="G906" s="27">
        <v>7358.18</v>
      </c>
      <c r="H906" s="18" t="s">
        <v>140</v>
      </c>
      <c r="I906" s="18" t="s">
        <v>142</v>
      </c>
      <c r="J906" s="18" t="s">
        <v>2024</v>
      </c>
      <c r="K906" s="29">
        <f t="shared" si="2"/>
        <v>41</v>
      </c>
    </row>
    <row r="907" ht="15.75" customHeight="1">
      <c r="A907" s="18" t="s">
        <v>4583</v>
      </c>
      <c r="B907" s="18">
        <v>1965.0</v>
      </c>
      <c r="C907" s="18" t="s">
        <v>457</v>
      </c>
      <c r="D907" s="18">
        <v>9.0</v>
      </c>
      <c r="E907" s="18" t="str">
        <f t="shared" si="1"/>
        <v>09/12/65</v>
      </c>
      <c r="F907" s="18">
        <v>0.0</v>
      </c>
      <c r="G907" s="27">
        <v>7362.31</v>
      </c>
      <c r="H907" s="18" t="s">
        <v>142</v>
      </c>
      <c r="I907" s="18" t="s">
        <v>142</v>
      </c>
      <c r="J907" s="18" t="s">
        <v>146</v>
      </c>
      <c r="K907" s="29">
        <f t="shared" si="2"/>
        <v>57</v>
      </c>
    </row>
    <row r="908" ht="15.75" customHeight="1">
      <c r="A908" s="18" t="s">
        <v>4580</v>
      </c>
      <c r="B908" s="18">
        <v>1981.0</v>
      </c>
      <c r="C908" s="18" t="s">
        <v>209</v>
      </c>
      <c r="D908" s="18">
        <v>24.0</v>
      </c>
      <c r="E908" s="18" t="str">
        <f t="shared" si="1"/>
        <v>24/11/81</v>
      </c>
      <c r="F908" s="18">
        <v>2.0</v>
      </c>
      <c r="G908" s="27">
        <v>7371.77</v>
      </c>
      <c r="H908" s="18" t="s">
        <v>140</v>
      </c>
      <c r="I908" s="18" t="s">
        <v>219</v>
      </c>
      <c r="J908" s="18" t="s">
        <v>570</v>
      </c>
      <c r="K908" s="29">
        <f t="shared" si="2"/>
        <v>41</v>
      </c>
    </row>
    <row r="909" ht="15.75" customHeight="1">
      <c r="A909" s="18" t="s">
        <v>4576</v>
      </c>
      <c r="B909" s="18">
        <v>1993.0</v>
      </c>
      <c r="C909" s="18" t="s">
        <v>91</v>
      </c>
      <c r="D909" s="18">
        <v>22.0</v>
      </c>
      <c r="E909" s="18" t="str">
        <f t="shared" si="1"/>
        <v>22/07/93</v>
      </c>
      <c r="F909" s="18">
        <v>0.0</v>
      </c>
      <c r="G909" s="27">
        <v>7388.85</v>
      </c>
      <c r="H909" s="18" t="s">
        <v>140</v>
      </c>
      <c r="I909" s="18" t="s">
        <v>140</v>
      </c>
      <c r="J909" s="18" t="s">
        <v>3559</v>
      </c>
      <c r="K909" s="29">
        <f t="shared" si="2"/>
        <v>29</v>
      </c>
    </row>
    <row r="910" ht="15.75" customHeight="1">
      <c r="A910" s="18" t="s">
        <v>4572</v>
      </c>
      <c r="B910" s="18">
        <v>1965.0</v>
      </c>
      <c r="C910" s="18" t="s">
        <v>457</v>
      </c>
      <c r="D910" s="18">
        <v>5.0</v>
      </c>
      <c r="E910" s="18" t="str">
        <f t="shared" si="1"/>
        <v>05/12/65</v>
      </c>
      <c r="F910" s="18">
        <v>0.0</v>
      </c>
      <c r="G910" s="27">
        <v>7403.98</v>
      </c>
      <c r="H910" s="18" t="s">
        <v>142</v>
      </c>
      <c r="I910" s="18" t="s">
        <v>140</v>
      </c>
      <c r="J910" s="18" t="s">
        <v>146</v>
      </c>
      <c r="K910" s="29">
        <f t="shared" si="2"/>
        <v>57</v>
      </c>
    </row>
    <row r="911" ht="15.75" customHeight="1">
      <c r="A911" s="18" t="s">
        <v>4571</v>
      </c>
      <c r="B911" s="18">
        <v>1983.0</v>
      </c>
      <c r="C911" s="18" t="s">
        <v>272</v>
      </c>
      <c r="D911" s="18">
        <v>19.0</v>
      </c>
      <c r="E911" s="18" t="str">
        <f t="shared" si="1"/>
        <v>19/09/83</v>
      </c>
      <c r="F911" s="18">
        <v>3.0</v>
      </c>
      <c r="G911" s="27">
        <v>7418.52</v>
      </c>
      <c r="H911" s="18" t="s">
        <v>140</v>
      </c>
      <c r="I911" s="18" t="s">
        <v>140</v>
      </c>
      <c r="J911" s="18" t="s">
        <v>570</v>
      </c>
      <c r="K911" s="29">
        <f t="shared" si="2"/>
        <v>39</v>
      </c>
    </row>
    <row r="912" ht="15.75" customHeight="1">
      <c r="A912" s="18" t="s">
        <v>4567</v>
      </c>
      <c r="B912" s="18">
        <v>1978.0</v>
      </c>
      <c r="C912" s="18" t="s">
        <v>209</v>
      </c>
      <c r="D912" s="18">
        <v>12.0</v>
      </c>
      <c r="E912" s="18" t="str">
        <f t="shared" si="1"/>
        <v>12/11/78</v>
      </c>
      <c r="F912" s="18">
        <v>0.0</v>
      </c>
      <c r="G912" s="27">
        <v>7419.48</v>
      </c>
      <c r="H912" s="18" t="s">
        <v>140</v>
      </c>
      <c r="I912" s="18" t="s">
        <v>140</v>
      </c>
      <c r="J912" s="18" t="s">
        <v>325</v>
      </c>
      <c r="K912" s="29">
        <f t="shared" si="2"/>
        <v>44</v>
      </c>
    </row>
    <row r="913" ht="15.75" customHeight="1">
      <c r="A913" s="18" t="s">
        <v>4564</v>
      </c>
      <c r="B913" s="18">
        <v>1978.0</v>
      </c>
      <c r="C913" s="18" t="s">
        <v>457</v>
      </c>
      <c r="D913" s="18">
        <v>2.0</v>
      </c>
      <c r="E913" s="18" t="str">
        <f t="shared" si="1"/>
        <v>02/12/78</v>
      </c>
      <c r="F913" s="18">
        <v>0.0</v>
      </c>
      <c r="G913" s="27">
        <v>7421.19</v>
      </c>
      <c r="H913" s="18" t="s">
        <v>140</v>
      </c>
      <c r="I913" s="18" t="s">
        <v>142</v>
      </c>
      <c r="J913" s="18" t="s">
        <v>325</v>
      </c>
      <c r="K913" s="29">
        <f t="shared" si="2"/>
        <v>44</v>
      </c>
    </row>
    <row r="914" ht="15.75" customHeight="1">
      <c r="A914" s="18" t="s">
        <v>4561</v>
      </c>
      <c r="B914" s="18">
        <v>1977.0</v>
      </c>
      <c r="C914" s="18" t="s">
        <v>501</v>
      </c>
      <c r="D914" s="18">
        <v>25.0</v>
      </c>
      <c r="E914" s="18" t="str">
        <f t="shared" si="1"/>
        <v>25/08/77</v>
      </c>
      <c r="F914" s="18">
        <v>1.0</v>
      </c>
      <c r="G914" s="27">
        <v>7441.05</v>
      </c>
      <c r="H914" s="18" t="s">
        <v>142</v>
      </c>
      <c r="I914" s="18" t="s">
        <v>140</v>
      </c>
      <c r="J914" s="18" t="s">
        <v>570</v>
      </c>
      <c r="K914" s="29">
        <f t="shared" si="2"/>
        <v>45</v>
      </c>
    </row>
    <row r="915" ht="15.75" customHeight="1">
      <c r="A915" s="18" t="s">
        <v>4557</v>
      </c>
      <c r="B915" s="18">
        <v>1979.0</v>
      </c>
      <c r="C915" s="18" t="s">
        <v>272</v>
      </c>
      <c r="D915" s="18">
        <v>1.0</v>
      </c>
      <c r="E915" s="18" t="str">
        <f t="shared" si="1"/>
        <v>01/09/79</v>
      </c>
      <c r="F915" s="18">
        <v>2.0</v>
      </c>
      <c r="G915" s="27">
        <v>7441.5</v>
      </c>
      <c r="H915" s="18" t="s">
        <v>142</v>
      </c>
      <c r="I915" s="18" t="s">
        <v>140</v>
      </c>
      <c r="J915" s="18" t="s">
        <v>570</v>
      </c>
      <c r="K915" s="29">
        <f t="shared" si="2"/>
        <v>43</v>
      </c>
    </row>
    <row r="916" ht="15.75" customHeight="1">
      <c r="A916" s="18" t="s">
        <v>4553</v>
      </c>
      <c r="B916" s="18">
        <v>1980.0</v>
      </c>
      <c r="C916" s="18" t="s">
        <v>91</v>
      </c>
      <c r="D916" s="18">
        <v>7.0</v>
      </c>
      <c r="E916" s="18" t="str">
        <f t="shared" si="1"/>
        <v>07/07/80</v>
      </c>
      <c r="F916" s="18">
        <v>1.0</v>
      </c>
      <c r="G916" s="27">
        <v>7443.64</v>
      </c>
      <c r="H916" s="18" t="s">
        <v>140</v>
      </c>
      <c r="I916" s="18" t="s">
        <v>142</v>
      </c>
      <c r="J916" s="18" t="s">
        <v>325</v>
      </c>
      <c r="K916" s="29">
        <f t="shared" si="2"/>
        <v>42</v>
      </c>
    </row>
    <row r="917" ht="15.75" customHeight="1">
      <c r="A917" s="18" t="s">
        <v>4549</v>
      </c>
      <c r="B917" s="18">
        <v>1977.0</v>
      </c>
      <c r="C917" s="18" t="s">
        <v>272</v>
      </c>
      <c r="D917" s="18">
        <v>25.0</v>
      </c>
      <c r="E917" s="18" t="str">
        <f t="shared" si="1"/>
        <v>25/09/77</v>
      </c>
      <c r="F917" s="18">
        <v>1.0</v>
      </c>
      <c r="G917" s="27">
        <v>7445.92</v>
      </c>
      <c r="H917" s="18" t="s">
        <v>142</v>
      </c>
      <c r="I917" s="18" t="s">
        <v>219</v>
      </c>
      <c r="J917" s="18" t="s">
        <v>570</v>
      </c>
      <c r="K917" s="29">
        <f t="shared" si="2"/>
        <v>45</v>
      </c>
    </row>
    <row r="918" ht="15.75" customHeight="1">
      <c r="A918" s="18" t="s">
        <v>4546</v>
      </c>
      <c r="B918" s="18">
        <v>1977.0</v>
      </c>
      <c r="C918" s="18" t="s">
        <v>272</v>
      </c>
      <c r="D918" s="18">
        <v>30.0</v>
      </c>
      <c r="E918" s="18" t="str">
        <f t="shared" si="1"/>
        <v>30/09/77</v>
      </c>
      <c r="F918" s="18">
        <v>0.0</v>
      </c>
      <c r="G918" s="27">
        <v>7448.4</v>
      </c>
      <c r="H918" s="18" t="s">
        <v>142</v>
      </c>
      <c r="I918" s="18" t="s">
        <v>142</v>
      </c>
      <c r="J918" s="18" t="s">
        <v>2617</v>
      </c>
      <c r="K918" s="29">
        <f t="shared" si="2"/>
        <v>45</v>
      </c>
    </row>
    <row r="919" ht="15.75" customHeight="1">
      <c r="A919" s="18" t="s">
        <v>4542</v>
      </c>
      <c r="B919" s="18">
        <v>2001.0</v>
      </c>
      <c r="C919" s="18" t="s">
        <v>241</v>
      </c>
      <c r="D919" s="18">
        <v>1.0</v>
      </c>
      <c r="E919" s="18" t="str">
        <f t="shared" si="1"/>
        <v>01/06/01</v>
      </c>
      <c r="F919" s="18">
        <v>0.0</v>
      </c>
      <c r="G919" s="27">
        <v>7450.36</v>
      </c>
      <c r="H919" s="18" t="s">
        <v>140</v>
      </c>
      <c r="I919" s="18" t="s">
        <v>140</v>
      </c>
      <c r="J919" s="18" t="s">
        <v>325</v>
      </c>
      <c r="K919" s="29">
        <f t="shared" si="2"/>
        <v>22</v>
      </c>
    </row>
    <row r="920" ht="15.75" customHeight="1">
      <c r="A920" s="18" t="s">
        <v>4538</v>
      </c>
      <c r="B920" s="18">
        <v>1967.0</v>
      </c>
      <c r="C920" s="18" t="s">
        <v>501</v>
      </c>
      <c r="D920" s="18">
        <v>4.0</v>
      </c>
      <c r="E920" s="18" t="str">
        <f t="shared" si="1"/>
        <v>04/08/67</v>
      </c>
      <c r="F920" s="18">
        <v>0.0</v>
      </c>
      <c r="G920" s="27">
        <v>7463.51</v>
      </c>
      <c r="H920" s="18" t="s">
        <v>142</v>
      </c>
      <c r="I920" s="18" t="s">
        <v>142</v>
      </c>
      <c r="J920" s="18" t="s">
        <v>146</v>
      </c>
      <c r="K920" s="29">
        <f t="shared" si="2"/>
        <v>55</v>
      </c>
    </row>
    <row r="921" ht="15.75" customHeight="1">
      <c r="A921" s="18" t="s">
        <v>4535</v>
      </c>
      <c r="B921" s="18">
        <v>1996.0</v>
      </c>
      <c r="C921" s="18" t="s">
        <v>241</v>
      </c>
      <c r="D921" s="18">
        <v>14.0</v>
      </c>
      <c r="E921" s="18" t="str">
        <f t="shared" si="1"/>
        <v>14/06/96</v>
      </c>
      <c r="F921" s="18">
        <v>0.0</v>
      </c>
      <c r="G921" s="27">
        <v>7487.38</v>
      </c>
      <c r="H921" s="18" t="s">
        <v>140</v>
      </c>
      <c r="I921" s="18" t="s">
        <v>142</v>
      </c>
      <c r="J921" s="18" t="s">
        <v>325</v>
      </c>
      <c r="K921" s="29">
        <f t="shared" si="2"/>
        <v>26</v>
      </c>
    </row>
    <row r="922" ht="15.75" customHeight="1">
      <c r="A922" s="18" t="s">
        <v>4533</v>
      </c>
      <c r="B922" s="18">
        <v>1988.0</v>
      </c>
      <c r="C922" s="18" t="s">
        <v>457</v>
      </c>
      <c r="D922" s="18">
        <v>15.0</v>
      </c>
      <c r="E922" s="18" t="str">
        <f t="shared" si="1"/>
        <v>15/12/88</v>
      </c>
      <c r="F922" s="18">
        <v>3.0</v>
      </c>
      <c r="G922" s="27">
        <v>7494.63</v>
      </c>
      <c r="H922" s="18" t="s">
        <v>140</v>
      </c>
      <c r="I922" s="18" t="s">
        <v>142</v>
      </c>
      <c r="J922" s="18" t="s">
        <v>1647</v>
      </c>
      <c r="K922" s="29">
        <f t="shared" si="2"/>
        <v>34</v>
      </c>
    </row>
    <row r="923" ht="15.75" customHeight="1">
      <c r="A923" s="18" t="s">
        <v>4529</v>
      </c>
      <c r="B923" s="18">
        <v>1997.0</v>
      </c>
      <c r="C923" s="18" t="s">
        <v>517</v>
      </c>
      <c r="D923" s="18">
        <v>28.0</v>
      </c>
      <c r="E923" s="18" t="str">
        <f t="shared" si="1"/>
        <v>28/10/97</v>
      </c>
      <c r="F923" s="18">
        <v>0.0</v>
      </c>
      <c r="G923" s="27">
        <v>7504.3</v>
      </c>
      <c r="H923" s="18" t="s">
        <v>140</v>
      </c>
      <c r="I923" s="18" t="s">
        <v>219</v>
      </c>
      <c r="J923" s="18" t="s">
        <v>325</v>
      </c>
      <c r="K923" s="29">
        <f t="shared" si="2"/>
        <v>25</v>
      </c>
    </row>
    <row r="924" ht="15.75" customHeight="1">
      <c r="A924" s="18" t="s">
        <v>4527</v>
      </c>
      <c r="B924" s="18">
        <v>1983.0</v>
      </c>
      <c r="C924" s="18" t="s">
        <v>91</v>
      </c>
      <c r="D924" s="18">
        <v>10.0</v>
      </c>
      <c r="E924" s="18" t="str">
        <f t="shared" si="1"/>
        <v>10/07/83</v>
      </c>
      <c r="F924" s="18">
        <v>4.0</v>
      </c>
      <c r="G924" s="27">
        <v>7512.27</v>
      </c>
      <c r="H924" s="18" t="s">
        <v>142</v>
      </c>
      <c r="I924" s="18" t="s">
        <v>140</v>
      </c>
      <c r="J924" s="18" t="s">
        <v>570</v>
      </c>
      <c r="K924" s="29">
        <f t="shared" si="2"/>
        <v>39</v>
      </c>
    </row>
    <row r="925" ht="15.75" customHeight="1">
      <c r="A925" s="18" t="s">
        <v>4523</v>
      </c>
      <c r="B925" s="18">
        <v>1978.0</v>
      </c>
      <c r="C925" s="18" t="s">
        <v>517</v>
      </c>
      <c r="D925" s="18">
        <v>18.0</v>
      </c>
      <c r="E925" s="18" t="str">
        <f t="shared" si="1"/>
        <v>18/10/78</v>
      </c>
      <c r="F925" s="18">
        <v>1.0</v>
      </c>
      <c r="G925" s="27">
        <v>7518.03</v>
      </c>
      <c r="H925" s="18" t="s">
        <v>140</v>
      </c>
      <c r="I925" s="18" t="s">
        <v>142</v>
      </c>
      <c r="J925" s="18" t="s">
        <v>325</v>
      </c>
      <c r="K925" s="29">
        <f t="shared" si="2"/>
        <v>44</v>
      </c>
    </row>
    <row r="926" ht="15.75" customHeight="1">
      <c r="A926" s="18" t="s">
        <v>4521</v>
      </c>
      <c r="B926" s="18">
        <v>1976.0</v>
      </c>
      <c r="C926" s="18" t="s">
        <v>517</v>
      </c>
      <c r="D926" s="18">
        <v>10.0</v>
      </c>
      <c r="E926" s="18" t="str">
        <f t="shared" si="1"/>
        <v>10/10/76</v>
      </c>
      <c r="F926" s="18">
        <v>0.0</v>
      </c>
      <c r="G926" s="27">
        <v>7526.71</v>
      </c>
      <c r="H926" s="18" t="s">
        <v>142</v>
      </c>
      <c r="I926" s="18" t="s">
        <v>219</v>
      </c>
      <c r="J926" s="18" t="s">
        <v>325</v>
      </c>
      <c r="K926" s="29">
        <f t="shared" si="2"/>
        <v>46</v>
      </c>
    </row>
    <row r="927" ht="15.75" customHeight="1">
      <c r="A927" s="18" t="s">
        <v>4518</v>
      </c>
      <c r="B927" s="18">
        <v>1978.0</v>
      </c>
      <c r="C927" s="18" t="s">
        <v>457</v>
      </c>
      <c r="D927" s="18">
        <v>14.0</v>
      </c>
      <c r="E927" s="18" t="str">
        <f t="shared" si="1"/>
        <v>14/12/78</v>
      </c>
      <c r="F927" s="18">
        <v>2.0</v>
      </c>
      <c r="G927" s="27">
        <v>7531.7</v>
      </c>
      <c r="H927" s="18" t="s">
        <v>140</v>
      </c>
      <c r="I927" s="18" t="s">
        <v>219</v>
      </c>
      <c r="J927" s="18" t="s">
        <v>146</v>
      </c>
      <c r="K927" s="29">
        <f t="shared" si="2"/>
        <v>44</v>
      </c>
    </row>
    <row r="928" ht="15.75" customHeight="1">
      <c r="A928" s="18" t="s">
        <v>4514</v>
      </c>
      <c r="B928" s="18">
        <v>1984.0</v>
      </c>
      <c r="C928" s="18" t="s">
        <v>501</v>
      </c>
      <c r="D928" s="18">
        <v>22.0</v>
      </c>
      <c r="E928" s="18" t="str">
        <f t="shared" si="1"/>
        <v>22/08/84</v>
      </c>
      <c r="F928" s="18">
        <v>3.0</v>
      </c>
      <c r="G928" s="27">
        <v>7537.16</v>
      </c>
      <c r="H928" s="18" t="s">
        <v>140</v>
      </c>
      <c r="I928" s="18" t="s">
        <v>140</v>
      </c>
      <c r="J928" s="18" t="s">
        <v>325</v>
      </c>
      <c r="K928" s="29">
        <f t="shared" si="2"/>
        <v>38</v>
      </c>
    </row>
    <row r="929" ht="15.75" customHeight="1">
      <c r="A929" s="18" t="s">
        <v>4511</v>
      </c>
      <c r="B929" s="18">
        <v>1988.0</v>
      </c>
      <c r="C929" s="18" t="s">
        <v>457</v>
      </c>
      <c r="D929" s="18">
        <v>15.0</v>
      </c>
      <c r="E929" s="18" t="str">
        <f t="shared" si="1"/>
        <v>15/12/88</v>
      </c>
      <c r="F929" s="18">
        <v>3.0</v>
      </c>
      <c r="G929" s="27">
        <v>7538.52</v>
      </c>
      <c r="H929" s="18" t="s">
        <v>140</v>
      </c>
      <c r="I929" s="18" t="s">
        <v>140</v>
      </c>
      <c r="J929" s="18" t="s">
        <v>325</v>
      </c>
      <c r="K929" s="29">
        <f t="shared" si="2"/>
        <v>34</v>
      </c>
    </row>
    <row r="930" ht="15.75" customHeight="1">
      <c r="A930" s="18" t="s">
        <v>4507</v>
      </c>
      <c r="B930" s="18">
        <v>1994.0</v>
      </c>
      <c r="C930" s="18" t="s">
        <v>501</v>
      </c>
      <c r="D930" s="18">
        <v>14.0</v>
      </c>
      <c r="E930" s="18" t="str">
        <f t="shared" si="1"/>
        <v>14/08/94</v>
      </c>
      <c r="F930" s="18">
        <v>0.0</v>
      </c>
      <c r="G930" s="27">
        <v>7567.13</v>
      </c>
      <c r="H930" s="18" t="s">
        <v>140</v>
      </c>
      <c r="I930" s="18" t="s">
        <v>140</v>
      </c>
      <c r="J930" s="18" t="s">
        <v>2314</v>
      </c>
      <c r="K930" s="29">
        <f t="shared" si="2"/>
        <v>28</v>
      </c>
    </row>
    <row r="931" ht="15.75" customHeight="1">
      <c r="A931" s="18" t="s">
        <v>4504</v>
      </c>
      <c r="B931" s="18">
        <v>1967.0</v>
      </c>
      <c r="C931" s="18" t="s">
        <v>91</v>
      </c>
      <c r="D931" s="18">
        <v>17.0</v>
      </c>
      <c r="E931" s="18" t="str">
        <f t="shared" si="1"/>
        <v>17/07/67</v>
      </c>
      <c r="F931" s="18">
        <v>0.0</v>
      </c>
      <c r="G931" s="27">
        <v>7585.62</v>
      </c>
      <c r="H931" s="18" t="s">
        <v>142</v>
      </c>
      <c r="I931" s="18" t="s">
        <v>140</v>
      </c>
      <c r="J931" s="18" t="s">
        <v>146</v>
      </c>
      <c r="K931" s="29">
        <f t="shared" si="2"/>
        <v>55</v>
      </c>
    </row>
    <row r="932" ht="15.75" customHeight="1">
      <c r="A932" s="18" t="s">
        <v>4502</v>
      </c>
      <c r="B932" s="18">
        <v>1997.0</v>
      </c>
      <c r="C932" s="18" t="s">
        <v>272</v>
      </c>
      <c r="D932" s="18">
        <v>30.0</v>
      </c>
      <c r="E932" s="18" t="str">
        <f t="shared" si="1"/>
        <v>30/09/97</v>
      </c>
      <c r="F932" s="18">
        <v>0.0</v>
      </c>
      <c r="G932" s="27">
        <v>7607.03</v>
      </c>
      <c r="H932" s="18" t="s">
        <v>140</v>
      </c>
      <c r="I932" s="18" t="s">
        <v>140</v>
      </c>
      <c r="J932" s="18" t="s">
        <v>325</v>
      </c>
      <c r="K932" s="29">
        <f t="shared" si="2"/>
        <v>25</v>
      </c>
    </row>
    <row r="933" ht="15.75" customHeight="1">
      <c r="A933" s="18" t="s">
        <v>4499</v>
      </c>
      <c r="B933" s="18">
        <v>1968.0</v>
      </c>
      <c r="C933" s="18" t="s">
        <v>91</v>
      </c>
      <c r="D933" s="18">
        <v>3.0</v>
      </c>
      <c r="E933" s="18" t="str">
        <f t="shared" si="1"/>
        <v>03/07/68</v>
      </c>
      <c r="F933" s="18">
        <v>0.0</v>
      </c>
      <c r="G933" s="27">
        <v>7609.6</v>
      </c>
      <c r="H933" s="18" t="s">
        <v>142</v>
      </c>
      <c r="I933" s="18" t="s">
        <v>140</v>
      </c>
      <c r="J933" s="18" t="s">
        <v>325</v>
      </c>
      <c r="K933" s="29">
        <f t="shared" si="2"/>
        <v>54</v>
      </c>
    </row>
    <row r="934" ht="15.75" customHeight="1">
      <c r="A934" s="18" t="s">
        <v>4496</v>
      </c>
      <c r="B934" s="18">
        <v>1996.0</v>
      </c>
      <c r="C934" s="18" t="s">
        <v>272</v>
      </c>
      <c r="D934" s="18">
        <v>17.0</v>
      </c>
      <c r="E934" s="18" t="str">
        <f t="shared" si="1"/>
        <v>17/09/96</v>
      </c>
      <c r="F934" s="18">
        <v>0.0</v>
      </c>
      <c r="G934" s="27">
        <v>7623.13</v>
      </c>
      <c r="H934" s="18" t="s">
        <v>140</v>
      </c>
      <c r="I934" s="18" t="s">
        <v>142</v>
      </c>
      <c r="J934" s="18" t="s">
        <v>570</v>
      </c>
      <c r="K934" s="29">
        <f t="shared" si="2"/>
        <v>26</v>
      </c>
    </row>
    <row r="935" ht="15.75" customHeight="1">
      <c r="A935" s="18" t="s">
        <v>4492</v>
      </c>
      <c r="B935" s="18">
        <v>1978.0</v>
      </c>
      <c r="C935" s="18" t="s">
        <v>209</v>
      </c>
      <c r="D935" s="18">
        <v>28.0</v>
      </c>
      <c r="E935" s="18" t="str">
        <f t="shared" si="1"/>
        <v>28/11/78</v>
      </c>
      <c r="F935" s="18">
        <v>1.0</v>
      </c>
      <c r="G935" s="27">
        <v>7623.52</v>
      </c>
      <c r="H935" s="18" t="s">
        <v>140</v>
      </c>
      <c r="I935" s="18" t="s">
        <v>219</v>
      </c>
      <c r="J935" s="18" t="s">
        <v>570</v>
      </c>
      <c r="K935" s="29">
        <f t="shared" si="2"/>
        <v>44</v>
      </c>
    </row>
    <row r="936" ht="15.75" customHeight="1">
      <c r="A936" s="18" t="s">
        <v>4489</v>
      </c>
      <c r="B936" s="18">
        <v>1978.0</v>
      </c>
      <c r="C936" s="18" t="s">
        <v>209</v>
      </c>
      <c r="D936" s="18">
        <v>6.0</v>
      </c>
      <c r="E936" s="18" t="str">
        <f t="shared" si="1"/>
        <v>06/11/78</v>
      </c>
      <c r="F936" s="18">
        <v>1.0</v>
      </c>
      <c r="G936" s="27">
        <v>7624.63</v>
      </c>
      <c r="H936" s="18" t="s">
        <v>140</v>
      </c>
      <c r="I936" s="18" t="s">
        <v>219</v>
      </c>
      <c r="J936" s="18" t="s">
        <v>570</v>
      </c>
      <c r="K936" s="29">
        <f t="shared" si="2"/>
        <v>44</v>
      </c>
    </row>
    <row r="937" ht="15.75" customHeight="1">
      <c r="A937" s="18" t="s">
        <v>4486</v>
      </c>
      <c r="B937" s="18">
        <v>1978.0</v>
      </c>
      <c r="C937" s="18" t="s">
        <v>209</v>
      </c>
      <c r="D937" s="18">
        <v>29.0</v>
      </c>
      <c r="E937" s="18" t="str">
        <f t="shared" si="1"/>
        <v>29/11/78</v>
      </c>
      <c r="F937" s="18">
        <v>1.0</v>
      </c>
      <c r="G937" s="27">
        <v>7626.99</v>
      </c>
      <c r="H937" s="18" t="s">
        <v>140</v>
      </c>
      <c r="I937" s="18" t="s">
        <v>140</v>
      </c>
      <c r="J937" s="18" t="s">
        <v>570</v>
      </c>
      <c r="K937" s="29">
        <f t="shared" si="2"/>
        <v>44</v>
      </c>
    </row>
    <row r="938" ht="15.75" customHeight="1">
      <c r="A938" s="18" t="s">
        <v>4483</v>
      </c>
      <c r="B938" s="18">
        <v>1978.0</v>
      </c>
      <c r="C938" s="18" t="s">
        <v>501</v>
      </c>
      <c r="D938" s="18">
        <v>24.0</v>
      </c>
      <c r="E938" s="18" t="str">
        <f t="shared" si="1"/>
        <v>24/08/78</v>
      </c>
      <c r="F938" s="18">
        <v>1.0</v>
      </c>
      <c r="G938" s="27">
        <v>7633.72</v>
      </c>
      <c r="H938" s="18" t="s">
        <v>140</v>
      </c>
      <c r="I938" s="18" t="s">
        <v>219</v>
      </c>
      <c r="J938" s="18" t="s">
        <v>146</v>
      </c>
      <c r="K938" s="29">
        <f t="shared" si="2"/>
        <v>44</v>
      </c>
    </row>
    <row r="939" ht="15.75" customHeight="1">
      <c r="A939" s="18" t="s">
        <v>4480</v>
      </c>
      <c r="B939" s="18">
        <v>2001.0</v>
      </c>
      <c r="C939" s="18" t="s">
        <v>457</v>
      </c>
      <c r="D939" s="18">
        <v>13.0</v>
      </c>
      <c r="E939" s="18" t="str">
        <f t="shared" si="1"/>
        <v>13/12/01</v>
      </c>
      <c r="F939" s="18">
        <v>0.0</v>
      </c>
      <c r="G939" s="27">
        <v>7636.92</v>
      </c>
      <c r="H939" s="18" t="s">
        <v>140</v>
      </c>
      <c r="I939" s="18" t="s">
        <v>142</v>
      </c>
      <c r="J939" s="18" t="s">
        <v>325</v>
      </c>
      <c r="K939" s="29">
        <f t="shared" si="2"/>
        <v>21</v>
      </c>
    </row>
    <row r="940" ht="15.75" customHeight="1">
      <c r="A940" s="18" t="s">
        <v>4478</v>
      </c>
      <c r="B940" s="18">
        <v>1980.0</v>
      </c>
      <c r="C940" s="18" t="s">
        <v>241</v>
      </c>
      <c r="D940" s="18">
        <v>20.0</v>
      </c>
      <c r="E940" s="18" t="str">
        <f t="shared" si="1"/>
        <v>20/06/80</v>
      </c>
      <c r="F940" s="18">
        <v>1.0</v>
      </c>
      <c r="G940" s="27">
        <v>7639.42</v>
      </c>
      <c r="H940" s="18" t="s">
        <v>140</v>
      </c>
      <c r="I940" s="18" t="s">
        <v>140</v>
      </c>
      <c r="J940" s="18" t="s">
        <v>2024</v>
      </c>
      <c r="K940" s="29">
        <f t="shared" si="2"/>
        <v>42</v>
      </c>
    </row>
    <row r="941" ht="15.75" customHeight="1">
      <c r="A941" s="18" t="s">
        <v>4475</v>
      </c>
      <c r="B941" s="18">
        <v>1980.0</v>
      </c>
      <c r="C941" s="18" t="s">
        <v>91</v>
      </c>
      <c r="D941" s="18">
        <v>24.0</v>
      </c>
      <c r="E941" s="18" t="str">
        <f t="shared" si="1"/>
        <v>24/07/80</v>
      </c>
      <c r="F941" s="18">
        <v>2.0</v>
      </c>
      <c r="G941" s="27">
        <v>7640.31</v>
      </c>
      <c r="H941" s="18" t="s">
        <v>140</v>
      </c>
      <c r="I941" s="18" t="s">
        <v>219</v>
      </c>
      <c r="J941" s="18" t="s">
        <v>146</v>
      </c>
      <c r="K941" s="29">
        <f t="shared" si="2"/>
        <v>42</v>
      </c>
    </row>
    <row r="942" ht="15.75" customHeight="1">
      <c r="A942" s="18" t="s">
        <v>4471</v>
      </c>
      <c r="B942" s="18">
        <v>1999.0</v>
      </c>
      <c r="C942" s="18" t="s">
        <v>241</v>
      </c>
      <c r="D942" s="18">
        <v>15.0</v>
      </c>
      <c r="E942" s="18" t="str">
        <f t="shared" si="1"/>
        <v>15/06/99</v>
      </c>
      <c r="F942" s="18">
        <v>0.0</v>
      </c>
      <c r="G942" s="27">
        <v>7642.05</v>
      </c>
      <c r="H942" s="18" t="s">
        <v>140</v>
      </c>
      <c r="I942" s="18" t="s">
        <v>140</v>
      </c>
      <c r="J942" s="18" t="s">
        <v>3559</v>
      </c>
      <c r="K942" s="29">
        <f t="shared" si="2"/>
        <v>23</v>
      </c>
    </row>
    <row r="943" ht="15.75" customHeight="1">
      <c r="A943" s="18" t="s">
        <v>4468</v>
      </c>
      <c r="B943" s="18">
        <v>1980.0</v>
      </c>
      <c r="C943" s="18" t="s">
        <v>517</v>
      </c>
      <c r="D943" s="18">
        <v>16.0</v>
      </c>
      <c r="E943" s="18" t="str">
        <f t="shared" si="1"/>
        <v>16/10/80</v>
      </c>
      <c r="F943" s="18">
        <v>1.0</v>
      </c>
      <c r="G943" s="27">
        <v>7650.77</v>
      </c>
      <c r="H943" s="18" t="s">
        <v>140</v>
      </c>
      <c r="I943" s="18" t="s">
        <v>140</v>
      </c>
      <c r="J943" s="18" t="s">
        <v>2024</v>
      </c>
      <c r="K943" s="29">
        <f t="shared" si="2"/>
        <v>42</v>
      </c>
    </row>
    <row r="944" ht="15.75" customHeight="1">
      <c r="A944" s="18" t="s">
        <v>4465</v>
      </c>
      <c r="B944" s="18">
        <v>1993.0</v>
      </c>
      <c r="C944" s="18" t="s">
        <v>501</v>
      </c>
      <c r="D944" s="18">
        <v>10.0</v>
      </c>
      <c r="E944" s="18" t="str">
        <f t="shared" si="1"/>
        <v>10/08/93</v>
      </c>
      <c r="F944" s="18">
        <v>0.0</v>
      </c>
      <c r="G944" s="27">
        <v>7650.8</v>
      </c>
      <c r="H944" s="18" t="s">
        <v>140</v>
      </c>
      <c r="I944" s="18" t="s">
        <v>140</v>
      </c>
      <c r="J944" s="18" t="s">
        <v>325</v>
      </c>
      <c r="K944" s="29">
        <f t="shared" si="2"/>
        <v>29</v>
      </c>
    </row>
    <row r="945" ht="15.75" customHeight="1">
      <c r="A945" s="18" t="s">
        <v>4462</v>
      </c>
      <c r="B945" s="18">
        <v>1998.0</v>
      </c>
      <c r="C945" s="18" t="s">
        <v>272</v>
      </c>
      <c r="D945" s="18">
        <v>30.0</v>
      </c>
      <c r="E945" s="18" t="str">
        <f t="shared" si="1"/>
        <v>30/09/98</v>
      </c>
      <c r="F945" s="18">
        <v>0.0</v>
      </c>
      <c r="G945" s="27">
        <v>7652.26</v>
      </c>
      <c r="H945" s="18" t="s">
        <v>140</v>
      </c>
      <c r="I945" s="18" t="s">
        <v>142</v>
      </c>
      <c r="J945" s="18" t="s">
        <v>2031</v>
      </c>
      <c r="K945" s="29">
        <f t="shared" si="2"/>
        <v>24</v>
      </c>
    </row>
    <row r="946" ht="15.75" customHeight="1">
      <c r="A946" s="18" t="s">
        <v>4458</v>
      </c>
      <c r="B946" s="18">
        <v>1965.0</v>
      </c>
      <c r="C946" s="18" t="s">
        <v>457</v>
      </c>
      <c r="D946" s="18">
        <v>27.0</v>
      </c>
      <c r="E946" s="18" t="str">
        <f t="shared" si="1"/>
        <v>27/12/65</v>
      </c>
      <c r="F946" s="18">
        <v>0.0</v>
      </c>
      <c r="G946" s="27">
        <v>7657.69</v>
      </c>
      <c r="H946" s="18" t="s">
        <v>142</v>
      </c>
      <c r="I946" s="18" t="s">
        <v>142</v>
      </c>
      <c r="J946" s="18" t="s">
        <v>325</v>
      </c>
      <c r="K946" s="29">
        <f t="shared" si="2"/>
        <v>57</v>
      </c>
    </row>
    <row r="947" ht="15.75" customHeight="1">
      <c r="A947" s="18" t="s">
        <v>4455</v>
      </c>
      <c r="B947" s="18">
        <v>1976.0</v>
      </c>
      <c r="C947" s="18" t="s">
        <v>517</v>
      </c>
      <c r="D947" s="18">
        <v>9.0</v>
      </c>
      <c r="E947" s="18" t="str">
        <f t="shared" si="1"/>
        <v>09/10/76</v>
      </c>
      <c r="F947" s="18">
        <v>2.0</v>
      </c>
      <c r="G947" s="27">
        <v>7662.47</v>
      </c>
      <c r="H947" s="18" t="s">
        <v>140</v>
      </c>
      <c r="I947" s="18" t="s">
        <v>219</v>
      </c>
      <c r="J947" s="18" t="s">
        <v>570</v>
      </c>
      <c r="K947" s="29">
        <f t="shared" si="2"/>
        <v>46</v>
      </c>
    </row>
    <row r="948" ht="15.75" customHeight="1">
      <c r="A948" s="18" t="s">
        <v>4452</v>
      </c>
      <c r="B948" s="18">
        <v>1996.0</v>
      </c>
      <c r="C948" s="18" t="s">
        <v>209</v>
      </c>
      <c r="D948" s="18">
        <v>24.0</v>
      </c>
      <c r="E948" s="18" t="str">
        <f t="shared" si="1"/>
        <v>24/11/96</v>
      </c>
      <c r="F948" s="18">
        <v>0.0</v>
      </c>
      <c r="G948" s="27">
        <v>7670.75</v>
      </c>
      <c r="H948" s="18" t="s">
        <v>140</v>
      </c>
      <c r="I948" s="18" t="s">
        <v>140</v>
      </c>
      <c r="J948" s="18" t="s">
        <v>3978</v>
      </c>
      <c r="K948" s="29">
        <f t="shared" si="2"/>
        <v>26</v>
      </c>
    </row>
    <row r="949" ht="15.75" customHeight="1">
      <c r="A949" s="18" t="s">
        <v>4450</v>
      </c>
      <c r="B949" s="18">
        <v>1995.0</v>
      </c>
      <c r="C949" s="18" t="s">
        <v>272</v>
      </c>
      <c r="D949" s="18">
        <v>13.0</v>
      </c>
      <c r="E949" s="18" t="str">
        <f t="shared" si="1"/>
        <v>13/09/95</v>
      </c>
      <c r="F949" s="18">
        <v>0.0</v>
      </c>
      <c r="G949" s="27">
        <v>7676.4</v>
      </c>
      <c r="H949" s="18" t="s">
        <v>140</v>
      </c>
      <c r="I949" s="18" t="s">
        <v>219</v>
      </c>
      <c r="J949" s="18" t="s">
        <v>325</v>
      </c>
      <c r="K949" s="29">
        <f t="shared" si="2"/>
        <v>27</v>
      </c>
    </row>
    <row r="950" ht="15.75" customHeight="1">
      <c r="A950" s="18" t="s">
        <v>4447</v>
      </c>
      <c r="B950" s="18">
        <v>1971.0</v>
      </c>
      <c r="C950" s="18" t="s">
        <v>517</v>
      </c>
      <c r="D950" s="18">
        <v>11.0</v>
      </c>
      <c r="E950" s="18" t="str">
        <f t="shared" si="1"/>
        <v>11/10/71</v>
      </c>
      <c r="F950" s="18">
        <v>0.0</v>
      </c>
      <c r="G950" s="27">
        <v>7680.92</v>
      </c>
      <c r="H950" s="18" t="s">
        <v>140</v>
      </c>
      <c r="I950" s="18" t="s">
        <v>219</v>
      </c>
      <c r="J950" s="18" t="s">
        <v>146</v>
      </c>
      <c r="K950" s="29">
        <f t="shared" si="2"/>
        <v>51</v>
      </c>
    </row>
    <row r="951" ht="15.75" customHeight="1">
      <c r="A951" s="18" t="s">
        <v>4445</v>
      </c>
      <c r="B951" s="18">
        <v>1981.0</v>
      </c>
      <c r="C951" s="18" t="s">
        <v>457</v>
      </c>
      <c r="D951" s="18">
        <v>19.0</v>
      </c>
      <c r="E951" s="18" t="str">
        <f t="shared" si="1"/>
        <v>19/12/81</v>
      </c>
      <c r="F951" s="18">
        <v>1.0</v>
      </c>
      <c r="G951" s="27">
        <v>7681.17</v>
      </c>
      <c r="H951" s="18" t="s">
        <v>140</v>
      </c>
      <c r="I951" s="18" t="s">
        <v>140</v>
      </c>
      <c r="J951" s="18" t="s">
        <v>3443</v>
      </c>
      <c r="K951" s="29">
        <f t="shared" si="2"/>
        <v>41</v>
      </c>
    </row>
    <row r="952" ht="15.75" customHeight="1">
      <c r="A952" s="18" t="s">
        <v>4441</v>
      </c>
      <c r="B952" s="18">
        <v>1982.0</v>
      </c>
      <c r="C952" s="18" t="s">
        <v>457</v>
      </c>
      <c r="D952" s="18">
        <v>18.0</v>
      </c>
      <c r="E952" s="18" t="str">
        <f t="shared" si="1"/>
        <v>18/12/82</v>
      </c>
      <c r="F952" s="18">
        <v>3.0</v>
      </c>
      <c r="G952" s="27">
        <v>7682.67</v>
      </c>
      <c r="H952" s="18" t="s">
        <v>140</v>
      </c>
      <c r="I952" s="18" t="s">
        <v>219</v>
      </c>
      <c r="J952" s="18" t="s">
        <v>146</v>
      </c>
      <c r="K952" s="29">
        <f t="shared" si="2"/>
        <v>40</v>
      </c>
    </row>
    <row r="953" ht="15.75" customHeight="1">
      <c r="A953" s="18" t="s">
        <v>4439</v>
      </c>
      <c r="B953" s="18">
        <v>1987.0</v>
      </c>
      <c r="C953" s="18" t="s">
        <v>91</v>
      </c>
      <c r="D953" s="18">
        <v>12.0</v>
      </c>
      <c r="E953" s="18" t="str">
        <f t="shared" si="1"/>
        <v>12/07/87</v>
      </c>
      <c r="F953" s="18">
        <v>3.0</v>
      </c>
      <c r="G953" s="27">
        <v>7684.62</v>
      </c>
      <c r="H953" s="18" t="s">
        <v>140</v>
      </c>
      <c r="I953" s="18" t="s">
        <v>142</v>
      </c>
      <c r="J953" s="18" t="s">
        <v>2314</v>
      </c>
      <c r="K953" s="29">
        <f t="shared" si="2"/>
        <v>35</v>
      </c>
    </row>
    <row r="954" ht="15.75" customHeight="1">
      <c r="A954" s="18" t="s">
        <v>4435</v>
      </c>
      <c r="B954" s="18">
        <v>1978.0</v>
      </c>
      <c r="C954" s="18" t="s">
        <v>457</v>
      </c>
      <c r="D954" s="18">
        <v>29.0</v>
      </c>
      <c r="E954" s="18" t="str">
        <f t="shared" si="1"/>
        <v>29/12/78</v>
      </c>
      <c r="F954" s="18">
        <v>2.0</v>
      </c>
      <c r="G954" s="27">
        <v>7726.85</v>
      </c>
      <c r="H954" s="18" t="s">
        <v>219</v>
      </c>
      <c r="I954" s="18" t="s">
        <v>140</v>
      </c>
      <c r="J954" s="18" t="s">
        <v>570</v>
      </c>
      <c r="K954" s="29">
        <f t="shared" si="2"/>
        <v>44</v>
      </c>
    </row>
    <row r="955" ht="15.75" customHeight="1">
      <c r="A955" s="18" t="s">
        <v>4432</v>
      </c>
      <c r="B955" s="18">
        <v>1979.0</v>
      </c>
      <c r="C955" s="18" t="s">
        <v>241</v>
      </c>
      <c r="D955" s="18">
        <v>2.0</v>
      </c>
      <c r="E955" s="18" t="str">
        <f t="shared" si="1"/>
        <v>02/06/79</v>
      </c>
      <c r="F955" s="18">
        <v>1.0</v>
      </c>
      <c r="G955" s="27">
        <v>7727.25</v>
      </c>
      <c r="H955" s="18" t="s">
        <v>140</v>
      </c>
      <c r="I955" s="18" t="s">
        <v>142</v>
      </c>
      <c r="J955" s="18" t="s">
        <v>325</v>
      </c>
      <c r="K955" s="29">
        <f t="shared" si="2"/>
        <v>44</v>
      </c>
    </row>
    <row r="956" ht="15.75" customHeight="1">
      <c r="A956" s="18" t="s">
        <v>4429</v>
      </c>
      <c r="B956" s="18">
        <v>1980.0</v>
      </c>
      <c r="C956" s="18" t="s">
        <v>272</v>
      </c>
      <c r="D956" s="18">
        <v>10.0</v>
      </c>
      <c r="E956" s="18" t="str">
        <f t="shared" si="1"/>
        <v>10/09/80</v>
      </c>
      <c r="F956" s="18">
        <v>2.0</v>
      </c>
      <c r="G956" s="27">
        <v>7729.65</v>
      </c>
      <c r="H956" s="18" t="s">
        <v>142</v>
      </c>
      <c r="I956" s="18" t="s">
        <v>219</v>
      </c>
      <c r="J956" s="18" t="s">
        <v>1427</v>
      </c>
      <c r="K956" s="29">
        <f t="shared" si="2"/>
        <v>42</v>
      </c>
    </row>
    <row r="957" ht="15.75" customHeight="1">
      <c r="A957" s="18" t="s">
        <v>4426</v>
      </c>
      <c r="B957" s="18">
        <v>1978.0</v>
      </c>
      <c r="C957" s="18" t="s">
        <v>457</v>
      </c>
      <c r="D957" s="18">
        <v>4.0</v>
      </c>
      <c r="E957" s="18" t="str">
        <f t="shared" si="1"/>
        <v>04/12/78</v>
      </c>
      <c r="F957" s="18">
        <v>2.0</v>
      </c>
      <c r="G957" s="27">
        <v>7731.43</v>
      </c>
      <c r="H957" s="18" t="s">
        <v>142</v>
      </c>
      <c r="I957" s="18" t="s">
        <v>140</v>
      </c>
      <c r="J957" s="18" t="s">
        <v>146</v>
      </c>
      <c r="K957" s="29">
        <f t="shared" si="2"/>
        <v>44</v>
      </c>
    </row>
    <row r="958" ht="15.75" customHeight="1">
      <c r="A958" s="18" t="s">
        <v>4423</v>
      </c>
      <c r="B958" s="18">
        <v>1977.0</v>
      </c>
      <c r="C958" s="18" t="s">
        <v>501</v>
      </c>
      <c r="D958" s="18">
        <v>29.0</v>
      </c>
      <c r="E958" s="18" t="str">
        <f t="shared" si="1"/>
        <v>29/08/77</v>
      </c>
      <c r="F958" s="18">
        <v>0.0</v>
      </c>
      <c r="G958" s="27">
        <v>7731.86</v>
      </c>
      <c r="H958" s="18" t="s">
        <v>140</v>
      </c>
      <c r="I958" s="18" t="s">
        <v>142</v>
      </c>
      <c r="J958" s="18" t="s">
        <v>325</v>
      </c>
      <c r="K958" s="29">
        <f t="shared" si="2"/>
        <v>45</v>
      </c>
    </row>
    <row r="959" ht="15.75" customHeight="1">
      <c r="A959" s="18" t="s">
        <v>4419</v>
      </c>
      <c r="B959" s="18">
        <v>1965.0</v>
      </c>
      <c r="C959" s="18" t="s">
        <v>91</v>
      </c>
      <c r="D959" s="18">
        <v>18.0</v>
      </c>
      <c r="E959" s="18" t="str">
        <f t="shared" si="1"/>
        <v>18/07/65</v>
      </c>
      <c r="F959" s="18">
        <v>0.0</v>
      </c>
      <c r="G959" s="27">
        <v>7736.39</v>
      </c>
      <c r="H959" s="18" t="s">
        <v>142</v>
      </c>
      <c r="I959" s="18" t="s">
        <v>140</v>
      </c>
      <c r="J959" s="18" t="s">
        <v>146</v>
      </c>
      <c r="K959" s="29">
        <f t="shared" si="2"/>
        <v>57</v>
      </c>
    </row>
    <row r="960" ht="15.75" customHeight="1">
      <c r="A960" s="18" t="s">
        <v>4417</v>
      </c>
      <c r="B960" s="18">
        <v>1978.0</v>
      </c>
      <c r="C960" s="18" t="s">
        <v>272</v>
      </c>
      <c r="D960" s="18">
        <v>4.0</v>
      </c>
      <c r="E960" s="18" t="str">
        <f t="shared" si="1"/>
        <v>04/09/78</v>
      </c>
      <c r="F960" s="18">
        <v>2.0</v>
      </c>
      <c r="G960" s="27">
        <v>7740.34</v>
      </c>
      <c r="H960" s="18" t="s">
        <v>219</v>
      </c>
      <c r="I960" s="18" t="s">
        <v>219</v>
      </c>
      <c r="J960" s="18" t="s">
        <v>570</v>
      </c>
      <c r="K960" s="29">
        <f t="shared" si="2"/>
        <v>44</v>
      </c>
    </row>
    <row r="961" ht="15.75" customHeight="1">
      <c r="A961" s="18" t="s">
        <v>4414</v>
      </c>
      <c r="B961" s="18">
        <v>1976.0</v>
      </c>
      <c r="C961" s="18" t="s">
        <v>457</v>
      </c>
      <c r="D961" s="18">
        <v>12.0</v>
      </c>
      <c r="E961" s="18" t="str">
        <f t="shared" si="1"/>
        <v>12/12/76</v>
      </c>
      <c r="F961" s="18">
        <v>1.0</v>
      </c>
      <c r="G961" s="27">
        <v>7742.11</v>
      </c>
      <c r="H961" s="18" t="s">
        <v>142</v>
      </c>
      <c r="I961" s="18" t="s">
        <v>140</v>
      </c>
      <c r="J961" s="18" t="s">
        <v>146</v>
      </c>
      <c r="K961" s="29">
        <f t="shared" si="2"/>
        <v>46</v>
      </c>
    </row>
    <row r="962" ht="15.75" customHeight="1">
      <c r="A962" s="18" t="s">
        <v>4410</v>
      </c>
      <c r="B962" s="18">
        <v>1981.0</v>
      </c>
      <c r="C962" s="18" t="s">
        <v>241</v>
      </c>
      <c r="D962" s="18">
        <v>30.0</v>
      </c>
      <c r="E962" s="18" t="str">
        <f t="shared" si="1"/>
        <v>30/06/81</v>
      </c>
      <c r="F962" s="18">
        <v>2.0</v>
      </c>
      <c r="G962" s="27">
        <v>7749.16</v>
      </c>
      <c r="H962" s="18" t="s">
        <v>140</v>
      </c>
      <c r="I962" s="18" t="s">
        <v>219</v>
      </c>
      <c r="J962" s="18" t="s">
        <v>325</v>
      </c>
      <c r="K962" s="29">
        <f t="shared" si="2"/>
        <v>41</v>
      </c>
    </row>
    <row r="963" ht="15.75" customHeight="1">
      <c r="A963" s="18" t="s">
        <v>4408</v>
      </c>
      <c r="B963" s="18">
        <v>1997.0</v>
      </c>
      <c r="C963" s="18" t="s">
        <v>457</v>
      </c>
      <c r="D963" s="18">
        <v>21.0</v>
      </c>
      <c r="E963" s="18" t="str">
        <f t="shared" si="1"/>
        <v>21/12/97</v>
      </c>
      <c r="F963" s="18">
        <v>0.0</v>
      </c>
      <c r="G963" s="27">
        <v>7763.06</v>
      </c>
      <c r="H963" s="18" t="s">
        <v>140</v>
      </c>
      <c r="I963" s="18" t="s">
        <v>219</v>
      </c>
      <c r="J963" s="18" t="s">
        <v>325</v>
      </c>
      <c r="K963" s="29">
        <f t="shared" si="2"/>
        <v>25</v>
      </c>
    </row>
    <row r="964" ht="15.75" customHeight="1">
      <c r="A964" s="18" t="s">
        <v>4404</v>
      </c>
      <c r="B964" s="18">
        <v>1974.0</v>
      </c>
      <c r="C964" s="18" t="s">
        <v>457</v>
      </c>
      <c r="D964" s="18">
        <v>6.0</v>
      </c>
      <c r="E964" s="18" t="str">
        <f t="shared" si="1"/>
        <v>06/12/74</v>
      </c>
      <c r="F964" s="18">
        <v>0.0</v>
      </c>
      <c r="G964" s="27">
        <v>7789.64</v>
      </c>
      <c r="H964" s="18" t="s">
        <v>219</v>
      </c>
      <c r="I964" s="18" t="s">
        <v>142</v>
      </c>
      <c r="J964" s="18" t="s">
        <v>146</v>
      </c>
      <c r="K964" s="29">
        <f t="shared" si="2"/>
        <v>48</v>
      </c>
    </row>
    <row r="965" ht="15.75" customHeight="1">
      <c r="A965" s="18" t="s">
        <v>4401</v>
      </c>
      <c r="B965" s="18">
        <v>1999.0</v>
      </c>
      <c r="C965" s="18" t="s">
        <v>457</v>
      </c>
      <c r="D965" s="18">
        <v>25.0</v>
      </c>
      <c r="E965" s="18" t="str">
        <f t="shared" si="1"/>
        <v>25/12/99</v>
      </c>
      <c r="F965" s="18">
        <v>0.0</v>
      </c>
      <c r="G965" s="27">
        <v>7794.68</v>
      </c>
      <c r="H965" s="18" t="s">
        <v>140</v>
      </c>
      <c r="I965" s="18" t="s">
        <v>140</v>
      </c>
      <c r="J965" s="18" t="s">
        <v>3559</v>
      </c>
      <c r="K965" s="29">
        <f t="shared" si="2"/>
        <v>23</v>
      </c>
    </row>
    <row r="966" ht="15.75" customHeight="1">
      <c r="A966" s="18" t="s">
        <v>4397</v>
      </c>
      <c r="B966" s="18">
        <v>1997.0</v>
      </c>
      <c r="C966" s="18" t="s">
        <v>457</v>
      </c>
      <c r="D966" s="18">
        <v>2.0</v>
      </c>
      <c r="E966" s="18" t="str">
        <f t="shared" si="1"/>
        <v>02/12/97</v>
      </c>
      <c r="F966" s="18">
        <v>0.0</v>
      </c>
      <c r="G966" s="27">
        <v>7803.77</v>
      </c>
      <c r="H966" s="18" t="s">
        <v>140</v>
      </c>
      <c r="I966" s="18" t="s">
        <v>142</v>
      </c>
      <c r="J966" s="18" t="s">
        <v>325</v>
      </c>
      <c r="K966" s="29">
        <f t="shared" si="2"/>
        <v>25</v>
      </c>
    </row>
    <row r="967" ht="15.75" customHeight="1">
      <c r="A967" s="18" t="s">
        <v>4395</v>
      </c>
      <c r="B967" s="18">
        <v>1974.0</v>
      </c>
      <c r="C967" s="18" t="s">
        <v>209</v>
      </c>
      <c r="D967" s="18">
        <v>9.0</v>
      </c>
      <c r="E967" s="18" t="str">
        <f t="shared" si="1"/>
        <v>09/11/74</v>
      </c>
      <c r="F967" s="18">
        <v>0.0</v>
      </c>
      <c r="G967" s="27">
        <v>7804.16</v>
      </c>
      <c r="H967" s="18" t="s">
        <v>140</v>
      </c>
      <c r="I967" s="18" t="s">
        <v>142</v>
      </c>
      <c r="J967" s="18" t="s">
        <v>146</v>
      </c>
      <c r="K967" s="29">
        <f t="shared" si="2"/>
        <v>48</v>
      </c>
    </row>
    <row r="968" ht="15.75" customHeight="1">
      <c r="A968" s="18" t="s">
        <v>4391</v>
      </c>
      <c r="B968" s="18">
        <v>1991.0</v>
      </c>
      <c r="C968" s="18" t="s">
        <v>457</v>
      </c>
      <c r="D968" s="18">
        <v>21.0</v>
      </c>
      <c r="E968" s="18" t="str">
        <f t="shared" si="1"/>
        <v>21/12/91</v>
      </c>
      <c r="F968" s="18">
        <v>3.0</v>
      </c>
      <c r="G968" s="27">
        <v>7812.67</v>
      </c>
      <c r="H968" s="18" t="s">
        <v>140</v>
      </c>
      <c r="I968" s="18" t="s">
        <v>219</v>
      </c>
      <c r="J968" s="18" t="s">
        <v>325</v>
      </c>
      <c r="K968" s="29">
        <f t="shared" si="2"/>
        <v>31</v>
      </c>
    </row>
    <row r="969" ht="15.75" customHeight="1">
      <c r="A969" s="18" t="s">
        <v>4388</v>
      </c>
      <c r="B969" s="18">
        <v>1989.0</v>
      </c>
      <c r="C969" s="18" t="s">
        <v>517</v>
      </c>
      <c r="D969" s="18">
        <v>12.0</v>
      </c>
      <c r="E969" s="18" t="str">
        <f t="shared" si="1"/>
        <v>12/10/89</v>
      </c>
      <c r="F969" s="18">
        <v>3.0</v>
      </c>
      <c r="G969" s="27">
        <v>7824.37</v>
      </c>
      <c r="H969" s="18" t="s">
        <v>140</v>
      </c>
      <c r="I969" s="18" t="s">
        <v>140</v>
      </c>
      <c r="J969" s="18" t="s">
        <v>325</v>
      </c>
      <c r="K969" s="29">
        <f t="shared" si="2"/>
        <v>33</v>
      </c>
    </row>
    <row r="970" ht="15.75" customHeight="1">
      <c r="A970" s="18" t="s">
        <v>4384</v>
      </c>
      <c r="B970" s="18">
        <v>2001.0</v>
      </c>
      <c r="C970" s="18" t="s">
        <v>517</v>
      </c>
      <c r="D970" s="18">
        <v>5.0</v>
      </c>
      <c r="E970" s="18" t="str">
        <f t="shared" si="1"/>
        <v>05/10/01</v>
      </c>
      <c r="F970" s="18">
        <v>0.0</v>
      </c>
      <c r="G970" s="27">
        <v>7844.8</v>
      </c>
      <c r="H970" s="18" t="s">
        <v>140</v>
      </c>
      <c r="I970" s="18" t="s">
        <v>140</v>
      </c>
      <c r="J970" s="18" t="s">
        <v>325</v>
      </c>
      <c r="K970" s="29">
        <f t="shared" si="2"/>
        <v>21</v>
      </c>
    </row>
    <row r="971" ht="15.75" customHeight="1">
      <c r="A971" s="18" t="s">
        <v>4380</v>
      </c>
      <c r="B971" s="18">
        <v>1994.0</v>
      </c>
      <c r="C971" s="18" t="s">
        <v>209</v>
      </c>
      <c r="D971" s="18">
        <v>17.0</v>
      </c>
      <c r="E971" s="18" t="str">
        <f t="shared" si="1"/>
        <v>17/11/94</v>
      </c>
      <c r="F971" s="18">
        <v>0.0</v>
      </c>
      <c r="G971" s="27">
        <v>7851.85</v>
      </c>
      <c r="H971" s="18" t="s">
        <v>140</v>
      </c>
      <c r="I971" s="18" t="s">
        <v>142</v>
      </c>
      <c r="J971" s="18" t="s">
        <v>325</v>
      </c>
      <c r="K971" s="29">
        <f t="shared" si="2"/>
        <v>28</v>
      </c>
    </row>
    <row r="972" ht="15.75" customHeight="1">
      <c r="A972" s="18" t="s">
        <v>4378</v>
      </c>
      <c r="B972" s="18">
        <v>1962.0</v>
      </c>
      <c r="C972" s="18" t="s">
        <v>517</v>
      </c>
      <c r="D972" s="18">
        <v>10.0</v>
      </c>
      <c r="E972" s="18" t="str">
        <f t="shared" si="1"/>
        <v>10/10/62</v>
      </c>
      <c r="F972" s="18">
        <v>0.0</v>
      </c>
      <c r="G972" s="27">
        <v>7896.41</v>
      </c>
      <c r="H972" s="18" t="s">
        <v>142</v>
      </c>
      <c r="I972" s="18" t="s">
        <v>140</v>
      </c>
      <c r="J972" s="18" t="s">
        <v>146</v>
      </c>
      <c r="K972" s="29">
        <f t="shared" si="2"/>
        <v>60</v>
      </c>
    </row>
    <row r="973" ht="15.75" customHeight="1">
      <c r="A973" s="18" t="s">
        <v>4375</v>
      </c>
      <c r="B973" s="18">
        <v>1977.0</v>
      </c>
      <c r="C973" s="18" t="s">
        <v>91</v>
      </c>
      <c r="D973" s="18">
        <v>20.0</v>
      </c>
      <c r="E973" s="18" t="str">
        <f t="shared" si="1"/>
        <v>20/07/77</v>
      </c>
      <c r="F973" s="18">
        <v>0.0</v>
      </c>
      <c r="G973" s="27">
        <v>7935.29</v>
      </c>
      <c r="H973" s="18" t="s">
        <v>140</v>
      </c>
      <c r="I973" s="18" t="s">
        <v>219</v>
      </c>
      <c r="J973" s="18" t="s">
        <v>2024</v>
      </c>
      <c r="K973" s="29">
        <f t="shared" si="2"/>
        <v>45</v>
      </c>
    </row>
    <row r="974" ht="15.75" customHeight="1">
      <c r="A974" s="18" t="s">
        <v>4371</v>
      </c>
      <c r="B974" s="18">
        <v>1987.0</v>
      </c>
      <c r="C974" s="18" t="s">
        <v>517</v>
      </c>
      <c r="D974" s="18">
        <v>29.0</v>
      </c>
      <c r="E974" s="18" t="str">
        <f t="shared" si="1"/>
        <v>29/10/87</v>
      </c>
      <c r="F974" s="18">
        <v>3.0</v>
      </c>
      <c r="G974" s="27">
        <v>7948.22</v>
      </c>
      <c r="H974" s="18" t="s">
        <v>140</v>
      </c>
      <c r="I974" s="18" t="s">
        <v>142</v>
      </c>
      <c r="J974" s="18" t="s">
        <v>1647</v>
      </c>
      <c r="K974" s="29">
        <f t="shared" si="2"/>
        <v>35</v>
      </c>
    </row>
    <row r="975" ht="15.75" customHeight="1">
      <c r="A975" s="18" t="s">
        <v>4369</v>
      </c>
      <c r="B975" s="18">
        <v>1966.0</v>
      </c>
      <c r="C975" s="18" t="s">
        <v>91</v>
      </c>
      <c r="D975" s="18">
        <v>9.0</v>
      </c>
      <c r="E975" s="18" t="str">
        <f t="shared" si="1"/>
        <v>09/07/66</v>
      </c>
      <c r="F975" s="18">
        <v>0.0</v>
      </c>
      <c r="G975" s="27">
        <v>7953.72</v>
      </c>
      <c r="H975" s="18" t="s">
        <v>142</v>
      </c>
      <c r="I975" s="18" t="s">
        <v>142</v>
      </c>
      <c r="J975" s="18" t="s">
        <v>325</v>
      </c>
      <c r="K975" s="29">
        <f t="shared" si="2"/>
        <v>56</v>
      </c>
    </row>
    <row r="976" ht="15.75" customHeight="1">
      <c r="A976" s="18" t="s">
        <v>4365</v>
      </c>
      <c r="B976" s="18">
        <v>1981.0</v>
      </c>
      <c r="C976" s="18" t="s">
        <v>457</v>
      </c>
      <c r="D976" s="18">
        <v>28.0</v>
      </c>
      <c r="E976" s="18" t="str">
        <f t="shared" si="1"/>
        <v>28/12/81</v>
      </c>
      <c r="F976" s="18">
        <v>3.0</v>
      </c>
      <c r="G976" s="27">
        <v>7954.52</v>
      </c>
      <c r="H976" s="18" t="s">
        <v>140</v>
      </c>
      <c r="I976" s="18" t="s">
        <v>140</v>
      </c>
      <c r="J976" s="18" t="s">
        <v>570</v>
      </c>
      <c r="K976" s="29">
        <f t="shared" si="2"/>
        <v>41</v>
      </c>
    </row>
    <row r="977" ht="15.75" customHeight="1">
      <c r="A977" s="18" t="s">
        <v>4362</v>
      </c>
      <c r="B977" s="18">
        <v>1970.0</v>
      </c>
      <c r="C977" s="18" t="s">
        <v>241</v>
      </c>
      <c r="D977" s="18">
        <v>19.0</v>
      </c>
      <c r="E977" s="18" t="str">
        <f t="shared" si="1"/>
        <v>19/06/70</v>
      </c>
      <c r="F977" s="18">
        <v>0.0</v>
      </c>
      <c r="G977" s="27">
        <v>7958.13</v>
      </c>
      <c r="H977" s="18" t="s">
        <v>140</v>
      </c>
      <c r="I977" s="18" t="s">
        <v>140</v>
      </c>
      <c r="J977" s="18" t="s">
        <v>146</v>
      </c>
      <c r="K977" s="29">
        <f t="shared" si="2"/>
        <v>52</v>
      </c>
    </row>
    <row r="978" ht="15.75" customHeight="1">
      <c r="A978" s="18" t="s">
        <v>4359</v>
      </c>
      <c r="B978" s="18">
        <v>1975.0</v>
      </c>
      <c r="C978" s="18" t="s">
        <v>501</v>
      </c>
      <c r="D978" s="18">
        <v>10.0</v>
      </c>
      <c r="E978" s="18" t="str">
        <f t="shared" si="1"/>
        <v>10/08/75</v>
      </c>
      <c r="F978" s="18">
        <v>1.0</v>
      </c>
      <c r="G978" s="27">
        <v>7966.81</v>
      </c>
      <c r="H978" s="18" t="s">
        <v>140</v>
      </c>
      <c r="I978" s="18" t="s">
        <v>140</v>
      </c>
      <c r="J978" s="18" t="s">
        <v>146</v>
      </c>
      <c r="K978" s="29">
        <f t="shared" si="2"/>
        <v>47</v>
      </c>
    </row>
    <row r="979" ht="15.75" customHeight="1">
      <c r="A979" s="18" t="s">
        <v>4355</v>
      </c>
      <c r="B979" s="18">
        <v>1972.0</v>
      </c>
      <c r="C979" s="18" t="s">
        <v>209</v>
      </c>
      <c r="D979" s="18">
        <v>23.0</v>
      </c>
      <c r="E979" s="18" t="str">
        <f t="shared" si="1"/>
        <v>23/11/72</v>
      </c>
      <c r="F979" s="18">
        <v>0.0</v>
      </c>
      <c r="G979" s="27">
        <v>7980.34</v>
      </c>
      <c r="H979" s="18" t="s">
        <v>140</v>
      </c>
      <c r="I979" s="18" t="s">
        <v>140</v>
      </c>
      <c r="J979" s="18" t="s">
        <v>146</v>
      </c>
      <c r="K979" s="29">
        <f t="shared" si="2"/>
        <v>50</v>
      </c>
    </row>
    <row r="980" ht="15.75" customHeight="1">
      <c r="A980" s="18" t="s">
        <v>4352</v>
      </c>
      <c r="B980" s="18">
        <v>1983.0</v>
      </c>
      <c r="C980" s="18" t="s">
        <v>501</v>
      </c>
      <c r="D980" s="18">
        <v>28.0</v>
      </c>
      <c r="E980" s="18" t="str">
        <f t="shared" si="1"/>
        <v>28/08/83</v>
      </c>
      <c r="F980" s="18">
        <v>3.0</v>
      </c>
      <c r="G980" s="27">
        <v>7985.82</v>
      </c>
      <c r="H980" s="18" t="s">
        <v>140</v>
      </c>
      <c r="I980" s="18" t="s">
        <v>219</v>
      </c>
      <c r="J980" s="18" t="s">
        <v>2024</v>
      </c>
      <c r="K980" s="29">
        <f t="shared" si="2"/>
        <v>39</v>
      </c>
    </row>
    <row r="981" ht="15.75" customHeight="1">
      <c r="A981" s="18" t="s">
        <v>4348</v>
      </c>
      <c r="B981" s="18">
        <v>1983.0</v>
      </c>
      <c r="C981" s="18" t="s">
        <v>501</v>
      </c>
      <c r="D981" s="18">
        <v>20.0</v>
      </c>
      <c r="E981" s="18" t="str">
        <f t="shared" si="1"/>
        <v>20/08/83</v>
      </c>
      <c r="F981" s="18">
        <v>3.0</v>
      </c>
      <c r="G981" s="27">
        <v>7986.48</v>
      </c>
      <c r="H981" s="18" t="s">
        <v>140</v>
      </c>
      <c r="I981" s="18" t="s">
        <v>142</v>
      </c>
      <c r="J981" s="18" t="s">
        <v>2024</v>
      </c>
      <c r="K981" s="29">
        <f t="shared" si="2"/>
        <v>39</v>
      </c>
    </row>
    <row r="982" ht="15.75" customHeight="1">
      <c r="A982" s="18" t="s">
        <v>4346</v>
      </c>
      <c r="B982" s="18">
        <v>1962.0</v>
      </c>
      <c r="C982" s="18" t="s">
        <v>501</v>
      </c>
      <c r="D982" s="18">
        <v>22.0</v>
      </c>
      <c r="E982" s="18" t="str">
        <f t="shared" si="1"/>
        <v>22/08/62</v>
      </c>
      <c r="F982" s="18">
        <v>0.0</v>
      </c>
      <c r="G982" s="27">
        <v>8004.96</v>
      </c>
      <c r="H982" s="18" t="s">
        <v>142</v>
      </c>
      <c r="I982" s="18" t="s">
        <v>219</v>
      </c>
      <c r="J982" s="18" t="s">
        <v>146</v>
      </c>
      <c r="K982" s="29">
        <f t="shared" si="2"/>
        <v>60</v>
      </c>
    </row>
    <row r="983" ht="15.75" customHeight="1">
      <c r="A983" s="18" t="s">
        <v>4342</v>
      </c>
      <c r="B983" s="18">
        <v>1995.0</v>
      </c>
      <c r="C983" s="18" t="s">
        <v>272</v>
      </c>
      <c r="D983" s="18">
        <v>18.0</v>
      </c>
      <c r="E983" s="18" t="str">
        <f t="shared" si="1"/>
        <v>18/09/95</v>
      </c>
      <c r="F983" s="18">
        <v>0.0</v>
      </c>
      <c r="G983" s="27">
        <v>8014.62</v>
      </c>
      <c r="H983" s="18" t="s">
        <v>140</v>
      </c>
      <c r="I983" s="18" t="s">
        <v>142</v>
      </c>
      <c r="J983" s="18" t="s">
        <v>325</v>
      </c>
      <c r="K983" s="29">
        <f t="shared" si="2"/>
        <v>27</v>
      </c>
    </row>
    <row r="984" ht="15.75" customHeight="1">
      <c r="A984" s="18" t="s">
        <v>4338</v>
      </c>
      <c r="B984" s="18">
        <v>1980.0</v>
      </c>
      <c r="C984" s="18" t="s">
        <v>209</v>
      </c>
      <c r="D984" s="18">
        <v>8.0</v>
      </c>
      <c r="E984" s="18" t="str">
        <f t="shared" si="1"/>
        <v>08/11/80</v>
      </c>
      <c r="F984" s="18">
        <v>2.0</v>
      </c>
      <c r="G984" s="27">
        <v>8017.06</v>
      </c>
      <c r="H984" s="18" t="s">
        <v>140</v>
      </c>
      <c r="I984" s="18" t="s">
        <v>140</v>
      </c>
      <c r="J984" s="18" t="s">
        <v>325</v>
      </c>
      <c r="K984" s="29">
        <f t="shared" si="2"/>
        <v>42</v>
      </c>
    </row>
    <row r="985" ht="15.75" customHeight="1">
      <c r="A985" s="18" t="s">
        <v>4335</v>
      </c>
      <c r="B985" s="18">
        <v>1989.0</v>
      </c>
      <c r="C985" s="18" t="s">
        <v>209</v>
      </c>
      <c r="D985" s="18">
        <v>3.0</v>
      </c>
      <c r="E985" s="18" t="str">
        <f t="shared" si="1"/>
        <v>03/11/89</v>
      </c>
      <c r="F985" s="18">
        <v>3.0</v>
      </c>
      <c r="G985" s="27">
        <v>8021.11</v>
      </c>
      <c r="H985" s="18" t="s">
        <v>140</v>
      </c>
      <c r="I985" s="18" t="s">
        <v>219</v>
      </c>
      <c r="J985" s="18" t="s">
        <v>325</v>
      </c>
      <c r="K985" s="29">
        <f t="shared" si="2"/>
        <v>33</v>
      </c>
    </row>
    <row r="986" ht="15.75" customHeight="1">
      <c r="A986" s="18" t="s">
        <v>4332</v>
      </c>
      <c r="B986" s="18">
        <v>1978.0</v>
      </c>
      <c r="C986" s="18" t="s">
        <v>91</v>
      </c>
      <c r="D986" s="18">
        <v>17.0</v>
      </c>
      <c r="E986" s="18" t="str">
        <f t="shared" si="1"/>
        <v>17/07/78</v>
      </c>
      <c r="F986" s="18">
        <v>1.0</v>
      </c>
      <c r="G986" s="27">
        <v>8023.14</v>
      </c>
      <c r="H986" s="18" t="s">
        <v>140</v>
      </c>
      <c r="I986" s="18" t="s">
        <v>142</v>
      </c>
      <c r="J986" s="18" t="s">
        <v>325</v>
      </c>
      <c r="K986" s="29">
        <f t="shared" si="2"/>
        <v>44</v>
      </c>
    </row>
    <row r="987" ht="15.75" customHeight="1">
      <c r="A987" s="18" t="s">
        <v>4328</v>
      </c>
      <c r="B987" s="18">
        <v>1976.0</v>
      </c>
      <c r="C987" s="18" t="s">
        <v>457</v>
      </c>
      <c r="D987" s="18">
        <v>20.0</v>
      </c>
      <c r="E987" s="18" t="str">
        <f t="shared" si="1"/>
        <v>20/12/76</v>
      </c>
      <c r="F987" s="18">
        <v>0.0</v>
      </c>
      <c r="G987" s="27">
        <v>8026.67</v>
      </c>
      <c r="H987" s="18" t="s">
        <v>140</v>
      </c>
      <c r="I987" s="18" t="s">
        <v>140</v>
      </c>
      <c r="J987" s="18" t="s">
        <v>325</v>
      </c>
      <c r="K987" s="29">
        <f t="shared" si="2"/>
        <v>46</v>
      </c>
    </row>
    <row r="988" ht="15.75" customHeight="1">
      <c r="A988" s="18" t="s">
        <v>4326</v>
      </c>
      <c r="B988" s="18">
        <v>1977.0</v>
      </c>
      <c r="C988" s="18" t="s">
        <v>209</v>
      </c>
      <c r="D988" s="18">
        <v>6.0</v>
      </c>
      <c r="E988" s="18" t="str">
        <f t="shared" si="1"/>
        <v>06/11/77</v>
      </c>
      <c r="F988" s="18">
        <v>2.0</v>
      </c>
      <c r="G988" s="27">
        <v>8027.97</v>
      </c>
      <c r="H988" s="18" t="s">
        <v>142</v>
      </c>
      <c r="I988" s="18" t="s">
        <v>140</v>
      </c>
      <c r="J988" s="18" t="s">
        <v>570</v>
      </c>
      <c r="K988" s="29">
        <f t="shared" si="2"/>
        <v>45</v>
      </c>
    </row>
    <row r="989" ht="15.75" customHeight="1">
      <c r="A989" s="18" t="s">
        <v>4323</v>
      </c>
      <c r="B989" s="18">
        <v>2003.0</v>
      </c>
      <c r="C989" s="18" t="s">
        <v>457</v>
      </c>
      <c r="D989" s="18">
        <v>12.0</v>
      </c>
      <c r="E989" s="18" t="str">
        <f t="shared" si="1"/>
        <v>12/12/03</v>
      </c>
      <c r="F989" s="18">
        <v>0.0</v>
      </c>
      <c r="G989" s="27">
        <v>8035.64</v>
      </c>
      <c r="H989" s="18" t="s">
        <v>140</v>
      </c>
      <c r="I989" s="18" t="s">
        <v>140</v>
      </c>
      <c r="J989" s="18" t="s">
        <v>325</v>
      </c>
      <c r="K989" s="29">
        <f t="shared" si="2"/>
        <v>19</v>
      </c>
    </row>
    <row r="990" ht="15.75" customHeight="1">
      <c r="A990" s="18" t="s">
        <v>4319</v>
      </c>
      <c r="B990" s="18">
        <v>1985.0</v>
      </c>
      <c r="C990" s="18" t="s">
        <v>209</v>
      </c>
      <c r="D990" s="18">
        <v>28.0</v>
      </c>
      <c r="E990" s="18" t="str">
        <f t="shared" si="1"/>
        <v>28/11/85</v>
      </c>
      <c r="F990" s="18">
        <v>3.0</v>
      </c>
      <c r="G990" s="27">
        <v>8059.06</v>
      </c>
      <c r="H990" s="18" t="s">
        <v>140</v>
      </c>
      <c r="I990" s="18" t="s">
        <v>142</v>
      </c>
      <c r="J990" s="18" t="s">
        <v>325</v>
      </c>
      <c r="K990" s="29">
        <f t="shared" si="2"/>
        <v>37</v>
      </c>
    </row>
    <row r="991" ht="15.75" customHeight="1">
      <c r="A991" s="18" t="s">
        <v>4317</v>
      </c>
      <c r="B991" s="18">
        <v>1982.0</v>
      </c>
      <c r="C991" s="18" t="s">
        <v>457</v>
      </c>
      <c r="D991" s="18">
        <v>27.0</v>
      </c>
      <c r="E991" s="18" t="str">
        <f t="shared" si="1"/>
        <v>27/12/82</v>
      </c>
      <c r="F991" s="18">
        <v>3.0</v>
      </c>
      <c r="G991" s="27">
        <v>8059.68</v>
      </c>
      <c r="H991" s="18" t="s">
        <v>140</v>
      </c>
      <c r="I991" s="18" t="s">
        <v>142</v>
      </c>
      <c r="J991" s="18" t="s">
        <v>325</v>
      </c>
      <c r="K991" s="29">
        <f t="shared" si="2"/>
        <v>40</v>
      </c>
    </row>
    <row r="992" ht="15.75" customHeight="1">
      <c r="A992" s="18" t="s">
        <v>4313</v>
      </c>
      <c r="B992" s="18">
        <v>1970.0</v>
      </c>
      <c r="C992" s="18" t="s">
        <v>457</v>
      </c>
      <c r="D992" s="18">
        <v>12.0</v>
      </c>
      <c r="E992" s="18" t="str">
        <f t="shared" si="1"/>
        <v>12/12/70</v>
      </c>
      <c r="F992" s="18">
        <v>0.0</v>
      </c>
      <c r="G992" s="27">
        <v>8062.31</v>
      </c>
      <c r="H992" s="18" t="s">
        <v>140</v>
      </c>
      <c r="I992" s="18" t="s">
        <v>219</v>
      </c>
      <c r="J992" s="18" t="s">
        <v>146</v>
      </c>
      <c r="K992" s="29">
        <f t="shared" si="2"/>
        <v>52</v>
      </c>
    </row>
    <row r="993" ht="15.75" customHeight="1">
      <c r="A993" s="18" t="s">
        <v>4311</v>
      </c>
      <c r="B993" s="18">
        <v>1975.0</v>
      </c>
      <c r="C993" s="18" t="s">
        <v>241</v>
      </c>
      <c r="D993" s="18">
        <v>28.0</v>
      </c>
      <c r="E993" s="18" t="str">
        <f t="shared" si="1"/>
        <v>28/06/75</v>
      </c>
      <c r="F993" s="18">
        <v>1.0</v>
      </c>
      <c r="G993" s="27">
        <v>8062.76</v>
      </c>
      <c r="H993" s="18" t="s">
        <v>142</v>
      </c>
      <c r="I993" s="18" t="s">
        <v>142</v>
      </c>
      <c r="J993" s="18" t="s">
        <v>570</v>
      </c>
      <c r="K993" s="29">
        <f t="shared" si="2"/>
        <v>47</v>
      </c>
    </row>
    <row r="994" ht="15.75" customHeight="1">
      <c r="A994" s="18" t="s">
        <v>4307</v>
      </c>
      <c r="B994" s="18">
        <v>1965.0</v>
      </c>
      <c r="C994" s="18" t="s">
        <v>501</v>
      </c>
      <c r="D994" s="18">
        <v>11.0</v>
      </c>
      <c r="E994" s="18" t="str">
        <f t="shared" si="1"/>
        <v>11/08/65</v>
      </c>
      <c r="F994" s="18">
        <v>0.0</v>
      </c>
      <c r="G994" s="27">
        <v>8067.83</v>
      </c>
      <c r="H994" s="18" t="s">
        <v>142</v>
      </c>
      <c r="I994" s="18" t="s">
        <v>219</v>
      </c>
      <c r="J994" s="18" t="s">
        <v>146</v>
      </c>
      <c r="K994" s="29">
        <f t="shared" si="2"/>
        <v>57</v>
      </c>
    </row>
    <row r="995" ht="15.75" customHeight="1">
      <c r="A995" s="18" t="s">
        <v>4304</v>
      </c>
      <c r="B995" s="18">
        <v>1975.0</v>
      </c>
      <c r="C995" s="18" t="s">
        <v>457</v>
      </c>
      <c r="D995" s="18">
        <v>15.0</v>
      </c>
      <c r="E995" s="18" t="str">
        <f t="shared" si="1"/>
        <v>15/12/75</v>
      </c>
      <c r="F995" s="18">
        <v>1.0</v>
      </c>
      <c r="G995" s="27">
        <v>8068.19</v>
      </c>
      <c r="H995" s="18" t="s">
        <v>142</v>
      </c>
      <c r="I995" s="18" t="s">
        <v>140</v>
      </c>
      <c r="J995" s="18" t="s">
        <v>570</v>
      </c>
      <c r="K995" s="29">
        <f t="shared" si="2"/>
        <v>47</v>
      </c>
    </row>
    <row r="996" ht="15.75" customHeight="1">
      <c r="A996" s="18" t="s">
        <v>4302</v>
      </c>
      <c r="B996" s="18">
        <v>1965.0</v>
      </c>
      <c r="C996" s="18" t="s">
        <v>517</v>
      </c>
      <c r="D996" s="18">
        <v>21.0</v>
      </c>
      <c r="E996" s="18" t="str">
        <f t="shared" si="1"/>
        <v>21/10/65</v>
      </c>
      <c r="F996" s="18">
        <v>0.0</v>
      </c>
      <c r="G996" s="27">
        <v>8071.57</v>
      </c>
      <c r="H996" s="18" t="s">
        <v>142</v>
      </c>
      <c r="I996" s="18" t="s">
        <v>219</v>
      </c>
      <c r="J996" s="18" t="s">
        <v>570</v>
      </c>
      <c r="K996" s="29">
        <f t="shared" si="2"/>
        <v>57</v>
      </c>
    </row>
    <row r="997" ht="15.75" customHeight="1">
      <c r="A997" s="18" t="s">
        <v>4298</v>
      </c>
      <c r="B997" s="18">
        <v>1993.0</v>
      </c>
      <c r="C997" s="18" t="s">
        <v>209</v>
      </c>
      <c r="D997" s="18">
        <v>7.0</v>
      </c>
      <c r="E997" s="18" t="str">
        <f t="shared" si="1"/>
        <v>07/11/93</v>
      </c>
      <c r="F997" s="18">
        <v>0.0</v>
      </c>
      <c r="G997" s="27">
        <v>8077.41</v>
      </c>
      <c r="H997" s="18" t="s">
        <v>140</v>
      </c>
      <c r="I997" s="18" t="s">
        <v>219</v>
      </c>
      <c r="J997" s="18" t="s">
        <v>3559</v>
      </c>
      <c r="K997" s="29">
        <f t="shared" si="2"/>
        <v>29</v>
      </c>
    </row>
    <row r="998" ht="15.75" customHeight="1">
      <c r="A998" s="18" t="s">
        <v>4293</v>
      </c>
      <c r="B998" s="18">
        <v>2001.0</v>
      </c>
      <c r="C998" s="18" t="s">
        <v>501</v>
      </c>
      <c r="D998" s="18">
        <v>28.0</v>
      </c>
      <c r="E998" s="18" t="str">
        <f t="shared" si="1"/>
        <v>28/08/01</v>
      </c>
      <c r="F998" s="18">
        <v>0.0</v>
      </c>
      <c r="G998" s="27">
        <v>8081.26</v>
      </c>
      <c r="H998" s="18" t="s">
        <v>140</v>
      </c>
      <c r="I998" s="18" t="s">
        <v>140</v>
      </c>
      <c r="J998" s="18" t="s">
        <v>325</v>
      </c>
      <c r="K998" s="29">
        <f t="shared" si="2"/>
        <v>21</v>
      </c>
    </row>
    <row r="999" ht="15.75" customHeight="1">
      <c r="A999" s="18" t="s">
        <v>4290</v>
      </c>
      <c r="B999" s="18">
        <v>1994.0</v>
      </c>
      <c r="C999" s="18" t="s">
        <v>517</v>
      </c>
      <c r="D999" s="18">
        <v>12.0</v>
      </c>
      <c r="E999" s="18" t="str">
        <f t="shared" si="1"/>
        <v>12/10/94</v>
      </c>
      <c r="F999" s="18">
        <v>0.0</v>
      </c>
      <c r="G999" s="27">
        <v>8081.74</v>
      </c>
      <c r="H999" s="18" t="s">
        <v>140</v>
      </c>
      <c r="I999" s="18" t="s">
        <v>140</v>
      </c>
      <c r="J999" s="18" t="s">
        <v>3559</v>
      </c>
      <c r="K999" s="29">
        <f t="shared" si="2"/>
        <v>28</v>
      </c>
    </row>
    <row r="1000" ht="15.75" customHeight="1">
      <c r="A1000" s="18" t="s">
        <v>4286</v>
      </c>
      <c r="B1000" s="18">
        <v>1975.0</v>
      </c>
      <c r="C1000" s="18" t="s">
        <v>457</v>
      </c>
      <c r="D1000" s="18">
        <v>21.0</v>
      </c>
      <c r="E1000" s="18" t="str">
        <f t="shared" si="1"/>
        <v>21/12/75</v>
      </c>
      <c r="F1000" s="18">
        <v>1.0</v>
      </c>
      <c r="G1000" s="27">
        <v>8083.92</v>
      </c>
      <c r="H1000" s="18" t="s">
        <v>142</v>
      </c>
      <c r="I1000" s="18" t="s">
        <v>142</v>
      </c>
      <c r="J1000" s="18" t="s">
        <v>146</v>
      </c>
      <c r="K1000" s="29">
        <f t="shared" si="2"/>
        <v>47</v>
      </c>
    </row>
    <row r="1001" ht="15.75" customHeight="1">
      <c r="A1001" s="18" t="s">
        <v>4283</v>
      </c>
      <c r="B1001" s="18">
        <v>1967.0</v>
      </c>
      <c r="C1001" s="18" t="s">
        <v>241</v>
      </c>
      <c r="D1001" s="18">
        <v>10.0</v>
      </c>
      <c r="E1001" s="18" t="str">
        <f t="shared" si="1"/>
        <v>10/06/67</v>
      </c>
      <c r="F1001" s="18">
        <v>0.0</v>
      </c>
      <c r="G1001" s="27">
        <v>8091.3</v>
      </c>
      <c r="H1001" s="18" t="s">
        <v>142</v>
      </c>
      <c r="I1001" s="18" t="s">
        <v>219</v>
      </c>
      <c r="J1001" s="18" t="s">
        <v>325</v>
      </c>
      <c r="K1001" s="29">
        <f t="shared" si="2"/>
        <v>55</v>
      </c>
    </row>
    <row r="1002" ht="15.75" customHeight="1">
      <c r="A1002" s="18" t="s">
        <v>4281</v>
      </c>
      <c r="B1002" s="18">
        <v>1973.0</v>
      </c>
      <c r="C1002" s="18" t="s">
        <v>517</v>
      </c>
      <c r="D1002" s="18">
        <v>11.0</v>
      </c>
      <c r="E1002" s="18" t="str">
        <f t="shared" si="1"/>
        <v>11/10/73</v>
      </c>
      <c r="F1002" s="18">
        <v>0.0</v>
      </c>
      <c r="G1002" s="27">
        <v>8112.59</v>
      </c>
      <c r="H1002" s="18" t="s">
        <v>140</v>
      </c>
      <c r="I1002" s="18" t="s">
        <v>140</v>
      </c>
      <c r="J1002" s="18" t="s">
        <v>146</v>
      </c>
      <c r="K1002" s="29">
        <f t="shared" si="2"/>
        <v>49</v>
      </c>
    </row>
    <row r="1003" ht="15.75" customHeight="1">
      <c r="A1003" s="18" t="s">
        <v>4278</v>
      </c>
      <c r="B1003" s="18">
        <v>1978.0</v>
      </c>
      <c r="C1003" s="18" t="s">
        <v>272</v>
      </c>
      <c r="D1003" s="18">
        <v>1.0</v>
      </c>
      <c r="E1003" s="18" t="str">
        <f t="shared" si="1"/>
        <v>01/09/78</v>
      </c>
      <c r="F1003" s="18">
        <v>2.0</v>
      </c>
      <c r="G1003" s="27">
        <v>8116.27</v>
      </c>
      <c r="H1003" s="18" t="s">
        <v>142</v>
      </c>
      <c r="I1003" s="18" t="s">
        <v>219</v>
      </c>
      <c r="J1003" s="18" t="s">
        <v>325</v>
      </c>
      <c r="K1003" s="29">
        <f t="shared" si="2"/>
        <v>44</v>
      </c>
    </row>
    <row r="1004" ht="15.75" customHeight="1">
      <c r="A1004" s="18" t="s">
        <v>4275</v>
      </c>
      <c r="B1004" s="18">
        <v>1973.0</v>
      </c>
      <c r="C1004" s="18" t="s">
        <v>457</v>
      </c>
      <c r="D1004" s="18">
        <v>16.0</v>
      </c>
      <c r="E1004" s="18" t="str">
        <f t="shared" si="1"/>
        <v>16/12/73</v>
      </c>
      <c r="F1004" s="18">
        <v>0.0</v>
      </c>
      <c r="G1004" s="27">
        <v>8116.68</v>
      </c>
      <c r="H1004" s="18" t="s">
        <v>142</v>
      </c>
      <c r="I1004" s="18" t="s">
        <v>219</v>
      </c>
      <c r="J1004" s="18" t="s">
        <v>570</v>
      </c>
      <c r="K1004" s="29">
        <f t="shared" si="2"/>
        <v>49</v>
      </c>
    </row>
    <row r="1005" ht="15.75" customHeight="1">
      <c r="A1005" s="18" t="s">
        <v>4271</v>
      </c>
      <c r="B1005" s="18">
        <v>1973.0</v>
      </c>
      <c r="C1005" s="18" t="s">
        <v>501</v>
      </c>
      <c r="D1005" s="18">
        <v>30.0</v>
      </c>
      <c r="E1005" s="18" t="str">
        <f t="shared" si="1"/>
        <v>30/08/73</v>
      </c>
      <c r="F1005" s="18">
        <v>0.0</v>
      </c>
      <c r="G1005" s="27">
        <v>8124.41</v>
      </c>
      <c r="H1005" s="18" t="s">
        <v>142</v>
      </c>
      <c r="I1005" s="18" t="s">
        <v>219</v>
      </c>
      <c r="J1005" s="18" t="s">
        <v>146</v>
      </c>
      <c r="K1005" s="29">
        <f t="shared" si="2"/>
        <v>49</v>
      </c>
    </row>
    <row r="1006" ht="15.75" customHeight="1">
      <c r="A1006" s="18" t="s">
        <v>4268</v>
      </c>
      <c r="B1006" s="18">
        <v>1973.0</v>
      </c>
      <c r="C1006" s="18" t="s">
        <v>272</v>
      </c>
      <c r="D1006" s="18">
        <v>3.0</v>
      </c>
      <c r="E1006" s="18" t="str">
        <f t="shared" si="1"/>
        <v>03/09/73</v>
      </c>
      <c r="F1006" s="18">
        <v>0.0</v>
      </c>
      <c r="G1006" s="27">
        <v>8125.78</v>
      </c>
      <c r="H1006" s="18" t="s">
        <v>140</v>
      </c>
      <c r="I1006" s="18" t="s">
        <v>140</v>
      </c>
      <c r="J1006" s="18" t="s">
        <v>146</v>
      </c>
      <c r="K1006" s="29">
        <f t="shared" si="2"/>
        <v>49</v>
      </c>
    </row>
    <row r="1007" ht="15.75" customHeight="1">
      <c r="A1007" s="18" t="s">
        <v>4265</v>
      </c>
      <c r="B1007" s="18">
        <v>1990.0</v>
      </c>
      <c r="C1007" s="18" t="s">
        <v>241</v>
      </c>
      <c r="D1007" s="18">
        <v>21.0</v>
      </c>
      <c r="E1007" s="18" t="str">
        <f t="shared" si="1"/>
        <v>21/06/90</v>
      </c>
      <c r="F1007" s="18">
        <v>3.0</v>
      </c>
      <c r="G1007" s="27">
        <v>8157.92</v>
      </c>
      <c r="H1007" s="18" t="s">
        <v>140</v>
      </c>
      <c r="I1007" s="18" t="s">
        <v>142</v>
      </c>
      <c r="J1007" s="18" t="s">
        <v>1647</v>
      </c>
      <c r="K1007" s="29">
        <f t="shared" si="2"/>
        <v>32</v>
      </c>
    </row>
    <row r="1008" ht="15.75" customHeight="1">
      <c r="A1008" s="18" t="s">
        <v>4261</v>
      </c>
      <c r="B1008" s="18">
        <v>1982.0</v>
      </c>
      <c r="C1008" s="18" t="s">
        <v>241</v>
      </c>
      <c r="D1008" s="18">
        <v>28.0</v>
      </c>
      <c r="E1008" s="18" t="str">
        <f t="shared" si="1"/>
        <v>28/06/82</v>
      </c>
      <c r="F1008" s="18">
        <v>4.0</v>
      </c>
      <c r="G1008" s="27">
        <v>8162.72</v>
      </c>
      <c r="H1008" s="18" t="s">
        <v>142</v>
      </c>
      <c r="I1008" s="18" t="s">
        <v>142</v>
      </c>
      <c r="J1008" s="18" t="s">
        <v>325</v>
      </c>
      <c r="K1008" s="29">
        <f t="shared" si="2"/>
        <v>40</v>
      </c>
    </row>
    <row r="1009" ht="15.75" customHeight="1">
      <c r="A1009" s="18" t="s">
        <v>4259</v>
      </c>
      <c r="B1009" s="18">
        <v>1963.0</v>
      </c>
      <c r="C1009" s="18" t="s">
        <v>209</v>
      </c>
      <c r="D1009" s="18">
        <v>5.0</v>
      </c>
      <c r="E1009" s="18" t="str">
        <f t="shared" si="1"/>
        <v>05/11/63</v>
      </c>
      <c r="F1009" s="18">
        <v>0.0</v>
      </c>
      <c r="G1009" s="27">
        <v>8177.9</v>
      </c>
      <c r="H1009" s="18" t="s">
        <v>142</v>
      </c>
      <c r="I1009" s="18" t="s">
        <v>219</v>
      </c>
      <c r="J1009" s="18" t="s">
        <v>146</v>
      </c>
      <c r="K1009" s="29">
        <f t="shared" si="2"/>
        <v>59</v>
      </c>
    </row>
    <row r="1010" ht="15.75" customHeight="1">
      <c r="A1010" s="18" t="s">
        <v>4256</v>
      </c>
      <c r="B1010" s="18">
        <v>1983.0</v>
      </c>
      <c r="C1010" s="18" t="s">
        <v>241</v>
      </c>
      <c r="D1010" s="18">
        <v>8.0</v>
      </c>
      <c r="E1010" s="18" t="str">
        <f t="shared" si="1"/>
        <v>08/06/83</v>
      </c>
      <c r="F1010" s="18">
        <v>3.0</v>
      </c>
      <c r="G1010" s="27">
        <v>8179.51</v>
      </c>
      <c r="H1010" s="18" t="s">
        <v>140</v>
      </c>
      <c r="I1010" s="18" t="s">
        <v>140</v>
      </c>
      <c r="J1010" s="18" t="s">
        <v>3443</v>
      </c>
      <c r="K1010" s="29">
        <f t="shared" si="2"/>
        <v>40</v>
      </c>
    </row>
    <row r="1011" ht="15.75" customHeight="1">
      <c r="A1011" s="18" t="s">
        <v>4252</v>
      </c>
      <c r="B1011" s="18">
        <v>1997.0</v>
      </c>
      <c r="C1011" s="18" t="s">
        <v>517</v>
      </c>
      <c r="D1011" s="18">
        <v>21.0</v>
      </c>
      <c r="E1011" s="18" t="str">
        <f t="shared" si="1"/>
        <v>21/10/97</v>
      </c>
      <c r="F1011" s="18">
        <v>0.0</v>
      </c>
      <c r="G1011" s="27">
        <v>8182.89</v>
      </c>
      <c r="H1011" s="18" t="s">
        <v>140</v>
      </c>
      <c r="I1011" s="18" t="s">
        <v>219</v>
      </c>
      <c r="J1011" s="18" t="s">
        <v>3559</v>
      </c>
      <c r="K1011" s="29">
        <f t="shared" si="2"/>
        <v>25</v>
      </c>
    </row>
    <row r="1012" ht="15.75" customHeight="1">
      <c r="A1012" s="18" t="s">
        <v>4249</v>
      </c>
      <c r="B1012" s="18">
        <v>1962.0</v>
      </c>
      <c r="C1012" s="18" t="s">
        <v>209</v>
      </c>
      <c r="D1012" s="18">
        <v>23.0</v>
      </c>
      <c r="E1012" s="18" t="str">
        <f t="shared" si="1"/>
        <v>23/11/62</v>
      </c>
      <c r="F1012" s="18">
        <v>0.0</v>
      </c>
      <c r="G1012" s="27">
        <v>8188.12</v>
      </c>
      <c r="H1012" s="18" t="s">
        <v>142</v>
      </c>
      <c r="I1012" s="18" t="s">
        <v>142</v>
      </c>
      <c r="J1012" s="18" t="s">
        <v>146</v>
      </c>
      <c r="K1012" s="29">
        <f t="shared" si="2"/>
        <v>60</v>
      </c>
    </row>
    <row r="1013" ht="15.75" customHeight="1">
      <c r="A1013" s="18" t="s">
        <v>4247</v>
      </c>
      <c r="B1013" s="18">
        <v>1978.0</v>
      </c>
      <c r="C1013" s="18" t="s">
        <v>517</v>
      </c>
      <c r="D1013" s="18">
        <v>24.0</v>
      </c>
      <c r="E1013" s="18" t="str">
        <f t="shared" si="1"/>
        <v>24/10/78</v>
      </c>
      <c r="F1013" s="18">
        <v>2.0</v>
      </c>
      <c r="G1013" s="27">
        <v>8211.1</v>
      </c>
      <c r="H1013" s="18" t="s">
        <v>140</v>
      </c>
      <c r="I1013" s="18" t="s">
        <v>142</v>
      </c>
      <c r="J1013" s="18" t="s">
        <v>146</v>
      </c>
      <c r="K1013" s="29">
        <f t="shared" si="2"/>
        <v>44</v>
      </c>
    </row>
    <row r="1014" ht="15.75" customHeight="1">
      <c r="A1014" s="18" t="s">
        <v>4243</v>
      </c>
      <c r="B1014" s="18">
        <v>1978.0</v>
      </c>
      <c r="C1014" s="18" t="s">
        <v>241</v>
      </c>
      <c r="D1014" s="18">
        <v>30.0</v>
      </c>
      <c r="E1014" s="18" t="str">
        <f t="shared" si="1"/>
        <v>30/06/78</v>
      </c>
      <c r="F1014" s="18">
        <v>2.0</v>
      </c>
      <c r="G1014" s="27">
        <v>8219.2</v>
      </c>
      <c r="H1014" s="18" t="s">
        <v>140</v>
      </c>
      <c r="I1014" s="18" t="s">
        <v>140</v>
      </c>
      <c r="J1014" s="18" t="s">
        <v>146</v>
      </c>
      <c r="K1014" s="29">
        <f t="shared" si="2"/>
        <v>44</v>
      </c>
    </row>
    <row r="1015" ht="15.75" customHeight="1">
      <c r="A1015" s="18" t="s">
        <v>4241</v>
      </c>
      <c r="B1015" s="18">
        <v>1976.0</v>
      </c>
      <c r="C1015" s="18" t="s">
        <v>272</v>
      </c>
      <c r="D1015" s="18">
        <v>3.0</v>
      </c>
      <c r="E1015" s="18" t="str">
        <f t="shared" si="1"/>
        <v>03/09/76</v>
      </c>
      <c r="F1015" s="18">
        <v>1.0</v>
      </c>
      <c r="G1015" s="27">
        <v>8232.64</v>
      </c>
      <c r="H1015" s="18" t="s">
        <v>140</v>
      </c>
      <c r="I1015" s="18" t="s">
        <v>142</v>
      </c>
      <c r="J1015" s="18" t="s">
        <v>146</v>
      </c>
      <c r="K1015" s="29">
        <f t="shared" si="2"/>
        <v>46</v>
      </c>
    </row>
    <row r="1016" ht="15.75" customHeight="1">
      <c r="A1016" s="18" t="s">
        <v>4237</v>
      </c>
      <c r="B1016" s="18">
        <v>1976.0</v>
      </c>
      <c r="C1016" s="18" t="s">
        <v>241</v>
      </c>
      <c r="D1016" s="18">
        <v>30.0</v>
      </c>
      <c r="E1016" s="18" t="str">
        <f t="shared" si="1"/>
        <v>30/06/76</v>
      </c>
      <c r="F1016" s="18">
        <v>1.0</v>
      </c>
      <c r="G1016" s="27">
        <v>8233.1</v>
      </c>
      <c r="H1016" s="18" t="s">
        <v>140</v>
      </c>
      <c r="I1016" s="18" t="s">
        <v>140</v>
      </c>
      <c r="J1016" s="18" t="s">
        <v>146</v>
      </c>
      <c r="K1016" s="29">
        <f t="shared" si="2"/>
        <v>46</v>
      </c>
    </row>
    <row r="1017" ht="15.75" customHeight="1">
      <c r="A1017" s="18" t="s">
        <v>4234</v>
      </c>
      <c r="B1017" s="18">
        <v>1976.0</v>
      </c>
      <c r="C1017" s="18" t="s">
        <v>272</v>
      </c>
      <c r="D1017" s="18">
        <v>2.0</v>
      </c>
      <c r="E1017" s="18" t="str">
        <f t="shared" si="1"/>
        <v>02/09/76</v>
      </c>
      <c r="F1017" s="18">
        <v>1.0</v>
      </c>
      <c r="G1017" s="27">
        <v>8240.59</v>
      </c>
      <c r="H1017" s="18" t="s">
        <v>140</v>
      </c>
      <c r="I1017" s="18" t="s">
        <v>140</v>
      </c>
      <c r="J1017" s="18" t="s">
        <v>146</v>
      </c>
      <c r="K1017" s="29">
        <f t="shared" si="2"/>
        <v>46</v>
      </c>
    </row>
    <row r="1018" ht="15.75" customHeight="1">
      <c r="A1018" s="18" t="s">
        <v>4230</v>
      </c>
      <c r="B1018" s="18">
        <v>1982.0</v>
      </c>
      <c r="C1018" s="18" t="s">
        <v>272</v>
      </c>
      <c r="D1018" s="18">
        <v>27.0</v>
      </c>
      <c r="E1018" s="18" t="str">
        <f t="shared" si="1"/>
        <v>27/09/82</v>
      </c>
      <c r="F1018" s="18">
        <v>3.0</v>
      </c>
      <c r="G1018" s="27">
        <v>8252.28</v>
      </c>
      <c r="H1018" s="18" t="s">
        <v>140</v>
      </c>
      <c r="I1018" s="18" t="s">
        <v>140</v>
      </c>
      <c r="J1018" s="18" t="s">
        <v>2024</v>
      </c>
      <c r="K1018" s="29">
        <f t="shared" si="2"/>
        <v>40</v>
      </c>
    </row>
    <row r="1019" ht="15.75" customHeight="1">
      <c r="A1019" s="18" t="s">
        <v>4226</v>
      </c>
      <c r="B1019" s="18">
        <v>1964.0</v>
      </c>
      <c r="C1019" s="18" t="s">
        <v>272</v>
      </c>
      <c r="D1019" s="18">
        <v>5.0</v>
      </c>
      <c r="E1019" s="18" t="str">
        <f t="shared" si="1"/>
        <v>05/09/64</v>
      </c>
      <c r="F1019" s="18">
        <v>0.0</v>
      </c>
      <c r="G1019" s="27">
        <v>8268.0</v>
      </c>
      <c r="H1019" s="18" t="s">
        <v>142</v>
      </c>
      <c r="I1019" s="18" t="s">
        <v>142</v>
      </c>
      <c r="J1019" s="18" t="s">
        <v>146</v>
      </c>
      <c r="K1019" s="29">
        <f t="shared" si="2"/>
        <v>58</v>
      </c>
    </row>
    <row r="1020" ht="15.75" customHeight="1">
      <c r="A1020" s="18" t="s">
        <v>4223</v>
      </c>
      <c r="B1020" s="18">
        <v>1974.0</v>
      </c>
      <c r="C1020" s="18" t="s">
        <v>501</v>
      </c>
      <c r="D1020" s="18">
        <v>5.0</v>
      </c>
      <c r="E1020" s="18" t="str">
        <f t="shared" si="1"/>
        <v>05/08/74</v>
      </c>
      <c r="F1020" s="18">
        <v>0.0</v>
      </c>
      <c r="G1020" s="27">
        <v>8269.04</v>
      </c>
      <c r="H1020" s="18" t="s">
        <v>140</v>
      </c>
      <c r="I1020" s="18" t="s">
        <v>219</v>
      </c>
      <c r="J1020" s="18" t="s">
        <v>570</v>
      </c>
      <c r="K1020" s="29">
        <f t="shared" si="2"/>
        <v>48</v>
      </c>
    </row>
    <row r="1021" ht="15.75" customHeight="1">
      <c r="A1021" s="18" t="s">
        <v>4219</v>
      </c>
      <c r="B1021" s="18">
        <v>2000.0</v>
      </c>
      <c r="C1021" s="18" t="s">
        <v>209</v>
      </c>
      <c r="D1021" s="18">
        <v>28.0</v>
      </c>
      <c r="E1021" s="18" t="str">
        <f t="shared" si="1"/>
        <v>28/11/00</v>
      </c>
      <c r="F1021" s="18">
        <v>0.0</v>
      </c>
      <c r="G1021" s="27">
        <v>8271.46</v>
      </c>
      <c r="H1021" s="18" t="s">
        <v>140</v>
      </c>
      <c r="I1021" s="18" t="s">
        <v>219</v>
      </c>
      <c r="J1021" s="18" t="s">
        <v>2031</v>
      </c>
      <c r="K1021" s="29">
        <f t="shared" si="2"/>
        <v>22</v>
      </c>
    </row>
    <row r="1022" ht="15.75" customHeight="1">
      <c r="A1022" s="18" t="s">
        <v>4216</v>
      </c>
      <c r="B1022" s="18">
        <v>1974.0</v>
      </c>
      <c r="C1022" s="18" t="s">
        <v>272</v>
      </c>
      <c r="D1022" s="18">
        <v>26.0</v>
      </c>
      <c r="E1022" s="18" t="str">
        <f t="shared" si="1"/>
        <v>26/09/74</v>
      </c>
      <c r="F1022" s="18">
        <v>0.0</v>
      </c>
      <c r="G1022" s="27">
        <v>8277.52</v>
      </c>
      <c r="H1022" s="18" t="s">
        <v>140</v>
      </c>
      <c r="I1022" s="18" t="s">
        <v>140</v>
      </c>
      <c r="J1022" s="18" t="s">
        <v>570</v>
      </c>
      <c r="K1022" s="29">
        <f t="shared" si="2"/>
        <v>48</v>
      </c>
    </row>
    <row r="1023" ht="15.75" customHeight="1">
      <c r="A1023" s="18" t="s">
        <v>4212</v>
      </c>
      <c r="B1023" s="18">
        <v>1974.0</v>
      </c>
      <c r="C1023" s="18" t="s">
        <v>457</v>
      </c>
      <c r="D1023" s="18">
        <v>22.0</v>
      </c>
      <c r="E1023" s="18" t="str">
        <f t="shared" si="1"/>
        <v>22/12/74</v>
      </c>
      <c r="F1023" s="18">
        <v>0.0</v>
      </c>
      <c r="G1023" s="27">
        <v>8280.62</v>
      </c>
      <c r="H1023" s="18" t="s">
        <v>140</v>
      </c>
      <c r="I1023" s="18" t="s">
        <v>140</v>
      </c>
      <c r="J1023" s="18" t="s">
        <v>146</v>
      </c>
      <c r="K1023" s="29">
        <f t="shared" si="2"/>
        <v>48</v>
      </c>
    </row>
    <row r="1024" ht="15.75" customHeight="1">
      <c r="A1024" s="18" t="s">
        <v>4209</v>
      </c>
      <c r="B1024" s="18">
        <v>1974.0</v>
      </c>
      <c r="C1024" s="18" t="s">
        <v>241</v>
      </c>
      <c r="D1024" s="18">
        <v>6.0</v>
      </c>
      <c r="E1024" s="18" t="str">
        <f t="shared" si="1"/>
        <v>06/06/74</v>
      </c>
      <c r="F1024" s="18">
        <v>0.0</v>
      </c>
      <c r="G1024" s="27">
        <v>8283.68</v>
      </c>
      <c r="H1024" s="18" t="s">
        <v>140</v>
      </c>
      <c r="I1024" s="18" t="s">
        <v>142</v>
      </c>
      <c r="J1024" s="18" t="s">
        <v>146</v>
      </c>
      <c r="K1024" s="29">
        <f t="shared" si="2"/>
        <v>49</v>
      </c>
    </row>
    <row r="1025" ht="15.75" customHeight="1">
      <c r="A1025" s="18" t="s">
        <v>4205</v>
      </c>
      <c r="B1025" s="18">
        <v>1978.0</v>
      </c>
      <c r="C1025" s="18" t="s">
        <v>241</v>
      </c>
      <c r="D1025" s="18">
        <v>26.0</v>
      </c>
      <c r="E1025" s="18" t="str">
        <f t="shared" si="1"/>
        <v>26/06/78</v>
      </c>
      <c r="F1025" s="18">
        <v>2.0</v>
      </c>
      <c r="G1025" s="27">
        <v>8302.54</v>
      </c>
      <c r="H1025" s="18" t="s">
        <v>142</v>
      </c>
      <c r="I1025" s="18" t="s">
        <v>142</v>
      </c>
      <c r="J1025" s="18" t="s">
        <v>1427</v>
      </c>
      <c r="K1025" s="29">
        <f t="shared" si="2"/>
        <v>44</v>
      </c>
    </row>
    <row r="1026" ht="15.75" customHeight="1">
      <c r="A1026" s="18" t="s">
        <v>4203</v>
      </c>
      <c r="B1026" s="18">
        <v>1979.0</v>
      </c>
      <c r="C1026" s="18" t="s">
        <v>501</v>
      </c>
      <c r="D1026" s="18">
        <v>7.0</v>
      </c>
      <c r="E1026" s="18" t="str">
        <f t="shared" si="1"/>
        <v>07/08/79</v>
      </c>
      <c r="F1026" s="18">
        <v>2.0</v>
      </c>
      <c r="G1026" s="27">
        <v>8310.84</v>
      </c>
      <c r="H1026" s="18" t="s">
        <v>140</v>
      </c>
      <c r="I1026" s="18" t="s">
        <v>140</v>
      </c>
      <c r="J1026" s="18" t="s">
        <v>325</v>
      </c>
      <c r="K1026" s="29">
        <f t="shared" si="2"/>
        <v>43</v>
      </c>
    </row>
    <row r="1027" ht="15.75" customHeight="1">
      <c r="A1027" s="18" t="s">
        <v>4200</v>
      </c>
      <c r="B1027" s="18">
        <v>1993.0</v>
      </c>
      <c r="C1027" s="18" t="s">
        <v>241</v>
      </c>
      <c r="D1027" s="18">
        <v>22.0</v>
      </c>
      <c r="E1027" s="18" t="str">
        <f t="shared" si="1"/>
        <v>22/06/93</v>
      </c>
      <c r="F1027" s="18">
        <v>0.0</v>
      </c>
      <c r="G1027" s="27">
        <v>8314.65</v>
      </c>
      <c r="H1027" s="18" t="s">
        <v>140</v>
      </c>
      <c r="I1027" s="18" t="s">
        <v>219</v>
      </c>
      <c r="J1027" s="18" t="s">
        <v>325</v>
      </c>
      <c r="K1027" s="29">
        <f t="shared" si="2"/>
        <v>29</v>
      </c>
    </row>
    <row r="1028" ht="15.75" customHeight="1">
      <c r="A1028" s="18" t="s">
        <v>4197</v>
      </c>
      <c r="B1028" s="18">
        <v>1976.0</v>
      </c>
      <c r="C1028" s="18" t="s">
        <v>91</v>
      </c>
      <c r="D1028" s="18">
        <v>12.0</v>
      </c>
      <c r="E1028" s="18" t="str">
        <f t="shared" si="1"/>
        <v>12/07/76</v>
      </c>
      <c r="F1028" s="18">
        <v>1.0</v>
      </c>
      <c r="G1028" s="27">
        <v>8334.46</v>
      </c>
      <c r="H1028" s="18" t="s">
        <v>142</v>
      </c>
      <c r="I1028" s="18" t="s">
        <v>140</v>
      </c>
      <c r="J1028" s="18" t="s">
        <v>1427</v>
      </c>
      <c r="K1028" s="29">
        <f t="shared" si="2"/>
        <v>46</v>
      </c>
    </row>
    <row r="1029" ht="15.75" customHeight="1">
      <c r="A1029" s="18" t="s">
        <v>4194</v>
      </c>
      <c r="B1029" s="18">
        <v>1976.0</v>
      </c>
      <c r="C1029" s="18" t="s">
        <v>91</v>
      </c>
      <c r="D1029" s="18">
        <v>20.0</v>
      </c>
      <c r="E1029" s="18" t="str">
        <f t="shared" si="1"/>
        <v>20/07/76</v>
      </c>
      <c r="F1029" s="18">
        <v>1.0</v>
      </c>
      <c r="G1029" s="27">
        <v>8334.59</v>
      </c>
      <c r="H1029" s="18" t="s">
        <v>142</v>
      </c>
      <c r="I1029" s="18" t="s">
        <v>140</v>
      </c>
      <c r="J1029" s="18" t="s">
        <v>1427</v>
      </c>
      <c r="K1029" s="29">
        <f t="shared" si="2"/>
        <v>46</v>
      </c>
    </row>
    <row r="1030" ht="15.75" customHeight="1">
      <c r="A1030" s="18" t="s">
        <v>4190</v>
      </c>
      <c r="B1030" s="18">
        <v>1976.0</v>
      </c>
      <c r="C1030" s="18" t="s">
        <v>91</v>
      </c>
      <c r="D1030" s="18">
        <v>7.0</v>
      </c>
      <c r="E1030" s="18" t="str">
        <f t="shared" si="1"/>
        <v>07/07/76</v>
      </c>
      <c r="F1030" s="18">
        <v>1.0</v>
      </c>
      <c r="G1030" s="27">
        <v>8342.91</v>
      </c>
      <c r="H1030" s="18" t="s">
        <v>142</v>
      </c>
      <c r="I1030" s="18" t="s">
        <v>219</v>
      </c>
      <c r="J1030" s="18" t="s">
        <v>1427</v>
      </c>
      <c r="K1030" s="29">
        <f t="shared" si="2"/>
        <v>46</v>
      </c>
    </row>
    <row r="1031" ht="15.75" customHeight="1">
      <c r="A1031" s="18" t="s">
        <v>4188</v>
      </c>
      <c r="B1031" s="18">
        <v>1976.0</v>
      </c>
      <c r="C1031" s="18" t="s">
        <v>241</v>
      </c>
      <c r="D1031" s="18">
        <v>12.0</v>
      </c>
      <c r="E1031" s="18" t="str">
        <f t="shared" si="1"/>
        <v>12/06/76</v>
      </c>
      <c r="F1031" s="18">
        <v>2.0</v>
      </c>
      <c r="G1031" s="27">
        <v>8347.16</v>
      </c>
      <c r="H1031" s="18" t="s">
        <v>140</v>
      </c>
      <c r="I1031" s="18" t="s">
        <v>219</v>
      </c>
      <c r="J1031" s="18" t="s">
        <v>146</v>
      </c>
      <c r="K1031" s="29">
        <f t="shared" si="2"/>
        <v>46</v>
      </c>
    </row>
    <row r="1032" ht="15.75" customHeight="1">
      <c r="A1032" s="18" t="s">
        <v>4186</v>
      </c>
      <c r="B1032" s="18">
        <v>1963.0</v>
      </c>
      <c r="C1032" s="18" t="s">
        <v>272</v>
      </c>
      <c r="D1032" s="18">
        <v>21.0</v>
      </c>
      <c r="E1032" s="18" t="str">
        <f t="shared" si="1"/>
        <v>21/09/63</v>
      </c>
      <c r="F1032" s="18">
        <v>0.0</v>
      </c>
      <c r="G1032" s="27">
        <v>8355.54</v>
      </c>
      <c r="H1032" s="18" t="s">
        <v>142</v>
      </c>
      <c r="I1032" s="18" t="s">
        <v>142</v>
      </c>
      <c r="J1032" s="18" t="s">
        <v>325</v>
      </c>
      <c r="K1032" s="29">
        <f t="shared" si="2"/>
        <v>59</v>
      </c>
    </row>
    <row r="1033" ht="15.75" customHeight="1">
      <c r="A1033" s="18" t="s">
        <v>4182</v>
      </c>
      <c r="B1033" s="18">
        <v>1971.0</v>
      </c>
      <c r="C1033" s="18" t="s">
        <v>272</v>
      </c>
      <c r="D1033" s="18">
        <v>4.0</v>
      </c>
      <c r="E1033" s="18" t="str">
        <f t="shared" si="1"/>
        <v>04/09/71</v>
      </c>
      <c r="F1033" s="18">
        <v>0.0</v>
      </c>
      <c r="G1033" s="27">
        <v>8396.62</v>
      </c>
      <c r="H1033" s="18" t="s">
        <v>140</v>
      </c>
      <c r="I1033" s="18" t="s">
        <v>142</v>
      </c>
      <c r="J1033" s="18" t="s">
        <v>146</v>
      </c>
      <c r="K1033" s="29">
        <f t="shared" si="2"/>
        <v>51</v>
      </c>
    </row>
    <row r="1034" ht="15.75" customHeight="1">
      <c r="A1034" s="18" t="s">
        <v>4178</v>
      </c>
      <c r="B1034" s="18">
        <v>1971.0</v>
      </c>
      <c r="C1034" s="18" t="s">
        <v>272</v>
      </c>
      <c r="D1034" s="18">
        <v>18.0</v>
      </c>
      <c r="E1034" s="18" t="str">
        <f t="shared" si="1"/>
        <v>18/09/71</v>
      </c>
      <c r="F1034" s="18">
        <v>0.0</v>
      </c>
      <c r="G1034" s="27">
        <v>8400.01</v>
      </c>
      <c r="H1034" s="18" t="s">
        <v>140</v>
      </c>
      <c r="I1034" s="18" t="s">
        <v>142</v>
      </c>
      <c r="J1034" s="18" t="s">
        <v>146</v>
      </c>
      <c r="K1034" s="29">
        <f t="shared" si="2"/>
        <v>51</v>
      </c>
    </row>
    <row r="1035" ht="15.75" customHeight="1">
      <c r="A1035" s="18" t="s">
        <v>4176</v>
      </c>
      <c r="B1035" s="18">
        <v>1979.0</v>
      </c>
      <c r="C1035" s="18" t="s">
        <v>241</v>
      </c>
      <c r="D1035" s="18">
        <v>11.0</v>
      </c>
      <c r="E1035" s="18" t="str">
        <f t="shared" si="1"/>
        <v>11/06/79</v>
      </c>
      <c r="F1035" s="18">
        <v>3.0</v>
      </c>
      <c r="G1035" s="27">
        <v>8410.05</v>
      </c>
      <c r="H1035" s="18" t="s">
        <v>140</v>
      </c>
      <c r="I1035" s="18" t="s">
        <v>140</v>
      </c>
      <c r="J1035" s="18" t="s">
        <v>325</v>
      </c>
      <c r="K1035" s="29">
        <f t="shared" si="2"/>
        <v>43</v>
      </c>
    </row>
    <row r="1036" ht="15.75" customHeight="1">
      <c r="A1036" s="18" t="s">
        <v>4174</v>
      </c>
      <c r="B1036" s="18">
        <v>1977.0</v>
      </c>
      <c r="C1036" s="18" t="s">
        <v>272</v>
      </c>
      <c r="D1036" s="18">
        <v>4.0</v>
      </c>
      <c r="E1036" s="18" t="str">
        <f t="shared" si="1"/>
        <v>04/09/77</v>
      </c>
      <c r="F1036" s="18">
        <v>2.0</v>
      </c>
      <c r="G1036" s="27">
        <v>8413.46</v>
      </c>
      <c r="H1036" s="18" t="s">
        <v>142</v>
      </c>
      <c r="I1036" s="18" t="s">
        <v>219</v>
      </c>
      <c r="J1036" s="18" t="s">
        <v>325</v>
      </c>
      <c r="K1036" s="29">
        <f t="shared" si="2"/>
        <v>45</v>
      </c>
    </row>
    <row r="1037" ht="15.75" customHeight="1">
      <c r="A1037" s="18" t="s">
        <v>4170</v>
      </c>
      <c r="B1037" s="18">
        <v>1975.0</v>
      </c>
      <c r="C1037" s="18" t="s">
        <v>272</v>
      </c>
      <c r="D1037" s="18">
        <v>28.0</v>
      </c>
      <c r="E1037" s="18" t="str">
        <f t="shared" si="1"/>
        <v>28/09/75</v>
      </c>
      <c r="F1037" s="18">
        <v>1.0</v>
      </c>
      <c r="G1037" s="27">
        <v>8428.07</v>
      </c>
      <c r="H1037" s="18" t="s">
        <v>142</v>
      </c>
      <c r="I1037" s="18" t="s">
        <v>140</v>
      </c>
      <c r="J1037" s="18" t="s">
        <v>325</v>
      </c>
      <c r="K1037" s="29">
        <f t="shared" si="2"/>
        <v>47</v>
      </c>
    </row>
    <row r="1038" ht="15.75" customHeight="1">
      <c r="A1038" s="18" t="s">
        <v>4167</v>
      </c>
      <c r="B1038" s="18">
        <v>1963.0</v>
      </c>
      <c r="C1038" s="18" t="s">
        <v>272</v>
      </c>
      <c r="D1038" s="18">
        <v>24.0</v>
      </c>
      <c r="E1038" s="18" t="str">
        <f t="shared" si="1"/>
        <v>24/09/63</v>
      </c>
      <c r="F1038" s="18">
        <v>0.0</v>
      </c>
      <c r="G1038" s="27">
        <v>8440.05</v>
      </c>
      <c r="H1038" s="18" t="s">
        <v>142</v>
      </c>
      <c r="I1038" s="18" t="s">
        <v>140</v>
      </c>
      <c r="J1038" s="18" t="s">
        <v>146</v>
      </c>
      <c r="K1038" s="29">
        <f t="shared" si="2"/>
        <v>59</v>
      </c>
    </row>
    <row r="1039" ht="15.75" customHeight="1">
      <c r="A1039" s="18" t="s">
        <v>4163</v>
      </c>
      <c r="B1039" s="18">
        <v>1972.0</v>
      </c>
      <c r="C1039" s="18" t="s">
        <v>272</v>
      </c>
      <c r="D1039" s="18">
        <v>9.0</v>
      </c>
      <c r="E1039" s="18" t="str">
        <f t="shared" si="1"/>
        <v>09/09/72</v>
      </c>
      <c r="F1039" s="18">
        <v>0.0</v>
      </c>
      <c r="G1039" s="27">
        <v>8442.67</v>
      </c>
      <c r="H1039" s="18" t="s">
        <v>140</v>
      </c>
      <c r="I1039" s="18" t="s">
        <v>142</v>
      </c>
      <c r="J1039" s="18" t="s">
        <v>146</v>
      </c>
      <c r="K1039" s="29">
        <f t="shared" si="2"/>
        <v>50</v>
      </c>
    </row>
    <row r="1040" ht="15.75" customHeight="1">
      <c r="A1040" s="18" t="s">
        <v>4161</v>
      </c>
      <c r="B1040" s="18">
        <v>1972.0</v>
      </c>
      <c r="C1040" s="18" t="s">
        <v>272</v>
      </c>
      <c r="D1040" s="18">
        <v>4.0</v>
      </c>
      <c r="E1040" s="18" t="str">
        <f t="shared" si="1"/>
        <v>04/09/72</v>
      </c>
      <c r="F1040" s="18">
        <v>0.0</v>
      </c>
      <c r="G1040" s="27">
        <v>8444.47</v>
      </c>
      <c r="H1040" s="18" t="s">
        <v>142</v>
      </c>
      <c r="I1040" s="18" t="s">
        <v>219</v>
      </c>
      <c r="J1040" s="18" t="s">
        <v>570</v>
      </c>
      <c r="K1040" s="29">
        <f t="shared" si="2"/>
        <v>50</v>
      </c>
    </row>
    <row r="1041" ht="15.75" customHeight="1">
      <c r="A1041" s="18" t="s">
        <v>4158</v>
      </c>
      <c r="B1041" s="18">
        <v>1966.0</v>
      </c>
      <c r="C1041" s="18" t="s">
        <v>241</v>
      </c>
      <c r="D1041" s="18">
        <v>12.0</v>
      </c>
      <c r="E1041" s="18" t="str">
        <f t="shared" si="1"/>
        <v>12/06/66</v>
      </c>
      <c r="F1041" s="18">
        <v>0.0</v>
      </c>
      <c r="G1041" s="27">
        <v>8448.66</v>
      </c>
      <c r="H1041" s="18" t="s">
        <v>142</v>
      </c>
      <c r="I1041" s="18" t="s">
        <v>219</v>
      </c>
      <c r="J1041" s="18" t="s">
        <v>146</v>
      </c>
      <c r="K1041" s="29">
        <f t="shared" si="2"/>
        <v>56</v>
      </c>
    </row>
    <row r="1042" ht="15.75" customHeight="1">
      <c r="A1042" s="18" t="s">
        <v>4155</v>
      </c>
      <c r="B1042" s="18">
        <v>1984.0</v>
      </c>
      <c r="C1042" s="18" t="s">
        <v>241</v>
      </c>
      <c r="D1042" s="18">
        <v>19.0</v>
      </c>
      <c r="E1042" s="18" t="str">
        <f t="shared" si="1"/>
        <v>19/06/84</v>
      </c>
      <c r="F1042" s="18">
        <v>3.0</v>
      </c>
      <c r="G1042" s="27">
        <v>8450.82</v>
      </c>
      <c r="H1042" s="18" t="s">
        <v>140</v>
      </c>
      <c r="I1042" s="18" t="s">
        <v>140</v>
      </c>
      <c r="J1042" s="18" t="s">
        <v>1647</v>
      </c>
      <c r="K1042" s="29">
        <f t="shared" si="2"/>
        <v>38</v>
      </c>
    </row>
    <row r="1043" ht="15.75" customHeight="1">
      <c r="A1043" s="18" t="s">
        <v>4151</v>
      </c>
      <c r="B1043" s="18">
        <v>1972.0</v>
      </c>
      <c r="C1043" s="18" t="s">
        <v>457</v>
      </c>
      <c r="D1043" s="18">
        <v>26.0</v>
      </c>
      <c r="E1043" s="18" t="str">
        <f t="shared" si="1"/>
        <v>26/12/72</v>
      </c>
      <c r="F1043" s="18">
        <v>0.0</v>
      </c>
      <c r="G1043" s="27">
        <v>8457.82</v>
      </c>
      <c r="H1043" s="18" t="s">
        <v>140</v>
      </c>
      <c r="I1043" s="18" t="s">
        <v>142</v>
      </c>
      <c r="J1043" s="18" t="s">
        <v>570</v>
      </c>
      <c r="K1043" s="29">
        <f t="shared" si="2"/>
        <v>50</v>
      </c>
    </row>
    <row r="1044" ht="15.75" customHeight="1">
      <c r="A1044" s="18" t="s">
        <v>4148</v>
      </c>
      <c r="B1044" s="18">
        <v>1992.0</v>
      </c>
      <c r="C1044" s="18" t="s">
        <v>272</v>
      </c>
      <c r="D1044" s="18">
        <v>9.0</v>
      </c>
      <c r="E1044" s="18" t="str">
        <f t="shared" si="1"/>
        <v>09/09/92</v>
      </c>
      <c r="F1044" s="18">
        <v>0.0</v>
      </c>
      <c r="G1044" s="27">
        <v>8466.35</v>
      </c>
      <c r="H1044" s="18" t="s">
        <v>140</v>
      </c>
      <c r="I1044" s="18" t="s">
        <v>140</v>
      </c>
      <c r="J1044" s="18" t="s">
        <v>325</v>
      </c>
      <c r="K1044" s="29">
        <f t="shared" si="2"/>
        <v>30</v>
      </c>
    </row>
    <row r="1045" ht="15.75" customHeight="1">
      <c r="A1045" s="18" t="s">
        <v>4144</v>
      </c>
      <c r="B1045" s="18">
        <v>1993.0</v>
      </c>
      <c r="C1045" s="18" t="s">
        <v>209</v>
      </c>
      <c r="D1045" s="18">
        <v>10.0</v>
      </c>
      <c r="E1045" s="18" t="str">
        <f t="shared" si="1"/>
        <v>10/11/93</v>
      </c>
      <c r="F1045" s="18">
        <v>0.0</v>
      </c>
      <c r="G1045" s="27">
        <v>8471.65</v>
      </c>
      <c r="H1045" s="18" t="s">
        <v>140</v>
      </c>
      <c r="I1045" s="18" t="s">
        <v>219</v>
      </c>
      <c r="J1045" s="18" t="s">
        <v>325</v>
      </c>
      <c r="K1045" s="29">
        <f t="shared" si="2"/>
        <v>29</v>
      </c>
    </row>
    <row r="1046" ht="15.75" customHeight="1">
      <c r="A1046" s="18" t="s">
        <v>4141</v>
      </c>
      <c r="B1046" s="18">
        <v>1977.0</v>
      </c>
      <c r="C1046" s="18" t="s">
        <v>457</v>
      </c>
      <c r="D1046" s="18">
        <v>26.0</v>
      </c>
      <c r="E1046" s="18" t="str">
        <f t="shared" si="1"/>
        <v>26/12/77</v>
      </c>
      <c r="F1046" s="18">
        <v>2.0</v>
      </c>
      <c r="G1046" s="27">
        <v>8515.76</v>
      </c>
      <c r="H1046" s="18" t="s">
        <v>140</v>
      </c>
      <c r="I1046" s="18" t="s">
        <v>140</v>
      </c>
      <c r="J1046" s="18" t="s">
        <v>146</v>
      </c>
      <c r="K1046" s="29">
        <f t="shared" si="2"/>
        <v>45</v>
      </c>
    </row>
    <row r="1047" ht="15.75" customHeight="1">
      <c r="A1047" s="18" t="s">
        <v>4137</v>
      </c>
      <c r="B1047" s="18">
        <v>1977.0</v>
      </c>
      <c r="C1047" s="18" t="s">
        <v>241</v>
      </c>
      <c r="D1047" s="18">
        <v>21.0</v>
      </c>
      <c r="E1047" s="18" t="str">
        <f t="shared" si="1"/>
        <v>21/06/77</v>
      </c>
      <c r="F1047" s="18">
        <v>2.0</v>
      </c>
      <c r="G1047" s="27">
        <v>8516.83</v>
      </c>
      <c r="H1047" s="18" t="s">
        <v>140</v>
      </c>
      <c r="I1047" s="18" t="s">
        <v>219</v>
      </c>
      <c r="J1047" s="18" t="s">
        <v>146</v>
      </c>
      <c r="K1047" s="29">
        <f t="shared" si="2"/>
        <v>45</v>
      </c>
    </row>
    <row r="1048" ht="15.75" customHeight="1">
      <c r="A1048" s="18" t="s">
        <v>4134</v>
      </c>
      <c r="B1048" s="18">
        <v>1977.0</v>
      </c>
      <c r="C1048" s="18" t="s">
        <v>457</v>
      </c>
      <c r="D1048" s="18">
        <v>29.0</v>
      </c>
      <c r="E1048" s="18" t="str">
        <f t="shared" si="1"/>
        <v>29/12/77</v>
      </c>
      <c r="F1048" s="18">
        <v>2.0</v>
      </c>
      <c r="G1048" s="27">
        <v>8520.03</v>
      </c>
      <c r="H1048" s="18" t="s">
        <v>140</v>
      </c>
      <c r="I1048" s="18" t="s">
        <v>142</v>
      </c>
      <c r="J1048" s="18" t="s">
        <v>570</v>
      </c>
      <c r="K1048" s="29">
        <f t="shared" si="2"/>
        <v>45</v>
      </c>
    </row>
    <row r="1049" ht="15.75" customHeight="1">
      <c r="A1049" s="18" t="s">
        <v>4132</v>
      </c>
      <c r="B1049" s="18">
        <v>1979.0</v>
      </c>
      <c r="C1049" s="18" t="s">
        <v>501</v>
      </c>
      <c r="D1049" s="18">
        <v>13.0</v>
      </c>
      <c r="E1049" s="18" t="str">
        <f t="shared" si="1"/>
        <v>13/08/79</v>
      </c>
      <c r="F1049" s="18">
        <v>3.0</v>
      </c>
      <c r="G1049" s="27">
        <v>8522.0</v>
      </c>
      <c r="H1049" s="18" t="s">
        <v>140</v>
      </c>
      <c r="I1049" s="18" t="s">
        <v>140</v>
      </c>
      <c r="J1049" s="18" t="s">
        <v>570</v>
      </c>
      <c r="K1049" s="29">
        <f t="shared" si="2"/>
        <v>43</v>
      </c>
    </row>
    <row r="1050" ht="15.75" customHeight="1">
      <c r="A1050" s="18" t="s">
        <v>4128</v>
      </c>
      <c r="B1050" s="18">
        <v>1977.0</v>
      </c>
      <c r="C1050" s="18" t="s">
        <v>91</v>
      </c>
      <c r="D1050" s="18">
        <v>26.0</v>
      </c>
      <c r="E1050" s="18" t="str">
        <f t="shared" si="1"/>
        <v>26/07/77</v>
      </c>
      <c r="F1050" s="18">
        <v>2.0</v>
      </c>
      <c r="G1050" s="27">
        <v>8527.53</v>
      </c>
      <c r="H1050" s="18" t="s">
        <v>140</v>
      </c>
      <c r="I1050" s="18" t="s">
        <v>140</v>
      </c>
      <c r="J1050" s="18" t="s">
        <v>146</v>
      </c>
      <c r="K1050" s="29">
        <f t="shared" si="2"/>
        <v>45</v>
      </c>
    </row>
    <row r="1051" ht="15.75" customHeight="1">
      <c r="A1051" s="18" t="s">
        <v>4125</v>
      </c>
      <c r="B1051" s="20">
        <v>0.0</v>
      </c>
      <c r="C1051" s="18" t="s">
        <v>91</v>
      </c>
      <c r="D1051" s="18">
        <v>24.0</v>
      </c>
      <c r="E1051" s="18" t="str">
        <f t="shared" si="1"/>
        <v>24/07/00</v>
      </c>
      <c r="F1051" s="18">
        <v>0.0</v>
      </c>
      <c r="G1051" s="27">
        <v>8534.67</v>
      </c>
      <c r="H1051" s="18" t="s">
        <v>140</v>
      </c>
      <c r="I1051" s="18" t="s">
        <v>142</v>
      </c>
      <c r="J1051" s="18" t="s">
        <v>2024</v>
      </c>
      <c r="K1051" s="29">
        <f t="shared" si="2"/>
        <v>22</v>
      </c>
    </row>
    <row r="1052" ht="15.75" customHeight="1">
      <c r="A1052" s="18" t="s">
        <v>4122</v>
      </c>
      <c r="B1052" s="18">
        <v>1981.0</v>
      </c>
      <c r="C1052" s="18" t="s">
        <v>457</v>
      </c>
      <c r="D1052" s="18">
        <v>27.0</v>
      </c>
      <c r="E1052" s="18" t="str">
        <f t="shared" si="1"/>
        <v>27/12/81</v>
      </c>
      <c r="F1052" s="18">
        <v>3.0</v>
      </c>
      <c r="G1052" s="27">
        <v>8538.29</v>
      </c>
      <c r="H1052" s="18" t="s">
        <v>140</v>
      </c>
      <c r="I1052" s="18" t="s">
        <v>142</v>
      </c>
      <c r="J1052" s="18" t="s">
        <v>2024</v>
      </c>
      <c r="K1052" s="29">
        <f t="shared" si="2"/>
        <v>41</v>
      </c>
    </row>
    <row r="1053" ht="15.75" customHeight="1">
      <c r="A1053" s="18" t="s">
        <v>4120</v>
      </c>
      <c r="B1053" s="18">
        <v>1975.0</v>
      </c>
      <c r="C1053" s="18" t="s">
        <v>209</v>
      </c>
      <c r="D1053" s="18">
        <v>6.0</v>
      </c>
      <c r="E1053" s="18" t="str">
        <f t="shared" si="1"/>
        <v>06/11/75</v>
      </c>
      <c r="F1053" s="18">
        <v>1.0</v>
      </c>
      <c r="G1053" s="27">
        <v>8539.67</v>
      </c>
      <c r="H1053" s="18" t="s">
        <v>140</v>
      </c>
      <c r="I1053" s="18" t="s">
        <v>142</v>
      </c>
      <c r="J1053" s="18" t="s">
        <v>570</v>
      </c>
      <c r="K1053" s="29">
        <f t="shared" si="2"/>
        <v>47</v>
      </c>
    </row>
    <row r="1054" ht="15.75" customHeight="1">
      <c r="A1054" s="18" t="s">
        <v>4116</v>
      </c>
      <c r="B1054" s="20">
        <v>0.0</v>
      </c>
      <c r="C1054" s="18" t="s">
        <v>457</v>
      </c>
      <c r="D1054" s="18">
        <v>12.0</v>
      </c>
      <c r="E1054" s="18" t="str">
        <f t="shared" si="1"/>
        <v>12/12/00</v>
      </c>
      <c r="F1054" s="18">
        <v>1.0</v>
      </c>
      <c r="G1054" s="27">
        <v>8547.69</v>
      </c>
      <c r="H1054" s="18" t="s">
        <v>140</v>
      </c>
      <c r="I1054" s="18" t="s">
        <v>219</v>
      </c>
      <c r="J1054" s="18" t="s">
        <v>146</v>
      </c>
      <c r="K1054" s="29">
        <f t="shared" si="2"/>
        <v>22</v>
      </c>
    </row>
    <row r="1055" ht="15.75" customHeight="1">
      <c r="A1055" s="18" t="s">
        <v>4113</v>
      </c>
      <c r="B1055" s="18">
        <v>1975.0</v>
      </c>
      <c r="C1055" s="18" t="s">
        <v>501</v>
      </c>
      <c r="D1055" s="18">
        <v>6.0</v>
      </c>
      <c r="E1055" s="18" t="str">
        <f t="shared" si="1"/>
        <v>06/08/75</v>
      </c>
      <c r="F1055" s="18">
        <v>1.0</v>
      </c>
      <c r="G1055" s="27">
        <v>8551.35</v>
      </c>
      <c r="H1055" s="18" t="s">
        <v>140</v>
      </c>
      <c r="I1055" s="18" t="s">
        <v>140</v>
      </c>
      <c r="J1055" s="18" t="s">
        <v>570</v>
      </c>
      <c r="K1055" s="29">
        <f t="shared" si="2"/>
        <v>47</v>
      </c>
    </row>
    <row r="1056" ht="15.75" customHeight="1">
      <c r="A1056" s="18" t="s">
        <v>4109</v>
      </c>
      <c r="B1056" s="18">
        <v>1975.0</v>
      </c>
      <c r="C1056" s="18" t="s">
        <v>501</v>
      </c>
      <c r="D1056" s="18">
        <v>21.0</v>
      </c>
      <c r="E1056" s="18" t="str">
        <f t="shared" si="1"/>
        <v>21/08/75</v>
      </c>
      <c r="F1056" s="18">
        <v>1.0</v>
      </c>
      <c r="G1056" s="27">
        <v>8556.91</v>
      </c>
      <c r="H1056" s="18" t="s">
        <v>140</v>
      </c>
      <c r="I1056" s="18" t="s">
        <v>219</v>
      </c>
      <c r="J1056" s="18" t="s">
        <v>570</v>
      </c>
      <c r="K1056" s="29">
        <f t="shared" si="2"/>
        <v>47</v>
      </c>
    </row>
    <row r="1057" ht="15.75" customHeight="1">
      <c r="A1057" s="18" t="s">
        <v>4107</v>
      </c>
      <c r="B1057" s="18">
        <v>1988.0</v>
      </c>
      <c r="C1057" s="18" t="s">
        <v>272</v>
      </c>
      <c r="D1057" s="18">
        <v>21.0</v>
      </c>
      <c r="E1057" s="18" t="str">
        <f t="shared" si="1"/>
        <v>21/09/88</v>
      </c>
      <c r="F1057" s="18">
        <v>3.0</v>
      </c>
      <c r="G1057" s="27">
        <v>8567.25</v>
      </c>
      <c r="H1057" s="18" t="s">
        <v>140</v>
      </c>
      <c r="I1057" s="18" t="s">
        <v>219</v>
      </c>
      <c r="J1057" s="18" t="s">
        <v>325</v>
      </c>
      <c r="K1057" s="29">
        <f t="shared" si="2"/>
        <v>34</v>
      </c>
    </row>
    <row r="1058" ht="15.75" customHeight="1">
      <c r="A1058" s="18" t="s">
        <v>4104</v>
      </c>
      <c r="B1058" s="18">
        <v>1975.0</v>
      </c>
      <c r="C1058" s="18" t="s">
        <v>272</v>
      </c>
      <c r="D1058" s="18">
        <v>26.0</v>
      </c>
      <c r="E1058" s="18" t="str">
        <f t="shared" si="1"/>
        <v>26/09/75</v>
      </c>
      <c r="F1058" s="18">
        <v>1.0</v>
      </c>
      <c r="G1058" s="27">
        <v>8569.86</v>
      </c>
      <c r="H1058" s="18" t="s">
        <v>140</v>
      </c>
      <c r="I1058" s="18" t="s">
        <v>142</v>
      </c>
      <c r="J1058" s="18" t="s">
        <v>146</v>
      </c>
      <c r="K1058" s="29">
        <f t="shared" si="2"/>
        <v>47</v>
      </c>
    </row>
    <row r="1059" ht="15.75" customHeight="1">
      <c r="A1059" s="18" t="s">
        <v>4101</v>
      </c>
      <c r="B1059" s="18">
        <v>1982.0</v>
      </c>
      <c r="C1059" s="18" t="s">
        <v>457</v>
      </c>
      <c r="D1059" s="18">
        <v>6.0</v>
      </c>
      <c r="E1059" s="18" t="str">
        <f t="shared" si="1"/>
        <v>06/12/82</v>
      </c>
      <c r="F1059" s="18">
        <v>3.0</v>
      </c>
      <c r="G1059" s="27">
        <v>8572.04</v>
      </c>
      <c r="H1059" s="18" t="s">
        <v>140</v>
      </c>
      <c r="I1059" s="18" t="s">
        <v>140</v>
      </c>
      <c r="J1059" s="18" t="s">
        <v>2314</v>
      </c>
      <c r="K1059" s="29">
        <f t="shared" si="2"/>
        <v>40</v>
      </c>
    </row>
    <row r="1060" ht="15.75" customHeight="1">
      <c r="A1060" s="18" t="s">
        <v>4097</v>
      </c>
      <c r="B1060" s="18">
        <v>1987.0</v>
      </c>
      <c r="C1060" s="18" t="s">
        <v>209</v>
      </c>
      <c r="D1060" s="18">
        <v>11.0</v>
      </c>
      <c r="E1060" s="18" t="str">
        <f t="shared" si="1"/>
        <v>11/11/87</v>
      </c>
      <c r="F1060" s="18">
        <v>3.0</v>
      </c>
      <c r="G1060" s="27">
        <v>8573.3</v>
      </c>
      <c r="H1060" s="18" t="s">
        <v>140</v>
      </c>
      <c r="I1060" s="18" t="s">
        <v>140</v>
      </c>
      <c r="J1060" s="18" t="s">
        <v>2314</v>
      </c>
      <c r="K1060" s="29">
        <f t="shared" si="2"/>
        <v>35</v>
      </c>
    </row>
    <row r="1061" ht="15.75" customHeight="1">
      <c r="A1061" s="18" t="s">
        <v>4094</v>
      </c>
      <c r="B1061" s="18">
        <v>1983.0</v>
      </c>
      <c r="C1061" s="18" t="s">
        <v>457</v>
      </c>
      <c r="D1061" s="18">
        <v>30.0</v>
      </c>
      <c r="E1061" s="18" t="str">
        <f t="shared" si="1"/>
        <v>30/12/83</v>
      </c>
      <c r="F1061" s="18">
        <v>5.0</v>
      </c>
      <c r="G1061" s="27">
        <v>8582.3</v>
      </c>
      <c r="H1061" s="18" t="s">
        <v>140</v>
      </c>
      <c r="I1061" s="18" t="s">
        <v>219</v>
      </c>
      <c r="J1061" s="18" t="s">
        <v>146</v>
      </c>
      <c r="K1061" s="29">
        <f t="shared" si="2"/>
        <v>39</v>
      </c>
    </row>
    <row r="1062" ht="15.75" customHeight="1">
      <c r="A1062" s="18" t="s">
        <v>4090</v>
      </c>
      <c r="B1062" s="18">
        <v>1983.0</v>
      </c>
      <c r="C1062" s="18" t="s">
        <v>91</v>
      </c>
      <c r="D1062" s="18">
        <v>25.0</v>
      </c>
      <c r="E1062" s="18" t="str">
        <f t="shared" si="1"/>
        <v>25/07/83</v>
      </c>
      <c r="F1062" s="18">
        <v>5.0</v>
      </c>
      <c r="G1062" s="27">
        <v>8596.83</v>
      </c>
      <c r="H1062" s="18" t="s">
        <v>140</v>
      </c>
      <c r="I1062" s="18" t="s">
        <v>142</v>
      </c>
      <c r="J1062" s="18" t="s">
        <v>146</v>
      </c>
      <c r="K1062" s="29">
        <f t="shared" si="2"/>
        <v>39</v>
      </c>
    </row>
    <row r="1063" ht="15.75" customHeight="1">
      <c r="A1063" s="18" t="s">
        <v>4086</v>
      </c>
      <c r="B1063" s="18">
        <v>1973.0</v>
      </c>
      <c r="C1063" s="18" t="s">
        <v>91</v>
      </c>
      <c r="D1063" s="18">
        <v>11.0</v>
      </c>
      <c r="E1063" s="18" t="str">
        <f t="shared" si="1"/>
        <v>11/07/73</v>
      </c>
      <c r="F1063" s="18">
        <v>0.0</v>
      </c>
      <c r="G1063" s="27">
        <v>8601.33</v>
      </c>
      <c r="H1063" s="18" t="s">
        <v>140</v>
      </c>
      <c r="I1063" s="18" t="s">
        <v>219</v>
      </c>
      <c r="J1063" s="18" t="s">
        <v>146</v>
      </c>
      <c r="K1063" s="29">
        <f t="shared" si="2"/>
        <v>49</v>
      </c>
    </row>
    <row r="1064" ht="15.75" customHeight="1">
      <c r="A1064" s="18" t="s">
        <v>4084</v>
      </c>
      <c r="B1064" s="18">
        <v>1977.0</v>
      </c>
      <c r="C1064" s="18" t="s">
        <v>272</v>
      </c>
      <c r="D1064" s="18">
        <v>24.0</v>
      </c>
      <c r="E1064" s="18" t="str">
        <f t="shared" si="1"/>
        <v>24/09/77</v>
      </c>
      <c r="F1064" s="18">
        <v>2.0</v>
      </c>
      <c r="G1064" s="27">
        <v>8603.82</v>
      </c>
      <c r="H1064" s="18" t="s">
        <v>140</v>
      </c>
      <c r="I1064" s="18" t="s">
        <v>219</v>
      </c>
      <c r="J1064" s="18" t="s">
        <v>1421</v>
      </c>
      <c r="K1064" s="29">
        <f t="shared" si="2"/>
        <v>45</v>
      </c>
    </row>
    <row r="1065" ht="15.75" customHeight="1">
      <c r="A1065" s="18" t="s">
        <v>4082</v>
      </c>
      <c r="B1065" s="18">
        <v>1977.0</v>
      </c>
      <c r="C1065" s="18" t="s">
        <v>209</v>
      </c>
      <c r="D1065" s="18">
        <v>12.0</v>
      </c>
      <c r="E1065" s="18" t="str">
        <f t="shared" si="1"/>
        <v>12/11/77</v>
      </c>
      <c r="F1065" s="18">
        <v>2.0</v>
      </c>
      <c r="G1065" s="27">
        <v>8604.48</v>
      </c>
      <c r="H1065" s="18" t="s">
        <v>142</v>
      </c>
      <c r="I1065" s="18" t="s">
        <v>140</v>
      </c>
      <c r="J1065" s="18" t="s">
        <v>1427</v>
      </c>
      <c r="K1065" s="29">
        <f t="shared" si="2"/>
        <v>45</v>
      </c>
    </row>
    <row r="1066" ht="15.75" customHeight="1">
      <c r="A1066" s="18" t="s">
        <v>4079</v>
      </c>
      <c r="B1066" s="18">
        <v>1977.0</v>
      </c>
      <c r="C1066" s="18" t="s">
        <v>517</v>
      </c>
      <c r="D1066" s="18">
        <v>15.0</v>
      </c>
      <c r="E1066" s="18" t="str">
        <f t="shared" si="1"/>
        <v>15/10/77</v>
      </c>
      <c r="F1066" s="18">
        <v>3.0</v>
      </c>
      <c r="G1066" s="27">
        <v>8605.36</v>
      </c>
      <c r="H1066" s="18" t="s">
        <v>140</v>
      </c>
      <c r="I1066" s="18" t="s">
        <v>140</v>
      </c>
      <c r="J1066" s="18" t="s">
        <v>146</v>
      </c>
      <c r="K1066" s="29">
        <f t="shared" si="2"/>
        <v>45</v>
      </c>
    </row>
    <row r="1067" ht="15.75" customHeight="1">
      <c r="A1067" s="18" t="s">
        <v>4076</v>
      </c>
      <c r="B1067" s="18">
        <v>1979.0</v>
      </c>
      <c r="C1067" s="18" t="s">
        <v>91</v>
      </c>
      <c r="D1067" s="18">
        <v>17.0</v>
      </c>
      <c r="E1067" s="18" t="str">
        <f t="shared" si="1"/>
        <v>17/07/79</v>
      </c>
      <c r="F1067" s="18">
        <v>3.0</v>
      </c>
      <c r="G1067" s="27">
        <v>8606.22</v>
      </c>
      <c r="H1067" s="18" t="s">
        <v>219</v>
      </c>
      <c r="I1067" s="18" t="s">
        <v>140</v>
      </c>
      <c r="J1067" s="18" t="s">
        <v>2191</v>
      </c>
      <c r="K1067" s="29">
        <f t="shared" si="2"/>
        <v>43</v>
      </c>
    </row>
    <row r="1068" ht="15.75" customHeight="1">
      <c r="A1068" s="18" t="s">
        <v>4072</v>
      </c>
      <c r="B1068" s="18">
        <v>1977.0</v>
      </c>
      <c r="C1068" s="18" t="s">
        <v>272</v>
      </c>
      <c r="D1068" s="18">
        <v>2.0</v>
      </c>
      <c r="E1068" s="18" t="str">
        <f t="shared" si="1"/>
        <v>02/09/77</v>
      </c>
      <c r="F1068" s="18">
        <v>3.0</v>
      </c>
      <c r="G1068" s="27">
        <v>8615.3</v>
      </c>
      <c r="H1068" s="18" t="s">
        <v>140</v>
      </c>
      <c r="I1068" s="18" t="s">
        <v>142</v>
      </c>
      <c r="J1068" s="18" t="s">
        <v>570</v>
      </c>
      <c r="K1068" s="29">
        <f t="shared" si="2"/>
        <v>45</v>
      </c>
    </row>
    <row r="1069" ht="15.75" customHeight="1">
      <c r="A1069" s="18" t="s">
        <v>4070</v>
      </c>
      <c r="B1069" s="18">
        <v>1975.0</v>
      </c>
      <c r="C1069" s="18" t="s">
        <v>501</v>
      </c>
      <c r="D1069" s="18">
        <v>3.0</v>
      </c>
      <c r="E1069" s="18" t="str">
        <f t="shared" si="1"/>
        <v>03/08/75</v>
      </c>
      <c r="F1069" s="18">
        <v>1.0</v>
      </c>
      <c r="G1069" s="27">
        <v>8627.54</v>
      </c>
      <c r="H1069" s="18" t="s">
        <v>140</v>
      </c>
      <c r="I1069" s="18" t="s">
        <v>140</v>
      </c>
      <c r="J1069" s="18" t="s">
        <v>2617</v>
      </c>
      <c r="K1069" s="29">
        <f t="shared" si="2"/>
        <v>47</v>
      </c>
    </row>
    <row r="1070" ht="15.75" customHeight="1">
      <c r="A1070" s="18" t="s">
        <v>4067</v>
      </c>
      <c r="B1070" s="18">
        <v>1965.0</v>
      </c>
      <c r="C1070" s="18" t="s">
        <v>517</v>
      </c>
      <c r="D1070" s="18">
        <v>21.0</v>
      </c>
      <c r="E1070" s="18" t="str">
        <f t="shared" si="1"/>
        <v>21/10/65</v>
      </c>
      <c r="F1070" s="18">
        <v>0.0</v>
      </c>
      <c r="G1070" s="27">
        <v>8665.09</v>
      </c>
      <c r="H1070" s="18" t="s">
        <v>142</v>
      </c>
      <c r="I1070" s="18" t="s">
        <v>140</v>
      </c>
      <c r="J1070" s="18" t="s">
        <v>325</v>
      </c>
      <c r="K1070" s="29">
        <f t="shared" si="2"/>
        <v>57</v>
      </c>
    </row>
    <row r="1071" ht="15.75" customHeight="1">
      <c r="A1071" s="18" t="s">
        <v>4065</v>
      </c>
      <c r="B1071" s="18">
        <v>1969.0</v>
      </c>
      <c r="C1071" s="18" t="s">
        <v>501</v>
      </c>
      <c r="D1071" s="18">
        <v>10.0</v>
      </c>
      <c r="E1071" s="18" t="str">
        <f t="shared" si="1"/>
        <v>10/08/69</v>
      </c>
      <c r="F1071" s="18">
        <v>0.0</v>
      </c>
      <c r="G1071" s="27">
        <v>8665.14</v>
      </c>
      <c r="H1071" s="18" t="s">
        <v>140</v>
      </c>
      <c r="I1071" s="18" t="s">
        <v>142</v>
      </c>
      <c r="J1071" s="18" t="s">
        <v>146</v>
      </c>
      <c r="K1071" s="29">
        <f t="shared" si="2"/>
        <v>53</v>
      </c>
    </row>
    <row r="1072" ht="15.75" customHeight="1">
      <c r="A1072" s="18" t="s">
        <v>4061</v>
      </c>
      <c r="B1072" s="18">
        <v>1974.0</v>
      </c>
      <c r="C1072" s="18" t="s">
        <v>501</v>
      </c>
      <c r="D1072" s="18">
        <v>16.0</v>
      </c>
      <c r="E1072" s="18" t="str">
        <f t="shared" si="1"/>
        <v>16/08/74</v>
      </c>
      <c r="F1072" s="18">
        <v>0.0</v>
      </c>
      <c r="G1072" s="27">
        <v>8671.19</v>
      </c>
      <c r="H1072" s="18" t="s">
        <v>140</v>
      </c>
      <c r="I1072" s="18" t="s">
        <v>219</v>
      </c>
      <c r="J1072" s="18" t="s">
        <v>325</v>
      </c>
      <c r="K1072" s="29">
        <f t="shared" si="2"/>
        <v>48</v>
      </c>
    </row>
    <row r="1073" ht="15.75" customHeight="1">
      <c r="A1073" s="18" t="s">
        <v>4057</v>
      </c>
      <c r="B1073" s="18">
        <v>1973.0</v>
      </c>
      <c r="C1073" s="18" t="s">
        <v>517</v>
      </c>
      <c r="D1073" s="18">
        <v>11.0</v>
      </c>
      <c r="E1073" s="18" t="str">
        <f t="shared" si="1"/>
        <v>11/10/73</v>
      </c>
      <c r="F1073" s="18">
        <v>0.0</v>
      </c>
      <c r="G1073" s="27">
        <v>8688.86</v>
      </c>
      <c r="H1073" s="18" t="s">
        <v>140</v>
      </c>
      <c r="I1073" s="18" t="s">
        <v>219</v>
      </c>
      <c r="J1073" s="18" t="s">
        <v>2617</v>
      </c>
      <c r="K1073" s="29">
        <f t="shared" si="2"/>
        <v>49</v>
      </c>
    </row>
    <row r="1074" ht="15.75" customHeight="1">
      <c r="A1074" s="18" t="s">
        <v>4055</v>
      </c>
      <c r="B1074" s="18">
        <v>1980.0</v>
      </c>
      <c r="C1074" s="18" t="s">
        <v>517</v>
      </c>
      <c r="D1074" s="18">
        <v>28.0</v>
      </c>
      <c r="E1074" s="18" t="str">
        <f t="shared" si="1"/>
        <v>28/10/80</v>
      </c>
      <c r="F1074" s="18">
        <v>2.0</v>
      </c>
      <c r="G1074" s="27">
        <v>8701.84</v>
      </c>
      <c r="H1074" s="18" t="s">
        <v>140</v>
      </c>
      <c r="I1074" s="18" t="s">
        <v>142</v>
      </c>
      <c r="J1074" s="18" t="s">
        <v>2314</v>
      </c>
      <c r="K1074" s="29">
        <f t="shared" si="2"/>
        <v>42</v>
      </c>
    </row>
    <row r="1075" ht="15.75" customHeight="1">
      <c r="A1075" s="18" t="s">
        <v>4050</v>
      </c>
      <c r="B1075" s="18">
        <v>1973.0</v>
      </c>
      <c r="C1075" s="18" t="s">
        <v>241</v>
      </c>
      <c r="D1075" s="18">
        <v>25.0</v>
      </c>
      <c r="E1075" s="18" t="str">
        <f t="shared" si="1"/>
        <v>25/06/73</v>
      </c>
      <c r="F1075" s="18">
        <v>1.0</v>
      </c>
      <c r="G1075" s="27">
        <v>8703.46</v>
      </c>
      <c r="H1075" s="18" t="s">
        <v>142</v>
      </c>
      <c r="I1075" s="18" t="s">
        <v>142</v>
      </c>
      <c r="J1075" s="18" t="s">
        <v>570</v>
      </c>
      <c r="K1075" s="29">
        <f t="shared" si="2"/>
        <v>49</v>
      </c>
    </row>
    <row r="1076" ht="15.75" customHeight="1">
      <c r="A1076" s="18" t="s">
        <v>4046</v>
      </c>
      <c r="B1076" s="18">
        <v>1976.0</v>
      </c>
      <c r="C1076" s="18" t="s">
        <v>241</v>
      </c>
      <c r="D1076" s="18">
        <v>17.0</v>
      </c>
      <c r="E1076" s="18" t="str">
        <f t="shared" si="1"/>
        <v>17/06/76</v>
      </c>
      <c r="F1076" s="18">
        <v>2.0</v>
      </c>
      <c r="G1076" s="27">
        <v>8733.23</v>
      </c>
      <c r="H1076" s="18" t="s">
        <v>140</v>
      </c>
      <c r="I1076" s="18" t="s">
        <v>142</v>
      </c>
      <c r="J1076" s="18" t="s">
        <v>325</v>
      </c>
      <c r="K1076" s="29">
        <f t="shared" si="2"/>
        <v>46</v>
      </c>
    </row>
    <row r="1077" ht="15.75" customHeight="1">
      <c r="A1077" s="18" t="s">
        <v>4042</v>
      </c>
      <c r="B1077" s="18">
        <v>1999.0</v>
      </c>
      <c r="C1077" s="18" t="s">
        <v>501</v>
      </c>
      <c r="D1077" s="18">
        <v>23.0</v>
      </c>
      <c r="E1077" s="18" t="str">
        <f t="shared" si="1"/>
        <v>23/08/99</v>
      </c>
      <c r="F1077" s="18">
        <v>0.0</v>
      </c>
      <c r="G1077" s="27">
        <v>8747.68</v>
      </c>
      <c r="H1077" s="18" t="s">
        <v>140</v>
      </c>
      <c r="I1077" s="18" t="s">
        <v>142</v>
      </c>
      <c r="J1077" s="18" t="s">
        <v>570</v>
      </c>
      <c r="K1077" s="29">
        <f t="shared" si="2"/>
        <v>23</v>
      </c>
    </row>
    <row r="1078" ht="15.75" customHeight="1">
      <c r="A1078" s="18" t="s">
        <v>4038</v>
      </c>
      <c r="B1078" s="18">
        <v>1969.0</v>
      </c>
      <c r="C1078" s="18" t="s">
        <v>272</v>
      </c>
      <c r="D1078" s="18">
        <v>9.0</v>
      </c>
      <c r="E1078" s="18" t="str">
        <f t="shared" si="1"/>
        <v>09/09/69</v>
      </c>
      <c r="F1078" s="18">
        <v>0.0</v>
      </c>
      <c r="G1078" s="27">
        <v>8760.12</v>
      </c>
      <c r="H1078" s="18" t="s">
        <v>140</v>
      </c>
      <c r="I1078" s="18" t="s">
        <v>219</v>
      </c>
      <c r="J1078" s="18" t="s">
        <v>146</v>
      </c>
      <c r="K1078" s="29">
        <f t="shared" si="2"/>
        <v>53</v>
      </c>
    </row>
    <row r="1079" ht="15.75" customHeight="1">
      <c r="A1079" s="18" t="s">
        <v>4035</v>
      </c>
      <c r="B1079" s="18">
        <v>1974.0</v>
      </c>
      <c r="C1079" s="18" t="s">
        <v>272</v>
      </c>
      <c r="D1079" s="18">
        <v>6.0</v>
      </c>
      <c r="E1079" s="18" t="str">
        <f t="shared" si="1"/>
        <v>06/09/74</v>
      </c>
      <c r="F1079" s="18">
        <v>1.0</v>
      </c>
      <c r="G1079" s="27">
        <v>8765.25</v>
      </c>
      <c r="H1079" s="18" t="s">
        <v>140</v>
      </c>
      <c r="I1079" s="18" t="s">
        <v>142</v>
      </c>
      <c r="J1079" s="18" t="s">
        <v>325</v>
      </c>
      <c r="K1079" s="29">
        <f t="shared" si="2"/>
        <v>48</v>
      </c>
    </row>
    <row r="1080" ht="15.75" customHeight="1">
      <c r="A1080" s="18" t="s">
        <v>4032</v>
      </c>
      <c r="B1080" s="18">
        <v>1971.0</v>
      </c>
      <c r="C1080" s="18" t="s">
        <v>501</v>
      </c>
      <c r="D1080" s="18">
        <v>23.0</v>
      </c>
      <c r="E1080" s="18" t="str">
        <f t="shared" si="1"/>
        <v>23/08/71</v>
      </c>
      <c r="F1080" s="18">
        <v>0.0</v>
      </c>
      <c r="G1080" s="27">
        <v>8782.47</v>
      </c>
      <c r="H1080" s="18" t="s">
        <v>140</v>
      </c>
      <c r="I1080" s="18" t="s">
        <v>142</v>
      </c>
      <c r="J1080" s="18" t="s">
        <v>570</v>
      </c>
      <c r="K1080" s="29">
        <f t="shared" si="2"/>
        <v>51</v>
      </c>
    </row>
    <row r="1081" ht="15.75" customHeight="1">
      <c r="A1081" s="18" t="s">
        <v>4028</v>
      </c>
      <c r="B1081" s="18">
        <v>1971.0</v>
      </c>
      <c r="C1081" s="18" t="s">
        <v>241</v>
      </c>
      <c r="D1081" s="18">
        <v>18.0</v>
      </c>
      <c r="E1081" s="18" t="str">
        <f t="shared" si="1"/>
        <v>18/06/71</v>
      </c>
      <c r="F1081" s="18">
        <v>0.0</v>
      </c>
      <c r="G1081" s="27">
        <v>8798.59</v>
      </c>
      <c r="H1081" s="18" t="s">
        <v>140</v>
      </c>
      <c r="I1081" s="18" t="s">
        <v>219</v>
      </c>
      <c r="J1081" s="18" t="s">
        <v>570</v>
      </c>
      <c r="K1081" s="29">
        <f t="shared" si="2"/>
        <v>51</v>
      </c>
    </row>
    <row r="1082" ht="15.75" customHeight="1">
      <c r="A1082" s="18" t="s">
        <v>4025</v>
      </c>
      <c r="B1082" s="18">
        <v>1965.0</v>
      </c>
      <c r="C1082" s="18" t="s">
        <v>501</v>
      </c>
      <c r="D1082" s="18">
        <v>29.0</v>
      </c>
      <c r="E1082" s="18" t="str">
        <f t="shared" si="1"/>
        <v>29/08/65</v>
      </c>
      <c r="F1082" s="18">
        <v>0.0</v>
      </c>
      <c r="G1082" s="27">
        <v>8800.49</v>
      </c>
      <c r="H1082" s="18" t="s">
        <v>142</v>
      </c>
      <c r="I1082" s="18" t="s">
        <v>140</v>
      </c>
      <c r="J1082" s="18" t="s">
        <v>146</v>
      </c>
      <c r="K1082" s="29">
        <f t="shared" si="2"/>
        <v>57</v>
      </c>
    </row>
    <row r="1083" ht="15.75" customHeight="1">
      <c r="A1083" s="18" t="s">
        <v>4022</v>
      </c>
      <c r="B1083" s="18">
        <v>2001.0</v>
      </c>
      <c r="C1083" s="18" t="s">
        <v>209</v>
      </c>
      <c r="D1083" s="18">
        <v>7.0</v>
      </c>
      <c r="E1083" s="18" t="str">
        <f t="shared" si="1"/>
        <v>07/11/01</v>
      </c>
      <c r="F1083" s="18">
        <v>0.0</v>
      </c>
      <c r="G1083" s="27">
        <v>8821.88</v>
      </c>
      <c r="H1083" s="18" t="s">
        <v>140</v>
      </c>
      <c r="I1083" s="18" t="s">
        <v>142</v>
      </c>
      <c r="J1083" s="18" t="s">
        <v>2031</v>
      </c>
      <c r="K1083" s="29">
        <f t="shared" si="2"/>
        <v>21</v>
      </c>
    </row>
    <row r="1084" ht="15.75" customHeight="1">
      <c r="A1084" s="18" t="s">
        <v>4019</v>
      </c>
      <c r="B1084" s="18">
        <v>1976.0</v>
      </c>
      <c r="C1084" s="18" t="s">
        <v>241</v>
      </c>
      <c r="D1084" s="18">
        <v>14.0</v>
      </c>
      <c r="E1084" s="18" t="str">
        <f t="shared" si="1"/>
        <v>14/06/76</v>
      </c>
      <c r="F1084" s="18">
        <v>2.0</v>
      </c>
      <c r="G1084" s="27">
        <v>8823.28</v>
      </c>
      <c r="H1084" s="18" t="s">
        <v>140</v>
      </c>
      <c r="I1084" s="18" t="s">
        <v>219</v>
      </c>
      <c r="J1084" s="18" t="s">
        <v>570</v>
      </c>
      <c r="K1084" s="29">
        <f t="shared" si="2"/>
        <v>46</v>
      </c>
    </row>
    <row r="1085" ht="15.75" customHeight="1">
      <c r="A1085" s="18" t="s">
        <v>4016</v>
      </c>
      <c r="B1085" s="18">
        <v>1976.0</v>
      </c>
      <c r="C1085" s="18" t="s">
        <v>517</v>
      </c>
      <c r="D1085" s="18">
        <v>19.0</v>
      </c>
      <c r="E1085" s="18" t="str">
        <f t="shared" si="1"/>
        <v>19/10/76</v>
      </c>
      <c r="F1085" s="18">
        <v>1.0</v>
      </c>
      <c r="G1085" s="27">
        <v>8823.99</v>
      </c>
      <c r="H1085" s="18" t="s">
        <v>140</v>
      </c>
      <c r="I1085" s="18" t="s">
        <v>142</v>
      </c>
      <c r="J1085" s="18" t="s">
        <v>2024</v>
      </c>
      <c r="K1085" s="29">
        <f t="shared" si="2"/>
        <v>46</v>
      </c>
    </row>
    <row r="1086" ht="15.75" customHeight="1">
      <c r="A1086" s="18" t="s">
        <v>4013</v>
      </c>
      <c r="B1086" s="18">
        <v>1988.0</v>
      </c>
      <c r="C1086" s="18" t="s">
        <v>501</v>
      </c>
      <c r="D1086" s="18">
        <v>22.0</v>
      </c>
      <c r="E1086" s="18" t="str">
        <f t="shared" si="1"/>
        <v>22/08/88</v>
      </c>
      <c r="F1086" s="18">
        <v>3.0</v>
      </c>
      <c r="G1086" s="27">
        <v>8824.27</v>
      </c>
      <c r="H1086" s="18" t="s">
        <v>140</v>
      </c>
      <c r="I1086" s="18" t="s">
        <v>219</v>
      </c>
      <c r="J1086" s="18" t="s">
        <v>1647</v>
      </c>
      <c r="K1086" s="29">
        <f t="shared" si="2"/>
        <v>34</v>
      </c>
    </row>
    <row r="1087" ht="15.75" customHeight="1">
      <c r="A1087" s="18" t="s">
        <v>4009</v>
      </c>
      <c r="B1087" s="18">
        <v>1976.0</v>
      </c>
      <c r="C1087" s="18" t="s">
        <v>91</v>
      </c>
      <c r="D1087" s="18">
        <v>14.0</v>
      </c>
      <c r="E1087" s="18" t="str">
        <f t="shared" si="1"/>
        <v>14/07/76</v>
      </c>
      <c r="F1087" s="18">
        <v>2.0</v>
      </c>
      <c r="G1087" s="27">
        <v>8825.09</v>
      </c>
      <c r="H1087" s="18" t="s">
        <v>140</v>
      </c>
      <c r="I1087" s="18" t="s">
        <v>142</v>
      </c>
      <c r="J1087" s="18" t="s">
        <v>570</v>
      </c>
      <c r="K1087" s="29">
        <f t="shared" si="2"/>
        <v>46</v>
      </c>
    </row>
    <row r="1088" ht="15.75" customHeight="1">
      <c r="A1088" s="18" t="s">
        <v>4007</v>
      </c>
      <c r="B1088" s="18">
        <v>1972.0</v>
      </c>
      <c r="C1088" s="18" t="s">
        <v>209</v>
      </c>
      <c r="D1088" s="18">
        <v>14.0</v>
      </c>
      <c r="E1088" s="18" t="str">
        <f t="shared" si="1"/>
        <v>14/11/72</v>
      </c>
      <c r="F1088" s="18">
        <v>0.0</v>
      </c>
      <c r="G1088" s="27">
        <v>8827.21</v>
      </c>
      <c r="H1088" s="18" t="s">
        <v>142</v>
      </c>
      <c r="I1088" s="18" t="s">
        <v>219</v>
      </c>
      <c r="J1088" s="18" t="s">
        <v>325</v>
      </c>
      <c r="K1088" s="29">
        <f t="shared" si="2"/>
        <v>50</v>
      </c>
    </row>
    <row r="1089" ht="15.75" customHeight="1">
      <c r="A1089" s="18" t="s">
        <v>4003</v>
      </c>
      <c r="B1089" s="18">
        <v>1972.0</v>
      </c>
      <c r="C1089" s="18" t="s">
        <v>209</v>
      </c>
      <c r="D1089" s="18">
        <v>22.0</v>
      </c>
      <c r="E1089" s="18" t="str">
        <f t="shared" si="1"/>
        <v>22/11/72</v>
      </c>
      <c r="F1089" s="18">
        <v>0.0</v>
      </c>
      <c r="G1089" s="27">
        <v>8835.26</v>
      </c>
      <c r="H1089" s="18" t="s">
        <v>142</v>
      </c>
      <c r="I1089" s="18" t="s">
        <v>140</v>
      </c>
      <c r="J1089" s="18" t="s">
        <v>325</v>
      </c>
      <c r="K1089" s="29">
        <f t="shared" si="2"/>
        <v>50</v>
      </c>
    </row>
    <row r="1090" ht="15.75" customHeight="1">
      <c r="A1090" s="18" t="s">
        <v>3998</v>
      </c>
      <c r="B1090" s="18">
        <v>1974.0</v>
      </c>
      <c r="C1090" s="18" t="s">
        <v>241</v>
      </c>
      <c r="D1090" s="18">
        <v>18.0</v>
      </c>
      <c r="E1090" s="18" t="str">
        <f t="shared" si="1"/>
        <v>18/06/74</v>
      </c>
      <c r="F1090" s="18">
        <v>1.0</v>
      </c>
      <c r="G1090" s="27">
        <v>8871.15</v>
      </c>
      <c r="H1090" s="18" t="s">
        <v>140</v>
      </c>
      <c r="I1090" s="18" t="s">
        <v>142</v>
      </c>
      <c r="J1090" s="18" t="s">
        <v>146</v>
      </c>
      <c r="K1090" s="29">
        <f t="shared" si="2"/>
        <v>48</v>
      </c>
    </row>
    <row r="1091" ht="15.75" customHeight="1">
      <c r="A1091" s="18" t="s">
        <v>3996</v>
      </c>
      <c r="B1091" s="18">
        <v>1973.0</v>
      </c>
      <c r="C1091" s="18" t="s">
        <v>272</v>
      </c>
      <c r="D1091" s="18">
        <v>9.0</v>
      </c>
      <c r="E1091" s="18" t="str">
        <f t="shared" si="1"/>
        <v>09/09/73</v>
      </c>
      <c r="F1091" s="18">
        <v>0.0</v>
      </c>
      <c r="G1091" s="27">
        <v>8890.59</v>
      </c>
      <c r="H1091" s="18" t="s">
        <v>140</v>
      </c>
      <c r="I1091" s="18" t="s">
        <v>142</v>
      </c>
      <c r="J1091" s="18" t="s">
        <v>325</v>
      </c>
      <c r="K1091" s="29">
        <f t="shared" si="2"/>
        <v>49</v>
      </c>
    </row>
    <row r="1092" ht="15.75" customHeight="1">
      <c r="A1092" s="18" t="s">
        <v>3993</v>
      </c>
      <c r="B1092" s="18">
        <v>1978.0</v>
      </c>
      <c r="C1092" s="18" t="s">
        <v>457</v>
      </c>
      <c r="D1092" s="18">
        <v>16.0</v>
      </c>
      <c r="E1092" s="18" t="str">
        <f t="shared" si="1"/>
        <v>16/12/78</v>
      </c>
      <c r="F1092" s="18">
        <v>3.0</v>
      </c>
      <c r="G1092" s="27">
        <v>8891.14</v>
      </c>
      <c r="H1092" s="18" t="s">
        <v>140</v>
      </c>
      <c r="I1092" s="18" t="s">
        <v>142</v>
      </c>
      <c r="J1092" s="18" t="s">
        <v>2617</v>
      </c>
      <c r="K1092" s="29">
        <f t="shared" si="2"/>
        <v>44</v>
      </c>
    </row>
    <row r="1093" ht="15.75" customHeight="1">
      <c r="A1093" s="18" t="s">
        <v>3989</v>
      </c>
      <c r="B1093" s="18">
        <v>1997.0</v>
      </c>
      <c r="C1093" s="18" t="s">
        <v>209</v>
      </c>
      <c r="D1093" s="18">
        <v>28.0</v>
      </c>
      <c r="E1093" s="18" t="str">
        <f t="shared" si="1"/>
        <v>28/11/97</v>
      </c>
      <c r="F1093" s="18">
        <v>0.0</v>
      </c>
      <c r="G1093" s="27">
        <v>8906.14</v>
      </c>
      <c r="H1093" s="18" t="s">
        <v>140</v>
      </c>
      <c r="I1093" s="18" t="s">
        <v>140</v>
      </c>
      <c r="J1093" s="18" t="s">
        <v>325</v>
      </c>
      <c r="K1093" s="29">
        <f t="shared" si="2"/>
        <v>25</v>
      </c>
    </row>
    <row r="1094" ht="15.75" customHeight="1">
      <c r="A1094" s="18" t="s">
        <v>3985</v>
      </c>
      <c r="B1094" s="18">
        <v>1967.0</v>
      </c>
      <c r="C1094" s="18" t="s">
        <v>272</v>
      </c>
      <c r="D1094" s="18">
        <v>6.0</v>
      </c>
      <c r="E1094" s="18" t="str">
        <f t="shared" si="1"/>
        <v>06/09/67</v>
      </c>
      <c r="F1094" s="18">
        <v>0.0</v>
      </c>
      <c r="G1094" s="27">
        <v>8908.47</v>
      </c>
      <c r="H1094" s="18" t="s">
        <v>142</v>
      </c>
      <c r="I1094" s="18" t="s">
        <v>140</v>
      </c>
      <c r="J1094" s="18" t="s">
        <v>146</v>
      </c>
      <c r="K1094" s="29">
        <f t="shared" si="2"/>
        <v>55</v>
      </c>
    </row>
    <row r="1095" ht="15.75" customHeight="1">
      <c r="A1095" s="18" t="s">
        <v>3982</v>
      </c>
      <c r="B1095" s="18">
        <v>1975.0</v>
      </c>
      <c r="C1095" s="18" t="s">
        <v>91</v>
      </c>
      <c r="D1095" s="18">
        <v>7.0</v>
      </c>
      <c r="E1095" s="18" t="str">
        <f t="shared" si="1"/>
        <v>07/07/75</v>
      </c>
      <c r="F1095" s="18">
        <v>1.0</v>
      </c>
      <c r="G1095" s="27">
        <v>8930.93</v>
      </c>
      <c r="H1095" s="18" t="s">
        <v>140</v>
      </c>
      <c r="I1095" s="18" t="s">
        <v>140</v>
      </c>
      <c r="J1095" s="18" t="s">
        <v>325</v>
      </c>
      <c r="K1095" s="29">
        <f t="shared" si="2"/>
        <v>47</v>
      </c>
    </row>
    <row r="1096" ht="15.75" customHeight="1">
      <c r="A1096" s="18" t="s">
        <v>3979</v>
      </c>
      <c r="B1096" s="18">
        <v>1972.0</v>
      </c>
      <c r="C1096" s="18" t="s">
        <v>241</v>
      </c>
      <c r="D1096" s="18">
        <v>6.0</v>
      </c>
      <c r="E1096" s="18" t="str">
        <f t="shared" si="1"/>
        <v>06/06/72</v>
      </c>
      <c r="F1096" s="18">
        <v>0.0</v>
      </c>
      <c r="G1096" s="27">
        <v>8932.08</v>
      </c>
      <c r="H1096" s="18" t="s">
        <v>140</v>
      </c>
      <c r="I1096" s="18" t="s">
        <v>219</v>
      </c>
      <c r="J1096" s="18" t="s">
        <v>570</v>
      </c>
      <c r="K1096" s="29">
        <f t="shared" si="2"/>
        <v>51</v>
      </c>
    </row>
    <row r="1097" ht="15.75" customHeight="1">
      <c r="A1097" s="18" t="s">
        <v>3974</v>
      </c>
      <c r="B1097" s="18">
        <v>1976.0</v>
      </c>
      <c r="C1097" s="18" t="s">
        <v>457</v>
      </c>
      <c r="D1097" s="18">
        <v>25.0</v>
      </c>
      <c r="E1097" s="18" t="str">
        <f t="shared" si="1"/>
        <v>25/12/76</v>
      </c>
      <c r="F1097" s="18">
        <v>3.0</v>
      </c>
      <c r="G1097" s="27">
        <v>8944.12</v>
      </c>
      <c r="H1097" s="18" t="s">
        <v>142</v>
      </c>
      <c r="I1097" s="18" t="s">
        <v>140</v>
      </c>
      <c r="J1097" s="18" t="s">
        <v>146</v>
      </c>
      <c r="K1097" s="29">
        <f t="shared" si="2"/>
        <v>46</v>
      </c>
    </row>
    <row r="1098" ht="15.75" customHeight="1">
      <c r="A1098" s="18" t="s">
        <v>3971</v>
      </c>
      <c r="B1098" s="18">
        <v>1992.0</v>
      </c>
      <c r="C1098" s="18" t="s">
        <v>272</v>
      </c>
      <c r="D1098" s="18">
        <v>27.0</v>
      </c>
      <c r="E1098" s="18" t="str">
        <f t="shared" si="1"/>
        <v>27/09/92</v>
      </c>
      <c r="F1098" s="18">
        <v>0.0</v>
      </c>
      <c r="G1098" s="27">
        <v>8954.99</v>
      </c>
      <c r="H1098" s="18" t="s">
        <v>140</v>
      </c>
      <c r="I1098" s="18" t="s">
        <v>142</v>
      </c>
      <c r="J1098" s="18" t="s">
        <v>3559</v>
      </c>
      <c r="K1098" s="29">
        <f t="shared" si="2"/>
        <v>30</v>
      </c>
    </row>
    <row r="1099" ht="15.75" customHeight="1">
      <c r="A1099" s="18" t="s">
        <v>3967</v>
      </c>
      <c r="B1099" s="18">
        <v>1974.0</v>
      </c>
      <c r="C1099" s="18" t="s">
        <v>501</v>
      </c>
      <c r="D1099" s="18">
        <v>17.0</v>
      </c>
      <c r="E1099" s="18" t="str">
        <f t="shared" si="1"/>
        <v>17/08/74</v>
      </c>
      <c r="F1099" s="18">
        <v>1.0</v>
      </c>
      <c r="G1099" s="27">
        <v>8964.06</v>
      </c>
      <c r="H1099" s="18" t="s">
        <v>142</v>
      </c>
      <c r="I1099" s="18" t="s">
        <v>140</v>
      </c>
      <c r="J1099" s="18" t="s">
        <v>1427</v>
      </c>
      <c r="K1099" s="29">
        <f t="shared" si="2"/>
        <v>48</v>
      </c>
    </row>
    <row r="1100" ht="15.75" customHeight="1">
      <c r="A1100" s="18" t="s">
        <v>3964</v>
      </c>
      <c r="B1100" s="18">
        <v>1983.0</v>
      </c>
      <c r="C1100" s="18" t="s">
        <v>91</v>
      </c>
      <c r="D1100" s="18">
        <v>15.0</v>
      </c>
      <c r="E1100" s="18" t="str">
        <f t="shared" si="1"/>
        <v>15/07/83</v>
      </c>
      <c r="F1100" s="18">
        <v>5.0</v>
      </c>
      <c r="G1100" s="27">
        <v>8965.8</v>
      </c>
      <c r="H1100" s="18" t="s">
        <v>140</v>
      </c>
      <c r="I1100" s="18" t="s">
        <v>142</v>
      </c>
      <c r="J1100" s="18" t="s">
        <v>325</v>
      </c>
      <c r="K1100" s="29">
        <f t="shared" si="2"/>
        <v>39</v>
      </c>
    </row>
    <row r="1101" ht="15.75" customHeight="1">
      <c r="A1101" s="18" t="s">
        <v>3960</v>
      </c>
      <c r="B1101" s="18">
        <v>1974.0</v>
      </c>
      <c r="C1101" s="18" t="s">
        <v>272</v>
      </c>
      <c r="D1101" s="18">
        <v>8.0</v>
      </c>
      <c r="E1101" s="18" t="str">
        <f t="shared" si="1"/>
        <v>08/09/74</v>
      </c>
      <c r="F1101" s="18">
        <v>2.0</v>
      </c>
      <c r="G1101" s="27">
        <v>8968.33</v>
      </c>
      <c r="H1101" s="18" t="s">
        <v>142</v>
      </c>
      <c r="I1101" s="18" t="s">
        <v>140</v>
      </c>
      <c r="J1101" s="18" t="s">
        <v>570</v>
      </c>
      <c r="K1101" s="29">
        <f t="shared" si="2"/>
        <v>48</v>
      </c>
    </row>
    <row r="1102" ht="15.75" customHeight="1">
      <c r="A1102" s="18" t="s">
        <v>3957</v>
      </c>
      <c r="B1102" s="18">
        <v>1974.0</v>
      </c>
      <c r="C1102" s="18" t="s">
        <v>91</v>
      </c>
      <c r="D1102" s="18">
        <v>21.0</v>
      </c>
      <c r="E1102" s="18" t="str">
        <f t="shared" si="1"/>
        <v>21/07/74</v>
      </c>
      <c r="F1102" s="18">
        <v>2.0</v>
      </c>
      <c r="G1102" s="27">
        <v>8978.19</v>
      </c>
      <c r="H1102" s="18" t="s">
        <v>140</v>
      </c>
      <c r="I1102" s="18" t="s">
        <v>140</v>
      </c>
      <c r="J1102" s="18" t="s">
        <v>146</v>
      </c>
      <c r="K1102" s="29">
        <f t="shared" si="2"/>
        <v>48</v>
      </c>
    </row>
    <row r="1103" ht="15.75" customHeight="1">
      <c r="A1103" s="18" t="s">
        <v>3953</v>
      </c>
      <c r="B1103" s="18">
        <v>1973.0</v>
      </c>
      <c r="C1103" s="18" t="s">
        <v>517</v>
      </c>
      <c r="D1103" s="18">
        <v>11.0</v>
      </c>
      <c r="E1103" s="18" t="str">
        <f t="shared" si="1"/>
        <v>11/10/73</v>
      </c>
      <c r="F1103" s="18">
        <v>0.0</v>
      </c>
      <c r="G1103" s="27">
        <v>8988.16</v>
      </c>
      <c r="H1103" s="18" t="s">
        <v>140</v>
      </c>
      <c r="I1103" s="18" t="s">
        <v>219</v>
      </c>
      <c r="J1103" s="18" t="s">
        <v>325</v>
      </c>
      <c r="K1103" s="29">
        <f t="shared" si="2"/>
        <v>49</v>
      </c>
    </row>
    <row r="1104" ht="15.75" customHeight="1">
      <c r="A1104" s="18" t="s">
        <v>3949</v>
      </c>
      <c r="B1104" s="18">
        <v>1979.0</v>
      </c>
      <c r="C1104" s="18" t="s">
        <v>457</v>
      </c>
      <c r="D1104" s="18">
        <v>16.0</v>
      </c>
      <c r="E1104" s="18" t="str">
        <f t="shared" si="1"/>
        <v>16/12/79</v>
      </c>
      <c r="F1104" s="18">
        <v>2.0</v>
      </c>
      <c r="G1104" s="27">
        <v>8998.43</v>
      </c>
      <c r="H1104" s="18" t="s">
        <v>140</v>
      </c>
      <c r="I1104" s="18" t="s">
        <v>219</v>
      </c>
      <c r="J1104" s="18" t="s">
        <v>1647</v>
      </c>
      <c r="K1104" s="29">
        <f t="shared" si="2"/>
        <v>43</v>
      </c>
    </row>
    <row r="1105" ht="15.75" customHeight="1">
      <c r="A1105" s="18" t="s">
        <v>3947</v>
      </c>
      <c r="B1105" s="18">
        <v>1993.0</v>
      </c>
      <c r="C1105" s="18" t="s">
        <v>457</v>
      </c>
      <c r="D1105" s="18">
        <v>1.0</v>
      </c>
      <c r="E1105" s="18" t="str">
        <f t="shared" si="1"/>
        <v>01/12/93</v>
      </c>
      <c r="F1105" s="18">
        <v>0.0</v>
      </c>
      <c r="G1105" s="27">
        <v>9010.2</v>
      </c>
      <c r="H1105" s="18" t="s">
        <v>140</v>
      </c>
      <c r="I1105" s="18" t="s">
        <v>142</v>
      </c>
      <c r="J1105" s="18" t="s">
        <v>3559</v>
      </c>
      <c r="K1105" s="29">
        <f t="shared" si="2"/>
        <v>29</v>
      </c>
    </row>
    <row r="1106" ht="15.75" customHeight="1">
      <c r="A1106" s="18" t="s">
        <v>3944</v>
      </c>
      <c r="B1106" s="18">
        <v>1972.0</v>
      </c>
      <c r="C1106" s="18" t="s">
        <v>457</v>
      </c>
      <c r="D1106" s="18">
        <v>7.0</v>
      </c>
      <c r="E1106" s="18" t="str">
        <f t="shared" si="1"/>
        <v>07/12/72</v>
      </c>
      <c r="F1106" s="18">
        <v>1.0</v>
      </c>
      <c r="G1106" s="27">
        <v>9048.03</v>
      </c>
      <c r="H1106" s="18" t="s">
        <v>140</v>
      </c>
      <c r="I1106" s="18" t="s">
        <v>140</v>
      </c>
      <c r="J1106" s="18" t="s">
        <v>146</v>
      </c>
      <c r="K1106" s="29">
        <f t="shared" si="2"/>
        <v>50</v>
      </c>
    </row>
    <row r="1107" ht="15.75" customHeight="1">
      <c r="A1107" s="18" t="s">
        <v>3940</v>
      </c>
      <c r="B1107" s="18">
        <v>1972.0</v>
      </c>
      <c r="C1107" s="18" t="s">
        <v>457</v>
      </c>
      <c r="D1107" s="18">
        <v>2.0</v>
      </c>
      <c r="E1107" s="18" t="str">
        <f t="shared" si="1"/>
        <v>02/12/72</v>
      </c>
      <c r="F1107" s="18">
        <v>1.0</v>
      </c>
      <c r="G1107" s="27">
        <v>9058.73</v>
      </c>
      <c r="H1107" s="18" t="s">
        <v>142</v>
      </c>
      <c r="I1107" s="18" t="s">
        <v>140</v>
      </c>
      <c r="J1107" s="18" t="s">
        <v>146</v>
      </c>
      <c r="K1107" s="29">
        <f t="shared" si="2"/>
        <v>50</v>
      </c>
    </row>
    <row r="1108" ht="15.75" customHeight="1">
      <c r="A1108" s="18" t="s">
        <v>3936</v>
      </c>
      <c r="B1108" s="18">
        <v>1977.0</v>
      </c>
      <c r="C1108" s="18" t="s">
        <v>209</v>
      </c>
      <c r="D1108" s="18">
        <v>4.0</v>
      </c>
      <c r="E1108" s="18" t="str">
        <f t="shared" si="1"/>
        <v>04/11/77</v>
      </c>
      <c r="F1108" s="18">
        <v>2.0</v>
      </c>
      <c r="G1108" s="27">
        <v>9095.07</v>
      </c>
      <c r="H1108" s="18" t="s">
        <v>140</v>
      </c>
      <c r="I1108" s="18" t="s">
        <v>140</v>
      </c>
      <c r="J1108" s="18" t="s">
        <v>2024</v>
      </c>
      <c r="K1108" s="29">
        <f t="shared" si="2"/>
        <v>45</v>
      </c>
    </row>
    <row r="1109" ht="15.75" customHeight="1">
      <c r="A1109" s="18" t="s">
        <v>3933</v>
      </c>
      <c r="B1109" s="18">
        <v>1965.0</v>
      </c>
      <c r="C1109" s="18" t="s">
        <v>209</v>
      </c>
      <c r="D1109" s="18">
        <v>9.0</v>
      </c>
      <c r="E1109" s="18" t="str">
        <f t="shared" si="1"/>
        <v>09/11/65</v>
      </c>
      <c r="F1109" s="18">
        <v>0.0</v>
      </c>
      <c r="G1109" s="27">
        <v>9095.94</v>
      </c>
      <c r="H1109" s="18" t="s">
        <v>142</v>
      </c>
      <c r="I1109" s="18" t="s">
        <v>219</v>
      </c>
      <c r="J1109" s="18" t="s">
        <v>570</v>
      </c>
      <c r="K1109" s="29">
        <f t="shared" si="2"/>
        <v>57</v>
      </c>
    </row>
    <row r="1110" ht="15.75" customHeight="1">
      <c r="A1110" s="18" t="s">
        <v>3929</v>
      </c>
      <c r="B1110" s="18">
        <v>1977.0</v>
      </c>
      <c r="C1110" s="18" t="s">
        <v>457</v>
      </c>
      <c r="D1110" s="18">
        <v>2.0</v>
      </c>
      <c r="E1110" s="18" t="str">
        <f t="shared" si="1"/>
        <v>02/12/77</v>
      </c>
      <c r="F1110" s="18">
        <v>3.0</v>
      </c>
      <c r="G1110" s="27">
        <v>9101.8</v>
      </c>
      <c r="H1110" s="18" t="s">
        <v>140</v>
      </c>
      <c r="I1110" s="18" t="s">
        <v>219</v>
      </c>
      <c r="J1110" s="18" t="s">
        <v>570</v>
      </c>
      <c r="K1110" s="29">
        <f t="shared" si="2"/>
        <v>45</v>
      </c>
    </row>
    <row r="1111" ht="15.75" customHeight="1">
      <c r="A1111" s="18" t="s">
        <v>3927</v>
      </c>
      <c r="B1111" s="18">
        <v>1970.0</v>
      </c>
      <c r="C1111" s="18" t="s">
        <v>501</v>
      </c>
      <c r="D1111" s="18">
        <v>12.0</v>
      </c>
      <c r="E1111" s="18" t="str">
        <f t="shared" si="1"/>
        <v>12/08/70</v>
      </c>
      <c r="F1111" s="18">
        <v>0.0</v>
      </c>
      <c r="G1111" s="27">
        <v>9140.95</v>
      </c>
      <c r="H1111" s="18" t="s">
        <v>142</v>
      </c>
      <c r="I1111" s="18" t="s">
        <v>142</v>
      </c>
      <c r="J1111" s="18" t="s">
        <v>146</v>
      </c>
      <c r="K1111" s="29">
        <f t="shared" si="2"/>
        <v>52</v>
      </c>
    </row>
    <row r="1112" ht="15.75" customHeight="1">
      <c r="A1112" s="18" t="s">
        <v>3923</v>
      </c>
      <c r="B1112" s="18">
        <v>1970.0</v>
      </c>
      <c r="C1112" s="18" t="s">
        <v>517</v>
      </c>
      <c r="D1112" s="18">
        <v>18.0</v>
      </c>
      <c r="E1112" s="18" t="str">
        <f t="shared" si="1"/>
        <v>18/10/70</v>
      </c>
      <c r="F1112" s="18">
        <v>0.0</v>
      </c>
      <c r="G1112" s="27">
        <v>9144.57</v>
      </c>
      <c r="H1112" s="18" t="s">
        <v>142</v>
      </c>
      <c r="I1112" s="18" t="s">
        <v>140</v>
      </c>
      <c r="J1112" s="18" t="s">
        <v>570</v>
      </c>
      <c r="K1112" s="29">
        <f t="shared" si="2"/>
        <v>52</v>
      </c>
    </row>
    <row r="1113" ht="15.75" customHeight="1">
      <c r="A1113" s="18" t="s">
        <v>3920</v>
      </c>
      <c r="B1113" s="18">
        <v>1982.0</v>
      </c>
      <c r="C1113" s="18" t="s">
        <v>457</v>
      </c>
      <c r="D1113" s="18">
        <v>8.0</v>
      </c>
      <c r="E1113" s="18" t="str">
        <f t="shared" si="1"/>
        <v>08/12/82</v>
      </c>
      <c r="F1113" s="18">
        <v>3.0</v>
      </c>
      <c r="G1113" s="27">
        <v>9147.5</v>
      </c>
      <c r="H1113" s="18" t="s">
        <v>140</v>
      </c>
      <c r="I1113" s="18" t="s">
        <v>219</v>
      </c>
      <c r="J1113" s="18" t="s">
        <v>325</v>
      </c>
      <c r="K1113" s="29">
        <f t="shared" si="2"/>
        <v>40</v>
      </c>
    </row>
    <row r="1114" ht="15.75" customHeight="1">
      <c r="A1114" s="18" t="s">
        <v>3916</v>
      </c>
      <c r="B1114" s="18">
        <v>1990.0</v>
      </c>
      <c r="C1114" s="18" t="s">
        <v>501</v>
      </c>
      <c r="D1114" s="18">
        <v>23.0</v>
      </c>
      <c r="E1114" s="18" t="str">
        <f t="shared" si="1"/>
        <v>23/08/90</v>
      </c>
      <c r="F1114" s="18">
        <v>3.0</v>
      </c>
      <c r="G1114" s="27">
        <v>9159.51</v>
      </c>
      <c r="H1114" s="18" t="s">
        <v>140</v>
      </c>
      <c r="I1114" s="18" t="s">
        <v>140</v>
      </c>
      <c r="J1114" s="18" t="s">
        <v>2314</v>
      </c>
      <c r="K1114" s="29">
        <f t="shared" si="2"/>
        <v>32</v>
      </c>
    </row>
    <row r="1115" ht="15.75" customHeight="1">
      <c r="A1115" s="18" t="s">
        <v>3914</v>
      </c>
      <c r="B1115" s="18">
        <v>1970.0</v>
      </c>
      <c r="C1115" s="18" t="s">
        <v>517</v>
      </c>
      <c r="D1115" s="18">
        <v>24.0</v>
      </c>
      <c r="E1115" s="18" t="str">
        <f t="shared" si="1"/>
        <v>24/10/70</v>
      </c>
      <c r="F1115" s="18">
        <v>0.0</v>
      </c>
      <c r="G1115" s="27">
        <v>9171.75</v>
      </c>
      <c r="H1115" s="18" t="s">
        <v>140</v>
      </c>
      <c r="I1115" s="18" t="s">
        <v>140</v>
      </c>
      <c r="J1115" s="18" t="s">
        <v>325</v>
      </c>
      <c r="K1115" s="29">
        <f t="shared" si="2"/>
        <v>52</v>
      </c>
    </row>
    <row r="1116" ht="15.75" customHeight="1">
      <c r="A1116" s="18" t="s">
        <v>3911</v>
      </c>
      <c r="B1116" s="18">
        <v>1971.0</v>
      </c>
      <c r="C1116" s="18" t="s">
        <v>457</v>
      </c>
      <c r="D1116" s="18">
        <v>29.0</v>
      </c>
      <c r="E1116" s="18" t="str">
        <f t="shared" si="1"/>
        <v>29/12/71</v>
      </c>
      <c r="F1116" s="18">
        <v>0.0</v>
      </c>
      <c r="G1116" s="27">
        <v>9174.14</v>
      </c>
      <c r="H1116" s="18" t="s">
        <v>142</v>
      </c>
      <c r="I1116" s="18" t="s">
        <v>219</v>
      </c>
      <c r="J1116" s="18" t="s">
        <v>325</v>
      </c>
      <c r="K1116" s="29">
        <f t="shared" si="2"/>
        <v>51</v>
      </c>
    </row>
    <row r="1117" ht="15.75" customHeight="1">
      <c r="A1117" s="18" t="s">
        <v>3907</v>
      </c>
      <c r="B1117" s="18">
        <v>1973.0</v>
      </c>
      <c r="C1117" s="18" t="s">
        <v>457</v>
      </c>
      <c r="D1117" s="18">
        <v>25.0</v>
      </c>
      <c r="E1117" s="18" t="str">
        <f t="shared" si="1"/>
        <v>25/12/73</v>
      </c>
      <c r="F1117" s="18">
        <v>1.0</v>
      </c>
      <c r="G1117" s="27">
        <v>9182.17</v>
      </c>
      <c r="H1117" s="18" t="s">
        <v>140</v>
      </c>
      <c r="I1117" s="18" t="s">
        <v>142</v>
      </c>
      <c r="J1117" s="18" t="s">
        <v>570</v>
      </c>
      <c r="K1117" s="29">
        <f t="shared" si="2"/>
        <v>49</v>
      </c>
    </row>
    <row r="1118" ht="15.75" customHeight="1">
      <c r="A1118" s="18" t="s">
        <v>3904</v>
      </c>
      <c r="B1118" s="18">
        <v>1976.0</v>
      </c>
      <c r="C1118" s="18" t="s">
        <v>272</v>
      </c>
      <c r="D1118" s="18">
        <v>10.0</v>
      </c>
      <c r="E1118" s="18" t="str">
        <f t="shared" si="1"/>
        <v>10/09/76</v>
      </c>
      <c r="F1118" s="18">
        <v>2.0</v>
      </c>
      <c r="G1118" s="27">
        <v>9193.84</v>
      </c>
      <c r="H1118" s="18" t="s">
        <v>140</v>
      </c>
      <c r="I1118" s="18" t="s">
        <v>219</v>
      </c>
      <c r="J1118" s="18" t="s">
        <v>325</v>
      </c>
      <c r="K1118" s="29">
        <f t="shared" si="2"/>
        <v>46</v>
      </c>
    </row>
    <row r="1119" ht="15.75" customHeight="1">
      <c r="A1119" s="18" t="s">
        <v>3900</v>
      </c>
      <c r="B1119" s="18">
        <v>1986.0</v>
      </c>
      <c r="C1119" s="18" t="s">
        <v>457</v>
      </c>
      <c r="D1119" s="18">
        <v>25.0</v>
      </c>
      <c r="E1119" s="18" t="str">
        <f t="shared" si="1"/>
        <v>25/12/86</v>
      </c>
      <c r="F1119" s="18">
        <v>3.0</v>
      </c>
      <c r="G1119" s="27">
        <v>9210.06</v>
      </c>
      <c r="H1119" s="18" t="s">
        <v>140</v>
      </c>
      <c r="I1119" s="18" t="s">
        <v>142</v>
      </c>
      <c r="J1119" s="18" t="s">
        <v>2314</v>
      </c>
      <c r="K1119" s="29">
        <f t="shared" si="2"/>
        <v>36</v>
      </c>
    </row>
    <row r="1120" ht="15.75" customHeight="1">
      <c r="A1120" s="18" t="s">
        <v>3896</v>
      </c>
      <c r="B1120" s="18">
        <v>1981.0</v>
      </c>
      <c r="C1120" s="18" t="s">
        <v>457</v>
      </c>
      <c r="D1120" s="18">
        <v>5.0</v>
      </c>
      <c r="E1120" s="18" t="str">
        <f t="shared" si="1"/>
        <v>05/12/81</v>
      </c>
      <c r="F1120" s="18">
        <v>5.0</v>
      </c>
      <c r="G1120" s="27">
        <v>9222.4</v>
      </c>
      <c r="H1120" s="18" t="s">
        <v>140</v>
      </c>
      <c r="I1120" s="18" t="s">
        <v>142</v>
      </c>
      <c r="J1120" s="18" t="s">
        <v>1421</v>
      </c>
      <c r="K1120" s="29">
        <f t="shared" si="2"/>
        <v>41</v>
      </c>
    </row>
    <row r="1121" ht="15.75" customHeight="1">
      <c r="A1121" s="18" t="s">
        <v>3893</v>
      </c>
      <c r="B1121" s="18">
        <v>1975.0</v>
      </c>
      <c r="C1121" s="18" t="s">
        <v>457</v>
      </c>
      <c r="D1121" s="18">
        <v>6.0</v>
      </c>
      <c r="E1121" s="18" t="str">
        <f t="shared" si="1"/>
        <v>06/12/75</v>
      </c>
      <c r="F1121" s="18">
        <v>2.0</v>
      </c>
      <c r="G1121" s="27">
        <v>9225.26</v>
      </c>
      <c r="H1121" s="18" t="s">
        <v>142</v>
      </c>
      <c r="I1121" s="18" t="s">
        <v>142</v>
      </c>
      <c r="J1121" s="18" t="s">
        <v>1414</v>
      </c>
      <c r="K1121" s="29">
        <f t="shared" si="2"/>
        <v>47</v>
      </c>
    </row>
    <row r="1122" ht="15.75" customHeight="1">
      <c r="A1122" s="18" t="s">
        <v>3888</v>
      </c>
      <c r="B1122" s="18">
        <v>1980.0</v>
      </c>
      <c r="C1122" s="18" t="s">
        <v>517</v>
      </c>
      <c r="D1122" s="18">
        <v>5.0</v>
      </c>
      <c r="E1122" s="18" t="str">
        <f t="shared" si="1"/>
        <v>05/10/80</v>
      </c>
      <c r="F1122" s="18">
        <v>2.0</v>
      </c>
      <c r="G1122" s="27">
        <v>9247.94</v>
      </c>
      <c r="H1122" s="18" t="s">
        <v>140</v>
      </c>
      <c r="I1122" s="18" t="s">
        <v>219</v>
      </c>
      <c r="J1122" s="18" t="s">
        <v>2314</v>
      </c>
      <c r="K1122" s="29">
        <f t="shared" si="2"/>
        <v>42</v>
      </c>
    </row>
    <row r="1123" ht="15.75" customHeight="1">
      <c r="A1123" s="18" t="s">
        <v>3886</v>
      </c>
      <c r="B1123" s="18">
        <v>1974.0</v>
      </c>
      <c r="C1123" s="18" t="s">
        <v>501</v>
      </c>
      <c r="D1123" s="18">
        <v>21.0</v>
      </c>
      <c r="E1123" s="18" t="str">
        <f t="shared" si="1"/>
        <v>21/08/74</v>
      </c>
      <c r="F1123" s="18">
        <v>1.0</v>
      </c>
      <c r="G1123" s="27">
        <v>9249.5</v>
      </c>
      <c r="H1123" s="18" t="s">
        <v>140</v>
      </c>
      <c r="I1123" s="18" t="s">
        <v>219</v>
      </c>
      <c r="J1123" s="18" t="s">
        <v>325</v>
      </c>
      <c r="K1123" s="29">
        <f t="shared" si="2"/>
        <v>48</v>
      </c>
    </row>
    <row r="1124" ht="15.75" customHeight="1">
      <c r="A1124" s="18" t="s">
        <v>3882</v>
      </c>
      <c r="B1124" s="18">
        <v>1971.0</v>
      </c>
      <c r="C1124" s="18" t="s">
        <v>501</v>
      </c>
      <c r="D1124" s="18">
        <v>6.0</v>
      </c>
      <c r="E1124" s="18" t="str">
        <f t="shared" si="1"/>
        <v>06/08/71</v>
      </c>
      <c r="F1124" s="18">
        <v>0.0</v>
      </c>
      <c r="G1124" s="27">
        <v>9264.8</v>
      </c>
      <c r="H1124" s="18" t="s">
        <v>140</v>
      </c>
      <c r="I1124" s="18" t="s">
        <v>219</v>
      </c>
      <c r="J1124" s="18" t="s">
        <v>570</v>
      </c>
      <c r="K1124" s="29">
        <f t="shared" si="2"/>
        <v>51</v>
      </c>
    </row>
    <row r="1125" ht="15.75" customHeight="1">
      <c r="A1125" s="18" t="s">
        <v>3878</v>
      </c>
      <c r="B1125" s="18">
        <v>1973.0</v>
      </c>
      <c r="C1125" s="18" t="s">
        <v>517</v>
      </c>
      <c r="D1125" s="18">
        <v>27.0</v>
      </c>
      <c r="E1125" s="18" t="str">
        <f t="shared" si="1"/>
        <v>27/10/73</v>
      </c>
      <c r="F1125" s="18">
        <v>1.0</v>
      </c>
      <c r="G1125" s="27">
        <v>9282.48</v>
      </c>
      <c r="H1125" s="18" t="s">
        <v>142</v>
      </c>
      <c r="I1125" s="18" t="s">
        <v>140</v>
      </c>
      <c r="J1125" s="18" t="s">
        <v>1427</v>
      </c>
      <c r="K1125" s="29">
        <f t="shared" si="2"/>
        <v>49</v>
      </c>
    </row>
    <row r="1126" ht="15.75" customHeight="1">
      <c r="A1126" s="18" t="s">
        <v>3875</v>
      </c>
      <c r="B1126" s="18">
        <v>1971.0</v>
      </c>
      <c r="C1126" s="18" t="s">
        <v>91</v>
      </c>
      <c r="D1126" s="18">
        <v>2.0</v>
      </c>
      <c r="E1126" s="18" t="str">
        <f t="shared" si="1"/>
        <v>02/07/71</v>
      </c>
      <c r="F1126" s="18">
        <v>0.0</v>
      </c>
      <c r="G1126" s="27">
        <v>9283.56</v>
      </c>
      <c r="H1126" s="18" t="s">
        <v>140</v>
      </c>
      <c r="I1126" s="18" t="s">
        <v>142</v>
      </c>
      <c r="J1126" s="18" t="s">
        <v>146</v>
      </c>
      <c r="K1126" s="29">
        <f t="shared" si="2"/>
        <v>51</v>
      </c>
    </row>
    <row r="1127" ht="15.75" customHeight="1">
      <c r="A1127" s="18" t="s">
        <v>3873</v>
      </c>
      <c r="B1127" s="18">
        <v>1969.0</v>
      </c>
      <c r="C1127" s="18" t="s">
        <v>209</v>
      </c>
      <c r="D1127" s="18">
        <v>26.0</v>
      </c>
      <c r="E1127" s="18" t="str">
        <f t="shared" si="1"/>
        <v>26/11/69</v>
      </c>
      <c r="F1127" s="18">
        <v>0.0</v>
      </c>
      <c r="G1127" s="27">
        <v>9285.87</v>
      </c>
      <c r="H1127" s="18" t="s">
        <v>140</v>
      </c>
      <c r="I1127" s="18" t="s">
        <v>142</v>
      </c>
      <c r="J1127" s="18" t="s">
        <v>146</v>
      </c>
      <c r="K1127" s="29">
        <f t="shared" si="2"/>
        <v>53</v>
      </c>
    </row>
    <row r="1128" ht="15.75" customHeight="1">
      <c r="A1128" s="18" t="s">
        <v>3870</v>
      </c>
      <c r="B1128" s="18">
        <v>1973.0</v>
      </c>
      <c r="C1128" s="18" t="s">
        <v>517</v>
      </c>
      <c r="D1128" s="18">
        <v>16.0</v>
      </c>
      <c r="E1128" s="18" t="str">
        <f t="shared" si="1"/>
        <v>16/10/73</v>
      </c>
      <c r="F1128" s="18">
        <v>1.0</v>
      </c>
      <c r="G1128" s="27">
        <v>9288.03</v>
      </c>
      <c r="H1128" s="18" t="s">
        <v>140</v>
      </c>
      <c r="I1128" s="18" t="s">
        <v>142</v>
      </c>
      <c r="J1128" s="18" t="s">
        <v>1434</v>
      </c>
      <c r="K1128" s="29">
        <f t="shared" si="2"/>
        <v>49</v>
      </c>
    </row>
    <row r="1129" ht="15.75" customHeight="1">
      <c r="A1129" s="18" t="s">
        <v>3867</v>
      </c>
      <c r="B1129" s="18">
        <v>1973.0</v>
      </c>
      <c r="C1129" s="18" t="s">
        <v>272</v>
      </c>
      <c r="D1129" s="18">
        <v>18.0</v>
      </c>
      <c r="E1129" s="18" t="str">
        <f t="shared" si="1"/>
        <v>18/09/73</v>
      </c>
      <c r="F1129" s="18">
        <v>1.0</v>
      </c>
      <c r="G1129" s="27">
        <v>9290.14</v>
      </c>
      <c r="H1129" s="18" t="s">
        <v>142</v>
      </c>
      <c r="I1129" s="18" t="s">
        <v>142</v>
      </c>
      <c r="J1129" s="18" t="s">
        <v>1427</v>
      </c>
      <c r="K1129" s="29">
        <f t="shared" si="2"/>
        <v>49</v>
      </c>
    </row>
    <row r="1130" ht="15.75" customHeight="1">
      <c r="A1130" s="18" t="s">
        <v>3866</v>
      </c>
      <c r="B1130" s="18">
        <v>1976.0</v>
      </c>
      <c r="C1130" s="18" t="s">
        <v>209</v>
      </c>
      <c r="D1130" s="18">
        <v>3.0</v>
      </c>
      <c r="E1130" s="18" t="str">
        <f t="shared" si="1"/>
        <v>03/11/76</v>
      </c>
      <c r="F1130" s="18">
        <v>3.0</v>
      </c>
      <c r="G1130" s="27">
        <v>9301.89</v>
      </c>
      <c r="H1130" s="18" t="s">
        <v>140</v>
      </c>
      <c r="I1130" s="18" t="s">
        <v>219</v>
      </c>
      <c r="J1130" s="18" t="s">
        <v>325</v>
      </c>
      <c r="K1130" s="29">
        <f t="shared" si="2"/>
        <v>46</v>
      </c>
    </row>
    <row r="1131" ht="15.75" customHeight="1">
      <c r="A1131" s="18" t="s">
        <v>3862</v>
      </c>
      <c r="B1131" s="18">
        <v>1973.0</v>
      </c>
      <c r="C1131" s="18" t="s">
        <v>517</v>
      </c>
      <c r="D1131" s="18">
        <v>16.0</v>
      </c>
      <c r="E1131" s="18" t="str">
        <f t="shared" si="1"/>
        <v>16/10/73</v>
      </c>
      <c r="F1131" s="18">
        <v>2.0</v>
      </c>
      <c r="G1131" s="27">
        <v>9304.7</v>
      </c>
      <c r="H1131" s="18" t="s">
        <v>142</v>
      </c>
      <c r="I1131" s="18" t="s">
        <v>142</v>
      </c>
      <c r="J1131" s="18" t="s">
        <v>146</v>
      </c>
      <c r="K1131" s="29">
        <f t="shared" si="2"/>
        <v>49</v>
      </c>
    </row>
    <row r="1132" ht="15.75" customHeight="1">
      <c r="A1132" s="18" t="s">
        <v>3859</v>
      </c>
      <c r="B1132" s="18">
        <v>1963.0</v>
      </c>
      <c r="C1132" s="18" t="s">
        <v>241</v>
      </c>
      <c r="D1132" s="18">
        <v>8.0</v>
      </c>
      <c r="E1132" s="18" t="str">
        <f t="shared" si="1"/>
        <v>08/06/63</v>
      </c>
      <c r="F1132" s="18">
        <v>0.0</v>
      </c>
      <c r="G1132" s="27">
        <v>9310.81</v>
      </c>
      <c r="H1132" s="18" t="s">
        <v>142</v>
      </c>
      <c r="I1132" s="18" t="s">
        <v>219</v>
      </c>
      <c r="J1132" s="18" t="s">
        <v>146</v>
      </c>
      <c r="K1132" s="29">
        <f t="shared" si="2"/>
        <v>60</v>
      </c>
    </row>
    <row r="1133" ht="15.75" customHeight="1">
      <c r="A1133" s="18" t="s">
        <v>3855</v>
      </c>
      <c r="B1133" s="18">
        <v>1977.0</v>
      </c>
      <c r="C1133" s="18" t="s">
        <v>517</v>
      </c>
      <c r="D1133" s="18">
        <v>12.0</v>
      </c>
      <c r="E1133" s="18" t="str">
        <f t="shared" si="1"/>
        <v>12/10/77</v>
      </c>
      <c r="F1133" s="18">
        <v>2.0</v>
      </c>
      <c r="G1133" s="27">
        <v>9315.41</v>
      </c>
      <c r="H1133" s="18" t="s">
        <v>140</v>
      </c>
      <c r="I1133" s="18" t="s">
        <v>219</v>
      </c>
      <c r="J1133" s="18" t="s">
        <v>2024</v>
      </c>
      <c r="K1133" s="29">
        <f t="shared" si="2"/>
        <v>45</v>
      </c>
    </row>
    <row r="1134" ht="15.75" customHeight="1">
      <c r="A1134" s="18" t="s">
        <v>3852</v>
      </c>
      <c r="B1134" s="18">
        <v>1988.0</v>
      </c>
      <c r="C1134" s="18" t="s">
        <v>91</v>
      </c>
      <c r="D1134" s="18">
        <v>9.0</v>
      </c>
      <c r="E1134" s="18" t="str">
        <f t="shared" si="1"/>
        <v>09/07/88</v>
      </c>
      <c r="F1134" s="18">
        <v>3.0</v>
      </c>
      <c r="G1134" s="27">
        <v>9320.26</v>
      </c>
      <c r="H1134" s="18" t="s">
        <v>140</v>
      </c>
      <c r="I1134" s="18" t="s">
        <v>219</v>
      </c>
      <c r="J1134" s="18" t="s">
        <v>325</v>
      </c>
      <c r="K1134" s="29">
        <f t="shared" si="2"/>
        <v>34</v>
      </c>
    </row>
    <row r="1135" ht="15.75" customHeight="1">
      <c r="A1135" s="18" t="s">
        <v>3848</v>
      </c>
      <c r="B1135" s="18">
        <v>1996.0</v>
      </c>
      <c r="C1135" s="18" t="s">
        <v>517</v>
      </c>
      <c r="D1135" s="18">
        <v>12.0</v>
      </c>
      <c r="E1135" s="18" t="str">
        <f t="shared" si="1"/>
        <v>12/10/96</v>
      </c>
      <c r="F1135" s="18">
        <v>0.0</v>
      </c>
      <c r="G1135" s="27">
        <v>9338.61</v>
      </c>
      <c r="H1135" s="18" t="s">
        <v>140</v>
      </c>
      <c r="I1135" s="18" t="s">
        <v>219</v>
      </c>
      <c r="J1135" s="18" t="s">
        <v>3559</v>
      </c>
      <c r="K1135" s="29">
        <f t="shared" si="2"/>
        <v>26</v>
      </c>
    </row>
    <row r="1136" ht="15.75" customHeight="1">
      <c r="A1136" s="18" t="s">
        <v>3845</v>
      </c>
      <c r="B1136" s="18">
        <v>1988.0</v>
      </c>
      <c r="C1136" s="18" t="s">
        <v>91</v>
      </c>
      <c r="D1136" s="18">
        <v>1.0</v>
      </c>
      <c r="E1136" s="18" t="str">
        <f t="shared" si="1"/>
        <v>01/07/88</v>
      </c>
      <c r="F1136" s="18">
        <v>3.0</v>
      </c>
      <c r="G1136" s="27">
        <v>9344.2</v>
      </c>
      <c r="H1136" s="18" t="s">
        <v>140</v>
      </c>
      <c r="I1136" s="18" t="s">
        <v>219</v>
      </c>
      <c r="J1136" s="18" t="s">
        <v>2314</v>
      </c>
      <c r="K1136" s="29">
        <f t="shared" si="2"/>
        <v>34</v>
      </c>
    </row>
    <row r="1137" ht="15.75" customHeight="1">
      <c r="A1137" s="18" t="s">
        <v>3841</v>
      </c>
      <c r="B1137" s="18">
        <v>1971.0</v>
      </c>
      <c r="C1137" s="18" t="s">
        <v>517</v>
      </c>
      <c r="D1137" s="18">
        <v>8.0</v>
      </c>
      <c r="E1137" s="18" t="str">
        <f t="shared" si="1"/>
        <v>08/10/71</v>
      </c>
      <c r="F1137" s="18">
        <v>0.0</v>
      </c>
      <c r="G1137" s="27">
        <v>9361.33</v>
      </c>
      <c r="H1137" s="18" t="s">
        <v>142</v>
      </c>
      <c r="I1137" s="18" t="s">
        <v>219</v>
      </c>
      <c r="J1137" s="18" t="s">
        <v>1427</v>
      </c>
      <c r="K1137" s="29">
        <f t="shared" si="2"/>
        <v>51</v>
      </c>
    </row>
    <row r="1138" ht="15.75" customHeight="1">
      <c r="A1138" s="18" t="s">
        <v>3837</v>
      </c>
      <c r="B1138" s="18">
        <v>1969.0</v>
      </c>
      <c r="C1138" s="18" t="s">
        <v>209</v>
      </c>
      <c r="D1138" s="18">
        <v>24.0</v>
      </c>
      <c r="E1138" s="18" t="str">
        <f t="shared" si="1"/>
        <v>24/11/69</v>
      </c>
      <c r="F1138" s="18">
        <v>0.0</v>
      </c>
      <c r="G1138" s="27">
        <v>9377.45</v>
      </c>
      <c r="H1138" s="18" t="s">
        <v>140</v>
      </c>
      <c r="I1138" s="18" t="s">
        <v>142</v>
      </c>
      <c r="J1138" s="18" t="s">
        <v>146</v>
      </c>
      <c r="K1138" s="29">
        <f t="shared" si="2"/>
        <v>53</v>
      </c>
    </row>
    <row r="1139" ht="15.75" customHeight="1">
      <c r="A1139" s="18" t="s">
        <v>3836</v>
      </c>
      <c r="B1139" s="18">
        <v>1971.0</v>
      </c>
      <c r="C1139" s="18" t="s">
        <v>209</v>
      </c>
      <c r="D1139" s="18">
        <v>26.0</v>
      </c>
      <c r="E1139" s="18" t="str">
        <f t="shared" si="1"/>
        <v>26/11/71</v>
      </c>
      <c r="F1139" s="18">
        <v>1.0</v>
      </c>
      <c r="G1139" s="27">
        <v>9377.9</v>
      </c>
      <c r="H1139" s="18" t="s">
        <v>140</v>
      </c>
      <c r="I1139" s="18" t="s">
        <v>219</v>
      </c>
      <c r="J1139" s="18" t="s">
        <v>146</v>
      </c>
      <c r="K1139" s="29">
        <f t="shared" si="2"/>
        <v>51</v>
      </c>
    </row>
    <row r="1140" ht="15.75" customHeight="1">
      <c r="A1140" s="18" t="s">
        <v>3833</v>
      </c>
      <c r="B1140" s="18">
        <v>1975.0</v>
      </c>
      <c r="C1140" s="18" t="s">
        <v>457</v>
      </c>
      <c r="D1140" s="18">
        <v>2.0</v>
      </c>
      <c r="E1140" s="18" t="str">
        <f t="shared" si="1"/>
        <v>02/12/75</v>
      </c>
      <c r="F1140" s="18">
        <v>1.0</v>
      </c>
      <c r="G1140" s="27">
        <v>9380.75</v>
      </c>
      <c r="H1140" s="18" t="s">
        <v>140</v>
      </c>
      <c r="I1140" s="18" t="s">
        <v>140</v>
      </c>
      <c r="J1140" s="18" t="s">
        <v>2024</v>
      </c>
      <c r="K1140" s="29">
        <f t="shared" si="2"/>
        <v>47</v>
      </c>
    </row>
    <row r="1141" ht="15.75" customHeight="1">
      <c r="A1141" s="18" t="s">
        <v>3829</v>
      </c>
      <c r="B1141" s="18">
        <v>1971.0</v>
      </c>
      <c r="C1141" s="18" t="s">
        <v>457</v>
      </c>
      <c r="D1141" s="18">
        <v>29.0</v>
      </c>
      <c r="E1141" s="18" t="str">
        <f t="shared" si="1"/>
        <v>29/12/71</v>
      </c>
      <c r="F1141" s="18">
        <v>1.0</v>
      </c>
      <c r="G1141" s="27">
        <v>9386.16</v>
      </c>
      <c r="H1141" s="18" t="s">
        <v>142</v>
      </c>
      <c r="I1141" s="18" t="s">
        <v>140</v>
      </c>
      <c r="J1141" s="18" t="s">
        <v>146</v>
      </c>
      <c r="K1141" s="29">
        <f t="shared" si="2"/>
        <v>51</v>
      </c>
    </row>
    <row r="1142" ht="15.75" customHeight="1">
      <c r="A1142" s="18" t="s">
        <v>3827</v>
      </c>
      <c r="B1142" s="18">
        <v>1971.0</v>
      </c>
      <c r="C1142" s="18" t="s">
        <v>517</v>
      </c>
      <c r="D1142" s="18">
        <v>20.0</v>
      </c>
      <c r="E1142" s="18" t="str">
        <f t="shared" si="1"/>
        <v>20/10/71</v>
      </c>
      <c r="F1142" s="18">
        <v>1.0</v>
      </c>
      <c r="G1142" s="27">
        <v>9391.35</v>
      </c>
      <c r="H1142" s="18" t="s">
        <v>142</v>
      </c>
      <c r="I1142" s="18" t="s">
        <v>142</v>
      </c>
      <c r="J1142" s="18" t="s">
        <v>570</v>
      </c>
      <c r="K1142" s="29">
        <f t="shared" si="2"/>
        <v>51</v>
      </c>
    </row>
    <row r="1143" ht="15.75" customHeight="1">
      <c r="A1143" s="18" t="s">
        <v>3823</v>
      </c>
      <c r="B1143" s="18">
        <v>1976.0</v>
      </c>
      <c r="C1143" s="18" t="s">
        <v>517</v>
      </c>
      <c r="D1143" s="18">
        <v>17.0</v>
      </c>
      <c r="E1143" s="18" t="str">
        <f t="shared" si="1"/>
        <v>17/10/76</v>
      </c>
      <c r="F1143" s="18">
        <v>2.0</v>
      </c>
      <c r="G1143" s="27">
        <v>9411.01</v>
      </c>
      <c r="H1143" s="18" t="s">
        <v>140</v>
      </c>
      <c r="I1143" s="18" t="s">
        <v>142</v>
      </c>
      <c r="J1143" s="18" t="s">
        <v>2024</v>
      </c>
      <c r="K1143" s="29">
        <f t="shared" si="2"/>
        <v>46</v>
      </c>
    </row>
    <row r="1144" ht="15.75" customHeight="1">
      <c r="A1144" s="18" t="s">
        <v>3820</v>
      </c>
      <c r="B1144" s="18">
        <v>1976.0</v>
      </c>
      <c r="C1144" s="18" t="s">
        <v>517</v>
      </c>
      <c r="D1144" s="18">
        <v>30.0</v>
      </c>
      <c r="E1144" s="18" t="str">
        <f t="shared" si="1"/>
        <v>30/10/76</v>
      </c>
      <c r="F1144" s="18">
        <v>3.0</v>
      </c>
      <c r="G1144" s="27">
        <v>9414.92</v>
      </c>
      <c r="H1144" s="18" t="s">
        <v>140</v>
      </c>
      <c r="I1144" s="18" t="s">
        <v>140</v>
      </c>
      <c r="J1144" s="18" t="s">
        <v>570</v>
      </c>
      <c r="K1144" s="29">
        <f t="shared" si="2"/>
        <v>46</v>
      </c>
    </row>
    <row r="1145" ht="15.75" customHeight="1">
      <c r="A1145" s="18" t="s">
        <v>3816</v>
      </c>
      <c r="B1145" s="18">
        <v>1976.0</v>
      </c>
      <c r="C1145" s="18" t="s">
        <v>209</v>
      </c>
      <c r="D1145" s="18">
        <v>3.0</v>
      </c>
      <c r="E1145" s="18" t="str">
        <f t="shared" si="1"/>
        <v>03/11/76</v>
      </c>
      <c r="F1145" s="18">
        <v>2.0</v>
      </c>
      <c r="G1145" s="27">
        <v>9432.93</v>
      </c>
      <c r="H1145" s="18" t="s">
        <v>140</v>
      </c>
      <c r="I1145" s="18" t="s">
        <v>219</v>
      </c>
      <c r="J1145" s="18" t="s">
        <v>2024</v>
      </c>
      <c r="K1145" s="29">
        <f t="shared" si="2"/>
        <v>46</v>
      </c>
    </row>
    <row r="1146" ht="15.75" customHeight="1">
      <c r="A1146" s="18" t="s">
        <v>3814</v>
      </c>
      <c r="B1146" s="18">
        <v>1974.0</v>
      </c>
      <c r="C1146" s="18" t="s">
        <v>209</v>
      </c>
      <c r="D1146" s="18">
        <v>27.0</v>
      </c>
      <c r="E1146" s="18" t="str">
        <f t="shared" si="1"/>
        <v>27/11/74</v>
      </c>
      <c r="F1146" s="18">
        <v>1.0</v>
      </c>
      <c r="G1146" s="27">
        <v>9447.25</v>
      </c>
      <c r="H1146" s="18" t="s">
        <v>140</v>
      </c>
      <c r="I1146" s="18" t="s">
        <v>219</v>
      </c>
      <c r="J1146" s="18" t="s">
        <v>2024</v>
      </c>
      <c r="K1146" s="29">
        <f t="shared" si="2"/>
        <v>48</v>
      </c>
    </row>
    <row r="1147" ht="15.75" customHeight="1">
      <c r="A1147" s="18" t="s">
        <v>3811</v>
      </c>
      <c r="B1147" s="18">
        <v>1974.0</v>
      </c>
      <c r="C1147" s="18" t="s">
        <v>241</v>
      </c>
      <c r="D1147" s="18">
        <v>8.0</v>
      </c>
      <c r="E1147" s="18" t="str">
        <f t="shared" si="1"/>
        <v>08/06/74</v>
      </c>
      <c r="F1147" s="18">
        <v>1.0</v>
      </c>
      <c r="G1147" s="27">
        <v>9447.38</v>
      </c>
      <c r="H1147" s="18" t="s">
        <v>140</v>
      </c>
      <c r="I1147" s="18" t="s">
        <v>142</v>
      </c>
      <c r="J1147" s="18" t="s">
        <v>2024</v>
      </c>
      <c r="K1147" s="29">
        <f t="shared" si="2"/>
        <v>49</v>
      </c>
    </row>
    <row r="1148" ht="15.75" customHeight="1">
      <c r="A1148" s="18" t="s">
        <v>3808</v>
      </c>
      <c r="B1148" s="18">
        <v>1987.0</v>
      </c>
      <c r="C1148" s="18" t="s">
        <v>209</v>
      </c>
      <c r="D1148" s="18">
        <v>14.0</v>
      </c>
      <c r="E1148" s="18" t="str">
        <f t="shared" si="1"/>
        <v>14/11/87</v>
      </c>
      <c r="F1148" s="18">
        <v>3.0</v>
      </c>
      <c r="G1148" s="27">
        <v>9448.42</v>
      </c>
      <c r="H1148" s="18" t="s">
        <v>140</v>
      </c>
      <c r="I1148" s="18" t="s">
        <v>142</v>
      </c>
      <c r="J1148" s="18" t="s">
        <v>2314</v>
      </c>
      <c r="K1148" s="29">
        <f t="shared" si="2"/>
        <v>35</v>
      </c>
    </row>
    <row r="1149" ht="15.75" customHeight="1">
      <c r="A1149" s="18" t="s">
        <v>3804</v>
      </c>
      <c r="B1149" s="18">
        <v>1979.0</v>
      </c>
      <c r="C1149" s="18" t="s">
        <v>91</v>
      </c>
      <c r="D1149" s="18">
        <v>17.0</v>
      </c>
      <c r="E1149" s="18" t="str">
        <f t="shared" si="1"/>
        <v>17/07/79</v>
      </c>
      <c r="F1149" s="18">
        <v>2.0</v>
      </c>
      <c r="G1149" s="27">
        <v>9453.92</v>
      </c>
      <c r="H1149" s="18" t="s">
        <v>140</v>
      </c>
      <c r="I1149" s="18" t="s">
        <v>140</v>
      </c>
      <c r="J1149" s="18" t="s">
        <v>2314</v>
      </c>
      <c r="K1149" s="29">
        <f t="shared" si="2"/>
        <v>43</v>
      </c>
    </row>
    <row r="1150" ht="15.75" customHeight="1">
      <c r="A1150" s="18" t="s">
        <v>3800</v>
      </c>
      <c r="B1150" s="18">
        <v>1969.0</v>
      </c>
      <c r="C1150" s="18" t="s">
        <v>241</v>
      </c>
      <c r="D1150" s="18">
        <v>4.0</v>
      </c>
      <c r="E1150" s="18" t="str">
        <f t="shared" si="1"/>
        <v>04/06/69</v>
      </c>
      <c r="F1150" s="18">
        <v>0.0</v>
      </c>
      <c r="G1150" s="27">
        <v>9487.64</v>
      </c>
      <c r="H1150" s="18" t="s">
        <v>140</v>
      </c>
      <c r="I1150" s="18" t="s">
        <v>140</v>
      </c>
      <c r="J1150" s="18" t="s">
        <v>146</v>
      </c>
      <c r="K1150" s="29">
        <f t="shared" si="2"/>
        <v>54</v>
      </c>
    </row>
    <row r="1151" ht="15.75" customHeight="1">
      <c r="A1151" s="18" t="s">
        <v>3796</v>
      </c>
      <c r="B1151" s="18">
        <v>1976.0</v>
      </c>
      <c r="C1151" s="18" t="s">
        <v>209</v>
      </c>
      <c r="D1151" s="18">
        <v>28.0</v>
      </c>
      <c r="E1151" s="18" t="str">
        <f t="shared" si="1"/>
        <v>28/11/76</v>
      </c>
      <c r="F1151" s="18">
        <v>3.0</v>
      </c>
      <c r="G1151" s="27">
        <v>9500.57</v>
      </c>
      <c r="H1151" s="18" t="s">
        <v>140</v>
      </c>
      <c r="I1151" s="18" t="s">
        <v>142</v>
      </c>
      <c r="J1151" s="18" t="s">
        <v>2617</v>
      </c>
      <c r="K1151" s="29">
        <f t="shared" si="2"/>
        <v>46</v>
      </c>
    </row>
    <row r="1152" ht="15.75" customHeight="1">
      <c r="A1152" s="18" t="s">
        <v>3794</v>
      </c>
      <c r="B1152" s="18">
        <v>1969.0</v>
      </c>
      <c r="C1152" s="18" t="s">
        <v>501</v>
      </c>
      <c r="D1152" s="18">
        <v>24.0</v>
      </c>
      <c r="E1152" s="18" t="str">
        <f t="shared" si="1"/>
        <v>24/08/69</v>
      </c>
      <c r="F1152" s="18">
        <v>0.0</v>
      </c>
      <c r="G1152" s="27">
        <v>9504.31</v>
      </c>
      <c r="H1152" s="18" t="s">
        <v>142</v>
      </c>
      <c r="I1152" s="18" t="s">
        <v>140</v>
      </c>
      <c r="J1152" s="18" t="s">
        <v>146</v>
      </c>
      <c r="K1152" s="29">
        <f t="shared" si="2"/>
        <v>53</v>
      </c>
    </row>
    <row r="1153" ht="15.75" customHeight="1">
      <c r="A1153" s="18" t="s">
        <v>3789</v>
      </c>
      <c r="B1153" s="18">
        <v>1992.0</v>
      </c>
      <c r="C1153" s="18" t="s">
        <v>501</v>
      </c>
      <c r="D1153" s="18">
        <v>22.0</v>
      </c>
      <c r="E1153" s="18" t="str">
        <f t="shared" si="1"/>
        <v>22/08/92</v>
      </c>
      <c r="F1153" s="18">
        <v>0.0</v>
      </c>
      <c r="G1153" s="27">
        <v>9507.68</v>
      </c>
      <c r="H1153" s="18" t="s">
        <v>140</v>
      </c>
      <c r="I1153" s="18" t="s">
        <v>219</v>
      </c>
      <c r="J1153" s="18" t="s">
        <v>325</v>
      </c>
      <c r="K1153" s="29">
        <f t="shared" si="2"/>
        <v>30</v>
      </c>
    </row>
    <row r="1154" ht="15.75" customHeight="1">
      <c r="A1154" s="18" t="s">
        <v>3787</v>
      </c>
      <c r="B1154" s="18">
        <v>1971.0</v>
      </c>
      <c r="C1154" s="18" t="s">
        <v>209</v>
      </c>
      <c r="D1154" s="18">
        <v>29.0</v>
      </c>
      <c r="E1154" s="18" t="str">
        <f t="shared" si="1"/>
        <v>29/11/71</v>
      </c>
      <c r="F1154" s="18">
        <v>0.0</v>
      </c>
      <c r="G1154" s="27">
        <v>9528.9</v>
      </c>
      <c r="H1154" s="18" t="s">
        <v>140</v>
      </c>
      <c r="I1154" s="18" t="s">
        <v>140</v>
      </c>
      <c r="J1154" s="18" t="s">
        <v>570</v>
      </c>
      <c r="K1154" s="29">
        <f t="shared" si="2"/>
        <v>51</v>
      </c>
    </row>
    <row r="1155" ht="15.75" customHeight="1">
      <c r="A1155" s="18" t="s">
        <v>3783</v>
      </c>
      <c r="B1155" s="18">
        <v>1973.0</v>
      </c>
      <c r="C1155" s="18" t="s">
        <v>457</v>
      </c>
      <c r="D1155" s="18">
        <v>21.0</v>
      </c>
      <c r="E1155" s="18" t="str">
        <f t="shared" si="1"/>
        <v>21/12/73</v>
      </c>
      <c r="F1155" s="18">
        <v>0.0</v>
      </c>
      <c r="G1155" s="27">
        <v>9538.65</v>
      </c>
      <c r="H1155" s="18" t="s">
        <v>140</v>
      </c>
      <c r="I1155" s="18" t="s">
        <v>142</v>
      </c>
      <c r="J1155" s="18" t="s">
        <v>2314</v>
      </c>
      <c r="K1155" s="29">
        <f t="shared" si="2"/>
        <v>49</v>
      </c>
    </row>
    <row r="1156" ht="15.75" customHeight="1">
      <c r="A1156" s="18" t="s">
        <v>3779</v>
      </c>
      <c r="B1156" s="18">
        <v>1975.0</v>
      </c>
      <c r="C1156" s="18" t="s">
        <v>91</v>
      </c>
      <c r="D1156" s="18">
        <v>28.0</v>
      </c>
      <c r="E1156" s="18" t="str">
        <f t="shared" si="1"/>
        <v>28/07/75</v>
      </c>
      <c r="F1156" s="18">
        <v>1.0</v>
      </c>
      <c r="G1156" s="27">
        <v>9540.17</v>
      </c>
      <c r="H1156" s="18" t="s">
        <v>140</v>
      </c>
      <c r="I1156" s="18" t="s">
        <v>140</v>
      </c>
      <c r="J1156" s="18" t="s">
        <v>2024</v>
      </c>
      <c r="K1156" s="29">
        <f t="shared" si="2"/>
        <v>47</v>
      </c>
    </row>
    <row r="1157" ht="15.75" customHeight="1">
      <c r="A1157" s="18" t="s">
        <v>3775</v>
      </c>
      <c r="B1157" s="18">
        <v>1972.0</v>
      </c>
      <c r="C1157" s="18" t="s">
        <v>272</v>
      </c>
      <c r="D1157" s="18">
        <v>22.0</v>
      </c>
      <c r="E1157" s="18" t="str">
        <f t="shared" si="1"/>
        <v>22/09/72</v>
      </c>
      <c r="F1157" s="18">
        <v>0.0</v>
      </c>
      <c r="G1157" s="27">
        <v>9541.7</v>
      </c>
      <c r="H1157" s="18" t="s">
        <v>140</v>
      </c>
      <c r="I1157" s="18" t="s">
        <v>219</v>
      </c>
      <c r="J1157" s="18" t="s">
        <v>2024</v>
      </c>
      <c r="K1157" s="29">
        <f t="shared" si="2"/>
        <v>50</v>
      </c>
    </row>
    <row r="1158" ht="15.75" customHeight="1">
      <c r="A1158" s="18" t="s">
        <v>3771</v>
      </c>
      <c r="B1158" s="18">
        <v>1972.0</v>
      </c>
      <c r="C1158" s="18" t="s">
        <v>272</v>
      </c>
      <c r="D1158" s="18">
        <v>22.0</v>
      </c>
      <c r="E1158" s="18" t="str">
        <f t="shared" si="1"/>
        <v>22/09/72</v>
      </c>
      <c r="F1158" s="18">
        <v>1.0</v>
      </c>
      <c r="G1158" s="27">
        <v>9549.57</v>
      </c>
      <c r="H1158" s="18" t="s">
        <v>140</v>
      </c>
      <c r="I1158" s="18" t="s">
        <v>219</v>
      </c>
      <c r="J1158" s="18" t="s">
        <v>146</v>
      </c>
      <c r="K1158" s="29">
        <f t="shared" si="2"/>
        <v>50</v>
      </c>
    </row>
    <row r="1159" ht="15.75" customHeight="1">
      <c r="A1159" s="18" t="s">
        <v>3769</v>
      </c>
      <c r="B1159" s="18">
        <v>1974.0</v>
      </c>
      <c r="C1159" s="18" t="s">
        <v>501</v>
      </c>
      <c r="D1159" s="18">
        <v>14.0</v>
      </c>
      <c r="E1159" s="18" t="str">
        <f t="shared" si="1"/>
        <v>14/08/74</v>
      </c>
      <c r="F1159" s="18">
        <v>3.0</v>
      </c>
      <c r="G1159" s="27">
        <v>9563.03</v>
      </c>
      <c r="H1159" s="18" t="s">
        <v>142</v>
      </c>
      <c r="I1159" s="18" t="s">
        <v>219</v>
      </c>
      <c r="J1159" s="18" t="s">
        <v>570</v>
      </c>
      <c r="K1159" s="29">
        <f t="shared" si="2"/>
        <v>48</v>
      </c>
    </row>
    <row r="1160" ht="15.75" customHeight="1">
      <c r="A1160" s="18" t="s">
        <v>3766</v>
      </c>
      <c r="B1160" s="18">
        <v>1973.0</v>
      </c>
      <c r="C1160" s="18" t="s">
        <v>457</v>
      </c>
      <c r="D1160" s="18">
        <v>1.0</v>
      </c>
      <c r="E1160" s="18" t="str">
        <f t="shared" si="1"/>
        <v>01/12/73</v>
      </c>
      <c r="F1160" s="18">
        <v>1.0</v>
      </c>
      <c r="G1160" s="27">
        <v>9566.99</v>
      </c>
      <c r="H1160" s="18" t="s">
        <v>140</v>
      </c>
      <c r="I1160" s="18" t="s">
        <v>219</v>
      </c>
      <c r="J1160" s="18" t="s">
        <v>325</v>
      </c>
      <c r="K1160" s="29">
        <f t="shared" si="2"/>
        <v>49</v>
      </c>
    </row>
    <row r="1161" ht="15.75" customHeight="1">
      <c r="A1161" s="18" t="s">
        <v>3763</v>
      </c>
      <c r="B1161" s="18">
        <v>1966.0</v>
      </c>
      <c r="C1161" s="18" t="s">
        <v>457</v>
      </c>
      <c r="D1161" s="18">
        <v>4.0</v>
      </c>
      <c r="E1161" s="18" t="str">
        <f t="shared" si="1"/>
        <v>04/12/66</v>
      </c>
      <c r="F1161" s="18">
        <v>0.0</v>
      </c>
      <c r="G1161" s="27">
        <v>9582.54</v>
      </c>
      <c r="H1161" s="18" t="s">
        <v>142</v>
      </c>
      <c r="I1161" s="18" t="s">
        <v>140</v>
      </c>
      <c r="J1161" s="18" t="s">
        <v>146</v>
      </c>
      <c r="K1161" s="29">
        <f t="shared" si="2"/>
        <v>56</v>
      </c>
    </row>
    <row r="1162" ht="15.75" customHeight="1">
      <c r="A1162" s="18" t="s">
        <v>3759</v>
      </c>
      <c r="B1162" s="18">
        <v>1973.0</v>
      </c>
      <c r="C1162" s="18" t="s">
        <v>209</v>
      </c>
      <c r="D1162" s="18">
        <v>28.0</v>
      </c>
      <c r="E1162" s="18" t="str">
        <f t="shared" si="1"/>
        <v>28/11/73</v>
      </c>
      <c r="F1162" s="18">
        <v>1.0</v>
      </c>
      <c r="G1162" s="27">
        <v>9583.89</v>
      </c>
      <c r="H1162" s="18" t="s">
        <v>140</v>
      </c>
      <c r="I1162" s="18" t="s">
        <v>142</v>
      </c>
      <c r="J1162" s="18" t="s">
        <v>325</v>
      </c>
      <c r="K1162" s="29">
        <f t="shared" si="2"/>
        <v>49</v>
      </c>
    </row>
    <row r="1163" ht="15.75" customHeight="1">
      <c r="A1163" s="18" t="s">
        <v>3755</v>
      </c>
      <c r="B1163" s="18">
        <v>1981.0</v>
      </c>
      <c r="C1163" s="18" t="s">
        <v>517</v>
      </c>
      <c r="D1163" s="18">
        <v>18.0</v>
      </c>
      <c r="E1163" s="18" t="str">
        <f t="shared" si="1"/>
        <v>18/10/81</v>
      </c>
      <c r="F1163" s="18">
        <v>1.0</v>
      </c>
      <c r="G1163" s="27">
        <v>9584.04</v>
      </c>
      <c r="H1163" s="18" t="s">
        <v>140</v>
      </c>
      <c r="I1163" s="18" t="s">
        <v>219</v>
      </c>
      <c r="J1163" s="18" t="s">
        <v>2314</v>
      </c>
      <c r="K1163" s="29">
        <f t="shared" si="2"/>
        <v>41</v>
      </c>
    </row>
    <row r="1164" ht="15.75" customHeight="1">
      <c r="A1164" s="18" t="s">
        <v>3751</v>
      </c>
      <c r="B1164" s="18">
        <v>1964.0</v>
      </c>
      <c r="C1164" s="18" t="s">
        <v>457</v>
      </c>
      <c r="D1164" s="18">
        <v>15.0</v>
      </c>
      <c r="E1164" s="18" t="str">
        <f t="shared" si="1"/>
        <v>15/12/64</v>
      </c>
      <c r="F1164" s="18">
        <v>0.0</v>
      </c>
      <c r="G1164" s="27">
        <v>9597.63</v>
      </c>
      <c r="H1164" s="18" t="s">
        <v>142</v>
      </c>
      <c r="I1164" s="18" t="s">
        <v>142</v>
      </c>
      <c r="J1164" s="18" t="s">
        <v>146</v>
      </c>
      <c r="K1164" s="29">
        <f t="shared" si="2"/>
        <v>58</v>
      </c>
    </row>
    <row r="1165" ht="15.75" customHeight="1">
      <c r="A1165" s="18" t="s">
        <v>3748</v>
      </c>
      <c r="B1165" s="18">
        <v>1972.0</v>
      </c>
      <c r="C1165" s="18" t="s">
        <v>457</v>
      </c>
      <c r="D1165" s="18">
        <v>27.0</v>
      </c>
      <c r="E1165" s="18" t="str">
        <f t="shared" si="1"/>
        <v>27/12/72</v>
      </c>
      <c r="F1165" s="18">
        <v>1.0</v>
      </c>
      <c r="G1165" s="27">
        <v>9617.66</v>
      </c>
      <c r="H1165" s="18" t="s">
        <v>142</v>
      </c>
      <c r="I1165" s="18" t="s">
        <v>142</v>
      </c>
      <c r="J1165" s="18" t="s">
        <v>1427</v>
      </c>
      <c r="K1165" s="29">
        <f t="shared" si="2"/>
        <v>50</v>
      </c>
    </row>
    <row r="1166" ht="15.75" customHeight="1">
      <c r="A1166" s="18" t="s">
        <v>3744</v>
      </c>
      <c r="B1166" s="18">
        <v>1982.0</v>
      </c>
      <c r="C1166" s="18" t="s">
        <v>501</v>
      </c>
      <c r="D1166" s="18">
        <v>29.0</v>
      </c>
      <c r="E1166" s="18" t="str">
        <f t="shared" si="1"/>
        <v>29/08/82</v>
      </c>
      <c r="F1166" s="18">
        <v>3.0</v>
      </c>
      <c r="G1166" s="27">
        <v>9619.18</v>
      </c>
      <c r="H1166" s="18" t="s">
        <v>140</v>
      </c>
      <c r="I1166" s="18" t="s">
        <v>219</v>
      </c>
      <c r="J1166" s="18" t="s">
        <v>1647</v>
      </c>
      <c r="K1166" s="29">
        <f t="shared" si="2"/>
        <v>40</v>
      </c>
    </row>
    <row r="1167" ht="15.75" customHeight="1">
      <c r="A1167" s="18" t="s">
        <v>3740</v>
      </c>
      <c r="B1167" s="18">
        <v>1975.0</v>
      </c>
      <c r="C1167" s="18" t="s">
        <v>517</v>
      </c>
      <c r="D1167" s="18">
        <v>29.0</v>
      </c>
      <c r="E1167" s="18" t="str">
        <f t="shared" si="1"/>
        <v>29/10/75</v>
      </c>
      <c r="F1167" s="18">
        <v>3.0</v>
      </c>
      <c r="G1167" s="27">
        <v>9620.33</v>
      </c>
      <c r="H1167" s="18" t="s">
        <v>142</v>
      </c>
      <c r="I1167" s="18" t="s">
        <v>142</v>
      </c>
      <c r="J1167" s="18" t="s">
        <v>325</v>
      </c>
      <c r="K1167" s="29">
        <f t="shared" si="2"/>
        <v>47</v>
      </c>
    </row>
    <row r="1168" ht="15.75" customHeight="1">
      <c r="A1168" s="18" t="s">
        <v>3736</v>
      </c>
      <c r="B1168" s="18">
        <v>1970.0</v>
      </c>
      <c r="C1168" s="18" t="s">
        <v>457</v>
      </c>
      <c r="D1168" s="18">
        <v>16.0</v>
      </c>
      <c r="E1168" s="18" t="str">
        <f t="shared" si="1"/>
        <v>16/12/70</v>
      </c>
      <c r="F1168" s="18">
        <v>0.0</v>
      </c>
      <c r="G1168" s="27">
        <v>9625.92</v>
      </c>
      <c r="H1168" s="18" t="s">
        <v>140</v>
      </c>
      <c r="I1168" s="18" t="s">
        <v>142</v>
      </c>
      <c r="J1168" s="18" t="s">
        <v>570</v>
      </c>
      <c r="K1168" s="29">
        <f t="shared" si="2"/>
        <v>52</v>
      </c>
    </row>
    <row r="1169" ht="15.75" customHeight="1">
      <c r="A1169" s="18" t="s">
        <v>3733</v>
      </c>
      <c r="B1169" s="18">
        <v>1998.0</v>
      </c>
      <c r="C1169" s="18" t="s">
        <v>241</v>
      </c>
      <c r="D1169" s="18">
        <v>23.0</v>
      </c>
      <c r="E1169" s="18" t="str">
        <f t="shared" si="1"/>
        <v>23/06/98</v>
      </c>
      <c r="F1169" s="18">
        <v>0.0</v>
      </c>
      <c r="G1169" s="27">
        <v>9628.79</v>
      </c>
      <c r="H1169" s="18" t="s">
        <v>140</v>
      </c>
      <c r="I1169" s="18" t="s">
        <v>140</v>
      </c>
      <c r="J1169" s="18" t="s">
        <v>3559</v>
      </c>
      <c r="K1169" s="29">
        <f t="shared" si="2"/>
        <v>24</v>
      </c>
    </row>
    <row r="1170" ht="15.75" customHeight="1">
      <c r="A1170" s="18" t="s">
        <v>3729</v>
      </c>
      <c r="B1170" s="18">
        <v>1979.0</v>
      </c>
      <c r="C1170" s="18" t="s">
        <v>457</v>
      </c>
      <c r="D1170" s="18">
        <v>19.0</v>
      </c>
      <c r="E1170" s="18" t="str">
        <f t="shared" si="1"/>
        <v>19/12/79</v>
      </c>
      <c r="F1170" s="18">
        <v>2.0</v>
      </c>
      <c r="G1170" s="27">
        <v>9630.3</v>
      </c>
      <c r="H1170" s="18" t="s">
        <v>140</v>
      </c>
      <c r="I1170" s="18" t="s">
        <v>140</v>
      </c>
      <c r="J1170" s="18" t="s">
        <v>2314</v>
      </c>
      <c r="K1170" s="29">
        <f t="shared" si="2"/>
        <v>43</v>
      </c>
    </row>
    <row r="1171" ht="15.75" customHeight="1">
      <c r="A1171" s="18" t="s">
        <v>3725</v>
      </c>
      <c r="B1171" s="18">
        <v>1972.0</v>
      </c>
      <c r="C1171" s="18" t="s">
        <v>517</v>
      </c>
      <c r="D1171" s="18">
        <v>23.0</v>
      </c>
      <c r="E1171" s="18" t="str">
        <f t="shared" si="1"/>
        <v>23/10/72</v>
      </c>
      <c r="F1171" s="18">
        <v>2.0</v>
      </c>
      <c r="G1171" s="27">
        <v>9630.4</v>
      </c>
      <c r="H1171" s="18" t="s">
        <v>140</v>
      </c>
      <c r="I1171" s="18" t="s">
        <v>140</v>
      </c>
      <c r="J1171" s="18" t="s">
        <v>570</v>
      </c>
      <c r="K1171" s="29">
        <f t="shared" si="2"/>
        <v>50</v>
      </c>
    </row>
    <row r="1172" ht="15.75" customHeight="1">
      <c r="A1172" s="18" t="s">
        <v>3721</v>
      </c>
      <c r="B1172" s="18">
        <v>1968.0</v>
      </c>
      <c r="C1172" s="18" t="s">
        <v>241</v>
      </c>
      <c r="D1172" s="18">
        <v>22.0</v>
      </c>
      <c r="E1172" s="18" t="str">
        <f t="shared" si="1"/>
        <v>22/06/68</v>
      </c>
      <c r="F1172" s="18">
        <v>0.0</v>
      </c>
      <c r="G1172" s="27">
        <v>9630.91</v>
      </c>
      <c r="H1172" s="18" t="s">
        <v>142</v>
      </c>
      <c r="I1172" s="18" t="s">
        <v>140</v>
      </c>
      <c r="J1172" s="18" t="s">
        <v>146</v>
      </c>
      <c r="K1172" s="29">
        <f t="shared" si="2"/>
        <v>54</v>
      </c>
    </row>
    <row r="1173" ht="15.75" customHeight="1">
      <c r="A1173" s="18" t="s">
        <v>3718</v>
      </c>
      <c r="B1173" s="18">
        <v>1970.0</v>
      </c>
      <c r="C1173" s="18" t="s">
        <v>272</v>
      </c>
      <c r="D1173" s="18">
        <v>30.0</v>
      </c>
      <c r="E1173" s="18" t="str">
        <f t="shared" si="1"/>
        <v>30/09/70</v>
      </c>
      <c r="F1173" s="18">
        <v>0.0</v>
      </c>
      <c r="G1173" s="27">
        <v>9634.54</v>
      </c>
      <c r="H1173" s="18" t="s">
        <v>140</v>
      </c>
      <c r="I1173" s="18" t="s">
        <v>140</v>
      </c>
      <c r="J1173" s="18" t="s">
        <v>570</v>
      </c>
      <c r="K1173" s="29">
        <f t="shared" si="2"/>
        <v>52</v>
      </c>
    </row>
    <row r="1174" ht="15.75" customHeight="1">
      <c r="A1174" s="18" t="s">
        <v>3716</v>
      </c>
      <c r="B1174" s="18">
        <v>1971.0</v>
      </c>
      <c r="C1174" s="18" t="s">
        <v>91</v>
      </c>
      <c r="D1174" s="18">
        <v>19.0</v>
      </c>
      <c r="E1174" s="18" t="str">
        <f t="shared" si="1"/>
        <v>19/07/71</v>
      </c>
      <c r="F1174" s="18">
        <v>0.0</v>
      </c>
      <c r="G1174" s="27">
        <v>9644.25</v>
      </c>
      <c r="H1174" s="18" t="s">
        <v>140</v>
      </c>
      <c r="I1174" s="18" t="s">
        <v>219</v>
      </c>
      <c r="J1174" s="18" t="s">
        <v>325</v>
      </c>
      <c r="K1174" s="29">
        <f t="shared" si="2"/>
        <v>51</v>
      </c>
    </row>
    <row r="1175" ht="15.75" customHeight="1">
      <c r="A1175" s="18" t="s">
        <v>3710</v>
      </c>
      <c r="B1175" s="18">
        <v>1974.0</v>
      </c>
      <c r="C1175" s="18" t="s">
        <v>91</v>
      </c>
      <c r="D1175" s="18">
        <v>8.0</v>
      </c>
      <c r="E1175" s="18" t="str">
        <f t="shared" si="1"/>
        <v>08/07/74</v>
      </c>
      <c r="F1175" s="18">
        <v>0.0</v>
      </c>
      <c r="G1175" s="27">
        <v>9653.81</v>
      </c>
      <c r="H1175" s="18" t="s">
        <v>140</v>
      </c>
      <c r="I1175" s="18" t="s">
        <v>140</v>
      </c>
      <c r="J1175" s="18" t="s">
        <v>570</v>
      </c>
      <c r="K1175" s="29">
        <f t="shared" si="2"/>
        <v>48</v>
      </c>
    </row>
    <row r="1176" ht="15.75" customHeight="1">
      <c r="A1176" s="18" t="s">
        <v>3706</v>
      </c>
      <c r="B1176" s="18">
        <v>1981.0</v>
      </c>
      <c r="C1176" s="18" t="s">
        <v>501</v>
      </c>
      <c r="D1176" s="18">
        <v>8.0</v>
      </c>
      <c r="E1176" s="18" t="str">
        <f t="shared" si="1"/>
        <v>08/08/81</v>
      </c>
      <c r="F1176" s="18">
        <v>1.0</v>
      </c>
      <c r="G1176" s="27">
        <v>9664.34</v>
      </c>
      <c r="H1176" s="18" t="s">
        <v>140</v>
      </c>
      <c r="I1176" s="18" t="s">
        <v>142</v>
      </c>
      <c r="J1176" s="18" t="s">
        <v>570</v>
      </c>
      <c r="K1176" s="29">
        <f t="shared" si="2"/>
        <v>41</v>
      </c>
    </row>
    <row r="1177" ht="15.75" customHeight="1">
      <c r="A1177" s="18" t="s">
        <v>3702</v>
      </c>
      <c r="B1177" s="18">
        <v>1966.0</v>
      </c>
      <c r="C1177" s="18" t="s">
        <v>272</v>
      </c>
      <c r="D1177" s="18">
        <v>16.0</v>
      </c>
      <c r="E1177" s="18" t="str">
        <f t="shared" si="1"/>
        <v>16/09/66</v>
      </c>
      <c r="F1177" s="18">
        <v>0.0</v>
      </c>
      <c r="G1177" s="27">
        <v>9684.29</v>
      </c>
      <c r="H1177" s="18" t="s">
        <v>142</v>
      </c>
      <c r="I1177" s="18" t="s">
        <v>140</v>
      </c>
      <c r="J1177" s="18" t="s">
        <v>146</v>
      </c>
      <c r="K1177" s="29">
        <f t="shared" si="2"/>
        <v>56</v>
      </c>
    </row>
    <row r="1178" ht="15.75" customHeight="1">
      <c r="A1178" s="18" t="s">
        <v>3698</v>
      </c>
      <c r="B1178" s="18">
        <v>1964.0</v>
      </c>
      <c r="C1178" s="18" t="s">
        <v>209</v>
      </c>
      <c r="D1178" s="18">
        <v>7.0</v>
      </c>
      <c r="E1178" s="18" t="str">
        <f t="shared" si="1"/>
        <v>07/11/64</v>
      </c>
      <c r="F1178" s="18">
        <v>0.0</v>
      </c>
      <c r="G1178" s="27">
        <v>9698.42</v>
      </c>
      <c r="H1178" s="18" t="s">
        <v>142</v>
      </c>
      <c r="I1178" s="18" t="s">
        <v>142</v>
      </c>
      <c r="J1178" s="18" t="s">
        <v>146</v>
      </c>
      <c r="K1178" s="29">
        <f t="shared" si="2"/>
        <v>58</v>
      </c>
    </row>
    <row r="1179" ht="15.75" customHeight="1">
      <c r="A1179" s="18" t="s">
        <v>3695</v>
      </c>
      <c r="B1179" s="18">
        <v>1977.0</v>
      </c>
      <c r="C1179" s="18" t="s">
        <v>272</v>
      </c>
      <c r="D1179" s="18">
        <v>19.0</v>
      </c>
      <c r="E1179" s="18" t="str">
        <f t="shared" si="1"/>
        <v>19/09/77</v>
      </c>
      <c r="F1179" s="18">
        <v>3.0</v>
      </c>
      <c r="G1179" s="27">
        <v>9704.67</v>
      </c>
      <c r="H1179" s="18" t="s">
        <v>140</v>
      </c>
      <c r="I1179" s="18" t="s">
        <v>142</v>
      </c>
      <c r="J1179" s="18" t="s">
        <v>2024</v>
      </c>
      <c r="K1179" s="29">
        <f t="shared" si="2"/>
        <v>45</v>
      </c>
    </row>
    <row r="1180" ht="15.75" customHeight="1">
      <c r="A1180" s="18" t="s">
        <v>3691</v>
      </c>
      <c r="B1180" s="18">
        <v>1972.0</v>
      </c>
      <c r="C1180" s="18" t="s">
        <v>91</v>
      </c>
      <c r="D1180" s="18">
        <v>10.0</v>
      </c>
      <c r="E1180" s="18" t="str">
        <f t="shared" si="1"/>
        <v>10/07/72</v>
      </c>
      <c r="F1180" s="18">
        <v>0.0</v>
      </c>
      <c r="G1180" s="27">
        <v>9710.71</v>
      </c>
      <c r="H1180" s="18" t="s">
        <v>140</v>
      </c>
      <c r="I1180" s="18" t="s">
        <v>219</v>
      </c>
      <c r="J1180" s="18" t="s">
        <v>2314</v>
      </c>
      <c r="K1180" s="29">
        <f t="shared" si="2"/>
        <v>50</v>
      </c>
    </row>
    <row r="1181" ht="15.75" customHeight="1">
      <c r="A1181" s="18" t="s">
        <v>3687</v>
      </c>
      <c r="B1181" s="18">
        <v>1975.0</v>
      </c>
      <c r="C1181" s="18" t="s">
        <v>241</v>
      </c>
      <c r="D1181" s="18">
        <v>27.0</v>
      </c>
      <c r="E1181" s="18" t="str">
        <f t="shared" si="1"/>
        <v>27/06/75</v>
      </c>
      <c r="F1181" s="18">
        <v>2.0</v>
      </c>
      <c r="G1181" s="27">
        <v>9715.84</v>
      </c>
      <c r="H1181" s="18" t="s">
        <v>140</v>
      </c>
      <c r="I1181" s="18" t="s">
        <v>219</v>
      </c>
      <c r="J1181" s="18" t="s">
        <v>2024</v>
      </c>
      <c r="K1181" s="29">
        <f t="shared" si="2"/>
        <v>47</v>
      </c>
    </row>
    <row r="1182" ht="15.75" customHeight="1">
      <c r="A1182" s="18" t="s">
        <v>3683</v>
      </c>
      <c r="B1182" s="18">
        <v>1970.0</v>
      </c>
      <c r="C1182" s="18" t="s">
        <v>272</v>
      </c>
      <c r="D1182" s="18">
        <v>12.0</v>
      </c>
      <c r="E1182" s="18" t="str">
        <f t="shared" si="1"/>
        <v>12/09/70</v>
      </c>
      <c r="F1182" s="18">
        <v>0.0</v>
      </c>
      <c r="G1182" s="27">
        <v>9722.77</v>
      </c>
      <c r="H1182" s="18" t="s">
        <v>142</v>
      </c>
      <c r="I1182" s="18" t="s">
        <v>219</v>
      </c>
      <c r="J1182" s="18" t="s">
        <v>1427</v>
      </c>
      <c r="K1182" s="29">
        <f t="shared" si="2"/>
        <v>52</v>
      </c>
    </row>
    <row r="1183" ht="15.75" customHeight="1">
      <c r="A1183" s="18" t="s">
        <v>3679</v>
      </c>
      <c r="B1183" s="18">
        <v>1970.0</v>
      </c>
      <c r="C1183" s="18" t="s">
        <v>501</v>
      </c>
      <c r="D1183" s="18">
        <v>18.0</v>
      </c>
      <c r="E1183" s="18" t="str">
        <f t="shared" si="1"/>
        <v>18/08/70</v>
      </c>
      <c r="F1183" s="18">
        <v>1.0</v>
      </c>
      <c r="G1183" s="27">
        <v>9724.53</v>
      </c>
      <c r="H1183" s="18" t="s">
        <v>142</v>
      </c>
      <c r="I1183" s="18" t="s">
        <v>219</v>
      </c>
      <c r="J1183" s="18" t="s">
        <v>570</v>
      </c>
      <c r="K1183" s="29">
        <f t="shared" si="2"/>
        <v>52</v>
      </c>
    </row>
    <row r="1184" ht="15.75" customHeight="1">
      <c r="A1184" s="18" t="s">
        <v>3676</v>
      </c>
      <c r="B1184" s="18">
        <v>1970.0</v>
      </c>
      <c r="C1184" s="18" t="s">
        <v>91</v>
      </c>
      <c r="D1184" s="18">
        <v>4.0</v>
      </c>
      <c r="E1184" s="18" t="str">
        <f t="shared" si="1"/>
        <v>04/07/70</v>
      </c>
      <c r="F1184" s="18">
        <v>1.0</v>
      </c>
      <c r="G1184" s="27">
        <v>9748.91</v>
      </c>
      <c r="H1184" s="18" t="s">
        <v>140</v>
      </c>
      <c r="I1184" s="18" t="s">
        <v>219</v>
      </c>
      <c r="J1184" s="18" t="s">
        <v>146</v>
      </c>
      <c r="K1184" s="29">
        <f t="shared" si="2"/>
        <v>52</v>
      </c>
    </row>
    <row r="1185" ht="15.75" customHeight="1">
      <c r="A1185" s="18" t="s">
        <v>3672</v>
      </c>
      <c r="B1185" s="18">
        <v>2001.0</v>
      </c>
      <c r="C1185" s="18" t="s">
        <v>91</v>
      </c>
      <c r="D1185" s="18">
        <v>14.0</v>
      </c>
      <c r="E1185" s="18" t="str">
        <f t="shared" si="1"/>
        <v>14/07/01</v>
      </c>
      <c r="F1185" s="18">
        <v>0.0</v>
      </c>
      <c r="G1185" s="27">
        <v>9753.49</v>
      </c>
      <c r="H1185" s="18" t="s">
        <v>140</v>
      </c>
      <c r="I1185" s="18" t="s">
        <v>140</v>
      </c>
      <c r="J1185" s="18" t="s">
        <v>325</v>
      </c>
      <c r="K1185" s="29">
        <f t="shared" si="2"/>
        <v>21</v>
      </c>
    </row>
    <row r="1186" ht="15.75" customHeight="1">
      <c r="A1186" s="18" t="s">
        <v>3669</v>
      </c>
      <c r="B1186" s="18">
        <v>1965.0</v>
      </c>
      <c r="C1186" s="18" t="s">
        <v>272</v>
      </c>
      <c r="D1186" s="18">
        <v>5.0</v>
      </c>
      <c r="E1186" s="18" t="str">
        <f t="shared" si="1"/>
        <v>05/09/65</v>
      </c>
      <c r="F1186" s="18">
        <v>0.0</v>
      </c>
      <c r="G1186" s="27">
        <v>9764.08</v>
      </c>
      <c r="H1186" s="18" t="s">
        <v>142</v>
      </c>
      <c r="I1186" s="18" t="s">
        <v>219</v>
      </c>
      <c r="J1186" s="18" t="s">
        <v>325</v>
      </c>
      <c r="K1186" s="29">
        <f t="shared" si="2"/>
        <v>57</v>
      </c>
    </row>
    <row r="1187" ht="15.75" customHeight="1">
      <c r="A1187" s="18" t="s">
        <v>3666</v>
      </c>
      <c r="B1187" s="18">
        <v>1973.0</v>
      </c>
      <c r="C1187" s="18" t="s">
        <v>91</v>
      </c>
      <c r="D1187" s="18">
        <v>7.0</v>
      </c>
      <c r="E1187" s="18" t="str">
        <f t="shared" si="1"/>
        <v>07/07/73</v>
      </c>
      <c r="F1187" s="18">
        <v>1.0</v>
      </c>
      <c r="G1187" s="27">
        <v>9778.35</v>
      </c>
      <c r="H1187" s="18" t="s">
        <v>140</v>
      </c>
      <c r="I1187" s="18" t="s">
        <v>140</v>
      </c>
      <c r="J1187" s="18" t="s">
        <v>2024</v>
      </c>
      <c r="K1187" s="29">
        <f t="shared" si="2"/>
        <v>49</v>
      </c>
    </row>
    <row r="1188" ht="15.75" customHeight="1">
      <c r="A1188" s="18" t="s">
        <v>3663</v>
      </c>
      <c r="B1188" s="18">
        <v>1996.0</v>
      </c>
      <c r="C1188" s="18" t="s">
        <v>501</v>
      </c>
      <c r="D1188" s="18">
        <v>8.0</v>
      </c>
      <c r="E1188" s="18" t="str">
        <f t="shared" si="1"/>
        <v>08/08/96</v>
      </c>
      <c r="F1188" s="18">
        <v>0.0</v>
      </c>
      <c r="G1188" s="27">
        <v>9787.32</v>
      </c>
      <c r="H1188" s="18" t="s">
        <v>140</v>
      </c>
      <c r="I1188" s="18" t="s">
        <v>142</v>
      </c>
      <c r="J1188" s="18" t="s">
        <v>2031</v>
      </c>
      <c r="K1188" s="29">
        <f t="shared" si="2"/>
        <v>26</v>
      </c>
    </row>
    <row r="1189" ht="15.75" customHeight="1">
      <c r="A1189" s="18" t="s">
        <v>3660</v>
      </c>
      <c r="B1189" s="18">
        <v>1977.0</v>
      </c>
      <c r="C1189" s="18" t="s">
        <v>241</v>
      </c>
      <c r="D1189" s="18">
        <v>7.0</v>
      </c>
      <c r="E1189" s="18" t="str">
        <f t="shared" si="1"/>
        <v>07/06/77</v>
      </c>
      <c r="F1189" s="18">
        <v>5.0</v>
      </c>
      <c r="G1189" s="27">
        <v>9788.87</v>
      </c>
      <c r="H1189" s="18" t="s">
        <v>142</v>
      </c>
      <c r="I1189" s="18" t="s">
        <v>140</v>
      </c>
      <c r="J1189" s="18" t="s">
        <v>146</v>
      </c>
      <c r="K1189" s="29">
        <f t="shared" si="2"/>
        <v>46</v>
      </c>
    </row>
    <row r="1190" ht="15.75" customHeight="1">
      <c r="A1190" s="18" t="s">
        <v>3657</v>
      </c>
      <c r="B1190" s="18">
        <v>1973.0</v>
      </c>
      <c r="C1190" s="18" t="s">
        <v>272</v>
      </c>
      <c r="D1190" s="18">
        <v>17.0</v>
      </c>
      <c r="E1190" s="18" t="str">
        <f t="shared" si="1"/>
        <v>17/09/73</v>
      </c>
      <c r="F1190" s="18">
        <v>2.0</v>
      </c>
      <c r="G1190" s="27">
        <v>9800.89</v>
      </c>
      <c r="H1190" s="18" t="s">
        <v>140</v>
      </c>
      <c r="I1190" s="18" t="s">
        <v>219</v>
      </c>
      <c r="J1190" s="18" t="s">
        <v>146</v>
      </c>
      <c r="K1190" s="29">
        <f t="shared" si="2"/>
        <v>49</v>
      </c>
    </row>
    <row r="1191" ht="15.75" customHeight="1">
      <c r="A1191" s="18" t="s">
        <v>3654</v>
      </c>
      <c r="B1191" s="18">
        <v>1972.0</v>
      </c>
      <c r="C1191" s="18" t="s">
        <v>241</v>
      </c>
      <c r="D1191" s="18">
        <v>28.0</v>
      </c>
      <c r="E1191" s="18" t="str">
        <f t="shared" si="1"/>
        <v>28/06/72</v>
      </c>
      <c r="F1191" s="18">
        <v>0.0</v>
      </c>
      <c r="G1191" s="27">
        <v>9819.25</v>
      </c>
      <c r="H1191" s="18" t="s">
        <v>140</v>
      </c>
      <c r="I1191" s="18" t="s">
        <v>140</v>
      </c>
      <c r="J1191" s="18" t="s">
        <v>2314</v>
      </c>
      <c r="K1191" s="29">
        <f t="shared" si="2"/>
        <v>50</v>
      </c>
    </row>
    <row r="1192" ht="15.75" customHeight="1">
      <c r="A1192" s="18" t="s">
        <v>3652</v>
      </c>
      <c r="B1192" s="18">
        <v>1972.0</v>
      </c>
      <c r="C1192" s="18" t="s">
        <v>272</v>
      </c>
      <c r="D1192" s="18">
        <v>26.0</v>
      </c>
      <c r="E1192" s="18" t="str">
        <f t="shared" si="1"/>
        <v>26/09/72</v>
      </c>
      <c r="F1192" s="18">
        <v>0.0</v>
      </c>
      <c r="G1192" s="27">
        <v>9836.21</v>
      </c>
      <c r="H1192" s="18" t="s">
        <v>140</v>
      </c>
      <c r="I1192" s="18" t="s">
        <v>142</v>
      </c>
      <c r="J1192" s="18" t="s">
        <v>2314</v>
      </c>
      <c r="K1192" s="29">
        <f t="shared" si="2"/>
        <v>50</v>
      </c>
    </row>
    <row r="1193" ht="15.75" customHeight="1">
      <c r="A1193" s="18" t="s">
        <v>3648</v>
      </c>
      <c r="B1193" s="18">
        <v>1992.0</v>
      </c>
      <c r="C1193" s="18" t="s">
        <v>501</v>
      </c>
      <c r="D1193" s="18">
        <v>13.0</v>
      </c>
      <c r="E1193" s="18" t="str">
        <f t="shared" si="1"/>
        <v>13/08/92</v>
      </c>
      <c r="F1193" s="18">
        <v>0.0</v>
      </c>
      <c r="G1193" s="27">
        <v>9844.45</v>
      </c>
      <c r="H1193" s="18" t="s">
        <v>140</v>
      </c>
      <c r="I1193" s="18" t="s">
        <v>219</v>
      </c>
      <c r="J1193" s="18" t="s">
        <v>325</v>
      </c>
      <c r="K1193" s="29">
        <f t="shared" si="2"/>
        <v>30</v>
      </c>
    </row>
    <row r="1194" ht="15.75" customHeight="1">
      <c r="A1194" s="18" t="s">
        <v>3645</v>
      </c>
      <c r="B1194" s="18">
        <v>1968.0</v>
      </c>
      <c r="C1194" s="18" t="s">
        <v>209</v>
      </c>
      <c r="D1194" s="18">
        <v>4.0</v>
      </c>
      <c r="E1194" s="18" t="str">
        <f t="shared" si="1"/>
        <v>04/11/68</v>
      </c>
      <c r="F1194" s="18">
        <v>0.0</v>
      </c>
      <c r="G1194" s="27">
        <v>9850.43</v>
      </c>
      <c r="H1194" s="18" t="s">
        <v>142</v>
      </c>
      <c r="I1194" s="18" t="s">
        <v>142</v>
      </c>
      <c r="J1194" s="18" t="s">
        <v>570</v>
      </c>
      <c r="K1194" s="29">
        <f t="shared" si="2"/>
        <v>54</v>
      </c>
    </row>
    <row r="1195" ht="15.75" customHeight="1">
      <c r="A1195" s="18" t="s">
        <v>3642</v>
      </c>
      <c r="B1195" s="18">
        <v>1971.0</v>
      </c>
      <c r="C1195" s="18" t="s">
        <v>517</v>
      </c>
      <c r="D1195" s="18">
        <v>23.0</v>
      </c>
      <c r="E1195" s="18" t="str">
        <f t="shared" si="1"/>
        <v>23/10/71</v>
      </c>
      <c r="F1195" s="18">
        <v>1.0</v>
      </c>
      <c r="G1195" s="27">
        <v>9855.13</v>
      </c>
      <c r="H1195" s="18" t="s">
        <v>140</v>
      </c>
      <c r="I1195" s="18" t="s">
        <v>142</v>
      </c>
      <c r="J1195" s="18" t="s">
        <v>146</v>
      </c>
      <c r="K1195" s="29">
        <f t="shared" si="2"/>
        <v>51</v>
      </c>
    </row>
    <row r="1196" ht="15.75" customHeight="1">
      <c r="A1196" s="18" t="s">
        <v>3639</v>
      </c>
      <c r="B1196" s="18">
        <v>1971.0</v>
      </c>
      <c r="C1196" s="18" t="s">
        <v>91</v>
      </c>
      <c r="D1196" s="18">
        <v>17.0</v>
      </c>
      <c r="E1196" s="18" t="str">
        <f t="shared" si="1"/>
        <v>17/07/71</v>
      </c>
      <c r="F1196" s="18">
        <v>1.0</v>
      </c>
      <c r="G1196" s="27">
        <v>9861.03</v>
      </c>
      <c r="H1196" s="18" t="s">
        <v>140</v>
      </c>
      <c r="I1196" s="18" t="s">
        <v>140</v>
      </c>
      <c r="J1196" s="18" t="s">
        <v>570</v>
      </c>
      <c r="K1196" s="29">
        <f t="shared" si="2"/>
        <v>51</v>
      </c>
    </row>
    <row r="1197" ht="15.75" customHeight="1">
      <c r="A1197" s="18" t="s">
        <v>3636</v>
      </c>
      <c r="B1197" s="18">
        <v>1969.0</v>
      </c>
      <c r="C1197" s="18" t="s">
        <v>517</v>
      </c>
      <c r="D1197" s="18">
        <v>20.0</v>
      </c>
      <c r="E1197" s="18" t="str">
        <f t="shared" si="1"/>
        <v>20/10/69</v>
      </c>
      <c r="F1197" s="18">
        <v>0.0</v>
      </c>
      <c r="G1197" s="27">
        <v>9863.47</v>
      </c>
      <c r="H1197" s="18" t="s">
        <v>142</v>
      </c>
      <c r="I1197" s="18" t="s">
        <v>142</v>
      </c>
      <c r="J1197" s="18" t="s">
        <v>325</v>
      </c>
      <c r="K1197" s="29">
        <f t="shared" si="2"/>
        <v>53</v>
      </c>
    </row>
    <row r="1198" ht="15.75" customHeight="1">
      <c r="A1198" s="18" t="s">
        <v>3633</v>
      </c>
      <c r="B1198" s="18">
        <v>1971.0</v>
      </c>
      <c r="C1198" s="18" t="s">
        <v>209</v>
      </c>
      <c r="D1198" s="18">
        <v>9.0</v>
      </c>
      <c r="E1198" s="18" t="str">
        <f t="shared" si="1"/>
        <v>09/11/71</v>
      </c>
      <c r="F1198" s="18">
        <v>0.0</v>
      </c>
      <c r="G1198" s="27">
        <v>9866.3</v>
      </c>
      <c r="H1198" s="18" t="s">
        <v>140</v>
      </c>
      <c r="I1198" s="18" t="s">
        <v>142</v>
      </c>
      <c r="J1198" s="18" t="s">
        <v>2024</v>
      </c>
      <c r="K1198" s="29">
        <f t="shared" si="2"/>
        <v>51</v>
      </c>
    </row>
    <row r="1199" ht="15.75" customHeight="1">
      <c r="A1199" s="18" t="s">
        <v>3632</v>
      </c>
      <c r="B1199" s="18">
        <v>1969.0</v>
      </c>
      <c r="C1199" s="18" t="s">
        <v>501</v>
      </c>
      <c r="D1199" s="18">
        <v>13.0</v>
      </c>
      <c r="E1199" s="18" t="str">
        <f t="shared" si="1"/>
        <v>13/08/69</v>
      </c>
      <c r="F1199" s="18">
        <v>0.0</v>
      </c>
      <c r="G1199" s="27">
        <v>9869.81</v>
      </c>
      <c r="H1199" s="18" t="s">
        <v>142</v>
      </c>
      <c r="I1199" s="18" t="s">
        <v>142</v>
      </c>
      <c r="J1199" s="18" t="s">
        <v>325</v>
      </c>
      <c r="K1199" s="29">
        <f t="shared" si="2"/>
        <v>53</v>
      </c>
    </row>
    <row r="1200" ht="15.75" customHeight="1">
      <c r="A1200" s="18" t="s">
        <v>3629</v>
      </c>
      <c r="B1200" s="18">
        <v>1998.0</v>
      </c>
      <c r="C1200" s="18" t="s">
        <v>91</v>
      </c>
      <c r="D1200" s="18">
        <v>6.0</v>
      </c>
      <c r="E1200" s="18" t="str">
        <f t="shared" si="1"/>
        <v>06/07/98</v>
      </c>
      <c r="F1200" s="18">
        <v>0.0</v>
      </c>
      <c r="G1200" s="27">
        <v>9870.59</v>
      </c>
      <c r="H1200" s="18" t="s">
        <v>140</v>
      </c>
      <c r="I1200" s="18" t="s">
        <v>140</v>
      </c>
      <c r="J1200" s="18" t="s">
        <v>2031</v>
      </c>
      <c r="K1200" s="29">
        <f t="shared" si="2"/>
        <v>24</v>
      </c>
    </row>
    <row r="1201" ht="15.75" customHeight="1">
      <c r="A1201" s="18" t="s">
        <v>3626</v>
      </c>
      <c r="B1201" s="18">
        <v>1971.0</v>
      </c>
      <c r="C1201" s="18" t="s">
        <v>457</v>
      </c>
      <c r="D1201" s="18">
        <v>22.0</v>
      </c>
      <c r="E1201" s="18" t="str">
        <f t="shared" si="1"/>
        <v>22/12/71</v>
      </c>
      <c r="F1201" s="18">
        <v>1.0</v>
      </c>
      <c r="G1201" s="27">
        <v>9872.7</v>
      </c>
      <c r="H1201" s="18" t="s">
        <v>140</v>
      </c>
      <c r="I1201" s="18" t="s">
        <v>140</v>
      </c>
      <c r="J1201" s="18" t="s">
        <v>570</v>
      </c>
      <c r="K1201" s="29">
        <f t="shared" si="2"/>
        <v>51</v>
      </c>
    </row>
    <row r="1202" ht="15.75" customHeight="1">
      <c r="A1202" s="18" t="s">
        <v>3623</v>
      </c>
      <c r="B1202" s="18">
        <v>1971.0</v>
      </c>
      <c r="C1202" s="18" t="s">
        <v>91</v>
      </c>
      <c r="D1202" s="18">
        <v>3.0</v>
      </c>
      <c r="E1202" s="18" t="str">
        <f t="shared" si="1"/>
        <v>03/07/71</v>
      </c>
      <c r="F1202" s="18">
        <v>0.0</v>
      </c>
      <c r="G1202" s="27">
        <v>9875.68</v>
      </c>
      <c r="H1202" s="18" t="s">
        <v>140</v>
      </c>
      <c r="I1202" s="18" t="s">
        <v>142</v>
      </c>
      <c r="J1202" s="18" t="s">
        <v>2024</v>
      </c>
      <c r="K1202" s="29">
        <f t="shared" si="2"/>
        <v>51</v>
      </c>
    </row>
    <row r="1203" ht="15.75" customHeight="1">
      <c r="A1203" s="18" t="s">
        <v>3619</v>
      </c>
      <c r="B1203" s="18">
        <v>1971.0</v>
      </c>
      <c r="C1203" s="18" t="s">
        <v>517</v>
      </c>
      <c r="D1203" s="18">
        <v>3.0</v>
      </c>
      <c r="E1203" s="18" t="str">
        <f t="shared" si="1"/>
        <v>03/10/71</v>
      </c>
      <c r="F1203" s="18">
        <v>1.0</v>
      </c>
      <c r="G1203" s="27">
        <v>9877.61</v>
      </c>
      <c r="H1203" s="18" t="s">
        <v>140</v>
      </c>
      <c r="I1203" s="18" t="s">
        <v>219</v>
      </c>
      <c r="J1203" s="18" t="s">
        <v>146</v>
      </c>
      <c r="K1203" s="29">
        <f t="shared" si="2"/>
        <v>51</v>
      </c>
    </row>
    <row r="1204" ht="15.75" customHeight="1">
      <c r="A1204" s="18" t="s">
        <v>3615</v>
      </c>
      <c r="B1204" s="18">
        <v>1971.0</v>
      </c>
      <c r="C1204" s="18" t="s">
        <v>209</v>
      </c>
      <c r="D1204" s="18">
        <v>8.0</v>
      </c>
      <c r="E1204" s="18" t="str">
        <f t="shared" si="1"/>
        <v>08/11/71</v>
      </c>
      <c r="F1204" s="18">
        <v>1.0</v>
      </c>
      <c r="G1204" s="27">
        <v>9880.07</v>
      </c>
      <c r="H1204" s="18" t="s">
        <v>140</v>
      </c>
      <c r="I1204" s="18" t="s">
        <v>142</v>
      </c>
      <c r="J1204" s="18" t="s">
        <v>570</v>
      </c>
      <c r="K1204" s="29">
        <f t="shared" si="2"/>
        <v>51</v>
      </c>
    </row>
    <row r="1205" ht="15.75" customHeight="1">
      <c r="A1205" s="18" t="s">
        <v>3612</v>
      </c>
      <c r="B1205" s="18">
        <v>1966.0</v>
      </c>
      <c r="C1205" s="18" t="s">
        <v>209</v>
      </c>
      <c r="D1205" s="18">
        <v>5.0</v>
      </c>
      <c r="E1205" s="18" t="str">
        <f t="shared" si="1"/>
        <v>05/11/66</v>
      </c>
      <c r="F1205" s="18">
        <v>0.0</v>
      </c>
      <c r="G1205" s="27">
        <v>9890.23</v>
      </c>
      <c r="H1205" s="18" t="s">
        <v>142</v>
      </c>
      <c r="I1205" s="18" t="s">
        <v>142</v>
      </c>
      <c r="J1205" s="18" t="s">
        <v>146</v>
      </c>
      <c r="K1205" s="29">
        <f t="shared" si="2"/>
        <v>56</v>
      </c>
    </row>
    <row r="1206" ht="15.75" customHeight="1">
      <c r="A1206" s="18" t="s">
        <v>3610</v>
      </c>
      <c r="B1206" s="18">
        <v>1996.0</v>
      </c>
      <c r="C1206" s="18" t="s">
        <v>91</v>
      </c>
      <c r="D1206" s="18">
        <v>8.0</v>
      </c>
      <c r="E1206" s="18" t="str">
        <f t="shared" si="1"/>
        <v>08/07/96</v>
      </c>
      <c r="F1206" s="18">
        <v>0.0</v>
      </c>
      <c r="G1206" s="27">
        <v>9894.69</v>
      </c>
      <c r="H1206" s="18" t="s">
        <v>140</v>
      </c>
      <c r="I1206" s="18" t="s">
        <v>142</v>
      </c>
      <c r="J1206" s="18" t="s">
        <v>325</v>
      </c>
      <c r="K1206" s="29">
        <f t="shared" si="2"/>
        <v>26</v>
      </c>
    </row>
    <row r="1207" ht="15.75" customHeight="1">
      <c r="A1207" s="18" t="s">
        <v>3606</v>
      </c>
      <c r="B1207" s="18">
        <v>1962.0</v>
      </c>
      <c r="C1207" s="18" t="s">
        <v>501</v>
      </c>
      <c r="D1207" s="18">
        <v>17.0</v>
      </c>
      <c r="E1207" s="18" t="str">
        <f t="shared" si="1"/>
        <v>17/08/62</v>
      </c>
      <c r="F1207" s="18">
        <v>0.0</v>
      </c>
      <c r="G1207" s="27">
        <v>9907.83</v>
      </c>
      <c r="H1207" s="18" t="s">
        <v>142</v>
      </c>
      <c r="I1207" s="18" t="s">
        <v>140</v>
      </c>
      <c r="J1207" s="18" t="s">
        <v>146</v>
      </c>
      <c r="K1207" s="29">
        <f t="shared" si="2"/>
        <v>60</v>
      </c>
    </row>
    <row r="1208" ht="15.75" customHeight="1">
      <c r="A1208" s="18" t="s">
        <v>3602</v>
      </c>
      <c r="B1208" s="18">
        <v>1972.0</v>
      </c>
      <c r="C1208" s="18" t="s">
        <v>272</v>
      </c>
      <c r="D1208" s="18">
        <v>14.0</v>
      </c>
      <c r="E1208" s="18" t="str">
        <f t="shared" si="1"/>
        <v>14/09/72</v>
      </c>
      <c r="F1208" s="18">
        <v>1.0</v>
      </c>
      <c r="G1208" s="27">
        <v>9910.36</v>
      </c>
      <c r="H1208" s="18" t="s">
        <v>140</v>
      </c>
      <c r="I1208" s="18" t="s">
        <v>142</v>
      </c>
      <c r="J1208" s="18" t="s">
        <v>325</v>
      </c>
      <c r="K1208" s="29">
        <f t="shared" si="2"/>
        <v>50</v>
      </c>
    </row>
    <row r="1209" ht="15.75" customHeight="1">
      <c r="A1209" s="18" t="s">
        <v>3599</v>
      </c>
      <c r="B1209" s="18">
        <v>1985.0</v>
      </c>
      <c r="C1209" s="18" t="s">
        <v>501</v>
      </c>
      <c r="D1209" s="18">
        <v>19.0</v>
      </c>
      <c r="E1209" s="18" t="str">
        <f t="shared" si="1"/>
        <v>19/08/85</v>
      </c>
      <c r="F1209" s="18">
        <v>3.0</v>
      </c>
      <c r="G1209" s="27">
        <v>9930.64</v>
      </c>
      <c r="H1209" s="18" t="s">
        <v>140</v>
      </c>
      <c r="I1209" s="18" t="s">
        <v>142</v>
      </c>
      <c r="J1209" s="18" t="s">
        <v>1647</v>
      </c>
      <c r="K1209" s="29">
        <f t="shared" si="2"/>
        <v>37</v>
      </c>
    </row>
    <row r="1210" ht="15.75" customHeight="1">
      <c r="A1210" s="18" t="s">
        <v>3596</v>
      </c>
      <c r="B1210" s="18">
        <v>1983.0</v>
      </c>
      <c r="C1210" s="18" t="s">
        <v>457</v>
      </c>
      <c r="D1210" s="18">
        <v>3.0</v>
      </c>
      <c r="E1210" s="18" t="str">
        <f t="shared" si="1"/>
        <v>03/12/83</v>
      </c>
      <c r="F1210" s="18">
        <v>3.0</v>
      </c>
      <c r="G1210" s="27">
        <v>9931.96</v>
      </c>
      <c r="H1210" s="18" t="s">
        <v>140</v>
      </c>
      <c r="I1210" s="18" t="s">
        <v>140</v>
      </c>
      <c r="J1210" s="18" t="s">
        <v>325</v>
      </c>
      <c r="K1210" s="29">
        <f t="shared" si="2"/>
        <v>39</v>
      </c>
    </row>
    <row r="1211" ht="15.75" customHeight="1">
      <c r="A1211" s="18" t="s">
        <v>3592</v>
      </c>
      <c r="B1211" s="18">
        <v>1964.0</v>
      </c>
      <c r="C1211" s="18" t="s">
        <v>272</v>
      </c>
      <c r="D1211" s="18">
        <v>11.0</v>
      </c>
      <c r="E1211" s="18" t="str">
        <f t="shared" si="1"/>
        <v>11/09/64</v>
      </c>
      <c r="F1211" s="18">
        <v>0.0</v>
      </c>
      <c r="G1211" s="27">
        <v>9933.44</v>
      </c>
      <c r="H1211" s="18" t="s">
        <v>142</v>
      </c>
      <c r="I1211" s="18" t="s">
        <v>142</v>
      </c>
      <c r="J1211" s="18" t="s">
        <v>146</v>
      </c>
      <c r="K1211" s="29">
        <f t="shared" si="2"/>
        <v>58</v>
      </c>
    </row>
    <row r="1212" ht="15.75" customHeight="1">
      <c r="A1212" s="18" t="s">
        <v>3589</v>
      </c>
      <c r="B1212" s="18">
        <v>1971.0</v>
      </c>
      <c r="C1212" s="18" t="s">
        <v>457</v>
      </c>
      <c r="D1212" s="18">
        <v>26.0</v>
      </c>
      <c r="E1212" s="18" t="str">
        <f t="shared" si="1"/>
        <v>26/12/71</v>
      </c>
      <c r="F1212" s="18">
        <v>1.0</v>
      </c>
      <c r="G1212" s="27">
        <v>9957.72</v>
      </c>
      <c r="H1212" s="18" t="s">
        <v>140</v>
      </c>
      <c r="I1212" s="18" t="s">
        <v>142</v>
      </c>
      <c r="J1212" s="18" t="s">
        <v>1434</v>
      </c>
      <c r="K1212" s="29">
        <f t="shared" si="2"/>
        <v>51</v>
      </c>
    </row>
    <row r="1213" ht="15.75" customHeight="1">
      <c r="A1213" s="18" t="s">
        <v>3586</v>
      </c>
      <c r="B1213" s="18">
        <v>1971.0</v>
      </c>
      <c r="C1213" s="18" t="s">
        <v>517</v>
      </c>
      <c r="D1213" s="18">
        <v>6.0</v>
      </c>
      <c r="E1213" s="18" t="str">
        <f t="shared" si="1"/>
        <v>06/10/71</v>
      </c>
      <c r="F1213" s="18">
        <v>1.0</v>
      </c>
      <c r="G1213" s="27">
        <v>9964.06</v>
      </c>
      <c r="H1213" s="18" t="s">
        <v>140</v>
      </c>
      <c r="I1213" s="18" t="s">
        <v>140</v>
      </c>
      <c r="J1213" s="18" t="s">
        <v>1421</v>
      </c>
      <c r="K1213" s="29">
        <f t="shared" si="2"/>
        <v>51</v>
      </c>
    </row>
    <row r="1214" ht="15.75" customHeight="1">
      <c r="A1214" s="18" t="s">
        <v>3583</v>
      </c>
      <c r="B1214" s="18">
        <v>1970.0</v>
      </c>
      <c r="C1214" s="18" t="s">
        <v>501</v>
      </c>
      <c r="D1214" s="18">
        <v>11.0</v>
      </c>
      <c r="E1214" s="18" t="str">
        <f t="shared" si="1"/>
        <v>11/08/70</v>
      </c>
      <c r="F1214" s="18">
        <v>0.0</v>
      </c>
      <c r="G1214" s="27">
        <v>9991.04</v>
      </c>
      <c r="H1214" s="18" t="s">
        <v>140</v>
      </c>
      <c r="I1214" s="18" t="s">
        <v>142</v>
      </c>
      <c r="J1214" s="18" t="s">
        <v>325</v>
      </c>
      <c r="K1214" s="29">
        <f t="shared" si="2"/>
        <v>52</v>
      </c>
    </row>
    <row r="1215" ht="15.75" customHeight="1">
      <c r="A1215" s="18" t="s">
        <v>3579</v>
      </c>
      <c r="B1215" s="18">
        <v>1988.0</v>
      </c>
      <c r="C1215" s="18" t="s">
        <v>91</v>
      </c>
      <c r="D1215" s="18">
        <v>3.0</v>
      </c>
      <c r="E1215" s="18" t="str">
        <f t="shared" si="1"/>
        <v>03/07/88</v>
      </c>
      <c r="F1215" s="18">
        <v>3.0</v>
      </c>
      <c r="G1215" s="27">
        <v>10011.44</v>
      </c>
      <c r="H1215" s="18" t="s">
        <v>142</v>
      </c>
      <c r="I1215" s="18" t="s">
        <v>142</v>
      </c>
      <c r="J1215" s="18" t="s">
        <v>3559</v>
      </c>
      <c r="K1215" s="29">
        <f t="shared" si="2"/>
        <v>34</v>
      </c>
    </row>
    <row r="1216" ht="15.75" customHeight="1">
      <c r="A1216" s="18" t="s">
        <v>3576</v>
      </c>
      <c r="B1216" s="18">
        <v>1979.0</v>
      </c>
      <c r="C1216" s="18" t="s">
        <v>457</v>
      </c>
      <c r="D1216" s="18">
        <v>28.0</v>
      </c>
      <c r="E1216" s="18" t="str">
        <f t="shared" si="1"/>
        <v>28/12/79</v>
      </c>
      <c r="F1216" s="18">
        <v>2.0</v>
      </c>
      <c r="G1216" s="27">
        <v>10027.15</v>
      </c>
      <c r="H1216" s="18" t="s">
        <v>142</v>
      </c>
      <c r="I1216" s="18" t="s">
        <v>219</v>
      </c>
      <c r="J1216" s="18" t="s">
        <v>2314</v>
      </c>
      <c r="K1216" s="29">
        <f t="shared" si="2"/>
        <v>43</v>
      </c>
    </row>
    <row r="1217" ht="15.75" customHeight="1">
      <c r="A1217" s="18" t="s">
        <v>3572</v>
      </c>
      <c r="B1217" s="18">
        <v>1974.0</v>
      </c>
      <c r="C1217" s="18" t="s">
        <v>501</v>
      </c>
      <c r="D1217" s="18">
        <v>30.0</v>
      </c>
      <c r="E1217" s="18" t="str">
        <f t="shared" si="1"/>
        <v>30/08/74</v>
      </c>
      <c r="F1217" s="18">
        <v>2.0</v>
      </c>
      <c r="G1217" s="27">
        <v>10043.25</v>
      </c>
      <c r="H1217" s="18" t="s">
        <v>142</v>
      </c>
      <c r="I1217" s="18" t="s">
        <v>140</v>
      </c>
      <c r="J1217" s="18" t="s">
        <v>2024</v>
      </c>
      <c r="K1217" s="29">
        <f t="shared" si="2"/>
        <v>48</v>
      </c>
    </row>
    <row r="1218" ht="15.75" customHeight="1">
      <c r="A1218" s="18" t="s">
        <v>3569</v>
      </c>
      <c r="B1218" s="18">
        <v>1969.0</v>
      </c>
      <c r="C1218" s="18" t="s">
        <v>501</v>
      </c>
      <c r="D1218" s="18">
        <v>22.0</v>
      </c>
      <c r="E1218" s="18" t="str">
        <f t="shared" si="1"/>
        <v>22/08/69</v>
      </c>
      <c r="F1218" s="18">
        <v>1.0</v>
      </c>
      <c r="G1218" s="27">
        <v>10065.41</v>
      </c>
      <c r="H1218" s="18" t="s">
        <v>142</v>
      </c>
      <c r="I1218" s="18" t="s">
        <v>140</v>
      </c>
      <c r="J1218" s="18" t="s">
        <v>570</v>
      </c>
      <c r="K1218" s="29">
        <f t="shared" si="2"/>
        <v>53</v>
      </c>
    </row>
    <row r="1219" ht="15.75" customHeight="1">
      <c r="A1219" s="18" t="s">
        <v>3565</v>
      </c>
      <c r="B1219" s="18">
        <v>1969.0</v>
      </c>
      <c r="C1219" s="18" t="s">
        <v>517</v>
      </c>
      <c r="D1219" s="18">
        <v>27.0</v>
      </c>
      <c r="E1219" s="18" t="str">
        <f t="shared" si="1"/>
        <v>27/10/69</v>
      </c>
      <c r="F1219" s="18">
        <v>0.0</v>
      </c>
      <c r="G1219" s="27">
        <v>10072.06</v>
      </c>
      <c r="H1219" s="18" t="s">
        <v>142</v>
      </c>
      <c r="I1219" s="18" t="s">
        <v>219</v>
      </c>
      <c r="J1219" s="18" t="s">
        <v>2617</v>
      </c>
      <c r="K1219" s="29">
        <f t="shared" si="2"/>
        <v>53</v>
      </c>
    </row>
    <row r="1220" ht="15.75" customHeight="1">
      <c r="A1220" s="18" t="s">
        <v>3562</v>
      </c>
      <c r="B1220" s="18">
        <v>1969.0</v>
      </c>
      <c r="C1220" s="18" t="s">
        <v>91</v>
      </c>
      <c r="D1220" s="18">
        <v>3.0</v>
      </c>
      <c r="E1220" s="18" t="str">
        <f t="shared" si="1"/>
        <v>03/07/69</v>
      </c>
      <c r="F1220" s="18">
        <v>1.0</v>
      </c>
      <c r="G1220" s="27">
        <v>10085.85</v>
      </c>
      <c r="H1220" s="18" t="s">
        <v>142</v>
      </c>
      <c r="I1220" s="18" t="s">
        <v>142</v>
      </c>
      <c r="J1220" s="18" t="s">
        <v>570</v>
      </c>
      <c r="K1220" s="29">
        <f t="shared" si="2"/>
        <v>53</v>
      </c>
    </row>
    <row r="1221" ht="15.75" customHeight="1">
      <c r="A1221" s="18" t="s">
        <v>3557</v>
      </c>
      <c r="B1221" s="18">
        <v>1976.0</v>
      </c>
      <c r="C1221" s="18" t="s">
        <v>457</v>
      </c>
      <c r="D1221" s="18">
        <v>19.0</v>
      </c>
      <c r="E1221" s="18" t="str">
        <f t="shared" si="1"/>
        <v>19/12/76</v>
      </c>
      <c r="F1221" s="18">
        <v>5.0</v>
      </c>
      <c r="G1221" s="27">
        <v>10096.97</v>
      </c>
      <c r="H1221" s="18" t="s">
        <v>142</v>
      </c>
      <c r="I1221" s="18" t="s">
        <v>140</v>
      </c>
      <c r="J1221" s="18" t="s">
        <v>570</v>
      </c>
      <c r="K1221" s="29">
        <f t="shared" si="2"/>
        <v>46</v>
      </c>
    </row>
    <row r="1222" ht="15.75" customHeight="1">
      <c r="A1222" s="18" t="s">
        <v>3554</v>
      </c>
      <c r="B1222" s="18">
        <v>1972.0</v>
      </c>
      <c r="C1222" s="18" t="s">
        <v>517</v>
      </c>
      <c r="D1222" s="18">
        <v>19.0</v>
      </c>
      <c r="E1222" s="18" t="str">
        <f t="shared" si="1"/>
        <v>19/10/72</v>
      </c>
      <c r="F1222" s="18">
        <v>1.0</v>
      </c>
      <c r="G1222" s="27">
        <v>10106.13</v>
      </c>
      <c r="H1222" s="18" t="s">
        <v>142</v>
      </c>
      <c r="I1222" s="18" t="s">
        <v>219</v>
      </c>
      <c r="J1222" s="18" t="s">
        <v>2024</v>
      </c>
      <c r="K1222" s="29">
        <f t="shared" si="2"/>
        <v>50</v>
      </c>
    </row>
    <row r="1223" ht="15.75" customHeight="1">
      <c r="A1223" s="18" t="s">
        <v>3550</v>
      </c>
      <c r="B1223" s="18">
        <v>1972.0</v>
      </c>
      <c r="C1223" s="18" t="s">
        <v>501</v>
      </c>
      <c r="D1223" s="18">
        <v>8.0</v>
      </c>
      <c r="E1223" s="18" t="str">
        <f t="shared" si="1"/>
        <v>08/08/72</v>
      </c>
      <c r="F1223" s="18">
        <v>2.0</v>
      </c>
      <c r="G1223" s="27">
        <v>10107.22</v>
      </c>
      <c r="H1223" s="18" t="s">
        <v>142</v>
      </c>
      <c r="I1223" s="18" t="s">
        <v>219</v>
      </c>
      <c r="J1223" s="18" t="s">
        <v>146</v>
      </c>
      <c r="K1223" s="29">
        <f t="shared" si="2"/>
        <v>50</v>
      </c>
    </row>
    <row r="1224" ht="15.75" customHeight="1">
      <c r="A1224" s="18" t="s">
        <v>3546</v>
      </c>
      <c r="B1224" s="18">
        <v>1975.0</v>
      </c>
      <c r="C1224" s="18" t="s">
        <v>91</v>
      </c>
      <c r="D1224" s="18">
        <v>2.0</v>
      </c>
      <c r="E1224" s="18" t="str">
        <f t="shared" si="1"/>
        <v>02/07/75</v>
      </c>
      <c r="F1224" s="18">
        <v>3.0</v>
      </c>
      <c r="G1224" s="27">
        <v>10115.01</v>
      </c>
      <c r="H1224" s="18" t="s">
        <v>142</v>
      </c>
      <c r="I1224" s="18" t="s">
        <v>142</v>
      </c>
      <c r="J1224" s="18" t="s">
        <v>325</v>
      </c>
      <c r="K1224" s="29">
        <f t="shared" si="2"/>
        <v>47</v>
      </c>
    </row>
    <row r="1225" ht="15.75" customHeight="1">
      <c r="A1225" s="18" t="s">
        <v>3542</v>
      </c>
      <c r="B1225" s="18">
        <v>1972.0</v>
      </c>
      <c r="C1225" s="18" t="s">
        <v>209</v>
      </c>
      <c r="D1225" s="18">
        <v>16.0</v>
      </c>
      <c r="E1225" s="18" t="str">
        <f t="shared" si="1"/>
        <v>16/11/72</v>
      </c>
      <c r="F1225" s="18">
        <v>2.0</v>
      </c>
      <c r="G1225" s="27">
        <v>10118.42</v>
      </c>
      <c r="H1225" s="18" t="s">
        <v>142</v>
      </c>
      <c r="I1225" s="18" t="s">
        <v>142</v>
      </c>
      <c r="J1225" s="18" t="s">
        <v>570</v>
      </c>
      <c r="K1225" s="29">
        <f t="shared" si="2"/>
        <v>50</v>
      </c>
    </row>
    <row r="1226" ht="15.75" customHeight="1">
      <c r="A1226" s="18" t="s">
        <v>3539</v>
      </c>
      <c r="B1226" s="18">
        <v>1997.0</v>
      </c>
      <c r="C1226" s="18" t="s">
        <v>272</v>
      </c>
      <c r="D1226" s="18">
        <v>5.0</v>
      </c>
      <c r="E1226" s="18" t="str">
        <f t="shared" si="1"/>
        <v>05/09/97</v>
      </c>
      <c r="F1226" s="18">
        <v>0.0</v>
      </c>
      <c r="G1226" s="27">
        <v>10139.84</v>
      </c>
      <c r="H1226" s="18" t="s">
        <v>142</v>
      </c>
      <c r="I1226" s="18" t="s">
        <v>140</v>
      </c>
      <c r="J1226" s="18" t="s">
        <v>325</v>
      </c>
      <c r="K1226" s="29">
        <f t="shared" si="2"/>
        <v>25</v>
      </c>
    </row>
    <row r="1227" ht="15.75" customHeight="1">
      <c r="A1227" s="18" t="s">
        <v>3536</v>
      </c>
      <c r="B1227" s="18">
        <v>1974.0</v>
      </c>
      <c r="C1227" s="18" t="s">
        <v>457</v>
      </c>
      <c r="D1227" s="18">
        <v>30.0</v>
      </c>
      <c r="E1227" s="18" t="str">
        <f t="shared" si="1"/>
        <v>30/12/74</v>
      </c>
      <c r="F1227" s="18">
        <v>3.0</v>
      </c>
      <c r="G1227" s="27">
        <v>10141.14</v>
      </c>
      <c r="H1227" s="18" t="s">
        <v>142</v>
      </c>
      <c r="I1227" s="18" t="s">
        <v>219</v>
      </c>
      <c r="J1227" s="18" t="s">
        <v>1427</v>
      </c>
      <c r="K1227" s="29">
        <f t="shared" si="2"/>
        <v>48</v>
      </c>
    </row>
    <row r="1228" ht="15.75" customHeight="1">
      <c r="A1228" s="18" t="s">
        <v>3533</v>
      </c>
      <c r="B1228" s="18">
        <v>1981.0</v>
      </c>
      <c r="C1228" s="18" t="s">
        <v>241</v>
      </c>
      <c r="D1228" s="18">
        <v>12.0</v>
      </c>
      <c r="E1228" s="18" t="str">
        <f t="shared" si="1"/>
        <v>12/06/81</v>
      </c>
      <c r="F1228" s="18">
        <v>1.0</v>
      </c>
      <c r="G1228" s="27">
        <v>10146.13</v>
      </c>
      <c r="H1228" s="18" t="s">
        <v>142</v>
      </c>
      <c r="I1228" s="18" t="s">
        <v>219</v>
      </c>
      <c r="J1228" s="18" t="s">
        <v>1647</v>
      </c>
      <c r="K1228" s="29">
        <f t="shared" si="2"/>
        <v>41</v>
      </c>
    </row>
    <row r="1229" ht="15.75" customHeight="1">
      <c r="A1229" s="18" t="s">
        <v>3531</v>
      </c>
      <c r="B1229" s="18">
        <v>1973.0</v>
      </c>
      <c r="C1229" s="18" t="s">
        <v>517</v>
      </c>
      <c r="D1229" s="18">
        <v>13.0</v>
      </c>
      <c r="E1229" s="18" t="str">
        <f t="shared" si="1"/>
        <v>13/10/73</v>
      </c>
      <c r="F1229" s="18">
        <v>2.0</v>
      </c>
      <c r="G1229" s="27">
        <v>10156.78</v>
      </c>
      <c r="H1229" s="18" t="s">
        <v>142</v>
      </c>
      <c r="I1229" s="18" t="s">
        <v>140</v>
      </c>
      <c r="J1229" s="18" t="s">
        <v>325</v>
      </c>
      <c r="K1229" s="29">
        <f t="shared" si="2"/>
        <v>49</v>
      </c>
    </row>
    <row r="1230" ht="15.75" customHeight="1">
      <c r="A1230" s="18" t="s">
        <v>3528</v>
      </c>
      <c r="B1230" s="18">
        <v>1972.0</v>
      </c>
      <c r="C1230" s="18" t="s">
        <v>91</v>
      </c>
      <c r="D1230" s="18">
        <v>10.0</v>
      </c>
      <c r="E1230" s="18" t="str">
        <f t="shared" si="1"/>
        <v>10/07/72</v>
      </c>
      <c r="F1230" s="18">
        <v>0.0</v>
      </c>
      <c r="G1230" s="27">
        <v>10160.87</v>
      </c>
      <c r="H1230" s="18" t="s">
        <v>142</v>
      </c>
      <c r="I1230" s="18" t="s">
        <v>142</v>
      </c>
      <c r="J1230" s="18" t="s">
        <v>1647</v>
      </c>
      <c r="K1230" s="29">
        <f t="shared" si="2"/>
        <v>50</v>
      </c>
    </row>
    <row r="1231" ht="15.75" customHeight="1">
      <c r="A1231" s="18" t="s">
        <v>3524</v>
      </c>
      <c r="B1231" s="18">
        <v>1985.0</v>
      </c>
      <c r="C1231" s="18" t="s">
        <v>517</v>
      </c>
      <c r="D1231" s="18">
        <v>16.0</v>
      </c>
      <c r="E1231" s="18" t="str">
        <f t="shared" si="1"/>
        <v>16/10/85</v>
      </c>
      <c r="F1231" s="18">
        <v>3.0</v>
      </c>
      <c r="G1231" s="27">
        <v>10191.82</v>
      </c>
      <c r="H1231" s="18" t="s">
        <v>142</v>
      </c>
      <c r="I1231" s="18" t="s">
        <v>140</v>
      </c>
      <c r="J1231" s="18" t="s">
        <v>3559</v>
      </c>
      <c r="K1231" s="29">
        <f t="shared" si="2"/>
        <v>37</v>
      </c>
    </row>
    <row r="1232" ht="15.75" customHeight="1">
      <c r="A1232" s="18" t="s">
        <v>3521</v>
      </c>
      <c r="B1232" s="18">
        <v>1970.0</v>
      </c>
      <c r="C1232" s="18" t="s">
        <v>457</v>
      </c>
      <c r="D1232" s="18">
        <v>24.0</v>
      </c>
      <c r="E1232" s="18" t="str">
        <f t="shared" si="1"/>
        <v>24/12/70</v>
      </c>
      <c r="F1232" s="18">
        <v>0.0</v>
      </c>
      <c r="G1232" s="27">
        <v>10197.77</v>
      </c>
      <c r="H1232" s="18" t="s">
        <v>142</v>
      </c>
      <c r="I1232" s="18" t="s">
        <v>219</v>
      </c>
      <c r="J1232" s="18" t="s">
        <v>2024</v>
      </c>
      <c r="K1232" s="29">
        <f t="shared" si="2"/>
        <v>52</v>
      </c>
    </row>
    <row r="1233" ht="15.75" customHeight="1">
      <c r="A1233" s="18" t="s">
        <v>3518</v>
      </c>
      <c r="B1233" s="18">
        <v>1967.0</v>
      </c>
      <c r="C1233" s="18" t="s">
        <v>272</v>
      </c>
      <c r="D1233" s="18">
        <v>26.0</v>
      </c>
      <c r="E1233" s="18" t="str">
        <f t="shared" si="1"/>
        <v>26/09/67</v>
      </c>
      <c r="F1233" s="18">
        <v>0.0</v>
      </c>
      <c r="G1233" s="27">
        <v>10214.64</v>
      </c>
      <c r="H1233" s="18" t="s">
        <v>142</v>
      </c>
      <c r="I1233" s="18" t="s">
        <v>140</v>
      </c>
      <c r="J1233" s="18" t="s">
        <v>570</v>
      </c>
      <c r="K1233" s="29">
        <f t="shared" si="2"/>
        <v>55</v>
      </c>
    </row>
    <row r="1234" ht="15.75" customHeight="1">
      <c r="A1234" s="18" t="s">
        <v>3517</v>
      </c>
      <c r="B1234" s="18">
        <v>1967.0</v>
      </c>
      <c r="C1234" s="18" t="s">
        <v>241</v>
      </c>
      <c r="D1234" s="18">
        <v>28.0</v>
      </c>
      <c r="E1234" s="18" t="str">
        <f t="shared" si="1"/>
        <v>28/06/67</v>
      </c>
      <c r="F1234" s="18">
        <v>0.0</v>
      </c>
      <c r="G1234" s="27">
        <v>10226.28</v>
      </c>
      <c r="H1234" s="18" t="s">
        <v>142</v>
      </c>
      <c r="I1234" s="18" t="s">
        <v>142</v>
      </c>
      <c r="J1234" s="18" t="s">
        <v>146</v>
      </c>
      <c r="K1234" s="29">
        <f t="shared" si="2"/>
        <v>55</v>
      </c>
    </row>
    <row r="1235" ht="15.75" customHeight="1">
      <c r="A1235" s="18" t="s">
        <v>3513</v>
      </c>
      <c r="B1235" s="18">
        <v>1968.0</v>
      </c>
      <c r="C1235" s="18" t="s">
        <v>272</v>
      </c>
      <c r="D1235" s="18">
        <v>23.0</v>
      </c>
      <c r="E1235" s="18" t="str">
        <f t="shared" si="1"/>
        <v>23/09/68</v>
      </c>
      <c r="F1235" s="18">
        <v>0.0</v>
      </c>
      <c r="G1235" s="27">
        <v>10231.5</v>
      </c>
      <c r="H1235" s="18" t="s">
        <v>142</v>
      </c>
      <c r="I1235" s="18" t="s">
        <v>219</v>
      </c>
      <c r="J1235" s="18" t="s">
        <v>325</v>
      </c>
      <c r="K1235" s="29">
        <f t="shared" si="2"/>
        <v>54</v>
      </c>
    </row>
    <row r="1236" ht="15.75" customHeight="1">
      <c r="A1236" s="18" t="s">
        <v>3509</v>
      </c>
      <c r="B1236" s="18">
        <v>1975.0</v>
      </c>
      <c r="C1236" s="18" t="s">
        <v>501</v>
      </c>
      <c r="D1236" s="18">
        <v>15.0</v>
      </c>
      <c r="E1236" s="18" t="str">
        <f t="shared" si="1"/>
        <v>15/08/75</v>
      </c>
      <c r="F1236" s="18">
        <v>1.0</v>
      </c>
      <c r="G1236" s="27">
        <v>10259.13</v>
      </c>
      <c r="H1236" s="18" t="s">
        <v>142</v>
      </c>
      <c r="I1236" s="18" t="s">
        <v>140</v>
      </c>
      <c r="J1236" s="18" t="s">
        <v>570</v>
      </c>
      <c r="K1236" s="29">
        <f t="shared" si="2"/>
        <v>47</v>
      </c>
    </row>
    <row r="1237" ht="15.75" customHeight="1">
      <c r="A1237" s="18" t="s">
        <v>3506</v>
      </c>
      <c r="B1237" s="18">
        <v>1973.0</v>
      </c>
      <c r="C1237" s="18" t="s">
        <v>272</v>
      </c>
      <c r="D1237" s="18">
        <v>5.0</v>
      </c>
      <c r="E1237" s="18" t="str">
        <f t="shared" si="1"/>
        <v>05/09/73</v>
      </c>
      <c r="F1237" s="18">
        <v>3.0</v>
      </c>
      <c r="G1237" s="27">
        <v>10264.44</v>
      </c>
      <c r="H1237" s="18" t="s">
        <v>142</v>
      </c>
      <c r="I1237" s="18" t="s">
        <v>140</v>
      </c>
      <c r="J1237" s="18" t="s">
        <v>325</v>
      </c>
      <c r="K1237" s="29">
        <f t="shared" si="2"/>
        <v>49</v>
      </c>
    </row>
    <row r="1238" ht="15.75" customHeight="1">
      <c r="A1238" s="18" t="s">
        <v>3505</v>
      </c>
      <c r="B1238" s="18">
        <v>1973.0</v>
      </c>
      <c r="C1238" s="18" t="s">
        <v>209</v>
      </c>
      <c r="D1238" s="18">
        <v>27.0</v>
      </c>
      <c r="E1238" s="18" t="str">
        <f t="shared" si="1"/>
        <v>27/11/73</v>
      </c>
      <c r="F1238" s="18">
        <v>3.0</v>
      </c>
      <c r="G1238" s="27">
        <v>10269.46</v>
      </c>
      <c r="H1238" s="18" t="s">
        <v>142</v>
      </c>
      <c r="I1238" s="18" t="s">
        <v>142</v>
      </c>
      <c r="J1238" s="18" t="s">
        <v>325</v>
      </c>
      <c r="K1238" s="29">
        <f t="shared" si="2"/>
        <v>49</v>
      </c>
    </row>
    <row r="1239" ht="15.75" customHeight="1">
      <c r="A1239" s="18" t="s">
        <v>3502</v>
      </c>
      <c r="B1239" s="18">
        <v>1970.0</v>
      </c>
      <c r="C1239" s="18" t="s">
        <v>241</v>
      </c>
      <c r="D1239" s="18">
        <v>21.0</v>
      </c>
      <c r="E1239" s="18" t="str">
        <f t="shared" si="1"/>
        <v>21/06/70</v>
      </c>
      <c r="F1239" s="18">
        <v>0.0</v>
      </c>
      <c r="G1239" s="27">
        <v>10274.33</v>
      </c>
      <c r="H1239" s="18" t="s">
        <v>142</v>
      </c>
      <c r="I1239" s="18" t="s">
        <v>219</v>
      </c>
      <c r="J1239" s="18" t="s">
        <v>2024</v>
      </c>
      <c r="K1239" s="29">
        <f t="shared" si="2"/>
        <v>52</v>
      </c>
    </row>
    <row r="1240" ht="15.75" customHeight="1">
      <c r="A1240" s="18" t="s">
        <v>3499</v>
      </c>
      <c r="B1240" s="18">
        <v>1988.0</v>
      </c>
      <c r="C1240" s="18" t="s">
        <v>272</v>
      </c>
      <c r="D1240" s="18">
        <v>14.0</v>
      </c>
      <c r="E1240" s="18" t="str">
        <f t="shared" si="1"/>
        <v>14/09/88</v>
      </c>
      <c r="F1240" s="18">
        <v>3.0</v>
      </c>
      <c r="G1240" s="27">
        <v>10276.99</v>
      </c>
      <c r="H1240" s="18" t="s">
        <v>142</v>
      </c>
      <c r="I1240" s="18" t="s">
        <v>219</v>
      </c>
      <c r="J1240" s="18" t="s">
        <v>2314</v>
      </c>
      <c r="K1240" s="29">
        <f t="shared" si="2"/>
        <v>34</v>
      </c>
    </row>
    <row r="1241" ht="15.75" customHeight="1">
      <c r="A1241" s="18" t="s">
        <v>3497</v>
      </c>
      <c r="B1241" s="18">
        <v>1963.0</v>
      </c>
      <c r="C1241" s="18" t="s">
        <v>272</v>
      </c>
      <c r="D1241" s="18">
        <v>24.0</v>
      </c>
      <c r="E1241" s="18" t="str">
        <f t="shared" si="1"/>
        <v>24/09/63</v>
      </c>
      <c r="F1241" s="18">
        <v>0.0</v>
      </c>
      <c r="G1241" s="27">
        <v>10308.04</v>
      </c>
      <c r="H1241" s="18" t="s">
        <v>142</v>
      </c>
      <c r="I1241" s="18" t="s">
        <v>219</v>
      </c>
      <c r="J1241" s="18" t="s">
        <v>146</v>
      </c>
      <c r="K1241" s="29">
        <f t="shared" si="2"/>
        <v>59</v>
      </c>
    </row>
    <row r="1242" ht="15.75" customHeight="1">
      <c r="A1242" s="18" t="s">
        <v>3494</v>
      </c>
      <c r="B1242" s="18">
        <v>1962.0</v>
      </c>
      <c r="C1242" s="18" t="s">
        <v>91</v>
      </c>
      <c r="D1242" s="18">
        <v>12.0</v>
      </c>
      <c r="E1242" s="18" t="str">
        <f t="shared" si="1"/>
        <v>12/07/62</v>
      </c>
      <c r="F1242" s="18">
        <v>0.0</v>
      </c>
      <c r="G1242" s="27">
        <v>10310.78</v>
      </c>
      <c r="H1242" s="18" t="s">
        <v>142</v>
      </c>
      <c r="I1242" s="18" t="s">
        <v>142</v>
      </c>
      <c r="J1242" s="18" t="s">
        <v>325</v>
      </c>
      <c r="K1242" s="29">
        <f t="shared" si="2"/>
        <v>60</v>
      </c>
    </row>
    <row r="1243" ht="15.75" customHeight="1">
      <c r="A1243" s="18" t="s">
        <v>3491</v>
      </c>
      <c r="B1243" s="18">
        <v>1991.0</v>
      </c>
      <c r="C1243" s="18" t="s">
        <v>209</v>
      </c>
      <c r="D1243" s="18">
        <v>17.0</v>
      </c>
      <c r="E1243" s="18" t="str">
        <f t="shared" si="1"/>
        <v>17/11/91</v>
      </c>
      <c r="F1243" s="18">
        <v>3.0</v>
      </c>
      <c r="G1243" s="27">
        <v>10315.91</v>
      </c>
      <c r="H1243" s="18" t="s">
        <v>142</v>
      </c>
      <c r="I1243" s="18" t="s">
        <v>140</v>
      </c>
      <c r="J1243" s="18" t="s">
        <v>325</v>
      </c>
      <c r="K1243" s="29">
        <f t="shared" si="2"/>
        <v>31</v>
      </c>
    </row>
    <row r="1244" ht="15.75" customHeight="1">
      <c r="A1244" s="18" t="s">
        <v>3488</v>
      </c>
      <c r="B1244" s="18">
        <v>1991.0</v>
      </c>
      <c r="C1244" s="18" t="s">
        <v>501</v>
      </c>
      <c r="D1244" s="18">
        <v>21.0</v>
      </c>
      <c r="E1244" s="18" t="str">
        <f t="shared" si="1"/>
        <v>21/08/91</v>
      </c>
      <c r="F1244" s="18">
        <v>3.0</v>
      </c>
      <c r="G1244" s="27">
        <v>10322.9</v>
      </c>
      <c r="H1244" s="18" t="s">
        <v>142</v>
      </c>
      <c r="I1244" s="18" t="s">
        <v>219</v>
      </c>
      <c r="J1244" s="18" t="s">
        <v>3559</v>
      </c>
      <c r="K1244" s="29">
        <f t="shared" si="2"/>
        <v>31</v>
      </c>
    </row>
    <row r="1245" ht="15.75" customHeight="1">
      <c r="A1245" s="18" t="s">
        <v>3485</v>
      </c>
      <c r="B1245" s="18">
        <v>1970.0</v>
      </c>
      <c r="C1245" s="18" t="s">
        <v>457</v>
      </c>
      <c r="D1245" s="18">
        <v>1.0</v>
      </c>
      <c r="E1245" s="18" t="str">
        <f t="shared" si="1"/>
        <v>01/12/70</v>
      </c>
      <c r="F1245" s="18">
        <v>2.0</v>
      </c>
      <c r="G1245" s="27">
        <v>10325.21</v>
      </c>
      <c r="H1245" s="18" t="s">
        <v>142</v>
      </c>
      <c r="I1245" s="18" t="s">
        <v>142</v>
      </c>
      <c r="J1245" s="18" t="s">
        <v>570</v>
      </c>
      <c r="K1245" s="29">
        <f t="shared" si="2"/>
        <v>52</v>
      </c>
    </row>
    <row r="1246" ht="15.75" customHeight="1">
      <c r="A1246" s="18" t="s">
        <v>3484</v>
      </c>
      <c r="B1246" s="18">
        <v>1982.0</v>
      </c>
      <c r="C1246" s="18" t="s">
        <v>91</v>
      </c>
      <c r="D1246" s="18">
        <v>21.0</v>
      </c>
      <c r="E1246" s="18" t="str">
        <f t="shared" si="1"/>
        <v>21/07/82</v>
      </c>
      <c r="F1246" s="18">
        <v>3.0</v>
      </c>
      <c r="G1246" s="27">
        <v>10329.06</v>
      </c>
      <c r="H1246" s="18" t="s">
        <v>142</v>
      </c>
      <c r="I1246" s="18" t="s">
        <v>219</v>
      </c>
      <c r="J1246" s="18" t="s">
        <v>2314</v>
      </c>
      <c r="K1246" s="29">
        <f t="shared" si="2"/>
        <v>40</v>
      </c>
    </row>
    <row r="1247" ht="15.75" customHeight="1">
      <c r="A1247" s="18" t="s">
        <v>3481</v>
      </c>
      <c r="B1247" s="18">
        <v>1968.0</v>
      </c>
      <c r="C1247" s="18" t="s">
        <v>91</v>
      </c>
      <c r="D1247" s="18">
        <v>19.0</v>
      </c>
      <c r="E1247" s="18" t="str">
        <f t="shared" si="1"/>
        <v>19/07/68</v>
      </c>
      <c r="F1247" s="18">
        <v>0.0</v>
      </c>
      <c r="G1247" s="27">
        <v>10338.93</v>
      </c>
      <c r="H1247" s="18" t="s">
        <v>142</v>
      </c>
      <c r="I1247" s="18" t="s">
        <v>219</v>
      </c>
      <c r="J1247" s="18" t="s">
        <v>146</v>
      </c>
      <c r="K1247" s="29">
        <f t="shared" si="2"/>
        <v>54</v>
      </c>
    </row>
    <row r="1248" ht="15.75" customHeight="1">
      <c r="A1248" s="18" t="s">
        <v>3478</v>
      </c>
      <c r="B1248" s="18">
        <v>1973.0</v>
      </c>
      <c r="C1248" s="18" t="s">
        <v>501</v>
      </c>
      <c r="D1248" s="18">
        <v>8.0</v>
      </c>
      <c r="E1248" s="18" t="str">
        <f t="shared" si="1"/>
        <v>08/08/73</v>
      </c>
      <c r="F1248" s="18">
        <v>0.0</v>
      </c>
      <c r="G1248" s="27">
        <v>10345.93</v>
      </c>
      <c r="H1248" s="18" t="s">
        <v>142</v>
      </c>
      <c r="I1248" s="18" t="s">
        <v>140</v>
      </c>
      <c r="J1248" s="18" t="s">
        <v>2314</v>
      </c>
      <c r="K1248" s="29">
        <f t="shared" si="2"/>
        <v>49</v>
      </c>
    </row>
    <row r="1249" ht="15.75" customHeight="1">
      <c r="A1249" s="18" t="s">
        <v>3475</v>
      </c>
      <c r="B1249" s="18">
        <v>1974.0</v>
      </c>
      <c r="C1249" s="18" t="s">
        <v>272</v>
      </c>
      <c r="D1249" s="18">
        <v>29.0</v>
      </c>
      <c r="E1249" s="18" t="str">
        <f t="shared" si="1"/>
        <v>29/09/74</v>
      </c>
      <c r="F1249" s="18">
        <v>0.0</v>
      </c>
      <c r="G1249" s="27">
        <v>10352.48</v>
      </c>
      <c r="H1249" s="18" t="s">
        <v>142</v>
      </c>
      <c r="I1249" s="18" t="s">
        <v>219</v>
      </c>
      <c r="J1249" s="18" t="s">
        <v>325</v>
      </c>
      <c r="K1249" s="29">
        <f t="shared" si="2"/>
        <v>48</v>
      </c>
    </row>
    <row r="1250" ht="15.75" customHeight="1">
      <c r="A1250" s="18" t="s">
        <v>3472</v>
      </c>
      <c r="B1250" s="18">
        <v>1969.0</v>
      </c>
      <c r="C1250" s="18" t="s">
        <v>241</v>
      </c>
      <c r="D1250" s="18">
        <v>17.0</v>
      </c>
      <c r="E1250" s="18" t="str">
        <f t="shared" si="1"/>
        <v>17/06/69</v>
      </c>
      <c r="F1250" s="18">
        <v>0.0</v>
      </c>
      <c r="G1250" s="27">
        <v>10355.64</v>
      </c>
      <c r="H1250" s="18" t="s">
        <v>142</v>
      </c>
      <c r="I1250" s="18" t="s">
        <v>219</v>
      </c>
      <c r="J1250" s="18" t="s">
        <v>325</v>
      </c>
      <c r="K1250" s="29">
        <f t="shared" si="2"/>
        <v>53</v>
      </c>
    </row>
    <row r="1251" ht="15.75" customHeight="1">
      <c r="A1251" s="18" t="s">
        <v>3469</v>
      </c>
      <c r="B1251" s="18">
        <v>1971.0</v>
      </c>
      <c r="C1251" s="18" t="s">
        <v>272</v>
      </c>
      <c r="D1251" s="18">
        <v>6.0</v>
      </c>
      <c r="E1251" s="18" t="str">
        <f t="shared" si="1"/>
        <v>06/09/71</v>
      </c>
      <c r="F1251" s="18">
        <v>0.0</v>
      </c>
      <c r="G1251" s="27">
        <v>10356.67</v>
      </c>
      <c r="H1251" s="18" t="s">
        <v>142</v>
      </c>
      <c r="I1251" s="18" t="s">
        <v>219</v>
      </c>
      <c r="J1251" s="18" t="s">
        <v>1647</v>
      </c>
      <c r="K1251" s="29">
        <f t="shared" si="2"/>
        <v>51</v>
      </c>
    </row>
    <row r="1252" ht="15.75" customHeight="1">
      <c r="A1252" s="18" t="s">
        <v>3465</v>
      </c>
      <c r="B1252" s="18">
        <v>1973.0</v>
      </c>
      <c r="C1252" s="18" t="s">
        <v>272</v>
      </c>
      <c r="D1252" s="18">
        <v>29.0</v>
      </c>
      <c r="E1252" s="18" t="str">
        <f t="shared" si="1"/>
        <v>29/09/73</v>
      </c>
      <c r="F1252" s="18">
        <v>2.0</v>
      </c>
      <c r="G1252" s="27">
        <v>10370.91</v>
      </c>
      <c r="H1252" s="18" t="s">
        <v>142</v>
      </c>
      <c r="I1252" s="18" t="s">
        <v>142</v>
      </c>
      <c r="J1252" s="18" t="s">
        <v>2024</v>
      </c>
      <c r="K1252" s="29">
        <f t="shared" si="2"/>
        <v>49</v>
      </c>
    </row>
    <row r="1253" ht="15.75" customHeight="1">
      <c r="A1253" s="18" t="s">
        <v>3462</v>
      </c>
      <c r="B1253" s="18">
        <v>1973.0</v>
      </c>
      <c r="C1253" s="18" t="s">
        <v>272</v>
      </c>
      <c r="D1253" s="18">
        <v>19.0</v>
      </c>
      <c r="E1253" s="18" t="str">
        <f t="shared" si="1"/>
        <v>19/09/73</v>
      </c>
      <c r="F1253" s="18">
        <v>3.0</v>
      </c>
      <c r="G1253" s="27">
        <v>10381.48</v>
      </c>
      <c r="H1253" s="18" t="s">
        <v>142</v>
      </c>
      <c r="I1253" s="18" t="s">
        <v>142</v>
      </c>
      <c r="J1253" s="18" t="s">
        <v>146</v>
      </c>
      <c r="K1253" s="29">
        <f t="shared" si="2"/>
        <v>49</v>
      </c>
    </row>
    <row r="1254" ht="15.75" customHeight="1">
      <c r="A1254" s="18" t="s">
        <v>3459</v>
      </c>
      <c r="B1254" s="18">
        <v>1969.0</v>
      </c>
      <c r="C1254" s="18" t="s">
        <v>91</v>
      </c>
      <c r="D1254" s="18">
        <v>7.0</v>
      </c>
      <c r="E1254" s="18" t="str">
        <f t="shared" si="1"/>
        <v>07/07/69</v>
      </c>
      <c r="F1254" s="18">
        <v>0.0</v>
      </c>
      <c r="G1254" s="27">
        <v>10403.27</v>
      </c>
      <c r="H1254" s="18" t="s">
        <v>142</v>
      </c>
      <c r="I1254" s="18" t="s">
        <v>140</v>
      </c>
      <c r="J1254" s="18" t="s">
        <v>3443</v>
      </c>
      <c r="K1254" s="29">
        <f t="shared" si="2"/>
        <v>53</v>
      </c>
    </row>
    <row r="1255" ht="15.75" customHeight="1">
      <c r="A1255" s="18" t="s">
        <v>3457</v>
      </c>
      <c r="B1255" s="18">
        <v>1975.0</v>
      </c>
      <c r="C1255" s="18" t="s">
        <v>241</v>
      </c>
      <c r="D1255" s="18">
        <v>5.0</v>
      </c>
      <c r="E1255" s="18" t="str">
        <f t="shared" si="1"/>
        <v>05/06/75</v>
      </c>
      <c r="F1255" s="18">
        <v>4.0</v>
      </c>
      <c r="G1255" s="27">
        <v>10407.09</v>
      </c>
      <c r="H1255" s="18" t="s">
        <v>142</v>
      </c>
      <c r="I1255" s="18" t="s">
        <v>219</v>
      </c>
      <c r="J1255" s="18" t="s">
        <v>1414</v>
      </c>
      <c r="K1255" s="29">
        <f t="shared" si="2"/>
        <v>48</v>
      </c>
    </row>
    <row r="1256" ht="15.75" customHeight="1">
      <c r="A1256" s="18" t="s">
        <v>3454</v>
      </c>
      <c r="B1256" s="18">
        <v>1980.0</v>
      </c>
      <c r="C1256" s="18" t="s">
        <v>517</v>
      </c>
      <c r="D1256" s="18">
        <v>24.0</v>
      </c>
      <c r="E1256" s="18" t="str">
        <f t="shared" si="1"/>
        <v>24/10/80</v>
      </c>
      <c r="F1256" s="18">
        <v>2.0</v>
      </c>
      <c r="G1256" s="27">
        <v>10407.98</v>
      </c>
      <c r="H1256" s="18" t="s">
        <v>142</v>
      </c>
      <c r="I1256" s="18" t="s">
        <v>219</v>
      </c>
      <c r="J1256" s="18" t="s">
        <v>2314</v>
      </c>
      <c r="K1256" s="29">
        <f t="shared" si="2"/>
        <v>42</v>
      </c>
    </row>
    <row r="1257" ht="15.75" customHeight="1">
      <c r="A1257" s="18" t="s">
        <v>3450</v>
      </c>
      <c r="B1257" s="18">
        <v>1973.0</v>
      </c>
      <c r="C1257" s="18" t="s">
        <v>517</v>
      </c>
      <c r="D1257" s="18">
        <v>11.0</v>
      </c>
      <c r="E1257" s="18" t="str">
        <f t="shared" si="1"/>
        <v>11/10/73</v>
      </c>
      <c r="F1257" s="18">
        <v>0.0</v>
      </c>
      <c r="G1257" s="27">
        <v>10419.59</v>
      </c>
      <c r="H1257" s="18" t="s">
        <v>142</v>
      </c>
      <c r="I1257" s="18" t="s">
        <v>140</v>
      </c>
      <c r="J1257" s="18" t="s">
        <v>1647</v>
      </c>
      <c r="K1257" s="29">
        <f t="shared" si="2"/>
        <v>49</v>
      </c>
    </row>
    <row r="1258" ht="15.75" customHeight="1">
      <c r="A1258" s="18" t="s">
        <v>3447</v>
      </c>
      <c r="B1258" s="18">
        <v>1979.0</v>
      </c>
      <c r="C1258" s="18" t="s">
        <v>209</v>
      </c>
      <c r="D1258" s="18">
        <v>25.0</v>
      </c>
      <c r="E1258" s="18" t="str">
        <f t="shared" si="1"/>
        <v>25/11/79</v>
      </c>
      <c r="F1258" s="18">
        <v>2.0</v>
      </c>
      <c r="G1258" s="27">
        <v>10419.65</v>
      </c>
      <c r="H1258" s="18" t="s">
        <v>142</v>
      </c>
      <c r="I1258" s="18" t="s">
        <v>140</v>
      </c>
      <c r="J1258" s="18" t="s">
        <v>1647</v>
      </c>
      <c r="K1258" s="29">
        <f t="shared" si="2"/>
        <v>43</v>
      </c>
    </row>
    <row r="1259" ht="15.75" customHeight="1">
      <c r="A1259" s="18" t="s">
        <v>3440</v>
      </c>
      <c r="B1259" s="18">
        <v>1968.0</v>
      </c>
      <c r="C1259" s="18" t="s">
        <v>457</v>
      </c>
      <c r="D1259" s="18">
        <v>27.0</v>
      </c>
      <c r="E1259" s="18" t="str">
        <f t="shared" si="1"/>
        <v>27/12/68</v>
      </c>
      <c r="F1259" s="18">
        <v>0.0</v>
      </c>
      <c r="G1259" s="27">
        <v>10422.92</v>
      </c>
      <c r="H1259" s="18" t="s">
        <v>142</v>
      </c>
      <c r="I1259" s="18" t="s">
        <v>219</v>
      </c>
      <c r="J1259" s="18" t="s">
        <v>2617</v>
      </c>
      <c r="K1259" s="29">
        <f t="shared" si="2"/>
        <v>54</v>
      </c>
    </row>
    <row r="1260" ht="15.75" customHeight="1">
      <c r="A1260" s="18" t="s">
        <v>3437</v>
      </c>
      <c r="B1260" s="18">
        <v>1968.0</v>
      </c>
      <c r="C1260" s="18" t="s">
        <v>501</v>
      </c>
      <c r="D1260" s="18">
        <v>23.0</v>
      </c>
      <c r="E1260" s="18" t="str">
        <f t="shared" si="1"/>
        <v>23/08/68</v>
      </c>
      <c r="F1260" s="18">
        <v>0.0</v>
      </c>
      <c r="G1260" s="27">
        <v>10435.07</v>
      </c>
      <c r="H1260" s="18" t="s">
        <v>142</v>
      </c>
      <c r="I1260" s="18" t="s">
        <v>219</v>
      </c>
      <c r="J1260" s="18" t="s">
        <v>1427</v>
      </c>
      <c r="K1260" s="29">
        <f t="shared" si="2"/>
        <v>54</v>
      </c>
    </row>
    <row r="1261" ht="15.75" customHeight="1">
      <c r="A1261" s="18" t="s">
        <v>3434</v>
      </c>
      <c r="B1261" s="18">
        <v>1968.0</v>
      </c>
      <c r="C1261" s="18" t="s">
        <v>501</v>
      </c>
      <c r="D1261" s="18">
        <v>29.0</v>
      </c>
      <c r="E1261" s="18" t="str">
        <f t="shared" si="1"/>
        <v>29/08/68</v>
      </c>
      <c r="F1261" s="18">
        <v>1.0</v>
      </c>
      <c r="G1261" s="27">
        <v>10436.1</v>
      </c>
      <c r="H1261" s="18" t="s">
        <v>142</v>
      </c>
      <c r="I1261" s="18" t="s">
        <v>142</v>
      </c>
      <c r="J1261" s="18" t="s">
        <v>570</v>
      </c>
      <c r="K1261" s="29">
        <f t="shared" si="2"/>
        <v>54</v>
      </c>
    </row>
    <row r="1262" ht="15.75" customHeight="1">
      <c r="A1262" s="18" t="s">
        <v>3431</v>
      </c>
      <c r="B1262" s="18">
        <v>1968.0</v>
      </c>
      <c r="C1262" s="18" t="s">
        <v>209</v>
      </c>
      <c r="D1262" s="18">
        <v>8.0</v>
      </c>
      <c r="E1262" s="18" t="str">
        <f t="shared" si="1"/>
        <v>08/11/68</v>
      </c>
      <c r="F1262" s="18">
        <v>1.0</v>
      </c>
      <c r="G1262" s="27">
        <v>10450.55</v>
      </c>
      <c r="H1262" s="18" t="s">
        <v>142</v>
      </c>
      <c r="I1262" s="18" t="s">
        <v>219</v>
      </c>
      <c r="J1262" s="18" t="s">
        <v>570</v>
      </c>
      <c r="K1262" s="29">
        <f t="shared" si="2"/>
        <v>54</v>
      </c>
    </row>
    <row r="1263" ht="15.75" customHeight="1">
      <c r="A1263" s="18" t="s">
        <v>3427</v>
      </c>
      <c r="B1263" s="18">
        <v>1964.0</v>
      </c>
      <c r="C1263" s="18" t="s">
        <v>517</v>
      </c>
      <c r="D1263" s="18">
        <v>14.0</v>
      </c>
      <c r="E1263" s="18" t="str">
        <f t="shared" si="1"/>
        <v>14/10/64</v>
      </c>
      <c r="F1263" s="18">
        <v>0.0</v>
      </c>
      <c r="G1263" s="27">
        <v>10455.1</v>
      </c>
      <c r="H1263" s="18" t="s">
        <v>142</v>
      </c>
      <c r="I1263" s="18" t="s">
        <v>219</v>
      </c>
      <c r="J1263" s="18" t="s">
        <v>325</v>
      </c>
      <c r="K1263" s="29">
        <f t="shared" si="2"/>
        <v>58</v>
      </c>
    </row>
    <row r="1264" ht="15.75" customHeight="1">
      <c r="A1264" s="18" t="s">
        <v>3425</v>
      </c>
      <c r="B1264" s="18">
        <v>1976.0</v>
      </c>
      <c r="C1264" s="18" t="s">
        <v>501</v>
      </c>
      <c r="D1264" s="18">
        <v>3.0</v>
      </c>
      <c r="E1264" s="18" t="str">
        <f t="shared" si="1"/>
        <v>03/08/76</v>
      </c>
      <c r="F1264" s="18">
        <v>2.0</v>
      </c>
      <c r="G1264" s="27">
        <v>10455.14</v>
      </c>
      <c r="H1264" s="18" t="s">
        <v>142</v>
      </c>
      <c r="I1264" s="18" t="s">
        <v>140</v>
      </c>
      <c r="J1264" s="18" t="s">
        <v>2314</v>
      </c>
      <c r="K1264" s="29">
        <f t="shared" si="2"/>
        <v>46</v>
      </c>
    </row>
    <row r="1265" ht="15.75" customHeight="1">
      <c r="A1265" s="18" t="s">
        <v>3422</v>
      </c>
      <c r="B1265" s="18">
        <v>1964.0</v>
      </c>
      <c r="C1265" s="18" t="s">
        <v>91</v>
      </c>
      <c r="D1265" s="18">
        <v>27.0</v>
      </c>
      <c r="E1265" s="18" t="str">
        <f t="shared" si="1"/>
        <v>27/07/64</v>
      </c>
      <c r="F1265" s="18">
        <v>0.0</v>
      </c>
      <c r="G1265" s="27">
        <v>10459.19</v>
      </c>
      <c r="H1265" s="18" t="s">
        <v>142</v>
      </c>
      <c r="I1265" s="18" t="s">
        <v>219</v>
      </c>
      <c r="J1265" s="18" t="s">
        <v>146</v>
      </c>
      <c r="K1265" s="29">
        <f t="shared" si="2"/>
        <v>58</v>
      </c>
    </row>
    <row r="1266" ht="15.75" customHeight="1">
      <c r="A1266" s="18" t="s">
        <v>3419</v>
      </c>
      <c r="B1266" s="18">
        <v>1969.0</v>
      </c>
      <c r="C1266" s="18" t="s">
        <v>272</v>
      </c>
      <c r="D1266" s="18">
        <v>22.0</v>
      </c>
      <c r="E1266" s="18" t="str">
        <f t="shared" si="1"/>
        <v>22/09/69</v>
      </c>
      <c r="F1266" s="18">
        <v>1.0</v>
      </c>
      <c r="G1266" s="27">
        <v>10461.98</v>
      </c>
      <c r="H1266" s="18" t="s">
        <v>142</v>
      </c>
      <c r="I1266" s="18" t="s">
        <v>219</v>
      </c>
      <c r="J1266" s="18" t="s">
        <v>325</v>
      </c>
      <c r="K1266" s="29">
        <f t="shared" si="2"/>
        <v>53</v>
      </c>
    </row>
    <row r="1267" ht="15.75" customHeight="1">
      <c r="A1267" s="18" t="s">
        <v>3416</v>
      </c>
      <c r="B1267" s="18">
        <v>1987.0</v>
      </c>
      <c r="C1267" s="18" t="s">
        <v>241</v>
      </c>
      <c r="D1267" s="18">
        <v>28.0</v>
      </c>
      <c r="E1267" s="18" t="str">
        <f t="shared" si="1"/>
        <v>28/06/87</v>
      </c>
      <c r="F1267" s="18">
        <v>3.0</v>
      </c>
      <c r="G1267" s="27">
        <v>10464.83</v>
      </c>
      <c r="H1267" s="18" t="s">
        <v>142</v>
      </c>
      <c r="I1267" s="18" t="s">
        <v>219</v>
      </c>
      <c r="J1267" s="18" t="s">
        <v>325</v>
      </c>
      <c r="K1267" s="29">
        <f t="shared" si="2"/>
        <v>35</v>
      </c>
    </row>
    <row r="1268" ht="15.75" customHeight="1">
      <c r="A1268" s="18" t="s">
        <v>3412</v>
      </c>
      <c r="B1268" s="18">
        <v>1978.0</v>
      </c>
      <c r="C1268" s="18" t="s">
        <v>501</v>
      </c>
      <c r="D1268" s="18">
        <v>21.0</v>
      </c>
      <c r="E1268" s="18" t="str">
        <f t="shared" si="1"/>
        <v>21/08/78</v>
      </c>
      <c r="F1268" s="18">
        <v>2.0</v>
      </c>
      <c r="G1268" s="27">
        <v>10486.55</v>
      </c>
      <c r="H1268" s="18" t="s">
        <v>142</v>
      </c>
      <c r="I1268" s="18" t="s">
        <v>142</v>
      </c>
      <c r="J1268" s="18" t="s">
        <v>1647</v>
      </c>
      <c r="K1268" s="29">
        <f t="shared" si="2"/>
        <v>44</v>
      </c>
    </row>
    <row r="1269" ht="15.75" customHeight="1">
      <c r="A1269" s="18" t="s">
        <v>3410</v>
      </c>
      <c r="B1269" s="18">
        <v>1972.0</v>
      </c>
      <c r="C1269" s="18" t="s">
        <v>517</v>
      </c>
      <c r="D1269" s="18">
        <v>19.0</v>
      </c>
      <c r="E1269" s="18" t="str">
        <f t="shared" si="1"/>
        <v>19/10/72</v>
      </c>
      <c r="F1269" s="18">
        <v>2.0</v>
      </c>
      <c r="G1269" s="27">
        <v>10493.95</v>
      </c>
      <c r="H1269" s="18" t="s">
        <v>142</v>
      </c>
      <c r="I1269" s="18" t="s">
        <v>219</v>
      </c>
      <c r="J1269" s="18" t="s">
        <v>325</v>
      </c>
      <c r="K1269" s="29">
        <f t="shared" si="2"/>
        <v>50</v>
      </c>
    </row>
    <row r="1270" ht="15.75" customHeight="1">
      <c r="A1270" s="18" t="s">
        <v>3406</v>
      </c>
      <c r="B1270" s="18">
        <v>1977.0</v>
      </c>
      <c r="C1270" s="18" t="s">
        <v>517</v>
      </c>
      <c r="D1270" s="18">
        <v>25.0</v>
      </c>
      <c r="E1270" s="18" t="str">
        <f t="shared" si="1"/>
        <v>25/10/77</v>
      </c>
      <c r="F1270" s="18">
        <v>2.0</v>
      </c>
      <c r="G1270" s="27">
        <v>10495.6</v>
      </c>
      <c r="H1270" s="18" t="s">
        <v>142</v>
      </c>
      <c r="I1270" s="18" t="s">
        <v>219</v>
      </c>
      <c r="J1270" s="18" t="s">
        <v>325</v>
      </c>
      <c r="K1270" s="29">
        <f t="shared" si="2"/>
        <v>45</v>
      </c>
    </row>
    <row r="1271" ht="15.75" customHeight="1">
      <c r="A1271" s="18" t="s">
        <v>3404</v>
      </c>
      <c r="B1271" s="18">
        <v>1971.0</v>
      </c>
      <c r="C1271" s="18" t="s">
        <v>272</v>
      </c>
      <c r="D1271" s="18">
        <v>26.0</v>
      </c>
      <c r="E1271" s="18" t="str">
        <f t="shared" si="1"/>
        <v>26/09/71</v>
      </c>
      <c r="F1271" s="18">
        <v>0.0</v>
      </c>
      <c r="G1271" s="27">
        <v>10546.48</v>
      </c>
      <c r="H1271" s="18" t="s">
        <v>142</v>
      </c>
      <c r="I1271" s="18" t="s">
        <v>142</v>
      </c>
      <c r="J1271" s="18" t="s">
        <v>570</v>
      </c>
      <c r="K1271" s="29">
        <f t="shared" si="2"/>
        <v>51</v>
      </c>
    </row>
    <row r="1272" ht="15.75" customHeight="1">
      <c r="A1272" s="18" t="s">
        <v>3401</v>
      </c>
      <c r="B1272" s="18">
        <v>1971.0</v>
      </c>
      <c r="C1272" s="18" t="s">
        <v>241</v>
      </c>
      <c r="D1272" s="18">
        <v>29.0</v>
      </c>
      <c r="E1272" s="18" t="str">
        <f t="shared" si="1"/>
        <v>29/06/71</v>
      </c>
      <c r="F1272" s="18">
        <v>3.0</v>
      </c>
      <c r="G1272" s="27">
        <v>10560.49</v>
      </c>
      <c r="H1272" s="18" t="s">
        <v>142</v>
      </c>
      <c r="I1272" s="18" t="s">
        <v>140</v>
      </c>
      <c r="J1272" s="18" t="s">
        <v>146</v>
      </c>
      <c r="K1272" s="29">
        <f t="shared" si="2"/>
        <v>51</v>
      </c>
    </row>
    <row r="1273" ht="15.75" customHeight="1">
      <c r="A1273" s="18" t="s">
        <v>3397</v>
      </c>
      <c r="B1273" s="18">
        <v>1969.0</v>
      </c>
      <c r="C1273" s="18" t="s">
        <v>91</v>
      </c>
      <c r="D1273" s="18">
        <v>17.0</v>
      </c>
      <c r="E1273" s="18" t="str">
        <f t="shared" si="1"/>
        <v>17/07/69</v>
      </c>
      <c r="F1273" s="18">
        <v>0.0</v>
      </c>
      <c r="G1273" s="27">
        <v>10564.88</v>
      </c>
      <c r="H1273" s="18" t="s">
        <v>142</v>
      </c>
      <c r="I1273" s="18" t="s">
        <v>219</v>
      </c>
      <c r="J1273" s="18" t="s">
        <v>2024</v>
      </c>
      <c r="K1273" s="29">
        <f t="shared" si="2"/>
        <v>53</v>
      </c>
    </row>
    <row r="1274" ht="15.75" customHeight="1">
      <c r="A1274" s="18" t="s">
        <v>3394</v>
      </c>
      <c r="B1274" s="18">
        <v>1966.0</v>
      </c>
      <c r="C1274" s="18" t="s">
        <v>457</v>
      </c>
      <c r="D1274" s="18">
        <v>11.0</v>
      </c>
      <c r="E1274" s="18" t="str">
        <f t="shared" si="1"/>
        <v>11/12/66</v>
      </c>
      <c r="F1274" s="18">
        <v>0.0</v>
      </c>
      <c r="G1274" s="27">
        <v>10577.09</v>
      </c>
      <c r="H1274" s="18" t="s">
        <v>142</v>
      </c>
      <c r="I1274" s="18" t="s">
        <v>142</v>
      </c>
      <c r="J1274" s="18" t="s">
        <v>570</v>
      </c>
      <c r="K1274" s="29">
        <f t="shared" si="2"/>
        <v>56</v>
      </c>
    </row>
    <row r="1275" ht="15.75" customHeight="1">
      <c r="A1275" s="18" t="s">
        <v>3390</v>
      </c>
      <c r="B1275" s="18">
        <v>1969.0</v>
      </c>
      <c r="C1275" s="18" t="s">
        <v>457</v>
      </c>
      <c r="D1275" s="18">
        <v>25.0</v>
      </c>
      <c r="E1275" s="18" t="str">
        <f t="shared" si="1"/>
        <v>25/12/69</v>
      </c>
      <c r="F1275" s="18">
        <v>1.0</v>
      </c>
      <c r="G1275" s="27">
        <v>10579.71</v>
      </c>
      <c r="H1275" s="18" t="s">
        <v>142</v>
      </c>
      <c r="I1275" s="18" t="s">
        <v>142</v>
      </c>
      <c r="J1275" s="18" t="s">
        <v>146</v>
      </c>
      <c r="K1275" s="29">
        <f t="shared" si="2"/>
        <v>53</v>
      </c>
    </row>
    <row r="1276" ht="15.75" customHeight="1">
      <c r="A1276" s="18" t="s">
        <v>3387</v>
      </c>
      <c r="B1276" s="18">
        <v>1966.0</v>
      </c>
      <c r="C1276" s="18" t="s">
        <v>209</v>
      </c>
      <c r="D1276" s="18">
        <v>3.0</v>
      </c>
      <c r="E1276" s="18" t="str">
        <f t="shared" si="1"/>
        <v>03/11/66</v>
      </c>
      <c r="F1276" s="18">
        <v>0.0</v>
      </c>
      <c r="G1276" s="27">
        <v>10594.23</v>
      </c>
      <c r="H1276" s="18" t="s">
        <v>142</v>
      </c>
      <c r="I1276" s="18" t="s">
        <v>142</v>
      </c>
      <c r="J1276" s="18" t="s">
        <v>146</v>
      </c>
      <c r="K1276" s="29">
        <f t="shared" si="2"/>
        <v>56</v>
      </c>
    </row>
    <row r="1277" ht="15.75" customHeight="1">
      <c r="A1277" s="18" t="s">
        <v>3383</v>
      </c>
      <c r="B1277" s="18">
        <v>1967.0</v>
      </c>
      <c r="C1277" s="18" t="s">
        <v>209</v>
      </c>
      <c r="D1277" s="18">
        <v>29.0</v>
      </c>
      <c r="E1277" s="18" t="str">
        <f t="shared" si="1"/>
        <v>29/11/67</v>
      </c>
      <c r="F1277" s="18">
        <v>0.0</v>
      </c>
      <c r="G1277" s="27">
        <v>10594.5</v>
      </c>
      <c r="H1277" s="18" t="s">
        <v>142</v>
      </c>
      <c r="I1277" s="18" t="s">
        <v>219</v>
      </c>
      <c r="J1277" s="18" t="s">
        <v>325</v>
      </c>
      <c r="K1277" s="29">
        <f t="shared" si="2"/>
        <v>55</v>
      </c>
    </row>
    <row r="1278" ht="15.75" customHeight="1">
      <c r="A1278" s="18" t="s">
        <v>3381</v>
      </c>
      <c r="B1278" s="18">
        <v>1972.0</v>
      </c>
      <c r="C1278" s="18" t="s">
        <v>457</v>
      </c>
      <c r="D1278" s="18">
        <v>14.0</v>
      </c>
      <c r="E1278" s="18" t="str">
        <f t="shared" si="1"/>
        <v>14/12/72</v>
      </c>
      <c r="F1278" s="18">
        <v>3.0</v>
      </c>
      <c r="G1278" s="27">
        <v>10600.55</v>
      </c>
      <c r="H1278" s="18" t="s">
        <v>142</v>
      </c>
      <c r="I1278" s="18" t="s">
        <v>219</v>
      </c>
      <c r="J1278" s="18" t="s">
        <v>325</v>
      </c>
      <c r="K1278" s="29">
        <f t="shared" si="2"/>
        <v>50</v>
      </c>
    </row>
    <row r="1279" ht="15.75" customHeight="1">
      <c r="A1279" s="18" t="s">
        <v>3377</v>
      </c>
      <c r="B1279" s="18">
        <v>1966.0</v>
      </c>
      <c r="C1279" s="18" t="s">
        <v>91</v>
      </c>
      <c r="D1279" s="18">
        <v>20.0</v>
      </c>
      <c r="E1279" s="18" t="str">
        <f t="shared" si="1"/>
        <v>20/07/66</v>
      </c>
      <c r="F1279" s="18">
        <v>0.0</v>
      </c>
      <c r="G1279" s="27">
        <v>10601.41</v>
      </c>
      <c r="H1279" s="18" t="s">
        <v>142</v>
      </c>
      <c r="I1279" s="18" t="s">
        <v>140</v>
      </c>
      <c r="J1279" s="18" t="s">
        <v>570</v>
      </c>
      <c r="K1279" s="29">
        <f t="shared" si="2"/>
        <v>56</v>
      </c>
    </row>
    <row r="1280" ht="15.75" customHeight="1">
      <c r="A1280" s="18" t="s">
        <v>3373</v>
      </c>
      <c r="B1280" s="18">
        <v>1967.0</v>
      </c>
      <c r="C1280" s="18" t="s">
        <v>241</v>
      </c>
      <c r="D1280" s="18">
        <v>23.0</v>
      </c>
      <c r="E1280" s="18" t="str">
        <f t="shared" si="1"/>
        <v>23/06/67</v>
      </c>
      <c r="F1280" s="18">
        <v>0.0</v>
      </c>
      <c r="G1280" s="27">
        <v>10601.63</v>
      </c>
      <c r="H1280" s="18" t="s">
        <v>142</v>
      </c>
      <c r="I1280" s="18" t="s">
        <v>140</v>
      </c>
      <c r="J1280" s="18" t="s">
        <v>325</v>
      </c>
      <c r="K1280" s="29">
        <f t="shared" si="2"/>
        <v>55</v>
      </c>
    </row>
    <row r="1281" ht="15.75" customHeight="1">
      <c r="A1281" s="18" t="s">
        <v>3371</v>
      </c>
      <c r="B1281" s="18">
        <v>1966.0</v>
      </c>
      <c r="C1281" s="18" t="s">
        <v>91</v>
      </c>
      <c r="D1281" s="18">
        <v>2.0</v>
      </c>
      <c r="E1281" s="18" t="str">
        <f t="shared" si="1"/>
        <v>02/07/66</v>
      </c>
      <c r="F1281" s="18">
        <v>0.0</v>
      </c>
      <c r="G1281" s="27">
        <v>10602.39</v>
      </c>
      <c r="H1281" s="18" t="s">
        <v>142</v>
      </c>
      <c r="I1281" s="18" t="s">
        <v>142</v>
      </c>
      <c r="J1281" s="18" t="s">
        <v>570</v>
      </c>
      <c r="K1281" s="29">
        <f t="shared" si="2"/>
        <v>56</v>
      </c>
    </row>
    <row r="1282" ht="15.75" customHeight="1">
      <c r="A1282" s="18" t="s">
        <v>3368</v>
      </c>
      <c r="B1282" s="18">
        <v>1965.0</v>
      </c>
      <c r="C1282" s="18" t="s">
        <v>241</v>
      </c>
      <c r="D1282" s="18">
        <v>27.0</v>
      </c>
      <c r="E1282" s="18" t="str">
        <f t="shared" si="1"/>
        <v>27/06/65</v>
      </c>
      <c r="F1282" s="18">
        <v>0.0</v>
      </c>
      <c r="G1282" s="27">
        <v>10608.67</v>
      </c>
      <c r="H1282" s="18" t="s">
        <v>142</v>
      </c>
      <c r="I1282" s="18" t="s">
        <v>142</v>
      </c>
      <c r="J1282" s="18" t="s">
        <v>325</v>
      </c>
      <c r="K1282" s="29">
        <f t="shared" si="2"/>
        <v>57</v>
      </c>
    </row>
    <row r="1283" ht="15.75" customHeight="1">
      <c r="A1283" s="18" t="s">
        <v>3366</v>
      </c>
      <c r="B1283" s="18">
        <v>1992.0</v>
      </c>
      <c r="C1283" s="18" t="s">
        <v>91</v>
      </c>
      <c r="D1283" s="18">
        <v>23.0</v>
      </c>
      <c r="E1283" s="18" t="str">
        <f t="shared" si="1"/>
        <v>23/07/92</v>
      </c>
      <c r="F1283" s="18">
        <v>0.0</v>
      </c>
      <c r="G1283" s="27">
        <v>10617.04</v>
      </c>
      <c r="H1283" s="18" t="s">
        <v>142</v>
      </c>
      <c r="I1283" s="18" t="s">
        <v>142</v>
      </c>
      <c r="J1283" s="18" t="s">
        <v>3559</v>
      </c>
      <c r="K1283" s="29">
        <f t="shared" si="2"/>
        <v>30</v>
      </c>
    </row>
    <row r="1284" ht="15.75" customHeight="1">
      <c r="A1284" s="18" t="s">
        <v>3362</v>
      </c>
      <c r="B1284" s="18">
        <v>1990.0</v>
      </c>
      <c r="C1284" s="18" t="s">
        <v>91</v>
      </c>
      <c r="D1284" s="18">
        <v>6.0</v>
      </c>
      <c r="E1284" s="18" t="str">
        <f t="shared" si="1"/>
        <v>06/07/90</v>
      </c>
      <c r="F1284" s="18">
        <v>3.0</v>
      </c>
      <c r="G1284" s="27">
        <v>10620.26</v>
      </c>
      <c r="H1284" s="18" t="s">
        <v>142</v>
      </c>
      <c r="I1284" s="18" t="s">
        <v>142</v>
      </c>
      <c r="J1284" s="18" t="s">
        <v>325</v>
      </c>
      <c r="K1284" s="29">
        <f t="shared" si="2"/>
        <v>32</v>
      </c>
    </row>
    <row r="1285" ht="15.75" customHeight="1">
      <c r="A1285" s="18" t="s">
        <v>3360</v>
      </c>
      <c r="B1285" s="18">
        <v>1964.0</v>
      </c>
      <c r="C1285" s="18" t="s">
        <v>501</v>
      </c>
      <c r="D1285" s="18">
        <v>8.0</v>
      </c>
      <c r="E1285" s="18" t="str">
        <f t="shared" si="1"/>
        <v>08/08/64</v>
      </c>
      <c r="F1285" s="18">
        <v>0.0</v>
      </c>
      <c r="G1285" s="27">
        <v>10627.81</v>
      </c>
      <c r="H1285" s="18" t="s">
        <v>142</v>
      </c>
      <c r="I1285" s="18" t="s">
        <v>142</v>
      </c>
      <c r="J1285" s="18" t="s">
        <v>146</v>
      </c>
      <c r="K1285" s="29">
        <f t="shared" si="2"/>
        <v>58</v>
      </c>
    </row>
    <row r="1286" ht="15.75" customHeight="1">
      <c r="A1286" s="18" t="s">
        <v>3356</v>
      </c>
      <c r="B1286" s="18">
        <v>1976.0</v>
      </c>
      <c r="C1286" s="18" t="s">
        <v>209</v>
      </c>
      <c r="D1286" s="18">
        <v>22.0</v>
      </c>
      <c r="E1286" s="18" t="str">
        <f t="shared" si="1"/>
        <v>22/11/76</v>
      </c>
      <c r="F1286" s="18">
        <v>2.0</v>
      </c>
      <c r="G1286" s="27">
        <v>10665.44</v>
      </c>
      <c r="H1286" s="18" t="s">
        <v>142</v>
      </c>
      <c r="I1286" s="18" t="s">
        <v>140</v>
      </c>
      <c r="J1286" s="18" t="s">
        <v>2314</v>
      </c>
      <c r="K1286" s="29">
        <f t="shared" si="2"/>
        <v>46</v>
      </c>
    </row>
    <row r="1287" ht="15.75" customHeight="1">
      <c r="A1287" s="18" t="s">
        <v>3352</v>
      </c>
      <c r="B1287" s="18">
        <v>1962.0</v>
      </c>
      <c r="C1287" s="18" t="s">
        <v>272</v>
      </c>
      <c r="D1287" s="18">
        <v>7.0</v>
      </c>
      <c r="E1287" s="18" t="str">
        <f t="shared" si="1"/>
        <v>07/09/62</v>
      </c>
      <c r="F1287" s="18">
        <v>0.0</v>
      </c>
      <c r="G1287" s="27">
        <v>10676.83</v>
      </c>
      <c r="H1287" s="18" t="s">
        <v>142</v>
      </c>
      <c r="I1287" s="18" t="s">
        <v>142</v>
      </c>
      <c r="J1287" s="18" t="s">
        <v>146</v>
      </c>
      <c r="K1287" s="29">
        <f t="shared" si="2"/>
        <v>60</v>
      </c>
    </row>
    <row r="1288" ht="15.75" customHeight="1">
      <c r="A1288" s="18" t="s">
        <v>3349</v>
      </c>
      <c r="B1288" s="18">
        <v>1977.0</v>
      </c>
      <c r="C1288" s="18" t="s">
        <v>501</v>
      </c>
      <c r="D1288" s="18">
        <v>2.0</v>
      </c>
      <c r="E1288" s="18" t="str">
        <f t="shared" si="1"/>
        <v>02/08/77</v>
      </c>
      <c r="F1288" s="18">
        <v>2.0</v>
      </c>
      <c r="G1288" s="27">
        <v>10690.11</v>
      </c>
      <c r="H1288" s="18" t="s">
        <v>142</v>
      </c>
      <c r="I1288" s="18" t="s">
        <v>140</v>
      </c>
      <c r="J1288" s="18" t="s">
        <v>2314</v>
      </c>
      <c r="K1288" s="29">
        <f t="shared" si="2"/>
        <v>45</v>
      </c>
    </row>
    <row r="1289" ht="15.75" customHeight="1">
      <c r="A1289" s="18" t="s">
        <v>3345</v>
      </c>
      <c r="B1289" s="18">
        <v>1976.0</v>
      </c>
      <c r="C1289" s="18" t="s">
        <v>272</v>
      </c>
      <c r="D1289" s="18">
        <v>30.0</v>
      </c>
      <c r="E1289" s="18" t="str">
        <f t="shared" si="1"/>
        <v>30/09/76</v>
      </c>
      <c r="F1289" s="18">
        <v>2.0</v>
      </c>
      <c r="G1289" s="27">
        <v>10698.38</v>
      </c>
      <c r="H1289" s="18" t="s">
        <v>142</v>
      </c>
      <c r="I1289" s="18" t="s">
        <v>219</v>
      </c>
      <c r="J1289" s="18" t="s">
        <v>1647</v>
      </c>
      <c r="K1289" s="29">
        <f t="shared" si="2"/>
        <v>46</v>
      </c>
    </row>
    <row r="1290" ht="15.75" customHeight="1">
      <c r="A1290" s="18" t="s">
        <v>3343</v>
      </c>
      <c r="B1290" s="18">
        <v>1972.0</v>
      </c>
      <c r="C1290" s="18" t="s">
        <v>517</v>
      </c>
      <c r="D1290" s="18">
        <v>24.0</v>
      </c>
      <c r="E1290" s="18" t="str">
        <f t="shared" si="1"/>
        <v>24/10/72</v>
      </c>
      <c r="F1290" s="18">
        <v>3.0</v>
      </c>
      <c r="G1290" s="27">
        <v>10702.64</v>
      </c>
      <c r="H1290" s="18" t="s">
        <v>142</v>
      </c>
      <c r="I1290" s="18" t="s">
        <v>142</v>
      </c>
      <c r="J1290" s="18" t="s">
        <v>146</v>
      </c>
      <c r="K1290" s="29">
        <f t="shared" si="2"/>
        <v>50</v>
      </c>
    </row>
    <row r="1291" ht="15.75" customHeight="1">
      <c r="A1291" s="18" t="s">
        <v>3339</v>
      </c>
      <c r="B1291" s="18">
        <v>1967.0</v>
      </c>
      <c r="C1291" s="18" t="s">
        <v>91</v>
      </c>
      <c r="D1291" s="18">
        <v>30.0</v>
      </c>
      <c r="E1291" s="18" t="str">
        <f t="shared" si="1"/>
        <v>30/07/67</v>
      </c>
      <c r="F1291" s="18">
        <v>0.0</v>
      </c>
      <c r="G1291" s="27">
        <v>10704.47</v>
      </c>
      <c r="H1291" s="18" t="s">
        <v>142</v>
      </c>
      <c r="I1291" s="18" t="s">
        <v>140</v>
      </c>
      <c r="J1291" s="18" t="s">
        <v>570</v>
      </c>
      <c r="K1291" s="29">
        <f t="shared" si="2"/>
        <v>55</v>
      </c>
    </row>
    <row r="1292" ht="15.75" customHeight="1">
      <c r="A1292" s="18" t="s">
        <v>3335</v>
      </c>
      <c r="B1292" s="18">
        <v>1967.0</v>
      </c>
      <c r="C1292" s="18" t="s">
        <v>517</v>
      </c>
      <c r="D1292" s="18">
        <v>5.0</v>
      </c>
      <c r="E1292" s="18" t="str">
        <f t="shared" si="1"/>
        <v>05/10/67</v>
      </c>
      <c r="F1292" s="18">
        <v>0.0</v>
      </c>
      <c r="G1292" s="27">
        <v>10713.64</v>
      </c>
      <c r="H1292" s="18" t="s">
        <v>142</v>
      </c>
      <c r="I1292" s="18" t="s">
        <v>142</v>
      </c>
      <c r="J1292" s="18" t="s">
        <v>570</v>
      </c>
      <c r="K1292" s="29">
        <f t="shared" si="2"/>
        <v>55</v>
      </c>
    </row>
    <row r="1293" ht="15.75" customHeight="1">
      <c r="A1293" s="18" t="s">
        <v>3333</v>
      </c>
      <c r="B1293" s="18">
        <v>1992.0</v>
      </c>
      <c r="C1293" s="18" t="s">
        <v>241</v>
      </c>
      <c r="D1293" s="18">
        <v>25.0</v>
      </c>
      <c r="E1293" s="18" t="str">
        <f t="shared" si="1"/>
        <v>25/06/92</v>
      </c>
      <c r="F1293" s="18">
        <v>0.0</v>
      </c>
      <c r="G1293" s="27">
        <v>10719.57</v>
      </c>
      <c r="H1293" s="18" t="s">
        <v>142</v>
      </c>
      <c r="I1293" s="18" t="s">
        <v>219</v>
      </c>
      <c r="J1293" s="18" t="s">
        <v>325</v>
      </c>
      <c r="K1293" s="29">
        <f t="shared" si="2"/>
        <v>30</v>
      </c>
    </row>
    <row r="1294" ht="15.75" customHeight="1">
      <c r="A1294" s="18" t="s">
        <v>3329</v>
      </c>
      <c r="B1294" s="18">
        <v>1974.0</v>
      </c>
      <c r="C1294" s="18" t="s">
        <v>457</v>
      </c>
      <c r="D1294" s="18">
        <v>9.0</v>
      </c>
      <c r="E1294" s="18" t="str">
        <f t="shared" si="1"/>
        <v>09/12/74</v>
      </c>
      <c r="F1294" s="18">
        <v>4.0</v>
      </c>
      <c r="G1294" s="27">
        <v>10736.87</v>
      </c>
      <c r="H1294" s="18" t="s">
        <v>142</v>
      </c>
      <c r="I1294" s="18" t="s">
        <v>219</v>
      </c>
      <c r="J1294" s="18" t="s">
        <v>1427</v>
      </c>
      <c r="K1294" s="29">
        <f t="shared" si="2"/>
        <v>48</v>
      </c>
    </row>
    <row r="1295" ht="15.75" customHeight="1">
      <c r="A1295" s="18" t="s">
        <v>3326</v>
      </c>
      <c r="B1295" s="18">
        <v>1986.0</v>
      </c>
      <c r="C1295" s="18" t="s">
        <v>501</v>
      </c>
      <c r="D1295" s="18">
        <v>29.0</v>
      </c>
      <c r="E1295" s="18" t="str">
        <f t="shared" si="1"/>
        <v>29/08/86</v>
      </c>
      <c r="F1295" s="18">
        <v>3.0</v>
      </c>
      <c r="G1295" s="27">
        <v>10749.02</v>
      </c>
      <c r="H1295" s="18" t="s">
        <v>142</v>
      </c>
      <c r="I1295" s="18" t="s">
        <v>219</v>
      </c>
      <c r="J1295" s="18" t="s">
        <v>3559</v>
      </c>
      <c r="K1295" s="29">
        <f t="shared" si="2"/>
        <v>36</v>
      </c>
    </row>
    <row r="1296" ht="15.75" customHeight="1">
      <c r="A1296" s="18" t="s">
        <v>3322</v>
      </c>
      <c r="B1296" s="18">
        <v>1989.0</v>
      </c>
      <c r="C1296" s="18" t="s">
        <v>209</v>
      </c>
      <c r="D1296" s="18">
        <v>25.0</v>
      </c>
      <c r="E1296" s="18" t="str">
        <f t="shared" si="1"/>
        <v>25/11/89</v>
      </c>
      <c r="F1296" s="18">
        <v>3.0</v>
      </c>
      <c r="G1296" s="27">
        <v>10769.75</v>
      </c>
      <c r="H1296" s="18" t="s">
        <v>142</v>
      </c>
      <c r="I1296" s="18" t="s">
        <v>140</v>
      </c>
      <c r="J1296" s="18" t="s">
        <v>3978</v>
      </c>
      <c r="K1296" s="29">
        <f t="shared" si="2"/>
        <v>33</v>
      </c>
    </row>
    <row r="1297" ht="15.75" customHeight="1">
      <c r="A1297" s="18" t="s">
        <v>3318</v>
      </c>
      <c r="B1297" s="18">
        <v>1967.0</v>
      </c>
      <c r="C1297" s="18" t="s">
        <v>209</v>
      </c>
      <c r="D1297" s="18">
        <v>11.0</v>
      </c>
      <c r="E1297" s="18" t="str">
        <f t="shared" si="1"/>
        <v>11/11/67</v>
      </c>
      <c r="F1297" s="18">
        <v>1.0</v>
      </c>
      <c r="G1297" s="27">
        <v>10791.96</v>
      </c>
      <c r="H1297" s="18" t="s">
        <v>142</v>
      </c>
      <c r="I1297" s="18" t="s">
        <v>140</v>
      </c>
      <c r="J1297" s="18" t="s">
        <v>570</v>
      </c>
      <c r="K1297" s="29">
        <f t="shared" si="2"/>
        <v>55</v>
      </c>
    </row>
    <row r="1298" ht="15.75" customHeight="1">
      <c r="A1298" s="18" t="s">
        <v>3315</v>
      </c>
      <c r="B1298" s="18">
        <v>1999.0</v>
      </c>
      <c r="C1298" s="18" t="s">
        <v>457</v>
      </c>
      <c r="D1298" s="18">
        <v>24.0</v>
      </c>
      <c r="E1298" s="18" t="str">
        <f t="shared" si="1"/>
        <v>24/12/99</v>
      </c>
      <c r="F1298" s="18">
        <v>0.0</v>
      </c>
      <c r="G1298" s="27">
        <v>10795.94</v>
      </c>
      <c r="H1298" s="18" t="s">
        <v>142</v>
      </c>
      <c r="I1298" s="18" t="s">
        <v>219</v>
      </c>
      <c r="J1298" s="18" t="s">
        <v>570</v>
      </c>
      <c r="K1298" s="29">
        <f t="shared" si="2"/>
        <v>23</v>
      </c>
    </row>
    <row r="1299" ht="15.75" customHeight="1">
      <c r="A1299" s="18" t="s">
        <v>3313</v>
      </c>
      <c r="B1299" s="18">
        <v>1967.0</v>
      </c>
      <c r="C1299" s="18" t="s">
        <v>517</v>
      </c>
      <c r="D1299" s="18">
        <v>23.0</v>
      </c>
      <c r="E1299" s="18" t="str">
        <f t="shared" si="1"/>
        <v>23/10/67</v>
      </c>
      <c r="F1299" s="18">
        <v>0.0</v>
      </c>
      <c r="G1299" s="27">
        <v>10796.35</v>
      </c>
      <c r="H1299" s="18" t="s">
        <v>142</v>
      </c>
      <c r="I1299" s="18" t="s">
        <v>219</v>
      </c>
      <c r="J1299" s="18" t="s">
        <v>1421</v>
      </c>
      <c r="K1299" s="29">
        <f t="shared" si="2"/>
        <v>55</v>
      </c>
    </row>
    <row r="1300" ht="15.75" customHeight="1">
      <c r="A1300" s="18" t="s">
        <v>3310</v>
      </c>
      <c r="B1300" s="18">
        <v>1970.0</v>
      </c>
      <c r="C1300" s="18" t="s">
        <v>517</v>
      </c>
      <c r="D1300" s="18">
        <v>28.0</v>
      </c>
      <c r="E1300" s="18" t="str">
        <f t="shared" si="1"/>
        <v>28/10/70</v>
      </c>
      <c r="F1300" s="18">
        <v>1.0</v>
      </c>
      <c r="G1300" s="27">
        <v>10797.34</v>
      </c>
      <c r="H1300" s="18" t="s">
        <v>142</v>
      </c>
      <c r="I1300" s="18" t="s">
        <v>140</v>
      </c>
      <c r="J1300" s="18" t="s">
        <v>2031</v>
      </c>
      <c r="K1300" s="29">
        <f t="shared" si="2"/>
        <v>52</v>
      </c>
    </row>
    <row r="1301" ht="15.75" customHeight="1">
      <c r="A1301" s="18" t="s">
        <v>3306</v>
      </c>
      <c r="B1301" s="18">
        <v>1970.0</v>
      </c>
      <c r="C1301" s="18" t="s">
        <v>457</v>
      </c>
      <c r="D1301" s="18">
        <v>18.0</v>
      </c>
      <c r="E1301" s="18" t="str">
        <f t="shared" si="1"/>
        <v>18/12/70</v>
      </c>
      <c r="F1301" s="18">
        <v>2.0</v>
      </c>
      <c r="G1301" s="27">
        <v>10806.84</v>
      </c>
      <c r="H1301" s="18" t="s">
        <v>142</v>
      </c>
      <c r="I1301" s="18" t="s">
        <v>140</v>
      </c>
      <c r="J1301" s="18" t="s">
        <v>570</v>
      </c>
      <c r="K1301" s="29">
        <f t="shared" si="2"/>
        <v>52</v>
      </c>
    </row>
    <row r="1302" ht="15.75" customHeight="1">
      <c r="A1302" s="18" t="s">
        <v>3302</v>
      </c>
      <c r="B1302" s="18">
        <v>1967.0</v>
      </c>
      <c r="C1302" s="18" t="s">
        <v>517</v>
      </c>
      <c r="D1302" s="18">
        <v>2.0</v>
      </c>
      <c r="E1302" s="18" t="str">
        <f t="shared" si="1"/>
        <v>02/10/67</v>
      </c>
      <c r="F1302" s="18">
        <v>1.0</v>
      </c>
      <c r="G1302" s="27">
        <v>10807.49</v>
      </c>
      <c r="H1302" s="18" t="s">
        <v>142</v>
      </c>
      <c r="I1302" s="18" t="s">
        <v>140</v>
      </c>
      <c r="J1302" s="18" t="s">
        <v>146</v>
      </c>
      <c r="K1302" s="29">
        <f t="shared" si="2"/>
        <v>55</v>
      </c>
    </row>
    <row r="1303" ht="15.75" customHeight="1">
      <c r="A1303" s="18" t="s">
        <v>3300</v>
      </c>
      <c r="B1303" s="18">
        <v>1968.0</v>
      </c>
      <c r="C1303" s="18" t="s">
        <v>91</v>
      </c>
      <c r="D1303" s="18">
        <v>28.0</v>
      </c>
      <c r="E1303" s="18" t="str">
        <f t="shared" si="1"/>
        <v>28/07/68</v>
      </c>
      <c r="F1303" s="18">
        <v>1.0</v>
      </c>
      <c r="G1303" s="27">
        <v>10825.25</v>
      </c>
      <c r="H1303" s="18" t="s">
        <v>142</v>
      </c>
      <c r="I1303" s="18" t="s">
        <v>142</v>
      </c>
      <c r="J1303" s="18" t="s">
        <v>325</v>
      </c>
      <c r="K1303" s="29">
        <f t="shared" si="2"/>
        <v>54</v>
      </c>
    </row>
    <row r="1304" ht="15.75" customHeight="1">
      <c r="A1304" s="18" t="s">
        <v>3297</v>
      </c>
      <c r="B1304" s="18">
        <v>1971.0</v>
      </c>
      <c r="C1304" s="18" t="s">
        <v>457</v>
      </c>
      <c r="D1304" s="18">
        <v>20.0</v>
      </c>
      <c r="E1304" s="18" t="str">
        <f t="shared" si="1"/>
        <v>20/12/71</v>
      </c>
      <c r="F1304" s="18">
        <v>2.0</v>
      </c>
      <c r="G1304" s="27">
        <v>10848.13</v>
      </c>
      <c r="H1304" s="18" t="s">
        <v>142</v>
      </c>
      <c r="I1304" s="18" t="s">
        <v>142</v>
      </c>
      <c r="J1304" s="18" t="s">
        <v>325</v>
      </c>
      <c r="K1304" s="29">
        <f t="shared" si="2"/>
        <v>51</v>
      </c>
    </row>
    <row r="1305" ht="15.75" customHeight="1">
      <c r="A1305" s="18" t="s">
        <v>3294</v>
      </c>
      <c r="B1305" s="18">
        <v>1994.0</v>
      </c>
      <c r="C1305" s="18" t="s">
        <v>272</v>
      </c>
      <c r="D1305" s="18">
        <v>6.0</v>
      </c>
      <c r="E1305" s="18" t="str">
        <f t="shared" si="1"/>
        <v>06/09/94</v>
      </c>
      <c r="F1305" s="18">
        <v>0.0</v>
      </c>
      <c r="G1305" s="27">
        <v>10886.66</v>
      </c>
      <c r="H1305" s="18" t="s">
        <v>142</v>
      </c>
      <c r="I1305" s="18" t="s">
        <v>142</v>
      </c>
      <c r="J1305" s="18" t="s">
        <v>325</v>
      </c>
      <c r="K1305" s="29">
        <f t="shared" si="2"/>
        <v>28</v>
      </c>
    </row>
    <row r="1306" ht="15.75" customHeight="1">
      <c r="A1306" s="18" t="s">
        <v>3291</v>
      </c>
      <c r="B1306" s="18">
        <v>1968.0</v>
      </c>
      <c r="C1306" s="18" t="s">
        <v>209</v>
      </c>
      <c r="D1306" s="18">
        <v>13.0</v>
      </c>
      <c r="E1306" s="18" t="str">
        <f t="shared" si="1"/>
        <v>13/11/68</v>
      </c>
      <c r="F1306" s="18">
        <v>0.0</v>
      </c>
      <c r="G1306" s="27">
        <v>10923.93</v>
      </c>
      <c r="H1306" s="18" t="s">
        <v>142</v>
      </c>
      <c r="I1306" s="18" t="s">
        <v>219</v>
      </c>
      <c r="J1306" s="18" t="s">
        <v>2024</v>
      </c>
      <c r="K1306" s="29">
        <f t="shared" si="2"/>
        <v>54</v>
      </c>
    </row>
    <row r="1307" ht="15.75" customHeight="1">
      <c r="A1307" s="18" t="s">
        <v>3288</v>
      </c>
      <c r="B1307" s="18">
        <v>1968.0</v>
      </c>
      <c r="C1307" s="18" t="s">
        <v>209</v>
      </c>
      <c r="D1307" s="18">
        <v>12.0</v>
      </c>
      <c r="E1307" s="18" t="str">
        <f t="shared" si="1"/>
        <v>12/11/68</v>
      </c>
      <c r="F1307" s="18">
        <v>1.0</v>
      </c>
      <c r="G1307" s="27">
        <v>10928.85</v>
      </c>
      <c r="H1307" s="18" t="s">
        <v>142</v>
      </c>
      <c r="I1307" s="18" t="s">
        <v>142</v>
      </c>
      <c r="J1307" s="18" t="s">
        <v>146</v>
      </c>
      <c r="K1307" s="29">
        <f t="shared" si="2"/>
        <v>54</v>
      </c>
    </row>
    <row r="1308" ht="15.75" customHeight="1">
      <c r="A1308" s="18" t="s">
        <v>3285</v>
      </c>
      <c r="B1308" s="18">
        <v>1969.0</v>
      </c>
      <c r="C1308" s="18" t="s">
        <v>209</v>
      </c>
      <c r="D1308" s="18">
        <v>10.0</v>
      </c>
      <c r="E1308" s="18" t="str">
        <f t="shared" si="1"/>
        <v>10/11/69</v>
      </c>
      <c r="F1308" s="18">
        <v>1.0</v>
      </c>
      <c r="G1308" s="27">
        <v>10942.13</v>
      </c>
      <c r="H1308" s="18" t="s">
        <v>142</v>
      </c>
      <c r="I1308" s="18" t="s">
        <v>142</v>
      </c>
      <c r="J1308" s="18" t="s">
        <v>325</v>
      </c>
      <c r="K1308" s="29">
        <f t="shared" si="2"/>
        <v>53</v>
      </c>
    </row>
    <row r="1309" ht="15.75" customHeight="1">
      <c r="A1309" s="18" t="s">
        <v>3281</v>
      </c>
      <c r="B1309" s="18">
        <v>1965.0</v>
      </c>
      <c r="C1309" s="18" t="s">
        <v>457</v>
      </c>
      <c r="D1309" s="18">
        <v>4.0</v>
      </c>
      <c r="E1309" s="18" t="str">
        <f t="shared" si="1"/>
        <v>04/12/65</v>
      </c>
      <c r="F1309" s="18">
        <v>0.0</v>
      </c>
      <c r="G1309" s="27">
        <v>10959.33</v>
      </c>
      <c r="H1309" s="18" t="s">
        <v>142</v>
      </c>
      <c r="I1309" s="18" t="s">
        <v>142</v>
      </c>
      <c r="J1309" s="18" t="s">
        <v>570</v>
      </c>
      <c r="K1309" s="29">
        <f t="shared" si="2"/>
        <v>57</v>
      </c>
    </row>
    <row r="1310" ht="15.75" customHeight="1">
      <c r="A1310" s="18" t="s">
        <v>3278</v>
      </c>
      <c r="B1310" s="18">
        <v>1969.0</v>
      </c>
      <c r="C1310" s="18" t="s">
        <v>501</v>
      </c>
      <c r="D1310" s="18">
        <v>14.0</v>
      </c>
      <c r="E1310" s="18" t="str">
        <f t="shared" si="1"/>
        <v>14/08/69</v>
      </c>
      <c r="F1310" s="18">
        <v>1.0</v>
      </c>
      <c r="G1310" s="27">
        <v>10959.69</v>
      </c>
      <c r="H1310" s="18" t="s">
        <v>142</v>
      </c>
      <c r="I1310" s="18" t="s">
        <v>142</v>
      </c>
      <c r="J1310" s="18" t="s">
        <v>325</v>
      </c>
      <c r="K1310" s="29">
        <f t="shared" si="2"/>
        <v>53</v>
      </c>
    </row>
    <row r="1311" ht="15.75" customHeight="1">
      <c r="A1311" s="18" t="s">
        <v>3275</v>
      </c>
      <c r="B1311" s="18">
        <v>1965.0</v>
      </c>
      <c r="C1311" s="18" t="s">
        <v>241</v>
      </c>
      <c r="D1311" s="18">
        <v>19.0</v>
      </c>
      <c r="E1311" s="18" t="str">
        <f t="shared" si="1"/>
        <v>19/06/65</v>
      </c>
      <c r="F1311" s="18">
        <v>0.0</v>
      </c>
      <c r="G1311" s="27">
        <v>10965.45</v>
      </c>
      <c r="H1311" s="18" t="s">
        <v>142</v>
      </c>
      <c r="I1311" s="18" t="s">
        <v>140</v>
      </c>
      <c r="J1311" s="18" t="s">
        <v>570</v>
      </c>
      <c r="K1311" s="29">
        <f t="shared" si="2"/>
        <v>57</v>
      </c>
    </row>
    <row r="1312" ht="15.75" customHeight="1">
      <c r="A1312" s="18" t="s">
        <v>3272</v>
      </c>
      <c r="B1312" s="18">
        <v>1966.0</v>
      </c>
      <c r="C1312" s="18" t="s">
        <v>91</v>
      </c>
      <c r="D1312" s="18">
        <v>9.0</v>
      </c>
      <c r="E1312" s="18" t="str">
        <f t="shared" si="1"/>
        <v>09/07/66</v>
      </c>
      <c r="F1312" s="18">
        <v>0.0</v>
      </c>
      <c r="G1312" s="27">
        <v>10976.25</v>
      </c>
      <c r="H1312" s="18" t="s">
        <v>142</v>
      </c>
      <c r="I1312" s="18" t="s">
        <v>140</v>
      </c>
      <c r="J1312" s="18" t="s">
        <v>325</v>
      </c>
      <c r="K1312" s="29">
        <f t="shared" si="2"/>
        <v>56</v>
      </c>
    </row>
    <row r="1313" ht="15.75" customHeight="1">
      <c r="A1313" s="18" t="s">
        <v>3269</v>
      </c>
      <c r="B1313" s="18">
        <v>1973.0</v>
      </c>
      <c r="C1313" s="18" t="s">
        <v>517</v>
      </c>
      <c r="D1313" s="18">
        <v>21.0</v>
      </c>
      <c r="E1313" s="18" t="str">
        <f t="shared" si="1"/>
        <v>21/10/73</v>
      </c>
      <c r="F1313" s="18">
        <v>4.0</v>
      </c>
      <c r="G1313" s="27">
        <v>10977.21</v>
      </c>
      <c r="H1313" s="18" t="s">
        <v>142</v>
      </c>
      <c r="I1313" s="18" t="s">
        <v>219</v>
      </c>
      <c r="J1313" s="18" t="s">
        <v>146</v>
      </c>
      <c r="K1313" s="29">
        <f t="shared" si="2"/>
        <v>49</v>
      </c>
    </row>
    <row r="1314" ht="15.75" customHeight="1">
      <c r="A1314" s="18" t="s">
        <v>3265</v>
      </c>
      <c r="B1314" s="18">
        <v>1965.0</v>
      </c>
      <c r="C1314" s="18" t="s">
        <v>457</v>
      </c>
      <c r="D1314" s="18">
        <v>18.0</v>
      </c>
      <c r="E1314" s="18" t="str">
        <f t="shared" si="1"/>
        <v>18/12/65</v>
      </c>
      <c r="F1314" s="18">
        <v>0.0</v>
      </c>
      <c r="G1314" s="27">
        <v>10982.5</v>
      </c>
      <c r="H1314" s="18" t="s">
        <v>142</v>
      </c>
      <c r="I1314" s="18" t="s">
        <v>142</v>
      </c>
      <c r="J1314" s="18" t="s">
        <v>146</v>
      </c>
      <c r="K1314" s="29">
        <f t="shared" si="2"/>
        <v>57</v>
      </c>
    </row>
    <row r="1315" ht="15.75" customHeight="1">
      <c r="A1315" s="18" t="s">
        <v>3263</v>
      </c>
      <c r="B1315" s="18">
        <v>2000.0</v>
      </c>
      <c r="C1315" s="18" t="s">
        <v>272</v>
      </c>
      <c r="D1315" s="18">
        <v>17.0</v>
      </c>
      <c r="E1315" s="18" t="str">
        <f t="shared" si="1"/>
        <v>17/09/00</v>
      </c>
      <c r="F1315" s="18">
        <v>0.0</v>
      </c>
      <c r="G1315" s="27">
        <v>10991.58</v>
      </c>
      <c r="H1315" s="18" t="s">
        <v>142</v>
      </c>
      <c r="I1315" s="18" t="s">
        <v>142</v>
      </c>
      <c r="J1315" s="18" t="s">
        <v>325</v>
      </c>
      <c r="K1315" s="29">
        <f t="shared" si="2"/>
        <v>22</v>
      </c>
    </row>
    <row r="1316" ht="15.75" customHeight="1">
      <c r="A1316" s="18" t="s">
        <v>3260</v>
      </c>
      <c r="B1316" s="18">
        <v>1968.0</v>
      </c>
      <c r="C1316" s="18" t="s">
        <v>517</v>
      </c>
      <c r="D1316" s="18">
        <v>24.0</v>
      </c>
      <c r="E1316" s="18" t="str">
        <f t="shared" si="1"/>
        <v>24/10/68</v>
      </c>
      <c r="F1316" s="18">
        <v>2.0</v>
      </c>
      <c r="G1316" s="27">
        <v>11013.71</v>
      </c>
      <c r="H1316" s="18" t="s">
        <v>142</v>
      </c>
      <c r="I1316" s="18" t="s">
        <v>219</v>
      </c>
      <c r="J1316" s="18" t="s">
        <v>146</v>
      </c>
      <c r="K1316" s="29">
        <f t="shared" si="2"/>
        <v>54</v>
      </c>
    </row>
    <row r="1317" ht="15.75" customHeight="1">
      <c r="A1317" s="18" t="s">
        <v>3256</v>
      </c>
      <c r="B1317" s="18">
        <v>1974.0</v>
      </c>
      <c r="C1317" s="18" t="s">
        <v>457</v>
      </c>
      <c r="D1317" s="18">
        <v>15.0</v>
      </c>
      <c r="E1317" s="18" t="str">
        <f t="shared" si="1"/>
        <v>15/12/74</v>
      </c>
      <c r="F1317" s="18">
        <v>4.0</v>
      </c>
      <c r="G1317" s="27">
        <v>11015.17</v>
      </c>
      <c r="H1317" s="18" t="s">
        <v>142</v>
      </c>
      <c r="I1317" s="18" t="s">
        <v>219</v>
      </c>
      <c r="J1317" s="18" t="s">
        <v>325</v>
      </c>
      <c r="K1317" s="29">
        <f t="shared" si="2"/>
        <v>48</v>
      </c>
    </row>
    <row r="1318" ht="15.75" customHeight="1">
      <c r="A1318" s="18" t="s">
        <v>3253</v>
      </c>
      <c r="B1318" s="18">
        <v>1991.0</v>
      </c>
      <c r="C1318" s="18" t="s">
        <v>241</v>
      </c>
      <c r="D1318" s="18">
        <v>26.0</v>
      </c>
      <c r="E1318" s="18" t="str">
        <f t="shared" si="1"/>
        <v>26/06/91</v>
      </c>
      <c r="F1318" s="18">
        <v>3.0</v>
      </c>
      <c r="G1318" s="27">
        <v>11018.05</v>
      </c>
      <c r="H1318" s="18" t="s">
        <v>142</v>
      </c>
      <c r="I1318" s="18" t="s">
        <v>140</v>
      </c>
      <c r="J1318" s="18" t="s">
        <v>325</v>
      </c>
      <c r="K1318" s="29">
        <f t="shared" si="2"/>
        <v>31</v>
      </c>
    </row>
    <row r="1319" ht="15.75" customHeight="1">
      <c r="A1319" s="18" t="s">
        <v>3249</v>
      </c>
      <c r="B1319" s="18">
        <v>1996.0</v>
      </c>
      <c r="C1319" s="18" t="s">
        <v>91</v>
      </c>
      <c r="D1319" s="18">
        <v>21.0</v>
      </c>
      <c r="E1319" s="18" t="str">
        <f t="shared" si="1"/>
        <v>21/07/96</v>
      </c>
      <c r="F1319" s="18">
        <v>0.0</v>
      </c>
      <c r="G1319" s="27">
        <v>11028.56</v>
      </c>
      <c r="H1319" s="18" t="s">
        <v>142</v>
      </c>
      <c r="I1319" s="18" t="s">
        <v>142</v>
      </c>
      <c r="J1319" s="18" t="s">
        <v>325</v>
      </c>
      <c r="K1319" s="29">
        <f t="shared" si="2"/>
        <v>26</v>
      </c>
    </row>
    <row r="1320" ht="15.75" customHeight="1">
      <c r="A1320" s="18" t="s">
        <v>3246</v>
      </c>
      <c r="B1320" s="18">
        <v>1974.0</v>
      </c>
      <c r="C1320" s="18" t="s">
        <v>457</v>
      </c>
      <c r="D1320" s="18">
        <v>10.0</v>
      </c>
      <c r="E1320" s="18" t="str">
        <f t="shared" si="1"/>
        <v>10/12/74</v>
      </c>
      <c r="F1320" s="18">
        <v>4.0</v>
      </c>
      <c r="G1320" s="27">
        <v>11033.66</v>
      </c>
      <c r="H1320" s="18" t="s">
        <v>142</v>
      </c>
      <c r="I1320" s="18" t="s">
        <v>142</v>
      </c>
      <c r="J1320" s="18" t="s">
        <v>325</v>
      </c>
      <c r="K1320" s="29">
        <f t="shared" si="2"/>
        <v>48</v>
      </c>
    </row>
    <row r="1321" ht="15.75" customHeight="1">
      <c r="A1321" s="18" t="s">
        <v>3244</v>
      </c>
      <c r="B1321" s="18">
        <v>1989.0</v>
      </c>
      <c r="C1321" s="18" t="s">
        <v>517</v>
      </c>
      <c r="D1321" s="18">
        <v>25.0</v>
      </c>
      <c r="E1321" s="18" t="str">
        <f t="shared" si="1"/>
        <v>25/10/89</v>
      </c>
      <c r="F1321" s="18">
        <v>3.0</v>
      </c>
      <c r="G1321" s="27">
        <v>11037.51</v>
      </c>
      <c r="H1321" s="18" t="s">
        <v>142</v>
      </c>
      <c r="I1321" s="18" t="s">
        <v>219</v>
      </c>
      <c r="J1321" s="18" t="s">
        <v>325</v>
      </c>
      <c r="K1321" s="29">
        <f t="shared" si="2"/>
        <v>33</v>
      </c>
    </row>
    <row r="1322" ht="15.75" customHeight="1">
      <c r="A1322" s="18" t="s">
        <v>3240</v>
      </c>
      <c r="B1322" s="18">
        <v>1974.0</v>
      </c>
      <c r="C1322" s="18" t="s">
        <v>501</v>
      </c>
      <c r="D1322" s="18">
        <v>30.0</v>
      </c>
      <c r="E1322" s="18" t="str">
        <f t="shared" si="1"/>
        <v>30/08/74</v>
      </c>
      <c r="F1322" s="18">
        <v>0.0</v>
      </c>
      <c r="G1322" s="27">
        <v>11037.85</v>
      </c>
      <c r="H1322" s="18" t="s">
        <v>142</v>
      </c>
      <c r="I1322" s="18" t="s">
        <v>140</v>
      </c>
      <c r="J1322" s="18" t="s">
        <v>1647</v>
      </c>
      <c r="K1322" s="29">
        <f t="shared" si="2"/>
        <v>48</v>
      </c>
    </row>
    <row r="1323" ht="15.75" customHeight="1">
      <c r="A1323" s="18" t="s">
        <v>3237</v>
      </c>
      <c r="B1323" s="18">
        <v>2001.0</v>
      </c>
      <c r="C1323" s="18" t="s">
        <v>457</v>
      </c>
      <c r="D1323" s="18">
        <v>17.0</v>
      </c>
      <c r="E1323" s="18" t="str">
        <f t="shared" si="1"/>
        <v>17/12/01</v>
      </c>
      <c r="F1323" s="18">
        <v>0.0</v>
      </c>
      <c r="G1323" s="27">
        <v>11046.02</v>
      </c>
      <c r="H1323" s="18" t="s">
        <v>142</v>
      </c>
      <c r="I1323" s="18" t="s">
        <v>219</v>
      </c>
      <c r="J1323" s="18" t="s">
        <v>3559</v>
      </c>
      <c r="K1323" s="29">
        <f t="shared" si="2"/>
        <v>21</v>
      </c>
    </row>
    <row r="1324" ht="15.75" customHeight="1">
      <c r="A1324" s="18" t="s">
        <v>3233</v>
      </c>
      <c r="B1324" s="18">
        <v>2000.0</v>
      </c>
      <c r="C1324" s="18" t="s">
        <v>272</v>
      </c>
      <c r="D1324" s="18">
        <v>18.0</v>
      </c>
      <c r="E1324" s="18" t="str">
        <f t="shared" si="1"/>
        <v>18/09/00</v>
      </c>
      <c r="F1324" s="18">
        <v>0.0</v>
      </c>
      <c r="G1324" s="27">
        <v>11068.7</v>
      </c>
      <c r="H1324" s="18" t="s">
        <v>142</v>
      </c>
      <c r="I1324" s="18" t="s">
        <v>219</v>
      </c>
      <c r="J1324" s="18" t="s">
        <v>570</v>
      </c>
      <c r="K1324" s="29">
        <f t="shared" si="2"/>
        <v>22</v>
      </c>
    </row>
    <row r="1325" ht="15.75" customHeight="1">
      <c r="A1325" s="18" t="s">
        <v>3231</v>
      </c>
      <c r="B1325" s="18">
        <v>1971.0</v>
      </c>
      <c r="C1325" s="18" t="s">
        <v>209</v>
      </c>
      <c r="D1325" s="18">
        <v>9.0</v>
      </c>
      <c r="E1325" s="18" t="str">
        <f t="shared" si="1"/>
        <v>09/11/71</v>
      </c>
      <c r="F1325" s="18">
        <v>0.0</v>
      </c>
      <c r="G1325" s="27">
        <v>11068.77</v>
      </c>
      <c r="H1325" s="18" t="s">
        <v>142</v>
      </c>
      <c r="I1325" s="18" t="s">
        <v>140</v>
      </c>
      <c r="J1325" s="18" t="s">
        <v>325</v>
      </c>
      <c r="K1325" s="29">
        <f t="shared" si="2"/>
        <v>51</v>
      </c>
    </row>
    <row r="1326" ht="15.75" customHeight="1">
      <c r="A1326" s="18" t="s">
        <v>3228</v>
      </c>
      <c r="B1326" s="18">
        <v>1966.0</v>
      </c>
      <c r="C1326" s="18" t="s">
        <v>209</v>
      </c>
      <c r="D1326" s="18">
        <v>7.0</v>
      </c>
      <c r="E1326" s="18" t="str">
        <f t="shared" si="1"/>
        <v>07/11/66</v>
      </c>
      <c r="F1326" s="18">
        <v>0.0</v>
      </c>
      <c r="G1326" s="27">
        <v>11070.54</v>
      </c>
      <c r="H1326" s="18" t="s">
        <v>142</v>
      </c>
      <c r="I1326" s="18" t="s">
        <v>142</v>
      </c>
      <c r="J1326" s="18" t="s">
        <v>570</v>
      </c>
      <c r="K1326" s="29">
        <f t="shared" si="2"/>
        <v>56</v>
      </c>
    </row>
    <row r="1327" ht="15.75" customHeight="1">
      <c r="A1327" s="18" t="s">
        <v>3225</v>
      </c>
      <c r="B1327" s="18">
        <v>1966.0</v>
      </c>
      <c r="C1327" s="18" t="s">
        <v>209</v>
      </c>
      <c r="D1327" s="18">
        <v>20.0</v>
      </c>
      <c r="E1327" s="18" t="str">
        <f t="shared" si="1"/>
        <v>20/11/66</v>
      </c>
      <c r="F1327" s="18">
        <v>0.0</v>
      </c>
      <c r="G1327" s="27">
        <v>11073.18</v>
      </c>
      <c r="H1327" s="18" t="s">
        <v>142</v>
      </c>
      <c r="I1327" s="18" t="s">
        <v>142</v>
      </c>
      <c r="J1327" s="18" t="s">
        <v>570</v>
      </c>
      <c r="K1327" s="29">
        <f t="shared" si="2"/>
        <v>56</v>
      </c>
    </row>
    <row r="1328" ht="15.75" customHeight="1">
      <c r="A1328" s="18" t="s">
        <v>3221</v>
      </c>
      <c r="B1328" s="18">
        <v>1967.0</v>
      </c>
      <c r="C1328" s="18" t="s">
        <v>272</v>
      </c>
      <c r="D1328" s="18">
        <v>4.0</v>
      </c>
      <c r="E1328" s="18" t="str">
        <f t="shared" si="1"/>
        <v>04/09/67</v>
      </c>
      <c r="F1328" s="18">
        <v>0.0</v>
      </c>
      <c r="G1328" s="27">
        <v>11082.58</v>
      </c>
      <c r="H1328" s="18" t="s">
        <v>142</v>
      </c>
      <c r="I1328" s="18" t="s">
        <v>140</v>
      </c>
      <c r="J1328" s="18" t="s">
        <v>325</v>
      </c>
      <c r="K1328" s="29">
        <f t="shared" si="2"/>
        <v>55</v>
      </c>
    </row>
    <row r="1329" ht="15.75" customHeight="1">
      <c r="A1329" s="18" t="s">
        <v>3219</v>
      </c>
      <c r="B1329" s="18">
        <v>1972.0</v>
      </c>
      <c r="C1329" s="18" t="s">
        <v>517</v>
      </c>
      <c r="D1329" s="18">
        <v>7.0</v>
      </c>
      <c r="E1329" s="18" t="str">
        <f t="shared" si="1"/>
        <v>07/10/72</v>
      </c>
      <c r="F1329" s="18">
        <v>3.0</v>
      </c>
      <c r="G1329" s="27">
        <v>11085.59</v>
      </c>
      <c r="H1329" s="18" t="s">
        <v>142</v>
      </c>
      <c r="I1329" s="18" t="s">
        <v>140</v>
      </c>
      <c r="J1329" s="18" t="s">
        <v>325</v>
      </c>
      <c r="K1329" s="29">
        <f t="shared" si="2"/>
        <v>50</v>
      </c>
    </row>
    <row r="1330" ht="15.75" customHeight="1">
      <c r="A1330" s="18" t="s">
        <v>3215</v>
      </c>
      <c r="B1330" s="18">
        <v>1966.0</v>
      </c>
      <c r="C1330" s="18" t="s">
        <v>272</v>
      </c>
      <c r="D1330" s="18">
        <v>9.0</v>
      </c>
      <c r="E1330" s="18" t="str">
        <f t="shared" si="1"/>
        <v>09/09/66</v>
      </c>
      <c r="F1330" s="18">
        <v>0.0</v>
      </c>
      <c r="G1330" s="27">
        <v>11090.72</v>
      </c>
      <c r="H1330" s="18" t="s">
        <v>142</v>
      </c>
      <c r="I1330" s="18" t="s">
        <v>219</v>
      </c>
      <c r="J1330" s="18" t="s">
        <v>146</v>
      </c>
      <c r="K1330" s="29">
        <f t="shared" si="2"/>
        <v>56</v>
      </c>
    </row>
    <row r="1331" ht="15.75" customHeight="1">
      <c r="A1331" s="18" t="s">
        <v>3213</v>
      </c>
      <c r="B1331" s="18">
        <v>1966.0</v>
      </c>
      <c r="C1331" s="18" t="s">
        <v>91</v>
      </c>
      <c r="D1331" s="18">
        <v>5.0</v>
      </c>
      <c r="E1331" s="18" t="str">
        <f t="shared" si="1"/>
        <v>05/07/66</v>
      </c>
      <c r="F1331" s="18">
        <v>0.0</v>
      </c>
      <c r="G1331" s="27">
        <v>11093.62</v>
      </c>
      <c r="H1331" s="18" t="s">
        <v>142</v>
      </c>
      <c r="I1331" s="18" t="s">
        <v>219</v>
      </c>
      <c r="J1331" s="18" t="s">
        <v>146</v>
      </c>
      <c r="K1331" s="29">
        <f t="shared" si="2"/>
        <v>56</v>
      </c>
    </row>
    <row r="1332" ht="15.75" customHeight="1">
      <c r="A1332" s="18" t="s">
        <v>3210</v>
      </c>
      <c r="B1332" s="18">
        <v>1980.0</v>
      </c>
      <c r="C1332" s="18" t="s">
        <v>501</v>
      </c>
      <c r="D1332" s="18">
        <v>20.0</v>
      </c>
      <c r="E1332" s="18" t="str">
        <f t="shared" si="1"/>
        <v>20/08/80</v>
      </c>
      <c r="F1332" s="18">
        <v>2.0</v>
      </c>
      <c r="G1332" s="27">
        <v>11103.33</v>
      </c>
      <c r="H1332" s="18" t="s">
        <v>142</v>
      </c>
      <c r="I1332" s="18" t="s">
        <v>219</v>
      </c>
      <c r="J1332" s="18" t="s">
        <v>2314</v>
      </c>
      <c r="K1332" s="29">
        <f t="shared" si="2"/>
        <v>42</v>
      </c>
    </row>
    <row r="1333" ht="15.75" customHeight="1">
      <c r="A1333" s="18" t="s">
        <v>3207</v>
      </c>
      <c r="B1333" s="18">
        <v>1969.0</v>
      </c>
      <c r="C1333" s="18" t="s">
        <v>209</v>
      </c>
      <c r="D1333" s="18">
        <v>30.0</v>
      </c>
      <c r="E1333" s="18" t="str">
        <f t="shared" si="1"/>
        <v>30/11/69</v>
      </c>
      <c r="F1333" s="18">
        <v>2.0</v>
      </c>
      <c r="G1333" s="27">
        <v>11150.78</v>
      </c>
      <c r="H1333" s="18" t="s">
        <v>142</v>
      </c>
      <c r="I1333" s="18" t="s">
        <v>140</v>
      </c>
      <c r="J1333" s="18" t="s">
        <v>570</v>
      </c>
      <c r="K1333" s="29">
        <f t="shared" si="2"/>
        <v>53</v>
      </c>
    </row>
    <row r="1334" ht="15.75" customHeight="1">
      <c r="A1334" s="18" t="s">
        <v>3204</v>
      </c>
      <c r="B1334" s="18">
        <v>1969.0</v>
      </c>
      <c r="C1334" s="18" t="s">
        <v>241</v>
      </c>
      <c r="D1334" s="18">
        <v>25.0</v>
      </c>
      <c r="E1334" s="18" t="str">
        <f t="shared" si="1"/>
        <v>25/06/69</v>
      </c>
      <c r="F1334" s="18">
        <v>2.0</v>
      </c>
      <c r="G1334" s="27">
        <v>11163.57</v>
      </c>
      <c r="H1334" s="18" t="s">
        <v>142</v>
      </c>
      <c r="I1334" s="18" t="s">
        <v>140</v>
      </c>
      <c r="J1334" s="18" t="s">
        <v>570</v>
      </c>
      <c r="K1334" s="29">
        <f t="shared" si="2"/>
        <v>53</v>
      </c>
    </row>
    <row r="1335" ht="15.75" customHeight="1">
      <c r="A1335" s="18" t="s">
        <v>3201</v>
      </c>
      <c r="B1335" s="18">
        <v>1966.0</v>
      </c>
      <c r="C1335" s="18" t="s">
        <v>501</v>
      </c>
      <c r="D1335" s="18">
        <v>6.0</v>
      </c>
      <c r="E1335" s="18" t="str">
        <f t="shared" si="1"/>
        <v>06/08/66</v>
      </c>
      <c r="F1335" s="18">
        <v>0.0</v>
      </c>
      <c r="G1335" s="27">
        <v>11165.42</v>
      </c>
      <c r="H1335" s="18" t="s">
        <v>142</v>
      </c>
      <c r="I1335" s="18" t="s">
        <v>219</v>
      </c>
      <c r="J1335" s="18" t="s">
        <v>1427</v>
      </c>
      <c r="K1335" s="29">
        <f t="shared" si="2"/>
        <v>56</v>
      </c>
    </row>
    <row r="1336" ht="15.75" customHeight="1">
      <c r="A1336" s="18" t="s">
        <v>3198</v>
      </c>
      <c r="B1336" s="18">
        <v>1972.0</v>
      </c>
      <c r="C1336" s="18" t="s">
        <v>272</v>
      </c>
      <c r="D1336" s="18">
        <v>3.0</v>
      </c>
      <c r="E1336" s="18" t="str">
        <f t="shared" si="1"/>
        <v>03/09/72</v>
      </c>
      <c r="F1336" s="18">
        <v>0.0</v>
      </c>
      <c r="G1336" s="27">
        <v>11186.2</v>
      </c>
      <c r="H1336" s="18" t="s">
        <v>142</v>
      </c>
      <c r="I1336" s="18" t="s">
        <v>140</v>
      </c>
      <c r="J1336" s="18" t="s">
        <v>2314</v>
      </c>
      <c r="K1336" s="29">
        <f t="shared" si="2"/>
        <v>50</v>
      </c>
    </row>
    <row r="1337" ht="15.75" customHeight="1">
      <c r="A1337" s="18" t="s">
        <v>3195</v>
      </c>
      <c r="B1337" s="18">
        <v>1970.0</v>
      </c>
      <c r="C1337" s="18" t="s">
        <v>241</v>
      </c>
      <c r="D1337" s="18">
        <v>14.0</v>
      </c>
      <c r="E1337" s="18" t="str">
        <f t="shared" si="1"/>
        <v>14/06/70</v>
      </c>
      <c r="F1337" s="18">
        <v>2.0</v>
      </c>
      <c r="G1337" s="27">
        <v>11187.66</v>
      </c>
      <c r="H1337" s="18" t="s">
        <v>142</v>
      </c>
      <c r="I1337" s="18" t="s">
        <v>140</v>
      </c>
      <c r="J1337" s="18" t="s">
        <v>325</v>
      </c>
      <c r="K1337" s="29">
        <f t="shared" si="2"/>
        <v>52</v>
      </c>
    </row>
    <row r="1338" ht="15.75" customHeight="1">
      <c r="A1338" s="18" t="s">
        <v>3191</v>
      </c>
      <c r="B1338" s="18">
        <v>1976.0</v>
      </c>
      <c r="C1338" s="18" t="s">
        <v>241</v>
      </c>
      <c r="D1338" s="18">
        <v>28.0</v>
      </c>
      <c r="E1338" s="18" t="str">
        <f t="shared" si="1"/>
        <v>28/06/76</v>
      </c>
      <c r="F1338" s="18">
        <v>2.0</v>
      </c>
      <c r="G1338" s="27">
        <v>11217.35</v>
      </c>
      <c r="H1338" s="18" t="s">
        <v>142</v>
      </c>
      <c r="I1338" s="18" t="s">
        <v>140</v>
      </c>
      <c r="J1338" s="18" t="s">
        <v>1647</v>
      </c>
      <c r="K1338" s="29">
        <f t="shared" si="2"/>
        <v>46</v>
      </c>
    </row>
    <row r="1339" ht="15.75" customHeight="1">
      <c r="A1339" s="18" t="s">
        <v>3189</v>
      </c>
      <c r="B1339" s="18">
        <v>1969.0</v>
      </c>
      <c r="C1339" s="18" t="s">
        <v>457</v>
      </c>
      <c r="D1339" s="18">
        <v>30.0</v>
      </c>
      <c r="E1339" s="18" t="str">
        <f t="shared" si="1"/>
        <v>30/12/69</v>
      </c>
      <c r="F1339" s="18">
        <v>2.0</v>
      </c>
      <c r="G1339" s="27">
        <v>11244.38</v>
      </c>
      <c r="H1339" s="18" t="s">
        <v>142</v>
      </c>
      <c r="I1339" s="18" t="s">
        <v>219</v>
      </c>
      <c r="J1339" s="18" t="s">
        <v>1427</v>
      </c>
      <c r="K1339" s="29">
        <f t="shared" si="2"/>
        <v>53</v>
      </c>
    </row>
    <row r="1340" ht="15.75" customHeight="1">
      <c r="A1340" s="18" t="s">
        <v>3185</v>
      </c>
      <c r="B1340" s="18">
        <v>1989.0</v>
      </c>
      <c r="C1340" s="18" t="s">
        <v>457</v>
      </c>
      <c r="D1340" s="18">
        <v>17.0</v>
      </c>
      <c r="E1340" s="18" t="str">
        <f t="shared" si="1"/>
        <v>17/12/89</v>
      </c>
      <c r="F1340" s="18">
        <v>3.0</v>
      </c>
      <c r="G1340" s="27">
        <v>11250.43</v>
      </c>
      <c r="H1340" s="18" t="s">
        <v>142</v>
      </c>
      <c r="I1340" s="18" t="s">
        <v>140</v>
      </c>
      <c r="J1340" s="18" t="s">
        <v>3559</v>
      </c>
      <c r="K1340" s="29">
        <f t="shared" si="2"/>
        <v>33</v>
      </c>
    </row>
    <row r="1341" ht="15.75" customHeight="1">
      <c r="A1341" s="18" t="s">
        <v>3183</v>
      </c>
      <c r="B1341" s="18">
        <v>1969.0</v>
      </c>
      <c r="C1341" s="18" t="s">
        <v>501</v>
      </c>
      <c r="D1341" s="18">
        <v>20.0</v>
      </c>
      <c r="E1341" s="18" t="str">
        <f t="shared" si="1"/>
        <v>20/08/69</v>
      </c>
      <c r="F1341" s="18">
        <v>3.0</v>
      </c>
      <c r="G1341" s="27">
        <v>11253.42</v>
      </c>
      <c r="H1341" s="18" t="s">
        <v>142</v>
      </c>
      <c r="I1341" s="18" t="s">
        <v>219</v>
      </c>
      <c r="J1341" s="18" t="s">
        <v>570</v>
      </c>
      <c r="K1341" s="29">
        <f t="shared" si="2"/>
        <v>53</v>
      </c>
    </row>
    <row r="1342" ht="15.75" customHeight="1">
      <c r="A1342" s="18" t="s">
        <v>3180</v>
      </c>
      <c r="B1342" s="18">
        <v>1981.0</v>
      </c>
      <c r="C1342" s="18" t="s">
        <v>517</v>
      </c>
      <c r="D1342" s="18">
        <v>2.0</v>
      </c>
      <c r="E1342" s="18" t="str">
        <f t="shared" si="1"/>
        <v>02/10/81</v>
      </c>
      <c r="F1342" s="18">
        <v>1.0</v>
      </c>
      <c r="G1342" s="27">
        <v>11255.29</v>
      </c>
      <c r="H1342" s="18" t="s">
        <v>142</v>
      </c>
      <c r="I1342" s="18" t="s">
        <v>219</v>
      </c>
      <c r="J1342" s="18" t="s">
        <v>3559</v>
      </c>
      <c r="K1342" s="29">
        <f t="shared" si="2"/>
        <v>41</v>
      </c>
    </row>
    <row r="1343" ht="15.75" customHeight="1">
      <c r="A1343" s="18" t="s">
        <v>3178</v>
      </c>
      <c r="B1343" s="18">
        <v>1969.0</v>
      </c>
      <c r="C1343" s="18" t="s">
        <v>517</v>
      </c>
      <c r="D1343" s="18">
        <v>11.0</v>
      </c>
      <c r="E1343" s="18" t="str">
        <f t="shared" si="1"/>
        <v>11/10/69</v>
      </c>
      <c r="F1343" s="18">
        <v>3.0</v>
      </c>
      <c r="G1343" s="27">
        <v>11264.54</v>
      </c>
      <c r="H1343" s="18" t="s">
        <v>142</v>
      </c>
      <c r="I1343" s="18" t="s">
        <v>140</v>
      </c>
      <c r="J1343" s="18" t="s">
        <v>570</v>
      </c>
      <c r="K1343" s="29">
        <f t="shared" si="2"/>
        <v>53</v>
      </c>
    </row>
    <row r="1344" ht="15.75" customHeight="1">
      <c r="A1344" s="18" t="s">
        <v>3174</v>
      </c>
      <c r="B1344" s="18">
        <v>1971.0</v>
      </c>
      <c r="C1344" s="18" t="s">
        <v>457</v>
      </c>
      <c r="D1344" s="18">
        <v>26.0</v>
      </c>
      <c r="E1344" s="18" t="str">
        <f t="shared" si="1"/>
        <v>26/12/71</v>
      </c>
      <c r="F1344" s="18">
        <v>0.0</v>
      </c>
      <c r="G1344" s="27">
        <v>11265.71</v>
      </c>
      <c r="H1344" s="18" t="s">
        <v>142</v>
      </c>
      <c r="I1344" s="18" t="s">
        <v>219</v>
      </c>
      <c r="J1344" s="18" t="s">
        <v>1647</v>
      </c>
      <c r="K1344" s="29">
        <f t="shared" si="2"/>
        <v>51</v>
      </c>
    </row>
    <row r="1345" ht="15.75" customHeight="1">
      <c r="A1345" s="18" t="s">
        <v>3172</v>
      </c>
      <c r="B1345" s="18">
        <v>2004.0</v>
      </c>
      <c r="C1345" s="18" t="s">
        <v>517</v>
      </c>
      <c r="D1345" s="18">
        <v>4.0</v>
      </c>
      <c r="E1345" s="18" t="str">
        <f t="shared" si="1"/>
        <v>04/10/04</v>
      </c>
      <c r="F1345" s="18">
        <v>1.0</v>
      </c>
      <c r="G1345" s="27">
        <v>11272.33</v>
      </c>
      <c r="H1345" s="18" t="s">
        <v>142</v>
      </c>
      <c r="I1345" s="18" t="s">
        <v>140</v>
      </c>
      <c r="J1345" s="18" t="s">
        <v>1421</v>
      </c>
      <c r="K1345" s="29">
        <f t="shared" si="2"/>
        <v>18</v>
      </c>
    </row>
    <row r="1346" ht="15.75" customHeight="1">
      <c r="A1346" s="18" t="s">
        <v>3169</v>
      </c>
      <c r="B1346" s="18">
        <v>1967.0</v>
      </c>
      <c r="C1346" s="18" t="s">
        <v>241</v>
      </c>
      <c r="D1346" s="18">
        <v>14.0</v>
      </c>
      <c r="E1346" s="18" t="str">
        <f t="shared" si="1"/>
        <v>14/06/67</v>
      </c>
      <c r="F1346" s="18">
        <v>0.0</v>
      </c>
      <c r="G1346" s="27">
        <v>11286.54</v>
      </c>
      <c r="H1346" s="18" t="s">
        <v>142</v>
      </c>
      <c r="I1346" s="18" t="s">
        <v>142</v>
      </c>
      <c r="J1346" s="18" t="s">
        <v>2024</v>
      </c>
      <c r="K1346" s="29">
        <f t="shared" si="2"/>
        <v>55</v>
      </c>
    </row>
    <row r="1347" ht="15.75" customHeight="1">
      <c r="A1347" s="18" t="s">
        <v>3165</v>
      </c>
      <c r="B1347" s="18">
        <v>1970.0</v>
      </c>
      <c r="C1347" s="18" t="s">
        <v>241</v>
      </c>
      <c r="D1347" s="18">
        <v>22.0</v>
      </c>
      <c r="E1347" s="18" t="str">
        <f t="shared" si="1"/>
        <v>22/06/70</v>
      </c>
      <c r="F1347" s="18">
        <v>3.0</v>
      </c>
      <c r="G1347" s="27">
        <v>11289.11</v>
      </c>
      <c r="H1347" s="18" t="s">
        <v>142</v>
      </c>
      <c r="I1347" s="18" t="s">
        <v>219</v>
      </c>
      <c r="J1347" s="18" t="s">
        <v>325</v>
      </c>
      <c r="K1347" s="29">
        <f t="shared" si="2"/>
        <v>52</v>
      </c>
    </row>
    <row r="1348" ht="15.75" customHeight="1">
      <c r="A1348" s="18" t="s">
        <v>3163</v>
      </c>
      <c r="B1348" s="18">
        <v>1988.0</v>
      </c>
      <c r="C1348" s="18" t="s">
        <v>209</v>
      </c>
      <c r="D1348" s="18">
        <v>14.0</v>
      </c>
      <c r="E1348" s="18" t="str">
        <f t="shared" si="1"/>
        <v>14/11/88</v>
      </c>
      <c r="F1348" s="18">
        <v>3.0</v>
      </c>
      <c r="G1348" s="27">
        <v>11294.57</v>
      </c>
      <c r="H1348" s="18" t="s">
        <v>142</v>
      </c>
      <c r="I1348" s="18" t="s">
        <v>219</v>
      </c>
      <c r="J1348" s="18" t="s">
        <v>3978</v>
      </c>
      <c r="K1348" s="29">
        <f t="shared" si="2"/>
        <v>34</v>
      </c>
    </row>
    <row r="1349" ht="15.75" customHeight="1">
      <c r="A1349" s="18" t="s">
        <v>3159</v>
      </c>
      <c r="B1349" s="18">
        <v>1972.0</v>
      </c>
      <c r="C1349" s="18" t="s">
        <v>272</v>
      </c>
      <c r="D1349" s="18">
        <v>25.0</v>
      </c>
      <c r="E1349" s="18" t="str">
        <f t="shared" si="1"/>
        <v>25/09/72</v>
      </c>
      <c r="F1349" s="18">
        <v>4.0</v>
      </c>
      <c r="G1349" s="27">
        <v>11299.34</v>
      </c>
      <c r="H1349" s="18" t="s">
        <v>142</v>
      </c>
      <c r="I1349" s="18" t="s">
        <v>140</v>
      </c>
      <c r="J1349" s="18" t="s">
        <v>570</v>
      </c>
      <c r="K1349" s="29">
        <f t="shared" si="2"/>
        <v>50</v>
      </c>
    </row>
    <row r="1350" ht="15.75" customHeight="1">
      <c r="A1350" s="18" t="s">
        <v>3157</v>
      </c>
      <c r="B1350" s="18">
        <v>1968.0</v>
      </c>
      <c r="C1350" s="18" t="s">
        <v>517</v>
      </c>
      <c r="D1350" s="18">
        <v>6.0</v>
      </c>
      <c r="E1350" s="18" t="str">
        <f t="shared" si="1"/>
        <v>06/10/68</v>
      </c>
      <c r="F1350" s="18">
        <v>1.0</v>
      </c>
      <c r="G1350" s="27">
        <v>11305.93</v>
      </c>
      <c r="H1350" s="18" t="s">
        <v>142</v>
      </c>
      <c r="I1350" s="18" t="s">
        <v>219</v>
      </c>
      <c r="J1350" s="18" t="s">
        <v>325</v>
      </c>
      <c r="K1350" s="29">
        <f t="shared" si="2"/>
        <v>54</v>
      </c>
    </row>
    <row r="1351" ht="15.75" customHeight="1">
      <c r="A1351" s="18" t="s">
        <v>3153</v>
      </c>
      <c r="B1351" s="18">
        <v>1963.0</v>
      </c>
      <c r="C1351" s="18" t="s">
        <v>209</v>
      </c>
      <c r="D1351" s="18">
        <v>22.0</v>
      </c>
      <c r="E1351" s="18" t="str">
        <f t="shared" si="1"/>
        <v>22/11/63</v>
      </c>
      <c r="F1351" s="18">
        <v>0.0</v>
      </c>
      <c r="G1351" s="27">
        <v>11312.33</v>
      </c>
      <c r="H1351" s="18" t="s">
        <v>142</v>
      </c>
      <c r="I1351" s="18" t="s">
        <v>142</v>
      </c>
      <c r="J1351" s="18" t="s">
        <v>325</v>
      </c>
      <c r="K1351" s="29">
        <f t="shared" si="2"/>
        <v>59</v>
      </c>
    </row>
    <row r="1352" ht="15.75" customHeight="1">
      <c r="A1352" s="18" t="s">
        <v>3151</v>
      </c>
      <c r="B1352" s="18">
        <v>1995.0</v>
      </c>
      <c r="C1352" s="18" t="s">
        <v>457</v>
      </c>
      <c r="D1352" s="18">
        <v>10.0</v>
      </c>
      <c r="E1352" s="18" t="str">
        <f t="shared" si="1"/>
        <v>10/12/95</v>
      </c>
      <c r="F1352" s="18">
        <v>0.0</v>
      </c>
      <c r="G1352" s="27">
        <v>11318.57</v>
      </c>
      <c r="H1352" s="18" t="s">
        <v>142</v>
      </c>
      <c r="I1352" s="18" t="s">
        <v>140</v>
      </c>
      <c r="J1352" s="18" t="s">
        <v>3559</v>
      </c>
      <c r="K1352" s="29">
        <f t="shared" si="2"/>
        <v>27</v>
      </c>
    </row>
    <row r="1353" ht="15.75" customHeight="1">
      <c r="A1353" s="18" t="s">
        <v>3149</v>
      </c>
      <c r="B1353" s="18">
        <v>1963.0</v>
      </c>
      <c r="C1353" s="18" t="s">
        <v>91</v>
      </c>
      <c r="D1353" s="18">
        <v>11.0</v>
      </c>
      <c r="E1353" s="18" t="str">
        <f t="shared" si="1"/>
        <v>11/07/63</v>
      </c>
      <c r="F1353" s="18">
        <v>0.0</v>
      </c>
      <c r="G1353" s="27">
        <v>11319.12</v>
      </c>
      <c r="H1353" s="18" t="s">
        <v>142</v>
      </c>
      <c r="I1353" s="18" t="s">
        <v>219</v>
      </c>
      <c r="J1353" s="18" t="s">
        <v>325</v>
      </c>
      <c r="K1353" s="29">
        <f t="shared" si="2"/>
        <v>59</v>
      </c>
    </row>
    <row r="1354" ht="15.75" customHeight="1">
      <c r="A1354" s="18" t="s">
        <v>3146</v>
      </c>
      <c r="B1354" s="18">
        <v>2002.0</v>
      </c>
      <c r="C1354" s="18" t="s">
        <v>272</v>
      </c>
      <c r="D1354" s="18">
        <v>20.0</v>
      </c>
      <c r="E1354" s="18" t="str">
        <f t="shared" si="1"/>
        <v>20/09/02</v>
      </c>
      <c r="F1354" s="18">
        <v>0.0</v>
      </c>
      <c r="G1354" s="27">
        <v>11321.49</v>
      </c>
      <c r="H1354" s="18" t="s">
        <v>142</v>
      </c>
      <c r="I1354" s="18" t="s">
        <v>142</v>
      </c>
      <c r="J1354" s="18" t="s">
        <v>325</v>
      </c>
      <c r="K1354" s="29">
        <f t="shared" si="2"/>
        <v>20</v>
      </c>
    </row>
    <row r="1355" ht="15.75" customHeight="1">
      <c r="A1355" s="18" t="s">
        <v>3143</v>
      </c>
      <c r="B1355" s="18">
        <v>1989.0</v>
      </c>
      <c r="C1355" s="18" t="s">
        <v>501</v>
      </c>
      <c r="D1355" s="18">
        <v>19.0</v>
      </c>
      <c r="E1355" s="18" t="str">
        <f t="shared" si="1"/>
        <v>19/08/89</v>
      </c>
      <c r="F1355" s="18">
        <v>1.0</v>
      </c>
      <c r="G1355" s="27">
        <v>11326.71</v>
      </c>
      <c r="H1355" s="18" t="s">
        <v>142</v>
      </c>
      <c r="I1355" s="18" t="s">
        <v>142</v>
      </c>
      <c r="J1355" s="18" t="s">
        <v>146</v>
      </c>
      <c r="K1355" s="29">
        <f t="shared" si="2"/>
        <v>33</v>
      </c>
    </row>
    <row r="1356" ht="15.75" customHeight="1">
      <c r="A1356" s="18" t="s">
        <v>3139</v>
      </c>
      <c r="B1356" s="18">
        <v>1968.0</v>
      </c>
      <c r="C1356" s="18" t="s">
        <v>209</v>
      </c>
      <c r="D1356" s="18">
        <v>2.0</v>
      </c>
      <c r="E1356" s="18" t="str">
        <f t="shared" si="1"/>
        <v>02/11/68</v>
      </c>
      <c r="F1356" s="18">
        <v>0.0</v>
      </c>
      <c r="G1356" s="27">
        <v>11344.32</v>
      </c>
      <c r="H1356" s="18" t="s">
        <v>142</v>
      </c>
      <c r="I1356" s="18" t="s">
        <v>140</v>
      </c>
      <c r="J1356" s="18" t="s">
        <v>1647</v>
      </c>
      <c r="K1356" s="29">
        <f t="shared" si="2"/>
        <v>54</v>
      </c>
    </row>
    <row r="1357" ht="15.75" customHeight="1">
      <c r="A1357" s="18" t="s">
        <v>3137</v>
      </c>
      <c r="B1357" s="18">
        <v>1964.0</v>
      </c>
      <c r="C1357" s="18" t="s">
        <v>91</v>
      </c>
      <c r="D1357" s="18">
        <v>12.0</v>
      </c>
      <c r="E1357" s="18" t="str">
        <f t="shared" si="1"/>
        <v>12/07/64</v>
      </c>
      <c r="F1357" s="18">
        <v>0.0</v>
      </c>
      <c r="G1357" s="27">
        <v>11345.52</v>
      </c>
      <c r="H1357" s="18" t="s">
        <v>142</v>
      </c>
      <c r="I1357" s="18" t="s">
        <v>142</v>
      </c>
      <c r="J1357" s="18" t="s">
        <v>570</v>
      </c>
      <c r="K1357" s="29">
        <f t="shared" si="2"/>
        <v>58</v>
      </c>
    </row>
    <row r="1358" ht="15.75" customHeight="1">
      <c r="A1358" s="18" t="s">
        <v>3134</v>
      </c>
      <c r="B1358" s="18">
        <v>1965.0</v>
      </c>
      <c r="C1358" s="18" t="s">
        <v>209</v>
      </c>
      <c r="D1358" s="18">
        <v>29.0</v>
      </c>
      <c r="E1358" s="18" t="str">
        <f t="shared" si="1"/>
        <v>29/11/65</v>
      </c>
      <c r="F1358" s="18">
        <v>0.0</v>
      </c>
      <c r="G1358" s="27">
        <v>11353.23</v>
      </c>
      <c r="H1358" s="18" t="s">
        <v>142</v>
      </c>
      <c r="I1358" s="18" t="s">
        <v>219</v>
      </c>
      <c r="J1358" s="18" t="s">
        <v>325</v>
      </c>
      <c r="K1358" s="29">
        <f t="shared" si="2"/>
        <v>57</v>
      </c>
    </row>
    <row r="1359" ht="15.75" customHeight="1">
      <c r="A1359" s="18" t="s">
        <v>3131</v>
      </c>
      <c r="B1359" s="18">
        <v>1965.0</v>
      </c>
      <c r="C1359" s="18" t="s">
        <v>272</v>
      </c>
      <c r="D1359" s="18">
        <v>26.0</v>
      </c>
      <c r="E1359" s="18" t="str">
        <f t="shared" si="1"/>
        <v>26/09/65</v>
      </c>
      <c r="F1359" s="18">
        <v>0.0</v>
      </c>
      <c r="G1359" s="27">
        <v>11356.66</v>
      </c>
      <c r="H1359" s="18" t="s">
        <v>142</v>
      </c>
      <c r="I1359" s="18" t="s">
        <v>142</v>
      </c>
      <c r="J1359" s="18" t="s">
        <v>325</v>
      </c>
      <c r="K1359" s="29">
        <f t="shared" si="2"/>
        <v>57</v>
      </c>
    </row>
    <row r="1360" ht="15.75" customHeight="1">
      <c r="A1360" s="18" t="s">
        <v>3129</v>
      </c>
      <c r="B1360" s="18">
        <v>1964.0</v>
      </c>
      <c r="C1360" s="18" t="s">
        <v>91</v>
      </c>
      <c r="D1360" s="18">
        <v>4.0</v>
      </c>
      <c r="E1360" s="18" t="str">
        <f t="shared" si="1"/>
        <v>04/07/64</v>
      </c>
      <c r="F1360" s="18">
        <v>0.0</v>
      </c>
      <c r="G1360" s="27">
        <v>11362.76</v>
      </c>
      <c r="H1360" s="18" t="s">
        <v>142</v>
      </c>
      <c r="I1360" s="18" t="s">
        <v>219</v>
      </c>
      <c r="J1360" s="18" t="s">
        <v>570</v>
      </c>
      <c r="K1360" s="29">
        <f t="shared" si="2"/>
        <v>58</v>
      </c>
    </row>
    <row r="1361" ht="15.75" customHeight="1">
      <c r="A1361" s="18" t="s">
        <v>3125</v>
      </c>
      <c r="B1361" s="18">
        <v>1964.0</v>
      </c>
      <c r="C1361" s="18" t="s">
        <v>91</v>
      </c>
      <c r="D1361" s="18">
        <v>3.0</v>
      </c>
      <c r="E1361" s="18" t="str">
        <f t="shared" si="1"/>
        <v>03/07/64</v>
      </c>
      <c r="F1361" s="18">
        <v>0.0</v>
      </c>
      <c r="G1361" s="27">
        <v>11363.28</v>
      </c>
      <c r="H1361" s="18" t="s">
        <v>142</v>
      </c>
      <c r="I1361" s="18" t="s">
        <v>219</v>
      </c>
      <c r="J1361" s="18" t="s">
        <v>146</v>
      </c>
      <c r="K1361" s="29">
        <f t="shared" si="2"/>
        <v>58</v>
      </c>
    </row>
    <row r="1362" ht="15.75" customHeight="1">
      <c r="A1362" s="18" t="s">
        <v>3123</v>
      </c>
      <c r="B1362" s="18">
        <v>1964.0</v>
      </c>
      <c r="C1362" s="18" t="s">
        <v>457</v>
      </c>
      <c r="D1362" s="18">
        <v>13.0</v>
      </c>
      <c r="E1362" s="18" t="str">
        <f t="shared" si="1"/>
        <v>13/12/64</v>
      </c>
      <c r="F1362" s="18">
        <v>0.0</v>
      </c>
      <c r="G1362" s="27">
        <v>11365.95</v>
      </c>
      <c r="H1362" s="18" t="s">
        <v>142</v>
      </c>
      <c r="I1362" s="18" t="s">
        <v>140</v>
      </c>
      <c r="J1362" s="18" t="s">
        <v>570</v>
      </c>
      <c r="K1362" s="29">
        <f t="shared" si="2"/>
        <v>58</v>
      </c>
    </row>
    <row r="1363" ht="15.75" customHeight="1">
      <c r="A1363" s="18" t="s">
        <v>3120</v>
      </c>
      <c r="B1363" s="18">
        <v>1979.0</v>
      </c>
      <c r="C1363" s="18" t="s">
        <v>241</v>
      </c>
      <c r="D1363" s="18">
        <v>7.0</v>
      </c>
      <c r="E1363" s="18" t="str">
        <f t="shared" si="1"/>
        <v>07/06/79</v>
      </c>
      <c r="F1363" s="18">
        <v>2.0</v>
      </c>
      <c r="G1363" s="27">
        <v>11369.39</v>
      </c>
      <c r="H1363" s="18" t="s">
        <v>142</v>
      </c>
      <c r="I1363" s="18" t="s">
        <v>219</v>
      </c>
      <c r="J1363" s="18" t="s">
        <v>3559</v>
      </c>
      <c r="K1363" s="29">
        <f t="shared" si="2"/>
        <v>44</v>
      </c>
    </row>
    <row r="1364" ht="15.75" customHeight="1">
      <c r="A1364" s="18" t="s">
        <v>3117</v>
      </c>
      <c r="B1364" s="18">
        <v>1972.0</v>
      </c>
      <c r="C1364" s="18" t="s">
        <v>457</v>
      </c>
      <c r="D1364" s="18">
        <v>6.0</v>
      </c>
      <c r="E1364" s="18" t="str">
        <f t="shared" si="1"/>
        <v>06/12/72</v>
      </c>
      <c r="F1364" s="18">
        <v>0.0</v>
      </c>
      <c r="G1364" s="27">
        <v>11378.57</v>
      </c>
      <c r="H1364" s="18" t="s">
        <v>142</v>
      </c>
      <c r="I1364" s="18" t="s">
        <v>140</v>
      </c>
      <c r="J1364" s="18" t="s">
        <v>1647</v>
      </c>
      <c r="K1364" s="29">
        <f t="shared" si="2"/>
        <v>50</v>
      </c>
    </row>
    <row r="1365" ht="15.75" customHeight="1">
      <c r="A1365" s="18" t="s">
        <v>3115</v>
      </c>
      <c r="B1365" s="18">
        <v>1964.0</v>
      </c>
      <c r="C1365" s="18" t="s">
        <v>241</v>
      </c>
      <c r="D1365" s="18">
        <v>13.0</v>
      </c>
      <c r="E1365" s="18" t="str">
        <f t="shared" si="1"/>
        <v>13/06/64</v>
      </c>
      <c r="F1365" s="18">
        <v>0.0</v>
      </c>
      <c r="G1365" s="27">
        <v>11381.33</v>
      </c>
      <c r="H1365" s="18" t="s">
        <v>142</v>
      </c>
      <c r="I1365" s="18" t="s">
        <v>140</v>
      </c>
      <c r="J1365" s="18" t="s">
        <v>146</v>
      </c>
      <c r="K1365" s="29">
        <f t="shared" si="2"/>
        <v>58</v>
      </c>
    </row>
    <row r="1366" ht="15.75" customHeight="1">
      <c r="A1366" s="18" t="s">
        <v>3112</v>
      </c>
      <c r="B1366" s="18">
        <v>1997.0</v>
      </c>
      <c r="C1366" s="18" t="s">
        <v>91</v>
      </c>
      <c r="D1366" s="18">
        <v>28.0</v>
      </c>
      <c r="E1366" s="18" t="str">
        <f t="shared" si="1"/>
        <v>28/07/97</v>
      </c>
      <c r="F1366" s="18">
        <v>0.0</v>
      </c>
      <c r="G1366" s="27">
        <v>11388.27</v>
      </c>
      <c r="H1366" s="18" t="s">
        <v>142</v>
      </c>
      <c r="I1366" s="18" t="s">
        <v>140</v>
      </c>
      <c r="J1366" s="18" t="s">
        <v>3559</v>
      </c>
      <c r="K1366" s="29">
        <f t="shared" si="2"/>
        <v>25</v>
      </c>
    </row>
    <row r="1367" ht="15.75" customHeight="1">
      <c r="A1367" s="18" t="s">
        <v>3110</v>
      </c>
      <c r="B1367" s="18">
        <v>1967.0</v>
      </c>
      <c r="C1367" s="18" t="s">
        <v>457</v>
      </c>
      <c r="D1367" s="18">
        <v>19.0</v>
      </c>
      <c r="E1367" s="18" t="str">
        <f t="shared" si="1"/>
        <v>19/12/67</v>
      </c>
      <c r="F1367" s="18">
        <v>1.0</v>
      </c>
      <c r="G1367" s="27">
        <v>11394.07</v>
      </c>
      <c r="H1367" s="18" t="s">
        <v>142</v>
      </c>
      <c r="I1367" s="18" t="s">
        <v>219</v>
      </c>
      <c r="J1367" s="18" t="s">
        <v>1434</v>
      </c>
      <c r="K1367" s="29">
        <f t="shared" si="2"/>
        <v>55</v>
      </c>
    </row>
    <row r="1368" ht="15.75" customHeight="1">
      <c r="A1368" s="18" t="s">
        <v>3106</v>
      </c>
      <c r="B1368" s="18">
        <v>1970.0</v>
      </c>
      <c r="C1368" s="18" t="s">
        <v>517</v>
      </c>
      <c r="D1368" s="18">
        <v>2.0</v>
      </c>
      <c r="E1368" s="18" t="str">
        <f t="shared" si="1"/>
        <v>02/10/70</v>
      </c>
      <c r="F1368" s="18">
        <v>2.0</v>
      </c>
      <c r="G1368" s="27">
        <v>11396.9</v>
      </c>
      <c r="H1368" s="18" t="s">
        <v>142</v>
      </c>
      <c r="I1368" s="18" t="s">
        <v>142</v>
      </c>
      <c r="J1368" s="18" t="s">
        <v>2024</v>
      </c>
      <c r="K1368" s="29">
        <f t="shared" si="2"/>
        <v>52</v>
      </c>
    </row>
    <row r="1369" ht="15.75" customHeight="1">
      <c r="A1369" s="18" t="s">
        <v>3104</v>
      </c>
      <c r="B1369" s="18">
        <v>1970.0</v>
      </c>
      <c r="C1369" s="18" t="s">
        <v>517</v>
      </c>
      <c r="D1369" s="18">
        <v>7.0</v>
      </c>
      <c r="E1369" s="18" t="str">
        <f t="shared" si="1"/>
        <v>07/10/70</v>
      </c>
      <c r="F1369" s="18">
        <v>3.0</v>
      </c>
      <c r="G1369" s="27">
        <v>11411.69</v>
      </c>
      <c r="H1369" s="18" t="s">
        <v>142</v>
      </c>
      <c r="I1369" s="18" t="s">
        <v>140</v>
      </c>
      <c r="J1369" s="18" t="s">
        <v>570</v>
      </c>
      <c r="K1369" s="29">
        <f t="shared" si="2"/>
        <v>52</v>
      </c>
    </row>
    <row r="1370" ht="15.75" customHeight="1">
      <c r="A1370" s="18" t="s">
        <v>3101</v>
      </c>
      <c r="B1370" s="18">
        <v>1983.0</v>
      </c>
      <c r="C1370" s="18" t="s">
        <v>517</v>
      </c>
      <c r="D1370" s="18">
        <v>23.0</v>
      </c>
      <c r="E1370" s="18" t="str">
        <f t="shared" si="1"/>
        <v>23/10/83</v>
      </c>
      <c r="F1370" s="18">
        <v>3.0</v>
      </c>
      <c r="G1370" s="27">
        <v>11412.02</v>
      </c>
      <c r="H1370" s="18" t="s">
        <v>142</v>
      </c>
      <c r="I1370" s="18" t="s">
        <v>219</v>
      </c>
      <c r="J1370" s="18" t="s">
        <v>2314</v>
      </c>
      <c r="K1370" s="29">
        <f t="shared" si="2"/>
        <v>39</v>
      </c>
    </row>
    <row r="1371" ht="15.75" customHeight="1">
      <c r="A1371" s="18" t="s">
        <v>3098</v>
      </c>
      <c r="B1371" s="18">
        <v>1985.0</v>
      </c>
      <c r="C1371" s="18" t="s">
        <v>241</v>
      </c>
      <c r="D1371" s="18">
        <v>9.0</v>
      </c>
      <c r="E1371" s="18" t="str">
        <f t="shared" si="1"/>
        <v>09/06/85</v>
      </c>
      <c r="F1371" s="18">
        <v>3.0</v>
      </c>
      <c r="G1371" s="27">
        <v>11419.49</v>
      </c>
      <c r="H1371" s="18" t="s">
        <v>142</v>
      </c>
      <c r="I1371" s="18" t="s">
        <v>219</v>
      </c>
      <c r="J1371" s="18" t="s">
        <v>325</v>
      </c>
      <c r="K1371" s="29">
        <f t="shared" si="2"/>
        <v>37</v>
      </c>
    </row>
    <row r="1372" ht="15.75" customHeight="1">
      <c r="A1372" s="18" t="s">
        <v>3096</v>
      </c>
      <c r="B1372" s="18">
        <v>1980.0</v>
      </c>
      <c r="C1372" s="18" t="s">
        <v>91</v>
      </c>
      <c r="D1372" s="18">
        <v>17.0</v>
      </c>
      <c r="E1372" s="18" t="str">
        <f t="shared" si="1"/>
        <v>17/07/80</v>
      </c>
      <c r="F1372" s="18">
        <v>2.0</v>
      </c>
      <c r="G1372" s="27">
        <v>11435.74</v>
      </c>
      <c r="H1372" s="18" t="s">
        <v>142</v>
      </c>
      <c r="I1372" s="18" t="s">
        <v>142</v>
      </c>
      <c r="J1372" s="18" t="s">
        <v>2314</v>
      </c>
      <c r="K1372" s="29">
        <f t="shared" si="2"/>
        <v>42</v>
      </c>
    </row>
    <row r="1373" ht="15.75" customHeight="1">
      <c r="A1373" s="18" t="s">
        <v>3092</v>
      </c>
      <c r="B1373" s="18">
        <v>1971.0</v>
      </c>
      <c r="C1373" s="18" t="s">
        <v>272</v>
      </c>
      <c r="D1373" s="18">
        <v>12.0</v>
      </c>
      <c r="E1373" s="18" t="str">
        <f t="shared" si="1"/>
        <v>12/09/71</v>
      </c>
      <c r="F1373" s="18">
        <v>3.0</v>
      </c>
      <c r="G1373" s="27">
        <v>11436.74</v>
      </c>
      <c r="H1373" s="18" t="s">
        <v>142</v>
      </c>
      <c r="I1373" s="18" t="s">
        <v>142</v>
      </c>
      <c r="J1373" s="18" t="s">
        <v>325</v>
      </c>
      <c r="K1373" s="29">
        <f t="shared" si="2"/>
        <v>51</v>
      </c>
    </row>
    <row r="1374" ht="15.75" customHeight="1">
      <c r="A1374" s="18" t="s">
        <v>3089</v>
      </c>
      <c r="B1374" s="18">
        <v>1966.0</v>
      </c>
      <c r="C1374" s="18" t="s">
        <v>241</v>
      </c>
      <c r="D1374" s="18">
        <v>14.0</v>
      </c>
      <c r="E1374" s="18" t="str">
        <f t="shared" si="1"/>
        <v>14/06/66</v>
      </c>
      <c r="F1374" s="18">
        <v>0.0</v>
      </c>
      <c r="G1374" s="27">
        <v>11454.02</v>
      </c>
      <c r="H1374" s="18" t="s">
        <v>142</v>
      </c>
      <c r="I1374" s="18" t="s">
        <v>219</v>
      </c>
      <c r="J1374" s="18" t="s">
        <v>325</v>
      </c>
      <c r="K1374" s="29">
        <f t="shared" si="2"/>
        <v>56</v>
      </c>
    </row>
    <row r="1375" ht="15.75" customHeight="1">
      <c r="A1375" s="18" t="s">
        <v>3085</v>
      </c>
      <c r="B1375" s="18">
        <v>1965.0</v>
      </c>
      <c r="C1375" s="18" t="s">
        <v>241</v>
      </c>
      <c r="D1375" s="18">
        <v>23.0</v>
      </c>
      <c r="E1375" s="18" t="str">
        <f t="shared" si="1"/>
        <v>23/06/65</v>
      </c>
      <c r="F1375" s="18">
        <v>0.0</v>
      </c>
      <c r="G1375" s="27">
        <v>11455.28</v>
      </c>
      <c r="H1375" s="18" t="s">
        <v>142</v>
      </c>
      <c r="I1375" s="18" t="s">
        <v>140</v>
      </c>
      <c r="J1375" s="18" t="s">
        <v>570</v>
      </c>
      <c r="K1375" s="29">
        <f t="shared" si="2"/>
        <v>57</v>
      </c>
    </row>
    <row r="1376" ht="15.75" customHeight="1">
      <c r="A1376" s="18" t="s">
        <v>3082</v>
      </c>
      <c r="B1376" s="18">
        <v>1966.0</v>
      </c>
      <c r="C1376" s="18" t="s">
        <v>272</v>
      </c>
      <c r="D1376" s="18">
        <v>7.0</v>
      </c>
      <c r="E1376" s="18" t="str">
        <f t="shared" si="1"/>
        <v>07/09/66</v>
      </c>
      <c r="F1376" s="18">
        <v>0.0</v>
      </c>
      <c r="G1376" s="27">
        <v>11478.14</v>
      </c>
      <c r="H1376" s="18" t="s">
        <v>142</v>
      </c>
      <c r="I1376" s="18" t="s">
        <v>140</v>
      </c>
      <c r="J1376" s="18" t="s">
        <v>1647</v>
      </c>
      <c r="K1376" s="29">
        <f t="shared" si="2"/>
        <v>56</v>
      </c>
    </row>
    <row r="1377" ht="15.75" customHeight="1">
      <c r="A1377" s="18" t="s">
        <v>3078</v>
      </c>
      <c r="B1377" s="18">
        <v>2004.0</v>
      </c>
      <c r="C1377" s="18" t="s">
        <v>272</v>
      </c>
      <c r="D1377" s="18">
        <v>10.0</v>
      </c>
      <c r="E1377" s="18" t="str">
        <f t="shared" si="1"/>
        <v>10/09/04</v>
      </c>
      <c r="F1377" s="18">
        <v>0.0</v>
      </c>
      <c r="G1377" s="27">
        <v>11482.63</v>
      </c>
      <c r="H1377" s="18" t="s">
        <v>142</v>
      </c>
      <c r="I1377" s="18" t="s">
        <v>140</v>
      </c>
      <c r="J1377" s="18" t="s">
        <v>146</v>
      </c>
      <c r="K1377" s="29">
        <f t="shared" si="2"/>
        <v>18</v>
      </c>
    </row>
    <row r="1378" ht="15.75" customHeight="1">
      <c r="A1378" s="18" t="s">
        <v>3075</v>
      </c>
      <c r="B1378" s="18">
        <v>1970.0</v>
      </c>
      <c r="C1378" s="18" t="s">
        <v>517</v>
      </c>
      <c r="D1378" s="18">
        <v>13.0</v>
      </c>
      <c r="E1378" s="18" t="str">
        <f t="shared" si="1"/>
        <v>13/10/70</v>
      </c>
      <c r="F1378" s="18">
        <v>3.0</v>
      </c>
      <c r="G1378" s="27">
        <v>11488.32</v>
      </c>
      <c r="H1378" s="18" t="s">
        <v>142</v>
      </c>
      <c r="I1378" s="18" t="s">
        <v>219</v>
      </c>
      <c r="J1378" s="18" t="s">
        <v>2191</v>
      </c>
      <c r="K1378" s="29">
        <f t="shared" si="2"/>
        <v>52</v>
      </c>
    </row>
    <row r="1379" ht="15.75" customHeight="1">
      <c r="A1379" s="18" t="s">
        <v>3070</v>
      </c>
      <c r="B1379" s="18">
        <v>1983.0</v>
      </c>
      <c r="C1379" s="18" t="s">
        <v>241</v>
      </c>
      <c r="D1379" s="18">
        <v>7.0</v>
      </c>
      <c r="E1379" s="18" t="str">
        <f t="shared" si="1"/>
        <v>07/06/83</v>
      </c>
      <c r="F1379" s="18">
        <v>3.0</v>
      </c>
      <c r="G1379" s="27">
        <v>11492.46</v>
      </c>
      <c r="H1379" s="18" t="s">
        <v>142</v>
      </c>
      <c r="I1379" s="18" t="s">
        <v>142</v>
      </c>
      <c r="J1379" s="18" t="s">
        <v>3559</v>
      </c>
      <c r="K1379" s="29">
        <f t="shared" si="2"/>
        <v>40</v>
      </c>
    </row>
    <row r="1380" ht="15.75" customHeight="1">
      <c r="A1380" s="18" t="s">
        <v>3067</v>
      </c>
      <c r="B1380" s="18">
        <v>1969.0</v>
      </c>
      <c r="C1380" s="18" t="s">
        <v>501</v>
      </c>
      <c r="D1380" s="18">
        <v>11.0</v>
      </c>
      <c r="E1380" s="18" t="str">
        <f t="shared" si="1"/>
        <v>11/08/69</v>
      </c>
      <c r="F1380" s="18">
        <v>0.0</v>
      </c>
      <c r="G1380" s="27">
        <v>11497.69</v>
      </c>
      <c r="H1380" s="18" t="s">
        <v>142</v>
      </c>
      <c r="I1380" s="18" t="s">
        <v>219</v>
      </c>
      <c r="J1380" s="18" t="s">
        <v>325</v>
      </c>
      <c r="K1380" s="29">
        <f t="shared" si="2"/>
        <v>53</v>
      </c>
    </row>
    <row r="1381" ht="15.75" customHeight="1">
      <c r="A1381" s="18" t="s">
        <v>3062</v>
      </c>
      <c r="B1381" s="18">
        <v>1989.0</v>
      </c>
      <c r="C1381" s="18" t="s">
        <v>517</v>
      </c>
      <c r="D1381" s="18">
        <v>6.0</v>
      </c>
      <c r="E1381" s="18" t="str">
        <f t="shared" si="1"/>
        <v>06/10/89</v>
      </c>
      <c r="F1381" s="18">
        <v>3.0</v>
      </c>
      <c r="G1381" s="27">
        <v>11511.61</v>
      </c>
      <c r="H1381" s="18" t="s">
        <v>142</v>
      </c>
      <c r="I1381" s="18" t="s">
        <v>142</v>
      </c>
      <c r="J1381" s="18" t="s">
        <v>3559</v>
      </c>
      <c r="K1381" s="29">
        <f t="shared" si="2"/>
        <v>33</v>
      </c>
    </row>
    <row r="1382" ht="15.75" customHeight="1">
      <c r="A1382" s="18" t="s">
        <v>3059</v>
      </c>
      <c r="B1382" s="18">
        <v>1968.0</v>
      </c>
      <c r="C1382" s="18" t="s">
        <v>241</v>
      </c>
      <c r="D1382" s="18">
        <v>24.0</v>
      </c>
      <c r="E1382" s="18" t="str">
        <f t="shared" si="1"/>
        <v>24/06/68</v>
      </c>
      <c r="F1382" s="18">
        <v>1.0</v>
      </c>
      <c r="G1382" s="27">
        <v>11512.41</v>
      </c>
      <c r="H1382" s="18" t="s">
        <v>142</v>
      </c>
      <c r="I1382" s="18" t="s">
        <v>219</v>
      </c>
      <c r="J1382" s="18" t="s">
        <v>2024</v>
      </c>
      <c r="K1382" s="29">
        <f t="shared" si="2"/>
        <v>54</v>
      </c>
    </row>
    <row r="1383" ht="15.75" customHeight="1">
      <c r="A1383" s="18" t="s">
        <v>3057</v>
      </c>
      <c r="B1383" s="18">
        <v>1971.0</v>
      </c>
      <c r="C1383" s="18" t="s">
        <v>457</v>
      </c>
      <c r="D1383" s="18">
        <v>19.0</v>
      </c>
      <c r="E1383" s="18" t="str">
        <f t="shared" si="1"/>
        <v>19/12/71</v>
      </c>
      <c r="F1383" s="18">
        <v>4.0</v>
      </c>
      <c r="G1383" s="27">
        <v>11520.1</v>
      </c>
      <c r="H1383" s="18" t="s">
        <v>142</v>
      </c>
      <c r="I1383" s="18" t="s">
        <v>219</v>
      </c>
      <c r="J1383" s="18" t="s">
        <v>325</v>
      </c>
      <c r="K1383" s="29">
        <f t="shared" si="2"/>
        <v>51</v>
      </c>
    </row>
    <row r="1384" ht="15.75" customHeight="1">
      <c r="A1384" s="18" t="s">
        <v>3054</v>
      </c>
      <c r="B1384" s="18">
        <v>1988.0</v>
      </c>
      <c r="C1384" s="18" t="s">
        <v>241</v>
      </c>
      <c r="D1384" s="18">
        <v>12.0</v>
      </c>
      <c r="E1384" s="18" t="str">
        <f t="shared" si="1"/>
        <v>12/06/88</v>
      </c>
      <c r="F1384" s="18">
        <v>3.0</v>
      </c>
      <c r="G1384" s="27">
        <v>11524.25</v>
      </c>
      <c r="H1384" s="18" t="s">
        <v>142</v>
      </c>
      <c r="I1384" s="18" t="s">
        <v>219</v>
      </c>
      <c r="J1384" s="18" t="s">
        <v>3559</v>
      </c>
      <c r="K1384" s="29">
        <f t="shared" si="2"/>
        <v>34</v>
      </c>
    </row>
    <row r="1385" ht="15.75" customHeight="1">
      <c r="A1385" s="18" t="s">
        <v>3050</v>
      </c>
      <c r="B1385" s="18">
        <v>1970.0</v>
      </c>
      <c r="C1385" s="18" t="s">
        <v>91</v>
      </c>
      <c r="D1385" s="18">
        <v>23.0</v>
      </c>
      <c r="E1385" s="18" t="str">
        <f t="shared" si="1"/>
        <v>23/07/70</v>
      </c>
      <c r="F1385" s="18">
        <v>0.0</v>
      </c>
      <c r="G1385" s="27">
        <v>11530.12</v>
      </c>
      <c r="H1385" s="18" t="s">
        <v>142</v>
      </c>
      <c r="I1385" s="18" t="s">
        <v>219</v>
      </c>
      <c r="J1385" s="18" t="s">
        <v>325</v>
      </c>
      <c r="K1385" s="29">
        <f t="shared" si="2"/>
        <v>52</v>
      </c>
    </row>
    <row r="1386" ht="15.75" customHeight="1">
      <c r="A1386" s="18" t="s">
        <v>3046</v>
      </c>
      <c r="B1386" s="18">
        <v>1965.0</v>
      </c>
      <c r="C1386" s="18" t="s">
        <v>517</v>
      </c>
      <c r="D1386" s="18">
        <v>3.0</v>
      </c>
      <c r="E1386" s="18" t="str">
        <f t="shared" si="1"/>
        <v>03/10/65</v>
      </c>
      <c r="F1386" s="18">
        <v>0.0</v>
      </c>
      <c r="G1386" s="27">
        <v>11534.87</v>
      </c>
      <c r="H1386" s="18" t="s">
        <v>142</v>
      </c>
      <c r="I1386" s="18" t="s">
        <v>219</v>
      </c>
      <c r="J1386" s="18" t="s">
        <v>2617</v>
      </c>
      <c r="K1386" s="29">
        <f t="shared" si="2"/>
        <v>57</v>
      </c>
    </row>
    <row r="1387" ht="15.75" customHeight="1">
      <c r="A1387" s="18" t="s">
        <v>3043</v>
      </c>
      <c r="B1387" s="18">
        <v>1968.0</v>
      </c>
      <c r="C1387" s="18" t="s">
        <v>209</v>
      </c>
      <c r="D1387" s="18">
        <v>14.0</v>
      </c>
      <c r="E1387" s="18" t="str">
        <f t="shared" si="1"/>
        <v>14/11/68</v>
      </c>
      <c r="F1387" s="18">
        <v>2.0</v>
      </c>
      <c r="G1387" s="27">
        <v>11538.42</v>
      </c>
      <c r="H1387" s="18" t="s">
        <v>142</v>
      </c>
      <c r="I1387" s="18" t="s">
        <v>219</v>
      </c>
      <c r="J1387" s="18" t="s">
        <v>570</v>
      </c>
      <c r="K1387" s="29">
        <f t="shared" si="2"/>
        <v>54</v>
      </c>
    </row>
    <row r="1388" ht="15.75" customHeight="1">
      <c r="A1388" s="18" t="s">
        <v>3040</v>
      </c>
      <c r="B1388" s="18">
        <v>1971.0</v>
      </c>
      <c r="C1388" s="18" t="s">
        <v>457</v>
      </c>
      <c r="D1388" s="18">
        <v>1.0</v>
      </c>
      <c r="E1388" s="18" t="str">
        <f t="shared" si="1"/>
        <v>01/12/71</v>
      </c>
      <c r="F1388" s="18">
        <v>0.0</v>
      </c>
      <c r="G1388" s="27">
        <v>11540.25</v>
      </c>
      <c r="H1388" s="18" t="s">
        <v>142</v>
      </c>
      <c r="I1388" s="18" t="s">
        <v>219</v>
      </c>
      <c r="J1388" s="18" t="s">
        <v>325</v>
      </c>
      <c r="K1388" s="29">
        <f t="shared" si="2"/>
        <v>51</v>
      </c>
    </row>
    <row r="1389" ht="15.75" customHeight="1">
      <c r="A1389" s="18" t="s">
        <v>3036</v>
      </c>
      <c r="B1389" s="18">
        <v>1973.0</v>
      </c>
      <c r="C1389" s="18" t="s">
        <v>91</v>
      </c>
      <c r="D1389" s="18">
        <v>23.0</v>
      </c>
      <c r="E1389" s="18" t="str">
        <f t="shared" si="1"/>
        <v>23/07/73</v>
      </c>
      <c r="F1389" s="18">
        <v>5.0</v>
      </c>
      <c r="G1389" s="27">
        <v>11552.9</v>
      </c>
      <c r="H1389" s="18" t="s">
        <v>142</v>
      </c>
      <c r="I1389" s="18" t="s">
        <v>140</v>
      </c>
      <c r="J1389" s="18" t="s">
        <v>570</v>
      </c>
      <c r="K1389" s="29">
        <f t="shared" si="2"/>
        <v>49</v>
      </c>
    </row>
    <row r="1390" ht="15.75" customHeight="1">
      <c r="A1390" s="18" t="s">
        <v>3033</v>
      </c>
      <c r="B1390" s="18">
        <v>1965.0</v>
      </c>
      <c r="C1390" s="18" t="s">
        <v>517</v>
      </c>
      <c r="D1390" s="18">
        <v>27.0</v>
      </c>
      <c r="E1390" s="18" t="str">
        <f t="shared" si="1"/>
        <v>27/10/65</v>
      </c>
      <c r="F1390" s="18">
        <v>1.0</v>
      </c>
      <c r="G1390" s="27">
        <v>11554.22</v>
      </c>
      <c r="H1390" s="18" t="s">
        <v>142</v>
      </c>
      <c r="I1390" s="18" t="s">
        <v>219</v>
      </c>
      <c r="J1390" s="18" t="s">
        <v>146</v>
      </c>
      <c r="K1390" s="29">
        <f t="shared" si="2"/>
        <v>57</v>
      </c>
    </row>
    <row r="1391" ht="15.75" customHeight="1">
      <c r="A1391" s="18" t="s">
        <v>3031</v>
      </c>
      <c r="B1391" s="18">
        <v>1965.0</v>
      </c>
      <c r="C1391" s="18" t="s">
        <v>457</v>
      </c>
      <c r="D1391" s="18">
        <v>25.0</v>
      </c>
      <c r="E1391" s="18" t="str">
        <f t="shared" si="1"/>
        <v>25/12/65</v>
      </c>
      <c r="F1391" s="18">
        <v>0.0</v>
      </c>
      <c r="G1391" s="27">
        <v>11566.3</v>
      </c>
      <c r="H1391" s="18" t="s">
        <v>142</v>
      </c>
      <c r="I1391" s="18" t="s">
        <v>142</v>
      </c>
      <c r="J1391" s="18" t="s">
        <v>1427</v>
      </c>
      <c r="K1391" s="29">
        <f t="shared" si="2"/>
        <v>57</v>
      </c>
    </row>
    <row r="1392" ht="15.75" customHeight="1">
      <c r="A1392" s="18" t="s">
        <v>3028</v>
      </c>
      <c r="B1392" s="18">
        <v>1965.0</v>
      </c>
      <c r="C1392" s="18" t="s">
        <v>209</v>
      </c>
      <c r="D1392" s="18">
        <v>6.0</v>
      </c>
      <c r="E1392" s="18" t="str">
        <f t="shared" si="1"/>
        <v>06/11/65</v>
      </c>
      <c r="F1392" s="18">
        <v>1.0</v>
      </c>
      <c r="G1392" s="27">
        <v>11576.13</v>
      </c>
      <c r="H1392" s="18" t="s">
        <v>142</v>
      </c>
      <c r="I1392" s="18" t="s">
        <v>142</v>
      </c>
      <c r="J1392" s="18" t="s">
        <v>570</v>
      </c>
      <c r="K1392" s="29">
        <f t="shared" si="2"/>
        <v>57</v>
      </c>
    </row>
    <row r="1393" ht="15.75" customHeight="1">
      <c r="A1393" s="18" t="s">
        <v>3025</v>
      </c>
      <c r="B1393" s="18">
        <v>1964.0</v>
      </c>
      <c r="C1393" s="18" t="s">
        <v>241</v>
      </c>
      <c r="D1393" s="18">
        <v>20.0</v>
      </c>
      <c r="E1393" s="18" t="str">
        <f t="shared" si="1"/>
        <v>20/06/64</v>
      </c>
      <c r="F1393" s="18">
        <v>0.0</v>
      </c>
      <c r="G1393" s="27">
        <v>11602.75</v>
      </c>
      <c r="H1393" s="18" t="s">
        <v>142</v>
      </c>
      <c r="I1393" s="18" t="s">
        <v>219</v>
      </c>
      <c r="J1393" s="18" t="s">
        <v>3443</v>
      </c>
      <c r="K1393" s="29">
        <f t="shared" si="2"/>
        <v>58</v>
      </c>
    </row>
    <row r="1394" ht="15.75" customHeight="1">
      <c r="A1394" s="18" t="s">
        <v>3023</v>
      </c>
      <c r="B1394" s="18">
        <v>1986.0</v>
      </c>
      <c r="C1394" s="18" t="s">
        <v>91</v>
      </c>
      <c r="D1394" s="18">
        <v>17.0</v>
      </c>
      <c r="E1394" s="18" t="str">
        <f t="shared" si="1"/>
        <v>17/07/86</v>
      </c>
      <c r="F1394" s="18">
        <v>3.0</v>
      </c>
      <c r="G1394" s="27">
        <v>11625.11</v>
      </c>
      <c r="H1394" s="18" t="s">
        <v>142</v>
      </c>
      <c r="I1394" s="18" t="s">
        <v>142</v>
      </c>
      <c r="J1394" s="18" t="s">
        <v>3978</v>
      </c>
      <c r="K1394" s="29">
        <f t="shared" si="2"/>
        <v>36</v>
      </c>
    </row>
    <row r="1395" ht="15.75" customHeight="1">
      <c r="A1395" s="18" t="s">
        <v>3020</v>
      </c>
      <c r="B1395" s="18">
        <v>1966.0</v>
      </c>
      <c r="C1395" s="18" t="s">
        <v>517</v>
      </c>
      <c r="D1395" s="18">
        <v>4.0</v>
      </c>
      <c r="E1395" s="18" t="str">
        <f t="shared" si="1"/>
        <v>04/10/66</v>
      </c>
      <c r="F1395" s="18">
        <v>0.0</v>
      </c>
      <c r="G1395" s="27">
        <v>11657.72</v>
      </c>
      <c r="H1395" s="18" t="s">
        <v>142</v>
      </c>
      <c r="I1395" s="18" t="s">
        <v>140</v>
      </c>
      <c r="J1395" s="18" t="s">
        <v>2024</v>
      </c>
      <c r="K1395" s="29">
        <f t="shared" si="2"/>
        <v>56</v>
      </c>
    </row>
    <row r="1396" ht="15.75" customHeight="1">
      <c r="A1396" s="18" t="s">
        <v>3018</v>
      </c>
      <c r="B1396" s="18">
        <v>1994.0</v>
      </c>
      <c r="C1396" s="18" t="s">
        <v>91</v>
      </c>
      <c r="D1396" s="18">
        <v>20.0</v>
      </c>
      <c r="E1396" s="18" t="str">
        <f t="shared" si="1"/>
        <v>20/07/94</v>
      </c>
      <c r="F1396" s="18">
        <v>0.0</v>
      </c>
      <c r="G1396" s="27">
        <v>11657.81</v>
      </c>
      <c r="H1396" s="18" t="s">
        <v>142</v>
      </c>
      <c r="I1396" s="18" t="s">
        <v>140</v>
      </c>
      <c r="J1396" s="18" t="s">
        <v>2031</v>
      </c>
      <c r="K1396" s="29">
        <f t="shared" si="2"/>
        <v>28</v>
      </c>
    </row>
    <row r="1397" ht="15.75" customHeight="1">
      <c r="A1397" s="18" t="s">
        <v>3014</v>
      </c>
      <c r="B1397" s="18">
        <v>1966.0</v>
      </c>
      <c r="C1397" s="18" t="s">
        <v>91</v>
      </c>
      <c r="D1397" s="18">
        <v>6.0</v>
      </c>
      <c r="E1397" s="18" t="str">
        <f t="shared" si="1"/>
        <v>06/07/66</v>
      </c>
      <c r="F1397" s="18">
        <v>0.0</v>
      </c>
      <c r="G1397" s="27">
        <v>11658.12</v>
      </c>
      <c r="H1397" s="18" t="s">
        <v>142</v>
      </c>
      <c r="I1397" s="18" t="s">
        <v>219</v>
      </c>
      <c r="J1397" s="18" t="s">
        <v>2024</v>
      </c>
      <c r="K1397" s="29">
        <f t="shared" si="2"/>
        <v>56</v>
      </c>
    </row>
    <row r="1398" ht="15.75" customHeight="1">
      <c r="A1398" s="18" t="s">
        <v>3010</v>
      </c>
      <c r="B1398" s="18">
        <v>1966.0</v>
      </c>
      <c r="C1398" s="18" t="s">
        <v>501</v>
      </c>
      <c r="D1398" s="18">
        <v>23.0</v>
      </c>
      <c r="E1398" s="18" t="str">
        <f t="shared" si="1"/>
        <v>23/08/66</v>
      </c>
      <c r="F1398" s="18">
        <v>0.0</v>
      </c>
      <c r="G1398" s="27">
        <v>11658.38</v>
      </c>
      <c r="H1398" s="18" t="s">
        <v>142</v>
      </c>
      <c r="I1398" s="18" t="s">
        <v>142</v>
      </c>
      <c r="J1398" s="18" t="s">
        <v>2024</v>
      </c>
      <c r="K1398" s="29">
        <f t="shared" si="2"/>
        <v>56</v>
      </c>
    </row>
    <row r="1399" ht="15.75" customHeight="1">
      <c r="A1399" s="18" t="s">
        <v>3007</v>
      </c>
      <c r="B1399" s="18">
        <v>1966.0</v>
      </c>
      <c r="C1399" s="18" t="s">
        <v>209</v>
      </c>
      <c r="D1399" s="18">
        <v>9.0</v>
      </c>
      <c r="E1399" s="18" t="str">
        <f t="shared" si="1"/>
        <v>09/11/66</v>
      </c>
      <c r="F1399" s="18">
        <v>1.0</v>
      </c>
      <c r="G1399" s="27">
        <v>11674.13</v>
      </c>
      <c r="H1399" s="18" t="s">
        <v>142</v>
      </c>
      <c r="I1399" s="18" t="s">
        <v>219</v>
      </c>
      <c r="J1399" s="18" t="s">
        <v>570</v>
      </c>
      <c r="K1399" s="29">
        <f t="shared" si="2"/>
        <v>56</v>
      </c>
    </row>
    <row r="1400" ht="15.75" customHeight="1">
      <c r="A1400" s="18" t="s">
        <v>3004</v>
      </c>
      <c r="B1400" s="18">
        <v>1970.0</v>
      </c>
      <c r="C1400" s="18" t="s">
        <v>457</v>
      </c>
      <c r="D1400" s="18">
        <v>1.0</v>
      </c>
      <c r="E1400" s="18" t="str">
        <f t="shared" si="1"/>
        <v>01/12/70</v>
      </c>
      <c r="F1400" s="18">
        <v>0.0</v>
      </c>
      <c r="G1400" s="27">
        <v>11696.52</v>
      </c>
      <c r="H1400" s="18" t="s">
        <v>142</v>
      </c>
      <c r="I1400" s="18" t="s">
        <v>219</v>
      </c>
      <c r="J1400" s="18" t="s">
        <v>2314</v>
      </c>
      <c r="K1400" s="29">
        <f t="shared" si="2"/>
        <v>52</v>
      </c>
    </row>
    <row r="1401" ht="15.75" customHeight="1">
      <c r="A1401" s="18" t="s">
        <v>3000</v>
      </c>
      <c r="B1401" s="18">
        <v>1982.0</v>
      </c>
      <c r="C1401" s="18" t="s">
        <v>517</v>
      </c>
      <c r="D1401" s="18">
        <v>21.0</v>
      </c>
      <c r="E1401" s="18" t="str">
        <f t="shared" si="1"/>
        <v>21/10/82</v>
      </c>
      <c r="F1401" s="18">
        <v>3.0</v>
      </c>
      <c r="G1401" s="27">
        <v>11712.97</v>
      </c>
      <c r="H1401" s="18" t="s">
        <v>142</v>
      </c>
      <c r="I1401" s="18" t="s">
        <v>140</v>
      </c>
      <c r="J1401" s="18" t="s">
        <v>2314</v>
      </c>
      <c r="K1401" s="29">
        <f t="shared" si="2"/>
        <v>40</v>
      </c>
    </row>
    <row r="1402" ht="15.75" customHeight="1">
      <c r="A1402" s="18" t="s">
        <v>2997</v>
      </c>
      <c r="B1402" s="18">
        <v>1969.0</v>
      </c>
      <c r="C1402" s="18" t="s">
        <v>517</v>
      </c>
      <c r="D1402" s="18">
        <v>12.0</v>
      </c>
      <c r="E1402" s="18" t="str">
        <f t="shared" si="1"/>
        <v>12/10/69</v>
      </c>
      <c r="F1402" s="18">
        <v>2.0</v>
      </c>
      <c r="G1402" s="27">
        <v>11729.68</v>
      </c>
      <c r="H1402" s="18" t="s">
        <v>142</v>
      </c>
      <c r="I1402" s="18" t="s">
        <v>219</v>
      </c>
      <c r="J1402" s="18" t="s">
        <v>2024</v>
      </c>
      <c r="K1402" s="29">
        <f t="shared" si="2"/>
        <v>53</v>
      </c>
    </row>
    <row r="1403" ht="15.75" customHeight="1">
      <c r="A1403" s="18" t="s">
        <v>2994</v>
      </c>
      <c r="B1403" s="18">
        <v>1984.0</v>
      </c>
      <c r="C1403" s="18" t="s">
        <v>209</v>
      </c>
      <c r="D1403" s="18">
        <v>26.0</v>
      </c>
      <c r="E1403" s="18" t="str">
        <f t="shared" si="1"/>
        <v>26/11/84</v>
      </c>
      <c r="F1403" s="18">
        <v>3.0</v>
      </c>
      <c r="G1403" s="27">
        <v>11730.82</v>
      </c>
      <c r="H1403" s="18" t="s">
        <v>142</v>
      </c>
      <c r="I1403" s="18" t="s">
        <v>142</v>
      </c>
      <c r="J1403" s="18" t="s">
        <v>3559</v>
      </c>
      <c r="K1403" s="29">
        <f t="shared" si="2"/>
        <v>38</v>
      </c>
    </row>
    <row r="1404" ht="15.75" customHeight="1">
      <c r="A1404" s="18" t="s">
        <v>2992</v>
      </c>
      <c r="B1404" s="18">
        <v>1964.0</v>
      </c>
      <c r="C1404" s="18" t="s">
        <v>209</v>
      </c>
      <c r="D1404" s="18">
        <v>9.0</v>
      </c>
      <c r="E1404" s="18" t="str">
        <f t="shared" si="1"/>
        <v>09/11/64</v>
      </c>
      <c r="F1404" s="18">
        <v>0.0</v>
      </c>
      <c r="G1404" s="27">
        <v>11735.88</v>
      </c>
      <c r="H1404" s="18" t="s">
        <v>142</v>
      </c>
      <c r="I1404" s="18" t="s">
        <v>219</v>
      </c>
      <c r="J1404" s="18" t="s">
        <v>325</v>
      </c>
      <c r="K1404" s="29">
        <f t="shared" si="2"/>
        <v>58</v>
      </c>
    </row>
    <row r="1405" ht="15.75" customHeight="1">
      <c r="A1405" s="18" t="s">
        <v>2988</v>
      </c>
      <c r="B1405" s="18">
        <v>1988.0</v>
      </c>
      <c r="C1405" s="18" t="s">
        <v>272</v>
      </c>
      <c r="D1405" s="18">
        <v>5.0</v>
      </c>
      <c r="E1405" s="18" t="str">
        <f t="shared" si="1"/>
        <v>05/09/88</v>
      </c>
      <c r="F1405" s="18">
        <v>2.0</v>
      </c>
      <c r="G1405" s="27">
        <v>11737.85</v>
      </c>
      <c r="H1405" s="18" t="s">
        <v>142</v>
      </c>
      <c r="I1405" s="18" t="s">
        <v>219</v>
      </c>
      <c r="J1405" s="18" t="s">
        <v>570</v>
      </c>
      <c r="K1405" s="29">
        <f t="shared" si="2"/>
        <v>34</v>
      </c>
    </row>
    <row r="1406" ht="15.75" customHeight="1">
      <c r="A1406" s="18" t="s">
        <v>2986</v>
      </c>
      <c r="B1406" s="18">
        <v>1969.0</v>
      </c>
      <c r="C1406" s="18" t="s">
        <v>209</v>
      </c>
      <c r="D1406" s="18">
        <v>12.0</v>
      </c>
      <c r="E1406" s="18" t="str">
        <f t="shared" si="1"/>
        <v>12/11/69</v>
      </c>
      <c r="F1406" s="18">
        <v>3.0</v>
      </c>
      <c r="G1406" s="27">
        <v>11741.73</v>
      </c>
      <c r="H1406" s="18" t="s">
        <v>142</v>
      </c>
      <c r="I1406" s="18" t="s">
        <v>219</v>
      </c>
      <c r="J1406" s="18" t="s">
        <v>570</v>
      </c>
      <c r="K1406" s="29">
        <f t="shared" si="2"/>
        <v>53</v>
      </c>
    </row>
    <row r="1407" ht="15.75" customHeight="1">
      <c r="A1407" s="18" t="s">
        <v>2982</v>
      </c>
      <c r="B1407" s="18">
        <v>1963.0</v>
      </c>
      <c r="C1407" s="18" t="s">
        <v>241</v>
      </c>
      <c r="D1407" s="18">
        <v>9.0</v>
      </c>
      <c r="E1407" s="18" t="str">
        <f t="shared" si="1"/>
        <v>09/06/63</v>
      </c>
      <c r="F1407" s="18">
        <v>0.0</v>
      </c>
      <c r="G1407" s="27">
        <v>11743.3</v>
      </c>
      <c r="H1407" s="18" t="s">
        <v>142</v>
      </c>
      <c r="I1407" s="18" t="s">
        <v>142</v>
      </c>
      <c r="J1407" s="18" t="s">
        <v>146</v>
      </c>
      <c r="K1407" s="29">
        <f t="shared" si="2"/>
        <v>59</v>
      </c>
    </row>
    <row r="1408" ht="15.75" customHeight="1">
      <c r="A1408" s="18" t="s">
        <v>2979</v>
      </c>
      <c r="B1408" s="18">
        <v>1964.0</v>
      </c>
      <c r="C1408" s="18" t="s">
        <v>457</v>
      </c>
      <c r="D1408" s="18">
        <v>2.0</v>
      </c>
      <c r="E1408" s="18" t="str">
        <f t="shared" si="1"/>
        <v>02/12/64</v>
      </c>
      <c r="F1408" s="18">
        <v>0.0</v>
      </c>
      <c r="G1408" s="27">
        <v>11743.93</v>
      </c>
      <c r="H1408" s="18" t="s">
        <v>142</v>
      </c>
      <c r="I1408" s="18" t="s">
        <v>219</v>
      </c>
      <c r="J1408" s="18" t="s">
        <v>325</v>
      </c>
      <c r="K1408" s="29">
        <f t="shared" si="2"/>
        <v>58</v>
      </c>
    </row>
    <row r="1409" ht="15.75" customHeight="1">
      <c r="A1409" s="18" t="s">
        <v>2977</v>
      </c>
      <c r="B1409" s="18">
        <v>1979.0</v>
      </c>
      <c r="C1409" s="18" t="s">
        <v>209</v>
      </c>
      <c r="D1409" s="18">
        <v>6.0</v>
      </c>
      <c r="E1409" s="18" t="str">
        <f t="shared" si="1"/>
        <v>06/11/79</v>
      </c>
      <c r="F1409" s="18">
        <v>2.0</v>
      </c>
      <c r="G1409" s="27">
        <v>11752.68</v>
      </c>
      <c r="H1409" s="18" t="s">
        <v>142</v>
      </c>
      <c r="I1409" s="18" t="s">
        <v>219</v>
      </c>
      <c r="J1409" s="18" t="s">
        <v>3559</v>
      </c>
      <c r="K1409" s="29">
        <f t="shared" si="2"/>
        <v>43</v>
      </c>
    </row>
    <row r="1410" ht="15.75" customHeight="1">
      <c r="A1410" s="18" t="s">
        <v>2973</v>
      </c>
      <c r="B1410" s="18">
        <v>1966.0</v>
      </c>
      <c r="C1410" s="18" t="s">
        <v>91</v>
      </c>
      <c r="D1410" s="18">
        <v>25.0</v>
      </c>
      <c r="E1410" s="18" t="str">
        <f t="shared" si="1"/>
        <v>25/07/66</v>
      </c>
      <c r="F1410" s="18">
        <v>1.0</v>
      </c>
      <c r="G1410" s="27">
        <v>11763.0</v>
      </c>
      <c r="H1410" s="18" t="s">
        <v>142</v>
      </c>
      <c r="I1410" s="18" t="s">
        <v>142</v>
      </c>
      <c r="J1410" s="18" t="s">
        <v>1427</v>
      </c>
      <c r="K1410" s="29">
        <f t="shared" si="2"/>
        <v>56</v>
      </c>
    </row>
    <row r="1411" ht="15.75" customHeight="1">
      <c r="A1411" s="18" t="s">
        <v>2969</v>
      </c>
      <c r="B1411" s="18">
        <v>1982.0</v>
      </c>
      <c r="C1411" s="18" t="s">
        <v>209</v>
      </c>
      <c r="D1411" s="18">
        <v>20.0</v>
      </c>
      <c r="E1411" s="18" t="str">
        <f t="shared" si="1"/>
        <v>20/11/82</v>
      </c>
      <c r="F1411" s="18">
        <v>3.0</v>
      </c>
      <c r="G1411" s="27">
        <v>11773.06</v>
      </c>
      <c r="H1411" s="18" t="s">
        <v>142</v>
      </c>
      <c r="I1411" s="18" t="s">
        <v>142</v>
      </c>
      <c r="J1411" s="18" t="s">
        <v>3559</v>
      </c>
      <c r="K1411" s="29">
        <f t="shared" si="2"/>
        <v>40</v>
      </c>
    </row>
    <row r="1412" ht="15.75" customHeight="1">
      <c r="A1412" s="18" t="s">
        <v>2966</v>
      </c>
      <c r="B1412" s="18">
        <v>1965.0</v>
      </c>
      <c r="C1412" s="18" t="s">
        <v>517</v>
      </c>
      <c r="D1412" s="18">
        <v>3.0</v>
      </c>
      <c r="E1412" s="18" t="str">
        <f t="shared" si="1"/>
        <v>03/10/65</v>
      </c>
      <c r="F1412" s="18">
        <v>0.0</v>
      </c>
      <c r="G1412" s="27">
        <v>11830.61</v>
      </c>
      <c r="H1412" s="18" t="s">
        <v>142</v>
      </c>
      <c r="I1412" s="18" t="s">
        <v>219</v>
      </c>
      <c r="J1412" s="18" t="s">
        <v>325</v>
      </c>
      <c r="K1412" s="29">
        <f t="shared" si="2"/>
        <v>57</v>
      </c>
    </row>
    <row r="1413" ht="15.75" customHeight="1">
      <c r="A1413" s="18" t="s">
        <v>2963</v>
      </c>
      <c r="B1413" s="18">
        <v>1964.0</v>
      </c>
      <c r="C1413" s="18" t="s">
        <v>241</v>
      </c>
      <c r="D1413" s="18">
        <v>27.0</v>
      </c>
      <c r="E1413" s="18" t="str">
        <f t="shared" si="1"/>
        <v>27/06/64</v>
      </c>
      <c r="F1413" s="18">
        <v>0.0</v>
      </c>
      <c r="G1413" s="27">
        <v>11833.78</v>
      </c>
      <c r="H1413" s="18" t="s">
        <v>142</v>
      </c>
      <c r="I1413" s="18" t="s">
        <v>142</v>
      </c>
      <c r="J1413" s="18" t="s">
        <v>146</v>
      </c>
      <c r="K1413" s="29">
        <f t="shared" si="2"/>
        <v>58</v>
      </c>
    </row>
    <row r="1414" ht="15.75" customHeight="1">
      <c r="A1414" s="18" t="s">
        <v>2960</v>
      </c>
      <c r="B1414" s="18">
        <v>1964.0</v>
      </c>
      <c r="C1414" s="18" t="s">
        <v>272</v>
      </c>
      <c r="D1414" s="18">
        <v>11.0</v>
      </c>
      <c r="E1414" s="18" t="str">
        <f t="shared" si="1"/>
        <v>11/09/64</v>
      </c>
      <c r="F1414" s="18">
        <v>0.0</v>
      </c>
      <c r="G1414" s="27">
        <v>11837.16</v>
      </c>
      <c r="H1414" s="18" t="s">
        <v>142</v>
      </c>
      <c r="I1414" s="18" t="s">
        <v>142</v>
      </c>
      <c r="J1414" s="18" t="s">
        <v>570</v>
      </c>
      <c r="K1414" s="29">
        <f t="shared" si="2"/>
        <v>58</v>
      </c>
    </row>
    <row r="1415" ht="15.75" customHeight="1">
      <c r="A1415" s="18" t="s">
        <v>2956</v>
      </c>
      <c r="B1415" s="18">
        <v>1965.0</v>
      </c>
      <c r="C1415" s="18" t="s">
        <v>272</v>
      </c>
      <c r="D1415" s="18">
        <v>25.0</v>
      </c>
      <c r="E1415" s="18" t="str">
        <f t="shared" si="1"/>
        <v>25/09/65</v>
      </c>
      <c r="F1415" s="18">
        <v>0.0</v>
      </c>
      <c r="G1415" s="27">
        <v>11840.78</v>
      </c>
      <c r="H1415" s="18" t="s">
        <v>142</v>
      </c>
      <c r="I1415" s="18" t="s">
        <v>140</v>
      </c>
      <c r="J1415" s="18" t="s">
        <v>325</v>
      </c>
      <c r="K1415" s="29">
        <f t="shared" si="2"/>
        <v>57</v>
      </c>
    </row>
    <row r="1416" ht="15.75" customHeight="1">
      <c r="A1416" s="18" t="s">
        <v>2952</v>
      </c>
      <c r="B1416" s="18">
        <v>1964.0</v>
      </c>
      <c r="C1416" s="18" t="s">
        <v>91</v>
      </c>
      <c r="D1416" s="18">
        <v>11.0</v>
      </c>
      <c r="E1416" s="18" t="str">
        <f t="shared" si="1"/>
        <v>11/07/64</v>
      </c>
      <c r="F1416" s="18">
        <v>0.0</v>
      </c>
      <c r="G1416" s="27">
        <v>11842.44</v>
      </c>
      <c r="H1416" s="18" t="s">
        <v>142</v>
      </c>
      <c r="I1416" s="18" t="s">
        <v>140</v>
      </c>
      <c r="J1416" s="18" t="s">
        <v>570</v>
      </c>
      <c r="K1416" s="29">
        <f t="shared" si="2"/>
        <v>58</v>
      </c>
    </row>
    <row r="1417" ht="15.75" customHeight="1">
      <c r="A1417" s="18" t="s">
        <v>2949</v>
      </c>
      <c r="B1417" s="18">
        <v>1965.0</v>
      </c>
      <c r="C1417" s="18" t="s">
        <v>209</v>
      </c>
      <c r="D1417" s="18">
        <v>10.0</v>
      </c>
      <c r="E1417" s="18" t="str">
        <f t="shared" si="1"/>
        <v>10/11/65</v>
      </c>
      <c r="F1417" s="18">
        <v>0.0</v>
      </c>
      <c r="G1417" s="27">
        <v>11842.62</v>
      </c>
      <c r="H1417" s="18" t="s">
        <v>142</v>
      </c>
      <c r="I1417" s="18" t="s">
        <v>142</v>
      </c>
      <c r="J1417" s="18" t="s">
        <v>325</v>
      </c>
      <c r="K1417" s="29">
        <f t="shared" si="2"/>
        <v>57</v>
      </c>
    </row>
    <row r="1418" ht="15.75" customHeight="1">
      <c r="A1418" s="18" t="s">
        <v>2945</v>
      </c>
      <c r="B1418" s="18">
        <v>1964.0</v>
      </c>
      <c r="C1418" s="18" t="s">
        <v>241</v>
      </c>
      <c r="D1418" s="18">
        <v>27.0</v>
      </c>
      <c r="E1418" s="18" t="str">
        <f t="shared" si="1"/>
        <v>27/06/64</v>
      </c>
      <c r="F1418" s="18">
        <v>0.0</v>
      </c>
      <c r="G1418" s="27">
        <v>11848.14</v>
      </c>
      <c r="H1418" s="18" t="s">
        <v>142</v>
      </c>
      <c r="I1418" s="18" t="s">
        <v>140</v>
      </c>
      <c r="J1418" s="18" t="s">
        <v>570</v>
      </c>
      <c r="K1418" s="29">
        <f t="shared" si="2"/>
        <v>58</v>
      </c>
    </row>
    <row r="1419" ht="15.75" customHeight="1">
      <c r="A1419" s="18" t="s">
        <v>2941</v>
      </c>
      <c r="B1419" s="18">
        <v>1964.0</v>
      </c>
      <c r="C1419" s="18" t="s">
        <v>272</v>
      </c>
      <c r="D1419" s="18">
        <v>29.0</v>
      </c>
      <c r="E1419" s="18" t="str">
        <f t="shared" si="1"/>
        <v>29/09/64</v>
      </c>
      <c r="F1419" s="18">
        <v>0.0</v>
      </c>
      <c r="G1419" s="27">
        <v>11856.41</v>
      </c>
      <c r="H1419" s="18" t="s">
        <v>142</v>
      </c>
      <c r="I1419" s="18" t="s">
        <v>140</v>
      </c>
      <c r="J1419" s="18" t="s">
        <v>146</v>
      </c>
      <c r="K1419" s="29">
        <f t="shared" si="2"/>
        <v>58</v>
      </c>
    </row>
    <row r="1420" ht="15.75" customHeight="1">
      <c r="A1420" s="18" t="s">
        <v>2937</v>
      </c>
      <c r="B1420" s="18">
        <v>1974.0</v>
      </c>
      <c r="C1420" s="18" t="s">
        <v>91</v>
      </c>
      <c r="D1420" s="18">
        <v>7.0</v>
      </c>
      <c r="E1420" s="18" t="str">
        <f t="shared" si="1"/>
        <v>07/07/74</v>
      </c>
      <c r="F1420" s="18">
        <v>0.0</v>
      </c>
      <c r="G1420" s="27">
        <v>11858.56</v>
      </c>
      <c r="H1420" s="18" t="s">
        <v>142</v>
      </c>
      <c r="I1420" s="18" t="s">
        <v>142</v>
      </c>
      <c r="J1420" s="18" t="s">
        <v>570</v>
      </c>
      <c r="K1420" s="29">
        <f t="shared" si="2"/>
        <v>48</v>
      </c>
    </row>
    <row r="1421" ht="15.75" customHeight="1">
      <c r="A1421" s="18" t="s">
        <v>2934</v>
      </c>
      <c r="B1421" s="18">
        <v>1967.0</v>
      </c>
      <c r="C1421" s="18" t="s">
        <v>501</v>
      </c>
      <c r="D1421" s="18">
        <v>24.0</v>
      </c>
      <c r="E1421" s="18" t="str">
        <f t="shared" si="1"/>
        <v>24/08/67</v>
      </c>
      <c r="F1421" s="18">
        <v>1.0</v>
      </c>
      <c r="G1421" s="27">
        <v>11879.1</v>
      </c>
      <c r="H1421" s="18" t="s">
        <v>142</v>
      </c>
      <c r="I1421" s="18" t="s">
        <v>142</v>
      </c>
      <c r="J1421" s="18" t="s">
        <v>2024</v>
      </c>
      <c r="K1421" s="29">
        <f t="shared" si="2"/>
        <v>55</v>
      </c>
    </row>
    <row r="1422" ht="15.75" customHeight="1">
      <c r="A1422" s="18" t="s">
        <v>2932</v>
      </c>
      <c r="B1422" s="18">
        <v>1967.0</v>
      </c>
      <c r="C1422" s="18" t="s">
        <v>91</v>
      </c>
      <c r="D1422" s="18">
        <v>14.0</v>
      </c>
      <c r="E1422" s="18" t="str">
        <f t="shared" si="1"/>
        <v>14/07/67</v>
      </c>
      <c r="F1422" s="18">
        <v>2.0</v>
      </c>
      <c r="G1422" s="27">
        <v>11881.36</v>
      </c>
      <c r="H1422" s="18" t="s">
        <v>142</v>
      </c>
      <c r="I1422" s="18" t="s">
        <v>140</v>
      </c>
      <c r="J1422" s="18" t="s">
        <v>570</v>
      </c>
      <c r="K1422" s="29">
        <f t="shared" si="2"/>
        <v>55</v>
      </c>
    </row>
    <row r="1423" ht="15.75" customHeight="1">
      <c r="A1423" s="18" t="s">
        <v>2928</v>
      </c>
      <c r="B1423" s="18">
        <v>1967.0</v>
      </c>
      <c r="C1423" s="18" t="s">
        <v>517</v>
      </c>
      <c r="D1423" s="18">
        <v>29.0</v>
      </c>
      <c r="E1423" s="18" t="str">
        <f t="shared" si="1"/>
        <v>29/10/67</v>
      </c>
      <c r="F1423" s="18">
        <v>2.0</v>
      </c>
      <c r="G1423" s="27">
        <v>11881.97</v>
      </c>
      <c r="H1423" s="18" t="s">
        <v>142</v>
      </c>
      <c r="I1423" s="18" t="s">
        <v>219</v>
      </c>
      <c r="J1423" s="18" t="s">
        <v>146</v>
      </c>
      <c r="K1423" s="29">
        <f t="shared" si="2"/>
        <v>55</v>
      </c>
    </row>
    <row r="1424" ht="15.75" customHeight="1">
      <c r="A1424" s="18" t="s">
        <v>2925</v>
      </c>
      <c r="B1424" s="18">
        <v>2004.0</v>
      </c>
      <c r="C1424" s="18" t="s">
        <v>241</v>
      </c>
      <c r="D1424" s="18">
        <v>2.0</v>
      </c>
      <c r="E1424" s="18" t="str">
        <f t="shared" si="1"/>
        <v>02/06/04</v>
      </c>
      <c r="F1424" s="18">
        <v>2.0</v>
      </c>
      <c r="G1424" s="27">
        <v>11884.05</v>
      </c>
      <c r="H1424" s="18" t="s">
        <v>142</v>
      </c>
      <c r="I1424" s="18" t="s">
        <v>142</v>
      </c>
      <c r="J1424" s="18" t="s">
        <v>146</v>
      </c>
      <c r="K1424" s="29">
        <f t="shared" si="2"/>
        <v>19</v>
      </c>
    </row>
    <row r="1425" ht="15.75" customHeight="1">
      <c r="A1425" s="18" t="s">
        <v>2915</v>
      </c>
      <c r="B1425" s="18">
        <v>1964.0</v>
      </c>
      <c r="C1425" s="18" t="s">
        <v>209</v>
      </c>
      <c r="D1425" s="18">
        <v>19.0</v>
      </c>
      <c r="E1425" s="18" t="str">
        <f t="shared" si="1"/>
        <v>19/11/64</v>
      </c>
      <c r="F1425" s="18">
        <v>0.0</v>
      </c>
      <c r="G1425" s="27">
        <v>11918.2</v>
      </c>
      <c r="H1425" s="18" t="s">
        <v>142</v>
      </c>
      <c r="I1425" s="18" t="s">
        <v>219</v>
      </c>
      <c r="J1425" s="18" t="s">
        <v>2314</v>
      </c>
      <c r="K1425" s="29">
        <f t="shared" si="2"/>
        <v>58</v>
      </c>
    </row>
    <row r="1426" ht="15.75" customHeight="1">
      <c r="A1426" s="18" t="s">
        <v>2913</v>
      </c>
      <c r="B1426" s="18">
        <v>1964.0</v>
      </c>
      <c r="C1426" s="18" t="s">
        <v>457</v>
      </c>
      <c r="D1426" s="18">
        <v>20.0</v>
      </c>
      <c r="E1426" s="18" t="str">
        <f t="shared" si="1"/>
        <v>20/12/64</v>
      </c>
      <c r="F1426" s="18">
        <v>0.0</v>
      </c>
      <c r="G1426" s="27">
        <v>11931.13</v>
      </c>
      <c r="H1426" s="18" t="s">
        <v>142</v>
      </c>
      <c r="I1426" s="18" t="s">
        <v>219</v>
      </c>
      <c r="J1426" s="18" t="s">
        <v>1421</v>
      </c>
      <c r="K1426" s="29">
        <f t="shared" si="2"/>
        <v>58</v>
      </c>
    </row>
    <row r="1427" ht="15.75" customHeight="1">
      <c r="A1427" s="18" t="s">
        <v>2911</v>
      </c>
      <c r="B1427" s="18">
        <v>1964.0</v>
      </c>
      <c r="C1427" s="18" t="s">
        <v>501</v>
      </c>
      <c r="D1427" s="18">
        <v>2.0</v>
      </c>
      <c r="E1427" s="18" t="str">
        <f t="shared" si="1"/>
        <v>02/08/64</v>
      </c>
      <c r="F1427" s="18">
        <v>0.0</v>
      </c>
      <c r="G1427" s="27">
        <v>11938.26</v>
      </c>
      <c r="H1427" s="18" t="s">
        <v>142</v>
      </c>
      <c r="I1427" s="18" t="s">
        <v>142</v>
      </c>
      <c r="J1427" s="18" t="s">
        <v>1421</v>
      </c>
      <c r="K1427" s="29">
        <f t="shared" si="2"/>
        <v>58</v>
      </c>
    </row>
    <row r="1428" ht="15.75" customHeight="1">
      <c r="A1428" s="18" t="s">
        <v>2908</v>
      </c>
      <c r="B1428" s="18">
        <v>1991.0</v>
      </c>
      <c r="C1428" s="18" t="s">
        <v>517</v>
      </c>
      <c r="D1428" s="18">
        <v>19.0</v>
      </c>
      <c r="E1428" s="18" t="str">
        <f t="shared" si="1"/>
        <v>19/10/91</v>
      </c>
      <c r="F1428" s="18">
        <v>3.0</v>
      </c>
      <c r="G1428" s="27">
        <v>11941.83</v>
      </c>
      <c r="H1428" s="18" t="s">
        <v>142</v>
      </c>
      <c r="I1428" s="18" t="s">
        <v>219</v>
      </c>
      <c r="J1428" s="18" t="s">
        <v>2031</v>
      </c>
      <c r="K1428" s="29">
        <f t="shared" si="2"/>
        <v>31</v>
      </c>
    </row>
    <row r="1429" ht="15.75" customHeight="1">
      <c r="A1429" s="18" t="s">
        <v>2905</v>
      </c>
      <c r="B1429" s="18">
        <v>1964.0</v>
      </c>
      <c r="C1429" s="18" t="s">
        <v>457</v>
      </c>
      <c r="D1429" s="18">
        <v>25.0</v>
      </c>
      <c r="E1429" s="18" t="str">
        <f t="shared" si="1"/>
        <v>25/12/64</v>
      </c>
      <c r="F1429" s="18">
        <v>0.0</v>
      </c>
      <c r="G1429" s="27">
        <v>11944.59</v>
      </c>
      <c r="H1429" s="18" t="s">
        <v>142</v>
      </c>
      <c r="I1429" s="18" t="s">
        <v>140</v>
      </c>
      <c r="J1429" s="18" t="s">
        <v>1427</v>
      </c>
      <c r="K1429" s="29">
        <f t="shared" si="2"/>
        <v>58</v>
      </c>
    </row>
    <row r="1430" ht="15.75" customHeight="1">
      <c r="A1430" s="18" t="s">
        <v>2901</v>
      </c>
      <c r="B1430" s="18">
        <v>1965.0</v>
      </c>
      <c r="C1430" s="18" t="s">
        <v>209</v>
      </c>
      <c r="D1430" s="18">
        <v>1.0</v>
      </c>
      <c r="E1430" s="18" t="str">
        <f t="shared" si="1"/>
        <v>01/11/65</v>
      </c>
      <c r="F1430" s="18">
        <v>1.0</v>
      </c>
      <c r="G1430" s="27">
        <v>11945.13</v>
      </c>
      <c r="H1430" s="18" t="s">
        <v>142</v>
      </c>
      <c r="I1430" s="18" t="s">
        <v>140</v>
      </c>
      <c r="J1430" s="18" t="s">
        <v>325</v>
      </c>
      <c r="K1430" s="29">
        <f t="shared" si="2"/>
        <v>57</v>
      </c>
    </row>
    <row r="1431" ht="15.75" customHeight="1">
      <c r="A1431" s="18" t="s">
        <v>2898</v>
      </c>
      <c r="B1431" s="18">
        <v>1964.0</v>
      </c>
      <c r="C1431" s="18" t="s">
        <v>272</v>
      </c>
      <c r="D1431" s="18">
        <v>29.0</v>
      </c>
      <c r="E1431" s="18" t="str">
        <f t="shared" si="1"/>
        <v>29/09/64</v>
      </c>
      <c r="F1431" s="18">
        <v>1.0</v>
      </c>
      <c r="G1431" s="27">
        <v>11946.63</v>
      </c>
      <c r="H1431" s="18" t="s">
        <v>142</v>
      </c>
      <c r="I1431" s="18" t="s">
        <v>140</v>
      </c>
      <c r="J1431" s="18" t="s">
        <v>146</v>
      </c>
      <c r="K1431" s="29">
        <f t="shared" si="2"/>
        <v>58</v>
      </c>
    </row>
    <row r="1432" ht="15.75" customHeight="1">
      <c r="A1432" s="18" t="s">
        <v>2895</v>
      </c>
      <c r="B1432" s="18">
        <v>1967.0</v>
      </c>
      <c r="C1432" s="18" t="s">
        <v>457</v>
      </c>
      <c r="D1432" s="18">
        <v>22.0</v>
      </c>
      <c r="E1432" s="18" t="str">
        <f t="shared" si="1"/>
        <v>22/12/67</v>
      </c>
      <c r="F1432" s="18">
        <v>3.0</v>
      </c>
      <c r="G1432" s="27">
        <v>11987.17</v>
      </c>
      <c r="H1432" s="18" t="s">
        <v>142</v>
      </c>
      <c r="I1432" s="18" t="s">
        <v>142</v>
      </c>
      <c r="J1432" s="18" t="s">
        <v>146</v>
      </c>
      <c r="K1432" s="29">
        <f t="shared" si="2"/>
        <v>55</v>
      </c>
    </row>
    <row r="1433" ht="15.75" customHeight="1">
      <c r="A1433" s="18" t="s">
        <v>2891</v>
      </c>
      <c r="B1433" s="18">
        <v>1983.0</v>
      </c>
      <c r="C1433" s="18" t="s">
        <v>91</v>
      </c>
      <c r="D1433" s="18">
        <v>4.0</v>
      </c>
      <c r="E1433" s="18" t="str">
        <f t="shared" si="1"/>
        <v>04/07/83</v>
      </c>
      <c r="F1433" s="18">
        <v>3.0</v>
      </c>
      <c r="G1433" s="27">
        <v>11987.68</v>
      </c>
      <c r="H1433" s="18" t="s">
        <v>142</v>
      </c>
      <c r="I1433" s="18" t="s">
        <v>140</v>
      </c>
      <c r="J1433" s="18" t="s">
        <v>3559</v>
      </c>
      <c r="K1433" s="29">
        <f t="shared" si="2"/>
        <v>39</v>
      </c>
    </row>
    <row r="1434" ht="15.75" customHeight="1">
      <c r="A1434" s="18" t="s">
        <v>2888</v>
      </c>
      <c r="B1434" s="18">
        <v>1993.0</v>
      </c>
      <c r="C1434" s="18" t="s">
        <v>457</v>
      </c>
      <c r="D1434" s="18">
        <v>12.0</v>
      </c>
      <c r="E1434" s="18" t="str">
        <f t="shared" si="1"/>
        <v>12/12/93</v>
      </c>
      <c r="F1434" s="18">
        <v>0.0</v>
      </c>
      <c r="G1434" s="27">
        <v>11994.89</v>
      </c>
      <c r="H1434" s="18" t="s">
        <v>142</v>
      </c>
      <c r="I1434" s="18" t="s">
        <v>140</v>
      </c>
      <c r="J1434" s="18" t="s">
        <v>325</v>
      </c>
      <c r="K1434" s="29">
        <f t="shared" si="2"/>
        <v>29</v>
      </c>
    </row>
    <row r="1435" ht="15.75" customHeight="1">
      <c r="A1435" s="18" t="s">
        <v>2885</v>
      </c>
      <c r="B1435" s="18">
        <v>1982.0</v>
      </c>
      <c r="C1435" s="18" t="s">
        <v>517</v>
      </c>
      <c r="D1435" s="18">
        <v>17.0</v>
      </c>
      <c r="E1435" s="18" t="str">
        <f t="shared" si="1"/>
        <v>17/10/82</v>
      </c>
      <c r="F1435" s="18">
        <v>3.0</v>
      </c>
      <c r="G1435" s="27">
        <v>12001.29</v>
      </c>
      <c r="H1435" s="18" t="s">
        <v>142</v>
      </c>
      <c r="I1435" s="18" t="s">
        <v>142</v>
      </c>
      <c r="J1435" s="18" t="s">
        <v>2314</v>
      </c>
      <c r="K1435" s="29">
        <f t="shared" si="2"/>
        <v>40</v>
      </c>
    </row>
    <row r="1436" ht="15.75" customHeight="1">
      <c r="A1436" s="18" t="s">
        <v>2882</v>
      </c>
      <c r="B1436" s="18">
        <v>1965.0</v>
      </c>
      <c r="C1436" s="18" t="s">
        <v>241</v>
      </c>
      <c r="D1436" s="18">
        <v>9.0</v>
      </c>
      <c r="E1436" s="18" t="str">
        <f t="shared" si="1"/>
        <v>09/06/65</v>
      </c>
      <c r="F1436" s="18">
        <v>0.0</v>
      </c>
      <c r="G1436" s="27">
        <v>12029.29</v>
      </c>
      <c r="H1436" s="18" t="s">
        <v>142</v>
      </c>
      <c r="I1436" s="18" t="s">
        <v>140</v>
      </c>
      <c r="J1436" s="18" t="s">
        <v>2024</v>
      </c>
      <c r="K1436" s="29">
        <f t="shared" si="2"/>
        <v>57</v>
      </c>
    </row>
    <row r="1437" ht="15.75" customHeight="1">
      <c r="A1437" s="18" t="s">
        <v>2879</v>
      </c>
      <c r="B1437" s="18">
        <v>1965.0</v>
      </c>
      <c r="C1437" s="18" t="s">
        <v>517</v>
      </c>
      <c r="D1437" s="18">
        <v>29.0</v>
      </c>
      <c r="E1437" s="18" t="str">
        <f t="shared" si="1"/>
        <v>29/10/65</v>
      </c>
      <c r="F1437" s="18">
        <v>1.0</v>
      </c>
      <c r="G1437" s="27">
        <v>12032.33</v>
      </c>
      <c r="H1437" s="18" t="s">
        <v>142</v>
      </c>
      <c r="I1437" s="18" t="s">
        <v>219</v>
      </c>
      <c r="J1437" s="18" t="s">
        <v>570</v>
      </c>
      <c r="K1437" s="29">
        <f t="shared" si="2"/>
        <v>57</v>
      </c>
    </row>
    <row r="1438" ht="15.75" customHeight="1">
      <c r="A1438" s="18" t="s">
        <v>2876</v>
      </c>
      <c r="B1438" s="18">
        <v>1979.0</v>
      </c>
      <c r="C1438" s="18" t="s">
        <v>517</v>
      </c>
      <c r="D1438" s="18">
        <v>16.0</v>
      </c>
      <c r="E1438" s="18" t="str">
        <f t="shared" si="1"/>
        <v>16/10/79</v>
      </c>
      <c r="F1438" s="18">
        <v>2.0</v>
      </c>
      <c r="G1438" s="27">
        <v>12035.18</v>
      </c>
      <c r="H1438" s="18" t="s">
        <v>142</v>
      </c>
      <c r="I1438" s="18" t="s">
        <v>142</v>
      </c>
      <c r="J1438" s="18" t="s">
        <v>2314</v>
      </c>
      <c r="K1438" s="29">
        <f t="shared" si="2"/>
        <v>43</v>
      </c>
    </row>
    <row r="1439" ht="15.75" customHeight="1">
      <c r="A1439" s="18" t="s">
        <v>2873</v>
      </c>
      <c r="B1439" s="18">
        <v>1966.0</v>
      </c>
      <c r="C1439" s="18" t="s">
        <v>209</v>
      </c>
      <c r="D1439" s="18">
        <v>24.0</v>
      </c>
      <c r="E1439" s="18" t="str">
        <f t="shared" si="1"/>
        <v>24/11/66</v>
      </c>
      <c r="F1439" s="18">
        <v>1.0</v>
      </c>
      <c r="G1439" s="27">
        <v>12044.34</v>
      </c>
      <c r="H1439" s="18" t="s">
        <v>142</v>
      </c>
      <c r="I1439" s="18" t="s">
        <v>219</v>
      </c>
      <c r="J1439" s="18" t="s">
        <v>325</v>
      </c>
      <c r="K1439" s="29">
        <f t="shared" si="2"/>
        <v>56</v>
      </c>
    </row>
    <row r="1440" ht="15.75" customHeight="1">
      <c r="A1440" s="18" t="s">
        <v>2870</v>
      </c>
      <c r="B1440" s="18">
        <v>1986.0</v>
      </c>
      <c r="C1440" s="18" t="s">
        <v>272</v>
      </c>
      <c r="D1440" s="18">
        <v>7.0</v>
      </c>
      <c r="E1440" s="18" t="str">
        <f t="shared" si="1"/>
        <v>07/09/86</v>
      </c>
      <c r="F1440" s="18">
        <v>3.0</v>
      </c>
      <c r="G1440" s="27">
        <v>12048.13</v>
      </c>
      <c r="H1440" s="18" t="s">
        <v>142</v>
      </c>
      <c r="I1440" s="18" t="s">
        <v>140</v>
      </c>
      <c r="J1440" s="18" t="s">
        <v>3559</v>
      </c>
      <c r="K1440" s="29">
        <f t="shared" si="2"/>
        <v>36</v>
      </c>
    </row>
    <row r="1441" ht="15.75" customHeight="1">
      <c r="A1441" s="18" t="s">
        <v>2868</v>
      </c>
      <c r="B1441" s="18">
        <v>1984.0</v>
      </c>
      <c r="C1441" s="18" t="s">
        <v>272</v>
      </c>
      <c r="D1441" s="18">
        <v>2.0</v>
      </c>
      <c r="E1441" s="18" t="str">
        <f t="shared" si="1"/>
        <v>02/09/84</v>
      </c>
      <c r="F1441" s="18">
        <v>3.0</v>
      </c>
      <c r="G1441" s="27">
        <v>12091.34</v>
      </c>
      <c r="H1441" s="18" t="s">
        <v>142</v>
      </c>
      <c r="I1441" s="18" t="s">
        <v>140</v>
      </c>
      <c r="J1441" s="18" t="s">
        <v>3978</v>
      </c>
      <c r="K1441" s="29">
        <f t="shared" si="2"/>
        <v>38</v>
      </c>
    </row>
    <row r="1442" ht="15.75" customHeight="1">
      <c r="A1442" s="18" t="s">
        <v>2865</v>
      </c>
      <c r="B1442" s="18">
        <v>1968.0</v>
      </c>
      <c r="C1442" s="18" t="s">
        <v>241</v>
      </c>
      <c r="D1442" s="18">
        <v>21.0</v>
      </c>
      <c r="E1442" s="18" t="str">
        <f t="shared" si="1"/>
        <v>21/06/68</v>
      </c>
      <c r="F1442" s="18">
        <v>3.0</v>
      </c>
      <c r="G1442" s="27">
        <v>12094.48</v>
      </c>
      <c r="H1442" s="18" t="s">
        <v>142</v>
      </c>
      <c r="I1442" s="18" t="s">
        <v>142</v>
      </c>
      <c r="J1442" s="18" t="s">
        <v>570</v>
      </c>
      <c r="K1442" s="29">
        <f t="shared" si="2"/>
        <v>54</v>
      </c>
    </row>
    <row r="1443" ht="15.75" customHeight="1">
      <c r="A1443" s="18" t="s">
        <v>2862</v>
      </c>
      <c r="B1443" s="18">
        <v>1968.0</v>
      </c>
      <c r="C1443" s="18" t="s">
        <v>457</v>
      </c>
      <c r="D1443" s="18">
        <v>9.0</v>
      </c>
      <c r="E1443" s="18" t="str">
        <f t="shared" si="1"/>
        <v>09/12/68</v>
      </c>
      <c r="F1443" s="18">
        <v>2.0</v>
      </c>
      <c r="G1443" s="27">
        <v>12096.65</v>
      </c>
      <c r="H1443" s="18" t="s">
        <v>142</v>
      </c>
      <c r="I1443" s="18" t="s">
        <v>219</v>
      </c>
      <c r="J1443" s="18" t="s">
        <v>2024</v>
      </c>
      <c r="K1443" s="29">
        <f t="shared" si="2"/>
        <v>54</v>
      </c>
    </row>
    <row r="1444" ht="15.75" customHeight="1">
      <c r="A1444" s="18" t="s">
        <v>2858</v>
      </c>
      <c r="B1444" s="18">
        <v>1968.0</v>
      </c>
      <c r="C1444" s="18" t="s">
        <v>517</v>
      </c>
      <c r="D1444" s="18">
        <v>25.0</v>
      </c>
      <c r="E1444" s="18" t="str">
        <f t="shared" si="1"/>
        <v>25/10/68</v>
      </c>
      <c r="F1444" s="18">
        <v>3.0</v>
      </c>
      <c r="G1444" s="27">
        <v>12105.32</v>
      </c>
      <c r="H1444" s="18" t="s">
        <v>142</v>
      </c>
      <c r="I1444" s="18" t="s">
        <v>142</v>
      </c>
      <c r="J1444" s="18" t="s">
        <v>570</v>
      </c>
      <c r="K1444" s="29">
        <f t="shared" si="2"/>
        <v>54</v>
      </c>
    </row>
    <row r="1445" ht="15.75" customHeight="1">
      <c r="A1445" s="18" t="s">
        <v>2855</v>
      </c>
      <c r="B1445" s="18">
        <v>1963.0</v>
      </c>
      <c r="C1445" s="18" t="s">
        <v>91</v>
      </c>
      <c r="D1445" s="18">
        <v>20.0</v>
      </c>
      <c r="E1445" s="18" t="str">
        <f t="shared" si="1"/>
        <v>20/07/63</v>
      </c>
      <c r="F1445" s="18">
        <v>0.0</v>
      </c>
      <c r="G1445" s="27">
        <v>12124.99</v>
      </c>
      <c r="H1445" s="18" t="s">
        <v>142</v>
      </c>
      <c r="I1445" s="18" t="s">
        <v>219</v>
      </c>
      <c r="J1445" s="18" t="s">
        <v>325</v>
      </c>
      <c r="K1445" s="29">
        <f t="shared" si="2"/>
        <v>59</v>
      </c>
    </row>
    <row r="1446" ht="15.75" customHeight="1">
      <c r="A1446" s="18" t="s">
        <v>2853</v>
      </c>
      <c r="B1446" s="18">
        <v>1963.0</v>
      </c>
      <c r="C1446" s="18" t="s">
        <v>241</v>
      </c>
      <c r="D1446" s="18">
        <v>4.0</v>
      </c>
      <c r="E1446" s="18" t="str">
        <f t="shared" si="1"/>
        <v>04/06/63</v>
      </c>
      <c r="F1446" s="18">
        <v>0.0</v>
      </c>
      <c r="G1446" s="27">
        <v>12129.61</v>
      </c>
      <c r="H1446" s="18" t="s">
        <v>142</v>
      </c>
      <c r="I1446" s="18" t="s">
        <v>219</v>
      </c>
      <c r="J1446" s="18" t="s">
        <v>325</v>
      </c>
      <c r="K1446" s="29">
        <f t="shared" si="2"/>
        <v>60</v>
      </c>
    </row>
    <row r="1447" ht="15.75" customHeight="1">
      <c r="A1447" s="18" t="s">
        <v>2849</v>
      </c>
      <c r="B1447" s="18">
        <v>1991.0</v>
      </c>
      <c r="C1447" s="18" t="s">
        <v>209</v>
      </c>
      <c r="D1447" s="18">
        <v>6.0</v>
      </c>
      <c r="E1447" s="18" t="str">
        <f t="shared" si="1"/>
        <v>06/11/91</v>
      </c>
      <c r="F1447" s="18">
        <v>3.0</v>
      </c>
      <c r="G1447" s="27">
        <v>12130.8</v>
      </c>
      <c r="H1447" s="18" t="s">
        <v>142</v>
      </c>
      <c r="I1447" s="18" t="s">
        <v>142</v>
      </c>
      <c r="J1447" s="18" t="s">
        <v>3559</v>
      </c>
      <c r="K1447" s="29">
        <f t="shared" si="2"/>
        <v>31</v>
      </c>
    </row>
    <row r="1448" ht="15.75" customHeight="1">
      <c r="A1448" s="18" t="s">
        <v>2846</v>
      </c>
      <c r="B1448" s="18">
        <v>1974.0</v>
      </c>
      <c r="C1448" s="18" t="s">
        <v>272</v>
      </c>
      <c r="D1448" s="18">
        <v>16.0</v>
      </c>
      <c r="E1448" s="18" t="str">
        <f t="shared" si="1"/>
        <v>16/09/74</v>
      </c>
      <c r="F1448" s="18">
        <v>0.0</v>
      </c>
      <c r="G1448" s="27">
        <v>12137.6</v>
      </c>
      <c r="H1448" s="18" t="s">
        <v>142</v>
      </c>
      <c r="I1448" s="18" t="s">
        <v>142</v>
      </c>
      <c r="J1448" s="18" t="s">
        <v>325</v>
      </c>
      <c r="K1448" s="29">
        <f t="shared" si="2"/>
        <v>48</v>
      </c>
    </row>
    <row r="1449" ht="15.75" customHeight="1">
      <c r="A1449" s="18" t="s">
        <v>2842</v>
      </c>
      <c r="B1449" s="18">
        <v>1962.0</v>
      </c>
      <c r="C1449" s="18" t="s">
        <v>209</v>
      </c>
      <c r="D1449" s="18">
        <v>4.0</v>
      </c>
      <c r="E1449" s="18" t="str">
        <f t="shared" si="1"/>
        <v>04/11/62</v>
      </c>
      <c r="F1449" s="18">
        <v>0.0</v>
      </c>
      <c r="G1449" s="27">
        <v>12142.58</v>
      </c>
      <c r="H1449" s="18" t="s">
        <v>142</v>
      </c>
      <c r="I1449" s="18" t="s">
        <v>140</v>
      </c>
      <c r="J1449" s="18" t="s">
        <v>146</v>
      </c>
      <c r="K1449" s="29">
        <f t="shared" si="2"/>
        <v>60</v>
      </c>
    </row>
    <row r="1450" ht="15.75" customHeight="1">
      <c r="A1450" s="18" t="s">
        <v>2840</v>
      </c>
      <c r="B1450" s="18">
        <v>1962.0</v>
      </c>
      <c r="C1450" s="18" t="s">
        <v>272</v>
      </c>
      <c r="D1450" s="18">
        <v>15.0</v>
      </c>
      <c r="E1450" s="18" t="str">
        <f t="shared" si="1"/>
        <v>15/09/62</v>
      </c>
      <c r="F1450" s="18">
        <v>0.0</v>
      </c>
      <c r="G1450" s="27">
        <v>12146.97</v>
      </c>
      <c r="H1450" s="18" t="s">
        <v>142</v>
      </c>
      <c r="I1450" s="18" t="s">
        <v>142</v>
      </c>
      <c r="J1450" s="18" t="s">
        <v>570</v>
      </c>
      <c r="K1450" s="29">
        <f t="shared" si="2"/>
        <v>60</v>
      </c>
    </row>
    <row r="1451" ht="15.75" customHeight="1">
      <c r="A1451" s="18" t="s">
        <v>2836</v>
      </c>
      <c r="B1451" s="18">
        <v>1987.0</v>
      </c>
      <c r="C1451" s="18" t="s">
        <v>517</v>
      </c>
      <c r="D1451" s="18">
        <v>5.0</v>
      </c>
      <c r="E1451" s="18" t="str">
        <f t="shared" si="1"/>
        <v>05/10/87</v>
      </c>
      <c r="F1451" s="18">
        <v>3.0</v>
      </c>
      <c r="G1451" s="27">
        <v>12148.2</v>
      </c>
      <c r="H1451" s="18" t="s">
        <v>142</v>
      </c>
      <c r="I1451" s="18" t="s">
        <v>142</v>
      </c>
      <c r="J1451" s="18" t="s">
        <v>325</v>
      </c>
      <c r="K1451" s="29">
        <f t="shared" si="2"/>
        <v>35</v>
      </c>
    </row>
    <row r="1452" ht="15.75" customHeight="1">
      <c r="A1452" s="18" t="s">
        <v>2832</v>
      </c>
      <c r="B1452" s="18">
        <v>1991.0</v>
      </c>
      <c r="C1452" s="18" t="s">
        <v>501</v>
      </c>
      <c r="D1452" s="18">
        <v>29.0</v>
      </c>
      <c r="E1452" s="18" t="str">
        <f t="shared" si="1"/>
        <v>29/08/91</v>
      </c>
      <c r="F1452" s="18">
        <v>3.0</v>
      </c>
      <c r="G1452" s="27">
        <v>12198.64</v>
      </c>
      <c r="H1452" s="18" t="s">
        <v>142</v>
      </c>
      <c r="I1452" s="18" t="s">
        <v>142</v>
      </c>
      <c r="J1452" s="18" t="s">
        <v>3559</v>
      </c>
      <c r="K1452" s="29">
        <f t="shared" si="2"/>
        <v>31</v>
      </c>
    </row>
    <row r="1453" ht="15.75" customHeight="1">
      <c r="A1453" s="18" t="s">
        <v>2829</v>
      </c>
      <c r="B1453" s="18">
        <v>1977.0</v>
      </c>
      <c r="C1453" s="18" t="s">
        <v>501</v>
      </c>
      <c r="D1453" s="18">
        <v>14.0</v>
      </c>
      <c r="E1453" s="18" t="str">
        <f t="shared" si="1"/>
        <v>14/08/77</v>
      </c>
      <c r="F1453" s="18">
        <v>2.0</v>
      </c>
      <c r="G1453" s="27">
        <v>12218.7</v>
      </c>
      <c r="H1453" s="18" t="s">
        <v>142</v>
      </c>
      <c r="I1453" s="18" t="s">
        <v>219</v>
      </c>
      <c r="J1453" s="18" t="s">
        <v>325</v>
      </c>
      <c r="K1453" s="29">
        <f t="shared" si="2"/>
        <v>45</v>
      </c>
    </row>
    <row r="1454" ht="15.75" customHeight="1">
      <c r="A1454" s="18" t="s">
        <v>2825</v>
      </c>
      <c r="B1454" s="18">
        <v>1964.0</v>
      </c>
      <c r="C1454" s="18" t="s">
        <v>91</v>
      </c>
      <c r="D1454" s="18">
        <v>20.0</v>
      </c>
      <c r="E1454" s="18" t="str">
        <f t="shared" si="1"/>
        <v>20/07/64</v>
      </c>
      <c r="F1454" s="18">
        <v>0.0</v>
      </c>
      <c r="G1454" s="27">
        <v>12222.9</v>
      </c>
      <c r="H1454" s="18" t="s">
        <v>142</v>
      </c>
      <c r="I1454" s="18" t="s">
        <v>140</v>
      </c>
      <c r="J1454" s="18" t="s">
        <v>325</v>
      </c>
      <c r="K1454" s="29">
        <f t="shared" si="2"/>
        <v>58</v>
      </c>
    </row>
    <row r="1455" ht="15.75" customHeight="1">
      <c r="A1455" s="18" t="s">
        <v>2822</v>
      </c>
      <c r="B1455" s="18">
        <v>1964.0</v>
      </c>
      <c r="C1455" s="18" t="s">
        <v>91</v>
      </c>
      <c r="D1455" s="18">
        <v>2.0</v>
      </c>
      <c r="E1455" s="18" t="str">
        <f t="shared" si="1"/>
        <v>02/07/64</v>
      </c>
      <c r="F1455" s="18">
        <v>0.0</v>
      </c>
      <c r="G1455" s="27">
        <v>12224.35</v>
      </c>
      <c r="H1455" s="18" t="s">
        <v>142</v>
      </c>
      <c r="I1455" s="18" t="s">
        <v>219</v>
      </c>
      <c r="J1455" s="18" t="s">
        <v>325</v>
      </c>
      <c r="K1455" s="29">
        <f t="shared" si="2"/>
        <v>58</v>
      </c>
    </row>
    <row r="1456" ht="15.75" customHeight="1">
      <c r="A1456" s="18" t="s">
        <v>2818</v>
      </c>
      <c r="B1456" s="18">
        <v>1964.0</v>
      </c>
      <c r="C1456" s="18" t="s">
        <v>241</v>
      </c>
      <c r="D1456" s="18">
        <v>24.0</v>
      </c>
      <c r="E1456" s="18" t="str">
        <f t="shared" si="1"/>
        <v>24/06/64</v>
      </c>
      <c r="F1456" s="18">
        <v>0.0</v>
      </c>
      <c r="G1456" s="27">
        <v>12231.61</v>
      </c>
      <c r="H1456" s="18" t="s">
        <v>142</v>
      </c>
      <c r="I1456" s="18" t="s">
        <v>142</v>
      </c>
      <c r="J1456" s="18" t="s">
        <v>325</v>
      </c>
      <c r="K1456" s="29">
        <f t="shared" si="2"/>
        <v>58</v>
      </c>
    </row>
    <row r="1457" ht="15.75" customHeight="1">
      <c r="A1457" s="18" t="s">
        <v>2815</v>
      </c>
      <c r="B1457" s="18">
        <v>1963.0</v>
      </c>
      <c r="C1457" s="18" t="s">
        <v>91</v>
      </c>
      <c r="D1457" s="18">
        <v>19.0</v>
      </c>
      <c r="E1457" s="18" t="str">
        <f t="shared" si="1"/>
        <v>19/07/63</v>
      </c>
      <c r="F1457" s="18">
        <v>0.0</v>
      </c>
      <c r="G1457" s="27">
        <v>12233.83</v>
      </c>
      <c r="H1457" s="18" t="s">
        <v>142</v>
      </c>
      <c r="I1457" s="18" t="s">
        <v>219</v>
      </c>
      <c r="J1457" s="18" t="s">
        <v>570</v>
      </c>
      <c r="K1457" s="29">
        <f t="shared" si="2"/>
        <v>59</v>
      </c>
    </row>
    <row r="1458" ht="15.75" customHeight="1">
      <c r="A1458" s="18" t="s">
        <v>2812</v>
      </c>
      <c r="B1458" s="18">
        <v>1964.0</v>
      </c>
      <c r="C1458" s="18" t="s">
        <v>517</v>
      </c>
      <c r="D1458" s="18">
        <v>15.0</v>
      </c>
      <c r="E1458" s="18" t="str">
        <f t="shared" si="1"/>
        <v>15/10/64</v>
      </c>
      <c r="F1458" s="18">
        <v>0.0</v>
      </c>
      <c r="G1458" s="27">
        <v>12235.84</v>
      </c>
      <c r="H1458" s="18" t="s">
        <v>142</v>
      </c>
      <c r="I1458" s="18" t="s">
        <v>142</v>
      </c>
      <c r="J1458" s="18" t="s">
        <v>325</v>
      </c>
      <c r="K1458" s="29">
        <f t="shared" si="2"/>
        <v>58</v>
      </c>
    </row>
    <row r="1459" ht="15.75" customHeight="1">
      <c r="A1459" s="18" t="s">
        <v>2809</v>
      </c>
      <c r="B1459" s="18">
        <v>1966.0</v>
      </c>
      <c r="C1459" s="18" t="s">
        <v>91</v>
      </c>
      <c r="D1459" s="18">
        <v>29.0</v>
      </c>
      <c r="E1459" s="18" t="str">
        <f t="shared" si="1"/>
        <v>29/07/66</v>
      </c>
      <c r="F1459" s="18">
        <v>0.0</v>
      </c>
      <c r="G1459" s="27">
        <v>12237.73</v>
      </c>
      <c r="H1459" s="18" t="s">
        <v>142</v>
      </c>
      <c r="I1459" s="18" t="s">
        <v>142</v>
      </c>
      <c r="J1459" s="18" t="s">
        <v>325</v>
      </c>
      <c r="K1459" s="29">
        <f t="shared" si="2"/>
        <v>56</v>
      </c>
    </row>
    <row r="1460" ht="15.75" customHeight="1">
      <c r="A1460" s="18" t="s">
        <v>2805</v>
      </c>
      <c r="B1460" s="18">
        <v>1963.0</v>
      </c>
      <c r="C1460" s="18" t="s">
        <v>91</v>
      </c>
      <c r="D1460" s="18">
        <v>17.0</v>
      </c>
      <c r="E1460" s="18" t="str">
        <f t="shared" si="1"/>
        <v>17/07/63</v>
      </c>
      <c r="F1460" s="18">
        <v>0.0</v>
      </c>
      <c r="G1460" s="27">
        <v>12244.53</v>
      </c>
      <c r="H1460" s="18" t="s">
        <v>142</v>
      </c>
      <c r="I1460" s="18" t="s">
        <v>219</v>
      </c>
      <c r="J1460" s="18" t="s">
        <v>146</v>
      </c>
      <c r="K1460" s="29">
        <f t="shared" si="2"/>
        <v>59</v>
      </c>
    </row>
    <row r="1461" ht="15.75" customHeight="1">
      <c r="A1461" s="18" t="s">
        <v>2802</v>
      </c>
      <c r="B1461" s="18">
        <v>1974.0</v>
      </c>
      <c r="C1461" s="18" t="s">
        <v>241</v>
      </c>
      <c r="D1461" s="18">
        <v>23.0</v>
      </c>
      <c r="E1461" s="18" t="str">
        <f t="shared" si="1"/>
        <v>23/06/74</v>
      </c>
      <c r="F1461" s="18">
        <v>0.0</v>
      </c>
      <c r="G1461" s="27">
        <v>12245.17</v>
      </c>
      <c r="H1461" s="18" t="s">
        <v>142</v>
      </c>
      <c r="I1461" s="18" t="s">
        <v>219</v>
      </c>
      <c r="J1461" s="18" t="s">
        <v>325</v>
      </c>
      <c r="K1461" s="29">
        <f t="shared" si="2"/>
        <v>48</v>
      </c>
    </row>
    <row r="1462" ht="15.75" customHeight="1">
      <c r="A1462" s="18" t="s">
        <v>2798</v>
      </c>
      <c r="B1462" s="18">
        <v>1989.0</v>
      </c>
      <c r="C1462" s="18" t="s">
        <v>209</v>
      </c>
      <c r="D1462" s="18">
        <v>23.0</v>
      </c>
      <c r="E1462" s="18" t="str">
        <f t="shared" si="1"/>
        <v>23/11/89</v>
      </c>
      <c r="F1462" s="18">
        <v>3.0</v>
      </c>
      <c r="G1462" s="27">
        <v>12254.44</v>
      </c>
      <c r="H1462" s="18" t="s">
        <v>142</v>
      </c>
      <c r="I1462" s="18" t="s">
        <v>142</v>
      </c>
      <c r="J1462" s="18" t="s">
        <v>3559</v>
      </c>
      <c r="K1462" s="29">
        <f t="shared" si="2"/>
        <v>33</v>
      </c>
    </row>
    <row r="1463" ht="15.75" customHeight="1">
      <c r="A1463" s="18" t="s">
        <v>2795</v>
      </c>
      <c r="B1463" s="18">
        <v>1986.0</v>
      </c>
      <c r="C1463" s="18" t="s">
        <v>501</v>
      </c>
      <c r="D1463" s="18">
        <v>13.0</v>
      </c>
      <c r="E1463" s="18" t="str">
        <f t="shared" si="1"/>
        <v>13/08/86</v>
      </c>
      <c r="F1463" s="18">
        <v>3.0</v>
      </c>
      <c r="G1463" s="27">
        <v>12255.04</v>
      </c>
      <c r="H1463" s="18" t="s">
        <v>142</v>
      </c>
      <c r="I1463" s="18" t="s">
        <v>140</v>
      </c>
      <c r="J1463" s="18" t="s">
        <v>3559</v>
      </c>
      <c r="K1463" s="29">
        <f t="shared" si="2"/>
        <v>36</v>
      </c>
    </row>
    <row r="1464" ht="15.75" customHeight="1">
      <c r="A1464" s="18" t="s">
        <v>2792</v>
      </c>
      <c r="B1464" s="18">
        <v>1966.0</v>
      </c>
      <c r="C1464" s="18" t="s">
        <v>457</v>
      </c>
      <c r="D1464" s="18">
        <v>6.0</v>
      </c>
      <c r="E1464" s="18" t="str">
        <f t="shared" si="1"/>
        <v>06/12/66</v>
      </c>
      <c r="F1464" s="18">
        <v>2.0</v>
      </c>
      <c r="G1464" s="27">
        <v>12265.51</v>
      </c>
      <c r="H1464" s="18" t="s">
        <v>142</v>
      </c>
      <c r="I1464" s="18" t="s">
        <v>142</v>
      </c>
      <c r="J1464" s="18" t="s">
        <v>146</v>
      </c>
      <c r="K1464" s="29">
        <f t="shared" si="2"/>
        <v>56</v>
      </c>
    </row>
    <row r="1465" ht="15.75" customHeight="1">
      <c r="A1465" s="18" t="s">
        <v>2788</v>
      </c>
      <c r="B1465" s="18">
        <v>1967.0</v>
      </c>
      <c r="C1465" s="18" t="s">
        <v>457</v>
      </c>
      <c r="D1465" s="18">
        <v>30.0</v>
      </c>
      <c r="E1465" s="18" t="str">
        <f t="shared" si="1"/>
        <v>30/12/67</v>
      </c>
      <c r="F1465" s="18">
        <v>2.0</v>
      </c>
      <c r="G1465" s="27">
        <v>12268.63</v>
      </c>
      <c r="H1465" s="18" t="s">
        <v>142</v>
      </c>
      <c r="I1465" s="18" t="s">
        <v>219</v>
      </c>
      <c r="J1465" s="18" t="s">
        <v>325</v>
      </c>
      <c r="K1465" s="29">
        <f t="shared" si="2"/>
        <v>55</v>
      </c>
    </row>
    <row r="1466" ht="15.75" customHeight="1">
      <c r="A1466" s="18" t="s">
        <v>2785</v>
      </c>
      <c r="B1466" s="18">
        <v>1967.0</v>
      </c>
      <c r="C1466" s="18" t="s">
        <v>501</v>
      </c>
      <c r="D1466" s="18">
        <v>28.0</v>
      </c>
      <c r="E1466" s="18" t="str">
        <f t="shared" si="1"/>
        <v>28/08/67</v>
      </c>
      <c r="F1466" s="18">
        <v>2.0</v>
      </c>
      <c r="G1466" s="27">
        <v>12269.69</v>
      </c>
      <c r="H1466" s="18" t="s">
        <v>142</v>
      </c>
      <c r="I1466" s="18" t="s">
        <v>140</v>
      </c>
      <c r="J1466" s="18" t="s">
        <v>325</v>
      </c>
      <c r="K1466" s="29">
        <f t="shared" si="2"/>
        <v>55</v>
      </c>
    </row>
    <row r="1467" ht="15.75" customHeight="1">
      <c r="A1467" s="18" t="s">
        <v>2782</v>
      </c>
      <c r="B1467" s="18">
        <v>1966.0</v>
      </c>
      <c r="C1467" s="18" t="s">
        <v>209</v>
      </c>
      <c r="D1467" s="18">
        <v>16.0</v>
      </c>
      <c r="E1467" s="18" t="str">
        <f t="shared" si="1"/>
        <v>16/11/66</v>
      </c>
      <c r="F1467" s="18">
        <v>0.0</v>
      </c>
      <c r="G1467" s="27">
        <v>12282.03</v>
      </c>
      <c r="H1467" s="18" t="s">
        <v>142</v>
      </c>
      <c r="I1467" s="18" t="s">
        <v>219</v>
      </c>
      <c r="J1467" s="18" t="s">
        <v>1647</v>
      </c>
      <c r="K1467" s="29">
        <f t="shared" si="2"/>
        <v>56</v>
      </c>
    </row>
    <row r="1468" ht="15.75" customHeight="1">
      <c r="A1468" s="18" t="s">
        <v>2779</v>
      </c>
      <c r="B1468" s="18">
        <v>1990.0</v>
      </c>
      <c r="C1468" s="18" t="s">
        <v>517</v>
      </c>
      <c r="D1468" s="18">
        <v>29.0</v>
      </c>
      <c r="E1468" s="18" t="str">
        <f t="shared" si="1"/>
        <v>29/10/90</v>
      </c>
      <c r="F1468" s="18">
        <v>3.0</v>
      </c>
      <c r="G1468" s="27">
        <v>12282.38</v>
      </c>
      <c r="H1468" s="18" t="s">
        <v>142</v>
      </c>
      <c r="I1468" s="18" t="s">
        <v>219</v>
      </c>
      <c r="J1468" s="18" t="s">
        <v>570</v>
      </c>
      <c r="K1468" s="29">
        <f t="shared" si="2"/>
        <v>32</v>
      </c>
    </row>
    <row r="1469" ht="15.75" customHeight="1">
      <c r="A1469" s="18" t="s">
        <v>2775</v>
      </c>
      <c r="B1469" s="18">
        <v>1963.0</v>
      </c>
      <c r="C1469" s="18" t="s">
        <v>517</v>
      </c>
      <c r="D1469" s="18">
        <v>28.0</v>
      </c>
      <c r="E1469" s="18" t="str">
        <f t="shared" si="1"/>
        <v>28/10/63</v>
      </c>
      <c r="F1469" s="18">
        <v>0.0</v>
      </c>
      <c r="G1469" s="27">
        <v>12299.59</v>
      </c>
      <c r="H1469" s="18" t="s">
        <v>142</v>
      </c>
      <c r="I1469" s="18" t="s">
        <v>219</v>
      </c>
      <c r="J1469" s="18" t="s">
        <v>1647</v>
      </c>
      <c r="K1469" s="29">
        <f t="shared" si="2"/>
        <v>59</v>
      </c>
    </row>
    <row r="1470" ht="15.75" customHeight="1">
      <c r="A1470" s="18" t="s">
        <v>2771</v>
      </c>
      <c r="B1470" s="18">
        <v>1963.0</v>
      </c>
      <c r="C1470" s="18" t="s">
        <v>501</v>
      </c>
      <c r="D1470" s="18">
        <v>29.0</v>
      </c>
      <c r="E1470" s="18" t="str">
        <f t="shared" si="1"/>
        <v>29/08/63</v>
      </c>
      <c r="F1470" s="18">
        <v>0.0</v>
      </c>
      <c r="G1470" s="27">
        <v>12323.94</v>
      </c>
      <c r="H1470" s="18" t="s">
        <v>142</v>
      </c>
      <c r="I1470" s="18" t="s">
        <v>142</v>
      </c>
      <c r="J1470" s="18" t="s">
        <v>2617</v>
      </c>
      <c r="K1470" s="29">
        <f t="shared" si="2"/>
        <v>59</v>
      </c>
    </row>
    <row r="1471" ht="15.75" customHeight="1">
      <c r="A1471" s="18" t="s">
        <v>2769</v>
      </c>
      <c r="B1471" s="18">
        <v>1963.0</v>
      </c>
      <c r="C1471" s="18" t="s">
        <v>501</v>
      </c>
      <c r="D1471" s="18">
        <v>2.0</v>
      </c>
      <c r="E1471" s="18" t="str">
        <f t="shared" si="1"/>
        <v>02/08/63</v>
      </c>
      <c r="F1471" s="18">
        <v>1.0</v>
      </c>
      <c r="G1471" s="27">
        <v>12333.83</v>
      </c>
      <c r="H1471" s="18" t="s">
        <v>142</v>
      </c>
      <c r="I1471" s="18" t="s">
        <v>140</v>
      </c>
      <c r="J1471" s="18" t="s">
        <v>570</v>
      </c>
      <c r="K1471" s="29">
        <f t="shared" si="2"/>
        <v>59</v>
      </c>
    </row>
    <row r="1472" ht="15.75" customHeight="1">
      <c r="A1472" s="18" t="s">
        <v>2766</v>
      </c>
      <c r="B1472" s="18">
        <v>1963.0</v>
      </c>
      <c r="C1472" s="18" t="s">
        <v>272</v>
      </c>
      <c r="D1472" s="18">
        <v>22.0</v>
      </c>
      <c r="E1472" s="18" t="str">
        <f t="shared" si="1"/>
        <v>22/09/63</v>
      </c>
      <c r="F1472" s="18">
        <v>1.0</v>
      </c>
      <c r="G1472" s="27">
        <v>12347.17</v>
      </c>
      <c r="H1472" s="18" t="s">
        <v>142</v>
      </c>
      <c r="I1472" s="18" t="s">
        <v>142</v>
      </c>
      <c r="J1472" s="18" t="s">
        <v>570</v>
      </c>
      <c r="K1472" s="29">
        <f t="shared" si="2"/>
        <v>59</v>
      </c>
    </row>
    <row r="1473" ht="15.75" customHeight="1">
      <c r="A1473" s="18" t="s">
        <v>2763</v>
      </c>
      <c r="B1473" s="18">
        <v>1966.0</v>
      </c>
      <c r="C1473" s="18" t="s">
        <v>457</v>
      </c>
      <c r="D1473" s="18">
        <v>29.0</v>
      </c>
      <c r="E1473" s="18" t="str">
        <f t="shared" si="1"/>
        <v>29/12/66</v>
      </c>
      <c r="F1473" s="18">
        <v>3.0</v>
      </c>
      <c r="G1473" s="27">
        <v>12363.55</v>
      </c>
      <c r="H1473" s="18" t="s">
        <v>142</v>
      </c>
      <c r="I1473" s="18" t="s">
        <v>142</v>
      </c>
      <c r="J1473" s="18" t="s">
        <v>570</v>
      </c>
      <c r="K1473" s="29">
        <f t="shared" si="2"/>
        <v>56</v>
      </c>
    </row>
    <row r="1474" ht="15.75" customHeight="1">
      <c r="A1474" s="18" t="s">
        <v>2759</v>
      </c>
      <c r="B1474" s="18">
        <v>1962.0</v>
      </c>
      <c r="C1474" s="18" t="s">
        <v>272</v>
      </c>
      <c r="D1474" s="18">
        <v>26.0</v>
      </c>
      <c r="E1474" s="18" t="str">
        <f t="shared" si="1"/>
        <v>26/09/62</v>
      </c>
      <c r="F1474" s="18">
        <v>0.0</v>
      </c>
      <c r="G1474" s="27">
        <v>12369.89</v>
      </c>
      <c r="H1474" s="18" t="s">
        <v>142</v>
      </c>
      <c r="I1474" s="18" t="s">
        <v>140</v>
      </c>
      <c r="J1474" s="18" t="s">
        <v>2024</v>
      </c>
      <c r="K1474" s="29">
        <f t="shared" si="2"/>
        <v>60</v>
      </c>
    </row>
    <row r="1475" ht="15.75" customHeight="1">
      <c r="A1475" s="18" t="s">
        <v>2757</v>
      </c>
      <c r="B1475" s="18">
        <v>1989.0</v>
      </c>
      <c r="C1475" s="18" t="s">
        <v>457</v>
      </c>
      <c r="D1475" s="18">
        <v>29.0</v>
      </c>
      <c r="E1475" s="18" t="str">
        <f t="shared" si="1"/>
        <v>29/12/89</v>
      </c>
      <c r="F1475" s="18">
        <v>0.0</v>
      </c>
      <c r="G1475" s="27">
        <v>12404.88</v>
      </c>
      <c r="H1475" s="18" t="s">
        <v>142</v>
      </c>
      <c r="I1475" s="18" t="s">
        <v>142</v>
      </c>
      <c r="J1475" s="18" t="s">
        <v>1427</v>
      </c>
      <c r="K1475" s="29">
        <f t="shared" si="2"/>
        <v>33</v>
      </c>
    </row>
    <row r="1476" ht="15.75" customHeight="1">
      <c r="A1476" s="18" t="s">
        <v>2753</v>
      </c>
      <c r="B1476" s="18">
        <v>1972.0</v>
      </c>
      <c r="C1476" s="18" t="s">
        <v>501</v>
      </c>
      <c r="D1476" s="18">
        <v>21.0</v>
      </c>
      <c r="E1476" s="18" t="str">
        <f t="shared" si="1"/>
        <v>21/08/72</v>
      </c>
      <c r="F1476" s="18">
        <v>0.0</v>
      </c>
      <c r="G1476" s="27">
        <v>12407.3</v>
      </c>
      <c r="H1476" s="18" t="s">
        <v>142</v>
      </c>
      <c r="I1476" s="18" t="s">
        <v>140</v>
      </c>
      <c r="J1476" s="18" t="s">
        <v>2314</v>
      </c>
      <c r="K1476" s="29">
        <f t="shared" si="2"/>
        <v>50</v>
      </c>
    </row>
    <row r="1477" ht="15.75" customHeight="1">
      <c r="A1477" s="18" t="s">
        <v>2749</v>
      </c>
      <c r="B1477" s="18">
        <v>1979.0</v>
      </c>
      <c r="C1477" s="18" t="s">
        <v>91</v>
      </c>
      <c r="D1477" s="18">
        <v>14.0</v>
      </c>
      <c r="E1477" s="18" t="str">
        <f t="shared" si="1"/>
        <v>14/07/79</v>
      </c>
      <c r="F1477" s="18">
        <v>2.0</v>
      </c>
      <c r="G1477" s="27">
        <v>12408.29</v>
      </c>
      <c r="H1477" s="18" t="s">
        <v>142</v>
      </c>
      <c r="I1477" s="18" t="s">
        <v>219</v>
      </c>
      <c r="J1477" s="18" t="s">
        <v>3978</v>
      </c>
      <c r="K1477" s="29">
        <f t="shared" si="2"/>
        <v>43</v>
      </c>
    </row>
    <row r="1478" ht="15.75" customHeight="1">
      <c r="A1478" s="18" t="s">
        <v>2746</v>
      </c>
      <c r="B1478" s="18">
        <v>1964.0</v>
      </c>
      <c r="C1478" s="18" t="s">
        <v>501</v>
      </c>
      <c r="D1478" s="18">
        <v>4.0</v>
      </c>
      <c r="E1478" s="18" t="str">
        <f t="shared" si="1"/>
        <v>04/08/64</v>
      </c>
      <c r="F1478" s="18">
        <v>0.0</v>
      </c>
      <c r="G1478" s="27">
        <v>12430.95</v>
      </c>
      <c r="H1478" s="18" t="s">
        <v>142</v>
      </c>
      <c r="I1478" s="18" t="s">
        <v>142</v>
      </c>
      <c r="J1478" s="18" t="s">
        <v>2024</v>
      </c>
      <c r="K1478" s="29">
        <f t="shared" si="2"/>
        <v>58</v>
      </c>
    </row>
    <row r="1479" ht="15.75" customHeight="1">
      <c r="A1479" s="18" t="s">
        <v>2744</v>
      </c>
      <c r="B1479" s="18">
        <v>1995.0</v>
      </c>
      <c r="C1479" s="18" t="s">
        <v>501</v>
      </c>
      <c r="D1479" s="18">
        <v>9.0</v>
      </c>
      <c r="E1479" s="18" t="str">
        <f t="shared" si="1"/>
        <v>09/08/95</v>
      </c>
      <c r="F1479" s="18">
        <v>0.0</v>
      </c>
      <c r="G1479" s="27">
        <v>12452.25</v>
      </c>
      <c r="H1479" s="18" t="s">
        <v>142</v>
      </c>
      <c r="I1479" s="18" t="s">
        <v>142</v>
      </c>
      <c r="J1479" s="18" t="s">
        <v>325</v>
      </c>
      <c r="K1479" s="29">
        <f t="shared" si="2"/>
        <v>27</v>
      </c>
    </row>
    <row r="1480" ht="15.75" customHeight="1">
      <c r="A1480" s="18" t="s">
        <v>2740</v>
      </c>
      <c r="B1480" s="18">
        <v>1968.0</v>
      </c>
      <c r="C1480" s="18" t="s">
        <v>209</v>
      </c>
      <c r="D1480" s="18">
        <v>26.0</v>
      </c>
      <c r="E1480" s="18" t="str">
        <f t="shared" si="1"/>
        <v>26/11/68</v>
      </c>
      <c r="F1480" s="18">
        <v>3.0</v>
      </c>
      <c r="G1480" s="27">
        <v>12475.35</v>
      </c>
      <c r="H1480" s="18" t="s">
        <v>142</v>
      </c>
      <c r="I1480" s="18" t="s">
        <v>219</v>
      </c>
      <c r="J1480" s="18" t="s">
        <v>325</v>
      </c>
      <c r="K1480" s="29">
        <f t="shared" si="2"/>
        <v>54</v>
      </c>
    </row>
    <row r="1481" ht="15.75" customHeight="1">
      <c r="A1481" s="18" t="s">
        <v>2737</v>
      </c>
      <c r="B1481" s="18">
        <v>1968.0</v>
      </c>
      <c r="C1481" s="18" t="s">
        <v>209</v>
      </c>
      <c r="D1481" s="18">
        <v>12.0</v>
      </c>
      <c r="E1481" s="18" t="str">
        <f t="shared" si="1"/>
        <v>12/11/68</v>
      </c>
      <c r="F1481" s="18">
        <v>3.0</v>
      </c>
      <c r="G1481" s="27">
        <v>12479.71</v>
      </c>
      <c r="H1481" s="18" t="s">
        <v>142</v>
      </c>
      <c r="I1481" s="18" t="s">
        <v>142</v>
      </c>
      <c r="J1481" s="18" t="s">
        <v>325</v>
      </c>
      <c r="K1481" s="29">
        <f t="shared" si="2"/>
        <v>54</v>
      </c>
    </row>
    <row r="1482" ht="15.75" customHeight="1">
      <c r="A1482" s="18" t="s">
        <v>2734</v>
      </c>
      <c r="B1482" s="18">
        <v>1967.0</v>
      </c>
      <c r="C1482" s="18" t="s">
        <v>272</v>
      </c>
      <c r="D1482" s="18">
        <v>1.0</v>
      </c>
      <c r="E1482" s="18" t="str">
        <f t="shared" si="1"/>
        <v>01/09/67</v>
      </c>
      <c r="F1482" s="18">
        <v>3.0</v>
      </c>
      <c r="G1482" s="27">
        <v>12485.8</v>
      </c>
      <c r="H1482" s="18" t="s">
        <v>142</v>
      </c>
      <c r="I1482" s="18" t="s">
        <v>142</v>
      </c>
      <c r="J1482" s="18" t="s">
        <v>146</v>
      </c>
      <c r="K1482" s="29">
        <f t="shared" si="2"/>
        <v>55</v>
      </c>
    </row>
    <row r="1483" ht="15.75" customHeight="1">
      <c r="A1483" s="18" t="s">
        <v>2731</v>
      </c>
      <c r="B1483" s="18">
        <v>1968.0</v>
      </c>
      <c r="C1483" s="18" t="s">
        <v>457</v>
      </c>
      <c r="D1483" s="18">
        <v>3.0</v>
      </c>
      <c r="E1483" s="18" t="str">
        <f t="shared" si="1"/>
        <v>03/12/68</v>
      </c>
      <c r="F1483" s="18">
        <v>3.0</v>
      </c>
      <c r="G1483" s="27">
        <v>12495.29</v>
      </c>
      <c r="H1483" s="18" t="s">
        <v>142</v>
      </c>
      <c r="I1483" s="18" t="s">
        <v>142</v>
      </c>
      <c r="J1483" s="18" t="s">
        <v>325</v>
      </c>
      <c r="K1483" s="29">
        <f t="shared" si="2"/>
        <v>54</v>
      </c>
    </row>
    <row r="1484" ht="15.75" customHeight="1">
      <c r="A1484" s="18" t="s">
        <v>2727</v>
      </c>
      <c r="B1484" s="18">
        <v>1966.0</v>
      </c>
      <c r="C1484" s="18" t="s">
        <v>91</v>
      </c>
      <c r="D1484" s="18">
        <v>12.0</v>
      </c>
      <c r="E1484" s="18" t="str">
        <f t="shared" si="1"/>
        <v>12/07/66</v>
      </c>
      <c r="F1484" s="18">
        <v>0.0</v>
      </c>
      <c r="G1484" s="27">
        <v>12499.88</v>
      </c>
      <c r="H1484" s="18" t="s">
        <v>142</v>
      </c>
      <c r="I1484" s="18" t="s">
        <v>140</v>
      </c>
      <c r="J1484" s="18" t="s">
        <v>325</v>
      </c>
      <c r="K1484" s="29">
        <f t="shared" si="2"/>
        <v>56</v>
      </c>
    </row>
    <row r="1485" ht="15.75" customHeight="1">
      <c r="A1485" s="18" t="s">
        <v>2725</v>
      </c>
      <c r="B1485" s="18">
        <v>1962.0</v>
      </c>
      <c r="C1485" s="18" t="s">
        <v>517</v>
      </c>
      <c r="D1485" s="18">
        <v>16.0</v>
      </c>
      <c r="E1485" s="18" t="str">
        <f t="shared" si="1"/>
        <v>16/10/62</v>
      </c>
      <c r="F1485" s="18">
        <v>0.0</v>
      </c>
      <c r="G1485" s="27">
        <v>12523.6</v>
      </c>
      <c r="H1485" s="18" t="s">
        <v>142</v>
      </c>
      <c r="I1485" s="18" t="s">
        <v>142</v>
      </c>
      <c r="J1485" s="18" t="s">
        <v>325</v>
      </c>
      <c r="K1485" s="29">
        <f t="shared" si="2"/>
        <v>60</v>
      </c>
    </row>
    <row r="1486" ht="15.75" customHeight="1">
      <c r="A1486" s="18" t="s">
        <v>2721</v>
      </c>
      <c r="B1486" s="18">
        <v>1961.0</v>
      </c>
      <c r="C1486" s="18" t="s">
        <v>209</v>
      </c>
      <c r="D1486" s="18">
        <v>28.0</v>
      </c>
      <c r="E1486" s="18" t="str">
        <f t="shared" si="1"/>
        <v>28/11/61</v>
      </c>
      <c r="F1486" s="18">
        <v>0.0</v>
      </c>
      <c r="G1486" s="27">
        <v>12557.61</v>
      </c>
      <c r="H1486" s="18" t="s">
        <v>142</v>
      </c>
      <c r="I1486" s="18" t="s">
        <v>142</v>
      </c>
      <c r="J1486" s="18" t="s">
        <v>146</v>
      </c>
      <c r="K1486" s="29">
        <f t="shared" si="2"/>
        <v>61</v>
      </c>
    </row>
    <row r="1487" ht="15.75" customHeight="1">
      <c r="A1487" s="18" t="s">
        <v>2720</v>
      </c>
      <c r="B1487" s="18">
        <v>1961.0</v>
      </c>
      <c r="C1487" s="18" t="s">
        <v>209</v>
      </c>
      <c r="D1487" s="18">
        <v>28.0</v>
      </c>
      <c r="E1487" s="18" t="str">
        <f t="shared" si="1"/>
        <v>28/11/61</v>
      </c>
      <c r="F1487" s="18">
        <v>0.0</v>
      </c>
      <c r="G1487" s="27">
        <v>12574.05</v>
      </c>
      <c r="H1487" s="18" t="s">
        <v>142</v>
      </c>
      <c r="I1487" s="18" t="s">
        <v>219</v>
      </c>
      <c r="J1487" s="18" t="s">
        <v>570</v>
      </c>
      <c r="K1487" s="29">
        <f t="shared" si="2"/>
        <v>61</v>
      </c>
    </row>
    <row r="1488" ht="15.75" customHeight="1">
      <c r="A1488" s="18" t="s">
        <v>2717</v>
      </c>
      <c r="B1488" s="18">
        <v>1969.0</v>
      </c>
      <c r="C1488" s="18" t="s">
        <v>209</v>
      </c>
      <c r="D1488" s="18">
        <v>26.0</v>
      </c>
      <c r="E1488" s="18" t="str">
        <f t="shared" si="1"/>
        <v>26/11/69</v>
      </c>
      <c r="F1488" s="18">
        <v>0.0</v>
      </c>
      <c r="G1488" s="27">
        <v>12579.92</v>
      </c>
      <c r="H1488" s="18" t="s">
        <v>142</v>
      </c>
      <c r="I1488" s="18" t="s">
        <v>219</v>
      </c>
      <c r="J1488" s="18" t="s">
        <v>1647</v>
      </c>
      <c r="K1488" s="29">
        <f t="shared" si="2"/>
        <v>53</v>
      </c>
    </row>
    <row r="1489" ht="15.75" customHeight="1">
      <c r="A1489" s="18" t="s">
        <v>2713</v>
      </c>
      <c r="B1489" s="18">
        <v>1970.0</v>
      </c>
      <c r="C1489" s="18" t="s">
        <v>241</v>
      </c>
      <c r="D1489" s="18">
        <v>18.0</v>
      </c>
      <c r="E1489" s="18" t="str">
        <f t="shared" si="1"/>
        <v>18/06/70</v>
      </c>
      <c r="F1489" s="18">
        <v>5.0</v>
      </c>
      <c r="G1489" s="27">
        <v>12592.53</v>
      </c>
      <c r="H1489" s="18" t="s">
        <v>142</v>
      </c>
      <c r="I1489" s="18" t="s">
        <v>140</v>
      </c>
      <c r="J1489" s="18" t="s">
        <v>146</v>
      </c>
      <c r="K1489" s="29">
        <f t="shared" si="2"/>
        <v>52</v>
      </c>
    </row>
    <row r="1490" ht="15.75" customHeight="1">
      <c r="A1490" s="18" t="s">
        <v>2711</v>
      </c>
      <c r="B1490" s="18">
        <v>1988.0</v>
      </c>
      <c r="C1490" s="18" t="s">
        <v>501</v>
      </c>
      <c r="D1490" s="18">
        <v>11.0</v>
      </c>
      <c r="E1490" s="18" t="str">
        <f t="shared" si="1"/>
        <v>11/08/88</v>
      </c>
      <c r="F1490" s="18">
        <v>3.0</v>
      </c>
      <c r="G1490" s="27">
        <v>12600.46</v>
      </c>
      <c r="H1490" s="18" t="s">
        <v>142</v>
      </c>
      <c r="I1490" s="18" t="s">
        <v>219</v>
      </c>
      <c r="J1490" s="18" t="s">
        <v>2031</v>
      </c>
      <c r="K1490" s="29">
        <f t="shared" si="2"/>
        <v>34</v>
      </c>
    </row>
    <row r="1491" ht="15.75" customHeight="1">
      <c r="A1491" s="18" t="s">
        <v>2708</v>
      </c>
      <c r="B1491" s="18">
        <v>1998.0</v>
      </c>
      <c r="C1491" s="18" t="s">
        <v>209</v>
      </c>
      <c r="D1491" s="18">
        <v>18.0</v>
      </c>
      <c r="E1491" s="18" t="str">
        <f t="shared" si="1"/>
        <v>18/11/98</v>
      </c>
      <c r="F1491" s="18">
        <v>1.0</v>
      </c>
      <c r="G1491" s="27">
        <v>12609.89</v>
      </c>
      <c r="H1491" s="18" t="s">
        <v>142</v>
      </c>
      <c r="I1491" s="18" t="s">
        <v>142</v>
      </c>
      <c r="J1491" s="18" t="s">
        <v>325</v>
      </c>
      <c r="K1491" s="29">
        <f t="shared" si="2"/>
        <v>24</v>
      </c>
    </row>
    <row r="1492" ht="15.75" customHeight="1">
      <c r="A1492" s="18" t="s">
        <v>2705</v>
      </c>
      <c r="B1492" s="18">
        <v>1963.0</v>
      </c>
      <c r="C1492" s="18" t="s">
        <v>501</v>
      </c>
      <c r="D1492" s="18">
        <v>19.0</v>
      </c>
      <c r="E1492" s="18" t="str">
        <f t="shared" si="1"/>
        <v>19/08/63</v>
      </c>
      <c r="F1492" s="18">
        <v>0.0</v>
      </c>
      <c r="G1492" s="27">
        <v>12622.18</v>
      </c>
      <c r="H1492" s="18" t="s">
        <v>142</v>
      </c>
      <c r="I1492" s="18" t="s">
        <v>219</v>
      </c>
      <c r="J1492" s="18" t="s">
        <v>325</v>
      </c>
      <c r="K1492" s="29">
        <f t="shared" si="2"/>
        <v>59</v>
      </c>
    </row>
    <row r="1493" ht="15.75" customHeight="1">
      <c r="A1493" s="18" t="s">
        <v>2697</v>
      </c>
      <c r="B1493" s="18">
        <v>1970.0</v>
      </c>
      <c r="C1493" s="18" t="s">
        <v>457</v>
      </c>
      <c r="D1493" s="18">
        <v>28.0</v>
      </c>
      <c r="E1493" s="18" t="str">
        <f t="shared" si="1"/>
        <v>28/12/70</v>
      </c>
      <c r="F1493" s="18">
        <v>0.0</v>
      </c>
      <c r="G1493" s="27">
        <v>12624.74</v>
      </c>
      <c r="H1493" s="18" t="s">
        <v>142</v>
      </c>
      <c r="I1493" s="18" t="s">
        <v>219</v>
      </c>
      <c r="J1493" s="18" t="s">
        <v>325</v>
      </c>
      <c r="K1493" s="29">
        <f t="shared" si="2"/>
        <v>52</v>
      </c>
    </row>
    <row r="1494" ht="15.75" customHeight="1">
      <c r="A1494" s="18" t="s">
        <v>2694</v>
      </c>
      <c r="B1494" s="18">
        <v>1965.0</v>
      </c>
      <c r="C1494" s="18" t="s">
        <v>517</v>
      </c>
      <c r="D1494" s="18">
        <v>4.0</v>
      </c>
      <c r="E1494" s="18" t="str">
        <f t="shared" si="1"/>
        <v>04/10/65</v>
      </c>
      <c r="F1494" s="18">
        <v>2.0</v>
      </c>
      <c r="G1494" s="27">
        <v>12629.17</v>
      </c>
      <c r="H1494" s="18" t="s">
        <v>142</v>
      </c>
      <c r="I1494" s="18" t="s">
        <v>219</v>
      </c>
      <c r="J1494" s="18" t="s">
        <v>146</v>
      </c>
      <c r="K1494" s="29">
        <f t="shared" si="2"/>
        <v>57</v>
      </c>
    </row>
    <row r="1495" ht="15.75" customHeight="1">
      <c r="A1495" s="18" t="s">
        <v>2690</v>
      </c>
      <c r="B1495" s="18">
        <v>1962.0</v>
      </c>
      <c r="C1495" s="18" t="s">
        <v>209</v>
      </c>
      <c r="D1495" s="18">
        <v>22.0</v>
      </c>
      <c r="E1495" s="18" t="str">
        <f t="shared" si="1"/>
        <v>22/11/62</v>
      </c>
      <c r="F1495" s="18">
        <v>0.0</v>
      </c>
      <c r="G1495" s="27">
        <v>12629.9</v>
      </c>
      <c r="H1495" s="18" t="s">
        <v>142</v>
      </c>
      <c r="I1495" s="18" t="s">
        <v>142</v>
      </c>
      <c r="J1495" s="18" t="s">
        <v>146</v>
      </c>
      <c r="K1495" s="29">
        <f t="shared" si="2"/>
        <v>60</v>
      </c>
    </row>
    <row r="1496" ht="15.75" customHeight="1">
      <c r="A1496" s="18" t="s">
        <v>2689</v>
      </c>
      <c r="B1496" s="18">
        <v>1962.0</v>
      </c>
      <c r="C1496" s="18" t="s">
        <v>91</v>
      </c>
      <c r="D1496" s="18">
        <v>22.0</v>
      </c>
      <c r="E1496" s="18" t="str">
        <f t="shared" si="1"/>
        <v>22/07/62</v>
      </c>
      <c r="F1496" s="18">
        <v>0.0</v>
      </c>
      <c r="G1496" s="27">
        <v>12638.2</v>
      </c>
      <c r="H1496" s="18" t="s">
        <v>142</v>
      </c>
      <c r="I1496" s="18" t="s">
        <v>219</v>
      </c>
      <c r="J1496" s="18" t="s">
        <v>570</v>
      </c>
      <c r="K1496" s="29">
        <f t="shared" si="2"/>
        <v>60</v>
      </c>
    </row>
    <row r="1497" ht="15.75" customHeight="1">
      <c r="A1497" s="18" t="s">
        <v>2685</v>
      </c>
      <c r="B1497" s="18">
        <v>1972.0</v>
      </c>
      <c r="C1497" s="18" t="s">
        <v>272</v>
      </c>
      <c r="D1497" s="18">
        <v>5.0</v>
      </c>
      <c r="E1497" s="18" t="str">
        <f t="shared" si="1"/>
        <v>05/09/72</v>
      </c>
      <c r="F1497" s="18">
        <v>0.0</v>
      </c>
      <c r="G1497" s="27">
        <v>12640.24</v>
      </c>
      <c r="H1497" s="18" t="s">
        <v>142</v>
      </c>
      <c r="I1497" s="18" t="s">
        <v>219</v>
      </c>
      <c r="J1497" s="18" t="s">
        <v>570</v>
      </c>
      <c r="K1497" s="29">
        <f t="shared" si="2"/>
        <v>50</v>
      </c>
    </row>
    <row r="1498" ht="15.75" customHeight="1">
      <c r="A1498" s="18" t="s">
        <v>2682</v>
      </c>
      <c r="B1498" s="18">
        <v>1966.0</v>
      </c>
      <c r="C1498" s="18" t="s">
        <v>457</v>
      </c>
      <c r="D1498" s="18">
        <v>17.0</v>
      </c>
      <c r="E1498" s="18" t="str">
        <f t="shared" si="1"/>
        <v>17/12/66</v>
      </c>
      <c r="F1498" s="18">
        <v>2.0</v>
      </c>
      <c r="G1498" s="27">
        <v>12643.38</v>
      </c>
      <c r="H1498" s="18" t="s">
        <v>142</v>
      </c>
      <c r="I1498" s="18" t="s">
        <v>219</v>
      </c>
      <c r="J1498" s="18" t="s">
        <v>325</v>
      </c>
      <c r="K1498" s="29">
        <f t="shared" si="2"/>
        <v>56</v>
      </c>
    </row>
    <row r="1499" ht="15.75" customHeight="1">
      <c r="A1499" s="18" t="s">
        <v>2678</v>
      </c>
      <c r="B1499" s="18">
        <v>1962.0</v>
      </c>
      <c r="C1499" s="18" t="s">
        <v>91</v>
      </c>
      <c r="D1499" s="18">
        <v>11.0</v>
      </c>
      <c r="E1499" s="18" t="str">
        <f t="shared" si="1"/>
        <v>11/07/62</v>
      </c>
      <c r="F1499" s="18">
        <v>0.0</v>
      </c>
      <c r="G1499" s="27">
        <v>12644.59</v>
      </c>
      <c r="H1499" s="18" t="s">
        <v>142</v>
      </c>
      <c r="I1499" s="18" t="s">
        <v>140</v>
      </c>
      <c r="J1499" s="18" t="s">
        <v>570</v>
      </c>
      <c r="K1499" s="29">
        <f t="shared" si="2"/>
        <v>60</v>
      </c>
    </row>
    <row r="1500" ht="15.75" customHeight="1">
      <c r="A1500" s="18" t="s">
        <v>2675</v>
      </c>
      <c r="B1500" s="18">
        <v>1965.0</v>
      </c>
      <c r="C1500" s="18" t="s">
        <v>272</v>
      </c>
      <c r="D1500" s="18">
        <v>14.0</v>
      </c>
      <c r="E1500" s="18" t="str">
        <f t="shared" si="1"/>
        <v>14/09/65</v>
      </c>
      <c r="F1500" s="18">
        <v>2.0</v>
      </c>
      <c r="G1500" s="27">
        <v>12646.21</v>
      </c>
      <c r="H1500" s="18" t="s">
        <v>142</v>
      </c>
      <c r="I1500" s="18" t="s">
        <v>140</v>
      </c>
      <c r="J1500" s="18" t="s">
        <v>570</v>
      </c>
      <c r="K1500" s="29">
        <f t="shared" si="2"/>
        <v>57</v>
      </c>
    </row>
    <row r="1501" ht="15.75" customHeight="1">
      <c r="A1501" s="18" t="s">
        <v>2672</v>
      </c>
      <c r="B1501" s="18">
        <v>1962.0</v>
      </c>
      <c r="C1501" s="18" t="s">
        <v>501</v>
      </c>
      <c r="D1501" s="18">
        <v>27.0</v>
      </c>
      <c r="E1501" s="18" t="str">
        <f t="shared" si="1"/>
        <v>27/08/62</v>
      </c>
      <c r="F1501" s="18">
        <v>0.0</v>
      </c>
      <c r="G1501" s="27">
        <v>12648.7</v>
      </c>
      <c r="H1501" s="18" t="s">
        <v>142</v>
      </c>
      <c r="I1501" s="18" t="s">
        <v>140</v>
      </c>
      <c r="J1501" s="18" t="s">
        <v>146</v>
      </c>
      <c r="K1501" s="29">
        <f t="shared" si="2"/>
        <v>60</v>
      </c>
    </row>
    <row r="1502" ht="15.75" customHeight="1">
      <c r="A1502" s="18" t="s">
        <v>2670</v>
      </c>
      <c r="B1502" s="18">
        <v>1974.0</v>
      </c>
      <c r="C1502" s="18" t="s">
        <v>272</v>
      </c>
      <c r="D1502" s="18">
        <v>24.0</v>
      </c>
      <c r="E1502" s="18" t="str">
        <f t="shared" si="1"/>
        <v>24/09/74</v>
      </c>
      <c r="F1502" s="18">
        <v>0.0</v>
      </c>
      <c r="G1502" s="27">
        <v>12697.48</v>
      </c>
      <c r="H1502" s="18" t="s">
        <v>142</v>
      </c>
      <c r="I1502" s="18" t="s">
        <v>142</v>
      </c>
      <c r="J1502" s="18" t="s">
        <v>2314</v>
      </c>
      <c r="K1502" s="29">
        <f t="shared" si="2"/>
        <v>48</v>
      </c>
    </row>
    <row r="1503" ht="15.75" customHeight="1">
      <c r="A1503" s="18" t="s">
        <v>2667</v>
      </c>
      <c r="B1503" s="18">
        <v>1992.0</v>
      </c>
      <c r="C1503" s="18" t="s">
        <v>91</v>
      </c>
      <c r="D1503" s="18">
        <v>7.0</v>
      </c>
      <c r="E1503" s="18" t="str">
        <f t="shared" si="1"/>
        <v>07/07/92</v>
      </c>
      <c r="F1503" s="18">
        <v>0.0</v>
      </c>
      <c r="G1503" s="27">
        <v>12699.56</v>
      </c>
      <c r="H1503" s="18" t="s">
        <v>142</v>
      </c>
      <c r="I1503" s="18" t="s">
        <v>140</v>
      </c>
      <c r="J1503" s="18" t="s">
        <v>570</v>
      </c>
      <c r="K1503" s="29">
        <f t="shared" si="2"/>
        <v>30</v>
      </c>
    </row>
    <row r="1504" ht="15.75" customHeight="1">
      <c r="A1504" s="18" t="s">
        <v>2664</v>
      </c>
      <c r="B1504" s="18">
        <v>1964.0</v>
      </c>
      <c r="C1504" s="18" t="s">
        <v>209</v>
      </c>
      <c r="D1504" s="18">
        <v>28.0</v>
      </c>
      <c r="E1504" s="18" t="str">
        <f t="shared" si="1"/>
        <v>28/11/64</v>
      </c>
      <c r="F1504" s="18">
        <v>0.0</v>
      </c>
      <c r="G1504" s="27">
        <v>12700.63</v>
      </c>
      <c r="H1504" s="18" t="s">
        <v>142</v>
      </c>
      <c r="I1504" s="18" t="s">
        <v>142</v>
      </c>
      <c r="J1504" s="18" t="s">
        <v>570</v>
      </c>
      <c r="K1504" s="29">
        <f t="shared" si="2"/>
        <v>58</v>
      </c>
    </row>
    <row r="1505" ht="15.75" customHeight="1">
      <c r="A1505" s="18" t="s">
        <v>2661</v>
      </c>
      <c r="B1505" s="18">
        <v>1970.0</v>
      </c>
      <c r="C1505" s="18" t="s">
        <v>91</v>
      </c>
      <c r="D1505" s="18">
        <v>8.0</v>
      </c>
      <c r="E1505" s="18" t="str">
        <f t="shared" si="1"/>
        <v>08/07/70</v>
      </c>
      <c r="F1505" s="18">
        <v>0.0</v>
      </c>
      <c r="G1505" s="27">
        <v>12713.0</v>
      </c>
      <c r="H1505" s="18" t="s">
        <v>142</v>
      </c>
      <c r="I1505" s="18" t="s">
        <v>219</v>
      </c>
      <c r="J1505" s="18" t="s">
        <v>570</v>
      </c>
      <c r="K1505" s="29">
        <f t="shared" si="2"/>
        <v>52</v>
      </c>
    </row>
    <row r="1506" ht="15.75" customHeight="1">
      <c r="A1506" s="18" t="s">
        <v>2658</v>
      </c>
      <c r="B1506" s="18">
        <v>1988.0</v>
      </c>
      <c r="C1506" s="18" t="s">
        <v>91</v>
      </c>
      <c r="D1506" s="18">
        <v>17.0</v>
      </c>
      <c r="E1506" s="18" t="str">
        <f t="shared" si="1"/>
        <v>17/07/88</v>
      </c>
      <c r="F1506" s="18">
        <v>3.0</v>
      </c>
      <c r="G1506" s="27">
        <v>12718.21</v>
      </c>
      <c r="H1506" s="18" t="s">
        <v>142</v>
      </c>
      <c r="I1506" s="18" t="s">
        <v>219</v>
      </c>
      <c r="J1506" s="18" t="s">
        <v>3559</v>
      </c>
      <c r="K1506" s="29">
        <f t="shared" si="2"/>
        <v>34</v>
      </c>
    </row>
    <row r="1507" ht="15.75" customHeight="1">
      <c r="A1507" s="18" t="s">
        <v>2655</v>
      </c>
      <c r="B1507" s="18">
        <v>1962.0</v>
      </c>
      <c r="C1507" s="18" t="s">
        <v>272</v>
      </c>
      <c r="D1507" s="18">
        <v>2.0</v>
      </c>
      <c r="E1507" s="18" t="str">
        <f t="shared" si="1"/>
        <v>02/09/62</v>
      </c>
      <c r="F1507" s="18">
        <v>0.0</v>
      </c>
      <c r="G1507" s="27">
        <v>12731.0</v>
      </c>
      <c r="H1507" s="18" t="s">
        <v>142</v>
      </c>
      <c r="I1507" s="18" t="s">
        <v>142</v>
      </c>
      <c r="J1507" s="18" t="s">
        <v>1427</v>
      </c>
      <c r="K1507" s="29">
        <f t="shared" si="2"/>
        <v>60</v>
      </c>
    </row>
    <row r="1508" ht="15.75" customHeight="1">
      <c r="A1508" s="18" t="s">
        <v>2651</v>
      </c>
      <c r="B1508" s="18">
        <v>1962.0</v>
      </c>
      <c r="C1508" s="18" t="s">
        <v>517</v>
      </c>
      <c r="D1508" s="18">
        <v>1.0</v>
      </c>
      <c r="E1508" s="18" t="str">
        <f t="shared" si="1"/>
        <v>01/10/62</v>
      </c>
      <c r="F1508" s="18">
        <v>0.0</v>
      </c>
      <c r="G1508" s="27">
        <v>12741.17</v>
      </c>
      <c r="H1508" s="18" t="s">
        <v>142</v>
      </c>
      <c r="I1508" s="18" t="s">
        <v>219</v>
      </c>
      <c r="J1508" s="18" t="s">
        <v>2617</v>
      </c>
      <c r="K1508" s="29">
        <f t="shared" si="2"/>
        <v>60</v>
      </c>
    </row>
    <row r="1509" ht="15.75" customHeight="1">
      <c r="A1509" s="18" t="s">
        <v>2649</v>
      </c>
      <c r="B1509" s="18">
        <v>1975.0</v>
      </c>
      <c r="C1509" s="18" t="s">
        <v>272</v>
      </c>
      <c r="D1509" s="18">
        <v>25.0</v>
      </c>
      <c r="E1509" s="18" t="str">
        <f t="shared" si="1"/>
        <v>25/09/75</v>
      </c>
      <c r="F1509" s="18">
        <v>1.0</v>
      </c>
      <c r="G1509" s="27">
        <v>12770.27</v>
      </c>
      <c r="H1509" s="18" t="s">
        <v>142</v>
      </c>
      <c r="I1509" s="18" t="s">
        <v>142</v>
      </c>
      <c r="J1509" s="18" t="s">
        <v>2314</v>
      </c>
      <c r="K1509" s="29">
        <f t="shared" si="2"/>
        <v>47</v>
      </c>
    </row>
    <row r="1510" ht="15.75" customHeight="1">
      <c r="A1510" s="18" t="s">
        <v>2645</v>
      </c>
      <c r="B1510" s="18">
        <v>1972.0</v>
      </c>
      <c r="C1510" s="18" t="s">
        <v>517</v>
      </c>
      <c r="D1510" s="18">
        <v>7.0</v>
      </c>
      <c r="E1510" s="18" t="str">
        <f t="shared" si="1"/>
        <v>07/10/72</v>
      </c>
      <c r="F1510" s="18">
        <v>0.0</v>
      </c>
      <c r="G1510" s="27">
        <v>12776.05</v>
      </c>
      <c r="H1510" s="18" t="s">
        <v>142</v>
      </c>
      <c r="I1510" s="18" t="s">
        <v>142</v>
      </c>
      <c r="J1510" s="18" t="s">
        <v>3559</v>
      </c>
      <c r="K1510" s="29">
        <f t="shared" si="2"/>
        <v>50</v>
      </c>
    </row>
    <row r="1511" ht="15.75" customHeight="1">
      <c r="A1511" s="18" t="s">
        <v>2642</v>
      </c>
      <c r="B1511" s="18">
        <v>1963.0</v>
      </c>
      <c r="C1511" s="18" t="s">
        <v>457</v>
      </c>
      <c r="D1511" s="18">
        <v>5.0</v>
      </c>
      <c r="E1511" s="18" t="str">
        <f t="shared" si="1"/>
        <v>05/12/63</v>
      </c>
      <c r="F1511" s="18">
        <v>0.0</v>
      </c>
      <c r="G1511" s="27">
        <v>12788.03</v>
      </c>
      <c r="H1511" s="18" t="s">
        <v>142</v>
      </c>
      <c r="I1511" s="18" t="s">
        <v>142</v>
      </c>
      <c r="J1511" s="18" t="s">
        <v>1647</v>
      </c>
      <c r="K1511" s="29">
        <f t="shared" si="2"/>
        <v>59</v>
      </c>
    </row>
    <row r="1512" ht="15.75" customHeight="1">
      <c r="A1512" s="18" t="s">
        <v>2639</v>
      </c>
      <c r="B1512" s="18">
        <v>1983.0</v>
      </c>
      <c r="C1512" s="18" t="s">
        <v>517</v>
      </c>
      <c r="D1512" s="18">
        <v>29.0</v>
      </c>
      <c r="E1512" s="18" t="str">
        <f t="shared" si="1"/>
        <v>29/10/83</v>
      </c>
      <c r="F1512" s="18">
        <v>3.0</v>
      </c>
      <c r="G1512" s="27">
        <v>12788.18</v>
      </c>
      <c r="H1512" s="18" t="s">
        <v>142</v>
      </c>
      <c r="I1512" s="18" t="s">
        <v>219</v>
      </c>
      <c r="J1512" s="18" t="s">
        <v>3559</v>
      </c>
      <c r="K1512" s="29">
        <f t="shared" si="2"/>
        <v>39</v>
      </c>
    </row>
    <row r="1513" ht="15.75" customHeight="1">
      <c r="A1513" s="18" t="s">
        <v>2636</v>
      </c>
      <c r="B1513" s="18">
        <v>1978.0</v>
      </c>
      <c r="C1513" s="18" t="s">
        <v>91</v>
      </c>
      <c r="D1513" s="18">
        <v>24.0</v>
      </c>
      <c r="E1513" s="18" t="str">
        <f t="shared" si="1"/>
        <v>24/07/78</v>
      </c>
      <c r="F1513" s="18">
        <v>0.0</v>
      </c>
      <c r="G1513" s="27">
        <v>12797.21</v>
      </c>
      <c r="H1513" s="18" t="s">
        <v>142</v>
      </c>
      <c r="I1513" s="18" t="s">
        <v>219</v>
      </c>
      <c r="J1513" s="18" t="s">
        <v>2024</v>
      </c>
      <c r="K1513" s="29">
        <f t="shared" si="2"/>
        <v>44</v>
      </c>
    </row>
    <row r="1514" ht="15.75" customHeight="1">
      <c r="A1514" s="18" t="s">
        <v>2632</v>
      </c>
      <c r="B1514" s="18">
        <v>1963.0</v>
      </c>
      <c r="C1514" s="18" t="s">
        <v>91</v>
      </c>
      <c r="D1514" s="18">
        <v>20.0</v>
      </c>
      <c r="E1514" s="18" t="str">
        <f t="shared" si="1"/>
        <v>20/07/63</v>
      </c>
      <c r="F1514" s="18">
        <v>0.0</v>
      </c>
      <c r="G1514" s="27">
        <v>12815.44</v>
      </c>
      <c r="H1514" s="18" t="s">
        <v>142</v>
      </c>
      <c r="I1514" s="18" t="s">
        <v>142</v>
      </c>
      <c r="J1514" s="18" t="s">
        <v>2024</v>
      </c>
      <c r="K1514" s="29">
        <f t="shared" si="2"/>
        <v>59</v>
      </c>
    </row>
    <row r="1515" ht="15.75" customHeight="1">
      <c r="A1515" s="18" t="s">
        <v>2628</v>
      </c>
      <c r="B1515" s="18">
        <v>1967.0</v>
      </c>
      <c r="C1515" s="18" t="s">
        <v>272</v>
      </c>
      <c r="D1515" s="18">
        <v>25.0</v>
      </c>
      <c r="E1515" s="18" t="str">
        <f t="shared" si="1"/>
        <v>25/09/67</v>
      </c>
      <c r="F1515" s="18">
        <v>0.0</v>
      </c>
      <c r="G1515" s="27">
        <v>12823.25</v>
      </c>
      <c r="H1515" s="18" t="s">
        <v>142</v>
      </c>
      <c r="I1515" s="18" t="s">
        <v>142</v>
      </c>
      <c r="J1515" s="18" t="s">
        <v>2314</v>
      </c>
      <c r="K1515" s="29">
        <f t="shared" si="2"/>
        <v>55</v>
      </c>
    </row>
    <row r="1516" ht="15.75" customHeight="1">
      <c r="A1516" s="18" t="s">
        <v>2626</v>
      </c>
      <c r="B1516" s="18">
        <v>2004.0</v>
      </c>
      <c r="C1516" s="18" t="s">
        <v>209</v>
      </c>
      <c r="D1516" s="18">
        <v>9.0</v>
      </c>
      <c r="E1516" s="18" t="str">
        <f t="shared" si="1"/>
        <v>09/11/04</v>
      </c>
      <c r="F1516" s="18">
        <v>2.0</v>
      </c>
      <c r="G1516" s="27">
        <v>12829.46</v>
      </c>
      <c r="H1516" s="18" t="s">
        <v>142</v>
      </c>
      <c r="I1516" s="18" t="s">
        <v>142</v>
      </c>
      <c r="J1516" s="18" t="s">
        <v>1427</v>
      </c>
      <c r="K1516" s="29">
        <f t="shared" si="2"/>
        <v>18</v>
      </c>
    </row>
    <row r="1517" ht="15.75" customHeight="1">
      <c r="A1517" s="18" t="s">
        <v>2623</v>
      </c>
      <c r="B1517" s="18">
        <v>1993.0</v>
      </c>
      <c r="C1517" s="18" t="s">
        <v>272</v>
      </c>
      <c r="D1517" s="18">
        <v>27.0</v>
      </c>
      <c r="E1517" s="18" t="str">
        <f t="shared" si="1"/>
        <v>27/09/93</v>
      </c>
      <c r="F1517" s="18">
        <v>0.0</v>
      </c>
      <c r="G1517" s="27">
        <v>12847.24</v>
      </c>
      <c r="H1517" s="18" t="s">
        <v>142</v>
      </c>
      <c r="I1517" s="18" t="s">
        <v>140</v>
      </c>
      <c r="J1517" s="18" t="s">
        <v>325</v>
      </c>
      <c r="K1517" s="29">
        <f t="shared" si="2"/>
        <v>29</v>
      </c>
    </row>
    <row r="1518" ht="15.75" customHeight="1">
      <c r="A1518" s="18" t="s">
        <v>2620</v>
      </c>
      <c r="B1518" s="18">
        <v>1973.0</v>
      </c>
      <c r="C1518" s="18" t="s">
        <v>272</v>
      </c>
      <c r="D1518" s="18">
        <v>22.0</v>
      </c>
      <c r="E1518" s="18" t="str">
        <f t="shared" si="1"/>
        <v>22/09/73</v>
      </c>
      <c r="F1518" s="18">
        <v>0.0</v>
      </c>
      <c r="G1518" s="27">
        <v>12852.37</v>
      </c>
      <c r="H1518" s="18" t="s">
        <v>142</v>
      </c>
      <c r="I1518" s="18" t="s">
        <v>219</v>
      </c>
      <c r="J1518" s="18" t="s">
        <v>325</v>
      </c>
      <c r="K1518" s="29">
        <f t="shared" si="2"/>
        <v>49</v>
      </c>
    </row>
    <row r="1519" ht="15.75" customHeight="1">
      <c r="A1519" s="18" t="s">
        <v>2615</v>
      </c>
      <c r="B1519" s="18">
        <v>1963.0</v>
      </c>
      <c r="C1519" s="18" t="s">
        <v>272</v>
      </c>
      <c r="D1519" s="18">
        <v>27.0</v>
      </c>
      <c r="E1519" s="18" t="str">
        <f t="shared" si="1"/>
        <v>27/09/63</v>
      </c>
      <c r="F1519" s="18">
        <v>0.0</v>
      </c>
      <c r="G1519" s="27">
        <v>12856.84</v>
      </c>
      <c r="H1519" s="18" t="s">
        <v>142</v>
      </c>
      <c r="I1519" s="18" t="s">
        <v>142</v>
      </c>
      <c r="J1519" s="18" t="s">
        <v>2314</v>
      </c>
      <c r="K1519" s="29">
        <f t="shared" si="2"/>
        <v>59</v>
      </c>
    </row>
    <row r="1520" ht="15.75" customHeight="1">
      <c r="A1520" s="18" t="s">
        <v>2612</v>
      </c>
      <c r="B1520" s="18">
        <v>1984.0</v>
      </c>
      <c r="C1520" s="18" t="s">
        <v>501</v>
      </c>
      <c r="D1520" s="18">
        <v>6.0</v>
      </c>
      <c r="E1520" s="18" t="str">
        <f t="shared" si="1"/>
        <v>06/08/84</v>
      </c>
      <c r="F1520" s="18">
        <v>3.0</v>
      </c>
      <c r="G1520" s="27">
        <v>12870.31</v>
      </c>
      <c r="H1520" s="18" t="s">
        <v>142</v>
      </c>
      <c r="I1520" s="18" t="s">
        <v>142</v>
      </c>
      <c r="J1520" s="18" t="s">
        <v>325</v>
      </c>
      <c r="K1520" s="29">
        <f t="shared" si="2"/>
        <v>38</v>
      </c>
    </row>
    <row r="1521" ht="15.75" customHeight="1">
      <c r="A1521" s="18" t="s">
        <v>2609</v>
      </c>
      <c r="B1521" s="18">
        <v>2004.0</v>
      </c>
      <c r="C1521" s="18" t="s">
        <v>91</v>
      </c>
      <c r="D1521" s="18">
        <v>9.0</v>
      </c>
      <c r="E1521" s="18" t="str">
        <f t="shared" si="1"/>
        <v>09/07/04</v>
      </c>
      <c r="F1521" s="18">
        <v>0.0</v>
      </c>
      <c r="G1521" s="27">
        <v>12890.06</v>
      </c>
      <c r="H1521" s="18" t="s">
        <v>142</v>
      </c>
      <c r="I1521" s="18" t="s">
        <v>219</v>
      </c>
      <c r="J1521" s="18" t="s">
        <v>1421</v>
      </c>
      <c r="K1521" s="29">
        <f t="shared" si="2"/>
        <v>18</v>
      </c>
    </row>
    <row r="1522" ht="15.75" customHeight="1">
      <c r="A1522" s="18" t="s">
        <v>2607</v>
      </c>
      <c r="B1522" s="18">
        <v>1963.0</v>
      </c>
      <c r="C1522" s="18" t="s">
        <v>501</v>
      </c>
      <c r="D1522" s="18">
        <v>16.0</v>
      </c>
      <c r="E1522" s="18" t="str">
        <f t="shared" si="1"/>
        <v>16/08/63</v>
      </c>
      <c r="F1522" s="18">
        <v>1.0</v>
      </c>
      <c r="G1522" s="27">
        <v>12913.99</v>
      </c>
      <c r="H1522" s="18" t="s">
        <v>142</v>
      </c>
      <c r="I1522" s="18" t="s">
        <v>140</v>
      </c>
      <c r="J1522" s="18" t="s">
        <v>1427</v>
      </c>
      <c r="K1522" s="29">
        <f t="shared" si="2"/>
        <v>59</v>
      </c>
    </row>
    <row r="1523" ht="15.75" customHeight="1">
      <c r="A1523" s="18" t="s">
        <v>2603</v>
      </c>
      <c r="B1523" s="18">
        <v>1963.0</v>
      </c>
      <c r="C1523" s="18" t="s">
        <v>272</v>
      </c>
      <c r="D1523" s="18">
        <v>1.0</v>
      </c>
      <c r="E1523" s="18" t="str">
        <f t="shared" si="1"/>
        <v>01/09/63</v>
      </c>
      <c r="F1523" s="18">
        <v>2.0</v>
      </c>
      <c r="G1523" s="27">
        <v>12925.89</v>
      </c>
      <c r="H1523" s="18" t="s">
        <v>142</v>
      </c>
      <c r="I1523" s="18" t="s">
        <v>140</v>
      </c>
      <c r="J1523" s="18" t="s">
        <v>146</v>
      </c>
      <c r="K1523" s="29">
        <f t="shared" si="2"/>
        <v>59</v>
      </c>
    </row>
    <row r="1524" ht="15.75" customHeight="1">
      <c r="A1524" s="18" t="s">
        <v>2600</v>
      </c>
      <c r="B1524" s="18">
        <v>1963.0</v>
      </c>
      <c r="C1524" s="18" t="s">
        <v>501</v>
      </c>
      <c r="D1524" s="18">
        <v>14.0</v>
      </c>
      <c r="E1524" s="18" t="str">
        <f t="shared" si="1"/>
        <v>14/08/63</v>
      </c>
      <c r="F1524" s="18">
        <v>2.0</v>
      </c>
      <c r="G1524" s="27">
        <v>12928.79</v>
      </c>
      <c r="H1524" s="18" t="s">
        <v>142</v>
      </c>
      <c r="I1524" s="18" t="s">
        <v>140</v>
      </c>
      <c r="J1524" s="18" t="s">
        <v>146</v>
      </c>
      <c r="K1524" s="29">
        <f t="shared" si="2"/>
        <v>59</v>
      </c>
    </row>
    <row r="1525" ht="15.75" customHeight="1">
      <c r="A1525" s="18" t="s">
        <v>2596</v>
      </c>
      <c r="B1525" s="18">
        <v>1966.0</v>
      </c>
      <c r="C1525" s="18" t="s">
        <v>457</v>
      </c>
      <c r="D1525" s="18">
        <v>22.0</v>
      </c>
      <c r="E1525" s="18" t="str">
        <f t="shared" si="1"/>
        <v>22/12/66</v>
      </c>
      <c r="F1525" s="18">
        <v>4.0</v>
      </c>
      <c r="G1525" s="27">
        <v>12949.16</v>
      </c>
      <c r="H1525" s="18" t="s">
        <v>142</v>
      </c>
      <c r="I1525" s="18" t="s">
        <v>142</v>
      </c>
      <c r="J1525" s="18" t="s">
        <v>146</v>
      </c>
      <c r="K1525" s="29">
        <f t="shared" si="2"/>
        <v>56</v>
      </c>
    </row>
    <row r="1526" ht="15.75" customHeight="1">
      <c r="A1526" s="18" t="s">
        <v>2592</v>
      </c>
      <c r="B1526" s="18">
        <v>1961.0</v>
      </c>
      <c r="C1526" s="18" t="s">
        <v>501</v>
      </c>
      <c r="D1526" s="18">
        <v>20.0</v>
      </c>
      <c r="E1526" s="18" t="str">
        <f t="shared" si="1"/>
        <v>20/08/61</v>
      </c>
      <c r="F1526" s="18">
        <v>0.0</v>
      </c>
      <c r="G1526" s="27">
        <v>12950.07</v>
      </c>
      <c r="H1526" s="18" t="s">
        <v>142</v>
      </c>
      <c r="I1526" s="18" t="s">
        <v>219</v>
      </c>
      <c r="J1526" s="18" t="s">
        <v>325</v>
      </c>
      <c r="K1526" s="29">
        <f t="shared" si="2"/>
        <v>61</v>
      </c>
    </row>
    <row r="1527" ht="15.75" customHeight="1">
      <c r="A1527" s="18" t="s">
        <v>2590</v>
      </c>
      <c r="B1527" s="18">
        <v>1960.0</v>
      </c>
      <c r="C1527" s="18" t="s">
        <v>209</v>
      </c>
      <c r="D1527" s="18">
        <v>4.0</v>
      </c>
      <c r="E1527" s="18" t="str">
        <f t="shared" si="1"/>
        <v>04/11/60</v>
      </c>
      <c r="F1527" s="18">
        <v>0.0</v>
      </c>
      <c r="G1527" s="27">
        <v>12957.12</v>
      </c>
      <c r="H1527" s="18" t="s">
        <v>142</v>
      </c>
      <c r="I1527" s="18" t="s">
        <v>219</v>
      </c>
      <c r="J1527" s="18" t="s">
        <v>570</v>
      </c>
      <c r="K1527" s="29">
        <f t="shared" si="2"/>
        <v>62</v>
      </c>
    </row>
    <row r="1528" ht="15.75" customHeight="1">
      <c r="A1528" s="18" t="s">
        <v>2587</v>
      </c>
      <c r="B1528" s="18">
        <v>1960.0</v>
      </c>
      <c r="C1528" s="18" t="s">
        <v>241</v>
      </c>
      <c r="D1528" s="18">
        <v>22.0</v>
      </c>
      <c r="E1528" s="18" t="str">
        <f t="shared" si="1"/>
        <v>22/06/60</v>
      </c>
      <c r="F1528" s="18">
        <v>0.0</v>
      </c>
      <c r="G1528" s="27">
        <v>12979.36</v>
      </c>
      <c r="H1528" s="18" t="s">
        <v>142</v>
      </c>
      <c r="I1528" s="18" t="s">
        <v>219</v>
      </c>
      <c r="J1528" s="18" t="s">
        <v>570</v>
      </c>
      <c r="K1528" s="29">
        <f t="shared" si="2"/>
        <v>62</v>
      </c>
    </row>
    <row r="1529" ht="15.75" customHeight="1">
      <c r="A1529" s="18" t="s">
        <v>2585</v>
      </c>
      <c r="B1529" s="18">
        <v>1960.0</v>
      </c>
      <c r="C1529" s="18" t="s">
        <v>272</v>
      </c>
      <c r="D1529" s="18">
        <v>23.0</v>
      </c>
      <c r="E1529" s="18" t="str">
        <f t="shared" si="1"/>
        <v>23/09/60</v>
      </c>
      <c r="F1529" s="18">
        <v>0.0</v>
      </c>
      <c r="G1529" s="27">
        <v>12981.35</v>
      </c>
      <c r="H1529" s="18" t="s">
        <v>142</v>
      </c>
      <c r="I1529" s="18" t="s">
        <v>142</v>
      </c>
      <c r="J1529" s="18" t="s">
        <v>146</v>
      </c>
      <c r="K1529" s="29">
        <f t="shared" si="2"/>
        <v>62</v>
      </c>
    </row>
    <row r="1530" ht="15.75" customHeight="1">
      <c r="A1530" s="18" t="s">
        <v>2581</v>
      </c>
      <c r="B1530" s="18">
        <v>1960.0</v>
      </c>
      <c r="C1530" s="18" t="s">
        <v>209</v>
      </c>
      <c r="D1530" s="18">
        <v>28.0</v>
      </c>
      <c r="E1530" s="18" t="str">
        <f t="shared" si="1"/>
        <v>28/11/60</v>
      </c>
      <c r="F1530" s="18">
        <v>0.0</v>
      </c>
      <c r="G1530" s="27">
        <v>12982.87</v>
      </c>
      <c r="H1530" s="18" t="s">
        <v>142</v>
      </c>
      <c r="I1530" s="18" t="s">
        <v>219</v>
      </c>
      <c r="J1530" s="18" t="s">
        <v>146</v>
      </c>
      <c r="K1530" s="29">
        <f t="shared" si="2"/>
        <v>62</v>
      </c>
    </row>
    <row r="1531" ht="15.75" customHeight="1">
      <c r="A1531" s="18" t="s">
        <v>2577</v>
      </c>
      <c r="B1531" s="18">
        <v>1979.0</v>
      </c>
      <c r="C1531" s="18" t="s">
        <v>209</v>
      </c>
      <c r="D1531" s="18">
        <v>27.0</v>
      </c>
      <c r="E1531" s="18" t="str">
        <f t="shared" si="1"/>
        <v>27/11/79</v>
      </c>
      <c r="F1531" s="18">
        <v>2.0</v>
      </c>
      <c r="G1531" s="27">
        <v>12994.12</v>
      </c>
      <c r="H1531" s="18" t="s">
        <v>142</v>
      </c>
      <c r="I1531" s="18" t="s">
        <v>140</v>
      </c>
      <c r="J1531" s="18" t="s">
        <v>3559</v>
      </c>
      <c r="K1531" s="29">
        <f t="shared" si="2"/>
        <v>43</v>
      </c>
    </row>
    <row r="1532" ht="15.75" customHeight="1">
      <c r="A1532" s="18" t="s">
        <v>2574</v>
      </c>
      <c r="B1532" s="18">
        <v>1981.0</v>
      </c>
      <c r="C1532" s="18" t="s">
        <v>517</v>
      </c>
      <c r="D1532" s="18">
        <v>30.0</v>
      </c>
      <c r="E1532" s="18" t="str">
        <f t="shared" si="1"/>
        <v>30/10/81</v>
      </c>
      <c r="F1532" s="18">
        <v>1.0</v>
      </c>
      <c r="G1532" s="27">
        <v>13002.91</v>
      </c>
      <c r="H1532" s="18" t="s">
        <v>142</v>
      </c>
      <c r="I1532" s="18" t="s">
        <v>219</v>
      </c>
      <c r="J1532" s="18" t="s">
        <v>325</v>
      </c>
      <c r="K1532" s="29">
        <f t="shared" si="2"/>
        <v>41</v>
      </c>
    </row>
    <row r="1533" ht="15.75" customHeight="1">
      <c r="A1533" s="18" t="s">
        <v>2570</v>
      </c>
      <c r="B1533" s="18">
        <v>1962.0</v>
      </c>
      <c r="C1533" s="18" t="s">
        <v>241</v>
      </c>
      <c r="D1533" s="18">
        <v>24.0</v>
      </c>
      <c r="E1533" s="18" t="str">
        <f t="shared" si="1"/>
        <v>24/06/62</v>
      </c>
      <c r="F1533" s="18">
        <v>0.0</v>
      </c>
      <c r="G1533" s="27">
        <v>13004.95</v>
      </c>
      <c r="H1533" s="18" t="s">
        <v>142</v>
      </c>
      <c r="I1533" s="18" t="s">
        <v>219</v>
      </c>
      <c r="J1533" s="18" t="s">
        <v>325</v>
      </c>
      <c r="K1533" s="29">
        <f t="shared" si="2"/>
        <v>60</v>
      </c>
    </row>
    <row r="1534" ht="15.75" customHeight="1">
      <c r="A1534" s="18" t="s">
        <v>2568</v>
      </c>
      <c r="B1534" s="18">
        <v>1969.0</v>
      </c>
      <c r="C1534" s="18" t="s">
        <v>457</v>
      </c>
      <c r="D1534" s="18">
        <v>13.0</v>
      </c>
      <c r="E1534" s="18" t="str">
        <f t="shared" si="1"/>
        <v>13/12/69</v>
      </c>
      <c r="F1534" s="18">
        <v>0.0</v>
      </c>
      <c r="G1534" s="27">
        <v>13008.07</v>
      </c>
      <c r="H1534" s="18" t="s">
        <v>142</v>
      </c>
      <c r="I1534" s="18" t="s">
        <v>142</v>
      </c>
      <c r="J1534" s="18" t="s">
        <v>325</v>
      </c>
      <c r="K1534" s="29">
        <f t="shared" si="2"/>
        <v>53</v>
      </c>
    </row>
    <row r="1535" ht="15.75" customHeight="1">
      <c r="A1535" s="18" t="s">
        <v>2564</v>
      </c>
      <c r="B1535" s="18">
        <v>1972.0</v>
      </c>
      <c r="C1535" s="18" t="s">
        <v>272</v>
      </c>
      <c r="D1535" s="18">
        <v>27.0</v>
      </c>
      <c r="E1535" s="18" t="str">
        <f t="shared" si="1"/>
        <v>27/09/72</v>
      </c>
      <c r="F1535" s="18">
        <v>0.0</v>
      </c>
      <c r="G1535" s="27">
        <v>13010.86</v>
      </c>
      <c r="H1535" s="18" t="s">
        <v>142</v>
      </c>
      <c r="I1535" s="18" t="s">
        <v>140</v>
      </c>
      <c r="J1535" s="18" t="s">
        <v>325</v>
      </c>
      <c r="K1535" s="29">
        <f t="shared" si="2"/>
        <v>50</v>
      </c>
    </row>
    <row r="1536" ht="15.75" customHeight="1">
      <c r="A1536" s="18" t="s">
        <v>2561</v>
      </c>
      <c r="B1536" s="18">
        <v>1962.0</v>
      </c>
      <c r="C1536" s="18" t="s">
        <v>91</v>
      </c>
      <c r="D1536" s="18">
        <v>20.0</v>
      </c>
      <c r="E1536" s="18" t="str">
        <f t="shared" si="1"/>
        <v>20/07/62</v>
      </c>
      <c r="F1536" s="18">
        <v>0.0</v>
      </c>
      <c r="G1536" s="27">
        <v>13012.21</v>
      </c>
      <c r="H1536" s="18" t="s">
        <v>142</v>
      </c>
      <c r="I1536" s="18" t="s">
        <v>219</v>
      </c>
      <c r="J1536" s="18" t="s">
        <v>325</v>
      </c>
      <c r="K1536" s="29">
        <f t="shared" si="2"/>
        <v>60</v>
      </c>
    </row>
    <row r="1537" ht="15.75" customHeight="1">
      <c r="A1537" s="18" t="s">
        <v>2560</v>
      </c>
      <c r="B1537" s="18">
        <v>1964.0</v>
      </c>
      <c r="C1537" s="18" t="s">
        <v>272</v>
      </c>
      <c r="D1537" s="18">
        <v>23.0</v>
      </c>
      <c r="E1537" s="18" t="str">
        <f t="shared" si="1"/>
        <v>23/09/64</v>
      </c>
      <c r="F1537" s="18">
        <v>1.0</v>
      </c>
      <c r="G1537" s="27">
        <v>13019.16</v>
      </c>
      <c r="H1537" s="18" t="s">
        <v>142</v>
      </c>
      <c r="I1537" s="18" t="s">
        <v>219</v>
      </c>
      <c r="J1537" s="18" t="s">
        <v>2024</v>
      </c>
      <c r="K1537" s="29">
        <f t="shared" si="2"/>
        <v>58</v>
      </c>
    </row>
    <row r="1538" ht="15.75" customHeight="1">
      <c r="A1538" s="18" t="s">
        <v>2556</v>
      </c>
      <c r="B1538" s="18">
        <v>1965.0</v>
      </c>
      <c r="C1538" s="18" t="s">
        <v>209</v>
      </c>
      <c r="D1538" s="18">
        <v>4.0</v>
      </c>
      <c r="E1538" s="18" t="str">
        <f t="shared" si="1"/>
        <v>04/11/65</v>
      </c>
      <c r="F1538" s="18">
        <v>0.0</v>
      </c>
      <c r="G1538" s="27">
        <v>13023.93</v>
      </c>
      <c r="H1538" s="18" t="s">
        <v>142</v>
      </c>
      <c r="I1538" s="18" t="s">
        <v>140</v>
      </c>
      <c r="J1538" s="18" t="s">
        <v>1647</v>
      </c>
      <c r="K1538" s="29">
        <f t="shared" si="2"/>
        <v>57</v>
      </c>
    </row>
    <row r="1539" ht="15.75" customHeight="1">
      <c r="A1539" s="18" t="s">
        <v>2552</v>
      </c>
      <c r="B1539" s="18">
        <v>1961.0</v>
      </c>
      <c r="C1539" s="18" t="s">
        <v>209</v>
      </c>
      <c r="D1539" s="18">
        <v>9.0</v>
      </c>
      <c r="E1539" s="18" t="str">
        <f t="shared" si="1"/>
        <v>09/11/61</v>
      </c>
      <c r="F1539" s="18">
        <v>0.0</v>
      </c>
      <c r="G1539" s="27">
        <v>13041.92</v>
      </c>
      <c r="H1539" s="18" t="s">
        <v>142</v>
      </c>
      <c r="I1539" s="18" t="s">
        <v>219</v>
      </c>
      <c r="J1539" s="18" t="s">
        <v>570</v>
      </c>
      <c r="K1539" s="29">
        <f t="shared" si="2"/>
        <v>61</v>
      </c>
    </row>
    <row r="1540" ht="15.75" customHeight="1">
      <c r="A1540" s="18" t="s">
        <v>2547</v>
      </c>
      <c r="B1540" s="18">
        <v>1969.0</v>
      </c>
      <c r="C1540" s="18" t="s">
        <v>272</v>
      </c>
      <c r="D1540" s="18">
        <v>23.0</v>
      </c>
      <c r="E1540" s="18" t="str">
        <f t="shared" si="1"/>
        <v>23/09/69</v>
      </c>
      <c r="F1540" s="18">
        <v>0.0</v>
      </c>
      <c r="G1540" s="27">
        <v>13044.41</v>
      </c>
      <c r="H1540" s="18" t="s">
        <v>142</v>
      </c>
      <c r="I1540" s="18" t="s">
        <v>219</v>
      </c>
      <c r="J1540" s="18" t="s">
        <v>325</v>
      </c>
      <c r="K1540" s="29">
        <f t="shared" si="2"/>
        <v>53</v>
      </c>
    </row>
    <row r="1541" ht="15.75" customHeight="1">
      <c r="A1541" s="18" t="s">
        <v>2544</v>
      </c>
      <c r="B1541" s="18">
        <v>1967.0</v>
      </c>
      <c r="C1541" s="18" t="s">
        <v>501</v>
      </c>
      <c r="D1541" s="18">
        <v>6.0</v>
      </c>
      <c r="E1541" s="18" t="str">
        <f t="shared" si="1"/>
        <v>06/08/67</v>
      </c>
      <c r="F1541" s="18">
        <v>3.0</v>
      </c>
      <c r="G1541" s="27">
        <v>13047.33</v>
      </c>
      <c r="H1541" s="18" t="s">
        <v>142</v>
      </c>
      <c r="I1541" s="18" t="s">
        <v>142</v>
      </c>
      <c r="J1541" s="18" t="s">
        <v>2024</v>
      </c>
      <c r="K1541" s="29">
        <f t="shared" si="2"/>
        <v>55</v>
      </c>
    </row>
    <row r="1542" ht="15.75" customHeight="1">
      <c r="A1542" s="18" t="s">
        <v>2541</v>
      </c>
      <c r="B1542" s="18">
        <v>1985.0</v>
      </c>
      <c r="C1542" s="18" t="s">
        <v>517</v>
      </c>
      <c r="D1542" s="18">
        <v>26.0</v>
      </c>
      <c r="E1542" s="18" t="str">
        <f t="shared" si="1"/>
        <v>26/10/85</v>
      </c>
      <c r="F1542" s="18">
        <v>3.0</v>
      </c>
      <c r="G1542" s="27">
        <v>13051.22</v>
      </c>
      <c r="H1542" s="18" t="s">
        <v>142</v>
      </c>
      <c r="I1542" s="18" t="s">
        <v>219</v>
      </c>
      <c r="J1542" s="18" t="s">
        <v>3559</v>
      </c>
      <c r="K1542" s="29">
        <f t="shared" si="2"/>
        <v>37</v>
      </c>
    </row>
    <row r="1543" ht="15.75" customHeight="1">
      <c r="A1543" s="18" t="s">
        <v>2537</v>
      </c>
      <c r="B1543" s="18">
        <v>1961.0</v>
      </c>
      <c r="C1543" s="18" t="s">
        <v>209</v>
      </c>
      <c r="D1543" s="18">
        <v>6.0</v>
      </c>
      <c r="E1543" s="18" t="str">
        <f t="shared" si="1"/>
        <v>06/11/61</v>
      </c>
      <c r="F1543" s="18">
        <v>0.0</v>
      </c>
      <c r="G1543" s="27">
        <v>13063.88</v>
      </c>
      <c r="H1543" s="18" t="s">
        <v>142</v>
      </c>
      <c r="I1543" s="18" t="s">
        <v>140</v>
      </c>
      <c r="J1543" s="18" t="s">
        <v>570</v>
      </c>
      <c r="K1543" s="29">
        <f t="shared" si="2"/>
        <v>61</v>
      </c>
    </row>
    <row r="1544" ht="15.75" customHeight="1">
      <c r="A1544" s="18" t="s">
        <v>2534</v>
      </c>
      <c r="B1544" s="18">
        <v>1978.0</v>
      </c>
      <c r="C1544" s="18" t="s">
        <v>91</v>
      </c>
      <c r="D1544" s="18">
        <v>17.0</v>
      </c>
      <c r="E1544" s="18" t="str">
        <f t="shared" si="1"/>
        <v>17/07/78</v>
      </c>
      <c r="F1544" s="18">
        <v>2.0</v>
      </c>
      <c r="G1544" s="27">
        <v>13101.74</v>
      </c>
      <c r="H1544" s="18" t="s">
        <v>142</v>
      </c>
      <c r="I1544" s="18" t="s">
        <v>140</v>
      </c>
      <c r="J1544" s="18" t="s">
        <v>3559</v>
      </c>
      <c r="K1544" s="29">
        <f t="shared" si="2"/>
        <v>44</v>
      </c>
    </row>
    <row r="1545" ht="15.75" customHeight="1">
      <c r="A1545" s="18" t="s">
        <v>2531</v>
      </c>
      <c r="B1545" s="18">
        <v>1971.0</v>
      </c>
      <c r="C1545" s="18" t="s">
        <v>517</v>
      </c>
      <c r="D1545" s="18">
        <v>30.0</v>
      </c>
      <c r="E1545" s="18" t="str">
        <f t="shared" si="1"/>
        <v>30/10/71</v>
      </c>
      <c r="F1545" s="18">
        <v>0.0</v>
      </c>
      <c r="G1545" s="27">
        <v>13110.79</v>
      </c>
      <c r="H1545" s="18" t="s">
        <v>142</v>
      </c>
      <c r="I1545" s="18" t="s">
        <v>140</v>
      </c>
      <c r="J1545" s="18" t="s">
        <v>570</v>
      </c>
      <c r="K1545" s="29">
        <f t="shared" si="2"/>
        <v>51</v>
      </c>
    </row>
    <row r="1546" ht="15.75" customHeight="1">
      <c r="A1546" s="18" t="s">
        <v>2527</v>
      </c>
      <c r="B1546" s="18">
        <v>1962.0</v>
      </c>
      <c r="C1546" s="18" t="s">
        <v>501</v>
      </c>
      <c r="D1546" s="18">
        <v>2.0</v>
      </c>
      <c r="E1546" s="18" t="str">
        <f t="shared" si="1"/>
        <v>02/08/62</v>
      </c>
      <c r="F1546" s="18">
        <v>1.0</v>
      </c>
      <c r="G1546" s="27">
        <v>13112.6</v>
      </c>
      <c r="H1546" s="18" t="s">
        <v>142</v>
      </c>
      <c r="I1546" s="18" t="s">
        <v>142</v>
      </c>
      <c r="J1546" s="18" t="s">
        <v>325</v>
      </c>
      <c r="K1546" s="29">
        <f t="shared" si="2"/>
        <v>60</v>
      </c>
    </row>
    <row r="1547" ht="15.75" customHeight="1">
      <c r="A1547" s="18" t="s">
        <v>2523</v>
      </c>
      <c r="B1547" s="18">
        <v>1992.0</v>
      </c>
      <c r="C1547" s="18" t="s">
        <v>501</v>
      </c>
      <c r="D1547" s="18">
        <v>12.0</v>
      </c>
      <c r="E1547" s="18" t="str">
        <f t="shared" si="1"/>
        <v>12/08/92</v>
      </c>
      <c r="F1547" s="18">
        <v>0.0</v>
      </c>
      <c r="G1547" s="27">
        <v>13113.51</v>
      </c>
      <c r="H1547" s="18" t="s">
        <v>142</v>
      </c>
      <c r="I1547" s="18" t="s">
        <v>140</v>
      </c>
      <c r="J1547" s="18" t="s">
        <v>3559</v>
      </c>
      <c r="K1547" s="29">
        <f t="shared" si="2"/>
        <v>30</v>
      </c>
    </row>
    <row r="1548" ht="15.75" customHeight="1">
      <c r="A1548" s="18" t="s">
        <v>2520</v>
      </c>
      <c r="B1548" s="18">
        <v>1963.0</v>
      </c>
      <c r="C1548" s="18" t="s">
        <v>272</v>
      </c>
      <c r="D1548" s="18">
        <v>14.0</v>
      </c>
      <c r="E1548" s="18" t="str">
        <f t="shared" si="1"/>
        <v>14/09/63</v>
      </c>
      <c r="F1548" s="18">
        <v>0.0</v>
      </c>
      <c r="G1548" s="27">
        <v>13116.84</v>
      </c>
      <c r="H1548" s="18" t="s">
        <v>142</v>
      </c>
      <c r="I1548" s="18" t="s">
        <v>219</v>
      </c>
      <c r="J1548" s="18" t="s">
        <v>325</v>
      </c>
      <c r="K1548" s="29">
        <f t="shared" si="2"/>
        <v>59</v>
      </c>
    </row>
    <row r="1549" ht="15.75" customHeight="1">
      <c r="A1549" s="18" t="s">
        <v>2517</v>
      </c>
      <c r="B1549" s="18">
        <v>1999.0</v>
      </c>
      <c r="C1549" s="18" t="s">
        <v>501</v>
      </c>
      <c r="D1549" s="18">
        <v>16.0</v>
      </c>
      <c r="E1549" s="18" t="str">
        <f t="shared" si="1"/>
        <v>16/08/99</v>
      </c>
      <c r="F1549" s="18">
        <v>0.0</v>
      </c>
      <c r="G1549" s="27">
        <v>13126.68</v>
      </c>
      <c r="H1549" s="18" t="s">
        <v>142</v>
      </c>
      <c r="I1549" s="18" t="s">
        <v>142</v>
      </c>
      <c r="J1549" s="18" t="s">
        <v>570</v>
      </c>
      <c r="K1549" s="29">
        <f t="shared" si="2"/>
        <v>23</v>
      </c>
    </row>
    <row r="1550" ht="15.75" customHeight="1">
      <c r="A1550" s="18" t="s">
        <v>2513</v>
      </c>
      <c r="B1550" s="18">
        <v>1961.0</v>
      </c>
      <c r="C1550" s="18" t="s">
        <v>272</v>
      </c>
      <c r="D1550" s="18">
        <v>7.0</v>
      </c>
      <c r="E1550" s="18" t="str">
        <f t="shared" si="1"/>
        <v>07/09/61</v>
      </c>
      <c r="F1550" s="18">
        <v>0.0</v>
      </c>
      <c r="G1550" s="27">
        <v>13129.6</v>
      </c>
      <c r="H1550" s="18" t="s">
        <v>142</v>
      </c>
      <c r="I1550" s="18" t="s">
        <v>140</v>
      </c>
      <c r="J1550" s="18" t="s">
        <v>2617</v>
      </c>
      <c r="K1550" s="29">
        <f t="shared" si="2"/>
        <v>61</v>
      </c>
    </row>
    <row r="1551" ht="15.75" customHeight="1">
      <c r="A1551" s="18" t="s">
        <v>2510</v>
      </c>
      <c r="B1551" s="18">
        <v>1961.0</v>
      </c>
      <c r="C1551" s="18" t="s">
        <v>457</v>
      </c>
      <c r="D1551" s="18">
        <v>6.0</v>
      </c>
      <c r="E1551" s="18" t="str">
        <f t="shared" si="1"/>
        <v>06/12/61</v>
      </c>
      <c r="F1551" s="18">
        <v>0.0</v>
      </c>
      <c r="G1551" s="27">
        <v>13143.34</v>
      </c>
      <c r="H1551" s="18" t="s">
        <v>142</v>
      </c>
      <c r="I1551" s="18" t="s">
        <v>140</v>
      </c>
      <c r="J1551" s="18" t="s">
        <v>3443</v>
      </c>
      <c r="K1551" s="29">
        <f t="shared" si="2"/>
        <v>61</v>
      </c>
    </row>
    <row r="1552" ht="15.75" customHeight="1">
      <c r="A1552" s="18" t="s">
        <v>2507</v>
      </c>
      <c r="B1552" s="18">
        <v>1961.0</v>
      </c>
      <c r="C1552" s="18" t="s">
        <v>457</v>
      </c>
      <c r="D1552" s="18">
        <v>6.0</v>
      </c>
      <c r="E1552" s="18" t="str">
        <f t="shared" si="1"/>
        <v>06/12/61</v>
      </c>
      <c r="F1552" s="18">
        <v>0.0</v>
      </c>
      <c r="G1552" s="27">
        <v>13143.86</v>
      </c>
      <c r="H1552" s="18" t="s">
        <v>142</v>
      </c>
      <c r="I1552" s="18" t="s">
        <v>140</v>
      </c>
      <c r="J1552" s="18" t="s">
        <v>1427</v>
      </c>
      <c r="K1552" s="29">
        <f t="shared" si="2"/>
        <v>61</v>
      </c>
    </row>
    <row r="1553" ht="15.75" customHeight="1">
      <c r="A1553" s="18" t="s">
        <v>2503</v>
      </c>
      <c r="B1553" s="18">
        <v>1962.0</v>
      </c>
      <c r="C1553" s="18" t="s">
        <v>501</v>
      </c>
      <c r="D1553" s="18">
        <v>5.0</v>
      </c>
      <c r="E1553" s="18" t="str">
        <f t="shared" si="1"/>
        <v>05/08/62</v>
      </c>
      <c r="F1553" s="18">
        <v>0.0</v>
      </c>
      <c r="G1553" s="27">
        <v>13204.29</v>
      </c>
      <c r="H1553" s="18" t="s">
        <v>142</v>
      </c>
      <c r="I1553" s="18" t="s">
        <v>219</v>
      </c>
      <c r="J1553" s="18" t="s">
        <v>2024</v>
      </c>
      <c r="K1553" s="29">
        <f t="shared" si="2"/>
        <v>60</v>
      </c>
    </row>
    <row r="1554" ht="15.75" customHeight="1">
      <c r="A1554" s="18" t="s">
        <v>2500</v>
      </c>
      <c r="B1554" s="18">
        <v>1982.0</v>
      </c>
      <c r="C1554" s="18" t="s">
        <v>517</v>
      </c>
      <c r="D1554" s="18">
        <v>15.0</v>
      </c>
      <c r="E1554" s="18" t="str">
        <f t="shared" si="1"/>
        <v>15/10/82</v>
      </c>
      <c r="F1554" s="18">
        <v>3.0</v>
      </c>
      <c r="G1554" s="27">
        <v>13214.43</v>
      </c>
      <c r="H1554" s="18" t="s">
        <v>142</v>
      </c>
      <c r="I1554" s="18" t="s">
        <v>140</v>
      </c>
      <c r="J1554" s="18" t="s">
        <v>325</v>
      </c>
      <c r="K1554" s="29">
        <f t="shared" si="2"/>
        <v>40</v>
      </c>
    </row>
    <row r="1555" ht="15.75" customHeight="1">
      <c r="A1555" s="18" t="s">
        <v>2496</v>
      </c>
      <c r="B1555" s="18">
        <v>1962.0</v>
      </c>
      <c r="C1555" s="18" t="s">
        <v>457</v>
      </c>
      <c r="D1555" s="18">
        <v>7.0</v>
      </c>
      <c r="E1555" s="18" t="str">
        <f t="shared" si="1"/>
        <v>07/12/62</v>
      </c>
      <c r="F1555" s="18">
        <v>0.0</v>
      </c>
      <c r="G1555" s="27">
        <v>13217.09</v>
      </c>
      <c r="H1555" s="18" t="s">
        <v>142</v>
      </c>
      <c r="I1555" s="18" t="s">
        <v>219</v>
      </c>
      <c r="J1555" s="18" t="s">
        <v>2024</v>
      </c>
      <c r="K1555" s="29">
        <f t="shared" si="2"/>
        <v>60</v>
      </c>
    </row>
    <row r="1556" ht="15.75" customHeight="1">
      <c r="A1556" s="18" t="s">
        <v>2492</v>
      </c>
      <c r="B1556" s="18">
        <v>1965.0</v>
      </c>
      <c r="C1556" s="18" t="s">
        <v>209</v>
      </c>
      <c r="D1556" s="18">
        <v>13.0</v>
      </c>
      <c r="E1556" s="18" t="str">
        <f t="shared" si="1"/>
        <v>13/11/65</v>
      </c>
      <c r="F1556" s="18">
        <v>2.0</v>
      </c>
      <c r="G1556" s="27">
        <v>13224.06</v>
      </c>
      <c r="H1556" s="18" t="s">
        <v>142</v>
      </c>
      <c r="I1556" s="18" t="s">
        <v>142</v>
      </c>
      <c r="J1556" s="18" t="s">
        <v>2024</v>
      </c>
      <c r="K1556" s="29">
        <f t="shared" si="2"/>
        <v>57</v>
      </c>
    </row>
    <row r="1557" ht="15.75" customHeight="1">
      <c r="A1557" s="18" t="s">
        <v>2489</v>
      </c>
      <c r="B1557" s="18">
        <v>1962.0</v>
      </c>
      <c r="C1557" s="18" t="s">
        <v>209</v>
      </c>
      <c r="D1557" s="18">
        <v>24.0</v>
      </c>
      <c r="E1557" s="18" t="str">
        <f t="shared" si="1"/>
        <v>24/11/62</v>
      </c>
      <c r="F1557" s="18">
        <v>1.0</v>
      </c>
      <c r="G1557" s="27">
        <v>13224.69</v>
      </c>
      <c r="H1557" s="18" t="s">
        <v>142</v>
      </c>
      <c r="I1557" s="18" t="s">
        <v>140</v>
      </c>
      <c r="J1557" s="18" t="s">
        <v>570</v>
      </c>
      <c r="K1557" s="29">
        <f t="shared" si="2"/>
        <v>60</v>
      </c>
    </row>
    <row r="1558" ht="15.75" customHeight="1">
      <c r="A1558" s="18" t="s">
        <v>2486</v>
      </c>
      <c r="B1558" s="18">
        <v>1962.0</v>
      </c>
      <c r="C1558" s="18" t="s">
        <v>517</v>
      </c>
      <c r="D1558" s="18">
        <v>11.0</v>
      </c>
      <c r="E1558" s="18" t="str">
        <f t="shared" si="1"/>
        <v>11/10/62</v>
      </c>
      <c r="F1558" s="18">
        <v>0.0</v>
      </c>
      <c r="G1558" s="27">
        <v>13228.85</v>
      </c>
      <c r="H1558" s="18" t="s">
        <v>142</v>
      </c>
      <c r="I1558" s="18" t="s">
        <v>142</v>
      </c>
      <c r="J1558" s="18" t="s">
        <v>2031</v>
      </c>
      <c r="K1558" s="29">
        <f t="shared" si="2"/>
        <v>60</v>
      </c>
    </row>
    <row r="1559" ht="15.75" customHeight="1">
      <c r="A1559" s="18" t="s">
        <v>2483</v>
      </c>
      <c r="B1559" s="18">
        <v>1994.0</v>
      </c>
      <c r="C1559" s="18" t="s">
        <v>91</v>
      </c>
      <c r="D1559" s="18">
        <v>1.0</v>
      </c>
      <c r="E1559" s="18" t="str">
        <f t="shared" si="1"/>
        <v>01/07/94</v>
      </c>
      <c r="F1559" s="18">
        <v>0.0</v>
      </c>
      <c r="G1559" s="27">
        <v>13292.52</v>
      </c>
      <c r="H1559" s="18" t="s">
        <v>142</v>
      </c>
      <c r="I1559" s="18" t="s">
        <v>142</v>
      </c>
      <c r="J1559" s="18" t="s">
        <v>325</v>
      </c>
      <c r="K1559" s="29">
        <f t="shared" si="2"/>
        <v>28</v>
      </c>
    </row>
    <row r="1560" ht="15.75" customHeight="1">
      <c r="A1560" s="18" t="s">
        <v>2480</v>
      </c>
      <c r="B1560" s="18">
        <v>1976.0</v>
      </c>
      <c r="C1560" s="18" t="s">
        <v>501</v>
      </c>
      <c r="D1560" s="18">
        <v>23.0</v>
      </c>
      <c r="E1560" s="18" t="str">
        <f t="shared" si="1"/>
        <v>23/08/76</v>
      </c>
      <c r="F1560" s="18">
        <v>2.0</v>
      </c>
      <c r="G1560" s="27">
        <v>13333.71</v>
      </c>
      <c r="H1560" s="18" t="s">
        <v>142</v>
      </c>
      <c r="I1560" s="18" t="s">
        <v>140</v>
      </c>
      <c r="J1560" s="18" t="s">
        <v>325</v>
      </c>
      <c r="K1560" s="29">
        <f t="shared" si="2"/>
        <v>46</v>
      </c>
    </row>
    <row r="1561" ht="15.75" customHeight="1">
      <c r="A1561" s="18" t="s">
        <v>2477</v>
      </c>
      <c r="B1561" s="18">
        <v>1960.0</v>
      </c>
      <c r="C1561" s="18" t="s">
        <v>209</v>
      </c>
      <c r="D1561" s="18">
        <v>11.0</v>
      </c>
      <c r="E1561" s="18" t="str">
        <f t="shared" si="1"/>
        <v>11/11/60</v>
      </c>
      <c r="F1561" s="18">
        <v>0.0</v>
      </c>
      <c r="G1561" s="27">
        <v>13352.1</v>
      </c>
      <c r="H1561" s="18" t="s">
        <v>142</v>
      </c>
      <c r="I1561" s="18" t="s">
        <v>219</v>
      </c>
      <c r="J1561" s="18" t="s">
        <v>325</v>
      </c>
      <c r="K1561" s="29">
        <f t="shared" si="2"/>
        <v>62</v>
      </c>
    </row>
    <row r="1562" ht="15.75" customHeight="1">
      <c r="A1562" s="18" t="s">
        <v>2475</v>
      </c>
      <c r="B1562" s="18">
        <v>1990.0</v>
      </c>
      <c r="C1562" s="18" t="s">
        <v>517</v>
      </c>
      <c r="D1562" s="18">
        <v>2.0</v>
      </c>
      <c r="E1562" s="18" t="str">
        <f t="shared" si="1"/>
        <v>02/10/90</v>
      </c>
      <c r="F1562" s="18">
        <v>3.0</v>
      </c>
      <c r="G1562" s="27">
        <v>13360.94</v>
      </c>
      <c r="H1562" s="18" t="s">
        <v>142</v>
      </c>
      <c r="I1562" s="18" t="s">
        <v>219</v>
      </c>
      <c r="J1562" s="18" t="s">
        <v>325</v>
      </c>
      <c r="K1562" s="29">
        <f t="shared" si="2"/>
        <v>32</v>
      </c>
    </row>
    <row r="1563" ht="15.75" customHeight="1">
      <c r="A1563" s="18" t="s">
        <v>2472</v>
      </c>
      <c r="B1563" s="18">
        <v>1964.0</v>
      </c>
      <c r="C1563" s="18" t="s">
        <v>272</v>
      </c>
      <c r="D1563" s="18">
        <v>24.0</v>
      </c>
      <c r="E1563" s="18" t="str">
        <f t="shared" si="1"/>
        <v>24/09/64</v>
      </c>
      <c r="F1563" s="18">
        <v>0.0</v>
      </c>
      <c r="G1563" s="27">
        <v>13375.76</v>
      </c>
      <c r="H1563" s="18" t="s">
        <v>142</v>
      </c>
      <c r="I1563" s="18" t="s">
        <v>140</v>
      </c>
      <c r="J1563" s="18" t="s">
        <v>1647</v>
      </c>
      <c r="K1563" s="29">
        <f t="shared" si="2"/>
        <v>58</v>
      </c>
    </row>
    <row r="1564" ht="15.75" customHeight="1">
      <c r="A1564" s="18" t="s">
        <v>2469</v>
      </c>
      <c r="B1564" s="18">
        <v>1979.0</v>
      </c>
      <c r="C1564" s="18" t="s">
        <v>272</v>
      </c>
      <c r="D1564" s="18">
        <v>30.0</v>
      </c>
      <c r="E1564" s="18" t="str">
        <f t="shared" si="1"/>
        <v>30/09/79</v>
      </c>
      <c r="F1564" s="18">
        <v>2.0</v>
      </c>
      <c r="G1564" s="27">
        <v>13377.41</v>
      </c>
      <c r="H1564" s="18" t="s">
        <v>142</v>
      </c>
      <c r="I1564" s="18" t="s">
        <v>142</v>
      </c>
      <c r="J1564" s="18" t="s">
        <v>3559</v>
      </c>
      <c r="K1564" s="29">
        <f t="shared" si="2"/>
        <v>43</v>
      </c>
    </row>
    <row r="1565" ht="15.75" customHeight="1">
      <c r="A1565" s="18" t="s">
        <v>2465</v>
      </c>
      <c r="B1565" s="18">
        <v>1984.0</v>
      </c>
      <c r="C1565" s="18" t="s">
        <v>241</v>
      </c>
      <c r="D1565" s="18">
        <v>6.0</v>
      </c>
      <c r="E1565" s="18" t="str">
        <f t="shared" si="1"/>
        <v>06/06/84</v>
      </c>
      <c r="F1565" s="18">
        <v>3.0</v>
      </c>
      <c r="G1565" s="27">
        <v>13383.67</v>
      </c>
      <c r="H1565" s="18" t="s">
        <v>142</v>
      </c>
      <c r="I1565" s="18" t="s">
        <v>140</v>
      </c>
      <c r="J1565" s="18" t="s">
        <v>2031</v>
      </c>
      <c r="K1565" s="29">
        <f t="shared" si="2"/>
        <v>39</v>
      </c>
    </row>
    <row r="1566" ht="15.75" customHeight="1">
      <c r="A1566" s="18" t="s">
        <v>2463</v>
      </c>
      <c r="B1566" s="18">
        <v>1959.0</v>
      </c>
      <c r="C1566" s="18" t="s">
        <v>457</v>
      </c>
      <c r="D1566" s="18">
        <v>9.0</v>
      </c>
      <c r="E1566" s="18" t="str">
        <f t="shared" si="1"/>
        <v>09/12/59</v>
      </c>
      <c r="F1566" s="18">
        <v>0.0</v>
      </c>
      <c r="G1566" s="27">
        <v>13390.56</v>
      </c>
      <c r="H1566" s="18" t="s">
        <v>142</v>
      </c>
      <c r="I1566" s="18" t="s">
        <v>142</v>
      </c>
      <c r="J1566" s="18" t="s">
        <v>570</v>
      </c>
      <c r="K1566" s="29">
        <f t="shared" si="2"/>
        <v>63</v>
      </c>
    </row>
    <row r="1567" ht="15.75" customHeight="1">
      <c r="A1567" s="18" t="s">
        <v>2461</v>
      </c>
      <c r="B1567" s="18">
        <v>1959.0</v>
      </c>
      <c r="C1567" s="18" t="s">
        <v>209</v>
      </c>
      <c r="D1567" s="18">
        <v>25.0</v>
      </c>
      <c r="E1567" s="18" t="str">
        <f t="shared" si="1"/>
        <v>25/11/59</v>
      </c>
      <c r="F1567" s="18">
        <v>0.0</v>
      </c>
      <c r="G1567" s="27">
        <v>13393.76</v>
      </c>
      <c r="H1567" s="18" t="s">
        <v>142</v>
      </c>
      <c r="I1567" s="18" t="s">
        <v>219</v>
      </c>
      <c r="J1567" s="18" t="s">
        <v>570</v>
      </c>
      <c r="K1567" s="29">
        <f t="shared" si="2"/>
        <v>63</v>
      </c>
    </row>
    <row r="1568" ht="15.75" customHeight="1">
      <c r="A1568" s="18" t="s">
        <v>2459</v>
      </c>
      <c r="B1568" s="18">
        <v>1959.0</v>
      </c>
      <c r="C1568" s="18" t="s">
        <v>457</v>
      </c>
      <c r="D1568" s="18">
        <v>20.0</v>
      </c>
      <c r="E1568" s="18" t="str">
        <f t="shared" si="1"/>
        <v>20/12/59</v>
      </c>
      <c r="F1568" s="18">
        <v>0.0</v>
      </c>
      <c r="G1568" s="27">
        <v>13405.39</v>
      </c>
      <c r="H1568" s="18" t="s">
        <v>142</v>
      </c>
      <c r="I1568" s="18" t="s">
        <v>142</v>
      </c>
      <c r="J1568" s="18" t="s">
        <v>146</v>
      </c>
      <c r="K1568" s="29">
        <f t="shared" si="2"/>
        <v>63</v>
      </c>
    </row>
    <row r="1569" ht="15.75" customHeight="1">
      <c r="A1569" s="18" t="s">
        <v>2456</v>
      </c>
      <c r="B1569" s="18">
        <v>1992.0</v>
      </c>
      <c r="C1569" s="18" t="s">
        <v>457</v>
      </c>
      <c r="D1569" s="18">
        <v>19.0</v>
      </c>
      <c r="E1569" s="18" t="str">
        <f t="shared" si="1"/>
        <v>19/12/92</v>
      </c>
      <c r="F1569" s="18">
        <v>0.0</v>
      </c>
      <c r="G1569" s="27">
        <v>13412.97</v>
      </c>
      <c r="H1569" s="18" t="s">
        <v>142</v>
      </c>
      <c r="I1569" s="18" t="s">
        <v>142</v>
      </c>
      <c r="J1569" s="18" t="s">
        <v>2031</v>
      </c>
      <c r="K1569" s="29">
        <f t="shared" si="2"/>
        <v>30</v>
      </c>
    </row>
    <row r="1570" ht="15.75" customHeight="1">
      <c r="A1570" s="18" t="s">
        <v>2452</v>
      </c>
      <c r="B1570" s="18">
        <v>1961.0</v>
      </c>
      <c r="C1570" s="18" t="s">
        <v>91</v>
      </c>
      <c r="D1570" s="18">
        <v>22.0</v>
      </c>
      <c r="E1570" s="18" t="str">
        <f t="shared" si="1"/>
        <v>22/07/61</v>
      </c>
      <c r="F1570" s="18">
        <v>0.0</v>
      </c>
      <c r="G1570" s="27">
        <v>13415.04</v>
      </c>
      <c r="H1570" s="18" t="s">
        <v>142</v>
      </c>
      <c r="I1570" s="18" t="s">
        <v>140</v>
      </c>
      <c r="J1570" s="18" t="s">
        <v>325</v>
      </c>
      <c r="K1570" s="29">
        <f t="shared" si="2"/>
        <v>61</v>
      </c>
    </row>
    <row r="1571" ht="15.75" customHeight="1">
      <c r="A1571" s="18" t="s">
        <v>2450</v>
      </c>
      <c r="B1571" s="18">
        <v>1994.0</v>
      </c>
      <c r="C1571" s="18" t="s">
        <v>241</v>
      </c>
      <c r="D1571" s="18">
        <v>17.0</v>
      </c>
      <c r="E1571" s="18" t="str">
        <f t="shared" si="1"/>
        <v>17/06/94</v>
      </c>
      <c r="F1571" s="18">
        <v>0.0</v>
      </c>
      <c r="G1571" s="27">
        <v>13417.05</v>
      </c>
      <c r="H1571" s="18" t="s">
        <v>142</v>
      </c>
      <c r="I1571" s="18" t="s">
        <v>142</v>
      </c>
      <c r="J1571" s="18" t="s">
        <v>325</v>
      </c>
      <c r="K1571" s="29">
        <f t="shared" si="2"/>
        <v>28</v>
      </c>
    </row>
    <row r="1572" ht="15.75" customHeight="1">
      <c r="A1572" s="18" t="s">
        <v>2446</v>
      </c>
      <c r="B1572" s="18">
        <v>1961.0</v>
      </c>
      <c r="C1572" s="18" t="s">
        <v>209</v>
      </c>
      <c r="D1572" s="18">
        <v>3.0</v>
      </c>
      <c r="E1572" s="18" t="str">
        <f t="shared" si="1"/>
        <v>03/11/61</v>
      </c>
      <c r="F1572" s="18">
        <v>0.0</v>
      </c>
      <c r="G1572" s="27">
        <v>13429.04</v>
      </c>
      <c r="H1572" s="18" t="s">
        <v>142</v>
      </c>
      <c r="I1572" s="18" t="s">
        <v>142</v>
      </c>
      <c r="J1572" s="18" t="s">
        <v>325</v>
      </c>
      <c r="K1572" s="29">
        <f t="shared" si="2"/>
        <v>61</v>
      </c>
    </row>
    <row r="1573" ht="15.75" customHeight="1">
      <c r="A1573" s="18" t="s">
        <v>2443</v>
      </c>
      <c r="B1573" s="18">
        <v>1966.0</v>
      </c>
      <c r="C1573" s="18" t="s">
        <v>209</v>
      </c>
      <c r="D1573" s="18">
        <v>14.0</v>
      </c>
      <c r="E1573" s="18" t="str">
        <f t="shared" si="1"/>
        <v>14/11/66</v>
      </c>
      <c r="F1573" s="18">
        <v>3.0</v>
      </c>
      <c r="G1573" s="27">
        <v>13430.27</v>
      </c>
      <c r="H1573" s="18" t="s">
        <v>142</v>
      </c>
      <c r="I1573" s="18" t="s">
        <v>142</v>
      </c>
      <c r="J1573" s="18" t="s">
        <v>2024</v>
      </c>
      <c r="K1573" s="29">
        <f t="shared" si="2"/>
        <v>56</v>
      </c>
    </row>
    <row r="1574" ht="15.75" customHeight="1">
      <c r="A1574" s="18" t="s">
        <v>2439</v>
      </c>
      <c r="B1574" s="18">
        <v>1975.0</v>
      </c>
      <c r="C1574" s="18" t="s">
        <v>241</v>
      </c>
      <c r="D1574" s="18">
        <v>29.0</v>
      </c>
      <c r="E1574" s="18" t="str">
        <f t="shared" si="1"/>
        <v>29/06/75</v>
      </c>
      <c r="F1574" s="18">
        <v>1.0</v>
      </c>
      <c r="G1574" s="27">
        <v>13440.7</v>
      </c>
      <c r="H1574" s="18" t="s">
        <v>142</v>
      </c>
      <c r="I1574" s="18" t="s">
        <v>140</v>
      </c>
      <c r="J1574" s="18" t="s">
        <v>325</v>
      </c>
      <c r="K1574" s="29">
        <f t="shared" si="2"/>
        <v>47</v>
      </c>
    </row>
    <row r="1575" ht="15.75" customHeight="1">
      <c r="A1575" s="18" t="s">
        <v>2436</v>
      </c>
      <c r="B1575" s="18">
        <v>1960.0</v>
      </c>
      <c r="C1575" s="18" t="s">
        <v>501</v>
      </c>
      <c r="D1575" s="18">
        <v>13.0</v>
      </c>
      <c r="E1575" s="18" t="str">
        <f t="shared" si="1"/>
        <v>13/08/60</v>
      </c>
      <c r="F1575" s="18">
        <v>0.0</v>
      </c>
      <c r="G1575" s="27">
        <v>13451.12</v>
      </c>
      <c r="H1575" s="18" t="s">
        <v>142</v>
      </c>
      <c r="I1575" s="18" t="s">
        <v>219</v>
      </c>
      <c r="J1575" s="18" t="s">
        <v>570</v>
      </c>
      <c r="K1575" s="29">
        <f t="shared" si="2"/>
        <v>62</v>
      </c>
    </row>
    <row r="1576" ht="15.75" customHeight="1">
      <c r="A1576" s="18" t="s">
        <v>2432</v>
      </c>
      <c r="B1576" s="18">
        <v>1960.0</v>
      </c>
      <c r="C1576" s="18" t="s">
        <v>91</v>
      </c>
      <c r="D1576" s="18">
        <v>11.0</v>
      </c>
      <c r="E1576" s="18" t="str">
        <f t="shared" si="1"/>
        <v>11/07/60</v>
      </c>
      <c r="F1576" s="18">
        <v>0.0</v>
      </c>
      <c r="G1576" s="27">
        <v>13457.96</v>
      </c>
      <c r="H1576" s="18" t="s">
        <v>142</v>
      </c>
      <c r="I1576" s="18" t="s">
        <v>219</v>
      </c>
      <c r="J1576" s="18" t="s">
        <v>146</v>
      </c>
      <c r="K1576" s="29">
        <f t="shared" si="2"/>
        <v>62</v>
      </c>
    </row>
    <row r="1577" ht="15.75" customHeight="1">
      <c r="A1577" s="18" t="s">
        <v>2430</v>
      </c>
      <c r="B1577" s="18">
        <v>1960.0</v>
      </c>
      <c r="C1577" s="18" t="s">
        <v>457</v>
      </c>
      <c r="D1577" s="18">
        <v>16.0</v>
      </c>
      <c r="E1577" s="18" t="str">
        <f t="shared" si="1"/>
        <v>16/12/60</v>
      </c>
      <c r="F1577" s="18">
        <v>0.0</v>
      </c>
      <c r="G1577" s="27">
        <v>13462.52</v>
      </c>
      <c r="H1577" s="18" t="s">
        <v>142</v>
      </c>
      <c r="I1577" s="18" t="s">
        <v>140</v>
      </c>
      <c r="J1577" s="18" t="s">
        <v>570</v>
      </c>
      <c r="K1577" s="29">
        <f t="shared" si="2"/>
        <v>62</v>
      </c>
    </row>
    <row r="1578" ht="15.75" customHeight="1">
      <c r="A1578" s="18" t="s">
        <v>2427</v>
      </c>
      <c r="B1578" s="18">
        <v>1985.0</v>
      </c>
      <c r="C1578" s="18" t="s">
        <v>501</v>
      </c>
      <c r="D1578" s="18">
        <v>19.0</v>
      </c>
      <c r="E1578" s="18" t="str">
        <f t="shared" si="1"/>
        <v>19/08/85</v>
      </c>
      <c r="F1578" s="18">
        <v>3.0</v>
      </c>
      <c r="G1578" s="27">
        <v>13465.8</v>
      </c>
      <c r="H1578" s="18" t="s">
        <v>142</v>
      </c>
      <c r="I1578" s="18" t="s">
        <v>219</v>
      </c>
      <c r="J1578" s="18" t="s">
        <v>325</v>
      </c>
      <c r="K1578" s="29">
        <f t="shared" si="2"/>
        <v>37</v>
      </c>
    </row>
    <row r="1579" ht="15.75" customHeight="1">
      <c r="A1579" s="18" t="s">
        <v>2425</v>
      </c>
      <c r="B1579" s="18">
        <v>1960.0</v>
      </c>
      <c r="C1579" s="18" t="s">
        <v>91</v>
      </c>
      <c r="D1579" s="18">
        <v>28.0</v>
      </c>
      <c r="E1579" s="18" t="str">
        <f t="shared" si="1"/>
        <v>28/07/60</v>
      </c>
      <c r="F1579" s="18">
        <v>0.0</v>
      </c>
      <c r="G1579" s="27">
        <v>13470.8</v>
      </c>
      <c r="H1579" s="18" t="s">
        <v>142</v>
      </c>
      <c r="I1579" s="18" t="s">
        <v>140</v>
      </c>
      <c r="J1579" s="18" t="s">
        <v>146</v>
      </c>
      <c r="K1579" s="29">
        <f t="shared" si="2"/>
        <v>62</v>
      </c>
    </row>
    <row r="1580" ht="15.75" customHeight="1">
      <c r="A1580" s="18" t="s">
        <v>2421</v>
      </c>
      <c r="B1580" s="18">
        <v>1960.0</v>
      </c>
      <c r="C1580" s="18" t="s">
        <v>91</v>
      </c>
      <c r="D1580" s="18">
        <v>24.0</v>
      </c>
      <c r="E1580" s="18" t="str">
        <f t="shared" si="1"/>
        <v>24/07/60</v>
      </c>
      <c r="F1580" s="18">
        <v>0.0</v>
      </c>
      <c r="G1580" s="27">
        <v>13470.86</v>
      </c>
      <c r="H1580" s="18" t="s">
        <v>142</v>
      </c>
      <c r="I1580" s="18" t="s">
        <v>142</v>
      </c>
      <c r="J1580" s="18" t="s">
        <v>570</v>
      </c>
      <c r="K1580" s="29">
        <f t="shared" si="2"/>
        <v>62</v>
      </c>
    </row>
    <row r="1581" ht="15.75" customHeight="1">
      <c r="A1581" s="18" t="s">
        <v>2418</v>
      </c>
      <c r="B1581" s="18">
        <v>1975.0</v>
      </c>
      <c r="C1581" s="18" t="s">
        <v>501</v>
      </c>
      <c r="D1581" s="18">
        <v>7.0</v>
      </c>
      <c r="E1581" s="18" t="str">
        <f t="shared" si="1"/>
        <v>07/08/75</v>
      </c>
      <c r="F1581" s="18">
        <v>1.0</v>
      </c>
      <c r="G1581" s="27">
        <v>13472.19</v>
      </c>
      <c r="H1581" s="18" t="s">
        <v>142</v>
      </c>
      <c r="I1581" s="18" t="s">
        <v>140</v>
      </c>
      <c r="J1581" s="18" t="s">
        <v>325</v>
      </c>
      <c r="K1581" s="29">
        <f t="shared" si="2"/>
        <v>47</v>
      </c>
    </row>
    <row r="1582" ht="15.75" customHeight="1">
      <c r="A1582" s="18" t="s">
        <v>2415</v>
      </c>
      <c r="B1582" s="18">
        <v>1990.0</v>
      </c>
      <c r="C1582" s="18" t="s">
        <v>501</v>
      </c>
      <c r="D1582" s="18">
        <v>30.0</v>
      </c>
      <c r="E1582" s="18" t="str">
        <f t="shared" si="1"/>
        <v>30/08/90</v>
      </c>
      <c r="F1582" s="18">
        <v>3.0</v>
      </c>
      <c r="G1582" s="27">
        <v>13480.83</v>
      </c>
      <c r="H1582" s="18" t="s">
        <v>142</v>
      </c>
      <c r="I1582" s="18" t="s">
        <v>140</v>
      </c>
      <c r="J1582" s="18" t="s">
        <v>2031</v>
      </c>
      <c r="K1582" s="29">
        <f t="shared" si="2"/>
        <v>32</v>
      </c>
    </row>
    <row r="1583" ht="15.75" customHeight="1">
      <c r="A1583" s="18" t="s">
        <v>2412</v>
      </c>
      <c r="B1583" s="18">
        <v>1963.0</v>
      </c>
      <c r="C1583" s="18" t="s">
        <v>517</v>
      </c>
      <c r="D1583" s="18">
        <v>14.0</v>
      </c>
      <c r="E1583" s="18" t="str">
        <f t="shared" si="1"/>
        <v>14/10/63</v>
      </c>
      <c r="F1583" s="18">
        <v>0.0</v>
      </c>
      <c r="G1583" s="27">
        <v>13511.28</v>
      </c>
      <c r="H1583" s="18" t="s">
        <v>142</v>
      </c>
      <c r="I1583" s="18" t="s">
        <v>219</v>
      </c>
      <c r="J1583" s="18" t="s">
        <v>325</v>
      </c>
      <c r="K1583" s="29">
        <f t="shared" si="2"/>
        <v>59</v>
      </c>
    </row>
    <row r="1584" ht="15.75" customHeight="1">
      <c r="A1584" s="18" t="s">
        <v>2409</v>
      </c>
      <c r="B1584" s="18">
        <v>1960.0</v>
      </c>
      <c r="C1584" s="18" t="s">
        <v>91</v>
      </c>
      <c r="D1584" s="18">
        <v>11.0</v>
      </c>
      <c r="E1584" s="18" t="str">
        <f t="shared" si="1"/>
        <v>11/07/60</v>
      </c>
      <c r="F1584" s="18">
        <v>0.0</v>
      </c>
      <c r="G1584" s="27">
        <v>13555.0</v>
      </c>
      <c r="H1584" s="18" t="s">
        <v>142</v>
      </c>
      <c r="I1584" s="18" t="s">
        <v>142</v>
      </c>
      <c r="J1584" s="18" t="s">
        <v>2617</v>
      </c>
      <c r="K1584" s="29">
        <f t="shared" si="2"/>
        <v>62</v>
      </c>
    </row>
    <row r="1585" ht="15.75" customHeight="1">
      <c r="A1585" s="18" t="s">
        <v>2405</v>
      </c>
      <c r="B1585" s="18">
        <v>1968.0</v>
      </c>
      <c r="C1585" s="18" t="s">
        <v>91</v>
      </c>
      <c r="D1585" s="18">
        <v>15.0</v>
      </c>
      <c r="E1585" s="18" t="str">
        <f t="shared" si="1"/>
        <v>15/07/68</v>
      </c>
      <c r="F1585" s="18">
        <v>0.0</v>
      </c>
      <c r="G1585" s="27">
        <v>13566.04</v>
      </c>
      <c r="H1585" s="18" t="s">
        <v>142</v>
      </c>
      <c r="I1585" s="18" t="s">
        <v>142</v>
      </c>
      <c r="J1585" s="18" t="s">
        <v>3559</v>
      </c>
      <c r="K1585" s="29">
        <f t="shared" si="2"/>
        <v>54</v>
      </c>
    </row>
    <row r="1586" ht="15.75" customHeight="1">
      <c r="A1586" s="18" t="s">
        <v>2402</v>
      </c>
      <c r="B1586" s="18">
        <v>1992.0</v>
      </c>
      <c r="C1586" s="18" t="s">
        <v>501</v>
      </c>
      <c r="D1586" s="18">
        <v>14.0</v>
      </c>
      <c r="E1586" s="18" t="str">
        <f t="shared" si="1"/>
        <v>14/08/92</v>
      </c>
      <c r="F1586" s="18">
        <v>0.0</v>
      </c>
      <c r="G1586" s="27">
        <v>13588.17</v>
      </c>
      <c r="H1586" s="18" t="s">
        <v>142</v>
      </c>
      <c r="I1586" s="18" t="s">
        <v>219</v>
      </c>
      <c r="J1586" s="18" t="s">
        <v>325</v>
      </c>
      <c r="K1586" s="29">
        <f t="shared" si="2"/>
        <v>30</v>
      </c>
    </row>
    <row r="1587" ht="15.75" customHeight="1">
      <c r="A1587" s="18" t="s">
        <v>2398</v>
      </c>
      <c r="B1587" s="18">
        <v>1964.0</v>
      </c>
      <c r="C1587" s="18" t="s">
        <v>272</v>
      </c>
      <c r="D1587" s="18">
        <v>10.0</v>
      </c>
      <c r="E1587" s="18" t="str">
        <f t="shared" si="1"/>
        <v>10/09/64</v>
      </c>
      <c r="F1587" s="18">
        <v>2.0</v>
      </c>
      <c r="G1587" s="27">
        <v>13607.37</v>
      </c>
      <c r="H1587" s="18" t="s">
        <v>142</v>
      </c>
      <c r="I1587" s="18" t="s">
        <v>219</v>
      </c>
      <c r="J1587" s="18" t="s">
        <v>2024</v>
      </c>
      <c r="K1587" s="29">
        <f t="shared" si="2"/>
        <v>58</v>
      </c>
    </row>
    <row r="1588" ht="15.75" customHeight="1">
      <c r="A1588" s="18" t="s">
        <v>2394</v>
      </c>
      <c r="B1588" s="18">
        <v>1961.0</v>
      </c>
      <c r="C1588" s="18" t="s">
        <v>209</v>
      </c>
      <c r="D1588" s="18">
        <v>18.0</v>
      </c>
      <c r="E1588" s="18" t="str">
        <f t="shared" si="1"/>
        <v>18/11/61</v>
      </c>
      <c r="F1588" s="18">
        <v>0.0</v>
      </c>
      <c r="G1588" s="27">
        <v>13616.36</v>
      </c>
      <c r="H1588" s="18" t="s">
        <v>142</v>
      </c>
      <c r="I1588" s="18" t="s">
        <v>142</v>
      </c>
      <c r="J1588" s="18" t="s">
        <v>2024</v>
      </c>
      <c r="K1588" s="29">
        <f t="shared" si="2"/>
        <v>61</v>
      </c>
    </row>
    <row r="1589" ht="15.75" customHeight="1">
      <c r="A1589" s="18" t="s">
        <v>2392</v>
      </c>
      <c r="B1589" s="18">
        <v>1969.0</v>
      </c>
      <c r="C1589" s="18" t="s">
        <v>91</v>
      </c>
      <c r="D1589" s="18">
        <v>26.0</v>
      </c>
      <c r="E1589" s="18" t="str">
        <f t="shared" si="1"/>
        <v>26/07/69</v>
      </c>
      <c r="F1589" s="18">
        <v>0.0</v>
      </c>
      <c r="G1589" s="27">
        <v>13622.01</v>
      </c>
      <c r="H1589" s="18" t="s">
        <v>142</v>
      </c>
      <c r="I1589" s="18" t="s">
        <v>142</v>
      </c>
      <c r="J1589" s="18" t="s">
        <v>325</v>
      </c>
      <c r="K1589" s="29">
        <f t="shared" si="2"/>
        <v>53</v>
      </c>
    </row>
    <row r="1590" ht="15.75" customHeight="1">
      <c r="A1590" s="18" t="s">
        <v>2389</v>
      </c>
      <c r="B1590" s="18">
        <v>1961.0</v>
      </c>
      <c r="C1590" s="18" t="s">
        <v>457</v>
      </c>
      <c r="D1590" s="18">
        <v>24.0</v>
      </c>
      <c r="E1590" s="18" t="str">
        <f t="shared" si="1"/>
        <v>24/12/61</v>
      </c>
      <c r="F1590" s="18">
        <v>0.0</v>
      </c>
      <c r="G1590" s="27">
        <v>13635.64</v>
      </c>
      <c r="H1590" s="18" t="s">
        <v>142</v>
      </c>
      <c r="I1590" s="18" t="s">
        <v>142</v>
      </c>
      <c r="J1590" s="18" t="s">
        <v>2024</v>
      </c>
      <c r="K1590" s="29">
        <f t="shared" si="2"/>
        <v>61</v>
      </c>
    </row>
    <row r="1591" ht="15.75" customHeight="1">
      <c r="A1591" s="18" t="s">
        <v>2387</v>
      </c>
      <c r="B1591" s="18">
        <v>1984.0</v>
      </c>
      <c r="C1591" s="18" t="s">
        <v>91</v>
      </c>
      <c r="D1591" s="18">
        <v>20.0</v>
      </c>
      <c r="E1591" s="18" t="str">
        <f t="shared" si="1"/>
        <v>20/07/84</v>
      </c>
      <c r="F1591" s="18">
        <v>3.0</v>
      </c>
      <c r="G1591" s="27">
        <v>13638.06</v>
      </c>
      <c r="H1591" s="18" t="s">
        <v>142</v>
      </c>
      <c r="I1591" s="18" t="s">
        <v>142</v>
      </c>
      <c r="J1591" s="18" t="s">
        <v>2031</v>
      </c>
      <c r="K1591" s="29">
        <f t="shared" si="2"/>
        <v>38</v>
      </c>
    </row>
    <row r="1592" ht="15.75" customHeight="1">
      <c r="A1592" s="18" t="s">
        <v>2384</v>
      </c>
      <c r="B1592" s="18">
        <v>1963.0</v>
      </c>
      <c r="C1592" s="18" t="s">
        <v>501</v>
      </c>
      <c r="D1592" s="18">
        <v>4.0</v>
      </c>
      <c r="E1592" s="18" t="str">
        <f t="shared" si="1"/>
        <v>04/08/63</v>
      </c>
      <c r="F1592" s="18">
        <v>0.0</v>
      </c>
      <c r="G1592" s="27">
        <v>13677.68</v>
      </c>
      <c r="H1592" s="18" t="s">
        <v>142</v>
      </c>
      <c r="I1592" s="18" t="s">
        <v>140</v>
      </c>
      <c r="J1592" s="18" t="s">
        <v>2314</v>
      </c>
      <c r="K1592" s="29">
        <f t="shared" si="2"/>
        <v>59</v>
      </c>
    </row>
    <row r="1593" ht="15.75" customHeight="1">
      <c r="A1593" s="18" t="s">
        <v>2381</v>
      </c>
      <c r="B1593" s="18">
        <v>1985.0</v>
      </c>
      <c r="C1593" s="18" t="s">
        <v>272</v>
      </c>
      <c r="D1593" s="18">
        <v>14.0</v>
      </c>
      <c r="E1593" s="18" t="str">
        <f t="shared" si="1"/>
        <v>14/09/85</v>
      </c>
      <c r="F1593" s="18">
        <v>3.0</v>
      </c>
      <c r="G1593" s="27">
        <v>13685.51</v>
      </c>
      <c r="H1593" s="18" t="s">
        <v>142</v>
      </c>
      <c r="I1593" s="18" t="s">
        <v>219</v>
      </c>
      <c r="J1593" s="18" t="s">
        <v>3559</v>
      </c>
      <c r="K1593" s="29">
        <f t="shared" si="2"/>
        <v>37</v>
      </c>
    </row>
    <row r="1594" ht="15.75" customHeight="1">
      <c r="A1594" s="18" t="s">
        <v>2377</v>
      </c>
      <c r="B1594" s="18">
        <v>1986.0</v>
      </c>
      <c r="C1594" s="18" t="s">
        <v>209</v>
      </c>
      <c r="D1594" s="18">
        <v>24.0</v>
      </c>
      <c r="E1594" s="18" t="str">
        <f t="shared" si="1"/>
        <v>24/11/86</v>
      </c>
      <c r="F1594" s="18">
        <v>3.0</v>
      </c>
      <c r="G1594" s="27">
        <v>13714.55</v>
      </c>
      <c r="H1594" s="18" t="s">
        <v>142</v>
      </c>
      <c r="I1594" s="18" t="s">
        <v>140</v>
      </c>
      <c r="J1594" s="18" t="s">
        <v>2031</v>
      </c>
      <c r="K1594" s="29">
        <f t="shared" si="2"/>
        <v>36</v>
      </c>
    </row>
    <row r="1595" ht="15.75" customHeight="1">
      <c r="A1595" s="18" t="s">
        <v>2374</v>
      </c>
      <c r="B1595" s="18">
        <v>1981.0</v>
      </c>
      <c r="C1595" s="18" t="s">
        <v>501</v>
      </c>
      <c r="D1595" s="18">
        <v>2.0</v>
      </c>
      <c r="E1595" s="18" t="str">
        <f t="shared" si="1"/>
        <v>02/08/81</v>
      </c>
      <c r="F1595" s="18">
        <v>1.0</v>
      </c>
      <c r="G1595" s="27">
        <v>13725.47</v>
      </c>
      <c r="H1595" s="18" t="s">
        <v>142</v>
      </c>
      <c r="I1595" s="18" t="s">
        <v>140</v>
      </c>
      <c r="J1595" s="18" t="s">
        <v>2024</v>
      </c>
      <c r="K1595" s="29">
        <f t="shared" si="2"/>
        <v>41</v>
      </c>
    </row>
    <row r="1596" ht="15.75" customHeight="1">
      <c r="A1596" s="18" t="s">
        <v>2371</v>
      </c>
      <c r="B1596" s="18">
        <v>1985.0</v>
      </c>
      <c r="C1596" s="18" t="s">
        <v>501</v>
      </c>
      <c r="D1596" s="18">
        <v>29.0</v>
      </c>
      <c r="E1596" s="18" t="str">
        <f t="shared" si="1"/>
        <v>29/08/85</v>
      </c>
      <c r="F1596" s="18">
        <v>3.0</v>
      </c>
      <c r="G1596" s="27">
        <v>13726.21</v>
      </c>
      <c r="H1596" s="18" t="s">
        <v>142</v>
      </c>
      <c r="I1596" s="18" t="s">
        <v>142</v>
      </c>
      <c r="J1596" s="18" t="s">
        <v>3559</v>
      </c>
      <c r="K1596" s="29">
        <f t="shared" si="2"/>
        <v>37</v>
      </c>
    </row>
    <row r="1597" ht="15.75" customHeight="1">
      <c r="A1597" s="18" t="s">
        <v>2369</v>
      </c>
      <c r="B1597" s="18">
        <v>1969.0</v>
      </c>
      <c r="C1597" s="18" t="s">
        <v>517</v>
      </c>
      <c r="D1597" s="18">
        <v>23.0</v>
      </c>
      <c r="E1597" s="18" t="str">
        <f t="shared" si="1"/>
        <v>23/10/69</v>
      </c>
      <c r="F1597" s="18">
        <v>0.0</v>
      </c>
      <c r="G1597" s="27">
        <v>13746.74</v>
      </c>
      <c r="H1597" s="18" t="s">
        <v>142</v>
      </c>
      <c r="I1597" s="18" t="s">
        <v>140</v>
      </c>
      <c r="J1597" s="18" t="s">
        <v>3559</v>
      </c>
      <c r="K1597" s="29">
        <f t="shared" si="2"/>
        <v>53</v>
      </c>
    </row>
    <row r="1598" ht="15.75" customHeight="1">
      <c r="A1598" s="18" t="s">
        <v>2365</v>
      </c>
      <c r="B1598" s="18">
        <v>2004.0</v>
      </c>
      <c r="C1598" s="18" t="s">
        <v>91</v>
      </c>
      <c r="D1598" s="18">
        <v>16.0</v>
      </c>
      <c r="E1598" s="18" t="str">
        <f t="shared" si="1"/>
        <v>16/07/04</v>
      </c>
      <c r="F1598" s="18">
        <v>0.0</v>
      </c>
      <c r="G1598" s="27">
        <v>13747.87</v>
      </c>
      <c r="H1598" s="18" t="s">
        <v>142</v>
      </c>
      <c r="I1598" s="18" t="s">
        <v>140</v>
      </c>
      <c r="J1598" s="18" t="s">
        <v>1434</v>
      </c>
      <c r="K1598" s="29">
        <f t="shared" si="2"/>
        <v>18</v>
      </c>
    </row>
    <row r="1599" ht="15.75" customHeight="1">
      <c r="A1599" s="18" t="s">
        <v>2363</v>
      </c>
      <c r="B1599" s="18">
        <v>1959.0</v>
      </c>
      <c r="C1599" s="18" t="s">
        <v>501</v>
      </c>
      <c r="D1599" s="18">
        <v>6.0</v>
      </c>
      <c r="E1599" s="18" t="str">
        <f t="shared" si="1"/>
        <v>06/08/59</v>
      </c>
      <c r="F1599" s="18">
        <v>0.0</v>
      </c>
      <c r="G1599" s="27">
        <v>13770.1</v>
      </c>
      <c r="H1599" s="18" t="s">
        <v>142</v>
      </c>
      <c r="I1599" s="18" t="s">
        <v>219</v>
      </c>
      <c r="J1599" s="18" t="s">
        <v>325</v>
      </c>
      <c r="K1599" s="29">
        <f t="shared" si="2"/>
        <v>63</v>
      </c>
    </row>
    <row r="1600" ht="15.75" customHeight="1">
      <c r="A1600" s="18" t="s">
        <v>2360</v>
      </c>
      <c r="B1600" s="18">
        <v>1966.0</v>
      </c>
      <c r="C1600" s="18" t="s">
        <v>209</v>
      </c>
      <c r="D1600" s="18">
        <v>10.0</v>
      </c>
      <c r="E1600" s="18" t="str">
        <f t="shared" si="1"/>
        <v>10/11/66</v>
      </c>
      <c r="F1600" s="18">
        <v>0.0</v>
      </c>
      <c r="G1600" s="27">
        <v>13801.61</v>
      </c>
      <c r="H1600" s="18" t="s">
        <v>142</v>
      </c>
      <c r="I1600" s="18" t="s">
        <v>142</v>
      </c>
      <c r="J1600" s="18" t="s">
        <v>3559</v>
      </c>
      <c r="K1600" s="29">
        <f t="shared" si="2"/>
        <v>56</v>
      </c>
    </row>
    <row r="1601" ht="15.75" customHeight="1">
      <c r="A1601" s="18" t="s">
        <v>2356</v>
      </c>
      <c r="B1601" s="18">
        <v>1986.0</v>
      </c>
      <c r="C1601" s="18" t="s">
        <v>457</v>
      </c>
      <c r="D1601" s="18">
        <v>8.0</v>
      </c>
      <c r="E1601" s="18" t="str">
        <f t="shared" si="1"/>
        <v>08/12/86</v>
      </c>
      <c r="F1601" s="18">
        <v>3.0</v>
      </c>
      <c r="G1601" s="27">
        <v>13819.49</v>
      </c>
      <c r="H1601" s="18" t="s">
        <v>142</v>
      </c>
      <c r="I1601" s="18" t="s">
        <v>140</v>
      </c>
      <c r="J1601" s="18" t="s">
        <v>325</v>
      </c>
      <c r="K1601" s="29">
        <f t="shared" si="2"/>
        <v>36</v>
      </c>
    </row>
    <row r="1602" ht="15.75" customHeight="1">
      <c r="A1602" s="18" t="s">
        <v>2353</v>
      </c>
      <c r="B1602" s="18">
        <v>1958.0</v>
      </c>
      <c r="C1602" s="18" t="s">
        <v>209</v>
      </c>
      <c r="D1602" s="18">
        <v>25.0</v>
      </c>
      <c r="E1602" s="18" t="str">
        <f t="shared" si="1"/>
        <v>25/11/58</v>
      </c>
      <c r="F1602" s="18">
        <v>0.0</v>
      </c>
      <c r="G1602" s="27">
        <v>13822.8</v>
      </c>
      <c r="H1602" s="18" t="s">
        <v>142</v>
      </c>
      <c r="I1602" s="18" t="s">
        <v>142</v>
      </c>
      <c r="J1602" s="18" t="s">
        <v>570</v>
      </c>
      <c r="K1602" s="29">
        <f t="shared" si="2"/>
        <v>64</v>
      </c>
    </row>
    <row r="1603" ht="15.75" customHeight="1">
      <c r="A1603" s="18" t="s">
        <v>2350</v>
      </c>
      <c r="B1603" s="18">
        <v>1958.0</v>
      </c>
      <c r="C1603" s="18" t="s">
        <v>457</v>
      </c>
      <c r="D1603" s="18">
        <v>10.0</v>
      </c>
      <c r="E1603" s="18" t="str">
        <f t="shared" si="1"/>
        <v>10/12/58</v>
      </c>
      <c r="F1603" s="18">
        <v>0.0</v>
      </c>
      <c r="G1603" s="27">
        <v>13831.12</v>
      </c>
      <c r="H1603" s="18" t="s">
        <v>142</v>
      </c>
      <c r="I1603" s="18" t="s">
        <v>219</v>
      </c>
      <c r="J1603" s="18" t="s">
        <v>146</v>
      </c>
      <c r="K1603" s="29">
        <f t="shared" si="2"/>
        <v>64</v>
      </c>
    </row>
    <row r="1604" ht="15.75" customHeight="1">
      <c r="A1604" s="18" t="s">
        <v>2347</v>
      </c>
      <c r="B1604" s="18">
        <v>2003.0</v>
      </c>
      <c r="C1604" s="18" t="s">
        <v>241</v>
      </c>
      <c r="D1604" s="18">
        <v>7.0</v>
      </c>
      <c r="E1604" s="18" t="str">
        <f t="shared" si="1"/>
        <v>07/06/03</v>
      </c>
      <c r="F1604" s="18">
        <v>0.0</v>
      </c>
      <c r="G1604" s="27">
        <v>13844.51</v>
      </c>
      <c r="H1604" s="18" t="s">
        <v>140</v>
      </c>
      <c r="I1604" s="18" t="s">
        <v>219</v>
      </c>
      <c r="J1604" s="18" t="s">
        <v>570</v>
      </c>
      <c r="K1604" s="29">
        <f t="shared" si="2"/>
        <v>20</v>
      </c>
    </row>
    <row r="1605" ht="15.75" customHeight="1">
      <c r="A1605" s="18" t="s">
        <v>2343</v>
      </c>
      <c r="B1605" s="18">
        <v>1960.0</v>
      </c>
      <c r="C1605" s="18" t="s">
        <v>91</v>
      </c>
      <c r="D1605" s="18">
        <v>21.0</v>
      </c>
      <c r="E1605" s="18" t="str">
        <f t="shared" si="1"/>
        <v>21/07/60</v>
      </c>
      <c r="F1605" s="18">
        <v>0.0</v>
      </c>
      <c r="G1605" s="27">
        <v>13844.8</v>
      </c>
      <c r="H1605" s="18" t="s">
        <v>140</v>
      </c>
      <c r="I1605" s="18" t="s">
        <v>140</v>
      </c>
      <c r="J1605" s="18" t="s">
        <v>325</v>
      </c>
      <c r="K1605" s="29">
        <f t="shared" si="2"/>
        <v>62</v>
      </c>
    </row>
    <row r="1606" ht="15.75" customHeight="1">
      <c r="A1606" s="18" t="s">
        <v>2340</v>
      </c>
      <c r="B1606" s="18">
        <v>1978.0</v>
      </c>
      <c r="C1606" s="18" t="s">
        <v>457</v>
      </c>
      <c r="D1606" s="18">
        <v>19.0</v>
      </c>
      <c r="E1606" s="18" t="str">
        <f t="shared" si="1"/>
        <v>19/12/78</v>
      </c>
      <c r="F1606" s="18">
        <v>2.0</v>
      </c>
      <c r="G1606" s="27">
        <v>13874.89</v>
      </c>
      <c r="H1606" s="18" t="s">
        <v>140</v>
      </c>
      <c r="I1606" s="18" t="s">
        <v>219</v>
      </c>
      <c r="J1606" s="18" t="s">
        <v>325</v>
      </c>
      <c r="K1606" s="29">
        <f t="shared" si="2"/>
        <v>44</v>
      </c>
    </row>
    <row r="1607" ht="15.75" customHeight="1">
      <c r="A1607" s="18" t="s">
        <v>2337</v>
      </c>
      <c r="B1607" s="18">
        <v>1959.0</v>
      </c>
      <c r="C1607" s="18" t="s">
        <v>517</v>
      </c>
      <c r="D1607" s="18">
        <v>5.0</v>
      </c>
      <c r="E1607" s="18" t="str">
        <f t="shared" si="1"/>
        <v>05/10/59</v>
      </c>
      <c r="F1607" s="18">
        <v>0.0</v>
      </c>
      <c r="G1607" s="27">
        <v>13880.95</v>
      </c>
      <c r="H1607" s="18" t="s">
        <v>140</v>
      </c>
      <c r="I1607" s="18" t="s">
        <v>140</v>
      </c>
      <c r="J1607" s="18" t="s">
        <v>570</v>
      </c>
      <c r="K1607" s="29">
        <f t="shared" si="2"/>
        <v>63</v>
      </c>
    </row>
    <row r="1608" ht="15.75" customHeight="1">
      <c r="A1608" s="18" t="s">
        <v>2333</v>
      </c>
      <c r="B1608" s="18">
        <v>1985.0</v>
      </c>
      <c r="C1608" s="18" t="s">
        <v>272</v>
      </c>
      <c r="D1608" s="18">
        <v>25.0</v>
      </c>
      <c r="E1608" s="18" t="str">
        <f t="shared" si="1"/>
        <v>25/09/85</v>
      </c>
      <c r="F1608" s="18">
        <v>3.0</v>
      </c>
      <c r="G1608" s="27">
        <v>13886.4</v>
      </c>
      <c r="H1608" s="18" t="s">
        <v>140</v>
      </c>
      <c r="I1608" s="18" t="s">
        <v>140</v>
      </c>
      <c r="J1608" s="18" t="s">
        <v>325</v>
      </c>
      <c r="K1608" s="29">
        <f t="shared" si="2"/>
        <v>37</v>
      </c>
    </row>
    <row r="1609" ht="15.75" customHeight="1">
      <c r="A1609" s="18" t="s">
        <v>2331</v>
      </c>
      <c r="B1609" s="18">
        <v>1959.0</v>
      </c>
      <c r="C1609" s="18" t="s">
        <v>457</v>
      </c>
      <c r="D1609" s="18">
        <v>29.0</v>
      </c>
      <c r="E1609" s="18" t="str">
        <f t="shared" si="1"/>
        <v>29/12/59</v>
      </c>
      <c r="F1609" s="18">
        <v>0.0</v>
      </c>
      <c r="G1609" s="27">
        <v>13887.2</v>
      </c>
      <c r="H1609" s="18" t="s">
        <v>140</v>
      </c>
      <c r="I1609" s="18" t="s">
        <v>142</v>
      </c>
      <c r="J1609" s="18" t="s">
        <v>146</v>
      </c>
      <c r="K1609" s="29">
        <f t="shared" si="2"/>
        <v>63</v>
      </c>
    </row>
    <row r="1610" ht="15.75" customHeight="1">
      <c r="A1610" s="18" t="s">
        <v>2327</v>
      </c>
      <c r="B1610" s="18">
        <v>1959.0</v>
      </c>
      <c r="C1610" s="18" t="s">
        <v>91</v>
      </c>
      <c r="D1610" s="18">
        <v>7.0</v>
      </c>
      <c r="E1610" s="18" t="str">
        <f t="shared" si="1"/>
        <v>07/07/59</v>
      </c>
      <c r="F1610" s="18">
        <v>0.0</v>
      </c>
      <c r="G1610" s="27">
        <v>13887.97</v>
      </c>
      <c r="H1610" s="18" t="s">
        <v>140</v>
      </c>
      <c r="I1610" s="18" t="s">
        <v>140</v>
      </c>
      <c r="J1610" s="18" t="s">
        <v>146</v>
      </c>
      <c r="K1610" s="29">
        <f t="shared" si="2"/>
        <v>63</v>
      </c>
    </row>
    <row r="1611" ht="15.75" customHeight="1">
      <c r="A1611" s="18" t="s">
        <v>2325</v>
      </c>
      <c r="B1611" s="18">
        <v>1962.0</v>
      </c>
      <c r="C1611" s="18" t="s">
        <v>91</v>
      </c>
      <c r="D1611" s="18">
        <v>27.0</v>
      </c>
      <c r="E1611" s="18" t="str">
        <f t="shared" si="1"/>
        <v>27/07/62</v>
      </c>
      <c r="F1611" s="18">
        <v>3.0</v>
      </c>
      <c r="G1611" s="27">
        <v>13919.82</v>
      </c>
      <c r="H1611" s="18" t="s">
        <v>140</v>
      </c>
      <c r="I1611" s="18" t="s">
        <v>140</v>
      </c>
      <c r="J1611" s="18" t="s">
        <v>146</v>
      </c>
      <c r="K1611" s="29">
        <f t="shared" si="2"/>
        <v>60</v>
      </c>
    </row>
    <row r="1612" ht="15.75" customHeight="1">
      <c r="A1612" s="18" t="s">
        <v>2321</v>
      </c>
      <c r="B1612" s="18">
        <v>1960.0</v>
      </c>
      <c r="C1612" s="18" t="s">
        <v>241</v>
      </c>
      <c r="D1612" s="18">
        <v>18.0</v>
      </c>
      <c r="E1612" s="18" t="str">
        <f t="shared" si="1"/>
        <v>18/06/60</v>
      </c>
      <c r="F1612" s="18">
        <v>1.0</v>
      </c>
      <c r="G1612" s="27">
        <v>13937.67</v>
      </c>
      <c r="H1612" s="18" t="s">
        <v>140</v>
      </c>
      <c r="I1612" s="18" t="s">
        <v>219</v>
      </c>
      <c r="J1612" s="18" t="s">
        <v>325</v>
      </c>
      <c r="K1612" s="29">
        <f t="shared" si="2"/>
        <v>62</v>
      </c>
    </row>
    <row r="1613" ht="15.75" customHeight="1">
      <c r="A1613" s="18" t="s">
        <v>2319</v>
      </c>
      <c r="B1613" s="18">
        <v>1959.0</v>
      </c>
      <c r="C1613" s="18" t="s">
        <v>501</v>
      </c>
      <c r="D1613" s="18">
        <v>29.0</v>
      </c>
      <c r="E1613" s="18" t="str">
        <f t="shared" si="1"/>
        <v>29/08/59</v>
      </c>
      <c r="F1613" s="18">
        <v>0.0</v>
      </c>
      <c r="G1613" s="27">
        <v>13974.46</v>
      </c>
      <c r="H1613" s="18" t="s">
        <v>140</v>
      </c>
      <c r="I1613" s="18" t="s">
        <v>140</v>
      </c>
      <c r="J1613" s="18" t="s">
        <v>1421</v>
      </c>
      <c r="K1613" s="29">
        <f t="shared" si="2"/>
        <v>63</v>
      </c>
    </row>
    <row r="1614" ht="15.75" customHeight="1">
      <c r="A1614" s="18" t="s">
        <v>2317</v>
      </c>
      <c r="B1614" s="18">
        <v>1990.0</v>
      </c>
      <c r="C1614" s="18" t="s">
        <v>91</v>
      </c>
      <c r="D1614" s="18">
        <v>13.0</v>
      </c>
      <c r="E1614" s="18" t="str">
        <f t="shared" si="1"/>
        <v>13/07/90</v>
      </c>
      <c r="F1614" s="18">
        <v>3.0</v>
      </c>
      <c r="G1614" s="27">
        <v>13979.45</v>
      </c>
      <c r="H1614" s="18" t="s">
        <v>140</v>
      </c>
      <c r="I1614" s="18" t="s">
        <v>219</v>
      </c>
      <c r="J1614" s="18" t="s">
        <v>2031</v>
      </c>
      <c r="K1614" s="29">
        <f t="shared" si="2"/>
        <v>32</v>
      </c>
    </row>
    <row r="1615" ht="15.75" customHeight="1">
      <c r="A1615" s="18" t="s">
        <v>2313</v>
      </c>
      <c r="B1615" s="18">
        <v>1959.0</v>
      </c>
      <c r="C1615" s="18" t="s">
        <v>272</v>
      </c>
      <c r="D1615" s="18">
        <v>6.0</v>
      </c>
      <c r="E1615" s="18" t="str">
        <f t="shared" si="1"/>
        <v>06/09/59</v>
      </c>
      <c r="F1615" s="18">
        <v>0.0</v>
      </c>
      <c r="G1615" s="27">
        <v>13981.85</v>
      </c>
      <c r="H1615" s="18" t="s">
        <v>140</v>
      </c>
      <c r="I1615" s="18" t="s">
        <v>219</v>
      </c>
      <c r="J1615" s="18" t="s">
        <v>1427</v>
      </c>
      <c r="K1615" s="29">
        <f t="shared" si="2"/>
        <v>63</v>
      </c>
    </row>
    <row r="1616" ht="15.75" customHeight="1">
      <c r="A1616" s="18" t="s">
        <v>2311</v>
      </c>
      <c r="B1616" s="18">
        <v>1963.0</v>
      </c>
      <c r="C1616" s="18" t="s">
        <v>457</v>
      </c>
      <c r="D1616" s="18">
        <v>23.0</v>
      </c>
      <c r="E1616" s="18" t="str">
        <f t="shared" si="1"/>
        <v>23/12/63</v>
      </c>
      <c r="F1616" s="18">
        <v>3.0</v>
      </c>
      <c r="G1616" s="27">
        <v>14001.13</v>
      </c>
      <c r="H1616" s="18" t="s">
        <v>140</v>
      </c>
      <c r="I1616" s="18" t="s">
        <v>219</v>
      </c>
      <c r="J1616" s="18" t="s">
        <v>146</v>
      </c>
      <c r="K1616" s="29">
        <f t="shared" si="2"/>
        <v>59</v>
      </c>
    </row>
    <row r="1617" ht="15.75" customHeight="1">
      <c r="A1617" s="18" t="s">
        <v>2307</v>
      </c>
      <c r="B1617" s="18">
        <v>1963.0</v>
      </c>
      <c r="C1617" s="18" t="s">
        <v>91</v>
      </c>
      <c r="D1617" s="18">
        <v>6.0</v>
      </c>
      <c r="E1617" s="18" t="str">
        <f t="shared" si="1"/>
        <v>06/07/63</v>
      </c>
      <c r="F1617" s="18">
        <v>3.0</v>
      </c>
      <c r="G1617" s="27">
        <v>14001.29</v>
      </c>
      <c r="H1617" s="18" t="s">
        <v>140</v>
      </c>
      <c r="I1617" s="18" t="s">
        <v>140</v>
      </c>
      <c r="J1617" s="18" t="s">
        <v>146</v>
      </c>
      <c r="K1617" s="29">
        <f t="shared" si="2"/>
        <v>59</v>
      </c>
    </row>
    <row r="1618" ht="15.75" customHeight="1">
      <c r="A1618" s="18" t="s">
        <v>2305</v>
      </c>
      <c r="B1618" s="18">
        <v>1963.0</v>
      </c>
      <c r="C1618" s="18" t="s">
        <v>91</v>
      </c>
      <c r="D1618" s="18">
        <v>8.0</v>
      </c>
      <c r="E1618" s="18" t="str">
        <f t="shared" si="1"/>
        <v>08/07/63</v>
      </c>
      <c r="F1618" s="18">
        <v>3.0</v>
      </c>
      <c r="G1618" s="27">
        <v>14007.22</v>
      </c>
      <c r="H1618" s="18" t="s">
        <v>140</v>
      </c>
      <c r="I1618" s="18" t="s">
        <v>142</v>
      </c>
      <c r="J1618" s="18" t="s">
        <v>570</v>
      </c>
      <c r="K1618" s="29">
        <f t="shared" si="2"/>
        <v>59</v>
      </c>
    </row>
    <row r="1619" ht="15.75" customHeight="1">
      <c r="A1619" s="18" t="s">
        <v>2303</v>
      </c>
      <c r="B1619" s="18">
        <v>1960.0</v>
      </c>
      <c r="C1619" s="18" t="s">
        <v>209</v>
      </c>
      <c r="D1619" s="18">
        <v>8.0</v>
      </c>
      <c r="E1619" s="18" t="str">
        <f t="shared" si="1"/>
        <v>08/11/60</v>
      </c>
      <c r="F1619" s="18">
        <v>0.0</v>
      </c>
      <c r="G1619" s="27">
        <v>14043.48</v>
      </c>
      <c r="H1619" s="18" t="s">
        <v>140</v>
      </c>
      <c r="I1619" s="18" t="s">
        <v>142</v>
      </c>
      <c r="J1619" s="18" t="s">
        <v>2024</v>
      </c>
      <c r="K1619" s="29">
        <f t="shared" si="2"/>
        <v>62</v>
      </c>
    </row>
    <row r="1620" ht="15.75" customHeight="1">
      <c r="A1620" s="18" t="s">
        <v>2299</v>
      </c>
      <c r="B1620" s="18">
        <v>1991.0</v>
      </c>
      <c r="C1620" s="18" t="s">
        <v>272</v>
      </c>
      <c r="D1620" s="18">
        <v>12.0</v>
      </c>
      <c r="E1620" s="18" t="str">
        <f t="shared" si="1"/>
        <v>12/09/91</v>
      </c>
      <c r="F1620" s="18">
        <v>3.0</v>
      </c>
      <c r="G1620" s="27">
        <v>14081.93</v>
      </c>
      <c r="H1620" s="18" t="s">
        <v>140</v>
      </c>
      <c r="I1620" s="18" t="s">
        <v>142</v>
      </c>
      <c r="J1620" s="18" t="s">
        <v>325</v>
      </c>
      <c r="K1620" s="29">
        <f t="shared" si="2"/>
        <v>31</v>
      </c>
    </row>
    <row r="1621" ht="15.75" customHeight="1">
      <c r="A1621" s="18" t="s">
        <v>2295</v>
      </c>
      <c r="B1621" s="18">
        <v>1976.0</v>
      </c>
      <c r="C1621" s="18" t="s">
        <v>272</v>
      </c>
      <c r="D1621" s="18">
        <v>26.0</v>
      </c>
      <c r="E1621" s="18" t="str">
        <f t="shared" si="1"/>
        <v>26/09/76</v>
      </c>
      <c r="F1621" s="18">
        <v>2.0</v>
      </c>
      <c r="G1621" s="27">
        <v>14098.07</v>
      </c>
      <c r="H1621" s="18" t="s">
        <v>140</v>
      </c>
      <c r="I1621" s="18" t="s">
        <v>142</v>
      </c>
      <c r="J1621" s="18" t="s">
        <v>2031</v>
      </c>
      <c r="K1621" s="29">
        <f t="shared" si="2"/>
        <v>46</v>
      </c>
    </row>
    <row r="1622" ht="15.75" customHeight="1">
      <c r="A1622" s="18" t="s">
        <v>2292</v>
      </c>
      <c r="B1622" s="18">
        <v>1961.0</v>
      </c>
      <c r="C1622" s="18" t="s">
        <v>241</v>
      </c>
      <c r="D1622" s="18">
        <v>14.0</v>
      </c>
      <c r="E1622" s="18" t="str">
        <f t="shared" si="1"/>
        <v>14/06/61</v>
      </c>
      <c r="F1622" s="18">
        <v>2.0</v>
      </c>
      <c r="G1622" s="27">
        <v>14119.62</v>
      </c>
      <c r="H1622" s="18" t="s">
        <v>140</v>
      </c>
      <c r="I1622" s="18" t="s">
        <v>219</v>
      </c>
      <c r="J1622" s="18" t="s">
        <v>325</v>
      </c>
      <c r="K1622" s="29">
        <f t="shared" si="2"/>
        <v>61</v>
      </c>
    </row>
    <row r="1623" ht="15.75" customHeight="1">
      <c r="A1623" s="18" t="s">
        <v>2288</v>
      </c>
      <c r="B1623" s="18">
        <v>2004.0</v>
      </c>
      <c r="C1623" s="18" t="s">
        <v>91</v>
      </c>
      <c r="D1623" s="18">
        <v>6.0</v>
      </c>
      <c r="E1623" s="18" t="str">
        <f t="shared" si="1"/>
        <v>06/07/04</v>
      </c>
      <c r="F1623" s="18">
        <v>0.0</v>
      </c>
      <c r="G1623" s="27">
        <v>14133.04</v>
      </c>
      <c r="H1623" s="18" t="s">
        <v>140</v>
      </c>
      <c r="I1623" s="18" t="s">
        <v>142</v>
      </c>
      <c r="J1623" s="18" t="s">
        <v>146</v>
      </c>
      <c r="K1623" s="29">
        <f t="shared" si="2"/>
        <v>18</v>
      </c>
    </row>
    <row r="1624" ht="15.75" customHeight="1">
      <c r="A1624" s="18" t="s">
        <v>2284</v>
      </c>
      <c r="B1624" s="18">
        <v>1984.0</v>
      </c>
      <c r="C1624" s="18" t="s">
        <v>91</v>
      </c>
      <c r="D1624" s="18">
        <v>7.0</v>
      </c>
      <c r="E1624" s="18" t="str">
        <f t="shared" si="1"/>
        <v>07/07/84</v>
      </c>
      <c r="F1624" s="18">
        <v>3.0</v>
      </c>
      <c r="G1624" s="27">
        <v>14152.46</v>
      </c>
      <c r="H1624" s="18" t="s">
        <v>140</v>
      </c>
      <c r="I1624" s="18" t="s">
        <v>219</v>
      </c>
      <c r="J1624" s="18" t="s">
        <v>325</v>
      </c>
      <c r="K1624" s="29">
        <f t="shared" si="2"/>
        <v>38</v>
      </c>
    </row>
    <row r="1625" ht="15.75" customHeight="1">
      <c r="A1625" s="18" t="s">
        <v>2281</v>
      </c>
      <c r="B1625" s="18">
        <v>1968.0</v>
      </c>
      <c r="C1625" s="18" t="s">
        <v>457</v>
      </c>
      <c r="D1625" s="18">
        <v>25.0</v>
      </c>
      <c r="E1625" s="18" t="str">
        <f t="shared" si="1"/>
        <v>25/12/68</v>
      </c>
      <c r="F1625" s="18">
        <v>0.0</v>
      </c>
      <c r="G1625" s="27">
        <v>14193.55</v>
      </c>
      <c r="H1625" s="18" t="s">
        <v>140</v>
      </c>
      <c r="I1625" s="18" t="s">
        <v>219</v>
      </c>
      <c r="J1625" s="18" t="s">
        <v>3559</v>
      </c>
      <c r="K1625" s="29">
        <f t="shared" si="2"/>
        <v>54</v>
      </c>
    </row>
    <row r="1626" ht="15.75" customHeight="1">
      <c r="A1626" s="18" t="s">
        <v>2278</v>
      </c>
      <c r="B1626" s="18">
        <v>1983.0</v>
      </c>
      <c r="C1626" s="18" t="s">
        <v>209</v>
      </c>
      <c r="D1626" s="18">
        <v>17.0</v>
      </c>
      <c r="E1626" s="18" t="str">
        <f t="shared" si="1"/>
        <v>17/11/83</v>
      </c>
      <c r="F1626" s="18">
        <v>3.0</v>
      </c>
      <c r="G1626" s="27">
        <v>14209.4</v>
      </c>
      <c r="H1626" s="18" t="s">
        <v>140</v>
      </c>
      <c r="I1626" s="18" t="s">
        <v>219</v>
      </c>
      <c r="J1626" s="18" t="s">
        <v>3559</v>
      </c>
      <c r="K1626" s="29">
        <f t="shared" si="2"/>
        <v>39</v>
      </c>
    </row>
    <row r="1627" ht="15.75" customHeight="1">
      <c r="A1627" s="18" t="s">
        <v>2275</v>
      </c>
      <c r="B1627" s="18">
        <v>1958.0</v>
      </c>
      <c r="C1627" s="18" t="s">
        <v>272</v>
      </c>
      <c r="D1627" s="18">
        <v>21.0</v>
      </c>
      <c r="E1627" s="18" t="str">
        <f t="shared" si="1"/>
        <v>21/09/58</v>
      </c>
      <c r="F1627" s="18">
        <v>0.0</v>
      </c>
      <c r="G1627" s="27">
        <v>14210.54</v>
      </c>
      <c r="H1627" s="18" t="s">
        <v>140</v>
      </c>
      <c r="I1627" s="18" t="s">
        <v>140</v>
      </c>
      <c r="J1627" s="18" t="s">
        <v>325</v>
      </c>
      <c r="K1627" s="29">
        <f t="shared" si="2"/>
        <v>64</v>
      </c>
    </row>
    <row r="1628" ht="15.75" customHeight="1">
      <c r="A1628" s="18" t="s">
        <v>2271</v>
      </c>
      <c r="B1628" s="18">
        <v>1961.0</v>
      </c>
      <c r="C1628" s="18" t="s">
        <v>272</v>
      </c>
      <c r="D1628" s="18">
        <v>25.0</v>
      </c>
      <c r="E1628" s="18" t="str">
        <f t="shared" si="1"/>
        <v>25/09/61</v>
      </c>
      <c r="F1628" s="18">
        <v>2.0</v>
      </c>
      <c r="G1628" s="27">
        <v>14235.07</v>
      </c>
      <c r="H1628" s="18" t="s">
        <v>140</v>
      </c>
      <c r="I1628" s="18" t="s">
        <v>219</v>
      </c>
      <c r="J1628" s="18" t="s">
        <v>570</v>
      </c>
      <c r="K1628" s="29">
        <f t="shared" si="2"/>
        <v>61</v>
      </c>
    </row>
    <row r="1629" ht="15.75" customHeight="1">
      <c r="A1629" s="18" t="s">
        <v>2268</v>
      </c>
      <c r="B1629" s="18">
        <v>1959.0</v>
      </c>
      <c r="C1629" s="18" t="s">
        <v>517</v>
      </c>
      <c r="D1629" s="18">
        <v>10.0</v>
      </c>
      <c r="E1629" s="18" t="str">
        <f t="shared" si="1"/>
        <v>10/10/59</v>
      </c>
      <c r="F1629" s="18">
        <v>0.0</v>
      </c>
      <c r="G1629" s="27">
        <v>14254.61</v>
      </c>
      <c r="H1629" s="18" t="s">
        <v>140</v>
      </c>
      <c r="I1629" s="18" t="s">
        <v>219</v>
      </c>
      <c r="J1629" s="18" t="s">
        <v>325</v>
      </c>
      <c r="K1629" s="29">
        <f t="shared" si="2"/>
        <v>63</v>
      </c>
    </row>
    <row r="1630" ht="15.75" customHeight="1">
      <c r="A1630" s="18" t="s">
        <v>2264</v>
      </c>
      <c r="B1630" s="18">
        <v>1959.0</v>
      </c>
      <c r="C1630" s="18" t="s">
        <v>209</v>
      </c>
      <c r="D1630" s="18">
        <v>8.0</v>
      </c>
      <c r="E1630" s="18" t="str">
        <f t="shared" si="1"/>
        <v>08/11/59</v>
      </c>
      <c r="F1630" s="18">
        <v>0.0</v>
      </c>
      <c r="G1630" s="27">
        <v>14256.19</v>
      </c>
      <c r="H1630" s="18" t="s">
        <v>140</v>
      </c>
      <c r="I1630" s="18" t="s">
        <v>142</v>
      </c>
      <c r="J1630" s="18" t="s">
        <v>325</v>
      </c>
      <c r="K1630" s="29">
        <f t="shared" si="2"/>
        <v>63</v>
      </c>
    </row>
    <row r="1631" ht="15.75" customHeight="1">
      <c r="A1631" s="18" t="s">
        <v>2260</v>
      </c>
      <c r="B1631" s="18">
        <v>1974.0</v>
      </c>
      <c r="C1631" s="18" t="s">
        <v>457</v>
      </c>
      <c r="D1631" s="18">
        <v>26.0</v>
      </c>
      <c r="E1631" s="18" t="str">
        <f t="shared" si="1"/>
        <v>26/12/74</v>
      </c>
      <c r="F1631" s="18">
        <v>0.0</v>
      </c>
      <c r="G1631" s="27">
        <v>14256.79</v>
      </c>
      <c r="H1631" s="18" t="s">
        <v>140</v>
      </c>
      <c r="I1631" s="18" t="s">
        <v>140</v>
      </c>
      <c r="J1631" s="18" t="s">
        <v>3559</v>
      </c>
      <c r="K1631" s="29">
        <f t="shared" si="2"/>
        <v>48</v>
      </c>
    </row>
    <row r="1632" ht="15.75" customHeight="1">
      <c r="A1632" s="18" t="s">
        <v>2259</v>
      </c>
      <c r="B1632" s="18">
        <v>1972.0</v>
      </c>
      <c r="C1632" s="18" t="s">
        <v>91</v>
      </c>
      <c r="D1632" s="18">
        <v>13.0</v>
      </c>
      <c r="E1632" s="18" t="str">
        <f t="shared" si="1"/>
        <v>13/07/72</v>
      </c>
      <c r="F1632" s="18">
        <v>0.0</v>
      </c>
      <c r="G1632" s="27">
        <v>14258.33</v>
      </c>
      <c r="H1632" s="18" t="s">
        <v>140</v>
      </c>
      <c r="I1632" s="18" t="s">
        <v>140</v>
      </c>
      <c r="J1632" s="18" t="s">
        <v>3559</v>
      </c>
      <c r="K1632" s="29">
        <f t="shared" si="2"/>
        <v>50</v>
      </c>
    </row>
    <row r="1633" ht="15.75" customHeight="1">
      <c r="A1633" s="18" t="s">
        <v>2256</v>
      </c>
      <c r="B1633" s="18">
        <v>2004.0</v>
      </c>
      <c r="C1633" s="18" t="s">
        <v>272</v>
      </c>
      <c r="D1633" s="18">
        <v>6.0</v>
      </c>
      <c r="E1633" s="18" t="str">
        <f t="shared" si="1"/>
        <v>06/09/04</v>
      </c>
      <c r="F1633" s="18">
        <v>0.0</v>
      </c>
      <c r="G1633" s="27">
        <v>14283.46</v>
      </c>
      <c r="H1633" s="18" t="s">
        <v>140</v>
      </c>
      <c r="I1633" s="18" t="s">
        <v>140</v>
      </c>
      <c r="J1633" s="18" t="s">
        <v>2024</v>
      </c>
      <c r="K1633" s="29">
        <f t="shared" si="2"/>
        <v>18</v>
      </c>
    </row>
    <row r="1634" ht="15.75" customHeight="1">
      <c r="A1634" s="18" t="s">
        <v>2252</v>
      </c>
      <c r="B1634" s="18">
        <v>1968.0</v>
      </c>
      <c r="C1634" s="18" t="s">
        <v>457</v>
      </c>
      <c r="D1634" s="18">
        <v>15.0</v>
      </c>
      <c r="E1634" s="18" t="str">
        <f t="shared" si="1"/>
        <v>15/12/68</v>
      </c>
      <c r="F1634" s="18">
        <v>0.0</v>
      </c>
      <c r="G1634" s="27">
        <v>14285.9</v>
      </c>
      <c r="H1634" s="18" t="s">
        <v>140</v>
      </c>
      <c r="I1634" s="18" t="s">
        <v>142</v>
      </c>
      <c r="J1634" s="18" t="s">
        <v>325</v>
      </c>
      <c r="K1634" s="29">
        <f t="shared" si="2"/>
        <v>54</v>
      </c>
    </row>
    <row r="1635" ht="15.75" customHeight="1">
      <c r="A1635" s="18" t="s">
        <v>2249</v>
      </c>
      <c r="B1635" s="18">
        <v>1958.0</v>
      </c>
      <c r="C1635" s="18" t="s">
        <v>517</v>
      </c>
      <c r="D1635" s="18">
        <v>15.0</v>
      </c>
      <c r="E1635" s="18" t="str">
        <f t="shared" si="1"/>
        <v>15/10/58</v>
      </c>
      <c r="F1635" s="18">
        <v>0.0</v>
      </c>
      <c r="G1635" s="27">
        <v>14313.85</v>
      </c>
      <c r="H1635" s="18" t="s">
        <v>140</v>
      </c>
      <c r="I1635" s="18" t="s">
        <v>142</v>
      </c>
      <c r="J1635" s="18" t="s">
        <v>146</v>
      </c>
      <c r="K1635" s="29">
        <f t="shared" si="2"/>
        <v>64</v>
      </c>
    </row>
    <row r="1636" ht="15.75" customHeight="1">
      <c r="A1636" s="18" t="s">
        <v>2246</v>
      </c>
      <c r="B1636" s="18">
        <v>1958.0</v>
      </c>
      <c r="C1636" s="18" t="s">
        <v>91</v>
      </c>
      <c r="D1636" s="18">
        <v>10.0</v>
      </c>
      <c r="E1636" s="18" t="str">
        <f t="shared" si="1"/>
        <v>10/07/58</v>
      </c>
      <c r="F1636" s="18">
        <v>0.0</v>
      </c>
      <c r="G1636" s="27">
        <v>14319.03</v>
      </c>
      <c r="H1636" s="18" t="s">
        <v>140</v>
      </c>
      <c r="I1636" s="18" t="s">
        <v>140</v>
      </c>
      <c r="J1636" s="18" t="s">
        <v>570</v>
      </c>
      <c r="K1636" s="29">
        <f t="shared" si="2"/>
        <v>64</v>
      </c>
    </row>
    <row r="1637" ht="15.75" customHeight="1">
      <c r="A1637" s="18" t="s">
        <v>2242</v>
      </c>
      <c r="B1637" s="18">
        <v>1969.0</v>
      </c>
      <c r="C1637" s="18" t="s">
        <v>272</v>
      </c>
      <c r="D1637" s="18">
        <v>26.0</v>
      </c>
      <c r="E1637" s="18" t="str">
        <f t="shared" si="1"/>
        <v>26/09/69</v>
      </c>
      <c r="F1637" s="18">
        <v>0.0</v>
      </c>
      <c r="G1637" s="27">
        <v>14337.91</v>
      </c>
      <c r="H1637" s="18" t="s">
        <v>140</v>
      </c>
      <c r="I1637" s="18" t="s">
        <v>142</v>
      </c>
      <c r="J1637" s="18" t="s">
        <v>3978</v>
      </c>
      <c r="K1637" s="29">
        <f t="shared" si="2"/>
        <v>53</v>
      </c>
    </row>
    <row r="1638" ht="15.75" customHeight="1">
      <c r="A1638" s="18" t="s">
        <v>2239</v>
      </c>
      <c r="B1638" s="18">
        <v>1959.0</v>
      </c>
      <c r="C1638" s="18" t="s">
        <v>457</v>
      </c>
      <c r="D1638" s="18">
        <v>24.0</v>
      </c>
      <c r="E1638" s="18" t="str">
        <f t="shared" si="1"/>
        <v>24/12/59</v>
      </c>
      <c r="F1638" s="18">
        <v>1.0</v>
      </c>
      <c r="G1638" s="27">
        <v>14349.85</v>
      </c>
      <c r="H1638" s="18" t="s">
        <v>140</v>
      </c>
      <c r="I1638" s="18" t="s">
        <v>140</v>
      </c>
      <c r="J1638" s="18" t="s">
        <v>325</v>
      </c>
      <c r="K1638" s="29">
        <f t="shared" si="2"/>
        <v>63</v>
      </c>
    </row>
    <row r="1639" ht="15.75" customHeight="1">
      <c r="A1639" s="18" t="s">
        <v>2235</v>
      </c>
      <c r="B1639" s="18">
        <v>1967.0</v>
      </c>
      <c r="C1639" s="18" t="s">
        <v>517</v>
      </c>
      <c r="D1639" s="18">
        <v>10.0</v>
      </c>
      <c r="E1639" s="18" t="str">
        <f t="shared" si="1"/>
        <v>10/10/67</v>
      </c>
      <c r="F1639" s="18">
        <v>0.0</v>
      </c>
      <c r="G1639" s="27">
        <v>14355.43</v>
      </c>
      <c r="H1639" s="18" t="s">
        <v>140</v>
      </c>
      <c r="I1639" s="18" t="s">
        <v>219</v>
      </c>
      <c r="J1639" s="18" t="s">
        <v>3559</v>
      </c>
      <c r="K1639" s="29">
        <f t="shared" si="2"/>
        <v>55</v>
      </c>
    </row>
    <row r="1640" ht="15.75" customHeight="1">
      <c r="A1640" s="18" t="s">
        <v>2231</v>
      </c>
      <c r="B1640" s="18">
        <v>1988.0</v>
      </c>
      <c r="C1640" s="18" t="s">
        <v>209</v>
      </c>
      <c r="D1640" s="18">
        <v>16.0</v>
      </c>
      <c r="E1640" s="18" t="str">
        <f t="shared" si="1"/>
        <v>16/11/88</v>
      </c>
      <c r="F1640" s="18">
        <v>1.0</v>
      </c>
      <c r="G1640" s="27">
        <v>14358.36</v>
      </c>
      <c r="H1640" s="18" t="s">
        <v>140</v>
      </c>
      <c r="I1640" s="18" t="s">
        <v>140</v>
      </c>
      <c r="J1640" s="18" t="s">
        <v>570</v>
      </c>
      <c r="K1640" s="29">
        <f t="shared" si="2"/>
        <v>34</v>
      </c>
    </row>
    <row r="1641" ht="15.75" customHeight="1">
      <c r="A1641" s="18" t="s">
        <v>2228</v>
      </c>
      <c r="B1641" s="18">
        <v>1963.0</v>
      </c>
      <c r="C1641" s="18" t="s">
        <v>91</v>
      </c>
      <c r="D1641" s="18">
        <v>16.0</v>
      </c>
      <c r="E1641" s="18" t="str">
        <f t="shared" si="1"/>
        <v>16/07/63</v>
      </c>
      <c r="F1641" s="18">
        <v>3.0</v>
      </c>
      <c r="G1641" s="27">
        <v>14382.71</v>
      </c>
      <c r="H1641" s="18" t="s">
        <v>140</v>
      </c>
      <c r="I1641" s="18" t="s">
        <v>140</v>
      </c>
      <c r="J1641" s="18" t="s">
        <v>325</v>
      </c>
      <c r="K1641" s="29">
        <f t="shared" si="2"/>
        <v>59</v>
      </c>
    </row>
    <row r="1642" ht="15.75" customHeight="1">
      <c r="A1642" s="18" t="s">
        <v>2225</v>
      </c>
      <c r="B1642" s="18">
        <v>1965.0</v>
      </c>
      <c r="C1642" s="18" t="s">
        <v>241</v>
      </c>
      <c r="D1642" s="18">
        <v>22.0</v>
      </c>
      <c r="E1642" s="18" t="str">
        <f t="shared" si="1"/>
        <v>22/06/65</v>
      </c>
      <c r="F1642" s="18">
        <v>4.0</v>
      </c>
      <c r="G1642" s="27">
        <v>14394.4</v>
      </c>
      <c r="H1642" s="18" t="s">
        <v>140</v>
      </c>
      <c r="I1642" s="18" t="s">
        <v>142</v>
      </c>
      <c r="J1642" s="18" t="s">
        <v>2024</v>
      </c>
      <c r="K1642" s="29">
        <f t="shared" si="2"/>
        <v>57</v>
      </c>
    </row>
    <row r="1643" ht="15.75" customHeight="1">
      <c r="A1643" s="18" t="s">
        <v>2221</v>
      </c>
      <c r="B1643" s="18">
        <v>1958.0</v>
      </c>
      <c r="C1643" s="18" t="s">
        <v>272</v>
      </c>
      <c r="D1643" s="18">
        <v>14.0</v>
      </c>
      <c r="E1643" s="18" t="str">
        <f t="shared" si="1"/>
        <v>14/09/58</v>
      </c>
      <c r="F1643" s="18">
        <v>0.0</v>
      </c>
      <c r="G1643" s="27">
        <v>14394.56</v>
      </c>
      <c r="H1643" s="18" t="s">
        <v>140</v>
      </c>
      <c r="I1643" s="18" t="s">
        <v>219</v>
      </c>
      <c r="J1643" s="18" t="s">
        <v>1434</v>
      </c>
      <c r="K1643" s="29">
        <f t="shared" si="2"/>
        <v>64</v>
      </c>
    </row>
    <row r="1644" ht="15.75" customHeight="1">
      <c r="A1644" s="18" t="s">
        <v>2217</v>
      </c>
      <c r="B1644" s="18">
        <v>1958.0</v>
      </c>
      <c r="C1644" s="18" t="s">
        <v>91</v>
      </c>
      <c r="D1644" s="18">
        <v>29.0</v>
      </c>
      <c r="E1644" s="18" t="str">
        <f t="shared" si="1"/>
        <v>29/07/58</v>
      </c>
      <c r="F1644" s="18">
        <v>0.0</v>
      </c>
      <c r="G1644" s="27">
        <v>14410.93</v>
      </c>
      <c r="H1644" s="18" t="s">
        <v>140</v>
      </c>
      <c r="I1644" s="18" t="s">
        <v>140</v>
      </c>
      <c r="J1644" s="18" t="s">
        <v>1427</v>
      </c>
      <c r="K1644" s="29">
        <f t="shared" si="2"/>
        <v>64</v>
      </c>
    </row>
    <row r="1645" ht="15.75" customHeight="1">
      <c r="A1645" s="18" t="s">
        <v>2214</v>
      </c>
      <c r="B1645" s="18">
        <v>1958.0</v>
      </c>
      <c r="C1645" s="18" t="s">
        <v>272</v>
      </c>
      <c r="D1645" s="18">
        <v>20.0</v>
      </c>
      <c r="E1645" s="18" t="str">
        <f t="shared" si="1"/>
        <v>20/09/58</v>
      </c>
      <c r="F1645" s="18">
        <v>1.0</v>
      </c>
      <c r="G1645" s="27">
        <v>14418.28</v>
      </c>
      <c r="H1645" s="18" t="s">
        <v>140</v>
      </c>
      <c r="I1645" s="18" t="s">
        <v>142</v>
      </c>
      <c r="J1645" s="18" t="s">
        <v>146</v>
      </c>
      <c r="K1645" s="29">
        <f t="shared" si="2"/>
        <v>64</v>
      </c>
    </row>
    <row r="1646" ht="15.75" customHeight="1">
      <c r="A1646" s="18" t="s">
        <v>2210</v>
      </c>
      <c r="B1646" s="18">
        <v>1999.0</v>
      </c>
      <c r="C1646" s="18" t="s">
        <v>501</v>
      </c>
      <c r="D1646" s="18">
        <v>10.0</v>
      </c>
      <c r="E1646" s="18" t="str">
        <f t="shared" si="1"/>
        <v>10/08/99</v>
      </c>
      <c r="F1646" s="18">
        <v>2.0</v>
      </c>
      <c r="G1646" s="27">
        <v>14426.07</v>
      </c>
      <c r="H1646" s="18" t="s">
        <v>140</v>
      </c>
      <c r="I1646" s="18" t="s">
        <v>219</v>
      </c>
      <c r="J1646" s="18" t="s">
        <v>325</v>
      </c>
      <c r="K1646" s="29">
        <f t="shared" si="2"/>
        <v>23</v>
      </c>
    </row>
    <row r="1647" ht="15.75" customHeight="1">
      <c r="A1647" s="18" t="s">
        <v>2206</v>
      </c>
      <c r="B1647" s="18">
        <v>1967.0</v>
      </c>
      <c r="C1647" s="18" t="s">
        <v>501</v>
      </c>
      <c r="D1647" s="18">
        <v>15.0</v>
      </c>
      <c r="E1647" s="18" t="str">
        <f t="shared" si="1"/>
        <v>15/08/67</v>
      </c>
      <c r="F1647" s="18">
        <v>0.0</v>
      </c>
      <c r="G1647" s="27">
        <v>14426.66</v>
      </c>
      <c r="H1647" s="18" t="s">
        <v>140</v>
      </c>
      <c r="I1647" s="18" t="s">
        <v>140</v>
      </c>
      <c r="J1647" s="18" t="s">
        <v>3559</v>
      </c>
      <c r="K1647" s="29">
        <f t="shared" si="2"/>
        <v>55</v>
      </c>
    </row>
    <row r="1648" ht="15.75" customHeight="1">
      <c r="A1648" s="18" t="s">
        <v>2203</v>
      </c>
      <c r="B1648" s="18">
        <v>1967.0</v>
      </c>
      <c r="C1648" s="18" t="s">
        <v>209</v>
      </c>
      <c r="D1648" s="18">
        <v>4.0</v>
      </c>
      <c r="E1648" s="18" t="str">
        <f t="shared" si="1"/>
        <v>04/11/67</v>
      </c>
      <c r="F1648" s="18">
        <v>0.0</v>
      </c>
      <c r="G1648" s="27">
        <v>14427.63</v>
      </c>
      <c r="H1648" s="18" t="s">
        <v>140</v>
      </c>
      <c r="I1648" s="18" t="s">
        <v>140</v>
      </c>
      <c r="J1648" s="18" t="s">
        <v>2314</v>
      </c>
      <c r="K1648" s="29">
        <f t="shared" si="2"/>
        <v>55</v>
      </c>
    </row>
    <row r="1649" ht="15.75" customHeight="1">
      <c r="A1649" s="18" t="s">
        <v>2199</v>
      </c>
      <c r="B1649" s="18">
        <v>1959.0</v>
      </c>
      <c r="C1649" s="18" t="s">
        <v>241</v>
      </c>
      <c r="D1649" s="18">
        <v>29.0</v>
      </c>
      <c r="E1649" s="18" t="str">
        <f t="shared" si="1"/>
        <v>29/06/59</v>
      </c>
      <c r="F1649" s="18">
        <v>0.0</v>
      </c>
      <c r="G1649" s="27">
        <v>14449.85</v>
      </c>
      <c r="H1649" s="18" t="s">
        <v>140</v>
      </c>
      <c r="I1649" s="18" t="s">
        <v>219</v>
      </c>
      <c r="J1649" s="18" t="s">
        <v>2024</v>
      </c>
      <c r="K1649" s="29">
        <f t="shared" si="2"/>
        <v>63</v>
      </c>
    </row>
    <row r="1650" ht="15.75" customHeight="1">
      <c r="A1650" s="18" t="s">
        <v>2196</v>
      </c>
      <c r="B1650" s="18">
        <v>1959.0</v>
      </c>
      <c r="C1650" s="18" t="s">
        <v>501</v>
      </c>
      <c r="D1650" s="18">
        <v>3.0</v>
      </c>
      <c r="E1650" s="18" t="str">
        <f t="shared" si="1"/>
        <v>03/08/59</v>
      </c>
      <c r="F1650" s="18">
        <v>0.0</v>
      </c>
      <c r="G1650" s="27">
        <v>14451.84</v>
      </c>
      <c r="H1650" s="18" t="s">
        <v>140</v>
      </c>
      <c r="I1650" s="18" t="s">
        <v>142</v>
      </c>
      <c r="J1650" s="18" t="s">
        <v>2031</v>
      </c>
      <c r="K1650" s="29">
        <f t="shared" si="2"/>
        <v>63</v>
      </c>
    </row>
    <row r="1651" ht="15.75" customHeight="1">
      <c r="A1651" s="18" t="s">
        <v>2192</v>
      </c>
      <c r="B1651" s="18">
        <v>1996.0</v>
      </c>
      <c r="C1651" s="18" t="s">
        <v>209</v>
      </c>
      <c r="D1651" s="18">
        <v>10.0</v>
      </c>
      <c r="E1651" s="18" t="str">
        <f t="shared" si="1"/>
        <v>10/11/96</v>
      </c>
      <c r="F1651" s="18">
        <v>2.0</v>
      </c>
      <c r="G1651" s="27">
        <v>14455.64</v>
      </c>
      <c r="H1651" s="18" t="s">
        <v>140</v>
      </c>
      <c r="I1651" s="18" t="s">
        <v>142</v>
      </c>
      <c r="J1651" s="18" t="s">
        <v>2024</v>
      </c>
      <c r="K1651" s="29">
        <f t="shared" si="2"/>
        <v>26</v>
      </c>
    </row>
    <row r="1652" ht="15.75" customHeight="1">
      <c r="A1652" s="18" t="s">
        <v>2188</v>
      </c>
      <c r="B1652" s="18">
        <v>1976.0</v>
      </c>
      <c r="C1652" s="18" t="s">
        <v>209</v>
      </c>
      <c r="D1652" s="18">
        <v>27.0</v>
      </c>
      <c r="E1652" s="18" t="str">
        <f t="shared" si="1"/>
        <v>27/11/76</v>
      </c>
      <c r="F1652" s="18">
        <v>2.0</v>
      </c>
      <c r="G1652" s="27">
        <v>14470.01</v>
      </c>
      <c r="H1652" s="18" t="s">
        <v>140</v>
      </c>
      <c r="I1652" s="18" t="s">
        <v>142</v>
      </c>
      <c r="J1652" s="18" t="s">
        <v>325</v>
      </c>
      <c r="K1652" s="29">
        <f t="shared" si="2"/>
        <v>46</v>
      </c>
    </row>
    <row r="1653" ht="15.75" customHeight="1">
      <c r="A1653" s="18" t="s">
        <v>2184</v>
      </c>
      <c r="B1653" s="18">
        <v>1959.0</v>
      </c>
      <c r="C1653" s="18" t="s">
        <v>209</v>
      </c>
      <c r="D1653" s="18">
        <v>20.0</v>
      </c>
      <c r="E1653" s="18" t="str">
        <f t="shared" si="1"/>
        <v>20/11/59</v>
      </c>
      <c r="F1653" s="18">
        <v>1.0</v>
      </c>
      <c r="G1653" s="27">
        <v>14474.68</v>
      </c>
      <c r="H1653" s="18" t="s">
        <v>140</v>
      </c>
      <c r="I1653" s="18" t="s">
        <v>140</v>
      </c>
      <c r="J1653" s="18" t="s">
        <v>146</v>
      </c>
      <c r="K1653" s="29">
        <f t="shared" si="2"/>
        <v>63</v>
      </c>
    </row>
    <row r="1654" ht="15.75" customHeight="1">
      <c r="A1654" s="18" t="s">
        <v>2181</v>
      </c>
      <c r="B1654" s="18">
        <v>1979.0</v>
      </c>
      <c r="C1654" s="18" t="s">
        <v>517</v>
      </c>
      <c r="D1654" s="18">
        <v>20.0</v>
      </c>
      <c r="E1654" s="18" t="str">
        <f t="shared" si="1"/>
        <v>20/10/79</v>
      </c>
      <c r="F1654" s="18">
        <v>5.0</v>
      </c>
      <c r="G1654" s="27">
        <v>14478.33</v>
      </c>
      <c r="H1654" s="18" t="s">
        <v>140</v>
      </c>
      <c r="I1654" s="18" t="s">
        <v>140</v>
      </c>
      <c r="J1654" s="18" t="s">
        <v>146</v>
      </c>
      <c r="K1654" s="29">
        <f t="shared" si="2"/>
        <v>43</v>
      </c>
    </row>
    <row r="1655" ht="15.75" customHeight="1">
      <c r="A1655" s="18" t="s">
        <v>2177</v>
      </c>
      <c r="B1655" s="18">
        <v>1989.0</v>
      </c>
      <c r="C1655" s="18" t="s">
        <v>91</v>
      </c>
      <c r="D1655" s="18">
        <v>22.0</v>
      </c>
      <c r="E1655" s="18" t="str">
        <f t="shared" si="1"/>
        <v>22/07/89</v>
      </c>
      <c r="F1655" s="18">
        <v>3.0</v>
      </c>
      <c r="G1655" s="27">
        <v>14507.46</v>
      </c>
      <c r="H1655" s="18" t="s">
        <v>140</v>
      </c>
      <c r="I1655" s="18" t="s">
        <v>142</v>
      </c>
      <c r="J1655" s="18" t="s">
        <v>325</v>
      </c>
      <c r="K1655" s="29">
        <f t="shared" si="2"/>
        <v>33</v>
      </c>
    </row>
    <row r="1656" ht="15.75" customHeight="1">
      <c r="A1656" s="18" t="s">
        <v>2173</v>
      </c>
      <c r="B1656" s="18">
        <v>1989.0</v>
      </c>
      <c r="C1656" s="18" t="s">
        <v>91</v>
      </c>
      <c r="D1656" s="18">
        <v>14.0</v>
      </c>
      <c r="E1656" s="18" t="str">
        <f t="shared" si="1"/>
        <v>14/07/89</v>
      </c>
      <c r="F1656" s="18">
        <v>3.0</v>
      </c>
      <c r="G1656" s="27">
        <v>14547.26</v>
      </c>
      <c r="H1656" s="18" t="s">
        <v>140</v>
      </c>
      <c r="I1656" s="18" t="s">
        <v>142</v>
      </c>
      <c r="J1656" s="18" t="s">
        <v>570</v>
      </c>
      <c r="K1656" s="29">
        <f t="shared" si="2"/>
        <v>33</v>
      </c>
    </row>
    <row r="1657" ht="15.75" customHeight="1">
      <c r="A1657" s="18" t="s">
        <v>2171</v>
      </c>
      <c r="B1657" s="18">
        <v>1998.0</v>
      </c>
      <c r="C1657" s="18" t="s">
        <v>272</v>
      </c>
      <c r="D1657" s="18">
        <v>12.0</v>
      </c>
      <c r="E1657" s="18" t="str">
        <f t="shared" si="1"/>
        <v>12/09/98</v>
      </c>
      <c r="F1657" s="18">
        <v>0.0</v>
      </c>
      <c r="G1657" s="27">
        <v>14571.89</v>
      </c>
      <c r="H1657" s="18" t="s">
        <v>140</v>
      </c>
      <c r="I1657" s="18" t="s">
        <v>219</v>
      </c>
      <c r="J1657" s="18" t="s">
        <v>2024</v>
      </c>
      <c r="K1657" s="29">
        <f t="shared" si="2"/>
        <v>24</v>
      </c>
    </row>
    <row r="1658" ht="15.75" customHeight="1">
      <c r="A1658" s="18" t="s">
        <v>2167</v>
      </c>
      <c r="B1658" s="18">
        <v>1962.0</v>
      </c>
      <c r="C1658" s="18" t="s">
        <v>457</v>
      </c>
      <c r="D1658" s="18">
        <v>3.0</v>
      </c>
      <c r="E1658" s="18" t="str">
        <f t="shared" si="1"/>
        <v>03/12/62</v>
      </c>
      <c r="F1658" s="18">
        <v>0.0</v>
      </c>
      <c r="G1658" s="27">
        <v>14574.64</v>
      </c>
      <c r="H1658" s="18" t="s">
        <v>140</v>
      </c>
      <c r="I1658" s="18" t="s">
        <v>219</v>
      </c>
      <c r="J1658" s="18" t="s">
        <v>1647</v>
      </c>
      <c r="K1658" s="29">
        <f t="shared" si="2"/>
        <v>60</v>
      </c>
    </row>
    <row r="1659" ht="15.75" customHeight="1">
      <c r="A1659" s="18" t="s">
        <v>2163</v>
      </c>
      <c r="B1659" s="18">
        <v>1963.0</v>
      </c>
      <c r="C1659" s="18" t="s">
        <v>517</v>
      </c>
      <c r="D1659" s="18">
        <v>14.0</v>
      </c>
      <c r="E1659" s="18" t="str">
        <f t="shared" si="1"/>
        <v>14/10/63</v>
      </c>
      <c r="F1659" s="18">
        <v>3.0</v>
      </c>
      <c r="G1659" s="27">
        <v>14590.63</v>
      </c>
      <c r="H1659" s="18" t="s">
        <v>140</v>
      </c>
      <c r="I1659" s="18" t="s">
        <v>219</v>
      </c>
      <c r="J1659" s="18" t="s">
        <v>2024</v>
      </c>
      <c r="K1659" s="29">
        <f t="shared" si="2"/>
        <v>59</v>
      </c>
    </row>
    <row r="1660" ht="15.75" customHeight="1">
      <c r="A1660" s="18" t="s">
        <v>2161</v>
      </c>
      <c r="B1660" s="18">
        <v>1967.0</v>
      </c>
      <c r="C1660" s="18" t="s">
        <v>91</v>
      </c>
      <c r="D1660" s="18">
        <v>18.0</v>
      </c>
      <c r="E1660" s="18" t="str">
        <f t="shared" si="1"/>
        <v>18/07/67</v>
      </c>
      <c r="F1660" s="18">
        <v>0.0</v>
      </c>
      <c r="G1660" s="27">
        <v>14600.62</v>
      </c>
      <c r="H1660" s="18" t="s">
        <v>140</v>
      </c>
      <c r="I1660" s="18" t="s">
        <v>142</v>
      </c>
      <c r="J1660" s="18" t="s">
        <v>3978</v>
      </c>
      <c r="K1660" s="29">
        <f t="shared" si="2"/>
        <v>55</v>
      </c>
    </row>
    <row r="1661" ht="15.75" customHeight="1">
      <c r="A1661" s="18" t="s">
        <v>2157</v>
      </c>
      <c r="B1661" s="18">
        <v>1965.0</v>
      </c>
      <c r="C1661" s="18" t="s">
        <v>209</v>
      </c>
      <c r="D1661" s="18">
        <v>8.0</v>
      </c>
      <c r="E1661" s="18" t="str">
        <f t="shared" si="1"/>
        <v>08/11/65</v>
      </c>
      <c r="F1661" s="18">
        <v>0.0</v>
      </c>
      <c r="G1661" s="27">
        <v>14612.33</v>
      </c>
      <c r="H1661" s="18" t="s">
        <v>140</v>
      </c>
      <c r="I1661" s="18" t="s">
        <v>142</v>
      </c>
      <c r="J1661" s="18" t="s">
        <v>2314</v>
      </c>
      <c r="K1661" s="29">
        <f t="shared" si="2"/>
        <v>57</v>
      </c>
    </row>
    <row r="1662" ht="15.75" customHeight="1">
      <c r="A1662" s="18" t="s">
        <v>2153</v>
      </c>
      <c r="B1662" s="18">
        <v>1991.0</v>
      </c>
      <c r="C1662" s="18" t="s">
        <v>501</v>
      </c>
      <c r="D1662" s="18">
        <v>21.0</v>
      </c>
      <c r="E1662" s="18" t="str">
        <f t="shared" si="1"/>
        <v>21/08/91</v>
      </c>
      <c r="F1662" s="18">
        <v>3.0</v>
      </c>
      <c r="G1662" s="27">
        <v>14630.52</v>
      </c>
      <c r="H1662" s="18" t="s">
        <v>140</v>
      </c>
      <c r="I1662" s="18" t="s">
        <v>142</v>
      </c>
      <c r="J1662" s="18" t="s">
        <v>570</v>
      </c>
      <c r="K1662" s="29">
        <f t="shared" si="2"/>
        <v>31</v>
      </c>
    </row>
    <row r="1663" ht="15.75" customHeight="1">
      <c r="A1663" s="18" t="s">
        <v>2150</v>
      </c>
      <c r="B1663" s="18">
        <v>1967.0</v>
      </c>
      <c r="C1663" s="18" t="s">
        <v>272</v>
      </c>
      <c r="D1663" s="18">
        <v>1.0</v>
      </c>
      <c r="E1663" s="18" t="str">
        <f t="shared" si="1"/>
        <v>01/09/67</v>
      </c>
      <c r="F1663" s="18">
        <v>0.0</v>
      </c>
      <c r="G1663" s="27">
        <v>14640.35</v>
      </c>
      <c r="H1663" s="18" t="s">
        <v>140</v>
      </c>
      <c r="I1663" s="18" t="s">
        <v>142</v>
      </c>
      <c r="J1663" s="18" t="s">
        <v>3559</v>
      </c>
      <c r="K1663" s="29">
        <f t="shared" si="2"/>
        <v>55</v>
      </c>
    </row>
    <row r="1664" ht="15.75" customHeight="1">
      <c r="A1664" s="18" t="s">
        <v>2146</v>
      </c>
      <c r="B1664" s="18">
        <v>1981.0</v>
      </c>
      <c r="C1664" s="18" t="s">
        <v>209</v>
      </c>
      <c r="D1664" s="18">
        <v>13.0</v>
      </c>
      <c r="E1664" s="18" t="str">
        <f t="shared" si="1"/>
        <v>13/11/81</v>
      </c>
      <c r="F1664" s="18">
        <v>1.0</v>
      </c>
      <c r="G1664" s="27">
        <v>14657.2</v>
      </c>
      <c r="H1664" s="18" t="s">
        <v>140</v>
      </c>
      <c r="I1664" s="18" t="s">
        <v>219</v>
      </c>
      <c r="J1664" s="18" t="s">
        <v>325</v>
      </c>
      <c r="K1664" s="29">
        <f t="shared" si="2"/>
        <v>41</v>
      </c>
    </row>
    <row r="1665" ht="15.75" customHeight="1">
      <c r="A1665" s="18" t="s">
        <v>2143</v>
      </c>
      <c r="B1665" s="18">
        <v>1969.0</v>
      </c>
      <c r="C1665" s="18" t="s">
        <v>517</v>
      </c>
      <c r="D1665" s="18">
        <v>20.0</v>
      </c>
      <c r="E1665" s="18" t="str">
        <f t="shared" si="1"/>
        <v>20/10/69</v>
      </c>
      <c r="F1665" s="18">
        <v>0.0</v>
      </c>
      <c r="G1665" s="27">
        <v>14665.75</v>
      </c>
      <c r="H1665" s="18" t="s">
        <v>140</v>
      </c>
      <c r="I1665" s="18" t="s">
        <v>219</v>
      </c>
      <c r="J1665" s="18" t="s">
        <v>325</v>
      </c>
      <c r="K1665" s="29">
        <f t="shared" si="2"/>
        <v>53</v>
      </c>
    </row>
    <row r="1666" ht="15.75" customHeight="1">
      <c r="A1666" s="18" t="s">
        <v>2139</v>
      </c>
      <c r="B1666" s="18">
        <v>1958.0</v>
      </c>
      <c r="C1666" s="18" t="s">
        <v>91</v>
      </c>
      <c r="D1666" s="18">
        <v>23.0</v>
      </c>
      <c r="E1666" s="18" t="str">
        <f t="shared" si="1"/>
        <v>23/07/58</v>
      </c>
      <c r="F1666" s="18">
        <v>0.0</v>
      </c>
      <c r="G1666" s="27">
        <v>14692.67</v>
      </c>
      <c r="H1666" s="18" t="s">
        <v>140</v>
      </c>
      <c r="I1666" s="18" t="s">
        <v>219</v>
      </c>
      <c r="J1666" s="18" t="s">
        <v>325</v>
      </c>
      <c r="K1666" s="29">
        <f t="shared" si="2"/>
        <v>64</v>
      </c>
    </row>
    <row r="1667" ht="15.75" customHeight="1">
      <c r="A1667" s="18" t="s">
        <v>2135</v>
      </c>
      <c r="B1667" s="18">
        <v>1982.0</v>
      </c>
      <c r="C1667" s="18" t="s">
        <v>272</v>
      </c>
      <c r="D1667" s="18">
        <v>4.0</v>
      </c>
      <c r="E1667" s="18" t="str">
        <f t="shared" si="1"/>
        <v>04/09/82</v>
      </c>
      <c r="F1667" s="18">
        <v>3.0</v>
      </c>
      <c r="G1667" s="27">
        <v>14696.77</v>
      </c>
      <c r="H1667" s="18" t="s">
        <v>140</v>
      </c>
      <c r="I1667" s="18" t="s">
        <v>140</v>
      </c>
      <c r="J1667" s="18" t="s">
        <v>570</v>
      </c>
      <c r="K1667" s="29">
        <f t="shared" si="2"/>
        <v>40</v>
      </c>
    </row>
    <row r="1668" ht="15.75" customHeight="1">
      <c r="A1668" s="18" t="s">
        <v>2132</v>
      </c>
      <c r="B1668" s="18">
        <v>2002.0</v>
      </c>
      <c r="C1668" s="18" t="s">
        <v>272</v>
      </c>
      <c r="D1668" s="18">
        <v>24.0</v>
      </c>
      <c r="E1668" s="18" t="str">
        <f t="shared" si="1"/>
        <v>24/09/02</v>
      </c>
      <c r="F1668" s="18">
        <v>0.0</v>
      </c>
      <c r="G1668" s="27">
        <v>14711.74</v>
      </c>
      <c r="H1668" s="18" t="s">
        <v>140</v>
      </c>
      <c r="I1668" s="18" t="s">
        <v>140</v>
      </c>
      <c r="J1668" s="18" t="s">
        <v>325</v>
      </c>
      <c r="K1668" s="29">
        <f t="shared" si="2"/>
        <v>20</v>
      </c>
    </row>
    <row r="1669" ht="15.75" customHeight="1">
      <c r="A1669" s="18" t="s">
        <v>2128</v>
      </c>
      <c r="B1669" s="18">
        <v>1962.0</v>
      </c>
      <c r="C1669" s="18" t="s">
        <v>91</v>
      </c>
      <c r="D1669" s="18">
        <v>29.0</v>
      </c>
      <c r="E1669" s="18" t="str">
        <f t="shared" si="1"/>
        <v>29/07/62</v>
      </c>
      <c r="F1669" s="18">
        <v>0.0</v>
      </c>
      <c r="G1669" s="27">
        <v>14738.43</v>
      </c>
      <c r="H1669" s="18" t="s">
        <v>140</v>
      </c>
      <c r="I1669" s="18" t="s">
        <v>142</v>
      </c>
      <c r="J1669" s="18" t="s">
        <v>2314</v>
      </c>
      <c r="K1669" s="29">
        <f t="shared" si="2"/>
        <v>60</v>
      </c>
    </row>
    <row r="1670" ht="15.75" customHeight="1">
      <c r="A1670" s="18" t="s">
        <v>2126</v>
      </c>
      <c r="B1670" s="18">
        <v>1965.0</v>
      </c>
      <c r="C1670" s="18" t="s">
        <v>91</v>
      </c>
      <c r="D1670" s="18">
        <v>27.0</v>
      </c>
      <c r="E1670" s="18" t="str">
        <f t="shared" si="1"/>
        <v>27/07/65</v>
      </c>
      <c r="F1670" s="18">
        <v>0.0</v>
      </c>
      <c r="G1670" s="27">
        <v>14750.42</v>
      </c>
      <c r="H1670" s="18" t="s">
        <v>140</v>
      </c>
      <c r="I1670" s="18" t="s">
        <v>140</v>
      </c>
      <c r="J1670" s="18" t="s">
        <v>3559</v>
      </c>
      <c r="K1670" s="29">
        <f t="shared" si="2"/>
        <v>57</v>
      </c>
    </row>
    <row r="1671" ht="15.75" customHeight="1">
      <c r="A1671" s="18" t="s">
        <v>2124</v>
      </c>
      <c r="B1671" s="18">
        <v>1975.0</v>
      </c>
      <c r="C1671" s="18" t="s">
        <v>457</v>
      </c>
      <c r="D1671" s="18">
        <v>10.0</v>
      </c>
      <c r="E1671" s="18" t="str">
        <f t="shared" si="1"/>
        <v>10/12/75</v>
      </c>
      <c r="F1671" s="18">
        <v>1.0</v>
      </c>
      <c r="G1671" s="27">
        <v>14819.0</v>
      </c>
      <c r="H1671" s="18" t="s">
        <v>140</v>
      </c>
      <c r="I1671" s="18" t="s">
        <v>142</v>
      </c>
      <c r="J1671" s="18" t="s">
        <v>2031</v>
      </c>
      <c r="K1671" s="29">
        <f t="shared" si="2"/>
        <v>47</v>
      </c>
    </row>
    <row r="1672" ht="15.75" customHeight="1">
      <c r="A1672" s="18" t="s">
        <v>2120</v>
      </c>
      <c r="B1672" s="18">
        <v>1979.0</v>
      </c>
      <c r="C1672" s="18" t="s">
        <v>517</v>
      </c>
      <c r="D1672" s="18">
        <v>18.0</v>
      </c>
      <c r="E1672" s="18" t="str">
        <f t="shared" si="1"/>
        <v>18/10/79</v>
      </c>
      <c r="F1672" s="18">
        <v>2.0</v>
      </c>
      <c r="G1672" s="27">
        <v>14839.34</v>
      </c>
      <c r="H1672" s="18" t="s">
        <v>140</v>
      </c>
      <c r="I1672" s="18" t="s">
        <v>142</v>
      </c>
      <c r="J1672" s="18" t="s">
        <v>3559</v>
      </c>
      <c r="K1672" s="29">
        <f t="shared" si="2"/>
        <v>43</v>
      </c>
    </row>
    <row r="1673" ht="15.75" customHeight="1">
      <c r="A1673" s="18" t="s">
        <v>2118</v>
      </c>
      <c r="B1673" s="18">
        <v>1981.0</v>
      </c>
      <c r="C1673" s="18" t="s">
        <v>241</v>
      </c>
      <c r="D1673" s="18">
        <v>5.0</v>
      </c>
      <c r="E1673" s="18" t="str">
        <f t="shared" si="1"/>
        <v>05/06/81</v>
      </c>
      <c r="F1673" s="18">
        <v>1.0</v>
      </c>
      <c r="G1673" s="27">
        <v>14843.96</v>
      </c>
      <c r="H1673" s="18" t="s">
        <v>140</v>
      </c>
      <c r="I1673" s="18" t="s">
        <v>142</v>
      </c>
      <c r="J1673" s="18" t="s">
        <v>3559</v>
      </c>
      <c r="K1673" s="29">
        <f t="shared" si="2"/>
        <v>42</v>
      </c>
    </row>
    <row r="1674" ht="15.75" customHeight="1">
      <c r="A1674" s="18" t="s">
        <v>2114</v>
      </c>
      <c r="B1674" s="18">
        <v>1970.0</v>
      </c>
      <c r="C1674" s="18" t="s">
        <v>209</v>
      </c>
      <c r="D1674" s="18">
        <v>11.0</v>
      </c>
      <c r="E1674" s="18" t="str">
        <f t="shared" si="1"/>
        <v>11/11/70</v>
      </c>
      <c r="F1674" s="18">
        <v>0.0</v>
      </c>
      <c r="G1674" s="27">
        <v>14847.63</v>
      </c>
      <c r="H1674" s="18" t="s">
        <v>140</v>
      </c>
      <c r="I1674" s="18" t="s">
        <v>140</v>
      </c>
      <c r="J1674" s="18" t="s">
        <v>2031</v>
      </c>
      <c r="K1674" s="29">
        <f t="shared" si="2"/>
        <v>52</v>
      </c>
    </row>
    <row r="1675" ht="15.75" customHeight="1">
      <c r="A1675" s="18" t="s">
        <v>2110</v>
      </c>
      <c r="B1675" s="18">
        <v>1958.0</v>
      </c>
      <c r="C1675" s="18" t="s">
        <v>517</v>
      </c>
      <c r="D1675" s="18">
        <v>17.0</v>
      </c>
      <c r="E1675" s="18" t="str">
        <f t="shared" si="1"/>
        <v>17/10/58</v>
      </c>
      <c r="F1675" s="18">
        <v>0.0</v>
      </c>
      <c r="G1675" s="27">
        <v>14901.52</v>
      </c>
      <c r="H1675" s="18" t="s">
        <v>140</v>
      </c>
      <c r="I1675" s="18" t="s">
        <v>140</v>
      </c>
      <c r="J1675" s="18" t="s">
        <v>2024</v>
      </c>
      <c r="K1675" s="29">
        <f t="shared" si="2"/>
        <v>64</v>
      </c>
    </row>
    <row r="1676" ht="15.75" customHeight="1">
      <c r="A1676" s="18" t="s">
        <v>2107</v>
      </c>
      <c r="B1676" s="18">
        <v>1981.0</v>
      </c>
      <c r="C1676" s="18" t="s">
        <v>91</v>
      </c>
      <c r="D1676" s="18">
        <v>4.0</v>
      </c>
      <c r="E1676" s="18" t="str">
        <f t="shared" si="1"/>
        <v>04/07/81</v>
      </c>
      <c r="F1676" s="18">
        <v>1.0</v>
      </c>
      <c r="G1676" s="27">
        <v>14908.27</v>
      </c>
      <c r="H1676" s="18" t="s">
        <v>140</v>
      </c>
      <c r="I1676" s="18" t="s">
        <v>219</v>
      </c>
      <c r="J1676" s="18" t="s">
        <v>570</v>
      </c>
      <c r="K1676" s="29">
        <f t="shared" si="2"/>
        <v>41</v>
      </c>
    </row>
    <row r="1677" ht="15.75" customHeight="1">
      <c r="A1677" s="18" t="s">
        <v>2103</v>
      </c>
      <c r="B1677" s="18">
        <v>1968.0</v>
      </c>
      <c r="C1677" s="18" t="s">
        <v>209</v>
      </c>
      <c r="D1677" s="18">
        <v>8.0</v>
      </c>
      <c r="E1677" s="18" t="str">
        <f t="shared" si="1"/>
        <v>08/11/68</v>
      </c>
      <c r="F1677" s="18">
        <v>0.0</v>
      </c>
      <c r="G1677" s="27">
        <v>14926.97</v>
      </c>
      <c r="H1677" s="18" t="s">
        <v>140</v>
      </c>
      <c r="I1677" s="18" t="s">
        <v>140</v>
      </c>
      <c r="J1677" s="18" t="s">
        <v>325</v>
      </c>
      <c r="K1677" s="29">
        <f t="shared" si="2"/>
        <v>54</v>
      </c>
    </row>
    <row r="1678" ht="15.75" customHeight="1">
      <c r="A1678" s="18" t="s">
        <v>2099</v>
      </c>
      <c r="B1678" s="18">
        <v>1962.0</v>
      </c>
      <c r="C1678" s="18" t="s">
        <v>209</v>
      </c>
      <c r="D1678" s="18">
        <v>29.0</v>
      </c>
      <c r="E1678" s="18" t="str">
        <f t="shared" si="1"/>
        <v>29/11/62</v>
      </c>
      <c r="F1678" s="18">
        <v>0.0</v>
      </c>
      <c r="G1678" s="27">
        <v>14945.34</v>
      </c>
      <c r="H1678" s="18" t="s">
        <v>140</v>
      </c>
      <c r="I1678" s="18" t="s">
        <v>219</v>
      </c>
      <c r="J1678" s="18" t="s">
        <v>2314</v>
      </c>
      <c r="K1678" s="29">
        <f t="shared" si="2"/>
        <v>60</v>
      </c>
    </row>
    <row r="1679" ht="15.75" customHeight="1">
      <c r="A1679" s="18" t="s">
        <v>2096</v>
      </c>
      <c r="B1679" s="18">
        <v>1958.0</v>
      </c>
      <c r="C1679" s="18" t="s">
        <v>91</v>
      </c>
      <c r="D1679" s="18">
        <v>29.0</v>
      </c>
      <c r="E1679" s="18" t="str">
        <f t="shared" si="1"/>
        <v>29/07/58</v>
      </c>
      <c r="F1679" s="18">
        <v>2.0</v>
      </c>
      <c r="G1679" s="27">
        <v>14988.43</v>
      </c>
      <c r="H1679" s="18" t="s">
        <v>140</v>
      </c>
      <c r="I1679" s="18" t="s">
        <v>142</v>
      </c>
      <c r="J1679" s="18" t="s">
        <v>570</v>
      </c>
      <c r="K1679" s="29">
        <f t="shared" si="2"/>
        <v>64</v>
      </c>
    </row>
    <row r="1680" ht="15.75" customHeight="1">
      <c r="A1680" s="18" t="s">
        <v>2093</v>
      </c>
      <c r="B1680" s="18">
        <v>1995.0</v>
      </c>
      <c r="C1680" s="18" t="s">
        <v>501</v>
      </c>
      <c r="D1680" s="18">
        <v>2.0</v>
      </c>
      <c r="E1680" s="18" t="str">
        <f t="shared" si="1"/>
        <v>02/08/95</v>
      </c>
      <c r="F1680" s="18">
        <v>2.0</v>
      </c>
      <c r="G1680" s="27">
        <v>15006.58</v>
      </c>
      <c r="H1680" s="18" t="s">
        <v>140</v>
      </c>
      <c r="I1680" s="18" t="s">
        <v>140</v>
      </c>
      <c r="J1680" s="18" t="s">
        <v>2024</v>
      </c>
      <c r="K1680" s="29">
        <f t="shared" si="2"/>
        <v>27</v>
      </c>
    </row>
    <row r="1681" ht="15.75" customHeight="1">
      <c r="A1681" s="18" t="s">
        <v>2089</v>
      </c>
      <c r="B1681" s="18">
        <v>1960.0</v>
      </c>
      <c r="C1681" s="18" t="s">
        <v>501</v>
      </c>
      <c r="D1681" s="18">
        <v>8.0</v>
      </c>
      <c r="E1681" s="18" t="str">
        <f t="shared" si="1"/>
        <v>08/08/60</v>
      </c>
      <c r="F1681" s="18">
        <v>2.0</v>
      </c>
      <c r="G1681" s="27">
        <v>15019.76</v>
      </c>
      <c r="H1681" s="18" t="s">
        <v>140</v>
      </c>
      <c r="I1681" s="18" t="s">
        <v>140</v>
      </c>
      <c r="J1681" s="18" t="s">
        <v>325</v>
      </c>
      <c r="K1681" s="29">
        <f t="shared" si="2"/>
        <v>62</v>
      </c>
    </row>
    <row r="1682" ht="15.75" customHeight="1">
      <c r="A1682" s="18" t="s">
        <v>2085</v>
      </c>
      <c r="B1682" s="18">
        <v>1979.0</v>
      </c>
      <c r="C1682" s="18" t="s">
        <v>209</v>
      </c>
      <c r="D1682" s="18">
        <v>25.0</v>
      </c>
      <c r="E1682" s="18" t="str">
        <f t="shared" si="1"/>
        <v>25/11/79</v>
      </c>
      <c r="F1682" s="18">
        <v>2.0</v>
      </c>
      <c r="G1682" s="27">
        <v>15025.76</v>
      </c>
      <c r="H1682" s="18" t="s">
        <v>140</v>
      </c>
      <c r="I1682" s="18" t="s">
        <v>219</v>
      </c>
      <c r="J1682" s="18" t="s">
        <v>570</v>
      </c>
      <c r="K1682" s="29">
        <f t="shared" si="2"/>
        <v>43</v>
      </c>
    </row>
    <row r="1683" ht="15.75" customHeight="1">
      <c r="A1683" s="18" t="s">
        <v>2081</v>
      </c>
      <c r="B1683" s="18">
        <v>1970.0</v>
      </c>
      <c r="C1683" s="18" t="s">
        <v>272</v>
      </c>
      <c r="D1683" s="18">
        <v>11.0</v>
      </c>
      <c r="E1683" s="18" t="str">
        <f t="shared" si="1"/>
        <v>11/09/70</v>
      </c>
      <c r="F1683" s="18">
        <v>0.0</v>
      </c>
      <c r="G1683" s="27">
        <v>15026.3</v>
      </c>
      <c r="H1683" s="18" t="s">
        <v>140</v>
      </c>
      <c r="I1683" s="18" t="s">
        <v>142</v>
      </c>
      <c r="J1683" s="18" t="s">
        <v>570</v>
      </c>
      <c r="K1683" s="29">
        <f t="shared" si="2"/>
        <v>52</v>
      </c>
    </row>
    <row r="1684" ht="15.75" customHeight="1">
      <c r="A1684" s="18" t="s">
        <v>2078</v>
      </c>
      <c r="B1684" s="18">
        <v>1971.0</v>
      </c>
      <c r="C1684" s="18" t="s">
        <v>501</v>
      </c>
      <c r="D1684" s="18">
        <v>15.0</v>
      </c>
      <c r="E1684" s="18" t="str">
        <f t="shared" si="1"/>
        <v>15/08/71</v>
      </c>
      <c r="F1684" s="18">
        <v>0.0</v>
      </c>
      <c r="G1684" s="27">
        <v>15038.51</v>
      </c>
      <c r="H1684" s="18" t="s">
        <v>140</v>
      </c>
      <c r="I1684" s="18" t="s">
        <v>142</v>
      </c>
      <c r="J1684" s="18" t="s">
        <v>2031</v>
      </c>
      <c r="K1684" s="29">
        <f t="shared" si="2"/>
        <v>51</v>
      </c>
    </row>
    <row r="1685" ht="15.75" customHeight="1">
      <c r="A1685" s="18" t="s">
        <v>2074</v>
      </c>
      <c r="B1685" s="18">
        <v>1968.0</v>
      </c>
      <c r="C1685" s="18" t="s">
        <v>241</v>
      </c>
      <c r="D1685" s="18">
        <v>12.0</v>
      </c>
      <c r="E1685" s="18" t="str">
        <f t="shared" si="1"/>
        <v>12/06/68</v>
      </c>
      <c r="F1685" s="18">
        <v>0.0</v>
      </c>
      <c r="G1685" s="27">
        <v>15052.68</v>
      </c>
      <c r="H1685" s="18" t="s">
        <v>140</v>
      </c>
      <c r="I1685" s="18" t="s">
        <v>140</v>
      </c>
      <c r="J1685" s="18" t="s">
        <v>3978</v>
      </c>
      <c r="K1685" s="29">
        <f t="shared" si="2"/>
        <v>54</v>
      </c>
    </row>
    <row r="1686" ht="15.75" customHeight="1">
      <c r="A1686" s="18" t="s">
        <v>2072</v>
      </c>
      <c r="B1686" s="18">
        <v>1975.0</v>
      </c>
      <c r="C1686" s="18" t="s">
        <v>517</v>
      </c>
      <c r="D1686" s="18">
        <v>26.0</v>
      </c>
      <c r="E1686" s="18" t="str">
        <f t="shared" si="1"/>
        <v>26/10/75</v>
      </c>
      <c r="F1686" s="18">
        <v>1.0</v>
      </c>
      <c r="G1686" s="27">
        <v>15090.35</v>
      </c>
      <c r="H1686" s="18" t="s">
        <v>140</v>
      </c>
      <c r="I1686" s="18" t="s">
        <v>219</v>
      </c>
      <c r="J1686" s="18" t="s">
        <v>2031</v>
      </c>
      <c r="K1686" s="29">
        <f t="shared" si="2"/>
        <v>47</v>
      </c>
    </row>
    <row r="1687" ht="15.75" customHeight="1">
      <c r="A1687" s="18" t="s">
        <v>2068</v>
      </c>
      <c r="B1687" s="18">
        <v>1972.0</v>
      </c>
      <c r="C1687" s="18" t="s">
        <v>209</v>
      </c>
      <c r="D1687" s="18">
        <v>7.0</v>
      </c>
      <c r="E1687" s="18" t="str">
        <f t="shared" si="1"/>
        <v>07/11/72</v>
      </c>
      <c r="F1687" s="18">
        <v>0.0</v>
      </c>
      <c r="G1687" s="27">
        <v>15103.69</v>
      </c>
      <c r="H1687" s="18" t="s">
        <v>140</v>
      </c>
      <c r="I1687" s="18" t="s">
        <v>219</v>
      </c>
      <c r="J1687" s="18" t="s">
        <v>325</v>
      </c>
      <c r="K1687" s="29">
        <f t="shared" si="2"/>
        <v>50</v>
      </c>
    </row>
    <row r="1688" ht="15.75" customHeight="1">
      <c r="A1688" s="18" t="s">
        <v>2065</v>
      </c>
      <c r="B1688" s="18">
        <v>1978.0</v>
      </c>
      <c r="C1688" s="18" t="s">
        <v>272</v>
      </c>
      <c r="D1688" s="18">
        <v>5.0</v>
      </c>
      <c r="E1688" s="18" t="str">
        <f t="shared" si="1"/>
        <v>05/09/78</v>
      </c>
      <c r="F1688" s="18">
        <v>2.0</v>
      </c>
      <c r="G1688" s="27">
        <v>15123.19</v>
      </c>
      <c r="H1688" s="18" t="s">
        <v>140</v>
      </c>
      <c r="I1688" s="18" t="s">
        <v>219</v>
      </c>
      <c r="J1688" s="18" t="s">
        <v>570</v>
      </c>
      <c r="K1688" s="29">
        <f t="shared" si="2"/>
        <v>44</v>
      </c>
    </row>
    <row r="1689" ht="15.75" customHeight="1">
      <c r="A1689" s="18" t="s">
        <v>2063</v>
      </c>
      <c r="B1689" s="18">
        <v>1971.0</v>
      </c>
      <c r="C1689" s="18" t="s">
        <v>209</v>
      </c>
      <c r="D1689" s="18">
        <v>25.0</v>
      </c>
      <c r="E1689" s="18" t="str">
        <f t="shared" si="1"/>
        <v>25/11/71</v>
      </c>
      <c r="F1689" s="18">
        <v>0.0</v>
      </c>
      <c r="G1689" s="27">
        <v>15150.44</v>
      </c>
      <c r="H1689" s="18" t="s">
        <v>140</v>
      </c>
      <c r="I1689" s="18" t="s">
        <v>219</v>
      </c>
      <c r="J1689" s="18" t="s">
        <v>2031</v>
      </c>
      <c r="K1689" s="29">
        <f t="shared" si="2"/>
        <v>51</v>
      </c>
    </row>
    <row r="1690" ht="15.75" customHeight="1">
      <c r="A1690" s="18" t="s">
        <v>2060</v>
      </c>
      <c r="B1690" s="18">
        <v>1962.0</v>
      </c>
      <c r="C1690" s="18" t="s">
        <v>517</v>
      </c>
      <c r="D1690" s="18">
        <v>25.0</v>
      </c>
      <c r="E1690" s="18" t="str">
        <f t="shared" si="1"/>
        <v>25/10/62</v>
      </c>
      <c r="F1690" s="18">
        <v>0.0</v>
      </c>
      <c r="G1690" s="27">
        <v>15161.25</v>
      </c>
      <c r="H1690" s="18" t="s">
        <v>140</v>
      </c>
      <c r="I1690" s="18" t="s">
        <v>140</v>
      </c>
      <c r="J1690" s="18" t="s">
        <v>325</v>
      </c>
      <c r="K1690" s="29">
        <f t="shared" si="2"/>
        <v>60</v>
      </c>
    </row>
    <row r="1691" ht="15.75" customHeight="1">
      <c r="A1691" s="18" t="s">
        <v>2057</v>
      </c>
      <c r="B1691" s="18">
        <v>1959.0</v>
      </c>
      <c r="C1691" s="18" t="s">
        <v>241</v>
      </c>
      <c r="D1691" s="18">
        <v>4.0</v>
      </c>
      <c r="E1691" s="18" t="str">
        <f t="shared" si="1"/>
        <v>04/06/59</v>
      </c>
      <c r="F1691" s="18">
        <v>3.0</v>
      </c>
      <c r="G1691" s="27">
        <v>15161.53</v>
      </c>
      <c r="H1691" s="18" t="s">
        <v>140</v>
      </c>
      <c r="I1691" s="18" t="s">
        <v>219</v>
      </c>
      <c r="J1691" s="18" t="s">
        <v>146</v>
      </c>
      <c r="K1691" s="29">
        <f t="shared" si="2"/>
        <v>64</v>
      </c>
    </row>
    <row r="1692" ht="15.75" customHeight="1">
      <c r="A1692" s="18" t="s">
        <v>2054</v>
      </c>
      <c r="B1692" s="18">
        <v>1959.0</v>
      </c>
      <c r="C1692" s="18" t="s">
        <v>457</v>
      </c>
      <c r="D1692" s="18">
        <v>3.0</v>
      </c>
      <c r="E1692" s="18" t="str">
        <f t="shared" si="1"/>
        <v>03/12/59</v>
      </c>
      <c r="F1692" s="18">
        <v>3.0</v>
      </c>
      <c r="G1692" s="27">
        <v>15170.07</v>
      </c>
      <c r="H1692" s="18" t="s">
        <v>140</v>
      </c>
      <c r="I1692" s="18" t="s">
        <v>142</v>
      </c>
      <c r="J1692" s="18" t="s">
        <v>570</v>
      </c>
      <c r="K1692" s="29">
        <f t="shared" si="2"/>
        <v>63</v>
      </c>
    </row>
    <row r="1693" ht="15.75" customHeight="1">
      <c r="A1693" s="18" t="s">
        <v>2050</v>
      </c>
      <c r="B1693" s="18">
        <v>1962.0</v>
      </c>
      <c r="C1693" s="18" t="s">
        <v>241</v>
      </c>
      <c r="D1693" s="18">
        <v>17.0</v>
      </c>
      <c r="E1693" s="18" t="str">
        <f t="shared" si="1"/>
        <v>17/06/62</v>
      </c>
      <c r="F1693" s="18">
        <v>0.0</v>
      </c>
      <c r="G1693" s="27">
        <v>15174.81</v>
      </c>
      <c r="H1693" s="18" t="s">
        <v>140</v>
      </c>
      <c r="I1693" s="18" t="s">
        <v>219</v>
      </c>
      <c r="J1693" s="18" t="s">
        <v>325</v>
      </c>
      <c r="K1693" s="29">
        <f t="shared" si="2"/>
        <v>60</v>
      </c>
    </row>
    <row r="1694" ht="15.75" customHeight="1">
      <c r="A1694" s="18" t="s">
        <v>2047</v>
      </c>
      <c r="B1694" s="18">
        <v>1978.0</v>
      </c>
      <c r="C1694" s="18" t="s">
        <v>209</v>
      </c>
      <c r="D1694" s="18">
        <v>23.0</v>
      </c>
      <c r="E1694" s="18" t="str">
        <f t="shared" si="1"/>
        <v>23/11/78</v>
      </c>
      <c r="F1694" s="18">
        <v>2.0</v>
      </c>
      <c r="G1694" s="27">
        <v>15207.92</v>
      </c>
      <c r="H1694" s="18" t="s">
        <v>140</v>
      </c>
      <c r="I1694" s="18" t="s">
        <v>219</v>
      </c>
      <c r="J1694" s="18" t="s">
        <v>325</v>
      </c>
      <c r="K1694" s="29">
        <f t="shared" si="2"/>
        <v>44</v>
      </c>
    </row>
    <row r="1695" ht="15.75" customHeight="1">
      <c r="A1695" s="18" t="s">
        <v>2045</v>
      </c>
      <c r="B1695" s="18">
        <v>1960.0</v>
      </c>
      <c r="C1695" s="18" t="s">
        <v>91</v>
      </c>
      <c r="D1695" s="18">
        <v>25.0</v>
      </c>
      <c r="E1695" s="18" t="str">
        <f t="shared" si="1"/>
        <v>25/07/60</v>
      </c>
      <c r="F1695" s="18">
        <v>2.0</v>
      </c>
      <c r="G1695" s="27">
        <v>15230.32</v>
      </c>
      <c r="H1695" s="18" t="s">
        <v>140</v>
      </c>
      <c r="I1695" s="18" t="s">
        <v>140</v>
      </c>
      <c r="J1695" s="18" t="s">
        <v>2024</v>
      </c>
      <c r="K1695" s="29">
        <f t="shared" si="2"/>
        <v>62</v>
      </c>
    </row>
    <row r="1696" ht="15.75" customHeight="1">
      <c r="A1696" s="18" t="s">
        <v>2041</v>
      </c>
      <c r="B1696" s="18">
        <v>1969.0</v>
      </c>
      <c r="C1696" s="18" t="s">
        <v>272</v>
      </c>
      <c r="D1696" s="18">
        <v>16.0</v>
      </c>
      <c r="E1696" s="18" t="str">
        <f t="shared" si="1"/>
        <v>16/09/69</v>
      </c>
      <c r="F1696" s="18">
        <v>0.0</v>
      </c>
      <c r="G1696" s="27">
        <v>15260.52</v>
      </c>
      <c r="H1696" s="18" t="s">
        <v>140</v>
      </c>
      <c r="I1696" s="18" t="s">
        <v>140</v>
      </c>
      <c r="J1696" s="18" t="s">
        <v>2031</v>
      </c>
      <c r="K1696" s="29">
        <f t="shared" si="2"/>
        <v>53</v>
      </c>
    </row>
    <row r="1697" ht="15.75" customHeight="1">
      <c r="A1697" s="18" t="s">
        <v>2039</v>
      </c>
      <c r="B1697" s="18">
        <v>1963.0</v>
      </c>
      <c r="C1697" s="18" t="s">
        <v>457</v>
      </c>
      <c r="D1697" s="18">
        <v>13.0</v>
      </c>
      <c r="E1697" s="18" t="str">
        <f t="shared" si="1"/>
        <v>13/12/63</v>
      </c>
      <c r="F1697" s="18">
        <v>0.0</v>
      </c>
      <c r="G1697" s="27">
        <v>15322.77</v>
      </c>
      <c r="H1697" s="18" t="s">
        <v>140</v>
      </c>
      <c r="I1697" s="18" t="s">
        <v>142</v>
      </c>
      <c r="J1697" s="18" t="s">
        <v>2314</v>
      </c>
      <c r="K1697" s="29">
        <f t="shared" si="2"/>
        <v>59</v>
      </c>
    </row>
    <row r="1698" ht="15.75" customHeight="1">
      <c r="A1698" s="18" t="s">
        <v>2037</v>
      </c>
      <c r="B1698" s="18">
        <v>2001.0</v>
      </c>
      <c r="C1698" s="18" t="s">
        <v>91</v>
      </c>
      <c r="D1698" s="18">
        <v>14.0</v>
      </c>
      <c r="E1698" s="18" t="str">
        <f t="shared" si="1"/>
        <v>14/07/01</v>
      </c>
      <c r="F1698" s="18">
        <v>1.0</v>
      </c>
      <c r="G1698" s="27">
        <v>15359.1</v>
      </c>
      <c r="H1698" s="18" t="s">
        <v>140</v>
      </c>
      <c r="I1698" s="18" t="s">
        <v>142</v>
      </c>
      <c r="J1698" s="18" t="s">
        <v>2024</v>
      </c>
      <c r="K1698" s="29">
        <f t="shared" si="2"/>
        <v>21</v>
      </c>
    </row>
    <row r="1699" ht="15.75" customHeight="1">
      <c r="A1699" s="18" t="s">
        <v>2033</v>
      </c>
      <c r="B1699" s="18">
        <v>1988.0</v>
      </c>
      <c r="C1699" s="18" t="s">
        <v>457</v>
      </c>
      <c r="D1699" s="18">
        <v>17.0</v>
      </c>
      <c r="E1699" s="18" t="str">
        <f t="shared" si="1"/>
        <v>17/12/88</v>
      </c>
      <c r="F1699" s="18">
        <v>3.0</v>
      </c>
      <c r="G1699" s="27">
        <v>15361.5</v>
      </c>
      <c r="H1699" s="18" t="s">
        <v>140</v>
      </c>
      <c r="I1699" s="18" t="s">
        <v>142</v>
      </c>
      <c r="J1699" s="18" t="s">
        <v>2031</v>
      </c>
      <c r="K1699" s="29">
        <f t="shared" si="2"/>
        <v>34</v>
      </c>
    </row>
    <row r="1700" ht="15.75" customHeight="1">
      <c r="A1700" s="18" t="s">
        <v>2030</v>
      </c>
      <c r="B1700" s="18">
        <v>1968.0</v>
      </c>
      <c r="C1700" s="18" t="s">
        <v>91</v>
      </c>
      <c r="D1700" s="18">
        <v>18.0</v>
      </c>
      <c r="E1700" s="18" t="str">
        <f t="shared" si="1"/>
        <v>18/07/68</v>
      </c>
      <c r="F1700" s="18">
        <v>0.0</v>
      </c>
      <c r="G1700" s="27">
        <v>15363.77</v>
      </c>
      <c r="H1700" s="18" t="s">
        <v>140</v>
      </c>
      <c r="I1700" s="18" t="s">
        <v>219</v>
      </c>
      <c r="J1700" s="18" t="s">
        <v>3559</v>
      </c>
      <c r="K1700" s="29">
        <f t="shared" si="2"/>
        <v>54</v>
      </c>
    </row>
    <row r="1701" ht="15.75" customHeight="1">
      <c r="A1701" s="18" t="s">
        <v>2027</v>
      </c>
      <c r="B1701" s="18">
        <v>1962.0</v>
      </c>
      <c r="C1701" s="18" t="s">
        <v>272</v>
      </c>
      <c r="D1701" s="18">
        <v>6.0</v>
      </c>
      <c r="E1701" s="18" t="str">
        <f t="shared" si="1"/>
        <v>06/09/62</v>
      </c>
      <c r="F1701" s="18">
        <v>0.0</v>
      </c>
      <c r="G1701" s="27">
        <v>15368.22</v>
      </c>
      <c r="H1701" s="18" t="s">
        <v>140</v>
      </c>
      <c r="I1701" s="18" t="s">
        <v>140</v>
      </c>
      <c r="J1701" s="18" t="s">
        <v>570</v>
      </c>
      <c r="K1701" s="29">
        <f t="shared" si="2"/>
        <v>60</v>
      </c>
    </row>
    <row r="1702" ht="15.75" customHeight="1">
      <c r="A1702" s="18" t="s">
        <v>2023</v>
      </c>
      <c r="B1702" s="18">
        <v>1964.0</v>
      </c>
      <c r="C1702" s="18" t="s">
        <v>272</v>
      </c>
      <c r="D1702" s="18">
        <v>4.0</v>
      </c>
      <c r="E1702" s="18" t="str">
        <f t="shared" si="1"/>
        <v>04/09/64</v>
      </c>
      <c r="F1702" s="18">
        <v>0.0</v>
      </c>
      <c r="G1702" s="27">
        <v>15377.77</v>
      </c>
      <c r="H1702" s="18" t="s">
        <v>140</v>
      </c>
      <c r="I1702" s="18" t="s">
        <v>140</v>
      </c>
      <c r="J1702" s="18" t="s">
        <v>325</v>
      </c>
      <c r="K1702" s="29">
        <f t="shared" si="2"/>
        <v>58</v>
      </c>
    </row>
    <row r="1703" ht="15.75" customHeight="1">
      <c r="A1703" s="18" t="s">
        <v>2021</v>
      </c>
      <c r="B1703" s="18">
        <v>1990.0</v>
      </c>
      <c r="C1703" s="18" t="s">
        <v>517</v>
      </c>
      <c r="D1703" s="18">
        <v>25.0</v>
      </c>
      <c r="E1703" s="18" t="str">
        <f t="shared" si="1"/>
        <v>25/10/90</v>
      </c>
      <c r="F1703" s="18">
        <v>3.0</v>
      </c>
      <c r="G1703" s="27">
        <v>15440.2</v>
      </c>
      <c r="H1703" s="18" t="s">
        <v>140</v>
      </c>
      <c r="I1703" s="18" t="s">
        <v>219</v>
      </c>
      <c r="J1703" s="18" t="s">
        <v>325</v>
      </c>
      <c r="K1703" s="29">
        <f t="shared" si="2"/>
        <v>32</v>
      </c>
    </row>
    <row r="1704" ht="15.75" customHeight="1">
      <c r="A1704" s="18" t="s">
        <v>2017</v>
      </c>
      <c r="B1704" s="18">
        <v>1976.0</v>
      </c>
      <c r="C1704" s="18" t="s">
        <v>91</v>
      </c>
      <c r="D1704" s="18">
        <v>20.0</v>
      </c>
      <c r="E1704" s="18" t="str">
        <f t="shared" si="1"/>
        <v>20/07/76</v>
      </c>
      <c r="F1704" s="18">
        <v>2.0</v>
      </c>
      <c r="G1704" s="27">
        <v>15450.48</v>
      </c>
      <c r="H1704" s="18" t="s">
        <v>140</v>
      </c>
      <c r="I1704" s="18" t="s">
        <v>219</v>
      </c>
      <c r="J1704" s="18" t="s">
        <v>3559</v>
      </c>
      <c r="K1704" s="29">
        <f t="shared" si="2"/>
        <v>46</v>
      </c>
    </row>
    <row r="1705" ht="15.75" customHeight="1">
      <c r="A1705" s="18" t="s">
        <v>2015</v>
      </c>
      <c r="B1705" s="18">
        <v>2004.0</v>
      </c>
      <c r="C1705" s="18" t="s">
        <v>91</v>
      </c>
      <c r="D1705" s="18">
        <v>17.0</v>
      </c>
      <c r="E1705" s="18" t="str">
        <f t="shared" si="1"/>
        <v>17/07/04</v>
      </c>
      <c r="F1705" s="18">
        <v>0.0</v>
      </c>
      <c r="G1705" s="27">
        <v>15518.18</v>
      </c>
      <c r="H1705" s="18" t="s">
        <v>140</v>
      </c>
      <c r="I1705" s="18" t="s">
        <v>142</v>
      </c>
      <c r="J1705" s="18" t="s">
        <v>1414</v>
      </c>
      <c r="K1705" s="29">
        <f t="shared" si="2"/>
        <v>18</v>
      </c>
    </row>
    <row r="1706" ht="15.75" customHeight="1">
      <c r="A1706" s="18" t="s">
        <v>2012</v>
      </c>
      <c r="B1706" s="18">
        <v>1974.0</v>
      </c>
      <c r="C1706" s="18" t="s">
        <v>241</v>
      </c>
      <c r="D1706" s="18">
        <v>28.0</v>
      </c>
      <c r="E1706" s="18" t="str">
        <f t="shared" si="1"/>
        <v>28/06/74</v>
      </c>
      <c r="F1706" s="18">
        <v>0.0</v>
      </c>
      <c r="G1706" s="27">
        <v>15532.16</v>
      </c>
      <c r="H1706" s="18" t="s">
        <v>140</v>
      </c>
      <c r="I1706" s="18" t="s">
        <v>140</v>
      </c>
      <c r="J1706" s="18" t="s">
        <v>3559</v>
      </c>
      <c r="K1706" s="29">
        <f t="shared" si="2"/>
        <v>48</v>
      </c>
    </row>
    <row r="1707" ht="15.75" customHeight="1">
      <c r="A1707" s="18" t="s">
        <v>2010</v>
      </c>
      <c r="B1707" s="18">
        <v>1959.0</v>
      </c>
      <c r="C1707" s="18" t="s">
        <v>517</v>
      </c>
      <c r="D1707" s="18">
        <v>2.0</v>
      </c>
      <c r="E1707" s="18" t="str">
        <f t="shared" si="1"/>
        <v>02/10/59</v>
      </c>
      <c r="F1707" s="18">
        <v>3.0</v>
      </c>
      <c r="G1707" s="27">
        <v>15555.19</v>
      </c>
      <c r="H1707" s="18" t="s">
        <v>140</v>
      </c>
      <c r="I1707" s="18" t="s">
        <v>142</v>
      </c>
      <c r="J1707" s="18" t="s">
        <v>325</v>
      </c>
      <c r="K1707" s="29">
        <f t="shared" si="2"/>
        <v>63</v>
      </c>
    </row>
    <row r="1708" ht="15.75" customHeight="1">
      <c r="A1708" s="18" t="s">
        <v>2007</v>
      </c>
      <c r="B1708" s="18">
        <v>1974.0</v>
      </c>
      <c r="C1708" s="18" t="s">
        <v>91</v>
      </c>
      <c r="D1708" s="18">
        <v>30.0</v>
      </c>
      <c r="E1708" s="18" t="str">
        <f t="shared" si="1"/>
        <v>30/07/74</v>
      </c>
      <c r="F1708" s="18">
        <v>0.0</v>
      </c>
      <c r="G1708" s="27">
        <v>15556.67</v>
      </c>
      <c r="H1708" s="18" t="s">
        <v>140</v>
      </c>
      <c r="I1708" s="18" t="s">
        <v>140</v>
      </c>
      <c r="J1708" s="18" t="s">
        <v>325</v>
      </c>
      <c r="K1708" s="29">
        <f t="shared" si="2"/>
        <v>48</v>
      </c>
    </row>
    <row r="1709" ht="15.75" customHeight="1">
      <c r="A1709" s="18" t="s">
        <v>2004</v>
      </c>
      <c r="B1709" s="18">
        <v>1965.0</v>
      </c>
      <c r="C1709" s="18" t="s">
        <v>517</v>
      </c>
      <c r="D1709" s="18">
        <v>28.0</v>
      </c>
      <c r="E1709" s="18" t="str">
        <f t="shared" si="1"/>
        <v>28/10/65</v>
      </c>
      <c r="F1709" s="18">
        <v>0.0</v>
      </c>
      <c r="G1709" s="27">
        <v>15608.58</v>
      </c>
      <c r="H1709" s="18" t="s">
        <v>140</v>
      </c>
      <c r="I1709" s="18" t="s">
        <v>140</v>
      </c>
      <c r="J1709" s="18" t="s">
        <v>3559</v>
      </c>
      <c r="K1709" s="29">
        <f t="shared" si="2"/>
        <v>57</v>
      </c>
    </row>
    <row r="1710" ht="15.75" customHeight="1">
      <c r="A1710" s="18" t="s">
        <v>2002</v>
      </c>
      <c r="B1710" s="18">
        <v>1960.0</v>
      </c>
      <c r="C1710" s="18" t="s">
        <v>241</v>
      </c>
      <c r="D1710" s="18">
        <v>6.0</v>
      </c>
      <c r="E1710" s="18" t="str">
        <f t="shared" si="1"/>
        <v>06/06/60</v>
      </c>
      <c r="F1710" s="18">
        <v>3.0</v>
      </c>
      <c r="G1710" s="27">
        <v>15612.19</v>
      </c>
      <c r="H1710" s="18" t="s">
        <v>140</v>
      </c>
      <c r="I1710" s="18" t="s">
        <v>140</v>
      </c>
      <c r="J1710" s="18" t="s">
        <v>325</v>
      </c>
      <c r="K1710" s="29">
        <f t="shared" si="2"/>
        <v>63</v>
      </c>
    </row>
    <row r="1711" ht="15.75" customHeight="1">
      <c r="A1711" s="18" t="s">
        <v>1998</v>
      </c>
      <c r="B1711" s="18">
        <v>1988.0</v>
      </c>
      <c r="C1711" s="18" t="s">
        <v>457</v>
      </c>
      <c r="D1711" s="18">
        <v>22.0</v>
      </c>
      <c r="E1711" s="18" t="str">
        <f t="shared" si="1"/>
        <v>22/12/88</v>
      </c>
      <c r="F1711" s="18">
        <v>3.0</v>
      </c>
      <c r="G1711" s="27">
        <v>15646.28</v>
      </c>
      <c r="H1711" s="18" t="s">
        <v>140</v>
      </c>
      <c r="I1711" s="18" t="s">
        <v>140</v>
      </c>
      <c r="J1711" s="18" t="s">
        <v>570</v>
      </c>
      <c r="K1711" s="29">
        <f t="shared" si="2"/>
        <v>34</v>
      </c>
    </row>
    <row r="1712" ht="15.75" customHeight="1">
      <c r="A1712" s="18" t="s">
        <v>1995</v>
      </c>
      <c r="B1712" s="18">
        <v>1973.0</v>
      </c>
      <c r="C1712" s="18" t="s">
        <v>241</v>
      </c>
      <c r="D1712" s="18">
        <v>26.0</v>
      </c>
      <c r="E1712" s="18" t="str">
        <f t="shared" si="1"/>
        <v>26/06/73</v>
      </c>
      <c r="F1712" s="18">
        <v>0.0</v>
      </c>
      <c r="G1712" s="27">
        <v>15670.3</v>
      </c>
      <c r="H1712" s="18" t="s">
        <v>140</v>
      </c>
      <c r="I1712" s="18" t="s">
        <v>140</v>
      </c>
      <c r="J1712" s="18" t="s">
        <v>3559</v>
      </c>
      <c r="K1712" s="29">
        <f t="shared" si="2"/>
        <v>49</v>
      </c>
    </row>
    <row r="1713" ht="15.75" customHeight="1">
      <c r="A1713" s="18" t="s">
        <v>1991</v>
      </c>
      <c r="B1713" s="18">
        <v>1976.0</v>
      </c>
      <c r="C1713" s="18" t="s">
        <v>272</v>
      </c>
      <c r="D1713" s="18">
        <v>20.0</v>
      </c>
      <c r="E1713" s="18" t="str">
        <f t="shared" si="1"/>
        <v>20/09/76</v>
      </c>
      <c r="F1713" s="18">
        <v>2.0</v>
      </c>
      <c r="G1713" s="27">
        <v>15698.86</v>
      </c>
      <c r="H1713" s="18" t="s">
        <v>140</v>
      </c>
      <c r="I1713" s="18" t="s">
        <v>140</v>
      </c>
      <c r="J1713" s="18" t="s">
        <v>325</v>
      </c>
      <c r="K1713" s="29">
        <f t="shared" si="2"/>
        <v>46</v>
      </c>
    </row>
    <row r="1714" ht="15.75" customHeight="1">
      <c r="A1714" s="18" t="s">
        <v>1988</v>
      </c>
      <c r="B1714" s="18">
        <v>1974.0</v>
      </c>
      <c r="C1714" s="18" t="s">
        <v>501</v>
      </c>
      <c r="D1714" s="18">
        <v>29.0</v>
      </c>
      <c r="E1714" s="18" t="str">
        <f t="shared" si="1"/>
        <v>29/08/74</v>
      </c>
      <c r="F1714" s="18">
        <v>0.0</v>
      </c>
      <c r="G1714" s="27">
        <v>15746.62</v>
      </c>
      <c r="H1714" s="18" t="s">
        <v>140</v>
      </c>
      <c r="I1714" s="18" t="s">
        <v>219</v>
      </c>
      <c r="J1714" s="18" t="s">
        <v>325</v>
      </c>
      <c r="K1714" s="29">
        <f t="shared" si="2"/>
        <v>48</v>
      </c>
    </row>
    <row r="1715" ht="15.75" customHeight="1">
      <c r="A1715" s="18" t="s">
        <v>1985</v>
      </c>
      <c r="B1715" s="18">
        <v>1997.0</v>
      </c>
      <c r="C1715" s="18" t="s">
        <v>517</v>
      </c>
      <c r="D1715" s="18">
        <v>9.0</v>
      </c>
      <c r="E1715" s="18" t="str">
        <f t="shared" si="1"/>
        <v>09/10/97</v>
      </c>
      <c r="F1715" s="18">
        <v>0.0</v>
      </c>
      <c r="G1715" s="27">
        <v>15817.99</v>
      </c>
      <c r="H1715" s="18" t="s">
        <v>140</v>
      </c>
      <c r="I1715" s="18" t="s">
        <v>140</v>
      </c>
      <c r="J1715" s="18" t="s">
        <v>325</v>
      </c>
      <c r="K1715" s="29">
        <f t="shared" si="2"/>
        <v>25</v>
      </c>
    </row>
    <row r="1716" ht="15.75" customHeight="1">
      <c r="A1716" s="18" t="s">
        <v>1981</v>
      </c>
      <c r="B1716" s="18">
        <v>1984.0</v>
      </c>
      <c r="C1716" s="18" t="s">
        <v>241</v>
      </c>
      <c r="D1716" s="18">
        <v>26.0</v>
      </c>
      <c r="E1716" s="18" t="str">
        <f t="shared" si="1"/>
        <v>26/06/84</v>
      </c>
      <c r="F1716" s="18">
        <v>0.0</v>
      </c>
      <c r="G1716" s="27">
        <v>15820.7</v>
      </c>
      <c r="H1716" s="18" t="s">
        <v>140</v>
      </c>
      <c r="I1716" s="18" t="s">
        <v>142</v>
      </c>
      <c r="J1716" s="18" t="s">
        <v>570</v>
      </c>
      <c r="K1716" s="29">
        <f t="shared" si="2"/>
        <v>38</v>
      </c>
    </row>
    <row r="1717" ht="15.75" customHeight="1">
      <c r="A1717" s="18" t="s">
        <v>1977</v>
      </c>
      <c r="B1717" s="18">
        <v>1982.0</v>
      </c>
      <c r="C1717" s="18" t="s">
        <v>209</v>
      </c>
      <c r="D1717" s="18">
        <v>11.0</v>
      </c>
      <c r="E1717" s="18" t="str">
        <f t="shared" si="1"/>
        <v>11/11/82</v>
      </c>
      <c r="F1717" s="18">
        <v>4.0</v>
      </c>
      <c r="G1717" s="27">
        <v>15828.82</v>
      </c>
      <c r="H1717" s="18" t="s">
        <v>140</v>
      </c>
      <c r="I1717" s="18" t="s">
        <v>142</v>
      </c>
      <c r="J1717" s="18" t="s">
        <v>570</v>
      </c>
      <c r="K1717" s="29">
        <f t="shared" si="2"/>
        <v>40</v>
      </c>
    </row>
    <row r="1718" ht="15.75" customHeight="1">
      <c r="A1718" s="18" t="s">
        <v>1974</v>
      </c>
      <c r="B1718" s="18">
        <v>1962.0</v>
      </c>
      <c r="C1718" s="18" t="s">
        <v>457</v>
      </c>
      <c r="D1718" s="18">
        <v>25.0</v>
      </c>
      <c r="E1718" s="18" t="str">
        <f t="shared" si="1"/>
        <v>25/12/62</v>
      </c>
      <c r="F1718" s="18">
        <v>0.0</v>
      </c>
      <c r="G1718" s="27">
        <v>15840.81</v>
      </c>
      <c r="H1718" s="18" t="s">
        <v>140</v>
      </c>
      <c r="I1718" s="18" t="s">
        <v>219</v>
      </c>
      <c r="J1718" s="18" t="s">
        <v>3978</v>
      </c>
      <c r="K1718" s="29">
        <f t="shared" si="2"/>
        <v>60</v>
      </c>
    </row>
    <row r="1719" ht="15.75" customHeight="1">
      <c r="A1719" s="18" t="s">
        <v>1970</v>
      </c>
      <c r="B1719" s="18">
        <v>1980.0</v>
      </c>
      <c r="C1719" s="18" t="s">
        <v>517</v>
      </c>
      <c r="D1719" s="18">
        <v>12.0</v>
      </c>
      <c r="E1719" s="18" t="str">
        <f t="shared" si="1"/>
        <v>12/10/80</v>
      </c>
      <c r="F1719" s="18">
        <v>2.0</v>
      </c>
      <c r="G1719" s="27">
        <v>15922.29</v>
      </c>
      <c r="H1719" s="18" t="s">
        <v>140</v>
      </c>
      <c r="I1719" s="18" t="s">
        <v>142</v>
      </c>
      <c r="J1719" s="18" t="s">
        <v>3559</v>
      </c>
      <c r="K1719" s="29">
        <f t="shared" si="2"/>
        <v>42</v>
      </c>
    </row>
    <row r="1720" ht="15.75" customHeight="1">
      <c r="A1720" s="18" t="s">
        <v>1967</v>
      </c>
      <c r="B1720" s="18">
        <v>1982.0</v>
      </c>
      <c r="C1720" s="18" t="s">
        <v>91</v>
      </c>
      <c r="D1720" s="18">
        <v>24.0</v>
      </c>
      <c r="E1720" s="18" t="str">
        <f t="shared" si="1"/>
        <v>24/07/82</v>
      </c>
      <c r="F1720" s="18">
        <v>3.0</v>
      </c>
      <c r="G1720" s="27">
        <v>15965.29</v>
      </c>
      <c r="H1720" s="18" t="s">
        <v>140</v>
      </c>
      <c r="I1720" s="18" t="s">
        <v>219</v>
      </c>
      <c r="J1720" s="18" t="s">
        <v>325</v>
      </c>
      <c r="K1720" s="29">
        <f t="shared" si="2"/>
        <v>40</v>
      </c>
    </row>
    <row r="1721" ht="15.75" customHeight="1">
      <c r="A1721" s="18" t="s">
        <v>1964</v>
      </c>
      <c r="B1721" s="18">
        <v>1980.0</v>
      </c>
      <c r="C1721" s="18" t="s">
        <v>272</v>
      </c>
      <c r="D1721" s="18">
        <v>19.0</v>
      </c>
      <c r="E1721" s="18" t="str">
        <f t="shared" si="1"/>
        <v>19/09/80</v>
      </c>
      <c r="F1721" s="18">
        <v>2.0</v>
      </c>
      <c r="G1721" s="27">
        <v>15966.19</v>
      </c>
      <c r="H1721" s="18" t="s">
        <v>140</v>
      </c>
      <c r="I1721" s="18" t="s">
        <v>140</v>
      </c>
      <c r="J1721" s="18" t="s">
        <v>325</v>
      </c>
      <c r="K1721" s="29">
        <f t="shared" si="2"/>
        <v>42</v>
      </c>
    </row>
    <row r="1722" ht="15.75" customHeight="1">
      <c r="A1722" s="18" t="s">
        <v>1962</v>
      </c>
      <c r="B1722" s="18">
        <v>1988.0</v>
      </c>
      <c r="C1722" s="18" t="s">
        <v>457</v>
      </c>
      <c r="D1722" s="18">
        <v>5.0</v>
      </c>
      <c r="E1722" s="18" t="str">
        <f t="shared" si="1"/>
        <v>05/12/88</v>
      </c>
      <c r="F1722" s="18">
        <v>3.0</v>
      </c>
      <c r="G1722" s="27">
        <v>16059.06</v>
      </c>
      <c r="H1722" s="18" t="s">
        <v>140</v>
      </c>
      <c r="I1722" s="18" t="s">
        <v>142</v>
      </c>
      <c r="J1722" s="18" t="s">
        <v>325</v>
      </c>
      <c r="K1722" s="29">
        <f t="shared" si="2"/>
        <v>34</v>
      </c>
    </row>
    <row r="1723" ht="15.75" customHeight="1">
      <c r="A1723" s="18" t="s">
        <v>1960</v>
      </c>
      <c r="B1723" s="18">
        <v>1978.0</v>
      </c>
      <c r="C1723" s="18" t="s">
        <v>272</v>
      </c>
      <c r="D1723" s="18">
        <v>16.0</v>
      </c>
      <c r="E1723" s="18" t="str">
        <f t="shared" si="1"/>
        <v>16/09/78</v>
      </c>
      <c r="F1723" s="18">
        <v>2.0</v>
      </c>
      <c r="G1723" s="27">
        <v>16062.89</v>
      </c>
      <c r="H1723" s="18" t="s">
        <v>140</v>
      </c>
      <c r="I1723" s="18" t="s">
        <v>140</v>
      </c>
      <c r="J1723" s="18" t="s">
        <v>3559</v>
      </c>
      <c r="K1723" s="29">
        <f t="shared" si="2"/>
        <v>44</v>
      </c>
    </row>
    <row r="1724" ht="15.75" customHeight="1">
      <c r="A1724" s="18" t="s">
        <v>1958</v>
      </c>
      <c r="B1724" s="18">
        <v>1958.0</v>
      </c>
      <c r="C1724" s="18" t="s">
        <v>517</v>
      </c>
      <c r="D1724" s="18">
        <v>22.0</v>
      </c>
      <c r="E1724" s="18" t="str">
        <f t="shared" si="1"/>
        <v>22/10/58</v>
      </c>
      <c r="F1724" s="18">
        <v>2.0</v>
      </c>
      <c r="G1724" s="27">
        <v>16069.08</v>
      </c>
      <c r="H1724" s="18" t="s">
        <v>140</v>
      </c>
      <c r="I1724" s="18" t="s">
        <v>140</v>
      </c>
      <c r="J1724" s="18" t="s">
        <v>2024</v>
      </c>
      <c r="K1724" s="29">
        <f t="shared" si="2"/>
        <v>64</v>
      </c>
    </row>
    <row r="1725" ht="15.75" customHeight="1">
      <c r="A1725" s="18" t="s">
        <v>1955</v>
      </c>
      <c r="B1725" s="18">
        <v>1958.0</v>
      </c>
      <c r="C1725" s="18" t="s">
        <v>241</v>
      </c>
      <c r="D1725" s="18">
        <v>21.0</v>
      </c>
      <c r="E1725" s="18" t="str">
        <f t="shared" si="1"/>
        <v>21/06/58</v>
      </c>
      <c r="F1725" s="18">
        <v>3.0</v>
      </c>
      <c r="G1725" s="27">
        <v>16085.13</v>
      </c>
      <c r="H1725" s="18" t="s">
        <v>140</v>
      </c>
      <c r="I1725" s="18" t="s">
        <v>140</v>
      </c>
      <c r="J1725" s="18" t="s">
        <v>146</v>
      </c>
      <c r="K1725" s="29">
        <f t="shared" si="2"/>
        <v>64</v>
      </c>
    </row>
    <row r="1726" ht="15.75" customHeight="1">
      <c r="A1726" s="18" t="s">
        <v>1951</v>
      </c>
      <c r="B1726" s="18">
        <v>1985.0</v>
      </c>
      <c r="C1726" s="18" t="s">
        <v>501</v>
      </c>
      <c r="D1726" s="18">
        <v>27.0</v>
      </c>
      <c r="E1726" s="18" t="str">
        <f t="shared" si="1"/>
        <v>27/08/85</v>
      </c>
      <c r="F1726" s="18">
        <v>3.0</v>
      </c>
      <c r="G1726" s="27">
        <v>16097.94</v>
      </c>
      <c r="H1726" s="18" t="s">
        <v>140</v>
      </c>
      <c r="I1726" s="18" t="s">
        <v>142</v>
      </c>
      <c r="J1726" s="18" t="s">
        <v>325</v>
      </c>
      <c r="K1726" s="29">
        <f t="shared" si="2"/>
        <v>37</v>
      </c>
    </row>
    <row r="1727" ht="15.75" customHeight="1">
      <c r="A1727" s="18" t="s">
        <v>1947</v>
      </c>
      <c r="B1727" s="18">
        <v>1993.0</v>
      </c>
      <c r="C1727" s="18" t="s">
        <v>501</v>
      </c>
      <c r="D1727" s="18">
        <v>8.0</v>
      </c>
      <c r="E1727" s="18" t="str">
        <f t="shared" si="1"/>
        <v>08/08/93</v>
      </c>
      <c r="F1727" s="18">
        <v>0.0</v>
      </c>
      <c r="G1727" s="27">
        <v>16115.3</v>
      </c>
      <c r="H1727" s="18" t="s">
        <v>140</v>
      </c>
      <c r="I1727" s="18" t="s">
        <v>219</v>
      </c>
      <c r="J1727" s="18" t="s">
        <v>2024</v>
      </c>
      <c r="K1727" s="29">
        <f t="shared" si="2"/>
        <v>29</v>
      </c>
    </row>
    <row r="1728" ht="15.75" customHeight="1">
      <c r="A1728" s="18" t="s">
        <v>1945</v>
      </c>
      <c r="B1728" s="18">
        <v>1987.0</v>
      </c>
      <c r="C1728" s="18" t="s">
        <v>517</v>
      </c>
      <c r="D1728" s="18">
        <v>6.0</v>
      </c>
      <c r="E1728" s="18" t="str">
        <f t="shared" si="1"/>
        <v>06/10/87</v>
      </c>
      <c r="F1728" s="18">
        <v>3.0</v>
      </c>
      <c r="G1728" s="27">
        <v>16122.65</v>
      </c>
      <c r="H1728" s="18" t="s">
        <v>140</v>
      </c>
      <c r="I1728" s="18" t="s">
        <v>219</v>
      </c>
      <c r="J1728" s="18" t="s">
        <v>570</v>
      </c>
      <c r="K1728" s="29">
        <f t="shared" si="2"/>
        <v>35</v>
      </c>
    </row>
    <row r="1729" ht="15.75" customHeight="1">
      <c r="A1729" s="18" t="s">
        <v>1941</v>
      </c>
      <c r="B1729" s="18">
        <v>1993.0</v>
      </c>
      <c r="C1729" s="18" t="s">
        <v>457</v>
      </c>
      <c r="D1729" s="18">
        <v>12.0</v>
      </c>
      <c r="E1729" s="18" t="str">
        <f t="shared" si="1"/>
        <v>12/12/93</v>
      </c>
      <c r="F1729" s="18">
        <v>0.0</v>
      </c>
      <c r="G1729" s="27">
        <v>16138.76</v>
      </c>
      <c r="H1729" s="18" t="s">
        <v>140</v>
      </c>
      <c r="I1729" s="18" t="s">
        <v>142</v>
      </c>
      <c r="J1729" s="18" t="s">
        <v>2617</v>
      </c>
      <c r="K1729" s="29">
        <f t="shared" si="2"/>
        <v>29</v>
      </c>
    </row>
    <row r="1730" ht="15.75" customHeight="1">
      <c r="A1730" s="18" t="s">
        <v>1938</v>
      </c>
      <c r="B1730" s="18">
        <v>1982.0</v>
      </c>
      <c r="C1730" s="18" t="s">
        <v>91</v>
      </c>
      <c r="D1730" s="18">
        <v>6.0</v>
      </c>
      <c r="E1730" s="18" t="str">
        <f t="shared" si="1"/>
        <v>06/07/82</v>
      </c>
      <c r="F1730" s="18">
        <v>3.0</v>
      </c>
      <c r="G1730" s="27">
        <v>16152.04</v>
      </c>
      <c r="H1730" s="18" t="s">
        <v>140</v>
      </c>
      <c r="I1730" s="18" t="s">
        <v>219</v>
      </c>
      <c r="J1730" s="18" t="s">
        <v>3559</v>
      </c>
      <c r="K1730" s="29">
        <f t="shared" si="2"/>
        <v>40</v>
      </c>
    </row>
    <row r="1731" ht="15.75" customHeight="1">
      <c r="A1731" s="18" t="s">
        <v>1935</v>
      </c>
      <c r="B1731" s="18">
        <v>1974.0</v>
      </c>
      <c r="C1731" s="18" t="s">
        <v>272</v>
      </c>
      <c r="D1731" s="18">
        <v>11.0</v>
      </c>
      <c r="E1731" s="18" t="str">
        <f t="shared" si="1"/>
        <v>11/09/74</v>
      </c>
      <c r="F1731" s="18">
        <v>0.0</v>
      </c>
      <c r="G1731" s="27">
        <v>16190.97</v>
      </c>
      <c r="H1731" s="18" t="s">
        <v>140</v>
      </c>
      <c r="I1731" s="18" t="s">
        <v>142</v>
      </c>
      <c r="J1731" s="18" t="s">
        <v>325</v>
      </c>
      <c r="K1731" s="29">
        <f t="shared" si="2"/>
        <v>48</v>
      </c>
    </row>
    <row r="1732" ht="15.75" customHeight="1">
      <c r="A1732" s="18" t="s">
        <v>1931</v>
      </c>
      <c r="B1732" s="18">
        <v>1988.0</v>
      </c>
      <c r="C1732" s="18" t="s">
        <v>501</v>
      </c>
      <c r="D1732" s="18">
        <v>6.0</v>
      </c>
      <c r="E1732" s="18" t="str">
        <f t="shared" si="1"/>
        <v>06/08/88</v>
      </c>
      <c r="F1732" s="18">
        <v>3.0</v>
      </c>
      <c r="G1732" s="27">
        <v>16199.1</v>
      </c>
      <c r="H1732" s="18" t="s">
        <v>140</v>
      </c>
      <c r="I1732" s="18" t="s">
        <v>140</v>
      </c>
      <c r="J1732" s="18" t="s">
        <v>325</v>
      </c>
      <c r="K1732" s="29">
        <f t="shared" si="2"/>
        <v>34</v>
      </c>
    </row>
    <row r="1733" ht="15.75" customHeight="1">
      <c r="A1733" s="18" t="s">
        <v>1928</v>
      </c>
      <c r="B1733" s="18">
        <v>1988.0</v>
      </c>
      <c r="C1733" s="18" t="s">
        <v>501</v>
      </c>
      <c r="D1733" s="18">
        <v>21.0</v>
      </c>
      <c r="E1733" s="18" t="str">
        <f t="shared" si="1"/>
        <v>21/08/88</v>
      </c>
      <c r="F1733" s="18">
        <v>3.0</v>
      </c>
      <c r="G1733" s="27">
        <v>16205.88</v>
      </c>
      <c r="H1733" s="18" t="s">
        <v>140</v>
      </c>
      <c r="I1733" s="18" t="s">
        <v>219</v>
      </c>
      <c r="J1733" s="18" t="s">
        <v>325</v>
      </c>
      <c r="K1733" s="29">
        <f t="shared" si="2"/>
        <v>34</v>
      </c>
    </row>
    <row r="1734" ht="15.75" customHeight="1">
      <c r="A1734" s="18" t="s">
        <v>1925</v>
      </c>
      <c r="B1734" s="18">
        <v>2002.0</v>
      </c>
      <c r="C1734" s="18" t="s">
        <v>272</v>
      </c>
      <c r="D1734" s="18">
        <v>8.0</v>
      </c>
      <c r="E1734" s="18" t="str">
        <f t="shared" si="1"/>
        <v>08/09/02</v>
      </c>
      <c r="F1734" s="18">
        <v>0.0</v>
      </c>
      <c r="G1734" s="27">
        <v>16232.85</v>
      </c>
      <c r="H1734" s="18" t="s">
        <v>140</v>
      </c>
      <c r="I1734" s="18" t="s">
        <v>219</v>
      </c>
      <c r="J1734" s="18" t="s">
        <v>570</v>
      </c>
      <c r="K1734" s="29">
        <f t="shared" si="2"/>
        <v>20</v>
      </c>
    </row>
    <row r="1735" ht="15.75" customHeight="1">
      <c r="A1735" s="18" t="s">
        <v>1922</v>
      </c>
      <c r="B1735" s="18">
        <v>1972.0</v>
      </c>
      <c r="C1735" s="18" t="s">
        <v>91</v>
      </c>
      <c r="D1735" s="18">
        <v>30.0</v>
      </c>
      <c r="E1735" s="18" t="str">
        <f t="shared" si="1"/>
        <v>30/07/72</v>
      </c>
      <c r="F1735" s="18">
        <v>0.0</v>
      </c>
      <c r="G1735" s="27">
        <v>16267.32</v>
      </c>
      <c r="H1735" s="18" t="s">
        <v>140</v>
      </c>
      <c r="I1735" s="18" t="s">
        <v>140</v>
      </c>
      <c r="J1735" s="18" t="s">
        <v>2031</v>
      </c>
      <c r="K1735" s="29">
        <f t="shared" si="2"/>
        <v>50</v>
      </c>
    </row>
    <row r="1736" ht="15.75" customHeight="1">
      <c r="A1736" s="18" t="s">
        <v>1920</v>
      </c>
      <c r="B1736" s="18">
        <v>2003.0</v>
      </c>
      <c r="C1736" s="18" t="s">
        <v>501</v>
      </c>
      <c r="D1736" s="18">
        <v>24.0</v>
      </c>
      <c r="E1736" s="18" t="str">
        <f t="shared" si="1"/>
        <v>24/08/03</v>
      </c>
      <c r="F1736" s="18">
        <v>0.0</v>
      </c>
      <c r="G1736" s="27">
        <v>16297.85</v>
      </c>
      <c r="H1736" s="18" t="s">
        <v>140</v>
      </c>
      <c r="I1736" s="18" t="s">
        <v>142</v>
      </c>
      <c r="J1736" s="18" t="s">
        <v>570</v>
      </c>
      <c r="K1736" s="29">
        <f t="shared" si="2"/>
        <v>19</v>
      </c>
    </row>
    <row r="1737" ht="15.75" customHeight="1">
      <c r="A1737" s="18" t="s">
        <v>1916</v>
      </c>
      <c r="B1737" s="18">
        <v>1969.0</v>
      </c>
      <c r="C1737" s="18" t="s">
        <v>501</v>
      </c>
      <c r="D1737" s="18">
        <v>8.0</v>
      </c>
      <c r="E1737" s="18" t="str">
        <f t="shared" si="1"/>
        <v>08/08/69</v>
      </c>
      <c r="F1737" s="18">
        <v>0.0</v>
      </c>
      <c r="G1737" s="27">
        <v>16311.05</v>
      </c>
      <c r="H1737" s="18" t="s">
        <v>140</v>
      </c>
      <c r="I1737" s="18" t="s">
        <v>142</v>
      </c>
      <c r="J1737" s="18" t="s">
        <v>3559</v>
      </c>
      <c r="K1737" s="29">
        <f t="shared" si="2"/>
        <v>53</v>
      </c>
    </row>
    <row r="1738" ht="15.75" customHeight="1">
      <c r="A1738" s="18" t="s">
        <v>1915</v>
      </c>
      <c r="B1738" s="18">
        <v>1965.0</v>
      </c>
      <c r="C1738" s="18" t="s">
        <v>457</v>
      </c>
      <c r="D1738" s="18">
        <v>5.0</v>
      </c>
      <c r="E1738" s="18" t="str">
        <f t="shared" si="1"/>
        <v>05/12/65</v>
      </c>
      <c r="F1738" s="18">
        <v>0.0</v>
      </c>
      <c r="G1738" s="27">
        <v>16351.42</v>
      </c>
      <c r="H1738" s="18" t="s">
        <v>140</v>
      </c>
      <c r="I1738" s="18" t="s">
        <v>142</v>
      </c>
      <c r="J1738" s="18" t="s">
        <v>3559</v>
      </c>
      <c r="K1738" s="29">
        <f t="shared" si="2"/>
        <v>57</v>
      </c>
    </row>
    <row r="1739" ht="15.75" customHeight="1">
      <c r="A1739" s="18" t="s">
        <v>1912</v>
      </c>
      <c r="B1739" s="18">
        <v>1995.0</v>
      </c>
      <c r="C1739" s="18" t="s">
        <v>272</v>
      </c>
      <c r="D1739" s="18">
        <v>28.0</v>
      </c>
      <c r="E1739" s="18" t="str">
        <f t="shared" si="1"/>
        <v>28/09/95</v>
      </c>
      <c r="F1739" s="18">
        <v>3.0</v>
      </c>
      <c r="G1739" s="27">
        <v>16420.49</v>
      </c>
      <c r="H1739" s="18" t="s">
        <v>140</v>
      </c>
      <c r="I1739" s="18" t="s">
        <v>142</v>
      </c>
      <c r="J1739" s="18" t="s">
        <v>325</v>
      </c>
      <c r="K1739" s="29">
        <f t="shared" si="2"/>
        <v>27</v>
      </c>
    </row>
    <row r="1740" ht="15.75" customHeight="1">
      <c r="A1740" s="18" t="s">
        <v>1908</v>
      </c>
      <c r="B1740" s="18">
        <v>2003.0</v>
      </c>
      <c r="C1740" s="18" t="s">
        <v>457</v>
      </c>
      <c r="D1740" s="18">
        <v>20.0</v>
      </c>
      <c r="E1740" s="18" t="str">
        <f t="shared" si="1"/>
        <v>20/12/03</v>
      </c>
      <c r="F1740" s="18">
        <v>1.0</v>
      </c>
      <c r="G1740" s="27">
        <v>16450.89</v>
      </c>
      <c r="H1740" s="18" t="s">
        <v>140</v>
      </c>
      <c r="I1740" s="18" t="s">
        <v>219</v>
      </c>
      <c r="J1740" s="18" t="s">
        <v>325</v>
      </c>
      <c r="K1740" s="29">
        <f t="shared" si="2"/>
        <v>19</v>
      </c>
    </row>
    <row r="1741" ht="15.75" customHeight="1">
      <c r="A1741" s="18" t="s">
        <v>1905</v>
      </c>
      <c r="B1741" s="18">
        <v>1958.0</v>
      </c>
      <c r="C1741" s="18" t="s">
        <v>517</v>
      </c>
      <c r="D1741" s="18">
        <v>10.0</v>
      </c>
      <c r="E1741" s="18" t="str">
        <f t="shared" si="1"/>
        <v>10/10/58</v>
      </c>
      <c r="F1741" s="18">
        <v>3.0</v>
      </c>
      <c r="G1741" s="27">
        <v>16455.71</v>
      </c>
      <c r="H1741" s="18" t="s">
        <v>140</v>
      </c>
      <c r="I1741" s="18" t="s">
        <v>140</v>
      </c>
      <c r="J1741" s="18" t="s">
        <v>325</v>
      </c>
      <c r="K1741" s="29">
        <f t="shared" si="2"/>
        <v>64</v>
      </c>
    </row>
    <row r="1742" ht="15.75" customHeight="1">
      <c r="A1742" s="18" t="s">
        <v>1902</v>
      </c>
      <c r="B1742" s="18">
        <v>1995.0</v>
      </c>
      <c r="C1742" s="18" t="s">
        <v>457</v>
      </c>
      <c r="D1742" s="18">
        <v>23.0</v>
      </c>
      <c r="E1742" s="18" t="str">
        <f t="shared" si="1"/>
        <v>23/12/95</v>
      </c>
      <c r="F1742" s="18">
        <v>0.0</v>
      </c>
      <c r="G1742" s="27">
        <v>16577.78</v>
      </c>
      <c r="H1742" s="18" t="s">
        <v>140</v>
      </c>
      <c r="I1742" s="18" t="s">
        <v>219</v>
      </c>
      <c r="J1742" s="18" t="s">
        <v>146</v>
      </c>
      <c r="K1742" s="29">
        <f t="shared" si="2"/>
        <v>27</v>
      </c>
    </row>
    <row r="1743" ht="15.75" customHeight="1">
      <c r="A1743" s="18" t="s">
        <v>1899</v>
      </c>
      <c r="B1743" s="18">
        <v>2001.0</v>
      </c>
      <c r="C1743" s="18" t="s">
        <v>241</v>
      </c>
      <c r="D1743" s="18">
        <v>25.0</v>
      </c>
      <c r="E1743" s="18" t="str">
        <f t="shared" si="1"/>
        <v>25/06/01</v>
      </c>
      <c r="F1743" s="18">
        <v>0.0</v>
      </c>
      <c r="G1743" s="27">
        <v>16586.5</v>
      </c>
      <c r="H1743" s="18" t="s">
        <v>140</v>
      </c>
      <c r="I1743" s="18" t="s">
        <v>219</v>
      </c>
      <c r="J1743" s="18" t="s">
        <v>146</v>
      </c>
      <c r="K1743" s="29">
        <f t="shared" si="2"/>
        <v>21</v>
      </c>
    </row>
    <row r="1744" ht="15.75" customHeight="1">
      <c r="A1744" s="18" t="s">
        <v>1895</v>
      </c>
      <c r="B1744" s="18">
        <v>1963.0</v>
      </c>
      <c r="C1744" s="18" t="s">
        <v>241</v>
      </c>
      <c r="D1744" s="18">
        <v>25.0</v>
      </c>
      <c r="E1744" s="18" t="str">
        <f t="shared" si="1"/>
        <v>25/06/63</v>
      </c>
      <c r="F1744" s="18">
        <v>0.0</v>
      </c>
      <c r="G1744" s="27">
        <v>16587.96</v>
      </c>
      <c r="H1744" s="18" t="s">
        <v>140</v>
      </c>
      <c r="I1744" s="18" t="s">
        <v>140</v>
      </c>
      <c r="J1744" s="18" t="s">
        <v>2031</v>
      </c>
      <c r="K1744" s="29">
        <f t="shared" si="2"/>
        <v>59</v>
      </c>
    </row>
    <row r="1745" ht="15.75" customHeight="1">
      <c r="A1745" s="18" t="s">
        <v>1892</v>
      </c>
      <c r="B1745" s="18">
        <v>1970.0</v>
      </c>
      <c r="C1745" s="18" t="s">
        <v>91</v>
      </c>
      <c r="D1745" s="18">
        <v>10.0</v>
      </c>
      <c r="E1745" s="18" t="str">
        <f t="shared" si="1"/>
        <v>10/07/70</v>
      </c>
      <c r="F1745" s="18">
        <v>0.0</v>
      </c>
      <c r="G1745" s="27">
        <v>16600.16</v>
      </c>
      <c r="H1745" s="18" t="s">
        <v>140</v>
      </c>
      <c r="I1745" s="18" t="s">
        <v>140</v>
      </c>
      <c r="J1745" s="18" t="s">
        <v>570</v>
      </c>
      <c r="K1745" s="29">
        <f t="shared" si="2"/>
        <v>52</v>
      </c>
    </row>
    <row r="1746" ht="15.75" customHeight="1">
      <c r="A1746" s="18" t="s">
        <v>1889</v>
      </c>
      <c r="B1746" s="18">
        <v>1975.0</v>
      </c>
      <c r="C1746" s="18" t="s">
        <v>91</v>
      </c>
      <c r="D1746" s="18">
        <v>24.0</v>
      </c>
      <c r="E1746" s="18" t="str">
        <f t="shared" si="1"/>
        <v>24/07/75</v>
      </c>
      <c r="F1746" s="18">
        <v>1.0</v>
      </c>
      <c r="G1746" s="27">
        <v>16602.18</v>
      </c>
      <c r="H1746" s="18" t="s">
        <v>140</v>
      </c>
      <c r="I1746" s="18" t="s">
        <v>219</v>
      </c>
      <c r="J1746" s="18" t="s">
        <v>3559</v>
      </c>
      <c r="K1746" s="29">
        <f t="shared" si="2"/>
        <v>47</v>
      </c>
    </row>
    <row r="1747" ht="15.75" customHeight="1">
      <c r="A1747" s="18" t="s">
        <v>1885</v>
      </c>
      <c r="B1747" s="18">
        <v>1977.0</v>
      </c>
      <c r="C1747" s="18" t="s">
        <v>272</v>
      </c>
      <c r="D1747" s="18">
        <v>25.0</v>
      </c>
      <c r="E1747" s="18" t="str">
        <f t="shared" si="1"/>
        <v>25/09/77</v>
      </c>
      <c r="F1747" s="18">
        <v>2.0</v>
      </c>
      <c r="G1747" s="27">
        <v>16631.61</v>
      </c>
      <c r="H1747" s="18" t="s">
        <v>140</v>
      </c>
      <c r="I1747" s="18" t="s">
        <v>219</v>
      </c>
      <c r="J1747" s="18" t="s">
        <v>325</v>
      </c>
      <c r="K1747" s="29">
        <f t="shared" si="2"/>
        <v>45</v>
      </c>
    </row>
    <row r="1748" ht="15.75" customHeight="1">
      <c r="A1748" s="18" t="s">
        <v>1883</v>
      </c>
      <c r="B1748" s="18">
        <v>1993.0</v>
      </c>
      <c r="C1748" s="18" t="s">
        <v>209</v>
      </c>
      <c r="D1748" s="18">
        <v>5.0</v>
      </c>
      <c r="E1748" s="18" t="str">
        <f t="shared" si="1"/>
        <v>05/11/93</v>
      </c>
      <c r="F1748" s="18">
        <v>1.0</v>
      </c>
      <c r="G1748" s="27">
        <v>16657.72</v>
      </c>
      <c r="H1748" s="18" t="s">
        <v>140</v>
      </c>
      <c r="I1748" s="18" t="s">
        <v>219</v>
      </c>
      <c r="J1748" s="18" t="s">
        <v>2024</v>
      </c>
      <c r="K1748" s="29">
        <f t="shared" si="2"/>
        <v>29</v>
      </c>
    </row>
    <row r="1749" ht="15.75" customHeight="1">
      <c r="A1749" s="18" t="s">
        <v>1881</v>
      </c>
      <c r="B1749" s="18">
        <v>1974.0</v>
      </c>
      <c r="C1749" s="18" t="s">
        <v>501</v>
      </c>
      <c r="D1749" s="18">
        <v>28.0</v>
      </c>
      <c r="E1749" s="18" t="str">
        <f t="shared" si="1"/>
        <v>28/08/74</v>
      </c>
      <c r="F1749" s="18">
        <v>0.0</v>
      </c>
      <c r="G1749" s="27">
        <v>16770.99</v>
      </c>
      <c r="H1749" s="18" t="s">
        <v>140</v>
      </c>
      <c r="I1749" s="18" t="s">
        <v>219</v>
      </c>
      <c r="J1749" s="18" t="s">
        <v>325</v>
      </c>
      <c r="K1749" s="29">
        <f t="shared" si="2"/>
        <v>48</v>
      </c>
    </row>
    <row r="1750" ht="15.75" customHeight="1">
      <c r="A1750" s="18" t="s">
        <v>1877</v>
      </c>
      <c r="B1750" s="18">
        <v>1989.0</v>
      </c>
      <c r="C1750" s="18" t="s">
        <v>272</v>
      </c>
      <c r="D1750" s="18">
        <v>23.0</v>
      </c>
      <c r="E1750" s="18" t="str">
        <f t="shared" si="1"/>
        <v>23/09/89</v>
      </c>
      <c r="F1750" s="18">
        <v>2.0</v>
      </c>
      <c r="G1750" s="27">
        <v>16776.3</v>
      </c>
      <c r="H1750" s="18" t="s">
        <v>140</v>
      </c>
      <c r="I1750" s="18" t="s">
        <v>140</v>
      </c>
      <c r="J1750" s="18" t="s">
        <v>2024</v>
      </c>
      <c r="K1750" s="29">
        <f t="shared" si="2"/>
        <v>33</v>
      </c>
    </row>
    <row r="1751" ht="15.75" customHeight="1">
      <c r="A1751" s="18" t="s">
        <v>1876</v>
      </c>
      <c r="B1751" s="18">
        <v>1962.0</v>
      </c>
      <c r="C1751" s="18" t="s">
        <v>91</v>
      </c>
      <c r="D1751" s="18">
        <v>29.0</v>
      </c>
      <c r="E1751" s="18" t="str">
        <f t="shared" si="1"/>
        <v>29/07/62</v>
      </c>
      <c r="F1751" s="18">
        <v>0.0</v>
      </c>
      <c r="G1751" s="27">
        <v>16779.4</v>
      </c>
      <c r="H1751" s="18" t="s">
        <v>140</v>
      </c>
      <c r="I1751" s="18" t="s">
        <v>140</v>
      </c>
      <c r="J1751" s="18" t="s">
        <v>3559</v>
      </c>
      <c r="K1751" s="29">
        <f t="shared" si="2"/>
        <v>60</v>
      </c>
    </row>
    <row r="1752" ht="15.75" customHeight="1">
      <c r="A1752" s="18" t="s">
        <v>1873</v>
      </c>
      <c r="B1752" s="18">
        <v>1995.0</v>
      </c>
      <c r="C1752" s="18" t="s">
        <v>517</v>
      </c>
      <c r="D1752" s="18">
        <v>19.0</v>
      </c>
      <c r="E1752" s="18" t="str">
        <f t="shared" si="1"/>
        <v>19/10/95</v>
      </c>
      <c r="F1752" s="18">
        <v>1.0</v>
      </c>
      <c r="G1752" s="27">
        <v>16796.41</v>
      </c>
      <c r="H1752" s="18" t="s">
        <v>140</v>
      </c>
      <c r="I1752" s="18" t="s">
        <v>142</v>
      </c>
      <c r="J1752" s="18" t="s">
        <v>2024</v>
      </c>
      <c r="K1752" s="29">
        <f t="shared" si="2"/>
        <v>27</v>
      </c>
    </row>
    <row r="1753" ht="15.75" customHeight="1">
      <c r="A1753" s="18" t="s">
        <v>1869</v>
      </c>
      <c r="B1753" s="18">
        <v>1974.0</v>
      </c>
      <c r="C1753" s="18" t="s">
        <v>501</v>
      </c>
      <c r="D1753" s="18">
        <v>8.0</v>
      </c>
      <c r="E1753" s="18" t="str">
        <f t="shared" si="1"/>
        <v>08/08/74</v>
      </c>
      <c r="F1753" s="18">
        <v>0.0</v>
      </c>
      <c r="G1753" s="27">
        <v>16841.32</v>
      </c>
      <c r="H1753" s="18" t="s">
        <v>140</v>
      </c>
      <c r="I1753" s="18" t="s">
        <v>142</v>
      </c>
      <c r="J1753" s="18" t="s">
        <v>570</v>
      </c>
      <c r="K1753" s="29">
        <f t="shared" si="2"/>
        <v>48</v>
      </c>
    </row>
    <row r="1754" ht="15.75" customHeight="1">
      <c r="A1754" s="18" t="s">
        <v>1867</v>
      </c>
      <c r="B1754" s="18">
        <v>2003.0</v>
      </c>
      <c r="C1754" s="18" t="s">
        <v>272</v>
      </c>
      <c r="D1754" s="18">
        <v>10.0</v>
      </c>
      <c r="E1754" s="18" t="str">
        <f t="shared" si="1"/>
        <v>10/09/03</v>
      </c>
      <c r="F1754" s="18">
        <v>0.0</v>
      </c>
      <c r="G1754" s="27">
        <v>16884.92</v>
      </c>
      <c r="H1754" s="18" t="s">
        <v>140</v>
      </c>
      <c r="I1754" s="18" t="s">
        <v>140</v>
      </c>
      <c r="J1754" s="18" t="s">
        <v>570</v>
      </c>
      <c r="K1754" s="29">
        <f t="shared" si="2"/>
        <v>19</v>
      </c>
    </row>
    <row r="1755" ht="15.75" customHeight="1">
      <c r="A1755" s="18" t="s">
        <v>1864</v>
      </c>
      <c r="B1755" s="18">
        <v>1968.0</v>
      </c>
      <c r="C1755" s="18" t="s">
        <v>517</v>
      </c>
      <c r="D1755" s="18">
        <v>21.0</v>
      </c>
      <c r="E1755" s="18" t="str">
        <f t="shared" si="1"/>
        <v>21/10/68</v>
      </c>
      <c r="F1755" s="18">
        <v>0.0</v>
      </c>
      <c r="G1755" s="27">
        <v>16903.5</v>
      </c>
      <c r="H1755" s="18" t="s">
        <v>140</v>
      </c>
      <c r="I1755" s="18" t="s">
        <v>142</v>
      </c>
      <c r="J1755" s="18" t="s">
        <v>325</v>
      </c>
      <c r="K1755" s="29">
        <f t="shared" si="2"/>
        <v>54</v>
      </c>
    </row>
    <row r="1756" ht="15.75" customHeight="1">
      <c r="A1756" s="18" t="s">
        <v>1861</v>
      </c>
      <c r="B1756" s="18">
        <v>1977.0</v>
      </c>
      <c r="C1756" s="18" t="s">
        <v>501</v>
      </c>
      <c r="D1756" s="18">
        <v>25.0</v>
      </c>
      <c r="E1756" s="18" t="str">
        <f t="shared" si="1"/>
        <v>25/08/77</v>
      </c>
      <c r="F1756" s="18">
        <v>2.0</v>
      </c>
      <c r="G1756" s="27">
        <v>16921.09</v>
      </c>
      <c r="H1756" s="18" t="s">
        <v>140</v>
      </c>
      <c r="I1756" s="18" t="s">
        <v>142</v>
      </c>
      <c r="J1756" s="18" t="s">
        <v>2031</v>
      </c>
      <c r="K1756" s="29">
        <f t="shared" si="2"/>
        <v>45</v>
      </c>
    </row>
    <row r="1757" ht="15.75" customHeight="1">
      <c r="A1757" s="18" t="s">
        <v>1858</v>
      </c>
      <c r="B1757" s="18">
        <v>1980.0</v>
      </c>
      <c r="C1757" s="18" t="s">
        <v>91</v>
      </c>
      <c r="D1757" s="18">
        <v>16.0</v>
      </c>
      <c r="E1757" s="18" t="str">
        <f t="shared" si="1"/>
        <v>16/07/80</v>
      </c>
      <c r="F1757" s="18">
        <v>2.0</v>
      </c>
      <c r="G1757" s="27">
        <v>16990.55</v>
      </c>
      <c r="H1757" s="18" t="s">
        <v>140</v>
      </c>
      <c r="I1757" s="18" t="s">
        <v>142</v>
      </c>
      <c r="J1757" s="18" t="s">
        <v>325</v>
      </c>
      <c r="K1757" s="29">
        <f t="shared" si="2"/>
        <v>42</v>
      </c>
    </row>
    <row r="1758" ht="15.75" customHeight="1">
      <c r="A1758" s="18" t="s">
        <v>1856</v>
      </c>
      <c r="B1758" s="18">
        <v>1971.0</v>
      </c>
      <c r="C1758" s="18" t="s">
        <v>501</v>
      </c>
      <c r="D1758" s="18">
        <v>22.0</v>
      </c>
      <c r="E1758" s="18" t="str">
        <f t="shared" si="1"/>
        <v>22/08/71</v>
      </c>
      <c r="F1758" s="18">
        <v>0.0</v>
      </c>
      <c r="G1758" s="27">
        <v>17016.01</v>
      </c>
      <c r="H1758" s="18" t="s">
        <v>140</v>
      </c>
      <c r="I1758" s="18" t="s">
        <v>140</v>
      </c>
      <c r="J1758" s="18" t="s">
        <v>2031</v>
      </c>
      <c r="K1758" s="29">
        <f t="shared" si="2"/>
        <v>51</v>
      </c>
    </row>
    <row r="1759" ht="15.75" customHeight="1">
      <c r="A1759" s="18" t="s">
        <v>1853</v>
      </c>
      <c r="B1759" s="18">
        <v>1996.0</v>
      </c>
      <c r="C1759" s="18" t="s">
        <v>241</v>
      </c>
      <c r="D1759" s="18">
        <v>10.0</v>
      </c>
      <c r="E1759" s="18" t="str">
        <f t="shared" si="1"/>
        <v>10/06/96</v>
      </c>
      <c r="F1759" s="18">
        <v>0.0</v>
      </c>
      <c r="G1759" s="27">
        <v>17043.34</v>
      </c>
      <c r="H1759" s="18" t="s">
        <v>140</v>
      </c>
      <c r="I1759" s="18" t="s">
        <v>142</v>
      </c>
      <c r="J1759" s="18" t="s">
        <v>146</v>
      </c>
      <c r="K1759" s="29">
        <f t="shared" si="2"/>
        <v>26</v>
      </c>
    </row>
    <row r="1760" ht="15.75" customHeight="1">
      <c r="A1760" s="18" t="s">
        <v>1850</v>
      </c>
      <c r="B1760" s="18">
        <v>2003.0</v>
      </c>
      <c r="C1760" s="18" t="s">
        <v>457</v>
      </c>
      <c r="D1760" s="18">
        <v>26.0</v>
      </c>
      <c r="E1760" s="18" t="str">
        <f t="shared" si="1"/>
        <v>26/12/03</v>
      </c>
      <c r="F1760" s="18">
        <v>0.0</v>
      </c>
      <c r="G1760" s="27">
        <v>17081.08</v>
      </c>
      <c r="H1760" s="18" t="s">
        <v>140</v>
      </c>
      <c r="I1760" s="18" t="s">
        <v>140</v>
      </c>
      <c r="J1760" s="18" t="s">
        <v>570</v>
      </c>
      <c r="K1760" s="29">
        <f t="shared" si="2"/>
        <v>19</v>
      </c>
    </row>
    <row r="1761" ht="15.75" customHeight="1">
      <c r="A1761" s="18" t="s">
        <v>1846</v>
      </c>
      <c r="B1761" s="18">
        <v>2002.0</v>
      </c>
      <c r="C1761" s="18" t="s">
        <v>241</v>
      </c>
      <c r="D1761" s="18">
        <v>28.0</v>
      </c>
      <c r="E1761" s="18" t="str">
        <f t="shared" si="1"/>
        <v>28/06/02</v>
      </c>
      <c r="F1761" s="18">
        <v>1.0</v>
      </c>
      <c r="G1761" s="27">
        <v>17085.27</v>
      </c>
      <c r="H1761" s="18" t="s">
        <v>140</v>
      </c>
      <c r="I1761" s="18" t="s">
        <v>142</v>
      </c>
      <c r="J1761" s="18" t="s">
        <v>146</v>
      </c>
      <c r="K1761" s="29">
        <f t="shared" si="2"/>
        <v>20</v>
      </c>
    </row>
    <row r="1762" ht="15.75" customHeight="1">
      <c r="A1762" s="18" t="s">
        <v>1843</v>
      </c>
      <c r="B1762" s="18">
        <v>1998.0</v>
      </c>
      <c r="C1762" s="18" t="s">
        <v>241</v>
      </c>
      <c r="D1762" s="18">
        <v>3.0</v>
      </c>
      <c r="E1762" s="18" t="str">
        <f t="shared" si="1"/>
        <v>03/06/98</v>
      </c>
      <c r="F1762" s="18">
        <v>4.0</v>
      </c>
      <c r="G1762" s="27">
        <v>17128.43</v>
      </c>
      <c r="H1762" s="18" t="s">
        <v>140</v>
      </c>
      <c r="I1762" s="18" t="s">
        <v>142</v>
      </c>
      <c r="J1762" s="18" t="s">
        <v>1427</v>
      </c>
      <c r="K1762" s="29">
        <f t="shared" si="2"/>
        <v>25</v>
      </c>
    </row>
    <row r="1763" ht="15.75" customHeight="1">
      <c r="A1763" s="18" t="s">
        <v>1840</v>
      </c>
      <c r="B1763" s="18">
        <v>1965.0</v>
      </c>
      <c r="C1763" s="18" t="s">
        <v>272</v>
      </c>
      <c r="D1763" s="18">
        <v>16.0</v>
      </c>
      <c r="E1763" s="18" t="str">
        <f t="shared" si="1"/>
        <v>16/09/65</v>
      </c>
      <c r="F1763" s="18">
        <v>0.0</v>
      </c>
      <c r="G1763" s="27">
        <v>17172.27</v>
      </c>
      <c r="H1763" s="18" t="s">
        <v>140</v>
      </c>
      <c r="I1763" s="18" t="s">
        <v>140</v>
      </c>
      <c r="J1763" s="18" t="s">
        <v>3559</v>
      </c>
      <c r="K1763" s="29">
        <f t="shared" si="2"/>
        <v>57</v>
      </c>
    </row>
    <row r="1764" ht="15.75" customHeight="1">
      <c r="A1764" s="18" t="s">
        <v>1837</v>
      </c>
      <c r="B1764" s="18">
        <v>1964.0</v>
      </c>
      <c r="C1764" s="18" t="s">
        <v>241</v>
      </c>
      <c r="D1764" s="18">
        <v>7.0</v>
      </c>
      <c r="E1764" s="18" t="str">
        <f t="shared" si="1"/>
        <v>07/06/64</v>
      </c>
      <c r="F1764" s="18">
        <v>0.0</v>
      </c>
      <c r="G1764" s="27">
        <v>17174.52</v>
      </c>
      <c r="H1764" s="18" t="s">
        <v>140</v>
      </c>
      <c r="I1764" s="18" t="s">
        <v>140</v>
      </c>
      <c r="J1764" s="18" t="s">
        <v>325</v>
      </c>
      <c r="K1764" s="29">
        <f t="shared" si="2"/>
        <v>59</v>
      </c>
    </row>
    <row r="1765" ht="15.75" customHeight="1">
      <c r="A1765" s="18" t="s">
        <v>1834</v>
      </c>
      <c r="B1765" s="18">
        <v>2004.0</v>
      </c>
      <c r="C1765" s="18" t="s">
        <v>501</v>
      </c>
      <c r="D1765" s="18">
        <v>18.0</v>
      </c>
      <c r="E1765" s="18" t="str">
        <f t="shared" si="1"/>
        <v>18/08/04</v>
      </c>
      <c r="F1765" s="18">
        <v>1.0</v>
      </c>
      <c r="G1765" s="27">
        <v>17178.68</v>
      </c>
      <c r="H1765" s="18" t="s">
        <v>140</v>
      </c>
      <c r="I1765" s="18" t="s">
        <v>140</v>
      </c>
      <c r="J1765" s="18" t="s">
        <v>1421</v>
      </c>
      <c r="K1765" s="29">
        <f t="shared" si="2"/>
        <v>18</v>
      </c>
    </row>
    <row r="1766" ht="15.75" customHeight="1">
      <c r="A1766" s="18" t="s">
        <v>1830</v>
      </c>
      <c r="B1766" s="18">
        <v>1982.0</v>
      </c>
      <c r="C1766" s="18" t="s">
        <v>517</v>
      </c>
      <c r="D1766" s="18">
        <v>22.0</v>
      </c>
      <c r="E1766" s="18" t="str">
        <f t="shared" si="1"/>
        <v>22/10/82</v>
      </c>
      <c r="F1766" s="18">
        <v>1.0</v>
      </c>
      <c r="G1766" s="27">
        <v>17179.52</v>
      </c>
      <c r="H1766" s="18" t="s">
        <v>140</v>
      </c>
      <c r="I1766" s="18" t="s">
        <v>219</v>
      </c>
      <c r="J1766" s="18" t="s">
        <v>146</v>
      </c>
      <c r="K1766" s="29">
        <f t="shared" si="2"/>
        <v>40</v>
      </c>
    </row>
    <row r="1767" ht="15.75" customHeight="1">
      <c r="A1767" s="18" t="s">
        <v>1827</v>
      </c>
      <c r="B1767" s="18">
        <v>1975.0</v>
      </c>
      <c r="C1767" s="18" t="s">
        <v>501</v>
      </c>
      <c r="D1767" s="18">
        <v>25.0</v>
      </c>
      <c r="E1767" s="18" t="str">
        <f t="shared" si="1"/>
        <v>25/08/75</v>
      </c>
      <c r="F1767" s="18">
        <v>1.0</v>
      </c>
      <c r="G1767" s="27">
        <v>17253.43</v>
      </c>
      <c r="H1767" s="18" t="s">
        <v>140</v>
      </c>
      <c r="I1767" s="18" t="s">
        <v>142</v>
      </c>
      <c r="J1767" s="18" t="s">
        <v>3559</v>
      </c>
      <c r="K1767" s="29">
        <f t="shared" si="2"/>
        <v>47</v>
      </c>
    </row>
    <row r="1768" ht="15.75" customHeight="1">
      <c r="A1768" s="18" t="s">
        <v>1825</v>
      </c>
      <c r="B1768" s="18">
        <v>1963.0</v>
      </c>
      <c r="C1768" s="18" t="s">
        <v>91</v>
      </c>
      <c r="D1768" s="18">
        <v>12.0</v>
      </c>
      <c r="E1768" s="18" t="str">
        <f t="shared" si="1"/>
        <v>12/07/63</v>
      </c>
      <c r="F1768" s="18">
        <v>0.0</v>
      </c>
      <c r="G1768" s="27">
        <v>17337.58</v>
      </c>
      <c r="H1768" s="18" t="s">
        <v>140</v>
      </c>
      <c r="I1768" s="18" t="s">
        <v>142</v>
      </c>
      <c r="J1768" s="18" t="s">
        <v>2031</v>
      </c>
      <c r="K1768" s="29">
        <f t="shared" si="2"/>
        <v>59</v>
      </c>
    </row>
    <row r="1769" ht="15.75" customHeight="1">
      <c r="A1769" s="18" t="s">
        <v>1821</v>
      </c>
      <c r="B1769" s="18">
        <v>2003.0</v>
      </c>
      <c r="C1769" s="18" t="s">
        <v>209</v>
      </c>
      <c r="D1769" s="18">
        <v>1.0</v>
      </c>
      <c r="E1769" s="18" t="str">
        <f t="shared" si="1"/>
        <v>01/11/03</v>
      </c>
      <c r="F1769" s="18">
        <v>0.0</v>
      </c>
      <c r="G1769" s="27">
        <v>17352.68</v>
      </c>
      <c r="H1769" s="18" t="s">
        <v>140</v>
      </c>
      <c r="I1769" s="18" t="s">
        <v>142</v>
      </c>
      <c r="J1769" s="18" t="s">
        <v>325</v>
      </c>
      <c r="K1769" s="29">
        <f t="shared" si="2"/>
        <v>19</v>
      </c>
    </row>
    <row r="1770" ht="15.75" customHeight="1">
      <c r="A1770" s="18" t="s">
        <v>1818</v>
      </c>
      <c r="B1770" s="18">
        <v>1992.0</v>
      </c>
      <c r="C1770" s="18" t="s">
        <v>517</v>
      </c>
      <c r="D1770" s="18">
        <v>18.0</v>
      </c>
      <c r="E1770" s="18" t="str">
        <f t="shared" si="1"/>
        <v>18/10/92</v>
      </c>
      <c r="F1770" s="18">
        <v>2.0</v>
      </c>
      <c r="G1770" s="27">
        <v>17361.77</v>
      </c>
      <c r="H1770" s="18" t="s">
        <v>140</v>
      </c>
      <c r="I1770" s="18" t="s">
        <v>219</v>
      </c>
      <c r="J1770" s="18" t="s">
        <v>325</v>
      </c>
      <c r="K1770" s="29">
        <f t="shared" si="2"/>
        <v>30</v>
      </c>
    </row>
    <row r="1771" ht="15.75" customHeight="1">
      <c r="A1771" s="18" t="s">
        <v>1815</v>
      </c>
      <c r="B1771" s="18">
        <v>2003.0</v>
      </c>
      <c r="C1771" s="18" t="s">
        <v>209</v>
      </c>
      <c r="D1771" s="18">
        <v>2.0</v>
      </c>
      <c r="E1771" s="18" t="str">
        <f t="shared" si="1"/>
        <v>02/11/03</v>
      </c>
      <c r="F1771" s="18">
        <v>0.0</v>
      </c>
      <c r="G1771" s="27">
        <v>17468.98</v>
      </c>
      <c r="H1771" s="18" t="s">
        <v>140</v>
      </c>
      <c r="I1771" s="18" t="s">
        <v>219</v>
      </c>
      <c r="J1771" s="18" t="s">
        <v>325</v>
      </c>
      <c r="K1771" s="29">
        <f t="shared" si="2"/>
        <v>19</v>
      </c>
    </row>
    <row r="1772" ht="15.75" customHeight="1">
      <c r="A1772" s="18" t="s">
        <v>1811</v>
      </c>
      <c r="B1772" s="18">
        <v>1971.0</v>
      </c>
      <c r="C1772" s="18" t="s">
        <v>241</v>
      </c>
      <c r="D1772" s="18">
        <v>8.0</v>
      </c>
      <c r="E1772" s="18" t="str">
        <f t="shared" si="1"/>
        <v>08/06/71</v>
      </c>
      <c r="F1772" s="18">
        <v>0.0</v>
      </c>
      <c r="G1772" s="27">
        <v>17479.53</v>
      </c>
      <c r="H1772" s="18" t="s">
        <v>219</v>
      </c>
      <c r="I1772" s="18" t="s">
        <v>219</v>
      </c>
      <c r="J1772" s="18" t="s">
        <v>325</v>
      </c>
      <c r="K1772" s="29">
        <f t="shared" si="2"/>
        <v>52</v>
      </c>
    </row>
    <row r="1773" ht="15.75" customHeight="1">
      <c r="A1773" s="18" t="s">
        <v>1808</v>
      </c>
      <c r="B1773" s="18">
        <v>1990.0</v>
      </c>
      <c r="C1773" s="18" t="s">
        <v>457</v>
      </c>
      <c r="D1773" s="18">
        <v>29.0</v>
      </c>
      <c r="E1773" s="18" t="str">
        <f t="shared" si="1"/>
        <v>29/12/90</v>
      </c>
      <c r="F1773" s="18">
        <v>0.0</v>
      </c>
      <c r="G1773" s="27">
        <v>17496.31</v>
      </c>
      <c r="H1773" s="18" t="s">
        <v>219</v>
      </c>
      <c r="I1773" s="18" t="s">
        <v>140</v>
      </c>
      <c r="J1773" s="18" t="s">
        <v>570</v>
      </c>
      <c r="K1773" s="29">
        <f t="shared" si="2"/>
        <v>32</v>
      </c>
    </row>
    <row r="1774" ht="15.75" customHeight="1">
      <c r="A1774" s="18" t="s">
        <v>1805</v>
      </c>
      <c r="B1774" s="18">
        <v>1965.0</v>
      </c>
      <c r="C1774" s="18" t="s">
        <v>241</v>
      </c>
      <c r="D1774" s="18">
        <v>16.0</v>
      </c>
      <c r="E1774" s="18" t="str">
        <f t="shared" si="1"/>
        <v>16/06/65</v>
      </c>
      <c r="F1774" s="18">
        <v>0.0</v>
      </c>
      <c r="G1774" s="27">
        <v>17505.65</v>
      </c>
      <c r="H1774" s="18" t="s">
        <v>219</v>
      </c>
      <c r="I1774" s="18" t="s">
        <v>140</v>
      </c>
      <c r="J1774" s="18" t="s">
        <v>2031</v>
      </c>
      <c r="K1774" s="29">
        <f t="shared" si="2"/>
        <v>57</v>
      </c>
    </row>
    <row r="1775" ht="15.75" customHeight="1">
      <c r="A1775" s="18" t="s">
        <v>1802</v>
      </c>
      <c r="B1775" s="18">
        <v>1968.0</v>
      </c>
      <c r="C1775" s="18" t="s">
        <v>91</v>
      </c>
      <c r="D1775" s="18">
        <v>12.0</v>
      </c>
      <c r="E1775" s="18" t="str">
        <f t="shared" si="1"/>
        <v>12/07/68</v>
      </c>
      <c r="F1775" s="18">
        <v>0.0</v>
      </c>
      <c r="G1775" s="27">
        <v>17507.47</v>
      </c>
      <c r="H1775" s="18" t="s">
        <v>219</v>
      </c>
      <c r="I1775" s="18" t="s">
        <v>219</v>
      </c>
      <c r="J1775" s="18" t="s">
        <v>3559</v>
      </c>
      <c r="K1775" s="29">
        <f t="shared" si="2"/>
        <v>54</v>
      </c>
    </row>
    <row r="1776" ht="15.75" customHeight="1">
      <c r="A1776" s="18" t="s">
        <v>1799</v>
      </c>
      <c r="B1776" s="18">
        <v>1963.0</v>
      </c>
      <c r="C1776" s="18" t="s">
        <v>209</v>
      </c>
      <c r="D1776" s="18">
        <v>16.0</v>
      </c>
      <c r="E1776" s="18" t="str">
        <f t="shared" si="1"/>
        <v>16/11/63</v>
      </c>
      <c r="F1776" s="18">
        <v>0.0</v>
      </c>
      <c r="G1776" s="27">
        <v>17556.88</v>
      </c>
      <c r="H1776" s="18" t="s">
        <v>219</v>
      </c>
      <c r="I1776" s="18" t="s">
        <v>140</v>
      </c>
      <c r="J1776" s="18" t="s">
        <v>325</v>
      </c>
      <c r="K1776" s="29">
        <f t="shared" si="2"/>
        <v>59</v>
      </c>
    </row>
    <row r="1777" ht="15.75" customHeight="1">
      <c r="A1777" s="18" t="s">
        <v>1796</v>
      </c>
      <c r="B1777" s="18">
        <v>2002.0</v>
      </c>
      <c r="C1777" s="18" t="s">
        <v>501</v>
      </c>
      <c r="D1777" s="18">
        <v>25.0</v>
      </c>
      <c r="E1777" s="18" t="str">
        <f t="shared" si="1"/>
        <v>25/08/02</v>
      </c>
      <c r="F1777" s="18">
        <v>1.0</v>
      </c>
      <c r="G1777" s="27">
        <v>17560.38</v>
      </c>
      <c r="H1777" s="18" t="s">
        <v>219</v>
      </c>
      <c r="I1777" s="18" t="s">
        <v>219</v>
      </c>
      <c r="J1777" s="18" t="s">
        <v>325</v>
      </c>
      <c r="K1777" s="29">
        <f t="shared" si="2"/>
        <v>20</v>
      </c>
    </row>
    <row r="1778" ht="15.75" customHeight="1">
      <c r="A1778" s="18" t="s">
        <v>1792</v>
      </c>
      <c r="B1778" s="18">
        <v>1970.0</v>
      </c>
      <c r="C1778" s="18" t="s">
        <v>91</v>
      </c>
      <c r="D1778" s="18">
        <v>26.0</v>
      </c>
      <c r="E1778" s="18" t="str">
        <f t="shared" si="1"/>
        <v>26/07/70</v>
      </c>
      <c r="F1778" s="18">
        <v>0.0</v>
      </c>
      <c r="G1778" s="27">
        <v>17584.72</v>
      </c>
      <c r="H1778" s="18" t="s">
        <v>219</v>
      </c>
      <c r="I1778" s="18" t="s">
        <v>142</v>
      </c>
      <c r="J1778" s="18" t="s">
        <v>325</v>
      </c>
      <c r="K1778" s="29">
        <f t="shared" si="2"/>
        <v>52</v>
      </c>
    </row>
    <row r="1779" ht="15.75" customHeight="1">
      <c r="A1779" s="18" t="s">
        <v>1789</v>
      </c>
      <c r="B1779" s="18">
        <v>1990.0</v>
      </c>
      <c r="C1779" s="18" t="s">
        <v>517</v>
      </c>
      <c r="D1779" s="18">
        <v>25.0</v>
      </c>
      <c r="E1779" s="18" t="str">
        <f t="shared" si="1"/>
        <v>25/10/90</v>
      </c>
      <c r="F1779" s="18">
        <v>1.0</v>
      </c>
      <c r="G1779" s="27">
        <v>17626.24</v>
      </c>
      <c r="H1779" s="18" t="s">
        <v>219</v>
      </c>
      <c r="I1779" s="18" t="s">
        <v>142</v>
      </c>
      <c r="J1779" s="18" t="s">
        <v>146</v>
      </c>
      <c r="K1779" s="29">
        <f t="shared" si="2"/>
        <v>32</v>
      </c>
    </row>
    <row r="1780" ht="15.75" customHeight="1">
      <c r="A1780" s="18" t="s">
        <v>1786</v>
      </c>
      <c r="B1780" s="18">
        <v>1994.0</v>
      </c>
      <c r="C1780" s="18" t="s">
        <v>91</v>
      </c>
      <c r="D1780" s="18">
        <v>1.0</v>
      </c>
      <c r="E1780" s="18" t="str">
        <f t="shared" si="1"/>
        <v>01/07/94</v>
      </c>
      <c r="F1780" s="18">
        <v>3.0</v>
      </c>
      <c r="G1780" s="27">
        <v>17663.14</v>
      </c>
      <c r="H1780" s="18" t="s">
        <v>219</v>
      </c>
      <c r="I1780" s="18" t="s">
        <v>142</v>
      </c>
      <c r="J1780" s="18" t="s">
        <v>146</v>
      </c>
      <c r="K1780" s="29">
        <f t="shared" si="2"/>
        <v>28</v>
      </c>
    </row>
    <row r="1781" ht="15.75" customHeight="1">
      <c r="A1781" s="18" t="s">
        <v>1783</v>
      </c>
      <c r="B1781" s="18">
        <v>2003.0</v>
      </c>
      <c r="C1781" s="18" t="s">
        <v>91</v>
      </c>
      <c r="D1781" s="18">
        <v>14.0</v>
      </c>
      <c r="E1781" s="18" t="str">
        <f t="shared" si="1"/>
        <v>14/07/03</v>
      </c>
      <c r="F1781" s="18">
        <v>0.0</v>
      </c>
      <c r="G1781" s="27">
        <v>17748.51</v>
      </c>
      <c r="H1781" s="18" t="s">
        <v>219</v>
      </c>
      <c r="I1781" s="18" t="s">
        <v>219</v>
      </c>
      <c r="J1781" s="18" t="s">
        <v>325</v>
      </c>
      <c r="K1781" s="29">
        <f t="shared" si="2"/>
        <v>19</v>
      </c>
    </row>
    <row r="1782" ht="15.75" customHeight="1">
      <c r="A1782" s="18" t="s">
        <v>1780</v>
      </c>
      <c r="B1782" s="18">
        <v>1966.0</v>
      </c>
      <c r="C1782" s="18" t="s">
        <v>241</v>
      </c>
      <c r="D1782" s="18">
        <v>21.0</v>
      </c>
      <c r="E1782" s="18" t="str">
        <f t="shared" si="1"/>
        <v>21/06/66</v>
      </c>
      <c r="F1782" s="18">
        <v>0.0</v>
      </c>
      <c r="G1782" s="27">
        <v>17777.73</v>
      </c>
      <c r="H1782" s="18" t="s">
        <v>219</v>
      </c>
      <c r="I1782" s="18" t="s">
        <v>142</v>
      </c>
      <c r="J1782" s="18" t="s">
        <v>325</v>
      </c>
      <c r="K1782" s="29">
        <f t="shared" si="2"/>
        <v>56</v>
      </c>
    </row>
    <row r="1783" ht="15.75" customHeight="1">
      <c r="A1783" s="18" t="s">
        <v>1777</v>
      </c>
      <c r="B1783" s="18">
        <v>1979.0</v>
      </c>
      <c r="C1783" s="18" t="s">
        <v>517</v>
      </c>
      <c r="D1783" s="18">
        <v>10.0</v>
      </c>
      <c r="E1783" s="18" t="str">
        <f t="shared" si="1"/>
        <v>10/10/79</v>
      </c>
      <c r="F1783" s="18">
        <v>2.0</v>
      </c>
      <c r="G1783" s="27">
        <v>17779.94</v>
      </c>
      <c r="H1783" s="18" t="s">
        <v>219</v>
      </c>
      <c r="I1783" s="18" t="s">
        <v>140</v>
      </c>
      <c r="J1783" s="18" t="s">
        <v>325</v>
      </c>
      <c r="K1783" s="29">
        <f t="shared" si="2"/>
        <v>43</v>
      </c>
    </row>
    <row r="1784" ht="15.75" customHeight="1">
      <c r="A1784" s="18" t="s">
        <v>1774</v>
      </c>
      <c r="B1784" s="18">
        <v>1963.0</v>
      </c>
      <c r="C1784" s="18" t="s">
        <v>457</v>
      </c>
      <c r="D1784" s="18">
        <v>8.0</v>
      </c>
      <c r="E1784" s="18" t="str">
        <f t="shared" si="1"/>
        <v>08/12/63</v>
      </c>
      <c r="F1784" s="18">
        <v>0.0</v>
      </c>
      <c r="G1784" s="27">
        <v>17832.6</v>
      </c>
      <c r="H1784" s="18" t="s">
        <v>219</v>
      </c>
      <c r="I1784" s="18" t="s">
        <v>140</v>
      </c>
      <c r="J1784" s="18" t="s">
        <v>325</v>
      </c>
      <c r="K1784" s="29">
        <f t="shared" si="2"/>
        <v>59</v>
      </c>
    </row>
    <row r="1785" ht="15.75" customHeight="1">
      <c r="A1785" s="18" t="s">
        <v>1771</v>
      </c>
      <c r="B1785" s="18">
        <v>1976.0</v>
      </c>
      <c r="C1785" s="18" t="s">
        <v>457</v>
      </c>
      <c r="D1785" s="18">
        <v>12.0</v>
      </c>
      <c r="E1785" s="18" t="str">
        <f t="shared" si="1"/>
        <v>12/12/76</v>
      </c>
      <c r="F1785" s="18">
        <v>2.0</v>
      </c>
      <c r="G1785" s="27">
        <v>17862.92</v>
      </c>
      <c r="H1785" s="18" t="s">
        <v>219</v>
      </c>
      <c r="I1785" s="18" t="s">
        <v>140</v>
      </c>
      <c r="J1785" s="18" t="s">
        <v>325</v>
      </c>
      <c r="K1785" s="29">
        <f t="shared" si="2"/>
        <v>46</v>
      </c>
    </row>
    <row r="1786" ht="15.75" customHeight="1">
      <c r="A1786" s="18" t="s">
        <v>1768</v>
      </c>
      <c r="B1786" s="18">
        <v>1997.0</v>
      </c>
      <c r="C1786" s="18" t="s">
        <v>501</v>
      </c>
      <c r="D1786" s="18">
        <v>26.0</v>
      </c>
      <c r="E1786" s="18" t="str">
        <f t="shared" si="1"/>
        <v>26/08/97</v>
      </c>
      <c r="F1786" s="18">
        <v>0.0</v>
      </c>
      <c r="G1786" s="27">
        <v>17878.9</v>
      </c>
      <c r="H1786" s="18" t="s">
        <v>219</v>
      </c>
      <c r="I1786" s="18" t="s">
        <v>140</v>
      </c>
      <c r="J1786" s="18" t="s">
        <v>2024</v>
      </c>
      <c r="K1786" s="29">
        <f t="shared" si="2"/>
        <v>25</v>
      </c>
    </row>
    <row r="1787" ht="15.75" customHeight="1">
      <c r="A1787" s="18" t="s">
        <v>1765</v>
      </c>
      <c r="B1787" s="18">
        <v>1979.0</v>
      </c>
      <c r="C1787" s="18" t="s">
        <v>209</v>
      </c>
      <c r="D1787" s="18">
        <v>12.0</v>
      </c>
      <c r="E1787" s="18" t="str">
        <f t="shared" si="1"/>
        <v>12/11/79</v>
      </c>
      <c r="F1787" s="18">
        <v>2.0</v>
      </c>
      <c r="G1787" s="27">
        <v>17882.67</v>
      </c>
      <c r="H1787" s="18" t="s">
        <v>219</v>
      </c>
      <c r="I1787" s="18" t="s">
        <v>142</v>
      </c>
      <c r="J1787" s="18" t="s">
        <v>325</v>
      </c>
      <c r="K1787" s="29">
        <f t="shared" si="2"/>
        <v>43</v>
      </c>
    </row>
    <row r="1788" ht="15.75" customHeight="1">
      <c r="A1788" s="18" t="s">
        <v>1763</v>
      </c>
      <c r="B1788" s="18">
        <v>1989.0</v>
      </c>
      <c r="C1788" s="18" t="s">
        <v>457</v>
      </c>
      <c r="D1788" s="18">
        <v>4.0</v>
      </c>
      <c r="E1788" s="18" t="str">
        <f t="shared" si="1"/>
        <v>04/12/89</v>
      </c>
      <c r="F1788" s="18">
        <v>0.0</v>
      </c>
      <c r="G1788" s="27">
        <v>17904.53</v>
      </c>
      <c r="H1788" s="18" t="s">
        <v>219</v>
      </c>
      <c r="I1788" s="18" t="s">
        <v>140</v>
      </c>
      <c r="J1788" s="18" t="s">
        <v>2617</v>
      </c>
      <c r="K1788" s="29">
        <f t="shared" si="2"/>
        <v>33</v>
      </c>
    </row>
    <row r="1789" ht="15.75" customHeight="1">
      <c r="A1789" s="18" t="s">
        <v>1760</v>
      </c>
      <c r="B1789" s="18">
        <v>1977.0</v>
      </c>
      <c r="C1789" s="18" t="s">
        <v>517</v>
      </c>
      <c r="D1789" s="18">
        <v>17.0</v>
      </c>
      <c r="E1789" s="18" t="str">
        <f t="shared" si="1"/>
        <v>17/10/77</v>
      </c>
      <c r="F1789" s="18">
        <v>0.0</v>
      </c>
      <c r="G1789" s="27">
        <v>17929.3</v>
      </c>
      <c r="H1789" s="18" t="s">
        <v>219</v>
      </c>
      <c r="I1789" s="18" t="s">
        <v>140</v>
      </c>
      <c r="J1789" s="18" t="s">
        <v>146</v>
      </c>
      <c r="K1789" s="29">
        <f t="shared" si="2"/>
        <v>45</v>
      </c>
    </row>
    <row r="1790" ht="15.75" customHeight="1">
      <c r="A1790" s="18" t="s">
        <v>1757</v>
      </c>
      <c r="B1790" s="18">
        <v>2001.0</v>
      </c>
      <c r="C1790" s="18" t="s">
        <v>272</v>
      </c>
      <c r="D1790" s="18">
        <v>28.0</v>
      </c>
      <c r="E1790" s="18" t="str">
        <f t="shared" si="1"/>
        <v>28/09/01</v>
      </c>
      <c r="F1790" s="18">
        <v>4.0</v>
      </c>
      <c r="G1790" s="27">
        <v>17942.11</v>
      </c>
      <c r="H1790" s="18" t="s">
        <v>219</v>
      </c>
      <c r="I1790" s="18" t="s">
        <v>140</v>
      </c>
      <c r="J1790" s="18" t="s">
        <v>570</v>
      </c>
      <c r="K1790" s="29">
        <f t="shared" si="2"/>
        <v>21</v>
      </c>
    </row>
    <row r="1791" ht="15.75" customHeight="1">
      <c r="A1791" s="18" t="s">
        <v>1754</v>
      </c>
      <c r="B1791" s="18">
        <v>1975.0</v>
      </c>
      <c r="C1791" s="18" t="s">
        <v>241</v>
      </c>
      <c r="D1791" s="18">
        <v>27.0</v>
      </c>
      <c r="E1791" s="18" t="str">
        <f t="shared" si="1"/>
        <v>27/06/75</v>
      </c>
      <c r="F1791" s="18">
        <v>1.0</v>
      </c>
      <c r="G1791" s="27">
        <v>18031.16</v>
      </c>
      <c r="H1791" s="18" t="s">
        <v>219</v>
      </c>
      <c r="I1791" s="18" t="s">
        <v>142</v>
      </c>
      <c r="J1791" s="18" t="s">
        <v>2031</v>
      </c>
      <c r="K1791" s="29">
        <f t="shared" si="2"/>
        <v>47</v>
      </c>
    </row>
    <row r="1792" ht="15.75" customHeight="1">
      <c r="A1792" s="18" t="s">
        <v>1750</v>
      </c>
      <c r="B1792" s="18">
        <v>1965.0</v>
      </c>
      <c r="C1792" s="18" t="s">
        <v>517</v>
      </c>
      <c r="D1792" s="18">
        <v>17.0</v>
      </c>
      <c r="E1792" s="18" t="str">
        <f t="shared" si="1"/>
        <v>17/10/65</v>
      </c>
      <c r="F1792" s="18">
        <v>0.0</v>
      </c>
      <c r="G1792" s="27">
        <v>18031.19</v>
      </c>
      <c r="H1792" s="18" t="s">
        <v>219</v>
      </c>
      <c r="I1792" s="18" t="s">
        <v>140</v>
      </c>
      <c r="J1792" s="18" t="s">
        <v>325</v>
      </c>
      <c r="K1792" s="29">
        <f t="shared" si="2"/>
        <v>57</v>
      </c>
    </row>
    <row r="1793" ht="15.75" customHeight="1">
      <c r="A1793" s="18" t="s">
        <v>1747</v>
      </c>
      <c r="B1793" s="18">
        <v>1999.0</v>
      </c>
      <c r="C1793" s="18" t="s">
        <v>517</v>
      </c>
      <c r="D1793" s="18">
        <v>24.0</v>
      </c>
      <c r="E1793" s="18" t="str">
        <f t="shared" si="1"/>
        <v>24/10/99</v>
      </c>
      <c r="F1793" s="18">
        <v>0.0</v>
      </c>
      <c r="G1793" s="27">
        <v>18033.97</v>
      </c>
      <c r="H1793" s="18" t="s">
        <v>219</v>
      </c>
      <c r="I1793" s="18" t="s">
        <v>219</v>
      </c>
      <c r="J1793" s="18" t="s">
        <v>325</v>
      </c>
      <c r="K1793" s="29">
        <f t="shared" si="2"/>
        <v>23</v>
      </c>
    </row>
    <row r="1794" ht="15.75" customHeight="1">
      <c r="A1794" s="18" t="s">
        <v>1745</v>
      </c>
      <c r="B1794" s="18">
        <v>1993.0</v>
      </c>
      <c r="C1794" s="18" t="s">
        <v>91</v>
      </c>
      <c r="D1794" s="18">
        <v>12.0</v>
      </c>
      <c r="E1794" s="18" t="str">
        <f t="shared" si="1"/>
        <v>12/07/93</v>
      </c>
      <c r="F1794" s="18">
        <v>2.0</v>
      </c>
      <c r="G1794" s="27">
        <v>18157.88</v>
      </c>
      <c r="H1794" s="18" t="s">
        <v>219</v>
      </c>
      <c r="I1794" s="18" t="s">
        <v>219</v>
      </c>
      <c r="J1794" s="18" t="s">
        <v>325</v>
      </c>
      <c r="K1794" s="29">
        <f t="shared" si="2"/>
        <v>29</v>
      </c>
    </row>
    <row r="1795" ht="15.75" customHeight="1">
      <c r="A1795" s="18" t="s">
        <v>1742</v>
      </c>
      <c r="B1795" s="18">
        <v>1963.0</v>
      </c>
      <c r="C1795" s="18" t="s">
        <v>91</v>
      </c>
      <c r="D1795" s="18">
        <v>4.0</v>
      </c>
      <c r="E1795" s="18" t="str">
        <f t="shared" si="1"/>
        <v>04/07/63</v>
      </c>
      <c r="F1795" s="18">
        <v>0.0</v>
      </c>
      <c r="G1795" s="27">
        <v>18208.34</v>
      </c>
      <c r="H1795" s="18" t="s">
        <v>219</v>
      </c>
      <c r="I1795" s="18" t="s">
        <v>140</v>
      </c>
      <c r="J1795" s="18" t="s">
        <v>3559</v>
      </c>
      <c r="K1795" s="29">
        <f t="shared" si="2"/>
        <v>59</v>
      </c>
    </row>
    <row r="1796" ht="15.75" customHeight="1">
      <c r="A1796" s="18" t="s">
        <v>1738</v>
      </c>
      <c r="B1796" s="18">
        <v>1997.0</v>
      </c>
      <c r="C1796" s="18" t="s">
        <v>241</v>
      </c>
      <c r="D1796" s="18">
        <v>15.0</v>
      </c>
      <c r="E1796" s="18" t="str">
        <f t="shared" si="1"/>
        <v>15/06/97</v>
      </c>
      <c r="F1796" s="18">
        <v>1.0</v>
      </c>
      <c r="G1796" s="27">
        <v>18218.16</v>
      </c>
      <c r="H1796" s="18" t="s">
        <v>219</v>
      </c>
      <c r="I1796" s="18" t="s">
        <v>219</v>
      </c>
      <c r="J1796" s="18" t="s">
        <v>146</v>
      </c>
      <c r="K1796" s="29">
        <f t="shared" si="2"/>
        <v>25</v>
      </c>
    </row>
    <row r="1797" ht="15.75" customHeight="1">
      <c r="A1797" s="18" t="s">
        <v>1736</v>
      </c>
      <c r="B1797" s="18">
        <v>2004.0</v>
      </c>
      <c r="C1797" s="18" t="s">
        <v>272</v>
      </c>
      <c r="D1797" s="18">
        <v>10.0</v>
      </c>
      <c r="E1797" s="18" t="str">
        <f t="shared" si="1"/>
        <v>10/09/04</v>
      </c>
      <c r="F1797" s="18">
        <v>3.0</v>
      </c>
      <c r="G1797" s="27">
        <v>18223.45</v>
      </c>
      <c r="H1797" s="18" t="s">
        <v>219</v>
      </c>
      <c r="I1797" s="18" t="s">
        <v>142</v>
      </c>
      <c r="J1797" s="18" t="s">
        <v>146</v>
      </c>
      <c r="K1797" s="29">
        <f t="shared" si="2"/>
        <v>18</v>
      </c>
    </row>
    <row r="1798" ht="15.75" customHeight="1">
      <c r="A1798" s="18" t="s">
        <v>1733</v>
      </c>
      <c r="B1798" s="18">
        <v>1995.0</v>
      </c>
      <c r="C1798" s="18" t="s">
        <v>501</v>
      </c>
      <c r="D1798" s="18">
        <v>3.0</v>
      </c>
      <c r="E1798" s="18" t="str">
        <f t="shared" si="1"/>
        <v>03/08/95</v>
      </c>
      <c r="F1798" s="18">
        <v>0.0</v>
      </c>
      <c r="G1798" s="27">
        <v>18246.5</v>
      </c>
      <c r="H1798" s="18" t="s">
        <v>219</v>
      </c>
      <c r="I1798" s="18" t="s">
        <v>219</v>
      </c>
      <c r="J1798" s="18" t="s">
        <v>146</v>
      </c>
      <c r="K1798" s="29">
        <f t="shared" si="2"/>
        <v>27</v>
      </c>
    </row>
    <row r="1799" ht="15.75" customHeight="1">
      <c r="A1799" s="18" t="s">
        <v>1729</v>
      </c>
      <c r="B1799" s="18">
        <v>1992.0</v>
      </c>
      <c r="C1799" s="18" t="s">
        <v>457</v>
      </c>
      <c r="D1799" s="18">
        <v>25.0</v>
      </c>
      <c r="E1799" s="18" t="str">
        <f t="shared" si="1"/>
        <v>25/12/92</v>
      </c>
      <c r="F1799" s="18">
        <v>3.0</v>
      </c>
      <c r="G1799" s="27">
        <v>18259.22</v>
      </c>
      <c r="H1799" s="18" t="s">
        <v>219</v>
      </c>
      <c r="I1799" s="18" t="s">
        <v>142</v>
      </c>
      <c r="J1799" s="18" t="s">
        <v>570</v>
      </c>
      <c r="K1799" s="29">
        <f t="shared" si="2"/>
        <v>30</v>
      </c>
    </row>
    <row r="1800" ht="15.75" customHeight="1">
      <c r="A1800" s="18" t="s">
        <v>1728</v>
      </c>
      <c r="B1800" s="18">
        <v>1995.0</v>
      </c>
      <c r="C1800" s="18" t="s">
        <v>91</v>
      </c>
      <c r="D1800" s="18">
        <v>4.0</v>
      </c>
      <c r="E1800" s="18" t="str">
        <f t="shared" si="1"/>
        <v>04/07/95</v>
      </c>
      <c r="F1800" s="18">
        <v>0.0</v>
      </c>
      <c r="G1800" s="27">
        <v>18310.74</v>
      </c>
      <c r="H1800" s="18" t="s">
        <v>219</v>
      </c>
      <c r="I1800" s="18" t="s">
        <v>142</v>
      </c>
      <c r="J1800" s="18" t="s">
        <v>325</v>
      </c>
      <c r="K1800" s="29">
        <f t="shared" si="2"/>
        <v>27</v>
      </c>
    </row>
    <row r="1801" ht="15.75" customHeight="1">
      <c r="A1801" s="18" t="s">
        <v>1726</v>
      </c>
      <c r="B1801" s="18">
        <v>1999.0</v>
      </c>
      <c r="C1801" s="18" t="s">
        <v>457</v>
      </c>
      <c r="D1801" s="18">
        <v>15.0</v>
      </c>
      <c r="E1801" s="18" t="str">
        <f t="shared" si="1"/>
        <v>15/12/99</v>
      </c>
      <c r="F1801" s="18">
        <v>1.0</v>
      </c>
      <c r="G1801" s="27">
        <v>18328.24</v>
      </c>
      <c r="H1801" s="18" t="s">
        <v>219</v>
      </c>
      <c r="I1801" s="18" t="s">
        <v>140</v>
      </c>
      <c r="J1801" s="18" t="s">
        <v>146</v>
      </c>
      <c r="K1801" s="29">
        <f t="shared" si="2"/>
        <v>23</v>
      </c>
    </row>
    <row r="1802" ht="15.75" customHeight="1">
      <c r="A1802" s="18" t="s">
        <v>1723</v>
      </c>
      <c r="B1802" s="18">
        <v>1964.0</v>
      </c>
      <c r="C1802" s="18" t="s">
        <v>272</v>
      </c>
      <c r="D1802" s="18">
        <v>26.0</v>
      </c>
      <c r="E1802" s="18" t="str">
        <f t="shared" si="1"/>
        <v>26/09/64</v>
      </c>
      <c r="F1802" s="18">
        <v>0.0</v>
      </c>
      <c r="G1802" s="27">
        <v>18443.11</v>
      </c>
      <c r="H1802" s="18" t="s">
        <v>219</v>
      </c>
      <c r="I1802" s="18" t="s">
        <v>140</v>
      </c>
      <c r="J1802" s="18" t="s">
        <v>325</v>
      </c>
      <c r="K1802" s="29">
        <f t="shared" si="2"/>
        <v>58</v>
      </c>
    </row>
    <row r="1803" ht="15.75" customHeight="1">
      <c r="A1803" s="18" t="s">
        <v>1720</v>
      </c>
      <c r="B1803" s="18">
        <v>1986.0</v>
      </c>
      <c r="C1803" s="18" t="s">
        <v>501</v>
      </c>
      <c r="D1803" s="18">
        <v>12.0</v>
      </c>
      <c r="E1803" s="18" t="str">
        <f t="shared" si="1"/>
        <v>12/08/86</v>
      </c>
      <c r="F1803" s="18">
        <v>2.0</v>
      </c>
      <c r="G1803" s="27">
        <v>18608.26</v>
      </c>
      <c r="H1803" s="18" t="s">
        <v>219</v>
      </c>
      <c r="I1803" s="18" t="s">
        <v>142</v>
      </c>
      <c r="J1803" s="18" t="s">
        <v>570</v>
      </c>
      <c r="K1803" s="29">
        <f t="shared" si="2"/>
        <v>36</v>
      </c>
    </row>
    <row r="1804" ht="15.75" customHeight="1">
      <c r="A1804" s="18" t="s">
        <v>1718</v>
      </c>
      <c r="B1804" s="18">
        <v>1998.0</v>
      </c>
      <c r="C1804" s="18" t="s">
        <v>272</v>
      </c>
      <c r="D1804" s="18">
        <v>23.0</v>
      </c>
      <c r="E1804" s="18" t="str">
        <f t="shared" si="1"/>
        <v>23/09/98</v>
      </c>
      <c r="F1804" s="18">
        <v>0.0</v>
      </c>
      <c r="G1804" s="27">
        <v>18648.42</v>
      </c>
      <c r="H1804" s="18" t="s">
        <v>219</v>
      </c>
      <c r="I1804" s="18" t="s">
        <v>219</v>
      </c>
      <c r="J1804" s="18" t="s">
        <v>1421</v>
      </c>
      <c r="K1804" s="29">
        <f t="shared" si="2"/>
        <v>24</v>
      </c>
    </row>
    <row r="1805" ht="15.75" customHeight="1">
      <c r="A1805" s="18" t="s">
        <v>1714</v>
      </c>
      <c r="B1805" s="18">
        <v>1970.0</v>
      </c>
      <c r="C1805" s="18" t="s">
        <v>517</v>
      </c>
      <c r="D1805" s="18">
        <v>17.0</v>
      </c>
      <c r="E1805" s="18" t="str">
        <f t="shared" si="1"/>
        <v>17/10/70</v>
      </c>
      <c r="F1805" s="18">
        <v>0.0</v>
      </c>
      <c r="G1805" s="27">
        <v>18682.74</v>
      </c>
      <c r="H1805" s="18" t="s">
        <v>219</v>
      </c>
      <c r="I1805" s="18" t="s">
        <v>142</v>
      </c>
      <c r="J1805" s="18" t="s">
        <v>325</v>
      </c>
      <c r="K1805" s="29">
        <f t="shared" si="2"/>
        <v>52</v>
      </c>
    </row>
    <row r="1806" ht="15.75" customHeight="1">
      <c r="A1806" s="18" t="s">
        <v>1712</v>
      </c>
      <c r="B1806" s="18">
        <v>1967.0</v>
      </c>
      <c r="C1806" s="18" t="s">
        <v>501</v>
      </c>
      <c r="D1806" s="18">
        <v>30.0</v>
      </c>
      <c r="E1806" s="18" t="str">
        <f t="shared" si="1"/>
        <v>30/08/67</v>
      </c>
      <c r="F1806" s="18">
        <v>0.0</v>
      </c>
      <c r="G1806" s="27">
        <v>18694.69</v>
      </c>
      <c r="H1806" s="18" t="s">
        <v>219</v>
      </c>
      <c r="I1806" s="18" t="s">
        <v>219</v>
      </c>
      <c r="J1806" s="18" t="s">
        <v>2031</v>
      </c>
      <c r="K1806" s="29">
        <f t="shared" si="2"/>
        <v>55</v>
      </c>
    </row>
    <row r="1807" ht="15.75" customHeight="1">
      <c r="A1807" s="18" t="s">
        <v>1709</v>
      </c>
      <c r="B1807" s="18">
        <v>1992.0</v>
      </c>
      <c r="C1807" s="18" t="s">
        <v>457</v>
      </c>
      <c r="D1807" s="18">
        <v>27.0</v>
      </c>
      <c r="E1807" s="18" t="str">
        <f t="shared" si="1"/>
        <v>27/12/92</v>
      </c>
      <c r="F1807" s="18">
        <v>3.0</v>
      </c>
      <c r="G1807" s="27">
        <v>18765.88</v>
      </c>
      <c r="H1807" s="18" t="s">
        <v>219</v>
      </c>
      <c r="I1807" s="18" t="s">
        <v>140</v>
      </c>
      <c r="J1807" s="18" t="s">
        <v>325</v>
      </c>
      <c r="K1807" s="29">
        <f t="shared" si="2"/>
        <v>30</v>
      </c>
    </row>
    <row r="1808" ht="15.75" customHeight="1">
      <c r="A1808" s="18" t="s">
        <v>1706</v>
      </c>
      <c r="B1808" s="18">
        <v>1979.0</v>
      </c>
      <c r="C1808" s="18" t="s">
        <v>209</v>
      </c>
      <c r="D1808" s="18">
        <v>19.0</v>
      </c>
      <c r="E1808" s="18" t="str">
        <f t="shared" si="1"/>
        <v>19/11/79</v>
      </c>
      <c r="F1808" s="18">
        <v>2.0</v>
      </c>
      <c r="G1808" s="27">
        <v>18767.74</v>
      </c>
      <c r="H1808" s="18" t="s">
        <v>219</v>
      </c>
      <c r="I1808" s="18" t="s">
        <v>219</v>
      </c>
      <c r="J1808" s="18" t="s">
        <v>146</v>
      </c>
      <c r="K1808" s="29">
        <f t="shared" si="2"/>
        <v>43</v>
      </c>
    </row>
    <row r="1809" ht="15.75" customHeight="1">
      <c r="A1809" s="18" t="s">
        <v>1703</v>
      </c>
      <c r="B1809" s="18">
        <v>1995.0</v>
      </c>
      <c r="C1809" s="18" t="s">
        <v>209</v>
      </c>
      <c r="D1809" s="18">
        <v>28.0</v>
      </c>
      <c r="E1809" s="18" t="str">
        <f t="shared" si="1"/>
        <v>28/11/95</v>
      </c>
      <c r="F1809" s="18">
        <v>3.0</v>
      </c>
      <c r="G1809" s="27">
        <v>18804.75</v>
      </c>
      <c r="H1809" s="18" t="s">
        <v>219</v>
      </c>
      <c r="I1809" s="18" t="s">
        <v>219</v>
      </c>
      <c r="J1809" s="18" t="s">
        <v>325</v>
      </c>
      <c r="K1809" s="29">
        <f t="shared" si="2"/>
        <v>27</v>
      </c>
    </row>
    <row r="1810" ht="15.75" customHeight="1">
      <c r="A1810" s="18" t="s">
        <v>1700</v>
      </c>
      <c r="B1810" s="18">
        <v>1979.0</v>
      </c>
      <c r="C1810" s="18" t="s">
        <v>517</v>
      </c>
      <c r="D1810" s="18">
        <v>15.0</v>
      </c>
      <c r="E1810" s="18" t="str">
        <f t="shared" si="1"/>
        <v>15/10/79</v>
      </c>
      <c r="F1810" s="18">
        <v>2.0</v>
      </c>
      <c r="G1810" s="27">
        <v>18806.15</v>
      </c>
      <c r="H1810" s="18" t="s">
        <v>219</v>
      </c>
      <c r="I1810" s="18" t="s">
        <v>140</v>
      </c>
      <c r="J1810" s="18" t="s">
        <v>146</v>
      </c>
      <c r="K1810" s="29">
        <f t="shared" si="2"/>
        <v>43</v>
      </c>
    </row>
    <row r="1811" ht="15.75" customHeight="1">
      <c r="A1811" s="18" t="s">
        <v>1697</v>
      </c>
      <c r="B1811" s="18">
        <v>1962.0</v>
      </c>
      <c r="C1811" s="18" t="s">
        <v>457</v>
      </c>
      <c r="D1811" s="18">
        <v>18.0</v>
      </c>
      <c r="E1811" s="18" t="str">
        <f t="shared" si="1"/>
        <v>18/12/62</v>
      </c>
      <c r="F1811" s="18">
        <v>0.0</v>
      </c>
      <c r="G1811" s="27">
        <v>18815.53</v>
      </c>
      <c r="H1811" s="18" t="s">
        <v>219</v>
      </c>
      <c r="I1811" s="18" t="s">
        <v>219</v>
      </c>
      <c r="J1811" s="18" t="s">
        <v>2031</v>
      </c>
      <c r="K1811" s="29">
        <f t="shared" si="2"/>
        <v>60</v>
      </c>
    </row>
    <row r="1812" ht="15.75" customHeight="1">
      <c r="A1812" s="18" t="s">
        <v>1695</v>
      </c>
      <c r="B1812" s="18">
        <v>2003.0</v>
      </c>
      <c r="C1812" s="18" t="s">
        <v>91</v>
      </c>
      <c r="D1812" s="18">
        <v>24.0</v>
      </c>
      <c r="E1812" s="18" t="str">
        <f t="shared" si="1"/>
        <v>24/07/03</v>
      </c>
      <c r="F1812" s="18">
        <v>3.0</v>
      </c>
      <c r="G1812" s="27">
        <v>18838.7</v>
      </c>
      <c r="H1812" s="18" t="s">
        <v>219</v>
      </c>
      <c r="I1812" s="18" t="s">
        <v>142</v>
      </c>
      <c r="J1812" s="18" t="s">
        <v>325</v>
      </c>
      <c r="K1812" s="29">
        <f t="shared" si="2"/>
        <v>19</v>
      </c>
    </row>
    <row r="1813" ht="15.75" customHeight="1">
      <c r="A1813" s="18" t="s">
        <v>1692</v>
      </c>
      <c r="B1813" s="18">
        <v>1963.0</v>
      </c>
      <c r="C1813" s="18" t="s">
        <v>457</v>
      </c>
      <c r="D1813" s="18">
        <v>6.0</v>
      </c>
      <c r="E1813" s="18" t="str">
        <f t="shared" si="1"/>
        <v>06/12/63</v>
      </c>
      <c r="F1813" s="18">
        <v>0.0</v>
      </c>
      <c r="G1813" s="27">
        <v>18883.33</v>
      </c>
      <c r="H1813" s="18" t="s">
        <v>219</v>
      </c>
      <c r="I1813" s="18" t="s">
        <v>219</v>
      </c>
      <c r="J1813" s="18" t="s">
        <v>3559</v>
      </c>
      <c r="K1813" s="29">
        <f t="shared" si="2"/>
        <v>59</v>
      </c>
    </row>
    <row r="1814" ht="15.75" customHeight="1">
      <c r="A1814" s="18" t="s">
        <v>1689</v>
      </c>
      <c r="B1814" s="18">
        <v>1995.0</v>
      </c>
      <c r="C1814" s="18" t="s">
        <v>272</v>
      </c>
      <c r="D1814" s="18">
        <v>27.0</v>
      </c>
      <c r="E1814" s="18" t="str">
        <f t="shared" si="1"/>
        <v>27/09/95</v>
      </c>
      <c r="F1814" s="18">
        <v>1.0</v>
      </c>
      <c r="G1814" s="27">
        <v>18903.49</v>
      </c>
      <c r="H1814" s="18" t="s">
        <v>219</v>
      </c>
      <c r="I1814" s="18" t="s">
        <v>140</v>
      </c>
      <c r="J1814" s="18" t="s">
        <v>2024</v>
      </c>
      <c r="K1814" s="29">
        <f t="shared" si="2"/>
        <v>27</v>
      </c>
    </row>
    <row r="1815" ht="15.75" customHeight="1">
      <c r="A1815" s="18" t="s">
        <v>1686</v>
      </c>
      <c r="B1815" s="18">
        <v>1969.0</v>
      </c>
      <c r="C1815" s="18" t="s">
        <v>501</v>
      </c>
      <c r="D1815" s="18">
        <v>3.0</v>
      </c>
      <c r="E1815" s="18" t="str">
        <f t="shared" si="1"/>
        <v>03/08/69</v>
      </c>
      <c r="F1815" s="18">
        <v>0.0</v>
      </c>
      <c r="G1815" s="27">
        <v>18932.81</v>
      </c>
      <c r="H1815" s="18" t="s">
        <v>219</v>
      </c>
      <c r="I1815" s="18" t="s">
        <v>142</v>
      </c>
      <c r="J1815" s="18" t="s">
        <v>325</v>
      </c>
      <c r="K1815" s="29">
        <f t="shared" si="2"/>
        <v>53</v>
      </c>
    </row>
    <row r="1816" ht="15.75" customHeight="1">
      <c r="A1816" s="18" t="s">
        <v>1683</v>
      </c>
      <c r="B1816" s="18">
        <v>1963.0</v>
      </c>
      <c r="C1816" s="18" t="s">
        <v>517</v>
      </c>
      <c r="D1816" s="18">
        <v>20.0</v>
      </c>
      <c r="E1816" s="18" t="str">
        <f t="shared" si="1"/>
        <v>20/10/63</v>
      </c>
      <c r="F1816" s="18">
        <v>0.0</v>
      </c>
      <c r="G1816" s="27">
        <v>18954.56</v>
      </c>
      <c r="H1816" s="18" t="s">
        <v>219</v>
      </c>
      <c r="I1816" s="18" t="s">
        <v>219</v>
      </c>
      <c r="J1816" s="18" t="s">
        <v>3559</v>
      </c>
      <c r="K1816" s="29">
        <f t="shared" si="2"/>
        <v>59</v>
      </c>
    </row>
    <row r="1817" ht="15.75" customHeight="1">
      <c r="A1817" s="18" t="s">
        <v>1679</v>
      </c>
      <c r="B1817" s="18">
        <v>1998.0</v>
      </c>
      <c r="C1817" s="18" t="s">
        <v>501</v>
      </c>
      <c r="D1817" s="18">
        <v>6.0</v>
      </c>
      <c r="E1817" s="18" t="str">
        <f t="shared" si="1"/>
        <v>06/08/98</v>
      </c>
      <c r="F1817" s="18">
        <v>0.0</v>
      </c>
      <c r="G1817" s="27">
        <v>18955.22</v>
      </c>
      <c r="H1817" s="18" t="s">
        <v>219</v>
      </c>
      <c r="I1817" s="18" t="s">
        <v>142</v>
      </c>
      <c r="J1817" s="18" t="s">
        <v>570</v>
      </c>
      <c r="K1817" s="29">
        <f t="shared" si="2"/>
        <v>24</v>
      </c>
    </row>
    <row r="1818" ht="15.75" customHeight="1">
      <c r="A1818" s="18" t="s">
        <v>1675</v>
      </c>
      <c r="B1818" s="18">
        <v>1992.0</v>
      </c>
      <c r="C1818" s="18" t="s">
        <v>209</v>
      </c>
      <c r="D1818" s="18">
        <v>30.0</v>
      </c>
      <c r="E1818" s="18" t="str">
        <f t="shared" si="1"/>
        <v>30/11/92</v>
      </c>
      <c r="F1818" s="18">
        <v>1.0</v>
      </c>
      <c r="G1818" s="27">
        <v>18963.17</v>
      </c>
      <c r="H1818" s="18" t="s">
        <v>219</v>
      </c>
      <c r="I1818" s="18" t="s">
        <v>219</v>
      </c>
      <c r="J1818" s="18" t="s">
        <v>146</v>
      </c>
      <c r="K1818" s="29">
        <f t="shared" si="2"/>
        <v>30</v>
      </c>
    </row>
    <row r="1819" ht="15.75" customHeight="1">
      <c r="A1819" s="18" t="s">
        <v>1672</v>
      </c>
      <c r="B1819" s="18">
        <v>1988.0</v>
      </c>
      <c r="C1819" s="18" t="s">
        <v>517</v>
      </c>
      <c r="D1819" s="18">
        <v>24.0</v>
      </c>
      <c r="E1819" s="18" t="str">
        <f t="shared" si="1"/>
        <v>24/10/88</v>
      </c>
      <c r="F1819" s="18">
        <v>2.0</v>
      </c>
      <c r="G1819" s="27">
        <v>18972.5</v>
      </c>
      <c r="H1819" s="18" t="s">
        <v>219</v>
      </c>
      <c r="I1819" s="18" t="s">
        <v>142</v>
      </c>
      <c r="J1819" s="18" t="s">
        <v>146</v>
      </c>
      <c r="K1819" s="29">
        <f t="shared" si="2"/>
        <v>34</v>
      </c>
    </row>
    <row r="1820" ht="15.75" customHeight="1">
      <c r="A1820" s="18" t="s">
        <v>1668</v>
      </c>
      <c r="B1820" s="18">
        <v>1983.0</v>
      </c>
      <c r="C1820" s="18" t="s">
        <v>457</v>
      </c>
      <c r="D1820" s="18">
        <v>19.0</v>
      </c>
      <c r="E1820" s="18" t="str">
        <f t="shared" si="1"/>
        <v>19/12/83</v>
      </c>
      <c r="F1820" s="18">
        <v>5.0</v>
      </c>
      <c r="G1820" s="27">
        <v>19023.26</v>
      </c>
      <c r="H1820" s="18" t="s">
        <v>219</v>
      </c>
      <c r="I1820" s="18" t="s">
        <v>142</v>
      </c>
      <c r="J1820" s="18" t="s">
        <v>570</v>
      </c>
      <c r="K1820" s="29">
        <f t="shared" si="2"/>
        <v>39</v>
      </c>
    </row>
    <row r="1821" ht="15.75" customHeight="1">
      <c r="A1821" s="18" t="s">
        <v>1666</v>
      </c>
      <c r="B1821" s="18">
        <v>1989.0</v>
      </c>
      <c r="C1821" s="18" t="s">
        <v>241</v>
      </c>
      <c r="D1821" s="18">
        <v>5.0</v>
      </c>
      <c r="E1821" s="18" t="str">
        <f t="shared" si="1"/>
        <v>05/06/89</v>
      </c>
      <c r="F1821" s="18">
        <v>1.0</v>
      </c>
      <c r="G1821" s="27">
        <v>19040.88</v>
      </c>
      <c r="H1821" s="18" t="s">
        <v>219</v>
      </c>
      <c r="I1821" s="18" t="s">
        <v>142</v>
      </c>
      <c r="J1821" s="18" t="s">
        <v>570</v>
      </c>
      <c r="K1821" s="29">
        <f t="shared" si="2"/>
        <v>34</v>
      </c>
    </row>
    <row r="1822" ht="15.75" customHeight="1">
      <c r="A1822" s="18" t="s">
        <v>1663</v>
      </c>
      <c r="B1822" s="18">
        <v>1993.0</v>
      </c>
      <c r="C1822" s="18" t="s">
        <v>272</v>
      </c>
      <c r="D1822" s="18">
        <v>28.0</v>
      </c>
      <c r="E1822" s="18" t="str">
        <f t="shared" si="1"/>
        <v>28/09/93</v>
      </c>
      <c r="F1822" s="18">
        <v>1.0</v>
      </c>
      <c r="G1822" s="27">
        <v>19107.78</v>
      </c>
      <c r="H1822" s="18" t="s">
        <v>219</v>
      </c>
      <c r="I1822" s="18" t="s">
        <v>140</v>
      </c>
      <c r="J1822" s="18" t="s">
        <v>146</v>
      </c>
      <c r="K1822" s="29">
        <f t="shared" si="2"/>
        <v>29</v>
      </c>
    </row>
    <row r="1823" ht="15.75" customHeight="1">
      <c r="A1823" s="18" t="s">
        <v>1661</v>
      </c>
      <c r="B1823" s="18">
        <v>1979.0</v>
      </c>
      <c r="C1823" s="18" t="s">
        <v>91</v>
      </c>
      <c r="D1823" s="18">
        <v>2.0</v>
      </c>
      <c r="E1823" s="18" t="str">
        <f t="shared" si="1"/>
        <v>02/07/79</v>
      </c>
      <c r="F1823" s="18">
        <v>2.0</v>
      </c>
      <c r="G1823" s="27">
        <v>19144.58</v>
      </c>
      <c r="H1823" s="18" t="s">
        <v>219</v>
      </c>
      <c r="I1823" s="18" t="s">
        <v>219</v>
      </c>
      <c r="J1823" s="18" t="s">
        <v>2024</v>
      </c>
      <c r="K1823" s="29">
        <f t="shared" si="2"/>
        <v>43</v>
      </c>
    </row>
    <row r="1824" ht="15.75" customHeight="1">
      <c r="A1824" s="18" t="s">
        <v>1659</v>
      </c>
      <c r="B1824" s="18">
        <v>1991.0</v>
      </c>
      <c r="C1824" s="18" t="s">
        <v>272</v>
      </c>
      <c r="D1824" s="18">
        <v>16.0</v>
      </c>
      <c r="E1824" s="18" t="str">
        <f t="shared" si="1"/>
        <v>16/09/91</v>
      </c>
      <c r="F1824" s="18">
        <v>3.0</v>
      </c>
      <c r="G1824" s="27">
        <v>19199.94</v>
      </c>
      <c r="H1824" s="18" t="s">
        <v>219</v>
      </c>
      <c r="I1824" s="18" t="s">
        <v>142</v>
      </c>
      <c r="J1824" s="18" t="s">
        <v>570</v>
      </c>
      <c r="K1824" s="29">
        <f t="shared" si="2"/>
        <v>31</v>
      </c>
    </row>
    <row r="1825" ht="15.75" customHeight="1">
      <c r="A1825" s="18" t="s">
        <v>1655</v>
      </c>
      <c r="B1825" s="18">
        <v>1985.0</v>
      </c>
      <c r="C1825" s="18" t="s">
        <v>457</v>
      </c>
      <c r="D1825" s="18">
        <v>28.0</v>
      </c>
      <c r="E1825" s="18" t="str">
        <f t="shared" si="1"/>
        <v>28/12/85</v>
      </c>
      <c r="F1825" s="18">
        <v>0.0</v>
      </c>
      <c r="G1825" s="27">
        <v>19214.71</v>
      </c>
      <c r="H1825" s="18" t="s">
        <v>219</v>
      </c>
      <c r="I1825" s="18" t="s">
        <v>142</v>
      </c>
      <c r="J1825" s="18" t="s">
        <v>146</v>
      </c>
      <c r="K1825" s="29">
        <f t="shared" si="2"/>
        <v>37</v>
      </c>
    </row>
    <row r="1826" ht="15.75" customHeight="1">
      <c r="A1826" s="18" t="s">
        <v>1652</v>
      </c>
      <c r="B1826" s="18">
        <v>1967.0</v>
      </c>
      <c r="C1826" s="18" t="s">
        <v>91</v>
      </c>
      <c r="D1826" s="18">
        <v>29.0</v>
      </c>
      <c r="E1826" s="18" t="str">
        <f t="shared" si="1"/>
        <v>29/07/67</v>
      </c>
      <c r="F1826" s="18">
        <v>0.0</v>
      </c>
      <c r="G1826" s="27">
        <v>19259.96</v>
      </c>
      <c r="H1826" s="18" t="s">
        <v>219</v>
      </c>
      <c r="I1826" s="18" t="s">
        <v>219</v>
      </c>
      <c r="J1826" s="18" t="s">
        <v>325</v>
      </c>
      <c r="K1826" s="29">
        <f t="shared" si="2"/>
        <v>55</v>
      </c>
    </row>
    <row r="1827" ht="15.75" customHeight="1">
      <c r="A1827" s="18" t="s">
        <v>1648</v>
      </c>
      <c r="B1827" s="18">
        <v>1966.0</v>
      </c>
      <c r="C1827" s="18" t="s">
        <v>209</v>
      </c>
      <c r="D1827" s="18">
        <v>15.0</v>
      </c>
      <c r="E1827" s="18" t="str">
        <f t="shared" si="1"/>
        <v>15/11/66</v>
      </c>
      <c r="F1827" s="18">
        <v>0.0</v>
      </c>
      <c r="G1827" s="27">
        <v>19321.06</v>
      </c>
      <c r="H1827" s="18" t="s">
        <v>219</v>
      </c>
      <c r="I1827" s="18" t="s">
        <v>219</v>
      </c>
      <c r="J1827" s="18" t="s">
        <v>325</v>
      </c>
      <c r="K1827" s="29">
        <f t="shared" si="2"/>
        <v>56</v>
      </c>
    </row>
    <row r="1828" ht="15.75" customHeight="1">
      <c r="A1828" s="18" t="s">
        <v>1645</v>
      </c>
      <c r="B1828" s="18">
        <v>1991.0</v>
      </c>
      <c r="C1828" s="18" t="s">
        <v>501</v>
      </c>
      <c r="D1828" s="18">
        <v>24.0</v>
      </c>
      <c r="E1828" s="18" t="str">
        <f t="shared" si="1"/>
        <v>24/08/91</v>
      </c>
      <c r="F1828" s="18">
        <v>0.0</v>
      </c>
      <c r="G1828" s="27">
        <v>19350.37</v>
      </c>
      <c r="H1828" s="18" t="s">
        <v>219</v>
      </c>
      <c r="I1828" s="18" t="s">
        <v>142</v>
      </c>
      <c r="J1828" s="18" t="s">
        <v>146</v>
      </c>
      <c r="K1828" s="29">
        <f t="shared" si="2"/>
        <v>31</v>
      </c>
    </row>
    <row r="1829" ht="15.75" customHeight="1">
      <c r="A1829" s="18" t="s">
        <v>1643</v>
      </c>
      <c r="B1829" s="18">
        <v>1987.0</v>
      </c>
      <c r="C1829" s="18" t="s">
        <v>241</v>
      </c>
      <c r="D1829" s="18">
        <v>30.0</v>
      </c>
      <c r="E1829" s="18" t="str">
        <f t="shared" si="1"/>
        <v>30/06/87</v>
      </c>
      <c r="F1829" s="18">
        <v>3.0</v>
      </c>
      <c r="G1829" s="27">
        <v>19362.0</v>
      </c>
      <c r="H1829" s="18" t="s">
        <v>219</v>
      </c>
      <c r="I1829" s="18" t="s">
        <v>142</v>
      </c>
      <c r="J1829" s="18" t="s">
        <v>146</v>
      </c>
      <c r="K1829" s="29">
        <f t="shared" si="2"/>
        <v>35</v>
      </c>
    </row>
    <row r="1830" ht="15.75" customHeight="1">
      <c r="A1830" s="18" t="s">
        <v>1639</v>
      </c>
      <c r="B1830" s="18">
        <v>1993.0</v>
      </c>
      <c r="C1830" s="18" t="s">
        <v>272</v>
      </c>
      <c r="D1830" s="18">
        <v>6.0</v>
      </c>
      <c r="E1830" s="18" t="str">
        <f t="shared" si="1"/>
        <v>06/09/93</v>
      </c>
      <c r="F1830" s="18">
        <v>2.0</v>
      </c>
      <c r="G1830" s="27">
        <v>19442.35</v>
      </c>
      <c r="H1830" s="18" t="s">
        <v>219</v>
      </c>
      <c r="I1830" s="18" t="s">
        <v>142</v>
      </c>
      <c r="J1830" s="18" t="s">
        <v>325</v>
      </c>
      <c r="K1830" s="29">
        <f t="shared" si="2"/>
        <v>29</v>
      </c>
    </row>
    <row r="1831" ht="15.75" customHeight="1">
      <c r="A1831" s="18" t="s">
        <v>1636</v>
      </c>
      <c r="B1831" s="18">
        <v>1982.0</v>
      </c>
      <c r="C1831" s="18" t="s">
        <v>457</v>
      </c>
      <c r="D1831" s="18">
        <v>15.0</v>
      </c>
      <c r="E1831" s="18" t="str">
        <f t="shared" si="1"/>
        <v>15/12/82</v>
      </c>
      <c r="F1831" s="18">
        <v>2.0</v>
      </c>
      <c r="G1831" s="27">
        <v>19444.27</v>
      </c>
      <c r="H1831" s="18" t="s">
        <v>219</v>
      </c>
      <c r="I1831" s="18" t="s">
        <v>219</v>
      </c>
      <c r="J1831" s="18" t="s">
        <v>146</v>
      </c>
      <c r="K1831" s="29">
        <f t="shared" si="2"/>
        <v>40</v>
      </c>
    </row>
    <row r="1832" ht="15.75" customHeight="1">
      <c r="A1832" s="18" t="s">
        <v>1632</v>
      </c>
      <c r="B1832" s="18">
        <v>1987.0</v>
      </c>
      <c r="C1832" s="18" t="s">
        <v>209</v>
      </c>
      <c r="D1832" s="18">
        <v>30.0</v>
      </c>
      <c r="E1832" s="18" t="str">
        <f t="shared" si="1"/>
        <v>30/11/87</v>
      </c>
      <c r="F1832" s="18">
        <v>4.0</v>
      </c>
      <c r="G1832" s="27">
        <v>19496.72</v>
      </c>
      <c r="H1832" s="18" t="s">
        <v>219</v>
      </c>
      <c r="I1832" s="18" t="s">
        <v>142</v>
      </c>
      <c r="J1832" s="18" t="s">
        <v>1421</v>
      </c>
      <c r="K1832" s="29">
        <f t="shared" si="2"/>
        <v>35</v>
      </c>
    </row>
    <row r="1833" ht="15.75" customHeight="1">
      <c r="A1833" s="18" t="s">
        <v>1629</v>
      </c>
      <c r="B1833" s="18">
        <v>1980.0</v>
      </c>
      <c r="C1833" s="18" t="s">
        <v>209</v>
      </c>
      <c r="D1833" s="18">
        <v>8.0</v>
      </c>
      <c r="E1833" s="18" t="str">
        <f t="shared" si="1"/>
        <v>08/11/80</v>
      </c>
      <c r="F1833" s="18">
        <v>0.0</v>
      </c>
      <c r="G1833" s="27">
        <v>19515.54</v>
      </c>
      <c r="H1833" s="18" t="s">
        <v>219</v>
      </c>
      <c r="I1833" s="18" t="s">
        <v>219</v>
      </c>
      <c r="J1833" s="18" t="s">
        <v>146</v>
      </c>
      <c r="K1833" s="29">
        <f t="shared" si="2"/>
        <v>42</v>
      </c>
    </row>
    <row r="1834" ht="15.75" customHeight="1">
      <c r="A1834" s="18" t="s">
        <v>1626</v>
      </c>
      <c r="B1834" s="18">
        <v>1992.0</v>
      </c>
      <c r="C1834" s="18" t="s">
        <v>501</v>
      </c>
      <c r="D1834" s="18">
        <v>19.0</v>
      </c>
      <c r="E1834" s="18" t="str">
        <f t="shared" si="1"/>
        <v>19/08/92</v>
      </c>
      <c r="F1834" s="18">
        <v>1.0</v>
      </c>
      <c r="G1834" s="27">
        <v>19521.97</v>
      </c>
      <c r="H1834" s="18" t="s">
        <v>219</v>
      </c>
      <c r="I1834" s="18" t="s">
        <v>140</v>
      </c>
      <c r="J1834" s="18" t="s">
        <v>146</v>
      </c>
      <c r="K1834" s="29">
        <f t="shared" si="2"/>
        <v>30</v>
      </c>
    </row>
    <row r="1835" ht="15.75" customHeight="1">
      <c r="A1835" s="18" t="s">
        <v>1624</v>
      </c>
      <c r="B1835" s="18">
        <v>1985.0</v>
      </c>
      <c r="C1835" s="18" t="s">
        <v>272</v>
      </c>
      <c r="D1835" s="18">
        <v>17.0</v>
      </c>
      <c r="E1835" s="18" t="str">
        <f t="shared" si="1"/>
        <v>17/09/85</v>
      </c>
      <c r="F1835" s="18">
        <v>0.0</v>
      </c>
      <c r="G1835" s="27">
        <v>19539.24</v>
      </c>
      <c r="H1835" s="18" t="s">
        <v>219</v>
      </c>
      <c r="I1835" s="18" t="s">
        <v>219</v>
      </c>
      <c r="J1835" s="18" t="s">
        <v>146</v>
      </c>
      <c r="K1835" s="29">
        <f t="shared" si="2"/>
        <v>37</v>
      </c>
    </row>
    <row r="1836" ht="15.75" customHeight="1">
      <c r="A1836" s="18" t="s">
        <v>1620</v>
      </c>
      <c r="B1836" s="18">
        <v>1963.0</v>
      </c>
      <c r="C1836" s="18" t="s">
        <v>91</v>
      </c>
      <c r="D1836" s="18">
        <v>14.0</v>
      </c>
      <c r="E1836" s="18" t="str">
        <f t="shared" si="1"/>
        <v>14/07/63</v>
      </c>
      <c r="F1836" s="18">
        <v>0.0</v>
      </c>
      <c r="G1836" s="27">
        <v>19551.34</v>
      </c>
      <c r="H1836" s="18" t="s">
        <v>219</v>
      </c>
      <c r="I1836" s="18" t="s">
        <v>142</v>
      </c>
      <c r="J1836" s="18" t="s">
        <v>325</v>
      </c>
      <c r="K1836" s="29">
        <f t="shared" si="2"/>
        <v>59</v>
      </c>
    </row>
    <row r="1837" ht="15.75" customHeight="1">
      <c r="A1837" s="18" t="s">
        <v>1617</v>
      </c>
      <c r="B1837" s="18">
        <v>1978.0</v>
      </c>
      <c r="C1837" s="18" t="s">
        <v>272</v>
      </c>
      <c r="D1837" s="18">
        <v>24.0</v>
      </c>
      <c r="E1837" s="18" t="str">
        <f t="shared" si="1"/>
        <v>24/09/78</v>
      </c>
      <c r="F1837" s="18">
        <v>1.0</v>
      </c>
      <c r="G1837" s="27">
        <v>19594.81</v>
      </c>
      <c r="H1837" s="18" t="s">
        <v>219</v>
      </c>
      <c r="I1837" s="18" t="s">
        <v>219</v>
      </c>
      <c r="J1837" s="18" t="s">
        <v>2024</v>
      </c>
      <c r="K1837" s="29">
        <f t="shared" si="2"/>
        <v>44</v>
      </c>
    </row>
    <row r="1838" ht="15.75" customHeight="1">
      <c r="A1838" s="18" t="s">
        <v>1614</v>
      </c>
      <c r="B1838" s="18">
        <v>1994.0</v>
      </c>
      <c r="C1838" s="18" t="s">
        <v>501</v>
      </c>
      <c r="D1838" s="18">
        <v>27.0</v>
      </c>
      <c r="E1838" s="18" t="str">
        <f t="shared" si="1"/>
        <v>27/08/94</v>
      </c>
      <c r="F1838" s="18">
        <v>0.0</v>
      </c>
      <c r="G1838" s="27">
        <v>19673.34</v>
      </c>
      <c r="H1838" s="18" t="s">
        <v>219</v>
      </c>
      <c r="I1838" s="18" t="s">
        <v>140</v>
      </c>
      <c r="J1838" s="18" t="s">
        <v>325</v>
      </c>
      <c r="K1838" s="29">
        <f t="shared" si="2"/>
        <v>28</v>
      </c>
    </row>
    <row r="1839" ht="15.75" customHeight="1">
      <c r="A1839" s="18" t="s">
        <v>1611</v>
      </c>
      <c r="B1839" s="18">
        <v>1990.0</v>
      </c>
      <c r="C1839" s="18" t="s">
        <v>501</v>
      </c>
      <c r="D1839" s="18">
        <v>8.0</v>
      </c>
      <c r="E1839" s="18" t="str">
        <f t="shared" si="1"/>
        <v>08/08/90</v>
      </c>
      <c r="F1839" s="18">
        <v>1.0</v>
      </c>
      <c r="G1839" s="27">
        <v>19719.69</v>
      </c>
      <c r="H1839" s="18" t="s">
        <v>219</v>
      </c>
      <c r="I1839" s="18" t="s">
        <v>140</v>
      </c>
      <c r="J1839" s="18" t="s">
        <v>146</v>
      </c>
      <c r="K1839" s="29">
        <f t="shared" si="2"/>
        <v>32</v>
      </c>
    </row>
    <row r="1840" ht="15.75" customHeight="1">
      <c r="A1840" s="18" t="s">
        <v>1609</v>
      </c>
      <c r="B1840" s="18">
        <v>1972.0</v>
      </c>
      <c r="C1840" s="18" t="s">
        <v>241</v>
      </c>
      <c r="D1840" s="18">
        <v>14.0</v>
      </c>
      <c r="E1840" s="18" t="str">
        <f t="shared" si="1"/>
        <v>14/06/72</v>
      </c>
      <c r="F1840" s="18">
        <v>3.0</v>
      </c>
      <c r="G1840" s="27">
        <v>19749.38</v>
      </c>
      <c r="H1840" s="18" t="s">
        <v>219</v>
      </c>
      <c r="I1840" s="18" t="s">
        <v>142</v>
      </c>
      <c r="J1840" s="18" t="s">
        <v>146</v>
      </c>
      <c r="K1840" s="29">
        <f t="shared" si="2"/>
        <v>50</v>
      </c>
    </row>
    <row r="1841" ht="15.75" customHeight="1">
      <c r="A1841" s="18" t="s">
        <v>1605</v>
      </c>
      <c r="B1841" s="18">
        <v>1979.0</v>
      </c>
      <c r="C1841" s="18" t="s">
        <v>517</v>
      </c>
      <c r="D1841" s="18">
        <v>30.0</v>
      </c>
      <c r="E1841" s="18" t="str">
        <f t="shared" si="1"/>
        <v>30/10/79</v>
      </c>
      <c r="F1841" s="18">
        <v>2.0</v>
      </c>
      <c r="G1841" s="27">
        <v>19798.05</v>
      </c>
      <c r="H1841" s="18" t="s">
        <v>219</v>
      </c>
      <c r="I1841" s="18" t="s">
        <v>219</v>
      </c>
      <c r="J1841" s="18" t="s">
        <v>2024</v>
      </c>
      <c r="K1841" s="29">
        <f t="shared" si="2"/>
        <v>43</v>
      </c>
    </row>
    <row r="1842" ht="15.75" customHeight="1">
      <c r="A1842" s="18" t="s">
        <v>1603</v>
      </c>
      <c r="B1842" s="18">
        <v>1997.0</v>
      </c>
      <c r="C1842" s="18" t="s">
        <v>517</v>
      </c>
      <c r="D1842" s="18">
        <v>18.0</v>
      </c>
      <c r="E1842" s="18" t="str">
        <f t="shared" si="1"/>
        <v>18/10/97</v>
      </c>
      <c r="F1842" s="18">
        <v>3.0</v>
      </c>
      <c r="G1842" s="27">
        <v>19933.46</v>
      </c>
      <c r="H1842" s="18" t="s">
        <v>219</v>
      </c>
      <c r="I1842" s="18" t="s">
        <v>142</v>
      </c>
      <c r="J1842" s="18" t="s">
        <v>570</v>
      </c>
      <c r="K1842" s="29">
        <f t="shared" si="2"/>
        <v>25</v>
      </c>
    </row>
    <row r="1843" ht="15.75" customHeight="1">
      <c r="A1843" s="18" t="s">
        <v>1600</v>
      </c>
      <c r="B1843" s="18">
        <v>1980.0</v>
      </c>
      <c r="C1843" s="18" t="s">
        <v>517</v>
      </c>
      <c r="D1843" s="18">
        <v>9.0</v>
      </c>
      <c r="E1843" s="18" t="str">
        <f t="shared" si="1"/>
        <v>09/10/80</v>
      </c>
      <c r="F1843" s="18">
        <v>0.0</v>
      </c>
      <c r="G1843" s="27">
        <v>19964.75</v>
      </c>
      <c r="H1843" s="18" t="s">
        <v>219</v>
      </c>
      <c r="I1843" s="18" t="s">
        <v>140</v>
      </c>
      <c r="J1843" s="18" t="s">
        <v>2024</v>
      </c>
      <c r="K1843" s="29">
        <f t="shared" si="2"/>
        <v>42</v>
      </c>
    </row>
    <row r="1844" ht="15.75" customHeight="1">
      <c r="A1844" s="18" t="s">
        <v>1597</v>
      </c>
      <c r="B1844" s="18">
        <v>1966.0</v>
      </c>
      <c r="C1844" s="18" t="s">
        <v>501</v>
      </c>
      <c r="D1844" s="18">
        <v>10.0</v>
      </c>
      <c r="E1844" s="18" t="str">
        <f t="shared" si="1"/>
        <v>10/08/66</v>
      </c>
      <c r="F1844" s="18">
        <v>0.0</v>
      </c>
      <c r="G1844" s="27">
        <v>19995.29</v>
      </c>
      <c r="H1844" s="18" t="s">
        <v>219</v>
      </c>
      <c r="I1844" s="18" t="s">
        <v>142</v>
      </c>
      <c r="J1844" s="18" t="s">
        <v>3559</v>
      </c>
      <c r="K1844" s="29">
        <f t="shared" si="2"/>
        <v>56</v>
      </c>
    </row>
    <row r="1845" ht="15.75" customHeight="1">
      <c r="A1845" s="18" t="s">
        <v>1595</v>
      </c>
      <c r="B1845" s="18">
        <v>1988.0</v>
      </c>
      <c r="C1845" s="18" t="s">
        <v>91</v>
      </c>
      <c r="D1845" s="18">
        <v>25.0</v>
      </c>
      <c r="E1845" s="18" t="str">
        <f t="shared" si="1"/>
        <v>25/07/88</v>
      </c>
      <c r="F1845" s="18">
        <v>1.0</v>
      </c>
      <c r="G1845" s="27">
        <v>20009.63</v>
      </c>
      <c r="H1845" s="18" t="s">
        <v>140</v>
      </c>
      <c r="I1845" s="18" t="s">
        <v>219</v>
      </c>
      <c r="J1845" s="18" t="s">
        <v>325</v>
      </c>
      <c r="K1845" s="29">
        <f t="shared" si="2"/>
        <v>34</v>
      </c>
    </row>
    <row r="1846" ht="15.75" customHeight="1">
      <c r="A1846" s="18" t="s">
        <v>1591</v>
      </c>
      <c r="B1846" s="18">
        <v>1983.0</v>
      </c>
      <c r="C1846" s="18" t="s">
        <v>517</v>
      </c>
      <c r="D1846" s="18">
        <v>6.0</v>
      </c>
      <c r="E1846" s="18" t="str">
        <f t="shared" si="1"/>
        <v>06/10/83</v>
      </c>
      <c r="F1846" s="18">
        <v>0.0</v>
      </c>
      <c r="G1846" s="27">
        <v>20149.32</v>
      </c>
      <c r="H1846" s="18" t="s">
        <v>140</v>
      </c>
      <c r="I1846" s="18" t="s">
        <v>219</v>
      </c>
      <c r="J1846" s="18" t="s">
        <v>1427</v>
      </c>
      <c r="K1846" s="29">
        <f t="shared" si="2"/>
        <v>39</v>
      </c>
    </row>
    <row r="1847" ht="15.75" customHeight="1">
      <c r="A1847" s="18" t="s">
        <v>1589</v>
      </c>
      <c r="B1847" s="18">
        <v>2002.0</v>
      </c>
      <c r="C1847" s="18" t="s">
        <v>91</v>
      </c>
      <c r="D1847" s="18">
        <v>9.0</v>
      </c>
      <c r="E1847" s="18" t="str">
        <f t="shared" si="1"/>
        <v>09/07/02</v>
      </c>
      <c r="F1847" s="18">
        <v>0.0</v>
      </c>
      <c r="G1847" s="27">
        <v>20167.34</v>
      </c>
      <c r="H1847" s="18" t="s">
        <v>142</v>
      </c>
      <c r="I1847" s="18" t="s">
        <v>142</v>
      </c>
      <c r="J1847" s="18" t="s">
        <v>570</v>
      </c>
      <c r="K1847" s="29">
        <f t="shared" si="2"/>
        <v>20</v>
      </c>
    </row>
    <row r="1848" ht="15.75" customHeight="1">
      <c r="A1848" s="18" t="s">
        <v>1586</v>
      </c>
      <c r="B1848" s="18">
        <v>1994.0</v>
      </c>
      <c r="C1848" s="18" t="s">
        <v>241</v>
      </c>
      <c r="D1848" s="18">
        <v>8.0</v>
      </c>
      <c r="E1848" s="18" t="str">
        <f t="shared" si="1"/>
        <v>08/06/94</v>
      </c>
      <c r="F1848" s="18">
        <v>2.0</v>
      </c>
      <c r="G1848" s="27">
        <v>20177.67</v>
      </c>
      <c r="H1848" s="18" t="s">
        <v>140</v>
      </c>
      <c r="I1848" s="18" t="s">
        <v>219</v>
      </c>
      <c r="J1848" s="18" t="s">
        <v>570</v>
      </c>
      <c r="K1848" s="29">
        <f t="shared" si="2"/>
        <v>29</v>
      </c>
    </row>
    <row r="1849" ht="15.75" customHeight="1">
      <c r="A1849" s="18" t="s">
        <v>1583</v>
      </c>
      <c r="B1849" s="18">
        <v>1987.0</v>
      </c>
      <c r="C1849" s="18" t="s">
        <v>517</v>
      </c>
      <c r="D1849" s="18">
        <v>17.0</v>
      </c>
      <c r="E1849" s="18" t="str">
        <f t="shared" si="1"/>
        <v>17/10/87</v>
      </c>
      <c r="F1849" s="18">
        <v>0.0</v>
      </c>
      <c r="G1849" s="27">
        <v>20234.85</v>
      </c>
      <c r="H1849" s="18" t="s">
        <v>140</v>
      </c>
      <c r="I1849" s="18" t="s">
        <v>142</v>
      </c>
      <c r="J1849" s="18" t="s">
        <v>325</v>
      </c>
      <c r="K1849" s="29">
        <f t="shared" si="2"/>
        <v>35</v>
      </c>
    </row>
    <row r="1850" ht="15.75" customHeight="1">
      <c r="A1850" s="18" t="s">
        <v>1580</v>
      </c>
      <c r="B1850" s="18">
        <v>1966.0</v>
      </c>
      <c r="C1850" s="18" t="s">
        <v>501</v>
      </c>
      <c r="D1850" s="18">
        <v>22.0</v>
      </c>
      <c r="E1850" s="18" t="str">
        <f t="shared" si="1"/>
        <v>22/08/66</v>
      </c>
      <c r="F1850" s="18">
        <v>0.0</v>
      </c>
      <c r="G1850" s="27">
        <v>20253.84</v>
      </c>
      <c r="H1850" s="18" t="s">
        <v>140</v>
      </c>
      <c r="I1850" s="18" t="s">
        <v>142</v>
      </c>
      <c r="J1850" s="18" t="s">
        <v>325</v>
      </c>
      <c r="K1850" s="29">
        <f t="shared" si="2"/>
        <v>56</v>
      </c>
    </row>
    <row r="1851" ht="15.75" customHeight="1">
      <c r="A1851" s="18" t="s">
        <v>1578</v>
      </c>
      <c r="B1851" s="18">
        <v>1993.0</v>
      </c>
      <c r="C1851" s="18" t="s">
        <v>272</v>
      </c>
      <c r="D1851" s="18">
        <v>7.0</v>
      </c>
      <c r="E1851" s="18" t="str">
        <f t="shared" si="1"/>
        <v>07/09/93</v>
      </c>
      <c r="F1851" s="18">
        <v>1.0</v>
      </c>
      <c r="G1851" s="27">
        <v>20277.81</v>
      </c>
      <c r="H1851" s="18" t="s">
        <v>142</v>
      </c>
      <c r="I1851" s="18" t="s">
        <v>142</v>
      </c>
      <c r="J1851" s="18" t="s">
        <v>1427</v>
      </c>
      <c r="K1851" s="29">
        <f t="shared" si="2"/>
        <v>29</v>
      </c>
    </row>
    <row r="1852" ht="15.75" customHeight="1">
      <c r="A1852" s="18" t="s">
        <v>1575</v>
      </c>
      <c r="B1852" s="18">
        <v>1985.0</v>
      </c>
      <c r="C1852" s="18" t="s">
        <v>272</v>
      </c>
      <c r="D1852" s="18">
        <v>17.0</v>
      </c>
      <c r="E1852" s="18" t="str">
        <f t="shared" si="1"/>
        <v>17/09/85</v>
      </c>
      <c r="F1852" s="18">
        <v>1.0</v>
      </c>
      <c r="G1852" s="27">
        <v>20296.86</v>
      </c>
      <c r="H1852" s="18" t="s">
        <v>142</v>
      </c>
      <c r="I1852" s="18" t="s">
        <v>219</v>
      </c>
      <c r="J1852" s="18" t="s">
        <v>2024</v>
      </c>
      <c r="K1852" s="29">
        <f t="shared" si="2"/>
        <v>37</v>
      </c>
    </row>
    <row r="1853" ht="15.75" customHeight="1">
      <c r="A1853" s="18" t="s">
        <v>1571</v>
      </c>
      <c r="B1853" s="18">
        <v>1962.0</v>
      </c>
      <c r="C1853" s="18" t="s">
        <v>91</v>
      </c>
      <c r="D1853" s="18">
        <v>2.0</v>
      </c>
      <c r="E1853" s="18" t="str">
        <f t="shared" si="1"/>
        <v>02/07/62</v>
      </c>
      <c r="F1853" s="18">
        <v>0.0</v>
      </c>
      <c r="G1853" s="27">
        <v>20354.5</v>
      </c>
      <c r="H1853" s="18" t="s">
        <v>142</v>
      </c>
      <c r="I1853" s="18" t="s">
        <v>140</v>
      </c>
      <c r="J1853" s="18" t="s">
        <v>3559</v>
      </c>
      <c r="K1853" s="29">
        <f t="shared" si="2"/>
        <v>60</v>
      </c>
    </row>
    <row r="1854" ht="15.75" customHeight="1">
      <c r="A1854" s="18" t="s">
        <v>1569</v>
      </c>
      <c r="B1854" s="18">
        <v>1985.0</v>
      </c>
      <c r="C1854" s="18" t="s">
        <v>91</v>
      </c>
      <c r="D1854" s="18">
        <v>12.0</v>
      </c>
      <c r="E1854" s="18" t="str">
        <f t="shared" si="1"/>
        <v>12/07/85</v>
      </c>
      <c r="F1854" s="18">
        <v>0.0</v>
      </c>
      <c r="G1854" s="27">
        <v>20420.6</v>
      </c>
      <c r="H1854" s="18" t="s">
        <v>142</v>
      </c>
      <c r="I1854" s="18" t="s">
        <v>140</v>
      </c>
      <c r="J1854" s="18" t="s">
        <v>570</v>
      </c>
      <c r="K1854" s="29">
        <f t="shared" si="2"/>
        <v>37</v>
      </c>
    </row>
    <row r="1855" ht="15.75" customHeight="1">
      <c r="A1855" s="18" t="s">
        <v>1567</v>
      </c>
      <c r="B1855" s="18">
        <v>1962.0</v>
      </c>
      <c r="C1855" s="18" t="s">
        <v>517</v>
      </c>
      <c r="D1855" s="18">
        <v>18.0</v>
      </c>
      <c r="E1855" s="18" t="str">
        <f t="shared" si="1"/>
        <v>18/10/62</v>
      </c>
      <c r="F1855" s="18">
        <v>0.0</v>
      </c>
      <c r="G1855" s="27">
        <v>20446.85</v>
      </c>
      <c r="H1855" s="18" t="s">
        <v>140</v>
      </c>
      <c r="I1855" s="18" t="s">
        <v>219</v>
      </c>
      <c r="J1855" s="18" t="s">
        <v>325</v>
      </c>
      <c r="K1855" s="29">
        <f t="shared" si="2"/>
        <v>60</v>
      </c>
    </row>
    <row r="1856" ht="15.75" customHeight="1">
      <c r="A1856" s="18" t="s">
        <v>1565</v>
      </c>
      <c r="B1856" s="18">
        <v>1969.0</v>
      </c>
      <c r="C1856" s="18" t="s">
        <v>517</v>
      </c>
      <c r="D1856" s="18">
        <v>13.0</v>
      </c>
      <c r="E1856" s="18" t="str">
        <f t="shared" si="1"/>
        <v>13/10/69</v>
      </c>
      <c r="F1856" s="18">
        <v>3.0</v>
      </c>
      <c r="G1856" s="27">
        <v>20463.0</v>
      </c>
      <c r="H1856" s="18" t="s">
        <v>140</v>
      </c>
      <c r="I1856" s="18" t="s">
        <v>140</v>
      </c>
      <c r="J1856" s="18" t="s">
        <v>146</v>
      </c>
      <c r="K1856" s="29">
        <f t="shared" si="2"/>
        <v>53</v>
      </c>
    </row>
    <row r="1857" ht="15.75" customHeight="1">
      <c r="A1857" s="18" t="s">
        <v>1562</v>
      </c>
      <c r="B1857" s="18">
        <v>1966.0</v>
      </c>
      <c r="C1857" s="18" t="s">
        <v>91</v>
      </c>
      <c r="D1857" s="18">
        <v>9.0</v>
      </c>
      <c r="E1857" s="18" t="str">
        <f t="shared" si="1"/>
        <v>09/07/66</v>
      </c>
      <c r="F1857" s="18">
        <v>0.0</v>
      </c>
      <c r="G1857" s="27">
        <v>20568.32</v>
      </c>
      <c r="H1857" s="18" t="s">
        <v>142</v>
      </c>
      <c r="I1857" s="18" t="s">
        <v>140</v>
      </c>
      <c r="J1857" s="18" t="s">
        <v>325</v>
      </c>
      <c r="K1857" s="29">
        <f t="shared" si="2"/>
        <v>56</v>
      </c>
    </row>
    <row r="1858" ht="15.75" customHeight="1">
      <c r="A1858" s="18" t="s">
        <v>1559</v>
      </c>
      <c r="B1858" s="18">
        <v>1967.0</v>
      </c>
      <c r="C1858" s="18" t="s">
        <v>457</v>
      </c>
      <c r="D1858" s="18">
        <v>17.0</v>
      </c>
      <c r="E1858" s="18" t="str">
        <f t="shared" si="1"/>
        <v>17/12/67</v>
      </c>
      <c r="F1858" s="18">
        <v>0.0</v>
      </c>
      <c r="G1858" s="27">
        <v>20630.28</v>
      </c>
      <c r="H1858" s="18" t="s">
        <v>140</v>
      </c>
      <c r="I1858" s="18" t="s">
        <v>142</v>
      </c>
      <c r="J1858" s="18" t="s">
        <v>570</v>
      </c>
      <c r="K1858" s="29">
        <f t="shared" si="2"/>
        <v>55</v>
      </c>
    </row>
    <row r="1859" ht="15.75" customHeight="1">
      <c r="A1859" s="18" t="s">
        <v>1557</v>
      </c>
      <c r="B1859" s="18">
        <v>1965.0</v>
      </c>
      <c r="C1859" s="18" t="s">
        <v>501</v>
      </c>
      <c r="D1859" s="18">
        <v>1.0</v>
      </c>
      <c r="E1859" s="18" t="str">
        <f t="shared" si="1"/>
        <v>01/08/65</v>
      </c>
      <c r="F1859" s="18">
        <v>0.0</v>
      </c>
      <c r="G1859" s="27">
        <v>20709.02</v>
      </c>
      <c r="H1859" s="18" t="s">
        <v>142</v>
      </c>
      <c r="I1859" s="18" t="s">
        <v>140</v>
      </c>
      <c r="J1859" s="18" t="s">
        <v>1421</v>
      </c>
      <c r="K1859" s="29">
        <f t="shared" si="2"/>
        <v>57</v>
      </c>
    </row>
    <row r="1860" ht="15.75" customHeight="1">
      <c r="A1860" s="18" t="s">
        <v>1554</v>
      </c>
      <c r="B1860" s="18">
        <v>1992.0</v>
      </c>
      <c r="C1860" s="18" t="s">
        <v>272</v>
      </c>
      <c r="D1860" s="18">
        <v>14.0</v>
      </c>
      <c r="E1860" s="18" t="str">
        <f t="shared" si="1"/>
        <v>14/09/92</v>
      </c>
      <c r="F1860" s="18">
        <v>3.0</v>
      </c>
      <c r="G1860" s="27">
        <v>20745.99</v>
      </c>
      <c r="H1860" s="18" t="s">
        <v>142</v>
      </c>
      <c r="I1860" s="18" t="s">
        <v>219</v>
      </c>
      <c r="J1860" s="18" t="s">
        <v>325</v>
      </c>
      <c r="K1860" s="29">
        <f t="shared" si="2"/>
        <v>30</v>
      </c>
    </row>
    <row r="1861" ht="15.75" customHeight="1">
      <c r="A1861" s="18" t="s">
        <v>1551</v>
      </c>
      <c r="B1861" s="18">
        <v>1986.0</v>
      </c>
      <c r="C1861" s="18" t="s">
        <v>501</v>
      </c>
      <c r="D1861" s="18">
        <v>4.0</v>
      </c>
      <c r="E1861" s="18" t="str">
        <f t="shared" si="1"/>
        <v>04/08/86</v>
      </c>
      <c r="F1861" s="18">
        <v>1.0</v>
      </c>
      <c r="G1861" s="27">
        <v>20773.63</v>
      </c>
      <c r="H1861" s="18" t="s">
        <v>140</v>
      </c>
      <c r="I1861" s="18" t="s">
        <v>142</v>
      </c>
      <c r="J1861" s="18" t="s">
        <v>2617</v>
      </c>
      <c r="K1861" s="29">
        <f t="shared" si="2"/>
        <v>36</v>
      </c>
    </row>
    <row r="1862" ht="15.75" customHeight="1">
      <c r="A1862" s="18" t="s">
        <v>1548</v>
      </c>
      <c r="B1862" s="18">
        <v>1967.0</v>
      </c>
      <c r="C1862" s="18" t="s">
        <v>272</v>
      </c>
      <c r="D1862" s="18">
        <v>8.0</v>
      </c>
      <c r="E1862" s="18" t="str">
        <f t="shared" si="1"/>
        <v>08/09/67</v>
      </c>
      <c r="F1862" s="18">
        <v>0.0</v>
      </c>
      <c r="G1862" s="27">
        <v>20781.49</v>
      </c>
      <c r="H1862" s="18" t="s">
        <v>140</v>
      </c>
      <c r="I1862" s="18" t="s">
        <v>142</v>
      </c>
      <c r="J1862" s="18" t="s">
        <v>146</v>
      </c>
      <c r="K1862" s="29">
        <f t="shared" si="2"/>
        <v>55</v>
      </c>
    </row>
    <row r="1863" ht="15.75" customHeight="1">
      <c r="A1863" s="18" t="s">
        <v>1545</v>
      </c>
      <c r="B1863" s="18">
        <v>1975.0</v>
      </c>
      <c r="C1863" s="18" t="s">
        <v>457</v>
      </c>
      <c r="D1863" s="18">
        <v>8.0</v>
      </c>
      <c r="E1863" s="18" t="str">
        <f t="shared" si="1"/>
        <v>08/12/75</v>
      </c>
      <c r="F1863" s="18">
        <v>0.0</v>
      </c>
      <c r="G1863" s="27">
        <v>20878.78</v>
      </c>
      <c r="H1863" s="18" t="s">
        <v>140</v>
      </c>
      <c r="I1863" s="18" t="s">
        <v>219</v>
      </c>
      <c r="J1863" s="18" t="s">
        <v>2024</v>
      </c>
      <c r="K1863" s="29">
        <f t="shared" si="2"/>
        <v>47</v>
      </c>
    </row>
    <row r="1864" ht="15.75" customHeight="1">
      <c r="A1864" s="18" t="s">
        <v>1542</v>
      </c>
      <c r="B1864" s="18">
        <v>1964.0</v>
      </c>
      <c r="C1864" s="18" t="s">
        <v>209</v>
      </c>
      <c r="D1864" s="18">
        <v>19.0</v>
      </c>
      <c r="E1864" s="18" t="str">
        <f t="shared" si="1"/>
        <v>19/11/64</v>
      </c>
      <c r="F1864" s="18">
        <v>0.0</v>
      </c>
      <c r="G1864" s="27">
        <v>20893.06</v>
      </c>
      <c r="H1864" s="18" t="s">
        <v>140</v>
      </c>
      <c r="I1864" s="18" t="s">
        <v>142</v>
      </c>
      <c r="J1864" s="18" t="s">
        <v>325</v>
      </c>
      <c r="K1864" s="29">
        <f t="shared" si="2"/>
        <v>58</v>
      </c>
    </row>
    <row r="1865" ht="15.75" customHeight="1">
      <c r="A1865" s="18" t="s">
        <v>6011</v>
      </c>
      <c r="B1865" s="18">
        <v>1987.0</v>
      </c>
      <c r="C1865" s="18" t="s">
        <v>209</v>
      </c>
      <c r="D1865" s="18">
        <v>27.0</v>
      </c>
      <c r="E1865" s="18" t="str">
        <f t="shared" si="1"/>
        <v>27/11/87</v>
      </c>
      <c r="F1865" s="18">
        <v>2.0</v>
      </c>
      <c r="G1865" s="27">
        <v>20984.09</v>
      </c>
      <c r="H1865" s="18" t="s">
        <v>140</v>
      </c>
      <c r="I1865" s="18" t="s">
        <v>140</v>
      </c>
      <c r="J1865" s="18" t="s">
        <v>1414</v>
      </c>
      <c r="K1865" s="29">
        <f t="shared" si="2"/>
        <v>35</v>
      </c>
    </row>
    <row r="1866" ht="15.75" customHeight="1">
      <c r="A1866" s="18" t="s">
        <v>1539</v>
      </c>
      <c r="B1866" s="18">
        <v>1983.0</v>
      </c>
      <c r="C1866" s="18" t="s">
        <v>91</v>
      </c>
      <c r="D1866" s="18">
        <v>2.0</v>
      </c>
      <c r="E1866" s="18" t="str">
        <f t="shared" si="1"/>
        <v>02/07/83</v>
      </c>
      <c r="F1866" s="18">
        <v>1.0</v>
      </c>
      <c r="G1866" s="27">
        <v>21082.16</v>
      </c>
      <c r="H1866" s="18" t="s">
        <v>142</v>
      </c>
      <c r="I1866" s="18" t="s">
        <v>140</v>
      </c>
      <c r="J1866" s="18" t="s">
        <v>570</v>
      </c>
      <c r="K1866" s="29">
        <f t="shared" si="2"/>
        <v>39</v>
      </c>
    </row>
    <row r="1867" ht="15.75" customHeight="1">
      <c r="A1867" s="18" t="s">
        <v>1537</v>
      </c>
      <c r="B1867" s="18">
        <v>1977.0</v>
      </c>
      <c r="C1867" s="18" t="s">
        <v>209</v>
      </c>
      <c r="D1867" s="18">
        <v>23.0</v>
      </c>
      <c r="E1867" s="18" t="str">
        <f t="shared" si="1"/>
        <v>23/11/77</v>
      </c>
      <c r="F1867" s="18">
        <v>2.0</v>
      </c>
      <c r="G1867" s="27">
        <v>21098.55</v>
      </c>
      <c r="H1867" s="18" t="s">
        <v>142</v>
      </c>
      <c r="I1867" s="18" t="s">
        <v>142</v>
      </c>
      <c r="J1867" s="18" t="s">
        <v>325</v>
      </c>
      <c r="K1867" s="29">
        <f t="shared" si="2"/>
        <v>45</v>
      </c>
    </row>
    <row r="1868" ht="15.75" customHeight="1">
      <c r="A1868" s="18" t="s">
        <v>1535</v>
      </c>
      <c r="B1868" s="18">
        <v>1969.0</v>
      </c>
      <c r="C1868" s="18" t="s">
        <v>501</v>
      </c>
      <c r="D1868" s="18">
        <v>26.0</v>
      </c>
      <c r="E1868" s="18" t="str">
        <f t="shared" si="1"/>
        <v>26/08/69</v>
      </c>
      <c r="F1868" s="18">
        <v>0.0</v>
      </c>
      <c r="G1868" s="27">
        <v>21195.82</v>
      </c>
      <c r="H1868" s="18" t="s">
        <v>142</v>
      </c>
      <c r="I1868" s="18" t="s">
        <v>219</v>
      </c>
      <c r="J1868" s="18" t="s">
        <v>146</v>
      </c>
      <c r="K1868" s="29">
        <f t="shared" si="2"/>
        <v>53</v>
      </c>
    </row>
    <row r="1869" ht="15.75" customHeight="1">
      <c r="A1869" s="18" t="s">
        <v>1532</v>
      </c>
      <c r="B1869" s="18">
        <v>1974.0</v>
      </c>
      <c r="C1869" s="18" t="s">
        <v>517</v>
      </c>
      <c r="D1869" s="18">
        <v>14.0</v>
      </c>
      <c r="E1869" s="18" t="str">
        <f t="shared" si="1"/>
        <v>14/10/74</v>
      </c>
      <c r="F1869" s="18">
        <v>0.0</v>
      </c>
      <c r="G1869" s="27">
        <v>21223.68</v>
      </c>
      <c r="H1869" s="18" t="s">
        <v>142</v>
      </c>
      <c r="I1869" s="18" t="s">
        <v>140</v>
      </c>
      <c r="J1869" s="18" t="s">
        <v>146</v>
      </c>
      <c r="K1869" s="29">
        <f t="shared" si="2"/>
        <v>48</v>
      </c>
    </row>
    <row r="1870" ht="15.75" customHeight="1">
      <c r="A1870" s="18" t="s">
        <v>1529</v>
      </c>
      <c r="B1870" s="18">
        <v>1974.0</v>
      </c>
      <c r="C1870" s="18" t="s">
        <v>272</v>
      </c>
      <c r="D1870" s="18">
        <v>3.0</v>
      </c>
      <c r="E1870" s="18" t="str">
        <f t="shared" si="1"/>
        <v>03/09/74</v>
      </c>
      <c r="F1870" s="18">
        <v>0.0</v>
      </c>
      <c r="G1870" s="27">
        <v>21232.18</v>
      </c>
      <c r="H1870" s="18" t="s">
        <v>142</v>
      </c>
      <c r="I1870" s="18" t="s">
        <v>140</v>
      </c>
      <c r="J1870" s="18" t="s">
        <v>570</v>
      </c>
      <c r="K1870" s="29">
        <f t="shared" si="2"/>
        <v>48</v>
      </c>
    </row>
    <row r="1871" ht="15.75" customHeight="1">
      <c r="A1871" s="18" t="s">
        <v>1525</v>
      </c>
      <c r="B1871" s="18">
        <v>1980.0</v>
      </c>
      <c r="C1871" s="18" t="s">
        <v>457</v>
      </c>
      <c r="D1871" s="18">
        <v>10.0</v>
      </c>
      <c r="E1871" s="18" t="str">
        <f t="shared" si="1"/>
        <v>10/12/80</v>
      </c>
      <c r="F1871" s="18">
        <v>2.0</v>
      </c>
      <c r="G1871" s="27">
        <v>21259.38</v>
      </c>
      <c r="H1871" s="18" t="s">
        <v>142</v>
      </c>
      <c r="I1871" s="18" t="s">
        <v>142</v>
      </c>
      <c r="J1871" s="18" t="s">
        <v>1421</v>
      </c>
      <c r="K1871" s="29">
        <f t="shared" si="2"/>
        <v>42</v>
      </c>
    </row>
    <row r="1872" ht="15.75" customHeight="1">
      <c r="A1872" s="18" t="s">
        <v>1522</v>
      </c>
      <c r="B1872" s="18">
        <v>2004.0</v>
      </c>
      <c r="C1872" s="18" t="s">
        <v>501</v>
      </c>
      <c r="D1872" s="18">
        <v>4.0</v>
      </c>
      <c r="E1872" s="18" t="str">
        <f t="shared" si="1"/>
        <v>04/08/04</v>
      </c>
      <c r="F1872" s="18">
        <v>0.0</v>
      </c>
      <c r="G1872" s="27">
        <v>21344.85</v>
      </c>
      <c r="H1872" s="18" t="s">
        <v>142</v>
      </c>
      <c r="I1872" s="18" t="s">
        <v>219</v>
      </c>
      <c r="J1872" s="18" t="s">
        <v>2024</v>
      </c>
      <c r="K1872" s="29">
        <f t="shared" si="2"/>
        <v>18</v>
      </c>
    </row>
    <row r="1873" ht="15.75" customHeight="1">
      <c r="A1873" s="18" t="s">
        <v>1518</v>
      </c>
      <c r="B1873" s="18">
        <v>1980.0</v>
      </c>
      <c r="C1873" s="18" t="s">
        <v>272</v>
      </c>
      <c r="D1873" s="18">
        <v>4.0</v>
      </c>
      <c r="E1873" s="18" t="str">
        <f t="shared" si="1"/>
        <v>04/09/80</v>
      </c>
      <c r="F1873" s="18">
        <v>0.0</v>
      </c>
      <c r="G1873" s="27">
        <v>21348.71</v>
      </c>
      <c r="H1873" s="18" t="s">
        <v>140</v>
      </c>
      <c r="I1873" s="18" t="s">
        <v>219</v>
      </c>
      <c r="J1873" s="18" t="s">
        <v>325</v>
      </c>
      <c r="K1873" s="29">
        <f t="shared" si="2"/>
        <v>42</v>
      </c>
    </row>
    <row r="1874" ht="15.75" customHeight="1">
      <c r="A1874" s="18" t="s">
        <v>1516</v>
      </c>
      <c r="B1874" s="18">
        <v>1990.0</v>
      </c>
      <c r="C1874" s="18" t="s">
        <v>209</v>
      </c>
      <c r="D1874" s="18">
        <v>21.0</v>
      </c>
      <c r="E1874" s="18" t="str">
        <f t="shared" si="1"/>
        <v>21/11/90</v>
      </c>
      <c r="F1874" s="18">
        <v>4.0</v>
      </c>
      <c r="G1874" s="27">
        <v>21472.48</v>
      </c>
      <c r="H1874" s="18" t="s">
        <v>140</v>
      </c>
      <c r="I1874" s="18" t="s">
        <v>140</v>
      </c>
      <c r="J1874" s="18" t="s">
        <v>325</v>
      </c>
      <c r="K1874" s="29">
        <f t="shared" si="2"/>
        <v>32</v>
      </c>
    </row>
    <row r="1875" ht="15.75" customHeight="1">
      <c r="A1875" s="18" t="s">
        <v>1512</v>
      </c>
      <c r="B1875" s="18">
        <v>1999.0</v>
      </c>
      <c r="C1875" s="18" t="s">
        <v>241</v>
      </c>
      <c r="D1875" s="18">
        <v>12.0</v>
      </c>
      <c r="E1875" s="18" t="str">
        <f t="shared" si="1"/>
        <v>12/06/99</v>
      </c>
      <c r="F1875" s="18">
        <v>0.0</v>
      </c>
      <c r="G1875" s="27">
        <v>21595.38</v>
      </c>
      <c r="H1875" s="18" t="s">
        <v>140</v>
      </c>
      <c r="I1875" s="18" t="s">
        <v>142</v>
      </c>
      <c r="J1875" s="18" t="s">
        <v>325</v>
      </c>
      <c r="K1875" s="29">
        <f t="shared" si="2"/>
        <v>23</v>
      </c>
    </row>
    <row r="1876" ht="15.75" customHeight="1">
      <c r="A1876" s="18" t="s">
        <v>1510</v>
      </c>
      <c r="B1876" s="18">
        <v>1983.0</v>
      </c>
      <c r="C1876" s="18" t="s">
        <v>457</v>
      </c>
      <c r="D1876" s="18">
        <v>25.0</v>
      </c>
      <c r="E1876" s="18" t="str">
        <f t="shared" si="1"/>
        <v>25/12/83</v>
      </c>
      <c r="F1876" s="18">
        <v>3.0</v>
      </c>
      <c r="G1876" s="27">
        <v>21659.93</v>
      </c>
      <c r="H1876" s="18" t="s">
        <v>142</v>
      </c>
      <c r="I1876" s="18" t="s">
        <v>142</v>
      </c>
      <c r="J1876" s="18" t="s">
        <v>2024</v>
      </c>
      <c r="K1876" s="29">
        <f t="shared" si="2"/>
        <v>39</v>
      </c>
    </row>
    <row r="1877" ht="15.75" customHeight="1">
      <c r="A1877" s="18" t="s">
        <v>1506</v>
      </c>
      <c r="B1877" s="18">
        <v>1962.0</v>
      </c>
      <c r="C1877" s="18" t="s">
        <v>209</v>
      </c>
      <c r="D1877" s="18">
        <v>16.0</v>
      </c>
      <c r="E1877" s="18" t="str">
        <f t="shared" si="1"/>
        <v>16/11/62</v>
      </c>
      <c r="F1877" s="18">
        <v>0.0</v>
      </c>
      <c r="G1877" s="27">
        <v>21661.16</v>
      </c>
      <c r="H1877" s="18" t="s">
        <v>140</v>
      </c>
      <c r="I1877" s="18" t="s">
        <v>140</v>
      </c>
      <c r="J1877" s="18" t="s">
        <v>325</v>
      </c>
      <c r="K1877" s="29">
        <f t="shared" si="2"/>
        <v>60</v>
      </c>
    </row>
    <row r="1878" ht="15.75" customHeight="1">
      <c r="A1878" s="18" t="s">
        <v>1503</v>
      </c>
      <c r="B1878" s="18">
        <v>1976.0</v>
      </c>
      <c r="C1878" s="18" t="s">
        <v>91</v>
      </c>
      <c r="D1878" s="18">
        <v>18.0</v>
      </c>
      <c r="E1878" s="18" t="str">
        <f t="shared" si="1"/>
        <v>18/07/76</v>
      </c>
      <c r="F1878" s="18">
        <v>1.0</v>
      </c>
      <c r="G1878" s="27">
        <v>21677.28</v>
      </c>
      <c r="H1878" s="18" t="s">
        <v>142</v>
      </c>
      <c r="I1878" s="18" t="s">
        <v>219</v>
      </c>
      <c r="J1878" s="18" t="s">
        <v>325</v>
      </c>
      <c r="K1878" s="29">
        <f t="shared" si="2"/>
        <v>46</v>
      </c>
    </row>
    <row r="1879" ht="15.75" customHeight="1">
      <c r="A1879" s="18" t="s">
        <v>1501</v>
      </c>
      <c r="B1879" s="18">
        <v>1979.0</v>
      </c>
      <c r="C1879" s="18" t="s">
        <v>272</v>
      </c>
      <c r="D1879" s="18">
        <v>20.0</v>
      </c>
      <c r="E1879" s="18" t="str">
        <f t="shared" si="1"/>
        <v>20/09/79</v>
      </c>
      <c r="F1879" s="18">
        <v>1.0</v>
      </c>
      <c r="G1879" s="27">
        <v>21771.34</v>
      </c>
      <c r="H1879" s="18" t="s">
        <v>142</v>
      </c>
      <c r="I1879" s="18" t="s">
        <v>219</v>
      </c>
      <c r="J1879" s="18" t="s">
        <v>2024</v>
      </c>
      <c r="K1879" s="29">
        <f t="shared" si="2"/>
        <v>43</v>
      </c>
    </row>
    <row r="1880" ht="15.75" customHeight="1">
      <c r="A1880" s="18" t="s">
        <v>1499</v>
      </c>
      <c r="B1880" s="18">
        <v>1979.0</v>
      </c>
      <c r="C1880" s="18" t="s">
        <v>272</v>
      </c>
      <c r="D1880" s="18">
        <v>28.0</v>
      </c>
      <c r="E1880" s="18" t="str">
        <f t="shared" si="1"/>
        <v>28/09/79</v>
      </c>
      <c r="F1880" s="18">
        <v>0.0</v>
      </c>
      <c r="G1880" s="27">
        <v>21774.32</v>
      </c>
      <c r="H1880" s="18" t="s">
        <v>142</v>
      </c>
      <c r="I1880" s="18" t="s">
        <v>140</v>
      </c>
      <c r="J1880" s="18" t="s">
        <v>325</v>
      </c>
      <c r="K1880" s="29">
        <f t="shared" si="2"/>
        <v>43</v>
      </c>
    </row>
    <row r="1881" ht="15.75" customHeight="1">
      <c r="A1881" s="18" t="s">
        <v>1496</v>
      </c>
      <c r="B1881" s="18">
        <v>1963.0</v>
      </c>
      <c r="C1881" s="18" t="s">
        <v>501</v>
      </c>
      <c r="D1881" s="18">
        <v>27.0</v>
      </c>
      <c r="E1881" s="18" t="str">
        <f t="shared" si="1"/>
        <v>27/08/63</v>
      </c>
      <c r="F1881" s="18">
        <v>0.0</v>
      </c>
      <c r="G1881" s="27">
        <v>21797.0</v>
      </c>
      <c r="H1881" s="18" t="s">
        <v>142</v>
      </c>
      <c r="I1881" s="18" t="s">
        <v>219</v>
      </c>
      <c r="J1881" s="18" t="s">
        <v>570</v>
      </c>
      <c r="K1881" s="29">
        <f t="shared" si="2"/>
        <v>59</v>
      </c>
    </row>
    <row r="1882" ht="15.75" customHeight="1">
      <c r="A1882" s="18" t="s">
        <v>1493</v>
      </c>
      <c r="B1882" s="18">
        <v>1979.0</v>
      </c>
      <c r="C1882" s="18" t="s">
        <v>501</v>
      </c>
      <c r="D1882" s="18">
        <v>17.0</v>
      </c>
      <c r="E1882" s="18" t="str">
        <f t="shared" si="1"/>
        <v>17/08/79</v>
      </c>
      <c r="F1882" s="18">
        <v>2.0</v>
      </c>
      <c r="G1882" s="27">
        <v>21880.82</v>
      </c>
      <c r="H1882" s="18" t="s">
        <v>142</v>
      </c>
      <c r="I1882" s="18" t="s">
        <v>219</v>
      </c>
      <c r="J1882" s="18" t="s">
        <v>325</v>
      </c>
      <c r="K1882" s="29">
        <f t="shared" si="2"/>
        <v>43</v>
      </c>
    </row>
    <row r="1883" ht="15.75" customHeight="1">
      <c r="A1883" s="18" t="s">
        <v>1489</v>
      </c>
      <c r="B1883" s="18">
        <v>2003.0</v>
      </c>
      <c r="C1883" s="18" t="s">
        <v>272</v>
      </c>
      <c r="D1883" s="18">
        <v>28.0</v>
      </c>
      <c r="E1883" s="18" t="str">
        <f t="shared" si="1"/>
        <v>28/09/03</v>
      </c>
      <c r="F1883" s="18">
        <v>0.0</v>
      </c>
      <c r="G1883" s="27">
        <v>21882.4</v>
      </c>
      <c r="H1883" s="18" t="s">
        <v>140</v>
      </c>
      <c r="I1883" s="18" t="s">
        <v>219</v>
      </c>
      <c r="J1883" s="18" t="s">
        <v>570</v>
      </c>
      <c r="K1883" s="29">
        <f t="shared" si="2"/>
        <v>19</v>
      </c>
    </row>
    <row r="1884" ht="15.75" customHeight="1">
      <c r="A1884" s="18" t="s">
        <v>1487</v>
      </c>
      <c r="B1884" s="18">
        <v>1975.0</v>
      </c>
      <c r="C1884" s="18" t="s">
        <v>457</v>
      </c>
      <c r="D1884" s="18">
        <v>19.0</v>
      </c>
      <c r="E1884" s="18" t="str">
        <f t="shared" si="1"/>
        <v>19/12/75</v>
      </c>
      <c r="F1884" s="18">
        <v>1.0</v>
      </c>
      <c r="G1884" s="27">
        <v>21978.68</v>
      </c>
      <c r="H1884" s="18" t="s">
        <v>142</v>
      </c>
      <c r="I1884" s="18" t="s">
        <v>142</v>
      </c>
      <c r="J1884" s="18" t="s">
        <v>146</v>
      </c>
      <c r="K1884" s="29">
        <f t="shared" si="2"/>
        <v>47</v>
      </c>
    </row>
    <row r="1885" ht="15.75" customHeight="1">
      <c r="A1885" s="18" t="s">
        <v>1484</v>
      </c>
      <c r="B1885" s="18">
        <v>1989.0</v>
      </c>
      <c r="C1885" s="18" t="s">
        <v>517</v>
      </c>
      <c r="D1885" s="18">
        <v>14.0</v>
      </c>
      <c r="E1885" s="18" t="str">
        <f t="shared" si="1"/>
        <v>14/10/89</v>
      </c>
      <c r="F1885" s="18">
        <v>0.0</v>
      </c>
      <c r="G1885" s="27">
        <v>21984.47</v>
      </c>
      <c r="H1885" s="18" t="s">
        <v>142</v>
      </c>
      <c r="I1885" s="18" t="s">
        <v>219</v>
      </c>
      <c r="J1885" s="18" t="s">
        <v>325</v>
      </c>
      <c r="K1885" s="29">
        <f t="shared" si="2"/>
        <v>33</v>
      </c>
    </row>
    <row r="1886" ht="15.75" customHeight="1">
      <c r="A1886" s="18" t="s">
        <v>1482</v>
      </c>
      <c r="B1886" s="18">
        <v>2001.0</v>
      </c>
      <c r="C1886" s="18" t="s">
        <v>501</v>
      </c>
      <c r="D1886" s="18">
        <v>28.0</v>
      </c>
      <c r="E1886" s="18" t="str">
        <f t="shared" si="1"/>
        <v>28/08/01</v>
      </c>
      <c r="F1886" s="18">
        <v>0.0</v>
      </c>
      <c r="G1886" s="27">
        <v>22097.62</v>
      </c>
      <c r="H1886" s="18" t="s">
        <v>142</v>
      </c>
      <c r="I1886" s="18" t="s">
        <v>219</v>
      </c>
      <c r="J1886" s="18" t="s">
        <v>570</v>
      </c>
      <c r="K1886" s="29">
        <f t="shared" si="2"/>
        <v>21</v>
      </c>
    </row>
    <row r="1887" ht="15.75" customHeight="1">
      <c r="A1887" s="18" t="s">
        <v>1479</v>
      </c>
      <c r="B1887" s="18">
        <v>1980.0</v>
      </c>
      <c r="C1887" s="18" t="s">
        <v>272</v>
      </c>
      <c r="D1887" s="18">
        <v>12.0</v>
      </c>
      <c r="E1887" s="18" t="str">
        <f t="shared" si="1"/>
        <v>12/09/80</v>
      </c>
      <c r="F1887" s="18">
        <v>0.0</v>
      </c>
      <c r="G1887" s="27">
        <v>22144.03</v>
      </c>
      <c r="H1887" s="18" t="s">
        <v>140</v>
      </c>
      <c r="I1887" s="18" t="s">
        <v>140</v>
      </c>
      <c r="J1887" s="18" t="s">
        <v>570</v>
      </c>
      <c r="K1887" s="29">
        <f t="shared" si="2"/>
        <v>42</v>
      </c>
    </row>
    <row r="1888" ht="15.75" customHeight="1">
      <c r="A1888" s="18" t="s">
        <v>1476</v>
      </c>
      <c r="B1888" s="18">
        <v>1965.0</v>
      </c>
      <c r="C1888" s="18" t="s">
        <v>501</v>
      </c>
      <c r="D1888" s="18">
        <v>24.0</v>
      </c>
      <c r="E1888" s="18" t="str">
        <f t="shared" si="1"/>
        <v>24/08/65</v>
      </c>
      <c r="F1888" s="18">
        <v>1.0</v>
      </c>
      <c r="G1888" s="27">
        <v>22192.44</v>
      </c>
      <c r="H1888" s="18" t="s">
        <v>142</v>
      </c>
      <c r="I1888" s="18" t="s">
        <v>219</v>
      </c>
      <c r="J1888" s="18" t="s">
        <v>146</v>
      </c>
      <c r="K1888" s="29">
        <f t="shared" si="2"/>
        <v>57</v>
      </c>
    </row>
    <row r="1889" ht="15.75" customHeight="1">
      <c r="A1889" s="18" t="s">
        <v>1473</v>
      </c>
      <c r="B1889" s="18">
        <v>1971.0</v>
      </c>
      <c r="C1889" s="18" t="s">
        <v>241</v>
      </c>
      <c r="D1889" s="18">
        <v>16.0</v>
      </c>
      <c r="E1889" s="18" t="str">
        <f t="shared" si="1"/>
        <v>16/06/71</v>
      </c>
      <c r="F1889" s="18">
        <v>1.0</v>
      </c>
      <c r="G1889" s="27">
        <v>22218.11</v>
      </c>
      <c r="H1889" s="18" t="s">
        <v>140</v>
      </c>
      <c r="I1889" s="18" t="s">
        <v>142</v>
      </c>
      <c r="J1889" s="18" t="s">
        <v>146</v>
      </c>
      <c r="K1889" s="29">
        <f t="shared" si="2"/>
        <v>51</v>
      </c>
    </row>
    <row r="1890" ht="15.75" customHeight="1">
      <c r="A1890" s="18" t="s">
        <v>1470</v>
      </c>
      <c r="B1890" s="18">
        <v>1982.0</v>
      </c>
      <c r="C1890" s="18" t="s">
        <v>457</v>
      </c>
      <c r="D1890" s="18">
        <v>27.0</v>
      </c>
      <c r="E1890" s="18" t="str">
        <f t="shared" si="1"/>
        <v>27/12/82</v>
      </c>
      <c r="F1890" s="18">
        <v>1.0</v>
      </c>
      <c r="G1890" s="27">
        <v>22331.57</v>
      </c>
      <c r="H1890" s="18" t="s">
        <v>140</v>
      </c>
      <c r="I1890" s="18" t="s">
        <v>142</v>
      </c>
      <c r="J1890" s="18" t="s">
        <v>2024</v>
      </c>
      <c r="K1890" s="29">
        <f t="shared" si="2"/>
        <v>40</v>
      </c>
    </row>
    <row r="1891" ht="15.75" customHeight="1">
      <c r="A1891" s="18" t="s">
        <v>1467</v>
      </c>
      <c r="B1891" s="18">
        <v>1999.0</v>
      </c>
      <c r="C1891" s="18" t="s">
        <v>501</v>
      </c>
      <c r="D1891" s="18">
        <v>26.0</v>
      </c>
      <c r="E1891" s="18" t="str">
        <f t="shared" si="1"/>
        <v>26/08/99</v>
      </c>
      <c r="F1891" s="18">
        <v>2.0</v>
      </c>
      <c r="G1891" s="27">
        <v>22395.74</v>
      </c>
      <c r="H1891" s="18" t="s">
        <v>142</v>
      </c>
      <c r="I1891" s="18" t="s">
        <v>140</v>
      </c>
      <c r="J1891" s="18" t="s">
        <v>2024</v>
      </c>
      <c r="K1891" s="29">
        <f t="shared" si="2"/>
        <v>23</v>
      </c>
    </row>
    <row r="1892" ht="15.75" customHeight="1">
      <c r="A1892" s="18" t="s">
        <v>1465</v>
      </c>
      <c r="B1892" s="18">
        <v>1966.0</v>
      </c>
      <c r="C1892" s="18" t="s">
        <v>501</v>
      </c>
      <c r="D1892" s="18">
        <v>18.0</v>
      </c>
      <c r="E1892" s="18" t="str">
        <f t="shared" si="1"/>
        <v>18/08/66</v>
      </c>
      <c r="F1892" s="18">
        <v>0.0</v>
      </c>
      <c r="G1892" s="27">
        <v>22412.65</v>
      </c>
      <c r="H1892" s="18" t="s">
        <v>142</v>
      </c>
      <c r="I1892" s="18" t="s">
        <v>142</v>
      </c>
      <c r="J1892" s="18" t="s">
        <v>2191</v>
      </c>
      <c r="K1892" s="29">
        <f t="shared" si="2"/>
        <v>56</v>
      </c>
    </row>
    <row r="1893" ht="15.75" customHeight="1">
      <c r="A1893" s="18" t="s">
        <v>1461</v>
      </c>
      <c r="B1893" s="18">
        <v>1983.0</v>
      </c>
      <c r="C1893" s="18" t="s">
        <v>457</v>
      </c>
      <c r="D1893" s="18">
        <v>21.0</v>
      </c>
      <c r="E1893" s="18" t="str">
        <f t="shared" si="1"/>
        <v>21/12/83</v>
      </c>
      <c r="F1893" s="18">
        <v>1.0</v>
      </c>
      <c r="G1893" s="27">
        <v>22462.04</v>
      </c>
      <c r="H1893" s="18" t="s">
        <v>142</v>
      </c>
      <c r="I1893" s="18" t="s">
        <v>219</v>
      </c>
      <c r="J1893" s="18" t="s">
        <v>1421</v>
      </c>
      <c r="K1893" s="29">
        <f t="shared" si="2"/>
        <v>39</v>
      </c>
    </row>
    <row r="1894" ht="15.75" customHeight="1">
      <c r="A1894" s="18" t="s">
        <v>1457</v>
      </c>
      <c r="B1894" s="18">
        <v>1979.0</v>
      </c>
      <c r="C1894" s="18" t="s">
        <v>209</v>
      </c>
      <c r="D1894" s="18">
        <v>14.0</v>
      </c>
      <c r="E1894" s="18" t="str">
        <f t="shared" si="1"/>
        <v>14/11/79</v>
      </c>
      <c r="F1894" s="18">
        <v>2.0</v>
      </c>
      <c r="G1894" s="27">
        <v>22478.6</v>
      </c>
      <c r="H1894" s="18" t="s">
        <v>142</v>
      </c>
      <c r="I1894" s="18" t="s">
        <v>140</v>
      </c>
      <c r="J1894" s="18" t="s">
        <v>570</v>
      </c>
      <c r="K1894" s="29">
        <f t="shared" si="2"/>
        <v>43</v>
      </c>
    </row>
    <row r="1895" ht="15.75" customHeight="1">
      <c r="A1895" s="18" t="s">
        <v>1455</v>
      </c>
      <c r="B1895" s="18">
        <v>2003.0</v>
      </c>
      <c r="C1895" s="18" t="s">
        <v>91</v>
      </c>
      <c r="D1895" s="18">
        <v>25.0</v>
      </c>
      <c r="E1895" s="18" t="str">
        <f t="shared" si="1"/>
        <v>25/07/03</v>
      </c>
      <c r="F1895" s="18">
        <v>2.0</v>
      </c>
      <c r="G1895" s="27">
        <v>22493.66</v>
      </c>
      <c r="H1895" s="18" t="s">
        <v>140</v>
      </c>
      <c r="I1895" s="18" t="s">
        <v>219</v>
      </c>
      <c r="J1895" s="18" t="s">
        <v>325</v>
      </c>
      <c r="K1895" s="29">
        <f t="shared" si="2"/>
        <v>19</v>
      </c>
    </row>
    <row r="1896" ht="15.75" customHeight="1">
      <c r="A1896" s="18" t="s">
        <v>1451</v>
      </c>
      <c r="B1896" s="18">
        <v>1970.0</v>
      </c>
      <c r="C1896" s="18" t="s">
        <v>209</v>
      </c>
      <c r="D1896" s="18">
        <v>9.0</v>
      </c>
      <c r="E1896" s="18" t="str">
        <f t="shared" si="1"/>
        <v>09/11/70</v>
      </c>
      <c r="F1896" s="18">
        <v>0.0</v>
      </c>
      <c r="G1896" s="27">
        <v>23045.57</v>
      </c>
      <c r="H1896" s="18" t="s">
        <v>140</v>
      </c>
      <c r="I1896" s="18" t="s">
        <v>140</v>
      </c>
      <c r="J1896" s="18" t="s">
        <v>2024</v>
      </c>
      <c r="K1896" s="29">
        <f t="shared" si="2"/>
        <v>52</v>
      </c>
    </row>
    <row r="1897" ht="15.75" customHeight="1">
      <c r="A1897" s="18" t="s">
        <v>1447</v>
      </c>
      <c r="B1897" s="18">
        <v>1975.0</v>
      </c>
      <c r="C1897" s="18" t="s">
        <v>272</v>
      </c>
      <c r="D1897" s="18">
        <v>9.0</v>
      </c>
      <c r="E1897" s="18" t="str">
        <f t="shared" si="1"/>
        <v>09/09/75</v>
      </c>
      <c r="F1897" s="18">
        <v>0.0</v>
      </c>
      <c r="G1897" s="27">
        <v>23065.42</v>
      </c>
      <c r="H1897" s="18" t="s">
        <v>140</v>
      </c>
      <c r="I1897" s="18" t="s">
        <v>140</v>
      </c>
      <c r="J1897" s="18" t="s">
        <v>146</v>
      </c>
      <c r="K1897" s="29">
        <f t="shared" si="2"/>
        <v>47</v>
      </c>
    </row>
    <row r="1898" ht="15.75" customHeight="1">
      <c r="A1898" s="18" t="s">
        <v>1444</v>
      </c>
      <c r="B1898" s="18">
        <v>2003.0</v>
      </c>
      <c r="C1898" s="18" t="s">
        <v>457</v>
      </c>
      <c r="D1898" s="18">
        <v>14.0</v>
      </c>
      <c r="E1898" s="18" t="str">
        <f t="shared" si="1"/>
        <v>14/12/03</v>
      </c>
      <c r="F1898" s="18">
        <v>0.0</v>
      </c>
      <c r="G1898" s="27">
        <v>23082.96</v>
      </c>
      <c r="H1898" s="18" t="s">
        <v>140</v>
      </c>
      <c r="I1898" s="18" t="s">
        <v>140</v>
      </c>
      <c r="J1898" s="18" t="s">
        <v>570</v>
      </c>
      <c r="K1898" s="29">
        <f t="shared" si="2"/>
        <v>19</v>
      </c>
    </row>
    <row r="1899" ht="15.75" customHeight="1">
      <c r="A1899" s="18" t="s">
        <v>1441</v>
      </c>
      <c r="B1899" s="18">
        <v>1997.0</v>
      </c>
      <c r="C1899" s="18" t="s">
        <v>501</v>
      </c>
      <c r="D1899" s="18">
        <v>7.0</v>
      </c>
      <c r="E1899" s="18" t="str">
        <f t="shared" si="1"/>
        <v>07/08/97</v>
      </c>
      <c r="F1899" s="18">
        <v>2.0</v>
      </c>
      <c r="G1899" s="27">
        <v>23241.47</v>
      </c>
      <c r="H1899" s="18" t="s">
        <v>140</v>
      </c>
      <c r="I1899" s="18" t="s">
        <v>142</v>
      </c>
      <c r="J1899" s="18" t="s">
        <v>1434</v>
      </c>
      <c r="K1899" s="29">
        <f t="shared" si="2"/>
        <v>25</v>
      </c>
    </row>
    <row r="1900" ht="15.75" customHeight="1">
      <c r="A1900" s="18" t="s">
        <v>1437</v>
      </c>
      <c r="B1900" s="18">
        <v>1969.0</v>
      </c>
      <c r="C1900" s="18" t="s">
        <v>209</v>
      </c>
      <c r="D1900" s="18">
        <v>14.0</v>
      </c>
      <c r="E1900" s="18" t="str">
        <f t="shared" si="1"/>
        <v>14/11/69</v>
      </c>
      <c r="F1900" s="18">
        <v>1.0</v>
      </c>
      <c r="G1900" s="27">
        <v>23244.79</v>
      </c>
      <c r="H1900" s="18" t="s">
        <v>140</v>
      </c>
      <c r="I1900" s="18" t="s">
        <v>142</v>
      </c>
      <c r="J1900" s="18" t="s">
        <v>146</v>
      </c>
      <c r="K1900" s="29">
        <f t="shared" si="2"/>
        <v>53</v>
      </c>
    </row>
    <row r="1901" ht="15.75" customHeight="1">
      <c r="A1901" s="18" t="s">
        <v>1432</v>
      </c>
      <c r="B1901" s="18">
        <v>1994.0</v>
      </c>
      <c r="C1901" s="18" t="s">
        <v>517</v>
      </c>
      <c r="D1901" s="18">
        <v>3.0</v>
      </c>
      <c r="E1901" s="18" t="str">
        <f t="shared" si="1"/>
        <v>03/10/94</v>
      </c>
      <c r="F1901" s="18">
        <v>1.0</v>
      </c>
      <c r="G1901" s="27">
        <v>23288.93</v>
      </c>
      <c r="H1901" s="18" t="s">
        <v>140</v>
      </c>
      <c r="I1901" s="18" t="s">
        <v>142</v>
      </c>
      <c r="J1901" s="18" t="s">
        <v>2024</v>
      </c>
      <c r="K1901" s="29">
        <f t="shared" si="2"/>
        <v>28</v>
      </c>
    </row>
    <row r="1902" ht="15.75" customHeight="1">
      <c r="A1902" s="18" t="s">
        <v>1428</v>
      </c>
      <c r="B1902" s="18">
        <v>1973.0</v>
      </c>
      <c r="C1902" s="18" t="s">
        <v>517</v>
      </c>
      <c r="D1902" s="18">
        <v>22.0</v>
      </c>
      <c r="E1902" s="18" t="str">
        <f t="shared" si="1"/>
        <v>22/10/73</v>
      </c>
      <c r="F1902" s="18">
        <v>2.0</v>
      </c>
      <c r="G1902" s="27">
        <v>23306.55</v>
      </c>
      <c r="H1902" s="18" t="s">
        <v>140</v>
      </c>
      <c r="I1902" s="18" t="s">
        <v>140</v>
      </c>
      <c r="J1902" s="18" t="s">
        <v>570</v>
      </c>
      <c r="K1902" s="29">
        <f t="shared" si="2"/>
        <v>49</v>
      </c>
    </row>
    <row r="1903" ht="15.75" customHeight="1">
      <c r="A1903" s="18" t="s">
        <v>1425</v>
      </c>
      <c r="B1903" s="18">
        <v>1975.0</v>
      </c>
      <c r="C1903" s="18" t="s">
        <v>209</v>
      </c>
      <c r="D1903" s="18">
        <v>13.0</v>
      </c>
      <c r="E1903" s="18" t="str">
        <f t="shared" si="1"/>
        <v>13/11/75</v>
      </c>
      <c r="F1903" s="18">
        <v>1.0</v>
      </c>
      <c r="G1903" s="27">
        <v>23401.31</v>
      </c>
      <c r="H1903" s="18" t="s">
        <v>140</v>
      </c>
      <c r="I1903" s="18" t="s">
        <v>142</v>
      </c>
      <c r="J1903" s="18" t="s">
        <v>2024</v>
      </c>
      <c r="K1903" s="29">
        <f t="shared" si="2"/>
        <v>47</v>
      </c>
    </row>
    <row r="1904" ht="15.75" customHeight="1">
      <c r="A1904" s="18" t="s">
        <v>1420</v>
      </c>
      <c r="B1904" s="18">
        <v>1983.0</v>
      </c>
      <c r="C1904" s="18" t="s">
        <v>501</v>
      </c>
      <c r="D1904" s="18">
        <v>26.0</v>
      </c>
      <c r="E1904" s="18" t="str">
        <f t="shared" si="1"/>
        <v>26/08/83</v>
      </c>
      <c r="F1904" s="18">
        <v>2.0</v>
      </c>
      <c r="G1904" s="27">
        <v>23563.02</v>
      </c>
      <c r="H1904" s="18" t="s">
        <v>140</v>
      </c>
      <c r="I1904" s="18" t="s">
        <v>140</v>
      </c>
      <c r="J1904" s="18" t="s">
        <v>146</v>
      </c>
      <c r="K1904" s="29">
        <f t="shared" si="2"/>
        <v>39</v>
      </c>
    </row>
    <row r="1905" ht="15.75" customHeight="1">
      <c r="A1905" s="18" t="s">
        <v>1417</v>
      </c>
      <c r="B1905" s="18">
        <v>1974.0</v>
      </c>
      <c r="C1905" s="18" t="s">
        <v>241</v>
      </c>
      <c r="D1905" s="18">
        <v>2.0</v>
      </c>
      <c r="E1905" s="18" t="str">
        <f t="shared" si="1"/>
        <v>02/06/74</v>
      </c>
      <c r="F1905" s="18">
        <v>1.0</v>
      </c>
      <c r="G1905" s="27">
        <v>23568.27</v>
      </c>
      <c r="H1905" s="18" t="s">
        <v>140</v>
      </c>
      <c r="I1905" s="18" t="s">
        <v>140</v>
      </c>
      <c r="J1905" s="18" t="s">
        <v>570</v>
      </c>
      <c r="K1905" s="29">
        <f t="shared" si="2"/>
        <v>49</v>
      </c>
    </row>
    <row r="1906" ht="15.75" customHeight="1">
      <c r="A1906" s="18" t="s">
        <v>1412</v>
      </c>
      <c r="B1906" s="18">
        <v>1973.0</v>
      </c>
      <c r="C1906" s="18" t="s">
        <v>241</v>
      </c>
      <c r="D1906" s="18">
        <v>27.0</v>
      </c>
      <c r="E1906" s="18" t="str">
        <f t="shared" si="1"/>
        <v>27/06/73</v>
      </c>
      <c r="F1906" s="18">
        <v>2.0</v>
      </c>
      <c r="G1906" s="27">
        <v>23807.24</v>
      </c>
      <c r="H1906" s="18" t="s">
        <v>140</v>
      </c>
      <c r="I1906" s="18" t="s">
        <v>142</v>
      </c>
      <c r="J1906" s="18" t="s">
        <v>325</v>
      </c>
      <c r="K1906" s="29">
        <f t="shared" si="2"/>
        <v>49</v>
      </c>
    </row>
    <row r="1907" ht="15.75" customHeight="1">
      <c r="A1907" s="18" t="s">
        <v>1410</v>
      </c>
      <c r="B1907" s="18">
        <v>1970.0</v>
      </c>
      <c r="C1907" s="18" t="s">
        <v>501</v>
      </c>
      <c r="D1907" s="18">
        <v>8.0</v>
      </c>
      <c r="E1907" s="18" t="str">
        <f t="shared" si="1"/>
        <v>08/08/70</v>
      </c>
      <c r="F1907" s="18">
        <v>1.0</v>
      </c>
      <c r="G1907" s="27">
        <v>23887.66</v>
      </c>
      <c r="H1907" s="18" t="s">
        <v>140</v>
      </c>
      <c r="I1907" s="18" t="s">
        <v>142</v>
      </c>
      <c r="J1907" s="18" t="s">
        <v>325</v>
      </c>
      <c r="K1907" s="29">
        <f t="shared" si="2"/>
        <v>52</v>
      </c>
    </row>
    <row r="1908" ht="15.75" customHeight="1">
      <c r="A1908" s="18" t="s">
        <v>1407</v>
      </c>
      <c r="B1908" s="18">
        <v>1971.0</v>
      </c>
      <c r="C1908" s="18" t="s">
        <v>91</v>
      </c>
      <c r="D1908" s="18">
        <v>10.0</v>
      </c>
      <c r="E1908" s="18" t="str">
        <f t="shared" si="1"/>
        <v>10/07/71</v>
      </c>
      <c r="F1908" s="18">
        <v>2.0</v>
      </c>
      <c r="G1908" s="27">
        <v>23967.38</v>
      </c>
      <c r="H1908" s="18" t="s">
        <v>140</v>
      </c>
      <c r="I1908" s="18" t="s">
        <v>140</v>
      </c>
      <c r="J1908" s="18" t="s">
        <v>325</v>
      </c>
      <c r="K1908" s="29">
        <f t="shared" si="2"/>
        <v>51</v>
      </c>
    </row>
    <row r="1909" ht="15.75" customHeight="1">
      <c r="A1909" s="18" t="s">
        <v>1403</v>
      </c>
      <c r="B1909" s="18">
        <v>2003.0</v>
      </c>
      <c r="C1909" s="18" t="s">
        <v>457</v>
      </c>
      <c r="D1909" s="18">
        <v>30.0</v>
      </c>
      <c r="E1909" s="18" t="str">
        <f t="shared" si="1"/>
        <v>30/12/03</v>
      </c>
      <c r="F1909" s="18">
        <v>2.0</v>
      </c>
      <c r="G1909" s="27">
        <v>24059.68</v>
      </c>
      <c r="H1909" s="18" t="s">
        <v>140</v>
      </c>
      <c r="I1909" s="18" t="s">
        <v>140</v>
      </c>
      <c r="J1909" s="18" t="s">
        <v>325</v>
      </c>
      <c r="K1909" s="29">
        <f t="shared" si="2"/>
        <v>19</v>
      </c>
    </row>
    <row r="1910" ht="15.75" customHeight="1">
      <c r="A1910" s="18" t="s">
        <v>1399</v>
      </c>
      <c r="B1910" s="18">
        <v>1973.0</v>
      </c>
      <c r="C1910" s="18" t="s">
        <v>241</v>
      </c>
      <c r="D1910" s="18">
        <v>13.0</v>
      </c>
      <c r="E1910" s="18" t="str">
        <f t="shared" si="1"/>
        <v>13/06/73</v>
      </c>
      <c r="F1910" s="18">
        <v>3.0</v>
      </c>
      <c r="G1910" s="27">
        <v>24106.91</v>
      </c>
      <c r="H1910" s="18" t="s">
        <v>140</v>
      </c>
      <c r="I1910" s="18" t="s">
        <v>140</v>
      </c>
      <c r="J1910" s="18" t="s">
        <v>2024</v>
      </c>
      <c r="K1910" s="29">
        <f t="shared" si="2"/>
        <v>49</v>
      </c>
    </row>
    <row r="1911" ht="15.75" customHeight="1">
      <c r="A1911" s="18" t="s">
        <v>1395</v>
      </c>
      <c r="B1911" s="18">
        <v>1974.0</v>
      </c>
      <c r="C1911" s="18" t="s">
        <v>272</v>
      </c>
      <c r="D1911" s="18">
        <v>10.0</v>
      </c>
      <c r="E1911" s="18" t="str">
        <f t="shared" si="1"/>
        <v>10/09/74</v>
      </c>
      <c r="F1911" s="18">
        <v>3.0</v>
      </c>
      <c r="G1911" s="27">
        <v>24180.93</v>
      </c>
      <c r="H1911" s="18" t="s">
        <v>140</v>
      </c>
      <c r="I1911" s="18" t="s">
        <v>219</v>
      </c>
      <c r="J1911" s="18" t="s">
        <v>146</v>
      </c>
      <c r="K1911" s="29">
        <f t="shared" si="2"/>
        <v>48</v>
      </c>
    </row>
    <row r="1912" ht="15.75" customHeight="1">
      <c r="A1912" s="18" t="s">
        <v>1393</v>
      </c>
      <c r="B1912" s="18">
        <v>1964.0</v>
      </c>
      <c r="C1912" s="18" t="s">
        <v>457</v>
      </c>
      <c r="D1912" s="18">
        <v>16.0</v>
      </c>
      <c r="E1912" s="18" t="str">
        <f t="shared" si="1"/>
        <v>16/12/64</v>
      </c>
      <c r="F1912" s="18">
        <v>0.0</v>
      </c>
      <c r="G1912" s="27">
        <v>24227.34</v>
      </c>
      <c r="H1912" s="18" t="s">
        <v>140</v>
      </c>
      <c r="I1912" s="18" t="s">
        <v>219</v>
      </c>
      <c r="J1912" s="18" t="s">
        <v>146</v>
      </c>
      <c r="K1912" s="29">
        <f t="shared" si="2"/>
        <v>58</v>
      </c>
    </row>
    <row r="1913" ht="15.75" customHeight="1">
      <c r="A1913" s="18" t="s">
        <v>1389</v>
      </c>
      <c r="B1913" s="18">
        <v>2004.0</v>
      </c>
      <c r="C1913" s="18" t="s">
        <v>501</v>
      </c>
      <c r="D1913" s="18">
        <v>3.0</v>
      </c>
      <c r="E1913" s="18" t="str">
        <f t="shared" si="1"/>
        <v>03/08/04</v>
      </c>
      <c r="F1913" s="18">
        <v>0.0</v>
      </c>
      <c r="G1913" s="27">
        <v>24294.02</v>
      </c>
      <c r="H1913" s="18" t="s">
        <v>140</v>
      </c>
      <c r="I1913" s="18" t="s">
        <v>219</v>
      </c>
      <c r="J1913" s="18" t="s">
        <v>570</v>
      </c>
      <c r="K1913" s="29">
        <f t="shared" si="2"/>
        <v>18</v>
      </c>
    </row>
    <row r="1914" ht="15.75" customHeight="1">
      <c r="A1914" s="18" t="s">
        <v>1385</v>
      </c>
      <c r="B1914" s="18">
        <v>1999.0</v>
      </c>
      <c r="C1914" s="18" t="s">
        <v>517</v>
      </c>
      <c r="D1914" s="18">
        <v>7.0</v>
      </c>
      <c r="E1914" s="18" t="str">
        <f t="shared" si="1"/>
        <v>07/10/99</v>
      </c>
      <c r="F1914" s="18">
        <v>0.0</v>
      </c>
      <c r="G1914" s="27">
        <v>24387.74</v>
      </c>
      <c r="H1914" s="18" t="s">
        <v>140</v>
      </c>
      <c r="I1914" s="18" t="s">
        <v>219</v>
      </c>
      <c r="J1914" s="18" t="s">
        <v>570</v>
      </c>
      <c r="K1914" s="29">
        <f t="shared" si="2"/>
        <v>23</v>
      </c>
    </row>
    <row r="1915" ht="15.75" customHeight="1">
      <c r="A1915" s="18" t="s">
        <v>1382</v>
      </c>
      <c r="B1915" s="18">
        <v>1970.0</v>
      </c>
      <c r="C1915" s="18" t="s">
        <v>209</v>
      </c>
      <c r="D1915" s="18">
        <v>30.0</v>
      </c>
      <c r="E1915" s="18" t="str">
        <f t="shared" si="1"/>
        <v>30/11/70</v>
      </c>
      <c r="F1915" s="18">
        <v>0.0</v>
      </c>
      <c r="G1915" s="27">
        <v>24393.62</v>
      </c>
      <c r="H1915" s="18" t="s">
        <v>140</v>
      </c>
      <c r="I1915" s="18" t="s">
        <v>142</v>
      </c>
      <c r="J1915" s="18" t="s">
        <v>325</v>
      </c>
      <c r="K1915" s="29">
        <f t="shared" si="2"/>
        <v>52</v>
      </c>
    </row>
    <row r="1916" ht="15.75" customHeight="1">
      <c r="A1916" s="18" t="s">
        <v>1379</v>
      </c>
      <c r="B1916" s="18">
        <v>1968.0</v>
      </c>
      <c r="C1916" s="18" t="s">
        <v>91</v>
      </c>
      <c r="D1916" s="18">
        <v>6.0</v>
      </c>
      <c r="E1916" s="18" t="str">
        <f t="shared" si="1"/>
        <v>06/07/68</v>
      </c>
      <c r="F1916" s="18">
        <v>0.0</v>
      </c>
      <c r="G1916" s="27">
        <v>24476.48</v>
      </c>
      <c r="H1916" s="18" t="s">
        <v>140</v>
      </c>
      <c r="I1916" s="18" t="s">
        <v>140</v>
      </c>
      <c r="J1916" s="18" t="s">
        <v>325</v>
      </c>
      <c r="K1916" s="29">
        <f t="shared" si="2"/>
        <v>54</v>
      </c>
    </row>
    <row r="1917" ht="15.75" customHeight="1">
      <c r="A1917" s="18" t="s">
        <v>1375</v>
      </c>
      <c r="B1917" s="18">
        <v>1961.0</v>
      </c>
      <c r="C1917" s="18" t="s">
        <v>517</v>
      </c>
      <c r="D1917" s="18">
        <v>21.0</v>
      </c>
      <c r="E1917" s="18" t="str">
        <f t="shared" si="1"/>
        <v>21/10/61</v>
      </c>
      <c r="F1917" s="18">
        <v>0.0</v>
      </c>
      <c r="G1917" s="27">
        <v>24513.09</v>
      </c>
      <c r="H1917" s="18" t="s">
        <v>140</v>
      </c>
      <c r="I1917" s="18" t="s">
        <v>140</v>
      </c>
      <c r="J1917" s="18" t="s">
        <v>146</v>
      </c>
      <c r="K1917" s="29">
        <f t="shared" si="2"/>
        <v>61</v>
      </c>
    </row>
    <row r="1918" ht="15.75" customHeight="1">
      <c r="A1918" s="18" t="s">
        <v>1372</v>
      </c>
      <c r="B1918" s="18">
        <v>1972.0</v>
      </c>
      <c r="C1918" s="18" t="s">
        <v>272</v>
      </c>
      <c r="D1918" s="18">
        <v>14.0</v>
      </c>
      <c r="E1918" s="18" t="str">
        <f t="shared" si="1"/>
        <v>14/09/72</v>
      </c>
      <c r="F1918" s="18">
        <v>1.0</v>
      </c>
      <c r="G1918" s="27">
        <v>24520.26</v>
      </c>
      <c r="H1918" s="18" t="s">
        <v>140</v>
      </c>
      <c r="I1918" s="18" t="s">
        <v>142</v>
      </c>
      <c r="J1918" s="18" t="s">
        <v>570</v>
      </c>
      <c r="K1918" s="29">
        <f t="shared" si="2"/>
        <v>50</v>
      </c>
    </row>
    <row r="1919" ht="15.75" customHeight="1">
      <c r="A1919" s="18" t="s">
        <v>1368</v>
      </c>
      <c r="B1919" s="18">
        <v>1975.0</v>
      </c>
      <c r="C1919" s="18" t="s">
        <v>241</v>
      </c>
      <c r="D1919" s="18">
        <v>13.0</v>
      </c>
      <c r="E1919" s="18" t="str">
        <f t="shared" si="1"/>
        <v>13/06/75</v>
      </c>
      <c r="F1919" s="18">
        <v>2.0</v>
      </c>
      <c r="G1919" s="27">
        <v>24535.7</v>
      </c>
      <c r="H1919" s="18" t="s">
        <v>140</v>
      </c>
      <c r="I1919" s="18" t="s">
        <v>140</v>
      </c>
      <c r="J1919" s="18" t="s">
        <v>325</v>
      </c>
      <c r="K1919" s="29">
        <f t="shared" si="2"/>
        <v>47</v>
      </c>
    </row>
    <row r="1920" ht="15.75" customHeight="1">
      <c r="A1920" s="18" t="s">
        <v>1365</v>
      </c>
      <c r="B1920" s="18">
        <v>1976.0</v>
      </c>
      <c r="C1920" s="18" t="s">
        <v>517</v>
      </c>
      <c r="D1920" s="18">
        <v>12.0</v>
      </c>
      <c r="E1920" s="18" t="str">
        <f t="shared" si="1"/>
        <v>12/10/76</v>
      </c>
      <c r="F1920" s="18">
        <v>0.0</v>
      </c>
      <c r="G1920" s="27">
        <v>24603.05</v>
      </c>
      <c r="H1920" s="18" t="s">
        <v>140</v>
      </c>
      <c r="I1920" s="18" t="s">
        <v>140</v>
      </c>
      <c r="J1920" s="18" t="s">
        <v>570</v>
      </c>
      <c r="K1920" s="29">
        <f t="shared" si="2"/>
        <v>46</v>
      </c>
    </row>
    <row r="1921" ht="15.75" customHeight="1">
      <c r="A1921" s="18" t="s">
        <v>1361</v>
      </c>
      <c r="B1921" s="18">
        <v>1970.0</v>
      </c>
      <c r="C1921" s="18" t="s">
        <v>241</v>
      </c>
      <c r="D1921" s="18">
        <v>12.0</v>
      </c>
      <c r="E1921" s="18" t="str">
        <f t="shared" si="1"/>
        <v>12/06/70</v>
      </c>
      <c r="F1921" s="18">
        <v>2.0</v>
      </c>
      <c r="G1921" s="27">
        <v>24667.42</v>
      </c>
      <c r="H1921" s="18" t="s">
        <v>140</v>
      </c>
      <c r="I1921" s="18" t="s">
        <v>142</v>
      </c>
      <c r="J1921" s="18" t="s">
        <v>146</v>
      </c>
      <c r="K1921" s="29">
        <f t="shared" si="2"/>
        <v>52</v>
      </c>
    </row>
    <row r="1922" ht="15.75" customHeight="1">
      <c r="A1922" s="18" t="s">
        <v>1357</v>
      </c>
      <c r="B1922" s="18">
        <v>1996.0</v>
      </c>
      <c r="C1922" s="18" t="s">
        <v>501</v>
      </c>
      <c r="D1922" s="18">
        <v>28.0</v>
      </c>
      <c r="E1922" s="18" t="str">
        <f t="shared" si="1"/>
        <v>28/08/96</v>
      </c>
      <c r="F1922" s="18">
        <v>4.0</v>
      </c>
      <c r="G1922" s="27">
        <v>24671.66</v>
      </c>
      <c r="H1922" s="18" t="s">
        <v>140</v>
      </c>
      <c r="I1922" s="18" t="s">
        <v>219</v>
      </c>
      <c r="J1922" s="18" t="s">
        <v>2024</v>
      </c>
      <c r="K1922" s="29">
        <f t="shared" si="2"/>
        <v>26</v>
      </c>
    </row>
    <row r="1923" ht="15.75" customHeight="1">
      <c r="A1923" s="18" t="s">
        <v>1355</v>
      </c>
      <c r="B1923" s="18">
        <v>1992.0</v>
      </c>
      <c r="C1923" s="18" t="s">
        <v>517</v>
      </c>
      <c r="D1923" s="18">
        <v>11.0</v>
      </c>
      <c r="E1923" s="18" t="str">
        <f t="shared" si="1"/>
        <v>11/10/92</v>
      </c>
      <c r="F1923" s="18">
        <v>0.0</v>
      </c>
      <c r="G1923" s="27">
        <v>24795.04</v>
      </c>
      <c r="H1923" s="18" t="s">
        <v>140</v>
      </c>
      <c r="I1923" s="18" t="s">
        <v>142</v>
      </c>
      <c r="J1923" s="18" t="s">
        <v>570</v>
      </c>
      <c r="K1923" s="29">
        <f t="shared" si="2"/>
        <v>30</v>
      </c>
    </row>
    <row r="1924" ht="15.75" customHeight="1">
      <c r="A1924" s="18" t="s">
        <v>1351</v>
      </c>
      <c r="B1924" s="18">
        <v>1994.0</v>
      </c>
      <c r="C1924" s="18" t="s">
        <v>272</v>
      </c>
      <c r="D1924" s="18">
        <v>9.0</v>
      </c>
      <c r="E1924" s="18" t="str">
        <f t="shared" si="1"/>
        <v>09/09/94</v>
      </c>
      <c r="F1924" s="18">
        <v>0.0</v>
      </c>
      <c r="G1924" s="27">
        <v>24817.25</v>
      </c>
      <c r="H1924" s="18" t="s">
        <v>140</v>
      </c>
      <c r="I1924" s="18" t="s">
        <v>140</v>
      </c>
      <c r="J1924" s="18" t="s">
        <v>570</v>
      </c>
      <c r="K1924" s="29">
        <f t="shared" si="2"/>
        <v>28</v>
      </c>
    </row>
    <row r="1925" ht="15.75" customHeight="1">
      <c r="A1925" s="18" t="s">
        <v>1348</v>
      </c>
      <c r="B1925" s="18">
        <v>1995.0</v>
      </c>
      <c r="C1925" s="18" t="s">
        <v>241</v>
      </c>
      <c r="D1925" s="18">
        <v>10.0</v>
      </c>
      <c r="E1925" s="18" t="str">
        <f t="shared" si="1"/>
        <v>10/06/95</v>
      </c>
      <c r="F1925" s="18">
        <v>0.0</v>
      </c>
      <c r="G1925" s="27">
        <v>24863.25</v>
      </c>
      <c r="H1925" s="18" t="s">
        <v>140</v>
      </c>
      <c r="I1925" s="18" t="s">
        <v>142</v>
      </c>
      <c r="J1925" s="18" t="s">
        <v>570</v>
      </c>
      <c r="K1925" s="29">
        <f t="shared" si="2"/>
        <v>27</v>
      </c>
    </row>
    <row r="1926" ht="15.75" customHeight="1">
      <c r="A1926" s="18" t="s">
        <v>1344</v>
      </c>
      <c r="B1926" s="18">
        <v>1970.0</v>
      </c>
      <c r="C1926" s="18" t="s">
        <v>209</v>
      </c>
      <c r="D1926" s="18">
        <v>26.0</v>
      </c>
      <c r="E1926" s="18" t="str">
        <f t="shared" si="1"/>
        <v>26/11/70</v>
      </c>
      <c r="F1926" s="18">
        <v>3.0</v>
      </c>
      <c r="G1926" s="27">
        <v>24869.84</v>
      </c>
      <c r="H1926" s="18" t="s">
        <v>140</v>
      </c>
      <c r="I1926" s="18" t="s">
        <v>140</v>
      </c>
      <c r="J1926" s="18" t="s">
        <v>1427</v>
      </c>
      <c r="K1926" s="29">
        <f t="shared" si="2"/>
        <v>52</v>
      </c>
    </row>
    <row r="1927" ht="15.75" customHeight="1">
      <c r="A1927" s="18" t="s">
        <v>1341</v>
      </c>
      <c r="B1927" s="18">
        <v>1969.0</v>
      </c>
      <c r="C1927" s="18" t="s">
        <v>91</v>
      </c>
      <c r="D1927" s="18">
        <v>23.0</v>
      </c>
      <c r="E1927" s="18" t="str">
        <f t="shared" si="1"/>
        <v>23/07/69</v>
      </c>
      <c r="F1927" s="18">
        <v>3.0</v>
      </c>
      <c r="G1927" s="27">
        <v>24873.38</v>
      </c>
      <c r="H1927" s="18" t="s">
        <v>140</v>
      </c>
      <c r="I1927" s="18" t="s">
        <v>219</v>
      </c>
      <c r="J1927" s="18" t="s">
        <v>2024</v>
      </c>
      <c r="K1927" s="29">
        <f t="shared" si="2"/>
        <v>53</v>
      </c>
    </row>
    <row r="1928" ht="15.75" customHeight="1">
      <c r="A1928" s="18" t="s">
        <v>1337</v>
      </c>
      <c r="B1928" s="18">
        <v>1987.0</v>
      </c>
      <c r="C1928" s="18" t="s">
        <v>241</v>
      </c>
      <c r="D1928" s="18">
        <v>14.0</v>
      </c>
      <c r="E1928" s="18" t="str">
        <f t="shared" si="1"/>
        <v>14/06/87</v>
      </c>
      <c r="F1928" s="18">
        <v>2.0</v>
      </c>
      <c r="G1928" s="27">
        <v>24915.05</v>
      </c>
      <c r="H1928" s="18" t="s">
        <v>140</v>
      </c>
      <c r="I1928" s="18" t="s">
        <v>219</v>
      </c>
      <c r="J1928" s="18" t="s">
        <v>2024</v>
      </c>
      <c r="K1928" s="29">
        <f t="shared" si="2"/>
        <v>35</v>
      </c>
    </row>
    <row r="1929" ht="15.75" customHeight="1">
      <c r="A1929" s="18" t="s">
        <v>1333</v>
      </c>
      <c r="B1929" s="18">
        <v>1975.0</v>
      </c>
      <c r="C1929" s="18" t="s">
        <v>209</v>
      </c>
      <c r="D1929" s="18">
        <v>14.0</v>
      </c>
      <c r="E1929" s="18" t="str">
        <f t="shared" si="1"/>
        <v>14/11/75</v>
      </c>
      <c r="F1929" s="18">
        <v>3.0</v>
      </c>
      <c r="G1929" s="27">
        <v>24915.22</v>
      </c>
      <c r="H1929" s="18" t="s">
        <v>140</v>
      </c>
      <c r="I1929" s="18" t="s">
        <v>142</v>
      </c>
      <c r="J1929" s="18" t="s">
        <v>325</v>
      </c>
      <c r="K1929" s="29">
        <f t="shared" si="2"/>
        <v>47</v>
      </c>
    </row>
    <row r="1930" ht="15.75" customHeight="1">
      <c r="A1930" s="18" t="s">
        <v>1329</v>
      </c>
      <c r="B1930" s="18">
        <v>1995.0</v>
      </c>
      <c r="C1930" s="18" t="s">
        <v>457</v>
      </c>
      <c r="D1930" s="18">
        <v>4.0</v>
      </c>
      <c r="E1930" s="18" t="str">
        <f t="shared" si="1"/>
        <v>04/12/95</v>
      </c>
      <c r="F1930" s="18">
        <v>0.0</v>
      </c>
      <c r="G1930" s="27">
        <v>25075.97</v>
      </c>
      <c r="H1930" s="18" t="s">
        <v>140</v>
      </c>
      <c r="I1930" s="18" t="s">
        <v>140</v>
      </c>
      <c r="J1930" s="18" t="s">
        <v>570</v>
      </c>
      <c r="K1930" s="29">
        <f t="shared" si="2"/>
        <v>27</v>
      </c>
    </row>
    <row r="1931" ht="15.75" customHeight="1">
      <c r="A1931" s="18" t="s">
        <v>1326</v>
      </c>
      <c r="B1931" s="18">
        <v>1998.0</v>
      </c>
      <c r="C1931" s="18" t="s">
        <v>241</v>
      </c>
      <c r="D1931" s="18">
        <v>14.0</v>
      </c>
      <c r="E1931" s="18" t="str">
        <f t="shared" si="1"/>
        <v>14/06/98</v>
      </c>
      <c r="F1931" s="18">
        <v>0.0</v>
      </c>
      <c r="G1931" s="27">
        <v>25081.77</v>
      </c>
      <c r="H1931" s="18" t="s">
        <v>140</v>
      </c>
      <c r="I1931" s="18" t="s">
        <v>140</v>
      </c>
      <c r="J1931" s="18" t="s">
        <v>146</v>
      </c>
      <c r="K1931" s="29">
        <f t="shared" si="2"/>
        <v>24</v>
      </c>
    </row>
    <row r="1932" ht="15.75" customHeight="1">
      <c r="A1932" s="18" t="s">
        <v>1322</v>
      </c>
      <c r="B1932" s="18">
        <v>1998.0</v>
      </c>
      <c r="C1932" s="18" t="s">
        <v>209</v>
      </c>
      <c r="D1932" s="18">
        <v>24.0</v>
      </c>
      <c r="E1932" s="18" t="str">
        <f t="shared" si="1"/>
        <v>24/11/98</v>
      </c>
      <c r="F1932" s="18">
        <v>0.0</v>
      </c>
      <c r="G1932" s="27">
        <v>25127.22</v>
      </c>
      <c r="H1932" s="18" t="s">
        <v>140</v>
      </c>
      <c r="I1932" s="18" t="s">
        <v>142</v>
      </c>
      <c r="J1932" s="18" t="s">
        <v>570</v>
      </c>
      <c r="K1932" s="29">
        <f t="shared" si="2"/>
        <v>24</v>
      </c>
    </row>
    <row r="1933" ht="15.75" customHeight="1">
      <c r="A1933" s="18" t="s">
        <v>1319</v>
      </c>
      <c r="B1933" s="18">
        <v>1975.0</v>
      </c>
      <c r="C1933" s="18" t="s">
        <v>457</v>
      </c>
      <c r="D1933" s="18">
        <v>14.0</v>
      </c>
      <c r="E1933" s="18" t="str">
        <f t="shared" si="1"/>
        <v>14/12/75</v>
      </c>
      <c r="F1933" s="18">
        <v>3.0</v>
      </c>
      <c r="G1933" s="27">
        <v>25309.49</v>
      </c>
      <c r="H1933" s="18" t="s">
        <v>140</v>
      </c>
      <c r="I1933" s="18" t="s">
        <v>219</v>
      </c>
      <c r="J1933" s="18" t="s">
        <v>570</v>
      </c>
      <c r="K1933" s="29">
        <f t="shared" si="2"/>
        <v>47</v>
      </c>
    </row>
    <row r="1934" ht="15.75" customHeight="1">
      <c r="A1934" s="18" t="s">
        <v>1315</v>
      </c>
      <c r="B1934" s="18">
        <v>1972.0</v>
      </c>
      <c r="C1934" s="18" t="s">
        <v>272</v>
      </c>
      <c r="D1934" s="18">
        <v>26.0</v>
      </c>
      <c r="E1934" s="18" t="str">
        <f t="shared" si="1"/>
        <v>26/09/72</v>
      </c>
      <c r="F1934" s="18">
        <v>2.0</v>
      </c>
      <c r="G1934" s="27">
        <v>25333.33</v>
      </c>
      <c r="H1934" s="18" t="s">
        <v>140</v>
      </c>
      <c r="I1934" s="18" t="s">
        <v>140</v>
      </c>
      <c r="J1934" s="18" t="s">
        <v>2617</v>
      </c>
      <c r="K1934" s="29">
        <f t="shared" si="2"/>
        <v>50</v>
      </c>
    </row>
    <row r="1935" ht="15.75" customHeight="1">
      <c r="A1935" s="18" t="s">
        <v>1312</v>
      </c>
      <c r="B1935" s="18">
        <v>1968.0</v>
      </c>
      <c r="C1935" s="18" t="s">
        <v>501</v>
      </c>
      <c r="D1935" s="18">
        <v>22.0</v>
      </c>
      <c r="E1935" s="18" t="str">
        <f t="shared" si="1"/>
        <v>22/08/68</v>
      </c>
      <c r="F1935" s="18">
        <v>3.0</v>
      </c>
      <c r="G1935" s="27">
        <v>25382.3</v>
      </c>
      <c r="H1935" s="18" t="s">
        <v>140</v>
      </c>
      <c r="I1935" s="18" t="s">
        <v>140</v>
      </c>
      <c r="J1935" s="18" t="s">
        <v>570</v>
      </c>
      <c r="K1935" s="29">
        <f t="shared" si="2"/>
        <v>54</v>
      </c>
    </row>
    <row r="1936" ht="15.75" customHeight="1">
      <c r="A1936" s="18" t="s">
        <v>1308</v>
      </c>
      <c r="B1936" s="18">
        <v>1968.0</v>
      </c>
      <c r="C1936" s="18" t="s">
        <v>457</v>
      </c>
      <c r="D1936" s="18">
        <v>11.0</v>
      </c>
      <c r="E1936" s="18" t="str">
        <f t="shared" si="1"/>
        <v>11/12/68</v>
      </c>
      <c r="F1936" s="18">
        <v>1.0</v>
      </c>
      <c r="G1936" s="27">
        <v>25517.11</v>
      </c>
      <c r="H1936" s="18" t="s">
        <v>140</v>
      </c>
      <c r="I1936" s="18" t="s">
        <v>142</v>
      </c>
      <c r="J1936" s="18" t="s">
        <v>2617</v>
      </c>
      <c r="K1936" s="29">
        <f t="shared" si="2"/>
        <v>54</v>
      </c>
    </row>
    <row r="1937" ht="15.75" customHeight="1">
      <c r="A1937" s="18" t="s">
        <v>1305</v>
      </c>
      <c r="B1937" s="18">
        <v>2001.0</v>
      </c>
      <c r="C1937" s="18" t="s">
        <v>501</v>
      </c>
      <c r="D1937" s="18">
        <v>2.0</v>
      </c>
      <c r="E1937" s="18" t="str">
        <f t="shared" si="1"/>
        <v>02/08/01</v>
      </c>
      <c r="F1937" s="18">
        <v>0.0</v>
      </c>
      <c r="G1937" s="27">
        <v>25648.98</v>
      </c>
      <c r="H1937" s="18" t="s">
        <v>140</v>
      </c>
      <c r="I1937" s="18" t="s">
        <v>219</v>
      </c>
      <c r="J1937" s="18" t="s">
        <v>570</v>
      </c>
      <c r="K1937" s="29">
        <f t="shared" si="2"/>
        <v>21</v>
      </c>
    </row>
    <row r="1938" ht="15.75" customHeight="1">
      <c r="A1938" s="18" t="s">
        <v>1301</v>
      </c>
      <c r="B1938" s="18">
        <v>1972.0</v>
      </c>
      <c r="C1938" s="18" t="s">
        <v>91</v>
      </c>
      <c r="D1938" s="18">
        <v>17.0</v>
      </c>
      <c r="E1938" s="18" t="str">
        <f t="shared" si="1"/>
        <v>17/07/72</v>
      </c>
      <c r="F1938" s="18">
        <v>0.0</v>
      </c>
      <c r="G1938" s="27">
        <v>25656.58</v>
      </c>
      <c r="H1938" s="18" t="s">
        <v>140</v>
      </c>
      <c r="I1938" s="18" t="s">
        <v>142</v>
      </c>
      <c r="J1938" s="18" t="s">
        <v>2024</v>
      </c>
      <c r="K1938" s="29">
        <f t="shared" si="2"/>
        <v>50</v>
      </c>
    </row>
    <row r="1939" ht="15.75" customHeight="1">
      <c r="A1939" s="18" t="s">
        <v>1297</v>
      </c>
      <c r="B1939" s="18">
        <v>1963.0</v>
      </c>
      <c r="C1939" s="18" t="s">
        <v>501</v>
      </c>
      <c r="D1939" s="18">
        <v>21.0</v>
      </c>
      <c r="E1939" s="18" t="str">
        <f t="shared" si="1"/>
        <v>21/08/63</v>
      </c>
      <c r="F1939" s="18">
        <v>0.0</v>
      </c>
      <c r="G1939" s="27">
        <v>25678.78</v>
      </c>
      <c r="H1939" s="18" t="s">
        <v>140</v>
      </c>
      <c r="I1939" s="18" t="s">
        <v>142</v>
      </c>
      <c r="J1939" s="18" t="s">
        <v>325</v>
      </c>
      <c r="K1939" s="29">
        <f t="shared" si="2"/>
        <v>59</v>
      </c>
    </row>
    <row r="1940" ht="15.75" customHeight="1">
      <c r="A1940" s="18" t="s">
        <v>1294</v>
      </c>
      <c r="B1940" s="18">
        <v>1970.0</v>
      </c>
      <c r="C1940" s="18" t="s">
        <v>457</v>
      </c>
      <c r="D1940" s="18">
        <v>3.0</v>
      </c>
      <c r="E1940" s="18" t="str">
        <f t="shared" si="1"/>
        <v>03/12/70</v>
      </c>
      <c r="F1940" s="18">
        <v>3.0</v>
      </c>
      <c r="G1940" s="27">
        <v>25992.82</v>
      </c>
      <c r="H1940" s="18" t="s">
        <v>140</v>
      </c>
      <c r="I1940" s="18" t="s">
        <v>140</v>
      </c>
      <c r="J1940" s="18" t="s">
        <v>146</v>
      </c>
      <c r="K1940" s="29">
        <f t="shared" si="2"/>
        <v>52</v>
      </c>
    </row>
    <row r="1941" ht="15.75" customHeight="1">
      <c r="A1941" s="18" t="s">
        <v>1290</v>
      </c>
      <c r="B1941" s="18">
        <v>2001.0</v>
      </c>
      <c r="C1941" s="18" t="s">
        <v>241</v>
      </c>
      <c r="D1941" s="18">
        <v>5.0</v>
      </c>
      <c r="E1941" s="18" t="str">
        <f t="shared" si="1"/>
        <v>05/06/01</v>
      </c>
      <c r="F1941" s="18">
        <v>2.0</v>
      </c>
      <c r="G1941" s="27">
        <v>26018.95</v>
      </c>
      <c r="H1941" s="18" t="s">
        <v>140</v>
      </c>
      <c r="I1941" s="18" t="s">
        <v>140</v>
      </c>
      <c r="J1941" s="18" t="s">
        <v>325</v>
      </c>
      <c r="K1941" s="29">
        <f t="shared" si="2"/>
        <v>22</v>
      </c>
    </row>
    <row r="1942" ht="15.75" customHeight="1">
      <c r="A1942" s="18" t="s">
        <v>1288</v>
      </c>
      <c r="B1942" s="18">
        <v>2000.0</v>
      </c>
      <c r="C1942" s="18" t="s">
        <v>457</v>
      </c>
      <c r="D1942" s="18">
        <v>26.0</v>
      </c>
      <c r="E1942" s="18" t="str">
        <f t="shared" si="1"/>
        <v>26/12/00</v>
      </c>
      <c r="F1942" s="18">
        <v>0.0</v>
      </c>
      <c r="G1942" s="27">
        <v>26026.97</v>
      </c>
      <c r="H1942" s="18" t="s">
        <v>140</v>
      </c>
      <c r="I1942" s="18" t="s">
        <v>142</v>
      </c>
      <c r="J1942" s="18" t="s">
        <v>570</v>
      </c>
      <c r="K1942" s="29">
        <f t="shared" si="2"/>
        <v>22</v>
      </c>
    </row>
    <row r="1943" ht="15.75" customHeight="1">
      <c r="A1943" s="18" t="s">
        <v>1284</v>
      </c>
      <c r="B1943" s="18">
        <v>1966.0</v>
      </c>
      <c r="C1943" s="18" t="s">
        <v>91</v>
      </c>
      <c r="D1943" s="18">
        <v>9.0</v>
      </c>
      <c r="E1943" s="18" t="str">
        <f t="shared" si="1"/>
        <v>09/07/66</v>
      </c>
      <c r="F1943" s="18">
        <v>1.0</v>
      </c>
      <c r="G1943" s="27">
        <v>26109.33</v>
      </c>
      <c r="H1943" s="18" t="s">
        <v>140</v>
      </c>
      <c r="I1943" s="18" t="s">
        <v>142</v>
      </c>
      <c r="J1943" s="18" t="s">
        <v>325</v>
      </c>
      <c r="K1943" s="29">
        <f t="shared" si="2"/>
        <v>56</v>
      </c>
    </row>
    <row r="1944" ht="15.75" customHeight="1">
      <c r="A1944" s="18" t="s">
        <v>1280</v>
      </c>
      <c r="B1944" s="18">
        <v>2002.0</v>
      </c>
      <c r="C1944" s="18" t="s">
        <v>517</v>
      </c>
      <c r="D1944" s="18">
        <v>11.0</v>
      </c>
      <c r="E1944" s="18" t="str">
        <f t="shared" si="1"/>
        <v>11/10/02</v>
      </c>
      <c r="F1944" s="18">
        <v>0.0</v>
      </c>
      <c r="G1944" s="27">
        <v>26125.67</v>
      </c>
      <c r="H1944" s="18" t="s">
        <v>140</v>
      </c>
      <c r="I1944" s="18" t="s">
        <v>219</v>
      </c>
      <c r="J1944" s="18" t="s">
        <v>146</v>
      </c>
      <c r="K1944" s="29">
        <f t="shared" si="2"/>
        <v>20</v>
      </c>
    </row>
    <row r="1945" ht="15.75" customHeight="1">
      <c r="A1945" s="18" t="s">
        <v>1277</v>
      </c>
      <c r="B1945" s="18">
        <v>1973.0</v>
      </c>
      <c r="C1945" s="18" t="s">
        <v>91</v>
      </c>
      <c r="D1945" s="18">
        <v>7.0</v>
      </c>
      <c r="E1945" s="18" t="str">
        <f t="shared" si="1"/>
        <v>07/07/73</v>
      </c>
      <c r="F1945" s="18">
        <v>1.0</v>
      </c>
      <c r="G1945" s="27">
        <v>26140.36</v>
      </c>
      <c r="H1945" s="18" t="s">
        <v>140</v>
      </c>
      <c r="I1945" s="18" t="s">
        <v>142</v>
      </c>
      <c r="J1945" s="18" t="s">
        <v>570</v>
      </c>
      <c r="K1945" s="29">
        <f t="shared" si="2"/>
        <v>49</v>
      </c>
    </row>
    <row r="1946" ht="15.75" customHeight="1">
      <c r="A1946" s="18" t="s">
        <v>1273</v>
      </c>
      <c r="B1946" s="18">
        <v>1975.0</v>
      </c>
      <c r="C1946" s="18" t="s">
        <v>241</v>
      </c>
      <c r="D1946" s="18">
        <v>4.0</v>
      </c>
      <c r="E1946" s="18" t="str">
        <f t="shared" si="1"/>
        <v>04/06/75</v>
      </c>
      <c r="F1946" s="18">
        <v>1.0</v>
      </c>
      <c r="G1946" s="27">
        <v>26236.58</v>
      </c>
      <c r="H1946" s="18" t="s">
        <v>140</v>
      </c>
      <c r="I1946" s="18" t="s">
        <v>219</v>
      </c>
      <c r="J1946" s="18" t="s">
        <v>570</v>
      </c>
      <c r="K1946" s="29">
        <f t="shared" si="2"/>
        <v>48</v>
      </c>
    </row>
    <row r="1947" ht="15.75" customHeight="1">
      <c r="A1947" s="18" t="s">
        <v>1270</v>
      </c>
      <c r="B1947" s="18">
        <v>2004.0</v>
      </c>
      <c r="C1947" s="18" t="s">
        <v>457</v>
      </c>
      <c r="D1947" s="18">
        <v>5.0</v>
      </c>
      <c r="E1947" s="18" t="str">
        <f t="shared" si="1"/>
        <v>05/12/04</v>
      </c>
      <c r="F1947" s="18">
        <v>0.0</v>
      </c>
      <c r="G1947" s="27">
        <v>26316.59</v>
      </c>
      <c r="H1947" s="18" t="s">
        <v>140</v>
      </c>
      <c r="I1947" s="18" t="s">
        <v>142</v>
      </c>
      <c r="J1947" s="18" t="s">
        <v>570</v>
      </c>
      <c r="K1947" s="29">
        <f t="shared" si="2"/>
        <v>18</v>
      </c>
    </row>
    <row r="1948" ht="15.75" customHeight="1">
      <c r="A1948" s="18" t="s">
        <v>1267</v>
      </c>
      <c r="B1948" s="18">
        <v>1974.0</v>
      </c>
      <c r="C1948" s="18" t="s">
        <v>272</v>
      </c>
      <c r="D1948" s="18">
        <v>21.0</v>
      </c>
      <c r="E1948" s="18" t="str">
        <f t="shared" si="1"/>
        <v>21/09/74</v>
      </c>
      <c r="F1948" s="18">
        <v>1.0</v>
      </c>
      <c r="G1948" s="27">
        <v>26392.26</v>
      </c>
      <c r="H1948" s="18" t="s">
        <v>140</v>
      </c>
      <c r="I1948" s="18" t="s">
        <v>140</v>
      </c>
      <c r="J1948" s="18" t="s">
        <v>2024</v>
      </c>
      <c r="K1948" s="29">
        <f t="shared" si="2"/>
        <v>48</v>
      </c>
    </row>
    <row r="1949" ht="15.75" customHeight="1">
      <c r="A1949" s="18" t="s">
        <v>1264</v>
      </c>
      <c r="B1949" s="18">
        <v>1970.0</v>
      </c>
      <c r="C1949" s="18" t="s">
        <v>501</v>
      </c>
      <c r="D1949" s="18">
        <v>27.0</v>
      </c>
      <c r="E1949" s="18" t="str">
        <f t="shared" si="1"/>
        <v>27/08/70</v>
      </c>
      <c r="F1949" s="18">
        <v>2.0</v>
      </c>
      <c r="G1949" s="27">
        <v>26467.1</v>
      </c>
      <c r="H1949" s="18" t="s">
        <v>140</v>
      </c>
      <c r="I1949" s="18" t="s">
        <v>142</v>
      </c>
      <c r="J1949" s="18" t="s">
        <v>325</v>
      </c>
      <c r="K1949" s="29">
        <f t="shared" si="2"/>
        <v>52</v>
      </c>
    </row>
    <row r="1950" ht="15.75" customHeight="1">
      <c r="A1950" s="18" t="s">
        <v>1260</v>
      </c>
      <c r="B1950" s="18">
        <v>2004.0</v>
      </c>
      <c r="C1950" s="18" t="s">
        <v>272</v>
      </c>
      <c r="D1950" s="18">
        <v>5.0</v>
      </c>
      <c r="E1950" s="18" t="str">
        <f t="shared" si="1"/>
        <v>05/09/04</v>
      </c>
      <c r="F1950" s="18">
        <v>0.0</v>
      </c>
      <c r="G1950" s="27">
        <v>26479.4</v>
      </c>
      <c r="H1950" s="18" t="s">
        <v>140</v>
      </c>
      <c r="I1950" s="18" t="s">
        <v>140</v>
      </c>
      <c r="J1950" s="18" t="s">
        <v>570</v>
      </c>
      <c r="K1950" s="29">
        <f t="shared" si="2"/>
        <v>18</v>
      </c>
    </row>
    <row r="1951" ht="15.75" customHeight="1">
      <c r="A1951" s="18" t="s">
        <v>1256</v>
      </c>
      <c r="B1951" s="18">
        <v>1988.0</v>
      </c>
      <c r="C1951" s="18" t="s">
        <v>91</v>
      </c>
      <c r="D1951" s="18">
        <v>22.0</v>
      </c>
      <c r="E1951" s="18" t="str">
        <f t="shared" si="1"/>
        <v>22/07/88</v>
      </c>
      <c r="F1951" s="18">
        <v>3.0</v>
      </c>
      <c r="G1951" s="27">
        <v>26607.89</v>
      </c>
      <c r="H1951" s="18" t="s">
        <v>140</v>
      </c>
      <c r="I1951" s="18" t="s">
        <v>219</v>
      </c>
      <c r="J1951" s="18" t="s">
        <v>570</v>
      </c>
      <c r="K1951" s="29">
        <f t="shared" si="2"/>
        <v>34</v>
      </c>
    </row>
    <row r="1952" ht="15.75" customHeight="1">
      <c r="A1952" s="18" t="s">
        <v>1253</v>
      </c>
      <c r="B1952" s="18">
        <v>1991.0</v>
      </c>
      <c r="C1952" s="18" t="s">
        <v>501</v>
      </c>
      <c r="D1952" s="18">
        <v>22.0</v>
      </c>
      <c r="E1952" s="18" t="str">
        <f t="shared" si="1"/>
        <v>22/08/91</v>
      </c>
      <c r="F1952" s="18">
        <v>3.0</v>
      </c>
      <c r="G1952" s="27">
        <v>26912.56</v>
      </c>
      <c r="H1952" s="18" t="s">
        <v>140</v>
      </c>
      <c r="I1952" s="18" t="s">
        <v>140</v>
      </c>
      <c r="J1952" s="18" t="s">
        <v>570</v>
      </c>
      <c r="K1952" s="29">
        <f t="shared" si="2"/>
        <v>31</v>
      </c>
    </row>
    <row r="1953" ht="15.75" customHeight="1">
      <c r="A1953" s="18" t="s">
        <v>1249</v>
      </c>
      <c r="B1953" s="18">
        <v>1958.0</v>
      </c>
      <c r="C1953" s="18" t="s">
        <v>457</v>
      </c>
      <c r="D1953" s="18">
        <v>25.0</v>
      </c>
      <c r="E1953" s="18" t="str">
        <f t="shared" si="1"/>
        <v>25/12/58</v>
      </c>
      <c r="F1953" s="18">
        <v>0.0</v>
      </c>
      <c r="G1953" s="27">
        <v>26926.51</v>
      </c>
      <c r="H1953" s="18" t="s">
        <v>140</v>
      </c>
      <c r="I1953" s="18" t="s">
        <v>219</v>
      </c>
      <c r="J1953" s="18" t="s">
        <v>146</v>
      </c>
      <c r="K1953" s="29">
        <f t="shared" si="2"/>
        <v>64</v>
      </c>
    </row>
    <row r="1954" ht="15.75" customHeight="1">
      <c r="A1954" s="18" t="s">
        <v>1245</v>
      </c>
      <c r="B1954" s="18">
        <v>2002.0</v>
      </c>
      <c r="C1954" s="18" t="s">
        <v>241</v>
      </c>
      <c r="D1954" s="18">
        <v>17.0</v>
      </c>
      <c r="E1954" s="18" t="str">
        <f t="shared" si="1"/>
        <v>17/06/02</v>
      </c>
      <c r="F1954" s="18">
        <v>0.0</v>
      </c>
      <c r="G1954" s="27">
        <v>26927.69</v>
      </c>
      <c r="H1954" s="18" t="s">
        <v>140</v>
      </c>
      <c r="I1954" s="18" t="s">
        <v>140</v>
      </c>
      <c r="J1954" s="18" t="s">
        <v>570</v>
      </c>
      <c r="K1954" s="29">
        <f t="shared" si="2"/>
        <v>20</v>
      </c>
    </row>
    <row r="1955" ht="15.75" customHeight="1">
      <c r="A1955" s="18" t="s">
        <v>1242</v>
      </c>
      <c r="B1955" s="18">
        <v>2000.0</v>
      </c>
      <c r="C1955" s="18" t="s">
        <v>209</v>
      </c>
      <c r="D1955" s="18">
        <v>9.0</v>
      </c>
      <c r="E1955" s="18" t="str">
        <f t="shared" si="1"/>
        <v>09/11/00</v>
      </c>
      <c r="F1955" s="18">
        <v>0.0</v>
      </c>
      <c r="G1955" s="27">
        <v>26936.98</v>
      </c>
      <c r="H1955" s="18" t="s">
        <v>140</v>
      </c>
      <c r="I1955" s="18" t="s">
        <v>142</v>
      </c>
      <c r="J1955" s="18" t="s">
        <v>570</v>
      </c>
      <c r="K1955" s="29">
        <f t="shared" si="2"/>
        <v>22</v>
      </c>
    </row>
    <row r="1956" ht="15.75" customHeight="1">
      <c r="A1956" s="18" t="s">
        <v>1238</v>
      </c>
      <c r="B1956" s="18">
        <v>1960.0</v>
      </c>
      <c r="C1956" s="18" t="s">
        <v>91</v>
      </c>
      <c r="D1956" s="18">
        <v>9.0</v>
      </c>
      <c r="E1956" s="18" t="str">
        <f t="shared" si="1"/>
        <v>09/07/60</v>
      </c>
      <c r="F1956" s="18">
        <v>1.0</v>
      </c>
      <c r="G1956" s="27">
        <v>27000.98</v>
      </c>
      <c r="H1956" s="18" t="s">
        <v>140</v>
      </c>
      <c r="I1956" s="18" t="s">
        <v>140</v>
      </c>
      <c r="J1956" s="18" t="s">
        <v>146</v>
      </c>
      <c r="K1956" s="29">
        <f t="shared" si="2"/>
        <v>62</v>
      </c>
    </row>
    <row r="1957" ht="15.75" customHeight="1">
      <c r="A1957" s="18" t="s">
        <v>1235</v>
      </c>
      <c r="B1957" s="18">
        <v>1958.0</v>
      </c>
      <c r="C1957" s="18" t="s">
        <v>241</v>
      </c>
      <c r="D1957" s="18">
        <v>30.0</v>
      </c>
      <c r="E1957" s="18" t="str">
        <f t="shared" si="1"/>
        <v>30/06/58</v>
      </c>
      <c r="F1957" s="18">
        <v>0.0</v>
      </c>
      <c r="G1957" s="27">
        <v>27037.91</v>
      </c>
      <c r="H1957" s="18" t="s">
        <v>140</v>
      </c>
      <c r="I1957" s="18" t="s">
        <v>140</v>
      </c>
      <c r="J1957" s="18" t="s">
        <v>146</v>
      </c>
      <c r="K1957" s="29">
        <f t="shared" si="2"/>
        <v>64</v>
      </c>
    </row>
    <row r="1958" ht="15.75" customHeight="1">
      <c r="A1958" s="18" t="s">
        <v>1232</v>
      </c>
      <c r="B1958" s="18">
        <v>1994.0</v>
      </c>
      <c r="C1958" s="18" t="s">
        <v>91</v>
      </c>
      <c r="D1958" s="18">
        <v>2.0</v>
      </c>
      <c r="E1958" s="18" t="str">
        <f t="shared" si="1"/>
        <v>02/07/94</v>
      </c>
      <c r="F1958" s="18">
        <v>0.0</v>
      </c>
      <c r="G1958" s="27">
        <v>27080.64</v>
      </c>
      <c r="H1958" s="18" t="s">
        <v>140</v>
      </c>
      <c r="I1958" s="18" t="s">
        <v>140</v>
      </c>
      <c r="J1958" s="18" t="s">
        <v>570</v>
      </c>
      <c r="K1958" s="29">
        <f t="shared" si="2"/>
        <v>28</v>
      </c>
    </row>
    <row r="1959" ht="15.75" customHeight="1">
      <c r="A1959" s="18" t="s">
        <v>1229</v>
      </c>
      <c r="B1959" s="18">
        <v>1990.0</v>
      </c>
      <c r="C1959" s="18" t="s">
        <v>457</v>
      </c>
      <c r="D1959" s="18">
        <v>13.0</v>
      </c>
      <c r="E1959" s="18" t="str">
        <f t="shared" si="1"/>
        <v>13/12/90</v>
      </c>
      <c r="F1959" s="18">
        <v>3.0</v>
      </c>
      <c r="G1959" s="27">
        <v>27092.38</v>
      </c>
      <c r="H1959" s="18" t="s">
        <v>140</v>
      </c>
      <c r="I1959" s="18" t="s">
        <v>142</v>
      </c>
      <c r="J1959" s="18" t="s">
        <v>570</v>
      </c>
      <c r="K1959" s="29">
        <f t="shared" si="2"/>
        <v>32</v>
      </c>
    </row>
    <row r="1960" ht="15.75" customHeight="1">
      <c r="A1960" s="18" t="s">
        <v>1226</v>
      </c>
      <c r="B1960" s="18">
        <v>1970.0</v>
      </c>
      <c r="C1960" s="18" t="s">
        <v>517</v>
      </c>
      <c r="D1960" s="18">
        <v>2.0</v>
      </c>
      <c r="E1960" s="18" t="str">
        <f t="shared" si="1"/>
        <v>02/10/70</v>
      </c>
      <c r="F1960" s="18">
        <v>0.0</v>
      </c>
      <c r="G1960" s="27">
        <v>27117.99</v>
      </c>
      <c r="H1960" s="18" t="s">
        <v>140</v>
      </c>
      <c r="I1960" s="18" t="s">
        <v>140</v>
      </c>
      <c r="J1960" s="18" t="s">
        <v>146</v>
      </c>
      <c r="K1960" s="29">
        <f t="shared" si="2"/>
        <v>52</v>
      </c>
    </row>
    <row r="1961" ht="15.75" customHeight="1">
      <c r="A1961" s="18" t="s">
        <v>1223</v>
      </c>
      <c r="B1961" s="18">
        <v>1965.0</v>
      </c>
      <c r="C1961" s="18" t="s">
        <v>457</v>
      </c>
      <c r="D1961" s="18">
        <v>21.0</v>
      </c>
      <c r="E1961" s="18" t="str">
        <f t="shared" si="1"/>
        <v>21/12/65</v>
      </c>
      <c r="F1961" s="18">
        <v>0.0</v>
      </c>
      <c r="G1961" s="27">
        <v>27218.44</v>
      </c>
      <c r="H1961" s="18" t="s">
        <v>140</v>
      </c>
      <c r="I1961" s="18" t="s">
        <v>219</v>
      </c>
      <c r="J1961" s="18" t="s">
        <v>2617</v>
      </c>
      <c r="K1961" s="29">
        <f t="shared" si="2"/>
        <v>57</v>
      </c>
    </row>
    <row r="1962" ht="15.75" customHeight="1">
      <c r="A1962" s="18" t="s">
        <v>1220</v>
      </c>
      <c r="B1962" s="18">
        <v>1999.0</v>
      </c>
      <c r="C1962" s="18" t="s">
        <v>457</v>
      </c>
      <c r="D1962" s="18">
        <v>2.0</v>
      </c>
      <c r="E1962" s="18" t="str">
        <f t="shared" si="1"/>
        <v>02/12/99</v>
      </c>
      <c r="F1962" s="18">
        <v>0.0</v>
      </c>
      <c r="G1962" s="27">
        <v>27236.96</v>
      </c>
      <c r="H1962" s="18" t="s">
        <v>140</v>
      </c>
      <c r="I1962" s="18" t="s">
        <v>219</v>
      </c>
      <c r="J1962" s="18" t="s">
        <v>570</v>
      </c>
      <c r="K1962" s="29">
        <f t="shared" si="2"/>
        <v>23</v>
      </c>
    </row>
    <row r="1963" ht="15.75" customHeight="1">
      <c r="A1963" s="18" t="s">
        <v>1216</v>
      </c>
      <c r="B1963" s="18">
        <v>1968.0</v>
      </c>
      <c r="C1963" s="18" t="s">
        <v>241</v>
      </c>
      <c r="D1963" s="18">
        <v>6.0</v>
      </c>
      <c r="E1963" s="18" t="str">
        <f t="shared" si="1"/>
        <v>06/06/68</v>
      </c>
      <c r="F1963" s="18">
        <v>3.0</v>
      </c>
      <c r="G1963" s="27">
        <v>27322.73</v>
      </c>
      <c r="H1963" s="18" t="s">
        <v>140</v>
      </c>
      <c r="I1963" s="18" t="s">
        <v>140</v>
      </c>
      <c r="J1963" s="18" t="s">
        <v>146</v>
      </c>
      <c r="K1963" s="29">
        <f t="shared" si="2"/>
        <v>55</v>
      </c>
    </row>
    <row r="1964" ht="15.75" customHeight="1">
      <c r="A1964" s="18" t="s">
        <v>1213</v>
      </c>
      <c r="B1964" s="18">
        <v>1969.0</v>
      </c>
      <c r="C1964" s="18" t="s">
        <v>517</v>
      </c>
      <c r="D1964" s="18">
        <v>16.0</v>
      </c>
      <c r="E1964" s="18" t="str">
        <f t="shared" si="1"/>
        <v>16/10/69</v>
      </c>
      <c r="F1964" s="18">
        <v>0.0</v>
      </c>
      <c r="G1964" s="27">
        <v>27346.04</v>
      </c>
      <c r="H1964" s="18" t="s">
        <v>140</v>
      </c>
      <c r="I1964" s="18" t="s">
        <v>140</v>
      </c>
      <c r="J1964" s="18" t="s">
        <v>146</v>
      </c>
      <c r="K1964" s="29">
        <f t="shared" si="2"/>
        <v>53</v>
      </c>
    </row>
    <row r="1965" ht="15.75" customHeight="1">
      <c r="A1965" s="18" t="s">
        <v>1210</v>
      </c>
      <c r="B1965" s="18">
        <v>1988.0</v>
      </c>
      <c r="C1965" s="18" t="s">
        <v>272</v>
      </c>
      <c r="D1965" s="18">
        <v>15.0</v>
      </c>
      <c r="E1965" s="18" t="str">
        <f t="shared" si="1"/>
        <v>15/09/88</v>
      </c>
      <c r="F1965" s="18">
        <v>2.0</v>
      </c>
      <c r="G1965" s="27">
        <v>27375.9</v>
      </c>
      <c r="H1965" s="18" t="s">
        <v>140</v>
      </c>
      <c r="I1965" s="18" t="s">
        <v>142</v>
      </c>
      <c r="J1965" s="18" t="s">
        <v>1414</v>
      </c>
      <c r="K1965" s="29">
        <f t="shared" si="2"/>
        <v>34</v>
      </c>
    </row>
    <row r="1966" ht="15.75" customHeight="1">
      <c r="A1966" s="18" t="s">
        <v>1206</v>
      </c>
      <c r="B1966" s="18">
        <v>1985.0</v>
      </c>
      <c r="C1966" s="18" t="s">
        <v>457</v>
      </c>
      <c r="D1966" s="18">
        <v>5.0</v>
      </c>
      <c r="E1966" s="18" t="str">
        <f t="shared" si="1"/>
        <v>05/12/85</v>
      </c>
      <c r="F1966" s="18">
        <v>3.0</v>
      </c>
      <c r="G1966" s="27">
        <v>27432.73</v>
      </c>
      <c r="H1966" s="18" t="s">
        <v>140</v>
      </c>
      <c r="I1966" s="18" t="s">
        <v>219</v>
      </c>
      <c r="J1966" s="18" t="s">
        <v>570</v>
      </c>
      <c r="K1966" s="29">
        <f t="shared" si="2"/>
        <v>37</v>
      </c>
    </row>
    <row r="1967" ht="15.75" customHeight="1">
      <c r="A1967" s="18" t="s">
        <v>1203</v>
      </c>
      <c r="B1967" s="18">
        <v>1981.0</v>
      </c>
      <c r="C1967" s="18" t="s">
        <v>517</v>
      </c>
      <c r="D1967" s="18">
        <v>3.0</v>
      </c>
      <c r="E1967" s="18" t="str">
        <f t="shared" si="1"/>
        <v>03/10/81</v>
      </c>
      <c r="F1967" s="18">
        <v>1.0</v>
      </c>
      <c r="G1967" s="27">
        <v>27495.59</v>
      </c>
      <c r="H1967" s="18" t="s">
        <v>140</v>
      </c>
      <c r="I1967" s="18" t="s">
        <v>219</v>
      </c>
      <c r="J1967" s="18" t="s">
        <v>570</v>
      </c>
      <c r="K1967" s="29">
        <f t="shared" si="2"/>
        <v>41</v>
      </c>
    </row>
    <row r="1968" ht="15.75" customHeight="1">
      <c r="A1968" s="18" t="s">
        <v>1199</v>
      </c>
      <c r="B1968" s="18">
        <v>1965.0</v>
      </c>
      <c r="C1968" s="18" t="s">
        <v>517</v>
      </c>
      <c r="D1968" s="18">
        <v>19.0</v>
      </c>
      <c r="E1968" s="18" t="str">
        <f t="shared" si="1"/>
        <v>19/10/65</v>
      </c>
      <c r="F1968" s="18">
        <v>0.0</v>
      </c>
      <c r="G1968" s="27">
        <v>27533.91</v>
      </c>
      <c r="H1968" s="18" t="s">
        <v>140</v>
      </c>
      <c r="I1968" s="18" t="s">
        <v>142</v>
      </c>
      <c r="J1968" s="18" t="s">
        <v>146</v>
      </c>
      <c r="K1968" s="29">
        <f t="shared" si="2"/>
        <v>57</v>
      </c>
    </row>
    <row r="1969" ht="15.75" customHeight="1">
      <c r="A1969" s="18" t="s">
        <v>1196</v>
      </c>
      <c r="B1969" s="18">
        <v>1984.0</v>
      </c>
      <c r="C1969" s="18" t="s">
        <v>91</v>
      </c>
      <c r="D1969" s="18">
        <v>22.0</v>
      </c>
      <c r="E1969" s="18" t="str">
        <f t="shared" si="1"/>
        <v>22/07/84</v>
      </c>
      <c r="F1969" s="18">
        <v>3.0</v>
      </c>
      <c r="G1969" s="27">
        <v>27534.53</v>
      </c>
      <c r="H1969" s="18" t="s">
        <v>140</v>
      </c>
      <c r="I1969" s="18" t="s">
        <v>140</v>
      </c>
      <c r="J1969" s="18" t="s">
        <v>570</v>
      </c>
      <c r="K1969" s="29">
        <f t="shared" si="2"/>
        <v>38</v>
      </c>
    </row>
    <row r="1970" ht="15.75" customHeight="1">
      <c r="A1970" s="18" t="s">
        <v>1192</v>
      </c>
      <c r="B1970" s="18">
        <v>1985.0</v>
      </c>
      <c r="C1970" s="18" t="s">
        <v>209</v>
      </c>
      <c r="D1970" s="18">
        <v>6.0</v>
      </c>
      <c r="E1970" s="18" t="str">
        <f t="shared" si="1"/>
        <v>06/11/85</v>
      </c>
      <c r="F1970" s="18">
        <v>3.0</v>
      </c>
      <c r="G1970" s="27">
        <v>27598.93</v>
      </c>
      <c r="H1970" s="18" t="s">
        <v>140</v>
      </c>
      <c r="I1970" s="18" t="s">
        <v>219</v>
      </c>
      <c r="J1970" s="18" t="s">
        <v>570</v>
      </c>
      <c r="K1970" s="29">
        <f t="shared" si="2"/>
        <v>37</v>
      </c>
    </row>
    <row r="1971" ht="15.75" customHeight="1">
      <c r="A1971" s="18" t="s">
        <v>1188</v>
      </c>
      <c r="B1971" s="18">
        <v>1992.0</v>
      </c>
      <c r="C1971" s="18" t="s">
        <v>241</v>
      </c>
      <c r="D1971" s="18">
        <v>11.0</v>
      </c>
      <c r="E1971" s="18" t="str">
        <f t="shared" si="1"/>
        <v>11/06/92</v>
      </c>
      <c r="F1971" s="18">
        <v>0.0</v>
      </c>
      <c r="G1971" s="27">
        <v>27614.71</v>
      </c>
      <c r="H1971" s="18" t="s">
        <v>140</v>
      </c>
      <c r="I1971" s="18" t="s">
        <v>142</v>
      </c>
      <c r="J1971" s="18" t="s">
        <v>570</v>
      </c>
      <c r="K1971" s="29">
        <f t="shared" si="2"/>
        <v>30</v>
      </c>
    </row>
    <row r="1972" ht="15.75" customHeight="1">
      <c r="A1972" s="18" t="s">
        <v>1184</v>
      </c>
      <c r="B1972" s="18">
        <v>1997.0</v>
      </c>
      <c r="C1972" s="18" t="s">
        <v>272</v>
      </c>
      <c r="D1972" s="18">
        <v>9.0</v>
      </c>
      <c r="E1972" s="18" t="str">
        <f t="shared" si="1"/>
        <v>09/09/97</v>
      </c>
      <c r="F1972" s="18">
        <v>0.0</v>
      </c>
      <c r="G1972" s="27">
        <v>27619.36</v>
      </c>
      <c r="H1972" s="18" t="s">
        <v>140</v>
      </c>
      <c r="I1972" s="18" t="s">
        <v>142</v>
      </c>
      <c r="J1972" s="18" t="s">
        <v>570</v>
      </c>
      <c r="K1972" s="29">
        <f t="shared" si="2"/>
        <v>25</v>
      </c>
    </row>
    <row r="1973" ht="15.75" customHeight="1">
      <c r="A1973" s="18" t="s">
        <v>1181</v>
      </c>
      <c r="B1973" s="18">
        <v>1997.0</v>
      </c>
      <c r="C1973" s="18" t="s">
        <v>517</v>
      </c>
      <c r="D1973" s="18">
        <v>7.0</v>
      </c>
      <c r="E1973" s="18" t="str">
        <f t="shared" si="1"/>
        <v>07/10/97</v>
      </c>
      <c r="F1973" s="18">
        <v>0.0</v>
      </c>
      <c r="G1973" s="27">
        <v>27625.17</v>
      </c>
      <c r="H1973" s="18" t="s">
        <v>219</v>
      </c>
      <c r="I1973" s="18" t="s">
        <v>219</v>
      </c>
      <c r="J1973" s="18" t="s">
        <v>570</v>
      </c>
      <c r="K1973" s="29">
        <f t="shared" si="2"/>
        <v>25</v>
      </c>
    </row>
    <row r="1974" ht="15.75" customHeight="1">
      <c r="A1974" s="18" t="s">
        <v>1177</v>
      </c>
      <c r="B1974" s="18">
        <v>1992.0</v>
      </c>
      <c r="C1974" s="18" t="s">
        <v>91</v>
      </c>
      <c r="D1974" s="18">
        <v>3.0</v>
      </c>
      <c r="E1974" s="18" t="str">
        <f t="shared" si="1"/>
        <v>03/07/92</v>
      </c>
      <c r="F1974" s="18">
        <v>0.0</v>
      </c>
      <c r="G1974" s="27">
        <v>27696.11</v>
      </c>
      <c r="H1974" s="18" t="s">
        <v>219</v>
      </c>
      <c r="I1974" s="18" t="s">
        <v>140</v>
      </c>
      <c r="J1974" s="18" t="s">
        <v>570</v>
      </c>
      <c r="K1974" s="29">
        <f t="shared" si="2"/>
        <v>30</v>
      </c>
    </row>
    <row r="1975" ht="15.75" customHeight="1">
      <c r="A1975" s="18" t="s">
        <v>1173</v>
      </c>
      <c r="B1975" s="18">
        <v>2002.0</v>
      </c>
      <c r="C1975" s="18" t="s">
        <v>457</v>
      </c>
      <c r="D1975" s="18">
        <v>6.0</v>
      </c>
      <c r="E1975" s="18" t="str">
        <f t="shared" si="1"/>
        <v>06/12/02</v>
      </c>
      <c r="F1975" s="18">
        <v>1.0</v>
      </c>
      <c r="G1975" s="27">
        <v>27724.29</v>
      </c>
      <c r="H1975" s="18" t="s">
        <v>219</v>
      </c>
      <c r="I1975" s="18" t="s">
        <v>142</v>
      </c>
      <c r="J1975" s="18" t="s">
        <v>146</v>
      </c>
      <c r="K1975" s="29">
        <f t="shared" si="2"/>
        <v>20</v>
      </c>
    </row>
    <row r="1976" ht="15.75" customHeight="1">
      <c r="A1976" s="18" t="s">
        <v>1169</v>
      </c>
      <c r="B1976" s="18">
        <v>1960.0</v>
      </c>
      <c r="C1976" s="18" t="s">
        <v>91</v>
      </c>
      <c r="D1976" s="18">
        <v>6.0</v>
      </c>
      <c r="E1976" s="18" t="str">
        <f t="shared" si="1"/>
        <v>06/07/60</v>
      </c>
      <c r="F1976" s="18">
        <v>0.0</v>
      </c>
      <c r="G1976" s="27">
        <v>27808.73</v>
      </c>
      <c r="H1976" s="18" t="s">
        <v>219</v>
      </c>
      <c r="I1976" s="18" t="s">
        <v>219</v>
      </c>
      <c r="J1976" s="18" t="s">
        <v>146</v>
      </c>
      <c r="K1976" s="29">
        <f t="shared" si="2"/>
        <v>62</v>
      </c>
    </row>
    <row r="1977" ht="15.75" customHeight="1">
      <c r="A1977" s="18" t="s">
        <v>1166</v>
      </c>
      <c r="B1977" s="18">
        <v>1985.0</v>
      </c>
      <c r="C1977" s="18" t="s">
        <v>457</v>
      </c>
      <c r="D1977" s="18">
        <v>4.0</v>
      </c>
      <c r="E1977" s="18" t="str">
        <f t="shared" si="1"/>
        <v>04/12/85</v>
      </c>
      <c r="F1977" s="18">
        <v>3.0</v>
      </c>
      <c r="G1977" s="27">
        <v>27849.94</v>
      </c>
      <c r="H1977" s="18" t="s">
        <v>219</v>
      </c>
      <c r="I1977" s="18" t="s">
        <v>219</v>
      </c>
      <c r="J1977" s="18" t="s">
        <v>570</v>
      </c>
      <c r="K1977" s="29">
        <f t="shared" si="2"/>
        <v>37</v>
      </c>
    </row>
    <row r="1978" ht="15.75" customHeight="1">
      <c r="A1978" s="18" t="s">
        <v>1162</v>
      </c>
      <c r="B1978" s="18">
        <v>1989.0</v>
      </c>
      <c r="C1978" s="18" t="s">
        <v>209</v>
      </c>
      <c r="D1978" s="18">
        <v>21.0</v>
      </c>
      <c r="E1978" s="18" t="str">
        <f t="shared" si="1"/>
        <v>21/11/89</v>
      </c>
      <c r="F1978" s="18">
        <v>3.0</v>
      </c>
      <c r="G1978" s="27">
        <v>27925.86</v>
      </c>
      <c r="H1978" s="18" t="s">
        <v>219</v>
      </c>
      <c r="I1978" s="18" t="s">
        <v>140</v>
      </c>
      <c r="J1978" s="18" t="s">
        <v>570</v>
      </c>
      <c r="K1978" s="29">
        <f t="shared" si="2"/>
        <v>33</v>
      </c>
    </row>
    <row r="1979" ht="15.75" customHeight="1">
      <c r="A1979" s="18" t="s">
        <v>1160</v>
      </c>
      <c r="B1979" s="18">
        <v>1991.0</v>
      </c>
      <c r="C1979" s="18" t="s">
        <v>241</v>
      </c>
      <c r="D1979" s="18">
        <v>4.0</v>
      </c>
      <c r="E1979" s="18" t="str">
        <f t="shared" si="1"/>
        <v>04/06/91</v>
      </c>
      <c r="F1979" s="18">
        <v>3.0</v>
      </c>
      <c r="G1979" s="27">
        <v>27931.11</v>
      </c>
      <c r="H1979" s="18" t="s">
        <v>219</v>
      </c>
      <c r="I1979" s="18" t="s">
        <v>142</v>
      </c>
      <c r="J1979" s="18" t="s">
        <v>570</v>
      </c>
      <c r="K1979" s="29">
        <f t="shared" si="2"/>
        <v>32</v>
      </c>
    </row>
    <row r="1980" ht="15.75" customHeight="1">
      <c r="A1980" s="18" t="s">
        <v>1156</v>
      </c>
      <c r="B1980" s="18">
        <v>1961.0</v>
      </c>
      <c r="C1980" s="18" t="s">
        <v>91</v>
      </c>
      <c r="D1980" s="18">
        <v>28.0</v>
      </c>
      <c r="E1980" s="18" t="str">
        <f t="shared" si="1"/>
        <v>28/07/61</v>
      </c>
      <c r="F1980" s="18">
        <v>3.0</v>
      </c>
      <c r="G1980" s="27">
        <v>27941.29</v>
      </c>
      <c r="H1980" s="18" t="s">
        <v>219</v>
      </c>
      <c r="I1980" s="18" t="s">
        <v>142</v>
      </c>
      <c r="J1980" s="18" t="s">
        <v>570</v>
      </c>
      <c r="K1980" s="29">
        <f t="shared" si="2"/>
        <v>61</v>
      </c>
    </row>
    <row r="1981" ht="15.75" customHeight="1">
      <c r="A1981" s="18" t="s">
        <v>1153</v>
      </c>
      <c r="B1981" s="18">
        <v>1999.0</v>
      </c>
      <c r="C1981" s="18" t="s">
        <v>457</v>
      </c>
      <c r="D1981" s="18">
        <v>21.0</v>
      </c>
      <c r="E1981" s="18" t="str">
        <f t="shared" si="1"/>
        <v>21/12/99</v>
      </c>
      <c r="F1981" s="18">
        <v>0.0</v>
      </c>
      <c r="G1981" s="27">
        <v>27980.77</v>
      </c>
      <c r="H1981" s="18" t="s">
        <v>219</v>
      </c>
      <c r="I1981" s="18" t="s">
        <v>219</v>
      </c>
      <c r="J1981" s="18" t="s">
        <v>570</v>
      </c>
      <c r="K1981" s="29">
        <f t="shared" si="2"/>
        <v>23</v>
      </c>
    </row>
    <row r="1982" ht="15.75" customHeight="1">
      <c r="A1982" s="18" t="s">
        <v>1150</v>
      </c>
      <c r="B1982" s="18">
        <v>1985.0</v>
      </c>
      <c r="C1982" s="18" t="s">
        <v>209</v>
      </c>
      <c r="D1982" s="18">
        <v>29.0</v>
      </c>
      <c r="E1982" s="18" t="str">
        <f t="shared" si="1"/>
        <v>29/11/85</v>
      </c>
      <c r="F1982" s="18">
        <v>3.0</v>
      </c>
      <c r="G1982" s="27">
        <v>28006.94</v>
      </c>
      <c r="H1982" s="18" t="s">
        <v>219</v>
      </c>
      <c r="I1982" s="18" t="s">
        <v>140</v>
      </c>
      <c r="J1982" s="18" t="s">
        <v>570</v>
      </c>
      <c r="K1982" s="29">
        <f t="shared" si="2"/>
        <v>37</v>
      </c>
    </row>
    <row r="1983" ht="15.75" customHeight="1">
      <c r="A1983" s="18" t="s">
        <v>1146</v>
      </c>
      <c r="B1983" s="18">
        <v>1960.0</v>
      </c>
      <c r="C1983" s="18" t="s">
        <v>209</v>
      </c>
      <c r="D1983" s="18">
        <v>22.0</v>
      </c>
      <c r="E1983" s="18" t="str">
        <f t="shared" si="1"/>
        <v>22/11/60</v>
      </c>
      <c r="F1983" s="18">
        <v>0.0</v>
      </c>
      <c r="G1983" s="27">
        <v>28101.33</v>
      </c>
      <c r="H1983" s="18" t="s">
        <v>219</v>
      </c>
      <c r="I1983" s="18" t="s">
        <v>140</v>
      </c>
      <c r="J1983" s="18" t="s">
        <v>1421</v>
      </c>
      <c r="K1983" s="29">
        <f t="shared" si="2"/>
        <v>62</v>
      </c>
    </row>
    <row r="1984" ht="15.75" customHeight="1">
      <c r="A1984" s="18" t="s">
        <v>1143</v>
      </c>
      <c r="B1984" s="18">
        <v>1999.0</v>
      </c>
      <c r="C1984" s="18" t="s">
        <v>272</v>
      </c>
      <c r="D1984" s="18">
        <v>6.0</v>
      </c>
      <c r="E1984" s="18" t="str">
        <f t="shared" si="1"/>
        <v>06/09/99</v>
      </c>
      <c r="F1984" s="18">
        <v>0.0</v>
      </c>
      <c r="G1984" s="27">
        <v>28245.34</v>
      </c>
      <c r="H1984" s="18" t="s">
        <v>219</v>
      </c>
      <c r="I1984" s="18" t="s">
        <v>142</v>
      </c>
      <c r="J1984" s="18" t="s">
        <v>570</v>
      </c>
      <c r="K1984" s="29">
        <f t="shared" si="2"/>
        <v>23</v>
      </c>
    </row>
    <row r="1985" ht="15.75" customHeight="1">
      <c r="A1985" s="18" t="s">
        <v>1139</v>
      </c>
      <c r="B1985" s="18">
        <v>1963.0</v>
      </c>
      <c r="C1985" s="18" t="s">
        <v>209</v>
      </c>
      <c r="D1985" s="18">
        <v>25.0</v>
      </c>
      <c r="E1985" s="18" t="str">
        <f t="shared" si="1"/>
        <v>25/11/63</v>
      </c>
      <c r="F1985" s="18">
        <v>1.0</v>
      </c>
      <c r="G1985" s="27">
        <v>28287.9</v>
      </c>
      <c r="H1985" s="18" t="s">
        <v>219</v>
      </c>
      <c r="I1985" s="18" t="s">
        <v>219</v>
      </c>
      <c r="J1985" s="18" t="s">
        <v>146</v>
      </c>
      <c r="K1985" s="29">
        <f t="shared" si="2"/>
        <v>59</v>
      </c>
    </row>
    <row r="1986" ht="15.75" customHeight="1">
      <c r="A1986" s="18" t="s">
        <v>1135</v>
      </c>
      <c r="B1986" s="18">
        <v>1990.0</v>
      </c>
      <c r="C1986" s="18" t="s">
        <v>457</v>
      </c>
      <c r="D1986" s="18">
        <v>24.0</v>
      </c>
      <c r="E1986" s="18" t="str">
        <f t="shared" si="1"/>
        <v>24/12/90</v>
      </c>
      <c r="F1986" s="18">
        <v>3.0</v>
      </c>
      <c r="G1986" s="27">
        <v>28302.33</v>
      </c>
      <c r="H1986" s="18" t="s">
        <v>219</v>
      </c>
      <c r="I1986" s="18" t="s">
        <v>140</v>
      </c>
      <c r="J1986" s="18" t="s">
        <v>570</v>
      </c>
      <c r="K1986" s="29">
        <f t="shared" si="2"/>
        <v>32</v>
      </c>
    </row>
    <row r="1987" ht="15.75" customHeight="1">
      <c r="A1987" s="18" t="s">
        <v>1132</v>
      </c>
      <c r="B1987" s="18">
        <v>1977.0</v>
      </c>
      <c r="C1987" s="18" t="s">
        <v>457</v>
      </c>
      <c r="D1987" s="18">
        <v>2.0</v>
      </c>
      <c r="E1987" s="18" t="str">
        <f t="shared" si="1"/>
        <v>02/12/77</v>
      </c>
      <c r="F1987" s="18">
        <v>1.0</v>
      </c>
      <c r="G1987" s="27">
        <v>28340.19</v>
      </c>
      <c r="H1987" s="18" t="s">
        <v>219</v>
      </c>
      <c r="I1987" s="18" t="s">
        <v>140</v>
      </c>
      <c r="J1987" s="18" t="s">
        <v>325</v>
      </c>
      <c r="K1987" s="29">
        <f t="shared" si="2"/>
        <v>45</v>
      </c>
    </row>
    <row r="1988" ht="15.75" customHeight="1">
      <c r="A1988" s="18" t="s">
        <v>1129</v>
      </c>
      <c r="B1988" s="18">
        <v>1974.0</v>
      </c>
      <c r="C1988" s="18" t="s">
        <v>272</v>
      </c>
      <c r="D1988" s="18">
        <v>16.0</v>
      </c>
      <c r="E1988" s="18" t="str">
        <f t="shared" si="1"/>
        <v>16/09/74</v>
      </c>
      <c r="F1988" s="18">
        <v>1.0</v>
      </c>
      <c r="G1988" s="27">
        <v>28468.92</v>
      </c>
      <c r="H1988" s="18" t="s">
        <v>219</v>
      </c>
      <c r="I1988" s="18" t="s">
        <v>219</v>
      </c>
      <c r="J1988" s="18" t="s">
        <v>325</v>
      </c>
      <c r="K1988" s="29">
        <f t="shared" si="2"/>
        <v>48</v>
      </c>
    </row>
    <row r="1989" ht="15.75" customHeight="1">
      <c r="A1989" s="18" t="s">
        <v>1125</v>
      </c>
      <c r="B1989" s="18">
        <v>1982.0</v>
      </c>
      <c r="C1989" s="18" t="s">
        <v>457</v>
      </c>
      <c r="D1989" s="18">
        <v>11.0</v>
      </c>
      <c r="E1989" s="18" t="str">
        <f t="shared" si="1"/>
        <v>11/12/82</v>
      </c>
      <c r="F1989" s="18">
        <v>1.0</v>
      </c>
      <c r="G1989" s="27">
        <v>28476.73</v>
      </c>
      <c r="H1989" s="18" t="s">
        <v>219</v>
      </c>
      <c r="I1989" s="18" t="s">
        <v>140</v>
      </c>
      <c r="J1989" s="18" t="s">
        <v>325</v>
      </c>
      <c r="K1989" s="29">
        <f t="shared" si="2"/>
        <v>40</v>
      </c>
    </row>
    <row r="1990" ht="15.75" customHeight="1">
      <c r="A1990" s="18" t="s">
        <v>1121</v>
      </c>
      <c r="B1990" s="18">
        <v>1985.0</v>
      </c>
      <c r="C1990" s="18" t="s">
        <v>272</v>
      </c>
      <c r="D1990" s="18">
        <v>27.0</v>
      </c>
      <c r="E1990" s="18" t="str">
        <f t="shared" si="1"/>
        <v>27/09/85</v>
      </c>
      <c r="F1990" s="18">
        <v>3.0</v>
      </c>
      <c r="G1990" s="27">
        <v>28542.86</v>
      </c>
      <c r="H1990" s="18" t="s">
        <v>219</v>
      </c>
      <c r="I1990" s="18" t="s">
        <v>142</v>
      </c>
      <c r="J1990" s="18" t="s">
        <v>570</v>
      </c>
      <c r="K1990" s="29">
        <f t="shared" si="2"/>
        <v>37</v>
      </c>
    </row>
    <row r="1991" ht="15.75" customHeight="1">
      <c r="A1991" s="18" t="s">
        <v>1118</v>
      </c>
      <c r="B1991" s="18">
        <v>1990.0</v>
      </c>
      <c r="C1991" s="18" t="s">
        <v>457</v>
      </c>
      <c r="D1991" s="18">
        <v>5.0</v>
      </c>
      <c r="E1991" s="18" t="str">
        <f t="shared" si="1"/>
        <v>05/12/90</v>
      </c>
      <c r="F1991" s="18">
        <v>3.0</v>
      </c>
      <c r="G1991" s="27">
        <v>28716.14</v>
      </c>
      <c r="H1991" s="18" t="s">
        <v>219</v>
      </c>
      <c r="I1991" s="18" t="s">
        <v>142</v>
      </c>
      <c r="J1991" s="18" t="s">
        <v>570</v>
      </c>
      <c r="K1991" s="29">
        <f t="shared" si="2"/>
        <v>32</v>
      </c>
    </row>
    <row r="1992" ht="15.75" customHeight="1">
      <c r="A1992" s="18" t="s">
        <v>1114</v>
      </c>
      <c r="B1992" s="18">
        <v>1961.0</v>
      </c>
      <c r="C1992" s="18" t="s">
        <v>501</v>
      </c>
      <c r="D1992" s="18">
        <v>3.0</v>
      </c>
      <c r="E1992" s="18" t="str">
        <f t="shared" si="1"/>
        <v>03/08/61</v>
      </c>
      <c r="F1992" s="18">
        <v>1.0</v>
      </c>
      <c r="G1992" s="27">
        <v>28868.66</v>
      </c>
      <c r="H1992" s="18" t="s">
        <v>219</v>
      </c>
      <c r="I1992" s="18" t="s">
        <v>140</v>
      </c>
      <c r="J1992" s="18" t="s">
        <v>325</v>
      </c>
      <c r="K1992" s="29">
        <f t="shared" si="2"/>
        <v>61</v>
      </c>
    </row>
    <row r="1993" ht="15.75" customHeight="1">
      <c r="A1993" s="18" t="s">
        <v>1110</v>
      </c>
      <c r="B1993" s="18">
        <v>1962.0</v>
      </c>
      <c r="C1993" s="18" t="s">
        <v>91</v>
      </c>
      <c r="D1993" s="18">
        <v>25.0</v>
      </c>
      <c r="E1993" s="18" t="str">
        <f t="shared" si="1"/>
        <v>25/07/62</v>
      </c>
      <c r="F1993" s="18">
        <v>0.0</v>
      </c>
      <c r="G1993" s="27">
        <v>28923.14</v>
      </c>
      <c r="H1993" s="18" t="s">
        <v>219</v>
      </c>
      <c r="I1993" s="18" t="s">
        <v>219</v>
      </c>
      <c r="J1993" s="18" t="s">
        <v>325</v>
      </c>
      <c r="K1993" s="29">
        <f t="shared" si="2"/>
        <v>60</v>
      </c>
    </row>
    <row r="1994" ht="15.75" customHeight="1">
      <c r="A1994" s="18" t="s">
        <v>1107</v>
      </c>
      <c r="B1994" s="18">
        <v>1959.0</v>
      </c>
      <c r="C1994" s="18" t="s">
        <v>457</v>
      </c>
      <c r="D1994" s="18">
        <v>5.0</v>
      </c>
      <c r="E1994" s="18" t="str">
        <f t="shared" si="1"/>
        <v>05/12/59</v>
      </c>
      <c r="F1994" s="18">
        <v>0.0</v>
      </c>
      <c r="G1994" s="27">
        <v>28950.47</v>
      </c>
      <c r="H1994" s="18" t="s">
        <v>219</v>
      </c>
      <c r="I1994" s="18" t="s">
        <v>219</v>
      </c>
      <c r="J1994" s="18" t="s">
        <v>325</v>
      </c>
      <c r="K1994" s="29">
        <f t="shared" si="2"/>
        <v>63</v>
      </c>
    </row>
    <row r="1995" ht="15.75" customHeight="1">
      <c r="A1995" s="18" t="s">
        <v>1104</v>
      </c>
      <c r="B1995" s="18">
        <v>2003.0</v>
      </c>
      <c r="C1995" s="18" t="s">
        <v>272</v>
      </c>
      <c r="D1995" s="18">
        <v>1.0</v>
      </c>
      <c r="E1995" s="18" t="str">
        <f t="shared" si="1"/>
        <v>01/09/03</v>
      </c>
      <c r="F1995" s="18">
        <v>0.0</v>
      </c>
      <c r="G1995" s="27">
        <v>28998.68</v>
      </c>
      <c r="H1995" s="18" t="s">
        <v>219</v>
      </c>
      <c r="I1995" s="18" t="s">
        <v>142</v>
      </c>
      <c r="J1995" s="18" t="s">
        <v>570</v>
      </c>
      <c r="K1995" s="29">
        <f t="shared" si="2"/>
        <v>19</v>
      </c>
    </row>
    <row r="1996" ht="15.75" customHeight="1">
      <c r="A1996" s="18" t="s">
        <v>1101</v>
      </c>
      <c r="B1996" s="18">
        <v>1992.0</v>
      </c>
      <c r="C1996" s="18" t="s">
        <v>91</v>
      </c>
      <c r="D1996" s="18">
        <v>7.0</v>
      </c>
      <c r="E1996" s="18" t="str">
        <f t="shared" si="1"/>
        <v>07/07/92</v>
      </c>
      <c r="F1996" s="18">
        <v>0.0</v>
      </c>
      <c r="G1996" s="27">
        <v>29007.82</v>
      </c>
      <c r="H1996" s="18" t="s">
        <v>219</v>
      </c>
      <c r="I1996" s="18" t="s">
        <v>142</v>
      </c>
      <c r="J1996" s="18" t="s">
        <v>570</v>
      </c>
      <c r="K1996" s="29">
        <f t="shared" si="2"/>
        <v>30</v>
      </c>
    </row>
    <row r="1997" ht="15.75" customHeight="1">
      <c r="A1997" s="18" t="s">
        <v>1097</v>
      </c>
      <c r="B1997" s="18">
        <v>1980.0</v>
      </c>
      <c r="C1997" s="18" t="s">
        <v>91</v>
      </c>
      <c r="D1997" s="18">
        <v>14.0</v>
      </c>
      <c r="E1997" s="18" t="str">
        <f t="shared" si="1"/>
        <v>14/07/80</v>
      </c>
      <c r="F1997" s="18">
        <v>2.0</v>
      </c>
      <c r="G1997" s="27">
        <v>29114.21</v>
      </c>
      <c r="H1997" s="18" t="s">
        <v>219</v>
      </c>
      <c r="I1997" s="18" t="s">
        <v>142</v>
      </c>
      <c r="J1997" s="18" t="s">
        <v>570</v>
      </c>
      <c r="K1997" s="29">
        <f t="shared" si="2"/>
        <v>42</v>
      </c>
    </row>
    <row r="1998" ht="15.75" customHeight="1">
      <c r="A1998" s="18" t="s">
        <v>1095</v>
      </c>
      <c r="B1998" s="18">
        <v>1978.0</v>
      </c>
      <c r="C1998" s="18" t="s">
        <v>209</v>
      </c>
      <c r="D1998" s="18">
        <v>29.0</v>
      </c>
      <c r="E1998" s="18" t="str">
        <f t="shared" si="1"/>
        <v>29/11/78</v>
      </c>
      <c r="F1998" s="18">
        <v>2.0</v>
      </c>
      <c r="G1998" s="27">
        <v>29114.77</v>
      </c>
      <c r="H1998" s="18" t="s">
        <v>219</v>
      </c>
      <c r="I1998" s="18" t="s">
        <v>219</v>
      </c>
      <c r="J1998" s="18" t="s">
        <v>570</v>
      </c>
      <c r="K1998" s="29">
        <f t="shared" si="2"/>
        <v>44</v>
      </c>
    </row>
    <row r="1999" ht="15.75" customHeight="1">
      <c r="A1999" s="18" t="s">
        <v>1091</v>
      </c>
      <c r="B1999" s="18">
        <v>1961.0</v>
      </c>
      <c r="C1999" s="18" t="s">
        <v>457</v>
      </c>
      <c r="D1999" s="18">
        <v>24.0</v>
      </c>
      <c r="E1999" s="18" t="str">
        <f t="shared" si="1"/>
        <v>24/12/61</v>
      </c>
      <c r="F1999" s="18">
        <v>0.0</v>
      </c>
      <c r="G1999" s="27">
        <v>29141.36</v>
      </c>
      <c r="H1999" s="18" t="s">
        <v>219</v>
      </c>
      <c r="I1999" s="18" t="s">
        <v>142</v>
      </c>
      <c r="J1999" s="18" t="s">
        <v>325</v>
      </c>
      <c r="K1999" s="29">
        <f t="shared" si="2"/>
        <v>61</v>
      </c>
    </row>
    <row r="2000" ht="15.75" customHeight="1">
      <c r="A2000" s="18" t="s">
        <v>1087</v>
      </c>
      <c r="B2000" s="18">
        <v>1976.0</v>
      </c>
      <c r="C2000" s="18" t="s">
        <v>209</v>
      </c>
      <c r="D2000" s="18">
        <v>8.0</v>
      </c>
      <c r="E2000" s="18" t="str">
        <f t="shared" si="1"/>
        <v>08/11/76</v>
      </c>
      <c r="F2000" s="18">
        <v>2.0</v>
      </c>
      <c r="G2000" s="27">
        <v>29160.39</v>
      </c>
      <c r="H2000" s="18" t="s">
        <v>219</v>
      </c>
      <c r="I2000" s="18" t="s">
        <v>140</v>
      </c>
      <c r="J2000" s="18" t="s">
        <v>570</v>
      </c>
      <c r="K2000" s="29">
        <f t="shared" si="2"/>
        <v>46</v>
      </c>
    </row>
    <row r="2001" ht="15.75" customHeight="1">
      <c r="A2001" s="18" t="s">
        <v>1084</v>
      </c>
      <c r="B2001" s="18">
        <v>1969.0</v>
      </c>
      <c r="C2001" s="18" t="s">
        <v>91</v>
      </c>
      <c r="D2001" s="18">
        <v>9.0</v>
      </c>
      <c r="E2001" s="18" t="str">
        <f t="shared" si="1"/>
        <v>09/07/69</v>
      </c>
      <c r="F2001" s="18">
        <v>2.0</v>
      </c>
      <c r="G2001" s="27">
        <v>29186.48</v>
      </c>
      <c r="H2001" s="18" t="s">
        <v>219</v>
      </c>
      <c r="I2001" s="18" t="s">
        <v>142</v>
      </c>
      <c r="J2001" s="18" t="s">
        <v>2024</v>
      </c>
      <c r="K2001" s="29">
        <f t="shared" si="2"/>
        <v>53</v>
      </c>
    </row>
    <row r="2002" ht="15.75" customHeight="1">
      <c r="A2002" s="18" t="s">
        <v>1081</v>
      </c>
      <c r="B2002" s="18">
        <v>1978.0</v>
      </c>
      <c r="C2002" s="18" t="s">
        <v>91</v>
      </c>
      <c r="D2002" s="18">
        <v>21.0</v>
      </c>
      <c r="E2002" s="18" t="str">
        <f t="shared" si="1"/>
        <v>21/07/78</v>
      </c>
      <c r="F2002" s="18">
        <v>2.0</v>
      </c>
      <c r="G2002" s="27">
        <v>29227.6</v>
      </c>
      <c r="H2002" s="18" t="s">
        <v>219</v>
      </c>
      <c r="I2002" s="18" t="s">
        <v>142</v>
      </c>
      <c r="J2002" s="18" t="s">
        <v>325</v>
      </c>
      <c r="K2002" s="29">
        <f t="shared" si="2"/>
        <v>44</v>
      </c>
    </row>
    <row r="2003" ht="15.75" customHeight="1">
      <c r="A2003" s="18" t="s">
        <v>1078</v>
      </c>
      <c r="B2003" s="18">
        <v>1958.0</v>
      </c>
      <c r="C2003" s="18" t="s">
        <v>241</v>
      </c>
      <c r="D2003" s="18">
        <v>5.0</v>
      </c>
      <c r="E2003" s="18" t="str">
        <f t="shared" si="1"/>
        <v>05/06/58</v>
      </c>
      <c r="F2003" s="18">
        <v>0.0</v>
      </c>
      <c r="G2003" s="27">
        <v>29330.98</v>
      </c>
      <c r="H2003" s="18" t="s">
        <v>219</v>
      </c>
      <c r="I2003" s="18" t="s">
        <v>140</v>
      </c>
      <c r="J2003" s="18" t="s">
        <v>325</v>
      </c>
      <c r="K2003" s="29">
        <f t="shared" si="2"/>
        <v>65</v>
      </c>
    </row>
    <row r="2004" ht="15.75" customHeight="1">
      <c r="A2004" s="18" t="s">
        <v>1075</v>
      </c>
      <c r="B2004" s="18">
        <v>1985.0</v>
      </c>
      <c r="C2004" s="18" t="s">
        <v>209</v>
      </c>
      <c r="D2004" s="18">
        <v>7.0</v>
      </c>
      <c r="E2004" s="18" t="str">
        <f t="shared" si="1"/>
        <v>07/11/85</v>
      </c>
      <c r="F2004" s="18">
        <v>3.0</v>
      </c>
      <c r="G2004" s="27">
        <v>29352.56</v>
      </c>
      <c r="H2004" s="18" t="s">
        <v>219</v>
      </c>
      <c r="I2004" s="18" t="s">
        <v>219</v>
      </c>
      <c r="J2004" s="18" t="s">
        <v>570</v>
      </c>
      <c r="K2004" s="29">
        <f t="shared" si="2"/>
        <v>37</v>
      </c>
    </row>
    <row r="2005" ht="15.75" customHeight="1">
      <c r="A2005" s="18" t="s">
        <v>1071</v>
      </c>
      <c r="B2005" s="18">
        <v>1987.0</v>
      </c>
      <c r="C2005" s="18" t="s">
        <v>91</v>
      </c>
      <c r="D2005" s="18">
        <v>16.0</v>
      </c>
      <c r="E2005" s="18" t="str">
        <f t="shared" si="1"/>
        <v>16/07/87</v>
      </c>
      <c r="F2005" s="18">
        <v>3.0</v>
      </c>
      <c r="G2005" s="27">
        <v>29443.59</v>
      </c>
      <c r="H2005" s="18" t="s">
        <v>219</v>
      </c>
      <c r="I2005" s="18" t="s">
        <v>219</v>
      </c>
      <c r="J2005" s="18" t="s">
        <v>570</v>
      </c>
      <c r="K2005" s="29">
        <f t="shared" si="2"/>
        <v>35</v>
      </c>
    </row>
    <row r="2006" ht="15.75" customHeight="1">
      <c r="A2006" s="18" t="s">
        <v>1068</v>
      </c>
      <c r="B2006" s="18">
        <v>1959.0</v>
      </c>
      <c r="C2006" s="18" t="s">
        <v>517</v>
      </c>
      <c r="D2006" s="18">
        <v>20.0</v>
      </c>
      <c r="E2006" s="18" t="str">
        <f t="shared" si="1"/>
        <v>20/10/59</v>
      </c>
      <c r="F2006" s="18">
        <v>0.0</v>
      </c>
      <c r="G2006" s="27">
        <v>29523.17</v>
      </c>
      <c r="H2006" s="18" t="s">
        <v>219</v>
      </c>
      <c r="I2006" s="18" t="s">
        <v>140</v>
      </c>
      <c r="J2006" s="18" t="s">
        <v>2024</v>
      </c>
      <c r="K2006" s="29">
        <f t="shared" si="2"/>
        <v>63</v>
      </c>
    </row>
    <row r="2007" ht="15.75" customHeight="1">
      <c r="A2007" s="18" t="s">
        <v>1064</v>
      </c>
      <c r="B2007" s="18">
        <v>1975.0</v>
      </c>
      <c r="C2007" s="18" t="s">
        <v>209</v>
      </c>
      <c r="D2007" s="18">
        <v>3.0</v>
      </c>
      <c r="E2007" s="18" t="str">
        <f t="shared" si="1"/>
        <v>03/11/75</v>
      </c>
      <c r="F2007" s="18">
        <v>1.0</v>
      </c>
      <c r="G2007" s="27">
        <v>29583.8</v>
      </c>
      <c r="H2007" s="18" t="s">
        <v>219</v>
      </c>
      <c r="I2007" s="18" t="s">
        <v>219</v>
      </c>
      <c r="J2007" s="18" t="s">
        <v>570</v>
      </c>
      <c r="K2007" s="29">
        <f t="shared" si="2"/>
        <v>47</v>
      </c>
    </row>
    <row r="2008" ht="15.75" customHeight="1">
      <c r="A2008" s="18" t="s">
        <v>1061</v>
      </c>
      <c r="B2008" s="18">
        <v>1993.0</v>
      </c>
      <c r="C2008" s="18" t="s">
        <v>91</v>
      </c>
      <c r="D2008" s="18">
        <v>27.0</v>
      </c>
      <c r="E2008" s="18" t="str">
        <f t="shared" si="1"/>
        <v>27/07/93</v>
      </c>
      <c r="F2008" s="18">
        <v>0.0</v>
      </c>
      <c r="G2008" s="27">
        <v>29622.69</v>
      </c>
      <c r="H2008" s="18" t="s">
        <v>219</v>
      </c>
      <c r="I2008" s="18" t="s">
        <v>219</v>
      </c>
      <c r="J2008" s="18" t="s">
        <v>570</v>
      </c>
      <c r="K2008" s="29">
        <f t="shared" si="2"/>
        <v>29</v>
      </c>
    </row>
    <row r="2009" ht="15.75" customHeight="1">
      <c r="A2009" s="18" t="s">
        <v>1058</v>
      </c>
      <c r="B2009" s="18">
        <v>1973.0</v>
      </c>
      <c r="C2009" s="18" t="s">
        <v>501</v>
      </c>
      <c r="D2009" s="18">
        <v>23.0</v>
      </c>
      <c r="E2009" s="18" t="str">
        <f t="shared" si="1"/>
        <v>23/08/73</v>
      </c>
      <c r="F2009" s="18">
        <v>0.0</v>
      </c>
      <c r="G2009" s="27">
        <v>29757.69</v>
      </c>
      <c r="H2009" s="18" t="s">
        <v>219</v>
      </c>
      <c r="I2009" s="18" t="s">
        <v>142</v>
      </c>
      <c r="J2009" s="18" t="s">
        <v>570</v>
      </c>
      <c r="K2009" s="29">
        <f t="shared" si="2"/>
        <v>49</v>
      </c>
    </row>
    <row r="2010" ht="15.75" customHeight="1">
      <c r="A2010" s="18" t="s">
        <v>1055</v>
      </c>
      <c r="B2010" s="18">
        <v>1998.0</v>
      </c>
      <c r="C2010" s="18" t="s">
        <v>241</v>
      </c>
      <c r="D2010" s="18">
        <v>20.0</v>
      </c>
      <c r="E2010" s="18" t="str">
        <f t="shared" si="1"/>
        <v>20/06/98</v>
      </c>
      <c r="F2010" s="18">
        <v>0.0</v>
      </c>
      <c r="G2010" s="27">
        <v>29760.6</v>
      </c>
      <c r="H2010" s="18" t="s">
        <v>219</v>
      </c>
      <c r="I2010" s="18" t="s">
        <v>140</v>
      </c>
      <c r="J2010" s="18" t="s">
        <v>570</v>
      </c>
      <c r="K2010" s="29">
        <f t="shared" si="2"/>
        <v>24</v>
      </c>
    </row>
    <row r="2011" ht="15.75" customHeight="1">
      <c r="A2011" s="18" t="s">
        <v>1051</v>
      </c>
      <c r="B2011" s="18">
        <v>1981.0</v>
      </c>
      <c r="C2011" s="18" t="s">
        <v>501</v>
      </c>
      <c r="D2011" s="18">
        <v>13.0</v>
      </c>
      <c r="E2011" s="18" t="str">
        <f t="shared" si="1"/>
        <v>13/08/81</v>
      </c>
      <c r="F2011" s="18">
        <v>1.0</v>
      </c>
      <c r="G2011" s="27">
        <v>29816.64</v>
      </c>
      <c r="H2011" s="18" t="s">
        <v>219</v>
      </c>
      <c r="I2011" s="18" t="s">
        <v>140</v>
      </c>
      <c r="J2011" s="18" t="s">
        <v>570</v>
      </c>
      <c r="K2011" s="29">
        <f t="shared" si="2"/>
        <v>41</v>
      </c>
    </row>
    <row r="2012" ht="15.75" customHeight="1">
      <c r="A2012" s="18" t="s">
        <v>1049</v>
      </c>
      <c r="B2012" s="18">
        <v>1982.0</v>
      </c>
      <c r="C2012" s="18" t="s">
        <v>517</v>
      </c>
      <c r="D2012" s="18">
        <v>29.0</v>
      </c>
      <c r="E2012" s="18" t="str">
        <f t="shared" si="1"/>
        <v>29/10/82</v>
      </c>
      <c r="F2012" s="18">
        <v>3.0</v>
      </c>
      <c r="G2012" s="27">
        <v>29818.76</v>
      </c>
      <c r="H2012" s="18" t="s">
        <v>219</v>
      </c>
      <c r="I2012" s="18" t="s">
        <v>219</v>
      </c>
      <c r="J2012" s="18" t="s">
        <v>325</v>
      </c>
      <c r="K2012" s="29">
        <f t="shared" si="2"/>
        <v>40</v>
      </c>
    </row>
    <row r="2013" ht="15.75" customHeight="1">
      <c r="A2013" s="18" t="s">
        <v>1046</v>
      </c>
      <c r="B2013" s="18">
        <v>1989.0</v>
      </c>
      <c r="C2013" s="18" t="s">
        <v>457</v>
      </c>
      <c r="D2013" s="18">
        <v>30.0</v>
      </c>
      <c r="E2013" s="18" t="str">
        <f t="shared" si="1"/>
        <v>30/12/89</v>
      </c>
      <c r="F2013" s="18">
        <v>3.0</v>
      </c>
      <c r="G2013" s="27">
        <v>29852.48</v>
      </c>
      <c r="H2013" s="18" t="s">
        <v>219</v>
      </c>
      <c r="I2013" s="18" t="s">
        <v>142</v>
      </c>
      <c r="J2013" s="18" t="s">
        <v>570</v>
      </c>
      <c r="K2013" s="29">
        <f t="shared" si="2"/>
        <v>33</v>
      </c>
    </row>
    <row r="2014" ht="15.75" customHeight="1">
      <c r="A2014" s="18" t="s">
        <v>1043</v>
      </c>
      <c r="B2014" s="18">
        <v>1975.0</v>
      </c>
      <c r="C2014" s="18" t="s">
        <v>501</v>
      </c>
      <c r="D2014" s="18">
        <v>19.0</v>
      </c>
      <c r="E2014" s="18" t="str">
        <f t="shared" si="1"/>
        <v>19/08/75</v>
      </c>
      <c r="F2014" s="18">
        <v>1.0</v>
      </c>
      <c r="G2014" s="27">
        <v>29899.25</v>
      </c>
      <c r="H2014" s="18" t="s">
        <v>219</v>
      </c>
      <c r="I2014" s="18" t="s">
        <v>142</v>
      </c>
      <c r="J2014" s="18" t="s">
        <v>570</v>
      </c>
      <c r="K2014" s="29">
        <f t="shared" si="2"/>
        <v>47</v>
      </c>
    </row>
    <row r="2015" ht="15.75" customHeight="1">
      <c r="A2015" s="18" t="s">
        <v>1039</v>
      </c>
      <c r="B2015" s="18">
        <v>1988.0</v>
      </c>
      <c r="C2015" s="18" t="s">
        <v>457</v>
      </c>
      <c r="D2015" s="18">
        <v>30.0</v>
      </c>
      <c r="E2015" s="18" t="str">
        <f t="shared" si="1"/>
        <v>30/12/88</v>
      </c>
      <c r="F2015" s="18">
        <v>3.0</v>
      </c>
      <c r="G2015" s="27">
        <v>29929.56</v>
      </c>
      <c r="H2015" s="18" t="s">
        <v>219</v>
      </c>
      <c r="I2015" s="18" t="s">
        <v>219</v>
      </c>
      <c r="J2015" s="18" t="s">
        <v>570</v>
      </c>
      <c r="K2015" s="29">
        <f t="shared" si="2"/>
        <v>34</v>
      </c>
    </row>
    <row r="2016" ht="15.75" customHeight="1">
      <c r="A2016" s="18" t="s">
        <v>1036</v>
      </c>
      <c r="B2016" s="18">
        <v>1976.0</v>
      </c>
      <c r="C2016" s="18" t="s">
        <v>241</v>
      </c>
      <c r="D2016" s="18">
        <v>12.0</v>
      </c>
      <c r="E2016" s="18" t="str">
        <f t="shared" si="1"/>
        <v>12/06/76</v>
      </c>
      <c r="F2016" s="18">
        <v>2.0</v>
      </c>
      <c r="G2016" s="27">
        <v>29933.75</v>
      </c>
      <c r="H2016" s="18" t="s">
        <v>219</v>
      </c>
      <c r="I2016" s="18" t="s">
        <v>219</v>
      </c>
      <c r="J2016" s="18" t="s">
        <v>570</v>
      </c>
      <c r="K2016" s="29">
        <f t="shared" si="2"/>
        <v>46</v>
      </c>
    </row>
    <row r="2017" ht="15.75" customHeight="1">
      <c r="A2017" s="18" t="s">
        <v>1033</v>
      </c>
      <c r="B2017" s="18">
        <v>1991.0</v>
      </c>
      <c r="C2017" s="18" t="s">
        <v>517</v>
      </c>
      <c r="D2017" s="18">
        <v>5.0</v>
      </c>
      <c r="E2017" s="18" t="str">
        <f t="shared" si="1"/>
        <v>05/10/91</v>
      </c>
      <c r="F2017" s="18">
        <v>3.0</v>
      </c>
      <c r="G2017" s="27">
        <v>29969.67</v>
      </c>
      <c r="H2017" s="18" t="s">
        <v>219</v>
      </c>
      <c r="I2017" s="18" t="s">
        <v>219</v>
      </c>
      <c r="J2017" s="18" t="s">
        <v>570</v>
      </c>
      <c r="K2017" s="29">
        <f t="shared" si="2"/>
        <v>31</v>
      </c>
    </row>
    <row r="2018" ht="15.75" customHeight="1">
      <c r="A2018" s="18" t="s">
        <v>1031</v>
      </c>
      <c r="B2018" s="18">
        <v>1981.0</v>
      </c>
      <c r="C2018" s="18" t="s">
        <v>501</v>
      </c>
      <c r="D2018" s="18">
        <v>4.0</v>
      </c>
      <c r="E2018" s="18" t="str">
        <f t="shared" si="1"/>
        <v>04/08/81</v>
      </c>
      <c r="F2018" s="18">
        <v>1.0</v>
      </c>
      <c r="G2018" s="27">
        <v>30026.87</v>
      </c>
      <c r="H2018" s="18" t="s">
        <v>140</v>
      </c>
      <c r="I2018" s="18" t="s">
        <v>142</v>
      </c>
      <c r="J2018" s="18" t="s">
        <v>325</v>
      </c>
      <c r="K2018" s="29">
        <f t="shared" si="2"/>
        <v>41</v>
      </c>
    </row>
    <row r="2019" ht="15.75" customHeight="1">
      <c r="A2019" s="18" t="s">
        <v>1028</v>
      </c>
      <c r="B2019" s="18">
        <v>1967.0</v>
      </c>
      <c r="C2019" s="18" t="s">
        <v>241</v>
      </c>
      <c r="D2019" s="18">
        <v>16.0</v>
      </c>
      <c r="E2019" s="18" t="str">
        <f t="shared" si="1"/>
        <v>16/06/67</v>
      </c>
      <c r="F2019" s="18">
        <v>3.0</v>
      </c>
      <c r="G2019" s="27">
        <v>30063.58</v>
      </c>
      <c r="H2019" s="18" t="s">
        <v>219</v>
      </c>
      <c r="I2019" s="18" t="s">
        <v>219</v>
      </c>
      <c r="J2019" s="18" t="s">
        <v>325</v>
      </c>
      <c r="K2019" s="29">
        <f t="shared" si="2"/>
        <v>55</v>
      </c>
    </row>
    <row r="2020" ht="15.75" customHeight="1">
      <c r="A2020" s="18" t="s">
        <v>1024</v>
      </c>
      <c r="B2020" s="18">
        <v>1979.0</v>
      </c>
      <c r="C2020" s="18" t="s">
        <v>272</v>
      </c>
      <c r="D2020" s="18">
        <v>2.0</v>
      </c>
      <c r="E2020" s="18" t="str">
        <f t="shared" si="1"/>
        <v>02/09/79</v>
      </c>
      <c r="F2020" s="18">
        <v>2.0</v>
      </c>
      <c r="G2020" s="27">
        <v>30095.97</v>
      </c>
      <c r="H2020" s="18" t="s">
        <v>140</v>
      </c>
      <c r="I2020" s="18" t="s">
        <v>142</v>
      </c>
      <c r="J2020" s="18" t="s">
        <v>570</v>
      </c>
      <c r="K2020" s="29">
        <f t="shared" si="2"/>
        <v>43</v>
      </c>
    </row>
    <row r="2021" ht="15.75" customHeight="1">
      <c r="A2021" s="18" t="s">
        <v>1021</v>
      </c>
      <c r="B2021" s="18">
        <v>1971.0</v>
      </c>
      <c r="C2021" s="18" t="s">
        <v>457</v>
      </c>
      <c r="D2021" s="18">
        <v>25.0</v>
      </c>
      <c r="E2021" s="18" t="str">
        <f t="shared" si="1"/>
        <v>25/12/71</v>
      </c>
      <c r="F2021" s="18">
        <v>0.0</v>
      </c>
      <c r="G2021" s="27">
        <v>30134.75</v>
      </c>
      <c r="H2021" s="18" t="s">
        <v>140</v>
      </c>
      <c r="I2021" s="18" t="s">
        <v>142</v>
      </c>
      <c r="J2021" s="18" t="s">
        <v>570</v>
      </c>
      <c r="K2021" s="29">
        <f t="shared" si="2"/>
        <v>51</v>
      </c>
    </row>
    <row r="2022" ht="15.75" customHeight="1">
      <c r="A2022" s="18" t="s">
        <v>1017</v>
      </c>
      <c r="B2022" s="18">
        <v>1958.0</v>
      </c>
      <c r="C2022" s="18" t="s">
        <v>501</v>
      </c>
      <c r="D2022" s="18">
        <v>11.0</v>
      </c>
      <c r="E2022" s="18" t="str">
        <f t="shared" si="1"/>
        <v>11/08/58</v>
      </c>
      <c r="F2022" s="18">
        <v>1.0</v>
      </c>
      <c r="G2022" s="27">
        <v>30166.62</v>
      </c>
      <c r="H2022" s="18" t="s">
        <v>219</v>
      </c>
      <c r="I2022" s="18" t="s">
        <v>142</v>
      </c>
      <c r="J2022" s="18" t="s">
        <v>325</v>
      </c>
      <c r="K2022" s="29">
        <f t="shared" si="2"/>
        <v>64</v>
      </c>
    </row>
    <row r="2023" ht="15.75" customHeight="1">
      <c r="A2023" s="18" t="s">
        <v>1014</v>
      </c>
      <c r="B2023" s="18">
        <v>1963.0</v>
      </c>
      <c r="C2023" s="18" t="s">
        <v>272</v>
      </c>
      <c r="D2023" s="18">
        <v>13.0</v>
      </c>
      <c r="E2023" s="18" t="str">
        <f t="shared" si="1"/>
        <v>13/09/63</v>
      </c>
      <c r="F2023" s="18">
        <v>3.0</v>
      </c>
      <c r="G2023" s="27">
        <v>30184.94</v>
      </c>
      <c r="H2023" s="18" t="s">
        <v>219</v>
      </c>
      <c r="I2023" s="18" t="s">
        <v>219</v>
      </c>
      <c r="J2023" s="18" t="s">
        <v>2191</v>
      </c>
      <c r="K2023" s="29">
        <f t="shared" si="2"/>
        <v>59</v>
      </c>
    </row>
    <row r="2024" ht="15.75" customHeight="1">
      <c r="A2024" s="18" t="s">
        <v>1012</v>
      </c>
      <c r="B2024" s="18">
        <v>1962.0</v>
      </c>
      <c r="C2024" s="18" t="s">
        <v>272</v>
      </c>
      <c r="D2024" s="18">
        <v>15.0</v>
      </c>
      <c r="E2024" s="18" t="str">
        <f t="shared" si="1"/>
        <v>15/09/62</v>
      </c>
      <c r="F2024" s="18">
        <v>0.0</v>
      </c>
      <c r="G2024" s="27">
        <v>30260.0</v>
      </c>
      <c r="H2024" s="18" t="s">
        <v>219</v>
      </c>
      <c r="I2024" s="18" t="s">
        <v>219</v>
      </c>
      <c r="J2024" s="18" t="s">
        <v>2191</v>
      </c>
      <c r="K2024" s="29">
        <f t="shared" si="2"/>
        <v>60</v>
      </c>
    </row>
    <row r="2025" ht="15.75" customHeight="1">
      <c r="A2025" s="18" t="s">
        <v>1009</v>
      </c>
      <c r="B2025" s="18">
        <v>1972.0</v>
      </c>
      <c r="C2025" s="18" t="s">
        <v>91</v>
      </c>
      <c r="D2025" s="18">
        <v>24.0</v>
      </c>
      <c r="E2025" s="18" t="str">
        <f t="shared" si="1"/>
        <v>24/07/72</v>
      </c>
      <c r="F2025" s="18">
        <v>2.0</v>
      </c>
      <c r="G2025" s="27">
        <v>30284.64</v>
      </c>
      <c r="H2025" s="18" t="s">
        <v>219</v>
      </c>
      <c r="I2025" s="18" t="s">
        <v>219</v>
      </c>
      <c r="J2025" s="18" t="s">
        <v>325</v>
      </c>
      <c r="K2025" s="29">
        <f t="shared" si="2"/>
        <v>50</v>
      </c>
    </row>
    <row r="2026" ht="15.75" customHeight="1">
      <c r="A2026" s="18" t="s">
        <v>1006</v>
      </c>
      <c r="B2026" s="18">
        <v>2004.0</v>
      </c>
      <c r="C2026" s="18" t="s">
        <v>241</v>
      </c>
      <c r="D2026" s="18">
        <v>1.0</v>
      </c>
      <c r="E2026" s="18" t="str">
        <f t="shared" si="1"/>
        <v>01/06/04</v>
      </c>
      <c r="F2026" s="18">
        <v>0.0</v>
      </c>
      <c r="G2026" s="27">
        <v>30328.27</v>
      </c>
      <c r="H2026" s="18" t="s">
        <v>140</v>
      </c>
      <c r="I2026" s="18" t="s">
        <v>140</v>
      </c>
      <c r="J2026" s="18" t="s">
        <v>570</v>
      </c>
      <c r="K2026" s="29">
        <f t="shared" si="2"/>
        <v>19</v>
      </c>
    </row>
    <row r="2027" ht="15.75" customHeight="1">
      <c r="A2027" s="18" t="s">
        <v>1003</v>
      </c>
      <c r="B2027" s="18">
        <v>1969.0</v>
      </c>
      <c r="C2027" s="18" t="s">
        <v>91</v>
      </c>
      <c r="D2027" s="18">
        <v>30.0</v>
      </c>
      <c r="E2027" s="18" t="str">
        <f t="shared" si="1"/>
        <v>30/07/69</v>
      </c>
      <c r="F2027" s="18">
        <v>0.0</v>
      </c>
      <c r="G2027" s="27">
        <v>30366.93</v>
      </c>
      <c r="H2027" s="18" t="s">
        <v>140</v>
      </c>
      <c r="I2027" s="18" t="s">
        <v>140</v>
      </c>
      <c r="J2027" s="18" t="s">
        <v>570</v>
      </c>
      <c r="K2027" s="29">
        <f t="shared" si="2"/>
        <v>53</v>
      </c>
    </row>
    <row r="2028" ht="15.75" customHeight="1">
      <c r="A2028" s="18" t="s">
        <v>999</v>
      </c>
      <c r="B2028" s="18">
        <v>1976.0</v>
      </c>
      <c r="C2028" s="18" t="s">
        <v>272</v>
      </c>
      <c r="D2028" s="18">
        <v>3.0</v>
      </c>
      <c r="E2028" s="18" t="str">
        <f t="shared" si="1"/>
        <v>03/09/76</v>
      </c>
      <c r="F2028" s="18">
        <v>2.0</v>
      </c>
      <c r="G2028" s="27">
        <v>30409.53</v>
      </c>
      <c r="H2028" s="18" t="s">
        <v>140</v>
      </c>
      <c r="I2028" s="18" t="s">
        <v>142</v>
      </c>
      <c r="J2028" s="18" t="s">
        <v>325</v>
      </c>
      <c r="K2028" s="29">
        <f t="shared" si="2"/>
        <v>46</v>
      </c>
    </row>
    <row r="2029" ht="15.75" customHeight="1">
      <c r="A2029" s="18" t="s">
        <v>996</v>
      </c>
      <c r="B2029" s="18">
        <v>1998.0</v>
      </c>
      <c r="C2029" s="18" t="s">
        <v>517</v>
      </c>
      <c r="D2029" s="18">
        <v>28.0</v>
      </c>
      <c r="E2029" s="18" t="str">
        <f t="shared" si="1"/>
        <v>28/10/98</v>
      </c>
      <c r="F2029" s="18">
        <v>0.0</v>
      </c>
      <c r="G2029" s="27">
        <v>30422.03</v>
      </c>
      <c r="H2029" s="18" t="s">
        <v>140</v>
      </c>
      <c r="I2029" s="18" t="s">
        <v>142</v>
      </c>
      <c r="J2029" s="18" t="s">
        <v>570</v>
      </c>
      <c r="K2029" s="29">
        <f t="shared" si="2"/>
        <v>24</v>
      </c>
    </row>
    <row r="2030" ht="15.75" customHeight="1">
      <c r="A2030" s="18" t="s">
        <v>994</v>
      </c>
      <c r="B2030" s="18">
        <v>1983.0</v>
      </c>
      <c r="C2030" s="18" t="s">
        <v>272</v>
      </c>
      <c r="D2030" s="18">
        <v>3.0</v>
      </c>
      <c r="E2030" s="18" t="str">
        <f t="shared" si="1"/>
        <v>03/09/83</v>
      </c>
      <c r="F2030" s="18">
        <v>3.0</v>
      </c>
      <c r="G2030" s="27">
        <v>30457.37</v>
      </c>
      <c r="H2030" s="18" t="s">
        <v>140</v>
      </c>
      <c r="I2030" s="18" t="s">
        <v>219</v>
      </c>
      <c r="J2030" s="18" t="s">
        <v>325</v>
      </c>
      <c r="K2030" s="29">
        <f t="shared" si="2"/>
        <v>39</v>
      </c>
    </row>
    <row r="2031" ht="15.75" customHeight="1">
      <c r="A2031" s="18" t="s">
        <v>991</v>
      </c>
      <c r="B2031" s="18">
        <v>1986.0</v>
      </c>
      <c r="C2031" s="18" t="s">
        <v>501</v>
      </c>
      <c r="D2031" s="18">
        <v>10.0</v>
      </c>
      <c r="E2031" s="18" t="str">
        <f t="shared" si="1"/>
        <v>10/08/86</v>
      </c>
      <c r="F2031" s="18">
        <v>3.0</v>
      </c>
      <c r="G2031" s="27">
        <v>30530.5</v>
      </c>
      <c r="H2031" s="18" t="s">
        <v>140</v>
      </c>
      <c r="I2031" s="18" t="s">
        <v>219</v>
      </c>
      <c r="J2031" s="18" t="s">
        <v>570</v>
      </c>
      <c r="K2031" s="29">
        <f t="shared" si="2"/>
        <v>36</v>
      </c>
    </row>
    <row r="2032" ht="15.75" customHeight="1">
      <c r="A2032" s="18" t="s">
        <v>987</v>
      </c>
      <c r="B2032" s="18">
        <v>1970.0</v>
      </c>
      <c r="C2032" s="18" t="s">
        <v>209</v>
      </c>
      <c r="D2032" s="18">
        <v>11.0</v>
      </c>
      <c r="E2032" s="18" t="str">
        <f t="shared" si="1"/>
        <v>11/11/70</v>
      </c>
      <c r="F2032" s="18">
        <v>0.0</v>
      </c>
      <c r="G2032" s="27">
        <v>30625.65</v>
      </c>
      <c r="H2032" s="18" t="s">
        <v>140</v>
      </c>
      <c r="I2032" s="18" t="s">
        <v>142</v>
      </c>
      <c r="J2032" s="18" t="s">
        <v>570</v>
      </c>
      <c r="K2032" s="29">
        <f t="shared" si="2"/>
        <v>52</v>
      </c>
    </row>
    <row r="2033" ht="15.75" customHeight="1">
      <c r="A2033" s="18" t="s">
        <v>984</v>
      </c>
      <c r="B2033" s="18">
        <v>1999.0</v>
      </c>
      <c r="C2033" s="18" t="s">
        <v>272</v>
      </c>
      <c r="D2033" s="18">
        <v>21.0</v>
      </c>
      <c r="E2033" s="18" t="str">
        <f t="shared" si="1"/>
        <v>21/09/99</v>
      </c>
      <c r="F2033" s="18">
        <v>0.0</v>
      </c>
      <c r="G2033" s="27">
        <v>30697.71</v>
      </c>
      <c r="H2033" s="18" t="s">
        <v>219</v>
      </c>
      <c r="I2033" s="18" t="s">
        <v>140</v>
      </c>
      <c r="J2033" s="18" t="s">
        <v>570</v>
      </c>
      <c r="K2033" s="29">
        <f t="shared" si="2"/>
        <v>23</v>
      </c>
    </row>
    <row r="2034" ht="15.75" customHeight="1">
      <c r="A2034" s="18" t="s">
        <v>982</v>
      </c>
      <c r="B2034" s="18">
        <v>1983.0</v>
      </c>
      <c r="C2034" s="18" t="s">
        <v>457</v>
      </c>
      <c r="D2034" s="18">
        <v>21.0</v>
      </c>
      <c r="E2034" s="18" t="str">
        <f t="shared" si="1"/>
        <v>21/12/83</v>
      </c>
      <c r="F2034" s="18">
        <v>3.0</v>
      </c>
      <c r="G2034" s="27">
        <v>30724.44</v>
      </c>
      <c r="H2034" s="18" t="s">
        <v>140</v>
      </c>
      <c r="I2034" s="18" t="s">
        <v>142</v>
      </c>
      <c r="J2034" s="18" t="s">
        <v>570</v>
      </c>
      <c r="K2034" s="29">
        <f t="shared" si="2"/>
        <v>39</v>
      </c>
    </row>
    <row r="2035" ht="15.75" customHeight="1">
      <c r="A2035" s="18" t="s">
        <v>979</v>
      </c>
      <c r="B2035" s="18">
        <v>1988.0</v>
      </c>
      <c r="C2035" s="18" t="s">
        <v>272</v>
      </c>
      <c r="D2035" s="18">
        <v>5.0</v>
      </c>
      <c r="E2035" s="18" t="str">
        <f t="shared" si="1"/>
        <v>05/09/88</v>
      </c>
      <c r="F2035" s="18">
        <v>3.0</v>
      </c>
      <c r="G2035" s="27">
        <v>30763.01</v>
      </c>
      <c r="H2035" s="18" t="s">
        <v>140</v>
      </c>
      <c r="I2035" s="18" t="s">
        <v>219</v>
      </c>
      <c r="J2035" s="18" t="s">
        <v>570</v>
      </c>
      <c r="K2035" s="29">
        <f t="shared" si="2"/>
        <v>34</v>
      </c>
    </row>
    <row r="2036" ht="15.75" customHeight="1">
      <c r="A2036" s="18" t="s">
        <v>976</v>
      </c>
      <c r="B2036" s="18">
        <v>1961.0</v>
      </c>
      <c r="C2036" s="18" t="s">
        <v>272</v>
      </c>
      <c r="D2036" s="18">
        <v>9.0</v>
      </c>
      <c r="E2036" s="18" t="str">
        <f t="shared" si="1"/>
        <v>09/09/61</v>
      </c>
      <c r="F2036" s="18">
        <v>3.0</v>
      </c>
      <c r="G2036" s="27">
        <v>30942.19</v>
      </c>
      <c r="H2036" s="18" t="s">
        <v>140</v>
      </c>
      <c r="I2036" s="18" t="s">
        <v>140</v>
      </c>
      <c r="J2036" s="18" t="s">
        <v>146</v>
      </c>
      <c r="K2036" s="29">
        <f t="shared" si="2"/>
        <v>61</v>
      </c>
    </row>
    <row r="2037" ht="15.75" customHeight="1">
      <c r="A2037" s="18" t="s">
        <v>973</v>
      </c>
      <c r="B2037" s="18">
        <v>2004.0</v>
      </c>
      <c r="C2037" s="18" t="s">
        <v>209</v>
      </c>
      <c r="D2037" s="18">
        <v>9.0</v>
      </c>
      <c r="E2037" s="18" t="str">
        <f t="shared" si="1"/>
        <v>09/11/04</v>
      </c>
      <c r="F2037" s="18">
        <v>0.0</v>
      </c>
      <c r="G2037" s="27">
        <v>31196.61</v>
      </c>
      <c r="H2037" s="18" t="s">
        <v>140</v>
      </c>
      <c r="I2037" s="18" t="s">
        <v>219</v>
      </c>
      <c r="J2037" s="18" t="s">
        <v>570</v>
      </c>
      <c r="K2037" s="29">
        <f t="shared" si="2"/>
        <v>18</v>
      </c>
    </row>
    <row r="2038" ht="15.75" customHeight="1">
      <c r="A2038" s="18" t="s">
        <v>969</v>
      </c>
      <c r="B2038" s="18">
        <v>2000.0</v>
      </c>
      <c r="C2038" s="18" t="s">
        <v>91</v>
      </c>
      <c r="D2038" s="18">
        <v>22.0</v>
      </c>
      <c r="E2038" s="18" t="str">
        <f t="shared" si="1"/>
        <v>22/07/00</v>
      </c>
      <c r="F2038" s="18">
        <v>0.0</v>
      </c>
      <c r="G2038" s="27">
        <v>31234.56</v>
      </c>
      <c r="H2038" s="18" t="s">
        <v>219</v>
      </c>
      <c r="I2038" s="18" t="s">
        <v>219</v>
      </c>
      <c r="J2038" s="18" t="s">
        <v>570</v>
      </c>
      <c r="K2038" s="29">
        <f t="shared" si="2"/>
        <v>22</v>
      </c>
    </row>
    <row r="2039" ht="15.75" customHeight="1">
      <c r="A2039" s="18" t="s">
        <v>968</v>
      </c>
      <c r="B2039" s="18">
        <v>1968.0</v>
      </c>
      <c r="C2039" s="18" t="s">
        <v>91</v>
      </c>
      <c r="D2039" s="18">
        <v>9.0</v>
      </c>
      <c r="E2039" s="18" t="str">
        <f t="shared" si="1"/>
        <v>09/07/68</v>
      </c>
      <c r="F2039" s="18">
        <v>0.0</v>
      </c>
      <c r="G2039" s="27">
        <v>31322.53</v>
      </c>
      <c r="H2039" s="18" t="s">
        <v>140</v>
      </c>
      <c r="I2039" s="18" t="s">
        <v>219</v>
      </c>
      <c r="J2039" s="18" t="s">
        <v>570</v>
      </c>
      <c r="K2039" s="29">
        <f t="shared" si="2"/>
        <v>54</v>
      </c>
    </row>
    <row r="2040" ht="15.75" customHeight="1">
      <c r="A2040" s="18" t="s">
        <v>965</v>
      </c>
      <c r="B2040" s="18">
        <v>1995.0</v>
      </c>
      <c r="C2040" s="18" t="s">
        <v>272</v>
      </c>
      <c r="D2040" s="18">
        <v>27.0</v>
      </c>
      <c r="E2040" s="18" t="str">
        <f t="shared" si="1"/>
        <v>27/09/95</v>
      </c>
      <c r="F2040" s="18">
        <v>0.0</v>
      </c>
      <c r="G2040" s="27">
        <v>31328.27</v>
      </c>
      <c r="H2040" s="18" t="s">
        <v>140</v>
      </c>
      <c r="I2040" s="18" t="s">
        <v>140</v>
      </c>
      <c r="J2040" s="18" t="s">
        <v>570</v>
      </c>
      <c r="K2040" s="29">
        <f t="shared" si="2"/>
        <v>27</v>
      </c>
    </row>
    <row r="2041" ht="15.75" customHeight="1">
      <c r="A2041" s="18" t="s">
        <v>962</v>
      </c>
      <c r="B2041" s="18">
        <v>1974.0</v>
      </c>
      <c r="C2041" s="18" t="s">
        <v>517</v>
      </c>
      <c r="D2041" s="18">
        <v>8.0</v>
      </c>
      <c r="E2041" s="18" t="str">
        <f t="shared" si="1"/>
        <v>08/10/74</v>
      </c>
      <c r="F2041" s="18">
        <v>0.0</v>
      </c>
      <c r="G2041" s="27">
        <v>31368.81</v>
      </c>
      <c r="H2041" s="18" t="s">
        <v>140</v>
      </c>
      <c r="I2041" s="18" t="s">
        <v>142</v>
      </c>
      <c r="J2041" s="18" t="s">
        <v>570</v>
      </c>
      <c r="K2041" s="29">
        <f t="shared" si="2"/>
        <v>48</v>
      </c>
    </row>
    <row r="2042" ht="15.75" customHeight="1">
      <c r="A2042" s="18" t="s">
        <v>959</v>
      </c>
      <c r="B2042" s="18">
        <v>1975.0</v>
      </c>
      <c r="C2042" s="18" t="s">
        <v>517</v>
      </c>
      <c r="D2042" s="18">
        <v>29.0</v>
      </c>
      <c r="E2042" s="18" t="str">
        <f t="shared" si="1"/>
        <v>29/10/75</v>
      </c>
      <c r="F2042" s="18">
        <v>1.0</v>
      </c>
      <c r="G2042" s="27">
        <v>31591.82</v>
      </c>
      <c r="H2042" s="18" t="s">
        <v>140</v>
      </c>
      <c r="I2042" s="18" t="s">
        <v>219</v>
      </c>
      <c r="J2042" s="18" t="s">
        <v>570</v>
      </c>
      <c r="K2042" s="29">
        <f t="shared" si="2"/>
        <v>47</v>
      </c>
    </row>
    <row r="2043" ht="15.75" customHeight="1">
      <c r="A2043" s="18" t="s">
        <v>955</v>
      </c>
      <c r="B2043" s="18">
        <v>1960.0</v>
      </c>
      <c r="C2043" s="18" t="s">
        <v>457</v>
      </c>
      <c r="D2043" s="18">
        <v>13.0</v>
      </c>
      <c r="E2043" s="18" t="str">
        <f t="shared" si="1"/>
        <v>13/12/60</v>
      </c>
      <c r="F2043" s="18">
        <v>1.0</v>
      </c>
      <c r="G2043" s="27">
        <v>31620.0</v>
      </c>
      <c r="H2043" s="18" t="s">
        <v>140</v>
      </c>
      <c r="I2043" s="18" t="s">
        <v>219</v>
      </c>
      <c r="J2043" s="18" t="s">
        <v>2024</v>
      </c>
      <c r="K2043" s="29">
        <f t="shared" si="2"/>
        <v>62</v>
      </c>
    </row>
    <row r="2044" ht="15.75" customHeight="1">
      <c r="A2044" s="18" t="s">
        <v>952</v>
      </c>
      <c r="B2044" s="18">
        <v>1977.0</v>
      </c>
      <c r="C2044" s="18" t="s">
        <v>517</v>
      </c>
      <c r="D2044" s="18">
        <v>14.0</v>
      </c>
      <c r="E2044" s="18" t="str">
        <f t="shared" si="1"/>
        <v>14/10/77</v>
      </c>
      <c r="F2044" s="18">
        <v>2.0</v>
      </c>
      <c r="G2044" s="27">
        <v>31736.7</v>
      </c>
      <c r="H2044" s="18" t="s">
        <v>140</v>
      </c>
      <c r="I2044" s="18" t="s">
        <v>140</v>
      </c>
      <c r="J2044" s="18" t="s">
        <v>325</v>
      </c>
      <c r="K2044" s="29">
        <f t="shared" si="2"/>
        <v>45</v>
      </c>
    </row>
    <row r="2045" ht="15.75" customHeight="1">
      <c r="A2045" s="18" t="s">
        <v>949</v>
      </c>
      <c r="B2045" s="18">
        <v>1984.0</v>
      </c>
      <c r="C2045" s="18" t="s">
        <v>272</v>
      </c>
      <c r="D2045" s="18">
        <v>10.0</v>
      </c>
      <c r="E2045" s="18" t="str">
        <f t="shared" si="1"/>
        <v>10/09/84</v>
      </c>
      <c r="F2045" s="18">
        <v>3.0</v>
      </c>
      <c r="G2045" s="27">
        <v>31743.92</v>
      </c>
      <c r="H2045" s="18" t="s">
        <v>140</v>
      </c>
      <c r="I2045" s="18" t="s">
        <v>219</v>
      </c>
      <c r="J2045" s="18" t="s">
        <v>570</v>
      </c>
      <c r="K2045" s="29">
        <f t="shared" si="2"/>
        <v>38</v>
      </c>
    </row>
    <row r="2046" ht="15.75" customHeight="1">
      <c r="A2046" s="18" t="s">
        <v>945</v>
      </c>
      <c r="B2046" s="18">
        <v>1975.0</v>
      </c>
      <c r="C2046" s="18" t="s">
        <v>272</v>
      </c>
      <c r="D2046" s="18">
        <v>25.0</v>
      </c>
      <c r="E2046" s="18" t="str">
        <f t="shared" si="1"/>
        <v>25/09/75</v>
      </c>
      <c r="F2046" s="18">
        <v>1.0</v>
      </c>
      <c r="G2046" s="27">
        <v>31897.1</v>
      </c>
      <c r="H2046" s="18" t="s">
        <v>140</v>
      </c>
      <c r="I2046" s="18" t="s">
        <v>142</v>
      </c>
      <c r="J2046" s="18" t="s">
        <v>570</v>
      </c>
      <c r="K2046" s="29">
        <f t="shared" si="2"/>
        <v>47</v>
      </c>
    </row>
    <row r="2047" ht="15.75" customHeight="1">
      <c r="A2047" s="18" t="s">
        <v>942</v>
      </c>
      <c r="B2047" s="18">
        <v>1972.0</v>
      </c>
      <c r="C2047" s="18" t="s">
        <v>272</v>
      </c>
      <c r="D2047" s="18">
        <v>21.0</v>
      </c>
      <c r="E2047" s="18" t="str">
        <f t="shared" si="1"/>
        <v>21/09/72</v>
      </c>
      <c r="F2047" s="18">
        <v>0.0</v>
      </c>
      <c r="G2047" s="27">
        <v>31980.89</v>
      </c>
      <c r="H2047" s="18" t="s">
        <v>140</v>
      </c>
      <c r="I2047" s="18" t="s">
        <v>219</v>
      </c>
      <c r="J2047" s="18" t="s">
        <v>570</v>
      </c>
      <c r="K2047" s="29">
        <f t="shared" si="2"/>
        <v>50</v>
      </c>
    </row>
    <row r="2048" ht="15.75" customHeight="1">
      <c r="A2048" s="18" t="s">
        <v>939</v>
      </c>
      <c r="B2048" s="18">
        <v>1993.0</v>
      </c>
      <c r="C2048" s="18" t="s">
        <v>272</v>
      </c>
      <c r="D2048" s="18">
        <v>13.0</v>
      </c>
      <c r="E2048" s="18" t="str">
        <f t="shared" si="1"/>
        <v>13/09/93</v>
      </c>
      <c r="F2048" s="18">
        <v>0.0</v>
      </c>
      <c r="G2048" s="27">
        <v>32086.21</v>
      </c>
      <c r="H2048" s="18" t="s">
        <v>219</v>
      </c>
      <c r="I2048" s="18" t="s">
        <v>142</v>
      </c>
      <c r="J2048" s="18" t="s">
        <v>570</v>
      </c>
      <c r="K2048" s="29">
        <f t="shared" si="2"/>
        <v>29</v>
      </c>
    </row>
    <row r="2049" ht="15.75" customHeight="1">
      <c r="A2049" s="18" t="s">
        <v>935</v>
      </c>
      <c r="B2049" s="18">
        <v>1978.0</v>
      </c>
      <c r="C2049" s="18" t="s">
        <v>209</v>
      </c>
      <c r="D2049" s="18">
        <v>10.0</v>
      </c>
      <c r="E2049" s="18" t="str">
        <f t="shared" si="1"/>
        <v>10/11/78</v>
      </c>
      <c r="F2049" s="18">
        <v>2.0</v>
      </c>
      <c r="G2049" s="27">
        <v>32108.66</v>
      </c>
      <c r="H2049" s="18" t="s">
        <v>219</v>
      </c>
      <c r="I2049" s="18" t="s">
        <v>142</v>
      </c>
      <c r="J2049" s="18" t="s">
        <v>2617</v>
      </c>
      <c r="K2049" s="29">
        <f t="shared" si="2"/>
        <v>44</v>
      </c>
    </row>
    <row r="2050" ht="15.75" customHeight="1">
      <c r="A2050" s="18" t="s">
        <v>932</v>
      </c>
      <c r="B2050" s="18">
        <v>1969.0</v>
      </c>
      <c r="C2050" s="18" t="s">
        <v>272</v>
      </c>
      <c r="D2050" s="18">
        <v>11.0</v>
      </c>
      <c r="E2050" s="18" t="str">
        <f t="shared" si="1"/>
        <v>11/09/69</v>
      </c>
      <c r="F2050" s="18">
        <v>0.0</v>
      </c>
      <c r="G2050" s="27">
        <v>32192.76</v>
      </c>
      <c r="H2050" s="18" t="s">
        <v>219</v>
      </c>
      <c r="I2050" s="18" t="s">
        <v>140</v>
      </c>
      <c r="J2050" s="18" t="s">
        <v>570</v>
      </c>
      <c r="K2050" s="29">
        <f t="shared" si="2"/>
        <v>53</v>
      </c>
    </row>
    <row r="2051" ht="15.75" customHeight="1">
      <c r="A2051" s="18" t="s">
        <v>930</v>
      </c>
      <c r="B2051" s="18">
        <v>1994.0</v>
      </c>
      <c r="C2051" s="18" t="s">
        <v>272</v>
      </c>
      <c r="D2051" s="18">
        <v>8.0</v>
      </c>
      <c r="E2051" s="18" t="str">
        <f t="shared" si="1"/>
        <v>08/09/94</v>
      </c>
      <c r="F2051" s="18">
        <v>0.0</v>
      </c>
      <c r="G2051" s="27">
        <v>32222.81</v>
      </c>
      <c r="H2051" s="18" t="s">
        <v>140</v>
      </c>
      <c r="I2051" s="18" t="s">
        <v>219</v>
      </c>
      <c r="J2051" s="18" t="s">
        <v>570</v>
      </c>
      <c r="K2051" s="29">
        <f t="shared" si="2"/>
        <v>28</v>
      </c>
    </row>
    <row r="2052" ht="15.75" customHeight="1">
      <c r="A2052" s="18" t="s">
        <v>927</v>
      </c>
      <c r="B2052" s="18">
        <v>1975.0</v>
      </c>
      <c r="C2052" s="18" t="s">
        <v>457</v>
      </c>
      <c r="D2052" s="18">
        <v>17.0</v>
      </c>
      <c r="E2052" s="18" t="str">
        <f t="shared" si="1"/>
        <v>17/12/75</v>
      </c>
      <c r="F2052" s="18">
        <v>1.0</v>
      </c>
      <c r="G2052" s="27">
        <v>32259.96</v>
      </c>
      <c r="H2052" s="18" t="s">
        <v>140</v>
      </c>
      <c r="I2052" s="18" t="s">
        <v>142</v>
      </c>
      <c r="J2052" s="18" t="s">
        <v>325</v>
      </c>
      <c r="K2052" s="29">
        <f t="shared" si="2"/>
        <v>47</v>
      </c>
    </row>
    <row r="2053" ht="15.75" customHeight="1">
      <c r="A2053" s="18" t="s">
        <v>925</v>
      </c>
      <c r="B2053" s="18">
        <v>1986.0</v>
      </c>
      <c r="C2053" s="18" t="s">
        <v>457</v>
      </c>
      <c r="D2053" s="18">
        <v>2.0</v>
      </c>
      <c r="E2053" s="18" t="str">
        <f t="shared" si="1"/>
        <v>02/12/86</v>
      </c>
      <c r="F2053" s="18">
        <v>3.0</v>
      </c>
      <c r="G2053" s="27">
        <v>32288.49</v>
      </c>
      <c r="H2053" s="18" t="s">
        <v>140</v>
      </c>
      <c r="I2053" s="18" t="s">
        <v>140</v>
      </c>
      <c r="J2053" s="18" t="s">
        <v>570</v>
      </c>
      <c r="K2053" s="29">
        <f t="shared" si="2"/>
        <v>36</v>
      </c>
    </row>
    <row r="2054" ht="15.75" customHeight="1">
      <c r="A2054" s="18" t="s">
        <v>922</v>
      </c>
      <c r="B2054" s="18">
        <v>1972.0</v>
      </c>
      <c r="C2054" s="18" t="s">
        <v>517</v>
      </c>
      <c r="D2054" s="18">
        <v>19.0</v>
      </c>
      <c r="E2054" s="18" t="str">
        <f t="shared" si="1"/>
        <v>19/10/72</v>
      </c>
      <c r="F2054" s="18">
        <v>0.0</v>
      </c>
      <c r="G2054" s="27">
        <v>32428.63</v>
      </c>
      <c r="H2054" s="18" t="s">
        <v>140</v>
      </c>
      <c r="I2054" s="18" t="s">
        <v>140</v>
      </c>
      <c r="J2054" s="18" t="s">
        <v>570</v>
      </c>
      <c r="K2054" s="29">
        <f t="shared" si="2"/>
        <v>50</v>
      </c>
    </row>
    <row r="2055" ht="15.75" customHeight="1">
      <c r="A2055" s="18" t="s">
        <v>918</v>
      </c>
      <c r="B2055" s="18">
        <v>1976.0</v>
      </c>
      <c r="C2055" s="18" t="s">
        <v>501</v>
      </c>
      <c r="D2055" s="18">
        <v>9.0</v>
      </c>
      <c r="E2055" s="18" t="str">
        <f t="shared" si="1"/>
        <v>09/08/76</v>
      </c>
      <c r="F2055" s="18">
        <v>2.0</v>
      </c>
      <c r="G2055" s="27">
        <v>32430.22</v>
      </c>
      <c r="H2055" s="18" t="s">
        <v>140</v>
      </c>
      <c r="I2055" s="18" t="s">
        <v>142</v>
      </c>
      <c r="J2055" s="18" t="s">
        <v>570</v>
      </c>
      <c r="K2055" s="29">
        <f t="shared" si="2"/>
        <v>46</v>
      </c>
    </row>
    <row r="2056" ht="15.75" customHeight="1">
      <c r="A2056" s="18" t="s">
        <v>915</v>
      </c>
      <c r="B2056" s="18">
        <v>1981.0</v>
      </c>
      <c r="C2056" s="18" t="s">
        <v>272</v>
      </c>
      <c r="D2056" s="18">
        <v>27.0</v>
      </c>
      <c r="E2056" s="18" t="str">
        <f t="shared" si="1"/>
        <v>27/09/81</v>
      </c>
      <c r="F2056" s="18">
        <v>1.0</v>
      </c>
      <c r="G2056" s="27">
        <v>32462.35</v>
      </c>
      <c r="H2056" s="18" t="s">
        <v>140</v>
      </c>
      <c r="I2056" s="18" t="s">
        <v>140</v>
      </c>
      <c r="J2056" s="18" t="s">
        <v>570</v>
      </c>
      <c r="K2056" s="29">
        <f t="shared" si="2"/>
        <v>41</v>
      </c>
    </row>
    <row r="2057" ht="15.75" customHeight="1">
      <c r="A2057" s="18" t="s">
        <v>912</v>
      </c>
      <c r="B2057" s="18">
        <v>1976.0</v>
      </c>
      <c r="C2057" s="18" t="s">
        <v>272</v>
      </c>
      <c r="D2057" s="18">
        <v>19.0</v>
      </c>
      <c r="E2057" s="18" t="str">
        <f t="shared" si="1"/>
        <v>19/09/76</v>
      </c>
      <c r="F2057" s="18">
        <v>2.0</v>
      </c>
      <c r="G2057" s="27">
        <v>32485.46</v>
      </c>
      <c r="H2057" s="18" t="s">
        <v>140</v>
      </c>
      <c r="I2057" s="18" t="s">
        <v>219</v>
      </c>
      <c r="J2057" s="18" t="s">
        <v>570</v>
      </c>
      <c r="K2057" s="29">
        <f t="shared" si="2"/>
        <v>46</v>
      </c>
    </row>
    <row r="2058" ht="15.75" customHeight="1">
      <c r="A2058" s="18" t="s">
        <v>908</v>
      </c>
      <c r="B2058" s="18">
        <v>2003.0</v>
      </c>
      <c r="C2058" s="18" t="s">
        <v>517</v>
      </c>
      <c r="D2058" s="18">
        <v>8.0</v>
      </c>
      <c r="E2058" s="18" t="str">
        <f t="shared" si="1"/>
        <v>08/10/03</v>
      </c>
      <c r="F2058" s="18">
        <v>0.0</v>
      </c>
      <c r="G2058" s="27">
        <v>32548.34</v>
      </c>
      <c r="H2058" s="18" t="s">
        <v>219</v>
      </c>
      <c r="I2058" s="18" t="s">
        <v>140</v>
      </c>
      <c r="J2058" s="18" t="s">
        <v>146</v>
      </c>
      <c r="K2058" s="29">
        <f t="shared" si="2"/>
        <v>19</v>
      </c>
    </row>
    <row r="2059" ht="15.75" customHeight="1">
      <c r="A2059" s="18" t="s">
        <v>906</v>
      </c>
      <c r="B2059" s="18">
        <v>1990.0</v>
      </c>
      <c r="C2059" s="18" t="s">
        <v>91</v>
      </c>
      <c r="D2059" s="18">
        <v>13.0</v>
      </c>
      <c r="E2059" s="18" t="str">
        <f t="shared" si="1"/>
        <v>13/07/90</v>
      </c>
      <c r="F2059" s="18">
        <v>3.0</v>
      </c>
      <c r="G2059" s="27">
        <v>32672.11</v>
      </c>
      <c r="H2059" s="18" t="s">
        <v>219</v>
      </c>
      <c r="I2059" s="18" t="s">
        <v>219</v>
      </c>
      <c r="J2059" s="18" t="s">
        <v>570</v>
      </c>
      <c r="K2059" s="29">
        <f t="shared" si="2"/>
        <v>32</v>
      </c>
    </row>
    <row r="2060" ht="15.75" customHeight="1">
      <c r="A2060" s="18" t="s">
        <v>903</v>
      </c>
      <c r="B2060" s="18">
        <v>1968.0</v>
      </c>
      <c r="C2060" s="18" t="s">
        <v>209</v>
      </c>
      <c r="D2060" s="18">
        <v>1.0</v>
      </c>
      <c r="E2060" s="18" t="str">
        <f t="shared" si="1"/>
        <v>01/11/68</v>
      </c>
      <c r="F2060" s="18">
        <v>0.0</v>
      </c>
      <c r="G2060" s="27">
        <v>32686.08</v>
      </c>
      <c r="H2060" s="18" t="s">
        <v>140</v>
      </c>
      <c r="I2060" s="18" t="s">
        <v>142</v>
      </c>
      <c r="J2060" s="18" t="s">
        <v>570</v>
      </c>
      <c r="K2060" s="29">
        <f t="shared" si="2"/>
        <v>54</v>
      </c>
    </row>
    <row r="2061" ht="15.75" customHeight="1">
      <c r="A2061" s="18" t="s">
        <v>899</v>
      </c>
      <c r="B2061" s="18">
        <v>1990.0</v>
      </c>
      <c r="C2061" s="18" t="s">
        <v>272</v>
      </c>
      <c r="D2061" s="18">
        <v>30.0</v>
      </c>
      <c r="E2061" s="18" t="str">
        <f t="shared" si="1"/>
        <v>30/09/90</v>
      </c>
      <c r="F2061" s="18">
        <v>3.0</v>
      </c>
      <c r="G2061" s="27">
        <v>32716.2</v>
      </c>
      <c r="H2061" s="18" t="s">
        <v>219</v>
      </c>
      <c r="I2061" s="18" t="s">
        <v>140</v>
      </c>
      <c r="J2061" s="18" t="s">
        <v>570</v>
      </c>
      <c r="K2061" s="29">
        <f t="shared" si="2"/>
        <v>32</v>
      </c>
    </row>
    <row r="2062" ht="15.75" customHeight="1">
      <c r="A2062" s="18" t="s">
        <v>897</v>
      </c>
      <c r="B2062" s="18">
        <v>1990.0</v>
      </c>
      <c r="C2062" s="18" t="s">
        <v>91</v>
      </c>
      <c r="D2062" s="18">
        <v>9.0</v>
      </c>
      <c r="E2062" s="18" t="str">
        <f t="shared" si="1"/>
        <v>09/07/90</v>
      </c>
      <c r="F2062" s="18">
        <v>2.0</v>
      </c>
      <c r="G2062" s="27">
        <v>32734.19</v>
      </c>
      <c r="H2062" s="18" t="s">
        <v>140</v>
      </c>
      <c r="I2062" s="18" t="s">
        <v>219</v>
      </c>
      <c r="J2062" s="18" t="s">
        <v>325</v>
      </c>
      <c r="K2062" s="29">
        <f t="shared" si="2"/>
        <v>32</v>
      </c>
    </row>
    <row r="2063" ht="15.75" customHeight="1">
      <c r="A2063" s="18" t="s">
        <v>893</v>
      </c>
      <c r="B2063" s="18">
        <v>1974.0</v>
      </c>
      <c r="C2063" s="18" t="s">
        <v>457</v>
      </c>
      <c r="D2063" s="18">
        <v>6.0</v>
      </c>
      <c r="E2063" s="18" t="str">
        <f t="shared" si="1"/>
        <v>06/12/74</v>
      </c>
      <c r="F2063" s="18">
        <v>0.0</v>
      </c>
      <c r="G2063" s="27">
        <v>32760.48</v>
      </c>
      <c r="H2063" s="18" t="s">
        <v>219</v>
      </c>
      <c r="I2063" s="18" t="s">
        <v>219</v>
      </c>
      <c r="J2063" s="18" t="s">
        <v>570</v>
      </c>
      <c r="K2063" s="29">
        <f t="shared" si="2"/>
        <v>48</v>
      </c>
    </row>
    <row r="2064" ht="15.75" customHeight="1">
      <c r="A2064" s="18" t="s">
        <v>890</v>
      </c>
      <c r="B2064" s="18">
        <v>1972.0</v>
      </c>
      <c r="C2064" s="18" t="s">
        <v>209</v>
      </c>
      <c r="D2064" s="18">
        <v>7.0</v>
      </c>
      <c r="E2064" s="18" t="str">
        <f t="shared" si="1"/>
        <v>07/11/72</v>
      </c>
      <c r="F2064" s="18">
        <v>0.0</v>
      </c>
      <c r="G2064" s="27">
        <v>32765.33</v>
      </c>
      <c r="H2064" s="18" t="s">
        <v>140</v>
      </c>
      <c r="I2064" s="18" t="s">
        <v>140</v>
      </c>
      <c r="J2064" s="18" t="s">
        <v>325</v>
      </c>
      <c r="K2064" s="29">
        <f t="shared" si="2"/>
        <v>50</v>
      </c>
    </row>
    <row r="2065" ht="15.75" customHeight="1">
      <c r="A2065" s="18" t="s">
        <v>888</v>
      </c>
      <c r="B2065" s="18">
        <v>1980.0</v>
      </c>
      <c r="C2065" s="18" t="s">
        <v>457</v>
      </c>
      <c r="D2065" s="18">
        <v>12.0</v>
      </c>
      <c r="E2065" s="18" t="str">
        <f t="shared" si="1"/>
        <v>12/12/80</v>
      </c>
      <c r="F2065" s="18">
        <v>3.0</v>
      </c>
      <c r="G2065" s="27">
        <v>32787.46</v>
      </c>
      <c r="H2065" s="18" t="s">
        <v>219</v>
      </c>
      <c r="I2065" s="18" t="s">
        <v>142</v>
      </c>
      <c r="J2065" s="18" t="s">
        <v>325</v>
      </c>
      <c r="K2065" s="29">
        <f t="shared" si="2"/>
        <v>42</v>
      </c>
    </row>
    <row r="2066" ht="15.75" customHeight="1">
      <c r="A2066" s="18" t="s">
        <v>884</v>
      </c>
      <c r="B2066" s="18">
        <v>1995.0</v>
      </c>
      <c r="C2066" s="18" t="s">
        <v>457</v>
      </c>
      <c r="D2066" s="18">
        <v>4.0</v>
      </c>
      <c r="E2066" s="18" t="str">
        <f t="shared" si="1"/>
        <v>04/12/95</v>
      </c>
      <c r="F2066" s="18">
        <v>0.0</v>
      </c>
      <c r="G2066" s="27">
        <v>32827.51</v>
      </c>
      <c r="H2066" s="18" t="s">
        <v>219</v>
      </c>
      <c r="I2066" s="18" t="s">
        <v>140</v>
      </c>
      <c r="J2066" s="18" t="s">
        <v>570</v>
      </c>
      <c r="K2066" s="29">
        <f t="shared" si="2"/>
        <v>27</v>
      </c>
    </row>
    <row r="2067" ht="15.75" customHeight="1">
      <c r="A2067" s="18" t="s">
        <v>881</v>
      </c>
      <c r="B2067" s="18">
        <v>1981.0</v>
      </c>
      <c r="C2067" s="18" t="s">
        <v>209</v>
      </c>
      <c r="D2067" s="18">
        <v>17.0</v>
      </c>
      <c r="E2067" s="18" t="str">
        <f t="shared" si="1"/>
        <v>17/11/81</v>
      </c>
      <c r="F2067" s="18">
        <v>1.0</v>
      </c>
      <c r="G2067" s="27">
        <v>32906.69</v>
      </c>
      <c r="H2067" s="18" t="s">
        <v>140</v>
      </c>
      <c r="I2067" s="18" t="s">
        <v>142</v>
      </c>
      <c r="J2067" s="18" t="s">
        <v>570</v>
      </c>
      <c r="K2067" s="29">
        <f t="shared" si="2"/>
        <v>41</v>
      </c>
    </row>
    <row r="2068" ht="15.75" customHeight="1">
      <c r="A2068" s="18" t="s">
        <v>878</v>
      </c>
      <c r="B2068" s="18">
        <v>1971.0</v>
      </c>
      <c r="C2068" s="18" t="s">
        <v>501</v>
      </c>
      <c r="D2068" s="18">
        <v>24.0</v>
      </c>
      <c r="E2068" s="18" t="str">
        <f t="shared" si="1"/>
        <v>24/08/71</v>
      </c>
      <c r="F2068" s="18">
        <v>0.0</v>
      </c>
      <c r="G2068" s="27">
        <v>32947.63</v>
      </c>
      <c r="H2068" s="18" t="s">
        <v>140</v>
      </c>
      <c r="I2068" s="18" t="s">
        <v>219</v>
      </c>
      <c r="J2068" s="18" t="s">
        <v>570</v>
      </c>
      <c r="K2068" s="29">
        <f t="shared" si="2"/>
        <v>51</v>
      </c>
    </row>
    <row r="2069" ht="15.75" customHeight="1">
      <c r="A2069" s="18" t="s">
        <v>875</v>
      </c>
      <c r="B2069" s="18">
        <v>1995.0</v>
      </c>
      <c r="C2069" s="18" t="s">
        <v>91</v>
      </c>
      <c r="D2069" s="18">
        <v>8.0</v>
      </c>
      <c r="E2069" s="18" t="str">
        <f t="shared" si="1"/>
        <v>08/07/95</v>
      </c>
      <c r="F2069" s="18">
        <v>0.0</v>
      </c>
      <c r="G2069" s="27">
        <v>33017.46</v>
      </c>
      <c r="H2069" s="18" t="s">
        <v>219</v>
      </c>
      <c r="I2069" s="18" t="s">
        <v>219</v>
      </c>
      <c r="J2069" s="18" t="s">
        <v>570</v>
      </c>
      <c r="K2069" s="29">
        <f t="shared" si="2"/>
        <v>27</v>
      </c>
    </row>
    <row r="2070" ht="15.75" customHeight="1">
      <c r="A2070" s="18" t="s">
        <v>872</v>
      </c>
      <c r="B2070" s="18">
        <v>1967.0</v>
      </c>
      <c r="C2070" s="18" t="s">
        <v>91</v>
      </c>
      <c r="D2070" s="18">
        <v>10.0</v>
      </c>
      <c r="E2070" s="18" t="str">
        <f t="shared" si="1"/>
        <v>10/07/67</v>
      </c>
      <c r="F2070" s="18">
        <v>0.0</v>
      </c>
      <c r="G2070" s="27">
        <v>33025.32</v>
      </c>
      <c r="H2070" s="18" t="s">
        <v>140</v>
      </c>
      <c r="I2070" s="18" t="s">
        <v>142</v>
      </c>
      <c r="J2070" s="18" t="s">
        <v>570</v>
      </c>
      <c r="K2070" s="29">
        <f t="shared" si="2"/>
        <v>55</v>
      </c>
    </row>
    <row r="2071" ht="15.75" customHeight="1">
      <c r="A2071" s="18" t="s">
        <v>869</v>
      </c>
      <c r="B2071" s="18">
        <v>1994.0</v>
      </c>
      <c r="C2071" s="18" t="s">
        <v>91</v>
      </c>
      <c r="D2071" s="18">
        <v>28.0</v>
      </c>
      <c r="E2071" s="18" t="str">
        <f t="shared" si="1"/>
        <v>28/07/94</v>
      </c>
      <c r="F2071" s="18">
        <v>0.0</v>
      </c>
      <c r="G2071" s="27">
        <v>33057.23</v>
      </c>
      <c r="H2071" s="18" t="s">
        <v>219</v>
      </c>
      <c r="I2071" s="18" t="s">
        <v>140</v>
      </c>
      <c r="J2071" s="18" t="s">
        <v>570</v>
      </c>
      <c r="K2071" s="29">
        <f t="shared" si="2"/>
        <v>28</v>
      </c>
    </row>
    <row r="2072" ht="15.75" customHeight="1">
      <c r="A2072" s="18" t="s">
        <v>867</v>
      </c>
      <c r="B2072" s="18">
        <v>1962.0</v>
      </c>
      <c r="C2072" s="18" t="s">
        <v>91</v>
      </c>
      <c r="D2072" s="18">
        <v>1.0</v>
      </c>
      <c r="E2072" s="18" t="str">
        <f t="shared" si="1"/>
        <v>01/07/62</v>
      </c>
      <c r="F2072" s="18">
        <v>0.0</v>
      </c>
      <c r="G2072" s="27">
        <v>33074.94</v>
      </c>
      <c r="H2072" s="18" t="s">
        <v>219</v>
      </c>
      <c r="I2072" s="18" t="s">
        <v>140</v>
      </c>
      <c r="J2072" s="18" t="s">
        <v>570</v>
      </c>
      <c r="K2072" s="29">
        <f t="shared" si="2"/>
        <v>60</v>
      </c>
    </row>
    <row r="2073" ht="15.75" customHeight="1">
      <c r="A2073" s="18" t="s">
        <v>864</v>
      </c>
      <c r="B2073" s="18">
        <v>1969.0</v>
      </c>
      <c r="C2073" s="18" t="s">
        <v>517</v>
      </c>
      <c r="D2073" s="18">
        <v>30.0</v>
      </c>
      <c r="E2073" s="18" t="str">
        <f t="shared" si="1"/>
        <v>30/10/69</v>
      </c>
      <c r="F2073" s="18">
        <v>0.0</v>
      </c>
      <c r="G2073" s="27">
        <v>33090.66</v>
      </c>
      <c r="H2073" s="18" t="s">
        <v>140</v>
      </c>
      <c r="I2073" s="18" t="s">
        <v>140</v>
      </c>
      <c r="J2073" s="18" t="s">
        <v>570</v>
      </c>
      <c r="K2073" s="29">
        <f t="shared" si="2"/>
        <v>53</v>
      </c>
    </row>
    <row r="2074" ht="15.75" customHeight="1">
      <c r="A2074" s="18" t="s">
        <v>861</v>
      </c>
      <c r="B2074" s="18">
        <v>1985.0</v>
      </c>
      <c r="C2074" s="18" t="s">
        <v>91</v>
      </c>
      <c r="D2074" s="18">
        <v>15.0</v>
      </c>
      <c r="E2074" s="18" t="str">
        <f t="shared" si="1"/>
        <v>15/07/85</v>
      </c>
      <c r="F2074" s="18">
        <v>3.0</v>
      </c>
      <c r="G2074" s="27">
        <v>33121.0</v>
      </c>
      <c r="H2074" s="18" t="s">
        <v>140</v>
      </c>
      <c r="I2074" s="18" t="s">
        <v>219</v>
      </c>
      <c r="J2074" s="18" t="s">
        <v>570</v>
      </c>
      <c r="K2074" s="29">
        <f t="shared" si="2"/>
        <v>37</v>
      </c>
    </row>
    <row r="2075" ht="15.75" customHeight="1">
      <c r="A2075" s="18" t="s">
        <v>859</v>
      </c>
      <c r="B2075" s="18">
        <v>1990.0</v>
      </c>
      <c r="C2075" s="18" t="s">
        <v>517</v>
      </c>
      <c r="D2075" s="18">
        <v>12.0</v>
      </c>
      <c r="E2075" s="18" t="str">
        <f t="shared" si="1"/>
        <v>12/10/90</v>
      </c>
      <c r="F2075" s="18">
        <v>3.0</v>
      </c>
      <c r="G2075" s="27">
        <v>33292.83</v>
      </c>
      <c r="H2075" s="18" t="s">
        <v>140</v>
      </c>
      <c r="I2075" s="18" t="s">
        <v>219</v>
      </c>
      <c r="J2075" s="18" t="s">
        <v>570</v>
      </c>
      <c r="K2075" s="29">
        <f t="shared" si="2"/>
        <v>32</v>
      </c>
    </row>
    <row r="2076" ht="15.75" customHeight="1">
      <c r="A2076" s="18" t="s">
        <v>856</v>
      </c>
      <c r="B2076" s="18">
        <v>2003.0</v>
      </c>
      <c r="C2076" s="18" t="s">
        <v>209</v>
      </c>
      <c r="D2076" s="18">
        <v>28.0</v>
      </c>
      <c r="E2076" s="18" t="str">
        <f t="shared" si="1"/>
        <v>28/11/03</v>
      </c>
      <c r="F2076" s="18">
        <v>0.0</v>
      </c>
      <c r="G2076" s="27">
        <v>33307.55</v>
      </c>
      <c r="H2076" s="18" t="s">
        <v>140</v>
      </c>
      <c r="I2076" s="18" t="s">
        <v>142</v>
      </c>
      <c r="J2076" s="18" t="s">
        <v>325</v>
      </c>
      <c r="K2076" s="29">
        <f t="shared" si="2"/>
        <v>19</v>
      </c>
    </row>
    <row r="2077" ht="15.75" customHeight="1">
      <c r="A2077" s="18" t="s">
        <v>850</v>
      </c>
      <c r="B2077" s="18">
        <v>1972.0</v>
      </c>
      <c r="C2077" s="18" t="s">
        <v>272</v>
      </c>
      <c r="D2077" s="18">
        <v>5.0</v>
      </c>
      <c r="E2077" s="18" t="str">
        <f t="shared" si="1"/>
        <v>05/09/72</v>
      </c>
      <c r="F2077" s="18">
        <v>0.0</v>
      </c>
      <c r="G2077" s="27">
        <v>33344.45</v>
      </c>
      <c r="H2077" s="18" t="s">
        <v>140</v>
      </c>
      <c r="I2077" s="18" t="s">
        <v>142</v>
      </c>
      <c r="J2077" s="18" t="s">
        <v>570</v>
      </c>
      <c r="K2077" s="29">
        <f t="shared" si="2"/>
        <v>50</v>
      </c>
    </row>
    <row r="2078" ht="15.75" customHeight="1">
      <c r="A2078" s="18" t="s">
        <v>847</v>
      </c>
      <c r="B2078" s="18">
        <v>1985.0</v>
      </c>
      <c r="C2078" s="18" t="s">
        <v>457</v>
      </c>
      <c r="D2078" s="18">
        <v>7.0</v>
      </c>
      <c r="E2078" s="18" t="str">
        <f t="shared" si="1"/>
        <v>07/12/85</v>
      </c>
      <c r="F2078" s="18">
        <v>3.0</v>
      </c>
      <c r="G2078" s="27">
        <v>33450.99</v>
      </c>
      <c r="H2078" s="18" t="s">
        <v>140</v>
      </c>
      <c r="I2078" s="18" t="s">
        <v>140</v>
      </c>
      <c r="J2078" s="18" t="s">
        <v>570</v>
      </c>
      <c r="K2078" s="29">
        <f t="shared" si="2"/>
        <v>37</v>
      </c>
    </row>
    <row r="2079" ht="15.75" customHeight="1">
      <c r="A2079" s="18" t="s">
        <v>844</v>
      </c>
      <c r="B2079" s="18">
        <v>1970.0</v>
      </c>
      <c r="C2079" s="18" t="s">
        <v>241</v>
      </c>
      <c r="D2079" s="18">
        <v>18.0</v>
      </c>
      <c r="E2079" s="18" t="str">
        <f t="shared" si="1"/>
        <v>18/06/70</v>
      </c>
      <c r="F2079" s="18">
        <v>2.0</v>
      </c>
      <c r="G2079" s="27">
        <v>33471.97</v>
      </c>
      <c r="H2079" s="18" t="s">
        <v>140</v>
      </c>
      <c r="I2079" s="18" t="s">
        <v>140</v>
      </c>
      <c r="J2079" s="18" t="s">
        <v>325</v>
      </c>
      <c r="K2079" s="29">
        <f t="shared" si="2"/>
        <v>52</v>
      </c>
    </row>
    <row r="2080" ht="15.75" customHeight="1">
      <c r="A2080" s="18" t="s">
        <v>840</v>
      </c>
      <c r="B2080" s="18">
        <v>2002.0</v>
      </c>
      <c r="C2080" s="18" t="s">
        <v>501</v>
      </c>
      <c r="D2080" s="18">
        <v>25.0</v>
      </c>
      <c r="E2080" s="18" t="str">
        <f t="shared" si="1"/>
        <v>25/08/02</v>
      </c>
      <c r="F2080" s="18">
        <v>0.0</v>
      </c>
      <c r="G2080" s="27">
        <v>33475.82</v>
      </c>
      <c r="H2080" s="18" t="s">
        <v>219</v>
      </c>
      <c r="I2080" s="18" t="s">
        <v>219</v>
      </c>
      <c r="J2080" s="18" t="s">
        <v>1434</v>
      </c>
      <c r="K2080" s="29">
        <f t="shared" si="2"/>
        <v>20</v>
      </c>
    </row>
    <row r="2081" ht="15.75" customHeight="1">
      <c r="A2081" s="18" t="s">
        <v>837</v>
      </c>
      <c r="B2081" s="18">
        <v>1984.0</v>
      </c>
      <c r="C2081" s="18" t="s">
        <v>91</v>
      </c>
      <c r="D2081" s="18">
        <v>22.0</v>
      </c>
      <c r="E2081" s="18" t="str">
        <f t="shared" si="1"/>
        <v>22/07/84</v>
      </c>
      <c r="F2081" s="18">
        <v>3.0</v>
      </c>
      <c r="G2081" s="27">
        <v>33527.1</v>
      </c>
      <c r="H2081" s="18" t="s">
        <v>140</v>
      </c>
      <c r="I2081" s="18" t="s">
        <v>142</v>
      </c>
      <c r="J2081" s="18" t="s">
        <v>570</v>
      </c>
      <c r="K2081" s="29">
        <f t="shared" si="2"/>
        <v>38</v>
      </c>
    </row>
    <row r="2082" ht="15.75" customHeight="1">
      <c r="A2082" s="18" t="s">
        <v>834</v>
      </c>
      <c r="B2082" s="18">
        <v>2003.0</v>
      </c>
      <c r="C2082" s="18" t="s">
        <v>272</v>
      </c>
      <c r="D2082" s="18">
        <v>9.0</v>
      </c>
      <c r="E2082" s="18" t="str">
        <f t="shared" si="1"/>
        <v>09/09/03</v>
      </c>
      <c r="F2082" s="18">
        <v>0.0</v>
      </c>
      <c r="G2082" s="27">
        <v>33611.71</v>
      </c>
      <c r="H2082" s="18" t="s">
        <v>219</v>
      </c>
      <c r="I2082" s="18" t="s">
        <v>140</v>
      </c>
      <c r="J2082" s="18" t="s">
        <v>570</v>
      </c>
      <c r="K2082" s="29">
        <f t="shared" si="2"/>
        <v>19</v>
      </c>
    </row>
    <row r="2083" ht="15.75" customHeight="1">
      <c r="A2083" s="18" t="s">
        <v>831</v>
      </c>
      <c r="B2083" s="18">
        <v>1993.0</v>
      </c>
      <c r="C2083" s="18" t="s">
        <v>209</v>
      </c>
      <c r="D2083" s="18">
        <v>28.0</v>
      </c>
      <c r="E2083" s="18" t="str">
        <f t="shared" si="1"/>
        <v>28/11/93</v>
      </c>
      <c r="F2083" s="18">
        <v>0.0</v>
      </c>
      <c r="G2083" s="27">
        <v>33707.55</v>
      </c>
      <c r="H2083" s="18" t="s">
        <v>140</v>
      </c>
      <c r="I2083" s="18" t="s">
        <v>140</v>
      </c>
      <c r="J2083" s="18" t="s">
        <v>570</v>
      </c>
      <c r="K2083" s="29">
        <f t="shared" si="2"/>
        <v>29</v>
      </c>
    </row>
    <row r="2084" ht="15.75" customHeight="1">
      <c r="A2084" s="18" t="s">
        <v>827</v>
      </c>
      <c r="B2084" s="18">
        <v>2004.0</v>
      </c>
      <c r="C2084" s="18" t="s">
        <v>209</v>
      </c>
      <c r="D2084" s="18">
        <v>1.0</v>
      </c>
      <c r="E2084" s="18" t="str">
        <f t="shared" si="1"/>
        <v>01/11/04</v>
      </c>
      <c r="F2084" s="18">
        <v>0.0</v>
      </c>
      <c r="G2084" s="27">
        <v>33732.69</v>
      </c>
      <c r="H2084" s="18" t="s">
        <v>219</v>
      </c>
      <c r="I2084" s="18" t="s">
        <v>219</v>
      </c>
      <c r="J2084" s="18" t="s">
        <v>2617</v>
      </c>
      <c r="K2084" s="29">
        <f t="shared" si="2"/>
        <v>18</v>
      </c>
    </row>
    <row r="2085" ht="15.75" customHeight="1">
      <c r="A2085" s="18" t="s">
        <v>824</v>
      </c>
      <c r="B2085" s="18">
        <v>2003.0</v>
      </c>
      <c r="C2085" s="18" t="s">
        <v>272</v>
      </c>
      <c r="D2085" s="18">
        <v>12.0</v>
      </c>
      <c r="E2085" s="18" t="str">
        <f t="shared" si="1"/>
        <v>12/09/03</v>
      </c>
      <c r="F2085" s="18">
        <v>0.0</v>
      </c>
      <c r="G2085" s="27">
        <v>33750.29</v>
      </c>
      <c r="H2085" s="18" t="s">
        <v>219</v>
      </c>
      <c r="I2085" s="18" t="s">
        <v>142</v>
      </c>
      <c r="J2085" s="18" t="s">
        <v>325</v>
      </c>
      <c r="K2085" s="29">
        <f t="shared" si="2"/>
        <v>19</v>
      </c>
    </row>
    <row r="2086" ht="15.75" customHeight="1">
      <c r="A2086" s="18" t="s">
        <v>821</v>
      </c>
      <c r="B2086" s="18">
        <v>1962.0</v>
      </c>
      <c r="C2086" s="18" t="s">
        <v>457</v>
      </c>
      <c r="D2086" s="18">
        <v>11.0</v>
      </c>
      <c r="E2086" s="18" t="str">
        <f t="shared" si="1"/>
        <v>11/12/62</v>
      </c>
      <c r="F2086" s="18">
        <v>0.0</v>
      </c>
      <c r="G2086" s="27">
        <v>33753.32</v>
      </c>
      <c r="H2086" s="18" t="s">
        <v>219</v>
      </c>
      <c r="I2086" s="18" t="s">
        <v>142</v>
      </c>
      <c r="J2086" s="18" t="s">
        <v>570</v>
      </c>
      <c r="K2086" s="29">
        <f t="shared" si="2"/>
        <v>60</v>
      </c>
    </row>
    <row r="2087" ht="15.75" customHeight="1">
      <c r="A2087" s="18" t="s">
        <v>819</v>
      </c>
      <c r="B2087" s="18">
        <v>2000.0</v>
      </c>
      <c r="C2087" s="18" t="s">
        <v>517</v>
      </c>
      <c r="D2087" s="18">
        <v>26.0</v>
      </c>
      <c r="E2087" s="18" t="str">
        <f t="shared" si="1"/>
        <v>26/10/00</v>
      </c>
      <c r="F2087" s="18">
        <v>0.0</v>
      </c>
      <c r="G2087" s="27">
        <v>33829.39</v>
      </c>
      <c r="H2087" s="18" t="s">
        <v>140</v>
      </c>
      <c r="I2087" s="18" t="s">
        <v>142</v>
      </c>
      <c r="J2087" s="18" t="s">
        <v>570</v>
      </c>
      <c r="K2087" s="29">
        <f t="shared" si="2"/>
        <v>22</v>
      </c>
    </row>
    <row r="2088" ht="15.75" customHeight="1">
      <c r="A2088" s="18" t="s">
        <v>816</v>
      </c>
      <c r="B2088" s="18">
        <v>1997.0</v>
      </c>
      <c r="C2088" s="18" t="s">
        <v>501</v>
      </c>
      <c r="D2088" s="18">
        <v>9.0</v>
      </c>
      <c r="E2088" s="18" t="str">
        <f t="shared" si="1"/>
        <v>09/08/97</v>
      </c>
      <c r="F2088" s="18">
        <v>0.0</v>
      </c>
      <c r="G2088" s="27">
        <v>33900.65</v>
      </c>
      <c r="H2088" s="18" t="s">
        <v>140</v>
      </c>
      <c r="I2088" s="18" t="s">
        <v>142</v>
      </c>
      <c r="J2088" s="18" t="s">
        <v>570</v>
      </c>
      <c r="K2088" s="29">
        <f t="shared" si="2"/>
        <v>25</v>
      </c>
    </row>
    <row r="2089" ht="15.75" customHeight="1">
      <c r="A2089" s="18" t="s">
        <v>814</v>
      </c>
      <c r="B2089" s="18">
        <v>2000.0</v>
      </c>
      <c r="C2089" s="18" t="s">
        <v>457</v>
      </c>
      <c r="D2089" s="18">
        <v>27.0</v>
      </c>
      <c r="E2089" s="18" t="str">
        <f t="shared" si="1"/>
        <v>27/12/00</v>
      </c>
      <c r="F2089" s="18">
        <v>0.0</v>
      </c>
      <c r="G2089" s="27">
        <v>33907.55</v>
      </c>
      <c r="H2089" s="18" t="s">
        <v>140</v>
      </c>
      <c r="I2089" s="18" t="s">
        <v>140</v>
      </c>
      <c r="J2089" s="18" t="s">
        <v>325</v>
      </c>
      <c r="K2089" s="29">
        <f t="shared" si="2"/>
        <v>22</v>
      </c>
    </row>
    <row r="2090" ht="15.75" customHeight="1">
      <c r="A2090" s="18" t="s">
        <v>811</v>
      </c>
      <c r="B2090" s="18">
        <v>1994.0</v>
      </c>
      <c r="C2090" s="18" t="s">
        <v>272</v>
      </c>
      <c r="D2090" s="18">
        <v>25.0</v>
      </c>
      <c r="E2090" s="18" t="str">
        <f t="shared" si="1"/>
        <v>25/09/94</v>
      </c>
      <c r="F2090" s="18">
        <v>0.0</v>
      </c>
      <c r="G2090" s="27">
        <v>33975.47</v>
      </c>
      <c r="H2090" s="18" t="s">
        <v>140</v>
      </c>
      <c r="I2090" s="18" t="s">
        <v>140</v>
      </c>
      <c r="J2090" s="18" t="s">
        <v>570</v>
      </c>
      <c r="K2090" s="29">
        <f t="shared" si="2"/>
        <v>28</v>
      </c>
    </row>
    <row r="2091" ht="15.75" customHeight="1">
      <c r="A2091" s="18" t="s">
        <v>808</v>
      </c>
      <c r="B2091" s="18">
        <v>1972.0</v>
      </c>
      <c r="C2091" s="18" t="s">
        <v>91</v>
      </c>
      <c r="D2091" s="18">
        <v>26.0</v>
      </c>
      <c r="E2091" s="18" t="str">
        <f t="shared" si="1"/>
        <v>26/07/72</v>
      </c>
      <c r="F2091" s="18">
        <v>0.0</v>
      </c>
      <c r="G2091" s="27">
        <v>34053.36</v>
      </c>
      <c r="H2091" s="18" t="s">
        <v>140</v>
      </c>
      <c r="I2091" s="18" t="s">
        <v>140</v>
      </c>
      <c r="J2091" s="18" t="s">
        <v>570</v>
      </c>
      <c r="K2091" s="29">
        <f t="shared" si="2"/>
        <v>50</v>
      </c>
    </row>
    <row r="2092" ht="15.75" customHeight="1">
      <c r="A2092" s="18" t="s">
        <v>805</v>
      </c>
      <c r="B2092" s="18">
        <v>2002.0</v>
      </c>
      <c r="C2092" s="18" t="s">
        <v>457</v>
      </c>
      <c r="D2092" s="18">
        <v>26.0</v>
      </c>
      <c r="E2092" s="18" t="str">
        <f t="shared" si="1"/>
        <v>26/12/02</v>
      </c>
      <c r="F2092" s="18">
        <v>0.0</v>
      </c>
      <c r="G2092" s="27">
        <v>34084.68</v>
      </c>
      <c r="H2092" s="18" t="s">
        <v>140</v>
      </c>
      <c r="I2092" s="18" t="s">
        <v>142</v>
      </c>
      <c r="J2092" s="18" t="s">
        <v>570</v>
      </c>
      <c r="K2092" s="29">
        <f t="shared" si="2"/>
        <v>20</v>
      </c>
    </row>
    <row r="2093" ht="15.75" customHeight="1">
      <c r="A2093" s="18" t="s">
        <v>802</v>
      </c>
      <c r="B2093" s="18">
        <v>1999.0</v>
      </c>
      <c r="C2093" s="18" t="s">
        <v>209</v>
      </c>
      <c r="D2093" s="18">
        <v>6.0</v>
      </c>
      <c r="E2093" s="18" t="str">
        <f t="shared" si="1"/>
        <v>06/11/99</v>
      </c>
      <c r="F2093" s="18">
        <v>0.0</v>
      </c>
      <c r="G2093" s="27">
        <v>34166.27</v>
      </c>
      <c r="H2093" s="18" t="s">
        <v>140</v>
      </c>
      <c r="I2093" s="18" t="s">
        <v>142</v>
      </c>
      <c r="J2093" s="18" t="s">
        <v>570</v>
      </c>
      <c r="K2093" s="29">
        <f t="shared" si="2"/>
        <v>23</v>
      </c>
    </row>
    <row r="2094" ht="15.75" customHeight="1">
      <c r="A2094" s="18" t="s">
        <v>799</v>
      </c>
      <c r="B2094" s="18">
        <v>1971.0</v>
      </c>
      <c r="C2094" s="18" t="s">
        <v>501</v>
      </c>
      <c r="D2094" s="18">
        <v>25.0</v>
      </c>
      <c r="E2094" s="18" t="str">
        <f t="shared" si="1"/>
        <v>25/08/71</v>
      </c>
      <c r="F2094" s="18">
        <v>0.0</v>
      </c>
      <c r="G2094" s="27">
        <v>34205.07</v>
      </c>
      <c r="H2094" s="18" t="s">
        <v>140</v>
      </c>
      <c r="I2094" s="18" t="s">
        <v>140</v>
      </c>
      <c r="J2094" s="18" t="s">
        <v>570</v>
      </c>
      <c r="K2094" s="29">
        <f t="shared" si="2"/>
        <v>51</v>
      </c>
    </row>
    <row r="2095" ht="15.75" customHeight="1">
      <c r="A2095" s="18" t="s">
        <v>796</v>
      </c>
      <c r="B2095" s="18">
        <v>1975.0</v>
      </c>
      <c r="C2095" s="18" t="s">
        <v>91</v>
      </c>
      <c r="D2095" s="18">
        <v>21.0</v>
      </c>
      <c r="E2095" s="18" t="str">
        <f t="shared" si="1"/>
        <v>21/07/75</v>
      </c>
      <c r="F2095" s="18">
        <v>1.0</v>
      </c>
      <c r="G2095" s="27">
        <v>34210.33</v>
      </c>
      <c r="H2095" s="18" t="s">
        <v>140</v>
      </c>
      <c r="I2095" s="18" t="s">
        <v>219</v>
      </c>
      <c r="J2095" s="18" t="s">
        <v>325</v>
      </c>
      <c r="K2095" s="29">
        <f t="shared" si="2"/>
        <v>47</v>
      </c>
    </row>
    <row r="2096" ht="15.75" customHeight="1">
      <c r="A2096" s="18" t="s">
        <v>793</v>
      </c>
      <c r="B2096" s="18">
        <v>1962.0</v>
      </c>
      <c r="C2096" s="18" t="s">
        <v>91</v>
      </c>
      <c r="D2096" s="18">
        <v>5.0</v>
      </c>
      <c r="E2096" s="18" t="str">
        <f t="shared" si="1"/>
        <v>05/07/62</v>
      </c>
      <c r="F2096" s="18">
        <v>0.0</v>
      </c>
      <c r="G2096" s="27">
        <v>34218.02</v>
      </c>
      <c r="H2096" s="18" t="s">
        <v>219</v>
      </c>
      <c r="I2096" s="18" t="s">
        <v>219</v>
      </c>
      <c r="J2096" s="18" t="s">
        <v>570</v>
      </c>
      <c r="K2096" s="29">
        <f t="shared" si="2"/>
        <v>60</v>
      </c>
    </row>
    <row r="2097" ht="15.75" customHeight="1">
      <c r="A2097" s="18" t="s">
        <v>790</v>
      </c>
      <c r="B2097" s="18">
        <v>1998.0</v>
      </c>
      <c r="C2097" s="18" t="s">
        <v>241</v>
      </c>
      <c r="D2097" s="18">
        <v>11.0</v>
      </c>
      <c r="E2097" s="18" t="str">
        <f t="shared" si="1"/>
        <v>11/06/98</v>
      </c>
      <c r="F2097" s="18">
        <v>0.0</v>
      </c>
      <c r="G2097" s="27">
        <v>34254.05</v>
      </c>
      <c r="H2097" s="18" t="s">
        <v>219</v>
      </c>
      <c r="I2097" s="18" t="s">
        <v>142</v>
      </c>
      <c r="J2097" s="18" t="s">
        <v>1421</v>
      </c>
      <c r="K2097" s="29">
        <f t="shared" si="2"/>
        <v>24</v>
      </c>
    </row>
    <row r="2098" ht="15.75" customHeight="1">
      <c r="A2098" s="18" t="s">
        <v>787</v>
      </c>
      <c r="B2098" s="18">
        <v>1995.0</v>
      </c>
      <c r="C2098" s="18" t="s">
        <v>517</v>
      </c>
      <c r="D2098" s="18">
        <v>30.0</v>
      </c>
      <c r="E2098" s="18" t="str">
        <f t="shared" si="1"/>
        <v>30/10/95</v>
      </c>
      <c r="F2098" s="18">
        <v>0.0</v>
      </c>
      <c r="G2098" s="27">
        <v>34289.43</v>
      </c>
      <c r="H2098" s="18" t="s">
        <v>219</v>
      </c>
      <c r="I2098" s="18" t="s">
        <v>219</v>
      </c>
      <c r="J2098" s="18" t="s">
        <v>570</v>
      </c>
      <c r="K2098" s="29">
        <f t="shared" si="2"/>
        <v>27</v>
      </c>
    </row>
    <row r="2099" ht="15.75" customHeight="1">
      <c r="A2099" s="18" t="s">
        <v>784</v>
      </c>
      <c r="B2099" s="18">
        <v>1986.0</v>
      </c>
      <c r="C2099" s="18" t="s">
        <v>517</v>
      </c>
      <c r="D2099" s="18">
        <v>11.0</v>
      </c>
      <c r="E2099" s="18" t="str">
        <f t="shared" si="1"/>
        <v>11/10/86</v>
      </c>
      <c r="F2099" s="18">
        <v>3.0</v>
      </c>
      <c r="G2099" s="27">
        <v>34293.12</v>
      </c>
      <c r="H2099" s="18" t="s">
        <v>219</v>
      </c>
      <c r="I2099" s="18" t="s">
        <v>140</v>
      </c>
      <c r="J2099" s="18" t="s">
        <v>570</v>
      </c>
      <c r="K2099" s="29">
        <f t="shared" si="2"/>
        <v>36</v>
      </c>
    </row>
    <row r="2100" ht="15.75" customHeight="1">
      <c r="A2100" s="18" t="s">
        <v>6032</v>
      </c>
      <c r="B2100" s="18">
        <v>2004.0</v>
      </c>
      <c r="C2100" s="18" t="s">
        <v>209</v>
      </c>
      <c r="D2100" s="18">
        <v>1.0</v>
      </c>
      <c r="E2100" s="18" t="str">
        <f t="shared" si="1"/>
        <v>01/11/04</v>
      </c>
      <c r="F2100" s="18">
        <v>2.0</v>
      </c>
      <c r="G2100" s="27">
        <v>34303.17</v>
      </c>
      <c r="H2100" s="18" t="s">
        <v>219</v>
      </c>
      <c r="I2100" s="18" t="s">
        <v>142</v>
      </c>
      <c r="J2100" s="18" t="s">
        <v>146</v>
      </c>
      <c r="K2100" s="29">
        <f t="shared" si="2"/>
        <v>18</v>
      </c>
    </row>
    <row r="2101" ht="15.75" customHeight="1">
      <c r="A2101" s="18" t="s">
        <v>781</v>
      </c>
      <c r="B2101" s="18">
        <v>1983.0</v>
      </c>
      <c r="C2101" s="18" t="s">
        <v>517</v>
      </c>
      <c r="D2101" s="18">
        <v>2.0</v>
      </c>
      <c r="E2101" s="18" t="str">
        <f t="shared" si="1"/>
        <v>02/10/83</v>
      </c>
      <c r="F2101" s="18">
        <v>3.0</v>
      </c>
      <c r="G2101" s="27">
        <v>34307.22</v>
      </c>
      <c r="H2101" s="18" t="s">
        <v>140</v>
      </c>
      <c r="I2101" s="18" t="s">
        <v>140</v>
      </c>
      <c r="J2101" s="18" t="s">
        <v>325</v>
      </c>
      <c r="K2101" s="29">
        <f t="shared" si="2"/>
        <v>39</v>
      </c>
    </row>
    <row r="2102" ht="15.75" customHeight="1">
      <c r="A2102" s="18" t="s">
        <v>778</v>
      </c>
      <c r="B2102" s="18">
        <v>1984.0</v>
      </c>
      <c r="C2102" s="18" t="s">
        <v>517</v>
      </c>
      <c r="D2102" s="18">
        <v>1.0</v>
      </c>
      <c r="E2102" s="18" t="str">
        <f t="shared" si="1"/>
        <v>01/10/84</v>
      </c>
      <c r="F2102" s="18">
        <v>3.0</v>
      </c>
      <c r="G2102" s="27">
        <v>34402.22</v>
      </c>
      <c r="H2102" s="18" t="s">
        <v>140</v>
      </c>
      <c r="I2102" s="18" t="s">
        <v>142</v>
      </c>
      <c r="J2102" s="18" t="s">
        <v>570</v>
      </c>
      <c r="K2102" s="29">
        <f t="shared" si="2"/>
        <v>38</v>
      </c>
    </row>
    <row r="2103" ht="15.75" customHeight="1">
      <c r="A2103" s="18" t="s">
        <v>774</v>
      </c>
      <c r="B2103" s="18">
        <v>2003.0</v>
      </c>
      <c r="C2103" s="18" t="s">
        <v>517</v>
      </c>
      <c r="D2103" s="18">
        <v>5.0</v>
      </c>
      <c r="E2103" s="18" t="str">
        <f t="shared" si="1"/>
        <v>05/10/03</v>
      </c>
      <c r="F2103" s="18">
        <v>0.0</v>
      </c>
      <c r="G2103" s="27">
        <v>34439.86</v>
      </c>
      <c r="H2103" s="18" t="s">
        <v>140</v>
      </c>
      <c r="I2103" s="18" t="s">
        <v>219</v>
      </c>
      <c r="J2103" s="18" t="s">
        <v>146</v>
      </c>
      <c r="K2103" s="29">
        <f t="shared" si="2"/>
        <v>19</v>
      </c>
    </row>
    <row r="2104" ht="15.75" customHeight="1">
      <c r="A2104" s="18" t="s">
        <v>771</v>
      </c>
      <c r="B2104" s="18">
        <v>1990.0</v>
      </c>
      <c r="C2104" s="18" t="s">
        <v>272</v>
      </c>
      <c r="D2104" s="18">
        <v>24.0</v>
      </c>
      <c r="E2104" s="18" t="str">
        <f t="shared" si="1"/>
        <v>24/09/90</v>
      </c>
      <c r="F2104" s="18">
        <v>3.0</v>
      </c>
      <c r="G2104" s="27">
        <v>34456.27</v>
      </c>
      <c r="H2104" s="18" t="s">
        <v>219</v>
      </c>
      <c r="I2104" s="18" t="s">
        <v>140</v>
      </c>
      <c r="J2104" s="18" t="s">
        <v>570</v>
      </c>
      <c r="K2104" s="29">
        <f t="shared" si="2"/>
        <v>32</v>
      </c>
    </row>
    <row r="2105" ht="15.75" customHeight="1">
      <c r="A2105" s="18" t="s">
        <v>768</v>
      </c>
      <c r="B2105" s="18">
        <v>1998.0</v>
      </c>
      <c r="C2105" s="18" t="s">
        <v>241</v>
      </c>
      <c r="D2105" s="18">
        <v>24.0</v>
      </c>
      <c r="E2105" s="18" t="str">
        <f t="shared" si="1"/>
        <v>24/06/98</v>
      </c>
      <c r="F2105" s="18">
        <v>0.0</v>
      </c>
      <c r="G2105" s="27">
        <v>34472.84</v>
      </c>
      <c r="H2105" s="18" t="s">
        <v>219</v>
      </c>
      <c r="I2105" s="18" t="s">
        <v>142</v>
      </c>
      <c r="J2105" s="18" t="s">
        <v>570</v>
      </c>
      <c r="K2105" s="29">
        <f t="shared" si="2"/>
        <v>24</v>
      </c>
    </row>
    <row r="2106" ht="15.75" customHeight="1">
      <c r="A2106" s="18" t="s">
        <v>765</v>
      </c>
      <c r="B2106" s="18">
        <v>1976.0</v>
      </c>
      <c r="C2106" s="18" t="s">
        <v>209</v>
      </c>
      <c r="D2106" s="18">
        <v>25.0</v>
      </c>
      <c r="E2106" s="18" t="str">
        <f t="shared" si="1"/>
        <v>25/11/76</v>
      </c>
      <c r="F2106" s="18">
        <v>2.0</v>
      </c>
      <c r="G2106" s="27">
        <v>34543.39</v>
      </c>
      <c r="H2106" s="18" t="s">
        <v>140</v>
      </c>
      <c r="I2106" s="18" t="s">
        <v>142</v>
      </c>
      <c r="J2106" s="18" t="s">
        <v>570</v>
      </c>
      <c r="K2106" s="29">
        <f t="shared" si="2"/>
        <v>46</v>
      </c>
    </row>
    <row r="2107" ht="15.75" customHeight="1">
      <c r="A2107" s="18" t="s">
        <v>764</v>
      </c>
      <c r="B2107" s="18">
        <v>2004.0</v>
      </c>
      <c r="C2107" s="18" t="s">
        <v>517</v>
      </c>
      <c r="D2107" s="18">
        <v>9.0</v>
      </c>
      <c r="E2107" s="18" t="str">
        <f t="shared" si="1"/>
        <v>09/10/04</v>
      </c>
      <c r="F2107" s="18">
        <v>0.0</v>
      </c>
      <c r="G2107" s="27">
        <v>34617.84</v>
      </c>
      <c r="H2107" s="18" t="s">
        <v>219</v>
      </c>
      <c r="I2107" s="18" t="s">
        <v>142</v>
      </c>
      <c r="J2107" s="18" t="s">
        <v>1427</v>
      </c>
      <c r="K2107" s="29">
        <f t="shared" si="2"/>
        <v>18</v>
      </c>
    </row>
    <row r="2108" ht="15.75" customHeight="1">
      <c r="A2108" s="18" t="s">
        <v>760</v>
      </c>
      <c r="B2108" s="18">
        <v>1994.0</v>
      </c>
      <c r="C2108" s="18" t="s">
        <v>91</v>
      </c>
      <c r="D2108" s="18">
        <v>7.0</v>
      </c>
      <c r="E2108" s="18" t="str">
        <f t="shared" si="1"/>
        <v>07/07/94</v>
      </c>
      <c r="F2108" s="18">
        <v>0.0</v>
      </c>
      <c r="G2108" s="27">
        <v>34672.15</v>
      </c>
      <c r="H2108" s="18" t="s">
        <v>219</v>
      </c>
      <c r="I2108" s="18" t="s">
        <v>142</v>
      </c>
      <c r="J2108" s="18" t="s">
        <v>146</v>
      </c>
      <c r="K2108" s="29">
        <f t="shared" si="2"/>
        <v>28</v>
      </c>
    </row>
    <row r="2109" ht="15.75" customHeight="1">
      <c r="A2109" s="18" t="s">
        <v>757</v>
      </c>
      <c r="B2109" s="18">
        <v>2003.0</v>
      </c>
      <c r="C2109" s="18" t="s">
        <v>91</v>
      </c>
      <c r="D2109" s="18">
        <v>3.0</v>
      </c>
      <c r="E2109" s="18" t="str">
        <f t="shared" si="1"/>
        <v>03/07/03</v>
      </c>
      <c r="F2109" s="18">
        <v>0.0</v>
      </c>
      <c r="G2109" s="27">
        <v>34779.62</v>
      </c>
      <c r="H2109" s="18" t="s">
        <v>219</v>
      </c>
      <c r="I2109" s="18" t="s">
        <v>140</v>
      </c>
      <c r="J2109" s="18" t="s">
        <v>570</v>
      </c>
      <c r="K2109" s="29">
        <f t="shared" si="2"/>
        <v>19</v>
      </c>
    </row>
    <row r="2110" ht="15.75" customHeight="1">
      <c r="A2110" s="18" t="s">
        <v>754</v>
      </c>
      <c r="B2110" s="18">
        <v>1995.0</v>
      </c>
      <c r="C2110" s="18" t="s">
        <v>457</v>
      </c>
      <c r="D2110" s="18">
        <v>27.0</v>
      </c>
      <c r="E2110" s="18" t="str">
        <f t="shared" si="1"/>
        <v>27/12/95</v>
      </c>
      <c r="F2110" s="18">
        <v>1.0</v>
      </c>
      <c r="G2110" s="27">
        <v>34806.47</v>
      </c>
      <c r="H2110" s="18" t="s">
        <v>219</v>
      </c>
      <c r="I2110" s="18" t="s">
        <v>140</v>
      </c>
      <c r="J2110" s="18" t="s">
        <v>146</v>
      </c>
      <c r="K2110" s="29">
        <f t="shared" si="2"/>
        <v>27</v>
      </c>
    </row>
    <row r="2111" ht="15.75" customHeight="1">
      <c r="A2111" s="18" t="s">
        <v>751</v>
      </c>
      <c r="B2111" s="18">
        <v>2003.0</v>
      </c>
      <c r="C2111" s="18" t="s">
        <v>272</v>
      </c>
      <c r="D2111" s="18">
        <v>17.0</v>
      </c>
      <c r="E2111" s="18" t="str">
        <f t="shared" si="1"/>
        <v>17/09/03</v>
      </c>
      <c r="F2111" s="18">
        <v>0.0</v>
      </c>
      <c r="G2111" s="27">
        <v>34828.65</v>
      </c>
      <c r="H2111" s="18" t="s">
        <v>219</v>
      </c>
      <c r="I2111" s="18" t="s">
        <v>142</v>
      </c>
      <c r="J2111" s="18" t="s">
        <v>570</v>
      </c>
      <c r="K2111" s="29">
        <f t="shared" si="2"/>
        <v>19</v>
      </c>
    </row>
    <row r="2112" ht="15.75" customHeight="1">
      <c r="A2112" s="18" t="s">
        <v>747</v>
      </c>
      <c r="B2112" s="18">
        <v>1995.0</v>
      </c>
      <c r="C2112" s="18" t="s">
        <v>517</v>
      </c>
      <c r="D2112" s="18">
        <v>17.0</v>
      </c>
      <c r="E2112" s="18" t="str">
        <f t="shared" si="1"/>
        <v>17/10/95</v>
      </c>
      <c r="F2112" s="18">
        <v>0.0</v>
      </c>
      <c r="G2112" s="27">
        <v>34838.87</v>
      </c>
      <c r="H2112" s="18" t="s">
        <v>140</v>
      </c>
      <c r="I2112" s="18" t="s">
        <v>142</v>
      </c>
      <c r="J2112" s="18" t="s">
        <v>570</v>
      </c>
      <c r="K2112" s="29">
        <f t="shared" si="2"/>
        <v>27</v>
      </c>
    </row>
    <row r="2113" ht="15.75" customHeight="1">
      <c r="A2113" s="18" t="s">
        <v>744</v>
      </c>
      <c r="B2113" s="18">
        <v>1983.0</v>
      </c>
      <c r="C2113" s="18" t="s">
        <v>91</v>
      </c>
      <c r="D2113" s="18">
        <v>29.0</v>
      </c>
      <c r="E2113" s="18" t="str">
        <f t="shared" si="1"/>
        <v>29/07/83</v>
      </c>
      <c r="F2113" s="18">
        <v>3.0</v>
      </c>
      <c r="G2113" s="27">
        <v>34940.61</v>
      </c>
      <c r="H2113" s="18" t="s">
        <v>140</v>
      </c>
      <c r="I2113" s="18" t="s">
        <v>142</v>
      </c>
      <c r="J2113" s="18" t="s">
        <v>570</v>
      </c>
      <c r="K2113" s="29">
        <f t="shared" si="2"/>
        <v>39</v>
      </c>
    </row>
    <row r="2114" ht="15.75" customHeight="1">
      <c r="A2114" s="18" t="s">
        <v>741</v>
      </c>
      <c r="B2114" s="18">
        <v>1967.0</v>
      </c>
      <c r="C2114" s="18" t="s">
        <v>517</v>
      </c>
      <c r="D2114" s="18">
        <v>7.0</v>
      </c>
      <c r="E2114" s="18" t="str">
        <f t="shared" si="1"/>
        <v>07/10/67</v>
      </c>
      <c r="F2114" s="18">
        <v>0.0</v>
      </c>
      <c r="G2114" s="27">
        <v>34975.68</v>
      </c>
      <c r="H2114" s="18" t="s">
        <v>140</v>
      </c>
      <c r="I2114" s="18" t="s">
        <v>140</v>
      </c>
      <c r="J2114" s="18" t="s">
        <v>570</v>
      </c>
      <c r="K2114" s="29">
        <f t="shared" si="2"/>
        <v>55</v>
      </c>
    </row>
    <row r="2115" ht="15.75" customHeight="1">
      <c r="A2115" s="18" t="s">
        <v>738</v>
      </c>
      <c r="B2115" s="18">
        <v>1998.0</v>
      </c>
      <c r="C2115" s="18" t="s">
        <v>501</v>
      </c>
      <c r="D2115" s="18">
        <v>22.0</v>
      </c>
      <c r="E2115" s="18" t="str">
        <f t="shared" si="1"/>
        <v>22/08/98</v>
      </c>
      <c r="F2115" s="18">
        <v>0.0</v>
      </c>
      <c r="G2115" s="27">
        <v>34976.42</v>
      </c>
      <c r="H2115" s="18" t="s">
        <v>140</v>
      </c>
      <c r="I2115" s="18" t="s">
        <v>219</v>
      </c>
      <c r="J2115" s="18" t="s">
        <v>570</v>
      </c>
      <c r="K2115" s="29">
        <f t="shared" si="2"/>
        <v>24</v>
      </c>
    </row>
    <row r="2116" ht="15.75" customHeight="1">
      <c r="A2116" s="18" t="s">
        <v>735</v>
      </c>
      <c r="B2116" s="18">
        <v>1997.0</v>
      </c>
      <c r="C2116" s="18" t="s">
        <v>501</v>
      </c>
      <c r="D2116" s="18">
        <v>22.0</v>
      </c>
      <c r="E2116" s="18" t="str">
        <f t="shared" si="1"/>
        <v>22/08/97</v>
      </c>
      <c r="F2116" s="18">
        <v>0.0</v>
      </c>
      <c r="G2116" s="27">
        <v>34979.86</v>
      </c>
      <c r="H2116" s="18" t="s">
        <v>140</v>
      </c>
      <c r="I2116" s="18" t="s">
        <v>140</v>
      </c>
      <c r="J2116" s="18" t="s">
        <v>570</v>
      </c>
      <c r="K2116" s="29">
        <f t="shared" si="2"/>
        <v>25</v>
      </c>
    </row>
    <row r="2117" ht="15.75" customHeight="1">
      <c r="A2117" s="18" t="s">
        <v>733</v>
      </c>
      <c r="B2117" s="18">
        <v>1982.0</v>
      </c>
      <c r="C2117" s="18" t="s">
        <v>91</v>
      </c>
      <c r="D2117" s="18">
        <v>5.0</v>
      </c>
      <c r="E2117" s="18" t="str">
        <f t="shared" si="1"/>
        <v>05/07/82</v>
      </c>
      <c r="F2117" s="18">
        <v>3.0</v>
      </c>
      <c r="G2117" s="27">
        <v>35000.73</v>
      </c>
      <c r="H2117" s="18" t="s">
        <v>140</v>
      </c>
      <c r="I2117" s="18" t="s">
        <v>142</v>
      </c>
      <c r="J2117" s="18" t="s">
        <v>570</v>
      </c>
      <c r="K2117" s="29">
        <f t="shared" si="2"/>
        <v>40</v>
      </c>
    </row>
    <row r="2118" ht="15.75" customHeight="1">
      <c r="A2118" s="18" t="s">
        <v>730</v>
      </c>
      <c r="B2118" s="18">
        <v>1975.0</v>
      </c>
      <c r="C2118" s="18" t="s">
        <v>501</v>
      </c>
      <c r="D2118" s="18">
        <v>29.0</v>
      </c>
      <c r="E2118" s="18" t="str">
        <f t="shared" si="1"/>
        <v>29/08/75</v>
      </c>
      <c r="F2118" s="18">
        <v>1.0</v>
      </c>
      <c r="G2118" s="27">
        <v>35050.62</v>
      </c>
      <c r="H2118" s="18" t="s">
        <v>140</v>
      </c>
      <c r="I2118" s="18" t="s">
        <v>219</v>
      </c>
      <c r="J2118" s="18" t="s">
        <v>570</v>
      </c>
      <c r="K2118" s="29">
        <f t="shared" si="2"/>
        <v>47</v>
      </c>
    </row>
    <row r="2119" ht="15.75" customHeight="1">
      <c r="A2119" s="18" t="s">
        <v>726</v>
      </c>
      <c r="B2119" s="18">
        <v>1977.0</v>
      </c>
      <c r="C2119" s="18" t="s">
        <v>241</v>
      </c>
      <c r="D2119" s="18">
        <v>29.0</v>
      </c>
      <c r="E2119" s="18" t="str">
        <f t="shared" si="1"/>
        <v>29/06/77</v>
      </c>
      <c r="F2119" s="18">
        <v>0.0</v>
      </c>
      <c r="G2119" s="27">
        <v>35069.37</v>
      </c>
      <c r="H2119" s="18" t="s">
        <v>219</v>
      </c>
      <c r="I2119" s="18" t="s">
        <v>219</v>
      </c>
      <c r="J2119" s="18" t="s">
        <v>2617</v>
      </c>
      <c r="K2119" s="29">
        <f t="shared" si="2"/>
        <v>45</v>
      </c>
    </row>
    <row r="2120" ht="15.75" customHeight="1">
      <c r="A2120" s="18" t="s">
        <v>722</v>
      </c>
      <c r="B2120" s="18">
        <v>1998.0</v>
      </c>
      <c r="C2120" s="18" t="s">
        <v>457</v>
      </c>
      <c r="D2120" s="18">
        <v>22.0</v>
      </c>
      <c r="E2120" s="18" t="str">
        <f t="shared" si="1"/>
        <v>22/12/98</v>
      </c>
      <c r="F2120" s="18">
        <v>0.0</v>
      </c>
      <c r="G2120" s="27">
        <v>35147.53</v>
      </c>
      <c r="H2120" s="18" t="s">
        <v>219</v>
      </c>
      <c r="I2120" s="18" t="s">
        <v>219</v>
      </c>
      <c r="J2120" s="18" t="s">
        <v>1427</v>
      </c>
      <c r="K2120" s="29">
        <f t="shared" si="2"/>
        <v>24</v>
      </c>
    </row>
    <row r="2121" ht="15.75" customHeight="1">
      <c r="A2121" s="18" t="s">
        <v>719</v>
      </c>
      <c r="B2121" s="18">
        <v>1967.0</v>
      </c>
      <c r="C2121" s="18" t="s">
        <v>457</v>
      </c>
      <c r="D2121" s="18">
        <v>30.0</v>
      </c>
      <c r="E2121" s="18" t="str">
        <f t="shared" si="1"/>
        <v>30/12/67</v>
      </c>
      <c r="F2121" s="18">
        <v>1.0</v>
      </c>
      <c r="G2121" s="27">
        <v>35160.13</v>
      </c>
      <c r="H2121" s="18" t="s">
        <v>140</v>
      </c>
      <c r="I2121" s="18" t="s">
        <v>140</v>
      </c>
      <c r="J2121" s="18" t="s">
        <v>570</v>
      </c>
      <c r="K2121" s="29">
        <f t="shared" si="2"/>
        <v>55</v>
      </c>
    </row>
    <row r="2122" ht="15.75" customHeight="1">
      <c r="A2122" s="18" t="s">
        <v>717</v>
      </c>
      <c r="B2122" s="18">
        <v>1997.0</v>
      </c>
      <c r="C2122" s="18" t="s">
        <v>91</v>
      </c>
      <c r="D2122" s="18">
        <v>9.0</v>
      </c>
      <c r="E2122" s="18" t="str">
        <f t="shared" si="1"/>
        <v>09/07/97</v>
      </c>
      <c r="F2122" s="18">
        <v>0.0</v>
      </c>
      <c r="G2122" s="27">
        <v>35302.09</v>
      </c>
      <c r="H2122" s="18" t="s">
        <v>219</v>
      </c>
      <c r="I2122" s="18" t="s">
        <v>140</v>
      </c>
      <c r="J2122" s="18" t="s">
        <v>570</v>
      </c>
      <c r="K2122" s="29">
        <f t="shared" si="2"/>
        <v>25</v>
      </c>
    </row>
    <row r="2123" ht="15.75" customHeight="1">
      <c r="A2123" s="18" t="s">
        <v>713</v>
      </c>
      <c r="B2123" s="18">
        <v>1988.0</v>
      </c>
      <c r="C2123" s="18" t="s">
        <v>272</v>
      </c>
      <c r="D2123" s="18">
        <v>19.0</v>
      </c>
      <c r="E2123" s="18" t="str">
        <f t="shared" si="1"/>
        <v>19/09/88</v>
      </c>
      <c r="F2123" s="18">
        <v>3.0</v>
      </c>
      <c r="G2123" s="27">
        <v>35315.96</v>
      </c>
      <c r="H2123" s="18" t="s">
        <v>140</v>
      </c>
      <c r="I2123" s="18" t="s">
        <v>219</v>
      </c>
      <c r="J2123" s="18" t="s">
        <v>570</v>
      </c>
      <c r="K2123" s="29">
        <f t="shared" si="2"/>
        <v>34</v>
      </c>
    </row>
    <row r="2124" ht="15.75" customHeight="1">
      <c r="A2124" s="18" t="s">
        <v>711</v>
      </c>
      <c r="B2124" s="18">
        <v>1971.0</v>
      </c>
      <c r="C2124" s="18" t="s">
        <v>272</v>
      </c>
      <c r="D2124" s="18">
        <v>22.0</v>
      </c>
      <c r="E2124" s="18" t="str">
        <f t="shared" si="1"/>
        <v>22/09/71</v>
      </c>
      <c r="F2124" s="18">
        <v>0.0</v>
      </c>
      <c r="G2124" s="27">
        <v>35345.73</v>
      </c>
      <c r="H2124" s="18" t="s">
        <v>140</v>
      </c>
      <c r="I2124" s="18" t="s">
        <v>142</v>
      </c>
      <c r="J2124" s="18" t="s">
        <v>570</v>
      </c>
      <c r="K2124" s="29">
        <f t="shared" si="2"/>
        <v>51</v>
      </c>
    </row>
    <row r="2125" ht="15.75" customHeight="1">
      <c r="A2125" s="18" t="s">
        <v>709</v>
      </c>
      <c r="B2125" s="18">
        <v>1988.0</v>
      </c>
      <c r="C2125" s="18" t="s">
        <v>209</v>
      </c>
      <c r="D2125" s="18">
        <v>20.0</v>
      </c>
      <c r="E2125" s="18" t="str">
        <f t="shared" si="1"/>
        <v>20/11/88</v>
      </c>
      <c r="F2125" s="18">
        <v>0.0</v>
      </c>
      <c r="G2125" s="27">
        <v>35491.64</v>
      </c>
      <c r="H2125" s="18" t="s">
        <v>219</v>
      </c>
      <c r="I2125" s="18" t="s">
        <v>140</v>
      </c>
      <c r="J2125" s="18" t="s">
        <v>570</v>
      </c>
      <c r="K2125" s="29">
        <f t="shared" si="2"/>
        <v>34</v>
      </c>
    </row>
    <row r="2126" ht="15.75" customHeight="1">
      <c r="A2126" s="18" t="s">
        <v>705</v>
      </c>
      <c r="B2126" s="18">
        <v>1973.0</v>
      </c>
      <c r="C2126" s="18" t="s">
        <v>457</v>
      </c>
      <c r="D2126" s="18">
        <v>16.0</v>
      </c>
      <c r="E2126" s="18" t="str">
        <f t="shared" si="1"/>
        <v>16/12/73</v>
      </c>
      <c r="F2126" s="18">
        <v>0.0</v>
      </c>
      <c r="G2126" s="27">
        <v>35517.19</v>
      </c>
      <c r="H2126" s="18" t="s">
        <v>140</v>
      </c>
      <c r="I2126" s="18" t="s">
        <v>140</v>
      </c>
      <c r="J2126" s="18" t="s">
        <v>570</v>
      </c>
      <c r="K2126" s="29">
        <f t="shared" si="2"/>
        <v>49</v>
      </c>
    </row>
    <row r="2127" ht="15.75" customHeight="1">
      <c r="A2127" s="18" t="s">
        <v>703</v>
      </c>
      <c r="B2127" s="18">
        <v>1992.0</v>
      </c>
      <c r="C2127" s="18" t="s">
        <v>272</v>
      </c>
      <c r="D2127" s="18">
        <v>13.0</v>
      </c>
      <c r="E2127" s="18" t="str">
        <f t="shared" si="1"/>
        <v>13/09/92</v>
      </c>
      <c r="F2127" s="18">
        <v>0.0</v>
      </c>
      <c r="G2127" s="27">
        <v>35547.47</v>
      </c>
      <c r="H2127" s="18" t="s">
        <v>140</v>
      </c>
      <c r="I2127" s="18" t="s">
        <v>142</v>
      </c>
      <c r="J2127" s="18" t="s">
        <v>570</v>
      </c>
      <c r="K2127" s="29">
        <f t="shared" si="2"/>
        <v>30</v>
      </c>
    </row>
    <row r="2128" ht="15.75" customHeight="1">
      <c r="A2128" s="18" t="s">
        <v>701</v>
      </c>
      <c r="B2128" s="18">
        <v>1973.0</v>
      </c>
      <c r="C2128" s="18" t="s">
        <v>517</v>
      </c>
      <c r="D2128" s="18">
        <v>27.0</v>
      </c>
      <c r="E2128" s="18" t="str">
        <f t="shared" si="1"/>
        <v>27/10/73</v>
      </c>
      <c r="F2128" s="18">
        <v>0.0</v>
      </c>
      <c r="G2128" s="27">
        <v>35547.72</v>
      </c>
      <c r="H2128" s="18" t="s">
        <v>219</v>
      </c>
      <c r="I2128" s="18" t="s">
        <v>219</v>
      </c>
      <c r="J2128" s="18" t="s">
        <v>570</v>
      </c>
      <c r="K2128" s="29">
        <f t="shared" si="2"/>
        <v>49</v>
      </c>
    </row>
    <row r="2129" ht="15.75" customHeight="1">
      <c r="A2129" s="18" t="s">
        <v>697</v>
      </c>
      <c r="B2129" s="18">
        <v>1964.0</v>
      </c>
      <c r="C2129" s="18" t="s">
        <v>501</v>
      </c>
      <c r="D2129" s="18">
        <v>29.0</v>
      </c>
      <c r="E2129" s="18" t="str">
        <f t="shared" si="1"/>
        <v>29/08/64</v>
      </c>
      <c r="F2129" s="18">
        <v>0.0</v>
      </c>
      <c r="G2129" s="27">
        <v>35573.26</v>
      </c>
      <c r="H2129" s="18" t="s">
        <v>140</v>
      </c>
      <c r="I2129" s="18" t="s">
        <v>219</v>
      </c>
      <c r="J2129" s="18" t="s">
        <v>570</v>
      </c>
      <c r="K2129" s="29">
        <f t="shared" si="2"/>
        <v>58</v>
      </c>
    </row>
    <row r="2130" ht="15.75" customHeight="1">
      <c r="A2130" s="18" t="s">
        <v>694</v>
      </c>
      <c r="B2130" s="18">
        <v>1971.0</v>
      </c>
      <c r="C2130" s="18" t="s">
        <v>501</v>
      </c>
      <c r="D2130" s="18">
        <v>10.0</v>
      </c>
      <c r="E2130" s="18" t="str">
        <f t="shared" si="1"/>
        <v>10/08/71</v>
      </c>
      <c r="F2130" s="18">
        <v>0.0</v>
      </c>
      <c r="G2130" s="27">
        <v>35583.17</v>
      </c>
      <c r="H2130" s="18" t="s">
        <v>219</v>
      </c>
      <c r="I2130" s="18" t="s">
        <v>142</v>
      </c>
      <c r="J2130" s="18" t="s">
        <v>570</v>
      </c>
      <c r="K2130" s="29">
        <f t="shared" si="2"/>
        <v>51</v>
      </c>
    </row>
    <row r="2131" ht="15.75" customHeight="1">
      <c r="A2131" s="20">
        <v>0.0</v>
      </c>
      <c r="B2131" s="18">
        <v>2000.0</v>
      </c>
      <c r="C2131" s="18" t="s">
        <v>517</v>
      </c>
      <c r="D2131" s="18">
        <v>13.0</v>
      </c>
      <c r="E2131" s="18" t="str">
        <f t="shared" si="1"/>
        <v>13/10/00</v>
      </c>
      <c r="F2131" s="18">
        <v>0.0</v>
      </c>
      <c r="G2131" s="27">
        <v>35585.58</v>
      </c>
      <c r="H2131" s="18" t="s">
        <v>219</v>
      </c>
      <c r="I2131" s="18" t="s">
        <v>140</v>
      </c>
      <c r="J2131" s="18" t="s">
        <v>570</v>
      </c>
      <c r="K2131" s="29">
        <f t="shared" si="2"/>
        <v>22</v>
      </c>
    </row>
    <row r="2132" ht="15.75" customHeight="1">
      <c r="A2132" s="18" t="s">
        <v>691</v>
      </c>
      <c r="B2132" s="18">
        <v>2000.0</v>
      </c>
      <c r="C2132" s="18" t="s">
        <v>209</v>
      </c>
      <c r="D2132" s="18">
        <v>19.0</v>
      </c>
      <c r="E2132" s="18" t="str">
        <f t="shared" si="1"/>
        <v>19/11/00</v>
      </c>
      <c r="F2132" s="18">
        <v>0.0</v>
      </c>
      <c r="G2132" s="27">
        <v>35585.58</v>
      </c>
      <c r="H2132" s="18" t="s">
        <v>140</v>
      </c>
      <c r="I2132" s="18" t="s">
        <v>142</v>
      </c>
      <c r="J2132" s="18" t="s">
        <v>570</v>
      </c>
      <c r="K2132" s="29">
        <f t="shared" si="2"/>
        <v>22</v>
      </c>
    </row>
    <row r="2133" ht="15.75" customHeight="1">
      <c r="A2133" s="18" t="s">
        <v>688</v>
      </c>
      <c r="B2133" s="18">
        <v>2000.0</v>
      </c>
      <c r="C2133" s="18" t="s">
        <v>457</v>
      </c>
      <c r="D2133" s="18">
        <v>17.0</v>
      </c>
      <c r="E2133" s="18" t="str">
        <f t="shared" si="1"/>
        <v>17/12/00</v>
      </c>
      <c r="F2133" s="18">
        <v>3.0</v>
      </c>
      <c r="G2133" s="27">
        <v>35595.59</v>
      </c>
      <c r="H2133" s="18" t="s">
        <v>140</v>
      </c>
      <c r="I2133" s="18" t="s">
        <v>142</v>
      </c>
      <c r="J2133" s="18" t="s">
        <v>146</v>
      </c>
      <c r="K2133" s="29">
        <f t="shared" si="2"/>
        <v>22</v>
      </c>
    </row>
    <row r="2134" ht="15.75" customHeight="1">
      <c r="A2134" s="18" t="s">
        <v>684</v>
      </c>
      <c r="B2134" s="18">
        <v>1978.0</v>
      </c>
      <c r="C2134" s="18" t="s">
        <v>457</v>
      </c>
      <c r="D2134" s="18">
        <v>19.0</v>
      </c>
      <c r="E2134" s="18" t="str">
        <f t="shared" si="1"/>
        <v>19/12/78</v>
      </c>
      <c r="F2134" s="18">
        <v>2.0</v>
      </c>
      <c r="G2134" s="27">
        <v>35701.9</v>
      </c>
      <c r="H2134" s="18" t="s">
        <v>140</v>
      </c>
      <c r="I2134" s="18" t="s">
        <v>219</v>
      </c>
      <c r="J2134" s="18" t="s">
        <v>570</v>
      </c>
      <c r="K2134" s="29">
        <f t="shared" si="2"/>
        <v>44</v>
      </c>
    </row>
    <row r="2135" ht="15.75" customHeight="1">
      <c r="A2135" s="18" t="s">
        <v>681</v>
      </c>
      <c r="B2135" s="18">
        <v>1974.0</v>
      </c>
      <c r="C2135" s="18" t="s">
        <v>91</v>
      </c>
      <c r="D2135" s="18">
        <v>15.0</v>
      </c>
      <c r="E2135" s="18" t="str">
        <f t="shared" si="1"/>
        <v>15/07/74</v>
      </c>
      <c r="F2135" s="18">
        <v>0.0</v>
      </c>
      <c r="G2135" s="27">
        <v>35711.39</v>
      </c>
      <c r="H2135" s="18" t="s">
        <v>140</v>
      </c>
      <c r="I2135" s="18" t="s">
        <v>142</v>
      </c>
      <c r="J2135" s="18" t="s">
        <v>325</v>
      </c>
      <c r="K2135" s="29">
        <f t="shared" si="2"/>
        <v>48</v>
      </c>
    </row>
    <row r="2136" ht="15.75" customHeight="1">
      <c r="A2136" s="18" t="s">
        <v>678</v>
      </c>
      <c r="B2136" s="18">
        <v>1976.0</v>
      </c>
      <c r="C2136" s="18" t="s">
        <v>517</v>
      </c>
      <c r="D2136" s="18">
        <v>4.0</v>
      </c>
      <c r="E2136" s="18" t="str">
        <f t="shared" si="1"/>
        <v>04/10/76</v>
      </c>
      <c r="F2136" s="18">
        <v>2.0</v>
      </c>
      <c r="G2136" s="27">
        <v>35733.96</v>
      </c>
      <c r="H2136" s="18" t="s">
        <v>140</v>
      </c>
      <c r="I2136" s="18" t="s">
        <v>140</v>
      </c>
      <c r="J2136" s="18" t="s">
        <v>570</v>
      </c>
      <c r="K2136" s="29">
        <f t="shared" si="2"/>
        <v>46</v>
      </c>
    </row>
    <row r="2137" ht="15.75" customHeight="1">
      <c r="A2137" s="18" t="s">
        <v>675</v>
      </c>
      <c r="B2137" s="18">
        <v>1992.0</v>
      </c>
      <c r="C2137" s="18" t="s">
        <v>241</v>
      </c>
      <c r="D2137" s="18">
        <v>18.0</v>
      </c>
      <c r="E2137" s="18" t="str">
        <f t="shared" si="1"/>
        <v>18/06/92</v>
      </c>
      <c r="F2137" s="18">
        <v>0.0</v>
      </c>
      <c r="G2137" s="27">
        <v>35883.27</v>
      </c>
      <c r="H2137" s="18" t="s">
        <v>140</v>
      </c>
      <c r="I2137" s="18" t="s">
        <v>219</v>
      </c>
      <c r="J2137" s="18" t="s">
        <v>570</v>
      </c>
      <c r="K2137" s="29">
        <f t="shared" si="2"/>
        <v>30</v>
      </c>
    </row>
    <row r="2138" ht="15.75" customHeight="1">
      <c r="A2138" s="18" t="s">
        <v>671</v>
      </c>
      <c r="B2138" s="18">
        <v>1981.0</v>
      </c>
      <c r="C2138" s="18" t="s">
        <v>209</v>
      </c>
      <c r="D2138" s="18">
        <v>22.0</v>
      </c>
      <c r="E2138" s="18" t="str">
        <f t="shared" si="1"/>
        <v>22/11/81</v>
      </c>
      <c r="F2138" s="18">
        <v>1.0</v>
      </c>
      <c r="G2138" s="27">
        <v>35952.65</v>
      </c>
      <c r="H2138" s="18" t="s">
        <v>219</v>
      </c>
      <c r="I2138" s="18" t="s">
        <v>142</v>
      </c>
      <c r="J2138" s="18" t="s">
        <v>570</v>
      </c>
      <c r="K2138" s="29">
        <f t="shared" si="2"/>
        <v>41</v>
      </c>
    </row>
    <row r="2139" ht="15.75" customHeight="1">
      <c r="A2139" s="18" t="s">
        <v>669</v>
      </c>
      <c r="B2139" s="18">
        <v>1999.0</v>
      </c>
      <c r="C2139" s="18" t="s">
        <v>272</v>
      </c>
      <c r="D2139" s="18">
        <v>4.0</v>
      </c>
      <c r="E2139" s="18" t="str">
        <f t="shared" si="1"/>
        <v>04/09/99</v>
      </c>
      <c r="F2139" s="18">
        <v>2.0</v>
      </c>
      <c r="G2139" s="27">
        <v>36021.01</v>
      </c>
      <c r="H2139" s="18" t="s">
        <v>140</v>
      </c>
      <c r="I2139" s="18" t="s">
        <v>142</v>
      </c>
      <c r="J2139" s="18" t="s">
        <v>146</v>
      </c>
      <c r="K2139" s="29">
        <f t="shared" si="2"/>
        <v>23</v>
      </c>
    </row>
    <row r="2140" ht="15.75" customHeight="1">
      <c r="A2140" s="18" t="s">
        <v>666</v>
      </c>
      <c r="B2140" s="18">
        <v>1963.0</v>
      </c>
      <c r="C2140" s="18" t="s">
        <v>91</v>
      </c>
      <c r="D2140" s="18">
        <v>22.0</v>
      </c>
      <c r="E2140" s="18" t="str">
        <f t="shared" si="1"/>
        <v>22/07/63</v>
      </c>
      <c r="F2140" s="18">
        <v>0.0</v>
      </c>
      <c r="G2140" s="27">
        <v>36074.34</v>
      </c>
      <c r="H2140" s="18" t="s">
        <v>140</v>
      </c>
      <c r="I2140" s="18" t="s">
        <v>219</v>
      </c>
      <c r="J2140" s="18" t="s">
        <v>570</v>
      </c>
      <c r="K2140" s="29">
        <f t="shared" si="2"/>
        <v>59</v>
      </c>
    </row>
    <row r="2141" ht="15.75" customHeight="1">
      <c r="A2141" s="18" t="s">
        <v>663</v>
      </c>
      <c r="B2141" s="18">
        <v>1996.0</v>
      </c>
      <c r="C2141" s="18" t="s">
        <v>501</v>
      </c>
      <c r="D2141" s="18">
        <v>20.0</v>
      </c>
      <c r="E2141" s="18" t="str">
        <f t="shared" si="1"/>
        <v>20/08/96</v>
      </c>
      <c r="F2141" s="18">
        <v>2.0</v>
      </c>
      <c r="G2141" s="27">
        <v>36085.22</v>
      </c>
      <c r="H2141" s="18" t="s">
        <v>219</v>
      </c>
      <c r="I2141" s="18" t="s">
        <v>219</v>
      </c>
      <c r="J2141" s="18" t="s">
        <v>570</v>
      </c>
      <c r="K2141" s="29">
        <f t="shared" si="2"/>
        <v>26</v>
      </c>
    </row>
    <row r="2142" ht="15.75" customHeight="1">
      <c r="A2142" s="18" t="s">
        <v>660</v>
      </c>
      <c r="B2142" s="18">
        <v>1979.0</v>
      </c>
      <c r="C2142" s="18" t="s">
        <v>209</v>
      </c>
      <c r="D2142" s="18">
        <v>4.0</v>
      </c>
      <c r="E2142" s="18" t="str">
        <f t="shared" si="1"/>
        <v>04/11/79</v>
      </c>
      <c r="F2142" s="18">
        <v>2.0</v>
      </c>
      <c r="G2142" s="27">
        <v>36090.49</v>
      </c>
      <c r="H2142" s="18" t="s">
        <v>140</v>
      </c>
      <c r="I2142" s="18" t="s">
        <v>140</v>
      </c>
      <c r="J2142" s="18" t="s">
        <v>570</v>
      </c>
      <c r="K2142" s="29">
        <f t="shared" si="2"/>
        <v>43</v>
      </c>
    </row>
    <row r="2143" ht="15.75" customHeight="1">
      <c r="A2143" s="18" t="s">
        <v>657</v>
      </c>
      <c r="B2143" s="18">
        <v>1997.0</v>
      </c>
      <c r="C2143" s="18" t="s">
        <v>241</v>
      </c>
      <c r="D2143" s="18">
        <v>12.0</v>
      </c>
      <c r="E2143" s="18" t="str">
        <f t="shared" si="1"/>
        <v>12/06/97</v>
      </c>
      <c r="F2143" s="18">
        <v>2.0</v>
      </c>
      <c r="G2143" s="27">
        <v>36124.57</v>
      </c>
      <c r="H2143" s="18" t="s">
        <v>219</v>
      </c>
      <c r="I2143" s="18" t="s">
        <v>142</v>
      </c>
      <c r="J2143" s="18" t="s">
        <v>146</v>
      </c>
      <c r="K2143" s="29">
        <f t="shared" si="2"/>
        <v>25</v>
      </c>
    </row>
    <row r="2144" ht="15.75" customHeight="1">
      <c r="A2144" s="18" t="s">
        <v>654</v>
      </c>
      <c r="B2144" s="18">
        <v>2004.0</v>
      </c>
      <c r="C2144" s="18" t="s">
        <v>501</v>
      </c>
      <c r="D2144" s="18">
        <v>30.0</v>
      </c>
      <c r="E2144" s="18" t="str">
        <f t="shared" si="1"/>
        <v>30/08/04</v>
      </c>
      <c r="F2144" s="18">
        <v>0.0</v>
      </c>
      <c r="G2144" s="27">
        <v>36149.48</v>
      </c>
      <c r="H2144" s="18" t="s">
        <v>140</v>
      </c>
      <c r="I2144" s="18" t="s">
        <v>140</v>
      </c>
      <c r="J2144" s="18" t="s">
        <v>146</v>
      </c>
      <c r="K2144" s="29">
        <f t="shared" si="2"/>
        <v>18</v>
      </c>
    </row>
    <row r="2145" ht="15.75" customHeight="1">
      <c r="A2145" s="18" t="s">
        <v>652</v>
      </c>
      <c r="B2145" s="18">
        <v>1974.0</v>
      </c>
      <c r="C2145" s="18" t="s">
        <v>457</v>
      </c>
      <c r="D2145" s="18">
        <v>6.0</v>
      </c>
      <c r="E2145" s="18" t="str">
        <f t="shared" si="1"/>
        <v>06/12/74</v>
      </c>
      <c r="F2145" s="18">
        <v>0.0</v>
      </c>
      <c r="G2145" s="27">
        <v>36182.87</v>
      </c>
      <c r="H2145" s="18" t="s">
        <v>140</v>
      </c>
      <c r="I2145" s="18" t="s">
        <v>142</v>
      </c>
      <c r="J2145" s="18" t="s">
        <v>325</v>
      </c>
      <c r="K2145" s="29">
        <f t="shared" si="2"/>
        <v>48</v>
      </c>
    </row>
    <row r="2146" ht="15.75" customHeight="1">
      <c r="A2146" s="18" t="s">
        <v>649</v>
      </c>
      <c r="B2146" s="18">
        <v>1999.0</v>
      </c>
      <c r="C2146" s="18" t="s">
        <v>517</v>
      </c>
      <c r="D2146" s="18">
        <v>1.0</v>
      </c>
      <c r="E2146" s="18" t="str">
        <f t="shared" si="1"/>
        <v>01/10/99</v>
      </c>
      <c r="F2146" s="18">
        <v>3.0</v>
      </c>
      <c r="G2146" s="27">
        <v>36189.1</v>
      </c>
      <c r="H2146" s="18" t="s">
        <v>219</v>
      </c>
      <c r="I2146" s="18" t="s">
        <v>142</v>
      </c>
      <c r="J2146" s="18" t="s">
        <v>1427</v>
      </c>
      <c r="K2146" s="29">
        <f t="shared" si="2"/>
        <v>23</v>
      </c>
    </row>
    <row r="2147" ht="15.75" customHeight="1">
      <c r="A2147" s="18" t="s">
        <v>645</v>
      </c>
      <c r="B2147" s="18">
        <v>1993.0</v>
      </c>
      <c r="C2147" s="18" t="s">
        <v>457</v>
      </c>
      <c r="D2147" s="18">
        <v>28.0</v>
      </c>
      <c r="E2147" s="18" t="str">
        <f t="shared" si="1"/>
        <v>28/12/93</v>
      </c>
      <c r="F2147" s="18">
        <v>0.0</v>
      </c>
      <c r="G2147" s="27">
        <v>36197.7</v>
      </c>
      <c r="H2147" s="18" t="s">
        <v>219</v>
      </c>
      <c r="I2147" s="18" t="s">
        <v>142</v>
      </c>
      <c r="J2147" s="18" t="s">
        <v>570</v>
      </c>
      <c r="K2147" s="29">
        <f t="shared" si="2"/>
        <v>29</v>
      </c>
    </row>
    <row r="2148" ht="15.75" customHeight="1">
      <c r="A2148" s="18" t="s">
        <v>641</v>
      </c>
      <c r="B2148" s="18">
        <v>2003.0</v>
      </c>
      <c r="C2148" s="18" t="s">
        <v>272</v>
      </c>
      <c r="D2148" s="18">
        <v>5.0</v>
      </c>
      <c r="E2148" s="18" t="str">
        <f t="shared" si="1"/>
        <v>05/09/03</v>
      </c>
      <c r="F2148" s="18">
        <v>0.0</v>
      </c>
      <c r="G2148" s="27">
        <v>36219.41</v>
      </c>
      <c r="H2148" s="18" t="s">
        <v>219</v>
      </c>
      <c r="I2148" s="18" t="s">
        <v>219</v>
      </c>
      <c r="J2148" s="18" t="s">
        <v>325</v>
      </c>
      <c r="K2148" s="29">
        <f t="shared" si="2"/>
        <v>19</v>
      </c>
    </row>
    <row r="2149" ht="15.75" customHeight="1">
      <c r="A2149" s="18" t="s">
        <v>638</v>
      </c>
      <c r="B2149" s="18">
        <v>2004.0</v>
      </c>
      <c r="C2149" s="18" t="s">
        <v>457</v>
      </c>
      <c r="D2149" s="18">
        <v>25.0</v>
      </c>
      <c r="E2149" s="18" t="str">
        <f t="shared" si="1"/>
        <v>25/12/04</v>
      </c>
      <c r="F2149" s="18">
        <v>0.0</v>
      </c>
      <c r="G2149" s="27">
        <v>36307.8</v>
      </c>
      <c r="H2149" s="18" t="s">
        <v>219</v>
      </c>
      <c r="I2149" s="18" t="s">
        <v>140</v>
      </c>
      <c r="J2149" s="18" t="s">
        <v>146</v>
      </c>
      <c r="K2149" s="29">
        <f t="shared" si="2"/>
        <v>18</v>
      </c>
    </row>
    <row r="2150" ht="15.75" customHeight="1">
      <c r="A2150" s="18" t="s">
        <v>634</v>
      </c>
      <c r="B2150" s="18">
        <v>1992.0</v>
      </c>
      <c r="C2150" s="18" t="s">
        <v>241</v>
      </c>
      <c r="D2150" s="18">
        <v>16.0</v>
      </c>
      <c r="E2150" s="18" t="str">
        <f t="shared" si="1"/>
        <v>16/06/92</v>
      </c>
      <c r="F2150" s="18">
        <v>0.0</v>
      </c>
      <c r="G2150" s="27">
        <v>36314.05</v>
      </c>
      <c r="H2150" s="18" t="s">
        <v>140</v>
      </c>
      <c r="I2150" s="18" t="s">
        <v>140</v>
      </c>
      <c r="J2150" s="18" t="s">
        <v>570</v>
      </c>
      <c r="K2150" s="29">
        <f t="shared" si="2"/>
        <v>30</v>
      </c>
    </row>
    <row r="2151" ht="15.75" customHeight="1">
      <c r="A2151" s="18" t="s">
        <v>631</v>
      </c>
      <c r="B2151" s="18">
        <v>1967.0</v>
      </c>
      <c r="C2151" s="18" t="s">
        <v>517</v>
      </c>
      <c r="D2151" s="18">
        <v>18.0</v>
      </c>
      <c r="E2151" s="18" t="str">
        <f t="shared" si="1"/>
        <v>18/10/67</v>
      </c>
      <c r="F2151" s="18">
        <v>0.0</v>
      </c>
      <c r="G2151" s="27">
        <v>36332.45</v>
      </c>
      <c r="H2151" s="18" t="s">
        <v>219</v>
      </c>
      <c r="I2151" s="18" t="s">
        <v>142</v>
      </c>
      <c r="J2151" s="18" t="s">
        <v>570</v>
      </c>
      <c r="K2151" s="29">
        <f t="shared" si="2"/>
        <v>55</v>
      </c>
    </row>
    <row r="2152" ht="15.75" customHeight="1">
      <c r="A2152" s="18" t="s">
        <v>628</v>
      </c>
      <c r="B2152" s="18">
        <v>1975.0</v>
      </c>
      <c r="C2152" s="18" t="s">
        <v>241</v>
      </c>
      <c r="D2152" s="18">
        <v>5.0</v>
      </c>
      <c r="E2152" s="18" t="str">
        <f t="shared" si="1"/>
        <v>05/06/75</v>
      </c>
      <c r="F2152" s="18">
        <v>1.0</v>
      </c>
      <c r="G2152" s="27">
        <v>36350.71</v>
      </c>
      <c r="H2152" s="18" t="s">
        <v>219</v>
      </c>
      <c r="I2152" s="18" t="s">
        <v>140</v>
      </c>
      <c r="J2152" s="18" t="s">
        <v>570</v>
      </c>
      <c r="K2152" s="29">
        <f t="shared" si="2"/>
        <v>48</v>
      </c>
    </row>
    <row r="2153" ht="15.75" customHeight="1">
      <c r="A2153" s="18" t="s">
        <v>624</v>
      </c>
      <c r="B2153" s="18">
        <v>2003.0</v>
      </c>
      <c r="C2153" s="18" t="s">
        <v>457</v>
      </c>
      <c r="D2153" s="18">
        <v>9.0</v>
      </c>
      <c r="E2153" s="18" t="str">
        <f t="shared" si="1"/>
        <v>09/12/03</v>
      </c>
      <c r="F2153" s="18">
        <v>2.0</v>
      </c>
      <c r="G2153" s="27">
        <v>36397.58</v>
      </c>
      <c r="H2153" s="18" t="s">
        <v>140</v>
      </c>
      <c r="I2153" s="18" t="s">
        <v>142</v>
      </c>
      <c r="J2153" s="18" t="s">
        <v>570</v>
      </c>
      <c r="K2153" s="29">
        <f t="shared" si="2"/>
        <v>19</v>
      </c>
    </row>
    <row r="2154" ht="15.75" customHeight="1">
      <c r="A2154" s="18" t="s">
        <v>621</v>
      </c>
      <c r="B2154" s="18">
        <v>1962.0</v>
      </c>
      <c r="C2154" s="18" t="s">
        <v>209</v>
      </c>
      <c r="D2154" s="18">
        <v>19.0</v>
      </c>
      <c r="E2154" s="18" t="str">
        <f t="shared" si="1"/>
        <v>19/11/62</v>
      </c>
      <c r="F2154" s="18">
        <v>0.0</v>
      </c>
      <c r="G2154" s="27">
        <v>36445.55</v>
      </c>
      <c r="H2154" s="18" t="s">
        <v>140</v>
      </c>
      <c r="I2154" s="18" t="s">
        <v>140</v>
      </c>
      <c r="J2154" s="18" t="s">
        <v>570</v>
      </c>
      <c r="K2154" s="29">
        <f t="shared" si="2"/>
        <v>60</v>
      </c>
    </row>
    <row r="2155" ht="15.75" customHeight="1">
      <c r="A2155" s="18" t="s">
        <v>617</v>
      </c>
      <c r="B2155" s="18">
        <v>1973.0</v>
      </c>
      <c r="C2155" s="18" t="s">
        <v>501</v>
      </c>
      <c r="D2155" s="18">
        <v>9.0</v>
      </c>
      <c r="E2155" s="18" t="str">
        <f t="shared" si="1"/>
        <v>09/08/73</v>
      </c>
      <c r="F2155" s="18">
        <v>0.0</v>
      </c>
      <c r="G2155" s="27">
        <v>36541.55</v>
      </c>
      <c r="H2155" s="18" t="s">
        <v>140</v>
      </c>
      <c r="I2155" s="18" t="s">
        <v>142</v>
      </c>
      <c r="J2155" s="18" t="s">
        <v>570</v>
      </c>
      <c r="K2155" s="29">
        <f t="shared" si="2"/>
        <v>49</v>
      </c>
    </row>
    <row r="2156" ht="15.75" customHeight="1">
      <c r="A2156" s="18" t="s">
        <v>614</v>
      </c>
      <c r="B2156" s="18">
        <v>1992.0</v>
      </c>
      <c r="C2156" s="18" t="s">
        <v>517</v>
      </c>
      <c r="D2156" s="18">
        <v>9.0</v>
      </c>
      <c r="E2156" s="18" t="str">
        <f t="shared" si="1"/>
        <v>09/10/92</v>
      </c>
      <c r="F2156" s="18">
        <v>0.0</v>
      </c>
      <c r="G2156" s="27">
        <v>36572.8</v>
      </c>
      <c r="H2156" s="18" t="s">
        <v>219</v>
      </c>
      <c r="I2156" s="18" t="s">
        <v>140</v>
      </c>
      <c r="J2156" s="18" t="s">
        <v>570</v>
      </c>
      <c r="K2156" s="29">
        <f t="shared" si="2"/>
        <v>30</v>
      </c>
    </row>
    <row r="2157" ht="15.75" customHeight="1">
      <c r="A2157" s="18" t="s">
        <v>611</v>
      </c>
      <c r="B2157" s="18">
        <v>1961.0</v>
      </c>
      <c r="C2157" s="18" t="s">
        <v>91</v>
      </c>
      <c r="D2157" s="18">
        <v>29.0</v>
      </c>
      <c r="E2157" s="18" t="str">
        <f t="shared" si="1"/>
        <v>29/07/61</v>
      </c>
      <c r="F2157" s="18">
        <v>4.0</v>
      </c>
      <c r="G2157" s="27">
        <v>36580.28</v>
      </c>
      <c r="H2157" s="18" t="s">
        <v>140</v>
      </c>
      <c r="I2157" s="18" t="s">
        <v>140</v>
      </c>
      <c r="J2157" s="18" t="s">
        <v>146</v>
      </c>
      <c r="K2157" s="29">
        <f t="shared" si="2"/>
        <v>61</v>
      </c>
    </row>
    <row r="2158" ht="15.75" customHeight="1">
      <c r="A2158" s="18" t="s">
        <v>607</v>
      </c>
      <c r="B2158" s="18">
        <v>1970.0</v>
      </c>
      <c r="C2158" s="18" t="s">
        <v>91</v>
      </c>
      <c r="D2158" s="18">
        <v>14.0</v>
      </c>
      <c r="E2158" s="18" t="str">
        <f t="shared" si="1"/>
        <v>14/07/70</v>
      </c>
      <c r="F2158" s="18">
        <v>0.0</v>
      </c>
      <c r="G2158" s="27">
        <v>36786.37</v>
      </c>
      <c r="H2158" s="18" t="s">
        <v>219</v>
      </c>
      <c r="I2158" s="18" t="s">
        <v>219</v>
      </c>
      <c r="J2158" s="18" t="s">
        <v>570</v>
      </c>
      <c r="K2158" s="29">
        <f t="shared" si="2"/>
        <v>52</v>
      </c>
    </row>
    <row r="2159" ht="15.75" customHeight="1">
      <c r="A2159" s="18" t="s">
        <v>604</v>
      </c>
      <c r="B2159" s="18">
        <v>1965.0</v>
      </c>
      <c r="C2159" s="18" t="s">
        <v>457</v>
      </c>
      <c r="D2159" s="18">
        <v>28.0</v>
      </c>
      <c r="E2159" s="18" t="str">
        <f t="shared" si="1"/>
        <v>28/12/65</v>
      </c>
      <c r="F2159" s="18">
        <v>0.0</v>
      </c>
      <c r="G2159" s="27">
        <v>36795.29</v>
      </c>
      <c r="H2159" s="18" t="s">
        <v>140</v>
      </c>
      <c r="I2159" s="18" t="s">
        <v>219</v>
      </c>
      <c r="J2159" s="18" t="s">
        <v>570</v>
      </c>
      <c r="K2159" s="29">
        <f t="shared" si="2"/>
        <v>57</v>
      </c>
    </row>
    <row r="2160" ht="15.75" customHeight="1">
      <c r="A2160" s="20">
        <v>0.0</v>
      </c>
      <c r="B2160" s="18">
        <v>1992.0</v>
      </c>
      <c r="C2160" s="18" t="s">
        <v>517</v>
      </c>
      <c r="D2160" s="18">
        <v>6.0</v>
      </c>
      <c r="E2160" s="18" t="str">
        <f t="shared" si="1"/>
        <v>06/10/92</v>
      </c>
      <c r="F2160" s="18">
        <v>0.0</v>
      </c>
      <c r="G2160" s="27">
        <v>36837.47</v>
      </c>
      <c r="H2160" s="18" t="s">
        <v>219</v>
      </c>
      <c r="I2160" s="18" t="s">
        <v>140</v>
      </c>
      <c r="J2160" s="18" t="s">
        <v>570</v>
      </c>
      <c r="K2160" s="29">
        <f t="shared" si="2"/>
        <v>30</v>
      </c>
    </row>
    <row r="2161" ht="15.75" customHeight="1">
      <c r="A2161" s="18" t="s">
        <v>600</v>
      </c>
      <c r="B2161" s="18">
        <v>1992.0</v>
      </c>
      <c r="C2161" s="18" t="s">
        <v>91</v>
      </c>
      <c r="D2161" s="18">
        <v>4.0</v>
      </c>
      <c r="E2161" s="18" t="str">
        <f t="shared" si="1"/>
        <v>04/07/92</v>
      </c>
      <c r="F2161" s="18">
        <v>0.0</v>
      </c>
      <c r="G2161" s="27">
        <v>36837.47</v>
      </c>
      <c r="H2161" s="18" t="s">
        <v>140</v>
      </c>
      <c r="I2161" s="18" t="s">
        <v>142</v>
      </c>
      <c r="J2161" s="18" t="s">
        <v>570</v>
      </c>
      <c r="K2161" s="29">
        <f t="shared" si="2"/>
        <v>30</v>
      </c>
    </row>
    <row r="2162" ht="15.75" customHeight="1">
      <c r="A2162" s="18" t="s">
        <v>597</v>
      </c>
      <c r="B2162" s="18">
        <v>1972.0</v>
      </c>
      <c r="C2162" s="18" t="s">
        <v>457</v>
      </c>
      <c r="D2162" s="18">
        <v>5.0</v>
      </c>
      <c r="E2162" s="18" t="str">
        <f t="shared" si="1"/>
        <v>05/12/72</v>
      </c>
      <c r="F2162" s="18">
        <v>0.0</v>
      </c>
      <c r="G2162" s="27">
        <v>36889.99</v>
      </c>
      <c r="H2162" s="18" t="s">
        <v>219</v>
      </c>
      <c r="I2162" s="18" t="s">
        <v>142</v>
      </c>
      <c r="J2162" s="18" t="s">
        <v>570</v>
      </c>
      <c r="K2162" s="29">
        <f t="shared" si="2"/>
        <v>50</v>
      </c>
    </row>
    <row r="2163" ht="15.75" customHeight="1">
      <c r="A2163" s="18" t="s">
        <v>594</v>
      </c>
      <c r="B2163" s="18">
        <v>2003.0</v>
      </c>
      <c r="C2163" s="18" t="s">
        <v>241</v>
      </c>
      <c r="D2163" s="18">
        <v>21.0</v>
      </c>
      <c r="E2163" s="18" t="str">
        <f t="shared" si="1"/>
        <v>21/06/03</v>
      </c>
      <c r="F2163" s="18">
        <v>0.0</v>
      </c>
      <c r="G2163" s="27">
        <v>36898.73</v>
      </c>
      <c r="H2163" s="18" t="s">
        <v>140</v>
      </c>
      <c r="I2163" s="18" t="s">
        <v>219</v>
      </c>
      <c r="J2163" s="18" t="s">
        <v>325</v>
      </c>
      <c r="K2163" s="29">
        <f t="shared" si="2"/>
        <v>19</v>
      </c>
    </row>
    <row r="2164" ht="15.75" customHeight="1">
      <c r="A2164" s="18" t="s">
        <v>590</v>
      </c>
      <c r="B2164" s="18">
        <v>1963.0</v>
      </c>
      <c r="C2164" s="18" t="s">
        <v>91</v>
      </c>
      <c r="D2164" s="18">
        <v>24.0</v>
      </c>
      <c r="E2164" s="18" t="str">
        <f t="shared" si="1"/>
        <v>24/07/63</v>
      </c>
      <c r="F2164" s="18">
        <v>2.0</v>
      </c>
      <c r="G2164" s="27">
        <v>36910.61</v>
      </c>
      <c r="H2164" s="18" t="s">
        <v>140</v>
      </c>
      <c r="I2164" s="18" t="s">
        <v>140</v>
      </c>
      <c r="J2164" s="18" t="s">
        <v>570</v>
      </c>
      <c r="K2164" s="29">
        <f t="shared" si="2"/>
        <v>59</v>
      </c>
    </row>
    <row r="2165" ht="15.75" customHeight="1">
      <c r="A2165" s="18" t="s">
        <v>587</v>
      </c>
      <c r="B2165" s="18">
        <v>1991.0</v>
      </c>
      <c r="C2165" s="18" t="s">
        <v>241</v>
      </c>
      <c r="D2165" s="18">
        <v>10.0</v>
      </c>
      <c r="E2165" s="18" t="str">
        <f t="shared" si="1"/>
        <v>10/06/91</v>
      </c>
      <c r="F2165" s="18">
        <v>3.0</v>
      </c>
      <c r="G2165" s="27">
        <v>36911.99</v>
      </c>
      <c r="H2165" s="18" t="s">
        <v>140</v>
      </c>
      <c r="I2165" s="18" t="s">
        <v>140</v>
      </c>
      <c r="J2165" s="18" t="s">
        <v>570</v>
      </c>
      <c r="K2165" s="29">
        <f t="shared" si="2"/>
        <v>31</v>
      </c>
    </row>
    <row r="2166" ht="15.75" customHeight="1">
      <c r="A2166" s="18" t="s">
        <v>584</v>
      </c>
      <c r="B2166" s="18">
        <v>1968.0</v>
      </c>
      <c r="C2166" s="18" t="s">
        <v>517</v>
      </c>
      <c r="D2166" s="18">
        <v>22.0</v>
      </c>
      <c r="E2166" s="18" t="str">
        <f t="shared" si="1"/>
        <v>22/10/68</v>
      </c>
      <c r="F2166" s="18">
        <v>0.0</v>
      </c>
      <c r="G2166" s="27">
        <v>36922.61</v>
      </c>
      <c r="H2166" s="18" t="s">
        <v>140</v>
      </c>
      <c r="I2166" s="18" t="s">
        <v>219</v>
      </c>
      <c r="J2166" s="18" t="s">
        <v>570</v>
      </c>
      <c r="K2166" s="29">
        <f t="shared" si="2"/>
        <v>54</v>
      </c>
    </row>
    <row r="2167" ht="15.75" customHeight="1">
      <c r="A2167" s="18" t="s">
        <v>580</v>
      </c>
      <c r="B2167" s="18">
        <v>1977.0</v>
      </c>
      <c r="C2167" s="18" t="s">
        <v>501</v>
      </c>
      <c r="D2167" s="18">
        <v>13.0</v>
      </c>
      <c r="E2167" s="18" t="str">
        <f t="shared" si="1"/>
        <v>13/08/77</v>
      </c>
      <c r="F2167" s="18">
        <v>2.0</v>
      </c>
      <c r="G2167" s="27">
        <v>36935.64</v>
      </c>
      <c r="H2167" s="18" t="s">
        <v>140</v>
      </c>
      <c r="I2167" s="18" t="s">
        <v>219</v>
      </c>
      <c r="J2167" s="18" t="s">
        <v>570</v>
      </c>
      <c r="K2167" s="29">
        <f t="shared" si="2"/>
        <v>45</v>
      </c>
    </row>
    <row r="2168" ht="15.75" customHeight="1">
      <c r="A2168" s="18" t="s">
        <v>578</v>
      </c>
      <c r="B2168" s="18">
        <v>1992.0</v>
      </c>
      <c r="C2168" s="18" t="s">
        <v>501</v>
      </c>
      <c r="D2168" s="18">
        <v>25.0</v>
      </c>
      <c r="E2168" s="18" t="str">
        <f t="shared" si="1"/>
        <v>25/08/92</v>
      </c>
      <c r="F2168" s="18">
        <v>0.0</v>
      </c>
      <c r="G2168" s="27">
        <v>36950.26</v>
      </c>
      <c r="H2168" s="18" t="s">
        <v>219</v>
      </c>
      <c r="I2168" s="18" t="s">
        <v>219</v>
      </c>
      <c r="J2168" s="18" t="s">
        <v>146</v>
      </c>
      <c r="K2168" s="29">
        <f t="shared" si="2"/>
        <v>30</v>
      </c>
    </row>
    <row r="2169" ht="15.75" customHeight="1">
      <c r="A2169" s="18" t="s">
        <v>575</v>
      </c>
      <c r="B2169" s="18">
        <v>1992.0</v>
      </c>
      <c r="C2169" s="18" t="s">
        <v>272</v>
      </c>
      <c r="D2169" s="18">
        <v>13.0</v>
      </c>
      <c r="E2169" s="18" t="str">
        <f t="shared" si="1"/>
        <v>13/09/92</v>
      </c>
      <c r="F2169" s="18">
        <v>0.0</v>
      </c>
      <c r="G2169" s="27">
        <v>36976.45</v>
      </c>
      <c r="H2169" s="18" t="s">
        <v>140</v>
      </c>
      <c r="I2169" s="18" t="s">
        <v>142</v>
      </c>
      <c r="J2169" s="18" t="s">
        <v>570</v>
      </c>
      <c r="K2169" s="29">
        <f t="shared" si="2"/>
        <v>30</v>
      </c>
    </row>
    <row r="2170" ht="15.75" customHeight="1">
      <c r="A2170" s="18" t="s">
        <v>572</v>
      </c>
      <c r="B2170" s="18">
        <v>1991.0</v>
      </c>
      <c r="C2170" s="18" t="s">
        <v>209</v>
      </c>
      <c r="D2170" s="18">
        <v>1.0</v>
      </c>
      <c r="E2170" s="18" t="str">
        <f t="shared" si="1"/>
        <v>01/11/91</v>
      </c>
      <c r="F2170" s="18">
        <v>3.0</v>
      </c>
      <c r="G2170" s="27">
        <v>37040.88</v>
      </c>
      <c r="H2170" s="18" t="s">
        <v>140</v>
      </c>
      <c r="I2170" s="18" t="s">
        <v>140</v>
      </c>
      <c r="J2170" s="18" t="s">
        <v>570</v>
      </c>
      <c r="K2170" s="29">
        <f t="shared" si="2"/>
        <v>31</v>
      </c>
    </row>
    <row r="2171" ht="15.75" customHeight="1">
      <c r="A2171" s="18" t="s">
        <v>568</v>
      </c>
      <c r="B2171" s="18">
        <v>1988.0</v>
      </c>
      <c r="C2171" s="18" t="s">
        <v>457</v>
      </c>
      <c r="D2171" s="18">
        <v>17.0</v>
      </c>
      <c r="E2171" s="18" t="str">
        <f t="shared" si="1"/>
        <v>17/12/88</v>
      </c>
      <c r="F2171" s="18">
        <v>3.0</v>
      </c>
      <c r="G2171" s="27">
        <v>37076.37</v>
      </c>
      <c r="H2171" s="18" t="s">
        <v>140</v>
      </c>
      <c r="I2171" s="18" t="s">
        <v>219</v>
      </c>
      <c r="J2171" s="18" t="s">
        <v>570</v>
      </c>
      <c r="K2171" s="29">
        <f t="shared" si="2"/>
        <v>34</v>
      </c>
    </row>
    <row r="2172" ht="15.75" customHeight="1">
      <c r="A2172" s="18" t="s">
        <v>565</v>
      </c>
      <c r="B2172" s="18">
        <v>1989.0</v>
      </c>
      <c r="C2172" s="18" t="s">
        <v>241</v>
      </c>
      <c r="D2172" s="18">
        <v>10.0</v>
      </c>
      <c r="E2172" s="18" t="str">
        <f t="shared" si="1"/>
        <v>10/06/89</v>
      </c>
      <c r="F2172" s="18">
        <v>0.0</v>
      </c>
      <c r="G2172" s="27">
        <v>37079.37</v>
      </c>
      <c r="H2172" s="18" t="s">
        <v>140</v>
      </c>
      <c r="I2172" s="18" t="s">
        <v>142</v>
      </c>
      <c r="J2172" s="18" t="s">
        <v>570</v>
      </c>
      <c r="K2172" s="29">
        <f t="shared" si="2"/>
        <v>33</v>
      </c>
    </row>
    <row r="2173" ht="15.75" customHeight="1">
      <c r="A2173" s="18" t="s">
        <v>562</v>
      </c>
      <c r="B2173" s="18">
        <v>1995.0</v>
      </c>
      <c r="C2173" s="18" t="s">
        <v>517</v>
      </c>
      <c r="D2173" s="18">
        <v>30.0</v>
      </c>
      <c r="E2173" s="18" t="str">
        <f t="shared" si="1"/>
        <v>30/10/95</v>
      </c>
      <c r="F2173" s="18">
        <v>0.0</v>
      </c>
      <c r="G2173" s="27">
        <v>37133.9</v>
      </c>
      <c r="H2173" s="18" t="s">
        <v>140</v>
      </c>
      <c r="I2173" s="18" t="s">
        <v>140</v>
      </c>
      <c r="J2173" s="18" t="s">
        <v>146</v>
      </c>
      <c r="K2173" s="29">
        <f t="shared" si="2"/>
        <v>27</v>
      </c>
    </row>
    <row r="2174" ht="15.75" customHeight="1">
      <c r="A2174" s="18" t="s">
        <v>559</v>
      </c>
      <c r="B2174" s="18">
        <v>2000.0</v>
      </c>
      <c r="C2174" s="18" t="s">
        <v>272</v>
      </c>
      <c r="D2174" s="18">
        <v>5.0</v>
      </c>
      <c r="E2174" s="18" t="str">
        <f t="shared" si="1"/>
        <v>05/09/00</v>
      </c>
      <c r="F2174" s="18">
        <v>1.0</v>
      </c>
      <c r="G2174" s="27">
        <v>37165.16</v>
      </c>
      <c r="H2174" s="18" t="s">
        <v>219</v>
      </c>
      <c r="I2174" s="18" t="s">
        <v>142</v>
      </c>
      <c r="J2174" s="20">
        <v>0.0</v>
      </c>
      <c r="K2174" s="29">
        <f t="shared" si="2"/>
        <v>22</v>
      </c>
    </row>
    <row r="2175" ht="15.75" customHeight="1">
      <c r="A2175" s="18" t="s">
        <v>555</v>
      </c>
      <c r="B2175" s="18">
        <v>1990.0</v>
      </c>
      <c r="C2175" s="18" t="s">
        <v>517</v>
      </c>
      <c r="D2175" s="18">
        <v>17.0</v>
      </c>
      <c r="E2175" s="18" t="str">
        <f t="shared" si="1"/>
        <v>17/10/90</v>
      </c>
      <c r="F2175" s="18">
        <v>3.0</v>
      </c>
      <c r="G2175" s="27">
        <v>37251.22</v>
      </c>
      <c r="H2175" s="18" t="s">
        <v>140</v>
      </c>
      <c r="I2175" s="18" t="s">
        <v>140</v>
      </c>
      <c r="J2175" s="18" t="s">
        <v>570</v>
      </c>
      <c r="K2175" s="29">
        <f t="shared" si="2"/>
        <v>32</v>
      </c>
    </row>
    <row r="2176" ht="15.75" customHeight="1">
      <c r="A2176" s="18" t="s">
        <v>552</v>
      </c>
      <c r="B2176" s="18">
        <v>1985.0</v>
      </c>
      <c r="C2176" s="18" t="s">
        <v>209</v>
      </c>
      <c r="D2176" s="18">
        <v>17.0</v>
      </c>
      <c r="E2176" s="18" t="str">
        <f t="shared" si="1"/>
        <v>17/11/85</v>
      </c>
      <c r="F2176" s="18">
        <v>0.0</v>
      </c>
      <c r="G2176" s="27">
        <v>37270.15</v>
      </c>
      <c r="H2176" s="18" t="s">
        <v>140</v>
      </c>
      <c r="I2176" s="18" t="s">
        <v>219</v>
      </c>
      <c r="J2176" s="18" t="s">
        <v>2024</v>
      </c>
      <c r="K2176" s="29">
        <f t="shared" si="2"/>
        <v>37</v>
      </c>
    </row>
    <row r="2177" ht="15.75" customHeight="1">
      <c r="A2177" s="18" t="s">
        <v>549</v>
      </c>
      <c r="B2177" s="18">
        <v>1975.0</v>
      </c>
      <c r="C2177" s="18" t="s">
        <v>209</v>
      </c>
      <c r="D2177" s="18">
        <v>9.0</v>
      </c>
      <c r="E2177" s="18" t="str">
        <f t="shared" si="1"/>
        <v>09/11/75</v>
      </c>
      <c r="F2177" s="18">
        <v>1.0</v>
      </c>
      <c r="G2177" s="27">
        <v>37272.34</v>
      </c>
      <c r="H2177" s="18" t="s">
        <v>140</v>
      </c>
      <c r="I2177" s="18" t="s">
        <v>142</v>
      </c>
      <c r="J2177" s="18" t="s">
        <v>570</v>
      </c>
      <c r="K2177" s="29">
        <f t="shared" si="2"/>
        <v>47</v>
      </c>
    </row>
    <row r="2178" ht="15.75" customHeight="1">
      <c r="A2178" s="18" t="s">
        <v>546</v>
      </c>
      <c r="B2178" s="18">
        <v>1969.0</v>
      </c>
      <c r="C2178" s="18" t="s">
        <v>517</v>
      </c>
      <c r="D2178" s="18">
        <v>30.0</v>
      </c>
      <c r="E2178" s="18" t="str">
        <f t="shared" si="1"/>
        <v>30/10/69</v>
      </c>
      <c r="F2178" s="18">
        <v>0.0</v>
      </c>
      <c r="G2178" s="27">
        <v>37277.27</v>
      </c>
      <c r="H2178" s="18" t="s">
        <v>219</v>
      </c>
      <c r="I2178" s="18" t="s">
        <v>142</v>
      </c>
      <c r="J2178" s="18" t="s">
        <v>570</v>
      </c>
      <c r="K2178" s="29">
        <f t="shared" si="2"/>
        <v>53</v>
      </c>
    </row>
    <row r="2179" ht="15.75" customHeight="1">
      <c r="A2179" s="18" t="s">
        <v>542</v>
      </c>
      <c r="B2179" s="18">
        <v>1979.0</v>
      </c>
      <c r="C2179" s="18" t="s">
        <v>501</v>
      </c>
      <c r="D2179" s="18">
        <v>3.0</v>
      </c>
      <c r="E2179" s="18" t="str">
        <f t="shared" si="1"/>
        <v>03/08/79</v>
      </c>
      <c r="F2179" s="18">
        <v>2.0</v>
      </c>
      <c r="G2179" s="27">
        <v>37425.94</v>
      </c>
      <c r="H2179" s="18" t="s">
        <v>140</v>
      </c>
      <c r="I2179" s="18" t="s">
        <v>219</v>
      </c>
      <c r="J2179" s="18" t="s">
        <v>570</v>
      </c>
      <c r="K2179" s="29">
        <f t="shared" si="2"/>
        <v>43</v>
      </c>
    </row>
    <row r="2180" ht="15.75" customHeight="1">
      <c r="A2180" s="18" t="s">
        <v>539</v>
      </c>
      <c r="B2180" s="18">
        <v>2002.0</v>
      </c>
      <c r="C2180" s="18" t="s">
        <v>272</v>
      </c>
      <c r="D2180" s="18">
        <v>27.0</v>
      </c>
      <c r="E2180" s="18" t="str">
        <f t="shared" si="1"/>
        <v>27/09/02</v>
      </c>
      <c r="F2180" s="18">
        <v>3.0</v>
      </c>
      <c r="G2180" s="27">
        <v>37465.34</v>
      </c>
      <c r="H2180" s="18" t="s">
        <v>219</v>
      </c>
      <c r="I2180" s="18" t="s">
        <v>140</v>
      </c>
      <c r="J2180" s="18" t="s">
        <v>325</v>
      </c>
      <c r="K2180" s="29">
        <f t="shared" si="2"/>
        <v>20</v>
      </c>
    </row>
    <row r="2181" ht="15.75" customHeight="1">
      <c r="A2181" s="18" t="s">
        <v>536</v>
      </c>
      <c r="B2181" s="18">
        <v>2000.0</v>
      </c>
      <c r="C2181" s="18" t="s">
        <v>517</v>
      </c>
      <c r="D2181" s="18">
        <v>12.0</v>
      </c>
      <c r="E2181" s="18" t="str">
        <f t="shared" si="1"/>
        <v>12/10/00</v>
      </c>
      <c r="F2181" s="18">
        <v>2.0</v>
      </c>
      <c r="G2181" s="27">
        <v>37484.45</v>
      </c>
      <c r="H2181" s="18" t="s">
        <v>219</v>
      </c>
      <c r="I2181" s="18" t="s">
        <v>219</v>
      </c>
      <c r="J2181" s="18" t="s">
        <v>146</v>
      </c>
      <c r="K2181" s="29">
        <f t="shared" si="2"/>
        <v>22</v>
      </c>
    </row>
    <row r="2182" ht="15.75" customHeight="1">
      <c r="A2182" s="18" t="s">
        <v>532</v>
      </c>
      <c r="B2182" s="18">
        <v>1990.0</v>
      </c>
      <c r="C2182" s="18" t="s">
        <v>209</v>
      </c>
      <c r="D2182" s="18">
        <v>16.0</v>
      </c>
      <c r="E2182" s="18" t="str">
        <f t="shared" si="1"/>
        <v>16/11/90</v>
      </c>
      <c r="F2182" s="18">
        <v>1.0</v>
      </c>
      <c r="G2182" s="27">
        <v>37607.53</v>
      </c>
      <c r="H2182" s="18" t="s">
        <v>219</v>
      </c>
      <c r="I2182" s="18" t="s">
        <v>140</v>
      </c>
      <c r="J2182" s="18" t="s">
        <v>1421</v>
      </c>
      <c r="K2182" s="29">
        <f t="shared" si="2"/>
        <v>32</v>
      </c>
    </row>
    <row r="2183" ht="15.75" customHeight="1">
      <c r="A2183" s="18" t="s">
        <v>529</v>
      </c>
      <c r="B2183" s="18">
        <v>1982.0</v>
      </c>
      <c r="C2183" s="18" t="s">
        <v>241</v>
      </c>
      <c r="D2183" s="18">
        <v>20.0</v>
      </c>
      <c r="E2183" s="18" t="str">
        <f t="shared" si="1"/>
        <v>20/06/82</v>
      </c>
      <c r="F2183" s="18">
        <v>3.0</v>
      </c>
      <c r="G2183" s="27">
        <v>37650.74</v>
      </c>
      <c r="H2183" s="18" t="s">
        <v>140</v>
      </c>
      <c r="I2183" s="18" t="s">
        <v>140</v>
      </c>
      <c r="J2183" s="18" t="s">
        <v>325</v>
      </c>
      <c r="K2183" s="29">
        <f t="shared" si="2"/>
        <v>40</v>
      </c>
    </row>
    <row r="2184" ht="15.75" customHeight="1">
      <c r="A2184" s="18" t="s">
        <v>526</v>
      </c>
      <c r="B2184" s="18">
        <v>1970.0</v>
      </c>
      <c r="C2184" s="18" t="s">
        <v>517</v>
      </c>
      <c r="D2184" s="18">
        <v>28.0</v>
      </c>
      <c r="E2184" s="18" t="str">
        <f t="shared" si="1"/>
        <v>28/10/70</v>
      </c>
      <c r="F2184" s="18">
        <v>0.0</v>
      </c>
      <c r="G2184" s="27">
        <v>37675.06</v>
      </c>
      <c r="H2184" s="18" t="s">
        <v>140</v>
      </c>
      <c r="I2184" s="18" t="s">
        <v>142</v>
      </c>
      <c r="J2184" s="18" t="s">
        <v>570</v>
      </c>
      <c r="K2184" s="29">
        <f t="shared" si="2"/>
        <v>52</v>
      </c>
    </row>
    <row r="2185" ht="15.75" customHeight="1">
      <c r="A2185" s="18" t="s">
        <v>523</v>
      </c>
      <c r="B2185" s="18">
        <v>1988.0</v>
      </c>
      <c r="C2185" s="18" t="s">
        <v>517</v>
      </c>
      <c r="D2185" s="18">
        <v>10.0</v>
      </c>
      <c r="E2185" s="18" t="str">
        <f t="shared" si="1"/>
        <v>10/10/88</v>
      </c>
      <c r="F2185" s="18">
        <v>1.0</v>
      </c>
      <c r="G2185" s="27">
        <v>37701.88</v>
      </c>
      <c r="H2185" s="18" t="s">
        <v>140</v>
      </c>
      <c r="I2185" s="18" t="s">
        <v>142</v>
      </c>
      <c r="J2185" s="18" t="s">
        <v>2031</v>
      </c>
      <c r="K2185" s="29">
        <f t="shared" si="2"/>
        <v>34</v>
      </c>
    </row>
    <row r="2186" ht="15.75" customHeight="1">
      <c r="A2186" s="18" t="s">
        <v>520</v>
      </c>
      <c r="B2186" s="18">
        <v>1976.0</v>
      </c>
      <c r="C2186" s="18" t="s">
        <v>272</v>
      </c>
      <c r="D2186" s="18">
        <v>18.0</v>
      </c>
      <c r="E2186" s="18" t="str">
        <f t="shared" si="1"/>
        <v>18/09/76</v>
      </c>
      <c r="F2186" s="18">
        <v>2.0</v>
      </c>
      <c r="G2186" s="27">
        <v>37735.2</v>
      </c>
      <c r="H2186" s="18" t="s">
        <v>140</v>
      </c>
      <c r="I2186" s="18" t="s">
        <v>140</v>
      </c>
      <c r="J2186" s="18" t="s">
        <v>570</v>
      </c>
      <c r="K2186" s="29">
        <f t="shared" si="2"/>
        <v>46</v>
      </c>
    </row>
    <row r="2187" ht="15.75" customHeight="1">
      <c r="A2187" s="18" t="s">
        <v>518</v>
      </c>
      <c r="B2187" s="18">
        <v>1986.0</v>
      </c>
      <c r="C2187" s="18" t="s">
        <v>501</v>
      </c>
      <c r="D2187" s="18">
        <v>15.0</v>
      </c>
      <c r="E2187" s="18" t="str">
        <f t="shared" si="1"/>
        <v>15/08/86</v>
      </c>
      <c r="F2187" s="18">
        <v>0.0</v>
      </c>
      <c r="G2187" s="27">
        <v>37742.58</v>
      </c>
      <c r="H2187" s="18" t="s">
        <v>219</v>
      </c>
      <c r="I2187" s="18" t="s">
        <v>219</v>
      </c>
      <c r="J2187" s="18" t="s">
        <v>146</v>
      </c>
      <c r="K2187" s="29">
        <f t="shared" si="2"/>
        <v>36</v>
      </c>
    </row>
    <row r="2188" ht="15.75" customHeight="1">
      <c r="A2188" s="18" t="s">
        <v>513</v>
      </c>
      <c r="B2188" s="18">
        <v>1983.0</v>
      </c>
      <c r="C2188" s="18" t="s">
        <v>91</v>
      </c>
      <c r="D2188" s="18">
        <v>26.0</v>
      </c>
      <c r="E2188" s="18" t="str">
        <f t="shared" si="1"/>
        <v>26/07/83</v>
      </c>
      <c r="F2188" s="18">
        <v>3.0</v>
      </c>
      <c r="G2188" s="27">
        <v>37800.98</v>
      </c>
      <c r="H2188" s="18" t="s">
        <v>140</v>
      </c>
      <c r="I2188" s="18" t="s">
        <v>140</v>
      </c>
      <c r="J2188" s="18" t="s">
        <v>570</v>
      </c>
      <c r="K2188" s="29">
        <f t="shared" si="2"/>
        <v>39</v>
      </c>
    </row>
    <row r="2189" ht="15.75" customHeight="1">
      <c r="A2189" s="18" t="s">
        <v>510</v>
      </c>
      <c r="B2189" s="18">
        <v>1979.0</v>
      </c>
      <c r="C2189" s="18" t="s">
        <v>272</v>
      </c>
      <c r="D2189" s="18">
        <v>9.0</v>
      </c>
      <c r="E2189" s="18" t="str">
        <f t="shared" si="1"/>
        <v>09/09/79</v>
      </c>
      <c r="F2189" s="18">
        <v>0.0</v>
      </c>
      <c r="G2189" s="27">
        <v>37829.72</v>
      </c>
      <c r="H2189" s="18" t="s">
        <v>219</v>
      </c>
      <c r="I2189" s="18" t="s">
        <v>140</v>
      </c>
      <c r="J2189" s="18" t="s">
        <v>570</v>
      </c>
      <c r="K2189" s="29">
        <f t="shared" si="2"/>
        <v>43</v>
      </c>
    </row>
    <row r="2190" ht="15.75" customHeight="1">
      <c r="A2190" s="18" t="s">
        <v>507</v>
      </c>
      <c r="B2190" s="18">
        <v>1998.0</v>
      </c>
      <c r="C2190" s="18" t="s">
        <v>91</v>
      </c>
      <c r="D2190" s="18">
        <v>29.0</v>
      </c>
      <c r="E2190" s="18" t="str">
        <f t="shared" si="1"/>
        <v>29/07/98</v>
      </c>
      <c r="F2190" s="18">
        <v>0.0</v>
      </c>
      <c r="G2190" s="27">
        <v>38126.25</v>
      </c>
      <c r="H2190" s="18" t="s">
        <v>219</v>
      </c>
      <c r="I2190" s="18" t="s">
        <v>142</v>
      </c>
      <c r="J2190" s="18" t="s">
        <v>146</v>
      </c>
      <c r="K2190" s="29">
        <f t="shared" si="2"/>
        <v>24</v>
      </c>
    </row>
    <row r="2191" ht="15.75" customHeight="1">
      <c r="A2191" s="18" t="s">
        <v>504</v>
      </c>
      <c r="B2191" s="18">
        <v>1972.0</v>
      </c>
      <c r="C2191" s="18" t="s">
        <v>209</v>
      </c>
      <c r="D2191" s="18">
        <v>19.0</v>
      </c>
      <c r="E2191" s="18" t="str">
        <f t="shared" si="1"/>
        <v>19/11/72</v>
      </c>
      <c r="F2191" s="18">
        <v>0.0</v>
      </c>
      <c r="G2191" s="27">
        <v>38189.1</v>
      </c>
      <c r="H2191" s="18" t="s">
        <v>140</v>
      </c>
      <c r="I2191" s="18" t="s">
        <v>140</v>
      </c>
      <c r="J2191" s="18" t="s">
        <v>570</v>
      </c>
      <c r="K2191" s="29">
        <f t="shared" si="2"/>
        <v>50</v>
      </c>
    </row>
    <row r="2192" ht="15.75" customHeight="1">
      <c r="A2192" s="18" t="s">
        <v>502</v>
      </c>
      <c r="B2192" s="18">
        <v>1989.0</v>
      </c>
      <c r="C2192" s="18" t="s">
        <v>272</v>
      </c>
      <c r="D2192" s="18">
        <v>8.0</v>
      </c>
      <c r="E2192" s="18" t="str">
        <f t="shared" si="1"/>
        <v>08/09/89</v>
      </c>
      <c r="F2192" s="18">
        <v>3.0</v>
      </c>
      <c r="G2192" s="27">
        <v>38237.34</v>
      </c>
      <c r="H2192" s="18" t="s">
        <v>140</v>
      </c>
      <c r="I2192" s="18" t="s">
        <v>142</v>
      </c>
      <c r="J2192" s="18" t="s">
        <v>570</v>
      </c>
      <c r="K2192" s="29">
        <f t="shared" si="2"/>
        <v>33</v>
      </c>
    </row>
    <row r="2193" ht="15.75" customHeight="1">
      <c r="A2193" s="18" t="s">
        <v>498</v>
      </c>
      <c r="B2193" s="18">
        <v>1964.0</v>
      </c>
      <c r="C2193" s="18" t="s">
        <v>241</v>
      </c>
      <c r="D2193" s="18">
        <v>16.0</v>
      </c>
      <c r="E2193" s="18" t="str">
        <f t="shared" si="1"/>
        <v>16/06/64</v>
      </c>
      <c r="F2193" s="18">
        <v>0.0</v>
      </c>
      <c r="G2193" s="27">
        <v>38241.74</v>
      </c>
      <c r="H2193" s="18" t="s">
        <v>140</v>
      </c>
      <c r="I2193" s="18" t="s">
        <v>142</v>
      </c>
      <c r="J2193" s="18" t="s">
        <v>570</v>
      </c>
      <c r="K2193" s="29">
        <f t="shared" si="2"/>
        <v>58</v>
      </c>
    </row>
    <row r="2194" ht="15.75" customHeight="1">
      <c r="A2194" s="18" t="s">
        <v>494</v>
      </c>
      <c r="B2194" s="18">
        <v>1980.0</v>
      </c>
      <c r="C2194" s="18" t="s">
        <v>501</v>
      </c>
      <c r="D2194" s="18">
        <v>16.0</v>
      </c>
      <c r="E2194" s="18" t="str">
        <f t="shared" si="1"/>
        <v>16/08/80</v>
      </c>
      <c r="F2194" s="18">
        <v>1.0</v>
      </c>
      <c r="G2194" s="27">
        <v>38245.59</v>
      </c>
      <c r="H2194" s="18" t="s">
        <v>219</v>
      </c>
      <c r="I2194" s="18" t="s">
        <v>140</v>
      </c>
      <c r="J2194" s="18" t="s">
        <v>146</v>
      </c>
      <c r="K2194" s="29">
        <f t="shared" si="2"/>
        <v>42</v>
      </c>
    </row>
    <row r="2195" ht="15.75" customHeight="1">
      <c r="A2195" s="18" t="s">
        <v>491</v>
      </c>
      <c r="B2195" s="18">
        <v>1989.0</v>
      </c>
      <c r="C2195" s="18" t="s">
        <v>517</v>
      </c>
      <c r="D2195" s="18">
        <v>30.0</v>
      </c>
      <c r="E2195" s="18" t="str">
        <f t="shared" si="1"/>
        <v>30/10/89</v>
      </c>
      <c r="F2195" s="18">
        <v>1.0</v>
      </c>
      <c r="G2195" s="27">
        <v>38282.75</v>
      </c>
      <c r="H2195" s="18" t="s">
        <v>219</v>
      </c>
      <c r="I2195" s="18" t="s">
        <v>140</v>
      </c>
      <c r="J2195" s="18" t="s">
        <v>146</v>
      </c>
      <c r="K2195" s="29">
        <f t="shared" si="2"/>
        <v>33</v>
      </c>
    </row>
    <row r="2196" ht="15.75" customHeight="1">
      <c r="A2196" s="18" t="s">
        <v>488</v>
      </c>
      <c r="B2196" s="18">
        <v>1980.0</v>
      </c>
      <c r="C2196" s="18" t="s">
        <v>241</v>
      </c>
      <c r="D2196" s="18">
        <v>12.0</v>
      </c>
      <c r="E2196" s="18" t="str">
        <f t="shared" si="1"/>
        <v>12/06/80</v>
      </c>
      <c r="F2196" s="18">
        <v>2.0</v>
      </c>
      <c r="G2196" s="27">
        <v>38313.13</v>
      </c>
      <c r="H2196" s="18" t="s">
        <v>219</v>
      </c>
      <c r="I2196" s="18" t="s">
        <v>142</v>
      </c>
      <c r="J2196" s="18" t="s">
        <v>570</v>
      </c>
      <c r="K2196" s="29">
        <f t="shared" si="2"/>
        <v>42</v>
      </c>
    </row>
    <row r="2197" ht="15.75" customHeight="1">
      <c r="A2197" s="18" t="s">
        <v>486</v>
      </c>
      <c r="B2197" s="18">
        <v>2002.0</v>
      </c>
      <c r="C2197" s="18" t="s">
        <v>272</v>
      </c>
      <c r="D2197" s="18">
        <v>17.0</v>
      </c>
      <c r="E2197" s="18" t="str">
        <f t="shared" si="1"/>
        <v>17/09/02</v>
      </c>
      <c r="F2197" s="18">
        <v>2.0</v>
      </c>
      <c r="G2197" s="27">
        <v>38344.57</v>
      </c>
      <c r="H2197" s="18" t="s">
        <v>219</v>
      </c>
      <c r="I2197" s="18" t="s">
        <v>142</v>
      </c>
      <c r="J2197" s="18" t="s">
        <v>570</v>
      </c>
      <c r="K2197" s="29">
        <f t="shared" si="2"/>
        <v>20</v>
      </c>
    </row>
    <row r="2198" ht="15.75" customHeight="1">
      <c r="A2198" s="18" t="s">
        <v>483</v>
      </c>
      <c r="B2198" s="18">
        <v>1970.0</v>
      </c>
      <c r="C2198" s="18" t="s">
        <v>501</v>
      </c>
      <c r="D2198" s="18">
        <v>22.0</v>
      </c>
      <c r="E2198" s="18" t="str">
        <f t="shared" si="1"/>
        <v>22/08/70</v>
      </c>
      <c r="F2198" s="18">
        <v>0.0</v>
      </c>
      <c r="G2198" s="27">
        <v>38389.79</v>
      </c>
      <c r="H2198" s="18" t="s">
        <v>140</v>
      </c>
      <c r="I2198" s="18" t="s">
        <v>142</v>
      </c>
      <c r="J2198" s="18" t="s">
        <v>570</v>
      </c>
      <c r="K2198" s="29">
        <f t="shared" si="2"/>
        <v>52</v>
      </c>
    </row>
    <row r="2199" ht="15.75" customHeight="1">
      <c r="A2199" s="18" t="s">
        <v>479</v>
      </c>
      <c r="B2199" s="18">
        <v>1971.0</v>
      </c>
      <c r="C2199" s="18" t="s">
        <v>457</v>
      </c>
      <c r="D2199" s="18">
        <v>23.0</v>
      </c>
      <c r="E2199" s="18" t="str">
        <f t="shared" si="1"/>
        <v>23/12/71</v>
      </c>
      <c r="F2199" s="18">
        <v>0.0</v>
      </c>
      <c r="G2199" s="27">
        <v>38405.26</v>
      </c>
      <c r="H2199" s="18" t="s">
        <v>140</v>
      </c>
      <c r="I2199" s="18" t="s">
        <v>219</v>
      </c>
      <c r="J2199" s="18" t="s">
        <v>570</v>
      </c>
      <c r="K2199" s="29">
        <f t="shared" si="2"/>
        <v>51</v>
      </c>
    </row>
    <row r="2200" ht="15.75" customHeight="1">
      <c r="A2200" s="18" t="s">
        <v>476</v>
      </c>
      <c r="B2200" s="18">
        <v>1986.0</v>
      </c>
      <c r="C2200" s="18" t="s">
        <v>241</v>
      </c>
      <c r="D2200" s="18">
        <v>21.0</v>
      </c>
      <c r="E2200" s="18" t="str">
        <f t="shared" si="1"/>
        <v>21/06/86</v>
      </c>
      <c r="F2200" s="18">
        <v>2.0</v>
      </c>
      <c r="G2200" s="27">
        <v>38415.47</v>
      </c>
      <c r="H2200" s="18" t="s">
        <v>219</v>
      </c>
      <c r="I2200" s="18" t="s">
        <v>140</v>
      </c>
      <c r="J2200" s="18" t="s">
        <v>570</v>
      </c>
      <c r="K2200" s="29">
        <f t="shared" si="2"/>
        <v>36</v>
      </c>
    </row>
    <row r="2201" ht="15.75" customHeight="1">
      <c r="A2201" s="18" t="s">
        <v>473</v>
      </c>
      <c r="B2201" s="18">
        <v>1999.0</v>
      </c>
      <c r="C2201" s="18" t="s">
        <v>209</v>
      </c>
      <c r="D2201" s="18">
        <v>12.0</v>
      </c>
      <c r="E2201" s="18" t="str">
        <f t="shared" si="1"/>
        <v>12/11/99</v>
      </c>
      <c r="F2201" s="18">
        <v>2.0</v>
      </c>
      <c r="G2201" s="27">
        <v>38511.63</v>
      </c>
      <c r="H2201" s="18" t="s">
        <v>140</v>
      </c>
      <c r="I2201" s="18" t="s">
        <v>140</v>
      </c>
      <c r="J2201" s="18" t="s">
        <v>2024</v>
      </c>
      <c r="K2201" s="29">
        <f t="shared" si="2"/>
        <v>23</v>
      </c>
    </row>
    <row r="2202" ht="15.75" customHeight="1">
      <c r="A2202" s="18" t="s">
        <v>470</v>
      </c>
      <c r="B2202" s="18">
        <v>1990.0</v>
      </c>
      <c r="C2202" s="18" t="s">
        <v>91</v>
      </c>
      <c r="D2202" s="18">
        <v>13.0</v>
      </c>
      <c r="E2202" s="18" t="str">
        <f t="shared" si="1"/>
        <v>13/07/90</v>
      </c>
      <c r="F2202" s="18">
        <v>3.0</v>
      </c>
      <c r="G2202" s="27">
        <v>38652.09</v>
      </c>
      <c r="H2202" s="18" t="s">
        <v>140</v>
      </c>
      <c r="I2202" s="18" t="s">
        <v>140</v>
      </c>
      <c r="J2202" s="18" t="s">
        <v>570</v>
      </c>
      <c r="K2202" s="29">
        <f t="shared" si="2"/>
        <v>32</v>
      </c>
    </row>
    <row r="2203" ht="15.75" customHeight="1">
      <c r="A2203" s="18" t="s">
        <v>466</v>
      </c>
      <c r="B2203" s="18">
        <v>1986.0</v>
      </c>
      <c r="C2203" s="18" t="s">
        <v>91</v>
      </c>
      <c r="D2203" s="18">
        <v>20.0</v>
      </c>
      <c r="E2203" s="18" t="str">
        <f t="shared" si="1"/>
        <v>20/07/86</v>
      </c>
      <c r="F2203" s="18">
        <v>1.0</v>
      </c>
      <c r="G2203" s="27">
        <v>38709.18</v>
      </c>
      <c r="H2203" s="18" t="s">
        <v>219</v>
      </c>
      <c r="I2203" s="18" t="s">
        <v>142</v>
      </c>
      <c r="J2203" s="18" t="s">
        <v>146</v>
      </c>
      <c r="K2203" s="29">
        <f t="shared" si="2"/>
        <v>36</v>
      </c>
    </row>
    <row r="2204" ht="15.75" customHeight="1">
      <c r="A2204" s="20">
        <v>0.0</v>
      </c>
      <c r="B2204" s="18">
        <v>1991.0</v>
      </c>
      <c r="C2204" s="18" t="s">
        <v>209</v>
      </c>
      <c r="D2204" s="18">
        <v>22.0</v>
      </c>
      <c r="E2204" s="18" t="str">
        <f t="shared" si="1"/>
        <v>22/11/91</v>
      </c>
      <c r="F2204" s="18">
        <v>2.0</v>
      </c>
      <c r="G2204" s="27">
        <v>38711.0</v>
      </c>
      <c r="H2204" s="18" t="s">
        <v>219</v>
      </c>
      <c r="I2204" s="18" t="s">
        <v>142</v>
      </c>
      <c r="J2204" s="18" t="s">
        <v>570</v>
      </c>
      <c r="K2204" s="29">
        <f t="shared" si="2"/>
        <v>31</v>
      </c>
    </row>
    <row r="2205" ht="15.75" customHeight="1">
      <c r="A2205" s="18" t="s">
        <v>463</v>
      </c>
      <c r="B2205" s="18">
        <v>1991.0</v>
      </c>
      <c r="C2205" s="18" t="s">
        <v>209</v>
      </c>
      <c r="D2205" s="18">
        <v>2.0</v>
      </c>
      <c r="E2205" s="18" t="str">
        <f t="shared" si="1"/>
        <v>02/11/91</v>
      </c>
      <c r="F2205" s="18">
        <v>2.0</v>
      </c>
      <c r="G2205" s="27">
        <v>38711.0</v>
      </c>
      <c r="H2205" s="18" t="s">
        <v>140</v>
      </c>
      <c r="I2205" s="18" t="s">
        <v>140</v>
      </c>
      <c r="J2205" s="18" t="s">
        <v>570</v>
      </c>
      <c r="K2205" s="29">
        <f t="shared" si="2"/>
        <v>31</v>
      </c>
    </row>
    <row r="2206" ht="15.75" customHeight="1">
      <c r="A2206" s="18" t="s">
        <v>460</v>
      </c>
      <c r="B2206" s="18">
        <v>1976.0</v>
      </c>
      <c r="C2206" s="18" t="s">
        <v>241</v>
      </c>
      <c r="D2206" s="18">
        <v>15.0</v>
      </c>
      <c r="E2206" s="18" t="str">
        <f t="shared" si="1"/>
        <v>15/06/76</v>
      </c>
      <c r="F2206" s="18">
        <v>2.0</v>
      </c>
      <c r="G2206" s="27">
        <v>38740.12</v>
      </c>
      <c r="H2206" s="18" t="s">
        <v>140</v>
      </c>
      <c r="I2206" s="18" t="s">
        <v>140</v>
      </c>
      <c r="J2206" s="18" t="s">
        <v>325</v>
      </c>
      <c r="K2206" s="29">
        <f t="shared" si="2"/>
        <v>46</v>
      </c>
    </row>
    <row r="2207" ht="15.75" customHeight="1">
      <c r="A2207" s="18" t="s">
        <v>456</v>
      </c>
      <c r="B2207" s="18">
        <v>1991.0</v>
      </c>
      <c r="C2207" s="18" t="s">
        <v>209</v>
      </c>
      <c r="D2207" s="18">
        <v>8.0</v>
      </c>
      <c r="E2207" s="18" t="str">
        <f t="shared" si="1"/>
        <v>08/11/91</v>
      </c>
      <c r="F2207" s="18">
        <v>3.0</v>
      </c>
      <c r="G2207" s="27">
        <v>38746.36</v>
      </c>
      <c r="H2207" s="18" t="s">
        <v>219</v>
      </c>
      <c r="I2207" s="18" t="s">
        <v>140</v>
      </c>
      <c r="J2207" s="18" t="s">
        <v>325</v>
      </c>
      <c r="K2207" s="29">
        <f t="shared" si="2"/>
        <v>31</v>
      </c>
    </row>
    <row r="2208" ht="15.75" customHeight="1">
      <c r="A2208" s="18" t="s">
        <v>452</v>
      </c>
      <c r="B2208" s="18">
        <v>2004.0</v>
      </c>
      <c r="C2208" s="18" t="s">
        <v>457</v>
      </c>
      <c r="D2208" s="18">
        <v>5.0</v>
      </c>
      <c r="E2208" s="18" t="str">
        <f t="shared" si="1"/>
        <v>05/12/04</v>
      </c>
      <c r="F2208" s="18">
        <v>0.0</v>
      </c>
      <c r="G2208" s="27">
        <v>38792.69</v>
      </c>
      <c r="H2208" s="18" t="s">
        <v>140</v>
      </c>
      <c r="I2208" s="18" t="s">
        <v>140</v>
      </c>
      <c r="J2208" s="18" t="s">
        <v>146</v>
      </c>
      <c r="K2208" s="29">
        <f t="shared" si="2"/>
        <v>18</v>
      </c>
    </row>
    <row r="2209" ht="15.75" customHeight="1">
      <c r="A2209" s="18" t="s">
        <v>449</v>
      </c>
      <c r="B2209" s="18">
        <v>1979.0</v>
      </c>
      <c r="C2209" s="18" t="s">
        <v>457</v>
      </c>
      <c r="D2209" s="18">
        <v>3.0</v>
      </c>
      <c r="E2209" s="18" t="str">
        <f t="shared" si="1"/>
        <v>03/12/79</v>
      </c>
      <c r="F2209" s="18">
        <v>2.0</v>
      </c>
      <c r="G2209" s="27">
        <v>38836.98</v>
      </c>
      <c r="H2209" s="18" t="s">
        <v>140</v>
      </c>
      <c r="I2209" s="18" t="s">
        <v>219</v>
      </c>
      <c r="J2209" s="18" t="s">
        <v>570</v>
      </c>
      <c r="K2209" s="29">
        <f t="shared" si="2"/>
        <v>43</v>
      </c>
    </row>
    <row r="2210" ht="15.75" customHeight="1">
      <c r="A2210" s="18" t="s">
        <v>446</v>
      </c>
      <c r="B2210" s="18">
        <v>1964.0</v>
      </c>
      <c r="C2210" s="18" t="s">
        <v>241</v>
      </c>
      <c r="D2210" s="18">
        <v>6.0</v>
      </c>
      <c r="E2210" s="18" t="str">
        <f t="shared" si="1"/>
        <v>06/06/64</v>
      </c>
      <c r="F2210" s="18">
        <v>0.0</v>
      </c>
      <c r="G2210" s="27">
        <v>38869.25</v>
      </c>
      <c r="H2210" s="18" t="s">
        <v>140</v>
      </c>
      <c r="I2210" s="18" t="s">
        <v>140</v>
      </c>
      <c r="J2210" s="18" t="s">
        <v>570</v>
      </c>
      <c r="K2210" s="29">
        <f t="shared" si="2"/>
        <v>59</v>
      </c>
    </row>
    <row r="2211" ht="15.75" customHeight="1">
      <c r="A2211" s="18" t="s">
        <v>443</v>
      </c>
      <c r="B2211" s="18">
        <v>1967.0</v>
      </c>
      <c r="C2211" s="18" t="s">
        <v>91</v>
      </c>
      <c r="D2211" s="18">
        <v>30.0</v>
      </c>
      <c r="E2211" s="18" t="str">
        <f t="shared" si="1"/>
        <v>30/07/67</v>
      </c>
      <c r="F2211" s="18">
        <v>0.0</v>
      </c>
      <c r="G2211" s="27">
        <v>38893.36</v>
      </c>
      <c r="H2211" s="18" t="s">
        <v>219</v>
      </c>
      <c r="I2211" s="18" t="s">
        <v>140</v>
      </c>
      <c r="J2211" s="18" t="s">
        <v>570</v>
      </c>
      <c r="K2211" s="29">
        <f t="shared" si="2"/>
        <v>55</v>
      </c>
    </row>
    <row r="2212" ht="15.75" customHeight="1">
      <c r="A2212" s="18" t="s">
        <v>440</v>
      </c>
      <c r="B2212" s="18">
        <v>1987.0</v>
      </c>
      <c r="C2212" s="18" t="s">
        <v>241</v>
      </c>
      <c r="D2212" s="18">
        <v>16.0</v>
      </c>
      <c r="E2212" s="18" t="str">
        <f t="shared" si="1"/>
        <v>16/06/87</v>
      </c>
      <c r="F2212" s="18">
        <v>3.0</v>
      </c>
      <c r="G2212" s="27">
        <v>38924.04</v>
      </c>
      <c r="H2212" s="18" t="s">
        <v>140</v>
      </c>
      <c r="I2212" s="18" t="s">
        <v>140</v>
      </c>
      <c r="J2212" s="18" t="s">
        <v>570</v>
      </c>
      <c r="K2212" s="29">
        <f t="shared" si="2"/>
        <v>35</v>
      </c>
    </row>
    <row r="2213" ht="15.75" customHeight="1">
      <c r="A2213" s="18" t="s">
        <v>436</v>
      </c>
      <c r="B2213" s="18">
        <v>1976.0</v>
      </c>
      <c r="C2213" s="18" t="s">
        <v>457</v>
      </c>
      <c r="D2213" s="18">
        <v>15.0</v>
      </c>
      <c r="E2213" s="18" t="str">
        <f t="shared" si="1"/>
        <v>15/12/76</v>
      </c>
      <c r="F2213" s="18">
        <v>2.0</v>
      </c>
      <c r="G2213" s="27">
        <v>38932.56</v>
      </c>
      <c r="H2213" s="18" t="s">
        <v>140</v>
      </c>
      <c r="I2213" s="18" t="s">
        <v>142</v>
      </c>
      <c r="J2213" s="18" t="s">
        <v>570</v>
      </c>
      <c r="K2213" s="29">
        <f t="shared" si="2"/>
        <v>46</v>
      </c>
    </row>
    <row r="2214" ht="15.75" customHeight="1">
      <c r="A2214" s="18" t="s">
        <v>433</v>
      </c>
      <c r="B2214" s="18">
        <v>1980.0</v>
      </c>
      <c r="C2214" s="18" t="s">
        <v>272</v>
      </c>
      <c r="D2214" s="18">
        <v>24.0</v>
      </c>
      <c r="E2214" s="18" t="str">
        <f t="shared" si="1"/>
        <v>24/09/80</v>
      </c>
      <c r="F2214" s="18">
        <v>2.0</v>
      </c>
      <c r="G2214" s="27">
        <v>38947.43</v>
      </c>
      <c r="H2214" s="18" t="s">
        <v>140</v>
      </c>
      <c r="I2214" s="18" t="s">
        <v>142</v>
      </c>
      <c r="J2214" s="18" t="s">
        <v>570</v>
      </c>
      <c r="K2214" s="29">
        <f t="shared" si="2"/>
        <v>42</v>
      </c>
    </row>
    <row r="2215" ht="15.75" customHeight="1">
      <c r="A2215" s="18" t="s">
        <v>430</v>
      </c>
      <c r="B2215" s="18">
        <v>1978.0</v>
      </c>
      <c r="C2215" s="18" t="s">
        <v>517</v>
      </c>
      <c r="D2215" s="18">
        <v>12.0</v>
      </c>
      <c r="E2215" s="18" t="str">
        <f t="shared" si="1"/>
        <v>12/10/78</v>
      </c>
      <c r="F2215" s="18">
        <v>2.0</v>
      </c>
      <c r="G2215" s="27">
        <v>38998.55</v>
      </c>
      <c r="H2215" s="18" t="s">
        <v>219</v>
      </c>
      <c r="I2215" s="18" t="s">
        <v>219</v>
      </c>
      <c r="J2215" s="18" t="s">
        <v>570</v>
      </c>
      <c r="K2215" s="29">
        <f t="shared" si="2"/>
        <v>44</v>
      </c>
    </row>
    <row r="2216" ht="15.75" customHeight="1">
      <c r="A2216" s="18" t="s">
        <v>427</v>
      </c>
      <c r="B2216" s="18">
        <v>1985.0</v>
      </c>
      <c r="C2216" s="18" t="s">
        <v>272</v>
      </c>
      <c r="D2216" s="18">
        <v>20.0</v>
      </c>
      <c r="E2216" s="18" t="str">
        <f t="shared" si="1"/>
        <v>20/09/85</v>
      </c>
      <c r="F2216" s="18">
        <v>1.0</v>
      </c>
      <c r="G2216" s="27">
        <v>39047.29</v>
      </c>
      <c r="H2216" s="18" t="s">
        <v>219</v>
      </c>
      <c r="I2216" s="18" t="s">
        <v>142</v>
      </c>
      <c r="J2216" s="18" t="s">
        <v>2617</v>
      </c>
      <c r="K2216" s="29">
        <f t="shared" si="2"/>
        <v>37</v>
      </c>
    </row>
    <row r="2217" ht="15.75" customHeight="1">
      <c r="A2217" s="18" t="s">
        <v>424</v>
      </c>
      <c r="B2217" s="18">
        <v>1982.0</v>
      </c>
      <c r="C2217" s="18" t="s">
        <v>501</v>
      </c>
      <c r="D2217" s="18">
        <v>4.0</v>
      </c>
      <c r="E2217" s="18" t="str">
        <f t="shared" si="1"/>
        <v>04/08/82</v>
      </c>
      <c r="F2217" s="18">
        <v>1.0</v>
      </c>
      <c r="G2217" s="27">
        <v>39125.33</v>
      </c>
      <c r="H2217" s="18" t="s">
        <v>219</v>
      </c>
      <c r="I2217" s="18" t="s">
        <v>219</v>
      </c>
      <c r="J2217" s="18" t="s">
        <v>1427</v>
      </c>
      <c r="K2217" s="29">
        <f t="shared" si="2"/>
        <v>40</v>
      </c>
    </row>
    <row r="2218" ht="15.75" customHeight="1">
      <c r="A2218" s="18" t="s">
        <v>421</v>
      </c>
      <c r="B2218" s="18">
        <v>1962.0</v>
      </c>
      <c r="C2218" s="18" t="s">
        <v>91</v>
      </c>
      <c r="D2218" s="18">
        <v>7.0</v>
      </c>
      <c r="E2218" s="18" t="str">
        <f t="shared" si="1"/>
        <v>07/07/62</v>
      </c>
      <c r="F2218" s="18">
        <v>0.0</v>
      </c>
      <c r="G2218" s="27">
        <v>39221.12</v>
      </c>
      <c r="H2218" s="18" t="s">
        <v>140</v>
      </c>
      <c r="I2218" s="18" t="s">
        <v>219</v>
      </c>
      <c r="J2218" s="18" t="s">
        <v>570</v>
      </c>
      <c r="K2218" s="29">
        <f t="shared" si="2"/>
        <v>60</v>
      </c>
    </row>
    <row r="2219" ht="15.75" customHeight="1">
      <c r="A2219" s="18" t="s">
        <v>418</v>
      </c>
      <c r="B2219" s="18">
        <v>1992.0</v>
      </c>
      <c r="C2219" s="18" t="s">
        <v>209</v>
      </c>
      <c r="D2219" s="18">
        <v>30.0</v>
      </c>
      <c r="E2219" s="18" t="str">
        <f t="shared" si="1"/>
        <v>30/11/92</v>
      </c>
      <c r="F2219" s="18">
        <v>2.0</v>
      </c>
      <c r="G2219" s="27">
        <v>39241.44</v>
      </c>
      <c r="H2219" s="18" t="s">
        <v>219</v>
      </c>
      <c r="I2219" s="18" t="s">
        <v>142</v>
      </c>
      <c r="J2219" s="18" t="s">
        <v>570</v>
      </c>
      <c r="K2219" s="29">
        <f t="shared" si="2"/>
        <v>30</v>
      </c>
    </row>
    <row r="2220" ht="15.75" customHeight="1">
      <c r="A2220" s="18" t="s">
        <v>414</v>
      </c>
      <c r="B2220" s="18">
        <v>1982.0</v>
      </c>
      <c r="C2220" s="18" t="s">
        <v>501</v>
      </c>
      <c r="D2220" s="18">
        <v>16.0</v>
      </c>
      <c r="E2220" s="18" t="str">
        <f t="shared" si="1"/>
        <v>16/08/82</v>
      </c>
      <c r="F2220" s="18">
        <v>3.0</v>
      </c>
      <c r="G2220" s="27">
        <v>39315.28</v>
      </c>
      <c r="H2220" s="18" t="s">
        <v>140</v>
      </c>
      <c r="I2220" s="18" t="s">
        <v>142</v>
      </c>
      <c r="J2220" s="18" t="s">
        <v>570</v>
      </c>
      <c r="K2220" s="29">
        <f t="shared" si="2"/>
        <v>40</v>
      </c>
    </row>
    <row r="2221" ht="15.75" customHeight="1">
      <c r="A2221" s="18" t="s">
        <v>411</v>
      </c>
      <c r="B2221" s="18">
        <v>1978.0</v>
      </c>
      <c r="C2221" s="18" t="s">
        <v>501</v>
      </c>
      <c r="D2221" s="18">
        <v>5.0</v>
      </c>
      <c r="E2221" s="18" t="str">
        <f t="shared" si="1"/>
        <v>05/08/78</v>
      </c>
      <c r="F2221" s="18">
        <v>2.0</v>
      </c>
      <c r="G2221" s="27">
        <v>39352.6</v>
      </c>
      <c r="H2221" s="18" t="s">
        <v>140</v>
      </c>
      <c r="I2221" s="18" t="s">
        <v>142</v>
      </c>
      <c r="J2221" s="18" t="s">
        <v>570</v>
      </c>
      <c r="K2221" s="29">
        <f t="shared" si="2"/>
        <v>44</v>
      </c>
    </row>
    <row r="2222" ht="15.75" customHeight="1">
      <c r="A2222" s="18" t="s">
        <v>408</v>
      </c>
      <c r="B2222" s="18">
        <v>1966.0</v>
      </c>
      <c r="C2222" s="18" t="s">
        <v>241</v>
      </c>
      <c r="D2222" s="18">
        <v>24.0</v>
      </c>
      <c r="E2222" s="18" t="str">
        <f t="shared" si="1"/>
        <v>24/06/66</v>
      </c>
      <c r="F2222" s="18">
        <v>0.0</v>
      </c>
      <c r="G2222" s="27">
        <v>39396.86</v>
      </c>
      <c r="H2222" s="18" t="s">
        <v>140</v>
      </c>
      <c r="I2222" s="18" t="s">
        <v>140</v>
      </c>
      <c r="J2222" s="18" t="s">
        <v>570</v>
      </c>
      <c r="K2222" s="29">
        <f t="shared" si="2"/>
        <v>56</v>
      </c>
    </row>
    <row r="2223" ht="15.75" customHeight="1">
      <c r="A2223" s="18" t="s">
        <v>405</v>
      </c>
      <c r="B2223" s="18">
        <v>1978.0</v>
      </c>
      <c r="C2223" s="18" t="s">
        <v>91</v>
      </c>
      <c r="D2223" s="18">
        <v>12.0</v>
      </c>
      <c r="E2223" s="18" t="str">
        <f t="shared" si="1"/>
        <v>12/07/78</v>
      </c>
      <c r="F2223" s="18">
        <v>1.0</v>
      </c>
      <c r="G2223" s="27">
        <v>39556.49</v>
      </c>
      <c r="H2223" s="18" t="s">
        <v>219</v>
      </c>
      <c r="I2223" s="18" t="s">
        <v>140</v>
      </c>
      <c r="J2223" s="18" t="s">
        <v>1414</v>
      </c>
      <c r="K2223" s="29">
        <f t="shared" si="2"/>
        <v>44</v>
      </c>
    </row>
    <row r="2224" ht="15.75" customHeight="1">
      <c r="A2224" s="18" t="s">
        <v>402</v>
      </c>
      <c r="B2224" s="18">
        <v>1981.0</v>
      </c>
      <c r="C2224" s="18" t="s">
        <v>91</v>
      </c>
      <c r="D2224" s="18">
        <v>5.0</v>
      </c>
      <c r="E2224" s="18" t="str">
        <f t="shared" si="1"/>
        <v>05/07/81</v>
      </c>
      <c r="F2224" s="18">
        <v>3.0</v>
      </c>
      <c r="G2224" s="27">
        <v>39597.41</v>
      </c>
      <c r="H2224" s="18" t="s">
        <v>219</v>
      </c>
      <c r="I2224" s="18" t="s">
        <v>140</v>
      </c>
      <c r="J2224" s="18" t="s">
        <v>2617</v>
      </c>
      <c r="K2224" s="29">
        <f t="shared" si="2"/>
        <v>41</v>
      </c>
    </row>
    <row r="2225" ht="15.75" customHeight="1">
      <c r="A2225" s="18" t="s">
        <v>399</v>
      </c>
      <c r="B2225" s="18">
        <v>1995.0</v>
      </c>
      <c r="C2225" s="18" t="s">
        <v>501</v>
      </c>
      <c r="D2225" s="18">
        <v>7.0</v>
      </c>
      <c r="E2225" s="18" t="str">
        <f t="shared" si="1"/>
        <v>07/08/95</v>
      </c>
      <c r="F2225" s="18">
        <v>0.0</v>
      </c>
      <c r="G2225" s="27">
        <v>39611.76</v>
      </c>
      <c r="H2225" s="18" t="s">
        <v>219</v>
      </c>
      <c r="I2225" s="18" t="s">
        <v>142</v>
      </c>
      <c r="J2225" s="18" t="s">
        <v>146</v>
      </c>
      <c r="K2225" s="29">
        <f t="shared" si="2"/>
        <v>27</v>
      </c>
    </row>
    <row r="2226" ht="15.75" customHeight="1">
      <c r="A2226" s="18" t="s">
        <v>396</v>
      </c>
      <c r="B2226" s="18">
        <v>1977.0</v>
      </c>
      <c r="C2226" s="18" t="s">
        <v>457</v>
      </c>
      <c r="D2226" s="18">
        <v>17.0</v>
      </c>
      <c r="E2226" s="18" t="str">
        <f t="shared" si="1"/>
        <v>17/12/77</v>
      </c>
      <c r="F2226" s="18">
        <v>2.0</v>
      </c>
      <c r="G2226" s="27">
        <v>39670.44</v>
      </c>
      <c r="H2226" s="18" t="s">
        <v>140</v>
      </c>
      <c r="I2226" s="18" t="s">
        <v>219</v>
      </c>
      <c r="J2226" s="18" t="s">
        <v>325</v>
      </c>
      <c r="K2226" s="29">
        <f t="shared" si="2"/>
        <v>45</v>
      </c>
    </row>
    <row r="2227" ht="15.75" customHeight="1">
      <c r="A2227" s="18" t="s">
        <v>394</v>
      </c>
      <c r="B2227" s="18">
        <v>1968.0</v>
      </c>
      <c r="C2227" s="18" t="s">
        <v>272</v>
      </c>
      <c r="D2227" s="18">
        <v>29.0</v>
      </c>
      <c r="E2227" s="18" t="str">
        <f t="shared" si="1"/>
        <v>29/09/68</v>
      </c>
      <c r="F2227" s="18">
        <v>0.0</v>
      </c>
      <c r="G2227" s="27">
        <v>39721.93</v>
      </c>
      <c r="H2227" s="18" t="s">
        <v>140</v>
      </c>
      <c r="I2227" s="18" t="s">
        <v>140</v>
      </c>
      <c r="J2227" s="18" t="s">
        <v>570</v>
      </c>
      <c r="K2227" s="29">
        <f t="shared" si="2"/>
        <v>54</v>
      </c>
    </row>
    <row r="2228" ht="15.75" customHeight="1">
      <c r="A2228" s="18" t="s">
        <v>391</v>
      </c>
      <c r="B2228" s="18">
        <v>2003.0</v>
      </c>
      <c r="C2228" s="18" t="s">
        <v>91</v>
      </c>
      <c r="D2228" s="18">
        <v>16.0</v>
      </c>
      <c r="E2228" s="18" t="str">
        <f t="shared" si="1"/>
        <v>16/07/03</v>
      </c>
      <c r="F2228" s="18">
        <v>0.0</v>
      </c>
      <c r="G2228" s="27">
        <v>39722.75</v>
      </c>
      <c r="H2228" s="18" t="s">
        <v>219</v>
      </c>
      <c r="I2228" s="18" t="s">
        <v>219</v>
      </c>
      <c r="J2228" s="18" t="s">
        <v>146</v>
      </c>
      <c r="K2228" s="29">
        <f t="shared" si="2"/>
        <v>19</v>
      </c>
    </row>
    <row r="2229" ht="15.75" customHeight="1">
      <c r="A2229" s="18" t="s">
        <v>388</v>
      </c>
      <c r="B2229" s="18">
        <v>1977.0</v>
      </c>
      <c r="C2229" s="18" t="s">
        <v>501</v>
      </c>
      <c r="D2229" s="18">
        <v>12.0</v>
      </c>
      <c r="E2229" s="18" t="str">
        <f t="shared" si="1"/>
        <v>12/08/77</v>
      </c>
      <c r="F2229" s="18">
        <v>1.0</v>
      </c>
      <c r="G2229" s="27">
        <v>39725.52</v>
      </c>
      <c r="H2229" s="18" t="s">
        <v>140</v>
      </c>
      <c r="I2229" s="18" t="s">
        <v>219</v>
      </c>
      <c r="J2229" s="18" t="s">
        <v>325</v>
      </c>
      <c r="K2229" s="29">
        <f t="shared" si="2"/>
        <v>45</v>
      </c>
    </row>
    <row r="2230" ht="15.75" customHeight="1">
      <c r="A2230" s="18" t="s">
        <v>385</v>
      </c>
      <c r="B2230" s="18">
        <v>1973.0</v>
      </c>
      <c r="C2230" s="18" t="s">
        <v>457</v>
      </c>
      <c r="D2230" s="18">
        <v>17.0</v>
      </c>
      <c r="E2230" s="18" t="str">
        <f t="shared" si="1"/>
        <v>17/12/73</v>
      </c>
      <c r="F2230" s="18">
        <v>0.0</v>
      </c>
      <c r="G2230" s="27">
        <v>39727.61</v>
      </c>
      <c r="H2230" s="18" t="s">
        <v>219</v>
      </c>
      <c r="I2230" s="18" t="s">
        <v>140</v>
      </c>
      <c r="J2230" s="18" t="s">
        <v>570</v>
      </c>
      <c r="K2230" s="29">
        <f t="shared" si="2"/>
        <v>49</v>
      </c>
    </row>
    <row r="2231" ht="15.75" customHeight="1">
      <c r="A2231" s="18" t="s">
        <v>382</v>
      </c>
      <c r="B2231" s="18">
        <v>1987.0</v>
      </c>
      <c r="C2231" s="18" t="s">
        <v>91</v>
      </c>
      <c r="D2231" s="18">
        <v>24.0</v>
      </c>
      <c r="E2231" s="18" t="str">
        <f t="shared" si="1"/>
        <v>24/07/87</v>
      </c>
      <c r="F2231" s="18">
        <v>1.0</v>
      </c>
      <c r="G2231" s="27">
        <v>39774.28</v>
      </c>
      <c r="H2231" s="18" t="s">
        <v>219</v>
      </c>
      <c r="I2231" s="18" t="s">
        <v>219</v>
      </c>
      <c r="J2231" s="18" t="s">
        <v>2191</v>
      </c>
      <c r="K2231" s="29">
        <f t="shared" si="2"/>
        <v>35</v>
      </c>
    </row>
    <row r="2232" ht="15.75" customHeight="1">
      <c r="A2232" s="18" t="s">
        <v>379</v>
      </c>
      <c r="B2232" s="18">
        <v>1985.0</v>
      </c>
      <c r="C2232" s="18" t="s">
        <v>91</v>
      </c>
      <c r="D2232" s="18">
        <v>17.0</v>
      </c>
      <c r="E2232" s="18" t="str">
        <f t="shared" si="1"/>
        <v>17/07/85</v>
      </c>
      <c r="F2232" s="18">
        <v>2.0</v>
      </c>
      <c r="G2232" s="27">
        <v>39836.52</v>
      </c>
      <c r="H2232" s="18" t="s">
        <v>140</v>
      </c>
      <c r="I2232" s="18" t="s">
        <v>219</v>
      </c>
      <c r="J2232" s="18" t="s">
        <v>570</v>
      </c>
      <c r="K2232" s="29">
        <f t="shared" si="2"/>
        <v>37</v>
      </c>
    </row>
    <row r="2233" ht="15.75" customHeight="1">
      <c r="A2233" s="18" t="s">
        <v>375</v>
      </c>
      <c r="B2233" s="18">
        <v>1983.0</v>
      </c>
      <c r="C2233" s="18" t="s">
        <v>241</v>
      </c>
      <c r="D2233" s="18">
        <v>1.0</v>
      </c>
      <c r="E2233" s="18" t="str">
        <f t="shared" si="1"/>
        <v>01/06/83</v>
      </c>
      <c r="F2233" s="18">
        <v>3.0</v>
      </c>
      <c r="G2233" s="27">
        <v>39865.7</v>
      </c>
      <c r="H2233" s="18" t="s">
        <v>140</v>
      </c>
      <c r="I2233" s="18" t="s">
        <v>140</v>
      </c>
      <c r="J2233" s="18" t="s">
        <v>570</v>
      </c>
      <c r="K2233" s="29">
        <f t="shared" si="2"/>
        <v>40</v>
      </c>
    </row>
    <row r="2234" ht="15.75" customHeight="1">
      <c r="A2234" s="18" t="s">
        <v>372</v>
      </c>
      <c r="B2234" s="18">
        <v>1985.0</v>
      </c>
      <c r="C2234" s="18" t="s">
        <v>501</v>
      </c>
      <c r="D2234" s="18">
        <v>22.0</v>
      </c>
      <c r="E2234" s="18" t="str">
        <f t="shared" si="1"/>
        <v>22/08/85</v>
      </c>
      <c r="F2234" s="18">
        <v>1.0</v>
      </c>
      <c r="G2234" s="27">
        <v>39871.7</v>
      </c>
      <c r="H2234" s="18" t="s">
        <v>219</v>
      </c>
      <c r="I2234" s="18" t="s">
        <v>140</v>
      </c>
      <c r="J2234" s="18" t="s">
        <v>146</v>
      </c>
      <c r="K2234" s="29">
        <f t="shared" si="2"/>
        <v>37</v>
      </c>
    </row>
    <row r="2235" ht="15.75" customHeight="1">
      <c r="A2235" s="18" t="s">
        <v>370</v>
      </c>
      <c r="B2235" s="18">
        <v>1975.0</v>
      </c>
      <c r="C2235" s="18" t="s">
        <v>457</v>
      </c>
      <c r="D2235" s="18">
        <v>2.0</v>
      </c>
      <c r="E2235" s="18" t="str">
        <f t="shared" si="1"/>
        <v>02/12/75</v>
      </c>
      <c r="F2235" s="18">
        <v>1.0</v>
      </c>
      <c r="G2235" s="27">
        <v>39963.12</v>
      </c>
      <c r="H2235" s="18" t="s">
        <v>140</v>
      </c>
      <c r="I2235" s="18" t="s">
        <v>140</v>
      </c>
      <c r="J2235" s="18" t="s">
        <v>570</v>
      </c>
      <c r="K2235" s="29">
        <f t="shared" si="2"/>
        <v>47</v>
      </c>
    </row>
    <row r="2236" ht="15.75" customHeight="1">
      <c r="A2236" s="18" t="s">
        <v>367</v>
      </c>
      <c r="B2236" s="18">
        <v>1987.0</v>
      </c>
      <c r="C2236" s="18" t="s">
        <v>501</v>
      </c>
      <c r="D2236" s="18">
        <v>8.0</v>
      </c>
      <c r="E2236" s="18" t="str">
        <f t="shared" si="1"/>
        <v>08/08/87</v>
      </c>
      <c r="F2236" s="18">
        <v>3.0</v>
      </c>
      <c r="G2236" s="27">
        <v>39983.43</v>
      </c>
      <c r="H2236" s="18" t="s">
        <v>140</v>
      </c>
      <c r="I2236" s="18" t="s">
        <v>142</v>
      </c>
      <c r="J2236" s="18" t="s">
        <v>325</v>
      </c>
      <c r="K2236" s="29">
        <f t="shared" si="2"/>
        <v>35</v>
      </c>
    </row>
    <row r="2237" ht="15.75" customHeight="1">
      <c r="A2237" s="18" t="s">
        <v>363</v>
      </c>
      <c r="B2237" s="18">
        <v>1982.0</v>
      </c>
      <c r="C2237" s="18" t="s">
        <v>457</v>
      </c>
      <c r="D2237" s="18">
        <v>25.0</v>
      </c>
      <c r="E2237" s="18" t="str">
        <f t="shared" si="1"/>
        <v>25/12/82</v>
      </c>
      <c r="F2237" s="18">
        <v>2.0</v>
      </c>
      <c r="G2237" s="27">
        <v>40003.33</v>
      </c>
      <c r="H2237" s="18" t="s">
        <v>219</v>
      </c>
      <c r="I2237" s="18" t="s">
        <v>219</v>
      </c>
      <c r="J2237" s="18" t="s">
        <v>325</v>
      </c>
      <c r="K2237" s="29">
        <f t="shared" si="2"/>
        <v>40</v>
      </c>
    </row>
    <row r="2238" ht="15.75" customHeight="1">
      <c r="A2238" s="18" t="s">
        <v>360</v>
      </c>
      <c r="B2238" s="18">
        <v>1978.0</v>
      </c>
      <c r="C2238" s="18" t="s">
        <v>457</v>
      </c>
      <c r="D2238" s="18">
        <v>20.0</v>
      </c>
      <c r="E2238" s="18" t="str">
        <f t="shared" si="1"/>
        <v>20/12/78</v>
      </c>
      <c r="F2238" s="18">
        <v>2.0</v>
      </c>
      <c r="G2238" s="27">
        <v>40054.73</v>
      </c>
      <c r="H2238" s="18" t="s">
        <v>219</v>
      </c>
      <c r="I2238" s="18" t="s">
        <v>142</v>
      </c>
      <c r="J2238" s="18" t="s">
        <v>570</v>
      </c>
      <c r="K2238" s="29">
        <f t="shared" si="2"/>
        <v>44</v>
      </c>
    </row>
    <row r="2239" ht="15.75" customHeight="1">
      <c r="A2239" s="18" t="s">
        <v>357</v>
      </c>
      <c r="B2239" s="18">
        <v>1966.0</v>
      </c>
      <c r="C2239" s="18" t="s">
        <v>501</v>
      </c>
      <c r="D2239" s="18">
        <v>12.0</v>
      </c>
      <c r="E2239" s="18" t="str">
        <f t="shared" si="1"/>
        <v>12/08/66</v>
      </c>
      <c r="F2239" s="18">
        <v>0.0</v>
      </c>
      <c r="G2239" s="27">
        <v>40069.44</v>
      </c>
      <c r="H2239" s="18" t="s">
        <v>219</v>
      </c>
      <c r="I2239" s="18" t="s">
        <v>142</v>
      </c>
      <c r="J2239" s="18" t="s">
        <v>570</v>
      </c>
      <c r="K2239" s="29">
        <f t="shared" si="2"/>
        <v>56</v>
      </c>
    </row>
    <row r="2240" ht="15.75" customHeight="1">
      <c r="A2240" s="18" t="s">
        <v>354</v>
      </c>
      <c r="B2240" s="18">
        <v>1983.0</v>
      </c>
      <c r="C2240" s="18" t="s">
        <v>517</v>
      </c>
      <c r="D2240" s="18">
        <v>14.0</v>
      </c>
      <c r="E2240" s="18" t="str">
        <f t="shared" si="1"/>
        <v>14/10/83</v>
      </c>
      <c r="F2240" s="18">
        <v>2.0</v>
      </c>
      <c r="G2240" s="27">
        <v>40103.89</v>
      </c>
      <c r="H2240" s="18" t="s">
        <v>219</v>
      </c>
      <c r="I2240" s="18" t="s">
        <v>140</v>
      </c>
      <c r="J2240" s="18" t="s">
        <v>570</v>
      </c>
      <c r="K2240" s="29">
        <f t="shared" si="2"/>
        <v>39</v>
      </c>
    </row>
    <row r="2241" ht="15.75" customHeight="1">
      <c r="A2241" s="18" t="s">
        <v>351</v>
      </c>
      <c r="B2241" s="18">
        <v>1985.0</v>
      </c>
      <c r="C2241" s="18" t="s">
        <v>517</v>
      </c>
      <c r="D2241" s="18">
        <v>21.0</v>
      </c>
      <c r="E2241" s="18" t="str">
        <f t="shared" si="1"/>
        <v>21/10/85</v>
      </c>
      <c r="F2241" s="18">
        <v>4.0</v>
      </c>
      <c r="G2241" s="27">
        <v>40182.25</v>
      </c>
      <c r="H2241" s="18" t="s">
        <v>219</v>
      </c>
      <c r="I2241" s="18" t="s">
        <v>140</v>
      </c>
      <c r="J2241" s="18" t="s">
        <v>570</v>
      </c>
      <c r="K2241" s="29">
        <f t="shared" si="2"/>
        <v>37</v>
      </c>
    </row>
    <row r="2242" ht="15.75" customHeight="1">
      <c r="A2242" s="18" t="s">
        <v>347</v>
      </c>
      <c r="B2242" s="18">
        <v>1979.0</v>
      </c>
      <c r="C2242" s="18" t="s">
        <v>501</v>
      </c>
      <c r="D2242" s="18">
        <v>18.0</v>
      </c>
      <c r="E2242" s="18" t="str">
        <f t="shared" si="1"/>
        <v>18/08/79</v>
      </c>
      <c r="F2242" s="18">
        <v>2.0</v>
      </c>
      <c r="G2242" s="27">
        <v>40204.83</v>
      </c>
      <c r="H2242" s="18" t="s">
        <v>219</v>
      </c>
      <c r="I2242" s="18" t="s">
        <v>142</v>
      </c>
      <c r="J2242" s="18" t="s">
        <v>325</v>
      </c>
      <c r="K2242" s="29">
        <f t="shared" si="2"/>
        <v>43</v>
      </c>
    </row>
    <row r="2243" ht="15.75" customHeight="1">
      <c r="A2243" s="18" t="s">
        <v>343</v>
      </c>
      <c r="B2243" s="18">
        <v>1981.0</v>
      </c>
      <c r="C2243" s="18" t="s">
        <v>91</v>
      </c>
      <c r="D2243" s="18">
        <v>28.0</v>
      </c>
      <c r="E2243" s="18" t="str">
        <f t="shared" si="1"/>
        <v>28/07/81</v>
      </c>
      <c r="F2243" s="18">
        <v>1.0</v>
      </c>
      <c r="G2243" s="27">
        <v>40208.56</v>
      </c>
      <c r="H2243" s="18" t="s">
        <v>219</v>
      </c>
      <c r="I2243" s="18" t="s">
        <v>140</v>
      </c>
      <c r="J2243" s="18" t="s">
        <v>570</v>
      </c>
      <c r="K2243" s="29">
        <f t="shared" si="2"/>
        <v>41</v>
      </c>
    </row>
    <row r="2244" ht="15.75" customHeight="1">
      <c r="A2244" s="18" t="s">
        <v>340</v>
      </c>
      <c r="B2244" s="18">
        <v>1981.0</v>
      </c>
      <c r="C2244" s="18" t="s">
        <v>517</v>
      </c>
      <c r="D2244" s="18">
        <v>4.0</v>
      </c>
      <c r="E2244" s="18" t="str">
        <f t="shared" si="1"/>
        <v>04/10/81</v>
      </c>
      <c r="F2244" s="18">
        <v>1.0</v>
      </c>
      <c r="G2244" s="27">
        <v>40273.65</v>
      </c>
      <c r="H2244" s="18" t="s">
        <v>219</v>
      </c>
      <c r="I2244" s="18" t="s">
        <v>142</v>
      </c>
      <c r="J2244" s="18" t="s">
        <v>146</v>
      </c>
      <c r="K2244" s="29">
        <f t="shared" si="2"/>
        <v>41</v>
      </c>
    </row>
    <row r="2245" ht="15.75" customHeight="1">
      <c r="A2245" s="18" t="s">
        <v>338</v>
      </c>
      <c r="B2245" s="18">
        <v>1977.0</v>
      </c>
      <c r="C2245" s="18" t="s">
        <v>241</v>
      </c>
      <c r="D2245" s="18">
        <v>27.0</v>
      </c>
      <c r="E2245" s="18" t="str">
        <f t="shared" si="1"/>
        <v>27/06/77</v>
      </c>
      <c r="F2245" s="18">
        <v>2.0</v>
      </c>
      <c r="G2245" s="27">
        <v>40284.38</v>
      </c>
      <c r="H2245" s="18" t="s">
        <v>219</v>
      </c>
      <c r="I2245" s="18" t="s">
        <v>142</v>
      </c>
      <c r="J2245" s="18" t="s">
        <v>325</v>
      </c>
      <c r="K2245" s="29">
        <f t="shared" si="2"/>
        <v>45</v>
      </c>
    </row>
    <row r="2246" ht="15.75" customHeight="1">
      <c r="A2246" s="18" t="s">
        <v>335</v>
      </c>
      <c r="B2246" s="18">
        <v>1962.0</v>
      </c>
      <c r="C2246" s="18" t="s">
        <v>272</v>
      </c>
      <c r="D2246" s="18">
        <v>4.0</v>
      </c>
      <c r="E2246" s="18" t="str">
        <f t="shared" si="1"/>
        <v>04/09/62</v>
      </c>
      <c r="F2246" s="18">
        <v>0.0</v>
      </c>
      <c r="G2246" s="27">
        <v>40309.93</v>
      </c>
      <c r="H2246" s="18" t="s">
        <v>219</v>
      </c>
      <c r="I2246" s="18" t="s">
        <v>142</v>
      </c>
      <c r="J2246" s="18" t="s">
        <v>570</v>
      </c>
      <c r="K2246" s="29">
        <f t="shared" si="2"/>
        <v>60</v>
      </c>
    </row>
    <row r="2247" ht="15.75" customHeight="1">
      <c r="A2247" s="18" t="s">
        <v>332</v>
      </c>
      <c r="B2247" s="18">
        <v>1966.0</v>
      </c>
      <c r="C2247" s="18" t="s">
        <v>501</v>
      </c>
      <c r="D2247" s="18">
        <v>12.0</v>
      </c>
      <c r="E2247" s="18" t="str">
        <f t="shared" si="1"/>
        <v>12/08/66</v>
      </c>
      <c r="F2247" s="18">
        <v>0.0</v>
      </c>
      <c r="G2247" s="27">
        <v>40373.74</v>
      </c>
      <c r="H2247" s="18" t="s">
        <v>219</v>
      </c>
      <c r="I2247" s="18" t="s">
        <v>142</v>
      </c>
      <c r="J2247" s="18" t="s">
        <v>570</v>
      </c>
      <c r="K2247" s="29">
        <f t="shared" si="2"/>
        <v>56</v>
      </c>
    </row>
    <row r="2248" ht="15.75" customHeight="1">
      <c r="A2248" s="18" t="s">
        <v>329</v>
      </c>
      <c r="B2248" s="18">
        <v>1985.0</v>
      </c>
      <c r="C2248" s="18" t="s">
        <v>209</v>
      </c>
      <c r="D2248" s="18">
        <v>3.0</v>
      </c>
      <c r="E2248" s="18" t="str">
        <f t="shared" si="1"/>
        <v>03/11/85</v>
      </c>
      <c r="F2248" s="18">
        <v>0.0</v>
      </c>
      <c r="G2248" s="27">
        <v>40419.02</v>
      </c>
      <c r="H2248" s="18" t="s">
        <v>219</v>
      </c>
      <c r="I2248" s="18" t="s">
        <v>140</v>
      </c>
      <c r="J2248" s="18" t="s">
        <v>146</v>
      </c>
      <c r="K2248" s="29">
        <f t="shared" si="2"/>
        <v>37</v>
      </c>
    </row>
    <row r="2249" ht="15.75" customHeight="1">
      <c r="A2249" s="18" t="s">
        <v>326</v>
      </c>
      <c r="B2249" s="18">
        <v>1975.0</v>
      </c>
      <c r="C2249" s="18" t="s">
        <v>91</v>
      </c>
      <c r="D2249" s="18">
        <v>10.0</v>
      </c>
      <c r="E2249" s="18" t="str">
        <f t="shared" si="1"/>
        <v>10/07/75</v>
      </c>
      <c r="F2249" s="18">
        <v>1.0</v>
      </c>
      <c r="G2249" s="27">
        <v>40590.55</v>
      </c>
      <c r="H2249" s="18" t="s">
        <v>219</v>
      </c>
      <c r="I2249" s="18" t="s">
        <v>142</v>
      </c>
      <c r="J2249" s="18" t="s">
        <v>325</v>
      </c>
      <c r="K2249" s="29">
        <f t="shared" si="2"/>
        <v>47</v>
      </c>
    </row>
    <row r="2250" ht="15.75" customHeight="1">
      <c r="A2250" s="18" t="s">
        <v>323</v>
      </c>
      <c r="B2250" s="18">
        <v>1970.0</v>
      </c>
      <c r="C2250" s="18" t="s">
        <v>272</v>
      </c>
      <c r="D2250" s="18">
        <v>25.0</v>
      </c>
      <c r="E2250" s="18" t="str">
        <f t="shared" si="1"/>
        <v>25/09/70</v>
      </c>
      <c r="F2250" s="18">
        <v>0.0</v>
      </c>
      <c r="G2250" s="27">
        <v>40692.91</v>
      </c>
      <c r="H2250" s="18" t="s">
        <v>219</v>
      </c>
      <c r="I2250" s="18" t="s">
        <v>219</v>
      </c>
      <c r="J2250" s="18" t="s">
        <v>570</v>
      </c>
      <c r="K2250" s="29">
        <f t="shared" si="2"/>
        <v>52</v>
      </c>
    </row>
    <row r="2251" ht="15.75" customHeight="1">
      <c r="A2251" s="18" t="s">
        <v>321</v>
      </c>
      <c r="B2251" s="18">
        <v>1976.0</v>
      </c>
      <c r="C2251" s="18" t="s">
        <v>457</v>
      </c>
      <c r="D2251" s="18">
        <v>26.0</v>
      </c>
      <c r="E2251" s="18" t="str">
        <f t="shared" si="1"/>
        <v>26/12/76</v>
      </c>
      <c r="F2251" s="18">
        <v>3.0</v>
      </c>
      <c r="G2251" s="27">
        <v>40720.55</v>
      </c>
      <c r="H2251" s="18" t="s">
        <v>219</v>
      </c>
      <c r="I2251" s="18" t="s">
        <v>142</v>
      </c>
      <c r="J2251" s="18" t="s">
        <v>325</v>
      </c>
      <c r="K2251" s="29">
        <f t="shared" si="2"/>
        <v>46</v>
      </c>
    </row>
    <row r="2252" ht="15.75" customHeight="1">
      <c r="A2252" s="18" t="s">
        <v>318</v>
      </c>
      <c r="B2252" s="18">
        <v>1972.0</v>
      </c>
      <c r="C2252" s="18" t="s">
        <v>241</v>
      </c>
      <c r="D2252" s="18">
        <v>10.0</v>
      </c>
      <c r="E2252" s="18" t="str">
        <f t="shared" si="1"/>
        <v>10/06/72</v>
      </c>
      <c r="F2252" s="18">
        <v>0.0</v>
      </c>
      <c r="G2252" s="27">
        <v>40817.85</v>
      </c>
      <c r="H2252" s="18" t="s">
        <v>219</v>
      </c>
      <c r="I2252" s="18" t="s">
        <v>142</v>
      </c>
      <c r="J2252" s="18" t="s">
        <v>570</v>
      </c>
      <c r="K2252" s="29">
        <f t="shared" si="2"/>
        <v>50</v>
      </c>
    </row>
    <row r="2253" ht="15.75" customHeight="1">
      <c r="A2253" s="18" t="s">
        <v>314</v>
      </c>
      <c r="B2253" s="18">
        <v>1999.0</v>
      </c>
      <c r="C2253" s="18" t="s">
        <v>91</v>
      </c>
      <c r="D2253" s="18">
        <v>2.0</v>
      </c>
      <c r="E2253" s="18" t="str">
        <f t="shared" si="1"/>
        <v>02/07/99</v>
      </c>
      <c r="F2253" s="18">
        <v>1.0</v>
      </c>
      <c r="G2253" s="27">
        <v>40904.2</v>
      </c>
      <c r="H2253" s="18" t="s">
        <v>219</v>
      </c>
      <c r="I2253" s="18" t="s">
        <v>219</v>
      </c>
      <c r="J2253" s="18" t="s">
        <v>2024</v>
      </c>
      <c r="K2253" s="29">
        <f t="shared" si="2"/>
        <v>23</v>
      </c>
    </row>
    <row r="2254" ht="15.75" customHeight="1">
      <c r="A2254" s="18" t="s">
        <v>311</v>
      </c>
      <c r="B2254" s="18">
        <v>1992.0</v>
      </c>
      <c r="C2254" s="18" t="s">
        <v>501</v>
      </c>
      <c r="D2254" s="18">
        <v>4.0</v>
      </c>
      <c r="E2254" s="18" t="str">
        <f t="shared" si="1"/>
        <v>04/08/92</v>
      </c>
      <c r="F2254" s="18">
        <v>3.0</v>
      </c>
      <c r="G2254" s="27">
        <v>40932.43</v>
      </c>
      <c r="H2254" s="18" t="s">
        <v>219</v>
      </c>
      <c r="I2254" s="18" t="s">
        <v>140</v>
      </c>
      <c r="J2254" s="18" t="s">
        <v>146</v>
      </c>
      <c r="K2254" s="29">
        <f t="shared" si="2"/>
        <v>30</v>
      </c>
    </row>
    <row r="2255" ht="15.75" customHeight="1">
      <c r="A2255" s="18" t="s">
        <v>308</v>
      </c>
      <c r="B2255" s="18">
        <v>1979.0</v>
      </c>
      <c r="C2255" s="18" t="s">
        <v>272</v>
      </c>
      <c r="D2255" s="18">
        <v>16.0</v>
      </c>
      <c r="E2255" s="18" t="str">
        <f t="shared" si="1"/>
        <v>16/09/79</v>
      </c>
      <c r="F2255" s="18">
        <v>3.0</v>
      </c>
      <c r="G2255" s="27">
        <v>40941.29</v>
      </c>
      <c r="H2255" s="18" t="s">
        <v>219</v>
      </c>
      <c r="I2255" s="18" t="s">
        <v>140</v>
      </c>
      <c r="J2255" s="18" t="s">
        <v>146</v>
      </c>
      <c r="K2255" s="29">
        <f t="shared" si="2"/>
        <v>43</v>
      </c>
    </row>
    <row r="2256" ht="15.75" customHeight="1">
      <c r="A2256" s="18" t="s">
        <v>305</v>
      </c>
      <c r="B2256" s="18">
        <v>1983.0</v>
      </c>
      <c r="C2256" s="18" t="s">
        <v>272</v>
      </c>
      <c r="D2256" s="18">
        <v>8.0</v>
      </c>
      <c r="E2256" s="18" t="str">
        <f t="shared" si="1"/>
        <v>08/09/83</v>
      </c>
      <c r="F2256" s="18">
        <v>3.0</v>
      </c>
      <c r="G2256" s="27">
        <v>40961.29</v>
      </c>
      <c r="H2256" s="18" t="s">
        <v>219</v>
      </c>
      <c r="I2256" s="18" t="s">
        <v>140</v>
      </c>
      <c r="J2256" s="18" t="s">
        <v>570</v>
      </c>
      <c r="K2256" s="29">
        <f t="shared" si="2"/>
        <v>39</v>
      </c>
    </row>
    <row r="2257" ht="15.75" customHeight="1">
      <c r="A2257" s="18" t="s">
        <v>302</v>
      </c>
      <c r="B2257" s="18">
        <v>1974.0</v>
      </c>
      <c r="C2257" s="18" t="s">
        <v>241</v>
      </c>
      <c r="D2257" s="18">
        <v>5.0</v>
      </c>
      <c r="E2257" s="18" t="str">
        <f t="shared" si="1"/>
        <v>05/06/74</v>
      </c>
      <c r="F2257" s="18">
        <v>0.0</v>
      </c>
      <c r="G2257" s="27">
        <v>40974.16</v>
      </c>
      <c r="H2257" s="18" t="s">
        <v>219</v>
      </c>
      <c r="I2257" s="18" t="s">
        <v>140</v>
      </c>
      <c r="J2257" s="18" t="s">
        <v>146</v>
      </c>
      <c r="K2257" s="29">
        <f t="shared" si="2"/>
        <v>49</v>
      </c>
    </row>
    <row r="2258" ht="15.75" customHeight="1">
      <c r="A2258" s="18" t="s">
        <v>299</v>
      </c>
      <c r="B2258" s="18">
        <v>1979.0</v>
      </c>
      <c r="C2258" s="18" t="s">
        <v>517</v>
      </c>
      <c r="D2258" s="18">
        <v>11.0</v>
      </c>
      <c r="E2258" s="18" t="str">
        <f t="shared" si="1"/>
        <v>11/10/79</v>
      </c>
      <c r="F2258" s="18">
        <v>1.0</v>
      </c>
      <c r="G2258" s="27">
        <v>41034.22</v>
      </c>
      <c r="H2258" s="18" t="s">
        <v>219</v>
      </c>
      <c r="I2258" s="18" t="s">
        <v>142</v>
      </c>
      <c r="J2258" s="18" t="s">
        <v>2617</v>
      </c>
      <c r="K2258" s="29">
        <f t="shared" si="2"/>
        <v>43</v>
      </c>
    </row>
    <row r="2259" ht="15.75" customHeight="1">
      <c r="A2259" s="18" t="s">
        <v>296</v>
      </c>
      <c r="B2259" s="18">
        <v>1972.0</v>
      </c>
      <c r="C2259" s="18" t="s">
        <v>501</v>
      </c>
      <c r="D2259" s="18">
        <v>12.0</v>
      </c>
      <c r="E2259" s="18" t="str">
        <f t="shared" si="1"/>
        <v>12/08/72</v>
      </c>
      <c r="F2259" s="18">
        <v>0.0</v>
      </c>
      <c r="G2259" s="27">
        <v>41055.29</v>
      </c>
      <c r="H2259" s="18" t="s">
        <v>219</v>
      </c>
      <c r="I2259" s="18" t="s">
        <v>140</v>
      </c>
      <c r="J2259" s="18" t="s">
        <v>570</v>
      </c>
      <c r="K2259" s="29">
        <f t="shared" si="2"/>
        <v>50</v>
      </c>
    </row>
    <row r="2260" ht="15.75" customHeight="1">
      <c r="A2260" s="18" t="s">
        <v>292</v>
      </c>
      <c r="B2260" s="18">
        <v>1972.0</v>
      </c>
      <c r="C2260" s="18" t="s">
        <v>272</v>
      </c>
      <c r="D2260" s="18">
        <v>6.0</v>
      </c>
      <c r="E2260" s="18" t="str">
        <f t="shared" si="1"/>
        <v>06/09/72</v>
      </c>
      <c r="F2260" s="18">
        <v>0.0</v>
      </c>
      <c r="G2260" s="27">
        <v>41097.16</v>
      </c>
      <c r="H2260" s="18" t="s">
        <v>219</v>
      </c>
      <c r="I2260" s="18" t="s">
        <v>142</v>
      </c>
      <c r="J2260" s="18" t="s">
        <v>1427</v>
      </c>
      <c r="K2260" s="29">
        <f t="shared" si="2"/>
        <v>50</v>
      </c>
    </row>
    <row r="2261" ht="15.75" customHeight="1">
      <c r="A2261" s="18" t="s">
        <v>289</v>
      </c>
      <c r="B2261" s="18">
        <v>1969.0</v>
      </c>
      <c r="C2261" s="18" t="s">
        <v>501</v>
      </c>
      <c r="D2261" s="18">
        <v>8.0</v>
      </c>
      <c r="E2261" s="18" t="str">
        <f t="shared" si="1"/>
        <v>08/08/69</v>
      </c>
      <c r="F2261" s="18">
        <v>0.0</v>
      </c>
      <c r="G2261" s="27">
        <v>41191.57</v>
      </c>
      <c r="H2261" s="18" t="s">
        <v>219</v>
      </c>
      <c r="I2261" s="18" t="s">
        <v>140</v>
      </c>
      <c r="J2261" s="18" t="s">
        <v>570</v>
      </c>
      <c r="K2261" s="29">
        <f t="shared" si="2"/>
        <v>53</v>
      </c>
    </row>
    <row r="2262" ht="15.75" customHeight="1">
      <c r="A2262" s="18" t="s">
        <v>286</v>
      </c>
      <c r="B2262" s="18">
        <v>1964.0</v>
      </c>
      <c r="C2262" s="18" t="s">
        <v>241</v>
      </c>
      <c r="D2262" s="18">
        <v>6.0</v>
      </c>
      <c r="E2262" s="18" t="str">
        <f t="shared" si="1"/>
        <v>06/06/64</v>
      </c>
      <c r="F2262" s="18">
        <v>0.0</v>
      </c>
      <c r="G2262" s="27">
        <v>41250.39</v>
      </c>
      <c r="H2262" s="18" t="s">
        <v>219</v>
      </c>
      <c r="I2262" s="18" t="s">
        <v>142</v>
      </c>
      <c r="J2262" s="18" t="s">
        <v>570</v>
      </c>
      <c r="K2262" s="29">
        <f t="shared" si="2"/>
        <v>59</v>
      </c>
    </row>
    <row r="2263" ht="15.75" customHeight="1">
      <c r="A2263" s="18" t="s">
        <v>283</v>
      </c>
      <c r="B2263" s="18">
        <v>1977.0</v>
      </c>
      <c r="C2263" s="18" t="s">
        <v>501</v>
      </c>
      <c r="D2263" s="18">
        <v>27.0</v>
      </c>
      <c r="E2263" s="18" t="str">
        <f t="shared" si="1"/>
        <v>27/08/77</v>
      </c>
      <c r="F2263" s="18">
        <v>2.0</v>
      </c>
      <c r="G2263" s="27">
        <v>41271.5</v>
      </c>
      <c r="H2263" s="18" t="s">
        <v>219</v>
      </c>
      <c r="I2263" s="18" t="s">
        <v>140</v>
      </c>
      <c r="J2263" s="18" t="s">
        <v>570</v>
      </c>
      <c r="K2263" s="29">
        <f t="shared" si="2"/>
        <v>45</v>
      </c>
    </row>
    <row r="2264" ht="15.75" customHeight="1">
      <c r="A2264" s="18" t="s">
        <v>280</v>
      </c>
      <c r="B2264" s="18">
        <v>1964.0</v>
      </c>
      <c r="C2264" s="18" t="s">
        <v>517</v>
      </c>
      <c r="D2264" s="18">
        <v>7.0</v>
      </c>
      <c r="E2264" s="18" t="str">
        <f t="shared" si="1"/>
        <v>07/10/64</v>
      </c>
      <c r="F2264" s="18">
        <v>0.0</v>
      </c>
      <c r="G2264" s="27">
        <v>41331.79</v>
      </c>
      <c r="H2264" s="18" t="s">
        <v>219</v>
      </c>
      <c r="I2264" s="18" t="s">
        <v>140</v>
      </c>
      <c r="J2264" s="18" t="s">
        <v>570</v>
      </c>
      <c r="K2264" s="29">
        <f t="shared" si="2"/>
        <v>58</v>
      </c>
    </row>
    <row r="2265" ht="15.75" customHeight="1">
      <c r="A2265" s="18" t="s">
        <v>277</v>
      </c>
      <c r="B2265" s="18">
        <v>1971.0</v>
      </c>
      <c r="C2265" s="18" t="s">
        <v>517</v>
      </c>
      <c r="D2265" s="18">
        <v>16.0</v>
      </c>
      <c r="E2265" s="18" t="str">
        <f t="shared" si="1"/>
        <v>16/10/71</v>
      </c>
      <c r="F2265" s="18">
        <v>0.0</v>
      </c>
      <c r="G2265" s="27">
        <v>41351.88</v>
      </c>
      <c r="H2265" s="18" t="s">
        <v>219</v>
      </c>
      <c r="I2265" s="18" t="s">
        <v>140</v>
      </c>
      <c r="J2265" s="18" t="s">
        <v>570</v>
      </c>
      <c r="K2265" s="29">
        <f t="shared" si="2"/>
        <v>51</v>
      </c>
    </row>
    <row r="2266" ht="15.75" customHeight="1">
      <c r="A2266" s="18" t="s">
        <v>274</v>
      </c>
      <c r="B2266" s="18">
        <v>1967.0</v>
      </c>
      <c r="C2266" s="18" t="s">
        <v>457</v>
      </c>
      <c r="D2266" s="18">
        <v>22.0</v>
      </c>
      <c r="E2266" s="18" t="str">
        <f t="shared" si="1"/>
        <v>22/12/67</v>
      </c>
      <c r="F2266" s="18">
        <v>0.0</v>
      </c>
      <c r="G2266" s="27">
        <v>41505.15</v>
      </c>
      <c r="H2266" s="18" t="s">
        <v>219</v>
      </c>
      <c r="I2266" s="18" t="s">
        <v>140</v>
      </c>
      <c r="J2266" s="18" t="s">
        <v>570</v>
      </c>
      <c r="K2266" s="29">
        <f t="shared" si="2"/>
        <v>55</v>
      </c>
    </row>
    <row r="2267" ht="15.75" customHeight="1">
      <c r="A2267" s="18" t="s">
        <v>270</v>
      </c>
      <c r="B2267" s="18">
        <v>1974.0</v>
      </c>
      <c r="C2267" s="18" t="s">
        <v>209</v>
      </c>
      <c r="D2267" s="18">
        <v>24.0</v>
      </c>
      <c r="E2267" s="18" t="str">
        <f t="shared" si="1"/>
        <v>24/11/74</v>
      </c>
      <c r="F2267" s="18">
        <v>0.0</v>
      </c>
      <c r="G2267" s="27">
        <v>41636.2</v>
      </c>
      <c r="H2267" s="18" t="s">
        <v>219</v>
      </c>
      <c r="I2267" s="18" t="s">
        <v>219</v>
      </c>
      <c r="J2267" s="18" t="s">
        <v>570</v>
      </c>
      <c r="K2267" s="29">
        <f t="shared" si="2"/>
        <v>48</v>
      </c>
    </row>
    <row r="2268" ht="15.75" customHeight="1">
      <c r="A2268" s="18" t="s">
        <v>266</v>
      </c>
      <c r="B2268" s="18">
        <v>1976.0</v>
      </c>
      <c r="C2268" s="18" t="s">
        <v>517</v>
      </c>
      <c r="D2268" s="18">
        <v>29.0</v>
      </c>
      <c r="E2268" s="18" t="str">
        <f t="shared" si="1"/>
        <v>29/10/76</v>
      </c>
      <c r="F2268" s="18">
        <v>1.0</v>
      </c>
      <c r="G2268" s="27">
        <v>41661.6</v>
      </c>
      <c r="H2268" s="18" t="s">
        <v>219</v>
      </c>
      <c r="I2268" s="18" t="s">
        <v>142</v>
      </c>
      <c r="J2268" s="18" t="s">
        <v>570</v>
      </c>
      <c r="K2268" s="29">
        <f t="shared" si="2"/>
        <v>46</v>
      </c>
    </row>
    <row r="2269" ht="15.75" customHeight="1">
      <c r="A2269" s="18" t="s">
        <v>263</v>
      </c>
      <c r="B2269" s="18">
        <v>1975.0</v>
      </c>
      <c r="C2269" s="18" t="s">
        <v>209</v>
      </c>
      <c r="D2269" s="18">
        <v>14.0</v>
      </c>
      <c r="E2269" s="18" t="str">
        <f t="shared" si="1"/>
        <v>14/11/75</v>
      </c>
      <c r="F2269" s="18">
        <v>0.0</v>
      </c>
      <c r="G2269" s="27">
        <v>41676.08</v>
      </c>
      <c r="H2269" s="18" t="s">
        <v>219</v>
      </c>
      <c r="I2269" s="18" t="s">
        <v>140</v>
      </c>
      <c r="J2269" s="18" t="s">
        <v>146</v>
      </c>
      <c r="K2269" s="29">
        <f t="shared" si="2"/>
        <v>47</v>
      </c>
    </row>
    <row r="2270" ht="15.75" customHeight="1">
      <c r="A2270" s="18" t="s">
        <v>260</v>
      </c>
      <c r="B2270" s="18">
        <v>1975.0</v>
      </c>
      <c r="C2270" s="18" t="s">
        <v>272</v>
      </c>
      <c r="D2270" s="18">
        <v>29.0</v>
      </c>
      <c r="E2270" s="18" t="str">
        <f t="shared" si="1"/>
        <v>29/09/75</v>
      </c>
      <c r="F2270" s="18">
        <v>1.0</v>
      </c>
      <c r="G2270" s="27">
        <v>41681.86</v>
      </c>
      <c r="H2270" s="18" t="s">
        <v>219</v>
      </c>
      <c r="I2270" s="18" t="s">
        <v>219</v>
      </c>
      <c r="J2270" s="18" t="s">
        <v>570</v>
      </c>
      <c r="K2270" s="29">
        <f t="shared" si="2"/>
        <v>47</v>
      </c>
    </row>
    <row r="2271" ht="15.75" customHeight="1">
      <c r="A2271" s="18" t="s">
        <v>257</v>
      </c>
      <c r="B2271" s="18">
        <v>1962.0</v>
      </c>
      <c r="C2271" s="18" t="s">
        <v>272</v>
      </c>
      <c r="D2271" s="18">
        <v>22.0</v>
      </c>
      <c r="E2271" s="18" t="str">
        <f t="shared" si="1"/>
        <v>22/09/62</v>
      </c>
      <c r="F2271" s="18">
        <v>0.0</v>
      </c>
      <c r="G2271" s="27">
        <v>41794.63</v>
      </c>
      <c r="H2271" s="18" t="s">
        <v>219</v>
      </c>
      <c r="I2271" s="18" t="s">
        <v>142</v>
      </c>
      <c r="J2271" s="18" t="s">
        <v>570</v>
      </c>
      <c r="K2271" s="29">
        <f t="shared" si="2"/>
        <v>60</v>
      </c>
    </row>
    <row r="2272" ht="15.75" customHeight="1">
      <c r="A2272" s="18" t="s">
        <v>254</v>
      </c>
      <c r="B2272" s="18">
        <v>1966.0</v>
      </c>
      <c r="C2272" s="18" t="s">
        <v>272</v>
      </c>
      <c r="D2272" s="18">
        <v>21.0</v>
      </c>
      <c r="E2272" s="18" t="str">
        <f t="shared" si="1"/>
        <v>21/09/66</v>
      </c>
      <c r="F2272" s="18">
        <v>0.0</v>
      </c>
      <c r="G2272" s="27">
        <v>41886.54</v>
      </c>
      <c r="H2272" s="18" t="s">
        <v>219</v>
      </c>
      <c r="I2272" s="18" t="s">
        <v>142</v>
      </c>
      <c r="J2272" s="18" t="s">
        <v>570</v>
      </c>
      <c r="K2272" s="29">
        <f t="shared" si="2"/>
        <v>56</v>
      </c>
    </row>
    <row r="2273" ht="15.75" customHeight="1">
      <c r="A2273" s="18" t="s">
        <v>251</v>
      </c>
      <c r="B2273" s="18">
        <v>1972.0</v>
      </c>
      <c r="C2273" s="18" t="s">
        <v>241</v>
      </c>
      <c r="D2273" s="18">
        <v>8.0</v>
      </c>
      <c r="E2273" s="18" t="str">
        <f t="shared" si="1"/>
        <v>08/06/72</v>
      </c>
      <c r="F2273" s="18">
        <v>1.0</v>
      </c>
      <c r="G2273" s="27">
        <v>41919.1</v>
      </c>
      <c r="H2273" s="18" t="s">
        <v>219</v>
      </c>
      <c r="I2273" s="18" t="s">
        <v>219</v>
      </c>
      <c r="J2273" s="18" t="s">
        <v>1427</v>
      </c>
      <c r="K2273" s="29">
        <f t="shared" si="2"/>
        <v>51</v>
      </c>
    </row>
    <row r="2274" ht="15.75" customHeight="1">
      <c r="A2274" s="18" t="s">
        <v>248</v>
      </c>
      <c r="B2274" s="18">
        <v>1984.0</v>
      </c>
      <c r="C2274" s="18" t="s">
        <v>209</v>
      </c>
      <c r="D2274" s="18">
        <v>10.0</v>
      </c>
      <c r="E2274" s="18" t="str">
        <f t="shared" si="1"/>
        <v>10/11/84</v>
      </c>
      <c r="F2274" s="18">
        <v>3.0</v>
      </c>
      <c r="G2274" s="27">
        <v>41949.24</v>
      </c>
      <c r="H2274" s="18" t="s">
        <v>219</v>
      </c>
      <c r="I2274" s="18" t="s">
        <v>219</v>
      </c>
      <c r="J2274" s="18" t="s">
        <v>146</v>
      </c>
      <c r="K2274" s="29">
        <f t="shared" si="2"/>
        <v>38</v>
      </c>
    </row>
    <row r="2275" ht="15.75" customHeight="1">
      <c r="A2275" s="18" t="s">
        <v>245</v>
      </c>
      <c r="B2275" s="18">
        <v>1968.0</v>
      </c>
      <c r="C2275" s="18" t="s">
        <v>457</v>
      </c>
      <c r="D2275" s="18">
        <v>19.0</v>
      </c>
      <c r="E2275" s="18" t="str">
        <f t="shared" si="1"/>
        <v>19/12/68</v>
      </c>
      <c r="F2275" s="18">
        <v>1.0</v>
      </c>
      <c r="G2275" s="27">
        <v>41999.52</v>
      </c>
      <c r="H2275" s="18" t="s">
        <v>219</v>
      </c>
      <c r="I2275" s="18" t="s">
        <v>142</v>
      </c>
      <c r="J2275" s="18" t="s">
        <v>146</v>
      </c>
      <c r="K2275" s="29">
        <f t="shared" si="2"/>
        <v>54</v>
      </c>
    </row>
    <row r="2276" ht="15.75" customHeight="1">
      <c r="A2276" s="18" t="s">
        <v>242</v>
      </c>
      <c r="B2276" s="18">
        <v>1976.0</v>
      </c>
      <c r="C2276" s="18" t="s">
        <v>209</v>
      </c>
      <c r="D2276" s="18">
        <v>28.0</v>
      </c>
      <c r="E2276" s="18" t="str">
        <f t="shared" si="1"/>
        <v>28/11/76</v>
      </c>
      <c r="F2276" s="18">
        <v>0.0</v>
      </c>
      <c r="G2276" s="27">
        <v>42111.66</v>
      </c>
      <c r="H2276" s="18" t="s">
        <v>219</v>
      </c>
      <c r="I2276" s="18" t="s">
        <v>219</v>
      </c>
      <c r="J2276" s="18" t="s">
        <v>2024</v>
      </c>
      <c r="K2276" s="29">
        <f t="shared" si="2"/>
        <v>46</v>
      </c>
    </row>
    <row r="2277" ht="15.75" customHeight="1">
      <c r="A2277" s="18" t="s">
        <v>237</v>
      </c>
      <c r="B2277" s="18">
        <v>1997.0</v>
      </c>
      <c r="C2277" s="18" t="s">
        <v>457</v>
      </c>
      <c r="D2277" s="18">
        <v>9.0</v>
      </c>
      <c r="E2277" s="18" t="str">
        <f t="shared" si="1"/>
        <v>09/12/97</v>
      </c>
      <c r="F2277" s="18">
        <v>2.0</v>
      </c>
      <c r="G2277" s="27">
        <v>42112.24</v>
      </c>
      <c r="H2277" s="18" t="s">
        <v>219</v>
      </c>
      <c r="I2277" s="18" t="s">
        <v>142</v>
      </c>
      <c r="J2277" s="18" t="s">
        <v>146</v>
      </c>
      <c r="K2277" s="29">
        <f t="shared" si="2"/>
        <v>25</v>
      </c>
    </row>
    <row r="2278" ht="15.75" customHeight="1">
      <c r="A2278" s="18" t="s">
        <v>234</v>
      </c>
      <c r="B2278" s="18">
        <v>1979.0</v>
      </c>
      <c r="C2278" s="18" t="s">
        <v>91</v>
      </c>
      <c r="D2278" s="18">
        <v>3.0</v>
      </c>
      <c r="E2278" s="18" t="str">
        <f t="shared" si="1"/>
        <v>03/07/79</v>
      </c>
      <c r="F2278" s="18">
        <v>3.0</v>
      </c>
      <c r="G2278" s="27">
        <v>42124.52</v>
      </c>
      <c r="H2278" s="18" t="s">
        <v>219</v>
      </c>
      <c r="I2278" s="18" t="s">
        <v>219</v>
      </c>
      <c r="J2278" s="18" t="s">
        <v>146</v>
      </c>
      <c r="K2278" s="29">
        <f t="shared" si="2"/>
        <v>43</v>
      </c>
    </row>
    <row r="2279" ht="15.75" customHeight="1">
      <c r="A2279" s="18" t="s">
        <v>231</v>
      </c>
      <c r="B2279" s="18">
        <v>1973.0</v>
      </c>
      <c r="C2279" s="18" t="s">
        <v>272</v>
      </c>
      <c r="D2279" s="18">
        <v>18.0</v>
      </c>
      <c r="E2279" s="18" t="str">
        <f t="shared" si="1"/>
        <v>18/09/73</v>
      </c>
      <c r="F2279" s="18">
        <v>0.0</v>
      </c>
      <c r="G2279" s="27">
        <v>42188.15</v>
      </c>
      <c r="H2279" s="18" t="s">
        <v>219</v>
      </c>
      <c r="I2279" s="18" t="s">
        <v>219</v>
      </c>
      <c r="J2279" s="18" t="s">
        <v>570</v>
      </c>
      <c r="K2279" s="29">
        <f t="shared" si="2"/>
        <v>49</v>
      </c>
    </row>
    <row r="2280" ht="15.75" customHeight="1">
      <c r="A2280" s="18" t="s">
        <v>228</v>
      </c>
      <c r="B2280" s="18">
        <v>1975.0</v>
      </c>
      <c r="C2280" s="18" t="s">
        <v>501</v>
      </c>
      <c r="D2280" s="18">
        <v>15.0</v>
      </c>
      <c r="E2280" s="18" t="str">
        <f t="shared" si="1"/>
        <v>15/08/75</v>
      </c>
      <c r="F2280" s="18">
        <v>1.0</v>
      </c>
      <c r="G2280" s="27">
        <v>42211.14</v>
      </c>
      <c r="H2280" s="18" t="s">
        <v>219</v>
      </c>
      <c r="I2280" s="18" t="s">
        <v>142</v>
      </c>
      <c r="J2280" s="18" t="s">
        <v>146</v>
      </c>
      <c r="K2280" s="29">
        <f t="shared" si="2"/>
        <v>47</v>
      </c>
    </row>
    <row r="2281" ht="15.75" customHeight="1">
      <c r="A2281" s="18" t="s">
        <v>226</v>
      </c>
      <c r="B2281" s="18">
        <v>1967.0</v>
      </c>
      <c r="C2281" s="18" t="s">
        <v>241</v>
      </c>
      <c r="D2281" s="18">
        <v>28.0</v>
      </c>
      <c r="E2281" s="18" t="str">
        <f t="shared" si="1"/>
        <v>28/06/67</v>
      </c>
      <c r="F2281" s="18">
        <v>0.0</v>
      </c>
      <c r="G2281" s="27">
        <v>42303.69</v>
      </c>
      <c r="H2281" s="18" t="s">
        <v>219</v>
      </c>
      <c r="I2281" s="18" t="s">
        <v>140</v>
      </c>
      <c r="J2281" s="18" t="s">
        <v>1427</v>
      </c>
      <c r="K2281" s="29">
        <f t="shared" si="2"/>
        <v>55</v>
      </c>
    </row>
    <row r="2282" ht="15.75" customHeight="1">
      <c r="A2282" s="18" t="s">
        <v>223</v>
      </c>
      <c r="B2282" s="18">
        <v>1968.0</v>
      </c>
      <c r="C2282" s="18" t="s">
        <v>501</v>
      </c>
      <c r="D2282" s="18">
        <v>3.0</v>
      </c>
      <c r="E2282" s="18" t="str">
        <f t="shared" si="1"/>
        <v>03/08/68</v>
      </c>
      <c r="F2282" s="18">
        <v>0.0</v>
      </c>
      <c r="G2282" s="27">
        <v>42478.6</v>
      </c>
      <c r="H2282" s="18" t="s">
        <v>219</v>
      </c>
      <c r="I2282" s="18" t="s">
        <v>140</v>
      </c>
      <c r="J2282" s="18" t="s">
        <v>570</v>
      </c>
      <c r="K2282" s="29">
        <f t="shared" si="2"/>
        <v>54</v>
      </c>
    </row>
    <row r="2283" ht="15.75" customHeight="1">
      <c r="A2283" s="18" t="s">
        <v>220</v>
      </c>
      <c r="B2283" s="18">
        <v>1967.0</v>
      </c>
      <c r="C2283" s="18" t="s">
        <v>241</v>
      </c>
      <c r="D2283" s="18">
        <v>27.0</v>
      </c>
      <c r="E2283" s="18" t="str">
        <f t="shared" si="1"/>
        <v>27/06/67</v>
      </c>
      <c r="F2283" s="18">
        <v>0.0</v>
      </c>
      <c r="G2283" s="27">
        <v>42538.72</v>
      </c>
      <c r="H2283" s="18" t="s">
        <v>219</v>
      </c>
      <c r="I2283" s="18" t="s">
        <v>142</v>
      </c>
      <c r="J2283" s="18" t="s">
        <v>570</v>
      </c>
      <c r="K2283" s="29">
        <f t="shared" si="2"/>
        <v>55</v>
      </c>
    </row>
    <row r="2284" ht="15.75" customHeight="1">
      <c r="A2284" s="18" t="s">
        <v>216</v>
      </c>
      <c r="B2284" s="18">
        <v>1979.0</v>
      </c>
      <c r="C2284" s="18" t="s">
        <v>457</v>
      </c>
      <c r="D2284" s="18">
        <v>27.0</v>
      </c>
      <c r="E2284" s="18" t="str">
        <f t="shared" si="1"/>
        <v>27/12/79</v>
      </c>
      <c r="F2284" s="18">
        <v>2.0</v>
      </c>
      <c r="G2284" s="27">
        <v>42560.43</v>
      </c>
      <c r="H2284" s="18" t="s">
        <v>219</v>
      </c>
      <c r="I2284" s="18" t="s">
        <v>142</v>
      </c>
      <c r="J2284" s="18" t="s">
        <v>146</v>
      </c>
      <c r="K2284" s="29">
        <f t="shared" si="2"/>
        <v>43</v>
      </c>
    </row>
    <row r="2285" ht="15.75" customHeight="1">
      <c r="A2285" s="18" t="s">
        <v>213</v>
      </c>
      <c r="B2285" s="18">
        <v>1971.0</v>
      </c>
      <c r="C2285" s="18" t="s">
        <v>209</v>
      </c>
      <c r="D2285" s="18">
        <v>3.0</v>
      </c>
      <c r="E2285" s="18" t="str">
        <f t="shared" si="1"/>
        <v>03/11/71</v>
      </c>
      <c r="F2285" s="18">
        <v>0.0</v>
      </c>
      <c r="G2285" s="27">
        <v>42644.2</v>
      </c>
      <c r="H2285" s="18" t="s">
        <v>219</v>
      </c>
      <c r="I2285" s="18" t="s">
        <v>142</v>
      </c>
      <c r="J2285" s="18" t="s">
        <v>570</v>
      </c>
      <c r="K2285" s="29">
        <f t="shared" si="2"/>
        <v>51</v>
      </c>
    </row>
    <row r="2286" ht="15.75" customHeight="1">
      <c r="A2286" s="18" t="s">
        <v>210</v>
      </c>
      <c r="B2286" s="18">
        <v>1977.0</v>
      </c>
      <c r="C2286" s="18" t="s">
        <v>517</v>
      </c>
      <c r="D2286" s="18">
        <v>21.0</v>
      </c>
      <c r="E2286" s="18" t="str">
        <f t="shared" si="1"/>
        <v>21/10/77</v>
      </c>
      <c r="F2286" s="18">
        <v>2.0</v>
      </c>
      <c r="G2286" s="27">
        <v>42760.5</v>
      </c>
      <c r="H2286" s="18" t="s">
        <v>219</v>
      </c>
      <c r="I2286" s="18" t="s">
        <v>140</v>
      </c>
      <c r="J2286" s="18" t="s">
        <v>325</v>
      </c>
      <c r="K2286" s="29">
        <f t="shared" si="2"/>
        <v>45</v>
      </c>
    </row>
    <row r="2287" ht="15.75" customHeight="1">
      <c r="A2287" s="18" t="s">
        <v>206</v>
      </c>
      <c r="B2287" s="18">
        <v>1965.0</v>
      </c>
      <c r="C2287" s="18" t="s">
        <v>517</v>
      </c>
      <c r="D2287" s="18">
        <v>29.0</v>
      </c>
      <c r="E2287" s="18" t="str">
        <f t="shared" si="1"/>
        <v>29/10/65</v>
      </c>
      <c r="F2287" s="18">
        <v>0.0</v>
      </c>
      <c r="G2287" s="27">
        <v>42764.12</v>
      </c>
      <c r="H2287" s="18" t="s">
        <v>219</v>
      </c>
      <c r="I2287" s="18" t="s">
        <v>140</v>
      </c>
      <c r="J2287" s="18" t="s">
        <v>570</v>
      </c>
      <c r="K2287" s="29">
        <f t="shared" si="2"/>
        <v>57</v>
      </c>
    </row>
    <row r="2288" ht="15.75" customHeight="1">
      <c r="A2288" s="18" t="s">
        <v>202</v>
      </c>
      <c r="B2288" s="18">
        <v>1972.0</v>
      </c>
      <c r="C2288" s="18" t="s">
        <v>272</v>
      </c>
      <c r="D2288" s="18">
        <v>10.0</v>
      </c>
      <c r="E2288" s="18" t="str">
        <f t="shared" si="1"/>
        <v>10/09/72</v>
      </c>
      <c r="F2288" s="18">
        <v>2.0</v>
      </c>
      <c r="G2288" s="27">
        <v>42856.84</v>
      </c>
      <c r="H2288" s="18" t="s">
        <v>219</v>
      </c>
      <c r="I2288" s="18" t="s">
        <v>219</v>
      </c>
      <c r="J2288" s="18" t="s">
        <v>570</v>
      </c>
      <c r="K2288" s="29">
        <f t="shared" si="2"/>
        <v>50</v>
      </c>
    </row>
    <row r="2289" ht="15.75" customHeight="1">
      <c r="A2289" s="18" t="s">
        <v>199</v>
      </c>
      <c r="B2289" s="18">
        <v>1975.0</v>
      </c>
      <c r="C2289" s="18" t="s">
        <v>517</v>
      </c>
      <c r="D2289" s="18">
        <v>23.0</v>
      </c>
      <c r="E2289" s="18" t="str">
        <f t="shared" si="1"/>
        <v>23/10/75</v>
      </c>
      <c r="F2289" s="18">
        <v>1.0</v>
      </c>
      <c r="G2289" s="27">
        <v>42969.85</v>
      </c>
      <c r="H2289" s="18" t="s">
        <v>219</v>
      </c>
      <c r="I2289" s="18" t="s">
        <v>142</v>
      </c>
      <c r="J2289" s="18" t="s">
        <v>146</v>
      </c>
      <c r="K2289" s="29">
        <f t="shared" si="2"/>
        <v>47</v>
      </c>
    </row>
    <row r="2290" ht="15.75" customHeight="1">
      <c r="A2290" s="18" t="s">
        <v>196</v>
      </c>
      <c r="B2290" s="18">
        <v>1978.0</v>
      </c>
      <c r="C2290" s="18" t="s">
        <v>209</v>
      </c>
      <c r="D2290" s="18">
        <v>4.0</v>
      </c>
      <c r="E2290" s="18" t="str">
        <f t="shared" si="1"/>
        <v>04/11/78</v>
      </c>
      <c r="F2290" s="18">
        <v>0.0</v>
      </c>
      <c r="G2290" s="27">
        <v>42983.46</v>
      </c>
      <c r="H2290" s="18" t="s">
        <v>219</v>
      </c>
      <c r="I2290" s="18" t="s">
        <v>140</v>
      </c>
      <c r="J2290" s="18" t="s">
        <v>325</v>
      </c>
      <c r="K2290" s="29">
        <f t="shared" si="2"/>
        <v>44</v>
      </c>
    </row>
    <row r="2291" ht="15.75" customHeight="1">
      <c r="A2291" s="18" t="s">
        <v>193</v>
      </c>
      <c r="B2291" s="18">
        <v>1965.0</v>
      </c>
      <c r="C2291" s="18" t="s">
        <v>209</v>
      </c>
      <c r="D2291" s="18">
        <v>29.0</v>
      </c>
      <c r="E2291" s="18" t="str">
        <f t="shared" si="1"/>
        <v>29/11/65</v>
      </c>
      <c r="F2291" s="18">
        <v>0.0</v>
      </c>
      <c r="G2291" s="27">
        <v>43073.76</v>
      </c>
      <c r="H2291" s="18" t="s">
        <v>140</v>
      </c>
      <c r="I2291" s="18" t="s">
        <v>140</v>
      </c>
      <c r="J2291" s="18" t="s">
        <v>570</v>
      </c>
      <c r="K2291" s="29">
        <f t="shared" si="2"/>
        <v>57</v>
      </c>
    </row>
    <row r="2292" ht="15.75" customHeight="1">
      <c r="A2292" s="18" t="s">
        <v>191</v>
      </c>
      <c r="B2292" s="18">
        <v>1969.0</v>
      </c>
      <c r="C2292" s="18" t="s">
        <v>457</v>
      </c>
      <c r="D2292" s="18">
        <v>3.0</v>
      </c>
      <c r="E2292" s="18" t="str">
        <f t="shared" si="1"/>
        <v>03/12/69</v>
      </c>
      <c r="F2292" s="18">
        <v>0.0</v>
      </c>
      <c r="G2292" s="27">
        <v>43254.42</v>
      </c>
      <c r="H2292" s="18" t="s">
        <v>140</v>
      </c>
      <c r="I2292" s="18" t="s">
        <v>140</v>
      </c>
      <c r="J2292" s="18" t="s">
        <v>1427</v>
      </c>
      <c r="K2292" s="29">
        <f t="shared" si="2"/>
        <v>53</v>
      </c>
    </row>
    <row r="2293" ht="15.75" customHeight="1">
      <c r="A2293" s="18" t="s">
        <v>188</v>
      </c>
      <c r="B2293" s="18">
        <v>1965.0</v>
      </c>
      <c r="C2293" s="18" t="s">
        <v>501</v>
      </c>
      <c r="D2293" s="18">
        <v>22.0</v>
      </c>
      <c r="E2293" s="18" t="str">
        <f t="shared" si="1"/>
        <v>22/08/65</v>
      </c>
      <c r="F2293" s="18">
        <v>0.0</v>
      </c>
      <c r="G2293" s="27">
        <v>43578.94</v>
      </c>
      <c r="H2293" s="18" t="s">
        <v>140</v>
      </c>
      <c r="I2293" s="18" t="s">
        <v>140</v>
      </c>
      <c r="J2293" s="18" t="s">
        <v>325</v>
      </c>
      <c r="K2293" s="29">
        <f t="shared" si="2"/>
        <v>57</v>
      </c>
    </row>
    <row r="2294" ht="15.75" customHeight="1">
      <c r="A2294" s="18" t="s">
        <v>185</v>
      </c>
      <c r="B2294" s="18">
        <v>1986.0</v>
      </c>
      <c r="C2294" s="18" t="s">
        <v>457</v>
      </c>
      <c r="D2294" s="18">
        <v>29.0</v>
      </c>
      <c r="E2294" s="18" t="str">
        <f t="shared" si="1"/>
        <v>29/12/86</v>
      </c>
      <c r="F2294" s="18">
        <v>3.0</v>
      </c>
      <c r="G2294" s="27">
        <v>43753.34</v>
      </c>
      <c r="H2294" s="18" t="s">
        <v>140</v>
      </c>
      <c r="I2294" s="18" t="s">
        <v>219</v>
      </c>
      <c r="J2294" s="18" t="s">
        <v>1414</v>
      </c>
      <c r="K2294" s="29">
        <f t="shared" si="2"/>
        <v>36</v>
      </c>
    </row>
    <row r="2295" ht="15.75" customHeight="1">
      <c r="A2295" s="18" t="s">
        <v>181</v>
      </c>
      <c r="B2295" s="18">
        <v>1966.0</v>
      </c>
      <c r="C2295" s="18" t="s">
        <v>517</v>
      </c>
      <c r="D2295" s="18">
        <v>25.0</v>
      </c>
      <c r="E2295" s="18" t="str">
        <f t="shared" si="1"/>
        <v>25/10/66</v>
      </c>
      <c r="F2295" s="18">
        <v>2.0</v>
      </c>
      <c r="G2295" s="27">
        <v>43813.87</v>
      </c>
      <c r="H2295" s="18" t="s">
        <v>140</v>
      </c>
      <c r="I2295" s="18" t="s">
        <v>140</v>
      </c>
      <c r="J2295" s="18" t="s">
        <v>146</v>
      </c>
      <c r="K2295" s="29">
        <f t="shared" si="2"/>
        <v>56</v>
      </c>
    </row>
    <row r="2296" ht="15.75" customHeight="1">
      <c r="A2296" s="18" t="s">
        <v>178</v>
      </c>
      <c r="B2296" s="18">
        <v>1966.0</v>
      </c>
      <c r="C2296" s="18" t="s">
        <v>91</v>
      </c>
      <c r="D2296" s="18">
        <v>2.0</v>
      </c>
      <c r="E2296" s="18" t="str">
        <f t="shared" si="1"/>
        <v>02/07/66</v>
      </c>
      <c r="F2296" s="18">
        <v>0.0</v>
      </c>
      <c r="G2296" s="27">
        <v>43817.45</v>
      </c>
      <c r="H2296" s="18" t="s">
        <v>140</v>
      </c>
      <c r="I2296" s="18" t="s">
        <v>142</v>
      </c>
      <c r="J2296" s="18" t="s">
        <v>325</v>
      </c>
      <c r="K2296" s="29">
        <f t="shared" si="2"/>
        <v>56</v>
      </c>
    </row>
    <row r="2297" ht="15.75" customHeight="1">
      <c r="A2297" s="18" t="s">
        <v>176</v>
      </c>
      <c r="B2297" s="18">
        <v>1980.0</v>
      </c>
      <c r="C2297" s="18" t="s">
        <v>209</v>
      </c>
      <c r="D2297" s="18">
        <v>10.0</v>
      </c>
      <c r="E2297" s="18" t="str">
        <f t="shared" si="1"/>
        <v>10/11/80</v>
      </c>
      <c r="F2297" s="18">
        <v>2.0</v>
      </c>
      <c r="G2297" s="27">
        <v>43896.38</v>
      </c>
      <c r="H2297" s="18" t="s">
        <v>140</v>
      </c>
      <c r="I2297" s="18" t="s">
        <v>219</v>
      </c>
      <c r="J2297" s="18" t="s">
        <v>146</v>
      </c>
      <c r="K2297" s="29">
        <f t="shared" si="2"/>
        <v>42</v>
      </c>
    </row>
    <row r="2298" ht="15.75" customHeight="1">
      <c r="A2298" s="18" t="s">
        <v>173</v>
      </c>
      <c r="B2298" s="18">
        <v>1966.0</v>
      </c>
      <c r="C2298" s="18" t="s">
        <v>517</v>
      </c>
      <c r="D2298" s="18">
        <v>5.0</v>
      </c>
      <c r="E2298" s="18" t="str">
        <f t="shared" si="1"/>
        <v>05/10/66</v>
      </c>
      <c r="F2298" s="18">
        <v>0.0</v>
      </c>
      <c r="G2298" s="27">
        <v>43921.18</v>
      </c>
      <c r="H2298" s="18" t="s">
        <v>140</v>
      </c>
      <c r="I2298" s="18" t="s">
        <v>140</v>
      </c>
      <c r="J2298" s="18" t="s">
        <v>325</v>
      </c>
      <c r="K2298" s="29">
        <f t="shared" si="2"/>
        <v>56</v>
      </c>
    </row>
    <row r="2299" ht="15.75" customHeight="1">
      <c r="A2299" s="18" t="s">
        <v>170</v>
      </c>
      <c r="B2299" s="18">
        <v>1988.0</v>
      </c>
      <c r="C2299" s="18" t="s">
        <v>91</v>
      </c>
      <c r="D2299" s="18">
        <v>16.0</v>
      </c>
      <c r="E2299" s="18" t="str">
        <f t="shared" si="1"/>
        <v>16/07/88</v>
      </c>
      <c r="F2299" s="18">
        <v>1.0</v>
      </c>
      <c r="G2299" s="27">
        <v>43943.88</v>
      </c>
      <c r="H2299" s="18" t="s">
        <v>140</v>
      </c>
      <c r="I2299" s="18" t="s">
        <v>219</v>
      </c>
      <c r="J2299" s="18" t="s">
        <v>325</v>
      </c>
      <c r="K2299" s="29">
        <f t="shared" si="2"/>
        <v>34</v>
      </c>
    </row>
    <row r="2300" ht="15.75" customHeight="1">
      <c r="A2300" s="18" t="s">
        <v>167</v>
      </c>
      <c r="B2300" s="18">
        <v>1975.0</v>
      </c>
      <c r="C2300" s="18" t="s">
        <v>241</v>
      </c>
      <c r="D2300" s="18">
        <v>1.0</v>
      </c>
      <c r="E2300" s="18" t="str">
        <f t="shared" si="1"/>
        <v>01/06/75</v>
      </c>
      <c r="F2300" s="18">
        <v>2.0</v>
      </c>
      <c r="G2300" s="27">
        <v>44202.65</v>
      </c>
      <c r="H2300" s="18" t="s">
        <v>140</v>
      </c>
      <c r="I2300" s="18" t="s">
        <v>140</v>
      </c>
      <c r="J2300" s="18" t="s">
        <v>146</v>
      </c>
      <c r="K2300" s="29">
        <f t="shared" si="2"/>
        <v>48</v>
      </c>
    </row>
    <row r="2301" ht="15.75" customHeight="1">
      <c r="A2301" s="18" t="s">
        <v>164</v>
      </c>
      <c r="B2301" s="18">
        <v>1968.0</v>
      </c>
      <c r="C2301" s="18" t="s">
        <v>209</v>
      </c>
      <c r="D2301" s="18">
        <v>24.0</v>
      </c>
      <c r="E2301" s="18" t="str">
        <f t="shared" si="1"/>
        <v>24/11/68</v>
      </c>
      <c r="F2301" s="18">
        <v>2.0</v>
      </c>
      <c r="G2301" s="27">
        <v>44260.75</v>
      </c>
      <c r="H2301" s="18" t="s">
        <v>140</v>
      </c>
      <c r="I2301" s="18" t="s">
        <v>219</v>
      </c>
      <c r="J2301" s="18" t="s">
        <v>146</v>
      </c>
      <c r="K2301" s="29">
        <f t="shared" si="2"/>
        <v>54</v>
      </c>
    </row>
    <row r="2302" ht="15.75" customHeight="1">
      <c r="A2302" s="18" t="s">
        <v>162</v>
      </c>
      <c r="B2302" s="18">
        <v>1971.0</v>
      </c>
      <c r="C2302" s="18" t="s">
        <v>517</v>
      </c>
      <c r="D2302" s="18">
        <v>29.0</v>
      </c>
      <c r="E2302" s="18" t="str">
        <f t="shared" si="1"/>
        <v>29/10/71</v>
      </c>
      <c r="F2302" s="18">
        <v>0.0</v>
      </c>
      <c r="G2302" s="27">
        <v>44400.41</v>
      </c>
      <c r="H2302" s="18" t="s">
        <v>140</v>
      </c>
      <c r="I2302" s="18" t="s">
        <v>140</v>
      </c>
      <c r="J2302" s="18" t="s">
        <v>146</v>
      </c>
      <c r="K2302" s="29">
        <f t="shared" si="2"/>
        <v>51</v>
      </c>
    </row>
    <row r="2303" ht="15.75" customHeight="1">
      <c r="A2303" s="18" t="s">
        <v>159</v>
      </c>
      <c r="B2303" s="18">
        <v>1967.0</v>
      </c>
      <c r="C2303" s="18" t="s">
        <v>272</v>
      </c>
      <c r="D2303" s="18">
        <v>14.0</v>
      </c>
      <c r="E2303" s="18" t="str">
        <f t="shared" si="1"/>
        <v>14/09/67</v>
      </c>
      <c r="F2303" s="18">
        <v>0.0</v>
      </c>
      <c r="G2303" s="27">
        <v>44423.8</v>
      </c>
      <c r="H2303" s="18" t="s">
        <v>140</v>
      </c>
      <c r="I2303" s="18" t="s">
        <v>142</v>
      </c>
      <c r="J2303" s="18" t="s">
        <v>146</v>
      </c>
      <c r="K2303" s="29">
        <f t="shared" si="2"/>
        <v>55</v>
      </c>
    </row>
    <row r="2304" ht="15.75" customHeight="1">
      <c r="A2304" s="18" t="s">
        <v>156</v>
      </c>
      <c r="B2304" s="18">
        <v>2000.0</v>
      </c>
      <c r="C2304" s="18" t="s">
        <v>501</v>
      </c>
      <c r="D2304" s="18">
        <v>2.0</v>
      </c>
      <c r="E2304" s="18" t="str">
        <f t="shared" si="1"/>
        <v>02/08/00</v>
      </c>
      <c r="F2304" s="18">
        <v>1.0</v>
      </c>
      <c r="G2304" s="27">
        <v>44501.4</v>
      </c>
      <c r="H2304" s="18" t="s">
        <v>140</v>
      </c>
      <c r="I2304" s="18" t="s">
        <v>142</v>
      </c>
      <c r="J2304" s="18" t="s">
        <v>146</v>
      </c>
      <c r="K2304" s="29">
        <f t="shared" si="2"/>
        <v>22</v>
      </c>
    </row>
    <row r="2305" ht="15.75" customHeight="1">
      <c r="A2305" s="18" t="s">
        <v>153</v>
      </c>
      <c r="B2305" s="18">
        <v>1993.0</v>
      </c>
      <c r="C2305" s="18" t="s">
        <v>517</v>
      </c>
      <c r="D2305" s="18">
        <v>11.0</v>
      </c>
      <c r="E2305" s="18" t="str">
        <f t="shared" si="1"/>
        <v>11/10/93</v>
      </c>
      <c r="F2305" s="18">
        <v>2.0</v>
      </c>
      <c r="G2305" s="27">
        <v>44585.46</v>
      </c>
      <c r="H2305" s="18" t="s">
        <v>140</v>
      </c>
      <c r="I2305" s="18" t="s">
        <v>140</v>
      </c>
      <c r="J2305" s="18" t="s">
        <v>570</v>
      </c>
      <c r="K2305" s="29">
        <f t="shared" si="2"/>
        <v>29</v>
      </c>
    </row>
    <row r="2306" ht="15.75" customHeight="1">
      <c r="A2306" s="18" t="s">
        <v>150</v>
      </c>
      <c r="B2306" s="18">
        <v>1971.0</v>
      </c>
      <c r="C2306" s="18" t="s">
        <v>501</v>
      </c>
      <c r="D2306" s="18">
        <v>13.0</v>
      </c>
      <c r="E2306" s="18" t="str">
        <f t="shared" si="1"/>
        <v>13/08/71</v>
      </c>
      <c r="F2306" s="18">
        <v>2.0</v>
      </c>
      <c r="G2306" s="27">
        <v>44641.2</v>
      </c>
      <c r="H2306" s="18" t="s">
        <v>140</v>
      </c>
      <c r="I2306" s="18" t="s">
        <v>142</v>
      </c>
      <c r="J2306" s="18" t="s">
        <v>2024</v>
      </c>
      <c r="K2306" s="29">
        <f t="shared" si="2"/>
        <v>51</v>
      </c>
    </row>
    <row r="2307" ht="15.75" customHeight="1">
      <c r="A2307" s="18" t="s">
        <v>147</v>
      </c>
      <c r="B2307" s="18">
        <v>1962.0</v>
      </c>
      <c r="C2307" s="18" t="s">
        <v>457</v>
      </c>
      <c r="D2307" s="18">
        <v>17.0</v>
      </c>
      <c r="E2307" s="18" t="str">
        <f t="shared" si="1"/>
        <v>17/12/62</v>
      </c>
      <c r="F2307" s="18">
        <v>0.0</v>
      </c>
      <c r="G2307" s="27">
        <v>45008.96</v>
      </c>
      <c r="H2307" s="18" t="s">
        <v>140</v>
      </c>
      <c r="I2307" s="18" t="s">
        <v>140</v>
      </c>
      <c r="J2307" s="18" t="s">
        <v>146</v>
      </c>
      <c r="K2307" s="29">
        <f t="shared" si="2"/>
        <v>60</v>
      </c>
    </row>
    <row r="2308" ht="15.75" customHeight="1">
      <c r="A2308" s="18" t="s">
        <v>143</v>
      </c>
      <c r="B2308" s="18">
        <v>1974.0</v>
      </c>
      <c r="C2308" s="18" t="s">
        <v>501</v>
      </c>
      <c r="D2308" s="18">
        <v>9.0</v>
      </c>
      <c r="E2308" s="18" t="str">
        <f t="shared" si="1"/>
        <v>09/08/74</v>
      </c>
      <c r="F2308" s="18">
        <v>2.0</v>
      </c>
      <c r="G2308" s="27">
        <v>45702.02</v>
      </c>
      <c r="H2308" s="18" t="s">
        <v>140</v>
      </c>
      <c r="I2308" s="18" t="s">
        <v>140</v>
      </c>
      <c r="J2308" s="18" t="s">
        <v>325</v>
      </c>
      <c r="K2308" s="29">
        <f t="shared" si="2"/>
        <v>48</v>
      </c>
    </row>
    <row r="2309" ht="15.75" customHeight="1">
      <c r="A2309" s="18" t="s">
        <v>138</v>
      </c>
      <c r="B2309" s="18">
        <v>1960.0</v>
      </c>
      <c r="C2309" s="18" t="s">
        <v>457</v>
      </c>
      <c r="D2309" s="18">
        <v>21.0</v>
      </c>
      <c r="E2309" s="18" t="str">
        <f t="shared" si="1"/>
        <v>21/12/60</v>
      </c>
      <c r="F2309" s="18">
        <v>0.0</v>
      </c>
      <c r="G2309" s="27">
        <v>45710.21</v>
      </c>
      <c r="H2309" s="18" t="s">
        <v>140</v>
      </c>
      <c r="I2309" s="18" t="s">
        <v>140</v>
      </c>
      <c r="J2309" s="18" t="s">
        <v>1427</v>
      </c>
      <c r="K2309" s="29">
        <f t="shared" si="2"/>
        <v>62</v>
      </c>
    </row>
    <row r="2310" ht="15.75" customHeight="1">
      <c r="A2310" s="18" t="s">
        <v>135</v>
      </c>
      <c r="B2310" s="18">
        <v>1979.0</v>
      </c>
      <c r="C2310" s="18" t="s">
        <v>501</v>
      </c>
      <c r="D2310" s="18">
        <v>12.0</v>
      </c>
      <c r="E2310" s="18" t="str">
        <f t="shared" si="1"/>
        <v>12/08/79</v>
      </c>
      <c r="F2310" s="18">
        <v>0.0</v>
      </c>
      <c r="G2310" s="27">
        <v>45863.21</v>
      </c>
      <c r="H2310" s="18" t="s">
        <v>140</v>
      </c>
      <c r="I2310" s="18" t="s">
        <v>219</v>
      </c>
      <c r="J2310" s="18" t="s">
        <v>146</v>
      </c>
      <c r="K2310" s="29">
        <f t="shared" si="2"/>
        <v>43</v>
      </c>
    </row>
    <row r="2311" ht="15.75" customHeight="1">
      <c r="A2311" s="18" t="s">
        <v>132</v>
      </c>
      <c r="B2311" s="18">
        <v>1985.0</v>
      </c>
      <c r="C2311" s="18" t="s">
        <v>272</v>
      </c>
      <c r="D2311" s="18">
        <v>30.0</v>
      </c>
      <c r="E2311" s="18" t="str">
        <f t="shared" si="1"/>
        <v>30/09/85</v>
      </c>
      <c r="F2311" s="18">
        <v>2.0</v>
      </c>
      <c r="G2311" s="27">
        <v>46113.51</v>
      </c>
      <c r="H2311" s="18" t="s">
        <v>140</v>
      </c>
      <c r="I2311" s="18" t="s">
        <v>142</v>
      </c>
      <c r="J2311" s="18" t="s">
        <v>570</v>
      </c>
      <c r="K2311" s="29">
        <f t="shared" si="2"/>
        <v>37</v>
      </c>
    </row>
    <row r="2312" ht="15.75" customHeight="1">
      <c r="A2312" s="18" t="s">
        <v>129</v>
      </c>
      <c r="B2312" s="18">
        <v>1962.0</v>
      </c>
      <c r="C2312" s="18" t="s">
        <v>457</v>
      </c>
      <c r="D2312" s="18">
        <v>4.0</v>
      </c>
      <c r="E2312" s="18" t="str">
        <f t="shared" si="1"/>
        <v>04/12/62</v>
      </c>
      <c r="F2312" s="18">
        <v>3.0</v>
      </c>
      <c r="G2312" s="27">
        <v>46130.53</v>
      </c>
      <c r="H2312" s="18" t="s">
        <v>219</v>
      </c>
      <c r="I2312" s="18" t="s">
        <v>219</v>
      </c>
      <c r="J2312" s="18" t="s">
        <v>325</v>
      </c>
      <c r="K2312" s="29">
        <f t="shared" si="2"/>
        <v>60</v>
      </c>
    </row>
    <row r="2313" ht="15.75" customHeight="1">
      <c r="A2313" s="18" t="s">
        <v>126</v>
      </c>
      <c r="B2313" s="18">
        <v>1976.0</v>
      </c>
      <c r="C2313" s="18" t="s">
        <v>457</v>
      </c>
      <c r="D2313" s="18">
        <v>2.0</v>
      </c>
      <c r="E2313" s="18" t="str">
        <f t="shared" si="1"/>
        <v>02/12/76</v>
      </c>
      <c r="F2313" s="18">
        <v>3.0</v>
      </c>
      <c r="G2313" s="27">
        <v>46151.12</v>
      </c>
      <c r="H2313" s="18" t="s">
        <v>219</v>
      </c>
      <c r="I2313" s="18" t="s">
        <v>142</v>
      </c>
      <c r="J2313" s="18" t="s">
        <v>146</v>
      </c>
      <c r="K2313" s="29">
        <f t="shared" si="2"/>
        <v>46</v>
      </c>
    </row>
    <row r="2314" ht="15.75" customHeight="1">
      <c r="A2314" s="18" t="s">
        <v>123</v>
      </c>
      <c r="B2314" s="18">
        <v>1978.0</v>
      </c>
      <c r="C2314" s="18" t="s">
        <v>501</v>
      </c>
      <c r="D2314" s="18">
        <v>17.0</v>
      </c>
      <c r="E2314" s="18" t="str">
        <f t="shared" si="1"/>
        <v>17/08/78</v>
      </c>
      <c r="F2314" s="18">
        <v>2.0</v>
      </c>
      <c r="G2314" s="27">
        <v>46200.99</v>
      </c>
      <c r="H2314" s="18" t="s">
        <v>219</v>
      </c>
      <c r="I2314" s="18" t="s">
        <v>219</v>
      </c>
      <c r="J2314" s="18" t="s">
        <v>146</v>
      </c>
      <c r="K2314" s="29">
        <f t="shared" si="2"/>
        <v>44</v>
      </c>
    </row>
    <row r="2315" ht="15.75" customHeight="1">
      <c r="A2315" s="18" t="s">
        <v>120</v>
      </c>
      <c r="B2315" s="18">
        <v>1971.0</v>
      </c>
      <c r="C2315" s="18" t="s">
        <v>457</v>
      </c>
      <c r="D2315" s="18">
        <v>6.0</v>
      </c>
      <c r="E2315" s="18" t="str">
        <f t="shared" si="1"/>
        <v>06/12/71</v>
      </c>
      <c r="F2315" s="18">
        <v>3.0</v>
      </c>
      <c r="G2315" s="27">
        <v>46255.11</v>
      </c>
      <c r="H2315" s="18" t="s">
        <v>219</v>
      </c>
      <c r="I2315" s="18" t="s">
        <v>142</v>
      </c>
      <c r="J2315" s="18" t="s">
        <v>2024</v>
      </c>
      <c r="K2315" s="29">
        <f t="shared" si="2"/>
        <v>51</v>
      </c>
    </row>
    <row r="2316" ht="15.75" customHeight="1">
      <c r="A2316" s="18" t="s">
        <v>118</v>
      </c>
      <c r="B2316" s="18">
        <v>1961.0</v>
      </c>
      <c r="C2316" s="18" t="s">
        <v>501</v>
      </c>
      <c r="D2316" s="18">
        <v>8.0</v>
      </c>
      <c r="E2316" s="18" t="str">
        <f t="shared" si="1"/>
        <v>08/08/61</v>
      </c>
      <c r="F2316" s="18">
        <v>0.0</v>
      </c>
      <c r="G2316" s="27">
        <v>46599.11</v>
      </c>
      <c r="H2316" s="18" t="s">
        <v>219</v>
      </c>
      <c r="I2316" s="18" t="s">
        <v>219</v>
      </c>
      <c r="J2316" s="18" t="s">
        <v>146</v>
      </c>
      <c r="K2316" s="29">
        <f t="shared" si="2"/>
        <v>61</v>
      </c>
    </row>
    <row r="2317" ht="15.75" customHeight="1">
      <c r="A2317" s="18" t="s">
        <v>115</v>
      </c>
      <c r="B2317" s="18">
        <v>1969.0</v>
      </c>
      <c r="C2317" s="18" t="s">
        <v>241</v>
      </c>
      <c r="D2317" s="18">
        <v>23.0</v>
      </c>
      <c r="E2317" s="18" t="str">
        <f t="shared" si="1"/>
        <v>23/06/69</v>
      </c>
      <c r="F2317" s="18">
        <v>3.0</v>
      </c>
      <c r="G2317" s="27">
        <v>46661.44</v>
      </c>
      <c r="H2317" s="18" t="s">
        <v>219</v>
      </c>
      <c r="I2317" s="18" t="s">
        <v>142</v>
      </c>
      <c r="J2317" s="18" t="s">
        <v>325</v>
      </c>
      <c r="K2317" s="29">
        <f t="shared" si="2"/>
        <v>53</v>
      </c>
    </row>
    <row r="2318" ht="15.75" customHeight="1">
      <c r="A2318" s="18" t="s">
        <v>112</v>
      </c>
      <c r="B2318" s="18">
        <v>1960.0</v>
      </c>
      <c r="C2318" s="18" t="s">
        <v>209</v>
      </c>
      <c r="D2318" s="18">
        <v>17.0</v>
      </c>
      <c r="E2318" s="18" t="str">
        <f t="shared" si="1"/>
        <v>17/11/60</v>
      </c>
      <c r="F2318" s="18">
        <v>3.0</v>
      </c>
      <c r="G2318" s="27">
        <v>46718.16</v>
      </c>
      <c r="H2318" s="18" t="s">
        <v>219</v>
      </c>
      <c r="I2318" s="18" t="s">
        <v>219</v>
      </c>
      <c r="J2318" s="18" t="s">
        <v>325</v>
      </c>
      <c r="K2318" s="29">
        <f t="shared" si="2"/>
        <v>62</v>
      </c>
    </row>
    <row r="2319" ht="15.75" customHeight="1">
      <c r="A2319" s="18" t="s">
        <v>109</v>
      </c>
      <c r="B2319" s="18">
        <v>1958.0</v>
      </c>
      <c r="C2319" s="18" t="s">
        <v>272</v>
      </c>
      <c r="D2319" s="18">
        <v>15.0</v>
      </c>
      <c r="E2319" s="18" t="str">
        <f t="shared" si="1"/>
        <v>15/09/58</v>
      </c>
      <c r="F2319" s="18">
        <v>0.0</v>
      </c>
      <c r="G2319" s="27">
        <v>46889.26</v>
      </c>
      <c r="H2319" s="18" t="s">
        <v>140</v>
      </c>
      <c r="I2319" s="18" t="s">
        <v>142</v>
      </c>
      <c r="J2319" s="18" t="s">
        <v>146</v>
      </c>
      <c r="K2319" s="29">
        <f t="shared" si="2"/>
        <v>64</v>
      </c>
    </row>
    <row r="2320" ht="15.75" customHeight="1">
      <c r="A2320" s="18" t="s">
        <v>106</v>
      </c>
      <c r="B2320" s="18">
        <v>1959.0</v>
      </c>
      <c r="C2320" s="18" t="s">
        <v>91</v>
      </c>
      <c r="D2320" s="18">
        <v>14.0</v>
      </c>
      <c r="E2320" s="18" t="str">
        <f t="shared" si="1"/>
        <v>14/07/59</v>
      </c>
      <c r="F2320" s="18">
        <v>0.0</v>
      </c>
      <c r="G2320" s="27">
        <v>47055.53</v>
      </c>
      <c r="H2320" s="18" t="s">
        <v>140</v>
      </c>
      <c r="I2320" s="18" t="s">
        <v>219</v>
      </c>
      <c r="J2320" s="18" t="s">
        <v>146</v>
      </c>
      <c r="K2320" s="29">
        <f t="shared" si="2"/>
        <v>63</v>
      </c>
    </row>
    <row r="2321" ht="15.75" customHeight="1">
      <c r="A2321" s="18" t="s">
        <v>103</v>
      </c>
      <c r="B2321" s="18">
        <v>1970.0</v>
      </c>
      <c r="C2321" s="18" t="s">
        <v>457</v>
      </c>
      <c r="D2321" s="18">
        <v>28.0</v>
      </c>
      <c r="E2321" s="18" t="str">
        <f t="shared" si="1"/>
        <v>28/12/70</v>
      </c>
      <c r="F2321" s="18">
        <v>2.0</v>
      </c>
      <c r="G2321" s="27">
        <v>47269.85</v>
      </c>
      <c r="H2321" s="18" t="s">
        <v>219</v>
      </c>
      <c r="I2321" s="18" t="s">
        <v>140</v>
      </c>
      <c r="J2321" s="18" t="s">
        <v>146</v>
      </c>
      <c r="K2321" s="29">
        <f t="shared" si="2"/>
        <v>52</v>
      </c>
    </row>
    <row r="2322" ht="15.75" customHeight="1">
      <c r="A2322" s="18" t="s">
        <v>100</v>
      </c>
      <c r="B2322" s="18">
        <v>1958.0</v>
      </c>
      <c r="C2322" s="18" t="s">
        <v>272</v>
      </c>
      <c r="D2322" s="18">
        <v>3.0</v>
      </c>
      <c r="E2322" s="18" t="str">
        <f t="shared" si="1"/>
        <v>03/09/58</v>
      </c>
      <c r="F2322" s="18">
        <v>2.0</v>
      </c>
      <c r="G2322" s="27">
        <v>47291.06</v>
      </c>
      <c r="H2322" s="18" t="s">
        <v>140</v>
      </c>
      <c r="I2322" s="18" t="s">
        <v>219</v>
      </c>
      <c r="J2322" s="18" t="s">
        <v>570</v>
      </c>
      <c r="K2322" s="29">
        <f t="shared" si="2"/>
        <v>64</v>
      </c>
    </row>
    <row r="2323" ht="15.75" customHeight="1">
      <c r="A2323" s="18" t="s">
        <v>97</v>
      </c>
      <c r="B2323" s="18">
        <v>1959.0</v>
      </c>
      <c r="C2323" s="18" t="s">
        <v>517</v>
      </c>
      <c r="D2323" s="18">
        <v>4.0</v>
      </c>
      <c r="E2323" s="18" t="str">
        <f t="shared" si="1"/>
        <v>04/10/59</v>
      </c>
      <c r="F2323" s="18">
        <v>2.0</v>
      </c>
      <c r="G2323" s="27">
        <v>47305.31</v>
      </c>
      <c r="H2323" s="18" t="s">
        <v>140</v>
      </c>
      <c r="I2323" s="18" t="s">
        <v>219</v>
      </c>
      <c r="J2323" s="18" t="s">
        <v>570</v>
      </c>
      <c r="K2323" s="29">
        <f t="shared" si="2"/>
        <v>63</v>
      </c>
    </row>
    <row r="2324" ht="15.75" customHeight="1">
      <c r="A2324" s="18" t="s">
        <v>94</v>
      </c>
      <c r="B2324" s="18">
        <v>1961.0</v>
      </c>
      <c r="C2324" s="18" t="s">
        <v>241</v>
      </c>
      <c r="D2324" s="18">
        <v>13.0</v>
      </c>
      <c r="E2324" s="18" t="str">
        <f t="shared" si="1"/>
        <v>13/06/61</v>
      </c>
      <c r="F2324" s="18">
        <v>1.0</v>
      </c>
      <c r="G2324" s="27">
        <v>47403.88</v>
      </c>
      <c r="H2324" s="18" t="s">
        <v>219</v>
      </c>
      <c r="I2324" s="18" t="s">
        <v>142</v>
      </c>
      <c r="J2324" s="18" t="s">
        <v>570</v>
      </c>
      <c r="K2324" s="29">
        <f t="shared" si="2"/>
        <v>61</v>
      </c>
    </row>
    <row r="2325" ht="15.75" customHeight="1">
      <c r="A2325" s="18" t="s">
        <v>90</v>
      </c>
      <c r="B2325" s="18">
        <v>1971.0</v>
      </c>
      <c r="C2325" s="18" t="s">
        <v>272</v>
      </c>
      <c r="D2325" s="18">
        <v>27.0</v>
      </c>
      <c r="E2325" s="18" t="str">
        <f t="shared" si="1"/>
        <v>27/09/71</v>
      </c>
      <c r="F2325" s="18">
        <v>2.0</v>
      </c>
      <c r="G2325" s="27">
        <v>47462.89</v>
      </c>
      <c r="H2325" s="18" t="s">
        <v>219</v>
      </c>
      <c r="I2325" s="18" t="s">
        <v>140</v>
      </c>
      <c r="J2325" s="18" t="s">
        <v>146</v>
      </c>
      <c r="K2325" s="29">
        <f t="shared" si="2"/>
        <v>51</v>
      </c>
    </row>
    <row r="2326" ht="15.75" customHeight="1">
      <c r="A2326" s="18" t="s">
        <v>87</v>
      </c>
      <c r="B2326" s="18">
        <v>1964.0</v>
      </c>
      <c r="C2326" s="18" t="s">
        <v>209</v>
      </c>
      <c r="D2326" s="18">
        <v>7.0</v>
      </c>
      <c r="E2326" s="18" t="str">
        <f t="shared" si="1"/>
        <v>07/11/64</v>
      </c>
      <c r="F2326" s="18">
        <v>2.0</v>
      </c>
      <c r="G2326" s="27">
        <v>47496.49</v>
      </c>
      <c r="H2326" s="18" t="s">
        <v>219</v>
      </c>
      <c r="I2326" s="18" t="s">
        <v>142</v>
      </c>
      <c r="J2326" s="18" t="s">
        <v>325</v>
      </c>
      <c r="K2326" s="29">
        <f t="shared" si="2"/>
        <v>58</v>
      </c>
    </row>
    <row r="2327" ht="15.75" customHeight="1">
      <c r="A2327" s="18" t="s">
        <v>83</v>
      </c>
      <c r="B2327" s="18">
        <v>1963.0</v>
      </c>
      <c r="C2327" s="18" t="s">
        <v>501</v>
      </c>
      <c r="D2327" s="18">
        <v>5.0</v>
      </c>
      <c r="E2327" s="18" t="str">
        <f t="shared" si="1"/>
        <v>05/08/63</v>
      </c>
      <c r="F2327" s="18">
        <v>1.0</v>
      </c>
      <c r="G2327" s="27">
        <v>47896.79</v>
      </c>
      <c r="H2327" s="18" t="s">
        <v>219</v>
      </c>
      <c r="I2327" s="18" t="s">
        <v>142</v>
      </c>
      <c r="J2327" s="18" t="s">
        <v>2024</v>
      </c>
      <c r="K2327" s="29">
        <f t="shared" si="2"/>
        <v>59</v>
      </c>
    </row>
    <row r="2328" ht="15.75" customHeight="1">
      <c r="A2328" s="18" t="s">
        <v>79</v>
      </c>
      <c r="B2328" s="18">
        <v>1958.0</v>
      </c>
      <c r="C2328" s="18" t="s">
        <v>209</v>
      </c>
      <c r="D2328" s="18">
        <v>16.0</v>
      </c>
      <c r="E2328" s="18" t="str">
        <f t="shared" si="1"/>
        <v>16/11/58</v>
      </c>
      <c r="F2328" s="18">
        <v>1.0</v>
      </c>
      <c r="G2328" s="27">
        <v>47928.03</v>
      </c>
      <c r="H2328" s="18" t="s">
        <v>140</v>
      </c>
      <c r="I2328" s="18" t="s">
        <v>142</v>
      </c>
      <c r="J2328" s="18" t="s">
        <v>570</v>
      </c>
      <c r="K2328" s="29">
        <f t="shared" si="2"/>
        <v>64</v>
      </c>
    </row>
    <row r="2329" ht="15.75" customHeight="1">
      <c r="A2329" s="18" t="s">
        <v>76</v>
      </c>
      <c r="B2329" s="18">
        <v>1962.0</v>
      </c>
      <c r="C2329" s="18" t="s">
        <v>501</v>
      </c>
      <c r="D2329" s="18">
        <v>27.0</v>
      </c>
      <c r="E2329" s="18" t="str">
        <f t="shared" si="1"/>
        <v>27/08/62</v>
      </c>
      <c r="F2329" s="18">
        <v>0.0</v>
      </c>
      <c r="G2329" s="27">
        <v>48173.36</v>
      </c>
      <c r="H2329" s="18" t="s">
        <v>219</v>
      </c>
      <c r="I2329" s="18" t="s">
        <v>142</v>
      </c>
      <c r="J2329" s="18" t="s">
        <v>570</v>
      </c>
      <c r="K2329" s="29">
        <f t="shared" si="2"/>
        <v>60</v>
      </c>
    </row>
    <row r="2330" ht="15.75" customHeight="1">
      <c r="A2330" s="18" t="s">
        <v>71</v>
      </c>
      <c r="B2330" s="18">
        <v>1961.0</v>
      </c>
      <c r="C2330" s="18" t="s">
        <v>457</v>
      </c>
      <c r="D2330" s="18">
        <v>21.0</v>
      </c>
      <c r="E2330" s="18" t="str">
        <f t="shared" si="1"/>
        <v>21/12/61</v>
      </c>
      <c r="F2330" s="18">
        <v>1.0</v>
      </c>
      <c r="G2330" s="27">
        <v>48517.56</v>
      </c>
      <c r="H2330" s="18" t="s">
        <v>219</v>
      </c>
      <c r="I2330" s="18" t="s">
        <v>142</v>
      </c>
      <c r="J2330" s="18" t="s">
        <v>2024</v>
      </c>
      <c r="K2330" s="29">
        <f t="shared" si="2"/>
        <v>61</v>
      </c>
    </row>
    <row r="2331" ht="15.75" customHeight="1">
      <c r="A2331" s="18" t="s">
        <v>66</v>
      </c>
      <c r="B2331" s="18">
        <v>1968.0</v>
      </c>
      <c r="C2331" s="18" t="s">
        <v>457</v>
      </c>
      <c r="D2331" s="18">
        <v>1.0</v>
      </c>
      <c r="E2331" s="18" t="str">
        <f t="shared" si="1"/>
        <v>01/12/68</v>
      </c>
      <c r="F2331" s="18">
        <v>3.0</v>
      </c>
      <c r="G2331" s="27">
        <v>48549.18</v>
      </c>
      <c r="H2331" s="18" t="s">
        <v>219</v>
      </c>
      <c r="I2331" s="18" t="s">
        <v>142</v>
      </c>
      <c r="J2331" s="18" t="s">
        <v>1427</v>
      </c>
      <c r="K2331" s="29">
        <f t="shared" si="2"/>
        <v>54</v>
      </c>
    </row>
    <row r="2332" ht="15.75" customHeight="1">
      <c r="A2332" s="18" t="s">
        <v>62</v>
      </c>
      <c r="B2332" s="18">
        <v>1962.0</v>
      </c>
      <c r="C2332" s="18" t="s">
        <v>517</v>
      </c>
      <c r="D2332" s="18">
        <v>11.0</v>
      </c>
      <c r="E2332" s="18" t="str">
        <f t="shared" si="1"/>
        <v>11/10/62</v>
      </c>
      <c r="F2332" s="18">
        <v>0.0</v>
      </c>
      <c r="G2332" s="27">
        <v>48673.56</v>
      </c>
      <c r="H2332" s="18" t="s">
        <v>219</v>
      </c>
      <c r="I2332" s="18" t="s">
        <v>140</v>
      </c>
      <c r="J2332" s="18" t="s">
        <v>146</v>
      </c>
      <c r="K2332" s="29">
        <f t="shared" si="2"/>
        <v>60</v>
      </c>
    </row>
    <row r="2333" ht="15.75" customHeight="1">
      <c r="A2333" s="18" t="s">
        <v>58</v>
      </c>
      <c r="B2333" s="18">
        <v>1965.0</v>
      </c>
      <c r="C2333" s="18" t="s">
        <v>517</v>
      </c>
      <c r="D2333" s="18">
        <v>27.0</v>
      </c>
      <c r="E2333" s="18" t="str">
        <f t="shared" si="1"/>
        <v>27/10/65</v>
      </c>
      <c r="F2333" s="18">
        <v>1.0</v>
      </c>
      <c r="G2333" s="27">
        <v>48675.52</v>
      </c>
      <c r="H2333" s="18" t="s">
        <v>219</v>
      </c>
      <c r="I2333" s="18" t="s">
        <v>140</v>
      </c>
      <c r="J2333" s="18" t="s">
        <v>146</v>
      </c>
      <c r="K2333" s="29">
        <f t="shared" si="2"/>
        <v>57</v>
      </c>
    </row>
    <row r="2334" ht="15.75" customHeight="1">
      <c r="A2334" s="18" t="s">
        <v>55</v>
      </c>
      <c r="B2334" s="18">
        <v>1959.0</v>
      </c>
      <c r="C2334" s="18" t="s">
        <v>91</v>
      </c>
      <c r="D2334" s="18">
        <v>22.0</v>
      </c>
      <c r="E2334" s="18" t="str">
        <f t="shared" si="1"/>
        <v>22/07/59</v>
      </c>
      <c r="F2334" s="18">
        <v>0.0</v>
      </c>
      <c r="G2334" s="27">
        <v>48824.45</v>
      </c>
      <c r="H2334" s="18" t="s">
        <v>140</v>
      </c>
      <c r="I2334" s="18" t="s">
        <v>219</v>
      </c>
      <c r="J2334" s="18" t="s">
        <v>570</v>
      </c>
      <c r="K2334" s="29">
        <f t="shared" si="2"/>
        <v>63</v>
      </c>
    </row>
    <row r="2335" ht="15.75" customHeight="1">
      <c r="A2335" s="18" t="s">
        <v>50</v>
      </c>
      <c r="B2335" s="18">
        <v>1978.0</v>
      </c>
      <c r="C2335" s="18" t="s">
        <v>457</v>
      </c>
      <c r="D2335" s="18">
        <v>29.0</v>
      </c>
      <c r="E2335" s="18" t="str">
        <f t="shared" si="1"/>
        <v>29/12/78</v>
      </c>
      <c r="F2335" s="18">
        <v>0.0</v>
      </c>
      <c r="G2335" s="27">
        <v>48885.14</v>
      </c>
      <c r="H2335" s="18" t="s">
        <v>219</v>
      </c>
      <c r="I2335" s="18" t="s">
        <v>140</v>
      </c>
      <c r="J2335" s="18" t="s">
        <v>146</v>
      </c>
      <c r="K2335" s="29">
        <f t="shared" si="2"/>
        <v>44</v>
      </c>
    </row>
    <row r="2336" ht="15.75" customHeight="1">
      <c r="A2336" s="18" t="s">
        <v>45</v>
      </c>
      <c r="B2336" s="18">
        <v>1963.0</v>
      </c>
      <c r="C2336" s="18" t="s">
        <v>272</v>
      </c>
      <c r="D2336" s="18">
        <v>4.0</v>
      </c>
      <c r="E2336" s="18" t="str">
        <f t="shared" si="1"/>
        <v>04/09/63</v>
      </c>
      <c r="F2336" s="18">
        <v>1.0</v>
      </c>
      <c r="G2336" s="27">
        <v>48970.25</v>
      </c>
      <c r="H2336" s="18" t="s">
        <v>219</v>
      </c>
      <c r="I2336" s="18" t="s">
        <v>140</v>
      </c>
      <c r="J2336" s="18" t="s">
        <v>146</v>
      </c>
      <c r="K2336" s="29">
        <f t="shared" si="2"/>
        <v>59</v>
      </c>
    </row>
    <row r="2337" ht="15.75" customHeight="1">
      <c r="A2337" s="18" t="s">
        <v>40</v>
      </c>
      <c r="B2337" s="18">
        <v>1958.0</v>
      </c>
      <c r="C2337" s="18" t="s">
        <v>241</v>
      </c>
      <c r="D2337" s="18">
        <v>27.0</v>
      </c>
      <c r="E2337" s="18" t="str">
        <f t="shared" si="1"/>
        <v>27/06/58</v>
      </c>
      <c r="F2337" s="18">
        <v>2.0</v>
      </c>
      <c r="G2337" s="27">
        <v>49577.66</v>
      </c>
      <c r="H2337" s="18" t="s">
        <v>140</v>
      </c>
      <c r="I2337" s="18" t="s">
        <v>140</v>
      </c>
      <c r="J2337" s="18" t="s">
        <v>146</v>
      </c>
      <c r="K2337" s="29">
        <f t="shared" si="2"/>
        <v>64</v>
      </c>
    </row>
    <row r="2338" ht="15.75" customHeight="1">
      <c r="A2338" s="18" t="s">
        <v>36</v>
      </c>
      <c r="B2338" s="18">
        <v>1994.0</v>
      </c>
      <c r="C2338" s="18" t="s">
        <v>517</v>
      </c>
      <c r="D2338" s="18">
        <v>27.0</v>
      </c>
      <c r="E2338" s="18" t="str">
        <f t="shared" si="1"/>
        <v>27/10/94</v>
      </c>
      <c r="F2338" s="18">
        <v>1.0</v>
      </c>
      <c r="G2338" s="27">
        <v>51194.56</v>
      </c>
      <c r="H2338" s="18" t="s">
        <v>219</v>
      </c>
      <c r="I2338" s="18" t="s">
        <v>142</v>
      </c>
      <c r="J2338" s="18" t="s">
        <v>570</v>
      </c>
      <c r="K2338" s="29">
        <f t="shared" si="2"/>
        <v>28</v>
      </c>
    </row>
    <row r="2339" ht="15.75" customHeight="1">
      <c r="A2339" s="18" t="s">
        <v>32</v>
      </c>
      <c r="B2339" s="18">
        <v>1962.0</v>
      </c>
      <c r="C2339" s="18" t="s">
        <v>501</v>
      </c>
      <c r="D2339" s="18">
        <v>4.0</v>
      </c>
      <c r="E2339" s="18" t="str">
        <f t="shared" si="1"/>
        <v>04/08/62</v>
      </c>
      <c r="F2339" s="18">
        <v>0.0</v>
      </c>
      <c r="G2339" s="27">
        <v>52590.83</v>
      </c>
      <c r="H2339" s="18" t="s">
        <v>219</v>
      </c>
      <c r="I2339" s="18" t="s">
        <v>142</v>
      </c>
      <c r="J2339" s="18" t="s">
        <v>570</v>
      </c>
      <c r="K2339" s="29">
        <f t="shared" si="2"/>
        <v>60</v>
      </c>
    </row>
    <row r="2340" ht="15.75" customHeight="1">
      <c r="A2340" s="18" t="s">
        <v>28</v>
      </c>
      <c r="B2340" s="18">
        <v>1989.0</v>
      </c>
      <c r="C2340" s="18" t="s">
        <v>241</v>
      </c>
      <c r="D2340" s="18">
        <v>19.0</v>
      </c>
      <c r="E2340" s="18" t="str">
        <f t="shared" si="1"/>
        <v>19/06/89</v>
      </c>
      <c r="F2340" s="18">
        <v>0.0</v>
      </c>
      <c r="G2340" s="27">
        <v>55135.4</v>
      </c>
      <c r="H2340" s="18" t="s">
        <v>219</v>
      </c>
      <c r="I2340" s="18" t="s">
        <v>140</v>
      </c>
      <c r="J2340" s="18" t="s">
        <v>325</v>
      </c>
      <c r="K2340" s="29">
        <f t="shared" si="2"/>
        <v>33</v>
      </c>
    </row>
    <row r="2341" ht="15.75" customHeight="1">
      <c r="A2341" s="18" t="s">
        <v>24</v>
      </c>
      <c r="B2341" s="18">
        <v>1991.0</v>
      </c>
      <c r="C2341" s="18" t="s">
        <v>241</v>
      </c>
      <c r="D2341" s="18">
        <v>6.0</v>
      </c>
      <c r="E2341" s="18" t="str">
        <f t="shared" si="1"/>
        <v>06/06/91</v>
      </c>
      <c r="F2341" s="18">
        <v>1.0</v>
      </c>
      <c r="G2341" s="27">
        <v>58571.07</v>
      </c>
      <c r="H2341" s="18" t="s">
        <v>219</v>
      </c>
      <c r="I2341" s="18" t="s">
        <v>142</v>
      </c>
      <c r="J2341" s="18" t="s">
        <v>2024</v>
      </c>
      <c r="K2341" s="29">
        <f t="shared" si="2"/>
        <v>32</v>
      </c>
    </row>
    <row r="2342" ht="15.75" customHeight="1">
      <c r="A2342" s="18" t="s">
        <v>19</v>
      </c>
      <c r="B2342" s="18">
        <v>1970.0</v>
      </c>
      <c r="C2342" s="20">
        <v>0.0</v>
      </c>
      <c r="D2342" s="18">
        <v>11.0</v>
      </c>
      <c r="E2342" s="18" t="str">
        <f t="shared" si="1"/>
        <v>#VALUE!</v>
      </c>
      <c r="F2342" s="18">
        <v>3.0</v>
      </c>
      <c r="G2342" s="27">
        <v>60021.4</v>
      </c>
      <c r="H2342" s="18" t="s">
        <v>219</v>
      </c>
      <c r="I2342" s="18" t="s">
        <v>219</v>
      </c>
      <c r="J2342" s="18" t="s">
        <v>325</v>
      </c>
      <c r="K2342" s="29" t="str">
        <f t="shared" si="2"/>
        <v>No Data</v>
      </c>
    </row>
    <row r="2343" ht="15.75" customHeight="1">
      <c r="A2343" s="18" t="s">
        <v>14</v>
      </c>
      <c r="B2343" s="18">
        <v>1977.0</v>
      </c>
      <c r="C2343" s="18" t="s">
        <v>241</v>
      </c>
      <c r="D2343" s="18">
        <v>8.0</v>
      </c>
      <c r="E2343" s="18" t="str">
        <f t="shared" si="1"/>
        <v>08/06/77</v>
      </c>
      <c r="F2343" s="18">
        <v>0.0</v>
      </c>
      <c r="G2343" s="27">
        <v>62592.87</v>
      </c>
      <c r="H2343" s="18" t="s">
        <v>140</v>
      </c>
      <c r="I2343" s="18" t="s">
        <v>142</v>
      </c>
      <c r="J2343" s="18" t="s">
        <v>146</v>
      </c>
      <c r="K2343" s="29">
        <f t="shared" si="2"/>
        <v>46</v>
      </c>
    </row>
    <row r="2344" ht="15.75" customHeight="1">
      <c r="A2344" s="18" t="s">
        <v>4</v>
      </c>
      <c r="B2344" s="18">
        <v>1968.0</v>
      </c>
      <c r="C2344" s="18" t="s">
        <v>517</v>
      </c>
      <c r="D2344" s="18">
        <v>12.0</v>
      </c>
      <c r="E2344" s="18" t="str">
        <f t="shared" si="1"/>
        <v>12/10/68</v>
      </c>
      <c r="F2344" s="18">
        <v>0.0</v>
      </c>
      <c r="G2344" s="27">
        <v>63770.43</v>
      </c>
      <c r="H2344" s="18" t="s">
        <v>219</v>
      </c>
      <c r="I2344" s="18" t="s">
        <v>142</v>
      </c>
      <c r="J2344" s="18" t="s">
        <v>146</v>
      </c>
      <c r="K2344" s="29">
        <f t="shared" si="2"/>
        <v>54</v>
      </c>
    </row>
    <row r="2345" ht="15.75" customHeight="1">
      <c r="G2345" s="27"/>
    </row>
    <row r="2346" ht="15.75" customHeight="1">
      <c r="G2346" s="27"/>
    </row>
    <row r="2347" ht="15.75" customHeight="1">
      <c r="G2347" s="27"/>
    </row>
    <row r="2348" ht="15.75" customHeight="1">
      <c r="G2348" s="27"/>
    </row>
    <row r="2349" ht="15.75" customHeight="1">
      <c r="G2349" s="27"/>
    </row>
    <row r="2350" ht="15.75" customHeight="1">
      <c r="G2350" s="27"/>
    </row>
    <row r="2351" ht="15.75" customHeight="1">
      <c r="G2351" s="27"/>
    </row>
    <row r="2352" ht="15.75" customHeight="1">
      <c r="G2352" s="27"/>
    </row>
    <row r="2353" ht="15.75" customHeight="1">
      <c r="G2353" s="27"/>
    </row>
    <row r="2354" ht="15.75" customHeight="1">
      <c r="G2354" s="27"/>
    </row>
    <row r="2355" ht="15.75" customHeight="1">
      <c r="G2355" s="27"/>
    </row>
    <row r="2356" ht="15.75" customHeight="1">
      <c r="G2356" s="27"/>
    </row>
    <row r="2357" ht="15.75" customHeight="1">
      <c r="G2357" s="27"/>
    </row>
    <row r="2358" ht="15.75" customHeight="1">
      <c r="G2358" s="27"/>
    </row>
    <row r="2359" ht="15.75" customHeight="1">
      <c r="G2359" s="27"/>
    </row>
    <row r="2360" ht="15.75" customHeight="1">
      <c r="G2360" s="27"/>
    </row>
    <row r="2361" ht="15.75" customHeight="1">
      <c r="G2361" s="27"/>
    </row>
    <row r="2362" ht="15.75" customHeight="1">
      <c r="G2362" s="27"/>
    </row>
    <row r="2363" ht="15.75" customHeight="1">
      <c r="G2363" s="27"/>
    </row>
    <row r="2364" ht="15.75" customHeight="1">
      <c r="G2364" s="27"/>
    </row>
    <row r="2365" ht="15.75" customHeight="1">
      <c r="G2365" s="27"/>
    </row>
    <row r="2366" ht="15.75" customHeight="1">
      <c r="G2366" s="27"/>
    </row>
    <row r="2367" ht="15.75" customHeight="1">
      <c r="G2367" s="27"/>
    </row>
    <row r="2368" ht="15.75" customHeight="1">
      <c r="G2368" s="27"/>
    </row>
    <row r="2369" ht="15.75" customHeight="1">
      <c r="G2369" s="27"/>
    </row>
    <row r="2370" ht="15.75" customHeight="1">
      <c r="G2370" s="27"/>
    </row>
    <row r="2371" ht="15.75" customHeight="1">
      <c r="G2371" s="27"/>
    </row>
    <row r="2372" ht="15.75" customHeight="1">
      <c r="G2372" s="27"/>
    </row>
    <row r="2373" ht="15.75" customHeight="1">
      <c r="G2373" s="27"/>
    </row>
    <row r="2374" ht="15.75" customHeight="1">
      <c r="G2374" s="27"/>
    </row>
    <row r="2375" ht="15.75" customHeight="1">
      <c r="G2375" s="27"/>
    </row>
    <row r="2376" ht="15.75" customHeight="1">
      <c r="G2376" s="27"/>
    </row>
    <row r="2377" ht="15.75" customHeight="1">
      <c r="G2377" s="27"/>
    </row>
    <row r="2378" ht="15.75" customHeight="1">
      <c r="G2378" s="27"/>
    </row>
    <row r="2379" ht="15.75" customHeight="1">
      <c r="G2379" s="27"/>
    </row>
    <row r="2380" ht="15.75" customHeight="1">
      <c r="G2380" s="27"/>
    </row>
    <row r="2381" ht="15.75" customHeight="1">
      <c r="G2381" s="27"/>
    </row>
    <row r="2382" ht="15.75" customHeight="1">
      <c r="G2382" s="27"/>
    </row>
    <row r="2383" ht="15.75" customHeight="1">
      <c r="G2383" s="27"/>
    </row>
    <row r="2384" ht="15.75" customHeight="1">
      <c r="G2384" s="27"/>
    </row>
    <row r="2385" ht="15.75" customHeight="1">
      <c r="G2385" s="27"/>
    </row>
    <row r="2386" ht="15.75" customHeight="1">
      <c r="G2386" s="27"/>
    </row>
    <row r="2387" ht="15.75" customHeight="1">
      <c r="G2387" s="27"/>
    </row>
    <row r="2388" ht="15.75" customHeight="1">
      <c r="G2388" s="27"/>
    </row>
    <row r="2389" ht="15.75" customHeight="1">
      <c r="G2389" s="27"/>
    </row>
    <row r="2390" ht="15.75" customHeight="1">
      <c r="G2390" s="27"/>
    </row>
    <row r="2391" ht="15.75" customHeight="1">
      <c r="G2391" s="27"/>
    </row>
    <row r="2392" ht="15.75" customHeight="1">
      <c r="G2392" s="27"/>
    </row>
    <row r="2393" ht="15.75" customHeight="1">
      <c r="G2393" s="27"/>
    </row>
    <row r="2394" ht="15.75" customHeight="1">
      <c r="G2394" s="27"/>
    </row>
    <row r="2395" ht="15.75" customHeight="1">
      <c r="G2395" s="27"/>
    </row>
    <row r="2396" ht="15.75" customHeight="1">
      <c r="G2396" s="27"/>
    </row>
    <row r="2397" ht="15.75" customHeight="1">
      <c r="G2397" s="27"/>
    </row>
    <row r="2398" ht="15.75" customHeight="1">
      <c r="G2398" s="27"/>
    </row>
    <row r="2399" ht="15.75" customHeight="1">
      <c r="G2399" s="27"/>
    </row>
    <row r="2400" ht="15.75" customHeight="1">
      <c r="G2400" s="27"/>
    </row>
    <row r="2401" ht="15.75" customHeight="1">
      <c r="G2401" s="27"/>
    </row>
    <row r="2402" ht="15.75" customHeight="1">
      <c r="G2402" s="27"/>
    </row>
    <row r="2403" ht="15.75" customHeight="1">
      <c r="G2403" s="27"/>
    </row>
    <row r="2404" ht="15.75" customHeight="1">
      <c r="G2404" s="27"/>
    </row>
    <row r="2405" ht="15.75" customHeight="1">
      <c r="G2405" s="27"/>
    </row>
    <row r="2406" ht="15.75" customHeight="1">
      <c r="G2406" s="27"/>
    </row>
    <row r="2407" ht="15.75" customHeight="1">
      <c r="G2407" s="27"/>
    </row>
    <row r="2408" ht="15.75" customHeight="1">
      <c r="G2408" s="27"/>
    </row>
    <row r="2409" ht="15.75" customHeight="1">
      <c r="G2409" s="27"/>
    </row>
    <row r="2410" ht="15.75" customHeight="1">
      <c r="G2410" s="27"/>
    </row>
    <row r="2411" ht="15.75" customHeight="1">
      <c r="G2411" s="27"/>
    </row>
    <row r="2412" ht="15.75" customHeight="1">
      <c r="G2412" s="27"/>
    </row>
    <row r="2413" ht="15.75" customHeight="1">
      <c r="G2413" s="27"/>
    </row>
    <row r="2414" ht="15.75" customHeight="1">
      <c r="G2414" s="27"/>
    </row>
    <row r="2415" ht="15.75" customHeight="1">
      <c r="G2415" s="27"/>
    </row>
    <row r="2416" ht="15.75" customHeight="1">
      <c r="G2416" s="27"/>
    </row>
    <row r="2417" ht="15.75" customHeight="1">
      <c r="G2417" s="27"/>
    </row>
    <row r="2418" ht="15.75" customHeight="1">
      <c r="G2418" s="27"/>
    </row>
    <row r="2419" ht="15.75" customHeight="1">
      <c r="G2419" s="27"/>
    </row>
    <row r="2420" ht="15.75" customHeight="1">
      <c r="G2420" s="27"/>
    </row>
    <row r="2421" ht="15.75" customHeight="1">
      <c r="G2421" s="27"/>
    </row>
    <row r="2422" ht="15.75" customHeight="1">
      <c r="G2422" s="27"/>
    </row>
    <row r="2423" ht="15.75" customHeight="1">
      <c r="G2423" s="27"/>
    </row>
    <row r="2424" ht="15.75" customHeight="1">
      <c r="G2424" s="27"/>
    </row>
    <row r="2425" ht="15.75" customHeight="1">
      <c r="G2425" s="27"/>
    </row>
    <row r="2426" ht="15.75" customHeight="1">
      <c r="G2426" s="27"/>
    </row>
    <row r="2427" ht="15.75" customHeight="1">
      <c r="G2427" s="27"/>
    </row>
    <row r="2428" ht="15.75" customHeight="1">
      <c r="G2428" s="27"/>
    </row>
    <row r="2429" ht="15.75" customHeight="1">
      <c r="G2429" s="27"/>
    </row>
    <row r="2430" ht="15.75" customHeight="1">
      <c r="G2430" s="27"/>
    </row>
    <row r="2431" ht="15.75" customHeight="1">
      <c r="G2431" s="27"/>
    </row>
    <row r="2432" ht="15.75" customHeight="1">
      <c r="G2432" s="27"/>
    </row>
    <row r="2433" ht="15.75" customHeight="1">
      <c r="G2433" s="27"/>
    </row>
    <row r="2434" ht="15.75" customHeight="1">
      <c r="G2434" s="27"/>
    </row>
    <row r="2435" ht="15.75" customHeight="1">
      <c r="G2435" s="27"/>
    </row>
    <row r="2436" ht="15.75" customHeight="1">
      <c r="G2436" s="27"/>
    </row>
    <row r="2437" ht="15.75" customHeight="1">
      <c r="G2437" s="27"/>
    </row>
    <row r="2438" ht="15.75" customHeight="1">
      <c r="G2438" s="27"/>
    </row>
    <row r="2439" ht="15.75" customHeight="1">
      <c r="G2439" s="27"/>
    </row>
    <row r="2440" ht="15.75" customHeight="1">
      <c r="G2440" s="27"/>
    </row>
    <row r="2441" ht="15.75" customHeight="1">
      <c r="G2441" s="27"/>
    </row>
    <row r="2442" ht="15.75" customHeight="1">
      <c r="G2442" s="27"/>
    </row>
    <row r="2443" ht="15.75" customHeight="1">
      <c r="G2443" s="27"/>
    </row>
    <row r="2444" ht="15.75" customHeight="1">
      <c r="G2444" s="27"/>
    </row>
    <row r="2445" ht="15.75" customHeight="1">
      <c r="G2445" s="27"/>
    </row>
    <row r="2446" ht="15.75" customHeight="1">
      <c r="G2446" s="27"/>
    </row>
    <row r="2447" ht="15.75" customHeight="1">
      <c r="G2447" s="27"/>
    </row>
    <row r="2448" ht="15.75" customHeight="1">
      <c r="G2448" s="27"/>
    </row>
    <row r="2449" ht="15.75" customHeight="1">
      <c r="G2449" s="27"/>
    </row>
    <row r="2450" ht="15.75" customHeight="1">
      <c r="G2450" s="27"/>
    </row>
    <row r="2451" ht="15.75" customHeight="1">
      <c r="G2451" s="27"/>
    </row>
    <row r="2452" ht="15.75" customHeight="1">
      <c r="G2452" s="27"/>
    </row>
    <row r="2453" ht="15.75" customHeight="1">
      <c r="G2453" s="27"/>
    </row>
    <row r="2454" ht="15.75" customHeight="1">
      <c r="G2454" s="27"/>
    </row>
    <row r="2455" ht="15.75" customHeight="1">
      <c r="G2455" s="27"/>
    </row>
    <row r="2456" ht="15.75" customHeight="1">
      <c r="G2456" s="27"/>
    </row>
    <row r="2457" ht="15.75" customHeight="1">
      <c r="G2457" s="27"/>
    </row>
    <row r="2458" ht="15.75" customHeight="1">
      <c r="G2458" s="27"/>
    </row>
    <row r="2459" ht="15.75" customHeight="1">
      <c r="G2459" s="27"/>
    </row>
    <row r="2460" ht="15.75" customHeight="1">
      <c r="G2460" s="27"/>
    </row>
    <row r="2461" ht="15.75" customHeight="1">
      <c r="G2461" s="27"/>
    </row>
    <row r="2462" ht="15.75" customHeight="1">
      <c r="G2462" s="27"/>
    </row>
    <row r="2463" ht="15.75" customHeight="1">
      <c r="G2463" s="27"/>
    </row>
    <row r="2464" ht="15.75" customHeight="1">
      <c r="G2464" s="27"/>
    </row>
    <row r="2465" ht="15.75" customHeight="1">
      <c r="G2465" s="27"/>
    </row>
    <row r="2466" ht="15.75" customHeight="1">
      <c r="G2466" s="27"/>
    </row>
    <row r="2467" ht="15.75" customHeight="1">
      <c r="G2467" s="27"/>
    </row>
    <row r="2468" ht="15.75" customHeight="1">
      <c r="G2468" s="27"/>
    </row>
    <row r="2469" ht="15.75" customHeight="1">
      <c r="G2469" s="27"/>
    </row>
    <row r="2470" ht="15.75" customHeight="1">
      <c r="G2470" s="27"/>
    </row>
    <row r="2471" ht="15.75" customHeight="1">
      <c r="G2471" s="27"/>
    </row>
    <row r="2472" ht="15.75" customHeight="1">
      <c r="G2472" s="27"/>
    </row>
    <row r="2473" ht="15.75" customHeight="1">
      <c r="G2473" s="27"/>
    </row>
    <row r="2474" ht="15.75" customHeight="1">
      <c r="G2474" s="27"/>
    </row>
    <row r="2475" ht="15.75" customHeight="1">
      <c r="G2475" s="27"/>
    </row>
    <row r="2476" ht="15.75" customHeight="1">
      <c r="G2476" s="27"/>
    </row>
    <row r="2477" ht="15.75" customHeight="1">
      <c r="G2477" s="27"/>
    </row>
    <row r="2478" ht="15.75" customHeight="1">
      <c r="G2478" s="27"/>
    </row>
    <row r="2479" ht="15.75" customHeight="1">
      <c r="G2479" s="27"/>
    </row>
    <row r="2480" ht="15.75" customHeight="1">
      <c r="G2480" s="27"/>
    </row>
    <row r="2481" ht="15.75" customHeight="1">
      <c r="G2481" s="27"/>
    </row>
    <row r="2482" ht="15.75" customHeight="1">
      <c r="G2482" s="27"/>
    </row>
    <row r="2483" ht="15.75" customHeight="1">
      <c r="G2483" s="27"/>
    </row>
    <row r="2484" ht="15.75" customHeight="1">
      <c r="G2484" s="27"/>
    </row>
    <row r="2485" ht="15.75" customHeight="1">
      <c r="G2485" s="27"/>
    </row>
    <row r="2486" ht="15.75" customHeight="1">
      <c r="G2486" s="27"/>
    </row>
    <row r="2487" ht="15.75" customHeight="1">
      <c r="G2487" s="27"/>
    </row>
    <row r="2488" ht="15.75" customHeight="1">
      <c r="G2488" s="27"/>
    </row>
    <row r="2489" ht="15.75" customHeight="1">
      <c r="G2489" s="27"/>
    </row>
    <row r="2490" ht="15.75" customHeight="1">
      <c r="G2490" s="27"/>
    </row>
    <row r="2491" ht="15.75" customHeight="1">
      <c r="G2491" s="27"/>
    </row>
    <row r="2492" ht="15.75" customHeight="1">
      <c r="G2492" s="27"/>
    </row>
    <row r="2493" ht="15.75" customHeight="1">
      <c r="G2493" s="27"/>
    </row>
    <row r="2494" ht="15.75" customHeight="1">
      <c r="G2494" s="27"/>
    </row>
    <row r="2495" ht="15.75" customHeight="1">
      <c r="G2495" s="27"/>
    </row>
    <row r="2496" ht="15.75" customHeight="1">
      <c r="G2496" s="27"/>
    </row>
    <row r="2497" ht="15.75" customHeight="1">
      <c r="G2497" s="27"/>
    </row>
    <row r="2498" ht="15.75" customHeight="1">
      <c r="G2498" s="27"/>
    </row>
    <row r="2499" ht="15.75" customHeight="1">
      <c r="G2499" s="27"/>
    </row>
    <row r="2500" ht="15.75" customHeight="1">
      <c r="G2500" s="27"/>
    </row>
    <row r="2501" ht="15.75" customHeight="1">
      <c r="G2501" s="27"/>
    </row>
    <row r="2502" ht="15.75" customHeight="1">
      <c r="G2502" s="27"/>
    </row>
    <row r="2503" ht="15.75" customHeight="1">
      <c r="G2503" s="27"/>
    </row>
    <row r="2504" ht="15.75" customHeight="1">
      <c r="G2504" s="27"/>
    </row>
    <row r="2505" ht="15.75" customHeight="1">
      <c r="G2505" s="27"/>
    </row>
    <row r="2506" ht="15.75" customHeight="1">
      <c r="G2506" s="27"/>
    </row>
    <row r="2507" ht="15.75" customHeight="1">
      <c r="G2507" s="27"/>
    </row>
    <row r="2508" ht="15.75" customHeight="1">
      <c r="G2508" s="27"/>
    </row>
    <row r="2509" ht="15.75" customHeight="1">
      <c r="G2509" s="27"/>
    </row>
    <row r="2510" ht="15.75" customHeight="1">
      <c r="G2510" s="27"/>
    </row>
    <row r="2511" ht="15.75" customHeight="1">
      <c r="G2511" s="27"/>
    </row>
    <row r="2512" ht="15.75" customHeight="1">
      <c r="G2512" s="27"/>
    </row>
    <row r="2513" ht="15.75" customHeight="1">
      <c r="G2513" s="27"/>
    </row>
    <row r="2514" ht="15.75" customHeight="1">
      <c r="G2514" s="27"/>
    </row>
    <row r="2515" ht="15.75" customHeight="1">
      <c r="G2515" s="27"/>
    </row>
    <row r="2516" ht="15.75" customHeight="1">
      <c r="G2516" s="27"/>
    </row>
    <row r="2517" ht="15.75" customHeight="1">
      <c r="G2517" s="27"/>
    </row>
    <row r="2518" ht="15.75" customHeight="1">
      <c r="G2518" s="27"/>
    </row>
    <row r="2519" ht="15.75" customHeight="1">
      <c r="G2519" s="27"/>
    </row>
    <row r="2520" ht="15.75" customHeight="1">
      <c r="G2520" s="27"/>
    </row>
    <row r="2521" ht="15.75" customHeight="1">
      <c r="G2521" s="27"/>
    </row>
    <row r="2522" ht="15.75" customHeight="1">
      <c r="G2522" s="27"/>
    </row>
    <row r="2523" ht="15.75" customHeight="1">
      <c r="G2523" s="27"/>
    </row>
    <row r="2524" ht="15.75" customHeight="1">
      <c r="G2524" s="27"/>
    </row>
    <row r="2525" ht="15.75" customHeight="1">
      <c r="G2525" s="27"/>
    </row>
    <row r="2526" ht="15.75" customHeight="1">
      <c r="G2526" s="27"/>
    </row>
    <row r="2527" ht="15.75" customHeight="1">
      <c r="G2527" s="27"/>
    </row>
    <row r="2528" ht="15.75" customHeight="1">
      <c r="G2528" s="27"/>
    </row>
    <row r="2529" ht="15.75" customHeight="1">
      <c r="G2529" s="27"/>
    </row>
    <row r="2530" ht="15.75" customHeight="1">
      <c r="G2530" s="27"/>
    </row>
    <row r="2531" ht="15.75" customHeight="1">
      <c r="G2531" s="27"/>
    </row>
    <row r="2532" ht="15.75" customHeight="1">
      <c r="G2532" s="27"/>
    </row>
    <row r="2533" ht="15.75" customHeight="1">
      <c r="G2533" s="27"/>
    </row>
    <row r="2534" ht="15.75" customHeight="1">
      <c r="G2534" s="27"/>
    </row>
    <row r="2535" ht="15.75" customHeight="1">
      <c r="G2535" s="27"/>
    </row>
    <row r="2536" ht="15.75" customHeight="1">
      <c r="G2536" s="27"/>
    </row>
    <row r="2537" ht="15.75" customHeight="1">
      <c r="G2537" s="27"/>
    </row>
    <row r="2538" ht="15.75" customHeight="1">
      <c r="G2538" s="27"/>
    </row>
    <row r="2539" ht="15.75" customHeight="1">
      <c r="G2539" s="27"/>
    </row>
    <row r="2540" ht="15.75" customHeight="1">
      <c r="G2540" s="27"/>
    </row>
    <row r="2541" ht="15.75" customHeight="1">
      <c r="G2541" s="27"/>
    </row>
    <row r="2542" ht="15.75" customHeight="1">
      <c r="G2542" s="27"/>
    </row>
    <row r="2543" ht="15.75" customHeight="1">
      <c r="G2543" s="27"/>
    </row>
    <row r="2544" ht="15.75" customHeight="1">
      <c r="G2544" s="27"/>
    </row>
    <row r="2545" ht="15.75" customHeight="1">
      <c r="G2545" s="27"/>
    </row>
    <row r="2546" ht="15.75" customHeight="1">
      <c r="G2546" s="27"/>
    </row>
    <row r="2547" ht="15.75" customHeight="1">
      <c r="G2547" s="27"/>
    </row>
    <row r="2548" ht="15.75" customHeight="1">
      <c r="G2548" s="27"/>
    </row>
    <row r="2549" ht="15.75" customHeight="1">
      <c r="G2549" s="27"/>
    </row>
    <row r="2550" ht="15.75" customHeight="1">
      <c r="G2550" s="27"/>
    </row>
    <row r="2551" ht="15.75" customHeight="1">
      <c r="G2551" s="27"/>
    </row>
    <row r="2552" ht="15.75" customHeight="1">
      <c r="G2552" s="27"/>
    </row>
    <row r="2553" ht="15.75" customHeight="1">
      <c r="G2553" s="27"/>
    </row>
    <row r="2554" ht="15.75" customHeight="1">
      <c r="G2554" s="27"/>
    </row>
    <row r="2555" ht="15.75" customHeight="1">
      <c r="G2555" s="27"/>
    </row>
    <row r="2556" ht="15.75" customHeight="1">
      <c r="G2556" s="27"/>
    </row>
    <row r="2557" ht="15.75" customHeight="1">
      <c r="G2557" s="27"/>
    </row>
    <row r="2558" ht="15.75" customHeight="1">
      <c r="G2558" s="27"/>
    </row>
    <row r="2559" ht="15.75" customHeight="1">
      <c r="G2559" s="27"/>
    </row>
    <row r="2560" ht="15.75" customHeight="1">
      <c r="G2560" s="27"/>
    </row>
    <row r="2561" ht="15.75" customHeight="1">
      <c r="G2561" s="27"/>
    </row>
    <row r="2562" ht="15.75" customHeight="1">
      <c r="G2562" s="27"/>
    </row>
    <row r="2563" ht="15.75" customHeight="1">
      <c r="G2563" s="27"/>
    </row>
    <row r="2564" ht="15.75" customHeight="1">
      <c r="G2564" s="27"/>
    </row>
    <row r="2565" ht="15.75" customHeight="1">
      <c r="G2565" s="27"/>
    </row>
    <row r="2566" ht="15.75" customHeight="1">
      <c r="G2566" s="27"/>
    </row>
    <row r="2567" ht="15.75" customHeight="1">
      <c r="G2567" s="27"/>
    </row>
    <row r="2568" ht="15.75" customHeight="1">
      <c r="G2568" s="27"/>
    </row>
    <row r="2569" ht="15.75" customHeight="1">
      <c r="G2569" s="27"/>
    </row>
    <row r="2570" ht="15.75" customHeight="1">
      <c r="G2570" s="27"/>
    </row>
    <row r="2571" ht="15.75" customHeight="1">
      <c r="G2571" s="27"/>
    </row>
    <row r="2572" ht="15.75" customHeight="1">
      <c r="G2572" s="27"/>
    </row>
    <row r="2573" ht="15.75" customHeight="1">
      <c r="G2573" s="27"/>
    </row>
    <row r="2574" ht="15.75" customHeight="1">
      <c r="G2574" s="27"/>
    </row>
    <row r="2575" ht="15.75" customHeight="1">
      <c r="G2575" s="27"/>
    </row>
    <row r="2576" ht="15.75" customHeight="1">
      <c r="G2576" s="27"/>
    </row>
    <row r="2577" ht="15.75" customHeight="1">
      <c r="G2577" s="27"/>
    </row>
    <row r="2578" ht="15.75" customHeight="1">
      <c r="G2578" s="27"/>
    </row>
    <row r="2579" ht="15.75" customHeight="1">
      <c r="G2579" s="27"/>
    </row>
    <row r="2580" ht="15.75" customHeight="1">
      <c r="G2580" s="27"/>
    </row>
    <row r="2581" ht="15.75" customHeight="1">
      <c r="G2581" s="27"/>
    </row>
    <row r="2582" ht="15.75" customHeight="1">
      <c r="G2582" s="27"/>
    </row>
    <row r="2583" ht="15.75" customHeight="1">
      <c r="G2583" s="27"/>
    </row>
    <row r="2584" ht="15.75" customHeight="1">
      <c r="G2584" s="27"/>
    </row>
    <row r="2585" ht="15.75" customHeight="1">
      <c r="G2585" s="27"/>
    </row>
    <row r="2586" ht="15.75" customHeight="1">
      <c r="G2586" s="27"/>
    </row>
    <row r="2587" ht="15.75" customHeight="1">
      <c r="G2587" s="27"/>
    </row>
    <row r="2588" ht="15.75" customHeight="1">
      <c r="G2588" s="27"/>
    </row>
    <row r="2589" ht="15.75" customHeight="1">
      <c r="G2589" s="27"/>
    </row>
    <row r="2590" ht="15.75" customHeight="1">
      <c r="G2590" s="27"/>
    </row>
    <row r="2591" ht="15.75" customHeight="1">
      <c r="G2591" s="27"/>
    </row>
    <row r="2592" ht="15.75" customHeight="1">
      <c r="G2592" s="27"/>
    </row>
    <row r="2593" ht="15.75" customHeight="1">
      <c r="G2593" s="27"/>
    </row>
    <row r="2594" ht="15.75" customHeight="1">
      <c r="G2594" s="27"/>
    </row>
    <row r="2595" ht="15.75" customHeight="1">
      <c r="G2595" s="27"/>
    </row>
    <row r="2596" ht="15.75" customHeight="1">
      <c r="G2596" s="27"/>
    </row>
    <row r="2597" ht="15.75" customHeight="1">
      <c r="G2597" s="27"/>
    </row>
    <row r="2598" ht="15.75" customHeight="1">
      <c r="G2598" s="27"/>
    </row>
    <row r="2599" ht="15.75" customHeight="1">
      <c r="G2599" s="27"/>
    </row>
    <row r="2600" ht="15.75" customHeight="1">
      <c r="G2600" s="27"/>
    </row>
    <row r="2601" ht="15.75" customHeight="1">
      <c r="G2601" s="27"/>
    </row>
    <row r="2602" ht="15.75" customHeight="1">
      <c r="G2602" s="27"/>
    </row>
    <row r="2603" ht="15.75" customHeight="1">
      <c r="G2603" s="27"/>
    </row>
    <row r="2604" ht="15.75" customHeight="1">
      <c r="G2604" s="27"/>
    </row>
    <row r="2605" ht="15.75" customHeight="1">
      <c r="G2605" s="27"/>
    </row>
    <row r="2606" ht="15.75" customHeight="1">
      <c r="G2606" s="27"/>
    </row>
    <row r="2607" ht="15.75" customHeight="1">
      <c r="G2607" s="27"/>
    </row>
    <row r="2608" ht="15.75" customHeight="1">
      <c r="G2608" s="27"/>
    </row>
    <row r="2609" ht="15.75" customHeight="1">
      <c r="G2609" s="27"/>
    </row>
    <row r="2610" ht="15.75" customHeight="1">
      <c r="G2610" s="27"/>
    </row>
    <row r="2611" ht="15.75" customHeight="1">
      <c r="G2611" s="27"/>
    </row>
    <row r="2612" ht="15.75" customHeight="1">
      <c r="G2612" s="27"/>
    </row>
    <row r="2613" ht="15.75" customHeight="1">
      <c r="G2613" s="27"/>
    </row>
    <row r="2614" ht="15.75" customHeight="1">
      <c r="G2614" s="27"/>
    </row>
    <row r="2615" ht="15.75" customHeight="1">
      <c r="G2615" s="27"/>
    </row>
    <row r="2616" ht="15.75" customHeight="1">
      <c r="G2616" s="27"/>
    </row>
    <row r="2617" ht="15.75" customHeight="1">
      <c r="G2617" s="27"/>
    </row>
    <row r="2618" ht="15.75" customHeight="1">
      <c r="G2618" s="27"/>
    </row>
    <row r="2619" ht="15.75" customHeight="1">
      <c r="G2619" s="27"/>
    </row>
    <row r="2620" ht="15.75" customHeight="1">
      <c r="G2620" s="27"/>
    </row>
    <row r="2621" ht="15.75" customHeight="1">
      <c r="G2621" s="27"/>
    </row>
    <row r="2622" ht="15.75" customHeight="1">
      <c r="G2622" s="27"/>
    </row>
    <row r="2623" ht="15.75" customHeight="1">
      <c r="G2623" s="27"/>
    </row>
    <row r="2624" ht="15.75" customHeight="1">
      <c r="G2624" s="27"/>
    </row>
    <row r="2625" ht="15.75" customHeight="1">
      <c r="G2625" s="27"/>
    </row>
    <row r="2626" ht="15.75" customHeight="1">
      <c r="G2626" s="27"/>
    </row>
    <row r="2627" ht="15.75" customHeight="1">
      <c r="G2627" s="27"/>
    </row>
    <row r="2628" ht="15.75" customHeight="1">
      <c r="G2628" s="27"/>
    </row>
    <row r="2629" ht="15.75" customHeight="1">
      <c r="G2629" s="27"/>
    </row>
    <row r="2630" ht="15.75" customHeight="1">
      <c r="G2630" s="27"/>
    </row>
    <row r="2631" ht="15.75" customHeight="1">
      <c r="G2631" s="27"/>
    </row>
    <row r="2632" ht="15.75" customHeight="1">
      <c r="G2632" s="27"/>
    </row>
    <row r="2633" ht="15.75" customHeight="1">
      <c r="G2633" s="27"/>
    </row>
    <row r="2634" ht="15.75" customHeight="1">
      <c r="G2634" s="27"/>
    </row>
    <row r="2635" ht="15.75" customHeight="1">
      <c r="G2635" s="27"/>
    </row>
    <row r="2636" ht="15.75" customHeight="1">
      <c r="G2636" s="27"/>
    </row>
    <row r="2637" ht="15.75" customHeight="1">
      <c r="G2637" s="27"/>
    </row>
    <row r="2638" ht="15.75" customHeight="1">
      <c r="G2638" s="27"/>
    </row>
    <row r="2639" ht="15.75" customHeight="1">
      <c r="G2639" s="27"/>
    </row>
    <row r="2640" ht="15.75" customHeight="1">
      <c r="G2640" s="27"/>
    </row>
    <row r="2641" ht="15.75" customHeight="1">
      <c r="G2641" s="27"/>
    </row>
    <row r="2642" ht="15.75" customHeight="1">
      <c r="G2642" s="27"/>
    </row>
    <row r="2643" ht="15.75" customHeight="1">
      <c r="G2643" s="27"/>
    </row>
    <row r="2644" ht="15.75" customHeight="1">
      <c r="G2644" s="27"/>
    </row>
    <row r="2645" ht="15.75" customHeight="1">
      <c r="G2645" s="27"/>
    </row>
    <row r="2646" ht="15.75" customHeight="1">
      <c r="G2646" s="27"/>
    </row>
    <row r="2647" ht="15.75" customHeight="1">
      <c r="G2647" s="27"/>
    </row>
    <row r="2648" ht="15.75" customHeight="1">
      <c r="G2648" s="27"/>
    </row>
    <row r="2649" ht="15.75" customHeight="1">
      <c r="G2649" s="27"/>
    </row>
    <row r="2650" ht="15.75" customHeight="1">
      <c r="G2650" s="27"/>
    </row>
    <row r="2651" ht="15.75" customHeight="1">
      <c r="G2651" s="27"/>
    </row>
    <row r="2652" ht="15.75" customHeight="1">
      <c r="G2652" s="27"/>
    </row>
    <row r="2653" ht="15.75" customHeight="1">
      <c r="G2653" s="27"/>
    </row>
    <row r="2654" ht="15.75" customHeight="1">
      <c r="G2654" s="27"/>
    </row>
    <row r="2655" ht="15.75" customHeight="1">
      <c r="G2655" s="27"/>
    </row>
    <row r="2656" ht="15.75" customHeight="1">
      <c r="G2656" s="27"/>
    </row>
    <row r="2657" ht="15.75" customHeight="1">
      <c r="G2657" s="27"/>
    </row>
    <row r="2658" ht="15.75" customHeight="1">
      <c r="G2658" s="27"/>
    </row>
    <row r="2659" ht="15.75" customHeight="1">
      <c r="G2659" s="27"/>
    </row>
    <row r="2660" ht="15.75" customHeight="1">
      <c r="G2660" s="27"/>
    </row>
    <row r="2661" ht="15.75" customHeight="1">
      <c r="G2661" s="27"/>
    </row>
    <row r="2662" ht="15.75" customHeight="1">
      <c r="G2662" s="27"/>
    </row>
    <row r="2663" ht="15.75" customHeight="1">
      <c r="G2663" s="27"/>
    </row>
    <row r="2664" ht="15.75" customHeight="1">
      <c r="G2664" s="27"/>
    </row>
    <row r="2665" ht="15.75" customHeight="1">
      <c r="G2665" s="27"/>
    </row>
    <row r="2666" ht="15.75" customHeight="1">
      <c r="G2666" s="27"/>
    </row>
    <row r="2667" ht="15.75" customHeight="1">
      <c r="G2667" s="27"/>
    </row>
    <row r="2668" ht="15.75" customHeight="1">
      <c r="G2668" s="27"/>
    </row>
    <row r="2669" ht="15.75" customHeight="1">
      <c r="G2669" s="27"/>
    </row>
    <row r="2670" ht="15.75" customHeight="1">
      <c r="G2670" s="27"/>
    </row>
    <row r="2671" ht="15.75" customHeight="1">
      <c r="G2671" s="27"/>
    </row>
    <row r="2672" ht="15.75" customHeight="1">
      <c r="G2672" s="27"/>
    </row>
    <row r="2673" ht="15.75" customHeight="1">
      <c r="G2673" s="27"/>
    </row>
    <row r="2674" ht="15.75" customHeight="1">
      <c r="G2674" s="27"/>
    </row>
    <row r="2675" ht="15.75" customHeight="1">
      <c r="G2675" s="27"/>
    </row>
    <row r="2676" ht="15.75" customHeight="1">
      <c r="G2676" s="27"/>
    </row>
    <row r="2677" ht="15.75" customHeight="1">
      <c r="G2677" s="27"/>
    </row>
    <row r="2678" ht="15.75" customHeight="1">
      <c r="G2678" s="27"/>
    </row>
    <row r="2679" ht="15.75" customHeight="1">
      <c r="G2679" s="27"/>
    </row>
    <row r="2680" ht="15.75" customHeight="1">
      <c r="G2680" s="27"/>
    </row>
    <row r="2681" ht="15.75" customHeight="1">
      <c r="G2681" s="27"/>
    </row>
    <row r="2682" ht="15.75" customHeight="1">
      <c r="G2682" s="27"/>
    </row>
    <row r="2683" ht="15.75" customHeight="1">
      <c r="G2683" s="27"/>
    </row>
    <row r="2684" ht="15.75" customHeight="1">
      <c r="G2684" s="27"/>
    </row>
    <row r="2685" ht="15.75" customHeight="1">
      <c r="G2685" s="27"/>
    </row>
    <row r="2686" ht="15.75" customHeight="1">
      <c r="G2686" s="27"/>
    </row>
    <row r="2687" ht="15.75" customHeight="1">
      <c r="G2687" s="27"/>
    </row>
    <row r="2688" ht="15.75" customHeight="1">
      <c r="G2688" s="27"/>
    </row>
    <row r="2689" ht="15.75" customHeight="1">
      <c r="G2689" s="27"/>
    </row>
    <row r="2690" ht="15.75" customHeight="1">
      <c r="G2690" s="27"/>
    </row>
    <row r="2691" ht="15.75" customHeight="1">
      <c r="G2691" s="27"/>
    </row>
    <row r="2692" ht="15.75" customHeight="1">
      <c r="G2692" s="27"/>
    </row>
    <row r="2693" ht="15.75" customHeight="1">
      <c r="G2693" s="27"/>
    </row>
    <row r="2694" ht="15.75" customHeight="1">
      <c r="G2694" s="27"/>
    </row>
    <row r="2695" ht="15.75" customHeight="1">
      <c r="G2695" s="27"/>
    </row>
    <row r="2696" ht="15.75" customHeight="1">
      <c r="G2696" s="27"/>
    </row>
    <row r="2697" ht="15.75" customHeight="1">
      <c r="G2697" s="27"/>
    </row>
    <row r="2698" ht="15.75" customHeight="1">
      <c r="G2698" s="27"/>
    </row>
    <row r="2699" ht="15.75" customHeight="1">
      <c r="G2699" s="27"/>
    </row>
    <row r="2700" ht="15.75" customHeight="1">
      <c r="G2700" s="27"/>
    </row>
    <row r="2701" ht="15.75" customHeight="1">
      <c r="G2701" s="27"/>
    </row>
    <row r="2702" ht="15.75" customHeight="1">
      <c r="G2702" s="27"/>
    </row>
    <row r="2703" ht="15.75" customHeight="1">
      <c r="G2703" s="27"/>
    </row>
    <row r="2704" ht="15.75" customHeight="1">
      <c r="G2704" s="27"/>
    </row>
    <row r="2705" ht="15.75" customHeight="1">
      <c r="G2705" s="27"/>
    </row>
    <row r="2706" ht="15.75" customHeight="1">
      <c r="G2706" s="27"/>
    </row>
    <row r="2707" ht="15.75" customHeight="1">
      <c r="G2707" s="27"/>
    </row>
    <row r="2708" ht="15.75" customHeight="1">
      <c r="G2708" s="27"/>
    </row>
    <row r="2709" ht="15.75" customHeight="1">
      <c r="G2709" s="27"/>
    </row>
    <row r="2710" ht="15.75" customHeight="1">
      <c r="G2710" s="27"/>
    </row>
    <row r="2711" ht="15.75" customHeight="1">
      <c r="G2711" s="27"/>
    </row>
    <row r="2712" ht="15.75" customHeight="1">
      <c r="G2712" s="27"/>
    </row>
    <row r="2713" ht="15.75" customHeight="1">
      <c r="G2713" s="27"/>
    </row>
    <row r="2714" ht="15.75" customHeight="1">
      <c r="G2714" s="27"/>
    </row>
    <row r="2715" ht="15.75" customHeight="1">
      <c r="G2715" s="27"/>
    </row>
    <row r="2716" ht="15.75" customHeight="1">
      <c r="G2716" s="27"/>
    </row>
    <row r="2717" ht="15.75" customHeight="1">
      <c r="G2717" s="27"/>
    </row>
    <row r="2718" ht="15.75" customHeight="1">
      <c r="G2718" s="27"/>
    </row>
    <row r="2719" ht="15.75" customHeight="1">
      <c r="G2719" s="27"/>
    </row>
    <row r="2720" ht="15.75" customHeight="1">
      <c r="G2720" s="27"/>
    </row>
    <row r="2721" ht="15.75" customHeight="1">
      <c r="G2721" s="27"/>
    </row>
    <row r="2722" ht="15.75" customHeight="1">
      <c r="G2722" s="27"/>
    </row>
    <row r="2723" ht="15.75" customHeight="1">
      <c r="G2723" s="27"/>
    </row>
    <row r="2724" ht="15.75" customHeight="1">
      <c r="G2724" s="27"/>
    </row>
    <row r="2725" ht="15.75" customHeight="1">
      <c r="G2725" s="27"/>
    </row>
    <row r="2726" ht="15.75" customHeight="1">
      <c r="G2726" s="27"/>
    </row>
    <row r="2727" ht="15.75" customHeight="1">
      <c r="G2727" s="27"/>
    </row>
    <row r="2728" ht="15.75" customHeight="1">
      <c r="G2728" s="27"/>
    </row>
    <row r="2729" ht="15.75" customHeight="1">
      <c r="G2729" s="27"/>
    </row>
    <row r="2730" ht="15.75" customHeight="1">
      <c r="G2730" s="27"/>
    </row>
    <row r="2731" ht="15.75" customHeight="1">
      <c r="G2731" s="27"/>
    </row>
    <row r="2732" ht="15.75" customHeight="1">
      <c r="G2732" s="27"/>
    </row>
    <row r="2733" ht="15.75" customHeight="1">
      <c r="G2733" s="27"/>
    </row>
    <row r="2734" ht="15.75" customHeight="1">
      <c r="G2734" s="27"/>
    </row>
    <row r="2735" ht="15.75" customHeight="1">
      <c r="G2735" s="27"/>
    </row>
    <row r="2736" ht="15.75" customHeight="1">
      <c r="G2736" s="27"/>
    </row>
    <row r="2737" ht="15.75" customHeight="1">
      <c r="G2737" s="27"/>
    </row>
    <row r="2738" ht="15.75" customHeight="1">
      <c r="G2738" s="27"/>
    </row>
    <row r="2739" ht="15.75" customHeight="1">
      <c r="G2739" s="27"/>
    </row>
    <row r="2740" ht="15.75" customHeight="1">
      <c r="G2740" s="27"/>
    </row>
    <row r="2741" ht="15.75" customHeight="1">
      <c r="G2741" s="27"/>
    </row>
    <row r="2742" ht="15.75" customHeight="1">
      <c r="G2742" s="27"/>
    </row>
    <row r="2743" ht="15.75" customHeight="1">
      <c r="G2743" s="27"/>
    </row>
    <row r="2744" ht="15.75" customHeight="1">
      <c r="G2744" s="27"/>
    </row>
    <row r="2745" ht="15.75" customHeight="1">
      <c r="G2745" s="27"/>
    </row>
    <row r="2746" ht="15.75" customHeight="1">
      <c r="G2746" s="27"/>
    </row>
    <row r="2747" ht="15.75" customHeight="1">
      <c r="G2747" s="27"/>
    </row>
    <row r="2748" ht="15.75" customHeight="1">
      <c r="G2748" s="27"/>
    </row>
    <row r="2749" ht="15.75" customHeight="1">
      <c r="G2749" s="27"/>
    </row>
    <row r="2750" ht="15.75" customHeight="1">
      <c r="G2750" s="27"/>
    </row>
    <row r="2751" ht="15.75" customHeight="1">
      <c r="G2751" s="27"/>
    </row>
    <row r="2752" ht="15.75" customHeight="1">
      <c r="G2752" s="27"/>
    </row>
    <row r="2753" ht="15.75" customHeight="1">
      <c r="G2753" s="27"/>
    </row>
    <row r="2754" ht="15.75" customHeight="1">
      <c r="G2754" s="27"/>
    </row>
    <row r="2755" ht="15.75" customHeight="1">
      <c r="G2755" s="27"/>
    </row>
    <row r="2756" ht="15.75" customHeight="1">
      <c r="G2756" s="27"/>
    </row>
    <row r="2757" ht="15.75" customHeight="1">
      <c r="G2757" s="27"/>
    </row>
    <row r="2758" ht="15.75" customHeight="1">
      <c r="G2758" s="27"/>
    </row>
    <row r="2759" ht="15.75" customHeight="1">
      <c r="G2759" s="27"/>
    </row>
    <row r="2760" ht="15.75" customHeight="1">
      <c r="G2760" s="27"/>
    </row>
    <row r="2761" ht="15.75" customHeight="1">
      <c r="G2761" s="27"/>
    </row>
    <row r="2762" ht="15.75" customHeight="1">
      <c r="G2762" s="27"/>
    </row>
    <row r="2763" ht="15.75" customHeight="1">
      <c r="G2763" s="27"/>
    </row>
    <row r="2764" ht="15.75" customHeight="1">
      <c r="G2764" s="27"/>
    </row>
    <row r="2765" ht="15.75" customHeight="1">
      <c r="G2765" s="27"/>
    </row>
    <row r="2766" ht="15.75" customHeight="1">
      <c r="G2766" s="27"/>
    </row>
    <row r="2767" ht="15.75" customHeight="1">
      <c r="G2767" s="27"/>
    </row>
    <row r="2768" ht="15.75" customHeight="1">
      <c r="G2768" s="27"/>
    </row>
    <row r="2769" ht="15.75" customHeight="1">
      <c r="G2769" s="27"/>
    </row>
    <row r="2770" ht="15.75" customHeight="1">
      <c r="G2770" s="27"/>
    </row>
    <row r="2771" ht="15.75" customHeight="1">
      <c r="G2771" s="27"/>
    </row>
    <row r="2772" ht="15.75" customHeight="1">
      <c r="G2772" s="27"/>
    </row>
    <row r="2773" ht="15.75" customHeight="1">
      <c r="G2773" s="27"/>
    </row>
    <row r="2774" ht="15.75" customHeight="1">
      <c r="G2774" s="27"/>
    </row>
    <row r="2775" ht="15.75" customHeight="1">
      <c r="G2775" s="27"/>
    </row>
    <row r="2776" ht="15.75" customHeight="1">
      <c r="G2776" s="27"/>
    </row>
    <row r="2777" ht="15.75" customHeight="1">
      <c r="G2777" s="27"/>
    </row>
    <row r="2778" ht="15.75" customHeight="1">
      <c r="G2778" s="27"/>
    </row>
    <row r="2779" ht="15.75" customHeight="1">
      <c r="G2779" s="27"/>
    </row>
    <row r="2780" ht="15.75" customHeight="1">
      <c r="G2780" s="27"/>
    </row>
    <row r="2781" ht="15.75" customHeight="1">
      <c r="G2781" s="27"/>
    </row>
    <row r="2782" ht="15.75" customHeight="1">
      <c r="G2782" s="27"/>
    </row>
    <row r="2783" ht="15.75" customHeight="1">
      <c r="G2783" s="27"/>
    </row>
    <row r="2784" ht="15.75" customHeight="1">
      <c r="G2784" s="27"/>
    </row>
    <row r="2785" ht="15.75" customHeight="1">
      <c r="G2785" s="27"/>
    </row>
    <row r="2786" ht="15.75" customHeight="1">
      <c r="G2786" s="27"/>
    </row>
    <row r="2787" ht="15.75" customHeight="1">
      <c r="G2787" s="27"/>
    </row>
    <row r="2788" ht="15.75" customHeight="1">
      <c r="G2788" s="27"/>
    </row>
    <row r="2789" ht="15.75" customHeight="1">
      <c r="G2789" s="27"/>
    </row>
    <row r="2790" ht="15.75" customHeight="1">
      <c r="G2790" s="27"/>
    </row>
    <row r="2791" ht="15.75" customHeight="1">
      <c r="G2791" s="27"/>
    </row>
    <row r="2792" ht="15.75" customHeight="1">
      <c r="G2792" s="27"/>
    </row>
    <row r="2793" ht="15.75" customHeight="1">
      <c r="G2793" s="27"/>
    </row>
    <row r="2794" ht="15.75" customHeight="1">
      <c r="G2794" s="27"/>
    </row>
    <row r="2795" ht="15.75" customHeight="1">
      <c r="G2795" s="27"/>
    </row>
    <row r="2796" ht="15.75" customHeight="1">
      <c r="G2796" s="27"/>
    </row>
    <row r="2797" ht="15.75" customHeight="1">
      <c r="G2797" s="27"/>
    </row>
    <row r="2798" ht="15.75" customHeight="1">
      <c r="G2798" s="27"/>
    </row>
    <row r="2799" ht="15.75" customHeight="1">
      <c r="G2799" s="27"/>
    </row>
    <row r="2800" ht="15.75" customHeight="1">
      <c r="G2800" s="27"/>
    </row>
    <row r="2801" ht="15.75" customHeight="1">
      <c r="G2801" s="27"/>
    </row>
    <row r="2802" ht="15.75" customHeight="1">
      <c r="G2802" s="27"/>
    </row>
    <row r="2803" ht="15.75" customHeight="1">
      <c r="G2803" s="27"/>
    </row>
    <row r="2804" ht="15.75" customHeight="1">
      <c r="G2804" s="27"/>
    </row>
    <row r="2805" ht="15.75" customHeight="1">
      <c r="G2805" s="27"/>
    </row>
    <row r="2806" ht="15.75" customHeight="1">
      <c r="G2806" s="27"/>
    </row>
    <row r="2807" ht="15.75" customHeight="1">
      <c r="G2807" s="27"/>
    </row>
    <row r="2808" ht="15.75" customHeight="1">
      <c r="G2808" s="27"/>
    </row>
    <row r="2809" ht="15.75" customHeight="1">
      <c r="G2809" s="27"/>
    </row>
    <row r="2810" ht="15.75" customHeight="1">
      <c r="G2810" s="27"/>
    </row>
    <row r="2811" ht="15.75" customHeight="1">
      <c r="G2811" s="27"/>
    </row>
    <row r="2812" ht="15.75" customHeight="1">
      <c r="G2812" s="27"/>
    </row>
    <row r="2813" ht="15.75" customHeight="1">
      <c r="G2813" s="27"/>
    </row>
    <row r="2814" ht="15.75" customHeight="1">
      <c r="G2814" s="27"/>
    </row>
    <row r="2815" ht="15.75" customHeight="1">
      <c r="G2815" s="27"/>
    </row>
    <row r="2816" ht="15.75" customHeight="1">
      <c r="G2816" s="27"/>
    </row>
    <row r="2817" ht="15.75" customHeight="1">
      <c r="G2817" s="27"/>
    </row>
    <row r="2818" ht="15.75" customHeight="1">
      <c r="G2818" s="27"/>
    </row>
    <row r="2819" ht="15.75" customHeight="1">
      <c r="G2819" s="27"/>
    </row>
    <row r="2820" ht="15.75" customHeight="1">
      <c r="G2820" s="27"/>
    </row>
    <row r="2821" ht="15.75" customHeight="1">
      <c r="G2821" s="27"/>
    </row>
    <row r="2822" ht="15.75" customHeight="1">
      <c r="G2822" s="27"/>
    </row>
    <row r="2823" ht="15.75" customHeight="1">
      <c r="G2823" s="27"/>
    </row>
    <row r="2824" ht="15.75" customHeight="1">
      <c r="G2824" s="27"/>
    </row>
    <row r="2825" ht="15.75" customHeight="1">
      <c r="G2825" s="27"/>
    </row>
    <row r="2826" ht="15.75" customHeight="1">
      <c r="G2826" s="27"/>
    </row>
    <row r="2827" ht="15.75" customHeight="1">
      <c r="G2827" s="27"/>
    </row>
    <row r="2828" ht="15.75" customHeight="1">
      <c r="G2828" s="27"/>
    </row>
    <row r="2829" ht="15.75" customHeight="1">
      <c r="G2829" s="27"/>
    </row>
    <row r="2830" ht="15.75" customHeight="1">
      <c r="G2830" s="27"/>
    </row>
    <row r="2831" ht="15.75" customHeight="1">
      <c r="G2831" s="27"/>
    </row>
    <row r="2832" ht="15.75" customHeight="1">
      <c r="G2832" s="27"/>
    </row>
    <row r="2833" ht="15.75" customHeight="1">
      <c r="G2833" s="27"/>
    </row>
    <row r="2834" ht="15.75" customHeight="1">
      <c r="G2834" s="27"/>
    </row>
    <row r="2835" ht="15.75" customHeight="1">
      <c r="G2835" s="27"/>
    </row>
    <row r="2836" ht="15.75" customHeight="1">
      <c r="G2836" s="27"/>
    </row>
    <row r="2837" ht="15.75" customHeight="1">
      <c r="G2837" s="27"/>
    </row>
    <row r="2838" ht="15.75" customHeight="1">
      <c r="G2838" s="27"/>
    </row>
    <row r="2839" ht="15.75" customHeight="1">
      <c r="G2839" s="27"/>
    </row>
    <row r="2840" ht="15.75" customHeight="1">
      <c r="G2840" s="27"/>
    </row>
    <row r="2841" ht="15.75" customHeight="1">
      <c r="G2841" s="27"/>
    </row>
    <row r="2842" ht="15.75" customHeight="1">
      <c r="G2842" s="27"/>
    </row>
    <row r="2843" ht="15.75" customHeight="1">
      <c r="G2843" s="27"/>
    </row>
    <row r="2844" ht="15.75" customHeight="1">
      <c r="G2844" s="27"/>
    </row>
    <row r="2845" ht="15.75" customHeight="1">
      <c r="G2845" s="27"/>
    </row>
    <row r="2846" ht="15.75" customHeight="1">
      <c r="G2846" s="27"/>
    </row>
    <row r="2847" ht="15.75" customHeight="1">
      <c r="G2847" s="27"/>
    </row>
    <row r="2848" ht="15.75" customHeight="1">
      <c r="G2848" s="27"/>
    </row>
    <row r="2849" ht="15.75" customHeight="1">
      <c r="G2849" s="27"/>
    </row>
    <row r="2850" ht="15.75" customHeight="1">
      <c r="G2850" s="27"/>
    </row>
    <row r="2851" ht="15.75" customHeight="1">
      <c r="G2851" s="27"/>
    </row>
    <row r="2852" ht="15.75" customHeight="1">
      <c r="G2852" s="27"/>
    </row>
    <row r="2853" ht="15.75" customHeight="1">
      <c r="G2853" s="27"/>
    </row>
    <row r="2854" ht="15.75" customHeight="1">
      <c r="G2854" s="27"/>
    </row>
    <row r="2855" ht="15.75" customHeight="1">
      <c r="G2855" s="27"/>
    </row>
    <row r="2856" ht="15.75" customHeight="1">
      <c r="G2856" s="27"/>
    </row>
    <row r="2857" ht="15.75" customHeight="1">
      <c r="G2857" s="27"/>
    </row>
    <row r="2858" ht="15.75" customHeight="1">
      <c r="G2858" s="27"/>
    </row>
    <row r="2859" ht="15.75" customHeight="1">
      <c r="G2859" s="27"/>
    </row>
    <row r="2860" ht="15.75" customHeight="1">
      <c r="G2860" s="27"/>
    </row>
    <row r="2861" ht="15.75" customHeight="1">
      <c r="G2861" s="27"/>
    </row>
    <row r="2862" ht="15.75" customHeight="1">
      <c r="G2862" s="27"/>
    </row>
    <row r="2863" ht="15.75" customHeight="1">
      <c r="G2863" s="27"/>
    </row>
    <row r="2864" ht="15.75" customHeight="1">
      <c r="G2864" s="27"/>
    </row>
    <row r="2865" ht="15.75" customHeight="1">
      <c r="G2865" s="27"/>
    </row>
    <row r="2866" ht="15.75" customHeight="1">
      <c r="G2866" s="27"/>
    </row>
    <row r="2867" ht="15.75" customHeight="1">
      <c r="G2867" s="27"/>
    </row>
    <row r="2868" ht="15.75" customHeight="1">
      <c r="G2868" s="27"/>
    </row>
    <row r="2869" ht="15.75" customHeight="1">
      <c r="G2869" s="27"/>
    </row>
    <row r="2870" ht="15.75" customHeight="1">
      <c r="G2870" s="27"/>
    </row>
    <row r="2871" ht="15.75" customHeight="1">
      <c r="G2871" s="27"/>
    </row>
    <row r="2872" ht="15.75" customHeight="1">
      <c r="G2872" s="27"/>
    </row>
    <row r="2873" ht="15.75" customHeight="1">
      <c r="G2873" s="27"/>
    </row>
    <row r="2874" ht="15.75" customHeight="1">
      <c r="G2874" s="27"/>
    </row>
    <row r="2875" ht="15.75" customHeight="1">
      <c r="G2875" s="27"/>
    </row>
    <row r="2876" ht="15.75" customHeight="1">
      <c r="G2876" s="27"/>
    </row>
    <row r="2877" ht="15.75" customHeight="1">
      <c r="G2877" s="27"/>
    </row>
    <row r="2878" ht="15.75" customHeight="1">
      <c r="G2878" s="27"/>
    </row>
    <row r="2879" ht="15.75" customHeight="1">
      <c r="G2879" s="27"/>
    </row>
    <row r="2880" ht="15.75" customHeight="1">
      <c r="G2880" s="27"/>
    </row>
    <row r="2881" ht="15.75" customHeight="1">
      <c r="G2881" s="27"/>
    </row>
    <row r="2882" ht="15.75" customHeight="1">
      <c r="G2882" s="27"/>
    </row>
    <row r="2883" ht="15.75" customHeight="1">
      <c r="G2883" s="27"/>
    </row>
    <row r="2884" ht="15.75" customHeight="1">
      <c r="G2884" s="27"/>
    </row>
    <row r="2885" ht="15.75" customHeight="1">
      <c r="G2885" s="27"/>
    </row>
    <row r="2886" ht="15.75" customHeight="1">
      <c r="G2886" s="27"/>
    </row>
    <row r="2887" ht="15.75" customHeight="1">
      <c r="G2887" s="27"/>
    </row>
    <row r="2888" ht="15.75" customHeight="1">
      <c r="G2888" s="27"/>
    </row>
    <row r="2889" ht="15.75" customHeight="1">
      <c r="G2889" s="27"/>
    </row>
    <row r="2890" ht="15.75" customHeight="1">
      <c r="G2890" s="27"/>
    </row>
    <row r="2891" ht="15.75" customHeight="1">
      <c r="G2891" s="27"/>
    </row>
    <row r="2892" ht="15.75" customHeight="1">
      <c r="G2892" s="27"/>
    </row>
    <row r="2893" ht="15.75" customHeight="1">
      <c r="G2893" s="27"/>
    </row>
    <row r="2894" ht="15.75" customHeight="1">
      <c r="G2894" s="27"/>
    </row>
    <row r="2895" ht="15.75" customHeight="1">
      <c r="G2895" s="27"/>
    </row>
    <row r="2896" ht="15.75" customHeight="1">
      <c r="G2896" s="27"/>
    </row>
    <row r="2897" ht="15.75" customHeight="1">
      <c r="G2897" s="27"/>
    </row>
    <row r="2898" ht="15.75" customHeight="1">
      <c r="G2898" s="27"/>
    </row>
    <row r="2899" ht="15.75" customHeight="1">
      <c r="G2899" s="27"/>
    </row>
    <row r="2900" ht="15.75" customHeight="1">
      <c r="G2900" s="27"/>
    </row>
    <row r="2901" ht="15.75" customHeight="1">
      <c r="G2901" s="27"/>
    </row>
    <row r="2902" ht="15.75" customHeight="1">
      <c r="G2902" s="27"/>
    </row>
    <row r="2903" ht="15.75" customHeight="1">
      <c r="G2903" s="27"/>
    </row>
    <row r="2904" ht="15.75" customHeight="1">
      <c r="G2904" s="27"/>
    </row>
    <row r="2905" ht="15.75" customHeight="1">
      <c r="G2905" s="27"/>
    </row>
    <row r="2906" ht="15.75" customHeight="1">
      <c r="G2906" s="27"/>
    </row>
    <row r="2907" ht="15.75" customHeight="1">
      <c r="G2907" s="27"/>
    </row>
    <row r="2908" ht="15.75" customHeight="1">
      <c r="G2908" s="27"/>
    </row>
    <row r="2909" ht="15.75" customHeight="1">
      <c r="G2909" s="27"/>
    </row>
    <row r="2910" ht="15.75" customHeight="1">
      <c r="G2910" s="27"/>
    </row>
    <row r="2911" ht="15.75" customHeight="1">
      <c r="G2911" s="27"/>
    </row>
    <row r="2912" ht="15.75" customHeight="1">
      <c r="G2912" s="27"/>
    </row>
    <row r="2913" ht="15.75" customHeight="1">
      <c r="G2913" s="27"/>
    </row>
    <row r="2914" ht="15.75" customHeight="1">
      <c r="G2914" s="27"/>
    </row>
    <row r="2915" ht="15.75" customHeight="1">
      <c r="G2915" s="27"/>
    </row>
    <row r="2916" ht="15.75" customHeight="1">
      <c r="G2916" s="27"/>
    </row>
    <row r="2917" ht="15.75" customHeight="1">
      <c r="G2917" s="27"/>
    </row>
    <row r="2918" ht="15.75" customHeight="1">
      <c r="G2918" s="27"/>
    </row>
    <row r="2919" ht="15.75" customHeight="1">
      <c r="G2919" s="27"/>
    </row>
    <row r="2920" ht="15.75" customHeight="1">
      <c r="G2920" s="27"/>
    </row>
    <row r="2921" ht="15.75" customHeight="1">
      <c r="G2921" s="27"/>
    </row>
    <row r="2922" ht="15.75" customHeight="1">
      <c r="G2922" s="27"/>
    </row>
    <row r="2923" ht="15.75" customHeight="1">
      <c r="G2923" s="27"/>
    </row>
    <row r="2924" ht="15.75" customHeight="1">
      <c r="G2924" s="27"/>
    </row>
    <row r="2925" ht="15.75" customHeight="1">
      <c r="G2925" s="27"/>
    </row>
    <row r="2926" ht="15.75" customHeight="1">
      <c r="G2926" s="27"/>
    </row>
    <row r="2927" ht="15.75" customHeight="1">
      <c r="G2927" s="27"/>
    </row>
    <row r="2928" ht="15.75" customHeight="1">
      <c r="G2928" s="27"/>
    </row>
    <row r="2929" ht="15.75" customHeight="1">
      <c r="G2929" s="27"/>
    </row>
    <row r="2930" ht="15.75" customHeight="1">
      <c r="G2930" s="27"/>
    </row>
    <row r="2931" ht="15.75" customHeight="1">
      <c r="G2931" s="27"/>
    </row>
    <row r="2932" ht="15.75" customHeight="1">
      <c r="G2932" s="27"/>
    </row>
    <row r="2933" ht="15.75" customHeight="1">
      <c r="G2933" s="27"/>
    </row>
    <row r="2934" ht="15.75" customHeight="1">
      <c r="G2934" s="27"/>
    </row>
    <row r="2935" ht="15.75" customHeight="1">
      <c r="G2935" s="27"/>
    </row>
    <row r="2936" ht="15.75" customHeight="1">
      <c r="G2936" s="27"/>
    </row>
    <row r="2937" ht="15.75" customHeight="1">
      <c r="G2937" s="27"/>
    </row>
    <row r="2938" ht="15.75" customHeight="1">
      <c r="G2938" s="27"/>
    </row>
    <row r="2939" ht="15.75" customHeight="1">
      <c r="G2939" s="27"/>
    </row>
    <row r="2940" ht="15.75" customHeight="1">
      <c r="G2940" s="27"/>
    </row>
    <row r="2941" ht="15.75" customHeight="1">
      <c r="G2941" s="27"/>
    </row>
    <row r="2942" ht="15.75" customHeight="1">
      <c r="G2942" s="27"/>
    </row>
    <row r="2943" ht="15.75" customHeight="1">
      <c r="G2943" s="27"/>
    </row>
    <row r="2944" ht="15.75" customHeight="1">
      <c r="G2944" s="27"/>
    </row>
    <row r="2945" ht="15.75" customHeight="1">
      <c r="G2945" s="27"/>
    </row>
    <row r="2946" ht="15.75" customHeight="1">
      <c r="G2946" s="27"/>
    </row>
    <row r="2947" ht="15.75" customHeight="1">
      <c r="G2947" s="27"/>
    </row>
    <row r="2948" ht="15.75" customHeight="1">
      <c r="G2948" s="27"/>
    </row>
    <row r="2949" ht="15.75" customHeight="1">
      <c r="G2949" s="27"/>
    </row>
    <row r="2950" ht="15.75" customHeight="1">
      <c r="G2950" s="27"/>
    </row>
    <row r="2951" ht="15.75" customHeight="1">
      <c r="G2951" s="27"/>
    </row>
    <row r="2952" ht="15.75" customHeight="1">
      <c r="G2952" s="27"/>
    </row>
    <row r="2953" ht="15.75" customHeight="1">
      <c r="G2953" s="27"/>
    </row>
    <row r="2954" ht="15.75" customHeight="1">
      <c r="G2954" s="27"/>
    </row>
    <row r="2955" ht="15.75" customHeight="1">
      <c r="G2955" s="27"/>
    </row>
    <row r="2956" ht="15.75" customHeight="1">
      <c r="G2956" s="27"/>
    </row>
    <row r="2957" ht="15.75" customHeight="1">
      <c r="G2957" s="27"/>
    </row>
    <row r="2958" ht="15.75" customHeight="1">
      <c r="G2958" s="27"/>
    </row>
    <row r="2959" ht="15.75" customHeight="1">
      <c r="G2959" s="27"/>
    </row>
    <row r="2960" ht="15.75" customHeight="1">
      <c r="G2960" s="27"/>
    </row>
    <row r="2961" ht="15.75" customHeight="1">
      <c r="G2961" s="27"/>
    </row>
    <row r="2962" ht="15.75" customHeight="1">
      <c r="G2962" s="27"/>
    </row>
    <row r="2963" ht="15.75" customHeight="1">
      <c r="G2963" s="27"/>
    </row>
    <row r="2964" ht="15.75" customHeight="1">
      <c r="G2964" s="27"/>
    </row>
    <row r="2965" ht="15.75" customHeight="1">
      <c r="G2965" s="27"/>
    </row>
    <row r="2966" ht="15.75" customHeight="1">
      <c r="G2966" s="27"/>
    </row>
    <row r="2967" ht="15.75" customHeight="1">
      <c r="G2967" s="27"/>
    </row>
    <row r="2968" ht="15.75" customHeight="1">
      <c r="G2968" s="27"/>
    </row>
    <row r="2969" ht="15.75" customHeight="1">
      <c r="G2969" s="27"/>
    </row>
    <row r="2970" ht="15.75" customHeight="1">
      <c r="G2970" s="27"/>
    </row>
    <row r="2971" ht="15.75" customHeight="1">
      <c r="G2971" s="27"/>
    </row>
    <row r="2972" ht="15.75" customHeight="1">
      <c r="G2972" s="27"/>
    </row>
    <row r="2973" ht="15.75" customHeight="1">
      <c r="G2973" s="27"/>
    </row>
    <row r="2974" ht="15.75" customHeight="1">
      <c r="G2974" s="27"/>
    </row>
    <row r="2975" ht="15.75" customHeight="1">
      <c r="G2975" s="27"/>
    </row>
    <row r="2976" ht="15.75" customHeight="1">
      <c r="G2976" s="27"/>
    </row>
    <row r="2977" ht="15.75" customHeight="1">
      <c r="G2977" s="27"/>
    </row>
    <row r="2978" ht="15.75" customHeight="1">
      <c r="G2978" s="27"/>
    </row>
    <row r="2979" ht="15.75" customHeight="1">
      <c r="G2979" s="27"/>
    </row>
    <row r="2980" ht="15.75" customHeight="1">
      <c r="G2980" s="27"/>
    </row>
    <row r="2981" ht="15.75" customHeight="1">
      <c r="G2981" s="27"/>
    </row>
    <row r="2982" ht="15.75" customHeight="1">
      <c r="G2982" s="27"/>
    </row>
    <row r="2983" ht="15.75" customHeight="1">
      <c r="G2983" s="27"/>
    </row>
    <row r="2984" ht="15.75" customHeight="1">
      <c r="G2984" s="27"/>
    </row>
    <row r="2985" ht="15.75" customHeight="1">
      <c r="G2985" s="27"/>
    </row>
    <row r="2986" ht="15.75" customHeight="1">
      <c r="G2986" s="27"/>
    </row>
    <row r="2987" ht="15.75" customHeight="1">
      <c r="G2987" s="27"/>
    </row>
    <row r="2988" ht="15.75" customHeight="1">
      <c r="G2988" s="27"/>
    </row>
    <row r="2989" ht="15.75" customHeight="1">
      <c r="G2989" s="27"/>
    </row>
    <row r="2990" ht="15.75" customHeight="1">
      <c r="G2990" s="27"/>
    </row>
    <row r="2991" ht="15.75" customHeight="1">
      <c r="G2991" s="27"/>
    </row>
    <row r="2992" ht="15.75" customHeight="1">
      <c r="G2992" s="27"/>
    </row>
    <row r="2993" ht="15.75" customHeight="1">
      <c r="G2993" s="27"/>
    </row>
    <row r="2994" ht="15.75" customHeight="1">
      <c r="G2994" s="27"/>
    </row>
    <row r="2995" ht="15.75" customHeight="1">
      <c r="G2995" s="27"/>
    </row>
    <row r="2996" ht="15.75" customHeight="1">
      <c r="G2996" s="27"/>
    </row>
    <row r="2997" ht="15.75" customHeight="1">
      <c r="G2997" s="27"/>
    </row>
    <row r="2998" ht="15.75" customHeight="1">
      <c r="G2998" s="27"/>
    </row>
    <row r="2999" ht="15.75" customHeight="1">
      <c r="G2999" s="27"/>
    </row>
    <row r="3000" ht="15.75" customHeight="1">
      <c r="G3000" s="27"/>
    </row>
    <row r="3001" ht="15.75" customHeight="1">
      <c r="G3001" s="27"/>
    </row>
    <row r="3002" ht="15.75" customHeight="1">
      <c r="G3002" s="27"/>
    </row>
    <row r="3003" ht="15.75" customHeight="1">
      <c r="G3003" s="27"/>
    </row>
    <row r="3004" ht="15.75" customHeight="1">
      <c r="G3004" s="27"/>
    </row>
    <row r="3005" ht="15.75" customHeight="1">
      <c r="G3005" s="27"/>
    </row>
    <row r="3006" ht="15.75" customHeight="1">
      <c r="G3006" s="27"/>
    </row>
    <row r="3007" ht="15.75" customHeight="1">
      <c r="G3007" s="27"/>
    </row>
    <row r="3008" ht="15.75" customHeight="1">
      <c r="G3008" s="27"/>
    </row>
    <row r="3009" ht="15.75" customHeight="1">
      <c r="G3009" s="27"/>
    </row>
    <row r="3010" ht="15.75" customHeight="1">
      <c r="G3010" s="27"/>
    </row>
    <row r="3011" ht="15.75" customHeight="1">
      <c r="G3011" s="27"/>
    </row>
    <row r="3012" ht="15.75" customHeight="1">
      <c r="G3012" s="27"/>
    </row>
    <row r="3013" ht="15.75" customHeight="1">
      <c r="G3013" s="27"/>
    </row>
    <row r="3014" ht="15.75" customHeight="1">
      <c r="G3014" s="27"/>
    </row>
    <row r="3015" ht="15.75" customHeight="1">
      <c r="G3015" s="27"/>
    </row>
    <row r="3016" ht="15.75" customHeight="1">
      <c r="G3016" s="27"/>
    </row>
    <row r="3017" ht="15.75" customHeight="1">
      <c r="G3017" s="27"/>
    </row>
    <row r="3018" ht="15.75" customHeight="1">
      <c r="G3018" s="27"/>
    </row>
    <row r="3019" ht="15.75" customHeight="1">
      <c r="G3019" s="27"/>
    </row>
    <row r="3020" ht="15.75" customHeight="1">
      <c r="G3020" s="27"/>
    </row>
    <row r="3021" ht="15.75" customHeight="1">
      <c r="G3021" s="27"/>
    </row>
    <row r="3022" ht="15.75" customHeight="1">
      <c r="G3022" s="27"/>
    </row>
    <row r="3023" ht="15.75" customHeight="1">
      <c r="G3023" s="27"/>
    </row>
    <row r="3024" ht="15.75" customHeight="1">
      <c r="G3024" s="27"/>
    </row>
    <row r="3025" ht="15.75" customHeight="1">
      <c r="G3025" s="27"/>
    </row>
    <row r="3026" ht="15.75" customHeight="1">
      <c r="G3026" s="27"/>
    </row>
    <row r="3027" ht="15.75" customHeight="1">
      <c r="G3027" s="27"/>
    </row>
    <row r="3028" ht="15.75" customHeight="1">
      <c r="G3028" s="27"/>
    </row>
    <row r="3029" ht="15.75" customHeight="1">
      <c r="G3029" s="27"/>
    </row>
    <row r="3030" ht="15.75" customHeight="1">
      <c r="G3030" s="27"/>
    </row>
    <row r="3031" ht="15.75" customHeight="1">
      <c r="G3031" s="27"/>
    </row>
    <row r="3032" ht="15.75" customHeight="1">
      <c r="G3032" s="27"/>
    </row>
    <row r="3033" ht="15.75" customHeight="1">
      <c r="G3033" s="27"/>
    </row>
    <row r="3034" ht="15.75" customHeight="1">
      <c r="G3034" s="27"/>
    </row>
    <row r="3035" ht="15.75" customHeight="1">
      <c r="G3035" s="27"/>
    </row>
    <row r="3036" ht="15.75" customHeight="1">
      <c r="G3036" s="27"/>
    </row>
    <row r="3037" ht="15.75" customHeight="1">
      <c r="G3037" s="27"/>
    </row>
    <row r="3038" ht="15.75" customHeight="1">
      <c r="G3038" s="27"/>
    </row>
    <row r="3039" ht="15.75" customHeight="1">
      <c r="G3039" s="27"/>
    </row>
    <row r="3040" ht="15.75" customHeight="1">
      <c r="G3040" s="27"/>
    </row>
    <row r="3041" ht="15.75" customHeight="1">
      <c r="G3041" s="27"/>
    </row>
    <row r="3042" ht="15.75" customHeight="1">
      <c r="G3042" s="27"/>
    </row>
    <row r="3043" ht="15.75" customHeight="1">
      <c r="G3043" s="27"/>
    </row>
    <row r="3044" ht="15.75" customHeight="1">
      <c r="G3044" s="27"/>
    </row>
    <row r="3045" ht="15.75" customHeight="1">
      <c r="G3045" s="27"/>
    </row>
    <row r="3046" ht="15.75" customHeight="1">
      <c r="G3046" s="27"/>
    </row>
    <row r="3047" ht="15.75" customHeight="1">
      <c r="G3047" s="27"/>
    </row>
    <row r="3048" ht="15.75" customHeight="1">
      <c r="G3048" s="27"/>
    </row>
    <row r="3049" ht="15.75" customHeight="1">
      <c r="G3049" s="27"/>
    </row>
    <row r="3050" ht="15.75" customHeight="1">
      <c r="G3050" s="27"/>
    </row>
    <row r="3051" ht="15.75" customHeight="1">
      <c r="G3051" s="27"/>
    </row>
    <row r="3052" ht="15.75" customHeight="1">
      <c r="G3052" s="27"/>
    </row>
    <row r="3053" ht="15.75" customHeight="1">
      <c r="G3053" s="27"/>
    </row>
    <row r="3054" ht="15.75" customHeight="1">
      <c r="G3054" s="27"/>
    </row>
    <row r="3055" ht="15.75" customHeight="1">
      <c r="G3055" s="27"/>
    </row>
    <row r="3056" ht="15.75" customHeight="1">
      <c r="G3056" s="27"/>
    </row>
    <row r="3057" ht="15.75" customHeight="1">
      <c r="G3057" s="27"/>
    </row>
    <row r="3058" ht="15.75" customHeight="1">
      <c r="G3058" s="27"/>
    </row>
    <row r="3059" ht="15.75" customHeight="1">
      <c r="G3059" s="27"/>
    </row>
    <row r="3060" ht="15.75" customHeight="1">
      <c r="G3060" s="27"/>
    </row>
    <row r="3061" ht="15.75" customHeight="1">
      <c r="G3061" s="27"/>
    </row>
    <row r="3062" ht="15.75" customHeight="1">
      <c r="G3062" s="27"/>
    </row>
    <row r="3063" ht="15.75" customHeight="1">
      <c r="G3063" s="27"/>
    </row>
    <row r="3064" ht="15.75" customHeight="1">
      <c r="G3064" s="27"/>
    </row>
    <row r="3065" ht="15.75" customHeight="1">
      <c r="G3065" s="27"/>
    </row>
    <row r="3066" ht="15.75" customHeight="1">
      <c r="G3066" s="27"/>
    </row>
    <row r="3067" ht="15.75" customHeight="1">
      <c r="G3067" s="27"/>
    </row>
    <row r="3068" ht="15.75" customHeight="1">
      <c r="G3068" s="27"/>
    </row>
    <row r="3069" ht="15.75" customHeight="1">
      <c r="G3069" s="27"/>
    </row>
    <row r="3070" ht="15.75" customHeight="1">
      <c r="G3070" s="27"/>
    </row>
    <row r="3071" ht="15.75" customHeight="1">
      <c r="G3071" s="27"/>
    </row>
    <row r="3072" ht="15.75" customHeight="1">
      <c r="G3072" s="27"/>
    </row>
    <row r="3073" ht="15.75" customHeight="1">
      <c r="G3073" s="27"/>
    </row>
    <row r="3074" ht="15.75" customHeight="1">
      <c r="G3074" s="27"/>
    </row>
    <row r="3075" ht="15.75" customHeight="1">
      <c r="G3075" s="27"/>
    </row>
    <row r="3076" ht="15.75" customHeight="1">
      <c r="G3076" s="27"/>
    </row>
    <row r="3077" ht="15.75" customHeight="1">
      <c r="G3077" s="27"/>
    </row>
    <row r="3078" ht="15.75" customHeight="1">
      <c r="G3078" s="27"/>
    </row>
    <row r="3079" ht="15.75" customHeight="1">
      <c r="G3079" s="27"/>
    </row>
    <row r="3080" ht="15.75" customHeight="1">
      <c r="G3080" s="27"/>
    </row>
    <row r="3081" ht="15.75" customHeight="1">
      <c r="G3081" s="27"/>
    </row>
    <row r="3082" ht="15.75" customHeight="1">
      <c r="G3082" s="27"/>
    </row>
    <row r="3083" ht="15.75" customHeight="1">
      <c r="G3083" s="27"/>
    </row>
    <row r="3084" ht="15.75" customHeight="1">
      <c r="G3084" s="27"/>
    </row>
    <row r="3085" ht="15.75" customHeight="1">
      <c r="G3085" s="27"/>
    </row>
    <row r="3086" ht="15.75" customHeight="1">
      <c r="G3086" s="27"/>
    </row>
    <row r="3087" ht="15.75" customHeight="1">
      <c r="G3087" s="27"/>
    </row>
    <row r="3088" ht="15.75" customHeight="1">
      <c r="G3088" s="27"/>
    </row>
    <row r="3089" ht="15.75" customHeight="1">
      <c r="G3089" s="27"/>
    </row>
    <row r="3090" ht="15.75" customHeight="1">
      <c r="G3090" s="27"/>
    </row>
    <row r="3091" ht="15.75" customHeight="1">
      <c r="G3091" s="27"/>
    </row>
    <row r="3092" ht="15.75" customHeight="1">
      <c r="G3092" s="27"/>
    </row>
    <row r="3093" ht="15.75" customHeight="1">
      <c r="G3093" s="27"/>
    </row>
    <row r="3094" ht="15.75" customHeight="1">
      <c r="G3094" s="27"/>
    </row>
    <row r="3095" ht="15.75" customHeight="1">
      <c r="G3095" s="27"/>
    </row>
    <row r="3096" ht="15.75" customHeight="1">
      <c r="G3096" s="27"/>
    </row>
    <row r="3097" ht="15.75" customHeight="1">
      <c r="G3097" s="27"/>
    </row>
    <row r="3098" ht="15.75" customHeight="1">
      <c r="G3098" s="27"/>
    </row>
    <row r="3099" ht="15.75" customHeight="1">
      <c r="G3099" s="27"/>
    </row>
    <row r="3100" ht="15.75" customHeight="1">
      <c r="G3100" s="27"/>
    </row>
    <row r="3101" ht="15.75" customHeight="1">
      <c r="G3101" s="27"/>
    </row>
    <row r="3102" ht="15.75" customHeight="1">
      <c r="G3102" s="27"/>
    </row>
    <row r="3103" ht="15.75" customHeight="1">
      <c r="G3103" s="27"/>
    </row>
    <row r="3104" ht="15.75" customHeight="1">
      <c r="G3104" s="27"/>
    </row>
    <row r="3105" ht="15.75" customHeight="1">
      <c r="G3105" s="27"/>
    </row>
    <row r="3106" ht="15.75" customHeight="1">
      <c r="G3106" s="27"/>
    </row>
    <row r="3107" ht="15.75" customHeight="1">
      <c r="G3107" s="27"/>
    </row>
    <row r="3108" ht="15.75" customHeight="1">
      <c r="G3108" s="27"/>
    </row>
    <row r="3109" ht="15.75" customHeight="1">
      <c r="G3109" s="27"/>
    </row>
    <row r="3110" ht="15.75" customHeight="1">
      <c r="G3110" s="27"/>
    </row>
    <row r="3111" ht="15.75" customHeight="1">
      <c r="G3111" s="27"/>
    </row>
    <row r="3112" ht="15.75" customHeight="1">
      <c r="G3112" s="27"/>
    </row>
    <row r="3113" ht="15.75" customHeight="1">
      <c r="G3113" s="27"/>
    </row>
    <row r="3114" ht="15.75" customHeight="1">
      <c r="G3114" s="27"/>
    </row>
    <row r="3115" ht="15.75" customHeight="1">
      <c r="G3115" s="27"/>
    </row>
    <row r="3116" ht="15.75" customHeight="1">
      <c r="G3116" s="27"/>
    </row>
    <row r="3117" ht="15.75" customHeight="1">
      <c r="G3117" s="27"/>
    </row>
    <row r="3118" ht="15.75" customHeight="1">
      <c r="G3118" s="27"/>
    </row>
    <row r="3119" ht="15.75" customHeight="1">
      <c r="G3119" s="27"/>
    </row>
    <row r="3120" ht="15.75" customHeight="1">
      <c r="G3120" s="27"/>
    </row>
    <row r="3121" ht="15.75" customHeight="1">
      <c r="G3121" s="27"/>
    </row>
    <row r="3122" ht="15.75" customHeight="1">
      <c r="G3122" s="27"/>
    </row>
    <row r="3123" ht="15.75" customHeight="1">
      <c r="G3123" s="27"/>
    </row>
    <row r="3124" ht="15.75" customHeight="1">
      <c r="G3124" s="27"/>
    </row>
    <row r="3125" ht="15.75" customHeight="1">
      <c r="G3125" s="27"/>
    </row>
    <row r="3126" ht="15.75" customHeight="1">
      <c r="G3126" s="27"/>
    </row>
    <row r="3127" ht="15.75" customHeight="1">
      <c r="G3127" s="27"/>
    </row>
    <row r="3128" ht="15.75" customHeight="1">
      <c r="G3128" s="27"/>
    </row>
    <row r="3129" ht="15.75" customHeight="1">
      <c r="G3129" s="27"/>
    </row>
    <row r="3130" ht="15.75" customHeight="1">
      <c r="G3130" s="27"/>
    </row>
    <row r="3131" ht="15.75" customHeight="1">
      <c r="G3131" s="27"/>
    </row>
    <row r="3132" ht="15.75" customHeight="1">
      <c r="G3132" s="27"/>
    </row>
    <row r="3133" ht="15.75" customHeight="1">
      <c r="G3133" s="27"/>
    </row>
    <row r="3134" ht="15.75" customHeight="1">
      <c r="G3134" s="27"/>
    </row>
    <row r="3135" ht="15.75" customHeight="1">
      <c r="G3135" s="27"/>
    </row>
    <row r="3136" ht="15.75" customHeight="1">
      <c r="G3136" s="27"/>
    </row>
    <row r="3137" ht="15.75" customHeight="1">
      <c r="G3137" s="27"/>
    </row>
    <row r="3138" ht="15.75" customHeight="1">
      <c r="G3138" s="27"/>
    </row>
    <row r="3139" ht="15.75" customHeight="1">
      <c r="G3139" s="27"/>
    </row>
    <row r="3140" ht="15.75" customHeight="1">
      <c r="G3140" s="27"/>
    </row>
    <row r="3141" ht="15.75" customHeight="1">
      <c r="G3141" s="27"/>
    </row>
    <row r="3142" ht="15.75" customHeight="1">
      <c r="G3142" s="27"/>
    </row>
    <row r="3143" ht="15.75" customHeight="1">
      <c r="G3143" s="27"/>
    </row>
    <row r="3144" ht="15.75" customHeight="1">
      <c r="G3144" s="27"/>
    </row>
    <row r="3145" ht="15.75" customHeight="1">
      <c r="G3145" s="27"/>
    </row>
    <row r="3146" ht="15.75" customHeight="1">
      <c r="G3146" s="27"/>
    </row>
    <row r="3147" ht="15.75" customHeight="1">
      <c r="G3147" s="27"/>
    </row>
    <row r="3148" ht="15.75" customHeight="1">
      <c r="G3148" s="27"/>
    </row>
    <row r="3149" ht="15.75" customHeight="1">
      <c r="G3149" s="27"/>
    </row>
    <row r="3150" ht="15.75" customHeight="1">
      <c r="G3150" s="27"/>
    </row>
    <row r="3151" ht="15.75" customHeight="1">
      <c r="G3151" s="27"/>
    </row>
    <row r="3152" ht="15.75" customHeight="1">
      <c r="G3152" s="27"/>
    </row>
    <row r="3153" ht="15.75" customHeight="1">
      <c r="G3153" s="27"/>
    </row>
    <row r="3154" ht="15.75" customHeight="1">
      <c r="G3154" s="27"/>
    </row>
    <row r="3155" ht="15.75" customHeight="1">
      <c r="G3155" s="27"/>
    </row>
    <row r="3156" ht="15.75" customHeight="1">
      <c r="G3156" s="27"/>
    </row>
    <row r="3157" ht="15.75" customHeight="1">
      <c r="G3157" s="27"/>
    </row>
    <row r="3158" ht="15.75" customHeight="1">
      <c r="G3158" s="27"/>
    </row>
    <row r="3159" ht="15.75" customHeight="1">
      <c r="G3159" s="27"/>
    </row>
    <row r="3160" ht="15.75" customHeight="1">
      <c r="G3160" s="27"/>
    </row>
    <row r="3161" ht="15.75" customHeight="1">
      <c r="G3161" s="27"/>
    </row>
    <row r="3162" ht="15.75" customHeight="1">
      <c r="G3162" s="27"/>
    </row>
    <row r="3163" ht="15.75" customHeight="1">
      <c r="G3163" s="27"/>
    </row>
    <row r="3164" ht="15.75" customHeight="1">
      <c r="G3164" s="27"/>
    </row>
    <row r="3165" ht="15.75" customHeight="1">
      <c r="G3165" s="27"/>
    </row>
    <row r="3166" ht="15.75" customHeight="1">
      <c r="G3166" s="27"/>
    </row>
    <row r="3167" ht="15.75" customHeight="1">
      <c r="G3167" s="27"/>
    </row>
    <row r="3168" ht="15.75" customHeight="1">
      <c r="G3168" s="27"/>
    </row>
    <row r="3169" ht="15.75" customHeight="1">
      <c r="G3169" s="27"/>
    </row>
    <row r="3170" ht="15.75" customHeight="1">
      <c r="G3170" s="27"/>
    </row>
    <row r="3171" ht="15.75" customHeight="1">
      <c r="G3171" s="27"/>
    </row>
    <row r="3172" ht="15.75" customHeight="1">
      <c r="G3172" s="27"/>
    </row>
    <row r="3173" ht="15.75" customHeight="1">
      <c r="G3173" s="27"/>
    </row>
    <row r="3174" ht="15.75" customHeight="1">
      <c r="G3174" s="27"/>
    </row>
    <row r="3175" ht="15.75" customHeight="1">
      <c r="G3175" s="27"/>
    </row>
    <row r="3176" ht="15.75" customHeight="1">
      <c r="G3176" s="27"/>
    </row>
    <row r="3177" ht="15.75" customHeight="1">
      <c r="G3177" s="27"/>
    </row>
    <row r="3178" ht="15.75" customHeight="1">
      <c r="G3178" s="27"/>
    </row>
    <row r="3179" ht="15.75" customHeight="1">
      <c r="G3179" s="27"/>
    </row>
    <row r="3180" ht="15.75" customHeight="1">
      <c r="G3180" s="27"/>
    </row>
    <row r="3181" ht="15.75" customHeight="1">
      <c r="G3181" s="27"/>
    </row>
    <row r="3182" ht="15.75" customHeight="1">
      <c r="G3182" s="27"/>
    </row>
    <row r="3183" ht="15.75" customHeight="1">
      <c r="G3183" s="27"/>
    </row>
    <row r="3184" ht="15.75" customHeight="1">
      <c r="G3184" s="27"/>
    </row>
    <row r="3185" ht="15.75" customHeight="1">
      <c r="G3185" s="27"/>
    </row>
    <row r="3186" ht="15.75" customHeight="1">
      <c r="G3186" s="27"/>
    </row>
    <row r="3187" ht="15.75" customHeight="1">
      <c r="G3187" s="27"/>
    </row>
    <row r="3188" ht="15.75" customHeight="1">
      <c r="G3188" s="27"/>
    </row>
    <row r="3189" ht="15.75" customHeight="1">
      <c r="G3189" s="27"/>
    </row>
    <row r="3190" ht="15.75" customHeight="1">
      <c r="G3190" s="27"/>
    </row>
    <row r="3191" ht="15.75" customHeight="1">
      <c r="G3191" s="27"/>
    </row>
    <row r="3192" ht="15.75" customHeight="1">
      <c r="G3192" s="27"/>
    </row>
    <row r="3193" ht="15.75" customHeight="1">
      <c r="G3193" s="27"/>
    </row>
    <row r="3194" ht="15.75" customHeight="1">
      <c r="G3194" s="27"/>
    </row>
    <row r="3195" ht="15.75" customHeight="1">
      <c r="G3195" s="27"/>
    </row>
    <row r="3196" ht="15.75" customHeight="1">
      <c r="G3196" s="27"/>
    </row>
    <row r="3197" ht="15.75" customHeight="1">
      <c r="G3197" s="27"/>
    </row>
    <row r="3198" ht="15.75" customHeight="1">
      <c r="G3198" s="27"/>
    </row>
    <row r="3199" ht="15.75" customHeight="1">
      <c r="G3199" s="27"/>
    </row>
    <row r="3200" ht="15.75" customHeight="1">
      <c r="G3200" s="27"/>
    </row>
    <row r="3201" ht="15.75" customHeight="1">
      <c r="G3201" s="27"/>
    </row>
    <row r="3202" ht="15.75" customHeight="1">
      <c r="G3202" s="27"/>
    </row>
    <row r="3203" ht="15.75" customHeight="1">
      <c r="G3203" s="27"/>
    </row>
    <row r="3204" ht="15.75" customHeight="1">
      <c r="G3204" s="27"/>
    </row>
    <row r="3205" ht="15.75" customHeight="1">
      <c r="G3205" s="27"/>
    </row>
    <row r="3206" ht="15.75" customHeight="1">
      <c r="G3206" s="27"/>
    </row>
    <row r="3207" ht="15.75" customHeight="1">
      <c r="G3207" s="27"/>
    </row>
    <row r="3208" ht="15.75" customHeight="1">
      <c r="G3208" s="27"/>
    </row>
    <row r="3209" ht="15.75" customHeight="1">
      <c r="G3209" s="27"/>
    </row>
    <row r="3210" ht="15.75" customHeight="1">
      <c r="G3210" s="27"/>
    </row>
    <row r="3211" ht="15.75" customHeight="1">
      <c r="G3211" s="27"/>
    </row>
    <row r="3212" ht="15.75" customHeight="1">
      <c r="G3212" s="27"/>
    </row>
    <row r="3213" ht="15.75" customHeight="1">
      <c r="G3213" s="27"/>
    </row>
    <row r="3214" ht="15.75" customHeight="1">
      <c r="G3214" s="27"/>
    </row>
    <row r="3215" ht="15.75" customHeight="1">
      <c r="G3215" s="27"/>
    </row>
    <row r="3216" ht="15.75" customHeight="1">
      <c r="G3216" s="27"/>
    </row>
    <row r="3217" ht="15.75" customHeight="1">
      <c r="G3217" s="27"/>
    </row>
    <row r="3218" ht="15.75" customHeight="1">
      <c r="G3218" s="27"/>
    </row>
    <row r="3219" ht="15.75" customHeight="1">
      <c r="G3219" s="27"/>
    </row>
    <row r="3220" ht="15.75" customHeight="1">
      <c r="G3220" s="27"/>
    </row>
    <row r="3221" ht="15.75" customHeight="1">
      <c r="G3221" s="27"/>
    </row>
    <row r="3222" ht="15.75" customHeight="1">
      <c r="G3222" s="27"/>
    </row>
    <row r="3223" ht="15.75" customHeight="1">
      <c r="G3223" s="27"/>
    </row>
    <row r="3224" ht="15.75" customHeight="1">
      <c r="G3224" s="27"/>
    </row>
    <row r="3225" ht="15.75" customHeight="1">
      <c r="G3225" s="27"/>
    </row>
    <row r="3226" ht="15.75" customHeight="1">
      <c r="G3226" s="27"/>
    </row>
    <row r="3227" ht="15.75" customHeight="1">
      <c r="G3227" s="27"/>
    </row>
    <row r="3228" ht="15.75" customHeight="1">
      <c r="G3228" s="27"/>
    </row>
    <row r="3229" ht="15.75" customHeight="1">
      <c r="G3229" s="27"/>
    </row>
    <row r="3230" ht="15.75" customHeight="1">
      <c r="G3230" s="27"/>
    </row>
    <row r="3231" ht="15.75" customHeight="1">
      <c r="G3231" s="27"/>
    </row>
    <row r="3232" ht="15.75" customHeight="1">
      <c r="G3232" s="27"/>
    </row>
    <row r="3233" ht="15.75" customHeight="1">
      <c r="G3233" s="27"/>
    </row>
    <row r="3234" ht="15.75" customHeight="1">
      <c r="G3234" s="27"/>
    </row>
    <row r="3235" ht="15.75" customHeight="1">
      <c r="G3235" s="27"/>
    </row>
    <row r="3236" ht="15.75" customHeight="1">
      <c r="G3236" s="27"/>
    </row>
    <row r="3237" ht="15.75" customHeight="1">
      <c r="G3237" s="27"/>
    </row>
    <row r="3238" ht="15.75" customHeight="1">
      <c r="G3238" s="27"/>
    </row>
    <row r="3239" ht="15.75" customHeight="1">
      <c r="G3239" s="27"/>
    </row>
    <row r="3240" ht="15.75" customHeight="1">
      <c r="G3240" s="27"/>
    </row>
    <row r="3241" ht="15.75" customHeight="1">
      <c r="G3241" s="27"/>
    </row>
    <row r="3242" ht="15.75" customHeight="1">
      <c r="G3242" s="27"/>
    </row>
    <row r="3243" ht="15.75" customHeight="1">
      <c r="G3243" s="27"/>
    </row>
    <row r="3244" ht="15.75" customHeight="1">
      <c r="G3244" s="27"/>
    </row>
    <row r="3245" ht="15.75" customHeight="1">
      <c r="G3245" s="27"/>
    </row>
    <row r="3246" ht="15.75" customHeight="1">
      <c r="G3246" s="27"/>
    </row>
    <row r="3247" ht="15.75" customHeight="1">
      <c r="G3247" s="27"/>
    </row>
    <row r="3248" ht="15.75" customHeight="1">
      <c r="G3248" s="27"/>
    </row>
    <row r="3249" ht="15.75" customHeight="1">
      <c r="G3249" s="27"/>
    </row>
    <row r="3250" ht="15.75" customHeight="1">
      <c r="G3250" s="27"/>
    </row>
    <row r="3251" ht="15.75" customHeight="1">
      <c r="G3251" s="27"/>
    </row>
    <row r="3252" ht="15.75" customHeight="1">
      <c r="G3252" s="27"/>
    </row>
    <row r="3253" ht="15.75" customHeight="1">
      <c r="G3253" s="27"/>
    </row>
    <row r="3254" ht="15.75" customHeight="1">
      <c r="G3254" s="27"/>
    </row>
    <row r="3255" ht="15.75" customHeight="1">
      <c r="G3255" s="27"/>
    </row>
    <row r="3256" ht="15.75" customHeight="1">
      <c r="G3256" s="27"/>
    </row>
    <row r="3257" ht="15.75" customHeight="1">
      <c r="G3257" s="27"/>
    </row>
    <row r="3258" ht="15.75" customHeight="1">
      <c r="G3258" s="27"/>
    </row>
    <row r="3259" ht="15.75" customHeight="1">
      <c r="G3259" s="27"/>
    </row>
    <row r="3260" ht="15.75" customHeight="1">
      <c r="G3260" s="27"/>
    </row>
    <row r="3261" ht="15.75" customHeight="1">
      <c r="G3261" s="27"/>
    </row>
    <row r="3262" ht="15.75" customHeight="1">
      <c r="G3262" s="27"/>
    </row>
    <row r="3263" ht="15.75" customHeight="1">
      <c r="G3263" s="27"/>
    </row>
    <row r="3264" ht="15.75" customHeight="1">
      <c r="G3264" s="27"/>
    </row>
    <row r="3265" ht="15.75" customHeight="1">
      <c r="G3265" s="27"/>
    </row>
    <row r="3266" ht="15.75" customHeight="1">
      <c r="G3266" s="27"/>
    </row>
    <row r="3267" ht="15.75" customHeight="1">
      <c r="G3267" s="27"/>
    </row>
    <row r="3268" ht="15.75" customHeight="1">
      <c r="G3268" s="27"/>
    </row>
    <row r="3269" ht="15.75" customHeight="1">
      <c r="G3269" s="27"/>
    </row>
    <row r="3270" ht="15.75" customHeight="1">
      <c r="G3270" s="27"/>
    </row>
    <row r="3271" ht="15.75" customHeight="1">
      <c r="G3271" s="27"/>
    </row>
    <row r="3272" ht="15.75" customHeight="1">
      <c r="G3272" s="27"/>
    </row>
    <row r="3273" ht="15.75" customHeight="1">
      <c r="G3273" s="27"/>
    </row>
    <row r="3274" ht="15.75" customHeight="1">
      <c r="G3274" s="27"/>
    </row>
    <row r="3275" ht="15.75" customHeight="1">
      <c r="G3275" s="27"/>
    </row>
    <row r="3276" ht="15.75" customHeight="1">
      <c r="G3276" s="27"/>
    </row>
    <row r="3277" ht="15.75" customHeight="1">
      <c r="G3277" s="27"/>
    </row>
    <row r="3278" ht="15.75" customHeight="1">
      <c r="G3278" s="27"/>
    </row>
    <row r="3279" ht="15.75" customHeight="1">
      <c r="G3279" s="27"/>
    </row>
    <row r="3280" ht="15.75" customHeight="1">
      <c r="G3280" s="27"/>
    </row>
    <row r="3281" ht="15.75" customHeight="1">
      <c r="G3281" s="27"/>
    </row>
    <row r="3282" ht="15.75" customHeight="1">
      <c r="G3282" s="27"/>
    </row>
    <row r="3283" ht="15.75" customHeight="1">
      <c r="G3283" s="27"/>
    </row>
    <row r="3284" ht="15.75" customHeight="1">
      <c r="G3284" s="27"/>
    </row>
    <row r="3285" ht="15.75" customHeight="1">
      <c r="G3285" s="27"/>
    </row>
    <row r="3286" ht="15.75" customHeight="1">
      <c r="G3286" s="27"/>
    </row>
    <row r="3287" ht="15.75" customHeight="1">
      <c r="G3287" s="27"/>
    </row>
    <row r="3288" ht="15.75" customHeight="1">
      <c r="G3288" s="27"/>
    </row>
    <row r="3289" ht="15.75" customHeight="1">
      <c r="G3289" s="27"/>
    </row>
    <row r="3290" ht="15.75" customHeight="1">
      <c r="G3290" s="27"/>
    </row>
    <row r="3291" ht="15.75" customHeight="1">
      <c r="G3291" s="27"/>
    </row>
    <row r="3292" ht="15.75" customHeight="1">
      <c r="G3292" s="27"/>
    </row>
    <row r="3293" ht="15.75" customHeight="1">
      <c r="G3293" s="27"/>
    </row>
    <row r="3294" ht="15.75" customHeight="1">
      <c r="G3294" s="27"/>
    </row>
    <row r="3295" ht="15.75" customHeight="1">
      <c r="G3295" s="27"/>
    </row>
    <row r="3296" ht="15.75" customHeight="1">
      <c r="G3296" s="27"/>
    </row>
    <row r="3297" ht="15.75" customHeight="1">
      <c r="G3297" s="27"/>
    </row>
    <row r="3298" ht="15.75" customHeight="1">
      <c r="G3298" s="27"/>
    </row>
    <row r="3299" ht="15.75" customHeight="1">
      <c r="G3299" s="27"/>
    </row>
    <row r="3300" ht="15.75" customHeight="1">
      <c r="G3300" s="27"/>
    </row>
    <row r="3301" ht="15.75" customHeight="1">
      <c r="G3301" s="27"/>
    </row>
    <row r="3302" ht="15.75" customHeight="1">
      <c r="G3302" s="27"/>
    </row>
    <row r="3303" ht="15.75" customHeight="1">
      <c r="G3303" s="27"/>
    </row>
    <row r="3304" ht="15.75" customHeight="1">
      <c r="G3304" s="27"/>
    </row>
    <row r="3305" ht="15.75" customHeight="1">
      <c r="G3305" s="27"/>
    </row>
    <row r="3306" ht="15.75" customHeight="1">
      <c r="G3306" s="27"/>
    </row>
    <row r="3307" ht="15.75" customHeight="1">
      <c r="G3307" s="27"/>
    </row>
    <row r="3308" ht="15.75" customHeight="1">
      <c r="G3308" s="27"/>
    </row>
    <row r="3309" ht="15.75" customHeight="1">
      <c r="G3309" s="27"/>
    </row>
    <row r="3310" ht="15.75" customHeight="1">
      <c r="G3310" s="27"/>
    </row>
    <row r="3311" ht="15.75" customHeight="1">
      <c r="G3311" s="27"/>
    </row>
    <row r="3312" ht="15.75" customHeight="1">
      <c r="G3312" s="27"/>
    </row>
    <row r="3313" ht="15.75" customHeight="1">
      <c r="G3313" s="27"/>
    </row>
    <row r="3314" ht="15.75" customHeight="1">
      <c r="G3314" s="27"/>
    </row>
    <row r="3315" ht="15.75" customHeight="1">
      <c r="G3315" s="27"/>
    </row>
    <row r="3316" ht="15.75" customHeight="1">
      <c r="G3316" s="27"/>
    </row>
    <row r="3317" ht="15.75" customHeight="1">
      <c r="G3317" s="27"/>
    </row>
    <row r="3318" ht="15.75" customHeight="1">
      <c r="G3318" s="27"/>
    </row>
    <row r="3319" ht="15.75" customHeight="1">
      <c r="G3319" s="27"/>
    </row>
    <row r="3320" ht="15.75" customHeight="1">
      <c r="G3320" s="27"/>
    </row>
    <row r="3321" ht="15.75" customHeight="1">
      <c r="G3321" s="27"/>
    </row>
    <row r="3322" ht="15.75" customHeight="1">
      <c r="G3322" s="27"/>
    </row>
    <row r="3323" ht="15.75" customHeight="1">
      <c r="G3323" s="27"/>
    </row>
    <row r="3324" ht="15.75" customHeight="1">
      <c r="G3324" s="27"/>
    </row>
    <row r="3325" ht="15.75" customHeight="1">
      <c r="G3325" s="27"/>
    </row>
    <row r="3326" ht="15.75" customHeight="1">
      <c r="G3326" s="27"/>
    </row>
    <row r="3327" ht="15.75" customHeight="1">
      <c r="G3327" s="27"/>
    </row>
    <row r="3328" ht="15.75" customHeight="1">
      <c r="G3328" s="27"/>
    </row>
    <row r="3329" ht="15.75" customHeight="1">
      <c r="G3329" s="27"/>
    </row>
    <row r="3330" ht="15.75" customHeight="1">
      <c r="G3330" s="27"/>
    </row>
    <row r="3331" ht="15.75" customHeight="1">
      <c r="G3331" s="27"/>
    </row>
    <row r="3332" ht="15.75" customHeight="1">
      <c r="G3332" s="27"/>
    </row>
    <row r="3333" ht="15.75" customHeight="1">
      <c r="G3333" s="27"/>
    </row>
    <row r="3334" ht="15.75" customHeight="1">
      <c r="G3334" s="27"/>
    </row>
    <row r="3335" ht="15.75" customHeight="1">
      <c r="G3335" s="27"/>
    </row>
    <row r="3336" ht="15.75" customHeight="1">
      <c r="G3336" s="27"/>
    </row>
    <row r="3337" ht="15.75" customHeight="1">
      <c r="G3337" s="27"/>
    </row>
    <row r="3338" ht="15.75" customHeight="1">
      <c r="G3338" s="27"/>
    </row>
    <row r="3339" ht="15.75" customHeight="1">
      <c r="G3339" s="27"/>
    </row>
    <row r="3340" ht="15.75" customHeight="1">
      <c r="G3340" s="27"/>
    </row>
    <row r="3341" ht="15.75" customHeight="1">
      <c r="G3341" s="27"/>
    </row>
    <row r="3342" ht="15.75" customHeight="1">
      <c r="G3342" s="27"/>
    </row>
    <row r="3343" ht="15.75" customHeight="1">
      <c r="G3343" s="27"/>
    </row>
    <row r="3344" ht="15.75" customHeight="1">
      <c r="G3344" s="27"/>
    </row>
  </sheetData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3" t="s">
        <v>0</v>
      </c>
      <c r="B1" s="15" t="s">
        <v>51</v>
      </c>
      <c r="C1" s="15" t="s">
        <v>16</v>
      </c>
      <c r="D1" s="15" t="s">
        <v>31</v>
      </c>
      <c r="E1" s="15" t="s">
        <v>35</v>
      </c>
      <c r="F1" s="15" t="s">
        <v>38</v>
      </c>
      <c r="G1" s="15" t="s">
        <v>68</v>
      </c>
      <c r="H1" s="15" t="s">
        <v>70</v>
      </c>
      <c r="I1" s="15" t="s">
        <v>74</v>
      </c>
      <c r="J1" s="15" t="s">
        <v>53</v>
      </c>
      <c r="K1" s="21" t="s">
        <v>23</v>
      </c>
      <c r="L1" s="22" t="s">
        <v>27</v>
      </c>
      <c r="M1" s="23" t="s">
        <v>8</v>
      </c>
      <c r="N1" s="22" t="s">
        <v>49</v>
      </c>
      <c r="O1" s="24" t="s">
        <v>11</v>
      </c>
      <c r="P1" s="21" t="s">
        <v>20</v>
      </c>
    </row>
    <row r="2">
      <c r="A2" s="25" t="s">
        <v>4</v>
      </c>
      <c r="B2" s="28" t="str">
        <f t="array" ref="B2">_xlfn.XLOOKUP($A2, 'Customer Names'!$A:$A, 'Customer Names'!B:B, "No Data")</f>
        <v>Hawks</v>
      </c>
      <c r="C2" s="28">
        <f t="array" ref="C2">_xlfn.XLOOKUP($A2, 'Medical Examinations'!$A:$A, 'Medical Examinations'!B:B, "No Data")</f>
        <v>47.41</v>
      </c>
      <c r="D2" s="28">
        <f t="array" ref="D2">_xlfn.XLOOKUP($A2, 'Medical Examinations'!$A:$A, 'Medical Examinations'!C:C, "No Data")</f>
        <v>7.47</v>
      </c>
      <c r="E2" s="28" t="str">
        <f t="array" ref="E2">_xlfn.XLOOKUP($A2, 'Medical Examinations'!$A:$A, 'Medical Examinations'!D:D, "No Data")</f>
        <v>No</v>
      </c>
      <c r="F2" s="28" t="str">
        <f t="array" ref="F2">_xlfn.XLOOKUP($A2, 'Medical Examinations'!$A:$A, 'Medical Examinations'!E:E, "No Data")</f>
        <v>No</v>
      </c>
      <c r="G2" s="28" t="str">
        <f t="array" ref="G2">_xlfn.XLOOKUP($A2, 'Medical Examinations'!$A:$A, 'Medical Examinations'!F:F, "No Data")</f>
        <v>No</v>
      </c>
      <c r="H2" s="28">
        <f t="array" ref="H2">_xlfn.XLOOKUP($A2, 'Medical Examinations'!$A:$A, 'Medical Examinations'!G:G, "No Data")</f>
        <v>0</v>
      </c>
      <c r="I2" s="28" t="str">
        <f t="array" ref="I2">_xlfn.XLOOKUP($A2, 'Medical Examinations'!$A:$A, 'Medical Examinations'!H:H, "No Data")</f>
        <v>yes</v>
      </c>
      <c r="J2" s="28" t="str">
        <f t="array" ref="J2">_xlfn.XLOOKUP($A2, 'Medical Examinations'!$A:$A, 'Medical Examinations'!I:I, "No Data")</f>
        <v>Obesity</v>
      </c>
      <c r="K2" s="28" t="str">
        <f t="array" ref="K2">_xlfn.XLOOKUP($A2, 'Hospitalisation Details'!$A:$A, 'Hospitalisation Details'!I:I, "No Data")</f>
        <v>tier - 3</v>
      </c>
      <c r="L2" s="28" t="str">
        <f t="array" ref="L2">_xlfn.XLOOKUP($A2, 'Hospitalisation Details'!$A:$A, 'Hospitalisation Details'!J:J, "No Data")</f>
        <v>R1013</v>
      </c>
      <c r="M2" s="28" t="str">
        <f t="array" ref="M2">_xlfn.XLOOKUP($A2, 'Hospitalisation Details'!$A:$A, 'Hospitalisation Details'!E:E, "No Data")</f>
        <v>12/10/68</v>
      </c>
      <c r="N2" s="28">
        <f t="array" ref="N2">_xlfn.XLOOKUP($A2, 'Hospitalisation Details'!$A:$A, 'Hospitalisation Details'!K:K, "No Data")</f>
        <v>54</v>
      </c>
      <c r="O2" s="33">
        <f t="array" ref="O2">_xlfn.XLOOKUP($A2, 'Hospitalisation Details'!$A:$A, 'Hospitalisation Details'!G:G, "No Data")</f>
        <v>63770.43</v>
      </c>
      <c r="P2" s="28" t="str">
        <f t="array" ref="P2">_xlfn.XLOOKUP($A2, 'Hospitalisation Details'!$A:$A, 'Hospitalisation Details'!H:H, "No Data")</f>
        <v>tier - 1</v>
      </c>
    </row>
    <row r="3">
      <c r="A3" s="25" t="s">
        <v>14</v>
      </c>
      <c r="B3" s="28" t="str">
        <f t="array" ref="B3">_xlfn.XLOOKUP($A3, 'Customer Names'!$A:$A, 'Customer Names'!B:B, "No Data")</f>
        <v>Lehner</v>
      </c>
      <c r="C3" s="28">
        <f t="array" ref="C3">_xlfn.XLOOKUP($A3, 'Medical Examinations'!$A:$A, 'Medical Examinations'!B:B, "No Data")</f>
        <v>30.36</v>
      </c>
      <c r="D3" s="28">
        <f t="array" ref="D3">_xlfn.XLOOKUP($A3, 'Medical Examinations'!$A:$A, 'Medical Examinations'!C:C, "No Data")</f>
        <v>5.77</v>
      </c>
      <c r="E3" s="28" t="str">
        <f t="array" ref="E3">_xlfn.XLOOKUP($A3, 'Medical Examinations'!$A:$A, 'Medical Examinations'!D:D, "No Data")</f>
        <v>No</v>
      </c>
      <c r="F3" s="28" t="str">
        <f t="array" ref="F3">_xlfn.XLOOKUP($A3, 'Medical Examinations'!$A:$A, 'Medical Examinations'!E:E, "No Data")</f>
        <v>No</v>
      </c>
      <c r="G3" s="28" t="str">
        <f t="array" ref="G3">_xlfn.XLOOKUP($A3, 'Medical Examinations'!$A:$A, 'Medical Examinations'!F:F, "No Data")</f>
        <v>No</v>
      </c>
      <c r="H3" s="28">
        <f t="array" ref="H3">_xlfn.XLOOKUP($A3, 'Medical Examinations'!$A:$A, 'Medical Examinations'!G:G, "No Data")</f>
        <v>0</v>
      </c>
      <c r="I3" s="28" t="str">
        <f t="array" ref="I3">_xlfn.XLOOKUP($A3, 'Medical Examinations'!$A:$A, 'Medical Examinations'!H:H, "No Data")</f>
        <v>yes</v>
      </c>
      <c r="J3" s="28" t="str">
        <f t="array" ref="J3">_xlfn.XLOOKUP($A3, 'Medical Examinations'!$A:$A, 'Medical Examinations'!I:I, "No Data")</f>
        <v>Obesity</v>
      </c>
      <c r="K3" s="28" t="str">
        <f t="array" ref="K3">_xlfn.XLOOKUP($A3, 'Hospitalisation Details'!$A:$A, 'Hospitalisation Details'!I:I, "No Data")</f>
        <v>tier - 3</v>
      </c>
      <c r="L3" s="28" t="str">
        <f t="array" ref="L3">_xlfn.XLOOKUP($A3, 'Hospitalisation Details'!$A:$A, 'Hospitalisation Details'!J:J, "No Data")</f>
        <v>R1013</v>
      </c>
      <c r="M3" s="28" t="str">
        <f t="array" ref="M3">_xlfn.XLOOKUP($A3, 'Hospitalisation Details'!$A:$A, 'Hospitalisation Details'!E:E, "No Data")</f>
        <v>08/06/77</v>
      </c>
      <c r="N3" s="28">
        <f t="array" ref="N3">_xlfn.XLOOKUP($A3, 'Hospitalisation Details'!$A:$A, 'Hospitalisation Details'!K:K, "No Data")</f>
        <v>46</v>
      </c>
      <c r="O3" s="33">
        <f t="array" ref="O3">_xlfn.XLOOKUP($A3, 'Hospitalisation Details'!$A:$A, 'Hospitalisation Details'!G:G, "No Data")</f>
        <v>62592.87</v>
      </c>
      <c r="P3" s="28" t="str">
        <f t="array" ref="P3">_xlfn.XLOOKUP($A3, 'Hospitalisation Details'!$A:$A, 'Hospitalisation Details'!H:H, "No Data")</f>
        <v>tier - 2</v>
      </c>
    </row>
    <row r="4">
      <c r="A4" s="25" t="s">
        <v>19</v>
      </c>
      <c r="B4" s="28" t="str">
        <f t="array" ref="B4">_xlfn.XLOOKUP($A4, 'Customer Names'!$A:$A, 'Customer Names'!B:B, "No Data")</f>
        <v>Lu</v>
      </c>
      <c r="C4" s="28">
        <f t="array" ref="C4">_xlfn.XLOOKUP($A4, 'Medical Examinations'!$A:$A, 'Medical Examinations'!B:B, "No Data")</f>
        <v>34.485</v>
      </c>
      <c r="D4" s="28">
        <f t="array" ref="D4">_xlfn.XLOOKUP($A4, 'Medical Examinations'!$A:$A, 'Medical Examinations'!C:C, "No Data")</f>
        <v>11.87</v>
      </c>
      <c r="E4" s="28" t="str">
        <f t="array" ref="E4">_xlfn.XLOOKUP($A4, 'Medical Examinations'!$A:$A, 'Medical Examinations'!D:D, "No Data")</f>
        <v>yes</v>
      </c>
      <c r="F4" s="28" t="str">
        <f t="array" ref="F4">_xlfn.XLOOKUP($A4, 'Medical Examinations'!$A:$A, 'Medical Examinations'!E:E, "No Data")</f>
        <v>No</v>
      </c>
      <c r="G4" s="28" t="str">
        <f t="array" ref="G4">_xlfn.XLOOKUP($A4, 'Medical Examinations'!$A:$A, 'Medical Examinations'!F:F, "No Data")</f>
        <v>No</v>
      </c>
      <c r="H4" s="28">
        <f t="array" ref="H4">_xlfn.XLOOKUP($A4, 'Medical Examinations'!$A:$A, 'Medical Examinations'!G:G, "No Data")</f>
        <v>2</v>
      </c>
      <c r="I4" s="28" t="str">
        <f t="array" ref="I4">_xlfn.XLOOKUP($A4, 'Medical Examinations'!$A:$A, 'Medical Examinations'!H:H, "No Data")</f>
        <v>yes</v>
      </c>
      <c r="J4" s="28" t="str">
        <f t="array" ref="J4">_xlfn.XLOOKUP($A4, 'Medical Examinations'!$A:$A, 'Medical Examinations'!I:I, "No Data")</f>
        <v>Obesity</v>
      </c>
      <c r="K4" s="28" t="str">
        <f t="array" ref="K4">_xlfn.XLOOKUP($A4, 'Hospitalisation Details'!$A:$A, 'Hospitalisation Details'!I:I, "No Data")</f>
        <v>tier - 1</v>
      </c>
      <c r="L4" s="28" t="str">
        <f t="array" ref="L4">_xlfn.XLOOKUP($A4, 'Hospitalisation Details'!$A:$A, 'Hospitalisation Details'!J:J, "No Data")</f>
        <v>R1012</v>
      </c>
      <c r="M4" s="35" t="s">
        <v>724</v>
      </c>
      <c r="N4" s="28" t="str">
        <f t="array" ref="N4">_xlfn.XLOOKUP($A4, 'Hospitalisation Details'!$A:$A, 'Hospitalisation Details'!K:K, "No Data")</f>
        <v>No Data</v>
      </c>
      <c r="O4" s="33">
        <f t="array" ref="O4">_xlfn.XLOOKUP($A4, 'Hospitalisation Details'!$A:$A, 'Hospitalisation Details'!G:G, "No Data")</f>
        <v>60021.4</v>
      </c>
      <c r="P4" s="28" t="str">
        <f t="array" ref="P4">_xlfn.XLOOKUP($A4, 'Hospitalisation Details'!$A:$A, 'Hospitalisation Details'!H:H, "No Data")</f>
        <v>tier - 1</v>
      </c>
    </row>
    <row r="5">
      <c r="A5" s="25" t="s">
        <v>24</v>
      </c>
      <c r="B5" s="28" t="str">
        <f t="array" ref="B5">_xlfn.XLOOKUP($A5, 'Customer Names'!$A:$A, 'Customer Names'!B:B, "No Data")</f>
        <v>Osborne</v>
      </c>
      <c r="C5" s="28">
        <f t="array" ref="C5">_xlfn.XLOOKUP($A5, 'Medical Examinations'!$A:$A, 'Medical Examinations'!B:B, "No Data")</f>
        <v>38.095</v>
      </c>
      <c r="D5" s="28">
        <f t="array" ref="D5">_xlfn.XLOOKUP($A5, 'Medical Examinations'!$A:$A, 'Medical Examinations'!C:C, "No Data")</f>
        <v>6.05</v>
      </c>
      <c r="E5" s="28" t="str">
        <f t="array" ref="E5">_xlfn.XLOOKUP($A5, 'Medical Examinations'!$A:$A, 'Medical Examinations'!D:D, "No Data")</f>
        <v>No</v>
      </c>
      <c r="F5" s="28" t="str">
        <f t="array" ref="F5">_xlfn.XLOOKUP($A5, 'Medical Examinations'!$A:$A, 'Medical Examinations'!E:E, "No Data")</f>
        <v>No</v>
      </c>
      <c r="G5" s="28" t="str">
        <f t="array" ref="G5">_xlfn.XLOOKUP($A5, 'Medical Examinations'!$A:$A, 'Medical Examinations'!F:F, "No Data")</f>
        <v>No</v>
      </c>
      <c r="H5" s="28">
        <f t="array" ref="H5">_xlfn.XLOOKUP($A5, 'Medical Examinations'!$A:$A, 'Medical Examinations'!G:G, "No Data")</f>
        <v>0</v>
      </c>
      <c r="I5" s="28" t="str">
        <f t="array" ref="I5">_xlfn.XLOOKUP($A5, 'Medical Examinations'!$A:$A, 'Medical Examinations'!H:H, "No Data")</f>
        <v>yes</v>
      </c>
      <c r="J5" s="28" t="str">
        <f t="array" ref="J5">_xlfn.XLOOKUP($A5, 'Medical Examinations'!$A:$A, 'Medical Examinations'!I:I, "No Data")</f>
        <v>Obesity</v>
      </c>
      <c r="K5" s="28" t="str">
        <f t="array" ref="K5">_xlfn.XLOOKUP($A5, 'Hospitalisation Details'!$A:$A, 'Hospitalisation Details'!I:I, "No Data")</f>
        <v>tier - 3</v>
      </c>
      <c r="L5" s="28" t="str">
        <f t="array" ref="L5">_xlfn.XLOOKUP($A5, 'Hospitalisation Details'!$A:$A, 'Hospitalisation Details'!J:J, "No Data")</f>
        <v>R1024</v>
      </c>
      <c r="M5" s="28" t="str">
        <f t="array" ref="M5">_xlfn.XLOOKUP($A5, 'Hospitalisation Details'!$A:$A, 'Hospitalisation Details'!E:E, "No Data")</f>
        <v>06/06/91</v>
      </c>
      <c r="N5" s="28">
        <f t="array" ref="N5">_xlfn.XLOOKUP($A5, 'Hospitalisation Details'!$A:$A, 'Hospitalisation Details'!K:K, "No Data")</f>
        <v>32</v>
      </c>
      <c r="O5" s="33">
        <f t="array" ref="O5">_xlfn.XLOOKUP($A5, 'Hospitalisation Details'!$A:$A, 'Hospitalisation Details'!G:G, "No Data")</f>
        <v>58571.07</v>
      </c>
      <c r="P5" s="28" t="str">
        <f t="array" ref="P5">_xlfn.XLOOKUP($A5, 'Hospitalisation Details'!$A:$A, 'Hospitalisation Details'!H:H, "No Data")</f>
        <v>tier - 1</v>
      </c>
    </row>
    <row r="6">
      <c r="A6" s="25" t="s">
        <v>28</v>
      </c>
      <c r="B6" s="28" t="str">
        <f t="array" ref="B6">_xlfn.XLOOKUP($A6, 'Customer Names'!$A:$A, 'Customer Names'!B:B, "No Data")</f>
        <v>Kadala</v>
      </c>
      <c r="C6" s="28">
        <f t="array" ref="C6">_xlfn.XLOOKUP($A6, 'Medical Examinations'!$A:$A, 'Medical Examinations'!B:B, "No Data")</f>
        <v>35.53</v>
      </c>
      <c r="D6" s="28">
        <f t="array" ref="D6">_xlfn.XLOOKUP($A6, 'Medical Examinations'!$A:$A, 'Medical Examinations'!C:C, "No Data")</f>
        <v>5.45</v>
      </c>
      <c r="E6" s="28" t="str">
        <f t="array" ref="E6">_xlfn.XLOOKUP($A6, 'Medical Examinations'!$A:$A, 'Medical Examinations'!D:D, "No Data")</f>
        <v>No</v>
      </c>
      <c r="F6" s="28" t="str">
        <f t="array" ref="F6">_xlfn.XLOOKUP($A6, 'Medical Examinations'!$A:$A, 'Medical Examinations'!E:E, "No Data")</f>
        <v>No</v>
      </c>
      <c r="G6" s="28" t="str">
        <f t="array" ref="G6">_xlfn.XLOOKUP($A6, 'Medical Examinations'!$A:$A, 'Medical Examinations'!F:F, "No Data")</f>
        <v>No</v>
      </c>
      <c r="H6" s="28">
        <f t="array" ref="H6">_xlfn.XLOOKUP($A6, 'Medical Examinations'!$A:$A, 'Medical Examinations'!G:G, "No Data")</f>
        <v>0</v>
      </c>
      <c r="I6" s="28" t="str">
        <f t="array" ref="I6">_xlfn.XLOOKUP($A6, 'Medical Examinations'!$A:$A, 'Medical Examinations'!H:H, "No Data")</f>
        <v>yes</v>
      </c>
      <c r="J6" s="28" t="str">
        <f t="array" ref="J6">_xlfn.XLOOKUP($A6, 'Medical Examinations'!$A:$A, 'Medical Examinations'!I:I, "No Data")</f>
        <v>Obesity</v>
      </c>
      <c r="K6" s="28" t="str">
        <f t="array" ref="K6">_xlfn.XLOOKUP($A6, 'Hospitalisation Details'!$A:$A, 'Hospitalisation Details'!I:I, "No Data")</f>
        <v>tier - 2</v>
      </c>
      <c r="L6" s="28" t="str">
        <f t="array" ref="L6">_xlfn.XLOOKUP($A6, 'Hospitalisation Details'!$A:$A, 'Hospitalisation Details'!J:J, "No Data")</f>
        <v>R1012</v>
      </c>
      <c r="M6" s="28" t="str">
        <f t="array" ref="M6">_xlfn.XLOOKUP($A6, 'Hospitalisation Details'!$A:$A, 'Hospitalisation Details'!E:E, "No Data")</f>
        <v>19/06/89</v>
      </c>
      <c r="N6" s="28">
        <f t="array" ref="N6">_xlfn.XLOOKUP($A6, 'Hospitalisation Details'!$A:$A, 'Hospitalisation Details'!K:K, "No Data")</f>
        <v>33</v>
      </c>
      <c r="O6" s="33">
        <f t="array" ref="O6">_xlfn.XLOOKUP($A6, 'Hospitalisation Details'!$A:$A, 'Hospitalisation Details'!G:G, "No Data")</f>
        <v>55135.4</v>
      </c>
      <c r="P6" s="28" t="str">
        <f t="array" ref="P6">_xlfn.XLOOKUP($A6, 'Hospitalisation Details'!$A:$A, 'Hospitalisation Details'!H:H, "No Data")</f>
        <v>tier - 1</v>
      </c>
    </row>
    <row r="7">
      <c r="A7" s="25" t="s">
        <v>32</v>
      </c>
      <c r="B7" s="28" t="str">
        <f t="array" ref="B7">_xlfn.XLOOKUP($A7, 'Customer Names'!$A:$A, 'Customer Names'!B:B, "No Data")</f>
        <v>Baker</v>
      </c>
      <c r="C7" s="28">
        <f t="array" ref="C7">_xlfn.XLOOKUP($A7, 'Medical Examinations'!$A:$A, 'Medical Examinations'!B:B, "No Data")</f>
        <v>32.8</v>
      </c>
      <c r="D7" s="28">
        <f t="array" ref="D7">_xlfn.XLOOKUP($A7, 'Medical Examinations'!$A:$A, 'Medical Examinations'!C:C, "No Data")</f>
        <v>6.59</v>
      </c>
      <c r="E7" s="28" t="str">
        <f t="array" ref="E7">_xlfn.XLOOKUP($A7, 'Medical Examinations'!$A:$A, 'Medical Examinations'!D:D, "No Data")</f>
        <v>No</v>
      </c>
      <c r="F7" s="28" t="str">
        <f t="array" ref="F7">_xlfn.XLOOKUP($A7, 'Medical Examinations'!$A:$A, 'Medical Examinations'!E:E, "No Data")</f>
        <v>No</v>
      </c>
      <c r="G7" s="28" t="str">
        <f t="array" ref="G7">_xlfn.XLOOKUP($A7, 'Medical Examinations'!$A:$A, 'Medical Examinations'!F:F, "No Data")</f>
        <v>No</v>
      </c>
      <c r="H7" s="28">
        <f t="array" ref="H7">_xlfn.XLOOKUP($A7, 'Medical Examinations'!$A:$A, 'Medical Examinations'!G:G, "No Data")</f>
        <v>0</v>
      </c>
      <c r="I7" s="28" t="str">
        <f t="array" ref="I7">_xlfn.XLOOKUP($A7, 'Medical Examinations'!$A:$A, 'Medical Examinations'!H:H, "No Data")</f>
        <v>yes</v>
      </c>
      <c r="J7" s="28" t="str">
        <f t="array" ref="J7">_xlfn.XLOOKUP($A7, 'Medical Examinations'!$A:$A, 'Medical Examinations'!I:I, "No Data")</f>
        <v>Obesity</v>
      </c>
      <c r="K7" s="28" t="str">
        <f t="array" ref="K7">_xlfn.XLOOKUP($A7, 'Hospitalisation Details'!$A:$A, 'Hospitalisation Details'!I:I, "No Data")</f>
        <v>tier - 3</v>
      </c>
      <c r="L7" s="28" t="str">
        <f t="array" ref="L7">_xlfn.XLOOKUP($A7, 'Hospitalisation Details'!$A:$A, 'Hospitalisation Details'!J:J, "No Data")</f>
        <v>R1011</v>
      </c>
      <c r="M7" s="28" t="str">
        <f t="array" ref="M7">_xlfn.XLOOKUP($A7, 'Hospitalisation Details'!$A:$A, 'Hospitalisation Details'!E:E, "No Data")</f>
        <v>04/08/62</v>
      </c>
      <c r="N7" s="28">
        <f t="array" ref="N7">_xlfn.XLOOKUP($A7, 'Hospitalisation Details'!$A:$A, 'Hospitalisation Details'!K:K, "No Data")</f>
        <v>60</v>
      </c>
      <c r="O7" s="33">
        <f t="array" ref="O7">_xlfn.XLOOKUP($A7, 'Hospitalisation Details'!$A:$A, 'Hospitalisation Details'!G:G, "No Data")</f>
        <v>52590.83</v>
      </c>
      <c r="P7" s="28" t="str">
        <f t="array" ref="P7">_xlfn.XLOOKUP($A7, 'Hospitalisation Details'!$A:$A, 'Hospitalisation Details'!H:H, "No Data")</f>
        <v>tier - 1</v>
      </c>
    </row>
    <row r="8">
      <c r="A8" s="25" t="s">
        <v>36</v>
      </c>
      <c r="B8" s="28" t="str">
        <f t="array" ref="B8">_xlfn.XLOOKUP($A8, 'Customer Names'!$A:$A, 'Customer Names'!B:B, "No Data")</f>
        <v>Macpherson</v>
      </c>
      <c r="C8" s="28">
        <f t="array" ref="C8">_xlfn.XLOOKUP($A8, 'Medical Examinations'!$A:$A, 'Medical Examinations'!B:B, "No Data")</f>
        <v>36.4</v>
      </c>
      <c r="D8" s="28">
        <f t="array" ref="D8">_xlfn.XLOOKUP($A8, 'Medical Examinations'!$A:$A, 'Medical Examinations'!C:C, "No Data")</f>
        <v>6.07</v>
      </c>
      <c r="E8" s="28" t="str">
        <f t="array" ref="E8">_xlfn.XLOOKUP($A8, 'Medical Examinations'!$A:$A, 'Medical Examinations'!D:D, "No Data")</f>
        <v>No</v>
      </c>
      <c r="F8" s="28" t="str">
        <f t="array" ref="F8">_xlfn.XLOOKUP($A8, 'Medical Examinations'!$A:$A, 'Medical Examinations'!E:E, "No Data")</f>
        <v>No</v>
      </c>
      <c r="G8" s="28" t="str">
        <f t="array" ref="G8">_xlfn.XLOOKUP($A8, 'Medical Examinations'!$A:$A, 'Medical Examinations'!F:F, "No Data")</f>
        <v>No</v>
      </c>
      <c r="H8" s="28">
        <f t="array" ref="H8">_xlfn.XLOOKUP($A8, 'Medical Examinations'!$A:$A, 'Medical Examinations'!G:G, "No Data")</f>
        <v>0</v>
      </c>
      <c r="I8" s="28" t="str">
        <f t="array" ref="I8">_xlfn.XLOOKUP($A8, 'Medical Examinations'!$A:$A, 'Medical Examinations'!H:H, "No Data")</f>
        <v>yes</v>
      </c>
      <c r="J8" s="28" t="str">
        <f t="array" ref="J8">_xlfn.XLOOKUP($A8, 'Medical Examinations'!$A:$A, 'Medical Examinations'!I:I, "No Data")</f>
        <v>Obesity</v>
      </c>
      <c r="K8" s="28" t="str">
        <f t="array" ref="K8">_xlfn.XLOOKUP($A8, 'Hospitalisation Details'!$A:$A, 'Hospitalisation Details'!I:I, "No Data")</f>
        <v>tier - 3</v>
      </c>
      <c r="L8" s="28" t="str">
        <f t="array" ref="L8">_xlfn.XLOOKUP($A8, 'Hospitalisation Details'!$A:$A, 'Hospitalisation Details'!J:J, "No Data")</f>
        <v>R1011</v>
      </c>
      <c r="M8" s="28" t="str">
        <f t="array" ref="M8">_xlfn.XLOOKUP($A8, 'Hospitalisation Details'!$A:$A, 'Hospitalisation Details'!E:E, "No Data")</f>
        <v>27/10/94</v>
      </c>
      <c r="N8" s="28">
        <f t="array" ref="N8">_xlfn.XLOOKUP($A8, 'Hospitalisation Details'!$A:$A, 'Hospitalisation Details'!K:K, "No Data")</f>
        <v>28</v>
      </c>
      <c r="O8" s="33">
        <f t="array" ref="O8">_xlfn.XLOOKUP($A8, 'Hospitalisation Details'!$A:$A, 'Hospitalisation Details'!G:G, "No Data")</f>
        <v>51194.56</v>
      </c>
      <c r="P8" s="28" t="str">
        <f t="array" ref="P8">_xlfn.XLOOKUP($A8, 'Hospitalisation Details'!$A:$A, 'Hospitalisation Details'!H:H, "No Data")</f>
        <v>tier - 1</v>
      </c>
    </row>
    <row r="9">
      <c r="A9" s="25" t="s">
        <v>40</v>
      </c>
      <c r="B9" s="28" t="str">
        <f t="array" ref="B9">_xlfn.XLOOKUP($A9, 'Customer Names'!$A:$A, 'Customer Names'!B:B, "No Data")</f>
        <v>Hallman</v>
      </c>
      <c r="C9" s="28">
        <f t="array" ref="C9">_xlfn.XLOOKUP($A9, 'Medical Examinations'!$A:$A, 'Medical Examinations'!B:B, "No Data")</f>
        <v>36.96</v>
      </c>
      <c r="D9" s="28">
        <f t="array" ref="D9">_xlfn.XLOOKUP($A9, 'Medical Examinations'!$A:$A, 'Medical Examinations'!C:C, "No Data")</f>
        <v>7.93</v>
      </c>
      <c r="E9" s="28" t="str">
        <f t="array" ref="E9">_xlfn.XLOOKUP($A9, 'Medical Examinations'!$A:$A, 'Medical Examinations'!D:D, "No Data")</f>
        <v>No</v>
      </c>
      <c r="F9" s="28" t="str">
        <f t="array" ref="F9">_xlfn.XLOOKUP($A9, 'Medical Examinations'!$A:$A, 'Medical Examinations'!E:E, "No Data")</f>
        <v>No</v>
      </c>
      <c r="G9" s="28" t="str">
        <f t="array" ref="G9">_xlfn.XLOOKUP($A9, 'Medical Examinations'!$A:$A, 'Medical Examinations'!F:F, "No Data")</f>
        <v>No</v>
      </c>
      <c r="H9" s="28">
        <f t="array" ref="H9">_xlfn.XLOOKUP($A9, 'Medical Examinations'!$A:$A, 'Medical Examinations'!G:G, "No Data")</f>
        <v>3</v>
      </c>
      <c r="I9" s="28" t="str">
        <f t="array" ref="I9">_xlfn.XLOOKUP($A9, 'Medical Examinations'!$A:$A, 'Medical Examinations'!H:H, "No Data")</f>
        <v>yes</v>
      </c>
      <c r="J9" s="28" t="str">
        <f t="array" ref="J9">_xlfn.XLOOKUP($A9, 'Medical Examinations'!$A:$A, 'Medical Examinations'!I:I, "No Data")</f>
        <v>Obesity</v>
      </c>
      <c r="K9" s="28" t="str">
        <f t="array" ref="K9">_xlfn.XLOOKUP($A9, 'Hospitalisation Details'!$A:$A, 'Hospitalisation Details'!I:I, "No Data")</f>
        <v>tier - 2</v>
      </c>
      <c r="L9" s="28" t="str">
        <f t="array" ref="L9">_xlfn.XLOOKUP($A9, 'Hospitalisation Details'!$A:$A, 'Hospitalisation Details'!J:J, "No Data")</f>
        <v>R1013</v>
      </c>
      <c r="M9" s="28" t="str">
        <f t="array" ref="M9">_xlfn.XLOOKUP($A9, 'Hospitalisation Details'!$A:$A, 'Hospitalisation Details'!E:E, "No Data")</f>
        <v>27/06/58</v>
      </c>
      <c r="N9" s="28">
        <f t="array" ref="N9">_xlfn.XLOOKUP($A9, 'Hospitalisation Details'!$A:$A, 'Hospitalisation Details'!K:K, "No Data")</f>
        <v>64</v>
      </c>
      <c r="O9" s="33">
        <f t="array" ref="O9">_xlfn.XLOOKUP($A9, 'Hospitalisation Details'!$A:$A, 'Hospitalisation Details'!G:G, "No Data")</f>
        <v>49577.66</v>
      </c>
      <c r="P9" s="28" t="str">
        <f t="array" ref="P9">_xlfn.XLOOKUP($A9, 'Hospitalisation Details'!$A:$A, 'Hospitalisation Details'!H:H, "No Data")</f>
        <v>tier - 2</v>
      </c>
    </row>
    <row r="10">
      <c r="A10" s="25" t="s">
        <v>45</v>
      </c>
      <c r="B10" s="28" t="str">
        <f t="array" ref="B10">_xlfn.XLOOKUP($A10, 'Customer Names'!$A:$A, 'Customer Names'!B:B, "No Data")</f>
        <v>Moran</v>
      </c>
      <c r="C10" s="28">
        <f t="array" ref="C10">_xlfn.XLOOKUP($A10, 'Medical Examinations'!$A:$A, 'Medical Examinations'!B:B, "No Data")</f>
        <v>41.14</v>
      </c>
      <c r="D10" s="28">
        <f t="array" ref="D10">_xlfn.XLOOKUP($A10, 'Medical Examinations'!$A:$A, 'Medical Examinations'!C:C, "No Data")</f>
        <v>9.58</v>
      </c>
      <c r="E10" s="28" t="str">
        <f t="array" ref="E10">_xlfn.XLOOKUP($A10, 'Medical Examinations'!$A:$A, 'Medical Examinations'!D:D, "No Data")</f>
        <v>yes</v>
      </c>
      <c r="F10" s="28" t="str">
        <f t="array" ref="F10">_xlfn.XLOOKUP($A10, 'Medical Examinations'!$A:$A, 'Medical Examinations'!E:E, "No Data")</f>
        <v>No</v>
      </c>
      <c r="G10" s="28" t="str">
        <f t="array" ref="G10">_xlfn.XLOOKUP($A10, 'Medical Examinations'!$A:$A, 'Medical Examinations'!F:F, "No Data")</f>
        <v>Yes</v>
      </c>
      <c r="H10" s="28">
        <f t="array" ref="H10">_xlfn.XLOOKUP($A10, 'Medical Examinations'!$A:$A, 'Medical Examinations'!G:G, "No Data")</f>
        <v>1</v>
      </c>
      <c r="I10" s="28" t="str">
        <f t="array" ref="I10">_xlfn.XLOOKUP($A10, 'Medical Examinations'!$A:$A, 'Medical Examinations'!H:H, "No Data")</f>
        <v>yes</v>
      </c>
      <c r="J10" s="28" t="str">
        <f t="array" ref="J10">_xlfn.XLOOKUP($A10, 'Medical Examinations'!$A:$A, 'Medical Examinations'!I:I, "No Data")</f>
        <v>Obesity</v>
      </c>
      <c r="K10" s="28" t="str">
        <f t="array" ref="K10">_xlfn.XLOOKUP($A10, 'Hospitalisation Details'!$A:$A, 'Hospitalisation Details'!I:I, "No Data")</f>
        <v>tier - 2</v>
      </c>
      <c r="L10" s="28" t="str">
        <f t="array" ref="L10">_xlfn.XLOOKUP($A10, 'Hospitalisation Details'!$A:$A, 'Hospitalisation Details'!J:J, "No Data")</f>
        <v>R1013</v>
      </c>
      <c r="M10" s="28" t="str">
        <f t="array" ref="M10">_xlfn.XLOOKUP($A10, 'Hospitalisation Details'!$A:$A, 'Hospitalisation Details'!E:E, "No Data")</f>
        <v>04/09/63</v>
      </c>
      <c r="N10" s="28">
        <f t="array" ref="N10">_xlfn.XLOOKUP($A10, 'Hospitalisation Details'!$A:$A, 'Hospitalisation Details'!K:K, "No Data")</f>
        <v>59</v>
      </c>
      <c r="O10" s="33">
        <f t="array" ref="O10">_xlfn.XLOOKUP($A10, 'Hospitalisation Details'!$A:$A, 'Hospitalisation Details'!G:G, "No Data")</f>
        <v>48970.25</v>
      </c>
      <c r="P10" s="28" t="str">
        <f t="array" ref="P10">_xlfn.XLOOKUP($A10, 'Hospitalisation Details'!$A:$A, 'Hospitalisation Details'!H:H, "No Data")</f>
        <v>tier - 1</v>
      </c>
    </row>
    <row r="11">
      <c r="A11" s="25" t="s">
        <v>50</v>
      </c>
      <c r="B11" s="28" t="str">
        <f t="array" ref="B11">_xlfn.XLOOKUP($A11, 'Customer Names'!$A:$A, 'Customer Names'!B:B, "No Data")</f>
        <v>Benner</v>
      </c>
      <c r="C11" s="28">
        <f t="array" ref="C11">_xlfn.XLOOKUP($A11, 'Medical Examinations'!$A:$A, 'Medical Examinations'!B:B, "No Data")</f>
        <v>38.06</v>
      </c>
      <c r="D11" s="28">
        <f t="array" ref="D11">_xlfn.XLOOKUP($A11, 'Medical Examinations'!$A:$A, 'Medical Examinations'!C:C, "No Data")</f>
        <v>10.79</v>
      </c>
      <c r="E11" s="28" t="str">
        <f t="array" ref="E11">_xlfn.XLOOKUP($A11, 'Medical Examinations'!$A:$A, 'Medical Examinations'!D:D, "No Data")</f>
        <v>No</v>
      </c>
      <c r="F11" s="28" t="str">
        <f t="array" ref="F11">_xlfn.XLOOKUP($A11, 'Medical Examinations'!$A:$A, 'Medical Examinations'!E:E, "No Data")</f>
        <v>No</v>
      </c>
      <c r="G11" s="28" t="str">
        <f t="array" ref="G11">_xlfn.XLOOKUP($A11, 'Medical Examinations'!$A:$A, 'Medical Examinations'!F:F, "No Data")</f>
        <v>No</v>
      </c>
      <c r="H11" s="28">
        <f t="array" ref="H11">_xlfn.XLOOKUP($A11, 'Medical Examinations'!$A:$A, 'Medical Examinations'!G:G, "No Data")</f>
        <v>0</v>
      </c>
      <c r="I11" s="28" t="str">
        <f t="array" ref="I11">_xlfn.XLOOKUP($A11, 'Medical Examinations'!$A:$A, 'Medical Examinations'!H:H, "No Data")</f>
        <v>yes</v>
      </c>
      <c r="J11" s="28" t="str">
        <f t="array" ref="J11">_xlfn.XLOOKUP($A11, 'Medical Examinations'!$A:$A, 'Medical Examinations'!I:I, "No Data")</f>
        <v>Obesity</v>
      </c>
      <c r="K11" s="28" t="str">
        <f t="array" ref="K11">_xlfn.XLOOKUP($A11, 'Hospitalisation Details'!$A:$A, 'Hospitalisation Details'!I:I, "No Data")</f>
        <v>tier - 2</v>
      </c>
      <c r="L11" s="28" t="str">
        <f t="array" ref="L11">_xlfn.XLOOKUP($A11, 'Hospitalisation Details'!$A:$A, 'Hospitalisation Details'!J:J, "No Data")</f>
        <v>R1013</v>
      </c>
      <c r="M11" s="28" t="str">
        <f t="array" ref="M11">_xlfn.XLOOKUP($A11, 'Hospitalisation Details'!$A:$A, 'Hospitalisation Details'!E:E, "No Data")</f>
        <v>29/12/78</v>
      </c>
      <c r="N11" s="28">
        <f t="array" ref="N11">_xlfn.XLOOKUP($A11, 'Hospitalisation Details'!$A:$A, 'Hospitalisation Details'!K:K, "No Data")</f>
        <v>44</v>
      </c>
      <c r="O11" s="33">
        <f t="array" ref="O11">_xlfn.XLOOKUP($A11, 'Hospitalisation Details'!$A:$A, 'Hospitalisation Details'!G:G, "No Data")</f>
        <v>48885.14</v>
      </c>
      <c r="P11" s="28" t="str">
        <f t="array" ref="P11">_xlfn.XLOOKUP($A11, 'Hospitalisation Details'!$A:$A, 'Hospitalisation Details'!H:H, "No Data")</f>
        <v>tier - 1</v>
      </c>
    </row>
    <row r="12">
      <c r="A12" s="25" t="s">
        <v>55</v>
      </c>
      <c r="B12" s="28" t="str">
        <f t="array" ref="B12">_xlfn.XLOOKUP($A12, 'Customer Names'!$A:$A, 'Customer Names'!B:B, "No Data")</f>
        <v>Fierro Vargas</v>
      </c>
      <c r="C12" s="28">
        <f t="array" ref="C12">_xlfn.XLOOKUP($A12, 'Medical Examinations'!$A:$A, 'Medical Examinations'!B:B, "No Data")</f>
        <v>37.7</v>
      </c>
      <c r="D12" s="28">
        <f t="array" ref="D12">_xlfn.XLOOKUP($A12, 'Medical Examinations'!$A:$A, 'Medical Examinations'!C:C, "No Data")</f>
        <v>5.96</v>
      </c>
      <c r="E12" s="28" t="str">
        <f t="array" ref="E12">_xlfn.XLOOKUP($A12, 'Medical Examinations'!$A:$A, 'Medical Examinations'!D:D, "No Data")</f>
        <v>yes</v>
      </c>
      <c r="F12" s="28" t="str">
        <f t="array" ref="F12">_xlfn.XLOOKUP($A12, 'Medical Examinations'!$A:$A, 'Medical Examinations'!E:E, "No Data")</f>
        <v>No</v>
      </c>
      <c r="G12" s="28" t="str">
        <f t="array" ref="G12">_xlfn.XLOOKUP($A12, 'Medical Examinations'!$A:$A, 'Medical Examinations'!F:F, "No Data")</f>
        <v>No</v>
      </c>
      <c r="H12" s="28">
        <f t="array" ref="H12">_xlfn.XLOOKUP($A12, 'Medical Examinations'!$A:$A, 'Medical Examinations'!G:G, "No Data")</f>
        <v>2</v>
      </c>
      <c r="I12" s="28" t="str">
        <f t="array" ref="I12">_xlfn.XLOOKUP($A12, 'Medical Examinations'!$A:$A, 'Medical Examinations'!H:H, "No Data")</f>
        <v>yes</v>
      </c>
      <c r="J12" s="28" t="str">
        <f t="array" ref="J12">_xlfn.XLOOKUP($A12, 'Medical Examinations'!$A:$A, 'Medical Examinations'!I:I, "No Data")</f>
        <v>Obesity</v>
      </c>
      <c r="K12" s="28" t="str">
        <f t="array" ref="K12">_xlfn.XLOOKUP($A12, 'Hospitalisation Details'!$A:$A, 'Hospitalisation Details'!I:I, "No Data")</f>
        <v>tier - 1</v>
      </c>
      <c r="L12" s="28" t="str">
        <f t="array" ref="L12">_xlfn.XLOOKUP($A12, 'Hospitalisation Details'!$A:$A, 'Hospitalisation Details'!J:J, "No Data")</f>
        <v>R1011</v>
      </c>
      <c r="M12" s="28" t="str">
        <f t="array" ref="M12">_xlfn.XLOOKUP($A12, 'Hospitalisation Details'!$A:$A, 'Hospitalisation Details'!E:E, "No Data")</f>
        <v>22/07/59</v>
      </c>
      <c r="N12" s="28">
        <f t="array" ref="N12">_xlfn.XLOOKUP($A12, 'Hospitalisation Details'!$A:$A, 'Hospitalisation Details'!K:K, "No Data")</f>
        <v>63</v>
      </c>
      <c r="O12" s="33">
        <f t="array" ref="O12">_xlfn.XLOOKUP($A12, 'Hospitalisation Details'!$A:$A, 'Hospitalisation Details'!G:G, "No Data")</f>
        <v>48824.45</v>
      </c>
      <c r="P12" s="28" t="str">
        <f t="array" ref="P12">_xlfn.XLOOKUP($A12, 'Hospitalisation Details'!$A:$A, 'Hospitalisation Details'!H:H, "No Data")</f>
        <v>tier - 2</v>
      </c>
    </row>
    <row r="13">
      <c r="A13" s="25" t="s">
        <v>58</v>
      </c>
      <c r="B13" s="28" t="str">
        <f t="array" ref="B13">_xlfn.XLOOKUP($A13, 'Customer Names'!$A:$A, 'Customer Names'!B:B, "No Data")</f>
        <v>Franz</v>
      </c>
      <c r="C13" s="28">
        <f t="array" ref="C13">_xlfn.XLOOKUP($A13, 'Medical Examinations'!$A:$A, 'Medical Examinations'!B:B, "No Data")</f>
        <v>42.13</v>
      </c>
      <c r="D13" s="28">
        <f t="array" ref="D13">_xlfn.XLOOKUP($A13, 'Medical Examinations'!$A:$A, 'Medical Examinations'!C:C, "No Data")</f>
        <v>11.9</v>
      </c>
      <c r="E13" s="28" t="str">
        <f t="array" ref="E13">_xlfn.XLOOKUP($A13, 'Medical Examinations'!$A:$A, 'Medical Examinations'!D:D, "No Data")</f>
        <v>No</v>
      </c>
      <c r="F13" s="28" t="str">
        <f t="array" ref="F13">_xlfn.XLOOKUP($A13, 'Medical Examinations'!$A:$A, 'Medical Examinations'!E:E, "No Data")</f>
        <v>No</v>
      </c>
      <c r="G13" s="28" t="str">
        <f t="array" ref="G13">_xlfn.XLOOKUP($A13, 'Medical Examinations'!$A:$A, 'Medical Examinations'!F:F, "No Data")</f>
        <v>No</v>
      </c>
      <c r="H13" s="28">
        <f t="array" ref="H13">_xlfn.XLOOKUP($A13, 'Medical Examinations'!$A:$A, 'Medical Examinations'!G:G, "No Data")</f>
        <v>0</v>
      </c>
      <c r="I13" s="28" t="str">
        <f t="array" ref="I13">_xlfn.XLOOKUP($A13, 'Medical Examinations'!$A:$A, 'Medical Examinations'!H:H, "No Data")</f>
        <v>yes</v>
      </c>
      <c r="J13" s="28" t="str">
        <f t="array" ref="J13">_xlfn.XLOOKUP($A13, 'Medical Examinations'!$A:$A, 'Medical Examinations'!I:I, "No Data")</f>
        <v>Obesity</v>
      </c>
      <c r="K13" s="28" t="str">
        <f t="array" ref="K13">_xlfn.XLOOKUP($A13, 'Hospitalisation Details'!$A:$A, 'Hospitalisation Details'!I:I, "No Data")</f>
        <v>tier - 2</v>
      </c>
      <c r="L13" s="28" t="str">
        <f t="array" ref="L13">_xlfn.XLOOKUP($A13, 'Hospitalisation Details'!$A:$A, 'Hospitalisation Details'!J:J, "No Data")</f>
        <v>R1013</v>
      </c>
      <c r="M13" s="28" t="str">
        <f t="array" ref="M13">_xlfn.XLOOKUP($A13, 'Hospitalisation Details'!$A:$A, 'Hospitalisation Details'!E:E, "No Data")</f>
        <v>27/10/65</v>
      </c>
      <c r="N13" s="28">
        <f t="array" ref="N13">_xlfn.XLOOKUP($A13, 'Hospitalisation Details'!$A:$A, 'Hospitalisation Details'!K:K, "No Data")</f>
        <v>57</v>
      </c>
      <c r="O13" s="33">
        <f t="array" ref="O13">_xlfn.XLOOKUP($A13, 'Hospitalisation Details'!$A:$A, 'Hospitalisation Details'!G:G, "No Data")</f>
        <v>48675.52</v>
      </c>
      <c r="P13" s="28" t="str">
        <f t="array" ref="P13">_xlfn.XLOOKUP($A13, 'Hospitalisation Details'!$A:$A, 'Hospitalisation Details'!H:H, "No Data")</f>
        <v>tier - 1</v>
      </c>
    </row>
    <row r="14">
      <c r="A14" s="25" t="s">
        <v>62</v>
      </c>
      <c r="B14" s="28" t="str">
        <f t="array" ref="B14">_xlfn.XLOOKUP($A14, 'Customer Names'!$A:$A, 'Customer Names'!B:B, "No Data")</f>
        <v>Foster</v>
      </c>
      <c r="C14" s="28">
        <f t="array" ref="C14">_xlfn.XLOOKUP($A14, 'Medical Examinations'!$A:$A, 'Medical Examinations'!B:B, "No Data")</f>
        <v>40.92</v>
      </c>
      <c r="D14" s="28">
        <f t="array" ref="D14">_xlfn.XLOOKUP($A14, 'Medical Examinations'!$A:$A, 'Medical Examinations'!C:C, "No Data")</f>
        <v>8.41</v>
      </c>
      <c r="E14" s="28" t="str">
        <f t="array" ref="E14">_xlfn.XLOOKUP($A14, 'Medical Examinations'!$A:$A, 'Medical Examinations'!D:D, "No Data")</f>
        <v>No</v>
      </c>
      <c r="F14" s="28" t="str">
        <f t="array" ref="F14">_xlfn.XLOOKUP($A14, 'Medical Examinations'!$A:$A, 'Medical Examinations'!E:E, "No Data")</f>
        <v>No</v>
      </c>
      <c r="G14" s="28" t="str">
        <f t="array" ref="G14">_xlfn.XLOOKUP($A14, 'Medical Examinations'!$A:$A, 'Medical Examinations'!F:F, "No Data")</f>
        <v>No</v>
      </c>
      <c r="H14" s="28">
        <f t="array" ref="H14">_xlfn.XLOOKUP($A14, 'Medical Examinations'!$A:$A, 'Medical Examinations'!G:G, "No Data")</f>
        <v>0</v>
      </c>
      <c r="I14" s="28" t="str">
        <f t="array" ref="I14">_xlfn.XLOOKUP($A14, 'Medical Examinations'!$A:$A, 'Medical Examinations'!H:H, "No Data")</f>
        <v>yes</v>
      </c>
      <c r="J14" s="28" t="str">
        <f t="array" ref="J14">_xlfn.XLOOKUP($A14, 'Medical Examinations'!$A:$A, 'Medical Examinations'!I:I, "No Data")</f>
        <v>Obesity</v>
      </c>
      <c r="K14" s="28" t="str">
        <f t="array" ref="K14">_xlfn.XLOOKUP($A14, 'Hospitalisation Details'!$A:$A, 'Hospitalisation Details'!I:I, "No Data")</f>
        <v>tier - 2</v>
      </c>
      <c r="L14" s="28" t="str">
        <f t="array" ref="L14">_xlfn.XLOOKUP($A14, 'Hospitalisation Details'!$A:$A, 'Hospitalisation Details'!J:J, "No Data")</f>
        <v>R1013</v>
      </c>
      <c r="M14" s="28" t="str">
        <f t="array" ref="M14">_xlfn.XLOOKUP($A14, 'Hospitalisation Details'!$A:$A, 'Hospitalisation Details'!E:E, "No Data")</f>
        <v>11/10/62</v>
      </c>
      <c r="N14" s="28">
        <f t="array" ref="N14">_xlfn.XLOOKUP($A14, 'Hospitalisation Details'!$A:$A, 'Hospitalisation Details'!K:K, "No Data")</f>
        <v>60</v>
      </c>
      <c r="O14" s="33">
        <f t="array" ref="O14">_xlfn.XLOOKUP($A14, 'Hospitalisation Details'!$A:$A, 'Hospitalisation Details'!G:G, "No Data")</f>
        <v>48673.56</v>
      </c>
      <c r="P14" s="28" t="str">
        <f t="array" ref="P14">_xlfn.XLOOKUP($A14, 'Hospitalisation Details'!$A:$A, 'Hospitalisation Details'!H:H, "No Data")</f>
        <v>tier - 1</v>
      </c>
    </row>
    <row r="15">
      <c r="A15" s="25" t="s">
        <v>66</v>
      </c>
      <c r="B15" s="28" t="str">
        <f t="array" ref="B15">_xlfn.XLOOKUP($A15, 'Customer Names'!$A:$A, 'Customer Names'!B:B, "No Data")</f>
        <v>Tenorio</v>
      </c>
      <c r="C15" s="28">
        <f t="array" ref="C15">_xlfn.XLOOKUP($A15, 'Medical Examinations'!$A:$A, 'Medical Examinations'!B:B, "No Data")</f>
        <v>40.565</v>
      </c>
      <c r="D15" s="28">
        <f t="array" ref="D15">_xlfn.XLOOKUP($A15, 'Medical Examinations'!$A:$A, 'Medical Examinations'!C:C, "No Data")</f>
        <v>7.02</v>
      </c>
      <c r="E15" s="28" t="str">
        <f t="array" ref="E15">_xlfn.XLOOKUP($A15, 'Medical Examinations'!$A:$A, 'Medical Examinations'!D:D, "No Data")</f>
        <v>No</v>
      </c>
      <c r="F15" s="28" t="str">
        <f t="array" ref="F15">_xlfn.XLOOKUP($A15, 'Medical Examinations'!$A:$A, 'Medical Examinations'!E:E, "No Data")</f>
        <v>No</v>
      </c>
      <c r="G15" s="28" t="str">
        <f t="array" ref="G15">_xlfn.XLOOKUP($A15, 'Medical Examinations'!$A:$A, 'Medical Examinations'!F:F, "No Data")</f>
        <v>No</v>
      </c>
      <c r="H15" s="28">
        <f t="array" ref="H15">_xlfn.XLOOKUP($A15, 'Medical Examinations'!$A:$A, 'Medical Examinations'!G:G, "No Data")</f>
        <v>0</v>
      </c>
      <c r="I15" s="28" t="str">
        <f t="array" ref="I15">_xlfn.XLOOKUP($A15, 'Medical Examinations'!$A:$A, 'Medical Examinations'!H:H, "No Data")</f>
        <v>yes</v>
      </c>
      <c r="J15" s="28" t="str">
        <f t="array" ref="J15">_xlfn.XLOOKUP($A15, 'Medical Examinations'!$A:$A, 'Medical Examinations'!I:I, "No Data")</f>
        <v>Obesity</v>
      </c>
      <c r="K15" s="28" t="str">
        <f t="array" ref="K15">_xlfn.XLOOKUP($A15, 'Hospitalisation Details'!$A:$A, 'Hospitalisation Details'!I:I, "No Data")</f>
        <v>tier - 3</v>
      </c>
      <c r="L15" s="28" t="str">
        <f t="array" ref="L15">_xlfn.XLOOKUP($A15, 'Hospitalisation Details'!$A:$A, 'Hospitalisation Details'!J:J, "No Data")</f>
        <v>R1016</v>
      </c>
      <c r="M15" s="28" t="str">
        <f t="array" ref="M15">_xlfn.XLOOKUP($A15, 'Hospitalisation Details'!$A:$A, 'Hospitalisation Details'!E:E, "No Data")</f>
        <v>01/12/68</v>
      </c>
      <c r="N15" s="28">
        <f t="array" ref="N15">_xlfn.XLOOKUP($A15, 'Hospitalisation Details'!$A:$A, 'Hospitalisation Details'!K:K, "No Data")</f>
        <v>54</v>
      </c>
      <c r="O15" s="33">
        <f t="array" ref="O15">_xlfn.XLOOKUP($A15, 'Hospitalisation Details'!$A:$A, 'Hospitalisation Details'!G:G, "No Data")</f>
        <v>48549.18</v>
      </c>
      <c r="P15" s="28" t="str">
        <f t="array" ref="P15">_xlfn.XLOOKUP($A15, 'Hospitalisation Details'!$A:$A, 'Hospitalisation Details'!H:H, "No Data")</f>
        <v>tier - 1</v>
      </c>
    </row>
    <row r="16">
      <c r="A16" s="25" t="s">
        <v>71</v>
      </c>
      <c r="B16" s="28" t="str">
        <f t="array" ref="B16">_xlfn.XLOOKUP($A16, 'Customer Names'!$A:$A, 'Customer Names'!B:B, "No Data")</f>
        <v>Rios</v>
      </c>
      <c r="C16" s="28">
        <f t="array" ref="C16">_xlfn.XLOOKUP($A16, 'Medical Examinations'!$A:$A, 'Medical Examinations'!B:B, "No Data")</f>
        <v>36.385</v>
      </c>
      <c r="D16" s="28">
        <f t="array" ref="D16">_xlfn.XLOOKUP($A16, 'Medical Examinations'!$A:$A, 'Medical Examinations'!C:C, "No Data")</f>
        <v>7.59</v>
      </c>
      <c r="E16" s="28" t="str">
        <f t="array" ref="E16">_xlfn.XLOOKUP($A16, 'Medical Examinations'!$A:$A, 'Medical Examinations'!D:D, "No Data")</f>
        <v>yes</v>
      </c>
      <c r="F16" s="28" t="str">
        <f t="array" ref="F16">_xlfn.XLOOKUP($A16, 'Medical Examinations'!$A:$A, 'Medical Examinations'!E:E, "No Data")</f>
        <v>No</v>
      </c>
      <c r="G16" s="28" t="str">
        <f t="array" ref="G16">_xlfn.XLOOKUP($A16, 'Medical Examinations'!$A:$A, 'Medical Examinations'!F:F, "No Data")</f>
        <v>No</v>
      </c>
      <c r="H16" s="28">
        <f t="array" ref="H16">_xlfn.XLOOKUP($A16, 'Medical Examinations'!$A:$A, 'Medical Examinations'!G:G, "No Data")</f>
        <v>2</v>
      </c>
      <c r="I16" s="28" t="str">
        <f t="array" ref="I16">_xlfn.XLOOKUP($A16, 'Medical Examinations'!$A:$A, 'Medical Examinations'!H:H, "No Data")</f>
        <v>yes</v>
      </c>
      <c r="J16" s="28" t="str">
        <f t="array" ref="J16">_xlfn.XLOOKUP($A16, 'Medical Examinations'!$A:$A, 'Medical Examinations'!I:I, "No Data")</f>
        <v>Obesity</v>
      </c>
      <c r="K16" s="28" t="str">
        <f t="array" ref="K16">_xlfn.XLOOKUP($A16, 'Hospitalisation Details'!$A:$A, 'Hospitalisation Details'!I:I, "No Data")</f>
        <v>tier - 3</v>
      </c>
      <c r="L16" s="28" t="str">
        <f t="array" ref="L16">_xlfn.XLOOKUP($A16, 'Hospitalisation Details'!$A:$A, 'Hospitalisation Details'!J:J, "No Data")</f>
        <v>R1024</v>
      </c>
      <c r="M16" s="28" t="str">
        <f t="array" ref="M16">_xlfn.XLOOKUP($A16, 'Hospitalisation Details'!$A:$A, 'Hospitalisation Details'!E:E, "No Data")</f>
        <v>21/12/61</v>
      </c>
      <c r="N16" s="28">
        <f t="array" ref="N16">_xlfn.XLOOKUP($A16, 'Hospitalisation Details'!$A:$A, 'Hospitalisation Details'!K:K, "No Data")</f>
        <v>61</v>
      </c>
      <c r="O16" s="33">
        <f t="array" ref="O16">_xlfn.XLOOKUP($A16, 'Hospitalisation Details'!$A:$A, 'Hospitalisation Details'!G:G, "No Data")</f>
        <v>48517.56</v>
      </c>
      <c r="P16" s="28" t="str">
        <f t="array" ref="P16">_xlfn.XLOOKUP($A16, 'Hospitalisation Details'!$A:$A, 'Hospitalisation Details'!H:H, "No Data")</f>
        <v>tier - 1</v>
      </c>
    </row>
    <row r="17">
      <c r="A17" s="25" t="s">
        <v>76</v>
      </c>
      <c r="B17" s="28" t="str">
        <f t="array" ref="B17">_xlfn.XLOOKUP($A17, 'Customer Names'!$A:$A, 'Customer Names'!B:B, "No Data")</f>
        <v>Viau-Dupuis</v>
      </c>
      <c r="C17" s="28">
        <f t="array" ref="C17">_xlfn.XLOOKUP($A17, 'Medical Examinations'!$A:$A, 'Medical Examinations'!B:B, "No Data")</f>
        <v>39.9</v>
      </c>
      <c r="D17" s="28">
        <f t="array" ref="D17">_xlfn.XLOOKUP($A17, 'Medical Examinations'!$A:$A, 'Medical Examinations'!C:C, "No Data")</f>
        <v>11.32</v>
      </c>
      <c r="E17" s="28" t="str">
        <f t="array" ref="E17">_xlfn.XLOOKUP($A17, 'Medical Examinations'!$A:$A, 'Medical Examinations'!D:D, "No Data")</f>
        <v>No</v>
      </c>
      <c r="F17" s="28" t="str">
        <f t="array" ref="F17">_xlfn.XLOOKUP($A17, 'Medical Examinations'!$A:$A, 'Medical Examinations'!E:E, "No Data")</f>
        <v>No</v>
      </c>
      <c r="G17" s="28" t="str">
        <f t="array" ref="G17">_xlfn.XLOOKUP($A17, 'Medical Examinations'!$A:$A, 'Medical Examinations'!F:F, "No Data")</f>
        <v>No</v>
      </c>
      <c r="H17" s="28">
        <f t="array" ref="H17">_xlfn.XLOOKUP($A17, 'Medical Examinations'!$A:$A, 'Medical Examinations'!G:G, "No Data")</f>
        <v>0</v>
      </c>
      <c r="I17" s="28" t="str">
        <f t="array" ref="I17">_xlfn.XLOOKUP($A17, 'Medical Examinations'!$A:$A, 'Medical Examinations'!H:H, "No Data")</f>
        <v>yes</v>
      </c>
      <c r="J17" s="28" t="str">
        <f t="array" ref="J17">_xlfn.XLOOKUP($A17, 'Medical Examinations'!$A:$A, 'Medical Examinations'!I:I, "No Data")</f>
        <v>Obesity</v>
      </c>
      <c r="K17" s="28" t="str">
        <f t="array" ref="K17">_xlfn.XLOOKUP($A17, 'Hospitalisation Details'!$A:$A, 'Hospitalisation Details'!I:I, "No Data")</f>
        <v>tier - 3</v>
      </c>
      <c r="L17" s="28" t="str">
        <f t="array" ref="L17">_xlfn.XLOOKUP($A17, 'Hospitalisation Details'!$A:$A, 'Hospitalisation Details'!J:J, "No Data")</f>
        <v>R1011</v>
      </c>
      <c r="M17" s="28" t="str">
        <f t="array" ref="M17">_xlfn.XLOOKUP($A17, 'Hospitalisation Details'!$A:$A, 'Hospitalisation Details'!E:E, "No Data")</f>
        <v>27/08/62</v>
      </c>
      <c r="N17" s="28">
        <f t="array" ref="N17">_xlfn.XLOOKUP($A17, 'Hospitalisation Details'!$A:$A, 'Hospitalisation Details'!K:K, "No Data")</f>
        <v>60</v>
      </c>
      <c r="O17" s="33">
        <f t="array" ref="O17">_xlfn.XLOOKUP($A17, 'Hospitalisation Details'!$A:$A, 'Hospitalisation Details'!G:G, "No Data")</f>
        <v>48173.36</v>
      </c>
      <c r="P17" s="28" t="str">
        <f t="array" ref="P17">_xlfn.XLOOKUP($A17, 'Hospitalisation Details'!$A:$A, 'Hospitalisation Details'!H:H, "No Data")</f>
        <v>tier - 1</v>
      </c>
    </row>
    <row r="18">
      <c r="A18" s="25" t="s">
        <v>79</v>
      </c>
      <c r="B18" s="28" t="str">
        <f t="array" ref="B18">_xlfn.XLOOKUP($A18, 'Customer Names'!$A:$A, 'Customer Names'!B:B, "No Data")</f>
        <v>Cronin</v>
      </c>
      <c r="C18" s="28">
        <f t="array" ref="C18">_xlfn.XLOOKUP($A18, 'Medical Examinations'!$A:$A, 'Medical Examinations'!B:B, "No Data")</f>
        <v>33.8</v>
      </c>
      <c r="D18" s="28">
        <f t="array" ref="D18">_xlfn.XLOOKUP($A18, 'Medical Examinations'!$A:$A, 'Medical Examinations'!C:C, "No Data")</f>
        <v>7.67</v>
      </c>
      <c r="E18" s="28" t="str">
        <f t="array" ref="E18">_xlfn.XLOOKUP($A18, 'Medical Examinations'!$A:$A, 'Medical Examinations'!D:D, "No Data")</f>
        <v>No</v>
      </c>
      <c r="F18" s="28" t="str">
        <f t="array" ref="F18">_xlfn.XLOOKUP($A18, 'Medical Examinations'!$A:$A, 'Medical Examinations'!E:E, "No Data")</f>
        <v>No</v>
      </c>
      <c r="G18" s="28" t="str">
        <f t="array" ref="G18">_xlfn.XLOOKUP($A18, 'Medical Examinations'!$A:$A, 'Medical Examinations'!F:F, "No Data")</f>
        <v>No</v>
      </c>
      <c r="H18" s="28">
        <f t="array" ref="H18">_xlfn.XLOOKUP($A18, 'Medical Examinations'!$A:$A, 'Medical Examinations'!G:G, "No Data")</f>
        <v>3</v>
      </c>
      <c r="I18" s="28" t="str">
        <f t="array" ref="I18">_xlfn.XLOOKUP($A18, 'Medical Examinations'!$A:$A, 'Medical Examinations'!H:H, "No Data")</f>
        <v>yes</v>
      </c>
      <c r="J18" s="28" t="str">
        <f t="array" ref="J18">_xlfn.XLOOKUP($A18, 'Medical Examinations'!$A:$A, 'Medical Examinations'!I:I, "No Data")</f>
        <v>Obesity</v>
      </c>
      <c r="K18" s="28" t="str">
        <f t="array" ref="K18">_xlfn.XLOOKUP($A18, 'Hospitalisation Details'!$A:$A, 'Hospitalisation Details'!I:I, "No Data")</f>
        <v>tier - 3</v>
      </c>
      <c r="L18" s="28" t="str">
        <f t="array" ref="L18">_xlfn.XLOOKUP($A18, 'Hospitalisation Details'!$A:$A, 'Hospitalisation Details'!J:J, "No Data")</f>
        <v>R1011</v>
      </c>
      <c r="M18" s="28" t="str">
        <f t="array" ref="M18">_xlfn.XLOOKUP($A18, 'Hospitalisation Details'!$A:$A, 'Hospitalisation Details'!E:E, "No Data")</f>
        <v>16/11/58</v>
      </c>
      <c r="N18" s="28">
        <f t="array" ref="N18">_xlfn.XLOOKUP($A18, 'Hospitalisation Details'!$A:$A, 'Hospitalisation Details'!K:K, "No Data")</f>
        <v>64</v>
      </c>
      <c r="O18" s="33">
        <f t="array" ref="O18">_xlfn.XLOOKUP($A18, 'Hospitalisation Details'!$A:$A, 'Hospitalisation Details'!G:G, "No Data")</f>
        <v>47928.03</v>
      </c>
      <c r="P18" s="28" t="str">
        <f t="array" ref="P18">_xlfn.XLOOKUP($A18, 'Hospitalisation Details'!$A:$A, 'Hospitalisation Details'!H:H, "No Data")</f>
        <v>tier - 2</v>
      </c>
    </row>
    <row r="19">
      <c r="A19" s="25" t="s">
        <v>83</v>
      </c>
      <c r="B19" s="28" t="str">
        <f t="array" ref="B19">_xlfn.XLOOKUP($A19, 'Customer Names'!$A:$A, 'Customer Names'!B:B, "No Data")</f>
        <v>Noordstar</v>
      </c>
      <c r="C19" s="28">
        <f t="array" ref="C19">_xlfn.XLOOKUP($A19, 'Medical Examinations'!$A:$A, 'Medical Examinations'!B:B, "No Data")</f>
        <v>36.765</v>
      </c>
      <c r="D19" s="28">
        <f t="array" ref="D19">_xlfn.XLOOKUP($A19, 'Medical Examinations'!$A:$A, 'Medical Examinations'!C:C, "No Data")</f>
        <v>7.29</v>
      </c>
      <c r="E19" s="28" t="str">
        <f t="array" ref="E19">_xlfn.XLOOKUP($A19, 'Medical Examinations'!$A:$A, 'Medical Examinations'!D:D, "No Data")</f>
        <v>yes</v>
      </c>
      <c r="F19" s="28" t="str">
        <f t="array" ref="F19">_xlfn.XLOOKUP($A19, 'Medical Examinations'!$A:$A, 'Medical Examinations'!E:E, "No Data")</f>
        <v>No</v>
      </c>
      <c r="G19" s="28" t="str">
        <f t="array" ref="G19">_xlfn.XLOOKUP($A19, 'Medical Examinations'!$A:$A, 'Medical Examinations'!F:F, "No Data")</f>
        <v>Yes</v>
      </c>
      <c r="H19" s="28">
        <f t="array" ref="H19">_xlfn.XLOOKUP($A19, 'Medical Examinations'!$A:$A, 'Medical Examinations'!G:G, "No Data")</f>
        <v>1</v>
      </c>
      <c r="I19" s="28" t="str">
        <f t="array" ref="I19">_xlfn.XLOOKUP($A19, 'Medical Examinations'!$A:$A, 'Medical Examinations'!H:H, "No Data")</f>
        <v>yes</v>
      </c>
      <c r="J19" s="28" t="str">
        <f t="array" ref="J19">_xlfn.XLOOKUP($A19, 'Medical Examinations'!$A:$A, 'Medical Examinations'!I:I, "No Data")</f>
        <v>Obesity</v>
      </c>
      <c r="K19" s="28" t="str">
        <f t="array" ref="K19">_xlfn.XLOOKUP($A19, 'Hospitalisation Details'!$A:$A, 'Hospitalisation Details'!I:I, "No Data")</f>
        <v>tier - 3</v>
      </c>
      <c r="L19" s="28" t="str">
        <f t="array" ref="L19">_xlfn.XLOOKUP($A19, 'Hospitalisation Details'!$A:$A, 'Hospitalisation Details'!J:J, "No Data")</f>
        <v>R1024</v>
      </c>
      <c r="M19" s="28" t="str">
        <f t="array" ref="M19">_xlfn.XLOOKUP($A19, 'Hospitalisation Details'!$A:$A, 'Hospitalisation Details'!E:E, "No Data")</f>
        <v>05/08/63</v>
      </c>
      <c r="N19" s="28">
        <f t="array" ref="N19">_xlfn.XLOOKUP($A19, 'Hospitalisation Details'!$A:$A, 'Hospitalisation Details'!K:K, "No Data")</f>
        <v>59</v>
      </c>
      <c r="O19" s="33">
        <f t="array" ref="O19">_xlfn.XLOOKUP($A19, 'Hospitalisation Details'!$A:$A, 'Hospitalisation Details'!G:G, "No Data")</f>
        <v>47896.79</v>
      </c>
      <c r="P19" s="28" t="str">
        <f t="array" ref="P19">_xlfn.XLOOKUP($A19, 'Hospitalisation Details'!$A:$A, 'Hospitalisation Details'!H:H, "No Data")</f>
        <v>tier - 1</v>
      </c>
    </row>
    <row r="20">
      <c r="A20" s="25" t="s">
        <v>87</v>
      </c>
      <c r="B20" s="28" t="str">
        <f t="array" ref="B20">_xlfn.XLOOKUP($A20, 'Customer Names'!$A:$A, 'Customer Names'!B:B, "No Data")</f>
        <v>Boudalia</v>
      </c>
      <c r="C20" s="28">
        <f t="array" ref="C20">_xlfn.XLOOKUP($A20, 'Medical Examinations'!$A:$A, 'Medical Examinations'!B:B, "No Data")</f>
        <v>36.955</v>
      </c>
      <c r="D20" s="28">
        <f t="array" ref="D20">_xlfn.XLOOKUP($A20, 'Medical Examinations'!$A:$A, 'Medical Examinations'!C:C, "No Data")</f>
        <v>4.72</v>
      </c>
      <c r="E20" s="28" t="str">
        <f t="array" ref="E20">_xlfn.XLOOKUP($A20, 'Medical Examinations'!$A:$A, 'Medical Examinations'!D:D, "No Data")</f>
        <v>yes</v>
      </c>
      <c r="F20" s="28" t="str">
        <f t="array" ref="F20">_xlfn.XLOOKUP($A20, 'Medical Examinations'!$A:$A, 'Medical Examinations'!E:E, "No Data")</f>
        <v>No</v>
      </c>
      <c r="G20" s="28" t="str">
        <f t="array" ref="G20">_xlfn.XLOOKUP($A20, 'Medical Examinations'!$A:$A, 'Medical Examinations'!F:F, "No Data")</f>
        <v>No</v>
      </c>
      <c r="H20" s="28">
        <f t="array" ref="H20">_xlfn.XLOOKUP($A20, 'Medical Examinations'!$A:$A, 'Medical Examinations'!G:G, "No Data")</f>
        <v>1</v>
      </c>
      <c r="I20" s="28" t="str">
        <f t="array" ref="I20">_xlfn.XLOOKUP($A20, 'Medical Examinations'!$A:$A, 'Medical Examinations'!H:H, "No Data")</f>
        <v>yes</v>
      </c>
      <c r="J20" s="28" t="str">
        <f t="array" ref="J20">_xlfn.XLOOKUP($A20, 'Medical Examinations'!$A:$A, 'Medical Examinations'!I:I, "No Data")</f>
        <v>Obesity</v>
      </c>
      <c r="K20" s="28" t="str">
        <f t="array" ref="K20">_xlfn.XLOOKUP($A20, 'Hospitalisation Details'!$A:$A, 'Hospitalisation Details'!I:I, "No Data")</f>
        <v>tier - 3</v>
      </c>
      <c r="L20" s="28" t="str">
        <f t="array" ref="L20">_xlfn.XLOOKUP($A20, 'Hospitalisation Details'!$A:$A, 'Hospitalisation Details'!J:J, "No Data")</f>
        <v>R1012</v>
      </c>
      <c r="M20" s="28" t="str">
        <f t="array" ref="M20">_xlfn.XLOOKUP($A20, 'Hospitalisation Details'!$A:$A, 'Hospitalisation Details'!E:E, "No Data")</f>
        <v>07/11/64</v>
      </c>
      <c r="N20" s="28">
        <f t="array" ref="N20">_xlfn.XLOOKUP($A20, 'Hospitalisation Details'!$A:$A, 'Hospitalisation Details'!K:K, "No Data")</f>
        <v>58</v>
      </c>
      <c r="O20" s="33">
        <f t="array" ref="O20">_xlfn.XLOOKUP($A20, 'Hospitalisation Details'!$A:$A, 'Hospitalisation Details'!G:G, "No Data")</f>
        <v>47496.49</v>
      </c>
      <c r="P20" s="28" t="str">
        <f t="array" ref="P20">_xlfn.XLOOKUP($A20, 'Hospitalisation Details'!$A:$A, 'Hospitalisation Details'!H:H, "No Data")</f>
        <v>tier - 1</v>
      </c>
    </row>
    <row r="21">
      <c r="A21" s="25" t="s">
        <v>90</v>
      </c>
      <c r="B21" s="28" t="str">
        <f t="array" ref="B21">_xlfn.XLOOKUP($A21, 'Customer Names'!$A:$A, 'Customer Names'!B:B, "No Data")</f>
        <v>Flor</v>
      </c>
      <c r="C21" s="28">
        <f t="array" ref="C21">_xlfn.XLOOKUP($A21, 'Medical Examinations'!$A:$A, 'Medical Examinations'!B:B, "No Data")</f>
        <v>42.9</v>
      </c>
      <c r="D21" s="28">
        <f t="array" ref="D21">_xlfn.XLOOKUP($A21, 'Medical Examinations'!$A:$A, 'Medical Examinations'!C:C, "No Data")</f>
        <v>11.41</v>
      </c>
      <c r="E21" s="28" t="str">
        <f t="array" ref="E21">_xlfn.XLOOKUP($A21, 'Medical Examinations'!$A:$A, 'Medical Examinations'!D:D, "No Data")</f>
        <v>No</v>
      </c>
      <c r="F21" s="28" t="str">
        <f t="array" ref="F21">_xlfn.XLOOKUP($A21, 'Medical Examinations'!$A:$A, 'Medical Examinations'!E:E, "No Data")</f>
        <v>No</v>
      </c>
      <c r="G21" s="28" t="str">
        <f t="array" ref="G21">_xlfn.XLOOKUP($A21, 'Medical Examinations'!$A:$A, 'Medical Examinations'!F:F, "No Data")</f>
        <v>No</v>
      </c>
      <c r="H21" s="28">
        <f t="array" ref="H21">_xlfn.XLOOKUP($A21, 'Medical Examinations'!$A:$A, 'Medical Examinations'!G:G, "No Data")</f>
        <v>0</v>
      </c>
      <c r="I21" s="28" t="str">
        <f t="array" ref="I21">_xlfn.XLOOKUP($A21, 'Medical Examinations'!$A:$A, 'Medical Examinations'!H:H, "No Data")</f>
        <v>yes</v>
      </c>
      <c r="J21" s="28" t="str">
        <f t="array" ref="J21">_xlfn.XLOOKUP($A21, 'Medical Examinations'!$A:$A, 'Medical Examinations'!I:I, "No Data")</f>
        <v>Obesity</v>
      </c>
      <c r="K21" s="28" t="str">
        <f t="array" ref="K21">_xlfn.XLOOKUP($A21, 'Hospitalisation Details'!$A:$A, 'Hospitalisation Details'!I:I, "No Data")</f>
        <v>tier - 2</v>
      </c>
      <c r="L21" s="28" t="str">
        <f t="array" ref="L21">_xlfn.XLOOKUP($A21, 'Hospitalisation Details'!$A:$A, 'Hospitalisation Details'!J:J, "No Data")</f>
        <v>R1013</v>
      </c>
      <c r="M21" s="28" t="str">
        <f t="array" ref="M21">_xlfn.XLOOKUP($A21, 'Hospitalisation Details'!$A:$A, 'Hospitalisation Details'!E:E, "No Data")</f>
        <v>27/09/71</v>
      </c>
      <c r="N21" s="28">
        <f t="array" ref="N21">_xlfn.XLOOKUP($A21, 'Hospitalisation Details'!$A:$A, 'Hospitalisation Details'!K:K, "No Data")</f>
        <v>51</v>
      </c>
      <c r="O21" s="33">
        <f t="array" ref="O21">_xlfn.XLOOKUP($A21, 'Hospitalisation Details'!$A:$A, 'Hospitalisation Details'!G:G, "No Data")</f>
        <v>47462.89</v>
      </c>
      <c r="P21" s="28" t="str">
        <f t="array" ref="P21">_xlfn.XLOOKUP($A21, 'Hospitalisation Details'!$A:$A, 'Hospitalisation Details'!H:H, "No Data")</f>
        <v>tier - 1</v>
      </c>
    </row>
    <row r="22">
      <c r="A22" s="25" t="s">
        <v>94</v>
      </c>
      <c r="B22" s="28" t="str">
        <f t="array" ref="B22">_xlfn.XLOOKUP($A22, 'Customer Names'!$A:$A, 'Customer Names'!B:B, "No Data")</f>
        <v>Fennon</v>
      </c>
      <c r="C22" s="28">
        <f t="array" ref="C22">_xlfn.XLOOKUP($A22, 'Medical Examinations'!$A:$A, 'Medical Examinations'!B:B, "No Data")</f>
        <v>36.3</v>
      </c>
      <c r="D22" s="28">
        <f t="array" ref="D22">_xlfn.XLOOKUP($A22, 'Medical Examinations'!$A:$A, 'Medical Examinations'!C:C, "No Data")</f>
        <v>11.5</v>
      </c>
      <c r="E22" s="28" t="str">
        <f t="array" ref="E22">_xlfn.XLOOKUP($A22, 'Medical Examinations'!$A:$A, 'Medical Examinations'!D:D, "No Data")</f>
        <v>yes</v>
      </c>
      <c r="F22" s="28" t="str">
        <f t="array" ref="F22">_xlfn.XLOOKUP($A22, 'Medical Examinations'!$A:$A, 'Medical Examinations'!E:E, "No Data")</f>
        <v>No</v>
      </c>
      <c r="G22" s="28" t="str">
        <f t="array" ref="G22">_xlfn.XLOOKUP($A22, 'Medical Examinations'!$A:$A, 'Medical Examinations'!F:F, "No Data")</f>
        <v>No</v>
      </c>
      <c r="H22" s="28">
        <f t="array" ref="H22">_xlfn.XLOOKUP($A22, 'Medical Examinations'!$A:$A, 'Medical Examinations'!G:G, "No Data")</f>
        <v>2</v>
      </c>
      <c r="I22" s="28" t="str">
        <f t="array" ref="I22">_xlfn.XLOOKUP($A22, 'Medical Examinations'!$A:$A, 'Medical Examinations'!H:H, "No Data")</f>
        <v>yes</v>
      </c>
      <c r="J22" s="28" t="str">
        <f t="array" ref="J22">_xlfn.XLOOKUP($A22, 'Medical Examinations'!$A:$A, 'Medical Examinations'!I:I, "No Data")</f>
        <v>Obesity</v>
      </c>
      <c r="K22" s="28" t="str">
        <f t="array" ref="K22">_xlfn.XLOOKUP($A22, 'Hospitalisation Details'!$A:$A, 'Hospitalisation Details'!I:I, "No Data")</f>
        <v>tier - 3</v>
      </c>
      <c r="L22" s="28" t="str">
        <f t="array" ref="L22">_xlfn.XLOOKUP($A22, 'Hospitalisation Details'!$A:$A, 'Hospitalisation Details'!J:J, "No Data")</f>
        <v>R1011</v>
      </c>
      <c r="M22" s="28" t="str">
        <f t="array" ref="M22">_xlfn.XLOOKUP($A22, 'Hospitalisation Details'!$A:$A, 'Hospitalisation Details'!E:E, "No Data")</f>
        <v>13/06/61</v>
      </c>
      <c r="N22" s="28">
        <f t="array" ref="N22">_xlfn.XLOOKUP($A22, 'Hospitalisation Details'!$A:$A, 'Hospitalisation Details'!K:K, "No Data")</f>
        <v>61</v>
      </c>
      <c r="O22" s="33">
        <f t="array" ref="O22">_xlfn.XLOOKUP($A22, 'Hospitalisation Details'!$A:$A, 'Hospitalisation Details'!G:G, "No Data")</f>
        <v>47403.88</v>
      </c>
      <c r="P22" s="28" t="str">
        <f t="array" ref="P22">_xlfn.XLOOKUP($A22, 'Hospitalisation Details'!$A:$A, 'Hospitalisation Details'!H:H, "No Data")</f>
        <v>tier - 1</v>
      </c>
    </row>
    <row r="23">
      <c r="A23" s="25" t="s">
        <v>97</v>
      </c>
      <c r="B23" s="28" t="str">
        <f t="array" ref="B23">_xlfn.XLOOKUP($A23, 'Customer Names'!$A:$A, 'Customer Names'!B:B, "No Data")</f>
        <v>Hribar</v>
      </c>
      <c r="C23" s="28">
        <f t="array" ref="C23">_xlfn.XLOOKUP($A23, 'Medical Examinations'!$A:$A, 'Medical Examinations'!B:B, "No Data")</f>
        <v>32.2</v>
      </c>
      <c r="D23" s="28">
        <f t="array" ref="D23">_xlfn.XLOOKUP($A23, 'Medical Examinations'!$A:$A, 'Medical Examinations'!C:C, "No Data")</f>
        <v>6.22</v>
      </c>
      <c r="E23" s="28" t="str">
        <f t="array" ref="E23">_xlfn.XLOOKUP($A23, 'Medical Examinations'!$A:$A, 'Medical Examinations'!D:D, "No Data")</f>
        <v>yes</v>
      </c>
      <c r="F23" s="28" t="str">
        <f t="array" ref="F23">_xlfn.XLOOKUP($A23, 'Medical Examinations'!$A:$A, 'Medical Examinations'!E:E, "No Data")</f>
        <v>No</v>
      </c>
      <c r="G23" s="28" t="str">
        <f t="array" ref="G23">_xlfn.XLOOKUP($A23, 'Medical Examinations'!$A:$A, 'Medical Examinations'!F:F, "No Data")</f>
        <v>No</v>
      </c>
      <c r="H23" s="28">
        <f t="array" ref="H23">_xlfn.XLOOKUP($A23, 'Medical Examinations'!$A:$A, 'Medical Examinations'!G:G, "No Data")</f>
        <v>2</v>
      </c>
      <c r="I23" s="28" t="str">
        <f t="array" ref="I23">_xlfn.XLOOKUP($A23, 'Medical Examinations'!$A:$A, 'Medical Examinations'!H:H, "No Data")</f>
        <v>yes</v>
      </c>
      <c r="J23" s="28" t="str">
        <f t="array" ref="J23">_xlfn.XLOOKUP($A23, 'Medical Examinations'!$A:$A, 'Medical Examinations'!I:I, "No Data")</f>
        <v>Obesity</v>
      </c>
      <c r="K23" s="28" t="str">
        <f t="array" ref="K23">_xlfn.XLOOKUP($A23, 'Hospitalisation Details'!$A:$A, 'Hospitalisation Details'!I:I, "No Data")</f>
        <v>tier - 1</v>
      </c>
      <c r="L23" s="28" t="str">
        <f t="array" ref="L23">_xlfn.XLOOKUP($A23, 'Hospitalisation Details'!$A:$A, 'Hospitalisation Details'!J:J, "No Data")</f>
        <v>R1011</v>
      </c>
      <c r="M23" s="28" t="str">
        <f t="array" ref="M23">_xlfn.XLOOKUP($A23, 'Hospitalisation Details'!$A:$A, 'Hospitalisation Details'!E:E, "No Data")</f>
        <v>04/10/59</v>
      </c>
      <c r="N23" s="28">
        <f t="array" ref="N23">_xlfn.XLOOKUP($A23, 'Hospitalisation Details'!$A:$A, 'Hospitalisation Details'!K:K, "No Data")</f>
        <v>63</v>
      </c>
      <c r="O23" s="33">
        <f t="array" ref="O23">_xlfn.XLOOKUP($A23, 'Hospitalisation Details'!$A:$A, 'Hospitalisation Details'!G:G, "No Data")</f>
        <v>47305.31</v>
      </c>
      <c r="P23" s="28" t="str">
        <f t="array" ref="P23">_xlfn.XLOOKUP($A23, 'Hospitalisation Details'!$A:$A, 'Hospitalisation Details'!H:H, "No Data")</f>
        <v>tier - 2</v>
      </c>
    </row>
    <row r="24">
      <c r="A24" s="25" t="s">
        <v>100</v>
      </c>
      <c r="B24" s="28" t="str">
        <f t="array" ref="B24">_xlfn.XLOOKUP($A24, 'Customer Names'!$A:$A, 'Customer Names'!B:B, "No Data")</f>
        <v>Tassello</v>
      </c>
      <c r="C24" s="28">
        <f t="array" ref="C24">_xlfn.XLOOKUP($A24, 'Medical Examinations'!$A:$A, 'Medical Examinations'!B:B, "No Data")</f>
        <v>31.3</v>
      </c>
      <c r="D24" s="28">
        <f t="array" ref="D24">_xlfn.XLOOKUP($A24, 'Medical Examinations'!$A:$A, 'Medical Examinations'!C:C, "No Data")</f>
        <v>11.38</v>
      </c>
      <c r="E24" s="28" t="str">
        <f t="array" ref="E24">_xlfn.XLOOKUP($A24, 'Medical Examinations'!$A:$A, 'Medical Examinations'!D:D, "No Data")</f>
        <v>No</v>
      </c>
      <c r="F24" s="28" t="str">
        <f t="array" ref="F24">_xlfn.XLOOKUP($A24, 'Medical Examinations'!$A:$A, 'Medical Examinations'!E:E, "No Data")</f>
        <v>No</v>
      </c>
      <c r="G24" s="28" t="str">
        <f t="array" ref="G24">_xlfn.XLOOKUP($A24, 'Medical Examinations'!$A:$A, 'Medical Examinations'!F:F, "No Data")</f>
        <v>No</v>
      </c>
      <c r="H24" s="28">
        <f t="array" ref="H24">_xlfn.XLOOKUP($A24, 'Medical Examinations'!$A:$A, 'Medical Examinations'!G:G, "No Data")</f>
        <v>3</v>
      </c>
      <c r="I24" s="28" t="str">
        <f t="array" ref="I24">_xlfn.XLOOKUP($A24, 'Medical Examinations'!$A:$A, 'Medical Examinations'!H:H, "No Data")</f>
        <v>yes</v>
      </c>
      <c r="J24" s="28" t="str">
        <f t="array" ref="J24">_xlfn.XLOOKUP($A24, 'Medical Examinations'!$A:$A, 'Medical Examinations'!I:I, "No Data")</f>
        <v>Obesity</v>
      </c>
      <c r="K24" s="28" t="str">
        <f t="array" ref="K24">_xlfn.XLOOKUP($A24, 'Hospitalisation Details'!$A:$A, 'Hospitalisation Details'!I:I, "No Data")</f>
        <v>tier - 1</v>
      </c>
      <c r="L24" s="28" t="str">
        <f t="array" ref="L24">_xlfn.XLOOKUP($A24, 'Hospitalisation Details'!$A:$A, 'Hospitalisation Details'!J:J, "No Data")</f>
        <v>R1011</v>
      </c>
      <c r="M24" s="28" t="str">
        <f t="array" ref="M24">_xlfn.XLOOKUP($A24, 'Hospitalisation Details'!$A:$A, 'Hospitalisation Details'!E:E, "No Data")</f>
        <v>03/09/58</v>
      </c>
      <c r="N24" s="28">
        <f t="array" ref="N24">_xlfn.XLOOKUP($A24, 'Hospitalisation Details'!$A:$A, 'Hospitalisation Details'!K:K, "No Data")</f>
        <v>64</v>
      </c>
      <c r="O24" s="33">
        <f t="array" ref="O24">_xlfn.XLOOKUP($A24, 'Hospitalisation Details'!$A:$A, 'Hospitalisation Details'!G:G, "No Data")</f>
        <v>47291.06</v>
      </c>
      <c r="P24" s="28" t="str">
        <f t="array" ref="P24">_xlfn.XLOOKUP($A24, 'Hospitalisation Details'!$A:$A, 'Hospitalisation Details'!H:H, "No Data")</f>
        <v>tier - 2</v>
      </c>
    </row>
    <row r="25">
      <c r="A25" s="25" t="s">
        <v>103</v>
      </c>
      <c r="B25" s="28" t="str">
        <f t="array" ref="B25">_xlfn.XLOOKUP($A25, 'Customer Names'!$A:$A, 'Customer Names'!B:B, "No Data")</f>
        <v>Mauricette</v>
      </c>
      <c r="C25" s="28">
        <f t="array" ref="C25">_xlfn.XLOOKUP($A25, 'Medical Examinations'!$A:$A, 'Medical Examinations'!B:B, "No Data")</f>
        <v>41.8</v>
      </c>
      <c r="D25" s="28">
        <f t="array" ref="D25">_xlfn.XLOOKUP($A25, 'Medical Examinations'!$A:$A, 'Medical Examinations'!C:C, "No Data")</f>
        <v>7.89</v>
      </c>
      <c r="E25" s="28" t="str">
        <f t="array" ref="E25">_xlfn.XLOOKUP($A25, 'Medical Examinations'!$A:$A, 'Medical Examinations'!D:D, "No Data")</f>
        <v>yes</v>
      </c>
      <c r="F25" s="28" t="str">
        <f t="array" ref="F25">_xlfn.XLOOKUP($A25, 'Medical Examinations'!$A:$A, 'Medical Examinations'!E:E, "No Data")</f>
        <v>No</v>
      </c>
      <c r="G25" s="28" t="str">
        <f t="array" ref="G25">_xlfn.XLOOKUP($A25, 'Medical Examinations'!$A:$A, 'Medical Examinations'!F:F, "No Data")</f>
        <v>No</v>
      </c>
      <c r="H25" s="28">
        <f t="array" ref="H25">_xlfn.XLOOKUP($A25, 'Medical Examinations'!$A:$A, 'Medical Examinations'!G:G, "No Data")</f>
        <v>2</v>
      </c>
      <c r="I25" s="28" t="str">
        <f t="array" ref="I25">_xlfn.XLOOKUP($A25, 'Medical Examinations'!$A:$A, 'Medical Examinations'!H:H, "No Data")</f>
        <v>yes</v>
      </c>
      <c r="J25" s="28" t="str">
        <f t="array" ref="J25">_xlfn.XLOOKUP($A25, 'Medical Examinations'!$A:$A, 'Medical Examinations'!I:I, "No Data")</f>
        <v>Obesity</v>
      </c>
      <c r="K25" s="28" t="str">
        <f t="array" ref="K25">_xlfn.XLOOKUP($A25, 'Hospitalisation Details'!$A:$A, 'Hospitalisation Details'!I:I, "No Data")</f>
        <v>tier - 2</v>
      </c>
      <c r="L25" s="28" t="str">
        <f t="array" ref="L25">_xlfn.XLOOKUP($A25, 'Hospitalisation Details'!$A:$A, 'Hospitalisation Details'!J:J, "No Data")</f>
        <v>R1013</v>
      </c>
      <c r="M25" s="28" t="str">
        <f t="array" ref="M25">_xlfn.XLOOKUP($A25, 'Hospitalisation Details'!$A:$A, 'Hospitalisation Details'!E:E, "No Data")</f>
        <v>28/12/70</v>
      </c>
      <c r="N25" s="28">
        <f t="array" ref="N25">_xlfn.XLOOKUP($A25, 'Hospitalisation Details'!$A:$A, 'Hospitalisation Details'!K:K, "No Data")</f>
        <v>52</v>
      </c>
      <c r="O25" s="33">
        <f t="array" ref="O25">_xlfn.XLOOKUP($A25, 'Hospitalisation Details'!$A:$A, 'Hospitalisation Details'!G:G, "No Data")</f>
        <v>47269.85</v>
      </c>
      <c r="P25" s="28" t="str">
        <f t="array" ref="P25">_xlfn.XLOOKUP($A25, 'Hospitalisation Details'!$A:$A, 'Hospitalisation Details'!H:H, "No Data")</f>
        <v>tier - 1</v>
      </c>
    </row>
    <row r="26">
      <c r="A26" s="25" t="s">
        <v>106</v>
      </c>
      <c r="B26" s="28" t="str">
        <f t="array" ref="B26">_xlfn.XLOOKUP($A26, 'Customer Names'!$A:$A, 'Customer Names'!B:B, "No Data")</f>
        <v>Garcia</v>
      </c>
      <c r="C26" s="28">
        <f t="array" ref="C26">_xlfn.XLOOKUP($A26, 'Medical Examinations'!$A:$A, 'Medical Examinations'!B:B, "No Data")</f>
        <v>35.09</v>
      </c>
      <c r="D26" s="28">
        <f t="array" ref="D26">_xlfn.XLOOKUP($A26, 'Medical Examinations'!$A:$A, 'Medical Examinations'!C:C, "No Data")</f>
        <v>4.38</v>
      </c>
      <c r="E26" s="28" t="str">
        <f t="array" ref="E26">_xlfn.XLOOKUP($A26, 'Medical Examinations'!$A:$A, 'Medical Examinations'!D:D, "No Data")</f>
        <v>yes</v>
      </c>
      <c r="F26" s="28" t="str">
        <f t="array" ref="F26">_xlfn.XLOOKUP($A26, 'Medical Examinations'!$A:$A, 'Medical Examinations'!E:E, "No Data")</f>
        <v>No</v>
      </c>
      <c r="G26" s="28" t="str">
        <f t="array" ref="G26">_xlfn.XLOOKUP($A26, 'Medical Examinations'!$A:$A, 'Medical Examinations'!F:F, "No Data")</f>
        <v>No</v>
      </c>
      <c r="H26" s="28">
        <f t="array" ref="H26">_xlfn.XLOOKUP($A26, 'Medical Examinations'!$A:$A, 'Medical Examinations'!G:G, "No Data")</f>
        <v>2</v>
      </c>
      <c r="I26" s="28" t="str">
        <f t="array" ref="I26">_xlfn.XLOOKUP($A26, 'Medical Examinations'!$A:$A, 'Medical Examinations'!H:H, "No Data")</f>
        <v>yes</v>
      </c>
      <c r="J26" s="28" t="str">
        <f t="array" ref="J26">_xlfn.XLOOKUP($A26, 'Medical Examinations'!$A:$A, 'Medical Examinations'!I:I, "No Data")</f>
        <v>Obesity</v>
      </c>
      <c r="K26" s="28" t="str">
        <f t="array" ref="K26">_xlfn.XLOOKUP($A26, 'Hospitalisation Details'!$A:$A, 'Hospitalisation Details'!I:I, "No Data")</f>
        <v>tier - 1</v>
      </c>
      <c r="L26" s="28" t="str">
        <f t="array" ref="L26">_xlfn.XLOOKUP($A26, 'Hospitalisation Details'!$A:$A, 'Hospitalisation Details'!J:J, "No Data")</f>
        <v>R1013</v>
      </c>
      <c r="M26" s="28" t="str">
        <f t="array" ref="M26">_xlfn.XLOOKUP($A26, 'Hospitalisation Details'!$A:$A, 'Hospitalisation Details'!E:E, "No Data")</f>
        <v>14/07/59</v>
      </c>
      <c r="N26" s="28">
        <f t="array" ref="N26">_xlfn.XLOOKUP($A26, 'Hospitalisation Details'!$A:$A, 'Hospitalisation Details'!K:K, "No Data")</f>
        <v>63</v>
      </c>
      <c r="O26" s="33">
        <f t="array" ref="O26">_xlfn.XLOOKUP($A26, 'Hospitalisation Details'!$A:$A, 'Hospitalisation Details'!G:G, "No Data")</f>
        <v>47055.53</v>
      </c>
      <c r="P26" s="28" t="str">
        <f t="array" ref="P26">_xlfn.XLOOKUP($A26, 'Hospitalisation Details'!$A:$A, 'Hospitalisation Details'!H:H, "No Data")</f>
        <v>tier - 2</v>
      </c>
    </row>
    <row r="27">
      <c r="A27" s="25" t="s">
        <v>109</v>
      </c>
      <c r="B27" s="28" t="str">
        <f t="array" ref="B27">_xlfn.XLOOKUP($A27, 'Customer Names'!$A:$A, 'Customer Names'!B:B, "No Data")</f>
        <v>Airoldi</v>
      </c>
      <c r="C27" s="28">
        <f t="array" ref="C27">_xlfn.XLOOKUP($A27, 'Medical Examinations'!$A:$A, 'Medical Examinations'!B:B, "No Data")</f>
        <v>33.88</v>
      </c>
      <c r="D27" s="28">
        <f t="array" ref="D27">_xlfn.XLOOKUP($A27, 'Medical Examinations'!$A:$A, 'Medical Examinations'!C:C, "No Data")</f>
        <v>7.01</v>
      </c>
      <c r="E27" s="28" t="str">
        <f t="array" ref="E27">_xlfn.XLOOKUP($A27, 'Medical Examinations'!$A:$A, 'Medical Examinations'!D:D, "No Data")</f>
        <v>No</v>
      </c>
      <c r="F27" s="28" t="str">
        <f t="array" ref="F27">_xlfn.XLOOKUP($A27, 'Medical Examinations'!$A:$A, 'Medical Examinations'!E:E, "No Data")</f>
        <v>No</v>
      </c>
      <c r="G27" s="28" t="str">
        <f t="array" ref="G27">_xlfn.XLOOKUP($A27, 'Medical Examinations'!$A:$A, 'Medical Examinations'!F:F, "No Data")</f>
        <v>No</v>
      </c>
      <c r="H27" s="28">
        <f t="array" ref="H27">_xlfn.XLOOKUP($A27, 'Medical Examinations'!$A:$A, 'Medical Examinations'!G:G, "No Data")</f>
        <v>3</v>
      </c>
      <c r="I27" s="28" t="str">
        <f t="array" ref="I27">_xlfn.XLOOKUP($A27, 'Medical Examinations'!$A:$A, 'Medical Examinations'!H:H, "No Data")</f>
        <v>yes</v>
      </c>
      <c r="J27" s="28" t="str">
        <f t="array" ref="J27">_xlfn.XLOOKUP($A27, 'Medical Examinations'!$A:$A, 'Medical Examinations'!I:I, "No Data")</f>
        <v>Obesity</v>
      </c>
      <c r="K27" s="28" t="str">
        <f t="array" ref="K27">_xlfn.XLOOKUP($A27, 'Hospitalisation Details'!$A:$A, 'Hospitalisation Details'!I:I, "No Data")</f>
        <v>tier - 3</v>
      </c>
      <c r="L27" s="28" t="str">
        <f t="array" ref="L27">_xlfn.XLOOKUP($A27, 'Hospitalisation Details'!$A:$A, 'Hospitalisation Details'!J:J, "No Data")</f>
        <v>R1013</v>
      </c>
      <c r="M27" s="28" t="str">
        <f t="array" ref="M27">_xlfn.XLOOKUP($A27, 'Hospitalisation Details'!$A:$A, 'Hospitalisation Details'!E:E, "No Data")</f>
        <v>15/09/58</v>
      </c>
      <c r="N27" s="28">
        <f t="array" ref="N27">_xlfn.XLOOKUP($A27, 'Hospitalisation Details'!$A:$A, 'Hospitalisation Details'!K:K, "No Data")</f>
        <v>64</v>
      </c>
      <c r="O27" s="33">
        <f t="array" ref="O27">_xlfn.XLOOKUP($A27, 'Hospitalisation Details'!$A:$A, 'Hospitalisation Details'!G:G, "No Data")</f>
        <v>46889.26</v>
      </c>
      <c r="P27" s="28" t="str">
        <f t="array" ref="P27">_xlfn.XLOOKUP($A27, 'Hospitalisation Details'!$A:$A, 'Hospitalisation Details'!H:H, "No Data")</f>
        <v>tier - 2</v>
      </c>
    </row>
    <row r="28">
      <c r="A28" s="25" t="s">
        <v>112</v>
      </c>
      <c r="B28" s="28" t="str">
        <f t="array" ref="B28">_xlfn.XLOOKUP($A28, 'Customer Names'!$A:$A, 'Customer Names'!B:B, "No Data")</f>
        <v>Cater-Cyker</v>
      </c>
      <c r="C28" s="28">
        <f t="array" ref="C28">_xlfn.XLOOKUP($A28, 'Medical Examinations'!$A:$A, 'Medical Examinations'!B:B, "No Data")</f>
        <v>30.875</v>
      </c>
      <c r="D28" s="28">
        <f t="array" ref="D28">_xlfn.XLOOKUP($A28, 'Medical Examinations'!$A:$A, 'Medical Examinations'!C:C, "No Data")</f>
        <v>11.88</v>
      </c>
      <c r="E28" s="28" t="str">
        <f t="array" ref="E28">_xlfn.XLOOKUP($A28, 'Medical Examinations'!$A:$A, 'Medical Examinations'!D:D, "No Data")</f>
        <v>No</v>
      </c>
      <c r="F28" s="28" t="str">
        <f t="array" ref="F28">_xlfn.XLOOKUP($A28, 'Medical Examinations'!$A:$A, 'Medical Examinations'!E:E, "No Data")</f>
        <v>No</v>
      </c>
      <c r="G28" s="28" t="str">
        <f t="array" ref="G28">_xlfn.XLOOKUP($A28, 'Medical Examinations'!$A:$A, 'Medical Examinations'!F:F, "No Data")</f>
        <v>No</v>
      </c>
      <c r="H28" s="28">
        <f t="array" ref="H28">_xlfn.XLOOKUP($A28, 'Medical Examinations'!$A:$A, 'Medical Examinations'!G:G, "No Data")</f>
        <v>0</v>
      </c>
      <c r="I28" s="28" t="str">
        <f t="array" ref="I28">_xlfn.XLOOKUP($A28, 'Medical Examinations'!$A:$A, 'Medical Examinations'!H:H, "No Data")</f>
        <v>yes</v>
      </c>
      <c r="J28" s="28" t="str">
        <f t="array" ref="J28">_xlfn.XLOOKUP($A28, 'Medical Examinations'!$A:$A, 'Medical Examinations'!I:I, "No Data")</f>
        <v>Obesity</v>
      </c>
      <c r="K28" s="28" t="str">
        <f t="array" ref="K28">_xlfn.XLOOKUP($A28, 'Hospitalisation Details'!$A:$A, 'Hospitalisation Details'!I:I, "No Data")</f>
        <v>tier - 1</v>
      </c>
      <c r="L28" s="28" t="str">
        <f t="array" ref="L28">_xlfn.XLOOKUP($A28, 'Hospitalisation Details'!$A:$A, 'Hospitalisation Details'!J:J, "No Data")</f>
        <v>R1012</v>
      </c>
      <c r="M28" s="28" t="str">
        <f t="array" ref="M28">_xlfn.XLOOKUP($A28, 'Hospitalisation Details'!$A:$A, 'Hospitalisation Details'!E:E, "No Data")</f>
        <v>17/11/60</v>
      </c>
      <c r="N28" s="28">
        <f t="array" ref="N28">_xlfn.XLOOKUP($A28, 'Hospitalisation Details'!$A:$A, 'Hospitalisation Details'!K:K, "No Data")</f>
        <v>62</v>
      </c>
      <c r="O28" s="33">
        <f t="array" ref="O28">_xlfn.XLOOKUP($A28, 'Hospitalisation Details'!$A:$A, 'Hospitalisation Details'!G:G, "No Data")</f>
        <v>46718.16</v>
      </c>
      <c r="P28" s="28" t="str">
        <f t="array" ref="P28">_xlfn.XLOOKUP($A28, 'Hospitalisation Details'!$A:$A, 'Hospitalisation Details'!H:H, "No Data")</f>
        <v>tier - 1</v>
      </c>
    </row>
    <row r="29">
      <c r="A29" s="25" t="s">
        <v>115</v>
      </c>
      <c r="B29" s="28" t="str">
        <f t="array" ref="B29">_xlfn.XLOOKUP($A29, 'Customer Names'!$A:$A, 'Customer Names'!B:B, "No Data")</f>
        <v>Hamm</v>
      </c>
      <c r="C29" s="28">
        <f t="array" ref="C29">_xlfn.XLOOKUP($A29, 'Medical Examinations'!$A:$A, 'Medical Examinations'!B:B, "No Data")</f>
        <v>36.86</v>
      </c>
      <c r="D29" s="28">
        <f t="array" ref="D29">_xlfn.XLOOKUP($A29, 'Medical Examinations'!$A:$A, 'Medical Examinations'!C:C, "No Data")</f>
        <v>5.19</v>
      </c>
      <c r="E29" s="28" t="str">
        <f t="array" ref="E29">_xlfn.XLOOKUP($A29, 'Medical Examinations'!$A:$A, 'Medical Examinations'!D:D, "No Data")</f>
        <v>yes</v>
      </c>
      <c r="F29" s="28" t="str">
        <f t="array" ref="F29">_xlfn.XLOOKUP($A29, 'Medical Examinations'!$A:$A, 'Medical Examinations'!E:E, "No Data")</f>
        <v>No</v>
      </c>
      <c r="G29" s="28" t="str">
        <f t="array" ref="G29">_xlfn.XLOOKUP($A29, 'Medical Examinations'!$A:$A, 'Medical Examinations'!F:F, "No Data")</f>
        <v>Yes</v>
      </c>
      <c r="H29" s="28">
        <f t="array" ref="H29">_xlfn.XLOOKUP($A29, 'Medical Examinations'!$A:$A, 'Medical Examinations'!G:G, "No Data")</f>
        <v>1</v>
      </c>
      <c r="I29" s="28" t="str">
        <f t="array" ref="I29">_xlfn.XLOOKUP($A29, 'Medical Examinations'!$A:$A, 'Medical Examinations'!H:H, "No Data")</f>
        <v>yes</v>
      </c>
      <c r="J29" s="28" t="str">
        <f t="array" ref="J29">_xlfn.XLOOKUP($A29, 'Medical Examinations'!$A:$A, 'Medical Examinations'!I:I, "No Data")</f>
        <v>Obesity</v>
      </c>
      <c r="K29" s="28" t="str">
        <f t="array" ref="K29">_xlfn.XLOOKUP($A29, 'Hospitalisation Details'!$A:$A, 'Hospitalisation Details'!I:I, "No Data")</f>
        <v>tier - 3</v>
      </c>
      <c r="L29" s="28" t="str">
        <f t="array" ref="L29">_xlfn.XLOOKUP($A29, 'Hospitalisation Details'!$A:$A, 'Hospitalisation Details'!J:J, "No Data")</f>
        <v>R1012</v>
      </c>
      <c r="M29" s="28" t="str">
        <f t="array" ref="M29">_xlfn.XLOOKUP($A29, 'Hospitalisation Details'!$A:$A, 'Hospitalisation Details'!E:E, "No Data")</f>
        <v>23/06/69</v>
      </c>
      <c r="N29" s="28">
        <f t="array" ref="N29">_xlfn.XLOOKUP($A29, 'Hospitalisation Details'!$A:$A, 'Hospitalisation Details'!K:K, "No Data")</f>
        <v>53</v>
      </c>
      <c r="O29" s="33">
        <f t="array" ref="O29">_xlfn.XLOOKUP($A29, 'Hospitalisation Details'!$A:$A, 'Hospitalisation Details'!G:G, "No Data")</f>
        <v>46661.44</v>
      </c>
      <c r="P29" s="28" t="str">
        <f t="array" ref="P29">_xlfn.XLOOKUP($A29, 'Hospitalisation Details'!$A:$A, 'Hospitalisation Details'!H:H, "No Data")</f>
        <v>tier - 1</v>
      </c>
    </row>
    <row r="30">
      <c r="A30" s="25" t="s">
        <v>118</v>
      </c>
      <c r="B30" s="28" t="str">
        <f t="array" ref="B30">_xlfn.XLOOKUP($A30, 'Customer Names'!$A:$A, 'Customer Names'!B:B, "No Data")</f>
        <v>Cox</v>
      </c>
      <c r="C30" s="28">
        <f t="array" ref="C30">_xlfn.XLOOKUP($A30, 'Medical Examinations'!$A:$A, 'Medical Examinations'!B:B, "No Data")</f>
        <v>35.86</v>
      </c>
      <c r="D30" s="28">
        <f t="array" ref="D30">_xlfn.XLOOKUP($A30, 'Medical Examinations'!$A:$A, 'Medical Examinations'!C:C, "No Data")</f>
        <v>6.74</v>
      </c>
      <c r="E30" s="28" t="str">
        <f t="array" ref="E30">_xlfn.XLOOKUP($A30, 'Medical Examinations'!$A:$A, 'Medical Examinations'!D:D, "No Data")</f>
        <v>yes</v>
      </c>
      <c r="F30" s="28" t="str">
        <f t="array" ref="F30">_xlfn.XLOOKUP($A30, 'Medical Examinations'!$A:$A, 'Medical Examinations'!E:E, "No Data")</f>
        <v>No</v>
      </c>
      <c r="G30" s="28" t="str">
        <f t="array" ref="G30">_xlfn.XLOOKUP($A30, 'Medical Examinations'!$A:$A, 'Medical Examinations'!F:F, "No Data")</f>
        <v>No</v>
      </c>
      <c r="H30" s="28">
        <f t="array" ref="H30">_xlfn.XLOOKUP($A30, 'Medical Examinations'!$A:$A, 'Medical Examinations'!G:G, "No Data")</f>
        <v>2</v>
      </c>
      <c r="I30" s="28" t="str">
        <f t="array" ref="I30">_xlfn.XLOOKUP($A30, 'Medical Examinations'!$A:$A, 'Medical Examinations'!H:H, "No Data")</f>
        <v>yes</v>
      </c>
      <c r="J30" s="28" t="str">
        <f t="array" ref="J30">_xlfn.XLOOKUP($A30, 'Medical Examinations'!$A:$A, 'Medical Examinations'!I:I, "No Data")</f>
        <v>Obesity</v>
      </c>
      <c r="K30" s="28" t="str">
        <f t="array" ref="K30">_xlfn.XLOOKUP($A30, 'Hospitalisation Details'!$A:$A, 'Hospitalisation Details'!I:I, "No Data")</f>
        <v>tier - 1</v>
      </c>
      <c r="L30" s="28" t="str">
        <f t="array" ref="L30">_xlfn.XLOOKUP($A30, 'Hospitalisation Details'!$A:$A, 'Hospitalisation Details'!J:J, "No Data")</f>
        <v>R1013</v>
      </c>
      <c r="M30" s="28" t="str">
        <f t="array" ref="M30">_xlfn.XLOOKUP($A30, 'Hospitalisation Details'!$A:$A, 'Hospitalisation Details'!E:E, "No Data")</f>
        <v>08/08/61</v>
      </c>
      <c r="N30" s="28">
        <f t="array" ref="N30">_xlfn.XLOOKUP($A30, 'Hospitalisation Details'!$A:$A, 'Hospitalisation Details'!K:K, "No Data")</f>
        <v>61</v>
      </c>
      <c r="O30" s="33">
        <f t="array" ref="O30">_xlfn.XLOOKUP($A30, 'Hospitalisation Details'!$A:$A, 'Hospitalisation Details'!G:G, "No Data")</f>
        <v>46599.11</v>
      </c>
      <c r="P30" s="28" t="str">
        <f t="array" ref="P30">_xlfn.XLOOKUP($A30, 'Hospitalisation Details'!$A:$A, 'Hospitalisation Details'!H:H, "No Data")</f>
        <v>tier - 1</v>
      </c>
    </row>
    <row r="31">
      <c r="A31" s="25" t="s">
        <v>120</v>
      </c>
      <c r="B31" s="28" t="str">
        <f t="array" ref="B31">_xlfn.XLOOKUP($A31, 'Customer Names'!$A:$A, 'Customer Names'!B:B, "No Data")</f>
        <v>Sachrajda</v>
      </c>
      <c r="C31" s="28">
        <f t="array" ref="C31">_xlfn.XLOOKUP($A31, 'Medical Examinations'!$A:$A, 'Medical Examinations'!B:B, "No Data")</f>
        <v>37.05</v>
      </c>
      <c r="D31" s="28">
        <f t="array" ref="D31">_xlfn.XLOOKUP($A31, 'Medical Examinations'!$A:$A, 'Medical Examinations'!C:C, "No Data")</f>
        <v>8.44</v>
      </c>
      <c r="E31" s="28" t="str">
        <f t="array" ref="E31">_xlfn.XLOOKUP($A31, 'Medical Examinations'!$A:$A, 'Medical Examinations'!D:D, "No Data")</f>
        <v>No</v>
      </c>
      <c r="F31" s="28" t="str">
        <f t="array" ref="F31">_xlfn.XLOOKUP($A31, 'Medical Examinations'!$A:$A, 'Medical Examinations'!E:E, "No Data")</f>
        <v>No</v>
      </c>
      <c r="G31" s="28" t="str">
        <f t="array" ref="G31">_xlfn.XLOOKUP($A31, 'Medical Examinations'!$A:$A, 'Medical Examinations'!F:F, "No Data")</f>
        <v>No</v>
      </c>
      <c r="H31" s="28">
        <f t="array" ref="H31">_xlfn.XLOOKUP($A31, 'Medical Examinations'!$A:$A, 'Medical Examinations'!G:G, "No Data")</f>
        <v>0</v>
      </c>
      <c r="I31" s="28" t="str">
        <f t="array" ref="I31">_xlfn.XLOOKUP($A31, 'Medical Examinations'!$A:$A, 'Medical Examinations'!H:H, "No Data")</f>
        <v>yes</v>
      </c>
      <c r="J31" s="28" t="str">
        <f t="array" ref="J31">_xlfn.XLOOKUP($A31, 'Medical Examinations'!$A:$A, 'Medical Examinations'!I:I, "No Data")</f>
        <v>Obesity</v>
      </c>
      <c r="K31" s="28" t="str">
        <f t="array" ref="K31">_xlfn.XLOOKUP($A31, 'Hospitalisation Details'!$A:$A, 'Hospitalisation Details'!I:I, "No Data")</f>
        <v>tier - 3</v>
      </c>
      <c r="L31" s="28" t="str">
        <f t="array" ref="L31">_xlfn.XLOOKUP($A31, 'Hospitalisation Details'!$A:$A, 'Hospitalisation Details'!J:J, "No Data")</f>
        <v>R1024</v>
      </c>
      <c r="M31" s="28" t="str">
        <f t="array" ref="M31">_xlfn.XLOOKUP($A31, 'Hospitalisation Details'!$A:$A, 'Hospitalisation Details'!E:E, "No Data")</f>
        <v>06/12/71</v>
      </c>
      <c r="N31" s="28">
        <f t="array" ref="N31">_xlfn.XLOOKUP($A31, 'Hospitalisation Details'!$A:$A, 'Hospitalisation Details'!K:K, "No Data")</f>
        <v>51</v>
      </c>
      <c r="O31" s="33">
        <f t="array" ref="O31">_xlfn.XLOOKUP($A31, 'Hospitalisation Details'!$A:$A, 'Hospitalisation Details'!G:G, "No Data")</f>
        <v>46255.11</v>
      </c>
      <c r="P31" s="28" t="str">
        <f t="array" ref="P31">_xlfn.XLOOKUP($A31, 'Hospitalisation Details'!$A:$A, 'Hospitalisation Details'!H:H, "No Data")</f>
        <v>tier - 1</v>
      </c>
    </row>
    <row r="32">
      <c r="A32" s="25" t="s">
        <v>123</v>
      </c>
      <c r="B32" s="28" t="str">
        <f t="array" ref="B32">_xlfn.XLOOKUP($A32, 'Customer Names'!$A:$A, 'Customer Names'!B:B, "No Data")</f>
        <v>Gareri</v>
      </c>
      <c r="C32" s="28">
        <f t="array" ref="C32">_xlfn.XLOOKUP($A32, 'Medical Examinations'!$A:$A, 'Medical Examinations'!B:B, "No Data")</f>
        <v>43.89</v>
      </c>
      <c r="D32" s="28">
        <f t="array" ref="D32">_xlfn.XLOOKUP($A32, 'Medical Examinations'!$A:$A, 'Medical Examinations'!C:C, "No Data")</f>
        <v>8.71</v>
      </c>
      <c r="E32" s="28" t="str">
        <f t="array" ref="E32">_xlfn.XLOOKUP($A32, 'Medical Examinations'!$A:$A, 'Medical Examinations'!D:D, "No Data")</f>
        <v>No</v>
      </c>
      <c r="F32" s="28" t="str">
        <f t="array" ref="F32">_xlfn.XLOOKUP($A32, 'Medical Examinations'!$A:$A, 'Medical Examinations'!E:E, "No Data")</f>
        <v>No</v>
      </c>
      <c r="G32" s="28" t="str">
        <f t="array" ref="G32">_xlfn.XLOOKUP($A32, 'Medical Examinations'!$A:$A, 'Medical Examinations'!F:F, "No Data")</f>
        <v>No</v>
      </c>
      <c r="H32" s="28">
        <f t="array" ref="H32">_xlfn.XLOOKUP($A32, 'Medical Examinations'!$A:$A, 'Medical Examinations'!G:G, "No Data")</f>
        <v>0</v>
      </c>
      <c r="I32" s="28" t="str">
        <f t="array" ref="I32">_xlfn.XLOOKUP($A32, 'Medical Examinations'!$A:$A, 'Medical Examinations'!H:H, "No Data")</f>
        <v>yes</v>
      </c>
      <c r="J32" s="28" t="str">
        <f t="array" ref="J32">_xlfn.XLOOKUP($A32, 'Medical Examinations'!$A:$A, 'Medical Examinations'!I:I, "No Data")</f>
        <v>Obesity</v>
      </c>
      <c r="K32" s="28" t="str">
        <f t="array" ref="K32">_xlfn.XLOOKUP($A32, 'Hospitalisation Details'!$A:$A, 'Hospitalisation Details'!I:I, "No Data")</f>
        <v>tier - 1</v>
      </c>
      <c r="L32" s="28" t="str">
        <f t="array" ref="L32">_xlfn.XLOOKUP($A32, 'Hospitalisation Details'!$A:$A, 'Hospitalisation Details'!J:J, "No Data")</f>
        <v>R1013</v>
      </c>
      <c r="M32" s="28" t="str">
        <f t="array" ref="M32">_xlfn.XLOOKUP($A32, 'Hospitalisation Details'!$A:$A, 'Hospitalisation Details'!E:E, "No Data")</f>
        <v>17/08/78</v>
      </c>
      <c r="N32" s="28">
        <f t="array" ref="N32">_xlfn.XLOOKUP($A32, 'Hospitalisation Details'!$A:$A, 'Hospitalisation Details'!K:K, "No Data")</f>
        <v>44</v>
      </c>
      <c r="O32" s="33">
        <f t="array" ref="O32">_xlfn.XLOOKUP($A32, 'Hospitalisation Details'!$A:$A, 'Hospitalisation Details'!G:G, "No Data")</f>
        <v>46200.99</v>
      </c>
      <c r="P32" s="28" t="str">
        <f t="array" ref="P32">_xlfn.XLOOKUP($A32, 'Hospitalisation Details'!$A:$A, 'Hospitalisation Details'!H:H, "No Data")</f>
        <v>tier - 1</v>
      </c>
    </row>
    <row r="33">
      <c r="A33" s="25" t="s">
        <v>126</v>
      </c>
      <c r="B33" s="28" t="str">
        <f t="array" ref="B33">_xlfn.XLOOKUP($A33, 'Customer Names'!$A:$A, 'Customer Names'!B:B, "No Data")</f>
        <v>Welch</v>
      </c>
      <c r="C33" s="28">
        <f t="array" ref="C33">_xlfn.XLOOKUP($A33, 'Medical Examinations'!$A:$A, 'Medical Examinations'!B:B, "No Data")</f>
        <v>42.35</v>
      </c>
      <c r="D33" s="28">
        <f t="array" ref="D33">_xlfn.XLOOKUP($A33, 'Medical Examinations'!$A:$A, 'Medical Examinations'!C:C, "No Data")</f>
        <v>5.08</v>
      </c>
      <c r="E33" s="28" t="str">
        <f t="array" ref="E33">_xlfn.XLOOKUP($A33, 'Medical Examinations'!$A:$A, 'Medical Examinations'!D:D, "No Data")</f>
        <v>yes</v>
      </c>
      <c r="F33" s="28" t="str">
        <f t="array" ref="F33">_xlfn.XLOOKUP($A33, 'Medical Examinations'!$A:$A, 'Medical Examinations'!E:E, "No Data")</f>
        <v>No</v>
      </c>
      <c r="G33" s="28" t="str">
        <f t="array" ref="G33">_xlfn.XLOOKUP($A33, 'Medical Examinations'!$A:$A, 'Medical Examinations'!F:F, "No Data")</f>
        <v>No</v>
      </c>
      <c r="H33" s="28">
        <f t="array" ref="H33">_xlfn.XLOOKUP($A33, 'Medical Examinations'!$A:$A, 'Medical Examinations'!G:G, "No Data")</f>
        <v>0</v>
      </c>
      <c r="I33" s="28" t="str">
        <f t="array" ref="I33">_xlfn.XLOOKUP($A33, 'Medical Examinations'!$A:$A, 'Medical Examinations'!H:H, "No Data")</f>
        <v>yes</v>
      </c>
      <c r="J33" s="28" t="str">
        <f t="array" ref="J33">_xlfn.XLOOKUP($A33, 'Medical Examinations'!$A:$A, 'Medical Examinations'!I:I, "No Data")</f>
        <v>Obesity</v>
      </c>
      <c r="K33" s="28" t="str">
        <f t="array" ref="K33">_xlfn.XLOOKUP($A33, 'Hospitalisation Details'!$A:$A, 'Hospitalisation Details'!I:I, "No Data")</f>
        <v>tier - 3</v>
      </c>
      <c r="L33" s="28" t="str">
        <f t="array" ref="L33">_xlfn.XLOOKUP($A33, 'Hospitalisation Details'!$A:$A, 'Hospitalisation Details'!J:J, "No Data")</f>
        <v>R1013</v>
      </c>
      <c r="M33" s="28" t="str">
        <f t="array" ref="M33">_xlfn.XLOOKUP($A33, 'Hospitalisation Details'!$A:$A, 'Hospitalisation Details'!E:E, "No Data")</f>
        <v>02/12/76</v>
      </c>
      <c r="N33" s="28">
        <f t="array" ref="N33">_xlfn.XLOOKUP($A33, 'Hospitalisation Details'!$A:$A, 'Hospitalisation Details'!K:K, "No Data")</f>
        <v>46</v>
      </c>
      <c r="O33" s="33">
        <f t="array" ref="O33">_xlfn.XLOOKUP($A33, 'Hospitalisation Details'!$A:$A, 'Hospitalisation Details'!G:G, "No Data")</f>
        <v>46151.12</v>
      </c>
      <c r="P33" s="28" t="str">
        <f t="array" ref="P33">_xlfn.XLOOKUP($A33, 'Hospitalisation Details'!$A:$A, 'Hospitalisation Details'!H:H, "No Data")</f>
        <v>tier - 1</v>
      </c>
    </row>
    <row r="34">
      <c r="A34" s="25" t="s">
        <v>129</v>
      </c>
      <c r="B34" s="28" t="str">
        <f t="array" ref="B34">_xlfn.XLOOKUP($A34, 'Customer Names'!$A:$A, 'Customer Names'!B:B, "No Data")</f>
        <v>Prindiville</v>
      </c>
      <c r="C34" s="28">
        <f t="array" ref="C34">_xlfn.XLOOKUP($A34, 'Medical Examinations'!$A:$A, 'Medical Examinations'!B:B, "No Data")</f>
        <v>31.35</v>
      </c>
      <c r="D34" s="28">
        <f t="array" ref="D34">_xlfn.XLOOKUP($A34, 'Medical Examinations'!$A:$A, 'Medical Examinations'!C:C, "No Data")</f>
        <v>6.86</v>
      </c>
      <c r="E34" s="28" t="str">
        <f t="array" ref="E34">_xlfn.XLOOKUP($A34, 'Medical Examinations'!$A:$A, 'Medical Examinations'!D:D, "No Data")</f>
        <v>No</v>
      </c>
      <c r="F34" s="28" t="str">
        <f t="array" ref="F34">_xlfn.XLOOKUP($A34, 'Medical Examinations'!$A:$A, 'Medical Examinations'!E:E, "No Data")</f>
        <v>No</v>
      </c>
      <c r="G34" s="28" t="str">
        <f t="array" ref="G34">_xlfn.XLOOKUP($A34, 'Medical Examinations'!$A:$A, 'Medical Examinations'!F:F, "No Data")</f>
        <v>No</v>
      </c>
      <c r="H34" s="28">
        <f t="array" ref="H34">_xlfn.XLOOKUP($A34, 'Medical Examinations'!$A:$A, 'Medical Examinations'!G:G, "No Data")</f>
        <v>0</v>
      </c>
      <c r="I34" s="28" t="str">
        <f t="array" ref="I34">_xlfn.XLOOKUP($A34, 'Medical Examinations'!$A:$A, 'Medical Examinations'!H:H, "No Data")</f>
        <v>yes</v>
      </c>
      <c r="J34" s="28" t="str">
        <f t="array" ref="J34">_xlfn.XLOOKUP($A34, 'Medical Examinations'!$A:$A, 'Medical Examinations'!I:I, "No Data")</f>
        <v>Obesity</v>
      </c>
      <c r="K34" s="28" t="str">
        <f t="array" ref="K34">_xlfn.XLOOKUP($A34, 'Hospitalisation Details'!$A:$A, 'Hospitalisation Details'!I:I, "No Data")</f>
        <v>tier - 1</v>
      </c>
      <c r="L34" s="28" t="str">
        <f t="array" ref="L34">_xlfn.XLOOKUP($A34, 'Hospitalisation Details'!$A:$A, 'Hospitalisation Details'!J:J, "No Data")</f>
        <v>R1012</v>
      </c>
      <c r="M34" s="28" t="str">
        <f t="array" ref="M34">_xlfn.XLOOKUP($A34, 'Hospitalisation Details'!$A:$A, 'Hospitalisation Details'!E:E, "No Data")</f>
        <v>04/12/62</v>
      </c>
      <c r="N34" s="28">
        <f t="array" ref="N34">_xlfn.XLOOKUP($A34, 'Hospitalisation Details'!$A:$A, 'Hospitalisation Details'!K:K, "No Data")</f>
        <v>60</v>
      </c>
      <c r="O34" s="33">
        <f t="array" ref="O34">_xlfn.XLOOKUP($A34, 'Hospitalisation Details'!$A:$A, 'Hospitalisation Details'!G:G, "No Data")</f>
        <v>46130.53</v>
      </c>
      <c r="P34" s="28" t="str">
        <f t="array" ref="P34">_xlfn.XLOOKUP($A34, 'Hospitalisation Details'!$A:$A, 'Hospitalisation Details'!H:H, "No Data")</f>
        <v>tier - 1</v>
      </c>
    </row>
    <row r="35">
      <c r="A35" s="25" t="s">
        <v>132</v>
      </c>
      <c r="B35" s="28" t="str">
        <f t="array" ref="B35">_xlfn.XLOOKUP($A35, 'Customer Names'!$A:$A, 'Customer Names'!B:B, "No Data")</f>
        <v>Kincaid</v>
      </c>
      <c r="C35" s="28">
        <f t="array" ref="C35">_xlfn.XLOOKUP($A35, 'Medical Examinations'!$A:$A, 'Medical Examinations'!B:B, "No Data")</f>
        <v>47.6</v>
      </c>
      <c r="D35" s="28">
        <f t="array" ref="D35">_xlfn.XLOOKUP($A35, 'Medical Examinations'!$A:$A, 'Medical Examinations'!C:C, "No Data")</f>
        <v>5.95</v>
      </c>
      <c r="E35" s="28" t="str">
        <f t="array" ref="E35">_xlfn.XLOOKUP($A35, 'Medical Examinations'!$A:$A, 'Medical Examinations'!D:D, "No Data")</f>
        <v>yes</v>
      </c>
      <c r="F35" s="28" t="str">
        <f t="array" ref="F35">_xlfn.XLOOKUP($A35, 'Medical Examinations'!$A:$A, 'Medical Examinations'!E:E, "No Data")</f>
        <v>No</v>
      </c>
      <c r="G35" s="28" t="str">
        <f t="array" ref="G35">_xlfn.XLOOKUP($A35, 'Medical Examinations'!$A:$A, 'Medical Examinations'!F:F, "No Data")</f>
        <v>No</v>
      </c>
      <c r="H35" s="28">
        <f t="array" ref="H35">_xlfn.XLOOKUP($A35, 'Medical Examinations'!$A:$A, 'Medical Examinations'!G:G, "No Data")</f>
        <v>0</v>
      </c>
      <c r="I35" s="28" t="str">
        <f t="array" ref="I35">_xlfn.XLOOKUP($A35, 'Medical Examinations'!$A:$A, 'Medical Examinations'!H:H, "No Data")</f>
        <v>yes</v>
      </c>
      <c r="J35" s="28" t="str">
        <f t="array" ref="J35">_xlfn.XLOOKUP($A35, 'Medical Examinations'!$A:$A, 'Medical Examinations'!I:I, "No Data")</f>
        <v>Obesity</v>
      </c>
      <c r="K35" s="28" t="str">
        <f t="array" ref="K35">_xlfn.XLOOKUP($A35, 'Hospitalisation Details'!$A:$A, 'Hospitalisation Details'!I:I, "No Data")</f>
        <v>tier - 3</v>
      </c>
      <c r="L35" s="28" t="str">
        <f t="array" ref="L35">_xlfn.XLOOKUP($A35, 'Hospitalisation Details'!$A:$A, 'Hospitalisation Details'!J:J, "No Data")</f>
        <v>R1011</v>
      </c>
      <c r="M35" s="28" t="str">
        <f t="array" ref="M35">_xlfn.XLOOKUP($A35, 'Hospitalisation Details'!$A:$A, 'Hospitalisation Details'!E:E, "No Data")</f>
        <v>30/09/85</v>
      </c>
      <c r="N35" s="28">
        <f t="array" ref="N35">_xlfn.XLOOKUP($A35, 'Hospitalisation Details'!$A:$A, 'Hospitalisation Details'!K:K, "No Data")</f>
        <v>37</v>
      </c>
      <c r="O35" s="33">
        <f t="array" ref="O35">_xlfn.XLOOKUP($A35, 'Hospitalisation Details'!$A:$A, 'Hospitalisation Details'!G:G, "No Data")</f>
        <v>46113.51</v>
      </c>
      <c r="P35" s="28" t="str">
        <f t="array" ref="P35">_xlfn.XLOOKUP($A35, 'Hospitalisation Details'!$A:$A, 'Hospitalisation Details'!H:H, "No Data")</f>
        <v>tier - 2</v>
      </c>
    </row>
    <row r="36">
      <c r="A36" s="25" t="s">
        <v>135</v>
      </c>
      <c r="B36" s="28" t="str">
        <f t="array" ref="B36">_xlfn.XLOOKUP($A36, 'Customer Names'!$A:$A, 'Customer Names'!B:B, "No Data")</f>
        <v>Bruestle</v>
      </c>
      <c r="C36" s="28">
        <f t="array" ref="C36">_xlfn.XLOOKUP($A36, 'Medical Examinations'!$A:$A, 'Medical Examinations'!B:B, "No Data")</f>
        <v>46.2</v>
      </c>
      <c r="D36" s="28">
        <f t="array" ref="D36">_xlfn.XLOOKUP($A36, 'Medical Examinations'!$A:$A, 'Medical Examinations'!C:C, "No Data")</f>
        <v>6.09</v>
      </c>
      <c r="E36" s="28" t="str">
        <f t="array" ref="E36">_xlfn.XLOOKUP($A36, 'Medical Examinations'!$A:$A, 'Medical Examinations'!D:D, "No Data")</f>
        <v>No</v>
      </c>
      <c r="F36" s="28" t="str">
        <f t="array" ref="F36">_xlfn.XLOOKUP($A36, 'Medical Examinations'!$A:$A, 'Medical Examinations'!E:E, "No Data")</f>
        <v>No</v>
      </c>
      <c r="G36" s="28" t="str">
        <f t="array" ref="G36">_xlfn.XLOOKUP($A36, 'Medical Examinations'!$A:$A, 'Medical Examinations'!F:F, "No Data")</f>
        <v>Yes</v>
      </c>
      <c r="H36" s="28">
        <f t="array" ref="H36">_xlfn.XLOOKUP($A36, 'Medical Examinations'!$A:$A, 'Medical Examinations'!G:G, "No Data")</f>
        <v>1</v>
      </c>
      <c r="I36" s="28" t="str">
        <f t="array" ref="I36">_xlfn.XLOOKUP($A36, 'Medical Examinations'!$A:$A, 'Medical Examinations'!H:H, "No Data")</f>
        <v>yes</v>
      </c>
      <c r="J36" s="28" t="str">
        <f t="array" ref="J36">_xlfn.XLOOKUP($A36, 'Medical Examinations'!$A:$A, 'Medical Examinations'!I:I, "No Data")</f>
        <v>Obesity</v>
      </c>
      <c r="K36" s="28" t="str">
        <f t="array" ref="K36">_xlfn.XLOOKUP($A36, 'Hospitalisation Details'!$A:$A, 'Hospitalisation Details'!I:I, "No Data")</f>
        <v>tier - 1</v>
      </c>
      <c r="L36" s="28" t="str">
        <f t="array" ref="L36">_xlfn.XLOOKUP($A36, 'Hospitalisation Details'!$A:$A, 'Hospitalisation Details'!J:J, "No Data")</f>
        <v>R1013</v>
      </c>
      <c r="M36" s="28" t="str">
        <f t="array" ref="M36">_xlfn.XLOOKUP($A36, 'Hospitalisation Details'!$A:$A, 'Hospitalisation Details'!E:E, "No Data")</f>
        <v>12/08/79</v>
      </c>
      <c r="N36" s="28">
        <f t="array" ref="N36">_xlfn.XLOOKUP($A36, 'Hospitalisation Details'!$A:$A, 'Hospitalisation Details'!K:K, "No Data")</f>
        <v>43</v>
      </c>
      <c r="O36" s="33">
        <f t="array" ref="O36">_xlfn.XLOOKUP($A36, 'Hospitalisation Details'!$A:$A, 'Hospitalisation Details'!G:G, "No Data")</f>
        <v>45863.21</v>
      </c>
      <c r="P36" s="28" t="str">
        <f t="array" ref="P36">_xlfn.XLOOKUP($A36, 'Hospitalisation Details'!$A:$A, 'Hospitalisation Details'!H:H, "No Data")</f>
        <v>tier - 2</v>
      </c>
    </row>
    <row r="37">
      <c r="A37" s="25" t="s">
        <v>138</v>
      </c>
      <c r="B37" s="28" t="str">
        <f t="array" ref="B37">_xlfn.XLOOKUP($A37, 'Customer Names'!$A:$A, 'Customer Names'!B:B, "No Data")</f>
        <v>Lachance</v>
      </c>
      <c r="C37" s="28">
        <f t="array" ref="C37">_xlfn.XLOOKUP($A37, 'Medical Examinations'!$A:$A, 'Medical Examinations'!B:B, "No Data")</f>
        <v>32.015</v>
      </c>
      <c r="D37" s="28">
        <f t="array" ref="D37">_xlfn.XLOOKUP($A37, 'Medical Examinations'!$A:$A, 'Medical Examinations'!C:C, "No Data")</f>
        <v>11.75</v>
      </c>
      <c r="E37" s="28" t="str">
        <f t="array" ref="E37">_xlfn.XLOOKUP($A37, 'Medical Examinations'!$A:$A, 'Medical Examinations'!D:D, "No Data")</f>
        <v>No</v>
      </c>
      <c r="F37" s="28" t="str">
        <f t="array" ref="F37">_xlfn.XLOOKUP($A37, 'Medical Examinations'!$A:$A, 'Medical Examinations'!E:E, "No Data")</f>
        <v>No</v>
      </c>
      <c r="G37" s="28" t="str">
        <f t="array" ref="G37">_xlfn.XLOOKUP($A37, 'Medical Examinations'!$A:$A, 'Medical Examinations'!F:F, "No Data")</f>
        <v>No</v>
      </c>
      <c r="H37" s="28">
        <f t="array" ref="H37">_xlfn.XLOOKUP($A37, 'Medical Examinations'!$A:$A, 'Medical Examinations'!G:G, "No Data")</f>
        <v>0</v>
      </c>
      <c r="I37" s="28" t="str">
        <f t="array" ref="I37">_xlfn.XLOOKUP($A37, 'Medical Examinations'!$A:$A, 'Medical Examinations'!H:H, "No Data")</f>
        <v>yes</v>
      </c>
      <c r="J37" s="28" t="str">
        <f t="array" ref="J37">_xlfn.XLOOKUP($A37, 'Medical Examinations'!$A:$A, 'Medical Examinations'!I:I, "No Data")</f>
        <v>Obesity</v>
      </c>
      <c r="K37" s="28" t="str">
        <f t="array" ref="K37">_xlfn.XLOOKUP($A37, 'Hospitalisation Details'!$A:$A, 'Hospitalisation Details'!I:I, "No Data")</f>
        <v>tier - 2</v>
      </c>
      <c r="L37" s="28" t="str">
        <f t="array" ref="L37">_xlfn.XLOOKUP($A37, 'Hospitalisation Details'!$A:$A, 'Hospitalisation Details'!J:J, "No Data")</f>
        <v>R1016</v>
      </c>
      <c r="M37" s="28" t="str">
        <f t="array" ref="M37">_xlfn.XLOOKUP($A37, 'Hospitalisation Details'!$A:$A, 'Hospitalisation Details'!E:E, "No Data")</f>
        <v>21/12/60</v>
      </c>
      <c r="N37" s="28">
        <f t="array" ref="N37">_xlfn.XLOOKUP($A37, 'Hospitalisation Details'!$A:$A, 'Hospitalisation Details'!K:K, "No Data")</f>
        <v>62</v>
      </c>
      <c r="O37" s="33">
        <f t="array" ref="O37">_xlfn.XLOOKUP($A37, 'Hospitalisation Details'!$A:$A, 'Hospitalisation Details'!G:G, "No Data")</f>
        <v>45710.21</v>
      </c>
      <c r="P37" s="28" t="str">
        <f t="array" ref="P37">_xlfn.XLOOKUP($A37, 'Hospitalisation Details'!$A:$A, 'Hospitalisation Details'!H:H, "No Data")</f>
        <v>tier - 2</v>
      </c>
    </row>
    <row r="38">
      <c r="A38" s="25" t="s">
        <v>143</v>
      </c>
      <c r="B38" s="28" t="str">
        <f t="array" ref="B38">_xlfn.XLOOKUP($A38, 'Customer Names'!$A:$A, 'Customer Names'!B:B, "No Data")</f>
        <v>Eason</v>
      </c>
      <c r="C38" s="28">
        <f t="array" ref="C38">_xlfn.XLOOKUP($A38, 'Medical Examinations'!$A:$A, 'Medical Examinations'!B:B, "No Data")</f>
        <v>40.565</v>
      </c>
      <c r="D38" s="28">
        <f t="array" ref="D38">_xlfn.XLOOKUP($A38, 'Medical Examinations'!$A:$A, 'Medical Examinations'!C:C, "No Data")</f>
        <v>7.37</v>
      </c>
      <c r="E38" s="28" t="str">
        <f t="array" ref="E38">_xlfn.XLOOKUP($A38, 'Medical Examinations'!$A:$A, 'Medical Examinations'!D:D, "No Data")</f>
        <v>No</v>
      </c>
      <c r="F38" s="28" t="str">
        <f t="array" ref="F38">_xlfn.XLOOKUP($A38, 'Medical Examinations'!$A:$A, 'Medical Examinations'!E:E, "No Data")</f>
        <v>No</v>
      </c>
      <c r="G38" s="28" t="str">
        <f t="array" ref="G38">_xlfn.XLOOKUP($A38, 'Medical Examinations'!$A:$A, 'Medical Examinations'!F:F, "No Data")</f>
        <v>No</v>
      </c>
      <c r="H38" s="28">
        <f t="array" ref="H38">_xlfn.XLOOKUP($A38, 'Medical Examinations'!$A:$A, 'Medical Examinations'!G:G, "No Data")</f>
        <v>0</v>
      </c>
      <c r="I38" s="28" t="str">
        <f t="array" ref="I38">_xlfn.XLOOKUP($A38, 'Medical Examinations'!$A:$A, 'Medical Examinations'!H:H, "No Data")</f>
        <v>yes</v>
      </c>
      <c r="J38" s="28" t="str">
        <f t="array" ref="J38">_xlfn.XLOOKUP($A38, 'Medical Examinations'!$A:$A, 'Medical Examinations'!I:I, "No Data")</f>
        <v>Obesity</v>
      </c>
      <c r="K38" s="28" t="str">
        <f t="array" ref="K38">_xlfn.XLOOKUP($A38, 'Hospitalisation Details'!$A:$A, 'Hospitalisation Details'!I:I, "No Data")</f>
        <v>tier - 2</v>
      </c>
      <c r="L38" s="28" t="str">
        <f t="array" ref="L38">_xlfn.XLOOKUP($A38, 'Hospitalisation Details'!$A:$A, 'Hospitalisation Details'!J:J, "No Data")</f>
        <v>R1012</v>
      </c>
      <c r="M38" s="28" t="str">
        <f t="array" ref="M38">_xlfn.XLOOKUP($A38, 'Hospitalisation Details'!$A:$A, 'Hospitalisation Details'!E:E, "No Data")</f>
        <v>09/08/74</v>
      </c>
      <c r="N38" s="28">
        <f t="array" ref="N38">_xlfn.XLOOKUP($A38, 'Hospitalisation Details'!$A:$A, 'Hospitalisation Details'!K:K, "No Data")</f>
        <v>48</v>
      </c>
      <c r="O38" s="33">
        <f t="array" ref="O38">_xlfn.XLOOKUP($A38, 'Hospitalisation Details'!$A:$A, 'Hospitalisation Details'!G:G, "No Data")</f>
        <v>45702.02</v>
      </c>
      <c r="P38" s="28" t="str">
        <f t="array" ref="P38">_xlfn.XLOOKUP($A38, 'Hospitalisation Details'!$A:$A, 'Hospitalisation Details'!H:H, "No Data")</f>
        <v>tier - 2</v>
      </c>
    </row>
    <row r="39">
      <c r="A39" s="25" t="s">
        <v>147</v>
      </c>
      <c r="B39" s="28" t="str">
        <f t="array" ref="B39">_xlfn.XLOOKUP($A39, 'Customer Names'!$A:$A, 'Customer Names'!B:B, "No Data")</f>
        <v>Grummon</v>
      </c>
      <c r="C39" s="28">
        <f t="array" ref="C39">_xlfn.XLOOKUP($A39, 'Medical Examinations'!$A:$A, 'Medical Examinations'!B:B, "No Data")</f>
        <v>32.45</v>
      </c>
      <c r="D39" s="28">
        <f t="array" ref="D39">_xlfn.XLOOKUP($A39, 'Medical Examinations'!$A:$A, 'Medical Examinations'!C:C, "No Data")</f>
        <v>11.91</v>
      </c>
      <c r="E39" s="28" t="str">
        <f t="array" ref="E39">_xlfn.XLOOKUP($A39, 'Medical Examinations'!$A:$A, 'Medical Examinations'!D:D, "No Data")</f>
        <v>No</v>
      </c>
      <c r="F39" s="28" t="str">
        <f t="array" ref="F39">_xlfn.XLOOKUP($A39, 'Medical Examinations'!$A:$A, 'Medical Examinations'!E:E, "No Data")</f>
        <v>No</v>
      </c>
      <c r="G39" s="28" t="str">
        <f t="array" ref="G39">_xlfn.XLOOKUP($A39, 'Medical Examinations'!$A:$A, 'Medical Examinations'!F:F, "No Data")</f>
        <v>No</v>
      </c>
      <c r="H39" s="28">
        <f t="array" ref="H39">_xlfn.XLOOKUP($A39, 'Medical Examinations'!$A:$A, 'Medical Examinations'!G:G, "No Data")</f>
        <v>0</v>
      </c>
      <c r="I39" s="28" t="str">
        <f t="array" ref="I39">_xlfn.XLOOKUP($A39, 'Medical Examinations'!$A:$A, 'Medical Examinations'!H:H, "No Data")</f>
        <v>yes</v>
      </c>
      <c r="J39" s="28" t="str">
        <f t="array" ref="J39">_xlfn.XLOOKUP($A39, 'Medical Examinations'!$A:$A, 'Medical Examinations'!I:I, "No Data")</f>
        <v>Obesity</v>
      </c>
      <c r="K39" s="28" t="str">
        <f t="array" ref="K39">_xlfn.XLOOKUP($A39, 'Hospitalisation Details'!$A:$A, 'Hospitalisation Details'!I:I, "No Data")</f>
        <v>tier - 2</v>
      </c>
      <c r="L39" s="28" t="str">
        <f t="array" ref="L39">_xlfn.XLOOKUP($A39, 'Hospitalisation Details'!$A:$A, 'Hospitalisation Details'!J:J, "No Data")</f>
        <v>R1013</v>
      </c>
      <c r="M39" s="28" t="str">
        <f t="array" ref="M39">_xlfn.XLOOKUP($A39, 'Hospitalisation Details'!$A:$A, 'Hospitalisation Details'!E:E, "No Data")</f>
        <v>17/12/62</v>
      </c>
      <c r="N39" s="28">
        <f t="array" ref="N39">_xlfn.XLOOKUP($A39, 'Hospitalisation Details'!$A:$A, 'Hospitalisation Details'!K:K, "No Data")</f>
        <v>60</v>
      </c>
      <c r="O39" s="33">
        <f t="array" ref="O39">_xlfn.XLOOKUP($A39, 'Hospitalisation Details'!$A:$A, 'Hospitalisation Details'!G:G, "No Data")</f>
        <v>45008.96</v>
      </c>
      <c r="P39" s="28" t="str">
        <f t="array" ref="P39">_xlfn.XLOOKUP($A39, 'Hospitalisation Details'!$A:$A, 'Hospitalisation Details'!H:H, "No Data")</f>
        <v>tier - 2</v>
      </c>
    </row>
    <row r="40">
      <c r="A40" s="25" t="s">
        <v>150</v>
      </c>
      <c r="B40" s="28" t="str">
        <f t="array" ref="B40">_xlfn.XLOOKUP($A40, 'Customer Names'!$A:$A, 'Customer Names'!B:B, "No Data")</f>
        <v>Vanwechel</v>
      </c>
      <c r="C40" s="28">
        <f t="array" ref="C40">_xlfn.XLOOKUP($A40, 'Medical Examinations'!$A:$A, 'Medical Examinations'!B:B, "No Data")</f>
        <v>34.96</v>
      </c>
      <c r="D40" s="28">
        <f t="array" ref="D40">_xlfn.XLOOKUP($A40, 'Medical Examinations'!$A:$A, 'Medical Examinations'!C:C, "No Data")</f>
        <v>6.52</v>
      </c>
      <c r="E40" s="28" t="str">
        <f t="array" ref="E40">_xlfn.XLOOKUP($A40, 'Medical Examinations'!$A:$A, 'Medical Examinations'!D:D, "No Data")</f>
        <v>No</v>
      </c>
      <c r="F40" s="28" t="str">
        <f t="array" ref="F40">_xlfn.XLOOKUP($A40, 'Medical Examinations'!$A:$A, 'Medical Examinations'!E:E, "No Data")</f>
        <v>No</v>
      </c>
      <c r="G40" s="28" t="str">
        <f t="array" ref="G40">_xlfn.XLOOKUP($A40, 'Medical Examinations'!$A:$A, 'Medical Examinations'!F:F, "No Data")</f>
        <v>No</v>
      </c>
      <c r="H40" s="28">
        <f t="array" ref="H40">_xlfn.XLOOKUP($A40, 'Medical Examinations'!$A:$A, 'Medical Examinations'!G:G, "No Data")</f>
        <v>0</v>
      </c>
      <c r="I40" s="28" t="str">
        <f t="array" ref="I40">_xlfn.XLOOKUP($A40, 'Medical Examinations'!$A:$A, 'Medical Examinations'!H:H, "No Data")</f>
        <v>yes</v>
      </c>
      <c r="J40" s="28" t="str">
        <f t="array" ref="J40">_xlfn.XLOOKUP($A40, 'Medical Examinations'!$A:$A, 'Medical Examinations'!I:I, "No Data")</f>
        <v>Obesity</v>
      </c>
      <c r="K40" s="28" t="str">
        <f t="array" ref="K40">_xlfn.XLOOKUP($A40, 'Hospitalisation Details'!$A:$A, 'Hospitalisation Details'!I:I, "No Data")</f>
        <v>tier - 3</v>
      </c>
      <c r="L40" s="28" t="str">
        <f t="array" ref="L40">_xlfn.XLOOKUP($A40, 'Hospitalisation Details'!$A:$A, 'Hospitalisation Details'!J:J, "No Data")</f>
        <v>R1024</v>
      </c>
      <c r="M40" s="28" t="str">
        <f t="array" ref="M40">_xlfn.XLOOKUP($A40, 'Hospitalisation Details'!$A:$A, 'Hospitalisation Details'!E:E, "No Data")</f>
        <v>13/08/71</v>
      </c>
      <c r="N40" s="28">
        <f t="array" ref="N40">_xlfn.XLOOKUP($A40, 'Hospitalisation Details'!$A:$A, 'Hospitalisation Details'!K:K, "No Data")</f>
        <v>51</v>
      </c>
      <c r="O40" s="33">
        <f t="array" ref="O40">_xlfn.XLOOKUP($A40, 'Hospitalisation Details'!$A:$A, 'Hospitalisation Details'!G:G, "No Data")</f>
        <v>44641.2</v>
      </c>
      <c r="P40" s="28" t="str">
        <f t="array" ref="P40">_xlfn.XLOOKUP($A40, 'Hospitalisation Details'!$A:$A, 'Hospitalisation Details'!H:H, "No Data")</f>
        <v>tier - 2</v>
      </c>
    </row>
    <row r="41">
      <c r="A41" s="25" t="s">
        <v>153</v>
      </c>
      <c r="B41" s="28" t="str">
        <f t="array" ref="B41">_xlfn.XLOOKUP($A41, 'Customer Names'!$A:$A, 'Customer Names'!B:B, "No Data")</f>
        <v>Fisher</v>
      </c>
      <c r="C41" s="28">
        <f t="array" ref="C41">_xlfn.XLOOKUP($A41, 'Medical Examinations'!$A:$A, 'Medical Examinations'!B:B, "No Data")</f>
        <v>35.5</v>
      </c>
      <c r="D41" s="28">
        <f t="array" ref="D41">_xlfn.XLOOKUP($A41, 'Medical Examinations'!$A:$A, 'Medical Examinations'!C:C, "No Data")</f>
        <v>5.14</v>
      </c>
      <c r="E41" s="28" t="str">
        <f t="array" ref="E41">_xlfn.XLOOKUP($A41, 'Medical Examinations'!$A:$A, 'Medical Examinations'!D:D, "No Data")</f>
        <v>No</v>
      </c>
      <c r="F41" s="28" t="str">
        <f t="array" ref="F41">_xlfn.XLOOKUP($A41, 'Medical Examinations'!$A:$A, 'Medical Examinations'!E:E, "No Data")</f>
        <v>No</v>
      </c>
      <c r="G41" s="28" t="str">
        <f t="array" ref="G41">_xlfn.XLOOKUP($A41, 'Medical Examinations'!$A:$A, 'Medical Examinations'!F:F, "No Data")</f>
        <v>Yes</v>
      </c>
      <c r="H41" s="28">
        <f t="array" ref="H41">_xlfn.XLOOKUP($A41, 'Medical Examinations'!$A:$A, 'Medical Examinations'!G:G, "No Data")</f>
        <v>1</v>
      </c>
      <c r="I41" s="28" t="str">
        <f t="array" ref="I41">_xlfn.XLOOKUP($A41, 'Medical Examinations'!$A:$A, 'Medical Examinations'!H:H, "No Data")</f>
        <v>yes</v>
      </c>
      <c r="J41" s="28" t="str">
        <f t="array" ref="J41">_xlfn.XLOOKUP($A41, 'Medical Examinations'!$A:$A, 'Medical Examinations'!I:I, "No Data")</f>
        <v>Obesity</v>
      </c>
      <c r="K41" s="28" t="str">
        <f t="array" ref="K41">_xlfn.XLOOKUP($A41, 'Hospitalisation Details'!$A:$A, 'Hospitalisation Details'!I:I, "No Data")</f>
        <v>tier - 2</v>
      </c>
      <c r="L41" s="28" t="str">
        <f t="array" ref="L41">_xlfn.XLOOKUP($A41, 'Hospitalisation Details'!$A:$A, 'Hospitalisation Details'!J:J, "No Data")</f>
        <v>R1011</v>
      </c>
      <c r="M41" s="28" t="str">
        <f t="array" ref="M41">_xlfn.XLOOKUP($A41, 'Hospitalisation Details'!$A:$A, 'Hospitalisation Details'!E:E, "No Data")</f>
        <v>11/10/93</v>
      </c>
      <c r="N41" s="28">
        <f t="array" ref="N41">_xlfn.XLOOKUP($A41, 'Hospitalisation Details'!$A:$A, 'Hospitalisation Details'!K:K, "No Data")</f>
        <v>29</v>
      </c>
      <c r="O41" s="33">
        <f t="array" ref="O41">_xlfn.XLOOKUP($A41, 'Hospitalisation Details'!$A:$A, 'Hospitalisation Details'!G:G, "No Data")</f>
        <v>44585.46</v>
      </c>
      <c r="P41" s="28" t="str">
        <f t="array" ref="P41">_xlfn.XLOOKUP($A41, 'Hospitalisation Details'!$A:$A, 'Hospitalisation Details'!H:H, "No Data")</f>
        <v>tier - 2</v>
      </c>
    </row>
    <row r="42">
      <c r="A42" s="25" t="s">
        <v>156</v>
      </c>
      <c r="B42" s="28" t="str">
        <f t="array" ref="B42">_xlfn.XLOOKUP($A42, 'Customer Names'!$A:$A, 'Customer Names'!B:B, "No Data")</f>
        <v>Jenkins</v>
      </c>
      <c r="C42" s="28">
        <f t="array" ref="C42">_xlfn.XLOOKUP($A42, 'Medical Examinations'!$A:$A, 'Medical Examinations'!B:B, "No Data")</f>
        <v>52.58</v>
      </c>
      <c r="D42" s="28">
        <f t="array" ref="D42">_xlfn.XLOOKUP($A42, 'Medical Examinations'!$A:$A, 'Medical Examinations'!C:C, "No Data")</f>
        <v>4.19</v>
      </c>
      <c r="E42" s="28" t="str">
        <f t="array" ref="E42">_xlfn.XLOOKUP($A42, 'Medical Examinations'!$A:$A, 'Medical Examinations'!D:D, "No Data")</f>
        <v>No</v>
      </c>
      <c r="F42" s="28" t="str">
        <f t="array" ref="F42">_xlfn.XLOOKUP($A42, 'Medical Examinations'!$A:$A, 'Medical Examinations'!E:E, "No Data")</f>
        <v>yes</v>
      </c>
      <c r="G42" s="28" t="str">
        <f t="array" ref="G42">_xlfn.XLOOKUP($A42, 'Medical Examinations'!$A:$A, 'Medical Examinations'!F:F, "No Data")</f>
        <v>No</v>
      </c>
      <c r="H42" s="28">
        <f t="array" ref="H42">_xlfn.XLOOKUP($A42, 'Medical Examinations'!$A:$A, 'Medical Examinations'!G:G, "No Data")</f>
        <v>1</v>
      </c>
      <c r="I42" s="28" t="str">
        <f t="array" ref="I42">_xlfn.XLOOKUP($A42, 'Medical Examinations'!$A:$A, 'Medical Examinations'!H:H, "No Data")</f>
        <v>yes</v>
      </c>
      <c r="J42" s="28" t="str">
        <f t="array" ref="J42">_xlfn.XLOOKUP($A42, 'Medical Examinations'!$A:$A, 'Medical Examinations'!I:I, "No Data")</f>
        <v>Obesity</v>
      </c>
      <c r="K42" s="28" t="str">
        <f t="array" ref="K42">_xlfn.XLOOKUP($A42, 'Hospitalisation Details'!$A:$A, 'Hospitalisation Details'!I:I, "No Data")</f>
        <v>tier - 3</v>
      </c>
      <c r="L42" s="28" t="str">
        <f t="array" ref="L42">_xlfn.XLOOKUP($A42, 'Hospitalisation Details'!$A:$A, 'Hospitalisation Details'!J:J, "No Data")</f>
        <v>R1013</v>
      </c>
      <c r="M42" s="28" t="str">
        <f t="array" ref="M42">_xlfn.XLOOKUP($A42, 'Hospitalisation Details'!$A:$A, 'Hospitalisation Details'!E:E, "No Data")</f>
        <v>02/08/00</v>
      </c>
      <c r="N42" s="28">
        <f t="array" ref="N42">_xlfn.XLOOKUP($A42, 'Hospitalisation Details'!$A:$A, 'Hospitalisation Details'!K:K, "No Data")</f>
        <v>22</v>
      </c>
      <c r="O42" s="33">
        <f t="array" ref="O42">_xlfn.XLOOKUP($A42, 'Hospitalisation Details'!$A:$A, 'Hospitalisation Details'!G:G, "No Data")</f>
        <v>44501.4</v>
      </c>
      <c r="P42" s="28" t="str">
        <f t="array" ref="P42">_xlfn.XLOOKUP($A42, 'Hospitalisation Details'!$A:$A, 'Hospitalisation Details'!H:H, "No Data")</f>
        <v>tier - 2</v>
      </c>
    </row>
    <row r="43">
      <c r="A43" s="25" t="s">
        <v>159</v>
      </c>
      <c r="B43" s="28" t="str">
        <f t="array" ref="B43">_xlfn.XLOOKUP($A43, 'Customer Names'!$A:$A, 'Customer Names'!B:B, "No Data")</f>
        <v>Peters</v>
      </c>
      <c r="C43" s="28">
        <f t="array" ref="C43">_xlfn.XLOOKUP($A43, 'Medical Examinations'!$A:$A, 'Medical Examinations'!B:B, "No Data")</f>
        <v>35.2</v>
      </c>
      <c r="D43" s="28">
        <f t="array" ref="D43">_xlfn.XLOOKUP($A43, 'Medical Examinations'!$A:$A, 'Medical Examinations'!C:C, "No Data")</f>
        <v>11.68</v>
      </c>
      <c r="E43" s="28" t="str">
        <f t="array" ref="E43">_xlfn.XLOOKUP($A43, 'Medical Examinations'!$A:$A, 'Medical Examinations'!D:D, "No Data")</f>
        <v>yes</v>
      </c>
      <c r="F43" s="28" t="str">
        <f t="array" ref="F43">_xlfn.XLOOKUP($A43, 'Medical Examinations'!$A:$A, 'Medical Examinations'!E:E, "No Data")</f>
        <v>No</v>
      </c>
      <c r="G43" s="28" t="str">
        <f t="array" ref="G43">_xlfn.XLOOKUP($A43, 'Medical Examinations'!$A:$A, 'Medical Examinations'!F:F, "No Data")</f>
        <v>No</v>
      </c>
      <c r="H43" s="28">
        <f t="array" ref="H43">_xlfn.XLOOKUP($A43, 'Medical Examinations'!$A:$A, 'Medical Examinations'!G:G, "No Data")</f>
        <v>0</v>
      </c>
      <c r="I43" s="28" t="str">
        <f t="array" ref="I43">_xlfn.XLOOKUP($A43, 'Medical Examinations'!$A:$A, 'Medical Examinations'!H:H, "No Data")</f>
        <v>yes</v>
      </c>
      <c r="J43" s="28" t="str">
        <f t="array" ref="J43">_xlfn.XLOOKUP($A43, 'Medical Examinations'!$A:$A, 'Medical Examinations'!I:I, "No Data")</f>
        <v>Obesity</v>
      </c>
      <c r="K43" s="28" t="str">
        <f t="array" ref="K43">_xlfn.XLOOKUP($A43, 'Hospitalisation Details'!$A:$A, 'Hospitalisation Details'!I:I, "No Data")</f>
        <v>tier - 3</v>
      </c>
      <c r="L43" s="28" t="str">
        <f t="array" ref="L43">_xlfn.XLOOKUP($A43, 'Hospitalisation Details'!$A:$A, 'Hospitalisation Details'!J:J, "No Data")</f>
        <v>R1013</v>
      </c>
      <c r="M43" s="28" t="str">
        <f t="array" ref="M43">_xlfn.XLOOKUP($A43, 'Hospitalisation Details'!$A:$A, 'Hospitalisation Details'!E:E, "No Data")</f>
        <v>14/09/67</v>
      </c>
      <c r="N43" s="28">
        <f t="array" ref="N43">_xlfn.XLOOKUP($A43, 'Hospitalisation Details'!$A:$A, 'Hospitalisation Details'!K:K, "No Data")</f>
        <v>55</v>
      </c>
      <c r="O43" s="33">
        <f t="array" ref="O43">_xlfn.XLOOKUP($A43, 'Hospitalisation Details'!$A:$A, 'Hospitalisation Details'!G:G, "No Data")</f>
        <v>44423.8</v>
      </c>
      <c r="P43" s="28" t="str">
        <f t="array" ref="P43">_xlfn.XLOOKUP($A43, 'Hospitalisation Details'!$A:$A, 'Hospitalisation Details'!H:H, "No Data")</f>
        <v>tier - 2</v>
      </c>
    </row>
    <row r="44">
      <c r="A44" s="25" t="s">
        <v>162</v>
      </c>
      <c r="B44" s="28" t="str">
        <f t="array" ref="B44">_xlfn.XLOOKUP($A44, 'Customer Names'!$A:$A, 'Customer Names'!B:B, "No Data")</f>
        <v>Aha</v>
      </c>
      <c r="C44" s="28">
        <f t="array" ref="C44">_xlfn.XLOOKUP($A44, 'Medical Examinations'!$A:$A, 'Medical Examinations'!B:B, "No Data")</f>
        <v>38.06</v>
      </c>
      <c r="D44" s="28">
        <f t="array" ref="D44">_xlfn.XLOOKUP($A44, 'Medical Examinations'!$A:$A, 'Medical Examinations'!C:C, "No Data")</f>
        <v>6.98</v>
      </c>
      <c r="E44" s="28" t="str">
        <f t="array" ref="E44">_xlfn.XLOOKUP($A44, 'Medical Examinations'!$A:$A, 'Medical Examinations'!D:D, "No Data")</f>
        <v>No</v>
      </c>
      <c r="F44" s="28" t="str">
        <f t="array" ref="F44">_xlfn.XLOOKUP($A44, 'Medical Examinations'!$A:$A, 'Medical Examinations'!E:E, "No Data")</f>
        <v>No</v>
      </c>
      <c r="G44" s="28" t="str">
        <f t="array" ref="G44">_xlfn.XLOOKUP($A44, 'Medical Examinations'!$A:$A, 'Medical Examinations'!F:F, "No Data")</f>
        <v>No</v>
      </c>
      <c r="H44" s="28">
        <f t="array" ref="H44">_xlfn.XLOOKUP($A44, 'Medical Examinations'!$A:$A, 'Medical Examinations'!G:G, "No Data")</f>
        <v>0</v>
      </c>
      <c r="I44" s="28" t="str">
        <f t="array" ref="I44">_xlfn.XLOOKUP($A44, 'Medical Examinations'!$A:$A, 'Medical Examinations'!H:H, "No Data")</f>
        <v>yes</v>
      </c>
      <c r="J44" s="28" t="str">
        <f t="array" ref="J44">_xlfn.XLOOKUP($A44, 'Medical Examinations'!$A:$A, 'Medical Examinations'!I:I, "No Data")</f>
        <v>Obesity</v>
      </c>
      <c r="K44" s="28" t="str">
        <f t="array" ref="K44">_xlfn.XLOOKUP($A44, 'Hospitalisation Details'!$A:$A, 'Hospitalisation Details'!I:I, "No Data")</f>
        <v>tier - 2</v>
      </c>
      <c r="L44" s="28" t="str">
        <f t="array" ref="L44">_xlfn.XLOOKUP($A44, 'Hospitalisation Details'!$A:$A, 'Hospitalisation Details'!J:J, "No Data")</f>
        <v>R1013</v>
      </c>
      <c r="M44" s="28" t="str">
        <f t="array" ref="M44">_xlfn.XLOOKUP($A44, 'Hospitalisation Details'!$A:$A, 'Hospitalisation Details'!E:E, "No Data")</f>
        <v>29/10/71</v>
      </c>
      <c r="N44" s="28">
        <f t="array" ref="N44">_xlfn.XLOOKUP($A44, 'Hospitalisation Details'!$A:$A, 'Hospitalisation Details'!K:K, "No Data")</f>
        <v>51</v>
      </c>
      <c r="O44" s="33">
        <f t="array" ref="O44">_xlfn.XLOOKUP($A44, 'Hospitalisation Details'!$A:$A, 'Hospitalisation Details'!G:G, "No Data")</f>
        <v>44400.41</v>
      </c>
      <c r="P44" s="28" t="str">
        <f t="array" ref="P44">_xlfn.XLOOKUP($A44, 'Hospitalisation Details'!$A:$A, 'Hospitalisation Details'!H:H, "No Data")</f>
        <v>tier - 2</v>
      </c>
    </row>
    <row r="45">
      <c r="A45" s="25" t="s">
        <v>164</v>
      </c>
      <c r="B45" s="28" t="str">
        <f t="array" ref="B45">_xlfn.XLOOKUP($A45, 'Customer Names'!$A:$A, 'Customer Names'!B:B, "No Data")</f>
        <v>McElwain</v>
      </c>
      <c r="C45" s="28">
        <f t="array" ref="C45">_xlfn.XLOOKUP($A45, 'Medical Examinations'!$A:$A, 'Medical Examinations'!B:B, "No Data")</f>
        <v>34.21</v>
      </c>
      <c r="D45" s="28">
        <f t="array" ref="D45">_xlfn.XLOOKUP($A45, 'Medical Examinations'!$A:$A, 'Medical Examinations'!C:C, "No Data")</f>
        <v>8.34</v>
      </c>
      <c r="E45" s="28" t="str">
        <f t="array" ref="E45">_xlfn.XLOOKUP($A45, 'Medical Examinations'!$A:$A, 'Medical Examinations'!D:D, "No Data")</f>
        <v>No</v>
      </c>
      <c r="F45" s="28" t="str">
        <f t="array" ref="F45">_xlfn.XLOOKUP($A45, 'Medical Examinations'!$A:$A, 'Medical Examinations'!E:E, "No Data")</f>
        <v>No</v>
      </c>
      <c r="G45" s="28" t="str">
        <f t="array" ref="G45">_xlfn.XLOOKUP($A45, 'Medical Examinations'!$A:$A, 'Medical Examinations'!F:F, "No Data")</f>
        <v>No</v>
      </c>
      <c r="H45" s="28">
        <f t="array" ref="H45">_xlfn.XLOOKUP($A45, 'Medical Examinations'!$A:$A, 'Medical Examinations'!G:G, "No Data")</f>
        <v>0</v>
      </c>
      <c r="I45" s="28" t="str">
        <f t="array" ref="I45">_xlfn.XLOOKUP($A45, 'Medical Examinations'!$A:$A, 'Medical Examinations'!H:H, "No Data")</f>
        <v>yes</v>
      </c>
      <c r="J45" s="28" t="str">
        <f t="array" ref="J45">_xlfn.XLOOKUP($A45, 'Medical Examinations'!$A:$A, 'Medical Examinations'!I:I, "No Data")</f>
        <v>Obesity</v>
      </c>
      <c r="K45" s="28" t="str">
        <f t="array" ref="K45">_xlfn.XLOOKUP($A45, 'Hospitalisation Details'!$A:$A, 'Hospitalisation Details'!I:I, "No Data")</f>
        <v>tier - 1</v>
      </c>
      <c r="L45" s="28" t="str">
        <f t="array" ref="L45">_xlfn.XLOOKUP($A45, 'Hospitalisation Details'!$A:$A, 'Hospitalisation Details'!J:J, "No Data")</f>
        <v>R1013</v>
      </c>
      <c r="M45" s="28" t="str">
        <f t="array" ref="M45">_xlfn.XLOOKUP($A45, 'Hospitalisation Details'!$A:$A, 'Hospitalisation Details'!E:E, "No Data")</f>
        <v>24/11/68</v>
      </c>
      <c r="N45" s="28">
        <f t="array" ref="N45">_xlfn.XLOOKUP($A45, 'Hospitalisation Details'!$A:$A, 'Hospitalisation Details'!K:K, "No Data")</f>
        <v>54</v>
      </c>
      <c r="O45" s="33">
        <f t="array" ref="O45">_xlfn.XLOOKUP($A45, 'Hospitalisation Details'!$A:$A, 'Hospitalisation Details'!G:G, "No Data")</f>
        <v>44260.75</v>
      </c>
      <c r="P45" s="28" t="str">
        <f t="array" ref="P45">_xlfn.XLOOKUP($A45, 'Hospitalisation Details'!$A:$A, 'Hospitalisation Details'!H:H, "No Data")</f>
        <v>tier - 2</v>
      </c>
    </row>
    <row r="46">
      <c r="A46" s="25" t="s">
        <v>167</v>
      </c>
      <c r="B46" s="28" t="str">
        <f t="array" ref="B46">_xlfn.XLOOKUP($A46, 'Customer Names'!$A:$A, 'Customer Names'!B:B, "No Data")</f>
        <v>Januszewski</v>
      </c>
      <c r="C46" s="28">
        <f t="array" ref="C46">_xlfn.XLOOKUP($A46, 'Medical Examinations'!$A:$A, 'Medical Examinations'!B:B, "No Data")</f>
        <v>38.94</v>
      </c>
      <c r="D46" s="28">
        <f t="array" ref="D46">_xlfn.XLOOKUP($A46, 'Medical Examinations'!$A:$A, 'Medical Examinations'!C:C, "No Data")</f>
        <v>8.49</v>
      </c>
      <c r="E46" s="28" t="str">
        <f t="array" ref="E46">_xlfn.XLOOKUP($A46, 'Medical Examinations'!$A:$A, 'Medical Examinations'!D:D, "No Data")</f>
        <v>yes</v>
      </c>
      <c r="F46" s="28" t="str">
        <f t="array" ref="F46">_xlfn.XLOOKUP($A46, 'Medical Examinations'!$A:$A, 'Medical Examinations'!E:E, "No Data")</f>
        <v>No</v>
      </c>
      <c r="G46" s="28" t="str">
        <f t="array" ref="G46">_xlfn.XLOOKUP($A46, 'Medical Examinations'!$A:$A, 'Medical Examinations'!F:F, "No Data")</f>
        <v>No</v>
      </c>
      <c r="H46" s="28">
        <f t="array" ref="H46">_xlfn.XLOOKUP($A46, 'Medical Examinations'!$A:$A, 'Medical Examinations'!G:G, "No Data")</f>
        <v>1</v>
      </c>
      <c r="I46" s="28" t="str">
        <f t="array" ref="I46">_xlfn.XLOOKUP($A46, 'Medical Examinations'!$A:$A, 'Medical Examinations'!H:H, "No Data")</f>
        <v>yes</v>
      </c>
      <c r="J46" s="28" t="str">
        <f t="array" ref="J46">_xlfn.XLOOKUP($A46, 'Medical Examinations'!$A:$A, 'Medical Examinations'!I:I, "No Data")</f>
        <v>Obesity</v>
      </c>
      <c r="K46" s="28" t="str">
        <f t="array" ref="K46">_xlfn.XLOOKUP($A46, 'Hospitalisation Details'!$A:$A, 'Hospitalisation Details'!I:I, "No Data")</f>
        <v>tier - 2</v>
      </c>
      <c r="L46" s="28" t="str">
        <f t="array" ref="L46">_xlfn.XLOOKUP($A46, 'Hospitalisation Details'!$A:$A, 'Hospitalisation Details'!J:J, "No Data")</f>
        <v>R1013</v>
      </c>
      <c r="M46" s="28" t="str">
        <f t="array" ref="M46">_xlfn.XLOOKUP($A46, 'Hospitalisation Details'!$A:$A, 'Hospitalisation Details'!E:E, "No Data")</f>
        <v>01/06/75</v>
      </c>
      <c r="N46" s="28">
        <f t="array" ref="N46">_xlfn.XLOOKUP($A46, 'Hospitalisation Details'!$A:$A, 'Hospitalisation Details'!K:K, "No Data")</f>
        <v>48</v>
      </c>
      <c r="O46" s="33">
        <f t="array" ref="O46">_xlfn.XLOOKUP($A46, 'Hospitalisation Details'!$A:$A, 'Hospitalisation Details'!G:G, "No Data")</f>
        <v>44202.65</v>
      </c>
      <c r="P46" s="28" t="str">
        <f t="array" ref="P46">_xlfn.XLOOKUP($A46, 'Hospitalisation Details'!$A:$A, 'Hospitalisation Details'!H:H, "No Data")</f>
        <v>tier - 2</v>
      </c>
    </row>
    <row r="47">
      <c r="A47" s="25" t="s">
        <v>170</v>
      </c>
      <c r="B47" s="28" t="str">
        <f t="array" ref="B47">_xlfn.XLOOKUP($A47, 'Customer Names'!$A:$A, 'Customer Names'!B:B, "No Data")</f>
        <v>Rohne</v>
      </c>
      <c r="C47" s="28">
        <f t="array" ref="C47">_xlfn.XLOOKUP($A47, 'Medical Examinations'!$A:$A, 'Medical Examinations'!B:B, "No Data")</f>
        <v>30.21</v>
      </c>
      <c r="D47" s="28">
        <f t="array" ref="D47">_xlfn.XLOOKUP($A47, 'Medical Examinations'!$A:$A, 'Medical Examinations'!C:C, "No Data")</f>
        <v>5.34</v>
      </c>
      <c r="E47" s="28" t="str">
        <f t="array" ref="E47">_xlfn.XLOOKUP($A47, 'Medical Examinations'!$A:$A, 'Medical Examinations'!D:D, "No Data")</f>
        <v>yes</v>
      </c>
      <c r="F47" s="28" t="str">
        <f t="array" ref="F47">_xlfn.XLOOKUP($A47, 'Medical Examinations'!$A:$A, 'Medical Examinations'!E:E, "No Data")</f>
        <v>No</v>
      </c>
      <c r="G47" s="28" t="str">
        <f t="array" ref="G47">_xlfn.XLOOKUP($A47, 'Medical Examinations'!$A:$A, 'Medical Examinations'!F:F, "No Data")</f>
        <v>No</v>
      </c>
      <c r="H47" s="28">
        <f t="array" ref="H47">_xlfn.XLOOKUP($A47, 'Medical Examinations'!$A:$A, 'Medical Examinations'!G:G, "No Data")</f>
        <v>1</v>
      </c>
      <c r="I47" s="28" t="str">
        <f t="array" ref="I47">_xlfn.XLOOKUP($A47, 'Medical Examinations'!$A:$A, 'Medical Examinations'!H:H, "No Data")</f>
        <v>yes</v>
      </c>
      <c r="J47" s="28" t="str">
        <f t="array" ref="J47">_xlfn.XLOOKUP($A47, 'Medical Examinations'!$A:$A, 'Medical Examinations'!I:I, "No Data")</f>
        <v>Obesity</v>
      </c>
      <c r="K47" s="28" t="str">
        <f t="array" ref="K47">_xlfn.XLOOKUP($A47, 'Hospitalisation Details'!$A:$A, 'Hospitalisation Details'!I:I, "No Data")</f>
        <v>tier - 1</v>
      </c>
      <c r="L47" s="28" t="str">
        <f t="array" ref="L47">_xlfn.XLOOKUP($A47, 'Hospitalisation Details'!$A:$A, 'Hospitalisation Details'!J:J, "No Data")</f>
        <v>R1012</v>
      </c>
      <c r="M47" s="28" t="str">
        <f t="array" ref="M47">_xlfn.XLOOKUP($A47, 'Hospitalisation Details'!$A:$A, 'Hospitalisation Details'!E:E, "No Data")</f>
        <v>16/07/88</v>
      </c>
      <c r="N47" s="28">
        <f t="array" ref="N47">_xlfn.XLOOKUP($A47, 'Hospitalisation Details'!$A:$A, 'Hospitalisation Details'!K:K, "No Data")</f>
        <v>34</v>
      </c>
      <c r="O47" s="33">
        <f t="array" ref="O47">_xlfn.XLOOKUP($A47, 'Hospitalisation Details'!$A:$A, 'Hospitalisation Details'!G:G, "No Data")</f>
        <v>43943.88</v>
      </c>
      <c r="P47" s="28" t="str">
        <f t="array" ref="P47">_xlfn.XLOOKUP($A47, 'Hospitalisation Details'!$A:$A, 'Hospitalisation Details'!H:H, "No Data")</f>
        <v>tier - 2</v>
      </c>
    </row>
    <row r="48">
      <c r="A48" s="25" t="s">
        <v>173</v>
      </c>
      <c r="B48" s="28" t="str">
        <f t="array" ref="B48">_xlfn.XLOOKUP($A48, 'Customer Names'!$A:$A, 'Customer Names'!B:B, "No Data")</f>
        <v>O'Grady</v>
      </c>
      <c r="C48" s="28">
        <f t="array" ref="C48">_xlfn.XLOOKUP($A48, 'Medical Examinations'!$A:$A, 'Medical Examinations'!B:B, "No Data")</f>
        <v>33.63</v>
      </c>
      <c r="D48" s="28">
        <f t="array" ref="D48">_xlfn.XLOOKUP($A48, 'Medical Examinations'!$A:$A, 'Medical Examinations'!C:C, "No Data")</f>
        <v>4.43</v>
      </c>
      <c r="E48" s="28" t="str">
        <f t="array" ref="E48">_xlfn.XLOOKUP($A48, 'Medical Examinations'!$A:$A, 'Medical Examinations'!D:D, "No Data")</f>
        <v>yes</v>
      </c>
      <c r="F48" s="28" t="str">
        <f t="array" ref="F48">_xlfn.XLOOKUP($A48, 'Medical Examinations'!$A:$A, 'Medical Examinations'!E:E, "No Data")</f>
        <v>No</v>
      </c>
      <c r="G48" s="28" t="str">
        <f t="array" ref="G48">_xlfn.XLOOKUP($A48, 'Medical Examinations'!$A:$A, 'Medical Examinations'!F:F, "No Data")</f>
        <v>No</v>
      </c>
      <c r="H48" s="28">
        <f t="array" ref="H48">_xlfn.XLOOKUP($A48, 'Medical Examinations'!$A:$A, 'Medical Examinations'!G:G, "No Data")</f>
        <v>2</v>
      </c>
      <c r="I48" s="28" t="str">
        <f t="array" ref="I48">_xlfn.XLOOKUP($A48, 'Medical Examinations'!$A:$A, 'Medical Examinations'!H:H, "No Data")</f>
        <v>yes</v>
      </c>
      <c r="J48" s="28" t="str">
        <f t="array" ref="J48">_xlfn.XLOOKUP($A48, 'Medical Examinations'!$A:$A, 'Medical Examinations'!I:I, "No Data")</f>
        <v>Obesity</v>
      </c>
      <c r="K48" s="28" t="str">
        <f t="array" ref="K48">_xlfn.XLOOKUP($A48, 'Hospitalisation Details'!$A:$A, 'Hospitalisation Details'!I:I, "No Data")</f>
        <v>tier - 2</v>
      </c>
      <c r="L48" s="28" t="str">
        <f t="array" ref="L48">_xlfn.XLOOKUP($A48, 'Hospitalisation Details'!$A:$A, 'Hospitalisation Details'!J:J, "No Data")</f>
        <v>R1012</v>
      </c>
      <c r="M48" s="28" t="str">
        <f t="array" ref="M48">_xlfn.XLOOKUP($A48, 'Hospitalisation Details'!$A:$A, 'Hospitalisation Details'!E:E, "No Data")</f>
        <v>05/10/66</v>
      </c>
      <c r="N48" s="28">
        <f t="array" ref="N48">_xlfn.XLOOKUP($A48, 'Hospitalisation Details'!$A:$A, 'Hospitalisation Details'!K:K, "No Data")</f>
        <v>56</v>
      </c>
      <c r="O48" s="33">
        <f t="array" ref="O48">_xlfn.XLOOKUP($A48, 'Hospitalisation Details'!$A:$A, 'Hospitalisation Details'!G:G, "No Data")</f>
        <v>43921.18</v>
      </c>
      <c r="P48" s="28" t="str">
        <f t="array" ref="P48">_xlfn.XLOOKUP($A48, 'Hospitalisation Details'!$A:$A, 'Hospitalisation Details'!H:H, "No Data")</f>
        <v>tier - 2</v>
      </c>
    </row>
    <row r="49">
      <c r="A49" s="25" t="s">
        <v>176</v>
      </c>
      <c r="B49" s="28" t="str">
        <f t="array" ref="B49">_xlfn.XLOOKUP($A49, 'Customer Names'!$A:$A, 'Customer Names'!B:B, "No Data")</f>
        <v>Peters</v>
      </c>
      <c r="C49" s="28">
        <f t="array" ref="C49">_xlfn.XLOOKUP($A49, 'Medical Examinations'!$A:$A, 'Medical Examinations'!B:B, "No Data")</f>
        <v>40.37</v>
      </c>
      <c r="D49" s="28">
        <f t="array" ref="D49">_xlfn.XLOOKUP($A49, 'Medical Examinations'!$A:$A, 'Medical Examinations'!C:C, "No Data")</f>
        <v>4.47</v>
      </c>
      <c r="E49" s="28" t="str">
        <f t="array" ref="E49">_xlfn.XLOOKUP($A49, 'Medical Examinations'!$A:$A, 'Medical Examinations'!D:D, "No Data")</f>
        <v>No</v>
      </c>
      <c r="F49" s="28" t="str">
        <f t="array" ref="F49">_xlfn.XLOOKUP($A49, 'Medical Examinations'!$A:$A, 'Medical Examinations'!E:E, "No Data")</f>
        <v>No</v>
      </c>
      <c r="G49" s="28" t="str">
        <f t="array" ref="G49">_xlfn.XLOOKUP($A49, 'Medical Examinations'!$A:$A, 'Medical Examinations'!F:F, "No Data")</f>
        <v>No</v>
      </c>
      <c r="H49" s="28">
        <f t="array" ref="H49">_xlfn.XLOOKUP($A49, 'Medical Examinations'!$A:$A, 'Medical Examinations'!G:G, "No Data")</f>
        <v>0</v>
      </c>
      <c r="I49" s="28" t="str">
        <f t="array" ref="I49">_xlfn.XLOOKUP($A49, 'Medical Examinations'!$A:$A, 'Medical Examinations'!H:H, "No Data")</f>
        <v>yes</v>
      </c>
      <c r="J49" s="28" t="str">
        <f t="array" ref="J49">_xlfn.XLOOKUP($A49, 'Medical Examinations'!$A:$A, 'Medical Examinations'!I:I, "No Data")</f>
        <v>Obesity</v>
      </c>
      <c r="K49" s="28" t="str">
        <f t="array" ref="K49">_xlfn.XLOOKUP($A49, 'Hospitalisation Details'!$A:$A, 'Hospitalisation Details'!I:I, "No Data")</f>
        <v>tier - 1</v>
      </c>
      <c r="L49" s="28" t="str">
        <f t="array" ref="L49">_xlfn.XLOOKUP($A49, 'Hospitalisation Details'!$A:$A, 'Hospitalisation Details'!J:J, "No Data")</f>
        <v>R1013</v>
      </c>
      <c r="M49" s="28" t="str">
        <f t="array" ref="M49">_xlfn.XLOOKUP($A49, 'Hospitalisation Details'!$A:$A, 'Hospitalisation Details'!E:E, "No Data")</f>
        <v>10/11/80</v>
      </c>
      <c r="N49" s="28">
        <f t="array" ref="N49">_xlfn.XLOOKUP($A49, 'Hospitalisation Details'!$A:$A, 'Hospitalisation Details'!K:K, "No Data")</f>
        <v>42</v>
      </c>
      <c r="O49" s="33">
        <f t="array" ref="O49">_xlfn.XLOOKUP($A49, 'Hospitalisation Details'!$A:$A, 'Hospitalisation Details'!G:G, "No Data")</f>
        <v>43896.38</v>
      </c>
      <c r="P49" s="28" t="str">
        <f t="array" ref="P49">_xlfn.XLOOKUP($A49, 'Hospitalisation Details'!$A:$A, 'Hospitalisation Details'!H:H, "No Data")</f>
        <v>tier - 2</v>
      </c>
    </row>
    <row r="50">
      <c r="A50" s="25" t="s">
        <v>178</v>
      </c>
      <c r="B50" s="28" t="str">
        <f t="array" ref="B50">_xlfn.XLOOKUP($A50, 'Customer Names'!$A:$A, 'Customer Names'!B:B, "No Data")</f>
        <v>De Simone</v>
      </c>
      <c r="C50" s="28">
        <f t="array" ref="C50">_xlfn.XLOOKUP($A50, 'Medical Examinations'!$A:$A, 'Medical Examinations'!B:B, "No Data")</f>
        <v>53.09</v>
      </c>
      <c r="D50" s="28">
        <f t="array" ref="D50">_xlfn.XLOOKUP($A50, 'Medical Examinations'!$A:$A, 'Medical Examinations'!C:C, "No Data")</f>
        <v>4.82</v>
      </c>
      <c r="E50" s="28" t="str">
        <f t="array" ref="E50">_xlfn.XLOOKUP($A50, 'Medical Examinations'!$A:$A, 'Medical Examinations'!D:D, "No Data")</f>
        <v>yes</v>
      </c>
      <c r="F50" s="28" t="str">
        <f t="array" ref="F50">_xlfn.XLOOKUP($A50, 'Medical Examinations'!$A:$A, 'Medical Examinations'!E:E, "No Data")</f>
        <v>No</v>
      </c>
      <c r="G50" s="28" t="str">
        <f t="array" ref="G50">_xlfn.XLOOKUP($A50, 'Medical Examinations'!$A:$A, 'Medical Examinations'!F:F, "No Data")</f>
        <v>No</v>
      </c>
      <c r="H50" s="28">
        <f t="array" ref="H50">_xlfn.XLOOKUP($A50, 'Medical Examinations'!$A:$A, 'Medical Examinations'!G:G, "No Data")</f>
        <v>2</v>
      </c>
      <c r="I50" s="28" t="str">
        <f t="array" ref="I50">_xlfn.XLOOKUP($A50, 'Medical Examinations'!$A:$A, 'Medical Examinations'!H:H, "No Data")</f>
        <v>yes</v>
      </c>
      <c r="J50" s="28" t="str">
        <f t="array" ref="J50">_xlfn.XLOOKUP($A50, 'Medical Examinations'!$A:$A, 'Medical Examinations'!I:I, "No Data")</f>
        <v>Obesity</v>
      </c>
      <c r="K50" s="28" t="str">
        <f t="array" ref="K50">_xlfn.XLOOKUP($A50, 'Hospitalisation Details'!$A:$A, 'Hospitalisation Details'!I:I, "No Data")</f>
        <v>tier - 3</v>
      </c>
      <c r="L50" s="28" t="str">
        <f t="array" ref="L50">_xlfn.XLOOKUP($A50, 'Hospitalisation Details'!$A:$A, 'Hospitalisation Details'!J:J, "No Data")</f>
        <v>R1012</v>
      </c>
      <c r="M50" s="28" t="str">
        <f t="array" ref="M50">_xlfn.XLOOKUP($A50, 'Hospitalisation Details'!$A:$A, 'Hospitalisation Details'!E:E, "No Data")</f>
        <v>02/07/66</v>
      </c>
      <c r="N50" s="28">
        <f t="array" ref="N50">_xlfn.XLOOKUP($A50, 'Hospitalisation Details'!$A:$A, 'Hospitalisation Details'!K:K, "No Data")</f>
        <v>56</v>
      </c>
      <c r="O50" s="33">
        <f t="array" ref="O50">_xlfn.XLOOKUP($A50, 'Hospitalisation Details'!$A:$A, 'Hospitalisation Details'!G:G, "No Data")</f>
        <v>43817.45</v>
      </c>
      <c r="P50" s="28" t="str">
        <f t="array" ref="P50">_xlfn.XLOOKUP($A50, 'Hospitalisation Details'!$A:$A, 'Hospitalisation Details'!H:H, "No Data")</f>
        <v>tier - 2</v>
      </c>
    </row>
    <row r="51">
      <c r="A51" s="25" t="s">
        <v>181</v>
      </c>
      <c r="B51" s="28" t="str">
        <f t="array" ref="B51">_xlfn.XLOOKUP($A51, 'Customer Names'!$A:$A, 'Customer Names'!B:B, "No Data")</f>
        <v>Beckett</v>
      </c>
      <c r="C51" s="28">
        <f t="array" ref="C51">_xlfn.XLOOKUP($A51, 'Medical Examinations'!$A:$A, 'Medical Examinations'!B:B, "No Data")</f>
        <v>31.79</v>
      </c>
      <c r="D51" s="28">
        <f t="array" ref="D51">_xlfn.XLOOKUP($A51, 'Medical Examinations'!$A:$A, 'Medical Examinations'!C:C, "No Data")</f>
        <v>5.51</v>
      </c>
      <c r="E51" s="28" t="str">
        <f t="array" ref="E51">_xlfn.XLOOKUP($A51, 'Medical Examinations'!$A:$A, 'Medical Examinations'!D:D, "No Data")</f>
        <v>yes</v>
      </c>
      <c r="F51" s="28" t="str">
        <f t="array" ref="F51">_xlfn.XLOOKUP($A51, 'Medical Examinations'!$A:$A, 'Medical Examinations'!E:E, "No Data")</f>
        <v>No</v>
      </c>
      <c r="G51" s="28" t="str">
        <f t="array" ref="G51">_xlfn.XLOOKUP($A51, 'Medical Examinations'!$A:$A, 'Medical Examinations'!F:F, "No Data")</f>
        <v>No</v>
      </c>
      <c r="H51" s="28">
        <f t="array" ref="H51">_xlfn.XLOOKUP($A51, 'Medical Examinations'!$A:$A, 'Medical Examinations'!G:G, "No Data")</f>
        <v>2</v>
      </c>
      <c r="I51" s="28" t="str">
        <f t="array" ref="I51">_xlfn.XLOOKUP($A51, 'Medical Examinations'!$A:$A, 'Medical Examinations'!H:H, "No Data")</f>
        <v>yes</v>
      </c>
      <c r="J51" s="28" t="str">
        <f t="array" ref="J51">_xlfn.XLOOKUP($A51, 'Medical Examinations'!$A:$A, 'Medical Examinations'!I:I, "No Data")</f>
        <v>Obesity</v>
      </c>
      <c r="K51" s="28" t="str">
        <f t="array" ref="K51">_xlfn.XLOOKUP($A51, 'Hospitalisation Details'!$A:$A, 'Hospitalisation Details'!I:I, "No Data")</f>
        <v>tier - 2</v>
      </c>
      <c r="L51" s="28" t="str">
        <f t="array" ref="L51">_xlfn.XLOOKUP($A51, 'Hospitalisation Details'!$A:$A, 'Hospitalisation Details'!J:J, "No Data")</f>
        <v>R1013</v>
      </c>
      <c r="M51" s="28" t="str">
        <f t="array" ref="M51">_xlfn.XLOOKUP($A51, 'Hospitalisation Details'!$A:$A, 'Hospitalisation Details'!E:E, "No Data")</f>
        <v>25/10/66</v>
      </c>
      <c r="N51" s="28">
        <f t="array" ref="N51">_xlfn.XLOOKUP($A51, 'Hospitalisation Details'!$A:$A, 'Hospitalisation Details'!K:K, "No Data")</f>
        <v>56</v>
      </c>
      <c r="O51" s="33">
        <f t="array" ref="O51">_xlfn.XLOOKUP($A51, 'Hospitalisation Details'!$A:$A, 'Hospitalisation Details'!G:G, "No Data")</f>
        <v>43813.87</v>
      </c>
      <c r="P51" s="28" t="str">
        <f t="array" ref="P51">_xlfn.XLOOKUP($A51, 'Hospitalisation Details'!$A:$A, 'Hospitalisation Details'!H:H, "No Data")</f>
        <v>tier - 2</v>
      </c>
    </row>
    <row r="52">
      <c r="A52" s="25" t="s">
        <v>185</v>
      </c>
      <c r="B52" s="28" t="str">
        <f t="array" ref="B52">_xlfn.XLOOKUP($A52, 'Customer Names'!$A:$A, 'Customer Names'!B:B, "No Data")</f>
        <v>Sobrilsky</v>
      </c>
      <c r="C52" s="28">
        <f t="array" ref="C52">_xlfn.XLOOKUP($A52, 'Medical Examinations'!$A:$A, 'Medical Examinations'!B:B, "No Data")</f>
        <v>41.895</v>
      </c>
      <c r="D52" s="28">
        <f t="array" ref="D52">_xlfn.XLOOKUP($A52, 'Medical Examinations'!$A:$A, 'Medical Examinations'!C:C, "No Data")</f>
        <v>10.87</v>
      </c>
      <c r="E52" s="28" t="str">
        <f t="array" ref="E52">_xlfn.XLOOKUP($A52, 'Medical Examinations'!$A:$A, 'Medical Examinations'!D:D, "No Data")</f>
        <v>yes</v>
      </c>
      <c r="F52" s="28" t="str">
        <f t="array" ref="F52">_xlfn.XLOOKUP($A52, 'Medical Examinations'!$A:$A, 'Medical Examinations'!E:E, "No Data")</f>
        <v>No</v>
      </c>
      <c r="G52" s="28" t="str">
        <f t="array" ref="G52">_xlfn.XLOOKUP($A52, 'Medical Examinations'!$A:$A, 'Medical Examinations'!F:F, "No Data")</f>
        <v>No</v>
      </c>
      <c r="H52" s="28">
        <f t="array" ref="H52">_xlfn.XLOOKUP($A52, 'Medical Examinations'!$A:$A, 'Medical Examinations'!G:G, "No Data")</f>
        <v>1</v>
      </c>
      <c r="I52" s="28" t="str">
        <f t="array" ref="I52">_xlfn.XLOOKUP($A52, 'Medical Examinations'!$A:$A, 'Medical Examinations'!H:H, "No Data")</f>
        <v>yes</v>
      </c>
      <c r="J52" s="28" t="str">
        <f t="array" ref="J52">_xlfn.XLOOKUP($A52, 'Medical Examinations'!$A:$A, 'Medical Examinations'!I:I, "No Data")</f>
        <v>Obesity</v>
      </c>
      <c r="K52" s="28" t="str">
        <f t="array" ref="K52">_xlfn.XLOOKUP($A52, 'Hospitalisation Details'!$A:$A, 'Hospitalisation Details'!I:I, "No Data")</f>
        <v>tier - 1</v>
      </c>
      <c r="L52" s="28" t="str">
        <f t="array" ref="L52">_xlfn.XLOOKUP($A52, 'Hospitalisation Details'!$A:$A, 'Hospitalisation Details'!J:J, "No Data")</f>
        <v>R1015</v>
      </c>
      <c r="M52" s="28" t="str">
        <f t="array" ref="M52">_xlfn.XLOOKUP($A52, 'Hospitalisation Details'!$A:$A, 'Hospitalisation Details'!E:E, "No Data")</f>
        <v>29/12/86</v>
      </c>
      <c r="N52" s="28">
        <f t="array" ref="N52">_xlfn.XLOOKUP($A52, 'Hospitalisation Details'!$A:$A, 'Hospitalisation Details'!K:K, "No Data")</f>
        <v>36</v>
      </c>
      <c r="O52" s="33">
        <f t="array" ref="O52">_xlfn.XLOOKUP($A52, 'Hospitalisation Details'!$A:$A, 'Hospitalisation Details'!G:G, "No Data")</f>
        <v>43753.34</v>
      </c>
      <c r="P52" s="28" t="str">
        <f t="array" ref="P52">_xlfn.XLOOKUP($A52, 'Hospitalisation Details'!$A:$A, 'Hospitalisation Details'!H:H, "No Data")</f>
        <v>tier - 2</v>
      </c>
    </row>
    <row r="53">
      <c r="A53" s="25" t="s">
        <v>188</v>
      </c>
      <c r="B53" s="28" t="str">
        <f t="array" ref="B53">_xlfn.XLOOKUP($A53, 'Customer Names'!$A:$A, 'Customer Names'!B:B, "No Data")</f>
        <v>Wang</v>
      </c>
      <c r="C53" s="28">
        <f t="array" ref="C53">_xlfn.XLOOKUP($A53, 'Medical Examinations'!$A:$A, 'Medical Examinations'!B:B, "No Data")</f>
        <v>31.16</v>
      </c>
      <c r="D53" s="28">
        <f t="array" ref="D53">_xlfn.XLOOKUP($A53, 'Medical Examinations'!$A:$A, 'Medical Examinations'!C:C, "No Data")</f>
        <v>9.34</v>
      </c>
      <c r="E53" s="28" t="str">
        <f t="array" ref="E53">_xlfn.XLOOKUP($A53, 'Medical Examinations'!$A:$A, 'Medical Examinations'!D:D, "No Data")</f>
        <v>No</v>
      </c>
      <c r="F53" s="28" t="str">
        <f t="array" ref="F53">_xlfn.XLOOKUP($A53, 'Medical Examinations'!$A:$A, 'Medical Examinations'!E:E, "No Data")</f>
        <v>No</v>
      </c>
      <c r="G53" s="28" t="str">
        <f t="array" ref="G53">_xlfn.XLOOKUP($A53, 'Medical Examinations'!$A:$A, 'Medical Examinations'!F:F, "No Data")</f>
        <v>No</v>
      </c>
      <c r="H53" s="28">
        <f t="array" ref="H53">_xlfn.XLOOKUP($A53, 'Medical Examinations'!$A:$A, 'Medical Examinations'!G:G, "No Data")</f>
        <v>0</v>
      </c>
      <c r="I53" s="28" t="str">
        <f t="array" ref="I53">_xlfn.XLOOKUP($A53, 'Medical Examinations'!$A:$A, 'Medical Examinations'!H:H, "No Data")</f>
        <v>yes</v>
      </c>
      <c r="J53" s="28" t="str">
        <f t="array" ref="J53">_xlfn.XLOOKUP($A53, 'Medical Examinations'!$A:$A, 'Medical Examinations'!I:I, "No Data")</f>
        <v>Obesity</v>
      </c>
      <c r="K53" s="28" t="str">
        <f t="array" ref="K53">_xlfn.XLOOKUP($A53, 'Hospitalisation Details'!$A:$A, 'Hospitalisation Details'!I:I, "No Data")</f>
        <v>tier - 2</v>
      </c>
      <c r="L53" s="28" t="str">
        <f t="array" ref="L53">_xlfn.XLOOKUP($A53, 'Hospitalisation Details'!$A:$A, 'Hospitalisation Details'!J:J, "No Data")</f>
        <v>R1012</v>
      </c>
      <c r="M53" s="28" t="str">
        <f t="array" ref="M53">_xlfn.XLOOKUP($A53, 'Hospitalisation Details'!$A:$A, 'Hospitalisation Details'!E:E, "No Data")</f>
        <v>22/08/65</v>
      </c>
      <c r="N53" s="28">
        <f t="array" ref="N53">_xlfn.XLOOKUP($A53, 'Hospitalisation Details'!$A:$A, 'Hospitalisation Details'!K:K, "No Data")</f>
        <v>57</v>
      </c>
      <c r="O53" s="33">
        <f t="array" ref="O53">_xlfn.XLOOKUP($A53, 'Hospitalisation Details'!$A:$A, 'Hospitalisation Details'!G:G, "No Data")</f>
        <v>43578.94</v>
      </c>
      <c r="P53" s="28" t="str">
        <f t="array" ref="P53">_xlfn.XLOOKUP($A53, 'Hospitalisation Details'!$A:$A, 'Hospitalisation Details'!H:H, "No Data")</f>
        <v>tier - 2</v>
      </c>
    </row>
    <row r="54">
      <c r="A54" s="25" t="s">
        <v>191</v>
      </c>
      <c r="B54" s="28" t="str">
        <f t="array" ref="B54">_xlfn.XLOOKUP($A54, 'Customer Names'!$A:$A, 'Customer Names'!B:B, "No Data")</f>
        <v>Campa</v>
      </c>
      <c r="C54" s="28">
        <f t="array" ref="C54">_xlfn.XLOOKUP($A54, 'Medical Examinations'!$A:$A, 'Medical Examinations'!B:B, "No Data")</f>
        <v>34.105</v>
      </c>
      <c r="D54" s="28">
        <f t="array" ref="D54">_xlfn.XLOOKUP($A54, 'Medical Examinations'!$A:$A, 'Medical Examinations'!C:C, "No Data")</f>
        <v>5.03</v>
      </c>
      <c r="E54" s="28" t="str">
        <f t="array" ref="E54">_xlfn.XLOOKUP($A54, 'Medical Examinations'!$A:$A, 'Medical Examinations'!D:D, "No Data")</f>
        <v>yes</v>
      </c>
      <c r="F54" s="28" t="str">
        <f t="array" ref="F54">_xlfn.XLOOKUP($A54, 'Medical Examinations'!$A:$A, 'Medical Examinations'!E:E, "No Data")</f>
        <v>No</v>
      </c>
      <c r="G54" s="28" t="str">
        <f t="array" ref="G54">_xlfn.XLOOKUP($A54, 'Medical Examinations'!$A:$A, 'Medical Examinations'!F:F, "No Data")</f>
        <v>Yes</v>
      </c>
      <c r="H54" s="28">
        <f t="array" ref="H54">_xlfn.XLOOKUP($A54, 'Medical Examinations'!$A:$A, 'Medical Examinations'!G:G, "No Data")</f>
        <v>1</v>
      </c>
      <c r="I54" s="28" t="str">
        <f t="array" ref="I54">_xlfn.XLOOKUP($A54, 'Medical Examinations'!$A:$A, 'Medical Examinations'!H:H, "No Data")</f>
        <v>yes</v>
      </c>
      <c r="J54" s="28" t="str">
        <f t="array" ref="J54">_xlfn.XLOOKUP($A54, 'Medical Examinations'!$A:$A, 'Medical Examinations'!I:I, "No Data")</f>
        <v>Obesity</v>
      </c>
      <c r="K54" s="28" t="str">
        <f t="array" ref="K54">_xlfn.XLOOKUP($A54, 'Hospitalisation Details'!$A:$A, 'Hospitalisation Details'!I:I, "No Data")</f>
        <v>tier - 2</v>
      </c>
      <c r="L54" s="28" t="str">
        <f t="array" ref="L54">_xlfn.XLOOKUP($A54, 'Hospitalisation Details'!$A:$A, 'Hospitalisation Details'!J:J, "No Data")</f>
        <v>R1016</v>
      </c>
      <c r="M54" s="28" t="str">
        <f t="array" ref="M54">_xlfn.XLOOKUP($A54, 'Hospitalisation Details'!$A:$A, 'Hospitalisation Details'!E:E, "No Data")</f>
        <v>03/12/69</v>
      </c>
      <c r="N54" s="28">
        <f t="array" ref="N54">_xlfn.XLOOKUP($A54, 'Hospitalisation Details'!$A:$A, 'Hospitalisation Details'!K:K, "No Data")</f>
        <v>53</v>
      </c>
      <c r="O54" s="33">
        <f t="array" ref="O54">_xlfn.XLOOKUP($A54, 'Hospitalisation Details'!$A:$A, 'Hospitalisation Details'!G:G, "No Data")</f>
        <v>43254.42</v>
      </c>
      <c r="P54" s="28" t="str">
        <f t="array" ref="P54">_xlfn.XLOOKUP($A54, 'Hospitalisation Details'!$A:$A, 'Hospitalisation Details'!H:H, "No Data")</f>
        <v>tier - 2</v>
      </c>
    </row>
    <row r="55">
      <c r="A55" s="25" t="s">
        <v>193</v>
      </c>
      <c r="B55" s="28" t="str">
        <f t="array" ref="B55">_xlfn.XLOOKUP($A55, 'Customer Names'!$A:$A, 'Customer Names'!B:B, "No Data")</f>
        <v>Clifford</v>
      </c>
      <c r="C55" s="28">
        <f t="array" ref="C55">_xlfn.XLOOKUP($A55, 'Medical Examinations'!$A:$A, 'Medical Examinations'!B:B, "No Data")</f>
        <v>51.93</v>
      </c>
      <c r="D55" s="28">
        <f t="array" ref="D55">_xlfn.XLOOKUP($A55, 'Medical Examinations'!$A:$A, 'Medical Examinations'!C:C, "No Data")</f>
        <v>11.05</v>
      </c>
      <c r="E55" s="28" t="str">
        <f t="array" ref="E55">_xlfn.XLOOKUP($A55, 'Medical Examinations'!$A:$A, 'Medical Examinations'!D:D, "No Data")</f>
        <v>No</v>
      </c>
      <c r="F55" s="28" t="str">
        <f t="array" ref="F55">_xlfn.XLOOKUP($A55, 'Medical Examinations'!$A:$A, 'Medical Examinations'!E:E, "No Data")</f>
        <v>No</v>
      </c>
      <c r="G55" s="28" t="str">
        <f t="array" ref="G55">_xlfn.XLOOKUP($A55, 'Medical Examinations'!$A:$A, 'Medical Examinations'!F:F, "No Data")</f>
        <v>No</v>
      </c>
      <c r="H55" s="28">
        <f t="array" ref="H55">_xlfn.XLOOKUP($A55, 'Medical Examinations'!$A:$A, 'Medical Examinations'!G:G, "No Data")</f>
        <v>0</v>
      </c>
      <c r="I55" s="28" t="str">
        <f t="array" ref="I55">_xlfn.XLOOKUP($A55, 'Medical Examinations'!$A:$A, 'Medical Examinations'!H:H, "No Data")</f>
        <v>yes</v>
      </c>
      <c r="J55" s="28" t="str">
        <f t="array" ref="J55">_xlfn.XLOOKUP($A55, 'Medical Examinations'!$A:$A, 'Medical Examinations'!I:I, "No Data")</f>
        <v>Obesity</v>
      </c>
      <c r="K55" s="28" t="str">
        <f t="array" ref="K55">_xlfn.XLOOKUP($A55, 'Hospitalisation Details'!$A:$A, 'Hospitalisation Details'!I:I, "No Data")</f>
        <v>tier - 2</v>
      </c>
      <c r="L55" s="28" t="str">
        <f t="array" ref="L55">_xlfn.XLOOKUP($A55, 'Hospitalisation Details'!$A:$A, 'Hospitalisation Details'!J:J, "No Data")</f>
        <v>R1011</v>
      </c>
      <c r="M55" s="28" t="str">
        <f t="array" ref="M55">_xlfn.XLOOKUP($A55, 'Hospitalisation Details'!$A:$A, 'Hospitalisation Details'!E:E, "No Data")</f>
        <v>29/11/65</v>
      </c>
      <c r="N55" s="28">
        <f t="array" ref="N55">_xlfn.XLOOKUP($A55, 'Hospitalisation Details'!$A:$A, 'Hospitalisation Details'!K:K, "No Data")</f>
        <v>57</v>
      </c>
      <c r="O55" s="33">
        <f t="array" ref="O55">_xlfn.XLOOKUP($A55, 'Hospitalisation Details'!$A:$A, 'Hospitalisation Details'!G:G, "No Data")</f>
        <v>43073.76</v>
      </c>
      <c r="P55" s="28" t="str">
        <f t="array" ref="P55">_xlfn.XLOOKUP($A55, 'Hospitalisation Details'!$A:$A, 'Hospitalisation Details'!H:H, "No Data")</f>
        <v>tier - 2</v>
      </c>
    </row>
    <row r="56">
      <c r="A56" s="25" t="s">
        <v>196</v>
      </c>
      <c r="B56" s="28" t="str">
        <f t="array" ref="B56">_xlfn.XLOOKUP($A56, 'Customer Names'!$A:$A, 'Customer Names'!B:B, "No Data")</f>
        <v>Dalmata</v>
      </c>
      <c r="C56" s="28">
        <f t="array" ref="C56">_xlfn.XLOOKUP($A56, 'Medical Examinations'!$A:$A, 'Medical Examinations'!B:B, "No Data")</f>
        <v>38.95</v>
      </c>
      <c r="D56" s="28">
        <f t="array" ref="D56">_xlfn.XLOOKUP($A56, 'Medical Examinations'!$A:$A, 'Medical Examinations'!C:C, "No Data")</f>
        <v>11.95</v>
      </c>
      <c r="E56" s="28" t="str">
        <f t="array" ref="E56">_xlfn.XLOOKUP($A56, 'Medical Examinations'!$A:$A, 'Medical Examinations'!D:D, "No Data")</f>
        <v>No</v>
      </c>
      <c r="F56" s="28" t="str">
        <f t="array" ref="F56">_xlfn.XLOOKUP($A56, 'Medical Examinations'!$A:$A, 'Medical Examinations'!E:E, "No Data")</f>
        <v>No</v>
      </c>
      <c r="G56" s="28" t="str">
        <f t="array" ref="G56">_xlfn.XLOOKUP($A56, 'Medical Examinations'!$A:$A, 'Medical Examinations'!F:F, "No Data")</f>
        <v>No</v>
      </c>
      <c r="H56" s="28">
        <f t="array" ref="H56">_xlfn.XLOOKUP($A56, 'Medical Examinations'!$A:$A, 'Medical Examinations'!G:G, "No Data")</f>
        <v>0</v>
      </c>
      <c r="I56" s="28" t="str">
        <f t="array" ref="I56">_xlfn.XLOOKUP($A56, 'Medical Examinations'!$A:$A, 'Medical Examinations'!H:H, "No Data")</f>
        <v>yes</v>
      </c>
      <c r="J56" s="28" t="str">
        <f t="array" ref="J56">_xlfn.XLOOKUP($A56, 'Medical Examinations'!$A:$A, 'Medical Examinations'!I:I, "No Data")</f>
        <v>Obesity</v>
      </c>
      <c r="K56" s="28" t="str">
        <f t="array" ref="K56">_xlfn.XLOOKUP($A56, 'Hospitalisation Details'!$A:$A, 'Hospitalisation Details'!I:I, "No Data")</f>
        <v>tier - 2</v>
      </c>
      <c r="L56" s="28" t="str">
        <f t="array" ref="L56">_xlfn.XLOOKUP($A56, 'Hospitalisation Details'!$A:$A, 'Hospitalisation Details'!J:J, "No Data")</f>
        <v>R1012</v>
      </c>
      <c r="M56" s="28" t="str">
        <f t="array" ref="M56">_xlfn.XLOOKUP($A56, 'Hospitalisation Details'!$A:$A, 'Hospitalisation Details'!E:E, "No Data")</f>
        <v>04/11/78</v>
      </c>
      <c r="N56" s="28">
        <f t="array" ref="N56">_xlfn.XLOOKUP($A56, 'Hospitalisation Details'!$A:$A, 'Hospitalisation Details'!K:K, "No Data")</f>
        <v>44</v>
      </c>
      <c r="O56" s="33">
        <f t="array" ref="O56">_xlfn.XLOOKUP($A56, 'Hospitalisation Details'!$A:$A, 'Hospitalisation Details'!G:G, "No Data")</f>
        <v>42983.46</v>
      </c>
      <c r="P56" s="28" t="str">
        <f t="array" ref="P56">_xlfn.XLOOKUP($A56, 'Hospitalisation Details'!$A:$A, 'Hospitalisation Details'!H:H, "No Data")</f>
        <v>tier - 1</v>
      </c>
    </row>
    <row r="57">
      <c r="A57" s="25" t="s">
        <v>199</v>
      </c>
      <c r="B57" s="28" t="str">
        <f t="array" ref="B57">_xlfn.XLOOKUP($A57, 'Customer Names'!$A:$A, 'Customer Names'!B:B, "No Data")</f>
        <v>Vishik</v>
      </c>
      <c r="C57" s="28">
        <f t="array" ref="C57">_xlfn.XLOOKUP($A57, 'Medical Examinations'!$A:$A, 'Medical Examinations'!B:B, "No Data")</f>
        <v>36.63</v>
      </c>
      <c r="D57" s="28">
        <f t="array" ref="D57">_xlfn.XLOOKUP($A57, 'Medical Examinations'!$A:$A, 'Medical Examinations'!C:C, "No Data")</f>
        <v>7.72</v>
      </c>
      <c r="E57" s="28" t="str">
        <f t="array" ref="E57">_xlfn.XLOOKUP($A57, 'Medical Examinations'!$A:$A, 'Medical Examinations'!D:D, "No Data")</f>
        <v>yes</v>
      </c>
      <c r="F57" s="28" t="str">
        <f t="array" ref="F57">_xlfn.XLOOKUP($A57, 'Medical Examinations'!$A:$A, 'Medical Examinations'!E:E, "No Data")</f>
        <v>No</v>
      </c>
      <c r="G57" s="28" t="str">
        <f t="array" ref="G57">_xlfn.XLOOKUP($A57, 'Medical Examinations'!$A:$A, 'Medical Examinations'!F:F, "No Data")</f>
        <v>No</v>
      </c>
      <c r="H57" s="28">
        <f t="array" ref="H57">_xlfn.XLOOKUP($A57, 'Medical Examinations'!$A:$A, 'Medical Examinations'!G:G, "No Data")</f>
        <v>1</v>
      </c>
      <c r="I57" s="28" t="str">
        <f t="array" ref="I57">_xlfn.XLOOKUP($A57, 'Medical Examinations'!$A:$A, 'Medical Examinations'!H:H, "No Data")</f>
        <v>yes</v>
      </c>
      <c r="J57" s="28" t="str">
        <f t="array" ref="J57">_xlfn.XLOOKUP($A57, 'Medical Examinations'!$A:$A, 'Medical Examinations'!I:I, "No Data")</f>
        <v>Obesity</v>
      </c>
      <c r="K57" s="28" t="str">
        <f t="array" ref="K57">_xlfn.XLOOKUP($A57, 'Hospitalisation Details'!$A:$A, 'Hospitalisation Details'!I:I, "No Data")</f>
        <v>tier - 3</v>
      </c>
      <c r="L57" s="28" t="str">
        <f t="array" ref="L57">_xlfn.XLOOKUP($A57, 'Hospitalisation Details'!$A:$A, 'Hospitalisation Details'!J:J, "No Data")</f>
        <v>R1013</v>
      </c>
      <c r="M57" s="28" t="str">
        <f t="array" ref="M57">_xlfn.XLOOKUP($A57, 'Hospitalisation Details'!$A:$A, 'Hospitalisation Details'!E:E, "No Data")</f>
        <v>23/10/75</v>
      </c>
      <c r="N57" s="28">
        <f t="array" ref="N57">_xlfn.XLOOKUP($A57, 'Hospitalisation Details'!$A:$A, 'Hospitalisation Details'!K:K, "No Data")</f>
        <v>47</v>
      </c>
      <c r="O57" s="33">
        <f t="array" ref="O57">_xlfn.XLOOKUP($A57, 'Hospitalisation Details'!$A:$A, 'Hospitalisation Details'!G:G, "No Data")</f>
        <v>42969.85</v>
      </c>
      <c r="P57" s="28" t="str">
        <f t="array" ref="P57">_xlfn.XLOOKUP($A57, 'Hospitalisation Details'!$A:$A, 'Hospitalisation Details'!H:H, "No Data")</f>
        <v>tier - 1</v>
      </c>
    </row>
    <row r="58">
      <c r="A58" s="25" t="s">
        <v>202</v>
      </c>
      <c r="B58" s="28" t="str">
        <f t="array" ref="B58">_xlfn.XLOOKUP($A58, 'Customer Names'!$A:$A, 'Customer Names'!B:B, "No Data")</f>
        <v>Schorr</v>
      </c>
      <c r="C58" s="28">
        <f t="array" ref="C58">_xlfn.XLOOKUP($A58, 'Medical Examinations'!$A:$A, 'Medical Examinations'!B:B, "No Data")</f>
        <v>34.2</v>
      </c>
      <c r="D58" s="28">
        <f t="array" ref="D58">_xlfn.XLOOKUP($A58, 'Medical Examinations'!$A:$A, 'Medical Examinations'!C:C, "No Data")</f>
        <v>5.75</v>
      </c>
      <c r="E58" s="28" t="str">
        <f t="array" ref="E58">_xlfn.XLOOKUP($A58, 'Medical Examinations'!$A:$A, 'Medical Examinations'!D:D, "No Data")</f>
        <v>No</v>
      </c>
      <c r="F58" s="28" t="str">
        <f t="array" ref="F58">_xlfn.XLOOKUP($A58, 'Medical Examinations'!$A:$A, 'Medical Examinations'!E:E, "No Data")</f>
        <v>No</v>
      </c>
      <c r="G58" s="28" t="str">
        <f t="array" ref="G58">_xlfn.XLOOKUP($A58, 'Medical Examinations'!$A:$A, 'Medical Examinations'!F:F, "No Data")</f>
        <v>No</v>
      </c>
      <c r="H58" s="28">
        <f t="array" ref="H58">_xlfn.XLOOKUP($A58, 'Medical Examinations'!$A:$A, 'Medical Examinations'!G:G, "No Data")</f>
        <v>2</v>
      </c>
      <c r="I58" s="28" t="str">
        <f t="array" ref="I58">_xlfn.XLOOKUP($A58, 'Medical Examinations'!$A:$A, 'Medical Examinations'!H:H, "No Data")</f>
        <v>yes</v>
      </c>
      <c r="J58" s="28" t="str">
        <f t="array" ref="J58">_xlfn.XLOOKUP($A58, 'Medical Examinations'!$A:$A, 'Medical Examinations'!I:I, "No Data")</f>
        <v>Obesity</v>
      </c>
      <c r="K58" s="28" t="str">
        <f t="array" ref="K58">_xlfn.XLOOKUP($A58, 'Hospitalisation Details'!$A:$A, 'Hospitalisation Details'!I:I, "No Data")</f>
        <v>tier - 1</v>
      </c>
      <c r="L58" s="28" t="str">
        <f t="array" ref="L58">_xlfn.XLOOKUP($A58, 'Hospitalisation Details'!$A:$A, 'Hospitalisation Details'!J:J, "No Data")</f>
        <v>R1011</v>
      </c>
      <c r="M58" s="28" t="str">
        <f t="array" ref="M58">_xlfn.XLOOKUP($A58, 'Hospitalisation Details'!$A:$A, 'Hospitalisation Details'!E:E, "No Data")</f>
        <v>10/09/72</v>
      </c>
      <c r="N58" s="28">
        <f t="array" ref="N58">_xlfn.XLOOKUP($A58, 'Hospitalisation Details'!$A:$A, 'Hospitalisation Details'!K:K, "No Data")</f>
        <v>50</v>
      </c>
      <c r="O58" s="33">
        <f t="array" ref="O58">_xlfn.XLOOKUP($A58, 'Hospitalisation Details'!$A:$A, 'Hospitalisation Details'!G:G, "No Data")</f>
        <v>42856.84</v>
      </c>
      <c r="P58" s="28" t="str">
        <f t="array" ref="P58">_xlfn.XLOOKUP($A58, 'Hospitalisation Details'!$A:$A, 'Hospitalisation Details'!H:H, "No Data")</f>
        <v>tier - 1</v>
      </c>
    </row>
    <row r="59">
      <c r="A59" s="25" t="s">
        <v>206</v>
      </c>
      <c r="B59" s="28" t="str">
        <f t="array" ref="B59">_xlfn.XLOOKUP($A59, 'Customer Names'!$A:$A, 'Customer Names'!B:B, "No Data")</f>
        <v>Lusardi</v>
      </c>
      <c r="C59" s="28">
        <f t="array" ref="C59">_xlfn.XLOOKUP($A59, 'Medical Examinations'!$A:$A, 'Medical Examinations'!B:B, "No Data")</f>
        <v>50.63</v>
      </c>
      <c r="D59" s="28">
        <f t="array" ref="D59">_xlfn.XLOOKUP($A59, 'Medical Examinations'!$A:$A, 'Medical Examinations'!C:C, "No Data")</f>
        <v>11.89</v>
      </c>
      <c r="E59" s="28" t="str">
        <f t="array" ref="E59">_xlfn.XLOOKUP($A59, 'Medical Examinations'!$A:$A, 'Medical Examinations'!D:D, "No Data")</f>
        <v>No</v>
      </c>
      <c r="F59" s="28" t="str">
        <f t="array" ref="F59">_xlfn.XLOOKUP($A59, 'Medical Examinations'!$A:$A, 'Medical Examinations'!E:E, "No Data")</f>
        <v>No</v>
      </c>
      <c r="G59" s="28" t="str">
        <f t="array" ref="G59">_xlfn.XLOOKUP($A59, 'Medical Examinations'!$A:$A, 'Medical Examinations'!F:F, "No Data")</f>
        <v>No</v>
      </c>
      <c r="H59" s="28">
        <f t="array" ref="H59">_xlfn.XLOOKUP($A59, 'Medical Examinations'!$A:$A, 'Medical Examinations'!G:G, "No Data")</f>
        <v>0</v>
      </c>
      <c r="I59" s="28" t="str">
        <f t="array" ref="I59">_xlfn.XLOOKUP($A59, 'Medical Examinations'!$A:$A, 'Medical Examinations'!H:H, "No Data")</f>
        <v>yes</v>
      </c>
      <c r="J59" s="28" t="str">
        <f t="array" ref="J59">_xlfn.XLOOKUP($A59, 'Medical Examinations'!$A:$A, 'Medical Examinations'!I:I, "No Data")</f>
        <v>Obesity</v>
      </c>
      <c r="K59" s="28" t="str">
        <f t="array" ref="K59">_xlfn.XLOOKUP($A59, 'Hospitalisation Details'!$A:$A, 'Hospitalisation Details'!I:I, "No Data")</f>
        <v>tier - 2</v>
      </c>
      <c r="L59" s="28" t="str">
        <f t="array" ref="L59">_xlfn.XLOOKUP($A59, 'Hospitalisation Details'!$A:$A, 'Hospitalisation Details'!J:J, "No Data")</f>
        <v>R1011</v>
      </c>
      <c r="M59" s="28" t="str">
        <f t="array" ref="M59">_xlfn.XLOOKUP($A59, 'Hospitalisation Details'!$A:$A, 'Hospitalisation Details'!E:E, "No Data")</f>
        <v>29/10/65</v>
      </c>
      <c r="N59" s="28">
        <f t="array" ref="N59">_xlfn.XLOOKUP($A59, 'Hospitalisation Details'!$A:$A, 'Hospitalisation Details'!K:K, "No Data")</f>
        <v>57</v>
      </c>
      <c r="O59" s="33">
        <f t="array" ref="O59">_xlfn.XLOOKUP($A59, 'Hospitalisation Details'!$A:$A, 'Hospitalisation Details'!G:G, "No Data")</f>
        <v>42764.12</v>
      </c>
      <c r="P59" s="28" t="str">
        <f t="array" ref="P59">_xlfn.XLOOKUP($A59, 'Hospitalisation Details'!$A:$A, 'Hospitalisation Details'!H:H, "No Data")</f>
        <v>tier - 1</v>
      </c>
    </row>
    <row r="60">
      <c r="A60" s="25" t="s">
        <v>210</v>
      </c>
      <c r="B60" s="28" t="str">
        <f t="array" ref="B60">_xlfn.XLOOKUP($A60, 'Customer Names'!$A:$A, 'Customer Names'!B:B, "No Data")</f>
        <v>Rayner</v>
      </c>
      <c r="C60" s="28">
        <f t="array" ref="C60">_xlfn.XLOOKUP($A60, 'Medical Examinations'!$A:$A, 'Medical Examinations'!B:B, "No Data")</f>
        <v>36.48</v>
      </c>
      <c r="D60" s="28">
        <f t="array" ref="D60">_xlfn.XLOOKUP($A60, 'Medical Examinations'!$A:$A, 'Medical Examinations'!C:C, "No Data")</f>
        <v>6.2</v>
      </c>
      <c r="E60" s="28" t="str">
        <f t="array" ref="E60">_xlfn.XLOOKUP($A60, 'Medical Examinations'!$A:$A, 'Medical Examinations'!D:D, "No Data")</f>
        <v>No</v>
      </c>
      <c r="F60" s="28" t="str">
        <f t="array" ref="F60">_xlfn.XLOOKUP($A60, 'Medical Examinations'!$A:$A, 'Medical Examinations'!E:E, "No Data")</f>
        <v>No</v>
      </c>
      <c r="G60" s="28" t="str">
        <f t="array" ref="G60">_xlfn.XLOOKUP($A60, 'Medical Examinations'!$A:$A, 'Medical Examinations'!F:F, "No Data")</f>
        <v>No</v>
      </c>
      <c r="H60" s="28">
        <f t="array" ref="H60">_xlfn.XLOOKUP($A60, 'Medical Examinations'!$A:$A, 'Medical Examinations'!G:G, "No Data")</f>
        <v>0</v>
      </c>
      <c r="I60" s="28" t="str">
        <f t="array" ref="I60">_xlfn.XLOOKUP($A60, 'Medical Examinations'!$A:$A, 'Medical Examinations'!H:H, "No Data")</f>
        <v>yes</v>
      </c>
      <c r="J60" s="28" t="str">
        <f t="array" ref="J60">_xlfn.XLOOKUP($A60, 'Medical Examinations'!$A:$A, 'Medical Examinations'!I:I, "No Data")</f>
        <v>Obesity</v>
      </c>
      <c r="K60" s="28" t="str">
        <f t="array" ref="K60">_xlfn.XLOOKUP($A60, 'Hospitalisation Details'!$A:$A, 'Hospitalisation Details'!I:I, "No Data")</f>
        <v>tier - 2</v>
      </c>
      <c r="L60" s="28" t="str">
        <f t="array" ref="L60">_xlfn.XLOOKUP($A60, 'Hospitalisation Details'!$A:$A, 'Hospitalisation Details'!J:J, "No Data")</f>
        <v>R1012</v>
      </c>
      <c r="M60" s="28" t="str">
        <f t="array" ref="M60">_xlfn.XLOOKUP($A60, 'Hospitalisation Details'!$A:$A, 'Hospitalisation Details'!E:E, "No Data")</f>
        <v>21/10/77</v>
      </c>
      <c r="N60" s="28">
        <f t="array" ref="N60">_xlfn.XLOOKUP($A60, 'Hospitalisation Details'!$A:$A, 'Hospitalisation Details'!K:K, "No Data")</f>
        <v>45</v>
      </c>
      <c r="O60" s="33">
        <f t="array" ref="O60">_xlfn.XLOOKUP($A60, 'Hospitalisation Details'!$A:$A, 'Hospitalisation Details'!G:G, "No Data")</f>
        <v>42760.5</v>
      </c>
      <c r="P60" s="28" t="str">
        <f t="array" ref="P60">_xlfn.XLOOKUP($A60, 'Hospitalisation Details'!$A:$A, 'Hospitalisation Details'!H:H, "No Data")</f>
        <v>tier - 1</v>
      </c>
    </row>
    <row r="61">
      <c r="A61" s="25" t="s">
        <v>213</v>
      </c>
      <c r="B61" s="28" t="str">
        <f t="array" ref="B61">_xlfn.XLOOKUP($A61, 'Customer Names'!$A:$A, 'Customer Names'!B:B, "No Data")</f>
        <v>Voghel</v>
      </c>
      <c r="C61" s="28">
        <f t="array" ref="C61">_xlfn.XLOOKUP($A61, 'Medical Examinations'!$A:$A, 'Medical Examinations'!B:B, "No Data")</f>
        <v>54.82</v>
      </c>
      <c r="D61" s="28">
        <f t="array" ref="D61">_xlfn.XLOOKUP($A61, 'Medical Examinations'!$A:$A, 'Medical Examinations'!C:C, "No Data")</f>
        <v>10.61</v>
      </c>
      <c r="E61" s="28" t="str">
        <f t="array" ref="E61">_xlfn.XLOOKUP($A61, 'Medical Examinations'!$A:$A, 'Medical Examinations'!D:D, "No Data")</f>
        <v>No</v>
      </c>
      <c r="F61" s="28" t="str">
        <f t="array" ref="F61">_xlfn.XLOOKUP($A61, 'Medical Examinations'!$A:$A, 'Medical Examinations'!E:E, "No Data")</f>
        <v>No</v>
      </c>
      <c r="G61" s="28" t="str">
        <f t="array" ref="G61">_xlfn.XLOOKUP($A61, 'Medical Examinations'!$A:$A, 'Medical Examinations'!F:F, "No Data")</f>
        <v>No</v>
      </c>
      <c r="H61" s="28">
        <f t="array" ref="H61">_xlfn.XLOOKUP($A61, 'Medical Examinations'!$A:$A, 'Medical Examinations'!G:G, "No Data")</f>
        <v>0</v>
      </c>
      <c r="I61" s="28" t="str">
        <f t="array" ref="I61">_xlfn.XLOOKUP($A61, 'Medical Examinations'!$A:$A, 'Medical Examinations'!H:H, "No Data")</f>
        <v>yes</v>
      </c>
      <c r="J61" s="28" t="str">
        <f t="array" ref="J61">_xlfn.XLOOKUP($A61, 'Medical Examinations'!$A:$A, 'Medical Examinations'!I:I, "No Data")</f>
        <v>Obesity</v>
      </c>
      <c r="K61" s="28" t="str">
        <f t="array" ref="K61">_xlfn.XLOOKUP($A61, 'Hospitalisation Details'!$A:$A, 'Hospitalisation Details'!I:I, "No Data")</f>
        <v>tier - 3</v>
      </c>
      <c r="L61" s="28" t="str">
        <f t="array" ref="L61">_xlfn.XLOOKUP($A61, 'Hospitalisation Details'!$A:$A, 'Hospitalisation Details'!J:J, "No Data")</f>
        <v>R1011</v>
      </c>
      <c r="M61" s="28" t="str">
        <f t="array" ref="M61">_xlfn.XLOOKUP($A61, 'Hospitalisation Details'!$A:$A, 'Hospitalisation Details'!E:E, "No Data")</f>
        <v>03/11/71</v>
      </c>
      <c r="N61" s="28">
        <f t="array" ref="N61">_xlfn.XLOOKUP($A61, 'Hospitalisation Details'!$A:$A, 'Hospitalisation Details'!K:K, "No Data")</f>
        <v>51</v>
      </c>
      <c r="O61" s="33">
        <f t="array" ref="O61">_xlfn.XLOOKUP($A61, 'Hospitalisation Details'!$A:$A, 'Hospitalisation Details'!G:G, "No Data")</f>
        <v>42644.2</v>
      </c>
      <c r="P61" s="28" t="str">
        <f t="array" ref="P61">_xlfn.XLOOKUP($A61, 'Hospitalisation Details'!$A:$A, 'Hospitalisation Details'!H:H, "No Data")</f>
        <v>tier - 1</v>
      </c>
    </row>
    <row r="62">
      <c r="A62" s="25" t="s">
        <v>216</v>
      </c>
      <c r="B62" s="28" t="str">
        <f t="array" ref="B62">_xlfn.XLOOKUP($A62, 'Customer Names'!$A:$A, 'Customer Names'!B:B, "No Data")</f>
        <v>Rieth</v>
      </c>
      <c r="C62" s="28">
        <f t="array" ref="C62">_xlfn.XLOOKUP($A62, 'Medical Examinations'!$A:$A, 'Medical Examinations'!B:B, "No Data")</f>
        <v>38.06</v>
      </c>
      <c r="D62" s="28">
        <f t="array" ref="D62">_xlfn.XLOOKUP($A62, 'Medical Examinations'!$A:$A, 'Medical Examinations'!C:C, "No Data")</f>
        <v>6.04</v>
      </c>
      <c r="E62" s="28" t="str">
        <f t="array" ref="E62">_xlfn.XLOOKUP($A62, 'Medical Examinations'!$A:$A, 'Medical Examinations'!D:D, "No Data")</f>
        <v>No</v>
      </c>
      <c r="F62" s="28" t="str">
        <f t="array" ref="F62">_xlfn.XLOOKUP($A62, 'Medical Examinations'!$A:$A, 'Medical Examinations'!E:E, "No Data")</f>
        <v>No</v>
      </c>
      <c r="G62" s="28" t="str">
        <f t="array" ref="G62">_xlfn.XLOOKUP($A62, 'Medical Examinations'!$A:$A, 'Medical Examinations'!F:F, "No Data")</f>
        <v>Yes</v>
      </c>
      <c r="H62" s="28">
        <f t="array" ref="H62">_xlfn.XLOOKUP($A62, 'Medical Examinations'!$A:$A, 'Medical Examinations'!G:G, "No Data")</f>
        <v>1</v>
      </c>
      <c r="I62" s="28" t="str">
        <f t="array" ref="I62">_xlfn.XLOOKUP($A62, 'Medical Examinations'!$A:$A, 'Medical Examinations'!H:H, "No Data")</f>
        <v>yes</v>
      </c>
      <c r="J62" s="28" t="str">
        <f t="array" ref="J62">_xlfn.XLOOKUP($A62, 'Medical Examinations'!$A:$A, 'Medical Examinations'!I:I, "No Data")</f>
        <v>Obesity</v>
      </c>
      <c r="K62" s="28" t="str">
        <f t="array" ref="K62">_xlfn.XLOOKUP($A62, 'Hospitalisation Details'!$A:$A, 'Hospitalisation Details'!I:I, "No Data")</f>
        <v>tier - 3</v>
      </c>
      <c r="L62" s="28" t="str">
        <f t="array" ref="L62">_xlfn.XLOOKUP($A62, 'Hospitalisation Details'!$A:$A, 'Hospitalisation Details'!J:J, "No Data")</f>
        <v>R1013</v>
      </c>
      <c r="M62" s="28" t="str">
        <f t="array" ref="M62">_xlfn.XLOOKUP($A62, 'Hospitalisation Details'!$A:$A, 'Hospitalisation Details'!E:E, "No Data")</f>
        <v>27/12/79</v>
      </c>
      <c r="N62" s="28">
        <f t="array" ref="N62">_xlfn.XLOOKUP($A62, 'Hospitalisation Details'!$A:$A, 'Hospitalisation Details'!K:K, "No Data")</f>
        <v>43</v>
      </c>
      <c r="O62" s="33">
        <f t="array" ref="O62">_xlfn.XLOOKUP($A62, 'Hospitalisation Details'!$A:$A, 'Hospitalisation Details'!G:G, "No Data")</f>
        <v>42560.43</v>
      </c>
      <c r="P62" s="28" t="str">
        <f t="array" ref="P62">_xlfn.XLOOKUP($A62, 'Hospitalisation Details'!$A:$A, 'Hospitalisation Details'!H:H, "No Data")</f>
        <v>tier - 1</v>
      </c>
    </row>
    <row r="63">
      <c r="A63" s="25" t="s">
        <v>220</v>
      </c>
      <c r="B63" s="28" t="str">
        <f t="array" ref="B63">_xlfn.XLOOKUP($A63, 'Customer Names'!$A:$A, 'Customer Names'!B:B, "No Data")</f>
        <v>Gollotto</v>
      </c>
      <c r="C63" s="28">
        <f t="array" ref="C63">_xlfn.XLOOKUP($A63, 'Medical Examinations'!$A:$A, 'Medical Examinations'!B:B, "No Data")</f>
        <v>51.48</v>
      </c>
      <c r="D63" s="28">
        <f t="array" ref="D63">_xlfn.XLOOKUP($A63, 'Medical Examinations'!$A:$A, 'Medical Examinations'!C:C, "No Data")</f>
        <v>9.33</v>
      </c>
      <c r="E63" s="28" t="str">
        <f t="array" ref="E63">_xlfn.XLOOKUP($A63, 'Medical Examinations'!$A:$A, 'Medical Examinations'!D:D, "No Data")</f>
        <v>yes</v>
      </c>
      <c r="F63" s="28" t="str">
        <f t="array" ref="F63">_xlfn.XLOOKUP($A63, 'Medical Examinations'!$A:$A, 'Medical Examinations'!E:E, "No Data")</f>
        <v>No</v>
      </c>
      <c r="G63" s="28" t="str">
        <f t="array" ref="G63">_xlfn.XLOOKUP($A63, 'Medical Examinations'!$A:$A, 'Medical Examinations'!F:F, "No Data")</f>
        <v>No</v>
      </c>
      <c r="H63" s="28">
        <f t="array" ref="H63">_xlfn.XLOOKUP($A63, 'Medical Examinations'!$A:$A, 'Medical Examinations'!G:G, "No Data")</f>
        <v>0</v>
      </c>
      <c r="I63" s="28" t="str">
        <f t="array" ref="I63">_xlfn.XLOOKUP($A63, 'Medical Examinations'!$A:$A, 'Medical Examinations'!H:H, "No Data")</f>
        <v>yes</v>
      </c>
      <c r="J63" s="28" t="str">
        <f t="array" ref="J63">_xlfn.XLOOKUP($A63, 'Medical Examinations'!$A:$A, 'Medical Examinations'!I:I, "No Data")</f>
        <v>Obesity</v>
      </c>
      <c r="K63" s="28" t="str">
        <f t="array" ref="K63">_xlfn.XLOOKUP($A63, 'Hospitalisation Details'!$A:$A, 'Hospitalisation Details'!I:I, "No Data")</f>
        <v>tier - 3</v>
      </c>
      <c r="L63" s="28" t="str">
        <f t="array" ref="L63">_xlfn.XLOOKUP($A63, 'Hospitalisation Details'!$A:$A, 'Hospitalisation Details'!J:J, "No Data")</f>
        <v>R1011</v>
      </c>
      <c r="M63" s="28" t="str">
        <f t="array" ref="M63">_xlfn.XLOOKUP($A63, 'Hospitalisation Details'!$A:$A, 'Hospitalisation Details'!E:E, "No Data")</f>
        <v>27/06/67</v>
      </c>
      <c r="N63" s="28">
        <f t="array" ref="N63">_xlfn.XLOOKUP($A63, 'Hospitalisation Details'!$A:$A, 'Hospitalisation Details'!K:K, "No Data")</f>
        <v>55</v>
      </c>
      <c r="O63" s="33">
        <f t="array" ref="O63">_xlfn.XLOOKUP($A63, 'Hospitalisation Details'!$A:$A, 'Hospitalisation Details'!G:G, "No Data")</f>
        <v>42538.72</v>
      </c>
      <c r="P63" s="28" t="str">
        <f t="array" ref="P63">_xlfn.XLOOKUP($A63, 'Hospitalisation Details'!$A:$A, 'Hospitalisation Details'!H:H, "No Data")</f>
        <v>tier - 1</v>
      </c>
    </row>
    <row r="64">
      <c r="A64" s="25" t="s">
        <v>223</v>
      </c>
      <c r="B64" s="28" t="str">
        <f t="array" ref="B64">_xlfn.XLOOKUP($A64, 'Customer Names'!$A:$A, 'Customer Names'!B:B, "No Data")</f>
        <v>Dunn</v>
      </c>
      <c r="C64" s="28">
        <f t="array" ref="C64">_xlfn.XLOOKUP($A64, 'Medical Examinations'!$A:$A, 'Medical Examinations'!B:B, "No Data")</f>
        <v>52.06</v>
      </c>
      <c r="D64" s="28">
        <f t="array" ref="D64">_xlfn.XLOOKUP($A64, 'Medical Examinations'!$A:$A, 'Medical Examinations'!C:C, "No Data")</f>
        <v>11.47</v>
      </c>
      <c r="E64" s="28" t="str">
        <f t="array" ref="E64">_xlfn.XLOOKUP($A64, 'Medical Examinations'!$A:$A, 'Medical Examinations'!D:D, "No Data")</f>
        <v>No</v>
      </c>
      <c r="F64" s="28" t="str">
        <f t="array" ref="F64">_xlfn.XLOOKUP($A64, 'Medical Examinations'!$A:$A, 'Medical Examinations'!E:E, "No Data")</f>
        <v>No</v>
      </c>
      <c r="G64" s="28" t="str">
        <f t="array" ref="G64">_xlfn.XLOOKUP($A64, 'Medical Examinations'!$A:$A, 'Medical Examinations'!F:F, "No Data")</f>
        <v>No</v>
      </c>
      <c r="H64" s="28">
        <f t="array" ref="H64">_xlfn.XLOOKUP($A64, 'Medical Examinations'!$A:$A, 'Medical Examinations'!G:G, "No Data")</f>
        <v>0</v>
      </c>
      <c r="I64" s="28" t="str">
        <f t="array" ref="I64">_xlfn.XLOOKUP($A64, 'Medical Examinations'!$A:$A, 'Medical Examinations'!H:H, "No Data")</f>
        <v>yes</v>
      </c>
      <c r="J64" s="28" t="str">
        <f t="array" ref="J64">_xlfn.XLOOKUP($A64, 'Medical Examinations'!$A:$A, 'Medical Examinations'!I:I, "No Data")</f>
        <v>Obesity</v>
      </c>
      <c r="K64" s="28" t="str">
        <f t="array" ref="K64">_xlfn.XLOOKUP($A64, 'Hospitalisation Details'!$A:$A, 'Hospitalisation Details'!I:I, "No Data")</f>
        <v>tier - 2</v>
      </c>
      <c r="L64" s="28" t="str">
        <f t="array" ref="L64">_xlfn.XLOOKUP($A64, 'Hospitalisation Details'!$A:$A, 'Hospitalisation Details'!J:J, "No Data")</f>
        <v>R1011</v>
      </c>
      <c r="M64" s="28" t="str">
        <f t="array" ref="M64">_xlfn.XLOOKUP($A64, 'Hospitalisation Details'!$A:$A, 'Hospitalisation Details'!E:E, "No Data")</f>
        <v>03/08/68</v>
      </c>
      <c r="N64" s="28">
        <f t="array" ref="N64">_xlfn.XLOOKUP($A64, 'Hospitalisation Details'!$A:$A, 'Hospitalisation Details'!K:K, "No Data")</f>
        <v>54</v>
      </c>
      <c r="O64" s="33">
        <f t="array" ref="O64">_xlfn.XLOOKUP($A64, 'Hospitalisation Details'!$A:$A, 'Hospitalisation Details'!G:G, "No Data")</f>
        <v>42478.6</v>
      </c>
      <c r="P64" s="28" t="str">
        <f t="array" ref="P64">_xlfn.XLOOKUP($A64, 'Hospitalisation Details'!$A:$A, 'Hospitalisation Details'!H:H, "No Data")</f>
        <v>tier - 1</v>
      </c>
    </row>
    <row r="65">
      <c r="A65" s="25" t="s">
        <v>226</v>
      </c>
      <c r="B65" s="28" t="str">
        <f t="array" ref="B65">_xlfn.XLOOKUP($A65, 'Customer Names'!$A:$A, 'Customer Names'!B:B, "No Data")</f>
        <v>Blitzer</v>
      </c>
      <c r="C65" s="28">
        <f t="array" ref="C65">_xlfn.XLOOKUP($A65, 'Medical Examinations'!$A:$A, 'Medical Examinations'!B:B, "No Data")</f>
        <v>30.685</v>
      </c>
      <c r="D65" s="28">
        <f t="array" ref="D65">_xlfn.XLOOKUP($A65, 'Medical Examinations'!$A:$A, 'Medical Examinations'!C:C, "No Data")</f>
        <v>7.02</v>
      </c>
      <c r="E65" s="28" t="str">
        <f t="array" ref="E65">_xlfn.XLOOKUP($A65, 'Medical Examinations'!$A:$A, 'Medical Examinations'!D:D, "No Data")</f>
        <v>yes</v>
      </c>
      <c r="F65" s="28" t="str">
        <f t="array" ref="F65">_xlfn.XLOOKUP($A65, 'Medical Examinations'!$A:$A, 'Medical Examinations'!E:E, "No Data")</f>
        <v>No</v>
      </c>
      <c r="G65" s="28" t="str">
        <f t="array" ref="G65">_xlfn.XLOOKUP($A65, 'Medical Examinations'!$A:$A, 'Medical Examinations'!F:F, "No Data")</f>
        <v>No</v>
      </c>
      <c r="H65" s="28">
        <f t="array" ref="H65">_xlfn.XLOOKUP($A65, 'Medical Examinations'!$A:$A, 'Medical Examinations'!G:G, "No Data")</f>
        <v>0</v>
      </c>
      <c r="I65" s="28" t="str">
        <f t="array" ref="I65">_xlfn.XLOOKUP($A65, 'Medical Examinations'!$A:$A, 'Medical Examinations'!H:H, "No Data")</f>
        <v>yes</v>
      </c>
      <c r="J65" s="28" t="str">
        <f t="array" ref="J65">_xlfn.XLOOKUP($A65, 'Medical Examinations'!$A:$A, 'Medical Examinations'!I:I, "No Data")</f>
        <v>Obesity</v>
      </c>
      <c r="K65" s="28" t="str">
        <f t="array" ref="K65">_xlfn.XLOOKUP($A65, 'Hospitalisation Details'!$A:$A, 'Hospitalisation Details'!I:I, "No Data")</f>
        <v>tier - 2</v>
      </c>
      <c r="L65" s="28" t="str">
        <f t="array" ref="L65">_xlfn.XLOOKUP($A65, 'Hospitalisation Details'!$A:$A, 'Hospitalisation Details'!J:J, "No Data")</f>
        <v>R1016</v>
      </c>
      <c r="M65" s="28" t="str">
        <f t="array" ref="M65">_xlfn.XLOOKUP($A65, 'Hospitalisation Details'!$A:$A, 'Hospitalisation Details'!E:E, "No Data")</f>
        <v>28/06/67</v>
      </c>
      <c r="N65" s="28">
        <f t="array" ref="N65">_xlfn.XLOOKUP($A65, 'Hospitalisation Details'!$A:$A, 'Hospitalisation Details'!K:K, "No Data")</f>
        <v>55</v>
      </c>
      <c r="O65" s="33">
        <f t="array" ref="O65">_xlfn.XLOOKUP($A65, 'Hospitalisation Details'!$A:$A, 'Hospitalisation Details'!G:G, "No Data")</f>
        <v>42303.69</v>
      </c>
      <c r="P65" s="28" t="str">
        <f t="array" ref="P65">_xlfn.XLOOKUP($A65, 'Hospitalisation Details'!$A:$A, 'Hospitalisation Details'!H:H, "No Data")</f>
        <v>tier - 1</v>
      </c>
    </row>
    <row r="66">
      <c r="A66" s="25" t="s">
        <v>228</v>
      </c>
      <c r="B66" s="28" t="str">
        <f t="array" ref="B66">_xlfn.XLOOKUP($A66, 'Customer Names'!$A:$A, 'Customer Names'!B:B, "No Data")</f>
        <v>Smith</v>
      </c>
      <c r="C66" s="28">
        <f t="array" ref="C66">_xlfn.XLOOKUP($A66, 'Medical Examinations'!$A:$A, 'Medical Examinations'!B:B, "No Data")</f>
        <v>36.08</v>
      </c>
      <c r="D66" s="28">
        <f t="array" ref="D66">_xlfn.XLOOKUP($A66, 'Medical Examinations'!$A:$A, 'Medical Examinations'!C:C, "No Data")</f>
        <v>8.8</v>
      </c>
      <c r="E66" s="28" t="str">
        <f t="array" ref="E66">_xlfn.XLOOKUP($A66, 'Medical Examinations'!$A:$A, 'Medical Examinations'!D:D, "No Data")</f>
        <v>yes</v>
      </c>
      <c r="F66" s="28" t="str">
        <f t="array" ref="F66">_xlfn.XLOOKUP($A66, 'Medical Examinations'!$A:$A, 'Medical Examinations'!E:E, "No Data")</f>
        <v>No</v>
      </c>
      <c r="G66" s="28" t="str">
        <f t="array" ref="G66">_xlfn.XLOOKUP($A66, 'Medical Examinations'!$A:$A, 'Medical Examinations'!F:F, "No Data")</f>
        <v>No</v>
      </c>
      <c r="H66" s="28">
        <f t="array" ref="H66">_xlfn.XLOOKUP($A66, 'Medical Examinations'!$A:$A, 'Medical Examinations'!G:G, "No Data")</f>
        <v>1</v>
      </c>
      <c r="I66" s="28" t="str">
        <f t="array" ref="I66">_xlfn.XLOOKUP($A66, 'Medical Examinations'!$A:$A, 'Medical Examinations'!H:H, "No Data")</f>
        <v>yes</v>
      </c>
      <c r="J66" s="28" t="str">
        <f t="array" ref="J66">_xlfn.XLOOKUP($A66, 'Medical Examinations'!$A:$A, 'Medical Examinations'!I:I, "No Data")</f>
        <v>Obesity</v>
      </c>
      <c r="K66" s="28" t="str">
        <f t="array" ref="K66">_xlfn.XLOOKUP($A66, 'Hospitalisation Details'!$A:$A, 'Hospitalisation Details'!I:I, "No Data")</f>
        <v>tier - 3</v>
      </c>
      <c r="L66" s="28" t="str">
        <f t="array" ref="L66">_xlfn.XLOOKUP($A66, 'Hospitalisation Details'!$A:$A, 'Hospitalisation Details'!J:J, "No Data")</f>
        <v>R1013</v>
      </c>
      <c r="M66" s="28" t="str">
        <f t="array" ref="M66">_xlfn.XLOOKUP($A66, 'Hospitalisation Details'!$A:$A, 'Hospitalisation Details'!E:E, "No Data")</f>
        <v>15/08/75</v>
      </c>
      <c r="N66" s="28">
        <f t="array" ref="N66">_xlfn.XLOOKUP($A66, 'Hospitalisation Details'!$A:$A, 'Hospitalisation Details'!K:K, "No Data")</f>
        <v>47</v>
      </c>
      <c r="O66" s="33">
        <f t="array" ref="O66">_xlfn.XLOOKUP($A66, 'Hospitalisation Details'!$A:$A, 'Hospitalisation Details'!G:G, "No Data")</f>
        <v>42211.14</v>
      </c>
      <c r="P66" s="28" t="str">
        <f t="array" ref="P66">_xlfn.XLOOKUP($A66, 'Hospitalisation Details'!$A:$A, 'Hospitalisation Details'!H:H, "No Data")</f>
        <v>tier - 1</v>
      </c>
    </row>
    <row r="67">
      <c r="A67" s="25" t="s">
        <v>231</v>
      </c>
      <c r="B67" s="28" t="str">
        <f t="array" ref="B67">_xlfn.XLOOKUP($A67, 'Customer Names'!$A:$A, 'Customer Names'!B:B, "No Data")</f>
        <v>Hyland</v>
      </c>
      <c r="C67" s="28">
        <f t="array" ref="C67">_xlfn.XLOOKUP($A67, 'Medical Examinations'!$A:$A, 'Medical Examinations'!B:B, "No Data")</f>
        <v>54.99</v>
      </c>
      <c r="D67" s="28">
        <f t="array" ref="D67">_xlfn.XLOOKUP($A67, 'Medical Examinations'!$A:$A, 'Medical Examinations'!C:C, "No Data")</f>
        <v>8.68</v>
      </c>
      <c r="E67" s="28" t="str">
        <f t="array" ref="E67">_xlfn.XLOOKUP($A67, 'Medical Examinations'!$A:$A, 'Medical Examinations'!D:D, "No Data")</f>
        <v>No</v>
      </c>
      <c r="F67" s="28" t="str">
        <f t="array" ref="F67">_xlfn.XLOOKUP($A67, 'Medical Examinations'!$A:$A, 'Medical Examinations'!E:E, "No Data")</f>
        <v>No</v>
      </c>
      <c r="G67" s="28" t="str">
        <f t="array" ref="G67">_xlfn.XLOOKUP($A67, 'Medical Examinations'!$A:$A, 'Medical Examinations'!F:F, "No Data")</f>
        <v>No</v>
      </c>
      <c r="H67" s="28">
        <f t="array" ref="H67">_xlfn.XLOOKUP($A67, 'Medical Examinations'!$A:$A, 'Medical Examinations'!G:G, "No Data")</f>
        <v>2</v>
      </c>
      <c r="I67" s="28" t="str">
        <f t="array" ref="I67">_xlfn.XLOOKUP($A67, 'Medical Examinations'!$A:$A, 'Medical Examinations'!H:H, "No Data")</f>
        <v>yes</v>
      </c>
      <c r="J67" s="28" t="str">
        <f t="array" ref="J67">_xlfn.XLOOKUP($A67, 'Medical Examinations'!$A:$A, 'Medical Examinations'!I:I, "No Data")</f>
        <v>Obesity</v>
      </c>
      <c r="K67" s="28" t="str">
        <f t="array" ref="K67">_xlfn.XLOOKUP($A67, 'Hospitalisation Details'!$A:$A, 'Hospitalisation Details'!I:I, "No Data")</f>
        <v>tier - 1</v>
      </c>
      <c r="L67" s="28" t="str">
        <f t="array" ref="L67">_xlfn.XLOOKUP($A67, 'Hospitalisation Details'!$A:$A, 'Hospitalisation Details'!J:J, "No Data")</f>
        <v>R1011</v>
      </c>
      <c r="M67" s="28" t="str">
        <f t="array" ref="M67">_xlfn.XLOOKUP($A67, 'Hospitalisation Details'!$A:$A, 'Hospitalisation Details'!E:E, "No Data")</f>
        <v>18/09/73</v>
      </c>
      <c r="N67" s="28">
        <f t="array" ref="N67">_xlfn.XLOOKUP($A67, 'Hospitalisation Details'!$A:$A, 'Hospitalisation Details'!K:K, "No Data")</f>
        <v>49</v>
      </c>
      <c r="O67" s="33">
        <f t="array" ref="O67">_xlfn.XLOOKUP($A67, 'Hospitalisation Details'!$A:$A, 'Hospitalisation Details'!G:G, "No Data")</f>
        <v>42188.15</v>
      </c>
      <c r="P67" s="28" t="str">
        <f t="array" ref="P67">_xlfn.XLOOKUP($A67, 'Hospitalisation Details'!$A:$A, 'Hospitalisation Details'!H:H, "No Data")</f>
        <v>tier - 1</v>
      </c>
    </row>
    <row r="68">
      <c r="A68" s="25" t="s">
        <v>234</v>
      </c>
      <c r="B68" s="28" t="str">
        <f t="array" ref="B68">_xlfn.XLOOKUP($A68, 'Customer Names'!$A:$A, 'Customer Names'!B:B, "No Data")</f>
        <v>Ducharme</v>
      </c>
      <c r="C68" s="28">
        <f t="array" ref="C68">_xlfn.XLOOKUP($A68, 'Medical Examinations'!$A:$A, 'Medical Examinations'!B:B, "No Data")</f>
        <v>35.97</v>
      </c>
      <c r="D68" s="28">
        <f t="array" ref="D68">_xlfn.XLOOKUP($A68, 'Medical Examinations'!$A:$A, 'Medical Examinations'!C:C, "No Data")</f>
        <v>6.12</v>
      </c>
      <c r="E68" s="28" t="str">
        <f t="array" ref="E68">_xlfn.XLOOKUP($A68, 'Medical Examinations'!$A:$A, 'Medical Examinations'!D:D, "No Data")</f>
        <v>No</v>
      </c>
      <c r="F68" s="28" t="str">
        <f t="array" ref="F68">_xlfn.XLOOKUP($A68, 'Medical Examinations'!$A:$A, 'Medical Examinations'!E:E, "No Data")</f>
        <v>No</v>
      </c>
      <c r="G68" s="28" t="str">
        <f t="array" ref="G68">_xlfn.XLOOKUP($A68, 'Medical Examinations'!$A:$A, 'Medical Examinations'!F:F, "No Data")</f>
        <v>Yes</v>
      </c>
      <c r="H68" s="28">
        <f t="array" ref="H68">_xlfn.XLOOKUP($A68, 'Medical Examinations'!$A:$A, 'Medical Examinations'!G:G, "No Data")</f>
        <v>1</v>
      </c>
      <c r="I68" s="28" t="str">
        <f t="array" ref="I68">_xlfn.XLOOKUP($A68, 'Medical Examinations'!$A:$A, 'Medical Examinations'!H:H, "No Data")</f>
        <v>yes</v>
      </c>
      <c r="J68" s="28" t="str">
        <f t="array" ref="J68">_xlfn.XLOOKUP($A68, 'Medical Examinations'!$A:$A, 'Medical Examinations'!I:I, "No Data")</f>
        <v>Obesity</v>
      </c>
      <c r="K68" s="28" t="str">
        <f t="array" ref="K68">_xlfn.XLOOKUP($A68, 'Hospitalisation Details'!$A:$A, 'Hospitalisation Details'!I:I, "No Data")</f>
        <v>tier - 1</v>
      </c>
      <c r="L68" s="28" t="str">
        <f t="array" ref="L68">_xlfn.XLOOKUP($A68, 'Hospitalisation Details'!$A:$A, 'Hospitalisation Details'!J:J, "No Data")</f>
        <v>R1013</v>
      </c>
      <c r="M68" s="28" t="str">
        <f t="array" ref="M68">_xlfn.XLOOKUP($A68, 'Hospitalisation Details'!$A:$A, 'Hospitalisation Details'!E:E, "No Data")</f>
        <v>03/07/79</v>
      </c>
      <c r="N68" s="28">
        <f t="array" ref="N68">_xlfn.XLOOKUP($A68, 'Hospitalisation Details'!$A:$A, 'Hospitalisation Details'!K:K, "No Data")</f>
        <v>43</v>
      </c>
      <c r="O68" s="33">
        <f t="array" ref="O68">_xlfn.XLOOKUP($A68, 'Hospitalisation Details'!$A:$A, 'Hospitalisation Details'!G:G, "No Data")</f>
        <v>42124.52</v>
      </c>
      <c r="P68" s="28" t="str">
        <f t="array" ref="P68">_xlfn.XLOOKUP($A68, 'Hospitalisation Details'!$A:$A, 'Hospitalisation Details'!H:H, "No Data")</f>
        <v>tier - 1</v>
      </c>
    </row>
    <row r="69">
      <c r="A69" s="25" t="s">
        <v>237</v>
      </c>
      <c r="B69" s="28" t="str">
        <f t="array" ref="B69">_xlfn.XLOOKUP($A69, 'Customer Names'!$A:$A, 'Customer Names'!B:B, "No Data")</f>
        <v>Johnson</v>
      </c>
      <c r="C69" s="28">
        <f t="array" ref="C69">_xlfn.XLOOKUP($A69, 'Medical Examinations'!$A:$A, 'Medical Examinations'!B:B, "No Data")</f>
        <v>45.54</v>
      </c>
      <c r="D69" s="28">
        <f t="array" ref="D69">_xlfn.XLOOKUP($A69, 'Medical Examinations'!$A:$A, 'Medical Examinations'!C:C, "No Data")</f>
        <v>5.4</v>
      </c>
      <c r="E69" s="28" t="str">
        <f t="array" ref="E69">_xlfn.XLOOKUP($A69, 'Medical Examinations'!$A:$A, 'Medical Examinations'!D:D, "No Data")</f>
        <v>yes</v>
      </c>
      <c r="F69" s="28" t="str">
        <f t="array" ref="F69">_xlfn.XLOOKUP($A69, 'Medical Examinations'!$A:$A, 'Medical Examinations'!E:E, "No Data")</f>
        <v>No</v>
      </c>
      <c r="G69" s="28" t="str">
        <f t="array" ref="G69">_xlfn.XLOOKUP($A69, 'Medical Examinations'!$A:$A, 'Medical Examinations'!F:F, "No Data")</f>
        <v>Yes</v>
      </c>
      <c r="H69" s="28">
        <f t="array" ref="H69">_xlfn.XLOOKUP($A69, 'Medical Examinations'!$A:$A, 'Medical Examinations'!G:G, "No Data")</f>
        <v>1</v>
      </c>
      <c r="I69" s="28" t="str">
        <f t="array" ref="I69">_xlfn.XLOOKUP($A69, 'Medical Examinations'!$A:$A, 'Medical Examinations'!H:H, "No Data")</f>
        <v>yes</v>
      </c>
      <c r="J69" s="28" t="str">
        <f t="array" ref="J69">_xlfn.XLOOKUP($A69, 'Medical Examinations'!$A:$A, 'Medical Examinations'!I:I, "No Data")</f>
        <v>Obesity</v>
      </c>
      <c r="K69" s="28" t="str">
        <f t="array" ref="K69">_xlfn.XLOOKUP($A69, 'Hospitalisation Details'!$A:$A, 'Hospitalisation Details'!I:I, "No Data")</f>
        <v>tier - 3</v>
      </c>
      <c r="L69" s="28" t="str">
        <f t="array" ref="L69">_xlfn.XLOOKUP($A69, 'Hospitalisation Details'!$A:$A, 'Hospitalisation Details'!J:J, "No Data")</f>
        <v>R1013</v>
      </c>
      <c r="M69" s="28" t="str">
        <f t="array" ref="M69">_xlfn.XLOOKUP($A69, 'Hospitalisation Details'!$A:$A, 'Hospitalisation Details'!E:E, "No Data")</f>
        <v>09/12/97</v>
      </c>
      <c r="N69" s="28">
        <f t="array" ref="N69">_xlfn.XLOOKUP($A69, 'Hospitalisation Details'!$A:$A, 'Hospitalisation Details'!K:K, "No Data")</f>
        <v>25</v>
      </c>
      <c r="O69" s="33">
        <f t="array" ref="O69">_xlfn.XLOOKUP($A69, 'Hospitalisation Details'!$A:$A, 'Hospitalisation Details'!G:G, "No Data")</f>
        <v>42112.24</v>
      </c>
      <c r="P69" s="28" t="str">
        <f t="array" ref="P69">_xlfn.XLOOKUP($A69, 'Hospitalisation Details'!$A:$A, 'Hospitalisation Details'!H:H, "No Data")</f>
        <v>tier - 1</v>
      </c>
    </row>
    <row r="70">
      <c r="A70" s="25" t="s">
        <v>242</v>
      </c>
      <c r="B70" s="28" t="str">
        <f t="array" ref="B70">_xlfn.XLOOKUP($A70, 'Customer Names'!$A:$A, 'Customer Names'!B:B, "No Data")</f>
        <v>Mutz</v>
      </c>
      <c r="C70" s="28">
        <f t="array" ref="C70">_xlfn.XLOOKUP($A70, 'Medical Examinations'!$A:$A, 'Medical Examinations'!B:B, "No Data")</f>
        <v>35.53</v>
      </c>
      <c r="D70" s="28">
        <f t="array" ref="D70">_xlfn.XLOOKUP($A70, 'Medical Examinations'!$A:$A, 'Medical Examinations'!C:C, "No Data")</f>
        <v>4.36</v>
      </c>
      <c r="E70" s="28" t="str">
        <f t="array" ref="E70">_xlfn.XLOOKUP($A70, 'Medical Examinations'!$A:$A, 'Medical Examinations'!D:D, "No Data")</f>
        <v>yes</v>
      </c>
      <c r="F70" s="28" t="str">
        <f t="array" ref="F70">_xlfn.XLOOKUP($A70, 'Medical Examinations'!$A:$A, 'Medical Examinations'!E:E, "No Data")</f>
        <v>No</v>
      </c>
      <c r="G70" s="28" t="str">
        <f t="array" ref="G70">_xlfn.XLOOKUP($A70, 'Medical Examinations'!$A:$A, 'Medical Examinations'!F:F, "No Data")</f>
        <v>No</v>
      </c>
      <c r="H70" s="28">
        <f t="array" ref="H70">_xlfn.XLOOKUP($A70, 'Medical Examinations'!$A:$A, 'Medical Examinations'!G:G, "No Data")</f>
        <v>0</v>
      </c>
      <c r="I70" s="28" t="str">
        <f t="array" ref="I70">_xlfn.XLOOKUP($A70, 'Medical Examinations'!$A:$A, 'Medical Examinations'!H:H, "No Data")</f>
        <v>yes</v>
      </c>
      <c r="J70" s="28" t="str">
        <f t="array" ref="J70">_xlfn.XLOOKUP($A70, 'Medical Examinations'!$A:$A, 'Medical Examinations'!I:I, "No Data")</f>
        <v>Obesity</v>
      </c>
      <c r="K70" s="28" t="str">
        <f t="array" ref="K70">_xlfn.XLOOKUP($A70, 'Hospitalisation Details'!$A:$A, 'Hospitalisation Details'!I:I, "No Data")</f>
        <v>tier - 1</v>
      </c>
      <c r="L70" s="28" t="str">
        <f t="array" ref="L70">_xlfn.XLOOKUP($A70, 'Hospitalisation Details'!$A:$A, 'Hospitalisation Details'!J:J, "No Data")</f>
        <v>R1024</v>
      </c>
      <c r="M70" s="28" t="str">
        <f t="array" ref="M70">_xlfn.XLOOKUP($A70, 'Hospitalisation Details'!$A:$A, 'Hospitalisation Details'!E:E, "No Data")</f>
        <v>28/11/76</v>
      </c>
      <c r="N70" s="28">
        <f t="array" ref="N70">_xlfn.XLOOKUP($A70, 'Hospitalisation Details'!$A:$A, 'Hospitalisation Details'!K:K, "No Data")</f>
        <v>46</v>
      </c>
      <c r="O70" s="33">
        <f t="array" ref="O70">_xlfn.XLOOKUP($A70, 'Hospitalisation Details'!$A:$A, 'Hospitalisation Details'!G:G, "No Data")</f>
        <v>42111.66</v>
      </c>
      <c r="P70" s="28" t="str">
        <f t="array" ref="P70">_xlfn.XLOOKUP($A70, 'Hospitalisation Details'!$A:$A, 'Hospitalisation Details'!H:H, "No Data")</f>
        <v>tier - 1</v>
      </c>
    </row>
    <row r="71">
      <c r="A71" s="25" t="s">
        <v>245</v>
      </c>
      <c r="B71" s="28" t="str">
        <f t="array" ref="B71">_xlfn.XLOOKUP($A71, 'Customer Names'!$A:$A, 'Customer Names'!B:B, "No Data")</f>
        <v>Lee</v>
      </c>
      <c r="C71" s="28">
        <f t="array" ref="C71">_xlfn.XLOOKUP($A71, 'Medical Examinations'!$A:$A, 'Medical Examinations'!B:B, "No Data")</f>
        <v>30.8</v>
      </c>
      <c r="D71" s="28">
        <f t="array" ref="D71">_xlfn.XLOOKUP($A71, 'Medical Examinations'!$A:$A, 'Medical Examinations'!C:C, "No Data")</f>
        <v>9.77</v>
      </c>
      <c r="E71" s="28" t="str">
        <f t="array" ref="E71">_xlfn.XLOOKUP($A71, 'Medical Examinations'!$A:$A, 'Medical Examinations'!D:D, "No Data")</f>
        <v>No</v>
      </c>
      <c r="F71" s="28" t="str">
        <f t="array" ref="F71">_xlfn.XLOOKUP($A71, 'Medical Examinations'!$A:$A, 'Medical Examinations'!E:E, "No Data")</f>
        <v>No</v>
      </c>
      <c r="G71" s="28" t="str">
        <f t="array" ref="G71">_xlfn.XLOOKUP($A71, 'Medical Examinations'!$A:$A, 'Medical Examinations'!F:F, "No Data")</f>
        <v>No</v>
      </c>
      <c r="H71" s="28">
        <f t="array" ref="H71">_xlfn.XLOOKUP($A71, 'Medical Examinations'!$A:$A, 'Medical Examinations'!G:G, "No Data")</f>
        <v>0</v>
      </c>
      <c r="I71" s="28" t="str">
        <f t="array" ref="I71">_xlfn.XLOOKUP($A71, 'Medical Examinations'!$A:$A, 'Medical Examinations'!H:H, "No Data")</f>
        <v>yes</v>
      </c>
      <c r="J71" s="28" t="str">
        <f t="array" ref="J71">_xlfn.XLOOKUP($A71, 'Medical Examinations'!$A:$A, 'Medical Examinations'!I:I, "No Data")</f>
        <v>Obesity</v>
      </c>
      <c r="K71" s="28" t="str">
        <f t="array" ref="K71">_xlfn.XLOOKUP($A71, 'Hospitalisation Details'!$A:$A, 'Hospitalisation Details'!I:I, "No Data")</f>
        <v>tier - 3</v>
      </c>
      <c r="L71" s="28" t="str">
        <f t="array" ref="L71">_xlfn.XLOOKUP($A71, 'Hospitalisation Details'!$A:$A, 'Hospitalisation Details'!J:J, "No Data")</f>
        <v>R1013</v>
      </c>
      <c r="M71" s="28" t="str">
        <f t="array" ref="M71">_xlfn.XLOOKUP($A71, 'Hospitalisation Details'!$A:$A, 'Hospitalisation Details'!E:E, "No Data")</f>
        <v>19/12/68</v>
      </c>
      <c r="N71" s="28">
        <f t="array" ref="N71">_xlfn.XLOOKUP($A71, 'Hospitalisation Details'!$A:$A, 'Hospitalisation Details'!K:K, "No Data")</f>
        <v>54</v>
      </c>
      <c r="O71" s="33">
        <f t="array" ref="O71">_xlfn.XLOOKUP($A71, 'Hospitalisation Details'!$A:$A, 'Hospitalisation Details'!G:G, "No Data")</f>
        <v>41999.52</v>
      </c>
      <c r="P71" s="28" t="str">
        <f t="array" ref="P71">_xlfn.XLOOKUP($A71, 'Hospitalisation Details'!$A:$A, 'Hospitalisation Details'!H:H, "No Data")</f>
        <v>tier - 1</v>
      </c>
    </row>
    <row r="72">
      <c r="A72" s="25" t="s">
        <v>248</v>
      </c>
      <c r="B72" s="28" t="str">
        <f t="array" ref="B72">_xlfn.XLOOKUP($A72, 'Customer Names'!$A:$A, 'Customer Names'!B:B, "No Data")</f>
        <v>Turner</v>
      </c>
      <c r="C72" s="28">
        <f t="array" ref="C72">_xlfn.XLOOKUP($A72, 'Medical Examinations'!$A:$A, 'Medical Examinations'!B:B, "No Data")</f>
        <v>38.39</v>
      </c>
      <c r="D72" s="28">
        <f t="array" ref="D72">_xlfn.XLOOKUP($A72, 'Medical Examinations'!$A:$A, 'Medical Examinations'!C:C, "No Data")</f>
        <v>4.25</v>
      </c>
      <c r="E72" s="28" t="str">
        <f t="array" ref="E72">_xlfn.XLOOKUP($A72, 'Medical Examinations'!$A:$A, 'Medical Examinations'!D:D, "No Data")</f>
        <v>No</v>
      </c>
      <c r="F72" s="28" t="str">
        <f t="array" ref="F72">_xlfn.XLOOKUP($A72, 'Medical Examinations'!$A:$A, 'Medical Examinations'!E:E, "No Data")</f>
        <v>No</v>
      </c>
      <c r="G72" s="28" t="str">
        <f t="array" ref="G72">_xlfn.XLOOKUP($A72, 'Medical Examinations'!$A:$A, 'Medical Examinations'!F:F, "No Data")</f>
        <v>No</v>
      </c>
      <c r="H72" s="28">
        <f t="array" ref="H72">_xlfn.XLOOKUP($A72, 'Medical Examinations'!$A:$A, 'Medical Examinations'!G:G, "No Data")</f>
        <v>1</v>
      </c>
      <c r="I72" s="28" t="str">
        <f t="array" ref="I72">_xlfn.XLOOKUP($A72, 'Medical Examinations'!$A:$A, 'Medical Examinations'!H:H, "No Data")</f>
        <v>yes</v>
      </c>
      <c r="J72" s="28" t="str">
        <f t="array" ref="J72">_xlfn.XLOOKUP($A72, 'Medical Examinations'!$A:$A, 'Medical Examinations'!I:I, "No Data")</f>
        <v>Obesity</v>
      </c>
      <c r="K72" s="28" t="str">
        <f t="array" ref="K72">_xlfn.XLOOKUP($A72, 'Hospitalisation Details'!$A:$A, 'Hospitalisation Details'!I:I, "No Data")</f>
        <v>tier - 1</v>
      </c>
      <c r="L72" s="28" t="str">
        <f t="array" ref="L72">_xlfn.XLOOKUP($A72, 'Hospitalisation Details'!$A:$A, 'Hospitalisation Details'!J:J, "No Data")</f>
        <v>R1013</v>
      </c>
      <c r="M72" s="28" t="str">
        <f t="array" ref="M72">_xlfn.XLOOKUP($A72, 'Hospitalisation Details'!$A:$A, 'Hospitalisation Details'!E:E, "No Data")</f>
        <v>10/11/84</v>
      </c>
      <c r="N72" s="28">
        <f t="array" ref="N72">_xlfn.XLOOKUP($A72, 'Hospitalisation Details'!$A:$A, 'Hospitalisation Details'!K:K, "No Data")</f>
        <v>38</v>
      </c>
      <c r="O72" s="33">
        <f t="array" ref="O72">_xlfn.XLOOKUP($A72, 'Hospitalisation Details'!$A:$A, 'Hospitalisation Details'!G:G, "No Data")</f>
        <v>41949.24</v>
      </c>
      <c r="P72" s="28" t="str">
        <f t="array" ref="P72">_xlfn.XLOOKUP($A72, 'Hospitalisation Details'!$A:$A, 'Hospitalisation Details'!H:H, "No Data")</f>
        <v>tier - 1</v>
      </c>
    </row>
    <row r="73">
      <c r="A73" s="25" t="s">
        <v>251</v>
      </c>
      <c r="B73" s="28" t="str">
        <f t="array" ref="B73">_xlfn.XLOOKUP($A73, 'Customer Names'!$A:$A, 'Customer Names'!B:B, "No Data")</f>
        <v>Rangel</v>
      </c>
      <c r="C73" s="28">
        <f t="array" ref="C73">_xlfn.XLOOKUP($A73, 'Medical Examinations'!$A:$A, 'Medical Examinations'!B:B, "No Data")</f>
        <v>32.3</v>
      </c>
      <c r="D73" s="28">
        <f t="array" ref="D73">_xlfn.XLOOKUP($A73, 'Medical Examinations'!$A:$A, 'Medical Examinations'!C:C, "No Data")</f>
        <v>4.76</v>
      </c>
      <c r="E73" s="28" t="str">
        <f t="array" ref="E73">_xlfn.XLOOKUP($A73, 'Medical Examinations'!$A:$A, 'Medical Examinations'!D:D, "No Data")</f>
        <v>No</v>
      </c>
      <c r="F73" s="28" t="str">
        <f t="array" ref="F73">_xlfn.XLOOKUP($A73, 'Medical Examinations'!$A:$A, 'Medical Examinations'!E:E, "No Data")</f>
        <v>No</v>
      </c>
      <c r="G73" s="28" t="str">
        <f t="array" ref="G73">_xlfn.XLOOKUP($A73, 'Medical Examinations'!$A:$A, 'Medical Examinations'!F:F, "No Data")</f>
        <v>No</v>
      </c>
      <c r="H73" s="28">
        <f t="array" ref="H73">_xlfn.XLOOKUP($A73, 'Medical Examinations'!$A:$A, 'Medical Examinations'!G:G, "No Data")</f>
        <v>2</v>
      </c>
      <c r="I73" s="28" t="str">
        <f t="array" ref="I73">_xlfn.XLOOKUP($A73, 'Medical Examinations'!$A:$A, 'Medical Examinations'!H:H, "No Data")</f>
        <v>yes</v>
      </c>
      <c r="J73" s="28" t="str">
        <f t="array" ref="J73">_xlfn.XLOOKUP($A73, 'Medical Examinations'!$A:$A, 'Medical Examinations'!I:I, "No Data")</f>
        <v>Obesity</v>
      </c>
      <c r="K73" s="28" t="str">
        <f t="array" ref="K73">_xlfn.XLOOKUP($A73, 'Hospitalisation Details'!$A:$A, 'Hospitalisation Details'!I:I, "No Data")</f>
        <v>tier - 1</v>
      </c>
      <c r="L73" s="28" t="str">
        <f t="array" ref="L73">_xlfn.XLOOKUP($A73, 'Hospitalisation Details'!$A:$A, 'Hospitalisation Details'!J:J, "No Data")</f>
        <v>R1016</v>
      </c>
      <c r="M73" s="28" t="str">
        <f t="array" ref="M73">_xlfn.XLOOKUP($A73, 'Hospitalisation Details'!$A:$A, 'Hospitalisation Details'!E:E, "No Data")</f>
        <v>08/06/72</v>
      </c>
      <c r="N73" s="28">
        <f t="array" ref="N73">_xlfn.XLOOKUP($A73, 'Hospitalisation Details'!$A:$A, 'Hospitalisation Details'!K:K, "No Data")</f>
        <v>51</v>
      </c>
      <c r="O73" s="33">
        <f t="array" ref="O73">_xlfn.XLOOKUP($A73, 'Hospitalisation Details'!$A:$A, 'Hospitalisation Details'!G:G, "No Data")</f>
        <v>41919.1</v>
      </c>
      <c r="P73" s="28" t="str">
        <f t="array" ref="P73">_xlfn.XLOOKUP($A73, 'Hospitalisation Details'!$A:$A, 'Hospitalisation Details'!H:H, "No Data")</f>
        <v>tier - 1</v>
      </c>
    </row>
    <row r="74">
      <c r="A74" s="25" t="s">
        <v>254</v>
      </c>
      <c r="B74" s="28" t="str">
        <f t="array" ref="B74">_xlfn.XLOOKUP($A74, 'Customer Names'!$A:$A, 'Customer Names'!B:B, "No Data")</f>
        <v>Lacey</v>
      </c>
      <c r="C74" s="28">
        <f t="array" ref="C74">_xlfn.XLOOKUP($A74, 'Medical Examinations'!$A:$A, 'Medical Examinations'!B:B, "No Data")</f>
        <v>48.8</v>
      </c>
      <c r="D74" s="28">
        <f t="array" ref="D74">_xlfn.XLOOKUP($A74, 'Medical Examinations'!$A:$A, 'Medical Examinations'!C:C, "No Data")</f>
        <v>6.22</v>
      </c>
      <c r="E74" s="28" t="str">
        <f t="array" ref="E74">_xlfn.XLOOKUP($A74, 'Medical Examinations'!$A:$A, 'Medical Examinations'!D:D, "No Data")</f>
        <v>yes</v>
      </c>
      <c r="F74" s="28" t="str">
        <f t="array" ref="F74">_xlfn.XLOOKUP($A74, 'Medical Examinations'!$A:$A, 'Medical Examinations'!E:E, "No Data")</f>
        <v>No</v>
      </c>
      <c r="G74" s="28" t="str">
        <f t="array" ref="G74">_xlfn.XLOOKUP($A74, 'Medical Examinations'!$A:$A, 'Medical Examinations'!F:F, "No Data")</f>
        <v>No</v>
      </c>
      <c r="H74" s="28">
        <f t="array" ref="H74">_xlfn.XLOOKUP($A74, 'Medical Examinations'!$A:$A, 'Medical Examinations'!G:G, "No Data")</f>
        <v>2</v>
      </c>
      <c r="I74" s="28" t="str">
        <f t="array" ref="I74">_xlfn.XLOOKUP($A74, 'Medical Examinations'!$A:$A, 'Medical Examinations'!H:H, "No Data")</f>
        <v>yes</v>
      </c>
      <c r="J74" s="28" t="str">
        <f t="array" ref="J74">_xlfn.XLOOKUP($A74, 'Medical Examinations'!$A:$A, 'Medical Examinations'!I:I, "No Data")</f>
        <v>Obesity</v>
      </c>
      <c r="K74" s="28" t="str">
        <f t="array" ref="K74">_xlfn.XLOOKUP($A74, 'Hospitalisation Details'!$A:$A, 'Hospitalisation Details'!I:I, "No Data")</f>
        <v>tier - 3</v>
      </c>
      <c r="L74" s="28" t="str">
        <f t="array" ref="L74">_xlfn.XLOOKUP($A74, 'Hospitalisation Details'!$A:$A, 'Hospitalisation Details'!J:J, "No Data")</f>
        <v>R1011</v>
      </c>
      <c r="M74" s="28" t="str">
        <f t="array" ref="M74">_xlfn.XLOOKUP($A74, 'Hospitalisation Details'!$A:$A, 'Hospitalisation Details'!E:E, "No Data")</f>
        <v>21/09/66</v>
      </c>
      <c r="N74" s="28">
        <f t="array" ref="N74">_xlfn.XLOOKUP($A74, 'Hospitalisation Details'!$A:$A, 'Hospitalisation Details'!K:K, "No Data")</f>
        <v>56</v>
      </c>
      <c r="O74" s="33">
        <f t="array" ref="O74">_xlfn.XLOOKUP($A74, 'Hospitalisation Details'!$A:$A, 'Hospitalisation Details'!G:G, "No Data")</f>
        <v>41886.54</v>
      </c>
      <c r="P74" s="28" t="str">
        <f t="array" ref="P74">_xlfn.XLOOKUP($A74, 'Hospitalisation Details'!$A:$A, 'Hospitalisation Details'!H:H, "No Data")</f>
        <v>tier - 1</v>
      </c>
    </row>
    <row r="75">
      <c r="A75" s="25" t="s">
        <v>257</v>
      </c>
      <c r="B75" s="28" t="str">
        <f t="array" ref="B75">_xlfn.XLOOKUP($A75, 'Customer Names'!$A:$A, 'Customer Names'!B:B, "No Data")</f>
        <v>Stiger</v>
      </c>
      <c r="C75" s="28">
        <f t="array" ref="C75">_xlfn.XLOOKUP($A75, 'Medical Examinations'!$A:$A, 'Medical Examinations'!B:B, "No Data")</f>
        <v>45.5</v>
      </c>
      <c r="D75" s="28">
        <f t="array" ref="D75">_xlfn.XLOOKUP($A75, 'Medical Examinations'!$A:$A, 'Medical Examinations'!C:C, "No Data")</f>
        <v>7.96</v>
      </c>
      <c r="E75" s="28" t="str">
        <f t="array" ref="E75">_xlfn.XLOOKUP($A75, 'Medical Examinations'!$A:$A, 'Medical Examinations'!D:D, "No Data")</f>
        <v>No</v>
      </c>
      <c r="F75" s="28" t="str">
        <f t="array" ref="F75">_xlfn.XLOOKUP($A75, 'Medical Examinations'!$A:$A, 'Medical Examinations'!E:E, "No Data")</f>
        <v>No</v>
      </c>
      <c r="G75" s="28" t="str">
        <f t="array" ref="G75">_xlfn.XLOOKUP($A75, 'Medical Examinations'!$A:$A, 'Medical Examinations'!F:F, "No Data")</f>
        <v>No</v>
      </c>
      <c r="H75" s="28">
        <f t="array" ref="H75">_xlfn.XLOOKUP($A75, 'Medical Examinations'!$A:$A, 'Medical Examinations'!G:G, "No Data")</f>
        <v>0</v>
      </c>
      <c r="I75" s="28" t="str">
        <f t="array" ref="I75">_xlfn.XLOOKUP($A75, 'Medical Examinations'!$A:$A, 'Medical Examinations'!H:H, "No Data")</f>
        <v>yes</v>
      </c>
      <c r="J75" s="28" t="str">
        <f t="array" ref="J75">_xlfn.XLOOKUP($A75, 'Medical Examinations'!$A:$A, 'Medical Examinations'!I:I, "No Data")</f>
        <v>Obesity</v>
      </c>
      <c r="K75" s="28" t="str">
        <f t="array" ref="K75">_xlfn.XLOOKUP($A75, 'Hospitalisation Details'!$A:$A, 'Hospitalisation Details'!I:I, "No Data")</f>
        <v>tier - 3</v>
      </c>
      <c r="L75" s="28" t="str">
        <f t="array" ref="L75">_xlfn.XLOOKUP($A75, 'Hospitalisation Details'!$A:$A, 'Hospitalisation Details'!J:J, "No Data")</f>
        <v>R1011</v>
      </c>
      <c r="M75" s="28" t="str">
        <f t="array" ref="M75">_xlfn.XLOOKUP($A75, 'Hospitalisation Details'!$A:$A, 'Hospitalisation Details'!E:E, "No Data")</f>
        <v>22/09/62</v>
      </c>
      <c r="N75" s="28">
        <f t="array" ref="N75">_xlfn.XLOOKUP($A75, 'Hospitalisation Details'!$A:$A, 'Hospitalisation Details'!K:K, "No Data")</f>
        <v>60</v>
      </c>
      <c r="O75" s="33">
        <f t="array" ref="O75">_xlfn.XLOOKUP($A75, 'Hospitalisation Details'!$A:$A, 'Hospitalisation Details'!G:G, "No Data")</f>
        <v>41794.63</v>
      </c>
      <c r="P75" s="28" t="str">
        <f t="array" ref="P75">_xlfn.XLOOKUP($A75, 'Hospitalisation Details'!$A:$A, 'Hospitalisation Details'!H:H, "No Data")</f>
        <v>tier - 1</v>
      </c>
    </row>
    <row r="76">
      <c r="A76" s="25" t="s">
        <v>260</v>
      </c>
      <c r="B76" s="28" t="str">
        <f t="array" ref="B76">_xlfn.XLOOKUP($A76, 'Customer Names'!$A:$A, 'Customer Names'!B:B, "No Data")</f>
        <v>Caldwell</v>
      </c>
      <c r="C76" s="28">
        <f t="array" ref="C76">_xlfn.XLOOKUP($A76, 'Medical Examinations'!$A:$A, 'Medical Examinations'!B:B, "No Data")</f>
        <v>53.61</v>
      </c>
      <c r="D76" s="28">
        <f t="array" ref="D76">_xlfn.XLOOKUP($A76, 'Medical Examinations'!$A:$A, 'Medical Examinations'!C:C, "No Data")</f>
        <v>10.92</v>
      </c>
      <c r="E76" s="28" t="str">
        <f t="array" ref="E76">_xlfn.XLOOKUP($A76, 'Medical Examinations'!$A:$A, 'Medical Examinations'!D:D, "No Data")</f>
        <v>yes</v>
      </c>
      <c r="F76" s="28" t="str">
        <f t="array" ref="F76">_xlfn.XLOOKUP($A76, 'Medical Examinations'!$A:$A, 'Medical Examinations'!E:E, "No Data")</f>
        <v>No</v>
      </c>
      <c r="G76" s="28" t="str">
        <f t="array" ref="G76">_xlfn.XLOOKUP($A76, 'Medical Examinations'!$A:$A, 'Medical Examinations'!F:F, "No Data")</f>
        <v>No</v>
      </c>
      <c r="H76" s="28">
        <f t="array" ref="H76">_xlfn.XLOOKUP($A76, 'Medical Examinations'!$A:$A, 'Medical Examinations'!G:G, "No Data")</f>
        <v>1</v>
      </c>
      <c r="I76" s="28" t="str">
        <f t="array" ref="I76">_xlfn.XLOOKUP($A76, 'Medical Examinations'!$A:$A, 'Medical Examinations'!H:H, "No Data")</f>
        <v>yes</v>
      </c>
      <c r="J76" s="28" t="str">
        <f t="array" ref="J76">_xlfn.XLOOKUP($A76, 'Medical Examinations'!$A:$A, 'Medical Examinations'!I:I, "No Data")</f>
        <v>Obesity</v>
      </c>
      <c r="K76" s="28" t="str">
        <f t="array" ref="K76">_xlfn.XLOOKUP($A76, 'Hospitalisation Details'!$A:$A, 'Hospitalisation Details'!I:I, "No Data")</f>
        <v>tier - 1</v>
      </c>
      <c r="L76" s="28" t="str">
        <f t="array" ref="L76">_xlfn.XLOOKUP($A76, 'Hospitalisation Details'!$A:$A, 'Hospitalisation Details'!J:J, "No Data")</f>
        <v>R1011</v>
      </c>
      <c r="M76" s="28" t="str">
        <f t="array" ref="M76">_xlfn.XLOOKUP($A76, 'Hospitalisation Details'!$A:$A, 'Hospitalisation Details'!E:E, "No Data")</f>
        <v>29/09/75</v>
      </c>
      <c r="N76" s="28">
        <f t="array" ref="N76">_xlfn.XLOOKUP($A76, 'Hospitalisation Details'!$A:$A, 'Hospitalisation Details'!K:K, "No Data")</f>
        <v>47</v>
      </c>
      <c r="O76" s="33">
        <f t="array" ref="O76">_xlfn.XLOOKUP($A76, 'Hospitalisation Details'!$A:$A, 'Hospitalisation Details'!G:G, "No Data")</f>
        <v>41681.86</v>
      </c>
      <c r="P76" s="28" t="str">
        <f t="array" ref="P76">_xlfn.XLOOKUP($A76, 'Hospitalisation Details'!$A:$A, 'Hospitalisation Details'!H:H, "No Data")</f>
        <v>tier - 1</v>
      </c>
    </row>
    <row r="77">
      <c r="A77" s="25" t="s">
        <v>263</v>
      </c>
      <c r="B77" s="28" t="str">
        <f t="array" ref="B77">_xlfn.XLOOKUP($A77, 'Customer Names'!$A:$A, 'Customer Names'!B:B, "No Data")</f>
        <v>Marmillod</v>
      </c>
      <c r="C77" s="28">
        <f t="array" ref="C77">_xlfn.XLOOKUP($A77, 'Medical Examinations'!$A:$A, 'Medical Examinations'!B:B, "No Data")</f>
        <v>36.19</v>
      </c>
      <c r="D77" s="28">
        <f t="array" ref="D77">_xlfn.XLOOKUP($A77, 'Medical Examinations'!$A:$A, 'Medical Examinations'!C:C, "No Data")</f>
        <v>11.51</v>
      </c>
      <c r="E77" s="28" t="str">
        <f t="array" ref="E77">_xlfn.XLOOKUP($A77, 'Medical Examinations'!$A:$A, 'Medical Examinations'!D:D, "No Data")</f>
        <v>yes</v>
      </c>
      <c r="F77" s="28" t="str">
        <f t="array" ref="F77">_xlfn.XLOOKUP($A77, 'Medical Examinations'!$A:$A, 'Medical Examinations'!E:E, "No Data")</f>
        <v>No</v>
      </c>
      <c r="G77" s="28" t="str">
        <f t="array" ref="G77">_xlfn.XLOOKUP($A77, 'Medical Examinations'!$A:$A, 'Medical Examinations'!F:F, "No Data")</f>
        <v>No</v>
      </c>
      <c r="H77" s="28">
        <f t="array" ref="H77">_xlfn.XLOOKUP($A77, 'Medical Examinations'!$A:$A, 'Medical Examinations'!G:G, "No Data")</f>
        <v>1</v>
      </c>
      <c r="I77" s="28" t="str">
        <f t="array" ref="I77">_xlfn.XLOOKUP($A77, 'Medical Examinations'!$A:$A, 'Medical Examinations'!H:H, "No Data")</f>
        <v>yes</v>
      </c>
      <c r="J77" s="28" t="str">
        <f t="array" ref="J77">_xlfn.XLOOKUP($A77, 'Medical Examinations'!$A:$A, 'Medical Examinations'!I:I, "No Data")</f>
        <v>Obesity</v>
      </c>
      <c r="K77" s="28" t="str">
        <f t="array" ref="K77">_xlfn.XLOOKUP($A77, 'Hospitalisation Details'!$A:$A, 'Hospitalisation Details'!I:I, "No Data")</f>
        <v>tier - 2</v>
      </c>
      <c r="L77" s="28" t="str">
        <f t="array" ref="L77">_xlfn.XLOOKUP($A77, 'Hospitalisation Details'!$A:$A, 'Hospitalisation Details'!J:J, "No Data")</f>
        <v>R1013</v>
      </c>
      <c r="M77" s="28" t="str">
        <f t="array" ref="M77">_xlfn.XLOOKUP($A77, 'Hospitalisation Details'!$A:$A, 'Hospitalisation Details'!E:E, "No Data")</f>
        <v>14/11/75</v>
      </c>
      <c r="N77" s="28">
        <f t="array" ref="N77">_xlfn.XLOOKUP($A77, 'Hospitalisation Details'!$A:$A, 'Hospitalisation Details'!K:K, "No Data")</f>
        <v>47</v>
      </c>
      <c r="O77" s="33">
        <f t="array" ref="O77">_xlfn.XLOOKUP($A77, 'Hospitalisation Details'!$A:$A, 'Hospitalisation Details'!G:G, "No Data")</f>
        <v>41676.08</v>
      </c>
      <c r="P77" s="28" t="str">
        <f t="array" ref="P77">_xlfn.XLOOKUP($A77, 'Hospitalisation Details'!$A:$A, 'Hospitalisation Details'!H:H, "No Data")</f>
        <v>tier - 1</v>
      </c>
    </row>
    <row r="78">
      <c r="A78" s="25" t="s">
        <v>266</v>
      </c>
      <c r="B78" s="28" t="str">
        <f t="array" ref="B78">_xlfn.XLOOKUP($A78, 'Customer Names'!$A:$A, 'Customer Names'!B:B, "No Data")</f>
        <v>Cloutier-Simons</v>
      </c>
      <c r="C78" s="28">
        <f t="array" ref="C78">_xlfn.XLOOKUP($A78, 'Medical Examinations'!$A:$A, 'Medical Examinations'!B:B, "No Data")</f>
        <v>34.6</v>
      </c>
      <c r="D78" s="28">
        <f t="array" ref="D78">_xlfn.XLOOKUP($A78, 'Medical Examinations'!$A:$A, 'Medical Examinations'!C:C, "No Data")</f>
        <v>5.99</v>
      </c>
      <c r="E78" s="28" t="str">
        <f t="array" ref="E78">_xlfn.XLOOKUP($A78, 'Medical Examinations'!$A:$A, 'Medical Examinations'!D:D, "No Data")</f>
        <v>yes</v>
      </c>
      <c r="F78" s="28" t="str">
        <f t="array" ref="F78">_xlfn.XLOOKUP($A78, 'Medical Examinations'!$A:$A, 'Medical Examinations'!E:E, "No Data")</f>
        <v>No</v>
      </c>
      <c r="G78" s="28" t="str">
        <f t="array" ref="G78">_xlfn.XLOOKUP($A78, 'Medical Examinations'!$A:$A, 'Medical Examinations'!F:F, "No Data")</f>
        <v>No</v>
      </c>
      <c r="H78" s="28">
        <f t="array" ref="H78">_xlfn.XLOOKUP($A78, 'Medical Examinations'!$A:$A, 'Medical Examinations'!G:G, "No Data")</f>
        <v>0</v>
      </c>
      <c r="I78" s="28" t="str">
        <f t="array" ref="I78">_xlfn.XLOOKUP($A78, 'Medical Examinations'!$A:$A, 'Medical Examinations'!H:H, "No Data")</f>
        <v>yes</v>
      </c>
      <c r="J78" s="28" t="str">
        <f t="array" ref="J78">_xlfn.XLOOKUP($A78, 'Medical Examinations'!$A:$A, 'Medical Examinations'!I:I, "No Data")</f>
        <v>Obesity</v>
      </c>
      <c r="K78" s="28" t="str">
        <f t="array" ref="K78">_xlfn.XLOOKUP($A78, 'Hospitalisation Details'!$A:$A, 'Hospitalisation Details'!I:I, "No Data")</f>
        <v>tier - 3</v>
      </c>
      <c r="L78" s="28" t="str">
        <f t="array" ref="L78">_xlfn.XLOOKUP($A78, 'Hospitalisation Details'!$A:$A, 'Hospitalisation Details'!J:J, "No Data")</f>
        <v>R1011</v>
      </c>
      <c r="M78" s="28" t="str">
        <f t="array" ref="M78">_xlfn.XLOOKUP($A78, 'Hospitalisation Details'!$A:$A, 'Hospitalisation Details'!E:E, "No Data")</f>
        <v>29/10/76</v>
      </c>
      <c r="N78" s="28">
        <f t="array" ref="N78">_xlfn.XLOOKUP($A78, 'Hospitalisation Details'!$A:$A, 'Hospitalisation Details'!K:K, "No Data")</f>
        <v>46</v>
      </c>
      <c r="O78" s="33">
        <f t="array" ref="O78">_xlfn.XLOOKUP($A78, 'Hospitalisation Details'!$A:$A, 'Hospitalisation Details'!G:G, "No Data")</f>
        <v>41661.6</v>
      </c>
      <c r="P78" s="28" t="str">
        <f t="array" ref="P78">_xlfn.XLOOKUP($A78, 'Hospitalisation Details'!$A:$A, 'Hospitalisation Details'!H:H, "No Data")</f>
        <v>tier - 1</v>
      </c>
    </row>
    <row r="79">
      <c r="A79" s="25" t="s">
        <v>270</v>
      </c>
      <c r="B79" s="28" t="str">
        <f t="array" ref="B79">_xlfn.XLOOKUP($A79, 'Customer Names'!$A:$A, 'Customer Names'!B:B, "No Data")</f>
        <v>Vegas</v>
      </c>
      <c r="C79" s="28">
        <f t="array" ref="C79">_xlfn.XLOOKUP($A79, 'Medical Examinations'!$A:$A, 'Medical Examinations'!B:B, "No Data")</f>
        <v>54.12</v>
      </c>
      <c r="D79" s="28">
        <f t="array" ref="D79">_xlfn.XLOOKUP($A79, 'Medical Examinations'!$A:$A, 'Medical Examinations'!C:C, "No Data")</f>
        <v>11.57</v>
      </c>
      <c r="E79" s="28" t="str">
        <f t="array" ref="E79">_xlfn.XLOOKUP($A79, 'Medical Examinations'!$A:$A, 'Medical Examinations'!D:D, "No Data")</f>
        <v>No</v>
      </c>
      <c r="F79" s="28" t="str">
        <f t="array" ref="F79">_xlfn.XLOOKUP($A79, 'Medical Examinations'!$A:$A, 'Medical Examinations'!E:E, "No Data")</f>
        <v>No</v>
      </c>
      <c r="G79" s="28" t="str">
        <f t="array" ref="G79">_xlfn.XLOOKUP($A79, 'Medical Examinations'!$A:$A, 'Medical Examinations'!F:F, "No Data")</f>
        <v>No</v>
      </c>
      <c r="H79" s="28">
        <f t="array" ref="H79">_xlfn.XLOOKUP($A79, 'Medical Examinations'!$A:$A, 'Medical Examinations'!G:G, "No Data")</f>
        <v>0</v>
      </c>
      <c r="I79" s="28" t="str">
        <f t="array" ref="I79">_xlfn.XLOOKUP($A79, 'Medical Examinations'!$A:$A, 'Medical Examinations'!H:H, "No Data")</f>
        <v>yes</v>
      </c>
      <c r="J79" s="28" t="str">
        <f t="array" ref="J79">_xlfn.XLOOKUP($A79, 'Medical Examinations'!$A:$A, 'Medical Examinations'!I:I, "No Data")</f>
        <v>Obesity</v>
      </c>
      <c r="K79" s="28" t="str">
        <f t="array" ref="K79">_xlfn.XLOOKUP($A79, 'Hospitalisation Details'!$A:$A, 'Hospitalisation Details'!I:I, "No Data")</f>
        <v>tier - 1</v>
      </c>
      <c r="L79" s="28" t="str">
        <f t="array" ref="L79">_xlfn.XLOOKUP($A79, 'Hospitalisation Details'!$A:$A, 'Hospitalisation Details'!J:J, "No Data")</f>
        <v>R1011</v>
      </c>
      <c r="M79" s="28" t="str">
        <f t="array" ref="M79">_xlfn.XLOOKUP($A79, 'Hospitalisation Details'!$A:$A, 'Hospitalisation Details'!E:E, "No Data")</f>
        <v>24/11/74</v>
      </c>
      <c r="N79" s="28">
        <f t="array" ref="N79">_xlfn.XLOOKUP($A79, 'Hospitalisation Details'!$A:$A, 'Hospitalisation Details'!K:K, "No Data")</f>
        <v>48</v>
      </c>
      <c r="O79" s="33">
        <f t="array" ref="O79">_xlfn.XLOOKUP($A79, 'Hospitalisation Details'!$A:$A, 'Hospitalisation Details'!G:G, "No Data")</f>
        <v>41636.2</v>
      </c>
      <c r="P79" s="28" t="str">
        <f t="array" ref="P79">_xlfn.XLOOKUP($A79, 'Hospitalisation Details'!$A:$A, 'Hospitalisation Details'!H:H, "No Data")</f>
        <v>tier - 1</v>
      </c>
    </row>
    <row r="80">
      <c r="A80" s="25" t="s">
        <v>274</v>
      </c>
      <c r="B80" s="28" t="str">
        <f t="array" ref="B80">_xlfn.XLOOKUP($A80, 'Customer Names'!$A:$A, 'Customer Names'!B:B, "No Data")</f>
        <v>Cochran</v>
      </c>
      <c r="C80" s="28">
        <f t="array" ref="C80">_xlfn.XLOOKUP($A80, 'Medical Examinations'!$A:$A, 'Medical Examinations'!B:B, "No Data")</f>
        <v>48.82</v>
      </c>
      <c r="D80" s="28">
        <f t="array" ref="D80">_xlfn.XLOOKUP($A80, 'Medical Examinations'!$A:$A, 'Medical Examinations'!C:C, "No Data")</f>
        <v>6.67</v>
      </c>
      <c r="E80" s="28" t="str">
        <f t="array" ref="E80">_xlfn.XLOOKUP($A80, 'Medical Examinations'!$A:$A, 'Medical Examinations'!D:D, "No Data")</f>
        <v>yes</v>
      </c>
      <c r="F80" s="28" t="str">
        <f t="array" ref="F80">_xlfn.XLOOKUP($A80, 'Medical Examinations'!$A:$A, 'Medical Examinations'!E:E, "No Data")</f>
        <v>No</v>
      </c>
      <c r="G80" s="28" t="str">
        <f t="array" ref="G80">_xlfn.XLOOKUP($A80, 'Medical Examinations'!$A:$A, 'Medical Examinations'!F:F, "No Data")</f>
        <v>No</v>
      </c>
      <c r="H80" s="28">
        <f t="array" ref="H80">_xlfn.XLOOKUP($A80, 'Medical Examinations'!$A:$A, 'Medical Examinations'!G:G, "No Data")</f>
        <v>0</v>
      </c>
      <c r="I80" s="28" t="str">
        <f t="array" ref="I80">_xlfn.XLOOKUP($A80, 'Medical Examinations'!$A:$A, 'Medical Examinations'!H:H, "No Data")</f>
        <v>yes</v>
      </c>
      <c r="J80" s="28" t="str">
        <f t="array" ref="J80">_xlfn.XLOOKUP($A80, 'Medical Examinations'!$A:$A, 'Medical Examinations'!I:I, "No Data")</f>
        <v>Obesity</v>
      </c>
      <c r="K80" s="28" t="str">
        <f t="array" ref="K80">_xlfn.XLOOKUP($A80, 'Hospitalisation Details'!$A:$A, 'Hospitalisation Details'!I:I, "No Data")</f>
        <v>tier - 2</v>
      </c>
      <c r="L80" s="28" t="str">
        <f t="array" ref="L80">_xlfn.XLOOKUP($A80, 'Hospitalisation Details'!$A:$A, 'Hospitalisation Details'!J:J, "No Data")</f>
        <v>R1011</v>
      </c>
      <c r="M80" s="28" t="str">
        <f t="array" ref="M80">_xlfn.XLOOKUP($A80, 'Hospitalisation Details'!$A:$A, 'Hospitalisation Details'!E:E, "No Data")</f>
        <v>22/12/67</v>
      </c>
      <c r="N80" s="28">
        <f t="array" ref="N80">_xlfn.XLOOKUP($A80, 'Hospitalisation Details'!$A:$A, 'Hospitalisation Details'!K:K, "No Data")</f>
        <v>55</v>
      </c>
      <c r="O80" s="33">
        <f t="array" ref="O80">_xlfn.XLOOKUP($A80, 'Hospitalisation Details'!$A:$A, 'Hospitalisation Details'!G:G, "No Data")</f>
        <v>41505.15</v>
      </c>
      <c r="P80" s="28" t="str">
        <f t="array" ref="P80">_xlfn.XLOOKUP($A80, 'Hospitalisation Details'!$A:$A, 'Hospitalisation Details'!H:H, "No Data")</f>
        <v>tier - 1</v>
      </c>
    </row>
    <row r="81">
      <c r="A81" s="25" t="s">
        <v>277</v>
      </c>
      <c r="B81" s="28" t="str">
        <f t="array" ref="B81">_xlfn.XLOOKUP($A81, 'Customer Names'!$A:$A, 'Customer Names'!B:B, "No Data")</f>
        <v>Holtzapple</v>
      </c>
      <c r="C81" s="28">
        <f t="array" ref="C81">_xlfn.XLOOKUP($A81, 'Medical Examinations'!$A:$A, 'Medical Examinations'!B:B, "No Data")</f>
        <v>51.01</v>
      </c>
      <c r="D81" s="28">
        <f t="array" ref="D81">_xlfn.XLOOKUP($A81, 'Medical Examinations'!$A:$A, 'Medical Examinations'!C:C, "No Data")</f>
        <v>9.2</v>
      </c>
      <c r="E81" s="28" t="str">
        <f t="array" ref="E81">_xlfn.XLOOKUP($A81, 'Medical Examinations'!$A:$A, 'Medical Examinations'!D:D, "No Data")</f>
        <v>No</v>
      </c>
      <c r="F81" s="28" t="str">
        <f t="array" ref="F81">_xlfn.XLOOKUP($A81, 'Medical Examinations'!$A:$A, 'Medical Examinations'!E:E, "No Data")</f>
        <v>No</v>
      </c>
      <c r="G81" s="28" t="str">
        <f t="array" ref="G81">_xlfn.XLOOKUP($A81, 'Medical Examinations'!$A:$A, 'Medical Examinations'!F:F, "No Data")</f>
        <v>No</v>
      </c>
      <c r="H81" s="28">
        <f t="array" ref="H81">_xlfn.XLOOKUP($A81, 'Medical Examinations'!$A:$A, 'Medical Examinations'!G:G, "No Data")</f>
        <v>0</v>
      </c>
      <c r="I81" s="28" t="str">
        <f t="array" ref="I81">_xlfn.XLOOKUP($A81, 'Medical Examinations'!$A:$A, 'Medical Examinations'!H:H, "No Data")</f>
        <v>yes</v>
      </c>
      <c r="J81" s="28" t="str">
        <f t="array" ref="J81">_xlfn.XLOOKUP($A81, 'Medical Examinations'!$A:$A, 'Medical Examinations'!I:I, "No Data")</f>
        <v>Obesity</v>
      </c>
      <c r="K81" s="28" t="str">
        <f t="array" ref="K81">_xlfn.XLOOKUP($A81, 'Hospitalisation Details'!$A:$A, 'Hospitalisation Details'!I:I, "No Data")</f>
        <v>tier - 2</v>
      </c>
      <c r="L81" s="28" t="str">
        <f t="array" ref="L81">_xlfn.XLOOKUP($A81, 'Hospitalisation Details'!$A:$A, 'Hospitalisation Details'!J:J, "No Data")</f>
        <v>R1011</v>
      </c>
      <c r="M81" s="28" t="str">
        <f t="array" ref="M81">_xlfn.XLOOKUP($A81, 'Hospitalisation Details'!$A:$A, 'Hospitalisation Details'!E:E, "No Data")</f>
        <v>16/10/71</v>
      </c>
      <c r="N81" s="28">
        <f t="array" ref="N81">_xlfn.XLOOKUP($A81, 'Hospitalisation Details'!$A:$A, 'Hospitalisation Details'!K:K, "No Data")</f>
        <v>51</v>
      </c>
      <c r="O81" s="33">
        <f t="array" ref="O81">_xlfn.XLOOKUP($A81, 'Hospitalisation Details'!$A:$A, 'Hospitalisation Details'!G:G, "No Data")</f>
        <v>41351.88</v>
      </c>
      <c r="P81" s="28" t="str">
        <f t="array" ref="P81">_xlfn.XLOOKUP($A81, 'Hospitalisation Details'!$A:$A, 'Hospitalisation Details'!H:H, "No Data")</f>
        <v>tier - 1</v>
      </c>
    </row>
    <row r="82">
      <c r="A82" s="25" t="s">
        <v>280</v>
      </c>
      <c r="B82" s="28" t="str">
        <f t="array" ref="B82">_xlfn.XLOOKUP($A82, 'Customer Names'!$A:$A, 'Customer Names'!B:B, "No Data")</f>
        <v>Meyer</v>
      </c>
      <c r="C82" s="28">
        <f t="array" ref="C82">_xlfn.XLOOKUP($A82, 'Medical Examinations'!$A:$A, 'Medical Examinations'!B:B, "No Data")</f>
        <v>45.65</v>
      </c>
      <c r="D82" s="28">
        <f t="array" ref="D82">_xlfn.XLOOKUP($A82, 'Medical Examinations'!$A:$A, 'Medical Examinations'!C:C, "No Data")</f>
        <v>5.11</v>
      </c>
      <c r="E82" s="28" t="str">
        <f t="array" ref="E82">_xlfn.XLOOKUP($A82, 'Medical Examinations'!$A:$A, 'Medical Examinations'!D:D, "No Data")</f>
        <v>yes</v>
      </c>
      <c r="F82" s="28" t="str">
        <f t="array" ref="F82">_xlfn.XLOOKUP($A82, 'Medical Examinations'!$A:$A, 'Medical Examinations'!E:E, "No Data")</f>
        <v>No</v>
      </c>
      <c r="G82" s="28" t="str">
        <f t="array" ref="G82">_xlfn.XLOOKUP($A82, 'Medical Examinations'!$A:$A, 'Medical Examinations'!F:F, "No Data")</f>
        <v>No</v>
      </c>
      <c r="H82" s="28">
        <f t="array" ref="H82">_xlfn.XLOOKUP($A82, 'Medical Examinations'!$A:$A, 'Medical Examinations'!G:G, "No Data")</f>
        <v>1</v>
      </c>
      <c r="I82" s="28" t="str">
        <f t="array" ref="I82">_xlfn.XLOOKUP($A82, 'Medical Examinations'!$A:$A, 'Medical Examinations'!H:H, "No Data")</f>
        <v>yes</v>
      </c>
      <c r="J82" s="28" t="str">
        <f t="array" ref="J82">_xlfn.XLOOKUP($A82, 'Medical Examinations'!$A:$A, 'Medical Examinations'!I:I, "No Data")</f>
        <v>Obesity</v>
      </c>
      <c r="K82" s="28" t="str">
        <f t="array" ref="K82">_xlfn.XLOOKUP($A82, 'Hospitalisation Details'!$A:$A, 'Hospitalisation Details'!I:I, "No Data")</f>
        <v>tier - 2</v>
      </c>
      <c r="L82" s="28" t="str">
        <f t="array" ref="L82">_xlfn.XLOOKUP($A82, 'Hospitalisation Details'!$A:$A, 'Hospitalisation Details'!J:J, "No Data")</f>
        <v>R1011</v>
      </c>
      <c r="M82" s="28" t="str">
        <f t="array" ref="M82">_xlfn.XLOOKUP($A82, 'Hospitalisation Details'!$A:$A, 'Hospitalisation Details'!E:E, "No Data")</f>
        <v>07/10/64</v>
      </c>
      <c r="N82" s="28">
        <f t="array" ref="N82">_xlfn.XLOOKUP($A82, 'Hospitalisation Details'!$A:$A, 'Hospitalisation Details'!K:K, "No Data")</f>
        <v>58</v>
      </c>
      <c r="O82" s="33">
        <f t="array" ref="O82">_xlfn.XLOOKUP($A82, 'Hospitalisation Details'!$A:$A, 'Hospitalisation Details'!G:G, "No Data")</f>
        <v>41331.79</v>
      </c>
      <c r="P82" s="28" t="str">
        <f t="array" ref="P82">_xlfn.XLOOKUP($A82, 'Hospitalisation Details'!$A:$A, 'Hospitalisation Details'!H:H, "No Data")</f>
        <v>tier - 1</v>
      </c>
    </row>
    <row r="83">
      <c r="A83" s="25" t="s">
        <v>283</v>
      </c>
      <c r="B83" s="28" t="str">
        <f t="array" ref="B83">_xlfn.XLOOKUP($A83, 'Customer Names'!$A:$A, 'Customer Names'!B:B, "No Data")</f>
        <v>Brickley</v>
      </c>
      <c r="C83" s="28">
        <f t="array" ref="C83">_xlfn.XLOOKUP($A83, 'Medical Examinations'!$A:$A, 'Medical Examinations'!B:B, "No Data")</f>
        <v>52.9</v>
      </c>
      <c r="D83" s="28">
        <f t="array" ref="D83">_xlfn.XLOOKUP($A83, 'Medical Examinations'!$A:$A, 'Medical Examinations'!C:C, "No Data")</f>
        <v>5.34</v>
      </c>
      <c r="E83" s="28" t="str">
        <f t="array" ref="E83">_xlfn.XLOOKUP($A83, 'Medical Examinations'!$A:$A, 'Medical Examinations'!D:D, "No Data")</f>
        <v>No</v>
      </c>
      <c r="F83" s="28" t="str">
        <f t="array" ref="F83">_xlfn.XLOOKUP($A83, 'Medical Examinations'!$A:$A, 'Medical Examinations'!E:E, "No Data")</f>
        <v>No</v>
      </c>
      <c r="G83" s="28" t="str">
        <f t="array" ref="G83">_xlfn.XLOOKUP($A83, 'Medical Examinations'!$A:$A, 'Medical Examinations'!F:F, "No Data")</f>
        <v>No</v>
      </c>
      <c r="H83" s="28">
        <f t="array" ref="H83">_xlfn.XLOOKUP($A83, 'Medical Examinations'!$A:$A, 'Medical Examinations'!G:G, "No Data")</f>
        <v>0</v>
      </c>
      <c r="I83" s="28" t="str">
        <f t="array" ref="I83">_xlfn.XLOOKUP($A83, 'Medical Examinations'!$A:$A, 'Medical Examinations'!H:H, "No Data")</f>
        <v>yes</v>
      </c>
      <c r="J83" s="28" t="str">
        <f t="array" ref="J83">_xlfn.XLOOKUP($A83, 'Medical Examinations'!$A:$A, 'Medical Examinations'!I:I, "No Data")</f>
        <v>Obesity</v>
      </c>
      <c r="K83" s="28" t="str">
        <f t="array" ref="K83">_xlfn.XLOOKUP($A83, 'Hospitalisation Details'!$A:$A, 'Hospitalisation Details'!I:I, "No Data")</f>
        <v>tier - 2</v>
      </c>
      <c r="L83" s="28" t="str">
        <f t="array" ref="L83">_xlfn.XLOOKUP($A83, 'Hospitalisation Details'!$A:$A, 'Hospitalisation Details'!J:J, "No Data")</f>
        <v>R1011</v>
      </c>
      <c r="M83" s="28" t="str">
        <f t="array" ref="M83">_xlfn.XLOOKUP($A83, 'Hospitalisation Details'!$A:$A, 'Hospitalisation Details'!E:E, "No Data")</f>
        <v>27/08/77</v>
      </c>
      <c r="N83" s="28">
        <f t="array" ref="N83">_xlfn.XLOOKUP($A83, 'Hospitalisation Details'!$A:$A, 'Hospitalisation Details'!K:K, "No Data")</f>
        <v>45</v>
      </c>
      <c r="O83" s="33">
        <f t="array" ref="O83">_xlfn.XLOOKUP($A83, 'Hospitalisation Details'!$A:$A, 'Hospitalisation Details'!G:G, "No Data")</f>
        <v>41271.5</v>
      </c>
      <c r="P83" s="28" t="str">
        <f t="array" ref="P83">_xlfn.XLOOKUP($A83, 'Hospitalisation Details'!$A:$A, 'Hospitalisation Details'!H:H, "No Data")</f>
        <v>tier - 1</v>
      </c>
    </row>
    <row r="84">
      <c r="A84" s="25" t="s">
        <v>286</v>
      </c>
      <c r="B84" s="28" t="str">
        <f t="array" ref="B84">_xlfn.XLOOKUP($A84, 'Customer Names'!$A:$A, 'Customer Names'!B:B, "No Data")</f>
        <v>Magee</v>
      </c>
      <c r="C84" s="28">
        <f t="array" ref="C84">_xlfn.XLOOKUP($A84, 'Medical Examinations'!$A:$A, 'Medical Examinations'!B:B, "No Data")</f>
        <v>45.41</v>
      </c>
      <c r="D84" s="28">
        <f t="array" ref="D84">_xlfn.XLOOKUP($A84, 'Medical Examinations'!$A:$A, 'Medical Examinations'!C:C, "No Data")</f>
        <v>4.03</v>
      </c>
      <c r="E84" s="28" t="str">
        <f t="array" ref="E84">_xlfn.XLOOKUP($A84, 'Medical Examinations'!$A:$A, 'Medical Examinations'!D:D, "No Data")</f>
        <v>yes</v>
      </c>
      <c r="F84" s="28" t="str">
        <f t="array" ref="F84">_xlfn.XLOOKUP($A84, 'Medical Examinations'!$A:$A, 'Medical Examinations'!E:E, "No Data")</f>
        <v>No</v>
      </c>
      <c r="G84" s="28" t="str">
        <f t="array" ref="G84">_xlfn.XLOOKUP($A84, 'Medical Examinations'!$A:$A, 'Medical Examinations'!F:F, "No Data")</f>
        <v>No</v>
      </c>
      <c r="H84" s="28">
        <f t="array" ref="H84">_xlfn.XLOOKUP($A84, 'Medical Examinations'!$A:$A, 'Medical Examinations'!G:G, "No Data")</f>
        <v>1</v>
      </c>
      <c r="I84" s="28" t="str">
        <f t="array" ref="I84">_xlfn.XLOOKUP($A84, 'Medical Examinations'!$A:$A, 'Medical Examinations'!H:H, "No Data")</f>
        <v>yes</v>
      </c>
      <c r="J84" s="28" t="str">
        <f t="array" ref="J84">_xlfn.XLOOKUP($A84, 'Medical Examinations'!$A:$A, 'Medical Examinations'!I:I, "No Data")</f>
        <v>Obesity</v>
      </c>
      <c r="K84" s="28" t="str">
        <f t="array" ref="K84">_xlfn.XLOOKUP($A84, 'Hospitalisation Details'!$A:$A, 'Hospitalisation Details'!I:I, "No Data")</f>
        <v>tier - 3</v>
      </c>
      <c r="L84" s="28" t="str">
        <f t="array" ref="L84">_xlfn.XLOOKUP($A84, 'Hospitalisation Details'!$A:$A, 'Hospitalisation Details'!J:J, "No Data")</f>
        <v>R1011</v>
      </c>
      <c r="M84" s="28" t="str">
        <f t="array" ref="M84">_xlfn.XLOOKUP($A84, 'Hospitalisation Details'!$A:$A, 'Hospitalisation Details'!E:E, "No Data")</f>
        <v>06/06/64</v>
      </c>
      <c r="N84" s="28">
        <f t="array" ref="N84">_xlfn.XLOOKUP($A84, 'Hospitalisation Details'!$A:$A, 'Hospitalisation Details'!K:K, "No Data")</f>
        <v>59</v>
      </c>
      <c r="O84" s="33">
        <f t="array" ref="O84">_xlfn.XLOOKUP($A84, 'Hospitalisation Details'!$A:$A, 'Hospitalisation Details'!G:G, "No Data")</f>
        <v>41250.39</v>
      </c>
      <c r="P84" s="28" t="str">
        <f t="array" ref="P84">_xlfn.XLOOKUP($A84, 'Hospitalisation Details'!$A:$A, 'Hospitalisation Details'!H:H, "No Data")</f>
        <v>tier - 1</v>
      </c>
    </row>
    <row r="85">
      <c r="A85" s="25" t="s">
        <v>289</v>
      </c>
      <c r="B85" s="28" t="str">
        <f t="array" ref="B85">_xlfn.XLOOKUP($A85, 'Customer Names'!$A:$A, 'Customer Names'!B:B, "No Data")</f>
        <v>Thoma</v>
      </c>
      <c r="C85" s="28">
        <f t="array" ref="C85">_xlfn.XLOOKUP($A85, 'Medical Examinations'!$A:$A, 'Medical Examinations'!B:B, "No Data")</f>
        <v>49.41</v>
      </c>
      <c r="D85" s="28">
        <f t="array" ref="D85">_xlfn.XLOOKUP($A85, 'Medical Examinations'!$A:$A, 'Medical Examinations'!C:C, "No Data")</f>
        <v>4.23</v>
      </c>
      <c r="E85" s="28" t="str">
        <f t="array" ref="E85">_xlfn.XLOOKUP($A85, 'Medical Examinations'!$A:$A, 'Medical Examinations'!D:D, "No Data")</f>
        <v>yes</v>
      </c>
      <c r="F85" s="28" t="str">
        <f t="array" ref="F85">_xlfn.XLOOKUP($A85, 'Medical Examinations'!$A:$A, 'Medical Examinations'!E:E, "No Data")</f>
        <v>No</v>
      </c>
      <c r="G85" s="28" t="str">
        <f t="array" ref="G85">_xlfn.XLOOKUP($A85, 'Medical Examinations'!$A:$A, 'Medical Examinations'!F:F, "No Data")</f>
        <v>Yes</v>
      </c>
      <c r="H85" s="28">
        <f t="array" ref="H85">_xlfn.XLOOKUP($A85, 'Medical Examinations'!$A:$A, 'Medical Examinations'!G:G, "No Data")</f>
        <v>1</v>
      </c>
      <c r="I85" s="28" t="str">
        <f t="array" ref="I85">_xlfn.XLOOKUP($A85, 'Medical Examinations'!$A:$A, 'Medical Examinations'!H:H, "No Data")</f>
        <v>yes</v>
      </c>
      <c r="J85" s="28" t="str">
        <f t="array" ref="J85">_xlfn.XLOOKUP($A85, 'Medical Examinations'!$A:$A, 'Medical Examinations'!I:I, "No Data")</f>
        <v>Obesity</v>
      </c>
      <c r="K85" s="28" t="str">
        <f t="array" ref="K85">_xlfn.XLOOKUP($A85, 'Hospitalisation Details'!$A:$A, 'Hospitalisation Details'!I:I, "No Data")</f>
        <v>tier - 2</v>
      </c>
      <c r="L85" s="28" t="str">
        <f t="array" ref="L85">_xlfn.XLOOKUP($A85, 'Hospitalisation Details'!$A:$A, 'Hospitalisation Details'!J:J, "No Data")</f>
        <v>R1011</v>
      </c>
      <c r="M85" s="28" t="str">
        <f t="array" ref="M85">_xlfn.XLOOKUP($A85, 'Hospitalisation Details'!$A:$A, 'Hospitalisation Details'!E:E, "No Data")</f>
        <v>08/08/69</v>
      </c>
      <c r="N85" s="28">
        <f t="array" ref="N85">_xlfn.XLOOKUP($A85, 'Hospitalisation Details'!$A:$A, 'Hospitalisation Details'!K:K, "No Data")</f>
        <v>53</v>
      </c>
      <c r="O85" s="33">
        <f t="array" ref="O85">_xlfn.XLOOKUP($A85, 'Hospitalisation Details'!$A:$A, 'Hospitalisation Details'!G:G, "No Data")</f>
        <v>41191.57</v>
      </c>
      <c r="P85" s="28" t="str">
        <f t="array" ref="P85">_xlfn.XLOOKUP($A85, 'Hospitalisation Details'!$A:$A, 'Hospitalisation Details'!H:H, "No Data")</f>
        <v>tier - 1</v>
      </c>
    </row>
    <row r="86">
      <c r="A86" s="25" t="s">
        <v>292</v>
      </c>
      <c r="B86" s="28" t="str">
        <f t="array" ref="B86">_xlfn.XLOOKUP($A86, 'Customer Names'!$A:$A, 'Customer Names'!B:B, "No Data")</f>
        <v>Heagy</v>
      </c>
      <c r="C86" s="28">
        <f t="array" ref="C86">_xlfn.XLOOKUP($A86, 'Medical Examinations'!$A:$A, 'Medical Examinations'!B:B, "No Data")</f>
        <v>31.825</v>
      </c>
      <c r="D86" s="28">
        <f t="array" ref="D86">_xlfn.XLOOKUP($A86, 'Medical Examinations'!$A:$A, 'Medical Examinations'!C:C, "No Data")</f>
        <v>4.06</v>
      </c>
      <c r="E86" s="28" t="str">
        <f t="array" ref="E86">_xlfn.XLOOKUP($A86, 'Medical Examinations'!$A:$A, 'Medical Examinations'!D:D, "No Data")</f>
        <v>No</v>
      </c>
      <c r="F86" s="28" t="str">
        <f t="array" ref="F86">_xlfn.XLOOKUP($A86, 'Medical Examinations'!$A:$A, 'Medical Examinations'!E:E, "No Data")</f>
        <v>No</v>
      </c>
      <c r="G86" s="28" t="str">
        <f t="array" ref="G86">_xlfn.XLOOKUP($A86, 'Medical Examinations'!$A:$A, 'Medical Examinations'!F:F, "No Data")</f>
        <v>No</v>
      </c>
      <c r="H86" s="28">
        <f t="array" ref="H86">_xlfn.XLOOKUP($A86, 'Medical Examinations'!$A:$A, 'Medical Examinations'!G:G, "No Data")</f>
        <v>2</v>
      </c>
      <c r="I86" s="28" t="str">
        <f t="array" ref="I86">_xlfn.XLOOKUP($A86, 'Medical Examinations'!$A:$A, 'Medical Examinations'!H:H, "No Data")</f>
        <v>yes</v>
      </c>
      <c r="J86" s="28" t="str">
        <f t="array" ref="J86">_xlfn.XLOOKUP($A86, 'Medical Examinations'!$A:$A, 'Medical Examinations'!I:I, "No Data")</f>
        <v>Obesity</v>
      </c>
      <c r="K86" s="28" t="str">
        <f t="array" ref="K86">_xlfn.XLOOKUP($A86, 'Hospitalisation Details'!$A:$A, 'Hospitalisation Details'!I:I, "No Data")</f>
        <v>tier - 3</v>
      </c>
      <c r="L86" s="28" t="str">
        <f t="array" ref="L86">_xlfn.XLOOKUP($A86, 'Hospitalisation Details'!$A:$A, 'Hospitalisation Details'!J:J, "No Data")</f>
        <v>R1016</v>
      </c>
      <c r="M86" s="28" t="str">
        <f t="array" ref="M86">_xlfn.XLOOKUP($A86, 'Hospitalisation Details'!$A:$A, 'Hospitalisation Details'!E:E, "No Data")</f>
        <v>06/09/72</v>
      </c>
      <c r="N86" s="28">
        <f t="array" ref="N86">_xlfn.XLOOKUP($A86, 'Hospitalisation Details'!$A:$A, 'Hospitalisation Details'!K:K, "No Data")</f>
        <v>50</v>
      </c>
      <c r="O86" s="33">
        <f t="array" ref="O86">_xlfn.XLOOKUP($A86, 'Hospitalisation Details'!$A:$A, 'Hospitalisation Details'!G:G, "No Data")</f>
        <v>41097.16</v>
      </c>
      <c r="P86" s="28" t="str">
        <f t="array" ref="P86">_xlfn.XLOOKUP($A86, 'Hospitalisation Details'!$A:$A, 'Hospitalisation Details'!H:H, "No Data")</f>
        <v>tier - 1</v>
      </c>
    </row>
    <row r="87">
      <c r="A87" s="25" t="s">
        <v>296</v>
      </c>
      <c r="B87" s="28" t="str">
        <f t="array" ref="B87">_xlfn.XLOOKUP($A87, 'Customer Names'!$A:$A, 'Customer Names'!B:B, "No Data")</f>
        <v>Regnier</v>
      </c>
      <c r="C87" s="28">
        <f t="array" ref="C87">_xlfn.XLOOKUP($A87, 'Medical Examinations'!$A:$A, 'Medical Examinations'!B:B, "No Data")</f>
        <v>51.28</v>
      </c>
      <c r="D87" s="28">
        <f t="array" ref="D87">_xlfn.XLOOKUP($A87, 'Medical Examinations'!$A:$A, 'Medical Examinations'!C:C, "No Data")</f>
        <v>4.68</v>
      </c>
      <c r="E87" s="28" t="str">
        <f t="array" ref="E87">_xlfn.XLOOKUP($A87, 'Medical Examinations'!$A:$A, 'Medical Examinations'!D:D, "No Data")</f>
        <v>No</v>
      </c>
      <c r="F87" s="28" t="str">
        <f t="array" ref="F87">_xlfn.XLOOKUP($A87, 'Medical Examinations'!$A:$A, 'Medical Examinations'!E:E, "No Data")</f>
        <v>No</v>
      </c>
      <c r="G87" s="28" t="str">
        <f t="array" ref="G87">_xlfn.XLOOKUP($A87, 'Medical Examinations'!$A:$A, 'Medical Examinations'!F:F, "No Data")</f>
        <v>No</v>
      </c>
      <c r="H87" s="28">
        <f t="array" ref="H87">_xlfn.XLOOKUP($A87, 'Medical Examinations'!$A:$A, 'Medical Examinations'!G:G, "No Data")</f>
        <v>2</v>
      </c>
      <c r="I87" s="28" t="str">
        <f t="array" ref="I87">_xlfn.XLOOKUP($A87, 'Medical Examinations'!$A:$A, 'Medical Examinations'!H:H, "No Data")</f>
        <v>yes</v>
      </c>
      <c r="J87" s="28" t="str">
        <f t="array" ref="J87">_xlfn.XLOOKUP($A87, 'Medical Examinations'!$A:$A, 'Medical Examinations'!I:I, "No Data")</f>
        <v>Obesity</v>
      </c>
      <c r="K87" s="28" t="str">
        <f t="array" ref="K87">_xlfn.XLOOKUP($A87, 'Hospitalisation Details'!$A:$A, 'Hospitalisation Details'!I:I, "No Data")</f>
        <v>tier - 2</v>
      </c>
      <c r="L87" s="28" t="str">
        <f t="array" ref="L87">_xlfn.XLOOKUP($A87, 'Hospitalisation Details'!$A:$A, 'Hospitalisation Details'!J:J, "No Data")</f>
        <v>R1011</v>
      </c>
      <c r="M87" s="28" t="str">
        <f t="array" ref="M87">_xlfn.XLOOKUP($A87, 'Hospitalisation Details'!$A:$A, 'Hospitalisation Details'!E:E, "No Data")</f>
        <v>12/08/72</v>
      </c>
      <c r="N87" s="28">
        <f t="array" ref="N87">_xlfn.XLOOKUP($A87, 'Hospitalisation Details'!$A:$A, 'Hospitalisation Details'!K:K, "No Data")</f>
        <v>50</v>
      </c>
      <c r="O87" s="33">
        <f t="array" ref="O87">_xlfn.XLOOKUP($A87, 'Hospitalisation Details'!$A:$A, 'Hospitalisation Details'!G:G, "No Data")</f>
        <v>41055.29</v>
      </c>
      <c r="P87" s="28" t="str">
        <f t="array" ref="P87">_xlfn.XLOOKUP($A87, 'Hospitalisation Details'!$A:$A, 'Hospitalisation Details'!H:H, "No Data")</f>
        <v>tier - 1</v>
      </c>
    </row>
    <row r="88">
      <c r="A88" s="25" t="s">
        <v>299</v>
      </c>
      <c r="B88" s="28" t="str">
        <f t="array" ref="B88">_xlfn.XLOOKUP($A88, 'Customer Names'!$A:$A, 'Customer Names'!B:B, "No Data")</f>
        <v>Parendo</v>
      </c>
      <c r="C88" s="28">
        <f t="array" ref="C88">_xlfn.XLOOKUP($A88, 'Medical Examinations'!$A:$A, 'Medical Examinations'!B:B, "No Data")</f>
        <v>34.96</v>
      </c>
      <c r="D88" s="28">
        <f t="array" ref="D88">_xlfn.XLOOKUP($A88, 'Medical Examinations'!$A:$A, 'Medical Examinations'!C:C, "No Data")</f>
        <v>4.34</v>
      </c>
      <c r="E88" s="28" t="str">
        <f t="array" ref="E88">_xlfn.XLOOKUP($A88, 'Medical Examinations'!$A:$A, 'Medical Examinations'!D:D, "No Data")</f>
        <v>No</v>
      </c>
      <c r="F88" s="28" t="str">
        <f t="array" ref="F88">_xlfn.XLOOKUP($A88, 'Medical Examinations'!$A:$A, 'Medical Examinations'!E:E, "No Data")</f>
        <v>No</v>
      </c>
      <c r="G88" s="28" t="str">
        <f t="array" ref="G88">_xlfn.XLOOKUP($A88, 'Medical Examinations'!$A:$A, 'Medical Examinations'!F:F, "No Data")</f>
        <v>Yes</v>
      </c>
      <c r="H88" s="28">
        <f t="array" ref="H88">_xlfn.XLOOKUP($A88, 'Medical Examinations'!$A:$A, 'Medical Examinations'!G:G, "No Data")</f>
        <v>1</v>
      </c>
      <c r="I88" s="28" t="str">
        <f t="array" ref="I88">_xlfn.XLOOKUP($A88, 'Medical Examinations'!$A:$A, 'Medical Examinations'!H:H, "No Data")</f>
        <v>yes</v>
      </c>
      <c r="J88" s="28" t="str">
        <f t="array" ref="J88">_xlfn.XLOOKUP($A88, 'Medical Examinations'!$A:$A, 'Medical Examinations'!I:I, "No Data")</f>
        <v>Obesity</v>
      </c>
      <c r="K88" s="28" t="str">
        <f t="array" ref="K88">_xlfn.XLOOKUP($A88, 'Hospitalisation Details'!$A:$A, 'Hospitalisation Details'!I:I, "No Data")</f>
        <v>tier - 3</v>
      </c>
      <c r="L88" s="28" t="str">
        <f t="array" ref="L88">_xlfn.XLOOKUP($A88, 'Hospitalisation Details'!$A:$A, 'Hospitalisation Details'!J:J, "No Data")</f>
        <v>R1017</v>
      </c>
      <c r="M88" s="28" t="str">
        <f t="array" ref="M88">_xlfn.XLOOKUP($A88, 'Hospitalisation Details'!$A:$A, 'Hospitalisation Details'!E:E, "No Data")</f>
        <v>11/10/79</v>
      </c>
      <c r="N88" s="28">
        <f t="array" ref="N88">_xlfn.XLOOKUP($A88, 'Hospitalisation Details'!$A:$A, 'Hospitalisation Details'!K:K, "No Data")</f>
        <v>43</v>
      </c>
      <c r="O88" s="33">
        <f t="array" ref="O88">_xlfn.XLOOKUP($A88, 'Hospitalisation Details'!$A:$A, 'Hospitalisation Details'!G:G, "No Data")</f>
        <v>41034.22</v>
      </c>
      <c r="P88" s="28" t="str">
        <f t="array" ref="P88">_xlfn.XLOOKUP($A88, 'Hospitalisation Details'!$A:$A, 'Hospitalisation Details'!H:H, "No Data")</f>
        <v>tier - 1</v>
      </c>
    </row>
    <row r="89">
      <c r="A89" s="25" t="s">
        <v>302</v>
      </c>
      <c r="B89" s="28" t="str">
        <f t="array" ref="B89">_xlfn.XLOOKUP($A89, 'Customer Names'!$A:$A, 'Customer Names'!B:B, "No Data")</f>
        <v>Schell</v>
      </c>
      <c r="C89" s="28">
        <f t="array" ref="C89">_xlfn.XLOOKUP($A89, 'Medical Examinations'!$A:$A, 'Medical Examinations'!B:B, "No Data")</f>
        <v>33.11</v>
      </c>
      <c r="D89" s="28">
        <f t="array" ref="D89">_xlfn.XLOOKUP($A89, 'Medical Examinations'!$A:$A, 'Medical Examinations'!C:C, "No Data")</f>
        <v>10.51</v>
      </c>
      <c r="E89" s="28" t="str">
        <f t="array" ref="E89">_xlfn.XLOOKUP($A89, 'Medical Examinations'!$A:$A, 'Medical Examinations'!D:D, "No Data")</f>
        <v>No</v>
      </c>
      <c r="F89" s="28" t="str">
        <f t="array" ref="F89">_xlfn.XLOOKUP($A89, 'Medical Examinations'!$A:$A, 'Medical Examinations'!E:E, "No Data")</f>
        <v>No</v>
      </c>
      <c r="G89" s="28" t="str">
        <f t="array" ref="G89">_xlfn.XLOOKUP($A89, 'Medical Examinations'!$A:$A, 'Medical Examinations'!F:F, "No Data")</f>
        <v>No</v>
      </c>
      <c r="H89" s="28">
        <f t="array" ref="H89">_xlfn.XLOOKUP($A89, 'Medical Examinations'!$A:$A, 'Medical Examinations'!G:G, "No Data")</f>
        <v>0</v>
      </c>
      <c r="I89" s="28" t="str">
        <f t="array" ref="I89">_xlfn.XLOOKUP($A89, 'Medical Examinations'!$A:$A, 'Medical Examinations'!H:H, "No Data")</f>
        <v>yes</v>
      </c>
      <c r="J89" s="28" t="str">
        <f t="array" ref="J89">_xlfn.XLOOKUP($A89, 'Medical Examinations'!$A:$A, 'Medical Examinations'!I:I, "No Data")</f>
        <v>Obesity</v>
      </c>
      <c r="K89" s="28" t="str">
        <f t="array" ref="K89">_xlfn.XLOOKUP($A89, 'Hospitalisation Details'!$A:$A, 'Hospitalisation Details'!I:I, "No Data")</f>
        <v>tier - 2</v>
      </c>
      <c r="L89" s="28" t="str">
        <f t="array" ref="L89">_xlfn.XLOOKUP($A89, 'Hospitalisation Details'!$A:$A, 'Hospitalisation Details'!J:J, "No Data")</f>
        <v>R1013</v>
      </c>
      <c r="M89" s="28" t="str">
        <f t="array" ref="M89">_xlfn.XLOOKUP($A89, 'Hospitalisation Details'!$A:$A, 'Hospitalisation Details'!E:E, "No Data")</f>
        <v>05/06/74</v>
      </c>
      <c r="N89" s="28">
        <f t="array" ref="N89">_xlfn.XLOOKUP($A89, 'Hospitalisation Details'!$A:$A, 'Hospitalisation Details'!K:K, "No Data")</f>
        <v>49</v>
      </c>
      <c r="O89" s="33">
        <f t="array" ref="O89">_xlfn.XLOOKUP($A89, 'Hospitalisation Details'!$A:$A, 'Hospitalisation Details'!G:G, "No Data")</f>
        <v>40974.16</v>
      </c>
      <c r="P89" s="28" t="str">
        <f t="array" ref="P89">_xlfn.XLOOKUP($A89, 'Hospitalisation Details'!$A:$A, 'Hospitalisation Details'!H:H, "No Data")</f>
        <v>tier - 1</v>
      </c>
    </row>
    <row r="90">
      <c r="A90" s="25" t="s">
        <v>305</v>
      </c>
      <c r="B90" s="28" t="str">
        <f t="array" ref="B90">_xlfn.XLOOKUP($A90, 'Customer Names'!$A:$A, 'Customer Names'!B:B, "No Data")</f>
        <v>Driscoll</v>
      </c>
      <c r="C90" s="28">
        <f t="array" ref="C90">_xlfn.XLOOKUP($A90, 'Medical Examinations'!$A:$A, 'Medical Examinations'!B:B, "No Data")</f>
        <v>54.74</v>
      </c>
      <c r="D90" s="28">
        <f t="array" ref="D90">_xlfn.XLOOKUP($A90, 'Medical Examinations'!$A:$A, 'Medical Examinations'!C:C, "No Data")</f>
        <v>5.84</v>
      </c>
      <c r="E90" s="28" t="str">
        <f t="array" ref="E90">_xlfn.XLOOKUP($A90, 'Medical Examinations'!$A:$A, 'Medical Examinations'!D:D, "No Data")</f>
        <v>yes</v>
      </c>
      <c r="F90" s="28" t="str">
        <f t="array" ref="F90">_xlfn.XLOOKUP($A90, 'Medical Examinations'!$A:$A, 'Medical Examinations'!E:E, "No Data")</f>
        <v>No</v>
      </c>
      <c r="G90" s="28" t="str">
        <f t="array" ref="G90">_xlfn.XLOOKUP($A90, 'Medical Examinations'!$A:$A, 'Medical Examinations'!F:F, "No Data")</f>
        <v>Yes</v>
      </c>
      <c r="H90" s="28">
        <f t="array" ref="H90">_xlfn.XLOOKUP($A90, 'Medical Examinations'!$A:$A, 'Medical Examinations'!G:G, "No Data")</f>
        <v>1</v>
      </c>
      <c r="I90" s="28" t="str">
        <f t="array" ref="I90">_xlfn.XLOOKUP($A90, 'Medical Examinations'!$A:$A, 'Medical Examinations'!H:H, "No Data")</f>
        <v>yes</v>
      </c>
      <c r="J90" s="28" t="str">
        <f t="array" ref="J90">_xlfn.XLOOKUP($A90, 'Medical Examinations'!$A:$A, 'Medical Examinations'!I:I, "No Data")</f>
        <v>Obesity</v>
      </c>
      <c r="K90" s="28" t="str">
        <f t="array" ref="K90">_xlfn.XLOOKUP($A90, 'Hospitalisation Details'!$A:$A, 'Hospitalisation Details'!I:I, "No Data")</f>
        <v>tier - 2</v>
      </c>
      <c r="L90" s="28" t="str">
        <f t="array" ref="L90">_xlfn.XLOOKUP($A90, 'Hospitalisation Details'!$A:$A, 'Hospitalisation Details'!J:J, "No Data")</f>
        <v>R1011</v>
      </c>
      <c r="M90" s="28" t="str">
        <f t="array" ref="M90">_xlfn.XLOOKUP($A90, 'Hospitalisation Details'!$A:$A, 'Hospitalisation Details'!E:E, "No Data")</f>
        <v>08/09/83</v>
      </c>
      <c r="N90" s="28">
        <f t="array" ref="N90">_xlfn.XLOOKUP($A90, 'Hospitalisation Details'!$A:$A, 'Hospitalisation Details'!K:K, "No Data")</f>
        <v>39</v>
      </c>
      <c r="O90" s="33">
        <f t="array" ref="O90">_xlfn.XLOOKUP($A90, 'Hospitalisation Details'!$A:$A, 'Hospitalisation Details'!G:G, "No Data")</f>
        <v>40961.29</v>
      </c>
      <c r="P90" s="28" t="str">
        <f t="array" ref="P90">_xlfn.XLOOKUP($A90, 'Hospitalisation Details'!$A:$A, 'Hospitalisation Details'!H:H, "No Data")</f>
        <v>tier - 1</v>
      </c>
    </row>
    <row r="91">
      <c r="A91" s="25" t="s">
        <v>308</v>
      </c>
      <c r="B91" s="28" t="str">
        <f t="array" ref="B91">_xlfn.XLOOKUP($A91, 'Customer Names'!$A:$A, 'Customer Names'!B:B, "No Data")</f>
        <v>Mitchell</v>
      </c>
      <c r="C91" s="28">
        <f t="array" ref="C91">_xlfn.XLOOKUP($A91, 'Medical Examinations'!$A:$A, 'Medical Examinations'!B:B, "No Data")</f>
        <v>32.56</v>
      </c>
      <c r="D91" s="28">
        <f t="array" ref="D91">_xlfn.XLOOKUP($A91, 'Medical Examinations'!$A:$A, 'Medical Examinations'!C:C, "No Data")</f>
        <v>5.41</v>
      </c>
      <c r="E91" s="28" t="str">
        <f t="array" ref="E91">_xlfn.XLOOKUP($A91, 'Medical Examinations'!$A:$A, 'Medical Examinations'!D:D, "No Data")</f>
        <v>No</v>
      </c>
      <c r="F91" s="28" t="str">
        <f t="array" ref="F91">_xlfn.XLOOKUP($A91, 'Medical Examinations'!$A:$A, 'Medical Examinations'!E:E, "No Data")</f>
        <v>No</v>
      </c>
      <c r="G91" s="28" t="str">
        <f t="array" ref="G91">_xlfn.XLOOKUP($A91, 'Medical Examinations'!$A:$A, 'Medical Examinations'!F:F, "No Data")</f>
        <v>Yes</v>
      </c>
      <c r="H91" s="28">
        <f t="array" ref="H91">_xlfn.XLOOKUP($A91, 'Medical Examinations'!$A:$A, 'Medical Examinations'!G:G, "No Data")</f>
        <v>1</v>
      </c>
      <c r="I91" s="28" t="str">
        <f t="array" ref="I91">_xlfn.XLOOKUP($A91, 'Medical Examinations'!$A:$A, 'Medical Examinations'!H:H, "No Data")</f>
        <v>yes</v>
      </c>
      <c r="J91" s="28" t="str">
        <f t="array" ref="J91">_xlfn.XLOOKUP($A91, 'Medical Examinations'!$A:$A, 'Medical Examinations'!I:I, "No Data")</f>
        <v>Obesity</v>
      </c>
      <c r="K91" s="28" t="str">
        <f t="array" ref="K91">_xlfn.XLOOKUP($A91, 'Hospitalisation Details'!$A:$A, 'Hospitalisation Details'!I:I, "No Data")</f>
        <v>tier - 2</v>
      </c>
      <c r="L91" s="28" t="str">
        <f t="array" ref="L91">_xlfn.XLOOKUP($A91, 'Hospitalisation Details'!$A:$A, 'Hospitalisation Details'!J:J, "No Data")</f>
        <v>R1013</v>
      </c>
      <c r="M91" s="28" t="str">
        <f t="array" ref="M91">_xlfn.XLOOKUP($A91, 'Hospitalisation Details'!$A:$A, 'Hospitalisation Details'!E:E, "No Data")</f>
        <v>16/09/79</v>
      </c>
      <c r="N91" s="28">
        <f t="array" ref="N91">_xlfn.XLOOKUP($A91, 'Hospitalisation Details'!$A:$A, 'Hospitalisation Details'!K:K, "No Data")</f>
        <v>43</v>
      </c>
      <c r="O91" s="33">
        <f t="array" ref="O91">_xlfn.XLOOKUP($A91, 'Hospitalisation Details'!$A:$A, 'Hospitalisation Details'!G:G, "No Data")</f>
        <v>40941.29</v>
      </c>
      <c r="P91" s="28" t="str">
        <f t="array" ref="P91">_xlfn.XLOOKUP($A91, 'Hospitalisation Details'!$A:$A, 'Hospitalisation Details'!H:H, "No Data")</f>
        <v>tier - 1</v>
      </c>
    </row>
    <row r="92">
      <c r="A92" s="25" t="s">
        <v>311</v>
      </c>
      <c r="B92" s="28" t="str">
        <f t="array" ref="B92">_xlfn.XLOOKUP($A92, 'Customer Names'!$A:$A, 'Customer Names'!B:B, "No Data")</f>
        <v>Cutler</v>
      </c>
      <c r="C92" s="28">
        <f t="array" ref="C92">_xlfn.XLOOKUP($A92, 'Medical Examinations'!$A:$A, 'Medical Examinations'!B:B, "No Data")</f>
        <v>39.05</v>
      </c>
      <c r="D92" s="28">
        <f t="array" ref="D92">_xlfn.XLOOKUP($A92, 'Medical Examinations'!$A:$A, 'Medical Examinations'!C:C, "No Data")</f>
        <v>6.06</v>
      </c>
      <c r="E92" s="28" t="str">
        <f t="array" ref="E92">_xlfn.XLOOKUP($A92, 'Medical Examinations'!$A:$A, 'Medical Examinations'!D:D, "No Data")</f>
        <v>No</v>
      </c>
      <c r="F92" s="28" t="str">
        <f t="array" ref="F92">_xlfn.XLOOKUP($A92, 'Medical Examinations'!$A:$A, 'Medical Examinations'!E:E, "No Data")</f>
        <v>No</v>
      </c>
      <c r="G92" s="28" t="str">
        <f t="array" ref="G92">_xlfn.XLOOKUP($A92, 'Medical Examinations'!$A:$A, 'Medical Examinations'!F:F, "No Data")</f>
        <v>No</v>
      </c>
      <c r="H92" s="28">
        <f t="array" ref="H92">_xlfn.XLOOKUP($A92, 'Medical Examinations'!$A:$A, 'Medical Examinations'!G:G, "No Data")</f>
        <v>1</v>
      </c>
      <c r="I92" s="28" t="str">
        <f t="array" ref="I92">_xlfn.XLOOKUP($A92, 'Medical Examinations'!$A:$A, 'Medical Examinations'!H:H, "No Data")</f>
        <v>yes</v>
      </c>
      <c r="J92" s="28" t="str">
        <f t="array" ref="J92">_xlfn.XLOOKUP($A92, 'Medical Examinations'!$A:$A, 'Medical Examinations'!I:I, "No Data")</f>
        <v>Obesity</v>
      </c>
      <c r="K92" s="28" t="str">
        <f t="array" ref="K92">_xlfn.XLOOKUP($A92, 'Hospitalisation Details'!$A:$A, 'Hospitalisation Details'!I:I, "No Data")</f>
        <v>tier - 2</v>
      </c>
      <c r="L92" s="28" t="str">
        <f t="array" ref="L92">_xlfn.XLOOKUP($A92, 'Hospitalisation Details'!$A:$A, 'Hospitalisation Details'!J:J, "No Data")</f>
        <v>R1013</v>
      </c>
      <c r="M92" s="28" t="str">
        <f t="array" ref="M92">_xlfn.XLOOKUP($A92, 'Hospitalisation Details'!$A:$A, 'Hospitalisation Details'!E:E, "No Data")</f>
        <v>04/08/92</v>
      </c>
      <c r="N92" s="28">
        <f t="array" ref="N92">_xlfn.XLOOKUP($A92, 'Hospitalisation Details'!$A:$A, 'Hospitalisation Details'!K:K, "No Data")</f>
        <v>30</v>
      </c>
      <c r="O92" s="33">
        <f t="array" ref="O92">_xlfn.XLOOKUP($A92, 'Hospitalisation Details'!$A:$A, 'Hospitalisation Details'!G:G, "No Data")</f>
        <v>40932.43</v>
      </c>
      <c r="P92" s="28" t="str">
        <f t="array" ref="P92">_xlfn.XLOOKUP($A92, 'Hospitalisation Details'!$A:$A, 'Hospitalisation Details'!H:H, "No Data")</f>
        <v>tier - 1</v>
      </c>
    </row>
    <row r="93">
      <c r="A93" s="25" t="s">
        <v>314</v>
      </c>
      <c r="B93" s="28" t="str">
        <f t="array" ref="B93">_xlfn.XLOOKUP($A93, 'Customer Names'!$A:$A, 'Customer Names'!B:B, "No Data")</f>
        <v>Derian</v>
      </c>
      <c r="C93" s="28">
        <f t="array" ref="C93">_xlfn.XLOOKUP($A93, 'Medical Examinations'!$A:$A, 'Medical Examinations'!B:B, "No Data")</f>
        <v>42.75</v>
      </c>
      <c r="D93" s="28">
        <f t="array" ref="D93">_xlfn.XLOOKUP($A93, 'Medical Examinations'!$A:$A, 'Medical Examinations'!C:C, "No Data")</f>
        <v>4.22</v>
      </c>
      <c r="E93" s="28" t="str">
        <f t="array" ref="E93">_xlfn.XLOOKUP($A93, 'Medical Examinations'!$A:$A, 'Medical Examinations'!D:D, "No Data")</f>
        <v>No</v>
      </c>
      <c r="F93" s="28" t="str">
        <f t="array" ref="F93">_xlfn.XLOOKUP($A93, 'Medical Examinations'!$A:$A, 'Medical Examinations'!E:E, "No Data")</f>
        <v>No</v>
      </c>
      <c r="G93" s="28" t="str">
        <f t="array" ref="G93">_xlfn.XLOOKUP($A93, 'Medical Examinations'!$A:$A, 'Medical Examinations'!F:F, "No Data")</f>
        <v>No</v>
      </c>
      <c r="H93" s="28">
        <f t="array" ref="H93">_xlfn.XLOOKUP($A93, 'Medical Examinations'!$A:$A, 'Medical Examinations'!G:G, "No Data")</f>
        <v>0</v>
      </c>
      <c r="I93" s="28" t="str">
        <f t="array" ref="I93">_xlfn.XLOOKUP($A93, 'Medical Examinations'!$A:$A, 'Medical Examinations'!H:H, "No Data")</f>
        <v>yes</v>
      </c>
      <c r="J93" s="28" t="str">
        <f t="array" ref="J93">_xlfn.XLOOKUP($A93, 'Medical Examinations'!$A:$A, 'Medical Examinations'!I:I, "No Data")</f>
        <v>Obesity</v>
      </c>
      <c r="K93" s="28" t="str">
        <f t="array" ref="K93">_xlfn.XLOOKUP($A93, 'Hospitalisation Details'!$A:$A, 'Hospitalisation Details'!I:I, "No Data")</f>
        <v>tier - 1</v>
      </c>
      <c r="L93" s="28" t="str">
        <f t="array" ref="L93">_xlfn.XLOOKUP($A93, 'Hospitalisation Details'!$A:$A, 'Hospitalisation Details'!J:J, "No Data")</f>
        <v>R1024</v>
      </c>
      <c r="M93" s="28" t="str">
        <f t="array" ref="M93">_xlfn.XLOOKUP($A93, 'Hospitalisation Details'!$A:$A, 'Hospitalisation Details'!E:E, "No Data")</f>
        <v>02/07/99</v>
      </c>
      <c r="N93" s="28">
        <f t="array" ref="N93">_xlfn.XLOOKUP($A93, 'Hospitalisation Details'!$A:$A, 'Hospitalisation Details'!K:K, "No Data")</f>
        <v>23</v>
      </c>
      <c r="O93" s="33">
        <f t="array" ref="O93">_xlfn.XLOOKUP($A93, 'Hospitalisation Details'!$A:$A, 'Hospitalisation Details'!G:G, "No Data")</f>
        <v>40904.2</v>
      </c>
      <c r="P93" s="28" t="str">
        <f t="array" ref="P93">_xlfn.XLOOKUP($A93, 'Hospitalisation Details'!$A:$A, 'Hospitalisation Details'!H:H, "No Data")</f>
        <v>tier - 1</v>
      </c>
    </row>
    <row r="94">
      <c r="A94" s="25" t="s">
        <v>318</v>
      </c>
      <c r="B94" s="28" t="str">
        <f t="array" ref="B94">_xlfn.XLOOKUP($A94, 'Customer Names'!$A:$A, 'Customer Names'!B:B, "No Data")</f>
        <v>Farina</v>
      </c>
      <c r="C94" s="28">
        <f t="array" ref="C94">_xlfn.XLOOKUP($A94, 'Medical Examinations'!$A:$A, 'Medical Examinations'!B:B, "No Data")</f>
        <v>50.58</v>
      </c>
      <c r="D94" s="28">
        <f t="array" ref="D94">_xlfn.XLOOKUP($A94, 'Medical Examinations'!$A:$A, 'Medical Examinations'!C:C, "No Data")</f>
        <v>5.12</v>
      </c>
      <c r="E94" s="28" t="str">
        <f t="array" ref="E94">_xlfn.XLOOKUP($A94, 'Medical Examinations'!$A:$A, 'Medical Examinations'!D:D, "No Data")</f>
        <v>No</v>
      </c>
      <c r="F94" s="28" t="str">
        <f t="array" ref="F94">_xlfn.XLOOKUP($A94, 'Medical Examinations'!$A:$A, 'Medical Examinations'!E:E, "No Data")</f>
        <v>No</v>
      </c>
      <c r="G94" s="28" t="str">
        <f t="array" ref="G94">_xlfn.XLOOKUP($A94, 'Medical Examinations'!$A:$A, 'Medical Examinations'!F:F, "No Data")</f>
        <v>No</v>
      </c>
      <c r="H94" s="28">
        <f t="array" ref="H94">_xlfn.XLOOKUP($A94, 'Medical Examinations'!$A:$A, 'Medical Examinations'!G:G, "No Data")</f>
        <v>2</v>
      </c>
      <c r="I94" s="28" t="str">
        <f t="array" ref="I94">_xlfn.XLOOKUP($A94, 'Medical Examinations'!$A:$A, 'Medical Examinations'!H:H, "No Data")</f>
        <v>yes</v>
      </c>
      <c r="J94" s="28" t="str">
        <f t="array" ref="J94">_xlfn.XLOOKUP($A94, 'Medical Examinations'!$A:$A, 'Medical Examinations'!I:I, "No Data")</f>
        <v>Obesity</v>
      </c>
      <c r="K94" s="28" t="str">
        <f t="array" ref="K94">_xlfn.XLOOKUP($A94, 'Hospitalisation Details'!$A:$A, 'Hospitalisation Details'!I:I, "No Data")</f>
        <v>tier - 3</v>
      </c>
      <c r="L94" s="28" t="str">
        <f t="array" ref="L94">_xlfn.XLOOKUP($A94, 'Hospitalisation Details'!$A:$A, 'Hospitalisation Details'!J:J, "No Data")</f>
        <v>R1011</v>
      </c>
      <c r="M94" s="28" t="str">
        <f t="array" ref="M94">_xlfn.XLOOKUP($A94, 'Hospitalisation Details'!$A:$A, 'Hospitalisation Details'!E:E, "No Data")</f>
        <v>10/06/72</v>
      </c>
      <c r="N94" s="28">
        <f t="array" ref="N94">_xlfn.XLOOKUP($A94, 'Hospitalisation Details'!$A:$A, 'Hospitalisation Details'!K:K, "No Data")</f>
        <v>50</v>
      </c>
      <c r="O94" s="33">
        <f t="array" ref="O94">_xlfn.XLOOKUP($A94, 'Hospitalisation Details'!$A:$A, 'Hospitalisation Details'!G:G, "No Data")</f>
        <v>40817.85</v>
      </c>
      <c r="P94" s="28" t="str">
        <f t="array" ref="P94">_xlfn.XLOOKUP($A94, 'Hospitalisation Details'!$A:$A, 'Hospitalisation Details'!H:H, "No Data")</f>
        <v>tier - 1</v>
      </c>
    </row>
    <row r="95">
      <c r="A95" s="25" t="s">
        <v>321</v>
      </c>
      <c r="B95" s="28" t="str">
        <f t="array" ref="B95">_xlfn.XLOOKUP($A95, 'Customer Names'!$A:$A, 'Customer Names'!B:B, "No Data")</f>
        <v>Saunders</v>
      </c>
      <c r="C95" s="28">
        <f t="array" ref="C95">_xlfn.XLOOKUP($A95, 'Medical Examinations'!$A:$A, 'Medical Examinations'!B:B, "No Data")</f>
        <v>30.495</v>
      </c>
      <c r="D95" s="28">
        <f t="array" ref="D95">_xlfn.XLOOKUP($A95, 'Medical Examinations'!$A:$A, 'Medical Examinations'!C:C, "No Data")</f>
        <v>4.57</v>
      </c>
      <c r="E95" s="28" t="str">
        <f t="array" ref="E95">_xlfn.XLOOKUP($A95, 'Medical Examinations'!$A:$A, 'Medical Examinations'!D:D, "No Data")</f>
        <v>yes</v>
      </c>
      <c r="F95" s="28" t="str">
        <f t="array" ref="F95">_xlfn.XLOOKUP($A95, 'Medical Examinations'!$A:$A, 'Medical Examinations'!E:E, "No Data")</f>
        <v>No</v>
      </c>
      <c r="G95" s="28" t="str">
        <f t="array" ref="G95">_xlfn.XLOOKUP($A95, 'Medical Examinations'!$A:$A, 'Medical Examinations'!F:F, "No Data")</f>
        <v>No</v>
      </c>
      <c r="H95" s="28">
        <f t="array" ref="H95">_xlfn.XLOOKUP($A95, 'Medical Examinations'!$A:$A, 'Medical Examinations'!G:G, "No Data")</f>
        <v>0</v>
      </c>
      <c r="I95" s="28" t="str">
        <f t="array" ref="I95">_xlfn.XLOOKUP($A95, 'Medical Examinations'!$A:$A, 'Medical Examinations'!H:H, "No Data")</f>
        <v>yes</v>
      </c>
      <c r="J95" s="28" t="str">
        <f t="array" ref="J95">_xlfn.XLOOKUP($A95, 'Medical Examinations'!$A:$A, 'Medical Examinations'!I:I, "No Data")</f>
        <v>Obesity</v>
      </c>
      <c r="K95" s="28" t="str">
        <f t="array" ref="K95">_xlfn.XLOOKUP($A95, 'Hospitalisation Details'!$A:$A, 'Hospitalisation Details'!I:I, "No Data")</f>
        <v>tier - 3</v>
      </c>
      <c r="L95" s="28" t="str">
        <f t="array" ref="L95">_xlfn.XLOOKUP($A95, 'Hospitalisation Details'!$A:$A, 'Hospitalisation Details'!J:J, "No Data")</f>
        <v>R1012</v>
      </c>
      <c r="M95" s="28" t="str">
        <f t="array" ref="M95">_xlfn.XLOOKUP($A95, 'Hospitalisation Details'!$A:$A, 'Hospitalisation Details'!E:E, "No Data")</f>
        <v>26/12/76</v>
      </c>
      <c r="N95" s="28">
        <f t="array" ref="N95">_xlfn.XLOOKUP($A95, 'Hospitalisation Details'!$A:$A, 'Hospitalisation Details'!K:K, "No Data")</f>
        <v>46</v>
      </c>
      <c r="O95" s="33">
        <f t="array" ref="O95">_xlfn.XLOOKUP($A95, 'Hospitalisation Details'!$A:$A, 'Hospitalisation Details'!G:G, "No Data")</f>
        <v>40720.55</v>
      </c>
      <c r="P95" s="28" t="str">
        <f t="array" ref="P95">_xlfn.XLOOKUP($A95, 'Hospitalisation Details'!$A:$A, 'Hospitalisation Details'!H:H, "No Data")</f>
        <v>tier - 1</v>
      </c>
    </row>
    <row r="96">
      <c r="A96" s="25" t="s">
        <v>323</v>
      </c>
      <c r="B96" s="28" t="str">
        <f t="array" ref="B96">_xlfn.XLOOKUP($A96, 'Customer Names'!$A:$A, 'Customer Names'!B:B, "No Data")</f>
        <v>Kratz</v>
      </c>
      <c r="C96" s="28">
        <f t="array" ref="C96">_xlfn.XLOOKUP($A96, 'Medical Examinations'!$A:$A, 'Medical Examinations'!B:B, "No Data")</f>
        <v>48.31</v>
      </c>
      <c r="D96" s="28">
        <f t="array" ref="D96">_xlfn.XLOOKUP($A96, 'Medical Examinations'!$A:$A, 'Medical Examinations'!C:C, "No Data")</f>
        <v>9.58</v>
      </c>
      <c r="E96" s="28" t="str">
        <f t="array" ref="E96">_xlfn.XLOOKUP($A96, 'Medical Examinations'!$A:$A, 'Medical Examinations'!D:D, "No Data")</f>
        <v>yes</v>
      </c>
      <c r="F96" s="28" t="str">
        <f t="array" ref="F96">_xlfn.XLOOKUP($A96, 'Medical Examinations'!$A:$A, 'Medical Examinations'!E:E, "No Data")</f>
        <v>No</v>
      </c>
      <c r="G96" s="28" t="str">
        <f t="array" ref="G96">_xlfn.XLOOKUP($A96, 'Medical Examinations'!$A:$A, 'Medical Examinations'!F:F, "No Data")</f>
        <v>No</v>
      </c>
      <c r="H96" s="28">
        <f t="array" ref="H96">_xlfn.XLOOKUP($A96, 'Medical Examinations'!$A:$A, 'Medical Examinations'!G:G, "No Data")</f>
        <v>2</v>
      </c>
      <c r="I96" s="28" t="str">
        <f t="array" ref="I96">_xlfn.XLOOKUP($A96, 'Medical Examinations'!$A:$A, 'Medical Examinations'!H:H, "No Data")</f>
        <v>yes</v>
      </c>
      <c r="J96" s="28" t="str">
        <f t="array" ref="J96">_xlfn.XLOOKUP($A96, 'Medical Examinations'!$A:$A, 'Medical Examinations'!I:I, "No Data")</f>
        <v>Obesity</v>
      </c>
      <c r="K96" s="28" t="str">
        <f t="array" ref="K96">_xlfn.XLOOKUP($A96, 'Hospitalisation Details'!$A:$A, 'Hospitalisation Details'!I:I, "No Data")</f>
        <v>tier - 1</v>
      </c>
      <c r="L96" s="28" t="str">
        <f t="array" ref="L96">_xlfn.XLOOKUP($A96, 'Hospitalisation Details'!$A:$A, 'Hospitalisation Details'!J:J, "No Data")</f>
        <v>R1011</v>
      </c>
      <c r="M96" s="28" t="str">
        <f t="array" ref="M96">_xlfn.XLOOKUP($A96, 'Hospitalisation Details'!$A:$A, 'Hospitalisation Details'!E:E, "No Data")</f>
        <v>25/09/70</v>
      </c>
      <c r="N96" s="28">
        <f t="array" ref="N96">_xlfn.XLOOKUP($A96, 'Hospitalisation Details'!$A:$A, 'Hospitalisation Details'!K:K, "No Data")</f>
        <v>52</v>
      </c>
      <c r="O96" s="33">
        <f t="array" ref="O96">_xlfn.XLOOKUP($A96, 'Hospitalisation Details'!$A:$A, 'Hospitalisation Details'!G:G, "No Data")</f>
        <v>40692.91</v>
      </c>
      <c r="P96" s="28" t="str">
        <f t="array" ref="P96">_xlfn.XLOOKUP($A96, 'Hospitalisation Details'!$A:$A, 'Hospitalisation Details'!H:H, "No Data")</f>
        <v>tier - 1</v>
      </c>
    </row>
    <row r="97">
      <c r="A97" s="25" t="s">
        <v>326</v>
      </c>
      <c r="B97" s="28" t="str">
        <f t="array" ref="B97">_xlfn.XLOOKUP($A97, 'Customer Names'!$A:$A, 'Customer Names'!B:B, "No Data")</f>
        <v>Boland</v>
      </c>
      <c r="C97" s="28">
        <f t="array" ref="C97">_xlfn.XLOOKUP($A97, 'Medical Examinations'!$A:$A, 'Medical Examinations'!B:B, "No Data")</f>
        <v>48.99</v>
      </c>
      <c r="D97" s="28">
        <f t="array" ref="D97">_xlfn.XLOOKUP($A97, 'Medical Examinations'!$A:$A, 'Medical Examinations'!C:C, "No Data")</f>
        <v>9.78</v>
      </c>
      <c r="E97" s="28" t="str">
        <f t="array" ref="E97">_xlfn.XLOOKUP($A97, 'Medical Examinations'!$A:$A, 'Medical Examinations'!D:D, "No Data")</f>
        <v>yes</v>
      </c>
      <c r="F97" s="28" t="str">
        <f t="array" ref="F97">_xlfn.XLOOKUP($A97, 'Medical Examinations'!$A:$A, 'Medical Examinations'!E:E, "No Data")</f>
        <v>No</v>
      </c>
      <c r="G97" s="28" t="str">
        <f t="array" ref="G97">_xlfn.XLOOKUP($A97, 'Medical Examinations'!$A:$A, 'Medical Examinations'!F:F, "No Data")</f>
        <v>No</v>
      </c>
      <c r="H97" s="28">
        <f t="array" ref="H97">_xlfn.XLOOKUP($A97, 'Medical Examinations'!$A:$A, 'Medical Examinations'!G:G, "No Data")</f>
        <v>1</v>
      </c>
      <c r="I97" s="28" t="str">
        <f t="array" ref="I97">_xlfn.XLOOKUP($A97, 'Medical Examinations'!$A:$A, 'Medical Examinations'!H:H, "No Data")</f>
        <v>yes</v>
      </c>
      <c r="J97" s="28" t="str">
        <f t="array" ref="J97">_xlfn.XLOOKUP($A97, 'Medical Examinations'!$A:$A, 'Medical Examinations'!I:I, "No Data")</f>
        <v>Obesity</v>
      </c>
      <c r="K97" s="28" t="str">
        <f t="array" ref="K97">_xlfn.XLOOKUP($A97, 'Hospitalisation Details'!$A:$A, 'Hospitalisation Details'!I:I, "No Data")</f>
        <v>tier - 3</v>
      </c>
      <c r="L97" s="28" t="str">
        <f t="array" ref="L97">_xlfn.XLOOKUP($A97, 'Hospitalisation Details'!$A:$A, 'Hospitalisation Details'!J:J, "No Data")</f>
        <v>R1012</v>
      </c>
      <c r="M97" s="28" t="str">
        <f t="array" ref="M97">_xlfn.XLOOKUP($A97, 'Hospitalisation Details'!$A:$A, 'Hospitalisation Details'!E:E, "No Data")</f>
        <v>10/07/75</v>
      </c>
      <c r="N97" s="28">
        <f t="array" ref="N97">_xlfn.XLOOKUP($A97, 'Hospitalisation Details'!$A:$A, 'Hospitalisation Details'!K:K, "No Data")</f>
        <v>47</v>
      </c>
      <c r="O97" s="33">
        <f t="array" ref="O97">_xlfn.XLOOKUP($A97, 'Hospitalisation Details'!$A:$A, 'Hospitalisation Details'!G:G, "No Data")</f>
        <v>40590.55</v>
      </c>
      <c r="P97" s="28" t="str">
        <f t="array" ref="P97">_xlfn.XLOOKUP($A97, 'Hospitalisation Details'!$A:$A, 'Hospitalisation Details'!H:H, "No Data")</f>
        <v>tier - 1</v>
      </c>
    </row>
    <row r="98">
      <c r="A98" s="25" t="s">
        <v>329</v>
      </c>
      <c r="B98" s="28" t="str">
        <f t="array" ref="B98">_xlfn.XLOOKUP($A98, 'Customer Names'!$A:$A, 'Customer Names'!B:B, "No Data")</f>
        <v>Van Hout</v>
      </c>
      <c r="C98" s="28">
        <f t="array" ref="C98">_xlfn.XLOOKUP($A98, 'Medical Examinations'!$A:$A, 'Medical Examinations'!B:B, "No Data")</f>
        <v>38.39</v>
      </c>
      <c r="D98" s="28">
        <f t="array" ref="D98">_xlfn.XLOOKUP($A98, 'Medical Examinations'!$A:$A, 'Medical Examinations'!C:C, "No Data")</f>
        <v>4.11</v>
      </c>
      <c r="E98" s="28" t="str">
        <f t="array" ref="E98">_xlfn.XLOOKUP($A98, 'Medical Examinations'!$A:$A, 'Medical Examinations'!D:D, "No Data")</f>
        <v>yes</v>
      </c>
      <c r="F98" s="28" t="str">
        <f t="array" ref="F98">_xlfn.XLOOKUP($A98, 'Medical Examinations'!$A:$A, 'Medical Examinations'!E:E, "No Data")</f>
        <v>No</v>
      </c>
      <c r="G98" s="28" t="str">
        <f t="array" ref="G98">_xlfn.XLOOKUP($A98, 'Medical Examinations'!$A:$A, 'Medical Examinations'!F:F, "No Data")</f>
        <v>No</v>
      </c>
      <c r="H98" s="28">
        <f t="array" ref="H98">_xlfn.XLOOKUP($A98, 'Medical Examinations'!$A:$A, 'Medical Examinations'!G:G, "No Data")</f>
        <v>0</v>
      </c>
      <c r="I98" s="28" t="str">
        <f t="array" ref="I98">_xlfn.XLOOKUP($A98, 'Medical Examinations'!$A:$A, 'Medical Examinations'!H:H, "No Data")</f>
        <v>yes</v>
      </c>
      <c r="J98" s="28" t="str">
        <f t="array" ref="J98">_xlfn.XLOOKUP($A98, 'Medical Examinations'!$A:$A, 'Medical Examinations'!I:I, "No Data")</f>
        <v>Obesity</v>
      </c>
      <c r="K98" s="28" t="str">
        <f t="array" ref="K98">_xlfn.XLOOKUP($A98, 'Hospitalisation Details'!$A:$A, 'Hospitalisation Details'!I:I, "No Data")</f>
        <v>tier - 2</v>
      </c>
      <c r="L98" s="28" t="str">
        <f t="array" ref="L98">_xlfn.XLOOKUP($A98, 'Hospitalisation Details'!$A:$A, 'Hospitalisation Details'!J:J, "No Data")</f>
        <v>R1013</v>
      </c>
      <c r="M98" s="28" t="str">
        <f t="array" ref="M98">_xlfn.XLOOKUP($A98, 'Hospitalisation Details'!$A:$A, 'Hospitalisation Details'!E:E, "No Data")</f>
        <v>03/11/85</v>
      </c>
      <c r="N98" s="28">
        <f t="array" ref="N98">_xlfn.XLOOKUP($A98, 'Hospitalisation Details'!$A:$A, 'Hospitalisation Details'!K:K, "No Data")</f>
        <v>37</v>
      </c>
      <c r="O98" s="33">
        <f t="array" ref="O98">_xlfn.XLOOKUP($A98, 'Hospitalisation Details'!$A:$A, 'Hospitalisation Details'!G:G, "No Data")</f>
        <v>40419.02</v>
      </c>
      <c r="P98" s="28" t="str">
        <f t="array" ref="P98">_xlfn.XLOOKUP($A98, 'Hospitalisation Details'!$A:$A, 'Hospitalisation Details'!H:H, "No Data")</f>
        <v>tier - 1</v>
      </c>
    </row>
    <row r="99">
      <c r="A99" s="25" t="s">
        <v>332</v>
      </c>
      <c r="B99" s="28" t="str">
        <f t="array" ref="B99">_xlfn.XLOOKUP($A99, 'Customer Names'!$A:$A, 'Customer Names'!B:B, "No Data")</f>
        <v>Ramsey</v>
      </c>
      <c r="C99" s="28">
        <f t="array" ref="C99">_xlfn.XLOOKUP($A99, 'Medical Examinations'!$A:$A, 'Medical Examinations'!B:B, "No Data")</f>
        <v>44.34</v>
      </c>
      <c r="D99" s="28">
        <f t="array" ref="D99">_xlfn.XLOOKUP($A99, 'Medical Examinations'!$A:$A, 'Medical Examinations'!C:C, "No Data")</f>
        <v>4.02</v>
      </c>
      <c r="E99" s="28" t="str">
        <f t="array" ref="E99">_xlfn.XLOOKUP($A99, 'Medical Examinations'!$A:$A, 'Medical Examinations'!D:D, "No Data")</f>
        <v>yes</v>
      </c>
      <c r="F99" s="28" t="str">
        <f t="array" ref="F99">_xlfn.XLOOKUP($A99, 'Medical Examinations'!$A:$A, 'Medical Examinations'!E:E, "No Data")</f>
        <v>No</v>
      </c>
      <c r="G99" s="28" t="str">
        <f t="array" ref="G99">_xlfn.XLOOKUP($A99, 'Medical Examinations'!$A:$A, 'Medical Examinations'!F:F, "No Data")</f>
        <v>No</v>
      </c>
      <c r="H99" s="28">
        <f t="array" ref="H99">_xlfn.XLOOKUP($A99, 'Medical Examinations'!$A:$A, 'Medical Examinations'!G:G, "No Data")</f>
        <v>2</v>
      </c>
      <c r="I99" s="28" t="str">
        <f t="array" ref="I99">_xlfn.XLOOKUP($A99, 'Medical Examinations'!$A:$A, 'Medical Examinations'!H:H, "No Data")</f>
        <v>yes</v>
      </c>
      <c r="J99" s="28" t="str">
        <f t="array" ref="J99">_xlfn.XLOOKUP($A99, 'Medical Examinations'!$A:$A, 'Medical Examinations'!I:I, "No Data")</f>
        <v>Obesity</v>
      </c>
      <c r="K99" s="28" t="str">
        <f t="array" ref="K99">_xlfn.XLOOKUP($A99, 'Hospitalisation Details'!$A:$A, 'Hospitalisation Details'!I:I, "No Data")</f>
        <v>tier - 3</v>
      </c>
      <c r="L99" s="28" t="str">
        <f t="array" ref="L99">_xlfn.XLOOKUP($A99, 'Hospitalisation Details'!$A:$A, 'Hospitalisation Details'!J:J, "No Data")</f>
        <v>R1011</v>
      </c>
      <c r="M99" s="28" t="str">
        <f t="array" ref="M99">_xlfn.XLOOKUP($A99, 'Hospitalisation Details'!$A:$A, 'Hospitalisation Details'!E:E, "No Data")</f>
        <v>12/08/66</v>
      </c>
      <c r="N99" s="28">
        <f t="array" ref="N99">_xlfn.XLOOKUP($A99, 'Hospitalisation Details'!$A:$A, 'Hospitalisation Details'!K:K, "No Data")</f>
        <v>56</v>
      </c>
      <c r="O99" s="33">
        <f t="array" ref="O99">_xlfn.XLOOKUP($A99, 'Hospitalisation Details'!$A:$A, 'Hospitalisation Details'!G:G, "No Data")</f>
        <v>40373.74</v>
      </c>
      <c r="P99" s="28" t="str">
        <f t="array" ref="P99">_xlfn.XLOOKUP($A99, 'Hospitalisation Details'!$A:$A, 'Hospitalisation Details'!H:H, "No Data")</f>
        <v>tier - 1</v>
      </c>
    </row>
    <row r="100">
      <c r="A100" s="25" t="s">
        <v>335</v>
      </c>
      <c r="B100" s="28" t="str">
        <f t="array" ref="B100">_xlfn.XLOOKUP($A100, 'Customer Names'!$A:$A, 'Customer Names'!B:B, "No Data")</f>
        <v>Gage</v>
      </c>
      <c r="C100" s="28">
        <f t="array" ref="C100">_xlfn.XLOOKUP($A100, 'Medical Examinations'!$A:$A, 'Medical Examinations'!B:B, "No Data")</f>
        <v>41.51</v>
      </c>
      <c r="D100" s="28">
        <f t="array" ref="D100">_xlfn.XLOOKUP($A100, 'Medical Examinations'!$A:$A, 'Medical Examinations'!C:C, "No Data")</f>
        <v>6.92</v>
      </c>
      <c r="E100" s="28" t="str">
        <f t="array" ref="E100">_xlfn.XLOOKUP($A100, 'Medical Examinations'!$A:$A, 'Medical Examinations'!D:D, "No Data")</f>
        <v>No</v>
      </c>
      <c r="F100" s="28" t="str">
        <f t="array" ref="F100">_xlfn.XLOOKUP($A100, 'Medical Examinations'!$A:$A, 'Medical Examinations'!E:E, "No Data")</f>
        <v>No</v>
      </c>
      <c r="G100" s="28" t="str">
        <f t="array" ref="G100">_xlfn.XLOOKUP($A100, 'Medical Examinations'!$A:$A, 'Medical Examinations'!F:F, "No Data")</f>
        <v>No</v>
      </c>
      <c r="H100" s="28">
        <f t="array" ref="H100">_xlfn.XLOOKUP($A100, 'Medical Examinations'!$A:$A, 'Medical Examinations'!G:G, "No Data")</f>
        <v>0</v>
      </c>
      <c r="I100" s="28" t="str">
        <f t="array" ref="I100">_xlfn.XLOOKUP($A100, 'Medical Examinations'!$A:$A, 'Medical Examinations'!H:H, "No Data")</f>
        <v>yes</v>
      </c>
      <c r="J100" s="28" t="str">
        <f t="array" ref="J100">_xlfn.XLOOKUP($A100, 'Medical Examinations'!$A:$A, 'Medical Examinations'!I:I, "No Data")</f>
        <v>Obesity</v>
      </c>
      <c r="K100" s="28" t="str">
        <f t="array" ref="K100">_xlfn.XLOOKUP($A100, 'Hospitalisation Details'!$A:$A, 'Hospitalisation Details'!I:I, "No Data")</f>
        <v>tier - 3</v>
      </c>
      <c r="L100" s="28" t="str">
        <f t="array" ref="L100">_xlfn.XLOOKUP($A100, 'Hospitalisation Details'!$A:$A, 'Hospitalisation Details'!J:J, "No Data")</f>
        <v>R1011</v>
      </c>
      <c r="M100" s="28" t="str">
        <f t="array" ref="M100">_xlfn.XLOOKUP($A100, 'Hospitalisation Details'!$A:$A, 'Hospitalisation Details'!E:E, "No Data")</f>
        <v>04/09/62</v>
      </c>
      <c r="N100" s="28">
        <f t="array" ref="N100">_xlfn.XLOOKUP($A100, 'Hospitalisation Details'!$A:$A, 'Hospitalisation Details'!K:K, "No Data")</f>
        <v>60</v>
      </c>
      <c r="O100" s="33">
        <f t="array" ref="O100">_xlfn.XLOOKUP($A100, 'Hospitalisation Details'!$A:$A, 'Hospitalisation Details'!G:G, "No Data")</f>
        <v>40309.93</v>
      </c>
      <c r="P100" s="28" t="str">
        <f t="array" ref="P100">_xlfn.XLOOKUP($A100, 'Hospitalisation Details'!$A:$A, 'Hospitalisation Details'!H:H, "No Data")</f>
        <v>tier - 1</v>
      </c>
    </row>
    <row r="101">
      <c r="A101" s="25" t="s">
        <v>338</v>
      </c>
      <c r="B101" s="28" t="str">
        <f t="array" ref="B101">_xlfn.XLOOKUP($A101, 'Customer Names'!$A:$A, 'Customer Names'!B:B, "No Data")</f>
        <v>Gollins</v>
      </c>
      <c r="C101" s="28">
        <f t="array" ref="C101">_xlfn.XLOOKUP($A101, 'Medical Examinations'!$A:$A, 'Medical Examinations'!B:B, "No Data")</f>
        <v>48.2</v>
      </c>
      <c r="D101" s="28">
        <f t="array" ref="D101">_xlfn.XLOOKUP($A101, 'Medical Examinations'!$A:$A, 'Medical Examinations'!C:C, "No Data")</f>
        <v>4.84</v>
      </c>
      <c r="E101" s="28" t="str">
        <f t="array" ref="E101">_xlfn.XLOOKUP($A101, 'Medical Examinations'!$A:$A, 'Medical Examinations'!D:D, "No Data")</f>
        <v>No</v>
      </c>
      <c r="F101" s="28" t="str">
        <f t="array" ref="F101">_xlfn.XLOOKUP($A101, 'Medical Examinations'!$A:$A, 'Medical Examinations'!E:E, "No Data")</f>
        <v>No</v>
      </c>
      <c r="G101" s="28" t="str">
        <f t="array" ref="G101">_xlfn.XLOOKUP($A101, 'Medical Examinations'!$A:$A, 'Medical Examinations'!F:F, "No Data")</f>
        <v>No</v>
      </c>
      <c r="H101" s="28">
        <f t="array" ref="H101">_xlfn.XLOOKUP($A101, 'Medical Examinations'!$A:$A, 'Medical Examinations'!G:G, "No Data")</f>
        <v>0</v>
      </c>
      <c r="I101" s="28" t="str">
        <f t="array" ref="I101">_xlfn.XLOOKUP($A101, 'Medical Examinations'!$A:$A, 'Medical Examinations'!H:H, "No Data")</f>
        <v>yes</v>
      </c>
      <c r="J101" s="28" t="str">
        <f t="array" ref="J101">_xlfn.XLOOKUP($A101, 'Medical Examinations'!$A:$A, 'Medical Examinations'!I:I, "No Data")</f>
        <v>Obesity</v>
      </c>
      <c r="K101" s="28" t="str">
        <f t="array" ref="K101">_xlfn.XLOOKUP($A101, 'Hospitalisation Details'!$A:$A, 'Hospitalisation Details'!I:I, "No Data")</f>
        <v>tier - 3</v>
      </c>
      <c r="L101" s="28" t="str">
        <f t="array" ref="L101">_xlfn.XLOOKUP($A101, 'Hospitalisation Details'!$A:$A, 'Hospitalisation Details'!J:J, "No Data")</f>
        <v>R1012</v>
      </c>
      <c r="M101" s="28" t="str">
        <f t="array" ref="M101">_xlfn.XLOOKUP($A101, 'Hospitalisation Details'!$A:$A, 'Hospitalisation Details'!E:E, "No Data")</f>
        <v>27/06/77</v>
      </c>
      <c r="N101" s="28">
        <f t="array" ref="N101">_xlfn.XLOOKUP($A101, 'Hospitalisation Details'!$A:$A, 'Hospitalisation Details'!K:K, "No Data")</f>
        <v>45</v>
      </c>
      <c r="O101" s="33">
        <f t="array" ref="O101">_xlfn.XLOOKUP($A101, 'Hospitalisation Details'!$A:$A, 'Hospitalisation Details'!G:G, "No Data")</f>
        <v>40284.38</v>
      </c>
      <c r="P101" s="28" t="str">
        <f t="array" ref="P101">_xlfn.XLOOKUP($A101, 'Hospitalisation Details'!$A:$A, 'Hospitalisation Details'!H:H, "No Data")</f>
        <v>tier - 1</v>
      </c>
    </row>
    <row r="102">
      <c r="A102" s="25" t="s">
        <v>340</v>
      </c>
      <c r="B102" s="28" t="str">
        <f t="array" ref="B102">_xlfn.XLOOKUP($A102, 'Customer Names'!$A:$A, 'Customer Names'!B:B, "No Data")</f>
        <v>Benestad</v>
      </c>
      <c r="C102" s="28">
        <f t="array" ref="C102">_xlfn.XLOOKUP($A102, 'Medical Examinations'!$A:$A, 'Medical Examinations'!B:B, "No Data")</f>
        <v>35.75</v>
      </c>
      <c r="D102" s="28">
        <f t="array" ref="D102">_xlfn.XLOOKUP($A102, 'Medical Examinations'!$A:$A, 'Medical Examinations'!C:C, "No Data")</f>
        <v>8</v>
      </c>
      <c r="E102" s="28" t="str">
        <f t="array" ref="E102">_xlfn.XLOOKUP($A102, 'Medical Examinations'!$A:$A, 'Medical Examinations'!D:D, "No Data")</f>
        <v>yes</v>
      </c>
      <c r="F102" s="28" t="str">
        <f t="array" ref="F102">_xlfn.XLOOKUP($A102, 'Medical Examinations'!$A:$A, 'Medical Examinations'!E:E, "No Data")</f>
        <v>No</v>
      </c>
      <c r="G102" s="28" t="str">
        <f t="array" ref="G102">_xlfn.XLOOKUP($A102, 'Medical Examinations'!$A:$A, 'Medical Examinations'!F:F, "No Data")</f>
        <v>No</v>
      </c>
      <c r="H102" s="28">
        <f t="array" ref="H102">_xlfn.XLOOKUP($A102, 'Medical Examinations'!$A:$A, 'Medical Examinations'!G:G, "No Data")</f>
        <v>0</v>
      </c>
      <c r="I102" s="28" t="str">
        <f t="array" ref="I102">_xlfn.XLOOKUP($A102, 'Medical Examinations'!$A:$A, 'Medical Examinations'!H:H, "No Data")</f>
        <v>yes</v>
      </c>
      <c r="J102" s="28" t="str">
        <f t="array" ref="J102">_xlfn.XLOOKUP($A102, 'Medical Examinations'!$A:$A, 'Medical Examinations'!I:I, "No Data")</f>
        <v>Obesity</v>
      </c>
      <c r="K102" s="28" t="str">
        <f t="array" ref="K102">_xlfn.XLOOKUP($A102, 'Hospitalisation Details'!$A:$A, 'Hospitalisation Details'!I:I, "No Data")</f>
        <v>tier - 3</v>
      </c>
      <c r="L102" s="28" t="str">
        <f t="array" ref="L102">_xlfn.XLOOKUP($A102, 'Hospitalisation Details'!$A:$A, 'Hospitalisation Details'!J:J, "No Data")</f>
        <v>R1013</v>
      </c>
      <c r="M102" s="28" t="str">
        <f t="array" ref="M102">_xlfn.XLOOKUP($A102, 'Hospitalisation Details'!$A:$A, 'Hospitalisation Details'!E:E, "No Data")</f>
        <v>04/10/81</v>
      </c>
      <c r="N102" s="28">
        <f t="array" ref="N102">_xlfn.XLOOKUP($A102, 'Hospitalisation Details'!$A:$A, 'Hospitalisation Details'!K:K, "No Data")</f>
        <v>41</v>
      </c>
      <c r="O102" s="33">
        <f t="array" ref="O102">_xlfn.XLOOKUP($A102, 'Hospitalisation Details'!$A:$A, 'Hospitalisation Details'!G:G, "No Data")</f>
        <v>40273.65</v>
      </c>
      <c r="P102" s="28" t="str">
        <f t="array" ref="P102">_xlfn.XLOOKUP($A102, 'Hospitalisation Details'!$A:$A, 'Hospitalisation Details'!H:H, "No Data")</f>
        <v>tier - 1</v>
      </c>
    </row>
    <row r="103">
      <c r="A103" s="25" t="s">
        <v>343</v>
      </c>
      <c r="B103" s="28" t="str">
        <f t="array" ref="B103">_xlfn.XLOOKUP($A103, 'Customer Names'!$A:$A, 'Customer Names'!B:B, "No Data")</f>
        <v>Aviv</v>
      </c>
      <c r="C103" s="28">
        <f t="array" ref="C103">_xlfn.XLOOKUP($A103, 'Medical Examinations'!$A:$A, 'Medical Examinations'!B:B, "No Data")</f>
        <v>53.81</v>
      </c>
      <c r="D103" s="28">
        <f t="array" ref="D103">_xlfn.XLOOKUP($A103, 'Medical Examinations'!$A:$A, 'Medical Examinations'!C:C, "No Data")</f>
        <v>8.77</v>
      </c>
      <c r="E103" s="28" t="str">
        <f t="array" ref="E103">_xlfn.XLOOKUP($A103, 'Medical Examinations'!$A:$A, 'Medical Examinations'!D:D, "No Data")</f>
        <v>yes</v>
      </c>
      <c r="F103" s="28" t="str">
        <f t="array" ref="F103">_xlfn.XLOOKUP($A103, 'Medical Examinations'!$A:$A, 'Medical Examinations'!E:E, "No Data")</f>
        <v>No</v>
      </c>
      <c r="G103" s="28" t="str">
        <f t="array" ref="G103">_xlfn.XLOOKUP($A103, 'Medical Examinations'!$A:$A, 'Medical Examinations'!F:F, "No Data")</f>
        <v>No</v>
      </c>
      <c r="H103" s="28">
        <f t="array" ref="H103">_xlfn.XLOOKUP($A103, 'Medical Examinations'!$A:$A, 'Medical Examinations'!G:G, "No Data")</f>
        <v>0</v>
      </c>
      <c r="I103" s="28" t="str">
        <f t="array" ref="I103">_xlfn.XLOOKUP($A103, 'Medical Examinations'!$A:$A, 'Medical Examinations'!H:H, "No Data")</f>
        <v>yes</v>
      </c>
      <c r="J103" s="28" t="str">
        <f t="array" ref="J103">_xlfn.XLOOKUP($A103, 'Medical Examinations'!$A:$A, 'Medical Examinations'!I:I, "No Data")</f>
        <v>Obesity</v>
      </c>
      <c r="K103" s="28" t="str">
        <f t="array" ref="K103">_xlfn.XLOOKUP($A103, 'Hospitalisation Details'!$A:$A, 'Hospitalisation Details'!I:I, "No Data")</f>
        <v>tier - 2</v>
      </c>
      <c r="L103" s="28" t="str">
        <f t="array" ref="L103">_xlfn.XLOOKUP($A103, 'Hospitalisation Details'!$A:$A, 'Hospitalisation Details'!J:J, "No Data")</f>
        <v>R1011</v>
      </c>
      <c r="M103" s="28" t="str">
        <f t="array" ref="M103">_xlfn.XLOOKUP($A103, 'Hospitalisation Details'!$A:$A, 'Hospitalisation Details'!E:E, "No Data")</f>
        <v>28/07/81</v>
      </c>
      <c r="N103" s="28">
        <f t="array" ref="N103">_xlfn.XLOOKUP($A103, 'Hospitalisation Details'!$A:$A, 'Hospitalisation Details'!K:K, "No Data")</f>
        <v>41</v>
      </c>
      <c r="O103" s="33">
        <f t="array" ref="O103">_xlfn.XLOOKUP($A103, 'Hospitalisation Details'!$A:$A, 'Hospitalisation Details'!G:G, "No Data")</f>
        <v>40208.56</v>
      </c>
      <c r="P103" s="28" t="str">
        <f t="array" ref="P103">_xlfn.XLOOKUP($A103, 'Hospitalisation Details'!$A:$A, 'Hospitalisation Details'!H:H, "No Data")</f>
        <v>tier - 1</v>
      </c>
    </row>
    <row r="104">
      <c r="A104" s="25" t="s">
        <v>347</v>
      </c>
      <c r="B104" s="28" t="str">
        <f t="array" ref="B104">_xlfn.XLOOKUP($A104, 'Customer Names'!$A:$A, 'Customer Names'!B:B, "No Data")</f>
        <v>Burns</v>
      </c>
      <c r="C104" s="28">
        <f t="array" ref="C104">_xlfn.XLOOKUP($A104, 'Medical Examinations'!$A:$A, 'Medical Examinations'!B:B, "No Data")</f>
        <v>49.48</v>
      </c>
      <c r="D104" s="28">
        <f t="array" ref="D104">_xlfn.XLOOKUP($A104, 'Medical Examinations'!$A:$A, 'Medical Examinations'!C:C, "No Data")</f>
        <v>4.96</v>
      </c>
      <c r="E104" s="28" t="str">
        <f t="array" ref="E104">_xlfn.XLOOKUP($A104, 'Medical Examinations'!$A:$A, 'Medical Examinations'!D:D, "No Data")</f>
        <v>No</v>
      </c>
      <c r="F104" s="28" t="str">
        <f t="array" ref="F104">_xlfn.XLOOKUP($A104, 'Medical Examinations'!$A:$A, 'Medical Examinations'!E:E, "No Data")</f>
        <v>No</v>
      </c>
      <c r="G104" s="28" t="str">
        <f t="array" ref="G104">_xlfn.XLOOKUP($A104, 'Medical Examinations'!$A:$A, 'Medical Examinations'!F:F, "No Data")</f>
        <v>Yes</v>
      </c>
      <c r="H104" s="28">
        <f t="array" ref="H104">_xlfn.XLOOKUP($A104, 'Medical Examinations'!$A:$A, 'Medical Examinations'!G:G, "No Data")</f>
        <v>1</v>
      </c>
      <c r="I104" s="28" t="str">
        <f t="array" ref="I104">_xlfn.XLOOKUP($A104, 'Medical Examinations'!$A:$A, 'Medical Examinations'!H:H, "No Data")</f>
        <v>yes</v>
      </c>
      <c r="J104" s="28" t="str">
        <f t="array" ref="J104">_xlfn.XLOOKUP($A104, 'Medical Examinations'!$A:$A, 'Medical Examinations'!I:I, "No Data")</f>
        <v>Obesity</v>
      </c>
      <c r="K104" s="28" t="str">
        <f t="array" ref="K104">_xlfn.XLOOKUP($A104, 'Hospitalisation Details'!$A:$A, 'Hospitalisation Details'!I:I, "No Data")</f>
        <v>tier - 3</v>
      </c>
      <c r="L104" s="28" t="str">
        <f t="array" ref="L104">_xlfn.XLOOKUP($A104, 'Hospitalisation Details'!$A:$A, 'Hospitalisation Details'!J:J, "No Data")</f>
        <v>R1012</v>
      </c>
      <c r="M104" s="28" t="str">
        <f t="array" ref="M104">_xlfn.XLOOKUP($A104, 'Hospitalisation Details'!$A:$A, 'Hospitalisation Details'!E:E, "No Data")</f>
        <v>18/08/79</v>
      </c>
      <c r="N104" s="28">
        <f t="array" ref="N104">_xlfn.XLOOKUP($A104, 'Hospitalisation Details'!$A:$A, 'Hospitalisation Details'!K:K, "No Data")</f>
        <v>43</v>
      </c>
      <c r="O104" s="33">
        <f t="array" ref="O104">_xlfn.XLOOKUP($A104, 'Hospitalisation Details'!$A:$A, 'Hospitalisation Details'!G:G, "No Data")</f>
        <v>40204.83</v>
      </c>
      <c r="P104" s="28" t="str">
        <f t="array" ref="P104">_xlfn.XLOOKUP($A104, 'Hospitalisation Details'!$A:$A, 'Hospitalisation Details'!H:H, "No Data")</f>
        <v>tier - 1</v>
      </c>
    </row>
    <row r="105">
      <c r="A105" s="25" t="s">
        <v>351</v>
      </c>
      <c r="B105" s="28" t="str">
        <f t="array" ref="B105">_xlfn.XLOOKUP($A105, 'Customer Names'!$A:$A, 'Customer Names'!B:B, "No Data")</f>
        <v>Maldonado</v>
      </c>
      <c r="C105" s="28">
        <f t="array" ref="C105">_xlfn.XLOOKUP($A105, 'Medical Examinations'!$A:$A, 'Medical Examinations'!B:B, "No Data")</f>
        <v>34.1</v>
      </c>
      <c r="D105" s="28">
        <f t="array" ref="D105">_xlfn.XLOOKUP($A105, 'Medical Examinations'!$A:$A, 'Medical Examinations'!C:C, "No Data")</f>
        <v>4.43</v>
      </c>
      <c r="E105" s="28" t="str">
        <f t="array" ref="E105">_xlfn.XLOOKUP($A105, 'Medical Examinations'!$A:$A, 'Medical Examinations'!D:D, "No Data")</f>
        <v>yes</v>
      </c>
      <c r="F105" s="28" t="str">
        <f t="array" ref="F105">_xlfn.XLOOKUP($A105, 'Medical Examinations'!$A:$A, 'Medical Examinations'!E:E, "No Data")</f>
        <v>No</v>
      </c>
      <c r="G105" s="28" t="str">
        <f t="array" ref="G105">_xlfn.XLOOKUP($A105, 'Medical Examinations'!$A:$A, 'Medical Examinations'!F:F, "No Data")</f>
        <v>No</v>
      </c>
      <c r="H105" s="28">
        <f t="array" ref="H105">_xlfn.XLOOKUP($A105, 'Medical Examinations'!$A:$A, 'Medical Examinations'!G:G, "No Data")</f>
        <v>0</v>
      </c>
      <c r="I105" s="28" t="str">
        <f t="array" ref="I105">_xlfn.XLOOKUP($A105, 'Medical Examinations'!$A:$A, 'Medical Examinations'!H:H, "No Data")</f>
        <v>yes</v>
      </c>
      <c r="J105" s="28" t="str">
        <f t="array" ref="J105">_xlfn.XLOOKUP($A105, 'Medical Examinations'!$A:$A, 'Medical Examinations'!I:I, "No Data")</f>
        <v>Obesity</v>
      </c>
      <c r="K105" s="28" t="str">
        <f t="array" ref="K105">_xlfn.XLOOKUP($A105, 'Hospitalisation Details'!$A:$A, 'Hospitalisation Details'!I:I, "No Data")</f>
        <v>tier - 2</v>
      </c>
      <c r="L105" s="28" t="str">
        <f t="array" ref="L105">_xlfn.XLOOKUP($A105, 'Hospitalisation Details'!$A:$A, 'Hospitalisation Details'!J:J, "No Data")</f>
        <v>R1011</v>
      </c>
      <c r="M105" s="28" t="str">
        <f t="array" ref="M105">_xlfn.XLOOKUP($A105, 'Hospitalisation Details'!$A:$A, 'Hospitalisation Details'!E:E, "No Data")</f>
        <v>21/10/85</v>
      </c>
      <c r="N105" s="28">
        <f t="array" ref="N105">_xlfn.XLOOKUP($A105, 'Hospitalisation Details'!$A:$A, 'Hospitalisation Details'!K:K, "No Data")</f>
        <v>37</v>
      </c>
      <c r="O105" s="33">
        <f t="array" ref="O105">_xlfn.XLOOKUP($A105, 'Hospitalisation Details'!$A:$A, 'Hospitalisation Details'!G:G, "No Data")</f>
        <v>40182.25</v>
      </c>
      <c r="P105" s="28" t="str">
        <f t="array" ref="P105">_xlfn.XLOOKUP($A105, 'Hospitalisation Details'!$A:$A, 'Hospitalisation Details'!H:H, "No Data")</f>
        <v>tier - 1</v>
      </c>
    </row>
    <row r="106">
      <c r="A106" s="25" t="s">
        <v>354</v>
      </c>
      <c r="B106" s="28" t="str">
        <f t="array" ref="B106">_xlfn.XLOOKUP($A106, 'Customer Names'!$A:$A, 'Customer Names'!B:B, "No Data")</f>
        <v>Yitref</v>
      </c>
      <c r="C106" s="28">
        <f t="array" ref="C106">_xlfn.XLOOKUP($A106, 'Medical Examinations'!$A:$A, 'Medical Examinations'!B:B, "No Data")</f>
        <v>35.3</v>
      </c>
      <c r="D106" s="28">
        <f t="array" ref="D106">_xlfn.XLOOKUP($A106, 'Medical Examinations'!$A:$A, 'Medical Examinations'!C:C, "No Data")</f>
        <v>5.82</v>
      </c>
      <c r="E106" s="28" t="str">
        <f t="array" ref="E106">_xlfn.XLOOKUP($A106, 'Medical Examinations'!$A:$A, 'Medical Examinations'!D:D, "No Data")</f>
        <v>yes</v>
      </c>
      <c r="F106" s="28" t="str">
        <f t="array" ref="F106">_xlfn.XLOOKUP($A106, 'Medical Examinations'!$A:$A, 'Medical Examinations'!E:E, "No Data")</f>
        <v>No</v>
      </c>
      <c r="G106" s="28" t="str">
        <f t="array" ref="G106">_xlfn.XLOOKUP($A106, 'Medical Examinations'!$A:$A, 'Medical Examinations'!F:F, "No Data")</f>
        <v>Yes</v>
      </c>
      <c r="H106" s="28">
        <f t="array" ref="H106">_xlfn.XLOOKUP($A106, 'Medical Examinations'!$A:$A, 'Medical Examinations'!G:G, "No Data")</f>
        <v>1</v>
      </c>
      <c r="I106" s="28" t="str">
        <f t="array" ref="I106">_xlfn.XLOOKUP($A106, 'Medical Examinations'!$A:$A, 'Medical Examinations'!H:H, "No Data")</f>
        <v>yes</v>
      </c>
      <c r="J106" s="28" t="str">
        <f t="array" ref="J106">_xlfn.XLOOKUP($A106, 'Medical Examinations'!$A:$A, 'Medical Examinations'!I:I, "No Data")</f>
        <v>Obesity</v>
      </c>
      <c r="K106" s="28" t="str">
        <f t="array" ref="K106">_xlfn.XLOOKUP($A106, 'Hospitalisation Details'!$A:$A, 'Hospitalisation Details'!I:I, "No Data")</f>
        <v>tier - 2</v>
      </c>
      <c r="L106" s="28" t="str">
        <f t="array" ref="L106">_xlfn.XLOOKUP($A106, 'Hospitalisation Details'!$A:$A, 'Hospitalisation Details'!J:J, "No Data")</f>
        <v>R1011</v>
      </c>
      <c r="M106" s="28" t="str">
        <f t="array" ref="M106">_xlfn.XLOOKUP($A106, 'Hospitalisation Details'!$A:$A, 'Hospitalisation Details'!E:E, "No Data")</f>
        <v>14/10/83</v>
      </c>
      <c r="N106" s="28">
        <f t="array" ref="N106">_xlfn.XLOOKUP($A106, 'Hospitalisation Details'!$A:$A, 'Hospitalisation Details'!K:K, "No Data")</f>
        <v>39</v>
      </c>
      <c r="O106" s="33">
        <f t="array" ref="O106">_xlfn.XLOOKUP($A106, 'Hospitalisation Details'!$A:$A, 'Hospitalisation Details'!G:G, "No Data")</f>
        <v>40103.89</v>
      </c>
      <c r="P106" s="28" t="str">
        <f t="array" ref="P106">_xlfn.XLOOKUP($A106, 'Hospitalisation Details'!$A:$A, 'Hospitalisation Details'!H:H, "No Data")</f>
        <v>tier - 1</v>
      </c>
    </row>
    <row r="107">
      <c r="A107" s="25" t="s">
        <v>357</v>
      </c>
      <c r="B107" s="28" t="str">
        <f t="array" ref="B107">_xlfn.XLOOKUP($A107, 'Customer Names'!$A:$A, 'Customer Names'!B:B, "No Data")</f>
        <v>Loudon-Brown</v>
      </c>
      <c r="C107" s="28">
        <f t="array" ref="C107">_xlfn.XLOOKUP($A107, 'Medical Examinations'!$A:$A, 'Medical Examinations'!B:B, "No Data")</f>
        <v>43.83</v>
      </c>
      <c r="D107" s="28">
        <f t="array" ref="D107">_xlfn.XLOOKUP($A107, 'Medical Examinations'!$A:$A, 'Medical Examinations'!C:C, "No Data")</f>
        <v>6.03</v>
      </c>
      <c r="E107" s="28" t="str">
        <f t="array" ref="E107">_xlfn.XLOOKUP($A107, 'Medical Examinations'!$A:$A, 'Medical Examinations'!D:D, "No Data")</f>
        <v>yes</v>
      </c>
      <c r="F107" s="28" t="str">
        <f t="array" ref="F107">_xlfn.XLOOKUP($A107, 'Medical Examinations'!$A:$A, 'Medical Examinations'!E:E, "No Data")</f>
        <v>No</v>
      </c>
      <c r="G107" s="28" t="str">
        <f t="array" ref="G107">_xlfn.XLOOKUP($A107, 'Medical Examinations'!$A:$A, 'Medical Examinations'!F:F, "No Data")</f>
        <v>No</v>
      </c>
      <c r="H107" s="28">
        <f t="array" ref="H107">_xlfn.XLOOKUP($A107, 'Medical Examinations'!$A:$A, 'Medical Examinations'!G:G, "No Data")</f>
        <v>2</v>
      </c>
      <c r="I107" s="28" t="str">
        <f t="array" ref="I107">_xlfn.XLOOKUP($A107, 'Medical Examinations'!$A:$A, 'Medical Examinations'!H:H, "No Data")</f>
        <v>yes</v>
      </c>
      <c r="J107" s="28" t="str">
        <f t="array" ref="J107">_xlfn.XLOOKUP($A107, 'Medical Examinations'!$A:$A, 'Medical Examinations'!I:I, "No Data")</f>
        <v>Obesity</v>
      </c>
      <c r="K107" s="28" t="str">
        <f t="array" ref="K107">_xlfn.XLOOKUP($A107, 'Hospitalisation Details'!$A:$A, 'Hospitalisation Details'!I:I, "No Data")</f>
        <v>tier - 3</v>
      </c>
      <c r="L107" s="28" t="str">
        <f t="array" ref="L107">_xlfn.XLOOKUP($A107, 'Hospitalisation Details'!$A:$A, 'Hospitalisation Details'!J:J, "No Data")</f>
        <v>R1011</v>
      </c>
      <c r="M107" s="28" t="str">
        <f t="array" ref="M107">_xlfn.XLOOKUP($A107, 'Hospitalisation Details'!$A:$A, 'Hospitalisation Details'!E:E, "No Data")</f>
        <v>12/08/66</v>
      </c>
      <c r="N107" s="28">
        <f t="array" ref="N107">_xlfn.XLOOKUP($A107, 'Hospitalisation Details'!$A:$A, 'Hospitalisation Details'!K:K, "No Data")</f>
        <v>56</v>
      </c>
      <c r="O107" s="33">
        <f t="array" ref="O107">_xlfn.XLOOKUP($A107, 'Hospitalisation Details'!$A:$A, 'Hospitalisation Details'!G:G, "No Data")</f>
        <v>40069.44</v>
      </c>
      <c r="P107" s="28" t="str">
        <f t="array" ref="P107">_xlfn.XLOOKUP($A107, 'Hospitalisation Details'!$A:$A, 'Hospitalisation Details'!H:H, "No Data")</f>
        <v>tier - 1</v>
      </c>
    </row>
    <row r="108">
      <c r="A108" s="25" t="s">
        <v>360</v>
      </c>
      <c r="B108" s="28" t="str">
        <f t="array" ref="B108">_xlfn.XLOOKUP($A108, 'Customer Names'!$A:$A, 'Customer Names'!B:B, "No Data")</f>
        <v>Sugathadasa</v>
      </c>
      <c r="C108" s="28">
        <f t="array" ref="C108">_xlfn.XLOOKUP($A108, 'Medical Examinations'!$A:$A, 'Medical Examinations'!B:B, "No Data")</f>
        <v>50.07</v>
      </c>
      <c r="D108" s="28">
        <f t="array" ref="D108">_xlfn.XLOOKUP($A108, 'Medical Examinations'!$A:$A, 'Medical Examinations'!C:C, "No Data")</f>
        <v>9.27</v>
      </c>
      <c r="E108" s="28" t="str">
        <f t="array" ref="E108">_xlfn.XLOOKUP($A108, 'Medical Examinations'!$A:$A, 'Medical Examinations'!D:D, "No Data")</f>
        <v>No</v>
      </c>
      <c r="F108" s="28" t="str">
        <f t="array" ref="F108">_xlfn.XLOOKUP($A108, 'Medical Examinations'!$A:$A, 'Medical Examinations'!E:E, "No Data")</f>
        <v>No</v>
      </c>
      <c r="G108" s="28" t="str">
        <f t="array" ref="G108">_xlfn.XLOOKUP($A108, 'Medical Examinations'!$A:$A, 'Medical Examinations'!F:F, "No Data")</f>
        <v>No</v>
      </c>
      <c r="H108" s="28">
        <f t="array" ref="H108">_xlfn.XLOOKUP($A108, 'Medical Examinations'!$A:$A, 'Medical Examinations'!G:G, "No Data")</f>
        <v>0</v>
      </c>
      <c r="I108" s="28" t="str">
        <f t="array" ref="I108">_xlfn.XLOOKUP($A108, 'Medical Examinations'!$A:$A, 'Medical Examinations'!H:H, "No Data")</f>
        <v>yes</v>
      </c>
      <c r="J108" s="28" t="str">
        <f t="array" ref="J108">_xlfn.XLOOKUP($A108, 'Medical Examinations'!$A:$A, 'Medical Examinations'!I:I, "No Data")</f>
        <v>Obesity</v>
      </c>
      <c r="K108" s="28" t="str">
        <f t="array" ref="K108">_xlfn.XLOOKUP($A108, 'Hospitalisation Details'!$A:$A, 'Hospitalisation Details'!I:I, "No Data")</f>
        <v>tier - 3</v>
      </c>
      <c r="L108" s="28" t="str">
        <f t="array" ref="L108">_xlfn.XLOOKUP($A108, 'Hospitalisation Details'!$A:$A, 'Hospitalisation Details'!J:J, "No Data")</f>
        <v>R1011</v>
      </c>
      <c r="M108" s="28" t="str">
        <f t="array" ref="M108">_xlfn.XLOOKUP($A108, 'Hospitalisation Details'!$A:$A, 'Hospitalisation Details'!E:E, "No Data")</f>
        <v>20/12/78</v>
      </c>
      <c r="N108" s="28">
        <f t="array" ref="N108">_xlfn.XLOOKUP($A108, 'Hospitalisation Details'!$A:$A, 'Hospitalisation Details'!K:K, "No Data")</f>
        <v>44</v>
      </c>
      <c r="O108" s="33">
        <f t="array" ref="O108">_xlfn.XLOOKUP($A108, 'Hospitalisation Details'!$A:$A, 'Hospitalisation Details'!G:G, "No Data")</f>
        <v>40054.73</v>
      </c>
      <c r="P108" s="28" t="str">
        <f t="array" ref="P108">_xlfn.XLOOKUP($A108, 'Hospitalisation Details'!$A:$A, 'Hospitalisation Details'!H:H, "No Data")</f>
        <v>tier - 1</v>
      </c>
    </row>
    <row r="109">
      <c r="A109" s="25" t="s">
        <v>363</v>
      </c>
      <c r="B109" s="28" t="str">
        <f t="array" ref="B109">_xlfn.XLOOKUP($A109, 'Customer Names'!$A:$A, 'Customer Names'!B:B, "No Data")</f>
        <v>Ganley</v>
      </c>
      <c r="C109" s="28">
        <f t="array" ref="C109">_xlfn.XLOOKUP($A109, 'Medical Examinations'!$A:$A, 'Medical Examinations'!B:B, "No Data")</f>
        <v>32.775</v>
      </c>
      <c r="D109" s="28">
        <f t="array" ref="D109">_xlfn.XLOOKUP($A109, 'Medical Examinations'!$A:$A, 'Medical Examinations'!C:C, "No Data")</f>
        <v>5.53</v>
      </c>
      <c r="E109" s="28" t="str">
        <f t="array" ref="E109">_xlfn.XLOOKUP($A109, 'Medical Examinations'!$A:$A, 'Medical Examinations'!D:D, "No Data")</f>
        <v>No</v>
      </c>
      <c r="F109" s="28" t="str">
        <f t="array" ref="F109">_xlfn.XLOOKUP($A109, 'Medical Examinations'!$A:$A, 'Medical Examinations'!E:E, "No Data")</f>
        <v>No</v>
      </c>
      <c r="G109" s="28" t="str">
        <f t="array" ref="G109">_xlfn.XLOOKUP($A109, 'Medical Examinations'!$A:$A, 'Medical Examinations'!F:F, "No Data")</f>
        <v>No</v>
      </c>
      <c r="H109" s="28">
        <f t="array" ref="H109">_xlfn.XLOOKUP($A109, 'Medical Examinations'!$A:$A, 'Medical Examinations'!G:G, "No Data")</f>
        <v>0</v>
      </c>
      <c r="I109" s="28" t="str">
        <f t="array" ref="I109">_xlfn.XLOOKUP($A109, 'Medical Examinations'!$A:$A, 'Medical Examinations'!H:H, "No Data")</f>
        <v>yes</v>
      </c>
      <c r="J109" s="28" t="str">
        <f t="array" ref="J109">_xlfn.XLOOKUP($A109, 'Medical Examinations'!$A:$A, 'Medical Examinations'!I:I, "No Data")</f>
        <v>Obesity</v>
      </c>
      <c r="K109" s="28" t="str">
        <f t="array" ref="K109">_xlfn.XLOOKUP($A109, 'Hospitalisation Details'!$A:$A, 'Hospitalisation Details'!I:I, "No Data")</f>
        <v>tier - 1</v>
      </c>
      <c r="L109" s="28" t="str">
        <f t="array" ref="L109">_xlfn.XLOOKUP($A109, 'Hospitalisation Details'!$A:$A, 'Hospitalisation Details'!J:J, "No Data")</f>
        <v>R1012</v>
      </c>
      <c r="M109" s="28" t="str">
        <f t="array" ref="M109">_xlfn.XLOOKUP($A109, 'Hospitalisation Details'!$A:$A, 'Hospitalisation Details'!E:E, "No Data")</f>
        <v>25/12/82</v>
      </c>
      <c r="N109" s="28">
        <f t="array" ref="N109">_xlfn.XLOOKUP($A109, 'Hospitalisation Details'!$A:$A, 'Hospitalisation Details'!K:K, "No Data")</f>
        <v>40</v>
      </c>
      <c r="O109" s="33">
        <f t="array" ref="O109">_xlfn.XLOOKUP($A109, 'Hospitalisation Details'!$A:$A, 'Hospitalisation Details'!G:G, "No Data")</f>
        <v>40003.33</v>
      </c>
      <c r="P109" s="28" t="str">
        <f t="array" ref="P109">_xlfn.XLOOKUP($A109, 'Hospitalisation Details'!$A:$A, 'Hospitalisation Details'!H:H, "No Data")</f>
        <v>tier - 1</v>
      </c>
    </row>
    <row r="110">
      <c r="A110" s="25" t="s">
        <v>367</v>
      </c>
      <c r="B110" s="28" t="str">
        <f t="array" ref="B110">_xlfn.XLOOKUP($A110, 'Customer Names'!$A:$A, 'Customer Names'!B:B, "No Data")</f>
        <v>Potter</v>
      </c>
      <c r="C110" s="28">
        <f t="array" ref="C110">_xlfn.XLOOKUP($A110, 'Medical Examinations'!$A:$A, 'Medical Examinations'!B:B, "No Data")</f>
        <v>34.105</v>
      </c>
      <c r="D110" s="28">
        <f t="array" ref="D110">_xlfn.XLOOKUP($A110, 'Medical Examinations'!$A:$A, 'Medical Examinations'!C:C, "No Data")</f>
        <v>5.07</v>
      </c>
      <c r="E110" s="28" t="str">
        <f t="array" ref="E110">_xlfn.XLOOKUP($A110, 'Medical Examinations'!$A:$A, 'Medical Examinations'!D:D, "No Data")</f>
        <v>No</v>
      </c>
      <c r="F110" s="28" t="str">
        <f t="array" ref="F110">_xlfn.XLOOKUP($A110, 'Medical Examinations'!$A:$A, 'Medical Examinations'!E:E, "No Data")</f>
        <v>No</v>
      </c>
      <c r="G110" s="28" t="str">
        <f t="array" ref="G110">_xlfn.XLOOKUP($A110, 'Medical Examinations'!$A:$A, 'Medical Examinations'!F:F, "No Data")</f>
        <v>No</v>
      </c>
      <c r="H110" s="28">
        <f t="array" ref="H110">_xlfn.XLOOKUP($A110, 'Medical Examinations'!$A:$A, 'Medical Examinations'!G:G, "No Data")</f>
        <v>1</v>
      </c>
      <c r="I110" s="28" t="str">
        <f t="array" ref="I110">_xlfn.XLOOKUP($A110, 'Medical Examinations'!$A:$A, 'Medical Examinations'!H:H, "No Data")</f>
        <v>yes</v>
      </c>
      <c r="J110" s="28" t="str">
        <f t="array" ref="J110">_xlfn.XLOOKUP($A110, 'Medical Examinations'!$A:$A, 'Medical Examinations'!I:I, "No Data")</f>
        <v>Obesity</v>
      </c>
      <c r="K110" s="28" t="str">
        <f t="array" ref="K110">_xlfn.XLOOKUP($A110, 'Hospitalisation Details'!$A:$A, 'Hospitalisation Details'!I:I, "No Data")</f>
        <v>tier - 3</v>
      </c>
      <c r="L110" s="28" t="str">
        <f t="array" ref="L110">_xlfn.XLOOKUP($A110, 'Hospitalisation Details'!$A:$A, 'Hospitalisation Details'!J:J, "No Data")</f>
        <v>R1012</v>
      </c>
      <c r="M110" s="28" t="str">
        <f t="array" ref="M110">_xlfn.XLOOKUP($A110, 'Hospitalisation Details'!$A:$A, 'Hospitalisation Details'!E:E, "No Data")</f>
        <v>08/08/87</v>
      </c>
      <c r="N110" s="28">
        <f t="array" ref="N110">_xlfn.XLOOKUP($A110, 'Hospitalisation Details'!$A:$A, 'Hospitalisation Details'!K:K, "No Data")</f>
        <v>35</v>
      </c>
      <c r="O110" s="33">
        <f t="array" ref="O110">_xlfn.XLOOKUP($A110, 'Hospitalisation Details'!$A:$A, 'Hospitalisation Details'!G:G, "No Data")</f>
        <v>39983.43</v>
      </c>
      <c r="P110" s="28" t="str">
        <f t="array" ref="P110">_xlfn.XLOOKUP($A110, 'Hospitalisation Details'!$A:$A, 'Hospitalisation Details'!H:H, "No Data")</f>
        <v>tier - 2</v>
      </c>
    </row>
    <row r="111">
      <c r="A111" s="25" t="s">
        <v>370</v>
      </c>
      <c r="B111" s="28" t="str">
        <f t="array" ref="B111">_xlfn.XLOOKUP($A111, 'Customer Names'!$A:$A, 'Customer Names'!B:B, "No Data")</f>
        <v>Rasmussen</v>
      </c>
      <c r="C111" s="28">
        <f t="array" ref="C111">_xlfn.XLOOKUP($A111, 'Medical Examinations'!$A:$A, 'Medical Examinations'!B:B, "No Data")</f>
        <v>48.93</v>
      </c>
      <c r="D111" s="28">
        <f t="array" ref="D111">_xlfn.XLOOKUP($A111, 'Medical Examinations'!$A:$A, 'Medical Examinations'!C:C, "No Data")</f>
        <v>11.17</v>
      </c>
      <c r="E111" s="28" t="str">
        <f t="array" ref="E111">_xlfn.XLOOKUP($A111, 'Medical Examinations'!$A:$A, 'Medical Examinations'!D:D, "No Data")</f>
        <v>yes</v>
      </c>
      <c r="F111" s="28" t="str">
        <f t="array" ref="F111">_xlfn.XLOOKUP($A111, 'Medical Examinations'!$A:$A, 'Medical Examinations'!E:E, "No Data")</f>
        <v>No</v>
      </c>
      <c r="G111" s="28" t="str">
        <f t="array" ref="G111">_xlfn.XLOOKUP($A111, 'Medical Examinations'!$A:$A, 'Medical Examinations'!F:F, "No Data")</f>
        <v>No</v>
      </c>
      <c r="H111" s="28">
        <f t="array" ref="H111">_xlfn.XLOOKUP($A111, 'Medical Examinations'!$A:$A, 'Medical Examinations'!G:G, "No Data")</f>
        <v>1</v>
      </c>
      <c r="I111" s="28" t="str">
        <f t="array" ref="I111">_xlfn.XLOOKUP($A111, 'Medical Examinations'!$A:$A, 'Medical Examinations'!H:H, "No Data")</f>
        <v>yes</v>
      </c>
      <c r="J111" s="28" t="str">
        <f t="array" ref="J111">_xlfn.XLOOKUP($A111, 'Medical Examinations'!$A:$A, 'Medical Examinations'!I:I, "No Data")</f>
        <v>Obesity</v>
      </c>
      <c r="K111" s="28" t="str">
        <f t="array" ref="K111">_xlfn.XLOOKUP($A111, 'Hospitalisation Details'!$A:$A, 'Hospitalisation Details'!I:I, "No Data")</f>
        <v>tier - 2</v>
      </c>
      <c r="L111" s="28" t="str">
        <f t="array" ref="L111">_xlfn.XLOOKUP($A111, 'Hospitalisation Details'!$A:$A, 'Hospitalisation Details'!J:J, "No Data")</f>
        <v>R1011</v>
      </c>
      <c r="M111" s="28" t="str">
        <f t="array" ref="M111">_xlfn.XLOOKUP($A111, 'Hospitalisation Details'!$A:$A, 'Hospitalisation Details'!E:E, "No Data")</f>
        <v>02/12/75</v>
      </c>
      <c r="N111" s="28">
        <f t="array" ref="N111">_xlfn.XLOOKUP($A111, 'Hospitalisation Details'!$A:$A, 'Hospitalisation Details'!K:K, "No Data")</f>
        <v>47</v>
      </c>
      <c r="O111" s="33">
        <f t="array" ref="O111">_xlfn.XLOOKUP($A111, 'Hospitalisation Details'!$A:$A, 'Hospitalisation Details'!G:G, "No Data")</f>
        <v>39963.12</v>
      </c>
      <c r="P111" s="28" t="str">
        <f t="array" ref="P111">_xlfn.XLOOKUP($A111, 'Hospitalisation Details'!$A:$A, 'Hospitalisation Details'!H:H, "No Data")</f>
        <v>tier - 2</v>
      </c>
    </row>
    <row r="112">
      <c r="A112" s="25" t="s">
        <v>372</v>
      </c>
      <c r="B112" s="28" t="str">
        <f t="array" ref="B112">_xlfn.XLOOKUP($A112, 'Customer Names'!$A:$A, 'Customer Names'!B:B, "No Data")</f>
        <v>Robinson</v>
      </c>
      <c r="C112" s="28">
        <f t="array" ref="C112">_xlfn.XLOOKUP($A112, 'Medical Examinations'!$A:$A, 'Medical Examinations'!B:B, "No Data")</f>
        <v>37.07</v>
      </c>
      <c r="D112" s="28">
        <f t="array" ref="D112">_xlfn.XLOOKUP($A112, 'Medical Examinations'!$A:$A, 'Medical Examinations'!C:C, "No Data")</f>
        <v>6.14</v>
      </c>
      <c r="E112" s="28" t="str">
        <f t="array" ref="E112">_xlfn.XLOOKUP($A112, 'Medical Examinations'!$A:$A, 'Medical Examinations'!D:D, "No Data")</f>
        <v>yes</v>
      </c>
      <c r="F112" s="28" t="str">
        <f t="array" ref="F112">_xlfn.XLOOKUP($A112, 'Medical Examinations'!$A:$A, 'Medical Examinations'!E:E, "No Data")</f>
        <v>No</v>
      </c>
      <c r="G112" s="28" t="str">
        <f t="array" ref="G112">_xlfn.XLOOKUP($A112, 'Medical Examinations'!$A:$A, 'Medical Examinations'!F:F, "No Data")</f>
        <v>No</v>
      </c>
      <c r="H112" s="28">
        <f t="array" ref="H112">_xlfn.XLOOKUP($A112, 'Medical Examinations'!$A:$A, 'Medical Examinations'!G:G, "No Data")</f>
        <v>0</v>
      </c>
      <c r="I112" s="28" t="str">
        <f t="array" ref="I112">_xlfn.XLOOKUP($A112, 'Medical Examinations'!$A:$A, 'Medical Examinations'!H:H, "No Data")</f>
        <v>yes</v>
      </c>
      <c r="J112" s="28" t="str">
        <f t="array" ref="J112">_xlfn.XLOOKUP($A112, 'Medical Examinations'!$A:$A, 'Medical Examinations'!I:I, "No Data")</f>
        <v>Obesity</v>
      </c>
      <c r="K112" s="28" t="str">
        <f t="array" ref="K112">_xlfn.XLOOKUP($A112, 'Hospitalisation Details'!$A:$A, 'Hospitalisation Details'!I:I, "No Data")</f>
        <v>tier - 2</v>
      </c>
      <c r="L112" s="28" t="str">
        <f t="array" ref="L112">_xlfn.XLOOKUP($A112, 'Hospitalisation Details'!$A:$A, 'Hospitalisation Details'!J:J, "No Data")</f>
        <v>R1013</v>
      </c>
      <c r="M112" s="28" t="str">
        <f t="array" ref="M112">_xlfn.XLOOKUP($A112, 'Hospitalisation Details'!$A:$A, 'Hospitalisation Details'!E:E, "No Data")</f>
        <v>22/08/85</v>
      </c>
      <c r="N112" s="28">
        <f t="array" ref="N112">_xlfn.XLOOKUP($A112, 'Hospitalisation Details'!$A:$A, 'Hospitalisation Details'!K:K, "No Data")</f>
        <v>37</v>
      </c>
      <c r="O112" s="33">
        <f t="array" ref="O112">_xlfn.XLOOKUP($A112, 'Hospitalisation Details'!$A:$A, 'Hospitalisation Details'!G:G, "No Data")</f>
        <v>39871.7</v>
      </c>
      <c r="P112" s="28" t="str">
        <f t="array" ref="P112">_xlfn.XLOOKUP($A112, 'Hospitalisation Details'!$A:$A, 'Hospitalisation Details'!H:H, "No Data")</f>
        <v>tier - 1</v>
      </c>
    </row>
    <row r="113">
      <c r="A113" s="25" t="s">
        <v>375</v>
      </c>
      <c r="B113" s="28" t="str">
        <f t="array" ref="B113">_xlfn.XLOOKUP($A113, 'Customer Names'!$A:$A, 'Customer Names'!B:B, "No Data")</f>
        <v>Antonopoulos</v>
      </c>
      <c r="C113" s="28">
        <f t="array" ref="C113">_xlfn.XLOOKUP($A113, 'Medical Examinations'!$A:$A, 'Medical Examinations'!B:B, "No Data")</f>
        <v>51.51</v>
      </c>
      <c r="D113" s="28">
        <f t="array" ref="D113">_xlfn.XLOOKUP($A113, 'Medical Examinations'!$A:$A, 'Medical Examinations'!C:C, "No Data")</f>
        <v>6.26</v>
      </c>
      <c r="E113" s="28" t="str">
        <f t="array" ref="E113">_xlfn.XLOOKUP($A113, 'Medical Examinations'!$A:$A, 'Medical Examinations'!D:D, "No Data")</f>
        <v>yes</v>
      </c>
      <c r="F113" s="28" t="str">
        <f t="array" ref="F113">_xlfn.XLOOKUP($A113, 'Medical Examinations'!$A:$A, 'Medical Examinations'!E:E, "No Data")</f>
        <v>No</v>
      </c>
      <c r="G113" s="28" t="str">
        <f t="array" ref="G113">_xlfn.XLOOKUP($A113, 'Medical Examinations'!$A:$A, 'Medical Examinations'!F:F, "No Data")</f>
        <v>Yes</v>
      </c>
      <c r="H113" s="28">
        <f t="array" ref="H113">_xlfn.XLOOKUP($A113, 'Medical Examinations'!$A:$A, 'Medical Examinations'!G:G, "No Data")</f>
        <v>1</v>
      </c>
      <c r="I113" s="28" t="str">
        <f t="array" ref="I113">_xlfn.XLOOKUP($A113, 'Medical Examinations'!$A:$A, 'Medical Examinations'!H:H, "No Data")</f>
        <v>yes</v>
      </c>
      <c r="J113" s="28" t="str">
        <f t="array" ref="J113">_xlfn.XLOOKUP($A113, 'Medical Examinations'!$A:$A, 'Medical Examinations'!I:I, "No Data")</f>
        <v>Obesity</v>
      </c>
      <c r="K113" s="28" t="str">
        <f t="array" ref="K113">_xlfn.XLOOKUP($A113, 'Hospitalisation Details'!$A:$A, 'Hospitalisation Details'!I:I, "No Data")</f>
        <v>tier - 2</v>
      </c>
      <c r="L113" s="28" t="str">
        <f t="array" ref="L113">_xlfn.XLOOKUP($A113, 'Hospitalisation Details'!$A:$A, 'Hospitalisation Details'!J:J, "No Data")</f>
        <v>R1011</v>
      </c>
      <c r="M113" s="28" t="str">
        <f t="array" ref="M113">_xlfn.XLOOKUP($A113, 'Hospitalisation Details'!$A:$A, 'Hospitalisation Details'!E:E, "No Data")</f>
        <v>01/06/83</v>
      </c>
      <c r="N113" s="28">
        <f t="array" ref="N113">_xlfn.XLOOKUP($A113, 'Hospitalisation Details'!$A:$A, 'Hospitalisation Details'!K:K, "No Data")</f>
        <v>40</v>
      </c>
      <c r="O113" s="33">
        <f t="array" ref="O113">_xlfn.XLOOKUP($A113, 'Hospitalisation Details'!$A:$A, 'Hospitalisation Details'!G:G, "No Data")</f>
        <v>39865.7</v>
      </c>
      <c r="P113" s="28" t="str">
        <f t="array" ref="P113">_xlfn.XLOOKUP($A113, 'Hospitalisation Details'!$A:$A, 'Hospitalisation Details'!H:H, "No Data")</f>
        <v>tier - 2</v>
      </c>
    </row>
    <row r="114">
      <c r="A114" s="25" t="s">
        <v>379</v>
      </c>
      <c r="B114" s="28" t="str">
        <f t="array" ref="B114">_xlfn.XLOOKUP($A114, 'Customer Names'!$A:$A, 'Customer Names'!B:B, "No Data")</f>
        <v>Groner</v>
      </c>
      <c r="C114" s="28">
        <f t="array" ref="C114">_xlfn.XLOOKUP($A114, 'Medical Examinations'!$A:$A, 'Medical Examinations'!B:B, "No Data")</f>
        <v>34.8</v>
      </c>
      <c r="D114" s="28">
        <f t="array" ref="D114">_xlfn.XLOOKUP($A114, 'Medical Examinations'!$A:$A, 'Medical Examinations'!C:C, "No Data")</f>
        <v>4.72</v>
      </c>
      <c r="E114" s="28" t="str">
        <f t="array" ref="E114">_xlfn.XLOOKUP($A114, 'Medical Examinations'!$A:$A, 'Medical Examinations'!D:D, "No Data")</f>
        <v>yes</v>
      </c>
      <c r="F114" s="28" t="str">
        <f t="array" ref="F114">_xlfn.XLOOKUP($A114, 'Medical Examinations'!$A:$A, 'Medical Examinations'!E:E, "No Data")</f>
        <v>No</v>
      </c>
      <c r="G114" s="28" t="str">
        <f t="array" ref="G114">_xlfn.XLOOKUP($A114, 'Medical Examinations'!$A:$A, 'Medical Examinations'!F:F, "No Data")</f>
        <v>No</v>
      </c>
      <c r="H114" s="28">
        <f t="array" ref="H114">_xlfn.XLOOKUP($A114, 'Medical Examinations'!$A:$A, 'Medical Examinations'!G:G, "No Data")</f>
        <v>0</v>
      </c>
      <c r="I114" s="28" t="str">
        <f t="array" ref="I114">_xlfn.XLOOKUP($A114, 'Medical Examinations'!$A:$A, 'Medical Examinations'!H:H, "No Data")</f>
        <v>yes</v>
      </c>
      <c r="J114" s="28" t="str">
        <f t="array" ref="J114">_xlfn.XLOOKUP($A114, 'Medical Examinations'!$A:$A, 'Medical Examinations'!I:I, "No Data")</f>
        <v>Obesity</v>
      </c>
      <c r="K114" s="28" t="str">
        <f t="array" ref="K114">_xlfn.XLOOKUP($A114, 'Hospitalisation Details'!$A:$A, 'Hospitalisation Details'!I:I, "No Data")</f>
        <v>tier - 1</v>
      </c>
      <c r="L114" s="28" t="str">
        <f t="array" ref="L114">_xlfn.XLOOKUP($A114, 'Hospitalisation Details'!$A:$A, 'Hospitalisation Details'!J:J, "No Data")</f>
        <v>R1011</v>
      </c>
      <c r="M114" s="28" t="str">
        <f t="array" ref="M114">_xlfn.XLOOKUP($A114, 'Hospitalisation Details'!$A:$A, 'Hospitalisation Details'!E:E, "No Data")</f>
        <v>17/07/85</v>
      </c>
      <c r="N114" s="28">
        <f t="array" ref="N114">_xlfn.XLOOKUP($A114, 'Hospitalisation Details'!$A:$A, 'Hospitalisation Details'!K:K, "No Data")</f>
        <v>37</v>
      </c>
      <c r="O114" s="33">
        <f t="array" ref="O114">_xlfn.XLOOKUP($A114, 'Hospitalisation Details'!$A:$A, 'Hospitalisation Details'!G:G, "No Data")</f>
        <v>39836.52</v>
      </c>
      <c r="P114" s="28" t="str">
        <f t="array" ref="P114">_xlfn.XLOOKUP($A114, 'Hospitalisation Details'!$A:$A, 'Hospitalisation Details'!H:H, "No Data")</f>
        <v>tier - 2</v>
      </c>
    </row>
    <row r="115">
      <c r="A115" s="25" t="s">
        <v>382</v>
      </c>
      <c r="B115" s="28" t="str">
        <f t="array" ref="B115">_xlfn.XLOOKUP($A115, 'Customer Names'!$A:$A, 'Customer Names'!B:B, "No Data")</f>
        <v>Zywicki</v>
      </c>
      <c r="C115" s="28">
        <f t="array" ref="C115">_xlfn.XLOOKUP($A115, 'Medical Examinations'!$A:$A, 'Medical Examinations'!B:B, "No Data")</f>
        <v>36.67</v>
      </c>
      <c r="D115" s="28">
        <f t="array" ref="D115">_xlfn.XLOOKUP($A115, 'Medical Examinations'!$A:$A, 'Medical Examinations'!C:C, "No Data")</f>
        <v>5.18</v>
      </c>
      <c r="E115" s="28" t="str">
        <f t="array" ref="E115">_xlfn.XLOOKUP($A115, 'Medical Examinations'!$A:$A, 'Medical Examinations'!D:D, "No Data")</f>
        <v>No</v>
      </c>
      <c r="F115" s="28" t="str">
        <f t="array" ref="F115">_xlfn.XLOOKUP($A115, 'Medical Examinations'!$A:$A, 'Medical Examinations'!E:E, "No Data")</f>
        <v>No</v>
      </c>
      <c r="G115" s="28" t="str">
        <f t="array" ref="G115">_xlfn.XLOOKUP($A115, 'Medical Examinations'!$A:$A, 'Medical Examinations'!F:F, "No Data")</f>
        <v>No</v>
      </c>
      <c r="H115" s="28">
        <f t="array" ref="H115">_xlfn.XLOOKUP($A115, 'Medical Examinations'!$A:$A, 'Medical Examinations'!G:G, "No Data")</f>
        <v>1</v>
      </c>
      <c r="I115" s="28" t="str">
        <f t="array" ref="I115">_xlfn.XLOOKUP($A115, 'Medical Examinations'!$A:$A, 'Medical Examinations'!H:H, "No Data")</f>
        <v>yes</v>
      </c>
      <c r="J115" s="28" t="str">
        <f t="array" ref="J115">_xlfn.XLOOKUP($A115, 'Medical Examinations'!$A:$A, 'Medical Examinations'!I:I, "No Data")</f>
        <v>Obesity</v>
      </c>
      <c r="K115" s="28" t="str">
        <f t="array" ref="K115">_xlfn.XLOOKUP($A115, 'Hospitalisation Details'!$A:$A, 'Hospitalisation Details'!I:I, "No Data")</f>
        <v>tier - 1</v>
      </c>
      <c r="L115" s="28" t="str">
        <f t="array" ref="L115">_xlfn.XLOOKUP($A115, 'Hospitalisation Details'!$A:$A, 'Hospitalisation Details'!J:J, "No Data")</f>
        <v>R1014</v>
      </c>
      <c r="M115" s="28" t="str">
        <f t="array" ref="M115">_xlfn.XLOOKUP($A115, 'Hospitalisation Details'!$A:$A, 'Hospitalisation Details'!E:E, "No Data")</f>
        <v>24/07/87</v>
      </c>
      <c r="N115" s="28">
        <f t="array" ref="N115">_xlfn.XLOOKUP($A115, 'Hospitalisation Details'!$A:$A, 'Hospitalisation Details'!K:K, "No Data")</f>
        <v>35</v>
      </c>
      <c r="O115" s="33">
        <f t="array" ref="O115">_xlfn.XLOOKUP($A115, 'Hospitalisation Details'!$A:$A, 'Hospitalisation Details'!G:G, "No Data")</f>
        <v>39774.28</v>
      </c>
      <c r="P115" s="28" t="str">
        <f t="array" ref="P115">_xlfn.XLOOKUP($A115, 'Hospitalisation Details'!$A:$A, 'Hospitalisation Details'!H:H, "No Data")</f>
        <v>tier - 1</v>
      </c>
    </row>
    <row r="116">
      <c r="A116" s="25" t="s">
        <v>385</v>
      </c>
      <c r="B116" s="28" t="str">
        <f t="array" ref="B116">_xlfn.XLOOKUP($A116, 'Customer Names'!$A:$A, 'Customer Names'!B:B, "No Data")</f>
        <v>Cardinal</v>
      </c>
      <c r="C116" s="28">
        <f t="array" ref="C116">_xlfn.XLOOKUP($A116, 'Medical Examinations'!$A:$A, 'Medical Examinations'!B:B, "No Data")</f>
        <v>30.9</v>
      </c>
      <c r="D116" s="28">
        <f t="array" ref="D116">_xlfn.XLOOKUP($A116, 'Medical Examinations'!$A:$A, 'Medical Examinations'!C:C, "No Data")</f>
        <v>9.4</v>
      </c>
      <c r="E116" s="28" t="str">
        <f t="array" ref="E116">_xlfn.XLOOKUP($A116, 'Medical Examinations'!$A:$A, 'Medical Examinations'!D:D, "No Data")</f>
        <v>No</v>
      </c>
      <c r="F116" s="28" t="str">
        <f t="array" ref="F116">_xlfn.XLOOKUP($A116, 'Medical Examinations'!$A:$A, 'Medical Examinations'!E:E, "No Data")</f>
        <v>No</v>
      </c>
      <c r="G116" s="28" t="str">
        <f t="array" ref="G116">_xlfn.XLOOKUP($A116, 'Medical Examinations'!$A:$A, 'Medical Examinations'!F:F, "No Data")</f>
        <v>No</v>
      </c>
      <c r="H116" s="28">
        <f t="array" ref="H116">_xlfn.XLOOKUP($A116, 'Medical Examinations'!$A:$A, 'Medical Examinations'!G:G, "No Data")</f>
        <v>2</v>
      </c>
      <c r="I116" s="28" t="str">
        <f t="array" ref="I116">_xlfn.XLOOKUP($A116, 'Medical Examinations'!$A:$A, 'Medical Examinations'!H:H, "No Data")</f>
        <v>yes</v>
      </c>
      <c r="J116" s="28" t="str">
        <f t="array" ref="J116">_xlfn.XLOOKUP($A116, 'Medical Examinations'!$A:$A, 'Medical Examinations'!I:I, "No Data")</f>
        <v>Obesity</v>
      </c>
      <c r="K116" s="28" t="str">
        <f t="array" ref="K116">_xlfn.XLOOKUP($A116, 'Hospitalisation Details'!$A:$A, 'Hospitalisation Details'!I:I, "No Data")</f>
        <v>tier - 2</v>
      </c>
      <c r="L116" s="28" t="str">
        <f t="array" ref="L116">_xlfn.XLOOKUP($A116, 'Hospitalisation Details'!$A:$A, 'Hospitalisation Details'!J:J, "No Data")</f>
        <v>R1011</v>
      </c>
      <c r="M116" s="28" t="str">
        <f t="array" ref="M116">_xlfn.XLOOKUP($A116, 'Hospitalisation Details'!$A:$A, 'Hospitalisation Details'!E:E, "No Data")</f>
        <v>17/12/73</v>
      </c>
      <c r="N116" s="28">
        <f t="array" ref="N116">_xlfn.XLOOKUP($A116, 'Hospitalisation Details'!$A:$A, 'Hospitalisation Details'!K:K, "No Data")</f>
        <v>49</v>
      </c>
      <c r="O116" s="33">
        <f t="array" ref="O116">_xlfn.XLOOKUP($A116, 'Hospitalisation Details'!$A:$A, 'Hospitalisation Details'!G:G, "No Data")</f>
        <v>39727.61</v>
      </c>
      <c r="P116" s="28" t="str">
        <f t="array" ref="P116">_xlfn.XLOOKUP($A116, 'Hospitalisation Details'!$A:$A, 'Hospitalisation Details'!H:H, "No Data")</f>
        <v>tier - 1</v>
      </c>
    </row>
    <row r="117">
      <c r="A117" s="25" t="s">
        <v>388</v>
      </c>
      <c r="B117" s="28" t="str">
        <f t="array" ref="B117">_xlfn.XLOOKUP($A117, 'Customer Names'!$A:$A, 'Customer Names'!B:B, "No Data")</f>
        <v>Alleman</v>
      </c>
      <c r="C117" s="28">
        <f t="array" ref="C117">_xlfn.XLOOKUP($A117, 'Medical Examinations'!$A:$A, 'Medical Examinations'!B:B, "No Data")</f>
        <v>30.495</v>
      </c>
      <c r="D117" s="28">
        <f t="array" ref="D117">_xlfn.XLOOKUP($A117, 'Medical Examinations'!$A:$A, 'Medical Examinations'!C:C, "No Data")</f>
        <v>6.29</v>
      </c>
      <c r="E117" s="28" t="str">
        <f t="array" ref="E117">_xlfn.XLOOKUP($A117, 'Medical Examinations'!$A:$A, 'Medical Examinations'!D:D, "No Data")</f>
        <v>No</v>
      </c>
      <c r="F117" s="28" t="str">
        <f t="array" ref="F117">_xlfn.XLOOKUP($A117, 'Medical Examinations'!$A:$A, 'Medical Examinations'!E:E, "No Data")</f>
        <v>No</v>
      </c>
      <c r="G117" s="28" t="str">
        <f t="array" ref="G117">_xlfn.XLOOKUP($A117, 'Medical Examinations'!$A:$A, 'Medical Examinations'!F:F, "No Data")</f>
        <v>No</v>
      </c>
      <c r="H117" s="28">
        <f t="array" ref="H117">_xlfn.XLOOKUP($A117, 'Medical Examinations'!$A:$A, 'Medical Examinations'!G:G, "No Data")</f>
        <v>0</v>
      </c>
      <c r="I117" s="28" t="str">
        <f t="array" ref="I117">_xlfn.XLOOKUP($A117, 'Medical Examinations'!$A:$A, 'Medical Examinations'!H:H, "No Data")</f>
        <v>yes</v>
      </c>
      <c r="J117" s="28" t="str">
        <f t="array" ref="J117">_xlfn.XLOOKUP($A117, 'Medical Examinations'!$A:$A, 'Medical Examinations'!I:I, "No Data")</f>
        <v>Obesity</v>
      </c>
      <c r="K117" s="28" t="str">
        <f t="array" ref="K117">_xlfn.XLOOKUP($A117, 'Hospitalisation Details'!$A:$A, 'Hospitalisation Details'!I:I, "No Data")</f>
        <v>tier - 1</v>
      </c>
      <c r="L117" s="28" t="str">
        <f t="array" ref="L117">_xlfn.XLOOKUP($A117, 'Hospitalisation Details'!$A:$A, 'Hospitalisation Details'!J:J, "No Data")</f>
        <v>R1012</v>
      </c>
      <c r="M117" s="28" t="str">
        <f t="array" ref="M117">_xlfn.XLOOKUP($A117, 'Hospitalisation Details'!$A:$A, 'Hospitalisation Details'!E:E, "No Data")</f>
        <v>12/08/77</v>
      </c>
      <c r="N117" s="28">
        <f t="array" ref="N117">_xlfn.XLOOKUP($A117, 'Hospitalisation Details'!$A:$A, 'Hospitalisation Details'!K:K, "No Data")</f>
        <v>45</v>
      </c>
      <c r="O117" s="33">
        <f t="array" ref="O117">_xlfn.XLOOKUP($A117, 'Hospitalisation Details'!$A:$A, 'Hospitalisation Details'!G:G, "No Data")</f>
        <v>39725.52</v>
      </c>
      <c r="P117" s="28" t="str">
        <f t="array" ref="P117">_xlfn.XLOOKUP($A117, 'Hospitalisation Details'!$A:$A, 'Hospitalisation Details'!H:H, "No Data")</f>
        <v>tier - 2</v>
      </c>
    </row>
    <row r="118">
      <c r="A118" s="25" t="s">
        <v>391</v>
      </c>
      <c r="B118" s="28" t="str">
        <f t="array" ref="B118">_xlfn.XLOOKUP($A118, 'Customer Names'!$A:$A, 'Customer Names'!B:B, "No Data")</f>
        <v>Stroffolino</v>
      </c>
      <c r="C118" s="28">
        <f t="array" ref="C118">_xlfn.XLOOKUP($A118, 'Medical Examinations'!$A:$A, 'Medical Examinations'!B:B, "No Data")</f>
        <v>44.88</v>
      </c>
      <c r="D118" s="28">
        <f t="array" ref="D118">_xlfn.XLOOKUP($A118, 'Medical Examinations'!$A:$A, 'Medical Examinations'!C:C, "No Data")</f>
        <v>6.04</v>
      </c>
      <c r="E118" s="28" t="str">
        <f t="array" ref="E118">_xlfn.XLOOKUP($A118, 'Medical Examinations'!$A:$A, 'Medical Examinations'!D:D, "No Data")</f>
        <v>No</v>
      </c>
      <c r="F118" s="28" t="str">
        <f t="array" ref="F118">_xlfn.XLOOKUP($A118, 'Medical Examinations'!$A:$A, 'Medical Examinations'!E:E, "No Data")</f>
        <v>No</v>
      </c>
      <c r="G118" s="28" t="str">
        <f t="array" ref="G118">_xlfn.XLOOKUP($A118, 'Medical Examinations'!$A:$A, 'Medical Examinations'!F:F, "No Data")</f>
        <v>Yes</v>
      </c>
      <c r="H118" s="28">
        <f t="array" ref="H118">_xlfn.XLOOKUP($A118, 'Medical Examinations'!$A:$A, 'Medical Examinations'!G:G, "No Data")</f>
        <v>1</v>
      </c>
      <c r="I118" s="28" t="str">
        <f t="array" ref="I118">_xlfn.XLOOKUP($A118, 'Medical Examinations'!$A:$A, 'Medical Examinations'!H:H, "No Data")</f>
        <v>yes</v>
      </c>
      <c r="J118" s="28" t="str">
        <f t="array" ref="J118">_xlfn.XLOOKUP($A118, 'Medical Examinations'!$A:$A, 'Medical Examinations'!I:I, "No Data")</f>
        <v>Obesity</v>
      </c>
      <c r="K118" s="28" t="str">
        <f t="array" ref="K118">_xlfn.XLOOKUP($A118, 'Hospitalisation Details'!$A:$A, 'Hospitalisation Details'!I:I, "No Data")</f>
        <v>tier - 1</v>
      </c>
      <c r="L118" s="28" t="str">
        <f t="array" ref="L118">_xlfn.XLOOKUP($A118, 'Hospitalisation Details'!$A:$A, 'Hospitalisation Details'!J:J, "No Data")</f>
        <v>R1013</v>
      </c>
      <c r="M118" s="28" t="str">
        <f t="array" ref="M118">_xlfn.XLOOKUP($A118, 'Hospitalisation Details'!$A:$A, 'Hospitalisation Details'!E:E, "No Data")</f>
        <v>16/07/03</v>
      </c>
      <c r="N118" s="28">
        <f t="array" ref="N118">_xlfn.XLOOKUP($A118, 'Hospitalisation Details'!$A:$A, 'Hospitalisation Details'!K:K, "No Data")</f>
        <v>19</v>
      </c>
      <c r="O118" s="33">
        <f t="array" ref="O118">_xlfn.XLOOKUP($A118, 'Hospitalisation Details'!$A:$A, 'Hospitalisation Details'!G:G, "No Data")</f>
        <v>39722.75</v>
      </c>
      <c r="P118" s="28" t="str">
        <f t="array" ref="P118">_xlfn.XLOOKUP($A118, 'Hospitalisation Details'!$A:$A, 'Hospitalisation Details'!H:H, "No Data")</f>
        <v>tier - 1</v>
      </c>
    </row>
    <row r="119">
      <c r="A119" s="25" t="s">
        <v>394</v>
      </c>
      <c r="B119" s="28" t="str">
        <f t="array" ref="B119">_xlfn.XLOOKUP($A119, 'Customer Names'!$A:$A, 'Customer Names'!B:B, "No Data")</f>
        <v>Clubb</v>
      </c>
      <c r="C119" s="28">
        <f t="array" ref="C119">_xlfn.XLOOKUP($A119, 'Medical Examinations'!$A:$A, 'Medical Examinations'!B:B, "No Data")</f>
        <v>44.32</v>
      </c>
      <c r="D119" s="28">
        <f t="array" ref="D119">_xlfn.XLOOKUP($A119, 'Medical Examinations'!$A:$A, 'Medical Examinations'!C:C, "No Data")</f>
        <v>10.55</v>
      </c>
      <c r="E119" s="28" t="str">
        <f t="array" ref="E119">_xlfn.XLOOKUP($A119, 'Medical Examinations'!$A:$A, 'Medical Examinations'!D:D, "No Data")</f>
        <v>No</v>
      </c>
      <c r="F119" s="28" t="str">
        <f t="array" ref="F119">_xlfn.XLOOKUP($A119, 'Medical Examinations'!$A:$A, 'Medical Examinations'!E:E, "No Data")</f>
        <v>No</v>
      </c>
      <c r="G119" s="28" t="str">
        <f t="array" ref="G119">_xlfn.XLOOKUP($A119, 'Medical Examinations'!$A:$A, 'Medical Examinations'!F:F, "No Data")</f>
        <v>No</v>
      </c>
      <c r="H119" s="28">
        <f t="array" ref="H119">_xlfn.XLOOKUP($A119, 'Medical Examinations'!$A:$A, 'Medical Examinations'!G:G, "No Data")</f>
        <v>0</v>
      </c>
      <c r="I119" s="28" t="str">
        <f t="array" ref="I119">_xlfn.XLOOKUP($A119, 'Medical Examinations'!$A:$A, 'Medical Examinations'!H:H, "No Data")</f>
        <v>yes</v>
      </c>
      <c r="J119" s="28" t="str">
        <f t="array" ref="J119">_xlfn.XLOOKUP($A119, 'Medical Examinations'!$A:$A, 'Medical Examinations'!I:I, "No Data")</f>
        <v>Obesity</v>
      </c>
      <c r="K119" s="28" t="str">
        <f t="array" ref="K119">_xlfn.XLOOKUP($A119, 'Hospitalisation Details'!$A:$A, 'Hospitalisation Details'!I:I, "No Data")</f>
        <v>tier - 2</v>
      </c>
      <c r="L119" s="28" t="str">
        <f t="array" ref="L119">_xlfn.XLOOKUP($A119, 'Hospitalisation Details'!$A:$A, 'Hospitalisation Details'!J:J, "No Data")</f>
        <v>R1011</v>
      </c>
      <c r="M119" s="28" t="str">
        <f t="array" ref="M119">_xlfn.XLOOKUP($A119, 'Hospitalisation Details'!$A:$A, 'Hospitalisation Details'!E:E, "No Data")</f>
        <v>29/09/68</v>
      </c>
      <c r="N119" s="28">
        <f t="array" ref="N119">_xlfn.XLOOKUP($A119, 'Hospitalisation Details'!$A:$A, 'Hospitalisation Details'!K:K, "No Data")</f>
        <v>54</v>
      </c>
      <c r="O119" s="33">
        <f t="array" ref="O119">_xlfn.XLOOKUP($A119, 'Hospitalisation Details'!$A:$A, 'Hospitalisation Details'!G:G, "No Data")</f>
        <v>39721.93</v>
      </c>
      <c r="P119" s="28" t="str">
        <f t="array" ref="P119">_xlfn.XLOOKUP($A119, 'Hospitalisation Details'!$A:$A, 'Hospitalisation Details'!H:H, "No Data")</f>
        <v>tier - 2</v>
      </c>
    </row>
    <row r="120">
      <c r="A120" s="25" t="s">
        <v>396</v>
      </c>
      <c r="B120" s="28" t="str">
        <f t="array" ref="B120">_xlfn.XLOOKUP($A120, 'Customer Names'!$A:$A, 'Customer Names'!B:B, "No Data")</f>
        <v>McGoogan</v>
      </c>
      <c r="C120" s="28">
        <f t="array" ref="C120">_xlfn.XLOOKUP($A120, 'Medical Examinations'!$A:$A, 'Medical Examinations'!B:B, "No Data")</f>
        <v>46.39</v>
      </c>
      <c r="D120" s="28">
        <f t="array" ref="D120">_xlfn.XLOOKUP($A120, 'Medical Examinations'!$A:$A, 'Medical Examinations'!C:C, "No Data")</f>
        <v>5.09</v>
      </c>
      <c r="E120" s="28" t="str">
        <f t="array" ref="E120">_xlfn.XLOOKUP($A120, 'Medical Examinations'!$A:$A, 'Medical Examinations'!D:D, "No Data")</f>
        <v>No</v>
      </c>
      <c r="F120" s="28" t="str">
        <f t="array" ref="F120">_xlfn.XLOOKUP($A120, 'Medical Examinations'!$A:$A, 'Medical Examinations'!E:E, "No Data")</f>
        <v>No</v>
      </c>
      <c r="G120" s="28" t="str">
        <f t="array" ref="G120">_xlfn.XLOOKUP($A120, 'Medical Examinations'!$A:$A, 'Medical Examinations'!F:F, "No Data")</f>
        <v>No</v>
      </c>
      <c r="H120" s="28">
        <f t="array" ref="H120">_xlfn.XLOOKUP($A120, 'Medical Examinations'!$A:$A, 'Medical Examinations'!G:G, "No Data")</f>
        <v>0</v>
      </c>
      <c r="I120" s="28" t="str">
        <f t="array" ref="I120">_xlfn.XLOOKUP($A120, 'Medical Examinations'!$A:$A, 'Medical Examinations'!H:H, "No Data")</f>
        <v>yes</v>
      </c>
      <c r="J120" s="28" t="str">
        <f t="array" ref="J120">_xlfn.XLOOKUP($A120, 'Medical Examinations'!$A:$A, 'Medical Examinations'!I:I, "No Data")</f>
        <v>Obesity</v>
      </c>
      <c r="K120" s="28" t="str">
        <f t="array" ref="K120">_xlfn.XLOOKUP($A120, 'Hospitalisation Details'!$A:$A, 'Hospitalisation Details'!I:I, "No Data")</f>
        <v>tier - 1</v>
      </c>
      <c r="L120" s="28" t="str">
        <f t="array" ref="L120">_xlfn.XLOOKUP($A120, 'Hospitalisation Details'!$A:$A, 'Hospitalisation Details'!J:J, "No Data")</f>
        <v>R1012</v>
      </c>
      <c r="M120" s="28" t="str">
        <f t="array" ref="M120">_xlfn.XLOOKUP($A120, 'Hospitalisation Details'!$A:$A, 'Hospitalisation Details'!E:E, "No Data")</f>
        <v>17/12/77</v>
      </c>
      <c r="N120" s="28">
        <f t="array" ref="N120">_xlfn.XLOOKUP($A120, 'Hospitalisation Details'!$A:$A, 'Hospitalisation Details'!K:K, "No Data")</f>
        <v>45</v>
      </c>
      <c r="O120" s="33">
        <f t="array" ref="O120">_xlfn.XLOOKUP($A120, 'Hospitalisation Details'!$A:$A, 'Hospitalisation Details'!G:G, "No Data")</f>
        <v>39670.44</v>
      </c>
      <c r="P120" s="28" t="str">
        <f t="array" ref="P120">_xlfn.XLOOKUP($A120, 'Hospitalisation Details'!$A:$A, 'Hospitalisation Details'!H:H, "No Data")</f>
        <v>tier - 2</v>
      </c>
    </row>
    <row r="121">
      <c r="A121" s="25" t="s">
        <v>399</v>
      </c>
      <c r="B121" s="28" t="str">
        <f t="array" ref="B121">_xlfn.XLOOKUP($A121, 'Customer Names'!$A:$A, 'Customer Names'!B:B, "No Data")</f>
        <v>Keflezighi</v>
      </c>
      <c r="C121" s="28">
        <f t="array" ref="C121">_xlfn.XLOOKUP($A121, 'Medical Examinations'!$A:$A, 'Medical Examinations'!B:B, "No Data")</f>
        <v>42.13</v>
      </c>
      <c r="D121" s="28">
        <f t="array" ref="D121">_xlfn.XLOOKUP($A121, 'Medical Examinations'!$A:$A, 'Medical Examinations'!C:C, "No Data")</f>
        <v>5.2</v>
      </c>
      <c r="E121" s="28" t="str">
        <f t="array" ref="E121">_xlfn.XLOOKUP($A121, 'Medical Examinations'!$A:$A, 'Medical Examinations'!D:D, "No Data")</f>
        <v>yes</v>
      </c>
      <c r="F121" s="28" t="str">
        <f t="array" ref="F121">_xlfn.XLOOKUP($A121, 'Medical Examinations'!$A:$A, 'Medical Examinations'!E:E, "No Data")</f>
        <v>No</v>
      </c>
      <c r="G121" s="28" t="str">
        <f t="array" ref="G121">_xlfn.XLOOKUP($A121, 'Medical Examinations'!$A:$A, 'Medical Examinations'!F:F, "No Data")</f>
        <v>No</v>
      </c>
      <c r="H121" s="28">
        <f t="array" ref="H121">_xlfn.XLOOKUP($A121, 'Medical Examinations'!$A:$A, 'Medical Examinations'!G:G, "No Data")</f>
        <v>1</v>
      </c>
      <c r="I121" s="28" t="str">
        <f t="array" ref="I121">_xlfn.XLOOKUP($A121, 'Medical Examinations'!$A:$A, 'Medical Examinations'!H:H, "No Data")</f>
        <v>yes</v>
      </c>
      <c r="J121" s="28" t="str">
        <f t="array" ref="J121">_xlfn.XLOOKUP($A121, 'Medical Examinations'!$A:$A, 'Medical Examinations'!I:I, "No Data")</f>
        <v>Obesity</v>
      </c>
      <c r="K121" s="28" t="str">
        <f t="array" ref="K121">_xlfn.XLOOKUP($A121, 'Hospitalisation Details'!$A:$A, 'Hospitalisation Details'!I:I, "No Data")</f>
        <v>tier - 3</v>
      </c>
      <c r="L121" s="28" t="str">
        <f t="array" ref="L121">_xlfn.XLOOKUP($A121, 'Hospitalisation Details'!$A:$A, 'Hospitalisation Details'!J:J, "No Data")</f>
        <v>R1013</v>
      </c>
      <c r="M121" s="28" t="str">
        <f t="array" ref="M121">_xlfn.XLOOKUP($A121, 'Hospitalisation Details'!$A:$A, 'Hospitalisation Details'!E:E, "No Data")</f>
        <v>07/08/95</v>
      </c>
      <c r="N121" s="28">
        <f t="array" ref="N121">_xlfn.XLOOKUP($A121, 'Hospitalisation Details'!$A:$A, 'Hospitalisation Details'!K:K, "No Data")</f>
        <v>27</v>
      </c>
      <c r="O121" s="33">
        <f t="array" ref="O121">_xlfn.XLOOKUP($A121, 'Hospitalisation Details'!$A:$A, 'Hospitalisation Details'!G:G, "No Data")</f>
        <v>39611.76</v>
      </c>
      <c r="P121" s="28" t="str">
        <f t="array" ref="P121">_xlfn.XLOOKUP($A121, 'Hospitalisation Details'!$A:$A, 'Hospitalisation Details'!H:H, "No Data")</f>
        <v>tier - 1</v>
      </c>
    </row>
    <row r="122">
      <c r="A122" s="25" t="s">
        <v>402</v>
      </c>
      <c r="B122" s="28" t="str">
        <f t="array" ref="B122">_xlfn.XLOOKUP($A122, 'Customer Names'!$A:$A, 'Customer Names'!B:B, "No Data")</f>
        <v>Syed</v>
      </c>
      <c r="C122" s="28">
        <f t="array" ref="C122">_xlfn.XLOOKUP($A122, 'Medical Examinations'!$A:$A, 'Medical Examinations'!B:B, "No Data")</f>
        <v>30.78</v>
      </c>
      <c r="D122" s="28">
        <f t="array" ref="D122">_xlfn.XLOOKUP($A122, 'Medical Examinations'!$A:$A, 'Medical Examinations'!C:C, "No Data")</f>
        <v>8.45</v>
      </c>
      <c r="E122" s="28" t="str">
        <f t="array" ref="E122">_xlfn.XLOOKUP($A122, 'Medical Examinations'!$A:$A, 'Medical Examinations'!D:D, "No Data")</f>
        <v>yes</v>
      </c>
      <c r="F122" s="28" t="str">
        <f t="array" ref="F122">_xlfn.XLOOKUP($A122, 'Medical Examinations'!$A:$A, 'Medical Examinations'!E:E, "No Data")</f>
        <v>No</v>
      </c>
      <c r="G122" s="28" t="str">
        <f t="array" ref="G122">_xlfn.XLOOKUP($A122, 'Medical Examinations'!$A:$A, 'Medical Examinations'!F:F, "No Data")</f>
        <v>No</v>
      </c>
      <c r="H122" s="28">
        <f t="array" ref="H122">_xlfn.XLOOKUP($A122, 'Medical Examinations'!$A:$A, 'Medical Examinations'!G:G, "No Data")</f>
        <v>0</v>
      </c>
      <c r="I122" s="28" t="str">
        <f t="array" ref="I122">_xlfn.XLOOKUP($A122, 'Medical Examinations'!$A:$A, 'Medical Examinations'!H:H, "No Data")</f>
        <v>yes</v>
      </c>
      <c r="J122" s="28" t="str">
        <f t="array" ref="J122">_xlfn.XLOOKUP($A122, 'Medical Examinations'!$A:$A, 'Medical Examinations'!I:I, "No Data")</f>
        <v>Obesity</v>
      </c>
      <c r="K122" s="28" t="str">
        <f t="array" ref="K122">_xlfn.XLOOKUP($A122, 'Hospitalisation Details'!$A:$A, 'Hospitalisation Details'!I:I, "No Data")</f>
        <v>tier - 2</v>
      </c>
      <c r="L122" s="28" t="str">
        <f t="array" ref="L122">_xlfn.XLOOKUP($A122, 'Hospitalisation Details'!$A:$A, 'Hospitalisation Details'!J:J, "No Data")</f>
        <v>R1017</v>
      </c>
      <c r="M122" s="28" t="str">
        <f t="array" ref="M122">_xlfn.XLOOKUP($A122, 'Hospitalisation Details'!$A:$A, 'Hospitalisation Details'!E:E, "No Data")</f>
        <v>05/07/81</v>
      </c>
      <c r="N122" s="28">
        <f t="array" ref="N122">_xlfn.XLOOKUP($A122, 'Hospitalisation Details'!$A:$A, 'Hospitalisation Details'!K:K, "No Data")</f>
        <v>41</v>
      </c>
      <c r="O122" s="33">
        <f t="array" ref="O122">_xlfn.XLOOKUP($A122, 'Hospitalisation Details'!$A:$A, 'Hospitalisation Details'!G:G, "No Data")</f>
        <v>39597.41</v>
      </c>
      <c r="P122" s="28" t="str">
        <f t="array" ref="P122">_xlfn.XLOOKUP($A122, 'Hospitalisation Details'!$A:$A, 'Hospitalisation Details'!H:H, "No Data")</f>
        <v>tier - 1</v>
      </c>
    </row>
    <row r="123">
      <c r="A123" s="25" t="s">
        <v>405</v>
      </c>
      <c r="B123" s="28" t="str">
        <f t="array" ref="B123">_xlfn.XLOOKUP($A123, 'Customer Names'!$A:$A, 'Customer Names'!B:B, "No Data")</f>
        <v>Segal</v>
      </c>
      <c r="C123" s="28">
        <f t="array" ref="C123">_xlfn.XLOOKUP($A123, 'Medical Examinations'!$A:$A, 'Medical Examinations'!B:B, "No Data")</f>
        <v>31.35</v>
      </c>
      <c r="D123" s="28">
        <f t="array" ref="D123">_xlfn.XLOOKUP($A123, 'Medical Examinations'!$A:$A, 'Medical Examinations'!C:C, "No Data")</f>
        <v>9.54</v>
      </c>
      <c r="E123" s="28" t="str">
        <f t="array" ref="E123">_xlfn.XLOOKUP($A123, 'Medical Examinations'!$A:$A, 'Medical Examinations'!D:D, "No Data")</f>
        <v>No</v>
      </c>
      <c r="F123" s="28" t="str">
        <f t="array" ref="F123">_xlfn.XLOOKUP($A123, 'Medical Examinations'!$A:$A, 'Medical Examinations'!E:E, "No Data")</f>
        <v>No</v>
      </c>
      <c r="G123" s="28" t="str">
        <f t="array" ref="G123">_xlfn.XLOOKUP($A123, 'Medical Examinations'!$A:$A, 'Medical Examinations'!F:F, "No Data")</f>
        <v>No</v>
      </c>
      <c r="H123" s="28">
        <f t="array" ref="H123">_xlfn.XLOOKUP($A123, 'Medical Examinations'!$A:$A, 'Medical Examinations'!G:G, "No Data")</f>
        <v>0</v>
      </c>
      <c r="I123" s="28" t="str">
        <f t="array" ref="I123">_xlfn.XLOOKUP($A123, 'Medical Examinations'!$A:$A, 'Medical Examinations'!H:H, "No Data")</f>
        <v>yes</v>
      </c>
      <c r="J123" s="28" t="str">
        <f t="array" ref="J123">_xlfn.XLOOKUP($A123, 'Medical Examinations'!$A:$A, 'Medical Examinations'!I:I, "No Data")</f>
        <v>Obesity</v>
      </c>
      <c r="K123" s="28" t="str">
        <f t="array" ref="K123">_xlfn.XLOOKUP($A123, 'Hospitalisation Details'!$A:$A, 'Hospitalisation Details'!I:I, "No Data")</f>
        <v>tier - 2</v>
      </c>
      <c r="L123" s="28" t="str">
        <f t="array" ref="L123">_xlfn.XLOOKUP($A123, 'Hospitalisation Details'!$A:$A, 'Hospitalisation Details'!J:J, "No Data")</f>
        <v>R1015</v>
      </c>
      <c r="M123" s="28" t="str">
        <f t="array" ref="M123">_xlfn.XLOOKUP($A123, 'Hospitalisation Details'!$A:$A, 'Hospitalisation Details'!E:E, "No Data")</f>
        <v>12/07/78</v>
      </c>
      <c r="N123" s="28">
        <f t="array" ref="N123">_xlfn.XLOOKUP($A123, 'Hospitalisation Details'!$A:$A, 'Hospitalisation Details'!K:K, "No Data")</f>
        <v>44</v>
      </c>
      <c r="O123" s="33">
        <f t="array" ref="O123">_xlfn.XLOOKUP($A123, 'Hospitalisation Details'!$A:$A, 'Hospitalisation Details'!G:G, "No Data")</f>
        <v>39556.49</v>
      </c>
      <c r="P123" s="28" t="str">
        <f t="array" ref="P123">_xlfn.XLOOKUP($A123, 'Hospitalisation Details'!$A:$A, 'Hospitalisation Details'!H:H, "No Data")</f>
        <v>tier - 1</v>
      </c>
    </row>
    <row r="124">
      <c r="A124" s="25" t="s">
        <v>408</v>
      </c>
      <c r="B124" s="28" t="str">
        <f t="array" ref="B124">_xlfn.XLOOKUP($A124, 'Customer Names'!$A:$A, 'Customer Names'!B:B, "No Data")</f>
        <v>Defranco</v>
      </c>
      <c r="C124" s="28">
        <f t="array" ref="C124">_xlfn.XLOOKUP($A124, 'Medical Examinations'!$A:$A, 'Medical Examinations'!B:B, "No Data")</f>
        <v>41.46</v>
      </c>
      <c r="D124" s="28">
        <f t="array" ref="D124">_xlfn.XLOOKUP($A124, 'Medical Examinations'!$A:$A, 'Medical Examinations'!C:C, "No Data")</f>
        <v>4.99</v>
      </c>
      <c r="E124" s="28" t="str">
        <f t="array" ref="E124">_xlfn.XLOOKUP($A124, 'Medical Examinations'!$A:$A, 'Medical Examinations'!D:D, "No Data")</f>
        <v>yes</v>
      </c>
      <c r="F124" s="28" t="str">
        <f t="array" ref="F124">_xlfn.XLOOKUP($A124, 'Medical Examinations'!$A:$A, 'Medical Examinations'!E:E, "No Data")</f>
        <v>No</v>
      </c>
      <c r="G124" s="28" t="str">
        <f t="array" ref="G124">_xlfn.XLOOKUP($A124, 'Medical Examinations'!$A:$A, 'Medical Examinations'!F:F, "No Data")</f>
        <v>No</v>
      </c>
      <c r="H124" s="28">
        <f t="array" ref="H124">_xlfn.XLOOKUP($A124, 'Medical Examinations'!$A:$A, 'Medical Examinations'!G:G, "No Data")</f>
        <v>2</v>
      </c>
      <c r="I124" s="28" t="str">
        <f t="array" ref="I124">_xlfn.XLOOKUP($A124, 'Medical Examinations'!$A:$A, 'Medical Examinations'!H:H, "No Data")</f>
        <v>yes</v>
      </c>
      <c r="J124" s="28" t="str">
        <f t="array" ref="J124">_xlfn.XLOOKUP($A124, 'Medical Examinations'!$A:$A, 'Medical Examinations'!I:I, "No Data")</f>
        <v>Obesity</v>
      </c>
      <c r="K124" s="28" t="str">
        <f t="array" ref="K124">_xlfn.XLOOKUP($A124, 'Hospitalisation Details'!$A:$A, 'Hospitalisation Details'!I:I, "No Data")</f>
        <v>tier - 2</v>
      </c>
      <c r="L124" s="28" t="str">
        <f t="array" ref="L124">_xlfn.XLOOKUP($A124, 'Hospitalisation Details'!$A:$A, 'Hospitalisation Details'!J:J, "No Data")</f>
        <v>R1011</v>
      </c>
      <c r="M124" s="28" t="str">
        <f t="array" ref="M124">_xlfn.XLOOKUP($A124, 'Hospitalisation Details'!$A:$A, 'Hospitalisation Details'!E:E, "No Data")</f>
        <v>24/06/66</v>
      </c>
      <c r="N124" s="28">
        <f t="array" ref="N124">_xlfn.XLOOKUP($A124, 'Hospitalisation Details'!$A:$A, 'Hospitalisation Details'!K:K, "No Data")</f>
        <v>56</v>
      </c>
      <c r="O124" s="33">
        <f t="array" ref="O124">_xlfn.XLOOKUP($A124, 'Hospitalisation Details'!$A:$A, 'Hospitalisation Details'!G:G, "No Data")</f>
        <v>39396.86</v>
      </c>
      <c r="P124" s="28" t="str">
        <f t="array" ref="P124">_xlfn.XLOOKUP($A124, 'Hospitalisation Details'!$A:$A, 'Hospitalisation Details'!H:H, "No Data")</f>
        <v>tier - 2</v>
      </c>
    </row>
    <row r="125">
      <c r="A125" s="25" t="s">
        <v>411</v>
      </c>
      <c r="B125" s="28" t="str">
        <f t="array" ref="B125">_xlfn.XLOOKUP($A125, 'Customer Names'!$A:$A, 'Customer Names'!B:B, "No Data")</f>
        <v>Kells</v>
      </c>
      <c r="C125" s="28">
        <f t="array" ref="C125">_xlfn.XLOOKUP($A125, 'Medical Examinations'!$A:$A, 'Medical Examinations'!B:B, "No Data")</f>
        <v>48</v>
      </c>
      <c r="D125" s="28">
        <f t="array" ref="D125">_xlfn.XLOOKUP($A125, 'Medical Examinations'!$A:$A, 'Medical Examinations'!C:C, "No Data")</f>
        <v>10.54</v>
      </c>
      <c r="E125" s="28" t="str">
        <f t="array" ref="E125">_xlfn.XLOOKUP($A125, 'Medical Examinations'!$A:$A, 'Medical Examinations'!D:D, "No Data")</f>
        <v>No</v>
      </c>
      <c r="F125" s="28" t="str">
        <f t="array" ref="F125">_xlfn.XLOOKUP($A125, 'Medical Examinations'!$A:$A, 'Medical Examinations'!E:E, "No Data")</f>
        <v>No</v>
      </c>
      <c r="G125" s="28" t="str">
        <f t="array" ref="G125">_xlfn.XLOOKUP($A125, 'Medical Examinations'!$A:$A, 'Medical Examinations'!F:F, "No Data")</f>
        <v>No</v>
      </c>
      <c r="H125" s="28">
        <f t="array" ref="H125">_xlfn.XLOOKUP($A125, 'Medical Examinations'!$A:$A, 'Medical Examinations'!G:G, "No Data")</f>
        <v>0</v>
      </c>
      <c r="I125" s="28" t="str">
        <f t="array" ref="I125">_xlfn.XLOOKUP($A125, 'Medical Examinations'!$A:$A, 'Medical Examinations'!H:H, "No Data")</f>
        <v>yes</v>
      </c>
      <c r="J125" s="28" t="str">
        <f t="array" ref="J125">_xlfn.XLOOKUP($A125, 'Medical Examinations'!$A:$A, 'Medical Examinations'!I:I, "No Data")</f>
        <v>Obesity</v>
      </c>
      <c r="K125" s="28" t="str">
        <f t="array" ref="K125">_xlfn.XLOOKUP($A125, 'Hospitalisation Details'!$A:$A, 'Hospitalisation Details'!I:I, "No Data")</f>
        <v>tier - 3</v>
      </c>
      <c r="L125" s="28" t="str">
        <f t="array" ref="L125">_xlfn.XLOOKUP($A125, 'Hospitalisation Details'!$A:$A, 'Hospitalisation Details'!J:J, "No Data")</f>
        <v>R1011</v>
      </c>
      <c r="M125" s="28" t="str">
        <f t="array" ref="M125">_xlfn.XLOOKUP($A125, 'Hospitalisation Details'!$A:$A, 'Hospitalisation Details'!E:E, "No Data")</f>
        <v>05/08/78</v>
      </c>
      <c r="N125" s="28">
        <f t="array" ref="N125">_xlfn.XLOOKUP($A125, 'Hospitalisation Details'!$A:$A, 'Hospitalisation Details'!K:K, "No Data")</f>
        <v>44</v>
      </c>
      <c r="O125" s="33">
        <f t="array" ref="O125">_xlfn.XLOOKUP($A125, 'Hospitalisation Details'!$A:$A, 'Hospitalisation Details'!G:G, "No Data")</f>
        <v>39352.6</v>
      </c>
      <c r="P125" s="28" t="str">
        <f t="array" ref="P125">_xlfn.XLOOKUP($A125, 'Hospitalisation Details'!$A:$A, 'Hospitalisation Details'!H:H, "No Data")</f>
        <v>tier - 2</v>
      </c>
    </row>
    <row r="126">
      <c r="A126" s="25" t="s">
        <v>414</v>
      </c>
      <c r="B126" s="28" t="str">
        <f t="array" ref="B126">_xlfn.XLOOKUP($A126, 'Customer Names'!$A:$A, 'Customer Names'!B:B, "No Data")</f>
        <v>Lawton</v>
      </c>
      <c r="C126" s="28">
        <f t="array" ref="C126">_xlfn.XLOOKUP($A126, 'Medical Examinations'!$A:$A, 'Medical Examinations'!B:B, "No Data")</f>
        <v>49.13</v>
      </c>
      <c r="D126" s="28">
        <f t="array" ref="D126">_xlfn.XLOOKUP($A126, 'Medical Examinations'!$A:$A, 'Medical Examinations'!C:C, "No Data")</f>
        <v>4.54</v>
      </c>
      <c r="E126" s="28" t="str">
        <f t="array" ref="E126">_xlfn.XLOOKUP($A126, 'Medical Examinations'!$A:$A, 'Medical Examinations'!D:D, "No Data")</f>
        <v>No</v>
      </c>
      <c r="F126" s="28" t="str">
        <f t="array" ref="F126">_xlfn.XLOOKUP($A126, 'Medical Examinations'!$A:$A, 'Medical Examinations'!E:E, "No Data")</f>
        <v>No</v>
      </c>
      <c r="G126" s="28" t="str">
        <f t="array" ref="G126">_xlfn.XLOOKUP($A126, 'Medical Examinations'!$A:$A, 'Medical Examinations'!F:F, "No Data")</f>
        <v>No</v>
      </c>
      <c r="H126" s="28">
        <f t="array" ref="H126">_xlfn.XLOOKUP($A126, 'Medical Examinations'!$A:$A, 'Medical Examinations'!G:G, "No Data")</f>
        <v>0</v>
      </c>
      <c r="I126" s="28" t="str">
        <f t="array" ref="I126">_xlfn.XLOOKUP($A126, 'Medical Examinations'!$A:$A, 'Medical Examinations'!H:H, "No Data")</f>
        <v>yes</v>
      </c>
      <c r="J126" s="28" t="str">
        <f t="array" ref="J126">_xlfn.XLOOKUP($A126, 'Medical Examinations'!$A:$A, 'Medical Examinations'!I:I, "No Data")</f>
        <v>Obesity</v>
      </c>
      <c r="K126" s="28" t="str">
        <f t="array" ref="K126">_xlfn.XLOOKUP($A126, 'Hospitalisation Details'!$A:$A, 'Hospitalisation Details'!I:I, "No Data")</f>
        <v>tier - 3</v>
      </c>
      <c r="L126" s="28" t="str">
        <f t="array" ref="L126">_xlfn.XLOOKUP($A126, 'Hospitalisation Details'!$A:$A, 'Hospitalisation Details'!J:J, "No Data")</f>
        <v>R1011</v>
      </c>
      <c r="M126" s="28" t="str">
        <f t="array" ref="M126">_xlfn.XLOOKUP($A126, 'Hospitalisation Details'!$A:$A, 'Hospitalisation Details'!E:E, "No Data")</f>
        <v>16/08/82</v>
      </c>
      <c r="N126" s="28">
        <f t="array" ref="N126">_xlfn.XLOOKUP($A126, 'Hospitalisation Details'!$A:$A, 'Hospitalisation Details'!K:K, "No Data")</f>
        <v>40</v>
      </c>
      <c r="O126" s="33">
        <f t="array" ref="O126">_xlfn.XLOOKUP($A126, 'Hospitalisation Details'!$A:$A, 'Hospitalisation Details'!G:G, "No Data")</f>
        <v>39315.28</v>
      </c>
      <c r="P126" s="28" t="str">
        <f t="array" ref="P126">_xlfn.XLOOKUP($A126, 'Hospitalisation Details'!$A:$A, 'Hospitalisation Details'!H:H, "No Data")</f>
        <v>tier - 2</v>
      </c>
    </row>
    <row r="127">
      <c r="A127" s="25" t="s">
        <v>418</v>
      </c>
      <c r="B127" s="28" t="str">
        <f t="array" ref="B127">_xlfn.XLOOKUP($A127, 'Customer Names'!$A:$A, 'Customer Names'!B:B, "No Data")</f>
        <v>Bejar</v>
      </c>
      <c r="C127" s="28">
        <f t="array" ref="C127">_xlfn.XLOOKUP($A127, 'Medical Examinations'!$A:$A, 'Medical Examinations'!B:B, "No Data")</f>
        <v>37.8</v>
      </c>
      <c r="D127" s="28">
        <f t="array" ref="D127">_xlfn.XLOOKUP($A127, 'Medical Examinations'!$A:$A, 'Medical Examinations'!C:C, "No Data")</f>
        <v>6.29</v>
      </c>
      <c r="E127" s="28" t="str">
        <f t="array" ref="E127">_xlfn.XLOOKUP($A127, 'Medical Examinations'!$A:$A, 'Medical Examinations'!D:D, "No Data")</f>
        <v>No</v>
      </c>
      <c r="F127" s="28" t="str">
        <f t="array" ref="F127">_xlfn.XLOOKUP($A127, 'Medical Examinations'!$A:$A, 'Medical Examinations'!E:E, "No Data")</f>
        <v>No</v>
      </c>
      <c r="G127" s="28" t="str">
        <f t="array" ref="G127">_xlfn.XLOOKUP($A127, 'Medical Examinations'!$A:$A, 'Medical Examinations'!F:F, "No Data")</f>
        <v>No</v>
      </c>
      <c r="H127" s="28">
        <f t="array" ref="H127">_xlfn.XLOOKUP($A127, 'Medical Examinations'!$A:$A, 'Medical Examinations'!G:G, "No Data")</f>
        <v>1</v>
      </c>
      <c r="I127" s="28" t="str">
        <f t="array" ref="I127">_xlfn.XLOOKUP($A127, 'Medical Examinations'!$A:$A, 'Medical Examinations'!H:H, "No Data")</f>
        <v>yes</v>
      </c>
      <c r="J127" s="28" t="str">
        <f t="array" ref="J127">_xlfn.XLOOKUP($A127, 'Medical Examinations'!$A:$A, 'Medical Examinations'!I:I, "No Data")</f>
        <v>Obesity</v>
      </c>
      <c r="K127" s="28" t="str">
        <f t="array" ref="K127">_xlfn.XLOOKUP($A127, 'Hospitalisation Details'!$A:$A, 'Hospitalisation Details'!I:I, "No Data")</f>
        <v>tier - 3</v>
      </c>
      <c r="L127" s="28" t="str">
        <f t="array" ref="L127">_xlfn.XLOOKUP($A127, 'Hospitalisation Details'!$A:$A, 'Hospitalisation Details'!J:J, "No Data")</f>
        <v>R1011</v>
      </c>
      <c r="M127" s="28" t="str">
        <f t="array" ref="M127">_xlfn.XLOOKUP($A127, 'Hospitalisation Details'!$A:$A, 'Hospitalisation Details'!E:E, "No Data")</f>
        <v>30/11/92</v>
      </c>
      <c r="N127" s="28">
        <f t="array" ref="N127">_xlfn.XLOOKUP($A127, 'Hospitalisation Details'!$A:$A, 'Hospitalisation Details'!K:K, "No Data")</f>
        <v>30</v>
      </c>
      <c r="O127" s="33">
        <f t="array" ref="O127">_xlfn.XLOOKUP($A127, 'Hospitalisation Details'!$A:$A, 'Hospitalisation Details'!G:G, "No Data")</f>
        <v>39241.44</v>
      </c>
      <c r="P127" s="28" t="str">
        <f t="array" ref="P127">_xlfn.XLOOKUP($A127, 'Hospitalisation Details'!$A:$A, 'Hospitalisation Details'!H:H, "No Data")</f>
        <v>tier - 1</v>
      </c>
    </row>
    <row r="128">
      <c r="A128" s="25" t="s">
        <v>421</v>
      </c>
      <c r="B128" s="28" t="str">
        <f t="array" ref="B128">_xlfn.XLOOKUP($A128, 'Customer Names'!$A:$A, 'Customer Names'!B:B, "No Data")</f>
        <v>Navarro Castro</v>
      </c>
      <c r="C128" s="28">
        <f t="array" ref="C128">_xlfn.XLOOKUP($A128, 'Medical Examinations'!$A:$A, 'Medical Examinations'!B:B, "No Data")</f>
        <v>38.3</v>
      </c>
      <c r="D128" s="28">
        <f t="array" ref="D128">_xlfn.XLOOKUP($A128, 'Medical Examinations'!$A:$A, 'Medical Examinations'!C:C, "No Data")</f>
        <v>9.51</v>
      </c>
      <c r="E128" s="28" t="str">
        <f t="array" ref="E128">_xlfn.XLOOKUP($A128, 'Medical Examinations'!$A:$A, 'Medical Examinations'!D:D, "No Data")</f>
        <v>No</v>
      </c>
      <c r="F128" s="28" t="str">
        <f t="array" ref="F128">_xlfn.XLOOKUP($A128, 'Medical Examinations'!$A:$A, 'Medical Examinations'!E:E, "No Data")</f>
        <v>No</v>
      </c>
      <c r="G128" s="28" t="str">
        <f t="array" ref="G128">_xlfn.XLOOKUP($A128, 'Medical Examinations'!$A:$A, 'Medical Examinations'!F:F, "No Data")</f>
        <v>No</v>
      </c>
      <c r="H128" s="28">
        <f t="array" ref="H128">_xlfn.XLOOKUP($A128, 'Medical Examinations'!$A:$A, 'Medical Examinations'!G:G, "No Data")</f>
        <v>0</v>
      </c>
      <c r="I128" s="28" t="str">
        <f t="array" ref="I128">_xlfn.XLOOKUP($A128, 'Medical Examinations'!$A:$A, 'Medical Examinations'!H:H, "No Data")</f>
        <v>yes</v>
      </c>
      <c r="J128" s="28" t="str">
        <f t="array" ref="J128">_xlfn.XLOOKUP($A128, 'Medical Examinations'!$A:$A, 'Medical Examinations'!I:I, "No Data")</f>
        <v>Obesity</v>
      </c>
      <c r="K128" s="28" t="str">
        <f t="array" ref="K128">_xlfn.XLOOKUP($A128, 'Hospitalisation Details'!$A:$A, 'Hospitalisation Details'!I:I, "No Data")</f>
        <v>tier - 1</v>
      </c>
      <c r="L128" s="28" t="str">
        <f t="array" ref="L128">_xlfn.XLOOKUP($A128, 'Hospitalisation Details'!$A:$A, 'Hospitalisation Details'!J:J, "No Data")</f>
        <v>R1011</v>
      </c>
      <c r="M128" s="28" t="str">
        <f t="array" ref="M128">_xlfn.XLOOKUP($A128, 'Hospitalisation Details'!$A:$A, 'Hospitalisation Details'!E:E, "No Data")</f>
        <v>07/07/62</v>
      </c>
      <c r="N128" s="28">
        <f t="array" ref="N128">_xlfn.XLOOKUP($A128, 'Hospitalisation Details'!$A:$A, 'Hospitalisation Details'!K:K, "No Data")</f>
        <v>60</v>
      </c>
      <c r="O128" s="33">
        <f t="array" ref="O128">_xlfn.XLOOKUP($A128, 'Hospitalisation Details'!$A:$A, 'Hospitalisation Details'!G:G, "No Data")</f>
        <v>39221.12</v>
      </c>
      <c r="P128" s="28" t="str">
        <f t="array" ref="P128">_xlfn.XLOOKUP($A128, 'Hospitalisation Details'!$A:$A, 'Hospitalisation Details'!H:H, "No Data")</f>
        <v>tier - 2</v>
      </c>
    </row>
    <row r="129">
      <c r="A129" s="25" t="s">
        <v>424</v>
      </c>
      <c r="B129" s="28" t="str">
        <f t="array" ref="B129">_xlfn.XLOOKUP($A129, 'Customer Names'!$A:$A, 'Customer Names'!B:B, "No Data")</f>
        <v>Tice</v>
      </c>
      <c r="C129" s="28">
        <f t="array" ref="C129">_xlfn.XLOOKUP($A129, 'Medical Examinations'!$A:$A, 'Medical Examinations'!B:B, "No Data")</f>
        <v>32.775</v>
      </c>
      <c r="D129" s="28">
        <f t="array" ref="D129">_xlfn.XLOOKUP($A129, 'Medical Examinations'!$A:$A, 'Medical Examinations'!C:C, "No Data")</f>
        <v>4.72</v>
      </c>
      <c r="E129" s="28" t="str">
        <f t="array" ref="E129">_xlfn.XLOOKUP($A129, 'Medical Examinations'!$A:$A, 'Medical Examinations'!D:D, "No Data")</f>
        <v>No</v>
      </c>
      <c r="F129" s="28" t="str">
        <f t="array" ref="F129">_xlfn.XLOOKUP($A129, 'Medical Examinations'!$A:$A, 'Medical Examinations'!E:E, "No Data")</f>
        <v>No</v>
      </c>
      <c r="G129" s="28" t="str">
        <f t="array" ref="G129">_xlfn.XLOOKUP($A129, 'Medical Examinations'!$A:$A, 'Medical Examinations'!F:F, "No Data")</f>
        <v>No</v>
      </c>
      <c r="H129" s="28">
        <f t="array" ref="H129">_xlfn.XLOOKUP($A129, 'Medical Examinations'!$A:$A, 'Medical Examinations'!G:G, "No Data")</f>
        <v>0</v>
      </c>
      <c r="I129" s="28" t="str">
        <f t="array" ref="I129">_xlfn.XLOOKUP($A129, 'Medical Examinations'!$A:$A, 'Medical Examinations'!H:H, "No Data")</f>
        <v>yes</v>
      </c>
      <c r="J129" s="28" t="str">
        <f t="array" ref="J129">_xlfn.XLOOKUP($A129, 'Medical Examinations'!$A:$A, 'Medical Examinations'!I:I, "No Data")</f>
        <v>Obesity</v>
      </c>
      <c r="K129" s="28" t="str">
        <f t="array" ref="K129">_xlfn.XLOOKUP($A129, 'Hospitalisation Details'!$A:$A, 'Hospitalisation Details'!I:I, "No Data")</f>
        <v>tier - 1</v>
      </c>
      <c r="L129" s="28" t="str">
        <f t="array" ref="L129">_xlfn.XLOOKUP($A129, 'Hospitalisation Details'!$A:$A, 'Hospitalisation Details'!J:J, "No Data")</f>
        <v>R1016</v>
      </c>
      <c r="M129" s="28" t="str">
        <f t="array" ref="M129">_xlfn.XLOOKUP($A129, 'Hospitalisation Details'!$A:$A, 'Hospitalisation Details'!E:E, "No Data")</f>
        <v>04/08/82</v>
      </c>
      <c r="N129" s="28">
        <f t="array" ref="N129">_xlfn.XLOOKUP($A129, 'Hospitalisation Details'!$A:$A, 'Hospitalisation Details'!K:K, "No Data")</f>
        <v>40</v>
      </c>
      <c r="O129" s="33">
        <f t="array" ref="O129">_xlfn.XLOOKUP($A129, 'Hospitalisation Details'!$A:$A, 'Hospitalisation Details'!G:G, "No Data")</f>
        <v>39125.33</v>
      </c>
      <c r="P129" s="28" t="str">
        <f t="array" ref="P129">_xlfn.XLOOKUP($A129, 'Hospitalisation Details'!$A:$A, 'Hospitalisation Details'!H:H, "No Data")</f>
        <v>tier - 1</v>
      </c>
    </row>
    <row r="130">
      <c r="A130" s="25" t="s">
        <v>427</v>
      </c>
      <c r="B130" s="28" t="str">
        <f t="array" ref="B130">_xlfn.XLOOKUP($A130, 'Customer Names'!$A:$A, 'Customer Names'!B:B, "No Data")</f>
        <v>Wolf</v>
      </c>
      <c r="C130" s="28">
        <f t="array" ref="C130">_xlfn.XLOOKUP($A130, 'Medical Examinations'!$A:$A, 'Medical Examinations'!B:B, "No Data")</f>
        <v>34.2</v>
      </c>
      <c r="D130" s="28">
        <f t="array" ref="D130">_xlfn.XLOOKUP($A130, 'Medical Examinations'!$A:$A, 'Medical Examinations'!C:C, "No Data")</f>
        <v>5.91</v>
      </c>
      <c r="E130" s="28" t="str">
        <f t="array" ref="E130">_xlfn.XLOOKUP($A130, 'Medical Examinations'!$A:$A, 'Medical Examinations'!D:D, "No Data")</f>
        <v>yes</v>
      </c>
      <c r="F130" s="28" t="str">
        <f t="array" ref="F130">_xlfn.XLOOKUP($A130, 'Medical Examinations'!$A:$A, 'Medical Examinations'!E:E, "No Data")</f>
        <v>No</v>
      </c>
      <c r="G130" s="28" t="str">
        <f t="array" ref="G130">_xlfn.XLOOKUP($A130, 'Medical Examinations'!$A:$A, 'Medical Examinations'!F:F, "No Data")</f>
        <v>No</v>
      </c>
      <c r="H130" s="28">
        <f t="array" ref="H130">_xlfn.XLOOKUP($A130, 'Medical Examinations'!$A:$A, 'Medical Examinations'!G:G, "No Data")</f>
        <v>0</v>
      </c>
      <c r="I130" s="28" t="str">
        <f t="array" ref="I130">_xlfn.XLOOKUP($A130, 'Medical Examinations'!$A:$A, 'Medical Examinations'!H:H, "No Data")</f>
        <v>yes</v>
      </c>
      <c r="J130" s="28" t="str">
        <f t="array" ref="J130">_xlfn.XLOOKUP($A130, 'Medical Examinations'!$A:$A, 'Medical Examinations'!I:I, "No Data")</f>
        <v>Obesity</v>
      </c>
      <c r="K130" s="28" t="str">
        <f t="array" ref="K130">_xlfn.XLOOKUP($A130, 'Hospitalisation Details'!$A:$A, 'Hospitalisation Details'!I:I, "No Data")</f>
        <v>tier - 3</v>
      </c>
      <c r="L130" s="28" t="str">
        <f t="array" ref="L130">_xlfn.XLOOKUP($A130, 'Hospitalisation Details'!$A:$A, 'Hospitalisation Details'!J:J, "No Data")</f>
        <v>R1017</v>
      </c>
      <c r="M130" s="28" t="str">
        <f t="array" ref="M130">_xlfn.XLOOKUP($A130, 'Hospitalisation Details'!$A:$A, 'Hospitalisation Details'!E:E, "No Data")</f>
        <v>20/09/85</v>
      </c>
      <c r="N130" s="28">
        <f t="array" ref="N130">_xlfn.XLOOKUP($A130, 'Hospitalisation Details'!$A:$A, 'Hospitalisation Details'!K:K, "No Data")</f>
        <v>37</v>
      </c>
      <c r="O130" s="33">
        <f t="array" ref="O130">_xlfn.XLOOKUP($A130, 'Hospitalisation Details'!$A:$A, 'Hospitalisation Details'!G:G, "No Data")</f>
        <v>39047.29</v>
      </c>
      <c r="P130" s="28" t="str">
        <f t="array" ref="P130">_xlfn.XLOOKUP($A130, 'Hospitalisation Details'!$A:$A, 'Hospitalisation Details'!H:H, "No Data")</f>
        <v>tier - 1</v>
      </c>
    </row>
    <row r="131">
      <c r="A131" s="25" t="s">
        <v>430</v>
      </c>
      <c r="B131" s="28" t="str">
        <f t="array" ref="B131">_xlfn.XLOOKUP($A131, 'Customer Names'!$A:$A, 'Customer Names'!B:B, "No Data")</f>
        <v>Oppedal</v>
      </c>
      <c r="C131" s="28">
        <f t="array" ref="C131">_xlfn.XLOOKUP($A131, 'Medical Examinations'!$A:$A, 'Medical Examinations'!B:B, "No Data")</f>
        <v>30.2</v>
      </c>
      <c r="D131" s="28">
        <f t="array" ref="D131">_xlfn.XLOOKUP($A131, 'Medical Examinations'!$A:$A, 'Medical Examinations'!C:C, "No Data")</f>
        <v>9.58</v>
      </c>
      <c r="E131" s="28" t="str">
        <f t="array" ref="E131">_xlfn.XLOOKUP($A131, 'Medical Examinations'!$A:$A, 'Medical Examinations'!D:D, "No Data")</f>
        <v>No</v>
      </c>
      <c r="F131" s="28" t="str">
        <f t="array" ref="F131">_xlfn.XLOOKUP($A131, 'Medical Examinations'!$A:$A, 'Medical Examinations'!E:E, "No Data")</f>
        <v>No</v>
      </c>
      <c r="G131" s="28" t="str">
        <f t="array" ref="G131">_xlfn.XLOOKUP($A131, 'Medical Examinations'!$A:$A, 'Medical Examinations'!F:F, "No Data")</f>
        <v>No</v>
      </c>
      <c r="H131" s="28">
        <f t="array" ref="H131">_xlfn.XLOOKUP($A131, 'Medical Examinations'!$A:$A, 'Medical Examinations'!G:G, "No Data")</f>
        <v>0</v>
      </c>
      <c r="I131" s="28" t="str">
        <f t="array" ref="I131">_xlfn.XLOOKUP($A131, 'Medical Examinations'!$A:$A, 'Medical Examinations'!H:H, "No Data")</f>
        <v>yes</v>
      </c>
      <c r="J131" s="28" t="str">
        <f t="array" ref="J131">_xlfn.XLOOKUP($A131, 'Medical Examinations'!$A:$A, 'Medical Examinations'!I:I, "No Data")</f>
        <v>Obesity</v>
      </c>
      <c r="K131" s="28" t="str">
        <f t="array" ref="K131">_xlfn.XLOOKUP($A131, 'Hospitalisation Details'!$A:$A, 'Hospitalisation Details'!I:I, "No Data")</f>
        <v>tier - 1</v>
      </c>
      <c r="L131" s="28" t="str">
        <f t="array" ref="L131">_xlfn.XLOOKUP($A131, 'Hospitalisation Details'!$A:$A, 'Hospitalisation Details'!J:J, "No Data")</f>
        <v>R1011</v>
      </c>
      <c r="M131" s="28" t="str">
        <f t="array" ref="M131">_xlfn.XLOOKUP($A131, 'Hospitalisation Details'!$A:$A, 'Hospitalisation Details'!E:E, "No Data")</f>
        <v>12/10/78</v>
      </c>
      <c r="N131" s="28">
        <f t="array" ref="N131">_xlfn.XLOOKUP($A131, 'Hospitalisation Details'!$A:$A, 'Hospitalisation Details'!K:K, "No Data")</f>
        <v>44</v>
      </c>
      <c r="O131" s="33">
        <f t="array" ref="O131">_xlfn.XLOOKUP($A131, 'Hospitalisation Details'!$A:$A, 'Hospitalisation Details'!G:G, "No Data")</f>
        <v>38998.55</v>
      </c>
      <c r="P131" s="28" t="str">
        <f t="array" ref="P131">_xlfn.XLOOKUP($A131, 'Hospitalisation Details'!$A:$A, 'Hospitalisation Details'!H:H, "No Data")</f>
        <v>tier - 1</v>
      </c>
    </row>
    <row r="132">
      <c r="A132" s="25" t="s">
        <v>433</v>
      </c>
      <c r="B132" s="28" t="str">
        <f t="array" ref="B132">_xlfn.XLOOKUP($A132, 'Customer Names'!$A:$A, 'Customer Names'!B:B, "No Data")</f>
        <v>Wright</v>
      </c>
      <c r="C132" s="28">
        <f t="array" ref="C132">_xlfn.XLOOKUP($A132, 'Medical Examinations'!$A:$A, 'Medical Examinations'!B:B, "No Data")</f>
        <v>48.32</v>
      </c>
      <c r="D132" s="28">
        <f t="array" ref="D132">_xlfn.XLOOKUP($A132, 'Medical Examinations'!$A:$A, 'Medical Examinations'!C:C, "No Data")</f>
        <v>5.77</v>
      </c>
      <c r="E132" s="28" t="str">
        <f t="array" ref="E132">_xlfn.XLOOKUP($A132, 'Medical Examinations'!$A:$A, 'Medical Examinations'!D:D, "No Data")</f>
        <v>No</v>
      </c>
      <c r="F132" s="28" t="str">
        <f t="array" ref="F132">_xlfn.XLOOKUP($A132, 'Medical Examinations'!$A:$A, 'Medical Examinations'!E:E, "No Data")</f>
        <v>No</v>
      </c>
      <c r="G132" s="28" t="str">
        <f t="array" ref="G132">_xlfn.XLOOKUP($A132, 'Medical Examinations'!$A:$A, 'Medical Examinations'!F:F, "No Data")</f>
        <v>No</v>
      </c>
      <c r="H132" s="28">
        <f t="array" ref="H132">_xlfn.XLOOKUP($A132, 'Medical Examinations'!$A:$A, 'Medical Examinations'!G:G, "No Data")</f>
        <v>0</v>
      </c>
      <c r="I132" s="28" t="str">
        <f t="array" ref="I132">_xlfn.XLOOKUP($A132, 'Medical Examinations'!$A:$A, 'Medical Examinations'!H:H, "No Data")</f>
        <v>yes</v>
      </c>
      <c r="J132" s="28" t="str">
        <f t="array" ref="J132">_xlfn.XLOOKUP($A132, 'Medical Examinations'!$A:$A, 'Medical Examinations'!I:I, "No Data")</f>
        <v>Obesity</v>
      </c>
      <c r="K132" s="28" t="str">
        <f t="array" ref="K132">_xlfn.XLOOKUP($A132, 'Hospitalisation Details'!$A:$A, 'Hospitalisation Details'!I:I, "No Data")</f>
        <v>tier - 3</v>
      </c>
      <c r="L132" s="28" t="str">
        <f t="array" ref="L132">_xlfn.XLOOKUP($A132, 'Hospitalisation Details'!$A:$A, 'Hospitalisation Details'!J:J, "No Data")</f>
        <v>R1011</v>
      </c>
      <c r="M132" s="28" t="str">
        <f t="array" ref="M132">_xlfn.XLOOKUP($A132, 'Hospitalisation Details'!$A:$A, 'Hospitalisation Details'!E:E, "No Data")</f>
        <v>24/09/80</v>
      </c>
      <c r="N132" s="28">
        <f t="array" ref="N132">_xlfn.XLOOKUP($A132, 'Hospitalisation Details'!$A:$A, 'Hospitalisation Details'!K:K, "No Data")</f>
        <v>42</v>
      </c>
      <c r="O132" s="33">
        <f t="array" ref="O132">_xlfn.XLOOKUP($A132, 'Hospitalisation Details'!$A:$A, 'Hospitalisation Details'!G:G, "No Data")</f>
        <v>38947.43</v>
      </c>
      <c r="P132" s="28" t="str">
        <f t="array" ref="P132">_xlfn.XLOOKUP($A132, 'Hospitalisation Details'!$A:$A, 'Hospitalisation Details'!H:H, "No Data")</f>
        <v>tier - 2</v>
      </c>
    </row>
    <row r="133">
      <c r="A133" s="25" t="s">
        <v>436</v>
      </c>
      <c r="B133" s="28" t="str">
        <f t="array" ref="B133">_xlfn.XLOOKUP($A133, 'Customer Names'!$A:$A, 'Customer Names'!B:B, "No Data")</f>
        <v>Ellis</v>
      </c>
      <c r="C133" s="28">
        <f t="array" ref="C133">_xlfn.XLOOKUP($A133, 'Medical Examinations'!$A:$A, 'Medical Examinations'!B:B, "No Data")</f>
        <v>44.86</v>
      </c>
      <c r="D133" s="28">
        <f t="array" ref="D133">_xlfn.XLOOKUP($A133, 'Medical Examinations'!$A:$A, 'Medical Examinations'!C:C, "No Data")</f>
        <v>4.38</v>
      </c>
      <c r="E133" s="28" t="str">
        <f t="array" ref="E133">_xlfn.XLOOKUP($A133, 'Medical Examinations'!$A:$A, 'Medical Examinations'!D:D, "No Data")</f>
        <v>yes</v>
      </c>
      <c r="F133" s="28" t="str">
        <f t="array" ref="F133">_xlfn.XLOOKUP($A133, 'Medical Examinations'!$A:$A, 'Medical Examinations'!E:E, "No Data")</f>
        <v>No</v>
      </c>
      <c r="G133" s="28" t="str">
        <f t="array" ref="G133">_xlfn.XLOOKUP($A133, 'Medical Examinations'!$A:$A, 'Medical Examinations'!F:F, "No Data")</f>
        <v>No</v>
      </c>
      <c r="H133" s="28">
        <f t="array" ref="H133">_xlfn.XLOOKUP($A133, 'Medical Examinations'!$A:$A, 'Medical Examinations'!G:G, "No Data")</f>
        <v>0</v>
      </c>
      <c r="I133" s="28" t="str">
        <f t="array" ref="I133">_xlfn.XLOOKUP($A133, 'Medical Examinations'!$A:$A, 'Medical Examinations'!H:H, "No Data")</f>
        <v>yes</v>
      </c>
      <c r="J133" s="28" t="str">
        <f t="array" ref="J133">_xlfn.XLOOKUP($A133, 'Medical Examinations'!$A:$A, 'Medical Examinations'!I:I, "No Data")</f>
        <v>Obesity</v>
      </c>
      <c r="K133" s="28" t="str">
        <f t="array" ref="K133">_xlfn.XLOOKUP($A133, 'Hospitalisation Details'!$A:$A, 'Hospitalisation Details'!I:I, "No Data")</f>
        <v>tier - 3</v>
      </c>
      <c r="L133" s="28" t="str">
        <f t="array" ref="L133">_xlfn.XLOOKUP($A133, 'Hospitalisation Details'!$A:$A, 'Hospitalisation Details'!J:J, "No Data")</f>
        <v>R1011</v>
      </c>
      <c r="M133" s="28" t="str">
        <f t="array" ref="M133">_xlfn.XLOOKUP($A133, 'Hospitalisation Details'!$A:$A, 'Hospitalisation Details'!E:E, "No Data")</f>
        <v>15/12/76</v>
      </c>
      <c r="N133" s="28">
        <f t="array" ref="N133">_xlfn.XLOOKUP($A133, 'Hospitalisation Details'!$A:$A, 'Hospitalisation Details'!K:K, "No Data")</f>
        <v>46</v>
      </c>
      <c r="O133" s="33">
        <f t="array" ref="O133">_xlfn.XLOOKUP($A133, 'Hospitalisation Details'!$A:$A, 'Hospitalisation Details'!G:G, "No Data")</f>
        <v>38932.56</v>
      </c>
      <c r="P133" s="28" t="str">
        <f t="array" ref="P133">_xlfn.XLOOKUP($A133, 'Hospitalisation Details'!$A:$A, 'Hospitalisation Details'!H:H, "No Data")</f>
        <v>tier - 2</v>
      </c>
    </row>
    <row r="134">
      <c r="A134" s="25" t="s">
        <v>440</v>
      </c>
      <c r="B134" s="28" t="str">
        <f t="array" ref="B134">_xlfn.XLOOKUP($A134, 'Customer Names'!$A:$A, 'Customer Names'!B:B, "No Data")</f>
        <v>Taormina</v>
      </c>
      <c r="C134" s="28">
        <f t="array" ref="C134">_xlfn.XLOOKUP($A134, 'Medical Examinations'!$A:$A, 'Medical Examinations'!B:B, "No Data")</f>
        <v>52.15</v>
      </c>
      <c r="D134" s="28">
        <f t="array" ref="D134">_xlfn.XLOOKUP($A134, 'Medical Examinations'!$A:$A, 'Medical Examinations'!C:C, "No Data")</f>
        <v>5.65</v>
      </c>
      <c r="E134" s="28" t="str">
        <f t="array" ref="E134">_xlfn.XLOOKUP($A134, 'Medical Examinations'!$A:$A, 'Medical Examinations'!D:D, "No Data")</f>
        <v>No</v>
      </c>
      <c r="F134" s="28" t="str">
        <f t="array" ref="F134">_xlfn.XLOOKUP($A134, 'Medical Examinations'!$A:$A, 'Medical Examinations'!E:E, "No Data")</f>
        <v>No</v>
      </c>
      <c r="G134" s="28" t="str">
        <f t="array" ref="G134">_xlfn.XLOOKUP($A134, 'Medical Examinations'!$A:$A, 'Medical Examinations'!F:F, "No Data")</f>
        <v>No</v>
      </c>
      <c r="H134" s="28">
        <f t="array" ref="H134">_xlfn.XLOOKUP($A134, 'Medical Examinations'!$A:$A, 'Medical Examinations'!G:G, "No Data")</f>
        <v>1</v>
      </c>
      <c r="I134" s="28" t="str">
        <f t="array" ref="I134">_xlfn.XLOOKUP($A134, 'Medical Examinations'!$A:$A, 'Medical Examinations'!H:H, "No Data")</f>
        <v>yes</v>
      </c>
      <c r="J134" s="28" t="str">
        <f t="array" ref="J134">_xlfn.XLOOKUP($A134, 'Medical Examinations'!$A:$A, 'Medical Examinations'!I:I, "No Data")</f>
        <v>Obesity</v>
      </c>
      <c r="K134" s="28" t="str">
        <f t="array" ref="K134">_xlfn.XLOOKUP($A134, 'Hospitalisation Details'!$A:$A, 'Hospitalisation Details'!I:I, "No Data")</f>
        <v>tier - 2</v>
      </c>
      <c r="L134" s="28" t="str">
        <f t="array" ref="L134">_xlfn.XLOOKUP($A134, 'Hospitalisation Details'!$A:$A, 'Hospitalisation Details'!J:J, "No Data")</f>
        <v>R1011</v>
      </c>
      <c r="M134" s="28" t="str">
        <f t="array" ref="M134">_xlfn.XLOOKUP($A134, 'Hospitalisation Details'!$A:$A, 'Hospitalisation Details'!E:E, "No Data")</f>
        <v>16/06/87</v>
      </c>
      <c r="N134" s="28">
        <f t="array" ref="N134">_xlfn.XLOOKUP($A134, 'Hospitalisation Details'!$A:$A, 'Hospitalisation Details'!K:K, "No Data")</f>
        <v>35</v>
      </c>
      <c r="O134" s="33">
        <f t="array" ref="O134">_xlfn.XLOOKUP($A134, 'Hospitalisation Details'!$A:$A, 'Hospitalisation Details'!G:G, "No Data")</f>
        <v>38924.04</v>
      </c>
      <c r="P134" s="28" t="str">
        <f t="array" ref="P134">_xlfn.XLOOKUP($A134, 'Hospitalisation Details'!$A:$A, 'Hospitalisation Details'!H:H, "No Data")</f>
        <v>tier - 2</v>
      </c>
    </row>
    <row r="135">
      <c r="A135" s="25" t="s">
        <v>443</v>
      </c>
      <c r="B135" s="28" t="str">
        <f t="array" ref="B135">_xlfn.XLOOKUP($A135, 'Customer Names'!$A:$A, 'Customer Names'!B:B, "No Data")</f>
        <v>Lynch</v>
      </c>
      <c r="C135" s="28">
        <f t="array" ref="C135">_xlfn.XLOOKUP($A135, 'Medical Examinations'!$A:$A, 'Medical Examinations'!B:B, "No Data")</f>
        <v>41.12</v>
      </c>
      <c r="D135" s="28">
        <f t="array" ref="D135">_xlfn.XLOOKUP($A135, 'Medical Examinations'!$A:$A, 'Medical Examinations'!C:C, "No Data")</f>
        <v>7.54</v>
      </c>
      <c r="E135" s="28" t="str">
        <f t="array" ref="E135">_xlfn.XLOOKUP($A135, 'Medical Examinations'!$A:$A, 'Medical Examinations'!D:D, "No Data")</f>
        <v>yes</v>
      </c>
      <c r="F135" s="28" t="str">
        <f t="array" ref="F135">_xlfn.XLOOKUP($A135, 'Medical Examinations'!$A:$A, 'Medical Examinations'!E:E, "No Data")</f>
        <v>No</v>
      </c>
      <c r="G135" s="28" t="str">
        <f t="array" ref="G135">_xlfn.XLOOKUP($A135, 'Medical Examinations'!$A:$A, 'Medical Examinations'!F:F, "No Data")</f>
        <v>No</v>
      </c>
      <c r="H135" s="28">
        <f t="array" ref="H135">_xlfn.XLOOKUP($A135, 'Medical Examinations'!$A:$A, 'Medical Examinations'!G:G, "No Data")</f>
        <v>0</v>
      </c>
      <c r="I135" s="28" t="str">
        <f t="array" ref="I135">_xlfn.XLOOKUP($A135, 'Medical Examinations'!$A:$A, 'Medical Examinations'!H:H, "No Data")</f>
        <v>yes</v>
      </c>
      <c r="J135" s="28" t="str">
        <f t="array" ref="J135">_xlfn.XLOOKUP($A135, 'Medical Examinations'!$A:$A, 'Medical Examinations'!I:I, "No Data")</f>
        <v>Obesity</v>
      </c>
      <c r="K135" s="28" t="str">
        <f t="array" ref="K135">_xlfn.XLOOKUP($A135, 'Hospitalisation Details'!$A:$A, 'Hospitalisation Details'!I:I, "No Data")</f>
        <v>tier - 2</v>
      </c>
      <c r="L135" s="28" t="str">
        <f t="array" ref="L135">_xlfn.XLOOKUP($A135, 'Hospitalisation Details'!$A:$A, 'Hospitalisation Details'!J:J, "No Data")</f>
        <v>R1011</v>
      </c>
      <c r="M135" s="28" t="str">
        <f t="array" ref="M135">_xlfn.XLOOKUP($A135, 'Hospitalisation Details'!$A:$A, 'Hospitalisation Details'!E:E, "No Data")</f>
        <v>30/07/67</v>
      </c>
      <c r="N135" s="28">
        <f t="array" ref="N135">_xlfn.XLOOKUP($A135, 'Hospitalisation Details'!$A:$A, 'Hospitalisation Details'!K:K, "No Data")</f>
        <v>55</v>
      </c>
      <c r="O135" s="33">
        <f t="array" ref="O135">_xlfn.XLOOKUP($A135, 'Hospitalisation Details'!$A:$A, 'Hospitalisation Details'!G:G, "No Data")</f>
        <v>38893.36</v>
      </c>
      <c r="P135" s="28" t="str">
        <f t="array" ref="P135">_xlfn.XLOOKUP($A135, 'Hospitalisation Details'!$A:$A, 'Hospitalisation Details'!H:H, "No Data")</f>
        <v>tier - 1</v>
      </c>
    </row>
    <row r="136">
      <c r="A136" s="25" t="s">
        <v>446</v>
      </c>
      <c r="B136" s="28" t="str">
        <f t="array" ref="B136">_xlfn.XLOOKUP($A136, 'Customer Names'!$A:$A, 'Customer Names'!B:B, "No Data")</f>
        <v>Tavella</v>
      </c>
      <c r="C136" s="28">
        <f t="array" ref="C136">_xlfn.XLOOKUP($A136, 'Medical Examinations'!$A:$A, 'Medical Examinations'!B:B, "No Data")</f>
        <v>38.39</v>
      </c>
      <c r="D136" s="28">
        <f t="array" ref="D136">_xlfn.XLOOKUP($A136, 'Medical Examinations'!$A:$A, 'Medical Examinations'!C:C, "No Data")</f>
        <v>5.11</v>
      </c>
      <c r="E136" s="28" t="str">
        <f t="array" ref="E136">_xlfn.XLOOKUP($A136, 'Medical Examinations'!$A:$A, 'Medical Examinations'!D:D, "No Data")</f>
        <v>yes</v>
      </c>
      <c r="F136" s="28" t="str">
        <f t="array" ref="F136">_xlfn.XLOOKUP($A136, 'Medical Examinations'!$A:$A, 'Medical Examinations'!E:E, "No Data")</f>
        <v>No</v>
      </c>
      <c r="G136" s="28" t="str">
        <f t="array" ref="G136">_xlfn.XLOOKUP($A136, 'Medical Examinations'!$A:$A, 'Medical Examinations'!F:F, "No Data")</f>
        <v>No</v>
      </c>
      <c r="H136" s="28">
        <f t="array" ref="H136">_xlfn.XLOOKUP($A136, 'Medical Examinations'!$A:$A, 'Medical Examinations'!G:G, "No Data")</f>
        <v>1</v>
      </c>
      <c r="I136" s="28" t="str">
        <f t="array" ref="I136">_xlfn.XLOOKUP($A136, 'Medical Examinations'!$A:$A, 'Medical Examinations'!H:H, "No Data")</f>
        <v>yes</v>
      </c>
      <c r="J136" s="28" t="str">
        <f t="array" ref="J136">_xlfn.XLOOKUP($A136, 'Medical Examinations'!$A:$A, 'Medical Examinations'!I:I, "No Data")</f>
        <v>Obesity</v>
      </c>
      <c r="K136" s="28" t="str">
        <f t="array" ref="K136">_xlfn.XLOOKUP($A136, 'Hospitalisation Details'!$A:$A, 'Hospitalisation Details'!I:I, "No Data")</f>
        <v>tier - 2</v>
      </c>
      <c r="L136" s="28" t="str">
        <f t="array" ref="L136">_xlfn.XLOOKUP($A136, 'Hospitalisation Details'!$A:$A, 'Hospitalisation Details'!J:J, "No Data")</f>
        <v>R1011</v>
      </c>
      <c r="M136" s="28" t="str">
        <f t="array" ref="M136">_xlfn.XLOOKUP($A136, 'Hospitalisation Details'!$A:$A, 'Hospitalisation Details'!E:E, "No Data")</f>
        <v>06/06/64</v>
      </c>
      <c r="N136" s="28">
        <f t="array" ref="N136">_xlfn.XLOOKUP($A136, 'Hospitalisation Details'!$A:$A, 'Hospitalisation Details'!K:K, "No Data")</f>
        <v>59</v>
      </c>
      <c r="O136" s="33">
        <f t="array" ref="O136">_xlfn.XLOOKUP($A136, 'Hospitalisation Details'!$A:$A, 'Hospitalisation Details'!G:G, "No Data")</f>
        <v>38869.25</v>
      </c>
      <c r="P136" s="28" t="str">
        <f t="array" ref="P136">_xlfn.XLOOKUP($A136, 'Hospitalisation Details'!$A:$A, 'Hospitalisation Details'!H:H, "No Data")</f>
        <v>tier - 2</v>
      </c>
    </row>
    <row r="137">
      <c r="A137" s="25" t="s">
        <v>449</v>
      </c>
      <c r="B137" s="28" t="str">
        <f t="array" ref="B137">_xlfn.XLOOKUP($A137, 'Customer Names'!$A:$A, 'Customer Names'!B:B, "No Data")</f>
        <v>Neufeld</v>
      </c>
      <c r="C137" s="28">
        <f t="array" ref="C137">_xlfn.XLOOKUP($A137, 'Medical Examinations'!$A:$A, 'Medical Examinations'!B:B, "No Data")</f>
        <v>46.85</v>
      </c>
      <c r="D137" s="28">
        <f t="array" ref="D137">_xlfn.XLOOKUP($A137, 'Medical Examinations'!$A:$A, 'Medical Examinations'!C:C, "No Data")</f>
        <v>4.25</v>
      </c>
      <c r="E137" s="28" t="str">
        <f t="array" ref="E137">_xlfn.XLOOKUP($A137, 'Medical Examinations'!$A:$A, 'Medical Examinations'!D:D, "No Data")</f>
        <v>No</v>
      </c>
      <c r="F137" s="28" t="str">
        <f t="array" ref="F137">_xlfn.XLOOKUP($A137, 'Medical Examinations'!$A:$A, 'Medical Examinations'!E:E, "No Data")</f>
        <v>No</v>
      </c>
      <c r="G137" s="28" t="str">
        <f t="array" ref="G137">_xlfn.XLOOKUP($A137, 'Medical Examinations'!$A:$A, 'Medical Examinations'!F:F, "No Data")</f>
        <v>Yes</v>
      </c>
      <c r="H137" s="28">
        <f t="array" ref="H137">_xlfn.XLOOKUP($A137, 'Medical Examinations'!$A:$A, 'Medical Examinations'!G:G, "No Data")</f>
        <v>1</v>
      </c>
      <c r="I137" s="28" t="str">
        <f t="array" ref="I137">_xlfn.XLOOKUP($A137, 'Medical Examinations'!$A:$A, 'Medical Examinations'!H:H, "No Data")</f>
        <v>yes</v>
      </c>
      <c r="J137" s="28" t="str">
        <f t="array" ref="J137">_xlfn.XLOOKUP($A137, 'Medical Examinations'!$A:$A, 'Medical Examinations'!I:I, "No Data")</f>
        <v>Obesity</v>
      </c>
      <c r="K137" s="28" t="str">
        <f t="array" ref="K137">_xlfn.XLOOKUP($A137, 'Hospitalisation Details'!$A:$A, 'Hospitalisation Details'!I:I, "No Data")</f>
        <v>tier - 1</v>
      </c>
      <c r="L137" s="28" t="str">
        <f t="array" ref="L137">_xlfn.XLOOKUP($A137, 'Hospitalisation Details'!$A:$A, 'Hospitalisation Details'!J:J, "No Data")</f>
        <v>R1011</v>
      </c>
      <c r="M137" s="28" t="str">
        <f t="array" ref="M137">_xlfn.XLOOKUP($A137, 'Hospitalisation Details'!$A:$A, 'Hospitalisation Details'!E:E, "No Data")</f>
        <v>03/12/79</v>
      </c>
      <c r="N137" s="28">
        <f t="array" ref="N137">_xlfn.XLOOKUP($A137, 'Hospitalisation Details'!$A:$A, 'Hospitalisation Details'!K:K, "No Data")</f>
        <v>43</v>
      </c>
      <c r="O137" s="33">
        <f t="array" ref="O137">_xlfn.XLOOKUP($A137, 'Hospitalisation Details'!$A:$A, 'Hospitalisation Details'!G:G, "No Data")</f>
        <v>38836.98</v>
      </c>
      <c r="P137" s="28" t="str">
        <f t="array" ref="P137">_xlfn.XLOOKUP($A137, 'Hospitalisation Details'!$A:$A, 'Hospitalisation Details'!H:H, "No Data")</f>
        <v>tier - 2</v>
      </c>
    </row>
    <row r="138">
      <c r="A138" s="25" t="s">
        <v>452</v>
      </c>
      <c r="B138" s="28" t="str">
        <f t="array" ref="B138">_xlfn.XLOOKUP($A138, 'Customer Names'!$A:$A, 'Customer Names'!B:B, "No Data")</f>
        <v>Walhovd</v>
      </c>
      <c r="C138" s="28">
        <f t="array" ref="C138">_xlfn.XLOOKUP($A138, 'Medical Examinations'!$A:$A, 'Medical Examinations'!B:B, "No Data")</f>
        <v>42.24</v>
      </c>
      <c r="D138" s="28">
        <f t="array" ref="D138">_xlfn.XLOOKUP($A138, 'Medical Examinations'!$A:$A, 'Medical Examinations'!C:C, "No Data")</f>
        <v>5.55</v>
      </c>
      <c r="E138" s="28" t="str">
        <f t="array" ref="E138">_xlfn.XLOOKUP($A138, 'Medical Examinations'!$A:$A, 'Medical Examinations'!D:D, "No Data")</f>
        <v>No</v>
      </c>
      <c r="F138" s="28" t="str">
        <f t="array" ref="F138">_xlfn.XLOOKUP($A138, 'Medical Examinations'!$A:$A, 'Medical Examinations'!E:E, "No Data")</f>
        <v>yes</v>
      </c>
      <c r="G138" s="28" t="str">
        <f t="array" ref="G138">_xlfn.XLOOKUP($A138, 'Medical Examinations'!$A:$A, 'Medical Examinations'!F:F, "No Data")</f>
        <v>No</v>
      </c>
      <c r="H138" s="28">
        <f t="array" ref="H138">_xlfn.XLOOKUP($A138, 'Medical Examinations'!$A:$A, 'Medical Examinations'!G:G, "No Data")</f>
        <v>1</v>
      </c>
      <c r="I138" s="28" t="str">
        <f t="array" ref="I138">_xlfn.XLOOKUP($A138, 'Medical Examinations'!$A:$A, 'Medical Examinations'!H:H, "No Data")</f>
        <v>yes</v>
      </c>
      <c r="J138" s="28" t="str">
        <f t="array" ref="J138">_xlfn.XLOOKUP($A138, 'Medical Examinations'!$A:$A, 'Medical Examinations'!I:I, "No Data")</f>
        <v>Obesity</v>
      </c>
      <c r="K138" s="28" t="str">
        <f t="array" ref="K138">_xlfn.XLOOKUP($A138, 'Hospitalisation Details'!$A:$A, 'Hospitalisation Details'!I:I, "No Data")</f>
        <v>tier - 2</v>
      </c>
      <c r="L138" s="28" t="str">
        <f t="array" ref="L138">_xlfn.XLOOKUP($A138, 'Hospitalisation Details'!$A:$A, 'Hospitalisation Details'!J:J, "No Data")</f>
        <v>R1013</v>
      </c>
      <c r="M138" s="28" t="str">
        <f t="array" ref="M138">_xlfn.XLOOKUP($A138, 'Hospitalisation Details'!$A:$A, 'Hospitalisation Details'!E:E, "No Data")</f>
        <v>05/12/04</v>
      </c>
      <c r="N138" s="28">
        <f t="array" ref="N138">_xlfn.XLOOKUP($A138, 'Hospitalisation Details'!$A:$A, 'Hospitalisation Details'!K:K, "No Data")</f>
        <v>18</v>
      </c>
      <c r="O138" s="33">
        <f t="array" ref="O138">_xlfn.XLOOKUP($A138, 'Hospitalisation Details'!$A:$A, 'Hospitalisation Details'!G:G, "No Data")</f>
        <v>38792.69</v>
      </c>
      <c r="P138" s="28" t="str">
        <f t="array" ref="P138">_xlfn.XLOOKUP($A138, 'Hospitalisation Details'!$A:$A, 'Hospitalisation Details'!H:H, "No Data")</f>
        <v>tier - 2</v>
      </c>
    </row>
    <row r="139">
      <c r="A139" s="25" t="s">
        <v>456</v>
      </c>
      <c r="B139" s="28" t="str">
        <f t="array" ref="B139">_xlfn.XLOOKUP($A139, 'Customer Names'!$A:$A, 'Customer Names'!B:B, "No Data")</f>
        <v>Washburn</v>
      </c>
      <c r="C139" s="28">
        <f t="array" ref="C139">_xlfn.XLOOKUP($A139, 'Medical Examinations'!$A:$A, 'Medical Examinations'!B:B, "No Data")</f>
        <v>34.39</v>
      </c>
      <c r="D139" s="28">
        <f t="array" ref="D139">_xlfn.XLOOKUP($A139, 'Medical Examinations'!$A:$A, 'Medical Examinations'!C:C, "No Data")</f>
        <v>5.78</v>
      </c>
      <c r="E139" s="28" t="str">
        <f t="array" ref="E139">_xlfn.XLOOKUP($A139, 'Medical Examinations'!$A:$A, 'Medical Examinations'!D:D, "No Data")</f>
        <v>No</v>
      </c>
      <c r="F139" s="28" t="str">
        <f t="array" ref="F139">_xlfn.XLOOKUP($A139, 'Medical Examinations'!$A:$A, 'Medical Examinations'!E:E, "No Data")</f>
        <v>No</v>
      </c>
      <c r="G139" s="28" t="str">
        <f t="array" ref="G139">_xlfn.XLOOKUP($A139, 'Medical Examinations'!$A:$A, 'Medical Examinations'!F:F, "No Data")</f>
        <v>No</v>
      </c>
      <c r="H139" s="28">
        <f t="array" ref="H139">_xlfn.XLOOKUP($A139, 'Medical Examinations'!$A:$A, 'Medical Examinations'!G:G, "No Data")</f>
        <v>0</v>
      </c>
      <c r="I139" s="28" t="str">
        <f t="array" ref="I139">_xlfn.XLOOKUP($A139, 'Medical Examinations'!$A:$A, 'Medical Examinations'!H:H, "No Data")</f>
        <v>yes</v>
      </c>
      <c r="J139" s="28" t="str">
        <f t="array" ref="J139">_xlfn.XLOOKUP($A139, 'Medical Examinations'!$A:$A, 'Medical Examinations'!I:I, "No Data")</f>
        <v>Obesity</v>
      </c>
      <c r="K139" s="28" t="str">
        <f t="array" ref="K139">_xlfn.XLOOKUP($A139, 'Hospitalisation Details'!$A:$A, 'Hospitalisation Details'!I:I, "No Data")</f>
        <v>tier - 2</v>
      </c>
      <c r="L139" s="28" t="str">
        <f t="array" ref="L139">_xlfn.XLOOKUP($A139, 'Hospitalisation Details'!$A:$A, 'Hospitalisation Details'!J:J, "No Data")</f>
        <v>R1012</v>
      </c>
      <c r="M139" s="28" t="str">
        <f t="array" ref="M139">_xlfn.XLOOKUP($A139, 'Hospitalisation Details'!$A:$A, 'Hospitalisation Details'!E:E, "No Data")</f>
        <v>08/11/91</v>
      </c>
      <c r="N139" s="28">
        <f t="array" ref="N139">_xlfn.XLOOKUP($A139, 'Hospitalisation Details'!$A:$A, 'Hospitalisation Details'!K:K, "No Data")</f>
        <v>31</v>
      </c>
      <c r="O139" s="33">
        <f t="array" ref="O139">_xlfn.XLOOKUP($A139, 'Hospitalisation Details'!$A:$A, 'Hospitalisation Details'!G:G, "No Data")</f>
        <v>38746.36</v>
      </c>
      <c r="P139" s="28" t="str">
        <f t="array" ref="P139">_xlfn.XLOOKUP($A139, 'Hospitalisation Details'!$A:$A, 'Hospitalisation Details'!H:H, "No Data")</f>
        <v>tier - 1</v>
      </c>
    </row>
    <row r="140">
      <c r="A140" s="25" t="s">
        <v>460</v>
      </c>
      <c r="B140" s="28" t="str">
        <f t="array" ref="B140">_xlfn.XLOOKUP($A140, 'Customer Names'!$A:$A, 'Customer Names'!B:B, "No Data")</f>
        <v>Mroz</v>
      </c>
      <c r="C140" s="28">
        <f t="array" ref="C140">_xlfn.XLOOKUP($A140, 'Medical Examinations'!$A:$A, 'Medical Examinations'!B:B, "No Data")</f>
        <v>42.89</v>
      </c>
      <c r="D140" s="28">
        <f t="array" ref="D140">_xlfn.XLOOKUP($A140, 'Medical Examinations'!$A:$A, 'Medical Examinations'!C:C, "No Data")</f>
        <v>5.28</v>
      </c>
      <c r="E140" s="28" t="str">
        <f t="array" ref="E140">_xlfn.XLOOKUP($A140, 'Medical Examinations'!$A:$A, 'Medical Examinations'!D:D, "No Data")</f>
        <v>yes</v>
      </c>
      <c r="F140" s="28" t="str">
        <f t="array" ref="F140">_xlfn.XLOOKUP($A140, 'Medical Examinations'!$A:$A, 'Medical Examinations'!E:E, "No Data")</f>
        <v>No</v>
      </c>
      <c r="G140" s="28" t="str">
        <f t="array" ref="G140">_xlfn.XLOOKUP($A140, 'Medical Examinations'!$A:$A, 'Medical Examinations'!F:F, "No Data")</f>
        <v>No</v>
      </c>
      <c r="H140" s="28">
        <f t="array" ref="H140">_xlfn.XLOOKUP($A140, 'Medical Examinations'!$A:$A, 'Medical Examinations'!G:G, "No Data")</f>
        <v>0</v>
      </c>
      <c r="I140" s="28" t="str">
        <f t="array" ref="I140">_xlfn.XLOOKUP($A140, 'Medical Examinations'!$A:$A, 'Medical Examinations'!H:H, "No Data")</f>
        <v>yes</v>
      </c>
      <c r="J140" s="28" t="str">
        <f t="array" ref="J140">_xlfn.XLOOKUP($A140, 'Medical Examinations'!$A:$A, 'Medical Examinations'!I:I, "No Data")</f>
        <v>Obesity</v>
      </c>
      <c r="K140" s="28" t="str">
        <f t="array" ref="K140">_xlfn.XLOOKUP($A140, 'Hospitalisation Details'!$A:$A, 'Hospitalisation Details'!I:I, "No Data")</f>
        <v>tier - 2</v>
      </c>
      <c r="L140" s="28" t="str">
        <f t="array" ref="L140">_xlfn.XLOOKUP($A140, 'Hospitalisation Details'!$A:$A, 'Hospitalisation Details'!J:J, "No Data")</f>
        <v>R1012</v>
      </c>
      <c r="M140" s="28" t="str">
        <f t="array" ref="M140">_xlfn.XLOOKUP($A140, 'Hospitalisation Details'!$A:$A, 'Hospitalisation Details'!E:E, "No Data")</f>
        <v>15/06/76</v>
      </c>
      <c r="N140" s="28">
        <f t="array" ref="N140">_xlfn.XLOOKUP($A140, 'Hospitalisation Details'!$A:$A, 'Hospitalisation Details'!K:K, "No Data")</f>
        <v>46</v>
      </c>
      <c r="O140" s="33">
        <f t="array" ref="O140">_xlfn.XLOOKUP($A140, 'Hospitalisation Details'!$A:$A, 'Hospitalisation Details'!G:G, "No Data")</f>
        <v>38740.12</v>
      </c>
      <c r="P140" s="28" t="str">
        <f t="array" ref="P140">_xlfn.XLOOKUP($A140, 'Hospitalisation Details'!$A:$A, 'Hospitalisation Details'!H:H, "No Data")</f>
        <v>tier - 2</v>
      </c>
    </row>
    <row r="141">
      <c r="A141" s="25" t="s">
        <v>463</v>
      </c>
      <c r="B141" s="28" t="str">
        <f t="array" ref="B141">_xlfn.XLOOKUP($A141, 'Customer Names'!$A:$A, 'Customer Names'!B:B, "No Data")</f>
        <v>Canaday</v>
      </c>
      <c r="C141" s="28">
        <f t="array" ref="C141">_xlfn.XLOOKUP($A141, 'Medical Examinations'!$A:$A, 'Medical Examinations'!B:B, "No Data")</f>
        <v>36.3</v>
      </c>
      <c r="D141" s="28">
        <f t="array" ref="D141">_xlfn.XLOOKUP($A141, 'Medical Examinations'!$A:$A, 'Medical Examinations'!C:C, "No Data")</f>
        <v>5.39</v>
      </c>
      <c r="E141" s="28" t="str">
        <f t="array" ref="E141">_xlfn.XLOOKUP($A141, 'Medical Examinations'!$A:$A, 'Medical Examinations'!D:D, "No Data")</f>
        <v>No</v>
      </c>
      <c r="F141" s="28" t="str">
        <f t="array" ref="F141">_xlfn.XLOOKUP($A141, 'Medical Examinations'!$A:$A, 'Medical Examinations'!E:E, "No Data")</f>
        <v>No</v>
      </c>
      <c r="G141" s="28" t="str">
        <f t="array" ref="G141">_xlfn.XLOOKUP($A141, 'Medical Examinations'!$A:$A, 'Medical Examinations'!F:F, "No Data")</f>
        <v>No</v>
      </c>
      <c r="H141" s="28">
        <f t="array" ref="H141">_xlfn.XLOOKUP($A141, 'Medical Examinations'!$A:$A, 'Medical Examinations'!G:G, "No Data")</f>
        <v>0</v>
      </c>
      <c r="I141" s="28" t="str">
        <f t="array" ref="I141">_xlfn.XLOOKUP($A141, 'Medical Examinations'!$A:$A, 'Medical Examinations'!H:H, "No Data")</f>
        <v>yes</v>
      </c>
      <c r="J141" s="28" t="str">
        <f t="array" ref="J141">_xlfn.XLOOKUP($A141, 'Medical Examinations'!$A:$A, 'Medical Examinations'!I:I, "No Data")</f>
        <v>Obesity</v>
      </c>
      <c r="K141" s="28" t="str">
        <f t="array" ref="K141">_xlfn.XLOOKUP($A141, 'Hospitalisation Details'!$A:$A, 'Hospitalisation Details'!I:I, "No Data")</f>
        <v>tier - 2</v>
      </c>
      <c r="L141" s="28" t="str">
        <f t="array" ref="L141">_xlfn.XLOOKUP($A141, 'Hospitalisation Details'!$A:$A, 'Hospitalisation Details'!J:J, "No Data")</f>
        <v>R1011</v>
      </c>
      <c r="M141" s="28" t="str">
        <f t="array" ref="M141">_xlfn.XLOOKUP($A141, 'Hospitalisation Details'!$A:$A, 'Hospitalisation Details'!E:E, "No Data")</f>
        <v>02/11/91</v>
      </c>
      <c r="N141" s="28">
        <f t="array" ref="N141">_xlfn.XLOOKUP($A141, 'Hospitalisation Details'!$A:$A, 'Hospitalisation Details'!K:K, "No Data")</f>
        <v>31</v>
      </c>
      <c r="O141" s="33">
        <f t="array" ref="O141">_xlfn.XLOOKUP($A141, 'Hospitalisation Details'!$A:$A, 'Hospitalisation Details'!G:G, "No Data")</f>
        <v>38711</v>
      </c>
      <c r="P141" s="28" t="str">
        <f t="array" ref="P141">_xlfn.XLOOKUP($A141, 'Hospitalisation Details'!$A:$A, 'Hospitalisation Details'!H:H, "No Data")</f>
        <v>tier - 2</v>
      </c>
    </row>
    <row r="142">
      <c r="A142" s="25" t="s">
        <v>466</v>
      </c>
      <c r="B142" s="28" t="str">
        <f t="array" ref="B142">_xlfn.XLOOKUP($A142, 'Customer Names'!$A:$A, 'Customer Names'!B:B, "No Data")</f>
        <v>Atkins</v>
      </c>
      <c r="C142" s="28">
        <f t="array" ref="C142">_xlfn.XLOOKUP($A142, 'Medical Examinations'!$A:$A, 'Medical Examinations'!B:B, "No Data")</f>
        <v>35.2</v>
      </c>
      <c r="D142" s="28">
        <f t="array" ref="D142">_xlfn.XLOOKUP($A142, 'Medical Examinations'!$A:$A, 'Medical Examinations'!C:C, "No Data")</f>
        <v>8.01</v>
      </c>
      <c r="E142" s="28" t="str">
        <f t="array" ref="E142">_xlfn.XLOOKUP($A142, 'Medical Examinations'!$A:$A, 'Medical Examinations'!D:D, "No Data")</f>
        <v>yes</v>
      </c>
      <c r="F142" s="28" t="str">
        <f t="array" ref="F142">_xlfn.XLOOKUP($A142, 'Medical Examinations'!$A:$A, 'Medical Examinations'!E:E, "No Data")</f>
        <v>No</v>
      </c>
      <c r="G142" s="28" t="str">
        <f t="array" ref="G142">_xlfn.XLOOKUP($A142, 'Medical Examinations'!$A:$A, 'Medical Examinations'!F:F, "No Data")</f>
        <v>No</v>
      </c>
      <c r="H142" s="28">
        <f t="array" ref="H142">_xlfn.XLOOKUP($A142, 'Medical Examinations'!$A:$A, 'Medical Examinations'!G:G, "No Data")</f>
        <v>1</v>
      </c>
      <c r="I142" s="28" t="str">
        <f t="array" ref="I142">_xlfn.XLOOKUP($A142, 'Medical Examinations'!$A:$A, 'Medical Examinations'!H:H, "No Data")</f>
        <v>yes</v>
      </c>
      <c r="J142" s="28" t="str">
        <f t="array" ref="J142">_xlfn.XLOOKUP($A142, 'Medical Examinations'!$A:$A, 'Medical Examinations'!I:I, "No Data")</f>
        <v>Obesity</v>
      </c>
      <c r="K142" s="28" t="str">
        <f t="array" ref="K142">_xlfn.XLOOKUP($A142, 'Hospitalisation Details'!$A:$A, 'Hospitalisation Details'!I:I, "No Data")</f>
        <v>tier - 3</v>
      </c>
      <c r="L142" s="28" t="str">
        <f t="array" ref="L142">_xlfn.XLOOKUP($A142, 'Hospitalisation Details'!$A:$A, 'Hospitalisation Details'!J:J, "No Data")</f>
        <v>R1013</v>
      </c>
      <c r="M142" s="28" t="str">
        <f t="array" ref="M142">_xlfn.XLOOKUP($A142, 'Hospitalisation Details'!$A:$A, 'Hospitalisation Details'!E:E, "No Data")</f>
        <v>20/07/86</v>
      </c>
      <c r="N142" s="28">
        <f t="array" ref="N142">_xlfn.XLOOKUP($A142, 'Hospitalisation Details'!$A:$A, 'Hospitalisation Details'!K:K, "No Data")</f>
        <v>36</v>
      </c>
      <c r="O142" s="33">
        <f t="array" ref="O142">_xlfn.XLOOKUP($A142, 'Hospitalisation Details'!$A:$A, 'Hospitalisation Details'!G:G, "No Data")</f>
        <v>38709.18</v>
      </c>
      <c r="P142" s="28" t="str">
        <f t="array" ref="P142">_xlfn.XLOOKUP($A142, 'Hospitalisation Details'!$A:$A, 'Hospitalisation Details'!H:H, "No Data")</f>
        <v>tier - 1</v>
      </c>
    </row>
    <row r="143">
      <c r="A143" s="25" t="s">
        <v>470</v>
      </c>
      <c r="B143" s="28" t="str">
        <f t="array" ref="B143">_xlfn.XLOOKUP($A143, 'Customer Names'!$A:$A, 'Customer Names'!B:B, "No Data")</f>
        <v>Kropelnicki</v>
      </c>
      <c r="C143" s="28">
        <f t="array" ref="C143">_xlfn.XLOOKUP($A143, 'Medical Examinations'!$A:$A, 'Medical Examinations'!B:B, "No Data")</f>
        <v>53.62</v>
      </c>
      <c r="D143" s="28">
        <f t="array" ref="D143">_xlfn.XLOOKUP($A143, 'Medical Examinations'!$A:$A, 'Medical Examinations'!C:C, "No Data")</f>
        <v>5.21</v>
      </c>
      <c r="E143" s="28" t="str">
        <f t="array" ref="E143">_xlfn.XLOOKUP($A143, 'Medical Examinations'!$A:$A, 'Medical Examinations'!D:D, "No Data")</f>
        <v>No</v>
      </c>
      <c r="F143" s="28" t="str">
        <f t="array" ref="F143">_xlfn.XLOOKUP($A143, 'Medical Examinations'!$A:$A, 'Medical Examinations'!E:E, "No Data")</f>
        <v>No</v>
      </c>
      <c r="G143" s="28" t="str">
        <f t="array" ref="G143">_xlfn.XLOOKUP($A143, 'Medical Examinations'!$A:$A, 'Medical Examinations'!F:F, "No Data")</f>
        <v>No</v>
      </c>
      <c r="H143" s="28">
        <f t="array" ref="H143">_xlfn.XLOOKUP($A143, 'Medical Examinations'!$A:$A, 'Medical Examinations'!G:G, "No Data")</f>
        <v>0</v>
      </c>
      <c r="I143" s="28" t="str">
        <f t="array" ref="I143">_xlfn.XLOOKUP($A143, 'Medical Examinations'!$A:$A, 'Medical Examinations'!H:H, "No Data")</f>
        <v>yes</v>
      </c>
      <c r="J143" s="28" t="str">
        <f t="array" ref="J143">_xlfn.XLOOKUP($A143, 'Medical Examinations'!$A:$A, 'Medical Examinations'!I:I, "No Data")</f>
        <v>Obesity</v>
      </c>
      <c r="K143" s="28" t="str">
        <f t="array" ref="K143">_xlfn.XLOOKUP($A143, 'Hospitalisation Details'!$A:$A, 'Hospitalisation Details'!I:I, "No Data")</f>
        <v>tier - 2</v>
      </c>
      <c r="L143" s="28" t="str">
        <f t="array" ref="L143">_xlfn.XLOOKUP($A143, 'Hospitalisation Details'!$A:$A, 'Hospitalisation Details'!J:J, "No Data")</f>
        <v>R1011</v>
      </c>
      <c r="M143" s="28" t="str">
        <f t="array" ref="M143">_xlfn.XLOOKUP($A143, 'Hospitalisation Details'!$A:$A, 'Hospitalisation Details'!E:E, "No Data")</f>
        <v>13/07/90</v>
      </c>
      <c r="N143" s="28">
        <f t="array" ref="N143">_xlfn.XLOOKUP($A143, 'Hospitalisation Details'!$A:$A, 'Hospitalisation Details'!K:K, "No Data")</f>
        <v>32</v>
      </c>
      <c r="O143" s="33">
        <f t="array" ref="O143">_xlfn.XLOOKUP($A143, 'Hospitalisation Details'!$A:$A, 'Hospitalisation Details'!G:G, "No Data")</f>
        <v>38652.09</v>
      </c>
      <c r="P143" s="28" t="str">
        <f t="array" ref="P143">_xlfn.XLOOKUP($A143, 'Hospitalisation Details'!$A:$A, 'Hospitalisation Details'!H:H, "No Data")</f>
        <v>tier - 2</v>
      </c>
    </row>
    <row r="144">
      <c r="A144" s="25" t="s">
        <v>473</v>
      </c>
      <c r="B144" s="28" t="str">
        <f t="array" ref="B144">_xlfn.XLOOKUP($A144, 'Customer Names'!$A:$A, 'Customer Names'!B:B, "No Data")</f>
        <v>Braund</v>
      </c>
      <c r="C144" s="28">
        <f t="array" ref="C144">_xlfn.XLOOKUP($A144, 'Medical Examinations'!$A:$A, 'Medical Examinations'!B:B, "No Data")</f>
        <v>36.67</v>
      </c>
      <c r="D144" s="28">
        <f t="array" ref="D144">_xlfn.XLOOKUP($A144, 'Medical Examinations'!$A:$A, 'Medical Examinations'!C:C, "No Data")</f>
        <v>6.27</v>
      </c>
      <c r="E144" s="28" t="str">
        <f t="array" ref="E144">_xlfn.XLOOKUP($A144, 'Medical Examinations'!$A:$A, 'Medical Examinations'!D:D, "No Data")</f>
        <v>No</v>
      </c>
      <c r="F144" s="28" t="str">
        <f t="array" ref="F144">_xlfn.XLOOKUP($A144, 'Medical Examinations'!$A:$A, 'Medical Examinations'!E:E, "No Data")</f>
        <v>No</v>
      </c>
      <c r="G144" s="28" t="str">
        <f t="array" ref="G144">_xlfn.XLOOKUP($A144, 'Medical Examinations'!$A:$A, 'Medical Examinations'!F:F, "No Data")</f>
        <v>No</v>
      </c>
      <c r="H144" s="28">
        <f t="array" ref="H144">_xlfn.XLOOKUP($A144, 'Medical Examinations'!$A:$A, 'Medical Examinations'!G:G, "No Data")</f>
        <v>0</v>
      </c>
      <c r="I144" s="28" t="str">
        <f t="array" ref="I144">_xlfn.XLOOKUP($A144, 'Medical Examinations'!$A:$A, 'Medical Examinations'!H:H, "No Data")</f>
        <v>yes</v>
      </c>
      <c r="J144" s="28" t="str">
        <f t="array" ref="J144">_xlfn.XLOOKUP($A144, 'Medical Examinations'!$A:$A, 'Medical Examinations'!I:I, "No Data")</f>
        <v>Obesity</v>
      </c>
      <c r="K144" s="28" t="str">
        <f t="array" ref="K144">_xlfn.XLOOKUP($A144, 'Hospitalisation Details'!$A:$A, 'Hospitalisation Details'!I:I, "No Data")</f>
        <v>tier - 2</v>
      </c>
      <c r="L144" s="28" t="str">
        <f t="array" ref="L144">_xlfn.XLOOKUP($A144, 'Hospitalisation Details'!$A:$A, 'Hospitalisation Details'!J:J, "No Data")</f>
        <v>R1024</v>
      </c>
      <c r="M144" s="28" t="str">
        <f t="array" ref="M144">_xlfn.XLOOKUP($A144, 'Hospitalisation Details'!$A:$A, 'Hospitalisation Details'!E:E, "No Data")</f>
        <v>12/11/99</v>
      </c>
      <c r="N144" s="28">
        <f t="array" ref="N144">_xlfn.XLOOKUP($A144, 'Hospitalisation Details'!$A:$A, 'Hospitalisation Details'!K:K, "No Data")</f>
        <v>23</v>
      </c>
      <c r="O144" s="33">
        <f t="array" ref="O144">_xlfn.XLOOKUP($A144, 'Hospitalisation Details'!$A:$A, 'Hospitalisation Details'!G:G, "No Data")</f>
        <v>38511.63</v>
      </c>
      <c r="P144" s="28" t="str">
        <f t="array" ref="P144">_xlfn.XLOOKUP($A144, 'Hospitalisation Details'!$A:$A, 'Hospitalisation Details'!H:H, "No Data")</f>
        <v>tier - 2</v>
      </c>
    </row>
    <row r="145">
      <c r="A145" s="25" t="s">
        <v>476</v>
      </c>
      <c r="B145" s="28" t="str">
        <f t="array" ref="B145">_xlfn.XLOOKUP($A145, 'Customer Names'!$A:$A, 'Customer Names'!B:B, "No Data")</f>
        <v>Anderson</v>
      </c>
      <c r="C145" s="28">
        <f t="array" ref="C145">_xlfn.XLOOKUP($A145, 'Medical Examinations'!$A:$A, 'Medical Examinations'!B:B, "No Data")</f>
        <v>33.4</v>
      </c>
      <c r="D145" s="28">
        <f t="array" ref="D145">_xlfn.XLOOKUP($A145, 'Medical Examinations'!$A:$A, 'Medical Examinations'!C:C, "No Data")</f>
        <v>10.73</v>
      </c>
      <c r="E145" s="28" t="str">
        <f t="array" ref="E145">_xlfn.XLOOKUP($A145, 'Medical Examinations'!$A:$A, 'Medical Examinations'!D:D, "No Data")</f>
        <v>yes</v>
      </c>
      <c r="F145" s="28" t="str">
        <f t="array" ref="F145">_xlfn.XLOOKUP($A145, 'Medical Examinations'!$A:$A, 'Medical Examinations'!E:E, "No Data")</f>
        <v>No</v>
      </c>
      <c r="G145" s="28" t="str">
        <f t="array" ref="G145">_xlfn.XLOOKUP($A145, 'Medical Examinations'!$A:$A, 'Medical Examinations'!F:F, "No Data")</f>
        <v>No</v>
      </c>
      <c r="H145" s="28">
        <f t="array" ref="H145">_xlfn.XLOOKUP($A145, 'Medical Examinations'!$A:$A, 'Medical Examinations'!G:G, "No Data")</f>
        <v>1</v>
      </c>
      <c r="I145" s="28" t="str">
        <f t="array" ref="I145">_xlfn.XLOOKUP($A145, 'Medical Examinations'!$A:$A, 'Medical Examinations'!H:H, "No Data")</f>
        <v>yes</v>
      </c>
      <c r="J145" s="28" t="str">
        <f t="array" ref="J145">_xlfn.XLOOKUP($A145, 'Medical Examinations'!$A:$A, 'Medical Examinations'!I:I, "No Data")</f>
        <v>Obesity</v>
      </c>
      <c r="K145" s="28" t="str">
        <f t="array" ref="K145">_xlfn.XLOOKUP($A145, 'Hospitalisation Details'!$A:$A, 'Hospitalisation Details'!I:I, "No Data")</f>
        <v>tier - 2</v>
      </c>
      <c r="L145" s="28" t="str">
        <f t="array" ref="L145">_xlfn.XLOOKUP($A145, 'Hospitalisation Details'!$A:$A, 'Hospitalisation Details'!J:J, "No Data")</f>
        <v>R1011</v>
      </c>
      <c r="M145" s="28" t="str">
        <f t="array" ref="M145">_xlfn.XLOOKUP($A145, 'Hospitalisation Details'!$A:$A, 'Hospitalisation Details'!E:E, "No Data")</f>
        <v>21/06/86</v>
      </c>
      <c r="N145" s="28">
        <f t="array" ref="N145">_xlfn.XLOOKUP($A145, 'Hospitalisation Details'!$A:$A, 'Hospitalisation Details'!K:K, "No Data")</f>
        <v>36</v>
      </c>
      <c r="O145" s="33">
        <f t="array" ref="O145">_xlfn.XLOOKUP($A145, 'Hospitalisation Details'!$A:$A, 'Hospitalisation Details'!G:G, "No Data")</f>
        <v>38415.47</v>
      </c>
      <c r="P145" s="28" t="str">
        <f t="array" ref="P145">_xlfn.XLOOKUP($A145, 'Hospitalisation Details'!$A:$A, 'Hospitalisation Details'!H:H, "No Data")</f>
        <v>tier - 1</v>
      </c>
    </row>
    <row r="146">
      <c r="A146" s="25" t="s">
        <v>479</v>
      </c>
      <c r="B146" s="28" t="str">
        <f t="array" ref="B146">_xlfn.XLOOKUP($A146, 'Customer Names'!$A:$A, 'Customer Names'!B:B, "No Data")</f>
        <v>Bilbrey</v>
      </c>
      <c r="C146" s="28">
        <f t="array" ref="C146">_xlfn.XLOOKUP($A146, 'Medical Examinations'!$A:$A, 'Medical Examinations'!B:B, "No Data")</f>
        <v>42.71</v>
      </c>
      <c r="D146" s="28">
        <f t="array" ref="D146">_xlfn.XLOOKUP($A146, 'Medical Examinations'!$A:$A, 'Medical Examinations'!C:C, "No Data")</f>
        <v>10.52</v>
      </c>
      <c r="E146" s="28" t="str">
        <f t="array" ref="E146">_xlfn.XLOOKUP($A146, 'Medical Examinations'!$A:$A, 'Medical Examinations'!D:D, "No Data")</f>
        <v>No</v>
      </c>
      <c r="F146" s="28" t="str">
        <f t="array" ref="F146">_xlfn.XLOOKUP($A146, 'Medical Examinations'!$A:$A, 'Medical Examinations'!E:E, "No Data")</f>
        <v>No</v>
      </c>
      <c r="G146" s="28" t="str">
        <f t="array" ref="G146">_xlfn.XLOOKUP($A146, 'Medical Examinations'!$A:$A, 'Medical Examinations'!F:F, "No Data")</f>
        <v>No</v>
      </c>
      <c r="H146" s="28">
        <f t="array" ref="H146">_xlfn.XLOOKUP($A146, 'Medical Examinations'!$A:$A, 'Medical Examinations'!G:G, "No Data")</f>
        <v>0</v>
      </c>
      <c r="I146" s="28" t="str">
        <f t="array" ref="I146">_xlfn.XLOOKUP($A146, 'Medical Examinations'!$A:$A, 'Medical Examinations'!H:H, "No Data")</f>
        <v>yes</v>
      </c>
      <c r="J146" s="28" t="str">
        <f t="array" ref="J146">_xlfn.XLOOKUP($A146, 'Medical Examinations'!$A:$A, 'Medical Examinations'!I:I, "No Data")</f>
        <v>Obesity</v>
      </c>
      <c r="K146" s="28" t="str">
        <f t="array" ref="K146">_xlfn.XLOOKUP($A146, 'Hospitalisation Details'!$A:$A, 'Hospitalisation Details'!I:I, "No Data")</f>
        <v>tier - 1</v>
      </c>
      <c r="L146" s="28" t="str">
        <f t="array" ref="L146">_xlfn.XLOOKUP($A146, 'Hospitalisation Details'!$A:$A, 'Hospitalisation Details'!J:J, "No Data")</f>
        <v>R1011</v>
      </c>
      <c r="M146" s="28" t="str">
        <f t="array" ref="M146">_xlfn.XLOOKUP($A146, 'Hospitalisation Details'!$A:$A, 'Hospitalisation Details'!E:E, "No Data")</f>
        <v>23/12/71</v>
      </c>
      <c r="N146" s="28">
        <f t="array" ref="N146">_xlfn.XLOOKUP($A146, 'Hospitalisation Details'!$A:$A, 'Hospitalisation Details'!K:K, "No Data")</f>
        <v>51</v>
      </c>
      <c r="O146" s="33">
        <f t="array" ref="O146">_xlfn.XLOOKUP($A146, 'Hospitalisation Details'!$A:$A, 'Hospitalisation Details'!G:G, "No Data")</f>
        <v>38405.26</v>
      </c>
      <c r="P146" s="28" t="str">
        <f t="array" ref="P146">_xlfn.XLOOKUP($A146, 'Hospitalisation Details'!$A:$A, 'Hospitalisation Details'!H:H, "No Data")</f>
        <v>tier - 2</v>
      </c>
    </row>
    <row r="147">
      <c r="A147" s="25" t="s">
        <v>483</v>
      </c>
      <c r="B147" s="28" t="str">
        <f t="array" ref="B147">_xlfn.XLOOKUP($A147, 'Customer Names'!$A:$A, 'Customer Names'!B:B, "No Data")</f>
        <v>Curtis</v>
      </c>
      <c r="C147" s="28">
        <f t="array" ref="C147">_xlfn.XLOOKUP($A147, 'Medical Examinations'!$A:$A, 'Medical Examinations'!B:B, "No Data")</f>
        <v>41.52</v>
      </c>
      <c r="D147" s="28">
        <f t="array" ref="D147">_xlfn.XLOOKUP($A147, 'Medical Examinations'!$A:$A, 'Medical Examinations'!C:C, "No Data")</f>
        <v>11.82</v>
      </c>
      <c r="E147" s="28" t="str">
        <f t="array" ref="E147">_xlfn.XLOOKUP($A147, 'Medical Examinations'!$A:$A, 'Medical Examinations'!D:D, "No Data")</f>
        <v>yes</v>
      </c>
      <c r="F147" s="28" t="str">
        <f t="array" ref="F147">_xlfn.XLOOKUP($A147, 'Medical Examinations'!$A:$A, 'Medical Examinations'!E:E, "No Data")</f>
        <v>No</v>
      </c>
      <c r="G147" s="28" t="str">
        <f t="array" ref="G147">_xlfn.XLOOKUP($A147, 'Medical Examinations'!$A:$A, 'Medical Examinations'!F:F, "No Data")</f>
        <v>No</v>
      </c>
      <c r="H147" s="28">
        <f t="array" ref="H147">_xlfn.XLOOKUP($A147, 'Medical Examinations'!$A:$A, 'Medical Examinations'!G:G, "No Data")</f>
        <v>2</v>
      </c>
      <c r="I147" s="28" t="str">
        <f t="array" ref="I147">_xlfn.XLOOKUP($A147, 'Medical Examinations'!$A:$A, 'Medical Examinations'!H:H, "No Data")</f>
        <v>yes</v>
      </c>
      <c r="J147" s="28" t="str">
        <f t="array" ref="J147">_xlfn.XLOOKUP($A147, 'Medical Examinations'!$A:$A, 'Medical Examinations'!I:I, "No Data")</f>
        <v>Obesity</v>
      </c>
      <c r="K147" s="28" t="str">
        <f t="array" ref="K147">_xlfn.XLOOKUP($A147, 'Hospitalisation Details'!$A:$A, 'Hospitalisation Details'!I:I, "No Data")</f>
        <v>tier - 3</v>
      </c>
      <c r="L147" s="28" t="str">
        <f t="array" ref="L147">_xlfn.XLOOKUP($A147, 'Hospitalisation Details'!$A:$A, 'Hospitalisation Details'!J:J, "No Data")</f>
        <v>R1011</v>
      </c>
      <c r="M147" s="28" t="str">
        <f t="array" ref="M147">_xlfn.XLOOKUP($A147, 'Hospitalisation Details'!$A:$A, 'Hospitalisation Details'!E:E, "No Data")</f>
        <v>22/08/70</v>
      </c>
      <c r="N147" s="28">
        <f t="array" ref="N147">_xlfn.XLOOKUP($A147, 'Hospitalisation Details'!$A:$A, 'Hospitalisation Details'!K:K, "No Data")</f>
        <v>52</v>
      </c>
      <c r="O147" s="33">
        <f t="array" ref="O147">_xlfn.XLOOKUP($A147, 'Hospitalisation Details'!$A:$A, 'Hospitalisation Details'!G:G, "No Data")</f>
        <v>38389.79</v>
      </c>
      <c r="P147" s="28" t="str">
        <f t="array" ref="P147">_xlfn.XLOOKUP($A147, 'Hospitalisation Details'!$A:$A, 'Hospitalisation Details'!H:H, "No Data")</f>
        <v>tier - 2</v>
      </c>
    </row>
    <row r="148">
      <c r="A148" s="25" t="s">
        <v>486</v>
      </c>
      <c r="B148" s="28" t="str">
        <f t="array" ref="B148">_xlfn.XLOOKUP($A148, 'Customer Names'!$A:$A, 'Customer Names'!B:B, "No Data")</f>
        <v>Meyer</v>
      </c>
      <c r="C148" s="28">
        <f t="array" ref="C148">_xlfn.XLOOKUP($A148, 'Medical Examinations'!$A:$A, 'Medical Examinations'!B:B, "No Data")</f>
        <v>39.4</v>
      </c>
      <c r="D148" s="28">
        <f t="array" ref="D148">_xlfn.XLOOKUP($A148, 'Medical Examinations'!$A:$A, 'Medical Examinations'!C:C, "No Data")</f>
        <v>6.76</v>
      </c>
      <c r="E148" s="28" t="str">
        <f t="array" ref="E148">_xlfn.XLOOKUP($A148, 'Medical Examinations'!$A:$A, 'Medical Examinations'!D:D, "No Data")</f>
        <v>No</v>
      </c>
      <c r="F148" s="28" t="str">
        <f t="array" ref="F148">_xlfn.XLOOKUP($A148, 'Medical Examinations'!$A:$A, 'Medical Examinations'!E:E, "No Data")</f>
        <v>No</v>
      </c>
      <c r="G148" s="28" t="str">
        <f t="array" ref="G148">_xlfn.XLOOKUP($A148, 'Medical Examinations'!$A:$A, 'Medical Examinations'!F:F, "No Data")</f>
        <v>No</v>
      </c>
      <c r="H148" s="28">
        <f t="array" ref="H148">_xlfn.XLOOKUP($A148, 'Medical Examinations'!$A:$A, 'Medical Examinations'!G:G, "No Data")</f>
        <v>0</v>
      </c>
      <c r="I148" s="28" t="str">
        <f t="array" ref="I148">_xlfn.XLOOKUP($A148, 'Medical Examinations'!$A:$A, 'Medical Examinations'!H:H, "No Data")</f>
        <v>yes</v>
      </c>
      <c r="J148" s="28" t="str">
        <f t="array" ref="J148">_xlfn.XLOOKUP($A148, 'Medical Examinations'!$A:$A, 'Medical Examinations'!I:I, "No Data")</f>
        <v>Obesity</v>
      </c>
      <c r="K148" s="28" t="str">
        <f t="array" ref="K148">_xlfn.XLOOKUP($A148, 'Hospitalisation Details'!$A:$A, 'Hospitalisation Details'!I:I, "No Data")</f>
        <v>tier - 3</v>
      </c>
      <c r="L148" s="28" t="str">
        <f t="array" ref="L148">_xlfn.XLOOKUP($A148, 'Hospitalisation Details'!$A:$A, 'Hospitalisation Details'!J:J, "No Data")</f>
        <v>R1011</v>
      </c>
      <c r="M148" s="28" t="str">
        <f t="array" ref="M148">_xlfn.XLOOKUP($A148, 'Hospitalisation Details'!$A:$A, 'Hospitalisation Details'!E:E, "No Data")</f>
        <v>17/09/02</v>
      </c>
      <c r="N148" s="28">
        <f t="array" ref="N148">_xlfn.XLOOKUP($A148, 'Hospitalisation Details'!$A:$A, 'Hospitalisation Details'!K:K, "No Data")</f>
        <v>20</v>
      </c>
      <c r="O148" s="33">
        <f t="array" ref="O148">_xlfn.XLOOKUP($A148, 'Hospitalisation Details'!$A:$A, 'Hospitalisation Details'!G:G, "No Data")</f>
        <v>38344.57</v>
      </c>
      <c r="P148" s="28" t="str">
        <f t="array" ref="P148">_xlfn.XLOOKUP($A148, 'Hospitalisation Details'!$A:$A, 'Hospitalisation Details'!H:H, "No Data")</f>
        <v>tier - 1</v>
      </c>
    </row>
    <row r="149">
      <c r="A149" s="25" t="s">
        <v>488</v>
      </c>
      <c r="B149" s="28" t="str">
        <f t="array" ref="B149">_xlfn.XLOOKUP($A149, 'Customer Names'!$A:$A, 'Customer Names'!B:B, "No Data")</f>
        <v>Bardeesy</v>
      </c>
      <c r="C149" s="28">
        <f t="array" ref="C149">_xlfn.XLOOKUP($A149, 'Medical Examinations'!$A:$A, 'Medical Examinations'!B:B, "No Data")</f>
        <v>46.45</v>
      </c>
      <c r="D149" s="28">
        <f t="array" ref="D149">_xlfn.XLOOKUP($A149, 'Medical Examinations'!$A:$A, 'Medical Examinations'!C:C, "No Data")</f>
        <v>5.62</v>
      </c>
      <c r="E149" s="28" t="str">
        <f t="array" ref="E149">_xlfn.XLOOKUP($A149, 'Medical Examinations'!$A:$A, 'Medical Examinations'!D:D, "No Data")</f>
        <v>No</v>
      </c>
      <c r="F149" s="28" t="str">
        <f t="array" ref="F149">_xlfn.XLOOKUP($A149, 'Medical Examinations'!$A:$A, 'Medical Examinations'!E:E, "No Data")</f>
        <v>No</v>
      </c>
      <c r="G149" s="28" t="str">
        <f t="array" ref="G149">_xlfn.XLOOKUP($A149, 'Medical Examinations'!$A:$A, 'Medical Examinations'!F:F, "No Data")</f>
        <v>No</v>
      </c>
      <c r="H149" s="28">
        <f t="array" ref="H149">_xlfn.XLOOKUP($A149, 'Medical Examinations'!$A:$A, 'Medical Examinations'!G:G, "No Data")</f>
        <v>0</v>
      </c>
      <c r="I149" s="28" t="str">
        <f t="array" ref="I149">_xlfn.XLOOKUP($A149, 'Medical Examinations'!$A:$A, 'Medical Examinations'!H:H, "No Data")</f>
        <v>yes</v>
      </c>
      <c r="J149" s="28" t="str">
        <f t="array" ref="J149">_xlfn.XLOOKUP($A149, 'Medical Examinations'!$A:$A, 'Medical Examinations'!I:I, "No Data")</f>
        <v>Obesity</v>
      </c>
      <c r="K149" s="28" t="str">
        <f t="array" ref="K149">_xlfn.XLOOKUP($A149, 'Hospitalisation Details'!$A:$A, 'Hospitalisation Details'!I:I, "No Data")</f>
        <v>tier - 3</v>
      </c>
      <c r="L149" s="28" t="str">
        <f t="array" ref="L149">_xlfn.XLOOKUP($A149, 'Hospitalisation Details'!$A:$A, 'Hospitalisation Details'!J:J, "No Data")</f>
        <v>R1011</v>
      </c>
      <c r="M149" s="28" t="str">
        <f t="array" ref="M149">_xlfn.XLOOKUP($A149, 'Hospitalisation Details'!$A:$A, 'Hospitalisation Details'!E:E, "No Data")</f>
        <v>12/06/80</v>
      </c>
      <c r="N149" s="28">
        <f t="array" ref="N149">_xlfn.XLOOKUP($A149, 'Hospitalisation Details'!$A:$A, 'Hospitalisation Details'!K:K, "No Data")</f>
        <v>42</v>
      </c>
      <c r="O149" s="33">
        <f t="array" ref="O149">_xlfn.XLOOKUP($A149, 'Hospitalisation Details'!$A:$A, 'Hospitalisation Details'!G:G, "No Data")</f>
        <v>38313.13</v>
      </c>
      <c r="P149" s="28" t="str">
        <f t="array" ref="P149">_xlfn.XLOOKUP($A149, 'Hospitalisation Details'!$A:$A, 'Hospitalisation Details'!H:H, "No Data")</f>
        <v>tier - 1</v>
      </c>
    </row>
    <row r="150">
      <c r="A150" s="25" t="s">
        <v>491</v>
      </c>
      <c r="B150" s="28" t="str">
        <f t="array" ref="B150">_xlfn.XLOOKUP($A150, 'Customer Names'!$A:$A, 'Customer Names'!B:B, "No Data")</f>
        <v>Shanahan</v>
      </c>
      <c r="C150" s="28">
        <f t="array" ref="C150">_xlfn.XLOOKUP($A150, 'Medical Examinations'!$A:$A, 'Medical Examinations'!B:B, "No Data")</f>
        <v>35.75</v>
      </c>
      <c r="D150" s="28">
        <f t="array" ref="D150">_xlfn.XLOOKUP($A150, 'Medical Examinations'!$A:$A, 'Medical Examinations'!C:C, "No Data")</f>
        <v>4.19</v>
      </c>
      <c r="E150" s="28" t="str">
        <f t="array" ref="E150">_xlfn.XLOOKUP($A150, 'Medical Examinations'!$A:$A, 'Medical Examinations'!D:D, "No Data")</f>
        <v>No</v>
      </c>
      <c r="F150" s="28" t="str">
        <f t="array" ref="F150">_xlfn.XLOOKUP($A150, 'Medical Examinations'!$A:$A, 'Medical Examinations'!E:E, "No Data")</f>
        <v>No</v>
      </c>
      <c r="G150" s="28" t="str">
        <f t="array" ref="G150">_xlfn.XLOOKUP($A150, 'Medical Examinations'!$A:$A, 'Medical Examinations'!F:F, "No Data")</f>
        <v>No</v>
      </c>
      <c r="H150" s="28">
        <f t="array" ref="H150">_xlfn.XLOOKUP($A150, 'Medical Examinations'!$A:$A, 'Medical Examinations'!G:G, "No Data")</f>
        <v>0</v>
      </c>
      <c r="I150" s="28" t="str">
        <f t="array" ref="I150">_xlfn.XLOOKUP($A150, 'Medical Examinations'!$A:$A, 'Medical Examinations'!H:H, "No Data")</f>
        <v>yes</v>
      </c>
      <c r="J150" s="28" t="str">
        <f t="array" ref="J150">_xlfn.XLOOKUP($A150, 'Medical Examinations'!$A:$A, 'Medical Examinations'!I:I, "No Data")</f>
        <v>Obesity</v>
      </c>
      <c r="K150" s="28" t="str">
        <f t="array" ref="K150">_xlfn.XLOOKUP($A150, 'Hospitalisation Details'!$A:$A, 'Hospitalisation Details'!I:I, "No Data")</f>
        <v>tier - 2</v>
      </c>
      <c r="L150" s="28" t="str">
        <f t="array" ref="L150">_xlfn.XLOOKUP($A150, 'Hospitalisation Details'!$A:$A, 'Hospitalisation Details'!J:J, "No Data")</f>
        <v>R1013</v>
      </c>
      <c r="M150" s="28" t="str">
        <f t="array" ref="M150">_xlfn.XLOOKUP($A150, 'Hospitalisation Details'!$A:$A, 'Hospitalisation Details'!E:E, "No Data")</f>
        <v>30/10/89</v>
      </c>
      <c r="N150" s="28">
        <f t="array" ref="N150">_xlfn.XLOOKUP($A150, 'Hospitalisation Details'!$A:$A, 'Hospitalisation Details'!K:K, "No Data")</f>
        <v>33</v>
      </c>
      <c r="O150" s="33">
        <f t="array" ref="O150">_xlfn.XLOOKUP($A150, 'Hospitalisation Details'!$A:$A, 'Hospitalisation Details'!G:G, "No Data")</f>
        <v>38282.75</v>
      </c>
      <c r="P150" s="28" t="str">
        <f t="array" ref="P150">_xlfn.XLOOKUP($A150, 'Hospitalisation Details'!$A:$A, 'Hospitalisation Details'!H:H, "No Data")</f>
        <v>tier - 1</v>
      </c>
    </row>
    <row r="151">
      <c r="A151" s="25" t="s">
        <v>494</v>
      </c>
      <c r="B151" s="28" t="str">
        <f t="array" ref="B151">_xlfn.XLOOKUP($A151, 'Customer Names'!$A:$A, 'Customer Names'!B:B, "No Data")</f>
        <v>Sutter</v>
      </c>
      <c r="C151" s="28">
        <f t="array" ref="C151">_xlfn.XLOOKUP($A151, 'Medical Examinations'!$A:$A, 'Medical Examinations'!B:B, "No Data")</f>
        <v>26.07</v>
      </c>
      <c r="D151" s="28">
        <f t="array" ref="D151">_xlfn.XLOOKUP($A151, 'Medical Examinations'!$A:$A, 'Medical Examinations'!C:C, "No Data")</f>
        <v>5.32</v>
      </c>
      <c r="E151" s="28" t="str">
        <f t="array" ref="E151">_xlfn.XLOOKUP($A151, 'Medical Examinations'!$A:$A, 'Medical Examinations'!D:D, "No Data")</f>
        <v>No</v>
      </c>
      <c r="F151" s="28" t="str">
        <f t="array" ref="F151">_xlfn.XLOOKUP($A151, 'Medical Examinations'!$A:$A, 'Medical Examinations'!E:E, "No Data")</f>
        <v>No</v>
      </c>
      <c r="G151" s="28" t="str">
        <f t="array" ref="G151">_xlfn.XLOOKUP($A151, 'Medical Examinations'!$A:$A, 'Medical Examinations'!F:F, "No Data")</f>
        <v>No</v>
      </c>
      <c r="H151" s="28">
        <f t="array" ref="H151">_xlfn.XLOOKUP($A151, 'Medical Examinations'!$A:$A, 'Medical Examinations'!G:G, "No Data")</f>
        <v>0</v>
      </c>
      <c r="I151" s="28" t="str">
        <f t="array" ref="I151">_xlfn.XLOOKUP($A151, 'Medical Examinations'!$A:$A, 'Medical Examinations'!H:H, "No Data")</f>
        <v>yes</v>
      </c>
      <c r="J151" s="28" t="str">
        <f t="array" ref="J151">_xlfn.XLOOKUP($A151, 'Medical Examinations'!$A:$A, 'Medical Examinations'!I:I, "No Data")</f>
        <v>Overweight</v>
      </c>
      <c r="K151" s="28" t="str">
        <f t="array" ref="K151">_xlfn.XLOOKUP($A151, 'Hospitalisation Details'!$A:$A, 'Hospitalisation Details'!I:I, "No Data")</f>
        <v>tier - 2</v>
      </c>
      <c r="L151" s="28" t="str">
        <f t="array" ref="L151">_xlfn.XLOOKUP($A151, 'Hospitalisation Details'!$A:$A, 'Hospitalisation Details'!J:J, "No Data")</f>
        <v>R1013</v>
      </c>
      <c r="M151" s="28" t="str">
        <f t="array" ref="M151">_xlfn.XLOOKUP($A151, 'Hospitalisation Details'!$A:$A, 'Hospitalisation Details'!E:E, "No Data")</f>
        <v>16/08/80</v>
      </c>
      <c r="N151" s="28">
        <f t="array" ref="N151">_xlfn.XLOOKUP($A151, 'Hospitalisation Details'!$A:$A, 'Hospitalisation Details'!K:K, "No Data")</f>
        <v>42</v>
      </c>
      <c r="O151" s="33">
        <f t="array" ref="O151">_xlfn.XLOOKUP($A151, 'Hospitalisation Details'!$A:$A, 'Hospitalisation Details'!G:G, "No Data")</f>
        <v>38245.59</v>
      </c>
      <c r="P151" s="28" t="str">
        <f t="array" ref="P151">_xlfn.XLOOKUP($A151, 'Hospitalisation Details'!$A:$A, 'Hospitalisation Details'!H:H, "No Data")</f>
        <v>tier - 1</v>
      </c>
    </row>
    <row r="152">
      <c r="A152" s="25" t="s">
        <v>498</v>
      </c>
      <c r="B152" s="28" t="str">
        <f t="array" ref="B152">_xlfn.XLOOKUP($A152, 'Customer Names'!$A:$A, 'Customer Names'!B:B, "No Data")</f>
        <v>Yesian</v>
      </c>
      <c r="C152" s="28">
        <f t="array" ref="C152">_xlfn.XLOOKUP($A152, 'Medical Examinations'!$A:$A, 'Medical Examinations'!B:B, "No Data")</f>
        <v>36.54</v>
      </c>
      <c r="D152" s="28">
        <f t="array" ref="D152">_xlfn.XLOOKUP($A152, 'Medical Examinations'!$A:$A, 'Medical Examinations'!C:C, "No Data")</f>
        <v>4.46</v>
      </c>
      <c r="E152" s="28" t="str">
        <f t="array" ref="E152">_xlfn.XLOOKUP($A152, 'Medical Examinations'!$A:$A, 'Medical Examinations'!D:D, "No Data")</f>
        <v>yes</v>
      </c>
      <c r="F152" s="28" t="str">
        <f t="array" ref="F152">_xlfn.XLOOKUP($A152, 'Medical Examinations'!$A:$A, 'Medical Examinations'!E:E, "No Data")</f>
        <v>No</v>
      </c>
      <c r="G152" s="28" t="str">
        <f t="array" ref="G152">_xlfn.XLOOKUP($A152, 'Medical Examinations'!$A:$A, 'Medical Examinations'!F:F, "No Data")</f>
        <v>No</v>
      </c>
      <c r="H152" s="28">
        <f t="array" ref="H152">_xlfn.XLOOKUP($A152, 'Medical Examinations'!$A:$A, 'Medical Examinations'!G:G, "No Data")</f>
        <v>1</v>
      </c>
      <c r="I152" s="28" t="str">
        <f t="array" ref="I152">_xlfn.XLOOKUP($A152, 'Medical Examinations'!$A:$A, 'Medical Examinations'!H:H, "No Data")</f>
        <v>yes</v>
      </c>
      <c r="J152" s="28" t="str">
        <f t="array" ref="J152">_xlfn.XLOOKUP($A152, 'Medical Examinations'!$A:$A, 'Medical Examinations'!I:I, "No Data")</f>
        <v>Obesity</v>
      </c>
      <c r="K152" s="28" t="str">
        <f t="array" ref="K152">_xlfn.XLOOKUP($A152, 'Hospitalisation Details'!$A:$A, 'Hospitalisation Details'!I:I, "No Data")</f>
        <v>tier - 3</v>
      </c>
      <c r="L152" s="28" t="str">
        <f t="array" ref="L152">_xlfn.XLOOKUP($A152, 'Hospitalisation Details'!$A:$A, 'Hospitalisation Details'!J:J, "No Data")</f>
        <v>R1011</v>
      </c>
      <c r="M152" s="28" t="str">
        <f t="array" ref="M152">_xlfn.XLOOKUP($A152, 'Hospitalisation Details'!$A:$A, 'Hospitalisation Details'!E:E, "No Data")</f>
        <v>16/06/64</v>
      </c>
      <c r="N152" s="28">
        <f t="array" ref="N152">_xlfn.XLOOKUP($A152, 'Hospitalisation Details'!$A:$A, 'Hospitalisation Details'!K:K, "No Data")</f>
        <v>58</v>
      </c>
      <c r="O152" s="33">
        <f t="array" ref="O152">_xlfn.XLOOKUP($A152, 'Hospitalisation Details'!$A:$A, 'Hospitalisation Details'!G:G, "No Data")</f>
        <v>38241.74</v>
      </c>
      <c r="P152" s="28" t="str">
        <f t="array" ref="P152">_xlfn.XLOOKUP($A152, 'Hospitalisation Details'!$A:$A, 'Hospitalisation Details'!H:H, "No Data")</f>
        <v>tier - 2</v>
      </c>
    </row>
    <row r="153">
      <c r="A153" s="25" t="s">
        <v>502</v>
      </c>
      <c r="B153" s="28" t="str">
        <f t="array" ref="B153">_xlfn.XLOOKUP($A153, 'Customer Names'!$A:$A, 'Customer Names'!B:B, "No Data")</f>
        <v>Meers</v>
      </c>
      <c r="C153" s="28">
        <f t="array" ref="C153">_xlfn.XLOOKUP($A153, 'Medical Examinations'!$A:$A, 'Medical Examinations'!B:B, "No Data")</f>
        <v>51.64</v>
      </c>
      <c r="D153" s="28">
        <f t="array" ref="D153">_xlfn.XLOOKUP($A153, 'Medical Examinations'!$A:$A, 'Medical Examinations'!C:C, "No Data")</f>
        <v>5.65</v>
      </c>
      <c r="E153" s="28" t="str">
        <f t="array" ref="E153">_xlfn.XLOOKUP($A153, 'Medical Examinations'!$A:$A, 'Medical Examinations'!D:D, "No Data")</f>
        <v>No</v>
      </c>
      <c r="F153" s="28" t="str">
        <f t="array" ref="F153">_xlfn.XLOOKUP($A153, 'Medical Examinations'!$A:$A, 'Medical Examinations'!E:E, "No Data")</f>
        <v>No</v>
      </c>
      <c r="G153" s="28" t="str">
        <f t="array" ref="G153">_xlfn.XLOOKUP($A153, 'Medical Examinations'!$A:$A, 'Medical Examinations'!F:F, "No Data")</f>
        <v>No</v>
      </c>
      <c r="H153" s="28">
        <f t="array" ref="H153">_xlfn.XLOOKUP($A153, 'Medical Examinations'!$A:$A, 'Medical Examinations'!G:G, "No Data")</f>
        <v>0</v>
      </c>
      <c r="I153" s="28" t="str">
        <f t="array" ref="I153">_xlfn.XLOOKUP($A153, 'Medical Examinations'!$A:$A, 'Medical Examinations'!H:H, "No Data")</f>
        <v>yes</v>
      </c>
      <c r="J153" s="28" t="str">
        <f t="array" ref="J153">_xlfn.XLOOKUP($A153, 'Medical Examinations'!$A:$A, 'Medical Examinations'!I:I, "No Data")</f>
        <v>Obesity</v>
      </c>
      <c r="K153" s="28" t="str">
        <f t="array" ref="K153">_xlfn.XLOOKUP($A153, 'Hospitalisation Details'!$A:$A, 'Hospitalisation Details'!I:I, "No Data")</f>
        <v>tier - 3</v>
      </c>
      <c r="L153" s="28" t="str">
        <f t="array" ref="L153">_xlfn.XLOOKUP($A153, 'Hospitalisation Details'!$A:$A, 'Hospitalisation Details'!J:J, "No Data")</f>
        <v>R1011</v>
      </c>
      <c r="M153" s="28" t="str">
        <f t="array" ref="M153">_xlfn.XLOOKUP($A153, 'Hospitalisation Details'!$A:$A, 'Hospitalisation Details'!E:E, "No Data")</f>
        <v>08/09/89</v>
      </c>
      <c r="N153" s="28">
        <f t="array" ref="N153">_xlfn.XLOOKUP($A153, 'Hospitalisation Details'!$A:$A, 'Hospitalisation Details'!K:K, "No Data")</f>
        <v>33</v>
      </c>
      <c r="O153" s="33">
        <f t="array" ref="O153">_xlfn.XLOOKUP($A153, 'Hospitalisation Details'!$A:$A, 'Hospitalisation Details'!G:G, "No Data")</f>
        <v>38237.34</v>
      </c>
      <c r="P153" s="28" t="str">
        <f t="array" ref="P153">_xlfn.XLOOKUP($A153, 'Hospitalisation Details'!$A:$A, 'Hospitalisation Details'!H:H, "No Data")</f>
        <v>tier - 2</v>
      </c>
    </row>
    <row r="154">
      <c r="A154" s="25" t="s">
        <v>504</v>
      </c>
      <c r="B154" s="28" t="str">
        <f t="array" ref="B154">_xlfn.XLOOKUP($A154, 'Customer Names'!$A:$A, 'Customer Names'!B:B, "No Data")</f>
        <v>Conlon</v>
      </c>
      <c r="C154" s="28">
        <f t="array" ref="C154">_xlfn.XLOOKUP($A154, 'Medical Examinations'!$A:$A, 'Medical Examinations'!B:B, "No Data")</f>
        <v>42.83</v>
      </c>
      <c r="D154" s="28">
        <f t="array" ref="D154">_xlfn.XLOOKUP($A154, 'Medical Examinations'!$A:$A, 'Medical Examinations'!C:C, "No Data")</f>
        <v>6.04</v>
      </c>
      <c r="E154" s="28" t="str">
        <f t="array" ref="E154">_xlfn.XLOOKUP($A154, 'Medical Examinations'!$A:$A, 'Medical Examinations'!D:D, "No Data")</f>
        <v>No</v>
      </c>
      <c r="F154" s="28" t="str">
        <f t="array" ref="F154">_xlfn.XLOOKUP($A154, 'Medical Examinations'!$A:$A, 'Medical Examinations'!E:E, "No Data")</f>
        <v>No</v>
      </c>
      <c r="G154" s="28" t="str">
        <f t="array" ref="G154">_xlfn.XLOOKUP($A154, 'Medical Examinations'!$A:$A, 'Medical Examinations'!F:F, "No Data")</f>
        <v>No</v>
      </c>
      <c r="H154" s="28">
        <f t="array" ref="H154">_xlfn.XLOOKUP($A154, 'Medical Examinations'!$A:$A, 'Medical Examinations'!G:G, "No Data")</f>
        <v>2</v>
      </c>
      <c r="I154" s="28" t="str">
        <f t="array" ref="I154">_xlfn.XLOOKUP($A154, 'Medical Examinations'!$A:$A, 'Medical Examinations'!H:H, "No Data")</f>
        <v>yes</v>
      </c>
      <c r="J154" s="28" t="str">
        <f t="array" ref="J154">_xlfn.XLOOKUP($A154, 'Medical Examinations'!$A:$A, 'Medical Examinations'!I:I, "No Data")</f>
        <v>Obesity</v>
      </c>
      <c r="K154" s="28" t="str">
        <f t="array" ref="K154">_xlfn.XLOOKUP($A154, 'Hospitalisation Details'!$A:$A, 'Hospitalisation Details'!I:I, "No Data")</f>
        <v>tier - 2</v>
      </c>
      <c r="L154" s="28" t="str">
        <f t="array" ref="L154">_xlfn.XLOOKUP($A154, 'Hospitalisation Details'!$A:$A, 'Hospitalisation Details'!J:J, "No Data")</f>
        <v>R1011</v>
      </c>
      <c r="M154" s="28" t="str">
        <f t="array" ref="M154">_xlfn.XLOOKUP($A154, 'Hospitalisation Details'!$A:$A, 'Hospitalisation Details'!E:E, "No Data")</f>
        <v>19/11/72</v>
      </c>
      <c r="N154" s="28">
        <f t="array" ref="N154">_xlfn.XLOOKUP($A154, 'Hospitalisation Details'!$A:$A, 'Hospitalisation Details'!K:K, "No Data")</f>
        <v>50</v>
      </c>
      <c r="O154" s="33">
        <f t="array" ref="O154">_xlfn.XLOOKUP($A154, 'Hospitalisation Details'!$A:$A, 'Hospitalisation Details'!G:G, "No Data")</f>
        <v>38189.1</v>
      </c>
      <c r="P154" s="28" t="str">
        <f t="array" ref="P154">_xlfn.XLOOKUP($A154, 'Hospitalisation Details'!$A:$A, 'Hospitalisation Details'!H:H, "No Data")</f>
        <v>tier - 2</v>
      </c>
    </row>
    <row r="155">
      <c r="A155" s="25" t="s">
        <v>507</v>
      </c>
      <c r="B155" s="28" t="str">
        <f t="array" ref="B155">_xlfn.XLOOKUP($A155, 'Customer Names'!$A:$A, 'Customer Names'!B:B, "No Data")</f>
        <v>Arnstein</v>
      </c>
      <c r="C155" s="28">
        <f t="array" ref="C155">_xlfn.XLOOKUP($A155, 'Medical Examinations'!$A:$A, 'Medical Examinations'!B:B, "No Data")</f>
        <v>40.15</v>
      </c>
      <c r="D155" s="28">
        <f t="array" ref="D155">_xlfn.XLOOKUP($A155, 'Medical Examinations'!$A:$A, 'Medical Examinations'!C:C, "No Data")</f>
        <v>5.76</v>
      </c>
      <c r="E155" s="28" t="str">
        <f t="array" ref="E155">_xlfn.XLOOKUP($A155, 'Medical Examinations'!$A:$A, 'Medical Examinations'!D:D, "No Data")</f>
        <v>No</v>
      </c>
      <c r="F155" s="28" t="str">
        <f t="array" ref="F155">_xlfn.XLOOKUP($A155, 'Medical Examinations'!$A:$A, 'Medical Examinations'!E:E, "No Data")</f>
        <v>No</v>
      </c>
      <c r="G155" s="28" t="str">
        <f t="array" ref="G155">_xlfn.XLOOKUP($A155, 'Medical Examinations'!$A:$A, 'Medical Examinations'!F:F, "No Data")</f>
        <v>No</v>
      </c>
      <c r="H155" s="28">
        <f t="array" ref="H155">_xlfn.XLOOKUP($A155, 'Medical Examinations'!$A:$A, 'Medical Examinations'!G:G, "No Data")</f>
        <v>1</v>
      </c>
      <c r="I155" s="28" t="str">
        <f t="array" ref="I155">_xlfn.XLOOKUP($A155, 'Medical Examinations'!$A:$A, 'Medical Examinations'!H:H, "No Data")</f>
        <v>yes</v>
      </c>
      <c r="J155" s="28" t="str">
        <f t="array" ref="J155">_xlfn.XLOOKUP($A155, 'Medical Examinations'!$A:$A, 'Medical Examinations'!I:I, "No Data")</f>
        <v>Obesity</v>
      </c>
      <c r="K155" s="28" t="str">
        <f t="array" ref="K155">_xlfn.XLOOKUP($A155, 'Hospitalisation Details'!$A:$A, 'Hospitalisation Details'!I:I, "No Data")</f>
        <v>tier - 3</v>
      </c>
      <c r="L155" s="28" t="str">
        <f t="array" ref="L155">_xlfn.XLOOKUP($A155, 'Hospitalisation Details'!$A:$A, 'Hospitalisation Details'!J:J, "No Data")</f>
        <v>R1013</v>
      </c>
      <c r="M155" s="28" t="str">
        <f t="array" ref="M155">_xlfn.XLOOKUP($A155, 'Hospitalisation Details'!$A:$A, 'Hospitalisation Details'!E:E, "No Data")</f>
        <v>29/07/98</v>
      </c>
      <c r="N155" s="28">
        <f t="array" ref="N155">_xlfn.XLOOKUP($A155, 'Hospitalisation Details'!$A:$A, 'Hospitalisation Details'!K:K, "No Data")</f>
        <v>24</v>
      </c>
      <c r="O155" s="33">
        <f t="array" ref="O155">_xlfn.XLOOKUP($A155, 'Hospitalisation Details'!$A:$A, 'Hospitalisation Details'!G:G, "No Data")</f>
        <v>38126.25</v>
      </c>
      <c r="P155" s="28" t="str">
        <f t="array" ref="P155">_xlfn.XLOOKUP($A155, 'Hospitalisation Details'!$A:$A, 'Hospitalisation Details'!H:H, "No Data")</f>
        <v>tier - 1</v>
      </c>
    </row>
    <row r="156">
      <c r="A156" s="25" t="s">
        <v>510</v>
      </c>
      <c r="B156" s="28" t="str">
        <f t="array" ref="B156">_xlfn.XLOOKUP($A156, 'Customer Names'!$A:$A, 'Customer Names'!B:B, "No Data")</f>
        <v>Jurek</v>
      </c>
      <c r="C156" s="28">
        <f t="array" ref="C156">_xlfn.XLOOKUP($A156, 'Medical Examinations'!$A:$A, 'Medical Examinations'!B:B, "No Data")</f>
        <v>27.8</v>
      </c>
      <c r="D156" s="28">
        <f t="array" ref="D156">_xlfn.XLOOKUP($A156, 'Medical Examinations'!$A:$A, 'Medical Examinations'!C:C, "No Data")</f>
        <v>4.36</v>
      </c>
      <c r="E156" s="28" t="str">
        <f t="array" ref="E156">_xlfn.XLOOKUP($A156, 'Medical Examinations'!$A:$A, 'Medical Examinations'!D:D, "No Data")</f>
        <v>No</v>
      </c>
      <c r="F156" s="28" t="str">
        <f t="array" ref="F156">_xlfn.XLOOKUP($A156, 'Medical Examinations'!$A:$A, 'Medical Examinations'!E:E, "No Data")</f>
        <v>No</v>
      </c>
      <c r="G156" s="28" t="str">
        <f t="array" ref="G156">_xlfn.XLOOKUP($A156, 'Medical Examinations'!$A:$A, 'Medical Examinations'!F:F, "No Data")</f>
        <v>Yes</v>
      </c>
      <c r="H156" s="28">
        <f t="array" ref="H156">_xlfn.XLOOKUP($A156, 'Medical Examinations'!$A:$A, 'Medical Examinations'!G:G, "No Data")</f>
        <v>1</v>
      </c>
      <c r="I156" s="28" t="str">
        <f t="array" ref="I156">_xlfn.XLOOKUP($A156, 'Medical Examinations'!$A:$A, 'Medical Examinations'!H:H, "No Data")</f>
        <v>yes</v>
      </c>
      <c r="J156" s="28" t="str">
        <f t="array" ref="J156">_xlfn.XLOOKUP($A156, 'Medical Examinations'!$A:$A, 'Medical Examinations'!I:I, "No Data")</f>
        <v>Overweight</v>
      </c>
      <c r="K156" s="28" t="str">
        <f t="array" ref="K156">_xlfn.XLOOKUP($A156, 'Hospitalisation Details'!$A:$A, 'Hospitalisation Details'!I:I, "No Data")</f>
        <v>tier - 2</v>
      </c>
      <c r="L156" s="28" t="str">
        <f t="array" ref="L156">_xlfn.XLOOKUP($A156, 'Hospitalisation Details'!$A:$A, 'Hospitalisation Details'!J:J, "No Data")</f>
        <v>R1011</v>
      </c>
      <c r="M156" s="28" t="str">
        <f t="array" ref="M156">_xlfn.XLOOKUP($A156, 'Hospitalisation Details'!$A:$A, 'Hospitalisation Details'!E:E, "No Data")</f>
        <v>09/09/79</v>
      </c>
      <c r="N156" s="28">
        <f t="array" ref="N156">_xlfn.XLOOKUP($A156, 'Hospitalisation Details'!$A:$A, 'Hospitalisation Details'!K:K, "No Data")</f>
        <v>43</v>
      </c>
      <c r="O156" s="33">
        <f t="array" ref="O156">_xlfn.XLOOKUP($A156, 'Hospitalisation Details'!$A:$A, 'Hospitalisation Details'!G:G, "No Data")</f>
        <v>37829.72</v>
      </c>
      <c r="P156" s="28" t="str">
        <f t="array" ref="P156">_xlfn.XLOOKUP($A156, 'Hospitalisation Details'!$A:$A, 'Hospitalisation Details'!H:H, "No Data")</f>
        <v>tier - 1</v>
      </c>
    </row>
    <row r="157">
      <c r="A157" s="25" t="s">
        <v>513</v>
      </c>
      <c r="B157" s="28" t="str">
        <f t="array" ref="B157">_xlfn.XLOOKUP($A157, 'Customer Names'!$A:$A, 'Customer Names'!B:B, "No Data")</f>
        <v>Thill</v>
      </c>
      <c r="C157" s="28">
        <f t="array" ref="C157">_xlfn.XLOOKUP($A157, 'Medical Examinations'!$A:$A, 'Medical Examinations'!B:B, "No Data")</f>
        <v>45.81</v>
      </c>
      <c r="D157" s="28">
        <f t="array" ref="D157">_xlfn.XLOOKUP($A157, 'Medical Examinations'!$A:$A, 'Medical Examinations'!C:C, "No Data")</f>
        <v>4.76</v>
      </c>
      <c r="E157" s="28" t="str">
        <f t="array" ref="E157">_xlfn.XLOOKUP($A157, 'Medical Examinations'!$A:$A, 'Medical Examinations'!D:D, "No Data")</f>
        <v>yes</v>
      </c>
      <c r="F157" s="28" t="str">
        <f t="array" ref="F157">_xlfn.XLOOKUP($A157, 'Medical Examinations'!$A:$A, 'Medical Examinations'!E:E, "No Data")</f>
        <v>No</v>
      </c>
      <c r="G157" s="28" t="str">
        <f t="array" ref="G157">_xlfn.XLOOKUP($A157, 'Medical Examinations'!$A:$A, 'Medical Examinations'!F:F, "No Data")</f>
        <v>Yes</v>
      </c>
      <c r="H157" s="28">
        <f t="array" ref="H157">_xlfn.XLOOKUP($A157, 'Medical Examinations'!$A:$A, 'Medical Examinations'!G:G, "No Data")</f>
        <v>1</v>
      </c>
      <c r="I157" s="28" t="str">
        <f t="array" ref="I157">_xlfn.XLOOKUP($A157, 'Medical Examinations'!$A:$A, 'Medical Examinations'!H:H, "No Data")</f>
        <v>yes</v>
      </c>
      <c r="J157" s="28" t="str">
        <f t="array" ref="J157">_xlfn.XLOOKUP($A157, 'Medical Examinations'!$A:$A, 'Medical Examinations'!I:I, "No Data")</f>
        <v>Obesity</v>
      </c>
      <c r="K157" s="28" t="str">
        <f t="array" ref="K157">_xlfn.XLOOKUP($A157, 'Hospitalisation Details'!$A:$A, 'Hospitalisation Details'!I:I, "No Data")</f>
        <v>tier - 2</v>
      </c>
      <c r="L157" s="28" t="str">
        <f t="array" ref="L157">_xlfn.XLOOKUP($A157, 'Hospitalisation Details'!$A:$A, 'Hospitalisation Details'!J:J, "No Data")</f>
        <v>R1011</v>
      </c>
      <c r="M157" s="28" t="str">
        <f t="array" ref="M157">_xlfn.XLOOKUP($A157, 'Hospitalisation Details'!$A:$A, 'Hospitalisation Details'!E:E, "No Data")</f>
        <v>26/07/83</v>
      </c>
      <c r="N157" s="28">
        <f t="array" ref="N157">_xlfn.XLOOKUP($A157, 'Hospitalisation Details'!$A:$A, 'Hospitalisation Details'!K:K, "No Data")</f>
        <v>39</v>
      </c>
      <c r="O157" s="33">
        <f t="array" ref="O157">_xlfn.XLOOKUP($A157, 'Hospitalisation Details'!$A:$A, 'Hospitalisation Details'!G:G, "No Data")</f>
        <v>37800.98</v>
      </c>
      <c r="P157" s="28" t="str">
        <f t="array" ref="P157">_xlfn.XLOOKUP($A157, 'Hospitalisation Details'!$A:$A, 'Hospitalisation Details'!H:H, "No Data")</f>
        <v>tier - 2</v>
      </c>
    </row>
    <row r="158">
      <c r="A158" s="25" t="s">
        <v>518</v>
      </c>
      <c r="B158" s="28" t="str">
        <f t="array" ref="B158">_xlfn.XLOOKUP($A158, 'Customer Names'!$A:$A, 'Customer Names'!B:B, "No Data")</f>
        <v>Glaz</v>
      </c>
      <c r="C158" s="28">
        <f t="array" ref="C158">_xlfn.XLOOKUP($A158, 'Medical Examinations'!$A:$A, 'Medical Examinations'!B:B, "No Data")</f>
        <v>34.43</v>
      </c>
      <c r="D158" s="28">
        <f t="array" ref="D158">_xlfn.XLOOKUP($A158, 'Medical Examinations'!$A:$A, 'Medical Examinations'!C:C, "No Data")</f>
        <v>10.82</v>
      </c>
      <c r="E158" s="28" t="str">
        <f t="array" ref="E158">_xlfn.XLOOKUP($A158, 'Medical Examinations'!$A:$A, 'Medical Examinations'!D:D, "No Data")</f>
        <v>yes</v>
      </c>
      <c r="F158" s="28" t="str">
        <f t="array" ref="F158">_xlfn.XLOOKUP($A158, 'Medical Examinations'!$A:$A, 'Medical Examinations'!E:E, "No Data")</f>
        <v>No</v>
      </c>
      <c r="G158" s="28" t="str">
        <f t="array" ref="G158">_xlfn.XLOOKUP($A158, 'Medical Examinations'!$A:$A, 'Medical Examinations'!F:F, "No Data")</f>
        <v>No</v>
      </c>
      <c r="H158" s="28">
        <f t="array" ref="H158">_xlfn.XLOOKUP($A158, 'Medical Examinations'!$A:$A, 'Medical Examinations'!G:G, "No Data")</f>
        <v>1</v>
      </c>
      <c r="I158" s="28" t="str">
        <f t="array" ref="I158">_xlfn.XLOOKUP($A158, 'Medical Examinations'!$A:$A, 'Medical Examinations'!H:H, "No Data")</f>
        <v>yes</v>
      </c>
      <c r="J158" s="28" t="str">
        <f t="array" ref="J158">_xlfn.XLOOKUP($A158, 'Medical Examinations'!$A:$A, 'Medical Examinations'!I:I, "No Data")</f>
        <v>Obesity</v>
      </c>
      <c r="K158" s="28" t="str">
        <f t="array" ref="K158">_xlfn.XLOOKUP($A158, 'Hospitalisation Details'!$A:$A, 'Hospitalisation Details'!I:I, "No Data")</f>
        <v>tier - 1</v>
      </c>
      <c r="L158" s="28" t="str">
        <f t="array" ref="L158">_xlfn.XLOOKUP($A158, 'Hospitalisation Details'!$A:$A, 'Hospitalisation Details'!J:J, "No Data")</f>
        <v>R1013</v>
      </c>
      <c r="M158" s="28" t="str">
        <f t="array" ref="M158">_xlfn.XLOOKUP($A158, 'Hospitalisation Details'!$A:$A, 'Hospitalisation Details'!E:E, "No Data")</f>
        <v>15/08/86</v>
      </c>
      <c r="N158" s="28">
        <f t="array" ref="N158">_xlfn.XLOOKUP($A158, 'Hospitalisation Details'!$A:$A, 'Hospitalisation Details'!K:K, "No Data")</f>
        <v>36</v>
      </c>
      <c r="O158" s="33">
        <f t="array" ref="O158">_xlfn.XLOOKUP($A158, 'Hospitalisation Details'!$A:$A, 'Hospitalisation Details'!G:G, "No Data")</f>
        <v>37742.58</v>
      </c>
      <c r="P158" s="28" t="str">
        <f t="array" ref="P158">_xlfn.XLOOKUP($A158, 'Hospitalisation Details'!$A:$A, 'Hospitalisation Details'!H:H, "No Data")</f>
        <v>tier - 1</v>
      </c>
    </row>
    <row r="159">
      <c r="A159" s="25" t="s">
        <v>520</v>
      </c>
      <c r="B159" s="28" t="str">
        <f t="array" ref="B159">_xlfn.XLOOKUP($A159, 'Customer Names'!$A:$A, 'Customer Names'!B:B, "No Data")</f>
        <v>Sampson</v>
      </c>
      <c r="C159" s="28">
        <f t="array" ref="C159">_xlfn.XLOOKUP($A159, 'Medical Examinations'!$A:$A, 'Medical Examinations'!B:B, "No Data")</f>
        <v>41.33</v>
      </c>
      <c r="D159" s="28">
        <f t="array" ref="D159">_xlfn.XLOOKUP($A159, 'Medical Examinations'!$A:$A, 'Medical Examinations'!C:C, "No Data")</f>
        <v>4.01</v>
      </c>
      <c r="E159" s="28" t="str">
        <f t="array" ref="E159">_xlfn.XLOOKUP($A159, 'Medical Examinations'!$A:$A, 'Medical Examinations'!D:D, "No Data")</f>
        <v>yes</v>
      </c>
      <c r="F159" s="28" t="str">
        <f t="array" ref="F159">_xlfn.XLOOKUP($A159, 'Medical Examinations'!$A:$A, 'Medical Examinations'!E:E, "No Data")</f>
        <v>No</v>
      </c>
      <c r="G159" s="28" t="str">
        <f t="array" ref="G159">_xlfn.XLOOKUP($A159, 'Medical Examinations'!$A:$A, 'Medical Examinations'!F:F, "No Data")</f>
        <v>No</v>
      </c>
      <c r="H159" s="28">
        <f t="array" ref="H159">_xlfn.XLOOKUP($A159, 'Medical Examinations'!$A:$A, 'Medical Examinations'!G:G, "No Data")</f>
        <v>0</v>
      </c>
      <c r="I159" s="28" t="str">
        <f t="array" ref="I159">_xlfn.XLOOKUP($A159, 'Medical Examinations'!$A:$A, 'Medical Examinations'!H:H, "No Data")</f>
        <v>yes</v>
      </c>
      <c r="J159" s="28" t="str">
        <f t="array" ref="J159">_xlfn.XLOOKUP($A159, 'Medical Examinations'!$A:$A, 'Medical Examinations'!I:I, "No Data")</f>
        <v>Obesity</v>
      </c>
      <c r="K159" s="28" t="str">
        <f t="array" ref="K159">_xlfn.XLOOKUP($A159, 'Hospitalisation Details'!$A:$A, 'Hospitalisation Details'!I:I, "No Data")</f>
        <v>tier - 2</v>
      </c>
      <c r="L159" s="28" t="str">
        <f t="array" ref="L159">_xlfn.XLOOKUP($A159, 'Hospitalisation Details'!$A:$A, 'Hospitalisation Details'!J:J, "No Data")</f>
        <v>R1011</v>
      </c>
      <c r="M159" s="28" t="str">
        <f t="array" ref="M159">_xlfn.XLOOKUP($A159, 'Hospitalisation Details'!$A:$A, 'Hospitalisation Details'!E:E, "No Data")</f>
        <v>18/09/76</v>
      </c>
      <c r="N159" s="28">
        <f t="array" ref="N159">_xlfn.XLOOKUP($A159, 'Hospitalisation Details'!$A:$A, 'Hospitalisation Details'!K:K, "No Data")</f>
        <v>46</v>
      </c>
      <c r="O159" s="33">
        <f t="array" ref="O159">_xlfn.XLOOKUP($A159, 'Hospitalisation Details'!$A:$A, 'Hospitalisation Details'!G:G, "No Data")</f>
        <v>37735.2</v>
      </c>
      <c r="P159" s="28" t="str">
        <f t="array" ref="P159">_xlfn.XLOOKUP($A159, 'Hospitalisation Details'!$A:$A, 'Hospitalisation Details'!H:H, "No Data")</f>
        <v>tier - 2</v>
      </c>
    </row>
    <row r="160">
      <c r="A160" s="25" t="s">
        <v>523</v>
      </c>
      <c r="B160" s="28" t="str">
        <f t="array" ref="B160">_xlfn.XLOOKUP($A160, 'Customer Names'!$A:$A, 'Customer Names'!B:B, "No Data")</f>
        <v>Duliba</v>
      </c>
      <c r="C160" s="28">
        <f t="array" ref="C160">_xlfn.XLOOKUP($A160, 'Medical Examinations'!$A:$A, 'Medical Examinations'!B:B, "No Data")</f>
        <v>31.92</v>
      </c>
      <c r="D160" s="28">
        <f t="array" ref="D160">_xlfn.XLOOKUP($A160, 'Medical Examinations'!$A:$A, 'Medical Examinations'!C:C, "No Data")</f>
        <v>5.12</v>
      </c>
      <c r="E160" s="28" t="str">
        <f t="array" ref="E160">_xlfn.XLOOKUP($A160, 'Medical Examinations'!$A:$A, 'Medical Examinations'!D:D, "No Data")</f>
        <v>yes</v>
      </c>
      <c r="F160" s="28" t="str">
        <f t="array" ref="F160">_xlfn.XLOOKUP($A160, 'Medical Examinations'!$A:$A, 'Medical Examinations'!E:E, "No Data")</f>
        <v>No</v>
      </c>
      <c r="G160" s="28" t="str">
        <f t="array" ref="G160">_xlfn.XLOOKUP($A160, 'Medical Examinations'!$A:$A, 'Medical Examinations'!F:F, "No Data")</f>
        <v>No</v>
      </c>
      <c r="H160" s="28">
        <f t="array" ref="H160">_xlfn.XLOOKUP($A160, 'Medical Examinations'!$A:$A, 'Medical Examinations'!G:G, "No Data")</f>
        <v>1</v>
      </c>
      <c r="I160" s="28" t="str">
        <f t="array" ref="I160">_xlfn.XLOOKUP($A160, 'Medical Examinations'!$A:$A, 'Medical Examinations'!H:H, "No Data")</f>
        <v>yes</v>
      </c>
      <c r="J160" s="28" t="str">
        <f t="array" ref="J160">_xlfn.XLOOKUP($A160, 'Medical Examinations'!$A:$A, 'Medical Examinations'!I:I, "No Data")</f>
        <v>Obesity</v>
      </c>
      <c r="K160" s="28" t="str">
        <f t="array" ref="K160">_xlfn.XLOOKUP($A160, 'Hospitalisation Details'!$A:$A, 'Hospitalisation Details'!I:I, "No Data")</f>
        <v>tier - 3</v>
      </c>
      <c r="L160" s="28" t="str">
        <f t="array" ref="L160">_xlfn.XLOOKUP($A160, 'Hospitalisation Details'!$A:$A, 'Hospitalisation Details'!J:J, "No Data")</f>
        <v>R1023</v>
      </c>
      <c r="M160" s="28" t="str">
        <f t="array" ref="M160">_xlfn.XLOOKUP($A160, 'Hospitalisation Details'!$A:$A, 'Hospitalisation Details'!E:E, "No Data")</f>
        <v>10/10/88</v>
      </c>
      <c r="N160" s="28">
        <f t="array" ref="N160">_xlfn.XLOOKUP($A160, 'Hospitalisation Details'!$A:$A, 'Hospitalisation Details'!K:K, "No Data")</f>
        <v>34</v>
      </c>
      <c r="O160" s="33">
        <f t="array" ref="O160">_xlfn.XLOOKUP($A160, 'Hospitalisation Details'!$A:$A, 'Hospitalisation Details'!G:G, "No Data")</f>
        <v>37701.88</v>
      </c>
      <c r="P160" s="28" t="str">
        <f t="array" ref="P160">_xlfn.XLOOKUP($A160, 'Hospitalisation Details'!$A:$A, 'Hospitalisation Details'!H:H, "No Data")</f>
        <v>tier - 2</v>
      </c>
    </row>
    <row r="161">
      <c r="A161" s="25" t="s">
        <v>526</v>
      </c>
      <c r="B161" s="28" t="str">
        <f t="array" ref="B161">_xlfn.XLOOKUP($A161, 'Customer Names'!$A:$A, 'Customer Names'!B:B, "No Data")</f>
        <v>Tanguay</v>
      </c>
      <c r="C161" s="28">
        <f t="array" ref="C161">_xlfn.XLOOKUP($A161, 'Medical Examinations'!$A:$A, 'Medical Examinations'!B:B, "No Data")</f>
        <v>39.8</v>
      </c>
      <c r="D161" s="28">
        <f t="array" ref="D161">_xlfn.XLOOKUP($A161, 'Medical Examinations'!$A:$A, 'Medical Examinations'!C:C, "No Data")</f>
        <v>10.54</v>
      </c>
      <c r="E161" s="28" t="str">
        <f t="array" ref="E161">_xlfn.XLOOKUP($A161, 'Medical Examinations'!$A:$A, 'Medical Examinations'!D:D, "No Data")</f>
        <v>yes</v>
      </c>
      <c r="F161" s="28" t="str">
        <f t="array" ref="F161">_xlfn.XLOOKUP($A161, 'Medical Examinations'!$A:$A, 'Medical Examinations'!E:E, "No Data")</f>
        <v>No</v>
      </c>
      <c r="G161" s="28" t="str">
        <f t="array" ref="G161">_xlfn.XLOOKUP($A161, 'Medical Examinations'!$A:$A, 'Medical Examinations'!F:F, "No Data")</f>
        <v>No</v>
      </c>
      <c r="H161" s="28">
        <f t="array" ref="H161">_xlfn.XLOOKUP($A161, 'Medical Examinations'!$A:$A, 'Medical Examinations'!G:G, "No Data")</f>
        <v>2</v>
      </c>
      <c r="I161" s="28" t="str">
        <f t="array" ref="I161">_xlfn.XLOOKUP($A161, 'Medical Examinations'!$A:$A, 'Medical Examinations'!H:H, "No Data")</f>
        <v>yes</v>
      </c>
      <c r="J161" s="28" t="str">
        <f t="array" ref="J161">_xlfn.XLOOKUP($A161, 'Medical Examinations'!$A:$A, 'Medical Examinations'!I:I, "No Data")</f>
        <v>Obesity</v>
      </c>
      <c r="K161" s="28" t="str">
        <f t="array" ref="K161">_xlfn.XLOOKUP($A161, 'Hospitalisation Details'!$A:$A, 'Hospitalisation Details'!I:I, "No Data")</f>
        <v>tier - 3</v>
      </c>
      <c r="L161" s="28" t="str">
        <f t="array" ref="L161">_xlfn.XLOOKUP($A161, 'Hospitalisation Details'!$A:$A, 'Hospitalisation Details'!J:J, "No Data")</f>
        <v>R1011</v>
      </c>
      <c r="M161" s="28" t="str">
        <f t="array" ref="M161">_xlfn.XLOOKUP($A161, 'Hospitalisation Details'!$A:$A, 'Hospitalisation Details'!E:E, "No Data")</f>
        <v>28/10/70</v>
      </c>
      <c r="N161" s="28">
        <f t="array" ref="N161">_xlfn.XLOOKUP($A161, 'Hospitalisation Details'!$A:$A, 'Hospitalisation Details'!K:K, "No Data")</f>
        <v>52</v>
      </c>
      <c r="O161" s="33">
        <f t="array" ref="O161">_xlfn.XLOOKUP($A161, 'Hospitalisation Details'!$A:$A, 'Hospitalisation Details'!G:G, "No Data")</f>
        <v>37675.06</v>
      </c>
      <c r="P161" s="28" t="str">
        <f t="array" ref="P161">_xlfn.XLOOKUP($A161, 'Hospitalisation Details'!$A:$A, 'Hospitalisation Details'!H:H, "No Data")</f>
        <v>tier - 2</v>
      </c>
    </row>
    <row r="162">
      <c r="A162" s="25" t="s">
        <v>529</v>
      </c>
      <c r="B162" s="28" t="str">
        <f t="array" ref="B162">_xlfn.XLOOKUP($A162, 'Customer Names'!$A:$A, 'Customer Names'!B:B, "No Data")</f>
        <v>McClelland</v>
      </c>
      <c r="C162" s="28">
        <f t="array" ref="C162">_xlfn.XLOOKUP($A162, 'Medical Examinations'!$A:$A, 'Medical Examinations'!B:B, "No Data")</f>
        <v>42.82</v>
      </c>
      <c r="D162" s="28">
        <f t="array" ref="D162">_xlfn.XLOOKUP($A162, 'Medical Examinations'!$A:$A, 'Medical Examinations'!C:C, "No Data")</f>
        <v>4.21</v>
      </c>
      <c r="E162" s="28" t="str">
        <f t="array" ref="E162">_xlfn.XLOOKUP($A162, 'Medical Examinations'!$A:$A, 'Medical Examinations'!D:D, "No Data")</f>
        <v>No</v>
      </c>
      <c r="F162" s="28" t="str">
        <f t="array" ref="F162">_xlfn.XLOOKUP($A162, 'Medical Examinations'!$A:$A, 'Medical Examinations'!E:E, "No Data")</f>
        <v>No</v>
      </c>
      <c r="G162" s="28" t="str">
        <f t="array" ref="G162">_xlfn.XLOOKUP($A162, 'Medical Examinations'!$A:$A, 'Medical Examinations'!F:F, "No Data")</f>
        <v>No</v>
      </c>
      <c r="H162" s="28">
        <f t="array" ref="H162">_xlfn.XLOOKUP($A162, 'Medical Examinations'!$A:$A, 'Medical Examinations'!G:G, "No Data")</f>
        <v>0</v>
      </c>
      <c r="I162" s="28" t="str">
        <f t="array" ref="I162">_xlfn.XLOOKUP($A162, 'Medical Examinations'!$A:$A, 'Medical Examinations'!H:H, "No Data")</f>
        <v>yes</v>
      </c>
      <c r="J162" s="28" t="str">
        <f t="array" ref="J162">_xlfn.XLOOKUP($A162, 'Medical Examinations'!$A:$A, 'Medical Examinations'!I:I, "No Data")</f>
        <v>Obesity</v>
      </c>
      <c r="K162" s="28" t="str">
        <f t="array" ref="K162">_xlfn.XLOOKUP($A162, 'Hospitalisation Details'!$A:$A, 'Hospitalisation Details'!I:I, "No Data")</f>
        <v>tier - 2</v>
      </c>
      <c r="L162" s="28" t="str">
        <f t="array" ref="L162">_xlfn.XLOOKUP($A162, 'Hospitalisation Details'!$A:$A, 'Hospitalisation Details'!J:J, "No Data")</f>
        <v>R1012</v>
      </c>
      <c r="M162" s="28" t="str">
        <f t="array" ref="M162">_xlfn.XLOOKUP($A162, 'Hospitalisation Details'!$A:$A, 'Hospitalisation Details'!E:E, "No Data")</f>
        <v>20/06/82</v>
      </c>
      <c r="N162" s="28">
        <f t="array" ref="N162">_xlfn.XLOOKUP($A162, 'Hospitalisation Details'!$A:$A, 'Hospitalisation Details'!K:K, "No Data")</f>
        <v>40</v>
      </c>
      <c r="O162" s="33">
        <f t="array" ref="O162">_xlfn.XLOOKUP($A162, 'Hospitalisation Details'!$A:$A, 'Hospitalisation Details'!G:G, "No Data")</f>
        <v>37650.74</v>
      </c>
      <c r="P162" s="28" t="str">
        <f t="array" ref="P162">_xlfn.XLOOKUP($A162, 'Hospitalisation Details'!$A:$A, 'Hospitalisation Details'!H:H, "No Data")</f>
        <v>tier - 2</v>
      </c>
    </row>
    <row r="163">
      <c r="A163" s="25" t="s">
        <v>532</v>
      </c>
      <c r="B163" s="28" t="str">
        <f t="array" ref="B163">_xlfn.XLOOKUP($A163, 'Customer Names'!$A:$A, 'Customer Names'!B:B, "No Data")</f>
        <v>Gorman</v>
      </c>
      <c r="C163" s="28">
        <f t="array" ref="C163">_xlfn.XLOOKUP($A163, 'Medical Examinations'!$A:$A, 'Medical Examinations'!B:B, "No Data")</f>
        <v>33.63</v>
      </c>
      <c r="D163" s="28">
        <f t="array" ref="D163">_xlfn.XLOOKUP($A163, 'Medical Examinations'!$A:$A, 'Medical Examinations'!C:C, "No Data")</f>
        <v>5.42</v>
      </c>
      <c r="E163" s="28" t="str">
        <f t="array" ref="E163">_xlfn.XLOOKUP($A163, 'Medical Examinations'!$A:$A, 'Medical Examinations'!D:D, "No Data")</f>
        <v>No</v>
      </c>
      <c r="F163" s="28" t="str">
        <f t="array" ref="F163">_xlfn.XLOOKUP($A163, 'Medical Examinations'!$A:$A, 'Medical Examinations'!E:E, "No Data")</f>
        <v>No</v>
      </c>
      <c r="G163" s="28" t="str">
        <f t="array" ref="G163">_xlfn.XLOOKUP($A163, 'Medical Examinations'!$A:$A, 'Medical Examinations'!F:F, "No Data")</f>
        <v>No</v>
      </c>
      <c r="H163" s="28">
        <f t="array" ref="H163">_xlfn.XLOOKUP($A163, 'Medical Examinations'!$A:$A, 'Medical Examinations'!G:G, "No Data")</f>
        <v>0</v>
      </c>
      <c r="I163" s="28" t="str">
        <f t="array" ref="I163">_xlfn.XLOOKUP($A163, 'Medical Examinations'!$A:$A, 'Medical Examinations'!H:H, "No Data")</f>
        <v>yes</v>
      </c>
      <c r="J163" s="28" t="str">
        <f t="array" ref="J163">_xlfn.XLOOKUP($A163, 'Medical Examinations'!$A:$A, 'Medical Examinations'!I:I, "No Data")</f>
        <v>Obesity</v>
      </c>
      <c r="K163" s="28" t="str">
        <f t="array" ref="K163">_xlfn.XLOOKUP($A163, 'Hospitalisation Details'!$A:$A, 'Hospitalisation Details'!I:I, "No Data")</f>
        <v>tier - 2</v>
      </c>
      <c r="L163" s="28" t="str">
        <f t="array" ref="L163">_xlfn.XLOOKUP($A163, 'Hospitalisation Details'!$A:$A, 'Hospitalisation Details'!J:J, "No Data")</f>
        <v>R1019</v>
      </c>
      <c r="M163" s="28" t="str">
        <f t="array" ref="M163">_xlfn.XLOOKUP($A163, 'Hospitalisation Details'!$A:$A, 'Hospitalisation Details'!E:E, "No Data")</f>
        <v>16/11/90</v>
      </c>
      <c r="N163" s="28">
        <f t="array" ref="N163">_xlfn.XLOOKUP($A163, 'Hospitalisation Details'!$A:$A, 'Hospitalisation Details'!K:K, "No Data")</f>
        <v>32</v>
      </c>
      <c r="O163" s="33">
        <f t="array" ref="O163">_xlfn.XLOOKUP($A163, 'Hospitalisation Details'!$A:$A, 'Hospitalisation Details'!G:G, "No Data")</f>
        <v>37607.53</v>
      </c>
      <c r="P163" s="28" t="str">
        <f t="array" ref="P163">_xlfn.XLOOKUP($A163, 'Hospitalisation Details'!$A:$A, 'Hospitalisation Details'!H:H, "No Data")</f>
        <v>tier - 1</v>
      </c>
    </row>
    <row r="164">
      <c r="A164" s="25" t="s">
        <v>536</v>
      </c>
      <c r="B164" s="28" t="str">
        <f t="array" ref="B164">_xlfn.XLOOKUP($A164, 'Customer Names'!$A:$A, 'Customer Names'!B:B, "No Data")</f>
        <v>Nishimura</v>
      </c>
      <c r="C164" s="28">
        <f t="array" ref="C164">_xlfn.XLOOKUP($A164, 'Medical Examinations'!$A:$A, 'Medical Examinations'!B:B, "No Data")</f>
        <v>37.07</v>
      </c>
      <c r="D164" s="28">
        <f t="array" ref="D164">_xlfn.XLOOKUP($A164, 'Medical Examinations'!$A:$A, 'Medical Examinations'!C:C, "No Data")</f>
        <v>4.28</v>
      </c>
      <c r="E164" s="28" t="str">
        <f t="array" ref="E164">_xlfn.XLOOKUP($A164, 'Medical Examinations'!$A:$A, 'Medical Examinations'!D:D, "No Data")</f>
        <v>No</v>
      </c>
      <c r="F164" s="28" t="str">
        <f t="array" ref="F164">_xlfn.XLOOKUP($A164, 'Medical Examinations'!$A:$A, 'Medical Examinations'!E:E, "No Data")</f>
        <v>yes</v>
      </c>
      <c r="G164" s="28" t="str">
        <f t="array" ref="G164">_xlfn.XLOOKUP($A164, 'Medical Examinations'!$A:$A, 'Medical Examinations'!F:F, "No Data")</f>
        <v>No</v>
      </c>
      <c r="H164" s="28">
        <f t="array" ref="H164">_xlfn.XLOOKUP($A164, 'Medical Examinations'!$A:$A, 'Medical Examinations'!G:G, "No Data")</f>
        <v>1</v>
      </c>
      <c r="I164" s="28" t="str">
        <f t="array" ref="I164">_xlfn.XLOOKUP($A164, 'Medical Examinations'!$A:$A, 'Medical Examinations'!H:H, "No Data")</f>
        <v>yes</v>
      </c>
      <c r="J164" s="28" t="str">
        <f t="array" ref="J164">_xlfn.XLOOKUP($A164, 'Medical Examinations'!$A:$A, 'Medical Examinations'!I:I, "No Data")</f>
        <v>Obesity</v>
      </c>
      <c r="K164" s="28" t="str">
        <f t="array" ref="K164">_xlfn.XLOOKUP($A164, 'Hospitalisation Details'!$A:$A, 'Hospitalisation Details'!I:I, "No Data")</f>
        <v>tier - 1</v>
      </c>
      <c r="L164" s="28" t="str">
        <f t="array" ref="L164">_xlfn.XLOOKUP($A164, 'Hospitalisation Details'!$A:$A, 'Hospitalisation Details'!J:J, "No Data")</f>
        <v>R1013</v>
      </c>
      <c r="M164" s="28" t="str">
        <f t="array" ref="M164">_xlfn.XLOOKUP($A164, 'Hospitalisation Details'!$A:$A, 'Hospitalisation Details'!E:E, "No Data")</f>
        <v>12/10/00</v>
      </c>
      <c r="N164" s="28">
        <f t="array" ref="N164">_xlfn.XLOOKUP($A164, 'Hospitalisation Details'!$A:$A, 'Hospitalisation Details'!K:K, "No Data")</f>
        <v>22</v>
      </c>
      <c r="O164" s="33">
        <f t="array" ref="O164">_xlfn.XLOOKUP($A164, 'Hospitalisation Details'!$A:$A, 'Hospitalisation Details'!G:G, "No Data")</f>
        <v>37484.45</v>
      </c>
      <c r="P164" s="28" t="str">
        <f t="array" ref="P164">_xlfn.XLOOKUP($A164, 'Hospitalisation Details'!$A:$A, 'Hospitalisation Details'!H:H, "No Data")</f>
        <v>tier - 1</v>
      </c>
    </row>
    <row r="165">
      <c r="A165" s="25" t="s">
        <v>539</v>
      </c>
      <c r="B165" s="28" t="str">
        <f t="array" ref="B165">_xlfn.XLOOKUP($A165, 'Customer Names'!$A:$A, 'Customer Names'!B:B, "No Data")</f>
        <v>Brimble</v>
      </c>
      <c r="C165" s="28">
        <f t="array" ref="C165">_xlfn.XLOOKUP($A165, 'Medical Examinations'!$A:$A, 'Medical Examinations'!B:B, "No Data")</f>
        <v>35.625</v>
      </c>
      <c r="D165" s="28">
        <f t="array" ref="D165">_xlfn.XLOOKUP($A165, 'Medical Examinations'!$A:$A, 'Medical Examinations'!C:C, "No Data")</f>
        <v>8.9</v>
      </c>
      <c r="E165" s="28" t="str">
        <f t="array" ref="E165">_xlfn.XLOOKUP($A165, 'Medical Examinations'!$A:$A, 'Medical Examinations'!D:D, "No Data")</f>
        <v>No</v>
      </c>
      <c r="F165" s="28" t="str">
        <f t="array" ref="F165">_xlfn.XLOOKUP($A165, 'Medical Examinations'!$A:$A, 'Medical Examinations'!E:E, "No Data")</f>
        <v>No</v>
      </c>
      <c r="G165" s="28" t="str">
        <f t="array" ref="G165">_xlfn.XLOOKUP($A165, 'Medical Examinations'!$A:$A, 'Medical Examinations'!F:F, "No Data")</f>
        <v>No</v>
      </c>
      <c r="H165" s="28">
        <f t="array" ref="H165">_xlfn.XLOOKUP($A165, 'Medical Examinations'!$A:$A, 'Medical Examinations'!G:G, "No Data")</f>
        <v>0</v>
      </c>
      <c r="I165" s="28" t="str">
        <f t="array" ref="I165">_xlfn.XLOOKUP($A165, 'Medical Examinations'!$A:$A, 'Medical Examinations'!H:H, "No Data")</f>
        <v>yes</v>
      </c>
      <c r="J165" s="28" t="str">
        <f t="array" ref="J165">_xlfn.XLOOKUP($A165, 'Medical Examinations'!$A:$A, 'Medical Examinations'!I:I, "No Data")</f>
        <v>Obesity</v>
      </c>
      <c r="K165" s="28" t="str">
        <f t="array" ref="K165">_xlfn.XLOOKUP($A165, 'Hospitalisation Details'!$A:$A, 'Hospitalisation Details'!I:I, "No Data")</f>
        <v>tier - 2</v>
      </c>
      <c r="L165" s="28" t="str">
        <f t="array" ref="L165">_xlfn.XLOOKUP($A165, 'Hospitalisation Details'!$A:$A, 'Hospitalisation Details'!J:J, "No Data")</f>
        <v>R1012</v>
      </c>
      <c r="M165" s="28" t="str">
        <f t="array" ref="M165">_xlfn.XLOOKUP($A165, 'Hospitalisation Details'!$A:$A, 'Hospitalisation Details'!E:E, "No Data")</f>
        <v>27/09/02</v>
      </c>
      <c r="N165" s="28">
        <f t="array" ref="N165">_xlfn.XLOOKUP($A165, 'Hospitalisation Details'!$A:$A, 'Hospitalisation Details'!K:K, "No Data")</f>
        <v>20</v>
      </c>
      <c r="O165" s="33">
        <f t="array" ref="O165">_xlfn.XLOOKUP($A165, 'Hospitalisation Details'!$A:$A, 'Hospitalisation Details'!G:G, "No Data")</f>
        <v>37465.34</v>
      </c>
      <c r="P165" s="28" t="str">
        <f t="array" ref="P165">_xlfn.XLOOKUP($A165, 'Hospitalisation Details'!$A:$A, 'Hospitalisation Details'!H:H, "No Data")</f>
        <v>tier - 1</v>
      </c>
    </row>
    <row r="166">
      <c r="A166" s="25" t="s">
        <v>542</v>
      </c>
      <c r="B166" s="28" t="str">
        <f t="array" ref="B166">_xlfn.XLOOKUP($A166, 'Customer Names'!$A:$A, 'Customer Names'!B:B, "No Data")</f>
        <v>Trenk</v>
      </c>
      <c r="C166" s="28">
        <f t="array" ref="C166">_xlfn.XLOOKUP($A166, 'Medical Examinations'!$A:$A, 'Medical Examinations'!B:B, "No Data")</f>
        <v>42.69</v>
      </c>
      <c r="D166" s="28">
        <f t="array" ref="D166">_xlfn.XLOOKUP($A166, 'Medical Examinations'!$A:$A, 'Medical Examinations'!C:C, "No Data")</f>
        <v>4.89</v>
      </c>
      <c r="E166" s="28" t="str">
        <f t="array" ref="E166">_xlfn.XLOOKUP($A166, 'Medical Examinations'!$A:$A, 'Medical Examinations'!D:D, "No Data")</f>
        <v>No</v>
      </c>
      <c r="F166" s="28" t="str">
        <f t="array" ref="F166">_xlfn.XLOOKUP($A166, 'Medical Examinations'!$A:$A, 'Medical Examinations'!E:E, "No Data")</f>
        <v>No</v>
      </c>
      <c r="G166" s="28" t="str">
        <f t="array" ref="G166">_xlfn.XLOOKUP($A166, 'Medical Examinations'!$A:$A, 'Medical Examinations'!F:F, "No Data")</f>
        <v>Yes</v>
      </c>
      <c r="H166" s="28">
        <f t="array" ref="H166">_xlfn.XLOOKUP($A166, 'Medical Examinations'!$A:$A, 'Medical Examinations'!G:G, "No Data")</f>
        <v>1</v>
      </c>
      <c r="I166" s="28" t="str">
        <f t="array" ref="I166">_xlfn.XLOOKUP($A166, 'Medical Examinations'!$A:$A, 'Medical Examinations'!H:H, "No Data")</f>
        <v>yes</v>
      </c>
      <c r="J166" s="28" t="str">
        <f t="array" ref="J166">_xlfn.XLOOKUP($A166, 'Medical Examinations'!$A:$A, 'Medical Examinations'!I:I, "No Data")</f>
        <v>Obesity</v>
      </c>
      <c r="K166" s="28" t="str">
        <f t="array" ref="K166">_xlfn.XLOOKUP($A166, 'Hospitalisation Details'!$A:$A, 'Hospitalisation Details'!I:I, "No Data")</f>
        <v>tier - 1</v>
      </c>
      <c r="L166" s="28" t="str">
        <f t="array" ref="L166">_xlfn.XLOOKUP($A166, 'Hospitalisation Details'!$A:$A, 'Hospitalisation Details'!J:J, "No Data")</f>
        <v>R1011</v>
      </c>
      <c r="M166" s="28" t="str">
        <f t="array" ref="M166">_xlfn.XLOOKUP($A166, 'Hospitalisation Details'!$A:$A, 'Hospitalisation Details'!E:E, "No Data")</f>
        <v>03/08/79</v>
      </c>
      <c r="N166" s="28">
        <f t="array" ref="N166">_xlfn.XLOOKUP($A166, 'Hospitalisation Details'!$A:$A, 'Hospitalisation Details'!K:K, "No Data")</f>
        <v>43</v>
      </c>
      <c r="O166" s="33">
        <f t="array" ref="O166">_xlfn.XLOOKUP($A166, 'Hospitalisation Details'!$A:$A, 'Hospitalisation Details'!G:G, "No Data")</f>
        <v>37425.94</v>
      </c>
      <c r="P166" s="28" t="str">
        <f t="array" ref="P166">_xlfn.XLOOKUP($A166, 'Hospitalisation Details'!$A:$A, 'Hospitalisation Details'!H:H, "No Data")</f>
        <v>tier - 2</v>
      </c>
    </row>
    <row r="167">
      <c r="A167" s="25" t="s">
        <v>546</v>
      </c>
      <c r="B167" s="28" t="str">
        <f t="array" ref="B167">_xlfn.XLOOKUP($A167, 'Customer Names'!$A:$A, 'Customer Names'!B:B, "No Data")</f>
        <v>Wittmann</v>
      </c>
      <c r="C167" s="28">
        <f t="array" ref="C167">_xlfn.XLOOKUP($A167, 'Medical Examinations'!$A:$A, 'Medical Examinations'!B:B, "No Data")</f>
        <v>37.87</v>
      </c>
      <c r="D167" s="28">
        <f t="array" ref="D167">_xlfn.XLOOKUP($A167, 'Medical Examinations'!$A:$A, 'Medical Examinations'!C:C, "No Data")</f>
        <v>4.29</v>
      </c>
      <c r="E167" s="28" t="str">
        <f t="array" ref="E167">_xlfn.XLOOKUP($A167, 'Medical Examinations'!$A:$A, 'Medical Examinations'!D:D, "No Data")</f>
        <v>yes</v>
      </c>
      <c r="F167" s="28" t="str">
        <f t="array" ref="F167">_xlfn.XLOOKUP($A167, 'Medical Examinations'!$A:$A, 'Medical Examinations'!E:E, "No Data")</f>
        <v>No</v>
      </c>
      <c r="G167" s="28" t="str">
        <f t="array" ref="G167">_xlfn.XLOOKUP($A167, 'Medical Examinations'!$A:$A, 'Medical Examinations'!F:F, "No Data")</f>
        <v>Yes</v>
      </c>
      <c r="H167" s="28">
        <f t="array" ref="H167">_xlfn.XLOOKUP($A167, 'Medical Examinations'!$A:$A, 'Medical Examinations'!G:G, "No Data")</f>
        <v>1</v>
      </c>
      <c r="I167" s="28" t="str">
        <f t="array" ref="I167">_xlfn.XLOOKUP($A167, 'Medical Examinations'!$A:$A, 'Medical Examinations'!H:H, "No Data")</f>
        <v>yes</v>
      </c>
      <c r="J167" s="28" t="str">
        <f t="array" ref="J167">_xlfn.XLOOKUP($A167, 'Medical Examinations'!$A:$A, 'Medical Examinations'!I:I, "No Data")</f>
        <v>Obesity</v>
      </c>
      <c r="K167" s="28" t="str">
        <f t="array" ref="K167">_xlfn.XLOOKUP($A167, 'Hospitalisation Details'!$A:$A, 'Hospitalisation Details'!I:I, "No Data")</f>
        <v>tier - 3</v>
      </c>
      <c r="L167" s="28" t="str">
        <f t="array" ref="L167">_xlfn.XLOOKUP($A167, 'Hospitalisation Details'!$A:$A, 'Hospitalisation Details'!J:J, "No Data")</f>
        <v>R1011</v>
      </c>
      <c r="M167" s="28" t="str">
        <f t="array" ref="M167">_xlfn.XLOOKUP($A167, 'Hospitalisation Details'!$A:$A, 'Hospitalisation Details'!E:E, "No Data")</f>
        <v>30/10/69</v>
      </c>
      <c r="N167" s="28">
        <f t="array" ref="N167">_xlfn.XLOOKUP($A167, 'Hospitalisation Details'!$A:$A, 'Hospitalisation Details'!K:K, "No Data")</f>
        <v>53</v>
      </c>
      <c r="O167" s="33">
        <f t="array" ref="O167">_xlfn.XLOOKUP($A167, 'Hospitalisation Details'!$A:$A, 'Hospitalisation Details'!G:G, "No Data")</f>
        <v>37277.27</v>
      </c>
      <c r="P167" s="28" t="str">
        <f t="array" ref="P167">_xlfn.XLOOKUP($A167, 'Hospitalisation Details'!$A:$A, 'Hospitalisation Details'!H:H, "No Data")</f>
        <v>tier - 1</v>
      </c>
    </row>
    <row r="168">
      <c r="A168" s="25" t="s">
        <v>549</v>
      </c>
      <c r="B168" s="28" t="str">
        <f t="array" ref="B168">_xlfn.XLOOKUP($A168, 'Customer Names'!$A:$A, 'Customer Names'!B:B, "No Data")</f>
        <v>Tremblay</v>
      </c>
      <c r="C168" s="28">
        <f t="array" ref="C168">_xlfn.XLOOKUP($A168, 'Medical Examinations'!$A:$A, 'Medical Examinations'!B:B, "No Data")</f>
        <v>40.61</v>
      </c>
      <c r="D168" s="28">
        <f t="array" ref="D168">_xlfn.XLOOKUP($A168, 'Medical Examinations'!$A:$A, 'Medical Examinations'!C:C, "No Data")</f>
        <v>8</v>
      </c>
      <c r="E168" s="28" t="str">
        <f t="array" ref="E168">_xlfn.XLOOKUP($A168, 'Medical Examinations'!$A:$A, 'Medical Examinations'!D:D, "No Data")</f>
        <v>yes</v>
      </c>
      <c r="F168" s="28" t="str">
        <f t="array" ref="F168">_xlfn.XLOOKUP($A168, 'Medical Examinations'!$A:$A, 'Medical Examinations'!E:E, "No Data")</f>
        <v>No</v>
      </c>
      <c r="G168" s="28" t="str">
        <f t="array" ref="G168">_xlfn.XLOOKUP($A168, 'Medical Examinations'!$A:$A, 'Medical Examinations'!F:F, "No Data")</f>
        <v>No</v>
      </c>
      <c r="H168" s="28">
        <f t="array" ref="H168">_xlfn.XLOOKUP($A168, 'Medical Examinations'!$A:$A, 'Medical Examinations'!G:G, "No Data")</f>
        <v>1</v>
      </c>
      <c r="I168" s="28" t="str">
        <f t="array" ref="I168">_xlfn.XLOOKUP($A168, 'Medical Examinations'!$A:$A, 'Medical Examinations'!H:H, "No Data")</f>
        <v>yes</v>
      </c>
      <c r="J168" s="28" t="str">
        <f t="array" ref="J168">_xlfn.XLOOKUP($A168, 'Medical Examinations'!$A:$A, 'Medical Examinations'!I:I, "No Data")</f>
        <v>Obesity</v>
      </c>
      <c r="K168" s="28" t="str">
        <f t="array" ref="K168">_xlfn.XLOOKUP($A168, 'Hospitalisation Details'!$A:$A, 'Hospitalisation Details'!I:I, "No Data")</f>
        <v>tier - 3</v>
      </c>
      <c r="L168" s="28" t="str">
        <f t="array" ref="L168">_xlfn.XLOOKUP($A168, 'Hospitalisation Details'!$A:$A, 'Hospitalisation Details'!J:J, "No Data")</f>
        <v>R1011</v>
      </c>
      <c r="M168" s="28" t="str">
        <f t="array" ref="M168">_xlfn.XLOOKUP($A168, 'Hospitalisation Details'!$A:$A, 'Hospitalisation Details'!E:E, "No Data")</f>
        <v>09/11/75</v>
      </c>
      <c r="N168" s="28">
        <f t="array" ref="N168">_xlfn.XLOOKUP($A168, 'Hospitalisation Details'!$A:$A, 'Hospitalisation Details'!K:K, "No Data")</f>
        <v>47</v>
      </c>
      <c r="O168" s="33">
        <f t="array" ref="O168">_xlfn.XLOOKUP($A168, 'Hospitalisation Details'!$A:$A, 'Hospitalisation Details'!G:G, "No Data")</f>
        <v>37272.34</v>
      </c>
      <c r="P168" s="28" t="str">
        <f t="array" ref="P168">_xlfn.XLOOKUP($A168, 'Hospitalisation Details'!$A:$A, 'Hospitalisation Details'!H:H, "No Data")</f>
        <v>tier - 2</v>
      </c>
    </row>
    <row r="169">
      <c r="A169" s="25" t="s">
        <v>552</v>
      </c>
      <c r="B169" s="28" t="str">
        <f t="array" ref="B169">_xlfn.XLOOKUP($A169, 'Customer Names'!$A:$A, 'Customer Names'!B:B, "No Data")</f>
        <v>Scofield</v>
      </c>
      <c r="C169" s="28">
        <f t="array" ref="C169">_xlfn.XLOOKUP($A169, 'Medical Examinations'!$A:$A, 'Medical Examinations'!B:B, "No Data")</f>
        <v>30.78</v>
      </c>
      <c r="D169" s="28">
        <f t="array" ref="D169">_xlfn.XLOOKUP($A169, 'Medical Examinations'!$A:$A, 'Medical Examinations'!C:C, "No Data")</f>
        <v>4.67</v>
      </c>
      <c r="E169" s="28" t="str">
        <f t="array" ref="E169">_xlfn.XLOOKUP($A169, 'Medical Examinations'!$A:$A, 'Medical Examinations'!D:D, "No Data")</f>
        <v>yes</v>
      </c>
      <c r="F169" s="28" t="str">
        <f t="array" ref="F169">_xlfn.XLOOKUP($A169, 'Medical Examinations'!$A:$A, 'Medical Examinations'!E:E, "No Data")</f>
        <v>No</v>
      </c>
      <c r="G169" s="28" t="str">
        <f t="array" ref="G169">_xlfn.XLOOKUP($A169, 'Medical Examinations'!$A:$A, 'Medical Examinations'!F:F, "No Data")</f>
        <v>No</v>
      </c>
      <c r="H169" s="28">
        <f t="array" ref="H169">_xlfn.XLOOKUP($A169, 'Medical Examinations'!$A:$A, 'Medical Examinations'!G:G, "No Data")</f>
        <v>0</v>
      </c>
      <c r="I169" s="28" t="str">
        <f t="array" ref="I169">_xlfn.XLOOKUP($A169, 'Medical Examinations'!$A:$A, 'Medical Examinations'!H:H, "No Data")</f>
        <v>yes</v>
      </c>
      <c r="J169" s="28" t="str">
        <f t="array" ref="J169">_xlfn.XLOOKUP($A169, 'Medical Examinations'!$A:$A, 'Medical Examinations'!I:I, "No Data")</f>
        <v>Obesity</v>
      </c>
      <c r="K169" s="28" t="str">
        <f t="array" ref="K169">_xlfn.XLOOKUP($A169, 'Hospitalisation Details'!$A:$A, 'Hospitalisation Details'!I:I, "No Data")</f>
        <v>tier - 1</v>
      </c>
      <c r="L169" s="28" t="str">
        <f t="array" ref="L169">_xlfn.XLOOKUP($A169, 'Hospitalisation Details'!$A:$A, 'Hospitalisation Details'!J:J, "No Data")</f>
        <v>R1024</v>
      </c>
      <c r="M169" s="28" t="str">
        <f t="array" ref="M169">_xlfn.XLOOKUP($A169, 'Hospitalisation Details'!$A:$A, 'Hospitalisation Details'!E:E, "No Data")</f>
        <v>17/11/85</v>
      </c>
      <c r="N169" s="28">
        <f t="array" ref="N169">_xlfn.XLOOKUP($A169, 'Hospitalisation Details'!$A:$A, 'Hospitalisation Details'!K:K, "No Data")</f>
        <v>37</v>
      </c>
      <c r="O169" s="33">
        <f t="array" ref="O169">_xlfn.XLOOKUP($A169, 'Hospitalisation Details'!$A:$A, 'Hospitalisation Details'!G:G, "No Data")</f>
        <v>37270.15</v>
      </c>
      <c r="P169" s="28" t="str">
        <f t="array" ref="P169">_xlfn.XLOOKUP($A169, 'Hospitalisation Details'!$A:$A, 'Hospitalisation Details'!H:H, "No Data")</f>
        <v>tier - 2</v>
      </c>
    </row>
    <row r="170">
      <c r="A170" s="25" t="s">
        <v>555</v>
      </c>
      <c r="B170" s="28" t="str">
        <f t="array" ref="B170">_xlfn.XLOOKUP($A170, 'Customer Names'!$A:$A, 'Customer Names'!B:B, "No Data")</f>
        <v>Yost</v>
      </c>
      <c r="C170" s="28">
        <f t="array" ref="C170">_xlfn.XLOOKUP($A170, 'Medical Examinations'!$A:$A, 'Medical Examinations'!B:B, "No Data")</f>
        <v>49.49</v>
      </c>
      <c r="D170" s="28">
        <f t="array" ref="D170">_xlfn.XLOOKUP($A170, 'Medical Examinations'!$A:$A, 'Medical Examinations'!C:C, "No Data")</f>
        <v>4.5</v>
      </c>
      <c r="E170" s="28" t="str">
        <f t="array" ref="E170">_xlfn.XLOOKUP($A170, 'Medical Examinations'!$A:$A, 'Medical Examinations'!D:D, "No Data")</f>
        <v>No</v>
      </c>
      <c r="F170" s="28" t="str">
        <f t="array" ref="F170">_xlfn.XLOOKUP($A170, 'Medical Examinations'!$A:$A, 'Medical Examinations'!E:E, "No Data")</f>
        <v>No</v>
      </c>
      <c r="G170" s="28" t="str">
        <f t="array" ref="G170">_xlfn.XLOOKUP($A170, 'Medical Examinations'!$A:$A, 'Medical Examinations'!F:F, "No Data")</f>
        <v>No</v>
      </c>
      <c r="H170" s="28">
        <f t="array" ref="H170">_xlfn.XLOOKUP($A170, 'Medical Examinations'!$A:$A, 'Medical Examinations'!G:G, "No Data")</f>
        <v>0</v>
      </c>
      <c r="I170" s="28" t="str">
        <f t="array" ref="I170">_xlfn.XLOOKUP($A170, 'Medical Examinations'!$A:$A, 'Medical Examinations'!H:H, "No Data")</f>
        <v>yes</v>
      </c>
      <c r="J170" s="28" t="str">
        <f t="array" ref="J170">_xlfn.XLOOKUP($A170, 'Medical Examinations'!$A:$A, 'Medical Examinations'!I:I, "No Data")</f>
        <v>Obesity</v>
      </c>
      <c r="K170" s="28" t="str">
        <f t="array" ref="K170">_xlfn.XLOOKUP($A170, 'Hospitalisation Details'!$A:$A, 'Hospitalisation Details'!I:I, "No Data")</f>
        <v>tier - 2</v>
      </c>
      <c r="L170" s="28" t="str">
        <f t="array" ref="L170">_xlfn.XLOOKUP($A170, 'Hospitalisation Details'!$A:$A, 'Hospitalisation Details'!J:J, "No Data")</f>
        <v>R1011</v>
      </c>
      <c r="M170" s="28" t="str">
        <f t="array" ref="M170">_xlfn.XLOOKUP($A170, 'Hospitalisation Details'!$A:$A, 'Hospitalisation Details'!E:E, "No Data")</f>
        <v>17/10/90</v>
      </c>
      <c r="N170" s="28">
        <f t="array" ref="N170">_xlfn.XLOOKUP($A170, 'Hospitalisation Details'!$A:$A, 'Hospitalisation Details'!K:K, "No Data")</f>
        <v>32</v>
      </c>
      <c r="O170" s="33">
        <f t="array" ref="O170">_xlfn.XLOOKUP($A170, 'Hospitalisation Details'!$A:$A, 'Hospitalisation Details'!G:G, "No Data")</f>
        <v>37251.22</v>
      </c>
      <c r="P170" s="28" t="str">
        <f t="array" ref="P170">_xlfn.XLOOKUP($A170, 'Hospitalisation Details'!$A:$A, 'Hospitalisation Details'!H:H, "No Data")</f>
        <v>tier - 2</v>
      </c>
    </row>
    <row r="171">
      <c r="A171" s="25" t="s">
        <v>559</v>
      </c>
      <c r="B171" s="28" t="str">
        <f t="array" ref="B171">_xlfn.XLOOKUP($A171, 'Customer Names'!$A:$A, 'Customer Names'!B:B, "No Data")</f>
        <v>Torphy</v>
      </c>
      <c r="C171" s="28">
        <f t="array" ref="C171">_xlfn.XLOOKUP($A171, 'Medical Examinations'!$A:$A, 'Medical Examinations'!B:B, "No Data")</f>
        <v>37.62</v>
      </c>
      <c r="D171" s="28">
        <f t="array" ref="D171">_xlfn.XLOOKUP($A171, 'Medical Examinations'!$A:$A, 'Medical Examinations'!C:C, "No Data")</f>
        <v>6.32</v>
      </c>
      <c r="E171" s="28" t="str">
        <f t="array" ref="E171">_xlfn.XLOOKUP($A171, 'Medical Examinations'!$A:$A, 'Medical Examinations'!D:D, "No Data")</f>
        <v>yes</v>
      </c>
      <c r="F171" s="28" t="str">
        <f t="array" ref="F171">_xlfn.XLOOKUP($A171, 'Medical Examinations'!$A:$A, 'Medical Examinations'!E:E, "No Data")</f>
        <v>yes</v>
      </c>
      <c r="G171" s="28" t="str">
        <f t="array" ref="G171">_xlfn.XLOOKUP($A171, 'Medical Examinations'!$A:$A, 'Medical Examinations'!F:F, "No Data")</f>
        <v>No</v>
      </c>
      <c r="H171" s="28">
        <f t="array" ref="H171">_xlfn.XLOOKUP($A171, 'Medical Examinations'!$A:$A, 'Medical Examinations'!G:G, "No Data")</f>
        <v>2</v>
      </c>
      <c r="I171" s="28" t="str">
        <f t="array" ref="I171">_xlfn.XLOOKUP($A171, 'Medical Examinations'!$A:$A, 'Medical Examinations'!H:H, "No Data")</f>
        <v>yes</v>
      </c>
      <c r="J171" s="28" t="str">
        <f t="array" ref="J171">_xlfn.XLOOKUP($A171, 'Medical Examinations'!$A:$A, 'Medical Examinations'!I:I, "No Data")</f>
        <v>Obesity</v>
      </c>
      <c r="K171" s="28" t="str">
        <f t="array" ref="K171">_xlfn.XLOOKUP($A171, 'Hospitalisation Details'!$A:$A, 'Hospitalisation Details'!I:I, "No Data")</f>
        <v>tier - 3</v>
      </c>
      <c r="L171" s="28">
        <f t="array" ref="L171">_xlfn.XLOOKUP($A171, 'Hospitalisation Details'!$A:$A, 'Hospitalisation Details'!J:J, "No Data")</f>
        <v>0</v>
      </c>
      <c r="M171" s="28" t="str">
        <f t="array" ref="M171">_xlfn.XLOOKUP($A171, 'Hospitalisation Details'!$A:$A, 'Hospitalisation Details'!E:E, "No Data")</f>
        <v>05/09/00</v>
      </c>
      <c r="N171" s="28">
        <f t="array" ref="N171">_xlfn.XLOOKUP($A171, 'Hospitalisation Details'!$A:$A, 'Hospitalisation Details'!K:K, "No Data")</f>
        <v>22</v>
      </c>
      <c r="O171" s="33">
        <f t="array" ref="O171">_xlfn.XLOOKUP($A171, 'Hospitalisation Details'!$A:$A, 'Hospitalisation Details'!G:G, "No Data")</f>
        <v>37165.16</v>
      </c>
      <c r="P171" s="28" t="str">
        <f t="array" ref="P171">_xlfn.XLOOKUP($A171, 'Hospitalisation Details'!$A:$A, 'Hospitalisation Details'!H:H, "No Data")</f>
        <v>tier - 1</v>
      </c>
    </row>
    <row r="172">
      <c r="A172" s="25" t="s">
        <v>562</v>
      </c>
      <c r="B172" s="28" t="str">
        <f t="array" ref="B172">_xlfn.XLOOKUP($A172, 'Customer Names'!$A:$A, 'Customer Names'!B:B, "No Data")</f>
        <v>Busby</v>
      </c>
      <c r="C172" s="28">
        <f t="array" ref="C172">_xlfn.XLOOKUP($A172, 'Medical Examinations'!$A:$A, 'Medical Examinations'!B:B, "No Data")</f>
        <v>36.08</v>
      </c>
      <c r="D172" s="28">
        <f t="array" ref="D172">_xlfn.XLOOKUP($A172, 'Medical Examinations'!$A:$A, 'Medical Examinations'!C:C, "No Data")</f>
        <v>6.1</v>
      </c>
      <c r="E172" s="28" t="str">
        <f t="array" ref="E172">_xlfn.XLOOKUP($A172, 'Medical Examinations'!$A:$A, 'Medical Examinations'!D:D, "No Data")</f>
        <v>yes</v>
      </c>
      <c r="F172" s="28" t="str">
        <f t="array" ref="F172">_xlfn.XLOOKUP($A172, 'Medical Examinations'!$A:$A, 'Medical Examinations'!E:E, "No Data")</f>
        <v>No</v>
      </c>
      <c r="G172" s="28" t="str">
        <f t="array" ref="G172">_xlfn.XLOOKUP($A172, 'Medical Examinations'!$A:$A, 'Medical Examinations'!F:F, "No Data")</f>
        <v>No</v>
      </c>
      <c r="H172" s="28">
        <f t="array" ref="H172">_xlfn.XLOOKUP($A172, 'Medical Examinations'!$A:$A, 'Medical Examinations'!G:G, "No Data")</f>
        <v>1</v>
      </c>
      <c r="I172" s="28" t="str">
        <f t="array" ref="I172">_xlfn.XLOOKUP($A172, 'Medical Examinations'!$A:$A, 'Medical Examinations'!H:H, "No Data")</f>
        <v>yes</v>
      </c>
      <c r="J172" s="28" t="str">
        <f t="array" ref="J172">_xlfn.XLOOKUP($A172, 'Medical Examinations'!$A:$A, 'Medical Examinations'!I:I, "No Data")</f>
        <v>Obesity</v>
      </c>
      <c r="K172" s="28" t="str">
        <f t="array" ref="K172">_xlfn.XLOOKUP($A172, 'Hospitalisation Details'!$A:$A, 'Hospitalisation Details'!I:I, "No Data")</f>
        <v>tier - 2</v>
      </c>
      <c r="L172" s="28" t="str">
        <f t="array" ref="L172">_xlfn.XLOOKUP($A172, 'Hospitalisation Details'!$A:$A, 'Hospitalisation Details'!J:J, "No Data")</f>
        <v>R1013</v>
      </c>
      <c r="M172" s="28" t="str">
        <f t="array" ref="M172">_xlfn.XLOOKUP($A172, 'Hospitalisation Details'!$A:$A, 'Hospitalisation Details'!E:E, "No Data")</f>
        <v>30/10/95</v>
      </c>
      <c r="N172" s="28">
        <f t="array" ref="N172">_xlfn.XLOOKUP($A172, 'Hospitalisation Details'!$A:$A, 'Hospitalisation Details'!K:K, "No Data")</f>
        <v>27</v>
      </c>
      <c r="O172" s="33">
        <f t="array" ref="O172">_xlfn.XLOOKUP($A172, 'Hospitalisation Details'!$A:$A, 'Hospitalisation Details'!G:G, "No Data")</f>
        <v>37133.9</v>
      </c>
      <c r="P172" s="28" t="str">
        <f t="array" ref="P172">_xlfn.XLOOKUP($A172, 'Hospitalisation Details'!$A:$A, 'Hospitalisation Details'!H:H, "No Data")</f>
        <v>tier - 2</v>
      </c>
    </row>
    <row r="173">
      <c r="A173" s="25" t="s">
        <v>565</v>
      </c>
      <c r="B173" s="28" t="str">
        <f t="array" ref="B173">_xlfn.XLOOKUP($A173, 'Customer Names'!$A:$A, 'Customer Names'!B:B, "No Data")</f>
        <v>Nguyen</v>
      </c>
      <c r="C173" s="28">
        <f t="array" ref="C173">_xlfn.XLOOKUP($A173, 'Medical Examinations'!$A:$A, 'Medical Examinations'!B:B, "No Data")</f>
        <v>33.5</v>
      </c>
      <c r="D173" s="28">
        <f t="array" ref="D173">_xlfn.XLOOKUP($A173, 'Medical Examinations'!$A:$A, 'Medical Examinations'!C:C, "No Data")</f>
        <v>5.4</v>
      </c>
      <c r="E173" s="28" t="str">
        <f t="array" ref="E173">_xlfn.XLOOKUP($A173, 'Medical Examinations'!$A:$A, 'Medical Examinations'!D:D, "No Data")</f>
        <v>No</v>
      </c>
      <c r="F173" s="28" t="str">
        <f t="array" ref="F173">_xlfn.XLOOKUP($A173, 'Medical Examinations'!$A:$A, 'Medical Examinations'!E:E, "No Data")</f>
        <v>No</v>
      </c>
      <c r="G173" s="28" t="str">
        <f t="array" ref="G173">_xlfn.XLOOKUP($A173, 'Medical Examinations'!$A:$A, 'Medical Examinations'!F:F, "No Data")</f>
        <v>No</v>
      </c>
      <c r="H173" s="28">
        <f t="array" ref="H173">_xlfn.XLOOKUP($A173, 'Medical Examinations'!$A:$A, 'Medical Examinations'!G:G, "No Data")</f>
        <v>0</v>
      </c>
      <c r="I173" s="28" t="str">
        <f t="array" ref="I173">_xlfn.XLOOKUP($A173, 'Medical Examinations'!$A:$A, 'Medical Examinations'!H:H, "No Data")</f>
        <v>yes</v>
      </c>
      <c r="J173" s="28" t="str">
        <f t="array" ref="J173">_xlfn.XLOOKUP($A173, 'Medical Examinations'!$A:$A, 'Medical Examinations'!I:I, "No Data")</f>
        <v>Obesity</v>
      </c>
      <c r="K173" s="28" t="str">
        <f t="array" ref="K173">_xlfn.XLOOKUP($A173, 'Hospitalisation Details'!$A:$A, 'Hospitalisation Details'!I:I, "No Data")</f>
        <v>tier - 3</v>
      </c>
      <c r="L173" s="28" t="str">
        <f t="array" ref="L173">_xlfn.XLOOKUP($A173, 'Hospitalisation Details'!$A:$A, 'Hospitalisation Details'!J:J, "No Data")</f>
        <v>R1011</v>
      </c>
      <c r="M173" s="28" t="str">
        <f t="array" ref="M173">_xlfn.XLOOKUP($A173, 'Hospitalisation Details'!$A:$A, 'Hospitalisation Details'!E:E, "No Data")</f>
        <v>10/06/89</v>
      </c>
      <c r="N173" s="28">
        <f t="array" ref="N173">_xlfn.XLOOKUP($A173, 'Hospitalisation Details'!$A:$A, 'Hospitalisation Details'!K:K, "No Data")</f>
        <v>33</v>
      </c>
      <c r="O173" s="33">
        <f t="array" ref="O173">_xlfn.XLOOKUP($A173, 'Hospitalisation Details'!$A:$A, 'Hospitalisation Details'!G:G, "No Data")</f>
        <v>37079.37</v>
      </c>
      <c r="P173" s="28" t="str">
        <f t="array" ref="P173">_xlfn.XLOOKUP($A173, 'Hospitalisation Details'!$A:$A, 'Hospitalisation Details'!H:H, "No Data")</f>
        <v>tier - 2</v>
      </c>
    </row>
    <row r="174">
      <c r="A174" s="25" t="s">
        <v>568</v>
      </c>
      <c r="B174" s="28" t="str">
        <f t="array" ref="B174">_xlfn.XLOOKUP($A174, 'Customer Names'!$A:$A, 'Customer Names'!B:B, "No Data")</f>
        <v>Hanley</v>
      </c>
      <c r="C174" s="28">
        <f t="array" ref="C174">_xlfn.XLOOKUP($A174, 'Medical Examinations'!$A:$A, 'Medical Examinations'!B:B, "No Data")</f>
        <v>47.46</v>
      </c>
      <c r="D174" s="28">
        <f t="array" ref="D174">_xlfn.XLOOKUP($A174, 'Medical Examinations'!$A:$A, 'Medical Examinations'!C:C, "No Data")</f>
        <v>6.24</v>
      </c>
      <c r="E174" s="28" t="str">
        <f t="array" ref="E174">_xlfn.XLOOKUP($A174, 'Medical Examinations'!$A:$A, 'Medical Examinations'!D:D, "No Data")</f>
        <v>yes</v>
      </c>
      <c r="F174" s="28" t="str">
        <f t="array" ref="F174">_xlfn.XLOOKUP($A174, 'Medical Examinations'!$A:$A, 'Medical Examinations'!E:E, "No Data")</f>
        <v>No</v>
      </c>
      <c r="G174" s="28" t="str">
        <f t="array" ref="G174">_xlfn.XLOOKUP($A174, 'Medical Examinations'!$A:$A, 'Medical Examinations'!F:F, "No Data")</f>
        <v>No</v>
      </c>
      <c r="H174" s="28">
        <f t="array" ref="H174">_xlfn.XLOOKUP($A174, 'Medical Examinations'!$A:$A, 'Medical Examinations'!G:G, "No Data")</f>
        <v>1</v>
      </c>
      <c r="I174" s="28" t="str">
        <f t="array" ref="I174">_xlfn.XLOOKUP($A174, 'Medical Examinations'!$A:$A, 'Medical Examinations'!H:H, "No Data")</f>
        <v>yes</v>
      </c>
      <c r="J174" s="28" t="str">
        <f t="array" ref="J174">_xlfn.XLOOKUP($A174, 'Medical Examinations'!$A:$A, 'Medical Examinations'!I:I, "No Data")</f>
        <v>Obesity</v>
      </c>
      <c r="K174" s="28" t="str">
        <f t="array" ref="K174">_xlfn.XLOOKUP($A174, 'Hospitalisation Details'!$A:$A, 'Hospitalisation Details'!I:I, "No Data")</f>
        <v>tier - 1</v>
      </c>
      <c r="L174" s="28" t="str">
        <f t="array" ref="L174">_xlfn.XLOOKUP($A174, 'Hospitalisation Details'!$A:$A, 'Hospitalisation Details'!J:J, "No Data")</f>
        <v>R1011</v>
      </c>
      <c r="M174" s="28" t="str">
        <f t="array" ref="M174">_xlfn.XLOOKUP($A174, 'Hospitalisation Details'!$A:$A, 'Hospitalisation Details'!E:E, "No Data")</f>
        <v>17/12/88</v>
      </c>
      <c r="N174" s="28">
        <f t="array" ref="N174">_xlfn.XLOOKUP($A174, 'Hospitalisation Details'!$A:$A, 'Hospitalisation Details'!K:K, "No Data")</f>
        <v>34</v>
      </c>
      <c r="O174" s="33">
        <f t="array" ref="O174">_xlfn.XLOOKUP($A174, 'Hospitalisation Details'!$A:$A, 'Hospitalisation Details'!G:G, "No Data")</f>
        <v>37076.37</v>
      </c>
      <c r="P174" s="28" t="str">
        <f t="array" ref="P174">_xlfn.XLOOKUP($A174, 'Hospitalisation Details'!$A:$A, 'Hospitalisation Details'!H:H, "No Data")</f>
        <v>tier - 2</v>
      </c>
    </row>
    <row r="175">
      <c r="A175" s="25" t="s">
        <v>572</v>
      </c>
      <c r="B175" s="28" t="str">
        <f t="array" ref="B175">_xlfn.XLOOKUP($A175, 'Customer Names'!$A:$A, 'Customer Names'!B:B, "No Data")</f>
        <v>Scheer</v>
      </c>
      <c r="C175" s="28">
        <f t="array" ref="C175">_xlfn.XLOOKUP($A175, 'Medical Examinations'!$A:$A, 'Medical Examinations'!B:B, "No Data")</f>
        <v>49.24</v>
      </c>
      <c r="D175" s="28">
        <f t="array" ref="D175">_xlfn.XLOOKUP($A175, 'Medical Examinations'!$A:$A, 'Medical Examinations'!C:C, "No Data")</f>
        <v>4.45</v>
      </c>
      <c r="E175" s="28" t="str">
        <f t="array" ref="E175">_xlfn.XLOOKUP($A175, 'Medical Examinations'!$A:$A, 'Medical Examinations'!D:D, "No Data")</f>
        <v>No</v>
      </c>
      <c r="F175" s="28" t="str">
        <f t="array" ref="F175">_xlfn.XLOOKUP($A175, 'Medical Examinations'!$A:$A, 'Medical Examinations'!E:E, "No Data")</f>
        <v>No</v>
      </c>
      <c r="G175" s="28" t="str">
        <f t="array" ref="G175">_xlfn.XLOOKUP($A175, 'Medical Examinations'!$A:$A, 'Medical Examinations'!F:F, "No Data")</f>
        <v>No</v>
      </c>
      <c r="H175" s="28">
        <f t="array" ref="H175">_xlfn.XLOOKUP($A175, 'Medical Examinations'!$A:$A, 'Medical Examinations'!G:G, "No Data")</f>
        <v>0</v>
      </c>
      <c r="I175" s="28" t="str">
        <f t="array" ref="I175">_xlfn.XLOOKUP($A175, 'Medical Examinations'!$A:$A, 'Medical Examinations'!H:H, "No Data")</f>
        <v>yes</v>
      </c>
      <c r="J175" s="28" t="str">
        <f t="array" ref="J175">_xlfn.XLOOKUP($A175, 'Medical Examinations'!$A:$A, 'Medical Examinations'!I:I, "No Data")</f>
        <v>Obesity</v>
      </c>
      <c r="K175" s="28" t="str">
        <f t="array" ref="K175">_xlfn.XLOOKUP($A175, 'Hospitalisation Details'!$A:$A, 'Hospitalisation Details'!I:I, "No Data")</f>
        <v>tier - 2</v>
      </c>
      <c r="L175" s="28" t="str">
        <f t="array" ref="L175">_xlfn.XLOOKUP($A175, 'Hospitalisation Details'!$A:$A, 'Hospitalisation Details'!J:J, "No Data")</f>
        <v>R1011</v>
      </c>
      <c r="M175" s="28" t="str">
        <f t="array" ref="M175">_xlfn.XLOOKUP($A175, 'Hospitalisation Details'!$A:$A, 'Hospitalisation Details'!E:E, "No Data")</f>
        <v>01/11/91</v>
      </c>
      <c r="N175" s="28">
        <f t="array" ref="N175">_xlfn.XLOOKUP($A175, 'Hospitalisation Details'!$A:$A, 'Hospitalisation Details'!K:K, "No Data")</f>
        <v>31</v>
      </c>
      <c r="O175" s="33">
        <f t="array" ref="O175">_xlfn.XLOOKUP($A175, 'Hospitalisation Details'!$A:$A, 'Hospitalisation Details'!G:G, "No Data")</f>
        <v>37040.88</v>
      </c>
      <c r="P175" s="28" t="str">
        <f t="array" ref="P175">_xlfn.XLOOKUP($A175, 'Hospitalisation Details'!$A:$A, 'Hospitalisation Details'!H:H, "No Data")</f>
        <v>tier - 2</v>
      </c>
    </row>
    <row r="176">
      <c r="A176" s="25" t="s">
        <v>575</v>
      </c>
      <c r="B176" s="28" t="str">
        <f t="array" ref="B176">_xlfn.XLOOKUP($A176, 'Customer Names'!$A:$A, 'Customer Names'!B:B, "No Data")</f>
        <v>Rankin</v>
      </c>
      <c r="C176" s="28">
        <f t="array" ref="C176">_xlfn.XLOOKUP($A176, 'Medical Examinations'!$A:$A, 'Medical Examinations'!B:B, "No Data")</f>
        <v>54.4</v>
      </c>
      <c r="D176" s="28">
        <f t="array" ref="D176">_xlfn.XLOOKUP($A176, 'Medical Examinations'!$A:$A, 'Medical Examinations'!C:C, "No Data")</f>
        <v>5.22</v>
      </c>
      <c r="E176" s="28" t="str">
        <f t="array" ref="E176">_xlfn.XLOOKUP($A176, 'Medical Examinations'!$A:$A, 'Medical Examinations'!D:D, "No Data")</f>
        <v>No</v>
      </c>
      <c r="F176" s="28" t="str">
        <f t="array" ref="F176">_xlfn.XLOOKUP($A176, 'Medical Examinations'!$A:$A, 'Medical Examinations'!E:E, "No Data")</f>
        <v>No</v>
      </c>
      <c r="G176" s="28" t="str">
        <f t="array" ref="G176">_xlfn.XLOOKUP($A176, 'Medical Examinations'!$A:$A, 'Medical Examinations'!F:F, "No Data")</f>
        <v>No</v>
      </c>
      <c r="H176" s="28">
        <f t="array" ref="H176">_xlfn.XLOOKUP($A176, 'Medical Examinations'!$A:$A, 'Medical Examinations'!G:G, "No Data")</f>
        <v>1</v>
      </c>
      <c r="I176" s="28" t="str">
        <f t="array" ref="I176">_xlfn.XLOOKUP($A176, 'Medical Examinations'!$A:$A, 'Medical Examinations'!H:H, "No Data")</f>
        <v>yes</v>
      </c>
      <c r="J176" s="28" t="str">
        <f t="array" ref="J176">_xlfn.XLOOKUP($A176, 'Medical Examinations'!$A:$A, 'Medical Examinations'!I:I, "No Data")</f>
        <v>Obesity</v>
      </c>
      <c r="K176" s="28" t="str">
        <f t="array" ref="K176">_xlfn.XLOOKUP($A176, 'Hospitalisation Details'!$A:$A, 'Hospitalisation Details'!I:I, "No Data")</f>
        <v>tier - 3</v>
      </c>
      <c r="L176" s="28" t="str">
        <f t="array" ref="L176">_xlfn.XLOOKUP($A176, 'Hospitalisation Details'!$A:$A, 'Hospitalisation Details'!J:J, "No Data")</f>
        <v>R1011</v>
      </c>
      <c r="M176" s="28" t="str">
        <f t="array" ref="M176">_xlfn.XLOOKUP($A176, 'Hospitalisation Details'!$A:$A, 'Hospitalisation Details'!E:E, "No Data")</f>
        <v>13/09/92</v>
      </c>
      <c r="N176" s="28">
        <f t="array" ref="N176">_xlfn.XLOOKUP($A176, 'Hospitalisation Details'!$A:$A, 'Hospitalisation Details'!K:K, "No Data")</f>
        <v>30</v>
      </c>
      <c r="O176" s="33">
        <f t="array" ref="O176">_xlfn.XLOOKUP($A176, 'Hospitalisation Details'!$A:$A, 'Hospitalisation Details'!G:G, "No Data")</f>
        <v>36976.45</v>
      </c>
      <c r="P176" s="28" t="str">
        <f t="array" ref="P176">_xlfn.XLOOKUP($A176, 'Hospitalisation Details'!$A:$A, 'Hospitalisation Details'!H:H, "No Data")</f>
        <v>tier - 2</v>
      </c>
    </row>
    <row r="177">
      <c r="A177" s="25" t="s">
        <v>578</v>
      </c>
      <c r="B177" s="28" t="str">
        <f t="array" ref="B177">_xlfn.XLOOKUP($A177, 'Customer Names'!$A:$A, 'Customer Names'!B:B, "No Data")</f>
        <v>Ricardi</v>
      </c>
      <c r="C177" s="28">
        <f t="array" ref="C177">_xlfn.XLOOKUP($A177, 'Medical Examinations'!$A:$A, 'Medical Examinations'!B:B, "No Data")</f>
        <v>35.53</v>
      </c>
      <c r="D177" s="28">
        <f t="array" ref="D177">_xlfn.XLOOKUP($A177, 'Medical Examinations'!$A:$A, 'Medical Examinations'!C:C, "No Data")</f>
        <v>4.61</v>
      </c>
      <c r="E177" s="28" t="str">
        <f t="array" ref="E177">_xlfn.XLOOKUP($A177, 'Medical Examinations'!$A:$A, 'Medical Examinations'!D:D, "No Data")</f>
        <v>No</v>
      </c>
      <c r="F177" s="28" t="str">
        <f t="array" ref="F177">_xlfn.XLOOKUP($A177, 'Medical Examinations'!$A:$A, 'Medical Examinations'!E:E, "No Data")</f>
        <v>No</v>
      </c>
      <c r="G177" s="28" t="str">
        <f t="array" ref="G177">_xlfn.XLOOKUP($A177, 'Medical Examinations'!$A:$A, 'Medical Examinations'!F:F, "No Data")</f>
        <v>No</v>
      </c>
      <c r="H177" s="28">
        <f t="array" ref="H177">_xlfn.XLOOKUP($A177, 'Medical Examinations'!$A:$A, 'Medical Examinations'!G:G, "No Data")</f>
        <v>1</v>
      </c>
      <c r="I177" s="28" t="str">
        <f t="array" ref="I177">_xlfn.XLOOKUP($A177, 'Medical Examinations'!$A:$A, 'Medical Examinations'!H:H, "No Data")</f>
        <v>yes</v>
      </c>
      <c r="J177" s="28" t="str">
        <f t="array" ref="J177">_xlfn.XLOOKUP($A177, 'Medical Examinations'!$A:$A, 'Medical Examinations'!I:I, "No Data")</f>
        <v>Obesity</v>
      </c>
      <c r="K177" s="28" t="str">
        <f t="array" ref="K177">_xlfn.XLOOKUP($A177, 'Hospitalisation Details'!$A:$A, 'Hospitalisation Details'!I:I, "No Data")</f>
        <v>tier - 1</v>
      </c>
      <c r="L177" s="28" t="str">
        <f t="array" ref="L177">_xlfn.XLOOKUP($A177, 'Hospitalisation Details'!$A:$A, 'Hospitalisation Details'!J:J, "No Data")</f>
        <v>R1013</v>
      </c>
      <c r="M177" s="28" t="str">
        <f t="array" ref="M177">_xlfn.XLOOKUP($A177, 'Hospitalisation Details'!$A:$A, 'Hospitalisation Details'!E:E, "No Data")</f>
        <v>25/08/92</v>
      </c>
      <c r="N177" s="28">
        <f t="array" ref="N177">_xlfn.XLOOKUP($A177, 'Hospitalisation Details'!$A:$A, 'Hospitalisation Details'!K:K, "No Data")</f>
        <v>30</v>
      </c>
      <c r="O177" s="33">
        <f t="array" ref="O177">_xlfn.XLOOKUP($A177, 'Hospitalisation Details'!$A:$A, 'Hospitalisation Details'!G:G, "No Data")</f>
        <v>36950.26</v>
      </c>
      <c r="P177" s="28" t="str">
        <f t="array" ref="P177">_xlfn.XLOOKUP($A177, 'Hospitalisation Details'!$A:$A, 'Hospitalisation Details'!H:H, "No Data")</f>
        <v>tier - 1</v>
      </c>
    </row>
    <row r="178">
      <c r="A178" s="25" t="s">
        <v>580</v>
      </c>
      <c r="B178" s="28" t="str">
        <f t="array" ref="B178">_xlfn.XLOOKUP($A178, 'Customer Names'!$A:$A, 'Customer Names'!B:B, "No Data")</f>
        <v>Karkos</v>
      </c>
      <c r="C178" s="28">
        <f t="array" ref="C178">_xlfn.XLOOKUP($A178, 'Medical Examinations'!$A:$A, 'Medical Examinations'!B:B, "No Data")</f>
        <v>39.73</v>
      </c>
      <c r="D178" s="28">
        <f t="array" ref="D178">_xlfn.XLOOKUP($A178, 'Medical Examinations'!$A:$A, 'Medical Examinations'!C:C, "No Data")</f>
        <v>6.24</v>
      </c>
      <c r="E178" s="28" t="str">
        <f t="array" ref="E178">_xlfn.XLOOKUP($A178, 'Medical Examinations'!$A:$A, 'Medical Examinations'!D:D, "No Data")</f>
        <v>No</v>
      </c>
      <c r="F178" s="28" t="str">
        <f t="array" ref="F178">_xlfn.XLOOKUP($A178, 'Medical Examinations'!$A:$A, 'Medical Examinations'!E:E, "No Data")</f>
        <v>No</v>
      </c>
      <c r="G178" s="28" t="str">
        <f t="array" ref="G178">_xlfn.XLOOKUP($A178, 'Medical Examinations'!$A:$A, 'Medical Examinations'!F:F, "No Data")</f>
        <v>No</v>
      </c>
      <c r="H178" s="28">
        <f t="array" ref="H178">_xlfn.XLOOKUP($A178, 'Medical Examinations'!$A:$A, 'Medical Examinations'!G:G, "No Data")</f>
        <v>0</v>
      </c>
      <c r="I178" s="28" t="str">
        <f t="array" ref="I178">_xlfn.XLOOKUP($A178, 'Medical Examinations'!$A:$A, 'Medical Examinations'!H:H, "No Data")</f>
        <v>yes</v>
      </c>
      <c r="J178" s="28" t="str">
        <f t="array" ref="J178">_xlfn.XLOOKUP($A178, 'Medical Examinations'!$A:$A, 'Medical Examinations'!I:I, "No Data")</f>
        <v>Obesity</v>
      </c>
      <c r="K178" s="28" t="str">
        <f t="array" ref="K178">_xlfn.XLOOKUP($A178, 'Hospitalisation Details'!$A:$A, 'Hospitalisation Details'!I:I, "No Data")</f>
        <v>tier - 1</v>
      </c>
      <c r="L178" s="28" t="str">
        <f t="array" ref="L178">_xlfn.XLOOKUP($A178, 'Hospitalisation Details'!$A:$A, 'Hospitalisation Details'!J:J, "No Data")</f>
        <v>R1011</v>
      </c>
      <c r="M178" s="28" t="str">
        <f t="array" ref="M178">_xlfn.XLOOKUP($A178, 'Hospitalisation Details'!$A:$A, 'Hospitalisation Details'!E:E, "No Data")</f>
        <v>13/08/77</v>
      </c>
      <c r="N178" s="28">
        <f t="array" ref="N178">_xlfn.XLOOKUP($A178, 'Hospitalisation Details'!$A:$A, 'Hospitalisation Details'!K:K, "No Data")</f>
        <v>45</v>
      </c>
      <c r="O178" s="33">
        <f t="array" ref="O178">_xlfn.XLOOKUP($A178, 'Hospitalisation Details'!$A:$A, 'Hospitalisation Details'!G:G, "No Data")</f>
        <v>36935.64</v>
      </c>
      <c r="P178" s="28" t="str">
        <f t="array" ref="P178">_xlfn.XLOOKUP($A178, 'Hospitalisation Details'!$A:$A, 'Hospitalisation Details'!H:H, "No Data")</f>
        <v>tier - 2</v>
      </c>
    </row>
    <row r="179">
      <c r="A179" s="25" t="s">
        <v>584</v>
      </c>
      <c r="B179" s="28" t="str">
        <f t="array" ref="B179">_xlfn.XLOOKUP($A179, 'Customer Names'!$A:$A, 'Customer Names'!B:B, "No Data")</f>
        <v>Price-Dierksen</v>
      </c>
      <c r="C179" s="28">
        <f t="array" ref="C179">_xlfn.XLOOKUP($A179, 'Medical Examinations'!$A:$A, 'Medical Examinations'!B:B, "No Data")</f>
        <v>35.68</v>
      </c>
      <c r="D179" s="28">
        <f t="array" ref="D179">_xlfn.XLOOKUP($A179, 'Medical Examinations'!$A:$A, 'Medical Examinations'!C:C, "No Data")</f>
        <v>10.04</v>
      </c>
      <c r="E179" s="28" t="str">
        <f t="array" ref="E179">_xlfn.XLOOKUP($A179, 'Medical Examinations'!$A:$A, 'Medical Examinations'!D:D, "No Data")</f>
        <v>No</v>
      </c>
      <c r="F179" s="28" t="str">
        <f t="array" ref="F179">_xlfn.XLOOKUP($A179, 'Medical Examinations'!$A:$A, 'Medical Examinations'!E:E, "No Data")</f>
        <v>No</v>
      </c>
      <c r="G179" s="28" t="str">
        <f t="array" ref="G179">_xlfn.XLOOKUP($A179, 'Medical Examinations'!$A:$A, 'Medical Examinations'!F:F, "No Data")</f>
        <v>No</v>
      </c>
      <c r="H179" s="28">
        <f t="array" ref="H179">_xlfn.XLOOKUP($A179, 'Medical Examinations'!$A:$A, 'Medical Examinations'!G:G, "No Data")</f>
        <v>0</v>
      </c>
      <c r="I179" s="28" t="str">
        <f t="array" ref="I179">_xlfn.XLOOKUP($A179, 'Medical Examinations'!$A:$A, 'Medical Examinations'!H:H, "No Data")</f>
        <v>yes</v>
      </c>
      <c r="J179" s="28" t="str">
        <f t="array" ref="J179">_xlfn.XLOOKUP($A179, 'Medical Examinations'!$A:$A, 'Medical Examinations'!I:I, "No Data")</f>
        <v>Obesity</v>
      </c>
      <c r="K179" s="28" t="str">
        <f t="array" ref="K179">_xlfn.XLOOKUP($A179, 'Hospitalisation Details'!$A:$A, 'Hospitalisation Details'!I:I, "No Data")</f>
        <v>tier - 1</v>
      </c>
      <c r="L179" s="28" t="str">
        <f t="array" ref="L179">_xlfn.XLOOKUP($A179, 'Hospitalisation Details'!$A:$A, 'Hospitalisation Details'!J:J, "No Data")</f>
        <v>R1011</v>
      </c>
      <c r="M179" s="28" t="str">
        <f t="array" ref="M179">_xlfn.XLOOKUP($A179, 'Hospitalisation Details'!$A:$A, 'Hospitalisation Details'!E:E, "No Data")</f>
        <v>22/10/68</v>
      </c>
      <c r="N179" s="28">
        <f t="array" ref="N179">_xlfn.XLOOKUP($A179, 'Hospitalisation Details'!$A:$A, 'Hospitalisation Details'!K:K, "No Data")</f>
        <v>54</v>
      </c>
      <c r="O179" s="33">
        <f t="array" ref="O179">_xlfn.XLOOKUP($A179, 'Hospitalisation Details'!$A:$A, 'Hospitalisation Details'!G:G, "No Data")</f>
        <v>36922.61</v>
      </c>
      <c r="P179" s="28" t="str">
        <f t="array" ref="P179">_xlfn.XLOOKUP($A179, 'Hospitalisation Details'!$A:$A, 'Hospitalisation Details'!H:H, "No Data")</f>
        <v>tier - 2</v>
      </c>
    </row>
    <row r="180">
      <c r="A180" s="25" t="s">
        <v>587</v>
      </c>
      <c r="B180" s="28" t="str">
        <f t="array" ref="B180">_xlfn.XLOOKUP($A180, 'Customer Names'!$A:$A, 'Customer Names'!B:B, "No Data")</f>
        <v>Knispel</v>
      </c>
      <c r="C180" s="28">
        <f t="array" ref="C180">_xlfn.XLOOKUP($A180, 'Medical Examinations'!$A:$A, 'Medical Examinations'!B:B, "No Data")</f>
        <v>48.86</v>
      </c>
      <c r="D180" s="28">
        <f t="array" ref="D180">_xlfn.XLOOKUP($A180, 'Medical Examinations'!$A:$A, 'Medical Examinations'!C:C, "No Data")</f>
        <v>6.09</v>
      </c>
      <c r="E180" s="28" t="str">
        <f t="array" ref="E180">_xlfn.XLOOKUP($A180, 'Medical Examinations'!$A:$A, 'Medical Examinations'!D:D, "No Data")</f>
        <v>No</v>
      </c>
      <c r="F180" s="28" t="str">
        <f t="array" ref="F180">_xlfn.XLOOKUP($A180, 'Medical Examinations'!$A:$A, 'Medical Examinations'!E:E, "No Data")</f>
        <v>No</v>
      </c>
      <c r="G180" s="28" t="str">
        <f t="array" ref="G180">_xlfn.XLOOKUP($A180, 'Medical Examinations'!$A:$A, 'Medical Examinations'!F:F, "No Data")</f>
        <v>No</v>
      </c>
      <c r="H180" s="28">
        <f t="array" ref="H180">_xlfn.XLOOKUP($A180, 'Medical Examinations'!$A:$A, 'Medical Examinations'!G:G, "No Data")</f>
        <v>0</v>
      </c>
      <c r="I180" s="28" t="str">
        <f t="array" ref="I180">_xlfn.XLOOKUP($A180, 'Medical Examinations'!$A:$A, 'Medical Examinations'!H:H, "No Data")</f>
        <v>yes</v>
      </c>
      <c r="J180" s="28" t="str">
        <f t="array" ref="J180">_xlfn.XLOOKUP($A180, 'Medical Examinations'!$A:$A, 'Medical Examinations'!I:I, "No Data")</f>
        <v>Obesity</v>
      </c>
      <c r="K180" s="28" t="str">
        <f t="array" ref="K180">_xlfn.XLOOKUP($A180, 'Hospitalisation Details'!$A:$A, 'Hospitalisation Details'!I:I, "No Data")</f>
        <v>tier - 2</v>
      </c>
      <c r="L180" s="28" t="str">
        <f t="array" ref="L180">_xlfn.XLOOKUP($A180, 'Hospitalisation Details'!$A:$A, 'Hospitalisation Details'!J:J, "No Data")</f>
        <v>R1011</v>
      </c>
      <c r="M180" s="28" t="str">
        <f t="array" ref="M180">_xlfn.XLOOKUP($A180, 'Hospitalisation Details'!$A:$A, 'Hospitalisation Details'!E:E, "No Data")</f>
        <v>10/06/91</v>
      </c>
      <c r="N180" s="28">
        <f t="array" ref="N180">_xlfn.XLOOKUP($A180, 'Hospitalisation Details'!$A:$A, 'Hospitalisation Details'!K:K, "No Data")</f>
        <v>31</v>
      </c>
      <c r="O180" s="33">
        <f t="array" ref="O180">_xlfn.XLOOKUP($A180, 'Hospitalisation Details'!$A:$A, 'Hospitalisation Details'!G:G, "No Data")</f>
        <v>36911.99</v>
      </c>
      <c r="P180" s="28" t="str">
        <f t="array" ref="P180">_xlfn.XLOOKUP($A180, 'Hospitalisation Details'!$A:$A, 'Hospitalisation Details'!H:H, "No Data")</f>
        <v>tier - 2</v>
      </c>
    </row>
    <row r="181">
      <c r="A181" s="25" t="s">
        <v>590</v>
      </c>
      <c r="B181" s="28" t="str">
        <f t="array" ref="B181">_xlfn.XLOOKUP($A181, 'Customer Names'!$A:$A, 'Customer Names'!B:B, "No Data")</f>
        <v>King</v>
      </c>
      <c r="C181" s="28">
        <f t="array" ref="C181">_xlfn.XLOOKUP($A181, 'Medical Examinations'!$A:$A, 'Medical Examinations'!B:B, "No Data")</f>
        <v>34.8</v>
      </c>
      <c r="D181" s="28">
        <f t="array" ref="D181">_xlfn.XLOOKUP($A181, 'Medical Examinations'!$A:$A, 'Medical Examinations'!C:C, "No Data")</f>
        <v>11.4</v>
      </c>
      <c r="E181" s="28" t="str">
        <f t="array" ref="E181">_xlfn.XLOOKUP($A181, 'Medical Examinations'!$A:$A, 'Medical Examinations'!D:D, "No Data")</f>
        <v>yes</v>
      </c>
      <c r="F181" s="28" t="str">
        <f t="array" ref="F181">_xlfn.XLOOKUP($A181, 'Medical Examinations'!$A:$A, 'Medical Examinations'!E:E, "No Data")</f>
        <v>No</v>
      </c>
      <c r="G181" s="28" t="str">
        <f t="array" ref="G181">_xlfn.XLOOKUP($A181, 'Medical Examinations'!$A:$A, 'Medical Examinations'!F:F, "No Data")</f>
        <v>Yes</v>
      </c>
      <c r="H181" s="28">
        <f t="array" ref="H181">_xlfn.XLOOKUP($A181, 'Medical Examinations'!$A:$A, 'Medical Examinations'!G:G, "No Data")</f>
        <v>1</v>
      </c>
      <c r="I181" s="28" t="str">
        <f t="array" ref="I181">_xlfn.XLOOKUP($A181, 'Medical Examinations'!$A:$A, 'Medical Examinations'!H:H, "No Data")</f>
        <v>No</v>
      </c>
      <c r="J181" s="28" t="str">
        <f t="array" ref="J181">_xlfn.XLOOKUP($A181, 'Medical Examinations'!$A:$A, 'Medical Examinations'!I:I, "No Data")</f>
        <v>Obesity</v>
      </c>
      <c r="K181" s="28" t="str">
        <f t="array" ref="K181">_xlfn.XLOOKUP($A181, 'Hospitalisation Details'!$A:$A, 'Hospitalisation Details'!I:I, "No Data")</f>
        <v>tier - 2</v>
      </c>
      <c r="L181" s="28" t="str">
        <f t="array" ref="L181">_xlfn.XLOOKUP($A181, 'Hospitalisation Details'!$A:$A, 'Hospitalisation Details'!J:J, "No Data")</f>
        <v>R1011</v>
      </c>
      <c r="M181" s="28" t="str">
        <f t="array" ref="M181">_xlfn.XLOOKUP($A181, 'Hospitalisation Details'!$A:$A, 'Hospitalisation Details'!E:E, "No Data")</f>
        <v>24/07/63</v>
      </c>
      <c r="N181" s="28">
        <f t="array" ref="N181">_xlfn.XLOOKUP($A181, 'Hospitalisation Details'!$A:$A, 'Hospitalisation Details'!K:K, "No Data")</f>
        <v>59</v>
      </c>
      <c r="O181" s="33">
        <f t="array" ref="O181">_xlfn.XLOOKUP($A181, 'Hospitalisation Details'!$A:$A, 'Hospitalisation Details'!G:G, "No Data")</f>
        <v>36910.61</v>
      </c>
      <c r="P181" s="28" t="str">
        <f t="array" ref="P181">_xlfn.XLOOKUP($A181, 'Hospitalisation Details'!$A:$A, 'Hospitalisation Details'!H:H, "No Data")</f>
        <v>tier - 2</v>
      </c>
    </row>
    <row r="182">
      <c r="A182" s="25" t="s">
        <v>594</v>
      </c>
      <c r="B182" s="28" t="str">
        <f t="array" ref="B182">_xlfn.XLOOKUP($A182, 'Customer Names'!$A:$A, 'Customer Names'!B:B, "No Data")</f>
        <v>Samuelson</v>
      </c>
      <c r="C182" s="28">
        <f t="array" ref="C182">_xlfn.XLOOKUP($A182, 'Medical Examinations'!$A:$A, 'Medical Examinations'!B:B, "No Data")</f>
        <v>32.49</v>
      </c>
      <c r="D182" s="28">
        <f t="array" ref="D182">_xlfn.XLOOKUP($A182, 'Medical Examinations'!$A:$A, 'Medical Examinations'!C:C, "No Data")</f>
        <v>4.29</v>
      </c>
      <c r="E182" s="28" t="str">
        <f t="array" ref="E182">_xlfn.XLOOKUP($A182, 'Medical Examinations'!$A:$A, 'Medical Examinations'!D:D, "No Data")</f>
        <v>No</v>
      </c>
      <c r="F182" s="28" t="str">
        <f t="array" ref="F182">_xlfn.XLOOKUP($A182, 'Medical Examinations'!$A:$A, 'Medical Examinations'!E:E, "No Data")</f>
        <v>No</v>
      </c>
      <c r="G182" s="28" t="str">
        <f t="array" ref="G182">_xlfn.XLOOKUP($A182, 'Medical Examinations'!$A:$A, 'Medical Examinations'!F:F, "No Data")</f>
        <v>Yes</v>
      </c>
      <c r="H182" s="28">
        <f t="array" ref="H182">_xlfn.XLOOKUP($A182, 'Medical Examinations'!$A:$A, 'Medical Examinations'!G:G, "No Data")</f>
        <v>1</v>
      </c>
      <c r="I182" s="28" t="str">
        <f t="array" ref="I182">_xlfn.XLOOKUP($A182, 'Medical Examinations'!$A:$A, 'Medical Examinations'!H:H, "No Data")</f>
        <v>yes</v>
      </c>
      <c r="J182" s="28" t="str">
        <f t="array" ref="J182">_xlfn.XLOOKUP($A182, 'Medical Examinations'!$A:$A, 'Medical Examinations'!I:I, "No Data")</f>
        <v>Obesity</v>
      </c>
      <c r="K182" s="28" t="str">
        <f t="array" ref="K182">_xlfn.XLOOKUP($A182, 'Hospitalisation Details'!$A:$A, 'Hospitalisation Details'!I:I, "No Data")</f>
        <v>tier - 1</v>
      </c>
      <c r="L182" s="28" t="str">
        <f t="array" ref="L182">_xlfn.XLOOKUP($A182, 'Hospitalisation Details'!$A:$A, 'Hospitalisation Details'!J:J, "No Data")</f>
        <v>R1012</v>
      </c>
      <c r="M182" s="28" t="str">
        <f t="array" ref="M182">_xlfn.XLOOKUP($A182, 'Hospitalisation Details'!$A:$A, 'Hospitalisation Details'!E:E, "No Data")</f>
        <v>21/06/03</v>
      </c>
      <c r="N182" s="28">
        <f t="array" ref="N182">_xlfn.XLOOKUP($A182, 'Hospitalisation Details'!$A:$A, 'Hospitalisation Details'!K:K, "No Data")</f>
        <v>19</v>
      </c>
      <c r="O182" s="33">
        <f t="array" ref="O182">_xlfn.XLOOKUP($A182, 'Hospitalisation Details'!$A:$A, 'Hospitalisation Details'!G:G, "No Data")</f>
        <v>36898.73</v>
      </c>
      <c r="P182" s="28" t="str">
        <f t="array" ref="P182">_xlfn.XLOOKUP($A182, 'Hospitalisation Details'!$A:$A, 'Hospitalisation Details'!H:H, "No Data")</f>
        <v>tier - 2</v>
      </c>
    </row>
    <row r="183">
      <c r="A183" s="25" t="s">
        <v>597</v>
      </c>
      <c r="B183" s="28" t="str">
        <f t="array" ref="B183">_xlfn.XLOOKUP($A183, 'Customer Names'!$A:$A, 'Customer Names'!B:B, "No Data")</f>
        <v>Fredsall</v>
      </c>
      <c r="C183" s="28">
        <f t="array" ref="C183">_xlfn.XLOOKUP($A183, 'Medical Examinations'!$A:$A, 'Medical Examinations'!B:B, "No Data")</f>
        <v>39</v>
      </c>
      <c r="D183" s="28">
        <f t="array" ref="D183">_xlfn.XLOOKUP($A183, 'Medical Examinations'!$A:$A, 'Medical Examinations'!C:C, "No Data")</f>
        <v>5.7</v>
      </c>
      <c r="E183" s="28" t="str">
        <f t="array" ref="E183">_xlfn.XLOOKUP($A183, 'Medical Examinations'!$A:$A, 'Medical Examinations'!D:D, "No Data")</f>
        <v>No</v>
      </c>
      <c r="F183" s="28" t="str">
        <f t="array" ref="F183">_xlfn.XLOOKUP($A183, 'Medical Examinations'!$A:$A, 'Medical Examinations'!E:E, "No Data")</f>
        <v>No</v>
      </c>
      <c r="G183" s="28" t="str">
        <f t="array" ref="G183">_xlfn.XLOOKUP($A183, 'Medical Examinations'!$A:$A, 'Medical Examinations'!F:F, "No Data")</f>
        <v>No</v>
      </c>
      <c r="H183" s="28">
        <f t="array" ref="H183">_xlfn.XLOOKUP($A183, 'Medical Examinations'!$A:$A, 'Medical Examinations'!G:G, "No Data")</f>
        <v>2</v>
      </c>
      <c r="I183" s="28" t="str">
        <f t="array" ref="I183">_xlfn.XLOOKUP($A183, 'Medical Examinations'!$A:$A, 'Medical Examinations'!H:H, "No Data")</f>
        <v>yes</v>
      </c>
      <c r="J183" s="28" t="str">
        <f t="array" ref="J183">_xlfn.XLOOKUP($A183, 'Medical Examinations'!$A:$A, 'Medical Examinations'!I:I, "No Data")</f>
        <v>Obesity</v>
      </c>
      <c r="K183" s="28" t="str">
        <f t="array" ref="K183">_xlfn.XLOOKUP($A183, 'Hospitalisation Details'!$A:$A, 'Hospitalisation Details'!I:I, "No Data")</f>
        <v>tier - 3</v>
      </c>
      <c r="L183" s="28" t="str">
        <f t="array" ref="L183">_xlfn.XLOOKUP($A183, 'Hospitalisation Details'!$A:$A, 'Hospitalisation Details'!J:J, "No Data")</f>
        <v>R1011</v>
      </c>
      <c r="M183" s="28" t="str">
        <f t="array" ref="M183">_xlfn.XLOOKUP($A183, 'Hospitalisation Details'!$A:$A, 'Hospitalisation Details'!E:E, "No Data")</f>
        <v>05/12/72</v>
      </c>
      <c r="N183" s="28">
        <f t="array" ref="N183">_xlfn.XLOOKUP($A183, 'Hospitalisation Details'!$A:$A, 'Hospitalisation Details'!K:K, "No Data")</f>
        <v>50</v>
      </c>
      <c r="O183" s="33">
        <f t="array" ref="O183">_xlfn.XLOOKUP($A183, 'Hospitalisation Details'!$A:$A, 'Hospitalisation Details'!G:G, "No Data")</f>
        <v>36889.99</v>
      </c>
      <c r="P183" s="28" t="str">
        <f t="array" ref="P183">_xlfn.XLOOKUP($A183, 'Hospitalisation Details'!$A:$A, 'Hospitalisation Details'!H:H, "No Data")</f>
        <v>tier - 1</v>
      </c>
    </row>
    <row r="184">
      <c r="A184" s="25" t="s">
        <v>600</v>
      </c>
      <c r="B184" s="28" t="str">
        <f t="array" ref="B184">_xlfn.XLOOKUP($A184, 'Customer Names'!$A:$A, 'Customer Names'!B:B, "No Data")</f>
        <v>Eggleston</v>
      </c>
      <c r="C184" s="28">
        <f t="array" ref="C184">_xlfn.XLOOKUP($A184, 'Medical Examinations'!$A:$A, 'Medical Examinations'!B:B, "No Data")</f>
        <v>35.3</v>
      </c>
      <c r="D184" s="28">
        <f t="array" ref="D184">_xlfn.XLOOKUP($A184, 'Medical Examinations'!$A:$A, 'Medical Examinations'!C:C, "No Data")</f>
        <v>6.09</v>
      </c>
      <c r="E184" s="28" t="str">
        <f t="array" ref="E184">_xlfn.XLOOKUP($A184, 'Medical Examinations'!$A:$A, 'Medical Examinations'!D:D, "No Data")</f>
        <v>No</v>
      </c>
      <c r="F184" s="28" t="str">
        <f t="array" ref="F184">_xlfn.XLOOKUP($A184, 'Medical Examinations'!$A:$A, 'Medical Examinations'!E:E, "No Data")</f>
        <v>No</v>
      </c>
      <c r="G184" s="28" t="str">
        <f t="array" ref="G184">_xlfn.XLOOKUP($A184, 'Medical Examinations'!$A:$A, 'Medical Examinations'!F:F, "No Data")</f>
        <v>No</v>
      </c>
      <c r="H184" s="28">
        <f t="array" ref="H184">_xlfn.XLOOKUP($A184, 'Medical Examinations'!$A:$A, 'Medical Examinations'!G:G, "No Data")</f>
        <v>1</v>
      </c>
      <c r="I184" s="28" t="str">
        <f t="array" ref="I184">_xlfn.XLOOKUP($A184, 'Medical Examinations'!$A:$A, 'Medical Examinations'!H:H, "No Data")</f>
        <v>yes</v>
      </c>
      <c r="J184" s="28" t="str">
        <f t="array" ref="J184">_xlfn.XLOOKUP($A184, 'Medical Examinations'!$A:$A, 'Medical Examinations'!I:I, "No Data")</f>
        <v>Obesity</v>
      </c>
      <c r="K184" s="28" t="str">
        <f t="array" ref="K184">_xlfn.XLOOKUP($A184, 'Hospitalisation Details'!$A:$A, 'Hospitalisation Details'!I:I, "No Data")</f>
        <v>tier - 3</v>
      </c>
      <c r="L184" s="28" t="str">
        <f t="array" ref="L184">_xlfn.XLOOKUP($A184, 'Hospitalisation Details'!$A:$A, 'Hospitalisation Details'!J:J, "No Data")</f>
        <v>R1011</v>
      </c>
      <c r="M184" s="28" t="str">
        <f t="array" ref="M184">_xlfn.XLOOKUP($A184, 'Hospitalisation Details'!$A:$A, 'Hospitalisation Details'!E:E, "No Data")</f>
        <v>04/07/92</v>
      </c>
      <c r="N184" s="28">
        <f t="array" ref="N184">_xlfn.XLOOKUP($A184, 'Hospitalisation Details'!$A:$A, 'Hospitalisation Details'!K:K, "No Data")</f>
        <v>30</v>
      </c>
      <c r="O184" s="33">
        <f t="array" ref="O184">_xlfn.XLOOKUP($A184, 'Hospitalisation Details'!$A:$A, 'Hospitalisation Details'!G:G, "No Data")</f>
        <v>36837.47</v>
      </c>
      <c r="P184" s="28" t="str">
        <f t="array" ref="P184">_xlfn.XLOOKUP($A184, 'Hospitalisation Details'!$A:$A, 'Hospitalisation Details'!H:H, "No Data")</f>
        <v>tier - 2</v>
      </c>
    </row>
    <row r="185">
      <c r="A185" s="25" t="s">
        <v>604</v>
      </c>
      <c r="B185" s="28" t="str">
        <f t="array" ref="B185">_xlfn.XLOOKUP($A185, 'Customer Names'!$A:$A, 'Customer Names'!B:B, "No Data")</f>
        <v>Palombaro</v>
      </c>
      <c r="C185" s="28">
        <f t="array" ref="C185">_xlfn.XLOOKUP($A185, 'Medical Examinations'!$A:$A, 'Medical Examinations'!B:B, "No Data")</f>
        <v>33.42</v>
      </c>
      <c r="D185" s="28">
        <f t="array" ref="D185">_xlfn.XLOOKUP($A185, 'Medical Examinations'!$A:$A, 'Medical Examinations'!C:C, "No Data")</f>
        <v>10.67</v>
      </c>
      <c r="E185" s="28" t="str">
        <f t="array" ref="E185">_xlfn.XLOOKUP($A185, 'Medical Examinations'!$A:$A, 'Medical Examinations'!D:D, "No Data")</f>
        <v>No</v>
      </c>
      <c r="F185" s="28" t="str">
        <f t="array" ref="F185">_xlfn.XLOOKUP($A185, 'Medical Examinations'!$A:$A, 'Medical Examinations'!E:E, "No Data")</f>
        <v>No</v>
      </c>
      <c r="G185" s="28" t="str">
        <f t="array" ref="G185">_xlfn.XLOOKUP($A185, 'Medical Examinations'!$A:$A, 'Medical Examinations'!F:F, "No Data")</f>
        <v>No</v>
      </c>
      <c r="H185" s="28">
        <f t="array" ref="H185">_xlfn.XLOOKUP($A185, 'Medical Examinations'!$A:$A, 'Medical Examinations'!G:G, "No Data")</f>
        <v>0</v>
      </c>
      <c r="I185" s="28" t="str">
        <f t="array" ref="I185">_xlfn.XLOOKUP($A185, 'Medical Examinations'!$A:$A, 'Medical Examinations'!H:H, "No Data")</f>
        <v>yes</v>
      </c>
      <c r="J185" s="28" t="str">
        <f t="array" ref="J185">_xlfn.XLOOKUP($A185, 'Medical Examinations'!$A:$A, 'Medical Examinations'!I:I, "No Data")</f>
        <v>Obesity</v>
      </c>
      <c r="K185" s="28" t="str">
        <f t="array" ref="K185">_xlfn.XLOOKUP($A185, 'Hospitalisation Details'!$A:$A, 'Hospitalisation Details'!I:I, "No Data")</f>
        <v>tier - 1</v>
      </c>
      <c r="L185" s="28" t="str">
        <f t="array" ref="L185">_xlfn.XLOOKUP($A185, 'Hospitalisation Details'!$A:$A, 'Hospitalisation Details'!J:J, "No Data")</f>
        <v>R1011</v>
      </c>
      <c r="M185" s="28" t="str">
        <f t="array" ref="M185">_xlfn.XLOOKUP($A185, 'Hospitalisation Details'!$A:$A, 'Hospitalisation Details'!E:E, "No Data")</f>
        <v>28/12/65</v>
      </c>
      <c r="N185" s="28">
        <f t="array" ref="N185">_xlfn.XLOOKUP($A185, 'Hospitalisation Details'!$A:$A, 'Hospitalisation Details'!K:K, "No Data")</f>
        <v>57</v>
      </c>
      <c r="O185" s="33">
        <f t="array" ref="O185">_xlfn.XLOOKUP($A185, 'Hospitalisation Details'!$A:$A, 'Hospitalisation Details'!G:G, "No Data")</f>
        <v>36795.29</v>
      </c>
      <c r="P185" s="28" t="str">
        <f t="array" ref="P185">_xlfn.XLOOKUP($A185, 'Hospitalisation Details'!$A:$A, 'Hospitalisation Details'!H:H, "No Data")</f>
        <v>tier - 2</v>
      </c>
    </row>
    <row r="186">
      <c r="A186" s="25" t="s">
        <v>607</v>
      </c>
      <c r="B186" s="28" t="str">
        <f t="array" ref="B186">_xlfn.XLOOKUP($A186, 'Customer Names'!$A:$A, 'Customer Names'!B:B, "No Data")</f>
        <v>Silva</v>
      </c>
      <c r="C186" s="28">
        <f t="array" ref="C186">_xlfn.XLOOKUP($A186, 'Medical Examinations'!$A:$A, 'Medical Examinations'!B:B, "No Data")</f>
        <v>37.18</v>
      </c>
      <c r="D186" s="28">
        <f t="array" ref="D186">_xlfn.XLOOKUP($A186, 'Medical Examinations'!$A:$A, 'Medical Examinations'!C:C, "No Data")</f>
        <v>6.75</v>
      </c>
      <c r="E186" s="28" t="str">
        <f t="array" ref="E186">_xlfn.XLOOKUP($A186, 'Medical Examinations'!$A:$A, 'Medical Examinations'!D:D, "No Data")</f>
        <v>yes</v>
      </c>
      <c r="F186" s="28" t="str">
        <f t="array" ref="F186">_xlfn.XLOOKUP($A186, 'Medical Examinations'!$A:$A, 'Medical Examinations'!E:E, "No Data")</f>
        <v>No</v>
      </c>
      <c r="G186" s="28" t="str">
        <f t="array" ref="G186">_xlfn.XLOOKUP($A186, 'Medical Examinations'!$A:$A, 'Medical Examinations'!F:F, "No Data")</f>
        <v>No</v>
      </c>
      <c r="H186" s="28">
        <f t="array" ref="H186">_xlfn.XLOOKUP($A186, 'Medical Examinations'!$A:$A, 'Medical Examinations'!G:G, "No Data")</f>
        <v>2</v>
      </c>
      <c r="I186" s="28" t="str">
        <f t="array" ref="I186">_xlfn.XLOOKUP($A186, 'Medical Examinations'!$A:$A, 'Medical Examinations'!H:H, "No Data")</f>
        <v>yes</v>
      </c>
      <c r="J186" s="28" t="str">
        <f t="array" ref="J186">_xlfn.XLOOKUP($A186, 'Medical Examinations'!$A:$A, 'Medical Examinations'!I:I, "No Data")</f>
        <v>Obesity</v>
      </c>
      <c r="K186" s="28" t="str">
        <f t="array" ref="K186">_xlfn.XLOOKUP($A186, 'Hospitalisation Details'!$A:$A, 'Hospitalisation Details'!I:I, "No Data")</f>
        <v>tier - 1</v>
      </c>
      <c r="L186" s="28" t="str">
        <f t="array" ref="L186">_xlfn.XLOOKUP($A186, 'Hospitalisation Details'!$A:$A, 'Hospitalisation Details'!J:J, "No Data")</f>
        <v>R1011</v>
      </c>
      <c r="M186" s="28" t="str">
        <f t="array" ref="M186">_xlfn.XLOOKUP($A186, 'Hospitalisation Details'!$A:$A, 'Hospitalisation Details'!E:E, "No Data")</f>
        <v>14/07/70</v>
      </c>
      <c r="N186" s="28">
        <f t="array" ref="N186">_xlfn.XLOOKUP($A186, 'Hospitalisation Details'!$A:$A, 'Hospitalisation Details'!K:K, "No Data")</f>
        <v>52</v>
      </c>
      <c r="O186" s="33">
        <f t="array" ref="O186">_xlfn.XLOOKUP($A186, 'Hospitalisation Details'!$A:$A, 'Hospitalisation Details'!G:G, "No Data")</f>
        <v>36786.37</v>
      </c>
      <c r="P186" s="28" t="str">
        <f t="array" ref="P186">_xlfn.XLOOKUP($A186, 'Hospitalisation Details'!$A:$A, 'Hospitalisation Details'!H:H, "No Data")</f>
        <v>tier - 1</v>
      </c>
    </row>
    <row r="187">
      <c r="A187" s="25" t="s">
        <v>611</v>
      </c>
      <c r="B187" s="28" t="str">
        <f t="array" ref="B187">_xlfn.XLOOKUP($A187, 'Customer Names'!$A:$A, 'Customer Names'!B:B, "No Data")</f>
        <v>Bugala</v>
      </c>
      <c r="C187" s="28">
        <f t="array" ref="C187">_xlfn.XLOOKUP($A187, 'Medical Examinations'!$A:$A, 'Medical Examinations'!B:B, "No Data")</f>
        <v>33.33</v>
      </c>
      <c r="D187" s="28">
        <f t="array" ref="D187">_xlfn.XLOOKUP($A187, 'Medical Examinations'!$A:$A, 'Medical Examinations'!C:C, "No Data")</f>
        <v>9.26</v>
      </c>
      <c r="E187" s="28" t="str">
        <f t="array" ref="E187">_xlfn.XLOOKUP($A187, 'Medical Examinations'!$A:$A, 'Medical Examinations'!D:D, "No Data")</f>
        <v>yes</v>
      </c>
      <c r="F187" s="28" t="str">
        <f t="array" ref="F187">_xlfn.XLOOKUP($A187, 'Medical Examinations'!$A:$A, 'Medical Examinations'!E:E, "No Data")</f>
        <v>No</v>
      </c>
      <c r="G187" s="28" t="str">
        <f t="array" ref="G187">_xlfn.XLOOKUP($A187, 'Medical Examinations'!$A:$A, 'Medical Examinations'!F:F, "No Data")</f>
        <v>No</v>
      </c>
      <c r="H187" s="28">
        <f t="array" ref="H187">_xlfn.XLOOKUP($A187, 'Medical Examinations'!$A:$A, 'Medical Examinations'!G:G, "No Data")</f>
        <v>2</v>
      </c>
      <c r="I187" s="28" t="str">
        <f t="array" ref="I187">_xlfn.XLOOKUP($A187, 'Medical Examinations'!$A:$A, 'Medical Examinations'!H:H, "No Data")</f>
        <v>No</v>
      </c>
      <c r="J187" s="28" t="str">
        <f t="array" ref="J187">_xlfn.XLOOKUP($A187, 'Medical Examinations'!$A:$A, 'Medical Examinations'!I:I, "No Data")</f>
        <v>Obesity</v>
      </c>
      <c r="K187" s="28" t="str">
        <f t="array" ref="K187">_xlfn.XLOOKUP($A187, 'Hospitalisation Details'!$A:$A, 'Hospitalisation Details'!I:I, "No Data")</f>
        <v>tier - 2</v>
      </c>
      <c r="L187" s="28" t="str">
        <f t="array" ref="L187">_xlfn.XLOOKUP($A187, 'Hospitalisation Details'!$A:$A, 'Hospitalisation Details'!J:J, "No Data")</f>
        <v>R1013</v>
      </c>
      <c r="M187" s="28" t="str">
        <f t="array" ref="M187">_xlfn.XLOOKUP($A187, 'Hospitalisation Details'!$A:$A, 'Hospitalisation Details'!E:E, "No Data")</f>
        <v>29/07/61</v>
      </c>
      <c r="N187" s="28">
        <f t="array" ref="N187">_xlfn.XLOOKUP($A187, 'Hospitalisation Details'!$A:$A, 'Hospitalisation Details'!K:K, "No Data")</f>
        <v>61</v>
      </c>
      <c r="O187" s="33">
        <f t="array" ref="O187">_xlfn.XLOOKUP($A187, 'Hospitalisation Details'!$A:$A, 'Hospitalisation Details'!G:G, "No Data")</f>
        <v>36580.28</v>
      </c>
      <c r="P187" s="28" t="str">
        <f t="array" ref="P187">_xlfn.XLOOKUP($A187, 'Hospitalisation Details'!$A:$A, 'Hospitalisation Details'!H:H, "No Data")</f>
        <v>tier - 2</v>
      </c>
    </row>
    <row r="188">
      <c r="A188" s="25" t="s">
        <v>614</v>
      </c>
      <c r="B188" s="28" t="str">
        <f t="array" ref="B188">_xlfn.XLOOKUP($A188, 'Customer Names'!$A:$A, 'Customer Names'!B:B, "No Data")</f>
        <v>Dublin</v>
      </c>
      <c r="C188" s="28">
        <f t="array" ref="C188">_xlfn.XLOOKUP($A188, 'Medical Examinations'!$A:$A, 'Medical Examinations'!B:B, "No Data")</f>
        <v>53.21</v>
      </c>
      <c r="D188" s="28">
        <f t="array" ref="D188">_xlfn.XLOOKUP($A188, 'Medical Examinations'!$A:$A, 'Medical Examinations'!C:C, "No Data")</f>
        <v>4.27</v>
      </c>
      <c r="E188" s="28" t="str">
        <f t="array" ref="E188">_xlfn.XLOOKUP($A188, 'Medical Examinations'!$A:$A, 'Medical Examinations'!D:D, "No Data")</f>
        <v>No</v>
      </c>
      <c r="F188" s="28" t="str">
        <f t="array" ref="F188">_xlfn.XLOOKUP($A188, 'Medical Examinations'!$A:$A, 'Medical Examinations'!E:E, "No Data")</f>
        <v>No</v>
      </c>
      <c r="G188" s="28" t="str">
        <f t="array" ref="G188">_xlfn.XLOOKUP($A188, 'Medical Examinations'!$A:$A, 'Medical Examinations'!F:F, "No Data")</f>
        <v>No</v>
      </c>
      <c r="H188" s="28">
        <f t="array" ref="H188">_xlfn.XLOOKUP($A188, 'Medical Examinations'!$A:$A, 'Medical Examinations'!G:G, "No Data")</f>
        <v>1</v>
      </c>
      <c r="I188" s="28" t="str">
        <f t="array" ref="I188">_xlfn.XLOOKUP($A188, 'Medical Examinations'!$A:$A, 'Medical Examinations'!H:H, "No Data")</f>
        <v>yes</v>
      </c>
      <c r="J188" s="28" t="str">
        <f t="array" ref="J188">_xlfn.XLOOKUP($A188, 'Medical Examinations'!$A:$A, 'Medical Examinations'!I:I, "No Data")</f>
        <v>Obesity</v>
      </c>
      <c r="K188" s="28" t="str">
        <f t="array" ref="K188">_xlfn.XLOOKUP($A188, 'Hospitalisation Details'!$A:$A, 'Hospitalisation Details'!I:I, "No Data")</f>
        <v>tier - 2</v>
      </c>
      <c r="L188" s="28" t="str">
        <f t="array" ref="L188">_xlfn.XLOOKUP($A188, 'Hospitalisation Details'!$A:$A, 'Hospitalisation Details'!J:J, "No Data")</f>
        <v>R1011</v>
      </c>
      <c r="M188" s="28" t="str">
        <f t="array" ref="M188">_xlfn.XLOOKUP($A188, 'Hospitalisation Details'!$A:$A, 'Hospitalisation Details'!E:E, "No Data")</f>
        <v>09/10/92</v>
      </c>
      <c r="N188" s="28">
        <f t="array" ref="N188">_xlfn.XLOOKUP($A188, 'Hospitalisation Details'!$A:$A, 'Hospitalisation Details'!K:K, "No Data")</f>
        <v>30</v>
      </c>
      <c r="O188" s="33">
        <f t="array" ref="O188">_xlfn.XLOOKUP($A188, 'Hospitalisation Details'!$A:$A, 'Hospitalisation Details'!G:G, "No Data")</f>
        <v>36572.8</v>
      </c>
      <c r="P188" s="28" t="str">
        <f t="array" ref="P188">_xlfn.XLOOKUP($A188, 'Hospitalisation Details'!$A:$A, 'Hospitalisation Details'!H:H, "No Data")</f>
        <v>tier - 1</v>
      </c>
    </row>
    <row r="189">
      <c r="A189" s="25" t="s">
        <v>617</v>
      </c>
      <c r="B189" s="28" t="str">
        <f t="array" ref="B189">_xlfn.XLOOKUP($A189, 'Customer Names'!$A:$A, 'Customer Names'!B:B, "No Data")</f>
        <v>Cleland</v>
      </c>
      <c r="C189" s="28">
        <f t="array" ref="C189">_xlfn.XLOOKUP($A189, 'Medical Examinations'!$A:$A, 'Medical Examinations'!B:B, "No Data")</f>
        <v>38.73</v>
      </c>
      <c r="D189" s="28">
        <f t="array" ref="D189">_xlfn.XLOOKUP($A189, 'Medical Examinations'!$A:$A, 'Medical Examinations'!C:C, "No Data")</f>
        <v>11.51</v>
      </c>
      <c r="E189" s="28" t="str">
        <f t="array" ref="E189">_xlfn.XLOOKUP($A189, 'Medical Examinations'!$A:$A, 'Medical Examinations'!D:D, "No Data")</f>
        <v>No</v>
      </c>
      <c r="F189" s="28" t="str">
        <f t="array" ref="F189">_xlfn.XLOOKUP($A189, 'Medical Examinations'!$A:$A, 'Medical Examinations'!E:E, "No Data")</f>
        <v>No</v>
      </c>
      <c r="G189" s="28" t="str">
        <f t="array" ref="G189">_xlfn.XLOOKUP($A189, 'Medical Examinations'!$A:$A, 'Medical Examinations'!F:F, "No Data")</f>
        <v>No</v>
      </c>
      <c r="H189" s="28">
        <f t="array" ref="H189">_xlfn.XLOOKUP($A189, 'Medical Examinations'!$A:$A, 'Medical Examinations'!G:G, "No Data")</f>
        <v>2</v>
      </c>
      <c r="I189" s="28" t="str">
        <f t="array" ref="I189">_xlfn.XLOOKUP($A189, 'Medical Examinations'!$A:$A, 'Medical Examinations'!H:H, "No Data")</f>
        <v>yes</v>
      </c>
      <c r="J189" s="28" t="str">
        <f t="array" ref="J189">_xlfn.XLOOKUP($A189, 'Medical Examinations'!$A:$A, 'Medical Examinations'!I:I, "No Data")</f>
        <v>Obesity</v>
      </c>
      <c r="K189" s="28" t="str">
        <f t="array" ref="K189">_xlfn.XLOOKUP($A189, 'Hospitalisation Details'!$A:$A, 'Hospitalisation Details'!I:I, "No Data")</f>
        <v>tier - 3</v>
      </c>
      <c r="L189" s="28" t="str">
        <f t="array" ref="L189">_xlfn.XLOOKUP($A189, 'Hospitalisation Details'!$A:$A, 'Hospitalisation Details'!J:J, "No Data")</f>
        <v>R1011</v>
      </c>
      <c r="M189" s="28" t="str">
        <f t="array" ref="M189">_xlfn.XLOOKUP($A189, 'Hospitalisation Details'!$A:$A, 'Hospitalisation Details'!E:E, "No Data")</f>
        <v>09/08/73</v>
      </c>
      <c r="N189" s="28">
        <f t="array" ref="N189">_xlfn.XLOOKUP($A189, 'Hospitalisation Details'!$A:$A, 'Hospitalisation Details'!K:K, "No Data")</f>
        <v>49</v>
      </c>
      <c r="O189" s="33">
        <f t="array" ref="O189">_xlfn.XLOOKUP($A189, 'Hospitalisation Details'!$A:$A, 'Hospitalisation Details'!G:G, "No Data")</f>
        <v>36541.55</v>
      </c>
      <c r="P189" s="28" t="str">
        <f t="array" ref="P189">_xlfn.XLOOKUP($A189, 'Hospitalisation Details'!$A:$A, 'Hospitalisation Details'!H:H, "No Data")</f>
        <v>tier - 2</v>
      </c>
    </row>
    <row r="190">
      <c r="A190" s="25" t="s">
        <v>621</v>
      </c>
      <c r="B190" s="28" t="str">
        <f t="array" ref="B190">_xlfn.XLOOKUP($A190, 'Customer Names'!$A:$A, 'Customer Names'!B:B, "No Data")</f>
        <v>Evans</v>
      </c>
      <c r="C190" s="28">
        <f t="array" ref="C190">_xlfn.XLOOKUP($A190, 'Medical Examinations'!$A:$A, 'Medical Examinations'!B:B, "No Data")</f>
        <v>29.73</v>
      </c>
      <c r="D190" s="28">
        <f t="array" ref="D190">_xlfn.XLOOKUP($A190, 'Medical Examinations'!$A:$A, 'Medical Examinations'!C:C, "No Data")</f>
        <v>7.22</v>
      </c>
      <c r="E190" s="28" t="str">
        <f t="array" ref="E190">_xlfn.XLOOKUP($A190, 'Medical Examinations'!$A:$A, 'Medical Examinations'!D:D, "No Data")</f>
        <v>No</v>
      </c>
      <c r="F190" s="28" t="str">
        <f t="array" ref="F190">_xlfn.XLOOKUP($A190, 'Medical Examinations'!$A:$A, 'Medical Examinations'!E:E, "No Data")</f>
        <v>No</v>
      </c>
      <c r="G190" s="28" t="str">
        <f t="array" ref="G190">_xlfn.XLOOKUP($A190, 'Medical Examinations'!$A:$A, 'Medical Examinations'!F:F, "No Data")</f>
        <v>No</v>
      </c>
      <c r="H190" s="28">
        <f t="array" ref="H190">_xlfn.XLOOKUP($A190, 'Medical Examinations'!$A:$A, 'Medical Examinations'!G:G, "No Data")</f>
        <v>0</v>
      </c>
      <c r="I190" s="28" t="str">
        <f t="array" ref="I190">_xlfn.XLOOKUP($A190, 'Medical Examinations'!$A:$A, 'Medical Examinations'!H:H, "No Data")</f>
        <v>yes</v>
      </c>
      <c r="J190" s="28" t="str">
        <f t="array" ref="J190">_xlfn.XLOOKUP($A190, 'Medical Examinations'!$A:$A, 'Medical Examinations'!I:I, "No Data")</f>
        <v>Overweight</v>
      </c>
      <c r="K190" s="28" t="str">
        <f t="array" ref="K190">_xlfn.XLOOKUP($A190, 'Hospitalisation Details'!$A:$A, 'Hospitalisation Details'!I:I, "No Data")</f>
        <v>tier - 2</v>
      </c>
      <c r="L190" s="28" t="str">
        <f t="array" ref="L190">_xlfn.XLOOKUP($A190, 'Hospitalisation Details'!$A:$A, 'Hospitalisation Details'!J:J, "No Data")</f>
        <v>R1011</v>
      </c>
      <c r="M190" s="28" t="str">
        <f t="array" ref="M190">_xlfn.XLOOKUP($A190, 'Hospitalisation Details'!$A:$A, 'Hospitalisation Details'!E:E, "No Data")</f>
        <v>19/11/62</v>
      </c>
      <c r="N190" s="28">
        <f t="array" ref="N190">_xlfn.XLOOKUP($A190, 'Hospitalisation Details'!$A:$A, 'Hospitalisation Details'!K:K, "No Data")</f>
        <v>60</v>
      </c>
      <c r="O190" s="33">
        <f t="array" ref="O190">_xlfn.XLOOKUP($A190, 'Hospitalisation Details'!$A:$A, 'Hospitalisation Details'!G:G, "No Data")</f>
        <v>36445.55</v>
      </c>
      <c r="P190" s="28" t="str">
        <f t="array" ref="P190">_xlfn.XLOOKUP($A190, 'Hospitalisation Details'!$A:$A, 'Hospitalisation Details'!H:H, "No Data")</f>
        <v>tier - 2</v>
      </c>
    </row>
    <row r="191">
      <c r="A191" s="25" t="s">
        <v>624</v>
      </c>
      <c r="B191" s="28" t="str">
        <f t="array" ref="B191">_xlfn.XLOOKUP($A191, 'Customer Names'!$A:$A, 'Customer Names'!B:B, "No Data")</f>
        <v>Boyd</v>
      </c>
      <c r="C191" s="28">
        <f t="array" ref="C191">_xlfn.XLOOKUP($A191, 'Medical Examinations'!$A:$A, 'Medical Examinations'!B:B, "No Data")</f>
        <v>34.7</v>
      </c>
      <c r="D191" s="28">
        <f t="array" ref="D191">_xlfn.XLOOKUP($A191, 'Medical Examinations'!$A:$A, 'Medical Examinations'!C:C, "No Data")</f>
        <v>4.37</v>
      </c>
      <c r="E191" s="28" t="str">
        <f t="array" ref="E191">_xlfn.XLOOKUP($A191, 'Medical Examinations'!$A:$A, 'Medical Examinations'!D:D, "No Data")</f>
        <v>No</v>
      </c>
      <c r="F191" s="28" t="str">
        <f t="array" ref="F191">_xlfn.XLOOKUP($A191, 'Medical Examinations'!$A:$A, 'Medical Examinations'!E:E, "No Data")</f>
        <v>No</v>
      </c>
      <c r="G191" s="28" t="str">
        <f t="array" ref="G191">_xlfn.XLOOKUP($A191, 'Medical Examinations'!$A:$A, 'Medical Examinations'!F:F, "No Data")</f>
        <v>Yes</v>
      </c>
      <c r="H191" s="28">
        <f t="array" ref="H191">_xlfn.XLOOKUP($A191, 'Medical Examinations'!$A:$A, 'Medical Examinations'!G:G, "No Data")</f>
        <v>1</v>
      </c>
      <c r="I191" s="28" t="str">
        <f t="array" ref="I191">_xlfn.XLOOKUP($A191, 'Medical Examinations'!$A:$A, 'Medical Examinations'!H:H, "No Data")</f>
        <v>yes</v>
      </c>
      <c r="J191" s="28" t="str">
        <f t="array" ref="J191">_xlfn.XLOOKUP($A191, 'Medical Examinations'!$A:$A, 'Medical Examinations'!I:I, "No Data")</f>
        <v>Obesity</v>
      </c>
      <c r="K191" s="28" t="str">
        <f t="array" ref="K191">_xlfn.XLOOKUP($A191, 'Hospitalisation Details'!$A:$A, 'Hospitalisation Details'!I:I, "No Data")</f>
        <v>tier - 3</v>
      </c>
      <c r="L191" s="28" t="str">
        <f t="array" ref="L191">_xlfn.XLOOKUP($A191, 'Hospitalisation Details'!$A:$A, 'Hospitalisation Details'!J:J, "No Data")</f>
        <v>R1011</v>
      </c>
      <c r="M191" s="28" t="str">
        <f t="array" ref="M191">_xlfn.XLOOKUP($A191, 'Hospitalisation Details'!$A:$A, 'Hospitalisation Details'!E:E, "No Data")</f>
        <v>09/12/03</v>
      </c>
      <c r="N191" s="28">
        <f t="array" ref="N191">_xlfn.XLOOKUP($A191, 'Hospitalisation Details'!$A:$A, 'Hospitalisation Details'!K:K, "No Data")</f>
        <v>19</v>
      </c>
      <c r="O191" s="33">
        <f t="array" ref="O191">_xlfn.XLOOKUP($A191, 'Hospitalisation Details'!$A:$A, 'Hospitalisation Details'!G:G, "No Data")</f>
        <v>36397.58</v>
      </c>
      <c r="P191" s="28" t="str">
        <f t="array" ref="P191">_xlfn.XLOOKUP($A191, 'Hospitalisation Details'!$A:$A, 'Hospitalisation Details'!H:H, "No Data")</f>
        <v>tier - 2</v>
      </c>
    </row>
    <row r="192">
      <c r="A192" s="25" t="s">
        <v>628</v>
      </c>
      <c r="B192" s="28" t="str">
        <f t="array" ref="B192">_xlfn.XLOOKUP($A192, 'Customer Names'!$A:$A, 'Customer Names'!B:B, "No Data")</f>
        <v>Roulier</v>
      </c>
      <c r="C192" s="28">
        <f t="array" ref="C192">_xlfn.XLOOKUP($A192, 'Medical Examinations'!$A:$A, 'Medical Examinations'!B:B, "No Data")</f>
        <v>38.28</v>
      </c>
      <c r="D192" s="28">
        <f t="array" ref="D192">_xlfn.XLOOKUP($A192, 'Medical Examinations'!$A:$A, 'Medical Examinations'!C:C, "No Data")</f>
        <v>11.56</v>
      </c>
      <c r="E192" s="28" t="str">
        <f t="array" ref="E192">_xlfn.XLOOKUP($A192, 'Medical Examinations'!$A:$A, 'Medical Examinations'!D:D, "No Data")</f>
        <v>yes</v>
      </c>
      <c r="F192" s="28" t="str">
        <f t="array" ref="F192">_xlfn.XLOOKUP($A192, 'Medical Examinations'!$A:$A, 'Medical Examinations'!E:E, "No Data")</f>
        <v>No</v>
      </c>
      <c r="G192" s="28" t="str">
        <f t="array" ref="G192">_xlfn.XLOOKUP($A192, 'Medical Examinations'!$A:$A, 'Medical Examinations'!F:F, "No Data")</f>
        <v>No</v>
      </c>
      <c r="H192" s="28">
        <f t="array" ref="H192">_xlfn.XLOOKUP($A192, 'Medical Examinations'!$A:$A, 'Medical Examinations'!G:G, "No Data")</f>
        <v>1</v>
      </c>
      <c r="I192" s="28" t="str">
        <f t="array" ref="I192">_xlfn.XLOOKUP($A192, 'Medical Examinations'!$A:$A, 'Medical Examinations'!H:H, "No Data")</f>
        <v>yes</v>
      </c>
      <c r="J192" s="28" t="str">
        <f t="array" ref="J192">_xlfn.XLOOKUP($A192, 'Medical Examinations'!$A:$A, 'Medical Examinations'!I:I, "No Data")</f>
        <v>Obesity</v>
      </c>
      <c r="K192" s="28" t="str">
        <f t="array" ref="K192">_xlfn.XLOOKUP($A192, 'Hospitalisation Details'!$A:$A, 'Hospitalisation Details'!I:I, "No Data")</f>
        <v>tier - 2</v>
      </c>
      <c r="L192" s="28" t="str">
        <f t="array" ref="L192">_xlfn.XLOOKUP($A192, 'Hospitalisation Details'!$A:$A, 'Hospitalisation Details'!J:J, "No Data")</f>
        <v>R1011</v>
      </c>
      <c r="M192" s="28" t="str">
        <f t="array" ref="M192">_xlfn.XLOOKUP($A192, 'Hospitalisation Details'!$A:$A, 'Hospitalisation Details'!E:E, "No Data")</f>
        <v>05/06/75</v>
      </c>
      <c r="N192" s="28">
        <f t="array" ref="N192">_xlfn.XLOOKUP($A192, 'Hospitalisation Details'!$A:$A, 'Hospitalisation Details'!K:K, "No Data")</f>
        <v>48</v>
      </c>
      <c r="O192" s="33">
        <f t="array" ref="O192">_xlfn.XLOOKUP($A192, 'Hospitalisation Details'!$A:$A, 'Hospitalisation Details'!G:G, "No Data")</f>
        <v>36350.71</v>
      </c>
      <c r="P192" s="28" t="str">
        <f t="array" ref="P192">_xlfn.XLOOKUP($A192, 'Hospitalisation Details'!$A:$A, 'Hospitalisation Details'!H:H, "No Data")</f>
        <v>tier - 1</v>
      </c>
    </row>
    <row r="193">
      <c r="A193" s="25" t="s">
        <v>631</v>
      </c>
      <c r="B193" s="28" t="str">
        <f t="array" ref="B193">_xlfn.XLOOKUP($A193, 'Customer Names'!$A:$A, 'Customer Names'!B:B, "No Data")</f>
        <v>Mullins</v>
      </c>
      <c r="C193" s="28">
        <f t="array" ref="C193">_xlfn.XLOOKUP($A193, 'Medical Examinations'!$A:$A, 'Medical Examinations'!B:B, "No Data")</f>
        <v>33.57</v>
      </c>
      <c r="D193" s="28">
        <f t="array" ref="D193">_xlfn.XLOOKUP($A193, 'Medical Examinations'!$A:$A, 'Medical Examinations'!C:C, "No Data")</f>
        <v>8.82</v>
      </c>
      <c r="E193" s="28" t="str">
        <f t="array" ref="E193">_xlfn.XLOOKUP($A193, 'Medical Examinations'!$A:$A, 'Medical Examinations'!D:D, "No Data")</f>
        <v>yes</v>
      </c>
      <c r="F193" s="28" t="str">
        <f t="array" ref="F193">_xlfn.XLOOKUP($A193, 'Medical Examinations'!$A:$A, 'Medical Examinations'!E:E, "No Data")</f>
        <v>No</v>
      </c>
      <c r="G193" s="28" t="str">
        <f t="array" ref="G193">_xlfn.XLOOKUP($A193, 'Medical Examinations'!$A:$A, 'Medical Examinations'!F:F, "No Data")</f>
        <v>No</v>
      </c>
      <c r="H193" s="28">
        <f t="array" ref="H193">_xlfn.XLOOKUP($A193, 'Medical Examinations'!$A:$A, 'Medical Examinations'!G:G, "No Data")</f>
        <v>0</v>
      </c>
      <c r="I193" s="28" t="str">
        <f t="array" ref="I193">_xlfn.XLOOKUP($A193, 'Medical Examinations'!$A:$A, 'Medical Examinations'!H:H, "No Data")</f>
        <v>yes</v>
      </c>
      <c r="J193" s="28" t="str">
        <f t="array" ref="J193">_xlfn.XLOOKUP($A193, 'Medical Examinations'!$A:$A, 'Medical Examinations'!I:I, "No Data")</f>
        <v>Obesity</v>
      </c>
      <c r="K193" s="28" t="str">
        <f t="array" ref="K193">_xlfn.XLOOKUP($A193, 'Hospitalisation Details'!$A:$A, 'Hospitalisation Details'!I:I, "No Data")</f>
        <v>tier - 3</v>
      </c>
      <c r="L193" s="28" t="str">
        <f t="array" ref="L193">_xlfn.XLOOKUP($A193, 'Hospitalisation Details'!$A:$A, 'Hospitalisation Details'!J:J, "No Data")</f>
        <v>R1011</v>
      </c>
      <c r="M193" s="28" t="str">
        <f t="array" ref="M193">_xlfn.XLOOKUP($A193, 'Hospitalisation Details'!$A:$A, 'Hospitalisation Details'!E:E, "No Data")</f>
        <v>18/10/67</v>
      </c>
      <c r="N193" s="28">
        <f t="array" ref="N193">_xlfn.XLOOKUP($A193, 'Hospitalisation Details'!$A:$A, 'Hospitalisation Details'!K:K, "No Data")</f>
        <v>55</v>
      </c>
      <c r="O193" s="33">
        <f t="array" ref="O193">_xlfn.XLOOKUP($A193, 'Hospitalisation Details'!$A:$A, 'Hospitalisation Details'!G:G, "No Data")</f>
        <v>36332.45</v>
      </c>
      <c r="P193" s="28" t="str">
        <f t="array" ref="P193">_xlfn.XLOOKUP($A193, 'Hospitalisation Details'!$A:$A, 'Hospitalisation Details'!H:H, "No Data")</f>
        <v>tier - 1</v>
      </c>
    </row>
    <row r="194">
      <c r="A194" s="25" t="s">
        <v>634</v>
      </c>
      <c r="B194" s="28" t="str">
        <f t="array" ref="B194">_xlfn.XLOOKUP($A194, 'Customer Names'!$A:$A, 'Customer Names'!B:B, "No Data")</f>
        <v>Hofmann</v>
      </c>
      <c r="C194" s="28">
        <f t="array" ref="C194">_xlfn.XLOOKUP($A194, 'Medical Examinations'!$A:$A, 'Medical Examinations'!B:B, "No Data")</f>
        <v>52.06</v>
      </c>
      <c r="D194" s="28">
        <f t="array" ref="D194">_xlfn.XLOOKUP($A194, 'Medical Examinations'!$A:$A, 'Medical Examinations'!C:C, "No Data")</f>
        <v>4.69</v>
      </c>
      <c r="E194" s="28" t="str">
        <f t="array" ref="E194">_xlfn.XLOOKUP($A194, 'Medical Examinations'!$A:$A, 'Medical Examinations'!D:D, "No Data")</f>
        <v>No</v>
      </c>
      <c r="F194" s="28" t="str">
        <f t="array" ref="F194">_xlfn.XLOOKUP($A194, 'Medical Examinations'!$A:$A, 'Medical Examinations'!E:E, "No Data")</f>
        <v>No</v>
      </c>
      <c r="G194" s="28" t="str">
        <f t="array" ref="G194">_xlfn.XLOOKUP($A194, 'Medical Examinations'!$A:$A, 'Medical Examinations'!F:F, "No Data")</f>
        <v>No</v>
      </c>
      <c r="H194" s="28">
        <f t="array" ref="H194">_xlfn.XLOOKUP($A194, 'Medical Examinations'!$A:$A, 'Medical Examinations'!G:G, "No Data")</f>
        <v>1</v>
      </c>
      <c r="I194" s="28" t="str">
        <f t="array" ref="I194">_xlfn.XLOOKUP($A194, 'Medical Examinations'!$A:$A, 'Medical Examinations'!H:H, "No Data")</f>
        <v>yes</v>
      </c>
      <c r="J194" s="28" t="str">
        <f t="array" ref="J194">_xlfn.XLOOKUP($A194, 'Medical Examinations'!$A:$A, 'Medical Examinations'!I:I, "No Data")</f>
        <v>Obesity</v>
      </c>
      <c r="K194" s="28" t="str">
        <f t="array" ref="K194">_xlfn.XLOOKUP($A194, 'Hospitalisation Details'!$A:$A, 'Hospitalisation Details'!I:I, "No Data")</f>
        <v>tier - 2</v>
      </c>
      <c r="L194" s="28" t="str">
        <f t="array" ref="L194">_xlfn.XLOOKUP($A194, 'Hospitalisation Details'!$A:$A, 'Hospitalisation Details'!J:J, "No Data")</f>
        <v>R1011</v>
      </c>
      <c r="M194" s="28" t="str">
        <f t="array" ref="M194">_xlfn.XLOOKUP($A194, 'Hospitalisation Details'!$A:$A, 'Hospitalisation Details'!E:E, "No Data")</f>
        <v>16/06/92</v>
      </c>
      <c r="N194" s="28">
        <f t="array" ref="N194">_xlfn.XLOOKUP($A194, 'Hospitalisation Details'!$A:$A, 'Hospitalisation Details'!K:K, "No Data")</f>
        <v>30</v>
      </c>
      <c r="O194" s="33">
        <f t="array" ref="O194">_xlfn.XLOOKUP($A194, 'Hospitalisation Details'!$A:$A, 'Hospitalisation Details'!G:G, "No Data")</f>
        <v>36314.05</v>
      </c>
      <c r="P194" s="28" t="str">
        <f t="array" ref="P194">_xlfn.XLOOKUP($A194, 'Hospitalisation Details'!$A:$A, 'Hospitalisation Details'!H:H, "No Data")</f>
        <v>tier - 2</v>
      </c>
    </row>
    <row r="195">
      <c r="A195" s="25" t="s">
        <v>638</v>
      </c>
      <c r="B195" s="28" t="str">
        <f t="array" ref="B195">_xlfn.XLOOKUP($A195, 'Customer Names'!$A:$A, 'Customer Names'!B:B, "No Data")</f>
        <v>Garcia Garcia</v>
      </c>
      <c r="C195" s="28">
        <f t="array" ref="C195">_xlfn.XLOOKUP($A195, 'Medical Examinations'!$A:$A, 'Medical Examinations'!B:B, "No Data")</f>
        <v>38.17</v>
      </c>
      <c r="D195" s="28">
        <f t="array" ref="D195">_xlfn.XLOOKUP($A195, 'Medical Examinations'!$A:$A, 'Medical Examinations'!C:C, "No Data")</f>
        <v>4.53</v>
      </c>
      <c r="E195" s="28" t="str">
        <f t="array" ref="E195">_xlfn.XLOOKUP($A195, 'Medical Examinations'!$A:$A, 'Medical Examinations'!D:D, "No Data")</f>
        <v>No</v>
      </c>
      <c r="F195" s="28" t="str">
        <f t="array" ref="F195">_xlfn.XLOOKUP($A195, 'Medical Examinations'!$A:$A, 'Medical Examinations'!E:E, "No Data")</f>
        <v>yes</v>
      </c>
      <c r="G195" s="28" t="str">
        <f t="array" ref="G195">_xlfn.XLOOKUP($A195, 'Medical Examinations'!$A:$A, 'Medical Examinations'!F:F, "No Data")</f>
        <v>No</v>
      </c>
      <c r="H195" s="28">
        <f t="array" ref="H195">_xlfn.XLOOKUP($A195, 'Medical Examinations'!$A:$A, 'Medical Examinations'!G:G, "No Data")</f>
        <v>1</v>
      </c>
      <c r="I195" s="28" t="str">
        <f t="array" ref="I195">_xlfn.XLOOKUP($A195, 'Medical Examinations'!$A:$A, 'Medical Examinations'!H:H, "No Data")</f>
        <v>yes</v>
      </c>
      <c r="J195" s="28" t="str">
        <f t="array" ref="J195">_xlfn.XLOOKUP($A195, 'Medical Examinations'!$A:$A, 'Medical Examinations'!I:I, "No Data")</f>
        <v>Obesity</v>
      </c>
      <c r="K195" s="28" t="str">
        <f t="array" ref="K195">_xlfn.XLOOKUP($A195, 'Hospitalisation Details'!$A:$A, 'Hospitalisation Details'!I:I, "No Data")</f>
        <v>tier - 2</v>
      </c>
      <c r="L195" s="28" t="str">
        <f t="array" ref="L195">_xlfn.XLOOKUP($A195, 'Hospitalisation Details'!$A:$A, 'Hospitalisation Details'!J:J, "No Data")</f>
        <v>R1013</v>
      </c>
      <c r="M195" s="28" t="str">
        <f t="array" ref="M195">_xlfn.XLOOKUP($A195, 'Hospitalisation Details'!$A:$A, 'Hospitalisation Details'!E:E, "No Data")</f>
        <v>25/12/04</v>
      </c>
      <c r="N195" s="28">
        <f t="array" ref="N195">_xlfn.XLOOKUP($A195, 'Hospitalisation Details'!$A:$A, 'Hospitalisation Details'!K:K, "No Data")</f>
        <v>18</v>
      </c>
      <c r="O195" s="33">
        <f t="array" ref="O195">_xlfn.XLOOKUP($A195, 'Hospitalisation Details'!$A:$A, 'Hospitalisation Details'!G:G, "No Data")</f>
        <v>36307.8</v>
      </c>
      <c r="P195" s="28" t="str">
        <f t="array" ref="P195">_xlfn.XLOOKUP($A195, 'Hospitalisation Details'!$A:$A, 'Hospitalisation Details'!H:H, "No Data")</f>
        <v>tier - 1</v>
      </c>
    </row>
    <row r="196">
      <c r="A196" s="25" t="s">
        <v>641</v>
      </c>
      <c r="B196" s="28" t="str">
        <f t="array" ref="B196">_xlfn.XLOOKUP($A196, 'Customer Names'!$A:$A, 'Customer Names'!B:B, "No Data")</f>
        <v>Klecker</v>
      </c>
      <c r="C196" s="28">
        <f t="array" ref="C196">_xlfn.XLOOKUP($A196, 'Medical Examinations'!$A:$A, 'Medical Examinations'!B:B, "No Data")</f>
        <v>36.955</v>
      </c>
      <c r="D196" s="28">
        <f t="array" ref="D196">_xlfn.XLOOKUP($A196, 'Medical Examinations'!$A:$A, 'Medical Examinations'!C:C, "No Data")</f>
        <v>5.84</v>
      </c>
      <c r="E196" s="28" t="str">
        <f t="array" ref="E196">_xlfn.XLOOKUP($A196, 'Medical Examinations'!$A:$A, 'Medical Examinations'!D:D, "No Data")</f>
        <v>No</v>
      </c>
      <c r="F196" s="28" t="str">
        <f t="array" ref="F196">_xlfn.XLOOKUP($A196, 'Medical Examinations'!$A:$A, 'Medical Examinations'!E:E, "No Data")</f>
        <v>No</v>
      </c>
      <c r="G196" s="28" t="str">
        <f t="array" ref="G196">_xlfn.XLOOKUP($A196, 'Medical Examinations'!$A:$A, 'Medical Examinations'!F:F, "No Data")</f>
        <v>Yes</v>
      </c>
      <c r="H196" s="28">
        <f t="array" ref="H196">_xlfn.XLOOKUP($A196, 'Medical Examinations'!$A:$A, 'Medical Examinations'!G:G, "No Data")</f>
        <v>1</v>
      </c>
      <c r="I196" s="28" t="str">
        <f t="array" ref="I196">_xlfn.XLOOKUP($A196, 'Medical Examinations'!$A:$A, 'Medical Examinations'!H:H, "No Data")</f>
        <v>yes</v>
      </c>
      <c r="J196" s="28" t="str">
        <f t="array" ref="J196">_xlfn.XLOOKUP($A196, 'Medical Examinations'!$A:$A, 'Medical Examinations'!I:I, "No Data")</f>
        <v>Obesity</v>
      </c>
      <c r="K196" s="28" t="str">
        <f t="array" ref="K196">_xlfn.XLOOKUP($A196, 'Hospitalisation Details'!$A:$A, 'Hospitalisation Details'!I:I, "No Data")</f>
        <v>tier - 1</v>
      </c>
      <c r="L196" s="28" t="str">
        <f t="array" ref="L196">_xlfn.XLOOKUP($A196, 'Hospitalisation Details'!$A:$A, 'Hospitalisation Details'!J:J, "No Data")</f>
        <v>R1012</v>
      </c>
      <c r="M196" s="28" t="str">
        <f t="array" ref="M196">_xlfn.XLOOKUP($A196, 'Hospitalisation Details'!$A:$A, 'Hospitalisation Details'!E:E, "No Data")</f>
        <v>05/09/03</v>
      </c>
      <c r="N196" s="28">
        <f t="array" ref="N196">_xlfn.XLOOKUP($A196, 'Hospitalisation Details'!$A:$A, 'Hospitalisation Details'!K:K, "No Data")</f>
        <v>19</v>
      </c>
      <c r="O196" s="33">
        <f t="array" ref="O196">_xlfn.XLOOKUP($A196, 'Hospitalisation Details'!$A:$A, 'Hospitalisation Details'!G:G, "No Data")</f>
        <v>36219.41</v>
      </c>
      <c r="P196" s="28" t="str">
        <f t="array" ref="P196">_xlfn.XLOOKUP($A196, 'Hospitalisation Details'!$A:$A, 'Hospitalisation Details'!H:H, "No Data")</f>
        <v>tier - 1</v>
      </c>
    </row>
    <row r="197">
      <c r="A197" s="25" t="s">
        <v>645</v>
      </c>
      <c r="B197" s="28" t="str">
        <f t="array" ref="B197">_xlfn.XLOOKUP($A197, 'Customer Names'!$A:$A, 'Customer Names'!B:B, "No Data")</f>
        <v>Cancre</v>
      </c>
      <c r="C197" s="28">
        <f t="array" ref="C197">_xlfn.XLOOKUP($A197, 'Medical Examinations'!$A:$A, 'Medical Examinations'!B:B, "No Data")</f>
        <v>34.4</v>
      </c>
      <c r="D197" s="28">
        <f t="array" ref="D197">_xlfn.XLOOKUP($A197, 'Medical Examinations'!$A:$A, 'Medical Examinations'!C:C, "No Data")</f>
        <v>4.9</v>
      </c>
      <c r="E197" s="28" t="str">
        <f t="array" ref="E197">_xlfn.XLOOKUP($A197, 'Medical Examinations'!$A:$A, 'Medical Examinations'!D:D, "No Data")</f>
        <v>No</v>
      </c>
      <c r="F197" s="28" t="str">
        <f t="array" ref="F197">_xlfn.XLOOKUP($A197, 'Medical Examinations'!$A:$A, 'Medical Examinations'!E:E, "No Data")</f>
        <v>No</v>
      </c>
      <c r="G197" s="28" t="str">
        <f t="array" ref="G197">_xlfn.XLOOKUP($A197, 'Medical Examinations'!$A:$A, 'Medical Examinations'!F:F, "No Data")</f>
        <v>Yes</v>
      </c>
      <c r="H197" s="28">
        <f t="array" ref="H197">_xlfn.XLOOKUP($A197, 'Medical Examinations'!$A:$A, 'Medical Examinations'!G:G, "No Data")</f>
        <v>1</v>
      </c>
      <c r="I197" s="28" t="str">
        <f t="array" ref="I197">_xlfn.XLOOKUP($A197, 'Medical Examinations'!$A:$A, 'Medical Examinations'!H:H, "No Data")</f>
        <v>yes</v>
      </c>
      <c r="J197" s="28" t="str">
        <f t="array" ref="J197">_xlfn.XLOOKUP($A197, 'Medical Examinations'!$A:$A, 'Medical Examinations'!I:I, "No Data")</f>
        <v>Obesity</v>
      </c>
      <c r="K197" s="28" t="str">
        <f t="array" ref="K197">_xlfn.XLOOKUP($A197, 'Hospitalisation Details'!$A:$A, 'Hospitalisation Details'!I:I, "No Data")</f>
        <v>tier - 3</v>
      </c>
      <c r="L197" s="28" t="str">
        <f t="array" ref="L197">_xlfn.XLOOKUP($A197, 'Hospitalisation Details'!$A:$A, 'Hospitalisation Details'!J:J, "No Data")</f>
        <v>R1011</v>
      </c>
      <c r="M197" s="28" t="str">
        <f t="array" ref="M197">_xlfn.XLOOKUP($A197, 'Hospitalisation Details'!$A:$A, 'Hospitalisation Details'!E:E, "No Data")</f>
        <v>28/12/93</v>
      </c>
      <c r="N197" s="28">
        <f t="array" ref="N197">_xlfn.XLOOKUP($A197, 'Hospitalisation Details'!$A:$A, 'Hospitalisation Details'!K:K, "No Data")</f>
        <v>29</v>
      </c>
      <c r="O197" s="33">
        <f t="array" ref="O197">_xlfn.XLOOKUP($A197, 'Hospitalisation Details'!$A:$A, 'Hospitalisation Details'!G:G, "No Data")</f>
        <v>36197.7</v>
      </c>
      <c r="P197" s="28" t="str">
        <f t="array" ref="P197">_xlfn.XLOOKUP($A197, 'Hospitalisation Details'!$A:$A, 'Hospitalisation Details'!H:H, "No Data")</f>
        <v>tier - 1</v>
      </c>
    </row>
    <row r="198">
      <c r="A198" s="25" t="s">
        <v>649</v>
      </c>
      <c r="B198" s="28" t="str">
        <f t="array" ref="B198">_xlfn.XLOOKUP($A198, 'Customer Names'!$A:$A, 'Customer Names'!B:B, "No Data")</f>
        <v>Denucci</v>
      </c>
      <c r="C198" s="28">
        <f t="array" ref="C198">_xlfn.XLOOKUP($A198, 'Medical Examinations'!$A:$A, 'Medical Examinations'!B:B, "No Data")</f>
        <v>31.73</v>
      </c>
      <c r="D198" s="28">
        <f t="array" ref="D198">_xlfn.XLOOKUP($A198, 'Medical Examinations'!$A:$A, 'Medical Examinations'!C:C, "No Data")</f>
        <v>4.3</v>
      </c>
      <c r="E198" s="28" t="str">
        <f t="array" ref="E198">_xlfn.XLOOKUP($A198, 'Medical Examinations'!$A:$A, 'Medical Examinations'!D:D, "No Data")</f>
        <v>No</v>
      </c>
      <c r="F198" s="28" t="str">
        <f t="array" ref="F198">_xlfn.XLOOKUP($A198, 'Medical Examinations'!$A:$A, 'Medical Examinations'!E:E, "No Data")</f>
        <v>No</v>
      </c>
      <c r="G198" s="28" t="str">
        <f t="array" ref="G198">_xlfn.XLOOKUP($A198, 'Medical Examinations'!$A:$A, 'Medical Examinations'!F:F, "No Data")</f>
        <v>No</v>
      </c>
      <c r="H198" s="28">
        <f t="array" ref="H198">_xlfn.XLOOKUP($A198, 'Medical Examinations'!$A:$A, 'Medical Examinations'!G:G, "No Data")</f>
        <v>0</v>
      </c>
      <c r="I198" s="28" t="str">
        <f t="array" ref="I198">_xlfn.XLOOKUP($A198, 'Medical Examinations'!$A:$A, 'Medical Examinations'!H:H, "No Data")</f>
        <v>yes</v>
      </c>
      <c r="J198" s="28" t="str">
        <f t="array" ref="J198">_xlfn.XLOOKUP($A198, 'Medical Examinations'!$A:$A, 'Medical Examinations'!I:I, "No Data")</f>
        <v>Obesity</v>
      </c>
      <c r="K198" s="28" t="str">
        <f t="array" ref="K198">_xlfn.XLOOKUP($A198, 'Hospitalisation Details'!$A:$A, 'Hospitalisation Details'!I:I, "No Data")</f>
        <v>tier - 3</v>
      </c>
      <c r="L198" s="28" t="str">
        <f t="array" ref="L198">_xlfn.XLOOKUP($A198, 'Hospitalisation Details'!$A:$A, 'Hospitalisation Details'!J:J, "No Data")</f>
        <v>R1016</v>
      </c>
      <c r="M198" s="28" t="str">
        <f t="array" ref="M198">_xlfn.XLOOKUP($A198, 'Hospitalisation Details'!$A:$A, 'Hospitalisation Details'!E:E, "No Data")</f>
        <v>01/10/99</v>
      </c>
      <c r="N198" s="28">
        <f t="array" ref="N198">_xlfn.XLOOKUP($A198, 'Hospitalisation Details'!$A:$A, 'Hospitalisation Details'!K:K, "No Data")</f>
        <v>23</v>
      </c>
      <c r="O198" s="33">
        <f t="array" ref="O198">_xlfn.XLOOKUP($A198, 'Hospitalisation Details'!$A:$A, 'Hospitalisation Details'!G:G, "No Data")</f>
        <v>36189.1</v>
      </c>
      <c r="P198" s="28" t="str">
        <f t="array" ref="P198">_xlfn.XLOOKUP($A198, 'Hospitalisation Details'!$A:$A, 'Hospitalisation Details'!H:H, "No Data")</f>
        <v>tier - 1</v>
      </c>
    </row>
    <row r="199">
      <c r="A199" s="25" t="s">
        <v>652</v>
      </c>
      <c r="B199" s="28" t="str">
        <f t="array" ref="B199">_xlfn.XLOOKUP($A199, 'Customer Names'!$A:$A, 'Customer Names'!B:B, "No Data")</f>
        <v>Saldana</v>
      </c>
      <c r="C199" s="28">
        <f t="array" ref="C199">_xlfn.XLOOKUP($A199, 'Medical Examinations'!$A:$A, 'Medical Examinations'!B:B, "No Data")</f>
        <v>36.64</v>
      </c>
      <c r="D199" s="28">
        <f t="array" ref="D199">_xlfn.XLOOKUP($A199, 'Medical Examinations'!$A:$A, 'Medical Examinations'!C:C, "No Data")</f>
        <v>11.34</v>
      </c>
      <c r="E199" s="28" t="str">
        <f t="array" ref="E199">_xlfn.XLOOKUP($A199, 'Medical Examinations'!$A:$A, 'Medical Examinations'!D:D, "No Data")</f>
        <v>No</v>
      </c>
      <c r="F199" s="28" t="str">
        <f t="array" ref="F199">_xlfn.XLOOKUP($A199, 'Medical Examinations'!$A:$A, 'Medical Examinations'!E:E, "No Data")</f>
        <v>No</v>
      </c>
      <c r="G199" s="28" t="str">
        <f t="array" ref="G199">_xlfn.XLOOKUP($A199, 'Medical Examinations'!$A:$A, 'Medical Examinations'!F:F, "No Data")</f>
        <v>No</v>
      </c>
      <c r="H199" s="28">
        <f t="array" ref="H199">_xlfn.XLOOKUP($A199, 'Medical Examinations'!$A:$A, 'Medical Examinations'!G:G, "No Data")</f>
        <v>0</v>
      </c>
      <c r="I199" s="28" t="str">
        <f t="array" ref="I199">_xlfn.XLOOKUP($A199, 'Medical Examinations'!$A:$A, 'Medical Examinations'!H:H, "No Data")</f>
        <v>yes</v>
      </c>
      <c r="J199" s="28" t="str">
        <f t="array" ref="J199">_xlfn.XLOOKUP($A199, 'Medical Examinations'!$A:$A, 'Medical Examinations'!I:I, "No Data")</f>
        <v>Obesity</v>
      </c>
      <c r="K199" s="28" t="str">
        <f t="array" ref="K199">_xlfn.XLOOKUP($A199, 'Hospitalisation Details'!$A:$A, 'Hospitalisation Details'!I:I, "No Data")</f>
        <v>tier - 3</v>
      </c>
      <c r="L199" s="28" t="str">
        <f t="array" ref="L199">_xlfn.XLOOKUP($A199, 'Hospitalisation Details'!$A:$A, 'Hospitalisation Details'!J:J, "No Data")</f>
        <v>R1012</v>
      </c>
      <c r="M199" s="28" t="str">
        <f t="array" ref="M199">_xlfn.XLOOKUP($A199, 'Hospitalisation Details'!$A:$A, 'Hospitalisation Details'!E:E, "No Data")</f>
        <v>06/12/74</v>
      </c>
      <c r="N199" s="28">
        <f t="array" ref="N199">_xlfn.XLOOKUP($A199, 'Hospitalisation Details'!$A:$A, 'Hospitalisation Details'!K:K, "No Data")</f>
        <v>48</v>
      </c>
      <c r="O199" s="33">
        <f t="array" ref="O199">_xlfn.XLOOKUP($A199, 'Hospitalisation Details'!$A:$A, 'Hospitalisation Details'!G:G, "No Data")</f>
        <v>36182.87</v>
      </c>
      <c r="P199" s="28" t="str">
        <f t="array" ref="P199">_xlfn.XLOOKUP($A199, 'Hospitalisation Details'!$A:$A, 'Hospitalisation Details'!H:H, "No Data")</f>
        <v>tier - 2</v>
      </c>
    </row>
    <row r="200">
      <c r="A200" s="25" t="s">
        <v>654</v>
      </c>
      <c r="B200" s="28" t="str">
        <f t="array" ref="B200">_xlfn.XLOOKUP($A200, 'Customer Names'!$A:$A, 'Customer Names'!B:B, "No Data")</f>
        <v>Weinberg</v>
      </c>
      <c r="C200" s="28">
        <f t="array" ref="C200">_xlfn.XLOOKUP($A200, 'Medical Examinations'!$A:$A, 'Medical Examinations'!B:B, "No Data")</f>
        <v>36.85</v>
      </c>
      <c r="D200" s="28">
        <f t="array" ref="D200">_xlfn.XLOOKUP($A200, 'Medical Examinations'!$A:$A, 'Medical Examinations'!C:C, "No Data")</f>
        <v>5.88</v>
      </c>
      <c r="E200" s="28" t="str">
        <f t="array" ref="E200">_xlfn.XLOOKUP($A200, 'Medical Examinations'!$A:$A, 'Medical Examinations'!D:D, "No Data")</f>
        <v>No</v>
      </c>
      <c r="F200" s="28" t="str">
        <f t="array" ref="F200">_xlfn.XLOOKUP($A200, 'Medical Examinations'!$A:$A, 'Medical Examinations'!E:E, "No Data")</f>
        <v>yes</v>
      </c>
      <c r="G200" s="28" t="str">
        <f t="array" ref="G200">_xlfn.XLOOKUP($A200, 'Medical Examinations'!$A:$A, 'Medical Examinations'!F:F, "No Data")</f>
        <v>No</v>
      </c>
      <c r="H200" s="28">
        <f t="array" ref="H200">_xlfn.XLOOKUP($A200, 'Medical Examinations'!$A:$A, 'Medical Examinations'!G:G, "No Data")</f>
        <v>1</v>
      </c>
      <c r="I200" s="28" t="str">
        <f t="array" ref="I200">_xlfn.XLOOKUP($A200, 'Medical Examinations'!$A:$A, 'Medical Examinations'!H:H, "No Data")</f>
        <v>yes</v>
      </c>
      <c r="J200" s="28" t="str">
        <f t="array" ref="J200">_xlfn.XLOOKUP($A200, 'Medical Examinations'!$A:$A, 'Medical Examinations'!I:I, "No Data")</f>
        <v>Obesity</v>
      </c>
      <c r="K200" s="28" t="str">
        <f t="array" ref="K200">_xlfn.XLOOKUP($A200, 'Hospitalisation Details'!$A:$A, 'Hospitalisation Details'!I:I, "No Data")</f>
        <v>tier - 2</v>
      </c>
      <c r="L200" s="28" t="str">
        <f t="array" ref="L200">_xlfn.XLOOKUP($A200, 'Hospitalisation Details'!$A:$A, 'Hospitalisation Details'!J:J, "No Data")</f>
        <v>R1013</v>
      </c>
      <c r="M200" s="28" t="str">
        <f t="array" ref="M200">_xlfn.XLOOKUP($A200, 'Hospitalisation Details'!$A:$A, 'Hospitalisation Details'!E:E, "No Data")</f>
        <v>30/08/04</v>
      </c>
      <c r="N200" s="28">
        <f t="array" ref="N200">_xlfn.XLOOKUP($A200, 'Hospitalisation Details'!$A:$A, 'Hospitalisation Details'!K:K, "No Data")</f>
        <v>18</v>
      </c>
      <c r="O200" s="33">
        <f t="array" ref="O200">_xlfn.XLOOKUP($A200, 'Hospitalisation Details'!$A:$A, 'Hospitalisation Details'!G:G, "No Data")</f>
        <v>36149.48</v>
      </c>
      <c r="P200" s="28" t="str">
        <f t="array" ref="P200">_xlfn.XLOOKUP($A200, 'Hospitalisation Details'!$A:$A, 'Hospitalisation Details'!H:H, "No Data")</f>
        <v>tier - 2</v>
      </c>
    </row>
    <row r="201">
      <c r="A201" s="25" t="s">
        <v>657</v>
      </c>
      <c r="B201" s="28" t="str">
        <f t="array" ref="B201">_xlfn.XLOOKUP($A201, 'Customer Names'!$A:$A, 'Customer Names'!B:B, "No Data")</f>
        <v>Walsh</v>
      </c>
      <c r="C201" s="28">
        <f t="array" ref="C201">_xlfn.XLOOKUP($A201, 'Medical Examinations'!$A:$A, 'Medical Examinations'!B:B, "No Data")</f>
        <v>33.33</v>
      </c>
      <c r="D201" s="28">
        <f t="array" ref="D201">_xlfn.XLOOKUP($A201, 'Medical Examinations'!$A:$A, 'Medical Examinations'!C:C, "No Data")</f>
        <v>5.01</v>
      </c>
      <c r="E201" s="28" t="str">
        <f t="array" ref="E201">_xlfn.XLOOKUP($A201, 'Medical Examinations'!$A:$A, 'Medical Examinations'!D:D, "No Data")</f>
        <v>yes</v>
      </c>
      <c r="F201" s="28" t="str">
        <f t="array" ref="F201">_xlfn.XLOOKUP($A201, 'Medical Examinations'!$A:$A, 'Medical Examinations'!E:E, "No Data")</f>
        <v>No</v>
      </c>
      <c r="G201" s="28" t="str">
        <f t="array" ref="G201">_xlfn.XLOOKUP($A201, 'Medical Examinations'!$A:$A, 'Medical Examinations'!F:F, "No Data")</f>
        <v>Yes</v>
      </c>
      <c r="H201" s="28">
        <f t="array" ref="H201">_xlfn.XLOOKUP($A201, 'Medical Examinations'!$A:$A, 'Medical Examinations'!G:G, "No Data")</f>
        <v>1</v>
      </c>
      <c r="I201" s="28" t="str">
        <f t="array" ref="I201">_xlfn.XLOOKUP($A201, 'Medical Examinations'!$A:$A, 'Medical Examinations'!H:H, "No Data")</f>
        <v>yes</v>
      </c>
      <c r="J201" s="28" t="str">
        <f t="array" ref="J201">_xlfn.XLOOKUP($A201, 'Medical Examinations'!$A:$A, 'Medical Examinations'!I:I, "No Data")</f>
        <v>Obesity</v>
      </c>
      <c r="K201" s="28" t="str">
        <f t="array" ref="K201">_xlfn.XLOOKUP($A201, 'Hospitalisation Details'!$A:$A, 'Hospitalisation Details'!I:I, "No Data")</f>
        <v>tier - 3</v>
      </c>
      <c r="L201" s="28" t="str">
        <f t="array" ref="L201">_xlfn.XLOOKUP($A201, 'Hospitalisation Details'!$A:$A, 'Hospitalisation Details'!J:J, "No Data")</f>
        <v>R1013</v>
      </c>
      <c r="M201" s="28" t="str">
        <f t="array" ref="M201">_xlfn.XLOOKUP($A201, 'Hospitalisation Details'!$A:$A, 'Hospitalisation Details'!E:E, "No Data")</f>
        <v>12/06/97</v>
      </c>
      <c r="N201" s="28">
        <f t="array" ref="N201">_xlfn.XLOOKUP($A201, 'Hospitalisation Details'!$A:$A, 'Hospitalisation Details'!K:K, "No Data")</f>
        <v>25</v>
      </c>
      <c r="O201" s="33">
        <f t="array" ref="O201">_xlfn.XLOOKUP($A201, 'Hospitalisation Details'!$A:$A, 'Hospitalisation Details'!G:G, "No Data")</f>
        <v>36124.57</v>
      </c>
      <c r="P201" s="28" t="str">
        <f t="array" ref="P201">_xlfn.XLOOKUP($A201, 'Hospitalisation Details'!$A:$A, 'Hospitalisation Details'!H:H, "No Data")</f>
        <v>tier - 1</v>
      </c>
    </row>
    <row r="202">
      <c r="A202" s="25" t="s">
        <v>660</v>
      </c>
      <c r="B202" s="28" t="str">
        <f t="array" ref="B202">_xlfn.XLOOKUP($A202, 'Customer Names'!$A:$A, 'Customer Names'!B:B, "No Data")</f>
        <v>Pasten</v>
      </c>
      <c r="C202" s="28">
        <f t="array" ref="C202">_xlfn.XLOOKUP($A202, 'Medical Examinations'!$A:$A, 'Medical Examinations'!B:B, "No Data")</f>
        <v>39.14</v>
      </c>
      <c r="D202" s="28">
        <f t="array" ref="D202">_xlfn.XLOOKUP($A202, 'Medical Examinations'!$A:$A, 'Medical Examinations'!C:C, "No Data")</f>
        <v>4.4</v>
      </c>
      <c r="E202" s="28" t="str">
        <f t="array" ref="E202">_xlfn.XLOOKUP($A202, 'Medical Examinations'!$A:$A, 'Medical Examinations'!D:D, "No Data")</f>
        <v>No</v>
      </c>
      <c r="F202" s="28" t="str">
        <f t="array" ref="F202">_xlfn.XLOOKUP($A202, 'Medical Examinations'!$A:$A, 'Medical Examinations'!E:E, "No Data")</f>
        <v>No</v>
      </c>
      <c r="G202" s="28" t="str">
        <f t="array" ref="G202">_xlfn.XLOOKUP($A202, 'Medical Examinations'!$A:$A, 'Medical Examinations'!F:F, "No Data")</f>
        <v>Yes</v>
      </c>
      <c r="H202" s="28">
        <f t="array" ref="H202">_xlfn.XLOOKUP($A202, 'Medical Examinations'!$A:$A, 'Medical Examinations'!G:G, "No Data")</f>
        <v>1</v>
      </c>
      <c r="I202" s="28" t="str">
        <f t="array" ref="I202">_xlfn.XLOOKUP($A202, 'Medical Examinations'!$A:$A, 'Medical Examinations'!H:H, "No Data")</f>
        <v>yes</v>
      </c>
      <c r="J202" s="28" t="str">
        <f t="array" ref="J202">_xlfn.XLOOKUP($A202, 'Medical Examinations'!$A:$A, 'Medical Examinations'!I:I, "No Data")</f>
        <v>Obesity</v>
      </c>
      <c r="K202" s="28" t="str">
        <f t="array" ref="K202">_xlfn.XLOOKUP($A202, 'Hospitalisation Details'!$A:$A, 'Hospitalisation Details'!I:I, "No Data")</f>
        <v>tier - 2</v>
      </c>
      <c r="L202" s="28" t="str">
        <f t="array" ref="L202">_xlfn.XLOOKUP($A202, 'Hospitalisation Details'!$A:$A, 'Hospitalisation Details'!J:J, "No Data")</f>
        <v>R1011</v>
      </c>
      <c r="M202" s="28" t="str">
        <f t="array" ref="M202">_xlfn.XLOOKUP($A202, 'Hospitalisation Details'!$A:$A, 'Hospitalisation Details'!E:E, "No Data")</f>
        <v>04/11/79</v>
      </c>
      <c r="N202" s="28">
        <f t="array" ref="N202">_xlfn.XLOOKUP($A202, 'Hospitalisation Details'!$A:$A, 'Hospitalisation Details'!K:K, "No Data")</f>
        <v>43</v>
      </c>
      <c r="O202" s="33">
        <f t="array" ref="O202">_xlfn.XLOOKUP($A202, 'Hospitalisation Details'!$A:$A, 'Hospitalisation Details'!G:G, "No Data")</f>
        <v>36090.49</v>
      </c>
      <c r="P202" s="28" t="str">
        <f t="array" ref="P202">_xlfn.XLOOKUP($A202, 'Hospitalisation Details'!$A:$A, 'Hospitalisation Details'!H:H, "No Data")</f>
        <v>tier - 2</v>
      </c>
    </row>
    <row r="203">
      <c r="A203" s="25" t="s">
        <v>663</v>
      </c>
      <c r="B203" s="28" t="str">
        <f t="array" ref="B203">_xlfn.XLOOKUP($A203, 'Customer Names'!$A:$A, 'Customer Names'!B:B, "No Data")</f>
        <v>LaBelle</v>
      </c>
      <c r="C203" s="28">
        <f t="array" ref="C203">_xlfn.XLOOKUP($A203, 'Medical Examinations'!$A:$A, 'Medical Examinations'!B:B, "No Data")</f>
        <v>32.9</v>
      </c>
      <c r="D203" s="28">
        <f t="array" ref="D203">_xlfn.XLOOKUP($A203, 'Medical Examinations'!$A:$A, 'Medical Examinations'!C:C, "No Data")</f>
        <v>6.26</v>
      </c>
      <c r="E203" s="28" t="str">
        <f t="array" ref="E203">_xlfn.XLOOKUP($A203, 'Medical Examinations'!$A:$A, 'Medical Examinations'!D:D, "No Data")</f>
        <v>yes</v>
      </c>
      <c r="F203" s="28" t="str">
        <f t="array" ref="F203">_xlfn.XLOOKUP($A203, 'Medical Examinations'!$A:$A, 'Medical Examinations'!E:E, "No Data")</f>
        <v>No</v>
      </c>
      <c r="G203" s="28" t="str">
        <f t="array" ref="G203">_xlfn.XLOOKUP($A203, 'Medical Examinations'!$A:$A, 'Medical Examinations'!F:F, "No Data")</f>
        <v>No</v>
      </c>
      <c r="H203" s="28">
        <f t="array" ref="H203">_xlfn.XLOOKUP($A203, 'Medical Examinations'!$A:$A, 'Medical Examinations'!G:G, "No Data")</f>
        <v>0</v>
      </c>
      <c r="I203" s="28" t="str">
        <f t="array" ref="I203">_xlfn.XLOOKUP($A203, 'Medical Examinations'!$A:$A, 'Medical Examinations'!H:H, "No Data")</f>
        <v>yes</v>
      </c>
      <c r="J203" s="28" t="str">
        <f t="array" ref="J203">_xlfn.XLOOKUP($A203, 'Medical Examinations'!$A:$A, 'Medical Examinations'!I:I, "No Data")</f>
        <v>Obesity</v>
      </c>
      <c r="K203" s="28" t="str">
        <f t="array" ref="K203">_xlfn.XLOOKUP($A203, 'Hospitalisation Details'!$A:$A, 'Hospitalisation Details'!I:I, "No Data")</f>
        <v>tier - 1</v>
      </c>
      <c r="L203" s="28" t="str">
        <f t="array" ref="L203">_xlfn.XLOOKUP($A203, 'Hospitalisation Details'!$A:$A, 'Hospitalisation Details'!J:J, "No Data")</f>
        <v>R1011</v>
      </c>
      <c r="M203" s="28" t="str">
        <f t="array" ref="M203">_xlfn.XLOOKUP($A203, 'Hospitalisation Details'!$A:$A, 'Hospitalisation Details'!E:E, "No Data")</f>
        <v>20/08/96</v>
      </c>
      <c r="N203" s="28">
        <f t="array" ref="N203">_xlfn.XLOOKUP($A203, 'Hospitalisation Details'!$A:$A, 'Hospitalisation Details'!K:K, "No Data")</f>
        <v>26</v>
      </c>
      <c r="O203" s="33">
        <f t="array" ref="O203">_xlfn.XLOOKUP($A203, 'Hospitalisation Details'!$A:$A, 'Hospitalisation Details'!G:G, "No Data")</f>
        <v>36085.22</v>
      </c>
      <c r="P203" s="28" t="str">
        <f t="array" ref="P203">_xlfn.XLOOKUP($A203, 'Hospitalisation Details'!$A:$A, 'Hospitalisation Details'!H:H, "No Data")</f>
        <v>tier - 1</v>
      </c>
    </row>
    <row r="204">
      <c r="A204" s="25" t="s">
        <v>666</v>
      </c>
      <c r="B204" s="28" t="str">
        <f t="array" ref="B204">_xlfn.XLOOKUP($A204, 'Customer Names'!$A:$A, 'Customer Names'!B:B, "No Data")</f>
        <v>Guzman</v>
      </c>
      <c r="C204" s="28">
        <f t="array" ref="C204">_xlfn.XLOOKUP($A204, 'Medical Examinations'!$A:$A, 'Medical Examinations'!B:B, "No Data")</f>
        <v>29.78</v>
      </c>
      <c r="D204" s="28">
        <f t="array" ref="D204">_xlfn.XLOOKUP($A204, 'Medical Examinations'!$A:$A, 'Medical Examinations'!C:C, "No Data")</f>
        <v>10.27</v>
      </c>
      <c r="E204" s="28" t="str">
        <f t="array" ref="E204">_xlfn.XLOOKUP($A204, 'Medical Examinations'!$A:$A, 'Medical Examinations'!D:D, "No Data")</f>
        <v>yes</v>
      </c>
      <c r="F204" s="28" t="str">
        <f t="array" ref="F204">_xlfn.XLOOKUP($A204, 'Medical Examinations'!$A:$A, 'Medical Examinations'!E:E, "No Data")</f>
        <v>No</v>
      </c>
      <c r="G204" s="28" t="str">
        <f t="array" ref="G204">_xlfn.XLOOKUP($A204, 'Medical Examinations'!$A:$A, 'Medical Examinations'!F:F, "No Data")</f>
        <v>Yes</v>
      </c>
      <c r="H204" s="28">
        <f t="array" ref="H204">_xlfn.XLOOKUP($A204, 'Medical Examinations'!$A:$A, 'Medical Examinations'!G:G, "No Data")</f>
        <v>1</v>
      </c>
      <c r="I204" s="28" t="str">
        <f t="array" ref="I204">_xlfn.XLOOKUP($A204, 'Medical Examinations'!$A:$A, 'Medical Examinations'!H:H, "No Data")</f>
        <v>yes</v>
      </c>
      <c r="J204" s="28" t="str">
        <f t="array" ref="J204">_xlfn.XLOOKUP($A204, 'Medical Examinations'!$A:$A, 'Medical Examinations'!I:I, "No Data")</f>
        <v>Overweight</v>
      </c>
      <c r="K204" s="28" t="str">
        <f t="array" ref="K204">_xlfn.XLOOKUP($A204, 'Hospitalisation Details'!$A:$A, 'Hospitalisation Details'!I:I, "No Data")</f>
        <v>tier - 1</v>
      </c>
      <c r="L204" s="28" t="str">
        <f t="array" ref="L204">_xlfn.XLOOKUP($A204, 'Hospitalisation Details'!$A:$A, 'Hospitalisation Details'!J:J, "No Data")</f>
        <v>R1011</v>
      </c>
      <c r="M204" s="28" t="str">
        <f t="array" ref="M204">_xlfn.XLOOKUP($A204, 'Hospitalisation Details'!$A:$A, 'Hospitalisation Details'!E:E, "No Data")</f>
        <v>22/07/63</v>
      </c>
      <c r="N204" s="28">
        <f t="array" ref="N204">_xlfn.XLOOKUP($A204, 'Hospitalisation Details'!$A:$A, 'Hospitalisation Details'!K:K, "No Data")</f>
        <v>59</v>
      </c>
      <c r="O204" s="33">
        <f t="array" ref="O204">_xlfn.XLOOKUP($A204, 'Hospitalisation Details'!$A:$A, 'Hospitalisation Details'!G:G, "No Data")</f>
        <v>36074.34</v>
      </c>
      <c r="P204" s="28" t="str">
        <f t="array" ref="P204">_xlfn.XLOOKUP($A204, 'Hospitalisation Details'!$A:$A, 'Hospitalisation Details'!H:H, "No Data")</f>
        <v>tier - 2</v>
      </c>
    </row>
    <row r="205">
      <c r="A205" s="25" t="s">
        <v>669</v>
      </c>
      <c r="B205" s="28" t="str">
        <f t="array" ref="B205">_xlfn.XLOOKUP($A205, 'Customer Names'!$A:$A, 'Customer Names'!B:B, "No Data")</f>
        <v>Turnbull</v>
      </c>
      <c r="C205" s="28">
        <f t="array" ref="C205">_xlfn.XLOOKUP($A205, 'Medical Examinations'!$A:$A, 'Medical Examinations'!B:B, "No Data")</f>
        <v>32.78</v>
      </c>
      <c r="D205" s="28">
        <f t="array" ref="D205">_xlfn.XLOOKUP($A205, 'Medical Examinations'!$A:$A, 'Medical Examinations'!C:C, "No Data")</f>
        <v>5.27</v>
      </c>
      <c r="E205" s="28" t="str">
        <f t="array" ref="E205">_xlfn.XLOOKUP($A205, 'Medical Examinations'!$A:$A, 'Medical Examinations'!D:D, "No Data")</f>
        <v>No</v>
      </c>
      <c r="F205" s="28" t="str">
        <f t="array" ref="F205">_xlfn.XLOOKUP($A205, 'Medical Examinations'!$A:$A, 'Medical Examinations'!E:E, "No Data")</f>
        <v>No</v>
      </c>
      <c r="G205" s="28" t="str">
        <f t="array" ref="G205">_xlfn.XLOOKUP($A205, 'Medical Examinations'!$A:$A, 'Medical Examinations'!F:F, "No Data")</f>
        <v>No</v>
      </c>
      <c r="H205" s="28">
        <f t="array" ref="H205">_xlfn.XLOOKUP($A205, 'Medical Examinations'!$A:$A, 'Medical Examinations'!G:G, "No Data")</f>
        <v>0</v>
      </c>
      <c r="I205" s="28" t="str">
        <f t="array" ref="I205">_xlfn.XLOOKUP($A205, 'Medical Examinations'!$A:$A, 'Medical Examinations'!H:H, "No Data")</f>
        <v>yes</v>
      </c>
      <c r="J205" s="28" t="str">
        <f t="array" ref="J205">_xlfn.XLOOKUP($A205, 'Medical Examinations'!$A:$A, 'Medical Examinations'!I:I, "No Data")</f>
        <v>Obesity</v>
      </c>
      <c r="K205" s="28" t="str">
        <f t="array" ref="K205">_xlfn.XLOOKUP($A205, 'Hospitalisation Details'!$A:$A, 'Hospitalisation Details'!I:I, "No Data")</f>
        <v>tier - 3</v>
      </c>
      <c r="L205" s="28" t="str">
        <f t="array" ref="L205">_xlfn.XLOOKUP($A205, 'Hospitalisation Details'!$A:$A, 'Hospitalisation Details'!J:J, "No Data")</f>
        <v>R1013</v>
      </c>
      <c r="M205" s="28" t="str">
        <f t="array" ref="M205">_xlfn.XLOOKUP($A205, 'Hospitalisation Details'!$A:$A, 'Hospitalisation Details'!E:E, "No Data")</f>
        <v>04/09/99</v>
      </c>
      <c r="N205" s="28">
        <f t="array" ref="N205">_xlfn.XLOOKUP($A205, 'Hospitalisation Details'!$A:$A, 'Hospitalisation Details'!K:K, "No Data")</f>
        <v>23</v>
      </c>
      <c r="O205" s="33">
        <f t="array" ref="O205">_xlfn.XLOOKUP($A205, 'Hospitalisation Details'!$A:$A, 'Hospitalisation Details'!G:G, "No Data")</f>
        <v>36021.01</v>
      </c>
      <c r="P205" s="28" t="str">
        <f t="array" ref="P205">_xlfn.XLOOKUP($A205, 'Hospitalisation Details'!$A:$A, 'Hospitalisation Details'!H:H, "No Data")</f>
        <v>tier - 2</v>
      </c>
    </row>
    <row r="206">
      <c r="A206" s="25" t="s">
        <v>671</v>
      </c>
      <c r="B206" s="28" t="str">
        <f t="array" ref="B206">_xlfn.XLOOKUP($A206, 'Customer Names'!$A:$A, 'Customer Names'!B:B, "No Data")</f>
        <v>Aguero</v>
      </c>
      <c r="C206" s="28">
        <f t="array" ref="C206">_xlfn.XLOOKUP($A206, 'Medical Examinations'!$A:$A, 'Medical Examinations'!B:B, "No Data")</f>
        <v>41.65</v>
      </c>
      <c r="D206" s="28">
        <f t="array" ref="D206">_xlfn.XLOOKUP($A206, 'Medical Examinations'!$A:$A, 'Medical Examinations'!C:C, "No Data")</f>
        <v>10.73</v>
      </c>
      <c r="E206" s="28" t="str">
        <f t="array" ref="E206">_xlfn.XLOOKUP($A206, 'Medical Examinations'!$A:$A, 'Medical Examinations'!D:D, "No Data")</f>
        <v>yes</v>
      </c>
      <c r="F206" s="28" t="str">
        <f t="array" ref="F206">_xlfn.XLOOKUP($A206, 'Medical Examinations'!$A:$A, 'Medical Examinations'!E:E, "No Data")</f>
        <v>No</v>
      </c>
      <c r="G206" s="28" t="str">
        <f t="array" ref="G206">_xlfn.XLOOKUP($A206, 'Medical Examinations'!$A:$A, 'Medical Examinations'!F:F, "No Data")</f>
        <v>No</v>
      </c>
      <c r="H206" s="28">
        <f t="array" ref="H206">_xlfn.XLOOKUP($A206, 'Medical Examinations'!$A:$A, 'Medical Examinations'!G:G, "No Data")</f>
        <v>0</v>
      </c>
      <c r="I206" s="28" t="str">
        <f t="array" ref="I206">_xlfn.XLOOKUP($A206, 'Medical Examinations'!$A:$A, 'Medical Examinations'!H:H, "No Data")</f>
        <v>yes</v>
      </c>
      <c r="J206" s="28" t="str">
        <f t="array" ref="J206">_xlfn.XLOOKUP($A206, 'Medical Examinations'!$A:$A, 'Medical Examinations'!I:I, "No Data")</f>
        <v>Obesity</v>
      </c>
      <c r="K206" s="28" t="str">
        <f t="array" ref="K206">_xlfn.XLOOKUP($A206, 'Hospitalisation Details'!$A:$A, 'Hospitalisation Details'!I:I, "No Data")</f>
        <v>tier - 3</v>
      </c>
      <c r="L206" s="28" t="str">
        <f t="array" ref="L206">_xlfn.XLOOKUP($A206, 'Hospitalisation Details'!$A:$A, 'Hospitalisation Details'!J:J, "No Data")</f>
        <v>R1011</v>
      </c>
      <c r="M206" s="28" t="str">
        <f t="array" ref="M206">_xlfn.XLOOKUP($A206, 'Hospitalisation Details'!$A:$A, 'Hospitalisation Details'!E:E, "No Data")</f>
        <v>22/11/81</v>
      </c>
      <c r="N206" s="28">
        <f t="array" ref="N206">_xlfn.XLOOKUP($A206, 'Hospitalisation Details'!$A:$A, 'Hospitalisation Details'!K:K, "No Data")</f>
        <v>41</v>
      </c>
      <c r="O206" s="33">
        <f t="array" ref="O206">_xlfn.XLOOKUP($A206, 'Hospitalisation Details'!$A:$A, 'Hospitalisation Details'!G:G, "No Data")</f>
        <v>35952.65</v>
      </c>
      <c r="P206" s="28" t="str">
        <f t="array" ref="P206">_xlfn.XLOOKUP($A206, 'Hospitalisation Details'!$A:$A, 'Hospitalisation Details'!H:H, "No Data")</f>
        <v>tier - 1</v>
      </c>
    </row>
    <row r="207">
      <c r="A207" s="25" t="s">
        <v>675</v>
      </c>
      <c r="B207" s="28" t="str">
        <f t="array" ref="B207">_xlfn.XLOOKUP($A207, 'Customer Names'!$A:$A, 'Customer Names'!B:B, "No Data")</f>
        <v>Woodward</v>
      </c>
      <c r="C207" s="28">
        <f t="array" ref="C207">_xlfn.XLOOKUP($A207, 'Medical Examinations'!$A:$A, 'Medical Examinations'!B:B, "No Data")</f>
        <v>50.79</v>
      </c>
      <c r="D207" s="28">
        <f t="array" ref="D207">_xlfn.XLOOKUP($A207, 'Medical Examinations'!$A:$A, 'Medical Examinations'!C:C, "No Data")</f>
        <v>4.45</v>
      </c>
      <c r="E207" s="28" t="str">
        <f t="array" ref="E207">_xlfn.XLOOKUP($A207, 'Medical Examinations'!$A:$A, 'Medical Examinations'!D:D, "No Data")</f>
        <v>No</v>
      </c>
      <c r="F207" s="28" t="str">
        <f t="array" ref="F207">_xlfn.XLOOKUP($A207, 'Medical Examinations'!$A:$A, 'Medical Examinations'!E:E, "No Data")</f>
        <v>No</v>
      </c>
      <c r="G207" s="28" t="str">
        <f t="array" ref="G207">_xlfn.XLOOKUP($A207, 'Medical Examinations'!$A:$A, 'Medical Examinations'!F:F, "No Data")</f>
        <v>No</v>
      </c>
      <c r="H207" s="28">
        <f t="array" ref="H207">_xlfn.XLOOKUP($A207, 'Medical Examinations'!$A:$A, 'Medical Examinations'!G:G, "No Data")</f>
        <v>1</v>
      </c>
      <c r="I207" s="28" t="str">
        <f t="array" ref="I207">_xlfn.XLOOKUP($A207, 'Medical Examinations'!$A:$A, 'Medical Examinations'!H:H, "No Data")</f>
        <v>yes</v>
      </c>
      <c r="J207" s="28" t="str">
        <f t="array" ref="J207">_xlfn.XLOOKUP($A207, 'Medical Examinations'!$A:$A, 'Medical Examinations'!I:I, "No Data")</f>
        <v>Obesity</v>
      </c>
      <c r="K207" s="28" t="str">
        <f t="array" ref="K207">_xlfn.XLOOKUP($A207, 'Hospitalisation Details'!$A:$A, 'Hospitalisation Details'!I:I, "No Data")</f>
        <v>tier - 1</v>
      </c>
      <c r="L207" s="28" t="str">
        <f t="array" ref="L207">_xlfn.XLOOKUP($A207, 'Hospitalisation Details'!$A:$A, 'Hospitalisation Details'!J:J, "No Data")</f>
        <v>R1011</v>
      </c>
      <c r="M207" s="28" t="str">
        <f t="array" ref="M207">_xlfn.XLOOKUP($A207, 'Hospitalisation Details'!$A:$A, 'Hospitalisation Details'!E:E, "No Data")</f>
        <v>18/06/92</v>
      </c>
      <c r="N207" s="28">
        <f t="array" ref="N207">_xlfn.XLOOKUP($A207, 'Hospitalisation Details'!$A:$A, 'Hospitalisation Details'!K:K, "No Data")</f>
        <v>30</v>
      </c>
      <c r="O207" s="33">
        <f t="array" ref="O207">_xlfn.XLOOKUP($A207, 'Hospitalisation Details'!$A:$A, 'Hospitalisation Details'!G:G, "No Data")</f>
        <v>35883.27</v>
      </c>
      <c r="P207" s="28" t="str">
        <f t="array" ref="P207">_xlfn.XLOOKUP($A207, 'Hospitalisation Details'!$A:$A, 'Hospitalisation Details'!H:H, "No Data")</f>
        <v>tier - 2</v>
      </c>
    </row>
    <row r="208">
      <c r="A208" s="25" t="s">
        <v>678</v>
      </c>
      <c r="B208" s="28" t="str">
        <f t="array" ref="B208">_xlfn.XLOOKUP($A208, 'Customer Names'!$A:$A, 'Customer Names'!B:B, "No Data")</f>
        <v>McElroy</v>
      </c>
      <c r="C208" s="28">
        <f t="array" ref="C208">_xlfn.XLOOKUP($A208, 'Medical Examinations'!$A:$A, 'Medical Examinations'!B:B, "No Data")</f>
        <v>35.43</v>
      </c>
      <c r="D208" s="28">
        <f t="array" ref="D208">_xlfn.XLOOKUP($A208, 'Medical Examinations'!$A:$A, 'Medical Examinations'!C:C, "No Data")</f>
        <v>5.25</v>
      </c>
      <c r="E208" s="28" t="str">
        <f t="array" ref="E208">_xlfn.XLOOKUP($A208, 'Medical Examinations'!$A:$A, 'Medical Examinations'!D:D, "No Data")</f>
        <v>yes</v>
      </c>
      <c r="F208" s="28" t="str">
        <f t="array" ref="F208">_xlfn.XLOOKUP($A208, 'Medical Examinations'!$A:$A, 'Medical Examinations'!E:E, "No Data")</f>
        <v>No</v>
      </c>
      <c r="G208" s="28" t="str">
        <f t="array" ref="G208">_xlfn.XLOOKUP($A208, 'Medical Examinations'!$A:$A, 'Medical Examinations'!F:F, "No Data")</f>
        <v>No</v>
      </c>
      <c r="H208" s="28">
        <f t="array" ref="H208">_xlfn.XLOOKUP($A208, 'Medical Examinations'!$A:$A, 'Medical Examinations'!G:G, "No Data")</f>
        <v>0</v>
      </c>
      <c r="I208" s="28" t="str">
        <f t="array" ref="I208">_xlfn.XLOOKUP($A208, 'Medical Examinations'!$A:$A, 'Medical Examinations'!H:H, "No Data")</f>
        <v>yes</v>
      </c>
      <c r="J208" s="28" t="str">
        <f t="array" ref="J208">_xlfn.XLOOKUP($A208, 'Medical Examinations'!$A:$A, 'Medical Examinations'!I:I, "No Data")</f>
        <v>Obesity</v>
      </c>
      <c r="K208" s="28" t="str">
        <f t="array" ref="K208">_xlfn.XLOOKUP($A208, 'Hospitalisation Details'!$A:$A, 'Hospitalisation Details'!I:I, "No Data")</f>
        <v>tier - 2</v>
      </c>
      <c r="L208" s="28" t="str">
        <f t="array" ref="L208">_xlfn.XLOOKUP($A208, 'Hospitalisation Details'!$A:$A, 'Hospitalisation Details'!J:J, "No Data")</f>
        <v>R1011</v>
      </c>
      <c r="M208" s="28" t="str">
        <f t="array" ref="M208">_xlfn.XLOOKUP($A208, 'Hospitalisation Details'!$A:$A, 'Hospitalisation Details'!E:E, "No Data")</f>
        <v>04/10/76</v>
      </c>
      <c r="N208" s="28">
        <f t="array" ref="N208">_xlfn.XLOOKUP($A208, 'Hospitalisation Details'!$A:$A, 'Hospitalisation Details'!K:K, "No Data")</f>
        <v>46</v>
      </c>
      <c r="O208" s="33">
        <f t="array" ref="O208">_xlfn.XLOOKUP($A208, 'Hospitalisation Details'!$A:$A, 'Hospitalisation Details'!G:G, "No Data")</f>
        <v>35733.96</v>
      </c>
      <c r="P208" s="28" t="str">
        <f t="array" ref="P208">_xlfn.XLOOKUP($A208, 'Hospitalisation Details'!$A:$A, 'Hospitalisation Details'!H:H, "No Data")</f>
        <v>tier - 2</v>
      </c>
    </row>
    <row r="209">
      <c r="A209" s="25" t="s">
        <v>681</v>
      </c>
      <c r="B209" s="28" t="str">
        <f t="array" ref="B209">_xlfn.XLOOKUP($A209, 'Customer Names'!$A:$A, 'Customer Names'!B:B, "No Data")</f>
        <v>Lopez</v>
      </c>
      <c r="C209" s="28">
        <f t="array" ref="C209">_xlfn.XLOOKUP($A209, 'Medical Examinations'!$A:$A, 'Medical Examinations'!B:B, "No Data")</f>
        <v>35.25</v>
      </c>
      <c r="D209" s="28">
        <f t="array" ref="D209">_xlfn.XLOOKUP($A209, 'Medical Examinations'!$A:$A, 'Medical Examinations'!C:C, "No Data")</f>
        <v>9.51</v>
      </c>
      <c r="E209" s="28" t="str">
        <f t="array" ref="E209">_xlfn.XLOOKUP($A209, 'Medical Examinations'!$A:$A, 'Medical Examinations'!D:D, "No Data")</f>
        <v>No</v>
      </c>
      <c r="F209" s="28" t="str">
        <f t="array" ref="F209">_xlfn.XLOOKUP($A209, 'Medical Examinations'!$A:$A, 'Medical Examinations'!E:E, "No Data")</f>
        <v>No</v>
      </c>
      <c r="G209" s="28" t="str">
        <f t="array" ref="G209">_xlfn.XLOOKUP($A209, 'Medical Examinations'!$A:$A, 'Medical Examinations'!F:F, "No Data")</f>
        <v>No</v>
      </c>
      <c r="H209" s="28">
        <f t="array" ref="H209">_xlfn.XLOOKUP($A209, 'Medical Examinations'!$A:$A, 'Medical Examinations'!G:G, "No Data")</f>
        <v>0</v>
      </c>
      <c r="I209" s="28" t="str">
        <f t="array" ref="I209">_xlfn.XLOOKUP($A209, 'Medical Examinations'!$A:$A, 'Medical Examinations'!H:H, "No Data")</f>
        <v>yes</v>
      </c>
      <c r="J209" s="28" t="str">
        <f t="array" ref="J209">_xlfn.XLOOKUP($A209, 'Medical Examinations'!$A:$A, 'Medical Examinations'!I:I, "No Data")</f>
        <v>Obesity</v>
      </c>
      <c r="K209" s="28" t="str">
        <f t="array" ref="K209">_xlfn.XLOOKUP($A209, 'Hospitalisation Details'!$A:$A, 'Hospitalisation Details'!I:I, "No Data")</f>
        <v>tier - 3</v>
      </c>
      <c r="L209" s="28" t="str">
        <f t="array" ref="L209">_xlfn.XLOOKUP($A209, 'Hospitalisation Details'!$A:$A, 'Hospitalisation Details'!J:J, "No Data")</f>
        <v>R1012</v>
      </c>
      <c r="M209" s="28" t="str">
        <f t="array" ref="M209">_xlfn.XLOOKUP($A209, 'Hospitalisation Details'!$A:$A, 'Hospitalisation Details'!E:E, "No Data")</f>
        <v>15/07/74</v>
      </c>
      <c r="N209" s="28">
        <f t="array" ref="N209">_xlfn.XLOOKUP($A209, 'Hospitalisation Details'!$A:$A, 'Hospitalisation Details'!K:K, "No Data")</f>
        <v>48</v>
      </c>
      <c r="O209" s="33">
        <f t="array" ref="O209">_xlfn.XLOOKUP($A209, 'Hospitalisation Details'!$A:$A, 'Hospitalisation Details'!G:G, "No Data")</f>
        <v>35711.39</v>
      </c>
      <c r="P209" s="28" t="str">
        <f t="array" ref="P209">_xlfn.XLOOKUP($A209, 'Hospitalisation Details'!$A:$A, 'Hospitalisation Details'!H:H, "No Data")</f>
        <v>tier - 2</v>
      </c>
    </row>
    <row r="210">
      <c r="A210" s="25" t="s">
        <v>684</v>
      </c>
      <c r="B210" s="28" t="str">
        <f t="array" ref="B210">_xlfn.XLOOKUP($A210, 'Customer Names'!$A:$A, 'Customer Names'!B:B, "No Data")</f>
        <v>Cardosi</v>
      </c>
      <c r="C210" s="28">
        <f t="array" ref="C210">_xlfn.XLOOKUP($A210, 'Medical Examinations'!$A:$A, 'Medical Examinations'!B:B, "No Data")</f>
        <v>36.85</v>
      </c>
      <c r="D210" s="28">
        <f t="array" ref="D210">_xlfn.XLOOKUP($A210, 'Medical Examinations'!$A:$A, 'Medical Examinations'!C:C, "No Data")</f>
        <v>11.12</v>
      </c>
      <c r="E210" s="28" t="str">
        <f t="array" ref="E210">_xlfn.XLOOKUP($A210, 'Medical Examinations'!$A:$A, 'Medical Examinations'!D:D, "No Data")</f>
        <v>No</v>
      </c>
      <c r="F210" s="28" t="str">
        <f t="array" ref="F210">_xlfn.XLOOKUP($A210, 'Medical Examinations'!$A:$A, 'Medical Examinations'!E:E, "No Data")</f>
        <v>No</v>
      </c>
      <c r="G210" s="28" t="str">
        <f t="array" ref="G210">_xlfn.XLOOKUP($A210, 'Medical Examinations'!$A:$A, 'Medical Examinations'!F:F, "No Data")</f>
        <v>No</v>
      </c>
      <c r="H210" s="28">
        <f t="array" ref="H210">_xlfn.XLOOKUP($A210, 'Medical Examinations'!$A:$A, 'Medical Examinations'!G:G, "No Data")</f>
        <v>0</v>
      </c>
      <c r="I210" s="28" t="str">
        <f t="array" ref="I210">_xlfn.XLOOKUP($A210, 'Medical Examinations'!$A:$A, 'Medical Examinations'!H:H, "No Data")</f>
        <v>yes</v>
      </c>
      <c r="J210" s="28" t="str">
        <f t="array" ref="J210">_xlfn.XLOOKUP($A210, 'Medical Examinations'!$A:$A, 'Medical Examinations'!I:I, "No Data")</f>
        <v>Obesity</v>
      </c>
      <c r="K210" s="28" t="str">
        <f t="array" ref="K210">_xlfn.XLOOKUP($A210, 'Hospitalisation Details'!$A:$A, 'Hospitalisation Details'!I:I, "No Data")</f>
        <v>tier - 1</v>
      </c>
      <c r="L210" s="28" t="str">
        <f t="array" ref="L210">_xlfn.XLOOKUP($A210, 'Hospitalisation Details'!$A:$A, 'Hospitalisation Details'!J:J, "No Data")</f>
        <v>R1011</v>
      </c>
      <c r="M210" s="28" t="str">
        <f t="array" ref="M210">_xlfn.XLOOKUP($A210, 'Hospitalisation Details'!$A:$A, 'Hospitalisation Details'!E:E, "No Data")</f>
        <v>19/12/78</v>
      </c>
      <c r="N210" s="28">
        <f t="array" ref="N210">_xlfn.XLOOKUP($A210, 'Hospitalisation Details'!$A:$A, 'Hospitalisation Details'!K:K, "No Data")</f>
        <v>44</v>
      </c>
      <c r="O210" s="33">
        <f t="array" ref="O210">_xlfn.XLOOKUP($A210, 'Hospitalisation Details'!$A:$A, 'Hospitalisation Details'!G:G, "No Data")</f>
        <v>35701.9</v>
      </c>
      <c r="P210" s="28" t="str">
        <f t="array" ref="P210">_xlfn.XLOOKUP($A210, 'Hospitalisation Details'!$A:$A, 'Hospitalisation Details'!H:H, "No Data")</f>
        <v>tier - 2</v>
      </c>
    </row>
    <row r="211">
      <c r="A211" s="25" t="s">
        <v>688</v>
      </c>
      <c r="B211" s="28" t="str">
        <f t="array" ref="B211">_xlfn.XLOOKUP($A211, 'Customer Names'!$A:$A, 'Customer Names'!B:B, "No Data")</f>
        <v>Looney</v>
      </c>
      <c r="C211" s="28">
        <f t="array" ref="C211">_xlfn.XLOOKUP($A211, 'Medical Examinations'!$A:$A, 'Medical Examinations'!B:B, "No Data")</f>
        <v>31.02</v>
      </c>
      <c r="D211" s="28">
        <f t="array" ref="D211">_xlfn.XLOOKUP($A211, 'Medical Examinations'!$A:$A, 'Medical Examinations'!C:C, "No Data")</f>
        <v>4.56</v>
      </c>
      <c r="E211" s="28" t="str">
        <f t="array" ref="E211">_xlfn.XLOOKUP($A211, 'Medical Examinations'!$A:$A, 'Medical Examinations'!D:D, "No Data")</f>
        <v>No</v>
      </c>
      <c r="F211" s="28" t="str">
        <f t="array" ref="F211">_xlfn.XLOOKUP($A211, 'Medical Examinations'!$A:$A, 'Medical Examinations'!E:E, "No Data")</f>
        <v>yes</v>
      </c>
      <c r="G211" s="28" t="str">
        <f t="array" ref="G211">_xlfn.XLOOKUP($A211, 'Medical Examinations'!$A:$A, 'Medical Examinations'!F:F, "No Data")</f>
        <v>No</v>
      </c>
      <c r="H211" s="28">
        <f t="array" ref="H211">_xlfn.XLOOKUP($A211, 'Medical Examinations'!$A:$A, 'Medical Examinations'!G:G, "No Data")</f>
        <v>1</v>
      </c>
      <c r="I211" s="28" t="str">
        <f t="array" ref="I211">_xlfn.XLOOKUP($A211, 'Medical Examinations'!$A:$A, 'Medical Examinations'!H:H, "No Data")</f>
        <v>yes</v>
      </c>
      <c r="J211" s="28" t="str">
        <f t="array" ref="J211">_xlfn.XLOOKUP($A211, 'Medical Examinations'!$A:$A, 'Medical Examinations'!I:I, "No Data")</f>
        <v>Obesity</v>
      </c>
      <c r="K211" s="28" t="str">
        <f t="array" ref="K211">_xlfn.XLOOKUP($A211, 'Hospitalisation Details'!$A:$A, 'Hospitalisation Details'!I:I, "No Data")</f>
        <v>tier - 3</v>
      </c>
      <c r="L211" s="28" t="str">
        <f t="array" ref="L211">_xlfn.XLOOKUP($A211, 'Hospitalisation Details'!$A:$A, 'Hospitalisation Details'!J:J, "No Data")</f>
        <v>R1013</v>
      </c>
      <c r="M211" s="28" t="str">
        <f t="array" ref="M211">_xlfn.XLOOKUP($A211, 'Hospitalisation Details'!$A:$A, 'Hospitalisation Details'!E:E, "No Data")</f>
        <v>17/12/00</v>
      </c>
      <c r="N211" s="28">
        <f t="array" ref="N211">_xlfn.XLOOKUP($A211, 'Hospitalisation Details'!$A:$A, 'Hospitalisation Details'!K:K, "No Data")</f>
        <v>22</v>
      </c>
      <c r="O211" s="33">
        <f t="array" ref="O211">_xlfn.XLOOKUP($A211, 'Hospitalisation Details'!$A:$A, 'Hospitalisation Details'!G:G, "No Data")</f>
        <v>35595.59</v>
      </c>
      <c r="P211" s="28" t="str">
        <f t="array" ref="P211">_xlfn.XLOOKUP($A211, 'Hospitalisation Details'!$A:$A, 'Hospitalisation Details'!H:H, "No Data")</f>
        <v>tier - 2</v>
      </c>
    </row>
    <row r="212">
      <c r="A212" s="25" t="s">
        <v>691</v>
      </c>
      <c r="B212" s="28" t="str">
        <f t="array" ref="B212">_xlfn.XLOOKUP($A212, 'Customer Names'!$A:$A, 'Customer Names'!B:B, "No Data")</f>
        <v>Zyryanov</v>
      </c>
      <c r="C212" s="28">
        <f t="array" ref="C212">_xlfn.XLOOKUP($A212, 'Medical Examinations'!$A:$A, 'Medical Examinations'!B:B, "No Data")</f>
        <v>35.6</v>
      </c>
      <c r="D212" s="28">
        <f t="array" ref="D212">_xlfn.XLOOKUP($A212, 'Medical Examinations'!$A:$A, 'Medical Examinations'!C:C, "No Data")</f>
        <v>4.02</v>
      </c>
      <c r="E212" s="28" t="str">
        <f t="array" ref="E212">_xlfn.XLOOKUP($A212, 'Medical Examinations'!$A:$A, 'Medical Examinations'!D:D, "No Data")</f>
        <v>yes</v>
      </c>
      <c r="F212" s="28" t="str">
        <f t="array" ref="F212">_xlfn.XLOOKUP($A212, 'Medical Examinations'!$A:$A, 'Medical Examinations'!E:E, "No Data")</f>
        <v>yes</v>
      </c>
      <c r="G212" s="28" t="str">
        <f t="array" ref="G212">_xlfn.XLOOKUP($A212, 'Medical Examinations'!$A:$A, 'Medical Examinations'!F:F, "No Data")</f>
        <v>No</v>
      </c>
      <c r="H212" s="28">
        <f t="array" ref="H212">_xlfn.XLOOKUP($A212, 'Medical Examinations'!$A:$A, 'Medical Examinations'!G:G, "No Data")</f>
        <v>2</v>
      </c>
      <c r="I212" s="28" t="str">
        <f t="array" ref="I212">_xlfn.XLOOKUP($A212, 'Medical Examinations'!$A:$A, 'Medical Examinations'!H:H, "No Data")</f>
        <v>yes</v>
      </c>
      <c r="J212" s="28" t="str">
        <f t="array" ref="J212">_xlfn.XLOOKUP($A212, 'Medical Examinations'!$A:$A, 'Medical Examinations'!I:I, "No Data")</f>
        <v>Obesity</v>
      </c>
      <c r="K212" s="28" t="str">
        <f t="array" ref="K212">_xlfn.XLOOKUP($A212, 'Hospitalisation Details'!$A:$A, 'Hospitalisation Details'!I:I, "No Data")</f>
        <v>tier - 3</v>
      </c>
      <c r="L212" s="28" t="str">
        <f t="array" ref="L212">_xlfn.XLOOKUP($A212, 'Hospitalisation Details'!$A:$A, 'Hospitalisation Details'!J:J, "No Data")</f>
        <v>R1011</v>
      </c>
      <c r="M212" s="28" t="str">
        <f t="array" ref="M212">_xlfn.XLOOKUP($A212, 'Hospitalisation Details'!$A:$A, 'Hospitalisation Details'!E:E, "No Data")</f>
        <v>19/11/00</v>
      </c>
      <c r="N212" s="28">
        <f t="array" ref="N212">_xlfn.XLOOKUP($A212, 'Hospitalisation Details'!$A:$A, 'Hospitalisation Details'!K:K, "No Data")</f>
        <v>22</v>
      </c>
      <c r="O212" s="33">
        <f t="array" ref="O212">_xlfn.XLOOKUP($A212, 'Hospitalisation Details'!$A:$A, 'Hospitalisation Details'!G:G, "No Data")</f>
        <v>35585.58</v>
      </c>
      <c r="P212" s="28" t="str">
        <f t="array" ref="P212">_xlfn.XLOOKUP($A212, 'Hospitalisation Details'!$A:$A, 'Hospitalisation Details'!H:H, "No Data")</f>
        <v>tier - 2</v>
      </c>
    </row>
    <row r="213">
      <c r="A213" s="25" t="s">
        <v>694</v>
      </c>
      <c r="B213" s="28" t="str">
        <f t="array" ref="B213">_xlfn.XLOOKUP($A213, 'Customer Names'!$A:$A, 'Customer Names'!B:B, "No Data")</f>
        <v>Gavin</v>
      </c>
      <c r="C213" s="28">
        <f t="array" ref="C213">_xlfn.XLOOKUP($A213, 'Medical Examinations'!$A:$A, 'Medical Examinations'!B:B, "No Data")</f>
        <v>34.39</v>
      </c>
      <c r="D213" s="28">
        <f t="array" ref="D213">_xlfn.XLOOKUP($A213, 'Medical Examinations'!$A:$A, 'Medical Examinations'!C:C, "No Data")</f>
        <v>8.72</v>
      </c>
      <c r="E213" s="28" t="str">
        <f t="array" ref="E213">_xlfn.XLOOKUP($A213, 'Medical Examinations'!$A:$A, 'Medical Examinations'!D:D, "No Data")</f>
        <v>No</v>
      </c>
      <c r="F213" s="28" t="str">
        <f t="array" ref="F213">_xlfn.XLOOKUP($A213, 'Medical Examinations'!$A:$A, 'Medical Examinations'!E:E, "No Data")</f>
        <v>No</v>
      </c>
      <c r="G213" s="28" t="str">
        <f t="array" ref="G213">_xlfn.XLOOKUP($A213, 'Medical Examinations'!$A:$A, 'Medical Examinations'!F:F, "No Data")</f>
        <v>No</v>
      </c>
      <c r="H213" s="28">
        <f t="array" ref="H213">_xlfn.XLOOKUP($A213, 'Medical Examinations'!$A:$A, 'Medical Examinations'!G:G, "No Data")</f>
        <v>0</v>
      </c>
      <c r="I213" s="28" t="str">
        <f t="array" ref="I213">_xlfn.XLOOKUP($A213, 'Medical Examinations'!$A:$A, 'Medical Examinations'!H:H, "No Data")</f>
        <v>yes</v>
      </c>
      <c r="J213" s="28" t="str">
        <f t="array" ref="J213">_xlfn.XLOOKUP($A213, 'Medical Examinations'!$A:$A, 'Medical Examinations'!I:I, "No Data")</f>
        <v>Obesity</v>
      </c>
      <c r="K213" s="28" t="str">
        <f t="array" ref="K213">_xlfn.XLOOKUP($A213, 'Hospitalisation Details'!$A:$A, 'Hospitalisation Details'!I:I, "No Data")</f>
        <v>tier - 3</v>
      </c>
      <c r="L213" s="28" t="str">
        <f t="array" ref="L213">_xlfn.XLOOKUP($A213, 'Hospitalisation Details'!$A:$A, 'Hospitalisation Details'!J:J, "No Data")</f>
        <v>R1011</v>
      </c>
      <c r="M213" s="28" t="str">
        <f t="array" ref="M213">_xlfn.XLOOKUP($A213, 'Hospitalisation Details'!$A:$A, 'Hospitalisation Details'!E:E, "No Data")</f>
        <v>10/08/71</v>
      </c>
      <c r="N213" s="28">
        <f t="array" ref="N213">_xlfn.XLOOKUP($A213, 'Hospitalisation Details'!$A:$A, 'Hospitalisation Details'!K:K, "No Data")</f>
        <v>51</v>
      </c>
      <c r="O213" s="33">
        <f t="array" ref="O213">_xlfn.XLOOKUP($A213, 'Hospitalisation Details'!$A:$A, 'Hospitalisation Details'!G:G, "No Data")</f>
        <v>35583.17</v>
      </c>
      <c r="P213" s="28" t="str">
        <f t="array" ref="P213">_xlfn.XLOOKUP($A213, 'Hospitalisation Details'!$A:$A, 'Hospitalisation Details'!H:H, "No Data")</f>
        <v>tier - 1</v>
      </c>
    </row>
    <row r="214">
      <c r="A214" s="25" t="s">
        <v>697</v>
      </c>
      <c r="B214" s="28" t="str">
        <f t="array" ref="B214">_xlfn.XLOOKUP($A214, 'Customer Names'!$A:$A, 'Customer Names'!B:B, "No Data")</f>
        <v>Littlefield</v>
      </c>
      <c r="C214" s="28">
        <f t="array" ref="C214">_xlfn.XLOOKUP($A214, 'Medical Examinations'!$A:$A, 'Medical Examinations'!B:B, "No Data")</f>
        <v>29.06</v>
      </c>
      <c r="D214" s="28">
        <f t="array" ref="D214">_xlfn.XLOOKUP($A214, 'Medical Examinations'!$A:$A, 'Medical Examinations'!C:C, "No Data")</f>
        <v>6.25</v>
      </c>
      <c r="E214" s="28" t="str">
        <f t="array" ref="E214">_xlfn.XLOOKUP($A214, 'Medical Examinations'!$A:$A, 'Medical Examinations'!D:D, "No Data")</f>
        <v>yes</v>
      </c>
      <c r="F214" s="28" t="str">
        <f t="array" ref="F214">_xlfn.XLOOKUP($A214, 'Medical Examinations'!$A:$A, 'Medical Examinations'!E:E, "No Data")</f>
        <v>No</v>
      </c>
      <c r="G214" s="28" t="str">
        <f t="array" ref="G214">_xlfn.XLOOKUP($A214, 'Medical Examinations'!$A:$A, 'Medical Examinations'!F:F, "No Data")</f>
        <v>No</v>
      </c>
      <c r="H214" s="28">
        <f t="array" ref="H214">_xlfn.XLOOKUP($A214, 'Medical Examinations'!$A:$A, 'Medical Examinations'!G:G, "No Data")</f>
        <v>1</v>
      </c>
      <c r="I214" s="28" t="str">
        <f t="array" ref="I214">_xlfn.XLOOKUP($A214, 'Medical Examinations'!$A:$A, 'Medical Examinations'!H:H, "No Data")</f>
        <v>yes</v>
      </c>
      <c r="J214" s="28" t="str">
        <f t="array" ref="J214">_xlfn.XLOOKUP($A214, 'Medical Examinations'!$A:$A, 'Medical Examinations'!I:I, "No Data")</f>
        <v>Overweight</v>
      </c>
      <c r="K214" s="28" t="str">
        <f t="array" ref="K214">_xlfn.XLOOKUP($A214, 'Hospitalisation Details'!$A:$A, 'Hospitalisation Details'!I:I, "No Data")</f>
        <v>tier - 1</v>
      </c>
      <c r="L214" s="28" t="str">
        <f t="array" ref="L214">_xlfn.XLOOKUP($A214, 'Hospitalisation Details'!$A:$A, 'Hospitalisation Details'!J:J, "No Data")</f>
        <v>R1011</v>
      </c>
      <c r="M214" s="28" t="str">
        <f t="array" ref="M214">_xlfn.XLOOKUP($A214, 'Hospitalisation Details'!$A:$A, 'Hospitalisation Details'!E:E, "No Data")</f>
        <v>29/08/64</v>
      </c>
      <c r="N214" s="28">
        <f t="array" ref="N214">_xlfn.XLOOKUP($A214, 'Hospitalisation Details'!$A:$A, 'Hospitalisation Details'!K:K, "No Data")</f>
        <v>58</v>
      </c>
      <c r="O214" s="33">
        <f t="array" ref="O214">_xlfn.XLOOKUP($A214, 'Hospitalisation Details'!$A:$A, 'Hospitalisation Details'!G:G, "No Data")</f>
        <v>35573.26</v>
      </c>
      <c r="P214" s="28" t="str">
        <f t="array" ref="P214">_xlfn.XLOOKUP($A214, 'Hospitalisation Details'!$A:$A, 'Hospitalisation Details'!H:H, "No Data")</f>
        <v>tier - 2</v>
      </c>
    </row>
    <row r="215">
      <c r="A215" s="25" t="s">
        <v>701</v>
      </c>
      <c r="B215" s="28" t="str">
        <f t="array" ref="B215">_xlfn.XLOOKUP($A215, 'Customer Names'!$A:$A, 'Customer Names'!B:B, "No Data")</f>
        <v>Shearer</v>
      </c>
      <c r="C215" s="28">
        <f t="array" ref="C215">_xlfn.XLOOKUP($A215, 'Medical Examinations'!$A:$A, 'Medical Examinations'!B:B, "No Data")</f>
        <v>35.8</v>
      </c>
      <c r="D215" s="28">
        <f t="array" ref="D215">_xlfn.XLOOKUP($A215, 'Medical Examinations'!$A:$A, 'Medical Examinations'!C:C, "No Data")</f>
        <v>7.32</v>
      </c>
      <c r="E215" s="28" t="str">
        <f t="array" ref="E215">_xlfn.XLOOKUP($A215, 'Medical Examinations'!$A:$A, 'Medical Examinations'!D:D, "No Data")</f>
        <v>No</v>
      </c>
      <c r="F215" s="28" t="str">
        <f t="array" ref="F215">_xlfn.XLOOKUP($A215, 'Medical Examinations'!$A:$A, 'Medical Examinations'!E:E, "No Data")</f>
        <v>No</v>
      </c>
      <c r="G215" s="28" t="str">
        <f t="array" ref="G215">_xlfn.XLOOKUP($A215, 'Medical Examinations'!$A:$A, 'Medical Examinations'!F:F, "No Data")</f>
        <v>No</v>
      </c>
      <c r="H215" s="28">
        <f t="array" ref="H215">_xlfn.XLOOKUP($A215, 'Medical Examinations'!$A:$A, 'Medical Examinations'!G:G, "No Data")</f>
        <v>2</v>
      </c>
      <c r="I215" s="28" t="str">
        <f t="array" ref="I215">_xlfn.XLOOKUP($A215, 'Medical Examinations'!$A:$A, 'Medical Examinations'!H:H, "No Data")</f>
        <v>yes</v>
      </c>
      <c r="J215" s="28" t="str">
        <f t="array" ref="J215">_xlfn.XLOOKUP($A215, 'Medical Examinations'!$A:$A, 'Medical Examinations'!I:I, "No Data")</f>
        <v>Obesity</v>
      </c>
      <c r="K215" s="28" t="str">
        <f t="array" ref="K215">_xlfn.XLOOKUP($A215, 'Hospitalisation Details'!$A:$A, 'Hospitalisation Details'!I:I, "No Data")</f>
        <v>tier - 1</v>
      </c>
      <c r="L215" s="28" t="str">
        <f t="array" ref="L215">_xlfn.XLOOKUP($A215, 'Hospitalisation Details'!$A:$A, 'Hospitalisation Details'!J:J, "No Data")</f>
        <v>R1011</v>
      </c>
      <c r="M215" s="28" t="str">
        <f t="array" ref="M215">_xlfn.XLOOKUP($A215, 'Hospitalisation Details'!$A:$A, 'Hospitalisation Details'!E:E, "No Data")</f>
        <v>27/10/73</v>
      </c>
      <c r="N215" s="28">
        <f t="array" ref="N215">_xlfn.XLOOKUP($A215, 'Hospitalisation Details'!$A:$A, 'Hospitalisation Details'!K:K, "No Data")</f>
        <v>49</v>
      </c>
      <c r="O215" s="33">
        <f t="array" ref="O215">_xlfn.XLOOKUP($A215, 'Hospitalisation Details'!$A:$A, 'Hospitalisation Details'!G:G, "No Data")</f>
        <v>35547.72</v>
      </c>
      <c r="P215" s="28" t="str">
        <f t="array" ref="P215">_xlfn.XLOOKUP($A215, 'Hospitalisation Details'!$A:$A, 'Hospitalisation Details'!H:H, "No Data")</f>
        <v>tier - 1</v>
      </c>
    </row>
    <row r="216">
      <c r="A216" s="25" t="s">
        <v>703</v>
      </c>
      <c r="B216" s="28" t="str">
        <f t="array" ref="B216">_xlfn.XLOOKUP($A216, 'Customer Names'!$A:$A, 'Customer Names'!B:B, "No Data")</f>
        <v>Armstrong</v>
      </c>
      <c r="C216" s="28">
        <f t="array" ref="C216">_xlfn.XLOOKUP($A216, 'Medical Examinations'!$A:$A, 'Medical Examinations'!B:B, "No Data")</f>
        <v>49.8</v>
      </c>
      <c r="D216" s="28">
        <f t="array" ref="D216">_xlfn.XLOOKUP($A216, 'Medical Examinations'!$A:$A, 'Medical Examinations'!C:C, "No Data")</f>
        <v>4.24</v>
      </c>
      <c r="E216" s="28" t="str">
        <f t="array" ref="E216">_xlfn.XLOOKUP($A216, 'Medical Examinations'!$A:$A, 'Medical Examinations'!D:D, "No Data")</f>
        <v>No</v>
      </c>
      <c r="F216" s="28" t="str">
        <f t="array" ref="F216">_xlfn.XLOOKUP($A216, 'Medical Examinations'!$A:$A, 'Medical Examinations'!E:E, "No Data")</f>
        <v>No</v>
      </c>
      <c r="G216" s="28" t="str">
        <f t="array" ref="G216">_xlfn.XLOOKUP($A216, 'Medical Examinations'!$A:$A, 'Medical Examinations'!F:F, "No Data")</f>
        <v>No</v>
      </c>
      <c r="H216" s="28">
        <f t="array" ref="H216">_xlfn.XLOOKUP($A216, 'Medical Examinations'!$A:$A, 'Medical Examinations'!G:G, "No Data")</f>
        <v>1</v>
      </c>
      <c r="I216" s="28" t="str">
        <f t="array" ref="I216">_xlfn.XLOOKUP($A216, 'Medical Examinations'!$A:$A, 'Medical Examinations'!H:H, "No Data")</f>
        <v>yes</v>
      </c>
      <c r="J216" s="28" t="str">
        <f t="array" ref="J216">_xlfn.XLOOKUP($A216, 'Medical Examinations'!$A:$A, 'Medical Examinations'!I:I, "No Data")</f>
        <v>Obesity</v>
      </c>
      <c r="K216" s="28" t="str">
        <f t="array" ref="K216">_xlfn.XLOOKUP($A216, 'Hospitalisation Details'!$A:$A, 'Hospitalisation Details'!I:I, "No Data")</f>
        <v>tier - 3</v>
      </c>
      <c r="L216" s="28" t="str">
        <f t="array" ref="L216">_xlfn.XLOOKUP($A216, 'Hospitalisation Details'!$A:$A, 'Hospitalisation Details'!J:J, "No Data")</f>
        <v>R1011</v>
      </c>
      <c r="M216" s="28" t="str">
        <f t="array" ref="M216">_xlfn.XLOOKUP($A216, 'Hospitalisation Details'!$A:$A, 'Hospitalisation Details'!E:E, "No Data")</f>
        <v>13/09/92</v>
      </c>
      <c r="N216" s="28">
        <f t="array" ref="N216">_xlfn.XLOOKUP($A216, 'Hospitalisation Details'!$A:$A, 'Hospitalisation Details'!K:K, "No Data")</f>
        <v>30</v>
      </c>
      <c r="O216" s="33">
        <f t="array" ref="O216">_xlfn.XLOOKUP($A216, 'Hospitalisation Details'!$A:$A, 'Hospitalisation Details'!G:G, "No Data")</f>
        <v>35547.47</v>
      </c>
      <c r="P216" s="28" t="str">
        <f t="array" ref="P216">_xlfn.XLOOKUP($A216, 'Hospitalisation Details'!$A:$A, 'Hospitalisation Details'!H:H, "No Data")</f>
        <v>tier - 2</v>
      </c>
    </row>
    <row r="217">
      <c r="A217" s="25" t="s">
        <v>705</v>
      </c>
      <c r="B217" s="28" t="str">
        <f t="array" ref="B217">_xlfn.XLOOKUP($A217, 'Customer Names'!$A:$A, 'Customer Names'!B:B, "No Data")</f>
        <v>Warriner</v>
      </c>
      <c r="C217" s="28">
        <f t="array" ref="C217">_xlfn.XLOOKUP($A217, 'Medical Examinations'!$A:$A, 'Medical Examinations'!B:B, "No Data")</f>
        <v>35.71</v>
      </c>
      <c r="D217" s="28">
        <f t="array" ref="D217">_xlfn.XLOOKUP($A217, 'Medical Examinations'!$A:$A, 'Medical Examinations'!C:C, "No Data")</f>
        <v>6.84</v>
      </c>
      <c r="E217" s="28" t="str">
        <f t="array" ref="E217">_xlfn.XLOOKUP($A217, 'Medical Examinations'!$A:$A, 'Medical Examinations'!D:D, "No Data")</f>
        <v>No</v>
      </c>
      <c r="F217" s="28" t="str">
        <f t="array" ref="F217">_xlfn.XLOOKUP($A217, 'Medical Examinations'!$A:$A, 'Medical Examinations'!E:E, "No Data")</f>
        <v>No</v>
      </c>
      <c r="G217" s="28" t="str">
        <f t="array" ref="G217">_xlfn.XLOOKUP($A217, 'Medical Examinations'!$A:$A, 'Medical Examinations'!F:F, "No Data")</f>
        <v>No</v>
      </c>
      <c r="H217" s="28">
        <f t="array" ref="H217">_xlfn.XLOOKUP($A217, 'Medical Examinations'!$A:$A, 'Medical Examinations'!G:G, "No Data")</f>
        <v>2</v>
      </c>
      <c r="I217" s="28" t="str">
        <f t="array" ref="I217">_xlfn.XLOOKUP($A217, 'Medical Examinations'!$A:$A, 'Medical Examinations'!H:H, "No Data")</f>
        <v>yes</v>
      </c>
      <c r="J217" s="28" t="str">
        <f t="array" ref="J217">_xlfn.XLOOKUP($A217, 'Medical Examinations'!$A:$A, 'Medical Examinations'!I:I, "No Data")</f>
        <v>Obesity</v>
      </c>
      <c r="K217" s="28" t="str">
        <f t="array" ref="K217">_xlfn.XLOOKUP($A217, 'Hospitalisation Details'!$A:$A, 'Hospitalisation Details'!I:I, "No Data")</f>
        <v>tier - 2</v>
      </c>
      <c r="L217" s="28" t="str">
        <f t="array" ref="L217">_xlfn.XLOOKUP($A217, 'Hospitalisation Details'!$A:$A, 'Hospitalisation Details'!J:J, "No Data")</f>
        <v>R1011</v>
      </c>
      <c r="M217" s="28" t="str">
        <f t="array" ref="M217">_xlfn.XLOOKUP($A217, 'Hospitalisation Details'!$A:$A, 'Hospitalisation Details'!E:E, "No Data")</f>
        <v>16/12/73</v>
      </c>
      <c r="N217" s="28">
        <f t="array" ref="N217">_xlfn.XLOOKUP($A217, 'Hospitalisation Details'!$A:$A, 'Hospitalisation Details'!K:K, "No Data")</f>
        <v>49</v>
      </c>
      <c r="O217" s="33">
        <f t="array" ref="O217">_xlfn.XLOOKUP($A217, 'Hospitalisation Details'!$A:$A, 'Hospitalisation Details'!G:G, "No Data")</f>
        <v>35517.19</v>
      </c>
      <c r="P217" s="28" t="str">
        <f t="array" ref="P217">_xlfn.XLOOKUP($A217, 'Hospitalisation Details'!$A:$A, 'Hospitalisation Details'!H:H, "No Data")</f>
        <v>tier - 2</v>
      </c>
    </row>
    <row r="218">
      <c r="A218" s="25" t="s">
        <v>709</v>
      </c>
      <c r="B218" s="28" t="str">
        <f t="array" ref="B218">_xlfn.XLOOKUP($A218, 'Customer Names'!$A:$A, 'Customer Names'!B:B, "No Data")</f>
        <v>White</v>
      </c>
      <c r="C218" s="28">
        <f t="array" ref="C218">_xlfn.XLOOKUP($A218, 'Medical Examinations'!$A:$A, 'Medical Examinations'!B:B, "No Data")</f>
        <v>30.8</v>
      </c>
      <c r="D218" s="28">
        <f t="array" ref="D218">_xlfn.XLOOKUP($A218, 'Medical Examinations'!$A:$A, 'Medical Examinations'!C:C, "No Data")</f>
        <v>5.23</v>
      </c>
      <c r="E218" s="28" t="str">
        <f t="array" ref="E218">_xlfn.XLOOKUP($A218, 'Medical Examinations'!$A:$A, 'Medical Examinations'!D:D, "No Data")</f>
        <v>yes</v>
      </c>
      <c r="F218" s="28" t="str">
        <f t="array" ref="F218">_xlfn.XLOOKUP($A218, 'Medical Examinations'!$A:$A, 'Medical Examinations'!E:E, "No Data")</f>
        <v>No</v>
      </c>
      <c r="G218" s="28" t="str">
        <f t="array" ref="G218">_xlfn.XLOOKUP($A218, 'Medical Examinations'!$A:$A, 'Medical Examinations'!F:F, "No Data")</f>
        <v>No</v>
      </c>
      <c r="H218" s="28">
        <f t="array" ref="H218">_xlfn.XLOOKUP($A218, 'Medical Examinations'!$A:$A, 'Medical Examinations'!G:G, "No Data")</f>
        <v>1</v>
      </c>
      <c r="I218" s="28" t="str">
        <f t="array" ref="I218">_xlfn.XLOOKUP($A218, 'Medical Examinations'!$A:$A, 'Medical Examinations'!H:H, "No Data")</f>
        <v>yes</v>
      </c>
      <c r="J218" s="28" t="str">
        <f t="array" ref="J218">_xlfn.XLOOKUP($A218, 'Medical Examinations'!$A:$A, 'Medical Examinations'!I:I, "No Data")</f>
        <v>Obesity</v>
      </c>
      <c r="K218" s="28" t="str">
        <f t="array" ref="K218">_xlfn.XLOOKUP($A218, 'Hospitalisation Details'!$A:$A, 'Hospitalisation Details'!I:I, "No Data")</f>
        <v>tier - 2</v>
      </c>
      <c r="L218" s="28" t="str">
        <f t="array" ref="L218">_xlfn.XLOOKUP($A218, 'Hospitalisation Details'!$A:$A, 'Hospitalisation Details'!J:J, "No Data")</f>
        <v>R1011</v>
      </c>
      <c r="M218" s="28" t="str">
        <f t="array" ref="M218">_xlfn.XLOOKUP($A218, 'Hospitalisation Details'!$A:$A, 'Hospitalisation Details'!E:E, "No Data")</f>
        <v>20/11/88</v>
      </c>
      <c r="N218" s="28">
        <f t="array" ref="N218">_xlfn.XLOOKUP($A218, 'Hospitalisation Details'!$A:$A, 'Hospitalisation Details'!K:K, "No Data")</f>
        <v>34</v>
      </c>
      <c r="O218" s="33">
        <f t="array" ref="O218">_xlfn.XLOOKUP($A218, 'Hospitalisation Details'!$A:$A, 'Hospitalisation Details'!G:G, "No Data")</f>
        <v>35491.64</v>
      </c>
      <c r="P218" s="28" t="str">
        <f t="array" ref="P218">_xlfn.XLOOKUP($A218, 'Hospitalisation Details'!$A:$A, 'Hospitalisation Details'!H:H, "No Data")</f>
        <v>tier - 1</v>
      </c>
    </row>
    <row r="219">
      <c r="A219" s="25" t="s">
        <v>711</v>
      </c>
      <c r="B219" s="28" t="str">
        <f t="array" ref="B219">_xlfn.XLOOKUP($A219, 'Customer Names'!$A:$A, 'Customer Names'!B:B, "No Data")</f>
        <v>Cordaro</v>
      </c>
      <c r="C219" s="28">
        <f t="array" ref="C219">_xlfn.XLOOKUP($A219, 'Medical Examinations'!$A:$A, 'Medical Examinations'!B:B, "No Data")</f>
        <v>33.69</v>
      </c>
      <c r="D219" s="28">
        <f t="array" ref="D219">_xlfn.XLOOKUP($A219, 'Medical Examinations'!$A:$A, 'Medical Examinations'!C:C, "No Data")</f>
        <v>9.68</v>
      </c>
      <c r="E219" s="28" t="str">
        <f t="array" ref="E219">_xlfn.XLOOKUP($A219, 'Medical Examinations'!$A:$A, 'Medical Examinations'!D:D, "No Data")</f>
        <v>No</v>
      </c>
      <c r="F219" s="28" t="str">
        <f t="array" ref="F219">_xlfn.XLOOKUP($A219, 'Medical Examinations'!$A:$A, 'Medical Examinations'!E:E, "No Data")</f>
        <v>No</v>
      </c>
      <c r="G219" s="28" t="str">
        <f t="array" ref="G219">_xlfn.XLOOKUP($A219, 'Medical Examinations'!$A:$A, 'Medical Examinations'!F:F, "No Data")</f>
        <v>No</v>
      </c>
      <c r="H219" s="28">
        <f t="array" ref="H219">_xlfn.XLOOKUP($A219, 'Medical Examinations'!$A:$A, 'Medical Examinations'!G:G, "No Data")</f>
        <v>0</v>
      </c>
      <c r="I219" s="28" t="str">
        <f t="array" ref="I219">_xlfn.XLOOKUP($A219, 'Medical Examinations'!$A:$A, 'Medical Examinations'!H:H, "No Data")</f>
        <v>yes</v>
      </c>
      <c r="J219" s="28" t="str">
        <f t="array" ref="J219">_xlfn.XLOOKUP($A219, 'Medical Examinations'!$A:$A, 'Medical Examinations'!I:I, "No Data")</f>
        <v>Obesity</v>
      </c>
      <c r="K219" s="28" t="str">
        <f t="array" ref="K219">_xlfn.XLOOKUP($A219, 'Hospitalisation Details'!$A:$A, 'Hospitalisation Details'!I:I, "No Data")</f>
        <v>tier - 3</v>
      </c>
      <c r="L219" s="28" t="str">
        <f t="array" ref="L219">_xlfn.XLOOKUP($A219, 'Hospitalisation Details'!$A:$A, 'Hospitalisation Details'!J:J, "No Data")</f>
        <v>R1011</v>
      </c>
      <c r="M219" s="28" t="str">
        <f t="array" ref="M219">_xlfn.XLOOKUP($A219, 'Hospitalisation Details'!$A:$A, 'Hospitalisation Details'!E:E, "No Data")</f>
        <v>22/09/71</v>
      </c>
      <c r="N219" s="28">
        <f t="array" ref="N219">_xlfn.XLOOKUP($A219, 'Hospitalisation Details'!$A:$A, 'Hospitalisation Details'!K:K, "No Data")</f>
        <v>51</v>
      </c>
      <c r="O219" s="33">
        <f t="array" ref="O219">_xlfn.XLOOKUP($A219, 'Hospitalisation Details'!$A:$A, 'Hospitalisation Details'!G:G, "No Data")</f>
        <v>35345.73</v>
      </c>
      <c r="P219" s="28" t="str">
        <f t="array" ref="P219">_xlfn.XLOOKUP($A219, 'Hospitalisation Details'!$A:$A, 'Hospitalisation Details'!H:H, "No Data")</f>
        <v>tier - 2</v>
      </c>
    </row>
    <row r="220">
      <c r="A220" s="25" t="s">
        <v>713</v>
      </c>
      <c r="B220" s="28" t="str">
        <f t="array" ref="B220">_xlfn.XLOOKUP($A220, 'Customer Names'!$A:$A, 'Customer Names'!B:B, "No Data")</f>
        <v>Hamilton</v>
      </c>
      <c r="C220" s="28">
        <f t="array" ref="C220">_xlfn.XLOOKUP($A220, 'Medical Examinations'!$A:$A, 'Medical Examinations'!B:B, "No Data")</f>
        <v>42.27</v>
      </c>
      <c r="D220" s="28">
        <f t="array" ref="D220">_xlfn.XLOOKUP($A220, 'Medical Examinations'!$A:$A, 'Medical Examinations'!C:C, "No Data")</f>
        <v>6.05</v>
      </c>
      <c r="E220" s="28" t="str">
        <f t="array" ref="E220">_xlfn.XLOOKUP($A220, 'Medical Examinations'!$A:$A, 'Medical Examinations'!D:D, "No Data")</f>
        <v>yes</v>
      </c>
      <c r="F220" s="28" t="str">
        <f t="array" ref="F220">_xlfn.XLOOKUP($A220, 'Medical Examinations'!$A:$A, 'Medical Examinations'!E:E, "No Data")</f>
        <v>No</v>
      </c>
      <c r="G220" s="28" t="str">
        <f t="array" ref="G220">_xlfn.XLOOKUP($A220, 'Medical Examinations'!$A:$A, 'Medical Examinations'!F:F, "No Data")</f>
        <v>No</v>
      </c>
      <c r="H220" s="28">
        <f t="array" ref="H220">_xlfn.XLOOKUP($A220, 'Medical Examinations'!$A:$A, 'Medical Examinations'!G:G, "No Data")</f>
        <v>1</v>
      </c>
      <c r="I220" s="28" t="str">
        <f t="array" ref="I220">_xlfn.XLOOKUP($A220, 'Medical Examinations'!$A:$A, 'Medical Examinations'!H:H, "No Data")</f>
        <v>yes</v>
      </c>
      <c r="J220" s="28" t="str">
        <f t="array" ref="J220">_xlfn.XLOOKUP($A220, 'Medical Examinations'!$A:$A, 'Medical Examinations'!I:I, "No Data")</f>
        <v>Obesity</v>
      </c>
      <c r="K220" s="28" t="str">
        <f t="array" ref="K220">_xlfn.XLOOKUP($A220, 'Hospitalisation Details'!$A:$A, 'Hospitalisation Details'!I:I, "No Data")</f>
        <v>tier - 1</v>
      </c>
      <c r="L220" s="28" t="str">
        <f t="array" ref="L220">_xlfn.XLOOKUP($A220, 'Hospitalisation Details'!$A:$A, 'Hospitalisation Details'!J:J, "No Data")</f>
        <v>R1011</v>
      </c>
      <c r="M220" s="28" t="str">
        <f t="array" ref="M220">_xlfn.XLOOKUP($A220, 'Hospitalisation Details'!$A:$A, 'Hospitalisation Details'!E:E, "No Data")</f>
        <v>19/09/88</v>
      </c>
      <c r="N220" s="28">
        <f t="array" ref="N220">_xlfn.XLOOKUP($A220, 'Hospitalisation Details'!$A:$A, 'Hospitalisation Details'!K:K, "No Data")</f>
        <v>34</v>
      </c>
      <c r="O220" s="33">
        <f t="array" ref="O220">_xlfn.XLOOKUP($A220, 'Hospitalisation Details'!$A:$A, 'Hospitalisation Details'!G:G, "No Data")</f>
        <v>35315.96</v>
      </c>
      <c r="P220" s="28" t="str">
        <f t="array" ref="P220">_xlfn.XLOOKUP($A220, 'Hospitalisation Details'!$A:$A, 'Hospitalisation Details'!H:H, "No Data")</f>
        <v>tier - 2</v>
      </c>
    </row>
    <row r="221">
      <c r="A221" s="25" t="s">
        <v>717</v>
      </c>
      <c r="B221" s="28" t="str">
        <f t="array" ref="B221">_xlfn.XLOOKUP($A221, 'Customer Names'!$A:$A, 'Customer Names'!B:B, "No Data")</f>
        <v>Meyer</v>
      </c>
      <c r="C221" s="28">
        <f t="array" ref="C221">_xlfn.XLOOKUP($A221, 'Medical Examinations'!$A:$A, 'Medical Examinations'!B:B, "No Data")</f>
        <v>53.25</v>
      </c>
      <c r="D221" s="28">
        <f t="array" ref="D221">_xlfn.XLOOKUP($A221, 'Medical Examinations'!$A:$A, 'Medical Examinations'!C:C, "No Data")</f>
        <v>6.11</v>
      </c>
      <c r="E221" s="28" t="str">
        <f t="array" ref="E221">_xlfn.XLOOKUP($A221, 'Medical Examinations'!$A:$A, 'Medical Examinations'!D:D, "No Data")</f>
        <v>yes</v>
      </c>
      <c r="F221" s="28" t="str">
        <f t="array" ref="F221">_xlfn.XLOOKUP($A221, 'Medical Examinations'!$A:$A, 'Medical Examinations'!E:E, "No Data")</f>
        <v>No</v>
      </c>
      <c r="G221" s="28" t="str">
        <f t="array" ref="G221">_xlfn.XLOOKUP($A221, 'Medical Examinations'!$A:$A, 'Medical Examinations'!F:F, "No Data")</f>
        <v>Yes</v>
      </c>
      <c r="H221" s="28">
        <f t="array" ref="H221">_xlfn.XLOOKUP($A221, 'Medical Examinations'!$A:$A, 'Medical Examinations'!G:G, "No Data")</f>
        <v>1</v>
      </c>
      <c r="I221" s="28" t="str">
        <f t="array" ref="I221">_xlfn.XLOOKUP($A221, 'Medical Examinations'!$A:$A, 'Medical Examinations'!H:H, "No Data")</f>
        <v>yes</v>
      </c>
      <c r="J221" s="28" t="str">
        <f t="array" ref="J221">_xlfn.XLOOKUP($A221, 'Medical Examinations'!$A:$A, 'Medical Examinations'!I:I, "No Data")</f>
        <v>Obesity</v>
      </c>
      <c r="K221" s="28" t="str">
        <f t="array" ref="K221">_xlfn.XLOOKUP($A221, 'Hospitalisation Details'!$A:$A, 'Hospitalisation Details'!I:I, "No Data")</f>
        <v>tier - 2</v>
      </c>
      <c r="L221" s="28" t="str">
        <f t="array" ref="L221">_xlfn.XLOOKUP($A221, 'Hospitalisation Details'!$A:$A, 'Hospitalisation Details'!J:J, "No Data")</f>
        <v>R1011</v>
      </c>
      <c r="M221" s="28" t="str">
        <f t="array" ref="M221">_xlfn.XLOOKUP($A221, 'Hospitalisation Details'!$A:$A, 'Hospitalisation Details'!E:E, "No Data")</f>
        <v>09/07/97</v>
      </c>
      <c r="N221" s="28">
        <f t="array" ref="N221">_xlfn.XLOOKUP($A221, 'Hospitalisation Details'!$A:$A, 'Hospitalisation Details'!K:K, "No Data")</f>
        <v>25</v>
      </c>
      <c r="O221" s="33">
        <f t="array" ref="O221">_xlfn.XLOOKUP($A221, 'Hospitalisation Details'!$A:$A, 'Hospitalisation Details'!G:G, "No Data")</f>
        <v>35302.09</v>
      </c>
      <c r="P221" s="28" t="str">
        <f t="array" ref="P221">_xlfn.XLOOKUP($A221, 'Hospitalisation Details'!$A:$A, 'Hospitalisation Details'!H:H, "No Data")</f>
        <v>tier - 1</v>
      </c>
    </row>
    <row r="222">
      <c r="A222" s="25" t="s">
        <v>719</v>
      </c>
      <c r="B222" s="28" t="str">
        <f t="array" ref="B222">_xlfn.XLOOKUP($A222, 'Customer Names'!$A:$A, 'Customer Names'!B:B, "No Data")</f>
        <v>Duke</v>
      </c>
      <c r="C222" s="28">
        <f t="array" ref="C222">_xlfn.XLOOKUP($A222, 'Medical Examinations'!$A:$A, 'Medical Examinations'!B:B, "No Data")</f>
        <v>26.8</v>
      </c>
      <c r="D222" s="28">
        <f t="array" ref="D222">_xlfn.XLOOKUP($A222, 'Medical Examinations'!$A:$A, 'Medical Examinations'!C:C, "No Data")</f>
        <v>10.93</v>
      </c>
      <c r="E222" s="28" t="str">
        <f t="array" ref="E222">_xlfn.XLOOKUP($A222, 'Medical Examinations'!$A:$A, 'Medical Examinations'!D:D, "No Data")</f>
        <v>yes</v>
      </c>
      <c r="F222" s="28" t="str">
        <f t="array" ref="F222">_xlfn.XLOOKUP($A222, 'Medical Examinations'!$A:$A, 'Medical Examinations'!E:E, "No Data")</f>
        <v>No</v>
      </c>
      <c r="G222" s="28" t="str">
        <f t="array" ref="G222">_xlfn.XLOOKUP($A222, 'Medical Examinations'!$A:$A, 'Medical Examinations'!F:F, "No Data")</f>
        <v>No</v>
      </c>
      <c r="H222" s="28">
        <f t="array" ref="H222">_xlfn.XLOOKUP($A222, 'Medical Examinations'!$A:$A, 'Medical Examinations'!G:G, "No Data")</f>
        <v>0</v>
      </c>
      <c r="I222" s="28" t="str">
        <f t="array" ref="I222">_xlfn.XLOOKUP($A222, 'Medical Examinations'!$A:$A, 'Medical Examinations'!H:H, "No Data")</f>
        <v>No</v>
      </c>
      <c r="J222" s="28" t="str">
        <f t="array" ref="J222">_xlfn.XLOOKUP($A222, 'Medical Examinations'!$A:$A, 'Medical Examinations'!I:I, "No Data")</f>
        <v>Overweight</v>
      </c>
      <c r="K222" s="28" t="str">
        <f t="array" ref="K222">_xlfn.XLOOKUP($A222, 'Hospitalisation Details'!$A:$A, 'Hospitalisation Details'!I:I, "No Data")</f>
        <v>tier - 2</v>
      </c>
      <c r="L222" s="28" t="str">
        <f t="array" ref="L222">_xlfn.XLOOKUP($A222, 'Hospitalisation Details'!$A:$A, 'Hospitalisation Details'!J:J, "No Data")</f>
        <v>R1011</v>
      </c>
      <c r="M222" s="28" t="str">
        <f t="array" ref="M222">_xlfn.XLOOKUP($A222, 'Hospitalisation Details'!$A:$A, 'Hospitalisation Details'!E:E, "No Data")</f>
        <v>30/12/67</v>
      </c>
      <c r="N222" s="28">
        <f t="array" ref="N222">_xlfn.XLOOKUP($A222, 'Hospitalisation Details'!$A:$A, 'Hospitalisation Details'!K:K, "No Data")</f>
        <v>55</v>
      </c>
      <c r="O222" s="33">
        <f t="array" ref="O222">_xlfn.XLOOKUP($A222, 'Hospitalisation Details'!$A:$A, 'Hospitalisation Details'!G:G, "No Data")</f>
        <v>35160.13</v>
      </c>
      <c r="P222" s="28" t="str">
        <f t="array" ref="P222">_xlfn.XLOOKUP($A222, 'Hospitalisation Details'!$A:$A, 'Hospitalisation Details'!H:H, "No Data")</f>
        <v>tier - 2</v>
      </c>
    </row>
    <row r="223">
      <c r="A223" s="25" t="s">
        <v>722</v>
      </c>
      <c r="B223" s="28" t="str">
        <f t="array" ref="B223">_xlfn.XLOOKUP($A223, 'Customer Names'!$A:$A, 'Customer Names'!B:B, "No Data")</f>
        <v>Malatesta</v>
      </c>
      <c r="C223" s="28">
        <f t="array" ref="C223">_xlfn.XLOOKUP($A223, 'Medical Examinations'!$A:$A, 'Medical Examinations'!B:B, "No Data")</f>
        <v>28.5</v>
      </c>
      <c r="D223" s="28">
        <f t="array" ref="D223">_xlfn.XLOOKUP($A223, 'Medical Examinations'!$A:$A, 'Medical Examinations'!C:C, "No Data")</f>
        <v>5.12</v>
      </c>
      <c r="E223" s="28" t="str">
        <f t="array" ref="E223">_xlfn.XLOOKUP($A223, 'Medical Examinations'!$A:$A, 'Medical Examinations'!D:D, "No Data")</f>
        <v>No</v>
      </c>
      <c r="F223" s="28" t="str">
        <f t="array" ref="F223">_xlfn.XLOOKUP($A223, 'Medical Examinations'!$A:$A, 'Medical Examinations'!E:E, "No Data")</f>
        <v>No</v>
      </c>
      <c r="G223" s="28" t="str">
        <f t="array" ref="G223">_xlfn.XLOOKUP($A223, 'Medical Examinations'!$A:$A, 'Medical Examinations'!F:F, "No Data")</f>
        <v>No</v>
      </c>
      <c r="H223" s="28">
        <f t="array" ref="H223">_xlfn.XLOOKUP($A223, 'Medical Examinations'!$A:$A, 'Medical Examinations'!G:G, "No Data")</f>
        <v>1</v>
      </c>
      <c r="I223" s="28" t="str">
        <f t="array" ref="I223">_xlfn.XLOOKUP($A223, 'Medical Examinations'!$A:$A, 'Medical Examinations'!H:H, "No Data")</f>
        <v>yes</v>
      </c>
      <c r="J223" s="28" t="str">
        <f t="array" ref="J223">_xlfn.XLOOKUP($A223, 'Medical Examinations'!$A:$A, 'Medical Examinations'!I:I, "No Data")</f>
        <v>Overweight</v>
      </c>
      <c r="K223" s="28" t="str">
        <f t="array" ref="K223">_xlfn.XLOOKUP($A223, 'Hospitalisation Details'!$A:$A, 'Hospitalisation Details'!I:I, "No Data")</f>
        <v>tier - 1</v>
      </c>
      <c r="L223" s="28" t="str">
        <f t="array" ref="L223">_xlfn.XLOOKUP($A223, 'Hospitalisation Details'!$A:$A, 'Hospitalisation Details'!J:J, "No Data")</f>
        <v>R1016</v>
      </c>
      <c r="M223" s="28" t="str">
        <f t="array" ref="M223">_xlfn.XLOOKUP($A223, 'Hospitalisation Details'!$A:$A, 'Hospitalisation Details'!E:E, "No Data")</f>
        <v>22/12/98</v>
      </c>
      <c r="N223" s="28">
        <f t="array" ref="N223">_xlfn.XLOOKUP($A223, 'Hospitalisation Details'!$A:$A, 'Hospitalisation Details'!K:K, "No Data")</f>
        <v>24</v>
      </c>
      <c r="O223" s="33">
        <f t="array" ref="O223">_xlfn.XLOOKUP($A223, 'Hospitalisation Details'!$A:$A, 'Hospitalisation Details'!G:G, "No Data")</f>
        <v>35147.53</v>
      </c>
      <c r="P223" s="28" t="str">
        <f t="array" ref="P223">_xlfn.XLOOKUP($A223, 'Hospitalisation Details'!$A:$A, 'Hospitalisation Details'!H:H, "No Data")</f>
        <v>tier - 1</v>
      </c>
    </row>
    <row r="224">
      <c r="A224" s="25" t="s">
        <v>726</v>
      </c>
      <c r="B224" s="28" t="str">
        <f t="array" ref="B224">_xlfn.XLOOKUP($A224, 'Customer Names'!$A:$A, 'Customer Names'!B:B, "No Data")</f>
        <v>Hinrichsen</v>
      </c>
      <c r="C224" s="28">
        <f t="array" ref="C224">_xlfn.XLOOKUP($A224, 'Medical Examinations'!$A:$A, 'Medical Examinations'!B:B, "No Data")</f>
        <v>22.895</v>
      </c>
      <c r="D224" s="28">
        <f t="array" ref="D224">_xlfn.XLOOKUP($A224, 'Medical Examinations'!$A:$A, 'Medical Examinations'!C:C, "No Data")</f>
        <v>5.72</v>
      </c>
      <c r="E224" s="28" t="str">
        <f t="array" ref="E224">_xlfn.XLOOKUP($A224, 'Medical Examinations'!$A:$A, 'Medical Examinations'!D:D, "No Data")</f>
        <v>No</v>
      </c>
      <c r="F224" s="28" t="str">
        <f t="array" ref="F224">_xlfn.XLOOKUP($A224, 'Medical Examinations'!$A:$A, 'Medical Examinations'!E:E, "No Data")</f>
        <v>No</v>
      </c>
      <c r="G224" s="28" t="str">
        <f t="array" ref="G224">_xlfn.XLOOKUP($A224, 'Medical Examinations'!$A:$A, 'Medical Examinations'!F:F, "No Data")</f>
        <v>No</v>
      </c>
      <c r="H224" s="28">
        <f t="array" ref="H224">_xlfn.XLOOKUP($A224, 'Medical Examinations'!$A:$A, 'Medical Examinations'!G:G, "No Data")</f>
        <v>0</v>
      </c>
      <c r="I224" s="28" t="str">
        <f t="array" ref="I224">_xlfn.XLOOKUP($A224, 'Medical Examinations'!$A:$A, 'Medical Examinations'!H:H, "No Data")</f>
        <v>yes</v>
      </c>
      <c r="J224" s="28" t="str">
        <f t="array" ref="J224">_xlfn.XLOOKUP($A224, 'Medical Examinations'!$A:$A, 'Medical Examinations'!I:I, "No Data")</f>
        <v>Normal Weight</v>
      </c>
      <c r="K224" s="28" t="str">
        <f t="array" ref="K224">_xlfn.XLOOKUP($A224, 'Hospitalisation Details'!$A:$A, 'Hospitalisation Details'!I:I, "No Data")</f>
        <v>tier - 1</v>
      </c>
      <c r="L224" s="28" t="str">
        <f t="array" ref="L224">_xlfn.XLOOKUP($A224, 'Hospitalisation Details'!$A:$A, 'Hospitalisation Details'!J:J, "No Data")</f>
        <v>R1017</v>
      </c>
      <c r="M224" s="28" t="str">
        <f t="array" ref="M224">_xlfn.XLOOKUP($A224, 'Hospitalisation Details'!$A:$A, 'Hospitalisation Details'!E:E, "No Data")</f>
        <v>29/06/77</v>
      </c>
      <c r="N224" s="28">
        <f t="array" ref="N224">_xlfn.XLOOKUP($A224, 'Hospitalisation Details'!$A:$A, 'Hospitalisation Details'!K:K, "No Data")</f>
        <v>45</v>
      </c>
      <c r="O224" s="33">
        <f t="array" ref="O224">_xlfn.XLOOKUP($A224, 'Hospitalisation Details'!$A:$A, 'Hospitalisation Details'!G:G, "No Data")</f>
        <v>35069.37</v>
      </c>
      <c r="P224" s="28" t="str">
        <f t="array" ref="P224">_xlfn.XLOOKUP($A224, 'Hospitalisation Details'!$A:$A, 'Hospitalisation Details'!H:H, "No Data")</f>
        <v>tier - 1</v>
      </c>
    </row>
    <row r="225">
      <c r="A225" s="25" t="s">
        <v>730</v>
      </c>
      <c r="B225" s="28" t="str">
        <f t="array" ref="B225">_xlfn.XLOOKUP($A225, 'Customer Names'!$A:$A, 'Customer Names'!B:B, "No Data")</f>
        <v>Lucan</v>
      </c>
      <c r="C225" s="28">
        <f t="array" ref="C225">_xlfn.XLOOKUP($A225, 'Medical Examinations'!$A:$A, 'Medical Examinations'!B:B, "No Data")</f>
        <v>34.06</v>
      </c>
      <c r="D225" s="28">
        <f t="array" ref="D225">_xlfn.XLOOKUP($A225, 'Medical Examinations'!$A:$A, 'Medical Examinations'!C:C, "No Data")</f>
        <v>11.83</v>
      </c>
      <c r="E225" s="28" t="str">
        <f t="array" ref="E225">_xlfn.XLOOKUP($A225, 'Medical Examinations'!$A:$A, 'Medical Examinations'!D:D, "No Data")</f>
        <v>yes</v>
      </c>
      <c r="F225" s="28" t="str">
        <f t="array" ref="F225">_xlfn.XLOOKUP($A225, 'Medical Examinations'!$A:$A, 'Medical Examinations'!E:E, "No Data")</f>
        <v>No</v>
      </c>
      <c r="G225" s="28" t="str">
        <f t="array" ref="G225">_xlfn.XLOOKUP($A225, 'Medical Examinations'!$A:$A, 'Medical Examinations'!F:F, "No Data")</f>
        <v>No</v>
      </c>
      <c r="H225" s="28">
        <f t="array" ref="H225">_xlfn.XLOOKUP($A225, 'Medical Examinations'!$A:$A, 'Medical Examinations'!G:G, "No Data")</f>
        <v>1</v>
      </c>
      <c r="I225" s="28" t="str">
        <f t="array" ref="I225">_xlfn.XLOOKUP($A225, 'Medical Examinations'!$A:$A, 'Medical Examinations'!H:H, "No Data")</f>
        <v>yes</v>
      </c>
      <c r="J225" s="28" t="str">
        <f t="array" ref="J225">_xlfn.XLOOKUP($A225, 'Medical Examinations'!$A:$A, 'Medical Examinations'!I:I, "No Data")</f>
        <v>Obesity</v>
      </c>
      <c r="K225" s="28" t="str">
        <f t="array" ref="K225">_xlfn.XLOOKUP($A225, 'Hospitalisation Details'!$A:$A, 'Hospitalisation Details'!I:I, "No Data")</f>
        <v>tier - 1</v>
      </c>
      <c r="L225" s="28" t="str">
        <f t="array" ref="L225">_xlfn.XLOOKUP($A225, 'Hospitalisation Details'!$A:$A, 'Hospitalisation Details'!J:J, "No Data")</f>
        <v>R1011</v>
      </c>
      <c r="M225" s="28" t="str">
        <f t="array" ref="M225">_xlfn.XLOOKUP($A225, 'Hospitalisation Details'!$A:$A, 'Hospitalisation Details'!E:E, "No Data")</f>
        <v>29/08/75</v>
      </c>
      <c r="N225" s="28">
        <f t="array" ref="N225">_xlfn.XLOOKUP($A225, 'Hospitalisation Details'!$A:$A, 'Hospitalisation Details'!K:K, "No Data")</f>
        <v>47</v>
      </c>
      <c r="O225" s="33">
        <f t="array" ref="O225">_xlfn.XLOOKUP($A225, 'Hospitalisation Details'!$A:$A, 'Hospitalisation Details'!G:G, "No Data")</f>
        <v>35050.62</v>
      </c>
      <c r="P225" s="28" t="str">
        <f t="array" ref="P225">_xlfn.XLOOKUP($A225, 'Hospitalisation Details'!$A:$A, 'Hospitalisation Details'!H:H, "No Data")</f>
        <v>tier - 2</v>
      </c>
    </row>
    <row r="226">
      <c r="A226" s="25" t="s">
        <v>733</v>
      </c>
      <c r="B226" s="28" t="str">
        <f t="array" ref="B226">_xlfn.XLOOKUP($A226, 'Customer Names'!$A:$A, 'Customer Names'!B:B, "No Data")</f>
        <v>Koch</v>
      </c>
      <c r="C226" s="28">
        <f t="array" ref="C226">_xlfn.XLOOKUP($A226, 'Medical Examinations'!$A:$A, 'Medical Examinations'!B:B, "No Data")</f>
        <v>36.41</v>
      </c>
      <c r="D226" s="28">
        <f t="array" ref="D226">_xlfn.XLOOKUP($A226, 'Medical Examinations'!$A:$A, 'Medical Examinations'!C:C, "No Data")</f>
        <v>4.55</v>
      </c>
      <c r="E226" s="28" t="str">
        <f t="array" ref="E226">_xlfn.XLOOKUP($A226, 'Medical Examinations'!$A:$A, 'Medical Examinations'!D:D, "No Data")</f>
        <v>No</v>
      </c>
      <c r="F226" s="28" t="str">
        <f t="array" ref="F226">_xlfn.XLOOKUP($A226, 'Medical Examinations'!$A:$A, 'Medical Examinations'!E:E, "No Data")</f>
        <v>No</v>
      </c>
      <c r="G226" s="28" t="str">
        <f t="array" ref="G226">_xlfn.XLOOKUP($A226, 'Medical Examinations'!$A:$A, 'Medical Examinations'!F:F, "No Data")</f>
        <v>No</v>
      </c>
      <c r="H226" s="28">
        <f t="array" ref="H226">_xlfn.XLOOKUP($A226, 'Medical Examinations'!$A:$A, 'Medical Examinations'!G:G, "No Data")</f>
        <v>0</v>
      </c>
      <c r="I226" s="28" t="str">
        <f t="array" ref="I226">_xlfn.XLOOKUP($A226, 'Medical Examinations'!$A:$A, 'Medical Examinations'!H:H, "No Data")</f>
        <v>yes</v>
      </c>
      <c r="J226" s="28" t="str">
        <f t="array" ref="J226">_xlfn.XLOOKUP($A226, 'Medical Examinations'!$A:$A, 'Medical Examinations'!I:I, "No Data")</f>
        <v>Obesity</v>
      </c>
      <c r="K226" s="28" t="str">
        <f t="array" ref="K226">_xlfn.XLOOKUP($A226, 'Hospitalisation Details'!$A:$A, 'Hospitalisation Details'!I:I, "No Data")</f>
        <v>tier - 3</v>
      </c>
      <c r="L226" s="28" t="str">
        <f t="array" ref="L226">_xlfn.XLOOKUP($A226, 'Hospitalisation Details'!$A:$A, 'Hospitalisation Details'!J:J, "No Data")</f>
        <v>R1011</v>
      </c>
      <c r="M226" s="28" t="str">
        <f t="array" ref="M226">_xlfn.XLOOKUP($A226, 'Hospitalisation Details'!$A:$A, 'Hospitalisation Details'!E:E, "No Data")</f>
        <v>05/07/82</v>
      </c>
      <c r="N226" s="28">
        <f t="array" ref="N226">_xlfn.XLOOKUP($A226, 'Hospitalisation Details'!$A:$A, 'Hospitalisation Details'!K:K, "No Data")</f>
        <v>40</v>
      </c>
      <c r="O226" s="33">
        <f t="array" ref="O226">_xlfn.XLOOKUP($A226, 'Hospitalisation Details'!$A:$A, 'Hospitalisation Details'!G:G, "No Data")</f>
        <v>35000.73</v>
      </c>
      <c r="P226" s="28" t="str">
        <f t="array" ref="P226">_xlfn.XLOOKUP($A226, 'Hospitalisation Details'!$A:$A, 'Hospitalisation Details'!H:H, "No Data")</f>
        <v>tier - 2</v>
      </c>
    </row>
    <row r="227">
      <c r="A227" s="25" t="s">
        <v>735</v>
      </c>
      <c r="B227" s="28" t="str">
        <f t="array" ref="B227">_xlfn.XLOOKUP($A227, 'Customer Names'!$A:$A, 'Customer Names'!B:B, "No Data")</f>
        <v>Smith</v>
      </c>
      <c r="C227" s="28">
        <f t="array" ref="C227">_xlfn.XLOOKUP($A227, 'Medical Examinations'!$A:$A, 'Medical Examinations'!B:B, "No Data")</f>
        <v>52.3</v>
      </c>
      <c r="D227" s="28">
        <f t="array" ref="D227">_xlfn.XLOOKUP($A227, 'Medical Examinations'!$A:$A, 'Medical Examinations'!C:C, "No Data")</f>
        <v>4.87</v>
      </c>
      <c r="E227" s="28" t="str">
        <f t="array" ref="E227">_xlfn.XLOOKUP($A227, 'Medical Examinations'!$A:$A, 'Medical Examinations'!D:D, "No Data")</f>
        <v>yes</v>
      </c>
      <c r="F227" s="28" t="str">
        <f t="array" ref="F227">_xlfn.XLOOKUP($A227, 'Medical Examinations'!$A:$A, 'Medical Examinations'!E:E, "No Data")</f>
        <v>No</v>
      </c>
      <c r="G227" s="28" t="str">
        <f t="array" ref="G227">_xlfn.XLOOKUP($A227, 'Medical Examinations'!$A:$A, 'Medical Examinations'!F:F, "No Data")</f>
        <v>Yes</v>
      </c>
      <c r="H227" s="28">
        <f t="array" ref="H227">_xlfn.XLOOKUP($A227, 'Medical Examinations'!$A:$A, 'Medical Examinations'!G:G, "No Data")</f>
        <v>1</v>
      </c>
      <c r="I227" s="28" t="str">
        <f t="array" ref="I227">_xlfn.XLOOKUP($A227, 'Medical Examinations'!$A:$A, 'Medical Examinations'!H:H, "No Data")</f>
        <v>yes</v>
      </c>
      <c r="J227" s="28" t="str">
        <f t="array" ref="J227">_xlfn.XLOOKUP($A227, 'Medical Examinations'!$A:$A, 'Medical Examinations'!I:I, "No Data")</f>
        <v>Obesity</v>
      </c>
      <c r="K227" s="28" t="str">
        <f t="array" ref="K227">_xlfn.XLOOKUP($A227, 'Hospitalisation Details'!$A:$A, 'Hospitalisation Details'!I:I, "No Data")</f>
        <v>tier - 2</v>
      </c>
      <c r="L227" s="28" t="str">
        <f t="array" ref="L227">_xlfn.XLOOKUP($A227, 'Hospitalisation Details'!$A:$A, 'Hospitalisation Details'!J:J, "No Data")</f>
        <v>R1011</v>
      </c>
      <c r="M227" s="28" t="str">
        <f t="array" ref="M227">_xlfn.XLOOKUP($A227, 'Hospitalisation Details'!$A:$A, 'Hospitalisation Details'!E:E, "No Data")</f>
        <v>22/08/97</v>
      </c>
      <c r="N227" s="28">
        <f t="array" ref="N227">_xlfn.XLOOKUP($A227, 'Hospitalisation Details'!$A:$A, 'Hospitalisation Details'!K:K, "No Data")</f>
        <v>25</v>
      </c>
      <c r="O227" s="33">
        <f t="array" ref="O227">_xlfn.XLOOKUP($A227, 'Hospitalisation Details'!$A:$A, 'Hospitalisation Details'!G:G, "No Data")</f>
        <v>34979.86</v>
      </c>
      <c r="P227" s="28" t="str">
        <f t="array" ref="P227">_xlfn.XLOOKUP($A227, 'Hospitalisation Details'!$A:$A, 'Hospitalisation Details'!H:H, "No Data")</f>
        <v>tier - 2</v>
      </c>
    </row>
    <row r="228">
      <c r="A228" s="25" t="s">
        <v>738</v>
      </c>
      <c r="B228" s="28" t="str">
        <f t="array" ref="B228">_xlfn.XLOOKUP($A228, 'Customer Names'!$A:$A, 'Customer Names'!B:B, "No Data")</f>
        <v>O'Connor</v>
      </c>
      <c r="C228" s="28">
        <f t="array" ref="C228">_xlfn.XLOOKUP($A228, 'Medical Examinations'!$A:$A, 'Medical Examinations'!B:B, "No Data")</f>
        <v>52.66</v>
      </c>
      <c r="D228" s="28">
        <f t="array" ref="D228">_xlfn.XLOOKUP($A228, 'Medical Examinations'!$A:$A, 'Medical Examinations'!C:C, "No Data")</f>
        <v>4.45</v>
      </c>
      <c r="E228" s="28" t="str">
        <f t="array" ref="E228">_xlfn.XLOOKUP($A228, 'Medical Examinations'!$A:$A, 'Medical Examinations'!D:D, "No Data")</f>
        <v>No</v>
      </c>
      <c r="F228" s="28" t="str">
        <f t="array" ref="F228">_xlfn.XLOOKUP($A228, 'Medical Examinations'!$A:$A, 'Medical Examinations'!E:E, "No Data")</f>
        <v>No</v>
      </c>
      <c r="G228" s="28" t="str">
        <f t="array" ref="G228">_xlfn.XLOOKUP($A228, 'Medical Examinations'!$A:$A, 'Medical Examinations'!F:F, "No Data")</f>
        <v>No</v>
      </c>
      <c r="H228" s="28">
        <f t="array" ref="H228">_xlfn.XLOOKUP($A228, 'Medical Examinations'!$A:$A, 'Medical Examinations'!G:G, "No Data")</f>
        <v>1</v>
      </c>
      <c r="I228" s="28" t="str">
        <f t="array" ref="I228">_xlfn.XLOOKUP($A228, 'Medical Examinations'!$A:$A, 'Medical Examinations'!H:H, "No Data")</f>
        <v>yes</v>
      </c>
      <c r="J228" s="28" t="str">
        <f t="array" ref="J228">_xlfn.XLOOKUP($A228, 'Medical Examinations'!$A:$A, 'Medical Examinations'!I:I, "No Data")</f>
        <v>Obesity</v>
      </c>
      <c r="K228" s="28" t="str">
        <f t="array" ref="K228">_xlfn.XLOOKUP($A228, 'Hospitalisation Details'!$A:$A, 'Hospitalisation Details'!I:I, "No Data")</f>
        <v>tier - 1</v>
      </c>
      <c r="L228" s="28" t="str">
        <f t="array" ref="L228">_xlfn.XLOOKUP($A228, 'Hospitalisation Details'!$A:$A, 'Hospitalisation Details'!J:J, "No Data")</f>
        <v>R1011</v>
      </c>
      <c r="M228" s="28" t="str">
        <f t="array" ref="M228">_xlfn.XLOOKUP($A228, 'Hospitalisation Details'!$A:$A, 'Hospitalisation Details'!E:E, "No Data")</f>
        <v>22/08/98</v>
      </c>
      <c r="N228" s="28">
        <f t="array" ref="N228">_xlfn.XLOOKUP($A228, 'Hospitalisation Details'!$A:$A, 'Hospitalisation Details'!K:K, "No Data")</f>
        <v>24</v>
      </c>
      <c r="O228" s="33">
        <f t="array" ref="O228">_xlfn.XLOOKUP($A228, 'Hospitalisation Details'!$A:$A, 'Hospitalisation Details'!G:G, "No Data")</f>
        <v>34976.42</v>
      </c>
      <c r="P228" s="28" t="str">
        <f t="array" ref="P228">_xlfn.XLOOKUP($A228, 'Hospitalisation Details'!$A:$A, 'Hospitalisation Details'!H:H, "No Data")</f>
        <v>tier - 2</v>
      </c>
    </row>
    <row r="229">
      <c r="A229" s="25" t="s">
        <v>741</v>
      </c>
      <c r="B229" s="28" t="str">
        <f t="array" ref="B229">_xlfn.XLOOKUP($A229, 'Customer Names'!$A:$A, 'Customer Names'!B:B, "No Data")</f>
        <v>Kampwerth</v>
      </c>
      <c r="C229" s="28">
        <f t="array" ref="C229">_xlfn.XLOOKUP($A229, 'Medical Examinations'!$A:$A, 'Medical Examinations'!B:B, "No Data")</f>
        <v>29.57</v>
      </c>
      <c r="D229" s="28">
        <f t="array" ref="D229">_xlfn.XLOOKUP($A229, 'Medical Examinations'!$A:$A, 'Medical Examinations'!C:C, "No Data")</f>
        <v>9.42</v>
      </c>
      <c r="E229" s="28" t="str">
        <f t="array" ref="E229">_xlfn.XLOOKUP($A229, 'Medical Examinations'!$A:$A, 'Medical Examinations'!D:D, "No Data")</f>
        <v>yes</v>
      </c>
      <c r="F229" s="28" t="str">
        <f t="array" ref="F229">_xlfn.XLOOKUP($A229, 'Medical Examinations'!$A:$A, 'Medical Examinations'!E:E, "No Data")</f>
        <v>No</v>
      </c>
      <c r="G229" s="28" t="str">
        <f t="array" ref="G229">_xlfn.XLOOKUP($A229, 'Medical Examinations'!$A:$A, 'Medical Examinations'!F:F, "No Data")</f>
        <v>No</v>
      </c>
      <c r="H229" s="28">
        <f t="array" ref="H229">_xlfn.XLOOKUP($A229, 'Medical Examinations'!$A:$A, 'Medical Examinations'!G:G, "No Data")</f>
        <v>0</v>
      </c>
      <c r="I229" s="28" t="str">
        <f t="array" ref="I229">_xlfn.XLOOKUP($A229, 'Medical Examinations'!$A:$A, 'Medical Examinations'!H:H, "No Data")</f>
        <v>yes</v>
      </c>
      <c r="J229" s="28" t="str">
        <f t="array" ref="J229">_xlfn.XLOOKUP($A229, 'Medical Examinations'!$A:$A, 'Medical Examinations'!I:I, "No Data")</f>
        <v>Overweight</v>
      </c>
      <c r="K229" s="28" t="str">
        <f t="array" ref="K229">_xlfn.XLOOKUP($A229, 'Hospitalisation Details'!$A:$A, 'Hospitalisation Details'!I:I, "No Data")</f>
        <v>tier - 2</v>
      </c>
      <c r="L229" s="28" t="str">
        <f t="array" ref="L229">_xlfn.XLOOKUP($A229, 'Hospitalisation Details'!$A:$A, 'Hospitalisation Details'!J:J, "No Data")</f>
        <v>R1011</v>
      </c>
      <c r="M229" s="28" t="str">
        <f t="array" ref="M229">_xlfn.XLOOKUP($A229, 'Hospitalisation Details'!$A:$A, 'Hospitalisation Details'!E:E, "No Data")</f>
        <v>07/10/67</v>
      </c>
      <c r="N229" s="28">
        <f t="array" ref="N229">_xlfn.XLOOKUP($A229, 'Hospitalisation Details'!$A:$A, 'Hospitalisation Details'!K:K, "No Data")</f>
        <v>55</v>
      </c>
      <c r="O229" s="33">
        <f t="array" ref="O229">_xlfn.XLOOKUP($A229, 'Hospitalisation Details'!$A:$A, 'Hospitalisation Details'!G:G, "No Data")</f>
        <v>34975.68</v>
      </c>
      <c r="P229" s="28" t="str">
        <f t="array" ref="P229">_xlfn.XLOOKUP($A229, 'Hospitalisation Details'!$A:$A, 'Hospitalisation Details'!H:H, "No Data")</f>
        <v>tier - 2</v>
      </c>
    </row>
    <row r="230">
      <c r="A230" s="25" t="s">
        <v>744</v>
      </c>
      <c r="B230" s="28" t="str">
        <f t="array" ref="B230">_xlfn.XLOOKUP($A230, 'Customer Names'!$A:$A, 'Customer Names'!B:B, "No Data")</f>
        <v>Federoff</v>
      </c>
      <c r="C230" s="28">
        <f t="array" ref="C230">_xlfn.XLOOKUP($A230, 'Medical Examinations'!$A:$A, 'Medical Examinations'!B:B, "No Data")</f>
        <v>36.99</v>
      </c>
      <c r="D230" s="28">
        <f t="array" ref="D230">_xlfn.XLOOKUP($A230, 'Medical Examinations'!$A:$A, 'Medical Examinations'!C:C, "No Data")</f>
        <v>5.37</v>
      </c>
      <c r="E230" s="28" t="str">
        <f t="array" ref="E230">_xlfn.XLOOKUP($A230, 'Medical Examinations'!$A:$A, 'Medical Examinations'!D:D, "No Data")</f>
        <v>yes</v>
      </c>
      <c r="F230" s="28" t="str">
        <f t="array" ref="F230">_xlfn.XLOOKUP($A230, 'Medical Examinations'!$A:$A, 'Medical Examinations'!E:E, "No Data")</f>
        <v>No</v>
      </c>
      <c r="G230" s="28" t="str">
        <f t="array" ref="G230">_xlfn.XLOOKUP($A230, 'Medical Examinations'!$A:$A, 'Medical Examinations'!F:F, "No Data")</f>
        <v>Yes</v>
      </c>
      <c r="H230" s="28">
        <f t="array" ref="H230">_xlfn.XLOOKUP($A230, 'Medical Examinations'!$A:$A, 'Medical Examinations'!G:G, "No Data")</f>
        <v>1</v>
      </c>
      <c r="I230" s="28" t="str">
        <f t="array" ref="I230">_xlfn.XLOOKUP($A230, 'Medical Examinations'!$A:$A, 'Medical Examinations'!H:H, "No Data")</f>
        <v>yes</v>
      </c>
      <c r="J230" s="28" t="str">
        <f t="array" ref="J230">_xlfn.XLOOKUP($A230, 'Medical Examinations'!$A:$A, 'Medical Examinations'!I:I, "No Data")</f>
        <v>Obesity</v>
      </c>
      <c r="K230" s="28" t="str">
        <f t="array" ref="K230">_xlfn.XLOOKUP($A230, 'Hospitalisation Details'!$A:$A, 'Hospitalisation Details'!I:I, "No Data")</f>
        <v>tier - 3</v>
      </c>
      <c r="L230" s="28" t="str">
        <f t="array" ref="L230">_xlfn.XLOOKUP($A230, 'Hospitalisation Details'!$A:$A, 'Hospitalisation Details'!J:J, "No Data")</f>
        <v>R1011</v>
      </c>
      <c r="M230" s="28" t="str">
        <f t="array" ref="M230">_xlfn.XLOOKUP($A230, 'Hospitalisation Details'!$A:$A, 'Hospitalisation Details'!E:E, "No Data")</f>
        <v>29/07/83</v>
      </c>
      <c r="N230" s="28">
        <f t="array" ref="N230">_xlfn.XLOOKUP($A230, 'Hospitalisation Details'!$A:$A, 'Hospitalisation Details'!K:K, "No Data")</f>
        <v>39</v>
      </c>
      <c r="O230" s="33">
        <f t="array" ref="O230">_xlfn.XLOOKUP($A230, 'Hospitalisation Details'!$A:$A, 'Hospitalisation Details'!G:G, "No Data")</f>
        <v>34940.61</v>
      </c>
      <c r="P230" s="28" t="str">
        <f t="array" ref="P230">_xlfn.XLOOKUP($A230, 'Hospitalisation Details'!$A:$A, 'Hospitalisation Details'!H:H, "No Data")</f>
        <v>tier - 2</v>
      </c>
    </row>
    <row r="231">
      <c r="A231" s="25" t="s">
        <v>747</v>
      </c>
      <c r="B231" s="28" t="str">
        <f t="array" ref="B231">_xlfn.XLOOKUP($A231, 'Customer Names'!$A:$A, 'Customer Names'!B:B, "No Data")</f>
        <v>Goya</v>
      </c>
      <c r="C231" s="28">
        <f t="array" ref="C231">_xlfn.XLOOKUP($A231, 'Medical Examinations'!$A:$A, 'Medical Examinations'!B:B, "No Data")</f>
        <v>31.4</v>
      </c>
      <c r="D231" s="28">
        <f t="array" ref="D231">_xlfn.XLOOKUP($A231, 'Medical Examinations'!$A:$A, 'Medical Examinations'!C:C, "No Data")</f>
        <v>4.6</v>
      </c>
      <c r="E231" s="28" t="str">
        <f t="array" ref="E231">_xlfn.XLOOKUP($A231, 'Medical Examinations'!$A:$A, 'Medical Examinations'!D:D, "No Data")</f>
        <v>yes</v>
      </c>
      <c r="F231" s="28" t="str">
        <f t="array" ref="F231">_xlfn.XLOOKUP($A231, 'Medical Examinations'!$A:$A, 'Medical Examinations'!E:E, "No Data")</f>
        <v>No</v>
      </c>
      <c r="G231" s="28" t="str">
        <f t="array" ref="G231">_xlfn.XLOOKUP($A231, 'Medical Examinations'!$A:$A, 'Medical Examinations'!F:F, "No Data")</f>
        <v>No</v>
      </c>
      <c r="H231" s="28">
        <f t="array" ref="H231">_xlfn.XLOOKUP($A231, 'Medical Examinations'!$A:$A, 'Medical Examinations'!G:G, "No Data")</f>
        <v>1</v>
      </c>
      <c r="I231" s="28" t="str">
        <f t="array" ref="I231">_xlfn.XLOOKUP($A231, 'Medical Examinations'!$A:$A, 'Medical Examinations'!H:H, "No Data")</f>
        <v>yes</v>
      </c>
      <c r="J231" s="28" t="str">
        <f t="array" ref="J231">_xlfn.XLOOKUP($A231, 'Medical Examinations'!$A:$A, 'Medical Examinations'!I:I, "No Data")</f>
        <v>Obesity</v>
      </c>
      <c r="K231" s="28" t="str">
        <f t="array" ref="K231">_xlfn.XLOOKUP($A231, 'Hospitalisation Details'!$A:$A, 'Hospitalisation Details'!I:I, "No Data")</f>
        <v>tier - 3</v>
      </c>
      <c r="L231" s="28" t="str">
        <f t="array" ref="L231">_xlfn.XLOOKUP($A231, 'Hospitalisation Details'!$A:$A, 'Hospitalisation Details'!J:J, "No Data")</f>
        <v>R1011</v>
      </c>
      <c r="M231" s="28" t="str">
        <f t="array" ref="M231">_xlfn.XLOOKUP($A231, 'Hospitalisation Details'!$A:$A, 'Hospitalisation Details'!E:E, "No Data")</f>
        <v>17/10/95</v>
      </c>
      <c r="N231" s="28">
        <f t="array" ref="N231">_xlfn.XLOOKUP($A231, 'Hospitalisation Details'!$A:$A, 'Hospitalisation Details'!K:K, "No Data")</f>
        <v>27</v>
      </c>
      <c r="O231" s="33">
        <f t="array" ref="O231">_xlfn.XLOOKUP($A231, 'Hospitalisation Details'!$A:$A, 'Hospitalisation Details'!G:G, "No Data")</f>
        <v>34838.87</v>
      </c>
      <c r="P231" s="28" t="str">
        <f t="array" ref="P231">_xlfn.XLOOKUP($A231, 'Hospitalisation Details'!$A:$A, 'Hospitalisation Details'!H:H, "No Data")</f>
        <v>tier - 2</v>
      </c>
    </row>
    <row r="232">
      <c r="A232" s="25" t="s">
        <v>751</v>
      </c>
      <c r="B232" s="28" t="str">
        <f t="array" ref="B232">_xlfn.XLOOKUP($A232, 'Customer Names'!$A:$A, 'Customer Names'!B:B, "No Data")</f>
        <v>Hodges</v>
      </c>
      <c r="C232" s="28">
        <f t="array" ref="C232">_xlfn.XLOOKUP($A232, 'Medical Examinations'!$A:$A, 'Medical Examinations'!B:B, "No Data")</f>
        <v>34.9</v>
      </c>
      <c r="D232" s="28">
        <f t="array" ref="D232">_xlfn.XLOOKUP($A232, 'Medical Examinations'!$A:$A, 'Medical Examinations'!C:C, "No Data")</f>
        <v>6.22</v>
      </c>
      <c r="E232" s="28" t="str">
        <f t="array" ref="E232">_xlfn.XLOOKUP($A232, 'Medical Examinations'!$A:$A, 'Medical Examinations'!D:D, "No Data")</f>
        <v>No</v>
      </c>
      <c r="F232" s="28" t="str">
        <f t="array" ref="F232">_xlfn.XLOOKUP($A232, 'Medical Examinations'!$A:$A, 'Medical Examinations'!E:E, "No Data")</f>
        <v>No</v>
      </c>
      <c r="G232" s="28" t="str">
        <f t="array" ref="G232">_xlfn.XLOOKUP($A232, 'Medical Examinations'!$A:$A, 'Medical Examinations'!F:F, "No Data")</f>
        <v>Yes</v>
      </c>
      <c r="H232" s="28">
        <f t="array" ref="H232">_xlfn.XLOOKUP($A232, 'Medical Examinations'!$A:$A, 'Medical Examinations'!G:G, "No Data")</f>
        <v>1</v>
      </c>
      <c r="I232" s="28" t="str">
        <f t="array" ref="I232">_xlfn.XLOOKUP($A232, 'Medical Examinations'!$A:$A, 'Medical Examinations'!H:H, "No Data")</f>
        <v>yes</v>
      </c>
      <c r="J232" s="28" t="str">
        <f t="array" ref="J232">_xlfn.XLOOKUP($A232, 'Medical Examinations'!$A:$A, 'Medical Examinations'!I:I, "No Data")</f>
        <v>Obesity</v>
      </c>
      <c r="K232" s="28" t="str">
        <f t="array" ref="K232">_xlfn.XLOOKUP($A232, 'Hospitalisation Details'!$A:$A, 'Hospitalisation Details'!I:I, "No Data")</f>
        <v>tier - 3</v>
      </c>
      <c r="L232" s="28" t="str">
        <f t="array" ref="L232">_xlfn.XLOOKUP($A232, 'Hospitalisation Details'!$A:$A, 'Hospitalisation Details'!J:J, "No Data")</f>
        <v>R1011</v>
      </c>
      <c r="M232" s="28" t="str">
        <f t="array" ref="M232">_xlfn.XLOOKUP($A232, 'Hospitalisation Details'!$A:$A, 'Hospitalisation Details'!E:E, "No Data")</f>
        <v>17/09/03</v>
      </c>
      <c r="N232" s="28">
        <f t="array" ref="N232">_xlfn.XLOOKUP($A232, 'Hospitalisation Details'!$A:$A, 'Hospitalisation Details'!K:K, "No Data")</f>
        <v>19</v>
      </c>
      <c r="O232" s="33">
        <f t="array" ref="O232">_xlfn.XLOOKUP($A232, 'Hospitalisation Details'!$A:$A, 'Hospitalisation Details'!G:G, "No Data")</f>
        <v>34828.65</v>
      </c>
      <c r="P232" s="28" t="str">
        <f t="array" ref="P232">_xlfn.XLOOKUP($A232, 'Hospitalisation Details'!$A:$A, 'Hospitalisation Details'!H:H, "No Data")</f>
        <v>tier - 1</v>
      </c>
    </row>
    <row r="233">
      <c r="A233" s="25" t="s">
        <v>754</v>
      </c>
      <c r="B233" s="28" t="str">
        <f t="array" ref="B233">_xlfn.XLOOKUP($A233, 'Customer Names'!$A:$A, 'Customer Names'!B:B, "No Data")</f>
        <v>Erickson</v>
      </c>
      <c r="C233" s="28">
        <f t="array" ref="C233">_xlfn.XLOOKUP($A233, 'Medical Examinations'!$A:$A, 'Medical Examinations'!B:B, "No Data")</f>
        <v>31.13</v>
      </c>
      <c r="D233" s="28">
        <f t="array" ref="D233">_xlfn.XLOOKUP($A233, 'Medical Examinations'!$A:$A, 'Medical Examinations'!C:C, "No Data")</f>
        <v>4.52</v>
      </c>
      <c r="E233" s="28" t="str">
        <f t="array" ref="E233">_xlfn.XLOOKUP($A233, 'Medical Examinations'!$A:$A, 'Medical Examinations'!D:D, "No Data")</f>
        <v>yes</v>
      </c>
      <c r="F233" s="28" t="str">
        <f t="array" ref="F233">_xlfn.XLOOKUP($A233, 'Medical Examinations'!$A:$A, 'Medical Examinations'!E:E, "No Data")</f>
        <v>No</v>
      </c>
      <c r="G233" s="28" t="str">
        <f t="array" ref="G233">_xlfn.XLOOKUP($A233, 'Medical Examinations'!$A:$A, 'Medical Examinations'!F:F, "No Data")</f>
        <v>No</v>
      </c>
      <c r="H233" s="28">
        <f t="array" ref="H233">_xlfn.XLOOKUP($A233, 'Medical Examinations'!$A:$A, 'Medical Examinations'!G:G, "No Data")</f>
        <v>1</v>
      </c>
      <c r="I233" s="28" t="str">
        <f t="array" ref="I233">_xlfn.XLOOKUP($A233, 'Medical Examinations'!$A:$A, 'Medical Examinations'!H:H, "No Data")</f>
        <v>yes</v>
      </c>
      <c r="J233" s="28" t="str">
        <f t="array" ref="J233">_xlfn.XLOOKUP($A233, 'Medical Examinations'!$A:$A, 'Medical Examinations'!I:I, "No Data")</f>
        <v>Obesity</v>
      </c>
      <c r="K233" s="28" t="str">
        <f t="array" ref="K233">_xlfn.XLOOKUP($A233, 'Hospitalisation Details'!$A:$A, 'Hospitalisation Details'!I:I, "No Data")</f>
        <v>tier - 2</v>
      </c>
      <c r="L233" s="28" t="str">
        <f t="array" ref="L233">_xlfn.XLOOKUP($A233, 'Hospitalisation Details'!$A:$A, 'Hospitalisation Details'!J:J, "No Data")</f>
        <v>R1013</v>
      </c>
      <c r="M233" s="28" t="str">
        <f t="array" ref="M233">_xlfn.XLOOKUP($A233, 'Hospitalisation Details'!$A:$A, 'Hospitalisation Details'!E:E, "No Data")</f>
        <v>27/12/95</v>
      </c>
      <c r="N233" s="28">
        <f t="array" ref="N233">_xlfn.XLOOKUP($A233, 'Hospitalisation Details'!$A:$A, 'Hospitalisation Details'!K:K, "No Data")</f>
        <v>27</v>
      </c>
      <c r="O233" s="33">
        <f t="array" ref="O233">_xlfn.XLOOKUP($A233, 'Hospitalisation Details'!$A:$A, 'Hospitalisation Details'!G:G, "No Data")</f>
        <v>34806.47</v>
      </c>
      <c r="P233" s="28" t="str">
        <f t="array" ref="P233">_xlfn.XLOOKUP($A233, 'Hospitalisation Details'!$A:$A, 'Hospitalisation Details'!H:H, "No Data")</f>
        <v>tier - 1</v>
      </c>
    </row>
    <row r="234">
      <c r="A234" s="25" t="s">
        <v>757</v>
      </c>
      <c r="B234" s="28" t="str">
        <f t="array" ref="B234">_xlfn.XLOOKUP($A234, 'Customer Names'!$A:$A, 'Customer Names'!B:B, "No Data")</f>
        <v>Welleck</v>
      </c>
      <c r="C234" s="28">
        <f t="array" ref="C234">_xlfn.XLOOKUP($A234, 'Medical Examinations'!$A:$A, 'Medical Examinations'!B:B, "No Data")</f>
        <v>34.8</v>
      </c>
      <c r="D234" s="28">
        <f t="array" ref="D234">_xlfn.XLOOKUP($A234, 'Medical Examinations'!$A:$A, 'Medical Examinations'!C:C, "No Data")</f>
        <v>6.18</v>
      </c>
      <c r="E234" s="28" t="str">
        <f t="array" ref="E234">_xlfn.XLOOKUP($A234, 'Medical Examinations'!$A:$A, 'Medical Examinations'!D:D, "No Data")</f>
        <v>No</v>
      </c>
      <c r="F234" s="28" t="str">
        <f t="array" ref="F234">_xlfn.XLOOKUP($A234, 'Medical Examinations'!$A:$A, 'Medical Examinations'!E:E, "No Data")</f>
        <v>No</v>
      </c>
      <c r="G234" s="28" t="str">
        <f t="array" ref="G234">_xlfn.XLOOKUP($A234, 'Medical Examinations'!$A:$A, 'Medical Examinations'!F:F, "No Data")</f>
        <v>Yes</v>
      </c>
      <c r="H234" s="28">
        <f t="array" ref="H234">_xlfn.XLOOKUP($A234, 'Medical Examinations'!$A:$A, 'Medical Examinations'!G:G, "No Data")</f>
        <v>1</v>
      </c>
      <c r="I234" s="28" t="str">
        <f t="array" ref="I234">_xlfn.XLOOKUP($A234, 'Medical Examinations'!$A:$A, 'Medical Examinations'!H:H, "No Data")</f>
        <v>yes</v>
      </c>
      <c r="J234" s="28" t="str">
        <f t="array" ref="J234">_xlfn.XLOOKUP($A234, 'Medical Examinations'!$A:$A, 'Medical Examinations'!I:I, "No Data")</f>
        <v>Obesity</v>
      </c>
      <c r="K234" s="28" t="str">
        <f t="array" ref="K234">_xlfn.XLOOKUP($A234, 'Hospitalisation Details'!$A:$A, 'Hospitalisation Details'!I:I, "No Data")</f>
        <v>tier - 2</v>
      </c>
      <c r="L234" s="28" t="str">
        <f t="array" ref="L234">_xlfn.XLOOKUP($A234, 'Hospitalisation Details'!$A:$A, 'Hospitalisation Details'!J:J, "No Data")</f>
        <v>R1011</v>
      </c>
      <c r="M234" s="28" t="str">
        <f t="array" ref="M234">_xlfn.XLOOKUP($A234, 'Hospitalisation Details'!$A:$A, 'Hospitalisation Details'!E:E, "No Data")</f>
        <v>03/07/03</v>
      </c>
      <c r="N234" s="28">
        <f t="array" ref="N234">_xlfn.XLOOKUP($A234, 'Hospitalisation Details'!$A:$A, 'Hospitalisation Details'!K:K, "No Data")</f>
        <v>19</v>
      </c>
      <c r="O234" s="33">
        <f t="array" ref="O234">_xlfn.XLOOKUP($A234, 'Hospitalisation Details'!$A:$A, 'Hospitalisation Details'!G:G, "No Data")</f>
        <v>34779.62</v>
      </c>
      <c r="P234" s="28" t="str">
        <f t="array" ref="P234">_xlfn.XLOOKUP($A234, 'Hospitalisation Details'!$A:$A, 'Hospitalisation Details'!H:H, "No Data")</f>
        <v>tier - 1</v>
      </c>
    </row>
    <row r="235">
      <c r="A235" s="25" t="s">
        <v>760</v>
      </c>
      <c r="B235" s="28" t="str">
        <f t="array" ref="B235">_xlfn.XLOOKUP($A235, 'Customer Names'!$A:$A, 'Customer Names'!B:B, "No Data")</f>
        <v>Polen</v>
      </c>
      <c r="C235" s="28">
        <f t="array" ref="C235">_xlfn.XLOOKUP($A235, 'Medical Examinations'!$A:$A, 'Medical Examinations'!B:B, "No Data")</f>
        <v>31.68</v>
      </c>
      <c r="D235" s="28">
        <f t="array" ref="D235">_xlfn.XLOOKUP($A235, 'Medical Examinations'!$A:$A, 'Medical Examinations'!C:C, "No Data")</f>
        <v>4.4</v>
      </c>
      <c r="E235" s="28" t="str">
        <f t="array" ref="E235">_xlfn.XLOOKUP($A235, 'Medical Examinations'!$A:$A, 'Medical Examinations'!D:D, "No Data")</f>
        <v>No</v>
      </c>
      <c r="F235" s="28" t="str">
        <f t="array" ref="F235">_xlfn.XLOOKUP($A235, 'Medical Examinations'!$A:$A, 'Medical Examinations'!E:E, "No Data")</f>
        <v>No</v>
      </c>
      <c r="G235" s="28" t="str">
        <f t="array" ref="G235">_xlfn.XLOOKUP($A235, 'Medical Examinations'!$A:$A, 'Medical Examinations'!F:F, "No Data")</f>
        <v>No</v>
      </c>
      <c r="H235" s="28">
        <f t="array" ref="H235">_xlfn.XLOOKUP($A235, 'Medical Examinations'!$A:$A, 'Medical Examinations'!G:G, "No Data")</f>
        <v>0</v>
      </c>
      <c r="I235" s="28" t="str">
        <f t="array" ref="I235">_xlfn.XLOOKUP($A235, 'Medical Examinations'!$A:$A, 'Medical Examinations'!H:H, "No Data")</f>
        <v>yes</v>
      </c>
      <c r="J235" s="28" t="str">
        <f t="array" ref="J235">_xlfn.XLOOKUP($A235, 'Medical Examinations'!$A:$A, 'Medical Examinations'!I:I, "No Data")</f>
        <v>Obesity</v>
      </c>
      <c r="K235" s="28" t="str">
        <f t="array" ref="K235">_xlfn.XLOOKUP($A235, 'Hospitalisation Details'!$A:$A, 'Hospitalisation Details'!I:I, "No Data")</f>
        <v>tier - 3</v>
      </c>
      <c r="L235" s="28" t="str">
        <f t="array" ref="L235">_xlfn.XLOOKUP($A235, 'Hospitalisation Details'!$A:$A, 'Hospitalisation Details'!J:J, "No Data")</f>
        <v>R1013</v>
      </c>
      <c r="M235" s="28" t="str">
        <f t="array" ref="M235">_xlfn.XLOOKUP($A235, 'Hospitalisation Details'!$A:$A, 'Hospitalisation Details'!E:E, "No Data")</f>
        <v>07/07/94</v>
      </c>
      <c r="N235" s="28">
        <f t="array" ref="N235">_xlfn.XLOOKUP($A235, 'Hospitalisation Details'!$A:$A, 'Hospitalisation Details'!K:K, "No Data")</f>
        <v>28</v>
      </c>
      <c r="O235" s="33">
        <f t="array" ref="O235">_xlfn.XLOOKUP($A235, 'Hospitalisation Details'!$A:$A, 'Hospitalisation Details'!G:G, "No Data")</f>
        <v>34672.15</v>
      </c>
      <c r="P235" s="28" t="str">
        <f t="array" ref="P235">_xlfn.XLOOKUP($A235, 'Hospitalisation Details'!$A:$A, 'Hospitalisation Details'!H:H, "No Data")</f>
        <v>tier - 1</v>
      </c>
    </row>
    <row r="236">
      <c r="A236" s="25" t="s">
        <v>764</v>
      </c>
      <c r="B236" s="28" t="str">
        <f t="array" ref="B236">_xlfn.XLOOKUP($A236, 'Customer Names'!$A:$A, 'Customer Names'!B:B, "No Data")</f>
        <v>Lynch</v>
      </c>
      <c r="C236" s="28">
        <f t="array" ref="C236">_xlfn.XLOOKUP($A236, 'Medical Examinations'!$A:$A, 'Medical Examinations'!B:B, "No Data")</f>
        <v>33.535</v>
      </c>
      <c r="D236" s="28">
        <f t="array" ref="D236">_xlfn.XLOOKUP($A236, 'Medical Examinations'!$A:$A, 'Medical Examinations'!C:C, "No Data")</f>
        <v>6.23</v>
      </c>
      <c r="E236" s="28" t="str">
        <f t="array" ref="E236">_xlfn.XLOOKUP($A236, 'Medical Examinations'!$A:$A, 'Medical Examinations'!D:D, "No Data")</f>
        <v>No</v>
      </c>
      <c r="F236" s="28" t="str">
        <f t="array" ref="F236">_xlfn.XLOOKUP($A236, 'Medical Examinations'!$A:$A, 'Medical Examinations'!E:E, "No Data")</f>
        <v>yes</v>
      </c>
      <c r="G236" s="28" t="str">
        <f t="array" ref="G236">_xlfn.XLOOKUP($A236, 'Medical Examinations'!$A:$A, 'Medical Examinations'!F:F, "No Data")</f>
        <v>No</v>
      </c>
      <c r="H236" s="28">
        <f t="array" ref="H236">_xlfn.XLOOKUP($A236, 'Medical Examinations'!$A:$A, 'Medical Examinations'!G:G, "No Data")</f>
        <v>1</v>
      </c>
      <c r="I236" s="28" t="str">
        <f t="array" ref="I236">_xlfn.XLOOKUP($A236, 'Medical Examinations'!$A:$A, 'Medical Examinations'!H:H, "No Data")</f>
        <v>yes</v>
      </c>
      <c r="J236" s="28" t="str">
        <f t="array" ref="J236">_xlfn.XLOOKUP($A236, 'Medical Examinations'!$A:$A, 'Medical Examinations'!I:I, "No Data")</f>
        <v>Obesity</v>
      </c>
      <c r="K236" s="28" t="str">
        <f t="array" ref="K236">_xlfn.XLOOKUP($A236, 'Hospitalisation Details'!$A:$A, 'Hospitalisation Details'!I:I, "No Data")</f>
        <v>tier - 3</v>
      </c>
      <c r="L236" s="28" t="str">
        <f t="array" ref="L236">_xlfn.XLOOKUP($A236, 'Hospitalisation Details'!$A:$A, 'Hospitalisation Details'!J:J, "No Data")</f>
        <v>R1016</v>
      </c>
      <c r="M236" s="28" t="str">
        <f t="array" ref="M236">_xlfn.XLOOKUP($A236, 'Hospitalisation Details'!$A:$A, 'Hospitalisation Details'!E:E, "No Data")</f>
        <v>09/10/04</v>
      </c>
      <c r="N236" s="28">
        <f t="array" ref="N236">_xlfn.XLOOKUP($A236, 'Hospitalisation Details'!$A:$A, 'Hospitalisation Details'!K:K, "No Data")</f>
        <v>18</v>
      </c>
      <c r="O236" s="33">
        <f t="array" ref="O236">_xlfn.XLOOKUP($A236, 'Hospitalisation Details'!$A:$A, 'Hospitalisation Details'!G:G, "No Data")</f>
        <v>34617.84</v>
      </c>
      <c r="P236" s="28" t="str">
        <f t="array" ref="P236">_xlfn.XLOOKUP($A236, 'Hospitalisation Details'!$A:$A, 'Hospitalisation Details'!H:H, "No Data")</f>
        <v>tier - 1</v>
      </c>
    </row>
    <row r="237">
      <c r="A237" s="25" t="s">
        <v>765</v>
      </c>
      <c r="B237" s="28" t="str">
        <f t="array" ref="B237">_xlfn.XLOOKUP($A237, 'Customer Names'!$A:$A, 'Customer Names'!B:B, "No Data")</f>
        <v>Hufstader</v>
      </c>
      <c r="C237" s="28">
        <f t="array" ref="C237">_xlfn.XLOOKUP($A237, 'Medical Examinations'!$A:$A, 'Medical Examinations'!B:B, "No Data")</f>
        <v>31.92</v>
      </c>
      <c r="D237" s="28">
        <f t="array" ref="D237">_xlfn.XLOOKUP($A237, 'Medical Examinations'!$A:$A, 'Medical Examinations'!C:C, "No Data")</f>
        <v>5.33</v>
      </c>
      <c r="E237" s="28" t="str">
        <f t="array" ref="E237">_xlfn.XLOOKUP($A237, 'Medical Examinations'!$A:$A, 'Medical Examinations'!D:D, "No Data")</f>
        <v>yes</v>
      </c>
      <c r="F237" s="28" t="str">
        <f t="array" ref="F237">_xlfn.XLOOKUP($A237, 'Medical Examinations'!$A:$A, 'Medical Examinations'!E:E, "No Data")</f>
        <v>No</v>
      </c>
      <c r="G237" s="28" t="str">
        <f t="array" ref="G237">_xlfn.XLOOKUP($A237, 'Medical Examinations'!$A:$A, 'Medical Examinations'!F:F, "No Data")</f>
        <v>No</v>
      </c>
      <c r="H237" s="28">
        <f t="array" ref="H237">_xlfn.XLOOKUP($A237, 'Medical Examinations'!$A:$A, 'Medical Examinations'!G:G, "No Data")</f>
        <v>0</v>
      </c>
      <c r="I237" s="28" t="str">
        <f t="array" ref="I237">_xlfn.XLOOKUP($A237, 'Medical Examinations'!$A:$A, 'Medical Examinations'!H:H, "No Data")</f>
        <v>yes</v>
      </c>
      <c r="J237" s="28" t="str">
        <f t="array" ref="J237">_xlfn.XLOOKUP($A237, 'Medical Examinations'!$A:$A, 'Medical Examinations'!I:I, "No Data")</f>
        <v>Obesity</v>
      </c>
      <c r="K237" s="28" t="str">
        <f t="array" ref="K237">_xlfn.XLOOKUP($A237, 'Hospitalisation Details'!$A:$A, 'Hospitalisation Details'!I:I, "No Data")</f>
        <v>tier - 3</v>
      </c>
      <c r="L237" s="28" t="str">
        <f t="array" ref="L237">_xlfn.XLOOKUP($A237, 'Hospitalisation Details'!$A:$A, 'Hospitalisation Details'!J:J, "No Data")</f>
        <v>R1011</v>
      </c>
      <c r="M237" s="28" t="str">
        <f t="array" ref="M237">_xlfn.XLOOKUP($A237, 'Hospitalisation Details'!$A:$A, 'Hospitalisation Details'!E:E, "No Data")</f>
        <v>25/11/76</v>
      </c>
      <c r="N237" s="28">
        <f t="array" ref="N237">_xlfn.XLOOKUP($A237, 'Hospitalisation Details'!$A:$A, 'Hospitalisation Details'!K:K, "No Data")</f>
        <v>46</v>
      </c>
      <c r="O237" s="33">
        <f t="array" ref="O237">_xlfn.XLOOKUP($A237, 'Hospitalisation Details'!$A:$A, 'Hospitalisation Details'!G:G, "No Data")</f>
        <v>34543.39</v>
      </c>
      <c r="P237" s="28" t="str">
        <f t="array" ref="P237">_xlfn.XLOOKUP($A237, 'Hospitalisation Details'!$A:$A, 'Hospitalisation Details'!H:H, "No Data")</f>
        <v>tier - 2</v>
      </c>
    </row>
    <row r="238">
      <c r="A238" s="25" t="s">
        <v>768</v>
      </c>
      <c r="B238" s="28" t="str">
        <f t="array" ref="B238">_xlfn.XLOOKUP($A238, 'Customer Names'!$A:$A, 'Customer Names'!B:B, "No Data")</f>
        <v>Doak</v>
      </c>
      <c r="C238" s="28">
        <f t="array" ref="C238">_xlfn.XLOOKUP($A238, 'Medical Examinations'!$A:$A, 'Medical Examinations'!B:B, "No Data")</f>
        <v>32.7</v>
      </c>
      <c r="D238" s="28">
        <f t="array" ref="D238">_xlfn.XLOOKUP($A238, 'Medical Examinations'!$A:$A, 'Medical Examinations'!C:C, "No Data")</f>
        <v>4.09</v>
      </c>
      <c r="E238" s="28" t="str">
        <f t="array" ref="E238">_xlfn.XLOOKUP($A238, 'Medical Examinations'!$A:$A, 'Medical Examinations'!D:D, "No Data")</f>
        <v>No</v>
      </c>
      <c r="F238" s="28" t="str">
        <f t="array" ref="F238">_xlfn.XLOOKUP($A238, 'Medical Examinations'!$A:$A, 'Medical Examinations'!E:E, "No Data")</f>
        <v>No</v>
      </c>
      <c r="G238" s="28" t="str">
        <f t="array" ref="G238">_xlfn.XLOOKUP($A238, 'Medical Examinations'!$A:$A, 'Medical Examinations'!F:F, "No Data")</f>
        <v>No</v>
      </c>
      <c r="H238" s="28">
        <f t="array" ref="H238">_xlfn.XLOOKUP($A238, 'Medical Examinations'!$A:$A, 'Medical Examinations'!G:G, "No Data")</f>
        <v>1</v>
      </c>
      <c r="I238" s="28" t="str">
        <f t="array" ref="I238">_xlfn.XLOOKUP($A238, 'Medical Examinations'!$A:$A, 'Medical Examinations'!H:H, "No Data")</f>
        <v>yes</v>
      </c>
      <c r="J238" s="28" t="str">
        <f t="array" ref="J238">_xlfn.XLOOKUP($A238, 'Medical Examinations'!$A:$A, 'Medical Examinations'!I:I, "No Data")</f>
        <v>Obesity</v>
      </c>
      <c r="K238" s="28" t="str">
        <f t="array" ref="K238">_xlfn.XLOOKUP($A238, 'Hospitalisation Details'!$A:$A, 'Hospitalisation Details'!I:I, "No Data")</f>
        <v>tier - 3</v>
      </c>
      <c r="L238" s="28" t="str">
        <f t="array" ref="L238">_xlfn.XLOOKUP($A238, 'Hospitalisation Details'!$A:$A, 'Hospitalisation Details'!J:J, "No Data")</f>
        <v>R1011</v>
      </c>
      <c r="M238" s="28" t="str">
        <f t="array" ref="M238">_xlfn.XLOOKUP($A238, 'Hospitalisation Details'!$A:$A, 'Hospitalisation Details'!E:E, "No Data")</f>
        <v>24/06/98</v>
      </c>
      <c r="N238" s="28">
        <f t="array" ref="N238">_xlfn.XLOOKUP($A238, 'Hospitalisation Details'!$A:$A, 'Hospitalisation Details'!K:K, "No Data")</f>
        <v>24</v>
      </c>
      <c r="O238" s="33">
        <f t="array" ref="O238">_xlfn.XLOOKUP($A238, 'Hospitalisation Details'!$A:$A, 'Hospitalisation Details'!G:G, "No Data")</f>
        <v>34472.84</v>
      </c>
      <c r="P238" s="28" t="str">
        <f t="array" ref="P238">_xlfn.XLOOKUP($A238, 'Hospitalisation Details'!$A:$A, 'Hospitalisation Details'!H:H, "No Data")</f>
        <v>tier - 1</v>
      </c>
    </row>
    <row r="239">
      <c r="A239" s="25" t="s">
        <v>771</v>
      </c>
      <c r="B239" s="28" t="str">
        <f t="array" ref="B239">_xlfn.XLOOKUP($A239, 'Customer Names'!$A:$A, 'Customer Names'!B:B, "No Data")</f>
        <v>Noya</v>
      </c>
      <c r="C239" s="28">
        <f t="array" ref="C239">_xlfn.XLOOKUP($A239, 'Medical Examinations'!$A:$A, 'Medical Examinations'!B:B, "No Data")</f>
        <v>41.25</v>
      </c>
      <c r="D239" s="28">
        <f t="array" ref="D239">_xlfn.XLOOKUP($A239, 'Medical Examinations'!$A:$A, 'Medical Examinations'!C:C, "No Data")</f>
        <v>5.19</v>
      </c>
      <c r="E239" s="28" t="str">
        <f t="array" ref="E239">_xlfn.XLOOKUP($A239, 'Medical Examinations'!$A:$A, 'Medical Examinations'!D:D, "No Data")</f>
        <v>No</v>
      </c>
      <c r="F239" s="28" t="str">
        <f t="array" ref="F239">_xlfn.XLOOKUP($A239, 'Medical Examinations'!$A:$A, 'Medical Examinations'!E:E, "No Data")</f>
        <v>No</v>
      </c>
      <c r="G239" s="28" t="str">
        <f t="array" ref="G239">_xlfn.XLOOKUP($A239, 'Medical Examinations'!$A:$A, 'Medical Examinations'!F:F, "No Data")</f>
        <v>No</v>
      </c>
      <c r="H239" s="28">
        <f t="array" ref="H239">_xlfn.XLOOKUP($A239, 'Medical Examinations'!$A:$A, 'Medical Examinations'!G:G, "No Data")</f>
        <v>0</v>
      </c>
      <c r="I239" s="28" t="str">
        <f t="array" ref="I239">_xlfn.XLOOKUP($A239, 'Medical Examinations'!$A:$A, 'Medical Examinations'!H:H, "No Data")</f>
        <v>yes</v>
      </c>
      <c r="J239" s="28" t="str">
        <f t="array" ref="J239">_xlfn.XLOOKUP($A239, 'Medical Examinations'!$A:$A, 'Medical Examinations'!I:I, "No Data")</f>
        <v>Obesity</v>
      </c>
      <c r="K239" s="28" t="str">
        <f t="array" ref="K239">_xlfn.XLOOKUP($A239, 'Hospitalisation Details'!$A:$A, 'Hospitalisation Details'!I:I, "No Data")</f>
        <v>tier - 2</v>
      </c>
      <c r="L239" s="28" t="str">
        <f t="array" ref="L239">_xlfn.XLOOKUP($A239, 'Hospitalisation Details'!$A:$A, 'Hospitalisation Details'!J:J, "No Data")</f>
        <v>R1011</v>
      </c>
      <c r="M239" s="28" t="str">
        <f t="array" ref="M239">_xlfn.XLOOKUP($A239, 'Hospitalisation Details'!$A:$A, 'Hospitalisation Details'!E:E, "No Data")</f>
        <v>24/09/90</v>
      </c>
      <c r="N239" s="28">
        <f t="array" ref="N239">_xlfn.XLOOKUP($A239, 'Hospitalisation Details'!$A:$A, 'Hospitalisation Details'!K:K, "No Data")</f>
        <v>32</v>
      </c>
      <c r="O239" s="33">
        <f t="array" ref="O239">_xlfn.XLOOKUP($A239, 'Hospitalisation Details'!$A:$A, 'Hospitalisation Details'!G:G, "No Data")</f>
        <v>34456.27</v>
      </c>
      <c r="P239" s="28" t="str">
        <f t="array" ref="P239">_xlfn.XLOOKUP($A239, 'Hospitalisation Details'!$A:$A, 'Hospitalisation Details'!H:H, "No Data")</f>
        <v>tier - 1</v>
      </c>
    </row>
    <row r="240">
      <c r="A240" s="25" t="s">
        <v>774</v>
      </c>
      <c r="B240" s="28" t="str">
        <f t="array" ref="B240">_xlfn.XLOOKUP($A240, 'Customer Names'!$A:$A, 'Customer Names'!B:B, "No Data")</f>
        <v>Heninger</v>
      </c>
      <c r="C240" s="28">
        <f t="array" ref="C240">_xlfn.XLOOKUP($A240, 'Medical Examinations'!$A:$A, 'Medical Examinations'!B:B, "No Data")</f>
        <v>33.11</v>
      </c>
      <c r="D240" s="28">
        <f t="array" ref="D240">_xlfn.XLOOKUP($A240, 'Medical Examinations'!$A:$A, 'Medical Examinations'!C:C, "No Data")</f>
        <v>4.12</v>
      </c>
      <c r="E240" s="28" t="str">
        <f t="array" ref="E240">_xlfn.XLOOKUP($A240, 'Medical Examinations'!$A:$A, 'Medical Examinations'!D:D, "No Data")</f>
        <v>No</v>
      </c>
      <c r="F240" s="28" t="str">
        <f t="array" ref="F240">_xlfn.XLOOKUP($A240, 'Medical Examinations'!$A:$A, 'Medical Examinations'!E:E, "No Data")</f>
        <v>No</v>
      </c>
      <c r="G240" s="28" t="str">
        <f t="array" ref="G240">_xlfn.XLOOKUP($A240, 'Medical Examinations'!$A:$A, 'Medical Examinations'!F:F, "No Data")</f>
        <v>Yes</v>
      </c>
      <c r="H240" s="28">
        <f t="array" ref="H240">_xlfn.XLOOKUP($A240, 'Medical Examinations'!$A:$A, 'Medical Examinations'!G:G, "No Data")</f>
        <v>1</v>
      </c>
      <c r="I240" s="28" t="str">
        <f t="array" ref="I240">_xlfn.XLOOKUP($A240, 'Medical Examinations'!$A:$A, 'Medical Examinations'!H:H, "No Data")</f>
        <v>yes</v>
      </c>
      <c r="J240" s="28" t="str">
        <f t="array" ref="J240">_xlfn.XLOOKUP($A240, 'Medical Examinations'!$A:$A, 'Medical Examinations'!I:I, "No Data")</f>
        <v>Obesity</v>
      </c>
      <c r="K240" s="28" t="str">
        <f t="array" ref="K240">_xlfn.XLOOKUP($A240, 'Hospitalisation Details'!$A:$A, 'Hospitalisation Details'!I:I, "No Data")</f>
        <v>tier - 1</v>
      </c>
      <c r="L240" s="28" t="str">
        <f t="array" ref="L240">_xlfn.XLOOKUP($A240, 'Hospitalisation Details'!$A:$A, 'Hospitalisation Details'!J:J, "No Data")</f>
        <v>R1013</v>
      </c>
      <c r="M240" s="28" t="str">
        <f t="array" ref="M240">_xlfn.XLOOKUP($A240, 'Hospitalisation Details'!$A:$A, 'Hospitalisation Details'!E:E, "No Data")</f>
        <v>05/10/03</v>
      </c>
      <c r="N240" s="28">
        <f t="array" ref="N240">_xlfn.XLOOKUP($A240, 'Hospitalisation Details'!$A:$A, 'Hospitalisation Details'!K:K, "No Data")</f>
        <v>19</v>
      </c>
      <c r="O240" s="33">
        <f t="array" ref="O240">_xlfn.XLOOKUP($A240, 'Hospitalisation Details'!$A:$A, 'Hospitalisation Details'!G:G, "No Data")</f>
        <v>34439.86</v>
      </c>
      <c r="P240" s="28" t="str">
        <f t="array" ref="P240">_xlfn.XLOOKUP($A240, 'Hospitalisation Details'!$A:$A, 'Hospitalisation Details'!H:H, "No Data")</f>
        <v>tier - 2</v>
      </c>
    </row>
    <row r="241">
      <c r="A241" s="25" t="s">
        <v>778</v>
      </c>
      <c r="B241" s="28" t="str">
        <f t="array" ref="B241">_xlfn.XLOOKUP($A241, 'Customer Names'!$A:$A, 'Customer Names'!B:B, "No Data")</f>
        <v>Richardson</v>
      </c>
      <c r="C241" s="28">
        <f t="array" ref="C241">_xlfn.XLOOKUP($A241, 'Medical Examinations'!$A:$A, 'Medical Examinations'!B:B, "No Data")</f>
        <v>36.16</v>
      </c>
      <c r="D241" s="28">
        <f t="array" ref="D241">_xlfn.XLOOKUP($A241, 'Medical Examinations'!$A:$A, 'Medical Examinations'!C:C, "No Data")</f>
        <v>5.1</v>
      </c>
      <c r="E241" s="28" t="str">
        <f t="array" ref="E241">_xlfn.XLOOKUP($A241, 'Medical Examinations'!$A:$A, 'Medical Examinations'!D:D, "No Data")</f>
        <v>No</v>
      </c>
      <c r="F241" s="28" t="str">
        <f t="array" ref="F241">_xlfn.XLOOKUP($A241, 'Medical Examinations'!$A:$A, 'Medical Examinations'!E:E, "No Data")</f>
        <v>No</v>
      </c>
      <c r="G241" s="28" t="str">
        <f t="array" ref="G241">_xlfn.XLOOKUP($A241, 'Medical Examinations'!$A:$A, 'Medical Examinations'!F:F, "No Data")</f>
        <v>No</v>
      </c>
      <c r="H241" s="28">
        <f t="array" ref="H241">_xlfn.XLOOKUP($A241, 'Medical Examinations'!$A:$A, 'Medical Examinations'!G:G, "No Data")</f>
        <v>1</v>
      </c>
      <c r="I241" s="28" t="str">
        <f t="array" ref="I241">_xlfn.XLOOKUP($A241, 'Medical Examinations'!$A:$A, 'Medical Examinations'!H:H, "No Data")</f>
        <v>yes</v>
      </c>
      <c r="J241" s="28" t="str">
        <f t="array" ref="J241">_xlfn.XLOOKUP($A241, 'Medical Examinations'!$A:$A, 'Medical Examinations'!I:I, "No Data")</f>
        <v>Obesity</v>
      </c>
      <c r="K241" s="28" t="str">
        <f t="array" ref="K241">_xlfn.XLOOKUP($A241, 'Hospitalisation Details'!$A:$A, 'Hospitalisation Details'!I:I, "No Data")</f>
        <v>tier - 3</v>
      </c>
      <c r="L241" s="28" t="str">
        <f t="array" ref="L241">_xlfn.XLOOKUP($A241, 'Hospitalisation Details'!$A:$A, 'Hospitalisation Details'!J:J, "No Data")</f>
        <v>R1011</v>
      </c>
      <c r="M241" s="28" t="str">
        <f t="array" ref="M241">_xlfn.XLOOKUP($A241, 'Hospitalisation Details'!$A:$A, 'Hospitalisation Details'!E:E, "No Data")</f>
        <v>01/10/84</v>
      </c>
      <c r="N241" s="28">
        <f t="array" ref="N241">_xlfn.XLOOKUP($A241, 'Hospitalisation Details'!$A:$A, 'Hospitalisation Details'!K:K, "No Data")</f>
        <v>38</v>
      </c>
      <c r="O241" s="33">
        <f t="array" ref="O241">_xlfn.XLOOKUP($A241, 'Hospitalisation Details'!$A:$A, 'Hospitalisation Details'!G:G, "No Data")</f>
        <v>34402.22</v>
      </c>
      <c r="P241" s="28" t="str">
        <f t="array" ref="P241">_xlfn.XLOOKUP($A241, 'Hospitalisation Details'!$A:$A, 'Hospitalisation Details'!H:H, "No Data")</f>
        <v>tier - 2</v>
      </c>
    </row>
    <row r="242">
      <c r="A242" s="25" t="s">
        <v>781</v>
      </c>
      <c r="B242" s="28" t="str">
        <f t="array" ref="B242">_xlfn.XLOOKUP($A242, 'Customer Names'!$A:$A, 'Customer Names'!B:B, "No Data")</f>
        <v>Deucher</v>
      </c>
      <c r="C242" s="28">
        <f t="array" ref="C242">_xlfn.XLOOKUP($A242, 'Medical Examinations'!$A:$A, 'Medical Examinations'!B:B, "No Data")</f>
        <v>33.72</v>
      </c>
      <c r="D242" s="28">
        <f t="array" ref="D242">_xlfn.XLOOKUP($A242, 'Medical Examinations'!$A:$A, 'Medical Examinations'!C:C, "No Data")</f>
        <v>6.21</v>
      </c>
      <c r="E242" s="28" t="str">
        <f t="array" ref="E242">_xlfn.XLOOKUP($A242, 'Medical Examinations'!$A:$A, 'Medical Examinations'!D:D, "No Data")</f>
        <v>yes</v>
      </c>
      <c r="F242" s="28" t="str">
        <f t="array" ref="F242">_xlfn.XLOOKUP($A242, 'Medical Examinations'!$A:$A, 'Medical Examinations'!E:E, "No Data")</f>
        <v>No</v>
      </c>
      <c r="G242" s="28" t="str">
        <f t="array" ref="G242">_xlfn.XLOOKUP($A242, 'Medical Examinations'!$A:$A, 'Medical Examinations'!F:F, "No Data")</f>
        <v>Yes</v>
      </c>
      <c r="H242" s="28">
        <f t="array" ref="H242">_xlfn.XLOOKUP($A242, 'Medical Examinations'!$A:$A, 'Medical Examinations'!G:G, "No Data")</f>
        <v>1</v>
      </c>
      <c r="I242" s="28" t="str">
        <f t="array" ref="I242">_xlfn.XLOOKUP($A242, 'Medical Examinations'!$A:$A, 'Medical Examinations'!H:H, "No Data")</f>
        <v>yes</v>
      </c>
      <c r="J242" s="28" t="str">
        <f t="array" ref="J242">_xlfn.XLOOKUP($A242, 'Medical Examinations'!$A:$A, 'Medical Examinations'!I:I, "No Data")</f>
        <v>Obesity</v>
      </c>
      <c r="K242" s="28" t="str">
        <f t="array" ref="K242">_xlfn.XLOOKUP($A242, 'Hospitalisation Details'!$A:$A, 'Hospitalisation Details'!I:I, "No Data")</f>
        <v>tier - 2</v>
      </c>
      <c r="L242" s="28" t="str">
        <f t="array" ref="L242">_xlfn.XLOOKUP($A242, 'Hospitalisation Details'!$A:$A, 'Hospitalisation Details'!J:J, "No Data")</f>
        <v>R1012</v>
      </c>
      <c r="M242" s="28" t="str">
        <f t="array" ref="M242">_xlfn.XLOOKUP($A242, 'Hospitalisation Details'!$A:$A, 'Hospitalisation Details'!E:E, "No Data")</f>
        <v>02/10/83</v>
      </c>
      <c r="N242" s="28">
        <f t="array" ref="N242">_xlfn.XLOOKUP($A242, 'Hospitalisation Details'!$A:$A, 'Hospitalisation Details'!K:K, "No Data")</f>
        <v>39</v>
      </c>
      <c r="O242" s="33">
        <f t="array" ref="O242">_xlfn.XLOOKUP($A242, 'Hospitalisation Details'!$A:$A, 'Hospitalisation Details'!G:G, "No Data")</f>
        <v>34307.22</v>
      </c>
      <c r="P242" s="28" t="str">
        <f t="array" ref="P242">_xlfn.XLOOKUP($A242, 'Hospitalisation Details'!$A:$A, 'Hospitalisation Details'!H:H, "No Data")</f>
        <v>tier - 2</v>
      </c>
    </row>
    <row r="243">
      <c r="A243" s="25" t="s">
        <v>784</v>
      </c>
      <c r="B243" s="28" t="str">
        <f t="array" ref="B243">_xlfn.XLOOKUP($A243, 'Customer Names'!$A:$A, 'Customer Names'!B:B, "No Data")</f>
        <v>Wilson</v>
      </c>
      <c r="C243" s="28">
        <f t="array" ref="C243">_xlfn.XLOOKUP($A243, 'Medical Examinations'!$A:$A, 'Medical Examinations'!B:B, "No Data")</f>
        <v>37.74</v>
      </c>
      <c r="D243" s="28">
        <f t="array" ref="D243">_xlfn.XLOOKUP($A243, 'Medical Examinations'!$A:$A, 'Medical Examinations'!C:C, "No Data")</f>
        <v>9.53</v>
      </c>
      <c r="E243" s="28" t="str">
        <f t="array" ref="E243">_xlfn.XLOOKUP($A243, 'Medical Examinations'!$A:$A, 'Medical Examinations'!D:D, "No Data")</f>
        <v>yes</v>
      </c>
      <c r="F243" s="28" t="str">
        <f t="array" ref="F243">_xlfn.XLOOKUP($A243, 'Medical Examinations'!$A:$A, 'Medical Examinations'!E:E, "No Data")</f>
        <v>No</v>
      </c>
      <c r="G243" s="28" t="str">
        <f t="array" ref="G243">_xlfn.XLOOKUP($A243, 'Medical Examinations'!$A:$A, 'Medical Examinations'!F:F, "No Data")</f>
        <v>No</v>
      </c>
      <c r="H243" s="28">
        <f t="array" ref="H243">_xlfn.XLOOKUP($A243, 'Medical Examinations'!$A:$A, 'Medical Examinations'!G:G, "No Data")</f>
        <v>1</v>
      </c>
      <c r="I243" s="28" t="str">
        <f t="array" ref="I243">_xlfn.XLOOKUP($A243, 'Medical Examinations'!$A:$A, 'Medical Examinations'!H:H, "No Data")</f>
        <v>yes</v>
      </c>
      <c r="J243" s="28" t="str">
        <f t="array" ref="J243">_xlfn.XLOOKUP($A243, 'Medical Examinations'!$A:$A, 'Medical Examinations'!I:I, "No Data")</f>
        <v>Obesity</v>
      </c>
      <c r="K243" s="28" t="str">
        <f t="array" ref="K243">_xlfn.XLOOKUP($A243, 'Hospitalisation Details'!$A:$A, 'Hospitalisation Details'!I:I, "No Data")</f>
        <v>tier - 2</v>
      </c>
      <c r="L243" s="28" t="str">
        <f t="array" ref="L243">_xlfn.XLOOKUP($A243, 'Hospitalisation Details'!$A:$A, 'Hospitalisation Details'!J:J, "No Data")</f>
        <v>R1011</v>
      </c>
      <c r="M243" s="28" t="str">
        <f t="array" ref="M243">_xlfn.XLOOKUP($A243, 'Hospitalisation Details'!$A:$A, 'Hospitalisation Details'!E:E, "No Data")</f>
        <v>11/10/86</v>
      </c>
      <c r="N243" s="28">
        <f t="array" ref="N243">_xlfn.XLOOKUP($A243, 'Hospitalisation Details'!$A:$A, 'Hospitalisation Details'!K:K, "No Data")</f>
        <v>36</v>
      </c>
      <c r="O243" s="33">
        <f t="array" ref="O243">_xlfn.XLOOKUP($A243, 'Hospitalisation Details'!$A:$A, 'Hospitalisation Details'!G:G, "No Data")</f>
        <v>34293.12</v>
      </c>
      <c r="P243" s="28" t="str">
        <f t="array" ref="P243">_xlfn.XLOOKUP($A243, 'Hospitalisation Details'!$A:$A, 'Hospitalisation Details'!H:H, "No Data")</f>
        <v>tier - 1</v>
      </c>
    </row>
    <row r="244">
      <c r="A244" s="25" t="s">
        <v>787</v>
      </c>
      <c r="B244" s="28" t="str">
        <f t="array" ref="B244">_xlfn.XLOOKUP($A244, 'Customer Names'!$A:$A, 'Customer Names'!B:B, "No Data")</f>
        <v>Hall</v>
      </c>
      <c r="C244" s="28">
        <f t="array" ref="C244">_xlfn.XLOOKUP($A244, 'Medical Examinations'!$A:$A, 'Medical Examinations'!B:B, "No Data")</f>
        <v>48.75</v>
      </c>
      <c r="D244" s="28">
        <f t="array" ref="D244">_xlfn.XLOOKUP($A244, 'Medical Examinations'!$A:$A, 'Medical Examinations'!C:C, "No Data")</f>
        <v>4.64</v>
      </c>
      <c r="E244" s="28" t="str">
        <f t="array" ref="E244">_xlfn.XLOOKUP($A244, 'Medical Examinations'!$A:$A, 'Medical Examinations'!D:D, "No Data")</f>
        <v>yes</v>
      </c>
      <c r="F244" s="28" t="str">
        <f t="array" ref="F244">_xlfn.XLOOKUP($A244, 'Medical Examinations'!$A:$A, 'Medical Examinations'!E:E, "No Data")</f>
        <v>No</v>
      </c>
      <c r="G244" s="28" t="str">
        <f t="array" ref="G244">_xlfn.XLOOKUP($A244, 'Medical Examinations'!$A:$A, 'Medical Examinations'!F:F, "No Data")</f>
        <v>No</v>
      </c>
      <c r="H244" s="28">
        <f t="array" ref="H244">_xlfn.XLOOKUP($A244, 'Medical Examinations'!$A:$A, 'Medical Examinations'!G:G, "No Data")</f>
        <v>1</v>
      </c>
      <c r="I244" s="28" t="str">
        <f t="array" ref="I244">_xlfn.XLOOKUP($A244, 'Medical Examinations'!$A:$A, 'Medical Examinations'!H:H, "No Data")</f>
        <v>yes</v>
      </c>
      <c r="J244" s="28" t="str">
        <f t="array" ref="J244">_xlfn.XLOOKUP($A244, 'Medical Examinations'!$A:$A, 'Medical Examinations'!I:I, "No Data")</f>
        <v>Obesity</v>
      </c>
      <c r="K244" s="28" t="str">
        <f t="array" ref="K244">_xlfn.XLOOKUP($A244, 'Hospitalisation Details'!$A:$A, 'Hospitalisation Details'!I:I, "No Data")</f>
        <v>tier - 1</v>
      </c>
      <c r="L244" s="28" t="str">
        <f t="array" ref="L244">_xlfn.XLOOKUP($A244, 'Hospitalisation Details'!$A:$A, 'Hospitalisation Details'!J:J, "No Data")</f>
        <v>R1011</v>
      </c>
      <c r="M244" s="28" t="str">
        <f t="array" ref="M244">_xlfn.XLOOKUP($A244, 'Hospitalisation Details'!$A:$A, 'Hospitalisation Details'!E:E, "No Data")</f>
        <v>30/10/95</v>
      </c>
      <c r="N244" s="28">
        <f t="array" ref="N244">_xlfn.XLOOKUP($A244, 'Hospitalisation Details'!$A:$A, 'Hospitalisation Details'!K:K, "No Data")</f>
        <v>27</v>
      </c>
      <c r="O244" s="33">
        <f t="array" ref="O244">_xlfn.XLOOKUP($A244, 'Hospitalisation Details'!$A:$A, 'Hospitalisation Details'!G:G, "No Data")</f>
        <v>34289.43</v>
      </c>
      <c r="P244" s="28" t="str">
        <f t="array" ref="P244">_xlfn.XLOOKUP($A244, 'Hospitalisation Details'!$A:$A, 'Hospitalisation Details'!H:H, "No Data")</f>
        <v>tier - 1</v>
      </c>
    </row>
    <row r="245">
      <c r="A245" s="25" t="s">
        <v>790</v>
      </c>
      <c r="B245" s="28" t="str">
        <f t="array" ref="B245">_xlfn.XLOOKUP($A245, 'Customer Names'!$A:$A, 'Customer Names'!B:B, "No Data")</f>
        <v>Reed</v>
      </c>
      <c r="C245" s="28">
        <f t="array" ref="C245">_xlfn.XLOOKUP($A245, 'Medical Examinations'!$A:$A, 'Medical Examinations'!B:B, "No Data")</f>
        <v>31.065</v>
      </c>
      <c r="D245" s="28">
        <f t="array" ref="D245">_xlfn.XLOOKUP($A245, 'Medical Examinations'!$A:$A, 'Medical Examinations'!C:C, "No Data")</f>
        <v>5.05</v>
      </c>
      <c r="E245" s="28" t="str">
        <f t="array" ref="E245">_xlfn.XLOOKUP($A245, 'Medical Examinations'!$A:$A, 'Medical Examinations'!D:D, "No Data")</f>
        <v>No</v>
      </c>
      <c r="F245" s="28" t="str">
        <f t="array" ref="F245">_xlfn.XLOOKUP($A245, 'Medical Examinations'!$A:$A, 'Medical Examinations'!E:E, "No Data")</f>
        <v>No</v>
      </c>
      <c r="G245" s="28" t="str">
        <f t="array" ref="G245">_xlfn.XLOOKUP($A245, 'Medical Examinations'!$A:$A, 'Medical Examinations'!F:F, "No Data")</f>
        <v>No</v>
      </c>
      <c r="H245" s="28">
        <f t="array" ref="H245">_xlfn.XLOOKUP($A245, 'Medical Examinations'!$A:$A, 'Medical Examinations'!G:G, "No Data")</f>
        <v>1</v>
      </c>
      <c r="I245" s="28" t="str">
        <f t="array" ref="I245">_xlfn.XLOOKUP($A245, 'Medical Examinations'!$A:$A, 'Medical Examinations'!H:H, "No Data")</f>
        <v>yes</v>
      </c>
      <c r="J245" s="28" t="str">
        <f t="array" ref="J245">_xlfn.XLOOKUP($A245, 'Medical Examinations'!$A:$A, 'Medical Examinations'!I:I, "No Data")</f>
        <v>Obesity</v>
      </c>
      <c r="K245" s="28" t="str">
        <f t="array" ref="K245">_xlfn.XLOOKUP($A245, 'Hospitalisation Details'!$A:$A, 'Hospitalisation Details'!I:I, "No Data")</f>
        <v>tier - 3</v>
      </c>
      <c r="L245" s="28" t="str">
        <f t="array" ref="L245">_xlfn.XLOOKUP($A245, 'Hospitalisation Details'!$A:$A, 'Hospitalisation Details'!J:J, "No Data")</f>
        <v>R1019</v>
      </c>
      <c r="M245" s="28" t="str">
        <f t="array" ref="M245">_xlfn.XLOOKUP($A245, 'Hospitalisation Details'!$A:$A, 'Hospitalisation Details'!E:E, "No Data")</f>
        <v>11/06/98</v>
      </c>
      <c r="N245" s="28">
        <f t="array" ref="N245">_xlfn.XLOOKUP($A245, 'Hospitalisation Details'!$A:$A, 'Hospitalisation Details'!K:K, "No Data")</f>
        <v>24</v>
      </c>
      <c r="O245" s="33">
        <f t="array" ref="O245">_xlfn.XLOOKUP($A245, 'Hospitalisation Details'!$A:$A, 'Hospitalisation Details'!G:G, "No Data")</f>
        <v>34254.05</v>
      </c>
      <c r="P245" s="28" t="str">
        <f t="array" ref="P245">_xlfn.XLOOKUP($A245, 'Hospitalisation Details'!$A:$A, 'Hospitalisation Details'!H:H, "No Data")</f>
        <v>tier - 1</v>
      </c>
    </row>
    <row r="246">
      <c r="A246" s="25" t="s">
        <v>793</v>
      </c>
      <c r="B246" s="28" t="str">
        <f t="array" ref="B246">_xlfn.XLOOKUP($A246, 'Customer Names'!$A:$A, 'Customer Names'!B:B, "No Data")</f>
        <v>Frome</v>
      </c>
      <c r="C246" s="28">
        <f t="array" ref="C246">_xlfn.XLOOKUP($A246, 'Medical Examinations'!$A:$A, 'Medical Examinations'!B:B, "No Data")</f>
        <v>23.55</v>
      </c>
      <c r="D246" s="28">
        <f t="array" ref="D246">_xlfn.XLOOKUP($A246, 'Medical Examinations'!$A:$A, 'Medical Examinations'!C:C, "No Data")</f>
        <v>10.38</v>
      </c>
      <c r="E246" s="28" t="str">
        <f t="array" ref="E246">_xlfn.XLOOKUP($A246, 'Medical Examinations'!$A:$A, 'Medical Examinations'!D:D, "No Data")</f>
        <v>No</v>
      </c>
      <c r="F246" s="28" t="str">
        <f t="array" ref="F246">_xlfn.XLOOKUP($A246, 'Medical Examinations'!$A:$A, 'Medical Examinations'!E:E, "No Data")</f>
        <v>No</v>
      </c>
      <c r="G246" s="28" t="str">
        <f t="array" ref="G246">_xlfn.XLOOKUP($A246, 'Medical Examinations'!$A:$A, 'Medical Examinations'!F:F, "No Data")</f>
        <v>No</v>
      </c>
      <c r="H246" s="28">
        <f t="array" ref="H246">_xlfn.XLOOKUP($A246, 'Medical Examinations'!$A:$A, 'Medical Examinations'!G:G, "No Data")</f>
        <v>0</v>
      </c>
      <c r="I246" s="28" t="str">
        <f t="array" ref="I246">_xlfn.XLOOKUP($A246, 'Medical Examinations'!$A:$A, 'Medical Examinations'!H:H, "No Data")</f>
        <v>yes</v>
      </c>
      <c r="J246" s="28" t="str">
        <f t="array" ref="J246">_xlfn.XLOOKUP($A246, 'Medical Examinations'!$A:$A, 'Medical Examinations'!I:I, "No Data")</f>
        <v>Normal Weight</v>
      </c>
      <c r="K246" s="28" t="str">
        <f t="array" ref="K246">_xlfn.XLOOKUP($A246, 'Hospitalisation Details'!$A:$A, 'Hospitalisation Details'!I:I, "No Data")</f>
        <v>tier - 1</v>
      </c>
      <c r="L246" s="28" t="str">
        <f t="array" ref="L246">_xlfn.XLOOKUP($A246, 'Hospitalisation Details'!$A:$A, 'Hospitalisation Details'!J:J, "No Data")</f>
        <v>R1011</v>
      </c>
      <c r="M246" s="28" t="str">
        <f t="array" ref="M246">_xlfn.XLOOKUP($A246, 'Hospitalisation Details'!$A:$A, 'Hospitalisation Details'!E:E, "No Data")</f>
        <v>05/07/62</v>
      </c>
      <c r="N246" s="28">
        <f t="array" ref="N246">_xlfn.XLOOKUP($A246, 'Hospitalisation Details'!$A:$A, 'Hospitalisation Details'!K:K, "No Data")</f>
        <v>60</v>
      </c>
      <c r="O246" s="33">
        <f t="array" ref="O246">_xlfn.XLOOKUP($A246, 'Hospitalisation Details'!$A:$A, 'Hospitalisation Details'!G:G, "No Data")</f>
        <v>34218.02</v>
      </c>
      <c r="P246" s="28" t="str">
        <f t="array" ref="P246">_xlfn.XLOOKUP($A246, 'Hospitalisation Details'!$A:$A, 'Hospitalisation Details'!H:H, "No Data")</f>
        <v>tier - 1</v>
      </c>
    </row>
    <row r="247">
      <c r="A247" s="25" t="s">
        <v>796</v>
      </c>
      <c r="B247" s="28" t="str">
        <f t="array" ref="B247">_xlfn.XLOOKUP($A247, 'Customer Names'!$A:$A, 'Customer Names'!B:B, "No Data")</f>
        <v>Creasy</v>
      </c>
      <c r="C247" s="28">
        <f t="array" ref="C247">_xlfn.XLOOKUP($A247, 'Medical Examinations'!$A:$A, 'Medical Examinations'!B:B, "No Data")</f>
        <v>30.18</v>
      </c>
      <c r="D247" s="28">
        <f t="array" ref="D247">_xlfn.XLOOKUP($A247, 'Medical Examinations'!$A:$A, 'Medical Examinations'!C:C, "No Data")</f>
        <v>8.31</v>
      </c>
      <c r="E247" s="28" t="str">
        <f t="array" ref="E247">_xlfn.XLOOKUP($A247, 'Medical Examinations'!$A:$A, 'Medical Examinations'!D:D, "No Data")</f>
        <v>yes</v>
      </c>
      <c r="F247" s="28" t="str">
        <f t="array" ref="F247">_xlfn.XLOOKUP($A247, 'Medical Examinations'!$A:$A, 'Medical Examinations'!E:E, "No Data")</f>
        <v>No</v>
      </c>
      <c r="G247" s="28" t="str">
        <f t="array" ref="G247">_xlfn.XLOOKUP($A247, 'Medical Examinations'!$A:$A, 'Medical Examinations'!F:F, "No Data")</f>
        <v>No</v>
      </c>
      <c r="H247" s="28">
        <f t="array" ref="H247">_xlfn.XLOOKUP($A247, 'Medical Examinations'!$A:$A, 'Medical Examinations'!G:G, "No Data")</f>
        <v>1</v>
      </c>
      <c r="I247" s="28" t="str">
        <f t="array" ref="I247">_xlfn.XLOOKUP($A247, 'Medical Examinations'!$A:$A, 'Medical Examinations'!H:H, "No Data")</f>
        <v>yes</v>
      </c>
      <c r="J247" s="28" t="str">
        <f t="array" ref="J247">_xlfn.XLOOKUP($A247, 'Medical Examinations'!$A:$A, 'Medical Examinations'!I:I, "No Data")</f>
        <v>Obesity</v>
      </c>
      <c r="K247" s="28" t="str">
        <f t="array" ref="K247">_xlfn.XLOOKUP($A247, 'Hospitalisation Details'!$A:$A, 'Hospitalisation Details'!I:I, "No Data")</f>
        <v>tier - 1</v>
      </c>
      <c r="L247" s="28" t="str">
        <f t="array" ref="L247">_xlfn.XLOOKUP($A247, 'Hospitalisation Details'!$A:$A, 'Hospitalisation Details'!J:J, "No Data")</f>
        <v>R1012</v>
      </c>
      <c r="M247" s="28" t="str">
        <f t="array" ref="M247">_xlfn.XLOOKUP($A247, 'Hospitalisation Details'!$A:$A, 'Hospitalisation Details'!E:E, "No Data")</f>
        <v>21/07/75</v>
      </c>
      <c r="N247" s="28">
        <f t="array" ref="N247">_xlfn.XLOOKUP($A247, 'Hospitalisation Details'!$A:$A, 'Hospitalisation Details'!K:K, "No Data")</f>
        <v>47</v>
      </c>
      <c r="O247" s="33">
        <f t="array" ref="O247">_xlfn.XLOOKUP($A247, 'Hospitalisation Details'!$A:$A, 'Hospitalisation Details'!G:G, "No Data")</f>
        <v>34210.33</v>
      </c>
      <c r="P247" s="28" t="str">
        <f t="array" ref="P247">_xlfn.XLOOKUP($A247, 'Hospitalisation Details'!$A:$A, 'Hospitalisation Details'!H:H, "No Data")</f>
        <v>tier - 2</v>
      </c>
    </row>
    <row r="248">
      <c r="A248" s="25" t="s">
        <v>799</v>
      </c>
      <c r="B248" s="28" t="str">
        <f t="array" ref="B248">_xlfn.XLOOKUP($A248, 'Customer Names'!$A:$A, 'Customer Names'!B:B, "No Data")</f>
        <v>Latimer</v>
      </c>
      <c r="C248" s="28">
        <f t="array" ref="C248">_xlfn.XLOOKUP($A248, 'Medical Examinations'!$A:$A, 'Medical Examinations'!B:B, "No Data")</f>
        <v>29.94</v>
      </c>
      <c r="D248" s="28">
        <f t="array" ref="D248">_xlfn.XLOOKUP($A248, 'Medical Examinations'!$A:$A, 'Medical Examinations'!C:C, "No Data")</f>
        <v>7.59</v>
      </c>
      <c r="E248" s="28" t="str">
        <f t="array" ref="E248">_xlfn.XLOOKUP($A248, 'Medical Examinations'!$A:$A, 'Medical Examinations'!D:D, "No Data")</f>
        <v>No</v>
      </c>
      <c r="F248" s="28" t="str">
        <f t="array" ref="F248">_xlfn.XLOOKUP($A248, 'Medical Examinations'!$A:$A, 'Medical Examinations'!E:E, "No Data")</f>
        <v>No</v>
      </c>
      <c r="G248" s="28" t="str">
        <f t="array" ref="G248">_xlfn.XLOOKUP($A248, 'Medical Examinations'!$A:$A, 'Medical Examinations'!F:F, "No Data")</f>
        <v>No</v>
      </c>
      <c r="H248" s="28">
        <f t="array" ref="H248">_xlfn.XLOOKUP($A248, 'Medical Examinations'!$A:$A, 'Medical Examinations'!G:G, "No Data")</f>
        <v>0</v>
      </c>
      <c r="I248" s="28" t="str">
        <f t="array" ref="I248">_xlfn.XLOOKUP($A248, 'Medical Examinations'!$A:$A, 'Medical Examinations'!H:H, "No Data")</f>
        <v>yes</v>
      </c>
      <c r="J248" s="28" t="str">
        <f t="array" ref="J248">_xlfn.XLOOKUP($A248, 'Medical Examinations'!$A:$A, 'Medical Examinations'!I:I, "No Data")</f>
        <v>Overweight</v>
      </c>
      <c r="K248" s="28" t="str">
        <f t="array" ref="K248">_xlfn.XLOOKUP($A248, 'Hospitalisation Details'!$A:$A, 'Hospitalisation Details'!I:I, "No Data")</f>
        <v>tier - 2</v>
      </c>
      <c r="L248" s="28" t="str">
        <f t="array" ref="L248">_xlfn.XLOOKUP($A248, 'Hospitalisation Details'!$A:$A, 'Hospitalisation Details'!J:J, "No Data")</f>
        <v>R1011</v>
      </c>
      <c r="M248" s="28" t="str">
        <f t="array" ref="M248">_xlfn.XLOOKUP($A248, 'Hospitalisation Details'!$A:$A, 'Hospitalisation Details'!E:E, "No Data")</f>
        <v>25/08/71</v>
      </c>
      <c r="N248" s="28">
        <f t="array" ref="N248">_xlfn.XLOOKUP($A248, 'Hospitalisation Details'!$A:$A, 'Hospitalisation Details'!K:K, "No Data")</f>
        <v>51</v>
      </c>
      <c r="O248" s="33">
        <f t="array" ref="O248">_xlfn.XLOOKUP($A248, 'Hospitalisation Details'!$A:$A, 'Hospitalisation Details'!G:G, "No Data")</f>
        <v>34205.07</v>
      </c>
      <c r="P248" s="28" t="str">
        <f t="array" ref="P248">_xlfn.XLOOKUP($A248, 'Hospitalisation Details'!$A:$A, 'Hospitalisation Details'!H:H, "No Data")</f>
        <v>tier - 2</v>
      </c>
    </row>
    <row r="249">
      <c r="A249" s="25" t="s">
        <v>802</v>
      </c>
      <c r="B249" s="28" t="str">
        <f t="array" ref="B249">_xlfn.XLOOKUP($A249, 'Customer Names'!$A:$A, 'Customer Names'!B:B, "No Data")</f>
        <v>Wei</v>
      </c>
      <c r="C249" s="28">
        <f t="array" ref="C249">_xlfn.XLOOKUP($A249, 'Medical Examinations'!$A:$A, 'Medical Examinations'!B:B, "No Data")</f>
        <v>31.4</v>
      </c>
      <c r="D249" s="28">
        <f t="array" ref="D249">_xlfn.XLOOKUP($A249, 'Medical Examinations'!$A:$A, 'Medical Examinations'!C:C, "No Data")</f>
        <v>5.49</v>
      </c>
      <c r="E249" s="28" t="str">
        <f t="array" ref="E249">_xlfn.XLOOKUP($A249, 'Medical Examinations'!$A:$A, 'Medical Examinations'!D:D, "No Data")</f>
        <v>No</v>
      </c>
      <c r="F249" s="28" t="str">
        <f t="array" ref="F249">_xlfn.XLOOKUP($A249, 'Medical Examinations'!$A:$A, 'Medical Examinations'!E:E, "No Data")</f>
        <v>No</v>
      </c>
      <c r="G249" s="28" t="str">
        <f t="array" ref="G249">_xlfn.XLOOKUP($A249, 'Medical Examinations'!$A:$A, 'Medical Examinations'!F:F, "No Data")</f>
        <v>No</v>
      </c>
      <c r="H249" s="28">
        <f t="array" ref="H249">_xlfn.XLOOKUP($A249, 'Medical Examinations'!$A:$A, 'Medical Examinations'!G:G, "No Data")</f>
        <v>0</v>
      </c>
      <c r="I249" s="28" t="str">
        <f t="array" ref="I249">_xlfn.XLOOKUP($A249, 'Medical Examinations'!$A:$A, 'Medical Examinations'!H:H, "No Data")</f>
        <v>yes</v>
      </c>
      <c r="J249" s="28" t="str">
        <f t="array" ref="J249">_xlfn.XLOOKUP($A249, 'Medical Examinations'!$A:$A, 'Medical Examinations'!I:I, "No Data")</f>
        <v>Obesity</v>
      </c>
      <c r="K249" s="28" t="str">
        <f t="array" ref="K249">_xlfn.XLOOKUP($A249, 'Hospitalisation Details'!$A:$A, 'Hospitalisation Details'!I:I, "No Data")</f>
        <v>tier - 3</v>
      </c>
      <c r="L249" s="28" t="str">
        <f t="array" ref="L249">_xlfn.XLOOKUP($A249, 'Hospitalisation Details'!$A:$A, 'Hospitalisation Details'!J:J, "No Data")</f>
        <v>R1011</v>
      </c>
      <c r="M249" s="28" t="str">
        <f t="array" ref="M249">_xlfn.XLOOKUP($A249, 'Hospitalisation Details'!$A:$A, 'Hospitalisation Details'!E:E, "No Data")</f>
        <v>06/11/99</v>
      </c>
      <c r="N249" s="28">
        <f t="array" ref="N249">_xlfn.XLOOKUP($A249, 'Hospitalisation Details'!$A:$A, 'Hospitalisation Details'!K:K, "No Data")</f>
        <v>23</v>
      </c>
      <c r="O249" s="33">
        <f t="array" ref="O249">_xlfn.XLOOKUP($A249, 'Hospitalisation Details'!$A:$A, 'Hospitalisation Details'!G:G, "No Data")</f>
        <v>34166.27</v>
      </c>
      <c r="P249" s="28" t="str">
        <f t="array" ref="P249">_xlfn.XLOOKUP($A249, 'Hospitalisation Details'!$A:$A, 'Hospitalisation Details'!H:H, "No Data")</f>
        <v>tier - 2</v>
      </c>
    </row>
    <row r="250">
      <c r="A250" s="25" t="s">
        <v>805</v>
      </c>
      <c r="B250" s="28" t="str">
        <f t="array" ref="B250">_xlfn.XLOOKUP($A250, 'Customer Names'!$A:$A, 'Customer Names'!B:B, "No Data")</f>
        <v>Hayes</v>
      </c>
      <c r="C250" s="28">
        <f t="array" ref="C250">_xlfn.XLOOKUP($A250, 'Medical Examinations'!$A:$A, 'Medical Examinations'!B:B, "No Data")</f>
        <v>53.06</v>
      </c>
      <c r="D250" s="28">
        <f t="array" ref="D250">_xlfn.XLOOKUP($A250, 'Medical Examinations'!$A:$A, 'Medical Examinations'!C:C, "No Data")</f>
        <v>11.68</v>
      </c>
      <c r="E250" s="28" t="str">
        <f t="array" ref="E250">_xlfn.XLOOKUP($A250, 'Medical Examinations'!$A:$A, 'Medical Examinations'!D:D, "No Data")</f>
        <v>No</v>
      </c>
      <c r="F250" s="28" t="str">
        <f t="array" ref="F250">_xlfn.XLOOKUP($A250, 'Medical Examinations'!$A:$A, 'Medical Examinations'!E:E, "No Data")</f>
        <v>No</v>
      </c>
      <c r="G250" s="28" t="str">
        <f t="array" ref="G250">_xlfn.XLOOKUP($A250, 'Medical Examinations'!$A:$A, 'Medical Examinations'!F:F, "No Data")</f>
        <v>No</v>
      </c>
      <c r="H250" s="28">
        <f t="array" ref="H250">_xlfn.XLOOKUP($A250, 'Medical Examinations'!$A:$A, 'Medical Examinations'!G:G, "No Data")</f>
        <v>0</v>
      </c>
      <c r="I250" s="28" t="str">
        <f t="array" ref="I250">_xlfn.XLOOKUP($A250, 'Medical Examinations'!$A:$A, 'Medical Examinations'!H:H, "No Data")</f>
        <v>yes</v>
      </c>
      <c r="J250" s="28" t="str">
        <f t="array" ref="J250">_xlfn.XLOOKUP($A250, 'Medical Examinations'!$A:$A, 'Medical Examinations'!I:I, "No Data")</f>
        <v>Obesity</v>
      </c>
      <c r="K250" s="28" t="str">
        <f t="array" ref="K250">_xlfn.XLOOKUP($A250, 'Hospitalisation Details'!$A:$A, 'Hospitalisation Details'!I:I, "No Data")</f>
        <v>tier - 3</v>
      </c>
      <c r="L250" s="28" t="str">
        <f t="array" ref="L250">_xlfn.XLOOKUP($A250, 'Hospitalisation Details'!$A:$A, 'Hospitalisation Details'!J:J, "No Data")</f>
        <v>R1011</v>
      </c>
      <c r="M250" s="28" t="str">
        <f t="array" ref="M250">_xlfn.XLOOKUP($A250, 'Hospitalisation Details'!$A:$A, 'Hospitalisation Details'!E:E, "No Data")</f>
        <v>26/12/02</v>
      </c>
      <c r="N250" s="28">
        <f t="array" ref="N250">_xlfn.XLOOKUP($A250, 'Hospitalisation Details'!$A:$A, 'Hospitalisation Details'!K:K, "No Data")</f>
        <v>20</v>
      </c>
      <c r="O250" s="33">
        <f t="array" ref="O250">_xlfn.XLOOKUP($A250, 'Hospitalisation Details'!$A:$A, 'Hospitalisation Details'!G:G, "No Data")</f>
        <v>34084.68</v>
      </c>
      <c r="P250" s="28" t="str">
        <f t="array" ref="P250">_xlfn.XLOOKUP($A250, 'Hospitalisation Details'!$A:$A, 'Hospitalisation Details'!H:H, "No Data")</f>
        <v>tier - 2</v>
      </c>
    </row>
    <row r="251">
      <c r="A251" s="25" t="s">
        <v>808</v>
      </c>
      <c r="B251" s="28" t="str">
        <f t="array" ref="B251">_xlfn.XLOOKUP($A251, 'Customer Names'!$A:$A, 'Customer Names'!B:B, "No Data")</f>
        <v>Velardo</v>
      </c>
      <c r="C251" s="28">
        <f t="array" ref="C251">_xlfn.XLOOKUP($A251, 'Medical Examinations'!$A:$A, 'Medical Examinations'!B:B, "No Data")</f>
        <v>30.25</v>
      </c>
      <c r="D251" s="28">
        <f t="array" ref="D251">_xlfn.XLOOKUP($A251, 'Medical Examinations'!$A:$A, 'Medical Examinations'!C:C, "No Data")</f>
        <v>4.19</v>
      </c>
      <c r="E251" s="28" t="str">
        <f t="array" ref="E251">_xlfn.XLOOKUP($A251, 'Medical Examinations'!$A:$A, 'Medical Examinations'!D:D, "No Data")</f>
        <v>No</v>
      </c>
      <c r="F251" s="28" t="str">
        <f t="array" ref="F251">_xlfn.XLOOKUP($A251, 'Medical Examinations'!$A:$A, 'Medical Examinations'!E:E, "No Data")</f>
        <v>No</v>
      </c>
      <c r="G251" s="28" t="str">
        <f t="array" ref="G251">_xlfn.XLOOKUP($A251, 'Medical Examinations'!$A:$A, 'Medical Examinations'!F:F, "No Data")</f>
        <v>No</v>
      </c>
      <c r="H251" s="28">
        <f t="array" ref="H251">_xlfn.XLOOKUP($A251, 'Medical Examinations'!$A:$A, 'Medical Examinations'!G:G, "No Data")</f>
        <v>2</v>
      </c>
      <c r="I251" s="28" t="str">
        <f t="array" ref="I251">_xlfn.XLOOKUP($A251, 'Medical Examinations'!$A:$A, 'Medical Examinations'!H:H, "No Data")</f>
        <v>yes</v>
      </c>
      <c r="J251" s="28" t="str">
        <f t="array" ref="J251">_xlfn.XLOOKUP($A251, 'Medical Examinations'!$A:$A, 'Medical Examinations'!I:I, "No Data")</f>
        <v>Obesity</v>
      </c>
      <c r="K251" s="28" t="str">
        <f t="array" ref="K251">_xlfn.XLOOKUP($A251, 'Hospitalisation Details'!$A:$A, 'Hospitalisation Details'!I:I, "No Data")</f>
        <v>tier - 2</v>
      </c>
      <c r="L251" s="28" t="str">
        <f t="array" ref="L251">_xlfn.XLOOKUP($A251, 'Hospitalisation Details'!$A:$A, 'Hospitalisation Details'!J:J, "No Data")</f>
        <v>R1011</v>
      </c>
      <c r="M251" s="28" t="str">
        <f t="array" ref="M251">_xlfn.XLOOKUP($A251, 'Hospitalisation Details'!$A:$A, 'Hospitalisation Details'!E:E, "No Data")</f>
        <v>26/07/72</v>
      </c>
      <c r="N251" s="28">
        <f t="array" ref="N251">_xlfn.XLOOKUP($A251, 'Hospitalisation Details'!$A:$A, 'Hospitalisation Details'!K:K, "No Data")</f>
        <v>50</v>
      </c>
      <c r="O251" s="33">
        <f t="array" ref="O251">_xlfn.XLOOKUP($A251, 'Hospitalisation Details'!$A:$A, 'Hospitalisation Details'!G:G, "No Data")</f>
        <v>34053.36</v>
      </c>
      <c r="P251" s="28" t="str">
        <f t="array" ref="P251">_xlfn.XLOOKUP($A251, 'Hospitalisation Details'!$A:$A, 'Hospitalisation Details'!H:H, "No Data")</f>
        <v>tier - 2</v>
      </c>
    </row>
    <row r="252">
      <c r="A252" s="25" t="s">
        <v>811</v>
      </c>
      <c r="B252" s="28" t="str">
        <f t="array" ref="B252">_xlfn.XLOOKUP($A252, 'Customer Names'!$A:$A, 'Customer Names'!B:B, "No Data")</f>
        <v>Kastes</v>
      </c>
      <c r="C252" s="28">
        <f t="array" ref="C252">_xlfn.XLOOKUP($A252, 'Medical Examinations'!$A:$A, 'Medical Examinations'!B:B, "No Data")</f>
        <v>46.68</v>
      </c>
      <c r="D252" s="28">
        <f t="array" ref="D252">_xlfn.XLOOKUP($A252, 'Medical Examinations'!$A:$A, 'Medical Examinations'!C:C, "No Data")</f>
        <v>4.01</v>
      </c>
      <c r="E252" s="28" t="str">
        <f t="array" ref="E252">_xlfn.XLOOKUP($A252, 'Medical Examinations'!$A:$A, 'Medical Examinations'!D:D, "No Data")</f>
        <v>No</v>
      </c>
      <c r="F252" s="28" t="str">
        <f t="array" ref="F252">_xlfn.XLOOKUP($A252, 'Medical Examinations'!$A:$A, 'Medical Examinations'!E:E, "No Data")</f>
        <v>No</v>
      </c>
      <c r="G252" s="28" t="str">
        <f t="array" ref="G252">_xlfn.XLOOKUP($A252, 'Medical Examinations'!$A:$A, 'Medical Examinations'!F:F, "No Data")</f>
        <v>No</v>
      </c>
      <c r="H252" s="28">
        <f t="array" ref="H252">_xlfn.XLOOKUP($A252, 'Medical Examinations'!$A:$A, 'Medical Examinations'!G:G, "No Data")</f>
        <v>0</v>
      </c>
      <c r="I252" s="28" t="str">
        <f t="array" ref="I252">_xlfn.XLOOKUP($A252, 'Medical Examinations'!$A:$A, 'Medical Examinations'!H:H, "No Data")</f>
        <v>yes</v>
      </c>
      <c r="J252" s="28" t="str">
        <f t="array" ref="J252">_xlfn.XLOOKUP($A252, 'Medical Examinations'!$A:$A, 'Medical Examinations'!I:I, "No Data")</f>
        <v>Obesity</v>
      </c>
      <c r="K252" s="28" t="str">
        <f t="array" ref="K252">_xlfn.XLOOKUP($A252, 'Hospitalisation Details'!$A:$A, 'Hospitalisation Details'!I:I, "No Data")</f>
        <v>tier - 2</v>
      </c>
      <c r="L252" s="28" t="str">
        <f t="array" ref="L252">_xlfn.XLOOKUP($A252, 'Hospitalisation Details'!$A:$A, 'Hospitalisation Details'!J:J, "No Data")</f>
        <v>R1011</v>
      </c>
      <c r="M252" s="28" t="str">
        <f t="array" ref="M252">_xlfn.XLOOKUP($A252, 'Hospitalisation Details'!$A:$A, 'Hospitalisation Details'!E:E, "No Data")</f>
        <v>25/09/94</v>
      </c>
      <c r="N252" s="28">
        <f t="array" ref="N252">_xlfn.XLOOKUP($A252, 'Hospitalisation Details'!$A:$A, 'Hospitalisation Details'!K:K, "No Data")</f>
        <v>28</v>
      </c>
      <c r="O252" s="33">
        <f t="array" ref="O252">_xlfn.XLOOKUP($A252, 'Hospitalisation Details'!$A:$A, 'Hospitalisation Details'!G:G, "No Data")</f>
        <v>33975.47</v>
      </c>
      <c r="P252" s="28" t="str">
        <f t="array" ref="P252">_xlfn.XLOOKUP($A252, 'Hospitalisation Details'!$A:$A, 'Hospitalisation Details'!H:H, "No Data")</f>
        <v>tier - 2</v>
      </c>
    </row>
    <row r="253">
      <c r="A253" s="25" t="s">
        <v>814</v>
      </c>
      <c r="B253" s="28" t="str">
        <f t="array" ref="B253">_xlfn.XLOOKUP($A253, 'Customer Names'!$A:$A, 'Customer Names'!B:B, "No Data")</f>
        <v>Escorcia</v>
      </c>
      <c r="C253" s="28">
        <f t="array" ref="C253">_xlfn.XLOOKUP($A253, 'Medical Examinations'!$A:$A, 'Medical Examinations'!B:B, "No Data")</f>
        <v>30.4</v>
      </c>
      <c r="D253" s="28">
        <f t="array" ref="D253">_xlfn.XLOOKUP($A253, 'Medical Examinations'!$A:$A, 'Medical Examinations'!C:C, "No Data")</f>
        <v>5.91</v>
      </c>
      <c r="E253" s="28" t="str">
        <f t="array" ref="E253">_xlfn.XLOOKUP($A253, 'Medical Examinations'!$A:$A, 'Medical Examinations'!D:D, "No Data")</f>
        <v>No</v>
      </c>
      <c r="F253" s="28" t="str">
        <f t="array" ref="F253">_xlfn.XLOOKUP($A253, 'Medical Examinations'!$A:$A, 'Medical Examinations'!E:E, "No Data")</f>
        <v>yes</v>
      </c>
      <c r="G253" s="28" t="str">
        <f t="array" ref="G253">_xlfn.XLOOKUP($A253, 'Medical Examinations'!$A:$A, 'Medical Examinations'!F:F, "No Data")</f>
        <v>No</v>
      </c>
      <c r="H253" s="28">
        <f t="array" ref="H253">_xlfn.XLOOKUP($A253, 'Medical Examinations'!$A:$A, 'Medical Examinations'!G:G, "No Data")</f>
        <v>2</v>
      </c>
      <c r="I253" s="28" t="str">
        <f t="array" ref="I253">_xlfn.XLOOKUP($A253, 'Medical Examinations'!$A:$A, 'Medical Examinations'!H:H, "No Data")</f>
        <v>yes</v>
      </c>
      <c r="J253" s="28" t="str">
        <f t="array" ref="J253">_xlfn.XLOOKUP($A253, 'Medical Examinations'!$A:$A, 'Medical Examinations'!I:I, "No Data")</f>
        <v>Obesity</v>
      </c>
      <c r="K253" s="28" t="str">
        <f t="array" ref="K253">_xlfn.XLOOKUP($A253, 'Hospitalisation Details'!$A:$A, 'Hospitalisation Details'!I:I, "No Data")</f>
        <v>tier - 2</v>
      </c>
      <c r="L253" s="28" t="str">
        <f t="array" ref="L253">_xlfn.XLOOKUP($A253, 'Hospitalisation Details'!$A:$A, 'Hospitalisation Details'!J:J, "No Data")</f>
        <v>R1012</v>
      </c>
      <c r="M253" s="28" t="str">
        <f t="array" ref="M253">_xlfn.XLOOKUP($A253, 'Hospitalisation Details'!$A:$A, 'Hospitalisation Details'!E:E, "No Data")</f>
        <v>27/12/00</v>
      </c>
      <c r="N253" s="28">
        <f t="array" ref="N253">_xlfn.XLOOKUP($A253, 'Hospitalisation Details'!$A:$A, 'Hospitalisation Details'!K:K, "No Data")</f>
        <v>22</v>
      </c>
      <c r="O253" s="33">
        <f t="array" ref="O253">_xlfn.XLOOKUP($A253, 'Hospitalisation Details'!$A:$A, 'Hospitalisation Details'!G:G, "No Data")</f>
        <v>33907.55</v>
      </c>
      <c r="P253" s="28" t="str">
        <f t="array" ref="P253">_xlfn.XLOOKUP($A253, 'Hospitalisation Details'!$A:$A, 'Hospitalisation Details'!H:H, "No Data")</f>
        <v>tier - 2</v>
      </c>
    </row>
    <row r="254">
      <c r="A254" s="25" t="s">
        <v>816</v>
      </c>
      <c r="B254" s="28" t="str">
        <f t="array" ref="B254">_xlfn.XLOOKUP($A254, 'Customer Names'!$A:$A, 'Customer Names'!B:B, "No Data")</f>
        <v>Larscheid</v>
      </c>
      <c r="C254" s="28">
        <f t="array" ref="C254">_xlfn.XLOOKUP($A254, 'Medical Examinations'!$A:$A, 'Medical Examinations'!B:B, "No Data")</f>
        <v>30.2</v>
      </c>
      <c r="D254" s="28">
        <f t="array" ref="D254">_xlfn.XLOOKUP($A254, 'Medical Examinations'!$A:$A, 'Medical Examinations'!C:C, "No Data")</f>
        <v>4.47</v>
      </c>
      <c r="E254" s="28" t="str">
        <f t="array" ref="E254">_xlfn.XLOOKUP($A254, 'Medical Examinations'!$A:$A, 'Medical Examinations'!D:D, "No Data")</f>
        <v>yes</v>
      </c>
      <c r="F254" s="28" t="str">
        <f t="array" ref="F254">_xlfn.XLOOKUP($A254, 'Medical Examinations'!$A:$A, 'Medical Examinations'!E:E, "No Data")</f>
        <v>No</v>
      </c>
      <c r="G254" s="28" t="str">
        <f t="array" ref="G254">_xlfn.XLOOKUP($A254, 'Medical Examinations'!$A:$A, 'Medical Examinations'!F:F, "No Data")</f>
        <v>Yes</v>
      </c>
      <c r="H254" s="28">
        <f t="array" ref="H254">_xlfn.XLOOKUP($A254, 'Medical Examinations'!$A:$A, 'Medical Examinations'!G:G, "No Data")</f>
        <v>1</v>
      </c>
      <c r="I254" s="28" t="str">
        <f t="array" ref="I254">_xlfn.XLOOKUP($A254, 'Medical Examinations'!$A:$A, 'Medical Examinations'!H:H, "No Data")</f>
        <v>yes</v>
      </c>
      <c r="J254" s="28" t="str">
        <f t="array" ref="J254">_xlfn.XLOOKUP($A254, 'Medical Examinations'!$A:$A, 'Medical Examinations'!I:I, "No Data")</f>
        <v>Obesity</v>
      </c>
      <c r="K254" s="28" t="str">
        <f t="array" ref="K254">_xlfn.XLOOKUP($A254, 'Hospitalisation Details'!$A:$A, 'Hospitalisation Details'!I:I, "No Data")</f>
        <v>tier - 3</v>
      </c>
      <c r="L254" s="28" t="str">
        <f t="array" ref="L254">_xlfn.XLOOKUP($A254, 'Hospitalisation Details'!$A:$A, 'Hospitalisation Details'!J:J, "No Data")</f>
        <v>R1011</v>
      </c>
      <c r="M254" s="28" t="str">
        <f t="array" ref="M254">_xlfn.XLOOKUP($A254, 'Hospitalisation Details'!$A:$A, 'Hospitalisation Details'!E:E, "No Data")</f>
        <v>09/08/97</v>
      </c>
      <c r="N254" s="28">
        <f t="array" ref="N254">_xlfn.XLOOKUP($A254, 'Hospitalisation Details'!$A:$A, 'Hospitalisation Details'!K:K, "No Data")</f>
        <v>25</v>
      </c>
      <c r="O254" s="33">
        <f t="array" ref="O254">_xlfn.XLOOKUP($A254, 'Hospitalisation Details'!$A:$A, 'Hospitalisation Details'!G:G, "No Data")</f>
        <v>33900.65</v>
      </c>
      <c r="P254" s="28" t="str">
        <f t="array" ref="P254">_xlfn.XLOOKUP($A254, 'Hospitalisation Details'!$A:$A, 'Hospitalisation Details'!H:H, "No Data")</f>
        <v>tier - 2</v>
      </c>
    </row>
    <row r="255">
      <c r="A255" s="25" t="s">
        <v>819</v>
      </c>
      <c r="B255" s="28" t="str">
        <f t="array" ref="B255">_xlfn.XLOOKUP($A255, 'Customer Names'!$A:$A, 'Customer Names'!B:B, "No Data")</f>
        <v>O'Bannon</v>
      </c>
      <c r="C255" s="28">
        <f t="array" ref="C255">_xlfn.XLOOKUP($A255, 'Medical Examinations'!$A:$A, 'Medical Examinations'!B:B, "No Data")</f>
        <v>51.18</v>
      </c>
      <c r="D255" s="28">
        <f t="array" ref="D255">_xlfn.XLOOKUP($A255, 'Medical Examinations'!$A:$A, 'Medical Examinations'!C:C, "No Data")</f>
        <v>4.56</v>
      </c>
      <c r="E255" s="28" t="str">
        <f t="array" ref="E255">_xlfn.XLOOKUP($A255, 'Medical Examinations'!$A:$A, 'Medical Examinations'!D:D, "No Data")</f>
        <v>yes</v>
      </c>
      <c r="F255" s="28" t="str">
        <f t="array" ref="F255">_xlfn.XLOOKUP($A255, 'Medical Examinations'!$A:$A, 'Medical Examinations'!E:E, "No Data")</f>
        <v>yes</v>
      </c>
      <c r="G255" s="28" t="str">
        <f t="array" ref="G255">_xlfn.XLOOKUP($A255, 'Medical Examinations'!$A:$A, 'Medical Examinations'!F:F, "No Data")</f>
        <v>No</v>
      </c>
      <c r="H255" s="28">
        <f t="array" ref="H255">_xlfn.XLOOKUP($A255, 'Medical Examinations'!$A:$A, 'Medical Examinations'!G:G, "No Data")</f>
        <v>2</v>
      </c>
      <c r="I255" s="28" t="str">
        <f t="array" ref="I255">_xlfn.XLOOKUP($A255, 'Medical Examinations'!$A:$A, 'Medical Examinations'!H:H, "No Data")</f>
        <v>yes</v>
      </c>
      <c r="J255" s="28" t="str">
        <f t="array" ref="J255">_xlfn.XLOOKUP($A255, 'Medical Examinations'!$A:$A, 'Medical Examinations'!I:I, "No Data")</f>
        <v>Obesity</v>
      </c>
      <c r="K255" s="28" t="str">
        <f t="array" ref="K255">_xlfn.XLOOKUP($A255, 'Hospitalisation Details'!$A:$A, 'Hospitalisation Details'!I:I, "No Data")</f>
        <v>tier - 3</v>
      </c>
      <c r="L255" s="28" t="str">
        <f t="array" ref="L255">_xlfn.XLOOKUP($A255, 'Hospitalisation Details'!$A:$A, 'Hospitalisation Details'!J:J, "No Data")</f>
        <v>R1011</v>
      </c>
      <c r="M255" s="28" t="str">
        <f t="array" ref="M255">_xlfn.XLOOKUP($A255, 'Hospitalisation Details'!$A:$A, 'Hospitalisation Details'!E:E, "No Data")</f>
        <v>26/10/00</v>
      </c>
      <c r="N255" s="28">
        <f t="array" ref="N255">_xlfn.XLOOKUP($A255, 'Hospitalisation Details'!$A:$A, 'Hospitalisation Details'!K:K, "No Data")</f>
        <v>22</v>
      </c>
      <c r="O255" s="33">
        <f t="array" ref="O255">_xlfn.XLOOKUP($A255, 'Hospitalisation Details'!$A:$A, 'Hospitalisation Details'!G:G, "No Data")</f>
        <v>33829.39</v>
      </c>
      <c r="P255" s="28" t="str">
        <f t="array" ref="P255">_xlfn.XLOOKUP($A255, 'Hospitalisation Details'!$A:$A, 'Hospitalisation Details'!H:H, "No Data")</f>
        <v>tier - 2</v>
      </c>
    </row>
    <row r="256">
      <c r="A256" s="25" t="s">
        <v>821</v>
      </c>
      <c r="B256" s="28" t="str">
        <f t="array" ref="B256">_xlfn.XLOOKUP($A256, 'Customer Names'!$A:$A, 'Customer Names'!B:B, "No Data")</f>
        <v>Ridgway</v>
      </c>
      <c r="C256" s="28">
        <f t="array" ref="C256">_xlfn.XLOOKUP($A256, 'Medical Examinations'!$A:$A, 'Medical Examinations'!B:B, "No Data")</f>
        <v>22.18</v>
      </c>
      <c r="D256" s="28">
        <f t="array" ref="D256">_xlfn.XLOOKUP($A256, 'Medical Examinations'!$A:$A, 'Medical Examinations'!C:C, "No Data")</f>
        <v>9.9</v>
      </c>
      <c r="E256" s="28" t="str">
        <f t="array" ref="E256">_xlfn.XLOOKUP($A256, 'Medical Examinations'!$A:$A, 'Medical Examinations'!D:D, "No Data")</f>
        <v>No</v>
      </c>
      <c r="F256" s="28" t="str">
        <f t="array" ref="F256">_xlfn.XLOOKUP($A256, 'Medical Examinations'!$A:$A, 'Medical Examinations'!E:E, "No Data")</f>
        <v>No</v>
      </c>
      <c r="G256" s="28" t="str">
        <f t="array" ref="G256">_xlfn.XLOOKUP($A256, 'Medical Examinations'!$A:$A, 'Medical Examinations'!F:F, "No Data")</f>
        <v>No</v>
      </c>
      <c r="H256" s="28">
        <f t="array" ref="H256">_xlfn.XLOOKUP($A256, 'Medical Examinations'!$A:$A, 'Medical Examinations'!G:G, "No Data")</f>
        <v>0</v>
      </c>
      <c r="I256" s="28" t="str">
        <f t="array" ref="I256">_xlfn.XLOOKUP($A256, 'Medical Examinations'!$A:$A, 'Medical Examinations'!H:H, "No Data")</f>
        <v>yes</v>
      </c>
      <c r="J256" s="28" t="str">
        <f t="array" ref="J256">_xlfn.XLOOKUP($A256, 'Medical Examinations'!$A:$A, 'Medical Examinations'!I:I, "No Data")</f>
        <v>Normal Weight</v>
      </c>
      <c r="K256" s="28" t="str">
        <f t="array" ref="K256">_xlfn.XLOOKUP($A256, 'Hospitalisation Details'!$A:$A, 'Hospitalisation Details'!I:I, "No Data")</f>
        <v>tier - 3</v>
      </c>
      <c r="L256" s="28" t="str">
        <f t="array" ref="L256">_xlfn.XLOOKUP($A256, 'Hospitalisation Details'!$A:$A, 'Hospitalisation Details'!J:J, "No Data")</f>
        <v>R1011</v>
      </c>
      <c r="M256" s="28" t="str">
        <f t="array" ref="M256">_xlfn.XLOOKUP($A256, 'Hospitalisation Details'!$A:$A, 'Hospitalisation Details'!E:E, "No Data")</f>
        <v>11/12/62</v>
      </c>
      <c r="N256" s="28">
        <f t="array" ref="N256">_xlfn.XLOOKUP($A256, 'Hospitalisation Details'!$A:$A, 'Hospitalisation Details'!K:K, "No Data")</f>
        <v>60</v>
      </c>
      <c r="O256" s="33">
        <f t="array" ref="O256">_xlfn.XLOOKUP($A256, 'Hospitalisation Details'!$A:$A, 'Hospitalisation Details'!G:G, "No Data")</f>
        <v>33753.32</v>
      </c>
      <c r="P256" s="28" t="str">
        <f t="array" ref="P256">_xlfn.XLOOKUP($A256, 'Hospitalisation Details'!$A:$A, 'Hospitalisation Details'!H:H, "No Data")</f>
        <v>tier - 1</v>
      </c>
    </row>
    <row r="257">
      <c r="A257" s="25" t="s">
        <v>824</v>
      </c>
      <c r="B257" s="28" t="str">
        <f t="array" ref="B257">_xlfn.XLOOKUP($A257, 'Customer Names'!$A:$A, 'Customer Names'!B:B, "No Data")</f>
        <v>Black</v>
      </c>
      <c r="C257" s="28">
        <f t="array" ref="C257">_xlfn.XLOOKUP($A257, 'Medical Examinations'!$A:$A, 'Medical Examinations'!B:B, "No Data")</f>
        <v>31.92</v>
      </c>
      <c r="D257" s="28">
        <f t="array" ref="D257">_xlfn.XLOOKUP($A257, 'Medical Examinations'!$A:$A, 'Medical Examinations'!C:C, "No Data")</f>
        <v>5.11</v>
      </c>
      <c r="E257" s="28" t="str">
        <f t="array" ref="E257">_xlfn.XLOOKUP($A257, 'Medical Examinations'!$A:$A, 'Medical Examinations'!D:D, "No Data")</f>
        <v>No</v>
      </c>
      <c r="F257" s="28" t="str">
        <f t="array" ref="F257">_xlfn.XLOOKUP($A257, 'Medical Examinations'!$A:$A, 'Medical Examinations'!E:E, "No Data")</f>
        <v>No</v>
      </c>
      <c r="G257" s="28" t="str">
        <f t="array" ref="G257">_xlfn.XLOOKUP($A257, 'Medical Examinations'!$A:$A, 'Medical Examinations'!F:F, "No Data")</f>
        <v>Yes</v>
      </c>
      <c r="H257" s="28">
        <f t="array" ref="H257">_xlfn.XLOOKUP($A257, 'Medical Examinations'!$A:$A, 'Medical Examinations'!G:G, "No Data")</f>
        <v>1</v>
      </c>
      <c r="I257" s="28" t="str">
        <f t="array" ref="I257">_xlfn.XLOOKUP($A257, 'Medical Examinations'!$A:$A, 'Medical Examinations'!H:H, "No Data")</f>
        <v>yes</v>
      </c>
      <c r="J257" s="28" t="str">
        <f t="array" ref="J257">_xlfn.XLOOKUP($A257, 'Medical Examinations'!$A:$A, 'Medical Examinations'!I:I, "No Data")</f>
        <v>Obesity</v>
      </c>
      <c r="K257" s="28" t="str">
        <f t="array" ref="K257">_xlfn.XLOOKUP($A257, 'Hospitalisation Details'!$A:$A, 'Hospitalisation Details'!I:I, "No Data")</f>
        <v>tier - 3</v>
      </c>
      <c r="L257" s="28" t="str">
        <f t="array" ref="L257">_xlfn.XLOOKUP($A257, 'Hospitalisation Details'!$A:$A, 'Hospitalisation Details'!J:J, "No Data")</f>
        <v>R1012</v>
      </c>
      <c r="M257" s="28" t="str">
        <f t="array" ref="M257">_xlfn.XLOOKUP($A257, 'Hospitalisation Details'!$A:$A, 'Hospitalisation Details'!E:E, "No Data")</f>
        <v>12/09/03</v>
      </c>
      <c r="N257" s="28">
        <f t="array" ref="N257">_xlfn.XLOOKUP($A257, 'Hospitalisation Details'!$A:$A, 'Hospitalisation Details'!K:K, "No Data")</f>
        <v>19</v>
      </c>
      <c r="O257" s="33">
        <f t="array" ref="O257">_xlfn.XLOOKUP($A257, 'Hospitalisation Details'!$A:$A, 'Hospitalisation Details'!G:G, "No Data")</f>
        <v>33750.29</v>
      </c>
      <c r="P257" s="28" t="str">
        <f t="array" ref="P257">_xlfn.XLOOKUP($A257, 'Hospitalisation Details'!$A:$A, 'Hospitalisation Details'!H:H, "No Data")</f>
        <v>tier - 1</v>
      </c>
    </row>
    <row r="258">
      <c r="A258" s="25" t="s">
        <v>827</v>
      </c>
      <c r="B258" s="28" t="str">
        <f t="array" ref="B258">_xlfn.XLOOKUP($A258, 'Customer Names'!$A:$A, 'Customer Names'!B:B, "No Data")</f>
        <v>Canton</v>
      </c>
      <c r="C258" s="28">
        <f t="array" ref="C258">_xlfn.XLOOKUP($A258, 'Medical Examinations'!$A:$A, 'Medical Examinations'!B:B, "No Data")</f>
        <v>31.73</v>
      </c>
      <c r="D258" s="28">
        <f t="array" ref="D258">_xlfn.XLOOKUP($A258, 'Medical Examinations'!$A:$A, 'Medical Examinations'!C:C, "No Data")</f>
        <v>5.73</v>
      </c>
      <c r="E258" s="28" t="str">
        <f t="array" ref="E258">_xlfn.XLOOKUP($A258, 'Medical Examinations'!$A:$A, 'Medical Examinations'!D:D, "No Data")</f>
        <v>No</v>
      </c>
      <c r="F258" s="28" t="str">
        <f t="array" ref="F258">_xlfn.XLOOKUP($A258, 'Medical Examinations'!$A:$A, 'Medical Examinations'!E:E, "No Data")</f>
        <v>yes</v>
      </c>
      <c r="G258" s="28" t="str">
        <f t="array" ref="G258">_xlfn.XLOOKUP($A258, 'Medical Examinations'!$A:$A, 'Medical Examinations'!F:F, "No Data")</f>
        <v>No</v>
      </c>
      <c r="H258" s="28">
        <f t="array" ref="H258">_xlfn.XLOOKUP($A258, 'Medical Examinations'!$A:$A, 'Medical Examinations'!G:G, "No Data")</f>
        <v>1</v>
      </c>
      <c r="I258" s="28" t="str">
        <f t="array" ref="I258">_xlfn.XLOOKUP($A258, 'Medical Examinations'!$A:$A, 'Medical Examinations'!H:H, "No Data")</f>
        <v>yes</v>
      </c>
      <c r="J258" s="28" t="str">
        <f t="array" ref="J258">_xlfn.XLOOKUP($A258, 'Medical Examinations'!$A:$A, 'Medical Examinations'!I:I, "No Data")</f>
        <v>Obesity</v>
      </c>
      <c r="K258" s="28" t="str">
        <f t="array" ref="K258">_xlfn.XLOOKUP($A258, 'Hospitalisation Details'!$A:$A, 'Hospitalisation Details'!I:I, "No Data")</f>
        <v>tier - 1</v>
      </c>
      <c r="L258" s="28" t="str">
        <f t="array" ref="L258">_xlfn.XLOOKUP($A258, 'Hospitalisation Details'!$A:$A, 'Hospitalisation Details'!J:J, "No Data")</f>
        <v>R1017</v>
      </c>
      <c r="M258" s="28" t="str">
        <f t="array" ref="M258">_xlfn.XLOOKUP($A258, 'Hospitalisation Details'!$A:$A, 'Hospitalisation Details'!E:E, "No Data")</f>
        <v>01/11/04</v>
      </c>
      <c r="N258" s="28">
        <f t="array" ref="N258">_xlfn.XLOOKUP($A258, 'Hospitalisation Details'!$A:$A, 'Hospitalisation Details'!K:K, "No Data")</f>
        <v>18</v>
      </c>
      <c r="O258" s="33">
        <f t="array" ref="O258">_xlfn.XLOOKUP($A258, 'Hospitalisation Details'!$A:$A, 'Hospitalisation Details'!G:G, "No Data")</f>
        <v>33732.69</v>
      </c>
      <c r="P258" s="28" t="str">
        <f t="array" ref="P258">_xlfn.XLOOKUP($A258, 'Hospitalisation Details'!$A:$A, 'Hospitalisation Details'!H:H, "No Data")</f>
        <v>tier - 1</v>
      </c>
    </row>
    <row r="259">
      <c r="A259" s="25" t="s">
        <v>831</v>
      </c>
      <c r="B259" s="28" t="str">
        <f t="array" ref="B259">_xlfn.XLOOKUP($A259, 'Customer Names'!$A:$A, 'Customer Names'!B:B, "No Data")</f>
        <v>Fine</v>
      </c>
      <c r="C259" s="28">
        <f t="array" ref="C259">_xlfn.XLOOKUP($A259, 'Medical Examinations'!$A:$A, 'Medical Examinations'!B:B, "No Data")</f>
        <v>45.52</v>
      </c>
      <c r="D259" s="28">
        <f t="array" ref="D259">_xlfn.XLOOKUP($A259, 'Medical Examinations'!$A:$A, 'Medical Examinations'!C:C, "No Data")</f>
        <v>6.04</v>
      </c>
      <c r="E259" s="28" t="str">
        <f t="array" ref="E259">_xlfn.XLOOKUP($A259, 'Medical Examinations'!$A:$A, 'Medical Examinations'!D:D, "No Data")</f>
        <v>No</v>
      </c>
      <c r="F259" s="28" t="str">
        <f t="array" ref="F259">_xlfn.XLOOKUP($A259, 'Medical Examinations'!$A:$A, 'Medical Examinations'!E:E, "No Data")</f>
        <v>No</v>
      </c>
      <c r="G259" s="28" t="str">
        <f t="array" ref="G259">_xlfn.XLOOKUP($A259, 'Medical Examinations'!$A:$A, 'Medical Examinations'!F:F, "No Data")</f>
        <v>Yes</v>
      </c>
      <c r="H259" s="28">
        <f t="array" ref="H259">_xlfn.XLOOKUP($A259, 'Medical Examinations'!$A:$A, 'Medical Examinations'!G:G, "No Data")</f>
        <v>1</v>
      </c>
      <c r="I259" s="28" t="str">
        <f t="array" ref="I259">_xlfn.XLOOKUP($A259, 'Medical Examinations'!$A:$A, 'Medical Examinations'!H:H, "No Data")</f>
        <v>yes</v>
      </c>
      <c r="J259" s="28" t="str">
        <f t="array" ref="J259">_xlfn.XLOOKUP($A259, 'Medical Examinations'!$A:$A, 'Medical Examinations'!I:I, "No Data")</f>
        <v>Obesity</v>
      </c>
      <c r="K259" s="28" t="str">
        <f t="array" ref="K259">_xlfn.XLOOKUP($A259, 'Hospitalisation Details'!$A:$A, 'Hospitalisation Details'!I:I, "No Data")</f>
        <v>tier - 2</v>
      </c>
      <c r="L259" s="28" t="str">
        <f t="array" ref="L259">_xlfn.XLOOKUP($A259, 'Hospitalisation Details'!$A:$A, 'Hospitalisation Details'!J:J, "No Data")</f>
        <v>R1011</v>
      </c>
      <c r="M259" s="28" t="str">
        <f t="array" ref="M259">_xlfn.XLOOKUP($A259, 'Hospitalisation Details'!$A:$A, 'Hospitalisation Details'!E:E, "No Data")</f>
        <v>28/11/93</v>
      </c>
      <c r="N259" s="28">
        <f t="array" ref="N259">_xlfn.XLOOKUP($A259, 'Hospitalisation Details'!$A:$A, 'Hospitalisation Details'!K:K, "No Data")</f>
        <v>29</v>
      </c>
      <c r="O259" s="33">
        <f t="array" ref="O259">_xlfn.XLOOKUP($A259, 'Hospitalisation Details'!$A:$A, 'Hospitalisation Details'!G:G, "No Data")</f>
        <v>33707.55</v>
      </c>
      <c r="P259" s="28" t="str">
        <f t="array" ref="P259">_xlfn.XLOOKUP($A259, 'Hospitalisation Details'!$A:$A, 'Hospitalisation Details'!H:H, "No Data")</f>
        <v>tier - 2</v>
      </c>
    </row>
    <row r="260">
      <c r="A260" s="25" t="s">
        <v>834</v>
      </c>
      <c r="B260" s="28" t="str">
        <f t="array" ref="B260">_xlfn.XLOOKUP($A260, 'Customer Names'!$A:$A, 'Customer Names'!B:B, "No Data")</f>
        <v>Bui</v>
      </c>
      <c r="C260" s="28">
        <f t="array" ref="C260">_xlfn.XLOOKUP($A260, 'Medical Examinations'!$A:$A, 'Medical Examinations'!B:B, "No Data")</f>
        <v>52.81</v>
      </c>
      <c r="D260" s="28">
        <f t="array" ref="D260">_xlfn.XLOOKUP($A260, 'Medical Examinations'!$A:$A, 'Medical Examinations'!C:C, "No Data")</f>
        <v>5.19</v>
      </c>
      <c r="E260" s="28" t="str">
        <f t="array" ref="E260">_xlfn.XLOOKUP($A260, 'Medical Examinations'!$A:$A, 'Medical Examinations'!D:D, "No Data")</f>
        <v>No</v>
      </c>
      <c r="F260" s="28" t="str">
        <f t="array" ref="F260">_xlfn.XLOOKUP($A260, 'Medical Examinations'!$A:$A, 'Medical Examinations'!E:E, "No Data")</f>
        <v>No</v>
      </c>
      <c r="G260" s="28" t="str">
        <f t="array" ref="G260">_xlfn.XLOOKUP($A260, 'Medical Examinations'!$A:$A, 'Medical Examinations'!F:F, "No Data")</f>
        <v>Yes</v>
      </c>
      <c r="H260" s="28">
        <f t="array" ref="H260">_xlfn.XLOOKUP($A260, 'Medical Examinations'!$A:$A, 'Medical Examinations'!G:G, "No Data")</f>
        <v>1</v>
      </c>
      <c r="I260" s="28" t="str">
        <f t="array" ref="I260">_xlfn.XLOOKUP($A260, 'Medical Examinations'!$A:$A, 'Medical Examinations'!H:H, "No Data")</f>
        <v>yes</v>
      </c>
      <c r="J260" s="28" t="str">
        <f t="array" ref="J260">_xlfn.XLOOKUP($A260, 'Medical Examinations'!$A:$A, 'Medical Examinations'!I:I, "No Data")</f>
        <v>Obesity</v>
      </c>
      <c r="K260" s="28" t="str">
        <f t="array" ref="K260">_xlfn.XLOOKUP($A260, 'Hospitalisation Details'!$A:$A, 'Hospitalisation Details'!I:I, "No Data")</f>
        <v>tier - 2</v>
      </c>
      <c r="L260" s="28" t="str">
        <f t="array" ref="L260">_xlfn.XLOOKUP($A260, 'Hospitalisation Details'!$A:$A, 'Hospitalisation Details'!J:J, "No Data")</f>
        <v>R1011</v>
      </c>
      <c r="M260" s="28" t="str">
        <f t="array" ref="M260">_xlfn.XLOOKUP($A260, 'Hospitalisation Details'!$A:$A, 'Hospitalisation Details'!E:E, "No Data")</f>
        <v>09/09/03</v>
      </c>
      <c r="N260" s="28">
        <f t="array" ref="N260">_xlfn.XLOOKUP($A260, 'Hospitalisation Details'!$A:$A, 'Hospitalisation Details'!K:K, "No Data")</f>
        <v>19</v>
      </c>
      <c r="O260" s="33">
        <f t="array" ref="O260">_xlfn.XLOOKUP($A260, 'Hospitalisation Details'!$A:$A, 'Hospitalisation Details'!G:G, "No Data")</f>
        <v>33611.71</v>
      </c>
      <c r="P260" s="28" t="str">
        <f t="array" ref="P260">_xlfn.XLOOKUP($A260, 'Hospitalisation Details'!$A:$A, 'Hospitalisation Details'!H:H, "No Data")</f>
        <v>tier - 1</v>
      </c>
    </row>
    <row r="261">
      <c r="A261" s="25" t="s">
        <v>837</v>
      </c>
      <c r="B261" s="28" t="str">
        <f t="array" ref="B261">_xlfn.XLOOKUP($A261, 'Customer Names'!$A:$A, 'Customer Names'!B:B, "No Data")</f>
        <v>Riepma</v>
      </c>
      <c r="C261" s="28">
        <f t="array" ref="C261">_xlfn.XLOOKUP($A261, 'Medical Examinations'!$A:$A, 'Medical Examinations'!B:B, "No Data")</f>
        <v>33.58</v>
      </c>
      <c r="D261" s="28">
        <f t="array" ref="D261">_xlfn.XLOOKUP($A261, 'Medical Examinations'!$A:$A, 'Medical Examinations'!C:C, "No Data")</f>
        <v>5.56</v>
      </c>
      <c r="E261" s="28" t="str">
        <f t="array" ref="E261">_xlfn.XLOOKUP($A261, 'Medical Examinations'!$A:$A, 'Medical Examinations'!D:D, "No Data")</f>
        <v>No</v>
      </c>
      <c r="F261" s="28" t="str">
        <f t="array" ref="F261">_xlfn.XLOOKUP($A261, 'Medical Examinations'!$A:$A, 'Medical Examinations'!E:E, "No Data")</f>
        <v>No</v>
      </c>
      <c r="G261" s="28" t="str">
        <f t="array" ref="G261">_xlfn.XLOOKUP($A261, 'Medical Examinations'!$A:$A, 'Medical Examinations'!F:F, "No Data")</f>
        <v>No</v>
      </c>
      <c r="H261" s="28">
        <f t="array" ref="H261">_xlfn.XLOOKUP($A261, 'Medical Examinations'!$A:$A, 'Medical Examinations'!G:G, "No Data")</f>
        <v>1</v>
      </c>
      <c r="I261" s="28" t="str">
        <f t="array" ref="I261">_xlfn.XLOOKUP($A261, 'Medical Examinations'!$A:$A, 'Medical Examinations'!H:H, "No Data")</f>
        <v>yes</v>
      </c>
      <c r="J261" s="28" t="str">
        <f t="array" ref="J261">_xlfn.XLOOKUP($A261, 'Medical Examinations'!$A:$A, 'Medical Examinations'!I:I, "No Data")</f>
        <v>Obesity</v>
      </c>
      <c r="K261" s="28" t="str">
        <f t="array" ref="K261">_xlfn.XLOOKUP($A261, 'Hospitalisation Details'!$A:$A, 'Hospitalisation Details'!I:I, "No Data")</f>
        <v>tier - 3</v>
      </c>
      <c r="L261" s="28" t="str">
        <f t="array" ref="L261">_xlfn.XLOOKUP($A261, 'Hospitalisation Details'!$A:$A, 'Hospitalisation Details'!J:J, "No Data")</f>
        <v>R1011</v>
      </c>
      <c r="M261" s="28" t="str">
        <f t="array" ref="M261">_xlfn.XLOOKUP($A261, 'Hospitalisation Details'!$A:$A, 'Hospitalisation Details'!E:E, "No Data")</f>
        <v>22/07/84</v>
      </c>
      <c r="N261" s="28">
        <f t="array" ref="N261">_xlfn.XLOOKUP($A261, 'Hospitalisation Details'!$A:$A, 'Hospitalisation Details'!K:K, "No Data")</f>
        <v>38</v>
      </c>
      <c r="O261" s="33">
        <f t="array" ref="O261">_xlfn.XLOOKUP($A261, 'Hospitalisation Details'!$A:$A, 'Hospitalisation Details'!G:G, "No Data")</f>
        <v>33527.1</v>
      </c>
      <c r="P261" s="28" t="str">
        <f t="array" ref="P261">_xlfn.XLOOKUP($A261, 'Hospitalisation Details'!$A:$A, 'Hospitalisation Details'!H:H, "No Data")</f>
        <v>tier - 2</v>
      </c>
    </row>
    <row r="262">
      <c r="A262" s="25" t="s">
        <v>840</v>
      </c>
      <c r="B262" s="28" t="str">
        <f t="array" ref="B262">_xlfn.XLOOKUP($A262, 'Customer Names'!$A:$A, 'Customer Names'!B:B, "No Data")</f>
        <v>Inman</v>
      </c>
      <c r="C262" s="28">
        <f t="array" ref="C262">_xlfn.XLOOKUP($A262, 'Medical Examinations'!$A:$A, 'Medical Examinations'!B:B, "No Data")</f>
        <v>30.685</v>
      </c>
      <c r="D262" s="28">
        <f t="array" ref="D262">_xlfn.XLOOKUP($A262, 'Medical Examinations'!$A:$A, 'Medical Examinations'!C:C, "No Data")</f>
        <v>8.23</v>
      </c>
      <c r="E262" s="28" t="str">
        <f t="array" ref="E262">_xlfn.XLOOKUP($A262, 'Medical Examinations'!$A:$A, 'Medical Examinations'!D:D, "No Data")</f>
        <v>No</v>
      </c>
      <c r="F262" s="28" t="str">
        <f t="array" ref="F262">_xlfn.XLOOKUP($A262, 'Medical Examinations'!$A:$A, 'Medical Examinations'!E:E, "No Data")</f>
        <v>No</v>
      </c>
      <c r="G262" s="28" t="str">
        <f t="array" ref="G262">_xlfn.XLOOKUP($A262, 'Medical Examinations'!$A:$A, 'Medical Examinations'!F:F, "No Data")</f>
        <v>No</v>
      </c>
      <c r="H262" s="28">
        <f t="array" ref="H262">_xlfn.XLOOKUP($A262, 'Medical Examinations'!$A:$A, 'Medical Examinations'!G:G, "No Data")</f>
        <v>0</v>
      </c>
      <c r="I262" s="28" t="str">
        <f t="array" ref="I262">_xlfn.XLOOKUP($A262, 'Medical Examinations'!$A:$A, 'Medical Examinations'!H:H, "No Data")</f>
        <v>yes</v>
      </c>
      <c r="J262" s="28" t="str">
        <f t="array" ref="J262">_xlfn.XLOOKUP($A262, 'Medical Examinations'!$A:$A, 'Medical Examinations'!I:I, "No Data")</f>
        <v>Obesity</v>
      </c>
      <c r="K262" s="28" t="str">
        <f t="array" ref="K262">_xlfn.XLOOKUP($A262, 'Hospitalisation Details'!$A:$A, 'Hospitalisation Details'!I:I, "No Data")</f>
        <v>tier - 1</v>
      </c>
      <c r="L262" s="28" t="str">
        <f t="array" ref="L262">_xlfn.XLOOKUP($A262, 'Hospitalisation Details'!$A:$A, 'Hospitalisation Details'!J:J, "No Data")</f>
        <v>R1018</v>
      </c>
      <c r="M262" s="28" t="str">
        <f t="array" ref="M262">_xlfn.XLOOKUP($A262, 'Hospitalisation Details'!$A:$A, 'Hospitalisation Details'!E:E, "No Data")</f>
        <v>25/08/02</v>
      </c>
      <c r="N262" s="28">
        <f t="array" ref="N262">_xlfn.XLOOKUP($A262, 'Hospitalisation Details'!$A:$A, 'Hospitalisation Details'!K:K, "No Data")</f>
        <v>20</v>
      </c>
      <c r="O262" s="33">
        <f t="array" ref="O262">_xlfn.XLOOKUP($A262, 'Hospitalisation Details'!$A:$A, 'Hospitalisation Details'!G:G, "No Data")</f>
        <v>33475.82</v>
      </c>
      <c r="P262" s="28" t="str">
        <f t="array" ref="P262">_xlfn.XLOOKUP($A262, 'Hospitalisation Details'!$A:$A, 'Hospitalisation Details'!H:H, "No Data")</f>
        <v>tier - 1</v>
      </c>
    </row>
    <row r="263">
      <c r="A263" s="25" t="s">
        <v>844</v>
      </c>
      <c r="B263" s="28" t="str">
        <f t="array" ref="B263">_xlfn.XLOOKUP($A263, 'Customer Names'!$A:$A, 'Customer Names'!B:B, "No Data")</f>
        <v>Kruzel</v>
      </c>
      <c r="C263" s="28">
        <f t="array" ref="C263">_xlfn.XLOOKUP($A263, 'Medical Examinations'!$A:$A, 'Medical Examinations'!B:B, "No Data")</f>
        <v>37.525</v>
      </c>
      <c r="D263" s="28">
        <f t="array" ref="D263">_xlfn.XLOOKUP($A263, 'Medical Examinations'!$A:$A, 'Medical Examinations'!C:C, "No Data")</f>
        <v>9.03</v>
      </c>
      <c r="E263" s="28" t="str">
        <f t="array" ref="E263">_xlfn.XLOOKUP($A263, 'Medical Examinations'!$A:$A, 'Medical Examinations'!D:D, "No Data")</f>
        <v>yes</v>
      </c>
      <c r="F263" s="28" t="str">
        <f t="array" ref="F263">_xlfn.XLOOKUP($A263, 'Medical Examinations'!$A:$A, 'Medical Examinations'!E:E, "No Data")</f>
        <v>No</v>
      </c>
      <c r="G263" s="28" t="str">
        <f t="array" ref="G263">_xlfn.XLOOKUP($A263, 'Medical Examinations'!$A:$A, 'Medical Examinations'!F:F, "No Data")</f>
        <v>No</v>
      </c>
      <c r="H263" s="28">
        <f t="array" ref="H263">_xlfn.XLOOKUP($A263, 'Medical Examinations'!$A:$A, 'Medical Examinations'!G:G, "No Data")</f>
        <v>2</v>
      </c>
      <c r="I263" s="28" t="str">
        <f t="array" ref="I263">_xlfn.XLOOKUP($A263, 'Medical Examinations'!$A:$A, 'Medical Examinations'!H:H, "No Data")</f>
        <v>No</v>
      </c>
      <c r="J263" s="28" t="str">
        <f t="array" ref="J263">_xlfn.XLOOKUP($A263, 'Medical Examinations'!$A:$A, 'Medical Examinations'!I:I, "No Data")</f>
        <v>Obesity</v>
      </c>
      <c r="K263" s="28" t="str">
        <f t="array" ref="K263">_xlfn.XLOOKUP($A263, 'Hospitalisation Details'!$A:$A, 'Hospitalisation Details'!I:I, "No Data")</f>
        <v>tier - 2</v>
      </c>
      <c r="L263" s="28" t="str">
        <f t="array" ref="L263">_xlfn.XLOOKUP($A263, 'Hospitalisation Details'!$A:$A, 'Hospitalisation Details'!J:J, "No Data")</f>
        <v>R1012</v>
      </c>
      <c r="M263" s="28" t="str">
        <f t="array" ref="M263">_xlfn.XLOOKUP($A263, 'Hospitalisation Details'!$A:$A, 'Hospitalisation Details'!E:E, "No Data")</f>
        <v>18/06/70</v>
      </c>
      <c r="N263" s="28">
        <f t="array" ref="N263">_xlfn.XLOOKUP($A263, 'Hospitalisation Details'!$A:$A, 'Hospitalisation Details'!K:K, "No Data")</f>
        <v>52</v>
      </c>
      <c r="O263" s="33">
        <f t="array" ref="O263">_xlfn.XLOOKUP($A263, 'Hospitalisation Details'!$A:$A, 'Hospitalisation Details'!G:G, "No Data")</f>
        <v>33471.97</v>
      </c>
      <c r="P263" s="28" t="str">
        <f t="array" ref="P263">_xlfn.XLOOKUP($A263, 'Hospitalisation Details'!$A:$A, 'Hospitalisation Details'!H:H, "No Data")</f>
        <v>tier - 2</v>
      </c>
    </row>
    <row r="264">
      <c r="A264" s="25" t="s">
        <v>847</v>
      </c>
      <c r="B264" s="28" t="str">
        <f t="array" ref="B264">_xlfn.XLOOKUP($A264, 'Customer Names'!$A:$A, 'Customer Names'!B:B, "No Data")</f>
        <v>Lindsay</v>
      </c>
      <c r="C264" s="28">
        <f t="array" ref="C264">_xlfn.XLOOKUP($A264, 'Medical Examinations'!$A:$A, 'Medical Examinations'!B:B, "No Data")</f>
        <v>34.5</v>
      </c>
      <c r="D264" s="28">
        <f t="array" ref="D264">_xlfn.XLOOKUP($A264, 'Medical Examinations'!$A:$A, 'Medical Examinations'!C:C, "No Data")</f>
        <v>4.07</v>
      </c>
      <c r="E264" s="28" t="str">
        <f t="array" ref="E264">_xlfn.XLOOKUP($A264, 'Medical Examinations'!$A:$A, 'Medical Examinations'!D:D, "No Data")</f>
        <v>yes</v>
      </c>
      <c r="F264" s="28" t="str">
        <f t="array" ref="F264">_xlfn.XLOOKUP($A264, 'Medical Examinations'!$A:$A, 'Medical Examinations'!E:E, "No Data")</f>
        <v>No</v>
      </c>
      <c r="G264" s="28" t="str">
        <f t="array" ref="G264">_xlfn.XLOOKUP($A264, 'Medical Examinations'!$A:$A, 'Medical Examinations'!F:F, "No Data")</f>
        <v>No</v>
      </c>
      <c r="H264" s="28">
        <f t="array" ref="H264">_xlfn.XLOOKUP($A264, 'Medical Examinations'!$A:$A, 'Medical Examinations'!G:G, "No Data")</f>
        <v>0</v>
      </c>
      <c r="I264" s="28" t="str">
        <f t="array" ref="I264">_xlfn.XLOOKUP($A264, 'Medical Examinations'!$A:$A, 'Medical Examinations'!H:H, "No Data")</f>
        <v>yes</v>
      </c>
      <c r="J264" s="28" t="str">
        <f t="array" ref="J264">_xlfn.XLOOKUP($A264, 'Medical Examinations'!$A:$A, 'Medical Examinations'!I:I, "No Data")</f>
        <v>Obesity</v>
      </c>
      <c r="K264" s="28" t="str">
        <f t="array" ref="K264">_xlfn.XLOOKUP($A264, 'Hospitalisation Details'!$A:$A, 'Hospitalisation Details'!I:I, "No Data")</f>
        <v>tier - 2</v>
      </c>
      <c r="L264" s="28" t="str">
        <f t="array" ref="L264">_xlfn.XLOOKUP($A264, 'Hospitalisation Details'!$A:$A, 'Hospitalisation Details'!J:J, "No Data")</f>
        <v>R1011</v>
      </c>
      <c r="M264" s="28" t="str">
        <f t="array" ref="M264">_xlfn.XLOOKUP($A264, 'Hospitalisation Details'!$A:$A, 'Hospitalisation Details'!E:E, "No Data")</f>
        <v>07/12/85</v>
      </c>
      <c r="N264" s="28">
        <f t="array" ref="N264">_xlfn.XLOOKUP($A264, 'Hospitalisation Details'!$A:$A, 'Hospitalisation Details'!K:K, "No Data")</f>
        <v>37</v>
      </c>
      <c r="O264" s="33">
        <f t="array" ref="O264">_xlfn.XLOOKUP($A264, 'Hospitalisation Details'!$A:$A, 'Hospitalisation Details'!G:G, "No Data")</f>
        <v>33450.99</v>
      </c>
      <c r="P264" s="28" t="str">
        <f t="array" ref="P264">_xlfn.XLOOKUP($A264, 'Hospitalisation Details'!$A:$A, 'Hospitalisation Details'!H:H, "No Data")</f>
        <v>tier - 2</v>
      </c>
    </row>
    <row r="265">
      <c r="A265" s="25" t="s">
        <v>850</v>
      </c>
      <c r="B265" s="28" t="str">
        <f t="array" ref="B265">_xlfn.XLOOKUP($A265, 'Customer Names'!$A:$A, 'Customer Names'!B:B, "No Data")</f>
        <v>Land</v>
      </c>
      <c r="C265" s="28">
        <f t="array" ref="C265">_xlfn.XLOOKUP($A265, 'Medical Examinations'!$A:$A, 'Medical Examinations'!B:B, "No Data")</f>
        <v>28.16</v>
      </c>
      <c r="D265" s="28">
        <f t="array" ref="D265">_xlfn.XLOOKUP($A265, 'Medical Examinations'!$A:$A, 'Medical Examinations'!C:C, "No Data")</f>
        <v>5.77</v>
      </c>
      <c r="E265" s="28" t="str">
        <f t="array" ref="E265">_xlfn.XLOOKUP($A265, 'Medical Examinations'!$A:$A, 'Medical Examinations'!D:D, "No Data")</f>
        <v>No</v>
      </c>
      <c r="F265" s="28" t="str">
        <f t="array" ref="F265">_xlfn.XLOOKUP($A265, 'Medical Examinations'!$A:$A, 'Medical Examinations'!E:E, "No Data")</f>
        <v>No</v>
      </c>
      <c r="G265" s="28" t="str">
        <f t="array" ref="G265">_xlfn.XLOOKUP($A265, 'Medical Examinations'!$A:$A, 'Medical Examinations'!F:F, "No Data")</f>
        <v>No</v>
      </c>
      <c r="H265" s="28">
        <f t="array" ref="H265">_xlfn.XLOOKUP($A265, 'Medical Examinations'!$A:$A, 'Medical Examinations'!G:G, "No Data")</f>
        <v>2</v>
      </c>
      <c r="I265" s="28" t="str">
        <f t="array" ref="I265">_xlfn.XLOOKUP($A265, 'Medical Examinations'!$A:$A, 'Medical Examinations'!H:H, "No Data")</f>
        <v>yes</v>
      </c>
      <c r="J265" s="28" t="str">
        <f t="array" ref="J265">_xlfn.XLOOKUP($A265, 'Medical Examinations'!$A:$A, 'Medical Examinations'!I:I, "No Data")</f>
        <v>Overweight</v>
      </c>
      <c r="K265" s="28" t="str">
        <f t="array" ref="K265">_xlfn.XLOOKUP($A265, 'Hospitalisation Details'!$A:$A, 'Hospitalisation Details'!I:I, "No Data")</f>
        <v>tier - 3</v>
      </c>
      <c r="L265" s="28" t="str">
        <f t="array" ref="L265">_xlfn.XLOOKUP($A265, 'Hospitalisation Details'!$A:$A, 'Hospitalisation Details'!J:J, "No Data")</f>
        <v>R1011</v>
      </c>
      <c r="M265" s="28" t="str">
        <f t="array" ref="M265">_xlfn.XLOOKUP($A265, 'Hospitalisation Details'!$A:$A, 'Hospitalisation Details'!E:E, "No Data")</f>
        <v>05/09/72</v>
      </c>
      <c r="N265" s="28">
        <f t="array" ref="N265">_xlfn.XLOOKUP($A265, 'Hospitalisation Details'!$A:$A, 'Hospitalisation Details'!K:K, "No Data")</f>
        <v>50</v>
      </c>
      <c r="O265" s="33">
        <f t="array" ref="O265">_xlfn.XLOOKUP($A265, 'Hospitalisation Details'!$A:$A, 'Hospitalisation Details'!G:G, "No Data")</f>
        <v>33344.45</v>
      </c>
      <c r="P265" s="28" t="str">
        <f t="array" ref="P265">_xlfn.XLOOKUP($A265, 'Hospitalisation Details'!$A:$A, 'Hospitalisation Details'!H:H, "No Data")</f>
        <v>tier - 2</v>
      </c>
    </row>
    <row r="266">
      <c r="A266" s="25" t="s">
        <v>856</v>
      </c>
      <c r="B266" s="28" t="str">
        <f t="array" ref="B266">_xlfn.XLOOKUP($A266, 'Customer Names'!$A:$A, 'Customer Names'!B:B, "No Data")</f>
        <v>Brecher</v>
      </c>
      <c r="C266" s="28">
        <f t="array" ref="C266">_xlfn.XLOOKUP($A266, 'Medical Examinations'!$A:$A, 'Medical Examinations'!B:B, "No Data")</f>
        <v>30.02</v>
      </c>
      <c r="D266" s="28">
        <f t="array" ref="D266">_xlfn.XLOOKUP($A266, 'Medical Examinations'!$A:$A, 'Medical Examinations'!C:C, "No Data")</f>
        <v>5.98</v>
      </c>
      <c r="E266" s="28" t="str">
        <f t="array" ref="E266">_xlfn.XLOOKUP($A266, 'Medical Examinations'!$A:$A, 'Medical Examinations'!D:D, "No Data")</f>
        <v>No</v>
      </c>
      <c r="F266" s="28" t="str">
        <f t="array" ref="F266">_xlfn.XLOOKUP($A266, 'Medical Examinations'!$A:$A, 'Medical Examinations'!E:E, "No Data")</f>
        <v>No</v>
      </c>
      <c r="G266" s="28" t="str">
        <f t="array" ref="G266">_xlfn.XLOOKUP($A266, 'Medical Examinations'!$A:$A, 'Medical Examinations'!F:F, "No Data")</f>
        <v>Yes</v>
      </c>
      <c r="H266" s="28">
        <f t="array" ref="H266">_xlfn.XLOOKUP($A266, 'Medical Examinations'!$A:$A, 'Medical Examinations'!G:G, "No Data")</f>
        <v>1</v>
      </c>
      <c r="I266" s="28" t="str">
        <f t="array" ref="I266">_xlfn.XLOOKUP($A266, 'Medical Examinations'!$A:$A, 'Medical Examinations'!H:H, "No Data")</f>
        <v>yes</v>
      </c>
      <c r="J266" s="28" t="str">
        <f t="array" ref="J266">_xlfn.XLOOKUP($A266, 'Medical Examinations'!$A:$A, 'Medical Examinations'!I:I, "No Data")</f>
        <v>Obesity</v>
      </c>
      <c r="K266" s="28" t="str">
        <f t="array" ref="K266">_xlfn.XLOOKUP($A266, 'Hospitalisation Details'!$A:$A, 'Hospitalisation Details'!I:I, "No Data")</f>
        <v>tier - 3</v>
      </c>
      <c r="L266" s="28" t="str">
        <f t="array" ref="L266">_xlfn.XLOOKUP($A266, 'Hospitalisation Details'!$A:$A, 'Hospitalisation Details'!J:J, "No Data")</f>
        <v>R1012</v>
      </c>
      <c r="M266" s="28" t="str">
        <f t="array" ref="M266">_xlfn.XLOOKUP($A266, 'Hospitalisation Details'!$A:$A, 'Hospitalisation Details'!E:E, "No Data")</f>
        <v>28/11/03</v>
      </c>
      <c r="N266" s="28">
        <f t="array" ref="N266">_xlfn.XLOOKUP($A266, 'Hospitalisation Details'!$A:$A, 'Hospitalisation Details'!K:K, "No Data")</f>
        <v>19</v>
      </c>
      <c r="O266" s="33">
        <f t="array" ref="O266">_xlfn.XLOOKUP($A266, 'Hospitalisation Details'!$A:$A, 'Hospitalisation Details'!G:G, "No Data")</f>
        <v>33307.55</v>
      </c>
      <c r="P266" s="28" t="str">
        <f t="array" ref="P266">_xlfn.XLOOKUP($A266, 'Hospitalisation Details'!$A:$A, 'Hospitalisation Details'!H:H, "No Data")</f>
        <v>tier - 2</v>
      </c>
    </row>
    <row r="267">
      <c r="A267" s="25" t="s">
        <v>859</v>
      </c>
      <c r="B267" s="28" t="str">
        <f t="array" ref="B267">_xlfn.XLOOKUP($A267, 'Customer Names'!$A:$A, 'Customer Names'!B:B, "No Data")</f>
        <v>Debolt</v>
      </c>
      <c r="C267" s="28">
        <f t="array" ref="C267">_xlfn.XLOOKUP($A267, 'Medical Examinations'!$A:$A, 'Medical Examinations'!B:B, "No Data")</f>
        <v>37.82</v>
      </c>
      <c r="D267" s="28">
        <f t="array" ref="D267">_xlfn.XLOOKUP($A267, 'Medical Examinations'!$A:$A, 'Medical Examinations'!C:C, "No Data")</f>
        <v>6.01</v>
      </c>
      <c r="E267" s="28" t="str">
        <f t="array" ref="E267">_xlfn.XLOOKUP($A267, 'Medical Examinations'!$A:$A, 'Medical Examinations'!D:D, "No Data")</f>
        <v>No</v>
      </c>
      <c r="F267" s="28" t="str">
        <f t="array" ref="F267">_xlfn.XLOOKUP($A267, 'Medical Examinations'!$A:$A, 'Medical Examinations'!E:E, "No Data")</f>
        <v>No</v>
      </c>
      <c r="G267" s="28" t="str">
        <f t="array" ref="G267">_xlfn.XLOOKUP($A267, 'Medical Examinations'!$A:$A, 'Medical Examinations'!F:F, "No Data")</f>
        <v>No</v>
      </c>
      <c r="H267" s="28">
        <f t="array" ref="H267">_xlfn.XLOOKUP($A267, 'Medical Examinations'!$A:$A, 'Medical Examinations'!G:G, "No Data")</f>
        <v>0</v>
      </c>
      <c r="I267" s="28" t="str">
        <f t="array" ref="I267">_xlfn.XLOOKUP($A267, 'Medical Examinations'!$A:$A, 'Medical Examinations'!H:H, "No Data")</f>
        <v>yes</v>
      </c>
      <c r="J267" s="28" t="str">
        <f t="array" ref="J267">_xlfn.XLOOKUP($A267, 'Medical Examinations'!$A:$A, 'Medical Examinations'!I:I, "No Data")</f>
        <v>Obesity</v>
      </c>
      <c r="K267" s="28" t="str">
        <f t="array" ref="K267">_xlfn.XLOOKUP($A267, 'Hospitalisation Details'!$A:$A, 'Hospitalisation Details'!I:I, "No Data")</f>
        <v>tier - 1</v>
      </c>
      <c r="L267" s="28" t="str">
        <f t="array" ref="L267">_xlfn.XLOOKUP($A267, 'Hospitalisation Details'!$A:$A, 'Hospitalisation Details'!J:J, "No Data")</f>
        <v>R1011</v>
      </c>
      <c r="M267" s="28" t="str">
        <f t="array" ref="M267">_xlfn.XLOOKUP($A267, 'Hospitalisation Details'!$A:$A, 'Hospitalisation Details'!E:E, "No Data")</f>
        <v>12/10/90</v>
      </c>
      <c r="N267" s="28">
        <f t="array" ref="N267">_xlfn.XLOOKUP($A267, 'Hospitalisation Details'!$A:$A, 'Hospitalisation Details'!K:K, "No Data")</f>
        <v>32</v>
      </c>
      <c r="O267" s="33">
        <f t="array" ref="O267">_xlfn.XLOOKUP($A267, 'Hospitalisation Details'!$A:$A, 'Hospitalisation Details'!G:G, "No Data")</f>
        <v>33292.83</v>
      </c>
      <c r="P267" s="28" t="str">
        <f t="array" ref="P267">_xlfn.XLOOKUP($A267, 'Hospitalisation Details'!$A:$A, 'Hospitalisation Details'!H:H, "No Data")</f>
        <v>tier - 2</v>
      </c>
    </row>
    <row r="268">
      <c r="A268" s="25" t="s">
        <v>861</v>
      </c>
      <c r="B268" s="28" t="str">
        <f t="array" ref="B268">_xlfn.XLOOKUP($A268, 'Customer Names'!$A:$A, 'Customer Names'!B:B, "No Data")</f>
        <v>Oswalt</v>
      </c>
      <c r="C268" s="28">
        <f t="array" ref="C268">_xlfn.XLOOKUP($A268, 'Medical Examinations'!$A:$A, 'Medical Examinations'!B:B, "No Data")</f>
        <v>33.14</v>
      </c>
      <c r="D268" s="28">
        <f t="array" ref="D268">_xlfn.XLOOKUP($A268, 'Medical Examinations'!$A:$A, 'Medical Examinations'!C:C, "No Data")</f>
        <v>5.67</v>
      </c>
      <c r="E268" s="28" t="str">
        <f t="array" ref="E268">_xlfn.XLOOKUP($A268, 'Medical Examinations'!$A:$A, 'Medical Examinations'!D:D, "No Data")</f>
        <v>yes</v>
      </c>
      <c r="F268" s="28" t="str">
        <f t="array" ref="F268">_xlfn.XLOOKUP($A268, 'Medical Examinations'!$A:$A, 'Medical Examinations'!E:E, "No Data")</f>
        <v>No</v>
      </c>
      <c r="G268" s="28" t="str">
        <f t="array" ref="G268">_xlfn.XLOOKUP($A268, 'Medical Examinations'!$A:$A, 'Medical Examinations'!F:F, "No Data")</f>
        <v>No</v>
      </c>
      <c r="H268" s="28">
        <f t="array" ref="H268">_xlfn.XLOOKUP($A268, 'Medical Examinations'!$A:$A, 'Medical Examinations'!G:G, "No Data")</f>
        <v>0</v>
      </c>
      <c r="I268" s="28" t="str">
        <f t="array" ref="I268">_xlfn.XLOOKUP($A268, 'Medical Examinations'!$A:$A, 'Medical Examinations'!H:H, "No Data")</f>
        <v>yes</v>
      </c>
      <c r="J268" s="28" t="str">
        <f t="array" ref="J268">_xlfn.XLOOKUP($A268, 'Medical Examinations'!$A:$A, 'Medical Examinations'!I:I, "No Data")</f>
        <v>Obesity</v>
      </c>
      <c r="K268" s="28" t="str">
        <f t="array" ref="K268">_xlfn.XLOOKUP($A268, 'Hospitalisation Details'!$A:$A, 'Hospitalisation Details'!I:I, "No Data")</f>
        <v>tier - 1</v>
      </c>
      <c r="L268" s="28" t="str">
        <f t="array" ref="L268">_xlfn.XLOOKUP($A268, 'Hospitalisation Details'!$A:$A, 'Hospitalisation Details'!J:J, "No Data")</f>
        <v>R1011</v>
      </c>
      <c r="M268" s="28" t="str">
        <f t="array" ref="M268">_xlfn.XLOOKUP($A268, 'Hospitalisation Details'!$A:$A, 'Hospitalisation Details'!E:E, "No Data")</f>
        <v>15/07/85</v>
      </c>
      <c r="N268" s="28">
        <f t="array" ref="N268">_xlfn.XLOOKUP($A268, 'Hospitalisation Details'!$A:$A, 'Hospitalisation Details'!K:K, "No Data")</f>
        <v>37</v>
      </c>
      <c r="O268" s="33">
        <f t="array" ref="O268">_xlfn.XLOOKUP($A268, 'Hospitalisation Details'!$A:$A, 'Hospitalisation Details'!G:G, "No Data")</f>
        <v>33121</v>
      </c>
      <c r="P268" s="28" t="str">
        <f t="array" ref="P268">_xlfn.XLOOKUP($A268, 'Hospitalisation Details'!$A:$A, 'Hospitalisation Details'!H:H, "No Data")</f>
        <v>tier - 2</v>
      </c>
    </row>
    <row r="269">
      <c r="A269" s="25" t="s">
        <v>864</v>
      </c>
      <c r="B269" s="28" t="str">
        <f t="array" ref="B269">_xlfn.XLOOKUP($A269, 'Customer Names'!$A:$A, 'Customer Names'!B:B, "No Data")</f>
        <v>Boyd</v>
      </c>
      <c r="C269" s="28">
        <f t="array" ref="C269">_xlfn.XLOOKUP($A269, 'Medical Examinations'!$A:$A, 'Medical Examinations'!B:B, "No Data")</f>
        <v>25.14</v>
      </c>
      <c r="D269" s="28">
        <f t="array" ref="D269">_xlfn.XLOOKUP($A269, 'Medical Examinations'!$A:$A, 'Medical Examinations'!C:C, "No Data")</f>
        <v>6.02</v>
      </c>
      <c r="E269" s="28" t="str">
        <f t="array" ref="E269">_xlfn.XLOOKUP($A269, 'Medical Examinations'!$A:$A, 'Medical Examinations'!D:D, "No Data")</f>
        <v>yes</v>
      </c>
      <c r="F269" s="28" t="str">
        <f t="array" ref="F269">_xlfn.XLOOKUP($A269, 'Medical Examinations'!$A:$A, 'Medical Examinations'!E:E, "No Data")</f>
        <v>No</v>
      </c>
      <c r="G269" s="28" t="str">
        <f t="array" ref="G269">_xlfn.XLOOKUP($A269, 'Medical Examinations'!$A:$A, 'Medical Examinations'!F:F, "No Data")</f>
        <v>Yes</v>
      </c>
      <c r="H269" s="28">
        <f t="array" ref="H269">_xlfn.XLOOKUP($A269, 'Medical Examinations'!$A:$A, 'Medical Examinations'!G:G, "No Data")</f>
        <v>1</v>
      </c>
      <c r="I269" s="28" t="str">
        <f t="array" ref="I269">_xlfn.XLOOKUP($A269, 'Medical Examinations'!$A:$A, 'Medical Examinations'!H:H, "No Data")</f>
        <v>yes</v>
      </c>
      <c r="J269" s="28" t="str">
        <f t="array" ref="J269">_xlfn.XLOOKUP($A269, 'Medical Examinations'!$A:$A, 'Medical Examinations'!I:I, "No Data")</f>
        <v>Overweight</v>
      </c>
      <c r="K269" s="28" t="str">
        <f t="array" ref="K269">_xlfn.XLOOKUP($A269, 'Hospitalisation Details'!$A:$A, 'Hospitalisation Details'!I:I, "No Data")</f>
        <v>tier - 2</v>
      </c>
      <c r="L269" s="28" t="str">
        <f t="array" ref="L269">_xlfn.XLOOKUP($A269, 'Hospitalisation Details'!$A:$A, 'Hospitalisation Details'!J:J, "No Data")</f>
        <v>R1011</v>
      </c>
      <c r="M269" s="28" t="str">
        <f t="array" ref="M269">_xlfn.XLOOKUP($A269, 'Hospitalisation Details'!$A:$A, 'Hospitalisation Details'!E:E, "No Data")</f>
        <v>30/10/69</v>
      </c>
      <c r="N269" s="28">
        <f t="array" ref="N269">_xlfn.XLOOKUP($A269, 'Hospitalisation Details'!$A:$A, 'Hospitalisation Details'!K:K, "No Data")</f>
        <v>53</v>
      </c>
      <c r="O269" s="33">
        <f t="array" ref="O269">_xlfn.XLOOKUP($A269, 'Hospitalisation Details'!$A:$A, 'Hospitalisation Details'!G:G, "No Data")</f>
        <v>33090.66</v>
      </c>
      <c r="P269" s="28" t="str">
        <f t="array" ref="P269">_xlfn.XLOOKUP($A269, 'Hospitalisation Details'!$A:$A, 'Hospitalisation Details'!H:H, "No Data")</f>
        <v>tier - 2</v>
      </c>
    </row>
    <row r="270">
      <c r="A270" s="25" t="s">
        <v>867</v>
      </c>
      <c r="B270" s="28" t="str">
        <f t="array" ref="B270">_xlfn.XLOOKUP($A270, 'Customer Names'!$A:$A, 'Customer Names'!B:B, "No Data")</f>
        <v>Bulewich</v>
      </c>
      <c r="C270" s="28">
        <f t="array" ref="C270">_xlfn.XLOOKUP($A270, 'Medical Examinations'!$A:$A, 'Medical Examinations'!B:B, "No Data")</f>
        <v>20.18</v>
      </c>
      <c r="D270" s="28">
        <f t="array" ref="D270">_xlfn.XLOOKUP($A270, 'Medical Examinations'!$A:$A, 'Medical Examinations'!C:C, "No Data")</f>
        <v>11.19</v>
      </c>
      <c r="E270" s="28" t="str">
        <f t="array" ref="E270">_xlfn.XLOOKUP($A270, 'Medical Examinations'!$A:$A, 'Medical Examinations'!D:D, "No Data")</f>
        <v>No</v>
      </c>
      <c r="F270" s="28" t="str">
        <f t="array" ref="F270">_xlfn.XLOOKUP($A270, 'Medical Examinations'!$A:$A, 'Medical Examinations'!E:E, "No Data")</f>
        <v>No</v>
      </c>
      <c r="G270" s="28" t="str">
        <f t="array" ref="G270">_xlfn.XLOOKUP($A270, 'Medical Examinations'!$A:$A, 'Medical Examinations'!F:F, "No Data")</f>
        <v>No</v>
      </c>
      <c r="H270" s="28">
        <f t="array" ref="H270">_xlfn.XLOOKUP($A270, 'Medical Examinations'!$A:$A, 'Medical Examinations'!G:G, "No Data")</f>
        <v>0</v>
      </c>
      <c r="I270" s="28" t="str">
        <f t="array" ref="I270">_xlfn.XLOOKUP($A270, 'Medical Examinations'!$A:$A, 'Medical Examinations'!H:H, "No Data")</f>
        <v>yes</v>
      </c>
      <c r="J270" s="28" t="str">
        <f t="array" ref="J270">_xlfn.XLOOKUP($A270, 'Medical Examinations'!$A:$A, 'Medical Examinations'!I:I, "No Data")</f>
        <v>Normal Weight</v>
      </c>
      <c r="K270" s="28" t="str">
        <f t="array" ref="K270">_xlfn.XLOOKUP($A270, 'Hospitalisation Details'!$A:$A, 'Hospitalisation Details'!I:I, "No Data")</f>
        <v>tier - 2</v>
      </c>
      <c r="L270" s="28" t="str">
        <f t="array" ref="L270">_xlfn.XLOOKUP($A270, 'Hospitalisation Details'!$A:$A, 'Hospitalisation Details'!J:J, "No Data")</f>
        <v>R1011</v>
      </c>
      <c r="M270" s="28" t="str">
        <f t="array" ref="M270">_xlfn.XLOOKUP($A270, 'Hospitalisation Details'!$A:$A, 'Hospitalisation Details'!E:E, "No Data")</f>
        <v>01/07/62</v>
      </c>
      <c r="N270" s="28">
        <f t="array" ref="N270">_xlfn.XLOOKUP($A270, 'Hospitalisation Details'!$A:$A, 'Hospitalisation Details'!K:K, "No Data")</f>
        <v>60</v>
      </c>
      <c r="O270" s="33">
        <f t="array" ref="O270">_xlfn.XLOOKUP($A270, 'Hospitalisation Details'!$A:$A, 'Hospitalisation Details'!G:G, "No Data")</f>
        <v>33074.94</v>
      </c>
      <c r="P270" s="28" t="str">
        <f t="array" ref="P270">_xlfn.XLOOKUP($A270, 'Hospitalisation Details'!$A:$A, 'Hospitalisation Details'!H:H, "No Data")</f>
        <v>tier - 1</v>
      </c>
    </row>
    <row r="271">
      <c r="A271" s="25" t="s">
        <v>869</v>
      </c>
      <c r="B271" s="28" t="str">
        <f t="array" ref="B271">_xlfn.XLOOKUP($A271, 'Customer Names'!$A:$A, 'Customer Names'!B:B, "No Data")</f>
        <v>Fukuda</v>
      </c>
      <c r="C271" s="28">
        <f t="array" ref="C271">_xlfn.XLOOKUP($A271, 'Medical Examinations'!$A:$A, 'Medical Examinations'!B:B, "No Data")</f>
        <v>44.36</v>
      </c>
      <c r="D271" s="28">
        <f t="array" ref="D271">_xlfn.XLOOKUP($A271, 'Medical Examinations'!$A:$A, 'Medical Examinations'!C:C, "No Data")</f>
        <v>5.11</v>
      </c>
      <c r="E271" s="28" t="str">
        <f t="array" ref="E271">_xlfn.XLOOKUP($A271, 'Medical Examinations'!$A:$A, 'Medical Examinations'!D:D, "No Data")</f>
        <v>No</v>
      </c>
      <c r="F271" s="28" t="str">
        <f t="array" ref="F271">_xlfn.XLOOKUP($A271, 'Medical Examinations'!$A:$A, 'Medical Examinations'!E:E, "No Data")</f>
        <v>No</v>
      </c>
      <c r="G271" s="28" t="str">
        <f t="array" ref="G271">_xlfn.XLOOKUP($A271, 'Medical Examinations'!$A:$A, 'Medical Examinations'!F:F, "No Data")</f>
        <v>No</v>
      </c>
      <c r="H271" s="28">
        <f t="array" ref="H271">_xlfn.XLOOKUP($A271, 'Medical Examinations'!$A:$A, 'Medical Examinations'!G:G, "No Data")</f>
        <v>0</v>
      </c>
      <c r="I271" s="28" t="str">
        <f t="array" ref="I271">_xlfn.XLOOKUP($A271, 'Medical Examinations'!$A:$A, 'Medical Examinations'!H:H, "No Data")</f>
        <v>yes</v>
      </c>
      <c r="J271" s="28" t="str">
        <f t="array" ref="J271">_xlfn.XLOOKUP($A271, 'Medical Examinations'!$A:$A, 'Medical Examinations'!I:I, "No Data")</f>
        <v>Obesity</v>
      </c>
      <c r="K271" s="28" t="str">
        <f t="array" ref="K271">_xlfn.XLOOKUP($A271, 'Hospitalisation Details'!$A:$A, 'Hospitalisation Details'!I:I, "No Data")</f>
        <v>tier - 2</v>
      </c>
      <c r="L271" s="28" t="str">
        <f t="array" ref="L271">_xlfn.XLOOKUP($A271, 'Hospitalisation Details'!$A:$A, 'Hospitalisation Details'!J:J, "No Data")</f>
        <v>R1011</v>
      </c>
      <c r="M271" s="28" t="str">
        <f t="array" ref="M271">_xlfn.XLOOKUP($A271, 'Hospitalisation Details'!$A:$A, 'Hospitalisation Details'!E:E, "No Data")</f>
        <v>28/07/94</v>
      </c>
      <c r="N271" s="28">
        <f t="array" ref="N271">_xlfn.XLOOKUP($A271, 'Hospitalisation Details'!$A:$A, 'Hospitalisation Details'!K:K, "No Data")</f>
        <v>28</v>
      </c>
      <c r="O271" s="33">
        <f t="array" ref="O271">_xlfn.XLOOKUP($A271, 'Hospitalisation Details'!$A:$A, 'Hospitalisation Details'!G:G, "No Data")</f>
        <v>33057.23</v>
      </c>
      <c r="P271" s="28" t="str">
        <f t="array" ref="P271">_xlfn.XLOOKUP($A271, 'Hospitalisation Details'!$A:$A, 'Hospitalisation Details'!H:H, "No Data")</f>
        <v>tier - 1</v>
      </c>
    </row>
    <row r="272">
      <c r="A272" s="25" t="s">
        <v>872</v>
      </c>
      <c r="B272" s="28" t="str">
        <f t="array" ref="B272">_xlfn.XLOOKUP($A272, 'Customer Names'!$A:$A, 'Customer Names'!B:B, "No Data")</f>
        <v>Phillips</v>
      </c>
      <c r="C272" s="28">
        <f t="array" ref="C272">_xlfn.XLOOKUP($A272, 'Medical Examinations'!$A:$A, 'Medical Examinations'!B:B, "No Data")</f>
        <v>23.82</v>
      </c>
      <c r="D272" s="28">
        <f t="array" ref="D272">_xlfn.XLOOKUP($A272, 'Medical Examinations'!$A:$A, 'Medical Examinations'!C:C, "No Data")</f>
        <v>10.85</v>
      </c>
      <c r="E272" s="28" t="str">
        <f t="array" ref="E272">_xlfn.XLOOKUP($A272, 'Medical Examinations'!$A:$A, 'Medical Examinations'!D:D, "No Data")</f>
        <v>yes</v>
      </c>
      <c r="F272" s="28" t="str">
        <f t="array" ref="F272">_xlfn.XLOOKUP($A272, 'Medical Examinations'!$A:$A, 'Medical Examinations'!E:E, "No Data")</f>
        <v>No</v>
      </c>
      <c r="G272" s="28" t="str">
        <f t="array" ref="G272">_xlfn.XLOOKUP($A272, 'Medical Examinations'!$A:$A, 'Medical Examinations'!F:F, "No Data")</f>
        <v>No</v>
      </c>
      <c r="H272" s="28">
        <f t="array" ref="H272">_xlfn.XLOOKUP($A272, 'Medical Examinations'!$A:$A, 'Medical Examinations'!G:G, "No Data")</f>
        <v>0</v>
      </c>
      <c r="I272" s="28" t="str">
        <f t="array" ref="I272">_xlfn.XLOOKUP($A272, 'Medical Examinations'!$A:$A, 'Medical Examinations'!H:H, "No Data")</f>
        <v>yes</v>
      </c>
      <c r="J272" s="28" t="str">
        <f t="array" ref="J272">_xlfn.XLOOKUP($A272, 'Medical Examinations'!$A:$A, 'Medical Examinations'!I:I, "No Data")</f>
        <v>Normal Weight</v>
      </c>
      <c r="K272" s="28" t="str">
        <f t="array" ref="K272">_xlfn.XLOOKUP($A272, 'Hospitalisation Details'!$A:$A, 'Hospitalisation Details'!I:I, "No Data")</f>
        <v>tier - 3</v>
      </c>
      <c r="L272" s="28" t="str">
        <f t="array" ref="L272">_xlfn.XLOOKUP($A272, 'Hospitalisation Details'!$A:$A, 'Hospitalisation Details'!J:J, "No Data")</f>
        <v>R1011</v>
      </c>
      <c r="M272" s="28" t="str">
        <f t="array" ref="M272">_xlfn.XLOOKUP($A272, 'Hospitalisation Details'!$A:$A, 'Hospitalisation Details'!E:E, "No Data")</f>
        <v>10/07/67</v>
      </c>
      <c r="N272" s="28">
        <f t="array" ref="N272">_xlfn.XLOOKUP($A272, 'Hospitalisation Details'!$A:$A, 'Hospitalisation Details'!K:K, "No Data")</f>
        <v>55</v>
      </c>
      <c r="O272" s="33">
        <f t="array" ref="O272">_xlfn.XLOOKUP($A272, 'Hospitalisation Details'!$A:$A, 'Hospitalisation Details'!G:G, "No Data")</f>
        <v>33025.32</v>
      </c>
      <c r="P272" s="28" t="str">
        <f t="array" ref="P272">_xlfn.XLOOKUP($A272, 'Hospitalisation Details'!$A:$A, 'Hospitalisation Details'!H:H, "No Data")</f>
        <v>tier - 2</v>
      </c>
    </row>
    <row r="273">
      <c r="A273" s="25" t="s">
        <v>875</v>
      </c>
      <c r="B273" s="28" t="str">
        <f t="array" ref="B273">_xlfn.XLOOKUP($A273, 'Customer Names'!$A:$A, 'Customer Names'!B:B, "No Data")</f>
        <v>Maddison</v>
      </c>
      <c r="C273" s="28">
        <f t="array" ref="C273">_xlfn.XLOOKUP($A273, 'Medical Examinations'!$A:$A, 'Medical Examinations'!B:B, "No Data")</f>
        <v>45</v>
      </c>
      <c r="D273" s="28">
        <f t="array" ref="D273">_xlfn.XLOOKUP($A273, 'Medical Examinations'!$A:$A, 'Medical Examinations'!C:C, "No Data")</f>
        <v>5.24</v>
      </c>
      <c r="E273" s="28" t="str">
        <f t="array" ref="E273">_xlfn.XLOOKUP($A273, 'Medical Examinations'!$A:$A, 'Medical Examinations'!D:D, "No Data")</f>
        <v>yes</v>
      </c>
      <c r="F273" s="28" t="str">
        <f t="array" ref="F273">_xlfn.XLOOKUP($A273, 'Medical Examinations'!$A:$A, 'Medical Examinations'!E:E, "No Data")</f>
        <v>No</v>
      </c>
      <c r="G273" s="28" t="str">
        <f t="array" ref="G273">_xlfn.XLOOKUP($A273, 'Medical Examinations'!$A:$A, 'Medical Examinations'!F:F, "No Data")</f>
        <v>No</v>
      </c>
      <c r="H273" s="28">
        <f t="array" ref="H273">_xlfn.XLOOKUP($A273, 'Medical Examinations'!$A:$A, 'Medical Examinations'!G:G, "No Data")</f>
        <v>1</v>
      </c>
      <c r="I273" s="28" t="str">
        <f t="array" ref="I273">_xlfn.XLOOKUP($A273, 'Medical Examinations'!$A:$A, 'Medical Examinations'!H:H, "No Data")</f>
        <v>yes</v>
      </c>
      <c r="J273" s="28" t="str">
        <f t="array" ref="J273">_xlfn.XLOOKUP($A273, 'Medical Examinations'!$A:$A, 'Medical Examinations'!I:I, "No Data")</f>
        <v>Obesity</v>
      </c>
      <c r="K273" s="28" t="str">
        <f t="array" ref="K273">_xlfn.XLOOKUP($A273, 'Hospitalisation Details'!$A:$A, 'Hospitalisation Details'!I:I, "No Data")</f>
        <v>tier - 1</v>
      </c>
      <c r="L273" s="28" t="str">
        <f t="array" ref="L273">_xlfn.XLOOKUP($A273, 'Hospitalisation Details'!$A:$A, 'Hospitalisation Details'!J:J, "No Data")</f>
        <v>R1011</v>
      </c>
      <c r="M273" s="28" t="str">
        <f t="array" ref="M273">_xlfn.XLOOKUP($A273, 'Hospitalisation Details'!$A:$A, 'Hospitalisation Details'!E:E, "No Data")</f>
        <v>08/07/95</v>
      </c>
      <c r="N273" s="28">
        <f t="array" ref="N273">_xlfn.XLOOKUP($A273, 'Hospitalisation Details'!$A:$A, 'Hospitalisation Details'!K:K, "No Data")</f>
        <v>27</v>
      </c>
      <c r="O273" s="33">
        <f t="array" ref="O273">_xlfn.XLOOKUP($A273, 'Hospitalisation Details'!$A:$A, 'Hospitalisation Details'!G:G, "No Data")</f>
        <v>33017.46</v>
      </c>
      <c r="P273" s="28" t="str">
        <f t="array" ref="P273">_xlfn.XLOOKUP($A273, 'Hospitalisation Details'!$A:$A, 'Hospitalisation Details'!H:H, "No Data")</f>
        <v>tier - 1</v>
      </c>
    </row>
    <row r="274">
      <c r="A274" s="25" t="s">
        <v>878</v>
      </c>
      <c r="B274" s="28" t="str">
        <f t="array" ref="B274">_xlfn.XLOOKUP($A274, 'Customer Names'!$A:$A, 'Customer Names'!B:B, "No Data")</f>
        <v>Lockwood</v>
      </c>
      <c r="C274" s="28">
        <f t="array" ref="C274">_xlfn.XLOOKUP($A274, 'Medical Examinations'!$A:$A, 'Medical Examinations'!B:B, "No Data")</f>
        <v>26.62</v>
      </c>
      <c r="D274" s="28">
        <f t="array" ref="D274">_xlfn.XLOOKUP($A274, 'Medical Examinations'!$A:$A, 'Medical Examinations'!C:C, "No Data")</f>
        <v>10.08</v>
      </c>
      <c r="E274" s="28" t="str">
        <f t="array" ref="E274">_xlfn.XLOOKUP($A274, 'Medical Examinations'!$A:$A, 'Medical Examinations'!D:D, "No Data")</f>
        <v>No</v>
      </c>
      <c r="F274" s="28" t="str">
        <f t="array" ref="F274">_xlfn.XLOOKUP($A274, 'Medical Examinations'!$A:$A, 'Medical Examinations'!E:E, "No Data")</f>
        <v>No</v>
      </c>
      <c r="G274" s="28" t="str">
        <f t="array" ref="G274">_xlfn.XLOOKUP($A274, 'Medical Examinations'!$A:$A, 'Medical Examinations'!F:F, "No Data")</f>
        <v>No</v>
      </c>
      <c r="H274" s="28">
        <f t="array" ref="H274">_xlfn.XLOOKUP($A274, 'Medical Examinations'!$A:$A, 'Medical Examinations'!G:G, "No Data")</f>
        <v>0</v>
      </c>
      <c r="I274" s="28" t="str">
        <f t="array" ref="I274">_xlfn.XLOOKUP($A274, 'Medical Examinations'!$A:$A, 'Medical Examinations'!H:H, "No Data")</f>
        <v>yes</v>
      </c>
      <c r="J274" s="28" t="str">
        <f t="array" ref="J274">_xlfn.XLOOKUP($A274, 'Medical Examinations'!$A:$A, 'Medical Examinations'!I:I, "No Data")</f>
        <v>Overweight</v>
      </c>
      <c r="K274" s="28" t="str">
        <f t="array" ref="K274">_xlfn.XLOOKUP($A274, 'Hospitalisation Details'!$A:$A, 'Hospitalisation Details'!I:I, "No Data")</f>
        <v>tier - 1</v>
      </c>
      <c r="L274" s="28" t="str">
        <f t="array" ref="L274">_xlfn.XLOOKUP($A274, 'Hospitalisation Details'!$A:$A, 'Hospitalisation Details'!J:J, "No Data")</f>
        <v>R1011</v>
      </c>
      <c r="M274" s="28" t="str">
        <f t="array" ref="M274">_xlfn.XLOOKUP($A274, 'Hospitalisation Details'!$A:$A, 'Hospitalisation Details'!E:E, "No Data")</f>
        <v>24/08/71</v>
      </c>
      <c r="N274" s="28">
        <f t="array" ref="N274">_xlfn.XLOOKUP($A274, 'Hospitalisation Details'!$A:$A, 'Hospitalisation Details'!K:K, "No Data")</f>
        <v>51</v>
      </c>
      <c r="O274" s="33">
        <f t="array" ref="O274">_xlfn.XLOOKUP($A274, 'Hospitalisation Details'!$A:$A, 'Hospitalisation Details'!G:G, "No Data")</f>
        <v>32947.63</v>
      </c>
      <c r="P274" s="28" t="str">
        <f t="array" ref="P274">_xlfn.XLOOKUP($A274, 'Hospitalisation Details'!$A:$A, 'Hospitalisation Details'!H:H, "No Data")</f>
        <v>tier - 2</v>
      </c>
    </row>
    <row r="275">
      <c r="A275" s="25" t="s">
        <v>881</v>
      </c>
      <c r="B275" s="28" t="str">
        <f t="array" ref="B275">_xlfn.XLOOKUP($A275, 'Customer Names'!$A:$A, 'Customer Names'!B:B, "No Data")</f>
        <v>Defilippi</v>
      </c>
      <c r="C275" s="28">
        <f t="array" ref="C275">_xlfn.XLOOKUP($A275, 'Medical Examinations'!$A:$A, 'Medical Examinations'!B:B, "No Data")</f>
        <v>32.67</v>
      </c>
      <c r="D275" s="28">
        <f t="array" ref="D275">_xlfn.XLOOKUP($A275, 'Medical Examinations'!$A:$A, 'Medical Examinations'!C:C, "No Data")</f>
        <v>10.97</v>
      </c>
      <c r="E275" s="28" t="str">
        <f t="array" ref="E275">_xlfn.XLOOKUP($A275, 'Medical Examinations'!$A:$A, 'Medical Examinations'!D:D, "No Data")</f>
        <v>yes</v>
      </c>
      <c r="F275" s="28" t="str">
        <f t="array" ref="F275">_xlfn.XLOOKUP($A275, 'Medical Examinations'!$A:$A, 'Medical Examinations'!E:E, "No Data")</f>
        <v>No</v>
      </c>
      <c r="G275" s="28" t="str">
        <f t="array" ref="G275">_xlfn.XLOOKUP($A275, 'Medical Examinations'!$A:$A, 'Medical Examinations'!F:F, "No Data")</f>
        <v>No</v>
      </c>
      <c r="H275" s="28">
        <f t="array" ref="H275">_xlfn.XLOOKUP($A275, 'Medical Examinations'!$A:$A, 'Medical Examinations'!G:G, "No Data")</f>
        <v>0</v>
      </c>
      <c r="I275" s="28" t="str">
        <f t="array" ref="I275">_xlfn.XLOOKUP($A275, 'Medical Examinations'!$A:$A, 'Medical Examinations'!H:H, "No Data")</f>
        <v>yes</v>
      </c>
      <c r="J275" s="28" t="str">
        <f t="array" ref="J275">_xlfn.XLOOKUP($A275, 'Medical Examinations'!$A:$A, 'Medical Examinations'!I:I, "No Data")</f>
        <v>Obesity</v>
      </c>
      <c r="K275" s="28" t="str">
        <f t="array" ref="K275">_xlfn.XLOOKUP($A275, 'Hospitalisation Details'!$A:$A, 'Hospitalisation Details'!I:I, "No Data")</f>
        <v>tier - 3</v>
      </c>
      <c r="L275" s="28" t="str">
        <f t="array" ref="L275">_xlfn.XLOOKUP($A275, 'Hospitalisation Details'!$A:$A, 'Hospitalisation Details'!J:J, "No Data")</f>
        <v>R1011</v>
      </c>
      <c r="M275" s="28" t="str">
        <f t="array" ref="M275">_xlfn.XLOOKUP($A275, 'Hospitalisation Details'!$A:$A, 'Hospitalisation Details'!E:E, "No Data")</f>
        <v>17/11/81</v>
      </c>
      <c r="N275" s="28">
        <f t="array" ref="N275">_xlfn.XLOOKUP($A275, 'Hospitalisation Details'!$A:$A, 'Hospitalisation Details'!K:K, "No Data")</f>
        <v>41</v>
      </c>
      <c r="O275" s="33">
        <f t="array" ref="O275">_xlfn.XLOOKUP($A275, 'Hospitalisation Details'!$A:$A, 'Hospitalisation Details'!G:G, "No Data")</f>
        <v>32906.69</v>
      </c>
      <c r="P275" s="28" t="str">
        <f t="array" ref="P275">_xlfn.XLOOKUP($A275, 'Hospitalisation Details'!$A:$A, 'Hospitalisation Details'!H:H, "No Data")</f>
        <v>tier - 2</v>
      </c>
    </row>
    <row r="276">
      <c r="A276" s="25" t="s">
        <v>884</v>
      </c>
      <c r="B276" s="28" t="str">
        <f t="array" ref="B276">_xlfn.XLOOKUP($A276, 'Customer Names'!$A:$A, 'Customer Names'!B:B, "No Data")</f>
        <v>Jackson</v>
      </c>
      <c r="C276" s="28">
        <f t="array" ref="C276">_xlfn.XLOOKUP($A276, 'Medical Examinations'!$A:$A, 'Medical Examinations'!B:B, "No Data")</f>
        <v>44.44</v>
      </c>
      <c r="D276" s="28">
        <f t="array" ref="D276">_xlfn.XLOOKUP($A276, 'Medical Examinations'!$A:$A, 'Medical Examinations'!C:C, "No Data")</f>
        <v>4.9</v>
      </c>
      <c r="E276" s="28" t="str">
        <f t="array" ref="E276">_xlfn.XLOOKUP($A276, 'Medical Examinations'!$A:$A, 'Medical Examinations'!D:D, "No Data")</f>
        <v>yes</v>
      </c>
      <c r="F276" s="28" t="str">
        <f t="array" ref="F276">_xlfn.XLOOKUP($A276, 'Medical Examinations'!$A:$A, 'Medical Examinations'!E:E, "No Data")</f>
        <v>No</v>
      </c>
      <c r="G276" s="28" t="str">
        <f t="array" ref="G276">_xlfn.XLOOKUP($A276, 'Medical Examinations'!$A:$A, 'Medical Examinations'!F:F, "No Data")</f>
        <v>No</v>
      </c>
      <c r="H276" s="28">
        <f t="array" ref="H276">_xlfn.XLOOKUP($A276, 'Medical Examinations'!$A:$A, 'Medical Examinations'!G:G, "No Data")</f>
        <v>1</v>
      </c>
      <c r="I276" s="28" t="str">
        <f t="array" ref="I276">_xlfn.XLOOKUP($A276, 'Medical Examinations'!$A:$A, 'Medical Examinations'!H:H, "No Data")</f>
        <v>yes</v>
      </c>
      <c r="J276" s="28" t="str">
        <f t="array" ref="J276">_xlfn.XLOOKUP($A276, 'Medical Examinations'!$A:$A, 'Medical Examinations'!I:I, "No Data")</f>
        <v>Obesity</v>
      </c>
      <c r="K276" s="28" t="str">
        <f t="array" ref="K276">_xlfn.XLOOKUP($A276, 'Hospitalisation Details'!$A:$A, 'Hospitalisation Details'!I:I, "No Data")</f>
        <v>tier - 2</v>
      </c>
      <c r="L276" s="28" t="str">
        <f t="array" ref="L276">_xlfn.XLOOKUP($A276, 'Hospitalisation Details'!$A:$A, 'Hospitalisation Details'!J:J, "No Data")</f>
        <v>R1011</v>
      </c>
      <c r="M276" s="28" t="str">
        <f t="array" ref="M276">_xlfn.XLOOKUP($A276, 'Hospitalisation Details'!$A:$A, 'Hospitalisation Details'!E:E, "No Data")</f>
        <v>04/12/95</v>
      </c>
      <c r="N276" s="28">
        <f t="array" ref="N276">_xlfn.XLOOKUP($A276, 'Hospitalisation Details'!$A:$A, 'Hospitalisation Details'!K:K, "No Data")</f>
        <v>27</v>
      </c>
      <c r="O276" s="33">
        <f t="array" ref="O276">_xlfn.XLOOKUP($A276, 'Hospitalisation Details'!$A:$A, 'Hospitalisation Details'!G:G, "No Data")</f>
        <v>32827.51</v>
      </c>
      <c r="P276" s="28" t="str">
        <f t="array" ref="P276">_xlfn.XLOOKUP($A276, 'Hospitalisation Details'!$A:$A, 'Hospitalisation Details'!H:H, "No Data")</f>
        <v>tier - 1</v>
      </c>
    </row>
    <row r="277">
      <c r="A277" s="25" t="s">
        <v>888</v>
      </c>
      <c r="B277" s="28" t="str">
        <f t="array" ref="B277">_xlfn.XLOOKUP($A277, 'Customer Names'!$A:$A, 'Customer Names'!B:B, "No Data")</f>
        <v>Ozahowski</v>
      </c>
      <c r="C277" s="28">
        <f t="array" ref="C277">_xlfn.XLOOKUP($A277, 'Medical Examinations'!$A:$A, 'Medical Examinations'!B:B, "No Data")</f>
        <v>28.31</v>
      </c>
      <c r="D277" s="28">
        <f t="array" ref="D277">_xlfn.XLOOKUP($A277, 'Medical Examinations'!$A:$A, 'Medical Examinations'!C:C, "No Data")</f>
        <v>5.33</v>
      </c>
      <c r="E277" s="28" t="str">
        <f t="array" ref="E277">_xlfn.XLOOKUP($A277, 'Medical Examinations'!$A:$A, 'Medical Examinations'!D:D, "No Data")</f>
        <v>No</v>
      </c>
      <c r="F277" s="28" t="str">
        <f t="array" ref="F277">_xlfn.XLOOKUP($A277, 'Medical Examinations'!$A:$A, 'Medical Examinations'!E:E, "No Data")</f>
        <v>No</v>
      </c>
      <c r="G277" s="28" t="str">
        <f t="array" ref="G277">_xlfn.XLOOKUP($A277, 'Medical Examinations'!$A:$A, 'Medical Examinations'!F:F, "No Data")</f>
        <v>No</v>
      </c>
      <c r="H277" s="28">
        <f t="array" ref="H277">_xlfn.XLOOKUP($A277, 'Medical Examinations'!$A:$A, 'Medical Examinations'!G:G, "No Data")</f>
        <v>0</v>
      </c>
      <c r="I277" s="28" t="str">
        <f t="array" ref="I277">_xlfn.XLOOKUP($A277, 'Medical Examinations'!$A:$A, 'Medical Examinations'!H:H, "No Data")</f>
        <v>yes</v>
      </c>
      <c r="J277" s="28" t="str">
        <f t="array" ref="J277">_xlfn.XLOOKUP($A277, 'Medical Examinations'!$A:$A, 'Medical Examinations'!I:I, "No Data")</f>
        <v>Overweight</v>
      </c>
      <c r="K277" s="28" t="str">
        <f t="array" ref="K277">_xlfn.XLOOKUP($A277, 'Hospitalisation Details'!$A:$A, 'Hospitalisation Details'!I:I, "No Data")</f>
        <v>tier - 3</v>
      </c>
      <c r="L277" s="28" t="str">
        <f t="array" ref="L277">_xlfn.XLOOKUP($A277, 'Hospitalisation Details'!$A:$A, 'Hospitalisation Details'!J:J, "No Data")</f>
        <v>R1012</v>
      </c>
      <c r="M277" s="28" t="str">
        <f t="array" ref="M277">_xlfn.XLOOKUP($A277, 'Hospitalisation Details'!$A:$A, 'Hospitalisation Details'!E:E, "No Data")</f>
        <v>12/12/80</v>
      </c>
      <c r="N277" s="28">
        <f t="array" ref="N277">_xlfn.XLOOKUP($A277, 'Hospitalisation Details'!$A:$A, 'Hospitalisation Details'!K:K, "No Data")</f>
        <v>42</v>
      </c>
      <c r="O277" s="33">
        <f t="array" ref="O277">_xlfn.XLOOKUP($A277, 'Hospitalisation Details'!$A:$A, 'Hospitalisation Details'!G:G, "No Data")</f>
        <v>32787.46</v>
      </c>
      <c r="P277" s="28" t="str">
        <f t="array" ref="P277">_xlfn.XLOOKUP($A277, 'Hospitalisation Details'!$A:$A, 'Hospitalisation Details'!H:H, "No Data")</f>
        <v>tier - 1</v>
      </c>
    </row>
    <row r="278">
      <c r="A278" s="25" t="s">
        <v>890</v>
      </c>
      <c r="B278" s="28" t="str">
        <f t="array" ref="B278">_xlfn.XLOOKUP($A278, 'Customer Names'!$A:$A, 'Customer Names'!B:B, "No Data")</f>
        <v>Guthals</v>
      </c>
      <c r="C278" s="28">
        <f t="array" ref="C278">_xlfn.XLOOKUP($A278, 'Medical Examinations'!$A:$A, 'Medical Examinations'!B:B, "No Data")</f>
        <v>25.05</v>
      </c>
      <c r="D278" s="28">
        <f t="array" ref="D278">_xlfn.XLOOKUP($A278, 'Medical Examinations'!$A:$A, 'Medical Examinations'!C:C, "No Data")</f>
        <v>4.61</v>
      </c>
      <c r="E278" s="28" t="str">
        <f t="array" ref="E278">_xlfn.XLOOKUP($A278, 'Medical Examinations'!$A:$A, 'Medical Examinations'!D:D, "No Data")</f>
        <v>No</v>
      </c>
      <c r="F278" s="28" t="str">
        <f t="array" ref="F278">_xlfn.XLOOKUP($A278, 'Medical Examinations'!$A:$A, 'Medical Examinations'!E:E, "No Data")</f>
        <v>No</v>
      </c>
      <c r="G278" s="28" t="str">
        <f t="array" ref="G278">_xlfn.XLOOKUP($A278, 'Medical Examinations'!$A:$A, 'Medical Examinations'!F:F, "No Data")</f>
        <v>No</v>
      </c>
      <c r="H278" s="28">
        <f t="array" ref="H278">_xlfn.XLOOKUP($A278, 'Medical Examinations'!$A:$A, 'Medical Examinations'!G:G, "No Data")</f>
        <v>2</v>
      </c>
      <c r="I278" s="28" t="str">
        <f t="array" ref="I278">_xlfn.XLOOKUP($A278, 'Medical Examinations'!$A:$A, 'Medical Examinations'!H:H, "No Data")</f>
        <v>yes</v>
      </c>
      <c r="J278" s="28" t="str">
        <f t="array" ref="J278">_xlfn.XLOOKUP($A278, 'Medical Examinations'!$A:$A, 'Medical Examinations'!I:I, "No Data")</f>
        <v>Overweight</v>
      </c>
      <c r="K278" s="28" t="str">
        <f t="array" ref="K278">_xlfn.XLOOKUP($A278, 'Hospitalisation Details'!$A:$A, 'Hospitalisation Details'!I:I, "No Data")</f>
        <v>tier - 2</v>
      </c>
      <c r="L278" s="28" t="str">
        <f t="array" ref="L278">_xlfn.XLOOKUP($A278, 'Hospitalisation Details'!$A:$A, 'Hospitalisation Details'!J:J, "No Data")</f>
        <v>R1012</v>
      </c>
      <c r="M278" s="28" t="str">
        <f t="array" ref="M278">_xlfn.XLOOKUP($A278, 'Hospitalisation Details'!$A:$A, 'Hospitalisation Details'!E:E, "No Data")</f>
        <v>07/11/72</v>
      </c>
      <c r="N278" s="28">
        <f t="array" ref="N278">_xlfn.XLOOKUP($A278, 'Hospitalisation Details'!$A:$A, 'Hospitalisation Details'!K:K, "No Data")</f>
        <v>50</v>
      </c>
      <c r="O278" s="33">
        <f t="array" ref="O278">_xlfn.XLOOKUP($A278, 'Hospitalisation Details'!$A:$A, 'Hospitalisation Details'!G:G, "No Data")</f>
        <v>32765.33</v>
      </c>
      <c r="P278" s="28" t="str">
        <f t="array" ref="P278">_xlfn.XLOOKUP($A278, 'Hospitalisation Details'!$A:$A, 'Hospitalisation Details'!H:H, "No Data")</f>
        <v>tier - 2</v>
      </c>
    </row>
    <row r="279">
      <c r="A279" s="25" t="s">
        <v>893</v>
      </c>
      <c r="B279" s="28" t="str">
        <f t="array" ref="B279">_xlfn.XLOOKUP($A279, 'Customer Names'!$A:$A, 'Customer Names'!B:B, "No Data")</f>
        <v>Yates</v>
      </c>
      <c r="C279" s="28">
        <f t="array" ref="C279">_xlfn.XLOOKUP($A279, 'Medical Examinations'!$A:$A, 'Medical Examinations'!B:B, "No Data")</f>
        <v>28.34</v>
      </c>
      <c r="D279" s="28">
        <f t="array" ref="D279">_xlfn.XLOOKUP($A279, 'Medical Examinations'!$A:$A, 'Medical Examinations'!C:C, "No Data")</f>
        <v>8.18</v>
      </c>
      <c r="E279" s="28" t="str">
        <f t="array" ref="E279">_xlfn.XLOOKUP($A279, 'Medical Examinations'!$A:$A, 'Medical Examinations'!D:D, "No Data")</f>
        <v>No</v>
      </c>
      <c r="F279" s="28" t="str">
        <f t="array" ref="F279">_xlfn.XLOOKUP($A279, 'Medical Examinations'!$A:$A, 'Medical Examinations'!E:E, "No Data")</f>
        <v>No</v>
      </c>
      <c r="G279" s="28" t="str">
        <f t="array" ref="G279">_xlfn.XLOOKUP($A279, 'Medical Examinations'!$A:$A, 'Medical Examinations'!F:F, "No Data")</f>
        <v>No</v>
      </c>
      <c r="H279" s="28">
        <f t="array" ref="H279">_xlfn.XLOOKUP($A279, 'Medical Examinations'!$A:$A, 'Medical Examinations'!G:G, "No Data")</f>
        <v>0</v>
      </c>
      <c r="I279" s="28" t="str">
        <f t="array" ref="I279">_xlfn.XLOOKUP($A279, 'Medical Examinations'!$A:$A, 'Medical Examinations'!H:H, "No Data")</f>
        <v>yes</v>
      </c>
      <c r="J279" s="28" t="str">
        <f t="array" ref="J279">_xlfn.XLOOKUP($A279, 'Medical Examinations'!$A:$A, 'Medical Examinations'!I:I, "No Data")</f>
        <v>Overweight</v>
      </c>
      <c r="K279" s="28" t="str">
        <f t="array" ref="K279">_xlfn.XLOOKUP($A279, 'Hospitalisation Details'!$A:$A, 'Hospitalisation Details'!I:I, "No Data")</f>
        <v>tier - 1</v>
      </c>
      <c r="L279" s="28" t="str">
        <f t="array" ref="L279">_xlfn.XLOOKUP($A279, 'Hospitalisation Details'!$A:$A, 'Hospitalisation Details'!J:J, "No Data")</f>
        <v>R1011</v>
      </c>
      <c r="M279" s="28" t="str">
        <f t="array" ref="M279">_xlfn.XLOOKUP($A279, 'Hospitalisation Details'!$A:$A, 'Hospitalisation Details'!E:E, "No Data")</f>
        <v>06/12/74</v>
      </c>
      <c r="N279" s="28">
        <f t="array" ref="N279">_xlfn.XLOOKUP($A279, 'Hospitalisation Details'!$A:$A, 'Hospitalisation Details'!K:K, "No Data")</f>
        <v>48</v>
      </c>
      <c r="O279" s="33">
        <f t="array" ref="O279">_xlfn.XLOOKUP($A279, 'Hospitalisation Details'!$A:$A, 'Hospitalisation Details'!G:G, "No Data")</f>
        <v>32760.48</v>
      </c>
      <c r="P279" s="28" t="str">
        <f t="array" ref="P279">_xlfn.XLOOKUP($A279, 'Hospitalisation Details'!$A:$A, 'Hospitalisation Details'!H:H, "No Data")</f>
        <v>tier - 1</v>
      </c>
    </row>
    <row r="280">
      <c r="A280" s="25" t="s">
        <v>897</v>
      </c>
      <c r="B280" s="28" t="str">
        <f t="array" ref="B280">_xlfn.XLOOKUP($A280, 'Customer Names'!$A:$A, 'Customer Names'!B:B, "No Data")</f>
        <v>Samuelson</v>
      </c>
      <c r="C280" s="28">
        <f t="array" ref="C280">_xlfn.XLOOKUP($A280, 'Medical Examinations'!$A:$A, 'Medical Examinations'!B:B, "No Data")</f>
        <v>17.765</v>
      </c>
      <c r="D280" s="28">
        <f t="array" ref="D280">_xlfn.XLOOKUP($A280, 'Medical Examinations'!$A:$A, 'Medical Examinations'!C:C, "No Data")</f>
        <v>5.62</v>
      </c>
      <c r="E280" s="28" t="str">
        <f t="array" ref="E280">_xlfn.XLOOKUP($A280, 'Medical Examinations'!$A:$A, 'Medical Examinations'!D:D, "No Data")</f>
        <v>No</v>
      </c>
      <c r="F280" s="28" t="str">
        <f t="array" ref="F280">_xlfn.XLOOKUP($A280, 'Medical Examinations'!$A:$A, 'Medical Examinations'!E:E, "No Data")</f>
        <v>No</v>
      </c>
      <c r="G280" s="28" t="str">
        <f t="array" ref="G280">_xlfn.XLOOKUP($A280, 'Medical Examinations'!$A:$A, 'Medical Examinations'!F:F, "No Data")</f>
        <v>No</v>
      </c>
      <c r="H280" s="28">
        <f t="array" ref="H280">_xlfn.XLOOKUP($A280, 'Medical Examinations'!$A:$A, 'Medical Examinations'!G:G, "No Data")</f>
        <v>0</v>
      </c>
      <c r="I280" s="28" t="str">
        <f t="array" ref="I280">_xlfn.XLOOKUP($A280, 'Medical Examinations'!$A:$A, 'Medical Examinations'!H:H, "No Data")</f>
        <v>yes</v>
      </c>
      <c r="J280" s="28" t="str">
        <f t="array" ref="J280">_xlfn.XLOOKUP($A280, 'Medical Examinations'!$A:$A, 'Medical Examinations'!I:I, "No Data")</f>
        <v>Underweight</v>
      </c>
      <c r="K280" s="28" t="str">
        <f t="array" ref="K280">_xlfn.XLOOKUP($A280, 'Hospitalisation Details'!$A:$A, 'Hospitalisation Details'!I:I, "No Data")</f>
        <v>tier - 1</v>
      </c>
      <c r="L280" s="28" t="str">
        <f t="array" ref="L280">_xlfn.XLOOKUP($A280, 'Hospitalisation Details'!$A:$A, 'Hospitalisation Details'!J:J, "No Data")</f>
        <v>R1012</v>
      </c>
      <c r="M280" s="28" t="str">
        <f t="array" ref="M280">_xlfn.XLOOKUP($A280, 'Hospitalisation Details'!$A:$A, 'Hospitalisation Details'!E:E, "No Data")</f>
        <v>09/07/90</v>
      </c>
      <c r="N280" s="28">
        <f t="array" ref="N280">_xlfn.XLOOKUP($A280, 'Hospitalisation Details'!$A:$A, 'Hospitalisation Details'!K:K, "No Data")</f>
        <v>32</v>
      </c>
      <c r="O280" s="33">
        <f t="array" ref="O280">_xlfn.XLOOKUP($A280, 'Hospitalisation Details'!$A:$A, 'Hospitalisation Details'!G:G, "No Data")</f>
        <v>32734.19</v>
      </c>
      <c r="P280" s="28" t="str">
        <f t="array" ref="P280">_xlfn.XLOOKUP($A280, 'Hospitalisation Details'!$A:$A, 'Hospitalisation Details'!H:H, "No Data")</f>
        <v>tier - 2</v>
      </c>
    </row>
    <row r="281">
      <c r="A281" s="25" t="s">
        <v>899</v>
      </c>
      <c r="B281" s="28" t="str">
        <f t="array" ref="B281">_xlfn.XLOOKUP($A281, 'Customer Names'!$A:$A, 'Customer Names'!B:B, "No Data")</f>
        <v>Lemos</v>
      </c>
      <c r="C281" s="28">
        <f t="array" ref="C281">_xlfn.XLOOKUP($A281, 'Medical Examinations'!$A:$A, 'Medical Examinations'!B:B, "No Data")</f>
        <v>36.12</v>
      </c>
      <c r="D281" s="28">
        <f t="array" ref="D281">_xlfn.XLOOKUP($A281, 'Medical Examinations'!$A:$A, 'Medical Examinations'!C:C, "No Data")</f>
        <v>5.82</v>
      </c>
      <c r="E281" s="28" t="str">
        <f t="array" ref="E281">_xlfn.XLOOKUP($A281, 'Medical Examinations'!$A:$A, 'Medical Examinations'!D:D, "No Data")</f>
        <v>No</v>
      </c>
      <c r="F281" s="28" t="str">
        <f t="array" ref="F281">_xlfn.XLOOKUP($A281, 'Medical Examinations'!$A:$A, 'Medical Examinations'!E:E, "No Data")</f>
        <v>No</v>
      </c>
      <c r="G281" s="28" t="str">
        <f t="array" ref="G281">_xlfn.XLOOKUP($A281, 'Medical Examinations'!$A:$A, 'Medical Examinations'!F:F, "No Data")</f>
        <v>No</v>
      </c>
      <c r="H281" s="28">
        <f t="array" ref="H281">_xlfn.XLOOKUP($A281, 'Medical Examinations'!$A:$A, 'Medical Examinations'!G:G, "No Data")</f>
        <v>0</v>
      </c>
      <c r="I281" s="28" t="str">
        <f t="array" ref="I281">_xlfn.XLOOKUP($A281, 'Medical Examinations'!$A:$A, 'Medical Examinations'!H:H, "No Data")</f>
        <v>yes</v>
      </c>
      <c r="J281" s="28" t="str">
        <f t="array" ref="J281">_xlfn.XLOOKUP($A281, 'Medical Examinations'!$A:$A, 'Medical Examinations'!I:I, "No Data")</f>
        <v>Obesity</v>
      </c>
      <c r="K281" s="28" t="str">
        <f t="array" ref="K281">_xlfn.XLOOKUP($A281, 'Hospitalisation Details'!$A:$A, 'Hospitalisation Details'!I:I, "No Data")</f>
        <v>tier - 2</v>
      </c>
      <c r="L281" s="28" t="str">
        <f t="array" ref="L281">_xlfn.XLOOKUP($A281, 'Hospitalisation Details'!$A:$A, 'Hospitalisation Details'!J:J, "No Data")</f>
        <v>R1011</v>
      </c>
      <c r="M281" s="28" t="str">
        <f t="array" ref="M281">_xlfn.XLOOKUP($A281, 'Hospitalisation Details'!$A:$A, 'Hospitalisation Details'!E:E, "No Data")</f>
        <v>30/09/90</v>
      </c>
      <c r="N281" s="28">
        <f t="array" ref="N281">_xlfn.XLOOKUP($A281, 'Hospitalisation Details'!$A:$A, 'Hospitalisation Details'!K:K, "No Data")</f>
        <v>32</v>
      </c>
      <c r="O281" s="33">
        <f t="array" ref="O281">_xlfn.XLOOKUP($A281, 'Hospitalisation Details'!$A:$A, 'Hospitalisation Details'!G:G, "No Data")</f>
        <v>32716.2</v>
      </c>
      <c r="P281" s="28" t="str">
        <f t="array" ref="P281">_xlfn.XLOOKUP($A281, 'Hospitalisation Details'!$A:$A, 'Hospitalisation Details'!H:H, "No Data")</f>
        <v>tier - 1</v>
      </c>
    </row>
    <row r="282">
      <c r="A282" s="25" t="s">
        <v>903</v>
      </c>
      <c r="B282" s="28" t="str">
        <f t="array" ref="B282">_xlfn.XLOOKUP($A282, 'Customer Names'!$A:$A, 'Customer Names'!B:B, "No Data")</f>
        <v>Seynders</v>
      </c>
      <c r="C282" s="28">
        <f t="array" ref="C282">_xlfn.XLOOKUP($A282, 'Medical Examinations'!$A:$A, 'Medical Examinations'!B:B, "No Data")</f>
        <v>23.19</v>
      </c>
      <c r="D282" s="28">
        <f t="array" ref="D282">_xlfn.XLOOKUP($A282, 'Medical Examinations'!$A:$A, 'Medical Examinations'!C:C, "No Data")</f>
        <v>7.66</v>
      </c>
      <c r="E282" s="28" t="str">
        <f t="array" ref="E282">_xlfn.XLOOKUP($A282, 'Medical Examinations'!$A:$A, 'Medical Examinations'!D:D, "No Data")</f>
        <v>No</v>
      </c>
      <c r="F282" s="28" t="str">
        <f t="array" ref="F282">_xlfn.XLOOKUP($A282, 'Medical Examinations'!$A:$A, 'Medical Examinations'!E:E, "No Data")</f>
        <v>No</v>
      </c>
      <c r="G282" s="28" t="str">
        <f t="array" ref="G282">_xlfn.XLOOKUP($A282, 'Medical Examinations'!$A:$A, 'Medical Examinations'!F:F, "No Data")</f>
        <v>No</v>
      </c>
      <c r="H282" s="28">
        <f t="array" ref="H282">_xlfn.XLOOKUP($A282, 'Medical Examinations'!$A:$A, 'Medical Examinations'!G:G, "No Data")</f>
        <v>0</v>
      </c>
      <c r="I282" s="28" t="str">
        <f t="array" ref="I282">_xlfn.XLOOKUP($A282, 'Medical Examinations'!$A:$A, 'Medical Examinations'!H:H, "No Data")</f>
        <v>yes</v>
      </c>
      <c r="J282" s="28" t="str">
        <f t="array" ref="J282">_xlfn.XLOOKUP($A282, 'Medical Examinations'!$A:$A, 'Medical Examinations'!I:I, "No Data")</f>
        <v>Normal Weight</v>
      </c>
      <c r="K282" s="28" t="str">
        <f t="array" ref="K282">_xlfn.XLOOKUP($A282, 'Hospitalisation Details'!$A:$A, 'Hospitalisation Details'!I:I, "No Data")</f>
        <v>tier - 3</v>
      </c>
      <c r="L282" s="28" t="str">
        <f t="array" ref="L282">_xlfn.XLOOKUP($A282, 'Hospitalisation Details'!$A:$A, 'Hospitalisation Details'!J:J, "No Data")</f>
        <v>R1011</v>
      </c>
      <c r="M282" s="28" t="str">
        <f t="array" ref="M282">_xlfn.XLOOKUP($A282, 'Hospitalisation Details'!$A:$A, 'Hospitalisation Details'!E:E, "No Data")</f>
        <v>01/11/68</v>
      </c>
      <c r="N282" s="28">
        <f t="array" ref="N282">_xlfn.XLOOKUP($A282, 'Hospitalisation Details'!$A:$A, 'Hospitalisation Details'!K:K, "No Data")</f>
        <v>54</v>
      </c>
      <c r="O282" s="33">
        <f t="array" ref="O282">_xlfn.XLOOKUP($A282, 'Hospitalisation Details'!$A:$A, 'Hospitalisation Details'!G:G, "No Data")</f>
        <v>32686.08</v>
      </c>
      <c r="P282" s="28" t="str">
        <f t="array" ref="P282">_xlfn.XLOOKUP($A282, 'Hospitalisation Details'!$A:$A, 'Hospitalisation Details'!H:H, "No Data")</f>
        <v>tier - 2</v>
      </c>
    </row>
    <row r="283">
      <c r="A283" s="25" t="s">
        <v>906</v>
      </c>
      <c r="B283" s="28" t="str">
        <f t="array" ref="B283">_xlfn.XLOOKUP($A283, 'Customer Names'!$A:$A, 'Customer Names'!B:B, "No Data")</f>
        <v>Saunders</v>
      </c>
      <c r="C283" s="28">
        <f t="array" ref="C283">_xlfn.XLOOKUP($A283, 'Medical Examinations'!$A:$A, 'Medical Examinations'!B:B, "No Data")</f>
        <v>35.99</v>
      </c>
      <c r="D283" s="28">
        <f t="array" ref="D283">_xlfn.XLOOKUP($A283, 'Medical Examinations'!$A:$A, 'Medical Examinations'!C:C, "No Data")</f>
        <v>4.23</v>
      </c>
      <c r="E283" s="28" t="str">
        <f t="array" ref="E283">_xlfn.XLOOKUP($A283, 'Medical Examinations'!$A:$A, 'Medical Examinations'!D:D, "No Data")</f>
        <v>No</v>
      </c>
      <c r="F283" s="28" t="str">
        <f t="array" ref="F283">_xlfn.XLOOKUP($A283, 'Medical Examinations'!$A:$A, 'Medical Examinations'!E:E, "No Data")</f>
        <v>No</v>
      </c>
      <c r="G283" s="28" t="str">
        <f t="array" ref="G283">_xlfn.XLOOKUP($A283, 'Medical Examinations'!$A:$A, 'Medical Examinations'!F:F, "No Data")</f>
        <v>No</v>
      </c>
      <c r="H283" s="28">
        <f t="array" ref="H283">_xlfn.XLOOKUP($A283, 'Medical Examinations'!$A:$A, 'Medical Examinations'!G:G, "No Data")</f>
        <v>0</v>
      </c>
      <c r="I283" s="28" t="str">
        <f t="array" ref="I283">_xlfn.XLOOKUP($A283, 'Medical Examinations'!$A:$A, 'Medical Examinations'!H:H, "No Data")</f>
        <v>yes</v>
      </c>
      <c r="J283" s="28" t="str">
        <f t="array" ref="J283">_xlfn.XLOOKUP($A283, 'Medical Examinations'!$A:$A, 'Medical Examinations'!I:I, "No Data")</f>
        <v>Obesity</v>
      </c>
      <c r="K283" s="28" t="str">
        <f t="array" ref="K283">_xlfn.XLOOKUP($A283, 'Hospitalisation Details'!$A:$A, 'Hospitalisation Details'!I:I, "No Data")</f>
        <v>tier - 1</v>
      </c>
      <c r="L283" s="28" t="str">
        <f t="array" ref="L283">_xlfn.XLOOKUP($A283, 'Hospitalisation Details'!$A:$A, 'Hospitalisation Details'!J:J, "No Data")</f>
        <v>R1011</v>
      </c>
      <c r="M283" s="28" t="str">
        <f t="array" ref="M283">_xlfn.XLOOKUP($A283, 'Hospitalisation Details'!$A:$A, 'Hospitalisation Details'!E:E, "No Data")</f>
        <v>13/07/90</v>
      </c>
      <c r="N283" s="28">
        <f t="array" ref="N283">_xlfn.XLOOKUP($A283, 'Hospitalisation Details'!$A:$A, 'Hospitalisation Details'!K:K, "No Data")</f>
        <v>32</v>
      </c>
      <c r="O283" s="33">
        <f t="array" ref="O283">_xlfn.XLOOKUP($A283, 'Hospitalisation Details'!$A:$A, 'Hospitalisation Details'!G:G, "No Data")</f>
        <v>32672.11</v>
      </c>
      <c r="P283" s="28" t="str">
        <f t="array" ref="P283">_xlfn.XLOOKUP($A283, 'Hospitalisation Details'!$A:$A, 'Hospitalisation Details'!H:H, "No Data")</f>
        <v>tier - 1</v>
      </c>
    </row>
    <row r="284">
      <c r="A284" s="25" t="s">
        <v>908</v>
      </c>
      <c r="B284" s="28" t="str">
        <f t="array" ref="B284">_xlfn.XLOOKUP($A284, 'Customer Names'!$A:$A, 'Customer Names'!B:B, "No Data")</f>
        <v>Walker</v>
      </c>
      <c r="C284" s="28">
        <f t="array" ref="C284">_xlfn.XLOOKUP($A284, 'Medical Examinations'!$A:$A, 'Medical Examinations'!B:B, "No Data")</f>
        <v>30.25</v>
      </c>
      <c r="D284" s="28">
        <f t="array" ref="D284">_xlfn.XLOOKUP($A284, 'Medical Examinations'!$A:$A, 'Medical Examinations'!C:C, "No Data")</f>
        <v>5.58</v>
      </c>
      <c r="E284" s="28" t="str">
        <f t="array" ref="E284">_xlfn.XLOOKUP($A284, 'Medical Examinations'!$A:$A, 'Medical Examinations'!D:D, "No Data")</f>
        <v>No</v>
      </c>
      <c r="F284" s="28" t="str">
        <f t="array" ref="F284">_xlfn.XLOOKUP($A284, 'Medical Examinations'!$A:$A, 'Medical Examinations'!E:E, "No Data")</f>
        <v>No</v>
      </c>
      <c r="G284" s="28" t="str">
        <f t="array" ref="G284">_xlfn.XLOOKUP($A284, 'Medical Examinations'!$A:$A, 'Medical Examinations'!F:F, "No Data")</f>
        <v>Yes</v>
      </c>
      <c r="H284" s="28">
        <f t="array" ref="H284">_xlfn.XLOOKUP($A284, 'Medical Examinations'!$A:$A, 'Medical Examinations'!G:G, "No Data")</f>
        <v>1</v>
      </c>
      <c r="I284" s="28" t="str">
        <f t="array" ref="I284">_xlfn.XLOOKUP($A284, 'Medical Examinations'!$A:$A, 'Medical Examinations'!H:H, "No Data")</f>
        <v>yes</v>
      </c>
      <c r="J284" s="28" t="str">
        <f t="array" ref="J284">_xlfn.XLOOKUP($A284, 'Medical Examinations'!$A:$A, 'Medical Examinations'!I:I, "No Data")</f>
        <v>Obesity</v>
      </c>
      <c r="K284" s="28" t="str">
        <f t="array" ref="K284">_xlfn.XLOOKUP($A284, 'Hospitalisation Details'!$A:$A, 'Hospitalisation Details'!I:I, "No Data")</f>
        <v>tier - 2</v>
      </c>
      <c r="L284" s="28" t="str">
        <f t="array" ref="L284">_xlfn.XLOOKUP($A284, 'Hospitalisation Details'!$A:$A, 'Hospitalisation Details'!J:J, "No Data")</f>
        <v>R1013</v>
      </c>
      <c r="M284" s="28" t="str">
        <f t="array" ref="M284">_xlfn.XLOOKUP($A284, 'Hospitalisation Details'!$A:$A, 'Hospitalisation Details'!E:E, "No Data")</f>
        <v>08/10/03</v>
      </c>
      <c r="N284" s="28">
        <f t="array" ref="N284">_xlfn.XLOOKUP($A284, 'Hospitalisation Details'!$A:$A, 'Hospitalisation Details'!K:K, "No Data")</f>
        <v>19</v>
      </c>
      <c r="O284" s="33">
        <f t="array" ref="O284">_xlfn.XLOOKUP($A284, 'Hospitalisation Details'!$A:$A, 'Hospitalisation Details'!G:G, "No Data")</f>
        <v>32548.34</v>
      </c>
      <c r="P284" s="28" t="str">
        <f t="array" ref="P284">_xlfn.XLOOKUP($A284, 'Hospitalisation Details'!$A:$A, 'Hospitalisation Details'!H:H, "No Data")</f>
        <v>tier - 1</v>
      </c>
    </row>
    <row r="285">
      <c r="A285" s="25" t="s">
        <v>912</v>
      </c>
      <c r="B285" s="28" t="str">
        <f t="array" ref="B285">_xlfn.XLOOKUP($A285, 'Customer Names'!$A:$A, 'Customer Names'!B:B, "No Data")</f>
        <v>Lam</v>
      </c>
      <c r="C285" s="28">
        <f t="array" ref="C285">_xlfn.XLOOKUP($A285, 'Medical Examinations'!$A:$A, 'Medical Examinations'!B:B, "No Data")</f>
        <v>26.24</v>
      </c>
      <c r="D285" s="28">
        <f t="array" ref="D285">_xlfn.XLOOKUP($A285, 'Medical Examinations'!$A:$A, 'Medical Examinations'!C:C, "No Data")</f>
        <v>6.26</v>
      </c>
      <c r="E285" s="28" t="str">
        <f t="array" ref="E285">_xlfn.XLOOKUP($A285, 'Medical Examinations'!$A:$A, 'Medical Examinations'!D:D, "No Data")</f>
        <v>yes</v>
      </c>
      <c r="F285" s="28" t="str">
        <f t="array" ref="F285">_xlfn.XLOOKUP($A285, 'Medical Examinations'!$A:$A, 'Medical Examinations'!E:E, "No Data")</f>
        <v>No</v>
      </c>
      <c r="G285" s="28" t="str">
        <f t="array" ref="G285">_xlfn.XLOOKUP($A285, 'Medical Examinations'!$A:$A, 'Medical Examinations'!F:F, "No Data")</f>
        <v>No</v>
      </c>
      <c r="H285" s="28">
        <f t="array" ref="H285">_xlfn.XLOOKUP($A285, 'Medical Examinations'!$A:$A, 'Medical Examinations'!G:G, "No Data")</f>
        <v>0</v>
      </c>
      <c r="I285" s="28" t="str">
        <f t="array" ref="I285">_xlfn.XLOOKUP($A285, 'Medical Examinations'!$A:$A, 'Medical Examinations'!H:H, "No Data")</f>
        <v>yes</v>
      </c>
      <c r="J285" s="28" t="str">
        <f t="array" ref="J285">_xlfn.XLOOKUP($A285, 'Medical Examinations'!$A:$A, 'Medical Examinations'!I:I, "No Data")</f>
        <v>Overweight</v>
      </c>
      <c r="K285" s="28" t="str">
        <f t="array" ref="K285">_xlfn.XLOOKUP($A285, 'Hospitalisation Details'!$A:$A, 'Hospitalisation Details'!I:I, "No Data")</f>
        <v>tier - 1</v>
      </c>
      <c r="L285" s="28" t="str">
        <f t="array" ref="L285">_xlfn.XLOOKUP($A285, 'Hospitalisation Details'!$A:$A, 'Hospitalisation Details'!J:J, "No Data")</f>
        <v>R1011</v>
      </c>
      <c r="M285" s="28" t="str">
        <f t="array" ref="M285">_xlfn.XLOOKUP($A285, 'Hospitalisation Details'!$A:$A, 'Hospitalisation Details'!E:E, "No Data")</f>
        <v>19/09/76</v>
      </c>
      <c r="N285" s="28">
        <f t="array" ref="N285">_xlfn.XLOOKUP($A285, 'Hospitalisation Details'!$A:$A, 'Hospitalisation Details'!K:K, "No Data")</f>
        <v>46</v>
      </c>
      <c r="O285" s="33">
        <f t="array" ref="O285">_xlfn.XLOOKUP($A285, 'Hospitalisation Details'!$A:$A, 'Hospitalisation Details'!G:G, "No Data")</f>
        <v>32485.46</v>
      </c>
      <c r="P285" s="28" t="str">
        <f t="array" ref="P285">_xlfn.XLOOKUP($A285, 'Hospitalisation Details'!$A:$A, 'Hospitalisation Details'!H:H, "No Data")</f>
        <v>tier - 2</v>
      </c>
    </row>
    <row r="286">
      <c r="A286" s="25" t="s">
        <v>915</v>
      </c>
      <c r="B286" s="28" t="str">
        <f t="array" ref="B286">_xlfn.XLOOKUP($A286, 'Customer Names'!$A:$A, 'Customer Names'!B:B, "No Data")</f>
        <v>Sweigart</v>
      </c>
      <c r="C286" s="28">
        <f t="array" ref="C286">_xlfn.XLOOKUP($A286, 'Medical Examinations'!$A:$A, 'Medical Examinations'!B:B, "No Data")</f>
        <v>31.36</v>
      </c>
      <c r="D286" s="28">
        <f t="array" ref="D286">_xlfn.XLOOKUP($A286, 'Medical Examinations'!$A:$A, 'Medical Examinations'!C:C, "No Data")</f>
        <v>10.6</v>
      </c>
      <c r="E286" s="28" t="str">
        <f t="array" ref="E286">_xlfn.XLOOKUP($A286, 'Medical Examinations'!$A:$A, 'Medical Examinations'!D:D, "No Data")</f>
        <v>yes</v>
      </c>
      <c r="F286" s="28" t="str">
        <f t="array" ref="F286">_xlfn.XLOOKUP($A286, 'Medical Examinations'!$A:$A, 'Medical Examinations'!E:E, "No Data")</f>
        <v>No</v>
      </c>
      <c r="G286" s="28" t="str">
        <f t="array" ref="G286">_xlfn.XLOOKUP($A286, 'Medical Examinations'!$A:$A, 'Medical Examinations'!F:F, "No Data")</f>
        <v>No</v>
      </c>
      <c r="H286" s="28">
        <f t="array" ref="H286">_xlfn.XLOOKUP($A286, 'Medical Examinations'!$A:$A, 'Medical Examinations'!G:G, "No Data")</f>
        <v>0</v>
      </c>
      <c r="I286" s="28" t="str">
        <f t="array" ref="I286">_xlfn.XLOOKUP($A286, 'Medical Examinations'!$A:$A, 'Medical Examinations'!H:H, "No Data")</f>
        <v>yes</v>
      </c>
      <c r="J286" s="28" t="str">
        <f t="array" ref="J286">_xlfn.XLOOKUP($A286, 'Medical Examinations'!$A:$A, 'Medical Examinations'!I:I, "No Data")</f>
        <v>Obesity</v>
      </c>
      <c r="K286" s="28" t="str">
        <f t="array" ref="K286">_xlfn.XLOOKUP($A286, 'Hospitalisation Details'!$A:$A, 'Hospitalisation Details'!I:I, "No Data")</f>
        <v>tier - 2</v>
      </c>
      <c r="L286" s="28" t="str">
        <f t="array" ref="L286">_xlfn.XLOOKUP($A286, 'Hospitalisation Details'!$A:$A, 'Hospitalisation Details'!J:J, "No Data")</f>
        <v>R1011</v>
      </c>
      <c r="M286" s="28" t="str">
        <f t="array" ref="M286">_xlfn.XLOOKUP($A286, 'Hospitalisation Details'!$A:$A, 'Hospitalisation Details'!E:E, "No Data")</f>
        <v>27/09/81</v>
      </c>
      <c r="N286" s="28">
        <f t="array" ref="N286">_xlfn.XLOOKUP($A286, 'Hospitalisation Details'!$A:$A, 'Hospitalisation Details'!K:K, "No Data")</f>
        <v>41</v>
      </c>
      <c r="O286" s="33">
        <f t="array" ref="O286">_xlfn.XLOOKUP($A286, 'Hospitalisation Details'!$A:$A, 'Hospitalisation Details'!G:G, "No Data")</f>
        <v>32462.35</v>
      </c>
      <c r="P286" s="28" t="str">
        <f t="array" ref="P286">_xlfn.XLOOKUP($A286, 'Hospitalisation Details'!$A:$A, 'Hospitalisation Details'!H:H, "No Data")</f>
        <v>tier - 2</v>
      </c>
    </row>
    <row r="287">
      <c r="A287" s="25" t="s">
        <v>918</v>
      </c>
      <c r="B287" s="28" t="str">
        <f t="array" ref="B287">_xlfn.XLOOKUP($A287, 'Customer Names'!$A:$A, 'Customer Names'!B:B, "No Data")</f>
        <v>Sieczkowski</v>
      </c>
      <c r="C287" s="28">
        <f t="array" ref="C287">_xlfn.XLOOKUP($A287, 'Medical Examinations'!$A:$A, 'Medical Examinations'!B:B, "No Data")</f>
        <v>25.69</v>
      </c>
      <c r="D287" s="28">
        <f t="array" ref="D287">_xlfn.XLOOKUP($A287, 'Medical Examinations'!$A:$A, 'Medical Examinations'!C:C, "No Data")</f>
        <v>4.78</v>
      </c>
      <c r="E287" s="28" t="str">
        <f t="array" ref="E287">_xlfn.XLOOKUP($A287, 'Medical Examinations'!$A:$A, 'Medical Examinations'!D:D, "No Data")</f>
        <v>yes</v>
      </c>
      <c r="F287" s="28" t="str">
        <f t="array" ref="F287">_xlfn.XLOOKUP($A287, 'Medical Examinations'!$A:$A, 'Medical Examinations'!E:E, "No Data")</f>
        <v>No</v>
      </c>
      <c r="G287" s="28" t="str">
        <f t="array" ref="G287">_xlfn.XLOOKUP($A287, 'Medical Examinations'!$A:$A, 'Medical Examinations'!F:F, "No Data")</f>
        <v>No</v>
      </c>
      <c r="H287" s="28">
        <f t="array" ref="H287">_xlfn.XLOOKUP($A287, 'Medical Examinations'!$A:$A, 'Medical Examinations'!G:G, "No Data")</f>
        <v>0</v>
      </c>
      <c r="I287" s="28" t="str">
        <f t="array" ref="I287">_xlfn.XLOOKUP($A287, 'Medical Examinations'!$A:$A, 'Medical Examinations'!H:H, "No Data")</f>
        <v>yes</v>
      </c>
      <c r="J287" s="28" t="str">
        <f t="array" ref="J287">_xlfn.XLOOKUP($A287, 'Medical Examinations'!$A:$A, 'Medical Examinations'!I:I, "No Data")</f>
        <v>Overweight</v>
      </c>
      <c r="K287" s="28" t="str">
        <f t="array" ref="K287">_xlfn.XLOOKUP($A287, 'Hospitalisation Details'!$A:$A, 'Hospitalisation Details'!I:I, "No Data")</f>
        <v>tier - 3</v>
      </c>
      <c r="L287" s="28" t="str">
        <f t="array" ref="L287">_xlfn.XLOOKUP($A287, 'Hospitalisation Details'!$A:$A, 'Hospitalisation Details'!J:J, "No Data")</f>
        <v>R1011</v>
      </c>
      <c r="M287" s="28" t="str">
        <f t="array" ref="M287">_xlfn.XLOOKUP($A287, 'Hospitalisation Details'!$A:$A, 'Hospitalisation Details'!E:E, "No Data")</f>
        <v>09/08/76</v>
      </c>
      <c r="N287" s="28">
        <f t="array" ref="N287">_xlfn.XLOOKUP($A287, 'Hospitalisation Details'!$A:$A, 'Hospitalisation Details'!K:K, "No Data")</f>
        <v>46</v>
      </c>
      <c r="O287" s="33">
        <f t="array" ref="O287">_xlfn.XLOOKUP($A287, 'Hospitalisation Details'!$A:$A, 'Hospitalisation Details'!G:G, "No Data")</f>
        <v>32430.22</v>
      </c>
      <c r="P287" s="28" t="str">
        <f t="array" ref="P287">_xlfn.XLOOKUP($A287, 'Hospitalisation Details'!$A:$A, 'Hospitalisation Details'!H:H, "No Data")</f>
        <v>tier - 2</v>
      </c>
    </row>
    <row r="288">
      <c r="A288" s="25" t="s">
        <v>922</v>
      </c>
      <c r="B288" s="28" t="str">
        <f t="array" ref="B288">_xlfn.XLOOKUP($A288, 'Customer Names'!$A:$A, 'Customer Names'!B:B, "No Data")</f>
        <v>Jurgens</v>
      </c>
      <c r="C288" s="28">
        <f t="array" ref="C288">_xlfn.XLOOKUP($A288, 'Medical Examinations'!$A:$A, 'Medical Examinations'!B:B, "No Data")</f>
        <v>25.46</v>
      </c>
      <c r="D288" s="28">
        <f t="array" ref="D288">_xlfn.XLOOKUP($A288, 'Medical Examinations'!$A:$A, 'Medical Examinations'!C:C, "No Data")</f>
        <v>6.03</v>
      </c>
      <c r="E288" s="28" t="str">
        <f t="array" ref="E288">_xlfn.XLOOKUP($A288, 'Medical Examinations'!$A:$A, 'Medical Examinations'!D:D, "No Data")</f>
        <v>No</v>
      </c>
      <c r="F288" s="28" t="str">
        <f t="array" ref="F288">_xlfn.XLOOKUP($A288, 'Medical Examinations'!$A:$A, 'Medical Examinations'!E:E, "No Data")</f>
        <v>No</v>
      </c>
      <c r="G288" s="28" t="str">
        <f t="array" ref="G288">_xlfn.XLOOKUP($A288, 'Medical Examinations'!$A:$A, 'Medical Examinations'!F:F, "No Data")</f>
        <v>No</v>
      </c>
      <c r="H288" s="28">
        <f t="array" ref="H288">_xlfn.XLOOKUP($A288, 'Medical Examinations'!$A:$A, 'Medical Examinations'!G:G, "No Data")</f>
        <v>2</v>
      </c>
      <c r="I288" s="28" t="str">
        <f t="array" ref="I288">_xlfn.XLOOKUP($A288, 'Medical Examinations'!$A:$A, 'Medical Examinations'!H:H, "No Data")</f>
        <v>yes</v>
      </c>
      <c r="J288" s="28" t="str">
        <f t="array" ref="J288">_xlfn.XLOOKUP($A288, 'Medical Examinations'!$A:$A, 'Medical Examinations'!I:I, "No Data")</f>
        <v>Overweight</v>
      </c>
      <c r="K288" s="28" t="str">
        <f t="array" ref="K288">_xlfn.XLOOKUP($A288, 'Hospitalisation Details'!$A:$A, 'Hospitalisation Details'!I:I, "No Data")</f>
        <v>tier - 2</v>
      </c>
      <c r="L288" s="28" t="str">
        <f t="array" ref="L288">_xlfn.XLOOKUP($A288, 'Hospitalisation Details'!$A:$A, 'Hospitalisation Details'!J:J, "No Data")</f>
        <v>R1011</v>
      </c>
      <c r="M288" s="28" t="str">
        <f t="array" ref="M288">_xlfn.XLOOKUP($A288, 'Hospitalisation Details'!$A:$A, 'Hospitalisation Details'!E:E, "No Data")</f>
        <v>19/10/72</v>
      </c>
      <c r="N288" s="28">
        <f t="array" ref="N288">_xlfn.XLOOKUP($A288, 'Hospitalisation Details'!$A:$A, 'Hospitalisation Details'!K:K, "No Data")</f>
        <v>50</v>
      </c>
      <c r="O288" s="33">
        <f t="array" ref="O288">_xlfn.XLOOKUP($A288, 'Hospitalisation Details'!$A:$A, 'Hospitalisation Details'!G:G, "No Data")</f>
        <v>32428.63</v>
      </c>
      <c r="P288" s="28" t="str">
        <f t="array" ref="P288">_xlfn.XLOOKUP($A288, 'Hospitalisation Details'!$A:$A, 'Hospitalisation Details'!H:H, "No Data")</f>
        <v>tier - 2</v>
      </c>
    </row>
    <row r="289">
      <c r="A289" s="25" t="s">
        <v>925</v>
      </c>
      <c r="B289" s="28" t="str">
        <f t="array" ref="B289">_xlfn.XLOOKUP($A289, 'Customer Names'!$A:$A, 'Customer Names'!B:B, "No Data")</f>
        <v>Hackman</v>
      </c>
      <c r="C289" s="28">
        <f t="array" ref="C289">_xlfn.XLOOKUP($A289, 'Medical Examinations'!$A:$A, 'Medical Examinations'!B:B, "No Data")</f>
        <v>31.83</v>
      </c>
      <c r="D289" s="28">
        <f t="array" ref="D289">_xlfn.XLOOKUP($A289, 'Medical Examinations'!$A:$A, 'Medical Examinations'!C:C, "No Data")</f>
        <v>11.55</v>
      </c>
      <c r="E289" s="28" t="str">
        <f t="array" ref="E289">_xlfn.XLOOKUP($A289, 'Medical Examinations'!$A:$A, 'Medical Examinations'!D:D, "No Data")</f>
        <v>yes</v>
      </c>
      <c r="F289" s="28" t="str">
        <f t="array" ref="F289">_xlfn.XLOOKUP($A289, 'Medical Examinations'!$A:$A, 'Medical Examinations'!E:E, "No Data")</f>
        <v>No</v>
      </c>
      <c r="G289" s="28" t="str">
        <f t="array" ref="G289">_xlfn.XLOOKUP($A289, 'Medical Examinations'!$A:$A, 'Medical Examinations'!F:F, "No Data")</f>
        <v>No</v>
      </c>
      <c r="H289" s="28">
        <f t="array" ref="H289">_xlfn.XLOOKUP($A289, 'Medical Examinations'!$A:$A, 'Medical Examinations'!G:G, "No Data")</f>
        <v>1</v>
      </c>
      <c r="I289" s="28" t="str">
        <f t="array" ref="I289">_xlfn.XLOOKUP($A289, 'Medical Examinations'!$A:$A, 'Medical Examinations'!H:H, "No Data")</f>
        <v>yes</v>
      </c>
      <c r="J289" s="28" t="str">
        <f t="array" ref="J289">_xlfn.XLOOKUP($A289, 'Medical Examinations'!$A:$A, 'Medical Examinations'!I:I, "No Data")</f>
        <v>Obesity</v>
      </c>
      <c r="K289" s="28" t="str">
        <f t="array" ref="K289">_xlfn.XLOOKUP($A289, 'Hospitalisation Details'!$A:$A, 'Hospitalisation Details'!I:I, "No Data")</f>
        <v>tier - 2</v>
      </c>
      <c r="L289" s="28" t="str">
        <f t="array" ref="L289">_xlfn.XLOOKUP($A289, 'Hospitalisation Details'!$A:$A, 'Hospitalisation Details'!J:J, "No Data")</f>
        <v>R1011</v>
      </c>
      <c r="M289" s="28" t="str">
        <f t="array" ref="M289">_xlfn.XLOOKUP($A289, 'Hospitalisation Details'!$A:$A, 'Hospitalisation Details'!E:E, "No Data")</f>
        <v>02/12/86</v>
      </c>
      <c r="N289" s="28">
        <f t="array" ref="N289">_xlfn.XLOOKUP($A289, 'Hospitalisation Details'!$A:$A, 'Hospitalisation Details'!K:K, "No Data")</f>
        <v>36</v>
      </c>
      <c r="O289" s="33">
        <f t="array" ref="O289">_xlfn.XLOOKUP($A289, 'Hospitalisation Details'!$A:$A, 'Hospitalisation Details'!G:G, "No Data")</f>
        <v>32288.49</v>
      </c>
      <c r="P289" s="28" t="str">
        <f t="array" ref="P289">_xlfn.XLOOKUP($A289, 'Hospitalisation Details'!$A:$A, 'Hospitalisation Details'!H:H, "No Data")</f>
        <v>tier - 2</v>
      </c>
    </row>
    <row r="290">
      <c r="A290" s="25" t="s">
        <v>927</v>
      </c>
      <c r="B290" s="28" t="str">
        <f t="array" ref="B290">_xlfn.XLOOKUP($A290, 'Customer Names'!$A:$A, 'Customer Names'!B:B, "No Data")</f>
        <v>Klarich</v>
      </c>
      <c r="C290" s="28">
        <f t="array" ref="C290">_xlfn.XLOOKUP($A290, 'Medical Examinations'!$A:$A, 'Medical Examinations'!B:B, "No Data")</f>
        <v>24.43</v>
      </c>
      <c r="D290" s="28">
        <f t="array" ref="D290">_xlfn.XLOOKUP($A290, 'Medical Examinations'!$A:$A, 'Medical Examinations'!C:C, "No Data")</f>
        <v>7.59</v>
      </c>
      <c r="E290" s="28" t="str">
        <f t="array" ref="E290">_xlfn.XLOOKUP($A290, 'Medical Examinations'!$A:$A, 'Medical Examinations'!D:D, "No Data")</f>
        <v>yes</v>
      </c>
      <c r="F290" s="28" t="str">
        <f t="array" ref="F290">_xlfn.XLOOKUP($A290, 'Medical Examinations'!$A:$A, 'Medical Examinations'!E:E, "No Data")</f>
        <v>No</v>
      </c>
      <c r="G290" s="28" t="str">
        <f t="array" ref="G290">_xlfn.XLOOKUP($A290, 'Medical Examinations'!$A:$A, 'Medical Examinations'!F:F, "No Data")</f>
        <v>No</v>
      </c>
      <c r="H290" s="28">
        <f t="array" ref="H290">_xlfn.XLOOKUP($A290, 'Medical Examinations'!$A:$A, 'Medical Examinations'!G:G, "No Data")</f>
        <v>1</v>
      </c>
      <c r="I290" s="28" t="str">
        <f t="array" ref="I290">_xlfn.XLOOKUP($A290, 'Medical Examinations'!$A:$A, 'Medical Examinations'!H:H, "No Data")</f>
        <v>yes</v>
      </c>
      <c r="J290" s="28" t="str">
        <f t="array" ref="J290">_xlfn.XLOOKUP($A290, 'Medical Examinations'!$A:$A, 'Medical Examinations'!I:I, "No Data")</f>
        <v>Normal Weight</v>
      </c>
      <c r="K290" s="28" t="str">
        <f t="array" ref="K290">_xlfn.XLOOKUP($A290, 'Hospitalisation Details'!$A:$A, 'Hospitalisation Details'!I:I, "No Data")</f>
        <v>tier - 3</v>
      </c>
      <c r="L290" s="28" t="str">
        <f t="array" ref="L290">_xlfn.XLOOKUP($A290, 'Hospitalisation Details'!$A:$A, 'Hospitalisation Details'!J:J, "No Data")</f>
        <v>R1012</v>
      </c>
      <c r="M290" s="28" t="str">
        <f t="array" ref="M290">_xlfn.XLOOKUP($A290, 'Hospitalisation Details'!$A:$A, 'Hospitalisation Details'!E:E, "No Data")</f>
        <v>17/12/75</v>
      </c>
      <c r="N290" s="28">
        <f t="array" ref="N290">_xlfn.XLOOKUP($A290, 'Hospitalisation Details'!$A:$A, 'Hospitalisation Details'!K:K, "No Data")</f>
        <v>47</v>
      </c>
      <c r="O290" s="33">
        <f t="array" ref="O290">_xlfn.XLOOKUP($A290, 'Hospitalisation Details'!$A:$A, 'Hospitalisation Details'!G:G, "No Data")</f>
        <v>32259.96</v>
      </c>
      <c r="P290" s="28" t="str">
        <f t="array" ref="P290">_xlfn.XLOOKUP($A290, 'Hospitalisation Details'!$A:$A, 'Hospitalisation Details'!H:H, "No Data")</f>
        <v>tier - 2</v>
      </c>
    </row>
    <row r="291">
      <c r="A291" s="25" t="s">
        <v>930</v>
      </c>
      <c r="B291" s="28" t="str">
        <f t="array" ref="B291">_xlfn.XLOOKUP($A291, 'Customer Names'!$A:$A, 'Customer Names'!B:B, "No Data")</f>
        <v>Schulten</v>
      </c>
      <c r="C291" s="28">
        <f t="array" ref="C291">_xlfn.XLOOKUP($A291, 'Medical Examinations'!$A:$A, 'Medical Examinations'!B:B, "No Data")</f>
        <v>41.9</v>
      </c>
      <c r="D291" s="28">
        <f t="array" ref="D291">_xlfn.XLOOKUP($A291, 'Medical Examinations'!$A:$A, 'Medical Examinations'!C:C, "No Data")</f>
        <v>4.26</v>
      </c>
      <c r="E291" s="28" t="str">
        <f t="array" ref="E291">_xlfn.XLOOKUP($A291, 'Medical Examinations'!$A:$A, 'Medical Examinations'!D:D, "No Data")</f>
        <v>No</v>
      </c>
      <c r="F291" s="28" t="str">
        <f t="array" ref="F291">_xlfn.XLOOKUP($A291, 'Medical Examinations'!$A:$A, 'Medical Examinations'!E:E, "No Data")</f>
        <v>No</v>
      </c>
      <c r="G291" s="28" t="str">
        <f t="array" ref="G291">_xlfn.XLOOKUP($A291, 'Medical Examinations'!$A:$A, 'Medical Examinations'!F:F, "No Data")</f>
        <v>No</v>
      </c>
      <c r="H291" s="28">
        <f t="array" ref="H291">_xlfn.XLOOKUP($A291, 'Medical Examinations'!$A:$A, 'Medical Examinations'!G:G, "No Data")</f>
        <v>0</v>
      </c>
      <c r="I291" s="28" t="str">
        <f t="array" ref="I291">_xlfn.XLOOKUP($A291, 'Medical Examinations'!$A:$A, 'Medical Examinations'!H:H, "No Data")</f>
        <v>yes</v>
      </c>
      <c r="J291" s="28" t="str">
        <f t="array" ref="J291">_xlfn.XLOOKUP($A291, 'Medical Examinations'!$A:$A, 'Medical Examinations'!I:I, "No Data")</f>
        <v>Obesity</v>
      </c>
      <c r="K291" s="28" t="str">
        <f t="array" ref="K291">_xlfn.XLOOKUP($A291, 'Hospitalisation Details'!$A:$A, 'Hospitalisation Details'!I:I, "No Data")</f>
        <v>tier - 1</v>
      </c>
      <c r="L291" s="28" t="str">
        <f t="array" ref="L291">_xlfn.XLOOKUP($A291, 'Hospitalisation Details'!$A:$A, 'Hospitalisation Details'!J:J, "No Data")</f>
        <v>R1011</v>
      </c>
      <c r="M291" s="28" t="str">
        <f t="array" ref="M291">_xlfn.XLOOKUP($A291, 'Hospitalisation Details'!$A:$A, 'Hospitalisation Details'!E:E, "No Data")</f>
        <v>08/09/94</v>
      </c>
      <c r="N291" s="28">
        <f t="array" ref="N291">_xlfn.XLOOKUP($A291, 'Hospitalisation Details'!$A:$A, 'Hospitalisation Details'!K:K, "No Data")</f>
        <v>28</v>
      </c>
      <c r="O291" s="33">
        <f t="array" ref="O291">_xlfn.XLOOKUP($A291, 'Hospitalisation Details'!$A:$A, 'Hospitalisation Details'!G:G, "No Data")</f>
        <v>32222.81</v>
      </c>
      <c r="P291" s="28" t="str">
        <f t="array" ref="P291">_xlfn.XLOOKUP($A291, 'Hospitalisation Details'!$A:$A, 'Hospitalisation Details'!H:H, "No Data")</f>
        <v>tier - 2</v>
      </c>
    </row>
    <row r="292">
      <c r="A292" s="25" t="s">
        <v>932</v>
      </c>
      <c r="B292" s="28" t="str">
        <f t="array" ref="B292">_xlfn.XLOOKUP($A292, 'Customer Names'!$A:$A, 'Customer Names'!B:B, "No Data")</f>
        <v>Fagerstrom</v>
      </c>
      <c r="C292" s="28">
        <f t="array" ref="C292">_xlfn.XLOOKUP($A292, 'Medical Examinations'!$A:$A, 'Medical Examinations'!B:B, "No Data")</f>
        <v>22.88</v>
      </c>
      <c r="D292" s="28">
        <f t="array" ref="D292">_xlfn.XLOOKUP($A292, 'Medical Examinations'!$A:$A, 'Medical Examinations'!C:C, "No Data")</f>
        <v>5.9</v>
      </c>
      <c r="E292" s="28" t="str">
        <f t="array" ref="E292">_xlfn.XLOOKUP($A292, 'Medical Examinations'!$A:$A, 'Medical Examinations'!D:D, "No Data")</f>
        <v>yes</v>
      </c>
      <c r="F292" s="28" t="str">
        <f t="array" ref="F292">_xlfn.XLOOKUP($A292, 'Medical Examinations'!$A:$A, 'Medical Examinations'!E:E, "No Data")</f>
        <v>No</v>
      </c>
      <c r="G292" s="28" t="str">
        <f t="array" ref="G292">_xlfn.XLOOKUP($A292, 'Medical Examinations'!$A:$A, 'Medical Examinations'!F:F, "No Data")</f>
        <v>Yes</v>
      </c>
      <c r="H292" s="28">
        <f t="array" ref="H292">_xlfn.XLOOKUP($A292, 'Medical Examinations'!$A:$A, 'Medical Examinations'!G:G, "No Data")</f>
        <v>1</v>
      </c>
      <c r="I292" s="28" t="str">
        <f t="array" ref="I292">_xlfn.XLOOKUP($A292, 'Medical Examinations'!$A:$A, 'Medical Examinations'!H:H, "No Data")</f>
        <v>yes</v>
      </c>
      <c r="J292" s="28" t="str">
        <f t="array" ref="J292">_xlfn.XLOOKUP($A292, 'Medical Examinations'!$A:$A, 'Medical Examinations'!I:I, "No Data")</f>
        <v>Normal Weight</v>
      </c>
      <c r="K292" s="28" t="str">
        <f t="array" ref="K292">_xlfn.XLOOKUP($A292, 'Hospitalisation Details'!$A:$A, 'Hospitalisation Details'!I:I, "No Data")</f>
        <v>tier - 2</v>
      </c>
      <c r="L292" s="28" t="str">
        <f t="array" ref="L292">_xlfn.XLOOKUP($A292, 'Hospitalisation Details'!$A:$A, 'Hospitalisation Details'!J:J, "No Data")</f>
        <v>R1011</v>
      </c>
      <c r="M292" s="28" t="str">
        <f t="array" ref="M292">_xlfn.XLOOKUP($A292, 'Hospitalisation Details'!$A:$A, 'Hospitalisation Details'!E:E, "No Data")</f>
        <v>11/09/69</v>
      </c>
      <c r="N292" s="28">
        <f t="array" ref="N292">_xlfn.XLOOKUP($A292, 'Hospitalisation Details'!$A:$A, 'Hospitalisation Details'!K:K, "No Data")</f>
        <v>53</v>
      </c>
      <c r="O292" s="33">
        <f t="array" ref="O292">_xlfn.XLOOKUP($A292, 'Hospitalisation Details'!$A:$A, 'Hospitalisation Details'!G:G, "No Data")</f>
        <v>32192.76</v>
      </c>
      <c r="P292" s="28" t="str">
        <f t="array" ref="P292">_xlfn.XLOOKUP($A292, 'Hospitalisation Details'!$A:$A, 'Hospitalisation Details'!H:H, "No Data")</f>
        <v>tier - 1</v>
      </c>
    </row>
    <row r="293">
      <c r="A293" s="25" t="s">
        <v>935</v>
      </c>
      <c r="B293" s="28" t="str">
        <f t="array" ref="B293">_xlfn.XLOOKUP($A293, 'Customer Names'!$A:$A, 'Customer Names'!B:B, "No Data")</f>
        <v>Bien</v>
      </c>
      <c r="C293" s="28">
        <f t="array" ref="C293">_xlfn.XLOOKUP($A293, 'Medical Examinations'!$A:$A, 'Medical Examinations'!B:B, "No Data")</f>
        <v>29.735</v>
      </c>
      <c r="D293" s="28">
        <f t="array" ref="D293">_xlfn.XLOOKUP($A293, 'Medical Examinations'!$A:$A, 'Medical Examinations'!C:C, "No Data")</f>
        <v>7.79</v>
      </c>
      <c r="E293" s="28" t="str">
        <f t="array" ref="E293">_xlfn.XLOOKUP($A293, 'Medical Examinations'!$A:$A, 'Medical Examinations'!D:D, "No Data")</f>
        <v>No</v>
      </c>
      <c r="F293" s="28" t="str">
        <f t="array" ref="F293">_xlfn.XLOOKUP($A293, 'Medical Examinations'!$A:$A, 'Medical Examinations'!E:E, "No Data")</f>
        <v>No</v>
      </c>
      <c r="G293" s="28" t="str">
        <f t="array" ref="G293">_xlfn.XLOOKUP($A293, 'Medical Examinations'!$A:$A, 'Medical Examinations'!F:F, "No Data")</f>
        <v>No</v>
      </c>
      <c r="H293" s="28">
        <f t="array" ref="H293">_xlfn.XLOOKUP($A293, 'Medical Examinations'!$A:$A, 'Medical Examinations'!G:G, "No Data")</f>
        <v>0</v>
      </c>
      <c r="I293" s="28" t="str">
        <f t="array" ref="I293">_xlfn.XLOOKUP($A293, 'Medical Examinations'!$A:$A, 'Medical Examinations'!H:H, "No Data")</f>
        <v>No</v>
      </c>
      <c r="J293" s="28" t="str">
        <f t="array" ref="J293">_xlfn.XLOOKUP($A293, 'Medical Examinations'!$A:$A, 'Medical Examinations'!I:I, "No Data")</f>
        <v>Overweight</v>
      </c>
      <c r="K293" s="28" t="str">
        <f t="array" ref="K293">_xlfn.XLOOKUP($A293, 'Hospitalisation Details'!$A:$A, 'Hospitalisation Details'!I:I, "No Data")</f>
        <v>tier - 3</v>
      </c>
      <c r="L293" s="28" t="str">
        <f t="array" ref="L293">_xlfn.XLOOKUP($A293, 'Hospitalisation Details'!$A:$A, 'Hospitalisation Details'!J:J, "No Data")</f>
        <v>R1017</v>
      </c>
      <c r="M293" s="28" t="str">
        <f t="array" ref="M293">_xlfn.XLOOKUP($A293, 'Hospitalisation Details'!$A:$A, 'Hospitalisation Details'!E:E, "No Data")</f>
        <v>10/11/78</v>
      </c>
      <c r="N293" s="28">
        <f t="array" ref="N293">_xlfn.XLOOKUP($A293, 'Hospitalisation Details'!$A:$A, 'Hospitalisation Details'!K:K, "No Data")</f>
        <v>44</v>
      </c>
      <c r="O293" s="33">
        <f t="array" ref="O293">_xlfn.XLOOKUP($A293, 'Hospitalisation Details'!$A:$A, 'Hospitalisation Details'!G:G, "No Data")</f>
        <v>32108.66</v>
      </c>
      <c r="P293" s="28" t="str">
        <f t="array" ref="P293">_xlfn.XLOOKUP($A293, 'Hospitalisation Details'!$A:$A, 'Hospitalisation Details'!H:H, "No Data")</f>
        <v>tier - 1</v>
      </c>
    </row>
    <row r="294">
      <c r="A294" s="25" t="s">
        <v>939</v>
      </c>
      <c r="B294" s="28" t="str">
        <f t="array" ref="B294">_xlfn.XLOOKUP($A294, 'Customer Names'!$A:$A, 'Customer Names'!B:B, "No Data")</f>
        <v>Hess</v>
      </c>
      <c r="C294" s="28">
        <f t="array" ref="C294">_xlfn.XLOOKUP($A294, 'Medical Examinations'!$A:$A, 'Medical Examinations'!B:B, "No Data")</f>
        <v>40.74</v>
      </c>
      <c r="D294" s="28">
        <f t="array" ref="D294">_xlfn.XLOOKUP($A294, 'Medical Examinations'!$A:$A, 'Medical Examinations'!C:C, "No Data")</f>
        <v>5.28</v>
      </c>
      <c r="E294" s="28" t="str">
        <f t="array" ref="E294">_xlfn.XLOOKUP($A294, 'Medical Examinations'!$A:$A, 'Medical Examinations'!D:D, "No Data")</f>
        <v>No</v>
      </c>
      <c r="F294" s="28" t="str">
        <f t="array" ref="F294">_xlfn.XLOOKUP($A294, 'Medical Examinations'!$A:$A, 'Medical Examinations'!E:E, "No Data")</f>
        <v>No</v>
      </c>
      <c r="G294" s="28" t="str">
        <f t="array" ref="G294">_xlfn.XLOOKUP($A294, 'Medical Examinations'!$A:$A, 'Medical Examinations'!F:F, "No Data")</f>
        <v>Yes</v>
      </c>
      <c r="H294" s="28">
        <f t="array" ref="H294">_xlfn.XLOOKUP($A294, 'Medical Examinations'!$A:$A, 'Medical Examinations'!G:G, "No Data")</f>
        <v>1</v>
      </c>
      <c r="I294" s="28" t="str">
        <f t="array" ref="I294">_xlfn.XLOOKUP($A294, 'Medical Examinations'!$A:$A, 'Medical Examinations'!H:H, "No Data")</f>
        <v>yes</v>
      </c>
      <c r="J294" s="28" t="str">
        <f t="array" ref="J294">_xlfn.XLOOKUP($A294, 'Medical Examinations'!$A:$A, 'Medical Examinations'!I:I, "No Data")</f>
        <v>Obesity</v>
      </c>
      <c r="K294" s="28" t="str">
        <f t="array" ref="K294">_xlfn.XLOOKUP($A294, 'Hospitalisation Details'!$A:$A, 'Hospitalisation Details'!I:I, "No Data")</f>
        <v>tier - 3</v>
      </c>
      <c r="L294" s="28" t="str">
        <f t="array" ref="L294">_xlfn.XLOOKUP($A294, 'Hospitalisation Details'!$A:$A, 'Hospitalisation Details'!J:J, "No Data")</f>
        <v>R1011</v>
      </c>
      <c r="M294" s="28" t="str">
        <f t="array" ref="M294">_xlfn.XLOOKUP($A294, 'Hospitalisation Details'!$A:$A, 'Hospitalisation Details'!E:E, "No Data")</f>
        <v>13/09/93</v>
      </c>
      <c r="N294" s="28">
        <f t="array" ref="N294">_xlfn.XLOOKUP($A294, 'Hospitalisation Details'!$A:$A, 'Hospitalisation Details'!K:K, "No Data")</f>
        <v>29</v>
      </c>
      <c r="O294" s="33">
        <f t="array" ref="O294">_xlfn.XLOOKUP($A294, 'Hospitalisation Details'!$A:$A, 'Hospitalisation Details'!G:G, "No Data")</f>
        <v>32086.21</v>
      </c>
      <c r="P294" s="28" t="str">
        <f t="array" ref="P294">_xlfn.XLOOKUP($A294, 'Hospitalisation Details'!$A:$A, 'Hospitalisation Details'!H:H, "No Data")</f>
        <v>tier - 1</v>
      </c>
    </row>
    <row r="295">
      <c r="A295" s="25" t="s">
        <v>942</v>
      </c>
      <c r="B295" s="28" t="str">
        <f t="array" ref="B295">_xlfn.XLOOKUP($A295, 'Customer Names'!$A:$A, 'Customer Names'!B:B, "No Data")</f>
        <v>Shaw</v>
      </c>
      <c r="C295" s="28">
        <f t="array" ref="C295">_xlfn.XLOOKUP($A295, 'Medical Examinations'!$A:$A, 'Medical Examinations'!B:B, "No Data")</f>
        <v>24.14</v>
      </c>
      <c r="D295" s="28">
        <f t="array" ref="D295">_xlfn.XLOOKUP($A295, 'Medical Examinations'!$A:$A, 'Medical Examinations'!C:C, "No Data")</f>
        <v>5.87</v>
      </c>
      <c r="E295" s="28" t="str">
        <f t="array" ref="E295">_xlfn.XLOOKUP($A295, 'Medical Examinations'!$A:$A, 'Medical Examinations'!D:D, "No Data")</f>
        <v>No</v>
      </c>
      <c r="F295" s="28" t="str">
        <f t="array" ref="F295">_xlfn.XLOOKUP($A295, 'Medical Examinations'!$A:$A, 'Medical Examinations'!E:E, "No Data")</f>
        <v>No</v>
      </c>
      <c r="G295" s="28" t="str">
        <f t="array" ref="G295">_xlfn.XLOOKUP($A295, 'Medical Examinations'!$A:$A, 'Medical Examinations'!F:F, "No Data")</f>
        <v>No</v>
      </c>
      <c r="H295" s="28">
        <f t="array" ref="H295">_xlfn.XLOOKUP($A295, 'Medical Examinations'!$A:$A, 'Medical Examinations'!G:G, "No Data")</f>
        <v>2</v>
      </c>
      <c r="I295" s="28" t="str">
        <f t="array" ref="I295">_xlfn.XLOOKUP($A295, 'Medical Examinations'!$A:$A, 'Medical Examinations'!H:H, "No Data")</f>
        <v>yes</v>
      </c>
      <c r="J295" s="28" t="str">
        <f t="array" ref="J295">_xlfn.XLOOKUP($A295, 'Medical Examinations'!$A:$A, 'Medical Examinations'!I:I, "No Data")</f>
        <v>Normal Weight</v>
      </c>
      <c r="K295" s="28" t="str">
        <f t="array" ref="K295">_xlfn.XLOOKUP($A295, 'Hospitalisation Details'!$A:$A, 'Hospitalisation Details'!I:I, "No Data")</f>
        <v>tier - 1</v>
      </c>
      <c r="L295" s="28" t="str">
        <f t="array" ref="L295">_xlfn.XLOOKUP($A295, 'Hospitalisation Details'!$A:$A, 'Hospitalisation Details'!J:J, "No Data")</f>
        <v>R1011</v>
      </c>
      <c r="M295" s="28" t="str">
        <f t="array" ref="M295">_xlfn.XLOOKUP($A295, 'Hospitalisation Details'!$A:$A, 'Hospitalisation Details'!E:E, "No Data")</f>
        <v>21/09/72</v>
      </c>
      <c r="N295" s="28">
        <f t="array" ref="N295">_xlfn.XLOOKUP($A295, 'Hospitalisation Details'!$A:$A, 'Hospitalisation Details'!K:K, "No Data")</f>
        <v>50</v>
      </c>
      <c r="O295" s="33">
        <f t="array" ref="O295">_xlfn.XLOOKUP($A295, 'Hospitalisation Details'!$A:$A, 'Hospitalisation Details'!G:G, "No Data")</f>
        <v>31980.89</v>
      </c>
      <c r="P295" s="28" t="str">
        <f t="array" ref="P295">_xlfn.XLOOKUP($A295, 'Hospitalisation Details'!$A:$A, 'Hospitalisation Details'!H:H, "No Data")</f>
        <v>tier - 2</v>
      </c>
    </row>
    <row r="296">
      <c r="A296" s="25" t="s">
        <v>945</v>
      </c>
      <c r="B296" s="28" t="str">
        <f t="array" ref="B296">_xlfn.XLOOKUP($A296, 'Customer Names'!$A:$A, 'Customer Names'!B:B, "No Data")</f>
        <v>Williams</v>
      </c>
      <c r="C296" s="28">
        <f t="array" ref="C296">_xlfn.XLOOKUP($A296, 'Medical Examinations'!$A:$A, 'Medical Examinations'!B:B, "No Data")</f>
        <v>25.15</v>
      </c>
      <c r="D296" s="28">
        <f t="array" ref="D296">_xlfn.XLOOKUP($A296, 'Medical Examinations'!$A:$A, 'Medical Examinations'!C:C, "No Data")</f>
        <v>9.08</v>
      </c>
      <c r="E296" s="28" t="str">
        <f t="array" ref="E296">_xlfn.XLOOKUP($A296, 'Medical Examinations'!$A:$A, 'Medical Examinations'!D:D, "No Data")</f>
        <v>yes</v>
      </c>
      <c r="F296" s="28" t="str">
        <f t="array" ref="F296">_xlfn.XLOOKUP($A296, 'Medical Examinations'!$A:$A, 'Medical Examinations'!E:E, "No Data")</f>
        <v>No</v>
      </c>
      <c r="G296" s="28" t="str">
        <f t="array" ref="G296">_xlfn.XLOOKUP($A296, 'Medical Examinations'!$A:$A, 'Medical Examinations'!F:F, "No Data")</f>
        <v>No</v>
      </c>
      <c r="H296" s="28">
        <f t="array" ref="H296">_xlfn.XLOOKUP($A296, 'Medical Examinations'!$A:$A, 'Medical Examinations'!G:G, "No Data")</f>
        <v>1</v>
      </c>
      <c r="I296" s="28" t="str">
        <f t="array" ref="I296">_xlfn.XLOOKUP($A296, 'Medical Examinations'!$A:$A, 'Medical Examinations'!H:H, "No Data")</f>
        <v>yes</v>
      </c>
      <c r="J296" s="28" t="str">
        <f t="array" ref="J296">_xlfn.XLOOKUP($A296, 'Medical Examinations'!$A:$A, 'Medical Examinations'!I:I, "No Data")</f>
        <v>Overweight</v>
      </c>
      <c r="K296" s="28" t="str">
        <f t="array" ref="K296">_xlfn.XLOOKUP($A296, 'Hospitalisation Details'!$A:$A, 'Hospitalisation Details'!I:I, "No Data")</f>
        <v>tier - 3</v>
      </c>
      <c r="L296" s="28" t="str">
        <f t="array" ref="L296">_xlfn.XLOOKUP($A296, 'Hospitalisation Details'!$A:$A, 'Hospitalisation Details'!J:J, "No Data")</f>
        <v>R1011</v>
      </c>
      <c r="M296" s="28" t="str">
        <f t="array" ref="M296">_xlfn.XLOOKUP($A296, 'Hospitalisation Details'!$A:$A, 'Hospitalisation Details'!E:E, "No Data")</f>
        <v>25/09/75</v>
      </c>
      <c r="N296" s="28">
        <f t="array" ref="N296">_xlfn.XLOOKUP($A296, 'Hospitalisation Details'!$A:$A, 'Hospitalisation Details'!K:K, "No Data")</f>
        <v>47</v>
      </c>
      <c r="O296" s="33">
        <f t="array" ref="O296">_xlfn.XLOOKUP($A296, 'Hospitalisation Details'!$A:$A, 'Hospitalisation Details'!G:G, "No Data")</f>
        <v>31897.1</v>
      </c>
      <c r="P296" s="28" t="str">
        <f t="array" ref="P296">_xlfn.XLOOKUP($A296, 'Hospitalisation Details'!$A:$A, 'Hospitalisation Details'!H:H, "No Data")</f>
        <v>tier - 2</v>
      </c>
    </row>
    <row r="297">
      <c r="A297" s="25" t="s">
        <v>949</v>
      </c>
      <c r="B297" s="28" t="str">
        <f t="array" ref="B297">_xlfn.XLOOKUP($A297, 'Customer Names'!$A:$A, 'Customer Names'!B:B, "No Data")</f>
        <v>Menzies</v>
      </c>
      <c r="C297" s="28">
        <f t="array" ref="C297">_xlfn.XLOOKUP($A297, 'Medical Examinations'!$A:$A, 'Medical Examinations'!B:B, "No Data")</f>
        <v>28.71</v>
      </c>
      <c r="D297" s="28">
        <f t="array" ref="D297">_xlfn.XLOOKUP($A297, 'Medical Examinations'!$A:$A, 'Medical Examinations'!C:C, "No Data")</f>
        <v>5.2</v>
      </c>
      <c r="E297" s="28" t="str">
        <f t="array" ref="E297">_xlfn.XLOOKUP($A297, 'Medical Examinations'!$A:$A, 'Medical Examinations'!D:D, "No Data")</f>
        <v>No</v>
      </c>
      <c r="F297" s="28" t="str">
        <f t="array" ref="F297">_xlfn.XLOOKUP($A297, 'Medical Examinations'!$A:$A, 'Medical Examinations'!E:E, "No Data")</f>
        <v>No</v>
      </c>
      <c r="G297" s="28" t="str">
        <f t="array" ref="G297">_xlfn.XLOOKUP($A297, 'Medical Examinations'!$A:$A, 'Medical Examinations'!F:F, "No Data")</f>
        <v>No</v>
      </c>
      <c r="H297" s="28">
        <f t="array" ref="H297">_xlfn.XLOOKUP($A297, 'Medical Examinations'!$A:$A, 'Medical Examinations'!G:G, "No Data")</f>
        <v>1</v>
      </c>
      <c r="I297" s="28" t="str">
        <f t="array" ref="I297">_xlfn.XLOOKUP($A297, 'Medical Examinations'!$A:$A, 'Medical Examinations'!H:H, "No Data")</f>
        <v>yes</v>
      </c>
      <c r="J297" s="28" t="str">
        <f t="array" ref="J297">_xlfn.XLOOKUP($A297, 'Medical Examinations'!$A:$A, 'Medical Examinations'!I:I, "No Data")</f>
        <v>Overweight</v>
      </c>
      <c r="K297" s="28" t="str">
        <f t="array" ref="K297">_xlfn.XLOOKUP($A297, 'Hospitalisation Details'!$A:$A, 'Hospitalisation Details'!I:I, "No Data")</f>
        <v>tier - 1</v>
      </c>
      <c r="L297" s="28" t="str">
        <f t="array" ref="L297">_xlfn.XLOOKUP($A297, 'Hospitalisation Details'!$A:$A, 'Hospitalisation Details'!J:J, "No Data")</f>
        <v>R1011</v>
      </c>
      <c r="M297" s="28" t="str">
        <f t="array" ref="M297">_xlfn.XLOOKUP($A297, 'Hospitalisation Details'!$A:$A, 'Hospitalisation Details'!E:E, "No Data")</f>
        <v>10/09/84</v>
      </c>
      <c r="N297" s="28">
        <f t="array" ref="N297">_xlfn.XLOOKUP($A297, 'Hospitalisation Details'!$A:$A, 'Hospitalisation Details'!K:K, "No Data")</f>
        <v>38</v>
      </c>
      <c r="O297" s="33">
        <f t="array" ref="O297">_xlfn.XLOOKUP($A297, 'Hospitalisation Details'!$A:$A, 'Hospitalisation Details'!G:G, "No Data")</f>
        <v>31743.92</v>
      </c>
      <c r="P297" s="28" t="str">
        <f t="array" ref="P297">_xlfn.XLOOKUP($A297, 'Hospitalisation Details'!$A:$A, 'Hospitalisation Details'!H:H, "No Data")</f>
        <v>tier - 2</v>
      </c>
    </row>
    <row r="298">
      <c r="A298" s="25" t="s">
        <v>952</v>
      </c>
      <c r="B298" s="28" t="str">
        <f t="array" ref="B298">_xlfn.XLOOKUP($A298, 'Customer Names'!$A:$A, 'Customer Names'!B:B, "No Data")</f>
        <v>Buehler</v>
      </c>
      <c r="C298" s="28">
        <f t="array" ref="C298">_xlfn.XLOOKUP($A298, 'Medical Examinations'!$A:$A, 'Medical Examinations'!B:B, "No Data")</f>
        <v>23</v>
      </c>
      <c r="D298" s="28">
        <f t="array" ref="D298">_xlfn.XLOOKUP($A298, 'Medical Examinations'!$A:$A, 'Medical Examinations'!C:C, "No Data")</f>
        <v>5.48</v>
      </c>
      <c r="E298" s="28" t="str">
        <f t="array" ref="E298">_xlfn.XLOOKUP($A298, 'Medical Examinations'!$A:$A, 'Medical Examinations'!D:D, "No Data")</f>
        <v>No</v>
      </c>
      <c r="F298" s="28" t="str">
        <f t="array" ref="F298">_xlfn.XLOOKUP($A298, 'Medical Examinations'!$A:$A, 'Medical Examinations'!E:E, "No Data")</f>
        <v>No</v>
      </c>
      <c r="G298" s="28" t="str">
        <f t="array" ref="G298">_xlfn.XLOOKUP($A298, 'Medical Examinations'!$A:$A, 'Medical Examinations'!F:F, "No Data")</f>
        <v>No</v>
      </c>
      <c r="H298" s="28">
        <f t="array" ref="H298">_xlfn.XLOOKUP($A298, 'Medical Examinations'!$A:$A, 'Medical Examinations'!G:G, "No Data")</f>
        <v>0</v>
      </c>
      <c r="I298" s="28" t="str">
        <f t="array" ref="I298">_xlfn.XLOOKUP($A298, 'Medical Examinations'!$A:$A, 'Medical Examinations'!H:H, "No Data")</f>
        <v>yes</v>
      </c>
      <c r="J298" s="28" t="str">
        <f t="array" ref="J298">_xlfn.XLOOKUP($A298, 'Medical Examinations'!$A:$A, 'Medical Examinations'!I:I, "No Data")</f>
        <v>Normal Weight</v>
      </c>
      <c r="K298" s="28" t="str">
        <f t="array" ref="K298">_xlfn.XLOOKUP($A298, 'Hospitalisation Details'!$A:$A, 'Hospitalisation Details'!I:I, "No Data")</f>
        <v>tier - 2</v>
      </c>
      <c r="L298" s="28" t="str">
        <f t="array" ref="L298">_xlfn.XLOOKUP($A298, 'Hospitalisation Details'!$A:$A, 'Hospitalisation Details'!J:J, "No Data")</f>
        <v>R1012</v>
      </c>
      <c r="M298" s="28" t="str">
        <f t="array" ref="M298">_xlfn.XLOOKUP($A298, 'Hospitalisation Details'!$A:$A, 'Hospitalisation Details'!E:E, "No Data")</f>
        <v>14/10/77</v>
      </c>
      <c r="N298" s="28">
        <f t="array" ref="N298">_xlfn.XLOOKUP($A298, 'Hospitalisation Details'!$A:$A, 'Hospitalisation Details'!K:K, "No Data")</f>
        <v>45</v>
      </c>
      <c r="O298" s="33">
        <f t="array" ref="O298">_xlfn.XLOOKUP($A298, 'Hospitalisation Details'!$A:$A, 'Hospitalisation Details'!G:G, "No Data")</f>
        <v>31736.7</v>
      </c>
      <c r="P298" s="28" t="str">
        <f t="array" ref="P298">_xlfn.XLOOKUP($A298, 'Hospitalisation Details'!$A:$A, 'Hospitalisation Details'!H:H, "No Data")</f>
        <v>tier - 2</v>
      </c>
    </row>
    <row r="299">
      <c r="A299" s="25" t="s">
        <v>955</v>
      </c>
      <c r="B299" s="28" t="str">
        <f t="array" ref="B299">_xlfn.XLOOKUP($A299, 'Customer Names'!$A:$A, 'Customer Names'!B:B, "No Data")</f>
        <v>Degen</v>
      </c>
      <c r="C299" s="28">
        <f t="array" ref="C299">_xlfn.XLOOKUP($A299, 'Medical Examinations'!$A:$A, 'Medical Examinations'!B:B, "No Data")</f>
        <v>36.86</v>
      </c>
      <c r="D299" s="28">
        <f t="array" ref="D299">_xlfn.XLOOKUP($A299, 'Medical Examinations'!$A:$A, 'Medical Examinations'!C:C, "No Data")</f>
        <v>11.95</v>
      </c>
      <c r="E299" s="28" t="str">
        <f t="array" ref="E299">_xlfn.XLOOKUP($A299, 'Medical Examinations'!$A:$A, 'Medical Examinations'!D:D, "No Data")</f>
        <v>No</v>
      </c>
      <c r="F299" s="28" t="str">
        <f t="array" ref="F299">_xlfn.XLOOKUP($A299, 'Medical Examinations'!$A:$A, 'Medical Examinations'!E:E, "No Data")</f>
        <v>No</v>
      </c>
      <c r="G299" s="28" t="str">
        <f t="array" ref="G299">_xlfn.XLOOKUP($A299, 'Medical Examinations'!$A:$A, 'Medical Examinations'!F:F, "No Data")</f>
        <v>No</v>
      </c>
      <c r="H299" s="28">
        <f t="array" ref="H299">_xlfn.XLOOKUP($A299, 'Medical Examinations'!$A:$A, 'Medical Examinations'!G:G, "No Data")</f>
        <v>0</v>
      </c>
      <c r="I299" s="28" t="str">
        <f t="array" ref="I299">_xlfn.XLOOKUP($A299, 'Medical Examinations'!$A:$A, 'Medical Examinations'!H:H, "No Data")</f>
        <v>No</v>
      </c>
      <c r="J299" s="28" t="str">
        <f t="array" ref="J299">_xlfn.XLOOKUP($A299, 'Medical Examinations'!$A:$A, 'Medical Examinations'!I:I, "No Data")</f>
        <v>Obesity</v>
      </c>
      <c r="K299" s="28" t="str">
        <f t="array" ref="K299">_xlfn.XLOOKUP($A299, 'Hospitalisation Details'!$A:$A, 'Hospitalisation Details'!I:I, "No Data")</f>
        <v>tier - 1</v>
      </c>
      <c r="L299" s="28" t="str">
        <f t="array" ref="L299">_xlfn.XLOOKUP($A299, 'Hospitalisation Details'!$A:$A, 'Hospitalisation Details'!J:J, "No Data")</f>
        <v>R1024</v>
      </c>
      <c r="M299" s="28" t="str">
        <f t="array" ref="M299">_xlfn.XLOOKUP($A299, 'Hospitalisation Details'!$A:$A, 'Hospitalisation Details'!E:E, "No Data")</f>
        <v>13/12/60</v>
      </c>
      <c r="N299" s="28">
        <f t="array" ref="N299">_xlfn.XLOOKUP($A299, 'Hospitalisation Details'!$A:$A, 'Hospitalisation Details'!K:K, "No Data")</f>
        <v>62</v>
      </c>
      <c r="O299" s="33">
        <f t="array" ref="O299">_xlfn.XLOOKUP($A299, 'Hospitalisation Details'!$A:$A, 'Hospitalisation Details'!G:G, "No Data")</f>
        <v>31620</v>
      </c>
      <c r="P299" s="28" t="str">
        <f t="array" ref="P299">_xlfn.XLOOKUP($A299, 'Hospitalisation Details'!$A:$A, 'Hospitalisation Details'!H:H, "No Data")</f>
        <v>tier - 2</v>
      </c>
    </row>
    <row r="300">
      <c r="A300" s="25" t="s">
        <v>959</v>
      </c>
      <c r="B300" s="28" t="str">
        <f t="array" ref="B300">_xlfn.XLOOKUP($A300, 'Customer Names'!$A:$A, 'Customer Names'!B:B, "No Data")</f>
        <v>Arsenault</v>
      </c>
      <c r="C300" s="28">
        <f t="array" ref="C300">_xlfn.XLOOKUP($A300, 'Medical Examinations'!$A:$A, 'Medical Examinations'!B:B, "No Data")</f>
        <v>24.25</v>
      </c>
      <c r="D300" s="28">
        <f t="array" ref="D300">_xlfn.XLOOKUP($A300, 'Medical Examinations'!$A:$A, 'Medical Examinations'!C:C, "No Data")</f>
        <v>8.7</v>
      </c>
      <c r="E300" s="28" t="str">
        <f t="array" ref="E300">_xlfn.XLOOKUP($A300, 'Medical Examinations'!$A:$A, 'Medical Examinations'!D:D, "No Data")</f>
        <v>yes</v>
      </c>
      <c r="F300" s="28" t="str">
        <f t="array" ref="F300">_xlfn.XLOOKUP($A300, 'Medical Examinations'!$A:$A, 'Medical Examinations'!E:E, "No Data")</f>
        <v>No</v>
      </c>
      <c r="G300" s="28" t="str">
        <f t="array" ref="G300">_xlfn.XLOOKUP($A300, 'Medical Examinations'!$A:$A, 'Medical Examinations'!F:F, "No Data")</f>
        <v>No</v>
      </c>
      <c r="H300" s="28">
        <f t="array" ref="H300">_xlfn.XLOOKUP($A300, 'Medical Examinations'!$A:$A, 'Medical Examinations'!G:G, "No Data")</f>
        <v>1</v>
      </c>
      <c r="I300" s="28" t="str">
        <f t="array" ref="I300">_xlfn.XLOOKUP($A300, 'Medical Examinations'!$A:$A, 'Medical Examinations'!H:H, "No Data")</f>
        <v>yes</v>
      </c>
      <c r="J300" s="28" t="str">
        <f t="array" ref="J300">_xlfn.XLOOKUP($A300, 'Medical Examinations'!$A:$A, 'Medical Examinations'!I:I, "No Data")</f>
        <v>Normal Weight</v>
      </c>
      <c r="K300" s="28" t="str">
        <f t="array" ref="K300">_xlfn.XLOOKUP($A300, 'Hospitalisation Details'!$A:$A, 'Hospitalisation Details'!I:I, "No Data")</f>
        <v>tier - 1</v>
      </c>
      <c r="L300" s="28" t="str">
        <f t="array" ref="L300">_xlfn.XLOOKUP($A300, 'Hospitalisation Details'!$A:$A, 'Hospitalisation Details'!J:J, "No Data")</f>
        <v>R1011</v>
      </c>
      <c r="M300" s="28" t="str">
        <f t="array" ref="M300">_xlfn.XLOOKUP($A300, 'Hospitalisation Details'!$A:$A, 'Hospitalisation Details'!E:E, "No Data")</f>
        <v>29/10/75</v>
      </c>
      <c r="N300" s="28">
        <f t="array" ref="N300">_xlfn.XLOOKUP($A300, 'Hospitalisation Details'!$A:$A, 'Hospitalisation Details'!K:K, "No Data")</f>
        <v>47</v>
      </c>
      <c r="O300" s="33">
        <f t="array" ref="O300">_xlfn.XLOOKUP($A300, 'Hospitalisation Details'!$A:$A, 'Hospitalisation Details'!G:G, "No Data")</f>
        <v>31591.82</v>
      </c>
      <c r="P300" s="28" t="str">
        <f t="array" ref="P300">_xlfn.XLOOKUP($A300, 'Hospitalisation Details'!$A:$A, 'Hospitalisation Details'!H:H, "No Data")</f>
        <v>tier - 2</v>
      </c>
    </row>
    <row r="301">
      <c r="A301" s="25" t="s">
        <v>962</v>
      </c>
      <c r="B301" s="28" t="str">
        <f t="array" ref="B301">_xlfn.XLOOKUP($A301, 'Customer Names'!$A:$A, 'Customer Names'!B:B, "No Data")</f>
        <v>Hoff</v>
      </c>
      <c r="C301" s="28">
        <f t="array" ref="C301">_xlfn.XLOOKUP($A301, 'Medical Examinations'!$A:$A, 'Medical Examinations'!B:B, "No Data")</f>
        <v>23.85</v>
      </c>
      <c r="D301" s="28">
        <f t="array" ref="D301">_xlfn.XLOOKUP($A301, 'Medical Examinations'!$A:$A, 'Medical Examinations'!C:C, "No Data")</f>
        <v>7.84</v>
      </c>
      <c r="E301" s="28" t="str">
        <f t="array" ref="E301">_xlfn.XLOOKUP($A301, 'Medical Examinations'!$A:$A, 'Medical Examinations'!D:D, "No Data")</f>
        <v>No</v>
      </c>
      <c r="F301" s="28" t="str">
        <f t="array" ref="F301">_xlfn.XLOOKUP($A301, 'Medical Examinations'!$A:$A, 'Medical Examinations'!E:E, "No Data")</f>
        <v>No</v>
      </c>
      <c r="G301" s="28" t="str">
        <f t="array" ref="G301">_xlfn.XLOOKUP($A301, 'Medical Examinations'!$A:$A, 'Medical Examinations'!F:F, "No Data")</f>
        <v>No</v>
      </c>
      <c r="H301" s="28">
        <f t="array" ref="H301">_xlfn.XLOOKUP($A301, 'Medical Examinations'!$A:$A, 'Medical Examinations'!G:G, "No Data")</f>
        <v>0</v>
      </c>
      <c r="I301" s="28" t="str">
        <f t="array" ref="I301">_xlfn.XLOOKUP($A301, 'Medical Examinations'!$A:$A, 'Medical Examinations'!H:H, "No Data")</f>
        <v>yes</v>
      </c>
      <c r="J301" s="28" t="str">
        <f t="array" ref="J301">_xlfn.XLOOKUP($A301, 'Medical Examinations'!$A:$A, 'Medical Examinations'!I:I, "No Data")</f>
        <v>Normal Weight</v>
      </c>
      <c r="K301" s="28" t="str">
        <f t="array" ref="K301">_xlfn.XLOOKUP($A301, 'Hospitalisation Details'!$A:$A, 'Hospitalisation Details'!I:I, "No Data")</f>
        <v>tier - 3</v>
      </c>
      <c r="L301" s="28" t="str">
        <f t="array" ref="L301">_xlfn.XLOOKUP($A301, 'Hospitalisation Details'!$A:$A, 'Hospitalisation Details'!J:J, "No Data")</f>
        <v>R1011</v>
      </c>
      <c r="M301" s="28" t="str">
        <f t="array" ref="M301">_xlfn.XLOOKUP($A301, 'Hospitalisation Details'!$A:$A, 'Hospitalisation Details'!E:E, "No Data")</f>
        <v>08/10/74</v>
      </c>
      <c r="N301" s="28">
        <f t="array" ref="N301">_xlfn.XLOOKUP($A301, 'Hospitalisation Details'!$A:$A, 'Hospitalisation Details'!K:K, "No Data")</f>
        <v>48</v>
      </c>
      <c r="O301" s="33">
        <f t="array" ref="O301">_xlfn.XLOOKUP($A301, 'Hospitalisation Details'!$A:$A, 'Hospitalisation Details'!G:G, "No Data")</f>
        <v>31368.81</v>
      </c>
      <c r="P301" s="28" t="str">
        <f t="array" ref="P301">_xlfn.XLOOKUP($A301, 'Hospitalisation Details'!$A:$A, 'Hospitalisation Details'!H:H, "No Data")</f>
        <v>tier - 2</v>
      </c>
    </row>
    <row r="302">
      <c r="A302" s="25" t="s">
        <v>965</v>
      </c>
      <c r="B302" s="28" t="str">
        <f t="array" ref="B302">_xlfn.XLOOKUP($A302, 'Customer Names'!$A:$A, 'Customer Names'!B:B, "No Data")</f>
        <v>Hall</v>
      </c>
      <c r="C302" s="28">
        <f t="array" ref="C302">_xlfn.XLOOKUP($A302, 'Medical Examinations'!$A:$A, 'Medical Examinations'!B:B, "No Data")</f>
        <v>40.02</v>
      </c>
      <c r="D302" s="28">
        <f t="array" ref="D302">_xlfn.XLOOKUP($A302, 'Medical Examinations'!$A:$A, 'Medical Examinations'!C:C, "No Data")</f>
        <v>5.19</v>
      </c>
      <c r="E302" s="28" t="str">
        <f t="array" ref="E302">_xlfn.XLOOKUP($A302, 'Medical Examinations'!$A:$A, 'Medical Examinations'!D:D, "No Data")</f>
        <v>yes</v>
      </c>
      <c r="F302" s="28" t="str">
        <f t="array" ref="F302">_xlfn.XLOOKUP($A302, 'Medical Examinations'!$A:$A, 'Medical Examinations'!E:E, "No Data")</f>
        <v>No</v>
      </c>
      <c r="G302" s="28" t="str">
        <f t="array" ref="G302">_xlfn.XLOOKUP($A302, 'Medical Examinations'!$A:$A, 'Medical Examinations'!F:F, "No Data")</f>
        <v>No</v>
      </c>
      <c r="H302" s="28">
        <f t="array" ref="H302">_xlfn.XLOOKUP($A302, 'Medical Examinations'!$A:$A, 'Medical Examinations'!G:G, "No Data")</f>
        <v>1</v>
      </c>
      <c r="I302" s="28" t="str">
        <f t="array" ref="I302">_xlfn.XLOOKUP($A302, 'Medical Examinations'!$A:$A, 'Medical Examinations'!H:H, "No Data")</f>
        <v>yes</v>
      </c>
      <c r="J302" s="28" t="str">
        <f t="array" ref="J302">_xlfn.XLOOKUP($A302, 'Medical Examinations'!$A:$A, 'Medical Examinations'!I:I, "No Data")</f>
        <v>Obesity</v>
      </c>
      <c r="K302" s="28" t="str">
        <f t="array" ref="K302">_xlfn.XLOOKUP($A302, 'Hospitalisation Details'!$A:$A, 'Hospitalisation Details'!I:I, "No Data")</f>
        <v>tier - 2</v>
      </c>
      <c r="L302" s="28" t="str">
        <f t="array" ref="L302">_xlfn.XLOOKUP($A302, 'Hospitalisation Details'!$A:$A, 'Hospitalisation Details'!J:J, "No Data")</f>
        <v>R1011</v>
      </c>
      <c r="M302" s="28" t="str">
        <f t="array" ref="M302">_xlfn.XLOOKUP($A302, 'Hospitalisation Details'!$A:$A, 'Hospitalisation Details'!E:E, "No Data")</f>
        <v>27/09/95</v>
      </c>
      <c r="N302" s="28">
        <f t="array" ref="N302">_xlfn.XLOOKUP($A302, 'Hospitalisation Details'!$A:$A, 'Hospitalisation Details'!K:K, "No Data")</f>
        <v>27</v>
      </c>
      <c r="O302" s="33">
        <f t="array" ref="O302">_xlfn.XLOOKUP($A302, 'Hospitalisation Details'!$A:$A, 'Hospitalisation Details'!G:G, "No Data")</f>
        <v>31328.27</v>
      </c>
      <c r="P302" s="28" t="str">
        <f t="array" ref="P302">_xlfn.XLOOKUP($A302, 'Hospitalisation Details'!$A:$A, 'Hospitalisation Details'!H:H, "No Data")</f>
        <v>tier - 2</v>
      </c>
    </row>
    <row r="303">
      <c r="A303" s="25" t="s">
        <v>968</v>
      </c>
      <c r="B303" s="28" t="str">
        <f t="array" ref="B303">_xlfn.XLOOKUP($A303, 'Customer Names'!$A:$A, 'Customer Names'!B:B, "No Data")</f>
        <v>Ashley</v>
      </c>
      <c r="C303" s="28">
        <f t="array" ref="C303">_xlfn.XLOOKUP($A303, 'Medical Examinations'!$A:$A, 'Medical Examinations'!B:B, "No Data")</f>
        <v>19.17</v>
      </c>
      <c r="D303" s="28">
        <f t="array" ref="D303">_xlfn.XLOOKUP($A303, 'Medical Examinations'!$A:$A, 'Medical Examinations'!C:C, "No Data")</f>
        <v>8.41</v>
      </c>
      <c r="E303" s="28" t="str">
        <f t="array" ref="E303">_xlfn.XLOOKUP($A303, 'Medical Examinations'!$A:$A, 'Medical Examinations'!D:D, "No Data")</f>
        <v>No</v>
      </c>
      <c r="F303" s="28" t="str">
        <f t="array" ref="F303">_xlfn.XLOOKUP($A303, 'Medical Examinations'!$A:$A, 'Medical Examinations'!E:E, "No Data")</f>
        <v>No</v>
      </c>
      <c r="G303" s="28" t="str">
        <f t="array" ref="G303">_xlfn.XLOOKUP($A303, 'Medical Examinations'!$A:$A, 'Medical Examinations'!F:F, "No Data")</f>
        <v>No</v>
      </c>
      <c r="H303" s="28">
        <f t="array" ref="H303">_xlfn.XLOOKUP($A303, 'Medical Examinations'!$A:$A, 'Medical Examinations'!G:G, "No Data")</f>
        <v>0</v>
      </c>
      <c r="I303" s="28" t="str">
        <f t="array" ref="I303">_xlfn.XLOOKUP($A303, 'Medical Examinations'!$A:$A, 'Medical Examinations'!H:H, "No Data")</f>
        <v>yes</v>
      </c>
      <c r="J303" s="28" t="str">
        <f t="array" ref="J303">_xlfn.XLOOKUP($A303, 'Medical Examinations'!$A:$A, 'Medical Examinations'!I:I, "No Data")</f>
        <v>Normal Weight</v>
      </c>
      <c r="K303" s="28" t="str">
        <f t="array" ref="K303">_xlfn.XLOOKUP($A303, 'Hospitalisation Details'!$A:$A, 'Hospitalisation Details'!I:I, "No Data")</f>
        <v>tier - 1</v>
      </c>
      <c r="L303" s="28" t="str">
        <f t="array" ref="L303">_xlfn.XLOOKUP($A303, 'Hospitalisation Details'!$A:$A, 'Hospitalisation Details'!J:J, "No Data")</f>
        <v>R1011</v>
      </c>
      <c r="M303" s="28" t="str">
        <f t="array" ref="M303">_xlfn.XLOOKUP($A303, 'Hospitalisation Details'!$A:$A, 'Hospitalisation Details'!E:E, "No Data")</f>
        <v>09/07/68</v>
      </c>
      <c r="N303" s="28">
        <f t="array" ref="N303">_xlfn.XLOOKUP($A303, 'Hospitalisation Details'!$A:$A, 'Hospitalisation Details'!K:K, "No Data")</f>
        <v>54</v>
      </c>
      <c r="O303" s="33">
        <f t="array" ref="O303">_xlfn.XLOOKUP($A303, 'Hospitalisation Details'!$A:$A, 'Hospitalisation Details'!G:G, "No Data")</f>
        <v>31322.53</v>
      </c>
      <c r="P303" s="28" t="str">
        <f t="array" ref="P303">_xlfn.XLOOKUP($A303, 'Hospitalisation Details'!$A:$A, 'Hospitalisation Details'!H:H, "No Data")</f>
        <v>tier - 2</v>
      </c>
    </row>
    <row r="304">
      <c r="A304" s="25" t="s">
        <v>969</v>
      </c>
      <c r="B304" s="28" t="str">
        <f t="array" ref="B304">_xlfn.XLOOKUP($A304, 'Customer Names'!$A:$A, 'Customer Names'!B:B, "No Data")</f>
        <v>Rindahl</v>
      </c>
      <c r="C304" s="28">
        <f t="array" ref="C304">_xlfn.XLOOKUP($A304, 'Medical Examinations'!$A:$A, 'Medical Examinations'!B:B, "No Data")</f>
        <v>43.53</v>
      </c>
      <c r="D304" s="28">
        <f t="array" ref="D304">_xlfn.XLOOKUP($A304, 'Medical Examinations'!$A:$A, 'Medical Examinations'!C:C, "No Data")</f>
        <v>5.86</v>
      </c>
      <c r="E304" s="28" t="str">
        <f t="array" ref="E304">_xlfn.XLOOKUP($A304, 'Medical Examinations'!$A:$A, 'Medical Examinations'!D:D, "No Data")</f>
        <v>yes</v>
      </c>
      <c r="F304" s="28" t="str">
        <f t="array" ref="F304">_xlfn.XLOOKUP($A304, 'Medical Examinations'!$A:$A, 'Medical Examinations'!E:E, "No Data")</f>
        <v>yes</v>
      </c>
      <c r="G304" s="28" t="str">
        <f t="array" ref="G304">_xlfn.XLOOKUP($A304, 'Medical Examinations'!$A:$A, 'Medical Examinations'!F:F, "No Data")</f>
        <v>No</v>
      </c>
      <c r="H304" s="28">
        <f t="array" ref="H304">_xlfn.XLOOKUP($A304, 'Medical Examinations'!$A:$A, 'Medical Examinations'!G:G, "No Data")</f>
        <v>2</v>
      </c>
      <c r="I304" s="28" t="str">
        <f t="array" ref="I304">_xlfn.XLOOKUP($A304, 'Medical Examinations'!$A:$A, 'Medical Examinations'!H:H, "No Data")</f>
        <v>yes</v>
      </c>
      <c r="J304" s="28" t="str">
        <f t="array" ref="J304">_xlfn.XLOOKUP($A304, 'Medical Examinations'!$A:$A, 'Medical Examinations'!I:I, "No Data")</f>
        <v>Obesity</v>
      </c>
      <c r="K304" s="28" t="str">
        <f t="array" ref="K304">_xlfn.XLOOKUP($A304, 'Hospitalisation Details'!$A:$A, 'Hospitalisation Details'!I:I, "No Data")</f>
        <v>tier - 1</v>
      </c>
      <c r="L304" s="28" t="str">
        <f t="array" ref="L304">_xlfn.XLOOKUP($A304, 'Hospitalisation Details'!$A:$A, 'Hospitalisation Details'!J:J, "No Data")</f>
        <v>R1011</v>
      </c>
      <c r="M304" s="28" t="str">
        <f t="array" ref="M304">_xlfn.XLOOKUP($A304, 'Hospitalisation Details'!$A:$A, 'Hospitalisation Details'!E:E, "No Data")</f>
        <v>22/07/00</v>
      </c>
      <c r="N304" s="28">
        <f t="array" ref="N304">_xlfn.XLOOKUP($A304, 'Hospitalisation Details'!$A:$A, 'Hospitalisation Details'!K:K, "No Data")</f>
        <v>22</v>
      </c>
      <c r="O304" s="33">
        <f t="array" ref="O304">_xlfn.XLOOKUP($A304, 'Hospitalisation Details'!$A:$A, 'Hospitalisation Details'!G:G, "No Data")</f>
        <v>31234.56</v>
      </c>
      <c r="P304" s="28" t="str">
        <f t="array" ref="P304">_xlfn.XLOOKUP($A304, 'Hospitalisation Details'!$A:$A, 'Hospitalisation Details'!H:H, "No Data")</f>
        <v>tier - 1</v>
      </c>
    </row>
    <row r="305">
      <c r="A305" s="25" t="s">
        <v>973</v>
      </c>
      <c r="B305" s="28" t="str">
        <f t="array" ref="B305">_xlfn.XLOOKUP($A305, 'Customer Names'!$A:$A, 'Customer Names'!B:B, "No Data")</f>
        <v>Clark</v>
      </c>
      <c r="C305" s="28">
        <f t="array" ref="C305">_xlfn.XLOOKUP($A305, 'Medical Examinations'!$A:$A, 'Medical Examinations'!B:B, "No Data")</f>
        <v>46.06</v>
      </c>
      <c r="D305" s="28">
        <f t="array" ref="D305">_xlfn.XLOOKUP($A305, 'Medical Examinations'!$A:$A, 'Medical Examinations'!C:C, "No Data")</f>
        <v>4.18</v>
      </c>
      <c r="E305" s="28" t="str">
        <f t="array" ref="E305">_xlfn.XLOOKUP($A305, 'Medical Examinations'!$A:$A, 'Medical Examinations'!D:D, "No Data")</f>
        <v>No</v>
      </c>
      <c r="F305" s="28" t="str">
        <f t="array" ref="F305">_xlfn.XLOOKUP($A305, 'Medical Examinations'!$A:$A, 'Medical Examinations'!E:E, "No Data")</f>
        <v>yes</v>
      </c>
      <c r="G305" s="28" t="str">
        <f t="array" ref="G305">_xlfn.XLOOKUP($A305, 'Medical Examinations'!$A:$A, 'Medical Examinations'!F:F, "No Data")</f>
        <v>No</v>
      </c>
      <c r="H305" s="28">
        <f t="array" ref="H305">_xlfn.XLOOKUP($A305, 'Medical Examinations'!$A:$A, 'Medical Examinations'!G:G, "No Data")</f>
        <v>1</v>
      </c>
      <c r="I305" s="28" t="str">
        <f t="array" ref="I305">_xlfn.XLOOKUP($A305, 'Medical Examinations'!$A:$A, 'Medical Examinations'!H:H, "No Data")</f>
        <v>yes</v>
      </c>
      <c r="J305" s="28" t="str">
        <f t="array" ref="J305">_xlfn.XLOOKUP($A305, 'Medical Examinations'!$A:$A, 'Medical Examinations'!I:I, "No Data")</f>
        <v>Obesity</v>
      </c>
      <c r="K305" s="28" t="str">
        <f t="array" ref="K305">_xlfn.XLOOKUP($A305, 'Hospitalisation Details'!$A:$A, 'Hospitalisation Details'!I:I, "No Data")</f>
        <v>tier - 1</v>
      </c>
      <c r="L305" s="28" t="str">
        <f t="array" ref="L305">_xlfn.XLOOKUP($A305, 'Hospitalisation Details'!$A:$A, 'Hospitalisation Details'!J:J, "No Data")</f>
        <v>R1011</v>
      </c>
      <c r="M305" s="28" t="str">
        <f t="array" ref="M305">_xlfn.XLOOKUP($A305, 'Hospitalisation Details'!$A:$A, 'Hospitalisation Details'!E:E, "No Data")</f>
        <v>09/11/04</v>
      </c>
      <c r="N305" s="28">
        <f t="array" ref="N305">_xlfn.XLOOKUP($A305, 'Hospitalisation Details'!$A:$A, 'Hospitalisation Details'!K:K, "No Data")</f>
        <v>18</v>
      </c>
      <c r="O305" s="33">
        <f t="array" ref="O305">_xlfn.XLOOKUP($A305, 'Hospitalisation Details'!$A:$A, 'Hospitalisation Details'!G:G, "No Data")</f>
        <v>31196.61</v>
      </c>
      <c r="P305" s="28" t="str">
        <f t="array" ref="P305">_xlfn.XLOOKUP($A305, 'Hospitalisation Details'!$A:$A, 'Hospitalisation Details'!H:H, "No Data")</f>
        <v>tier - 2</v>
      </c>
    </row>
    <row r="306">
      <c r="A306" s="25" t="s">
        <v>976</v>
      </c>
      <c r="B306" s="28" t="str">
        <f t="array" ref="B306">_xlfn.XLOOKUP($A306, 'Customer Names'!$A:$A, 'Customer Names'!B:B, "No Data")</f>
        <v>Irish</v>
      </c>
      <c r="C306" s="28">
        <f t="array" ref="C306">_xlfn.XLOOKUP($A306, 'Medical Examinations'!$A:$A, 'Medical Examinations'!B:B, "No Data")</f>
        <v>29.92</v>
      </c>
      <c r="D306" s="28">
        <f t="array" ref="D306">_xlfn.XLOOKUP($A306, 'Medical Examinations'!$A:$A, 'Medical Examinations'!C:C, "No Data")</f>
        <v>11.99</v>
      </c>
      <c r="E306" s="28" t="str">
        <f t="array" ref="E306">_xlfn.XLOOKUP($A306, 'Medical Examinations'!$A:$A, 'Medical Examinations'!D:D, "No Data")</f>
        <v>yes</v>
      </c>
      <c r="F306" s="28" t="str">
        <f t="array" ref="F306">_xlfn.XLOOKUP($A306, 'Medical Examinations'!$A:$A, 'Medical Examinations'!E:E, "No Data")</f>
        <v>No</v>
      </c>
      <c r="G306" s="28" t="str">
        <f t="array" ref="G306">_xlfn.XLOOKUP($A306, 'Medical Examinations'!$A:$A, 'Medical Examinations'!F:F, "No Data")</f>
        <v>No</v>
      </c>
      <c r="H306" s="28">
        <f t="array" ref="H306">_xlfn.XLOOKUP($A306, 'Medical Examinations'!$A:$A, 'Medical Examinations'!G:G, "No Data")</f>
        <v>2</v>
      </c>
      <c r="I306" s="28" t="str">
        <f t="array" ref="I306">_xlfn.XLOOKUP($A306, 'Medical Examinations'!$A:$A, 'Medical Examinations'!H:H, "No Data")</f>
        <v>yes</v>
      </c>
      <c r="J306" s="28" t="str">
        <f t="array" ref="J306">_xlfn.XLOOKUP($A306, 'Medical Examinations'!$A:$A, 'Medical Examinations'!I:I, "No Data")</f>
        <v>Overweight</v>
      </c>
      <c r="K306" s="28" t="str">
        <f t="array" ref="K306">_xlfn.XLOOKUP($A306, 'Hospitalisation Details'!$A:$A, 'Hospitalisation Details'!I:I, "No Data")</f>
        <v>tier - 2</v>
      </c>
      <c r="L306" s="28" t="str">
        <f t="array" ref="L306">_xlfn.XLOOKUP($A306, 'Hospitalisation Details'!$A:$A, 'Hospitalisation Details'!J:J, "No Data")</f>
        <v>R1013</v>
      </c>
      <c r="M306" s="28" t="str">
        <f t="array" ref="M306">_xlfn.XLOOKUP($A306, 'Hospitalisation Details'!$A:$A, 'Hospitalisation Details'!E:E, "No Data")</f>
        <v>09/09/61</v>
      </c>
      <c r="N306" s="28">
        <f t="array" ref="N306">_xlfn.XLOOKUP($A306, 'Hospitalisation Details'!$A:$A, 'Hospitalisation Details'!K:K, "No Data")</f>
        <v>61</v>
      </c>
      <c r="O306" s="33">
        <f t="array" ref="O306">_xlfn.XLOOKUP($A306, 'Hospitalisation Details'!$A:$A, 'Hospitalisation Details'!G:G, "No Data")</f>
        <v>30942.19</v>
      </c>
      <c r="P306" s="28" t="str">
        <f t="array" ref="P306">_xlfn.XLOOKUP($A306, 'Hospitalisation Details'!$A:$A, 'Hospitalisation Details'!H:H, "No Data")</f>
        <v>tier - 2</v>
      </c>
    </row>
    <row r="307">
      <c r="A307" s="25" t="s">
        <v>979</v>
      </c>
      <c r="B307" s="28" t="str">
        <f t="array" ref="B307">_xlfn.XLOOKUP($A307, 'Customer Names'!$A:$A, 'Customer Names'!B:B, "No Data")</f>
        <v>Richardson</v>
      </c>
      <c r="C307" s="28">
        <f t="array" ref="C307">_xlfn.XLOOKUP($A307, 'Medical Examinations'!$A:$A, 'Medical Examinations'!B:B, "No Data")</f>
        <v>28.46</v>
      </c>
      <c r="D307" s="28">
        <f t="array" ref="D307">_xlfn.XLOOKUP($A307, 'Medical Examinations'!$A:$A, 'Medical Examinations'!C:C, "No Data")</f>
        <v>4.85</v>
      </c>
      <c r="E307" s="28" t="str">
        <f t="array" ref="E307">_xlfn.XLOOKUP($A307, 'Medical Examinations'!$A:$A, 'Medical Examinations'!D:D, "No Data")</f>
        <v>yes</v>
      </c>
      <c r="F307" s="28" t="str">
        <f t="array" ref="F307">_xlfn.XLOOKUP($A307, 'Medical Examinations'!$A:$A, 'Medical Examinations'!E:E, "No Data")</f>
        <v>No</v>
      </c>
      <c r="G307" s="28" t="str">
        <f t="array" ref="G307">_xlfn.XLOOKUP($A307, 'Medical Examinations'!$A:$A, 'Medical Examinations'!F:F, "No Data")</f>
        <v>No</v>
      </c>
      <c r="H307" s="28">
        <f t="array" ref="H307">_xlfn.XLOOKUP($A307, 'Medical Examinations'!$A:$A, 'Medical Examinations'!G:G, "No Data")</f>
        <v>1</v>
      </c>
      <c r="I307" s="28" t="str">
        <f t="array" ref="I307">_xlfn.XLOOKUP($A307, 'Medical Examinations'!$A:$A, 'Medical Examinations'!H:H, "No Data")</f>
        <v>yes</v>
      </c>
      <c r="J307" s="28" t="str">
        <f t="array" ref="J307">_xlfn.XLOOKUP($A307, 'Medical Examinations'!$A:$A, 'Medical Examinations'!I:I, "No Data")</f>
        <v>Overweight</v>
      </c>
      <c r="K307" s="28" t="str">
        <f t="array" ref="K307">_xlfn.XLOOKUP($A307, 'Hospitalisation Details'!$A:$A, 'Hospitalisation Details'!I:I, "No Data")</f>
        <v>tier - 1</v>
      </c>
      <c r="L307" s="28" t="str">
        <f t="array" ref="L307">_xlfn.XLOOKUP($A307, 'Hospitalisation Details'!$A:$A, 'Hospitalisation Details'!J:J, "No Data")</f>
        <v>R1011</v>
      </c>
      <c r="M307" s="28" t="str">
        <f t="array" ref="M307">_xlfn.XLOOKUP($A307, 'Hospitalisation Details'!$A:$A, 'Hospitalisation Details'!E:E, "No Data")</f>
        <v>05/09/88</v>
      </c>
      <c r="N307" s="28">
        <f t="array" ref="N307">_xlfn.XLOOKUP($A307, 'Hospitalisation Details'!$A:$A, 'Hospitalisation Details'!K:K, "No Data")</f>
        <v>34</v>
      </c>
      <c r="O307" s="33">
        <f t="array" ref="O307">_xlfn.XLOOKUP($A307, 'Hospitalisation Details'!$A:$A, 'Hospitalisation Details'!G:G, "No Data")</f>
        <v>30763.01</v>
      </c>
      <c r="P307" s="28" t="str">
        <f t="array" ref="P307">_xlfn.XLOOKUP($A307, 'Hospitalisation Details'!$A:$A, 'Hospitalisation Details'!H:H, "No Data")</f>
        <v>tier - 2</v>
      </c>
    </row>
    <row r="308">
      <c r="A308" s="25" t="s">
        <v>982</v>
      </c>
      <c r="B308" s="28" t="str">
        <f t="array" ref="B308">_xlfn.XLOOKUP($A308, 'Customer Names'!$A:$A, 'Customer Names'!B:B, "No Data")</f>
        <v>Dewitt</v>
      </c>
      <c r="C308" s="28">
        <f t="array" ref="C308">_xlfn.XLOOKUP($A308, 'Medical Examinations'!$A:$A, 'Medical Examinations'!B:B, "No Data")</f>
        <v>24.56</v>
      </c>
      <c r="D308" s="28">
        <f t="array" ref="D308">_xlfn.XLOOKUP($A308, 'Medical Examinations'!$A:$A, 'Medical Examinations'!C:C, "No Data")</f>
        <v>6.18</v>
      </c>
      <c r="E308" s="28" t="str">
        <f t="array" ref="E308">_xlfn.XLOOKUP($A308, 'Medical Examinations'!$A:$A, 'Medical Examinations'!D:D, "No Data")</f>
        <v>yes</v>
      </c>
      <c r="F308" s="28" t="str">
        <f t="array" ref="F308">_xlfn.XLOOKUP($A308, 'Medical Examinations'!$A:$A, 'Medical Examinations'!E:E, "No Data")</f>
        <v>No</v>
      </c>
      <c r="G308" s="28" t="str">
        <f t="array" ref="G308">_xlfn.XLOOKUP($A308, 'Medical Examinations'!$A:$A, 'Medical Examinations'!F:F, "No Data")</f>
        <v>Yes</v>
      </c>
      <c r="H308" s="28">
        <f t="array" ref="H308">_xlfn.XLOOKUP($A308, 'Medical Examinations'!$A:$A, 'Medical Examinations'!G:G, "No Data")</f>
        <v>1</v>
      </c>
      <c r="I308" s="28" t="str">
        <f t="array" ref="I308">_xlfn.XLOOKUP($A308, 'Medical Examinations'!$A:$A, 'Medical Examinations'!H:H, "No Data")</f>
        <v>yes</v>
      </c>
      <c r="J308" s="28" t="str">
        <f t="array" ref="J308">_xlfn.XLOOKUP($A308, 'Medical Examinations'!$A:$A, 'Medical Examinations'!I:I, "No Data")</f>
        <v>Normal Weight</v>
      </c>
      <c r="K308" s="28" t="str">
        <f t="array" ref="K308">_xlfn.XLOOKUP($A308, 'Hospitalisation Details'!$A:$A, 'Hospitalisation Details'!I:I, "No Data")</f>
        <v>tier - 3</v>
      </c>
      <c r="L308" s="28" t="str">
        <f t="array" ref="L308">_xlfn.XLOOKUP($A308, 'Hospitalisation Details'!$A:$A, 'Hospitalisation Details'!J:J, "No Data")</f>
        <v>R1011</v>
      </c>
      <c r="M308" s="28" t="str">
        <f t="array" ref="M308">_xlfn.XLOOKUP($A308, 'Hospitalisation Details'!$A:$A, 'Hospitalisation Details'!E:E, "No Data")</f>
        <v>21/12/83</v>
      </c>
      <c r="N308" s="28">
        <f t="array" ref="N308">_xlfn.XLOOKUP($A308, 'Hospitalisation Details'!$A:$A, 'Hospitalisation Details'!K:K, "No Data")</f>
        <v>39</v>
      </c>
      <c r="O308" s="33">
        <f t="array" ref="O308">_xlfn.XLOOKUP($A308, 'Hospitalisation Details'!$A:$A, 'Hospitalisation Details'!G:G, "No Data")</f>
        <v>30724.44</v>
      </c>
      <c r="P308" s="28" t="str">
        <f t="array" ref="P308">_xlfn.XLOOKUP($A308, 'Hospitalisation Details'!$A:$A, 'Hospitalisation Details'!H:H, "No Data")</f>
        <v>tier - 2</v>
      </c>
    </row>
    <row r="309">
      <c r="A309" s="25" t="s">
        <v>984</v>
      </c>
      <c r="B309" s="28" t="str">
        <f t="array" ref="B309">_xlfn.XLOOKUP($A309, 'Customer Names'!$A:$A, 'Customer Names'!B:B, "No Data")</f>
        <v>Hickman</v>
      </c>
      <c r="C309" s="28">
        <f t="array" ref="C309">_xlfn.XLOOKUP($A309, 'Medical Examinations'!$A:$A, 'Medical Examinations'!B:B, "No Data")</f>
        <v>41.19</v>
      </c>
      <c r="D309" s="28">
        <f t="array" ref="D309">_xlfn.XLOOKUP($A309, 'Medical Examinations'!$A:$A, 'Medical Examinations'!C:C, "No Data")</f>
        <v>6.37</v>
      </c>
      <c r="E309" s="28" t="str">
        <f t="array" ref="E309">_xlfn.XLOOKUP($A309, 'Medical Examinations'!$A:$A, 'Medical Examinations'!D:D, "No Data")</f>
        <v>No</v>
      </c>
      <c r="F309" s="28" t="str">
        <f t="array" ref="F309">_xlfn.XLOOKUP($A309, 'Medical Examinations'!$A:$A, 'Medical Examinations'!E:E, "No Data")</f>
        <v>No</v>
      </c>
      <c r="G309" s="28" t="str">
        <f t="array" ref="G309">_xlfn.XLOOKUP($A309, 'Medical Examinations'!$A:$A, 'Medical Examinations'!F:F, "No Data")</f>
        <v>No</v>
      </c>
      <c r="H309" s="28">
        <f t="array" ref="H309">_xlfn.XLOOKUP($A309, 'Medical Examinations'!$A:$A, 'Medical Examinations'!G:G, "No Data")</f>
        <v>0</v>
      </c>
      <c r="I309" s="28" t="str">
        <f t="array" ref="I309">_xlfn.XLOOKUP($A309, 'Medical Examinations'!$A:$A, 'Medical Examinations'!H:H, "No Data")</f>
        <v>yes</v>
      </c>
      <c r="J309" s="28" t="str">
        <f t="array" ref="J309">_xlfn.XLOOKUP($A309, 'Medical Examinations'!$A:$A, 'Medical Examinations'!I:I, "No Data")</f>
        <v>Obesity</v>
      </c>
      <c r="K309" s="28" t="str">
        <f t="array" ref="K309">_xlfn.XLOOKUP($A309, 'Hospitalisation Details'!$A:$A, 'Hospitalisation Details'!I:I, "No Data")</f>
        <v>tier - 2</v>
      </c>
      <c r="L309" s="28" t="str">
        <f t="array" ref="L309">_xlfn.XLOOKUP($A309, 'Hospitalisation Details'!$A:$A, 'Hospitalisation Details'!J:J, "No Data")</f>
        <v>R1011</v>
      </c>
      <c r="M309" s="28" t="str">
        <f t="array" ref="M309">_xlfn.XLOOKUP($A309, 'Hospitalisation Details'!$A:$A, 'Hospitalisation Details'!E:E, "No Data")</f>
        <v>21/09/99</v>
      </c>
      <c r="N309" s="28">
        <f t="array" ref="N309">_xlfn.XLOOKUP($A309, 'Hospitalisation Details'!$A:$A, 'Hospitalisation Details'!K:K, "No Data")</f>
        <v>23</v>
      </c>
      <c r="O309" s="33">
        <f t="array" ref="O309">_xlfn.XLOOKUP($A309, 'Hospitalisation Details'!$A:$A, 'Hospitalisation Details'!G:G, "No Data")</f>
        <v>30697.71</v>
      </c>
      <c r="P309" s="28" t="str">
        <f t="array" ref="P309">_xlfn.XLOOKUP($A309, 'Hospitalisation Details'!$A:$A, 'Hospitalisation Details'!H:H, "No Data")</f>
        <v>tier - 1</v>
      </c>
    </row>
    <row r="310">
      <c r="A310" s="25" t="s">
        <v>987</v>
      </c>
      <c r="B310" s="28" t="str">
        <f t="array" ref="B310">_xlfn.XLOOKUP($A310, 'Customer Names'!$A:$A, 'Customer Names'!B:B, "No Data")</f>
        <v>Gonzalez</v>
      </c>
      <c r="C310" s="28">
        <f t="array" ref="C310">_xlfn.XLOOKUP($A310, 'Medical Examinations'!$A:$A, 'Medical Examinations'!B:B, "No Data")</f>
        <v>18.63</v>
      </c>
      <c r="D310" s="28">
        <f t="array" ref="D310">_xlfn.XLOOKUP($A310, 'Medical Examinations'!$A:$A, 'Medical Examinations'!C:C, "No Data")</f>
        <v>9.81</v>
      </c>
      <c r="E310" s="28" t="str">
        <f t="array" ref="E310">_xlfn.XLOOKUP($A310, 'Medical Examinations'!$A:$A, 'Medical Examinations'!D:D, "No Data")</f>
        <v>yes</v>
      </c>
      <c r="F310" s="28" t="str">
        <f t="array" ref="F310">_xlfn.XLOOKUP($A310, 'Medical Examinations'!$A:$A, 'Medical Examinations'!E:E, "No Data")</f>
        <v>No</v>
      </c>
      <c r="G310" s="28" t="str">
        <f t="array" ref="G310">_xlfn.XLOOKUP($A310, 'Medical Examinations'!$A:$A, 'Medical Examinations'!F:F, "No Data")</f>
        <v>No</v>
      </c>
      <c r="H310" s="28">
        <f t="array" ref="H310">_xlfn.XLOOKUP($A310, 'Medical Examinations'!$A:$A, 'Medical Examinations'!G:G, "No Data")</f>
        <v>2</v>
      </c>
      <c r="I310" s="28" t="str">
        <f t="array" ref="I310">_xlfn.XLOOKUP($A310, 'Medical Examinations'!$A:$A, 'Medical Examinations'!H:H, "No Data")</f>
        <v>yes</v>
      </c>
      <c r="J310" s="28" t="str">
        <f t="array" ref="J310">_xlfn.XLOOKUP($A310, 'Medical Examinations'!$A:$A, 'Medical Examinations'!I:I, "No Data")</f>
        <v>Normal Weight</v>
      </c>
      <c r="K310" s="28" t="str">
        <f t="array" ref="K310">_xlfn.XLOOKUP($A310, 'Hospitalisation Details'!$A:$A, 'Hospitalisation Details'!I:I, "No Data")</f>
        <v>tier - 3</v>
      </c>
      <c r="L310" s="28" t="str">
        <f t="array" ref="L310">_xlfn.XLOOKUP($A310, 'Hospitalisation Details'!$A:$A, 'Hospitalisation Details'!J:J, "No Data")</f>
        <v>R1011</v>
      </c>
      <c r="M310" s="28" t="str">
        <f t="array" ref="M310">_xlfn.XLOOKUP($A310, 'Hospitalisation Details'!$A:$A, 'Hospitalisation Details'!E:E, "No Data")</f>
        <v>11/11/70</v>
      </c>
      <c r="N310" s="28">
        <f t="array" ref="N310">_xlfn.XLOOKUP($A310, 'Hospitalisation Details'!$A:$A, 'Hospitalisation Details'!K:K, "No Data")</f>
        <v>52</v>
      </c>
      <c r="O310" s="33">
        <f t="array" ref="O310">_xlfn.XLOOKUP($A310, 'Hospitalisation Details'!$A:$A, 'Hospitalisation Details'!G:G, "No Data")</f>
        <v>30625.65</v>
      </c>
      <c r="P310" s="28" t="str">
        <f t="array" ref="P310">_xlfn.XLOOKUP($A310, 'Hospitalisation Details'!$A:$A, 'Hospitalisation Details'!H:H, "No Data")</f>
        <v>tier - 2</v>
      </c>
    </row>
    <row r="311">
      <c r="A311" s="25" t="s">
        <v>991</v>
      </c>
      <c r="B311" s="28" t="str">
        <f t="array" ref="B311">_xlfn.XLOOKUP($A311, 'Customer Names'!$A:$A, 'Customer Names'!B:B, "No Data")</f>
        <v>Difani</v>
      </c>
      <c r="C311" s="28">
        <f t="array" ref="C311">_xlfn.XLOOKUP($A311, 'Medical Examinations'!$A:$A, 'Medical Examinations'!B:B, "No Data")</f>
        <v>26.26</v>
      </c>
      <c r="D311" s="28">
        <f t="array" ref="D311">_xlfn.XLOOKUP($A311, 'Medical Examinations'!$A:$A, 'Medical Examinations'!C:C, "No Data")</f>
        <v>11.8</v>
      </c>
      <c r="E311" s="28" t="str">
        <f t="array" ref="E311">_xlfn.XLOOKUP($A311, 'Medical Examinations'!$A:$A, 'Medical Examinations'!D:D, "No Data")</f>
        <v>yes</v>
      </c>
      <c r="F311" s="28" t="str">
        <f t="array" ref="F311">_xlfn.XLOOKUP($A311, 'Medical Examinations'!$A:$A, 'Medical Examinations'!E:E, "No Data")</f>
        <v>No</v>
      </c>
      <c r="G311" s="28" t="str">
        <f t="array" ref="G311">_xlfn.XLOOKUP($A311, 'Medical Examinations'!$A:$A, 'Medical Examinations'!F:F, "No Data")</f>
        <v>No</v>
      </c>
      <c r="H311" s="28">
        <f t="array" ref="H311">_xlfn.XLOOKUP($A311, 'Medical Examinations'!$A:$A, 'Medical Examinations'!G:G, "No Data")</f>
        <v>1</v>
      </c>
      <c r="I311" s="28" t="str">
        <f t="array" ref="I311">_xlfn.XLOOKUP($A311, 'Medical Examinations'!$A:$A, 'Medical Examinations'!H:H, "No Data")</f>
        <v>yes</v>
      </c>
      <c r="J311" s="28" t="str">
        <f t="array" ref="J311">_xlfn.XLOOKUP($A311, 'Medical Examinations'!$A:$A, 'Medical Examinations'!I:I, "No Data")</f>
        <v>Overweight</v>
      </c>
      <c r="K311" s="28" t="str">
        <f t="array" ref="K311">_xlfn.XLOOKUP($A311, 'Hospitalisation Details'!$A:$A, 'Hospitalisation Details'!I:I, "No Data")</f>
        <v>tier - 1</v>
      </c>
      <c r="L311" s="28" t="str">
        <f t="array" ref="L311">_xlfn.XLOOKUP($A311, 'Hospitalisation Details'!$A:$A, 'Hospitalisation Details'!J:J, "No Data")</f>
        <v>R1011</v>
      </c>
      <c r="M311" s="28" t="str">
        <f t="array" ref="M311">_xlfn.XLOOKUP($A311, 'Hospitalisation Details'!$A:$A, 'Hospitalisation Details'!E:E, "No Data")</f>
        <v>10/08/86</v>
      </c>
      <c r="N311" s="28">
        <f t="array" ref="N311">_xlfn.XLOOKUP($A311, 'Hospitalisation Details'!$A:$A, 'Hospitalisation Details'!K:K, "No Data")</f>
        <v>36</v>
      </c>
      <c r="O311" s="33">
        <f t="array" ref="O311">_xlfn.XLOOKUP($A311, 'Hospitalisation Details'!$A:$A, 'Hospitalisation Details'!G:G, "No Data")</f>
        <v>30530.5</v>
      </c>
      <c r="P311" s="28" t="str">
        <f t="array" ref="P311">_xlfn.XLOOKUP($A311, 'Hospitalisation Details'!$A:$A, 'Hospitalisation Details'!H:H, "No Data")</f>
        <v>tier - 2</v>
      </c>
    </row>
    <row r="312">
      <c r="A312" s="25" t="s">
        <v>994</v>
      </c>
      <c r="B312" s="28" t="str">
        <f t="array" ref="B312">_xlfn.XLOOKUP($A312, 'Customer Names'!$A:$A, 'Customer Names'!B:B, "No Data")</f>
        <v>Turner</v>
      </c>
      <c r="C312" s="28">
        <f t="array" ref="C312">_xlfn.XLOOKUP($A312, 'Medical Examinations'!$A:$A, 'Medical Examinations'!B:B, "No Data")</f>
        <v>22.37</v>
      </c>
      <c r="D312" s="28">
        <f t="array" ref="D312">_xlfn.XLOOKUP($A312, 'Medical Examinations'!$A:$A, 'Medical Examinations'!C:C, "No Data")</f>
        <v>5.86</v>
      </c>
      <c r="E312" s="28" t="str">
        <f t="array" ref="E312">_xlfn.XLOOKUP($A312, 'Medical Examinations'!$A:$A, 'Medical Examinations'!D:D, "No Data")</f>
        <v>yes</v>
      </c>
      <c r="F312" s="28" t="str">
        <f t="array" ref="F312">_xlfn.XLOOKUP($A312, 'Medical Examinations'!$A:$A, 'Medical Examinations'!E:E, "No Data")</f>
        <v>No</v>
      </c>
      <c r="G312" s="28" t="str">
        <f t="array" ref="G312">_xlfn.XLOOKUP($A312, 'Medical Examinations'!$A:$A, 'Medical Examinations'!F:F, "No Data")</f>
        <v>Yes</v>
      </c>
      <c r="H312" s="28">
        <f t="array" ref="H312">_xlfn.XLOOKUP($A312, 'Medical Examinations'!$A:$A, 'Medical Examinations'!G:G, "No Data")</f>
        <v>1</v>
      </c>
      <c r="I312" s="28" t="str">
        <f t="array" ref="I312">_xlfn.XLOOKUP($A312, 'Medical Examinations'!$A:$A, 'Medical Examinations'!H:H, "No Data")</f>
        <v>yes</v>
      </c>
      <c r="J312" s="28" t="str">
        <f t="array" ref="J312">_xlfn.XLOOKUP($A312, 'Medical Examinations'!$A:$A, 'Medical Examinations'!I:I, "No Data")</f>
        <v>Normal Weight</v>
      </c>
      <c r="K312" s="28" t="str">
        <f t="array" ref="K312">_xlfn.XLOOKUP($A312, 'Hospitalisation Details'!$A:$A, 'Hospitalisation Details'!I:I, "No Data")</f>
        <v>tier - 1</v>
      </c>
      <c r="L312" s="28" t="str">
        <f t="array" ref="L312">_xlfn.XLOOKUP($A312, 'Hospitalisation Details'!$A:$A, 'Hospitalisation Details'!J:J, "No Data")</f>
        <v>R1012</v>
      </c>
      <c r="M312" s="28" t="str">
        <f t="array" ref="M312">_xlfn.XLOOKUP($A312, 'Hospitalisation Details'!$A:$A, 'Hospitalisation Details'!E:E, "No Data")</f>
        <v>03/09/83</v>
      </c>
      <c r="N312" s="28">
        <f t="array" ref="N312">_xlfn.XLOOKUP($A312, 'Hospitalisation Details'!$A:$A, 'Hospitalisation Details'!K:K, "No Data")</f>
        <v>39</v>
      </c>
      <c r="O312" s="33">
        <f t="array" ref="O312">_xlfn.XLOOKUP($A312, 'Hospitalisation Details'!$A:$A, 'Hospitalisation Details'!G:G, "No Data")</f>
        <v>30457.37</v>
      </c>
      <c r="P312" s="28" t="str">
        <f t="array" ref="P312">_xlfn.XLOOKUP($A312, 'Hospitalisation Details'!$A:$A, 'Hospitalisation Details'!H:H, "No Data")</f>
        <v>tier - 2</v>
      </c>
    </row>
    <row r="313">
      <c r="A313" s="25" t="s">
        <v>996</v>
      </c>
      <c r="B313" s="28" t="str">
        <f t="array" ref="B313">_xlfn.XLOOKUP($A313, 'Customer Names'!$A:$A, 'Customer Names'!B:B, "No Data")</f>
        <v>Widmann</v>
      </c>
      <c r="C313" s="28">
        <f t="array" ref="C313">_xlfn.XLOOKUP($A313, 'Medical Examinations'!$A:$A, 'Medical Examinations'!B:B, "No Data")</f>
        <v>39.62</v>
      </c>
      <c r="D313" s="28">
        <f t="array" ref="D313">_xlfn.XLOOKUP($A313, 'Medical Examinations'!$A:$A, 'Medical Examinations'!C:C, "No Data")</f>
        <v>4.28</v>
      </c>
      <c r="E313" s="28" t="str">
        <f t="array" ref="E313">_xlfn.XLOOKUP($A313, 'Medical Examinations'!$A:$A, 'Medical Examinations'!D:D, "No Data")</f>
        <v>No</v>
      </c>
      <c r="F313" s="28" t="str">
        <f t="array" ref="F313">_xlfn.XLOOKUP($A313, 'Medical Examinations'!$A:$A, 'Medical Examinations'!E:E, "No Data")</f>
        <v>No</v>
      </c>
      <c r="G313" s="28" t="str">
        <f t="array" ref="G313">_xlfn.XLOOKUP($A313, 'Medical Examinations'!$A:$A, 'Medical Examinations'!F:F, "No Data")</f>
        <v>No</v>
      </c>
      <c r="H313" s="28">
        <f t="array" ref="H313">_xlfn.XLOOKUP($A313, 'Medical Examinations'!$A:$A, 'Medical Examinations'!G:G, "No Data")</f>
        <v>1</v>
      </c>
      <c r="I313" s="28" t="str">
        <f t="array" ref="I313">_xlfn.XLOOKUP($A313, 'Medical Examinations'!$A:$A, 'Medical Examinations'!H:H, "No Data")</f>
        <v>yes</v>
      </c>
      <c r="J313" s="28" t="str">
        <f t="array" ref="J313">_xlfn.XLOOKUP($A313, 'Medical Examinations'!$A:$A, 'Medical Examinations'!I:I, "No Data")</f>
        <v>Obesity</v>
      </c>
      <c r="K313" s="28" t="str">
        <f t="array" ref="K313">_xlfn.XLOOKUP($A313, 'Hospitalisation Details'!$A:$A, 'Hospitalisation Details'!I:I, "No Data")</f>
        <v>tier - 3</v>
      </c>
      <c r="L313" s="28" t="str">
        <f t="array" ref="L313">_xlfn.XLOOKUP($A313, 'Hospitalisation Details'!$A:$A, 'Hospitalisation Details'!J:J, "No Data")</f>
        <v>R1011</v>
      </c>
      <c r="M313" s="28" t="str">
        <f t="array" ref="M313">_xlfn.XLOOKUP($A313, 'Hospitalisation Details'!$A:$A, 'Hospitalisation Details'!E:E, "No Data")</f>
        <v>28/10/98</v>
      </c>
      <c r="N313" s="28">
        <f t="array" ref="N313">_xlfn.XLOOKUP($A313, 'Hospitalisation Details'!$A:$A, 'Hospitalisation Details'!K:K, "No Data")</f>
        <v>24</v>
      </c>
      <c r="O313" s="33">
        <f t="array" ref="O313">_xlfn.XLOOKUP($A313, 'Hospitalisation Details'!$A:$A, 'Hospitalisation Details'!G:G, "No Data")</f>
        <v>30422.03</v>
      </c>
      <c r="P313" s="28" t="str">
        <f t="array" ref="P313">_xlfn.XLOOKUP($A313, 'Hospitalisation Details'!$A:$A, 'Hospitalisation Details'!H:H, "No Data")</f>
        <v>tier - 2</v>
      </c>
    </row>
    <row r="314">
      <c r="A314" s="25" t="s">
        <v>999</v>
      </c>
      <c r="B314" s="28" t="str">
        <f t="array" ref="B314">_xlfn.XLOOKUP($A314, 'Customer Names'!$A:$A, 'Customer Names'!B:B, "No Data")</f>
        <v>Tunney</v>
      </c>
      <c r="C314" s="28">
        <f t="array" ref="C314">_xlfn.XLOOKUP($A314, 'Medical Examinations'!$A:$A, 'Medical Examinations'!B:B, "No Data")</f>
        <v>18.33</v>
      </c>
      <c r="D314" s="28">
        <f t="array" ref="D314">_xlfn.XLOOKUP($A314, 'Medical Examinations'!$A:$A, 'Medical Examinations'!C:C, "No Data")</f>
        <v>4.16</v>
      </c>
      <c r="E314" s="28" t="str">
        <f t="array" ref="E314">_xlfn.XLOOKUP($A314, 'Medical Examinations'!$A:$A, 'Medical Examinations'!D:D, "No Data")</f>
        <v>yes</v>
      </c>
      <c r="F314" s="28" t="str">
        <f t="array" ref="F314">_xlfn.XLOOKUP($A314, 'Medical Examinations'!$A:$A, 'Medical Examinations'!E:E, "No Data")</f>
        <v>No</v>
      </c>
      <c r="G314" s="28" t="str">
        <f t="array" ref="G314">_xlfn.XLOOKUP($A314, 'Medical Examinations'!$A:$A, 'Medical Examinations'!F:F, "No Data")</f>
        <v>No</v>
      </c>
      <c r="H314" s="28">
        <f t="array" ref="H314">_xlfn.XLOOKUP($A314, 'Medical Examinations'!$A:$A, 'Medical Examinations'!G:G, "No Data")</f>
        <v>0</v>
      </c>
      <c r="I314" s="28" t="str">
        <f t="array" ref="I314">_xlfn.XLOOKUP($A314, 'Medical Examinations'!$A:$A, 'Medical Examinations'!H:H, "No Data")</f>
        <v>yes</v>
      </c>
      <c r="J314" s="28" t="str">
        <f t="array" ref="J314">_xlfn.XLOOKUP($A314, 'Medical Examinations'!$A:$A, 'Medical Examinations'!I:I, "No Data")</f>
        <v>Underweight</v>
      </c>
      <c r="K314" s="28" t="str">
        <f t="array" ref="K314">_xlfn.XLOOKUP($A314, 'Hospitalisation Details'!$A:$A, 'Hospitalisation Details'!I:I, "No Data")</f>
        <v>tier - 3</v>
      </c>
      <c r="L314" s="28" t="str">
        <f t="array" ref="L314">_xlfn.XLOOKUP($A314, 'Hospitalisation Details'!$A:$A, 'Hospitalisation Details'!J:J, "No Data")</f>
        <v>R1012</v>
      </c>
      <c r="M314" s="28" t="str">
        <f t="array" ref="M314">_xlfn.XLOOKUP($A314, 'Hospitalisation Details'!$A:$A, 'Hospitalisation Details'!E:E, "No Data")</f>
        <v>03/09/76</v>
      </c>
      <c r="N314" s="28">
        <f t="array" ref="N314">_xlfn.XLOOKUP($A314, 'Hospitalisation Details'!$A:$A, 'Hospitalisation Details'!K:K, "No Data")</f>
        <v>46</v>
      </c>
      <c r="O314" s="33">
        <f t="array" ref="O314">_xlfn.XLOOKUP($A314, 'Hospitalisation Details'!$A:$A, 'Hospitalisation Details'!G:G, "No Data")</f>
        <v>30409.53</v>
      </c>
      <c r="P314" s="28" t="str">
        <f t="array" ref="P314">_xlfn.XLOOKUP($A314, 'Hospitalisation Details'!$A:$A, 'Hospitalisation Details'!H:H, "No Data")</f>
        <v>tier - 2</v>
      </c>
    </row>
    <row r="315">
      <c r="A315" s="25" t="s">
        <v>1003</v>
      </c>
      <c r="B315" s="28" t="str">
        <f t="array" ref="B315">_xlfn.XLOOKUP($A315, 'Customer Names'!$A:$A, 'Customer Names'!B:B, "No Data")</f>
        <v>San Juan</v>
      </c>
      <c r="C315" s="28">
        <f t="array" ref="C315">_xlfn.XLOOKUP($A315, 'Medical Examinations'!$A:$A, 'Medical Examinations'!B:B, "No Data")</f>
        <v>17.11</v>
      </c>
      <c r="D315" s="28">
        <f t="array" ref="D315">_xlfn.XLOOKUP($A315, 'Medical Examinations'!$A:$A, 'Medical Examinations'!C:C, "No Data")</f>
        <v>4.98</v>
      </c>
      <c r="E315" s="28" t="str">
        <f t="array" ref="E315">_xlfn.XLOOKUP($A315, 'Medical Examinations'!$A:$A, 'Medical Examinations'!D:D, "No Data")</f>
        <v>yes</v>
      </c>
      <c r="F315" s="28" t="str">
        <f t="array" ref="F315">_xlfn.XLOOKUP($A315, 'Medical Examinations'!$A:$A, 'Medical Examinations'!E:E, "No Data")</f>
        <v>No</v>
      </c>
      <c r="G315" s="28" t="str">
        <f t="array" ref="G315">_xlfn.XLOOKUP($A315, 'Medical Examinations'!$A:$A, 'Medical Examinations'!F:F, "No Data")</f>
        <v>Yes</v>
      </c>
      <c r="H315" s="28">
        <f t="array" ref="H315">_xlfn.XLOOKUP($A315, 'Medical Examinations'!$A:$A, 'Medical Examinations'!G:G, "No Data")</f>
        <v>1</v>
      </c>
      <c r="I315" s="28" t="str">
        <f t="array" ref="I315">_xlfn.XLOOKUP($A315, 'Medical Examinations'!$A:$A, 'Medical Examinations'!H:H, "No Data")</f>
        <v>yes</v>
      </c>
      <c r="J315" s="28" t="str">
        <f t="array" ref="J315">_xlfn.XLOOKUP($A315, 'Medical Examinations'!$A:$A, 'Medical Examinations'!I:I, "No Data")</f>
        <v>Underweight</v>
      </c>
      <c r="K315" s="28" t="str">
        <f t="array" ref="K315">_xlfn.XLOOKUP($A315, 'Hospitalisation Details'!$A:$A, 'Hospitalisation Details'!I:I, "No Data")</f>
        <v>tier - 2</v>
      </c>
      <c r="L315" s="28" t="str">
        <f t="array" ref="L315">_xlfn.XLOOKUP($A315, 'Hospitalisation Details'!$A:$A, 'Hospitalisation Details'!J:J, "No Data")</f>
        <v>R1011</v>
      </c>
      <c r="M315" s="28" t="str">
        <f t="array" ref="M315">_xlfn.XLOOKUP($A315, 'Hospitalisation Details'!$A:$A, 'Hospitalisation Details'!E:E, "No Data")</f>
        <v>30/07/69</v>
      </c>
      <c r="N315" s="28">
        <f t="array" ref="N315">_xlfn.XLOOKUP($A315, 'Hospitalisation Details'!$A:$A, 'Hospitalisation Details'!K:K, "No Data")</f>
        <v>53</v>
      </c>
      <c r="O315" s="33">
        <f t="array" ref="O315">_xlfn.XLOOKUP($A315, 'Hospitalisation Details'!$A:$A, 'Hospitalisation Details'!G:G, "No Data")</f>
        <v>30366.93</v>
      </c>
      <c r="P315" s="28" t="str">
        <f t="array" ref="P315">_xlfn.XLOOKUP($A315, 'Hospitalisation Details'!$A:$A, 'Hospitalisation Details'!H:H, "No Data")</f>
        <v>tier - 2</v>
      </c>
    </row>
    <row r="316">
      <c r="A316" s="25" t="s">
        <v>1006</v>
      </c>
      <c r="B316" s="28" t="str">
        <f t="array" ref="B316">_xlfn.XLOOKUP($A316, 'Customer Names'!$A:$A, 'Customer Names'!B:B, "No Data")</f>
        <v>Croll</v>
      </c>
      <c r="C316" s="28">
        <f t="array" ref="C316">_xlfn.XLOOKUP($A316, 'Medical Examinations'!$A:$A, 'Medical Examinations'!B:B, "No Data")</f>
        <v>43.5</v>
      </c>
      <c r="D316" s="28">
        <f t="array" ref="D316">_xlfn.XLOOKUP($A316, 'Medical Examinations'!$A:$A, 'Medical Examinations'!C:C, "No Data")</f>
        <v>6.38</v>
      </c>
      <c r="E316" s="28" t="str">
        <f t="array" ref="E316">_xlfn.XLOOKUP($A316, 'Medical Examinations'!$A:$A, 'Medical Examinations'!D:D, "No Data")</f>
        <v>No</v>
      </c>
      <c r="F316" s="28" t="str">
        <f t="array" ref="F316">_xlfn.XLOOKUP($A316, 'Medical Examinations'!$A:$A, 'Medical Examinations'!E:E, "No Data")</f>
        <v>yes</v>
      </c>
      <c r="G316" s="28" t="str">
        <f t="array" ref="G316">_xlfn.XLOOKUP($A316, 'Medical Examinations'!$A:$A, 'Medical Examinations'!F:F, "No Data")</f>
        <v>No</v>
      </c>
      <c r="H316" s="28">
        <f t="array" ref="H316">_xlfn.XLOOKUP($A316, 'Medical Examinations'!$A:$A, 'Medical Examinations'!G:G, "No Data")</f>
        <v>1</v>
      </c>
      <c r="I316" s="28" t="str">
        <f t="array" ref="I316">_xlfn.XLOOKUP($A316, 'Medical Examinations'!$A:$A, 'Medical Examinations'!H:H, "No Data")</f>
        <v>yes</v>
      </c>
      <c r="J316" s="28" t="str">
        <f t="array" ref="J316">_xlfn.XLOOKUP($A316, 'Medical Examinations'!$A:$A, 'Medical Examinations'!I:I, "No Data")</f>
        <v>Obesity</v>
      </c>
      <c r="K316" s="28" t="str">
        <f t="array" ref="K316">_xlfn.XLOOKUP($A316, 'Hospitalisation Details'!$A:$A, 'Hospitalisation Details'!I:I, "No Data")</f>
        <v>tier - 2</v>
      </c>
      <c r="L316" s="28" t="str">
        <f t="array" ref="L316">_xlfn.XLOOKUP($A316, 'Hospitalisation Details'!$A:$A, 'Hospitalisation Details'!J:J, "No Data")</f>
        <v>R1011</v>
      </c>
      <c r="M316" s="28" t="str">
        <f t="array" ref="M316">_xlfn.XLOOKUP($A316, 'Hospitalisation Details'!$A:$A, 'Hospitalisation Details'!E:E, "No Data")</f>
        <v>01/06/04</v>
      </c>
      <c r="N316" s="28">
        <f t="array" ref="N316">_xlfn.XLOOKUP($A316, 'Hospitalisation Details'!$A:$A, 'Hospitalisation Details'!K:K, "No Data")</f>
        <v>19</v>
      </c>
      <c r="O316" s="33">
        <f t="array" ref="O316">_xlfn.XLOOKUP($A316, 'Hospitalisation Details'!$A:$A, 'Hospitalisation Details'!G:G, "No Data")</f>
        <v>30328.27</v>
      </c>
      <c r="P316" s="28" t="str">
        <f t="array" ref="P316">_xlfn.XLOOKUP($A316, 'Hospitalisation Details'!$A:$A, 'Hospitalisation Details'!H:H, "No Data")</f>
        <v>tier - 2</v>
      </c>
    </row>
    <row r="317">
      <c r="A317" s="25" t="s">
        <v>1009</v>
      </c>
      <c r="B317" s="28" t="str">
        <f t="array" ref="B317">_xlfn.XLOOKUP($A317, 'Customer Names'!$A:$A, 'Customer Names'!B:B, "No Data")</f>
        <v>Rolfes</v>
      </c>
      <c r="C317" s="28">
        <f t="array" ref="C317">_xlfn.XLOOKUP($A317, 'Medical Examinations'!$A:$A, 'Medical Examinations'!B:B, "No Data")</f>
        <v>25.365</v>
      </c>
      <c r="D317" s="28">
        <f t="array" ref="D317">_xlfn.XLOOKUP($A317, 'Medical Examinations'!$A:$A, 'Medical Examinations'!C:C, "No Data")</f>
        <v>5.19</v>
      </c>
      <c r="E317" s="28" t="str">
        <f t="array" ref="E317">_xlfn.XLOOKUP($A317, 'Medical Examinations'!$A:$A, 'Medical Examinations'!D:D, "No Data")</f>
        <v>No</v>
      </c>
      <c r="F317" s="28" t="str">
        <f t="array" ref="F317">_xlfn.XLOOKUP($A317, 'Medical Examinations'!$A:$A, 'Medical Examinations'!E:E, "No Data")</f>
        <v>No</v>
      </c>
      <c r="G317" s="28" t="str">
        <f t="array" ref="G317">_xlfn.XLOOKUP($A317, 'Medical Examinations'!$A:$A, 'Medical Examinations'!F:F, "No Data")</f>
        <v>No</v>
      </c>
      <c r="H317" s="28">
        <f t="array" ref="H317">_xlfn.XLOOKUP($A317, 'Medical Examinations'!$A:$A, 'Medical Examinations'!G:G, "No Data")</f>
        <v>2</v>
      </c>
      <c r="I317" s="28" t="str">
        <f t="array" ref="I317">_xlfn.XLOOKUP($A317, 'Medical Examinations'!$A:$A, 'Medical Examinations'!H:H, "No Data")</f>
        <v>No</v>
      </c>
      <c r="J317" s="28" t="str">
        <f t="array" ref="J317">_xlfn.XLOOKUP($A317, 'Medical Examinations'!$A:$A, 'Medical Examinations'!I:I, "No Data")</f>
        <v>Overweight</v>
      </c>
      <c r="K317" s="28" t="str">
        <f t="array" ref="K317">_xlfn.XLOOKUP($A317, 'Hospitalisation Details'!$A:$A, 'Hospitalisation Details'!I:I, "No Data")</f>
        <v>tier - 1</v>
      </c>
      <c r="L317" s="28" t="str">
        <f t="array" ref="L317">_xlfn.XLOOKUP($A317, 'Hospitalisation Details'!$A:$A, 'Hospitalisation Details'!J:J, "No Data")</f>
        <v>R1012</v>
      </c>
      <c r="M317" s="28" t="str">
        <f t="array" ref="M317">_xlfn.XLOOKUP($A317, 'Hospitalisation Details'!$A:$A, 'Hospitalisation Details'!E:E, "No Data")</f>
        <v>24/07/72</v>
      </c>
      <c r="N317" s="28">
        <f t="array" ref="N317">_xlfn.XLOOKUP($A317, 'Hospitalisation Details'!$A:$A, 'Hospitalisation Details'!K:K, "No Data")</f>
        <v>50</v>
      </c>
      <c r="O317" s="33">
        <f t="array" ref="O317">_xlfn.XLOOKUP($A317, 'Hospitalisation Details'!$A:$A, 'Hospitalisation Details'!G:G, "No Data")</f>
        <v>30284.64</v>
      </c>
      <c r="P317" s="28" t="str">
        <f t="array" ref="P317">_xlfn.XLOOKUP($A317, 'Hospitalisation Details'!$A:$A, 'Hospitalisation Details'!H:H, "No Data")</f>
        <v>tier - 1</v>
      </c>
    </row>
    <row r="318">
      <c r="A318" s="25" t="s">
        <v>1012</v>
      </c>
      <c r="B318" s="28" t="str">
        <f t="array" ref="B318">_xlfn.XLOOKUP($A318, 'Customer Names'!$A:$A, 'Customer Names'!B:B, "No Data")</f>
        <v>Hinkle</v>
      </c>
      <c r="C318" s="28">
        <f t="array" ref="C318">_xlfn.XLOOKUP($A318, 'Medical Examinations'!$A:$A, 'Medical Examinations'!B:B, "No Data")</f>
        <v>28.595</v>
      </c>
      <c r="D318" s="28">
        <f t="array" ref="D318">_xlfn.XLOOKUP($A318, 'Medical Examinations'!$A:$A, 'Medical Examinations'!C:C, "No Data")</f>
        <v>10.21</v>
      </c>
      <c r="E318" s="28" t="str">
        <f t="array" ref="E318">_xlfn.XLOOKUP($A318, 'Medical Examinations'!$A:$A, 'Medical Examinations'!D:D, "No Data")</f>
        <v>No</v>
      </c>
      <c r="F318" s="28" t="str">
        <f t="array" ref="F318">_xlfn.XLOOKUP($A318, 'Medical Examinations'!$A:$A, 'Medical Examinations'!E:E, "No Data")</f>
        <v>No</v>
      </c>
      <c r="G318" s="28" t="str">
        <f t="array" ref="G318">_xlfn.XLOOKUP($A318, 'Medical Examinations'!$A:$A, 'Medical Examinations'!F:F, "No Data")</f>
        <v>No</v>
      </c>
      <c r="H318" s="28">
        <f t="array" ref="H318">_xlfn.XLOOKUP($A318, 'Medical Examinations'!$A:$A, 'Medical Examinations'!G:G, "No Data")</f>
        <v>0</v>
      </c>
      <c r="I318" s="28" t="str">
        <f t="array" ref="I318">_xlfn.XLOOKUP($A318, 'Medical Examinations'!$A:$A, 'Medical Examinations'!H:H, "No Data")</f>
        <v>No</v>
      </c>
      <c r="J318" s="28" t="str">
        <f t="array" ref="J318">_xlfn.XLOOKUP($A318, 'Medical Examinations'!$A:$A, 'Medical Examinations'!I:I, "No Data")</f>
        <v>Overweight</v>
      </c>
      <c r="K318" s="28" t="str">
        <f t="array" ref="K318">_xlfn.XLOOKUP($A318, 'Hospitalisation Details'!$A:$A, 'Hospitalisation Details'!I:I, "No Data")</f>
        <v>tier - 1</v>
      </c>
      <c r="L318" s="28" t="str">
        <f t="array" ref="L318">_xlfn.XLOOKUP($A318, 'Hospitalisation Details'!$A:$A, 'Hospitalisation Details'!J:J, "No Data")</f>
        <v>R1014</v>
      </c>
      <c r="M318" s="28" t="str">
        <f t="array" ref="M318">_xlfn.XLOOKUP($A318, 'Hospitalisation Details'!$A:$A, 'Hospitalisation Details'!E:E, "No Data")</f>
        <v>15/09/62</v>
      </c>
      <c r="N318" s="28">
        <f t="array" ref="N318">_xlfn.XLOOKUP($A318, 'Hospitalisation Details'!$A:$A, 'Hospitalisation Details'!K:K, "No Data")</f>
        <v>60</v>
      </c>
      <c r="O318" s="33">
        <f t="array" ref="O318">_xlfn.XLOOKUP($A318, 'Hospitalisation Details'!$A:$A, 'Hospitalisation Details'!G:G, "No Data")</f>
        <v>30260</v>
      </c>
      <c r="P318" s="28" t="str">
        <f t="array" ref="P318">_xlfn.XLOOKUP($A318, 'Hospitalisation Details'!$A:$A, 'Hospitalisation Details'!H:H, "No Data")</f>
        <v>tier - 1</v>
      </c>
    </row>
    <row r="319">
      <c r="A319" s="25" t="s">
        <v>1014</v>
      </c>
      <c r="B319" s="28" t="str">
        <f t="array" ref="B319">_xlfn.XLOOKUP($A319, 'Customer Names'!$A:$A, 'Customer Names'!B:B, "No Data")</f>
        <v>Leuchanka</v>
      </c>
      <c r="C319" s="28">
        <f t="array" ref="C319">_xlfn.XLOOKUP($A319, 'Medical Examinations'!$A:$A, 'Medical Examinations'!B:B, "No Data")</f>
        <v>29.83</v>
      </c>
      <c r="D319" s="28">
        <f t="array" ref="D319">_xlfn.XLOOKUP($A319, 'Medical Examinations'!$A:$A, 'Medical Examinations'!C:C, "No Data")</f>
        <v>9.7</v>
      </c>
      <c r="E319" s="28" t="str">
        <f t="array" ref="E319">_xlfn.XLOOKUP($A319, 'Medical Examinations'!$A:$A, 'Medical Examinations'!D:D, "No Data")</f>
        <v>yes</v>
      </c>
      <c r="F319" s="28" t="str">
        <f t="array" ref="F319">_xlfn.XLOOKUP($A319, 'Medical Examinations'!$A:$A, 'Medical Examinations'!E:E, "No Data")</f>
        <v>No</v>
      </c>
      <c r="G319" s="28" t="str">
        <f t="array" ref="G319">_xlfn.XLOOKUP($A319, 'Medical Examinations'!$A:$A, 'Medical Examinations'!F:F, "No Data")</f>
        <v>Yes</v>
      </c>
      <c r="H319" s="28">
        <f t="array" ref="H319">_xlfn.XLOOKUP($A319, 'Medical Examinations'!$A:$A, 'Medical Examinations'!G:G, "No Data")</f>
        <v>1</v>
      </c>
      <c r="I319" s="28" t="str">
        <f t="array" ref="I319">_xlfn.XLOOKUP($A319, 'Medical Examinations'!$A:$A, 'Medical Examinations'!H:H, "No Data")</f>
        <v>yes</v>
      </c>
      <c r="J319" s="28" t="str">
        <f t="array" ref="J319">_xlfn.XLOOKUP($A319, 'Medical Examinations'!$A:$A, 'Medical Examinations'!I:I, "No Data")</f>
        <v>Overweight</v>
      </c>
      <c r="K319" s="28" t="str">
        <f t="array" ref="K319">_xlfn.XLOOKUP($A319, 'Hospitalisation Details'!$A:$A, 'Hospitalisation Details'!I:I, "No Data")</f>
        <v>tier - 1</v>
      </c>
      <c r="L319" s="28" t="str">
        <f t="array" ref="L319">_xlfn.XLOOKUP($A319, 'Hospitalisation Details'!$A:$A, 'Hospitalisation Details'!J:J, "No Data")</f>
        <v>R1014</v>
      </c>
      <c r="M319" s="28" t="str">
        <f t="array" ref="M319">_xlfn.XLOOKUP($A319, 'Hospitalisation Details'!$A:$A, 'Hospitalisation Details'!E:E, "No Data")</f>
        <v>13/09/63</v>
      </c>
      <c r="N319" s="28">
        <f t="array" ref="N319">_xlfn.XLOOKUP($A319, 'Hospitalisation Details'!$A:$A, 'Hospitalisation Details'!K:K, "No Data")</f>
        <v>59</v>
      </c>
      <c r="O319" s="33">
        <f t="array" ref="O319">_xlfn.XLOOKUP($A319, 'Hospitalisation Details'!$A:$A, 'Hospitalisation Details'!G:G, "No Data")</f>
        <v>30184.94</v>
      </c>
      <c r="P319" s="28" t="str">
        <f t="array" ref="P319">_xlfn.XLOOKUP($A319, 'Hospitalisation Details'!$A:$A, 'Hospitalisation Details'!H:H, "No Data")</f>
        <v>tier - 1</v>
      </c>
    </row>
    <row r="320">
      <c r="A320" s="25" t="s">
        <v>1017</v>
      </c>
      <c r="B320" s="28" t="str">
        <f t="array" ref="B320">_xlfn.XLOOKUP($A320, 'Customer Names'!$A:$A, 'Customer Names'!B:B, "No Data")</f>
        <v>Ayr</v>
      </c>
      <c r="C320" s="28">
        <f t="array" ref="C320">_xlfn.XLOOKUP($A320, 'Medical Examinations'!$A:$A, 'Medical Examinations'!B:B, "No Data")</f>
        <v>24.7</v>
      </c>
      <c r="D320" s="28">
        <f t="array" ref="D320">_xlfn.XLOOKUP($A320, 'Medical Examinations'!$A:$A, 'Medical Examinations'!C:C, "No Data")</f>
        <v>10.25</v>
      </c>
      <c r="E320" s="28" t="str">
        <f t="array" ref="E320">_xlfn.XLOOKUP($A320, 'Medical Examinations'!$A:$A, 'Medical Examinations'!D:D, "No Data")</f>
        <v>No</v>
      </c>
      <c r="F320" s="28" t="str">
        <f t="array" ref="F320">_xlfn.XLOOKUP($A320, 'Medical Examinations'!$A:$A, 'Medical Examinations'!E:E, "No Data")</f>
        <v>No</v>
      </c>
      <c r="G320" s="28" t="str">
        <f t="array" ref="G320">_xlfn.XLOOKUP($A320, 'Medical Examinations'!$A:$A, 'Medical Examinations'!F:F, "No Data")</f>
        <v>No</v>
      </c>
      <c r="H320" s="28">
        <f t="array" ref="H320">_xlfn.XLOOKUP($A320, 'Medical Examinations'!$A:$A, 'Medical Examinations'!G:G, "No Data")</f>
        <v>3</v>
      </c>
      <c r="I320" s="28" t="str">
        <f t="array" ref="I320">_xlfn.XLOOKUP($A320, 'Medical Examinations'!$A:$A, 'Medical Examinations'!H:H, "No Data")</f>
        <v>No</v>
      </c>
      <c r="J320" s="28" t="str">
        <f t="array" ref="J320">_xlfn.XLOOKUP($A320, 'Medical Examinations'!$A:$A, 'Medical Examinations'!I:I, "No Data")</f>
        <v>Normal Weight</v>
      </c>
      <c r="K320" s="28" t="str">
        <f t="array" ref="K320">_xlfn.XLOOKUP($A320, 'Hospitalisation Details'!$A:$A, 'Hospitalisation Details'!I:I, "No Data")</f>
        <v>tier - 3</v>
      </c>
      <c r="L320" s="28" t="str">
        <f t="array" ref="L320">_xlfn.XLOOKUP($A320, 'Hospitalisation Details'!$A:$A, 'Hospitalisation Details'!J:J, "No Data")</f>
        <v>R1012</v>
      </c>
      <c r="M320" s="28" t="str">
        <f t="array" ref="M320">_xlfn.XLOOKUP($A320, 'Hospitalisation Details'!$A:$A, 'Hospitalisation Details'!E:E, "No Data")</f>
        <v>11/08/58</v>
      </c>
      <c r="N320" s="28">
        <f t="array" ref="N320">_xlfn.XLOOKUP($A320, 'Hospitalisation Details'!$A:$A, 'Hospitalisation Details'!K:K, "No Data")</f>
        <v>64</v>
      </c>
      <c r="O320" s="33">
        <f t="array" ref="O320">_xlfn.XLOOKUP($A320, 'Hospitalisation Details'!$A:$A, 'Hospitalisation Details'!G:G, "No Data")</f>
        <v>30166.62</v>
      </c>
      <c r="P320" s="28" t="str">
        <f t="array" ref="P320">_xlfn.XLOOKUP($A320, 'Hospitalisation Details'!$A:$A, 'Hospitalisation Details'!H:H, "No Data")</f>
        <v>tier - 1</v>
      </c>
    </row>
    <row r="321">
      <c r="A321" s="25" t="s">
        <v>1021</v>
      </c>
      <c r="B321" s="28" t="str">
        <f t="array" ref="B321">_xlfn.XLOOKUP($A321, 'Customer Names'!$A:$A, 'Customer Names'!B:B, "No Data")</f>
        <v>Siegel</v>
      </c>
      <c r="C321" s="28">
        <f t="array" ref="C321">_xlfn.XLOOKUP($A321, 'Medical Examinations'!$A:$A, 'Medical Examinations'!B:B, "No Data")</f>
        <v>17.94</v>
      </c>
      <c r="D321" s="28">
        <f t="array" ref="D321">_xlfn.XLOOKUP($A321, 'Medical Examinations'!$A:$A, 'Medical Examinations'!C:C, "No Data")</f>
        <v>9.77</v>
      </c>
      <c r="E321" s="28" t="str">
        <f t="array" ref="E321">_xlfn.XLOOKUP($A321, 'Medical Examinations'!$A:$A, 'Medical Examinations'!D:D, "No Data")</f>
        <v>No</v>
      </c>
      <c r="F321" s="28" t="str">
        <f t="array" ref="F321">_xlfn.XLOOKUP($A321, 'Medical Examinations'!$A:$A, 'Medical Examinations'!E:E, "No Data")</f>
        <v>No</v>
      </c>
      <c r="G321" s="28" t="str">
        <f t="array" ref="G321">_xlfn.XLOOKUP($A321, 'Medical Examinations'!$A:$A, 'Medical Examinations'!F:F, "No Data")</f>
        <v>No</v>
      </c>
      <c r="H321" s="28">
        <f t="array" ref="H321">_xlfn.XLOOKUP($A321, 'Medical Examinations'!$A:$A, 'Medical Examinations'!G:G, "No Data")</f>
        <v>0</v>
      </c>
      <c r="I321" s="28" t="str">
        <f t="array" ref="I321">_xlfn.XLOOKUP($A321, 'Medical Examinations'!$A:$A, 'Medical Examinations'!H:H, "No Data")</f>
        <v>yes</v>
      </c>
      <c r="J321" s="28" t="str">
        <f t="array" ref="J321">_xlfn.XLOOKUP($A321, 'Medical Examinations'!$A:$A, 'Medical Examinations'!I:I, "No Data")</f>
        <v>Underweight</v>
      </c>
      <c r="K321" s="28" t="str">
        <f t="array" ref="K321">_xlfn.XLOOKUP($A321, 'Hospitalisation Details'!$A:$A, 'Hospitalisation Details'!I:I, "No Data")</f>
        <v>tier - 3</v>
      </c>
      <c r="L321" s="28" t="str">
        <f t="array" ref="L321">_xlfn.XLOOKUP($A321, 'Hospitalisation Details'!$A:$A, 'Hospitalisation Details'!J:J, "No Data")</f>
        <v>R1011</v>
      </c>
      <c r="M321" s="28" t="str">
        <f t="array" ref="M321">_xlfn.XLOOKUP($A321, 'Hospitalisation Details'!$A:$A, 'Hospitalisation Details'!E:E, "No Data")</f>
        <v>25/12/71</v>
      </c>
      <c r="N321" s="28">
        <f t="array" ref="N321">_xlfn.XLOOKUP($A321, 'Hospitalisation Details'!$A:$A, 'Hospitalisation Details'!K:K, "No Data")</f>
        <v>51</v>
      </c>
      <c r="O321" s="33">
        <f t="array" ref="O321">_xlfn.XLOOKUP($A321, 'Hospitalisation Details'!$A:$A, 'Hospitalisation Details'!G:G, "No Data")</f>
        <v>30134.75</v>
      </c>
      <c r="P321" s="28" t="str">
        <f t="array" ref="P321">_xlfn.XLOOKUP($A321, 'Hospitalisation Details'!$A:$A, 'Hospitalisation Details'!H:H, "No Data")</f>
        <v>tier - 2</v>
      </c>
    </row>
    <row r="322">
      <c r="A322" s="25" t="s">
        <v>1024</v>
      </c>
      <c r="B322" s="28" t="str">
        <f t="array" ref="B322">_xlfn.XLOOKUP($A322, 'Customer Names'!$A:$A, 'Customer Names'!B:B, "No Data")</f>
        <v>Penrose</v>
      </c>
      <c r="C322" s="28">
        <f t="array" ref="C322">_xlfn.XLOOKUP($A322, 'Medical Examinations'!$A:$A, 'Medical Examinations'!B:B, "No Data")</f>
        <v>21.08</v>
      </c>
      <c r="D322" s="28">
        <f t="array" ref="D322">_xlfn.XLOOKUP($A322, 'Medical Examinations'!$A:$A, 'Medical Examinations'!C:C, "No Data")</f>
        <v>4.83</v>
      </c>
      <c r="E322" s="28" t="str">
        <f t="array" ref="E322">_xlfn.XLOOKUP($A322, 'Medical Examinations'!$A:$A, 'Medical Examinations'!D:D, "No Data")</f>
        <v>No</v>
      </c>
      <c r="F322" s="28" t="str">
        <f t="array" ref="F322">_xlfn.XLOOKUP($A322, 'Medical Examinations'!$A:$A, 'Medical Examinations'!E:E, "No Data")</f>
        <v>No</v>
      </c>
      <c r="G322" s="28" t="str">
        <f t="array" ref="G322">_xlfn.XLOOKUP($A322, 'Medical Examinations'!$A:$A, 'Medical Examinations'!F:F, "No Data")</f>
        <v>Yes</v>
      </c>
      <c r="H322" s="28">
        <f t="array" ref="H322">_xlfn.XLOOKUP($A322, 'Medical Examinations'!$A:$A, 'Medical Examinations'!G:G, "No Data")</f>
        <v>1</v>
      </c>
      <c r="I322" s="28" t="str">
        <f t="array" ref="I322">_xlfn.XLOOKUP($A322, 'Medical Examinations'!$A:$A, 'Medical Examinations'!H:H, "No Data")</f>
        <v>yes</v>
      </c>
      <c r="J322" s="28" t="str">
        <f t="array" ref="J322">_xlfn.XLOOKUP($A322, 'Medical Examinations'!$A:$A, 'Medical Examinations'!I:I, "No Data")</f>
        <v>Normal Weight</v>
      </c>
      <c r="K322" s="28" t="str">
        <f t="array" ref="K322">_xlfn.XLOOKUP($A322, 'Hospitalisation Details'!$A:$A, 'Hospitalisation Details'!I:I, "No Data")</f>
        <v>tier - 3</v>
      </c>
      <c r="L322" s="28" t="str">
        <f t="array" ref="L322">_xlfn.XLOOKUP($A322, 'Hospitalisation Details'!$A:$A, 'Hospitalisation Details'!J:J, "No Data")</f>
        <v>R1011</v>
      </c>
      <c r="M322" s="28" t="str">
        <f t="array" ref="M322">_xlfn.XLOOKUP($A322, 'Hospitalisation Details'!$A:$A, 'Hospitalisation Details'!E:E, "No Data")</f>
        <v>02/09/79</v>
      </c>
      <c r="N322" s="28">
        <f t="array" ref="N322">_xlfn.XLOOKUP($A322, 'Hospitalisation Details'!$A:$A, 'Hospitalisation Details'!K:K, "No Data")</f>
        <v>43</v>
      </c>
      <c r="O322" s="33">
        <f t="array" ref="O322">_xlfn.XLOOKUP($A322, 'Hospitalisation Details'!$A:$A, 'Hospitalisation Details'!G:G, "No Data")</f>
        <v>30095.97</v>
      </c>
      <c r="P322" s="28" t="str">
        <f t="array" ref="P322">_xlfn.XLOOKUP($A322, 'Hospitalisation Details'!$A:$A, 'Hospitalisation Details'!H:H, "No Data")</f>
        <v>tier - 2</v>
      </c>
    </row>
    <row r="323">
      <c r="A323" s="25" t="s">
        <v>1028</v>
      </c>
      <c r="B323" s="28" t="str">
        <f t="array" ref="B323">_xlfn.XLOOKUP($A323, 'Customer Names'!$A:$A, 'Customer Names'!B:B, "No Data")</f>
        <v>Schuler</v>
      </c>
      <c r="C323" s="28">
        <f t="array" ref="C323">_xlfn.XLOOKUP($A323, 'Medical Examinations'!$A:$A, 'Medical Examinations'!B:B, "No Data")</f>
        <v>37.715</v>
      </c>
      <c r="D323" s="28">
        <f t="array" ref="D323">_xlfn.XLOOKUP($A323, 'Medical Examinations'!$A:$A, 'Medical Examinations'!C:C, "No Data")</f>
        <v>10.86</v>
      </c>
      <c r="E323" s="28" t="str">
        <f t="array" ref="E323">_xlfn.XLOOKUP($A323, 'Medical Examinations'!$A:$A, 'Medical Examinations'!D:D, "No Data")</f>
        <v>yes</v>
      </c>
      <c r="F323" s="28" t="str">
        <f t="array" ref="F323">_xlfn.XLOOKUP($A323, 'Medical Examinations'!$A:$A, 'Medical Examinations'!E:E, "No Data")</f>
        <v>No</v>
      </c>
      <c r="G323" s="28" t="str">
        <f t="array" ref="G323">_xlfn.XLOOKUP($A323, 'Medical Examinations'!$A:$A, 'Medical Examinations'!F:F, "No Data")</f>
        <v>No</v>
      </c>
      <c r="H323" s="28">
        <f t="array" ref="H323">_xlfn.XLOOKUP($A323, 'Medical Examinations'!$A:$A, 'Medical Examinations'!G:G, "No Data")</f>
        <v>0</v>
      </c>
      <c r="I323" s="28" t="str">
        <f t="array" ref="I323">_xlfn.XLOOKUP($A323, 'Medical Examinations'!$A:$A, 'Medical Examinations'!H:H, "No Data")</f>
        <v>No</v>
      </c>
      <c r="J323" s="28" t="str">
        <f t="array" ref="J323">_xlfn.XLOOKUP($A323, 'Medical Examinations'!$A:$A, 'Medical Examinations'!I:I, "No Data")</f>
        <v>Obesity</v>
      </c>
      <c r="K323" s="28" t="str">
        <f t="array" ref="K323">_xlfn.XLOOKUP($A323, 'Hospitalisation Details'!$A:$A, 'Hospitalisation Details'!I:I, "No Data")</f>
        <v>tier - 1</v>
      </c>
      <c r="L323" s="28" t="str">
        <f t="array" ref="L323">_xlfn.XLOOKUP($A323, 'Hospitalisation Details'!$A:$A, 'Hospitalisation Details'!J:J, "No Data")</f>
        <v>R1012</v>
      </c>
      <c r="M323" s="28" t="str">
        <f t="array" ref="M323">_xlfn.XLOOKUP($A323, 'Hospitalisation Details'!$A:$A, 'Hospitalisation Details'!E:E, "No Data")</f>
        <v>16/06/67</v>
      </c>
      <c r="N323" s="28">
        <f t="array" ref="N323">_xlfn.XLOOKUP($A323, 'Hospitalisation Details'!$A:$A, 'Hospitalisation Details'!K:K, "No Data")</f>
        <v>55</v>
      </c>
      <c r="O323" s="33">
        <f t="array" ref="O323">_xlfn.XLOOKUP($A323, 'Hospitalisation Details'!$A:$A, 'Hospitalisation Details'!G:G, "No Data")</f>
        <v>30063.58</v>
      </c>
      <c r="P323" s="28" t="str">
        <f t="array" ref="P323">_xlfn.XLOOKUP($A323, 'Hospitalisation Details'!$A:$A, 'Hospitalisation Details'!H:H, "No Data")</f>
        <v>tier - 1</v>
      </c>
    </row>
    <row r="324">
      <c r="A324" s="25" t="s">
        <v>1031</v>
      </c>
      <c r="B324" s="28" t="str">
        <f t="array" ref="B324">_xlfn.XLOOKUP($A324, 'Customer Names'!$A:$A, 'Customer Names'!B:B, "No Data")</f>
        <v>Walker</v>
      </c>
      <c r="C324" s="28">
        <f t="array" ref="C324">_xlfn.XLOOKUP($A324, 'Medical Examinations'!$A:$A, 'Medical Examinations'!B:B, "No Data")</f>
        <v>22.39</v>
      </c>
      <c r="D324" s="28">
        <f t="array" ref="D324">_xlfn.XLOOKUP($A324, 'Medical Examinations'!$A:$A, 'Medical Examinations'!C:C, "No Data")</f>
        <v>9.53</v>
      </c>
      <c r="E324" s="28" t="str">
        <f t="array" ref="E324">_xlfn.XLOOKUP($A324, 'Medical Examinations'!$A:$A, 'Medical Examinations'!D:D, "No Data")</f>
        <v>yes</v>
      </c>
      <c r="F324" s="28" t="str">
        <f t="array" ref="F324">_xlfn.XLOOKUP($A324, 'Medical Examinations'!$A:$A, 'Medical Examinations'!E:E, "No Data")</f>
        <v>No</v>
      </c>
      <c r="G324" s="28" t="str">
        <f t="array" ref="G324">_xlfn.XLOOKUP($A324, 'Medical Examinations'!$A:$A, 'Medical Examinations'!F:F, "No Data")</f>
        <v>No</v>
      </c>
      <c r="H324" s="28">
        <f t="array" ref="H324">_xlfn.XLOOKUP($A324, 'Medical Examinations'!$A:$A, 'Medical Examinations'!G:G, "No Data")</f>
        <v>0</v>
      </c>
      <c r="I324" s="28" t="str">
        <f t="array" ref="I324">_xlfn.XLOOKUP($A324, 'Medical Examinations'!$A:$A, 'Medical Examinations'!H:H, "No Data")</f>
        <v>yes</v>
      </c>
      <c r="J324" s="28" t="str">
        <f t="array" ref="J324">_xlfn.XLOOKUP($A324, 'Medical Examinations'!$A:$A, 'Medical Examinations'!I:I, "No Data")</f>
        <v>Normal Weight</v>
      </c>
      <c r="K324" s="28" t="str">
        <f t="array" ref="K324">_xlfn.XLOOKUP($A324, 'Hospitalisation Details'!$A:$A, 'Hospitalisation Details'!I:I, "No Data")</f>
        <v>tier - 3</v>
      </c>
      <c r="L324" s="28" t="str">
        <f t="array" ref="L324">_xlfn.XLOOKUP($A324, 'Hospitalisation Details'!$A:$A, 'Hospitalisation Details'!J:J, "No Data")</f>
        <v>R1012</v>
      </c>
      <c r="M324" s="28" t="str">
        <f t="array" ref="M324">_xlfn.XLOOKUP($A324, 'Hospitalisation Details'!$A:$A, 'Hospitalisation Details'!E:E, "No Data")</f>
        <v>04/08/81</v>
      </c>
      <c r="N324" s="28">
        <f t="array" ref="N324">_xlfn.XLOOKUP($A324, 'Hospitalisation Details'!$A:$A, 'Hospitalisation Details'!K:K, "No Data")</f>
        <v>41</v>
      </c>
      <c r="O324" s="33">
        <f t="array" ref="O324">_xlfn.XLOOKUP($A324, 'Hospitalisation Details'!$A:$A, 'Hospitalisation Details'!G:G, "No Data")</f>
        <v>30026.87</v>
      </c>
      <c r="P324" s="28" t="str">
        <f t="array" ref="P324">_xlfn.XLOOKUP($A324, 'Hospitalisation Details'!$A:$A, 'Hospitalisation Details'!H:H, "No Data")</f>
        <v>tier - 2</v>
      </c>
    </row>
    <row r="325">
      <c r="A325" s="25" t="s">
        <v>1033</v>
      </c>
      <c r="B325" s="28" t="str">
        <f t="array" ref="B325">_xlfn.XLOOKUP($A325, 'Customer Names'!$A:$A, 'Customer Names'!B:B, "No Data")</f>
        <v>Stange</v>
      </c>
      <c r="C325" s="28">
        <f t="array" ref="C325">_xlfn.XLOOKUP($A325, 'Medical Examinations'!$A:$A, 'Medical Examinations'!B:B, "No Data")</f>
        <v>28.78</v>
      </c>
      <c r="D325" s="28">
        <f t="array" ref="D325">_xlfn.XLOOKUP($A325, 'Medical Examinations'!$A:$A, 'Medical Examinations'!C:C, "No Data")</f>
        <v>5.68</v>
      </c>
      <c r="E325" s="28" t="str">
        <f t="array" ref="E325">_xlfn.XLOOKUP($A325, 'Medical Examinations'!$A:$A, 'Medical Examinations'!D:D, "No Data")</f>
        <v>No</v>
      </c>
      <c r="F325" s="28" t="str">
        <f t="array" ref="F325">_xlfn.XLOOKUP($A325, 'Medical Examinations'!$A:$A, 'Medical Examinations'!E:E, "No Data")</f>
        <v>No</v>
      </c>
      <c r="G325" s="28" t="str">
        <f t="array" ref="G325">_xlfn.XLOOKUP($A325, 'Medical Examinations'!$A:$A, 'Medical Examinations'!F:F, "No Data")</f>
        <v>No</v>
      </c>
      <c r="H325" s="28">
        <f t="array" ref="H325">_xlfn.XLOOKUP($A325, 'Medical Examinations'!$A:$A, 'Medical Examinations'!G:G, "No Data")</f>
        <v>0</v>
      </c>
      <c r="I325" s="28" t="str">
        <f t="array" ref="I325">_xlfn.XLOOKUP($A325, 'Medical Examinations'!$A:$A, 'Medical Examinations'!H:H, "No Data")</f>
        <v>yes</v>
      </c>
      <c r="J325" s="28" t="str">
        <f t="array" ref="J325">_xlfn.XLOOKUP($A325, 'Medical Examinations'!$A:$A, 'Medical Examinations'!I:I, "No Data")</f>
        <v>Overweight</v>
      </c>
      <c r="K325" s="28" t="str">
        <f t="array" ref="K325">_xlfn.XLOOKUP($A325, 'Hospitalisation Details'!$A:$A, 'Hospitalisation Details'!I:I, "No Data")</f>
        <v>tier - 1</v>
      </c>
      <c r="L325" s="28" t="str">
        <f t="array" ref="L325">_xlfn.XLOOKUP($A325, 'Hospitalisation Details'!$A:$A, 'Hospitalisation Details'!J:J, "No Data")</f>
        <v>R1011</v>
      </c>
      <c r="M325" s="28" t="str">
        <f t="array" ref="M325">_xlfn.XLOOKUP($A325, 'Hospitalisation Details'!$A:$A, 'Hospitalisation Details'!E:E, "No Data")</f>
        <v>05/10/91</v>
      </c>
      <c r="N325" s="28">
        <f t="array" ref="N325">_xlfn.XLOOKUP($A325, 'Hospitalisation Details'!$A:$A, 'Hospitalisation Details'!K:K, "No Data")</f>
        <v>31</v>
      </c>
      <c r="O325" s="33">
        <f t="array" ref="O325">_xlfn.XLOOKUP($A325, 'Hospitalisation Details'!$A:$A, 'Hospitalisation Details'!G:G, "No Data")</f>
        <v>29969.67</v>
      </c>
      <c r="P325" s="28" t="str">
        <f t="array" ref="P325">_xlfn.XLOOKUP($A325, 'Hospitalisation Details'!$A:$A, 'Hospitalisation Details'!H:H, "No Data")</f>
        <v>tier - 1</v>
      </c>
    </row>
    <row r="326">
      <c r="A326" s="25" t="s">
        <v>1036</v>
      </c>
      <c r="B326" s="28" t="str">
        <f t="array" ref="B326">_xlfn.XLOOKUP($A326, 'Customer Names'!$A:$A, 'Customer Names'!B:B, "No Data")</f>
        <v>Roy</v>
      </c>
      <c r="C326" s="28">
        <f t="array" ref="C326">_xlfn.XLOOKUP($A326, 'Medical Examinations'!$A:$A, 'Medical Examinations'!B:B, "No Data")</f>
        <v>18.33</v>
      </c>
      <c r="D326" s="28">
        <f t="array" ref="D326">_xlfn.XLOOKUP($A326, 'Medical Examinations'!$A:$A, 'Medical Examinations'!C:C, "No Data")</f>
        <v>5.57</v>
      </c>
      <c r="E326" s="28" t="str">
        <f t="array" ref="E326">_xlfn.XLOOKUP($A326, 'Medical Examinations'!$A:$A, 'Medical Examinations'!D:D, "No Data")</f>
        <v>yes</v>
      </c>
      <c r="F326" s="28" t="str">
        <f t="array" ref="F326">_xlfn.XLOOKUP($A326, 'Medical Examinations'!$A:$A, 'Medical Examinations'!E:E, "No Data")</f>
        <v>No</v>
      </c>
      <c r="G326" s="28" t="str">
        <f t="array" ref="G326">_xlfn.XLOOKUP($A326, 'Medical Examinations'!$A:$A, 'Medical Examinations'!F:F, "No Data")</f>
        <v>No</v>
      </c>
      <c r="H326" s="28">
        <f t="array" ref="H326">_xlfn.XLOOKUP($A326, 'Medical Examinations'!$A:$A, 'Medical Examinations'!G:G, "No Data")</f>
        <v>0</v>
      </c>
      <c r="I326" s="28" t="str">
        <f t="array" ref="I326">_xlfn.XLOOKUP($A326, 'Medical Examinations'!$A:$A, 'Medical Examinations'!H:H, "No Data")</f>
        <v>yes</v>
      </c>
      <c r="J326" s="28" t="str">
        <f t="array" ref="J326">_xlfn.XLOOKUP($A326, 'Medical Examinations'!$A:$A, 'Medical Examinations'!I:I, "No Data")</f>
        <v>Underweight</v>
      </c>
      <c r="K326" s="28" t="str">
        <f t="array" ref="K326">_xlfn.XLOOKUP($A326, 'Hospitalisation Details'!$A:$A, 'Hospitalisation Details'!I:I, "No Data")</f>
        <v>tier - 1</v>
      </c>
      <c r="L326" s="28" t="str">
        <f t="array" ref="L326">_xlfn.XLOOKUP($A326, 'Hospitalisation Details'!$A:$A, 'Hospitalisation Details'!J:J, "No Data")</f>
        <v>R1011</v>
      </c>
      <c r="M326" s="28" t="str">
        <f t="array" ref="M326">_xlfn.XLOOKUP($A326, 'Hospitalisation Details'!$A:$A, 'Hospitalisation Details'!E:E, "No Data")</f>
        <v>12/06/76</v>
      </c>
      <c r="N326" s="28">
        <f t="array" ref="N326">_xlfn.XLOOKUP($A326, 'Hospitalisation Details'!$A:$A, 'Hospitalisation Details'!K:K, "No Data")</f>
        <v>46</v>
      </c>
      <c r="O326" s="33">
        <f t="array" ref="O326">_xlfn.XLOOKUP($A326, 'Hospitalisation Details'!$A:$A, 'Hospitalisation Details'!G:G, "No Data")</f>
        <v>29933.75</v>
      </c>
      <c r="P326" s="28" t="str">
        <f t="array" ref="P326">_xlfn.XLOOKUP($A326, 'Hospitalisation Details'!$A:$A, 'Hospitalisation Details'!H:H, "No Data")</f>
        <v>tier - 1</v>
      </c>
    </row>
    <row r="327">
      <c r="A327" s="25" t="s">
        <v>1039</v>
      </c>
      <c r="B327" s="28" t="str">
        <f t="array" ref="B327">_xlfn.XLOOKUP($A327, 'Customer Names'!$A:$A, 'Customer Names'!B:B, "No Data")</f>
        <v>Potere</v>
      </c>
      <c r="C327" s="28">
        <f t="array" ref="C327">_xlfn.XLOOKUP($A327, 'Medical Examinations'!$A:$A, 'Medical Examinations'!B:B, "No Data")</f>
        <v>26.39</v>
      </c>
      <c r="D327" s="28">
        <f t="array" ref="D327">_xlfn.XLOOKUP($A327, 'Medical Examinations'!$A:$A, 'Medical Examinations'!C:C, "No Data")</f>
        <v>4.58</v>
      </c>
      <c r="E327" s="28" t="str">
        <f t="array" ref="E327">_xlfn.XLOOKUP($A327, 'Medical Examinations'!$A:$A, 'Medical Examinations'!D:D, "No Data")</f>
        <v>yes</v>
      </c>
      <c r="F327" s="28" t="str">
        <f t="array" ref="F327">_xlfn.XLOOKUP($A327, 'Medical Examinations'!$A:$A, 'Medical Examinations'!E:E, "No Data")</f>
        <v>No</v>
      </c>
      <c r="G327" s="28" t="str">
        <f t="array" ref="G327">_xlfn.XLOOKUP($A327, 'Medical Examinations'!$A:$A, 'Medical Examinations'!F:F, "No Data")</f>
        <v>No</v>
      </c>
      <c r="H327" s="28">
        <f t="array" ref="H327">_xlfn.XLOOKUP($A327, 'Medical Examinations'!$A:$A, 'Medical Examinations'!G:G, "No Data")</f>
        <v>1</v>
      </c>
      <c r="I327" s="28" t="str">
        <f t="array" ref="I327">_xlfn.XLOOKUP($A327, 'Medical Examinations'!$A:$A, 'Medical Examinations'!H:H, "No Data")</f>
        <v>yes</v>
      </c>
      <c r="J327" s="28" t="str">
        <f t="array" ref="J327">_xlfn.XLOOKUP($A327, 'Medical Examinations'!$A:$A, 'Medical Examinations'!I:I, "No Data")</f>
        <v>Overweight</v>
      </c>
      <c r="K327" s="28" t="str">
        <f t="array" ref="K327">_xlfn.XLOOKUP($A327, 'Hospitalisation Details'!$A:$A, 'Hospitalisation Details'!I:I, "No Data")</f>
        <v>tier - 1</v>
      </c>
      <c r="L327" s="28" t="str">
        <f t="array" ref="L327">_xlfn.XLOOKUP($A327, 'Hospitalisation Details'!$A:$A, 'Hospitalisation Details'!J:J, "No Data")</f>
        <v>R1011</v>
      </c>
      <c r="M327" s="28" t="str">
        <f t="array" ref="M327">_xlfn.XLOOKUP($A327, 'Hospitalisation Details'!$A:$A, 'Hospitalisation Details'!E:E, "No Data")</f>
        <v>30/12/88</v>
      </c>
      <c r="N327" s="28">
        <f t="array" ref="N327">_xlfn.XLOOKUP($A327, 'Hospitalisation Details'!$A:$A, 'Hospitalisation Details'!K:K, "No Data")</f>
        <v>34</v>
      </c>
      <c r="O327" s="33">
        <f t="array" ref="O327">_xlfn.XLOOKUP($A327, 'Hospitalisation Details'!$A:$A, 'Hospitalisation Details'!G:G, "No Data")</f>
        <v>29929.56</v>
      </c>
      <c r="P327" s="28" t="str">
        <f t="array" ref="P327">_xlfn.XLOOKUP($A327, 'Hospitalisation Details'!$A:$A, 'Hospitalisation Details'!H:H, "No Data")</f>
        <v>tier - 1</v>
      </c>
    </row>
    <row r="328">
      <c r="A328" s="25" t="s">
        <v>1043</v>
      </c>
      <c r="B328" s="28" t="str">
        <f t="array" ref="B328">_xlfn.XLOOKUP($A328, 'Customer Names'!$A:$A, 'Customer Names'!B:B, "No Data")</f>
        <v>Podgurski</v>
      </c>
      <c r="C328" s="28">
        <f t="array" ref="C328">_xlfn.XLOOKUP($A328, 'Medical Examinations'!$A:$A, 'Medical Examinations'!B:B, "No Data")</f>
        <v>19.26</v>
      </c>
      <c r="D328" s="28">
        <f t="array" ref="D328">_xlfn.XLOOKUP($A328, 'Medical Examinations'!$A:$A, 'Medical Examinations'!C:C, "No Data")</f>
        <v>8.96</v>
      </c>
      <c r="E328" s="28" t="str">
        <f t="array" ref="E328">_xlfn.XLOOKUP($A328, 'Medical Examinations'!$A:$A, 'Medical Examinations'!D:D, "No Data")</f>
        <v>yes</v>
      </c>
      <c r="F328" s="28" t="str">
        <f t="array" ref="F328">_xlfn.XLOOKUP($A328, 'Medical Examinations'!$A:$A, 'Medical Examinations'!E:E, "No Data")</f>
        <v>No</v>
      </c>
      <c r="G328" s="28" t="str">
        <f t="array" ref="G328">_xlfn.XLOOKUP($A328, 'Medical Examinations'!$A:$A, 'Medical Examinations'!F:F, "No Data")</f>
        <v>No</v>
      </c>
      <c r="H328" s="28">
        <f t="array" ref="H328">_xlfn.XLOOKUP($A328, 'Medical Examinations'!$A:$A, 'Medical Examinations'!G:G, "No Data")</f>
        <v>1</v>
      </c>
      <c r="I328" s="28" t="str">
        <f t="array" ref="I328">_xlfn.XLOOKUP($A328, 'Medical Examinations'!$A:$A, 'Medical Examinations'!H:H, "No Data")</f>
        <v>yes</v>
      </c>
      <c r="J328" s="28" t="str">
        <f t="array" ref="J328">_xlfn.XLOOKUP($A328, 'Medical Examinations'!$A:$A, 'Medical Examinations'!I:I, "No Data")</f>
        <v>Normal Weight</v>
      </c>
      <c r="K328" s="28" t="str">
        <f t="array" ref="K328">_xlfn.XLOOKUP($A328, 'Hospitalisation Details'!$A:$A, 'Hospitalisation Details'!I:I, "No Data")</f>
        <v>tier - 3</v>
      </c>
      <c r="L328" s="28" t="str">
        <f t="array" ref="L328">_xlfn.XLOOKUP($A328, 'Hospitalisation Details'!$A:$A, 'Hospitalisation Details'!J:J, "No Data")</f>
        <v>R1011</v>
      </c>
      <c r="M328" s="28" t="str">
        <f t="array" ref="M328">_xlfn.XLOOKUP($A328, 'Hospitalisation Details'!$A:$A, 'Hospitalisation Details'!E:E, "No Data")</f>
        <v>19/08/75</v>
      </c>
      <c r="N328" s="28">
        <f t="array" ref="N328">_xlfn.XLOOKUP($A328, 'Hospitalisation Details'!$A:$A, 'Hospitalisation Details'!K:K, "No Data")</f>
        <v>47</v>
      </c>
      <c r="O328" s="33">
        <f t="array" ref="O328">_xlfn.XLOOKUP($A328, 'Hospitalisation Details'!$A:$A, 'Hospitalisation Details'!G:G, "No Data")</f>
        <v>29899.25</v>
      </c>
      <c r="P328" s="28" t="str">
        <f t="array" ref="P328">_xlfn.XLOOKUP($A328, 'Hospitalisation Details'!$A:$A, 'Hospitalisation Details'!H:H, "No Data")</f>
        <v>tier - 1</v>
      </c>
    </row>
    <row r="329">
      <c r="A329" s="25" t="s">
        <v>1046</v>
      </c>
      <c r="B329" s="28" t="str">
        <f t="array" ref="B329">_xlfn.XLOOKUP($A329, 'Customer Names'!$A:$A, 'Customer Names'!B:B, "No Data")</f>
        <v>Diamond</v>
      </c>
      <c r="C329" s="28">
        <f t="array" ref="C329">_xlfn.XLOOKUP($A329, 'Medical Examinations'!$A:$A, 'Medical Examinations'!B:B, "No Data")</f>
        <v>26.92</v>
      </c>
      <c r="D329" s="28">
        <f t="array" ref="D329">_xlfn.XLOOKUP($A329, 'Medical Examinations'!$A:$A, 'Medical Examinations'!C:C, "No Data")</f>
        <v>6.09</v>
      </c>
      <c r="E329" s="28" t="str">
        <f t="array" ref="E329">_xlfn.XLOOKUP($A329, 'Medical Examinations'!$A:$A, 'Medical Examinations'!D:D, "No Data")</f>
        <v>No</v>
      </c>
      <c r="F329" s="28" t="str">
        <f t="array" ref="F329">_xlfn.XLOOKUP($A329, 'Medical Examinations'!$A:$A, 'Medical Examinations'!E:E, "No Data")</f>
        <v>No</v>
      </c>
      <c r="G329" s="28" t="str">
        <f t="array" ref="G329">_xlfn.XLOOKUP($A329, 'Medical Examinations'!$A:$A, 'Medical Examinations'!F:F, "No Data")</f>
        <v>No</v>
      </c>
      <c r="H329" s="28">
        <f t="array" ref="H329">_xlfn.XLOOKUP($A329, 'Medical Examinations'!$A:$A, 'Medical Examinations'!G:G, "No Data")</f>
        <v>0</v>
      </c>
      <c r="I329" s="28" t="str">
        <f t="array" ref="I329">_xlfn.XLOOKUP($A329, 'Medical Examinations'!$A:$A, 'Medical Examinations'!H:H, "No Data")</f>
        <v>yes</v>
      </c>
      <c r="J329" s="28" t="str">
        <f t="array" ref="J329">_xlfn.XLOOKUP($A329, 'Medical Examinations'!$A:$A, 'Medical Examinations'!I:I, "No Data")</f>
        <v>Overweight</v>
      </c>
      <c r="K329" s="28" t="str">
        <f t="array" ref="K329">_xlfn.XLOOKUP($A329, 'Hospitalisation Details'!$A:$A, 'Hospitalisation Details'!I:I, "No Data")</f>
        <v>tier - 3</v>
      </c>
      <c r="L329" s="28" t="str">
        <f t="array" ref="L329">_xlfn.XLOOKUP($A329, 'Hospitalisation Details'!$A:$A, 'Hospitalisation Details'!J:J, "No Data")</f>
        <v>R1011</v>
      </c>
      <c r="M329" s="28" t="str">
        <f t="array" ref="M329">_xlfn.XLOOKUP($A329, 'Hospitalisation Details'!$A:$A, 'Hospitalisation Details'!E:E, "No Data")</f>
        <v>30/12/89</v>
      </c>
      <c r="N329" s="28">
        <f t="array" ref="N329">_xlfn.XLOOKUP($A329, 'Hospitalisation Details'!$A:$A, 'Hospitalisation Details'!K:K, "No Data")</f>
        <v>33</v>
      </c>
      <c r="O329" s="33">
        <f t="array" ref="O329">_xlfn.XLOOKUP($A329, 'Hospitalisation Details'!$A:$A, 'Hospitalisation Details'!G:G, "No Data")</f>
        <v>29852.48</v>
      </c>
      <c r="P329" s="28" t="str">
        <f t="array" ref="P329">_xlfn.XLOOKUP($A329, 'Hospitalisation Details'!$A:$A, 'Hospitalisation Details'!H:H, "No Data")</f>
        <v>tier - 1</v>
      </c>
    </row>
    <row r="330">
      <c r="A330" s="25" t="s">
        <v>1049</v>
      </c>
      <c r="B330" s="28" t="str">
        <f t="array" ref="B330">_xlfn.XLOOKUP($A330, 'Customer Names'!$A:$A, 'Customer Names'!B:B, "No Data")</f>
        <v>Sallade</v>
      </c>
      <c r="C330" s="28">
        <f t="array" ref="C330">_xlfn.XLOOKUP($A330, 'Medical Examinations'!$A:$A, 'Medical Examinations'!B:B, "No Data")</f>
        <v>19.73</v>
      </c>
      <c r="D330" s="28">
        <f t="array" ref="D330">_xlfn.XLOOKUP($A330, 'Medical Examinations'!$A:$A, 'Medical Examinations'!C:C, "No Data")</f>
        <v>4.36</v>
      </c>
      <c r="E330" s="28" t="str">
        <f t="array" ref="E330">_xlfn.XLOOKUP($A330, 'Medical Examinations'!$A:$A, 'Medical Examinations'!D:D, "No Data")</f>
        <v>No</v>
      </c>
      <c r="F330" s="28" t="str">
        <f t="array" ref="F330">_xlfn.XLOOKUP($A330, 'Medical Examinations'!$A:$A, 'Medical Examinations'!E:E, "No Data")</f>
        <v>No</v>
      </c>
      <c r="G330" s="28" t="str">
        <f t="array" ref="G330">_xlfn.XLOOKUP($A330, 'Medical Examinations'!$A:$A, 'Medical Examinations'!F:F, "No Data")</f>
        <v>No</v>
      </c>
      <c r="H330" s="28">
        <f t="array" ref="H330">_xlfn.XLOOKUP($A330, 'Medical Examinations'!$A:$A, 'Medical Examinations'!G:G, "No Data")</f>
        <v>0</v>
      </c>
      <c r="I330" s="28" t="str">
        <f t="array" ref="I330">_xlfn.XLOOKUP($A330, 'Medical Examinations'!$A:$A, 'Medical Examinations'!H:H, "No Data")</f>
        <v>yes</v>
      </c>
      <c r="J330" s="28" t="str">
        <f t="array" ref="J330">_xlfn.XLOOKUP($A330, 'Medical Examinations'!$A:$A, 'Medical Examinations'!I:I, "No Data")</f>
        <v>Normal Weight</v>
      </c>
      <c r="K330" s="28" t="str">
        <f t="array" ref="K330">_xlfn.XLOOKUP($A330, 'Hospitalisation Details'!$A:$A, 'Hospitalisation Details'!I:I, "No Data")</f>
        <v>tier - 1</v>
      </c>
      <c r="L330" s="28" t="str">
        <f t="array" ref="L330">_xlfn.XLOOKUP($A330, 'Hospitalisation Details'!$A:$A, 'Hospitalisation Details'!J:J, "No Data")</f>
        <v>R1012</v>
      </c>
      <c r="M330" s="28" t="str">
        <f t="array" ref="M330">_xlfn.XLOOKUP($A330, 'Hospitalisation Details'!$A:$A, 'Hospitalisation Details'!E:E, "No Data")</f>
        <v>29/10/82</v>
      </c>
      <c r="N330" s="28">
        <f t="array" ref="N330">_xlfn.XLOOKUP($A330, 'Hospitalisation Details'!$A:$A, 'Hospitalisation Details'!K:K, "No Data")</f>
        <v>40</v>
      </c>
      <c r="O330" s="33">
        <f t="array" ref="O330">_xlfn.XLOOKUP($A330, 'Hospitalisation Details'!$A:$A, 'Hospitalisation Details'!G:G, "No Data")</f>
        <v>29818.76</v>
      </c>
      <c r="P330" s="28" t="str">
        <f t="array" ref="P330">_xlfn.XLOOKUP($A330, 'Hospitalisation Details'!$A:$A, 'Hospitalisation Details'!H:H, "No Data")</f>
        <v>tier - 1</v>
      </c>
    </row>
    <row r="331">
      <c r="A331" s="25" t="s">
        <v>1051</v>
      </c>
      <c r="B331" s="28" t="str">
        <f t="array" ref="B331">_xlfn.XLOOKUP($A331, 'Customer Names'!$A:$A, 'Customer Names'!B:B, "No Data")</f>
        <v>Zhang</v>
      </c>
      <c r="C331" s="28">
        <f t="array" ref="C331">_xlfn.XLOOKUP($A331, 'Medical Examinations'!$A:$A, 'Medical Examinations'!B:B, "No Data")</f>
        <v>23.56</v>
      </c>
      <c r="D331" s="28">
        <f t="array" ref="D331">_xlfn.XLOOKUP($A331, 'Medical Examinations'!$A:$A, 'Medical Examinations'!C:C, "No Data")</f>
        <v>11.74</v>
      </c>
      <c r="E331" s="28" t="str">
        <f t="array" ref="E331">_xlfn.XLOOKUP($A331, 'Medical Examinations'!$A:$A, 'Medical Examinations'!D:D, "No Data")</f>
        <v>yes</v>
      </c>
      <c r="F331" s="28" t="str">
        <f t="array" ref="F331">_xlfn.XLOOKUP($A331, 'Medical Examinations'!$A:$A, 'Medical Examinations'!E:E, "No Data")</f>
        <v>No</v>
      </c>
      <c r="G331" s="28" t="str">
        <f t="array" ref="G331">_xlfn.XLOOKUP($A331, 'Medical Examinations'!$A:$A, 'Medical Examinations'!F:F, "No Data")</f>
        <v>No</v>
      </c>
      <c r="H331" s="28">
        <f t="array" ref="H331">_xlfn.XLOOKUP($A331, 'Medical Examinations'!$A:$A, 'Medical Examinations'!G:G, "No Data")</f>
        <v>0</v>
      </c>
      <c r="I331" s="28" t="str">
        <f t="array" ref="I331">_xlfn.XLOOKUP($A331, 'Medical Examinations'!$A:$A, 'Medical Examinations'!H:H, "No Data")</f>
        <v>yes</v>
      </c>
      <c r="J331" s="28" t="str">
        <f t="array" ref="J331">_xlfn.XLOOKUP($A331, 'Medical Examinations'!$A:$A, 'Medical Examinations'!I:I, "No Data")</f>
        <v>Normal Weight</v>
      </c>
      <c r="K331" s="28" t="str">
        <f t="array" ref="K331">_xlfn.XLOOKUP($A331, 'Hospitalisation Details'!$A:$A, 'Hospitalisation Details'!I:I, "No Data")</f>
        <v>tier - 2</v>
      </c>
      <c r="L331" s="28" t="str">
        <f t="array" ref="L331">_xlfn.XLOOKUP($A331, 'Hospitalisation Details'!$A:$A, 'Hospitalisation Details'!J:J, "No Data")</f>
        <v>R1011</v>
      </c>
      <c r="M331" s="28" t="str">
        <f t="array" ref="M331">_xlfn.XLOOKUP($A331, 'Hospitalisation Details'!$A:$A, 'Hospitalisation Details'!E:E, "No Data")</f>
        <v>13/08/81</v>
      </c>
      <c r="N331" s="28">
        <f t="array" ref="N331">_xlfn.XLOOKUP($A331, 'Hospitalisation Details'!$A:$A, 'Hospitalisation Details'!K:K, "No Data")</f>
        <v>41</v>
      </c>
      <c r="O331" s="33">
        <f t="array" ref="O331">_xlfn.XLOOKUP($A331, 'Hospitalisation Details'!$A:$A, 'Hospitalisation Details'!G:G, "No Data")</f>
        <v>29816.64</v>
      </c>
      <c r="P331" s="28" t="str">
        <f t="array" ref="P331">_xlfn.XLOOKUP($A331, 'Hospitalisation Details'!$A:$A, 'Hospitalisation Details'!H:H, "No Data")</f>
        <v>tier - 1</v>
      </c>
    </row>
    <row r="332">
      <c r="A332" s="25" t="s">
        <v>1055</v>
      </c>
      <c r="B332" s="28" t="str">
        <f t="array" ref="B332">_xlfn.XLOOKUP($A332, 'Customer Names'!$A:$A, 'Customer Names'!B:B, "No Data")</f>
        <v>Chatfield</v>
      </c>
      <c r="C332" s="28">
        <f t="array" ref="C332">_xlfn.XLOOKUP($A332, 'Medical Examinations'!$A:$A, 'Medical Examinations'!B:B, "No Data")</f>
        <v>37.67</v>
      </c>
      <c r="D332" s="28">
        <f t="array" ref="D332">_xlfn.XLOOKUP($A332, 'Medical Examinations'!$A:$A, 'Medical Examinations'!C:C, "No Data")</f>
        <v>5.89</v>
      </c>
      <c r="E332" s="28" t="str">
        <f t="array" ref="E332">_xlfn.XLOOKUP($A332, 'Medical Examinations'!$A:$A, 'Medical Examinations'!D:D, "No Data")</f>
        <v>No</v>
      </c>
      <c r="F332" s="28" t="str">
        <f t="array" ref="F332">_xlfn.XLOOKUP($A332, 'Medical Examinations'!$A:$A, 'Medical Examinations'!E:E, "No Data")</f>
        <v>No</v>
      </c>
      <c r="G332" s="28" t="str">
        <f t="array" ref="G332">_xlfn.XLOOKUP($A332, 'Medical Examinations'!$A:$A, 'Medical Examinations'!F:F, "No Data")</f>
        <v>No</v>
      </c>
      <c r="H332" s="28">
        <f t="array" ref="H332">_xlfn.XLOOKUP($A332, 'Medical Examinations'!$A:$A, 'Medical Examinations'!G:G, "No Data")</f>
        <v>1</v>
      </c>
      <c r="I332" s="28" t="str">
        <f t="array" ref="I332">_xlfn.XLOOKUP($A332, 'Medical Examinations'!$A:$A, 'Medical Examinations'!H:H, "No Data")</f>
        <v>yes</v>
      </c>
      <c r="J332" s="28" t="str">
        <f t="array" ref="J332">_xlfn.XLOOKUP($A332, 'Medical Examinations'!$A:$A, 'Medical Examinations'!I:I, "No Data")</f>
        <v>Obesity</v>
      </c>
      <c r="K332" s="28" t="str">
        <f t="array" ref="K332">_xlfn.XLOOKUP($A332, 'Hospitalisation Details'!$A:$A, 'Hospitalisation Details'!I:I, "No Data")</f>
        <v>tier - 2</v>
      </c>
      <c r="L332" s="28" t="str">
        <f t="array" ref="L332">_xlfn.XLOOKUP($A332, 'Hospitalisation Details'!$A:$A, 'Hospitalisation Details'!J:J, "No Data")</f>
        <v>R1011</v>
      </c>
      <c r="M332" s="28" t="str">
        <f t="array" ref="M332">_xlfn.XLOOKUP($A332, 'Hospitalisation Details'!$A:$A, 'Hospitalisation Details'!E:E, "No Data")</f>
        <v>20/06/98</v>
      </c>
      <c r="N332" s="28">
        <f t="array" ref="N332">_xlfn.XLOOKUP($A332, 'Hospitalisation Details'!$A:$A, 'Hospitalisation Details'!K:K, "No Data")</f>
        <v>24</v>
      </c>
      <c r="O332" s="33">
        <f t="array" ref="O332">_xlfn.XLOOKUP($A332, 'Hospitalisation Details'!$A:$A, 'Hospitalisation Details'!G:G, "No Data")</f>
        <v>29760.6</v>
      </c>
      <c r="P332" s="28" t="str">
        <f t="array" ref="P332">_xlfn.XLOOKUP($A332, 'Hospitalisation Details'!$A:$A, 'Hospitalisation Details'!H:H, "No Data")</f>
        <v>tier - 1</v>
      </c>
    </row>
    <row r="333">
      <c r="A333" s="25" t="s">
        <v>1058</v>
      </c>
      <c r="B333" s="28" t="str">
        <f t="array" ref="B333">_xlfn.XLOOKUP($A333, 'Customer Names'!$A:$A, 'Customer Names'!B:B, "No Data")</f>
        <v>Bruns</v>
      </c>
      <c r="C333" s="28">
        <f t="array" ref="C333">_xlfn.XLOOKUP($A333, 'Medical Examinations'!$A:$A, 'Medical Examinations'!B:B, "No Data")</f>
        <v>18.73</v>
      </c>
      <c r="D333" s="28">
        <f t="array" ref="D333">_xlfn.XLOOKUP($A333, 'Medical Examinations'!$A:$A, 'Medical Examinations'!C:C, "No Data")</f>
        <v>10.64</v>
      </c>
      <c r="E333" s="28" t="str">
        <f t="array" ref="E333">_xlfn.XLOOKUP($A333, 'Medical Examinations'!$A:$A, 'Medical Examinations'!D:D, "No Data")</f>
        <v>No</v>
      </c>
      <c r="F333" s="28" t="str">
        <f t="array" ref="F333">_xlfn.XLOOKUP($A333, 'Medical Examinations'!$A:$A, 'Medical Examinations'!E:E, "No Data")</f>
        <v>No</v>
      </c>
      <c r="G333" s="28" t="str">
        <f t="array" ref="G333">_xlfn.XLOOKUP($A333, 'Medical Examinations'!$A:$A, 'Medical Examinations'!F:F, "No Data")</f>
        <v>No</v>
      </c>
      <c r="H333" s="28">
        <f t="array" ref="H333">_xlfn.XLOOKUP($A333, 'Medical Examinations'!$A:$A, 'Medical Examinations'!G:G, "No Data")</f>
        <v>2</v>
      </c>
      <c r="I333" s="28" t="str">
        <f t="array" ref="I333">_xlfn.XLOOKUP($A333, 'Medical Examinations'!$A:$A, 'Medical Examinations'!H:H, "No Data")</f>
        <v>yes</v>
      </c>
      <c r="J333" s="28" t="str">
        <f t="array" ref="J333">_xlfn.XLOOKUP($A333, 'Medical Examinations'!$A:$A, 'Medical Examinations'!I:I, "No Data")</f>
        <v>Normal Weight</v>
      </c>
      <c r="K333" s="28" t="str">
        <f t="array" ref="K333">_xlfn.XLOOKUP($A333, 'Hospitalisation Details'!$A:$A, 'Hospitalisation Details'!I:I, "No Data")</f>
        <v>tier - 3</v>
      </c>
      <c r="L333" s="28" t="str">
        <f t="array" ref="L333">_xlfn.XLOOKUP($A333, 'Hospitalisation Details'!$A:$A, 'Hospitalisation Details'!J:J, "No Data")</f>
        <v>R1011</v>
      </c>
      <c r="M333" s="28" t="str">
        <f t="array" ref="M333">_xlfn.XLOOKUP($A333, 'Hospitalisation Details'!$A:$A, 'Hospitalisation Details'!E:E, "No Data")</f>
        <v>23/08/73</v>
      </c>
      <c r="N333" s="28">
        <f t="array" ref="N333">_xlfn.XLOOKUP($A333, 'Hospitalisation Details'!$A:$A, 'Hospitalisation Details'!K:K, "No Data")</f>
        <v>49</v>
      </c>
      <c r="O333" s="33">
        <f t="array" ref="O333">_xlfn.XLOOKUP($A333, 'Hospitalisation Details'!$A:$A, 'Hospitalisation Details'!G:G, "No Data")</f>
        <v>29757.69</v>
      </c>
      <c r="P333" s="28" t="str">
        <f t="array" ref="P333">_xlfn.XLOOKUP($A333, 'Hospitalisation Details'!$A:$A, 'Hospitalisation Details'!H:H, "No Data")</f>
        <v>tier - 1</v>
      </c>
    </row>
    <row r="334">
      <c r="A334" s="25" t="s">
        <v>1061</v>
      </c>
      <c r="B334" s="28" t="str">
        <f t="array" ref="B334">_xlfn.XLOOKUP($A334, 'Customer Names'!$A:$A, 'Customer Names'!B:B, "No Data")</f>
        <v>Yochum</v>
      </c>
      <c r="C334" s="28">
        <f t="array" ref="C334">_xlfn.XLOOKUP($A334, 'Medical Examinations'!$A:$A, 'Medical Examinations'!B:B, "No Data")</f>
        <v>33.09</v>
      </c>
      <c r="D334" s="28">
        <f t="array" ref="D334">_xlfn.XLOOKUP($A334, 'Medical Examinations'!$A:$A, 'Medical Examinations'!C:C, "No Data")</f>
        <v>6.06</v>
      </c>
      <c r="E334" s="28" t="str">
        <f t="array" ref="E334">_xlfn.XLOOKUP($A334, 'Medical Examinations'!$A:$A, 'Medical Examinations'!D:D, "No Data")</f>
        <v>No</v>
      </c>
      <c r="F334" s="28" t="str">
        <f t="array" ref="F334">_xlfn.XLOOKUP($A334, 'Medical Examinations'!$A:$A, 'Medical Examinations'!E:E, "No Data")</f>
        <v>No</v>
      </c>
      <c r="G334" s="28" t="str">
        <f t="array" ref="G334">_xlfn.XLOOKUP($A334, 'Medical Examinations'!$A:$A, 'Medical Examinations'!F:F, "No Data")</f>
        <v>Yes</v>
      </c>
      <c r="H334" s="28">
        <f t="array" ref="H334">_xlfn.XLOOKUP($A334, 'Medical Examinations'!$A:$A, 'Medical Examinations'!G:G, "No Data")</f>
        <v>1</v>
      </c>
      <c r="I334" s="28" t="str">
        <f t="array" ref="I334">_xlfn.XLOOKUP($A334, 'Medical Examinations'!$A:$A, 'Medical Examinations'!H:H, "No Data")</f>
        <v>yes</v>
      </c>
      <c r="J334" s="28" t="str">
        <f t="array" ref="J334">_xlfn.XLOOKUP($A334, 'Medical Examinations'!$A:$A, 'Medical Examinations'!I:I, "No Data")</f>
        <v>Obesity</v>
      </c>
      <c r="K334" s="28" t="str">
        <f t="array" ref="K334">_xlfn.XLOOKUP($A334, 'Hospitalisation Details'!$A:$A, 'Hospitalisation Details'!I:I, "No Data")</f>
        <v>tier - 1</v>
      </c>
      <c r="L334" s="28" t="str">
        <f t="array" ref="L334">_xlfn.XLOOKUP($A334, 'Hospitalisation Details'!$A:$A, 'Hospitalisation Details'!J:J, "No Data")</f>
        <v>R1011</v>
      </c>
      <c r="M334" s="28" t="str">
        <f t="array" ref="M334">_xlfn.XLOOKUP($A334, 'Hospitalisation Details'!$A:$A, 'Hospitalisation Details'!E:E, "No Data")</f>
        <v>27/07/93</v>
      </c>
      <c r="N334" s="28">
        <f t="array" ref="N334">_xlfn.XLOOKUP($A334, 'Hospitalisation Details'!$A:$A, 'Hospitalisation Details'!K:K, "No Data")</f>
        <v>29</v>
      </c>
      <c r="O334" s="33">
        <f t="array" ref="O334">_xlfn.XLOOKUP($A334, 'Hospitalisation Details'!$A:$A, 'Hospitalisation Details'!G:G, "No Data")</f>
        <v>29622.69</v>
      </c>
      <c r="P334" s="28" t="str">
        <f t="array" ref="P334">_xlfn.XLOOKUP($A334, 'Hospitalisation Details'!$A:$A, 'Hospitalisation Details'!H:H, "No Data")</f>
        <v>tier - 1</v>
      </c>
    </row>
    <row r="335">
      <c r="A335" s="25" t="s">
        <v>1064</v>
      </c>
      <c r="B335" s="28" t="str">
        <f t="array" ref="B335">_xlfn.XLOOKUP($A335, 'Customer Names'!$A:$A, 'Customer Names'!B:B, "No Data")</f>
        <v>Freeburn</v>
      </c>
      <c r="C335" s="28">
        <f t="array" ref="C335">_xlfn.XLOOKUP($A335, 'Medical Examinations'!$A:$A, 'Medical Examinations'!B:B, "No Data")</f>
        <v>18.33</v>
      </c>
      <c r="D335" s="28">
        <f t="array" ref="D335">_xlfn.XLOOKUP($A335, 'Medical Examinations'!$A:$A, 'Medical Examinations'!C:C, "No Data")</f>
        <v>7.46</v>
      </c>
      <c r="E335" s="28" t="str">
        <f t="array" ref="E335">_xlfn.XLOOKUP($A335, 'Medical Examinations'!$A:$A, 'Medical Examinations'!D:D, "No Data")</f>
        <v>yes</v>
      </c>
      <c r="F335" s="28" t="str">
        <f t="array" ref="F335">_xlfn.XLOOKUP($A335, 'Medical Examinations'!$A:$A, 'Medical Examinations'!E:E, "No Data")</f>
        <v>No</v>
      </c>
      <c r="G335" s="28" t="str">
        <f t="array" ref="G335">_xlfn.XLOOKUP($A335, 'Medical Examinations'!$A:$A, 'Medical Examinations'!F:F, "No Data")</f>
        <v>No</v>
      </c>
      <c r="H335" s="28">
        <f t="array" ref="H335">_xlfn.XLOOKUP($A335, 'Medical Examinations'!$A:$A, 'Medical Examinations'!G:G, "No Data")</f>
        <v>1</v>
      </c>
      <c r="I335" s="28" t="str">
        <f t="array" ref="I335">_xlfn.XLOOKUP($A335, 'Medical Examinations'!$A:$A, 'Medical Examinations'!H:H, "No Data")</f>
        <v>yes</v>
      </c>
      <c r="J335" s="28" t="str">
        <f t="array" ref="J335">_xlfn.XLOOKUP($A335, 'Medical Examinations'!$A:$A, 'Medical Examinations'!I:I, "No Data")</f>
        <v>Underweight</v>
      </c>
      <c r="K335" s="28" t="str">
        <f t="array" ref="K335">_xlfn.XLOOKUP($A335, 'Hospitalisation Details'!$A:$A, 'Hospitalisation Details'!I:I, "No Data")</f>
        <v>tier - 1</v>
      </c>
      <c r="L335" s="28" t="str">
        <f t="array" ref="L335">_xlfn.XLOOKUP($A335, 'Hospitalisation Details'!$A:$A, 'Hospitalisation Details'!J:J, "No Data")</f>
        <v>R1011</v>
      </c>
      <c r="M335" s="28" t="str">
        <f t="array" ref="M335">_xlfn.XLOOKUP($A335, 'Hospitalisation Details'!$A:$A, 'Hospitalisation Details'!E:E, "No Data")</f>
        <v>03/11/75</v>
      </c>
      <c r="N335" s="28">
        <f t="array" ref="N335">_xlfn.XLOOKUP($A335, 'Hospitalisation Details'!$A:$A, 'Hospitalisation Details'!K:K, "No Data")</f>
        <v>47</v>
      </c>
      <c r="O335" s="33">
        <f t="array" ref="O335">_xlfn.XLOOKUP($A335, 'Hospitalisation Details'!$A:$A, 'Hospitalisation Details'!G:G, "No Data")</f>
        <v>29583.8</v>
      </c>
      <c r="P335" s="28" t="str">
        <f t="array" ref="P335">_xlfn.XLOOKUP($A335, 'Hospitalisation Details'!$A:$A, 'Hospitalisation Details'!H:H, "No Data")</f>
        <v>tier - 1</v>
      </c>
    </row>
    <row r="336">
      <c r="A336" s="25" t="s">
        <v>1068</v>
      </c>
      <c r="B336" s="28" t="str">
        <f t="array" ref="B336">_xlfn.XLOOKUP($A336, 'Customer Names'!$A:$A, 'Customer Names'!B:B, "No Data")</f>
        <v>Spencer</v>
      </c>
      <c r="C336" s="28">
        <f t="array" ref="C336">_xlfn.XLOOKUP($A336, 'Medical Examinations'!$A:$A, 'Medical Examinations'!B:B, "No Data")</f>
        <v>27.74</v>
      </c>
      <c r="D336" s="28">
        <f t="array" ref="D336">_xlfn.XLOOKUP($A336, 'Medical Examinations'!$A:$A, 'Medical Examinations'!C:C, "No Data")</f>
        <v>4.68</v>
      </c>
      <c r="E336" s="28" t="str">
        <f t="array" ref="E336">_xlfn.XLOOKUP($A336, 'Medical Examinations'!$A:$A, 'Medical Examinations'!D:D, "No Data")</f>
        <v>yes</v>
      </c>
      <c r="F336" s="28" t="str">
        <f t="array" ref="F336">_xlfn.XLOOKUP($A336, 'Medical Examinations'!$A:$A, 'Medical Examinations'!E:E, "No Data")</f>
        <v>No</v>
      </c>
      <c r="G336" s="28" t="str">
        <f t="array" ref="G336">_xlfn.XLOOKUP($A336, 'Medical Examinations'!$A:$A, 'Medical Examinations'!F:F, "No Data")</f>
        <v>No</v>
      </c>
      <c r="H336" s="28">
        <f t="array" ref="H336">_xlfn.XLOOKUP($A336, 'Medical Examinations'!$A:$A, 'Medical Examinations'!G:G, "No Data")</f>
        <v>2</v>
      </c>
      <c r="I336" s="28" t="str">
        <f t="array" ref="I336">_xlfn.XLOOKUP($A336, 'Medical Examinations'!$A:$A, 'Medical Examinations'!H:H, "No Data")</f>
        <v>yes</v>
      </c>
      <c r="J336" s="28" t="str">
        <f t="array" ref="J336">_xlfn.XLOOKUP($A336, 'Medical Examinations'!$A:$A, 'Medical Examinations'!I:I, "No Data")</f>
        <v>Overweight</v>
      </c>
      <c r="K336" s="28" t="str">
        <f t="array" ref="K336">_xlfn.XLOOKUP($A336, 'Hospitalisation Details'!$A:$A, 'Hospitalisation Details'!I:I, "No Data")</f>
        <v>tier - 2</v>
      </c>
      <c r="L336" s="28" t="str">
        <f t="array" ref="L336">_xlfn.XLOOKUP($A336, 'Hospitalisation Details'!$A:$A, 'Hospitalisation Details'!J:J, "No Data")</f>
        <v>R1024</v>
      </c>
      <c r="M336" s="28" t="str">
        <f t="array" ref="M336">_xlfn.XLOOKUP($A336, 'Hospitalisation Details'!$A:$A, 'Hospitalisation Details'!E:E, "No Data")</f>
        <v>20/10/59</v>
      </c>
      <c r="N336" s="28">
        <f t="array" ref="N336">_xlfn.XLOOKUP($A336, 'Hospitalisation Details'!$A:$A, 'Hospitalisation Details'!K:K, "No Data")</f>
        <v>63</v>
      </c>
      <c r="O336" s="33">
        <f t="array" ref="O336">_xlfn.XLOOKUP($A336, 'Hospitalisation Details'!$A:$A, 'Hospitalisation Details'!G:G, "No Data")</f>
        <v>29523.17</v>
      </c>
      <c r="P336" s="28" t="str">
        <f t="array" ref="P336">_xlfn.XLOOKUP($A336, 'Hospitalisation Details'!$A:$A, 'Hospitalisation Details'!H:H, "No Data")</f>
        <v>tier - 1</v>
      </c>
    </row>
    <row r="337">
      <c r="A337" s="25" t="s">
        <v>1071</v>
      </c>
      <c r="B337" s="28" t="str">
        <f t="array" ref="B337">_xlfn.XLOOKUP($A337, 'Customer Names'!$A:$A, 'Customer Names'!B:B, "No Data")</f>
        <v>Jarosik</v>
      </c>
      <c r="C337" s="28">
        <f t="array" ref="C337">_xlfn.XLOOKUP($A337, 'Medical Examinations'!$A:$A, 'Medical Examinations'!B:B, "No Data")</f>
        <v>24.2</v>
      </c>
      <c r="D337" s="28">
        <f t="array" ref="D337">_xlfn.XLOOKUP($A337, 'Medical Examinations'!$A:$A, 'Medical Examinations'!C:C, "No Data")</f>
        <v>6.15</v>
      </c>
      <c r="E337" s="28" t="str">
        <f t="array" ref="E337">_xlfn.XLOOKUP($A337, 'Medical Examinations'!$A:$A, 'Medical Examinations'!D:D, "No Data")</f>
        <v>No</v>
      </c>
      <c r="F337" s="28" t="str">
        <f t="array" ref="F337">_xlfn.XLOOKUP($A337, 'Medical Examinations'!$A:$A, 'Medical Examinations'!E:E, "No Data")</f>
        <v>No</v>
      </c>
      <c r="G337" s="28" t="str">
        <f t="array" ref="G337">_xlfn.XLOOKUP($A337, 'Medical Examinations'!$A:$A, 'Medical Examinations'!F:F, "No Data")</f>
        <v>No</v>
      </c>
      <c r="H337" s="28">
        <f t="array" ref="H337">_xlfn.XLOOKUP($A337, 'Medical Examinations'!$A:$A, 'Medical Examinations'!G:G, "No Data")</f>
        <v>1</v>
      </c>
      <c r="I337" s="28" t="str">
        <f t="array" ref="I337">_xlfn.XLOOKUP($A337, 'Medical Examinations'!$A:$A, 'Medical Examinations'!H:H, "No Data")</f>
        <v>yes</v>
      </c>
      <c r="J337" s="28" t="str">
        <f t="array" ref="J337">_xlfn.XLOOKUP($A337, 'Medical Examinations'!$A:$A, 'Medical Examinations'!I:I, "No Data")</f>
        <v>Normal Weight</v>
      </c>
      <c r="K337" s="28" t="str">
        <f t="array" ref="K337">_xlfn.XLOOKUP($A337, 'Hospitalisation Details'!$A:$A, 'Hospitalisation Details'!I:I, "No Data")</f>
        <v>tier - 1</v>
      </c>
      <c r="L337" s="28" t="str">
        <f t="array" ref="L337">_xlfn.XLOOKUP($A337, 'Hospitalisation Details'!$A:$A, 'Hospitalisation Details'!J:J, "No Data")</f>
        <v>R1011</v>
      </c>
      <c r="M337" s="28" t="str">
        <f t="array" ref="M337">_xlfn.XLOOKUP($A337, 'Hospitalisation Details'!$A:$A, 'Hospitalisation Details'!E:E, "No Data")</f>
        <v>16/07/87</v>
      </c>
      <c r="N337" s="28">
        <f t="array" ref="N337">_xlfn.XLOOKUP($A337, 'Hospitalisation Details'!$A:$A, 'Hospitalisation Details'!K:K, "No Data")</f>
        <v>35</v>
      </c>
      <c r="O337" s="33">
        <f t="array" ref="O337">_xlfn.XLOOKUP($A337, 'Hospitalisation Details'!$A:$A, 'Hospitalisation Details'!G:G, "No Data")</f>
        <v>29443.59</v>
      </c>
      <c r="P337" s="28" t="str">
        <f t="array" ref="P337">_xlfn.XLOOKUP($A337, 'Hospitalisation Details'!$A:$A, 'Hospitalisation Details'!H:H, "No Data")</f>
        <v>tier - 1</v>
      </c>
    </row>
    <row r="338">
      <c r="A338" s="25" t="s">
        <v>1075</v>
      </c>
      <c r="B338" s="28" t="str">
        <f t="array" ref="B338">_xlfn.XLOOKUP($A338, 'Customer Names'!$A:$A, 'Customer Names'!B:B, "No Data")</f>
        <v>Heinzen</v>
      </c>
      <c r="C338" s="28">
        <f t="array" ref="C338">_xlfn.XLOOKUP($A338, 'Medical Examinations'!$A:$A, 'Medical Examinations'!B:B, "No Data")</f>
        <v>22.03</v>
      </c>
      <c r="D338" s="28">
        <f t="array" ref="D338">_xlfn.XLOOKUP($A338, 'Medical Examinations'!$A:$A, 'Medical Examinations'!C:C, "No Data")</f>
        <v>4.28</v>
      </c>
      <c r="E338" s="28" t="str">
        <f t="array" ref="E338">_xlfn.XLOOKUP($A338, 'Medical Examinations'!$A:$A, 'Medical Examinations'!D:D, "No Data")</f>
        <v>yes</v>
      </c>
      <c r="F338" s="28" t="str">
        <f t="array" ref="F338">_xlfn.XLOOKUP($A338, 'Medical Examinations'!$A:$A, 'Medical Examinations'!E:E, "No Data")</f>
        <v>No</v>
      </c>
      <c r="G338" s="28" t="str">
        <f t="array" ref="G338">_xlfn.XLOOKUP($A338, 'Medical Examinations'!$A:$A, 'Medical Examinations'!F:F, "No Data")</f>
        <v>No</v>
      </c>
      <c r="H338" s="28">
        <f t="array" ref="H338">_xlfn.XLOOKUP($A338, 'Medical Examinations'!$A:$A, 'Medical Examinations'!G:G, "No Data")</f>
        <v>0</v>
      </c>
      <c r="I338" s="28" t="str">
        <f t="array" ref="I338">_xlfn.XLOOKUP($A338, 'Medical Examinations'!$A:$A, 'Medical Examinations'!H:H, "No Data")</f>
        <v>yes</v>
      </c>
      <c r="J338" s="28" t="str">
        <f t="array" ref="J338">_xlfn.XLOOKUP($A338, 'Medical Examinations'!$A:$A, 'Medical Examinations'!I:I, "No Data")</f>
        <v>Normal Weight</v>
      </c>
      <c r="K338" s="28" t="str">
        <f t="array" ref="K338">_xlfn.XLOOKUP($A338, 'Hospitalisation Details'!$A:$A, 'Hospitalisation Details'!I:I, "No Data")</f>
        <v>tier - 1</v>
      </c>
      <c r="L338" s="28" t="str">
        <f t="array" ref="L338">_xlfn.XLOOKUP($A338, 'Hospitalisation Details'!$A:$A, 'Hospitalisation Details'!J:J, "No Data")</f>
        <v>R1011</v>
      </c>
      <c r="M338" s="28" t="str">
        <f t="array" ref="M338">_xlfn.XLOOKUP($A338, 'Hospitalisation Details'!$A:$A, 'Hospitalisation Details'!E:E, "No Data")</f>
        <v>07/11/85</v>
      </c>
      <c r="N338" s="28">
        <f t="array" ref="N338">_xlfn.XLOOKUP($A338, 'Hospitalisation Details'!$A:$A, 'Hospitalisation Details'!K:K, "No Data")</f>
        <v>37</v>
      </c>
      <c r="O338" s="33">
        <f t="array" ref="O338">_xlfn.XLOOKUP($A338, 'Hospitalisation Details'!$A:$A, 'Hospitalisation Details'!G:G, "No Data")</f>
        <v>29352.56</v>
      </c>
      <c r="P338" s="28" t="str">
        <f t="array" ref="P338">_xlfn.XLOOKUP($A338, 'Hospitalisation Details'!$A:$A, 'Hospitalisation Details'!H:H, "No Data")</f>
        <v>tier - 1</v>
      </c>
    </row>
    <row r="339">
      <c r="A339" s="25" t="s">
        <v>1078</v>
      </c>
      <c r="B339" s="28" t="str">
        <f t="array" ref="B339">_xlfn.XLOOKUP($A339, 'Customer Names'!$A:$A, 'Customer Names'!B:B, "No Data")</f>
        <v>Kelley</v>
      </c>
      <c r="C339" s="28">
        <f t="array" ref="C339">_xlfn.XLOOKUP($A339, 'Medical Examinations'!$A:$A, 'Medical Examinations'!B:B, "No Data")</f>
        <v>26.885</v>
      </c>
      <c r="D339" s="28">
        <f t="array" ref="D339">_xlfn.XLOOKUP($A339, 'Medical Examinations'!$A:$A, 'Medical Examinations'!C:C, "No Data")</f>
        <v>9.86</v>
      </c>
      <c r="E339" s="28" t="str">
        <f t="array" ref="E339">_xlfn.XLOOKUP($A339, 'Medical Examinations'!$A:$A, 'Medical Examinations'!D:D, "No Data")</f>
        <v>No</v>
      </c>
      <c r="F339" s="28" t="str">
        <f t="array" ref="F339">_xlfn.XLOOKUP($A339, 'Medical Examinations'!$A:$A, 'Medical Examinations'!E:E, "No Data")</f>
        <v>No</v>
      </c>
      <c r="G339" s="28" t="str">
        <f t="array" ref="G339">_xlfn.XLOOKUP($A339, 'Medical Examinations'!$A:$A, 'Medical Examinations'!F:F, "No Data")</f>
        <v>No</v>
      </c>
      <c r="H339" s="28">
        <f t="array" ref="H339">_xlfn.XLOOKUP($A339, 'Medical Examinations'!$A:$A, 'Medical Examinations'!G:G, "No Data")</f>
        <v>3</v>
      </c>
      <c r="I339" s="28" t="str">
        <f t="array" ref="I339">_xlfn.XLOOKUP($A339, 'Medical Examinations'!$A:$A, 'Medical Examinations'!H:H, "No Data")</f>
        <v>yes</v>
      </c>
      <c r="J339" s="28" t="str">
        <f t="array" ref="J339">_xlfn.XLOOKUP($A339, 'Medical Examinations'!$A:$A, 'Medical Examinations'!I:I, "No Data")</f>
        <v>Overweight</v>
      </c>
      <c r="K339" s="28" t="str">
        <f t="array" ref="K339">_xlfn.XLOOKUP($A339, 'Hospitalisation Details'!$A:$A, 'Hospitalisation Details'!I:I, "No Data")</f>
        <v>tier - 2</v>
      </c>
      <c r="L339" s="28" t="str">
        <f t="array" ref="L339">_xlfn.XLOOKUP($A339, 'Hospitalisation Details'!$A:$A, 'Hospitalisation Details'!J:J, "No Data")</f>
        <v>R1012</v>
      </c>
      <c r="M339" s="28" t="str">
        <f t="array" ref="M339">_xlfn.XLOOKUP($A339, 'Hospitalisation Details'!$A:$A, 'Hospitalisation Details'!E:E, "No Data")</f>
        <v>05/06/58</v>
      </c>
      <c r="N339" s="28">
        <f t="array" ref="N339">_xlfn.XLOOKUP($A339, 'Hospitalisation Details'!$A:$A, 'Hospitalisation Details'!K:K, "No Data")</f>
        <v>65</v>
      </c>
      <c r="O339" s="33">
        <f t="array" ref="O339">_xlfn.XLOOKUP($A339, 'Hospitalisation Details'!$A:$A, 'Hospitalisation Details'!G:G, "No Data")</f>
        <v>29330.98</v>
      </c>
      <c r="P339" s="28" t="str">
        <f t="array" ref="P339">_xlfn.XLOOKUP($A339, 'Hospitalisation Details'!$A:$A, 'Hospitalisation Details'!H:H, "No Data")</f>
        <v>tier - 1</v>
      </c>
    </row>
    <row r="340">
      <c r="A340" s="25" t="s">
        <v>1081</v>
      </c>
      <c r="B340" s="28" t="str">
        <f t="array" ref="B340">_xlfn.XLOOKUP($A340, 'Customer Names'!$A:$A, 'Customer Names'!B:B, "No Data")</f>
        <v>Thacker</v>
      </c>
      <c r="C340" s="28">
        <f t="array" ref="C340">_xlfn.XLOOKUP($A340, 'Medical Examinations'!$A:$A, 'Medical Examinations'!B:B, "No Data")</f>
        <v>16.36</v>
      </c>
      <c r="D340" s="28">
        <f t="array" ref="D340">_xlfn.XLOOKUP($A340, 'Medical Examinations'!$A:$A, 'Medical Examinations'!C:C, "No Data")</f>
        <v>11.19</v>
      </c>
      <c r="E340" s="28" t="str">
        <f t="array" ref="E340">_xlfn.XLOOKUP($A340, 'Medical Examinations'!$A:$A, 'Medical Examinations'!D:D, "No Data")</f>
        <v>No</v>
      </c>
      <c r="F340" s="28" t="str">
        <f t="array" ref="F340">_xlfn.XLOOKUP($A340, 'Medical Examinations'!$A:$A, 'Medical Examinations'!E:E, "No Data")</f>
        <v>No</v>
      </c>
      <c r="G340" s="28" t="str">
        <f t="array" ref="G340">_xlfn.XLOOKUP($A340, 'Medical Examinations'!$A:$A, 'Medical Examinations'!F:F, "No Data")</f>
        <v>No</v>
      </c>
      <c r="H340" s="28">
        <f t="array" ref="H340">_xlfn.XLOOKUP($A340, 'Medical Examinations'!$A:$A, 'Medical Examinations'!G:G, "No Data")</f>
        <v>0</v>
      </c>
      <c r="I340" s="28" t="str">
        <f t="array" ref="I340">_xlfn.XLOOKUP($A340, 'Medical Examinations'!$A:$A, 'Medical Examinations'!H:H, "No Data")</f>
        <v>yes</v>
      </c>
      <c r="J340" s="28" t="str">
        <f t="array" ref="J340">_xlfn.XLOOKUP($A340, 'Medical Examinations'!$A:$A, 'Medical Examinations'!I:I, "No Data")</f>
        <v>Underweight</v>
      </c>
      <c r="K340" s="28" t="str">
        <f t="array" ref="K340">_xlfn.XLOOKUP($A340, 'Hospitalisation Details'!$A:$A, 'Hospitalisation Details'!I:I, "No Data")</f>
        <v>tier - 3</v>
      </c>
      <c r="L340" s="28" t="str">
        <f t="array" ref="L340">_xlfn.XLOOKUP($A340, 'Hospitalisation Details'!$A:$A, 'Hospitalisation Details'!J:J, "No Data")</f>
        <v>R1012</v>
      </c>
      <c r="M340" s="28" t="str">
        <f t="array" ref="M340">_xlfn.XLOOKUP($A340, 'Hospitalisation Details'!$A:$A, 'Hospitalisation Details'!E:E, "No Data")</f>
        <v>21/07/78</v>
      </c>
      <c r="N340" s="28">
        <f t="array" ref="N340">_xlfn.XLOOKUP($A340, 'Hospitalisation Details'!$A:$A, 'Hospitalisation Details'!K:K, "No Data")</f>
        <v>44</v>
      </c>
      <c r="O340" s="33">
        <f t="array" ref="O340">_xlfn.XLOOKUP($A340, 'Hospitalisation Details'!$A:$A, 'Hospitalisation Details'!G:G, "No Data")</f>
        <v>29227.6</v>
      </c>
      <c r="P340" s="28" t="str">
        <f t="array" ref="P340">_xlfn.XLOOKUP($A340, 'Hospitalisation Details'!$A:$A, 'Hospitalisation Details'!H:H, "No Data")</f>
        <v>tier - 1</v>
      </c>
    </row>
    <row r="341">
      <c r="A341" s="25" t="s">
        <v>1084</v>
      </c>
      <c r="B341" s="28" t="str">
        <f t="array" ref="B341">_xlfn.XLOOKUP($A341, 'Customer Names'!$A:$A, 'Customer Names'!B:B, "No Data")</f>
        <v>Jeseritz</v>
      </c>
      <c r="C341" s="28">
        <f t="array" ref="C341">_xlfn.XLOOKUP($A341, 'Medical Examinations'!$A:$A, 'Medical Examinations'!B:B, "No Data")</f>
        <v>32.3</v>
      </c>
      <c r="D341" s="28">
        <f t="array" ref="D341">_xlfn.XLOOKUP($A341, 'Medical Examinations'!$A:$A, 'Medical Examinations'!C:C, "No Data")</f>
        <v>4.89</v>
      </c>
      <c r="E341" s="28" t="str">
        <f t="array" ref="E341">_xlfn.XLOOKUP($A341, 'Medical Examinations'!$A:$A, 'Medical Examinations'!D:D, "No Data")</f>
        <v>yes</v>
      </c>
      <c r="F341" s="28" t="str">
        <f t="array" ref="F341">_xlfn.XLOOKUP($A341, 'Medical Examinations'!$A:$A, 'Medical Examinations'!E:E, "No Data")</f>
        <v>No</v>
      </c>
      <c r="G341" s="28" t="str">
        <f t="array" ref="G341">_xlfn.XLOOKUP($A341, 'Medical Examinations'!$A:$A, 'Medical Examinations'!F:F, "No Data")</f>
        <v>Yes</v>
      </c>
      <c r="H341" s="28">
        <f t="array" ref="H341">_xlfn.XLOOKUP($A341, 'Medical Examinations'!$A:$A, 'Medical Examinations'!G:G, "No Data")</f>
        <v>1</v>
      </c>
      <c r="I341" s="28" t="str">
        <f t="array" ref="I341">_xlfn.XLOOKUP($A341, 'Medical Examinations'!$A:$A, 'Medical Examinations'!H:H, "No Data")</f>
        <v>No</v>
      </c>
      <c r="J341" s="28" t="str">
        <f t="array" ref="J341">_xlfn.XLOOKUP($A341, 'Medical Examinations'!$A:$A, 'Medical Examinations'!I:I, "No Data")</f>
        <v>Obesity</v>
      </c>
      <c r="K341" s="28" t="str">
        <f t="array" ref="K341">_xlfn.XLOOKUP($A341, 'Hospitalisation Details'!$A:$A, 'Hospitalisation Details'!I:I, "No Data")</f>
        <v>tier - 3</v>
      </c>
      <c r="L341" s="28" t="str">
        <f t="array" ref="L341">_xlfn.XLOOKUP($A341, 'Hospitalisation Details'!$A:$A, 'Hospitalisation Details'!J:J, "No Data")</f>
        <v>R1024</v>
      </c>
      <c r="M341" s="28" t="str">
        <f t="array" ref="M341">_xlfn.XLOOKUP($A341, 'Hospitalisation Details'!$A:$A, 'Hospitalisation Details'!E:E, "No Data")</f>
        <v>09/07/69</v>
      </c>
      <c r="N341" s="28">
        <f t="array" ref="N341">_xlfn.XLOOKUP($A341, 'Hospitalisation Details'!$A:$A, 'Hospitalisation Details'!K:K, "No Data")</f>
        <v>53</v>
      </c>
      <c r="O341" s="33">
        <f t="array" ref="O341">_xlfn.XLOOKUP($A341, 'Hospitalisation Details'!$A:$A, 'Hospitalisation Details'!G:G, "No Data")</f>
        <v>29186.48</v>
      </c>
      <c r="P341" s="28" t="str">
        <f t="array" ref="P341">_xlfn.XLOOKUP($A341, 'Hospitalisation Details'!$A:$A, 'Hospitalisation Details'!H:H, "No Data")</f>
        <v>tier - 1</v>
      </c>
    </row>
    <row r="342">
      <c r="A342" s="25" t="s">
        <v>1087</v>
      </c>
      <c r="B342" s="28" t="str">
        <f t="array" ref="B342">_xlfn.XLOOKUP($A342, 'Customer Names'!$A:$A, 'Customer Names'!B:B, "No Data")</f>
        <v>Hohman</v>
      </c>
      <c r="C342" s="28">
        <f t="array" ref="C342">_xlfn.XLOOKUP($A342, 'Medical Examinations'!$A:$A, 'Medical Examinations'!B:B, "No Data")</f>
        <v>16.05</v>
      </c>
      <c r="D342" s="28">
        <f t="array" ref="D342">_xlfn.XLOOKUP($A342, 'Medical Examinations'!$A:$A, 'Medical Examinations'!C:C, "No Data")</f>
        <v>4.35</v>
      </c>
      <c r="E342" s="28" t="str">
        <f t="array" ref="E342">_xlfn.XLOOKUP($A342, 'Medical Examinations'!$A:$A, 'Medical Examinations'!D:D, "No Data")</f>
        <v>yes</v>
      </c>
      <c r="F342" s="28" t="str">
        <f t="array" ref="F342">_xlfn.XLOOKUP($A342, 'Medical Examinations'!$A:$A, 'Medical Examinations'!E:E, "No Data")</f>
        <v>No</v>
      </c>
      <c r="G342" s="28" t="str">
        <f t="array" ref="G342">_xlfn.XLOOKUP($A342, 'Medical Examinations'!$A:$A, 'Medical Examinations'!F:F, "No Data")</f>
        <v>No</v>
      </c>
      <c r="H342" s="28">
        <f t="array" ref="H342">_xlfn.XLOOKUP($A342, 'Medical Examinations'!$A:$A, 'Medical Examinations'!G:G, "No Data")</f>
        <v>0</v>
      </c>
      <c r="I342" s="28" t="str">
        <f t="array" ref="I342">_xlfn.XLOOKUP($A342, 'Medical Examinations'!$A:$A, 'Medical Examinations'!H:H, "No Data")</f>
        <v>yes</v>
      </c>
      <c r="J342" s="28" t="str">
        <f t="array" ref="J342">_xlfn.XLOOKUP($A342, 'Medical Examinations'!$A:$A, 'Medical Examinations'!I:I, "No Data")</f>
        <v>Underweight</v>
      </c>
      <c r="K342" s="28" t="str">
        <f t="array" ref="K342">_xlfn.XLOOKUP($A342, 'Hospitalisation Details'!$A:$A, 'Hospitalisation Details'!I:I, "No Data")</f>
        <v>tier - 2</v>
      </c>
      <c r="L342" s="28" t="str">
        <f t="array" ref="L342">_xlfn.XLOOKUP($A342, 'Hospitalisation Details'!$A:$A, 'Hospitalisation Details'!J:J, "No Data")</f>
        <v>R1011</v>
      </c>
      <c r="M342" s="28" t="str">
        <f t="array" ref="M342">_xlfn.XLOOKUP($A342, 'Hospitalisation Details'!$A:$A, 'Hospitalisation Details'!E:E, "No Data")</f>
        <v>08/11/76</v>
      </c>
      <c r="N342" s="28">
        <f t="array" ref="N342">_xlfn.XLOOKUP($A342, 'Hospitalisation Details'!$A:$A, 'Hospitalisation Details'!K:K, "No Data")</f>
        <v>46</v>
      </c>
      <c r="O342" s="33">
        <f t="array" ref="O342">_xlfn.XLOOKUP($A342, 'Hospitalisation Details'!$A:$A, 'Hospitalisation Details'!G:G, "No Data")</f>
        <v>29160.39</v>
      </c>
      <c r="P342" s="28" t="str">
        <f t="array" ref="P342">_xlfn.XLOOKUP($A342, 'Hospitalisation Details'!$A:$A, 'Hospitalisation Details'!H:H, "No Data")</f>
        <v>tier - 1</v>
      </c>
    </row>
    <row r="343">
      <c r="A343" s="25" t="s">
        <v>1091</v>
      </c>
      <c r="B343" s="28" t="str">
        <f t="array" ref="B343">_xlfn.XLOOKUP($A343, 'Customer Names'!$A:$A, 'Customer Names'!B:B, "No Data")</f>
        <v>Hill</v>
      </c>
      <c r="C343" s="28">
        <f t="array" ref="C343">_xlfn.XLOOKUP($A343, 'Medical Examinations'!$A:$A, 'Medical Examinations'!B:B, "No Data")</f>
        <v>29.07</v>
      </c>
      <c r="D343" s="28">
        <f t="array" ref="D343">_xlfn.XLOOKUP($A343, 'Medical Examinations'!$A:$A, 'Medical Examinations'!C:C, "No Data")</f>
        <v>8.66</v>
      </c>
      <c r="E343" s="28" t="str">
        <f t="array" ref="E343">_xlfn.XLOOKUP($A343, 'Medical Examinations'!$A:$A, 'Medical Examinations'!D:D, "No Data")</f>
        <v>yes</v>
      </c>
      <c r="F343" s="28" t="str">
        <f t="array" ref="F343">_xlfn.XLOOKUP($A343, 'Medical Examinations'!$A:$A, 'Medical Examinations'!E:E, "No Data")</f>
        <v>No</v>
      </c>
      <c r="G343" s="28" t="str">
        <f t="array" ref="G343">_xlfn.XLOOKUP($A343, 'Medical Examinations'!$A:$A, 'Medical Examinations'!F:F, "No Data")</f>
        <v>No</v>
      </c>
      <c r="H343" s="28">
        <f t="array" ref="H343">_xlfn.XLOOKUP($A343, 'Medical Examinations'!$A:$A, 'Medical Examinations'!G:G, "No Data")</f>
        <v>2</v>
      </c>
      <c r="I343" s="28" t="str">
        <f t="array" ref="I343">_xlfn.XLOOKUP($A343, 'Medical Examinations'!$A:$A, 'Medical Examinations'!H:H, "No Data")</f>
        <v>yes</v>
      </c>
      <c r="J343" s="28" t="str">
        <f t="array" ref="J343">_xlfn.XLOOKUP($A343, 'Medical Examinations'!$A:$A, 'Medical Examinations'!I:I, "No Data")</f>
        <v>Overweight</v>
      </c>
      <c r="K343" s="28" t="str">
        <f t="array" ref="K343">_xlfn.XLOOKUP($A343, 'Hospitalisation Details'!$A:$A, 'Hospitalisation Details'!I:I, "No Data")</f>
        <v>tier - 3</v>
      </c>
      <c r="L343" s="28" t="str">
        <f t="array" ref="L343">_xlfn.XLOOKUP($A343, 'Hospitalisation Details'!$A:$A, 'Hospitalisation Details'!J:J, "No Data")</f>
        <v>R1012</v>
      </c>
      <c r="M343" s="28" t="str">
        <f t="array" ref="M343">_xlfn.XLOOKUP($A343, 'Hospitalisation Details'!$A:$A, 'Hospitalisation Details'!E:E, "No Data")</f>
        <v>24/12/61</v>
      </c>
      <c r="N343" s="28">
        <f t="array" ref="N343">_xlfn.XLOOKUP($A343, 'Hospitalisation Details'!$A:$A, 'Hospitalisation Details'!K:K, "No Data")</f>
        <v>61</v>
      </c>
      <c r="O343" s="33">
        <f t="array" ref="O343">_xlfn.XLOOKUP($A343, 'Hospitalisation Details'!$A:$A, 'Hospitalisation Details'!G:G, "No Data")</f>
        <v>29141.36</v>
      </c>
      <c r="P343" s="28" t="str">
        <f t="array" ref="P343">_xlfn.XLOOKUP($A343, 'Hospitalisation Details'!$A:$A, 'Hospitalisation Details'!H:H, "No Data")</f>
        <v>tier - 1</v>
      </c>
    </row>
    <row r="344">
      <c r="A344" s="25" t="s">
        <v>1095</v>
      </c>
      <c r="B344" s="28" t="str">
        <f t="array" ref="B344">_xlfn.XLOOKUP($A344, 'Customer Names'!$A:$A, 'Customer Names'!B:B, "No Data")</f>
        <v>Kuepfer</v>
      </c>
      <c r="C344" s="28">
        <f t="array" ref="C344">_xlfn.XLOOKUP($A344, 'Medical Examinations'!$A:$A, 'Medical Examinations'!B:B, "No Data")</f>
        <v>17.43</v>
      </c>
      <c r="D344" s="28">
        <f t="array" ref="D344">_xlfn.XLOOKUP($A344, 'Medical Examinations'!$A:$A, 'Medical Examinations'!C:C, "No Data")</f>
        <v>8.64</v>
      </c>
      <c r="E344" s="28" t="str">
        <f t="array" ref="E344">_xlfn.XLOOKUP($A344, 'Medical Examinations'!$A:$A, 'Medical Examinations'!D:D, "No Data")</f>
        <v>No</v>
      </c>
      <c r="F344" s="28" t="str">
        <f t="array" ref="F344">_xlfn.XLOOKUP($A344, 'Medical Examinations'!$A:$A, 'Medical Examinations'!E:E, "No Data")</f>
        <v>No</v>
      </c>
      <c r="G344" s="28" t="str">
        <f t="array" ref="G344">_xlfn.XLOOKUP($A344, 'Medical Examinations'!$A:$A, 'Medical Examinations'!F:F, "No Data")</f>
        <v>No</v>
      </c>
      <c r="H344" s="28">
        <f t="array" ref="H344">_xlfn.XLOOKUP($A344, 'Medical Examinations'!$A:$A, 'Medical Examinations'!G:G, "No Data")</f>
        <v>0</v>
      </c>
      <c r="I344" s="28" t="str">
        <f t="array" ref="I344">_xlfn.XLOOKUP($A344, 'Medical Examinations'!$A:$A, 'Medical Examinations'!H:H, "No Data")</f>
        <v>yes</v>
      </c>
      <c r="J344" s="28" t="str">
        <f t="array" ref="J344">_xlfn.XLOOKUP($A344, 'Medical Examinations'!$A:$A, 'Medical Examinations'!I:I, "No Data")</f>
        <v>Underweight</v>
      </c>
      <c r="K344" s="28" t="str">
        <f t="array" ref="K344">_xlfn.XLOOKUP($A344, 'Hospitalisation Details'!$A:$A, 'Hospitalisation Details'!I:I, "No Data")</f>
        <v>tier - 1</v>
      </c>
      <c r="L344" s="28" t="str">
        <f t="array" ref="L344">_xlfn.XLOOKUP($A344, 'Hospitalisation Details'!$A:$A, 'Hospitalisation Details'!J:J, "No Data")</f>
        <v>R1011</v>
      </c>
      <c r="M344" s="28" t="str">
        <f t="array" ref="M344">_xlfn.XLOOKUP($A344, 'Hospitalisation Details'!$A:$A, 'Hospitalisation Details'!E:E, "No Data")</f>
        <v>29/11/78</v>
      </c>
      <c r="N344" s="28">
        <f t="array" ref="N344">_xlfn.XLOOKUP($A344, 'Hospitalisation Details'!$A:$A, 'Hospitalisation Details'!K:K, "No Data")</f>
        <v>44</v>
      </c>
      <c r="O344" s="33">
        <f t="array" ref="O344">_xlfn.XLOOKUP($A344, 'Hospitalisation Details'!$A:$A, 'Hospitalisation Details'!G:G, "No Data")</f>
        <v>29114.77</v>
      </c>
      <c r="P344" s="28" t="str">
        <f t="array" ref="P344">_xlfn.XLOOKUP($A344, 'Hospitalisation Details'!$A:$A, 'Hospitalisation Details'!H:H, "No Data")</f>
        <v>tier - 1</v>
      </c>
    </row>
    <row r="345">
      <c r="A345" s="25" t="s">
        <v>1097</v>
      </c>
      <c r="B345" s="28" t="str">
        <f t="array" ref="B345">_xlfn.XLOOKUP($A345, 'Customer Names'!$A:$A, 'Customer Names'!B:B, "No Data")</f>
        <v>Kaczmarek</v>
      </c>
      <c r="C345" s="28">
        <f t="array" ref="C345">_xlfn.XLOOKUP($A345, 'Medical Examinations'!$A:$A, 'Medical Examinations'!B:B, "No Data")</f>
        <v>19.33</v>
      </c>
      <c r="D345" s="28">
        <f t="array" ref="D345">_xlfn.XLOOKUP($A345, 'Medical Examinations'!$A:$A, 'Medical Examinations'!C:C, "No Data")</f>
        <v>4.27</v>
      </c>
      <c r="E345" s="28" t="str">
        <f t="array" ref="E345">_xlfn.XLOOKUP($A345, 'Medical Examinations'!$A:$A, 'Medical Examinations'!D:D, "No Data")</f>
        <v>No</v>
      </c>
      <c r="F345" s="28" t="str">
        <f t="array" ref="F345">_xlfn.XLOOKUP($A345, 'Medical Examinations'!$A:$A, 'Medical Examinations'!E:E, "No Data")</f>
        <v>No</v>
      </c>
      <c r="G345" s="28" t="str">
        <f t="array" ref="G345">_xlfn.XLOOKUP($A345, 'Medical Examinations'!$A:$A, 'Medical Examinations'!F:F, "No Data")</f>
        <v>No</v>
      </c>
      <c r="H345" s="28">
        <f t="array" ref="H345">_xlfn.XLOOKUP($A345, 'Medical Examinations'!$A:$A, 'Medical Examinations'!G:G, "No Data")</f>
        <v>0</v>
      </c>
      <c r="I345" s="28" t="str">
        <f t="array" ref="I345">_xlfn.XLOOKUP($A345, 'Medical Examinations'!$A:$A, 'Medical Examinations'!H:H, "No Data")</f>
        <v>yes</v>
      </c>
      <c r="J345" s="28" t="str">
        <f t="array" ref="J345">_xlfn.XLOOKUP($A345, 'Medical Examinations'!$A:$A, 'Medical Examinations'!I:I, "No Data")</f>
        <v>Normal Weight</v>
      </c>
      <c r="K345" s="28" t="str">
        <f t="array" ref="K345">_xlfn.XLOOKUP($A345, 'Hospitalisation Details'!$A:$A, 'Hospitalisation Details'!I:I, "No Data")</f>
        <v>tier - 3</v>
      </c>
      <c r="L345" s="28" t="str">
        <f t="array" ref="L345">_xlfn.XLOOKUP($A345, 'Hospitalisation Details'!$A:$A, 'Hospitalisation Details'!J:J, "No Data")</f>
        <v>R1011</v>
      </c>
      <c r="M345" s="28" t="str">
        <f t="array" ref="M345">_xlfn.XLOOKUP($A345, 'Hospitalisation Details'!$A:$A, 'Hospitalisation Details'!E:E, "No Data")</f>
        <v>14/07/80</v>
      </c>
      <c r="N345" s="28">
        <f t="array" ref="N345">_xlfn.XLOOKUP($A345, 'Hospitalisation Details'!$A:$A, 'Hospitalisation Details'!K:K, "No Data")</f>
        <v>42</v>
      </c>
      <c r="O345" s="33">
        <f t="array" ref="O345">_xlfn.XLOOKUP($A345, 'Hospitalisation Details'!$A:$A, 'Hospitalisation Details'!G:G, "No Data")</f>
        <v>29114.21</v>
      </c>
      <c r="P345" s="28" t="str">
        <f t="array" ref="P345">_xlfn.XLOOKUP($A345, 'Hospitalisation Details'!$A:$A, 'Hospitalisation Details'!H:H, "No Data")</f>
        <v>tier - 1</v>
      </c>
    </row>
    <row r="346">
      <c r="A346" s="25" t="s">
        <v>1101</v>
      </c>
      <c r="B346" s="28" t="str">
        <f t="array" ref="B346">_xlfn.XLOOKUP($A346, 'Customer Names'!$A:$A, 'Customer Names'!B:B, "No Data")</f>
        <v>Pitt</v>
      </c>
      <c r="C346" s="28">
        <f t="array" ref="C346">_xlfn.XLOOKUP($A346, 'Medical Examinations'!$A:$A, 'Medical Examinations'!B:B, "No Data")</f>
        <v>30.52</v>
      </c>
      <c r="D346" s="28">
        <f t="array" ref="D346">_xlfn.XLOOKUP($A346, 'Medical Examinations'!$A:$A, 'Medical Examinations'!C:C, "No Data")</f>
        <v>4.21</v>
      </c>
      <c r="E346" s="28" t="str">
        <f t="array" ref="E346">_xlfn.XLOOKUP($A346, 'Medical Examinations'!$A:$A, 'Medical Examinations'!D:D, "No Data")</f>
        <v>No</v>
      </c>
      <c r="F346" s="28" t="str">
        <f t="array" ref="F346">_xlfn.XLOOKUP($A346, 'Medical Examinations'!$A:$A, 'Medical Examinations'!E:E, "No Data")</f>
        <v>No</v>
      </c>
      <c r="G346" s="28" t="str">
        <f t="array" ref="G346">_xlfn.XLOOKUP($A346, 'Medical Examinations'!$A:$A, 'Medical Examinations'!F:F, "No Data")</f>
        <v>No</v>
      </c>
      <c r="H346" s="28">
        <f t="array" ref="H346">_xlfn.XLOOKUP($A346, 'Medical Examinations'!$A:$A, 'Medical Examinations'!G:G, "No Data")</f>
        <v>1</v>
      </c>
      <c r="I346" s="28" t="str">
        <f t="array" ref="I346">_xlfn.XLOOKUP($A346, 'Medical Examinations'!$A:$A, 'Medical Examinations'!H:H, "No Data")</f>
        <v>yes</v>
      </c>
      <c r="J346" s="28" t="str">
        <f t="array" ref="J346">_xlfn.XLOOKUP($A346, 'Medical Examinations'!$A:$A, 'Medical Examinations'!I:I, "No Data")</f>
        <v>Obesity</v>
      </c>
      <c r="K346" s="28" t="str">
        <f t="array" ref="K346">_xlfn.XLOOKUP($A346, 'Hospitalisation Details'!$A:$A, 'Hospitalisation Details'!I:I, "No Data")</f>
        <v>tier - 3</v>
      </c>
      <c r="L346" s="28" t="str">
        <f t="array" ref="L346">_xlfn.XLOOKUP($A346, 'Hospitalisation Details'!$A:$A, 'Hospitalisation Details'!J:J, "No Data")</f>
        <v>R1011</v>
      </c>
      <c r="M346" s="28" t="str">
        <f t="array" ref="M346">_xlfn.XLOOKUP($A346, 'Hospitalisation Details'!$A:$A, 'Hospitalisation Details'!E:E, "No Data")</f>
        <v>07/07/92</v>
      </c>
      <c r="N346" s="28">
        <f t="array" ref="N346">_xlfn.XLOOKUP($A346, 'Hospitalisation Details'!$A:$A, 'Hospitalisation Details'!K:K, "No Data")</f>
        <v>30</v>
      </c>
      <c r="O346" s="33">
        <f t="array" ref="O346">_xlfn.XLOOKUP($A346, 'Hospitalisation Details'!$A:$A, 'Hospitalisation Details'!G:G, "No Data")</f>
        <v>29007.82</v>
      </c>
      <c r="P346" s="28" t="str">
        <f t="array" ref="P346">_xlfn.XLOOKUP($A346, 'Hospitalisation Details'!$A:$A, 'Hospitalisation Details'!H:H, "No Data")</f>
        <v>tier - 1</v>
      </c>
    </row>
    <row r="347">
      <c r="A347" s="25" t="s">
        <v>1104</v>
      </c>
      <c r="B347" s="28" t="str">
        <f t="array" ref="B347">_xlfn.XLOOKUP($A347, 'Customer Names'!$A:$A, 'Customer Names'!B:B, "No Data")</f>
        <v>Lorton</v>
      </c>
      <c r="C347" s="28">
        <f t="array" ref="C347">_xlfn.XLOOKUP($A347, 'Medical Examinations'!$A:$A, 'Medical Examinations'!B:B, "No Data")</f>
        <v>39.21</v>
      </c>
      <c r="D347" s="28">
        <f t="array" ref="D347">_xlfn.XLOOKUP($A347, 'Medical Examinations'!$A:$A, 'Medical Examinations'!C:C, "No Data")</f>
        <v>5.04</v>
      </c>
      <c r="E347" s="28" t="str">
        <f t="array" ref="E347">_xlfn.XLOOKUP($A347, 'Medical Examinations'!$A:$A, 'Medical Examinations'!D:D, "No Data")</f>
        <v>No</v>
      </c>
      <c r="F347" s="28" t="str">
        <f t="array" ref="F347">_xlfn.XLOOKUP($A347, 'Medical Examinations'!$A:$A, 'Medical Examinations'!E:E, "No Data")</f>
        <v>No</v>
      </c>
      <c r="G347" s="28" t="str">
        <f t="array" ref="G347">_xlfn.XLOOKUP($A347, 'Medical Examinations'!$A:$A, 'Medical Examinations'!F:F, "No Data")</f>
        <v>Yes</v>
      </c>
      <c r="H347" s="28">
        <f t="array" ref="H347">_xlfn.XLOOKUP($A347, 'Medical Examinations'!$A:$A, 'Medical Examinations'!G:G, "No Data")</f>
        <v>1</v>
      </c>
      <c r="I347" s="28" t="str">
        <f t="array" ref="I347">_xlfn.XLOOKUP($A347, 'Medical Examinations'!$A:$A, 'Medical Examinations'!H:H, "No Data")</f>
        <v>yes</v>
      </c>
      <c r="J347" s="28" t="str">
        <f t="array" ref="J347">_xlfn.XLOOKUP($A347, 'Medical Examinations'!$A:$A, 'Medical Examinations'!I:I, "No Data")</f>
        <v>Obesity</v>
      </c>
      <c r="K347" s="28" t="str">
        <f t="array" ref="K347">_xlfn.XLOOKUP($A347, 'Hospitalisation Details'!$A:$A, 'Hospitalisation Details'!I:I, "No Data")</f>
        <v>tier - 3</v>
      </c>
      <c r="L347" s="28" t="str">
        <f t="array" ref="L347">_xlfn.XLOOKUP($A347, 'Hospitalisation Details'!$A:$A, 'Hospitalisation Details'!J:J, "No Data")</f>
        <v>R1011</v>
      </c>
      <c r="M347" s="28" t="str">
        <f t="array" ref="M347">_xlfn.XLOOKUP($A347, 'Hospitalisation Details'!$A:$A, 'Hospitalisation Details'!E:E, "No Data")</f>
        <v>01/09/03</v>
      </c>
      <c r="N347" s="28">
        <f t="array" ref="N347">_xlfn.XLOOKUP($A347, 'Hospitalisation Details'!$A:$A, 'Hospitalisation Details'!K:K, "No Data")</f>
        <v>19</v>
      </c>
      <c r="O347" s="33">
        <f t="array" ref="O347">_xlfn.XLOOKUP($A347, 'Hospitalisation Details'!$A:$A, 'Hospitalisation Details'!G:G, "No Data")</f>
        <v>28998.68</v>
      </c>
      <c r="P347" s="28" t="str">
        <f t="array" ref="P347">_xlfn.XLOOKUP($A347, 'Hospitalisation Details'!$A:$A, 'Hospitalisation Details'!H:H, "No Data")</f>
        <v>tier - 1</v>
      </c>
    </row>
    <row r="348">
      <c r="A348" s="25" t="s">
        <v>1107</v>
      </c>
      <c r="B348" s="28" t="str">
        <f t="array" ref="B348">_xlfn.XLOOKUP($A348, 'Customer Names'!$A:$A, 'Customer Names'!B:B, "No Data")</f>
        <v>Castaneda</v>
      </c>
      <c r="C348" s="28">
        <f t="array" ref="C348">_xlfn.XLOOKUP($A348, 'Medical Examinations'!$A:$A, 'Medical Examinations'!B:B, "No Data")</f>
        <v>26.98</v>
      </c>
      <c r="D348" s="28">
        <f t="array" ref="D348">_xlfn.XLOOKUP($A348, 'Medical Examinations'!$A:$A, 'Medical Examinations'!C:C, "No Data")</f>
        <v>5.21</v>
      </c>
      <c r="E348" s="28" t="str">
        <f t="array" ref="E348">_xlfn.XLOOKUP($A348, 'Medical Examinations'!$A:$A, 'Medical Examinations'!D:D, "No Data")</f>
        <v>yes</v>
      </c>
      <c r="F348" s="28" t="str">
        <f t="array" ref="F348">_xlfn.XLOOKUP($A348, 'Medical Examinations'!$A:$A, 'Medical Examinations'!E:E, "No Data")</f>
        <v>No</v>
      </c>
      <c r="G348" s="28" t="str">
        <f t="array" ref="G348">_xlfn.XLOOKUP($A348, 'Medical Examinations'!$A:$A, 'Medical Examinations'!F:F, "No Data")</f>
        <v>No</v>
      </c>
      <c r="H348" s="28">
        <f t="array" ref="H348">_xlfn.XLOOKUP($A348, 'Medical Examinations'!$A:$A, 'Medical Examinations'!G:G, "No Data")</f>
        <v>2</v>
      </c>
      <c r="I348" s="28" t="str">
        <f t="array" ref="I348">_xlfn.XLOOKUP($A348, 'Medical Examinations'!$A:$A, 'Medical Examinations'!H:H, "No Data")</f>
        <v>yes</v>
      </c>
      <c r="J348" s="28" t="str">
        <f t="array" ref="J348">_xlfn.XLOOKUP($A348, 'Medical Examinations'!$A:$A, 'Medical Examinations'!I:I, "No Data")</f>
        <v>Overweight</v>
      </c>
      <c r="K348" s="28" t="str">
        <f t="array" ref="K348">_xlfn.XLOOKUP($A348, 'Hospitalisation Details'!$A:$A, 'Hospitalisation Details'!I:I, "No Data")</f>
        <v>tier - 1</v>
      </c>
      <c r="L348" s="28" t="str">
        <f t="array" ref="L348">_xlfn.XLOOKUP($A348, 'Hospitalisation Details'!$A:$A, 'Hospitalisation Details'!J:J, "No Data")</f>
        <v>R1012</v>
      </c>
      <c r="M348" s="28" t="str">
        <f t="array" ref="M348">_xlfn.XLOOKUP($A348, 'Hospitalisation Details'!$A:$A, 'Hospitalisation Details'!E:E, "No Data")</f>
        <v>05/12/59</v>
      </c>
      <c r="N348" s="28">
        <f t="array" ref="N348">_xlfn.XLOOKUP($A348, 'Hospitalisation Details'!$A:$A, 'Hospitalisation Details'!K:K, "No Data")</f>
        <v>63</v>
      </c>
      <c r="O348" s="33">
        <f t="array" ref="O348">_xlfn.XLOOKUP($A348, 'Hospitalisation Details'!$A:$A, 'Hospitalisation Details'!G:G, "No Data")</f>
        <v>28950.47</v>
      </c>
      <c r="P348" s="28" t="str">
        <f t="array" ref="P348">_xlfn.XLOOKUP($A348, 'Hospitalisation Details'!$A:$A, 'Hospitalisation Details'!H:H, "No Data")</f>
        <v>tier - 1</v>
      </c>
    </row>
    <row r="349">
      <c r="A349" s="25" t="s">
        <v>1110</v>
      </c>
      <c r="B349" s="28" t="str">
        <f t="array" ref="B349">_xlfn.XLOOKUP($A349, 'Customer Names'!$A:$A, 'Customer Names'!B:B, "No Data")</f>
        <v>Cherop</v>
      </c>
      <c r="C349" s="28">
        <f t="array" ref="C349">_xlfn.XLOOKUP($A349, 'Medical Examinations'!$A:$A, 'Medical Examinations'!B:B, "No Data")</f>
        <v>25.84</v>
      </c>
      <c r="D349" s="28">
        <f t="array" ref="D349">_xlfn.XLOOKUP($A349, 'Medical Examinations'!$A:$A, 'Medical Examinations'!C:C, "No Data")</f>
        <v>8.83</v>
      </c>
      <c r="E349" s="28" t="str">
        <f t="array" ref="E349">_xlfn.XLOOKUP($A349, 'Medical Examinations'!$A:$A, 'Medical Examinations'!D:D, "No Data")</f>
        <v>No</v>
      </c>
      <c r="F349" s="28" t="str">
        <f t="array" ref="F349">_xlfn.XLOOKUP($A349, 'Medical Examinations'!$A:$A, 'Medical Examinations'!E:E, "No Data")</f>
        <v>No</v>
      </c>
      <c r="G349" s="28" t="str">
        <f t="array" ref="G349">_xlfn.XLOOKUP($A349, 'Medical Examinations'!$A:$A, 'Medical Examinations'!F:F, "No Data")</f>
        <v>No</v>
      </c>
      <c r="H349" s="28">
        <f t="array" ref="H349">_xlfn.XLOOKUP($A349, 'Medical Examinations'!$A:$A, 'Medical Examinations'!G:G, "No Data")</f>
        <v>0</v>
      </c>
      <c r="I349" s="28" t="str">
        <f t="array" ref="I349">_xlfn.XLOOKUP($A349, 'Medical Examinations'!$A:$A, 'Medical Examinations'!H:H, "No Data")</f>
        <v>No</v>
      </c>
      <c r="J349" s="28" t="str">
        <f t="array" ref="J349">_xlfn.XLOOKUP($A349, 'Medical Examinations'!$A:$A, 'Medical Examinations'!I:I, "No Data")</f>
        <v>Overweight</v>
      </c>
      <c r="K349" s="28" t="str">
        <f t="array" ref="K349">_xlfn.XLOOKUP($A349, 'Hospitalisation Details'!$A:$A, 'Hospitalisation Details'!I:I, "No Data")</f>
        <v>tier - 1</v>
      </c>
      <c r="L349" s="28" t="str">
        <f t="array" ref="L349">_xlfn.XLOOKUP($A349, 'Hospitalisation Details'!$A:$A, 'Hospitalisation Details'!J:J, "No Data")</f>
        <v>R1012</v>
      </c>
      <c r="M349" s="28" t="str">
        <f t="array" ref="M349">_xlfn.XLOOKUP($A349, 'Hospitalisation Details'!$A:$A, 'Hospitalisation Details'!E:E, "No Data")</f>
        <v>25/07/62</v>
      </c>
      <c r="N349" s="28">
        <f t="array" ref="N349">_xlfn.XLOOKUP($A349, 'Hospitalisation Details'!$A:$A, 'Hospitalisation Details'!K:K, "No Data")</f>
        <v>60</v>
      </c>
      <c r="O349" s="33">
        <f t="array" ref="O349">_xlfn.XLOOKUP($A349, 'Hospitalisation Details'!$A:$A, 'Hospitalisation Details'!G:G, "No Data")</f>
        <v>28923.14</v>
      </c>
      <c r="P349" s="28" t="str">
        <f t="array" ref="P349">_xlfn.XLOOKUP($A349, 'Hospitalisation Details'!$A:$A, 'Hospitalisation Details'!H:H, "No Data")</f>
        <v>tier - 1</v>
      </c>
    </row>
    <row r="350">
      <c r="A350" s="25" t="s">
        <v>1114</v>
      </c>
      <c r="B350" s="28" t="str">
        <f t="array" ref="B350">_xlfn.XLOOKUP($A350, 'Customer Names'!$A:$A, 'Customer Names'!B:B, "No Data")</f>
        <v>Howell</v>
      </c>
      <c r="C350" s="28">
        <f t="array" ref="C350">_xlfn.XLOOKUP($A350, 'Medical Examinations'!$A:$A, 'Medical Examinations'!B:B, "No Data")</f>
        <v>28.31</v>
      </c>
      <c r="D350" s="28">
        <f t="array" ref="D350">_xlfn.XLOOKUP($A350, 'Medical Examinations'!$A:$A, 'Medical Examinations'!C:C, "No Data")</f>
        <v>8.47</v>
      </c>
      <c r="E350" s="28" t="str">
        <f t="array" ref="E350">_xlfn.XLOOKUP($A350, 'Medical Examinations'!$A:$A, 'Medical Examinations'!D:D, "No Data")</f>
        <v>yes</v>
      </c>
      <c r="F350" s="28" t="str">
        <f t="array" ref="F350">_xlfn.XLOOKUP($A350, 'Medical Examinations'!$A:$A, 'Medical Examinations'!E:E, "No Data")</f>
        <v>No</v>
      </c>
      <c r="G350" s="28" t="str">
        <f t="array" ref="G350">_xlfn.XLOOKUP($A350, 'Medical Examinations'!$A:$A, 'Medical Examinations'!F:F, "No Data")</f>
        <v>No</v>
      </c>
      <c r="H350" s="28">
        <f t="array" ref="H350">_xlfn.XLOOKUP($A350, 'Medical Examinations'!$A:$A, 'Medical Examinations'!G:G, "No Data")</f>
        <v>2</v>
      </c>
      <c r="I350" s="28" t="str">
        <f t="array" ref="I350">_xlfn.XLOOKUP($A350, 'Medical Examinations'!$A:$A, 'Medical Examinations'!H:H, "No Data")</f>
        <v>yes</v>
      </c>
      <c r="J350" s="28" t="str">
        <f t="array" ref="J350">_xlfn.XLOOKUP($A350, 'Medical Examinations'!$A:$A, 'Medical Examinations'!I:I, "No Data")</f>
        <v>Overweight</v>
      </c>
      <c r="K350" s="28" t="str">
        <f t="array" ref="K350">_xlfn.XLOOKUP($A350, 'Hospitalisation Details'!$A:$A, 'Hospitalisation Details'!I:I, "No Data")</f>
        <v>tier - 2</v>
      </c>
      <c r="L350" s="28" t="str">
        <f t="array" ref="L350">_xlfn.XLOOKUP($A350, 'Hospitalisation Details'!$A:$A, 'Hospitalisation Details'!J:J, "No Data")</f>
        <v>R1012</v>
      </c>
      <c r="M350" s="28" t="str">
        <f t="array" ref="M350">_xlfn.XLOOKUP($A350, 'Hospitalisation Details'!$A:$A, 'Hospitalisation Details'!E:E, "No Data")</f>
        <v>03/08/61</v>
      </c>
      <c r="N350" s="28">
        <f t="array" ref="N350">_xlfn.XLOOKUP($A350, 'Hospitalisation Details'!$A:$A, 'Hospitalisation Details'!K:K, "No Data")</f>
        <v>61</v>
      </c>
      <c r="O350" s="33">
        <f t="array" ref="O350">_xlfn.XLOOKUP($A350, 'Hospitalisation Details'!$A:$A, 'Hospitalisation Details'!G:G, "No Data")</f>
        <v>28868.66</v>
      </c>
      <c r="P350" s="28" t="str">
        <f t="array" ref="P350">_xlfn.XLOOKUP($A350, 'Hospitalisation Details'!$A:$A, 'Hospitalisation Details'!H:H, "No Data")</f>
        <v>tier - 1</v>
      </c>
    </row>
    <row r="351">
      <c r="A351" s="25" t="s">
        <v>1118</v>
      </c>
      <c r="B351" s="28" t="str">
        <f t="array" ref="B351">_xlfn.XLOOKUP($A351, 'Customer Names'!$A:$A, 'Customer Names'!B:B, "No Data")</f>
        <v>Palmer</v>
      </c>
      <c r="C351" s="28">
        <f t="array" ref="C351">_xlfn.XLOOKUP($A351, 'Medical Examinations'!$A:$A, 'Medical Examinations'!B:B, "No Data")</f>
        <v>23.94</v>
      </c>
      <c r="D351" s="28">
        <f t="array" ref="D351">_xlfn.XLOOKUP($A351, 'Medical Examinations'!$A:$A, 'Medical Examinations'!C:C, "No Data")</f>
        <v>4.2</v>
      </c>
      <c r="E351" s="28" t="str">
        <f t="array" ref="E351">_xlfn.XLOOKUP($A351, 'Medical Examinations'!$A:$A, 'Medical Examinations'!D:D, "No Data")</f>
        <v>No</v>
      </c>
      <c r="F351" s="28" t="str">
        <f t="array" ref="F351">_xlfn.XLOOKUP($A351, 'Medical Examinations'!$A:$A, 'Medical Examinations'!E:E, "No Data")</f>
        <v>No</v>
      </c>
      <c r="G351" s="28" t="str">
        <f t="array" ref="G351">_xlfn.XLOOKUP($A351, 'Medical Examinations'!$A:$A, 'Medical Examinations'!F:F, "No Data")</f>
        <v>No</v>
      </c>
      <c r="H351" s="28">
        <f t="array" ref="H351">_xlfn.XLOOKUP($A351, 'Medical Examinations'!$A:$A, 'Medical Examinations'!G:G, "No Data")</f>
        <v>0</v>
      </c>
      <c r="I351" s="28" t="str">
        <f t="array" ref="I351">_xlfn.XLOOKUP($A351, 'Medical Examinations'!$A:$A, 'Medical Examinations'!H:H, "No Data")</f>
        <v>yes</v>
      </c>
      <c r="J351" s="28" t="str">
        <f t="array" ref="J351">_xlfn.XLOOKUP($A351, 'Medical Examinations'!$A:$A, 'Medical Examinations'!I:I, "No Data")</f>
        <v>Normal Weight</v>
      </c>
      <c r="K351" s="28" t="str">
        <f t="array" ref="K351">_xlfn.XLOOKUP($A351, 'Hospitalisation Details'!$A:$A, 'Hospitalisation Details'!I:I, "No Data")</f>
        <v>tier - 3</v>
      </c>
      <c r="L351" s="28" t="str">
        <f t="array" ref="L351">_xlfn.XLOOKUP($A351, 'Hospitalisation Details'!$A:$A, 'Hospitalisation Details'!J:J, "No Data")</f>
        <v>R1011</v>
      </c>
      <c r="M351" s="28" t="str">
        <f t="array" ref="M351">_xlfn.XLOOKUP($A351, 'Hospitalisation Details'!$A:$A, 'Hospitalisation Details'!E:E, "No Data")</f>
        <v>05/12/90</v>
      </c>
      <c r="N351" s="28">
        <f t="array" ref="N351">_xlfn.XLOOKUP($A351, 'Hospitalisation Details'!$A:$A, 'Hospitalisation Details'!K:K, "No Data")</f>
        <v>32</v>
      </c>
      <c r="O351" s="33">
        <f t="array" ref="O351">_xlfn.XLOOKUP($A351, 'Hospitalisation Details'!$A:$A, 'Hospitalisation Details'!G:G, "No Data")</f>
        <v>28716.14</v>
      </c>
      <c r="P351" s="28" t="str">
        <f t="array" ref="P351">_xlfn.XLOOKUP($A351, 'Hospitalisation Details'!$A:$A, 'Hospitalisation Details'!H:H, "No Data")</f>
        <v>tier - 1</v>
      </c>
    </row>
    <row r="352">
      <c r="A352" s="25" t="s">
        <v>1121</v>
      </c>
      <c r="B352" s="28" t="str">
        <f t="array" ref="B352">_xlfn.XLOOKUP($A352, 'Customer Names'!$A:$A, 'Customer Names'!B:B, "No Data")</f>
        <v>Olson</v>
      </c>
      <c r="C352" s="28">
        <f t="array" ref="C352">_xlfn.XLOOKUP($A352, 'Medical Examinations'!$A:$A, 'Medical Examinations'!B:B, "No Data")</f>
        <v>20.03</v>
      </c>
      <c r="D352" s="28">
        <f t="array" ref="D352">_xlfn.XLOOKUP($A352, 'Medical Examinations'!$A:$A, 'Medical Examinations'!C:C, "No Data")</f>
        <v>6.14</v>
      </c>
      <c r="E352" s="28" t="str">
        <f t="array" ref="E352">_xlfn.XLOOKUP($A352, 'Medical Examinations'!$A:$A, 'Medical Examinations'!D:D, "No Data")</f>
        <v>yes</v>
      </c>
      <c r="F352" s="28" t="str">
        <f t="array" ref="F352">_xlfn.XLOOKUP($A352, 'Medical Examinations'!$A:$A, 'Medical Examinations'!E:E, "No Data")</f>
        <v>No</v>
      </c>
      <c r="G352" s="28" t="str">
        <f t="array" ref="G352">_xlfn.XLOOKUP($A352, 'Medical Examinations'!$A:$A, 'Medical Examinations'!F:F, "No Data")</f>
        <v>No</v>
      </c>
      <c r="H352" s="28">
        <f t="array" ref="H352">_xlfn.XLOOKUP($A352, 'Medical Examinations'!$A:$A, 'Medical Examinations'!G:G, "No Data")</f>
        <v>0</v>
      </c>
      <c r="I352" s="28" t="str">
        <f t="array" ref="I352">_xlfn.XLOOKUP($A352, 'Medical Examinations'!$A:$A, 'Medical Examinations'!H:H, "No Data")</f>
        <v>yes</v>
      </c>
      <c r="J352" s="28" t="str">
        <f t="array" ref="J352">_xlfn.XLOOKUP($A352, 'Medical Examinations'!$A:$A, 'Medical Examinations'!I:I, "No Data")</f>
        <v>Normal Weight</v>
      </c>
      <c r="K352" s="28" t="str">
        <f t="array" ref="K352">_xlfn.XLOOKUP($A352, 'Hospitalisation Details'!$A:$A, 'Hospitalisation Details'!I:I, "No Data")</f>
        <v>tier - 3</v>
      </c>
      <c r="L352" s="28" t="str">
        <f t="array" ref="L352">_xlfn.XLOOKUP($A352, 'Hospitalisation Details'!$A:$A, 'Hospitalisation Details'!J:J, "No Data")</f>
        <v>R1011</v>
      </c>
      <c r="M352" s="28" t="str">
        <f t="array" ref="M352">_xlfn.XLOOKUP($A352, 'Hospitalisation Details'!$A:$A, 'Hospitalisation Details'!E:E, "No Data")</f>
        <v>27/09/85</v>
      </c>
      <c r="N352" s="28">
        <f t="array" ref="N352">_xlfn.XLOOKUP($A352, 'Hospitalisation Details'!$A:$A, 'Hospitalisation Details'!K:K, "No Data")</f>
        <v>37</v>
      </c>
      <c r="O352" s="33">
        <f t="array" ref="O352">_xlfn.XLOOKUP($A352, 'Hospitalisation Details'!$A:$A, 'Hospitalisation Details'!G:G, "No Data")</f>
        <v>28542.86</v>
      </c>
      <c r="P352" s="28" t="str">
        <f t="array" ref="P352">_xlfn.XLOOKUP($A352, 'Hospitalisation Details'!$A:$A, 'Hospitalisation Details'!H:H, "No Data")</f>
        <v>tier - 1</v>
      </c>
    </row>
    <row r="353">
      <c r="A353" s="25" t="s">
        <v>1125</v>
      </c>
      <c r="B353" s="28" t="str">
        <f t="array" ref="B353">_xlfn.XLOOKUP($A353, 'Customer Names'!$A:$A, 'Customer Names'!B:B, "No Data")</f>
        <v>Waldron</v>
      </c>
      <c r="C353" s="28">
        <f t="array" ref="C353">_xlfn.XLOOKUP($A353, 'Medical Examinations'!$A:$A, 'Medical Examinations'!B:B, "No Data")</f>
        <v>41.42</v>
      </c>
      <c r="D353" s="28">
        <f t="array" ref="D353">_xlfn.XLOOKUP($A353, 'Medical Examinations'!$A:$A, 'Medical Examinations'!C:C, "No Data")</f>
        <v>6.07</v>
      </c>
      <c r="E353" s="28" t="str">
        <f t="array" ref="E353">_xlfn.XLOOKUP($A353, 'Medical Examinations'!$A:$A, 'Medical Examinations'!D:D, "No Data")</f>
        <v>No</v>
      </c>
      <c r="F353" s="28" t="str">
        <f t="array" ref="F353">_xlfn.XLOOKUP($A353, 'Medical Examinations'!$A:$A, 'Medical Examinations'!E:E, "No Data")</f>
        <v>No</v>
      </c>
      <c r="G353" s="28" t="str">
        <f t="array" ref="G353">_xlfn.XLOOKUP($A353, 'Medical Examinations'!$A:$A, 'Medical Examinations'!F:F, "No Data")</f>
        <v>No</v>
      </c>
      <c r="H353" s="28">
        <f t="array" ref="H353">_xlfn.XLOOKUP($A353, 'Medical Examinations'!$A:$A, 'Medical Examinations'!G:G, "No Data")</f>
        <v>0</v>
      </c>
      <c r="I353" s="28" t="str">
        <f t="array" ref="I353">_xlfn.XLOOKUP($A353, 'Medical Examinations'!$A:$A, 'Medical Examinations'!H:H, "No Data")</f>
        <v>No</v>
      </c>
      <c r="J353" s="28" t="str">
        <f t="array" ref="J353">_xlfn.XLOOKUP($A353, 'Medical Examinations'!$A:$A, 'Medical Examinations'!I:I, "No Data")</f>
        <v>Obesity</v>
      </c>
      <c r="K353" s="28" t="str">
        <f t="array" ref="K353">_xlfn.XLOOKUP($A353, 'Hospitalisation Details'!$A:$A, 'Hospitalisation Details'!I:I, "No Data")</f>
        <v>tier - 2</v>
      </c>
      <c r="L353" s="28" t="str">
        <f t="array" ref="L353">_xlfn.XLOOKUP($A353, 'Hospitalisation Details'!$A:$A, 'Hospitalisation Details'!J:J, "No Data")</f>
        <v>R1012</v>
      </c>
      <c r="M353" s="28" t="str">
        <f t="array" ref="M353">_xlfn.XLOOKUP($A353, 'Hospitalisation Details'!$A:$A, 'Hospitalisation Details'!E:E, "No Data")</f>
        <v>11/12/82</v>
      </c>
      <c r="N353" s="28">
        <f t="array" ref="N353">_xlfn.XLOOKUP($A353, 'Hospitalisation Details'!$A:$A, 'Hospitalisation Details'!K:K, "No Data")</f>
        <v>40</v>
      </c>
      <c r="O353" s="33">
        <f t="array" ref="O353">_xlfn.XLOOKUP($A353, 'Hospitalisation Details'!$A:$A, 'Hospitalisation Details'!G:G, "No Data")</f>
        <v>28476.73</v>
      </c>
      <c r="P353" s="28" t="str">
        <f t="array" ref="P353">_xlfn.XLOOKUP($A353, 'Hospitalisation Details'!$A:$A, 'Hospitalisation Details'!H:H, "No Data")</f>
        <v>tier - 1</v>
      </c>
    </row>
    <row r="354">
      <c r="A354" s="25" t="s">
        <v>1129</v>
      </c>
      <c r="B354" s="28" t="str">
        <f t="array" ref="B354">_xlfn.XLOOKUP($A354, 'Customer Names'!$A:$A, 'Customer Names'!B:B, "No Data")</f>
        <v>Meyer</v>
      </c>
      <c r="C354" s="28">
        <f t="array" ref="C354">_xlfn.XLOOKUP($A354, 'Medical Examinations'!$A:$A, 'Medical Examinations'!B:B, "No Data")</f>
        <v>36.67</v>
      </c>
      <c r="D354" s="28">
        <f t="array" ref="D354">_xlfn.XLOOKUP($A354, 'Medical Examinations'!$A:$A, 'Medical Examinations'!C:C, "No Data")</f>
        <v>10.21</v>
      </c>
      <c r="E354" s="28" t="str">
        <f t="array" ref="E354">_xlfn.XLOOKUP($A354, 'Medical Examinations'!$A:$A, 'Medical Examinations'!D:D, "No Data")</f>
        <v>No</v>
      </c>
      <c r="F354" s="28" t="str">
        <f t="array" ref="F354">_xlfn.XLOOKUP($A354, 'Medical Examinations'!$A:$A, 'Medical Examinations'!E:E, "No Data")</f>
        <v>No</v>
      </c>
      <c r="G354" s="28" t="str">
        <f t="array" ref="G354">_xlfn.XLOOKUP($A354, 'Medical Examinations'!$A:$A, 'Medical Examinations'!F:F, "No Data")</f>
        <v>No</v>
      </c>
      <c r="H354" s="28">
        <f t="array" ref="H354">_xlfn.XLOOKUP($A354, 'Medical Examinations'!$A:$A, 'Medical Examinations'!G:G, "No Data")</f>
        <v>0</v>
      </c>
      <c r="I354" s="28" t="str">
        <f t="array" ref="I354">_xlfn.XLOOKUP($A354, 'Medical Examinations'!$A:$A, 'Medical Examinations'!H:H, "No Data")</f>
        <v>No</v>
      </c>
      <c r="J354" s="28" t="str">
        <f t="array" ref="J354">_xlfn.XLOOKUP($A354, 'Medical Examinations'!$A:$A, 'Medical Examinations'!I:I, "No Data")</f>
        <v>Obesity</v>
      </c>
      <c r="K354" s="28" t="str">
        <f t="array" ref="K354">_xlfn.XLOOKUP($A354, 'Hospitalisation Details'!$A:$A, 'Hospitalisation Details'!I:I, "No Data")</f>
        <v>tier - 1</v>
      </c>
      <c r="L354" s="28" t="str">
        <f t="array" ref="L354">_xlfn.XLOOKUP($A354, 'Hospitalisation Details'!$A:$A, 'Hospitalisation Details'!J:J, "No Data")</f>
        <v>R1012</v>
      </c>
      <c r="M354" s="28" t="str">
        <f t="array" ref="M354">_xlfn.XLOOKUP($A354, 'Hospitalisation Details'!$A:$A, 'Hospitalisation Details'!E:E, "No Data")</f>
        <v>16/09/74</v>
      </c>
      <c r="N354" s="28">
        <f t="array" ref="N354">_xlfn.XLOOKUP($A354, 'Hospitalisation Details'!$A:$A, 'Hospitalisation Details'!K:K, "No Data")</f>
        <v>48</v>
      </c>
      <c r="O354" s="33">
        <f t="array" ref="O354">_xlfn.XLOOKUP($A354, 'Hospitalisation Details'!$A:$A, 'Hospitalisation Details'!G:G, "No Data")</f>
        <v>28468.92</v>
      </c>
      <c r="P354" s="28" t="str">
        <f t="array" ref="P354">_xlfn.XLOOKUP($A354, 'Hospitalisation Details'!$A:$A, 'Hospitalisation Details'!H:H, "No Data")</f>
        <v>tier - 1</v>
      </c>
    </row>
    <row r="355">
      <c r="A355" s="25" t="s">
        <v>1132</v>
      </c>
      <c r="B355" s="28" t="str">
        <f t="array" ref="B355">_xlfn.XLOOKUP($A355, 'Customer Names'!$A:$A, 'Customer Names'!B:B, "No Data")</f>
        <v>Stack</v>
      </c>
      <c r="C355" s="28">
        <f t="array" ref="C355">_xlfn.XLOOKUP($A355, 'Medical Examinations'!$A:$A, 'Medical Examinations'!B:B, "No Data")</f>
        <v>27.645</v>
      </c>
      <c r="D355" s="28">
        <f t="array" ref="D355">_xlfn.XLOOKUP($A355, 'Medical Examinations'!$A:$A, 'Medical Examinations'!C:C, "No Data")</f>
        <v>4.69</v>
      </c>
      <c r="E355" s="28" t="str">
        <f t="array" ref="E355">_xlfn.XLOOKUP($A355, 'Medical Examinations'!$A:$A, 'Medical Examinations'!D:D, "No Data")</f>
        <v>No</v>
      </c>
      <c r="F355" s="28" t="str">
        <f t="array" ref="F355">_xlfn.XLOOKUP($A355, 'Medical Examinations'!$A:$A, 'Medical Examinations'!E:E, "No Data")</f>
        <v>No</v>
      </c>
      <c r="G355" s="28" t="str">
        <f t="array" ref="G355">_xlfn.XLOOKUP($A355, 'Medical Examinations'!$A:$A, 'Medical Examinations'!F:F, "No Data")</f>
        <v>No</v>
      </c>
      <c r="H355" s="28">
        <f t="array" ref="H355">_xlfn.XLOOKUP($A355, 'Medical Examinations'!$A:$A, 'Medical Examinations'!G:G, "No Data")</f>
        <v>0</v>
      </c>
      <c r="I355" s="28" t="str">
        <f t="array" ref="I355">_xlfn.XLOOKUP($A355, 'Medical Examinations'!$A:$A, 'Medical Examinations'!H:H, "No Data")</f>
        <v>No</v>
      </c>
      <c r="J355" s="28" t="str">
        <f t="array" ref="J355">_xlfn.XLOOKUP($A355, 'Medical Examinations'!$A:$A, 'Medical Examinations'!I:I, "No Data")</f>
        <v>Overweight</v>
      </c>
      <c r="K355" s="28" t="str">
        <f t="array" ref="K355">_xlfn.XLOOKUP($A355, 'Hospitalisation Details'!$A:$A, 'Hospitalisation Details'!I:I, "No Data")</f>
        <v>tier - 2</v>
      </c>
      <c r="L355" s="28" t="str">
        <f t="array" ref="L355">_xlfn.XLOOKUP($A355, 'Hospitalisation Details'!$A:$A, 'Hospitalisation Details'!J:J, "No Data")</f>
        <v>R1012</v>
      </c>
      <c r="M355" s="28" t="str">
        <f t="array" ref="M355">_xlfn.XLOOKUP($A355, 'Hospitalisation Details'!$A:$A, 'Hospitalisation Details'!E:E, "No Data")</f>
        <v>02/12/77</v>
      </c>
      <c r="N355" s="28">
        <f t="array" ref="N355">_xlfn.XLOOKUP($A355, 'Hospitalisation Details'!$A:$A, 'Hospitalisation Details'!K:K, "No Data")</f>
        <v>45</v>
      </c>
      <c r="O355" s="33">
        <f t="array" ref="O355">_xlfn.XLOOKUP($A355, 'Hospitalisation Details'!$A:$A, 'Hospitalisation Details'!G:G, "No Data")</f>
        <v>28340.19</v>
      </c>
      <c r="P355" s="28" t="str">
        <f t="array" ref="P355">_xlfn.XLOOKUP($A355, 'Hospitalisation Details'!$A:$A, 'Hospitalisation Details'!H:H, "No Data")</f>
        <v>tier - 1</v>
      </c>
    </row>
    <row r="356">
      <c r="A356" s="25" t="s">
        <v>1135</v>
      </c>
      <c r="B356" s="28" t="str">
        <f t="array" ref="B356">_xlfn.XLOOKUP($A356, 'Customer Names'!$A:$A, 'Customer Names'!B:B, "No Data")</f>
        <v>Sanchez Y Torres</v>
      </c>
      <c r="C356" s="28">
        <f t="array" ref="C356">_xlfn.XLOOKUP($A356, 'Medical Examinations'!$A:$A, 'Medical Examinations'!B:B, "No Data")</f>
        <v>22.72</v>
      </c>
      <c r="D356" s="28">
        <f t="array" ref="D356">_xlfn.XLOOKUP($A356, 'Medical Examinations'!$A:$A, 'Medical Examinations'!C:C, "No Data")</f>
        <v>5.71</v>
      </c>
      <c r="E356" s="28" t="str">
        <f t="array" ref="E356">_xlfn.XLOOKUP($A356, 'Medical Examinations'!$A:$A, 'Medical Examinations'!D:D, "No Data")</f>
        <v>No</v>
      </c>
      <c r="F356" s="28" t="str">
        <f t="array" ref="F356">_xlfn.XLOOKUP($A356, 'Medical Examinations'!$A:$A, 'Medical Examinations'!E:E, "No Data")</f>
        <v>No</v>
      </c>
      <c r="G356" s="28" t="str">
        <f t="array" ref="G356">_xlfn.XLOOKUP($A356, 'Medical Examinations'!$A:$A, 'Medical Examinations'!F:F, "No Data")</f>
        <v>No</v>
      </c>
      <c r="H356" s="28">
        <f t="array" ref="H356">_xlfn.XLOOKUP($A356, 'Medical Examinations'!$A:$A, 'Medical Examinations'!G:G, "No Data")</f>
        <v>0</v>
      </c>
      <c r="I356" s="28" t="str">
        <f t="array" ref="I356">_xlfn.XLOOKUP($A356, 'Medical Examinations'!$A:$A, 'Medical Examinations'!H:H, "No Data")</f>
        <v>yes</v>
      </c>
      <c r="J356" s="28" t="str">
        <f t="array" ref="J356">_xlfn.XLOOKUP($A356, 'Medical Examinations'!$A:$A, 'Medical Examinations'!I:I, "No Data")</f>
        <v>Normal Weight</v>
      </c>
      <c r="K356" s="28" t="str">
        <f t="array" ref="K356">_xlfn.XLOOKUP($A356, 'Hospitalisation Details'!$A:$A, 'Hospitalisation Details'!I:I, "No Data")</f>
        <v>tier - 2</v>
      </c>
      <c r="L356" s="28" t="str">
        <f t="array" ref="L356">_xlfn.XLOOKUP($A356, 'Hospitalisation Details'!$A:$A, 'Hospitalisation Details'!J:J, "No Data")</f>
        <v>R1011</v>
      </c>
      <c r="M356" s="28" t="str">
        <f t="array" ref="M356">_xlfn.XLOOKUP($A356, 'Hospitalisation Details'!$A:$A, 'Hospitalisation Details'!E:E, "No Data")</f>
        <v>24/12/90</v>
      </c>
      <c r="N356" s="28">
        <f t="array" ref="N356">_xlfn.XLOOKUP($A356, 'Hospitalisation Details'!$A:$A, 'Hospitalisation Details'!K:K, "No Data")</f>
        <v>32</v>
      </c>
      <c r="O356" s="33">
        <f t="array" ref="O356">_xlfn.XLOOKUP($A356, 'Hospitalisation Details'!$A:$A, 'Hospitalisation Details'!G:G, "No Data")</f>
        <v>28302.33</v>
      </c>
      <c r="P356" s="28" t="str">
        <f t="array" ref="P356">_xlfn.XLOOKUP($A356, 'Hospitalisation Details'!$A:$A, 'Hospitalisation Details'!H:H, "No Data")</f>
        <v>tier - 1</v>
      </c>
    </row>
    <row r="357">
      <c r="A357" s="25" t="s">
        <v>1139</v>
      </c>
      <c r="B357" s="28" t="str">
        <f t="array" ref="B357">_xlfn.XLOOKUP($A357, 'Customer Names'!$A:$A, 'Customer Names'!B:B, "No Data")</f>
        <v>Daniels</v>
      </c>
      <c r="C357" s="28">
        <f t="array" ref="C357">_xlfn.XLOOKUP($A357, 'Medical Examinations'!$A:$A, 'Medical Examinations'!B:B, "No Data")</f>
        <v>36.52</v>
      </c>
      <c r="D357" s="28">
        <f t="array" ref="D357">_xlfn.XLOOKUP($A357, 'Medical Examinations'!$A:$A, 'Medical Examinations'!C:C, "No Data")</f>
        <v>9.07</v>
      </c>
      <c r="E357" s="28" t="str">
        <f t="array" ref="E357">_xlfn.XLOOKUP($A357, 'Medical Examinations'!$A:$A, 'Medical Examinations'!D:D, "No Data")</f>
        <v>yes</v>
      </c>
      <c r="F357" s="28" t="str">
        <f t="array" ref="F357">_xlfn.XLOOKUP($A357, 'Medical Examinations'!$A:$A, 'Medical Examinations'!E:E, "No Data")</f>
        <v>No</v>
      </c>
      <c r="G357" s="28" t="str">
        <f t="array" ref="G357">_xlfn.XLOOKUP($A357, 'Medical Examinations'!$A:$A, 'Medical Examinations'!F:F, "No Data")</f>
        <v>Yes</v>
      </c>
      <c r="H357" s="28">
        <f t="array" ref="H357">_xlfn.XLOOKUP($A357, 'Medical Examinations'!$A:$A, 'Medical Examinations'!G:G, "No Data")</f>
        <v>1</v>
      </c>
      <c r="I357" s="28" t="str">
        <f t="array" ref="I357">_xlfn.XLOOKUP($A357, 'Medical Examinations'!$A:$A, 'Medical Examinations'!H:H, "No Data")</f>
        <v>No</v>
      </c>
      <c r="J357" s="28" t="str">
        <f t="array" ref="J357">_xlfn.XLOOKUP($A357, 'Medical Examinations'!$A:$A, 'Medical Examinations'!I:I, "No Data")</f>
        <v>Obesity</v>
      </c>
      <c r="K357" s="28" t="str">
        <f t="array" ref="K357">_xlfn.XLOOKUP($A357, 'Hospitalisation Details'!$A:$A, 'Hospitalisation Details'!I:I, "No Data")</f>
        <v>tier - 1</v>
      </c>
      <c r="L357" s="28" t="str">
        <f t="array" ref="L357">_xlfn.XLOOKUP($A357, 'Hospitalisation Details'!$A:$A, 'Hospitalisation Details'!J:J, "No Data")</f>
        <v>R1013</v>
      </c>
      <c r="M357" s="28" t="str">
        <f t="array" ref="M357">_xlfn.XLOOKUP($A357, 'Hospitalisation Details'!$A:$A, 'Hospitalisation Details'!E:E, "No Data")</f>
        <v>25/11/63</v>
      </c>
      <c r="N357" s="28">
        <f t="array" ref="N357">_xlfn.XLOOKUP($A357, 'Hospitalisation Details'!$A:$A, 'Hospitalisation Details'!K:K, "No Data")</f>
        <v>59</v>
      </c>
      <c r="O357" s="33">
        <f t="array" ref="O357">_xlfn.XLOOKUP($A357, 'Hospitalisation Details'!$A:$A, 'Hospitalisation Details'!G:G, "No Data")</f>
        <v>28287.9</v>
      </c>
      <c r="P357" s="28" t="str">
        <f t="array" ref="P357">_xlfn.XLOOKUP($A357, 'Hospitalisation Details'!$A:$A, 'Hospitalisation Details'!H:H, "No Data")</f>
        <v>tier - 1</v>
      </c>
    </row>
    <row r="358">
      <c r="A358" s="25" t="s">
        <v>1143</v>
      </c>
      <c r="B358" s="28" t="str">
        <f t="array" ref="B358">_xlfn.XLOOKUP($A358, 'Customer Names'!$A:$A, 'Customer Names'!B:B, "No Data")</f>
        <v>Pepp</v>
      </c>
      <c r="C358" s="28">
        <f t="array" ref="C358">_xlfn.XLOOKUP($A358, 'Medical Examinations'!$A:$A, 'Medical Examinations'!B:B, "No Data")</f>
        <v>33.96</v>
      </c>
      <c r="D358" s="28">
        <f t="array" ref="D358">_xlfn.XLOOKUP($A358, 'Medical Examinations'!$A:$A, 'Medical Examinations'!C:C, "No Data")</f>
        <v>4.99</v>
      </c>
      <c r="E358" s="28" t="str">
        <f t="array" ref="E358">_xlfn.XLOOKUP($A358, 'Medical Examinations'!$A:$A, 'Medical Examinations'!D:D, "No Data")</f>
        <v>No</v>
      </c>
      <c r="F358" s="28" t="str">
        <f t="array" ref="F358">_xlfn.XLOOKUP($A358, 'Medical Examinations'!$A:$A, 'Medical Examinations'!E:E, "No Data")</f>
        <v>No</v>
      </c>
      <c r="G358" s="28" t="str">
        <f t="array" ref="G358">_xlfn.XLOOKUP($A358, 'Medical Examinations'!$A:$A, 'Medical Examinations'!F:F, "No Data")</f>
        <v>No</v>
      </c>
      <c r="H358" s="28">
        <f t="array" ref="H358">_xlfn.XLOOKUP($A358, 'Medical Examinations'!$A:$A, 'Medical Examinations'!G:G, "No Data")</f>
        <v>0</v>
      </c>
      <c r="I358" s="28" t="str">
        <f t="array" ref="I358">_xlfn.XLOOKUP($A358, 'Medical Examinations'!$A:$A, 'Medical Examinations'!H:H, "No Data")</f>
        <v>yes</v>
      </c>
      <c r="J358" s="28" t="str">
        <f t="array" ref="J358">_xlfn.XLOOKUP($A358, 'Medical Examinations'!$A:$A, 'Medical Examinations'!I:I, "No Data")</f>
        <v>Obesity</v>
      </c>
      <c r="K358" s="28" t="str">
        <f t="array" ref="K358">_xlfn.XLOOKUP($A358, 'Hospitalisation Details'!$A:$A, 'Hospitalisation Details'!I:I, "No Data")</f>
        <v>tier - 3</v>
      </c>
      <c r="L358" s="28" t="str">
        <f t="array" ref="L358">_xlfn.XLOOKUP($A358, 'Hospitalisation Details'!$A:$A, 'Hospitalisation Details'!J:J, "No Data")</f>
        <v>R1011</v>
      </c>
      <c r="M358" s="28" t="str">
        <f t="array" ref="M358">_xlfn.XLOOKUP($A358, 'Hospitalisation Details'!$A:$A, 'Hospitalisation Details'!E:E, "No Data")</f>
        <v>06/09/99</v>
      </c>
      <c r="N358" s="28">
        <f t="array" ref="N358">_xlfn.XLOOKUP($A358, 'Hospitalisation Details'!$A:$A, 'Hospitalisation Details'!K:K, "No Data")</f>
        <v>23</v>
      </c>
      <c r="O358" s="33">
        <f t="array" ref="O358">_xlfn.XLOOKUP($A358, 'Hospitalisation Details'!$A:$A, 'Hospitalisation Details'!G:G, "No Data")</f>
        <v>28245.34</v>
      </c>
      <c r="P358" s="28" t="str">
        <f t="array" ref="P358">_xlfn.XLOOKUP($A358, 'Hospitalisation Details'!$A:$A, 'Hospitalisation Details'!H:H, "No Data")</f>
        <v>tier - 1</v>
      </c>
    </row>
    <row r="359">
      <c r="A359" s="25" t="s">
        <v>1146</v>
      </c>
      <c r="B359" s="28" t="str">
        <f t="array" ref="B359">_xlfn.XLOOKUP($A359, 'Customer Names'!$A:$A, 'Customer Names'!B:B, "No Data")</f>
        <v>Buechler</v>
      </c>
      <c r="C359" s="28">
        <f t="array" ref="C359">_xlfn.XLOOKUP($A359, 'Medical Examinations'!$A:$A, 'Medical Examinations'!B:B, "No Data")</f>
        <v>26.695</v>
      </c>
      <c r="D359" s="28">
        <f t="array" ref="D359">_xlfn.XLOOKUP($A359, 'Medical Examinations'!$A:$A, 'Medical Examinations'!C:C, "No Data")</f>
        <v>8.31</v>
      </c>
      <c r="E359" s="28" t="str">
        <f t="array" ref="E359">_xlfn.XLOOKUP($A359, 'Medical Examinations'!$A:$A, 'Medical Examinations'!D:D, "No Data")</f>
        <v>No</v>
      </c>
      <c r="F359" s="28" t="str">
        <f t="array" ref="F359">_xlfn.XLOOKUP($A359, 'Medical Examinations'!$A:$A, 'Medical Examinations'!E:E, "No Data")</f>
        <v>No</v>
      </c>
      <c r="G359" s="28" t="str">
        <f t="array" ref="G359">_xlfn.XLOOKUP($A359, 'Medical Examinations'!$A:$A, 'Medical Examinations'!F:F, "No Data")</f>
        <v>No</v>
      </c>
      <c r="H359" s="28">
        <f t="array" ref="H359">_xlfn.XLOOKUP($A359, 'Medical Examinations'!$A:$A, 'Medical Examinations'!G:G, "No Data")</f>
        <v>0</v>
      </c>
      <c r="I359" s="28" t="str">
        <f t="array" ref="I359">_xlfn.XLOOKUP($A359, 'Medical Examinations'!$A:$A, 'Medical Examinations'!H:H, "No Data")</f>
        <v>yes</v>
      </c>
      <c r="J359" s="28" t="str">
        <f t="array" ref="J359">_xlfn.XLOOKUP($A359, 'Medical Examinations'!$A:$A, 'Medical Examinations'!I:I, "No Data")</f>
        <v>Overweight</v>
      </c>
      <c r="K359" s="28" t="str">
        <f t="array" ref="K359">_xlfn.XLOOKUP($A359, 'Hospitalisation Details'!$A:$A, 'Hospitalisation Details'!I:I, "No Data")</f>
        <v>tier - 2</v>
      </c>
      <c r="L359" s="28" t="str">
        <f t="array" ref="L359">_xlfn.XLOOKUP($A359, 'Hospitalisation Details'!$A:$A, 'Hospitalisation Details'!J:J, "No Data")</f>
        <v>R1019</v>
      </c>
      <c r="M359" s="28" t="str">
        <f t="array" ref="M359">_xlfn.XLOOKUP($A359, 'Hospitalisation Details'!$A:$A, 'Hospitalisation Details'!E:E, "No Data")</f>
        <v>22/11/60</v>
      </c>
      <c r="N359" s="28">
        <f t="array" ref="N359">_xlfn.XLOOKUP($A359, 'Hospitalisation Details'!$A:$A, 'Hospitalisation Details'!K:K, "No Data")</f>
        <v>62</v>
      </c>
      <c r="O359" s="33">
        <f t="array" ref="O359">_xlfn.XLOOKUP($A359, 'Hospitalisation Details'!$A:$A, 'Hospitalisation Details'!G:G, "No Data")</f>
        <v>28101.33</v>
      </c>
      <c r="P359" s="28" t="str">
        <f t="array" ref="P359">_xlfn.XLOOKUP($A359, 'Hospitalisation Details'!$A:$A, 'Hospitalisation Details'!H:H, "No Data")</f>
        <v>tier - 1</v>
      </c>
    </row>
    <row r="360">
      <c r="A360" s="25" t="s">
        <v>1150</v>
      </c>
      <c r="B360" s="28" t="str">
        <f t="array" ref="B360">_xlfn.XLOOKUP($A360, 'Customer Names'!$A:$A, 'Customer Names'!B:B, "No Data")</f>
        <v>Buenting</v>
      </c>
      <c r="C360" s="28">
        <f t="array" ref="C360">_xlfn.XLOOKUP($A360, 'Medical Examinations'!$A:$A, 'Medical Examinations'!B:B, "No Data")</f>
        <v>18.45</v>
      </c>
      <c r="D360" s="28">
        <f t="array" ref="D360">_xlfn.XLOOKUP($A360, 'Medical Examinations'!$A:$A, 'Medical Examinations'!C:C, "No Data")</f>
        <v>5.07</v>
      </c>
      <c r="E360" s="28" t="str">
        <f t="array" ref="E360">_xlfn.XLOOKUP($A360, 'Medical Examinations'!$A:$A, 'Medical Examinations'!D:D, "No Data")</f>
        <v>yes</v>
      </c>
      <c r="F360" s="28" t="str">
        <f t="array" ref="F360">_xlfn.XLOOKUP($A360, 'Medical Examinations'!$A:$A, 'Medical Examinations'!E:E, "No Data")</f>
        <v>No</v>
      </c>
      <c r="G360" s="28" t="str">
        <f t="array" ref="G360">_xlfn.XLOOKUP($A360, 'Medical Examinations'!$A:$A, 'Medical Examinations'!F:F, "No Data")</f>
        <v>No</v>
      </c>
      <c r="H360" s="28">
        <f t="array" ref="H360">_xlfn.XLOOKUP($A360, 'Medical Examinations'!$A:$A, 'Medical Examinations'!G:G, "No Data")</f>
        <v>0</v>
      </c>
      <c r="I360" s="28" t="str">
        <f t="array" ref="I360">_xlfn.XLOOKUP($A360, 'Medical Examinations'!$A:$A, 'Medical Examinations'!H:H, "No Data")</f>
        <v>yes</v>
      </c>
      <c r="J360" s="28" t="str">
        <f t="array" ref="J360">_xlfn.XLOOKUP($A360, 'Medical Examinations'!$A:$A, 'Medical Examinations'!I:I, "No Data")</f>
        <v>Underweight</v>
      </c>
      <c r="K360" s="28" t="str">
        <f t="array" ref="K360">_xlfn.XLOOKUP($A360, 'Hospitalisation Details'!$A:$A, 'Hospitalisation Details'!I:I, "No Data")</f>
        <v>tier - 2</v>
      </c>
      <c r="L360" s="28" t="str">
        <f t="array" ref="L360">_xlfn.XLOOKUP($A360, 'Hospitalisation Details'!$A:$A, 'Hospitalisation Details'!J:J, "No Data")</f>
        <v>R1011</v>
      </c>
      <c r="M360" s="28" t="str">
        <f t="array" ref="M360">_xlfn.XLOOKUP($A360, 'Hospitalisation Details'!$A:$A, 'Hospitalisation Details'!E:E, "No Data")</f>
        <v>29/11/85</v>
      </c>
      <c r="N360" s="28">
        <f t="array" ref="N360">_xlfn.XLOOKUP($A360, 'Hospitalisation Details'!$A:$A, 'Hospitalisation Details'!K:K, "No Data")</f>
        <v>37</v>
      </c>
      <c r="O360" s="33">
        <f t="array" ref="O360">_xlfn.XLOOKUP($A360, 'Hospitalisation Details'!$A:$A, 'Hospitalisation Details'!G:G, "No Data")</f>
        <v>28006.94</v>
      </c>
      <c r="P360" s="28" t="str">
        <f t="array" ref="P360">_xlfn.XLOOKUP($A360, 'Hospitalisation Details'!$A:$A, 'Hospitalisation Details'!H:H, "No Data")</f>
        <v>tier - 1</v>
      </c>
    </row>
    <row r="361">
      <c r="A361" s="25" t="s">
        <v>1153</v>
      </c>
      <c r="B361" s="28" t="str">
        <f t="array" ref="B361">_xlfn.XLOOKUP($A361, 'Customer Names'!$A:$A, 'Customer Names'!B:B, "No Data")</f>
        <v>Evans</v>
      </c>
      <c r="C361" s="28">
        <f t="array" ref="C361">_xlfn.XLOOKUP($A361, 'Medical Examinations'!$A:$A, 'Medical Examinations'!B:B, "No Data")</f>
        <v>33.18</v>
      </c>
      <c r="D361" s="28">
        <f t="array" ref="D361">_xlfn.XLOOKUP($A361, 'Medical Examinations'!$A:$A, 'Medical Examinations'!C:C, "No Data")</f>
        <v>4.79</v>
      </c>
      <c r="E361" s="28" t="str">
        <f t="array" ref="E361">_xlfn.XLOOKUP($A361, 'Medical Examinations'!$A:$A, 'Medical Examinations'!D:D, "No Data")</f>
        <v>No</v>
      </c>
      <c r="F361" s="28" t="str">
        <f t="array" ref="F361">_xlfn.XLOOKUP($A361, 'Medical Examinations'!$A:$A, 'Medical Examinations'!E:E, "No Data")</f>
        <v>No</v>
      </c>
      <c r="G361" s="28" t="str">
        <f t="array" ref="G361">_xlfn.XLOOKUP($A361, 'Medical Examinations'!$A:$A, 'Medical Examinations'!F:F, "No Data")</f>
        <v>No</v>
      </c>
      <c r="H361" s="28">
        <f t="array" ref="H361">_xlfn.XLOOKUP($A361, 'Medical Examinations'!$A:$A, 'Medical Examinations'!G:G, "No Data")</f>
        <v>0</v>
      </c>
      <c r="I361" s="28" t="str">
        <f t="array" ref="I361">_xlfn.XLOOKUP($A361, 'Medical Examinations'!$A:$A, 'Medical Examinations'!H:H, "No Data")</f>
        <v>yes</v>
      </c>
      <c r="J361" s="28" t="str">
        <f t="array" ref="J361">_xlfn.XLOOKUP($A361, 'Medical Examinations'!$A:$A, 'Medical Examinations'!I:I, "No Data")</f>
        <v>Obesity</v>
      </c>
      <c r="K361" s="28" t="str">
        <f t="array" ref="K361">_xlfn.XLOOKUP($A361, 'Hospitalisation Details'!$A:$A, 'Hospitalisation Details'!I:I, "No Data")</f>
        <v>tier - 1</v>
      </c>
      <c r="L361" s="28" t="str">
        <f t="array" ref="L361">_xlfn.XLOOKUP($A361, 'Hospitalisation Details'!$A:$A, 'Hospitalisation Details'!J:J, "No Data")</f>
        <v>R1011</v>
      </c>
      <c r="M361" s="28" t="str">
        <f t="array" ref="M361">_xlfn.XLOOKUP($A361, 'Hospitalisation Details'!$A:$A, 'Hospitalisation Details'!E:E, "No Data")</f>
        <v>21/12/99</v>
      </c>
      <c r="N361" s="28">
        <f t="array" ref="N361">_xlfn.XLOOKUP($A361, 'Hospitalisation Details'!$A:$A, 'Hospitalisation Details'!K:K, "No Data")</f>
        <v>23</v>
      </c>
      <c r="O361" s="33">
        <f t="array" ref="O361">_xlfn.XLOOKUP($A361, 'Hospitalisation Details'!$A:$A, 'Hospitalisation Details'!G:G, "No Data")</f>
        <v>27980.77</v>
      </c>
      <c r="P361" s="28" t="str">
        <f t="array" ref="P361">_xlfn.XLOOKUP($A361, 'Hospitalisation Details'!$A:$A, 'Hospitalisation Details'!H:H, "No Data")</f>
        <v>tier - 1</v>
      </c>
    </row>
    <row r="362">
      <c r="A362" s="25" t="s">
        <v>1156</v>
      </c>
      <c r="B362" s="28" t="str">
        <f t="array" ref="B362">_xlfn.XLOOKUP($A362, 'Customer Names'!$A:$A, 'Customer Names'!B:B, "No Data")</f>
        <v>Arcand</v>
      </c>
      <c r="C362" s="28">
        <f t="array" ref="C362">_xlfn.XLOOKUP($A362, 'Medical Examinations'!$A:$A, 'Medical Examinations'!B:B, "No Data")</f>
        <v>36.1</v>
      </c>
      <c r="D362" s="28">
        <f t="array" ref="D362">_xlfn.XLOOKUP($A362, 'Medical Examinations'!$A:$A, 'Medical Examinations'!C:C, "No Data")</f>
        <v>11.39</v>
      </c>
      <c r="E362" s="28" t="str">
        <f t="array" ref="E362">_xlfn.XLOOKUP($A362, 'Medical Examinations'!$A:$A, 'Medical Examinations'!D:D, "No Data")</f>
        <v>yes</v>
      </c>
      <c r="F362" s="28" t="str">
        <f t="array" ref="F362">_xlfn.XLOOKUP($A362, 'Medical Examinations'!$A:$A, 'Medical Examinations'!E:E, "No Data")</f>
        <v>No</v>
      </c>
      <c r="G362" s="28" t="str">
        <f t="array" ref="G362">_xlfn.XLOOKUP($A362, 'Medical Examinations'!$A:$A, 'Medical Examinations'!F:F, "No Data")</f>
        <v>No</v>
      </c>
      <c r="H362" s="28">
        <f t="array" ref="H362">_xlfn.XLOOKUP($A362, 'Medical Examinations'!$A:$A, 'Medical Examinations'!G:G, "No Data")</f>
        <v>2</v>
      </c>
      <c r="I362" s="28" t="str">
        <f t="array" ref="I362">_xlfn.XLOOKUP($A362, 'Medical Examinations'!$A:$A, 'Medical Examinations'!H:H, "No Data")</f>
        <v>No</v>
      </c>
      <c r="J362" s="28" t="str">
        <f t="array" ref="J362">_xlfn.XLOOKUP($A362, 'Medical Examinations'!$A:$A, 'Medical Examinations'!I:I, "No Data")</f>
        <v>Obesity</v>
      </c>
      <c r="K362" s="28" t="str">
        <f t="array" ref="K362">_xlfn.XLOOKUP($A362, 'Hospitalisation Details'!$A:$A, 'Hospitalisation Details'!I:I, "No Data")</f>
        <v>tier - 3</v>
      </c>
      <c r="L362" s="28" t="str">
        <f t="array" ref="L362">_xlfn.XLOOKUP($A362, 'Hospitalisation Details'!$A:$A, 'Hospitalisation Details'!J:J, "No Data")</f>
        <v>R1011</v>
      </c>
      <c r="M362" s="28" t="str">
        <f t="array" ref="M362">_xlfn.XLOOKUP($A362, 'Hospitalisation Details'!$A:$A, 'Hospitalisation Details'!E:E, "No Data")</f>
        <v>28/07/61</v>
      </c>
      <c r="N362" s="28">
        <f t="array" ref="N362">_xlfn.XLOOKUP($A362, 'Hospitalisation Details'!$A:$A, 'Hospitalisation Details'!K:K, "No Data")</f>
        <v>61</v>
      </c>
      <c r="O362" s="33">
        <f t="array" ref="O362">_xlfn.XLOOKUP($A362, 'Hospitalisation Details'!$A:$A, 'Hospitalisation Details'!G:G, "No Data")</f>
        <v>27941.29</v>
      </c>
      <c r="P362" s="28" t="str">
        <f t="array" ref="P362">_xlfn.XLOOKUP($A362, 'Hospitalisation Details'!$A:$A, 'Hospitalisation Details'!H:H, "No Data")</f>
        <v>tier - 1</v>
      </c>
    </row>
    <row r="363">
      <c r="A363" s="25" t="s">
        <v>1160</v>
      </c>
      <c r="B363" s="28" t="str">
        <f t="array" ref="B363">_xlfn.XLOOKUP($A363, 'Customer Names'!$A:$A, 'Customer Names'!B:B, "No Data")</f>
        <v>Kesack</v>
      </c>
      <c r="C363" s="28">
        <f t="array" ref="C363">_xlfn.XLOOKUP($A363, 'Medical Examinations'!$A:$A, 'Medical Examinations'!B:B, "No Data")</f>
        <v>22.77</v>
      </c>
      <c r="D363" s="28">
        <f t="array" ref="D363">_xlfn.XLOOKUP($A363, 'Medical Examinations'!$A:$A, 'Medical Examinations'!C:C, "No Data")</f>
        <v>6</v>
      </c>
      <c r="E363" s="28" t="str">
        <f t="array" ref="E363">_xlfn.XLOOKUP($A363, 'Medical Examinations'!$A:$A, 'Medical Examinations'!D:D, "No Data")</f>
        <v>No</v>
      </c>
      <c r="F363" s="28" t="str">
        <f t="array" ref="F363">_xlfn.XLOOKUP($A363, 'Medical Examinations'!$A:$A, 'Medical Examinations'!E:E, "No Data")</f>
        <v>No</v>
      </c>
      <c r="G363" s="28" t="str">
        <f t="array" ref="G363">_xlfn.XLOOKUP($A363, 'Medical Examinations'!$A:$A, 'Medical Examinations'!F:F, "No Data")</f>
        <v>No</v>
      </c>
      <c r="H363" s="28">
        <f t="array" ref="H363">_xlfn.XLOOKUP($A363, 'Medical Examinations'!$A:$A, 'Medical Examinations'!G:G, "No Data")</f>
        <v>0</v>
      </c>
      <c r="I363" s="28" t="str">
        <f t="array" ref="I363">_xlfn.XLOOKUP($A363, 'Medical Examinations'!$A:$A, 'Medical Examinations'!H:H, "No Data")</f>
        <v>yes</v>
      </c>
      <c r="J363" s="28" t="str">
        <f t="array" ref="J363">_xlfn.XLOOKUP($A363, 'Medical Examinations'!$A:$A, 'Medical Examinations'!I:I, "No Data")</f>
        <v>Normal Weight</v>
      </c>
      <c r="K363" s="28" t="str">
        <f t="array" ref="K363">_xlfn.XLOOKUP($A363, 'Hospitalisation Details'!$A:$A, 'Hospitalisation Details'!I:I, "No Data")</f>
        <v>tier - 3</v>
      </c>
      <c r="L363" s="28" t="str">
        <f t="array" ref="L363">_xlfn.XLOOKUP($A363, 'Hospitalisation Details'!$A:$A, 'Hospitalisation Details'!J:J, "No Data")</f>
        <v>R1011</v>
      </c>
      <c r="M363" s="28" t="str">
        <f t="array" ref="M363">_xlfn.XLOOKUP($A363, 'Hospitalisation Details'!$A:$A, 'Hospitalisation Details'!E:E, "No Data")</f>
        <v>04/06/91</v>
      </c>
      <c r="N363" s="28">
        <f t="array" ref="N363">_xlfn.XLOOKUP($A363, 'Hospitalisation Details'!$A:$A, 'Hospitalisation Details'!K:K, "No Data")</f>
        <v>32</v>
      </c>
      <c r="O363" s="33">
        <f t="array" ref="O363">_xlfn.XLOOKUP($A363, 'Hospitalisation Details'!$A:$A, 'Hospitalisation Details'!G:G, "No Data")</f>
        <v>27931.11</v>
      </c>
      <c r="P363" s="28" t="str">
        <f t="array" ref="P363">_xlfn.XLOOKUP($A363, 'Hospitalisation Details'!$A:$A, 'Hospitalisation Details'!H:H, "No Data")</f>
        <v>tier - 1</v>
      </c>
    </row>
    <row r="364">
      <c r="A364" s="25" t="s">
        <v>1162</v>
      </c>
      <c r="B364" s="28" t="str">
        <f t="array" ref="B364">_xlfn.XLOOKUP($A364, 'Customer Names'!$A:$A, 'Customer Names'!B:B, "No Data")</f>
        <v>Post</v>
      </c>
      <c r="C364" s="28">
        <f t="array" ref="C364">_xlfn.XLOOKUP($A364, 'Medical Examinations'!$A:$A, 'Medical Examinations'!B:B, "No Data")</f>
        <v>21.24</v>
      </c>
      <c r="D364" s="28">
        <f t="array" ref="D364">_xlfn.XLOOKUP($A364, 'Medical Examinations'!$A:$A, 'Medical Examinations'!C:C, "No Data")</f>
        <v>5.13</v>
      </c>
      <c r="E364" s="28" t="str">
        <f t="array" ref="E364">_xlfn.XLOOKUP($A364, 'Medical Examinations'!$A:$A, 'Medical Examinations'!D:D, "No Data")</f>
        <v>No</v>
      </c>
      <c r="F364" s="28" t="str">
        <f t="array" ref="F364">_xlfn.XLOOKUP($A364, 'Medical Examinations'!$A:$A, 'Medical Examinations'!E:E, "No Data")</f>
        <v>No</v>
      </c>
      <c r="G364" s="28" t="str">
        <f t="array" ref="G364">_xlfn.XLOOKUP($A364, 'Medical Examinations'!$A:$A, 'Medical Examinations'!F:F, "No Data")</f>
        <v>No</v>
      </c>
      <c r="H364" s="28">
        <f t="array" ref="H364">_xlfn.XLOOKUP($A364, 'Medical Examinations'!$A:$A, 'Medical Examinations'!G:G, "No Data")</f>
        <v>0</v>
      </c>
      <c r="I364" s="28" t="str">
        <f t="array" ref="I364">_xlfn.XLOOKUP($A364, 'Medical Examinations'!$A:$A, 'Medical Examinations'!H:H, "No Data")</f>
        <v>yes</v>
      </c>
      <c r="J364" s="28" t="str">
        <f t="array" ref="J364">_xlfn.XLOOKUP($A364, 'Medical Examinations'!$A:$A, 'Medical Examinations'!I:I, "No Data")</f>
        <v>Normal Weight</v>
      </c>
      <c r="K364" s="28" t="str">
        <f t="array" ref="K364">_xlfn.XLOOKUP($A364, 'Hospitalisation Details'!$A:$A, 'Hospitalisation Details'!I:I, "No Data")</f>
        <v>tier - 2</v>
      </c>
      <c r="L364" s="28" t="str">
        <f t="array" ref="L364">_xlfn.XLOOKUP($A364, 'Hospitalisation Details'!$A:$A, 'Hospitalisation Details'!J:J, "No Data")</f>
        <v>R1011</v>
      </c>
      <c r="M364" s="28" t="str">
        <f t="array" ref="M364">_xlfn.XLOOKUP($A364, 'Hospitalisation Details'!$A:$A, 'Hospitalisation Details'!E:E, "No Data")</f>
        <v>21/11/89</v>
      </c>
      <c r="N364" s="28">
        <f t="array" ref="N364">_xlfn.XLOOKUP($A364, 'Hospitalisation Details'!$A:$A, 'Hospitalisation Details'!K:K, "No Data")</f>
        <v>33</v>
      </c>
      <c r="O364" s="33">
        <f t="array" ref="O364">_xlfn.XLOOKUP($A364, 'Hospitalisation Details'!$A:$A, 'Hospitalisation Details'!G:G, "No Data")</f>
        <v>27925.86</v>
      </c>
      <c r="P364" s="28" t="str">
        <f t="array" ref="P364">_xlfn.XLOOKUP($A364, 'Hospitalisation Details'!$A:$A, 'Hospitalisation Details'!H:H, "No Data")</f>
        <v>tier - 1</v>
      </c>
    </row>
    <row r="365">
      <c r="A365" s="25" t="s">
        <v>1166</v>
      </c>
      <c r="B365" s="28" t="str">
        <f t="array" ref="B365">_xlfn.XLOOKUP($A365, 'Customer Names'!$A:$A, 'Customer Names'!B:B, "No Data")</f>
        <v>Dunne</v>
      </c>
      <c r="C365" s="28">
        <f t="array" ref="C365">_xlfn.XLOOKUP($A365, 'Medical Examinations'!$A:$A, 'Medical Examinations'!B:B, "No Data")</f>
        <v>17.6</v>
      </c>
      <c r="D365" s="28">
        <f t="array" ref="D365">_xlfn.XLOOKUP($A365, 'Medical Examinations'!$A:$A, 'Medical Examinations'!C:C, "No Data")</f>
        <v>5.26</v>
      </c>
      <c r="E365" s="28" t="str">
        <f t="array" ref="E365">_xlfn.XLOOKUP($A365, 'Medical Examinations'!$A:$A, 'Medical Examinations'!D:D, "No Data")</f>
        <v>yes</v>
      </c>
      <c r="F365" s="28" t="str">
        <f t="array" ref="F365">_xlfn.XLOOKUP($A365, 'Medical Examinations'!$A:$A, 'Medical Examinations'!E:E, "No Data")</f>
        <v>No</v>
      </c>
      <c r="G365" s="28" t="str">
        <f t="array" ref="G365">_xlfn.XLOOKUP($A365, 'Medical Examinations'!$A:$A, 'Medical Examinations'!F:F, "No Data")</f>
        <v>No</v>
      </c>
      <c r="H365" s="28">
        <f t="array" ref="H365">_xlfn.XLOOKUP($A365, 'Medical Examinations'!$A:$A, 'Medical Examinations'!G:G, "No Data")</f>
        <v>0</v>
      </c>
      <c r="I365" s="28" t="str">
        <f t="array" ref="I365">_xlfn.XLOOKUP($A365, 'Medical Examinations'!$A:$A, 'Medical Examinations'!H:H, "No Data")</f>
        <v>yes</v>
      </c>
      <c r="J365" s="28" t="str">
        <f t="array" ref="J365">_xlfn.XLOOKUP($A365, 'Medical Examinations'!$A:$A, 'Medical Examinations'!I:I, "No Data")</f>
        <v>Underweight</v>
      </c>
      <c r="K365" s="28" t="str">
        <f t="array" ref="K365">_xlfn.XLOOKUP($A365, 'Hospitalisation Details'!$A:$A, 'Hospitalisation Details'!I:I, "No Data")</f>
        <v>tier - 1</v>
      </c>
      <c r="L365" s="28" t="str">
        <f t="array" ref="L365">_xlfn.XLOOKUP($A365, 'Hospitalisation Details'!$A:$A, 'Hospitalisation Details'!J:J, "No Data")</f>
        <v>R1011</v>
      </c>
      <c r="M365" s="28" t="str">
        <f t="array" ref="M365">_xlfn.XLOOKUP($A365, 'Hospitalisation Details'!$A:$A, 'Hospitalisation Details'!E:E, "No Data")</f>
        <v>04/12/85</v>
      </c>
      <c r="N365" s="28">
        <f t="array" ref="N365">_xlfn.XLOOKUP($A365, 'Hospitalisation Details'!$A:$A, 'Hospitalisation Details'!K:K, "No Data")</f>
        <v>37</v>
      </c>
      <c r="O365" s="33">
        <f t="array" ref="O365">_xlfn.XLOOKUP($A365, 'Hospitalisation Details'!$A:$A, 'Hospitalisation Details'!G:G, "No Data")</f>
        <v>27849.94</v>
      </c>
      <c r="P365" s="28" t="str">
        <f t="array" ref="P365">_xlfn.XLOOKUP($A365, 'Hospitalisation Details'!$A:$A, 'Hospitalisation Details'!H:H, "No Data")</f>
        <v>tier - 1</v>
      </c>
    </row>
    <row r="366">
      <c r="A366" s="25" t="s">
        <v>1169</v>
      </c>
      <c r="B366" s="28" t="str">
        <f t="array" ref="B366">_xlfn.XLOOKUP($A366, 'Customer Names'!$A:$A, 'Customer Names'!B:B, "No Data")</f>
        <v>Kilel</v>
      </c>
      <c r="C366" s="28">
        <f t="array" ref="C366">_xlfn.XLOOKUP($A366, 'Medical Examinations'!$A:$A, 'Medical Examinations'!B:B, "No Data")</f>
        <v>26.29</v>
      </c>
      <c r="D366" s="28">
        <f t="array" ref="D366">_xlfn.XLOOKUP($A366, 'Medical Examinations'!$A:$A, 'Medical Examinations'!C:C, "No Data")</f>
        <v>6.84</v>
      </c>
      <c r="E366" s="28" t="str">
        <f t="array" ref="E366">_xlfn.XLOOKUP($A366, 'Medical Examinations'!$A:$A, 'Medical Examinations'!D:D, "No Data")</f>
        <v>No</v>
      </c>
      <c r="F366" s="28" t="str">
        <f t="array" ref="F366">_xlfn.XLOOKUP($A366, 'Medical Examinations'!$A:$A, 'Medical Examinations'!E:E, "No Data")</f>
        <v>No</v>
      </c>
      <c r="G366" s="28" t="str">
        <f t="array" ref="G366">_xlfn.XLOOKUP($A366, 'Medical Examinations'!$A:$A, 'Medical Examinations'!F:F, "No Data")</f>
        <v>No</v>
      </c>
      <c r="H366" s="28">
        <f t="array" ref="H366">_xlfn.XLOOKUP($A366, 'Medical Examinations'!$A:$A, 'Medical Examinations'!G:G, "No Data")</f>
        <v>0</v>
      </c>
      <c r="I366" s="28" t="str">
        <f t="array" ref="I366">_xlfn.XLOOKUP($A366, 'Medical Examinations'!$A:$A, 'Medical Examinations'!H:H, "No Data")</f>
        <v>yes</v>
      </c>
      <c r="J366" s="28" t="str">
        <f t="array" ref="J366">_xlfn.XLOOKUP($A366, 'Medical Examinations'!$A:$A, 'Medical Examinations'!I:I, "No Data")</f>
        <v>Overweight</v>
      </c>
      <c r="K366" s="28" t="str">
        <f t="array" ref="K366">_xlfn.XLOOKUP($A366, 'Hospitalisation Details'!$A:$A, 'Hospitalisation Details'!I:I, "No Data")</f>
        <v>tier - 1</v>
      </c>
      <c r="L366" s="28" t="str">
        <f t="array" ref="L366">_xlfn.XLOOKUP($A366, 'Hospitalisation Details'!$A:$A, 'Hospitalisation Details'!J:J, "No Data")</f>
        <v>R1013</v>
      </c>
      <c r="M366" s="28" t="str">
        <f t="array" ref="M366">_xlfn.XLOOKUP($A366, 'Hospitalisation Details'!$A:$A, 'Hospitalisation Details'!E:E, "No Data")</f>
        <v>06/07/60</v>
      </c>
      <c r="N366" s="28">
        <f t="array" ref="N366">_xlfn.XLOOKUP($A366, 'Hospitalisation Details'!$A:$A, 'Hospitalisation Details'!K:K, "No Data")</f>
        <v>62</v>
      </c>
      <c r="O366" s="33">
        <f t="array" ref="O366">_xlfn.XLOOKUP($A366, 'Hospitalisation Details'!$A:$A, 'Hospitalisation Details'!G:G, "No Data")</f>
        <v>27808.73</v>
      </c>
      <c r="P366" s="28" t="str">
        <f t="array" ref="P366">_xlfn.XLOOKUP($A366, 'Hospitalisation Details'!$A:$A, 'Hospitalisation Details'!H:H, "No Data")</f>
        <v>tier - 1</v>
      </c>
    </row>
    <row r="367">
      <c r="A367" s="25" t="s">
        <v>1173</v>
      </c>
      <c r="B367" s="28" t="str">
        <f t="array" ref="B367">_xlfn.XLOOKUP($A367, 'Customer Names'!$A:$A, 'Customer Names'!B:B, "No Data")</f>
        <v>Nicholson</v>
      </c>
      <c r="C367" s="28">
        <f t="array" ref="C367">_xlfn.XLOOKUP($A367, 'Medical Examinations'!$A:$A, 'Medical Examinations'!B:B, "No Data")</f>
        <v>35.31</v>
      </c>
      <c r="D367" s="28">
        <f t="array" ref="D367">_xlfn.XLOOKUP($A367, 'Medical Examinations'!$A:$A, 'Medical Examinations'!C:C, "No Data")</f>
        <v>9.04</v>
      </c>
      <c r="E367" s="28" t="str">
        <f t="array" ref="E367">_xlfn.XLOOKUP($A367, 'Medical Examinations'!$A:$A, 'Medical Examinations'!D:D, "No Data")</f>
        <v>No</v>
      </c>
      <c r="F367" s="28" t="str">
        <f t="array" ref="F367">_xlfn.XLOOKUP($A367, 'Medical Examinations'!$A:$A, 'Medical Examinations'!E:E, "No Data")</f>
        <v>No</v>
      </c>
      <c r="G367" s="28" t="str">
        <f t="array" ref="G367">_xlfn.XLOOKUP($A367, 'Medical Examinations'!$A:$A, 'Medical Examinations'!F:F, "No Data")</f>
        <v>No</v>
      </c>
      <c r="H367" s="28">
        <f t="array" ref="H367">_xlfn.XLOOKUP($A367, 'Medical Examinations'!$A:$A, 'Medical Examinations'!G:G, "No Data")</f>
        <v>0</v>
      </c>
      <c r="I367" s="28" t="str">
        <f t="array" ref="I367">_xlfn.XLOOKUP($A367, 'Medical Examinations'!$A:$A, 'Medical Examinations'!H:H, "No Data")</f>
        <v>No</v>
      </c>
      <c r="J367" s="28" t="str">
        <f t="array" ref="J367">_xlfn.XLOOKUP($A367, 'Medical Examinations'!$A:$A, 'Medical Examinations'!I:I, "No Data")</f>
        <v>Obesity</v>
      </c>
      <c r="K367" s="28" t="str">
        <f t="array" ref="K367">_xlfn.XLOOKUP($A367, 'Hospitalisation Details'!$A:$A, 'Hospitalisation Details'!I:I, "No Data")</f>
        <v>tier - 3</v>
      </c>
      <c r="L367" s="28" t="str">
        <f t="array" ref="L367">_xlfn.XLOOKUP($A367, 'Hospitalisation Details'!$A:$A, 'Hospitalisation Details'!J:J, "No Data")</f>
        <v>R1013</v>
      </c>
      <c r="M367" s="28" t="str">
        <f t="array" ref="M367">_xlfn.XLOOKUP($A367, 'Hospitalisation Details'!$A:$A, 'Hospitalisation Details'!E:E, "No Data")</f>
        <v>06/12/02</v>
      </c>
      <c r="N367" s="28">
        <f t="array" ref="N367">_xlfn.XLOOKUP($A367, 'Hospitalisation Details'!$A:$A, 'Hospitalisation Details'!K:K, "No Data")</f>
        <v>20</v>
      </c>
      <c r="O367" s="33">
        <f t="array" ref="O367">_xlfn.XLOOKUP($A367, 'Hospitalisation Details'!$A:$A, 'Hospitalisation Details'!G:G, "No Data")</f>
        <v>27724.29</v>
      </c>
      <c r="P367" s="28" t="str">
        <f t="array" ref="P367">_xlfn.XLOOKUP($A367, 'Hospitalisation Details'!$A:$A, 'Hospitalisation Details'!H:H, "No Data")</f>
        <v>tier - 1</v>
      </c>
    </row>
    <row r="368">
      <c r="A368" s="25" t="s">
        <v>1177</v>
      </c>
      <c r="B368" s="28" t="str">
        <f t="array" ref="B368">_xlfn.XLOOKUP($A368, 'Customer Names'!$A:$A, 'Customer Names'!B:B, "No Data")</f>
        <v>Susmann</v>
      </c>
      <c r="C368" s="28">
        <f t="array" ref="C368">_xlfn.XLOOKUP($A368, 'Medical Examinations'!$A:$A, 'Medical Examinations'!B:B, "No Data")</f>
        <v>27.04</v>
      </c>
      <c r="D368" s="28">
        <f t="array" ref="D368">_xlfn.XLOOKUP($A368, 'Medical Examinations'!$A:$A, 'Medical Examinations'!C:C, "No Data")</f>
        <v>4.1</v>
      </c>
      <c r="E368" s="28" t="str">
        <f t="array" ref="E368">_xlfn.XLOOKUP($A368, 'Medical Examinations'!$A:$A, 'Medical Examinations'!D:D, "No Data")</f>
        <v>No</v>
      </c>
      <c r="F368" s="28" t="str">
        <f t="array" ref="F368">_xlfn.XLOOKUP($A368, 'Medical Examinations'!$A:$A, 'Medical Examinations'!E:E, "No Data")</f>
        <v>No</v>
      </c>
      <c r="G368" s="28" t="str">
        <f t="array" ref="G368">_xlfn.XLOOKUP($A368, 'Medical Examinations'!$A:$A, 'Medical Examinations'!F:F, "No Data")</f>
        <v>No</v>
      </c>
      <c r="H368" s="28">
        <f t="array" ref="H368">_xlfn.XLOOKUP($A368, 'Medical Examinations'!$A:$A, 'Medical Examinations'!G:G, "No Data")</f>
        <v>1</v>
      </c>
      <c r="I368" s="28" t="str">
        <f t="array" ref="I368">_xlfn.XLOOKUP($A368, 'Medical Examinations'!$A:$A, 'Medical Examinations'!H:H, "No Data")</f>
        <v>yes</v>
      </c>
      <c r="J368" s="28" t="str">
        <f t="array" ref="J368">_xlfn.XLOOKUP($A368, 'Medical Examinations'!$A:$A, 'Medical Examinations'!I:I, "No Data")</f>
        <v>Overweight</v>
      </c>
      <c r="K368" s="28" t="str">
        <f t="array" ref="K368">_xlfn.XLOOKUP($A368, 'Hospitalisation Details'!$A:$A, 'Hospitalisation Details'!I:I, "No Data")</f>
        <v>tier - 2</v>
      </c>
      <c r="L368" s="28" t="str">
        <f t="array" ref="L368">_xlfn.XLOOKUP($A368, 'Hospitalisation Details'!$A:$A, 'Hospitalisation Details'!J:J, "No Data")</f>
        <v>R1011</v>
      </c>
      <c r="M368" s="28" t="str">
        <f t="array" ref="M368">_xlfn.XLOOKUP($A368, 'Hospitalisation Details'!$A:$A, 'Hospitalisation Details'!E:E, "No Data")</f>
        <v>03/07/92</v>
      </c>
      <c r="N368" s="28">
        <f t="array" ref="N368">_xlfn.XLOOKUP($A368, 'Hospitalisation Details'!$A:$A, 'Hospitalisation Details'!K:K, "No Data")</f>
        <v>30</v>
      </c>
      <c r="O368" s="33">
        <f t="array" ref="O368">_xlfn.XLOOKUP($A368, 'Hospitalisation Details'!$A:$A, 'Hospitalisation Details'!G:G, "No Data")</f>
        <v>27696.11</v>
      </c>
      <c r="P368" s="28" t="str">
        <f t="array" ref="P368">_xlfn.XLOOKUP($A368, 'Hospitalisation Details'!$A:$A, 'Hospitalisation Details'!H:H, "No Data")</f>
        <v>tier - 1</v>
      </c>
    </row>
    <row r="369">
      <c r="A369" s="25" t="s">
        <v>1181</v>
      </c>
      <c r="B369" s="28" t="str">
        <f t="array" ref="B369">_xlfn.XLOOKUP($A369, 'Customer Names'!$A:$A, 'Customer Names'!B:B, "No Data")</f>
        <v>Harsh</v>
      </c>
      <c r="C369" s="28">
        <f t="array" ref="C369">_xlfn.XLOOKUP($A369, 'Medical Examinations'!$A:$A, 'Medical Examinations'!B:B, "No Data")</f>
        <v>30.23</v>
      </c>
      <c r="D369" s="28">
        <f t="array" ref="D369">_xlfn.XLOOKUP($A369, 'Medical Examinations'!$A:$A, 'Medical Examinations'!C:C, "No Data")</f>
        <v>4.23</v>
      </c>
      <c r="E369" s="28" t="str">
        <f t="array" ref="E369">_xlfn.XLOOKUP($A369, 'Medical Examinations'!$A:$A, 'Medical Examinations'!D:D, "No Data")</f>
        <v>yes</v>
      </c>
      <c r="F369" s="28" t="str">
        <f t="array" ref="F369">_xlfn.XLOOKUP($A369, 'Medical Examinations'!$A:$A, 'Medical Examinations'!E:E, "No Data")</f>
        <v>No</v>
      </c>
      <c r="G369" s="28" t="str">
        <f t="array" ref="G369">_xlfn.XLOOKUP($A369, 'Medical Examinations'!$A:$A, 'Medical Examinations'!F:F, "No Data")</f>
        <v>Yes</v>
      </c>
      <c r="H369" s="28">
        <f t="array" ref="H369">_xlfn.XLOOKUP($A369, 'Medical Examinations'!$A:$A, 'Medical Examinations'!G:G, "No Data")</f>
        <v>1</v>
      </c>
      <c r="I369" s="28" t="str">
        <f t="array" ref="I369">_xlfn.XLOOKUP($A369, 'Medical Examinations'!$A:$A, 'Medical Examinations'!H:H, "No Data")</f>
        <v>yes</v>
      </c>
      <c r="J369" s="28" t="str">
        <f t="array" ref="J369">_xlfn.XLOOKUP($A369, 'Medical Examinations'!$A:$A, 'Medical Examinations'!I:I, "No Data")</f>
        <v>Obesity</v>
      </c>
      <c r="K369" s="28" t="str">
        <f t="array" ref="K369">_xlfn.XLOOKUP($A369, 'Hospitalisation Details'!$A:$A, 'Hospitalisation Details'!I:I, "No Data")</f>
        <v>tier - 1</v>
      </c>
      <c r="L369" s="28" t="str">
        <f t="array" ref="L369">_xlfn.XLOOKUP($A369, 'Hospitalisation Details'!$A:$A, 'Hospitalisation Details'!J:J, "No Data")</f>
        <v>R1011</v>
      </c>
      <c r="M369" s="28" t="str">
        <f t="array" ref="M369">_xlfn.XLOOKUP($A369, 'Hospitalisation Details'!$A:$A, 'Hospitalisation Details'!E:E, "No Data")</f>
        <v>07/10/97</v>
      </c>
      <c r="N369" s="28">
        <f t="array" ref="N369">_xlfn.XLOOKUP($A369, 'Hospitalisation Details'!$A:$A, 'Hospitalisation Details'!K:K, "No Data")</f>
        <v>25</v>
      </c>
      <c r="O369" s="33">
        <f t="array" ref="O369">_xlfn.XLOOKUP($A369, 'Hospitalisation Details'!$A:$A, 'Hospitalisation Details'!G:G, "No Data")</f>
        <v>27625.17</v>
      </c>
      <c r="P369" s="28" t="str">
        <f t="array" ref="P369">_xlfn.XLOOKUP($A369, 'Hospitalisation Details'!$A:$A, 'Hospitalisation Details'!H:H, "No Data")</f>
        <v>tier - 1</v>
      </c>
    </row>
    <row r="370">
      <c r="A370" s="25" t="s">
        <v>1184</v>
      </c>
      <c r="B370" s="28" t="str">
        <f t="array" ref="B370">_xlfn.XLOOKUP($A370, 'Customer Names'!$A:$A, 'Customer Names'!B:B, "No Data")</f>
        <v>Pocasangre</v>
      </c>
      <c r="C370" s="28">
        <f t="array" ref="C370">_xlfn.XLOOKUP($A370, 'Medical Examinations'!$A:$A, 'Medical Examinations'!B:B, "No Data")</f>
        <v>30.6</v>
      </c>
      <c r="D370" s="28">
        <f t="array" ref="D370">_xlfn.XLOOKUP($A370, 'Medical Examinations'!$A:$A, 'Medical Examinations'!C:C, "No Data")</f>
        <v>6.48</v>
      </c>
      <c r="E370" s="28" t="str">
        <f t="array" ref="E370">_xlfn.XLOOKUP($A370, 'Medical Examinations'!$A:$A, 'Medical Examinations'!D:D, "No Data")</f>
        <v>yes</v>
      </c>
      <c r="F370" s="28" t="str">
        <f t="array" ref="F370">_xlfn.XLOOKUP($A370, 'Medical Examinations'!$A:$A, 'Medical Examinations'!E:E, "No Data")</f>
        <v>No</v>
      </c>
      <c r="G370" s="28" t="str">
        <f t="array" ref="G370">_xlfn.XLOOKUP($A370, 'Medical Examinations'!$A:$A, 'Medical Examinations'!F:F, "No Data")</f>
        <v>Yes</v>
      </c>
      <c r="H370" s="28">
        <f t="array" ref="H370">_xlfn.XLOOKUP($A370, 'Medical Examinations'!$A:$A, 'Medical Examinations'!G:G, "No Data")</f>
        <v>1</v>
      </c>
      <c r="I370" s="28" t="str">
        <f t="array" ref="I370">_xlfn.XLOOKUP($A370, 'Medical Examinations'!$A:$A, 'Medical Examinations'!H:H, "No Data")</f>
        <v>yes</v>
      </c>
      <c r="J370" s="28" t="str">
        <f t="array" ref="J370">_xlfn.XLOOKUP($A370, 'Medical Examinations'!$A:$A, 'Medical Examinations'!I:I, "No Data")</f>
        <v>Obesity</v>
      </c>
      <c r="K370" s="28" t="str">
        <f t="array" ref="K370">_xlfn.XLOOKUP($A370, 'Hospitalisation Details'!$A:$A, 'Hospitalisation Details'!I:I, "No Data")</f>
        <v>tier - 3</v>
      </c>
      <c r="L370" s="28" t="str">
        <f t="array" ref="L370">_xlfn.XLOOKUP($A370, 'Hospitalisation Details'!$A:$A, 'Hospitalisation Details'!J:J, "No Data")</f>
        <v>R1011</v>
      </c>
      <c r="M370" s="28" t="str">
        <f t="array" ref="M370">_xlfn.XLOOKUP($A370, 'Hospitalisation Details'!$A:$A, 'Hospitalisation Details'!E:E, "No Data")</f>
        <v>09/09/97</v>
      </c>
      <c r="N370" s="28">
        <f t="array" ref="N370">_xlfn.XLOOKUP($A370, 'Hospitalisation Details'!$A:$A, 'Hospitalisation Details'!K:K, "No Data")</f>
        <v>25</v>
      </c>
      <c r="O370" s="33">
        <f t="array" ref="O370">_xlfn.XLOOKUP($A370, 'Hospitalisation Details'!$A:$A, 'Hospitalisation Details'!G:G, "No Data")</f>
        <v>27619.36</v>
      </c>
      <c r="P370" s="28" t="str">
        <f t="array" ref="P370">_xlfn.XLOOKUP($A370, 'Hospitalisation Details'!$A:$A, 'Hospitalisation Details'!H:H, "No Data")</f>
        <v>tier - 2</v>
      </c>
    </row>
    <row r="371">
      <c r="A371" s="25" t="s">
        <v>1188</v>
      </c>
      <c r="B371" s="28" t="str">
        <f t="array" ref="B371">_xlfn.XLOOKUP($A371, 'Customer Names'!$A:$A, 'Customer Names'!B:B, "No Data")</f>
        <v>Martinez Lopez</v>
      </c>
      <c r="C371" s="28">
        <f t="array" ref="C371">_xlfn.XLOOKUP($A371, 'Medical Examinations'!$A:$A, 'Medical Examinations'!B:B, "No Data")</f>
        <v>26.8</v>
      </c>
      <c r="D371" s="28">
        <f t="array" ref="D371">_xlfn.XLOOKUP($A371, 'Medical Examinations'!$A:$A, 'Medical Examinations'!C:C, "No Data")</f>
        <v>5.53</v>
      </c>
      <c r="E371" s="28" t="str">
        <f t="array" ref="E371">_xlfn.XLOOKUP($A371, 'Medical Examinations'!$A:$A, 'Medical Examinations'!D:D, "No Data")</f>
        <v>No</v>
      </c>
      <c r="F371" s="28" t="str">
        <f t="array" ref="F371">_xlfn.XLOOKUP($A371, 'Medical Examinations'!$A:$A, 'Medical Examinations'!E:E, "No Data")</f>
        <v>No</v>
      </c>
      <c r="G371" s="28" t="str">
        <f t="array" ref="G371">_xlfn.XLOOKUP($A371, 'Medical Examinations'!$A:$A, 'Medical Examinations'!F:F, "No Data")</f>
        <v>No</v>
      </c>
      <c r="H371" s="28">
        <f t="array" ref="H371">_xlfn.XLOOKUP($A371, 'Medical Examinations'!$A:$A, 'Medical Examinations'!G:G, "No Data")</f>
        <v>1</v>
      </c>
      <c r="I371" s="28" t="str">
        <f t="array" ref="I371">_xlfn.XLOOKUP($A371, 'Medical Examinations'!$A:$A, 'Medical Examinations'!H:H, "No Data")</f>
        <v>yes</v>
      </c>
      <c r="J371" s="28" t="str">
        <f t="array" ref="J371">_xlfn.XLOOKUP($A371, 'Medical Examinations'!$A:$A, 'Medical Examinations'!I:I, "No Data")</f>
        <v>Overweight</v>
      </c>
      <c r="K371" s="28" t="str">
        <f t="array" ref="K371">_xlfn.XLOOKUP($A371, 'Hospitalisation Details'!$A:$A, 'Hospitalisation Details'!I:I, "No Data")</f>
        <v>tier - 3</v>
      </c>
      <c r="L371" s="28" t="str">
        <f t="array" ref="L371">_xlfn.XLOOKUP($A371, 'Hospitalisation Details'!$A:$A, 'Hospitalisation Details'!J:J, "No Data")</f>
        <v>R1011</v>
      </c>
      <c r="M371" s="28" t="str">
        <f t="array" ref="M371">_xlfn.XLOOKUP($A371, 'Hospitalisation Details'!$A:$A, 'Hospitalisation Details'!E:E, "No Data")</f>
        <v>11/06/92</v>
      </c>
      <c r="N371" s="28">
        <f t="array" ref="N371">_xlfn.XLOOKUP($A371, 'Hospitalisation Details'!$A:$A, 'Hospitalisation Details'!K:K, "No Data")</f>
        <v>30</v>
      </c>
      <c r="O371" s="33">
        <f t="array" ref="O371">_xlfn.XLOOKUP($A371, 'Hospitalisation Details'!$A:$A, 'Hospitalisation Details'!G:G, "No Data")</f>
        <v>27614.71</v>
      </c>
      <c r="P371" s="28" t="str">
        <f t="array" ref="P371">_xlfn.XLOOKUP($A371, 'Hospitalisation Details'!$A:$A, 'Hospitalisation Details'!H:H, "No Data")</f>
        <v>tier - 2</v>
      </c>
    </row>
    <row r="372">
      <c r="A372" s="25" t="s">
        <v>1192</v>
      </c>
      <c r="B372" s="28" t="str">
        <f t="array" ref="B372">_xlfn.XLOOKUP($A372, 'Customer Names'!$A:$A, 'Customer Names'!B:B, "No Data")</f>
        <v>Riegel</v>
      </c>
      <c r="C372" s="28">
        <f t="array" ref="C372">_xlfn.XLOOKUP($A372, 'Medical Examinations'!$A:$A, 'Medical Examinations'!B:B, "No Data")</f>
        <v>16.86</v>
      </c>
      <c r="D372" s="28">
        <f t="array" ref="D372">_xlfn.XLOOKUP($A372, 'Medical Examinations'!$A:$A, 'Medical Examinations'!C:C, "No Data")</f>
        <v>4.07</v>
      </c>
      <c r="E372" s="28" t="str">
        <f t="array" ref="E372">_xlfn.XLOOKUP($A372, 'Medical Examinations'!$A:$A, 'Medical Examinations'!D:D, "No Data")</f>
        <v>yes</v>
      </c>
      <c r="F372" s="28" t="str">
        <f t="array" ref="F372">_xlfn.XLOOKUP($A372, 'Medical Examinations'!$A:$A, 'Medical Examinations'!E:E, "No Data")</f>
        <v>No</v>
      </c>
      <c r="G372" s="28" t="str">
        <f t="array" ref="G372">_xlfn.XLOOKUP($A372, 'Medical Examinations'!$A:$A, 'Medical Examinations'!F:F, "No Data")</f>
        <v>No</v>
      </c>
      <c r="H372" s="28">
        <f t="array" ref="H372">_xlfn.XLOOKUP($A372, 'Medical Examinations'!$A:$A, 'Medical Examinations'!G:G, "No Data")</f>
        <v>0</v>
      </c>
      <c r="I372" s="28" t="str">
        <f t="array" ref="I372">_xlfn.XLOOKUP($A372, 'Medical Examinations'!$A:$A, 'Medical Examinations'!H:H, "No Data")</f>
        <v>yes</v>
      </c>
      <c r="J372" s="28" t="str">
        <f t="array" ref="J372">_xlfn.XLOOKUP($A372, 'Medical Examinations'!$A:$A, 'Medical Examinations'!I:I, "No Data")</f>
        <v>Underweight</v>
      </c>
      <c r="K372" s="28" t="str">
        <f t="array" ref="K372">_xlfn.XLOOKUP($A372, 'Hospitalisation Details'!$A:$A, 'Hospitalisation Details'!I:I, "No Data")</f>
        <v>tier - 1</v>
      </c>
      <c r="L372" s="28" t="str">
        <f t="array" ref="L372">_xlfn.XLOOKUP($A372, 'Hospitalisation Details'!$A:$A, 'Hospitalisation Details'!J:J, "No Data")</f>
        <v>R1011</v>
      </c>
      <c r="M372" s="28" t="str">
        <f t="array" ref="M372">_xlfn.XLOOKUP($A372, 'Hospitalisation Details'!$A:$A, 'Hospitalisation Details'!E:E, "No Data")</f>
        <v>06/11/85</v>
      </c>
      <c r="N372" s="28">
        <f t="array" ref="N372">_xlfn.XLOOKUP($A372, 'Hospitalisation Details'!$A:$A, 'Hospitalisation Details'!K:K, "No Data")</f>
        <v>37</v>
      </c>
      <c r="O372" s="33">
        <f t="array" ref="O372">_xlfn.XLOOKUP($A372, 'Hospitalisation Details'!$A:$A, 'Hospitalisation Details'!G:G, "No Data")</f>
        <v>27598.93</v>
      </c>
      <c r="P372" s="28" t="str">
        <f t="array" ref="P372">_xlfn.XLOOKUP($A372, 'Hospitalisation Details'!$A:$A, 'Hospitalisation Details'!H:H, "No Data")</f>
        <v>tier - 2</v>
      </c>
    </row>
    <row r="373">
      <c r="A373" s="25" t="s">
        <v>1196</v>
      </c>
      <c r="B373" s="28" t="str">
        <f t="array" ref="B373">_xlfn.XLOOKUP($A373, 'Customer Names'!$A:$A, 'Customer Names'!B:B, "No Data")</f>
        <v>Monson</v>
      </c>
      <c r="C373" s="28">
        <f t="array" ref="C373">_xlfn.XLOOKUP($A373, 'Medical Examinations'!$A:$A, 'Medical Examinations'!B:B, "No Data")</f>
        <v>16.3</v>
      </c>
      <c r="D373" s="28">
        <f t="array" ref="D373">_xlfn.XLOOKUP($A373, 'Medical Examinations'!$A:$A, 'Medical Examinations'!C:C, "No Data")</f>
        <v>5.51</v>
      </c>
      <c r="E373" s="28" t="str">
        <f t="array" ref="E373">_xlfn.XLOOKUP($A373, 'Medical Examinations'!$A:$A, 'Medical Examinations'!D:D, "No Data")</f>
        <v>No</v>
      </c>
      <c r="F373" s="28" t="str">
        <f t="array" ref="F373">_xlfn.XLOOKUP($A373, 'Medical Examinations'!$A:$A, 'Medical Examinations'!E:E, "No Data")</f>
        <v>No</v>
      </c>
      <c r="G373" s="28" t="str">
        <f t="array" ref="G373">_xlfn.XLOOKUP($A373, 'Medical Examinations'!$A:$A, 'Medical Examinations'!F:F, "No Data")</f>
        <v>No</v>
      </c>
      <c r="H373" s="28">
        <f t="array" ref="H373">_xlfn.XLOOKUP($A373, 'Medical Examinations'!$A:$A, 'Medical Examinations'!G:G, "No Data")</f>
        <v>1</v>
      </c>
      <c r="I373" s="28" t="str">
        <f t="array" ref="I373">_xlfn.XLOOKUP($A373, 'Medical Examinations'!$A:$A, 'Medical Examinations'!H:H, "No Data")</f>
        <v>yes</v>
      </c>
      <c r="J373" s="28" t="str">
        <f t="array" ref="J373">_xlfn.XLOOKUP($A373, 'Medical Examinations'!$A:$A, 'Medical Examinations'!I:I, "No Data")</f>
        <v>Underweight</v>
      </c>
      <c r="K373" s="28" t="str">
        <f t="array" ref="K373">_xlfn.XLOOKUP($A373, 'Hospitalisation Details'!$A:$A, 'Hospitalisation Details'!I:I, "No Data")</f>
        <v>tier - 2</v>
      </c>
      <c r="L373" s="28" t="str">
        <f t="array" ref="L373">_xlfn.XLOOKUP($A373, 'Hospitalisation Details'!$A:$A, 'Hospitalisation Details'!J:J, "No Data")</f>
        <v>R1011</v>
      </c>
      <c r="M373" s="28" t="str">
        <f t="array" ref="M373">_xlfn.XLOOKUP($A373, 'Hospitalisation Details'!$A:$A, 'Hospitalisation Details'!E:E, "No Data")</f>
        <v>22/07/84</v>
      </c>
      <c r="N373" s="28">
        <f t="array" ref="N373">_xlfn.XLOOKUP($A373, 'Hospitalisation Details'!$A:$A, 'Hospitalisation Details'!K:K, "No Data")</f>
        <v>38</v>
      </c>
      <c r="O373" s="33">
        <f t="array" ref="O373">_xlfn.XLOOKUP($A373, 'Hospitalisation Details'!$A:$A, 'Hospitalisation Details'!G:G, "No Data")</f>
        <v>27534.53</v>
      </c>
      <c r="P373" s="28" t="str">
        <f t="array" ref="P373">_xlfn.XLOOKUP($A373, 'Hospitalisation Details'!$A:$A, 'Hospitalisation Details'!H:H, "No Data")</f>
        <v>tier - 2</v>
      </c>
    </row>
    <row r="374">
      <c r="A374" s="25" t="s">
        <v>1199</v>
      </c>
      <c r="B374" s="28" t="str">
        <f t="array" ref="B374">_xlfn.XLOOKUP($A374, 'Customer Names'!$A:$A, 'Customer Names'!B:B, "No Data")</f>
        <v>Klubben</v>
      </c>
      <c r="C374" s="28">
        <f t="array" ref="C374">_xlfn.XLOOKUP($A374, 'Medical Examinations'!$A:$A, 'Medical Examinations'!B:B, "No Data")</f>
        <v>29.81</v>
      </c>
      <c r="D374" s="28">
        <f t="array" ref="D374">_xlfn.XLOOKUP($A374, 'Medical Examinations'!$A:$A, 'Medical Examinations'!C:C, "No Data")</f>
        <v>11.66</v>
      </c>
      <c r="E374" s="28" t="str">
        <f t="array" ref="E374">_xlfn.XLOOKUP($A374, 'Medical Examinations'!$A:$A, 'Medical Examinations'!D:D, "No Data")</f>
        <v>No</v>
      </c>
      <c r="F374" s="28" t="str">
        <f t="array" ref="F374">_xlfn.XLOOKUP($A374, 'Medical Examinations'!$A:$A, 'Medical Examinations'!E:E, "No Data")</f>
        <v>No</v>
      </c>
      <c r="G374" s="28" t="str">
        <f t="array" ref="G374">_xlfn.XLOOKUP($A374, 'Medical Examinations'!$A:$A, 'Medical Examinations'!F:F, "No Data")</f>
        <v>No</v>
      </c>
      <c r="H374" s="28">
        <f t="array" ref="H374">_xlfn.XLOOKUP($A374, 'Medical Examinations'!$A:$A, 'Medical Examinations'!G:G, "No Data")</f>
        <v>0</v>
      </c>
      <c r="I374" s="28" t="str">
        <f t="array" ref="I374">_xlfn.XLOOKUP($A374, 'Medical Examinations'!$A:$A, 'Medical Examinations'!H:H, "No Data")</f>
        <v>yes</v>
      </c>
      <c r="J374" s="28" t="str">
        <f t="array" ref="J374">_xlfn.XLOOKUP($A374, 'Medical Examinations'!$A:$A, 'Medical Examinations'!I:I, "No Data")</f>
        <v>Overweight</v>
      </c>
      <c r="K374" s="28" t="str">
        <f t="array" ref="K374">_xlfn.XLOOKUP($A374, 'Hospitalisation Details'!$A:$A, 'Hospitalisation Details'!I:I, "No Data")</f>
        <v>tier - 3</v>
      </c>
      <c r="L374" s="28" t="str">
        <f t="array" ref="L374">_xlfn.XLOOKUP($A374, 'Hospitalisation Details'!$A:$A, 'Hospitalisation Details'!J:J, "No Data")</f>
        <v>R1013</v>
      </c>
      <c r="M374" s="28" t="str">
        <f t="array" ref="M374">_xlfn.XLOOKUP($A374, 'Hospitalisation Details'!$A:$A, 'Hospitalisation Details'!E:E, "No Data")</f>
        <v>19/10/65</v>
      </c>
      <c r="N374" s="28">
        <f t="array" ref="N374">_xlfn.XLOOKUP($A374, 'Hospitalisation Details'!$A:$A, 'Hospitalisation Details'!K:K, "No Data")</f>
        <v>57</v>
      </c>
      <c r="O374" s="33">
        <f t="array" ref="O374">_xlfn.XLOOKUP($A374, 'Hospitalisation Details'!$A:$A, 'Hospitalisation Details'!G:G, "No Data")</f>
        <v>27533.91</v>
      </c>
      <c r="P374" s="28" t="str">
        <f t="array" ref="P374">_xlfn.XLOOKUP($A374, 'Hospitalisation Details'!$A:$A, 'Hospitalisation Details'!H:H, "No Data")</f>
        <v>tier - 2</v>
      </c>
    </row>
    <row r="375">
      <c r="A375" s="25" t="s">
        <v>1203</v>
      </c>
      <c r="B375" s="28" t="str">
        <f t="array" ref="B375">_xlfn.XLOOKUP($A375, 'Customer Names'!$A:$A, 'Customer Names'!B:B, "No Data")</f>
        <v>Mascaro</v>
      </c>
      <c r="C375" s="28">
        <f t="array" ref="C375">_xlfn.XLOOKUP($A375, 'Medical Examinations'!$A:$A, 'Medical Examinations'!B:B, "No Data")</f>
        <v>16.33</v>
      </c>
      <c r="D375" s="28">
        <f t="array" ref="D375">_xlfn.XLOOKUP($A375, 'Medical Examinations'!$A:$A, 'Medical Examinations'!C:C, "No Data")</f>
        <v>7.26</v>
      </c>
      <c r="E375" s="28" t="str">
        <f t="array" ref="E375">_xlfn.XLOOKUP($A375, 'Medical Examinations'!$A:$A, 'Medical Examinations'!D:D, "No Data")</f>
        <v>yes</v>
      </c>
      <c r="F375" s="28" t="str">
        <f t="array" ref="F375">_xlfn.XLOOKUP($A375, 'Medical Examinations'!$A:$A, 'Medical Examinations'!E:E, "No Data")</f>
        <v>No</v>
      </c>
      <c r="G375" s="28" t="str">
        <f t="array" ref="G375">_xlfn.XLOOKUP($A375, 'Medical Examinations'!$A:$A, 'Medical Examinations'!F:F, "No Data")</f>
        <v>No</v>
      </c>
      <c r="H375" s="28">
        <f t="array" ref="H375">_xlfn.XLOOKUP($A375, 'Medical Examinations'!$A:$A, 'Medical Examinations'!G:G, "No Data")</f>
        <v>0</v>
      </c>
      <c r="I375" s="28" t="str">
        <f t="array" ref="I375">_xlfn.XLOOKUP($A375, 'Medical Examinations'!$A:$A, 'Medical Examinations'!H:H, "No Data")</f>
        <v>yes</v>
      </c>
      <c r="J375" s="28" t="str">
        <f t="array" ref="J375">_xlfn.XLOOKUP($A375, 'Medical Examinations'!$A:$A, 'Medical Examinations'!I:I, "No Data")</f>
        <v>Underweight</v>
      </c>
      <c r="K375" s="28" t="str">
        <f t="array" ref="K375">_xlfn.XLOOKUP($A375, 'Hospitalisation Details'!$A:$A, 'Hospitalisation Details'!I:I, "No Data")</f>
        <v>tier - 1</v>
      </c>
      <c r="L375" s="28" t="str">
        <f t="array" ref="L375">_xlfn.XLOOKUP($A375, 'Hospitalisation Details'!$A:$A, 'Hospitalisation Details'!J:J, "No Data")</f>
        <v>R1011</v>
      </c>
      <c r="M375" s="28" t="str">
        <f t="array" ref="M375">_xlfn.XLOOKUP($A375, 'Hospitalisation Details'!$A:$A, 'Hospitalisation Details'!E:E, "No Data")</f>
        <v>03/10/81</v>
      </c>
      <c r="N375" s="28">
        <f t="array" ref="N375">_xlfn.XLOOKUP($A375, 'Hospitalisation Details'!$A:$A, 'Hospitalisation Details'!K:K, "No Data")</f>
        <v>41</v>
      </c>
      <c r="O375" s="33">
        <f t="array" ref="O375">_xlfn.XLOOKUP($A375, 'Hospitalisation Details'!$A:$A, 'Hospitalisation Details'!G:G, "No Data")</f>
        <v>27495.59</v>
      </c>
      <c r="P375" s="28" t="str">
        <f t="array" ref="P375">_xlfn.XLOOKUP($A375, 'Hospitalisation Details'!$A:$A, 'Hospitalisation Details'!H:H, "No Data")</f>
        <v>tier - 2</v>
      </c>
    </row>
    <row r="376">
      <c r="A376" s="25" t="s">
        <v>1206</v>
      </c>
      <c r="B376" s="28" t="str">
        <f t="array" ref="B376">_xlfn.XLOOKUP($A376, 'Customer Names'!$A:$A, 'Customer Names'!B:B, "No Data")</f>
        <v>Norvell</v>
      </c>
      <c r="C376" s="28">
        <f t="array" ref="C376">_xlfn.XLOOKUP($A376, 'Medical Examinations'!$A:$A, 'Medical Examinations'!B:B, "No Data")</f>
        <v>16.37</v>
      </c>
      <c r="D376" s="28">
        <f t="array" ref="D376">_xlfn.XLOOKUP($A376, 'Medical Examinations'!$A:$A, 'Medical Examinations'!C:C, "No Data")</f>
        <v>4.79</v>
      </c>
      <c r="E376" s="28" t="str">
        <f t="array" ref="E376">_xlfn.XLOOKUP($A376, 'Medical Examinations'!$A:$A, 'Medical Examinations'!D:D, "No Data")</f>
        <v>yes</v>
      </c>
      <c r="F376" s="28" t="str">
        <f t="array" ref="F376">_xlfn.XLOOKUP($A376, 'Medical Examinations'!$A:$A, 'Medical Examinations'!E:E, "No Data")</f>
        <v>No</v>
      </c>
      <c r="G376" s="28" t="str">
        <f t="array" ref="G376">_xlfn.XLOOKUP($A376, 'Medical Examinations'!$A:$A, 'Medical Examinations'!F:F, "No Data")</f>
        <v>No</v>
      </c>
      <c r="H376" s="28">
        <f t="array" ref="H376">_xlfn.XLOOKUP($A376, 'Medical Examinations'!$A:$A, 'Medical Examinations'!G:G, "No Data")</f>
        <v>0</v>
      </c>
      <c r="I376" s="28" t="str">
        <f t="array" ref="I376">_xlfn.XLOOKUP($A376, 'Medical Examinations'!$A:$A, 'Medical Examinations'!H:H, "No Data")</f>
        <v>yes</v>
      </c>
      <c r="J376" s="28" t="str">
        <f t="array" ref="J376">_xlfn.XLOOKUP($A376, 'Medical Examinations'!$A:$A, 'Medical Examinations'!I:I, "No Data")</f>
        <v>Underweight</v>
      </c>
      <c r="K376" s="28" t="str">
        <f t="array" ref="K376">_xlfn.XLOOKUP($A376, 'Hospitalisation Details'!$A:$A, 'Hospitalisation Details'!I:I, "No Data")</f>
        <v>tier - 1</v>
      </c>
      <c r="L376" s="28" t="str">
        <f t="array" ref="L376">_xlfn.XLOOKUP($A376, 'Hospitalisation Details'!$A:$A, 'Hospitalisation Details'!J:J, "No Data")</f>
        <v>R1011</v>
      </c>
      <c r="M376" s="28" t="str">
        <f t="array" ref="M376">_xlfn.XLOOKUP($A376, 'Hospitalisation Details'!$A:$A, 'Hospitalisation Details'!E:E, "No Data")</f>
        <v>05/12/85</v>
      </c>
      <c r="N376" s="28">
        <f t="array" ref="N376">_xlfn.XLOOKUP($A376, 'Hospitalisation Details'!$A:$A, 'Hospitalisation Details'!K:K, "No Data")</f>
        <v>37</v>
      </c>
      <c r="O376" s="33">
        <f t="array" ref="O376">_xlfn.XLOOKUP($A376, 'Hospitalisation Details'!$A:$A, 'Hospitalisation Details'!G:G, "No Data")</f>
        <v>27432.73</v>
      </c>
      <c r="P376" s="28" t="str">
        <f t="array" ref="P376">_xlfn.XLOOKUP($A376, 'Hospitalisation Details'!$A:$A, 'Hospitalisation Details'!H:H, "No Data")</f>
        <v>tier - 2</v>
      </c>
    </row>
    <row r="377">
      <c r="A377" s="25" t="s">
        <v>1210</v>
      </c>
      <c r="B377" s="28" t="str">
        <f t="array" ref="B377">_xlfn.XLOOKUP($A377, 'Customer Names'!$A:$A, 'Customer Names'!B:B, "No Data")</f>
        <v>Ornelas</v>
      </c>
      <c r="C377" s="28">
        <f t="array" ref="C377">_xlfn.XLOOKUP($A377, 'Medical Examinations'!$A:$A, 'Medical Examinations'!B:B, "No Data")</f>
        <v>22.42</v>
      </c>
      <c r="D377" s="28">
        <f t="array" ref="D377">_xlfn.XLOOKUP($A377, 'Medical Examinations'!$A:$A, 'Medical Examinations'!C:C, "No Data")</f>
        <v>4.68</v>
      </c>
      <c r="E377" s="28" t="str">
        <f t="array" ref="E377">_xlfn.XLOOKUP($A377, 'Medical Examinations'!$A:$A, 'Medical Examinations'!D:D, "No Data")</f>
        <v>yes</v>
      </c>
      <c r="F377" s="28" t="str">
        <f t="array" ref="F377">_xlfn.XLOOKUP($A377, 'Medical Examinations'!$A:$A, 'Medical Examinations'!E:E, "No Data")</f>
        <v>No</v>
      </c>
      <c r="G377" s="28" t="str">
        <f t="array" ref="G377">_xlfn.XLOOKUP($A377, 'Medical Examinations'!$A:$A, 'Medical Examinations'!F:F, "No Data")</f>
        <v>No</v>
      </c>
      <c r="H377" s="28">
        <f t="array" ref="H377">_xlfn.XLOOKUP($A377, 'Medical Examinations'!$A:$A, 'Medical Examinations'!G:G, "No Data")</f>
        <v>1</v>
      </c>
      <c r="I377" s="28" t="str">
        <f t="array" ref="I377">_xlfn.XLOOKUP($A377, 'Medical Examinations'!$A:$A, 'Medical Examinations'!H:H, "No Data")</f>
        <v>No</v>
      </c>
      <c r="J377" s="28" t="str">
        <f t="array" ref="J377">_xlfn.XLOOKUP($A377, 'Medical Examinations'!$A:$A, 'Medical Examinations'!I:I, "No Data")</f>
        <v>Normal Weight</v>
      </c>
      <c r="K377" s="28" t="str">
        <f t="array" ref="K377">_xlfn.XLOOKUP($A377, 'Hospitalisation Details'!$A:$A, 'Hospitalisation Details'!I:I, "No Data")</f>
        <v>tier - 3</v>
      </c>
      <c r="L377" s="28" t="str">
        <f t="array" ref="L377">_xlfn.XLOOKUP($A377, 'Hospitalisation Details'!$A:$A, 'Hospitalisation Details'!J:J, "No Data")</f>
        <v>R1015</v>
      </c>
      <c r="M377" s="28" t="str">
        <f t="array" ref="M377">_xlfn.XLOOKUP($A377, 'Hospitalisation Details'!$A:$A, 'Hospitalisation Details'!E:E, "No Data")</f>
        <v>15/09/88</v>
      </c>
      <c r="N377" s="28">
        <f t="array" ref="N377">_xlfn.XLOOKUP($A377, 'Hospitalisation Details'!$A:$A, 'Hospitalisation Details'!K:K, "No Data")</f>
        <v>34</v>
      </c>
      <c r="O377" s="33">
        <f t="array" ref="O377">_xlfn.XLOOKUP($A377, 'Hospitalisation Details'!$A:$A, 'Hospitalisation Details'!G:G, "No Data")</f>
        <v>27375.9</v>
      </c>
      <c r="P377" s="28" t="str">
        <f t="array" ref="P377">_xlfn.XLOOKUP($A377, 'Hospitalisation Details'!$A:$A, 'Hospitalisation Details'!H:H, "No Data")</f>
        <v>tier - 2</v>
      </c>
    </row>
    <row r="378">
      <c r="A378" s="25" t="s">
        <v>1213</v>
      </c>
      <c r="B378" s="28" t="str">
        <f t="array" ref="B378">_xlfn.XLOOKUP($A378, 'Customer Names'!$A:$A, 'Customer Names'!B:B, "No Data")</f>
        <v>Fitzpatrick</v>
      </c>
      <c r="C378" s="28">
        <f t="array" ref="C378">_xlfn.XLOOKUP($A378, 'Medical Examinations'!$A:$A, 'Medical Examinations'!B:B, "No Data")</f>
        <v>31.35</v>
      </c>
      <c r="D378" s="28">
        <f t="array" ref="D378">_xlfn.XLOOKUP($A378, 'Medical Examinations'!$A:$A, 'Medical Examinations'!C:C, "No Data")</f>
        <v>4.33</v>
      </c>
      <c r="E378" s="28" t="str">
        <f t="array" ref="E378">_xlfn.XLOOKUP($A378, 'Medical Examinations'!$A:$A, 'Medical Examinations'!D:D, "No Data")</f>
        <v>yes</v>
      </c>
      <c r="F378" s="28" t="str">
        <f t="array" ref="F378">_xlfn.XLOOKUP($A378, 'Medical Examinations'!$A:$A, 'Medical Examinations'!E:E, "No Data")</f>
        <v>No</v>
      </c>
      <c r="G378" s="28" t="str">
        <f t="array" ref="G378">_xlfn.XLOOKUP($A378, 'Medical Examinations'!$A:$A, 'Medical Examinations'!F:F, "No Data")</f>
        <v>Yes</v>
      </c>
      <c r="H378" s="28">
        <f t="array" ref="H378">_xlfn.XLOOKUP($A378, 'Medical Examinations'!$A:$A, 'Medical Examinations'!G:G, "No Data")</f>
        <v>1</v>
      </c>
      <c r="I378" s="28" t="str">
        <f t="array" ref="I378">_xlfn.XLOOKUP($A378, 'Medical Examinations'!$A:$A, 'Medical Examinations'!H:H, "No Data")</f>
        <v>No</v>
      </c>
      <c r="J378" s="28" t="str">
        <f t="array" ref="J378">_xlfn.XLOOKUP($A378, 'Medical Examinations'!$A:$A, 'Medical Examinations'!I:I, "No Data")</f>
        <v>Obesity</v>
      </c>
      <c r="K378" s="28" t="str">
        <f t="array" ref="K378">_xlfn.XLOOKUP($A378, 'Hospitalisation Details'!$A:$A, 'Hospitalisation Details'!I:I, "No Data")</f>
        <v>tier - 2</v>
      </c>
      <c r="L378" s="28" t="str">
        <f t="array" ref="L378">_xlfn.XLOOKUP($A378, 'Hospitalisation Details'!$A:$A, 'Hospitalisation Details'!J:J, "No Data")</f>
        <v>R1013</v>
      </c>
      <c r="M378" s="28" t="str">
        <f t="array" ref="M378">_xlfn.XLOOKUP($A378, 'Hospitalisation Details'!$A:$A, 'Hospitalisation Details'!E:E, "No Data")</f>
        <v>16/10/69</v>
      </c>
      <c r="N378" s="28">
        <f t="array" ref="N378">_xlfn.XLOOKUP($A378, 'Hospitalisation Details'!$A:$A, 'Hospitalisation Details'!K:K, "No Data")</f>
        <v>53</v>
      </c>
      <c r="O378" s="33">
        <f t="array" ref="O378">_xlfn.XLOOKUP($A378, 'Hospitalisation Details'!$A:$A, 'Hospitalisation Details'!G:G, "No Data")</f>
        <v>27346.04</v>
      </c>
      <c r="P378" s="28" t="str">
        <f t="array" ref="P378">_xlfn.XLOOKUP($A378, 'Hospitalisation Details'!$A:$A, 'Hospitalisation Details'!H:H, "No Data")</f>
        <v>tier - 2</v>
      </c>
    </row>
    <row r="379">
      <c r="A379" s="25" t="s">
        <v>1216</v>
      </c>
      <c r="B379" s="28" t="str">
        <f t="array" ref="B379">_xlfn.XLOOKUP($A379, 'Customer Names'!$A:$A, 'Customer Names'!B:B, "No Data")</f>
        <v>Bloomquist</v>
      </c>
      <c r="C379" s="28">
        <f t="array" ref="C379">_xlfn.XLOOKUP($A379, 'Medical Examinations'!$A:$A, 'Medical Examinations'!B:B, "No Data")</f>
        <v>31.9</v>
      </c>
      <c r="D379" s="28">
        <f t="array" ref="D379">_xlfn.XLOOKUP($A379, 'Medical Examinations'!$A:$A, 'Medical Examinations'!C:C, "No Data")</f>
        <v>11.89</v>
      </c>
      <c r="E379" s="28" t="str">
        <f t="array" ref="E379">_xlfn.XLOOKUP($A379, 'Medical Examinations'!$A:$A, 'Medical Examinations'!D:D, "No Data")</f>
        <v>No</v>
      </c>
      <c r="F379" s="28" t="str">
        <f t="array" ref="F379">_xlfn.XLOOKUP($A379, 'Medical Examinations'!$A:$A, 'Medical Examinations'!E:E, "No Data")</f>
        <v>No</v>
      </c>
      <c r="G379" s="28" t="str">
        <f t="array" ref="G379">_xlfn.XLOOKUP($A379, 'Medical Examinations'!$A:$A, 'Medical Examinations'!F:F, "No Data")</f>
        <v>No</v>
      </c>
      <c r="H379" s="28">
        <f t="array" ref="H379">_xlfn.XLOOKUP($A379, 'Medical Examinations'!$A:$A, 'Medical Examinations'!G:G, "No Data")</f>
        <v>0</v>
      </c>
      <c r="I379" s="28" t="str">
        <f t="array" ref="I379">_xlfn.XLOOKUP($A379, 'Medical Examinations'!$A:$A, 'Medical Examinations'!H:H, "No Data")</f>
        <v>No</v>
      </c>
      <c r="J379" s="28" t="str">
        <f t="array" ref="J379">_xlfn.XLOOKUP($A379, 'Medical Examinations'!$A:$A, 'Medical Examinations'!I:I, "No Data")</f>
        <v>Obesity</v>
      </c>
      <c r="K379" s="28" t="str">
        <f t="array" ref="K379">_xlfn.XLOOKUP($A379, 'Hospitalisation Details'!$A:$A, 'Hospitalisation Details'!I:I, "No Data")</f>
        <v>tier - 2</v>
      </c>
      <c r="L379" s="28" t="str">
        <f t="array" ref="L379">_xlfn.XLOOKUP($A379, 'Hospitalisation Details'!$A:$A, 'Hospitalisation Details'!J:J, "No Data")</f>
        <v>R1013</v>
      </c>
      <c r="M379" s="28" t="str">
        <f t="array" ref="M379">_xlfn.XLOOKUP($A379, 'Hospitalisation Details'!$A:$A, 'Hospitalisation Details'!E:E, "No Data")</f>
        <v>06/06/68</v>
      </c>
      <c r="N379" s="28">
        <f t="array" ref="N379">_xlfn.XLOOKUP($A379, 'Hospitalisation Details'!$A:$A, 'Hospitalisation Details'!K:K, "No Data")</f>
        <v>55</v>
      </c>
      <c r="O379" s="33">
        <f t="array" ref="O379">_xlfn.XLOOKUP($A379, 'Hospitalisation Details'!$A:$A, 'Hospitalisation Details'!G:G, "No Data")</f>
        <v>27322.73</v>
      </c>
      <c r="P379" s="28" t="str">
        <f t="array" ref="P379">_xlfn.XLOOKUP($A379, 'Hospitalisation Details'!$A:$A, 'Hospitalisation Details'!H:H, "No Data")</f>
        <v>tier - 2</v>
      </c>
    </row>
    <row r="380">
      <c r="A380" s="25" t="s">
        <v>1220</v>
      </c>
      <c r="B380" s="28" t="str">
        <f t="array" ref="B380">_xlfn.XLOOKUP($A380, 'Customer Names'!$A:$A, 'Customer Names'!B:B, "No Data")</f>
        <v>Wick</v>
      </c>
      <c r="C380" s="28">
        <f t="array" ref="C380">_xlfn.XLOOKUP($A380, 'Medical Examinations'!$A:$A, 'Medical Examinations'!B:B, "No Data")</f>
        <v>30.6</v>
      </c>
      <c r="D380" s="28">
        <f t="array" ref="D380">_xlfn.XLOOKUP($A380, 'Medical Examinations'!$A:$A, 'Medical Examinations'!C:C, "No Data")</f>
        <v>5.24</v>
      </c>
      <c r="E380" s="28" t="str">
        <f t="array" ref="E380">_xlfn.XLOOKUP($A380, 'Medical Examinations'!$A:$A, 'Medical Examinations'!D:D, "No Data")</f>
        <v>No</v>
      </c>
      <c r="F380" s="28" t="str">
        <f t="array" ref="F380">_xlfn.XLOOKUP($A380, 'Medical Examinations'!$A:$A, 'Medical Examinations'!E:E, "No Data")</f>
        <v>No</v>
      </c>
      <c r="G380" s="28" t="str">
        <f t="array" ref="G380">_xlfn.XLOOKUP($A380, 'Medical Examinations'!$A:$A, 'Medical Examinations'!F:F, "No Data")</f>
        <v>No</v>
      </c>
      <c r="H380" s="28">
        <f t="array" ref="H380">_xlfn.XLOOKUP($A380, 'Medical Examinations'!$A:$A, 'Medical Examinations'!G:G, "No Data")</f>
        <v>0</v>
      </c>
      <c r="I380" s="28" t="str">
        <f t="array" ref="I380">_xlfn.XLOOKUP($A380, 'Medical Examinations'!$A:$A, 'Medical Examinations'!H:H, "No Data")</f>
        <v>yes</v>
      </c>
      <c r="J380" s="28" t="str">
        <f t="array" ref="J380">_xlfn.XLOOKUP($A380, 'Medical Examinations'!$A:$A, 'Medical Examinations'!I:I, "No Data")</f>
        <v>Obesity</v>
      </c>
      <c r="K380" s="28" t="str">
        <f t="array" ref="K380">_xlfn.XLOOKUP($A380, 'Hospitalisation Details'!$A:$A, 'Hospitalisation Details'!I:I, "No Data")</f>
        <v>tier - 1</v>
      </c>
      <c r="L380" s="28" t="str">
        <f t="array" ref="L380">_xlfn.XLOOKUP($A380, 'Hospitalisation Details'!$A:$A, 'Hospitalisation Details'!J:J, "No Data")</f>
        <v>R1011</v>
      </c>
      <c r="M380" s="28" t="str">
        <f t="array" ref="M380">_xlfn.XLOOKUP($A380, 'Hospitalisation Details'!$A:$A, 'Hospitalisation Details'!E:E, "No Data")</f>
        <v>02/12/99</v>
      </c>
      <c r="N380" s="28">
        <f t="array" ref="N380">_xlfn.XLOOKUP($A380, 'Hospitalisation Details'!$A:$A, 'Hospitalisation Details'!K:K, "No Data")</f>
        <v>23</v>
      </c>
      <c r="O380" s="33">
        <f t="array" ref="O380">_xlfn.XLOOKUP($A380, 'Hospitalisation Details'!$A:$A, 'Hospitalisation Details'!G:G, "No Data")</f>
        <v>27236.96</v>
      </c>
      <c r="P380" s="28" t="str">
        <f t="array" ref="P380">_xlfn.XLOOKUP($A380, 'Hospitalisation Details'!$A:$A, 'Hospitalisation Details'!H:H, "No Data")</f>
        <v>tier - 2</v>
      </c>
    </row>
    <row r="381">
      <c r="A381" s="25" t="s">
        <v>1223</v>
      </c>
      <c r="B381" s="28" t="str">
        <f t="array" ref="B381">_xlfn.XLOOKUP($A381, 'Customer Names'!$A:$A, 'Customer Names'!B:B, "No Data")</f>
        <v>Zappala</v>
      </c>
      <c r="C381" s="28">
        <f t="array" ref="C381">_xlfn.XLOOKUP($A381, 'Medical Examinations'!$A:$A, 'Medical Examinations'!B:B, "No Data")</f>
        <v>28.975</v>
      </c>
      <c r="D381" s="28">
        <f t="array" ref="D381">_xlfn.XLOOKUP($A381, 'Medical Examinations'!$A:$A, 'Medical Examinations'!C:C, "No Data")</f>
        <v>7.63</v>
      </c>
      <c r="E381" s="28" t="str">
        <f t="array" ref="E381">_xlfn.XLOOKUP($A381, 'Medical Examinations'!$A:$A, 'Medical Examinations'!D:D, "No Data")</f>
        <v>No</v>
      </c>
      <c r="F381" s="28" t="str">
        <f t="array" ref="F381">_xlfn.XLOOKUP($A381, 'Medical Examinations'!$A:$A, 'Medical Examinations'!E:E, "No Data")</f>
        <v>No</v>
      </c>
      <c r="G381" s="28" t="str">
        <f t="array" ref="G381">_xlfn.XLOOKUP($A381, 'Medical Examinations'!$A:$A, 'Medical Examinations'!F:F, "No Data")</f>
        <v>No</v>
      </c>
      <c r="H381" s="28">
        <f t="array" ref="H381">_xlfn.XLOOKUP($A381, 'Medical Examinations'!$A:$A, 'Medical Examinations'!G:G, "No Data")</f>
        <v>0</v>
      </c>
      <c r="I381" s="28" t="str">
        <f t="array" ref="I381">_xlfn.XLOOKUP($A381, 'Medical Examinations'!$A:$A, 'Medical Examinations'!H:H, "No Data")</f>
        <v>yes</v>
      </c>
      <c r="J381" s="28" t="str">
        <f t="array" ref="J381">_xlfn.XLOOKUP($A381, 'Medical Examinations'!$A:$A, 'Medical Examinations'!I:I, "No Data")</f>
        <v>Overweight</v>
      </c>
      <c r="K381" s="28" t="str">
        <f t="array" ref="K381">_xlfn.XLOOKUP($A381, 'Hospitalisation Details'!$A:$A, 'Hospitalisation Details'!I:I, "No Data")</f>
        <v>tier - 1</v>
      </c>
      <c r="L381" s="28" t="str">
        <f t="array" ref="L381">_xlfn.XLOOKUP($A381, 'Hospitalisation Details'!$A:$A, 'Hospitalisation Details'!J:J, "No Data")</f>
        <v>R1017</v>
      </c>
      <c r="M381" s="28" t="str">
        <f t="array" ref="M381">_xlfn.XLOOKUP($A381, 'Hospitalisation Details'!$A:$A, 'Hospitalisation Details'!E:E, "No Data")</f>
        <v>21/12/65</v>
      </c>
      <c r="N381" s="28">
        <f t="array" ref="N381">_xlfn.XLOOKUP($A381, 'Hospitalisation Details'!$A:$A, 'Hospitalisation Details'!K:K, "No Data")</f>
        <v>57</v>
      </c>
      <c r="O381" s="33">
        <f t="array" ref="O381">_xlfn.XLOOKUP($A381, 'Hospitalisation Details'!$A:$A, 'Hospitalisation Details'!G:G, "No Data")</f>
        <v>27218.44</v>
      </c>
      <c r="P381" s="28" t="str">
        <f t="array" ref="P381">_xlfn.XLOOKUP($A381, 'Hospitalisation Details'!$A:$A, 'Hospitalisation Details'!H:H, "No Data")</f>
        <v>tier - 2</v>
      </c>
    </row>
    <row r="382">
      <c r="A382" s="25" t="s">
        <v>1226</v>
      </c>
      <c r="B382" s="28" t="str">
        <f t="array" ref="B382">_xlfn.XLOOKUP($A382, 'Customer Names'!$A:$A, 'Customer Names'!B:B, "No Data")</f>
        <v>Earle</v>
      </c>
      <c r="C382" s="28">
        <f t="array" ref="C382">_xlfn.XLOOKUP($A382, 'Medical Examinations'!$A:$A, 'Medical Examinations'!B:B, "No Data")</f>
        <v>24.86</v>
      </c>
      <c r="D382" s="28">
        <f t="array" ref="D382">_xlfn.XLOOKUP($A382, 'Medical Examinations'!$A:$A, 'Medical Examinations'!C:C, "No Data")</f>
        <v>8.92</v>
      </c>
      <c r="E382" s="28" t="str">
        <f t="array" ref="E382">_xlfn.XLOOKUP($A382, 'Medical Examinations'!$A:$A, 'Medical Examinations'!D:D, "No Data")</f>
        <v>yes</v>
      </c>
      <c r="F382" s="28" t="str">
        <f t="array" ref="F382">_xlfn.XLOOKUP($A382, 'Medical Examinations'!$A:$A, 'Medical Examinations'!E:E, "No Data")</f>
        <v>No</v>
      </c>
      <c r="G382" s="28" t="str">
        <f t="array" ref="G382">_xlfn.XLOOKUP($A382, 'Medical Examinations'!$A:$A, 'Medical Examinations'!F:F, "No Data")</f>
        <v>No</v>
      </c>
      <c r="H382" s="28">
        <f t="array" ref="H382">_xlfn.XLOOKUP($A382, 'Medical Examinations'!$A:$A, 'Medical Examinations'!G:G, "No Data")</f>
        <v>2</v>
      </c>
      <c r="I382" s="28" t="str">
        <f t="array" ref="I382">_xlfn.XLOOKUP($A382, 'Medical Examinations'!$A:$A, 'Medical Examinations'!H:H, "No Data")</f>
        <v>No</v>
      </c>
      <c r="J382" s="28" t="str">
        <f t="array" ref="J382">_xlfn.XLOOKUP($A382, 'Medical Examinations'!$A:$A, 'Medical Examinations'!I:I, "No Data")</f>
        <v>Normal Weight</v>
      </c>
      <c r="K382" s="28" t="str">
        <f t="array" ref="K382">_xlfn.XLOOKUP($A382, 'Hospitalisation Details'!$A:$A, 'Hospitalisation Details'!I:I, "No Data")</f>
        <v>tier - 2</v>
      </c>
      <c r="L382" s="28" t="str">
        <f t="array" ref="L382">_xlfn.XLOOKUP($A382, 'Hospitalisation Details'!$A:$A, 'Hospitalisation Details'!J:J, "No Data")</f>
        <v>R1013</v>
      </c>
      <c r="M382" s="28" t="str">
        <f t="array" ref="M382">_xlfn.XLOOKUP($A382, 'Hospitalisation Details'!$A:$A, 'Hospitalisation Details'!E:E, "No Data")</f>
        <v>02/10/70</v>
      </c>
      <c r="N382" s="28">
        <f t="array" ref="N382">_xlfn.XLOOKUP($A382, 'Hospitalisation Details'!$A:$A, 'Hospitalisation Details'!K:K, "No Data")</f>
        <v>52</v>
      </c>
      <c r="O382" s="33">
        <f t="array" ref="O382">_xlfn.XLOOKUP($A382, 'Hospitalisation Details'!$A:$A, 'Hospitalisation Details'!G:G, "No Data")</f>
        <v>27117.99</v>
      </c>
      <c r="P382" s="28" t="str">
        <f t="array" ref="P382">_xlfn.XLOOKUP($A382, 'Hospitalisation Details'!$A:$A, 'Hospitalisation Details'!H:H, "No Data")</f>
        <v>tier - 2</v>
      </c>
    </row>
    <row r="383">
      <c r="A383" s="25" t="s">
        <v>1229</v>
      </c>
      <c r="B383" s="28" t="str">
        <f t="array" ref="B383">_xlfn.XLOOKUP($A383, 'Customer Names'!$A:$A, 'Customer Names'!B:B, "No Data")</f>
        <v>Majewski</v>
      </c>
      <c r="C383" s="28">
        <f t="array" ref="C383">_xlfn.XLOOKUP($A383, 'Medical Examinations'!$A:$A, 'Medical Examinations'!B:B, "No Data")</f>
        <v>19.54</v>
      </c>
      <c r="D383" s="28">
        <f t="array" ref="D383">_xlfn.XLOOKUP($A383, 'Medical Examinations'!$A:$A, 'Medical Examinations'!C:C, "No Data")</f>
        <v>5.37</v>
      </c>
      <c r="E383" s="28" t="str">
        <f t="array" ref="E383">_xlfn.XLOOKUP($A383, 'Medical Examinations'!$A:$A, 'Medical Examinations'!D:D, "No Data")</f>
        <v>No</v>
      </c>
      <c r="F383" s="28" t="str">
        <f t="array" ref="F383">_xlfn.XLOOKUP($A383, 'Medical Examinations'!$A:$A, 'Medical Examinations'!E:E, "No Data")</f>
        <v>No</v>
      </c>
      <c r="G383" s="28" t="str">
        <f t="array" ref="G383">_xlfn.XLOOKUP($A383, 'Medical Examinations'!$A:$A, 'Medical Examinations'!F:F, "No Data")</f>
        <v>No</v>
      </c>
      <c r="H383" s="28">
        <f t="array" ref="H383">_xlfn.XLOOKUP($A383, 'Medical Examinations'!$A:$A, 'Medical Examinations'!G:G, "No Data")</f>
        <v>0</v>
      </c>
      <c r="I383" s="28" t="str">
        <f t="array" ref="I383">_xlfn.XLOOKUP($A383, 'Medical Examinations'!$A:$A, 'Medical Examinations'!H:H, "No Data")</f>
        <v>yes</v>
      </c>
      <c r="J383" s="28" t="str">
        <f t="array" ref="J383">_xlfn.XLOOKUP($A383, 'Medical Examinations'!$A:$A, 'Medical Examinations'!I:I, "No Data")</f>
        <v>Normal Weight</v>
      </c>
      <c r="K383" s="28" t="str">
        <f t="array" ref="K383">_xlfn.XLOOKUP($A383, 'Hospitalisation Details'!$A:$A, 'Hospitalisation Details'!I:I, "No Data")</f>
        <v>tier - 3</v>
      </c>
      <c r="L383" s="28" t="str">
        <f t="array" ref="L383">_xlfn.XLOOKUP($A383, 'Hospitalisation Details'!$A:$A, 'Hospitalisation Details'!J:J, "No Data")</f>
        <v>R1011</v>
      </c>
      <c r="M383" s="28" t="str">
        <f t="array" ref="M383">_xlfn.XLOOKUP($A383, 'Hospitalisation Details'!$A:$A, 'Hospitalisation Details'!E:E, "No Data")</f>
        <v>13/12/90</v>
      </c>
      <c r="N383" s="28">
        <f t="array" ref="N383">_xlfn.XLOOKUP($A383, 'Hospitalisation Details'!$A:$A, 'Hospitalisation Details'!K:K, "No Data")</f>
        <v>32</v>
      </c>
      <c r="O383" s="33">
        <f t="array" ref="O383">_xlfn.XLOOKUP($A383, 'Hospitalisation Details'!$A:$A, 'Hospitalisation Details'!G:G, "No Data")</f>
        <v>27092.38</v>
      </c>
      <c r="P383" s="28" t="str">
        <f t="array" ref="P383">_xlfn.XLOOKUP($A383, 'Hospitalisation Details'!$A:$A, 'Hospitalisation Details'!H:H, "No Data")</f>
        <v>tier - 2</v>
      </c>
    </row>
    <row r="384">
      <c r="A384" s="25" t="s">
        <v>1232</v>
      </c>
      <c r="B384" s="28" t="str">
        <f t="array" ref="B384">_xlfn.XLOOKUP($A384, 'Customer Names'!$A:$A, 'Customer Names'!B:B, "No Data")</f>
        <v>Apfelbaum</v>
      </c>
      <c r="C384" s="28">
        <f t="array" ref="C384">_xlfn.XLOOKUP($A384, 'Medical Examinations'!$A:$A, 'Medical Examinations'!B:B, "No Data")</f>
        <v>26.74</v>
      </c>
      <c r="D384" s="28">
        <f t="array" ref="D384">_xlfn.XLOOKUP($A384, 'Medical Examinations'!$A:$A, 'Medical Examinations'!C:C, "No Data")</f>
        <v>4.31</v>
      </c>
      <c r="E384" s="28" t="str">
        <f t="array" ref="E384">_xlfn.XLOOKUP($A384, 'Medical Examinations'!$A:$A, 'Medical Examinations'!D:D, "No Data")</f>
        <v>No</v>
      </c>
      <c r="F384" s="28" t="str">
        <f t="array" ref="F384">_xlfn.XLOOKUP($A384, 'Medical Examinations'!$A:$A, 'Medical Examinations'!E:E, "No Data")</f>
        <v>No</v>
      </c>
      <c r="G384" s="28" t="str">
        <f t="array" ref="G384">_xlfn.XLOOKUP($A384, 'Medical Examinations'!$A:$A, 'Medical Examinations'!F:F, "No Data")</f>
        <v>No</v>
      </c>
      <c r="H384" s="28">
        <f t="array" ref="H384">_xlfn.XLOOKUP($A384, 'Medical Examinations'!$A:$A, 'Medical Examinations'!G:G, "No Data")</f>
        <v>0</v>
      </c>
      <c r="I384" s="28" t="str">
        <f t="array" ref="I384">_xlfn.XLOOKUP($A384, 'Medical Examinations'!$A:$A, 'Medical Examinations'!H:H, "No Data")</f>
        <v>yes</v>
      </c>
      <c r="J384" s="28" t="str">
        <f t="array" ref="J384">_xlfn.XLOOKUP($A384, 'Medical Examinations'!$A:$A, 'Medical Examinations'!I:I, "No Data")</f>
        <v>Overweight</v>
      </c>
      <c r="K384" s="28" t="str">
        <f t="array" ref="K384">_xlfn.XLOOKUP($A384, 'Hospitalisation Details'!$A:$A, 'Hospitalisation Details'!I:I, "No Data")</f>
        <v>tier - 2</v>
      </c>
      <c r="L384" s="28" t="str">
        <f t="array" ref="L384">_xlfn.XLOOKUP($A384, 'Hospitalisation Details'!$A:$A, 'Hospitalisation Details'!J:J, "No Data")</f>
        <v>R1011</v>
      </c>
      <c r="M384" s="28" t="str">
        <f t="array" ref="M384">_xlfn.XLOOKUP($A384, 'Hospitalisation Details'!$A:$A, 'Hospitalisation Details'!E:E, "No Data")</f>
        <v>02/07/94</v>
      </c>
      <c r="N384" s="28">
        <f t="array" ref="N384">_xlfn.XLOOKUP($A384, 'Hospitalisation Details'!$A:$A, 'Hospitalisation Details'!K:K, "No Data")</f>
        <v>28</v>
      </c>
      <c r="O384" s="33">
        <f t="array" ref="O384">_xlfn.XLOOKUP($A384, 'Hospitalisation Details'!$A:$A, 'Hospitalisation Details'!G:G, "No Data")</f>
        <v>27080.64</v>
      </c>
      <c r="P384" s="28" t="str">
        <f t="array" ref="P384">_xlfn.XLOOKUP($A384, 'Hospitalisation Details'!$A:$A, 'Hospitalisation Details'!H:H, "No Data")</f>
        <v>tier - 2</v>
      </c>
    </row>
    <row r="385">
      <c r="A385" s="25" t="s">
        <v>1235</v>
      </c>
      <c r="B385" s="28" t="str">
        <f t="array" ref="B385">_xlfn.XLOOKUP($A385, 'Customer Names'!$A:$A, 'Customer Names'!B:B, "No Data")</f>
        <v>Graham</v>
      </c>
      <c r="C385" s="28">
        <f t="array" ref="C385">_xlfn.XLOOKUP($A385, 'Medical Examinations'!$A:$A, 'Medical Examinations'!B:B, "No Data")</f>
        <v>22.99</v>
      </c>
      <c r="D385" s="28">
        <f t="array" ref="D385">_xlfn.XLOOKUP($A385, 'Medical Examinations'!$A:$A, 'Medical Examinations'!C:C, "No Data")</f>
        <v>10.46</v>
      </c>
      <c r="E385" s="28" t="str">
        <f t="array" ref="E385">_xlfn.XLOOKUP($A385, 'Medical Examinations'!$A:$A, 'Medical Examinations'!D:D, "No Data")</f>
        <v>No</v>
      </c>
      <c r="F385" s="28" t="str">
        <f t="array" ref="F385">_xlfn.XLOOKUP($A385, 'Medical Examinations'!$A:$A, 'Medical Examinations'!E:E, "No Data")</f>
        <v>No</v>
      </c>
      <c r="G385" s="28" t="str">
        <f t="array" ref="G385">_xlfn.XLOOKUP($A385, 'Medical Examinations'!$A:$A, 'Medical Examinations'!F:F, "No Data")</f>
        <v>No</v>
      </c>
      <c r="H385" s="28">
        <f t="array" ref="H385">_xlfn.XLOOKUP($A385, 'Medical Examinations'!$A:$A, 'Medical Examinations'!G:G, "No Data")</f>
        <v>3</v>
      </c>
      <c r="I385" s="28" t="str">
        <f t="array" ref="I385">_xlfn.XLOOKUP($A385, 'Medical Examinations'!$A:$A, 'Medical Examinations'!H:H, "No Data")</f>
        <v>yes</v>
      </c>
      <c r="J385" s="28" t="str">
        <f t="array" ref="J385">_xlfn.XLOOKUP($A385, 'Medical Examinations'!$A:$A, 'Medical Examinations'!I:I, "No Data")</f>
        <v>Normal Weight</v>
      </c>
      <c r="K385" s="28" t="str">
        <f t="array" ref="K385">_xlfn.XLOOKUP($A385, 'Hospitalisation Details'!$A:$A, 'Hospitalisation Details'!I:I, "No Data")</f>
        <v>tier - 2</v>
      </c>
      <c r="L385" s="28" t="str">
        <f t="array" ref="L385">_xlfn.XLOOKUP($A385, 'Hospitalisation Details'!$A:$A, 'Hospitalisation Details'!J:J, "No Data")</f>
        <v>R1013</v>
      </c>
      <c r="M385" s="28" t="str">
        <f t="array" ref="M385">_xlfn.XLOOKUP($A385, 'Hospitalisation Details'!$A:$A, 'Hospitalisation Details'!E:E, "No Data")</f>
        <v>30/06/58</v>
      </c>
      <c r="N385" s="28">
        <f t="array" ref="N385">_xlfn.XLOOKUP($A385, 'Hospitalisation Details'!$A:$A, 'Hospitalisation Details'!K:K, "No Data")</f>
        <v>64</v>
      </c>
      <c r="O385" s="33">
        <f t="array" ref="O385">_xlfn.XLOOKUP($A385, 'Hospitalisation Details'!$A:$A, 'Hospitalisation Details'!G:G, "No Data")</f>
        <v>27037.91</v>
      </c>
      <c r="P385" s="28" t="str">
        <f t="array" ref="P385">_xlfn.XLOOKUP($A385, 'Hospitalisation Details'!$A:$A, 'Hospitalisation Details'!H:H, "No Data")</f>
        <v>tier - 2</v>
      </c>
    </row>
    <row r="386">
      <c r="A386" s="25" t="s">
        <v>1238</v>
      </c>
      <c r="B386" s="28" t="str">
        <f t="array" ref="B386">_xlfn.XLOOKUP($A386, 'Customer Names'!$A:$A, 'Customer Names'!B:B, "No Data")</f>
        <v>Whitacre</v>
      </c>
      <c r="C386" s="28">
        <f t="array" ref="C386">_xlfn.XLOOKUP($A386, 'Medical Examinations'!$A:$A, 'Medical Examinations'!B:B, "No Data")</f>
        <v>31.46</v>
      </c>
      <c r="D386" s="28">
        <f t="array" ref="D386">_xlfn.XLOOKUP($A386, 'Medical Examinations'!$A:$A, 'Medical Examinations'!C:C, "No Data")</f>
        <v>7.39</v>
      </c>
      <c r="E386" s="28" t="str">
        <f t="array" ref="E386">_xlfn.XLOOKUP($A386, 'Medical Examinations'!$A:$A, 'Medical Examinations'!D:D, "No Data")</f>
        <v>No</v>
      </c>
      <c r="F386" s="28" t="str">
        <f t="array" ref="F386">_xlfn.XLOOKUP($A386, 'Medical Examinations'!$A:$A, 'Medical Examinations'!E:E, "No Data")</f>
        <v>No</v>
      </c>
      <c r="G386" s="28" t="str">
        <f t="array" ref="G386">_xlfn.XLOOKUP($A386, 'Medical Examinations'!$A:$A, 'Medical Examinations'!F:F, "No Data")</f>
        <v>No</v>
      </c>
      <c r="H386" s="28">
        <f t="array" ref="H386">_xlfn.XLOOKUP($A386, 'Medical Examinations'!$A:$A, 'Medical Examinations'!G:G, "No Data")</f>
        <v>0</v>
      </c>
      <c r="I386" s="28" t="str">
        <f t="array" ref="I386">_xlfn.XLOOKUP($A386, 'Medical Examinations'!$A:$A, 'Medical Examinations'!H:H, "No Data")</f>
        <v>No</v>
      </c>
      <c r="J386" s="28" t="str">
        <f t="array" ref="J386">_xlfn.XLOOKUP($A386, 'Medical Examinations'!$A:$A, 'Medical Examinations'!I:I, "No Data")</f>
        <v>Obesity</v>
      </c>
      <c r="K386" s="28" t="str">
        <f t="array" ref="K386">_xlfn.XLOOKUP($A386, 'Hospitalisation Details'!$A:$A, 'Hospitalisation Details'!I:I, "No Data")</f>
        <v>tier - 2</v>
      </c>
      <c r="L386" s="28" t="str">
        <f t="array" ref="L386">_xlfn.XLOOKUP($A386, 'Hospitalisation Details'!$A:$A, 'Hospitalisation Details'!J:J, "No Data")</f>
        <v>R1013</v>
      </c>
      <c r="M386" s="28" t="str">
        <f t="array" ref="M386">_xlfn.XLOOKUP($A386, 'Hospitalisation Details'!$A:$A, 'Hospitalisation Details'!E:E, "No Data")</f>
        <v>09/07/60</v>
      </c>
      <c r="N386" s="28">
        <f t="array" ref="N386">_xlfn.XLOOKUP($A386, 'Hospitalisation Details'!$A:$A, 'Hospitalisation Details'!K:K, "No Data")</f>
        <v>62</v>
      </c>
      <c r="O386" s="33">
        <f t="array" ref="O386">_xlfn.XLOOKUP($A386, 'Hospitalisation Details'!$A:$A, 'Hospitalisation Details'!G:G, "No Data")</f>
        <v>27000.98</v>
      </c>
      <c r="P386" s="28" t="str">
        <f t="array" ref="P386">_xlfn.XLOOKUP($A386, 'Hospitalisation Details'!$A:$A, 'Hospitalisation Details'!H:H, "No Data")</f>
        <v>tier - 2</v>
      </c>
    </row>
    <row r="387">
      <c r="A387" s="25" t="s">
        <v>1242</v>
      </c>
      <c r="B387" s="28" t="str">
        <f t="array" ref="B387">_xlfn.XLOOKUP($A387, 'Customer Names'!$A:$A, 'Customer Names'!B:B, "No Data")</f>
        <v>Wegener</v>
      </c>
      <c r="C387" s="28">
        <f t="array" ref="C387">_xlfn.XLOOKUP($A387, 'Medical Examinations'!$A:$A, 'Medical Examinations'!B:B, "No Data")</f>
        <v>30.86</v>
      </c>
      <c r="D387" s="28">
        <f t="array" ref="D387">_xlfn.XLOOKUP($A387, 'Medical Examinations'!$A:$A, 'Medical Examinations'!C:C, "No Data")</f>
        <v>6.18</v>
      </c>
      <c r="E387" s="28" t="str">
        <f t="array" ref="E387">_xlfn.XLOOKUP($A387, 'Medical Examinations'!$A:$A, 'Medical Examinations'!D:D, "No Data")</f>
        <v>No</v>
      </c>
      <c r="F387" s="28" t="str">
        <f t="array" ref="F387">_xlfn.XLOOKUP($A387, 'Medical Examinations'!$A:$A, 'Medical Examinations'!E:E, "No Data")</f>
        <v>yes</v>
      </c>
      <c r="G387" s="28" t="str">
        <f t="array" ref="G387">_xlfn.XLOOKUP($A387, 'Medical Examinations'!$A:$A, 'Medical Examinations'!F:F, "No Data")</f>
        <v>No</v>
      </c>
      <c r="H387" s="28">
        <f t="array" ref="H387">_xlfn.XLOOKUP($A387, 'Medical Examinations'!$A:$A, 'Medical Examinations'!G:G, "No Data")</f>
        <v>2</v>
      </c>
      <c r="I387" s="28" t="str">
        <f t="array" ref="I387">_xlfn.XLOOKUP($A387, 'Medical Examinations'!$A:$A, 'Medical Examinations'!H:H, "No Data")</f>
        <v>yes</v>
      </c>
      <c r="J387" s="28" t="str">
        <f t="array" ref="J387">_xlfn.XLOOKUP($A387, 'Medical Examinations'!$A:$A, 'Medical Examinations'!I:I, "No Data")</f>
        <v>Obesity</v>
      </c>
      <c r="K387" s="28" t="str">
        <f t="array" ref="K387">_xlfn.XLOOKUP($A387, 'Hospitalisation Details'!$A:$A, 'Hospitalisation Details'!I:I, "No Data")</f>
        <v>tier - 3</v>
      </c>
      <c r="L387" s="28" t="str">
        <f t="array" ref="L387">_xlfn.XLOOKUP($A387, 'Hospitalisation Details'!$A:$A, 'Hospitalisation Details'!J:J, "No Data")</f>
        <v>R1011</v>
      </c>
      <c r="M387" s="28" t="str">
        <f t="array" ref="M387">_xlfn.XLOOKUP($A387, 'Hospitalisation Details'!$A:$A, 'Hospitalisation Details'!E:E, "No Data")</f>
        <v>09/11/00</v>
      </c>
      <c r="N387" s="28">
        <f t="array" ref="N387">_xlfn.XLOOKUP($A387, 'Hospitalisation Details'!$A:$A, 'Hospitalisation Details'!K:K, "No Data")</f>
        <v>22</v>
      </c>
      <c r="O387" s="33">
        <f t="array" ref="O387">_xlfn.XLOOKUP($A387, 'Hospitalisation Details'!$A:$A, 'Hospitalisation Details'!G:G, "No Data")</f>
        <v>26936.98</v>
      </c>
      <c r="P387" s="28" t="str">
        <f t="array" ref="P387">_xlfn.XLOOKUP($A387, 'Hospitalisation Details'!$A:$A, 'Hospitalisation Details'!H:H, "No Data")</f>
        <v>tier - 2</v>
      </c>
    </row>
    <row r="388">
      <c r="A388" s="25" t="s">
        <v>1245</v>
      </c>
      <c r="B388" s="28" t="str">
        <f t="array" ref="B388">_xlfn.XLOOKUP($A388, 'Customer Names'!$A:$A, 'Customer Names'!B:B, "No Data")</f>
        <v>Collie</v>
      </c>
      <c r="C388" s="28">
        <f t="array" ref="C388">_xlfn.XLOOKUP($A388, 'Medical Examinations'!$A:$A, 'Medical Examinations'!B:B, "No Data")</f>
        <v>31.96</v>
      </c>
      <c r="D388" s="28">
        <f t="array" ref="D388">_xlfn.XLOOKUP($A388, 'Medical Examinations'!$A:$A, 'Medical Examinations'!C:C, "No Data")</f>
        <v>8.86</v>
      </c>
      <c r="E388" s="28" t="str">
        <f t="array" ref="E388">_xlfn.XLOOKUP($A388, 'Medical Examinations'!$A:$A, 'Medical Examinations'!D:D, "No Data")</f>
        <v>No</v>
      </c>
      <c r="F388" s="28" t="str">
        <f t="array" ref="F388">_xlfn.XLOOKUP($A388, 'Medical Examinations'!$A:$A, 'Medical Examinations'!E:E, "No Data")</f>
        <v>No</v>
      </c>
      <c r="G388" s="28" t="str">
        <f t="array" ref="G388">_xlfn.XLOOKUP($A388, 'Medical Examinations'!$A:$A, 'Medical Examinations'!F:F, "No Data")</f>
        <v>No</v>
      </c>
      <c r="H388" s="28">
        <f t="array" ref="H388">_xlfn.XLOOKUP($A388, 'Medical Examinations'!$A:$A, 'Medical Examinations'!G:G, "No Data")</f>
        <v>0</v>
      </c>
      <c r="I388" s="28" t="str">
        <f t="array" ref="I388">_xlfn.XLOOKUP($A388, 'Medical Examinations'!$A:$A, 'Medical Examinations'!H:H, "No Data")</f>
        <v>yes</v>
      </c>
      <c r="J388" s="28" t="str">
        <f t="array" ref="J388">_xlfn.XLOOKUP($A388, 'Medical Examinations'!$A:$A, 'Medical Examinations'!I:I, "No Data")</f>
        <v>Obesity</v>
      </c>
      <c r="K388" s="28" t="str">
        <f t="array" ref="K388">_xlfn.XLOOKUP($A388, 'Hospitalisation Details'!$A:$A, 'Hospitalisation Details'!I:I, "No Data")</f>
        <v>tier - 2</v>
      </c>
      <c r="L388" s="28" t="str">
        <f t="array" ref="L388">_xlfn.XLOOKUP($A388, 'Hospitalisation Details'!$A:$A, 'Hospitalisation Details'!J:J, "No Data")</f>
        <v>R1011</v>
      </c>
      <c r="M388" s="28" t="str">
        <f t="array" ref="M388">_xlfn.XLOOKUP($A388, 'Hospitalisation Details'!$A:$A, 'Hospitalisation Details'!E:E, "No Data")</f>
        <v>17/06/02</v>
      </c>
      <c r="N388" s="28">
        <f t="array" ref="N388">_xlfn.XLOOKUP($A388, 'Hospitalisation Details'!$A:$A, 'Hospitalisation Details'!K:K, "No Data")</f>
        <v>20</v>
      </c>
      <c r="O388" s="33">
        <f t="array" ref="O388">_xlfn.XLOOKUP($A388, 'Hospitalisation Details'!$A:$A, 'Hospitalisation Details'!G:G, "No Data")</f>
        <v>26927.69</v>
      </c>
      <c r="P388" s="28" t="str">
        <f t="array" ref="P388">_xlfn.XLOOKUP($A388, 'Hospitalisation Details'!$A:$A, 'Hospitalisation Details'!H:H, "No Data")</f>
        <v>tier - 2</v>
      </c>
    </row>
    <row r="389">
      <c r="A389" s="25" t="s">
        <v>1249</v>
      </c>
      <c r="B389" s="28" t="str">
        <f t="array" ref="B389">_xlfn.XLOOKUP($A389, 'Customer Names'!$A:$A, 'Customer Names'!B:B, "No Data")</f>
        <v>Murphy</v>
      </c>
      <c r="C389" s="28">
        <f t="array" ref="C389">_xlfn.XLOOKUP($A389, 'Medical Examinations'!$A:$A, 'Medical Examinations'!B:B, "No Data")</f>
        <v>23.76</v>
      </c>
      <c r="D389" s="28">
        <f t="array" ref="D389">_xlfn.XLOOKUP($A389, 'Medical Examinations'!$A:$A, 'Medical Examinations'!C:C, "No Data")</f>
        <v>10.96</v>
      </c>
      <c r="E389" s="28" t="str">
        <f t="array" ref="E389">_xlfn.XLOOKUP($A389, 'Medical Examinations'!$A:$A, 'Medical Examinations'!D:D, "No Data")</f>
        <v>No</v>
      </c>
      <c r="F389" s="28" t="str">
        <f t="array" ref="F389">_xlfn.XLOOKUP($A389, 'Medical Examinations'!$A:$A, 'Medical Examinations'!E:E, "No Data")</f>
        <v>No</v>
      </c>
      <c r="G389" s="28" t="str">
        <f t="array" ref="G389">_xlfn.XLOOKUP($A389, 'Medical Examinations'!$A:$A, 'Medical Examinations'!F:F, "No Data")</f>
        <v>No</v>
      </c>
      <c r="H389" s="28">
        <f t="array" ref="H389">_xlfn.XLOOKUP($A389, 'Medical Examinations'!$A:$A, 'Medical Examinations'!G:G, "No Data")</f>
        <v>3</v>
      </c>
      <c r="I389" s="28" t="str">
        <f t="array" ref="I389">_xlfn.XLOOKUP($A389, 'Medical Examinations'!$A:$A, 'Medical Examinations'!H:H, "No Data")</f>
        <v>yes</v>
      </c>
      <c r="J389" s="28" t="str">
        <f t="array" ref="J389">_xlfn.XLOOKUP($A389, 'Medical Examinations'!$A:$A, 'Medical Examinations'!I:I, "No Data")</f>
        <v>Normal Weight</v>
      </c>
      <c r="K389" s="28" t="str">
        <f t="array" ref="K389">_xlfn.XLOOKUP($A389, 'Hospitalisation Details'!$A:$A, 'Hospitalisation Details'!I:I, "No Data")</f>
        <v>tier - 1</v>
      </c>
      <c r="L389" s="28" t="str">
        <f t="array" ref="L389">_xlfn.XLOOKUP($A389, 'Hospitalisation Details'!$A:$A, 'Hospitalisation Details'!J:J, "No Data")</f>
        <v>R1013</v>
      </c>
      <c r="M389" s="28" t="str">
        <f t="array" ref="M389">_xlfn.XLOOKUP($A389, 'Hospitalisation Details'!$A:$A, 'Hospitalisation Details'!E:E, "No Data")</f>
        <v>25/12/58</v>
      </c>
      <c r="N389" s="28">
        <f t="array" ref="N389">_xlfn.XLOOKUP($A389, 'Hospitalisation Details'!$A:$A, 'Hospitalisation Details'!K:K, "No Data")</f>
        <v>64</v>
      </c>
      <c r="O389" s="33">
        <f t="array" ref="O389">_xlfn.XLOOKUP($A389, 'Hospitalisation Details'!$A:$A, 'Hospitalisation Details'!G:G, "No Data")</f>
        <v>26926.51</v>
      </c>
      <c r="P389" s="28" t="str">
        <f t="array" ref="P389">_xlfn.XLOOKUP($A389, 'Hospitalisation Details'!$A:$A, 'Hospitalisation Details'!H:H, "No Data")</f>
        <v>tier - 2</v>
      </c>
    </row>
    <row r="390">
      <c r="A390" s="25" t="s">
        <v>1253</v>
      </c>
      <c r="B390" s="28" t="str">
        <f t="array" ref="B390">_xlfn.XLOOKUP($A390, 'Customer Names'!$A:$A, 'Customer Names'!B:B, "No Data")</f>
        <v>Butters</v>
      </c>
      <c r="C390" s="28">
        <f t="array" ref="C390">_xlfn.XLOOKUP($A390, 'Medical Examinations'!$A:$A, 'Medical Examinations'!B:B, "No Data")</f>
        <v>19.38</v>
      </c>
      <c r="D390" s="28">
        <f t="array" ref="D390">_xlfn.XLOOKUP($A390, 'Medical Examinations'!$A:$A, 'Medical Examinations'!C:C, "No Data")</f>
        <v>6.28</v>
      </c>
      <c r="E390" s="28" t="str">
        <f t="array" ref="E390">_xlfn.XLOOKUP($A390, 'Medical Examinations'!$A:$A, 'Medical Examinations'!D:D, "No Data")</f>
        <v>No</v>
      </c>
      <c r="F390" s="28" t="str">
        <f t="array" ref="F390">_xlfn.XLOOKUP($A390, 'Medical Examinations'!$A:$A, 'Medical Examinations'!E:E, "No Data")</f>
        <v>No</v>
      </c>
      <c r="G390" s="28" t="str">
        <f t="array" ref="G390">_xlfn.XLOOKUP($A390, 'Medical Examinations'!$A:$A, 'Medical Examinations'!F:F, "No Data")</f>
        <v>No</v>
      </c>
      <c r="H390" s="28">
        <f t="array" ref="H390">_xlfn.XLOOKUP($A390, 'Medical Examinations'!$A:$A, 'Medical Examinations'!G:G, "No Data")</f>
        <v>0</v>
      </c>
      <c r="I390" s="28" t="str">
        <f t="array" ref="I390">_xlfn.XLOOKUP($A390, 'Medical Examinations'!$A:$A, 'Medical Examinations'!H:H, "No Data")</f>
        <v>yes</v>
      </c>
      <c r="J390" s="28" t="str">
        <f t="array" ref="J390">_xlfn.XLOOKUP($A390, 'Medical Examinations'!$A:$A, 'Medical Examinations'!I:I, "No Data")</f>
        <v>Normal Weight</v>
      </c>
      <c r="K390" s="28" t="str">
        <f t="array" ref="K390">_xlfn.XLOOKUP($A390, 'Hospitalisation Details'!$A:$A, 'Hospitalisation Details'!I:I, "No Data")</f>
        <v>tier - 2</v>
      </c>
      <c r="L390" s="28" t="str">
        <f t="array" ref="L390">_xlfn.XLOOKUP($A390, 'Hospitalisation Details'!$A:$A, 'Hospitalisation Details'!J:J, "No Data")</f>
        <v>R1011</v>
      </c>
      <c r="M390" s="28" t="str">
        <f t="array" ref="M390">_xlfn.XLOOKUP($A390, 'Hospitalisation Details'!$A:$A, 'Hospitalisation Details'!E:E, "No Data")</f>
        <v>22/08/91</v>
      </c>
      <c r="N390" s="28">
        <f t="array" ref="N390">_xlfn.XLOOKUP($A390, 'Hospitalisation Details'!$A:$A, 'Hospitalisation Details'!K:K, "No Data")</f>
        <v>31</v>
      </c>
      <c r="O390" s="33">
        <f t="array" ref="O390">_xlfn.XLOOKUP($A390, 'Hospitalisation Details'!$A:$A, 'Hospitalisation Details'!G:G, "No Data")</f>
        <v>26912.56</v>
      </c>
      <c r="P390" s="28" t="str">
        <f t="array" ref="P390">_xlfn.XLOOKUP($A390, 'Hospitalisation Details'!$A:$A, 'Hospitalisation Details'!H:H, "No Data")</f>
        <v>tier - 2</v>
      </c>
    </row>
    <row r="391">
      <c r="A391" s="25" t="s">
        <v>1256</v>
      </c>
      <c r="B391" s="28" t="str">
        <f t="array" ref="B391">_xlfn.XLOOKUP($A391, 'Customer Names'!$A:$A, 'Customer Names'!B:B, "No Data")</f>
        <v>Cook</v>
      </c>
      <c r="C391" s="28">
        <f t="array" ref="C391">_xlfn.XLOOKUP($A391, 'Medical Examinations'!$A:$A, 'Medical Examinations'!B:B, "No Data")</f>
        <v>16.21</v>
      </c>
      <c r="D391" s="28">
        <f t="array" ref="D391">_xlfn.XLOOKUP($A391, 'Medical Examinations'!$A:$A, 'Medical Examinations'!C:C, "No Data")</f>
        <v>6.29</v>
      </c>
      <c r="E391" s="28" t="str">
        <f t="array" ref="E391">_xlfn.XLOOKUP($A391, 'Medical Examinations'!$A:$A, 'Medical Examinations'!D:D, "No Data")</f>
        <v>yes</v>
      </c>
      <c r="F391" s="28" t="str">
        <f t="array" ref="F391">_xlfn.XLOOKUP($A391, 'Medical Examinations'!$A:$A, 'Medical Examinations'!E:E, "No Data")</f>
        <v>No</v>
      </c>
      <c r="G391" s="28" t="str">
        <f t="array" ref="G391">_xlfn.XLOOKUP($A391, 'Medical Examinations'!$A:$A, 'Medical Examinations'!F:F, "No Data")</f>
        <v>No</v>
      </c>
      <c r="H391" s="28">
        <f t="array" ref="H391">_xlfn.XLOOKUP($A391, 'Medical Examinations'!$A:$A, 'Medical Examinations'!G:G, "No Data")</f>
        <v>1</v>
      </c>
      <c r="I391" s="28" t="str">
        <f t="array" ref="I391">_xlfn.XLOOKUP($A391, 'Medical Examinations'!$A:$A, 'Medical Examinations'!H:H, "No Data")</f>
        <v>yes</v>
      </c>
      <c r="J391" s="28" t="str">
        <f t="array" ref="J391">_xlfn.XLOOKUP($A391, 'Medical Examinations'!$A:$A, 'Medical Examinations'!I:I, "No Data")</f>
        <v>Underweight</v>
      </c>
      <c r="K391" s="28" t="str">
        <f t="array" ref="K391">_xlfn.XLOOKUP($A391, 'Hospitalisation Details'!$A:$A, 'Hospitalisation Details'!I:I, "No Data")</f>
        <v>tier - 1</v>
      </c>
      <c r="L391" s="28" t="str">
        <f t="array" ref="L391">_xlfn.XLOOKUP($A391, 'Hospitalisation Details'!$A:$A, 'Hospitalisation Details'!J:J, "No Data")</f>
        <v>R1011</v>
      </c>
      <c r="M391" s="28" t="str">
        <f t="array" ref="M391">_xlfn.XLOOKUP($A391, 'Hospitalisation Details'!$A:$A, 'Hospitalisation Details'!E:E, "No Data")</f>
        <v>22/07/88</v>
      </c>
      <c r="N391" s="28">
        <f t="array" ref="N391">_xlfn.XLOOKUP($A391, 'Hospitalisation Details'!$A:$A, 'Hospitalisation Details'!K:K, "No Data")</f>
        <v>34</v>
      </c>
      <c r="O391" s="33">
        <f t="array" ref="O391">_xlfn.XLOOKUP($A391, 'Hospitalisation Details'!$A:$A, 'Hospitalisation Details'!G:G, "No Data")</f>
        <v>26607.89</v>
      </c>
      <c r="P391" s="28" t="str">
        <f t="array" ref="P391">_xlfn.XLOOKUP($A391, 'Hospitalisation Details'!$A:$A, 'Hospitalisation Details'!H:H, "No Data")</f>
        <v>tier - 2</v>
      </c>
    </row>
    <row r="392">
      <c r="A392" s="25" t="s">
        <v>1260</v>
      </c>
      <c r="B392" s="28" t="str">
        <f t="array" ref="B392">_xlfn.XLOOKUP($A392, 'Customer Names'!$A:$A, 'Customer Names'!B:B, "No Data")</f>
        <v>Breen</v>
      </c>
      <c r="C392" s="28">
        <f t="array" ref="C392">_xlfn.XLOOKUP($A392, 'Medical Examinations'!$A:$A, 'Medical Examinations'!B:B, "No Data")</f>
        <v>32.54</v>
      </c>
      <c r="D392" s="28">
        <f t="array" ref="D392">_xlfn.XLOOKUP($A392, 'Medical Examinations'!$A:$A, 'Medical Examinations'!C:C, "No Data")</f>
        <v>4.02</v>
      </c>
      <c r="E392" s="28" t="str">
        <f t="array" ref="E392">_xlfn.XLOOKUP($A392, 'Medical Examinations'!$A:$A, 'Medical Examinations'!D:D, "No Data")</f>
        <v>No</v>
      </c>
      <c r="F392" s="28" t="str">
        <f t="array" ref="F392">_xlfn.XLOOKUP($A392, 'Medical Examinations'!$A:$A, 'Medical Examinations'!E:E, "No Data")</f>
        <v>yes</v>
      </c>
      <c r="G392" s="28" t="str">
        <f t="array" ref="G392">_xlfn.XLOOKUP($A392, 'Medical Examinations'!$A:$A, 'Medical Examinations'!F:F, "No Data")</f>
        <v>No</v>
      </c>
      <c r="H392" s="28">
        <f t="array" ref="H392">_xlfn.XLOOKUP($A392, 'Medical Examinations'!$A:$A, 'Medical Examinations'!G:G, "No Data")</f>
        <v>1</v>
      </c>
      <c r="I392" s="28" t="str">
        <f t="array" ref="I392">_xlfn.XLOOKUP($A392, 'Medical Examinations'!$A:$A, 'Medical Examinations'!H:H, "No Data")</f>
        <v>yes</v>
      </c>
      <c r="J392" s="28" t="str">
        <f t="array" ref="J392">_xlfn.XLOOKUP($A392, 'Medical Examinations'!$A:$A, 'Medical Examinations'!I:I, "No Data")</f>
        <v>Obesity</v>
      </c>
      <c r="K392" s="28" t="str">
        <f t="array" ref="K392">_xlfn.XLOOKUP($A392, 'Hospitalisation Details'!$A:$A, 'Hospitalisation Details'!I:I, "No Data")</f>
        <v>tier - 2</v>
      </c>
      <c r="L392" s="28" t="str">
        <f t="array" ref="L392">_xlfn.XLOOKUP($A392, 'Hospitalisation Details'!$A:$A, 'Hospitalisation Details'!J:J, "No Data")</f>
        <v>R1011</v>
      </c>
      <c r="M392" s="28" t="str">
        <f t="array" ref="M392">_xlfn.XLOOKUP($A392, 'Hospitalisation Details'!$A:$A, 'Hospitalisation Details'!E:E, "No Data")</f>
        <v>05/09/04</v>
      </c>
      <c r="N392" s="28">
        <f t="array" ref="N392">_xlfn.XLOOKUP($A392, 'Hospitalisation Details'!$A:$A, 'Hospitalisation Details'!K:K, "No Data")</f>
        <v>18</v>
      </c>
      <c r="O392" s="33">
        <f t="array" ref="O392">_xlfn.XLOOKUP($A392, 'Hospitalisation Details'!$A:$A, 'Hospitalisation Details'!G:G, "No Data")</f>
        <v>26479.4</v>
      </c>
      <c r="P392" s="28" t="str">
        <f t="array" ref="P392">_xlfn.XLOOKUP($A392, 'Hospitalisation Details'!$A:$A, 'Hospitalisation Details'!H:H, "No Data")</f>
        <v>tier - 2</v>
      </c>
    </row>
    <row r="393">
      <c r="A393" s="25" t="s">
        <v>1264</v>
      </c>
      <c r="B393" s="28" t="str">
        <f t="array" ref="B393">_xlfn.XLOOKUP($A393, 'Customer Names'!$A:$A, 'Customer Names'!B:B, "No Data")</f>
        <v>Fitzsimons</v>
      </c>
      <c r="C393" s="28">
        <f t="array" ref="C393">_xlfn.XLOOKUP($A393, 'Medical Examinations'!$A:$A, 'Medical Examinations'!B:B, "No Data")</f>
        <v>36.765</v>
      </c>
      <c r="D393" s="28">
        <f t="array" ref="D393">_xlfn.XLOOKUP($A393, 'Medical Examinations'!$A:$A, 'Medical Examinations'!C:C, "No Data")</f>
        <v>11.95</v>
      </c>
      <c r="E393" s="28" t="str">
        <f t="array" ref="E393">_xlfn.XLOOKUP($A393, 'Medical Examinations'!$A:$A, 'Medical Examinations'!D:D, "No Data")</f>
        <v>yes</v>
      </c>
      <c r="F393" s="28" t="str">
        <f t="array" ref="F393">_xlfn.XLOOKUP($A393, 'Medical Examinations'!$A:$A, 'Medical Examinations'!E:E, "No Data")</f>
        <v>No</v>
      </c>
      <c r="G393" s="28" t="str">
        <f t="array" ref="G393">_xlfn.XLOOKUP($A393, 'Medical Examinations'!$A:$A, 'Medical Examinations'!F:F, "No Data")</f>
        <v>No</v>
      </c>
      <c r="H393" s="28">
        <f t="array" ref="H393">_xlfn.XLOOKUP($A393, 'Medical Examinations'!$A:$A, 'Medical Examinations'!G:G, "No Data")</f>
        <v>2</v>
      </c>
      <c r="I393" s="28" t="str">
        <f t="array" ref="I393">_xlfn.XLOOKUP($A393, 'Medical Examinations'!$A:$A, 'Medical Examinations'!H:H, "No Data")</f>
        <v>No</v>
      </c>
      <c r="J393" s="28" t="str">
        <f t="array" ref="J393">_xlfn.XLOOKUP($A393, 'Medical Examinations'!$A:$A, 'Medical Examinations'!I:I, "No Data")</f>
        <v>Obesity</v>
      </c>
      <c r="K393" s="28" t="str">
        <f t="array" ref="K393">_xlfn.XLOOKUP($A393, 'Hospitalisation Details'!$A:$A, 'Hospitalisation Details'!I:I, "No Data")</f>
        <v>tier - 3</v>
      </c>
      <c r="L393" s="28" t="str">
        <f t="array" ref="L393">_xlfn.XLOOKUP($A393, 'Hospitalisation Details'!$A:$A, 'Hospitalisation Details'!J:J, "No Data")</f>
        <v>R1012</v>
      </c>
      <c r="M393" s="28" t="str">
        <f t="array" ref="M393">_xlfn.XLOOKUP($A393, 'Hospitalisation Details'!$A:$A, 'Hospitalisation Details'!E:E, "No Data")</f>
        <v>27/08/70</v>
      </c>
      <c r="N393" s="28">
        <f t="array" ref="N393">_xlfn.XLOOKUP($A393, 'Hospitalisation Details'!$A:$A, 'Hospitalisation Details'!K:K, "No Data")</f>
        <v>52</v>
      </c>
      <c r="O393" s="33">
        <f t="array" ref="O393">_xlfn.XLOOKUP($A393, 'Hospitalisation Details'!$A:$A, 'Hospitalisation Details'!G:G, "No Data")</f>
        <v>26467.1</v>
      </c>
      <c r="P393" s="28" t="str">
        <f t="array" ref="P393">_xlfn.XLOOKUP($A393, 'Hospitalisation Details'!$A:$A, 'Hospitalisation Details'!H:H, "No Data")</f>
        <v>tier - 2</v>
      </c>
    </row>
    <row r="394">
      <c r="A394" s="25" t="s">
        <v>1267</v>
      </c>
      <c r="B394" s="28" t="str">
        <f t="array" ref="B394">_xlfn.XLOOKUP($A394, 'Customer Names'!$A:$A, 'Customer Names'!B:B, "No Data")</f>
        <v>Houle</v>
      </c>
      <c r="C394" s="28">
        <f t="array" ref="C394">_xlfn.XLOOKUP($A394, 'Medical Examinations'!$A:$A, 'Medical Examinations'!B:B, "No Data")</f>
        <v>35.91</v>
      </c>
      <c r="D394" s="28">
        <f t="array" ref="D394">_xlfn.XLOOKUP($A394, 'Medical Examinations'!$A:$A, 'Medical Examinations'!C:C, "No Data")</f>
        <v>8.71</v>
      </c>
      <c r="E394" s="28" t="str">
        <f t="array" ref="E394">_xlfn.XLOOKUP($A394, 'Medical Examinations'!$A:$A, 'Medical Examinations'!D:D, "No Data")</f>
        <v>No</v>
      </c>
      <c r="F394" s="28" t="str">
        <f t="array" ref="F394">_xlfn.XLOOKUP($A394, 'Medical Examinations'!$A:$A, 'Medical Examinations'!E:E, "No Data")</f>
        <v>No</v>
      </c>
      <c r="G394" s="28" t="str">
        <f t="array" ref="G394">_xlfn.XLOOKUP($A394, 'Medical Examinations'!$A:$A, 'Medical Examinations'!F:F, "No Data")</f>
        <v>No</v>
      </c>
      <c r="H394" s="28">
        <f t="array" ref="H394">_xlfn.XLOOKUP($A394, 'Medical Examinations'!$A:$A, 'Medical Examinations'!G:G, "No Data")</f>
        <v>0</v>
      </c>
      <c r="I394" s="28" t="str">
        <f t="array" ref="I394">_xlfn.XLOOKUP($A394, 'Medical Examinations'!$A:$A, 'Medical Examinations'!H:H, "No Data")</f>
        <v>No</v>
      </c>
      <c r="J394" s="28" t="str">
        <f t="array" ref="J394">_xlfn.XLOOKUP($A394, 'Medical Examinations'!$A:$A, 'Medical Examinations'!I:I, "No Data")</f>
        <v>Obesity</v>
      </c>
      <c r="K394" s="28" t="str">
        <f t="array" ref="K394">_xlfn.XLOOKUP($A394, 'Hospitalisation Details'!$A:$A, 'Hospitalisation Details'!I:I, "No Data")</f>
        <v>tier - 2</v>
      </c>
      <c r="L394" s="28" t="str">
        <f t="array" ref="L394">_xlfn.XLOOKUP($A394, 'Hospitalisation Details'!$A:$A, 'Hospitalisation Details'!J:J, "No Data")</f>
        <v>R1024</v>
      </c>
      <c r="M394" s="28" t="str">
        <f t="array" ref="M394">_xlfn.XLOOKUP($A394, 'Hospitalisation Details'!$A:$A, 'Hospitalisation Details'!E:E, "No Data")</f>
        <v>21/09/74</v>
      </c>
      <c r="N394" s="28">
        <f t="array" ref="N394">_xlfn.XLOOKUP($A394, 'Hospitalisation Details'!$A:$A, 'Hospitalisation Details'!K:K, "No Data")</f>
        <v>48</v>
      </c>
      <c r="O394" s="33">
        <f t="array" ref="O394">_xlfn.XLOOKUP($A394, 'Hospitalisation Details'!$A:$A, 'Hospitalisation Details'!G:G, "No Data")</f>
        <v>26392.26</v>
      </c>
      <c r="P394" s="28" t="str">
        <f t="array" ref="P394">_xlfn.XLOOKUP($A394, 'Hospitalisation Details'!$A:$A, 'Hospitalisation Details'!H:H, "No Data")</f>
        <v>tier - 2</v>
      </c>
    </row>
    <row r="395">
      <c r="A395" s="25" t="s">
        <v>1270</v>
      </c>
      <c r="B395" s="28" t="str">
        <f t="array" ref="B395">_xlfn.XLOOKUP($A395, 'Customer Names'!$A:$A, 'Customer Names'!B:B, "No Data")</f>
        <v>Woodward</v>
      </c>
      <c r="C395" s="28">
        <f t="array" ref="C395">_xlfn.XLOOKUP($A395, 'Medical Examinations'!$A:$A, 'Medical Examinations'!B:B, "No Data")</f>
        <v>32.06</v>
      </c>
      <c r="D395" s="28">
        <f t="array" ref="D395">_xlfn.XLOOKUP($A395, 'Medical Examinations'!$A:$A, 'Medical Examinations'!C:C, "No Data")</f>
        <v>4.67</v>
      </c>
      <c r="E395" s="28" t="str">
        <f t="array" ref="E395">_xlfn.XLOOKUP($A395, 'Medical Examinations'!$A:$A, 'Medical Examinations'!D:D, "No Data")</f>
        <v>No</v>
      </c>
      <c r="F395" s="28" t="str">
        <f t="array" ref="F395">_xlfn.XLOOKUP($A395, 'Medical Examinations'!$A:$A, 'Medical Examinations'!E:E, "No Data")</f>
        <v>yes</v>
      </c>
      <c r="G395" s="28" t="str">
        <f t="array" ref="G395">_xlfn.XLOOKUP($A395, 'Medical Examinations'!$A:$A, 'Medical Examinations'!F:F, "No Data")</f>
        <v>No</v>
      </c>
      <c r="H395" s="28">
        <f t="array" ref="H395">_xlfn.XLOOKUP($A395, 'Medical Examinations'!$A:$A, 'Medical Examinations'!G:G, "No Data")</f>
        <v>1</v>
      </c>
      <c r="I395" s="28" t="str">
        <f t="array" ref="I395">_xlfn.XLOOKUP($A395, 'Medical Examinations'!$A:$A, 'Medical Examinations'!H:H, "No Data")</f>
        <v>yes</v>
      </c>
      <c r="J395" s="28" t="str">
        <f t="array" ref="J395">_xlfn.XLOOKUP($A395, 'Medical Examinations'!$A:$A, 'Medical Examinations'!I:I, "No Data")</f>
        <v>Obesity</v>
      </c>
      <c r="K395" s="28" t="str">
        <f t="array" ref="K395">_xlfn.XLOOKUP($A395, 'Hospitalisation Details'!$A:$A, 'Hospitalisation Details'!I:I, "No Data")</f>
        <v>tier - 3</v>
      </c>
      <c r="L395" s="28" t="str">
        <f t="array" ref="L395">_xlfn.XLOOKUP($A395, 'Hospitalisation Details'!$A:$A, 'Hospitalisation Details'!J:J, "No Data")</f>
        <v>R1011</v>
      </c>
      <c r="M395" s="28" t="str">
        <f t="array" ref="M395">_xlfn.XLOOKUP($A395, 'Hospitalisation Details'!$A:$A, 'Hospitalisation Details'!E:E, "No Data")</f>
        <v>05/12/04</v>
      </c>
      <c r="N395" s="28">
        <f t="array" ref="N395">_xlfn.XLOOKUP($A395, 'Hospitalisation Details'!$A:$A, 'Hospitalisation Details'!K:K, "No Data")</f>
        <v>18</v>
      </c>
      <c r="O395" s="33">
        <f t="array" ref="O395">_xlfn.XLOOKUP($A395, 'Hospitalisation Details'!$A:$A, 'Hospitalisation Details'!G:G, "No Data")</f>
        <v>26316.59</v>
      </c>
      <c r="P395" s="28" t="str">
        <f t="array" ref="P395">_xlfn.XLOOKUP($A395, 'Hospitalisation Details'!$A:$A, 'Hospitalisation Details'!H:H, "No Data")</f>
        <v>tier - 2</v>
      </c>
    </row>
    <row r="396">
      <c r="A396" s="25" t="s">
        <v>1273</v>
      </c>
      <c r="B396" s="28" t="str">
        <f t="array" ref="B396">_xlfn.XLOOKUP($A396, 'Customer Names'!$A:$A, 'Customer Names'!B:B, "No Data")</f>
        <v>Ray</v>
      </c>
      <c r="C396" s="28">
        <f t="array" ref="C396">_xlfn.XLOOKUP($A396, 'Medical Examinations'!$A:$A, 'Medical Examinations'!B:B, "No Data")</f>
        <v>24.1</v>
      </c>
      <c r="D396" s="28">
        <f t="array" ref="D396">_xlfn.XLOOKUP($A396, 'Medical Examinations'!$A:$A, 'Medical Examinations'!C:C, "No Data")</f>
        <v>11.14</v>
      </c>
      <c r="E396" s="28" t="str">
        <f t="array" ref="E396">_xlfn.XLOOKUP($A396, 'Medical Examinations'!$A:$A, 'Medical Examinations'!D:D, "No Data")</f>
        <v>yes</v>
      </c>
      <c r="F396" s="28" t="str">
        <f t="array" ref="F396">_xlfn.XLOOKUP($A396, 'Medical Examinations'!$A:$A, 'Medical Examinations'!E:E, "No Data")</f>
        <v>No</v>
      </c>
      <c r="G396" s="28" t="str">
        <f t="array" ref="G396">_xlfn.XLOOKUP($A396, 'Medical Examinations'!$A:$A, 'Medical Examinations'!F:F, "No Data")</f>
        <v>No</v>
      </c>
      <c r="H396" s="28">
        <f t="array" ref="H396">_xlfn.XLOOKUP($A396, 'Medical Examinations'!$A:$A, 'Medical Examinations'!G:G, "No Data")</f>
        <v>1</v>
      </c>
      <c r="I396" s="28" t="str">
        <f t="array" ref="I396">_xlfn.XLOOKUP($A396, 'Medical Examinations'!$A:$A, 'Medical Examinations'!H:H, "No Data")</f>
        <v>No</v>
      </c>
      <c r="J396" s="28" t="str">
        <f t="array" ref="J396">_xlfn.XLOOKUP($A396, 'Medical Examinations'!$A:$A, 'Medical Examinations'!I:I, "No Data")</f>
        <v>Normal Weight</v>
      </c>
      <c r="K396" s="28" t="str">
        <f t="array" ref="K396">_xlfn.XLOOKUP($A396, 'Hospitalisation Details'!$A:$A, 'Hospitalisation Details'!I:I, "No Data")</f>
        <v>tier - 1</v>
      </c>
      <c r="L396" s="28" t="str">
        <f t="array" ref="L396">_xlfn.XLOOKUP($A396, 'Hospitalisation Details'!$A:$A, 'Hospitalisation Details'!J:J, "No Data")</f>
        <v>R1011</v>
      </c>
      <c r="M396" s="28" t="str">
        <f t="array" ref="M396">_xlfn.XLOOKUP($A396, 'Hospitalisation Details'!$A:$A, 'Hospitalisation Details'!E:E, "No Data")</f>
        <v>04/06/75</v>
      </c>
      <c r="N396" s="28">
        <f t="array" ref="N396">_xlfn.XLOOKUP($A396, 'Hospitalisation Details'!$A:$A, 'Hospitalisation Details'!K:K, "No Data")</f>
        <v>48</v>
      </c>
      <c r="O396" s="33">
        <f t="array" ref="O396">_xlfn.XLOOKUP($A396, 'Hospitalisation Details'!$A:$A, 'Hospitalisation Details'!G:G, "No Data")</f>
        <v>26236.58</v>
      </c>
      <c r="P396" s="28" t="str">
        <f t="array" ref="P396">_xlfn.XLOOKUP($A396, 'Hospitalisation Details'!$A:$A, 'Hospitalisation Details'!H:H, "No Data")</f>
        <v>tier - 2</v>
      </c>
    </row>
    <row r="397">
      <c r="A397" s="25" t="s">
        <v>1277</v>
      </c>
      <c r="B397" s="28" t="str">
        <f t="array" ref="B397">_xlfn.XLOOKUP($A397, 'Customer Names'!$A:$A, 'Customer Names'!B:B, "No Data")</f>
        <v>Jennings</v>
      </c>
      <c r="C397" s="28">
        <f t="array" ref="C397">_xlfn.XLOOKUP($A397, 'Medical Examinations'!$A:$A, 'Medical Examinations'!B:B, "No Data")</f>
        <v>27.1</v>
      </c>
      <c r="D397" s="28">
        <f t="array" ref="D397">_xlfn.XLOOKUP($A397, 'Medical Examinations'!$A:$A, 'Medical Examinations'!C:C, "No Data")</f>
        <v>9.05</v>
      </c>
      <c r="E397" s="28" t="str">
        <f t="array" ref="E397">_xlfn.XLOOKUP($A397, 'Medical Examinations'!$A:$A, 'Medical Examinations'!D:D, "No Data")</f>
        <v>No</v>
      </c>
      <c r="F397" s="28" t="str">
        <f t="array" ref="F397">_xlfn.XLOOKUP($A397, 'Medical Examinations'!$A:$A, 'Medical Examinations'!E:E, "No Data")</f>
        <v>No</v>
      </c>
      <c r="G397" s="28" t="str">
        <f t="array" ref="G397">_xlfn.XLOOKUP($A397, 'Medical Examinations'!$A:$A, 'Medical Examinations'!F:F, "No Data")</f>
        <v>No</v>
      </c>
      <c r="H397" s="28">
        <f t="array" ref="H397">_xlfn.XLOOKUP($A397, 'Medical Examinations'!$A:$A, 'Medical Examinations'!G:G, "No Data")</f>
        <v>2</v>
      </c>
      <c r="I397" s="28" t="str">
        <f t="array" ref="I397">_xlfn.XLOOKUP($A397, 'Medical Examinations'!$A:$A, 'Medical Examinations'!H:H, "No Data")</f>
        <v>No</v>
      </c>
      <c r="J397" s="28" t="str">
        <f t="array" ref="J397">_xlfn.XLOOKUP($A397, 'Medical Examinations'!$A:$A, 'Medical Examinations'!I:I, "No Data")</f>
        <v>Overweight</v>
      </c>
      <c r="K397" s="28" t="str">
        <f t="array" ref="K397">_xlfn.XLOOKUP($A397, 'Hospitalisation Details'!$A:$A, 'Hospitalisation Details'!I:I, "No Data")</f>
        <v>tier - 3</v>
      </c>
      <c r="L397" s="28" t="str">
        <f t="array" ref="L397">_xlfn.XLOOKUP($A397, 'Hospitalisation Details'!$A:$A, 'Hospitalisation Details'!J:J, "No Data")</f>
        <v>R1011</v>
      </c>
      <c r="M397" s="28" t="str">
        <f t="array" ref="M397">_xlfn.XLOOKUP($A397, 'Hospitalisation Details'!$A:$A, 'Hospitalisation Details'!E:E, "No Data")</f>
        <v>07/07/73</v>
      </c>
      <c r="N397" s="28">
        <f t="array" ref="N397">_xlfn.XLOOKUP($A397, 'Hospitalisation Details'!$A:$A, 'Hospitalisation Details'!K:K, "No Data")</f>
        <v>49</v>
      </c>
      <c r="O397" s="33">
        <f t="array" ref="O397">_xlfn.XLOOKUP($A397, 'Hospitalisation Details'!$A:$A, 'Hospitalisation Details'!G:G, "No Data")</f>
        <v>26140.36</v>
      </c>
      <c r="P397" s="28" t="str">
        <f t="array" ref="P397">_xlfn.XLOOKUP($A397, 'Hospitalisation Details'!$A:$A, 'Hospitalisation Details'!H:H, "No Data")</f>
        <v>tier - 2</v>
      </c>
    </row>
    <row r="398">
      <c r="A398" s="25" t="s">
        <v>1280</v>
      </c>
      <c r="B398" s="28" t="str">
        <f t="array" ref="B398">_xlfn.XLOOKUP($A398, 'Customer Names'!$A:$A, 'Customer Names'!B:B, "No Data")</f>
        <v>Fuller</v>
      </c>
      <c r="C398" s="28">
        <f t="array" ref="C398">_xlfn.XLOOKUP($A398, 'Medical Examinations'!$A:$A, 'Medical Examinations'!B:B, "No Data")</f>
        <v>24.42</v>
      </c>
      <c r="D398" s="28">
        <f t="array" ref="D398">_xlfn.XLOOKUP($A398, 'Medical Examinations'!$A:$A, 'Medical Examinations'!C:C, "No Data")</f>
        <v>11.31</v>
      </c>
      <c r="E398" s="28" t="str">
        <f t="array" ref="E398">_xlfn.XLOOKUP($A398, 'Medical Examinations'!$A:$A, 'Medical Examinations'!D:D, "No Data")</f>
        <v>No</v>
      </c>
      <c r="F398" s="28" t="str">
        <f t="array" ref="F398">_xlfn.XLOOKUP($A398, 'Medical Examinations'!$A:$A, 'Medical Examinations'!E:E, "No Data")</f>
        <v>No</v>
      </c>
      <c r="G398" s="28" t="str">
        <f t="array" ref="G398">_xlfn.XLOOKUP($A398, 'Medical Examinations'!$A:$A, 'Medical Examinations'!F:F, "No Data")</f>
        <v>No</v>
      </c>
      <c r="H398" s="28">
        <f t="array" ref="H398">_xlfn.XLOOKUP($A398, 'Medical Examinations'!$A:$A, 'Medical Examinations'!G:G, "No Data")</f>
        <v>0</v>
      </c>
      <c r="I398" s="28" t="str">
        <f t="array" ref="I398">_xlfn.XLOOKUP($A398, 'Medical Examinations'!$A:$A, 'Medical Examinations'!H:H, "No Data")</f>
        <v>yes</v>
      </c>
      <c r="J398" s="28" t="str">
        <f t="array" ref="J398">_xlfn.XLOOKUP($A398, 'Medical Examinations'!$A:$A, 'Medical Examinations'!I:I, "No Data")</f>
        <v>Normal Weight</v>
      </c>
      <c r="K398" s="28" t="str">
        <f t="array" ref="K398">_xlfn.XLOOKUP($A398, 'Hospitalisation Details'!$A:$A, 'Hospitalisation Details'!I:I, "No Data")</f>
        <v>tier - 1</v>
      </c>
      <c r="L398" s="28" t="str">
        <f t="array" ref="L398">_xlfn.XLOOKUP($A398, 'Hospitalisation Details'!$A:$A, 'Hospitalisation Details'!J:J, "No Data")</f>
        <v>R1013</v>
      </c>
      <c r="M398" s="28" t="str">
        <f t="array" ref="M398">_xlfn.XLOOKUP($A398, 'Hospitalisation Details'!$A:$A, 'Hospitalisation Details'!E:E, "No Data")</f>
        <v>11/10/02</v>
      </c>
      <c r="N398" s="28">
        <f t="array" ref="N398">_xlfn.XLOOKUP($A398, 'Hospitalisation Details'!$A:$A, 'Hospitalisation Details'!K:K, "No Data")</f>
        <v>20</v>
      </c>
      <c r="O398" s="33">
        <f t="array" ref="O398">_xlfn.XLOOKUP($A398, 'Hospitalisation Details'!$A:$A, 'Hospitalisation Details'!G:G, "No Data")</f>
        <v>26125.67</v>
      </c>
      <c r="P398" s="28" t="str">
        <f t="array" ref="P398">_xlfn.XLOOKUP($A398, 'Hospitalisation Details'!$A:$A, 'Hospitalisation Details'!H:H, "No Data")</f>
        <v>tier - 2</v>
      </c>
    </row>
    <row r="399">
      <c r="A399" s="25" t="s">
        <v>1284</v>
      </c>
      <c r="B399" s="28" t="str">
        <f t="array" ref="B399">_xlfn.XLOOKUP($A399, 'Customer Names'!$A:$A, 'Customer Names'!B:B, "No Data")</f>
        <v>Lovisek</v>
      </c>
      <c r="C399" s="28">
        <f t="array" ref="C399">_xlfn.XLOOKUP($A399, 'Medical Examinations'!$A:$A, 'Medical Examinations'!B:B, "No Data")</f>
        <v>26.695</v>
      </c>
      <c r="D399" s="28">
        <f t="array" ref="D399">_xlfn.XLOOKUP($A399, 'Medical Examinations'!$A:$A, 'Medical Examinations'!C:C, "No Data")</f>
        <v>4.68</v>
      </c>
      <c r="E399" s="28" t="str">
        <f t="array" ref="E399">_xlfn.XLOOKUP($A399, 'Medical Examinations'!$A:$A, 'Medical Examinations'!D:D, "No Data")</f>
        <v>yes</v>
      </c>
      <c r="F399" s="28" t="str">
        <f t="array" ref="F399">_xlfn.XLOOKUP($A399, 'Medical Examinations'!$A:$A, 'Medical Examinations'!E:E, "No Data")</f>
        <v>No</v>
      </c>
      <c r="G399" s="28" t="str">
        <f t="array" ref="G399">_xlfn.XLOOKUP($A399, 'Medical Examinations'!$A:$A, 'Medical Examinations'!F:F, "No Data")</f>
        <v>No</v>
      </c>
      <c r="H399" s="28">
        <f t="array" ref="H399">_xlfn.XLOOKUP($A399, 'Medical Examinations'!$A:$A, 'Medical Examinations'!G:G, "No Data")</f>
        <v>2</v>
      </c>
      <c r="I399" s="28" t="str">
        <f t="array" ref="I399">_xlfn.XLOOKUP($A399, 'Medical Examinations'!$A:$A, 'Medical Examinations'!H:H, "No Data")</f>
        <v>yes</v>
      </c>
      <c r="J399" s="28" t="str">
        <f t="array" ref="J399">_xlfn.XLOOKUP($A399, 'Medical Examinations'!$A:$A, 'Medical Examinations'!I:I, "No Data")</f>
        <v>Overweight</v>
      </c>
      <c r="K399" s="28" t="str">
        <f t="array" ref="K399">_xlfn.XLOOKUP($A399, 'Hospitalisation Details'!$A:$A, 'Hospitalisation Details'!I:I, "No Data")</f>
        <v>tier - 3</v>
      </c>
      <c r="L399" s="28" t="str">
        <f t="array" ref="L399">_xlfn.XLOOKUP($A399, 'Hospitalisation Details'!$A:$A, 'Hospitalisation Details'!J:J, "No Data")</f>
        <v>R1012</v>
      </c>
      <c r="M399" s="28" t="str">
        <f t="array" ref="M399">_xlfn.XLOOKUP($A399, 'Hospitalisation Details'!$A:$A, 'Hospitalisation Details'!E:E, "No Data")</f>
        <v>09/07/66</v>
      </c>
      <c r="N399" s="28">
        <f t="array" ref="N399">_xlfn.XLOOKUP($A399, 'Hospitalisation Details'!$A:$A, 'Hospitalisation Details'!K:K, "No Data")</f>
        <v>56</v>
      </c>
      <c r="O399" s="33">
        <f t="array" ref="O399">_xlfn.XLOOKUP($A399, 'Hospitalisation Details'!$A:$A, 'Hospitalisation Details'!G:G, "No Data")</f>
        <v>26109.33</v>
      </c>
      <c r="P399" s="28" t="str">
        <f t="array" ref="P399">_xlfn.XLOOKUP($A399, 'Hospitalisation Details'!$A:$A, 'Hospitalisation Details'!H:H, "No Data")</f>
        <v>tier - 2</v>
      </c>
    </row>
    <row r="400">
      <c r="A400" s="25" t="s">
        <v>1288</v>
      </c>
      <c r="B400" s="28" t="str">
        <f t="array" ref="B400">_xlfn.XLOOKUP($A400, 'Customer Names'!$A:$A, 'Customer Names'!B:B, "No Data")</f>
        <v>Painter</v>
      </c>
      <c r="C400" s="28">
        <f t="array" ref="C400">_xlfn.XLOOKUP($A400, 'Medical Examinations'!$A:$A, 'Medical Examinations'!B:B, "No Data")</f>
        <v>27.79</v>
      </c>
      <c r="D400" s="28">
        <f t="array" ref="D400">_xlfn.XLOOKUP($A400, 'Medical Examinations'!$A:$A, 'Medical Examinations'!C:C, "No Data")</f>
        <v>6.05</v>
      </c>
      <c r="E400" s="28" t="str">
        <f t="array" ref="E400">_xlfn.XLOOKUP($A400, 'Medical Examinations'!$A:$A, 'Medical Examinations'!D:D, "No Data")</f>
        <v>yes</v>
      </c>
      <c r="F400" s="28" t="str">
        <f t="array" ref="F400">_xlfn.XLOOKUP($A400, 'Medical Examinations'!$A:$A, 'Medical Examinations'!E:E, "No Data")</f>
        <v>yes</v>
      </c>
      <c r="G400" s="28" t="str">
        <f t="array" ref="G400">_xlfn.XLOOKUP($A400, 'Medical Examinations'!$A:$A, 'Medical Examinations'!F:F, "No Data")</f>
        <v>No</v>
      </c>
      <c r="H400" s="28">
        <f t="array" ref="H400">_xlfn.XLOOKUP($A400, 'Medical Examinations'!$A:$A, 'Medical Examinations'!G:G, "No Data")</f>
        <v>1</v>
      </c>
      <c r="I400" s="28" t="str">
        <f t="array" ref="I400">_xlfn.XLOOKUP($A400, 'Medical Examinations'!$A:$A, 'Medical Examinations'!H:H, "No Data")</f>
        <v>yes</v>
      </c>
      <c r="J400" s="28" t="str">
        <f t="array" ref="J400">_xlfn.XLOOKUP($A400, 'Medical Examinations'!$A:$A, 'Medical Examinations'!I:I, "No Data")</f>
        <v>Overweight</v>
      </c>
      <c r="K400" s="28" t="str">
        <f t="array" ref="K400">_xlfn.XLOOKUP($A400, 'Hospitalisation Details'!$A:$A, 'Hospitalisation Details'!I:I, "No Data")</f>
        <v>tier - 3</v>
      </c>
      <c r="L400" s="28" t="str">
        <f t="array" ref="L400">_xlfn.XLOOKUP($A400, 'Hospitalisation Details'!$A:$A, 'Hospitalisation Details'!J:J, "No Data")</f>
        <v>R1011</v>
      </c>
      <c r="M400" s="28" t="str">
        <f t="array" ref="M400">_xlfn.XLOOKUP($A400, 'Hospitalisation Details'!$A:$A, 'Hospitalisation Details'!E:E, "No Data")</f>
        <v>26/12/00</v>
      </c>
      <c r="N400" s="28">
        <f t="array" ref="N400">_xlfn.XLOOKUP($A400, 'Hospitalisation Details'!$A:$A, 'Hospitalisation Details'!K:K, "No Data")</f>
        <v>22</v>
      </c>
      <c r="O400" s="33">
        <f t="array" ref="O400">_xlfn.XLOOKUP($A400, 'Hospitalisation Details'!$A:$A, 'Hospitalisation Details'!G:G, "No Data")</f>
        <v>26026.97</v>
      </c>
      <c r="P400" s="28" t="str">
        <f t="array" ref="P400">_xlfn.XLOOKUP($A400, 'Hospitalisation Details'!$A:$A, 'Hospitalisation Details'!H:H, "No Data")</f>
        <v>tier - 2</v>
      </c>
    </row>
    <row r="401">
      <c r="A401" s="25" t="s">
        <v>1290</v>
      </c>
      <c r="B401" s="28" t="str">
        <f t="array" ref="B401">_xlfn.XLOOKUP($A401, 'Customer Names'!$A:$A, 'Customer Names'!B:B, "No Data")</f>
        <v>Edwards</v>
      </c>
      <c r="C401" s="28">
        <f t="array" ref="C401">_xlfn.XLOOKUP($A401, 'Medical Examinations'!$A:$A, 'Medical Examinations'!B:B, "No Data")</f>
        <v>32.68</v>
      </c>
      <c r="D401" s="28">
        <f t="array" ref="D401">_xlfn.XLOOKUP($A401, 'Medical Examinations'!$A:$A, 'Medical Examinations'!C:C, "No Data")</f>
        <v>4.68</v>
      </c>
      <c r="E401" s="28" t="str">
        <f t="array" ref="E401">_xlfn.XLOOKUP($A401, 'Medical Examinations'!$A:$A, 'Medical Examinations'!D:D, "No Data")</f>
        <v>yes</v>
      </c>
      <c r="F401" s="28" t="str">
        <f t="array" ref="F401">_xlfn.XLOOKUP($A401, 'Medical Examinations'!$A:$A, 'Medical Examinations'!E:E, "No Data")</f>
        <v>No</v>
      </c>
      <c r="G401" s="28" t="str">
        <f t="array" ref="G401">_xlfn.XLOOKUP($A401, 'Medical Examinations'!$A:$A, 'Medical Examinations'!F:F, "No Data")</f>
        <v>No</v>
      </c>
      <c r="H401" s="28">
        <f t="array" ref="H401">_xlfn.XLOOKUP($A401, 'Medical Examinations'!$A:$A, 'Medical Examinations'!G:G, "No Data")</f>
        <v>0</v>
      </c>
      <c r="I401" s="28" t="str">
        <f t="array" ref="I401">_xlfn.XLOOKUP($A401, 'Medical Examinations'!$A:$A, 'Medical Examinations'!H:H, "No Data")</f>
        <v>No</v>
      </c>
      <c r="J401" s="28" t="str">
        <f t="array" ref="J401">_xlfn.XLOOKUP($A401, 'Medical Examinations'!$A:$A, 'Medical Examinations'!I:I, "No Data")</f>
        <v>Obesity</v>
      </c>
      <c r="K401" s="28" t="str">
        <f t="array" ref="K401">_xlfn.XLOOKUP($A401, 'Hospitalisation Details'!$A:$A, 'Hospitalisation Details'!I:I, "No Data")</f>
        <v>tier - 2</v>
      </c>
      <c r="L401" s="28" t="str">
        <f t="array" ref="L401">_xlfn.XLOOKUP($A401, 'Hospitalisation Details'!$A:$A, 'Hospitalisation Details'!J:J, "No Data")</f>
        <v>R1012</v>
      </c>
      <c r="M401" s="28" t="str">
        <f t="array" ref="M401">_xlfn.XLOOKUP($A401, 'Hospitalisation Details'!$A:$A, 'Hospitalisation Details'!E:E, "No Data")</f>
        <v>05/06/01</v>
      </c>
      <c r="N401" s="28">
        <f t="array" ref="N401">_xlfn.XLOOKUP($A401, 'Hospitalisation Details'!$A:$A, 'Hospitalisation Details'!K:K, "No Data")</f>
        <v>22</v>
      </c>
      <c r="O401" s="33">
        <f t="array" ref="O401">_xlfn.XLOOKUP($A401, 'Hospitalisation Details'!$A:$A, 'Hospitalisation Details'!G:G, "No Data")</f>
        <v>26018.95</v>
      </c>
      <c r="P401" s="28" t="str">
        <f t="array" ref="P401">_xlfn.XLOOKUP($A401, 'Hospitalisation Details'!$A:$A, 'Hospitalisation Details'!H:H, "No Data")</f>
        <v>tier - 2</v>
      </c>
    </row>
    <row r="402">
      <c r="A402" s="25" t="s">
        <v>1294</v>
      </c>
      <c r="B402" s="28" t="str">
        <f t="array" ref="B402">_xlfn.XLOOKUP($A402, 'Customer Names'!$A:$A, 'Customer Names'!B:B, "No Data")</f>
        <v>Liebl</v>
      </c>
      <c r="C402" s="28">
        <f t="array" ref="C402">_xlfn.XLOOKUP($A402, 'Medical Examinations'!$A:$A, 'Medical Examinations'!B:B, "No Data")</f>
        <v>26.4</v>
      </c>
      <c r="D402" s="28">
        <f t="array" ref="D402">_xlfn.XLOOKUP($A402, 'Medical Examinations'!$A:$A, 'Medical Examinations'!C:C, "No Data")</f>
        <v>9.5</v>
      </c>
      <c r="E402" s="28" t="str">
        <f t="array" ref="E402">_xlfn.XLOOKUP($A402, 'Medical Examinations'!$A:$A, 'Medical Examinations'!D:D, "No Data")</f>
        <v>yes</v>
      </c>
      <c r="F402" s="28" t="str">
        <f t="array" ref="F402">_xlfn.XLOOKUP($A402, 'Medical Examinations'!$A:$A, 'Medical Examinations'!E:E, "No Data")</f>
        <v>No</v>
      </c>
      <c r="G402" s="28" t="str">
        <f t="array" ref="G402">_xlfn.XLOOKUP($A402, 'Medical Examinations'!$A:$A, 'Medical Examinations'!F:F, "No Data")</f>
        <v>No</v>
      </c>
      <c r="H402" s="28">
        <f t="array" ref="H402">_xlfn.XLOOKUP($A402, 'Medical Examinations'!$A:$A, 'Medical Examinations'!G:G, "No Data")</f>
        <v>2</v>
      </c>
      <c r="I402" s="28" t="str">
        <f t="array" ref="I402">_xlfn.XLOOKUP($A402, 'Medical Examinations'!$A:$A, 'Medical Examinations'!H:H, "No Data")</f>
        <v>No</v>
      </c>
      <c r="J402" s="28" t="str">
        <f t="array" ref="J402">_xlfn.XLOOKUP($A402, 'Medical Examinations'!$A:$A, 'Medical Examinations'!I:I, "No Data")</f>
        <v>Overweight</v>
      </c>
      <c r="K402" s="28" t="str">
        <f t="array" ref="K402">_xlfn.XLOOKUP($A402, 'Hospitalisation Details'!$A:$A, 'Hospitalisation Details'!I:I, "No Data")</f>
        <v>tier - 2</v>
      </c>
      <c r="L402" s="28" t="str">
        <f t="array" ref="L402">_xlfn.XLOOKUP($A402, 'Hospitalisation Details'!$A:$A, 'Hospitalisation Details'!J:J, "No Data")</f>
        <v>R1013</v>
      </c>
      <c r="M402" s="28" t="str">
        <f t="array" ref="M402">_xlfn.XLOOKUP($A402, 'Hospitalisation Details'!$A:$A, 'Hospitalisation Details'!E:E, "No Data")</f>
        <v>03/12/70</v>
      </c>
      <c r="N402" s="28">
        <f t="array" ref="N402">_xlfn.XLOOKUP($A402, 'Hospitalisation Details'!$A:$A, 'Hospitalisation Details'!K:K, "No Data")</f>
        <v>52</v>
      </c>
      <c r="O402" s="33">
        <f t="array" ref="O402">_xlfn.XLOOKUP($A402, 'Hospitalisation Details'!$A:$A, 'Hospitalisation Details'!G:G, "No Data")</f>
        <v>25992.82</v>
      </c>
      <c r="P402" s="28" t="str">
        <f t="array" ref="P402">_xlfn.XLOOKUP($A402, 'Hospitalisation Details'!$A:$A, 'Hospitalisation Details'!H:H, "No Data")</f>
        <v>tier - 2</v>
      </c>
    </row>
    <row r="403">
      <c r="A403" s="25" t="s">
        <v>1297</v>
      </c>
      <c r="B403" s="28" t="str">
        <f t="array" ref="B403">_xlfn.XLOOKUP($A403, 'Customer Names'!$A:$A, 'Customer Names'!B:B, "No Data")</f>
        <v>Kasabian-Larson</v>
      </c>
      <c r="C403" s="28">
        <f t="array" ref="C403">_xlfn.XLOOKUP($A403, 'Medical Examinations'!$A:$A, 'Medical Examinations'!B:B, "No Data")</f>
        <v>23.655</v>
      </c>
      <c r="D403" s="28">
        <f t="array" ref="D403">_xlfn.XLOOKUP($A403, 'Medical Examinations'!$A:$A, 'Medical Examinations'!C:C, "No Data")</f>
        <v>10.84</v>
      </c>
      <c r="E403" s="28" t="str">
        <f t="array" ref="E403">_xlfn.XLOOKUP($A403, 'Medical Examinations'!$A:$A, 'Medical Examinations'!D:D, "No Data")</f>
        <v>yes</v>
      </c>
      <c r="F403" s="28" t="str">
        <f t="array" ref="F403">_xlfn.XLOOKUP($A403, 'Medical Examinations'!$A:$A, 'Medical Examinations'!E:E, "No Data")</f>
        <v>No</v>
      </c>
      <c r="G403" s="28" t="str">
        <f t="array" ref="G403">_xlfn.XLOOKUP($A403, 'Medical Examinations'!$A:$A, 'Medical Examinations'!F:F, "No Data")</f>
        <v>Yes</v>
      </c>
      <c r="H403" s="28">
        <f t="array" ref="H403">_xlfn.XLOOKUP($A403, 'Medical Examinations'!$A:$A, 'Medical Examinations'!G:G, "No Data")</f>
        <v>1</v>
      </c>
      <c r="I403" s="28" t="str">
        <f t="array" ref="I403">_xlfn.XLOOKUP($A403, 'Medical Examinations'!$A:$A, 'Medical Examinations'!H:H, "No Data")</f>
        <v>yes</v>
      </c>
      <c r="J403" s="28" t="str">
        <f t="array" ref="J403">_xlfn.XLOOKUP($A403, 'Medical Examinations'!$A:$A, 'Medical Examinations'!I:I, "No Data")</f>
        <v>Normal Weight</v>
      </c>
      <c r="K403" s="28" t="str">
        <f t="array" ref="K403">_xlfn.XLOOKUP($A403, 'Hospitalisation Details'!$A:$A, 'Hospitalisation Details'!I:I, "No Data")</f>
        <v>tier - 3</v>
      </c>
      <c r="L403" s="28" t="str">
        <f t="array" ref="L403">_xlfn.XLOOKUP($A403, 'Hospitalisation Details'!$A:$A, 'Hospitalisation Details'!J:J, "No Data")</f>
        <v>R1012</v>
      </c>
      <c r="M403" s="28" t="str">
        <f t="array" ref="M403">_xlfn.XLOOKUP($A403, 'Hospitalisation Details'!$A:$A, 'Hospitalisation Details'!E:E, "No Data")</f>
        <v>21/08/63</v>
      </c>
      <c r="N403" s="28">
        <f t="array" ref="N403">_xlfn.XLOOKUP($A403, 'Hospitalisation Details'!$A:$A, 'Hospitalisation Details'!K:K, "No Data")</f>
        <v>59</v>
      </c>
      <c r="O403" s="33">
        <f t="array" ref="O403">_xlfn.XLOOKUP($A403, 'Hospitalisation Details'!$A:$A, 'Hospitalisation Details'!G:G, "No Data")</f>
        <v>25678.78</v>
      </c>
      <c r="P403" s="28" t="str">
        <f t="array" ref="P403">_xlfn.XLOOKUP($A403, 'Hospitalisation Details'!$A:$A, 'Hospitalisation Details'!H:H, "No Data")</f>
        <v>tier - 2</v>
      </c>
    </row>
    <row r="404">
      <c r="A404" s="25" t="s">
        <v>1301</v>
      </c>
      <c r="B404" s="28" t="str">
        <f t="array" ref="B404">_xlfn.XLOOKUP($A404, 'Customer Names'!$A:$A, 'Customer Names'!B:B, "No Data")</f>
        <v>Creamer</v>
      </c>
      <c r="C404" s="28">
        <f t="array" ref="C404">_xlfn.XLOOKUP($A404, 'Medical Examinations'!$A:$A, 'Medical Examinations'!B:B, "No Data")</f>
        <v>27.36</v>
      </c>
      <c r="D404" s="28">
        <f t="array" ref="D404">_xlfn.XLOOKUP($A404, 'Medical Examinations'!$A:$A, 'Medical Examinations'!C:C, "No Data")</f>
        <v>5.88</v>
      </c>
      <c r="E404" s="28" t="str">
        <f t="array" ref="E404">_xlfn.XLOOKUP($A404, 'Medical Examinations'!$A:$A, 'Medical Examinations'!D:D, "No Data")</f>
        <v>No</v>
      </c>
      <c r="F404" s="28" t="str">
        <f t="array" ref="F404">_xlfn.XLOOKUP($A404, 'Medical Examinations'!$A:$A, 'Medical Examinations'!E:E, "No Data")</f>
        <v>No</v>
      </c>
      <c r="G404" s="28" t="str">
        <f t="array" ref="G404">_xlfn.XLOOKUP($A404, 'Medical Examinations'!$A:$A, 'Medical Examinations'!F:F, "No Data")</f>
        <v>No</v>
      </c>
      <c r="H404" s="28">
        <f t="array" ref="H404">_xlfn.XLOOKUP($A404, 'Medical Examinations'!$A:$A, 'Medical Examinations'!G:G, "No Data")</f>
        <v>2</v>
      </c>
      <c r="I404" s="28" t="str">
        <f t="array" ref="I404">_xlfn.XLOOKUP($A404, 'Medical Examinations'!$A:$A, 'Medical Examinations'!H:H, "No Data")</f>
        <v>No</v>
      </c>
      <c r="J404" s="28" t="str">
        <f t="array" ref="J404">_xlfn.XLOOKUP($A404, 'Medical Examinations'!$A:$A, 'Medical Examinations'!I:I, "No Data")</f>
        <v>Overweight</v>
      </c>
      <c r="K404" s="28" t="str">
        <f t="array" ref="K404">_xlfn.XLOOKUP($A404, 'Hospitalisation Details'!$A:$A, 'Hospitalisation Details'!I:I, "No Data")</f>
        <v>tier - 3</v>
      </c>
      <c r="L404" s="28" t="str">
        <f t="array" ref="L404">_xlfn.XLOOKUP($A404, 'Hospitalisation Details'!$A:$A, 'Hospitalisation Details'!J:J, "No Data")</f>
        <v>R1024</v>
      </c>
      <c r="M404" s="28" t="str">
        <f t="array" ref="M404">_xlfn.XLOOKUP($A404, 'Hospitalisation Details'!$A:$A, 'Hospitalisation Details'!E:E, "No Data")</f>
        <v>17/07/72</v>
      </c>
      <c r="N404" s="28">
        <f t="array" ref="N404">_xlfn.XLOOKUP($A404, 'Hospitalisation Details'!$A:$A, 'Hospitalisation Details'!K:K, "No Data")</f>
        <v>50</v>
      </c>
      <c r="O404" s="33">
        <f t="array" ref="O404">_xlfn.XLOOKUP($A404, 'Hospitalisation Details'!$A:$A, 'Hospitalisation Details'!G:G, "No Data")</f>
        <v>25656.58</v>
      </c>
      <c r="P404" s="28" t="str">
        <f t="array" ref="P404">_xlfn.XLOOKUP($A404, 'Hospitalisation Details'!$A:$A, 'Hospitalisation Details'!H:H, "No Data")</f>
        <v>tier - 2</v>
      </c>
    </row>
    <row r="405">
      <c r="A405" s="25" t="s">
        <v>1305</v>
      </c>
      <c r="B405" s="28" t="str">
        <f t="array" ref="B405">_xlfn.XLOOKUP($A405, 'Customer Names'!$A:$A, 'Customer Names'!B:B, "No Data")</f>
        <v>Kimbel</v>
      </c>
      <c r="C405" s="28">
        <f t="array" ref="C405">_xlfn.XLOOKUP($A405, 'Medical Examinations'!$A:$A, 'Medical Examinations'!B:B, "No Data")</f>
        <v>27.82</v>
      </c>
      <c r="D405" s="28">
        <f t="array" ref="D405">_xlfn.XLOOKUP($A405, 'Medical Examinations'!$A:$A, 'Medical Examinations'!C:C, "No Data")</f>
        <v>5.24</v>
      </c>
      <c r="E405" s="28" t="str">
        <f t="array" ref="E405">_xlfn.XLOOKUP($A405, 'Medical Examinations'!$A:$A, 'Medical Examinations'!D:D, "No Data")</f>
        <v>yes</v>
      </c>
      <c r="F405" s="28" t="str">
        <f t="array" ref="F405">_xlfn.XLOOKUP($A405, 'Medical Examinations'!$A:$A, 'Medical Examinations'!E:E, "No Data")</f>
        <v>No</v>
      </c>
      <c r="G405" s="28" t="str">
        <f t="array" ref="G405">_xlfn.XLOOKUP($A405, 'Medical Examinations'!$A:$A, 'Medical Examinations'!F:F, "No Data")</f>
        <v>No</v>
      </c>
      <c r="H405" s="28">
        <f t="array" ref="H405">_xlfn.XLOOKUP($A405, 'Medical Examinations'!$A:$A, 'Medical Examinations'!G:G, "No Data")</f>
        <v>0</v>
      </c>
      <c r="I405" s="28" t="str">
        <f t="array" ref="I405">_xlfn.XLOOKUP($A405, 'Medical Examinations'!$A:$A, 'Medical Examinations'!H:H, "No Data")</f>
        <v>yes</v>
      </c>
      <c r="J405" s="28" t="str">
        <f t="array" ref="J405">_xlfn.XLOOKUP($A405, 'Medical Examinations'!$A:$A, 'Medical Examinations'!I:I, "No Data")</f>
        <v>Overweight</v>
      </c>
      <c r="K405" s="28" t="str">
        <f t="array" ref="K405">_xlfn.XLOOKUP($A405, 'Hospitalisation Details'!$A:$A, 'Hospitalisation Details'!I:I, "No Data")</f>
        <v>tier - 1</v>
      </c>
      <c r="L405" s="28" t="str">
        <f t="array" ref="L405">_xlfn.XLOOKUP($A405, 'Hospitalisation Details'!$A:$A, 'Hospitalisation Details'!J:J, "No Data")</f>
        <v>R1011</v>
      </c>
      <c r="M405" s="28" t="str">
        <f t="array" ref="M405">_xlfn.XLOOKUP($A405, 'Hospitalisation Details'!$A:$A, 'Hospitalisation Details'!E:E, "No Data")</f>
        <v>02/08/01</v>
      </c>
      <c r="N405" s="28">
        <f t="array" ref="N405">_xlfn.XLOOKUP($A405, 'Hospitalisation Details'!$A:$A, 'Hospitalisation Details'!K:K, "No Data")</f>
        <v>21</v>
      </c>
      <c r="O405" s="33">
        <f t="array" ref="O405">_xlfn.XLOOKUP($A405, 'Hospitalisation Details'!$A:$A, 'Hospitalisation Details'!G:G, "No Data")</f>
        <v>25648.98</v>
      </c>
      <c r="P405" s="28" t="str">
        <f t="array" ref="P405">_xlfn.XLOOKUP($A405, 'Hospitalisation Details'!$A:$A, 'Hospitalisation Details'!H:H, "No Data")</f>
        <v>tier - 2</v>
      </c>
    </row>
    <row r="406">
      <c r="A406" s="25" t="s">
        <v>1308</v>
      </c>
      <c r="B406" s="28" t="str">
        <f t="array" ref="B406">_xlfn.XLOOKUP($A406, 'Customer Names'!$A:$A, 'Customer Names'!B:B, "No Data")</f>
        <v>Livensparger</v>
      </c>
      <c r="C406" s="28">
        <f t="array" ref="C406">_xlfn.XLOOKUP($A406, 'Medical Examinations'!$A:$A, 'Medical Examinations'!B:B, "No Data")</f>
        <v>25.46</v>
      </c>
      <c r="D406" s="28">
        <f t="array" ref="D406">_xlfn.XLOOKUP($A406, 'Medical Examinations'!$A:$A, 'Medical Examinations'!C:C, "No Data")</f>
        <v>11.75</v>
      </c>
      <c r="E406" s="28" t="str">
        <f t="array" ref="E406">_xlfn.XLOOKUP($A406, 'Medical Examinations'!$A:$A, 'Medical Examinations'!D:D, "No Data")</f>
        <v>No</v>
      </c>
      <c r="F406" s="28" t="str">
        <f t="array" ref="F406">_xlfn.XLOOKUP($A406, 'Medical Examinations'!$A:$A, 'Medical Examinations'!E:E, "No Data")</f>
        <v>No</v>
      </c>
      <c r="G406" s="28" t="str">
        <f t="array" ref="G406">_xlfn.XLOOKUP($A406, 'Medical Examinations'!$A:$A, 'Medical Examinations'!F:F, "No Data")</f>
        <v>No</v>
      </c>
      <c r="H406" s="28">
        <f t="array" ref="H406">_xlfn.XLOOKUP($A406, 'Medical Examinations'!$A:$A, 'Medical Examinations'!G:G, "No Data")</f>
        <v>0</v>
      </c>
      <c r="I406" s="28" t="str">
        <f t="array" ref="I406">_xlfn.XLOOKUP($A406, 'Medical Examinations'!$A:$A, 'Medical Examinations'!H:H, "No Data")</f>
        <v>No</v>
      </c>
      <c r="J406" s="28" t="str">
        <f t="array" ref="J406">_xlfn.XLOOKUP($A406, 'Medical Examinations'!$A:$A, 'Medical Examinations'!I:I, "No Data")</f>
        <v>Overweight</v>
      </c>
      <c r="K406" s="28" t="str">
        <f t="array" ref="K406">_xlfn.XLOOKUP($A406, 'Hospitalisation Details'!$A:$A, 'Hospitalisation Details'!I:I, "No Data")</f>
        <v>tier - 3</v>
      </c>
      <c r="L406" s="28" t="str">
        <f t="array" ref="L406">_xlfn.XLOOKUP($A406, 'Hospitalisation Details'!$A:$A, 'Hospitalisation Details'!J:J, "No Data")</f>
        <v>R1017</v>
      </c>
      <c r="M406" s="28" t="str">
        <f t="array" ref="M406">_xlfn.XLOOKUP($A406, 'Hospitalisation Details'!$A:$A, 'Hospitalisation Details'!E:E, "No Data")</f>
        <v>11/12/68</v>
      </c>
      <c r="N406" s="28">
        <f t="array" ref="N406">_xlfn.XLOOKUP($A406, 'Hospitalisation Details'!$A:$A, 'Hospitalisation Details'!K:K, "No Data")</f>
        <v>54</v>
      </c>
      <c r="O406" s="33">
        <f t="array" ref="O406">_xlfn.XLOOKUP($A406, 'Hospitalisation Details'!$A:$A, 'Hospitalisation Details'!G:G, "No Data")</f>
        <v>25517.11</v>
      </c>
      <c r="P406" s="28" t="str">
        <f t="array" ref="P406">_xlfn.XLOOKUP($A406, 'Hospitalisation Details'!$A:$A, 'Hospitalisation Details'!H:H, "No Data")</f>
        <v>tier - 2</v>
      </c>
    </row>
    <row r="407">
      <c r="A407" s="25" t="s">
        <v>1312</v>
      </c>
      <c r="B407" s="28" t="str">
        <f t="array" ref="B407">_xlfn.XLOOKUP($A407, 'Customer Names'!$A:$A, 'Customer Names'!B:B, "No Data")</f>
        <v>Grange</v>
      </c>
      <c r="C407" s="28">
        <f t="array" ref="C407">_xlfn.XLOOKUP($A407, 'Medical Examinations'!$A:$A, 'Medical Examinations'!B:B, "No Data")</f>
        <v>25.1</v>
      </c>
      <c r="D407" s="28">
        <f t="array" ref="D407">_xlfn.XLOOKUP($A407, 'Medical Examinations'!$A:$A, 'Medical Examinations'!C:C, "No Data")</f>
        <v>6.97</v>
      </c>
      <c r="E407" s="28" t="str">
        <f t="array" ref="E407">_xlfn.XLOOKUP($A407, 'Medical Examinations'!$A:$A, 'Medical Examinations'!D:D, "No Data")</f>
        <v>No</v>
      </c>
      <c r="F407" s="28" t="str">
        <f t="array" ref="F407">_xlfn.XLOOKUP($A407, 'Medical Examinations'!$A:$A, 'Medical Examinations'!E:E, "No Data")</f>
        <v>No</v>
      </c>
      <c r="G407" s="28" t="str">
        <f t="array" ref="G407">_xlfn.XLOOKUP($A407, 'Medical Examinations'!$A:$A, 'Medical Examinations'!F:F, "No Data")</f>
        <v>No</v>
      </c>
      <c r="H407" s="28">
        <f t="array" ref="H407">_xlfn.XLOOKUP($A407, 'Medical Examinations'!$A:$A, 'Medical Examinations'!G:G, "No Data")</f>
        <v>0</v>
      </c>
      <c r="I407" s="28" t="str">
        <f t="array" ref="I407">_xlfn.XLOOKUP($A407, 'Medical Examinations'!$A:$A, 'Medical Examinations'!H:H, "No Data")</f>
        <v>yes</v>
      </c>
      <c r="J407" s="28" t="str">
        <f t="array" ref="J407">_xlfn.XLOOKUP($A407, 'Medical Examinations'!$A:$A, 'Medical Examinations'!I:I, "No Data")</f>
        <v>Overweight</v>
      </c>
      <c r="K407" s="28" t="str">
        <f t="array" ref="K407">_xlfn.XLOOKUP($A407, 'Hospitalisation Details'!$A:$A, 'Hospitalisation Details'!I:I, "No Data")</f>
        <v>tier - 2</v>
      </c>
      <c r="L407" s="28" t="str">
        <f t="array" ref="L407">_xlfn.XLOOKUP($A407, 'Hospitalisation Details'!$A:$A, 'Hospitalisation Details'!J:J, "No Data")</f>
        <v>R1011</v>
      </c>
      <c r="M407" s="28" t="str">
        <f t="array" ref="M407">_xlfn.XLOOKUP($A407, 'Hospitalisation Details'!$A:$A, 'Hospitalisation Details'!E:E, "No Data")</f>
        <v>22/08/68</v>
      </c>
      <c r="N407" s="28">
        <f t="array" ref="N407">_xlfn.XLOOKUP($A407, 'Hospitalisation Details'!$A:$A, 'Hospitalisation Details'!K:K, "No Data")</f>
        <v>54</v>
      </c>
      <c r="O407" s="33">
        <f t="array" ref="O407">_xlfn.XLOOKUP($A407, 'Hospitalisation Details'!$A:$A, 'Hospitalisation Details'!G:G, "No Data")</f>
        <v>25382.3</v>
      </c>
      <c r="P407" s="28" t="str">
        <f t="array" ref="P407">_xlfn.XLOOKUP($A407, 'Hospitalisation Details'!$A:$A, 'Hospitalisation Details'!H:H, "No Data")</f>
        <v>tier - 2</v>
      </c>
    </row>
    <row r="408">
      <c r="A408" s="25" t="s">
        <v>1315</v>
      </c>
      <c r="B408" s="28" t="str">
        <f t="array" ref="B408">_xlfn.XLOOKUP($A408, 'Customer Names'!$A:$A, 'Customer Names'!B:B, "No Data")</f>
        <v>Nunlist</v>
      </c>
      <c r="C408" s="28">
        <f t="array" ref="C408">_xlfn.XLOOKUP($A408, 'Medical Examinations'!$A:$A, 'Medical Examinations'!B:B, "No Data")</f>
        <v>32.11</v>
      </c>
      <c r="D408" s="28">
        <f t="array" ref="D408">_xlfn.XLOOKUP($A408, 'Medical Examinations'!$A:$A, 'Medical Examinations'!C:C, "No Data")</f>
        <v>4.76</v>
      </c>
      <c r="E408" s="28" t="str">
        <f t="array" ref="E408">_xlfn.XLOOKUP($A408, 'Medical Examinations'!$A:$A, 'Medical Examinations'!D:D, "No Data")</f>
        <v>No</v>
      </c>
      <c r="F408" s="28" t="str">
        <f t="array" ref="F408">_xlfn.XLOOKUP($A408, 'Medical Examinations'!$A:$A, 'Medical Examinations'!E:E, "No Data")</f>
        <v>No</v>
      </c>
      <c r="G408" s="28" t="str">
        <f t="array" ref="G408">_xlfn.XLOOKUP($A408, 'Medical Examinations'!$A:$A, 'Medical Examinations'!F:F, "No Data")</f>
        <v>No</v>
      </c>
      <c r="H408" s="28">
        <f t="array" ref="H408">_xlfn.XLOOKUP($A408, 'Medical Examinations'!$A:$A, 'Medical Examinations'!G:G, "No Data")</f>
        <v>2</v>
      </c>
      <c r="I408" s="28" t="str">
        <f t="array" ref="I408">_xlfn.XLOOKUP($A408, 'Medical Examinations'!$A:$A, 'Medical Examinations'!H:H, "No Data")</f>
        <v>No</v>
      </c>
      <c r="J408" s="28" t="str">
        <f t="array" ref="J408">_xlfn.XLOOKUP($A408, 'Medical Examinations'!$A:$A, 'Medical Examinations'!I:I, "No Data")</f>
        <v>Obesity</v>
      </c>
      <c r="K408" s="28" t="str">
        <f t="array" ref="K408">_xlfn.XLOOKUP($A408, 'Hospitalisation Details'!$A:$A, 'Hospitalisation Details'!I:I, "No Data")</f>
        <v>tier - 2</v>
      </c>
      <c r="L408" s="28" t="str">
        <f t="array" ref="L408">_xlfn.XLOOKUP($A408, 'Hospitalisation Details'!$A:$A, 'Hospitalisation Details'!J:J, "No Data")</f>
        <v>R1017</v>
      </c>
      <c r="M408" s="28" t="str">
        <f t="array" ref="M408">_xlfn.XLOOKUP($A408, 'Hospitalisation Details'!$A:$A, 'Hospitalisation Details'!E:E, "No Data")</f>
        <v>26/09/72</v>
      </c>
      <c r="N408" s="28">
        <f t="array" ref="N408">_xlfn.XLOOKUP($A408, 'Hospitalisation Details'!$A:$A, 'Hospitalisation Details'!K:K, "No Data")</f>
        <v>50</v>
      </c>
      <c r="O408" s="33">
        <f t="array" ref="O408">_xlfn.XLOOKUP($A408, 'Hospitalisation Details'!$A:$A, 'Hospitalisation Details'!G:G, "No Data")</f>
        <v>25333.33</v>
      </c>
      <c r="P408" s="28" t="str">
        <f t="array" ref="P408">_xlfn.XLOOKUP($A408, 'Hospitalisation Details'!$A:$A, 'Hospitalisation Details'!H:H, "No Data")</f>
        <v>tier - 2</v>
      </c>
    </row>
    <row r="409">
      <c r="A409" s="25" t="s">
        <v>1319</v>
      </c>
      <c r="B409" s="28" t="str">
        <f t="array" ref="B409">_xlfn.XLOOKUP($A409, 'Customer Names'!$A:$A, 'Customer Names'!B:B, "No Data")</f>
        <v>Cutter</v>
      </c>
      <c r="C409" s="28">
        <f t="array" ref="C409">_xlfn.XLOOKUP($A409, 'Medical Examinations'!$A:$A, 'Medical Examinations'!B:B, "No Data")</f>
        <v>29.8</v>
      </c>
      <c r="D409" s="28">
        <f t="array" ref="D409">_xlfn.XLOOKUP($A409, 'Medical Examinations'!$A:$A, 'Medical Examinations'!C:C, "No Data")</f>
        <v>8.24</v>
      </c>
      <c r="E409" s="28" t="str">
        <f t="array" ref="E409">_xlfn.XLOOKUP($A409, 'Medical Examinations'!$A:$A, 'Medical Examinations'!D:D, "No Data")</f>
        <v>yes</v>
      </c>
      <c r="F409" s="28" t="str">
        <f t="array" ref="F409">_xlfn.XLOOKUP($A409, 'Medical Examinations'!$A:$A, 'Medical Examinations'!E:E, "No Data")</f>
        <v>No</v>
      </c>
      <c r="G409" s="28" t="str">
        <f t="array" ref="G409">_xlfn.XLOOKUP($A409, 'Medical Examinations'!$A:$A, 'Medical Examinations'!F:F, "No Data")</f>
        <v>No</v>
      </c>
      <c r="H409" s="28">
        <f t="array" ref="H409">_xlfn.XLOOKUP($A409, 'Medical Examinations'!$A:$A, 'Medical Examinations'!G:G, "No Data")</f>
        <v>1</v>
      </c>
      <c r="I409" s="28" t="str">
        <f t="array" ref="I409">_xlfn.XLOOKUP($A409, 'Medical Examinations'!$A:$A, 'Medical Examinations'!H:H, "No Data")</f>
        <v>yes</v>
      </c>
      <c r="J409" s="28" t="str">
        <f t="array" ref="J409">_xlfn.XLOOKUP($A409, 'Medical Examinations'!$A:$A, 'Medical Examinations'!I:I, "No Data")</f>
        <v>Overweight</v>
      </c>
      <c r="K409" s="28" t="str">
        <f t="array" ref="K409">_xlfn.XLOOKUP($A409, 'Hospitalisation Details'!$A:$A, 'Hospitalisation Details'!I:I, "No Data")</f>
        <v>tier - 1</v>
      </c>
      <c r="L409" s="28" t="str">
        <f t="array" ref="L409">_xlfn.XLOOKUP($A409, 'Hospitalisation Details'!$A:$A, 'Hospitalisation Details'!J:J, "No Data")</f>
        <v>R1011</v>
      </c>
      <c r="M409" s="28" t="str">
        <f t="array" ref="M409">_xlfn.XLOOKUP($A409, 'Hospitalisation Details'!$A:$A, 'Hospitalisation Details'!E:E, "No Data")</f>
        <v>14/12/75</v>
      </c>
      <c r="N409" s="28">
        <f t="array" ref="N409">_xlfn.XLOOKUP($A409, 'Hospitalisation Details'!$A:$A, 'Hospitalisation Details'!K:K, "No Data")</f>
        <v>47</v>
      </c>
      <c r="O409" s="33">
        <f t="array" ref="O409">_xlfn.XLOOKUP($A409, 'Hospitalisation Details'!$A:$A, 'Hospitalisation Details'!G:G, "No Data")</f>
        <v>25309.49</v>
      </c>
      <c r="P409" s="28" t="str">
        <f t="array" ref="P409">_xlfn.XLOOKUP($A409, 'Hospitalisation Details'!$A:$A, 'Hospitalisation Details'!H:H, "No Data")</f>
        <v>tier - 2</v>
      </c>
    </row>
    <row r="410">
      <c r="A410" s="25" t="s">
        <v>1322</v>
      </c>
      <c r="B410" s="28" t="str">
        <f t="array" ref="B410">_xlfn.XLOOKUP($A410, 'Customer Names'!$A:$A, 'Customer Names'!B:B, "No Data")</f>
        <v>Martin</v>
      </c>
      <c r="C410" s="28">
        <f t="array" ref="C410">_xlfn.XLOOKUP($A410, 'Medical Examinations'!$A:$A, 'Medical Examinations'!B:B, "No Data")</f>
        <v>24.01</v>
      </c>
      <c r="D410" s="28">
        <f t="array" ref="D410">_xlfn.XLOOKUP($A410, 'Medical Examinations'!$A:$A, 'Medical Examinations'!C:C, "No Data")</f>
        <v>4.76</v>
      </c>
      <c r="E410" s="28" t="str">
        <f t="array" ref="E410">_xlfn.XLOOKUP($A410, 'Medical Examinations'!$A:$A, 'Medical Examinations'!D:D, "No Data")</f>
        <v>No</v>
      </c>
      <c r="F410" s="28" t="str">
        <f t="array" ref="F410">_xlfn.XLOOKUP($A410, 'Medical Examinations'!$A:$A, 'Medical Examinations'!E:E, "No Data")</f>
        <v>No</v>
      </c>
      <c r="G410" s="28" t="str">
        <f t="array" ref="G410">_xlfn.XLOOKUP($A410, 'Medical Examinations'!$A:$A, 'Medical Examinations'!F:F, "No Data")</f>
        <v>No</v>
      </c>
      <c r="H410" s="28">
        <f t="array" ref="H410">_xlfn.XLOOKUP($A410, 'Medical Examinations'!$A:$A, 'Medical Examinations'!G:G, "No Data")</f>
        <v>1</v>
      </c>
      <c r="I410" s="28" t="str">
        <f t="array" ref="I410">_xlfn.XLOOKUP($A410, 'Medical Examinations'!$A:$A, 'Medical Examinations'!H:H, "No Data")</f>
        <v>yes</v>
      </c>
      <c r="J410" s="28" t="str">
        <f t="array" ref="J410">_xlfn.XLOOKUP($A410, 'Medical Examinations'!$A:$A, 'Medical Examinations'!I:I, "No Data")</f>
        <v>Normal Weight</v>
      </c>
      <c r="K410" s="28" t="str">
        <f t="array" ref="K410">_xlfn.XLOOKUP($A410, 'Hospitalisation Details'!$A:$A, 'Hospitalisation Details'!I:I, "No Data")</f>
        <v>tier - 3</v>
      </c>
      <c r="L410" s="28" t="str">
        <f t="array" ref="L410">_xlfn.XLOOKUP($A410, 'Hospitalisation Details'!$A:$A, 'Hospitalisation Details'!J:J, "No Data")</f>
        <v>R1011</v>
      </c>
      <c r="M410" s="28" t="str">
        <f t="array" ref="M410">_xlfn.XLOOKUP($A410, 'Hospitalisation Details'!$A:$A, 'Hospitalisation Details'!E:E, "No Data")</f>
        <v>24/11/98</v>
      </c>
      <c r="N410" s="28">
        <f t="array" ref="N410">_xlfn.XLOOKUP($A410, 'Hospitalisation Details'!$A:$A, 'Hospitalisation Details'!K:K, "No Data")</f>
        <v>24</v>
      </c>
      <c r="O410" s="33">
        <f t="array" ref="O410">_xlfn.XLOOKUP($A410, 'Hospitalisation Details'!$A:$A, 'Hospitalisation Details'!G:G, "No Data")</f>
        <v>25127.22</v>
      </c>
      <c r="P410" s="28" t="str">
        <f t="array" ref="P410">_xlfn.XLOOKUP($A410, 'Hospitalisation Details'!$A:$A, 'Hospitalisation Details'!H:H, "No Data")</f>
        <v>tier - 2</v>
      </c>
    </row>
    <row r="411">
      <c r="A411" s="25" t="s">
        <v>1326</v>
      </c>
      <c r="B411" s="28" t="str">
        <f t="array" ref="B411">_xlfn.XLOOKUP($A411, 'Customer Names'!$A:$A, 'Customer Names'!B:B, "No Data")</f>
        <v>Cooney</v>
      </c>
      <c r="C411" s="28">
        <f t="array" ref="C411">_xlfn.XLOOKUP($A411, 'Medical Examinations'!$A:$A, 'Medical Examinations'!B:B, "No Data")</f>
        <v>23.21</v>
      </c>
      <c r="D411" s="28">
        <f t="array" ref="D411">_xlfn.XLOOKUP($A411, 'Medical Examinations'!$A:$A, 'Medical Examinations'!C:C, "No Data")</f>
        <v>6.03</v>
      </c>
      <c r="E411" s="28" t="str">
        <f t="array" ref="E411">_xlfn.XLOOKUP($A411, 'Medical Examinations'!$A:$A, 'Medical Examinations'!D:D, "No Data")</f>
        <v>No</v>
      </c>
      <c r="F411" s="28" t="str">
        <f t="array" ref="F411">_xlfn.XLOOKUP($A411, 'Medical Examinations'!$A:$A, 'Medical Examinations'!E:E, "No Data")</f>
        <v>No</v>
      </c>
      <c r="G411" s="28" t="str">
        <f t="array" ref="G411">_xlfn.XLOOKUP($A411, 'Medical Examinations'!$A:$A, 'Medical Examinations'!F:F, "No Data")</f>
        <v>No</v>
      </c>
      <c r="H411" s="28">
        <f t="array" ref="H411">_xlfn.XLOOKUP($A411, 'Medical Examinations'!$A:$A, 'Medical Examinations'!G:G, "No Data")</f>
        <v>1</v>
      </c>
      <c r="I411" s="28" t="str">
        <f t="array" ref="I411">_xlfn.XLOOKUP($A411, 'Medical Examinations'!$A:$A, 'Medical Examinations'!H:H, "No Data")</f>
        <v>No</v>
      </c>
      <c r="J411" s="28" t="str">
        <f t="array" ref="J411">_xlfn.XLOOKUP($A411, 'Medical Examinations'!$A:$A, 'Medical Examinations'!I:I, "No Data")</f>
        <v>Normal Weight</v>
      </c>
      <c r="K411" s="28" t="str">
        <f t="array" ref="K411">_xlfn.XLOOKUP($A411, 'Hospitalisation Details'!$A:$A, 'Hospitalisation Details'!I:I, "No Data")</f>
        <v>tier - 2</v>
      </c>
      <c r="L411" s="28" t="str">
        <f t="array" ref="L411">_xlfn.XLOOKUP($A411, 'Hospitalisation Details'!$A:$A, 'Hospitalisation Details'!J:J, "No Data")</f>
        <v>R1013</v>
      </c>
      <c r="M411" s="28" t="str">
        <f t="array" ref="M411">_xlfn.XLOOKUP($A411, 'Hospitalisation Details'!$A:$A, 'Hospitalisation Details'!E:E, "No Data")</f>
        <v>14/06/98</v>
      </c>
      <c r="N411" s="28">
        <f t="array" ref="N411">_xlfn.XLOOKUP($A411, 'Hospitalisation Details'!$A:$A, 'Hospitalisation Details'!K:K, "No Data")</f>
        <v>24</v>
      </c>
      <c r="O411" s="33">
        <f t="array" ref="O411">_xlfn.XLOOKUP($A411, 'Hospitalisation Details'!$A:$A, 'Hospitalisation Details'!G:G, "No Data")</f>
        <v>25081.77</v>
      </c>
      <c r="P411" s="28" t="str">
        <f t="array" ref="P411">_xlfn.XLOOKUP($A411, 'Hospitalisation Details'!$A:$A, 'Hospitalisation Details'!H:H, "No Data")</f>
        <v>tier - 2</v>
      </c>
    </row>
    <row r="412">
      <c r="A412" s="25" t="s">
        <v>1329</v>
      </c>
      <c r="B412" s="28" t="str">
        <f t="array" ref="B412">_xlfn.XLOOKUP($A412, 'Customer Names'!$A:$A, 'Customer Names'!B:B, "No Data")</f>
        <v>Bier</v>
      </c>
      <c r="C412" s="28">
        <f t="array" ref="C412">_xlfn.XLOOKUP($A412, 'Medical Examinations'!$A:$A, 'Medical Examinations'!B:B, "No Data")</f>
        <v>21.2</v>
      </c>
      <c r="D412" s="28">
        <f t="array" ref="D412">_xlfn.XLOOKUP($A412, 'Medical Examinations'!$A:$A, 'Medical Examinations'!C:C, "No Data")</f>
        <v>4.07</v>
      </c>
      <c r="E412" s="28" t="str">
        <f t="array" ref="E412">_xlfn.XLOOKUP($A412, 'Medical Examinations'!$A:$A, 'Medical Examinations'!D:D, "No Data")</f>
        <v>yes</v>
      </c>
      <c r="F412" s="28" t="str">
        <f t="array" ref="F412">_xlfn.XLOOKUP($A412, 'Medical Examinations'!$A:$A, 'Medical Examinations'!E:E, "No Data")</f>
        <v>No</v>
      </c>
      <c r="G412" s="28" t="str">
        <f t="array" ref="G412">_xlfn.XLOOKUP($A412, 'Medical Examinations'!$A:$A, 'Medical Examinations'!F:F, "No Data")</f>
        <v>No</v>
      </c>
      <c r="H412" s="28">
        <f t="array" ref="H412">_xlfn.XLOOKUP($A412, 'Medical Examinations'!$A:$A, 'Medical Examinations'!G:G, "No Data")</f>
        <v>1</v>
      </c>
      <c r="I412" s="28" t="str">
        <f t="array" ref="I412">_xlfn.XLOOKUP($A412, 'Medical Examinations'!$A:$A, 'Medical Examinations'!H:H, "No Data")</f>
        <v>yes</v>
      </c>
      <c r="J412" s="28" t="str">
        <f t="array" ref="J412">_xlfn.XLOOKUP($A412, 'Medical Examinations'!$A:$A, 'Medical Examinations'!I:I, "No Data")</f>
        <v>Normal Weight</v>
      </c>
      <c r="K412" s="28" t="str">
        <f t="array" ref="K412">_xlfn.XLOOKUP($A412, 'Hospitalisation Details'!$A:$A, 'Hospitalisation Details'!I:I, "No Data")</f>
        <v>tier - 2</v>
      </c>
      <c r="L412" s="28" t="str">
        <f t="array" ref="L412">_xlfn.XLOOKUP($A412, 'Hospitalisation Details'!$A:$A, 'Hospitalisation Details'!J:J, "No Data")</f>
        <v>R1011</v>
      </c>
      <c r="M412" s="28" t="str">
        <f t="array" ref="M412">_xlfn.XLOOKUP($A412, 'Hospitalisation Details'!$A:$A, 'Hospitalisation Details'!E:E, "No Data")</f>
        <v>04/12/95</v>
      </c>
      <c r="N412" s="28">
        <f t="array" ref="N412">_xlfn.XLOOKUP($A412, 'Hospitalisation Details'!$A:$A, 'Hospitalisation Details'!K:K, "No Data")</f>
        <v>27</v>
      </c>
      <c r="O412" s="33">
        <f t="array" ref="O412">_xlfn.XLOOKUP($A412, 'Hospitalisation Details'!$A:$A, 'Hospitalisation Details'!G:G, "No Data")</f>
        <v>25075.97</v>
      </c>
      <c r="P412" s="28" t="str">
        <f t="array" ref="P412">_xlfn.XLOOKUP($A412, 'Hospitalisation Details'!$A:$A, 'Hospitalisation Details'!H:H, "No Data")</f>
        <v>tier - 2</v>
      </c>
    </row>
    <row r="413">
      <c r="A413" s="25" t="s">
        <v>1333</v>
      </c>
      <c r="B413" s="28" t="str">
        <f t="array" ref="B413">_xlfn.XLOOKUP($A413, 'Customer Names'!$A:$A, 'Customer Names'!B:B, "No Data")</f>
        <v>Muskopf</v>
      </c>
      <c r="C413" s="28">
        <f t="array" ref="C413">_xlfn.XLOOKUP($A413, 'Medical Examinations'!$A:$A, 'Medical Examinations'!B:B, "No Data")</f>
        <v>28.215</v>
      </c>
      <c r="D413" s="28">
        <f t="array" ref="D413">_xlfn.XLOOKUP($A413, 'Medical Examinations'!$A:$A, 'Medical Examinations'!C:C, "No Data")</f>
        <v>8.26</v>
      </c>
      <c r="E413" s="28" t="str">
        <f t="array" ref="E413">_xlfn.XLOOKUP($A413, 'Medical Examinations'!$A:$A, 'Medical Examinations'!D:D, "No Data")</f>
        <v>yes</v>
      </c>
      <c r="F413" s="28" t="str">
        <f t="array" ref="F413">_xlfn.XLOOKUP($A413, 'Medical Examinations'!$A:$A, 'Medical Examinations'!E:E, "No Data")</f>
        <v>No</v>
      </c>
      <c r="G413" s="28" t="str">
        <f t="array" ref="G413">_xlfn.XLOOKUP($A413, 'Medical Examinations'!$A:$A, 'Medical Examinations'!F:F, "No Data")</f>
        <v>No</v>
      </c>
      <c r="H413" s="28">
        <f t="array" ref="H413">_xlfn.XLOOKUP($A413, 'Medical Examinations'!$A:$A, 'Medical Examinations'!G:G, "No Data")</f>
        <v>1</v>
      </c>
      <c r="I413" s="28" t="str">
        <f t="array" ref="I413">_xlfn.XLOOKUP($A413, 'Medical Examinations'!$A:$A, 'Medical Examinations'!H:H, "No Data")</f>
        <v>yes</v>
      </c>
      <c r="J413" s="28" t="str">
        <f t="array" ref="J413">_xlfn.XLOOKUP($A413, 'Medical Examinations'!$A:$A, 'Medical Examinations'!I:I, "No Data")</f>
        <v>Overweight</v>
      </c>
      <c r="K413" s="28" t="str">
        <f t="array" ref="K413">_xlfn.XLOOKUP($A413, 'Hospitalisation Details'!$A:$A, 'Hospitalisation Details'!I:I, "No Data")</f>
        <v>tier - 3</v>
      </c>
      <c r="L413" s="28" t="str">
        <f t="array" ref="L413">_xlfn.XLOOKUP($A413, 'Hospitalisation Details'!$A:$A, 'Hospitalisation Details'!J:J, "No Data")</f>
        <v>R1012</v>
      </c>
      <c r="M413" s="28" t="str">
        <f t="array" ref="M413">_xlfn.XLOOKUP($A413, 'Hospitalisation Details'!$A:$A, 'Hospitalisation Details'!E:E, "No Data")</f>
        <v>14/11/75</v>
      </c>
      <c r="N413" s="28">
        <f t="array" ref="N413">_xlfn.XLOOKUP($A413, 'Hospitalisation Details'!$A:$A, 'Hospitalisation Details'!K:K, "No Data")</f>
        <v>47</v>
      </c>
      <c r="O413" s="33">
        <f t="array" ref="O413">_xlfn.XLOOKUP($A413, 'Hospitalisation Details'!$A:$A, 'Hospitalisation Details'!G:G, "No Data")</f>
        <v>24915.22</v>
      </c>
      <c r="P413" s="28" t="str">
        <f t="array" ref="P413">_xlfn.XLOOKUP($A413, 'Hospitalisation Details'!$A:$A, 'Hospitalisation Details'!H:H, "No Data")</f>
        <v>tier - 2</v>
      </c>
    </row>
    <row r="414">
      <c r="A414" s="25" t="s">
        <v>1337</v>
      </c>
      <c r="B414" s="28" t="str">
        <f t="array" ref="B414">_xlfn.XLOOKUP($A414, 'Customer Names'!$A:$A, 'Customer Names'!B:B, "No Data")</f>
        <v>Sirak</v>
      </c>
      <c r="C414" s="28">
        <f t="array" ref="C414">_xlfn.XLOOKUP($A414, 'Medical Examinations'!$A:$A, 'Medical Examinations'!B:B, "No Data")</f>
        <v>38.095</v>
      </c>
      <c r="D414" s="28">
        <f t="array" ref="D414">_xlfn.XLOOKUP($A414, 'Medical Examinations'!$A:$A, 'Medical Examinations'!C:C, "No Data")</f>
        <v>4.76</v>
      </c>
      <c r="E414" s="28" t="str">
        <f t="array" ref="E414">_xlfn.XLOOKUP($A414, 'Medical Examinations'!$A:$A, 'Medical Examinations'!D:D, "No Data")</f>
        <v>No</v>
      </c>
      <c r="F414" s="28" t="str">
        <f t="array" ref="F414">_xlfn.XLOOKUP($A414, 'Medical Examinations'!$A:$A, 'Medical Examinations'!E:E, "No Data")</f>
        <v>No</v>
      </c>
      <c r="G414" s="28" t="str">
        <f t="array" ref="G414">_xlfn.XLOOKUP($A414, 'Medical Examinations'!$A:$A, 'Medical Examinations'!F:F, "No Data")</f>
        <v>No</v>
      </c>
      <c r="H414" s="28">
        <f t="array" ref="H414">_xlfn.XLOOKUP($A414, 'Medical Examinations'!$A:$A, 'Medical Examinations'!G:G, "No Data")</f>
        <v>1</v>
      </c>
      <c r="I414" s="28" t="str">
        <f t="array" ref="I414">_xlfn.XLOOKUP($A414, 'Medical Examinations'!$A:$A, 'Medical Examinations'!H:H, "No Data")</f>
        <v>No</v>
      </c>
      <c r="J414" s="28" t="str">
        <f t="array" ref="J414">_xlfn.XLOOKUP($A414, 'Medical Examinations'!$A:$A, 'Medical Examinations'!I:I, "No Data")</f>
        <v>Obesity</v>
      </c>
      <c r="K414" s="28" t="str">
        <f t="array" ref="K414">_xlfn.XLOOKUP($A414, 'Hospitalisation Details'!$A:$A, 'Hospitalisation Details'!I:I, "No Data")</f>
        <v>tier - 1</v>
      </c>
      <c r="L414" s="28" t="str">
        <f t="array" ref="L414">_xlfn.XLOOKUP($A414, 'Hospitalisation Details'!$A:$A, 'Hospitalisation Details'!J:J, "No Data")</f>
        <v>R1024</v>
      </c>
      <c r="M414" s="28" t="str">
        <f t="array" ref="M414">_xlfn.XLOOKUP($A414, 'Hospitalisation Details'!$A:$A, 'Hospitalisation Details'!E:E, "No Data")</f>
        <v>14/06/87</v>
      </c>
      <c r="N414" s="28">
        <f t="array" ref="N414">_xlfn.XLOOKUP($A414, 'Hospitalisation Details'!$A:$A, 'Hospitalisation Details'!K:K, "No Data")</f>
        <v>35</v>
      </c>
      <c r="O414" s="33">
        <f t="array" ref="O414">_xlfn.XLOOKUP($A414, 'Hospitalisation Details'!$A:$A, 'Hospitalisation Details'!G:G, "No Data")</f>
        <v>24915.05</v>
      </c>
      <c r="P414" s="28" t="str">
        <f t="array" ref="P414">_xlfn.XLOOKUP($A414, 'Hospitalisation Details'!$A:$A, 'Hospitalisation Details'!H:H, "No Data")</f>
        <v>tier - 2</v>
      </c>
    </row>
    <row r="415">
      <c r="A415" s="25" t="s">
        <v>1341</v>
      </c>
      <c r="B415" s="28" t="str">
        <f t="array" ref="B415">_xlfn.XLOOKUP($A415, 'Customer Names'!$A:$A, 'Customer Names'!B:B, "No Data")</f>
        <v>Nelsen</v>
      </c>
      <c r="C415" s="28">
        <f t="array" ref="C415">_xlfn.XLOOKUP($A415, 'Medical Examinations'!$A:$A, 'Medical Examinations'!B:B, "No Data")</f>
        <v>22.61</v>
      </c>
      <c r="D415" s="28">
        <f t="array" ref="D415">_xlfn.XLOOKUP($A415, 'Medical Examinations'!$A:$A, 'Medical Examinations'!C:C, "No Data")</f>
        <v>6.13</v>
      </c>
      <c r="E415" s="28" t="str">
        <f t="array" ref="E415">_xlfn.XLOOKUP($A415, 'Medical Examinations'!$A:$A, 'Medical Examinations'!D:D, "No Data")</f>
        <v>yes</v>
      </c>
      <c r="F415" s="28" t="str">
        <f t="array" ref="F415">_xlfn.XLOOKUP($A415, 'Medical Examinations'!$A:$A, 'Medical Examinations'!E:E, "No Data")</f>
        <v>No</v>
      </c>
      <c r="G415" s="28" t="str">
        <f t="array" ref="G415">_xlfn.XLOOKUP($A415, 'Medical Examinations'!$A:$A, 'Medical Examinations'!F:F, "No Data")</f>
        <v>Yes</v>
      </c>
      <c r="H415" s="28">
        <f t="array" ref="H415">_xlfn.XLOOKUP($A415, 'Medical Examinations'!$A:$A, 'Medical Examinations'!G:G, "No Data")</f>
        <v>1</v>
      </c>
      <c r="I415" s="28" t="str">
        <f t="array" ref="I415">_xlfn.XLOOKUP($A415, 'Medical Examinations'!$A:$A, 'Medical Examinations'!H:H, "No Data")</f>
        <v>yes</v>
      </c>
      <c r="J415" s="28" t="str">
        <f t="array" ref="J415">_xlfn.XLOOKUP($A415, 'Medical Examinations'!$A:$A, 'Medical Examinations'!I:I, "No Data")</f>
        <v>Normal Weight</v>
      </c>
      <c r="K415" s="28" t="str">
        <f t="array" ref="K415">_xlfn.XLOOKUP($A415, 'Hospitalisation Details'!$A:$A, 'Hospitalisation Details'!I:I, "No Data")</f>
        <v>tier - 1</v>
      </c>
      <c r="L415" s="28" t="str">
        <f t="array" ref="L415">_xlfn.XLOOKUP($A415, 'Hospitalisation Details'!$A:$A, 'Hospitalisation Details'!J:J, "No Data")</f>
        <v>R1024</v>
      </c>
      <c r="M415" s="28" t="str">
        <f t="array" ref="M415">_xlfn.XLOOKUP($A415, 'Hospitalisation Details'!$A:$A, 'Hospitalisation Details'!E:E, "No Data")</f>
        <v>23/07/69</v>
      </c>
      <c r="N415" s="28">
        <f t="array" ref="N415">_xlfn.XLOOKUP($A415, 'Hospitalisation Details'!$A:$A, 'Hospitalisation Details'!K:K, "No Data")</f>
        <v>53</v>
      </c>
      <c r="O415" s="33">
        <f t="array" ref="O415">_xlfn.XLOOKUP($A415, 'Hospitalisation Details'!$A:$A, 'Hospitalisation Details'!G:G, "No Data")</f>
        <v>24873.38</v>
      </c>
      <c r="P415" s="28" t="str">
        <f t="array" ref="P415">_xlfn.XLOOKUP($A415, 'Hospitalisation Details'!$A:$A, 'Hospitalisation Details'!H:H, "No Data")</f>
        <v>tier - 2</v>
      </c>
    </row>
    <row r="416">
      <c r="A416" s="25" t="s">
        <v>1344</v>
      </c>
      <c r="B416" s="28" t="str">
        <f t="array" ref="B416">_xlfn.XLOOKUP($A416, 'Customer Names'!$A:$A, 'Customer Names'!B:B, "No Data")</f>
        <v>Schallner</v>
      </c>
      <c r="C416" s="28">
        <f t="array" ref="C416">_xlfn.XLOOKUP($A416, 'Medical Examinations'!$A:$A, 'Medical Examinations'!B:B, "No Data")</f>
        <v>24.32</v>
      </c>
      <c r="D416" s="28">
        <f t="array" ref="D416">_xlfn.XLOOKUP($A416, 'Medical Examinations'!$A:$A, 'Medical Examinations'!C:C, "No Data")</f>
        <v>10.47</v>
      </c>
      <c r="E416" s="28" t="str">
        <f t="array" ref="E416">_xlfn.XLOOKUP($A416, 'Medical Examinations'!$A:$A, 'Medical Examinations'!D:D, "No Data")</f>
        <v>yes</v>
      </c>
      <c r="F416" s="28" t="str">
        <f t="array" ref="F416">_xlfn.XLOOKUP($A416, 'Medical Examinations'!$A:$A, 'Medical Examinations'!E:E, "No Data")</f>
        <v>No</v>
      </c>
      <c r="G416" s="28" t="str">
        <f t="array" ref="G416">_xlfn.XLOOKUP($A416, 'Medical Examinations'!$A:$A, 'Medical Examinations'!F:F, "No Data")</f>
        <v>No</v>
      </c>
      <c r="H416" s="28">
        <f t="array" ref="H416">_xlfn.XLOOKUP($A416, 'Medical Examinations'!$A:$A, 'Medical Examinations'!G:G, "No Data")</f>
        <v>2</v>
      </c>
      <c r="I416" s="28" t="str">
        <f t="array" ref="I416">_xlfn.XLOOKUP($A416, 'Medical Examinations'!$A:$A, 'Medical Examinations'!H:H, "No Data")</f>
        <v>yes</v>
      </c>
      <c r="J416" s="28" t="str">
        <f t="array" ref="J416">_xlfn.XLOOKUP($A416, 'Medical Examinations'!$A:$A, 'Medical Examinations'!I:I, "No Data")</f>
        <v>Normal Weight</v>
      </c>
      <c r="K416" s="28" t="str">
        <f t="array" ref="K416">_xlfn.XLOOKUP($A416, 'Hospitalisation Details'!$A:$A, 'Hospitalisation Details'!I:I, "No Data")</f>
        <v>tier - 2</v>
      </c>
      <c r="L416" s="28" t="str">
        <f t="array" ref="L416">_xlfn.XLOOKUP($A416, 'Hospitalisation Details'!$A:$A, 'Hospitalisation Details'!J:J, "No Data")</f>
        <v>R1016</v>
      </c>
      <c r="M416" s="28" t="str">
        <f t="array" ref="M416">_xlfn.XLOOKUP($A416, 'Hospitalisation Details'!$A:$A, 'Hospitalisation Details'!E:E, "No Data")</f>
        <v>26/11/70</v>
      </c>
      <c r="N416" s="28">
        <f t="array" ref="N416">_xlfn.XLOOKUP($A416, 'Hospitalisation Details'!$A:$A, 'Hospitalisation Details'!K:K, "No Data")</f>
        <v>52</v>
      </c>
      <c r="O416" s="33">
        <f t="array" ref="O416">_xlfn.XLOOKUP($A416, 'Hospitalisation Details'!$A:$A, 'Hospitalisation Details'!G:G, "No Data")</f>
        <v>24869.84</v>
      </c>
      <c r="P416" s="28" t="str">
        <f t="array" ref="P416">_xlfn.XLOOKUP($A416, 'Hospitalisation Details'!$A:$A, 'Hospitalisation Details'!H:H, "No Data")</f>
        <v>tier - 2</v>
      </c>
    </row>
    <row r="417">
      <c r="A417" s="25" t="s">
        <v>1348</v>
      </c>
      <c r="B417" s="28" t="str">
        <f t="array" ref="B417">_xlfn.XLOOKUP($A417, 'Customer Names'!$A:$A, 'Customer Names'!B:B, "No Data")</f>
        <v>Dunlap</v>
      </c>
      <c r="C417" s="28">
        <f t="array" ref="C417">_xlfn.XLOOKUP($A417, 'Medical Examinations'!$A:$A, 'Medical Examinations'!B:B, "No Data")</f>
        <v>20.96</v>
      </c>
      <c r="D417" s="28">
        <f t="array" ref="D417">_xlfn.XLOOKUP($A417, 'Medical Examinations'!$A:$A, 'Medical Examinations'!C:C, "No Data")</f>
        <v>4.04</v>
      </c>
      <c r="E417" s="28" t="str">
        <f t="array" ref="E417">_xlfn.XLOOKUP($A417, 'Medical Examinations'!$A:$A, 'Medical Examinations'!D:D, "No Data")</f>
        <v>yes</v>
      </c>
      <c r="F417" s="28" t="str">
        <f t="array" ref="F417">_xlfn.XLOOKUP($A417, 'Medical Examinations'!$A:$A, 'Medical Examinations'!E:E, "No Data")</f>
        <v>No</v>
      </c>
      <c r="G417" s="28" t="str">
        <f t="array" ref="G417">_xlfn.XLOOKUP($A417, 'Medical Examinations'!$A:$A, 'Medical Examinations'!F:F, "No Data")</f>
        <v>No</v>
      </c>
      <c r="H417" s="28">
        <f t="array" ref="H417">_xlfn.XLOOKUP($A417, 'Medical Examinations'!$A:$A, 'Medical Examinations'!G:G, "No Data")</f>
        <v>1</v>
      </c>
      <c r="I417" s="28" t="str">
        <f t="array" ref="I417">_xlfn.XLOOKUP($A417, 'Medical Examinations'!$A:$A, 'Medical Examinations'!H:H, "No Data")</f>
        <v>yes</v>
      </c>
      <c r="J417" s="28" t="str">
        <f t="array" ref="J417">_xlfn.XLOOKUP($A417, 'Medical Examinations'!$A:$A, 'Medical Examinations'!I:I, "No Data")</f>
        <v>Normal Weight</v>
      </c>
      <c r="K417" s="28" t="str">
        <f t="array" ref="K417">_xlfn.XLOOKUP($A417, 'Hospitalisation Details'!$A:$A, 'Hospitalisation Details'!I:I, "No Data")</f>
        <v>tier - 3</v>
      </c>
      <c r="L417" s="28" t="str">
        <f t="array" ref="L417">_xlfn.XLOOKUP($A417, 'Hospitalisation Details'!$A:$A, 'Hospitalisation Details'!J:J, "No Data")</f>
        <v>R1011</v>
      </c>
      <c r="M417" s="28" t="str">
        <f t="array" ref="M417">_xlfn.XLOOKUP($A417, 'Hospitalisation Details'!$A:$A, 'Hospitalisation Details'!E:E, "No Data")</f>
        <v>10/06/95</v>
      </c>
      <c r="N417" s="28">
        <f t="array" ref="N417">_xlfn.XLOOKUP($A417, 'Hospitalisation Details'!$A:$A, 'Hospitalisation Details'!K:K, "No Data")</f>
        <v>27</v>
      </c>
      <c r="O417" s="33">
        <f t="array" ref="O417">_xlfn.XLOOKUP($A417, 'Hospitalisation Details'!$A:$A, 'Hospitalisation Details'!G:G, "No Data")</f>
        <v>24863.25</v>
      </c>
      <c r="P417" s="28" t="str">
        <f t="array" ref="P417">_xlfn.XLOOKUP($A417, 'Hospitalisation Details'!$A:$A, 'Hospitalisation Details'!H:H, "No Data")</f>
        <v>tier - 2</v>
      </c>
    </row>
    <row r="418">
      <c r="A418" s="25" t="s">
        <v>1351</v>
      </c>
      <c r="B418" s="28" t="str">
        <f t="array" ref="B418">_xlfn.XLOOKUP($A418, 'Customer Names'!$A:$A, 'Customer Names'!B:B, "No Data")</f>
        <v>Messing</v>
      </c>
      <c r="C418" s="28">
        <f t="array" ref="C418">_xlfn.XLOOKUP($A418, 'Medical Examinations'!$A:$A, 'Medical Examinations'!B:B, "No Data")</f>
        <v>19.68</v>
      </c>
      <c r="D418" s="28">
        <f t="array" ref="D418">_xlfn.XLOOKUP($A418, 'Medical Examinations'!$A:$A, 'Medical Examinations'!C:C, "No Data")</f>
        <v>5.74</v>
      </c>
      <c r="E418" s="28" t="str">
        <f t="array" ref="E418">_xlfn.XLOOKUP($A418, 'Medical Examinations'!$A:$A, 'Medical Examinations'!D:D, "No Data")</f>
        <v>No</v>
      </c>
      <c r="F418" s="28" t="str">
        <f t="array" ref="F418">_xlfn.XLOOKUP($A418, 'Medical Examinations'!$A:$A, 'Medical Examinations'!E:E, "No Data")</f>
        <v>No</v>
      </c>
      <c r="G418" s="28" t="str">
        <f t="array" ref="G418">_xlfn.XLOOKUP($A418, 'Medical Examinations'!$A:$A, 'Medical Examinations'!F:F, "No Data")</f>
        <v>No</v>
      </c>
      <c r="H418" s="28">
        <f t="array" ref="H418">_xlfn.XLOOKUP($A418, 'Medical Examinations'!$A:$A, 'Medical Examinations'!G:G, "No Data")</f>
        <v>0</v>
      </c>
      <c r="I418" s="28" t="str">
        <f t="array" ref="I418">_xlfn.XLOOKUP($A418, 'Medical Examinations'!$A:$A, 'Medical Examinations'!H:H, "No Data")</f>
        <v>yes</v>
      </c>
      <c r="J418" s="28" t="str">
        <f t="array" ref="J418">_xlfn.XLOOKUP($A418, 'Medical Examinations'!$A:$A, 'Medical Examinations'!I:I, "No Data")</f>
        <v>Normal Weight</v>
      </c>
      <c r="K418" s="28" t="str">
        <f t="array" ref="K418">_xlfn.XLOOKUP($A418, 'Hospitalisation Details'!$A:$A, 'Hospitalisation Details'!I:I, "No Data")</f>
        <v>tier - 2</v>
      </c>
      <c r="L418" s="28" t="str">
        <f t="array" ref="L418">_xlfn.XLOOKUP($A418, 'Hospitalisation Details'!$A:$A, 'Hospitalisation Details'!J:J, "No Data")</f>
        <v>R1011</v>
      </c>
      <c r="M418" s="28" t="str">
        <f t="array" ref="M418">_xlfn.XLOOKUP($A418, 'Hospitalisation Details'!$A:$A, 'Hospitalisation Details'!E:E, "No Data")</f>
        <v>09/09/94</v>
      </c>
      <c r="N418" s="28">
        <f t="array" ref="N418">_xlfn.XLOOKUP($A418, 'Hospitalisation Details'!$A:$A, 'Hospitalisation Details'!K:K, "No Data")</f>
        <v>28</v>
      </c>
      <c r="O418" s="33">
        <f t="array" ref="O418">_xlfn.XLOOKUP($A418, 'Hospitalisation Details'!$A:$A, 'Hospitalisation Details'!G:G, "No Data")</f>
        <v>24817.25</v>
      </c>
      <c r="P418" s="28" t="str">
        <f t="array" ref="P418">_xlfn.XLOOKUP($A418, 'Hospitalisation Details'!$A:$A, 'Hospitalisation Details'!H:H, "No Data")</f>
        <v>tier - 2</v>
      </c>
    </row>
    <row r="419">
      <c r="A419" s="25" t="s">
        <v>1355</v>
      </c>
      <c r="B419" s="28" t="str">
        <f t="array" ref="B419">_xlfn.XLOOKUP($A419, 'Customer Names'!$A:$A, 'Customer Names'!B:B, "No Data")</f>
        <v>Bondell</v>
      </c>
      <c r="C419" s="28">
        <f t="array" ref="C419">_xlfn.XLOOKUP($A419, 'Medical Examinations'!$A:$A, 'Medical Examinations'!B:B, "No Data")</f>
        <v>18.1</v>
      </c>
      <c r="D419" s="28">
        <f t="array" ref="D419">_xlfn.XLOOKUP($A419, 'Medical Examinations'!$A:$A, 'Medical Examinations'!C:C, "No Data")</f>
        <v>6.33</v>
      </c>
      <c r="E419" s="28" t="str">
        <f t="array" ref="E419">_xlfn.XLOOKUP($A419, 'Medical Examinations'!$A:$A, 'Medical Examinations'!D:D, "No Data")</f>
        <v>No</v>
      </c>
      <c r="F419" s="28" t="str">
        <f t="array" ref="F419">_xlfn.XLOOKUP($A419, 'Medical Examinations'!$A:$A, 'Medical Examinations'!E:E, "No Data")</f>
        <v>No</v>
      </c>
      <c r="G419" s="28" t="str">
        <f t="array" ref="G419">_xlfn.XLOOKUP($A419, 'Medical Examinations'!$A:$A, 'Medical Examinations'!F:F, "No Data")</f>
        <v>No</v>
      </c>
      <c r="H419" s="28">
        <f t="array" ref="H419">_xlfn.XLOOKUP($A419, 'Medical Examinations'!$A:$A, 'Medical Examinations'!G:G, "No Data")</f>
        <v>1</v>
      </c>
      <c r="I419" s="28" t="str">
        <f t="array" ref="I419">_xlfn.XLOOKUP($A419, 'Medical Examinations'!$A:$A, 'Medical Examinations'!H:H, "No Data")</f>
        <v>yes</v>
      </c>
      <c r="J419" s="28" t="str">
        <f t="array" ref="J419">_xlfn.XLOOKUP($A419, 'Medical Examinations'!$A:$A, 'Medical Examinations'!I:I, "No Data")</f>
        <v>Underweight</v>
      </c>
      <c r="K419" s="28" t="str">
        <f t="array" ref="K419">_xlfn.XLOOKUP($A419, 'Hospitalisation Details'!$A:$A, 'Hospitalisation Details'!I:I, "No Data")</f>
        <v>tier - 3</v>
      </c>
      <c r="L419" s="28" t="str">
        <f t="array" ref="L419">_xlfn.XLOOKUP($A419, 'Hospitalisation Details'!$A:$A, 'Hospitalisation Details'!J:J, "No Data")</f>
        <v>R1011</v>
      </c>
      <c r="M419" s="28" t="str">
        <f t="array" ref="M419">_xlfn.XLOOKUP($A419, 'Hospitalisation Details'!$A:$A, 'Hospitalisation Details'!E:E, "No Data")</f>
        <v>11/10/92</v>
      </c>
      <c r="N419" s="28">
        <f t="array" ref="N419">_xlfn.XLOOKUP($A419, 'Hospitalisation Details'!$A:$A, 'Hospitalisation Details'!K:K, "No Data")</f>
        <v>30</v>
      </c>
      <c r="O419" s="33">
        <f t="array" ref="O419">_xlfn.XLOOKUP($A419, 'Hospitalisation Details'!$A:$A, 'Hospitalisation Details'!G:G, "No Data")</f>
        <v>24795.04</v>
      </c>
      <c r="P419" s="28" t="str">
        <f t="array" ref="P419">_xlfn.XLOOKUP($A419, 'Hospitalisation Details'!$A:$A, 'Hospitalisation Details'!H:H, "No Data")</f>
        <v>tier - 2</v>
      </c>
    </row>
    <row r="420">
      <c r="A420" s="25" t="s">
        <v>1357</v>
      </c>
      <c r="B420" s="28" t="str">
        <f t="array" ref="B420">_xlfn.XLOOKUP($A420, 'Customer Names'!$A:$A, 'Customer Names'!B:B, "No Data")</f>
        <v>Gaughan</v>
      </c>
      <c r="C420" s="28">
        <f t="array" ref="C420">_xlfn.XLOOKUP($A420, 'Medical Examinations'!$A:$A, 'Medical Examinations'!B:B, "No Data")</f>
        <v>29.64</v>
      </c>
      <c r="D420" s="28">
        <f t="array" ref="D420">_xlfn.XLOOKUP($A420, 'Medical Examinations'!$A:$A, 'Medical Examinations'!C:C, "No Data")</f>
        <v>4.28</v>
      </c>
      <c r="E420" s="28" t="str">
        <f t="array" ref="E420">_xlfn.XLOOKUP($A420, 'Medical Examinations'!$A:$A, 'Medical Examinations'!D:D, "No Data")</f>
        <v>yes</v>
      </c>
      <c r="F420" s="28" t="str">
        <f t="array" ref="F420">_xlfn.XLOOKUP($A420, 'Medical Examinations'!$A:$A, 'Medical Examinations'!E:E, "No Data")</f>
        <v>No</v>
      </c>
      <c r="G420" s="28" t="str">
        <f t="array" ref="G420">_xlfn.XLOOKUP($A420, 'Medical Examinations'!$A:$A, 'Medical Examinations'!F:F, "No Data")</f>
        <v>No</v>
      </c>
      <c r="H420" s="28">
        <f t="array" ref="H420">_xlfn.XLOOKUP($A420, 'Medical Examinations'!$A:$A, 'Medical Examinations'!G:G, "No Data")</f>
        <v>0</v>
      </c>
      <c r="I420" s="28" t="str">
        <f t="array" ref="I420">_xlfn.XLOOKUP($A420, 'Medical Examinations'!$A:$A, 'Medical Examinations'!H:H, "No Data")</f>
        <v>No</v>
      </c>
      <c r="J420" s="28" t="str">
        <f t="array" ref="J420">_xlfn.XLOOKUP($A420, 'Medical Examinations'!$A:$A, 'Medical Examinations'!I:I, "No Data")</f>
        <v>Overweight</v>
      </c>
      <c r="K420" s="28" t="str">
        <f t="array" ref="K420">_xlfn.XLOOKUP($A420, 'Hospitalisation Details'!$A:$A, 'Hospitalisation Details'!I:I, "No Data")</f>
        <v>tier - 1</v>
      </c>
      <c r="L420" s="28" t="str">
        <f t="array" ref="L420">_xlfn.XLOOKUP($A420, 'Hospitalisation Details'!$A:$A, 'Hospitalisation Details'!J:J, "No Data")</f>
        <v>R1024</v>
      </c>
      <c r="M420" s="28" t="str">
        <f t="array" ref="M420">_xlfn.XLOOKUP($A420, 'Hospitalisation Details'!$A:$A, 'Hospitalisation Details'!E:E, "No Data")</f>
        <v>28/08/96</v>
      </c>
      <c r="N420" s="28">
        <f t="array" ref="N420">_xlfn.XLOOKUP($A420, 'Hospitalisation Details'!$A:$A, 'Hospitalisation Details'!K:K, "No Data")</f>
        <v>26</v>
      </c>
      <c r="O420" s="33">
        <f t="array" ref="O420">_xlfn.XLOOKUP($A420, 'Hospitalisation Details'!$A:$A, 'Hospitalisation Details'!G:G, "No Data")</f>
        <v>24671.66</v>
      </c>
      <c r="P420" s="28" t="str">
        <f t="array" ref="P420">_xlfn.XLOOKUP($A420, 'Hospitalisation Details'!$A:$A, 'Hospitalisation Details'!H:H, "No Data")</f>
        <v>tier - 2</v>
      </c>
    </row>
    <row r="421">
      <c r="A421" s="25" t="s">
        <v>1361</v>
      </c>
      <c r="B421" s="28" t="str">
        <f t="array" ref="B421">_xlfn.XLOOKUP($A421, 'Customer Names'!$A:$A, 'Customer Names'!B:B, "No Data")</f>
        <v>Gruman</v>
      </c>
      <c r="C421" s="28">
        <f t="array" ref="C421">_xlfn.XLOOKUP($A421, 'Medical Examinations'!$A:$A, 'Medical Examinations'!B:B, "No Data")</f>
        <v>25.3</v>
      </c>
      <c r="D421" s="28">
        <f t="array" ref="D421">_xlfn.XLOOKUP($A421, 'Medical Examinations'!$A:$A, 'Medical Examinations'!C:C, "No Data")</f>
        <v>9.47</v>
      </c>
      <c r="E421" s="28" t="str">
        <f t="array" ref="E421">_xlfn.XLOOKUP($A421, 'Medical Examinations'!$A:$A, 'Medical Examinations'!D:D, "No Data")</f>
        <v>yes</v>
      </c>
      <c r="F421" s="28" t="str">
        <f t="array" ref="F421">_xlfn.XLOOKUP($A421, 'Medical Examinations'!$A:$A, 'Medical Examinations'!E:E, "No Data")</f>
        <v>No</v>
      </c>
      <c r="G421" s="28" t="str">
        <f t="array" ref="G421">_xlfn.XLOOKUP($A421, 'Medical Examinations'!$A:$A, 'Medical Examinations'!F:F, "No Data")</f>
        <v>No</v>
      </c>
      <c r="H421" s="28">
        <f t="array" ref="H421">_xlfn.XLOOKUP($A421, 'Medical Examinations'!$A:$A, 'Medical Examinations'!G:G, "No Data")</f>
        <v>2</v>
      </c>
      <c r="I421" s="28" t="str">
        <f t="array" ref="I421">_xlfn.XLOOKUP($A421, 'Medical Examinations'!$A:$A, 'Medical Examinations'!H:H, "No Data")</f>
        <v>yes</v>
      </c>
      <c r="J421" s="28" t="str">
        <f t="array" ref="J421">_xlfn.XLOOKUP($A421, 'Medical Examinations'!$A:$A, 'Medical Examinations'!I:I, "No Data")</f>
        <v>Overweight</v>
      </c>
      <c r="K421" s="28" t="str">
        <f t="array" ref="K421">_xlfn.XLOOKUP($A421, 'Hospitalisation Details'!$A:$A, 'Hospitalisation Details'!I:I, "No Data")</f>
        <v>tier - 3</v>
      </c>
      <c r="L421" s="28" t="str">
        <f t="array" ref="L421">_xlfn.XLOOKUP($A421, 'Hospitalisation Details'!$A:$A, 'Hospitalisation Details'!J:J, "No Data")</f>
        <v>R1013</v>
      </c>
      <c r="M421" s="28" t="str">
        <f t="array" ref="M421">_xlfn.XLOOKUP($A421, 'Hospitalisation Details'!$A:$A, 'Hospitalisation Details'!E:E, "No Data")</f>
        <v>12/06/70</v>
      </c>
      <c r="N421" s="28">
        <f t="array" ref="N421">_xlfn.XLOOKUP($A421, 'Hospitalisation Details'!$A:$A, 'Hospitalisation Details'!K:K, "No Data")</f>
        <v>52</v>
      </c>
      <c r="O421" s="33">
        <f t="array" ref="O421">_xlfn.XLOOKUP($A421, 'Hospitalisation Details'!$A:$A, 'Hospitalisation Details'!G:G, "No Data")</f>
        <v>24667.42</v>
      </c>
      <c r="P421" s="28" t="str">
        <f t="array" ref="P421">_xlfn.XLOOKUP($A421, 'Hospitalisation Details'!$A:$A, 'Hospitalisation Details'!H:H, "No Data")</f>
        <v>tier - 2</v>
      </c>
    </row>
    <row r="422">
      <c r="A422" s="25" t="s">
        <v>1365</v>
      </c>
      <c r="B422" s="28" t="str">
        <f t="array" ref="B422">_xlfn.XLOOKUP($A422, 'Customer Names'!$A:$A, 'Customer Names'!B:B, "No Data")</f>
        <v>Whitlow</v>
      </c>
      <c r="C422" s="28">
        <f t="array" ref="C422">_xlfn.XLOOKUP($A422, 'Medical Examinations'!$A:$A, 'Medical Examinations'!B:B, "No Data")</f>
        <v>27.6</v>
      </c>
      <c r="D422" s="28">
        <f t="array" ref="D422">_xlfn.XLOOKUP($A422, 'Medical Examinations'!$A:$A, 'Medical Examinations'!C:C, "No Data")</f>
        <v>4.85</v>
      </c>
      <c r="E422" s="28" t="str">
        <f t="array" ref="E422">_xlfn.XLOOKUP($A422, 'Medical Examinations'!$A:$A, 'Medical Examinations'!D:D, "No Data")</f>
        <v>yes</v>
      </c>
      <c r="F422" s="28" t="str">
        <f t="array" ref="F422">_xlfn.XLOOKUP($A422, 'Medical Examinations'!$A:$A, 'Medical Examinations'!E:E, "No Data")</f>
        <v>No</v>
      </c>
      <c r="G422" s="28" t="str">
        <f t="array" ref="G422">_xlfn.XLOOKUP($A422, 'Medical Examinations'!$A:$A, 'Medical Examinations'!F:F, "No Data")</f>
        <v>No</v>
      </c>
      <c r="H422" s="28">
        <f t="array" ref="H422">_xlfn.XLOOKUP($A422, 'Medical Examinations'!$A:$A, 'Medical Examinations'!G:G, "No Data")</f>
        <v>0</v>
      </c>
      <c r="I422" s="28" t="str">
        <f t="array" ref="I422">_xlfn.XLOOKUP($A422, 'Medical Examinations'!$A:$A, 'Medical Examinations'!H:H, "No Data")</f>
        <v>No</v>
      </c>
      <c r="J422" s="28" t="str">
        <f t="array" ref="J422">_xlfn.XLOOKUP($A422, 'Medical Examinations'!$A:$A, 'Medical Examinations'!I:I, "No Data")</f>
        <v>Overweight</v>
      </c>
      <c r="K422" s="28" t="str">
        <f t="array" ref="K422">_xlfn.XLOOKUP($A422, 'Hospitalisation Details'!$A:$A, 'Hospitalisation Details'!I:I, "No Data")</f>
        <v>tier - 2</v>
      </c>
      <c r="L422" s="28" t="str">
        <f t="array" ref="L422">_xlfn.XLOOKUP($A422, 'Hospitalisation Details'!$A:$A, 'Hospitalisation Details'!J:J, "No Data")</f>
        <v>R1011</v>
      </c>
      <c r="M422" s="28" t="str">
        <f t="array" ref="M422">_xlfn.XLOOKUP($A422, 'Hospitalisation Details'!$A:$A, 'Hospitalisation Details'!E:E, "No Data")</f>
        <v>12/10/76</v>
      </c>
      <c r="N422" s="28">
        <f t="array" ref="N422">_xlfn.XLOOKUP($A422, 'Hospitalisation Details'!$A:$A, 'Hospitalisation Details'!K:K, "No Data")</f>
        <v>46</v>
      </c>
      <c r="O422" s="33">
        <f t="array" ref="O422">_xlfn.XLOOKUP($A422, 'Hospitalisation Details'!$A:$A, 'Hospitalisation Details'!G:G, "No Data")</f>
        <v>24603.05</v>
      </c>
      <c r="P422" s="28" t="str">
        <f t="array" ref="P422">_xlfn.XLOOKUP($A422, 'Hospitalisation Details'!$A:$A, 'Hospitalisation Details'!H:H, "No Data")</f>
        <v>tier - 2</v>
      </c>
    </row>
    <row r="423">
      <c r="A423" s="25" t="s">
        <v>1368</v>
      </c>
      <c r="B423" s="28" t="str">
        <f t="array" ref="B423">_xlfn.XLOOKUP($A423, 'Customer Names'!$A:$A, 'Customer Names'!B:B, "No Data")</f>
        <v>Robinson</v>
      </c>
      <c r="C423" s="28">
        <f t="array" ref="C423">_xlfn.XLOOKUP($A423, 'Medical Examinations'!$A:$A, 'Medical Examinations'!B:B, "No Data")</f>
        <v>27.645</v>
      </c>
      <c r="D423" s="28">
        <f t="array" ref="D423">_xlfn.XLOOKUP($A423, 'Medical Examinations'!$A:$A, 'Medical Examinations'!C:C, "No Data")</f>
        <v>11.03</v>
      </c>
      <c r="E423" s="28" t="str">
        <f t="array" ref="E423">_xlfn.XLOOKUP($A423, 'Medical Examinations'!$A:$A, 'Medical Examinations'!D:D, "No Data")</f>
        <v>yes</v>
      </c>
      <c r="F423" s="28" t="str">
        <f t="array" ref="F423">_xlfn.XLOOKUP($A423, 'Medical Examinations'!$A:$A, 'Medical Examinations'!E:E, "No Data")</f>
        <v>No</v>
      </c>
      <c r="G423" s="28" t="str">
        <f t="array" ref="G423">_xlfn.XLOOKUP($A423, 'Medical Examinations'!$A:$A, 'Medical Examinations'!F:F, "No Data")</f>
        <v>No</v>
      </c>
      <c r="H423" s="28">
        <f t="array" ref="H423">_xlfn.XLOOKUP($A423, 'Medical Examinations'!$A:$A, 'Medical Examinations'!G:G, "No Data")</f>
        <v>1</v>
      </c>
      <c r="I423" s="28" t="str">
        <f t="array" ref="I423">_xlfn.XLOOKUP($A423, 'Medical Examinations'!$A:$A, 'Medical Examinations'!H:H, "No Data")</f>
        <v>yes</v>
      </c>
      <c r="J423" s="28" t="str">
        <f t="array" ref="J423">_xlfn.XLOOKUP($A423, 'Medical Examinations'!$A:$A, 'Medical Examinations'!I:I, "No Data")</f>
        <v>Overweight</v>
      </c>
      <c r="K423" s="28" t="str">
        <f t="array" ref="K423">_xlfn.XLOOKUP($A423, 'Hospitalisation Details'!$A:$A, 'Hospitalisation Details'!I:I, "No Data")</f>
        <v>tier - 2</v>
      </c>
      <c r="L423" s="28" t="str">
        <f t="array" ref="L423">_xlfn.XLOOKUP($A423, 'Hospitalisation Details'!$A:$A, 'Hospitalisation Details'!J:J, "No Data")</f>
        <v>R1012</v>
      </c>
      <c r="M423" s="28" t="str">
        <f t="array" ref="M423">_xlfn.XLOOKUP($A423, 'Hospitalisation Details'!$A:$A, 'Hospitalisation Details'!E:E, "No Data")</f>
        <v>13/06/75</v>
      </c>
      <c r="N423" s="28">
        <f t="array" ref="N423">_xlfn.XLOOKUP($A423, 'Hospitalisation Details'!$A:$A, 'Hospitalisation Details'!K:K, "No Data")</f>
        <v>47</v>
      </c>
      <c r="O423" s="33">
        <f t="array" ref="O423">_xlfn.XLOOKUP($A423, 'Hospitalisation Details'!$A:$A, 'Hospitalisation Details'!G:G, "No Data")</f>
        <v>24535.7</v>
      </c>
      <c r="P423" s="28" t="str">
        <f t="array" ref="P423">_xlfn.XLOOKUP($A423, 'Hospitalisation Details'!$A:$A, 'Hospitalisation Details'!H:H, "No Data")</f>
        <v>tier - 2</v>
      </c>
    </row>
    <row r="424">
      <c r="A424" s="25" t="s">
        <v>1372</v>
      </c>
      <c r="B424" s="28" t="str">
        <f t="array" ref="B424">_xlfn.XLOOKUP($A424, 'Customer Names'!$A:$A, 'Customer Names'!B:B, "No Data")</f>
        <v>Sabo</v>
      </c>
      <c r="C424" s="28">
        <f t="array" ref="C424">_xlfn.XLOOKUP($A424, 'Medical Examinations'!$A:$A, 'Medical Examinations'!B:B, "No Data")</f>
        <v>27.6</v>
      </c>
      <c r="D424" s="28">
        <f t="array" ref="D424">_xlfn.XLOOKUP($A424, 'Medical Examinations'!$A:$A, 'Medical Examinations'!C:C, "No Data")</f>
        <v>5.22</v>
      </c>
      <c r="E424" s="28" t="str">
        <f t="array" ref="E424">_xlfn.XLOOKUP($A424, 'Medical Examinations'!$A:$A, 'Medical Examinations'!D:D, "No Data")</f>
        <v>No</v>
      </c>
      <c r="F424" s="28" t="str">
        <f t="array" ref="F424">_xlfn.XLOOKUP($A424, 'Medical Examinations'!$A:$A, 'Medical Examinations'!E:E, "No Data")</f>
        <v>No</v>
      </c>
      <c r="G424" s="28" t="str">
        <f t="array" ref="G424">_xlfn.XLOOKUP($A424, 'Medical Examinations'!$A:$A, 'Medical Examinations'!F:F, "No Data")</f>
        <v>No</v>
      </c>
      <c r="H424" s="28">
        <f t="array" ref="H424">_xlfn.XLOOKUP($A424, 'Medical Examinations'!$A:$A, 'Medical Examinations'!G:G, "No Data")</f>
        <v>2</v>
      </c>
      <c r="I424" s="28" t="str">
        <f t="array" ref="I424">_xlfn.XLOOKUP($A424, 'Medical Examinations'!$A:$A, 'Medical Examinations'!H:H, "No Data")</f>
        <v>yes</v>
      </c>
      <c r="J424" s="28" t="str">
        <f t="array" ref="J424">_xlfn.XLOOKUP($A424, 'Medical Examinations'!$A:$A, 'Medical Examinations'!I:I, "No Data")</f>
        <v>Overweight</v>
      </c>
      <c r="K424" s="28" t="str">
        <f t="array" ref="K424">_xlfn.XLOOKUP($A424, 'Hospitalisation Details'!$A:$A, 'Hospitalisation Details'!I:I, "No Data")</f>
        <v>tier - 3</v>
      </c>
      <c r="L424" s="28" t="str">
        <f t="array" ref="L424">_xlfn.XLOOKUP($A424, 'Hospitalisation Details'!$A:$A, 'Hospitalisation Details'!J:J, "No Data")</f>
        <v>R1011</v>
      </c>
      <c r="M424" s="28" t="str">
        <f t="array" ref="M424">_xlfn.XLOOKUP($A424, 'Hospitalisation Details'!$A:$A, 'Hospitalisation Details'!E:E, "No Data")</f>
        <v>14/09/72</v>
      </c>
      <c r="N424" s="28">
        <f t="array" ref="N424">_xlfn.XLOOKUP($A424, 'Hospitalisation Details'!$A:$A, 'Hospitalisation Details'!K:K, "No Data")</f>
        <v>50</v>
      </c>
      <c r="O424" s="33">
        <f t="array" ref="O424">_xlfn.XLOOKUP($A424, 'Hospitalisation Details'!$A:$A, 'Hospitalisation Details'!G:G, "No Data")</f>
        <v>24520.26</v>
      </c>
      <c r="P424" s="28" t="str">
        <f t="array" ref="P424">_xlfn.XLOOKUP($A424, 'Hospitalisation Details'!$A:$A, 'Hospitalisation Details'!H:H, "No Data")</f>
        <v>tier - 2</v>
      </c>
    </row>
    <row r="425">
      <c r="A425" s="25" t="s">
        <v>1375</v>
      </c>
      <c r="B425" s="28" t="str">
        <f t="array" ref="B425">_xlfn.XLOOKUP($A425, 'Customer Names'!$A:$A, 'Customer Names'!B:B, "No Data")</f>
        <v>Nazarian</v>
      </c>
      <c r="C425" s="28">
        <f t="array" ref="C425">_xlfn.XLOOKUP($A425, 'Medical Examinations'!$A:$A, 'Medical Examinations'!B:B, "No Data")</f>
        <v>25.08</v>
      </c>
      <c r="D425" s="28">
        <f t="array" ref="D425">_xlfn.XLOOKUP($A425, 'Medical Examinations'!$A:$A, 'Medical Examinations'!C:C, "No Data")</f>
        <v>9.52</v>
      </c>
      <c r="E425" s="28" t="str">
        <f t="array" ref="E425">_xlfn.XLOOKUP($A425, 'Medical Examinations'!$A:$A, 'Medical Examinations'!D:D, "No Data")</f>
        <v>yes</v>
      </c>
      <c r="F425" s="28" t="str">
        <f t="array" ref="F425">_xlfn.XLOOKUP($A425, 'Medical Examinations'!$A:$A, 'Medical Examinations'!E:E, "No Data")</f>
        <v>No</v>
      </c>
      <c r="G425" s="28" t="str">
        <f t="array" ref="G425">_xlfn.XLOOKUP($A425, 'Medical Examinations'!$A:$A, 'Medical Examinations'!F:F, "No Data")</f>
        <v>No</v>
      </c>
      <c r="H425" s="28">
        <f t="array" ref="H425">_xlfn.XLOOKUP($A425, 'Medical Examinations'!$A:$A, 'Medical Examinations'!G:G, "No Data")</f>
        <v>2</v>
      </c>
      <c r="I425" s="28" t="str">
        <f t="array" ref="I425">_xlfn.XLOOKUP($A425, 'Medical Examinations'!$A:$A, 'Medical Examinations'!H:H, "No Data")</f>
        <v>No</v>
      </c>
      <c r="J425" s="28" t="str">
        <f t="array" ref="J425">_xlfn.XLOOKUP($A425, 'Medical Examinations'!$A:$A, 'Medical Examinations'!I:I, "No Data")</f>
        <v>Overweight</v>
      </c>
      <c r="K425" s="28" t="str">
        <f t="array" ref="K425">_xlfn.XLOOKUP($A425, 'Hospitalisation Details'!$A:$A, 'Hospitalisation Details'!I:I, "No Data")</f>
        <v>tier - 2</v>
      </c>
      <c r="L425" s="28" t="str">
        <f t="array" ref="L425">_xlfn.XLOOKUP($A425, 'Hospitalisation Details'!$A:$A, 'Hospitalisation Details'!J:J, "No Data")</f>
        <v>R1013</v>
      </c>
      <c r="M425" s="28" t="str">
        <f t="array" ref="M425">_xlfn.XLOOKUP($A425, 'Hospitalisation Details'!$A:$A, 'Hospitalisation Details'!E:E, "No Data")</f>
        <v>21/10/61</v>
      </c>
      <c r="N425" s="28">
        <f t="array" ref="N425">_xlfn.XLOOKUP($A425, 'Hospitalisation Details'!$A:$A, 'Hospitalisation Details'!K:K, "No Data")</f>
        <v>61</v>
      </c>
      <c r="O425" s="33">
        <f t="array" ref="O425">_xlfn.XLOOKUP($A425, 'Hospitalisation Details'!$A:$A, 'Hospitalisation Details'!G:G, "No Data")</f>
        <v>24513.09</v>
      </c>
      <c r="P425" s="28" t="str">
        <f t="array" ref="P425">_xlfn.XLOOKUP($A425, 'Hospitalisation Details'!$A:$A, 'Hospitalisation Details'!H:H, "No Data")</f>
        <v>tier - 2</v>
      </c>
    </row>
    <row r="426">
      <c r="A426" s="25" t="s">
        <v>1379</v>
      </c>
      <c r="B426" s="28" t="str">
        <f t="array" ref="B426">_xlfn.XLOOKUP($A426, 'Customer Names'!$A:$A, 'Customer Names'!B:B, "No Data")</f>
        <v>Lerma</v>
      </c>
      <c r="C426" s="28">
        <f t="array" ref="C426">_xlfn.XLOOKUP($A426, 'Medical Examinations'!$A:$A, 'Medical Examinations'!B:B, "No Data")</f>
        <v>30.02</v>
      </c>
      <c r="D426" s="28">
        <f t="array" ref="D426">_xlfn.XLOOKUP($A426, 'Medical Examinations'!$A:$A, 'Medical Examinations'!C:C, "No Data")</f>
        <v>11.09</v>
      </c>
      <c r="E426" s="28" t="str">
        <f t="array" ref="E426">_xlfn.XLOOKUP($A426, 'Medical Examinations'!$A:$A, 'Medical Examinations'!D:D, "No Data")</f>
        <v>No</v>
      </c>
      <c r="F426" s="28" t="str">
        <f t="array" ref="F426">_xlfn.XLOOKUP($A426, 'Medical Examinations'!$A:$A, 'Medical Examinations'!E:E, "No Data")</f>
        <v>No</v>
      </c>
      <c r="G426" s="28" t="str">
        <f t="array" ref="G426">_xlfn.XLOOKUP($A426, 'Medical Examinations'!$A:$A, 'Medical Examinations'!F:F, "No Data")</f>
        <v>No</v>
      </c>
      <c r="H426" s="28">
        <f t="array" ref="H426">_xlfn.XLOOKUP($A426, 'Medical Examinations'!$A:$A, 'Medical Examinations'!G:G, "No Data")</f>
        <v>0</v>
      </c>
      <c r="I426" s="28" t="str">
        <f t="array" ref="I426">_xlfn.XLOOKUP($A426, 'Medical Examinations'!$A:$A, 'Medical Examinations'!H:H, "No Data")</f>
        <v>No</v>
      </c>
      <c r="J426" s="28" t="str">
        <f t="array" ref="J426">_xlfn.XLOOKUP($A426, 'Medical Examinations'!$A:$A, 'Medical Examinations'!I:I, "No Data")</f>
        <v>Obesity</v>
      </c>
      <c r="K426" s="28" t="str">
        <f t="array" ref="K426">_xlfn.XLOOKUP($A426, 'Hospitalisation Details'!$A:$A, 'Hospitalisation Details'!I:I, "No Data")</f>
        <v>tier - 2</v>
      </c>
      <c r="L426" s="28" t="str">
        <f t="array" ref="L426">_xlfn.XLOOKUP($A426, 'Hospitalisation Details'!$A:$A, 'Hospitalisation Details'!J:J, "No Data")</f>
        <v>R1012</v>
      </c>
      <c r="M426" s="28" t="str">
        <f t="array" ref="M426">_xlfn.XLOOKUP($A426, 'Hospitalisation Details'!$A:$A, 'Hospitalisation Details'!E:E, "No Data")</f>
        <v>06/07/68</v>
      </c>
      <c r="N426" s="28">
        <f t="array" ref="N426">_xlfn.XLOOKUP($A426, 'Hospitalisation Details'!$A:$A, 'Hospitalisation Details'!K:K, "No Data")</f>
        <v>54</v>
      </c>
      <c r="O426" s="33">
        <f t="array" ref="O426">_xlfn.XLOOKUP($A426, 'Hospitalisation Details'!$A:$A, 'Hospitalisation Details'!G:G, "No Data")</f>
        <v>24476.48</v>
      </c>
      <c r="P426" s="28" t="str">
        <f t="array" ref="P426">_xlfn.XLOOKUP($A426, 'Hospitalisation Details'!$A:$A, 'Hospitalisation Details'!H:H, "No Data")</f>
        <v>tier - 2</v>
      </c>
    </row>
    <row r="427">
      <c r="A427" s="25" t="s">
        <v>1382</v>
      </c>
      <c r="B427" s="28" t="str">
        <f t="array" ref="B427">_xlfn.XLOOKUP($A427, 'Customer Names'!$A:$A, 'Customer Names'!B:B, "No Data")</f>
        <v>Dahl</v>
      </c>
      <c r="C427" s="28">
        <f t="array" ref="C427">_xlfn.XLOOKUP($A427, 'Medical Examinations'!$A:$A, 'Medical Examinations'!B:B, "No Data")</f>
        <v>27.36</v>
      </c>
      <c r="D427" s="28">
        <f t="array" ref="D427">_xlfn.XLOOKUP($A427, 'Medical Examinations'!$A:$A, 'Medical Examinations'!C:C, "No Data")</f>
        <v>9.45</v>
      </c>
      <c r="E427" s="28" t="str">
        <f t="array" ref="E427">_xlfn.XLOOKUP($A427, 'Medical Examinations'!$A:$A, 'Medical Examinations'!D:D, "No Data")</f>
        <v>yes</v>
      </c>
      <c r="F427" s="28" t="str">
        <f t="array" ref="F427">_xlfn.XLOOKUP($A427, 'Medical Examinations'!$A:$A, 'Medical Examinations'!E:E, "No Data")</f>
        <v>No</v>
      </c>
      <c r="G427" s="28" t="str">
        <f t="array" ref="G427">_xlfn.XLOOKUP($A427, 'Medical Examinations'!$A:$A, 'Medical Examinations'!F:F, "No Data")</f>
        <v>No</v>
      </c>
      <c r="H427" s="28">
        <f t="array" ref="H427">_xlfn.XLOOKUP($A427, 'Medical Examinations'!$A:$A, 'Medical Examinations'!G:G, "No Data")</f>
        <v>2</v>
      </c>
      <c r="I427" s="28" t="str">
        <f t="array" ref="I427">_xlfn.XLOOKUP($A427, 'Medical Examinations'!$A:$A, 'Medical Examinations'!H:H, "No Data")</f>
        <v>yes</v>
      </c>
      <c r="J427" s="28" t="str">
        <f t="array" ref="J427">_xlfn.XLOOKUP($A427, 'Medical Examinations'!$A:$A, 'Medical Examinations'!I:I, "No Data")</f>
        <v>Overweight</v>
      </c>
      <c r="K427" s="28" t="str">
        <f t="array" ref="K427">_xlfn.XLOOKUP($A427, 'Hospitalisation Details'!$A:$A, 'Hospitalisation Details'!I:I, "No Data")</f>
        <v>tier - 3</v>
      </c>
      <c r="L427" s="28" t="str">
        <f t="array" ref="L427">_xlfn.XLOOKUP($A427, 'Hospitalisation Details'!$A:$A, 'Hospitalisation Details'!J:J, "No Data")</f>
        <v>R1012</v>
      </c>
      <c r="M427" s="28" t="str">
        <f t="array" ref="M427">_xlfn.XLOOKUP($A427, 'Hospitalisation Details'!$A:$A, 'Hospitalisation Details'!E:E, "No Data")</f>
        <v>30/11/70</v>
      </c>
      <c r="N427" s="28">
        <f t="array" ref="N427">_xlfn.XLOOKUP($A427, 'Hospitalisation Details'!$A:$A, 'Hospitalisation Details'!K:K, "No Data")</f>
        <v>52</v>
      </c>
      <c r="O427" s="33">
        <f t="array" ref="O427">_xlfn.XLOOKUP($A427, 'Hospitalisation Details'!$A:$A, 'Hospitalisation Details'!G:G, "No Data")</f>
        <v>24393.62</v>
      </c>
      <c r="P427" s="28" t="str">
        <f t="array" ref="P427">_xlfn.XLOOKUP($A427, 'Hospitalisation Details'!$A:$A, 'Hospitalisation Details'!H:H, "No Data")</f>
        <v>tier - 2</v>
      </c>
    </row>
    <row r="428">
      <c r="A428" s="25" t="s">
        <v>1385</v>
      </c>
      <c r="B428" s="28" t="str">
        <f t="array" ref="B428">_xlfn.XLOOKUP($A428, 'Customer Names'!$A:$A, 'Customer Names'!B:B, "No Data")</f>
        <v>Surtees</v>
      </c>
      <c r="C428" s="28">
        <f t="array" ref="C428">_xlfn.XLOOKUP($A428, 'Medical Examinations'!$A:$A, 'Medical Examinations'!B:B, "No Data")</f>
        <v>22.2</v>
      </c>
      <c r="D428" s="28">
        <f t="array" ref="D428">_xlfn.XLOOKUP($A428, 'Medical Examinations'!$A:$A, 'Medical Examinations'!C:C, "No Data")</f>
        <v>5.51</v>
      </c>
      <c r="E428" s="28" t="str">
        <f t="array" ref="E428">_xlfn.XLOOKUP($A428, 'Medical Examinations'!$A:$A, 'Medical Examinations'!D:D, "No Data")</f>
        <v>No</v>
      </c>
      <c r="F428" s="28" t="str">
        <f t="array" ref="F428">_xlfn.XLOOKUP($A428, 'Medical Examinations'!$A:$A, 'Medical Examinations'!E:E, "No Data")</f>
        <v>No</v>
      </c>
      <c r="G428" s="28" t="str">
        <f t="array" ref="G428">_xlfn.XLOOKUP($A428, 'Medical Examinations'!$A:$A, 'Medical Examinations'!F:F, "No Data")</f>
        <v>No</v>
      </c>
      <c r="H428" s="28">
        <f t="array" ref="H428">_xlfn.XLOOKUP($A428, 'Medical Examinations'!$A:$A, 'Medical Examinations'!G:G, "No Data")</f>
        <v>0</v>
      </c>
      <c r="I428" s="28" t="str">
        <f t="array" ref="I428">_xlfn.XLOOKUP($A428, 'Medical Examinations'!$A:$A, 'Medical Examinations'!H:H, "No Data")</f>
        <v>yes</v>
      </c>
      <c r="J428" s="28" t="str">
        <f t="array" ref="J428">_xlfn.XLOOKUP($A428, 'Medical Examinations'!$A:$A, 'Medical Examinations'!I:I, "No Data")</f>
        <v>Normal Weight</v>
      </c>
      <c r="K428" s="28" t="str">
        <f t="array" ref="K428">_xlfn.XLOOKUP($A428, 'Hospitalisation Details'!$A:$A, 'Hospitalisation Details'!I:I, "No Data")</f>
        <v>tier - 1</v>
      </c>
      <c r="L428" s="28" t="str">
        <f t="array" ref="L428">_xlfn.XLOOKUP($A428, 'Hospitalisation Details'!$A:$A, 'Hospitalisation Details'!J:J, "No Data")</f>
        <v>R1011</v>
      </c>
      <c r="M428" s="28" t="str">
        <f t="array" ref="M428">_xlfn.XLOOKUP($A428, 'Hospitalisation Details'!$A:$A, 'Hospitalisation Details'!E:E, "No Data")</f>
        <v>07/10/99</v>
      </c>
      <c r="N428" s="28">
        <f t="array" ref="N428">_xlfn.XLOOKUP($A428, 'Hospitalisation Details'!$A:$A, 'Hospitalisation Details'!K:K, "No Data")</f>
        <v>23</v>
      </c>
      <c r="O428" s="33">
        <f t="array" ref="O428">_xlfn.XLOOKUP($A428, 'Hospitalisation Details'!$A:$A, 'Hospitalisation Details'!G:G, "No Data")</f>
        <v>24387.74</v>
      </c>
      <c r="P428" s="28" t="str">
        <f t="array" ref="P428">_xlfn.XLOOKUP($A428, 'Hospitalisation Details'!$A:$A, 'Hospitalisation Details'!H:H, "No Data")</f>
        <v>tier - 2</v>
      </c>
    </row>
    <row r="429">
      <c r="A429" s="25" t="s">
        <v>1389</v>
      </c>
      <c r="B429" s="28" t="str">
        <f t="array" ref="B429">_xlfn.XLOOKUP($A429, 'Customer Names'!$A:$A, 'Customer Names'!B:B, "No Data")</f>
        <v>Spetner</v>
      </c>
      <c r="C429" s="28">
        <f t="array" ref="C429">_xlfn.XLOOKUP($A429, 'Medical Examinations'!$A:$A, 'Medical Examinations'!B:B, "No Data")</f>
        <v>25.71</v>
      </c>
      <c r="D429" s="28">
        <f t="array" ref="D429">_xlfn.XLOOKUP($A429, 'Medical Examinations'!$A:$A, 'Medical Examinations'!C:C, "No Data")</f>
        <v>4.18</v>
      </c>
      <c r="E429" s="28" t="str">
        <f t="array" ref="E429">_xlfn.XLOOKUP($A429, 'Medical Examinations'!$A:$A, 'Medical Examinations'!D:D, "No Data")</f>
        <v>No</v>
      </c>
      <c r="F429" s="28" t="str">
        <f t="array" ref="F429">_xlfn.XLOOKUP($A429, 'Medical Examinations'!$A:$A, 'Medical Examinations'!E:E, "No Data")</f>
        <v>yes</v>
      </c>
      <c r="G429" s="28" t="str">
        <f t="array" ref="G429">_xlfn.XLOOKUP($A429, 'Medical Examinations'!$A:$A, 'Medical Examinations'!F:F, "No Data")</f>
        <v>No</v>
      </c>
      <c r="H429" s="28">
        <f t="array" ref="H429">_xlfn.XLOOKUP($A429, 'Medical Examinations'!$A:$A, 'Medical Examinations'!G:G, "No Data")</f>
        <v>1</v>
      </c>
      <c r="I429" s="28" t="str">
        <f t="array" ref="I429">_xlfn.XLOOKUP($A429, 'Medical Examinations'!$A:$A, 'Medical Examinations'!H:H, "No Data")</f>
        <v>yes</v>
      </c>
      <c r="J429" s="28" t="str">
        <f t="array" ref="J429">_xlfn.XLOOKUP($A429, 'Medical Examinations'!$A:$A, 'Medical Examinations'!I:I, "No Data")</f>
        <v>Overweight</v>
      </c>
      <c r="K429" s="28" t="str">
        <f t="array" ref="K429">_xlfn.XLOOKUP($A429, 'Hospitalisation Details'!$A:$A, 'Hospitalisation Details'!I:I, "No Data")</f>
        <v>tier - 1</v>
      </c>
      <c r="L429" s="28" t="str">
        <f t="array" ref="L429">_xlfn.XLOOKUP($A429, 'Hospitalisation Details'!$A:$A, 'Hospitalisation Details'!J:J, "No Data")</f>
        <v>R1011</v>
      </c>
      <c r="M429" s="28" t="str">
        <f t="array" ref="M429">_xlfn.XLOOKUP($A429, 'Hospitalisation Details'!$A:$A, 'Hospitalisation Details'!E:E, "No Data")</f>
        <v>03/08/04</v>
      </c>
      <c r="N429" s="28">
        <f t="array" ref="N429">_xlfn.XLOOKUP($A429, 'Hospitalisation Details'!$A:$A, 'Hospitalisation Details'!K:K, "No Data")</f>
        <v>18</v>
      </c>
      <c r="O429" s="33">
        <f t="array" ref="O429">_xlfn.XLOOKUP($A429, 'Hospitalisation Details'!$A:$A, 'Hospitalisation Details'!G:G, "No Data")</f>
        <v>24294.02</v>
      </c>
      <c r="P429" s="28" t="str">
        <f t="array" ref="P429">_xlfn.XLOOKUP($A429, 'Hospitalisation Details'!$A:$A, 'Hospitalisation Details'!H:H, "No Data")</f>
        <v>tier - 2</v>
      </c>
    </row>
    <row r="430">
      <c r="A430" s="25" t="s">
        <v>1393</v>
      </c>
      <c r="B430" s="28" t="str">
        <f t="array" ref="B430">_xlfn.XLOOKUP($A430, 'Customer Names'!$A:$A, 'Customer Names'!B:B, "No Data")</f>
        <v>Brandon</v>
      </c>
      <c r="C430" s="28">
        <f t="array" ref="C430">_xlfn.XLOOKUP($A430, 'Medical Examinations'!$A:$A, 'Medical Examinations'!B:B, "No Data")</f>
        <v>41.91</v>
      </c>
      <c r="D430" s="28">
        <f t="array" ref="D430">_xlfn.XLOOKUP($A430, 'Medical Examinations'!$A:$A, 'Medical Examinations'!C:C, "No Data")</f>
        <v>5.98</v>
      </c>
      <c r="E430" s="28" t="str">
        <f t="array" ref="E430">_xlfn.XLOOKUP($A430, 'Medical Examinations'!$A:$A, 'Medical Examinations'!D:D, "No Data")</f>
        <v>yes</v>
      </c>
      <c r="F430" s="28" t="str">
        <f t="array" ref="F430">_xlfn.XLOOKUP($A430, 'Medical Examinations'!$A:$A, 'Medical Examinations'!E:E, "No Data")</f>
        <v>No</v>
      </c>
      <c r="G430" s="28" t="str">
        <f t="array" ref="G430">_xlfn.XLOOKUP($A430, 'Medical Examinations'!$A:$A, 'Medical Examinations'!F:F, "No Data")</f>
        <v>No</v>
      </c>
      <c r="H430" s="28">
        <f t="array" ref="H430">_xlfn.XLOOKUP($A430, 'Medical Examinations'!$A:$A, 'Medical Examinations'!G:G, "No Data")</f>
        <v>1</v>
      </c>
      <c r="I430" s="28" t="str">
        <f t="array" ref="I430">_xlfn.XLOOKUP($A430, 'Medical Examinations'!$A:$A, 'Medical Examinations'!H:H, "No Data")</f>
        <v>No</v>
      </c>
      <c r="J430" s="28" t="str">
        <f t="array" ref="J430">_xlfn.XLOOKUP($A430, 'Medical Examinations'!$A:$A, 'Medical Examinations'!I:I, "No Data")</f>
        <v>Obesity</v>
      </c>
      <c r="K430" s="28" t="str">
        <f t="array" ref="K430">_xlfn.XLOOKUP($A430, 'Hospitalisation Details'!$A:$A, 'Hospitalisation Details'!I:I, "No Data")</f>
        <v>tier - 1</v>
      </c>
      <c r="L430" s="28" t="str">
        <f t="array" ref="L430">_xlfn.XLOOKUP($A430, 'Hospitalisation Details'!$A:$A, 'Hospitalisation Details'!J:J, "No Data")</f>
        <v>R1013</v>
      </c>
      <c r="M430" s="28" t="str">
        <f t="array" ref="M430">_xlfn.XLOOKUP($A430, 'Hospitalisation Details'!$A:$A, 'Hospitalisation Details'!E:E, "No Data")</f>
        <v>16/12/64</v>
      </c>
      <c r="N430" s="28">
        <f t="array" ref="N430">_xlfn.XLOOKUP($A430, 'Hospitalisation Details'!$A:$A, 'Hospitalisation Details'!K:K, "No Data")</f>
        <v>58</v>
      </c>
      <c r="O430" s="33">
        <f t="array" ref="O430">_xlfn.XLOOKUP($A430, 'Hospitalisation Details'!$A:$A, 'Hospitalisation Details'!G:G, "No Data")</f>
        <v>24227.34</v>
      </c>
      <c r="P430" s="28" t="str">
        <f t="array" ref="P430">_xlfn.XLOOKUP($A430, 'Hospitalisation Details'!$A:$A, 'Hospitalisation Details'!H:H, "No Data")</f>
        <v>tier - 2</v>
      </c>
    </row>
    <row r="431">
      <c r="A431" s="25" t="s">
        <v>1395</v>
      </c>
      <c r="B431" s="28" t="str">
        <f t="array" ref="B431">_xlfn.XLOOKUP($A431, 'Customer Names'!$A:$A, 'Customer Names'!B:B, "No Data")</f>
        <v>Eley</v>
      </c>
      <c r="C431" s="28">
        <f t="array" ref="C431">_xlfn.XLOOKUP($A431, 'Medical Examinations'!$A:$A, 'Medical Examinations'!B:B, "No Data")</f>
        <v>25.85</v>
      </c>
      <c r="D431" s="28">
        <f t="array" ref="D431">_xlfn.XLOOKUP($A431, 'Medical Examinations'!$A:$A, 'Medical Examinations'!C:C, "No Data")</f>
        <v>10.16</v>
      </c>
      <c r="E431" s="28" t="str">
        <f t="array" ref="E431">_xlfn.XLOOKUP($A431, 'Medical Examinations'!$A:$A, 'Medical Examinations'!D:D, "No Data")</f>
        <v>No</v>
      </c>
      <c r="F431" s="28" t="str">
        <f t="array" ref="F431">_xlfn.XLOOKUP($A431, 'Medical Examinations'!$A:$A, 'Medical Examinations'!E:E, "No Data")</f>
        <v>No</v>
      </c>
      <c r="G431" s="28" t="str">
        <f t="array" ref="G431">_xlfn.XLOOKUP($A431, 'Medical Examinations'!$A:$A, 'Medical Examinations'!F:F, "No Data")</f>
        <v>No</v>
      </c>
      <c r="H431" s="28">
        <f t="array" ref="H431">_xlfn.XLOOKUP($A431, 'Medical Examinations'!$A:$A, 'Medical Examinations'!G:G, "No Data")</f>
        <v>0</v>
      </c>
      <c r="I431" s="28" t="str">
        <f t="array" ref="I431">_xlfn.XLOOKUP($A431, 'Medical Examinations'!$A:$A, 'Medical Examinations'!H:H, "No Data")</f>
        <v>yes</v>
      </c>
      <c r="J431" s="28" t="str">
        <f t="array" ref="J431">_xlfn.XLOOKUP($A431, 'Medical Examinations'!$A:$A, 'Medical Examinations'!I:I, "No Data")</f>
        <v>Overweight</v>
      </c>
      <c r="K431" s="28" t="str">
        <f t="array" ref="K431">_xlfn.XLOOKUP($A431, 'Hospitalisation Details'!$A:$A, 'Hospitalisation Details'!I:I, "No Data")</f>
        <v>tier - 1</v>
      </c>
      <c r="L431" s="28" t="str">
        <f t="array" ref="L431">_xlfn.XLOOKUP($A431, 'Hospitalisation Details'!$A:$A, 'Hospitalisation Details'!J:J, "No Data")</f>
        <v>R1013</v>
      </c>
      <c r="M431" s="28" t="str">
        <f t="array" ref="M431">_xlfn.XLOOKUP($A431, 'Hospitalisation Details'!$A:$A, 'Hospitalisation Details'!E:E, "No Data")</f>
        <v>10/09/74</v>
      </c>
      <c r="N431" s="28">
        <f t="array" ref="N431">_xlfn.XLOOKUP($A431, 'Hospitalisation Details'!$A:$A, 'Hospitalisation Details'!K:K, "No Data")</f>
        <v>48</v>
      </c>
      <c r="O431" s="33">
        <f t="array" ref="O431">_xlfn.XLOOKUP($A431, 'Hospitalisation Details'!$A:$A, 'Hospitalisation Details'!G:G, "No Data")</f>
        <v>24180.93</v>
      </c>
      <c r="P431" s="28" t="str">
        <f t="array" ref="P431">_xlfn.XLOOKUP($A431, 'Hospitalisation Details'!$A:$A, 'Hospitalisation Details'!H:H, "No Data")</f>
        <v>tier - 2</v>
      </c>
    </row>
    <row r="432">
      <c r="A432" s="25" t="s">
        <v>1399</v>
      </c>
      <c r="B432" s="28" t="str">
        <f t="array" ref="B432">_xlfn.XLOOKUP($A432, 'Customer Names'!$A:$A, 'Customer Names'!B:B, "No Data")</f>
        <v>Sedicum</v>
      </c>
      <c r="C432" s="28">
        <f t="array" ref="C432">_xlfn.XLOOKUP($A432, 'Medical Examinations'!$A:$A, 'Medical Examinations'!B:B, "No Data")</f>
        <v>23.845</v>
      </c>
      <c r="D432" s="28">
        <f t="array" ref="D432">_xlfn.XLOOKUP($A432, 'Medical Examinations'!$A:$A, 'Medical Examinations'!C:C, "No Data")</f>
        <v>11.71</v>
      </c>
      <c r="E432" s="28" t="str">
        <f t="array" ref="E432">_xlfn.XLOOKUP($A432, 'Medical Examinations'!$A:$A, 'Medical Examinations'!D:D, "No Data")</f>
        <v>No</v>
      </c>
      <c r="F432" s="28" t="str">
        <f t="array" ref="F432">_xlfn.XLOOKUP($A432, 'Medical Examinations'!$A:$A, 'Medical Examinations'!E:E, "No Data")</f>
        <v>No</v>
      </c>
      <c r="G432" s="28" t="str">
        <f t="array" ref="G432">_xlfn.XLOOKUP($A432, 'Medical Examinations'!$A:$A, 'Medical Examinations'!F:F, "No Data")</f>
        <v>No</v>
      </c>
      <c r="H432" s="28">
        <f t="array" ref="H432">_xlfn.XLOOKUP($A432, 'Medical Examinations'!$A:$A, 'Medical Examinations'!G:G, "No Data")</f>
        <v>2</v>
      </c>
      <c r="I432" s="28" t="str">
        <f t="array" ref="I432">_xlfn.XLOOKUP($A432, 'Medical Examinations'!$A:$A, 'Medical Examinations'!H:H, "No Data")</f>
        <v>yes</v>
      </c>
      <c r="J432" s="28" t="str">
        <f t="array" ref="J432">_xlfn.XLOOKUP($A432, 'Medical Examinations'!$A:$A, 'Medical Examinations'!I:I, "No Data")</f>
        <v>Normal Weight</v>
      </c>
      <c r="K432" s="28" t="str">
        <f t="array" ref="K432">_xlfn.XLOOKUP($A432, 'Hospitalisation Details'!$A:$A, 'Hospitalisation Details'!I:I, "No Data")</f>
        <v>tier - 2</v>
      </c>
      <c r="L432" s="28" t="str">
        <f t="array" ref="L432">_xlfn.XLOOKUP($A432, 'Hospitalisation Details'!$A:$A, 'Hospitalisation Details'!J:J, "No Data")</f>
        <v>R1024</v>
      </c>
      <c r="M432" s="28" t="str">
        <f t="array" ref="M432">_xlfn.XLOOKUP($A432, 'Hospitalisation Details'!$A:$A, 'Hospitalisation Details'!E:E, "No Data")</f>
        <v>13/06/73</v>
      </c>
      <c r="N432" s="28">
        <f t="array" ref="N432">_xlfn.XLOOKUP($A432, 'Hospitalisation Details'!$A:$A, 'Hospitalisation Details'!K:K, "No Data")</f>
        <v>49</v>
      </c>
      <c r="O432" s="33">
        <f t="array" ref="O432">_xlfn.XLOOKUP($A432, 'Hospitalisation Details'!$A:$A, 'Hospitalisation Details'!G:G, "No Data")</f>
        <v>24106.91</v>
      </c>
      <c r="P432" s="28" t="str">
        <f t="array" ref="P432">_xlfn.XLOOKUP($A432, 'Hospitalisation Details'!$A:$A, 'Hospitalisation Details'!H:H, "No Data")</f>
        <v>tier - 2</v>
      </c>
    </row>
    <row r="433">
      <c r="A433" s="25" t="s">
        <v>1403</v>
      </c>
      <c r="B433" s="28" t="str">
        <f t="array" ref="B433">_xlfn.XLOOKUP($A433, 'Customer Names'!$A:$A, 'Customer Names'!B:B, "No Data")</f>
        <v>Markle</v>
      </c>
      <c r="C433" s="28">
        <f t="array" ref="C433">_xlfn.XLOOKUP($A433, 'Medical Examinations'!$A:$A, 'Medical Examinations'!B:B, "No Data")</f>
        <v>30.59</v>
      </c>
      <c r="D433" s="28">
        <f t="array" ref="D433">_xlfn.XLOOKUP($A433, 'Medical Examinations'!$A:$A, 'Medical Examinations'!C:C, "No Data")</f>
        <v>5.23</v>
      </c>
      <c r="E433" s="28" t="str">
        <f t="array" ref="E433">_xlfn.XLOOKUP($A433, 'Medical Examinations'!$A:$A, 'Medical Examinations'!D:D, "No Data")</f>
        <v>No</v>
      </c>
      <c r="F433" s="28" t="str">
        <f t="array" ref="F433">_xlfn.XLOOKUP($A433, 'Medical Examinations'!$A:$A, 'Medical Examinations'!E:E, "No Data")</f>
        <v>No</v>
      </c>
      <c r="G433" s="28" t="str">
        <f t="array" ref="G433">_xlfn.XLOOKUP($A433, 'Medical Examinations'!$A:$A, 'Medical Examinations'!F:F, "No Data")</f>
        <v>Yes</v>
      </c>
      <c r="H433" s="28">
        <f t="array" ref="H433">_xlfn.XLOOKUP($A433, 'Medical Examinations'!$A:$A, 'Medical Examinations'!G:G, "No Data")</f>
        <v>1</v>
      </c>
      <c r="I433" s="28" t="str">
        <f t="array" ref="I433">_xlfn.XLOOKUP($A433, 'Medical Examinations'!$A:$A, 'Medical Examinations'!H:H, "No Data")</f>
        <v>No</v>
      </c>
      <c r="J433" s="28" t="str">
        <f t="array" ref="J433">_xlfn.XLOOKUP($A433, 'Medical Examinations'!$A:$A, 'Medical Examinations'!I:I, "No Data")</f>
        <v>Obesity</v>
      </c>
      <c r="K433" s="28" t="str">
        <f t="array" ref="K433">_xlfn.XLOOKUP($A433, 'Hospitalisation Details'!$A:$A, 'Hospitalisation Details'!I:I, "No Data")</f>
        <v>tier - 2</v>
      </c>
      <c r="L433" s="28" t="str">
        <f t="array" ref="L433">_xlfn.XLOOKUP($A433, 'Hospitalisation Details'!$A:$A, 'Hospitalisation Details'!J:J, "No Data")</f>
        <v>R1012</v>
      </c>
      <c r="M433" s="28" t="str">
        <f t="array" ref="M433">_xlfn.XLOOKUP($A433, 'Hospitalisation Details'!$A:$A, 'Hospitalisation Details'!E:E, "No Data")</f>
        <v>30/12/03</v>
      </c>
      <c r="N433" s="28">
        <f t="array" ref="N433">_xlfn.XLOOKUP($A433, 'Hospitalisation Details'!$A:$A, 'Hospitalisation Details'!K:K, "No Data")</f>
        <v>19</v>
      </c>
      <c r="O433" s="33">
        <f t="array" ref="O433">_xlfn.XLOOKUP($A433, 'Hospitalisation Details'!$A:$A, 'Hospitalisation Details'!G:G, "No Data")</f>
        <v>24059.68</v>
      </c>
      <c r="P433" s="28" t="str">
        <f t="array" ref="P433">_xlfn.XLOOKUP($A433, 'Hospitalisation Details'!$A:$A, 'Hospitalisation Details'!H:H, "No Data")</f>
        <v>tier - 2</v>
      </c>
    </row>
    <row r="434">
      <c r="A434" s="25" t="s">
        <v>1407</v>
      </c>
      <c r="B434" s="28" t="str">
        <f t="array" ref="B434">_xlfn.XLOOKUP($A434, 'Customer Names'!$A:$A, 'Customer Names'!B:B, "No Data")</f>
        <v>Kunz</v>
      </c>
      <c r="C434" s="28">
        <f t="array" ref="C434">_xlfn.XLOOKUP($A434, 'Medical Examinations'!$A:$A, 'Medical Examinations'!B:B, "No Data")</f>
        <v>24.795</v>
      </c>
      <c r="D434" s="28">
        <f t="array" ref="D434">_xlfn.XLOOKUP($A434, 'Medical Examinations'!$A:$A, 'Medical Examinations'!C:C, "No Data")</f>
        <v>6.85</v>
      </c>
      <c r="E434" s="28" t="str">
        <f t="array" ref="E434">_xlfn.XLOOKUP($A434, 'Medical Examinations'!$A:$A, 'Medical Examinations'!D:D, "No Data")</f>
        <v>No</v>
      </c>
      <c r="F434" s="28" t="str">
        <f t="array" ref="F434">_xlfn.XLOOKUP($A434, 'Medical Examinations'!$A:$A, 'Medical Examinations'!E:E, "No Data")</f>
        <v>No</v>
      </c>
      <c r="G434" s="28" t="str">
        <f t="array" ref="G434">_xlfn.XLOOKUP($A434, 'Medical Examinations'!$A:$A, 'Medical Examinations'!F:F, "No Data")</f>
        <v>No</v>
      </c>
      <c r="H434" s="28">
        <f t="array" ref="H434">_xlfn.XLOOKUP($A434, 'Medical Examinations'!$A:$A, 'Medical Examinations'!G:G, "No Data")</f>
        <v>0</v>
      </c>
      <c r="I434" s="28" t="str">
        <f t="array" ref="I434">_xlfn.XLOOKUP($A434, 'Medical Examinations'!$A:$A, 'Medical Examinations'!H:H, "No Data")</f>
        <v>yes</v>
      </c>
      <c r="J434" s="28" t="str">
        <f t="array" ref="J434">_xlfn.XLOOKUP($A434, 'Medical Examinations'!$A:$A, 'Medical Examinations'!I:I, "No Data")</f>
        <v>Normal Weight</v>
      </c>
      <c r="K434" s="28" t="str">
        <f t="array" ref="K434">_xlfn.XLOOKUP($A434, 'Hospitalisation Details'!$A:$A, 'Hospitalisation Details'!I:I, "No Data")</f>
        <v>tier - 2</v>
      </c>
      <c r="L434" s="28" t="str">
        <f t="array" ref="L434">_xlfn.XLOOKUP($A434, 'Hospitalisation Details'!$A:$A, 'Hospitalisation Details'!J:J, "No Data")</f>
        <v>R1012</v>
      </c>
      <c r="M434" s="28" t="str">
        <f t="array" ref="M434">_xlfn.XLOOKUP($A434, 'Hospitalisation Details'!$A:$A, 'Hospitalisation Details'!E:E, "No Data")</f>
        <v>10/07/71</v>
      </c>
      <c r="N434" s="28">
        <f t="array" ref="N434">_xlfn.XLOOKUP($A434, 'Hospitalisation Details'!$A:$A, 'Hospitalisation Details'!K:K, "No Data")</f>
        <v>51</v>
      </c>
      <c r="O434" s="33">
        <f t="array" ref="O434">_xlfn.XLOOKUP($A434, 'Hospitalisation Details'!$A:$A, 'Hospitalisation Details'!G:G, "No Data")</f>
        <v>23967.38</v>
      </c>
      <c r="P434" s="28" t="str">
        <f t="array" ref="P434">_xlfn.XLOOKUP($A434, 'Hospitalisation Details'!$A:$A, 'Hospitalisation Details'!H:H, "No Data")</f>
        <v>tier - 2</v>
      </c>
    </row>
    <row r="435">
      <c r="A435" s="25" t="s">
        <v>1410</v>
      </c>
      <c r="B435" s="28" t="str">
        <f t="array" ref="B435">_xlfn.XLOOKUP($A435, 'Customer Names'!$A:$A, 'Customer Names'!B:B, "No Data")</f>
        <v>Wimert</v>
      </c>
      <c r="C435" s="28">
        <f t="array" ref="C435">_xlfn.XLOOKUP($A435, 'Medical Examinations'!$A:$A, 'Medical Examinations'!B:B, "No Data")</f>
        <v>24.13</v>
      </c>
      <c r="D435" s="28">
        <f t="array" ref="D435">_xlfn.XLOOKUP($A435, 'Medical Examinations'!$A:$A, 'Medical Examinations'!C:C, "No Data")</f>
        <v>7.05</v>
      </c>
      <c r="E435" s="28" t="str">
        <f t="array" ref="E435">_xlfn.XLOOKUP($A435, 'Medical Examinations'!$A:$A, 'Medical Examinations'!D:D, "No Data")</f>
        <v>yes</v>
      </c>
      <c r="F435" s="28" t="str">
        <f t="array" ref="F435">_xlfn.XLOOKUP($A435, 'Medical Examinations'!$A:$A, 'Medical Examinations'!E:E, "No Data")</f>
        <v>No</v>
      </c>
      <c r="G435" s="28" t="str">
        <f t="array" ref="G435">_xlfn.XLOOKUP($A435, 'Medical Examinations'!$A:$A, 'Medical Examinations'!F:F, "No Data")</f>
        <v>No</v>
      </c>
      <c r="H435" s="28">
        <f t="array" ref="H435">_xlfn.XLOOKUP($A435, 'Medical Examinations'!$A:$A, 'Medical Examinations'!G:G, "No Data")</f>
        <v>2</v>
      </c>
      <c r="I435" s="28" t="str">
        <f t="array" ref="I435">_xlfn.XLOOKUP($A435, 'Medical Examinations'!$A:$A, 'Medical Examinations'!H:H, "No Data")</f>
        <v>yes</v>
      </c>
      <c r="J435" s="28" t="str">
        <f t="array" ref="J435">_xlfn.XLOOKUP($A435, 'Medical Examinations'!$A:$A, 'Medical Examinations'!I:I, "No Data")</f>
        <v>Normal Weight</v>
      </c>
      <c r="K435" s="28" t="str">
        <f t="array" ref="K435">_xlfn.XLOOKUP($A435, 'Hospitalisation Details'!$A:$A, 'Hospitalisation Details'!I:I, "No Data")</f>
        <v>tier - 3</v>
      </c>
      <c r="L435" s="28" t="str">
        <f t="array" ref="L435">_xlfn.XLOOKUP($A435, 'Hospitalisation Details'!$A:$A, 'Hospitalisation Details'!J:J, "No Data")</f>
        <v>R1012</v>
      </c>
      <c r="M435" s="28" t="str">
        <f t="array" ref="M435">_xlfn.XLOOKUP($A435, 'Hospitalisation Details'!$A:$A, 'Hospitalisation Details'!E:E, "No Data")</f>
        <v>08/08/70</v>
      </c>
      <c r="N435" s="28">
        <f t="array" ref="N435">_xlfn.XLOOKUP($A435, 'Hospitalisation Details'!$A:$A, 'Hospitalisation Details'!K:K, "No Data")</f>
        <v>52</v>
      </c>
      <c r="O435" s="33">
        <f t="array" ref="O435">_xlfn.XLOOKUP($A435, 'Hospitalisation Details'!$A:$A, 'Hospitalisation Details'!G:G, "No Data")</f>
        <v>23887.66</v>
      </c>
      <c r="P435" s="28" t="str">
        <f t="array" ref="P435">_xlfn.XLOOKUP($A435, 'Hospitalisation Details'!$A:$A, 'Hospitalisation Details'!H:H, "No Data")</f>
        <v>tier - 2</v>
      </c>
    </row>
    <row r="436">
      <c r="A436" s="25" t="s">
        <v>1412</v>
      </c>
      <c r="B436" s="28" t="str">
        <f t="array" ref="B436">_xlfn.XLOOKUP($A436, 'Customer Names'!$A:$A, 'Customer Names'!B:B, "No Data")</f>
        <v>Peterson</v>
      </c>
      <c r="C436" s="28">
        <f t="array" ref="C436">_xlfn.XLOOKUP($A436, 'Medical Examinations'!$A:$A, 'Medical Examinations'!B:B, "No Data")</f>
        <v>25.84</v>
      </c>
      <c r="D436" s="28">
        <f t="array" ref="D436">_xlfn.XLOOKUP($A436, 'Medical Examinations'!$A:$A, 'Medical Examinations'!C:C, "No Data")</f>
        <v>11.64</v>
      </c>
      <c r="E436" s="28" t="str">
        <f t="array" ref="E436">_xlfn.XLOOKUP($A436, 'Medical Examinations'!$A:$A, 'Medical Examinations'!D:D, "No Data")</f>
        <v>No</v>
      </c>
      <c r="F436" s="28" t="str">
        <f t="array" ref="F436">_xlfn.XLOOKUP($A436, 'Medical Examinations'!$A:$A, 'Medical Examinations'!E:E, "No Data")</f>
        <v>No</v>
      </c>
      <c r="G436" s="28" t="str">
        <f t="array" ref="G436">_xlfn.XLOOKUP($A436, 'Medical Examinations'!$A:$A, 'Medical Examinations'!F:F, "No Data")</f>
        <v>No</v>
      </c>
      <c r="H436" s="28">
        <f t="array" ref="H436">_xlfn.XLOOKUP($A436, 'Medical Examinations'!$A:$A, 'Medical Examinations'!G:G, "No Data")</f>
        <v>2</v>
      </c>
      <c r="I436" s="28" t="str">
        <f t="array" ref="I436">_xlfn.XLOOKUP($A436, 'Medical Examinations'!$A:$A, 'Medical Examinations'!H:H, "No Data")</f>
        <v>yes</v>
      </c>
      <c r="J436" s="28" t="str">
        <f t="array" ref="J436">_xlfn.XLOOKUP($A436, 'Medical Examinations'!$A:$A, 'Medical Examinations'!I:I, "No Data")</f>
        <v>Overweight</v>
      </c>
      <c r="K436" s="28" t="str">
        <f t="array" ref="K436">_xlfn.XLOOKUP($A436, 'Hospitalisation Details'!$A:$A, 'Hospitalisation Details'!I:I, "No Data")</f>
        <v>tier - 3</v>
      </c>
      <c r="L436" s="28" t="str">
        <f t="array" ref="L436">_xlfn.XLOOKUP($A436, 'Hospitalisation Details'!$A:$A, 'Hospitalisation Details'!J:J, "No Data")</f>
        <v>R1012</v>
      </c>
      <c r="M436" s="28" t="str">
        <f t="array" ref="M436">_xlfn.XLOOKUP($A436, 'Hospitalisation Details'!$A:$A, 'Hospitalisation Details'!E:E, "No Data")</f>
        <v>27/06/73</v>
      </c>
      <c r="N436" s="28">
        <f t="array" ref="N436">_xlfn.XLOOKUP($A436, 'Hospitalisation Details'!$A:$A, 'Hospitalisation Details'!K:K, "No Data")</f>
        <v>49</v>
      </c>
      <c r="O436" s="33">
        <f t="array" ref="O436">_xlfn.XLOOKUP($A436, 'Hospitalisation Details'!$A:$A, 'Hospitalisation Details'!G:G, "No Data")</f>
        <v>23807.24</v>
      </c>
      <c r="P436" s="28" t="str">
        <f t="array" ref="P436">_xlfn.XLOOKUP($A436, 'Hospitalisation Details'!$A:$A, 'Hospitalisation Details'!H:H, "No Data")</f>
        <v>tier - 2</v>
      </c>
    </row>
    <row r="437">
      <c r="A437" s="25" t="s">
        <v>1417</v>
      </c>
      <c r="B437" s="28" t="str">
        <f t="array" ref="B437">_xlfn.XLOOKUP($A437, 'Customer Names'!$A:$A, 'Customer Names'!B:B, "No Data")</f>
        <v>Mercier</v>
      </c>
      <c r="C437" s="28">
        <f t="array" ref="C437">_xlfn.XLOOKUP($A437, 'Medical Examinations'!$A:$A, 'Medical Examinations'!B:B, "No Data")</f>
        <v>28</v>
      </c>
      <c r="D437" s="28">
        <f t="array" ref="D437">_xlfn.XLOOKUP($A437, 'Medical Examinations'!$A:$A, 'Medical Examinations'!C:C, "No Data")</f>
        <v>10.52</v>
      </c>
      <c r="E437" s="28" t="str">
        <f t="array" ref="E437">_xlfn.XLOOKUP($A437, 'Medical Examinations'!$A:$A, 'Medical Examinations'!D:D, "No Data")</f>
        <v>No</v>
      </c>
      <c r="F437" s="28" t="str">
        <f t="array" ref="F437">_xlfn.XLOOKUP($A437, 'Medical Examinations'!$A:$A, 'Medical Examinations'!E:E, "No Data")</f>
        <v>No</v>
      </c>
      <c r="G437" s="28" t="str">
        <f t="array" ref="G437">_xlfn.XLOOKUP($A437, 'Medical Examinations'!$A:$A, 'Medical Examinations'!F:F, "No Data")</f>
        <v>No</v>
      </c>
      <c r="H437" s="28">
        <f t="array" ref="H437">_xlfn.XLOOKUP($A437, 'Medical Examinations'!$A:$A, 'Medical Examinations'!G:G, "No Data")</f>
        <v>0</v>
      </c>
      <c r="I437" s="28" t="str">
        <f t="array" ref="I437">_xlfn.XLOOKUP($A437, 'Medical Examinations'!$A:$A, 'Medical Examinations'!H:H, "No Data")</f>
        <v>yes</v>
      </c>
      <c r="J437" s="28" t="str">
        <f t="array" ref="J437">_xlfn.XLOOKUP($A437, 'Medical Examinations'!$A:$A, 'Medical Examinations'!I:I, "No Data")</f>
        <v>Overweight</v>
      </c>
      <c r="K437" s="28" t="str">
        <f t="array" ref="K437">_xlfn.XLOOKUP($A437, 'Hospitalisation Details'!$A:$A, 'Hospitalisation Details'!I:I, "No Data")</f>
        <v>tier - 2</v>
      </c>
      <c r="L437" s="28" t="str">
        <f t="array" ref="L437">_xlfn.XLOOKUP($A437, 'Hospitalisation Details'!$A:$A, 'Hospitalisation Details'!J:J, "No Data")</f>
        <v>R1011</v>
      </c>
      <c r="M437" s="28" t="str">
        <f t="array" ref="M437">_xlfn.XLOOKUP($A437, 'Hospitalisation Details'!$A:$A, 'Hospitalisation Details'!E:E, "No Data")</f>
        <v>02/06/74</v>
      </c>
      <c r="N437" s="28">
        <f t="array" ref="N437">_xlfn.XLOOKUP($A437, 'Hospitalisation Details'!$A:$A, 'Hospitalisation Details'!K:K, "No Data")</f>
        <v>49</v>
      </c>
      <c r="O437" s="33">
        <f t="array" ref="O437">_xlfn.XLOOKUP($A437, 'Hospitalisation Details'!$A:$A, 'Hospitalisation Details'!G:G, "No Data")</f>
        <v>23568.27</v>
      </c>
      <c r="P437" s="28" t="str">
        <f t="array" ref="P437">_xlfn.XLOOKUP($A437, 'Hospitalisation Details'!$A:$A, 'Hospitalisation Details'!H:H, "No Data")</f>
        <v>tier - 2</v>
      </c>
    </row>
    <row r="438">
      <c r="A438" s="25" t="s">
        <v>1420</v>
      </c>
      <c r="B438" s="28" t="str">
        <f t="array" ref="B438">_xlfn.XLOOKUP($A438, 'Customer Names'!$A:$A, 'Customer Names'!B:B, "No Data")</f>
        <v>Laurie</v>
      </c>
      <c r="C438" s="28">
        <f t="array" ref="C438">_xlfn.XLOOKUP($A438, 'Medical Examinations'!$A:$A, 'Medical Examinations'!B:B, "No Data")</f>
        <v>34.1</v>
      </c>
      <c r="D438" s="28">
        <f t="array" ref="D438">_xlfn.XLOOKUP($A438, 'Medical Examinations'!$A:$A, 'Medical Examinations'!C:C, "No Data")</f>
        <v>4.01</v>
      </c>
      <c r="E438" s="28" t="str">
        <f t="array" ref="E438">_xlfn.XLOOKUP($A438, 'Medical Examinations'!$A:$A, 'Medical Examinations'!D:D, "No Data")</f>
        <v>yes</v>
      </c>
      <c r="F438" s="28" t="str">
        <f t="array" ref="F438">_xlfn.XLOOKUP($A438, 'Medical Examinations'!$A:$A, 'Medical Examinations'!E:E, "No Data")</f>
        <v>No</v>
      </c>
      <c r="G438" s="28" t="str">
        <f t="array" ref="G438">_xlfn.XLOOKUP($A438, 'Medical Examinations'!$A:$A, 'Medical Examinations'!F:F, "No Data")</f>
        <v>Yes</v>
      </c>
      <c r="H438" s="28">
        <f t="array" ref="H438">_xlfn.XLOOKUP($A438, 'Medical Examinations'!$A:$A, 'Medical Examinations'!G:G, "No Data")</f>
        <v>1</v>
      </c>
      <c r="I438" s="28" t="str">
        <f t="array" ref="I438">_xlfn.XLOOKUP($A438, 'Medical Examinations'!$A:$A, 'Medical Examinations'!H:H, "No Data")</f>
        <v>No</v>
      </c>
      <c r="J438" s="28" t="str">
        <f t="array" ref="J438">_xlfn.XLOOKUP($A438, 'Medical Examinations'!$A:$A, 'Medical Examinations'!I:I, "No Data")</f>
        <v>Obesity</v>
      </c>
      <c r="K438" s="28" t="str">
        <f t="array" ref="K438">_xlfn.XLOOKUP($A438, 'Hospitalisation Details'!$A:$A, 'Hospitalisation Details'!I:I, "No Data")</f>
        <v>tier - 2</v>
      </c>
      <c r="L438" s="28" t="str">
        <f t="array" ref="L438">_xlfn.XLOOKUP($A438, 'Hospitalisation Details'!$A:$A, 'Hospitalisation Details'!J:J, "No Data")</f>
        <v>R1013</v>
      </c>
      <c r="M438" s="28" t="str">
        <f t="array" ref="M438">_xlfn.XLOOKUP($A438, 'Hospitalisation Details'!$A:$A, 'Hospitalisation Details'!E:E, "No Data")</f>
        <v>26/08/83</v>
      </c>
      <c r="N438" s="28">
        <f t="array" ref="N438">_xlfn.XLOOKUP($A438, 'Hospitalisation Details'!$A:$A, 'Hospitalisation Details'!K:K, "No Data")</f>
        <v>39</v>
      </c>
      <c r="O438" s="33">
        <f t="array" ref="O438">_xlfn.XLOOKUP($A438, 'Hospitalisation Details'!$A:$A, 'Hospitalisation Details'!G:G, "No Data")</f>
        <v>23563.02</v>
      </c>
      <c r="P438" s="28" t="str">
        <f t="array" ref="P438">_xlfn.XLOOKUP($A438, 'Hospitalisation Details'!$A:$A, 'Hospitalisation Details'!H:H, "No Data")</f>
        <v>tier - 2</v>
      </c>
    </row>
    <row r="439">
      <c r="A439" s="25" t="s">
        <v>1425</v>
      </c>
      <c r="B439" s="28" t="str">
        <f t="array" ref="B439">_xlfn.XLOOKUP($A439, 'Customer Names'!$A:$A, 'Customer Names'!B:B, "No Data")</f>
        <v>Sekaquaptewa</v>
      </c>
      <c r="C439" s="28">
        <f t="array" ref="C439">_xlfn.XLOOKUP($A439, 'Medical Examinations'!$A:$A, 'Medical Examinations'!B:B, "No Data")</f>
        <v>26.125</v>
      </c>
      <c r="D439" s="28">
        <f t="array" ref="D439">_xlfn.XLOOKUP($A439, 'Medical Examinations'!$A:$A, 'Medical Examinations'!C:C, "No Data")</f>
        <v>8.56</v>
      </c>
      <c r="E439" s="28" t="str">
        <f t="array" ref="E439">_xlfn.XLOOKUP($A439, 'Medical Examinations'!$A:$A, 'Medical Examinations'!D:D, "No Data")</f>
        <v>yes</v>
      </c>
      <c r="F439" s="28" t="str">
        <f t="array" ref="F439">_xlfn.XLOOKUP($A439, 'Medical Examinations'!$A:$A, 'Medical Examinations'!E:E, "No Data")</f>
        <v>No</v>
      </c>
      <c r="G439" s="28" t="str">
        <f t="array" ref="G439">_xlfn.XLOOKUP($A439, 'Medical Examinations'!$A:$A, 'Medical Examinations'!F:F, "No Data")</f>
        <v>No</v>
      </c>
      <c r="H439" s="28">
        <f t="array" ref="H439">_xlfn.XLOOKUP($A439, 'Medical Examinations'!$A:$A, 'Medical Examinations'!G:G, "No Data")</f>
        <v>1</v>
      </c>
      <c r="I439" s="28" t="str">
        <f t="array" ref="I439">_xlfn.XLOOKUP($A439, 'Medical Examinations'!$A:$A, 'Medical Examinations'!H:H, "No Data")</f>
        <v>yes</v>
      </c>
      <c r="J439" s="28" t="str">
        <f t="array" ref="J439">_xlfn.XLOOKUP($A439, 'Medical Examinations'!$A:$A, 'Medical Examinations'!I:I, "No Data")</f>
        <v>Overweight</v>
      </c>
      <c r="K439" s="28" t="str">
        <f t="array" ref="K439">_xlfn.XLOOKUP($A439, 'Hospitalisation Details'!$A:$A, 'Hospitalisation Details'!I:I, "No Data")</f>
        <v>tier - 3</v>
      </c>
      <c r="L439" s="28" t="str">
        <f t="array" ref="L439">_xlfn.XLOOKUP($A439, 'Hospitalisation Details'!$A:$A, 'Hospitalisation Details'!J:J, "No Data")</f>
        <v>R1024</v>
      </c>
      <c r="M439" s="28" t="str">
        <f t="array" ref="M439">_xlfn.XLOOKUP($A439, 'Hospitalisation Details'!$A:$A, 'Hospitalisation Details'!E:E, "No Data")</f>
        <v>13/11/75</v>
      </c>
      <c r="N439" s="28">
        <f t="array" ref="N439">_xlfn.XLOOKUP($A439, 'Hospitalisation Details'!$A:$A, 'Hospitalisation Details'!K:K, "No Data")</f>
        <v>47</v>
      </c>
      <c r="O439" s="33">
        <f t="array" ref="O439">_xlfn.XLOOKUP($A439, 'Hospitalisation Details'!$A:$A, 'Hospitalisation Details'!G:G, "No Data")</f>
        <v>23401.31</v>
      </c>
      <c r="P439" s="28" t="str">
        <f t="array" ref="P439">_xlfn.XLOOKUP($A439, 'Hospitalisation Details'!$A:$A, 'Hospitalisation Details'!H:H, "No Data")</f>
        <v>tier - 2</v>
      </c>
    </row>
    <row r="440">
      <c r="A440" s="25" t="s">
        <v>1428</v>
      </c>
      <c r="B440" s="28" t="str">
        <f t="array" ref="B440">_xlfn.XLOOKUP($A440, 'Customer Names'!$A:$A, 'Customer Names'!B:B, "No Data")</f>
        <v>Frash</v>
      </c>
      <c r="C440" s="28">
        <f t="array" ref="C440">_xlfn.XLOOKUP($A440, 'Medical Examinations'!$A:$A, 'Medical Examinations'!B:B, "No Data")</f>
        <v>25.6</v>
      </c>
      <c r="D440" s="28">
        <f t="array" ref="D440">_xlfn.XLOOKUP($A440, 'Medical Examinations'!$A:$A, 'Medical Examinations'!C:C, "No Data")</f>
        <v>10.5</v>
      </c>
      <c r="E440" s="28" t="str">
        <f t="array" ref="E440">_xlfn.XLOOKUP($A440, 'Medical Examinations'!$A:$A, 'Medical Examinations'!D:D, "No Data")</f>
        <v>No</v>
      </c>
      <c r="F440" s="28" t="str">
        <f t="array" ref="F440">_xlfn.XLOOKUP($A440, 'Medical Examinations'!$A:$A, 'Medical Examinations'!E:E, "No Data")</f>
        <v>No</v>
      </c>
      <c r="G440" s="28" t="str">
        <f t="array" ref="G440">_xlfn.XLOOKUP($A440, 'Medical Examinations'!$A:$A, 'Medical Examinations'!F:F, "No Data")</f>
        <v>No</v>
      </c>
      <c r="H440" s="28">
        <f t="array" ref="H440">_xlfn.XLOOKUP($A440, 'Medical Examinations'!$A:$A, 'Medical Examinations'!G:G, "No Data")</f>
        <v>2</v>
      </c>
      <c r="I440" s="28" t="str">
        <f t="array" ref="I440">_xlfn.XLOOKUP($A440, 'Medical Examinations'!$A:$A, 'Medical Examinations'!H:H, "No Data")</f>
        <v>yes</v>
      </c>
      <c r="J440" s="28" t="str">
        <f t="array" ref="J440">_xlfn.XLOOKUP($A440, 'Medical Examinations'!$A:$A, 'Medical Examinations'!I:I, "No Data")</f>
        <v>Overweight</v>
      </c>
      <c r="K440" s="28" t="str">
        <f t="array" ref="K440">_xlfn.XLOOKUP($A440, 'Hospitalisation Details'!$A:$A, 'Hospitalisation Details'!I:I, "No Data")</f>
        <v>tier - 2</v>
      </c>
      <c r="L440" s="28" t="str">
        <f t="array" ref="L440">_xlfn.XLOOKUP($A440, 'Hospitalisation Details'!$A:$A, 'Hospitalisation Details'!J:J, "No Data")</f>
        <v>R1011</v>
      </c>
      <c r="M440" s="28" t="str">
        <f t="array" ref="M440">_xlfn.XLOOKUP($A440, 'Hospitalisation Details'!$A:$A, 'Hospitalisation Details'!E:E, "No Data")</f>
        <v>22/10/73</v>
      </c>
      <c r="N440" s="28">
        <f t="array" ref="N440">_xlfn.XLOOKUP($A440, 'Hospitalisation Details'!$A:$A, 'Hospitalisation Details'!K:K, "No Data")</f>
        <v>49</v>
      </c>
      <c r="O440" s="33">
        <f t="array" ref="O440">_xlfn.XLOOKUP($A440, 'Hospitalisation Details'!$A:$A, 'Hospitalisation Details'!G:G, "No Data")</f>
        <v>23306.55</v>
      </c>
      <c r="P440" s="28" t="str">
        <f t="array" ref="P440">_xlfn.XLOOKUP($A440, 'Hospitalisation Details'!$A:$A, 'Hospitalisation Details'!H:H, "No Data")</f>
        <v>tier - 2</v>
      </c>
    </row>
    <row r="441">
      <c r="A441" s="25" t="s">
        <v>1432</v>
      </c>
      <c r="B441" s="28" t="str">
        <f t="array" ref="B441">_xlfn.XLOOKUP($A441, 'Customer Names'!$A:$A, 'Customer Names'!B:B, "No Data")</f>
        <v>Bukowski</v>
      </c>
      <c r="C441" s="28">
        <f t="array" ref="C441">_xlfn.XLOOKUP($A441, 'Medical Examinations'!$A:$A, 'Medical Examinations'!B:B, "No Data")</f>
        <v>24.32</v>
      </c>
      <c r="D441" s="28">
        <f t="array" ref="D441">_xlfn.XLOOKUP($A441, 'Medical Examinations'!$A:$A, 'Medical Examinations'!C:C, "No Data")</f>
        <v>6.39</v>
      </c>
      <c r="E441" s="28" t="str">
        <f t="array" ref="E441">_xlfn.XLOOKUP($A441, 'Medical Examinations'!$A:$A, 'Medical Examinations'!D:D, "No Data")</f>
        <v>No</v>
      </c>
      <c r="F441" s="28" t="str">
        <f t="array" ref="F441">_xlfn.XLOOKUP($A441, 'Medical Examinations'!$A:$A, 'Medical Examinations'!E:E, "No Data")</f>
        <v>No</v>
      </c>
      <c r="G441" s="28" t="str">
        <f t="array" ref="G441">_xlfn.XLOOKUP($A441, 'Medical Examinations'!$A:$A, 'Medical Examinations'!F:F, "No Data")</f>
        <v>No</v>
      </c>
      <c r="H441" s="28">
        <f t="array" ref="H441">_xlfn.XLOOKUP($A441, 'Medical Examinations'!$A:$A, 'Medical Examinations'!G:G, "No Data")</f>
        <v>0</v>
      </c>
      <c r="I441" s="28" t="str">
        <f t="array" ref="I441">_xlfn.XLOOKUP($A441, 'Medical Examinations'!$A:$A, 'Medical Examinations'!H:H, "No Data")</f>
        <v>No</v>
      </c>
      <c r="J441" s="28" t="str">
        <f t="array" ref="J441">_xlfn.XLOOKUP($A441, 'Medical Examinations'!$A:$A, 'Medical Examinations'!I:I, "No Data")</f>
        <v>Normal Weight</v>
      </c>
      <c r="K441" s="28" t="str">
        <f t="array" ref="K441">_xlfn.XLOOKUP($A441, 'Hospitalisation Details'!$A:$A, 'Hospitalisation Details'!I:I, "No Data")</f>
        <v>tier - 3</v>
      </c>
      <c r="L441" s="28" t="str">
        <f t="array" ref="L441">_xlfn.XLOOKUP($A441, 'Hospitalisation Details'!$A:$A, 'Hospitalisation Details'!J:J, "No Data")</f>
        <v>R1024</v>
      </c>
      <c r="M441" s="28" t="str">
        <f t="array" ref="M441">_xlfn.XLOOKUP($A441, 'Hospitalisation Details'!$A:$A, 'Hospitalisation Details'!E:E, "No Data")</f>
        <v>03/10/94</v>
      </c>
      <c r="N441" s="28">
        <f t="array" ref="N441">_xlfn.XLOOKUP($A441, 'Hospitalisation Details'!$A:$A, 'Hospitalisation Details'!K:K, "No Data")</f>
        <v>28</v>
      </c>
      <c r="O441" s="33">
        <f t="array" ref="O441">_xlfn.XLOOKUP($A441, 'Hospitalisation Details'!$A:$A, 'Hospitalisation Details'!G:G, "No Data")</f>
        <v>23288.93</v>
      </c>
      <c r="P441" s="28" t="str">
        <f t="array" ref="P441">_xlfn.XLOOKUP($A441, 'Hospitalisation Details'!$A:$A, 'Hospitalisation Details'!H:H, "No Data")</f>
        <v>tier - 2</v>
      </c>
    </row>
    <row r="442">
      <c r="A442" s="25" t="s">
        <v>1437</v>
      </c>
      <c r="B442" s="28" t="str">
        <f t="array" ref="B442">_xlfn.XLOOKUP($A442, 'Customer Names'!$A:$A, 'Customer Names'!B:B, "No Data")</f>
        <v>Sandahl</v>
      </c>
      <c r="C442" s="28">
        <f t="array" ref="C442">_xlfn.XLOOKUP($A442, 'Medical Examinations'!$A:$A, 'Medical Examinations'!B:B, "No Data")</f>
        <v>22.88</v>
      </c>
      <c r="D442" s="28">
        <f t="array" ref="D442">_xlfn.XLOOKUP($A442, 'Medical Examinations'!$A:$A, 'Medical Examinations'!C:C, "No Data")</f>
        <v>5.71</v>
      </c>
      <c r="E442" s="28" t="str">
        <f t="array" ref="E442">_xlfn.XLOOKUP($A442, 'Medical Examinations'!$A:$A, 'Medical Examinations'!D:D, "No Data")</f>
        <v>yes</v>
      </c>
      <c r="F442" s="28" t="str">
        <f t="array" ref="F442">_xlfn.XLOOKUP($A442, 'Medical Examinations'!$A:$A, 'Medical Examinations'!E:E, "No Data")</f>
        <v>No</v>
      </c>
      <c r="G442" s="28" t="str">
        <f t="array" ref="G442">_xlfn.XLOOKUP($A442, 'Medical Examinations'!$A:$A, 'Medical Examinations'!F:F, "No Data")</f>
        <v>Yes</v>
      </c>
      <c r="H442" s="28">
        <f t="array" ref="H442">_xlfn.XLOOKUP($A442, 'Medical Examinations'!$A:$A, 'Medical Examinations'!G:G, "No Data")</f>
        <v>1</v>
      </c>
      <c r="I442" s="28" t="str">
        <f t="array" ref="I442">_xlfn.XLOOKUP($A442, 'Medical Examinations'!$A:$A, 'Medical Examinations'!H:H, "No Data")</f>
        <v>yes</v>
      </c>
      <c r="J442" s="28" t="str">
        <f t="array" ref="J442">_xlfn.XLOOKUP($A442, 'Medical Examinations'!$A:$A, 'Medical Examinations'!I:I, "No Data")</f>
        <v>Normal Weight</v>
      </c>
      <c r="K442" s="28" t="str">
        <f t="array" ref="K442">_xlfn.XLOOKUP($A442, 'Hospitalisation Details'!$A:$A, 'Hospitalisation Details'!I:I, "No Data")</f>
        <v>tier - 3</v>
      </c>
      <c r="L442" s="28" t="str">
        <f t="array" ref="L442">_xlfn.XLOOKUP($A442, 'Hospitalisation Details'!$A:$A, 'Hospitalisation Details'!J:J, "No Data")</f>
        <v>R1013</v>
      </c>
      <c r="M442" s="28" t="str">
        <f t="array" ref="M442">_xlfn.XLOOKUP($A442, 'Hospitalisation Details'!$A:$A, 'Hospitalisation Details'!E:E, "No Data")</f>
        <v>14/11/69</v>
      </c>
      <c r="N442" s="28">
        <f t="array" ref="N442">_xlfn.XLOOKUP($A442, 'Hospitalisation Details'!$A:$A, 'Hospitalisation Details'!K:K, "No Data")</f>
        <v>53</v>
      </c>
      <c r="O442" s="33">
        <f t="array" ref="O442">_xlfn.XLOOKUP($A442, 'Hospitalisation Details'!$A:$A, 'Hospitalisation Details'!G:G, "No Data")</f>
        <v>23244.79</v>
      </c>
      <c r="P442" s="28" t="str">
        <f t="array" ref="P442">_xlfn.XLOOKUP($A442, 'Hospitalisation Details'!$A:$A, 'Hospitalisation Details'!H:H, "No Data")</f>
        <v>tier - 2</v>
      </c>
    </row>
    <row r="443">
      <c r="A443" s="25" t="s">
        <v>1441</v>
      </c>
      <c r="B443" s="28" t="str">
        <f t="array" ref="B443">_xlfn.XLOOKUP($A443, 'Customer Names'!$A:$A, 'Customer Names'!B:B, "No Data")</f>
        <v>Speight</v>
      </c>
      <c r="C443" s="28">
        <f t="array" ref="C443">_xlfn.XLOOKUP($A443, 'Medical Examinations'!$A:$A, 'Medical Examinations'!B:B, "No Data")</f>
        <v>24.985</v>
      </c>
      <c r="D443" s="28">
        <f t="array" ref="D443">_xlfn.XLOOKUP($A443, 'Medical Examinations'!$A:$A, 'Medical Examinations'!C:C, "No Data")</f>
        <v>4.43</v>
      </c>
      <c r="E443" s="28" t="str">
        <f t="array" ref="E443">_xlfn.XLOOKUP($A443, 'Medical Examinations'!$A:$A, 'Medical Examinations'!D:D, "No Data")</f>
        <v>yes</v>
      </c>
      <c r="F443" s="28" t="str">
        <f t="array" ref="F443">_xlfn.XLOOKUP($A443, 'Medical Examinations'!$A:$A, 'Medical Examinations'!E:E, "No Data")</f>
        <v>No</v>
      </c>
      <c r="G443" s="28" t="str">
        <f t="array" ref="G443">_xlfn.XLOOKUP($A443, 'Medical Examinations'!$A:$A, 'Medical Examinations'!F:F, "No Data")</f>
        <v>Yes</v>
      </c>
      <c r="H443" s="28">
        <f t="array" ref="H443">_xlfn.XLOOKUP($A443, 'Medical Examinations'!$A:$A, 'Medical Examinations'!G:G, "No Data")</f>
        <v>1</v>
      </c>
      <c r="I443" s="28" t="str">
        <f t="array" ref="I443">_xlfn.XLOOKUP($A443, 'Medical Examinations'!$A:$A, 'Medical Examinations'!H:H, "No Data")</f>
        <v>No</v>
      </c>
      <c r="J443" s="28" t="str">
        <f t="array" ref="J443">_xlfn.XLOOKUP($A443, 'Medical Examinations'!$A:$A, 'Medical Examinations'!I:I, "No Data")</f>
        <v>Normal Weight</v>
      </c>
      <c r="K443" s="28" t="str">
        <f t="array" ref="K443">_xlfn.XLOOKUP($A443, 'Hospitalisation Details'!$A:$A, 'Hospitalisation Details'!I:I, "No Data")</f>
        <v>tier - 3</v>
      </c>
      <c r="L443" s="28" t="str">
        <f t="array" ref="L443">_xlfn.XLOOKUP($A443, 'Hospitalisation Details'!$A:$A, 'Hospitalisation Details'!J:J, "No Data")</f>
        <v>R1018</v>
      </c>
      <c r="M443" s="28" t="str">
        <f t="array" ref="M443">_xlfn.XLOOKUP($A443, 'Hospitalisation Details'!$A:$A, 'Hospitalisation Details'!E:E, "No Data")</f>
        <v>07/08/97</v>
      </c>
      <c r="N443" s="28">
        <f t="array" ref="N443">_xlfn.XLOOKUP($A443, 'Hospitalisation Details'!$A:$A, 'Hospitalisation Details'!K:K, "No Data")</f>
        <v>25</v>
      </c>
      <c r="O443" s="33">
        <f t="array" ref="O443">_xlfn.XLOOKUP($A443, 'Hospitalisation Details'!$A:$A, 'Hospitalisation Details'!G:G, "No Data")</f>
        <v>23241.47</v>
      </c>
      <c r="P443" s="28" t="str">
        <f t="array" ref="P443">_xlfn.XLOOKUP($A443, 'Hospitalisation Details'!$A:$A, 'Hospitalisation Details'!H:H, "No Data")</f>
        <v>tier - 2</v>
      </c>
    </row>
    <row r="444">
      <c r="A444" s="25" t="s">
        <v>1444</v>
      </c>
      <c r="B444" s="28" t="str">
        <f t="array" ref="B444">_xlfn.XLOOKUP($A444, 'Customer Names'!$A:$A, 'Customer Names'!B:B, "No Data")</f>
        <v>Lee</v>
      </c>
      <c r="C444" s="28">
        <f t="array" ref="C444">_xlfn.XLOOKUP($A444, 'Medical Examinations'!$A:$A, 'Medical Examinations'!B:B, "No Data")</f>
        <v>33.1</v>
      </c>
      <c r="D444" s="28">
        <f t="array" ref="D444">_xlfn.XLOOKUP($A444, 'Medical Examinations'!$A:$A, 'Medical Examinations'!C:C, "No Data")</f>
        <v>5.52</v>
      </c>
      <c r="E444" s="28" t="str">
        <f t="array" ref="E444">_xlfn.XLOOKUP($A444, 'Medical Examinations'!$A:$A, 'Medical Examinations'!D:D, "No Data")</f>
        <v>No</v>
      </c>
      <c r="F444" s="28" t="str">
        <f t="array" ref="F444">_xlfn.XLOOKUP($A444, 'Medical Examinations'!$A:$A, 'Medical Examinations'!E:E, "No Data")</f>
        <v>No</v>
      </c>
      <c r="G444" s="28" t="str">
        <f t="array" ref="G444">_xlfn.XLOOKUP($A444, 'Medical Examinations'!$A:$A, 'Medical Examinations'!F:F, "No Data")</f>
        <v>Yes</v>
      </c>
      <c r="H444" s="28">
        <f t="array" ref="H444">_xlfn.XLOOKUP($A444, 'Medical Examinations'!$A:$A, 'Medical Examinations'!G:G, "No Data")</f>
        <v>1</v>
      </c>
      <c r="I444" s="28" t="str">
        <f t="array" ref="I444">_xlfn.XLOOKUP($A444, 'Medical Examinations'!$A:$A, 'Medical Examinations'!H:H, "No Data")</f>
        <v>No</v>
      </c>
      <c r="J444" s="28" t="str">
        <f t="array" ref="J444">_xlfn.XLOOKUP($A444, 'Medical Examinations'!$A:$A, 'Medical Examinations'!I:I, "No Data")</f>
        <v>Obesity</v>
      </c>
      <c r="K444" s="28" t="str">
        <f t="array" ref="K444">_xlfn.XLOOKUP($A444, 'Hospitalisation Details'!$A:$A, 'Hospitalisation Details'!I:I, "No Data")</f>
        <v>tier - 2</v>
      </c>
      <c r="L444" s="28" t="str">
        <f t="array" ref="L444">_xlfn.XLOOKUP($A444, 'Hospitalisation Details'!$A:$A, 'Hospitalisation Details'!J:J, "No Data")</f>
        <v>R1011</v>
      </c>
      <c r="M444" s="28" t="str">
        <f t="array" ref="M444">_xlfn.XLOOKUP($A444, 'Hospitalisation Details'!$A:$A, 'Hospitalisation Details'!E:E, "No Data")</f>
        <v>14/12/03</v>
      </c>
      <c r="N444" s="28">
        <f t="array" ref="N444">_xlfn.XLOOKUP($A444, 'Hospitalisation Details'!$A:$A, 'Hospitalisation Details'!K:K, "No Data")</f>
        <v>19</v>
      </c>
      <c r="O444" s="33">
        <f t="array" ref="O444">_xlfn.XLOOKUP($A444, 'Hospitalisation Details'!$A:$A, 'Hospitalisation Details'!G:G, "No Data")</f>
        <v>23082.96</v>
      </c>
      <c r="P444" s="28" t="str">
        <f t="array" ref="P444">_xlfn.XLOOKUP($A444, 'Hospitalisation Details'!$A:$A, 'Hospitalisation Details'!H:H, "No Data")</f>
        <v>tier - 2</v>
      </c>
    </row>
    <row r="445">
      <c r="A445" s="25" t="s">
        <v>1447</v>
      </c>
      <c r="B445" s="28" t="str">
        <f t="array" ref="B445">_xlfn.XLOOKUP($A445, 'Customer Names'!$A:$A, 'Customer Names'!B:B, "No Data")</f>
        <v>Nielsen</v>
      </c>
      <c r="C445" s="28">
        <f t="array" ref="C445">_xlfn.XLOOKUP($A445, 'Medical Examinations'!$A:$A, 'Medical Examinations'!B:B, "No Data")</f>
        <v>27.83</v>
      </c>
      <c r="D445" s="28">
        <f t="array" ref="D445">_xlfn.XLOOKUP($A445, 'Medical Examinations'!$A:$A, 'Medical Examinations'!C:C, "No Data")</f>
        <v>9.2</v>
      </c>
      <c r="E445" s="28" t="str">
        <f t="array" ref="E445">_xlfn.XLOOKUP($A445, 'Medical Examinations'!$A:$A, 'Medical Examinations'!D:D, "No Data")</f>
        <v>yes</v>
      </c>
      <c r="F445" s="28" t="str">
        <f t="array" ref="F445">_xlfn.XLOOKUP($A445, 'Medical Examinations'!$A:$A, 'Medical Examinations'!E:E, "No Data")</f>
        <v>No</v>
      </c>
      <c r="G445" s="28" t="str">
        <f t="array" ref="G445">_xlfn.XLOOKUP($A445, 'Medical Examinations'!$A:$A, 'Medical Examinations'!F:F, "No Data")</f>
        <v>No</v>
      </c>
      <c r="H445" s="28">
        <f t="array" ref="H445">_xlfn.XLOOKUP($A445, 'Medical Examinations'!$A:$A, 'Medical Examinations'!G:G, "No Data")</f>
        <v>1</v>
      </c>
      <c r="I445" s="28" t="str">
        <f t="array" ref="I445">_xlfn.XLOOKUP($A445, 'Medical Examinations'!$A:$A, 'Medical Examinations'!H:H, "No Data")</f>
        <v>yes</v>
      </c>
      <c r="J445" s="28" t="str">
        <f t="array" ref="J445">_xlfn.XLOOKUP($A445, 'Medical Examinations'!$A:$A, 'Medical Examinations'!I:I, "No Data")</f>
        <v>Overweight</v>
      </c>
      <c r="K445" s="28" t="str">
        <f t="array" ref="K445">_xlfn.XLOOKUP($A445, 'Hospitalisation Details'!$A:$A, 'Hospitalisation Details'!I:I, "No Data")</f>
        <v>tier - 2</v>
      </c>
      <c r="L445" s="28" t="str">
        <f t="array" ref="L445">_xlfn.XLOOKUP($A445, 'Hospitalisation Details'!$A:$A, 'Hospitalisation Details'!J:J, "No Data")</f>
        <v>R1013</v>
      </c>
      <c r="M445" s="28" t="str">
        <f t="array" ref="M445">_xlfn.XLOOKUP($A445, 'Hospitalisation Details'!$A:$A, 'Hospitalisation Details'!E:E, "No Data")</f>
        <v>09/09/75</v>
      </c>
      <c r="N445" s="28">
        <f t="array" ref="N445">_xlfn.XLOOKUP($A445, 'Hospitalisation Details'!$A:$A, 'Hospitalisation Details'!K:K, "No Data")</f>
        <v>47</v>
      </c>
      <c r="O445" s="33">
        <f t="array" ref="O445">_xlfn.XLOOKUP($A445, 'Hospitalisation Details'!$A:$A, 'Hospitalisation Details'!G:G, "No Data")</f>
        <v>23065.42</v>
      </c>
      <c r="P445" s="28" t="str">
        <f t="array" ref="P445">_xlfn.XLOOKUP($A445, 'Hospitalisation Details'!$A:$A, 'Hospitalisation Details'!H:H, "No Data")</f>
        <v>tier - 2</v>
      </c>
    </row>
    <row r="446">
      <c r="A446" s="25" t="s">
        <v>1451</v>
      </c>
      <c r="B446" s="28" t="str">
        <f t="array" ref="B446">_xlfn.XLOOKUP($A446, 'Customer Names'!$A:$A, 'Customer Names'!B:B, "No Data")</f>
        <v>Zirdok</v>
      </c>
      <c r="C446" s="28">
        <f t="array" ref="C446">_xlfn.XLOOKUP($A446, 'Medical Examinations'!$A:$A, 'Medical Examinations'!B:B, "No Data")</f>
        <v>30.875</v>
      </c>
      <c r="D446" s="28">
        <f t="array" ref="D446">_xlfn.XLOOKUP($A446, 'Medical Examinations'!$A:$A, 'Medical Examinations'!C:C, "No Data")</f>
        <v>10.97</v>
      </c>
      <c r="E446" s="28" t="str">
        <f t="array" ref="E446">_xlfn.XLOOKUP($A446, 'Medical Examinations'!$A:$A, 'Medical Examinations'!D:D, "No Data")</f>
        <v>yes</v>
      </c>
      <c r="F446" s="28" t="str">
        <f t="array" ref="F446">_xlfn.XLOOKUP($A446, 'Medical Examinations'!$A:$A, 'Medical Examinations'!E:E, "No Data")</f>
        <v>No</v>
      </c>
      <c r="G446" s="28" t="str">
        <f t="array" ref="G446">_xlfn.XLOOKUP($A446, 'Medical Examinations'!$A:$A, 'Medical Examinations'!F:F, "No Data")</f>
        <v>No</v>
      </c>
      <c r="H446" s="28">
        <f t="array" ref="H446">_xlfn.XLOOKUP($A446, 'Medical Examinations'!$A:$A, 'Medical Examinations'!G:G, "No Data")</f>
        <v>2</v>
      </c>
      <c r="I446" s="28" t="str">
        <f t="array" ref="I446">_xlfn.XLOOKUP($A446, 'Medical Examinations'!$A:$A, 'Medical Examinations'!H:H, "No Data")</f>
        <v>No</v>
      </c>
      <c r="J446" s="28" t="str">
        <f t="array" ref="J446">_xlfn.XLOOKUP($A446, 'Medical Examinations'!$A:$A, 'Medical Examinations'!I:I, "No Data")</f>
        <v>Obesity</v>
      </c>
      <c r="K446" s="28" t="str">
        <f t="array" ref="K446">_xlfn.XLOOKUP($A446, 'Hospitalisation Details'!$A:$A, 'Hospitalisation Details'!I:I, "No Data")</f>
        <v>tier - 2</v>
      </c>
      <c r="L446" s="28" t="str">
        <f t="array" ref="L446">_xlfn.XLOOKUP($A446, 'Hospitalisation Details'!$A:$A, 'Hospitalisation Details'!J:J, "No Data")</f>
        <v>R1024</v>
      </c>
      <c r="M446" s="28" t="str">
        <f t="array" ref="M446">_xlfn.XLOOKUP($A446, 'Hospitalisation Details'!$A:$A, 'Hospitalisation Details'!E:E, "No Data")</f>
        <v>09/11/70</v>
      </c>
      <c r="N446" s="28">
        <f t="array" ref="N446">_xlfn.XLOOKUP($A446, 'Hospitalisation Details'!$A:$A, 'Hospitalisation Details'!K:K, "No Data")</f>
        <v>52</v>
      </c>
      <c r="O446" s="33">
        <f t="array" ref="O446">_xlfn.XLOOKUP($A446, 'Hospitalisation Details'!$A:$A, 'Hospitalisation Details'!G:G, "No Data")</f>
        <v>23045.57</v>
      </c>
      <c r="P446" s="28" t="str">
        <f t="array" ref="P446">_xlfn.XLOOKUP($A446, 'Hospitalisation Details'!$A:$A, 'Hospitalisation Details'!H:H, "No Data")</f>
        <v>tier - 2</v>
      </c>
    </row>
    <row r="447">
      <c r="A447" s="25" t="s">
        <v>1455</v>
      </c>
      <c r="B447" s="28" t="str">
        <f t="array" ref="B447">_xlfn.XLOOKUP($A447, 'Customer Names'!$A:$A, 'Customer Names'!B:B, "No Data")</f>
        <v>Crudale</v>
      </c>
      <c r="C447" s="28">
        <f t="array" ref="C447">_xlfn.XLOOKUP($A447, 'Medical Examinations'!$A:$A, 'Medical Examinations'!B:B, "No Data")</f>
        <v>27.265</v>
      </c>
      <c r="D447" s="28">
        <f t="array" ref="D447">_xlfn.XLOOKUP($A447, 'Medical Examinations'!$A:$A, 'Medical Examinations'!C:C, "No Data")</f>
        <v>4.25</v>
      </c>
      <c r="E447" s="28" t="str">
        <f t="array" ref="E447">_xlfn.XLOOKUP($A447, 'Medical Examinations'!$A:$A, 'Medical Examinations'!D:D, "No Data")</f>
        <v>No</v>
      </c>
      <c r="F447" s="28" t="str">
        <f t="array" ref="F447">_xlfn.XLOOKUP($A447, 'Medical Examinations'!$A:$A, 'Medical Examinations'!E:E, "No Data")</f>
        <v>No</v>
      </c>
      <c r="G447" s="28" t="str">
        <f t="array" ref="G447">_xlfn.XLOOKUP($A447, 'Medical Examinations'!$A:$A, 'Medical Examinations'!F:F, "No Data")</f>
        <v>Yes</v>
      </c>
      <c r="H447" s="28">
        <f t="array" ref="H447">_xlfn.XLOOKUP($A447, 'Medical Examinations'!$A:$A, 'Medical Examinations'!G:G, "No Data")</f>
        <v>1</v>
      </c>
      <c r="I447" s="28" t="str">
        <f t="array" ref="I447">_xlfn.XLOOKUP($A447, 'Medical Examinations'!$A:$A, 'Medical Examinations'!H:H, "No Data")</f>
        <v>No</v>
      </c>
      <c r="J447" s="28" t="str">
        <f t="array" ref="J447">_xlfn.XLOOKUP($A447, 'Medical Examinations'!$A:$A, 'Medical Examinations'!I:I, "No Data")</f>
        <v>Overweight</v>
      </c>
      <c r="K447" s="28" t="str">
        <f t="array" ref="K447">_xlfn.XLOOKUP($A447, 'Hospitalisation Details'!$A:$A, 'Hospitalisation Details'!I:I, "No Data")</f>
        <v>tier - 1</v>
      </c>
      <c r="L447" s="28" t="str">
        <f t="array" ref="L447">_xlfn.XLOOKUP($A447, 'Hospitalisation Details'!$A:$A, 'Hospitalisation Details'!J:J, "No Data")</f>
        <v>R1012</v>
      </c>
      <c r="M447" s="28" t="str">
        <f t="array" ref="M447">_xlfn.XLOOKUP($A447, 'Hospitalisation Details'!$A:$A, 'Hospitalisation Details'!E:E, "No Data")</f>
        <v>25/07/03</v>
      </c>
      <c r="N447" s="28">
        <f t="array" ref="N447">_xlfn.XLOOKUP($A447, 'Hospitalisation Details'!$A:$A, 'Hospitalisation Details'!K:K, "No Data")</f>
        <v>19</v>
      </c>
      <c r="O447" s="33">
        <f t="array" ref="O447">_xlfn.XLOOKUP($A447, 'Hospitalisation Details'!$A:$A, 'Hospitalisation Details'!G:G, "No Data")</f>
        <v>22493.66</v>
      </c>
      <c r="P447" s="28" t="str">
        <f t="array" ref="P447">_xlfn.XLOOKUP($A447, 'Hospitalisation Details'!$A:$A, 'Hospitalisation Details'!H:H, "No Data")</f>
        <v>tier - 2</v>
      </c>
    </row>
    <row r="448">
      <c r="A448" s="25" t="s">
        <v>1457</v>
      </c>
      <c r="B448" s="28" t="str">
        <f t="array" ref="B448">_xlfn.XLOOKUP($A448, 'Customer Names'!$A:$A, 'Customer Names'!B:B, "No Data")</f>
        <v>Koopmans</v>
      </c>
      <c r="C448" s="28">
        <f t="array" ref="C448">_xlfn.XLOOKUP($A448, 'Medical Examinations'!$A:$A, 'Medical Examinations'!B:B, "No Data")</f>
        <v>26.7</v>
      </c>
      <c r="D448" s="28">
        <f t="array" ref="D448">_xlfn.XLOOKUP($A448, 'Medical Examinations'!$A:$A, 'Medical Examinations'!C:C, "No Data")</f>
        <v>5.23</v>
      </c>
      <c r="E448" s="28" t="str">
        <f t="array" ref="E448">_xlfn.XLOOKUP($A448, 'Medical Examinations'!$A:$A, 'Medical Examinations'!D:D, "No Data")</f>
        <v>No</v>
      </c>
      <c r="F448" s="28" t="str">
        <f t="array" ref="F448">_xlfn.XLOOKUP($A448, 'Medical Examinations'!$A:$A, 'Medical Examinations'!E:E, "No Data")</f>
        <v>No</v>
      </c>
      <c r="G448" s="28" t="str">
        <f t="array" ref="G448">_xlfn.XLOOKUP($A448, 'Medical Examinations'!$A:$A, 'Medical Examinations'!F:F, "No Data")</f>
        <v>Yes</v>
      </c>
      <c r="H448" s="28">
        <f t="array" ref="H448">_xlfn.XLOOKUP($A448, 'Medical Examinations'!$A:$A, 'Medical Examinations'!G:G, "No Data")</f>
        <v>1</v>
      </c>
      <c r="I448" s="28" t="str">
        <f t="array" ref="I448">_xlfn.XLOOKUP($A448, 'Medical Examinations'!$A:$A, 'Medical Examinations'!H:H, "No Data")</f>
        <v>yes</v>
      </c>
      <c r="J448" s="28" t="str">
        <f t="array" ref="J448">_xlfn.XLOOKUP($A448, 'Medical Examinations'!$A:$A, 'Medical Examinations'!I:I, "No Data")</f>
        <v>Overweight</v>
      </c>
      <c r="K448" s="28" t="str">
        <f t="array" ref="K448">_xlfn.XLOOKUP($A448, 'Hospitalisation Details'!$A:$A, 'Hospitalisation Details'!I:I, "No Data")</f>
        <v>tier - 2</v>
      </c>
      <c r="L448" s="28" t="str">
        <f t="array" ref="L448">_xlfn.XLOOKUP($A448, 'Hospitalisation Details'!$A:$A, 'Hospitalisation Details'!J:J, "No Data")</f>
        <v>R1011</v>
      </c>
      <c r="M448" s="28" t="str">
        <f t="array" ref="M448">_xlfn.XLOOKUP($A448, 'Hospitalisation Details'!$A:$A, 'Hospitalisation Details'!E:E, "No Data")</f>
        <v>14/11/79</v>
      </c>
      <c r="N448" s="28">
        <f t="array" ref="N448">_xlfn.XLOOKUP($A448, 'Hospitalisation Details'!$A:$A, 'Hospitalisation Details'!K:K, "No Data")</f>
        <v>43</v>
      </c>
      <c r="O448" s="33">
        <f t="array" ref="O448">_xlfn.XLOOKUP($A448, 'Hospitalisation Details'!$A:$A, 'Hospitalisation Details'!G:G, "No Data")</f>
        <v>22478.6</v>
      </c>
      <c r="P448" s="28" t="str">
        <f t="array" ref="P448">_xlfn.XLOOKUP($A448, 'Hospitalisation Details'!$A:$A, 'Hospitalisation Details'!H:H, "No Data")</f>
        <v>tier - 3</v>
      </c>
    </row>
    <row r="449">
      <c r="A449" s="25" t="s">
        <v>1461</v>
      </c>
      <c r="B449" s="28" t="str">
        <f t="array" ref="B449">_xlfn.XLOOKUP($A449, 'Customer Names'!$A:$A, 'Customer Names'!B:B, "No Data")</f>
        <v>Milani</v>
      </c>
      <c r="C449" s="28">
        <f t="array" ref="C449">_xlfn.XLOOKUP($A449, 'Medical Examinations'!$A:$A, 'Medical Examinations'!B:B, "No Data")</f>
        <v>29.925</v>
      </c>
      <c r="D449" s="28">
        <f t="array" ref="D449">_xlfn.XLOOKUP($A449, 'Medical Examinations'!$A:$A, 'Medical Examinations'!C:C, "No Data")</f>
        <v>5.96</v>
      </c>
      <c r="E449" s="28" t="str">
        <f t="array" ref="E449">_xlfn.XLOOKUP($A449, 'Medical Examinations'!$A:$A, 'Medical Examinations'!D:D, "No Data")</f>
        <v>yes</v>
      </c>
      <c r="F449" s="28" t="str">
        <f t="array" ref="F449">_xlfn.XLOOKUP($A449, 'Medical Examinations'!$A:$A, 'Medical Examinations'!E:E, "No Data")</f>
        <v>No</v>
      </c>
      <c r="G449" s="28" t="str">
        <f t="array" ref="G449">_xlfn.XLOOKUP($A449, 'Medical Examinations'!$A:$A, 'Medical Examinations'!F:F, "No Data")</f>
        <v>Yes</v>
      </c>
      <c r="H449" s="28">
        <f t="array" ref="H449">_xlfn.XLOOKUP($A449, 'Medical Examinations'!$A:$A, 'Medical Examinations'!G:G, "No Data")</f>
        <v>1</v>
      </c>
      <c r="I449" s="28" t="str">
        <f t="array" ref="I449">_xlfn.XLOOKUP($A449, 'Medical Examinations'!$A:$A, 'Medical Examinations'!H:H, "No Data")</f>
        <v>yes</v>
      </c>
      <c r="J449" s="28" t="str">
        <f t="array" ref="J449">_xlfn.XLOOKUP($A449, 'Medical Examinations'!$A:$A, 'Medical Examinations'!I:I, "No Data")</f>
        <v>Overweight</v>
      </c>
      <c r="K449" s="28" t="str">
        <f t="array" ref="K449">_xlfn.XLOOKUP($A449, 'Hospitalisation Details'!$A:$A, 'Hospitalisation Details'!I:I, "No Data")</f>
        <v>tier - 1</v>
      </c>
      <c r="L449" s="28" t="str">
        <f t="array" ref="L449">_xlfn.XLOOKUP($A449, 'Hospitalisation Details'!$A:$A, 'Hospitalisation Details'!J:J, "No Data")</f>
        <v>R1019</v>
      </c>
      <c r="M449" s="28" t="str">
        <f t="array" ref="M449">_xlfn.XLOOKUP($A449, 'Hospitalisation Details'!$A:$A, 'Hospitalisation Details'!E:E, "No Data")</f>
        <v>21/12/83</v>
      </c>
      <c r="N449" s="28">
        <f t="array" ref="N449">_xlfn.XLOOKUP($A449, 'Hospitalisation Details'!$A:$A, 'Hospitalisation Details'!K:K, "No Data")</f>
        <v>39</v>
      </c>
      <c r="O449" s="33">
        <f t="array" ref="O449">_xlfn.XLOOKUP($A449, 'Hospitalisation Details'!$A:$A, 'Hospitalisation Details'!G:G, "No Data")</f>
        <v>22462.04</v>
      </c>
      <c r="P449" s="28" t="str">
        <f t="array" ref="P449">_xlfn.XLOOKUP($A449, 'Hospitalisation Details'!$A:$A, 'Hospitalisation Details'!H:H, "No Data")</f>
        <v>tier - 3</v>
      </c>
    </row>
    <row r="450">
      <c r="A450" s="25" t="s">
        <v>1465</v>
      </c>
      <c r="B450" s="28" t="str">
        <f t="array" ref="B450">_xlfn.XLOOKUP($A450, 'Customer Names'!$A:$A, 'Customer Names'!B:B, "No Data")</f>
        <v>Kelly</v>
      </c>
      <c r="C450" s="28">
        <f t="array" ref="C450">_xlfn.XLOOKUP($A450, 'Medical Examinations'!$A:$A, 'Medical Examinations'!B:B, "No Data")</f>
        <v>19.95</v>
      </c>
      <c r="D450" s="28">
        <f t="array" ref="D450">_xlfn.XLOOKUP($A450, 'Medical Examinations'!$A:$A, 'Medical Examinations'!C:C, "No Data")</f>
        <v>4.29</v>
      </c>
      <c r="E450" s="28" t="str">
        <f t="array" ref="E450">_xlfn.XLOOKUP($A450, 'Medical Examinations'!$A:$A, 'Medical Examinations'!D:D, "No Data")</f>
        <v>yes</v>
      </c>
      <c r="F450" s="28" t="str">
        <f t="array" ref="F450">_xlfn.XLOOKUP($A450, 'Medical Examinations'!$A:$A, 'Medical Examinations'!E:E, "No Data")</f>
        <v>No</v>
      </c>
      <c r="G450" s="28" t="str">
        <f t="array" ref="G450">_xlfn.XLOOKUP($A450, 'Medical Examinations'!$A:$A, 'Medical Examinations'!F:F, "No Data")</f>
        <v>No</v>
      </c>
      <c r="H450" s="28">
        <f t="array" ref="H450">_xlfn.XLOOKUP($A450, 'Medical Examinations'!$A:$A, 'Medical Examinations'!G:G, "No Data")</f>
        <v>2</v>
      </c>
      <c r="I450" s="28" t="str">
        <f t="array" ref="I450">_xlfn.XLOOKUP($A450, 'Medical Examinations'!$A:$A, 'Medical Examinations'!H:H, "No Data")</f>
        <v>yes</v>
      </c>
      <c r="J450" s="28" t="str">
        <f t="array" ref="J450">_xlfn.XLOOKUP($A450, 'Medical Examinations'!$A:$A, 'Medical Examinations'!I:I, "No Data")</f>
        <v>Normal Weight</v>
      </c>
      <c r="K450" s="28" t="str">
        <f t="array" ref="K450">_xlfn.XLOOKUP($A450, 'Hospitalisation Details'!$A:$A, 'Hospitalisation Details'!I:I, "No Data")</f>
        <v>tier - 3</v>
      </c>
      <c r="L450" s="28" t="str">
        <f t="array" ref="L450">_xlfn.XLOOKUP($A450, 'Hospitalisation Details'!$A:$A, 'Hospitalisation Details'!J:J, "No Data")</f>
        <v>R1014</v>
      </c>
      <c r="M450" s="28" t="str">
        <f t="array" ref="M450">_xlfn.XLOOKUP($A450, 'Hospitalisation Details'!$A:$A, 'Hospitalisation Details'!E:E, "No Data")</f>
        <v>18/08/66</v>
      </c>
      <c r="N450" s="28">
        <f t="array" ref="N450">_xlfn.XLOOKUP($A450, 'Hospitalisation Details'!$A:$A, 'Hospitalisation Details'!K:K, "No Data")</f>
        <v>56</v>
      </c>
      <c r="O450" s="33">
        <f t="array" ref="O450">_xlfn.XLOOKUP($A450, 'Hospitalisation Details'!$A:$A, 'Hospitalisation Details'!G:G, "No Data")</f>
        <v>22412.65</v>
      </c>
      <c r="P450" s="28" t="str">
        <f t="array" ref="P450">_xlfn.XLOOKUP($A450, 'Hospitalisation Details'!$A:$A, 'Hospitalisation Details'!H:H, "No Data")</f>
        <v>tier - 3</v>
      </c>
    </row>
    <row r="451">
      <c r="A451" s="25" t="s">
        <v>1467</v>
      </c>
      <c r="B451" s="28" t="str">
        <f t="array" ref="B451">_xlfn.XLOOKUP($A451, 'Customer Names'!$A:$A, 'Customer Names'!B:B, "No Data")</f>
        <v>Finelli</v>
      </c>
      <c r="C451" s="28">
        <f t="array" ref="C451">_xlfn.XLOOKUP($A451, 'Medical Examinations'!$A:$A, 'Medical Examinations'!B:B, "No Data")</f>
        <v>24.225</v>
      </c>
      <c r="D451" s="28">
        <f t="array" ref="D451">_xlfn.XLOOKUP($A451, 'Medical Examinations'!$A:$A, 'Medical Examinations'!C:C, "No Data")</f>
        <v>4.09</v>
      </c>
      <c r="E451" s="28" t="str">
        <f t="array" ref="E451">_xlfn.XLOOKUP($A451, 'Medical Examinations'!$A:$A, 'Medical Examinations'!D:D, "No Data")</f>
        <v>No</v>
      </c>
      <c r="F451" s="28" t="str">
        <f t="array" ref="F451">_xlfn.XLOOKUP($A451, 'Medical Examinations'!$A:$A, 'Medical Examinations'!E:E, "No Data")</f>
        <v>No</v>
      </c>
      <c r="G451" s="28" t="str">
        <f t="array" ref="G451">_xlfn.XLOOKUP($A451, 'Medical Examinations'!$A:$A, 'Medical Examinations'!F:F, "No Data")</f>
        <v>No</v>
      </c>
      <c r="H451" s="28">
        <f t="array" ref="H451">_xlfn.XLOOKUP($A451, 'Medical Examinations'!$A:$A, 'Medical Examinations'!G:G, "No Data")</f>
        <v>0</v>
      </c>
      <c r="I451" s="28" t="str">
        <f t="array" ref="I451">_xlfn.XLOOKUP($A451, 'Medical Examinations'!$A:$A, 'Medical Examinations'!H:H, "No Data")</f>
        <v>No</v>
      </c>
      <c r="J451" s="28" t="str">
        <f t="array" ref="J451">_xlfn.XLOOKUP($A451, 'Medical Examinations'!$A:$A, 'Medical Examinations'!I:I, "No Data")</f>
        <v>Normal Weight</v>
      </c>
      <c r="K451" s="28" t="str">
        <f t="array" ref="K451">_xlfn.XLOOKUP($A451, 'Hospitalisation Details'!$A:$A, 'Hospitalisation Details'!I:I, "No Data")</f>
        <v>tier - 2</v>
      </c>
      <c r="L451" s="28" t="str">
        <f t="array" ref="L451">_xlfn.XLOOKUP($A451, 'Hospitalisation Details'!$A:$A, 'Hospitalisation Details'!J:J, "No Data")</f>
        <v>R1024</v>
      </c>
      <c r="M451" s="28" t="str">
        <f t="array" ref="M451">_xlfn.XLOOKUP($A451, 'Hospitalisation Details'!$A:$A, 'Hospitalisation Details'!E:E, "No Data")</f>
        <v>26/08/99</v>
      </c>
      <c r="N451" s="28">
        <f t="array" ref="N451">_xlfn.XLOOKUP($A451, 'Hospitalisation Details'!$A:$A, 'Hospitalisation Details'!K:K, "No Data")</f>
        <v>23</v>
      </c>
      <c r="O451" s="33">
        <f t="array" ref="O451">_xlfn.XLOOKUP($A451, 'Hospitalisation Details'!$A:$A, 'Hospitalisation Details'!G:G, "No Data")</f>
        <v>22395.74</v>
      </c>
      <c r="P451" s="28" t="str">
        <f t="array" ref="P451">_xlfn.XLOOKUP($A451, 'Hospitalisation Details'!$A:$A, 'Hospitalisation Details'!H:H, "No Data")</f>
        <v>tier - 3</v>
      </c>
    </row>
    <row r="452">
      <c r="A452" s="25" t="s">
        <v>1470</v>
      </c>
      <c r="B452" s="28" t="str">
        <f t="array" ref="B452">_xlfn.XLOOKUP($A452, 'Customer Names'!$A:$A, 'Customer Names'!B:B, "No Data")</f>
        <v>Palmer</v>
      </c>
      <c r="C452" s="28">
        <f t="array" ref="C452">_xlfn.XLOOKUP($A452, 'Medical Examinations'!$A:$A, 'Medical Examinations'!B:B, "No Data")</f>
        <v>28.12</v>
      </c>
      <c r="D452" s="28">
        <f t="array" ref="D452">_xlfn.XLOOKUP($A452, 'Medical Examinations'!$A:$A, 'Medical Examinations'!C:C, "No Data")</f>
        <v>4.88</v>
      </c>
      <c r="E452" s="28" t="str">
        <f t="array" ref="E452">_xlfn.XLOOKUP($A452, 'Medical Examinations'!$A:$A, 'Medical Examinations'!D:D, "No Data")</f>
        <v>No</v>
      </c>
      <c r="F452" s="28" t="str">
        <f t="array" ref="F452">_xlfn.XLOOKUP($A452, 'Medical Examinations'!$A:$A, 'Medical Examinations'!E:E, "No Data")</f>
        <v>No</v>
      </c>
      <c r="G452" s="28" t="str">
        <f t="array" ref="G452">_xlfn.XLOOKUP($A452, 'Medical Examinations'!$A:$A, 'Medical Examinations'!F:F, "No Data")</f>
        <v>No</v>
      </c>
      <c r="H452" s="28">
        <f t="array" ref="H452">_xlfn.XLOOKUP($A452, 'Medical Examinations'!$A:$A, 'Medical Examinations'!G:G, "No Data")</f>
        <v>0</v>
      </c>
      <c r="I452" s="28" t="str">
        <f t="array" ref="I452">_xlfn.XLOOKUP($A452, 'Medical Examinations'!$A:$A, 'Medical Examinations'!H:H, "No Data")</f>
        <v>yes</v>
      </c>
      <c r="J452" s="28" t="str">
        <f t="array" ref="J452">_xlfn.XLOOKUP($A452, 'Medical Examinations'!$A:$A, 'Medical Examinations'!I:I, "No Data")</f>
        <v>Overweight</v>
      </c>
      <c r="K452" s="28" t="str">
        <f t="array" ref="K452">_xlfn.XLOOKUP($A452, 'Hospitalisation Details'!$A:$A, 'Hospitalisation Details'!I:I, "No Data")</f>
        <v>tier - 3</v>
      </c>
      <c r="L452" s="28" t="str">
        <f t="array" ref="L452">_xlfn.XLOOKUP($A452, 'Hospitalisation Details'!$A:$A, 'Hospitalisation Details'!J:J, "No Data")</f>
        <v>R1024</v>
      </c>
      <c r="M452" s="28" t="str">
        <f t="array" ref="M452">_xlfn.XLOOKUP($A452, 'Hospitalisation Details'!$A:$A, 'Hospitalisation Details'!E:E, "No Data")</f>
        <v>27/12/82</v>
      </c>
      <c r="N452" s="28">
        <f t="array" ref="N452">_xlfn.XLOOKUP($A452, 'Hospitalisation Details'!$A:$A, 'Hospitalisation Details'!K:K, "No Data")</f>
        <v>40</v>
      </c>
      <c r="O452" s="33">
        <f t="array" ref="O452">_xlfn.XLOOKUP($A452, 'Hospitalisation Details'!$A:$A, 'Hospitalisation Details'!G:G, "No Data")</f>
        <v>22331.57</v>
      </c>
      <c r="P452" s="28" t="str">
        <f t="array" ref="P452">_xlfn.XLOOKUP($A452, 'Hospitalisation Details'!$A:$A, 'Hospitalisation Details'!H:H, "No Data")</f>
        <v>tier - 2</v>
      </c>
    </row>
    <row r="453">
      <c r="A453" s="25" t="s">
        <v>1473</v>
      </c>
      <c r="B453" s="28" t="str">
        <f t="array" ref="B453">_xlfn.XLOOKUP($A453, 'Customer Names'!$A:$A, 'Customer Names'!B:B, "No Data")</f>
        <v>Wang</v>
      </c>
      <c r="C453" s="28">
        <f t="array" ref="C453">_xlfn.XLOOKUP($A453, 'Medical Examinations'!$A:$A, 'Medical Examinations'!B:B, "No Data")</f>
        <v>23.21</v>
      </c>
      <c r="D453" s="28">
        <f t="array" ref="D453">_xlfn.XLOOKUP($A453, 'Medical Examinations'!$A:$A, 'Medical Examinations'!C:C, "No Data")</f>
        <v>6.76</v>
      </c>
      <c r="E453" s="28" t="str">
        <f t="array" ref="E453">_xlfn.XLOOKUP($A453, 'Medical Examinations'!$A:$A, 'Medical Examinations'!D:D, "No Data")</f>
        <v>No</v>
      </c>
      <c r="F453" s="28" t="str">
        <f t="array" ref="F453">_xlfn.XLOOKUP($A453, 'Medical Examinations'!$A:$A, 'Medical Examinations'!E:E, "No Data")</f>
        <v>No</v>
      </c>
      <c r="G453" s="28" t="str">
        <f t="array" ref="G453">_xlfn.XLOOKUP($A453, 'Medical Examinations'!$A:$A, 'Medical Examinations'!F:F, "No Data")</f>
        <v>No</v>
      </c>
      <c r="H453" s="28">
        <f t="array" ref="H453">_xlfn.XLOOKUP($A453, 'Medical Examinations'!$A:$A, 'Medical Examinations'!G:G, "No Data")</f>
        <v>0</v>
      </c>
      <c r="I453" s="28" t="str">
        <f t="array" ref="I453">_xlfn.XLOOKUP($A453, 'Medical Examinations'!$A:$A, 'Medical Examinations'!H:H, "No Data")</f>
        <v>yes</v>
      </c>
      <c r="J453" s="28" t="str">
        <f t="array" ref="J453">_xlfn.XLOOKUP($A453, 'Medical Examinations'!$A:$A, 'Medical Examinations'!I:I, "No Data")</f>
        <v>Normal Weight</v>
      </c>
      <c r="K453" s="28" t="str">
        <f t="array" ref="K453">_xlfn.XLOOKUP($A453, 'Hospitalisation Details'!$A:$A, 'Hospitalisation Details'!I:I, "No Data")</f>
        <v>tier - 3</v>
      </c>
      <c r="L453" s="28" t="str">
        <f t="array" ref="L453">_xlfn.XLOOKUP($A453, 'Hospitalisation Details'!$A:$A, 'Hospitalisation Details'!J:J, "No Data")</f>
        <v>R1013</v>
      </c>
      <c r="M453" s="28" t="str">
        <f t="array" ref="M453">_xlfn.XLOOKUP($A453, 'Hospitalisation Details'!$A:$A, 'Hospitalisation Details'!E:E, "No Data")</f>
        <v>16/06/71</v>
      </c>
      <c r="N453" s="28">
        <f t="array" ref="N453">_xlfn.XLOOKUP($A453, 'Hospitalisation Details'!$A:$A, 'Hospitalisation Details'!K:K, "No Data")</f>
        <v>51</v>
      </c>
      <c r="O453" s="33">
        <f t="array" ref="O453">_xlfn.XLOOKUP($A453, 'Hospitalisation Details'!$A:$A, 'Hospitalisation Details'!G:G, "No Data")</f>
        <v>22218.11</v>
      </c>
      <c r="P453" s="28" t="str">
        <f t="array" ref="P453">_xlfn.XLOOKUP($A453, 'Hospitalisation Details'!$A:$A, 'Hospitalisation Details'!H:H, "No Data")</f>
        <v>tier - 2</v>
      </c>
    </row>
    <row r="454">
      <c r="A454" s="25" t="s">
        <v>1476</v>
      </c>
      <c r="B454" s="28" t="str">
        <f t="array" ref="B454">_xlfn.XLOOKUP($A454, 'Customer Names'!$A:$A, 'Customer Names'!B:B, "No Data")</f>
        <v>Beasley</v>
      </c>
      <c r="C454" s="28">
        <f t="array" ref="C454">_xlfn.XLOOKUP($A454, 'Medical Examinations'!$A:$A, 'Medical Examinations'!B:B, "No Data")</f>
        <v>23.98</v>
      </c>
      <c r="D454" s="28">
        <f t="array" ref="D454">_xlfn.XLOOKUP($A454, 'Medical Examinations'!$A:$A, 'Medical Examinations'!C:C, "No Data")</f>
        <v>10.67</v>
      </c>
      <c r="E454" s="28" t="str">
        <f t="array" ref="E454">_xlfn.XLOOKUP($A454, 'Medical Examinations'!$A:$A, 'Medical Examinations'!D:D, "No Data")</f>
        <v>No</v>
      </c>
      <c r="F454" s="28" t="str">
        <f t="array" ref="F454">_xlfn.XLOOKUP($A454, 'Medical Examinations'!$A:$A, 'Medical Examinations'!E:E, "No Data")</f>
        <v>No</v>
      </c>
      <c r="G454" s="28" t="str">
        <f t="array" ref="G454">_xlfn.XLOOKUP($A454, 'Medical Examinations'!$A:$A, 'Medical Examinations'!F:F, "No Data")</f>
        <v>No</v>
      </c>
      <c r="H454" s="28">
        <f t="array" ref="H454">_xlfn.XLOOKUP($A454, 'Medical Examinations'!$A:$A, 'Medical Examinations'!G:G, "No Data")</f>
        <v>0</v>
      </c>
      <c r="I454" s="28" t="str">
        <f t="array" ref="I454">_xlfn.XLOOKUP($A454, 'Medical Examinations'!$A:$A, 'Medical Examinations'!H:H, "No Data")</f>
        <v>No</v>
      </c>
      <c r="J454" s="28" t="str">
        <f t="array" ref="J454">_xlfn.XLOOKUP($A454, 'Medical Examinations'!$A:$A, 'Medical Examinations'!I:I, "No Data")</f>
        <v>Normal Weight</v>
      </c>
      <c r="K454" s="28" t="str">
        <f t="array" ref="K454">_xlfn.XLOOKUP($A454, 'Hospitalisation Details'!$A:$A, 'Hospitalisation Details'!I:I, "No Data")</f>
        <v>tier - 1</v>
      </c>
      <c r="L454" s="28" t="str">
        <f t="array" ref="L454">_xlfn.XLOOKUP($A454, 'Hospitalisation Details'!$A:$A, 'Hospitalisation Details'!J:J, "No Data")</f>
        <v>R1013</v>
      </c>
      <c r="M454" s="28" t="str">
        <f t="array" ref="M454">_xlfn.XLOOKUP($A454, 'Hospitalisation Details'!$A:$A, 'Hospitalisation Details'!E:E, "No Data")</f>
        <v>24/08/65</v>
      </c>
      <c r="N454" s="28">
        <f t="array" ref="N454">_xlfn.XLOOKUP($A454, 'Hospitalisation Details'!$A:$A, 'Hospitalisation Details'!K:K, "No Data")</f>
        <v>57</v>
      </c>
      <c r="O454" s="33">
        <f t="array" ref="O454">_xlfn.XLOOKUP($A454, 'Hospitalisation Details'!$A:$A, 'Hospitalisation Details'!G:G, "No Data")</f>
        <v>22192.44</v>
      </c>
      <c r="P454" s="28" t="str">
        <f t="array" ref="P454">_xlfn.XLOOKUP($A454, 'Hospitalisation Details'!$A:$A, 'Hospitalisation Details'!H:H, "No Data")</f>
        <v>tier - 3</v>
      </c>
    </row>
    <row r="455">
      <c r="A455" s="25" t="s">
        <v>1479</v>
      </c>
      <c r="B455" s="28" t="str">
        <f t="array" ref="B455">_xlfn.XLOOKUP($A455, 'Customer Names'!$A:$A, 'Customer Names'!B:B, "No Data")</f>
        <v>Bedbury</v>
      </c>
      <c r="C455" s="28">
        <f t="array" ref="C455">_xlfn.XLOOKUP($A455, 'Medical Examinations'!$A:$A, 'Medical Examinations'!B:B, "No Data")</f>
        <v>30</v>
      </c>
      <c r="D455" s="28">
        <f t="array" ref="D455">_xlfn.XLOOKUP($A455, 'Medical Examinations'!$A:$A, 'Medical Examinations'!C:C, "No Data")</f>
        <v>6.21</v>
      </c>
      <c r="E455" s="28" t="str">
        <f t="array" ref="E455">_xlfn.XLOOKUP($A455, 'Medical Examinations'!$A:$A, 'Medical Examinations'!D:D, "No Data")</f>
        <v>No</v>
      </c>
      <c r="F455" s="28" t="str">
        <f t="array" ref="F455">_xlfn.XLOOKUP($A455, 'Medical Examinations'!$A:$A, 'Medical Examinations'!E:E, "No Data")</f>
        <v>No</v>
      </c>
      <c r="G455" s="28" t="str">
        <f t="array" ref="G455">_xlfn.XLOOKUP($A455, 'Medical Examinations'!$A:$A, 'Medical Examinations'!F:F, "No Data")</f>
        <v>No</v>
      </c>
      <c r="H455" s="28">
        <f t="array" ref="H455">_xlfn.XLOOKUP($A455, 'Medical Examinations'!$A:$A, 'Medical Examinations'!G:G, "No Data")</f>
        <v>0</v>
      </c>
      <c r="I455" s="28" t="str">
        <f t="array" ref="I455">_xlfn.XLOOKUP($A455, 'Medical Examinations'!$A:$A, 'Medical Examinations'!H:H, "No Data")</f>
        <v>yes</v>
      </c>
      <c r="J455" s="28" t="str">
        <f t="array" ref="J455">_xlfn.XLOOKUP($A455, 'Medical Examinations'!$A:$A, 'Medical Examinations'!I:I, "No Data")</f>
        <v>Obesity</v>
      </c>
      <c r="K455" s="28" t="str">
        <f t="array" ref="K455">_xlfn.XLOOKUP($A455, 'Hospitalisation Details'!$A:$A, 'Hospitalisation Details'!I:I, "No Data")</f>
        <v>tier - 2</v>
      </c>
      <c r="L455" s="28" t="str">
        <f t="array" ref="L455">_xlfn.XLOOKUP($A455, 'Hospitalisation Details'!$A:$A, 'Hospitalisation Details'!J:J, "No Data")</f>
        <v>R1011</v>
      </c>
      <c r="M455" s="28" t="str">
        <f t="array" ref="M455">_xlfn.XLOOKUP($A455, 'Hospitalisation Details'!$A:$A, 'Hospitalisation Details'!E:E, "No Data")</f>
        <v>12/09/80</v>
      </c>
      <c r="N455" s="28">
        <f t="array" ref="N455">_xlfn.XLOOKUP($A455, 'Hospitalisation Details'!$A:$A, 'Hospitalisation Details'!K:K, "No Data")</f>
        <v>42</v>
      </c>
      <c r="O455" s="33">
        <f t="array" ref="O455">_xlfn.XLOOKUP($A455, 'Hospitalisation Details'!$A:$A, 'Hospitalisation Details'!G:G, "No Data")</f>
        <v>22144.03</v>
      </c>
      <c r="P455" s="28" t="str">
        <f t="array" ref="P455">_xlfn.XLOOKUP($A455, 'Hospitalisation Details'!$A:$A, 'Hospitalisation Details'!H:H, "No Data")</f>
        <v>tier - 2</v>
      </c>
    </row>
    <row r="456">
      <c r="A456" s="25" t="s">
        <v>1482</v>
      </c>
      <c r="B456" s="28" t="str">
        <f t="array" ref="B456">_xlfn.XLOOKUP($A456, 'Customer Names'!$A:$A, 'Customer Names'!B:B, "No Data")</f>
        <v>Stemberger</v>
      </c>
      <c r="C456" s="28">
        <f t="array" ref="C456">_xlfn.XLOOKUP($A456, 'Medical Examinations'!$A:$A, 'Medical Examinations'!B:B, "No Data")</f>
        <v>17.35</v>
      </c>
      <c r="D456" s="28">
        <f t="array" ref="D456">_xlfn.XLOOKUP($A456, 'Medical Examinations'!$A:$A, 'Medical Examinations'!C:C, "No Data")</f>
        <v>5.03</v>
      </c>
      <c r="E456" s="28" t="str">
        <f t="array" ref="E456">_xlfn.XLOOKUP($A456, 'Medical Examinations'!$A:$A, 'Medical Examinations'!D:D, "No Data")</f>
        <v>yes</v>
      </c>
      <c r="F456" s="28" t="str">
        <f t="array" ref="F456">_xlfn.XLOOKUP($A456, 'Medical Examinations'!$A:$A, 'Medical Examinations'!E:E, "No Data")</f>
        <v>No</v>
      </c>
      <c r="G456" s="28" t="str">
        <f t="array" ref="G456">_xlfn.XLOOKUP($A456, 'Medical Examinations'!$A:$A, 'Medical Examinations'!F:F, "No Data")</f>
        <v>No</v>
      </c>
      <c r="H456" s="28">
        <f t="array" ref="H456">_xlfn.XLOOKUP($A456, 'Medical Examinations'!$A:$A, 'Medical Examinations'!G:G, "No Data")</f>
        <v>0</v>
      </c>
      <c r="I456" s="28" t="str">
        <f t="array" ref="I456">_xlfn.XLOOKUP($A456, 'Medical Examinations'!$A:$A, 'Medical Examinations'!H:H, "No Data")</f>
        <v>yes</v>
      </c>
      <c r="J456" s="28" t="str">
        <f t="array" ref="J456">_xlfn.XLOOKUP($A456, 'Medical Examinations'!$A:$A, 'Medical Examinations'!I:I, "No Data")</f>
        <v>Underweight</v>
      </c>
      <c r="K456" s="28" t="str">
        <f t="array" ref="K456">_xlfn.XLOOKUP($A456, 'Hospitalisation Details'!$A:$A, 'Hospitalisation Details'!I:I, "No Data")</f>
        <v>tier - 1</v>
      </c>
      <c r="L456" s="28" t="str">
        <f t="array" ref="L456">_xlfn.XLOOKUP($A456, 'Hospitalisation Details'!$A:$A, 'Hospitalisation Details'!J:J, "No Data")</f>
        <v>R1011</v>
      </c>
      <c r="M456" s="28" t="str">
        <f t="array" ref="M456">_xlfn.XLOOKUP($A456, 'Hospitalisation Details'!$A:$A, 'Hospitalisation Details'!E:E, "No Data")</f>
        <v>28/08/01</v>
      </c>
      <c r="N456" s="28">
        <f t="array" ref="N456">_xlfn.XLOOKUP($A456, 'Hospitalisation Details'!$A:$A, 'Hospitalisation Details'!K:K, "No Data")</f>
        <v>21</v>
      </c>
      <c r="O456" s="33">
        <f t="array" ref="O456">_xlfn.XLOOKUP($A456, 'Hospitalisation Details'!$A:$A, 'Hospitalisation Details'!G:G, "No Data")</f>
        <v>22097.62</v>
      </c>
      <c r="P456" s="28" t="str">
        <f t="array" ref="P456">_xlfn.XLOOKUP($A456, 'Hospitalisation Details'!$A:$A, 'Hospitalisation Details'!H:H, "No Data")</f>
        <v>tier - 3</v>
      </c>
    </row>
    <row r="457">
      <c r="A457" s="25" t="s">
        <v>1484</v>
      </c>
      <c r="B457" s="28" t="str">
        <f t="array" ref="B457">_xlfn.XLOOKUP($A457, 'Customer Names'!$A:$A, 'Customer Names'!B:B, "No Data")</f>
        <v>Chebet</v>
      </c>
      <c r="C457" s="28">
        <f t="array" ref="C457">_xlfn.XLOOKUP($A457, 'Medical Examinations'!$A:$A, 'Medical Examinations'!B:B, "No Data")</f>
        <v>22.705</v>
      </c>
      <c r="D457" s="28">
        <f t="array" ref="D457">_xlfn.XLOOKUP($A457, 'Medical Examinations'!$A:$A, 'Medical Examinations'!C:C, "No Data")</f>
        <v>5.27</v>
      </c>
      <c r="E457" s="28" t="str">
        <f t="array" ref="E457">_xlfn.XLOOKUP($A457, 'Medical Examinations'!$A:$A, 'Medical Examinations'!D:D, "No Data")</f>
        <v>No</v>
      </c>
      <c r="F457" s="28" t="str">
        <f t="array" ref="F457">_xlfn.XLOOKUP($A457, 'Medical Examinations'!$A:$A, 'Medical Examinations'!E:E, "No Data")</f>
        <v>No</v>
      </c>
      <c r="G457" s="28" t="str">
        <f t="array" ref="G457">_xlfn.XLOOKUP($A457, 'Medical Examinations'!$A:$A, 'Medical Examinations'!F:F, "No Data")</f>
        <v>No</v>
      </c>
      <c r="H457" s="28">
        <f t="array" ref="H457">_xlfn.XLOOKUP($A457, 'Medical Examinations'!$A:$A, 'Medical Examinations'!G:G, "No Data")</f>
        <v>0</v>
      </c>
      <c r="I457" s="28" t="str">
        <f t="array" ref="I457">_xlfn.XLOOKUP($A457, 'Medical Examinations'!$A:$A, 'Medical Examinations'!H:H, "No Data")</f>
        <v>No</v>
      </c>
      <c r="J457" s="28" t="str">
        <f t="array" ref="J457">_xlfn.XLOOKUP($A457, 'Medical Examinations'!$A:$A, 'Medical Examinations'!I:I, "No Data")</f>
        <v>Normal Weight</v>
      </c>
      <c r="K457" s="28" t="str">
        <f t="array" ref="K457">_xlfn.XLOOKUP($A457, 'Hospitalisation Details'!$A:$A, 'Hospitalisation Details'!I:I, "No Data")</f>
        <v>tier - 1</v>
      </c>
      <c r="L457" s="28" t="str">
        <f t="array" ref="L457">_xlfn.XLOOKUP($A457, 'Hospitalisation Details'!$A:$A, 'Hospitalisation Details'!J:J, "No Data")</f>
        <v>R1012</v>
      </c>
      <c r="M457" s="28" t="str">
        <f t="array" ref="M457">_xlfn.XLOOKUP($A457, 'Hospitalisation Details'!$A:$A, 'Hospitalisation Details'!E:E, "No Data")</f>
        <v>14/10/89</v>
      </c>
      <c r="N457" s="28">
        <f t="array" ref="N457">_xlfn.XLOOKUP($A457, 'Hospitalisation Details'!$A:$A, 'Hospitalisation Details'!K:K, "No Data")</f>
        <v>33</v>
      </c>
      <c r="O457" s="33">
        <f t="array" ref="O457">_xlfn.XLOOKUP($A457, 'Hospitalisation Details'!$A:$A, 'Hospitalisation Details'!G:G, "No Data")</f>
        <v>21984.47</v>
      </c>
      <c r="P457" s="28" t="str">
        <f t="array" ref="P457">_xlfn.XLOOKUP($A457, 'Hospitalisation Details'!$A:$A, 'Hospitalisation Details'!H:H, "No Data")</f>
        <v>tier - 3</v>
      </c>
    </row>
    <row r="458">
      <c r="A458" s="25" t="s">
        <v>1487</v>
      </c>
      <c r="B458" s="28" t="str">
        <f t="array" ref="B458">_xlfn.XLOOKUP($A458, 'Customer Names'!$A:$A, 'Customer Names'!B:B, "No Data")</f>
        <v>Muir</v>
      </c>
      <c r="C458" s="28">
        <f t="array" ref="C458">_xlfn.XLOOKUP($A458, 'Medical Examinations'!$A:$A, 'Medical Examinations'!B:B, "No Data")</f>
        <v>25.41</v>
      </c>
      <c r="D458" s="28">
        <f t="array" ref="D458">_xlfn.XLOOKUP($A458, 'Medical Examinations'!$A:$A, 'Medical Examinations'!C:C, "No Data")</f>
        <v>10.53</v>
      </c>
      <c r="E458" s="28" t="str">
        <f t="array" ref="E458">_xlfn.XLOOKUP($A458, 'Medical Examinations'!$A:$A, 'Medical Examinations'!D:D, "No Data")</f>
        <v>yes</v>
      </c>
      <c r="F458" s="28" t="str">
        <f t="array" ref="F458">_xlfn.XLOOKUP($A458, 'Medical Examinations'!$A:$A, 'Medical Examinations'!E:E, "No Data")</f>
        <v>No</v>
      </c>
      <c r="G458" s="28" t="str">
        <f t="array" ref="G458">_xlfn.XLOOKUP($A458, 'Medical Examinations'!$A:$A, 'Medical Examinations'!F:F, "No Data")</f>
        <v>No</v>
      </c>
      <c r="H458" s="28">
        <f t="array" ref="H458">_xlfn.XLOOKUP($A458, 'Medical Examinations'!$A:$A, 'Medical Examinations'!G:G, "No Data")</f>
        <v>1</v>
      </c>
      <c r="I458" s="28" t="str">
        <f t="array" ref="I458">_xlfn.XLOOKUP($A458, 'Medical Examinations'!$A:$A, 'Medical Examinations'!H:H, "No Data")</f>
        <v>yes</v>
      </c>
      <c r="J458" s="28" t="str">
        <f t="array" ref="J458">_xlfn.XLOOKUP($A458, 'Medical Examinations'!$A:$A, 'Medical Examinations'!I:I, "No Data")</f>
        <v>Overweight</v>
      </c>
      <c r="K458" s="28" t="str">
        <f t="array" ref="K458">_xlfn.XLOOKUP($A458, 'Hospitalisation Details'!$A:$A, 'Hospitalisation Details'!I:I, "No Data")</f>
        <v>tier - 3</v>
      </c>
      <c r="L458" s="28" t="str">
        <f t="array" ref="L458">_xlfn.XLOOKUP($A458, 'Hospitalisation Details'!$A:$A, 'Hospitalisation Details'!J:J, "No Data")</f>
        <v>R1013</v>
      </c>
      <c r="M458" s="28" t="str">
        <f t="array" ref="M458">_xlfn.XLOOKUP($A458, 'Hospitalisation Details'!$A:$A, 'Hospitalisation Details'!E:E, "No Data")</f>
        <v>19/12/75</v>
      </c>
      <c r="N458" s="28">
        <f t="array" ref="N458">_xlfn.XLOOKUP($A458, 'Hospitalisation Details'!$A:$A, 'Hospitalisation Details'!K:K, "No Data")</f>
        <v>47</v>
      </c>
      <c r="O458" s="33">
        <f t="array" ref="O458">_xlfn.XLOOKUP($A458, 'Hospitalisation Details'!$A:$A, 'Hospitalisation Details'!G:G, "No Data")</f>
        <v>21978.68</v>
      </c>
      <c r="P458" s="28" t="str">
        <f t="array" ref="P458">_xlfn.XLOOKUP($A458, 'Hospitalisation Details'!$A:$A, 'Hospitalisation Details'!H:H, "No Data")</f>
        <v>tier - 3</v>
      </c>
    </row>
    <row r="459">
      <c r="A459" s="25" t="s">
        <v>1489</v>
      </c>
      <c r="B459" s="28" t="str">
        <f t="array" ref="B459">_xlfn.XLOOKUP($A459, 'Customer Names'!$A:$A, 'Customer Names'!B:B, "No Data")</f>
        <v>Yang</v>
      </c>
      <c r="C459" s="28">
        <f t="array" ref="C459">_xlfn.XLOOKUP($A459, 'Medical Examinations'!$A:$A, 'Medical Examinations'!B:B, "No Data")</f>
        <v>18.23</v>
      </c>
      <c r="D459" s="28">
        <f t="array" ref="D459">_xlfn.XLOOKUP($A459, 'Medical Examinations'!$A:$A, 'Medical Examinations'!C:C, "No Data")</f>
        <v>5.78</v>
      </c>
      <c r="E459" s="28" t="str">
        <f t="array" ref="E459">_xlfn.XLOOKUP($A459, 'Medical Examinations'!$A:$A, 'Medical Examinations'!D:D, "No Data")</f>
        <v>No</v>
      </c>
      <c r="F459" s="28" t="str">
        <f t="array" ref="F459">_xlfn.XLOOKUP($A459, 'Medical Examinations'!$A:$A, 'Medical Examinations'!E:E, "No Data")</f>
        <v>No</v>
      </c>
      <c r="G459" s="28" t="str">
        <f t="array" ref="G459">_xlfn.XLOOKUP($A459, 'Medical Examinations'!$A:$A, 'Medical Examinations'!F:F, "No Data")</f>
        <v>Yes</v>
      </c>
      <c r="H459" s="28">
        <f t="array" ref="H459">_xlfn.XLOOKUP($A459, 'Medical Examinations'!$A:$A, 'Medical Examinations'!G:G, "No Data")</f>
        <v>1</v>
      </c>
      <c r="I459" s="28" t="str">
        <f t="array" ref="I459">_xlfn.XLOOKUP($A459, 'Medical Examinations'!$A:$A, 'Medical Examinations'!H:H, "No Data")</f>
        <v>yes</v>
      </c>
      <c r="J459" s="28" t="str">
        <f t="array" ref="J459">_xlfn.XLOOKUP($A459, 'Medical Examinations'!$A:$A, 'Medical Examinations'!I:I, "No Data")</f>
        <v>Underweight</v>
      </c>
      <c r="K459" s="28" t="str">
        <f t="array" ref="K459">_xlfn.XLOOKUP($A459, 'Hospitalisation Details'!$A:$A, 'Hospitalisation Details'!I:I, "No Data")</f>
        <v>tier - 1</v>
      </c>
      <c r="L459" s="28" t="str">
        <f t="array" ref="L459">_xlfn.XLOOKUP($A459, 'Hospitalisation Details'!$A:$A, 'Hospitalisation Details'!J:J, "No Data")</f>
        <v>R1011</v>
      </c>
      <c r="M459" s="28" t="str">
        <f t="array" ref="M459">_xlfn.XLOOKUP($A459, 'Hospitalisation Details'!$A:$A, 'Hospitalisation Details'!E:E, "No Data")</f>
        <v>28/09/03</v>
      </c>
      <c r="N459" s="28">
        <f t="array" ref="N459">_xlfn.XLOOKUP($A459, 'Hospitalisation Details'!$A:$A, 'Hospitalisation Details'!K:K, "No Data")</f>
        <v>19</v>
      </c>
      <c r="O459" s="33">
        <f t="array" ref="O459">_xlfn.XLOOKUP($A459, 'Hospitalisation Details'!$A:$A, 'Hospitalisation Details'!G:G, "No Data")</f>
        <v>21882.4</v>
      </c>
      <c r="P459" s="28" t="str">
        <f t="array" ref="P459">_xlfn.XLOOKUP($A459, 'Hospitalisation Details'!$A:$A, 'Hospitalisation Details'!H:H, "No Data")</f>
        <v>tier - 2</v>
      </c>
    </row>
    <row r="460">
      <c r="A460" s="25" t="s">
        <v>1493</v>
      </c>
      <c r="B460" s="28" t="str">
        <f t="array" ref="B460">_xlfn.XLOOKUP($A460, 'Customer Names'!$A:$A, 'Customer Names'!B:B, "No Data")</f>
        <v>Gravel</v>
      </c>
      <c r="C460" s="28">
        <f t="array" ref="C460">_xlfn.XLOOKUP($A460, 'Medical Examinations'!$A:$A, 'Medical Examinations'!B:B, "No Data")</f>
        <v>24.7</v>
      </c>
      <c r="D460" s="28">
        <f t="array" ref="D460">_xlfn.XLOOKUP($A460, 'Medical Examinations'!$A:$A, 'Medical Examinations'!C:C, "No Data")</f>
        <v>4.36</v>
      </c>
      <c r="E460" s="28" t="str">
        <f t="array" ref="E460">_xlfn.XLOOKUP($A460, 'Medical Examinations'!$A:$A, 'Medical Examinations'!D:D, "No Data")</f>
        <v>No</v>
      </c>
      <c r="F460" s="28" t="str">
        <f t="array" ref="F460">_xlfn.XLOOKUP($A460, 'Medical Examinations'!$A:$A, 'Medical Examinations'!E:E, "No Data")</f>
        <v>No</v>
      </c>
      <c r="G460" s="28" t="str">
        <f t="array" ref="G460">_xlfn.XLOOKUP($A460, 'Medical Examinations'!$A:$A, 'Medical Examinations'!F:F, "No Data")</f>
        <v>Yes</v>
      </c>
      <c r="H460" s="28">
        <f t="array" ref="H460">_xlfn.XLOOKUP($A460, 'Medical Examinations'!$A:$A, 'Medical Examinations'!G:G, "No Data")</f>
        <v>1</v>
      </c>
      <c r="I460" s="28" t="str">
        <f t="array" ref="I460">_xlfn.XLOOKUP($A460, 'Medical Examinations'!$A:$A, 'Medical Examinations'!H:H, "No Data")</f>
        <v>yes</v>
      </c>
      <c r="J460" s="28" t="str">
        <f t="array" ref="J460">_xlfn.XLOOKUP($A460, 'Medical Examinations'!$A:$A, 'Medical Examinations'!I:I, "No Data")</f>
        <v>Normal Weight</v>
      </c>
      <c r="K460" s="28" t="str">
        <f t="array" ref="K460">_xlfn.XLOOKUP($A460, 'Hospitalisation Details'!$A:$A, 'Hospitalisation Details'!I:I, "No Data")</f>
        <v>tier - 1</v>
      </c>
      <c r="L460" s="28" t="str">
        <f t="array" ref="L460">_xlfn.XLOOKUP($A460, 'Hospitalisation Details'!$A:$A, 'Hospitalisation Details'!J:J, "No Data")</f>
        <v>R1012</v>
      </c>
      <c r="M460" s="28" t="str">
        <f t="array" ref="M460">_xlfn.XLOOKUP($A460, 'Hospitalisation Details'!$A:$A, 'Hospitalisation Details'!E:E, "No Data")</f>
        <v>17/08/79</v>
      </c>
      <c r="N460" s="28">
        <f t="array" ref="N460">_xlfn.XLOOKUP($A460, 'Hospitalisation Details'!$A:$A, 'Hospitalisation Details'!K:K, "No Data")</f>
        <v>43</v>
      </c>
      <c r="O460" s="33">
        <f t="array" ref="O460">_xlfn.XLOOKUP($A460, 'Hospitalisation Details'!$A:$A, 'Hospitalisation Details'!G:G, "No Data")</f>
        <v>21880.82</v>
      </c>
      <c r="P460" s="28" t="str">
        <f t="array" ref="P460">_xlfn.XLOOKUP($A460, 'Hospitalisation Details'!$A:$A, 'Hospitalisation Details'!H:H, "No Data")</f>
        <v>tier - 3</v>
      </c>
    </row>
    <row r="461">
      <c r="A461" s="25" t="s">
        <v>1496</v>
      </c>
      <c r="B461" s="28" t="str">
        <f t="array" ref="B461">_xlfn.XLOOKUP($A461, 'Customer Names'!$A:$A, 'Customer Names'!B:B, "No Data")</f>
        <v>Smith</v>
      </c>
      <c r="C461" s="28">
        <f t="array" ref="C461">_xlfn.XLOOKUP($A461, 'Medical Examinations'!$A:$A, 'Medical Examinations'!B:B, "No Data")</f>
        <v>37.4</v>
      </c>
      <c r="D461" s="28">
        <f t="array" ref="D461">_xlfn.XLOOKUP($A461, 'Medical Examinations'!$A:$A, 'Medical Examinations'!C:C, "No Data")</f>
        <v>9.72</v>
      </c>
      <c r="E461" s="28" t="str">
        <f t="array" ref="E461">_xlfn.XLOOKUP($A461, 'Medical Examinations'!$A:$A, 'Medical Examinations'!D:D, "No Data")</f>
        <v>yes</v>
      </c>
      <c r="F461" s="28" t="str">
        <f t="array" ref="F461">_xlfn.XLOOKUP($A461, 'Medical Examinations'!$A:$A, 'Medical Examinations'!E:E, "No Data")</f>
        <v>No</v>
      </c>
      <c r="G461" s="28" t="str">
        <f t="array" ref="G461">_xlfn.XLOOKUP($A461, 'Medical Examinations'!$A:$A, 'Medical Examinations'!F:F, "No Data")</f>
        <v>Yes</v>
      </c>
      <c r="H461" s="28">
        <f t="array" ref="H461">_xlfn.XLOOKUP($A461, 'Medical Examinations'!$A:$A, 'Medical Examinations'!G:G, "No Data")</f>
        <v>1</v>
      </c>
      <c r="I461" s="28" t="str">
        <f t="array" ref="I461">_xlfn.XLOOKUP($A461, 'Medical Examinations'!$A:$A, 'Medical Examinations'!H:H, "No Data")</f>
        <v>No</v>
      </c>
      <c r="J461" s="28" t="str">
        <f t="array" ref="J461">_xlfn.XLOOKUP($A461, 'Medical Examinations'!$A:$A, 'Medical Examinations'!I:I, "No Data")</f>
        <v>Obesity</v>
      </c>
      <c r="K461" s="28" t="str">
        <f t="array" ref="K461">_xlfn.XLOOKUP($A461, 'Hospitalisation Details'!$A:$A, 'Hospitalisation Details'!I:I, "No Data")</f>
        <v>tier - 1</v>
      </c>
      <c r="L461" s="28" t="str">
        <f t="array" ref="L461">_xlfn.XLOOKUP($A461, 'Hospitalisation Details'!$A:$A, 'Hospitalisation Details'!J:J, "No Data")</f>
        <v>R1011</v>
      </c>
      <c r="M461" s="28" t="str">
        <f t="array" ref="M461">_xlfn.XLOOKUP($A461, 'Hospitalisation Details'!$A:$A, 'Hospitalisation Details'!E:E, "No Data")</f>
        <v>27/08/63</v>
      </c>
      <c r="N461" s="28">
        <f t="array" ref="N461">_xlfn.XLOOKUP($A461, 'Hospitalisation Details'!$A:$A, 'Hospitalisation Details'!K:K, "No Data")</f>
        <v>59</v>
      </c>
      <c r="O461" s="33">
        <f t="array" ref="O461">_xlfn.XLOOKUP($A461, 'Hospitalisation Details'!$A:$A, 'Hospitalisation Details'!G:G, "No Data")</f>
        <v>21797</v>
      </c>
      <c r="P461" s="28" t="str">
        <f t="array" ref="P461">_xlfn.XLOOKUP($A461, 'Hospitalisation Details'!$A:$A, 'Hospitalisation Details'!H:H, "No Data")</f>
        <v>tier - 3</v>
      </c>
    </row>
    <row r="462">
      <c r="A462" s="25" t="s">
        <v>1499</v>
      </c>
      <c r="B462" s="28" t="str">
        <f t="array" ref="B462">_xlfn.XLOOKUP($A462, 'Customer Names'!$A:$A, 'Customer Names'!B:B, "No Data")</f>
        <v>Williams</v>
      </c>
      <c r="C462" s="28">
        <f t="array" ref="C462">_xlfn.XLOOKUP($A462, 'Medical Examinations'!$A:$A, 'Medical Examinations'!B:B, "No Data")</f>
        <v>26.885</v>
      </c>
      <c r="D462" s="28">
        <f t="array" ref="D462">_xlfn.XLOOKUP($A462, 'Medical Examinations'!$A:$A, 'Medical Examinations'!C:C, "No Data")</f>
        <v>5.18</v>
      </c>
      <c r="E462" s="28" t="str">
        <f t="array" ref="E462">_xlfn.XLOOKUP($A462, 'Medical Examinations'!$A:$A, 'Medical Examinations'!D:D, "No Data")</f>
        <v>No</v>
      </c>
      <c r="F462" s="28" t="str">
        <f t="array" ref="F462">_xlfn.XLOOKUP($A462, 'Medical Examinations'!$A:$A, 'Medical Examinations'!E:E, "No Data")</f>
        <v>No</v>
      </c>
      <c r="G462" s="28" t="str">
        <f t="array" ref="G462">_xlfn.XLOOKUP($A462, 'Medical Examinations'!$A:$A, 'Medical Examinations'!F:F, "No Data")</f>
        <v>Yes</v>
      </c>
      <c r="H462" s="28">
        <f t="array" ref="H462">_xlfn.XLOOKUP($A462, 'Medical Examinations'!$A:$A, 'Medical Examinations'!G:G, "No Data")</f>
        <v>1</v>
      </c>
      <c r="I462" s="28" t="str">
        <f t="array" ref="I462">_xlfn.XLOOKUP($A462, 'Medical Examinations'!$A:$A, 'Medical Examinations'!H:H, "No Data")</f>
        <v>yes</v>
      </c>
      <c r="J462" s="28" t="str">
        <f t="array" ref="J462">_xlfn.XLOOKUP($A462, 'Medical Examinations'!$A:$A, 'Medical Examinations'!I:I, "No Data")</f>
        <v>Overweight</v>
      </c>
      <c r="K462" s="28" t="str">
        <f t="array" ref="K462">_xlfn.XLOOKUP($A462, 'Hospitalisation Details'!$A:$A, 'Hospitalisation Details'!I:I, "No Data")</f>
        <v>tier - 2</v>
      </c>
      <c r="L462" s="28" t="str">
        <f t="array" ref="L462">_xlfn.XLOOKUP($A462, 'Hospitalisation Details'!$A:$A, 'Hospitalisation Details'!J:J, "No Data")</f>
        <v>R1012</v>
      </c>
      <c r="M462" s="28" t="str">
        <f t="array" ref="M462">_xlfn.XLOOKUP($A462, 'Hospitalisation Details'!$A:$A, 'Hospitalisation Details'!E:E, "No Data")</f>
        <v>28/09/79</v>
      </c>
      <c r="N462" s="28">
        <f t="array" ref="N462">_xlfn.XLOOKUP($A462, 'Hospitalisation Details'!$A:$A, 'Hospitalisation Details'!K:K, "No Data")</f>
        <v>43</v>
      </c>
      <c r="O462" s="33">
        <f t="array" ref="O462">_xlfn.XLOOKUP($A462, 'Hospitalisation Details'!$A:$A, 'Hospitalisation Details'!G:G, "No Data")</f>
        <v>21774.32</v>
      </c>
      <c r="P462" s="28" t="str">
        <f t="array" ref="P462">_xlfn.XLOOKUP($A462, 'Hospitalisation Details'!$A:$A, 'Hospitalisation Details'!H:H, "No Data")</f>
        <v>tier - 3</v>
      </c>
    </row>
    <row r="463">
      <c r="A463" s="25" t="s">
        <v>1501</v>
      </c>
      <c r="B463" s="28" t="str">
        <f t="array" ref="B463">_xlfn.XLOOKUP($A463, 'Customer Names'!$A:$A, 'Customer Names'!B:B, "No Data")</f>
        <v>Meyer</v>
      </c>
      <c r="C463" s="28">
        <f t="array" ref="C463">_xlfn.XLOOKUP($A463, 'Medical Examinations'!$A:$A, 'Medical Examinations'!B:B, "No Data")</f>
        <v>25.27</v>
      </c>
      <c r="D463" s="28">
        <f t="array" ref="D463">_xlfn.XLOOKUP($A463, 'Medical Examinations'!$A:$A, 'Medical Examinations'!C:C, "No Data")</f>
        <v>5.29</v>
      </c>
      <c r="E463" s="28" t="str">
        <f t="array" ref="E463">_xlfn.XLOOKUP($A463, 'Medical Examinations'!$A:$A, 'Medical Examinations'!D:D, "No Data")</f>
        <v>No</v>
      </c>
      <c r="F463" s="28" t="str">
        <f t="array" ref="F463">_xlfn.XLOOKUP($A463, 'Medical Examinations'!$A:$A, 'Medical Examinations'!E:E, "No Data")</f>
        <v>No</v>
      </c>
      <c r="G463" s="28" t="str">
        <f t="array" ref="G463">_xlfn.XLOOKUP($A463, 'Medical Examinations'!$A:$A, 'Medical Examinations'!F:F, "No Data")</f>
        <v>Yes</v>
      </c>
      <c r="H463" s="28">
        <f t="array" ref="H463">_xlfn.XLOOKUP($A463, 'Medical Examinations'!$A:$A, 'Medical Examinations'!G:G, "No Data")</f>
        <v>1</v>
      </c>
      <c r="I463" s="28" t="str">
        <f t="array" ref="I463">_xlfn.XLOOKUP($A463, 'Medical Examinations'!$A:$A, 'Medical Examinations'!H:H, "No Data")</f>
        <v>yes</v>
      </c>
      <c r="J463" s="28" t="str">
        <f t="array" ref="J463">_xlfn.XLOOKUP($A463, 'Medical Examinations'!$A:$A, 'Medical Examinations'!I:I, "No Data")</f>
        <v>Overweight</v>
      </c>
      <c r="K463" s="28" t="str">
        <f t="array" ref="K463">_xlfn.XLOOKUP($A463, 'Hospitalisation Details'!$A:$A, 'Hospitalisation Details'!I:I, "No Data")</f>
        <v>tier - 1</v>
      </c>
      <c r="L463" s="28" t="str">
        <f t="array" ref="L463">_xlfn.XLOOKUP($A463, 'Hospitalisation Details'!$A:$A, 'Hospitalisation Details'!J:J, "No Data")</f>
        <v>R1024</v>
      </c>
      <c r="M463" s="28" t="str">
        <f t="array" ref="M463">_xlfn.XLOOKUP($A463, 'Hospitalisation Details'!$A:$A, 'Hospitalisation Details'!E:E, "No Data")</f>
        <v>20/09/79</v>
      </c>
      <c r="N463" s="28">
        <f t="array" ref="N463">_xlfn.XLOOKUP($A463, 'Hospitalisation Details'!$A:$A, 'Hospitalisation Details'!K:K, "No Data")</f>
        <v>43</v>
      </c>
      <c r="O463" s="33">
        <f t="array" ref="O463">_xlfn.XLOOKUP($A463, 'Hospitalisation Details'!$A:$A, 'Hospitalisation Details'!G:G, "No Data")</f>
        <v>21771.34</v>
      </c>
      <c r="P463" s="28" t="str">
        <f t="array" ref="P463">_xlfn.XLOOKUP($A463, 'Hospitalisation Details'!$A:$A, 'Hospitalisation Details'!H:H, "No Data")</f>
        <v>tier - 3</v>
      </c>
    </row>
    <row r="464">
      <c r="A464" s="25" t="s">
        <v>1503</v>
      </c>
      <c r="B464" s="28" t="str">
        <f t="array" ref="B464">_xlfn.XLOOKUP($A464, 'Customer Names'!$A:$A, 'Customer Names'!B:B, "No Data")</f>
        <v>Jamieson</v>
      </c>
      <c r="C464" s="28">
        <f t="array" ref="C464">_xlfn.XLOOKUP($A464, 'Medical Examinations'!$A:$A, 'Medical Examinations'!B:B, "No Data")</f>
        <v>23.655</v>
      </c>
      <c r="D464" s="28">
        <f t="array" ref="D464">_xlfn.XLOOKUP($A464, 'Medical Examinations'!$A:$A, 'Medical Examinations'!C:C, "No Data")</f>
        <v>4.86</v>
      </c>
      <c r="E464" s="28" t="str">
        <f t="array" ref="E464">_xlfn.XLOOKUP($A464, 'Medical Examinations'!$A:$A, 'Medical Examinations'!D:D, "No Data")</f>
        <v>yes</v>
      </c>
      <c r="F464" s="28" t="str">
        <f t="array" ref="F464">_xlfn.XLOOKUP($A464, 'Medical Examinations'!$A:$A, 'Medical Examinations'!E:E, "No Data")</f>
        <v>No</v>
      </c>
      <c r="G464" s="28" t="str">
        <f t="array" ref="G464">_xlfn.XLOOKUP($A464, 'Medical Examinations'!$A:$A, 'Medical Examinations'!F:F, "No Data")</f>
        <v>No</v>
      </c>
      <c r="H464" s="28">
        <f t="array" ref="H464">_xlfn.XLOOKUP($A464, 'Medical Examinations'!$A:$A, 'Medical Examinations'!G:G, "No Data")</f>
        <v>0</v>
      </c>
      <c r="I464" s="28" t="str">
        <f t="array" ref="I464">_xlfn.XLOOKUP($A464, 'Medical Examinations'!$A:$A, 'Medical Examinations'!H:H, "No Data")</f>
        <v>yes</v>
      </c>
      <c r="J464" s="28" t="str">
        <f t="array" ref="J464">_xlfn.XLOOKUP($A464, 'Medical Examinations'!$A:$A, 'Medical Examinations'!I:I, "No Data")</f>
        <v>Normal Weight</v>
      </c>
      <c r="K464" s="28" t="str">
        <f t="array" ref="K464">_xlfn.XLOOKUP($A464, 'Hospitalisation Details'!$A:$A, 'Hospitalisation Details'!I:I, "No Data")</f>
        <v>tier - 1</v>
      </c>
      <c r="L464" s="28" t="str">
        <f t="array" ref="L464">_xlfn.XLOOKUP($A464, 'Hospitalisation Details'!$A:$A, 'Hospitalisation Details'!J:J, "No Data")</f>
        <v>R1012</v>
      </c>
      <c r="M464" s="28" t="str">
        <f t="array" ref="M464">_xlfn.XLOOKUP($A464, 'Hospitalisation Details'!$A:$A, 'Hospitalisation Details'!E:E, "No Data")</f>
        <v>18/07/76</v>
      </c>
      <c r="N464" s="28">
        <f t="array" ref="N464">_xlfn.XLOOKUP($A464, 'Hospitalisation Details'!$A:$A, 'Hospitalisation Details'!K:K, "No Data")</f>
        <v>46</v>
      </c>
      <c r="O464" s="33">
        <f t="array" ref="O464">_xlfn.XLOOKUP($A464, 'Hospitalisation Details'!$A:$A, 'Hospitalisation Details'!G:G, "No Data")</f>
        <v>21677.28</v>
      </c>
      <c r="P464" s="28" t="str">
        <f t="array" ref="P464">_xlfn.XLOOKUP($A464, 'Hospitalisation Details'!$A:$A, 'Hospitalisation Details'!H:H, "No Data")</f>
        <v>tier - 3</v>
      </c>
    </row>
    <row r="465">
      <c r="A465" s="25" t="s">
        <v>1506</v>
      </c>
      <c r="B465" s="28" t="str">
        <f t="array" ref="B465">_xlfn.XLOOKUP($A465, 'Customer Names'!$A:$A, 'Customer Names'!B:B, "No Data")</f>
        <v>Dufeal</v>
      </c>
      <c r="C465" s="28">
        <f t="array" ref="C465">_xlfn.XLOOKUP($A465, 'Medical Examinations'!$A:$A, 'Medical Examinations'!B:B, "No Data")</f>
        <v>55.05</v>
      </c>
      <c r="D465" s="28">
        <f t="array" ref="D465">_xlfn.XLOOKUP($A465, 'Medical Examinations'!$A:$A, 'Medical Examinations'!C:C, "No Data")</f>
        <v>7.66</v>
      </c>
      <c r="E465" s="28" t="str">
        <f t="array" ref="E465">_xlfn.XLOOKUP($A465, 'Medical Examinations'!$A:$A, 'Medical Examinations'!D:D, "No Data")</f>
        <v>No</v>
      </c>
      <c r="F465" s="28" t="str">
        <f t="array" ref="F465">_xlfn.XLOOKUP($A465, 'Medical Examinations'!$A:$A, 'Medical Examinations'!E:E, "No Data")</f>
        <v>No</v>
      </c>
      <c r="G465" s="28" t="str">
        <f t="array" ref="G465">_xlfn.XLOOKUP($A465, 'Medical Examinations'!$A:$A, 'Medical Examinations'!F:F, "No Data")</f>
        <v>No</v>
      </c>
      <c r="H465" s="28">
        <f t="array" ref="H465">_xlfn.XLOOKUP($A465, 'Medical Examinations'!$A:$A, 'Medical Examinations'!G:G, "No Data")</f>
        <v>0</v>
      </c>
      <c r="I465" s="28" t="str">
        <f t="array" ref="I465">_xlfn.XLOOKUP($A465, 'Medical Examinations'!$A:$A, 'Medical Examinations'!H:H, "No Data")</f>
        <v>No</v>
      </c>
      <c r="J465" s="28" t="str">
        <f t="array" ref="J465">_xlfn.XLOOKUP($A465, 'Medical Examinations'!$A:$A, 'Medical Examinations'!I:I, "No Data")</f>
        <v>Obesity</v>
      </c>
      <c r="K465" s="28" t="str">
        <f t="array" ref="K465">_xlfn.XLOOKUP($A465, 'Hospitalisation Details'!$A:$A, 'Hospitalisation Details'!I:I, "No Data")</f>
        <v>tier - 2</v>
      </c>
      <c r="L465" s="28" t="str">
        <f t="array" ref="L465">_xlfn.XLOOKUP($A465, 'Hospitalisation Details'!$A:$A, 'Hospitalisation Details'!J:J, "No Data")</f>
        <v>R1012</v>
      </c>
      <c r="M465" s="28" t="str">
        <f t="array" ref="M465">_xlfn.XLOOKUP($A465, 'Hospitalisation Details'!$A:$A, 'Hospitalisation Details'!E:E, "No Data")</f>
        <v>16/11/62</v>
      </c>
      <c r="N465" s="28">
        <f t="array" ref="N465">_xlfn.XLOOKUP($A465, 'Hospitalisation Details'!$A:$A, 'Hospitalisation Details'!K:K, "No Data")</f>
        <v>60</v>
      </c>
      <c r="O465" s="33">
        <f t="array" ref="O465">_xlfn.XLOOKUP($A465, 'Hospitalisation Details'!$A:$A, 'Hospitalisation Details'!G:G, "No Data")</f>
        <v>21661.16</v>
      </c>
      <c r="P465" s="28" t="str">
        <f t="array" ref="P465">_xlfn.XLOOKUP($A465, 'Hospitalisation Details'!$A:$A, 'Hospitalisation Details'!H:H, "No Data")</f>
        <v>tier - 2</v>
      </c>
    </row>
    <row r="466">
      <c r="A466" s="25" t="s">
        <v>1510</v>
      </c>
      <c r="B466" s="28" t="str">
        <f t="array" ref="B466">_xlfn.XLOOKUP($A466, 'Customer Names'!$A:$A, 'Customer Names'!B:B, "No Data")</f>
        <v>Sansonetti</v>
      </c>
      <c r="C466" s="28">
        <f t="array" ref="C466">_xlfn.XLOOKUP($A466, 'Medical Examinations'!$A:$A, 'Medical Examinations'!B:B, "No Data")</f>
        <v>24.89</v>
      </c>
      <c r="D466" s="28">
        <f t="array" ref="D466">_xlfn.XLOOKUP($A466, 'Medical Examinations'!$A:$A, 'Medical Examinations'!C:C, "No Data")</f>
        <v>6.1</v>
      </c>
      <c r="E466" s="28" t="str">
        <f t="array" ref="E466">_xlfn.XLOOKUP($A466, 'Medical Examinations'!$A:$A, 'Medical Examinations'!D:D, "No Data")</f>
        <v>yes</v>
      </c>
      <c r="F466" s="28" t="str">
        <f t="array" ref="F466">_xlfn.XLOOKUP($A466, 'Medical Examinations'!$A:$A, 'Medical Examinations'!E:E, "No Data")</f>
        <v>No</v>
      </c>
      <c r="G466" s="28" t="str">
        <f t="array" ref="G466">_xlfn.XLOOKUP($A466, 'Medical Examinations'!$A:$A, 'Medical Examinations'!F:F, "No Data")</f>
        <v>Yes</v>
      </c>
      <c r="H466" s="28">
        <f t="array" ref="H466">_xlfn.XLOOKUP($A466, 'Medical Examinations'!$A:$A, 'Medical Examinations'!G:G, "No Data")</f>
        <v>1</v>
      </c>
      <c r="I466" s="28" t="str">
        <f t="array" ref="I466">_xlfn.XLOOKUP($A466, 'Medical Examinations'!$A:$A, 'Medical Examinations'!H:H, "No Data")</f>
        <v>yes</v>
      </c>
      <c r="J466" s="28" t="str">
        <f t="array" ref="J466">_xlfn.XLOOKUP($A466, 'Medical Examinations'!$A:$A, 'Medical Examinations'!I:I, "No Data")</f>
        <v>Normal Weight</v>
      </c>
      <c r="K466" s="28" t="str">
        <f t="array" ref="K466">_xlfn.XLOOKUP($A466, 'Hospitalisation Details'!$A:$A, 'Hospitalisation Details'!I:I, "No Data")</f>
        <v>tier - 3</v>
      </c>
      <c r="L466" s="28" t="str">
        <f t="array" ref="L466">_xlfn.XLOOKUP($A466, 'Hospitalisation Details'!$A:$A, 'Hospitalisation Details'!J:J, "No Data")</f>
        <v>R1024</v>
      </c>
      <c r="M466" s="28" t="str">
        <f t="array" ref="M466">_xlfn.XLOOKUP($A466, 'Hospitalisation Details'!$A:$A, 'Hospitalisation Details'!E:E, "No Data")</f>
        <v>25/12/83</v>
      </c>
      <c r="N466" s="28">
        <f t="array" ref="N466">_xlfn.XLOOKUP($A466, 'Hospitalisation Details'!$A:$A, 'Hospitalisation Details'!K:K, "No Data")</f>
        <v>39</v>
      </c>
      <c r="O466" s="33">
        <f t="array" ref="O466">_xlfn.XLOOKUP($A466, 'Hospitalisation Details'!$A:$A, 'Hospitalisation Details'!G:G, "No Data")</f>
        <v>21659.93</v>
      </c>
      <c r="P466" s="28" t="str">
        <f t="array" ref="P466">_xlfn.XLOOKUP($A466, 'Hospitalisation Details'!$A:$A, 'Hospitalisation Details'!H:H, "No Data")</f>
        <v>tier - 3</v>
      </c>
    </row>
    <row r="467">
      <c r="A467" s="25" t="s">
        <v>1512</v>
      </c>
      <c r="B467" s="28" t="str">
        <f t="array" ref="B467">_xlfn.XLOOKUP($A467, 'Customer Names'!$A:$A, 'Customer Names'!B:B, "No Data")</f>
        <v>Koneazny</v>
      </c>
      <c r="C467" s="28">
        <f t="array" ref="C467">_xlfn.XLOOKUP($A467, 'Medical Examinations'!$A:$A, 'Medical Examinations'!B:B, "No Data")</f>
        <v>18.715</v>
      </c>
      <c r="D467" s="28">
        <f t="array" ref="D467">_xlfn.XLOOKUP($A467, 'Medical Examinations'!$A:$A, 'Medical Examinations'!C:C, "No Data")</f>
        <v>4.44</v>
      </c>
      <c r="E467" s="28" t="str">
        <f t="array" ref="E467">_xlfn.XLOOKUP($A467, 'Medical Examinations'!$A:$A, 'Medical Examinations'!D:D, "No Data")</f>
        <v>No</v>
      </c>
      <c r="F467" s="28" t="str">
        <f t="array" ref="F467">_xlfn.XLOOKUP($A467, 'Medical Examinations'!$A:$A, 'Medical Examinations'!E:E, "No Data")</f>
        <v>No</v>
      </c>
      <c r="G467" s="28" t="str">
        <f t="array" ref="G467">_xlfn.XLOOKUP($A467, 'Medical Examinations'!$A:$A, 'Medical Examinations'!F:F, "No Data")</f>
        <v>No</v>
      </c>
      <c r="H467" s="28">
        <f t="array" ref="H467">_xlfn.XLOOKUP($A467, 'Medical Examinations'!$A:$A, 'Medical Examinations'!G:G, "No Data")</f>
        <v>0</v>
      </c>
      <c r="I467" s="28" t="str">
        <f t="array" ref="I467">_xlfn.XLOOKUP($A467, 'Medical Examinations'!$A:$A, 'Medical Examinations'!H:H, "No Data")</f>
        <v>No</v>
      </c>
      <c r="J467" s="28" t="str">
        <f t="array" ref="J467">_xlfn.XLOOKUP($A467, 'Medical Examinations'!$A:$A, 'Medical Examinations'!I:I, "No Data")</f>
        <v>Normal Weight</v>
      </c>
      <c r="K467" s="28" t="str">
        <f t="array" ref="K467">_xlfn.XLOOKUP($A467, 'Hospitalisation Details'!$A:$A, 'Hospitalisation Details'!I:I, "No Data")</f>
        <v>tier - 3</v>
      </c>
      <c r="L467" s="28" t="str">
        <f t="array" ref="L467">_xlfn.XLOOKUP($A467, 'Hospitalisation Details'!$A:$A, 'Hospitalisation Details'!J:J, "No Data")</f>
        <v>R1012</v>
      </c>
      <c r="M467" s="28" t="str">
        <f t="array" ref="M467">_xlfn.XLOOKUP($A467, 'Hospitalisation Details'!$A:$A, 'Hospitalisation Details'!E:E, "No Data")</f>
        <v>12/06/99</v>
      </c>
      <c r="N467" s="28">
        <f t="array" ref="N467">_xlfn.XLOOKUP($A467, 'Hospitalisation Details'!$A:$A, 'Hospitalisation Details'!K:K, "No Data")</f>
        <v>23</v>
      </c>
      <c r="O467" s="33">
        <f t="array" ref="O467">_xlfn.XLOOKUP($A467, 'Hospitalisation Details'!$A:$A, 'Hospitalisation Details'!G:G, "No Data")</f>
        <v>21595.38</v>
      </c>
      <c r="P467" s="28" t="str">
        <f t="array" ref="P467">_xlfn.XLOOKUP($A467, 'Hospitalisation Details'!$A:$A, 'Hospitalisation Details'!H:H, "No Data")</f>
        <v>tier - 2</v>
      </c>
    </row>
    <row r="468">
      <c r="A468" s="25" t="s">
        <v>1516</v>
      </c>
      <c r="B468" s="28" t="str">
        <f t="array" ref="B468">_xlfn.XLOOKUP($A468, 'Customer Names'!$A:$A, 'Customer Names'!B:B, "No Data")</f>
        <v>Johnson</v>
      </c>
      <c r="C468" s="28">
        <f t="array" ref="C468">_xlfn.XLOOKUP($A468, 'Medical Examinations'!$A:$A, 'Medical Examinations'!B:B, "No Data")</f>
        <v>28.12</v>
      </c>
      <c r="D468" s="28">
        <f t="array" ref="D468">_xlfn.XLOOKUP($A468, 'Medical Examinations'!$A:$A, 'Medical Examinations'!C:C, "No Data")</f>
        <v>6.15</v>
      </c>
      <c r="E468" s="28" t="str">
        <f t="array" ref="E468">_xlfn.XLOOKUP($A468, 'Medical Examinations'!$A:$A, 'Medical Examinations'!D:D, "No Data")</f>
        <v>No</v>
      </c>
      <c r="F468" s="28" t="str">
        <f t="array" ref="F468">_xlfn.XLOOKUP($A468, 'Medical Examinations'!$A:$A, 'Medical Examinations'!E:E, "No Data")</f>
        <v>No</v>
      </c>
      <c r="G468" s="28" t="str">
        <f t="array" ref="G468">_xlfn.XLOOKUP($A468, 'Medical Examinations'!$A:$A, 'Medical Examinations'!F:F, "No Data")</f>
        <v>No</v>
      </c>
      <c r="H468" s="28">
        <f t="array" ref="H468">_xlfn.XLOOKUP($A468, 'Medical Examinations'!$A:$A, 'Medical Examinations'!G:G, "No Data")</f>
        <v>0</v>
      </c>
      <c r="I468" s="28" t="str">
        <f t="array" ref="I468">_xlfn.XLOOKUP($A468, 'Medical Examinations'!$A:$A, 'Medical Examinations'!H:H, "No Data")</f>
        <v>yes</v>
      </c>
      <c r="J468" s="28" t="str">
        <f t="array" ref="J468">_xlfn.XLOOKUP($A468, 'Medical Examinations'!$A:$A, 'Medical Examinations'!I:I, "No Data")</f>
        <v>Overweight</v>
      </c>
      <c r="K468" s="28" t="str">
        <f t="array" ref="K468">_xlfn.XLOOKUP($A468, 'Hospitalisation Details'!$A:$A, 'Hospitalisation Details'!I:I, "No Data")</f>
        <v>tier - 2</v>
      </c>
      <c r="L468" s="28" t="str">
        <f t="array" ref="L468">_xlfn.XLOOKUP($A468, 'Hospitalisation Details'!$A:$A, 'Hospitalisation Details'!J:J, "No Data")</f>
        <v>R1012</v>
      </c>
      <c r="M468" s="28" t="str">
        <f t="array" ref="M468">_xlfn.XLOOKUP($A468, 'Hospitalisation Details'!$A:$A, 'Hospitalisation Details'!E:E, "No Data")</f>
        <v>21/11/90</v>
      </c>
      <c r="N468" s="28">
        <f t="array" ref="N468">_xlfn.XLOOKUP($A468, 'Hospitalisation Details'!$A:$A, 'Hospitalisation Details'!K:K, "No Data")</f>
        <v>32</v>
      </c>
      <c r="O468" s="33">
        <f t="array" ref="O468">_xlfn.XLOOKUP($A468, 'Hospitalisation Details'!$A:$A, 'Hospitalisation Details'!G:G, "No Data")</f>
        <v>21472.48</v>
      </c>
      <c r="P468" s="28" t="str">
        <f t="array" ref="P468">_xlfn.XLOOKUP($A468, 'Hospitalisation Details'!$A:$A, 'Hospitalisation Details'!H:H, "No Data")</f>
        <v>tier - 2</v>
      </c>
    </row>
    <row r="469">
      <c r="A469" s="25" t="s">
        <v>1518</v>
      </c>
      <c r="B469" s="28" t="str">
        <f t="array" ref="B469">_xlfn.XLOOKUP($A469, 'Customer Names'!$A:$A, 'Customer Names'!B:B, "No Data")</f>
        <v>Glasson</v>
      </c>
      <c r="C469" s="28">
        <f t="array" ref="C469">_xlfn.XLOOKUP($A469, 'Medical Examinations'!$A:$A, 'Medical Examinations'!B:B, "No Data")</f>
        <v>26.6</v>
      </c>
      <c r="D469" s="28">
        <f t="array" ref="D469">_xlfn.XLOOKUP($A469, 'Medical Examinations'!$A:$A, 'Medical Examinations'!C:C, "No Data")</f>
        <v>4.53</v>
      </c>
      <c r="E469" s="28" t="str">
        <f t="array" ref="E469">_xlfn.XLOOKUP($A469, 'Medical Examinations'!$A:$A, 'Medical Examinations'!D:D, "No Data")</f>
        <v>No</v>
      </c>
      <c r="F469" s="28" t="str">
        <f t="array" ref="F469">_xlfn.XLOOKUP($A469, 'Medical Examinations'!$A:$A, 'Medical Examinations'!E:E, "No Data")</f>
        <v>No</v>
      </c>
      <c r="G469" s="28" t="str">
        <f t="array" ref="G469">_xlfn.XLOOKUP($A469, 'Medical Examinations'!$A:$A, 'Medical Examinations'!F:F, "No Data")</f>
        <v>No</v>
      </c>
      <c r="H469" s="28">
        <f t="array" ref="H469">_xlfn.XLOOKUP($A469, 'Medical Examinations'!$A:$A, 'Medical Examinations'!G:G, "No Data")</f>
        <v>0</v>
      </c>
      <c r="I469" s="28" t="str">
        <f t="array" ref="I469">_xlfn.XLOOKUP($A469, 'Medical Examinations'!$A:$A, 'Medical Examinations'!H:H, "No Data")</f>
        <v>yes</v>
      </c>
      <c r="J469" s="28" t="str">
        <f t="array" ref="J469">_xlfn.XLOOKUP($A469, 'Medical Examinations'!$A:$A, 'Medical Examinations'!I:I, "No Data")</f>
        <v>Overweight</v>
      </c>
      <c r="K469" s="28" t="str">
        <f t="array" ref="K469">_xlfn.XLOOKUP($A469, 'Hospitalisation Details'!$A:$A, 'Hospitalisation Details'!I:I, "No Data")</f>
        <v>tier - 1</v>
      </c>
      <c r="L469" s="28" t="str">
        <f t="array" ref="L469">_xlfn.XLOOKUP($A469, 'Hospitalisation Details'!$A:$A, 'Hospitalisation Details'!J:J, "No Data")</f>
        <v>R1012</v>
      </c>
      <c r="M469" s="28" t="str">
        <f t="array" ref="M469">_xlfn.XLOOKUP($A469, 'Hospitalisation Details'!$A:$A, 'Hospitalisation Details'!E:E, "No Data")</f>
        <v>04/09/80</v>
      </c>
      <c r="N469" s="28">
        <f t="array" ref="N469">_xlfn.XLOOKUP($A469, 'Hospitalisation Details'!$A:$A, 'Hospitalisation Details'!K:K, "No Data")</f>
        <v>42</v>
      </c>
      <c r="O469" s="33">
        <f t="array" ref="O469">_xlfn.XLOOKUP($A469, 'Hospitalisation Details'!$A:$A, 'Hospitalisation Details'!G:G, "No Data")</f>
        <v>21348.71</v>
      </c>
      <c r="P469" s="28" t="str">
        <f t="array" ref="P469">_xlfn.XLOOKUP($A469, 'Hospitalisation Details'!$A:$A, 'Hospitalisation Details'!H:H, "No Data")</f>
        <v>tier - 2</v>
      </c>
    </row>
    <row r="470">
      <c r="A470" s="25" t="s">
        <v>1522</v>
      </c>
      <c r="B470" s="28" t="str">
        <f t="array" ref="B470">_xlfn.XLOOKUP($A470, 'Customer Names'!$A:$A, 'Customer Names'!B:B, "No Data")</f>
        <v>Canitz</v>
      </c>
      <c r="C470" s="28">
        <f t="array" ref="C470">_xlfn.XLOOKUP($A470, 'Medical Examinations'!$A:$A, 'Medical Examinations'!B:B, "No Data")</f>
        <v>30.115</v>
      </c>
      <c r="D470" s="28">
        <f t="array" ref="D470">_xlfn.XLOOKUP($A470, 'Medical Examinations'!$A:$A, 'Medical Examinations'!C:C, "No Data")</f>
        <v>5.48</v>
      </c>
      <c r="E470" s="28" t="str">
        <f t="array" ref="E470">_xlfn.XLOOKUP($A470, 'Medical Examinations'!$A:$A, 'Medical Examinations'!D:D, "No Data")</f>
        <v>No</v>
      </c>
      <c r="F470" s="28" t="str">
        <f t="array" ref="F470">_xlfn.XLOOKUP($A470, 'Medical Examinations'!$A:$A, 'Medical Examinations'!E:E, "No Data")</f>
        <v>yes</v>
      </c>
      <c r="G470" s="28" t="str">
        <f t="array" ref="G470">_xlfn.XLOOKUP($A470, 'Medical Examinations'!$A:$A, 'Medical Examinations'!F:F, "No Data")</f>
        <v>No</v>
      </c>
      <c r="H470" s="28">
        <f t="array" ref="H470">_xlfn.XLOOKUP($A470, 'Medical Examinations'!$A:$A, 'Medical Examinations'!G:G, "No Data")</f>
        <v>1</v>
      </c>
      <c r="I470" s="28" t="str">
        <f t="array" ref="I470">_xlfn.XLOOKUP($A470, 'Medical Examinations'!$A:$A, 'Medical Examinations'!H:H, "No Data")</f>
        <v>No</v>
      </c>
      <c r="J470" s="28" t="str">
        <f t="array" ref="J470">_xlfn.XLOOKUP($A470, 'Medical Examinations'!$A:$A, 'Medical Examinations'!I:I, "No Data")</f>
        <v>Obesity</v>
      </c>
      <c r="K470" s="28" t="str">
        <f t="array" ref="K470">_xlfn.XLOOKUP($A470, 'Hospitalisation Details'!$A:$A, 'Hospitalisation Details'!I:I, "No Data")</f>
        <v>tier - 1</v>
      </c>
      <c r="L470" s="28" t="str">
        <f t="array" ref="L470">_xlfn.XLOOKUP($A470, 'Hospitalisation Details'!$A:$A, 'Hospitalisation Details'!J:J, "No Data")</f>
        <v>R1024</v>
      </c>
      <c r="M470" s="28" t="str">
        <f t="array" ref="M470">_xlfn.XLOOKUP($A470, 'Hospitalisation Details'!$A:$A, 'Hospitalisation Details'!E:E, "No Data")</f>
        <v>04/08/04</v>
      </c>
      <c r="N470" s="28">
        <f t="array" ref="N470">_xlfn.XLOOKUP($A470, 'Hospitalisation Details'!$A:$A, 'Hospitalisation Details'!K:K, "No Data")</f>
        <v>18</v>
      </c>
      <c r="O470" s="33">
        <f t="array" ref="O470">_xlfn.XLOOKUP($A470, 'Hospitalisation Details'!$A:$A, 'Hospitalisation Details'!G:G, "No Data")</f>
        <v>21344.85</v>
      </c>
      <c r="P470" s="28" t="str">
        <f t="array" ref="P470">_xlfn.XLOOKUP($A470, 'Hospitalisation Details'!$A:$A, 'Hospitalisation Details'!H:H, "No Data")</f>
        <v>tier - 3</v>
      </c>
    </row>
    <row r="471">
      <c r="A471" s="25" t="s">
        <v>1525</v>
      </c>
      <c r="B471" s="28" t="str">
        <f t="array" ref="B471">_xlfn.XLOOKUP($A471, 'Customer Names'!$A:$A, 'Customer Names'!B:B, "No Data")</f>
        <v>Li</v>
      </c>
      <c r="C471" s="28">
        <f t="array" ref="C471">_xlfn.XLOOKUP($A471, 'Medical Examinations'!$A:$A, 'Medical Examinations'!B:B, "No Data")</f>
        <v>24.605</v>
      </c>
      <c r="D471" s="28">
        <f t="array" ref="D471">_xlfn.XLOOKUP($A471, 'Medical Examinations'!$A:$A, 'Medical Examinations'!C:C, "No Data")</f>
        <v>5.48</v>
      </c>
      <c r="E471" s="28" t="str">
        <f t="array" ref="E471">_xlfn.XLOOKUP($A471, 'Medical Examinations'!$A:$A, 'Medical Examinations'!D:D, "No Data")</f>
        <v>No</v>
      </c>
      <c r="F471" s="28" t="str">
        <f t="array" ref="F471">_xlfn.XLOOKUP($A471, 'Medical Examinations'!$A:$A, 'Medical Examinations'!E:E, "No Data")</f>
        <v>No</v>
      </c>
      <c r="G471" s="28" t="str">
        <f t="array" ref="G471">_xlfn.XLOOKUP($A471, 'Medical Examinations'!$A:$A, 'Medical Examinations'!F:F, "No Data")</f>
        <v>No</v>
      </c>
      <c r="H471" s="28">
        <f t="array" ref="H471">_xlfn.XLOOKUP($A471, 'Medical Examinations'!$A:$A, 'Medical Examinations'!G:G, "No Data")</f>
        <v>0</v>
      </c>
      <c r="I471" s="28" t="str">
        <f t="array" ref="I471">_xlfn.XLOOKUP($A471, 'Medical Examinations'!$A:$A, 'Medical Examinations'!H:H, "No Data")</f>
        <v>yes</v>
      </c>
      <c r="J471" s="28" t="str">
        <f t="array" ref="J471">_xlfn.XLOOKUP($A471, 'Medical Examinations'!$A:$A, 'Medical Examinations'!I:I, "No Data")</f>
        <v>Normal Weight</v>
      </c>
      <c r="K471" s="28" t="str">
        <f t="array" ref="K471">_xlfn.XLOOKUP($A471, 'Hospitalisation Details'!$A:$A, 'Hospitalisation Details'!I:I, "No Data")</f>
        <v>tier - 3</v>
      </c>
      <c r="L471" s="28" t="str">
        <f t="array" ref="L471">_xlfn.XLOOKUP($A471, 'Hospitalisation Details'!$A:$A, 'Hospitalisation Details'!J:J, "No Data")</f>
        <v>R1019</v>
      </c>
      <c r="M471" s="28" t="str">
        <f t="array" ref="M471">_xlfn.XLOOKUP($A471, 'Hospitalisation Details'!$A:$A, 'Hospitalisation Details'!E:E, "No Data")</f>
        <v>10/12/80</v>
      </c>
      <c r="N471" s="28">
        <f t="array" ref="N471">_xlfn.XLOOKUP($A471, 'Hospitalisation Details'!$A:$A, 'Hospitalisation Details'!K:K, "No Data")</f>
        <v>42</v>
      </c>
      <c r="O471" s="33">
        <f t="array" ref="O471">_xlfn.XLOOKUP($A471, 'Hospitalisation Details'!$A:$A, 'Hospitalisation Details'!G:G, "No Data")</f>
        <v>21259.38</v>
      </c>
      <c r="P471" s="28" t="str">
        <f t="array" ref="P471">_xlfn.XLOOKUP($A471, 'Hospitalisation Details'!$A:$A, 'Hospitalisation Details'!H:H, "No Data")</f>
        <v>tier - 3</v>
      </c>
    </row>
    <row r="472">
      <c r="A472" s="25" t="s">
        <v>1529</v>
      </c>
      <c r="B472" s="28" t="str">
        <f t="array" ref="B472">_xlfn.XLOOKUP($A472, 'Customer Names'!$A:$A, 'Customer Names'!B:B, "No Data")</f>
        <v>Parsons</v>
      </c>
      <c r="C472" s="28">
        <f t="array" ref="C472">_xlfn.XLOOKUP($A472, 'Medical Examinations'!$A:$A, 'Medical Examinations'!B:B, "No Data")</f>
        <v>29.6</v>
      </c>
      <c r="D472" s="28">
        <f t="array" ref="D472">_xlfn.XLOOKUP($A472, 'Medical Examinations'!$A:$A, 'Medical Examinations'!C:C, "No Data")</f>
        <v>8.1</v>
      </c>
      <c r="E472" s="28" t="str">
        <f t="array" ref="E472">_xlfn.XLOOKUP($A472, 'Medical Examinations'!$A:$A, 'Medical Examinations'!D:D, "No Data")</f>
        <v>No</v>
      </c>
      <c r="F472" s="28" t="str">
        <f t="array" ref="F472">_xlfn.XLOOKUP($A472, 'Medical Examinations'!$A:$A, 'Medical Examinations'!E:E, "No Data")</f>
        <v>No</v>
      </c>
      <c r="G472" s="28" t="str">
        <f t="array" ref="G472">_xlfn.XLOOKUP($A472, 'Medical Examinations'!$A:$A, 'Medical Examinations'!F:F, "No Data")</f>
        <v>No</v>
      </c>
      <c r="H472" s="28">
        <f t="array" ref="H472">_xlfn.XLOOKUP($A472, 'Medical Examinations'!$A:$A, 'Medical Examinations'!G:G, "No Data")</f>
        <v>0</v>
      </c>
      <c r="I472" s="28" t="str">
        <f t="array" ref="I472">_xlfn.XLOOKUP($A472, 'Medical Examinations'!$A:$A, 'Medical Examinations'!H:H, "No Data")</f>
        <v>No</v>
      </c>
      <c r="J472" s="28" t="str">
        <f t="array" ref="J472">_xlfn.XLOOKUP($A472, 'Medical Examinations'!$A:$A, 'Medical Examinations'!I:I, "No Data")</f>
        <v>Overweight</v>
      </c>
      <c r="K472" s="28" t="str">
        <f t="array" ref="K472">_xlfn.XLOOKUP($A472, 'Hospitalisation Details'!$A:$A, 'Hospitalisation Details'!I:I, "No Data")</f>
        <v>tier - 2</v>
      </c>
      <c r="L472" s="28" t="str">
        <f t="array" ref="L472">_xlfn.XLOOKUP($A472, 'Hospitalisation Details'!$A:$A, 'Hospitalisation Details'!J:J, "No Data")</f>
        <v>R1011</v>
      </c>
      <c r="M472" s="28" t="str">
        <f t="array" ref="M472">_xlfn.XLOOKUP($A472, 'Hospitalisation Details'!$A:$A, 'Hospitalisation Details'!E:E, "No Data")</f>
        <v>03/09/74</v>
      </c>
      <c r="N472" s="28">
        <f t="array" ref="N472">_xlfn.XLOOKUP($A472, 'Hospitalisation Details'!$A:$A, 'Hospitalisation Details'!K:K, "No Data")</f>
        <v>48</v>
      </c>
      <c r="O472" s="33">
        <f t="array" ref="O472">_xlfn.XLOOKUP($A472, 'Hospitalisation Details'!$A:$A, 'Hospitalisation Details'!G:G, "No Data")</f>
        <v>21232.18</v>
      </c>
      <c r="P472" s="28" t="str">
        <f t="array" ref="P472">_xlfn.XLOOKUP($A472, 'Hospitalisation Details'!$A:$A, 'Hospitalisation Details'!H:H, "No Data")</f>
        <v>tier - 3</v>
      </c>
    </row>
    <row r="473">
      <c r="A473" s="25" t="s">
        <v>1532</v>
      </c>
      <c r="B473" s="28" t="str">
        <f t="array" ref="B473">_xlfn.XLOOKUP($A473, 'Customer Names'!$A:$A, 'Customer Names'!B:B, "No Data")</f>
        <v>Raulli</v>
      </c>
      <c r="C473" s="28">
        <f t="array" ref="C473">_xlfn.XLOOKUP($A473, 'Medical Examinations'!$A:$A, 'Medical Examinations'!B:B, "No Data")</f>
        <v>24.42</v>
      </c>
      <c r="D473" s="28">
        <f t="array" ref="D473">_xlfn.XLOOKUP($A473, 'Medical Examinations'!$A:$A, 'Medical Examinations'!C:C, "No Data")</f>
        <v>7.16</v>
      </c>
      <c r="E473" s="28" t="str">
        <f t="array" ref="E473">_xlfn.XLOOKUP($A473, 'Medical Examinations'!$A:$A, 'Medical Examinations'!D:D, "No Data")</f>
        <v>No</v>
      </c>
      <c r="F473" s="28" t="str">
        <f t="array" ref="F473">_xlfn.XLOOKUP($A473, 'Medical Examinations'!$A:$A, 'Medical Examinations'!E:E, "No Data")</f>
        <v>No</v>
      </c>
      <c r="G473" s="28" t="str">
        <f t="array" ref="G473">_xlfn.XLOOKUP($A473, 'Medical Examinations'!$A:$A, 'Medical Examinations'!F:F, "No Data")</f>
        <v>No</v>
      </c>
      <c r="H473" s="28">
        <f t="array" ref="H473">_xlfn.XLOOKUP($A473, 'Medical Examinations'!$A:$A, 'Medical Examinations'!G:G, "No Data")</f>
        <v>0</v>
      </c>
      <c r="I473" s="28" t="str">
        <f t="array" ref="I473">_xlfn.XLOOKUP($A473, 'Medical Examinations'!$A:$A, 'Medical Examinations'!H:H, "No Data")</f>
        <v>yes</v>
      </c>
      <c r="J473" s="28" t="str">
        <f t="array" ref="J473">_xlfn.XLOOKUP($A473, 'Medical Examinations'!$A:$A, 'Medical Examinations'!I:I, "No Data")</f>
        <v>Normal Weight</v>
      </c>
      <c r="K473" s="28" t="str">
        <f t="array" ref="K473">_xlfn.XLOOKUP($A473, 'Hospitalisation Details'!$A:$A, 'Hospitalisation Details'!I:I, "No Data")</f>
        <v>tier - 2</v>
      </c>
      <c r="L473" s="28" t="str">
        <f t="array" ref="L473">_xlfn.XLOOKUP($A473, 'Hospitalisation Details'!$A:$A, 'Hospitalisation Details'!J:J, "No Data")</f>
        <v>R1013</v>
      </c>
      <c r="M473" s="28" t="str">
        <f t="array" ref="M473">_xlfn.XLOOKUP($A473, 'Hospitalisation Details'!$A:$A, 'Hospitalisation Details'!E:E, "No Data")</f>
        <v>14/10/74</v>
      </c>
      <c r="N473" s="28">
        <f t="array" ref="N473">_xlfn.XLOOKUP($A473, 'Hospitalisation Details'!$A:$A, 'Hospitalisation Details'!K:K, "No Data")</f>
        <v>48</v>
      </c>
      <c r="O473" s="33">
        <f t="array" ref="O473">_xlfn.XLOOKUP($A473, 'Hospitalisation Details'!$A:$A, 'Hospitalisation Details'!G:G, "No Data")</f>
        <v>21223.68</v>
      </c>
      <c r="P473" s="28" t="str">
        <f t="array" ref="P473">_xlfn.XLOOKUP($A473, 'Hospitalisation Details'!$A:$A, 'Hospitalisation Details'!H:H, "No Data")</f>
        <v>tier - 3</v>
      </c>
    </row>
    <row r="474">
      <c r="A474" s="25" t="s">
        <v>1535</v>
      </c>
      <c r="B474" s="28" t="str">
        <f t="array" ref="B474">_xlfn.XLOOKUP($A474, 'Customer Names'!$A:$A, 'Customer Names'!B:B, "No Data")</f>
        <v>Frome</v>
      </c>
      <c r="C474" s="28">
        <f t="array" ref="C474">_xlfn.XLOOKUP($A474, 'Medical Examinations'!$A:$A, 'Medical Examinations'!B:B, "No Data")</f>
        <v>20.9</v>
      </c>
      <c r="D474" s="28">
        <f t="array" ref="D474">_xlfn.XLOOKUP($A474, 'Medical Examinations'!$A:$A, 'Medical Examinations'!C:C, "No Data")</f>
        <v>4.55</v>
      </c>
      <c r="E474" s="28" t="str">
        <f t="array" ref="E474">_xlfn.XLOOKUP($A474, 'Medical Examinations'!$A:$A, 'Medical Examinations'!D:D, "No Data")</f>
        <v>yes</v>
      </c>
      <c r="F474" s="28" t="str">
        <f t="array" ref="F474">_xlfn.XLOOKUP($A474, 'Medical Examinations'!$A:$A, 'Medical Examinations'!E:E, "No Data")</f>
        <v>No</v>
      </c>
      <c r="G474" s="28" t="str">
        <f t="array" ref="G474">_xlfn.XLOOKUP($A474, 'Medical Examinations'!$A:$A, 'Medical Examinations'!F:F, "No Data")</f>
        <v>Yes</v>
      </c>
      <c r="H474" s="28">
        <f t="array" ref="H474">_xlfn.XLOOKUP($A474, 'Medical Examinations'!$A:$A, 'Medical Examinations'!G:G, "No Data")</f>
        <v>1</v>
      </c>
      <c r="I474" s="28" t="str">
        <f t="array" ref="I474">_xlfn.XLOOKUP($A474, 'Medical Examinations'!$A:$A, 'Medical Examinations'!H:H, "No Data")</f>
        <v>yes</v>
      </c>
      <c r="J474" s="28" t="str">
        <f t="array" ref="J474">_xlfn.XLOOKUP($A474, 'Medical Examinations'!$A:$A, 'Medical Examinations'!I:I, "No Data")</f>
        <v>Normal Weight</v>
      </c>
      <c r="K474" s="28" t="str">
        <f t="array" ref="K474">_xlfn.XLOOKUP($A474, 'Hospitalisation Details'!$A:$A, 'Hospitalisation Details'!I:I, "No Data")</f>
        <v>tier - 1</v>
      </c>
      <c r="L474" s="28" t="str">
        <f t="array" ref="L474">_xlfn.XLOOKUP($A474, 'Hospitalisation Details'!$A:$A, 'Hospitalisation Details'!J:J, "No Data")</f>
        <v>R1013</v>
      </c>
      <c r="M474" s="28" t="str">
        <f t="array" ref="M474">_xlfn.XLOOKUP($A474, 'Hospitalisation Details'!$A:$A, 'Hospitalisation Details'!E:E, "No Data")</f>
        <v>26/08/69</v>
      </c>
      <c r="N474" s="28">
        <f t="array" ref="N474">_xlfn.XLOOKUP($A474, 'Hospitalisation Details'!$A:$A, 'Hospitalisation Details'!K:K, "No Data")</f>
        <v>53</v>
      </c>
      <c r="O474" s="33">
        <f t="array" ref="O474">_xlfn.XLOOKUP($A474, 'Hospitalisation Details'!$A:$A, 'Hospitalisation Details'!G:G, "No Data")</f>
        <v>21195.82</v>
      </c>
      <c r="P474" s="28" t="str">
        <f t="array" ref="P474">_xlfn.XLOOKUP($A474, 'Hospitalisation Details'!$A:$A, 'Hospitalisation Details'!H:H, "No Data")</f>
        <v>tier - 3</v>
      </c>
    </row>
    <row r="475">
      <c r="A475" s="25" t="s">
        <v>1537</v>
      </c>
      <c r="B475" s="28" t="str">
        <f t="array" ref="B475">_xlfn.XLOOKUP($A475, 'Customer Names'!$A:$A, 'Customer Names'!B:B, "No Data")</f>
        <v>Sevcik</v>
      </c>
      <c r="C475" s="28">
        <f t="array" ref="C475">_xlfn.XLOOKUP($A475, 'Medical Examinations'!$A:$A, 'Medical Examinations'!B:B, "No Data")</f>
        <v>22.895</v>
      </c>
      <c r="D475" s="28">
        <f t="array" ref="D475">_xlfn.XLOOKUP($A475, 'Medical Examinations'!$A:$A, 'Medical Examinations'!C:C, "No Data")</f>
        <v>6.03</v>
      </c>
      <c r="E475" s="28" t="str">
        <f t="array" ref="E475">_xlfn.XLOOKUP($A475, 'Medical Examinations'!$A:$A, 'Medical Examinations'!D:D, "No Data")</f>
        <v>No</v>
      </c>
      <c r="F475" s="28" t="str">
        <f t="array" ref="F475">_xlfn.XLOOKUP($A475, 'Medical Examinations'!$A:$A, 'Medical Examinations'!E:E, "No Data")</f>
        <v>No</v>
      </c>
      <c r="G475" s="28" t="str">
        <f t="array" ref="G475">_xlfn.XLOOKUP($A475, 'Medical Examinations'!$A:$A, 'Medical Examinations'!F:F, "No Data")</f>
        <v>No</v>
      </c>
      <c r="H475" s="28">
        <f t="array" ref="H475">_xlfn.XLOOKUP($A475, 'Medical Examinations'!$A:$A, 'Medical Examinations'!G:G, "No Data")</f>
        <v>0</v>
      </c>
      <c r="I475" s="28" t="str">
        <f t="array" ref="I475">_xlfn.XLOOKUP($A475, 'Medical Examinations'!$A:$A, 'Medical Examinations'!H:H, "No Data")</f>
        <v>yes</v>
      </c>
      <c r="J475" s="28" t="str">
        <f t="array" ref="J475">_xlfn.XLOOKUP($A475, 'Medical Examinations'!$A:$A, 'Medical Examinations'!I:I, "No Data")</f>
        <v>Normal Weight</v>
      </c>
      <c r="K475" s="28" t="str">
        <f t="array" ref="K475">_xlfn.XLOOKUP($A475, 'Hospitalisation Details'!$A:$A, 'Hospitalisation Details'!I:I, "No Data")</f>
        <v>tier - 3</v>
      </c>
      <c r="L475" s="28" t="str">
        <f t="array" ref="L475">_xlfn.XLOOKUP($A475, 'Hospitalisation Details'!$A:$A, 'Hospitalisation Details'!J:J, "No Data")</f>
        <v>R1012</v>
      </c>
      <c r="M475" s="28" t="str">
        <f t="array" ref="M475">_xlfn.XLOOKUP($A475, 'Hospitalisation Details'!$A:$A, 'Hospitalisation Details'!E:E, "No Data")</f>
        <v>23/11/77</v>
      </c>
      <c r="N475" s="28">
        <f t="array" ref="N475">_xlfn.XLOOKUP($A475, 'Hospitalisation Details'!$A:$A, 'Hospitalisation Details'!K:K, "No Data")</f>
        <v>45</v>
      </c>
      <c r="O475" s="33">
        <f t="array" ref="O475">_xlfn.XLOOKUP($A475, 'Hospitalisation Details'!$A:$A, 'Hospitalisation Details'!G:G, "No Data")</f>
        <v>21098.55</v>
      </c>
      <c r="P475" s="28" t="str">
        <f t="array" ref="P475">_xlfn.XLOOKUP($A475, 'Hospitalisation Details'!$A:$A, 'Hospitalisation Details'!H:H, "No Data")</f>
        <v>tier - 3</v>
      </c>
    </row>
    <row r="476">
      <c r="A476" s="25" t="s">
        <v>1539</v>
      </c>
      <c r="B476" s="28" t="str">
        <f t="array" ref="B476">_xlfn.XLOOKUP($A476, 'Customer Names'!$A:$A, 'Customer Names'!B:B, "No Data")</f>
        <v>Narang</v>
      </c>
      <c r="C476" s="28">
        <f t="array" ref="C476">_xlfn.XLOOKUP($A476, 'Medical Examinations'!$A:$A, 'Medical Examinations'!B:B, "No Data")</f>
        <v>28.3</v>
      </c>
      <c r="D476" s="28">
        <f t="array" ref="D476">_xlfn.XLOOKUP($A476, 'Medical Examinations'!$A:$A, 'Medical Examinations'!C:C, "No Data")</f>
        <v>5.47</v>
      </c>
      <c r="E476" s="28" t="str">
        <f t="array" ref="E476">_xlfn.XLOOKUP($A476, 'Medical Examinations'!$A:$A, 'Medical Examinations'!D:D, "No Data")</f>
        <v>yes</v>
      </c>
      <c r="F476" s="28" t="str">
        <f t="array" ref="F476">_xlfn.XLOOKUP($A476, 'Medical Examinations'!$A:$A, 'Medical Examinations'!E:E, "No Data")</f>
        <v>No</v>
      </c>
      <c r="G476" s="28" t="str">
        <f t="array" ref="G476">_xlfn.XLOOKUP($A476, 'Medical Examinations'!$A:$A, 'Medical Examinations'!F:F, "No Data")</f>
        <v>Yes</v>
      </c>
      <c r="H476" s="28">
        <f t="array" ref="H476">_xlfn.XLOOKUP($A476, 'Medical Examinations'!$A:$A, 'Medical Examinations'!G:G, "No Data")</f>
        <v>1</v>
      </c>
      <c r="I476" s="28" t="str">
        <f t="array" ref="I476">_xlfn.XLOOKUP($A476, 'Medical Examinations'!$A:$A, 'Medical Examinations'!H:H, "No Data")</f>
        <v>yes</v>
      </c>
      <c r="J476" s="28" t="str">
        <f t="array" ref="J476">_xlfn.XLOOKUP($A476, 'Medical Examinations'!$A:$A, 'Medical Examinations'!I:I, "No Data")</f>
        <v>Overweight</v>
      </c>
      <c r="K476" s="28" t="str">
        <f t="array" ref="K476">_xlfn.XLOOKUP($A476, 'Hospitalisation Details'!$A:$A, 'Hospitalisation Details'!I:I, "No Data")</f>
        <v>tier - 2</v>
      </c>
      <c r="L476" s="28" t="str">
        <f t="array" ref="L476">_xlfn.XLOOKUP($A476, 'Hospitalisation Details'!$A:$A, 'Hospitalisation Details'!J:J, "No Data")</f>
        <v>R1011</v>
      </c>
      <c r="M476" s="28" t="str">
        <f t="array" ref="M476">_xlfn.XLOOKUP($A476, 'Hospitalisation Details'!$A:$A, 'Hospitalisation Details'!E:E, "No Data")</f>
        <v>02/07/83</v>
      </c>
      <c r="N476" s="28">
        <f t="array" ref="N476">_xlfn.XLOOKUP($A476, 'Hospitalisation Details'!$A:$A, 'Hospitalisation Details'!K:K, "No Data")</f>
        <v>39</v>
      </c>
      <c r="O476" s="33">
        <f t="array" ref="O476">_xlfn.XLOOKUP($A476, 'Hospitalisation Details'!$A:$A, 'Hospitalisation Details'!G:G, "No Data")</f>
        <v>21082.16</v>
      </c>
      <c r="P476" s="28" t="str">
        <f t="array" ref="P476">_xlfn.XLOOKUP($A476, 'Hospitalisation Details'!$A:$A, 'Hospitalisation Details'!H:H, "No Data")</f>
        <v>tier - 3</v>
      </c>
    </row>
    <row r="477">
      <c r="A477" s="25" t="s">
        <v>1542</v>
      </c>
      <c r="B477" s="28" t="str">
        <f t="array" ref="B477">_xlfn.XLOOKUP($A477, 'Customer Names'!$A:$A, 'Customer Names'!B:B, "No Data")</f>
        <v>Royston</v>
      </c>
      <c r="C477" s="28">
        <f t="array" ref="C477">_xlfn.XLOOKUP($A477, 'Medical Examinations'!$A:$A, 'Medical Examinations'!B:B, "No Data")</f>
        <v>54.3</v>
      </c>
      <c r="D477" s="28">
        <f t="array" ref="D477">_xlfn.XLOOKUP($A477, 'Medical Examinations'!$A:$A, 'Medical Examinations'!C:C, "No Data")</f>
        <v>4.15</v>
      </c>
      <c r="E477" s="28" t="str">
        <f t="array" ref="E477">_xlfn.XLOOKUP($A477, 'Medical Examinations'!$A:$A, 'Medical Examinations'!D:D, "No Data")</f>
        <v>yes</v>
      </c>
      <c r="F477" s="28" t="str">
        <f t="array" ref="F477">_xlfn.XLOOKUP($A477, 'Medical Examinations'!$A:$A, 'Medical Examinations'!E:E, "No Data")</f>
        <v>No</v>
      </c>
      <c r="G477" s="28" t="str">
        <f t="array" ref="G477">_xlfn.XLOOKUP($A477, 'Medical Examinations'!$A:$A, 'Medical Examinations'!F:F, "No Data")</f>
        <v>No</v>
      </c>
      <c r="H477" s="28">
        <f t="array" ref="H477">_xlfn.XLOOKUP($A477, 'Medical Examinations'!$A:$A, 'Medical Examinations'!G:G, "No Data")</f>
        <v>1</v>
      </c>
      <c r="I477" s="28" t="str">
        <f t="array" ref="I477">_xlfn.XLOOKUP($A477, 'Medical Examinations'!$A:$A, 'Medical Examinations'!H:H, "No Data")</f>
        <v>No</v>
      </c>
      <c r="J477" s="28" t="str">
        <f t="array" ref="J477">_xlfn.XLOOKUP($A477, 'Medical Examinations'!$A:$A, 'Medical Examinations'!I:I, "No Data")</f>
        <v>Obesity</v>
      </c>
      <c r="K477" s="28" t="str">
        <f t="array" ref="K477">_xlfn.XLOOKUP($A477, 'Hospitalisation Details'!$A:$A, 'Hospitalisation Details'!I:I, "No Data")</f>
        <v>tier - 3</v>
      </c>
      <c r="L477" s="28" t="str">
        <f t="array" ref="L477">_xlfn.XLOOKUP($A477, 'Hospitalisation Details'!$A:$A, 'Hospitalisation Details'!J:J, "No Data")</f>
        <v>R1012</v>
      </c>
      <c r="M477" s="28" t="str">
        <f t="array" ref="M477">_xlfn.XLOOKUP($A477, 'Hospitalisation Details'!$A:$A, 'Hospitalisation Details'!E:E, "No Data")</f>
        <v>19/11/64</v>
      </c>
      <c r="N477" s="28">
        <f t="array" ref="N477">_xlfn.XLOOKUP($A477, 'Hospitalisation Details'!$A:$A, 'Hospitalisation Details'!K:K, "No Data")</f>
        <v>58</v>
      </c>
      <c r="O477" s="33">
        <f t="array" ref="O477">_xlfn.XLOOKUP($A477, 'Hospitalisation Details'!$A:$A, 'Hospitalisation Details'!G:G, "No Data")</f>
        <v>20893.06</v>
      </c>
      <c r="P477" s="28" t="str">
        <f t="array" ref="P477">_xlfn.XLOOKUP($A477, 'Hospitalisation Details'!$A:$A, 'Hospitalisation Details'!H:H, "No Data")</f>
        <v>tier - 2</v>
      </c>
    </row>
    <row r="478">
      <c r="A478" s="25" t="s">
        <v>1545</v>
      </c>
      <c r="B478" s="28" t="str">
        <f t="array" ref="B478">_xlfn.XLOOKUP($A478, 'Customer Names'!$A:$A, 'Customer Names'!B:B, "No Data")</f>
        <v>Tieri</v>
      </c>
      <c r="C478" s="28">
        <f t="array" ref="C478">_xlfn.XLOOKUP($A478, 'Medical Examinations'!$A:$A, 'Medical Examinations'!B:B, "No Data")</f>
        <v>33.345</v>
      </c>
      <c r="D478" s="28">
        <f t="array" ref="D478">_xlfn.XLOOKUP($A478, 'Medical Examinations'!$A:$A, 'Medical Examinations'!C:C, "No Data")</f>
        <v>11.32</v>
      </c>
      <c r="E478" s="28" t="str">
        <f t="array" ref="E478">_xlfn.XLOOKUP($A478, 'Medical Examinations'!$A:$A, 'Medical Examinations'!D:D, "No Data")</f>
        <v>yes</v>
      </c>
      <c r="F478" s="28" t="str">
        <f t="array" ref="F478">_xlfn.XLOOKUP($A478, 'Medical Examinations'!$A:$A, 'Medical Examinations'!E:E, "No Data")</f>
        <v>No</v>
      </c>
      <c r="G478" s="28" t="str">
        <f t="array" ref="G478">_xlfn.XLOOKUP($A478, 'Medical Examinations'!$A:$A, 'Medical Examinations'!F:F, "No Data")</f>
        <v>No</v>
      </c>
      <c r="H478" s="28">
        <f t="array" ref="H478">_xlfn.XLOOKUP($A478, 'Medical Examinations'!$A:$A, 'Medical Examinations'!G:G, "No Data")</f>
        <v>1</v>
      </c>
      <c r="I478" s="28" t="str">
        <f t="array" ref="I478">_xlfn.XLOOKUP($A478, 'Medical Examinations'!$A:$A, 'Medical Examinations'!H:H, "No Data")</f>
        <v>No</v>
      </c>
      <c r="J478" s="28" t="str">
        <f t="array" ref="J478">_xlfn.XLOOKUP($A478, 'Medical Examinations'!$A:$A, 'Medical Examinations'!I:I, "No Data")</f>
        <v>Obesity</v>
      </c>
      <c r="K478" s="28" t="str">
        <f t="array" ref="K478">_xlfn.XLOOKUP($A478, 'Hospitalisation Details'!$A:$A, 'Hospitalisation Details'!I:I, "No Data")</f>
        <v>tier - 1</v>
      </c>
      <c r="L478" s="28" t="str">
        <f t="array" ref="L478">_xlfn.XLOOKUP($A478, 'Hospitalisation Details'!$A:$A, 'Hospitalisation Details'!J:J, "No Data")</f>
        <v>R1024</v>
      </c>
      <c r="M478" s="28" t="str">
        <f t="array" ref="M478">_xlfn.XLOOKUP($A478, 'Hospitalisation Details'!$A:$A, 'Hospitalisation Details'!E:E, "No Data")</f>
        <v>08/12/75</v>
      </c>
      <c r="N478" s="28">
        <f t="array" ref="N478">_xlfn.XLOOKUP($A478, 'Hospitalisation Details'!$A:$A, 'Hospitalisation Details'!K:K, "No Data")</f>
        <v>47</v>
      </c>
      <c r="O478" s="33">
        <f t="array" ref="O478">_xlfn.XLOOKUP($A478, 'Hospitalisation Details'!$A:$A, 'Hospitalisation Details'!G:G, "No Data")</f>
        <v>20878.78</v>
      </c>
      <c r="P478" s="28" t="str">
        <f t="array" ref="P478">_xlfn.XLOOKUP($A478, 'Hospitalisation Details'!$A:$A, 'Hospitalisation Details'!H:H, "No Data")</f>
        <v>tier - 2</v>
      </c>
    </row>
    <row r="479">
      <c r="A479" s="25" t="s">
        <v>1548</v>
      </c>
      <c r="B479" s="28" t="str">
        <f t="array" ref="B479">_xlfn.XLOOKUP($A479, 'Customer Names'!$A:$A, 'Customer Names'!B:B, "No Data")</f>
        <v>Whitney</v>
      </c>
      <c r="C479" s="28">
        <f t="array" ref="C479">_xlfn.XLOOKUP($A479, 'Medical Examinations'!$A:$A, 'Medical Examinations'!B:B, "No Data")</f>
        <v>33</v>
      </c>
      <c r="D479" s="28">
        <f t="array" ref="D479">_xlfn.XLOOKUP($A479, 'Medical Examinations'!$A:$A, 'Medical Examinations'!C:C, "No Data")</f>
        <v>9.51</v>
      </c>
      <c r="E479" s="28" t="str">
        <f t="array" ref="E479">_xlfn.XLOOKUP($A479, 'Medical Examinations'!$A:$A, 'Medical Examinations'!D:D, "No Data")</f>
        <v>yes</v>
      </c>
      <c r="F479" s="28" t="str">
        <f t="array" ref="F479">_xlfn.XLOOKUP($A479, 'Medical Examinations'!$A:$A, 'Medical Examinations'!E:E, "No Data")</f>
        <v>No</v>
      </c>
      <c r="G479" s="28" t="str">
        <f t="array" ref="G479">_xlfn.XLOOKUP($A479, 'Medical Examinations'!$A:$A, 'Medical Examinations'!F:F, "No Data")</f>
        <v>No</v>
      </c>
      <c r="H479" s="28">
        <f t="array" ref="H479">_xlfn.XLOOKUP($A479, 'Medical Examinations'!$A:$A, 'Medical Examinations'!G:G, "No Data")</f>
        <v>0</v>
      </c>
      <c r="I479" s="28" t="str">
        <f t="array" ref="I479">_xlfn.XLOOKUP($A479, 'Medical Examinations'!$A:$A, 'Medical Examinations'!H:H, "No Data")</f>
        <v>No</v>
      </c>
      <c r="J479" s="28" t="str">
        <f t="array" ref="J479">_xlfn.XLOOKUP($A479, 'Medical Examinations'!$A:$A, 'Medical Examinations'!I:I, "No Data")</f>
        <v>Obesity</v>
      </c>
      <c r="K479" s="28" t="str">
        <f t="array" ref="K479">_xlfn.XLOOKUP($A479, 'Hospitalisation Details'!$A:$A, 'Hospitalisation Details'!I:I, "No Data")</f>
        <v>tier - 3</v>
      </c>
      <c r="L479" s="28" t="str">
        <f t="array" ref="L479">_xlfn.XLOOKUP($A479, 'Hospitalisation Details'!$A:$A, 'Hospitalisation Details'!J:J, "No Data")</f>
        <v>R1013</v>
      </c>
      <c r="M479" s="28" t="str">
        <f t="array" ref="M479">_xlfn.XLOOKUP($A479, 'Hospitalisation Details'!$A:$A, 'Hospitalisation Details'!E:E, "No Data")</f>
        <v>08/09/67</v>
      </c>
      <c r="N479" s="28">
        <f t="array" ref="N479">_xlfn.XLOOKUP($A479, 'Hospitalisation Details'!$A:$A, 'Hospitalisation Details'!K:K, "No Data")</f>
        <v>55</v>
      </c>
      <c r="O479" s="33">
        <f t="array" ref="O479">_xlfn.XLOOKUP($A479, 'Hospitalisation Details'!$A:$A, 'Hospitalisation Details'!G:G, "No Data")</f>
        <v>20781.49</v>
      </c>
      <c r="P479" s="28" t="str">
        <f t="array" ref="P479">_xlfn.XLOOKUP($A479, 'Hospitalisation Details'!$A:$A, 'Hospitalisation Details'!H:H, "No Data")</f>
        <v>tier - 2</v>
      </c>
    </row>
    <row r="480">
      <c r="A480" s="25" t="s">
        <v>1551</v>
      </c>
      <c r="B480" s="28" t="str">
        <f t="array" ref="B480">_xlfn.XLOOKUP($A480, 'Customer Names'!$A:$A, 'Customer Names'!B:B, "No Data")</f>
        <v>Wandzilak</v>
      </c>
      <c r="C480" s="28">
        <f t="array" ref="C480">_xlfn.XLOOKUP($A480, 'Medical Examinations'!$A:$A, 'Medical Examinations'!B:B, "No Data")</f>
        <v>28.025</v>
      </c>
      <c r="D480" s="28">
        <f t="array" ref="D480">_xlfn.XLOOKUP($A480, 'Medical Examinations'!$A:$A, 'Medical Examinations'!C:C, "No Data")</f>
        <v>7.67</v>
      </c>
      <c r="E480" s="28" t="str">
        <f t="array" ref="E480">_xlfn.XLOOKUP($A480, 'Medical Examinations'!$A:$A, 'Medical Examinations'!D:D, "No Data")</f>
        <v>yes</v>
      </c>
      <c r="F480" s="28" t="str">
        <f t="array" ref="F480">_xlfn.XLOOKUP($A480, 'Medical Examinations'!$A:$A, 'Medical Examinations'!E:E, "No Data")</f>
        <v>No</v>
      </c>
      <c r="G480" s="28" t="str">
        <f t="array" ref="G480">_xlfn.XLOOKUP($A480, 'Medical Examinations'!$A:$A, 'Medical Examinations'!F:F, "No Data")</f>
        <v>No</v>
      </c>
      <c r="H480" s="28">
        <f t="array" ref="H480">_xlfn.XLOOKUP($A480, 'Medical Examinations'!$A:$A, 'Medical Examinations'!G:G, "No Data")</f>
        <v>1</v>
      </c>
      <c r="I480" s="28" t="str">
        <f t="array" ref="I480">_xlfn.XLOOKUP($A480, 'Medical Examinations'!$A:$A, 'Medical Examinations'!H:H, "No Data")</f>
        <v>yes</v>
      </c>
      <c r="J480" s="28" t="str">
        <f t="array" ref="J480">_xlfn.XLOOKUP($A480, 'Medical Examinations'!$A:$A, 'Medical Examinations'!I:I, "No Data")</f>
        <v>Overweight</v>
      </c>
      <c r="K480" s="28" t="str">
        <f t="array" ref="K480">_xlfn.XLOOKUP($A480, 'Hospitalisation Details'!$A:$A, 'Hospitalisation Details'!I:I, "No Data")</f>
        <v>tier - 3</v>
      </c>
      <c r="L480" s="28" t="str">
        <f t="array" ref="L480">_xlfn.XLOOKUP($A480, 'Hospitalisation Details'!$A:$A, 'Hospitalisation Details'!J:J, "No Data")</f>
        <v>R1017</v>
      </c>
      <c r="M480" s="28" t="str">
        <f t="array" ref="M480">_xlfn.XLOOKUP($A480, 'Hospitalisation Details'!$A:$A, 'Hospitalisation Details'!E:E, "No Data")</f>
        <v>04/08/86</v>
      </c>
      <c r="N480" s="28">
        <f t="array" ref="N480">_xlfn.XLOOKUP($A480, 'Hospitalisation Details'!$A:$A, 'Hospitalisation Details'!K:K, "No Data")</f>
        <v>36</v>
      </c>
      <c r="O480" s="33">
        <f t="array" ref="O480">_xlfn.XLOOKUP($A480, 'Hospitalisation Details'!$A:$A, 'Hospitalisation Details'!G:G, "No Data")</f>
        <v>20773.63</v>
      </c>
      <c r="P480" s="28" t="str">
        <f t="array" ref="P480">_xlfn.XLOOKUP($A480, 'Hospitalisation Details'!$A:$A, 'Hospitalisation Details'!H:H, "No Data")</f>
        <v>tier - 2</v>
      </c>
    </row>
    <row r="481">
      <c r="A481" s="25" t="s">
        <v>1554</v>
      </c>
      <c r="B481" s="28" t="str">
        <f t="array" ref="B481">_xlfn.XLOOKUP($A481, 'Customer Names'!$A:$A, 'Customer Names'!B:B, "No Data")</f>
        <v>Valenzona</v>
      </c>
      <c r="C481" s="28">
        <f t="array" ref="C481">_xlfn.XLOOKUP($A481, 'Medical Examinations'!$A:$A, 'Medical Examinations'!B:B, "No Data")</f>
        <v>28.69</v>
      </c>
      <c r="D481" s="28">
        <f t="array" ref="D481">_xlfn.XLOOKUP($A481, 'Medical Examinations'!$A:$A, 'Medical Examinations'!C:C, "No Data")</f>
        <v>6.23</v>
      </c>
      <c r="E481" s="28" t="str">
        <f t="array" ref="E481">_xlfn.XLOOKUP($A481, 'Medical Examinations'!$A:$A, 'Medical Examinations'!D:D, "No Data")</f>
        <v>No</v>
      </c>
      <c r="F481" s="28" t="str">
        <f t="array" ref="F481">_xlfn.XLOOKUP($A481, 'Medical Examinations'!$A:$A, 'Medical Examinations'!E:E, "No Data")</f>
        <v>No</v>
      </c>
      <c r="G481" s="28" t="str">
        <f t="array" ref="G481">_xlfn.XLOOKUP($A481, 'Medical Examinations'!$A:$A, 'Medical Examinations'!F:F, "No Data")</f>
        <v>No</v>
      </c>
      <c r="H481" s="28">
        <f t="array" ref="H481">_xlfn.XLOOKUP($A481, 'Medical Examinations'!$A:$A, 'Medical Examinations'!G:G, "No Data")</f>
        <v>1</v>
      </c>
      <c r="I481" s="28" t="str">
        <f t="array" ref="I481">_xlfn.XLOOKUP($A481, 'Medical Examinations'!$A:$A, 'Medical Examinations'!H:H, "No Data")</f>
        <v>yes</v>
      </c>
      <c r="J481" s="28" t="str">
        <f t="array" ref="J481">_xlfn.XLOOKUP($A481, 'Medical Examinations'!$A:$A, 'Medical Examinations'!I:I, "No Data")</f>
        <v>Overweight</v>
      </c>
      <c r="K481" s="28" t="str">
        <f t="array" ref="K481">_xlfn.XLOOKUP($A481, 'Hospitalisation Details'!$A:$A, 'Hospitalisation Details'!I:I, "No Data")</f>
        <v>tier - 1</v>
      </c>
      <c r="L481" s="28" t="str">
        <f t="array" ref="L481">_xlfn.XLOOKUP($A481, 'Hospitalisation Details'!$A:$A, 'Hospitalisation Details'!J:J, "No Data")</f>
        <v>R1012</v>
      </c>
      <c r="M481" s="28" t="str">
        <f t="array" ref="M481">_xlfn.XLOOKUP($A481, 'Hospitalisation Details'!$A:$A, 'Hospitalisation Details'!E:E, "No Data")</f>
        <v>14/09/92</v>
      </c>
      <c r="N481" s="28">
        <f t="array" ref="N481">_xlfn.XLOOKUP($A481, 'Hospitalisation Details'!$A:$A, 'Hospitalisation Details'!K:K, "No Data")</f>
        <v>30</v>
      </c>
      <c r="O481" s="33">
        <f t="array" ref="O481">_xlfn.XLOOKUP($A481, 'Hospitalisation Details'!$A:$A, 'Hospitalisation Details'!G:G, "No Data")</f>
        <v>20745.99</v>
      </c>
      <c r="P481" s="28" t="str">
        <f t="array" ref="P481">_xlfn.XLOOKUP($A481, 'Hospitalisation Details'!$A:$A, 'Hospitalisation Details'!H:H, "No Data")</f>
        <v>tier - 3</v>
      </c>
    </row>
    <row r="482">
      <c r="A482" s="25" t="s">
        <v>1557</v>
      </c>
      <c r="B482" s="28" t="str">
        <f t="array" ref="B482">_xlfn.XLOOKUP($A482, 'Customer Names'!$A:$A, 'Customer Names'!B:B, "No Data")</f>
        <v>Young</v>
      </c>
      <c r="C482" s="28">
        <f t="array" ref="C482">_xlfn.XLOOKUP($A482, 'Medical Examinations'!$A:$A, 'Medical Examinations'!B:B, "No Data")</f>
        <v>40.28</v>
      </c>
      <c r="D482" s="28">
        <f t="array" ref="D482">_xlfn.XLOOKUP($A482, 'Medical Examinations'!$A:$A, 'Medical Examinations'!C:C, "No Data")</f>
        <v>8.9</v>
      </c>
      <c r="E482" s="28" t="str">
        <f t="array" ref="E482">_xlfn.XLOOKUP($A482, 'Medical Examinations'!$A:$A, 'Medical Examinations'!D:D, "No Data")</f>
        <v>No</v>
      </c>
      <c r="F482" s="28" t="str">
        <f t="array" ref="F482">_xlfn.XLOOKUP($A482, 'Medical Examinations'!$A:$A, 'Medical Examinations'!E:E, "No Data")</f>
        <v>No</v>
      </c>
      <c r="G482" s="28" t="str">
        <f t="array" ref="G482">_xlfn.XLOOKUP($A482, 'Medical Examinations'!$A:$A, 'Medical Examinations'!F:F, "No Data")</f>
        <v>No</v>
      </c>
      <c r="H482" s="28">
        <f t="array" ref="H482">_xlfn.XLOOKUP($A482, 'Medical Examinations'!$A:$A, 'Medical Examinations'!G:G, "No Data")</f>
        <v>0</v>
      </c>
      <c r="I482" s="28" t="str">
        <f t="array" ref="I482">_xlfn.XLOOKUP($A482, 'Medical Examinations'!$A:$A, 'Medical Examinations'!H:H, "No Data")</f>
        <v>No</v>
      </c>
      <c r="J482" s="28" t="str">
        <f t="array" ref="J482">_xlfn.XLOOKUP($A482, 'Medical Examinations'!$A:$A, 'Medical Examinations'!I:I, "No Data")</f>
        <v>Obesity</v>
      </c>
      <c r="K482" s="28" t="str">
        <f t="array" ref="K482">_xlfn.XLOOKUP($A482, 'Hospitalisation Details'!$A:$A, 'Hospitalisation Details'!I:I, "No Data")</f>
        <v>tier - 2</v>
      </c>
      <c r="L482" s="28" t="str">
        <f t="array" ref="L482">_xlfn.XLOOKUP($A482, 'Hospitalisation Details'!$A:$A, 'Hospitalisation Details'!J:J, "No Data")</f>
        <v>R1019</v>
      </c>
      <c r="M482" s="28" t="str">
        <f t="array" ref="M482">_xlfn.XLOOKUP($A482, 'Hospitalisation Details'!$A:$A, 'Hospitalisation Details'!E:E, "No Data")</f>
        <v>01/08/65</v>
      </c>
      <c r="N482" s="28">
        <f t="array" ref="N482">_xlfn.XLOOKUP($A482, 'Hospitalisation Details'!$A:$A, 'Hospitalisation Details'!K:K, "No Data")</f>
        <v>57</v>
      </c>
      <c r="O482" s="33">
        <f t="array" ref="O482">_xlfn.XLOOKUP($A482, 'Hospitalisation Details'!$A:$A, 'Hospitalisation Details'!G:G, "No Data")</f>
        <v>20709.02</v>
      </c>
      <c r="P482" s="28" t="str">
        <f t="array" ref="P482">_xlfn.XLOOKUP($A482, 'Hospitalisation Details'!$A:$A, 'Hospitalisation Details'!H:H, "No Data")</f>
        <v>tier - 3</v>
      </c>
    </row>
    <row r="483">
      <c r="A483" s="25" t="s">
        <v>1559</v>
      </c>
      <c r="B483" s="28" t="str">
        <f t="array" ref="B483">_xlfn.XLOOKUP($A483, 'Customer Names'!$A:$A, 'Customer Names'!B:B, "No Data")</f>
        <v>Richards</v>
      </c>
      <c r="C483" s="28">
        <f t="array" ref="C483">_xlfn.XLOOKUP($A483, 'Medical Examinations'!$A:$A, 'Medical Examinations'!B:B, "No Data")</f>
        <v>37.3</v>
      </c>
      <c r="D483" s="28">
        <f t="array" ref="D483">_xlfn.XLOOKUP($A483, 'Medical Examinations'!$A:$A, 'Medical Examinations'!C:C, "No Data")</f>
        <v>7.79</v>
      </c>
      <c r="E483" s="28" t="str">
        <f t="array" ref="E483">_xlfn.XLOOKUP($A483, 'Medical Examinations'!$A:$A, 'Medical Examinations'!D:D, "No Data")</f>
        <v>yes</v>
      </c>
      <c r="F483" s="28" t="str">
        <f t="array" ref="F483">_xlfn.XLOOKUP($A483, 'Medical Examinations'!$A:$A, 'Medical Examinations'!E:E, "No Data")</f>
        <v>No</v>
      </c>
      <c r="G483" s="28" t="str">
        <f t="array" ref="G483">_xlfn.XLOOKUP($A483, 'Medical Examinations'!$A:$A, 'Medical Examinations'!F:F, "No Data")</f>
        <v>No</v>
      </c>
      <c r="H483" s="28">
        <f t="array" ref="H483">_xlfn.XLOOKUP($A483, 'Medical Examinations'!$A:$A, 'Medical Examinations'!G:G, "No Data")</f>
        <v>0</v>
      </c>
      <c r="I483" s="28" t="str">
        <f t="array" ref="I483">_xlfn.XLOOKUP($A483, 'Medical Examinations'!$A:$A, 'Medical Examinations'!H:H, "No Data")</f>
        <v>No</v>
      </c>
      <c r="J483" s="28" t="str">
        <f t="array" ref="J483">_xlfn.XLOOKUP($A483, 'Medical Examinations'!$A:$A, 'Medical Examinations'!I:I, "No Data")</f>
        <v>Obesity</v>
      </c>
      <c r="K483" s="28" t="str">
        <f t="array" ref="K483">_xlfn.XLOOKUP($A483, 'Hospitalisation Details'!$A:$A, 'Hospitalisation Details'!I:I, "No Data")</f>
        <v>tier - 3</v>
      </c>
      <c r="L483" s="28" t="str">
        <f t="array" ref="L483">_xlfn.XLOOKUP($A483, 'Hospitalisation Details'!$A:$A, 'Hospitalisation Details'!J:J, "No Data")</f>
        <v>R1011</v>
      </c>
      <c r="M483" s="28" t="str">
        <f t="array" ref="M483">_xlfn.XLOOKUP($A483, 'Hospitalisation Details'!$A:$A, 'Hospitalisation Details'!E:E, "No Data")</f>
        <v>17/12/67</v>
      </c>
      <c r="N483" s="28">
        <f t="array" ref="N483">_xlfn.XLOOKUP($A483, 'Hospitalisation Details'!$A:$A, 'Hospitalisation Details'!K:K, "No Data")</f>
        <v>55</v>
      </c>
      <c r="O483" s="33">
        <f t="array" ref="O483">_xlfn.XLOOKUP($A483, 'Hospitalisation Details'!$A:$A, 'Hospitalisation Details'!G:G, "No Data")</f>
        <v>20630.28</v>
      </c>
      <c r="P483" s="28" t="str">
        <f t="array" ref="P483">_xlfn.XLOOKUP($A483, 'Hospitalisation Details'!$A:$A, 'Hospitalisation Details'!H:H, "No Data")</f>
        <v>tier - 2</v>
      </c>
    </row>
    <row r="484">
      <c r="A484" s="25" t="s">
        <v>1562</v>
      </c>
      <c r="B484" s="28" t="str">
        <f t="array" ref="B484">_xlfn.XLOOKUP($A484, 'Customer Names'!$A:$A, 'Customer Names'!B:B, "No Data")</f>
        <v>Alexson</v>
      </c>
      <c r="C484" s="28">
        <f t="array" ref="C484">_xlfn.XLOOKUP($A484, 'Medical Examinations'!$A:$A, 'Medical Examinations'!B:B, "No Data")</f>
        <v>54.47</v>
      </c>
      <c r="D484" s="28">
        <f t="array" ref="D484">_xlfn.XLOOKUP($A484, 'Medical Examinations'!$A:$A, 'Medical Examinations'!C:C, "No Data")</f>
        <v>4.49</v>
      </c>
      <c r="E484" s="28" t="str">
        <f t="array" ref="E484">_xlfn.XLOOKUP($A484, 'Medical Examinations'!$A:$A, 'Medical Examinations'!D:D, "No Data")</f>
        <v>yes</v>
      </c>
      <c r="F484" s="28" t="str">
        <f t="array" ref="F484">_xlfn.XLOOKUP($A484, 'Medical Examinations'!$A:$A, 'Medical Examinations'!E:E, "No Data")</f>
        <v>No</v>
      </c>
      <c r="G484" s="28" t="str">
        <f t="array" ref="G484">_xlfn.XLOOKUP($A484, 'Medical Examinations'!$A:$A, 'Medical Examinations'!F:F, "No Data")</f>
        <v>No</v>
      </c>
      <c r="H484" s="28">
        <f t="array" ref="H484">_xlfn.XLOOKUP($A484, 'Medical Examinations'!$A:$A, 'Medical Examinations'!G:G, "No Data")</f>
        <v>2</v>
      </c>
      <c r="I484" s="28" t="str">
        <f t="array" ref="I484">_xlfn.XLOOKUP($A484, 'Medical Examinations'!$A:$A, 'Medical Examinations'!H:H, "No Data")</f>
        <v>No</v>
      </c>
      <c r="J484" s="28" t="str">
        <f t="array" ref="J484">_xlfn.XLOOKUP($A484, 'Medical Examinations'!$A:$A, 'Medical Examinations'!I:I, "No Data")</f>
        <v>Obesity</v>
      </c>
      <c r="K484" s="28" t="str">
        <f t="array" ref="K484">_xlfn.XLOOKUP($A484, 'Hospitalisation Details'!$A:$A, 'Hospitalisation Details'!I:I, "No Data")</f>
        <v>tier - 2</v>
      </c>
      <c r="L484" s="28" t="str">
        <f t="array" ref="L484">_xlfn.XLOOKUP($A484, 'Hospitalisation Details'!$A:$A, 'Hospitalisation Details'!J:J, "No Data")</f>
        <v>R1012</v>
      </c>
      <c r="M484" s="28" t="str">
        <f t="array" ref="M484">_xlfn.XLOOKUP($A484, 'Hospitalisation Details'!$A:$A, 'Hospitalisation Details'!E:E, "No Data")</f>
        <v>09/07/66</v>
      </c>
      <c r="N484" s="28">
        <f t="array" ref="N484">_xlfn.XLOOKUP($A484, 'Hospitalisation Details'!$A:$A, 'Hospitalisation Details'!K:K, "No Data")</f>
        <v>56</v>
      </c>
      <c r="O484" s="33">
        <f t="array" ref="O484">_xlfn.XLOOKUP($A484, 'Hospitalisation Details'!$A:$A, 'Hospitalisation Details'!G:G, "No Data")</f>
        <v>20568.32</v>
      </c>
      <c r="P484" s="28" t="str">
        <f t="array" ref="P484">_xlfn.XLOOKUP($A484, 'Hospitalisation Details'!$A:$A, 'Hospitalisation Details'!H:H, "No Data")</f>
        <v>tier - 3</v>
      </c>
    </row>
    <row r="485">
      <c r="A485" s="25" t="s">
        <v>1565</v>
      </c>
      <c r="B485" s="28" t="str">
        <f t="array" ref="B485">_xlfn.XLOOKUP($A485, 'Customer Names'!$A:$A, 'Customer Names'!B:B, "No Data")</f>
        <v>Wright</v>
      </c>
      <c r="C485" s="28">
        <f t="array" ref="C485">_xlfn.XLOOKUP($A485, 'Medical Examinations'!$A:$A, 'Medical Examinations'!B:B, "No Data")</f>
        <v>38.06</v>
      </c>
      <c r="D485" s="28">
        <f t="array" ref="D485">_xlfn.XLOOKUP($A485, 'Medical Examinations'!$A:$A, 'Medical Examinations'!C:C, "No Data")</f>
        <v>5.24</v>
      </c>
      <c r="E485" s="28" t="str">
        <f t="array" ref="E485">_xlfn.XLOOKUP($A485, 'Medical Examinations'!$A:$A, 'Medical Examinations'!D:D, "No Data")</f>
        <v>yes</v>
      </c>
      <c r="F485" s="28" t="str">
        <f t="array" ref="F485">_xlfn.XLOOKUP($A485, 'Medical Examinations'!$A:$A, 'Medical Examinations'!E:E, "No Data")</f>
        <v>No</v>
      </c>
      <c r="G485" s="28" t="str">
        <f t="array" ref="G485">_xlfn.XLOOKUP($A485, 'Medical Examinations'!$A:$A, 'Medical Examinations'!F:F, "No Data")</f>
        <v>Yes</v>
      </c>
      <c r="H485" s="28">
        <f t="array" ref="H485">_xlfn.XLOOKUP($A485, 'Medical Examinations'!$A:$A, 'Medical Examinations'!G:G, "No Data")</f>
        <v>1</v>
      </c>
      <c r="I485" s="28" t="str">
        <f t="array" ref="I485">_xlfn.XLOOKUP($A485, 'Medical Examinations'!$A:$A, 'Medical Examinations'!H:H, "No Data")</f>
        <v>No</v>
      </c>
      <c r="J485" s="28" t="str">
        <f t="array" ref="J485">_xlfn.XLOOKUP($A485, 'Medical Examinations'!$A:$A, 'Medical Examinations'!I:I, "No Data")</f>
        <v>Obesity</v>
      </c>
      <c r="K485" s="28" t="str">
        <f t="array" ref="K485">_xlfn.XLOOKUP($A485, 'Hospitalisation Details'!$A:$A, 'Hospitalisation Details'!I:I, "No Data")</f>
        <v>tier - 2</v>
      </c>
      <c r="L485" s="28" t="str">
        <f t="array" ref="L485">_xlfn.XLOOKUP($A485, 'Hospitalisation Details'!$A:$A, 'Hospitalisation Details'!J:J, "No Data")</f>
        <v>R1013</v>
      </c>
      <c r="M485" s="28" t="str">
        <f t="array" ref="M485">_xlfn.XLOOKUP($A485, 'Hospitalisation Details'!$A:$A, 'Hospitalisation Details'!E:E, "No Data")</f>
        <v>13/10/69</v>
      </c>
      <c r="N485" s="28">
        <f t="array" ref="N485">_xlfn.XLOOKUP($A485, 'Hospitalisation Details'!$A:$A, 'Hospitalisation Details'!K:K, "No Data")</f>
        <v>53</v>
      </c>
      <c r="O485" s="33">
        <f t="array" ref="O485">_xlfn.XLOOKUP($A485, 'Hospitalisation Details'!$A:$A, 'Hospitalisation Details'!G:G, "No Data")</f>
        <v>20463</v>
      </c>
      <c r="P485" s="28" t="str">
        <f t="array" ref="P485">_xlfn.XLOOKUP($A485, 'Hospitalisation Details'!$A:$A, 'Hospitalisation Details'!H:H, "No Data")</f>
        <v>tier - 2</v>
      </c>
    </row>
    <row r="486">
      <c r="A486" s="25" t="s">
        <v>1567</v>
      </c>
      <c r="B486" s="28" t="str">
        <f t="array" ref="B486">_xlfn.XLOOKUP($A486, 'Customer Names'!$A:$A, 'Customer Names'!B:B, "No Data")</f>
        <v>McKenna</v>
      </c>
      <c r="C486" s="28">
        <f t="array" ref="C486">_xlfn.XLOOKUP($A486, 'Medical Examinations'!$A:$A, 'Medical Examinations'!B:B, "No Data")</f>
        <v>51.47</v>
      </c>
      <c r="D486" s="28">
        <f t="array" ref="D486">_xlfn.XLOOKUP($A486, 'Medical Examinations'!$A:$A, 'Medical Examinations'!C:C, "No Data")</f>
        <v>9.6</v>
      </c>
      <c r="E486" s="28" t="str">
        <f t="array" ref="E486">_xlfn.XLOOKUP($A486, 'Medical Examinations'!$A:$A, 'Medical Examinations'!D:D, "No Data")</f>
        <v>No</v>
      </c>
      <c r="F486" s="28" t="str">
        <f t="array" ref="F486">_xlfn.XLOOKUP($A486, 'Medical Examinations'!$A:$A, 'Medical Examinations'!E:E, "No Data")</f>
        <v>No</v>
      </c>
      <c r="G486" s="28" t="str">
        <f t="array" ref="G486">_xlfn.XLOOKUP($A486, 'Medical Examinations'!$A:$A, 'Medical Examinations'!F:F, "No Data")</f>
        <v>No</v>
      </c>
      <c r="H486" s="28">
        <f t="array" ref="H486">_xlfn.XLOOKUP($A486, 'Medical Examinations'!$A:$A, 'Medical Examinations'!G:G, "No Data")</f>
        <v>0</v>
      </c>
      <c r="I486" s="28" t="str">
        <f t="array" ref="I486">_xlfn.XLOOKUP($A486, 'Medical Examinations'!$A:$A, 'Medical Examinations'!H:H, "No Data")</f>
        <v>No</v>
      </c>
      <c r="J486" s="28" t="str">
        <f t="array" ref="J486">_xlfn.XLOOKUP($A486, 'Medical Examinations'!$A:$A, 'Medical Examinations'!I:I, "No Data")</f>
        <v>Obesity</v>
      </c>
      <c r="K486" s="28" t="str">
        <f t="array" ref="K486">_xlfn.XLOOKUP($A486, 'Hospitalisation Details'!$A:$A, 'Hospitalisation Details'!I:I, "No Data")</f>
        <v>tier - 1</v>
      </c>
      <c r="L486" s="28" t="str">
        <f t="array" ref="L486">_xlfn.XLOOKUP($A486, 'Hospitalisation Details'!$A:$A, 'Hospitalisation Details'!J:J, "No Data")</f>
        <v>R1012</v>
      </c>
      <c r="M486" s="28" t="str">
        <f t="array" ref="M486">_xlfn.XLOOKUP($A486, 'Hospitalisation Details'!$A:$A, 'Hospitalisation Details'!E:E, "No Data")</f>
        <v>18/10/62</v>
      </c>
      <c r="N486" s="28">
        <f t="array" ref="N486">_xlfn.XLOOKUP($A486, 'Hospitalisation Details'!$A:$A, 'Hospitalisation Details'!K:K, "No Data")</f>
        <v>60</v>
      </c>
      <c r="O486" s="33">
        <f t="array" ref="O486">_xlfn.XLOOKUP($A486, 'Hospitalisation Details'!$A:$A, 'Hospitalisation Details'!G:G, "No Data")</f>
        <v>20446.85</v>
      </c>
      <c r="P486" s="28" t="str">
        <f t="array" ref="P486">_xlfn.XLOOKUP($A486, 'Hospitalisation Details'!$A:$A, 'Hospitalisation Details'!H:H, "No Data")</f>
        <v>tier - 2</v>
      </c>
    </row>
    <row r="487">
      <c r="A487" s="25" t="s">
        <v>1569</v>
      </c>
      <c r="B487" s="28" t="str">
        <f t="array" ref="B487">_xlfn.XLOOKUP($A487, 'Customer Names'!$A:$A, 'Customer Names'!B:B, "No Data")</f>
        <v>Sallade</v>
      </c>
      <c r="C487" s="28">
        <f t="array" ref="C487">_xlfn.XLOOKUP($A487, 'Medical Examinations'!$A:$A, 'Medical Examinations'!B:B, "No Data")</f>
        <v>29.8</v>
      </c>
      <c r="D487" s="28">
        <f t="array" ref="D487">_xlfn.XLOOKUP($A487, 'Medical Examinations'!$A:$A, 'Medical Examinations'!C:C, "No Data")</f>
        <v>5.78</v>
      </c>
      <c r="E487" s="28" t="str">
        <f t="array" ref="E487">_xlfn.XLOOKUP($A487, 'Medical Examinations'!$A:$A, 'Medical Examinations'!D:D, "No Data")</f>
        <v>yes</v>
      </c>
      <c r="F487" s="28" t="str">
        <f t="array" ref="F487">_xlfn.XLOOKUP($A487, 'Medical Examinations'!$A:$A, 'Medical Examinations'!E:E, "No Data")</f>
        <v>No</v>
      </c>
      <c r="G487" s="28" t="str">
        <f t="array" ref="G487">_xlfn.XLOOKUP($A487, 'Medical Examinations'!$A:$A, 'Medical Examinations'!F:F, "No Data")</f>
        <v>No</v>
      </c>
      <c r="H487" s="28">
        <f t="array" ref="H487">_xlfn.XLOOKUP($A487, 'Medical Examinations'!$A:$A, 'Medical Examinations'!G:G, "No Data")</f>
        <v>0</v>
      </c>
      <c r="I487" s="28" t="str">
        <f t="array" ref="I487">_xlfn.XLOOKUP($A487, 'Medical Examinations'!$A:$A, 'Medical Examinations'!H:H, "No Data")</f>
        <v>No</v>
      </c>
      <c r="J487" s="28" t="str">
        <f t="array" ref="J487">_xlfn.XLOOKUP($A487, 'Medical Examinations'!$A:$A, 'Medical Examinations'!I:I, "No Data")</f>
        <v>Overweight</v>
      </c>
      <c r="K487" s="28" t="str">
        <f t="array" ref="K487">_xlfn.XLOOKUP($A487, 'Hospitalisation Details'!$A:$A, 'Hospitalisation Details'!I:I, "No Data")</f>
        <v>tier - 2</v>
      </c>
      <c r="L487" s="28" t="str">
        <f t="array" ref="L487">_xlfn.XLOOKUP($A487, 'Hospitalisation Details'!$A:$A, 'Hospitalisation Details'!J:J, "No Data")</f>
        <v>R1011</v>
      </c>
      <c r="M487" s="28" t="str">
        <f t="array" ref="M487">_xlfn.XLOOKUP($A487, 'Hospitalisation Details'!$A:$A, 'Hospitalisation Details'!E:E, "No Data")</f>
        <v>12/07/85</v>
      </c>
      <c r="N487" s="28">
        <f t="array" ref="N487">_xlfn.XLOOKUP($A487, 'Hospitalisation Details'!$A:$A, 'Hospitalisation Details'!K:K, "No Data")</f>
        <v>37</v>
      </c>
      <c r="O487" s="33">
        <f t="array" ref="O487">_xlfn.XLOOKUP($A487, 'Hospitalisation Details'!$A:$A, 'Hospitalisation Details'!G:G, "No Data")</f>
        <v>20420.6</v>
      </c>
      <c r="P487" s="28" t="str">
        <f t="array" ref="P487">_xlfn.XLOOKUP($A487, 'Hospitalisation Details'!$A:$A, 'Hospitalisation Details'!H:H, "No Data")</f>
        <v>tier - 3</v>
      </c>
    </row>
    <row r="488">
      <c r="A488" s="25" t="s">
        <v>1571</v>
      </c>
      <c r="B488" s="28" t="str">
        <f t="array" ref="B488">_xlfn.XLOOKUP($A488, 'Customer Names'!$A:$A, 'Customer Names'!B:B, "No Data")</f>
        <v>Argall</v>
      </c>
      <c r="C488" s="28">
        <f t="array" ref="C488">_xlfn.XLOOKUP($A488, 'Medical Examinations'!$A:$A, 'Medical Examinations'!B:B, "No Data")</f>
        <v>49.77</v>
      </c>
      <c r="D488" s="28">
        <f t="array" ref="D488">_xlfn.XLOOKUP($A488, 'Medical Examinations'!$A:$A, 'Medical Examinations'!C:C, "No Data")</f>
        <v>7.02</v>
      </c>
      <c r="E488" s="28" t="str">
        <f t="array" ref="E488">_xlfn.XLOOKUP($A488, 'Medical Examinations'!$A:$A, 'Medical Examinations'!D:D, "No Data")</f>
        <v>No</v>
      </c>
      <c r="F488" s="28" t="str">
        <f t="array" ref="F488">_xlfn.XLOOKUP($A488, 'Medical Examinations'!$A:$A, 'Medical Examinations'!E:E, "No Data")</f>
        <v>No</v>
      </c>
      <c r="G488" s="28" t="str">
        <f t="array" ref="G488">_xlfn.XLOOKUP($A488, 'Medical Examinations'!$A:$A, 'Medical Examinations'!F:F, "No Data")</f>
        <v>No</v>
      </c>
      <c r="H488" s="28">
        <f t="array" ref="H488">_xlfn.XLOOKUP($A488, 'Medical Examinations'!$A:$A, 'Medical Examinations'!G:G, "No Data")</f>
        <v>0</v>
      </c>
      <c r="I488" s="28" t="str">
        <f t="array" ref="I488">_xlfn.XLOOKUP($A488, 'Medical Examinations'!$A:$A, 'Medical Examinations'!H:H, "No Data")</f>
        <v>No</v>
      </c>
      <c r="J488" s="28" t="str">
        <f t="array" ref="J488">_xlfn.XLOOKUP($A488, 'Medical Examinations'!$A:$A, 'Medical Examinations'!I:I, "No Data")</f>
        <v>Obesity</v>
      </c>
      <c r="K488" s="28" t="str">
        <f t="array" ref="K488">_xlfn.XLOOKUP($A488, 'Hospitalisation Details'!$A:$A, 'Hospitalisation Details'!I:I, "No Data")</f>
        <v>tier - 2</v>
      </c>
      <c r="L488" s="28" t="str">
        <f t="array" ref="L488">_xlfn.XLOOKUP($A488, 'Hospitalisation Details'!$A:$A, 'Hospitalisation Details'!J:J, "No Data")</f>
        <v>R1026</v>
      </c>
      <c r="M488" s="28" t="str">
        <f t="array" ref="M488">_xlfn.XLOOKUP($A488, 'Hospitalisation Details'!$A:$A, 'Hospitalisation Details'!E:E, "No Data")</f>
        <v>02/07/62</v>
      </c>
      <c r="N488" s="28">
        <f t="array" ref="N488">_xlfn.XLOOKUP($A488, 'Hospitalisation Details'!$A:$A, 'Hospitalisation Details'!K:K, "No Data")</f>
        <v>60</v>
      </c>
      <c r="O488" s="33">
        <f t="array" ref="O488">_xlfn.XLOOKUP($A488, 'Hospitalisation Details'!$A:$A, 'Hospitalisation Details'!G:G, "No Data")</f>
        <v>20354.5</v>
      </c>
      <c r="P488" s="28" t="str">
        <f t="array" ref="P488">_xlfn.XLOOKUP($A488, 'Hospitalisation Details'!$A:$A, 'Hospitalisation Details'!H:H, "No Data")</f>
        <v>tier - 3</v>
      </c>
    </row>
    <row r="489">
      <c r="A489" s="25" t="s">
        <v>1575</v>
      </c>
      <c r="B489" s="28" t="str">
        <f t="array" ref="B489">_xlfn.XLOOKUP($A489, 'Customer Names'!$A:$A, 'Customer Names'!B:B, "No Data")</f>
        <v>Patchell</v>
      </c>
      <c r="C489" s="28">
        <f t="array" ref="C489">_xlfn.XLOOKUP($A489, 'Medical Examinations'!$A:$A, 'Medical Examinations'!B:B, "No Data")</f>
        <v>25.555</v>
      </c>
      <c r="D489" s="28">
        <f t="array" ref="D489">_xlfn.XLOOKUP($A489, 'Medical Examinations'!$A:$A, 'Medical Examinations'!C:C, "No Data")</f>
        <v>4.09</v>
      </c>
      <c r="E489" s="28" t="str">
        <f t="array" ref="E489">_xlfn.XLOOKUP($A489, 'Medical Examinations'!$A:$A, 'Medical Examinations'!D:D, "No Data")</f>
        <v>yes</v>
      </c>
      <c r="F489" s="28" t="str">
        <f t="array" ref="F489">_xlfn.XLOOKUP($A489, 'Medical Examinations'!$A:$A, 'Medical Examinations'!E:E, "No Data")</f>
        <v>No</v>
      </c>
      <c r="G489" s="28" t="str">
        <f t="array" ref="G489">_xlfn.XLOOKUP($A489, 'Medical Examinations'!$A:$A, 'Medical Examinations'!F:F, "No Data")</f>
        <v>No</v>
      </c>
      <c r="H489" s="28">
        <f t="array" ref="H489">_xlfn.XLOOKUP($A489, 'Medical Examinations'!$A:$A, 'Medical Examinations'!G:G, "No Data")</f>
        <v>0</v>
      </c>
      <c r="I489" s="28" t="str">
        <f t="array" ref="I489">_xlfn.XLOOKUP($A489, 'Medical Examinations'!$A:$A, 'Medical Examinations'!H:H, "No Data")</f>
        <v>yes</v>
      </c>
      <c r="J489" s="28" t="str">
        <f t="array" ref="J489">_xlfn.XLOOKUP($A489, 'Medical Examinations'!$A:$A, 'Medical Examinations'!I:I, "No Data")</f>
        <v>Overweight</v>
      </c>
      <c r="K489" s="28" t="str">
        <f t="array" ref="K489">_xlfn.XLOOKUP($A489, 'Hospitalisation Details'!$A:$A, 'Hospitalisation Details'!I:I, "No Data")</f>
        <v>tier - 1</v>
      </c>
      <c r="L489" s="28" t="str">
        <f t="array" ref="L489">_xlfn.XLOOKUP($A489, 'Hospitalisation Details'!$A:$A, 'Hospitalisation Details'!J:J, "No Data")</f>
        <v>R1024</v>
      </c>
      <c r="M489" s="28" t="str">
        <f t="array" ref="M489">_xlfn.XLOOKUP($A489, 'Hospitalisation Details'!$A:$A, 'Hospitalisation Details'!E:E, "No Data")</f>
        <v>17/09/85</v>
      </c>
      <c r="N489" s="28">
        <f t="array" ref="N489">_xlfn.XLOOKUP($A489, 'Hospitalisation Details'!$A:$A, 'Hospitalisation Details'!K:K, "No Data")</f>
        <v>37</v>
      </c>
      <c r="O489" s="33">
        <f t="array" ref="O489">_xlfn.XLOOKUP($A489, 'Hospitalisation Details'!$A:$A, 'Hospitalisation Details'!G:G, "No Data")</f>
        <v>20296.86</v>
      </c>
      <c r="P489" s="28" t="str">
        <f t="array" ref="P489">_xlfn.XLOOKUP($A489, 'Hospitalisation Details'!$A:$A, 'Hospitalisation Details'!H:H, "No Data")</f>
        <v>tier - 3</v>
      </c>
    </row>
    <row r="490">
      <c r="A490" s="25" t="s">
        <v>1578</v>
      </c>
      <c r="B490" s="28" t="str">
        <f t="array" ref="B490">_xlfn.XLOOKUP($A490, 'Customer Names'!$A:$A, 'Customer Names'!B:B, "No Data")</f>
        <v>Catoggio</v>
      </c>
      <c r="C490" s="28">
        <f t="array" ref="C490">_xlfn.XLOOKUP($A490, 'Medical Examinations'!$A:$A, 'Medical Examinations'!B:B, "No Data")</f>
        <v>29.64</v>
      </c>
      <c r="D490" s="28">
        <f t="array" ref="D490">_xlfn.XLOOKUP($A490, 'Medical Examinations'!$A:$A, 'Medical Examinations'!C:C, "No Data")</f>
        <v>4.93</v>
      </c>
      <c r="E490" s="28" t="str">
        <f t="array" ref="E490">_xlfn.XLOOKUP($A490, 'Medical Examinations'!$A:$A, 'Medical Examinations'!D:D, "No Data")</f>
        <v>No</v>
      </c>
      <c r="F490" s="28" t="str">
        <f t="array" ref="F490">_xlfn.XLOOKUP($A490, 'Medical Examinations'!$A:$A, 'Medical Examinations'!E:E, "No Data")</f>
        <v>No</v>
      </c>
      <c r="G490" s="28" t="str">
        <f t="array" ref="G490">_xlfn.XLOOKUP($A490, 'Medical Examinations'!$A:$A, 'Medical Examinations'!F:F, "No Data")</f>
        <v>Yes</v>
      </c>
      <c r="H490" s="28">
        <f t="array" ref="H490">_xlfn.XLOOKUP($A490, 'Medical Examinations'!$A:$A, 'Medical Examinations'!G:G, "No Data")</f>
        <v>1</v>
      </c>
      <c r="I490" s="28" t="str">
        <f t="array" ref="I490">_xlfn.XLOOKUP($A490, 'Medical Examinations'!$A:$A, 'Medical Examinations'!H:H, "No Data")</f>
        <v>No</v>
      </c>
      <c r="J490" s="28" t="str">
        <f t="array" ref="J490">_xlfn.XLOOKUP($A490, 'Medical Examinations'!$A:$A, 'Medical Examinations'!I:I, "No Data")</f>
        <v>Overweight</v>
      </c>
      <c r="K490" s="28" t="str">
        <f t="array" ref="K490">_xlfn.XLOOKUP($A490, 'Hospitalisation Details'!$A:$A, 'Hospitalisation Details'!I:I, "No Data")</f>
        <v>tier - 3</v>
      </c>
      <c r="L490" s="28" t="str">
        <f t="array" ref="L490">_xlfn.XLOOKUP($A490, 'Hospitalisation Details'!$A:$A, 'Hospitalisation Details'!J:J, "No Data")</f>
        <v>R1016</v>
      </c>
      <c r="M490" s="28" t="str">
        <f t="array" ref="M490">_xlfn.XLOOKUP($A490, 'Hospitalisation Details'!$A:$A, 'Hospitalisation Details'!E:E, "No Data")</f>
        <v>07/09/93</v>
      </c>
      <c r="N490" s="28">
        <f t="array" ref="N490">_xlfn.XLOOKUP($A490, 'Hospitalisation Details'!$A:$A, 'Hospitalisation Details'!K:K, "No Data")</f>
        <v>29</v>
      </c>
      <c r="O490" s="33">
        <f t="array" ref="O490">_xlfn.XLOOKUP($A490, 'Hospitalisation Details'!$A:$A, 'Hospitalisation Details'!G:G, "No Data")</f>
        <v>20277.81</v>
      </c>
      <c r="P490" s="28" t="str">
        <f t="array" ref="P490">_xlfn.XLOOKUP($A490, 'Hospitalisation Details'!$A:$A, 'Hospitalisation Details'!H:H, "No Data")</f>
        <v>tier - 3</v>
      </c>
    </row>
    <row r="491">
      <c r="A491" s="25" t="s">
        <v>1580</v>
      </c>
      <c r="B491" s="28" t="str">
        <f t="array" ref="B491">_xlfn.XLOOKUP($A491, 'Customer Names'!$A:$A, 'Customer Names'!B:B, "No Data")</f>
        <v>Adams</v>
      </c>
      <c r="C491" s="28">
        <f t="array" ref="C491">_xlfn.XLOOKUP($A491, 'Medical Examinations'!$A:$A, 'Medical Examinations'!B:B, "No Data")</f>
        <v>53.93</v>
      </c>
      <c r="D491" s="28">
        <f t="array" ref="D491">_xlfn.XLOOKUP($A491, 'Medical Examinations'!$A:$A, 'Medical Examinations'!C:C, "No Data")</f>
        <v>5.34</v>
      </c>
      <c r="E491" s="28" t="str">
        <f t="array" ref="E491">_xlfn.XLOOKUP($A491, 'Medical Examinations'!$A:$A, 'Medical Examinations'!D:D, "No Data")</f>
        <v>yes</v>
      </c>
      <c r="F491" s="28" t="str">
        <f t="array" ref="F491">_xlfn.XLOOKUP($A491, 'Medical Examinations'!$A:$A, 'Medical Examinations'!E:E, "No Data")</f>
        <v>No</v>
      </c>
      <c r="G491" s="28" t="str">
        <f t="array" ref="G491">_xlfn.XLOOKUP($A491, 'Medical Examinations'!$A:$A, 'Medical Examinations'!F:F, "No Data")</f>
        <v>No</v>
      </c>
      <c r="H491" s="28">
        <f t="array" ref="H491">_xlfn.XLOOKUP($A491, 'Medical Examinations'!$A:$A, 'Medical Examinations'!G:G, "No Data")</f>
        <v>2</v>
      </c>
      <c r="I491" s="28" t="str">
        <f t="array" ref="I491">_xlfn.XLOOKUP($A491, 'Medical Examinations'!$A:$A, 'Medical Examinations'!H:H, "No Data")</f>
        <v>No</v>
      </c>
      <c r="J491" s="28" t="str">
        <f t="array" ref="J491">_xlfn.XLOOKUP($A491, 'Medical Examinations'!$A:$A, 'Medical Examinations'!I:I, "No Data")</f>
        <v>Obesity</v>
      </c>
      <c r="K491" s="28" t="str">
        <f t="array" ref="K491">_xlfn.XLOOKUP($A491, 'Hospitalisation Details'!$A:$A, 'Hospitalisation Details'!I:I, "No Data")</f>
        <v>tier - 3</v>
      </c>
      <c r="L491" s="28" t="str">
        <f t="array" ref="L491">_xlfn.XLOOKUP($A491, 'Hospitalisation Details'!$A:$A, 'Hospitalisation Details'!J:J, "No Data")</f>
        <v>R1012</v>
      </c>
      <c r="M491" s="28" t="str">
        <f t="array" ref="M491">_xlfn.XLOOKUP($A491, 'Hospitalisation Details'!$A:$A, 'Hospitalisation Details'!E:E, "No Data")</f>
        <v>22/08/66</v>
      </c>
      <c r="N491" s="28">
        <f t="array" ref="N491">_xlfn.XLOOKUP($A491, 'Hospitalisation Details'!$A:$A, 'Hospitalisation Details'!K:K, "No Data")</f>
        <v>56</v>
      </c>
      <c r="O491" s="33">
        <f t="array" ref="O491">_xlfn.XLOOKUP($A491, 'Hospitalisation Details'!$A:$A, 'Hospitalisation Details'!G:G, "No Data")</f>
        <v>20253.84</v>
      </c>
      <c r="P491" s="28" t="str">
        <f t="array" ref="P491">_xlfn.XLOOKUP($A491, 'Hospitalisation Details'!$A:$A, 'Hospitalisation Details'!H:H, "No Data")</f>
        <v>tier - 2</v>
      </c>
    </row>
    <row r="492">
      <c r="A492" s="25" t="s">
        <v>1583</v>
      </c>
      <c r="B492" s="28" t="str">
        <f t="array" ref="B492">_xlfn.XLOOKUP($A492, 'Customer Names'!$A:$A, 'Customer Names'!B:B, "No Data")</f>
        <v>Windt</v>
      </c>
      <c r="C492" s="28">
        <f t="array" ref="C492">_xlfn.XLOOKUP($A492, 'Medical Examinations'!$A:$A, 'Medical Examinations'!B:B, "No Data")</f>
        <v>28.025</v>
      </c>
      <c r="D492" s="28">
        <f t="array" ref="D492">_xlfn.XLOOKUP($A492, 'Medical Examinations'!$A:$A, 'Medical Examinations'!C:C, "No Data")</f>
        <v>5.65</v>
      </c>
      <c r="E492" s="28" t="str">
        <f t="array" ref="E492">_xlfn.XLOOKUP($A492, 'Medical Examinations'!$A:$A, 'Medical Examinations'!D:D, "No Data")</f>
        <v>No</v>
      </c>
      <c r="F492" s="28" t="str">
        <f t="array" ref="F492">_xlfn.XLOOKUP($A492, 'Medical Examinations'!$A:$A, 'Medical Examinations'!E:E, "No Data")</f>
        <v>No</v>
      </c>
      <c r="G492" s="28" t="str">
        <f t="array" ref="G492">_xlfn.XLOOKUP($A492, 'Medical Examinations'!$A:$A, 'Medical Examinations'!F:F, "No Data")</f>
        <v>No</v>
      </c>
      <c r="H492" s="28">
        <f t="array" ref="H492">_xlfn.XLOOKUP($A492, 'Medical Examinations'!$A:$A, 'Medical Examinations'!G:G, "No Data")</f>
        <v>1</v>
      </c>
      <c r="I492" s="28" t="str">
        <f t="array" ref="I492">_xlfn.XLOOKUP($A492, 'Medical Examinations'!$A:$A, 'Medical Examinations'!H:H, "No Data")</f>
        <v>yes</v>
      </c>
      <c r="J492" s="28" t="str">
        <f t="array" ref="J492">_xlfn.XLOOKUP($A492, 'Medical Examinations'!$A:$A, 'Medical Examinations'!I:I, "No Data")</f>
        <v>Overweight</v>
      </c>
      <c r="K492" s="28" t="str">
        <f t="array" ref="K492">_xlfn.XLOOKUP($A492, 'Hospitalisation Details'!$A:$A, 'Hospitalisation Details'!I:I, "No Data")</f>
        <v>tier - 3</v>
      </c>
      <c r="L492" s="28" t="str">
        <f t="array" ref="L492">_xlfn.XLOOKUP($A492, 'Hospitalisation Details'!$A:$A, 'Hospitalisation Details'!J:J, "No Data")</f>
        <v>R1012</v>
      </c>
      <c r="M492" s="28" t="str">
        <f t="array" ref="M492">_xlfn.XLOOKUP($A492, 'Hospitalisation Details'!$A:$A, 'Hospitalisation Details'!E:E, "No Data")</f>
        <v>17/10/87</v>
      </c>
      <c r="N492" s="28">
        <f t="array" ref="N492">_xlfn.XLOOKUP($A492, 'Hospitalisation Details'!$A:$A, 'Hospitalisation Details'!K:K, "No Data")</f>
        <v>35</v>
      </c>
      <c r="O492" s="33">
        <f t="array" ref="O492">_xlfn.XLOOKUP($A492, 'Hospitalisation Details'!$A:$A, 'Hospitalisation Details'!G:G, "No Data")</f>
        <v>20234.85</v>
      </c>
      <c r="P492" s="28" t="str">
        <f t="array" ref="P492">_xlfn.XLOOKUP($A492, 'Hospitalisation Details'!$A:$A, 'Hospitalisation Details'!H:H, "No Data")</f>
        <v>tier - 2</v>
      </c>
    </row>
    <row r="493">
      <c r="A493" s="25" t="s">
        <v>1586</v>
      </c>
      <c r="B493" s="28" t="str">
        <f t="array" ref="B493">_xlfn.XLOOKUP($A493, 'Customer Names'!$A:$A, 'Customer Names'!B:B, "No Data")</f>
        <v>Ryan</v>
      </c>
      <c r="C493" s="28">
        <f t="array" ref="C493">_xlfn.XLOOKUP($A493, 'Medical Examinations'!$A:$A, 'Medical Examinations'!B:B, "No Data")</f>
        <v>27.5</v>
      </c>
      <c r="D493" s="28">
        <f t="array" ref="D493">_xlfn.XLOOKUP($A493, 'Medical Examinations'!$A:$A, 'Medical Examinations'!C:C, "No Data")</f>
        <v>4.49</v>
      </c>
      <c r="E493" s="28" t="str">
        <f t="array" ref="E493">_xlfn.XLOOKUP($A493, 'Medical Examinations'!$A:$A, 'Medical Examinations'!D:D, "No Data")</f>
        <v>No</v>
      </c>
      <c r="F493" s="28" t="str">
        <f t="array" ref="F493">_xlfn.XLOOKUP($A493, 'Medical Examinations'!$A:$A, 'Medical Examinations'!E:E, "No Data")</f>
        <v>No</v>
      </c>
      <c r="G493" s="28" t="str">
        <f t="array" ref="G493">_xlfn.XLOOKUP($A493, 'Medical Examinations'!$A:$A, 'Medical Examinations'!F:F, "No Data")</f>
        <v>No</v>
      </c>
      <c r="H493" s="28">
        <f t="array" ref="H493">_xlfn.XLOOKUP($A493, 'Medical Examinations'!$A:$A, 'Medical Examinations'!G:G, "No Data")</f>
        <v>0</v>
      </c>
      <c r="I493" s="28" t="str">
        <f t="array" ref="I493">_xlfn.XLOOKUP($A493, 'Medical Examinations'!$A:$A, 'Medical Examinations'!H:H, "No Data")</f>
        <v>No</v>
      </c>
      <c r="J493" s="28" t="str">
        <f t="array" ref="J493">_xlfn.XLOOKUP($A493, 'Medical Examinations'!$A:$A, 'Medical Examinations'!I:I, "No Data")</f>
        <v>Overweight</v>
      </c>
      <c r="K493" s="28" t="str">
        <f t="array" ref="K493">_xlfn.XLOOKUP($A493, 'Hospitalisation Details'!$A:$A, 'Hospitalisation Details'!I:I, "No Data")</f>
        <v>tier - 1</v>
      </c>
      <c r="L493" s="28" t="str">
        <f t="array" ref="L493">_xlfn.XLOOKUP($A493, 'Hospitalisation Details'!$A:$A, 'Hospitalisation Details'!J:J, "No Data")</f>
        <v>R1011</v>
      </c>
      <c r="M493" s="28" t="str">
        <f t="array" ref="M493">_xlfn.XLOOKUP($A493, 'Hospitalisation Details'!$A:$A, 'Hospitalisation Details'!E:E, "No Data")</f>
        <v>08/06/94</v>
      </c>
      <c r="N493" s="28">
        <f t="array" ref="N493">_xlfn.XLOOKUP($A493, 'Hospitalisation Details'!$A:$A, 'Hospitalisation Details'!K:K, "No Data")</f>
        <v>29</v>
      </c>
      <c r="O493" s="33">
        <f t="array" ref="O493">_xlfn.XLOOKUP($A493, 'Hospitalisation Details'!$A:$A, 'Hospitalisation Details'!G:G, "No Data")</f>
        <v>20177.67</v>
      </c>
      <c r="P493" s="28" t="str">
        <f t="array" ref="P493">_xlfn.XLOOKUP($A493, 'Hospitalisation Details'!$A:$A, 'Hospitalisation Details'!H:H, "No Data")</f>
        <v>tier - 2</v>
      </c>
    </row>
    <row r="494">
      <c r="A494" s="25" t="s">
        <v>1589</v>
      </c>
      <c r="B494" s="28" t="str">
        <f t="array" ref="B494">_xlfn.XLOOKUP($A494, 'Customer Names'!$A:$A, 'Customer Names'!B:B, "No Data")</f>
        <v>Marion</v>
      </c>
      <c r="C494" s="28">
        <f t="array" ref="C494">_xlfn.XLOOKUP($A494, 'Medical Examinations'!$A:$A, 'Medical Examinations'!B:B, "No Data")</f>
        <v>21.8</v>
      </c>
      <c r="D494" s="28">
        <f t="array" ref="D494">_xlfn.XLOOKUP($A494, 'Medical Examinations'!$A:$A, 'Medical Examinations'!C:C, "No Data")</f>
        <v>10.55</v>
      </c>
      <c r="E494" s="28" t="str">
        <f t="array" ref="E494">_xlfn.XLOOKUP($A494, 'Medical Examinations'!$A:$A, 'Medical Examinations'!D:D, "No Data")</f>
        <v>No</v>
      </c>
      <c r="F494" s="28" t="str">
        <f t="array" ref="F494">_xlfn.XLOOKUP($A494, 'Medical Examinations'!$A:$A, 'Medical Examinations'!E:E, "No Data")</f>
        <v>No</v>
      </c>
      <c r="G494" s="28" t="str">
        <f t="array" ref="G494">_xlfn.XLOOKUP($A494, 'Medical Examinations'!$A:$A, 'Medical Examinations'!F:F, "No Data")</f>
        <v>No</v>
      </c>
      <c r="H494" s="28">
        <f t="array" ref="H494">_xlfn.XLOOKUP($A494, 'Medical Examinations'!$A:$A, 'Medical Examinations'!G:G, "No Data")</f>
        <v>0</v>
      </c>
      <c r="I494" s="28" t="str">
        <f t="array" ref="I494">_xlfn.XLOOKUP($A494, 'Medical Examinations'!$A:$A, 'Medical Examinations'!H:H, "No Data")</f>
        <v>yes</v>
      </c>
      <c r="J494" s="28" t="str">
        <f t="array" ref="J494">_xlfn.XLOOKUP($A494, 'Medical Examinations'!$A:$A, 'Medical Examinations'!I:I, "No Data")</f>
        <v>Normal Weight</v>
      </c>
      <c r="K494" s="28" t="str">
        <f t="array" ref="K494">_xlfn.XLOOKUP($A494, 'Hospitalisation Details'!$A:$A, 'Hospitalisation Details'!I:I, "No Data")</f>
        <v>tier - 3</v>
      </c>
      <c r="L494" s="28" t="str">
        <f t="array" ref="L494">_xlfn.XLOOKUP($A494, 'Hospitalisation Details'!$A:$A, 'Hospitalisation Details'!J:J, "No Data")</f>
        <v>R1011</v>
      </c>
      <c r="M494" s="28" t="str">
        <f t="array" ref="M494">_xlfn.XLOOKUP($A494, 'Hospitalisation Details'!$A:$A, 'Hospitalisation Details'!E:E, "No Data")</f>
        <v>09/07/02</v>
      </c>
      <c r="N494" s="28">
        <f t="array" ref="N494">_xlfn.XLOOKUP($A494, 'Hospitalisation Details'!$A:$A, 'Hospitalisation Details'!K:K, "No Data")</f>
        <v>20</v>
      </c>
      <c r="O494" s="33">
        <f t="array" ref="O494">_xlfn.XLOOKUP($A494, 'Hospitalisation Details'!$A:$A, 'Hospitalisation Details'!G:G, "No Data")</f>
        <v>20167.34</v>
      </c>
      <c r="P494" s="28" t="str">
        <f t="array" ref="P494">_xlfn.XLOOKUP($A494, 'Hospitalisation Details'!$A:$A, 'Hospitalisation Details'!H:H, "No Data")</f>
        <v>tier - 3</v>
      </c>
    </row>
    <row r="495">
      <c r="A495" s="25" t="s">
        <v>1591</v>
      </c>
      <c r="B495" s="28" t="str">
        <f t="array" ref="B495">_xlfn.XLOOKUP($A495, 'Customer Names'!$A:$A, 'Customer Names'!B:B, "No Data")</f>
        <v>Raffetto</v>
      </c>
      <c r="C495" s="28">
        <f t="array" ref="C495">_xlfn.XLOOKUP($A495, 'Medical Examinations'!$A:$A, 'Medical Examinations'!B:B, "No Data")</f>
        <v>26.41</v>
      </c>
      <c r="D495" s="28">
        <f t="array" ref="D495">_xlfn.XLOOKUP($A495, 'Medical Examinations'!$A:$A, 'Medical Examinations'!C:C, "No Data")</f>
        <v>4.92</v>
      </c>
      <c r="E495" s="28" t="str">
        <f t="array" ref="E495">_xlfn.XLOOKUP($A495, 'Medical Examinations'!$A:$A, 'Medical Examinations'!D:D, "No Data")</f>
        <v>yes</v>
      </c>
      <c r="F495" s="28" t="str">
        <f t="array" ref="F495">_xlfn.XLOOKUP($A495, 'Medical Examinations'!$A:$A, 'Medical Examinations'!E:E, "No Data")</f>
        <v>No</v>
      </c>
      <c r="G495" s="28" t="str">
        <f t="array" ref="G495">_xlfn.XLOOKUP($A495, 'Medical Examinations'!$A:$A, 'Medical Examinations'!F:F, "No Data")</f>
        <v>Yes</v>
      </c>
      <c r="H495" s="28">
        <f t="array" ref="H495">_xlfn.XLOOKUP($A495, 'Medical Examinations'!$A:$A, 'Medical Examinations'!G:G, "No Data")</f>
        <v>1</v>
      </c>
      <c r="I495" s="28" t="str">
        <f t="array" ref="I495">_xlfn.XLOOKUP($A495, 'Medical Examinations'!$A:$A, 'Medical Examinations'!H:H, "No Data")</f>
        <v>yes</v>
      </c>
      <c r="J495" s="28" t="str">
        <f t="array" ref="J495">_xlfn.XLOOKUP($A495, 'Medical Examinations'!$A:$A, 'Medical Examinations'!I:I, "No Data")</f>
        <v>Overweight</v>
      </c>
      <c r="K495" s="28" t="str">
        <f t="array" ref="K495">_xlfn.XLOOKUP($A495, 'Hospitalisation Details'!$A:$A, 'Hospitalisation Details'!I:I, "No Data")</f>
        <v>tier - 1</v>
      </c>
      <c r="L495" s="28" t="str">
        <f t="array" ref="L495">_xlfn.XLOOKUP($A495, 'Hospitalisation Details'!$A:$A, 'Hospitalisation Details'!J:J, "No Data")</f>
        <v>R1016</v>
      </c>
      <c r="M495" s="28" t="str">
        <f t="array" ref="M495">_xlfn.XLOOKUP($A495, 'Hospitalisation Details'!$A:$A, 'Hospitalisation Details'!E:E, "No Data")</f>
        <v>06/10/83</v>
      </c>
      <c r="N495" s="28">
        <f t="array" ref="N495">_xlfn.XLOOKUP($A495, 'Hospitalisation Details'!$A:$A, 'Hospitalisation Details'!K:K, "No Data")</f>
        <v>39</v>
      </c>
      <c r="O495" s="33">
        <f t="array" ref="O495">_xlfn.XLOOKUP($A495, 'Hospitalisation Details'!$A:$A, 'Hospitalisation Details'!G:G, "No Data")</f>
        <v>20149.32</v>
      </c>
      <c r="P495" s="28" t="str">
        <f t="array" ref="P495">_xlfn.XLOOKUP($A495, 'Hospitalisation Details'!$A:$A, 'Hospitalisation Details'!H:H, "No Data")</f>
        <v>tier - 2</v>
      </c>
    </row>
    <row r="496">
      <c r="A496" s="25" t="s">
        <v>1595</v>
      </c>
      <c r="B496" s="28" t="str">
        <f t="array" ref="B496">_xlfn.XLOOKUP($A496, 'Customer Names'!$A:$A, 'Customer Names'!B:B, "No Data")</f>
        <v>Young</v>
      </c>
      <c r="C496" s="28">
        <f t="array" ref="C496">_xlfn.XLOOKUP($A496, 'Medical Examinations'!$A:$A, 'Medical Examinations'!B:B, "No Data")</f>
        <v>27.835</v>
      </c>
      <c r="D496" s="28">
        <f t="array" ref="D496">_xlfn.XLOOKUP($A496, 'Medical Examinations'!$A:$A, 'Medical Examinations'!C:C, "No Data")</f>
        <v>5.9</v>
      </c>
      <c r="E496" s="28" t="str">
        <f t="array" ref="E496">_xlfn.XLOOKUP($A496, 'Medical Examinations'!$A:$A, 'Medical Examinations'!D:D, "No Data")</f>
        <v>yes</v>
      </c>
      <c r="F496" s="28" t="str">
        <f t="array" ref="F496">_xlfn.XLOOKUP($A496, 'Medical Examinations'!$A:$A, 'Medical Examinations'!E:E, "No Data")</f>
        <v>No</v>
      </c>
      <c r="G496" s="28" t="str">
        <f t="array" ref="G496">_xlfn.XLOOKUP($A496, 'Medical Examinations'!$A:$A, 'Medical Examinations'!F:F, "No Data")</f>
        <v>No</v>
      </c>
      <c r="H496" s="28">
        <f t="array" ref="H496">_xlfn.XLOOKUP($A496, 'Medical Examinations'!$A:$A, 'Medical Examinations'!G:G, "No Data")</f>
        <v>1</v>
      </c>
      <c r="I496" s="28" t="str">
        <f t="array" ref="I496">_xlfn.XLOOKUP($A496, 'Medical Examinations'!$A:$A, 'Medical Examinations'!H:H, "No Data")</f>
        <v>yes</v>
      </c>
      <c r="J496" s="28" t="str">
        <f t="array" ref="J496">_xlfn.XLOOKUP($A496, 'Medical Examinations'!$A:$A, 'Medical Examinations'!I:I, "No Data")</f>
        <v>Overweight</v>
      </c>
      <c r="K496" s="28" t="str">
        <f t="array" ref="K496">_xlfn.XLOOKUP($A496, 'Hospitalisation Details'!$A:$A, 'Hospitalisation Details'!I:I, "No Data")</f>
        <v>tier - 1</v>
      </c>
      <c r="L496" s="28" t="str">
        <f t="array" ref="L496">_xlfn.XLOOKUP($A496, 'Hospitalisation Details'!$A:$A, 'Hospitalisation Details'!J:J, "No Data")</f>
        <v>R1012</v>
      </c>
      <c r="M496" s="28" t="str">
        <f t="array" ref="M496">_xlfn.XLOOKUP($A496, 'Hospitalisation Details'!$A:$A, 'Hospitalisation Details'!E:E, "No Data")</f>
        <v>25/07/88</v>
      </c>
      <c r="N496" s="28">
        <f t="array" ref="N496">_xlfn.XLOOKUP($A496, 'Hospitalisation Details'!$A:$A, 'Hospitalisation Details'!K:K, "No Data")</f>
        <v>34</v>
      </c>
      <c r="O496" s="33">
        <f t="array" ref="O496">_xlfn.XLOOKUP($A496, 'Hospitalisation Details'!$A:$A, 'Hospitalisation Details'!G:G, "No Data")</f>
        <v>20009.63</v>
      </c>
      <c r="P496" s="28" t="str">
        <f t="array" ref="P496">_xlfn.XLOOKUP($A496, 'Hospitalisation Details'!$A:$A, 'Hospitalisation Details'!H:H, "No Data")</f>
        <v>tier - 2</v>
      </c>
    </row>
    <row r="497">
      <c r="A497" s="25" t="s">
        <v>1597</v>
      </c>
      <c r="B497" s="28" t="str">
        <f t="array" ref="B497">_xlfn.XLOOKUP($A497, 'Customer Names'!$A:$A, 'Customer Names'!B:B, "No Data")</f>
        <v>Oehlke</v>
      </c>
      <c r="C497" s="28">
        <f t="array" ref="C497">_xlfn.XLOOKUP($A497, 'Medical Examinations'!$A:$A, 'Medical Examinations'!B:B, "No Data")</f>
        <v>51.74</v>
      </c>
      <c r="D497" s="28">
        <f t="array" ref="D497">_xlfn.XLOOKUP($A497, 'Medical Examinations'!$A:$A, 'Medical Examinations'!C:C, "No Data")</f>
        <v>4.98</v>
      </c>
      <c r="E497" s="28" t="str">
        <f t="array" ref="E497">_xlfn.XLOOKUP($A497, 'Medical Examinations'!$A:$A, 'Medical Examinations'!D:D, "No Data")</f>
        <v>yes</v>
      </c>
      <c r="F497" s="28" t="str">
        <f t="array" ref="F497">_xlfn.XLOOKUP($A497, 'Medical Examinations'!$A:$A, 'Medical Examinations'!E:E, "No Data")</f>
        <v>No</v>
      </c>
      <c r="G497" s="28" t="str">
        <f t="array" ref="G497">_xlfn.XLOOKUP($A497, 'Medical Examinations'!$A:$A, 'Medical Examinations'!F:F, "No Data")</f>
        <v>No</v>
      </c>
      <c r="H497" s="28">
        <f t="array" ref="H497">_xlfn.XLOOKUP($A497, 'Medical Examinations'!$A:$A, 'Medical Examinations'!G:G, "No Data")</f>
        <v>2</v>
      </c>
      <c r="I497" s="28" t="str">
        <f t="array" ref="I497">_xlfn.XLOOKUP($A497, 'Medical Examinations'!$A:$A, 'Medical Examinations'!H:H, "No Data")</f>
        <v>No</v>
      </c>
      <c r="J497" s="28" t="str">
        <f t="array" ref="J497">_xlfn.XLOOKUP($A497, 'Medical Examinations'!$A:$A, 'Medical Examinations'!I:I, "No Data")</f>
        <v>Obesity</v>
      </c>
      <c r="K497" s="28" t="str">
        <f t="array" ref="K497">_xlfn.XLOOKUP($A497, 'Hospitalisation Details'!$A:$A, 'Hospitalisation Details'!I:I, "No Data")</f>
        <v>tier - 3</v>
      </c>
      <c r="L497" s="28" t="str">
        <f t="array" ref="L497">_xlfn.XLOOKUP($A497, 'Hospitalisation Details'!$A:$A, 'Hospitalisation Details'!J:J, "No Data")</f>
        <v>R1026</v>
      </c>
      <c r="M497" s="28" t="str">
        <f t="array" ref="M497">_xlfn.XLOOKUP($A497, 'Hospitalisation Details'!$A:$A, 'Hospitalisation Details'!E:E, "No Data")</f>
        <v>10/08/66</v>
      </c>
      <c r="N497" s="28">
        <f t="array" ref="N497">_xlfn.XLOOKUP($A497, 'Hospitalisation Details'!$A:$A, 'Hospitalisation Details'!K:K, "No Data")</f>
        <v>56</v>
      </c>
      <c r="O497" s="33">
        <f t="array" ref="O497">_xlfn.XLOOKUP($A497, 'Hospitalisation Details'!$A:$A, 'Hospitalisation Details'!G:G, "No Data")</f>
        <v>19995.29</v>
      </c>
      <c r="P497" s="28" t="str">
        <f t="array" ref="P497">_xlfn.XLOOKUP($A497, 'Hospitalisation Details'!$A:$A, 'Hospitalisation Details'!H:H, "No Data")</f>
        <v>tier - 1</v>
      </c>
    </row>
    <row r="498">
      <c r="A498" s="25" t="s">
        <v>1600</v>
      </c>
      <c r="B498" s="28" t="str">
        <f t="array" ref="B498">_xlfn.XLOOKUP($A498, 'Customer Names'!$A:$A, 'Customer Names'!B:B, "No Data")</f>
        <v>Sudol</v>
      </c>
      <c r="C498" s="28">
        <f t="array" ref="C498">_xlfn.XLOOKUP($A498, 'Medical Examinations'!$A:$A, 'Medical Examinations'!B:B, "No Data")</f>
        <v>23.37</v>
      </c>
      <c r="D498" s="28">
        <f t="array" ref="D498">_xlfn.XLOOKUP($A498, 'Medical Examinations'!$A:$A, 'Medical Examinations'!C:C, "No Data")</f>
        <v>5.8</v>
      </c>
      <c r="E498" s="28" t="str">
        <f t="array" ref="E498">_xlfn.XLOOKUP($A498, 'Medical Examinations'!$A:$A, 'Medical Examinations'!D:D, "No Data")</f>
        <v>No</v>
      </c>
      <c r="F498" s="28" t="str">
        <f t="array" ref="F498">_xlfn.XLOOKUP($A498, 'Medical Examinations'!$A:$A, 'Medical Examinations'!E:E, "No Data")</f>
        <v>No</v>
      </c>
      <c r="G498" s="28" t="str">
        <f t="array" ref="G498">_xlfn.XLOOKUP($A498, 'Medical Examinations'!$A:$A, 'Medical Examinations'!F:F, "No Data")</f>
        <v>No</v>
      </c>
      <c r="H498" s="28">
        <f t="array" ref="H498">_xlfn.XLOOKUP($A498, 'Medical Examinations'!$A:$A, 'Medical Examinations'!G:G, "No Data")</f>
        <v>0</v>
      </c>
      <c r="I498" s="28" t="str">
        <f t="array" ref="I498">_xlfn.XLOOKUP($A498, 'Medical Examinations'!$A:$A, 'Medical Examinations'!H:H, "No Data")</f>
        <v>yes</v>
      </c>
      <c r="J498" s="28" t="str">
        <f t="array" ref="J498">_xlfn.XLOOKUP($A498, 'Medical Examinations'!$A:$A, 'Medical Examinations'!I:I, "No Data")</f>
        <v>Normal Weight</v>
      </c>
      <c r="K498" s="28" t="str">
        <f t="array" ref="K498">_xlfn.XLOOKUP($A498, 'Hospitalisation Details'!$A:$A, 'Hospitalisation Details'!I:I, "No Data")</f>
        <v>tier - 2</v>
      </c>
      <c r="L498" s="28" t="str">
        <f t="array" ref="L498">_xlfn.XLOOKUP($A498, 'Hospitalisation Details'!$A:$A, 'Hospitalisation Details'!J:J, "No Data")</f>
        <v>R1024</v>
      </c>
      <c r="M498" s="28" t="str">
        <f t="array" ref="M498">_xlfn.XLOOKUP($A498, 'Hospitalisation Details'!$A:$A, 'Hospitalisation Details'!E:E, "No Data")</f>
        <v>09/10/80</v>
      </c>
      <c r="N498" s="28">
        <f t="array" ref="N498">_xlfn.XLOOKUP($A498, 'Hospitalisation Details'!$A:$A, 'Hospitalisation Details'!K:K, "No Data")</f>
        <v>42</v>
      </c>
      <c r="O498" s="33">
        <f t="array" ref="O498">_xlfn.XLOOKUP($A498, 'Hospitalisation Details'!$A:$A, 'Hospitalisation Details'!G:G, "No Data")</f>
        <v>19964.75</v>
      </c>
      <c r="P498" s="28" t="str">
        <f t="array" ref="P498">_xlfn.XLOOKUP($A498, 'Hospitalisation Details'!$A:$A, 'Hospitalisation Details'!H:H, "No Data")</f>
        <v>tier - 1</v>
      </c>
    </row>
    <row r="499">
      <c r="A499" s="25" t="s">
        <v>1603</v>
      </c>
      <c r="B499" s="28" t="str">
        <f t="array" ref="B499">_xlfn.XLOOKUP($A499, 'Customer Names'!$A:$A, 'Customer Names'!B:B, "No Data")</f>
        <v>Van Es</v>
      </c>
      <c r="C499" s="28">
        <f t="array" ref="C499">_xlfn.XLOOKUP($A499, 'Medical Examinations'!$A:$A, 'Medical Examinations'!B:B, "No Data")</f>
        <v>29.7</v>
      </c>
      <c r="D499" s="28">
        <f t="array" ref="D499">_xlfn.XLOOKUP($A499, 'Medical Examinations'!$A:$A, 'Medical Examinations'!C:C, "No Data")</f>
        <v>6.21</v>
      </c>
      <c r="E499" s="28" t="str">
        <f t="array" ref="E499">_xlfn.XLOOKUP($A499, 'Medical Examinations'!$A:$A, 'Medical Examinations'!D:D, "No Data")</f>
        <v>yes</v>
      </c>
      <c r="F499" s="28" t="str">
        <f t="array" ref="F499">_xlfn.XLOOKUP($A499, 'Medical Examinations'!$A:$A, 'Medical Examinations'!E:E, "No Data")</f>
        <v>No</v>
      </c>
      <c r="G499" s="28" t="str">
        <f t="array" ref="G499">_xlfn.XLOOKUP($A499, 'Medical Examinations'!$A:$A, 'Medical Examinations'!F:F, "No Data")</f>
        <v>Yes</v>
      </c>
      <c r="H499" s="28">
        <f t="array" ref="H499">_xlfn.XLOOKUP($A499, 'Medical Examinations'!$A:$A, 'Medical Examinations'!G:G, "No Data")</f>
        <v>1</v>
      </c>
      <c r="I499" s="28" t="str">
        <f t="array" ref="I499">_xlfn.XLOOKUP($A499, 'Medical Examinations'!$A:$A, 'Medical Examinations'!H:H, "No Data")</f>
        <v>yes</v>
      </c>
      <c r="J499" s="28" t="str">
        <f t="array" ref="J499">_xlfn.XLOOKUP($A499, 'Medical Examinations'!$A:$A, 'Medical Examinations'!I:I, "No Data")</f>
        <v>Overweight</v>
      </c>
      <c r="K499" s="28" t="str">
        <f t="array" ref="K499">_xlfn.XLOOKUP($A499, 'Hospitalisation Details'!$A:$A, 'Hospitalisation Details'!I:I, "No Data")</f>
        <v>tier - 3</v>
      </c>
      <c r="L499" s="28" t="str">
        <f t="array" ref="L499">_xlfn.XLOOKUP($A499, 'Hospitalisation Details'!$A:$A, 'Hospitalisation Details'!J:J, "No Data")</f>
        <v>R1011</v>
      </c>
      <c r="M499" s="28" t="str">
        <f t="array" ref="M499">_xlfn.XLOOKUP($A499, 'Hospitalisation Details'!$A:$A, 'Hospitalisation Details'!E:E, "No Data")</f>
        <v>18/10/97</v>
      </c>
      <c r="N499" s="28">
        <f t="array" ref="N499">_xlfn.XLOOKUP($A499, 'Hospitalisation Details'!$A:$A, 'Hospitalisation Details'!K:K, "No Data")</f>
        <v>25</v>
      </c>
      <c r="O499" s="33">
        <f t="array" ref="O499">_xlfn.XLOOKUP($A499, 'Hospitalisation Details'!$A:$A, 'Hospitalisation Details'!G:G, "No Data")</f>
        <v>19933.46</v>
      </c>
      <c r="P499" s="28" t="str">
        <f t="array" ref="P499">_xlfn.XLOOKUP($A499, 'Hospitalisation Details'!$A:$A, 'Hospitalisation Details'!H:H, "No Data")</f>
        <v>tier - 1</v>
      </c>
    </row>
    <row r="500">
      <c r="A500" s="25" t="s">
        <v>1605</v>
      </c>
      <c r="B500" s="28" t="str">
        <f t="array" ref="B500">_xlfn.XLOOKUP($A500, 'Customer Names'!$A:$A, 'Customer Names'!B:B, "No Data")</f>
        <v>Dolge</v>
      </c>
      <c r="C500" s="28">
        <f t="array" ref="C500">_xlfn.XLOOKUP($A500, 'Medical Examinations'!$A:$A, 'Medical Examinations'!B:B, "No Data")</f>
        <v>20.045</v>
      </c>
      <c r="D500" s="28">
        <f t="array" ref="D500">_xlfn.XLOOKUP($A500, 'Medical Examinations'!$A:$A, 'Medical Examinations'!C:C, "No Data")</f>
        <v>6.17</v>
      </c>
      <c r="E500" s="28" t="str">
        <f t="array" ref="E500">_xlfn.XLOOKUP($A500, 'Medical Examinations'!$A:$A, 'Medical Examinations'!D:D, "No Data")</f>
        <v>No</v>
      </c>
      <c r="F500" s="28" t="str">
        <f t="array" ref="F500">_xlfn.XLOOKUP($A500, 'Medical Examinations'!$A:$A, 'Medical Examinations'!E:E, "No Data")</f>
        <v>No</v>
      </c>
      <c r="G500" s="28" t="str">
        <f t="array" ref="G500">_xlfn.XLOOKUP($A500, 'Medical Examinations'!$A:$A, 'Medical Examinations'!F:F, "No Data")</f>
        <v>Yes</v>
      </c>
      <c r="H500" s="28">
        <f t="array" ref="H500">_xlfn.XLOOKUP($A500, 'Medical Examinations'!$A:$A, 'Medical Examinations'!G:G, "No Data")</f>
        <v>1</v>
      </c>
      <c r="I500" s="28" t="str">
        <f t="array" ref="I500">_xlfn.XLOOKUP($A500, 'Medical Examinations'!$A:$A, 'Medical Examinations'!H:H, "No Data")</f>
        <v>yes</v>
      </c>
      <c r="J500" s="28" t="str">
        <f t="array" ref="J500">_xlfn.XLOOKUP($A500, 'Medical Examinations'!$A:$A, 'Medical Examinations'!I:I, "No Data")</f>
        <v>Normal Weight</v>
      </c>
      <c r="K500" s="28" t="str">
        <f t="array" ref="K500">_xlfn.XLOOKUP($A500, 'Hospitalisation Details'!$A:$A, 'Hospitalisation Details'!I:I, "No Data")</f>
        <v>tier - 1</v>
      </c>
      <c r="L500" s="28" t="str">
        <f t="array" ref="L500">_xlfn.XLOOKUP($A500, 'Hospitalisation Details'!$A:$A, 'Hospitalisation Details'!J:J, "No Data")</f>
        <v>R1024</v>
      </c>
      <c r="M500" s="28" t="str">
        <f t="array" ref="M500">_xlfn.XLOOKUP($A500, 'Hospitalisation Details'!$A:$A, 'Hospitalisation Details'!E:E, "No Data")</f>
        <v>30/10/79</v>
      </c>
      <c r="N500" s="28">
        <f t="array" ref="N500">_xlfn.XLOOKUP($A500, 'Hospitalisation Details'!$A:$A, 'Hospitalisation Details'!K:K, "No Data")</f>
        <v>43</v>
      </c>
      <c r="O500" s="33">
        <f t="array" ref="O500">_xlfn.XLOOKUP($A500, 'Hospitalisation Details'!$A:$A, 'Hospitalisation Details'!G:G, "No Data")</f>
        <v>19798.05</v>
      </c>
      <c r="P500" s="28" t="str">
        <f t="array" ref="P500">_xlfn.XLOOKUP($A500, 'Hospitalisation Details'!$A:$A, 'Hospitalisation Details'!H:H, "No Data")</f>
        <v>tier - 1</v>
      </c>
    </row>
    <row r="501">
      <c r="A501" s="25" t="s">
        <v>1609</v>
      </c>
      <c r="B501" s="28" t="str">
        <f t="array" ref="B501">_xlfn.XLOOKUP($A501, 'Customer Names'!$A:$A, 'Customer Names'!B:B, "No Data")</f>
        <v>Marlier</v>
      </c>
      <c r="C501" s="28">
        <f t="array" ref="C501">_xlfn.XLOOKUP($A501, 'Medical Examinations'!$A:$A, 'Medical Examinations'!B:B, "No Data")</f>
        <v>27.83</v>
      </c>
      <c r="D501" s="28">
        <f t="array" ref="D501">_xlfn.XLOOKUP($A501, 'Medical Examinations'!$A:$A, 'Medical Examinations'!C:C, "No Data")</f>
        <v>5.36</v>
      </c>
      <c r="E501" s="28" t="str">
        <f t="array" ref="E501">_xlfn.XLOOKUP($A501, 'Medical Examinations'!$A:$A, 'Medical Examinations'!D:D, "No Data")</f>
        <v>No</v>
      </c>
      <c r="F501" s="28" t="str">
        <f t="array" ref="F501">_xlfn.XLOOKUP($A501, 'Medical Examinations'!$A:$A, 'Medical Examinations'!E:E, "No Data")</f>
        <v>No</v>
      </c>
      <c r="G501" s="28" t="str">
        <f t="array" ref="G501">_xlfn.XLOOKUP($A501, 'Medical Examinations'!$A:$A, 'Medical Examinations'!F:F, "No Data")</f>
        <v>No</v>
      </c>
      <c r="H501" s="28">
        <f t="array" ref="H501">_xlfn.XLOOKUP($A501, 'Medical Examinations'!$A:$A, 'Medical Examinations'!G:G, "No Data")</f>
        <v>2</v>
      </c>
      <c r="I501" s="28" t="str">
        <f t="array" ref="I501">_xlfn.XLOOKUP($A501, 'Medical Examinations'!$A:$A, 'Medical Examinations'!H:H, "No Data")</f>
        <v>No</v>
      </c>
      <c r="J501" s="28" t="str">
        <f t="array" ref="J501">_xlfn.XLOOKUP($A501, 'Medical Examinations'!$A:$A, 'Medical Examinations'!I:I, "No Data")</f>
        <v>Overweight</v>
      </c>
      <c r="K501" s="28" t="str">
        <f t="array" ref="K501">_xlfn.XLOOKUP($A501, 'Hospitalisation Details'!$A:$A, 'Hospitalisation Details'!I:I, "No Data")</f>
        <v>tier - 3</v>
      </c>
      <c r="L501" s="28" t="str">
        <f t="array" ref="L501">_xlfn.XLOOKUP($A501, 'Hospitalisation Details'!$A:$A, 'Hospitalisation Details'!J:J, "No Data")</f>
        <v>R1013</v>
      </c>
      <c r="M501" s="28" t="str">
        <f t="array" ref="M501">_xlfn.XLOOKUP($A501, 'Hospitalisation Details'!$A:$A, 'Hospitalisation Details'!E:E, "No Data")</f>
        <v>14/06/72</v>
      </c>
      <c r="N501" s="28">
        <f t="array" ref="N501">_xlfn.XLOOKUP($A501, 'Hospitalisation Details'!$A:$A, 'Hospitalisation Details'!K:K, "No Data")</f>
        <v>50</v>
      </c>
      <c r="O501" s="33">
        <f t="array" ref="O501">_xlfn.XLOOKUP($A501, 'Hospitalisation Details'!$A:$A, 'Hospitalisation Details'!G:G, "No Data")</f>
        <v>19749.38</v>
      </c>
      <c r="P501" s="28" t="str">
        <f t="array" ref="P501">_xlfn.XLOOKUP($A501, 'Hospitalisation Details'!$A:$A, 'Hospitalisation Details'!H:H, "No Data")</f>
        <v>tier - 1</v>
      </c>
    </row>
    <row r="502">
      <c r="A502" s="25" t="s">
        <v>1611</v>
      </c>
      <c r="B502" s="28" t="str">
        <f t="array" ref="B502">_xlfn.XLOOKUP($A502, 'Customer Names'!$A:$A, 'Customer Names'!B:B, "No Data")</f>
        <v>Girard</v>
      </c>
      <c r="C502" s="28">
        <f t="array" ref="C502">_xlfn.XLOOKUP($A502, 'Medical Examinations'!$A:$A, 'Medical Examinations'!B:B, "No Data")</f>
        <v>28.93</v>
      </c>
      <c r="D502" s="28">
        <f t="array" ref="D502">_xlfn.XLOOKUP($A502, 'Medical Examinations'!$A:$A, 'Medical Examinations'!C:C, "No Data")</f>
        <v>5.2</v>
      </c>
      <c r="E502" s="28" t="str">
        <f t="array" ref="E502">_xlfn.XLOOKUP($A502, 'Medical Examinations'!$A:$A, 'Medical Examinations'!D:D, "No Data")</f>
        <v>No</v>
      </c>
      <c r="F502" s="28" t="str">
        <f t="array" ref="F502">_xlfn.XLOOKUP($A502, 'Medical Examinations'!$A:$A, 'Medical Examinations'!E:E, "No Data")</f>
        <v>No</v>
      </c>
      <c r="G502" s="28" t="str">
        <f t="array" ref="G502">_xlfn.XLOOKUP($A502, 'Medical Examinations'!$A:$A, 'Medical Examinations'!F:F, "No Data")</f>
        <v>No</v>
      </c>
      <c r="H502" s="28">
        <f t="array" ref="H502">_xlfn.XLOOKUP($A502, 'Medical Examinations'!$A:$A, 'Medical Examinations'!G:G, "No Data")</f>
        <v>0</v>
      </c>
      <c r="I502" s="28" t="str">
        <f t="array" ref="I502">_xlfn.XLOOKUP($A502, 'Medical Examinations'!$A:$A, 'Medical Examinations'!H:H, "No Data")</f>
        <v>yes</v>
      </c>
      <c r="J502" s="28" t="str">
        <f t="array" ref="J502">_xlfn.XLOOKUP($A502, 'Medical Examinations'!$A:$A, 'Medical Examinations'!I:I, "No Data")</f>
        <v>Overweight</v>
      </c>
      <c r="K502" s="28" t="str">
        <f t="array" ref="K502">_xlfn.XLOOKUP($A502, 'Hospitalisation Details'!$A:$A, 'Hospitalisation Details'!I:I, "No Data")</f>
        <v>tier - 2</v>
      </c>
      <c r="L502" s="28" t="str">
        <f t="array" ref="L502">_xlfn.XLOOKUP($A502, 'Hospitalisation Details'!$A:$A, 'Hospitalisation Details'!J:J, "No Data")</f>
        <v>R1013</v>
      </c>
      <c r="M502" s="28" t="str">
        <f t="array" ref="M502">_xlfn.XLOOKUP($A502, 'Hospitalisation Details'!$A:$A, 'Hospitalisation Details'!E:E, "No Data")</f>
        <v>08/08/90</v>
      </c>
      <c r="N502" s="28">
        <f t="array" ref="N502">_xlfn.XLOOKUP($A502, 'Hospitalisation Details'!$A:$A, 'Hospitalisation Details'!K:K, "No Data")</f>
        <v>32</v>
      </c>
      <c r="O502" s="33">
        <f t="array" ref="O502">_xlfn.XLOOKUP($A502, 'Hospitalisation Details'!$A:$A, 'Hospitalisation Details'!G:G, "No Data")</f>
        <v>19719.69</v>
      </c>
      <c r="P502" s="28" t="str">
        <f t="array" ref="P502">_xlfn.XLOOKUP($A502, 'Hospitalisation Details'!$A:$A, 'Hospitalisation Details'!H:H, "No Data")</f>
        <v>tier - 1</v>
      </c>
    </row>
    <row r="503">
      <c r="A503" s="25" t="s">
        <v>1614</v>
      </c>
      <c r="B503" s="28" t="str">
        <f t="array" ref="B503">_xlfn.XLOOKUP($A503, 'Customer Names'!$A:$A, 'Customer Names'!B:B, "No Data")</f>
        <v>Lee</v>
      </c>
      <c r="C503" s="28">
        <f t="array" ref="C503">_xlfn.XLOOKUP($A503, 'Medical Examinations'!$A:$A, 'Medical Examinations'!B:B, "No Data")</f>
        <v>33.82</v>
      </c>
      <c r="D503" s="28">
        <f t="array" ref="D503">_xlfn.XLOOKUP($A503, 'Medical Examinations'!$A:$A, 'Medical Examinations'!C:C, "No Data")</f>
        <v>5.42</v>
      </c>
      <c r="E503" s="28" t="str">
        <f t="array" ref="E503">_xlfn.XLOOKUP($A503, 'Medical Examinations'!$A:$A, 'Medical Examinations'!D:D, "No Data")</f>
        <v>No</v>
      </c>
      <c r="F503" s="28" t="str">
        <f t="array" ref="F503">_xlfn.XLOOKUP($A503, 'Medical Examinations'!$A:$A, 'Medical Examinations'!E:E, "No Data")</f>
        <v>No</v>
      </c>
      <c r="G503" s="28" t="str">
        <f t="array" ref="G503">_xlfn.XLOOKUP($A503, 'Medical Examinations'!$A:$A, 'Medical Examinations'!F:F, "No Data")</f>
        <v>No</v>
      </c>
      <c r="H503" s="28">
        <f t="array" ref="H503">_xlfn.XLOOKUP($A503, 'Medical Examinations'!$A:$A, 'Medical Examinations'!G:G, "No Data")</f>
        <v>0</v>
      </c>
      <c r="I503" s="28" t="str">
        <f t="array" ref="I503">_xlfn.XLOOKUP($A503, 'Medical Examinations'!$A:$A, 'Medical Examinations'!H:H, "No Data")</f>
        <v>No</v>
      </c>
      <c r="J503" s="28" t="str">
        <f t="array" ref="J503">_xlfn.XLOOKUP($A503, 'Medical Examinations'!$A:$A, 'Medical Examinations'!I:I, "No Data")</f>
        <v>Obesity</v>
      </c>
      <c r="K503" s="28" t="str">
        <f t="array" ref="K503">_xlfn.XLOOKUP($A503, 'Hospitalisation Details'!$A:$A, 'Hospitalisation Details'!I:I, "No Data")</f>
        <v>tier - 2</v>
      </c>
      <c r="L503" s="28" t="str">
        <f t="array" ref="L503">_xlfn.XLOOKUP($A503, 'Hospitalisation Details'!$A:$A, 'Hospitalisation Details'!J:J, "No Data")</f>
        <v>R1012</v>
      </c>
      <c r="M503" s="28" t="str">
        <f t="array" ref="M503">_xlfn.XLOOKUP($A503, 'Hospitalisation Details'!$A:$A, 'Hospitalisation Details'!E:E, "No Data")</f>
        <v>27/08/94</v>
      </c>
      <c r="N503" s="28">
        <f t="array" ref="N503">_xlfn.XLOOKUP($A503, 'Hospitalisation Details'!$A:$A, 'Hospitalisation Details'!K:K, "No Data")</f>
        <v>28</v>
      </c>
      <c r="O503" s="33">
        <f t="array" ref="O503">_xlfn.XLOOKUP($A503, 'Hospitalisation Details'!$A:$A, 'Hospitalisation Details'!G:G, "No Data")</f>
        <v>19673.34</v>
      </c>
      <c r="P503" s="28" t="str">
        <f t="array" ref="P503">_xlfn.XLOOKUP($A503, 'Hospitalisation Details'!$A:$A, 'Hospitalisation Details'!H:H, "No Data")</f>
        <v>tier - 1</v>
      </c>
    </row>
    <row r="504">
      <c r="A504" s="25" t="s">
        <v>1617</v>
      </c>
      <c r="B504" s="28" t="str">
        <f t="array" ref="B504">_xlfn.XLOOKUP($A504, 'Customer Names'!$A:$A, 'Customer Names'!B:B, "No Data")</f>
        <v>Hubbard</v>
      </c>
      <c r="C504" s="28">
        <f t="array" ref="C504">_xlfn.XLOOKUP($A504, 'Medical Examinations'!$A:$A, 'Medical Examinations'!B:B, "No Data")</f>
        <v>20.235</v>
      </c>
      <c r="D504" s="28">
        <f t="array" ref="D504">_xlfn.XLOOKUP($A504, 'Medical Examinations'!$A:$A, 'Medical Examinations'!C:C, "No Data")</f>
        <v>6.84</v>
      </c>
      <c r="E504" s="28" t="str">
        <f t="array" ref="E504">_xlfn.XLOOKUP($A504, 'Medical Examinations'!$A:$A, 'Medical Examinations'!D:D, "No Data")</f>
        <v>No</v>
      </c>
      <c r="F504" s="28" t="str">
        <f t="array" ref="F504">_xlfn.XLOOKUP($A504, 'Medical Examinations'!$A:$A, 'Medical Examinations'!E:E, "No Data")</f>
        <v>No</v>
      </c>
      <c r="G504" s="28" t="str">
        <f t="array" ref="G504">_xlfn.XLOOKUP($A504, 'Medical Examinations'!$A:$A, 'Medical Examinations'!F:F, "No Data")</f>
        <v>No</v>
      </c>
      <c r="H504" s="28">
        <f t="array" ref="H504">_xlfn.XLOOKUP($A504, 'Medical Examinations'!$A:$A, 'Medical Examinations'!G:G, "No Data")</f>
        <v>0</v>
      </c>
      <c r="I504" s="28" t="str">
        <f t="array" ref="I504">_xlfn.XLOOKUP($A504, 'Medical Examinations'!$A:$A, 'Medical Examinations'!H:H, "No Data")</f>
        <v>yes</v>
      </c>
      <c r="J504" s="28" t="str">
        <f t="array" ref="J504">_xlfn.XLOOKUP($A504, 'Medical Examinations'!$A:$A, 'Medical Examinations'!I:I, "No Data")</f>
        <v>Normal Weight</v>
      </c>
      <c r="K504" s="28" t="str">
        <f t="array" ref="K504">_xlfn.XLOOKUP($A504, 'Hospitalisation Details'!$A:$A, 'Hospitalisation Details'!I:I, "No Data")</f>
        <v>tier - 1</v>
      </c>
      <c r="L504" s="28" t="str">
        <f t="array" ref="L504">_xlfn.XLOOKUP($A504, 'Hospitalisation Details'!$A:$A, 'Hospitalisation Details'!J:J, "No Data")</f>
        <v>R1024</v>
      </c>
      <c r="M504" s="28" t="str">
        <f t="array" ref="M504">_xlfn.XLOOKUP($A504, 'Hospitalisation Details'!$A:$A, 'Hospitalisation Details'!E:E, "No Data")</f>
        <v>24/09/78</v>
      </c>
      <c r="N504" s="28">
        <f t="array" ref="N504">_xlfn.XLOOKUP($A504, 'Hospitalisation Details'!$A:$A, 'Hospitalisation Details'!K:K, "No Data")</f>
        <v>44</v>
      </c>
      <c r="O504" s="33">
        <f t="array" ref="O504">_xlfn.XLOOKUP($A504, 'Hospitalisation Details'!$A:$A, 'Hospitalisation Details'!G:G, "No Data")</f>
        <v>19594.81</v>
      </c>
      <c r="P504" s="28" t="str">
        <f t="array" ref="P504">_xlfn.XLOOKUP($A504, 'Hospitalisation Details'!$A:$A, 'Hospitalisation Details'!H:H, "No Data")</f>
        <v>tier - 1</v>
      </c>
    </row>
    <row r="505">
      <c r="A505" s="25" t="s">
        <v>1620</v>
      </c>
      <c r="B505" s="28" t="str">
        <f t="array" ref="B505">_xlfn.XLOOKUP($A505, 'Customer Names'!$A:$A, 'Customer Names'!B:B, "No Data")</f>
        <v>Koester</v>
      </c>
      <c r="C505" s="28">
        <f t="array" ref="C505">_xlfn.XLOOKUP($A505, 'Medical Examinations'!$A:$A, 'Medical Examinations'!B:B, "No Data")</f>
        <v>49.2</v>
      </c>
      <c r="D505" s="28">
        <f t="array" ref="D505">_xlfn.XLOOKUP($A505, 'Medical Examinations'!$A:$A, 'Medical Examinations'!C:C, "No Data")</f>
        <v>10.9</v>
      </c>
      <c r="E505" s="28" t="str">
        <f t="array" ref="E505">_xlfn.XLOOKUP($A505, 'Medical Examinations'!$A:$A, 'Medical Examinations'!D:D, "No Data")</f>
        <v>yes</v>
      </c>
      <c r="F505" s="28" t="str">
        <f t="array" ref="F505">_xlfn.XLOOKUP($A505, 'Medical Examinations'!$A:$A, 'Medical Examinations'!E:E, "No Data")</f>
        <v>No</v>
      </c>
      <c r="G505" s="28" t="str">
        <f t="array" ref="G505">_xlfn.XLOOKUP($A505, 'Medical Examinations'!$A:$A, 'Medical Examinations'!F:F, "No Data")</f>
        <v>Yes</v>
      </c>
      <c r="H505" s="28">
        <f t="array" ref="H505">_xlfn.XLOOKUP($A505, 'Medical Examinations'!$A:$A, 'Medical Examinations'!G:G, "No Data")</f>
        <v>1</v>
      </c>
      <c r="I505" s="28" t="str">
        <f t="array" ref="I505">_xlfn.XLOOKUP($A505, 'Medical Examinations'!$A:$A, 'Medical Examinations'!H:H, "No Data")</f>
        <v>No</v>
      </c>
      <c r="J505" s="28" t="str">
        <f t="array" ref="J505">_xlfn.XLOOKUP($A505, 'Medical Examinations'!$A:$A, 'Medical Examinations'!I:I, "No Data")</f>
        <v>Obesity</v>
      </c>
      <c r="K505" s="28" t="str">
        <f t="array" ref="K505">_xlfn.XLOOKUP($A505, 'Hospitalisation Details'!$A:$A, 'Hospitalisation Details'!I:I, "No Data")</f>
        <v>tier - 3</v>
      </c>
      <c r="L505" s="28" t="str">
        <f t="array" ref="L505">_xlfn.XLOOKUP($A505, 'Hospitalisation Details'!$A:$A, 'Hospitalisation Details'!J:J, "No Data")</f>
        <v>R1012</v>
      </c>
      <c r="M505" s="28" t="str">
        <f t="array" ref="M505">_xlfn.XLOOKUP($A505, 'Hospitalisation Details'!$A:$A, 'Hospitalisation Details'!E:E, "No Data")</f>
        <v>14/07/63</v>
      </c>
      <c r="N505" s="28">
        <f t="array" ref="N505">_xlfn.XLOOKUP($A505, 'Hospitalisation Details'!$A:$A, 'Hospitalisation Details'!K:K, "No Data")</f>
        <v>59</v>
      </c>
      <c r="O505" s="33">
        <f t="array" ref="O505">_xlfn.XLOOKUP($A505, 'Hospitalisation Details'!$A:$A, 'Hospitalisation Details'!G:G, "No Data")</f>
        <v>19551.34</v>
      </c>
      <c r="P505" s="28" t="str">
        <f t="array" ref="P505">_xlfn.XLOOKUP($A505, 'Hospitalisation Details'!$A:$A, 'Hospitalisation Details'!H:H, "No Data")</f>
        <v>tier - 1</v>
      </c>
    </row>
    <row r="506">
      <c r="A506" s="25" t="s">
        <v>1624</v>
      </c>
      <c r="B506" s="28" t="str">
        <f t="array" ref="B506">_xlfn.XLOOKUP($A506, 'Customer Names'!$A:$A, 'Customer Names'!B:B, "No Data")</f>
        <v>Matthews</v>
      </c>
      <c r="C506" s="28">
        <f t="array" ref="C506">_xlfn.XLOOKUP($A506, 'Medical Examinations'!$A:$A, 'Medical Examinations'!B:B, "No Data")</f>
        <v>26.4</v>
      </c>
      <c r="D506" s="28">
        <f t="array" ref="D506">_xlfn.XLOOKUP($A506, 'Medical Examinations'!$A:$A, 'Medical Examinations'!C:C, "No Data")</f>
        <v>4.87</v>
      </c>
      <c r="E506" s="28" t="str">
        <f t="array" ref="E506">_xlfn.XLOOKUP($A506, 'Medical Examinations'!$A:$A, 'Medical Examinations'!D:D, "No Data")</f>
        <v>yes</v>
      </c>
      <c r="F506" s="28" t="str">
        <f t="array" ref="F506">_xlfn.XLOOKUP($A506, 'Medical Examinations'!$A:$A, 'Medical Examinations'!E:E, "No Data")</f>
        <v>No</v>
      </c>
      <c r="G506" s="28" t="str">
        <f t="array" ref="G506">_xlfn.XLOOKUP($A506, 'Medical Examinations'!$A:$A, 'Medical Examinations'!F:F, "No Data")</f>
        <v>No</v>
      </c>
      <c r="H506" s="28">
        <f t="array" ref="H506">_xlfn.XLOOKUP($A506, 'Medical Examinations'!$A:$A, 'Medical Examinations'!G:G, "No Data")</f>
        <v>0</v>
      </c>
      <c r="I506" s="28" t="str">
        <f t="array" ref="I506">_xlfn.XLOOKUP($A506, 'Medical Examinations'!$A:$A, 'Medical Examinations'!H:H, "No Data")</f>
        <v>yes</v>
      </c>
      <c r="J506" s="28" t="str">
        <f t="array" ref="J506">_xlfn.XLOOKUP($A506, 'Medical Examinations'!$A:$A, 'Medical Examinations'!I:I, "No Data")</f>
        <v>Overweight</v>
      </c>
      <c r="K506" s="28" t="str">
        <f t="array" ref="K506">_xlfn.XLOOKUP($A506, 'Hospitalisation Details'!$A:$A, 'Hospitalisation Details'!I:I, "No Data")</f>
        <v>tier - 1</v>
      </c>
      <c r="L506" s="28" t="str">
        <f t="array" ref="L506">_xlfn.XLOOKUP($A506, 'Hospitalisation Details'!$A:$A, 'Hospitalisation Details'!J:J, "No Data")</f>
        <v>R1013</v>
      </c>
      <c r="M506" s="28" t="str">
        <f t="array" ref="M506">_xlfn.XLOOKUP($A506, 'Hospitalisation Details'!$A:$A, 'Hospitalisation Details'!E:E, "No Data")</f>
        <v>17/09/85</v>
      </c>
      <c r="N506" s="28">
        <f t="array" ref="N506">_xlfn.XLOOKUP($A506, 'Hospitalisation Details'!$A:$A, 'Hospitalisation Details'!K:K, "No Data")</f>
        <v>37</v>
      </c>
      <c r="O506" s="33">
        <f t="array" ref="O506">_xlfn.XLOOKUP($A506, 'Hospitalisation Details'!$A:$A, 'Hospitalisation Details'!G:G, "No Data")</f>
        <v>19539.24</v>
      </c>
      <c r="P506" s="28" t="str">
        <f t="array" ref="P506">_xlfn.XLOOKUP($A506, 'Hospitalisation Details'!$A:$A, 'Hospitalisation Details'!H:H, "No Data")</f>
        <v>tier - 1</v>
      </c>
    </row>
    <row r="507">
      <c r="A507" s="25" t="s">
        <v>1626</v>
      </c>
      <c r="B507" s="28" t="str">
        <f t="array" ref="B507">_xlfn.XLOOKUP($A507, 'Customer Names'!$A:$A, 'Customer Names'!B:B, "No Data")</f>
        <v>Rubinich</v>
      </c>
      <c r="C507" s="28">
        <f t="array" ref="C507">_xlfn.XLOOKUP($A507, 'Medical Examinations'!$A:$A, 'Medical Examinations'!B:B, "No Data")</f>
        <v>28.38</v>
      </c>
      <c r="D507" s="28">
        <f t="array" ref="D507">_xlfn.XLOOKUP($A507, 'Medical Examinations'!$A:$A, 'Medical Examinations'!C:C, "No Data")</f>
        <v>6.07</v>
      </c>
      <c r="E507" s="28" t="str">
        <f t="array" ref="E507">_xlfn.XLOOKUP($A507, 'Medical Examinations'!$A:$A, 'Medical Examinations'!D:D, "No Data")</f>
        <v>No</v>
      </c>
      <c r="F507" s="28" t="str">
        <f t="array" ref="F507">_xlfn.XLOOKUP($A507, 'Medical Examinations'!$A:$A, 'Medical Examinations'!E:E, "No Data")</f>
        <v>No</v>
      </c>
      <c r="G507" s="28" t="str">
        <f t="array" ref="G507">_xlfn.XLOOKUP($A507, 'Medical Examinations'!$A:$A, 'Medical Examinations'!F:F, "No Data")</f>
        <v>No</v>
      </c>
      <c r="H507" s="28">
        <f t="array" ref="H507">_xlfn.XLOOKUP($A507, 'Medical Examinations'!$A:$A, 'Medical Examinations'!G:G, "No Data")</f>
        <v>1</v>
      </c>
      <c r="I507" s="28" t="str">
        <f t="array" ref="I507">_xlfn.XLOOKUP($A507, 'Medical Examinations'!$A:$A, 'Medical Examinations'!H:H, "No Data")</f>
        <v>yes</v>
      </c>
      <c r="J507" s="28" t="str">
        <f t="array" ref="J507">_xlfn.XLOOKUP($A507, 'Medical Examinations'!$A:$A, 'Medical Examinations'!I:I, "No Data")</f>
        <v>Overweight</v>
      </c>
      <c r="K507" s="28" t="str">
        <f t="array" ref="K507">_xlfn.XLOOKUP($A507, 'Hospitalisation Details'!$A:$A, 'Hospitalisation Details'!I:I, "No Data")</f>
        <v>tier - 2</v>
      </c>
      <c r="L507" s="28" t="str">
        <f t="array" ref="L507">_xlfn.XLOOKUP($A507, 'Hospitalisation Details'!$A:$A, 'Hospitalisation Details'!J:J, "No Data")</f>
        <v>R1013</v>
      </c>
      <c r="M507" s="28" t="str">
        <f t="array" ref="M507">_xlfn.XLOOKUP($A507, 'Hospitalisation Details'!$A:$A, 'Hospitalisation Details'!E:E, "No Data")</f>
        <v>19/08/92</v>
      </c>
      <c r="N507" s="28">
        <f t="array" ref="N507">_xlfn.XLOOKUP($A507, 'Hospitalisation Details'!$A:$A, 'Hospitalisation Details'!K:K, "No Data")</f>
        <v>30</v>
      </c>
      <c r="O507" s="33">
        <f t="array" ref="O507">_xlfn.XLOOKUP($A507, 'Hospitalisation Details'!$A:$A, 'Hospitalisation Details'!G:G, "No Data")</f>
        <v>19521.97</v>
      </c>
      <c r="P507" s="28" t="str">
        <f t="array" ref="P507">_xlfn.XLOOKUP($A507, 'Hospitalisation Details'!$A:$A, 'Hospitalisation Details'!H:H, "No Data")</f>
        <v>tier - 1</v>
      </c>
    </row>
    <row r="508">
      <c r="A508" s="25" t="s">
        <v>1629</v>
      </c>
      <c r="B508" s="28" t="str">
        <f t="array" ref="B508">_xlfn.XLOOKUP($A508, 'Customer Names'!$A:$A, 'Customer Names'!B:B, "No Data")</f>
        <v>Alban</v>
      </c>
      <c r="C508" s="28">
        <f t="array" ref="C508">_xlfn.XLOOKUP($A508, 'Medical Examinations'!$A:$A, 'Medical Examinations'!B:B, "No Data")</f>
        <v>24.64</v>
      </c>
      <c r="D508" s="28">
        <f t="array" ref="D508">_xlfn.XLOOKUP($A508, 'Medical Examinations'!$A:$A, 'Medical Examinations'!C:C, "No Data")</f>
        <v>4.33</v>
      </c>
      <c r="E508" s="28" t="str">
        <f t="array" ref="E508">_xlfn.XLOOKUP($A508, 'Medical Examinations'!$A:$A, 'Medical Examinations'!D:D, "No Data")</f>
        <v>No</v>
      </c>
      <c r="F508" s="28" t="str">
        <f t="array" ref="F508">_xlfn.XLOOKUP($A508, 'Medical Examinations'!$A:$A, 'Medical Examinations'!E:E, "No Data")</f>
        <v>No</v>
      </c>
      <c r="G508" s="28" t="str">
        <f t="array" ref="G508">_xlfn.XLOOKUP($A508, 'Medical Examinations'!$A:$A, 'Medical Examinations'!F:F, "No Data")</f>
        <v>No</v>
      </c>
      <c r="H508" s="28">
        <f t="array" ref="H508">_xlfn.XLOOKUP($A508, 'Medical Examinations'!$A:$A, 'Medical Examinations'!G:G, "No Data")</f>
        <v>0</v>
      </c>
      <c r="I508" s="28" t="str">
        <f t="array" ref="I508">_xlfn.XLOOKUP($A508, 'Medical Examinations'!$A:$A, 'Medical Examinations'!H:H, "No Data")</f>
        <v>yes</v>
      </c>
      <c r="J508" s="28" t="str">
        <f t="array" ref="J508">_xlfn.XLOOKUP($A508, 'Medical Examinations'!$A:$A, 'Medical Examinations'!I:I, "No Data")</f>
        <v>Normal Weight</v>
      </c>
      <c r="K508" s="28" t="str">
        <f t="array" ref="K508">_xlfn.XLOOKUP($A508, 'Hospitalisation Details'!$A:$A, 'Hospitalisation Details'!I:I, "No Data")</f>
        <v>tier - 1</v>
      </c>
      <c r="L508" s="28" t="str">
        <f t="array" ref="L508">_xlfn.XLOOKUP($A508, 'Hospitalisation Details'!$A:$A, 'Hospitalisation Details'!J:J, "No Data")</f>
        <v>R1013</v>
      </c>
      <c r="M508" s="28" t="str">
        <f t="array" ref="M508">_xlfn.XLOOKUP($A508, 'Hospitalisation Details'!$A:$A, 'Hospitalisation Details'!E:E, "No Data")</f>
        <v>08/11/80</v>
      </c>
      <c r="N508" s="28">
        <f t="array" ref="N508">_xlfn.XLOOKUP($A508, 'Hospitalisation Details'!$A:$A, 'Hospitalisation Details'!K:K, "No Data")</f>
        <v>42</v>
      </c>
      <c r="O508" s="33">
        <f t="array" ref="O508">_xlfn.XLOOKUP($A508, 'Hospitalisation Details'!$A:$A, 'Hospitalisation Details'!G:G, "No Data")</f>
        <v>19515.54</v>
      </c>
      <c r="P508" s="28" t="str">
        <f t="array" ref="P508">_xlfn.XLOOKUP($A508, 'Hospitalisation Details'!$A:$A, 'Hospitalisation Details'!H:H, "No Data")</f>
        <v>tier - 1</v>
      </c>
    </row>
    <row r="509">
      <c r="A509" s="25" t="s">
        <v>1632</v>
      </c>
      <c r="B509" s="28" t="str">
        <f t="array" ref="B509">_xlfn.XLOOKUP($A509, 'Customer Names'!$A:$A, 'Customer Names'!B:B, "No Data")</f>
        <v>Corcoran</v>
      </c>
      <c r="C509" s="28">
        <f t="array" ref="C509">_xlfn.XLOOKUP($A509, 'Medical Examinations'!$A:$A, 'Medical Examinations'!B:B, "No Data")</f>
        <v>39.71</v>
      </c>
      <c r="D509" s="28">
        <f t="array" ref="D509">_xlfn.XLOOKUP($A509, 'Medical Examinations'!$A:$A, 'Medical Examinations'!C:C, "No Data")</f>
        <v>5.83</v>
      </c>
      <c r="E509" s="28" t="str">
        <f t="array" ref="E509">_xlfn.XLOOKUP($A509, 'Medical Examinations'!$A:$A, 'Medical Examinations'!D:D, "No Data")</f>
        <v>No</v>
      </c>
      <c r="F509" s="28" t="str">
        <f t="array" ref="F509">_xlfn.XLOOKUP($A509, 'Medical Examinations'!$A:$A, 'Medical Examinations'!E:E, "No Data")</f>
        <v>No</v>
      </c>
      <c r="G509" s="28" t="str">
        <f t="array" ref="G509">_xlfn.XLOOKUP($A509, 'Medical Examinations'!$A:$A, 'Medical Examinations'!F:F, "No Data")</f>
        <v>No</v>
      </c>
      <c r="H509" s="28">
        <f t="array" ref="H509">_xlfn.XLOOKUP($A509, 'Medical Examinations'!$A:$A, 'Medical Examinations'!G:G, "No Data")</f>
        <v>1</v>
      </c>
      <c r="I509" s="28" t="str">
        <f t="array" ref="I509">_xlfn.XLOOKUP($A509, 'Medical Examinations'!$A:$A, 'Medical Examinations'!H:H, "No Data")</f>
        <v>No</v>
      </c>
      <c r="J509" s="28" t="str">
        <f t="array" ref="J509">_xlfn.XLOOKUP($A509, 'Medical Examinations'!$A:$A, 'Medical Examinations'!I:I, "No Data")</f>
        <v>Obesity</v>
      </c>
      <c r="K509" s="28" t="str">
        <f t="array" ref="K509">_xlfn.XLOOKUP($A509, 'Hospitalisation Details'!$A:$A, 'Hospitalisation Details'!I:I, "No Data")</f>
        <v>tier - 3</v>
      </c>
      <c r="L509" s="28" t="str">
        <f t="array" ref="L509">_xlfn.XLOOKUP($A509, 'Hospitalisation Details'!$A:$A, 'Hospitalisation Details'!J:J, "No Data")</f>
        <v>R1019</v>
      </c>
      <c r="M509" s="28" t="str">
        <f t="array" ref="M509">_xlfn.XLOOKUP($A509, 'Hospitalisation Details'!$A:$A, 'Hospitalisation Details'!E:E, "No Data")</f>
        <v>30/11/87</v>
      </c>
      <c r="N509" s="28">
        <f t="array" ref="N509">_xlfn.XLOOKUP($A509, 'Hospitalisation Details'!$A:$A, 'Hospitalisation Details'!K:K, "No Data")</f>
        <v>35</v>
      </c>
      <c r="O509" s="33">
        <f t="array" ref="O509">_xlfn.XLOOKUP($A509, 'Hospitalisation Details'!$A:$A, 'Hospitalisation Details'!G:G, "No Data")</f>
        <v>19496.72</v>
      </c>
      <c r="P509" s="28" t="str">
        <f t="array" ref="P509">_xlfn.XLOOKUP($A509, 'Hospitalisation Details'!$A:$A, 'Hospitalisation Details'!H:H, "No Data")</f>
        <v>tier - 1</v>
      </c>
    </row>
    <row r="510">
      <c r="A510" s="25" t="s">
        <v>1636</v>
      </c>
      <c r="B510" s="28" t="str">
        <f t="array" ref="B510">_xlfn.XLOOKUP($A510, 'Customer Names'!$A:$A, 'Customer Names'!B:B, "No Data")</f>
        <v>Sargent</v>
      </c>
      <c r="C510" s="28">
        <f t="array" ref="C510">_xlfn.XLOOKUP($A510, 'Medical Examinations'!$A:$A, 'Medical Examinations'!B:B, "No Data")</f>
        <v>22.22</v>
      </c>
      <c r="D510" s="28">
        <f t="array" ref="D510">_xlfn.XLOOKUP($A510, 'Medical Examinations'!$A:$A, 'Medical Examinations'!C:C, "No Data")</f>
        <v>5.5</v>
      </c>
      <c r="E510" s="28" t="str">
        <f t="array" ref="E510">_xlfn.XLOOKUP($A510, 'Medical Examinations'!$A:$A, 'Medical Examinations'!D:D, "No Data")</f>
        <v>No</v>
      </c>
      <c r="F510" s="28" t="str">
        <f t="array" ref="F510">_xlfn.XLOOKUP($A510, 'Medical Examinations'!$A:$A, 'Medical Examinations'!E:E, "No Data")</f>
        <v>No</v>
      </c>
      <c r="G510" s="28" t="str">
        <f t="array" ref="G510">_xlfn.XLOOKUP($A510, 'Medical Examinations'!$A:$A, 'Medical Examinations'!F:F, "No Data")</f>
        <v>No</v>
      </c>
      <c r="H510" s="28">
        <f t="array" ref="H510">_xlfn.XLOOKUP($A510, 'Medical Examinations'!$A:$A, 'Medical Examinations'!G:G, "No Data")</f>
        <v>0</v>
      </c>
      <c r="I510" s="28" t="str">
        <f t="array" ref="I510">_xlfn.XLOOKUP($A510, 'Medical Examinations'!$A:$A, 'Medical Examinations'!H:H, "No Data")</f>
        <v>yes</v>
      </c>
      <c r="J510" s="28" t="str">
        <f t="array" ref="J510">_xlfn.XLOOKUP($A510, 'Medical Examinations'!$A:$A, 'Medical Examinations'!I:I, "No Data")</f>
        <v>Normal Weight</v>
      </c>
      <c r="K510" s="28" t="str">
        <f t="array" ref="K510">_xlfn.XLOOKUP($A510, 'Hospitalisation Details'!$A:$A, 'Hospitalisation Details'!I:I, "No Data")</f>
        <v>tier - 1</v>
      </c>
      <c r="L510" s="28" t="str">
        <f t="array" ref="L510">_xlfn.XLOOKUP($A510, 'Hospitalisation Details'!$A:$A, 'Hospitalisation Details'!J:J, "No Data")</f>
        <v>R1013</v>
      </c>
      <c r="M510" s="28" t="str">
        <f t="array" ref="M510">_xlfn.XLOOKUP($A510, 'Hospitalisation Details'!$A:$A, 'Hospitalisation Details'!E:E, "No Data")</f>
        <v>15/12/82</v>
      </c>
      <c r="N510" s="28">
        <f t="array" ref="N510">_xlfn.XLOOKUP($A510, 'Hospitalisation Details'!$A:$A, 'Hospitalisation Details'!K:K, "No Data")</f>
        <v>40</v>
      </c>
      <c r="O510" s="33">
        <f t="array" ref="O510">_xlfn.XLOOKUP($A510, 'Hospitalisation Details'!$A:$A, 'Hospitalisation Details'!G:G, "No Data")</f>
        <v>19444.27</v>
      </c>
      <c r="P510" s="28" t="str">
        <f t="array" ref="P510">_xlfn.XLOOKUP($A510, 'Hospitalisation Details'!$A:$A, 'Hospitalisation Details'!H:H, "No Data")</f>
        <v>tier - 1</v>
      </c>
    </row>
    <row r="511">
      <c r="A511" s="25" t="s">
        <v>1639</v>
      </c>
      <c r="B511" s="28" t="str">
        <f t="array" ref="B511">_xlfn.XLOOKUP($A511, 'Customer Names'!$A:$A, 'Customer Names'!B:B, "No Data")</f>
        <v>Watson</v>
      </c>
      <c r="C511" s="28">
        <f t="array" ref="C511">_xlfn.XLOOKUP($A511, 'Medical Examinations'!$A:$A, 'Medical Examinations'!B:B, "No Data")</f>
        <v>33.345</v>
      </c>
      <c r="D511" s="28">
        <f t="array" ref="D511">_xlfn.XLOOKUP($A511, 'Medical Examinations'!$A:$A, 'Medical Examinations'!C:C, "No Data")</f>
        <v>4.79</v>
      </c>
      <c r="E511" s="28" t="str">
        <f t="array" ref="E511">_xlfn.XLOOKUP($A511, 'Medical Examinations'!$A:$A, 'Medical Examinations'!D:D, "No Data")</f>
        <v>No</v>
      </c>
      <c r="F511" s="28" t="str">
        <f t="array" ref="F511">_xlfn.XLOOKUP($A511, 'Medical Examinations'!$A:$A, 'Medical Examinations'!E:E, "No Data")</f>
        <v>No</v>
      </c>
      <c r="G511" s="28" t="str">
        <f t="array" ref="G511">_xlfn.XLOOKUP($A511, 'Medical Examinations'!$A:$A, 'Medical Examinations'!F:F, "No Data")</f>
        <v>Yes</v>
      </c>
      <c r="H511" s="28">
        <f t="array" ref="H511">_xlfn.XLOOKUP($A511, 'Medical Examinations'!$A:$A, 'Medical Examinations'!G:G, "No Data")</f>
        <v>1</v>
      </c>
      <c r="I511" s="28" t="str">
        <f t="array" ref="I511">_xlfn.XLOOKUP($A511, 'Medical Examinations'!$A:$A, 'Medical Examinations'!H:H, "No Data")</f>
        <v>No</v>
      </c>
      <c r="J511" s="28" t="str">
        <f t="array" ref="J511">_xlfn.XLOOKUP($A511, 'Medical Examinations'!$A:$A, 'Medical Examinations'!I:I, "No Data")</f>
        <v>Obesity</v>
      </c>
      <c r="K511" s="28" t="str">
        <f t="array" ref="K511">_xlfn.XLOOKUP($A511, 'Hospitalisation Details'!$A:$A, 'Hospitalisation Details'!I:I, "No Data")</f>
        <v>tier - 3</v>
      </c>
      <c r="L511" s="28" t="str">
        <f t="array" ref="L511">_xlfn.XLOOKUP($A511, 'Hospitalisation Details'!$A:$A, 'Hospitalisation Details'!J:J, "No Data")</f>
        <v>R1012</v>
      </c>
      <c r="M511" s="28" t="str">
        <f t="array" ref="M511">_xlfn.XLOOKUP($A511, 'Hospitalisation Details'!$A:$A, 'Hospitalisation Details'!E:E, "No Data")</f>
        <v>06/09/93</v>
      </c>
      <c r="N511" s="28">
        <f t="array" ref="N511">_xlfn.XLOOKUP($A511, 'Hospitalisation Details'!$A:$A, 'Hospitalisation Details'!K:K, "No Data")</f>
        <v>29</v>
      </c>
      <c r="O511" s="33">
        <f t="array" ref="O511">_xlfn.XLOOKUP($A511, 'Hospitalisation Details'!$A:$A, 'Hospitalisation Details'!G:G, "No Data")</f>
        <v>19442.35</v>
      </c>
      <c r="P511" s="28" t="str">
        <f t="array" ref="P511">_xlfn.XLOOKUP($A511, 'Hospitalisation Details'!$A:$A, 'Hospitalisation Details'!H:H, "No Data")</f>
        <v>tier - 1</v>
      </c>
    </row>
    <row r="512">
      <c r="A512" s="25" t="s">
        <v>1643</v>
      </c>
      <c r="B512" s="28" t="str">
        <f t="array" ref="B512">_xlfn.XLOOKUP($A512, 'Customer Names'!$A:$A, 'Customer Names'!B:B, "No Data")</f>
        <v>Esponda</v>
      </c>
      <c r="C512" s="28">
        <f t="array" ref="C512">_xlfn.XLOOKUP($A512, 'Medical Examinations'!$A:$A, 'Medical Examinations'!B:B, "No Data")</f>
        <v>24.42</v>
      </c>
      <c r="D512" s="28">
        <f t="array" ref="D512">_xlfn.XLOOKUP($A512, 'Medical Examinations'!$A:$A, 'Medical Examinations'!C:C, "No Data")</f>
        <v>5.81</v>
      </c>
      <c r="E512" s="28" t="str">
        <f t="array" ref="E512">_xlfn.XLOOKUP($A512, 'Medical Examinations'!$A:$A, 'Medical Examinations'!D:D, "No Data")</f>
        <v>No</v>
      </c>
      <c r="F512" s="28" t="str">
        <f t="array" ref="F512">_xlfn.XLOOKUP($A512, 'Medical Examinations'!$A:$A, 'Medical Examinations'!E:E, "No Data")</f>
        <v>No</v>
      </c>
      <c r="G512" s="28" t="str">
        <f t="array" ref="G512">_xlfn.XLOOKUP($A512, 'Medical Examinations'!$A:$A, 'Medical Examinations'!F:F, "No Data")</f>
        <v>No</v>
      </c>
      <c r="H512" s="28">
        <f t="array" ref="H512">_xlfn.XLOOKUP($A512, 'Medical Examinations'!$A:$A, 'Medical Examinations'!G:G, "No Data")</f>
        <v>1</v>
      </c>
      <c r="I512" s="28" t="str">
        <f t="array" ref="I512">_xlfn.XLOOKUP($A512, 'Medical Examinations'!$A:$A, 'Medical Examinations'!H:H, "No Data")</f>
        <v>yes</v>
      </c>
      <c r="J512" s="28" t="str">
        <f t="array" ref="J512">_xlfn.XLOOKUP($A512, 'Medical Examinations'!$A:$A, 'Medical Examinations'!I:I, "No Data")</f>
        <v>Normal Weight</v>
      </c>
      <c r="K512" s="28" t="str">
        <f t="array" ref="K512">_xlfn.XLOOKUP($A512, 'Hospitalisation Details'!$A:$A, 'Hospitalisation Details'!I:I, "No Data")</f>
        <v>tier - 3</v>
      </c>
      <c r="L512" s="28" t="str">
        <f t="array" ref="L512">_xlfn.XLOOKUP($A512, 'Hospitalisation Details'!$A:$A, 'Hospitalisation Details'!J:J, "No Data")</f>
        <v>R1013</v>
      </c>
      <c r="M512" s="28" t="str">
        <f t="array" ref="M512">_xlfn.XLOOKUP($A512, 'Hospitalisation Details'!$A:$A, 'Hospitalisation Details'!E:E, "No Data")</f>
        <v>30/06/87</v>
      </c>
      <c r="N512" s="28">
        <f t="array" ref="N512">_xlfn.XLOOKUP($A512, 'Hospitalisation Details'!$A:$A, 'Hospitalisation Details'!K:K, "No Data")</f>
        <v>35</v>
      </c>
      <c r="O512" s="33">
        <f t="array" ref="O512">_xlfn.XLOOKUP($A512, 'Hospitalisation Details'!$A:$A, 'Hospitalisation Details'!G:G, "No Data")</f>
        <v>19362</v>
      </c>
      <c r="P512" s="28" t="str">
        <f t="array" ref="P512">_xlfn.XLOOKUP($A512, 'Hospitalisation Details'!$A:$A, 'Hospitalisation Details'!H:H, "No Data")</f>
        <v>tier - 1</v>
      </c>
    </row>
    <row r="513">
      <c r="A513" s="25" t="s">
        <v>1645</v>
      </c>
      <c r="B513" s="28" t="str">
        <f t="array" ref="B513">_xlfn.XLOOKUP($A513, 'Customer Names'!$A:$A, 'Customer Names'!B:B, "No Data")</f>
        <v>Krall</v>
      </c>
      <c r="C513" s="28">
        <f t="array" ref="C513">_xlfn.XLOOKUP($A513, 'Medical Examinations'!$A:$A, 'Medical Examinations'!B:B, "No Data")</f>
        <v>29.81</v>
      </c>
      <c r="D513" s="28">
        <f t="array" ref="D513">_xlfn.XLOOKUP($A513, 'Medical Examinations'!$A:$A, 'Medical Examinations'!C:C, "No Data")</f>
        <v>5.58</v>
      </c>
      <c r="E513" s="28" t="str">
        <f t="array" ref="E513">_xlfn.XLOOKUP($A513, 'Medical Examinations'!$A:$A, 'Medical Examinations'!D:D, "No Data")</f>
        <v>No</v>
      </c>
      <c r="F513" s="28" t="str">
        <f t="array" ref="F513">_xlfn.XLOOKUP($A513, 'Medical Examinations'!$A:$A, 'Medical Examinations'!E:E, "No Data")</f>
        <v>No</v>
      </c>
      <c r="G513" s="28" t="str">
        <f t="array" ref="G513">_xlfn.XLOOKUP($A513, 'Medical Examinations'!$A:$A, 'Medical Examinations'!F:F, "No Data")</f>
        <v>No</v>
      </c>
      <c r="H513" s="28">
        <f t="array" ref="H513">_xlfn.XLOOKUP($A513, 'Medical Examinations'!$A:$A, 'Medical Examinations'!G:G, "No Data")</f>
        <v>0</v>
      </c>
      <c r="I513" s="28" t="str">
        <f t="array" ref="I513">_xlfn.XLOOKUP($A513, 'Medical Examinations'!$A:$A, 'Medical Examinations'!H:H, "No Data")</f>
        <v>yes</v>
      </c>
      <c r="J513" s="28" t="str">
        <f t="array" ref="J513">_xlfn.XLOOKUP($A513, 'Medical Examinations'!$A:$A, 'Medical Examinations'!I:I, "No Data")</f>
        <v>Overweight</v>
      </c>
      <c r="K513" s="28" t="str">
        <f t="array" ref="K513">_xlfn.XLOOKUP($A513, 'Hospitalisation Details'!$A:$A, 'Hospitalisation Details'!I:I, "No Data")</f>
        <v>tier - 3</v>
      </c>
      <c r="L513" s="28" t="str">
        <f t="array" ref="L513">_xlfn.XLOOKUP($A513, 'Hospitalisation Details'!$A:$A, 'Hospitalisation Details'!J:J, "No Data")</f>
        <v>R1013</v>
      </c>
      <c r="M513" s="28" t="str">
        <f t="array" ref="M513">_xlfn.XLOOKUP($A513, 'Hospitalisation Details'!$A:$A, 'Hospitalisation Details'!E:E, "No Data")</f>
        <v>24/08/91</v>
      </c>
      <c r="N513" s="28">
        <f t="array" ref="N513">_xlfn.XLOOKUP($A513, 'Hospitalisation Details'!$A:$A, 'Hospitalisation Details'!K:K, "No Data")</f>
        <v>31</v>
      </c>
      <c r="O513" s="33">
        <f t="array" ref="O513">_xlfn.XLOOKUP($A513, 'Hospitalisation Details'!$A:$A, 'Hospitalisation Details'!G:G, "No Data")</f>
        <v>19350.37</v>
      </c>
      <c r="P513" s="28" t="str">
        <f t="array" ref="P513">_xlfn.XLOOKUP($A513, 'Hospitalisation Details'!$A:$A, 'Hospitalisation Details'!H:H, "No Data")</f>
        <v>tier - 1</v>
      </c>
    </row>
    <row r="514">
      <c r="A514" s="25" t="s">
        <v>1648</v>
      </c>
      <c r="B514" s="28" t="str">
        <f t="array" ref="B514">_xlfn.XLOOKUP($A514, 'Customer Names'!$A:$A, 'Customer Names'!B:B, "No Data")</f>
        <v>Poskin</v>
      </c>
      <c r="C514" s="28">
        <f t="array" ref="C514">_xlfn.XLOOKUP($A514, 'Medical Examinations'!$A:$A, 'Medical Examinations'!B:B, "No Data")</f>
        <v>51.18</v>
      </c>
      <c r="D514" s="28">
        <f t="array" ref="D514">_xlfn.XLOOKUP($A514, 'Medical Examinations'!$A:$A, 'Medical Examinations'!C:C, "No Data")</f>
        <v>4.4</v>
      </c>
      <c r="E514" s="28" t="str">
        <f t="array" ref="E514">_xlfn.XLOOKUP($A514, 'Medical Examinations'!$A:$A, 'Medical Examinations'!D:D, "No Data")</f>
        <v>yes</v>
      </c>
      <c r="F514" s="28" t="str">
        <f t="array" ref="F514">_xlfn.XLOOKUP($A514, 'Medical Examinations'!$A:$A, 'Medical Examinations'!E:E, "No Data")</f>
        <v>No</v>
      </c>
      <c r="G514" s="28" t="str">
        <f t="array" ref="G514">_xlfn.XLOOKUP($A514, 'Medical Examinations'!$A:$A, 'Medical Examinations'!F:F, "No Data")</f>
        <v>No</v>
      </c>
      <c r="H514" s="28">
        <f t="array" ref="H514">_xlfn.XLOOKUP($A514, 'Medical Examinations'!$A:$A, 'Medical Examinations'!G:G, "No Data")</f>
        <v>2</v>
      </c>
      <c r="I514" s="28" t="str">
        <f t="array" ref="I514">_xlfn.XLOOKUP($A514, 'Medical Examinations'!$A:$A, 'Medical Examinations'!H:H, "No Data")</f>
        <v>No</v>
      </c>
      <c r="J514" s="28" t="str">
        <f t="array" ref="J514">_xlfn.XLOOKUP($A514, 'Medical Examinations'!$A:$A, 'Medical Examinations'!I:I, "No Data")</f>
        <v>Obesity</v>
      </c>
      <c r="K514" s="28" t="str">
        <f t="array" ref="K514">_xlfn.XLOOKUP($A514, 'Hospitalisation Details'!$A:$A, 'Hospitalisation Details'!I:I, "No Data")</f>
        <v>tier - 1</v>
      </c>
      <c r="L514" s="28" t="str">
        <f t="array" ref="L514">_xlfn.XLOOKUP($A514, 'Hospitalisation Details'!$A:$A, 'Hospitalisation Details'!J:J, "No Data")</f>
        <v>R1012</v>
      </c>
      <c r="M514" s="28" t="str">
        <f t="array" ref="M514">_xlfn.XLOOKUP($A514, 'Hospitalisation Details'!$A:$A, 'Hospitalisation Details'!E:E, "No Data")</f>
        <v>15/11/66</v>
      </c>
      <c r="N514" s="28">
        <f t="array" ref="N514">_xlfn.XLOOKUP($A514, 'Hospitalisation Details'!$A:$A, 'Hospitalisation Details'!K:K, "No Data")</f>
        <v>56</v>
      </c>
      <c r="O514" s="33">
        <f t="array" ref="O514">_xlfn.XLOOKUP($A514, 'Hospitalisation Details'!$A:$A, 'Hospitalisation Details'!G:G, "No Data")</f>
        <v>19321.06</v>
      </c>
      <c r="P514" s="28" t="str">
        <f t="array" ref="P514">_xlfn.XLOOKUP($A514, 'Hospitalisation Details'!$A:$A, 'Hospitalisation Details'!H:H, "No Data")</f>
        <v>tier - 1</v>
      </c>
    </row>
    <row r="515">
      <c r="A515" s="25" t="s">
        <v>1652</v>
      </c>
      <c r="B515" s="28" t="str">
        <f t="array" ref="B515">_xlfn.XLOOKUP($A515, 'Customer Names'!$A:$A, 'Customer Names'!B:B, "No Data")</f>
        <v>Halfmann</v>
      </c>
      <c r="C515" s="28">
        <f t="array" ref="C515">_xlfn.XLOOKUP($A515, 'Medical Examinations'!$A:$A, 'Medical Examinations'!B:B, "No Data")</f>
        <v>51.37</v>
      </c>
      <c r="D515" s="28">
        <f t="array" ref="D515">_xlfn.XLOOKUP($A515, 'Medical Examinations'!$A:$A, 'Medical Examinations'!C:C, "No Data")</f>
        <v>8.18</v>
      </c>
      <c r="E515" s="28" t="str">
        <f t="array" ref="E515">_xlfn.XLOOKUP($A515, 'Medical Examinations'!$A:$A, 'Medical Examinations'!D:D, "No Data")</f>
        <v>yes</v>
      </c>
      <c r="F515" s="28" t="str">
        <f t="array" ref="F515">_xlfn.XLOOKUP($A515, 'Medical Examinations'!$A:$A, 'Medical Examinations'!E:E, "No Data")</f>
        <v>No</v>
      </c>
      <c r="G515" s="28" t="str">
        <f t="array" ref="G515">_xlfn.XLOOKUP($A515, 'Medical Examinations'!$A:$A, 'Medical Examinations'!F:F, "No Data")</f>
        <v>No</v>
      </c>
      <c r="H515" s="28">
        <f t="array" ref="H515">_xlfn.XLOOKUP($A515, 'Medical Examinations'!$A:$A, 'Medical Examinations'!G:G, "No Data")</f>
        <v>0</v>
      </c>
      <c r="I515" s="28" t="str">
        <f t="array" ref="I515">_xlfn.XLOOKUP($A515, 'Medical Examinations'!$A:$A, 'Medical Examinations'!H:H, "No Data")</f>
        <v>No</v>
      </c>
      <c r="J515" s="28" t="str">
        <f t="array" ref="J515">_xlfn.XLOOKUP($A515, 'Medical Examinations'!$A:$A, 'Medical Examinations'!I:I, "No Data")</f>
        <v>Obesity</v>
      </c>
      <c r="K515" s="28" t="str">
        <f t="array" ref="K515">_xlfn.XLOOKUP($A515, 'Hospitalisation Details'!$A:$A, 'Hospitalisation Details'!I:I, "No Data")</f>
        <v>tier - 1</v>
      </c>
      <c r="L515" s="28" t="str">
        <f t="array" ref="L515">_xlfn.XLOOKUP($A515, 'Hospitalisation Details'!$A:$A, 'Hospitalisation Details'!J:J, "No Data")</f>
        <v>R1012</v>
      </c>
      <c r="M515" s="28" t="str">
        <f t="array" ref="M515">_xlfn.XLOOKUP($A515, 'Hospitalisation Details'!$A:$A, 'Hospitalisation Details'!E:E, "No Data")</f>
        <v>29/07/67</v>
      </c>
      <c r="N515" s="28">
        <f t="array" ref="N515">_xlfn.XLOOKUP($A515, 'Hospitalisation Details'!$A:$A, 'Hospitalisation Details'!K:K, "No Data")</f>
        <v>55</v>
      </c>
      <c r="O515" s="33">
        <f t="array" ref="O515">_xlfn.XLOOKUP($A515, 'Hospitalisation Details'!$A:$A, 'Hospitalisation Details'!G:G, "No Data")</f>
        <v>19259.96</v>
      </c>
      <c r="P515" s="28" t="str">
        <f t="array" ref="P515">_xlfn.XLOOKUP($A515, 'Hospitalisation Details'!$A:$A, 'Hospitalisation Details'!H:H, "No Data")</f>
        <v>tier - 1</v>
      </c>
    </row>
    <row r="516">
      <c r="A516" s="25" t="s">
        <v>1655</v>
      </c>
      <c r="B516" s="28" t="str">
        <f t="array" ref="B516">_xlfn.XLOOKUP($A516, 'Customer Names'!$A:$A, 'Customer Names'!B:B, "No Data")</f>
        <v>Klapper</v>
      </c>
      <c r="C516" s="28">
        <f t="array" ref="C516">_xlfn.XLOOKUP($A516, 'Medical Examinations'!$A:$A, 'Medical Examinations'!B:B, "No Data")</f>
        <v>36.19</v>
      </c>
      <c r="D516" s="28">
        <f t="array" ref="D516">_xlfn.XLOOKUP($A516, 'Medical Examinations'!$A:$A, 'Medical Examinations'!C:C, "No Data")</f>
        <v>5.52</v>
      </c>
      <c r="E516" s="28" t="str">
        <f t="array" ref="E516">_xlfn.XLOOKUP($A516, 'Medical Examinations'!$A:$A, 'Medical Examinations'!D:D, "No Data")</f>
        <v>yes</v>
      </c>
      <c r="F516" s="28" t="str">
        <f t="array" ref="F516">_xlfn.XLOOKUP($A516, 'Medical Examinations'!$A:$A, 'Medical Examinations'!E:E, "No Data")</f>
        <v>No</v>
      </c>
      <c r="G516" s="28" t="str">
        <f t="array" ref="G516">_xlfn.XLOOKUP($A516, 'Medical Examinations'!$A:$A, 'Medical Examinations'!F:F, "No Data")</f>
        <v>No</v>
      </c>
      <c r="H516" s="28">
        <f t="array" ref="H516">_xlfn.XLOOKUP($A516, 'Medical Examinations'!$A:$A, 'Medical Examinations'!G:G, "No Data")</f>
        <v>0</v>
      </c>
      <c r="I516" s="28" t="str">
        <f t="array" ref="I516">_xlfn.XLOOKUP($A516, 'Medical Examinations'!$A:$A, 'Medical Examinations'!H:H, "No Data")</f>
        <v>No</v>
      </c>
      <c r="J516" s="28" t="str">
        <f t="array" ref="J516">_xlfn.XLOOKUP($A516, 'Medical Examinations'!$A:$A, 'Medical Examinations'!I:I, "No Data")</f>
        <v>Obesity</v>
      </c>
      <c r="K516" s="28" t="str">
        <f t="array" ref="K516">_xlfn.XLOOKUP($A516, 'Hospitalisation Details'!$A:$A, 'Hospitalisation Details'!I:I, "No Data")</f>
        <v>tier - 3</v>
      </c>
      <c r="L516" s="28" t="str">
        <f t="array" ref="L516">_xlfn.XLOOKUP($A516, 'Hospitalisation Details'!$A:$A, 'Hospitalisation Details'!J:J, "No Data")</f>
        <v>R1013</v>
      </c>
      <c r="M516" s="28" t="str">
        <f t="array" ref="M516">_xlfn.XLOOKUP($A516, 'Hospitalisation Details'!$A:$A, 'Hospitalisation Details'!E:E, "No Data")</f>
        <v>28/12/85</v>
      </c>
      <c r="N516" s="28">
        <f t="array" ref="N516">_xlfn.XLOOKUP($A516, 'Hospitalisation Details'!$A:$A, 'Hospitalisation Details'!K:K, "No Data")</f>
        <v>37</v>
      </c>
      <c r="O516" s="33">
        <f t="array" ref="O516">_xlfn.XLOOKUP($A516, 'Hospitalisation Details'!$A:$A, 'Hospitalisation Details'!G:G, "No Data")</f>
        <v>19214.71</v>
      </c>
      <c r="P516" s="28" t="str">
        <f t="array" ref="P516">_xlfn.XLOOKUP($A516, 'Hospitalisation Details'!$A:$A, 'Hospitalisation Details'!H:H, "No Data")</f>
        <v>tier - 1</v>
      </c>
    </row>
    <row r="517">
      <c r="A517" s="25" t="s">
        <v>1659</v>
      </c>
      <c r="B517" s="28" t="str">
        <f t="array" ref="B517">_xlfn.XLOOKUP($A517, 'Customer Names'!$A:$A, 'Customer Names'!B:B, "No Data")</f>
        <v>George</v>
      </c>
      <c r="C517" s="28">
        <f t="array" ref="C517">_xlfn.XLOOKUP($A517, 'Medical Examinations'!$A:$A, 'Medical Examinations'!B:B, "No Data")</f>
        <v>25.9</v>
      </c>
      <c r="D517" s="28">
        <f t="array" ref="D517">_xlfn.XLOOKUP($A517, 'Medical Examinations'!$A:$A, 'Medical Examinations'!C:C, "No Data")</f>
        <v>4.84</v>
      </c>
      <c r="E517" s="28" t="str">
        <f t="array" ref="E517">_xlfn.XLOOKUP($A517, 'Medical Examinations'!$A:$A, 'Medical Examinations'!D:D, "No Data")</f>
        <v>No</v>
      </c>
      <c r="F517" s="28" t="str">
        <f t="array" ref="F517">_xlfn.XLOOKUP($A517, 'Medical Examinations'!$A:$A, 'Medical Examinations'!E:E, "No Data")</f>
        <v>No</v>
      </c>
      <c r="G517" s="28" t="str">
        <f t="array" ref="G517">_xlfn.XLOOKUP($A517, 'Medical Examinations'!$A:$A, 'Medical Examinations'!F:F, "No Data")</f>
        <v>No</v>
      </c>
      <c r="H517" s="28">
        <f t="array" ref="H517">_xlfn.XLOOKUP($A517, 'Medical Examinations'!$A:$A, 'Medical Examinations'!G:G, "No Data")</f>
        <v>0</v>
      </c>
      <c r="I517" s="28" t="str">
        <f t="array" ref="I517">_xlfn.XLOOKUP($A517, 'Medical Examinations'!$A:$A, 'Medical Examinations'!H:H, "No Data")</f>
        <v>yes</v>
      </c>
      <c r="J517" s="28" t="str">
        <f t="array" ref="J517">_xlfn.XLOOKUP($A517, 'Medical Examinations'!$A:$A, 'Medical Examinations'!I:I, "No Data")</f>
        <v>Overweight</v>
      </c>
      <c r="K517" s="28" t="str">
        <f t="array" ref="K517">_xlfn.XLOOKUP($A517, 'Hospitalisation Details'!$A:$A, 'Hospitalisation Details'!I:I, "No Data")</f>
        <v>tier - 3</v>
      </c>
      <c r="L517" s="28" t="str">
        <f t="array" ref="L517">_xlfn.XLOOKUP($A517, 'Hospitalisation Details'!$A:$A, 'Hospitalisation Details'!J:J, "No Data")</f>
        <v>R1011</v>
      </c>
      <c r="M517" s="28" t="str">
        <f t="array" ref="M517">_xlfn.XLOOKUP($A517, 'Hospitalisation Details'!$A:$A, 'Hospitalisation Details'!E:E, "No Data")</f>
        <v>16/09/91</v>
      </c>
      <c r="N517" s="28">
        <f t="array" ref="N517">_xlfn.XLOOKUP($A517, 'Hospitalisation Details'!$A:$A, 'Hospitalisation Details'!K:K, "No Data")</f>
        <v>31</v>
      </c>
      <c r="O517" s="33">
        <f t="array" ref="O517">_xlfn.XLOOKUP($A517, 'Hospitalisation Details'!$A:$A, 'Hospitalisation Details'!G:G, "No Data")</f>
        <v>19199.94</v>
      </c>
      <c r="P517" s="28" t="str">
        <f t="array" ref="P517">_xlfn.XLOOKUP($A517, 'Hospitalisation Details'!$A:$A, 'Hospitalisation Details'!H:H, "No Data")</f>
        <v>tier - 1</v>
      </c>
    </row>
    <row r="518">
      <c r="A518" s="25" t="s">
        <v>1661</v>
      </c>
      <c r="B518" s="28" t="str">
        <f t="array" ref="B518">_xlfn.XLOOKUP($A518, 'Customer Names'!$A:$A, 'Customer Names'!B:B, "No Data")</f>
        <v>Hicks</v>
      </c>
      <c r="C518" s="28">
        <f t="array" ref="C518">_xlfn.XLOOKUP($A518, 'Medical Examinations'!$A:$A, 'Medical Examinations'!B:B, "No Data")</f>
        <v>35.72</v>
      </c>
      <c r="D518" s="28">
        <f t="array" ref="D518">_xlfn.XLOOKUP($A518, 'Medical Examinations'!$A:$A, 'Medical Examinations'!C:C, "No Data")</f>
        <v>4.08</v>
      </c>
      <c r="E518" s="28" t="str">
        <f t="array" ref="E518">_xlfn.XLOOKUP($A518, 'Medical Examinations'!$A:$A, 'Medical Examinations'!D:D, "No Data")</f>
        <v>No</v>
      </c>
      <c r="F518" s="28" t="str">
        <f t="array" ref="F518">_xlfn.XLOOKUP($A518, 'Medical Examinations'!$A:$A, 'Medical Examinations'!E:E, "No Data")</f>
        <v>No</v>
      </c>
      <c r="G518" s="28" t="str">
        <f t="array" ref="G518">_xlfn.XLOOKUP($A518, 'Medical Examinations'!$A:$A, 'Medical Examinations'!F:F, "No Data")</f>
        <v>Yes</v>
      </c>
      <c r="H518" s="28">
        <f t="array" ref="H518">_xlfn.XLOOKUP($A518, 'Medical Examinations'!$A:$A, 'Medical Examinations'!G:G, "No Data")</f>
        <v>1</v>
      </c>
      <c r="I518" s="28" t="str">
        <f t="array" ref="I518">_xlfn.XLOOKUP($A518, 'Medical Examinations'!$A:$A, 'Medical Examinations'!H:H, "No Data")</f>
        <v>No</v>
      </c>
      <c r="J518" s="28" t="str">
        <f t="array" ref="J518">_xlfn.XLOOKUP($A518, 'Medical Examinations'!$A:$A, 'Medical Examinations'!I:I, "No Data")</f>
        <v>Obesity</v>
      </c>
      <c r="K518" s="28" t="str">
        <f t="array" ref="K518">_xlfn.XLOOKUP($A518, 'Hospitalisation Details'!$A:$A, 'Hospitalisation Details'!I:I, "No Data")</f>
        <v>tier - 1</v>
      </c>
      <c r="L518" s="28" t="str">
        <f t="array" ref="L518">_xlfn.XLOOKUP($A518, 'Hospitalisation Details'!$A:$A, 'Hospitalisation Details'!J:J, "No Data")</f>
        <v>R1024</v>
      </c>
      <c r="M518" s="28" t="str">
        <f t="array" ref="M518">_xlfn.XLOOKUP($A518, 'Hospitalisation Details'!$A:$A, 'Hospitalisation Details'!E:E, "No Data")</f>
        <v>02/07/79</v>
      </c>
      <c r="N518" s="28">
        <f t="array" ref="N518">_xlfn.XLOOKUP($A518, 'Hospitalisation Details'!$A:$A, 'Hospitalisation Details'!K:K, "No Data")</f>
        <v>43</v>
      </c>
      <c r="O518" s="33">
        <f t="array" ref="O518">_xlfn.XLOOKUP($A518, 'Hospitalisation Details'!$A:$A, 'Hospitalisation Details'!G:G, "No Data")</f>
        <v>19144.58</v>
      </c>
      <c r="P518" s="28" t="str">
        <f t="array" ref="P518">_xlfn.XLOOKUP($A518, 'Hospitalisation Details'!$A:$A, 'Hospitalisation Details'!H:H, "No Data")</f>
        <v>tier - 1</v>
      </c>
    </row>
    <row r="519">
      <c r="A519" s="25" t="s">
        <v>1663</v>
      </c>
      <c r="B519" s="28" t="str">
        <f t="array" ref="B519">_xlfn.XLOOKUP($A519, 'Customer Names'!$A:$A, 'Customer Names'!B:B, "No Data")</f>
        <v>Lockyer</v>
      </c>
      <c r="C519" s="28">
        <f t="array" ref="C519">_xlfn.XLOOKUP($A519, 'Medical Examinations'!$A:$A, 'Medical Examinations'!B:B, "No Data")</f>
        <v>27.94</v>
      </c>
      <c r="D519" s="28">
        <f t="array" ref="D519">_xlfn.XLOOKUP($A519, 'Medical Examinations'!$A:$A, 'Medical Examinations'!C:C, "No Data")</f>
        <v>4.48</v>
      </c>
      <c r="E519" s="28" t="str">
        <f t="array" ref="E519">_xlfn.XLOOKUP($A519, 'Medical Examinations'!$A:$A, 'Medical Examinations'!D:D, "No Data")</f>
        <v>No</v>
      </c>
      <c r="F519" s="28" t="str">
        <f t="array" ref="F519">_xlfn.XLOOKUP($A519, 'Medical Examinations'!$A:$A, 'Medical Examinations'!E:E, "No Data")</f>
        <v>No</v>
      </c>
      <c r="G519" s="28" t="str">
        <f t="array" ref="G519">_xlfn.XLOOKUP($A519, 'Medical Examinations'!$A:$A, 'Medical Examinations'!F:F, "No Data")</f>
        <v>Yes</v>
      </c>
      <c r="H519" s="28">
        <f t="array" ref="H519">_xlfn.XLOOKUP($A519, 'Medical Examinations'!$A:$A, 'Medical Examinations'!G:G, "No Data")</f>
        <v>1</v>
      </c>
      <c r="I519" s="28" t="str">
        <f t="array" ref="I519">_xlfn.XLOOKUP($A519, 'Medical Examinations'!$A:$A, 'Medical Examinations'!H:H, "No Data")</f>
        <v>yes</v>
      </c>
      <c r="J519" s="28" t="str">
        <f t="array" ref="J519">_xlfn.XLOOKUP($A519, 'Medical Examinations'!$A:$A, 'Medical Examinations'!I:I, "No Data")</f>
        <v>Overweight</v>
      </c>
      <c r="K519" s="28" t="str">
        <f t="array" ref="K519">_xlfn.XLOOKUP($A519, 'Hospitalisation Details'!$A:$A, 'Hospitalisation Details'!I:I, "No Data")</f>
        <v>tier - 2</v>
      </c>
      <c r="L519" s="28" t="str">
        <f t="array" ref="L519">_xlfn.XLOOKUP($A519, 'Hospitalisation Details'!$A:$A, 'Hospitalisation Details'!J:J, "No Data")</f>
        <v>R1013</v>
      </c>
      <c r="M519" s="28" t="str">
        <f t="array" ref="M519">_xlfn.XLOOKUP($A519, 'Hospitalisation Details'!$A:$A, 'Hospitalisation Details'!E:E, "No Data")</f>
        <v>28/09/93</v>
      </c>
      <c r="N519" s="28">
        <f t="array" ref="N519">_xlfn.XLOOKUP($A519, 'Hospitalisation Details'!$A:$A, 'Hospitalisation Details'!K:K, "No Data")</f>
        <v>29</v>
      </c>
      <c r="O519" s="33">
        <f t="array" ref="O519">_xlfn.XLOOKUP($A519, 'Hospitalisation Details'!$A:$A, 'Hospitalisation Details'!G:G, "No Data")</f>
        <v>19107.78</v>
      </c>
      <c r="P519" s="28" t="str">
        <f t="array" ref="P519">_xlfn.XLOOKUP($A519, 'Hospitalisation Details'!$A:$A, 'Hospitalisation Details'!H:H, "No Data")</f>
        <v>tier - 1</v>
      </c>
    </row>
    <row r="520">
      <c r="A520" s="25" t="s">
        <v>1666</v>
      </c>
      <c r="B520" s="28" t="str">
        <f t="array" ref="B520">_xlfn.XLOOKUP($A520, 'Customer Names'!$A:$A, 'Customer Names'!B:B, "No Data")</f>
        <v>Byrnes</v>
      </c>
      <c r="C520" s="28">
        <f t="array" ref="C520">_xlfn.XLOOKUP($A520, 'Medical Examinations'!$A:$A, 'Medical Examinations'!B:B, "No Data")</f>
        <v>27.1</v>
      </c>
      <c r="D520" s="28">
        <f t="array" ref="D520">_xlfn.XLOOKUP($A520, 'Medical Examinations'!$A:$A, 'Medical Examinations'!C:C, "No Data")</f>
        <v>5.73</v>
      </c>
      <c r="E520" s="28" t="str">
        <f t="array" ref="E520">_xlfn.XLOOKUP($A520, 'Medical Examinations'!$A:$A, 'Medical Examinations'!D:D, "No Data")</f>
        <v>No</v>
      </c>
      <c r="F520" s="28" t="str">
        <f t="array" ref="F520">_xlfn.XLOOKUP($A520, 'Medical Examinations'!$A:$A, 'Medical Examinations'!E:E, "No Data")</f>
        <v>No</v>
      </c>
      <c r="G520" s="28" t="str">
        <f t="array" ref="G520">_xlfn.XLOOKUP($A520, 'Medical Examinations'!$A:$A, 'Medical Examinations'!F:F, "No Data")</f>
        <v>No</v>
      </c>
      <c r="H520" s="28">
        <f t="array" ref="H520">_xlfn.XLOOKUP($A520, 'Medical Examinations'!$A:$A, 'Medical Examinations'!G:G, "No Data")</f>
        <v>0</v>
      </c>
      <c r="I520" s="28" t="str">
        <f t="array" ref="I520">_xlfn.XLOOKUP($A520, 'Medical Examinations'!$A:$A, 'Medical Examinations'!H:H, "No Data")</f>
        <v>yes</v>
      </c>
      <c r="J520" s="28" t="str">
        <f t="array" ref="J520">_xlfn.XLOOKUP($A520, 'Medical Examinations'!$A:$A, 'Medical Examinations'!I:I, "No Data")</f>
        <v>Overweight</v>
      </c>
      <c r="K520" s="28" t="str">
        <f t="array" ref="K520">_xlfn.XLOOKUP($A520, 'Hospitalisation Details'!$A:$A, 'Hospitalisation Details'!I:I, "No Data")</f>
        <v>tier - 3</v>
      </c>
      <c r="L520" s="28" t="str">
        <f t="array" ref="L520">_xlfn.XLOOKUP($A520, 'Hospitalisation Details'!$A:$A, 'Hospitalisation Details'!J:J, "No Data")</f>
        <v>R1011</v>
      </c>
      <c r="M520" s="28" t="str">
        <f t="array" ref="M520">_xlfn.XLOOKUP($A520, 'Hospitalisation Details'!$A:$A, 'Hospitalisation Details'!E:E, "No Data")</f>
        <v>05/06/89</v>
      </c>
      <c r="N520" s="28">
        <f t="array" ref="N520">_xlfn.XLOOKUP($A520, 'Hospitalisation Details'!$A:$A, 'Hospitalisation Details'!K:K, "No Data")</f>
        <v>34</v>
      </c>
      <c r="O520" s="33">
        <f t="array" ref="O520">_xlfn.XLOOKUP($A520, 'Hospitalisation Details'!$A:$A, 'Hospitalisation Details'!G:G, "No Data")</f>
        <v>19040.88</v>
      </c>
      <c r="P520" s="28" t="str">
        <f t="array" ref="P520">_xlfn.XLOOKUP($A520, 'Hospitalisation Details'!$A:$A, 'Hospitalisation Details'!H:H, "No Data")</f>
        <v>tier - 1</v>
      </c>
    </row>
    <row r="521">
      <c r="A521" s="25" t="s">
        <v>1668</v>
      </c>
      <c r="B521" s="28" t="str">
        <f t="array" ref="B521">_xlfn.XLOOKUP($A521, 'Customer Names'!$A:$A, 'Customer Names'!B:B, "No Data")</f>
        <v>Norris</v>
      </c>
      <c r="C521" s="28">
        <f t="array" ref="C521">_xlfn.XLOOKUP($A521, 'Medical Examinations'!$A:$A, 'Medical Examinations'!B:B, "No Data")</f>
        <v>18.3</v>
      </c>
      <c r="D521" s="28">
        <f t="array" ref="D521">_xlfn.XLOOKUP($A521, 'Medical Examinations'!$A:$A, 'Medical Examinations'!C:C, "No Data")</f>
        <v>5.46</v>
      </c>
      <c r="E521" s="28" t="str">
        <f t="array" ref="E521">_xlfn.XLOOKUP($A521, 'Medical Examinations'!$A:$A, 'Medical Examinations'!D:D, "No Data")</f>
        <v>yes</v>
      </c>
      <c r="F521" s="28" t="str">
        <f t="array" ref="F521">_xlfn.XLOOKUP($A521, 'Medical Examinations'!$A:$A, 'Medical Examinations'!E:E, "No Data")</f>
        <v>No</v>
      </c>
      <c r="G521" s="28" t="str">
        <f t="array" ref="G521">_xlfn.XLOOKUP($A521, 'Medical Examinations'!$A:$A, 'Medical Examinations'!F:F, "No Data")</f>
        <v>Yes</v>
      </c>
      <c r="H521" s="28">
        <f t="array" ref="H521">_xlfn.XLOOKUP($A521, 'Medical Examinations'!$A:$A, 'Medical Examinations'!G:G, "No Data")</f>
        <v>1</v>
      </c>
      <c r="I521" s="28" t="str">
        <f t="array" ref="I521">_xlfn.XLOOKUP($A521, 'Medical Examinations'!$A:$A, 'Medical Examinations'!H:H, "No Data")</f>
        <v>yes</v>
      </c>
      <c r="J521" s="28" t="str">
        <f t="array" ref="J521">_xlfn.XLOOKUP($A521, 'Medical Examinations'!$A:$A, 'Medical Examinations'!I:I, "No Data")</f>
        <v>Underweight</v>
      </c>
      <c r="K521" s="28" t="str">
        <f t="array" ref="K521">_xlfn.XLOOKUP($A521, 'Hospitalisation Details'!$A:$A, 'Hospitalisation Details'!I:I, "No Data")</f>
        <v>tier - 3</v>
      </c>
      <c r="L521" s="28" t="str">
        <f t="array" ref="L521">_xlfn.XLOOKUP($A521, 'Hospitalisation Details'!$A:$A, 'Hospitalisation Details'!J:J, "No Data")</f>
        <v>R1011</v>
      </c>
      <c r="M521" s="28" t="str">
        <f t="array" ref="M521">_xlfn.XLOOKUP($A521, 'Hospitalisation Details'!$A:$A, 'Hospitalisation Details'!E:E, "No Data")</f>
        <v>19/12/83</v>
      </c>
      <c r="N521" s="28">
        <f t="array" ref="N521">_xlfn.XLOOKUP($A521, 'Hospitalisation Details'!$A:$A, 'Hospitalisation Details'!K:K, "No Data")</f>
        <v>39</v>
      </c>
      <c r="O521" s="33">
        <f t="array" ref="O521">_xlfn.XLOOKUP($A521, 'Hospitalisation Details'!$A:$A, 'Hospitalisation Details'!G:G, "No Data")</f>
        <v>19023.26</v>
      </c>
      <c r="P521" s="28" t="str">
        <f t="array" ref="P521">_xlfn.XLOOKUP($A521, 'Hospitalisation Details'!$A:$A, 'Hospitalisation Details'!H:H, "No Data")</f>
        <v>tier - 1</v>
      </c>
    </row>
    <row r="522">
      <c r="A522" s="25" t="s">
        <v>1672</v>
      </c>
      <c r="B522" s="28" t="str">
        <f t="array" ref="B522">_xlfn.XLOOKUP($A522, 'Customer Names'!$A:$A, 'Customer Names'!B:B, "No Data")</f>
        <v>Darda</v>
      </c>
      <c r="C522" s="28">
        <f t="array" ref="C522">_xlfn.XLOOKUP($A522, 'Medical Examinations'!$A:$A, 'Medical Examinations'!B:B, "No Data")</f>
        <v>25.3</v>
      </c>
      <c r="D522" s="28">
        <f t="array" ref="D522">_xlfn.XLOOKUP($A522, 'Medical Examinations'!$A:$A, 'Medical Examinations'!C:C, "No Data")</f>
        <v>5.02</v>
      </c>
      <c r="E522" s="28" t="str">
        <f t="array" ref="E522">_xlfn.XLOOKUP($A522, 'Medical Examinations'!$A:$A, 'Medical Examinations'!D:D, "No Data")</f>
        <v>yes</v>
      </c>
      <c r="F522" s="28" t="str">
        <f t="array" ref="F522">_xlfn.XLOOKUP($A522, 'Medical Examinations'!$A:$A, 'Medical Examinations'!E:E, "No Data")</f>
        <v>No</v>
      </c>
      <c r="G522" s="28" t="str">
        <f t="array" ref="G522">_xlfn.XLOOKUP($A522, 'Medical Examinations'!$A:$A, 'Medical Examinations'!F:F, "No Data")</f>
        <v>No</v>
      </c>
      <c r="H522" s="28">
        <f t="array" ref="H522">_xlfn.XLOOKUP($A522, 'Medical Examinations'!$A:$A, 'Medical Examinations'!G:G, "No Data")</f>
        <v>1</v>
      </c>
      <c r="I522" s="28" t="str">
        <f t="array" ref="I522">_xlfn.XLOOKUP($A522, 'Medical Examinations'!$A:$A, 'Medical Examinations'!H:H, "No Data")</f>
        <v>yes</v>
      </c>
      <c r="J522" s="28" t="str">
        <f t="array" ref="J522">_xlfn.XLOOKUP($A522, 'Medical Examinations'!$A:$A, 'Medical Examinations'!I:I, "No Data")</f>
        <v>Overweight</v>
      </c>
      <c r="K522" s="28" t="str">
        <f t="array" ref="K522">_xlfn.XLOOKUP($A522, 'Hospitalisation Details'!$A:$A, 'Hospitalisation Details'!I:I, "No Data")</f>
        <v>tier - 3</v>
      </c>
      <c r="L522" s="28" t="str">
        <f t="array" ref="L522">_xlfn.XLOOKUP($A522, 'Hospitalisation Details'!$A:$A, 'Hospitalisation Details'!J:J, "No Data")</f>
        <v>R1013</v>
      </c>
      <c r="M522" s="28" t="str">
        <f t="array" ref="M522">_xlfn.XLOOKUP($A522, 'Hospitalisation Details'!$A:$A, 'Hospitalisation Details'!E:E, "No Data")</f>
        <v>24/10/88</v>
      </c>
      <c r="N522" s="28">
        <f t="array" ref="N522">_xlfn.XLOOKUP($A522, 'Hospitalisation Details'!$A:$A, 'Hospitalisation Details'!K:K, "No Data")</f>
        <v>34</v>
      </c>
      <c r="O522" s="33">
        <f t="array" ref="O522">_xlfn.XLOOKUP($A522, 'Hospitalisation Details'!$A:$A, 'Hospitalisation Details'!G:G, "No Data")</f>
        <v>18972.5</v>
      </c>
      <c r="P522" s="28" t="str">
        <f t="array" ref="P522">_xlfn.XLOOKUP($A522, 'Hospitalisation Details'!$A:$A, 'Hospitalisation Details'!H:H, "No Data")</f>
        <v>tier - 1</v>
      </c>
    </row>
    <row r="523">
      <c r="A523" s="25" t="s">
        <v>1675</v>
      </c>
      <c r="B523" s="28" t="str">
        <f t="array" ref="B523">_xlfn.XLOOKUP($A523, 'Customer Names'!$A:$A, 'Customer Names'!B:B, "No Data")</f>
        <v>Otstot</v>
      </c>
      <c r="C523" s="28">
        <f t="array" ref="C523">_xlfn.XLOOKUP($A523, 'Medical Examinations'!$A:$A, 'Medical Examinations'!B:B, "No Data")</f>
        <v>38.83</v>
      </c>
      <c r="D523" s="28">
        <f t="array" ref="D523">_xlfn.XLOOKUP($A523, 'Medical Examinations'!$A:$A, 'Medical Examinations'!C:C, "No Data")</f>
        <v>6.36</v>
      </c>
      <c r="E523" s="28" t="str">
        <f t="array" ref="E523">_xlfn.XLOOKUP($A523, 'Medical Examinations'!$A:$A, 'Medical Examinations'!D:D, "No Data")</f>
        <v>No</v>
      </c>
      <c r="F523" s="28" t="str">
        <f t="array" ref="F523">_xlfn.XLOOKUP($A523, 'Medical Examinations'!$A:$A, 'Medical Examinations'!E:E, "No Data")</f>
        <v>No</v>
      </c>
      <c r="G523" s="28" t="str">
        <f t="array" ref="G523">_xlfn.XLOOKUP($A523, 'Medical Examinations'!$A:$A, 'Medical Examinations'!F:F, "No Data")</f>
        <v>No</v>
      </c>
      <c r="H523" s="28">
        <f t="array" ref="H523">_xlfn.XLOOKUP($A523, 'Medical Examinations'!$A:$A, 'Medical Examinations'!G:G, "No Data")</f>
        <v>1</v>
      </c>
      <c r="I523" s="28" t="str">
        <f t="array" ref="I523">_xlfn.XLOOKUP($A523, 'Medical Examinations'!$A:$A, 'Medical Examinations'!H:H, "No Data")</f>
        <v>No</v>
      </c>
      <c r="J523" s="28" t="str">
        <f t="array" ref="J523">_xlfn.XLOOKUP($A523, 'Medical Examinations'!$A:$A, 'Medical Examinations'!I:I, "No Data")</f>
        <v>Obesity</v>
      </c>
      <c r="K523" s="28" t="str">
        <f t="array" ref="K523">_xlfn.XLOOKUP($A523, 'Hospitalisation Details'!$A:$A, 'Hospitalisation Details'!I:I, "No Data")</f>
        <v>tier - 1</v>
      </c>
      <c r="L523" s="28" t="str">
        <f t="array" ref="L523">_xlfn.XLOOKUP($A523, 'Hospitalisation Details'!$A:$A, 'Hospitalisation Details'!J:J, "No Data")</f>
        <v>R1013</v>
      </c>
      <c r="M523" s="28" t="str">
        <f t="array" ref="M523">_xlfn.XLOOKUP($A523, 'Hospitalisation Details'!$A:$A, 'Hospitalisation Details'!E:E, "No Data")</f>
        <v>30/11/92</v>
      </c>
      <c r="N523" s="28">
        <f t="array" ref="N523">_xlfn.XLOOKUP($A523, 'Hospitalisation Details'!$A:$A, 'Hospitalisation Details'!K:K, "No Data")</f>
        <v>30</v>
      </c>
      <c r="O523" s="33">
        <f t="array" ref="O523">_xlfn.XLOOKUP($A523, 'Hospitalisation Details'!$A:$A, 'Hospitalisation Details'!G:G, "No Data")</f>
        <v>18963.17</v>
      </c>
      <c r="P523" s="28" t="str">
        <f t="array" ref="P523">_xlfn.XLOOKUP($A523, 'Hospitalisation Details'!$A:$A, 'Hospitalisation Details'!H:H, "No Data")</f>
        <v>tier - 1</v>
      </c>
    </row>
    <row r="524">
      <c r="A524" s="25" t="s">
        <v>1679</v>
      </c>
      <c r="B524" s="28" t="str">
        <f t="array" ref="B524">_xlfn.XLOOKUP($A524, 'Customer Names'!$A:$A, 'Customer Names'!B:B, "No Data")</f>
        <v>Bowley</v>
      </c>
      <c r="C524" s="28">
        <f t="array" ref="C524">_xlfn.XLOOKUP($A524, 'Medical Examinations'!$A:$A, 'Medical Examinations'!B:B, "No Data")</f>
        <v>27.6</v>
      </c>
      <c r="D524" s="28">
        <f t="array" ref="D524">_xlfn.XLOOKUP($A524, 'Medical Examinations'!$A:$A, 'Medical Examinations'!C:C, "No Data")</f>
        <v>5.36</v>
      </c>
      <c r="E524" s="28" t="str">
        <f t="array" ref="E524">_xlfn.XLOOKUP($A524, 'Medical Examinations'!$A:$A, 'Medical Examinations'!D:D, "No Data")</f>
        <v>No</v>
      </c>
      <c r="F524" s="28" t="str">
        <f t="array" ref="F524">_xlfn.XLOOKUP($A524, 'Medical Examinations'!$A:$A, 'Medical Examinations'!E:E, "No Data")</f>
        <v>No</v>
      </c>
      <c r="G524" s="28" t="str">
        <f t="array" ref="G524">_xlfn.XLOOKUP($A524, 'Medical Examinations'!$A:$A, 'Medical Examinations'!F:F, "No Data")</f>
        <v>No</v>
      </c>
      <c r="H524" s="28">
        <f t="array" ref="H524">_xlfn.XLOOKUP($A524, 'Medical Examinations'!$A:$A, 'Medical Examinations'!G:G, "No Data")</f>
        <v>1</v>
      </c>
      <c r="I524" s="28" t="str">
        <f t="array" ref="I524">_xlfn.XLOOKUP($A524, 'Medical Examinations'!$A:$A, 'Medical Examinations'!H:H, "No Data")</f>
        <v>No</v>
      </c>
      <c r="J524" s="28" t="str">
        <f t="array" ref="J524">_xlfn.XLOOKUP($A524, 'Medical Examinations'!$A:$A, 'Medical Examinations'!I:I, "No Data")</f>
        <v>Overweight</v>
      </c>
      <c r="K524" s="28" t="str">
        <f t="array" ref="K524">_xlfn.XLOOKUP($A524, 'Hospitalisation Details'!$A:$A, 'Hospitalisation Details'!I:I, "No Data")</f>
        <v>tier - 3</v>
      </c>
      <c r="L524" s="28" t="str">
        <f t="array" ref="L524">_xlfn.XLOOKUP($A524, 'Hospitalisation Details'!$A:$A, 'Hospitalisation Details'!J:J, "No Data")</f>
        <v>R1011</v>
      </c>
      <c r="M524" s="28" t="str">
        <f t="array" ref="M524">_xlfn.XLOOKUP($A524, 'Hospitalisation Details'!$A:$A, 'Hospitalisation Details'!E:E, "No Data")</f>
        <v>06/08/98</v>
      </c>
      <c r="N524" s="28">
        <f t="array" ref="N524">_xlfn.XLOOKUP($A524, 'Hospitalisation Details'!$A:$A, 'Hospitalisation Details'!K:K, "No Data")</f>
        <v>24</v>
      </c>
      <c r="O524" s="33">
        <f t="array" ref="O524">_xlfn.XLOOKUP($A524, 'Hospitalisation Details'!$A:$A, 'Hospitalisation Details'!G:G, "No Data")</f>
        <v>18955.22</v>
      </c>
      <c r="P524" s="28" t="str">
        <f t="array" ref="P524">_xlfn.XLOOKUP($A524, 'Hospitalisation Details'!$A:$A, 'Hospitalisation Details'!H:H, "No Data")</f>
        <v>tier - 1</v>
      </c>
    </row>
    <row r="525">
      <c r="A525" s="25" t="s">
        <v>1683</v>
      </c>
      <c r="B525" s="28" t="str">
        <f t="array" ref="B525">_xlfn.XLOOKUP($A525, 'Customer Names'!$A:$A, 'Customer Names'!B:B, "No Data")</f>
        <v>Rogers</v>
      </c>
      <c r="C525" s="28">
        <f t="array" ref="C525">_xlfn.XLOOKUP($A525, 'Medical Examinations'!$A:$A, 'Medical Examinations'!B:B, "No Data")</f>
        <v>46.4</v>
      </c>
      <c r="D525" s="28">
        <f t="array" ref="D525">_xlfn.XLOOKUP($A525, 'Medical Examinations'!$A:$A, 'Medical Examinations'!C:C, "No Data")</f>
        <v>8.37</v>
      </c>
      <c r="E525" s="28" t="str">
        <f t="array" ref="E525">_xlfn.XLOOKUP($A525, 'Medical Examinations'!$A:$A, 'Medical Examinations'!D:D, "No Data")</f>
        <v>yes</v>
      </c>
      <c r="F525" s="28" t="str">
        <f t="array" ref="F525">_xlfn.XLOOKUP($A525, 'Medical Examinations'!$A:$A, 'Medical Examinations'!E:E, "No Data")</f>
        <v>No</v>
      </c>
      <c r="G525" s="28" t="str">
        <f t="array" ref="G525">_xlfn.XLOOKUP($A525, 'Medical Examinations'!$A:$A, 'Medical Examinations'!F:F, "No Data")</f>
        <v>Yes</v>
      </c>
      <c r="H525" s="28">
        <f t="array" ref="H525">_xlfn.XLOOKUP($A525, 'Medical Examinations'!$A:$A, 'Medical Examinations'!G:G, "No Data")</f>
        <v>1</v>
      </c>
      <c r="I525" s="28" t="str">
        <f t="array" ref="I525">_xlfn.XLOOKUP($A525, 'Medical Examinations'!$A:$A, 'Medical Examinations'!H:H, "No Data")</f>
        <v>No</v>
      </c>
      <c r="J525" s="28" t="str">
        <f t="array" ref="J525">_xlfn.XLOOKUP($A525, 'Medical Examinations'!$A:$A, 'Medical Examinations'!I:I, "No Data")</f>
        <v>Obesity</v>
      </c>
      <c r="K525" s="28" t="str">
        <f t="array" ref="K525">_xlfn.XLOOKUP($A525, 'Hospitalisation Details'!$A:$A, 'Hospitalisation Details'!I:I, "No Data")</f>
        <v>tier - 1</v>
      </c>
      <c r="L525" s="28" t="str">
        <f t="array" ref="L525">_xlfn.XLOOKUP($A525, 'Hospitalisation Details'!$A:$A, 'Hospitalisation Details'!J:J, "No Data")</f>
        <v>R1026</v>
      </c>
      <c r="M525" s="28" t="str">
        <f t="array" ref="M525">_xlfn.XLOOKUP($A525, 'Hospitalisation Details'!$A:$A, 'Hospitalisation Details'!E:E, "No Data")</f>
        <v>20/10/63</v>
      </c>
      <c r="N525" s="28">
        <f t="array" ref="N525">_xlfn.XLOOKUP($A525, 'Hospitalisation Details'!$A:$A, 'Hospitalisation Details'!K:K, "No Data")</f>
        <v>59</v>
      </c>
      <c r="O525" s="33">
        <f t="array" ref="O525">_xlfn.XLOOKUP($A525, 'Hospitalisation Details'!$A:$A, 'Hospitalisation Details'!G:G, "No Data")</f>
        <v>18954.56</v>
      </c>
      <c r="P525" s="28" t="str">
        <f t="array" ref="P525">_xlfn.XLOOKUP($A525, 'Hospitalisation Details'!$A:$A, 'Hospitalisation Details'!H:H, "No Data")</f>
        <v>tier - 1</v>
      </c>
    </row>
    <row r="526">
      <c r="A526" s="25" t="s">
        <v>1686</v>
      </c>
      <c r="B526" s="28" t="str">
        <f t="array" ref="B526">_xlfn.XLOOKUP($A526, 'Customer Names'!$A:$A, 'Customer Names'!B:B, "No Data")</f>
        <v>Mclaughlin</v>
      </c>
      <c r="C526" s="28">
        <f t="array" ref="C526">_xlfn.XLOOKUP($A526, 'Medical Examinations'!$A:$A, 'Medical Examinations'!B:B, "No Data")</f>
        <v>51.92</v>
      </c>
      <c r="D526" s="28">
        <f t="array" ref="D526">_xlfn.XLOOKUP($A526, 'Medical Examinations'!$A:$A, 'Medical Examinations'!C:C, "No Data")</f>
        <v>5.18</v>
      </c>
      <c r="E526" s="28" t="str">
        <f t="array" ref="E526">_xlfn.XLOOKUP($A526, 'Medical Examinations'!$A:$A, 'Medical Examinations'!D:D, "No Data")</f>
        <v>yes</v>
      </c>
      <c r="F526" s="28" t="str">
        <f t="array" ref="F526">_xlfn.XLOOKUP($A526, 'Medical Examinations'!$A:$A, 'Medical Examinations'!E:E, "No Data")</f>
        <v>No</v>
      </c>
      <c r="G526" s="28" t="str">
        <f t="array" ref="G526">_xlfn.XLOOKUP($A526, 'Medical Examinations'!$A:$A, 'Medical Examinations'!F:F, "No Data")</f>
        <v>Yes</v>
      </c>
      <c r="H526" s="28">
        <f t="array" ref="H526">_xlfn.XLOOKUP($A526, 'Medical Examinations'!$A:$A, 'Medical Examinations'!G:G, "No Data")</f>
        <v>1</v>
      </c>
      <c r="I526" s="28" t="str">
        <f t="array" ref="I526">_xlfn.XLOOKUP($A526, 'Medical Examinations'!$A:$A, 'Medical Examinations'!H:H, "No Data")</f>
        <v>No</v>
      </c>
      <c r="J526" s="28" t="str">
        <f t="array" ref="J526">_xlfn.XLOOKUP($A526, 'Medical Examinations'!$A:$A, 'Medical Examinations'!I:I, "No Data")</f>
        <v>Obesity</v>
      </c>
      <c r="K526" s="28" t="str">
        <f t="array" ref="K526">_xlfn.XLOOKUP($A526, 'Hospitalisation Details'!$A:$A, 'Hospitalisation Details'!I:I, "No Data")</f>
        <v>tier - 3</v>
      </c>
      <c r="L526" s="28" t="str">
        <f t="array" ref="L526">_xlfn.XLOOKUP($A526, 'Hospitalisation Details'!$A:$A, 'Hospitalisation Details'!J:J, "No Data")</f>
        <v>R1012</v>
      </c>
      <c r="M526" s="28" t="str">
        <f t="array" ref="M526">_xlfn.XLOOKUP($A526, 'Hospitalisation Details'!$A:$A, 'Hospitalisation Details'!E:E, "No Data")</f>
        <v>03/08/69</v>
      </c>
      <c r="N526" s="28">
        <f t="array" ref="N526">_xlfn.XLOOKUP($A526, 'Hospitalisation Details'!$A:$A, 'Hospitalisation Details'!K:K, "No Data")</f>
        <v>53</v>
      </c>
      <c r="O526" s="33">
        <f t="array" ref="O526">_xlfn.XLOOKUP($A526, 'Hospitalisation Details'!$A:$A, 'Hospitalisation Details'!G:G, "No Data")</f>
        <v>18932.81</v>
      </c>
      <c r="P526" s="28" t="str">
        <f t="array" ref="P526">_xlfn.XLOOKUP($A526, 'Hospitalisation Details'!$A:$A, 'Hospitalisation Details'!H:H, "No Data")</f>
        <v>tier - 1</v>
      </c>
    </row>
    <row r="527">
      <c r="A527" s="25" t="s">
        <v>1689</v>
      </c>
      <c r="B527" s="28" t="str">
        <f t="array" ref="B527">_xlfn.XLOOKUP($A527, 'Customer Names'!$A:$A, 'Customer Names'!B:B, "No Data")</f>
        <v>Ziegler</v>
      </c>
      <c r="C527" s="28">
        <f t="array" ref="C527">_xlfn.XLOOKUP($A527, 'Medical Examinations'!$A:$A, 'Medical Examinations'!B:B, "No Data")</f>
        <v>32.395</v>
      </c>
      <c r="D527" s="28">
        <f t="array" ref="D527">_xlfn.XLOOKUP($A527, 'Medical Examinations'!$A:$A, 'Medical Examinations'!C:C, "No Data")</f>
        <v>5.68</v>
      </c>
      <c r="E527" s="28" t="str">
        <f t="array" ref="E527">_xlfn.XLOOKUP($A527, 'Medical Examinations'!$A:$A, 'Medical Examinations'!D:D, "No Data")</f>
        <v>yes</v>
      </c>
      <c r="F527" s="28" t="str">
        <f t="array" ref="F527">_xlfn.XLOOKUP($A527, 'Medical Examinations'!$A:$A, 'Medical Examinations'!E:E, "No Data")</f>
        <v>No</v>
      </c>
      <c r="G527" s="28" t="str">
        <f t="array" ref="G527">_xlfn.XLOOKUP($A527, 'Medical Examinations'!$A:$A, 'Medical Examinations'!F:F, "No Data")</f>
        <v>No</v>
      </c>
      <c r="H527" s="28">
        <f t="array" ref="H527">_xlfn.XLOOKUP($A527, 'Medical Examinations'!$A:$A, 'Medical Examinations'!G:G, "No Data")</f>
        <v>1</v>
      </c>
      <c r="I527" s="28" t="str">
        <f t="array" ref="I527">_xlfn.XLOOKUP($A527, 'Medical Examinations'!$A:$A, 'Medical Examinations'!H:H, "No Data")</f>
        <v>No</v>
      </c>
      <c r="J527" s="28" t="str">
        <f t="array" ref="J527">_xlfn.XLOOKUP($A527, 'Medical Examinations'!$A:$A, 'Medical Examinations'!I:I, "No Data")</f>
        <v>Obesity</v>
      </c>
      <c r="K527" s="28" t="str">
        <f t="array" ref="K527">_xlfn.XLOOKUP($A527, 'Hospitalisation Details'!$A:$A, 'Hospitalisation Details'!I:I, "No Data")</f>
        <v>tier - 2</v>
      </c>
      <c r="L527" s="28" t="str">
        <f t="array" ref="L527">_xlfn.XLOOKUP($A527, 'Hospitalisation Details'!$A:$A, 'Hospitalisation Details'!J:J, "No Data")</f>
        <v>R1024</v>
      </c>
      <c r="M527" s="28" t="str">
        <f t="array" ref="M527">_xlfn.XLOOKUP($A527, 'Hospitalisation Details'!$A:$A, 'Hospitalisation Details'!E:E, "No Data")</f>
        <v>27/09/95</v>
      </c>
      <c r="N527" s="28">
        <f t="array" ref="N527">_xlfn.XLOOKUP($A527, 'Hospitalisation Details'!$A:$A, 'Hospitalisation Details'!K:K, "No Data")</f>
        <v>27</v>
      </c>
      <c r="O527" s="33">
        <f t="array" ref="O527">_xlfn.XLOOKUP($A527, 'Hospitalisation Details'!$A:$A, 'Hospitalisation Details'!G:G, "No Data")</f>
        <v>18903.49</v>
      </c>
      <c r="P527" s="28" t="str">
        <f t="array" ref="P527">_xlfn.XLOOKUP($A527, 'Hospitalisation Details'!$A:$A, 'Hospitalisation Details'!H:H, "No Data")</f>
        <v>tier - 1</v>
      </c>
    </row>
    <row r="528">
      <c r="A528" s="25" t="s">
        <v>1692</v>
      </c>
      <c r="B528" s="28" t="str">
        <f t="array" ref="B528">_xlfn.XLOOKUP($A528, 'Customer Names'!$A:$A, 'Customer Names'!B:B, "No Data")</f>
        <v>Hughey</v>
      </c>
      <c r="C528" s="28">
        <f t="array" ref="C528">_xlfn.XLOOKUP($A528, 'Medical Examinations'!$A:$A, 'Medical Examinations'!B:B, "No Data")</f>
        <v>46.19</v>
      </c>
      <c r="D528" s="28">
        <f t="array" ref="D528">_xlfn.XLOOKUP($A528, 'Medical Examinations'!$A:$A, 'Medical Examinations'!C:C, "No Data")</f>
        <v>7.31</v>
      </c>
      <c r="E528" s="28" t="str">
        <f t="array" ref="E528">_xlfn.XLOOKUP($A528, 'Medical Examinations'!$A:$A, 'Medical Examinations'!D:D, "No Data")</f>
        <v>yes</v>
      </c>
      <c r="F528" s="28" t="str">
        <f t="array" ref="F528">_xlfn.XLOOKUP($A528, 'Medical Examinations'!$A:$A, 'Medical Examinations'!E:E, "No Data")</f>
        <v>No</v>
      </c>
      <c r="G528" s="28" t="str">
        <f t="array" ref="G528">_xlfn.XLOOKUP($A528, 'Medical Examinations'!$A:$A, 'Medical Examinations'!F:F, "No Data")</f>
        <v>Yes</v>
      </c>
      <c r="H528" s="28">
        <f t="array" ref="H528">_xlfn.XLOOKUP($A528, 'Medical Examinations'!$A:$A, 'Medical Examinations'!G:G, "No Data")</f>
        <v>1</v>
      </c>
      <c r="I528" s="28" t="str">
        <f t="array" ref="I528">_xlfn.XLOOKUP($A528, 'Medical Examinations'!$A:$A, 'Medical Examinations'!H:H, "No Data")</f>
        <v>No</v>
      </c>
      <c r="J528" s="28" t="str">
        <f t="array" ref="J528">_xlfn.XLOOKUP($A528, 'Medical Examinations'!$A:$A, 'Medical Examinations'!I:I, "No Data")</f>
        <v>Obesity</v>
      </c>
      <c r="K528" s="28" t="str">
        <f t="array" ref="K528">_xlfn.XLOOKUP($A528, 'Hospitalisation Details'!$A:$A, 'Hospitalisation Details'!I:I, "No Data")</f>
        <v>tier - 1</v>
      </c>
      <c r="L528" s="28" t="str">
        <f t="array" ref="L528">_xlfn.XLOOKUP($A528, 'Hospitalisation Details'!$A:$A, 'Hospitalisation Details'!J:J, "No Data")</f>
        <v>R1026</v>
      </c>
      <c r="M528" s="28" t="str">
        <f t="array" ref="M528">_xlfn.XLOOKUP($A528, 'Hospitalisation Details'!$A:$A, 'Hospitalisation Details'!E:E, "No Data")</f>
        <v>06/12/63</v>
      </c>
      <c r="N528" s="28">
        <f t="array" ref="N528">_xlfn.XLOOKUP($A528, 'Hospitalisation Details'!$A:$A, 'Hospitalisation Details'!K:K, "No Data")</f>
        <v>59</v>
      </c>
      <c r="O528" s="33">
        <f t="array" ref="O528">_xlfn.XLOOKUP($A528, 'Hospitalisation Details'!$A:$A, 'Hospitalisation Details'!G:G, "No Data")</f>
        <v>18883.33</v>
      </c>
      <c r="P528" s="28" t="str">
        <f t="array" ref="P528">_xlfn.XLOOKUP($A528, 'Hospitalisation Details'!$A:$A, 'Hospitalisation Details'!H:H, "No Data")</f>
        <v>tier - 1</v>
      </c>
    </row>
    <row r="529">
      <c r="A529" s="25" t="s">
        <v>1695</v>
      </c>
      <c r="B529" s="28" t="str">
        <f t="array" ref="B529">_xlfn.XLOOKUP($A529, 'Customer Names'!$A:$A, 'Customer Names'!B:B, "No Data")</f>
        <v>Knast</v>
      </c>
      <c r="C529" s="28">
        <f t="array" ref="C529">_xlfn.XLOOKUP($A529, 'Medical Examinations'!$A:$A, 'Medical Examinations'!B:B, "No Data")</f>
        <v>27.93</v>
      </c>
      <c r="D529" s="28">
        <f t="array" ref="D529">_xlfn.XLOOKUP($A529, 'Medical Examinations'!$A:$A, 'Medical Examinations'!C:C, "No Data")</f>
        <v>4.67</v>
      </c>
      <c r="E529" s="28" t="str">
        <f t="array" ref="E529">_xlfn.XLOOKUP($A529, 'Medical Examinations'!$A:$A, 'Medical Examinations'!D:D, "No Data")</f>
        <v>No</v>
      </c>
      <c r="F529" s="28" t="str">
        <f t="array" ref="F529">_xlfn.XLOOKUP($A529, 'Medical Examinations'!$A:$A, 'Medical Examinations'!E:E, "No Data")</f>
        <v>No</v>
      </c>
      <c r="G529" s="28" t="str">
        <f t="array" ref="G529">_xlfn.XLOOKUP($A529, 'Medical Examinations'!$A:$A, 'Medical Examinations'!F:F, "No Data")</f>
        <v>Yes</v>
      </c>
      <c r="H529" s="28">
        <f t="array" ref="H529">_xlfn.XLOOKUP($A529, 'Medical Examinations'!$A:$A, 'Medical Examinations'!G:G, "No Data")</f>
        <v>1</v>
      </c>
      <c r="I529" s="28" t="str">
        <f t="array" ref="I529">_xlfn.XLOOKUP($A529, 'Medical Examinations'!$A:$A, 'Medical Examinations'!H:H, "No Data")</f>
        <v>No</v>
      </c>
      <c r="J529" s="28" t="str">
        <f t="array" ref="J529">_xlfn.XLOOKUP($A529, 'Medical Examinations'!$A:$A, 'Medical Examinations'!I:I, "No Data")</f>
        <v>Overweight</v>
      </c>
      <c r="K529" s="28" t="str">
        <f t="array" ref="K529">_xlfn.XLOOKUP($A529, 'Hospitalisation Details'!$A:$A, 'Hospitalisation Details'!I:I, "No Data")</f>
        <v>tier - 3</v>
      </c>
      <c r="L529" s="28" t="str">
        <f t="array" ref="L529">_xlfn.XLOOKUP($A529, 'Hospitalisation Details'!$A:$A, 'Hospitalisation Details'!J:J, "No Data")</f>
        <v>R1012</v>
      </c>
      <c r="M529" s="28" t="str">
        <f t="array" ref="M529">_xlfn.XLOOKUP($A529, 'Hospitalisation Details'!$A:$A, 'Hospitalisation Details'!E:E, "No Data")</f>
        <v>24/07/03</v>
      </c>
      <c r="N529" s="28">
        <f t="array" ref="N529">_xlfn.XLOOKUP($A529, 'Hospitalisation Details'!$A:$A, 'Hospitalisation Details'!K:K, "No Data")</f>
        <v>19</v>
      </c>
      <c r="O529" s="33">
        <f t="array" ref="O529">_xlfn.XLOOKUP($A529, 'Hospitalisation Details'!$A:$A, 'Hospitalisation Details'!G:G, "No Data")</f>
        <v>18838.7</v>
      </c>
      <c r="P529" s="28" t="str">
        <f t="array" ref="P529">_xlfn.XLOOKUP($A529, 'Hospitalisation Details'!$A:$A, 'Hospitalisation Details'!H:H, "No Data")</f>
        <v>tier - 1</v>
      </c>
    </row>
    <row r="530">
      <c r="A530" s="25" t="s">
        <v>1697</v>
      </c>
      <c r="B530" s="28" t="str">
        <f t="array" ref="B530">_xlfn.XLOOKUP($A530, 'Customer Names'!$A:$A, 'Customer Names'!B:B, "No Data")</f>
        <v>Stob</v>
      </c>
      <c r="C530" s="28">
        <f t="array" ref="C530">_xlfn.XLOOKUP($A530, 'Medical Examinations'!$A:$A, 'Medical Examinations'!B:B, "No Data")</f>
        <v>45.62</v>
      </c>
      <c r="D530" s="28">
        <f t="array" ref="D530">_xlfn.XLOOKUP($A530, 'Medical Examinations'!$A:$A, 'Medical Examinations'!C:C, "No Data")</f>
        <v>6.87</v>
      </c>
      <c r="E530" s="28" t="str">
        <f t="array" ref="E530">_xlfn.XLOOKUP($A530, 'Medical Examinations'!$A:$A, 'Medical Examinations'!D:D, "No Data")</f>
        <v>No</v>
      </c>
      <c r="F530" s="28" t="str">
        <f t="array" ref="F530">_xlfn.XLOOKUP($A530, 'Medical Examinations'!$A:$A, 'Medical Examinations'!E:E, "No Data")</f>
        <v>No</v>
      </c>
      <c r="G530" s="28" t="str">
        <f t="array" ref="G530">_xlfn.XLOOKUP($A530, 'Medical Examinations'!$A:$A, 'Medical Examinations'!F:F, "No Data")</f>
        <v>No</v>
      </c>
      <c r="H530" s="28">
        <f t="array" ref="H530">_xlfn.XLOOKUP($A530, 'Medical Examinations'!$A:$A, 'Medical Examinations'!G:G, "No Data")</f>
        <v>0</v>
      </c>
      <c r="I530" s="28" t="str">
        <f t="array" ref="I530">_xlfn.XLOOKUP($A530, 'Medical Examinations'!$A:$A, 'Medical Examinations'!H:H, "No Data")</f>
        <v>No</v>
      </c>
      <c r="J530" s="28" t="str">
        <f t="array" ref="J530">_xlfn.XLOOKUP($A530, 'Medical Examinations'!$A:$A, 'Medical Examinations'!I:I, "No Data")</f>
        <v>Obesity</v>
      </c>
      <c r="K530" s="28" t="str">
        <f t="array" ref="K530">_xlfn.XLOOKUP($A530, 'Hospitalisation Details'!$A:$A, 'Hospitalisation Details'!I:I, "No Data")</f>
        <v>tier - 1</v>
      </c>
      <c r="L530" s="28" t="str">
        <f t="array" ref="L530">_xlfn.XLOOKUP($A530, 'Hospitalisation Details'!$A:$A, 'Hospitalisation Details'!J:J, "No Data")</f>
        <v>R1023</v>
      </c>
      <c r="M530" s="28" t="str">
        <f t="array" ref="M530">_xlfn.XLOOKUP($A530, 'Hospitalisation Details'!$A:$A, 'Hospitalisation Details'!E:E, "No Data")</f>
        <v>18/12/62</v>
      </c>
      <c r="N530" s="28">
        <f t="array" ref="N530">_xlfn.XLOOKUP($A530, 'Hospitalisation Details'!$A:$A, 'Hospitalisation Details'!K:K, "No Data")</f>
        <v>60</v>
      </c>
      <c r="O530" s="33">
        <f t="array" ref="O530">_xlfn.XLOOKUP($A530, 'Hospitalisation Details'!$A:$A, 'Hospitalisation Details'!G:G, "No Data")</f>
        <v>18815.53</v>
      </c>
      <c r="P530" s="28" t="str">
        <f t="array" ref="P530">_xlfn.XLOOKUP($A530, 'Hospitalisation Details'!$A:$A, 'Hospitalisation Details'!H:H, "No Data")</f>
        <v>tier - 1</v>
      </c>
    </row>
    <row r="531">
      <c r="A531" s="25" t="s">
        <v>1700</v>
      </c>
      <c r="B531" s="28" t="str">
        <f t="array" ref="B531">_xlfn.XLOOKUP($A531, 'Customer Names'!$A:$A, 'Customer Names'!B:B, "No Data")</f>
        <v>Jensen</v>
      </c>
      <c r="C531" s="28">
        <f t="array" ref="C531">_xlfn.XLOOKUP($A531, 'Medical Examinations'!$A:$A, 'Medical Examinations'!B:B, "No Data")</f>
        <v>35.31</v>
      </c>
      <c r="D531" s="28">
        <f t="array" ref="D531">_xlfn.XLOOKUP($A531, 'Medical Examinations'!$A:$A, 'Medical Examinations'!C:C, "No Data")</f>
        <v>5.87</v>
      </c>
      <c r="E531" s="28" t="str">
        <f t="array" ref="E531">_xlfn.XLOOKUP($A531, 'Medical Examinations'!$A:$A, 'Medical Examinations'!D:D, "No Data")</f>
        <v>No</v>
      </c>
      <c r="F531" s="28" t="str">
        <f t="array" ref="F531">_xlfn.XLOOKUP($A531, 'Medical Examinations'!$A:$A, 'Medical Examinations'!E:E, "No Data")</f>
        <v>No</v>
      </c>
      <c r="G531" s="28" t="str">
        <f t="array" ref="G531">_xlfn.XLOOKUP($A531, 'Medical Examinations'!$A:$A, 'Medical Examinations'!F:F, "No Data")</f>
        <v>Yes</v>
      </c>
      <c r="H531" s="28">
        <f t="array" ref="H531">_xlfn.XLOOKUP($A531, 'Medical Examinations'!$A:$A, 'Medical Examinations'!G:G, "No Data")</f>
        <v>1</v>
      </c>
      <c r="I531" s="28" t="str">
        <f t="array" ref="I531">_xlfn.XLOOKUP($A531, 'Medical Examinations'!$A:$A, 'Medical Examinations'!H:H, "No Data")</f>
        <v>No</v>
      </c>
      <c r="J531" s="28" t="str">
        <f t="array" ref="J531">_xlfn.XLOOKUP($A531, 'Medical Examinations'!$A:$A, 'Medical Examinations'!I:I, "No Data")</f>
        <v>Obesity</v>
      </c>
      <c r="K531" s="28" t="str">
        <f t="array" ref="K531">_xlfn.XLOOKUP($A531, 'Hospitalisation Details'!$A:$A, 'Hospitalisation Details'!I:I, "No Data")</f>
        <v>tier - 2</v>
      </c>
      <c r="L531" s="28" t="str">
        <f t="array" ref="L531">_xlfn.XLOOKUP($A531, 'Hospitalisation Details'!$A:$A, 'Hospitalisation Details'!J:J, "No Data")</f>
        <v>R1013</v>
      </c>
      <c r="M531" s="28" t="str">
        <f t="array" ref="M531">_xlfn.XLOOKUP($A531, 'Hospitalisation Details'!$A:$A, 'Hospitalisation Details'!E:E, "No Data")</f>
        <v>15/10/79</v>
      </c>
      <c r="N531" s="28">
        <f t="array" ref="N531">_xlfn.XLOOKUP($A531, 'Hospitalisation Details'!$A:$A, 'Hospitalisation Details'!K:K, "No Data")</f>
        <v>43</v>
      </c>
      <c r="O531" s="33">
        <f t="array" ref="O531">_xlfn.XLOOKUP($A531, 'Hospitalisation Details'!$A:$A, 'Hospitalisation Details'!G:G, "No Data")</f>
        <v>18806.15</v>
      </c>
      <c r="P531" s="28" t="str">
        <f t="array" ref="P531">_xlfn.XLOOKUP($A531, 'Hospitalisation Details'!$A:$A, 'Hospitalisation Details'!H:H, "No Data")</f>
        <v>tier - 1</v>
      </c>
    </row>
    <row r="532">
      <c r="A532" s="25" t="s">
        <v>1703</v>
      </c>
      <c r="B532" s="28" t="str">
        <f t="array" ref="B532">_xlfn.XLOOKUP($A532, 'Customer Names'!$A:$A, 'Customer Names'!B:B, "No Data")</f>
        <v>Mutter</v>
      </c>
      <c r="C532" s="28">
        <f t="array" ref="C532">_xlfn.XLOOKUP($A532, 'Medical Examinations'!$A:$A, 'Medical Examinations'!B:B, "No Data")</f>
        <v>30.4</v>
      </c>
      <c r="D532" s="28">
        <f t="array" ref="D532">_xlfn.XLOOKUP($A532, 'Medical Examinations'!$A:$A, 'Medical Examinations'!C:C, "No Data")</f>
        <v>4.07</v>
      </c>
      <c r="E532" s="28" t="str">
        <f t="array" ref="E532">_xlfn.XLOOKUP($A532, 'Medical Examinations'!$A:$A, 'Medical Examinations'!D:D, "No Data")</f>
        <v>yes</v>
      </c>
      <c r="F532" s="28" t="str">
        <f t="array" ref="F532">_xlfn.XLOOKUP($A532, 'Medical Examinations'!$A:$A, 'Medical Examinations'!E:E, "No Data")</f>
        <v>No</v>
      </c>
      <c r="G532" s="28" t="str">
        <f t="array" ref="G532">_xlfn.XLOOKUP($A532, 'Medical Examinations'!$A:$A, 'Medical Examinations'!F:F, "No Data")</f>
        <v>No</v>
      </c>
      <c r="H532" s="28">
        <f t="array" ref="H532">_xlfn.XLOOKUP($A532, 'Medical Examinations'!$A:$A, 'Medical Examinations'!G:G, "No Data")</f>
        <v>1</v>
      </c>
      <c r="I532" s="28" t="str">
        <f t="array" ref="I532">_xlfn.XLOOKUP($A532, 'Medical Examinations'!$A:$A, 'Medical Examinations'!H:H, "No Data")</f>
        <v>No</v>
      </c>
      <c r="J532" s="28" t="str">
        <f t="array" ref="J532">_xlfn.XLOOKUP($A532, 'Medical Examinations'!$A:$A, 'Medical Examinations'!I:I, "No Data")</f>
        <v>Obesity</v>
      </c>
      <c r="K532" s="28" t="str">
        <f t="array" ref="K532">_xlfn.XLOOKUP($A532, 'Hospitalisation Details'!$A:$A, 'Hospitalisation Details'!I:I, "No Data")</f>
        <v>tier - 1</v>
      </c>
      <c r="L532" s="28" t="str">
        <f t="array" ref="L532">_xlfn.XLOOKUP($A532, 'Hospitalisation Details'!$A:$A, 'Hospitalisation Details'!J:J, "No Data")</f>
        <v>R1012</v>
      </c>
      <c r="M532" s="28" t="str">
        <f t="array" ref="M532">_xlfn.XLOOKUP($A532, 'Hospitalisation Details'!$A:$A, 'Hospitalisation Details'!E:E, "No Data")</f>
        <v>28/11/95</v>
      </c>
      <c r="N532" s="28">
        <f t="array" ref="N532">_xlfn.XLOOKUP($A532, 'Hospitalisation Details'!$A:$A, 'Hospitalisation Details'!K:K, "No Data")</f>
        <v>27</v>
      </c>
      <c r="O532" s="33">
        <f t="array" ref="O532">_xlfn.XLOOKUP($A532, 'Hospitalisation Details'!$A:$A, 'Hospitalisation Details'!G:G, "No Data")</f>
        <v>18804.75</v>
      </c>
      <c r="P532" s="28" t="str">
        <f t="array" ref="P532">_xlfn.XLOOKUP($A532, 'Hospitalisation Details'!$A:$A, 'Hospitalisation Details'!H:H, "No Data")</f>
        <v>tier - 1</v>
      </c>
    </row>
    <row r="533">
      <c r="A533" s="25" t="s">
        <v>1706</v>
      </c>
      <c r="B533" s="28" t="str">
        <f t="array" ref="B533">_xlfn.XLOOKUP($A533, 'Customer Names'!$A:$A, 'Customer Names'!B:B, "No Data")</f>
        <v>Ahern</v>
      </c>
      <c r="C533" s="28">
        <f t="array" ref="C533">_xlfn.XLOOKUP($A533, 'Medical Examinations'!$A:$A, 'Medical Examinations'!B:B, "No Data")</f>
        <v>20.13</v>
      </c>
      <c r="D533" s="28">
        <f t="array" ref="D533">_xlfn.XLOOKUP($A533, 'Medical Examinations'!$A:$A, 'Medical Examinations'!C:C, "No Data")</f>
        <v>6.47</v>
      </c>
      <c r="E533" s="28" t="str">
        <f t="array" ref="E533">_xlfn.XLOOKUP($A533, 'Medical Examinations'!$A:$A, 'Medical Examinations'!D:D, "No Data")</f>
        <v>No</v>
      </c>
      <c r="F533" s="28" t="str">
        <f t="array" ref="F533">_xlfn.XLOOKUP($A533, 'Medical Examinations'!$A:$A, 'Medical Examinations'!E:E, "No Data")</f>
        <v>No</v>
      </c>
      <c r="G533" s="28" t="str">
        <f t="array" ref="G533">_xlfn.XLOOKUP($A533, 'Medical Examinations'!$A:$A, 'Medical Examinations'!F:F, "No Data")</f>
        <v>Yes</v>
      </c>
      <c r="H533" s="28">
        <f t="array" ref="H533">_xlfn.XLOOKUP($A533, 'Medical Examinations'!$A:$A, 'Medical Examinations'!G:G, "No Data")</f>
        <v>1</v>
      </c>
      <c r="I533" s="28" t="str">
        <f t="array" ref="I533">_xlfn.XLOOKUP($A533, 'Medical Examinations'!$A:$A, 'Medical Examinations'!H:H, "No Data")</f>
        <v>yes</v>
      </c>
      <c r="J533" s="28" t="str">
        <f t="array" ref="J533">_xlfn.XLOOKUP($A533, 'Medical Examinations'!$A:$A, 'Medical Examinations'!I:I, "No Data")</f>
        <v>Normal Weight</v>
      </c>
      <c r="K533" s="28" t="str">
        <f t="array" ref="K533">_xlfn.XLOOKUP($A533, 'Hospitalisation Details'!$A:$A, 'Hospitalisation Details'!I:I, "No Data")</f>
        <v>tier - 1</v>
      </c>
      <c r="L533" s="28" t="str">
        <f t="array" ref="L533">_xlfn.XLOOKUP($A533, 'Hospitalisation Details'!$A:$A, 'Hospitalisation Details'!J:J, "No Data")</f>
        <v>R1013</v>
      </c>
      <c r="M533" s="28" t="str">
        <f t="array" ref="M533">_xlfn.XLOOKUP($A533, 'Hospitalisation Details'!$A:$A, 'Hospitalisation Details'!E:E, "No Data")</f>
        <v>19/11/79</v>
      </c>
      <c r="N533" s="28">
        <f t="array" ref="N533">_xlfn.XLOOKUP($A533, 'Hospitalisation Details'!$A:$A, 'Hospitalisation Details'!K:K, "No Data")</f>
        <v>43</v>
      </c>
      <c r="O533" s="33">
        <f t="array" ref="O533">_xlfn.XLOOKUP($A533, 'Hospitalisation Details'!$A:$A, 'Hospitalisation Details'!G:G, "No Data")</f>
        <v>18767.74</v>
      </c>
      <c r="P533" s="28" t="str">
        <f t="array" ref="P533">_xlfn.XLOOKUP($A533, 'Hospitalisation Details'!$A:$A, 'Hospitalisation Details'!H:H, "No Data")</f>
        <v>tier - 1</v>
      </c>
    </row>
    <row r="534">
      <c r="A534" s="25" t="s">
        <v>1709</v>
      </c>
      <c r="B534" s="28" t="str">
        <f t="array" ref="B534">_xlfn.XLOOKUP($A534, 'Customer Names'!$A:$A, 'Customer Names'!B:B, "No Data")</f>
        <v>Chviruk</v>
      </c>
      <c r="C534" s="28">
        <f t="array" ref="C534">_xlfn.XLOOKUP($A534, 'Medical Examinations'!$A:$A, 'Medical Examinations'!B:B, "No Data")</f>
        <v>23.655</v>
      </c>
      <c r="D534" s="28">
        <f t="array" ref="D534">_xlfn.XLOOKUP($A534, 'Medical Examinations'!$A:$A, 'Medical Examinations'!C:C, "No Data")</f>
        <v>5.14</v>
      </c>
      <c r="E534" s="28" t="str">
        <f t="array" ref="E534">_xlfn.XLOOKUP($A534, 'Medical Examinations'!$A:$A, 'Medical Examinations'!D:D, "No Data")</f>
        <v>No</v>
      </c>
      <c r="F534" s="28" t="str">
        <f t="array" ref="F534">_xlfn.XLOOKUP($A534, 'Medical Examinations'!$A:$A, 'Medical Examinations'!E:E, "No Data")</f>
        <v>No</v>
      </c>
      <c r="G534" s="28" t="str">
        <f t="array" ref="G534">_xlfn.XLOOKUP($A534, 'Medical Examinations'!$A:$A, 'Medical Examinations'!F:F, "No Data")</f>
        <v>No</v>
      </c>
      <c r="H534" s="28">
        <f t="array" ref="H534">_xlfn.XLOOKUP($A534, 'Medical Examinations'!$A:$A, 'Medical Examinations'!G:G, "No Data")</f>
        <v>1</v>
      </c>
      <c r="I534" s="28" t="str">
        <f t="array" ref="I534">_xlfn.XLOOKUP($A534, 'Medical Examinations'!$A:$A, 'Medical Examinations'!H:H, "No Data")</f>
        <v>yes</v>
      </c>
      <c r="J534" s="28" t="str">
        <f t="array" ref="J534">_xlfn.XLOOKUP($A534, 'Medical Examinations'!$A:$A, 'Medical Examinations'!I:I, "No Data")</f>
        <v>Normal Weight</v>
      </c>
      <c r="K534" s="28" t="str">
        <f t="array" ref="K534">_xlfn.XLOOKUP($A534, 'Hospitalisation Details'!$A:$A, 'Hospitalisation Details'!I:I, "No Data")</f>
        <v>tier - 2</v>
      </c>
      <c r="L534" s="28" t="str">
        <f t="array" ref="L534">_xlfn.XLOOKUP($A534, 'Hospitalisation Details'!$A:$A, 'Hospitalisation Details'!J:J, "No Data")</f>
        <v>R1012</v>
      </c>
      <c r="M534" s="28" t="str">
        <f t="array" ref="M534">_xlfn.XLOOKUP($A534, 'Hospitalisation Details'!$A:$A, 'Hospitalisation Details'!E:E, "No Data")</f>
        <v>27/12/92</v>
      </c>
      <c r="N534" s="28">
        <f t="array" ref="N534">_xlfn.XLOOKUP($A534, 'Hospitalisation Details'!$A:$A, 'Hospitalisation Details'!K:K, "No Data")</f>
        <v>30</v>
      </c>
      <c r="O534" s="33">
        <f t="array" ref="O534">_xlfn.XLOOKUP($A534, 'Hospitalisation Details'!$A:$A, 'Hospitalisation Details'!G:G, "No Data")</f>
        <v>18765.88</v>
      </c>
      <c r="P534" s="28" t="str">
        <f t="array" ref="P534">_xlfn.XLOOKUP($A534, 'Hospitalisation Details'!$A:$A, 'Hospitalisation Details'!H:H, "No Data")</f>
        <v>tier - 1</v>
      </c>
    </row>
    <row r="535">
      <c r="A535" s="25" t="s">
        <v>1712</v>
      </c>
      <c r="B535" s="28" t="str">
        <f t="array" ref="B535">_xlfn.XLOOKUP($A535, 'Customer Names'!$A:$A, 'Customer Names'!B:B, "No Data")</f>
        <v>Meehan</v>
      </c>
      <c r="C535" s="28">
        <f t="array" ref="C535">_xlfn.XLOOKUP($A535, 'Medical Examinations'!$A:$A, 'Medical Examinations'!B:B, "No Data")</f>
        <v>49.05</v>
      </c>
      <c r="D535" s="28">
        <f t="array" ref="D535">_xlfn.XLOOKUP($A535, 'Medical Examinations'!$A:$A, 'Medical Examinations'!C:C, "No Data")</f>
        <v>9.77</v>
      </c>
      <c r="E535" s="28" t="str">
        <f t="array" ref="E535">_xlfn.XLOOKUP($A535, 'Medical Examinations'!$A:$A, 'Medical Examinations'!D:D, "No Data")</f>
        <v>yes</v>
      </c>
      <c r="F535" s="28" t="str">
        <f t="array" ref="F535">_xlfn.XLOOKUP($A535, 'Medical Examinations'!$A:$A, 'Medical Examinations'!E:E, "No Data")</f>
        <v>No</v>
      </c>
      <c r="G535" s="28" t="str">
        <f t="array" ref="G535">_xlfn.XLOOKUP($A535, 'Medical Examinations'!$A:$A, 'Medical Examinations'!F:F, "No Data")</f>
        <v>No</v>
      </c>
      <c r="H535" s="28">
        <f t="array" ref="H535">_xlfn.XLOOKUP($A535, 'Medical Examinations'!$A:$A, 'Medical Examinations'!G:G, "No Data")</f>
        <v>0</v>
      </c>
      <c r="I535" s="28" t="str">
        <f t="array" ref="I535">_xlfn.XLOOKUP($A535, 'Medical Examinations'!$A:$A, 'Medical Examinations'!H:H, "No Data")</f>
        <v>No</v>
      </c>
      <c r="J535" s="28" t="str">
        <f t="array" ref="J535">_xlfn.XLOOKUP($A535, 'Medical Examinations'!$A:$A, 'Medical Examinations'!I:I, "No Data")</f>
        <v>Obesity</v>
      </c>
      <c r="K535" s="28" t="str">
        <f t="array" ref="K535">_xlfn.XLOOKUP($A535, 'Hospitalisation Details'!$A:$A, 'Hospitalisation Details'!I:I, "No Data")</f>
        <v>tier - 1</v>
      </c>
      <c r="L535" s="28" t="str">
        <f t="array" ref="L535">_xlfn.XLOOKUP($A535, 'Hospitalisation Details'!$A:$A, 'Hospitalisation Details'!J:J, "No Data")</f>
        <v>R1023</v>
      </c>
      <c r="M535" s="28" t="str">
        <f t="array" ref="M535">_xlfn.XLOOKUP($A535, 'Hospitalisation Details'!$A:$A, 'Hospitalisation Details'!E:E, "No Data")</f>
        <v>30/08/67</v>
      </c>
      <c r="N535" s="28">
        <f t="array" ref="N535">_xlfn.XLOOKUP($A535, 'Hospitalisation Details'!$A:$A, 'Hospitalisation Details'!K:K, "No Data")</f>
        <v>55</v>
      </c>
      <c r="O535" s="33">
        <f t="array" ref="O535">_xlfn.XLOOKUP($A535, 'Hospitalisation Details'!$A:$A, 'Hospitalisation Details'!G:G, "No Data")</f>
        <v>18694.69</v>
      </c>
      <c r="P535" s="28" t="str">
        <f t="array" ref="P535">_xlfn.XLOOKUP($A535, 'Hospitalisation Details'!$A:$A, 'Hospitalisation Details'!H:H, "No Data")</f>
        <v>tier - 1</v>
      </c>
    </row>
    <row r="536">
      <c r="A536" s="25" t="s">
        <v>1714</v>
      </c>
      <c r="B536" s="28" t="str">
        <f t="array" ref="B536">_xlfn.XLOOKUP($A536, 'Customer Names'!$A:$A, 'Customer Names'!B:B, "No Data")</f>
        <v>Gammon</v>
      </c>
      <c r="C536" s="28">
        <f t="array" ref="C536">_xlfn.XLOOKUP($A536, 'Medical Examinations'!$A:$A, 'Medical Examinations'!B:B, "No Data")</f>
        <v>51.94</v>
      </c>
      <c r="D536" s="28">
        <f t="array" ref="D536">_xlfn.XLOOKUP($A536, 'Medical Examinations'!$A:$A, 'Medical Examinations'!C:C, "No Data")</f>
        <v>8.8</v>
      </c>
      <c r="E536" s="28" t="str">
        <f t="array" ref="E536">_xlfn.XLOOKUP($A536, 'Medical Examinations'!$A:$A, 'Medical Examinations'!D:D, "No Data")</f>
        <v>yes</v>
      </c>
      <c r="F536" s="28" t="str">
        <f t="array" ref="F536">_xlfn.XLOOKUP($A536, 'Medical Examinations'!$A:$A, 'Medical Examinations'!E:E, "No Data")</f>
        <v>No</v>
      </c>
      <c r="G536" s="28" t="str">
        <f t="array" ref="G536">_xlfn.XLOOKUP($A536, 'Medical Examinations'!$A:$A, 'Medical Examinations'!F:F, "No Data")</f>
        <v>No</v>
      </c>
      <c r="H536" s="28">
        <f t="array" ref="H536">_xlfn.XLOOKUP($A536, 'Medical Examinations'!$A:$A, 'Medical Examinations'!G:G, "No Data")</f>
        <v>2</v>
      </c>
      <c r="I536" s="28" t="str">
        <f t="array" ref="I536">_xlfn.XLOOKUP($A536, 'Medical Examinations'!$A:$A, 'Medical Examinations'!H:H, "No Data")</f>
        <v>No</v>
      </c>
      <c r="J536" s="28" t="str">
        <f t="array" ref="J536">_xlfn.XLOOKUP($A536, 'Medical Examinations'!$A:$A, 'Medical Examinations'!I:I, "No Data")</f>
        <v>Obesity</v>
      </c>
      <c r="K536" s="28" t="str">
        <f t="array" ref="K536">_xlfn.XLOOKUP($A536, 'Hospitalisation Details'!$A:$A, 'Hospitalisation Details'!I:I, "No Data")</f>
        <v>tier - 3</v>
      </c>
      <c r="L536" s="28" t="str">
        <f t="array" ref="L536">_xlfn.XLOOKUP($A536, 'Hospitalisation Details'!$A:$A, 'Hospitalisation Details'!J:J, "No Data")</f>
        <v>R1012</v>
      </c>
      <c r="M536" s="28" t="str">
        <f t="array" ref="M536">_xlfn.XLOOKUP($A536, 'Hospitalisation Details'!$A:$A, 'Hospitalisation Details'!E:E, "No Data")</f>
        <v>17/10/70</v>
      </c>
      <c r="N536" s="28">
        <f t="array" ref="N536">_xlfn.XLOOKUP($A536, 'Hospitalisation Details'!$A:$A, 'Hospitalisation Details'!K:K, "No Data")</f>
        <v>52</v>
      </c>
      <c r="O536" s="33">
        <f t="array" ref="O536">_xlfn.XLOOKUP($A536, 'Hospitalisation Details'!$A:$A, 'Hospitalisation Details'!G:G, "No Data")</f>
        <v>18682.74</v>
      </c>
      <c r="P536" s="28" t="str">
        <f t="array" ref="P536">_xlfn.XLOOKUP($A536, 'Hospitalisation Details'!$A:$A, 'Hospitalisation Details'!H:H, "No Data")</f>
        <v>tier - 1</v>
      </c>
    </row>
    <row r="537">
      <c r="A537" s="25" t="s">
        <v>1718</v>
      </c>
      <c r="B537" s="28" t="str">
        <f t="array" ref="B537">_xlfn.XLOOKUP($A537, 'Customer Names'!$A:$A, 'Customer Names'!B:B, "No Data")</f>
        <v>Lee</v>
      </c>
      <c r="C537" s="28">
        <f t="array" ref="C537">_xlfn.XLOOKUP($A537, 'Medical Examinations'!$A:$A, 'Medical Examinations'!B:B, "No Data")</f>
        <v>29.83</v>
      </c>
      <c r="D537" s="28">
        <f t="array" ref="D537">_xlfn.XLOOKUP($A537, 'Medical Examinations'!$A:$A, 'Medical Examinations'!C:C, "No Data")</f>
        <v>5.84</v>
      </c>
      <c r="E537" s="28" t="str">
        <f t="array" ref="E537">_xlfn.XLOOKUP($A537, 'Medical Examinations'!$A:$A, 'Medical Examinations'!D:D, "No Data")</f>
        <v>No</v>
      </c>
      <c r="F537" s="28" t="str">
        <f t="array" ref="F537">_xlfn.XLOOKUP($A537, 'Medical Examinations'!$A:$A, 'Medical Examinations'!E:E, "No Data")</f>
        <v>No</v>
      </c>
      <c r="G537" s="28" t="str">
        <f t="array" ref="G537">_xlfn.XLOOKUP($A537, 'Medical Examinations'!$A:$A, 'Medical Examinations'!F:F, "No Data")</f>
        <v>No</v>
      </c>
      <c r="H537" s="28">
        <f t="array" ref="H537">_xlfn.XLOOKUP($A537, 'Medical Examinations'!$A:$A, 'Medical Examinations'!G:G, "No Data")</f>
        <v>1</v>
      </c>
      <c r="I537" s="28" t="str">
        <f t="array" ref="I537">_xlfn.XLOOKUP($A537, 'Medical Examinations'!$A:$A, 'Medical Examinations'!H:H, "No Data")</f>
        <v>yes</v>
      </c>
      <c r="J537" s="28" t="str">
        <f t="array" ref="J537">_xlfn.XLOOKUP($A537, 'Medical Examinations'!$A:$A, 'Medical Examinations'!I:I, "No Data")</f>
        <v>Overweight</v>
      </c>
      <c r="K537" s="28" t="str">
        <f t="array" ref="K537">_xlfn.XLOOKUP($A537, 'Hospitalisation Details'!$A:$A, 'Hospitalisation Details'!I:I, "No Data")</f>
        <v>tier - 1</v>
      </c>
      <c r="L537" s="28" t="str">
        <f t="array" ref="L537">_xlfn.XLOOKUP($A537, 'Hospitalisation Details'!$A:$A, 'Hospitalisation Details'!J:J, "No Data")</f>
        <v>R1019</v>
      </c>
      <c r="M537" s="28" t="str">
        <f t="array" ref="M537">_xlfn.XLOOKUP($A537, 'Hospitalisation Details'!$A:$A, 'Hospitalisation Details'!E:E, "No Data")</f>
        <v>23/09/98</v>
      </c>
      <c r="N537" s="28">
        <f t="array" ref="N537">_xlfn.XLOOKUP($A537, 'Hospitalisation Details'!$A:$A, 'Hospitalisation Details'!K:K, "No Data")</f>
        <v>24</v>
      </c>
      <c r="O537" s="33">
        <f t="array" ref="O537">_xlfn.XLOOKUP($A537, 'Hospitalisation Details'!$A:$A, 'Hospitalisation Details'!G:G, "No Data")</f>
        <v>18648.42</v>
      </c>
      <c r="P537" s="28" t="str">
        <f t="array" ref="P537">_xlfn.XLOOKUP($A537, 'Hospitalisation Details'!$A:$A, 'Hospitalisation Details'!H:H, "No Data")</f>
        <v>tier - 1</v>
      </c>
    </row>
    <row r="538">
      <c r="A538" s="25" t="s">
        <v>1720</v>
      </c>
      <c r="B538" s="28" t="str">
        <f t="array" ref="B538">_xlfn.XLOOKUP($A538, 'Customer Names'!$A:$A, 'Customer Names'!B:B, "No Data")</f>
        <v>Franco</v>
      </c>
      <c r="C538" s="28">
        <f t="array" ref="C538">_xlfn.XLOOKUP($A538, 'Medical Examinations'!$A:$A, 'Medical Examinations'!B:B, "No Data")</f>
        <v>22.6</v>
      </c>
      <c r="D538" s="28">
        <f t="array" ref="D538">_xlfn.XLOOKUP($A538, 'Medical Examinations'!$A:$A, 'Medical Examinations'!C:C, "No Data")</f>
        <v>10.43</v>
      </c>
      <c r="E538" s="28" t="str">
        <f t="array" ref="E538">_xlfn.XLOOKUP($A538, 'Medical Examinations'!$A:$A, 'Medical Examinations'!D:D, "No Data")</f>
        <v>yes</v>
      </c>
      <c r="F538" s="28" t="str">
        <f t="array" ref="F538">_xlfn.XLOOKUP($A538, 'Medical Examinations'!$A:$A, 'Medical Examinations'!E:E, "No Data")</f>
        <v>No</v>
      </c>
      <c r="G538" s="28" t="str">
        <f t="array" ref="G538">_xlfn.XLOOKUP($A538, 'Medical Examinations'!$A:$A, 'Medical Examinations'!F:F, "No Data")</f>
        <v>No</v>
      </c>
      <c r="H538" s="28">
        <f t="array" ref="H538">_xlfn.XLOOKUP($A538, 'Medical Examinations'!$A:$A, 'Medical Examinations'!G:G, "No Data")</f>
        <v>1</v>
      </c>
      <c r="I538" s="28" t="str">
        <f t="array" ref="I538">_xlfn.XLOOKUP($A538, 'Medical Examinations'!$A:$A, 'Medical Examinations'!H:H, "No Data")</f>
        <v>yes</v>
      </c>
      <c r="J538" s="28" t="str">
        <f t="array" ref="J538">_xlfn.XLOOKUP($A538, 'Medical Examinations'!$A:$A, 'Medical Examinations'!I:I, "No Data")</f>
        <v>Normal Weight</v>
      </c>
      <c r="K538" s="28" t="str">
        <f t="array" ref="K538">_xlfn.XLOOKUP($A538, 'Hospitalisation Details'!$A:$A, 'Hospitalisation Details'!I:I, "No Data")</f>
        <v>tier - 3</v>
      </c>
      <c r="L538" s="28" t="str">
        <f t="array" ref="L538">_xlfn.XLOOKUP($A538, 'Hospitalisation Details'!$A:$A, 'Hospitalisation Details'!J:J, "No Data")</f>
        <v>R1011</v>
      </c>
      <c r="M538" s="28" t="str">
        <f t="array" ref="M538">_xlfn.XLOOKUP($A538, 'Hospitalisation Details'!$A:$A, 'Hospitalisation Details'!E:E, "No Data")</f>
        <v>12/08/86</v>
      </c>
      <c r="N538" s="28">
        <f t="array" ref="N538">_xlfn.XLOOKUP($A538, 'Hospitalisation Details'!$A:$A, 'Hospitalisation Details'!K:K, "No Data")</f>
        <v>36</v>
      </c>
      <c r="O538" s="33">
        <f t="array" ref="O538">_xlfn.XLOOKUP($A538, 'Hospitalisation Details'!$A:$A, 'Hospitalisation Details'!G:G, "No Data")</f>
        <v>18608.26</v>
      </c>
      <c r="P538" s="28" t="str">
        <f t="array" ref="P538">_xlfn.XLOOKUP($A538, 'Hospitalisation Details'!$A:$A, 'Hospitalisation Details'!H:H, "No Data")</f>
        <v>tier - 1</v>
      </c>
    </row>
    <row r="539">
      <c r="A539" s="25" t="s">
        <v>1723</v>
      </c>
      <c r="B539" s="28" t="str">
        <f t="array" ref="B539">_xlfn.XLOOKUP($A539, 'Customer Names'!$A:$A, 'Customer Names'!B:B, "No Data")</f>
        <v>Patterson</v>
      </c>
      <c r="C539" s="28">
        <f t="array" ref="C539">_xlfn.XLOOKUP($A539, 'Medical Examinations'!$A:$A, 'Medical Examinations'!B:B, "No Data")</f>
        <v>46.69</v>
      </c>
      <c r="D539" s="28">
        <f t="array" ref="D539">_xlfn.XLOOKUP($A539, 'Medical Examinations'!$A:$A, 'Medical Examinations'!C:C, "No Data")</f>
        <v>4.25</v>
      </c>
      <c r="E539" s="28" t="str">
        <f t="array" ref="E539">_xlfn.XLOOKUP($A539, 'Medical Examinations'!$A:$A, 'Medical Examinations'!D:D, "No Data")</f>
        <v>yes</v>
      </c>
      <c r="F539" s="28" t="str">
        <f t="array" ref="F539">_xlfn.XLOOKUP($A539, 'Medical Examinations'!$A:$A, 'Medical Examinations'!E:E, "No Data")</f>
        <v>No</v>
      </c>
      <c r="G539" s="28" t="str">
        <f t="array" ref="G539">_xlfn.XLOOKUP($A539, 'Medical Examinations'!$A:$A, 'Medical Examinations'!F:F, "No Data")</f>
        <v>No</v>
      </c>
      <c r="H539" s="28">
        <f t="array" ref="H539">_xlfn.XLOOKUP($A539, 'Medical Examinations'!$A:$A, 'Medical Examinations'!G:G, "No Data")</f>
        <v>1</v>
      </c>
      <c r="I539" s="28" t="str">
        <f t="array" ref="I539">_xlfn.XLOOKUP($A539, 'Medical Examinations'!$A:$A, 'Medical Examinations'!H:H, "No Data")</f>
        <v>No</v>
      </c>
      <c r="J539" s="28" t="str">
        <f t="array" ref="J539">_xlfn.XLOOKUP($A539, 'Medical Examinations'!$A:$A, 'Medical Examinations'!I:I, "No Data")</f>
        <v>Obesity</v>
      </c>
      <c r="K539" s="28" t="str">
        <f t="array" ref="K539">_xlfn.XLOOKUP($A539, 'Hospitalisation Details'!$A:$A, 'Hospitalisation Details'!I:I, "No Data")</f>
        <v>tier - 2</v>
      </c>
      <c r="L539" s="28" t="str">
        <f t="array" ref="L539">_xlfn.XLOOKUP($A539, 'Hospitalisation Details'!$A:$A, 'Hospitalisation Details'!J:J, "No Data")</f>
        <v>R1012</v>
      </c>
      <c r="M539" s="28" t="str">
        <f t="array" ref="M539">_xlfn.XLOOKUP($A539, 'Hospitalisation Details'!$A:$A, 'Hospitalisation Details'!E:E, "No Data")</f>
        <v>26/09/64</v>
      </c>
      <c r="N539" s="28">
        <f t="array" ref="N539">_xlfn.XLOOKUP($A539, 'Hospitalisation Details'!$A:$A, 'Hospitalisation Details'!K:K, "No Data")</f>
        <v>58</v>
      </c>
      <c r="O539" s="33">
        <f t="array" ref="O539">_xlfn.XLOOKUP($A539, 'Hospitalisation Details'!$A:$A, 'Hospitalisation Details'!G:G, "No Data")</f>
        <v>18443.11</v>
      </c>
      <c r="P539" s="28" t="str">
        <f t="array" ref="P539">_xlfn.XLOOKUP($A539, 'Hospitalisation Details'!$A:$A, 'Hospitalisation Details'!H:H, "No Data")</f>
        <v>tier - 1</v>
      </c>
    </row>
    <row r="540">
      <c r="A540" s="25" t="s">
        <v>1726</v>
      </c>
      <c r="B540" s="28" t="str">
        <f t="array" ref="B540">_xlfn.XLOOKUP($A540, 'Customer Names'!$A:$A, 'Customer Names'!B:B, "No Data")</f>
        <v>Valdes</v>
      </c>
      <c r="C540" s="28">
        <f t="array" ref="C540">_xlfn.XLOOKUP($A540, 'Medical Examinations'!$A:$A, 'Medical Examinations'!B:B, "No Data")</f>
        <v>28.49</v>
      </c>
      <c r="D540" s="28">
        <f t="array" ref="D540">_xlfn.XLOOKUP($A540, 'Medical Examinations'!$A:$A, 'Medical Examinations'!C:C, "No Data")</f>
        <v>4.89</v>
      </c>
      <c r="E540" s="28" t="str">
        <f t="array" ref="E540">_xlfn.XLOOKUP($A540, 'Medical Examinations'!$A:$A, 'Medical Examinations'!D:D, "No Data")</f>
        <v>No</v>
      </c>
      <c r="F540" s="28" t="str">
        <f t="array" ref="F540">_xlfn.XLOOKUP($A540, 'Medical Examinations'!$A:$A, 'Medical Examinations'!E:E, "No Data")</f>
        <v>No</v>
      </c>
      <c r="G540" s="28" t="str">
        <f t="array" ref="G540">_xlfn.XLOOKUP($A540, 'Medical Examinations'!$A:$A, 'Medical Examinations'!F:F, "No Data")</f>
        <v>No</v>
      </c>
      <c r="H540" s="28">
        <f t="array" ref="H540">_xlfn.XLOOKUP($A540, 'Medical Examinations'!$A:$A, 'Medical Examinations'!G:G, "No Data")</f>
        <v>0</v>
      </c>
      <c r="I540" s="28" t="str">
        <f t="array" ref="I540">_xlfn.XLOOKUP($A540, 'Medical Examinations'!$A:$A, 'Medical Examinations'!H:H, "No Data")</f>
        <v>yes</v>
      </c>
      <c r="J540" s="28" t="str">
        <f t="array" ref="J540">_xlfn.XLOOKUP($A540, 'Medical Examinations'!$A:$A, 'Medical Examinations'!I:I, "No Data")</f>
        <v>Overweight</v>
      </c>
      <c r="K540" s="28" t="str">
        <f t="array" ref="K540">_xlfn.XLOOKUP($A540, 'Hospitalisation Details'!$A:$A, 'Hospitalisation Details'!I:I, "No Data")</f>
        <v>tier - 2</v>
      </c>
      <c r="L540" s="28" t="str">
        <f t="array" ref="L540">_xlfn.XLOOKUP($A540, 'Hospitalisation Details'!$A:$A, 'Hospitalisation Details'!J:J, "No Data")</f>
        <v>R1013</v>
      </c>
      <c r="M540" s="28" t="str">
        <f t="array" ref="M540">_xlfn.XLOOKUP($A540, 'Hospitalisation Details'!$A:$A, 'Hospitalisation Details'!E:E, "No Data")</f>
        <v>15/12/99</v>
      </c>
      <c r="N540" s="28">
        <f t="array" ref="N540">_xlfn.XLOOKUP($A540, 'Hospitalisation Details'!$A:$A, 'Hospitalisation Details'!K:K, "No Data")</f>
        <v>23</v>
      </c>
      <c r="O540" s="33">
        <f t="array" ref="O540">_xlfn.XLOOKUP($A540, 'Hospitalisation Details'!$A:$A, 'Hospitalisation Details'!G:G, "No Data")</f>
        <v>18328.24</v>
      </c>
      <c r="P540" s="28" t="str">
        <f t="array" ref="P540">_xlfn.XLOOKUP($A540, 'Hospitalisation Details'!$A:$A, 'Hospitalisation Details'!H:H, "No Data")</f>
        <v>tier - 1</v>
      </c>
    </row>
    <row r="541">
      <c r="A541" s="25" t="s">
        <v>1728</v>
      </c>
      <c r="B541" s="28" t="str">
        <f t="array" ref="B541">_xlfn.XLOOKUP($A541, 'Customer Names'!$A:$A, 'Customer Names'!B:B, "No Data")</f>
        <v>Craig</v>
      </c>
      <c r="C541" s="28">
        <f t="array" ref="C541">_xlfn.XLOOKUP($A541, 'Medical Examinations'!$A:$A, 'Medical Examinations'!B:B, "No Data")</f>
        <v>28.5</v>
      </c>
      <c r="D541" s="28">
        <f t="array" ref="D541">_xlfn.XLOOKUP($A541, 'Medical Examinations'!$A:$A, 'Medical Examinations'!C:C, "No Data")</f>
        <v>5.55</v>
      </c>
      <c r="E541" s="28" t="str">
        <f t="array" ref="E541">_xlfn.XLOOKUP($A541, 'Medical Examinations'!$A:$A, 'Medical Examinations'!D:D, "No Data")</f>
        <v>yes</v>
      </c>
      <c r="F541" s="28" t="str">
        <f t="array" ref="F541">_xlfn.XLOOKUP($A541, 'Medical Examinations'!$A:$A, 'Medical Examinations'!E:E, "No Data")</f>
        <v>No</v>
      </c>
      <c r="G541" s="28" t="str">
        <f t="array" ref="G541">_xlfn.XLOOKUP($A541, 'Medical Examinations'!$A:$A, 'Medical Examinations'!F:F, "No Data")</f>
        <v>No</v>
      </c>
      <c r="H541" s="28">
        <f t="array" ref="H541">_xlfn.XLOOKUP($A541, 'Medical Examinations'!$A:$A, 'Medical Examinations'!G:G, "No Data")</f>
        <v>1</v>
      </c>
      <c r="I541" s="28" t="str">
        <f t="array" ref="I541">_xlfn.XLOOKUP($A541, 'Medical Examinations'!$A:$A, 'Medical Examinations'!H:H, "No Data")</f>
        <v>yes</v>
      </c>
      <c r="J541" s="28" t="str">
        <f t="array" ref="J541">_xlfn.XLOOKUP($A541, 'Medical Examinations'!$A:$A, 'Medical Examinations'!I:I, "No Data")</f>
        <v>Overweight</v>
      </c>
      <c r="K541" s="28" t="str">
        <f t="array" ref="K541">_xlfn.XLOOKUP($A541, 'Hospitalisation Details'!$A:$A, 'Hospitalisation Details'!I:I, "No Data")</f>
        <v>tier - 3</v>
      </c>
      <c r="L541" s="28" t="str">
        <f t="array" ref="L541">_xlfn.XLOOKUP($A541, 'Hospitalisation Details'!$A:$A, 'Hospitalisation Details'!J:J, "No Data")</f>
        <v>R1012</v>
      </c>
      <c r="M541" s="28" t="str">
        <f t="array" ref="M541">_xlfn.XLOOKUP($A541, 'Hospitalisation Details'!$A:$A, 'Hospitalisation Details'!E:E, "No Data")</f>
        <v>04/07/95</v>
      </c>
      <c r="N541" s="28">
        <f t="array" ref="N541">_xlfn.XLOOKUP($A541, 'Hospitalisation Details'!$A:$A, 'Hospitalisation Details'!K:K, "No Data")</f>
        <v>27</v>
      </c>
      <c r="O541" s="33">
        <f t="array" ref="O541">_xlfn.XLOOKUP($A541, 'Hospitalisation Details'!$A:$A, 'Hospitalisation Details'!G:G, "No Data")</f>
        <v>18310.74</v>
      </c>
      <c r="P541" s="28" t="str">
        <f t="array" ref="P541">_xlfn.XLOOKUP($A541, 'Hospitalisation Details'!$A:$A, 'Hospitalisation Details'!H:H, "No Data")</f>
        <v>tier - 1</v>
      </c>
    </row>
    <row r="542">
      <c r="A542" s="25" t="s">
        <v>1729</v>
      </c>
      <c r="B542" s="28" t="str">
        <f t="array" ref="B542">_xlfn.XLOOKUP($A542, 'Customer Names'!$A:$A, 'Customer Names'!B:B, "No Data")</f>
        <v>Whipple</v>
      </c>
      <c r="C542" s="28">
        <f t="array" ref="C542">_xlfn.XLOOKUP($A542, 'Medical Examinations'!$A:$A, 'Medical Examinations'!B:B, "No Data")</f>
        <v>24.4</v>
      </c>
      <c r="D542" s="28">
        <f t="array" ref="D542">_xlfn.XLOOKUP($A542, 'Medical Examinations'!$A:$A, 'Medical Examinations'!C:C, "No Data")</f>
        <v>4.52</v>
      </c>
      <c r="E542" s="28" t="str">
        <f t="array" ref="E542">_xlfn.XLOOKUP($A542, 'Medical Examinations'!$A:$A, 'Medical Examinations'!D:D, "No Data")</f>
        <v>No</v>
      </c>
      <c r="F542" s="28" t="str">
        <f t="array" ref="F542">_xlfn.XLOOKUP($A542, 'Medical Examinations'!$A:$A, 'Medical Examinations'!E:E, "No Data")</f>
        <v>No</v>
      </c>
      <c r="G542" s="28" t="str">
        <f t="array" ref="G542">_xlfn.XLOOKUP($A542, 'Medical Examinations'!$A:$A, 'Medical Examinations'!F:F, "No Data")</f>
        <v>No</v>
      </c>
      <c r="H542" s="28">
        <f t="array" ref="H542">_xlfn.XLOOKUP($A542, 'Medical Examinations'!$A:$A, 'Medical Examinations'!G:G, "No Data")</f>
        <v>1</v>
      </c>
      <c r="I542" s="28" t="str">
        <f t="array" ref="I542">_xlfn.XLOOKUP($A542, 'Medical Examinations'!$A:$A, 'Medical Examinations'!H:H, "No Data")</f>
        <v>yes</v>
      </c>
      <c r="J542" s="28" t="str">
        <f t="array" ref="J542">_xlfn.XLOOKUP($A542, 'Medical Examinations'!$A:$A, 'Medical Examinations'!I:I, "No Data")</f>
        <v>Normal Weight</v>
      </c>
      <c r="K542" s="28" t="str">
        <f t="array" ref="K542">_xlfn.XLOOKUP($A542, 'Hospitalisation Details'!$A:$A, 'Hospitalisation Details'!I:I, "No Data")</f>
        <v>tier - 3</v>
      </c>
      <c r="L542" s="28" t="str">
        <f t="array" ref="L542">_xlfn.XLOOKUP($A542, 'Hospitalisation Details'!$A:$A, 'Hospitalisation Details'!J:J, "No Data")</f>
        <v>R1011</v>
      </c>
      <c r="M542" s="28" t="str">
        <f t="array" ref="M542">_xlfn.XLOOKUP($A542, 'Hospitalisation Details'!$A:$A, 'Hospitalisation Details'!E:E, "No Data")</f>
        <v>25/12/92</v>
      </c>
      <c r="N542" s="28">
        <f t="array" ref="N542">_xlfn.XLOOKUP($A542, 'Hospitalisation Details'!$A:$A, 'Hospitalisation Details'!K:K, "No Data")</f>
        <v>30</v>
      </c>
      <c r="O542" s="33">
        <f t="array" ref="O542">_xlfn.XLOOKUP($A542, 'Hospitalisation Details'!$A:$A, 'Hospitalisation Details'!G:G, "No Data")</f>
        <v>18259.22</v>
      </c>
      <c r="P542" s="28" t="str">
        <f t="array" ref="P542">_xlfn.XLOOKUP($A542, 'Hospitalisation Details'!$A:$A, 'Hospitalisation Details'!H:H, "No Data")</f>
        <v>tier - 1</v>
      </c>
    </row>
    <row r="543">
      <c r="A543" s="25" t="s">
        <v>1733</v>
      </c>
      <c r="B543" s="28" t="str">
        <f t="array" ref="B543">_xlfn.XLOOKUP($A543, 'Customer Names'!$A:$A, 'Customer Names'!B:B, "No Data")</f>
        <v>Marton</v>
      </c>
      <c r="C543" s="28">
        <f t="array" ref="C543">_xlfn.XLOOKUP($A543, 'Medical Examinations'!$A:$A, 'Medical Examinations'!B:B, "No Data")</f>
        <v>29.15</v>
      </c>
      <c r="D543" s="28">
        <f t="array" ref="D543">_xlfn.XLOOKUP($A543, 'Medical Examinations'!$A:$A, 'Medical Examinations'!C:C, "No Data")</f>
        <v>4.45</v>
      </c>
      <c r="E543" s="28" t="str">
        <f t="array" ref="E543">_xlfn.XLOOKUP($A543, 'Medical Examinations'!$A:$A, 'Medical Examinations'!D:D, "No Data")</f>
        <v>yes</v>
      </c>
      <c r="F543" s="28" t="str">
        <f t="array" ref="F543">_xlfn.XLOOKUP($A543, 'Medical Examinations'!$A:$A, 'Medical Examinations'!E:E, "No Data")</f>
        <v>No</v>
      </c>
      <c r="G543" s="28" t="str">
        <f t="array" ref="G543">_xlfn.XLOOKUP($A543, 'Medical Examinations'!$A:$A, 'Medical Examinations'!F:F, "No Data")</f>
        <v>No</v>
      </c>
      <c r="H543" s="28">
        <f t="array" ref="H543">_xlfn.XLOOKUP($A543, 'Medical Examinations'!$A:$A, 'Medical Examinations'!G:G, "No Data")</f>
        <v>1</v>
      </c>
      <c r="I543" s="28" t="str">
        <f t="array" ref="I543">_xlfn.XLOOKUP($A543, 'Medical Examinations'!$A:$A, 'Medical Examinations'!H:H, "No Data")</f>
        <v>yes</v>
      </c>
      <c r="J543" s="28" t="str">
        <f t="array" ref="J543">_xlfn.XLOOKUP($A543, 'Medical Examinations'!$A:$A, 'Medical Examinations'!I:I, "No Data")</f>
        <v>Overweight</v>
      </c>
      <c r="K543" s="28" t="str">
        <f t="array" ref="K543">_xlfn.XLOOKUP($A543, 'Hospitalisation Details'!$A:$A, 'Hospitalisation Details'!I:I, "No Data")</f>
        <v>tier - 1</v>
      </c>
      <c r="L543" s="28" t="str">
        <f t="array" ref="L543">_xlfn.XLOOKUP($A543, 'Hospitalisation Details'!$A:$A, 'Hospitalisation Details'!J:J, "No Data")</f>
        <v>R1013</v>
      </c>
      <c r="M543" s="28" t="str">
        <f t="array" ref="M543">_xlfn.XLOOKUP($A543, 'Hospitalisation Details'!$A:$A, 'Hospitalisation Details'!E:E, "No Data")</f>
        <v>03/08/95</v>
      </c>
      <c r="N543" s="28">
        <f t="array" ref="N543">_xlfn.XLOOKUP($A543, 'Hospitalisation Details'!$A:$A, 'Hospitalisation Details'!K:K, "No Data")</f>
        <v>27</v>
      </c>
      <c r="O543" s="33">
        <f t="array" ref="O543">_xlfn.XLOOKUP($A543, 'Hospitalisation Details'!$A:$A, 'Hospitalisation Details'!G:G, "No Data")</f>
        <v>18246.5</v>
      </c>
      <c r="P543" s="28" t="str">
        <f t="array" ref="P543">_xlfn.XLOOKUP($A543, 'Hospitalisation Details'!$A:$A, 'Hospitalisation Details'!H:H, "No Data")</f>
        <v>tier - 1</v>
      </c>
    </row>
    <row r="544">
      <c r="A544" s="25" t="s">
        <v>1736</v>
      </c>
      <c r="B544" s="28" t="str">
        <f t="array" ref="B544">_xlfn.XLOOKUP($A544, 'Customer Names'!$A:$A, 'Customer Names'!B:B, "No Data")</f>
        <v>Hildebrandt</v>
      </c>
      <c r="C544" s="28">
        <f t="array" ref="C544">_xlfn.XLOOKUP($A544, 'Medical Examinations'!$A:$A, 'Medical Examinations'!B:B, "No Data")</f>
        <v>27.28</v>
      </c>
      <c r="D544" s="28">
        <f t="array" ref="D544">_xlfn.XLOOKUP($A544, 'Medical Examinations'!$A:$A, 'Medical Examinations'!C:C, "No Data")</f>
        <v>4.72</v>
      </c>
      <c r="E544" s="28" t="str">
        <f t="array" ref="E544">_xlfn.XLOOKUP($A544, 'Medical Examinations'!$A:$A, 'Medical Examinations'!D:D, "No Data")</f>
        <v>No</v>
      </c>
      <c r="F544" s="28" t="str">
        <f t="array" ref="F544">_xlfn.XLOOKUP($A544, 'Medical Examinations'!$A:$A, 'Medical Examinations'!E:E, "No Data")</f>
        <v>yes</v>
      </c>
      <c r="G544" s="28" t="str">
        <f t="array" ref="G544">_xlfn.XLOOKUP($A544, 'Medical Examinations'!$A:$A, 'Medical Examinations'!F:F, "No Data")</f>
        <v>No</v>
      </c>
      <c r="H544" s="28">
        <f t="array" ref="H544">_xlfn.XLOOKUP($A544, 'Medical Examinations'!$A:$A, 'Medical Examinations'!G:G, "No Data")</f>
        <v>1</v>
      </c>
      <c r="I544" s="28" t="str">
        <f t="array" ref="I544">_xlfn.XLOOKUP($A544, 'Medical Examinations'!$A:$A, 'Medical Examinations'!H:H, "No Data")</f>
        <v>yes</v>
      </c>
      <c r="J544" s="28" t="str">
        <f t="array" ref="J544">_xlfn.XLOOKUP($A544, 'Medical Examinations'!$A:$A, 'Medical Examinations'!I:I, "No Data")</f>
        <v>Overweight</v>
      </c>
      <c r="K544" s="28" t="str">
        <f t="array" ref="K544">_xlfn.XLOOKUP($A544, 'Hospitalisation Details'!$A:$A, 'Hospitalisation Details'!I:I, "No Data")</f>
        <v>tier - 3</v>
      </c>
      <c r="L544" s="28" t="str">
        <f t="array" ref="L544">_xlfn.XLOOKUP($A544, 'Hospitalisation Details'!$A:$A, 'Hospitalisation Details'!J:J, "No Data")</f>
        <v>R1013</v>
      </c>
      <c r="M544" s="28" t="str">
        <f t="array" ref="M544">_xlfn.XLOOKUP($A544, 'Hospitalisation Details'!$A:$A, 'Hospitalisation Details'!E:E, "No Data")</f>
        <v>10/09/04</v>
      </c>
      <c r="N544" s="28">
        <f t="array" ref="N544">_xlfn.XLOOKUP($A544, 'Hospitalisation Details'!$A:$A, 'Hospitalisation Details'!K:K, "No Data")</f>
        <v>18</v>
      </c>
      <c r="O544" s="33">
        <f t="array" ref="O544">_xlfn.XLOOKUP($A544, 'Hospitalisation Details'!$A:$A, 'Hospitalisation Details'!G:G, "No Data")</f>
        <v>18223.45</v>
      </c>
      <c r="P544" s="28" t="str">
        <f t="array" ref="P544">_xlfn.XLOOKUP($A544, 'Hospitalisation Details'!$A:$A, 'Hospitalisation Details'!H:H, "No Data")</f>
        <v>tier - 1</v>
      </c>
    </row>
    <row r="545">
      <c r="A545" s="25" t="s">
        <v>1738</v>
      </c>
      <c r="B545" s="28" t="str">
        <f t="array" ref="B545">_xlfn.XLOOKUP($A545, 'Customer Names'!$A:$A, 'Customer Names'!B:B, "No Data")</f>
        <v>Biggs</v>
      </c>
      <c r="C545" s="28">
        <f t="array" ref="C545">_xlfn.XLOOKUP($A545, 'Medical Examinations'!$A:$A, 'Medical Examinations'!B:B, "No Data")</f>
        <v>32.23</v>
      </c>
      <c r="D545" s="28">
        <f t="array" ref="D545">_xlfn.XLOOKUP($A545, 'Medical Examinations'!$A:$A, 'Medical Examinations'!C:C, "No Data")</f>
        <v>4.65</v>
      </c>
      <c r="E545" s="28" t="str">
        <f t="array" ref="E545">_xlfn.XLOOKUP($A545, 'Medical Examinations'!$A:$A, 'Medical Examinations'!D:D, "No Data")</f>
        <v>yes</v>
      </c>
      <c r="F545" s="28" t="str">
        <f t="array" ref="F545">_xlfn.XLOOKUP($A545, 'Medical Examinations'!$A:$A, 'Medical Examinations'!E:E, "No Data")</f>
        <v>No</v>
      </c>
      <c r="G545" s="28" t="str">
        <f t="array" ref="G545">_xlfn.XLOOKUP($A545, 'Medical Examinations'!$A:$A, 'Medical Examinations'!F:F, "No Data")</f>
        <v>Yes</v>
      </c>
      <c r="H545" s="28">
        <f t="array" ref="H545">_xlfn.XLOOKUP($A545, 'Medical Examinations'!$A:$A, 'Medical Examinations'!G:G, "No Data")</f>
        <v>1</v>
      </c>
      <c r="I545" s="28" t="str">
        <f t="array" ref="I545">_xlfn.XLOOKUP($A545, 'Medical Examinations'!$A:$A, 'Medical Examinations'!H:H, "No Data")</f>
        <v>No</v>
      </c>
      <c r="J545" s="28" t="str">
        <f t="array" ref="J545">_xlfn.XLOOKUP($A545, 'Medical Examinations'!$A:$A, 'Medical Examinations'!I:I, "No Data")</f>
        <v>Obesity</v>
      </c>
      <c r="K545" s="28" t="str">
        <f t="array" ref="K545">_xlfn.XLOOKUP($A545, 'Hospitalisation Details'!$A:$A, 'Hospitalisation Details'!I:I, "No Data")</f>
        <v>tier - 1</v>
      </c>
      <c r="L545" s="28" t="str">
        <f t="array" ref="L545">_xlfn.XLOOKUP($A545, 'Hospitalisation Details'!$A:$A, 'Hospitalisation Details'!J:J, "No Data")</f>
        <v>R1013</v>
      </c>
      <c r="M545" s="28" t="str">
        <f t="array" ref="M545">_xlfn.XLOOKUP($A545, 'Hospitalisation Details'!$A:$A, 'Hospitalisation Details'!E:E, "No Data")</f>
        <v>15/06/97</v>
      </c>
      <c r="N545" s="28">
        <f t="array" ref="N545">_xlfn.XLOOKUP($A545, 'Hospitalisation Details'!$A:$A, 'Hospitalisation Details'!K:K, "No Data")</f>
        <v>25</v>
      </c>
      <c r="O545" s="33">
        <f t="array" ref="O545">_xlfn.XLOOKUP($A545, 'Hospitalisation Details'!$A:$A, 'Hospitalisation Details'!G:G, "No Data")</f>
        <v>18218.16</v>
      </c>
      <c r="P545" s="28" t="str">
        <f t="array" ref="P545">_xlfn.XLOOKUP($A545, 'Hospitalisation Details'!$A:$A, 'Hospitalisation Details'!H:H, "No Data")</f>
        <v>tier - 1</v>
      </c>
    </row>
    <row r="546">
      <c r="A546" s="25" t="s">
        <v>1742</v>
      </c>
      <c r="B546" s="28" t="str">
        <f t="array" ref="B546">_xlfn.XLOOKUP($A546, 'Customer Names'!$A:$A, 'Customer Names'!B:B, "No Data")</f>
        <v>Shigezumi</v>
      </c>
      <c r="C546" s="28">
        <f t="array" ref="C546">_xlfn.XLOOKUP($A546, 'Medical Examinations'!$A:$A, 'Medical Examinations'!B:B, "No Data")</f>
        <v>44.2</v>
      </c>
      <c r="D546" s="28">
        <f t="array" ref="D546">_xlfn.XLOOKUP($A546, 'Medical Examinations'!$A:$A, 'Medical Examinations'!C:C, "No Data")</f>
        <v>11.34</v>
      </c>
      <c r="E546" s="28" t="str">
        <f t="array" ref="E546">_xlfn.XLOOKUP($A546, 'Medical Examinations'!$A:$A, 'Medical Examinations'!D:D, "No Data")</f>
        <v>yes</v>
      </c>
      <c r="F546" s="28" t="str">
        <f t="array" ref="F546">_xlfn.XLOOKUP($A546, 'Medical Examinations'!$A:$A, 'Medical Examinations'!E:E, "No Data")</f>
        <v>No</v>
      </c>
      <c r="G546" s="28" t="str">
        <f t="array" ref="G546">_xlfn.XLOOKUP($A546, 'Medical Examinations'!$A:$A, 'Medical Examinations'!F:F, "No Data")</f>
        <v>Yes</v>
      </c>
      <c r="H546" s="28">
        <f t="array" ref="H546">_xlfn.XLOOKUP($A546, 'Medical Examinations'!$A:$A, 'Medical Examinations'!G:G, "No Data")</f>
        <v>1</v>
      </c>
      <c r="I546" s="28" t="str">
        <f t="array" ref="I546">_xlfn.XLOOKUP($A546, 'Medical Examinations'!$A:$A, 'Medical Examinations'!H:H, "No Data")</f>
        <v>No</v>
      </c>
      <c r="J546" s="28" t="str">
        <f t="array" ref="J546">_xlfn.XLOOKUP($A546, 'Medical Examinations'!$A:$A, 'Medical Examinations'!I:I, "No Data")</f>
        <v>Obesity</v>
      </c>
      <c r="K546" s="28" t="str">
        <f t="array" ref="K546">_xlfn.XLOOKUP($A546, 'Hospitalisation Details'!$A:$A, 'Hospitalisation Details'!I:I, "No Data")</f>
        <v>tier - 2</v>
      </c>
      <c r="L546" s="28" t="str">
        <f t="array" ref="L546">_xlfn.XLOOKUP($A546, 'Hospitalisation Details'!$A:$A, 'Hospitalisation Details'!J:J, "No Data")</f>
        <v>R1026</v>
      </c>
      <c r="M546" s="28" t="str">
        <f t="array" ref="M546">_xlfn.XLOOKUP($A546, 'Hospitalisation Details'!$A:$A, 'Hospitalisation Details'!E:E, "No Data")</f>
        <v>04/07/63</v>
      </c>
      <c r="N546" s="28">
        <f t="array" ref="N546">_xlfn.XLOOKUP($A546, 'Hospitalisation Details'!$A:$A, 'Hospitalisation Details'!K:K, "No Data")</f>
        <v>59</v>
      </c>
      <c r="O546" s="33">
        <f t="array" ref="O546">_xlfn.XLOOKUP($A546, 'Hospitalisation Details'!$A:$A, 'Hospitalisation Details'!G:G, "No Data")</f>
        <v>18208.34</v>
      </c>
      <c r="P546" s="28" t="str">
        <f t="array" ref="P546">_xlfn.XLOOKUP($A546, 'Hospitalisation Details'!$A:$A, 'Hospitalisation Details'!H:H, "No Data")</f>
        <v>tier - 1</v>
      </c>
    </row>
    <row r="547">
      <c r="A547" s="25" t="s">
        <v>1745</v>
      </c>
      <c r="B547" s="28" t="str">
        <f t="array" ref="B547">_xlfn.XLOOKUP($A547, 'Customer Names'!$A:$A, 'Customer Names'!B:B, "No Data")</f>
        <v>Meineke</v>
      </c>
      <c r="C547" s="28">
        <f t="array" ref="C547">_xlfn.XLOOKUP($A547, 'Medical Examinations'!$A:$A, 'Medical Examinations'!B:B, "No Data")</f>
        <v>29.735</v>
      </c>
      <c r="D547" s="28">
        <f t="array" ref="D547">_xlfn.XLOOKUP($A547, 'Medical Examinations'!$A:$A, 'Medical Examinations'!C:C, "No Data")</f>
        <v>4.53</v>
      </c>
      <c r="E547" s="28" t="str">
        <f t="array" ref="E547">_xlfn.XLOOKUP($A547, 'Medical Examinations'!$A:$A, 'Medical Examinations'!D:D, "No Data")</f>
        <v>No</v>
      </c>
      <c r="F547" s="28" t="str">
        <f t="array" ref="F547">_xlfn.XLOOKUP($A547, 'Medical Examinations'!$A:$A, 'Medical Examinations'!E:E, "No Data")</f>
        <v>No</v>
      </c>
      <c r="G547" s="28" t="str">
        <f t="array" ref="G547">_xlfn.XLOOKUP($A547, 'Medical Examinations'!$A:$A, 'Medical Examinations'!F:F, "No Data")</f>
        <v>Yes</v>
      </c>
      <c r="H547" s="28">
        <f t="array" ref="H547">_xlfn.XLOOKUP($A547, 'Medical Examinations'!$A:$A, 'Medical Examinations'!G:G, "No Data")</f>
        <v>1</v>
      </c>
      <c r="I547" s="28" t="str">
        <f t="array" ref="I547">_xlfn.XLOOKUP($A547, 'Medical Examinations'!$A:$A, 'Medical Examinations'!H:H, "No Data")</f>
        <v>No</v>
      </c>
      <c r="J547" s="28" t="str">
        <f t="array" ref="J547">_xlfn.XLOOKUP($A547, 'Medical Examinations'!$A:$A, 'Medical Examinations'!I:I, "No Data")</f>
        <v>Overweight</v>
      </c>
      <c r="K547" s="28" t="str">
        <f t="array" ref="K547">_xlfn.XLOOKUP($A547, 'Hospitalisation Details'!$A:$A, 'Hospitalisation Details'!I:I, "No Data")</f>
        <v>tier - 1</v>
      </c>
      <c r="L547" s="28" t="str">
        <f t="array" ref="L547">_xlfn.XLOOKUP($A547, 'Hospitalisation Details'!$A:$A, 'Hospitalisation Details'!J:J, "No Data")</f>
        <v>R1012</v>
      </c>
      <c r="M547" s="28" t="str">
        <f t="array" ref="M547">_xlfn.XLOOKUP($A547, 'Hospitalisation Details'!$A:$A, 'Hospitalisation Details'!E:E, "No Data")</f>
        <v>12/07/93</v>
      </c>
      <c r="N547" s="28">
        <f t="array" ref="N547">_xlfn.XLOOKUP($A547, 'Hospitalisation Details'!$A:$A, 'Hospitalisation Details'!K:K, "No Data")</f>
        <v>29</v>
      </c>
      <c r="O547" s="33">
        <f t="array" ref="O547">_xlfn.XLOOKUP($A547, 'Hospitalisation Details'!$A:$A, 'Hospitalisation Details'!G:G, "No Data")</f>
        <v>18157.88</v>
      </c>
      <c r="P547" s="28" t="str">
        <f t="array" ref="P547">_xlfn.XLOOKUP($A547, 'Hospitalisation Details'!$A:$A, 'Hospitalisation Details'!H:H, "No Data")</f>
        <v>tier - 1</v>
      </c>
    </row>
    <row r="548">
      <c r="A548" s="25" t="s">
        <v>1747</v>
      </c>
      <c r="B548" s="28" t="str">
        <f t="array" ref="B548">_xlfn.XLOOKUP($A548, 'Customer Names'!$A:$A, 'Customer Names'!B:B, "No Data")</f>
        <v>Ludington</v>
      </c>
      <c r="C548" s="28">
        <f t="array" ref="C548">_xlfn.XLOOKUP($A548, 'Medical Examinations'!$A:$A, 'Medical Examinations'!B:B, "No Data")</f>
        <v>28.31</v>
      </c>
      <c r="D548" s="28">
        <f t="array" ref="D548">_xlfn.XLOOKUP($A548, 'Medical Examinations'!$A:$A, 'Medical Examinations'!C:C, "No Data")</f>
        <v>6.35</v>
      </c>
      <c r="E548" s="28" t="str">
        <f t="array" ref="E548">_xlfn.XLOOKUP($A548, 'Medical Examinations'!$A:$A, 'Medical Examinations'!D:D, "No Data")</f>
        <v>No</v>
      </c>
      <c r="F548" s="28" t="str">
        <f t="array" ref="F548">_xlfn.XLOOKUP($A548, 'Medical Examinations'!$A:$A, 'Medical Examinations'!E:E, "No Data")</f>
        <v>No</v>
      </c>
      <c r="G548" s="28" t="str">
        <f t="array" ref="G548">_xlfn.XLOOKUP($A548, 'Medical Examinations'!$A:$A, 'Medical Examinations'!F:F, "No Data")</f>
        <v>No</v>
      </c>
      <c r="H548" s="28">
        <f t="array" ref="H548">_xlfn.XLOOKUP($A548, 'Medical Examinations'!$A:$A, 'Medical Examinations'!G:G, "No Data")</f>
        <v>0</v>
      </c>
      <c r="I548" s="28" t="str">
        <f t="array" ref="I548">_xlfn.XLOOKUP($A548, 'Medical Examinations'!$A:$A, 'Medical Examinations'!H:H, "No Data")</f>
        <v>yes</v>
      </c>
      <c r="J548" s="28" t="str">
        <f t="array" ref="J548">_xlfn.XLOOKUP($A548, 'Medical Examinations'!$A:$A, 'Medical Examinations'!I:I, "No Data")</f>
        <v>Overweight</v>
      </c>
      <c r="K548" s="28" t="str">
        <f t="array" ref="K548">_xlfn.XLOOKUP($A548, 'Hospitalisation Details'!$A:$A, 'Hospitalisation Details'!I:I, "No Data")</f>
        <v>tier - 1</v>
      </c>
      <c r="L548" s="28" t="str">
        <f t="array" ref="L548">_xlfn.XLOOKUP($A548, 'Hospitalisation Details'!$A:$A, 'Hospitalisation Details'!J:J, "No Data")</f>
        <v>R1012</v>
      </c>
      <c r="M548" s="28" t="str">
        <f t="array" ref="M548">_xlfn.XLOOKUP($A548, 'Hospitalisation Details'!$A:$A, 'Hospitalisation Details'!E:E, "No Data")</f>
        <v>24/10/99</v>
      </c>
      <c r="N548" s="28">
        <f t="array" ref="N548">_xlfn.XLOOKUP($A548, 'Hospitalisation Details'!$A:$A, 'Hospitalisation Details'!K:K, "No Data")</f>
        <v>23</v>
      </c>
      <c r="O548" s="33">
        <f t="array" ref="O548">_xlfn.XLOOKUP($A548, 'Hospitalisation Details'!$A:$A, 'Hospitalisation Details'!G:G, "No Data")</f>
        <v>18033.97</v>
      </c>
      <c r="P548" s="28" t="str">
        <f t="array" ref="P548">_xlfn.XLOOKUP($A548, 'Hospitalisation Details'!$A:$A, 'Hospitalisation Details'!H:H, "No Data")</f>
        <v>tier - 1</v>
      </c>
    </row>
    <row r="549">
      <c r="A549" s="25" t="s">
        <v>1750</v>
      </c>
      <c r="B549" s="28" t="str">
        <f t="array" ref="B549">_xlfn.XLOOKUP($A549, 'Customer Names'!$A:$A, 'Customer Names'!B:B, "No Data")</f>
        <v>Perrich</v>
      </c>
      <c r="C549" s="28">
        <f t="array" ref="C549">_xlfn.XLOOKUP($A549, 'Medical Examinations'!$A:$A, 'Medical Examinations'!B:B, "No Data")</f>
        <v>46.62</v>
      </c>
      <c r="D549" s="28">
        <f t="array" ref="D549">_xlfn.XLOOKUP($A549, 'Medical Examinations'!$A:$A, 'Medical Examinations'!C:C, "No Data")</f>
        <v>8.51</v>
      </c>
      <c r="E549" s="28" t="str">
        <f t="array" ref="E549">_xlfn.XLOOKUP($A549, 'Medical Examinations'!$A:$A, 'Medical Examinations'!D:D, "No Data")</f>
        <v>No</v>
      </c>
      <c r="F549" s="28" t="str">
        <f t="array" ref="F549">_xlfn.XLOOKUP($A549, 'Medical Examinations'!$A:$A, 'Medical Examinations'!E:E, "No Data")</f>
        <v>No</v>
      </c>
      <c r="G549" s="28" t="str">
        <f t="array" ref="G549">_xlfn.XLOOKUP($A549, 'Medical Examinations'!$A:$A, 'Medical Examinations'!F:F, "No Data")</f>
        <v>No</v>
      </c>
      <c r="H549" s="28">
        <f t="array" ref="H549">_xlfn.XLOOKUP($A549, 'Medical Examinations'!$A:$A, 'Medical Examinations'!G:G, "No Data")</f>
        <v>0</v>
      </c>
      <c r="I549" s="28" t="str">
        <f t="array" ref="I549">_xlfn.XLOOKUP($A549, 'Medical Examinations'!$A:$A, 'Medical Examinations'!H:H, "No Data")</f>
        <v>No</v>
      </c>
      <c r="J549" s="28" t="str">
        <f t="array" ref="J549">_xlfn.XLOOKUP($A549, 'Medical Examinations'!$A:$A, 'Medical Examinations'!I:I, "No Data")</f>
        <v>Obesity</v>
      </c>
      <c r="K549" s="28" t="str">
        <f t="array" ref="K549">_xlfn.XLOOKUP($A549, 'Hospitalisation Details'!$A:$A, 'Hospitalisation Details'!I:I, "No Data")</f>
        <v>tier - 2</v>
      </c>
      <c r="L549" s="28" t="str">
        <f t="array" ref="L549">_xlfn.XLOOKUP($A549, 'Hospitalisation Details'!$A:$A, 'Hospitalisation Details'!J:J, "No Data")</f>
        <v>R1012</v>
      </c>
      <c r="M549" s="28" t="str">
        <f t="array" ref="M549">_xlfn.XLOOKUP($A549, 'Hospitalisation Details'!$A:$A, 'Hospitalisation Details'!E:E, "No Data")</f>
        <v>17/10/65</v>
      </c>
      <c r="N549" s="28">
        <f t="array" ref="N549">_xlfn.XLOOKUP($A549, 'Hospitalisation Details'!$A:$A, 'Hospitalisation Details'!K:K, "No Data")</f>
        <v>57</v>
      </c>
      <c r="O549" s="33">
        <f t="array" ref="O549">_xlfn.XLOOKUP($A549, 'Hospitalisation Details'!$A:$A, 'Hospitalisation Details'!G:G, "No Data")</f>
        <v>18031.19</v>
      </c>
      <c r="P549" s="28" t="str">
        <f t="array" ref="P549">_xlfn.XLOOKUP($A549, 'Hospitalisation Details'!$A:$A, 'Hospitalisation Details'!H:H, "No Data")</f>
        <v>tier - 1</v>
      </c>
    </row>
    <row r="550">
      <c r="A550" s="25" t="s">
        <v>1754</v>
      </c>
      <c r="B550" s="28" t="str">
        <f t="array" ref="B550">_xlfn.XLOOKUP($A550, 'Customer Names'!$A:$A, 'Customer Names'!B:B, "No Data")</f>
        <v>Cervantes</v>
      </c>
      <c r="C550" s="28">
        <f t="array" ref="C550">_xlfn.XLOOKUP($A550, 'Medical Examinations'!$A:$A, 'Medical Examinations'!B:B, "No Data")</f>
        <v>51.75</v>
      </c>
      <c r="D550" s="28">
        <f t="array" ref="D550">_xlfn.XLOOKUP($A550, 'Medical Examinations'!$A:$A, 'Medical Examinations'!C:C, "No Data")</f>
        <v>8.59</v>
      </c>
      <c r="E550" s="28" t="str">
        <f t="array" ref="E550">_xlfn.XLOOKUP($A550, 'Medical Examinations'!$A:$A, 'Medical Examinations'!D:D, "No Data")</f>
        <v>yes</v>
      </c>
      <c r="F550" s="28" t="str">
        <f t="array" ref="F550">_xlfn.XLOOKUP($A550, 'Medical Examinations'!$A:$A, 'Medical Examinations'!E:E, "No Data")</f>
        <v>No</v>
      </c>
      <c r="G550" s="28" t="str">
        <f t="array" ref="G550">_xlfn.XLOOKUP($A550, 'Medical Examinations'!$A:$A, 'Medical Examinations'!F:F, "No Data")</f>
        <v>No</v>
      </c>
      <c r="H550" s="28">
        <f t="array" ref="H550">_xlfn.XLOOKUP($A550, 'Medical Examinations'!$A:$A, 'Medical Examinations'!G:G, "No Data")</f>
        <v>1</v>
      </c>
      <c r="I550" s="28" t="str">
        <f t="array" ref="I550">_xlfn.XLOOKUP($A550, 'Medical Examinations'!$A:$A, 'Medical Examinations'!H:H, "No Data")</f>
        <v>No</v>
      </c>
      <c r="J550" s="28" t="str">
        <f t="array" ref="J550">_xlfn.XLOOKUP($A550, 'Medical Examinations'!$A:$A, 'Medical Examinations'!I:I, "No Data")</f>
        <v>Obesity</v>
      </c>
      <c r="K550" s="28" t="str">
        <f t="array" ref="K550">_xlfn.XLOOKUP($A550, 'Hospitalisation Details'!$A:$A, 'Hospitalisation Details'!I:I, "No Data")</f>
        <v>tier - 3</v>
      </c>
      <c r="L550" s="28" t="str">
        <f t="array" ref="L550">_xlfn.XLOOKUP($A550, 'Hospitalisation Details'!$A:$A, 'Hospitalisation Details'!J:J, "No Data")</f>
        <v>R1023</v>
      </c>
      <c r="M550" s="28" t="str">
        <f t="array" ref="M550">_xlfn.XLOOKUP($A550, 'Hospitalisation Details'!$A:$A, 'Hospitalisation Details'!E:E, "No Data")</f>
        <v>27/06/75</v>
      </c>
      <c r="N550" s="28">
        <f t="array" ref="N550">_xlfn.XLOOKUP($A550, 'Hospitalisation Details'!$A:$A, 'Hospitalisation Details'!K:K, "No Data")</f>
        <v>47</v>
      </c>
      <c r="O550" s="33">
        <f t="array" ref="O550">_xlfn.XLOOKUP($A550, 'Hospitalisation Details'!$A:$A, 'Hospitalisation Details'!G:G, "No Data")</f>
        <v>18031.16</v>
      </c>
      <c r="P550" s="28" t="str">
        <f t="array" ref="P550">_xlfn.XLOOKUP($A550, 'Hospitalisation Details'!$A:$A, 'Hospitalisation Details'!H:H, "No Data")</f>
        <v>tier - 1</v>
      </c>
    </row>
    <row r="551">
      <c r="A551" s="25" t="s">
        <v>1757</v>
      </c>
      <c r="B551" s="28" t="str">
        <f t="array" ref="B551">_xlfn.XLOOKUP($A551, 'Customer Names'!$A:$A, 'Customer Names'!B:B, "No Data")</f>
        <v>Andrews</v>
      </c>
      <c r="C551" s="28">
        <f t="array" ref="C551">_xlfn.XLOOKUP($A551, 'Medical Examinations'!$A:$A, 'Medical Examinations'!B:B, "No Data")</f>
        <v>25.7</v>
      </c>
      <c r="D551" s="28">
        <f t="array" ref="D551">_xlfn.XLOOKUP($A551, 'Medical Examinations'!$A:$A, 'Medical Examinations'!C:C, "No Data")</f>
        <v>4.13</v>
      </c>
      <c r="E551" s="28" t="str">
        <f t="array" ref="E551">_xlfn.XLOOKUP($A551, 'Medical Examinations'!$A:$A, 'Medical Examinations'!D:D, "No Data")</f>
        <v>yes</v>
      </c>
      <c r="F551" s="28" t="str">
        <f t="array" ref="F551">_xlfn.XLOOKUP($A551, 'Medical Examinations'!$A:$A, 'Medical Examinations'!E:E, "No Data")</f>
        <v>No</v>
      </c>
      <c r="G551" s="28" t="str">
        <f t="array" ref="G551">_xlfn.XLOOKUP($A551, 'Medical Examinations'!$A:$A, 'Medical Examinations'!F:F, "No Data")</f>
        <v>No</v>
      </c>
      <c r="H551" s="28">
        <f t="array" ref="H551">_xlfn.XLOOKUP($A551, 'Medical Examinations'!$A:$A, 'Medical Examinations'!G:G, "No Data")</f>
        <v>0</v>
      </c>
      <c r="I551" s="28" t="str">
        <f t="array" ref="I551">_xlfn.XLOOKUP($A551, 'Medical Examinations'!$A:$A, 'Medical Examinations'!H:H, "No Data")</f>
        <v>yes</v>
      </c>
      <c r="J551" s="28" t="str">
        <f t="array" ref="J551">_xlfn.XLOOKUP($A551, 'Medical Examinations'!$A:$A, 'Medical Examinations'!I:I, "No Data")</f>
        <v>Overweight</v>
      </c>
      <c r="K551" s="28" t="str">
        <f t="array" ref="K551">_xlfn.XLOOKUP($A551, 'Hospitalisation Details'!$A:$A, 'Hospitalisation Details'!I:I, "No Data")</f>
        <v>tier - 2</v>
      </c>
      <c r="L551" s="28" t="str">
        <f t="array" ref="L551">_xlfn.XLOOKUP($A551, 'Hospitalisation Details'!$A:$A, 'Hospitalisation Details'!J:J, "No Data")</f>
        <v>R1011</v>
      </c>
      <c r="M551" s="28" t="str">
        <f t="array" ref="M551">_xlfn.XLOOKUP($A551, 'Hospitalisation Details'!$A:$A, 'Hospitalisation Details'!E:E, "No Data")</f>
        <v>28/09/01</v>
      </c>
      <c r="N551" s="28">
        <f t="array" ref="N551">_xlfn.XLOOKUP($A551, 'Hospitalisation Details'!$A:$A, 'Hospitalisation Details'!K:K, "No Data")</f>
        <v>21</v>
      </c>
      <c r="O551" s="33">
        <f t="array" ref="O551">_xlfn.XLOOKUP($A551, 'Hospitalisation Details'!$A:$A, 'Hospitalisation Details'!G:G, "No Data")</f>
        <v>17942.11</v>
      </c>
      <c r="P551" s="28" t="str">
        <f t="array" ref="P551">_xlfn.XLOOKUP($A551, 'Hospitalisation Details'!$A:$A, 'Hospitalisation Details'!H:H, "No Data")</f>
        <v>tier - 1</v>
      </c>
    </row>
    <row r="552">
      <c r="A552" s="25" t="s">
        <v>1760</v>
      </c>
      <c r="B552" s="28" t="str">
        <f t="array" ref="B552">_xlfn.XLOOKUP($A552, 'Customer Names'!$A:$A, 'Customer Names'!B:B, "No Data")</f>
        <v>Ruvalcaba</v>
      </c>
      <c r="C552" s="28">
        <f t="array" ref="C552">_xlfn.XLOOKUP($A552, 'Medical Examinations'!$A:$A, 'Medical Examinations'!B:B, "No Data")</f>
        <v>31.79</v>
      </c>
      <c r="D552" s="28">
        <f t="array" ref="D552">_xlfn.XLOOKUP($A552, 'Medical Examinations'!$A:$A, 'Medical Examinations'!C:C, "No Data")</f>
        <v>4.55</v>
      </c>
      <c r="E552" s="28" t="str">
        <f t="array" ref="E552">_xlfn.XLOOKUP($A552, 'Medical Examinations'!$A:$A, 'Medical Examinations'!D:D, "No Data")</f>
        <v>No</v>
      </c>
      <c r="F552" s="28" t="str">
        <f t="array" ref="F552">_xlfn.XLOOKUP($A552, 'Medical Examinations'!$A:$A, 'Medical Examinations'!E:E, "No Data")</f>
        <v>No</v>
      </c>
      <c r="G552" s="28" t="str">
        <f t="array" ref="G552">_xlfn.XLOOKUP($A552, 'Medical Examinations'!$A:$A, 'Medical Examinations'!F:F, "No Data")</f>
        <v>No</v>
      </c>
      <c r="H552" s="28">
        <f t="array" ref="H552">_xlfn.XLOOKUP($A552, 'Medical Examinations'!$A:$A, 'Medical Examinations'!G:G, "No Data")</f>
        <v>0</v>
      </c>
      <c r="I552" s="28" t="str">
        <f t="array" ref="I552">_xlfn.XLOOKUP($A552, 'Medical Examinations'!$A:$A, 'Medical Examinations'!H:H, "No Data")</f>
        <v>No</v>
      </c>
      <c r="J552" s="28" t="str">
        <f t="array" ref="J552">_xlfn.XLOOKUP($A552, 'Medical Examinations'!$A:$A, 'Medical Examinations'!I:I, "No Data")</f>
        <v>Obesity</v>
      </c>
      <c r="K552" s="28" t="str">
        <f t="array" ref="K552">_xlfn.XLOOKUP($A552, 'Hospitalisation Details'!$A:$A, 'Hospitalisation Details'!I:I, "No Data")</f>
        <v>tier - 2</v>
      </c>
      <c r="L552" s="28" t="str">
        <f t="array" ref="L552">_xlfn.XLOOKUP($A552, 'Hospitalisation Details'!$A:$A, 'Hospitalisation Details'!J:J, "No Data")</f>
        <v>R1013</v>
      </c>
      <c r="M552" s="28" t="str">
        <f t="array" ref="M552">_xlfn.XLOOKUP($A552, 'Hospitalisation Details'!$A:$A, 'Hospitalisation Details'!E:E, "No Data")</f>
        <v>17/10/77</v>
      </c>
      <c r="N552" s="28">
        <f t="array" ref="N552">_xlfn.XLOOKUP($A552, 'Hospitalisation Details'!$A:$A, 'Hospitalisation Details'!K:K, "No Data")</f>
        <v>45</v>
      </c>
      <c r="O552" s="33">
        <f t="array" ref="O552">_xlfn.XLOOKUP($A552, 'Hospitalisation Details'!$A:$A, 'Hospitalisation Details'!G:G, "No Data")</f>
        <v>17929.3</v>
      </c>
      <c r="P552" s="28" t="str">
        <f t="array" ref="P552">_xlfn.XLOOKUP($A552, 'Hospitalisation Details'!$A:$A, 'Hospitalisation Details'!H:H, "No Data")</f>
        <v>tier - 1</v>
      </c>
    </row>
    <row r="553">
      <c r="A553" s="25" t="s">
        <v>1763</v>
      </c>
      <c r="B553" s="28" t="str">
        <f t="array" ref="B553">_xlfn.XLOOKUP($A553, 'Customer Names'!$A:$A, 'Customer Names'!B:B, "No Data")</f>
        <v>King</v>
      </c>
      <c r="C553" s="28">
        <f t="array" ref="C553">_xlfn.XLOOKUP($A553, 'Medical Examinations'!$A:$A, 'Medical Examinations'!B:B, "No Data")</f>
        <v>24.795</v>
      </c>
      <c r="D553" s="28">
        <f t="array" ref="D553">_xlfn.XLOOKUP($A553, 'Medical Examinations'!$A:$A, 'Medical Examinations'!C:C, "No Data")</f>
        <v>4.52</v>
      </c>
      <c r="E553" s="28" t="str">
        <f t="array" ref="E553">_xlfn.XLOOKUP($A553, 'Medical Examinations'!$A:$A, 'Medical Examinations'!D:D, "No Data")</f>
        <v>No</v>
      </c>
      <c r="F553" s="28" t="str">
        <f t="array" ref="F553">_xlfn.XLOOKUP($A553, 'Medical Examinations'!$A:$A, 'Medical Examinations'!E:E, "No Data")</f>
        <v>No</v>
      </c>
      <c r="G553" s="28" t="str">
        <f t="array" ref="G553">_xlfn.XLOOKUP($A553, 'Medical Examinations'!$A:$A, 'Medical Examinations'!F:F, "No Data")</f>
        <v>No</v>
      </c>
      <c r="H553" s="28">
        <f t="array" ref="H553">_xlfn.XLOOKUP($A553, 'Medical Examinations'!$A:$A, 'Medical Examinations'!G:G, "No Data")</f>
        <v>0</v>
      </c>
      <c r="I553" s="28" t="str">
        <f t="array" ref="I553">_xlfn.XLOOKUP($A553, 'Medical Examinations'!$A:$A, 'Medical Examinations'!H:H, "No Data")</f>
        <v>yes</v>
      </c>
      <c r="J553" s="28" t="str">
        <f t="array" ref="J553">_xlfn.XLOOKUP($A553, 'Medical Examinations'!$A:$A, 'Medical Examinations'!I:I, "No Data")</f>
        <v>Normal Weight</v>
      </c>
      <c r="K553" s="28" t="str">
        <f t="array" ref="K553">_xlfn.XLOOKUP($A553, 'Hospitalisation Details'!$A:$A, 'Hospitalisation Details'!I:I, "No Data")</f>
        <v>tier - 2</v>
      </c>
      <c r="L553" s="28" t="str">
        <f t="array" ref="L553">_xlfn.XLOOKUP($A553, 'Hospitalisation Details'!$A:$A, 'Hospitalisation Details'!J:J, "No Data")</f>
        <v>R1017</v>
      </c>
      <c r="M553" s="28" t="str">
        <f t="array" ref="M553">_xlfn.XLOOKUP($A553, 'Hospitalisation Details'!$A:$A, 'Hospitalisation Details'!E:E, "No Data")</f>
        <v>04/12/89</v>
      </c>
      <c r="N553" s="28">
        <f t="array" ref="N553">_xlfn.XLOOKUP($A553, 'Hospitalisation Details'!$A:$A, 'Hospitalisation Details'!K:K, "No Data")</f>
        <v>33</v>
      </c>
      <c r="O553" s="33">
        <f t="array" ref="O553">_xlfn.XLOOKUP($A553, 'Hospitalisation Details'!$A:$A, 'Hospitalisation Details'!G:G, "No Data")</f>
        <v>17904.53</v>
      </c>
      <c r="P553" s="28" t="str">
        <f t="array" ref="P553">_xlfn.XLOOKUP($A553, 'Hospitalisation Details'!$A:$A, 'Hospitalisation Details'!H:H, "No Data")</f>
        <v>tier - 1</v>
      </c>
    </row>
    <row r="554">
      <c r="A554" s="25" t="s">
        <v>1765</v>
      </c>
      <c r="B554" s="28" t="str">
        <f t="array" ref="B554">_xlfn.XLOOKUP($A554, 'Customer Names'!$A:$A, 'Customer Names'!B:B, "No Data")</f>
        <v>Stone</v>
      </c>
      <c r="C554" s="28">
        <f t="array" ref="C554">_xlfn.XLOOKUP($A554, 'Medical Examinations'!$A:$A, 'Medical Examinations'!B:B, "No Data")</f>
        <v>53.98</v>
      </c>
      <c r="D554" s="28">
        <f t="array" ref="D554">_xlfn.XLOOKUP($A554, 'Medical Examinations'!$A:$A, 'Medical Examinations'!C:C, "No Data")</f>
        <v>5.07</v>
      </c>
      <c r="E554" s="28" t="str">
        <f t="array" ref="E554">_xlfn.XLOOKUP($A554, 'Medical Examinations'!$A:$A, 'Medical Examinations'!D:D, "No Data")</f>
        <v>No</v>
      </c>
      <c r="F554" s="28" t="str">
        <f t="array" ref="F554">_xlfn.XLOOKUP($A554, 'Medical Examinations'!$A:$A, 'Medical Examinations'!E:E, "No Data")</f>
        <v>No</v>
      </c>
      <c r="G554" s="28" t="str">
        <f t="array" ref="G554">_xlfn.XLOOKUP($A554, 'Medical Examinations'!$A:$A, 'Medical Examinations'!F:F, "No Data")</f>
        <v>Yes</v>
      </c>
      <c r="H554" s="28">
        <f t="array" ref="H554">_xlfn.XLOOKUP($A554, 'Medical Examinations'!$A:$A, 'Medical Examinations'!G:G, "No Data")</f>
        <v>1</v>
      </c>
      <c r="I554" s="28" t="str">
        <f t="array" ref="I554">_xlfn.XLOOKUP($A554, 'Medical Examinations'!$A:$A, 'Medical Examinations'!H:H, "No Data")</f>
        <v>No</v>
      </c>
      <c r="J554" s="28" t="str">
        <f t="array" ref="J554">_xlfn.XLOOKUP($A554, 'Medical Examinations'!$A:$A, 'Medical Examinations'!I:I, "No Data")</f>
        <v>Obesity</v>
      </c>
      <c r="K554" s="28" t="str">
        <f t="array" ref="K554">_xlfn.XLOOKUP($A554, 'Hospitalisation Details'!$A:$A, 'Hospitalisation Details'!I:I, "No Data")</f>
        <v>tier - 3</v>
      </c>
      <c r="L554" s="28" t="str">
        <f t="array" ref="L554">_xlfn.XLOOKUP($A554, 'Hospitalisation Details'!$A:$A, 'Hospitalisation Details'!J:J, "No Data")</f>
        <v>R1012</v>
      </c>
      <c r="M554" s="28" t="str">
        <f t="array" ref="M554">_xlfn.XLOOKUP($A554, 'Hospitalisation Details'!$A:$A, 'Hospitalisation Details'!E:E, "No Data")</f>
        <v>12/11/79</v>
      </c>
      <c r="N554" s="28">
        <f t="array" ref="N554">_xlfn.XLOOKUP($A554, 'Hospitalisation Details'!$A:$A, 'Hospitalisation Details'!K:K, "No Data")</f>
        <v>43</v>
      </c>
      <c r="O554" s="33">
        <f t="array" ref="O554">_xlfn.XLOOKUP($A554, 'Hospitalisation Details'!$A:$A, 'Hospitalisation Details'!G:G, "No Data")</f>
        <v>17882.67</v>
      </c>
      <c r="P554" s="28" t="str">
        <f t="array" ref="P554">_xlfn.XLOOKUP($A554, 'Hospitalisation Details'!$A:$A, 'Hospitalisation Details'!H:H, "No Data")</f>
        <v>tier - 1</v>
      </c>
    </row>
    <row r="555">
      <c r="A555" s="25" t="s">
        <v>1768</v>
      </c>
      <c r="B555" s="28" t="str">
        <f t="array" ref="B555">_xlfn.XLOOKUP($A555, 'Customer Names'!$A:$A, 'Customer Names'!B:B, "No Data")</f>
        <v>Campbell</v>
      </c>
      <c r="C555" s="28">
        <f t="array" ref="C555">_xlfn.XLOOKUP($A555, 'Medical Examinations'!$A:$A, 'Medical Examinations'!B:B, "No Data")</f>
        <v>41.325</v>
      </c>
      <c r="D555" s="28">
        <f t="array" ref="D555">_xlfn.XLOOKUP($A555, 'Medical Examinations'!$A:$A, 'Medical Examinations'!C:C, "No Data")</f>
        <v>4.04</v>
      </c>
      <c r="E555" s="28" t="str">
        <f t="array" ref="E555">_xlfn.XLOOKUP($A555, 'Medical Examinations'!$A:$A, 'Medical Examinations'!D:D, "No Data")</f>
        <v>yes</v>
      </c>
      <c r="F555" s="28" t="str">
        <f t="array" ref="F555">_xlfn.XLOOKUP($A555, 'Medical Examinations'!$A:$A, 'Medical Examinations'!E:E, "No Data")</f>
        <v>No</v>
      </c>
      <c r="G555" s="28" t="str">
        <f t="array" ref="G555">_xlfn.XLOOKUP($A555, 'Medical Examinations'!$A:$A, 'Medical Examinations'!F:F, "No Data")</f>
        <v>Yes</v>
      </c>
      <c r="H555" s="28">
        <f t="array" ref="H555">_xlfn.XLOOKUP($A555, 'Medical Examinations'!$A:$A, 'Medical Examinations'!G:G, "No Data")</f>
        <v>1</v>
      </c>
      <c r="I555" s="28" t="str">
        <f t="array" ref="I555">_xlfn.XLOOKUP($A555, 'Medical Examinations'!$A:$A, 'Medical Examinations'!H:H, "No Data")</f>
        <v>No</v>
      </c>
      <c r="J555" s="28" t="str">
        <f t="array" ref="J555">_xlfn.XLOOKUP($A555, 'Medical Examinations'!$A:$A, 'Medical Examinations'!I:I, "No Data")</f>
        <v>Obesity</v>
      </c>
      <c r="K555" s="28" t="str">
        <f t="array" ref="K555">_xlfn.XLOOKUP($A555, 'Hospitalisation Details'!$A:$A, 'Hospitalisation Details'!I:I, "No Data")</f>
        <v>tier - 2</v>
      </c>
      <c r="L555" s="28" t="str">
        <f t="array" ref="L555">_xlfn.XLOOKUP($A555, 'Hospitalisation Details'!$A:$A, 'Hospitalisation Details'!J:J, "No Data")</f>
        <v>R1024</v>
      </c>
      <c r="M555" s="28" t="str">
        <f t="array" ref="M555">_xlfn.XLOOKUP($A555, 'Hospitalisation Details'!$A:$A, 'Hospitalisation Details'!E:E, "No Data")</f>
        <v>26/08/97</v>
      </c>
      <c r="N555" s="28">
        <f t="array" ref="N555">_xlfn.XLOOKUP($A555, 'Hospitalisation Details'!$A:$A, 'Hospitalisation Details'!K:K, "No Data")</f>
        <v>25</v>
      </c>
      <c r="O555" s="33">
        <f t="array" ref="O555">_xlfn.XLOOKUP($A555, 'Hospitalisation Details'!$A:$A, 'Hospitalisation Details'!G:G, "No Data")</f>
        <v>17878.9</v>
      </c>
      <c r="P555" s="28" t="str">
        <f t="array" ref="P555">_xlfn.XLOOKUP($A555, 'Hospitalisation Details'!$A:$A, 'Hospitalisation Details'!H:H, "No Data")</f>
        <v>tier - 1</v>
      </c>
    </row>
    <row r="556">
      <c r="A556" s="25" t="s">
        <v>1771</v>
      </c>
      <c r="B556" s="28" t="str">
        <f t="array" ref="B556">_xlfn.XLOOKUP($A556, 'Customer Names'!$A:$A, 'Customer Names'!B:B, "No Data")</f>
        <v>Asher</v>
      </c>
      <c r="C556" s="28">
        <f t="array" ref="C556">_xlfn.XLOOKUP($A556, 'Medical Examinations'!$A:$A, 'Medical Examinations'!B:B, "No Data")</f>
        <v>51.65</v>
      </c>
      <c r="D556" s="28">
        <f t="array" ref="D556">_xlfn.XLOOKUP($A556, 'Medical Examinations'!$A:$A, 'Medical Examinations'!C:C, "No Data")</f>
        <v>5.3</v>
      </c>
      <c r="E556" s="28" t="str">
        <f t="array" ref="E556">_xlfn.XLOOKUP($A556, 'Medical Examinations'!$A:$A, 'Medical Examinations'!D:D, "No Data")</f>
        <v>yes</v>
      </c>
      <c r="F556" s="28" t="str">
        <f t="array" ref="F556">_xlfn.XLOOKUP($A556, 'Medical Examinations'!$A:$A, 'Medical Examinations'!E:E, "No Data")</f>
        <v>No</v>
      </c>
      <c r="G556" s="28" t="str">
        <f t="array" ref="G556">_xlfn.XLOOKUP($A556, 'Medical Examinations'!$A:$A, 'Medical Examinations'!F:F, "No Data")</f>
        <v>No</v>
      </c>
      <c r="H556" s="28">
        <f t="array" ref="H556">_xlfn.XLOOKUP($A556, 'Medical Examinations'!$A:$A, 'Medical Examinations'!G:G, "No Data")</f>
        <v>0</v>
      </c>
      <c r="I556" s="28" t="str">
        <f t="array" ref="I556">_xlfn.XLOOKUP($A556, 'Medical Examinations'!$A:$A, 'Medical Examinations'!H:H, "No Data")</f>
        <v>No</v>
      </c>
      <c r="J556" s="28" t="str">
        <f t="array" ref="J556">_xlfn.XLOOKUP($A556, 'Medical Examinations'!$A:$A, 'Medical Examinations'!I:I, "No Data")</f>
        <v>Obesity</v>
      </c>
      <c r="K556" s="28" t="str">
        <f t="array" ref="K556">_xlfn.XLOOKUP($A556, 'Hospitalisation Details'!$A:$A, 'Hospitalisation Details'!I:I, "No Data")</f>
        <v>tier - 2</v>
      </c>
      <c r="L556" s="28" t="str">
        <f t="array" ref="L556">_xlfn.XLOOKUP($A556, 'Hospitalisation Details'!$A:$A, 'Hospitalisation Details'!J:J, "No Data")</f>
        <v>R1012</v>
      </c>
      <c r="M556" s="28" t="str">
        <f t="array" ref="M556">_xlfn.XLOOKUP($A556, 'Hospitalisation Details'!$A:$A, 'Hospitalisation Details'!E:E, "No Data")</f>
        <v>12/12/76</v>
      </c>
      <c r="N556" s="28">
        <f t="array" ref="N556">_xlfn.XLOOKUP($A556, 'Hospitalisation Details'!$A:$A, 'Hospitalisation Details'!K:K, "No Data")</f>
        <v>46</v>
      </c>
      <c r="O556" s="33">
        <f t="array" ref="O556">_xlfn.XLOOKUP($A556, 'Hospitalisation Details'!$A:$A, 'Hospitalisation Details'!G:G, "No Data")</f>
        <v>17862.92</v>
      </c>
      <c r="P556" s="28" t="str">
        <f t="array" ref="P556">_xlfn.XLOOKUP($A556, 'Hospitalisation Details'!$A:$A, 'Hospitalisation Details'!H:H, "No Data")</f>
        <v>tier - 1</v>
      </c>
    </row>
    <row r="557">
      <c r="A557" s="25" t="s">
        <v>1774</v>
      </c>
      <c r="B557" s="28" t="str">
        <f t="array" ref="B557">_xlfn.XLOOKUP($A557, 'Customer Names'!$A:$A, 'Customer Names'!B:B, "No Data")</f>
        <v>Mazzotta</v>
      </c>
      <c r="C557" s="28">
        <f t="array" ref="C557">_xlfn.XLOOKUP($A557, 'Medical Examinations'!$A:$A, 'Medical Examinations'!B:B, "No Data")</f>
        <v>44.52</v>
      </c>
      <c r="D557" s="28">
        <f t="array" ref="D557">_xlfn.XLOOKUP($A557, 'Medical Examinations'!$A:$A, 'Medical Examinations'!C:C, "No Data")</f>
        <v>8.64</v>
      </c>
      <c r="E557" s="28" t="str">
        <f t="array" ref="E557">_xlfn.XLOOKUP($A557, 'Medical Examinations'!$A:$A, 'Medical Examinations'!D:D, "No Data")</f>
        <v>yes</v>
      </c>
      <c r="F557" s="28" t="str">
        <f t="array" ref="F557">_xlfn.XLOOKUP($A557, 'Medical Examinations'!$A:$A, 'Medical Examinations'!E:E, "No Data")</f>
        <v>No</v>
      </c>
      <c r="G557" s="28" t="str">
        <f t="array" ref="G557">_xlfn.XLOOKUP($A557, 'Medical Examinations'!$A:$A, 'Medical Examinations'!F:F, "No Data")</f>
        <v>Yes</v>
      </c>
      <c r="H557" s="28">
        <f t="array" ref="H557">_xlfn.XLOOKUP($A557, 'Medical Examinations'!$A:$A, 'Medical Examinations'!G:G, "No Data")</f>
        <v>1</v>
      </c>
      <c r="I557" s="28" t="str">
        <f t="array" ref="I557">_xlfn.XLOOKUP($A557, 'Medical Examinations'!$A:$A, 'Medical Examinations'!H:H, "No Data")</f>
        <v>No</v>
      </c>
      <c r="J557" s="28" t="str">
        <f t="array" ref="J557">_xlfn.XLOOKUP($A557, 'Medical Examinations'!$A:$A, 'Medical Examinations'!I:I, "No Data")</f>
        <v>Obesity</v>
      </c>
      <c r="K557" s="28" t="str">
        <f t="array" ref="K557">_xlfn.XLOOKUP($A557, 'Hospitalisation Details'!$A:$A, 'Hospitalisation Details'!I:I, "No Data")</f>
        <v>tier - 2</v>
      </c>
      <c r="L557" s="28" t="str">
        <f t="array" ref="L557">_xlfn.XLOOKUP($A557, 'Hospitalisation Details'!$A:$A, 'Hospitalisation Details'!J:J, "No Data")</f>
        <v>R1012</v>
      </c>
      <c r="M557" s="28" t="str">
        <f t="array" ref="M557">_xlfn.XLOOKUP($A557, 'Hospitalisation Details'!$A:$A, 'Hospitalisation Details'!E:E, "No Data")</f>
        <v>08/12/63</v>
      </c>
      <c r="N557" s="28">
        <f t="array" ref="N557">_xlfn.XLOOKUP($A557, 'Hospitalisation Details'!$A:$A, 'Hospitalisation Details'!K:K, "No Data")</f>
        <v>59</v>
      </c>
      <c r="O557" s="33">
        <f t="array" ref="O557">_xlfn.XLOOKUP($A557, 'Hospitalisation Details'!$A:$A, 'Hospitalisation Details'!G:G, "No Data")</f>
        <v>17832.6</v>
      </c>
      <c r="P557" s="28" t="str">
        <f t="array" ref="P557">_xlfn.XLOOKUP($A557, 'Hospitalisation Details'!$A:$A, 'Hospitalisation Details'!H:H, "No Data")</f>
        <v>tier - 1</v>
      </c>
    </row>
    <row r="558">
      <c r="A558" s="25" t="s">
        <v>1777</v>
      </c>
      <c r="B558" s="28" t="str">
        <f t="array" ref="B558">_xlfn.XLOOKUP($A558, 'Customer Names'!$A:$A, 'Customer Names'!B:B, "No Data")</f>
        <v>Huttl</v>
      </c>
      <c r="C558" s="28">
        <f t="array" ref="C558">_xlfn.XLOOKUP($A558, 'Medical Examinations'!$A:$A, 'Medical Examinations'!B:B, "No Data")</f>
        <v>53.29</v>
      </c>
      <c r="D558" s="28">
        <f t="array" ref="D558">_xlfn.XLOOKUP($A558, 'Medical Examinations'!$A:$A, 'Medical Examinations'!C:C, "No Data")</f>
        <v>4.03</v>
      </c>
      <c r="E558" s="28" t="str">
        <f t="array" ref="E558">_xlfn.XLOOKUP($A558, 'Medical Examinations'!$A:$A, 'Medical Examinations'!D:D, "No Data")</f>
        <v>No</v>
      </c>
      <c r="F558" s="28" t="str">
        <f t="array" ref="F558">_xlfn.XLOOKUP($A558, 'Medical Examinations'!$A:$A, 'Medical Examinations'!E:E, "No Data")</f>
        <v>No</v>
      </c>
      <c r="G558" s="28" t="str">
        <f t="array" ref="G558">_xlfn.XLOOKUP($A558, 'Medical Examinations'!$A:$A, 'Medical Examinations'!F:F, "No Data")</f>
        <v>Yes</v>
      </c>
      <c r="H558" s="28">
        <f t="array" ref="H558">_xlfn.XLOOKUP($A558, 'Medical Examinations'!$A:$A, 'Medical Examinations'!G:G, "No Data")</f>
        <v>1</v>
      </c>
      <c r="I558" s="28" t="str">
        <f t="array" ref="I558">_xlfn.XLOOKUP($A558, 'Medical Examinations'!$A:$A, 'Medical Examinations'!H:H, "No Data")</f>
        <v>No</v>
      </c>
      <c r="J558" s="28" t="str">
        <f t="array" ref="J558">_xlfn.XLOOKUP($A558, 'Medical Examinations'!$A:$A, 'Medical Examinations'!I:I, "No Data")</f>
        <v>Obesity</v>
      </c>
      <c r="K558" s="28" t="str">
        <f t="array" ref="K558">_xlfn.XLOOKUP($A558, 'Hospitalisation Details'!$A:$A, 'Hospitalisation Details'!I:I, "No Data")</f>
        <v>tier - 2</v>
      </c>
      <c r="L558" s="28" t="str">
        <f t="array" ref="L558">_xlfn.XLOOKUP($A558, 'Hospitalisation Details'!$A:$A, 'Hospitalisation Details'!J:J, "No Data")</f>
        <v>R1012</v>
      </c>
      <c r="M558" s="28" t="str">
        <f t="array" ref="M558">_xlfn.XLOOKUP($A558, 'Hospitalisation Details'!$A:$A, 'Hospitalisation Details'!E:E, "No Data")</f>
        <v>10/10/79</v>
      </c>
      <c r="N558" s="28">
        <f t="array" ref="N558">_xlfn.XLOOKUP($A558, 'Hospitalisation Details'!$A:$A, 'Hospitalisation Details'!K:K, "No Data")</f>
        <v>43</v>
      </c>
      <c r="O558" s="33">
        <f t="array" ref="O558">_xlfn.XLOOKUP($A558, 'Hospitalisation Details'!$A:$A, 'Hospitalisation Details'!G:G, "No Data")</f>
        <v>17779.94</v>
      </c>
      <c r="P558" s="28" t="str">
        <f t="array" ref="P558">_xlfn.XLOOKUP($A558, 'Hospitalisation Details'!$A:$A, 'Hospitalisation Details'!H:H, "No Data")</f>
        <v>tier - 1</v>
      </c>
    </row>
    <row r="559">
      <c r="A559" s="25" t="s">
        <v>1780</v>
      </c>
      <c r="B559" s="28" t="str">
        <f t="array" ref="B559">_xlfn.XLOOKUP($A559, 'Customer Names'!$A:$A, 'Customer Names'!B:B, "No Data")</f>
        <v>Ferron</v>
      </c>
      <c r="C559" s="28">
        <f t="array" ref="C559">_xlfn.XLOOKUP($A559, 'Medical Examinations'!$A:$A, 'Medical Examinations'!B:B, "No Data")</f>
        <v>46.63</v>
      </c>
      <c r="D559" s="28">
        <f t="array" ref="D559">_xlfn.XLOOKUP($A559, 'Medical Examinations'!$A:$A, 'Medical Examinations'!C:C, "No Data")</f>
        <v>4.26</v>
      </c>
      <c r="E559" s="28" t="str">
        <f t="array" ref="E559">_xlfn.XLOOKUP($A559, 'Medical Examinations'!$A:$A, 'Medical Examinations'!D:D, "No Data")</f>
        <v>yes</v>
      </c>
      <c r="F559" s="28" t="str">
        <f t="array" ref="F559">_xlfn.XLOOKUP($A559, 'Medical Examinations'!$A:$A, 'Medical Examinations'!E:E, "No Data")</f>
        <v>No</v>
      </c>
      <c r="G559" s="28" t="str">
        <f t="array" ref="G559">_xlfn.XLOOKUP($A559, 'Medical Examinations'!$A:$A, 'Medical Examinations'!F:F, "No Data")</f>
        <v>No</v>
      </c>
      <c r="H559" s="28">
        <f t="array" ref="H559">_xlfn.XLOOKUP($A559, 'Medical Examinations'!$A:$A, 'Medical Examinations'!G:G, "No Data")</f>
        <v>2</v>
      </c>
      <c r="I559" s="28" t="str">
        <f t="array" ref="I559">_xlfn.XLOOKUP($A559, 'Medical Examinations'!$A:$A, 'Medical Examinations'!H:H, "No Data")</f>
        <v>No</v>
      </c>
      <c r="J559" s="28" t="str">
        <f t="array" ref="J559">_xlfn.XLOOKUP($A559, 'Medical Examinations'!$A:$A, 'Medical Examinations'!I:I, "No Data")</f>
        <v>Obesity</v>
      </c>
      <c r="K559" s="28" t="str">
        <f t="array" ref="K559">_xlfn.XLOOKUP($A559, 'Hospitalisation Details'!$A:$A, 'Hospitalisation Details'!I:I, "No Data")</f>
        <v>tier - 3</v>
      </c>
      <c r="L559" s="28" t="str">
        <f t="array" ref="L559">_xlfn.XLOOKUP($A559, 'Hospitalisation Details'!$A:$A, 'Hospitalisation Details'!J:J, "No Data")</f>
        <v>R1012</v>
      </c>
      <c r="M559" s="28" t="str">
        <f t="array" ref="M559">_xlfn.XLOOKUP($A559, 'Hospitalisation Details'!$A:$A, 'Hospitalisation Details'!E:E, "No Data")</f>
        <v>21/06/66</v>
      </c>
      <c r="N559" s="28">
        <f t="array" ref="N559">_xlfn.XLOOKUP($A559, 'Hospitalisation Details'!$A:$A, 'Hospitalisation Details'!K:K, "No Data")</f>
        <v>56</v>
      </c>
      <c r="O559" s="33">
        <f t="array" ref="O559">_xlfn.XLOOKUP($A559, 'Hospitalisation Details'!$A:$A, 'Hospitalisation Details'!G:G, "No Data")</f>
        <v>17777.73</v>
      </c>
      <c r="P559" s="28" t="str">
        <f t="array" ref="P559">_xlfn.XLOOKUP($A559, 'Hospitalisation Details'!$A:$A, 'Hospitalisation Details'!H:H, "No Data")</f>
        <v>tier - 1</v>
      </c>
    </row>
    <row r="560">
      <c r="A560" s="25" t="s">
        <v>1783</v>
      </c>
      <c r="B560" s="28" t="str">
        <f t="array" ref="B560">_xlfn.XLOOKUP($A560, 'Customer Names'!$A:$A, 'Customer Names'!B:B, "No Data")</f>
        <v>Colarusso</v>
      </c>
      <c r="C560" s="28">
        <f t="array" ref="C560">_xlfn.XLOOKUP($A560, 'Medical Examinations'!$A:$A, 'Medical Examinations'!B:B, "No Data")</f>
        <v>28.88</v>
      </c>
      <c r="D560" s="28">
        <f t="array" ref="D560">_xlfn.XLOOKUP($A560, 'Medical Examinations'!$A:$A, 'Medical Examinations'!C:C, "No Data")</f>
        <v>5.35</v>
      </c>
      <c r="E560" s="28" t="str">
        <f t="array" ref="E560">_xlfn.XLOOKUP($A560, 'Medical Examinations'!$A:$A, 'Medical Examinations'!D:D, "No Data")</f>
        <v>No</v>
      </c>
      <c r="F560" s="28" t="str">
        <f t="array" ref="F560">_xlfn.XLOOKUP($A560, 'Medical Examinations'!$A:$A, 'Medical Examinations'!E:E, "No Data")</f>
        <v>No</v>
      </c>
      <c r="G560" s="28" t="str">
        <f t="array" ref="G560">_xlfn.XLOOKUP($A560, 'Medical Examinations'!$A:$A, 'Medical Examinations'!F:F, "No Data")</f>
        <v>Yes</v>
      </c>
      <c r="H560" s="28">
        <f t="array" ref="H560">_xlfn.XLOOKUP($A560, 'Medical Examinations'!$A:$A, 'Medical Examinations'!G:G, "No Data")</f>
        <v>1</v>
      </c>
      <c r="I560" s="28" t="str">
        <f t="array" ref="I560">_xlfn.XLOOKUP($A560, 'Medical Examinations'!$A:$A, 'Medical Examinations'!H:H, "No Data")</f>
        <v>yes</v>
      </c>
      <c r="J560" s="28" t="str">
        <f t="array" ref="J560">_xlfn.XLOOKUP($A560, 'Medical Examinations'!$A:$A, 'Medical Examinations'!I:I, "No Data")</f>
        <v>Overweight</v>
      </c>
      <c r="K560" s="28" t="str">
        <f t="array" ref="K560">_xlfn.XLOOKUP($A560, 'Hospitalisation Details'!$A:$A, 'Hospitalisation Details'!I:I, "No Data")</f>
        <v>tier - 1</v>
      </c>
      <c r="L560" s="28" t="str">
        <f t="array" ref="L560">_xlfn.XLOOKUP($A560, 'Hospitalisation Details'!$A:$A, 'Hospitalisation Details'!J:J, "No Data")</f>
        <v>R1012</v>
      </c>
      <c r="M560" s="28" t="str">
        <f t="array" ref="M560">_xlfn.XLOOKUP($A560, 'Hospitalisation Details'!$A:$A, 'Hospitalisation Details'!E:E, "No Data")</f>
        <v>14/07/03</v>
      </c>
      <c r="N560" s="28">
        <f t="array" ref="N560">_xlfn.XLOOKUP($A560, 'Hospitalisation Details'!$A:$A, 'Hospitalisation Details'!K:K, "No Data")</f>
        <v>19</v>
      </c>
      <c r="O560" s="33">
        <f t="array" ref="O560">_xlfn.XLOOKUP($A560, 'Hospitalisation Details'!$A:$A, 'Hospitalisation Details'!G:G, "No Data")</f>
        <v>17748.51</v>
      </c>
      <c r="P560" s="28" t="str">
        <f t="array" ref="P560">_xlfn.XLOOKUP($A560, 'Hospitalisation Details'!$A:$A, 'Hospitalisation Details'!H:H, "No Data")</f>
        <v>tier - 1</v>
      </c>
    </row>
    <row r="561">
      <c r="A561" s="25" t="s">
        <v>1786</v>
      </c>
      <c r="B561" s="28" t="str">
        <f t="array" ref="B561">_xlfn.XLOOKUP($A561, 'Customer Names'!$A:$A, 'Customer Names'!B:B, "No Data")</f>
        <v>Pearlman</v>
      </c>
      <c r="C561" s="28">
        <f t="array" ref="C561">_xlfn.XLOOKUP($A561, 'Medical Examinations'!$A:$A, 'Medical Examinations'!B:B, "No Data")</f>
        <v>23.98</v>
      </c>
      <c r="D561" s="28">
        <f t="array" ref="D561">_xlfn.XLOOKUP($A561, 'Medical Examinations'!$A:$A, 'Medical Examinations'!C:C, "No Data")</f>
        <v>4.9</v>
      </c>
      <c r="E561" s="28" t="str">
        <f t="array" ref="E561">_xlfn.XLOOKUP($A561, 'Medical Examinations'!$A:$A, 'Medical Examinations'!D:D, "No Data")</f>
        <v>No</v>
      </c>
      <c r="F561" s="28" t="str">
        <f t="array" ref="F561">_xlfn.XLOOKUP($A561, 'Medical Examinations'!$A:$A, 'Medical Examinations'!E:E, "No Data")</f>
        <v>No</v>
      </c>
      <c r="G561" s="28" t="str">
        <f t="array" ref="G561">_xlfn.XLOOKUP($A561, 'Medical Examinations'!$A:$A, 'Medical Examinations'!F:F, "No Data")</f>
        <v>No</v>
      </c>
      <c r="H561" s="28">
        <f t="array" ref="H561">_xlfn.XLOOKUP($A561, 'Medical Examinations'!$A:$A, 'Medical Examinations'!G:G, "No Data")</f>
        <v>0</v>
      </c>
      <c r="I561" s="28" t="str">
        <f t="array" ref="I561">_xlfn.XLOOKUP($A561, 'Medical Examinations'!$A:$A, 'Medical Examinations'!H:H, "No Data")</f>
        <v>?</v>
      </c>
      <c r="J561" s="28" t="str">
        <f t="array" ref="J561">_xlfn.XLOOKUP($A561, 'Medical Examinations'!$A:$A, 'Medical Examinations'!I:I, "No Data")</f>
        <v>Normal Weight</v>
      </c>
      <c r="K561" s="28" t="str">
        <f t="array" ref="K561">_xlfn.XLOOKUP($A561, 'Hospitalisation Details'!$A:$A, 'Hospitalisation Details'!I:I, "No Data")</f>
        <v>tier - 3</v>
      </c>
      <c r="L561" s="28" t="str">
        <f t="array" ref="L561">_xlfn.XLOOKUP($A561, 'Hospitalisation Details'!$A:$A, 'Hospitalisation Details'!J:J, "No Data")</f>
        <v>R1013</v>
      </c>
      <c r="M561" s="28" t="str">
        <f t="array" ref="M561">_xlfn.XLOOKUP($A561, 'Hospitalisation Details'!$A:$A, 'Hospitalisation Details'!E:E, "No Data")</f>
        <v>01/07/94</v>
      </c>
      <c r="N561" s="28">
        <f t="array" ref="N561">_xlfn.XLOOKUP($A561, 'Hospitalisation Details'!$A:$A, 'Hospitalisation Details'!K:K, "No Data")</f>
        <v>28</v>
      </c>
      <c r="O561" s="33">
        <f t="array" ref="O561">_xlfn.XLOOKUP($A561, 'Hospitalisation Details'!$A:$A, 'Hospitalisation Details'!G:G, "No Data")</f>
        <v>17663.14</v>
      </c>
      <c r="P561" s="28" t="str">
        <f t="array" ref="P561">_xlfn.XLOOKUP($A561, 'Hospitalisation Details'!$A:$A, 'Hospitalisation Details'!H:H, "No Data")</f>
        <v>tier - 1</v>
      </c>
    </row>
    <row r="562">
      <c r="A562" s="25" t="s">
        <v>1789</v>
      </c>
      <c r="B562" s="28" t="str">
        <f t="array" ref="B562">_xlfn.XLOOKUP($A562, 'Customer Names'!$A:$A, 'Customer Names'!B:B, "No Data")</f>
        <v>O'Mara</v>
      </c>
      <c r="C562" s="28">
        <f t="array" ref="C562">_xlfn.XLOOKUP($A562, 'Medical Examinations'!$A:$A, 'Medical Examinations'!B:B, "No Data")</f>
        <v>23.65</v>
      </c>
      <c r="D562" s="28">
        <f t="array" ref="D562">_xlfn.XLOOKUP($A562, 'Medical Examinations'!$A:$A, 'Medical Examinations'!C:C, "No Data")</f>
        <v>4.5</v>
      </c>
      <c r="E562" s="28" t="str">
        <f t="array" ref="E562">_xlfn.XLOOKUP($A562, 'Medical Examinations'!$A:$A, 'Medical Examinations'!D:D, "No Data")</f>
        <v>No</v>
      </c>
      <c r="F562" s="28" t="str">
        <f t="array" ref="F562">_xlfn.XLOOKUP($A562, 'Medical Examinations'!$A:$A, 'Medical Examinations'!E:E, "No Data")</f>
        <v>No</v>
      </c>
      <c r="G562" s="28" t="str">
        <f t="array" ref="G562">_xlfn.XLOOKUP($A562, 'Medical Examinations'!$A:$A, 'Medical Examinations'!F:F, "No Data")</f>
        <v>No</v>
      </c>
      <c r="H562" s="28">
        <f t="array" ref="H562">_xlfn.XLOOKUP($A562, 'Medical Examinations'!$A:$A, 'Medical Examinations'!G:G, "No Data")</f>
        <v>0</v>
      </c>
      <c r="I562" s="28" t="str">
        <f t="array" ref="I562">_xlfn.XLOOKUP($A562, 'Medical Examinations'!$A:$A, 'Medical Examinations'!H:H, "No Data")</f>
        <v>No</v>
      </c>
      <c r="J562" s="28" t="str">
        <f t="array" ref="J562">_xlfn.XLOOKUP($A562, 'Medical Examinations'!$A:$A, 'Medical Examinations'!I:I, "No Data")</f>
        <v>Normal Weight</v>
      </c>
      <c r="K562" s="28" t="str">
        <f t="array" ref="K562">_xlfn.XLOOKUP($A562, 'Hospitalisation Details'!$A:$A, 'Hospitalisation Details'!I:I, "No Data")</f>
        <v>tier - 3</v>
      </c>
      <c r="L562" s="28" t="str">
        <f t="array" ref="L562">_xlfn.XLOOKUP($A562, 'Hospitalisation Details'!$A:$A, 'Hospitalisation Details'!J:J, "No Data")</f>
        <v>R1013</v>
      </c>
      <c r="M562" s="28" t="str">
        <f t="array" ref="M562">_xlfn.XLOOKUP($A562, 'Hospitalisation Details'!$A:$A, 'Hospitalisation Details'!E:E, "No Data")</f>
        <v>25/10/90</v>
      </c>
      <c r="N562" s="28">
        <f t="array" ref="N562">_xlfn.XLOOKUP($A562, 'Hospitalisation Details'!$A:$A, 'Hospitalisation Details'!K:K, "No Data")</f>
        <v>32</v>
      </c>
      <c r="O562" s="33">
        <f t="array" ref="O562">_xlfn.XLOOKUP($A562, 'Hospitalisation Details'!$A:$A, 'Hospitalisation Details'!G:G, "No Data")</f>
        <v>17626.24</v>
      </c>
      <c r="P562" s="28" t="str">
        <f t="array" ref="P562">_xlfn.XLOOKUP($A562, 'Hospitalisation Details'!$A:$A, 'Hospitalisation Details'!H:H, "No Data")</f>
        <v>tier - 1</v>
      </c>
    </row>
    <row r="563">
      <c r="A563" s="25" t="s">
        <v>1792</v>
      </c>
      <c r="B563" s="28" t="str">
        <f t="array" ref="B563">_xlfn.XLOOKUP($A563, 'Customer Names'!$A:$A, 'Customer Names'!B:B, "No Data")</f>
        <v>Niska</v>
      </c>
      <c r="C563" s="28">
        <f t="array" ref="C563">_xlfn.XLOOKUP($A563, 'Medical Examinations'!$A:$A, 'Medical Examinations'!B:B, "No Data")</f>
        <v>49.09</v>
      </c>
      <c r="D563" s="28">
        <f t="array" ref="D563">_xlfn.XLOOKUP($A563, 'Medical Examinations'!$A:$A, 'Medical Examinations'!C:C, "No Data")</f>
        <v>8.38</v>
      </c>
      <c r="E563" s="28" t="str">
        <f t="array" ref="E563">_xlfn.XLOOKUP($A563, 'Medical Examinations'!$A:$A, 'Medical Examinations'!D:D, "No Data")</f>
        <v>yes</v>
      </c>
      <c r="F563" s="28" t="str">
        <f t="array" ref="F563">_xlfn.XLOOKUP($A563, 'Medical Examinations'!$A:$A, 'Medical Examinations'!E:E, "No Data")</f>
        <v>No</v>
      </c>
      <c r="G563" s="28" t="str">
        <f t="array" ref="G563">_xlfn.XLOOKUP($A563, 'Medical Examinations'!$A:$A, 'Medical Examinations'!F:F, "No Data")</f>
        <v>No</v>
      </c>
      <c r="H563" s="28">
        <f t="array" ref="H563">_xlfn.XLOOKUP($A563, 'Medical Examinations'!$A:$A, 'Medical Examinations'!G:G, "No Data")</f>
        <v>2</v>
      </c>
      <c r="I563" s="28" t="str">
        <f t="array" ref="I563">_xlfn.XLOOKUP($A563, 'Medical Examinations'!$A:$A, 'Medical Examinations'!H:H, "No Data")</f>
        <v>No</v>
      </c>
      <c r="J563" s="28" t="str">
        <f t="array" ref="J563">_xlfn.XLOOKUP($A563, 'Medical Examinations'!$A:$A, 'Medical Examinations'!I:I, "No Data")</f>
        <v>Obesity</v>
      </c>
      <c r="K563" s="28" t="str">
        <f t="array" ref="K563">_xlfn.XLOOKUP($A563, 'Hospitalisation Details'!$A:$A, 'Hospitalisation Details'!I:I, "No Data")</f>
        <v>tier - 3</v>
      </c>
      <c r="L563" s="28" t="str">
        <f t="array" ref="L563">_xlfn.XLOOKUP($A563, 'Hospitalisation Details'!$A:$A, 'Hospitalisation Details'!J:J, "No Data")</f>
        <v>R1012</v>
      </c>
      <c r="M563" s="28" t="str">
        <f t="array" ref="M563">_xlfn.XLOOKUP($A563, 'Hospitalisation Details'!$A:$A, 'Hospitalisation Details'!E:E, "No Data")</f>
        <v>26/07/70</v>
      </c>
      <c r="N563" s="28">
        <f t="array" ref="N563">_xlfn.XLOOKUP($A563, 'Hospitalisation Details'!$A:$A, 'Hospitalisation Details'!K:K, "No Data")</f>
        <v>52</v>
      </c>
      <c r="O563" s="33">
        <f t="array" ref="O563">_xlfn.XLOOKUP($A563, 'Hospitalisation Details'!$A:$A, 'Hospitalisation Details'!G:G, "No Data")</f>
        <v>17584.72</v>
      </c>
      <c r="P563" s="28" t="str">
        <f t="array" ref="P563">_xlfn.XLOOKUP($A563, 'Hospitalisation Details'!$A:$A, 'Hospitalisation Details'!H:H, "No Data")</f>
        <v>tier - 1</v>
      </c>
    </row>
    <row r="564">
      <c r="A564" s="25" t="s">
        <v>1796</v>
      </c>
      <c r="B564" s="28" t="str">
        <f t="array" ref="B564">_xlfn.XLOOKUP($A564, 'Customer Names'!$A:$A, 'Customer Names'!B:B, "No Data")</f>
        <v>Schlich</v>
      </c>
      <c r="C564" s="28">
        <f t="array" ref="C564">_xlfn.XLOOKUP($A564, 'Medical Examinations'!$A:$A, 'Medical Examinations'!B:B, "No Data")</f>
        <v>28.025</v>
      </c>
      <c r="D564" s="28">
        <f t="array" ref="D564">_xlfn.XLOOKUP($A564, 'Medical Examinations'!$A:$A, 'Medical Examinations'!C:C, "No Data")</f>
        <v>7.03</v>
      </c>
      <c r="E564" s="28" t="str">
        <f t="array" ref="E564">_xlfn.XLOOKUP($A564, 'Medical Examinations'!$A:$A, 'Medical Examinations'!D:D, "No Data")</f>
        <v>No</v>
      </c>
      <c r="F564" s="28" t="str">
        <f t="array" ref="F564">_xlfn.XLOOKUP($A564, 'Medical Examinations'!$A:$A, 'Medical Examinations'!E:E, "No Data")</f>
        <v>No</v>
      </c>
      <c r="G564" s="28" t="str">
        <f t="array" ref="G564">_xlfn.XLOOKUP($A564, 'Medical Examinations'!$A:$A, 'Medical Examinations'!F:F, "No Data")</f>
        <v>No</v>
      </c>
      <c r="H564" s="28">
        <f t="array" ref="H564">_xlfn.XLOOKUP($A564, 'Medical Examinations'!$A:$A, 'Medical Examinations'!G:G, "No Data")</f>
        <v>0</v>
      </c>
      <c r="I564" s="28" t="str">
        <f t="array" ref="I564">_xlfn.XLOOKUP($A564, 'Medical Examinations'!$A:$A, 'Medical Examinations'!H:H, "No Data")</f>
        <v>yes</v>
      </c>
      <c r="J564" s="28" t="str">
        <f t="array" ref="J564">_xlfn.XLOOKUP($A564, 'Medical Examinations'!$A:$A, 'Medical Examinations'!I:I, "No Data")</f>
        <v>Overweight</v>
      </c>
      <c r="K564" s="28" t="str">
        <f t="array" ref="K564">_xlfn.XLOOKUP($A564, 'Hospitalisation Details'!$A:$A, 'Hospitalisation Details'!I:I, "No Data")</f>
        <v>tier - 1</v>
      </c>
      <c r="L564" s="28" t="str">
        <f t="array" ref="L564">_xlfn.XLOOKUP($A564, 'Hospitalisation Details'!$A:$A, 'Hospitalisation Details'!J:J, "No Data")</f>
        <v>R1012</v>
      </c>
      <c r="M564" s="28" t="str">
        <f t="array" ref="M564">_xlfn.XLOOKUP($A564, 'Hospitalisation Details'!$A:$A, 'Hospitalisation Details'!E:E, "No Data")</f>
        <v>25/08/02</v>
      </c>
      <c r="N564" s="28">
        <f t="array" ref="N564">_xlfn.XLOOKUP($A564, 'Hospitalisation Details'!$A:$A, 'Hospitalisation Details'!K:K, "No Data")</f>
        <v>20</v>
      </c>
      <c r="O564" s="33">
        <f t="array" ref="O564">_xlfn.XLOOKUP($A564, 'Hospitalisation Details'!$A:$A, 'Hospitalisation Details'!G:G, "No Data")</f>
        <v>17560.38</v>
      </c>
      <c r="P564" s="28" t="str">
        <f t="array" ref="P564">_xlfn.XLOOKUP($A564, 'Hospitalisation Details'!$A:$A, 'Hospitalisation Details'!H:H, "No Data")</f>
        <v>tier - 1</v>
      </c>
    </row>
    <row r="565">
      <c r="A565" s="25" t="s">
        <v>1799</v>
      </c>
      <c r="B565" s="28" t="str">
        <f t="array" ref="B565">_xlfn.XLOOKUP($A565, 'Customer Names'!$A:$A, 'Customer Names'!B:B, "No Data")</f>
        <v>Zidek</v>
      </c>
      <c r="C565" s="28">
        <f t="array" ref="C565">_xlfn.XLOOKUP($A565, 'Medical Examinations'!$A:$A, 'Medical Examinations'!B:B, "No Data")</f>
        <v>43.32</v>
      </c>
      <c r="D565" s="28">
        <f t="array" ref="D565">_xlfn.XLOOKUP($A565, 'Medical Examinations'!$A:$A, 'Medical Examinations'!C:C, "No Data")</f>
        <v>8.75</v>
      </c>
      <c r="E565" s="28" t="str">
        <f t="array" ref="E565">_xlfn.XLOOKUP($A565, 'Medical Examinations'!$A:$A, 'Medical Examinations'!D:D, "No Data")</f>
        <v>yes</v>
      </c>
      <c r="F565" s="28" t="str">
        <f t="array" ref="F565">_xlfn.XLOOKUP($A565, 'Medical Examinations'!$A:$A, 'Medical Examinations'!E:E, "No Data")</f>
        <v>No</v>
      </c>
      <c r="G565" s="28" t="str">
        <f t="array" ref="G565">_xlfn.XLOOKUP($A565, 'Medical Examinations'!$A:$A, 'Medical Examinations'!F:F, "No Data")</f>
        <v>Yes</v>
      </c>
      <c r="H565" s="28">
        <f t="array" ref="H565">_xlfn.XLOOKUP($A565, 'Medical Examinations'!$A:$A, 'Medical Examinations'!G:G, "No Data")</f>
        <v>1</v>
      </c>
      <c r="I565" s="28" t="str">
        <f t="array" ref="I565">_xlfn.XLOOKUP($A565, 'Medical Examinations'!$A:$A, 'Medical Examinations'!H:H, "No Data")</f>
        <v>No</v>
      </c>
      <c r="J565" s="28" t="str">
        <f t="array" ref="J565">_xlfn.XLOOKUP($A565, 'Medical Examinations'!$A:$A, 'Medical Examinations'!I:I, "No Data")</f>
        <v>Obesity</v>
      </c>
      <c r="K565" s="28" t="str">
        <f t="array" ref="K565">_xlfn.XLOOKUP($A565, 'Hospitalisation Details'!$A:$A, 'Hospitalisation Details'!I:I, "No Data")</f>
        <v>tier - 2</v>
      </c>
      <c r="L565" s="28" t="str">
        <f t="array" ref="L565">_xlfn.XLOOKUP($A565, 'Hospitalisation Details'!$A:$A, 'Hospitalisation Details'!J:J, "No Data")</f>
        <v>R1012</v>
      </c>
      <c r="M565" s="28" t="str">
        <f t="array" ref="M565">_xlfn.XLOOKUP($A565, 'Hospitalisation Details'!$A:$A, 'Hospitalisation Details'!E:E, "No Data")</f>
        <v>16/11/63</v>
      </c>
      <c r="N565" s="28">
        <f t="array" ref="N565">_xlfn.XLOOKUP($A565, 'Hospitalisation Details'!$A:$A, 'Hospitalisation Details'!K:K, "No Data")</f>
        <v>59</v>
      </c>
      <c r="O565" s="33">
        <f t="array" ref="O565">_xlfn.XLOOKUP($A565, 'Hospitalisation Details'!$A:$A, 'Hospitalisation Details'!G:G, "No Data")</f>
        <v>17556.88</v>
      </c>
      <c r="P565" s="28" t="str">
        <f t="array" ref="P565">_xlfn.XLOOKUP($A565, 'Hospitalisation Details'!$A:$A, 'Hospitalisation Details'!H:H, "No Data")</f>
        <v>tier - 1</v>
      </c>
    </row>
    <row r="566">
      <c r="A566" s="25" t="s">
        <v>1802</v>
      </c>
      <c r="B566" s="28" t="str">
        <f t="array" ref="B566">_xlfn.XLOOKUP($A566, 'Customer Names'!$A:$A, 'Customer Names'!B:B, "No Data")</f>
        <v>Ellgass</v>
      </c>
      <c r="C566" s="28">
        <f t="array" ref="C566">_xlfn.XLOOKUP($A566, 'Medical Examinations'!$A:$A, 'Medical Examinations'!B:B, "No Data")</f>
        <v>45.92</v>
      </c>
      <c r="D566" s="28">
        <f t="array" ref="D566">_xlfn.XLOOKUP($A566, 'Medical Examinations'!$A:$A, 'Medical Examinations'!C:C, "No Data")</f>
        <v>9.51</v>
      </c>
      <c r="E566" s="28" t="str">
        <f t="array" ref="E566">_xlfn.XLOOKUP($A566, 'Medical Examinations'!$A:$A, 'Medical Examinations'!D:D, "No Data")</f>
        <v>No</v>
      </c>
      <c r="F566" s="28" t="str">
        <f t="array" ref="F566">_xlfn.XLOOKUP($A566, 'Medical Examinations'!$A:$A, 'Medical Examinations'!E:E, "No Data")</f>
        <v>No</v>
      </c>
      <c r="G566" s="28" t="str">
        <f t="array" ref="G566">_xlfn.XLOOKUP($A566, 'Medical Examinations'!$A:$A, 'Medical Examinations'!F:F, "No Data")</f>
        <v>No</v>
      </c>
      <c r="H566" s="28">
        <f t="array" ref="H566">_xlfn.XLOOKUP($A566, 'Medical Examinations'!$A:$A, 'Medical Examinations'!G:G, "No Data")</f>
        <v>0</v>
      </c>
      <c r="I566" s="28" t="str">
        <f t="array" ref="I566">_xlfn.XLOOKUP($A566, 'Medical Examinations'!$A:$A, 'Medical Examinations'!H:H, "No Data")</f>
        <v>No</v>
      </c>
      <c r="J566" s="28" t="str">
        <f t="array" ref="J566">_xlfn.XLOOKUP($A566, 'Medical Examinations'!$A:$A, 'Medical Examinations'!I:I, "No Data")</f>
        <v>Obesity</v>
      </c>
      <c r="K566" s="28" t="str">
        <f t="array" ref="K566">_xlfn.XLOOKUP($A566, 'Hospitalisation Details'!$A:$A, 'Hospitalisation Details'!I:I, "No Data")</f>
        <v>tier - 1</v>
      </c>
      <c r="L566" s="28" t="str">
        <f t="array" ref="L566">_xlfn.XLOOKUP($A566, 'Hospitalisation Details'!$A:$A, 'Hospitalisation Details'!J:J, "No Data")</f>
        <v>R1026</v>
      </c>
      <c r="M566" s="28" t="str">
        <f t="array" ref="M566">_xlfn.XLOOKUP($A566, 'Hospitalisation Details'!$A:$A, 'Hospitalisation Details'!E:E, "No Data")</f>
        <v>12/07/68</v>
      </c>
      <c r="N566" s="28">
        <f t="array" ref="N566">_xlfn.XLOOKUP($A566, 'Hospitalisation Details'!$A:$A, 'Hospitalisation Details'!K:K, "No Data")</f>
        <v>54</v>
      </c>
      <c r="O566" s="33">
        <f t="array" ref="O566">_xlfn.XLOOKUP($A566, 'Hospitalisation Details'!$A:$A, 'Hospitalisation Details'!G:G, "No Data")</f>
        <v>17507.47</v>
      </c>
      <c r="P566" s="28" t="str">
        <f t="array" ref="P566">_xlfn.XLOOKUP($A566, 'Hospitalisation Details'!$A:$A, 'Hospitalisation Details'!H:H, "No Data")</f>
        <v>tier - 1</v>
      </c>
    </row>
    <row r="567">
      <c r="A567" s="25" t="s">
        <v>1805</v>
      </c>
      <c r="B567" s="28" t="str">
        <f t="array" ref="B567">_xlfn.XLOOKUP($A567, 'Customer Names'!$A:$A, 'Customer Names'!B:B, "No Data")</f>
        <v>Lowe</v>
      </c>
      <c r="C567" s="28">
        <f t="array" ref="C567">_xlfn.XLOOKUP($A567, 'Medical Examinations'!$A:$A, 'Medical Examinations'!B:B, "No Data")</f>
        <v>44.03</v>
      </c>
      <c r="D567" s="28">
        <f t="array" ref="D567">_xlfn.XLOOKUP($A567, 'Medical Examinations'!$A:$A, 'Medical Examinations'!C:C, "No Data")</f>
        <v>9.36</v>
      </c>
      <c r="E567" s="28" t="str">
        <f t="array" ref="E567">_xlfn.XLOOKUP($A567, 'Medical Examinations'!$A:$A, 'Medical Examinations'!D:D, "No Data")</f>
        <v>No</v>
      </c>
      <c r="F567" s="28" t="str">
        <f t="array" ref="F567">_xlfn.XLOOKUP($A567, 'Medical Examinations'!$A:$A, 'Medical Examinations'!E:E, "No Data")</f>
        <v>No</v>
      </c>
      <c r="G567" s="28" t="str">
        <f t="array" ref="G567">_xlfn.XLOOKUP($A567, 'Medical Examinations'!$A:$A, 'Medical Examinations'!F:F, "No Data")</f>
        <v>No</v>
      </c>
      <c r="H567" s="28">
        <f t="array" ref="H567">_xlfn.XLOOKUP($A567, 'Medical Examinations'!$A:$A, 'Medical Examinations'!G:G, "No Data")</f>
        <v>0</v>
      </c>
      <c r="I567" s="28" t="str">
        <f t="array" ref="I567">_xlfn.XLOOKUP($A567, 'Medical Examinations'!$A:$A, 'Medical Examinations'!H:H, "No Data")</f>
        <v>No</v>
      </c>
      <c r="J567" s="28" t="str">
        <f t="array" ref="J567">_xlfn.XLOOKUP($A567, 'Medical Examinations'!$A:$A, 'Medical Examinations'!I:I, "No Data")</f>
        <v>Obesity</v>
      </c>
      <c r="K567" s="28" t="str">
        <f t="array" ref="K567">_xlfn.XLOOKUP($A567, 'Hospitalisation Details'!$A:$A, 'Hospitalisation Details'!I:I, "No Data")</f>
        <v>tier - 2</v>
      </c>
      <c r="L567" s="28" t="str">
        <f t="array" ref="L567">_xlfn.XLOOKUP($A567, 'Hospitalisation Details'!$A:$A, 'Hospitalisation Details'!J:J, "No Data")</f>
        <v>R1023</v>
      </c>
      <c r="M567" s="28" t="str">
        <f t="array" ref="M567">_xlfn.XLOOKUP($A567, 'Hospitalisation Details'!$A:$A, 'Hospitalisation Details'!E:E, "No Data")</f>
        <v>16/06/65</v>
      </c>
      <c r="N567" s="28">
        <f t="array" ref="N567">_xlfn.XLOOKUP($A567, 'Hospitalisation Details'!$A:$A, 'Hospitalisation Details'!K:K, "No Data")</f>
        <v>57</v>
      </c>
      <c r="O567" s="33">
        <f t="array" ref="O567">_xlfn.XLOOKUP($A567, 'Hospitalisation Details'!$A:$A, 'Hospitalisation Details'!G:G, "No Data")</f>
        <v>17505.65</v>
      </c>
      <c r="P567" s="28" t="str">
        <f t="array" ref="P567">_xlfn.XLOOKUP($A567, 'Hospitalisation Details'!$A:$A, 'Hospitalisation Details'!H:H, "No Data")</f>
        <v>tier - 1</v>
      </c>
    </row>
    <row r="568">
      <c r="A568" s="25" t="s">
        <v>1808</v>
      </c>
      <c r="B568" s="28" t="str">
        <f t="array" ref="B568">_xlfn.XLOOKUP($A568, 'Customer Names'!$A:$A, 'Customer Names'!B:B, "No Data")</f>
        <v>Malone</v>
      </c>
      <c r="C568" s="28">
        <f t="array" ref="C568">_xlfn.XLOOKUP($A568, 'Medical Examinations'!$A:$A, 'Medical Examinations'!B:B, "No Data")</f>
        <v>24.6</v>
      </c>
      <c r="D568" s="28">
        <f t="array" ref="D568">_xlfn.XLOOKUP($A568, 'Medical Examinations'!$A:$A, 'Medical Examinations'!C:C, "No Data")</f>
        <v>4.81</v>
      </c>
      <c r="E568" s="28" t="str">
        <f t="array" ref="E568">_xlfn.XLOOKUP($A568, 'Medical Examinations'!$A:$A, 'Medical Examinations'!D:D, "No Data")</f>
        <v>No</v>
      </c>
      <c r="F568" s="28" t="str">
        <f t="array" ref="F568">_xlfn.XLOOKUP($A568, 'Medical Examinations'!$A:$A, 'Medical Examinations'!E:E, "No Data")</f>
        <v>No</v>
      </c>
      <c r="G568" s="28" t="str">
        <f t="array" ref="G568">_xlfn.XLOOKUP($A568, 'Medical Examinations'!$A:$A, 'Medical Examinations'!F:F, "No Data")</f>
        <v>No</v>
      </c>
      <c r="H568" s="28">
        <f t="array" ref="H568">_xlfn.XLOOKUP($A568, 'Medical Examinations'!$A:$A, 'Medical Examinations'!G:G, "No Data")</f>
        <v>0</v>
      </c>
      <c r="I568" s="28" t="str">
        <f t="array" ref="I568">_xlfn.XLOOKUP($A568, 'Medical Examinations'!$A:$A, 'Medical Examinations'!H:H, "No Data")</f>
        <v>yes</v>
      </c>
      <c r="J568" s="28" t="str">
        <f t="array" ref="J568">_xlfn.XLOOKUP($A568, 'Medical Examinations'!$A:$A, 'Medical Examinations'!I:I, "No Data")</f>
        <v>Normal Weight</v>
      </c>
      <c r="K568" s="28" t="str">
        <f t="array" ref="K568">_xlfn.XLOOKUP($A568, 'Hospitalisation Details'!$A:$A, 'Hospitalisation Details'!I:I, "No Data")</f>
        <v>tier - 2</v>
      </c>
      <c r="L568" s="28" t="str">
        <f t="array" ref="L568">_xlfn.XLOOKUP($A568, 'Hospitalisation Details'!$A:$A, 'Hospitalisation Details'!J:J, "No Data")</f>
        <v>R1011</v>
      </c>
      <c r="M568" s="28" t="str">
        <f t="array" ref="M568">_xlfn.XLOOKUP($A568, 'Hospitalisation Details'!$A:$A, 'Hospitalisation Details'!E:E, "No Data")</f>
        <v>29/12/90</v>
      </c>
      <c r="N568" s="28">
        <f t="array" ref="N568">_xlfn.XLOOKUP($A568, 'Hospitalisation Details'!$A:$A, 'Hospitalisation Details'!K:K, "No Data")</f>
        <v>32</v>
      </c>
      <c r="O568" s="33">
        <f t="array" ref="O568">_xlfn.XLOOKUP($A568, 'Hospitalisation Details'!$A:$A, 'Hospitalisation Details'!G:G, "No Data")</f>
        <v>17496.31</v>
      </c>
      <c r="P568" s="28" t="str">
        <f t="array" ref="P568">_xlfn.XLOOKUP($A568, 'Hospitalisation Details'!$A:$A, 'Hospitalisation Details'!H:H, "No Data")</f>
        <v>tier - 1</v>
      </c>
    </row>
    <row r="569">
      <c r="A569" s="25" t="s">
        <v>1811</v>
      </c>
      <c r="B569" s="28" t="str">
        <f t="array" ref="B569">_xlfn.XLOOKUP($A569, 'Customer Names'!$A:$A, 'Customer Names'!B:B, "No Data")</f>
        <v>Dumke</v>
      </c>
      <c r="C569" s="28">
        <f t="array" ref="C569">_xlfn.XLOOKUP($A569, 'Medical Examinations'!$A:$A, 'Medical Examinations'!B:B, "No Data")</f>
        <v>49.15</v>
      </c>
      <c r="D569" s="28">
        <f t="array" ref="D569">_xlfn.XLOOKUP($A569, 'Medical Examinations'!$A:$A, 'Medical Examinations'!C:C, "No Data")</f>
        <v>8.08</v>
      </c>
      <c r="E569" s="28" t="str">
        <f t="array" ref="E569">_xlfn.XLOOKUP($A569, 'Medical Examinations'!$A:$A, 'Medical Examinations'!D:D, "No Data")</f>
        <v>No</v>
      </c>
      <c r="F569" s="28" t="str">
        <f t="array" ref="F569">_xlfn.XLOOKUP($A569, 'Medical Examinations'!$A:$A, 'Medical Examinations'!E:E, "No Data")</f>
        <v>No</v>
      </c>
      <c r="G569" s="28" t="str">
        <f t="array" ref="G569">_xlfn.XLOOKUP($A569, 'Medical Examinations'!$A:$A, 'Medical Examinations'!F:F, "No Data")</f>
        <v>No</v>
      </c>
      <c r="H569" s="28">
        <f t="array" ref="H569">_xlfn.XLOOKUP($A569, 'Medical Examinations'!$A:$A, 'Medical Examinations'!G:G, "No Data")</f>
        <v>0</v>
      </c>
      <c r="I569" s="28" t="str">
        <f t="array" ref="I569">_xlfn.XLOOKUP($A569, 'Medical Examinations'!$A:$A, 'Medical Examinations'!H:H, "No Data")</f>
        <v>No</v>
      </c>
      <c r="J569" s="28" t="str">
        <f t="array" ref="J569">_xlfn.XLOOKUP($A569, 'Medical Examinations'!$A:$A, 'Medical Examinations'!I:I, "No Data")</f>
        <v>Obesity</v>
      </c>
      <c r="K569" s="28" t="str">
        <f t="array" ref="K569">_xlfn.XLOOKUP($A569, 'Hospitalisation Details'!$A:$A, 'Hospitalisation Details'!I:I, "No Data")</f>
        <v>tier - 1</v>
      </c>
      <c r="L569" s="28" t="str">
        <f t="array" ref="L569">_xlfn.XLOOKUP($A569, 'Hospitalisation Details'!$A:$A, 'Hospitalisation Details'!J:J, "No Data")</f>
        <v>R1012</v>
      </c>
      <c r="M569" s="28" t="str">
        <f t="array" ref="M569">_xlfn.XLOOKUP($A569, 'Hospitalisation Details'!$A:$A, 'Hospitalisation Details'!E:E, "No Data")</f>
        <v>08/06/71</v>
      </c>
      <c r="N569" s="28">
        <f t="array" ref="N569">_xlfn.XLOOKUP($A569, 'Hospitalisation Details'!$A:$A, 'Hospitalisation Details'!K:K, "No Data")</f>
        <v>52</v>
      </c>
      <c r="O569" s="33">
        <f t="array" ref="O569">_xlfn.XLOOKUP($A569, 'Hospitalisation Details'!$A:$A, 'Hospitalisation Details'!G:G, "No Data")</f>
        <v>17479.53</v>
      </c>
      <c r="P569" s="28" t="str">
        <f t="array" ref="P569">_xlfn.XLOOKUP($A569, 'Hospitalisation Details'!$A:$A, 'Hospitalisation Details'!H:H, "No Data")</f>
        <v>tier - 1</v>
      </c>
    </row>
    <row r="570">
      <c r="A570" s="25" t="s">
        <v>1815</v>
      </c>
      <c r="B570" s="28" t="str">
        <f t="array" ref="B570">_xlfn.XLOOKUP($A570, 'Customer Names'!$A:$A, 'Customer Names'!B:B, "No Data")</f>
        <v>Strong</v>
      </c>
      <c r="C570" s="28">
        <f t="array" ref="C570">_xlfn.XLOOKUP($A570, 'Medical Examinations'!$A:$A, 'Medical Examinations'!B:B, "No Data")</f>
        <v>28.31</v>
      </c>
      <c r="D570" s="28">
        <f t="array" ref="D570">_xlfn.XLOOKUP($A570, 'Medical Examinations'!$A:$A, 'Medical Examinations'!C:C, "No Data")</f>
        <v>6.29</v>
      </c>
      <c r="E570" s="28" t="str">
        <f t="array" ref="E570">_xlfn.XLOOKUP($A570, 'Medical Examinations'!$A:$A, 'Medical Examinations'!D:D, "No Data")</f>
        <v>No</v>
      </c>
      <c r="F570" s="28" t="str">
        <f t="array" ref="F570">_xlfn.XLOOKUP($A570, 'Medical Examinations'!$A:$A, 'Medical Examinations'!E:E, "No Data")</f>
        <v>No</v>
      </c>
      <c r="G570" s="28" t="str">
        <f t="array" ref="G570">_xlfn.XLOOKUP($A570, 'Medical Examinations'!$A:$A, 'Medical Examinations'!F:F, "No Data")</f>
        <v>Yes</v>
      </c>
      <c r="H570" s="28">
        <f t="array" ref="H570">_xlfn.XLOOKUP($A570, 'Medical Examinations'!$A:$A, 'Medical Examinations'!G:G, "No Data")</f>
        <v>1</v>
      </c>
      <c r="I570" s="28" t="str">
        <f t="array" ref="I570">_xlfn.XLOOKUP($A570, 'Medical Examinations'!$A:$A, 'Medical Examinations'!H:H, "No Data")</f>
        <v>yes</v>
      </c>
      <c r="J570" s="28" t="str">
        <f t="array" ref="J570">_xlfn.XLOOKUP($A570, 'Medical Examinations'!$A:$A, 'Medical Examinations'!I:I, "No Data")</f>
        <v>Overweight</v>
      </c>
      <c r="K570" s="28" t="str">
        <f t="array" ref="K570">_xlfn.XLOOKUP($A570, 'Hospitalisation Details'!$A:$A, 'Hospitalisation Details'!I:I, "No Data")</f>
        <v>tier - 1</v>
      </c>
      <c r="L570" s="28" t="str">
        <f t="array" ref="L570">_xlfn.XLOOKUP($A570, 'Hospitalisation Details'!$A:$A, 'Hospitalisation Details'!J:J, "No Data")</f>
        <v>R1012</v>
      </c>
      <c r="M570" s="28" t="str">
        <f t="array" ref="M570">_xlfn.XLOOKUP($A570, 'Hospitalisation Details'!$A:$A, 'Hospitalisation Details'!E:E, "No Data")</f>
        <v>02/11/03</v>
      </c>
      <c r="N570" s="28">
        <f t="array" ref="N570">_xlfn.XLOOKUP($A570, 'Hospitalisation Details'!$A:$A, 'Hospitalisation Details'!K:K, "No Data")</f>
        <v>19</v>
      </c>
      <c r="O570" s="33">
        <f t="array" ref="O570">_xlfn.XLOOKUP($A570, 'Hospitalisation Details'!$A:$A, 'Hospitalisation Details'!G:G, "No Data")</f>
        <v>17468.98</v>
      </c>
      <c r="P570" s="28" t="str">
        <f t="array" ref="P570">_xlfn.XLOOKUP($A570, 'Hospitalisation Details'!$A:$A, 'Hospitalisation Details'!H:H, "No Data")</f>
        <v>tier - 2</v>
      </c>
    </row>
    <row r="571">
      <c r="A571" s="25" t="s">
        <v>1818</v>
      </c>
      <c r="B571" s="28" t="str">
        <f t="array" ref="B571">_xlfn.XLOOKUP($A571, 'Customer Names'!$A:$A, 'Customer Names'!B:B, "No Data")</f>
        <v>Ferguson</v>
      </c>
      <c r="C571" s="28">
        <f t="array" ref="C571">_xlfn.XLOOKUP($A571, 'Medical Examinations'!$A:$A, 'Medical Examinations'!B:B, "No Data")</f>
        <v>22.99</v>
      </c>
      <c r="D571" s="28">
        <f t="array" ref="D571">_xlfn.XLOOKUP($A571, 'Medical Examinations'!$A:$A, 'Medical Examinations'!C:C, "No Data")</f>
        <v>6.29</v>
      </c>
      <c r="E571" s="28" t="str">
        <f t="array" ref="E571">_xlfn.XLOOKUP($A571, 'Medical Examinations'!$A:$A, 'Medical Examinations'!D:D, "No Data")</f>
        <v>No</v>
      </c>
      <c r="F571" s="28" t="str">
        <f t="array" ref="F571">_xlfn.XLOOKUP($A571, 'Medical Examinations'!$A:$A, 'Medical Examinations'!E:E, "No Data")</f>
        <v>No</v>
      </c>
      <c r="G571" s="28" t="str">
        <f t="array" ref="G571">_xlfn.XLOOKUP($A571, 'Medical Examinations'!$A:$A, 'Medical Examinations'!F:F, "No Data")</f>
        <v>No</v>
      </c>
      <c r="H571" s="28">
        <f t="array" ref="H571">_xlfn.XLOOKUP($A571, 'Medical Examinations'!$A:$A, 'Medical Examinations'!G:G, "No Data")</f>
        <v>1</v>
      </c>
      <c r="I571" s="28" t="str">
        <f t="array" ref="I571">_xlfn.XLOOKUP($A571, 'Medical Examinations'!$A:$A, 'Medical Examinations'!H:H, "No Data")</f>
        <v>yes</v>
      </c>
      <c r="J571" s="28" t="str">
        <f t="array" ref="J571">_xlfn.XLOOKUP($A571, 'Medical Examinations'!$A:$A, 'Medical Examinations'!I:I, "No Data")</f>
        <v>Normal Weight</v>
      </c>
      <c r="K571" s="28" t="str">
        <f t="array" ref="K571">_xlfn.XLOOKUP($A571, 'Hospitalisation Details'!$A:$A, 'Hospitalisation Details'!I:I, "No Data")</f>
        <v>tier - 1</v>
      </c>
      <c r="L571" s="28" t="str">
        <f t="array" ref="L571">_xlfn.XLOOKUP($A571, 'Hospitalisation Details'!$A:$A, 'Hospitalisation Details'!J:J, "No Data")</f>
        <v>R1012</v>
      </c>
      <c r="M571" s="28" t="str">
        <f t="array" ref="M571">_xlfn.XLOOKUP($A571, 'Hospitalisation Details'!$A:$A, 'Hospitalisation Details'!E:E, "No Data")</f>
        <v>18/10/92</v>
      </c>
      <c r="N571" s="28">
        <f t="array" ref="N571">_xlfn.XLOOKUP($A571, 'Hospitalisation Details'!$A:$A, 'Hospitalisation Details'!K:K, "No Data")</f>
        <v>30</v>
      </c>
      <c r="O571" s="33">
        <f t="array" ref="O571">_xlfn.XLOOKUP($A571, 'Hospitalisation Details'!$A:$A, 'Hospitalisation Details'!G:G, "No Data")</f>
        <v>17361.77</v>
      </c>
      <c r="P571" s="28" t="str">
        <f t="array" ref="P571">_xlfn.XLOOKUP($A571, 'Hospitalisation Details'!$A:$A, 'Hospitalisation Details'!H:H, "No Data")</f>
        <v>tier - 2</v>
      </c>
    </row>
    <row r="572">
      <c r="A572" s="25" t="s">
        <v>1821</v>
      </c>
      <c r="B572" s="28" t="str">
        <f t="array" ref="B572">_xlfn.XLOOKUP($A572, 'Customer Names'!$A:$A, 'Customer Names'!B:B, "No Data")</f>
        <v>Klein</v>
      </c>
      <c r="C572" s="28">
        <f t="array" ref="C572">_xlfn.XLOOKUP($A572, 'Medical Examinations'!$A:$A, 'Medical Examinations'!B:B, "No Data")</f>
        <v>29.07</v>
      </c>
      <c r="D572" s="28">
        <f t="array" ref="D572">_xlfn.XLOOKUP($A572, 'Medical Examinations'!$A:$A, 'Medical Examinations'!C:C, "No Data")</f>
        <v>5.12</v>
      </c>
      <c r="E572" s="28" t="str">
        <f t="array" ref="E572">_xlfn.XLOOKUP($A572, 'Medical Examinations'!$A:$A, 'Medical Examinations'!D:D, "No Data")</f>
        <v>No</v>
      </c>
      <c r="F572" s="28" t="str">
        <f t="array" ref="F572">_xlfn.XLOOKUP($A572, 'Medical Examinations'!$A:$A, 'Medical Examinations'!E:E, "No Data")</f>
        <v>No</v>
      </c>
      <c r="G572" s="28" t="str">
        <f t="array" ref="G572">_xlfn.XLOOKUP($A572, 'Medical Examinations'!$A:$A, 'Medical Examinations'!F:F, "No Data")</f>
        <v>Yes</v>
      </c>
      <c r="H572" s="28">
        <f t="array" ref="H572">_xlfn.XLOOKUP($A572, 'Medical Examinations'!$A:$A, 'Medical Examinations'!G:G, "No Data")</f>
        <v>1</v>
      </c>
      <c r="I572" s="28" t="str">
        <f t="array" ref="I572">_xlfn.XLOOKUP($A572, 'Medical Examinations'!$A:$A, 'Medical Examinations'!H:H, "No Data")</f>
        <v>yes</v>
      </c>
      <c r="J572" s="28" t="str">
        <f t="array" ref="J572">_xlfn.XLOOKUP($A572, 'Medical Examinations'!$A:$A, 'Medical Examinations'!I:I, "No Data")</f>
        <v>Overweight</v>
      </c>
      <c r="K572" s="28" t="str">
        <f t="array" ref="K572">_xlfn.XLOOKUP($A572, 'Hospitalisation Details'!$A:$A, 'Hospitalisation Details'!I:I, "No Data")</f>
        <v>tier - 3</v>
      </c>
      <c r="L572" s="28" t="str">
        <f t="array" ref="L572">_xlfn.XLOOKUP($A572, 'Hospitalisation Details'!$A:$A, 'Hospitalisation Details'!J:J, "No Data")</f>
        <v>R1012</v>
      </c>
      <c r="M572" s="28" t="str">
        <f t="array" ref="M572">_xlfn.XLOOKUP($A572, 'Hospitalisation Details'!$A:$A, 'Hospitalisation Details'!E:E, "No Data")</f>
        <v>01/11/03</v>
      </c>
      <c r="N572" s="28">
        <f t="array" ref="N572">_xlfn.XLOOKUP($A572, 'Hospitalisation Details'!$A:$A, 'Hospitalisation Details'!K:K, "No Data")</f>
        <v>19</v>
      </c>
      <c r="O572" s="33">
        <f t="array" ref="O572">_xlfn.XLOOKUP($A572, 'Hospitalisation Details'!$A:$A, 'Hospitalisation Details'!G:G, "No Data")</f>
        <v>17352.68</v>
      </c>
      <c r="P572" s="28" t="str">
        <f t="array" ref="P572">_xlfn.XLOOKUP($A572, 'Hospitalisation Details'!$A:$A, 'Hospitalisation Details'!H:H, "No Data")</f>
        <v>tier - 2</v>
      </c>
    </row>
    <row r="573">
      <c r="A573" s="25" t="s">
        <v>1825</v>
      </c>
      <c r="B573" s="28" t="str">
        <f t="array" ref="B573">_xlfn.XLOOKUP($A573, 'Customer Names'!$A:$A, 'Customer Names'!B:B, "No Data")</f>
        <v>Eusebio</v>
      </c>
      <c r="C573" s="28">
        <f t="array" ref="C573">_xlfn.XLOOKUP($A573, 'Medical Examinations'!$A:$A, 'Medical Examinations'!B:B, "No Data")</f>
        <v>42.02</v>
      </c>
      <c r="D573" s="28">
        <f t="array" ref="D573">_xlfn.XLOOKUP($A573, 'Medical Examinations'!$A:$A, 'Medical Examinations'!C:C, "No Data")</f>
        <v>9.95</v>
      </c>
      <c r="E573" s="28" t="str">
        <f t="array" ref="E573">_xlfn.XLOOKUP($A573, 'Medical Examinations'!$A:$A, 'Medical Examinations'!D:D, "No Data")</f>
        <v>yes</v>
      </c>
      <c r="F573" s="28" t="str">
        <f t="array" ref="F573">_xlfn.XLOOKUP($A573, 'Medical Examinations'!$A:$A, 'Medical Examinations'!E:E, "No Data")</f>
        <v>No</v>
      </c>
      <c r="G573" s="28" t="str">
        <f t="array" ref="G573">_xlfn.XLOOKUP($A573, 'Medical Examinations'!$A:$A, 'Medical Examinations'!F:F, "No Data")</f>
        <v>Yes</v>
      </c>
      <c r="H573" s="28">
        <f t="array" ref="H573">_xlfn.XLOOKUP($A573, 'Medical Examinations'!$A:$A, 'Medical Examinations'!G:G, "No Data")</f>
        <v>1</v>
      </c>
      <c r="I573" s="28" t="str">
        <f t="array" ref="I573">_xlfn.XLOOKUP($A573, 'Medical Examinations'!$A:$A, 'Medical Examinations'!H:H, "No Data")</f>
        <v>No</v>
      </c>
      <c r="J573" s="28" t="str">
        <f t="array" ref="J573">_xlfn.XLOOKUP($A573, 'Medical Examinations'!$A:$A, 'Medical Examinations'!I:I, "No Data")</f>
        <v>Obesity</v>
      </c>
      <c r="K573" s="28" t="str">
        <f t="array" ref="K573">_xlfn.XLOOKUP($A573, 'Hospitalisation Details'!$A:$A, 'Hospitalisation Details'!I:I, "No Data")</f>
        <v>tier - 3</v>
      </c>
      <c r="L573" s="28" t="str">
        <f t="array" ref="L573">_xlfn.XLOOKUP($A573, 'Hospitalisation Details'!$A:$A, 'Hospitalisation Details'!J:J, "No Data")</f>
        <v>R1023</v>
      </c>
      <c r="M573" s="28" t="str">
        <f t="array" ref="M573">_xlfn.XLOOKUP($A573, 'Hospitalisation Details'!$A:$A, 'Hospitalisation Details'!E:E, "No Data")</f>
        <v>12/07/63</v>
      </c>
      <c r="N573" s="28">
        <f t="array" ref="N573">_xlfn.XLOOKUP($A573, 'Hospitalisation Details'!$A:$A, 'Hospitalisation Details'!K:K, "No Data")</f>
        <v>59</v>
      </c>
      <c r="O573" s="33">
        <f t="array" ref="O573">_xlfn.XLOOKUP($A573, 'Hospitalisation Details'!$A:$A, 'Hospitalisation Details'!G:G, "No Data")</f>
        <v>17337.58</v>
      </c>
      <c r="P573" s="28" t="str">
        <f t="array" ref="P573">_xlfn.XLOOKUP($A573, 'Hospitalisation Details'!$A:$A, 'Hospitalisation Details'!H:H, "No Data")</f>
        <v>tier - 2</v>
      </c>
    </row>
    <row r="574">
      <c r="A574" s="25" t="s">
        <v>1827</v>
      </c>
      <c r="B574" s="28" t="str">
        <f t="array" ref="B574">_xlfn.XLOOKUP($A574, 'Customer Names'!$A:$A, 'Customer Names'!B:B, "No Data")</f>
        <v>Szolosi</v>
      </c>
      <c r="C574" s="28">
        <f t="array" ref="C574">_xlfn.XLOOKUP($A574, 'Medical Examinations'!$A:$A, 'Medical Examinations'!B:B, "No Data")</f>
        <v>49.07</v>
      </c>
      <c r="D574" s="28">
        <f t="array" ref="D574">_xlfn.XLOOKUP($A574, 'Medical Examinations'!$A:$A, 'Medical Examinations'!C:C, "No Data")</f>
        <v>9.08</v>
      </c>
      <c r="E574" s="28" t="str">
        <f t="array" ref="E574">_xlfn.XLOOKUP($A574, 'Medical Examinations'!$A:$A, 'Medical Examinations'!D:D, "No Data")</f>
        <v>yes</v>
      </c>
      <c r="F574" s="28" t="str">
        <f t="array" ref="F574">_xlfn.XLOOKUP($A574, 'Medical Examinations'!$A:$A, 'Medical Examinations'!E:E, "No Data")</f>
        <v>No</v>
      </c>
      <c r="G574" s="28" t="str">
        <f t="array" ref="G574">_xlfn.XLOOKUP($A574, 'Medical Examinations'!$A:$A, 'Medical Examinations'!F:F, "No Data")</f>
        <v>No</v>
      </c>
      <c r="H574" s="28">
        <f t="array" ref="H574">_xlfn.XLOOKUP($A574, 'Medical Examinations'!$A:$A, 'Medical Examinations'!G:G, "No Data")</f>
        <v>1</v>
      </c>
      <c r="I574" s="28" t="str">
        <f t="array" ref="I574">_xlfn.XLOOKUP($A574, 'Medical Examinations'!$A:$A, 'Medical Examinations'!H:H, "No Data")</f>
        <v>No</v>
      </c>
      <c r="J574" s="28" t="str">
        <f t="array" ref="J574">_xlfn.XLOOKUP($A574, 'Medical Examinations'!$A:$A, 'Medical Examinations'!I:I, "No Data")</f>
        <v>Obesity</v>
      </c>
      <c r="K574" s="28" t="str">
        <f t="array" ref="K574">_xlfn.XLOOKUP($A574, 'Hospitalisation Details'!$A:$A, 'Hospitalisation Details'!I:I, "No Data")</f>
        <v>tier - 3</v>
      </c>
      <c r="L574" s="28" t="str">
        <f t="array" ref="L574">_xlfn.XLOOKUP($A574, 'Hospitalisation Details'!$A:$A, 'Hospitalisation Details'!J:J, "No Data")</f>
        <v>R1026</v>
      </c>
      <c r="M574" s="28" t="str">
        <f t="array" ref="M574">_xlfn.XLOOKUP($A574, 'Hospitalisation Details'!$A:$A, 'Hospitalisation Details'!E:E, "No Data")</f>
        <v>25/08/75</v>
      </c>
      <c r="N574" s="28">
        <f t="array" ref="N574">_xlfn.XLOOKUP($A574, 'Hospitalisation Details'!$A:$A, 'Hospitalisation Details'!K:K, "No Data")</f>
        <v>47</v>
      </c>
      <c r="O574" s="33">
        <f t="array" ref="O574">_xlfn.XLOOKUP($A574, 'Hospitalisation Details'!$A:$A, 'Hospitalisation Details'!G:G, "No Data")</f>
        <v>17253.43</v>
      </c>
      <c r="P574" s="28" t="str">
        <f t="array" ref="P574">_xlfn.XLOOKUP($A574, 'Hospitalisation Details'!$A:$A, 'Hospitalisation Details'!H:H, "No Data")</f>
        <v>tier - 2</v>
      </c>
    </row>
    <row r="575">
      <c r="A575" s="25" t="s">
        <v>1830</v>
      </c>
      <c r="B575" s="28" t="str">
        <f t="array" ref="B575">_xlfn.XLOOKUP($A575, 'Customer Names'!$A:$A, 'Customer Names'!B:B, "No Data")</f>
        <v>Butler</v>
      </c>
      <c r="C575" s="28">
        <f t="array" ref="C575">_xlfn.XLOOKUP($A575, 'Medical Examinations'!$A:$A, 'Medical Examinations'!B:B, "No Data")</f>
        <v>19.8</v>
      </c>
      <c r="D575" s="28">
        <f t="array" ref="D575">_xlfn.XLOOKUP($A575, 'Medical Examinations'!$A:$A, 'Medical Examinations'!C:C, "No Data")</f>
        <v>4.82</v>
      </c>
      <c r="E575" s="28" t="str">
        <f t="array" ref="E575">_xlfn.XLOOKUP($A575, 'Medical Examinations'!$A:$A, 'Medical Examinations'!D:D, "No Data")</f>
        <v>No</v>
      </c>
      <c r="F575" s="28" t="str">
        <f t="array" ref="F575">_xlfn.XLOOKUP($A575, 'Medical Examinations'!$A:$A, 'Medical Examinations'!E:E, "No Data")</f>
        <v>No</v>
      </c>
      <c r="G575" s="28" t="str">
        <f t="array" ref="G575">_xlfn.XLOOKUP($A575, 'Medical Examinations'!$A:$A, 'Medical Examinations'!F:F, "No Data")</f>
        <v>No</v>
      </c>
      <c r="H575" s="28">
        <f t="array" ref="H575">_xlfn.XLOOKUP($A575, 'Medical Examinations'!$A:$A, 'Medical Examinations'!G:G, "No Data")</f>
        <v>0</v>
      </c>
      <c r="I575" s="28" t="str">
        <f t="array" ref="I575">_xlfn.XLOOKUP($A575, 'Medical Examinations'!$A:$A, 'Medical Examinations'!H:H, "No Data")</f>
        <v>yes</v>
      </c>
      <c r="J575" s="28" t="str">
        <f t="array" ref="J575">_xlfn.XLOOKUP($A575, 'Medical Examinations'!$A:$A, 'Medical Examinations'!I:I, "No Data")</f>
        <v>Normal Weight</v>
      </c>
      <c r="K575" s="28" t="str">
        <f t="array" ref="K575">_xlfn.XLOOKUP($A575, 'Hospitalisation Details'!$A:$A, 'Hospitalisation Details'!I:I, "No Data")</f>
        <v>tier - 1</v>
      </c>
      <c r="L575" s="28" t="str">
        <f t="array" ref="L575">_xlfn.XLOOKUP($A575, 'Hospitalisation Details'!$A:$A, 'Hospitalisation Details'!J:J, "No Data")</f>
        <v>R1013</v>
      </c>
      <c r="M575" s="28" t="str">
        <f t="array" ref="M575">_xlfn.XLOOKUP($A575, 'Hospitalisation Details'!$A:$A, 'Hospitalisation Details'!E:E, "No Data")</f>
        <v>22/10/82</v>
      </c>
      <c r="N575" s="28">
        <f t="array" ref="N575">_xlfn.XLOOKUP($A575, 'Hospitalisation Details'!$A:$A, 'Hospitalisation Details'!K:K, "No Data")</f>
        <v>40</v>
      </c>
      <c r="O575" s="33">
        <f t="array" ref="O575">_xlfn.XLOOKUP($A575, 'Hospitalisation Details'!$A:$A, 'Hospitalisation Details'!G:G, "No Data")</f>
        <v>17179.52</v>
      </c>
      <c r="P575" s="28" t="str">
        <f t="array" ref="P575">_xlfn.XLOOKUP($A575, 'Hospitalisation Details'!$A:$A, 'Hospitalisation Details'!H:H, "No Data")</f>
        <v>tier - 2</v>
      </c>
    </row>
    <row r="576">
      <c r="A576" s="25" t="s">
        <v>1834</v>
      </c>
      <c r="B576" s="28" t="str">
        <f t="array" ref="B576">_xlfn.XLOOKUP($A576, 'Customer Names'!$A:$A, 'Customer Names'!B:B, "No Data")</f>
        <v>Fukuchi</v>
      </c>
      <c r="C576" s="28">
        <f t="array" ref="C576">_xlfn.XLOOKUP($A576, 'Medical Examinations'!$A:$A, 'Medical Examinations'!B:B, "No Data")</f>
        <v>27.36</v>
      </c>
      <c r="D576" s="28">
        <f t="array" ref="D576">_xlfn.XLOOKUP($A576, 'Medical Examinations'!$A:$A, 'Medical Examinations'!C:C, "No Data")</f>
        <v>4.65</v>
      </c>
      <c r="E576" s="28" t="str">
        <f t="array" ref="E576">_xlfn.XLOOKUP($A576, 'Medical Examinations'!$A:$A, 'Medical Examinations'!D:D, "No Data")</f>
        <v>No</v>
      </c>
      <c r="F576" s="28" t="str">
        <f t="array" ref="F576">_xlfn.XLOOKUP($A576, 'Medical Examinations'!$A:$A, 'Medical Examinations'!E:E, "No Data")</f>
        <v>yes</v>
      </c>
      <c r="G576" s="28" t="str">
        <f t="array" ref="G576">_xlfn.XLOOKUP($A576, 'Medical Examinations'!$A:$A, 'Medical Examinations'!F:F, "No Data")</f>
        <v>No</v>
      </c>
      <c r="H576" s="28">
        <f t="array" ref="H576">_xlfn.XLOOKUP($A576, 'Medical Examinations'!$A:$A, 'Medical Examinations'!G:G, "No Data")</f>
        <v>1</v>
      </c>
      <c r="I576" s="28" t="str">
        <f t="array" ref="I576">_xlfn.XLOOKUP($A576, 'Medical Examinations'!$A:$A, 'Medical Examinations'!H:H, "No Data")</f>
        <v>yes</v>
      </c>
      <c r="J576" s="28" t="str">
        <f t="array" ref="J576">_xlfn.XLOOKUP($A576, 'Medical Examinations'!$A:$A, 'Medical Examinations'!I:I, "No Data")</f>
        <v>Overweight</v>
      </c>
      <c r="K576" s="28" t="str">
        <f t="array" ref="K576">_xlfn.XLOOKUP($A576, 'Hospitalisation Details'!$A:$A, 'Hospitalisation Details'!I:I, "No Data")</f>
        <v>tier - 2</v>
      </c>
      <c r="L576" s="28" t="str">
        <f t="array" ref="L576">_xlfn.XLOOKUP($A576, 'Hospitalisation Details'!$A:$A, 'Hospitalisation Details'!J:J, "No Data")</f>
        <v>R1019</v>
      </c>
      <c r="M576" s="28" t="str">
        <f t="array" ref="M576">_xlfn.XLOOKUP($A576, 'Hospitalisation Details'!$A:$A, 'Hospitalisation Details'!E:E, "No Data")</f>
        <v>18/08/04</v>
      </c>
      <c r="N576" s="28">
        <f t="array" ref="N576">_xlfn.XLOOKUP($A576, 'Hospitalisation Details'!$A:$A, 'Hospitalisation Details'!K:K, "No Data")</f>
        <v>18</v>
      </c>
      <c r="O576" s="33">
        <f t="array" ref="O576">_xlfn.XLOOKUP($A576, 'Hospitalisation Details'!$A:$A, 'Hospitalisation Details'!G:G, "No Data")</f>
        <v>17178.68</v>
      </c>
      <c r="P576" s="28" t="str">
        <f t="array" ref="P576">_xlfn.XLOOKUP($A576, 'Hospitalisation Details'!$A:$A, 'Hospitalisation Details'!H:H, "No Data")</f>
        <v>tier - 2</v>
      </c>
    </row>
    <row r="577">
      <c r="A577" s="25" t="s">
        <v>1837</v>
      </c>
      <c r="B577" s="28" t="str">
        <f t="array" ref="B577">_xlfn.XLOOKUP($A577, 'Customer Names'!$A:$A, 'Customer Names'!B:B, "No Data")</f>
        <v>Drucker</v>
      </c>
      <c r="C577" s="28">
        <f t="array" ref="C577">_xlfn.XLOOKUP($A577, 'Medical Examinations'!$A:$A, 'Medical Examinations'!B:B, "No Data")</f>
        <v>42.95</v>
      </c>
      <c r="D577" s="28">
        <f t="array" ref="D577">_xlfn.XLOOKUP($A577, 'Medical Examinations'!$A:$A, 'Medical Examinations'!C:C, "No Data")</f>
        <v>5.16</v>
      </c>
      <c r="E577" s="28" t="str">
        <f t="array" ref="E577">_xlfn.XLOOKUP($A577, 'Medical Examinations'!$A:$A, 'Medical Examinations'!D:D, "No Data")</f>
        <v>yes</v>
      </c>
      <c r="F577" s="28" t="str">
        <f t="array" ref="F577">_xlfn.XLOOKUP($A577, 'Medical Examinations'!$A:$A, 'Medical Examinations'!E:E, "No Data")</f>
        <v>No</v>
      </c>
      <c r="G577" s="28" t="str">
        <f t="array" ref="G577">_xlfn.XLOOKUP($A577, 'Medical Examinations'!$A:$A, 'Medical Examinations'!F:F, "No Data")</f>
        <v>No</v>
      </c>
      <c r="H577" s="28">
        <f t="array" ref="H577">_xlfn.XLOOKUP($A577, 'Medical Examinations'!$A:$A, 'Medical Examinations'!G:G, "No Data")</f>
        <v>1</v>
      </c>
      <c r="I577" s="28" t="str">
        <f t="array" ref="I577">_xlfn.XLOOKUP($A577, 'Medical Examinations'!$A:$A, 'Medical Examinations'!H:H, "No Data")</f>
        <v>No</v>
      </c>
      <c r="J577" s="28" t="str">
        <f t="array" ref="J577">_xlfn.XLOOKUP($A577, 'Medical Examinations'!$A:$A, 'Medical Examinations'!I:I, "No Data")</f>
        <v>Obesity</v>
      </c>
      <c r="K577" s="28" t="str">
        <f t="array" ref="K577">_xlfn.XLOOKUP($A577, 'Hospitalisation Details'!$A:$A, 'Hospitalisation Details'!I:I, "No Data")</f>
        <v>tier - 2</v>
      </c>
      <c r="L577" s="28" t="str">
        <f t="array" ref="L577">_xlfn.XLOOKUP($A577, 'Hospitalisation Details'!$A:$A, 'Hospitalisation Details'!J:J, "No Data")</f>
        <v>R1012</v>
      </c>
      <c r="M577" s="28" t="str">
        <f t="array" ref="M577">_xlfn.XLOOKUP($A577, 'Hospitalisation Details'!$A:$A, 'Hospitalisation Details'!E:E, "No Data")</f>
        <v>07/06/64</v>
      </c>
      <c r="N577" s="28">
        <f t="array" ref="N577">_xlfn.XLOOKUP($A577, 'Hospitalisation Details'!$A:$A, 'Hospitalisation Details'!K:K, "No Data")</f>
        <v>59</v>
      </c>
      <c r="O577" s="33">
        <f t="array" ref="O577">_xlfn.XLOOKUP($A577, 'Hospitalisation Details'!$A:$A, 'Hospitalisation Details'!G:G, "No Data")</f>
        <v>17174.52</v>
      </c>
      <c r="P577" s="28" t="str">
        <f t="array" ref="P577">_xlfn.XLOOKUP($A577, 'Hospitalisation Details'!$A:$A, 'Hospitalisation Details'!H:H, "No Data")</f>
        <v>tier - 2</v>
      </c>
    </row>
    <row r="578">
      <c r="A578" s="25" t="s">
        <v>1840</v>
      </c>
      <c r="B578" s="28" t="str">
        <f t="array" ref="B578">_xlfn.XLOOKUP($A578, 'Customer Names'!$A:$A, 'Customer Names'!B:B, "No Data")</f>
        <v>Aziz</v>
      </c>
      <c r="C578" s="28">
        <f t="array" ref="C578">_xlfn.XLOOKUP($A578, 'Medical Examinations'!$A:$A, 'Medical Examinations'!B:B, "No Data")</f>
        <v>42.66</v>
      </c>
      <c r="D578" s="28">
        <f t="array" ref="D578">_xlfn.XLOOKUP($A578, 'Medical Examinations'!$A:$A, 'Medical Examinations'!C:C, "No Data")</f>
        <v>10.44</v>
      </c>
      <c r="E578" s="28" t="str">
        <f t="array" ref="E578">_xlfn.XLOOKUP($A578, 'Medical Examinations'!$A:$A, 'Medical Examinations'!D:D, "No Data")</f>
        <v>No</v>
      </c>
      <c r="F578" s="28" t="str">
        <f t="array" ref="F578">_xlfn.XLOOKUP($A578, 'Medical Examinations'!$A:$A, 'Medical Examinations'!E:E, "No Data")</f>
        <v>No</v>
      </c>
      <c r="G578" s="28" t="str">
        <f t="array" ref="G578">_xlfn.XLOOKUP($A578, 'Medical Examinations'!$A:$A, 'Medical Examinations'!F:F, "No Data")</f>
        <v>No</v>
      </c>
      <c r="H578" s="28">
        <f t="array" ref="H578">_xlfn.XLOOKUP($A578, 'Medical Examinations'!$A:$A, 'Medical Examinations'!G:G, "No Data")</f>
        <v>0</v>
      </c>
      <c r="I578" s="28" t="str">
        <f t="array" ref="I578">_xlfn.XLOOKUP($A578, 'Medical Examinations'!$A:$A, 'Medical Examinations'!H:H, "No Data")</f>
        <v>No</v>
      </c>
      <c r="J578" s="28" t="str">
        <f t="array" ref="J578">_xlfn.XLOOKUP($A578, 'Medical Examinations'!$A:$A, 'Medical Examinations'!I:I, "No Data")</f>
        <v>Obesity</v>
      </c>
      <c r="K578" s="28" t="str">
        <f t="array" ref="K578">_xlfn.XLOOKUP($A578, 'Hospitalisation Details'!$A:$A, 'Hospitalisation Details'!I:I, "No Data")</f>
        <v>tier - 2</v>
      </c>
      <c r="L578" s="28" t="str">
        <f t="array" ref="L578">_xlfn.XLOOKUP($A578, 'Hospitalisation Details'!$A:$A, 'Hospitalisation Details'!J:J, "No Data")</f>
        <v>R1026</v>
      </c>
      <c r="M578" s="28" t="str">
        <f t="array" ref="M578">_xlfn.XLOOKUP($A578, 'Hospitalisation Details'!$A:$A, 'Hospitalisation Details'!E:E, "No Data")</f>
        <v>16/09/65</v>
      </c>
      <c r="N578" s="28">
        <f t="array" ref="N578">_xlfn.XLOOKUP($A578, 'Hospitalisation Details'!$A:$A, 'Hospitalisation Details'!K:K, "No Data")</f>
        <v>57</v>
      </c>
      <c r="O578" s="33">
        <f t="array" ref="O578">_xlfn.XLOOKUP($A578, 'Hospitalisation Details'!$A:$A, 'Hospitalisation Details'!G:G, "No Data")</f>
        <v>17172.27</v>
      </c>
      <c r="P578" s="28" t="str">
        <f t="array" ref="P578">_xlfn.XLOOKUP($A578, 'Hospitalisation Details'!$A:$A, 'Hospitalisation Details'!H:H, "No Data")</f>
        <v>tier - 2</v>
      </c>
    </row>
    <row r="579">
      <c r="A579" s="25" t="s">
        <v>1843</v>
      </c>
      <c r="B579" s="28" t="str">
        <f t="array" ref="B579">_xlfn.XLOOKUP($A579, 'Customer Names'!$A:$A, 'Customer Names'!B:B, "No Data")</f>
        <v>Pak</v>
      </c>
      <c r="C579" s="28">
        <f t="array" ref="C579">_xlfn.XLOOKUP($A579, 'Medical Examinations'!$A:$A, 'Medical Examinations'!B:B, "No Data")</f>
        <v>33.63</v>
      </c>
      <c r="D579" s="28">
        <f t="array" ref="D579">_xlfn.XLOOKUP($A579, 'Medical Examinations'!$A:$A, 'Medical Examinations'!C:C, "No Data")</f>
        <v>5.69</v>
      </c>
      <c r="E579" s="28" t="str">
        <f t="array" ref="E579">_xlfn.XLOOKUP($A579, 'Medical Examinations'!$A:$A, 'Medical Examinations'!D:D, "No Data")</f>
        <v>No</v>
      </c>
      <c r="F579" s="28" t="str">
        <f t="array" ref="F579">_xlfn.XLOOKUP($A579, 'Medical Examinations'!$A:$A, 'Medical Examinations'!E:E, "No Data")</f>
        <v>No</v>
      </c>
      <c r="G579" s="28" t="str">
        <f t="array" ref="G579">_xlfn.XLOOKUP($A579, 'Medical Examinations'!$A:$A, 'Medical Examinations'!F:F, "No Data")</f>
        <v>No</v>
      </c>
      <c r="H579" s="28">
        <f t="array" ref="H579">_xlfn.XLOOKUP($A579, 'Medical Examinations'!$A:$A, 'Medical Examinations'!G:G, "No Data")</f>
        <v>1</v>
      </c>
      <c r="I579" s="28" t="str">
        <f t="array" ref="I579">_xlfn.XLOOKUP($A579, 'Medical Examinations'!$A:$A, 'Medical Examinations'!H:H, "No Data")</f>
        <v>No</v>
      </c>
      <c r="J579" s="28" t="str">
        <f t="array" ref="J579">_xlfn.XLOOKUP($A579, 'Medical Examinations'!$A:$A, 'Medical Examinations'!I:I, "No Data")</f>
        <v>Obesity</v>
      </c>
      <c r="K579" s="28" t="str">
        <f t="array" ref="K579">_xlfn.XLOOKUP($A579, 'Hospitalisation Details'!$A:$A, 'Hospitalisation Details'!I:I, "No Data")</f>
        <v>tier - 3</v>
      </c>
      <c r="L579" s="28" t="str">
        <f t="array" ref="L579">_xlfn.XLOOKUP($A579, 'Hospitalisation Details'!$A:$A, 'Hospitalisation Details'!J:J, "No Data")</f>
        <v>R1016</v>
      </c>
      <c r="M579" s="28" t="str">
        <f t="array" ref="M579">_xlfn.XLOOKUP($A579, 'Hospitalisation Details'!$A:$A, 'Hospitalisation Details'!E:E, "No Data")</f>
        <v>03/06/98</v>
      </c>
      <c r="N579" s="28">
        <f t="array" ref="N579">_xlfn.XLOOKUP($A579, 'Hospitalisation Details'!$A:$A, 'Hospitalisation Details'!K:K, "No Data")</f>
        <v>25</v>
      </c>
      <c r="O579" s="33">
        <f t="array" ref="O579">_xlfn.XLOOKUP($A579, 'Hospitalisation Details'!$A:$A, 'Hospitalisation Details'!G:G, "No Data")</f>
        <v>17128.43</v>
      </c>
      <c r="P579" s="28" t="str">
        <f t="array" ref="P579">_xlfn.XLOOKUP($A579, 'Hospitalisation Details'!$A:$A, 'Hospitalisation Details'!H:H, "No Data")</f>
        <v>tier - 2</v>
      </c>
    </row>
    <row r="580">
      <c r="A580" s="25" t="s">
        <v>1846</v>
      </c>
      <c r="B580" s="28" t="str">
        <f t="array" ref="B580">_xlfn.XLOOKUP($A580, 'Customer Names'!$A:$A, 'Customer Names'!B:B, "No Data")</f>
        <v>Kieta</v>
      </c>
      <c r="C580" s="28">
        <f t="array" ref="C580">_xlfn.XLOOKUP($A580, 'Medical Examinations'!$A:$A, 'Medical Examinations'!B:B, "No Data")</f>
        <v>26.84</v>
      </c>
      <c r="D580" s="28">
        <f t="array" ref="D580">_xlfn.XLOOKUP($A580, 'Medical Examinations'!$A:$A, 'Medical Examinations'!C:C, "No Data")</f>
        <v>6.5</v>
      </c>
      <c r="E580" s="28" t="str">
        <f t="array" ref="E580">_xlfn.XLOOKUP($A580, 'Medical Examinations'!$A:$A, 'Medical Examinations'!D:D, "No Data")</f>
        <v>No</v>
      </c>
      <c r="F580" s="28" t="str">
        <f t="array" ref="F580">_xlfn.XLOOKUP($A580, 'Medical Examinations'!$A:$A, 'Medical Examinations'!E:E, "No Data")</f>
        <v>No</v>
      </c>
      <c r="G580" s="28" t="str">
        <f t="array" ref="G580">_xlfn.XLOOKUP($A580, 'Medical Examinations'!$A:$A, 'Medical Examinations'!F:F, "No Data")</f>
        <v>No</v>
      </c>
      <c r="H580" s="28">
        <f t="array" ref="H580">_xlfn.XLOOKUP($A580, 'Medical Examinations'!$A:$A, 'Medical Examinations'!G:G, "No Data")</f>
        <v>0</v>
      </c>
      <c r="I580" s="28" t="str">
        <f t="array" ref="I580">_xlfn.XLOOKUP($A580, 'Medical Examinations'!$A:$A, 'Medical Examinations'!H:H, "No Data")</f>
        <v>yes</v>
      </c>
      <c r="J580" s="28" t="str">
        <f t="array" ref="J580">_xlfn.XLOOKUP($A580, 'Medical Examinations'!$A:$A, 'Medical Examinations'!I:I, "No Data")</f>
        <v>Overweight</v>
      </c>
      <c r="K580" s="28" t="str">
        <f t="array" ref="K580">_xlfn.XLOOKUP($A580, 'Hospitalisation Details'!$A:$A, 'Hospitalisation Details'!I:I, "No Data")</f>
        <v>tier - 3</v>
      </c>
      <c r="L580" s="28" t="str">
        <f t="array" ref="L580">_xlfn.XLOOKUP($A580, 'Hospitalisation Details'!$A:$A, 'Hospitalisation Details'!J:J, "No Data")</f>
        <v>R1013</v>
      </c>
      <c r="M580" s="28" t="str">
        <f t="array" ref="M580">_xlfn.XLOOKUP($A580, 'Hospitalisation Details'!$A:$A, 'Hospitalisation Details'!E:E, "No Data")</f>
        <v>28/06/02</v>
      </c>
      <c r="N580" s="28">
        <f t="array" ref="N580">_xlfn.XLOOKUP($A580, 'Hospitalisation Details'!$A:$A, 'Hospitalisation Details'!K:K, "No Data")</f>
        <v>20</v>
      </c>
      <c r="O580" s="33">
        <f t="array" ref="O580">_xlfn.XLOOKUP($A580, 'Hospitalisation Details'!$A:$A, 'Hospitalisation Details'!G:G, "No Data")</f>
        <v>17085.27</v>
      </c>
      <c r="P580" s="28" t="str">
        <f t="array" ref="P580">_xlfn.XLOOKUP($A580, 'Hospitalisation Details'!$A:$A, 'Hospitalisation Details'!H:H, "No Data")</f>
        <v>tier - 2</v>
      </c>
    </row>
    <row r="581">
      <c r="A581" s="25" t="s">
        <v>1850</v>
      </c>
      <c r="B581" s="28" t="str">
        <f t="array" ref="B581">_xlfn.XLOOKUP($A581, 'Customer Names'!$A:$A, 'Customer Names'!B:B, "No Data")</f>
        <v>Velez</v>
      </c>
      <c r="C581" s="28">
        <f t="array" ref="C581">_xlfn.XLOOKUP($A581, 'Medical Examinations'!$A:$A, 'Medical Examinations'!B:B, "No Data")</f>
        <v>28.3</v>
      </c>
      <c r="D581" s="28">
        <f t="array" ref="D581">_xlfn.XLOOKUP($A581, 'Medical Examinations'!$A:$A, 'Medical Examinations'!C:C, "No Data")</f>
        <v>5.73</v>
      </c>
      <c r="E581" s="28" t="str">
        <f t="array" ref="E581">_xlfn.XLOOKUP($A581, 'Medical Examinations'!$A:$A, 'Medical Examinations'!D:D, "No Data")</f>
        <v>No</v>
      </c>
      <c r="F581" s="28" t="str">
        <f t="array" ref="F581">_xlfn.XLOOKUP($A581, 'Medical Examinations'!$A:$A, 'Medical Examinations'!E:E, "No Data")</f>
        <v>No</v>
      </c>
      <c r="G581" s="28" t="str">
        <f t="array" ref="G581">_xlfn.XLOOKUP($A581, 'Medical Examinations'!$A:$A, 'Medical Examinations'!F:F, "No Data")</f>
        <v>Yes</v>
      </c>
      <c r="H581" s="28">
        <f t="array" ref="H581">_xlfn.XLOOKUP($A581, 'Medical Examinations'!$A:$A, 'Medical Examinations'!G:G, "No Data")</f>
        <v>1</v>
      </c>
      <c r="I581" s="28" t="str">
        <f t="array" ref="I581">_xlfn.XLOOKUP($A581, 'Medical Examinations'!$A:$A, 'Medical Examinations'!H:H, "No Data")</f>
        <v>yes</v>
      </c>
      <c r="J581" s="28" t="str">
        <f t="array" ref="J581">_xlfn.XLOOKUP($A581, 'Medical Examinations'!$A:$A, 'Medical Examinations'!I:I, "No Data")</f>
        <v>Overweight</v>
      </c>
      <c r="K581" s="28" t="str">
        <f t="array" ref="K581">_xlfn.XLOOKUP($A581, 'Hospitalisation Details'!$A:$A, 'Hospitalisation Details'!I:I, "No Data")</f>
        <v>tier - 2</v>
      </c>
      <c r="L581" s="28" t="str">
        <f t="array" ref="L581">_xlfn.XLOOKUP($A581, 'Hospitalisation Details'!$A:$A, 'Hospitalisation Details'!J:J, "No Data")</f>
        <v>R1011</v>
      </c>
      <c r="M581" s="28" t="str">
        <f t="array" ref="M581">_xlfn.XLOOKUP($A581, 'Hospitalisation Details'!$A:$A, 'Hospitalisation Details'!E:E, "No Data")</f>
        <v>26/12/03</v>
      </c>
      <c r="N581" s="28">
        <f t="array" ref="N581">_xlfn.XLOOKUP($A581, 'Hospitalisation Details'!$A:$A, 'Hospitalisation Details'!K:K, "No Data")</f>
        <v>19</v>
      </c>
      <c r="O581" s="33">
        <f t="array" ref="O581">_xlfn.XLOOKUP($A581, 'Hospitalisation Details'!$A:$A, 'Hospitalisation Details'!G:G, "No Data")</f>
        <v>17081.08</v>
      </c>
      <c r="P581" s="28" t="str">
        <f t="array" ref="P581">_xlfn.XLOOKUP($A581, 'Hospitalisation Details'!$A:$A, 'Hospitalisation Details'!H:H, "No Data")</f>
        <v>tier - 2</v>
      </c>
    </row>
    <row r="582">
      <c r="A582" s="25" t="s">
        <v>1853</v>
      </c>
      <c r="B582" s="28" t="str">
        <f t="array" ref="B582">_xlfn.XLOOKUP($A582, 'Customer Names'!$A:$A, 'Customer Names'!B:B, "No Data")</f>
        <v>Bussiere</v>
      </c>
      <c r="C582" s="28">
        <f t="array" ref="C582">_xlfn.XLOOKUP($A582, 'Medical Examinations'!$A:$A, 'Medical Examinations'!B:B, "No Data")</f>
        <v>27.06</v>
      </c>
      <c r="D582" s="28">
        <f t="array" ref="D582">_xlfn.XLOOKUP($A582, 'Medical Examinations'!$A:$A, 'Medical Examinations'!C:C, "No Data")</f>
        <v>5.74</v>
      </c>
      <c r="E582" s="28" t="str">
        <f t="array" ref="E582">_xlfn.XLOOKUP($A582, 'Medical Examinations'!$A:$A, 'Medical Examinations'!D:D, "No Data")</f>
        <v>yes</v>
      </c>
      <c r="F582" s="28" t="str">
        <f t="array" ref="F582">_xlfn.XLOOKUP($A582, 'Medical Examinations'!$A:$A, 'Medical Examinations'!E:E, "No Data")</f>
        <v>No</v>
      </c>
      <c r="G582" s="28" t="str">
        <f t="array" ref="G582">_xlfn.XLOOKUP($A582, 'Medical Examinations'!$A:$A, 'Medical Examinations'!F:F, "No Data")</f>
        <v>No</v>
      </c>
      <c r="H582" s="28">
        <f t="array" ref="H582">_xlfn.XLOOKUP($A582, 'Medical Examinations'!$A:$A, 'Medical Examinations'!G:G, "No Data")</f>
        <v>0</v>
      </c>
      <c r="I582" s="28" t="str">
        <f t="array" ref="I582">_xlfn.XLOOKUP($A582, 'Medical Examinations'!$A:$A, 'Medical Examinations'!H:H, "No Data")</f>
        <v>yes</v>
      </c>
      <c r="J582" s="28" t="str">
        <f t="array" ref="J582">_xlfn.XLOOKUP($A582, 'Medical Examinations'!$A:$A, 'Medical Examinations'!I:I, "No Data")</f>
        <v>Overweight</v>
      </c>
      <c r="K582" s="28" t="str">
        <f t="array" ref="K582">_xlfn.XLOOKUP($A582, 'Hospitalisation Details'!$A:$A, 'Hospitalisation Details'!I:I, "No Data")</f>
        <v>tier - 3</v>
      </c>
      <c r="L582" s="28" t="str">
        <f t="array" ref="L582">_xlfn.XLOOKUP($A582, 'Hospitalisation Details'!$A:$A, 'Hospitalisation Details'!J:J, "No Data")</f>
        <v>R1013</v>
      </c>
      <c r="M582" s="28" t="str">
        <f t="array" ref="M582">_xlfn.XLOOKUP($A582, 'Hospitalisation Details'!$A:$A, 'Hospitalisation Details'!E:E, "No Data")</f>
        <v>10/06/96</v>
      </c>
      <c r="N582" s="28">
        <f t="array" ref="N582">_xlfn.XLOOKUP($A582, 'Hospitalisation Details'!$A:$A, 'Hospitalisation Details'!K:K, "No Data")</f>
        <v>26</v>
      </c>
      <c r="O582" s="33">
        <f t="array" ref="O582">_xlfn.XLOOKUP($A582, 'Hospitalisation Details'!$A:$A, 'Hospitalisation Details'!G:G, "No Data")</f>
        <v>17043.34</v>
      </c>
      <c r="P582" s="28" t="str">
        <f t="array" ref="P582">_xlfn.XLOOKUP($A582, 'Hospitalisation Details'!$A:$A, 'Hospitalisation Details'!H:H, "No Data")</f>
        <v>tier - 2</v>
      </c>
    </row>
    <row r="583">
      <c r="A583" s="25" t="s">
        <v>1856</v>
      </c>
      <c r="B583" s="28" t="str">
        <f t="array" ref="B583">_xlfn.XLOOKUP($A583, 'Customer Names'!$A:$A, 'Customer Names'!B:B, "No Data")</f>
        <v>McCartney</v>
      </c>
      <c r="C583" s="28">
        <f t="array" ref="C583">_xlfn.XLOOKUP($A583, 'Medical Examinations'!$A:$A, 'Medical Examinations'!B:B, "No Data")</f>
        <v>47.13</v>
      </c>
      <c r="D583" s="28">
        <f t="array" ref="D583">_xlfn.XLOOKUP($A583, 'Medical Examinations'!$A:$A, 'Medical Examinations'!C:C, "No Data")</f>
        <v>8.7</v>
      </c>
      <c r="E583" s="28" t="str">
        <f t="array" ref="E583">_xlfn.XLOOKUP($A583, 'Medical Examinations'!$A:$A, 'Medical Examinations'!D:D, "No Data")</f>
        <v>No</v>
      </c>
      <c r="F583" s="28" t="str">
        <f t="array" ref="F583">_xlfn.XLOOKUP($A583, 'Medical Examinations'!$A:$A, 'Medical Examinations'!E:E, "No Data")</f>
        <v>No</v>
      </c>
      <c r="G583" s="28" t="str">
        <f t="array" ref="G583">_xlfn.XLOOKUP($A583, 'Medical Examinations'!$A:$A, 'Medical Examinations'!F:F, "No Data")</f>
        <v>No</v>
      </c>
      <c r="H583" s="28">
        <f t="array" ref="H583">_xlfn.XLOOKUP($A583, 'Medical Examinations'!$A:$A, 'Medical Examinations'!G:G, "No Data")</f>
        <v>0</v>
      </c>
      <c r="I583" s="28" t="str">
        <f t="array" ref="I583">_xlfn.XLOOKUP($A583, 'Medical Examinations'!$A:$A, 'Medical Examinations'!H:H, "No Data")</f>
        <v>No</v>
      </c>
      <c r="J583" s="28" t="str">
        <f t="array" ref="J583">_xlfn.XLOOKUP($A583, 'Medical Examinations'!$A:$A, 'Medical Examinations'!I:I, "No Data")</f>
        <v>Obesity</v>
      </c>
      <c r="K583" s="28" t="str">
        <f t="array" ref="K583">_xlfn.XLOOKUP($A583, 'Hospitalisation Details'!$A:$A, 'Hospitalisation Details'!I:I, "No Data")</f>
        <v>tier - 2</v>
      </c>
      <c r="L583" s="28" t="str">
        <f t="array" ref="L583">_xlfn.XLOOKUP($A583, 'Hospitalisation Details'!$A:$A, 'Hospitalisation Details'!J:J, "No Data")</f>
        <v>R1023</v>
      </c>
      <c r="M583" s="28" t="str">
        <f t="array" ref="M583">_xlfn.XLOOKUP($A583, 'Hospitalisation Details'!$A:$A, 'Hospitalisation Details'!E:E, "No Data")</f>
        <v>22/08/71</v>
      </c>
      <c r="N583" s="28">
        <f t="array" ref="N583">_xlfn.XLOOKUP($A583, 'Hospitalisation Details'!$A:$A, 'Hospitalisation Details'!K:K, "No Data")</f>
        <v>51</v>
      </c>
      <c r="O583" s="33">
        <f t="array" ref="O583">_xlfn.XLOOKUP($A583, 'Hospitalisation Details'!$A:$A, 'Hospitalisation Details'!G:G, "No Data")</f>
        <v>17016.01</v>
      </c>
      <c r="P583" s="28" t="str">
        <f t="array" ref="P583">_xlfn.XLOOKUP($A583, 'Hospitalisation Details'!$A:$A, 'Hospitalisation Details'!H:H, "No Data")</f>
        <v>tier - 2</v>
      </c>
    </row>
    <row r="584">
      <c r="A584" s="25" t="s">
        <v>1858</v>
      </c>
      <c r="B584" s="28" t="str">
        <f t="array" ref="B584">_xlfn.XLOOKUP($A584, 'Customer Names'!$A:$A, 'Customer Names'!B:B, "No Data")</f>
        <v>Bambauer</v>
      </c>
      <c r="C584" s="28">
        <f t="array" ref="C584">_xlfn.XLOOKUP($A584, 'Medical Examinations'!$A:$A, 'Medical Examinations'!B:B, "No Data")</f>
        <v>51.72</v>
      </c>
      <c r="D584" s="28">
        <f t="array" ref="D584">_xlfn.XLOOKUP($A584, 'Medical Examinations'!$A:$A, 'Medical Examinations'!C:C, "No Data")</f>
        <v>5.09</v>
      </c>
      <c r="E584" s="28" t="str">
        <f t="array" ref="E584">_xlfn.XLOOKUP($A584, 'Medical Examinations'!$A:$A, 'Medical Examinations'!D:D, "No Data")</f>
        <v>No</v>
      </c>
      <c r="F584" s="28" t="str">
        <f t="array" ref="F584">_xlfn.XLOOKUP($A584, 'Medical Examinations'!$A:$A, 'Medical Examinations'!E:E, "No Data")</f>
        <v>No</v>
      </c>
      <c r="G584" s="28" t="str">
        <f t="array" ref="G584">_xlfn.XLOOKUP($A584, 'Medical Examinations'!$A:$A, 'Medical Examinations'!F:F, "No Data")</f>
        <v>No</v>
      </c>
      <c r="H584" s="28">
        <f t="array" ref="H584">_xlfn.XLOOKUP($A584, 'Medical Examinations'!$A:$A, 'Medical Examinations'!G:G, "No Data")</f>
        <v>0</v>
      </c>
      <c r="I584" s="28" t="str">
        <f t="array" ref="I584">_xlfn.XLOOKUP($A584, 'Medical Examinations'!$A:$A, 'Medical Examinations'!H:H, "No Data")</f>
        <v>No</v>
      </c>
      <c r="J584" s="28" t="str">
        <f t="array" ref="J584">_xlfn.XLOOKUP($A584, 'Medical Examinations'!$A:$A, 'Medical Examinations'!I:I, "No Data")</f>
        <v>Obesity</v>
      </c>
      <c r="K584" s="28" t="str">
        <f t="array" ref="K584">_xlfn.XLOOKUP($A584, 'Hospitalisation Details'!$A:$A, 'Hospitalisation Details'!I:I, "No Data")</f>
        <v>tier - 3</v>
      </c>
      <c r="L584" s="28" t="str">
        <f t="array" ref="L584">_xlfn.XLOOKUP($A584, 'Hospitalisation Details'!$A:$A, 'Hospitalisation Details'!J:J, "No Data")</f>
        <v>R1012</v>
      </c>
      <c r="M584" s="28" t="str">
        <f t="array" ref="M584">_xlfn.XLOOKUP($A584, 'Hospitalisation Details'!$A:$A, 'Hospitalisation Details'!E:E, "No Data")</f>
        <v>16/07/80</v>
      </c>
      <c r="N584" s="28">
        <f t="array" ref="N584">_xlfn.XLOOKUP($A584, 'Hospitalisation Details'!$A:$A, 'Hospitalisation Details'!K:K, "No Data")</f>
        <v>42</v>
      </c>
      <c r="O584" s="33">
        <f t="array" ref="O584">_xlfn.XLOOKUP($A584, 'Hospitalisation Details'!$A:$A, 'Hospitalisation Details'!G:G, "No Data")</f>
        <v>16990.55</v>
      </c>
      <c r="P584" s="28" t="str">
        <f t="array" ref="P584">_xlfn.XLOOKUP($A584, 'Hospitalisation Details'!$A:$A, 'Hospitalisation Details'!H:H, "No Data")</f>
        <v>tier - 2</v>
      </c>
    </row>
    <row r="585">
      <c r="A585" s="25" t="s">
        <v>1861</v>
      </c>
      <c r="B585" s="28" t="str">
        <f t="array" ref="B585">_xlfn.XLOOKUP($A585, 'Customer Names'!$A:$A, 'Customer Names'!B:B, "No Data")</f>
        <v>Mertz</v>
      </c>
      <c r="C585" s="28">
        <f t="array" ref="C585">_xlfn.XLOOKUP($A585, 'Medical Examinations'!$A:$A, 'Medical Examinations'!B:B, "No Data")</f>
        <v>48.59</v>
      </c>
      <c r="D585" s="28">
        <f t="array" ref="D585">_xlfn.XLOOKUP($A585, 'Medical Examinations'!$A:$A, 'Medical Examinations'!C:C, "No Data")</f>
        <v>5.57</v>
      </c>
      <c r="E585" s="28" t="str">
        <f t="array" ref="E585">_xlfn.XLOOKUP($A585, 'Medical Examinations'!$A:$A, 'Medical Examinations'!D:D, "No Data")</f>
        <v>No</v>
      </c>
      <c r="F585" s="28" t="str">
        <f t="array" ref="F585">_xlfn.XLOOKUP($A585, 'Medical Examinations'!$A:$A, 'Medical Examinations'!E:E, "No Data")</f>
        <v>No</v>
      </c>
      <c r="G585" s="28" t="str">
        <f t="array" ref="G585">_xlfn.XLOOKUP($A585, 'Medical Examinations'!$A:$A, 'Medical Examinations'!F:F, "No Data")</f>
        <v>No</v>
      </c>
      <c r="H585" s="28">
        <f t="array" ref="H585">_xlfn.XLOOKUP($A585, 'Medical Examinations'!$A:$A, 'Medical Examinations'!G:G, "No Data")</f>
        <v>0</v>
      </c>
      <c r="I585" s="28" t="str">
        <f t="array" ref="I585">_xlfn.XLOOKUP($A585, 'Medical Examinations'!$A:$A, 'Medical Examinations'!H:H, "No Data")</f>
        <v>No</v>
      </c>
      <c r="J585" s="28" t="str">
        <f t="array" ref="J585">_xlfn.XLOOKUP($A585, 'Medical Examinations'!$A:$A, 'Medical Examinations'!I:I, "No Data")</f>
        <v>Obesity</v>
      </c>
      <c r="K585" s="28" t="str">
        <f t="array" ref="K585">_xlfn.XLOOKUP($A585, 'Hospitalisation Details'!$A:$A, 'Hospitalisation Details'!I:I, "No Data")</f>
        <v>tier - 3</v>
      </c>
      <c r="L585" s="28" t="str">
        <f t="array" ref="L585">_xlfn.XLOOKUP($A585, 'Hospitalisation Details'!$A:$A, 'Hospitalisation Details'!J:J, "No Data")</f>
        <v>R1023</v>
      </c>
      <c r="M585" s="28" t="str">
        <f t="array" ref="M585">_xlfn.XLOOKUP($A585, 'Hospitalisation Details'!$A:$A, 'Hospitalisation Details'!E:E, "No Data")</f>
        <v>25/08/77</v>
      </c>
      <c r="N585" s="28">
        <f t="array" ref="N585">_xlfn.XLOOKUP($A585, 'Hospitalisation Details'!$A:$A, 'Hospitalisation Details'!K:K, "No Data")</f>
        <v>45</v>
      </c>
      <c r="O585" s="33">
        <f t="array" ref="O585">_xlfn.XLOOKUP($A585, 'Hospitalisation Details'!$A:$A, 'Hospitalisation Details'!G:G, "No Data")</f>
        <v>16921.09</v>
      </c>
      <c r="P585" s="28" t="str">
        <f t="array" ref="P585">_xlfn.XLOOKUP($A585, 'Hospitalisation Details'!$A:$A, 'Hospitalisation Details'!H:H, "No Data")</f>
        <v>tier - 2</v>
      </c>
    </row>
    <row r="586">
      <c r="A586" s="25" t="s">
        <v>1864</v>
      </c>
      <c r="B586" s="28" t="str">
        <f t="array" ref="B586">_xlfn.XLOOKUP($A586, 'Customer Names'!$A:$A, 'Customer Names'!B:B, "No Data")</f>
        <v>Mason</v>
      </c>
      <c r="C586" s="28">
        <f t="array" ref="C586">_xlfn.XLOOKUP($A586, 'Medical Examinations'!$A:$A, 'Medical Examinations'!B:B, "No Data")</f>
        <v>45.18</v>
      </c>
      <c r="D586" s="28">
        <f t="array" ref="D586">_xlfn.XLOOKUP($A586, 'Medical Examinations'!$A:$A, 'Medical Examinations'!C:C, "No Data")</f>
        <v>10.87</v>
      </c>
      <c r="E586" s="28" t="str">
        <f t="array" ref="E586">_xlfn.XLOOKUP($A586, 'Medical Examinations'!$A:$A, 'Medical Examinations'!D:D, "No Data")</f>
        <v>No</v>
      </c>
      <c r="F586" s="28" t="str">
        <f t="array" ref="F586">_xlfn.XLOOKUP($A586, 'Medical Examinations'!$A:$A, 'Medical Examinations'!E:E, "No Data")</f>
        <v>No</v>
      </c>
      <c r="G586" s="28" t="str">
        <f t="array" ref="G586">_xlfn.XLOOKUP($A586, 'Medical Examinations'!$A:$A, 'Medical Examinations'!F:F, "No Data")</f>
        <v>No</v>
      </c>
      <c r="H586" s="28">
        <f t="array" ref="H586">_xlfn.XLOOKUP($A586, 'Medical Examinations'!$A:$A, 'Medical Examinations'!G:G, "No Data")</f>
        <v>0</v>
      </c>
      <c r="I586" s="28" t="str">
        <f t="array" ref="I586">_xlfn.XLOOKUP($A586, 'Medical Examinations'!$A:$A, 'Medical Examinations'!H:H, "No Data")</f>
        <v>No</v>
      </c>
      <c r="J586" s="28" t="str">
        <f t="array" ref="J586">_xlfn.XLOOKUP($A586, 'Medical Examinations'!$A:$A, 'Medical Examinations'!I:I, "No Data")</f>
        <v>Obesity</v>
      </c>
      <c r="K586" s="28" t="str">
        <f t="array" ref="K586">_xlfn.XLOOKUP($A586, 'Hospitalisation Details'!$A:$A, 'Hospitalisation Details'!I:I, "No Data")</f>
        <v>tier - 3</v>
      </c>
      <c r="L586" s="28" t="str">
        <f t="array" ref="L586">_xlfn.XLOOKUP($A586, 'Hospitalisation Details'!$A:$A, 'Hospitalisation Details'!J:J, "No Data")</f>
        <v>R1012</v>
      </c>
      <c r="M586" s="28" t="str">
        <f t="array" ref="M586">_xlfn.XLOOKUP($A586, 'Hospitalisation Details'!$A:$A, 'Hospitalisation Details'!E:E, "No Data")</f>
        <v>21/10/68</v>
      </c>
      <c r="N586" s="28">
        <f t="array" ref="N586">_xlfn.XLOOKUP($A586, 'Hospitalisation Details'!$A:$A, 'Hospitalisation Details'!K:K, "No Data")</f>
        <v>54</v>
      </c>
      <c r="O586" s="33">
        <f t="array" ref="O586">_xlfn.XLOOKUP($A586, 'Hospitalisation Details'!$A:$A, 'Hospitalisation Details'!G:G, "No Data")</f>
        <v>16903.5</v>
      </c>
      <c r="P586" s="28" t="str">
        <f t="array" ref="P586">_xlfn.XLOOKUP($A586, 'Hospitalisation Details'!$A:$A, 'Hospitalisation Details'!H:H, "No Data")</f>
        <v>tier - 2</v>
      </c>
    </row>
    <row r="587">
      <c r="A587" s="25" t="s">
        <v>1867</v>
      </c>
      <c r="B587" s="28" t="str">
        <f t="array" ref="B587">_xlfn.XLOOKUP($A587, 'Customer Names'!$A:$A, 'Customer Names'!B:B, "No Data")</f>
        <v>Rotich</v>
      </c>
      <c r="C587" s="28">
        <f t="array" ref="C587">_xlfn.XLOOKUP($A587, 'Medical Examinations'!$A:$A, 'Medical Examinations'!B:B, "No Data")</f>
        <v>27.9</v>
      </c>
      <c r="D587" s="28">
        <f t="array" ref="D587">_xlfn.XLOOKUP($A587, 'Medical Examinations'!$A:$A, 'Medical Examinations'!C:C, "No Data")</f>
        <v>6.02</v>
      </c>
      <c r="E587" s="28" t="str">
        <f t="array" ref="E587">_xlfn.XLOOKUP($A587, 'Medical Examinations'!$A:$A, 'Medical Examinations'!D:D, "No Data")</f>
        <v>No</v>
      </c>
      <c r="F587" s="28" t="str">
        <f t="array" ref="F587">_xlfn.XLOOKUP($A587, 'Medical Examinations'!$A:$A, 'Medical Examinations'!E:E, "No Data")</f>
        <v>No</v>
      </c>
      <c r="G587" s="28" t="str">
        <f t="array" ref="G587">_xlfn.XLOOKUP($A587, 'Medical Examinations'!$A:$A, 'Medical Examinations'!F:F, "No Data")</f>
        <v>Yes</v>
      </c>
      <c r="H587" s="28">
        <f t="array" ref="H587">_xlfn.XLOOKUP($A587, 'Medical Examinations'!$A:$A, 'Medical Examinations'!G:G, "No Data")</f>
        <v>1</v>
      </c>
      <c r="I587" s="28" t="str">
        <f t="array" ref="I587">_xlfn.XLOOKUP($A587, 'Medical Examinations'!$A:$A, 'Medical Examinations'!H:H, "No Data")</f>
        <v>yes</v>
      </c>
      <c r="J587" s="28" t="str">
        <f t="array" ref="J587">_xlfn.XLOOKUP($A587, 'Medical Examinations'!$A:$A, 'Medical Examinations'!I:I, "No Data")</f>
        <v>Overweight</v>
      </c>
      <c r="K587" s="28" t="str">
        <f t="array" ref="K587">_xlfn.XLOOKUP($A587, 'Hospitalisation Details'!$A:$A, 'Hospitalisation Details'!I:I, "No Data")</f>
        <v>tier - 2</v>
      </c>
      <c r="L587" s="28" t="str">
        <f t="array" ref="L587">_xlfn.XLOOKUP($A587, 'Hospitalisation Details'!$A:$A, 'Hospitalisation Details'!J:J, "No Data")</f>
        <v>R1011</v>
      </c>
      <c r="M587" s="28" t="str">
        <f t="array" ref="M587">_xlfn.XLOOKUP($A587, 'Hospitalisation Details'!$A:$A, 'Hospitalisation Details'!E:E, "No Data")</f>
        <v>10/09/03</v>
      </c>
      <c r="N587" s="28">
        <f t="array" ref="N587">_xlfn.XLOOKUP($A587, 'Hospitalisation Details'!$A:$A, 'Hospitalisation Details'!K:K, "No Data")</f>
        <v>19</v>
      </c>
      <c r="O587" s="33">
        <f t="array" ref="O587">_xlfn.XLOOKUP($A587, 'Hospitalisation Details'!$A:$A, 'Hospitalisation Details'!G:G, "No Data")</f>
        <v>16884.92</v>
      </c>
      <c r="P587" s="28" t="str">
        <f t="array" ref="P587">_xlfn.XLOOKUP($A587, 'Hospitalisation Details'!$A:$A, 'Hospitalisation Details'!H:H, "No Data")</f>
        <v>tier - 2</v>
      </c>
    </row>
    <row r="588">
      <c r="A588" s="25" t="s">
        <v>1869</v>
      </c>
      <c r="B588" s="28" t="str">
        <f t="array" ref="B588">_xlfn.XLOOKUP($A588, 'Customer Names'!$A:$A, 'Customer Names'!B:B, "No Data")</f>
        <v>Fetzer</v>
      </c>
      <c r="C588" s="28">
        <f t="array" ref="C588">_xlfn.XLOOKUP($A588, 'Medical Examinations'!$A:$A, 'Medical Examinations'!B:B, "No Data")</f>
        <v>51.33</v>
      </c>
      <c r="D588" s="28">
        <f t="array" ref="D588">_xlfn.XLOOKUP($A588, 'Medical Examinations'!$A:$A, 'Medical Examinations'!C:C, "No Data")</f>
        <v>7</v>
      </c>
      <c r="E588" s="28" t="str">
        <f t="array" ref="E588">_xlfn.XLOOKUP($A588, 'Medical Examinations'!$A:$A, 'Medical Examinations'!D:D, "No Data")</f>
        <v>No</v>
      </c>
      <c r="F588" s="28" t="str">
        <f t="array" ref="F588">_xlfn.XLOOKUP($A588, 'Medical Examinations'!$A:$A, 'Medical Examinations'!E:E, "No Data")</f>
        <v>No</v>
      </c>
      <c r="G588" s="28" t="str">
        <f t="array" ref="G588">_xlfn.XLOOKUP($A588, 'Medical Examinations'!$A:$A, 'Medical Examinations'!F:F, "No Data")</f>
        <v>No</v>
      </c>
      <c r="H588" s="28">
        <f t="array" ref="H588">_xlfn.XLOOKUP($A588, 'Medical Examinations'!$A:$A, 'Medical Examinations'!G:G, "No Data")</f>
        <v>0</v>
      </c>
      <c r="I588" s="28" t="str">
        <f t="array" ref="I588">_xlfn.XLOOKUP($A588, 'Medical Examinations'!$A:$A, 'Medical Examinations'!H:H, "No Data")</f>
        <v>No</v>
      </c>
      <c r="J588" s="28" t="str">
        <f t="array" ref="J588">_xlfn.XLOOKUP($A588, 'Medical Examinations'!$A:$A, 'Medical Examinations'!I:I, "No Data")</f>
        <v>Obesity</v>
      </c>
      <c r="K588" s="28" t="str">
        <f t="array" ref="K588">_xlfn.XLOOKUP($A588, 'Hospitalisation Details'!$A:$A, 'Hospitalisation Details'!I:I, "No Data")</f>
        <v>tier - 3</v>
      </c>
      <c r="L588" s="28" t="str">
        <f t="array" ref="L588">_xlfn.XLOOKUP($A588, 'Hospitalisation Details'!$A:$A, 'Hospitalisation Details'!J:J, "No Data")</f>
        <v>R1011</v>
      </c>
      <c r="M588" s="28" t="str">
        <f t="array" ref="M588">_xlfn.XLOOKUP($A588, 'Hospitalisation Details'!$A:$A, 'Hospitalisation Details'!E:E, "No Data")</f>
        <v>08/08/74</v>
      </c>
      <c r="N588" s="28">
        <f t="array" ref="N588">_xlfn.XLOOKUP($A588, 'Hospitalisation Details'!$A:$A, 'Hospitalisation Details'!K:K, "No Data")</f>
        <v>48</v>
      </c>
      <c r="O588" s="33">
        <f t="array" ref="O588">_xlfn.XLOOKUP($A588, 'Hospitalisation Details'!$A:$A, 'Hospitalisation Details'!G:G, "No Data")</f>
        <v>16841.32</v>
      </c>
      <c r="P588" s="28" t="str">
        <f t="array" ref="P588">_xlfn.XLOOKUP($A588, 'Hospitalisation Details'!$A:$A, 'Hospitalisation Details'!H:H, "No Data")</f>
        <v>tier - 2</v>
      </c>
    </row>
    <row r="589">
      <c r="A589" s="25" t="s">
        <v>1873</v>
      </c>
      <c r="B589" s="28" t="str">
        <f t="array" ref="B589">_xlfn.XLOOKUP($A589, 'Customer Names'!$A:$A, 'Customer Names'!B:B, "No Data")</f>
        <v>Mattis</v>
      </c>
      <c r="C589" s="28">
        <f t="array" ref="C589">_xlfn.XLOOKUP($A589, 'Medical Examinations'!$A:$A, 'Medical Examinations'!B:B, "No Data")</f>
        <v>30.59</v>
      </c>
      <c r="D589" s="28">
        <f t="array" ref="D589">_xlfn.XLOOKUP($A589, 'Medical Examinations'!$A:$A, 'Medical Examinations'!C:C, "No Data")</f>
        <v>5.56</v>
      </c>
      <c r="E589" s="28" t="str">
        <f t="array" ref="E589">_xlfn.XLOOKUP($A589, 'Medical Examinations'!$A:$A, 'Medical Examinations'!D:D, "No Data")</f>
        <v>yes</v>
      </c>
      <c r="F589" s="28" t="str">
        <f t="array" ref="F589">_xlfn.XLOOKUP($A589, 'Medical Examinations'!$A:$A, 'Medical Examinations'!E:E, "No Data")</f>
        <v>No</v>
      </c>
      <c r="G589" s="28" t="str">
        <f t="array" ref="G589">_xlfn.XLOOKUP($A589, 'Medical Examinations'!$A:$A, 'Medical Examinations'!F:F, "No Data")</f>
        <v>No</v>
      </c>
      <c r="H589" s="28">
        <f t="array" ref="H589">_xlfn.XLOOKUP($A589, 'Medical Examinations'!$A:$A, 'Medical Examinations'!G:G, "No Data")</f>
        <v>1</v>
      </c>
      <c r="I589" s="28" t="str">
        <f t="array" ref="I589">_xlfn.XLOOKUP($A589, 'Medical Examinations'!$A:$A, 'Medical Examinations'!H:H, "No Data")</f>
        <v>No</v>
      </c>
      <c r="J589" s="28" t="str">
        <f t="array" ref="J589">_xlfn.XLOOKUP($A589, 'Medical Examinations'!$A:$A, 'Medical Examinations'!I:I, "No Data")</f>
        <v>Obesity</v>
      </c>
      <c r="K589" s="28" t="str">
        <f t="array" ref="K589">_xlfn.XLOOKUP($A589, 'Hospitalisation Details'!$A:$A, 'Hospitalisation Details'!I:I, "No Data")</f>
        <v>tier - 3</v>
      </c>
      <c r="L589" s="28" t="str">
        <f t="array" ref="L589">_xlfn.XLOOKUP($A589, 'Hospitalisation Details'!$A:$A, 'Hospitalisation Details'!J:J, "No Data")</f>
        <v>R1024</v>
      </c>
      <c r="M589" s="28" t="str">
        <f t="array" ref="M589">_xlfn.XLOOKUP($A589, 'Hospitalisation Details'!$A:$A, 'Hospitalisation Details'!E:E, "No Data")</f>
        <v>19/10/95</v>
      </c>
      <c r="N589" s="28">
        <f t="array" ref="N589">_xlfn.XLOOKUP($A589, 'Hospitalisation Details'!$A:$A, 'Hospitalisation Details'!K:K, "No Data")</f>
        <v>27</v>
      </c>
      <c r="O589" s="33">
        <f t="array" ref="O589">_xlfn.XLOOKUP($A589, 'Hospitalisation Details'!$A:$A, 'Hospitalisation Details'!G:G, "No Data")</f>
        <v>16796.41</v>
      </c>
      <c r="P589" s="28" t="str">
        <f t="array" ref="P589">_xlfn.XLOOKUP($A589, 'Hospitalisation Details'!$A:$A, 'Hospitalisation Details'!H:H, "No Data")</f>
        <v>tier - 2</v>
      </c>
    </row>
    <row r="590">
      <c r="A590" s="25" t="s">
        <v>1876</v>
      </c>
      <c r="B590" s="28" t="str">
        <f t="array" ref="B590">_xlfn.XLOOKUP($A590, 'Customer Names'!$A:$A, 'Customer Names'!B:B, "No Data")</f>
        <v>Cochran</v>
      </c>
      <c r="C590" s="28">
        <f t="array" ref="C590">_xlfn.XLOOKUP($A590, 'Medical Examinations'!$A:$A, 'Medical Examinations'!B:B, "No Data")</f>
        <v>39.23</v>
      </c>
      <c r="D590" s="28">
        <f t="array" ref="D590">_xlfn.XLOOKUP($A590, 'Medical Examinations'!$A:$A, 'Medical Examinations'!C:C, "No Data")</f>
        <v>8.45</v>
      </c>
      <c r="E590" s="28" t="str">
        <f t="array" ref="E590">_xlfn.XLOOKUP($A590, 'Medical Examinations'!$A:$A, 'Medical Examinations'!D:D, "No Data")</f>
        <v>No</v>
      </c>
      <c r="F590" s="28" t="str">
        <f t="array" ref="F590">_xlfn.XLOOKUP($A590, 'Medical Examinations'!$A:$A, 'Medical Examinations'!E:E, "No Data")</f>
        <v>No</v>
      </c>
      <c r="G590" s="28" t="str">
        <f t="array" ref="G590">_xlfn.XLOOKUP($A590, 'Medical Examinations'!$A:$A, 'Medical Examinations'!F:F, "No Data")</f>
        <v>No</v>
      </c>
      <c r="H590" s="28">
        <f t="array" ref="H590">_xlfn.XLOOKUP($A590, 'Medical Examinations'!$A:$A, 'Medical Examinations'!G:G, "No Data")</f>
        <v>0</v>
      </c>
      <c r="I590" s="28" t="str">
        <f t="array" ref="I590">_xlfn.XLOOKUP($A590, 'Medical Examinations'!$A:$A, 'Medical Examinations'!H:H, "No Data")</f>
        <v>No</v>
      </c>
      <c r="J590" s="28" t="str">
        <f t="array" ref="J590">_xlfn.XLOOKUP($A590, 'Medical Examinations'!$A:$A, 'Medical Examinations'!I:I, "No Data")</f>
        <v>Obesity</v>
      </c>
      <c r="K590" s="28" t="str">
        <f t="array" ref="K590">_xlfn.XLOOKUP($A590, 'Hospitalisation Details'!$A:$A, 'Hospitalisation Details'!I:I, "No Data")</f>
        <v>tier - 2</v>
      </c>
      <c r="L590" s="28" t="str">
        <f t="array" ref="L590">_xlfn.XLOOKUP($A590, 'Hospitalisation Details'!$A:$A, 'Hospitalisation Details'!J:J, "No Data")</f>
        <v>R1026</v>
      </c>
      <c r="M590" s="28" t="str">
        <f t="array" ref="M590">_xlfn.XLOOKUP($A590, 'Hospitalisation Details'!$A:$A, 'Hospitalisation Details'!E:E, "No Data")</f>
        <v>29/07/62</v>
      </c>
      <c r="N590" s="28">
        <f t="array" ref="N590">_xlfn.XLOOKUP($A590, 'Hospitalisation Details'!$A:$A, 'Hospitalisation Details'!K:K, "No Data")</f>
        <v>60</v>
      </c>
      <c r="O590" s="33">
        <f t="array" ref="O590">_xlfn.XLOOKUP($A590, 'Hospitalisation Details'!$A:$A, 'Hospitalisation Details'!G:G, "No Data")</f>
        <v>16779.4</v>
      </c>
      <c r="P590" s="28" t="str">
        <f t="array" ref="P590">_xlfn.XLOOKUP($A590, 'Hospitalisation Details'!$A:$A, 'Hospitalisation Details'!H:H, "No Data")</f>
        <v>tier - 2</v>
      </c>
    </row>
    <row r="591">
      <c r="A591" s="25" t="s">
        <v>1877</v>
      </c>
      <c r="B591" s="28" t="str">
        <f t="array" ref="B591">_xlfn.XLOOKUP($A591, 'Customer Names'!$A:$A, 'Customer Names'!B:B, "No Data")</f>
        <v>Balinsky</v>
      </c>
      <c r="C591" s="28">
        <f t="array" ref="C591">_xlfn.XLOOKUP($A591, 'Medical Examinations'!$A:$A, 'Medical Examinations'!B:B, "No Data")</f>
        <v>19.095</v>
      </c>
      <c r="D591" s="28">
        <f t="array" ref="D591">_xlfn.XLOOKUP($A591, 'Medical Examinations'!$A:$A, 'Medical Examinations'!C:C, "No Data")</f>
        <v>6.19</v>
      </c>
      <c r="E591" s="28" t="str">
        <f t="array" ref="E591">_xlfn.XLOOKUP($A591, 'Medical Examinations'!$A:$A, 'Medical Examinations'!D:D, "No Data")</f>
        <v>No</v>
      </c>
      <c r="F591" s="28" t="str">
        <f t="array" ref="F591">_xlfn.XLOOKUP($A591, 'Medical Examinations'!$A:$A, 'Medical Examinations'!E:E, "No Data")</f>
        <v>No</v>
      </c>
      <c r="G591" s="28" t="str">
        <f t="array" ref="G591">_xlfn.XLOOKUP($A591, 'Medical Examinations'!$A:$A, 'Medical Examinations'!F:F, "No Data")</f>
        <v>No</v>
      </c>
      <c r="H591" s="28">
        <f t="array" ref="H591">_xlfn.XLOOKUP($A591, 'Medical Examinations'!$A:$A, 'Medical Examinations'!G:G, "No Data")</f>
        <v>0</v>
      </c>
      <c r="I591" s="28" t="str">
        <f t="array" ref="I591">_xlfn.XLOOKUP($A591, 'Medical Examinations'!$A:$A, 'Medical Examinations'!H:H, "No Data")</f>
        <v>yes</v>
      </c>
      <c r="J591" s="28" t="str">
        <f t="array" ref="J591">_xlfn.XLOOKUP($A591, 'Medical Examinations'!$A:$A, 'Medical Examinations'!I:I, "No Data")</f>
        <v>Normal Weight</v>
      </c>
      <c r="K591" s="28" t="str">
        <f t="array" ref="K591">_xlfn.XLOOKUP($A591, 'Hospitalisation Details'!$A:$A, 'Hospitalisation Details'!I:I, "No Data")</f>
        <v>tier - 2</v>
      </c>
      <c r="L591" s="28" t="str">
        <f t="array" ref="L591">_xlfn.XLOOKUP($A591, 'Hospitalisation Details'!$A:$A, 'Hospitalisation Details'!J:J, "No Data")</f>
        <v>R1024</v>
      </c>
      <c r="M591" s="28" t="str">
        <f t="array" ref="M591">_xlfn.XLOOKUP($A591, 'Hospitalisation Details'!$A:$A, 'Hospitalisation Details'!E:E, "No Data")</f>
        <v>23/09/89</v>
      </c>
      <c r="N591" s="28">
        <f t="array" ref="N591">_xlfn.XLOOKUP($A591, 'Hospitalisation Details'!$A:$A, 'Hospitalisation Details'!K:K, "No Data")</f>
        <v>33</v>
      </c>
      <c r="O591" s="33">
        <f t="array" ref="O591">_xlfn.XLOOKUP($A591, 'Hospitalisation Details'!$A:$A, 'Hospitalisation Details'!G:G, "No Data")</f>
        <v>16776.3</v>
      </c>
      <c r="P591" s="28" t="str">
        <f t="array" ref="P591">_xlfn.XLOOKUP($A591, 'Hospitalisation Details'!$A:$A, 'Hospitalisation Details'!H:H, "No Data")</f>
        <v>tier - 2</v>
      </c>
    </row>
    <row r="592">
      <c r="A592" s="25" t="s">
        <v>1881</v>
      </c>
      <c r="B592" s="28" t="str">
        <f t="array" ref="B592">_xlfn.XLOOKUP($A592, 'Customer Names'!$A:$A, 'Customer Names'!B:B, "No Data")</f>
        <v>Reilly</v>
      </c>
      <c r="C592" s="28">
        <f t="array" ref="C592">_xlfn.XLOOKUP($A592, 'Medical Examinations'!$A:$A, 'Medical Examinations'!B:B, "No Data")</f>
        <v>49.72</v>
      </c>
      <c r="D592" s="28">
        <f t="array" ref="D592">_xlfn.XLOOKUP($A592, 'Medical Examinations'!$A:$A, 'Medical Examinations'!C:C, "No Data")</f>
        <v>7.71</v>
      </c>
      <c r="E592" s="28" t="str">
        <f t="array" ref="E592">_xlfn.XLOOKUP($A592, 'Medical Examinations'!$A:$A, 'Medical Examinations'!D:D, "No Data")</f>
        <v>No</v>
      </c>
      <c r="F592" s="28" t="str">
        <f t="array" ref="F592">_xlfn.XLOOKUP($A592, 'Medical Examinations'!$A:$A, 'Medical Examinations'!E:E, "No Data")</f>
        <v>No</v>
      </c>
      <c r="G592" s="28" t="str">
        <f t="array" ref="G592">_xlfn.XLOOKUP($A592, 'Medical Examinations'!$A:$A, 'Medical Examinations'!F:F, "No Data")</f>
        <v>No</v>
      </c>
      <c r="H592" s="28">
        <f t="array" ref="H592">_xlfn.XLOOKUP($A592, 'Medical Examinations'!$A:$A, 'Medical Examinations'!G:G, "No Data")</f>
        <v>0</v>
      </c>
      <c r="I592" s="28" t="str">
        <f t="array" ref="I592">_xlfn.XLOOKUP($A592, 'Medical Examinations'!$A:$A, 'Medical Examinations'!H:H, "No Data")</f>
        <v>No</v>
      </c>
      <c r="J592" s="28" t="str">
        <f t="array" ref="J592">_xlfn.XLOOKUP($A592, 'Medical Examinations'!$A:$A, 'Medical Examinations'!I:I, "No Data")</f>
        <v>Obesity</v>
      </c>
      <c r="K592" s="28" t="str">
        <f t="array" ref="K592">_xlfn.XLOOKUP($A592, 'Hospitalisation Details'!$A:$A, 'Hospitalisation Details'!I:I, "No Data")</f>
        <v>tier - 1</v>
      </c>
      <c r="L592" s="28" t="str">
        <f t="array" ref="L592">_xlfn.XLOOKUP($A592, 'Hospitalisation Details'!$A:$A, 'Hospitalisation Details'!J:J, "No Data")</f>
        <v>R1012</v>
      </c>
      <c r="M592" s="28" t="str">
        <f t="array" ref="M592">_xlfn.XLOOKUP($A592, 'Hospitalisation Details'!$A:$A, 'Hospitalisation Details'!E:E, "No Data")</f>
        <v>28/08/74</v>
      </c>
      <c r="N592" s="28">
        <f t="array" ref="N592">_xlfn.XLOOKUP($A592, 'Hospitalisation Details'!$A:$A, 'Hospitalisation Details'!K:K, "No Data")</f>
        <v>48</v>
      </c>
      <c r="O592" s="33">
        <f t="array" ref="O592">_xlfn.XLOOKUP($A592, 'Hospitalisation Details'!$A:$A, 'Hospitalisation Details'!G:G, "No Data")</f>
        <v>16770.99</v>
      </c>
      <c r="P592" s="28" t="str">
        <f t="array" ref="P592">_xlfn.XLOOKUP($A592, 'Hospitalisation Details'!$A:$A, 'Hospitalisation Details'!H:H, "No Data")</f>
        <v>tier - 2</v>
      </c>
    </row>
    <row r="593">
      <c r="A593" s="25" t="s">
        <v>1883</v>
      </c>
      <c r="B593" s="28" t="str">
        <f t="array" ref="B593">_xlfn.XLOOKUP($A593, 'Customer Names'!$A:$A, 'Customer Names'!B:B, "No Data")</f>
        <v>Johnson</v>
      </c>
      <c r="C593" s="28">
        <f t="array" ref="C593">_xlfn.XLOOKUP($A593, 'Medical Examinations'!$A:$A, 'Medical Examinations'!B:B, "No Data")</f>
        <v>21.755</v>
      </c>
      <c r="D593" s="28">
        <f t="array" ref="D593">_xlfn.XLOOKUP($A593, 'Medical Examinations'!$A:$A, 'Medical Examinations'!C:C, "No Data")</f>
        <v>4.63</v>
      </c>
      <c r="E593" s="28" t="str">
        <f t="array" ref="E593">_xlfn.XLOOKUP($A593, 'Medical Examinations'!$A:$A, 'Medical Examinations'!D:D, "No Data")</f>
        <v>No</v>
      </c>
      <c r="F593" s="28" t="str">
        <f t="array" ref="F593">_xlfn.XLOOKUP($A593, 'Medical Examinations'!$A:$A, 'Medical Examinations'!E:E, "No Data")</f>
        <v>No</v>
      </c>
      <c r="G593" s="28" t="str">
        <f t="array" ref="G593">_xlfn.XLOOKUP($A593, 'Medical Examinations'!$A:$A, 'Medical Examinations'!F:F, "No Data")</f>
        <v>Yes</v>
      </c>
      <c r="H593" s="28">
        <f t="array" ref="H593">_xlfn.XLOOKUP($A593, 'Medical Examinations'!$A:$A, 'Medical Examinations'!G:G, "No Data")</f>
        <v>1</v>
      </c>
      <c r="I593" s="28" t="str">
        <f t="array" ref="I593">_xlfn.XLOOKUP($A593, 'Medical Examinations'!$A:$A, 'Medical Examinations'!H:H, "No Data")</f>
        <v>yes</v>
      </c>
      <c r="J593" s="28" t="str">
        <f t="array" ref="J593">_xlfn.XLOOKUP($A593, 'Medical Examinations'!$A:$A, 'Medical Examinations'!I:I, "No Data")</f>
        <v>Normal Weight</v>
      </c>
      <c r="K593" s="28" t="str">
        <f t="array" ref="K593">_xlfn.XLOOKUP($A593, 'Hospitalisation Details'!$A:$A, 'Hospitalisation Details'!I:I, "No Data")</f>
        <v>tier - 1</v>
      </c>
      <c r="L593" s="28" t="str">
        <f t="array" ref="L593">_xlfn.XLOOKUP($A593, 'Hospitalisation Details'!$A:$A, 'Hospitalisation Details'!J:J, "No Data")</f>
        <v>R1024</v>
      </c>
      <c r="M593" s="28" t="str">
        <f t="array" ref="M593">_xlfn.XLOOKUP($A593, 'Hospitalisation Details'!$A:$A, 'Hospitalisation Details'!E:E, "No Data")</f>
        <v>05/11/93</v>
      </c>
      <c r="N593" s="28">
        <f t="array" ref="N593">_xlfn.XLOOKUP($A593, 'Hospitalisation Details'!$A:$A, 'Hospitalisation Details'!K:K, "No Data")</f>
        <v>29</v>
      </c>
      <c r="O593" s="33">
        <f t="array" ref="O593">_xlfn.XLOOKUP($A593, 'Hospitalisation Details'!$A:$A, 'Hospitalisation Details'!G:G, "No Data")</f>
        <v>16657.72</v>
      </c>
      <c r="P593" s="28" t="str">
        <f t="array" ref="P593">_xlfn.XLOOKUP($A593, 'Hospitalisation Details'!$A:$A, 'Hospitalisation Details'!H:H, "No Data")</f>
        <v>tier - 2</v>
      </c>
    </row>
    <row r="594">
      <c r="A594" s="25" t="s">
        <v>1885</v>
      </c>
      <c r="B594" s="28" t="str">
        <f t="array" ref="B594">_xlfn.XLOOKUP($A594, 'Customer Names'!$A:$A, 'Customer Names'!B:B, "No Data")</f>
        <v>Petry</v>
      </c>
      <c r="C594" s="28">
        <f t="array" ref="C594">_xlfn.XLOOKUP($A594, 'Medical Examinations'!$A:$A, 'Medical Examinations'!B:B, "No Data")</f>
        <v>48.39</v>
      </c>
      <c r="D594" s="28">
        <f t="array" ref="D594">_xlfn.XLOOKUP($A594, 'Medical Examinations'!$A:$A, 'Medical Examinations'!C:C, "No Data")</f>
        <v>4.61</v>
      </c>
      <c r="E594" s="28" t="str">
        <f t="array" ref="E594">_xlfn.XLOOKUP($A594, 'Medical Examinations'!$A:$A, 'Medical Examinations'!D:D, "No Data")</f>
        <v>No</v>
      </c>
      <c r="F594" s="28" t="str">
        <f t="array" ref="F594">_xlfn.XLOOKUP($A594, 'Medical Examinations'!$A:$A, 'Medical Examinations'!E:E, "No Data")</f>
        <v>No</v>
      </c>
      <c r="G594" s="28" t="str">
        <f t="array" ref="G594">_xlfn.XLOOKUP($A594, 'Medical Examinations'!$A:$A, 'Medical Examinations'!F:F, "No Data")</f>
        <v>No</v>
      </c>
      <c r="H594" s="28">
        <f t="array" ref="H594">_xlfn.XLOOKUP($A594, 'Medical Examinations'!$A:$A, 'Medical Examinations'!G:G, "No Data")</f>
        <v>0</v>
      </c>
      <c r="I594" s="28" t="str">
        <f t="array" ref="I594">_xlfn.XLOOKUP($A594, 'Medical Examinations'!$A:$A, 'Medical Examinations'!H:H, "No Data")</f>
        <v>No</v>
      </c>
      <c r="J594" s="28" t="str">
        <f t="array" ref="J594">_xlfn.XLOOKUP($A594, 'Medical Examinations'!$A:$A, 'Medical Examinations'!I:I, "No Data")</f>
        <v>Obesity</v>
      </c>
      <c r="K594" s="28" t="str">
        <f t="array" ref="K594">_xlfn.XLOOKUP($A594, 'Hospitalisation Details'!$A:$A, 'Hospitalisation Details'!I:I, "No Data")</f>
        <v>tier - 1</v>
      </c>
      <c r="L594" s="28" t="str">
        <f t="array" ref="L594">_xlfn.XLOOKUP($A594, 'Hospitalisation Details'!$A:$A, 'Hospitalisation Details'!J:J, "No Data")</f>
        <v>R1012</v>
      </c>
      <c r="M594" s="28" t="str">
        <f t="array" ref="M594">_xlfn.XLOOKUP($A594, 'Hospitalisation Details'!$A:$A, 'Hospitalisation Details'!E:E, "No Data")</f>
        <v>25/09/77</v>
      </c>
      <c r="N594" s="28">
        <f t="array" ref="N594">_xlfn.XLOOKUP($A594, 'Hospitalisation Details'!$A:$A, 'Hospitalisation Details'!K:K, "No Data")</f>
        <v>45</v>
      </c>
      <c r="O594" s="33">
        <f t="array" ref="O594">_xlfn.XLOOKUP($A594, 'Hospitalisation Details'!$A:$A, 'Hospitalisation Details'!G:G, "No Data")</f>
        <v>16631.61</v>
      </c>
      <c r="P594" s="28" t="str">
        <f t="array" ref="P594">_xlfn.XLOOKUP($A594, 'Hospitalisation Details'!$A:$A, 'Hospitalisation Details'!H:H, "No Data")</f>
        <v>tier - 2</v>
      </c>
    </row>
    <row r="595">
      <c r="A595" s="25" t="s">
        <v>1889</v>
      </c>
      <c r="B595" s="28" t="str">
        <f t="array" ref="B595">_xlfn.XLOOKUP($A595, 'Customer Names'!$A:$A, 'Customer Names'!B:B, "No Data")</f>
        <v>Laleman</v>
      </c>
      <c r="C595" s="28">
        <f t="array" ref="C595">_xlfn.XLOOKUP($A595, 'Medical Examinations'!$A:$A, 'Medical Examinations'!B:B, "No Data")</f>
        <v>47.15</v>
      </c>
      <c r="D595" s="28">
        <f t="array" ref="D595">_xlfn.XLOOKUP($A595, 'Medical Examinations'!$A:$A, 'Medical Examinations'!C:C, "No Data")</f>
        <v>9.53</v>
      </c>
      <c r="E595" s="28" t="str">
        <f t="array" ref="E595">_xlfn.XLOOKUP($A595, 'Medical Examinations'!$A:$A, 'Medical Examinations'!D:D, "No Data")</f>
        <v>yes</v>
      </c>
      <c r="F595" s="28" t="str">
        <f t="array" ref="F595">_xlfn.XLOOKUP($A595, 'Medical Examinations'!$A:$A, 'Medical Examinations'!E:E, "No Data")</f>
        <v>No</v>
      </c>
      <c r="G595" s="28" t="str">
        <f t="array" ref="G595">_xlfn.XLOOKUP($A595, 'Medical Examinations'!$A:$A, 'Medical Examinations'!F:F, "No Data")</f>
        <v>No</v>
      </c>
      <c r="H595" s="28">
        <f t="array" ref="H595">_xlfn.XLOOKUP($A595, 'Medical Examinations'!$A:$A, 'Medical Examinations'!G:G, "No Data")</f>
        <v>1</v>
      </c>
      <c r="I595" s="28" t="str">
        <f t="array" ref="I595">_xlfn.XLOOKUP($A595, 'Medical Examinations'!$A:$A, 'Medical Examinations'!H:H, "No Data")</f>
        <v>No</v>
      </c>
      <c r="J595" s="28" t="str">
        <f t="array" ref="J595">_xlfn.XLOOKUP($A595, 'Medical Examinations'!$A:$A, 'Medical Examinations'!I:I, "No Data")</f>
        <v>Obesity</v>
      </c>
      <c r="K595" s="28" t="str">
        <f t="array" ref="K595">_xlfn.XLOOKUP($A595, 'Hospitalisation Details'!$A:$A, 'Hospitalisation Details'!I:I, "No Data")</f>
        <v>tier - 1</v>
      </c>
      <c r="L595" s="28" t="str">
        <f t="array" ref="L595">_xlfn.XLOOKUP($A595, 'Hospitalisation Details'!$A:$A, 'Hospitalisation Details'!J:J, "No Data")</f>
        <v>R1026</v>
      </c>
      <c r="M595" s="28" t="str">
        <f t="array" ref="M595">_xlfn.XLOOKUP($A595, 'Hospitalisation Details'!$A:$A, 'Hospitalisation Details'!E:E, "No Data")</f>
        <v>24/07/75</v>
      </c>
      <c r="N595" s="28">
        <f t="array" ref="N595">_xlfn.XLOOKUP($A595, 'Hospitalisation Details'!$A:$A, 'Hospitalisation Details'!K:K, "No Data")</f>
        <v>47</v>
      </c>
      <c r="O595" s="33">
        <f t="array" ref="O595">_xlfn.XLOOKUP($A595, 'Hospitalisation Details'!$A:$A, 'Hospitalisation Details'!G:G, "No Data")</f>
        <v>16602.18</v>
      </c>
      <c r="P595" s="28" t="str">
        <f t="array" ref="P595">_xlfn.XLOOKUP($A595, 'Hospitalisation Details'!$A:$A, 'Hospitalisation Details'!H:H, "No Data")</f>
        <v>tier - 2</v>
      </c>
    </row>
    <row r="596">
      <c r="A596" s="25" t="s">
        <v>1892</v>
      </c>
      <c r="B596" s="28" t="str">
        <f t="array" ref="B596">_xlfn.XLOOKUP($A596, 'Customer Names'!$A:$A, 'Customer Names'!B:B, "No Data")</f>
        <v>Colby</v>
      </c>
      <c r="C596" s="28">
        <f t="array" ref="C596">_xlfn.XLOOKUP($A596, 'Medical Examinations'!$A:$A, 'Medical Examinations'!B:B, "No Data")</f>
        <v>47.59</v>
      </c>
      <c r="D596" s="28">
        <f t="array" ref="D596">_xlfn.XLOOKUP($A596, 'Medical Examinations'!$A:$A, 'Medical Examinations'!C:C, "No Data")</f>
        <v>11.43</v>
      </c>
      <c r="E596" s="28" t="str">
        <f t="array" ref="E596">_xlfn.XLOOKUP($A596, 'Medical Examinations'!$A:$A, 'Medical Examinations'!D:D, "No Data")</f>
        <v>yes</v>
      </c>
      <c r="F596" s="28" t="str">
        <f t="array" ref="F596">_xlfn.XLOOKUP($A596, 'Medical Examinations'!$A:$A, 'Medical Examinations'!E:E, "No Data")</f>
        <v>No</v>
      </c>
      <c r="G596" s="28" t="str">
        <f t="array" ref="G596">_xlfn.XLOOKUP($A596, 'Medical Examinations'!$A:$A, 'Medical Examinations'!F:F, "No Data")</f>
        <v>No</v>
      </c>
      <c r="H596" s="28">
        <f t="array" ref="H596">_xlfn.XLOOKUP($A596, 'Medical Examinations'!$A:$A, 'Medical Examinations'!G:G, "No Data")</f>
        <v>2</v>
      </c>
      <c r="I596" s="28" t="str">
        <f t="array" ref="I596">_xlfn.XLOOKUP($A596, 'Medical Examinations'!$A:$A, 'Medical Examinations'!H:H, "No Data")</f>
        <v>No</v>
      </c>
      <c r="J596" s="28" t="str">
        <f t="array" ref="J596">_xlfn.XLOOKUP($A596, 'Medical Examinations'!$A:$A, 'Medical Examinations'!I:I, "No Data")</f>
        <v>Obesity</v>
      </c>
      <c r="K596" s="28" t="str">
        <f t="array" ref="K596">_xlfn.XLOOKUP($A596, 'Hospitalisation Details'!$A:$A, 'Hospitalisation Details'!I:I, "No Data")</f>
        <v>tier - 2</v>
      </c>
      <c r="L596" s="28" t="str">
        <f t="array" ref="L596">_xlfn.XLOOKUP($A596, 'Hospitalisation Details'!$A:$A, 'Hospitalisation Details'!J:J, "No Data")</f>
        <v>R1011</v>
      </c>
      <c r="M596" s="28" t="str">
        <f t="array" ref="M596">_xlfn.XLOOKUP($A596, 'Hospitalisation Details'!$A:$A, 'Hospitalisation Details'!E:E, "No Data")</f>
        <v>10/07/70</v>
      </c>
      <c r="N596" s="28">
        <f t="array" ref="N596">_xlfn.XLOOKUP($A596, 'Hospitalisation Details'!$A:$A, 'Hospitalisation Details'!K:K, "No Data")</f>
        <v>52</v>
      </c>
      <c r="O596" s="33">
        <f t="array" ref="O596">_xlfn.XLOOKUP($A596, 'Hospitalisation Details'!$A:$A, 'Hospitalisation Details'!G:G, "No Data")</f>
        <v>16600.16</v>
      </c>
      <c r="P596" s="28" t="str">
        <f t="array" ref="P596">_xlfn.XLOOKUP($A596, 'Hospitalisation Details'!$A:$A, 'Hospitalisation Details'!H:H, "No Data")</f>
        <v>tier - 2</v>
      </c>
    </row>
    <row r="597">
      <c r="A597" s="25" t="s">
        <v>1895</v>
      </c>
      <c r="B597" s="28" t="str">
        <f t="array" ref="B597">_xlfn.XLOOKUP($A597, 'Customer Names'!$A:$A, 'Customer Names'!B:B, "No Data")</f>
        <v>Wathke</v>
      </c>
      <c r="C597" s="28">
        <f t="array" ref="C597">_xlfn.XLOOKUP($A597, 'Medical Examinations'!$A:$A, 'Medical Examinations'!B:B, "No Data")</f>
        <v>39.81</v>
      </c>
      <c r="D597" s="28">
        <f t="array" ref="D597">_xlfn.XLOOKUP($A597, 'Medical Examinations'!$A:$A, 'Medical Examinations'!C:C, "No Data")</f>
        <v>7.65</v>
      </c>
      <c r="E597" s="28" t="str">
        <f t="array" ref="E597">_xlfn.XLOOKUP($A597, 'Medical Examinations'!$A:$A, 'Medical Examinations'!D:D, "No Data")</f>
        <v>yes</v>
      </c>
      <c r="F597" s="28" t="str">
        <f t="array" ref="F597">_xlfn.XLOOKUP($A597, 'Medical Examinations'!$A:$A, 'Medical Examinations'!E:E, "No Data")</f>
        <v>No</v>
      </c>
      <c r="G597" s="28" t="str">
        <f t="array" ref="G597">_xlfn.XLOOKUP($A597, 'Medical Examinations'!$A:$A, 'Medical Examinations'!F:F, "No Data")</f>
        <v>Yes</v>
      </c>
      <c r="H597" s="28">
        <f t="array" ref="H597">_xlfn.XLOOKUP($A597, 'Medical Examinations'!$A:$A, 'Medical Examinations'!G:G, "No Data")</f>
        <v>1</v>
      </c>
      <c r="I597" s="28" t="str">
        <f t="array" ref="I597">_xlfn.XLOOKUP($A597, 'Medical Examinations'!$A:$A, 'Medical Examinations'!H:H, "No Data")</f>
        <v>No</v>
      </c>
      <c r="J597" s="28" t="str">
        <f t="array" ref="J597">_xlfn.XLOOKUP($A597, 'Medical Examinations'!$A:$A, 'Medical Examinations'!I:I, "No Data")</f>
        <v>Obesity</v>
      </c>
      <c r="K597" s="28" t="str">
        <f t="array" ref="K597">_xlfn.XLOOKUP($A597, 'Hospitalisation Details'!$A:$A, 'Hospitalisation Details'!I:I, "No Data")</f>
        <v>tier - 2</v>
      </c>
      <c r="L597" s="28" t="str">
        <f t="array" ref="L597">_xlfn.XLOOKUP($A597, 'Hospitalisation Details'!$A:$A, 'Hospitalisation Details'!J:J, "No Data")</f>
        <v>R1023</v>
      </c>
      <c r="M597" s="28" t="str">
        <f t="array" ref="M597">_xlfn.XLOOKUP($A597, 'Hospitalisation Details'!$A:$A, 'Hospitalisation Details'!E:E, "No Data")</f>
        <v>25/06/63</v>
      </c>
      <c r="N597" s="28">
        <f t="array" ref="N597">_xlfn.XLOOKUP($A597, 'Hospitalisation Details'!$A:$A, 'Hospitalisation Details'!K:K, "No Data")</f>
        <v>59</v>
      </c>
      <c r="O597" s="33">
        <f t="array" ref="O597">_xlfn.XLOOKUP($A597, 'Hospitalisation Details'!$A:$A, 'Hospitalisation Details'!G:G, "No Data")</f>
        <v>16587.96</v>
      </c>
      <c r="P597" s="28" t="str">
        <f t="array" ref="P597">_xlfn.XLOOKUP($A597, 'Hospitalisation Details'!$A:$A, 'Hospitalisation Details'!H:H, "No Data")</f>
        <v>tier - 2</v>
      </c>
    </row>
    <row r="598">
      <c r="A598" s="25" t="s">
        <v>1899</v>
      </c>
      <c r="B598" s="28" t="str">
        <f t="array" ref="B598">_xlfn.XLOOKUP($A598, 'Customer Names'!$A:$A, 'Customer Names'!B:B, "No Data")</f>
        <v>Daly</v>
      </c>
      <c r="C598" s="28">
        <f t="array" ref="C598">_xlfn.XLOOKUP($A598, 'Medical Examinations'!$A:$A, 'Medical Examinations'!B:B, "No Data")</f>
        <v>31.02</v>
      </c>
      <c r="D598" s="28">
        <f t="array" ref="D598">_xlfn.XLOOKUP($A598, 'Medical Examinations'!$A:$A, 'Medical Examinations'!C:C, "No Data")</f>
        <v>5.87</v>
      </c>
      <c r="E598" s="28" t="str">
        <f t="array" ref="E598">_xlfn.XLOOKUP($A598, 'Medical Examinations'!$A:$A, 'Medical Examinations'!D:D, "No Data")</f>
        <v>yes</v>
      </c>
      <c r="F598" s="28" t="str">
        <f t="array" ref="F598">_xlfn.XLOOKUP($A598, 'Medical Examinations'!$A:$A, 'Medical Examinations'!E:E, "No Data")</f>
        <v>No</v>
      </c>
      <c r="G598" s="28" t="str">
        <f t="array" ref="G598">_xlfn.XLOOKUP($A598, 'Medical Examinations'!$A:$A, 'Medical Examinations'!F:F, "No Data")</f>
        <v>No</v>
      </c>
      <c r="H598" s="28">
        <f t="array" ref="H598">_xlfn.XLOOKUP($A598, 'Medical Examinations'!$A:$A, 'Medical Examinations'!G:G, "No Data")</f>
        <v>0</v>
      </c>
      <c r="I598" s="28" t="str">
        <f t="array" ref="I598">_xlfn.XLOOKUP($A598, 'Medical Examinations'!$A:$A, 'Medical Examinations'!H:H, "No Data")</f>
        <v>No</v>
      </c>
      <c r="J598" s="28" t="str">
        <f t="array" ref="J598">_xlfn.XLOOKUP($A598, 'Medical Examinations'!$A:$A, 'Medical Examinations'!I:I, "No Data")</f>
        <v>Obesity</v>
      </c>
      <c r="K598" s="28" t="str">
        <f t="array" ref="K598">_xlfn.XLOOKUP($A598, 'Hospitalisation Details'!$A:$A, 'Hospitalisation Details'!I:I, "No Data")</f>
        <v>tier - 1</v>
      </c>
      <c r="L598" s="28" t="str">
        <f t="array" ref="L598">_xlfn.XLOOKUP($A598, 'Hospitalisation Details'!$A:$A, 'Hospitalisation Details'!J:J, "No Data")</f>
        <v>R1013</v>
      </c>
      <c r="M598" s="28" t="str">
        <f t="array" ref="M598">_xlfn.XLOOKUP($A598, 'Hospitalisation Details'!$A:$A, 'Hospitalisation Details'!E:E, "No Data")</f>
        <v>25/06/01</v>
      </c>
      <c r="N598" s="28">
        <f t="array" ref="N598">_xlfn.XLOOKUP($A598, 'Hospitalisation Details'!$A:$A, 'Hospitalisation Details'!K:K, "No Data")</f>
        <v>21</v>
      </c>
      <c r="O598" s="33">
        <f t="array" ref="O598">_xlfn.XLOOKUP($A598, 'Hospitalisation Details'!$A:$A, 'Hospitalisation Details'!G:G, "No Data")</f>
        <v>16586.5</v>
      </c>
      <c r="P598" s="28" t="str">
        <f t="array" ref="P598">_xlfn.XLOOKUP($A598, 'Hospitalisation Details'!$A:$A, 'Hospitalisation Details'!H:H, "No Data")</f>
        <v>tier - 2</v>
      </c>
    </row>
    <row r="599">
      <c r="A599" s="25" t="s">
        <v>1902</v>
      </c>
      <c r="B599" s="28" t="str">
        <f t="array" ref="B599">_xlfn.XLOOKUP($A599, 'Customer Names'!$A:$A, 'Customer Names'!B:B, "No Data")</f>
        <v>Dillon</v>
      </c>
      <c r="C599" s="28">
        <f t="array" ref="C599">_xlfn.XLOOKUP($A599, 'Medical Examinations'!$A:$A, 'Medical Examinations'!B:B, "No Data")</f>
        <v>24.75</v>
      </c>
      <c r="D599" s="28">
        <f t="array" ref="D599">_xlfn.XLOOKUP($A599, 'Medical Examinations'!$A:$A, 'Medical Examinations'!C:C, "No Data")</f>
        <v>4.36</v>
      </c>
      <c r="E599" s="28" t="str">
        <f t="array" ref="E599">_xlfn.XLOOKUP($A599, 'Medical Examinations'!$A:$A, 'Medical Examinations'!D:D, "No Data")</f>
        <v>yes</v>
      </c>
      <c r="F599" s="28" t="str">
        <f t="array" ref="F599">_xlfn.XLOOKUP($A599, 'Medical Examinations'!$A:$A, 'Medical Examinations'!E:E, "No Data")</f>
        <v>No</v>
      </c>
      <c r="G599" s="28" t="str">
        <f t="array" ref="G599">_xlfn.XLOOKUP($A599, 'Medical Examinations'!$A:$A, 'Medical Examinations'!F:F, "No Data")</f>
        <v>No</v>
      </c>
      <c r="H599" s="28">
        <f t="array" ref="H599">_xlfn.XLOOKUP($A599, 'Medical Examinations'!$A:$A, 'Medical Examinations'!G:G, "No Data")</f>
        <v>1</v>
      </c>
      <c r="I599" s="28" t="str">
        <f t="array" ref="I599">_xlfn.XLOOKUP($A599, 'Medical Examinations'!$A:$A, 'Medical Examinations'!H:H, "No Data")</f>
        <v>yes</v>
      </c>
      <c r="J599" s="28" t="str">
        <f t="array" ref="J599">_xlfn.XLOOKUP($A599, 'Medical Examinations'!$A:$A, 'Medical Examinations'!I:I, "No Data")</f>
        <v>Normal Weight</v>
      </c>
      <c r="K599" s="28" t="str">
        <f t="array" ref="K599">_xlfn.XLOOKUP($A599, 'Hospitalisation Details'!$A:$A, 'Hospitalisation Details'!I:I, "No Data")</f>
        <v>tier - 1</v>
      </c>
      <c r="L599" s="28" t="str">
        <f t="array" ref="L599">_xlfn.XLOOKUP($A599, 'Hospitalisation Details'!$A:$A, 'Hospitalisation Details'!J:J, "No Data")</f>
        <v>R1013</v>
      </c>
      <c r="M599" s="28" t="str">
        <f t="array" ref="M599">_xlfn.XLOOKUP($A599, 'Hospitalisation Details'!$A:$A, 'Hospitalisation Details'!E:E, "No Data")</f>
        <v>23/12/95</v>
      </c>
      <c r="N599" s="28">
        <f t="array" ref="N599">_xlfn.XLOOKUP($A599, 'Hospitalisation Details'!$A:$A, 'Hospitalisation Details'!K:K, "No Data")</f>
        <v>27</v>
      </c>
      <c r="O599" s="33">
        <f t="array" ref="O599">_xlfn.XLOOKUP($A599, 'Hospitalisation Details'!$A:$A, 'Hospitalisation Details'!G:G, "No Data")</f>
        <v>16577.78</v>
      </c>
      <c r="P599" s="28" t="str">
        <f t="array" ref="P599">_xlfn.XLOOKUP($A599, 'Hospitalisation Details'!$A:$A, 'Hospitalisation Details'!H:H, "No Data")</f>
        <v>tier - 2</v>
      </c>
    </row>
    <row r="600">
      <c r="A600" s="25" t="s">
        <v>1905</v>
      </c>
      <c r="B600" s="28" t="str">
        <f t="array" ref="B600">_xlfn.XLOOKUP($A600, 'Customer Names'!$A:$A, 'Customer Names'!B:B, "No Data")</f>
        <v>Pontes</v>
      </c>
      <c r="C600" s="28">
        <f t="array" ref="C600">_xlfn.XLOOKUP($A600, 'Medical Examinations'!$A:$A, 'Medical Examinations'!B:B, "No Data")</f>
        <v>30.115</v>
      </c>
      <c r="D600" s="28">
        <f t="array" ref="D600">_xlfn.XLOOKUP($A600, 'Medical Examinations'!$A:$A, 'Medical Examinations'!C:C, "No Data")</f>
        <v>10.12</v>
      </c>
      <c r="E600" s="28" t="str">
        <f t="array" ref="E600">_xlfn.XLOOKUP($A600, 'Medical Examinations'!$A:$A, 'Medical Examinations'!D:D, "No Data")</f>
        <v>No</v>
      </c>
      <c r="F600" s="28" t="str">
        <f t="array" ref="F600">_xlfn.XLOOKUP($A600, 'Medical Examinations'!$A:$A, 'Medical Examinations'!E:E, "No Data")</f>
        <v>No</v>
      </c>
      <c r="G600" s="28" t="str">
        <f t="array" ref="G600">_xlfn.XLOOKUP($A600, 'Medical Examinations'!$A:$A, 'Medical Examinations'!F:F, "No Data")</f>
        <v>No</v>
      </c>
      <c r="H600" s="28">
        <f t="array" ref="H600">_xlfn.XLOOKUP($A600, 'Medical Examinations'!$A:$A, 'Medical Examinations'!G:G, "No Data")</f>
        <v>3</v>
      </c>
      <c r="I600" s="28" t="str">
        <f t="array" ref="I600">_xlfn.XLOOKUP($A600, 'Medical Examinations'!$A:$A, 'Medical Examinations'!H:H, "No Data")</f>
        <v>No</v>
      </c>
      <c r="J600" s="28" t="str">
        <f t="array" ref="J600">_xlfn.XLOOKUP($A600, 'Medical Examinations'!$A:$A, 'Medical Examinations'!I:I, "No Data")</f>
        <v>Obesity</v>
      </c>
      <c r="K600" s="28" t="str">
        <f t="array" ref="K600">_xlfn.XLOOKUP($A600, 'Hospitalisation Details'!$A:$A, 'Hospitalisation Details'!I:I, "No Data")</f>
        <v>tier - 2</v>
      </c>
      <c r="L600" s="28" t="str">
        <f t="array" ref="L600">_xlfn.XLOOKUP($A600, 'Hospitalisation Details'!$A:$A, 'Hospitalisation Details'!J:J, "No Data")</f>
        <v>R1012</v>
      </c>
      <c r="M600" s="28" t="str">
        <f t="array" ref="M600">_xlfn.XLOOKUP($A600, 'Hospitalisation Details'!$A:$A, 'Hospitalisation Details'!E:E, "No Data")</f>
        <v>10/10/58</v>
      </c>
      <c r="N600" s="28">
        <f t="array" ref="N600">_xlfn.XLOOKUP($A600, 'Hospitalisation Details'!$A:$A, 'Hospitalisation Details'!K:K, "No Data")</f>
        <v>64</v>
      </c>
      <c r="O600" s="33">
        <f t="array" ref="O600">_xlfn.XLOOKUP($A600, 'Hospitalisation Details'!$A:$A, 'Hospitalisation Details'!G:G, "No Data")</f>
        <v>16455.71</v>
      </c>
      <c r="P600" s="28" t="str">
        <f t="array" ref="P600">_xlfn.XLOOKUP($A600, 'Hospitalisation Details'!$A:$A, 'Hospitalisation Details'!H:H, "No Data")</f>
        <v>tier - 2</v>
      </c>
    </row>
    <row r="601">
      <c r="A601" s="25" t="s">
        <v>1908</v>
      </c>
      <c r="B601" s="28" t="str">
        <f t="array" ref="B601">_xlfn.XLOOKUP($A601, 'Customer Names'!$A:$A, 'Customer Names'!B:B, "No Data")</f>
        <v>Spies</v>
      </c>
      <c r="C601" s="28">
        <f t="array" ref="C601">_xlfn.XLOOKUP($A601, 'Medical Examinations'!$A:$A, 'Medical Examinations'!B:B, "No Data")</f>
        <v>26.03</v>
      </c>
      <c r="D601" s="28">
        <f t="array" ref="D601">_xlfn.XLOOKUP($A601, 'Medical Examinations'!$A:$A, 'Medical Examinations'!C:C, "No Data")</f>
        <v>4.01</v>
      </c>
      <c r="E601" s="28" t="str">
        <f t="array" ref="E601">_xlfn.XLOOKUP($A601, 'Medical Examinations'!$A:$A, 'Medical Examinations'!D:D, "No Data")</f>
        <v>No</v>
      </c>
      <c r="F601" s="28" t="str">
        <f t="array" ref="F601">_xlfn.XLOOKUP($A601, 'Medical Examinations'!$A:$A, 'Medical Examinations'!E:E, "No Data")</f>
        <v>No</v>
      </c>
      <c r="G601" s="28" t="str">
        <f t="array" ref="G601">_xlfn.XLOOKUP($A601, 'Medical Examinations'!$A:$A, 'Medical Examinations'!F:F, "No Data")</f>
        <v>Yes</v>
      </c>
      <c r="H601" s="28">
        <f t="array" ref="H601">_xlfn.XLOOKUP($A601, 'Medical Examinations'!$A:$A, 'Medical Examinations'!G:G, "No Data")</f>
        <v>1</v>
      </c>
      <c r="I601" s="28" t="str">
        <f t="array" ref="I601">_xlfn.XLOOKUP($A601, 'Medical Examinations'!$A:$A, 'Medical Examinations'!H:H, "No Data")</f>
        <v>yes</v>
      </c>
      <c r="J601" s="28" t="str">
        <f t="array" ref="J601">_xlfn.XLOOKUP($A601, 'Medical Examinations'!$A:$A, 'Medical Examinations'!I:I, "No Data")</f>
        <v>Overweight</v>
      </c>
      <c r="K601" s="28" t="str">
        <f t="array" ref="K601">_xlfn.XLOOKUP($A601, 'Hospitalisation Details'!$A:$A, 'Hospitalisation Details'!I:I, "No Data")</f>
        <v>tier - 1</v>
      </c>
      <c r="L601" s="28" t="str">
        <f t="array" ref="L601">_xlfn.XLOOKUP($A601, 'Hospitalisation Details'!$A:$A, 'Hospitalisation Details'!J:J, "No Data")</f>
        <v>R1012</v>
      </c>
      <c r="M601" s="28" t="str">
        <f t="array" ref="M601">_xlfn.XLOOKUP($A601, 'Hospitalisation Details'!$A:$A, 'Hospitalisation Details'!E:E, "No Data")</f>
        <v>20/12/03</v>
      </c>
      <c r="N601" s="28">
        <f t="array" ref="N601">_xlfn.XLOOKUP($A601, 'Hospitalisation Details'!$A:$A, 'Hospitalisation Details'!K:K, "No Data")</f>
        <v>19</v>
      </c>
      <c r="O601" s="33">
        <f t="array" ref="O601">_xlfn.XLOOKUP($A601, 'Hospitalisation Details'!$A:$A, 'Hospitalisation Details'!G:G, "No Data")</f>
        <v>16450.89</v>
      </c>
      <c r="P601" s="28" t="str">
        <f t="array" ref="P601">_xlfn.XLOOKUP($A601, 'Hospitalisation Details'!$A:$A, 'Hospitalisation Details'!H:H, "No Data")</f>
        <v>tier - 2</v>
      </c>
    </row>
    <row r="602">
      <c r="A602" s="25" t="s">
        <v>1912</v>
      </c>
      <c r="B602" s="28" t="str">
        <f t="array" ref="B602">_xlfn.XLOOKUP($A602, 'Customer Names'!$A:$A, 'Customer Names'!B:B, "No Data")</f>
        <v>Greig</v>
      </c>
      <c r="C602" s="28">
        <f t="array" ref="C602">_xlfn.XLOOKUP($A602, 'Medical Examinations'!$A:$A, 'Medical Examinations'!B:B, "No Data")</f>
        <v>20.045</v>
      </c>
      <c r="D602" s="28">
        <f t="array" ref="D602">_xlfn.XLOOKUP($A602, 'Medical Examinations'!$A:$A, 'Medical Examinations'!C:C, "No Data")</f>
        <v>4.77</v>
      </c>
      <c r="E602" s="28" t="str">
        <f t="array" ref="E602">_xlfn.XLOOKUP($A602, 'Medical Examinations'!$A:$A, 'Medical Examinations'!D:D, "No Data")</f>
        <v>yes</v>
      </c>
      <c r="F602" s="28" t="str">
        <f t="array" ref="F602">_xlfn.XLOOKUP($A602, 'Medical Examinations'!$A:$A, 'Medical Examinations'!E:E, "No Data")</f>
        <v>No</v>
      </c>
      <c r="G602" s="28" t="str">
        <f t="array" ref="G602">_xlfn.XLOOKUP($A602, 'Medical Examinations'!$A:$A, 'Medical Examinations'!F:F, "No Data")</f>
        <v>No</v>
      </c>
      <c r="H602" s="28">
        <f t="array" ref="H602">_xlfn.XLOOKUP($A602, 'Medical Examinations'!$A:$A, 'Medical Examinations'!G:G, "No Data")</f>
        <v>1</v>
      </c>
      <c r="I602" s="28" t="str">
        <f t="array" ref="I602">_xlfn.XLOOKUP($A602, 'Medical Examinations'!$A:$A, 'Medical Examinations'!H:H, "No Data")</f>
        <v>yes</v>
      </c>
      <c r="J602" s="28" t="str">
        <f t="array" ref="J602">_xlfn.XLOOKUP($A602, 'Medical Examinations'!$A:$A, 'Medical Examinations'!I:I, "No Data")</f>
        <v>Normal Weight</v>
      </c>
      <c r="K602" s="28" t="str">
        <f t="array" ref="K602">_xlfn.XLOOKUP($A602, 'Hospitalisation Details'!$A:$A, 'Hospitalisation Details'!I:I, "No Data")</f>
        <v>tier - 3</v>
      </c>
      <c r="L602" s="28" t="str">
        <f t="array" ref="L602">_xlfn.XLOOKUP($A602, 'Hospitalisation Details'!$A:$A, 'Hospitalisation Details'!J:J, "No Data")</f>
        <v>R1012</v>
      </c>
      <c r="M602" s="28" t="str">
        <f t="array" ref="M602">_xlfn.XLOOKUP($A602, 'Hospitalisation Details'!$A:$A, 'Hospitalisation Details'!E:E, "No Data")</f>
        <v>28/09/95</v>
      </c>
      <c r="N602" s="28">
        <f t="array" ref="N602">_xlfn.XLOOKUP($A602, 'Hospitalisation Details'!$A:$A, 'Hospitalisation Details'!K:K, "No Data")</f>
        <v>27</v>
      </c>
      <c r="O602" s="33">
        <f t="array" ref="O602">_xlfn.XLOOKUP($A602, 'Hospitalisation Details'!$A:$A, 'Hospitalisation Details'!G:G, "No Data")</f>
        <v>16420.49</v>
      </c>
      <c r="P602" s="28" t="str">
        <f t="array" ref="P602">_xlfn.XLOOKUP($A602, 'Hospitalisation Details'!$A:$A, 'Hospitalisation Details'!H:H, "No Data")</f>
        <v>tier - 2</v>
      </c>
    </row>
    <row r="603">
      <c r="A603" s="25" t="s">
        <v>1915</v>
      </c>
      <c r="B603" s="28" t="str">
        <f t="array" ref="B603">_xlfn.XLOOKUP($A603, 'Customer Names'!$A:$A, 'Customer Names'!B:B, "No Data")</f>
        <v>Scott</v>
      </c>
      <c r="C603" s="28">
        <f t="array" ref="C603">_xlfn.XLOOKUP($A603, 'Medical Examinations'!$A:$A, 'Medical Examinations'!B:B, "No Data")</f>
        <v>40.24</v>
      </c>
      <c r="D603" s="28">
        <f t="array" ref="D603">_xlfn.XLOOKUP($A603, 'Medical Examinations'!$A:$A, 'Medical Examinations'!C:C, "No Data")</f>
        <v>6.83</v>
      </c>
      <c r="E603" s="28" t="str">
        <f t="array" ref="E603">_xlfn.XLOOKUP($A603, 'Medical Examinations'!$A:$A, 'Medical Examinations'!D:D, "No Data")</f>
        <v>No</v>
      </c>
      <c r="F603" s="28" t="str">
        <f t="array" ref="F603">_xlfn.XLOOKUP($A603, 'Medical Examinations'!$A:$A, 'Medical Examinations'!E:E, "No Data")</f>
        <v>No</v>
      </c>
      <c r="G603" s="28" t="str">
        <f t="array" ref="G603">_xlfn.XLOOKUP($A603, 'Medical Examinations'!$A:$A, 'Medical Examinations'!F:F, "No Data")</f>
        <v>No</v>
      </c>
      <c r="H603" s="28">
        <f t="array" ref="H603">_xlfn.XLOOKUP($A603, 'Medical Examinations'!$A:$A, 'Medical Examinations'!G:G, "No Data")</f>
        <v>0</v>
      </c>
      <c r="I603" s="28" t="str">
        <f t="array" ref="I603">_xlfn.XLOOKUP($A603, 'Medical Examinations'!$A:$A, 'Medical Examinations'!H:H, "No Data")</f>
        <v>No</v>
      </c>
      <c r="J603" s="28" t="str">
        <f t="array" ref="J603">_xlfn.XLOOKUP($A603, 'Medical Examinations'!$A:$A, 'Medical Examinations'!I:I, "No Data")</f>
        <v>Obesity</v>
      </c>
      <c r="K603" s="28" t="str">
        <f t="array" ref="K603">_xlfn.XLOOKUP($A603, 'Hospitalisation Details'!$A:$A, 'Hospitalisation Details'!I:I, "No Data")</f>
        <v>tier - 3</v>
      </c>
      <c r="L603" s="28" t="str">
        <f t="array" ref="L603">_xlfn.XLOOKUP($A603, 'Hospitalisation Details'!$A:$A, 'Hospitalisation Details'!J:J, "No Data")</f>
        <v>R1026</v>
      </c>
      <c r="M603" s="28" t="str">
        <f t="array" ref="M603">_xlfn.XLOOKUP($A603, 'Hospitalisation Details'!$A:$A, 'Hospitalisation Details'!E:E, "No Data")</f>
        <v>05/12/65</v>
      </c>
      <c r="N603" s="28">
        <f t="array" ref="N603">_xlfn.XLOOKUP($A603, 'Hospitalisation Details'!$A:$A, 'Hospitalisation Details'!K:K, "No Data")</f>
        <v>57</v>
      </c>
      <c r="O603" s="33">
        <f t="array" ref="O603">_xlfn.XLOOKUP($A603, 'Hospitalisation Details'!$A:$A, 'Hospitalisation Details'!G:G, "No Data")</f>
        <v>16351.42</v>
      </c>
      <c r="P603" s="28" t="str">
        <f t="array" ref="P603">_xlfn.XLOOKUP($A603, 'Hospitalisation Details'!$A:$A, 'Hospitalisation Details'!H:H, "No Data")</f>
        <v>tier - 2</v>
      </c>
    </row>
    <row r="604">
      <c r="A604" s="25" t="s">
        <v>1916</v>
      </c>
      <c r="B604" s="28" t="str">
        <f t="array" ref="B604">_xlfn.XLOOKUP($A604, 'Customer Names'!$A:$A, 'Customer Names'!B:B, "No Data")</f>
        <v>Erlandson</v>
      </c>
      <c r="C604" s="28">
        <f t="array" ref="C604">_xlfn.XLOOKUP($A604, 'Medical Examinations'!$A:$A, 'Medical Examinations'!B:B, "No Data")</f>
        <v>43.15</v>
      </c>
      <c r="D604" s="28">
        <f t="array" ref="D604">_xlfn.XLOOKUP($A604, 'Medical Examinations'!$A:$A, 'Medical Examinations'!C:C, "No Data")</f>
        <v>6.14</v>
      </c>
      <c r="E604" s="28" t="str">
        <f t="array" ref="E604">_xlfn.XLOOKUP($A604, 'Medical Examinations'!$A:$A, 'Medical Examinations'!D:D, "No Data")</f>
        <v>yes</v>
      </c>
      <c r="F604" s="28" t="str">
        <f t="array" ref="F604">_xlfn.XLOOKUP($A604, 'Medical Examinations'!$A:$A, 'Medical Examinations'!E:E, "No Data")</f>
        <v>No</v>
      </c>
      <c r="G604" s="28" t="str">
        <f t="array" ref="G604">_xlfn.XLOOKUP($A604, 'Medical Examinations'!$A:$A, 'Medical Examinations'!F:F, "No Data")</f>
        <v>Yes</v>
      </c>
      <c r="H604" s="28">
        <f t="array" ref="H604">_xlfn.XLOOKUP($A604, 'Medical Examinations'!$A:$A, 'Medical Examinations'!G:G, "No Data")</f>
        <v>1</v>
      </c>
      <c r="I604" s="28" t="str">
        <f t="array" ref="I604">_xlfn.XLOOKUP($A604, 'Medical Examinations'!$A:$A, 'Medical Examinations'!H:H, "No Data")</f>
        <v>No</v>
      </c>
      <c r="J604" s="28" t="str">
        <f t="array" ref="J604">_xlfn.XLOOKUP($A604, 'Medical Examinations'!$A:$A, 'Medical Examinations'!I:I, "No Data")</f>
        <v>Obesity</v>
      </c>
      <c r="K604" s="28" t="str">
        <f t="array" ref="K604">_xlfn.XLOOKUP($A604, 'Hospitalisation Details'!$A:$A, 'Hospitalisation Details'!I:I, "No Data")</f>
        <v>tier - 3</v>
      </c>
      <c r="L604" s="28" t="str">
        <f t="array" ref="L604">_xlfn.XLOOKUP($A604, 'Hospitalisation Details'!$A:$A, 'Hospitalisation Details'!J:J, "No Data")</f>
        <v>R1026</v>
      </c>
      <c r="M604" s="28" t="str">
        <f t="array" ref="M604">_xlfn.XLOOKUP($A604, 'Hospitalisation Details'!$A:$A, 'Hospitalisation Details'!E:E, "No Data")</f>
        <v>08/08/69</v>
      </c>
      <c r="N604" s="28">
        <f t="array" ref="N604">_xlfn.XLOOKUP($A604, 'Hospitalisation Details'!$A:$A, 'Hospitalisation Details'!K:K, "No Data")</f>
        <v>53</v>
      </c>
      <c r="O604" s="33">
        <f t="array" ref="O604">_xlfn.XLOOKUP($A604, 'Hospitalisation Details'!$A:$A, 'Hospitalisation Details'!G:G, "No Data")</f>
        <v>16311.05</v>
      </c>
      <c r="P604" s="28" t="str">
        <f t="array" ref="P604">_xlfn.XLOOKUP($A604, 'Hospitalisation Details'!$A:$A, 'Hospitalisation Details'!H:H, "No Data")</f>
        <v>tier - 2</v>
      </c>
    </row>
    <row r="605">
      <c r="A605" s="25" t="s">
        <v>1920</v>
      </c>
      <c r="B605" s="28" t="str">
        <f t="array" ref="B605">_xlfn.XLOOKUP($A605, 'Customer Names'!$A:$A, 'Customer Names'!B:B, "No Data")</f>
        <v>Autrey</v>
      </c>
      <c r="C605" s="28">
        <f t="array" ref="C605">_xlfn.XLOOKUP($A605, 'Medical Examinations'!$A:$A, 'Medical Examinations'!B:B, "No Data")</f>
        <v>27.7</v>
      </c>
      <c r="D605" s="28">
        <f t="array" ref="D605">_xlfn.XLOOKUP($A605, 'Medical Examinations'!$A:$A, 'Medical Examinations'!C:C, "No Data")</f>
        <v>5.6</v>
      </c>
      <c r="E605" s="28" t="str">
        <f t="array" ref="E605">_xlfn.XLOOKUP($A605, 'Medical Examinations'!$A:$A, 'Medical Examinations'!D:D, "No Data")</f>
        <v>No</v>
      </c>
      <c r="F605" s="28" t="str">
        <f t="array" ref="F605">_xlfn.XLOOKUP($A605, 'Medical Examinations'!$A:$A, 'Medical Examinations'!E:E, "No Data")</f>
        <v>No</v>
      </c>
      <c r="G605" s="28" t="str">
        <f t="array" ref="G605">_xlfn.XLOOKUP($A605, 'Medical Examinations'!$A:$A, 'Medical Examinations'!F:F, "No Data")</f>
        <v>Yes</v>
      </c>
      <c r="H605" s="28">
        <f t="array" ref="H605">_xlfn.XLOOKUP($A605, 'Medical Examinations'!$A:$A, 'Medical Examinations'!G:G, "No Data")</f>
        <v>1</v>
      </c>
      <c r="I605" s="28" t="str">
        <f t="array" ref="I605">_xlfn.XLOOKUP($A605, 'Medical Examinations'!$A:$A, 'Medical Examinations'!H:H, "No Data")</f>
        <v>yes</v>
      </c>
      <c r="J605" s="28" t="str">
        <f t="array" ref="J605">_xlfn.XLOOKUP($A605, 'Medical Examinations'!$A:$A, 'Medical Examinations'!I:I, "No Data")</f>
        <v>Overweight</v>
      </c>
      <c r="K605" s="28" t="str">
        <f t="array" ref="K605">_xlfn.XLOOKUP($A605, 'Hospitalisation Details'!$A:$A, 'Hospitalisation Details'!I:I, "No Data")</f>
        <v>tier - 3</v>
      </c>
      <c r="L605" s="28" t="str">
        <f t="array" ref="L605">_xlfn.XLOOKUP($A605, 'Hospitalisation Details'!$A:$A, 'Hospitalisation Details'!J:J, "No Data")</f>
        <v>R1011</v>
      </c>
      <c r="M605" s="28" t="str">
        <f t="array" ref="M605">_xlfn.XLOOKUP($A605, 'Hospitalisation Details'!$A:$A, 'Hospitalisation Details'!E:E, "No Data")</f>
        <v>24/08/03</v>
      </c>
      <c r="N605" s="28">
        <f t="array" ref="N605">_xlfn.XLOOKUP($A605, 'Hospitalisation Details'!$A:$A, 'Hospitalisation Details'!K:K, "No Data")</f>
        <v>19</v>
      </c>
      <c r="O605" s="33">
        <f t="array" ref="O605">_xlfn.XLOOKUP($A605, 'Hospitalisation Details'!$A:$A, 'Hospitalisation Details'!G:G, "No Data")</f>
        <v>16297.85</v>
      </c>
      <c r="P605" s="28" t="str">
        <f t="array" ref="P605">_xlfn.XLOOKUP($A605, 'Hospitalisation Details'!$A:$A, 'Hospitalisation Details'!H:H, "No Data")</f>
        <v>tier - 2</v>
      </c>
    </row>
    <row r="606">
      <c r="A606" s="25" t="s">
        <v>1922</v>
      </c>
      <c r="B606" s="28" t="str">
        <f t="array" ref="B606">_xlfn.XLOOKUP($A606, 'Customer Names'!$A:$A, 'Customer Names'!B:B, "No Data")</f>
        <v>Alleman</v>
      </c>
      <c r="C606" s="28">
        <f t="array" ref="C606">_xlfn.XLOOKUP($A606, 'Medical Examinations'!$A:$A, 'Medical Examinations'!B:B, "No Data")</f>
        <v>45.68</v>
      </c>
      <c r="D606" s="28">
        <f t="array" ref="D606">_xlfn.XLOOKUP($A606, 'Medical Examinations'!$A:$A, 'Medical Examinations'!C:C, "No Data")</f>
        <v>4.8</v>
      </c>
      <c r="E606" s="28" t="str">
        <f t="array" ref="E606">_xlfn.XLOOKUP($A606, 'Medical Examinations'!$A:$A, 'Medical Examinations'!D:D, "No Data")</f>
        <v>No</v>
      </c>
      <c r="F606" s="28" t="str">
        <f t="array" ref="F606">_xlfn.XLOOKUP($A606, 'Medical Examinations'!$A:$A, 'Medical Examinations'!E:E, "No Data")</f>
        <v>No</v>
      </c>
      <c r="G606" s="28" t="str">
        <f t="array" ref="G606">_xlfn.XLOOKUP($A606, 'Medical Examinations'!$A:$A, 'Medical Examinations'!F:F, "No Data")</f>
        <v>No</v>
      </c>
      <c r="H606" s="28">
        <f t="array" ref="H606">_xlfn.XLOOKUP($A606, 'Medical Examinations'!$A:$A, 'Medical Examinations'!G:G, "No Data")</f>
        <v>2</v>
      </c>
      <c r="I606" s="28" t="str">
        <f t="array" ref="I606">_xlfn.XLOOKUP($A606, 'Medical Examinations'!$A:$A, 'Medical Examinations'!H:H, "No Data")</f>
        <v>No</v>
      </c>
      <c r="J606" s="28" t="str">
        <f t="array" ref="J606">_xlfn.XLOOKUP($A606, 'Medical Examinations'!$A:$A, 'Medical Examinations'!I:I, "No Data")</f>
        <v>Obesity</v>
      </c>
      <c r="K606" s="28" t="str">
        <f t="array" ref="K606">_xlfn.XLOOKUP($A606, 'Hospitalisation Details'!$A:$A, 'Hospitalisation Details'!I:I, "No Data")</f>
        <v>tier - 2</v>
      </c>
      <c r="L606" s="28" t="str">
        <f t="array" ref="L606">_xlfn.XLOOKUP($A606, 'Hospitalisation Details'!$A:$A, 'Hospitalisation Details'!J:J, "No Data")</f>
        <v>R1023</v>
      </c>
      <c r="M606" s="28" t="str">
        <f t="array" ref="M606">_xlfn.XLOOKUP($A606, 'Hospitalisation Details'!$A:$A, 'Hospitalisation Details'!E:E, "No Data")</f>
        <v>30/07/72</v>
      </c>
      <c r="N606" s="28">
        <f t="array" ref="N606">_xlfn.XLOOKUP($A606, 'Hospitalisation Details'!$A:$A, 'Hospitalisation Details'!K:K, "No Data")</f>
        <v>50</v>
      </c>
      <c r="O606" s="33">
        <f t="array" ref="O606">_xlfn.XLOOKUP($A606, 'Hospitalisation Details'!$A:$A, 'Hospitalisation Details'!G:G, "No Data")</f>
        <v>16267.32</v>
      </c>
      <c r="P606" s="28" t="str">
        <f t="array" ref="P606">_xlfn.XLOOKUP($A606, 'Hospitalisation Details'!$A:$A, 'Hospitalisation Details'!H:H, "No Data")</f>
        <v>tier - 2</v>
      </c>
    </row>
    <row r="607">
      <c r="A607" s="25" t="s">
        <v>1925</v>
      </c>
      <c r="B607" s="28" t="str">
        <f t="array" ref="B607">_xlfn.XLOOKUP($A607, 'Customer Names'!$A:$A, 'Customer Names'!B:B, "No Data")</f>
        <v>Michalski</v>
      </c>
      <c r="C607" s="28">
        <f t="array" ref="C607">_xlfn.XLOOKUP($A607, 'Medical Examinations'!$A:$A, 'Medical Examinations'!B:B, "No Data")</f>
        <v>27.3</v>
      </c>
      <c r="D607" s="28">
        <f t="array" ref="D607">_xlfn.XLOOKUP($A607, 'Medical Examinations'!$A:$A, 'Medical Examinations'!C:C, "No Data")</f>
        <v>11.89</v>
      </c>
      <c r="E607" s="28" t="str">
        <f t="array" ref="E607">_xlfn.XLOOKUP($A607, 'Medical Examinations'!$A:$A, 'Medical Examinations'!D:D, "No Data")</f>
        <v>No</v>
      </c>
      <c r="F607" s="28" t="str">
        <f t="array" ref="F607">_xlfn.XLOOKUP($A607, 'Medical Examinations'!$A:$A, 'Medical Examinations'!E:E, "No Data")</f>
        <v>No</v>
      </c>
      <c r="G607" s="28" t="str">
        <f t="array" ref="G607">_xlfn.XLOOKUP($A607, 'Medical Examinations'!$A:$A, 'Medical Examinations'!F:F, "No Data")</f>
        <v>No</v>
      </c>
      <c r="H607" s="28">
        <f t="array" ref="H607">_xlfn.XLOOKUP($A607, 'Medical Examinations'!$A:$A, 'Medical Examinations'!G:G, "No Data")</f>
        <v>0</v>
      </c>
      <c r="I607" s="28" t="str">
        <f t="array" ref="I607">_xlfn.XLOOKUP($A607, 'Medical Examinations'!$A:$A, 'Medical Examinations'!H:H, "No Data")</f>
        <v>yes</v>
      </c>
      <c r="J607" s="28" t="str">
        <f t="array" ref="J607">_xlfn.XLOOKUP($A607, 'Medical Examinations'!$A:$A, 'Medical Examinations'!I:I, "No Data")</f>
        <v>Overweight</v>
      </c>
      <c r="K607" s="28" t="str">
        <f t="array" ref="K607">_xlfn.XLOOKUP($A607, 'Hospitalisation Details'!$A:$A, 'Hospitalisation Details'!I:I, "No Data")</f>
        <v>tier - 1</v>
      </c>
      <c r="L607" s="28" t="str">
        <f t="array" ref="L607">_xlfn.XLOOKUP($A607, 'Hospitalisation Details'!$A:$A, 'Hospitalisation Details'!J:J, "No Data")</f>
        <v>R1011</v>
      </c>
      <c r="M607" s="28" t="str">
        <f t="array" ref="M607">_xlfn.XLOOKUP($A607, 'Hospitalisation Details'!$A:$A, 'Hospitalisation Details'!E:E, "No Data")</f>
        <v>08/09/02</v>
      </c>
      <c r="N607" s="28">
        <f t="array" ref="N607">_xlfn.XLOOKUP($A607, 'Hospitalisation Details'!$A:$A, 'Hospitalisation Details'!K:K, "No Data")</f>
        <v>20</v>
      </c>
      <c r="O607" s="33">
        <f t="array" ref="O607">_xlfn.XLOOKUP($A607, 'Hospitalisation Details'!$A:$A, 'Hospitalisation Details'!G:G, "No Data")</f>
        <v>16232.85</v>
      </c>
      <c r="P607" s="28" t="str">
        <f t="array" ref="P607">_xlfn.XLOOKUP($A607, 'Hospitalisation Details'!$A:$A, 'Hospitalisation Details'!H:H, "No Data")</f>
        <v>tier - 2</v>
      </c>
    </row>
    <row r="608">
      <c r="A608" s="25" t="s">
        <v>1928</v>
      </c>
      <c r="B608" s="28" t="str">
        <f t="array" ref="B608">_xlfn.XLOOKUP($A608, 'Customer Names'!$A:$A, 'Customer Names'!B:B, "No Data")</f>
        <v>Grillo</v>
      </c>
      <c r="C608" s="28">
        <f t="array" ref="C608">_xlfn.XLOOKUP($A608, 'Medical Examinations'!$A:$A, 'Medical Examinations'!B:B, "No Data")</f>
        <v>54.45</v>
      </c>
      <c r="D608" s="28">
        <f t="array" ref="D608">_xlfn.XLOOKUP($A608, 'Medical Examinations'!$A:$A, 'Medical Examinations'!C:C, "No Data")</f>
        <v>4.73</v>
      </c>
      <c r="E608" s="28" t="str">
        <f t="array" ref="E608">_xlfn.XLOOKUP($A608, 'Medical Examinations'!$A:$A, 'Medical Examinations'!D:D, "No Data")</f>
        <v>yes</v>
      </c>
      <c r="F608" s="28" t="str">
        <f t="array" ref="F608">_xlfn.XLOOKUP($A608, 'Medical Examinations'!$A:$A, 'Medical Examinations'!E:E, "No Data")</f>
        <v>No</v>
      </c>
      <c r="G608" s="28" t="str">
        <f t="array" ref="G608">_xlfn.XLOOKUP($A608, 'Medical Examinations'!$A:$A, 'Medical Examinations'!F:F, "No Data")</f>
        <v>No</v>
      </c>
      <c r="H608" s="28">
        <f t="array" ref="H608">_xlfn.XLOOKUP($A608, 'Medical Examinations'!$A:$A, 'Medical Examinations'!G:G, "No Data")</f>
        <v>1</v>
      </c>
      <c r="I608" s="28" t="str">
        <f t="array" ref="I608">_xlfn.XLOOKUP($A608, 'Medical Examinations'!$A:$A, 'Medical Examinations'!H:H, "No Data")</f>
        <v>No</v>
      </c>
      <c r="J608" s="28" t="str">
        <f t="array" ref="J608">_xlfn.XLOOKUP($A608, 'Medical Examinations'!$A:$A, 'Medical Examinations'!I:I, "No Data")</f>
        <v>Obesity</v>
      </c>
      <c r="K608" s="28" t="str">
        <f t="array" ref="K608">_xlfn.XLOOKUP($A608, 'Hospitalisation Details'!$A:$A, 'Hospitalisation Details'!I:I, "No Data")</f>
        <v>tier - 1</v>
      </c>
      <c r="L608" s="28" t="str">
        <f t="array" ref="L608">_xlfn.XLOOKUP($A608, 'Hospitalisation Details'!$A:$A, 'Hospitalisation Details'!J:J, "No Data")</f>
        <v>R1012</v>
      </c>
      <c r="M608" s="28" t="str">
        <f t="array" ref="M608">_xlfn.XLOOKUP($A608, 'Hospitalisation Details'!$A:$A, 'Hospitalisation Details'!E:E, "No Data")</f>
        <v>21/08/88</v>
      </c>
      <c r="N608" s="28">
        <f t="array" ref="N608">_xlfn.XLOOKUP($A608, 'Hospitalisation Details'!$A:$A, 'Hospitalisation Details'!K:K, "No Data")</f>
        <v>34</v>
      </c>
      <c r="O608" s="33">
        <f t="array" ref="O608">_xlfn.XLOOKUP($A608, 'Hospitalisation Details'!$A:$A, 'Hospitalisation Details'!G:G, "No Data")</f>
        <v>16205.88</v>
      </c>
      <c r="P608" s="28" t="str">
        <f t="array" ref="P608">_xlfn.XLOOKUP($A608, 'Hospitalisation Details'!$A:$A, 'Hospitalisation Details'!H:H, "No Data")</f>
        <v>tier - 2</v>
      </c>
    </row>
    <row r="609">
      <c r="A609" s="25" t="s">
        <v>1931</v>
      </c>
      <c r="B609" s="28" t="str">
        <f t="array" ref="B609">_xlfn.XLOOKUP($A609, 'Customer Names'!$A:$A, 'Customer Names'!B:B, "No Data")</f>
        <v>Coronado</v>
      </c>
      <c r="C609" s="28">
        <f t="array" ref="C609">_xlfn.XLOOKUP($A609, 'Medical Examinations'!$A:$A, 'Medical Examinations'!B:B, "No Data")</f>
        <v>54.43</v>
      </c>
      <c r="D609" s="28">
        <f t="array" ref="D609">_xlfn.XLOOKUP($A609, 'Medical Examinations'!$A:$A, 'Medical Examinations'!C:C, "No Data")</f>
        <v>4.61</v>
      </c>
      <c r="E609" s="28" t="str">
        <f t="array" ref="E609">_xlfn.XLOOKUP($A609, 'Medical Examinations'!$A:$A, 'Medical Examinations'!D:D, "No Data")</f>
        <v>yes</v>
      </c>
      <c r="F609" s="28" t="str">
        <f t="array" ref="F609">_xlfn.XLOOKUP($A609, 'Medical Examinations'!$A:$A, 'Medical Examinations'!E:E, "No Data")</f>
        <v>No</v>
      </c>
      <c r="G609" s="28" t="str">
        <f t="array" ref="G609">_xlfn.XLOOKUP($A609, 'Medical Examinations'!$A:$A, 'Medical Examinations'!F:F, "No Data")</f>
        <v>No</v>
      </c>
      <c r="H609" s="28">
        <f t="array" ref="H609">_xlfn.XLOOKUP($A609, 'Medical Examinations'!$A:$A, 'Medical Examinations'!G:G, "No Data")</f>
        <v>1</v>
      </c>
      <c r="I609" s="28" t="str">
        <f t="array" ref="I609">_xlfn.XLOOKUP($A609, 'Medical Examinations'!$A:$A, 'Medical Examinations'!H:H, "No Data")</f>
        <v>No</v>
      </c>
      <c r="J609" s="28" t="str">
        <f t="array" ref="J609">_xlfn.XLOOKUP($A609, 'Medical Examinations'!$A:$A, 'Medical Examinations'!I:I, "No Data")</f>
        <v>Obesity</v>
      </c>
      <c r="K609" s="28" t="str">
        <f t="array" ref="K609">_xlfn.XLOOKUP($A609, 'Hospitalisation Details'!$A:$A, 'Hospitalisation Details'!I:I, "No Data")</f>
        <v>tier - 2</v>
      </c>
      <c r="L609" s="28" t="str">
        <f t="array" ref="L609">_xlfn.XLOOKUP($A609, 'Hospitalisation Details'!$A:$A, 'Hospitalisation Details'!J:J, "No Data")</f>
        <v>R1012</v>
      </c>
      <c r="M609" s="28" t="str">
        <f t="array" ref="M609">_xlfn.XLOOKUP($A609, 'Hospitalisation Details'!$A:$A, 'Hospitalisation Details'!E:E, "No Data")</f>
        <v>06/08/88</v>
      </c>
      <c r="N609" s="28">
        <f t="array" ref="N609">_xlfn.XLOOKUP($A609, 'Hospitalisation Details'!$A:$A, 'Hospitalisation Details'!K:K, "No Data")</f>
        <v>34</v>
      </c>
      <c r="O609" s="33">
        <f t="array" ref="O609">_xlfn.XLOOKUP($A609, 'Hospitalisation Details'!$A:$A, 'Hospitalisation Details'!G:G, "No Data")</f>
        <v>16199.1</v>
      </c>
      <c r="P609" s="28" t="str">
        <f t="array" ref="P609">_xlfn.XLOOKUP($A609, 'Hospitalisation Details'!$A:$A, 'Hospitalisation Details'!H:H, "No Data")</f>
        <v>tier - 2</v>
      </c>
    </row>
    <row r="610">
      <c r="A610" s="25" t="s">
        <v>1935</v>
      </c>
      <c r="B610" s="28" t="str">
        <f t="array" ref="B610">_xlfn.XLOOKUP($A610, 'Customer Names'!$A:$A, 'Customer Names'!B:B, "No Data")</f>
        <v>Dewine</v>
      </c>
      <c r="C610" s="28">
        <f t="array" ref="C610">_xlfn.XLOOKUP($A610, 'Medical Examinations'!$A:$A, 'Medical Examinations'!B:B, "No Data")</f>
        <v>48.01</v>
      </c>
      <c r="D610" s="28">
        <f t="array" ref="D610">_xlfn.XLOOKUP($A610, 'Medical Examinations'!$A:$A, 'Medical Examinations'!C:C, "No Data")</f>
        <v>7.3</v>
      </c>
      <c r="E610" s="28" t="str">
        <f t="array" ref="E610">_xlfn.XLOOKUP($A610, 'Medical Examinations'!$A:$A, 'Medical Examinations'!D:D, "No Data")</f>
        <v>No</v>
      </c>
      <c r="F610" s="28" t="str">
        <f t="array" ref="F610">_xlfn.XLOOKUP($A610, 'Medical Examinations'!$A:$A, 'Medical Examinations'!E:E, "No Data")</f>
        <v>No</v>
      </c>
      <c r="G610" s="28" t="str">
        <f t="array" ref="G610">_xlfn.XLOOKUP($A610, 'Medical Examinations'!$A:$A, 'Medical Examinations'!F:F, "No Data")</f>
        <v>No</v>
      </c>
      <c r="H610" s="28">
        <f t="array" ref="H610">_xlfn.XLOOKUP($A610, 'Medical Examinations'!$A:$A, 'Medical Examinations'!G:G, "No Data")</f>
        <v>0</v>
      </c>
      <c r="I610" s="28" t="str">
        <f t="array" ref="I610">_xlfn.XLOOKUP($A610, 'Medical Examinations'!$A:$A, 'Medical Examinations'!H:H, "No Data")</f>
        <v>No</v>
      </c>
      <c r="J610" s="28" t="str">
        <f t="array" ref="J610">_xlfn.XLOOKUP($A610, 'Medical Examinations'!$A:$A, 'Medical Examinations'!I:I, "No Data")</f>
        <v>Obesity</v>
      </c>
      <c r="K610" s="28" t="str">
        <f t="array" ref="K610">_xlfn.XLOOKUP($A610, 'Hospitalisation Details'!$A:$A, 'Hospitalisation Details'!I:I, "No Data")</f>
        <v>tier - 3</v>
      </c>
      <c r="L610" s="28" t="str">
        <f t="array" ref="L610">_xlfn.XLOOKUP($A610, 'Hospitalisation Details'!$A:$A, 'Hospitalisation Details'!J:J, "No Data")</f>
        <v>R1012</v>
      </c>
      <c r="M610" s="28" t="str">
        <f t="array" ref="M610">_xlfn.XLOOKUP($A610, 'Hospitalisation Details'!$A:$A, 'Hospitalisation Details'!E:E, "No Data")</f>
        <v>11/09/74</v>
      </c>
      <c r="N610" s="28">
        <f t="array" ref="N610">_xlfn.XLOOKUP($A610, 'Hospitalisation Details'!$A:$A, 'Hospitalisation Details'!K:K, "No Data")</f>
        <v>48</v>
      </c>
      <c r="O610" s="33">
        <f t="array" ref="O610">_xlfn.XLOOKUP($A610, 'Hospitalisation Details'!$A:$A, 'Hospitalisation Details'!G:G, "No Data")</f>
        <v>16190.97</v>
      </c>
      <c r="P610" s="28" t="str">
        <f t="array" ref="P610">_xlfn.XLOOKUP($A610, 'Hospitalisation Details'!$A:$A, 'Hospitalisation Details'!H:H, "No Data")</f>
        <v>tier - 2</v>
      </c>
    </row>
    <row r="611">
      <c r="A611" s="25" t="s">
        <v>1938</v>
      </c>
      <c r="B611" s="28" t="str">
        <f t="array" ref="B611">_xlfn.XLOOKUP($A611, 'Customer Names'!$A:$A, 'Customer Names'!B:B, "No Data")</f>
        <v>Carman</v>
      </c>
      <c r="C611" s="28">
        <f t="array" ref="C611">_xlfn.XLOOKUP($A611, 'Medical Examinations'!$A:$A, 'Medical Examinations'!B:B, "No Data")</f>
        <v>48.32</v>
      </c>
      <c r="D611" s="28">
        <f t="array" ref="D611">_xlfn.XLOOKUP($A611, 'Medical Examinations'!$A:$A, 'Medical Examinations'!C:C, "No Data")</f>
        <v>5.88</v>
      </c>
      <c r="E611" s="28" t="str">
        <f t="array" ref="E611">_xlfn.XLOOKUP($A611, 'Medical Examinations'!$A:$A, 'Medical Examinations'!D:D, "No Data")</f>
        <v>No</v>
      </c>
      <c r="F611" s="28" t="str">
        <f t="array" ref="F611">_xlfn.XLOOKUP($A611, 'Medical Examinations'!$A:$A, 'Medical Examinations'!E:E, "No Data")</f>
        <v>No</v>
      </c>
      <c r="G611" s="28" t="str">
        <f t="array" ref="G611">_xlfn.XLOOKUP($A611, 'Medical Examinations'!$A:$A, 'Medical Examinations'!F:F, "No Data")</f>
        <v>No</v>
      </c>
      <c r="H611" s="28">
        <f t="array" ref="H611">_xlfn.XLOOKUP($A611, 'Medical Examinations'!$A:$A, 'Medical Examinations'!G:G, "No Data")</f>
        <v>0</v>
      </c>
      <c r="I611" s="28" t="str">
        <f t="array" ref="I611">_xlfn.XLOOKUP($A611, 'Medical Examinations'!$A:$A, 'Medical Examinations'!H:H, "No Data")</f>
        <v>No</v>
      </c>
      <c r="J611" s="28" t="str">
        <f t="array" ref="J611">_xlfn.XLOOKUP($A611, 'Medical Examinations'!$A:$A, 'Medical Examinations'!I:I, "No Data")</f>
        <v>Obesity</v>
      </c>
      <c r="K611" s="28" t="str">
        <f t="array" ref="K611">_xlfn.XLOOKUP($A611, 'Hospitalisation Details'!$A:$A, 'Hospitalisation Details'!I:I, "No Data")</f>
        <v>tier - 1</v>
      </c>
      <c r="L611" s="28" t="str">
        <f t="array" ref="L611">_xlfn.XLOOKUP($A611, 'Hospitalisation Details'!$A:$A, 'Hospitalisation Details'!J:J, "No Data")</f>
        <v>R1026</v>
      </c>
      <c r="M611" s="28" t="str">
        <f t="array" ref="M611">_xlfn.XLOOKUP($A611, 'Hospitalisation Details'!$A:$A, 'Hospitalisation Details'!E:E, "No Data")</f>
        <v>06/07/82</v>
      </c>
      <c r="N611" s="28">
        <f t="array" ref="N611">_xlfn.XLOOKUP($A611, 'Hospitalisation Details'!$A:$A, 'Hospitalisation Details'!K:K, "No Data")</f>
        <v>40</v>
      </c>
      <c r="O611" s="33">
        <f t="array" ref="O611">_xlfn.XLOOKUP($A611, 'Hospitalisation Details'!$A:$A, 'Hospitalisation Details'!G:G, "No Data")</f>
        <v>16152.04</v>
      </c>
      <c r="P611" s="28" t="str">
        <f t="array" ref="P611">_xlfn.XLOOKUP($A611, 'Hospitalisation Details'!$A:$A, 'Hospitalisation Details'!H:H, "No Data")</f>
        <v>tier - 2</v>
      </c>
    </row>
    <row r="612">
      <c r="A612" s="25" t="s">
        <v>1941</v>
      </c>
      <c r="B612" s="28" t="str">
        <f t="array" ref="B612">_xlfn.XLOOKUP($A612, 'Customer Names'!$A:$A, 'Customer Names'!B:B, "No Data")</f>
        <v>Neems</v>
      </c>
      <c r="C612" s="28">
        <f t="array" ref="C612">_xlfn.XLOOKUP($A612, 'Medical Examinations'!$A:$A, 'Medical Examinations'!B:B, "No Data")</f>
        <v>22.895</v>
      </c>
      <c r="D612" s="28">
        <f t="array" ref="D612">_xlfn.XLOOKUP($A612, 'Medical Examinations'!$A:$A, 'Medical Examinations'!C:C, "No Data")</f>
        <v>4.06</v>
      </c>
      <c r="E612" s="28" t="str">
        <f t="array" ref="E612">_xlfn.XLOOKUP($A612, 'Medical Examinations'!$A:$A, 'Medical Examinations'!D:D, "No Data")</f>
        <v>No</v>
      </c>
      <c r="F612" s="28" t="str">
        <f t="array" ref="F612">_xlfn.XLOOKUP($A612, 'Medical Examinations'!$A:$A, 'Medical Examinations'!E:E, "No Data")</f>
        <v>No</v>
      </c>
      <c r="G612" s="28" t="str">
        <f t="array" ref="G612">_xlfn.XLOOKUP($A612, 'Medical Examinations'!$A:$A, 'Medical Examinations'!F:F, "No Data")</f>
        <v>Yes</v>
      </c>
      <c r="H612" s="28">
        <f t="array" ref="H612">_xlfn.XLOOKUP($A612, 'Medical Examinations'!$A:$A, 'Medical Examinations'!G:G, "No Data")</f>
        <v>1</v>
      </c>
      <c r="I612" s="28" t="str">
        <f t="array" ref="I612">_xlfn.XLOOKUP($A612, 'Medical Examinations'!$A:$A, 'Medical Examinations'!H:H, "No Data")</f>
        <v>yes</v>
      </c>
      <c r="J612" s="28" t="str">
        <f t="array" ref="J612">_xlfn.XLOOKUP($A612, 'Medical Examinations'!$A:$A, 'Medical Examinations'!I:I, "No Data")</f>
        <v>Normal Weight</v>
      </c>
      <c r="K612" s="28" t="str">
        <f t="array" ref="K612">_xlfn.XLOOKUP($A612, 'Hospitalisation Details'!$A:$A, 'Hospitalisation Details'!I:I, "No Data")</f>
        <v>tier - 3</v>
      </c>
      <c r="L612" s="28" t="str">
        <f t="array" ref="L612">_xlfn.XLOOKUP($A612, 'Hospitalisation Details'!$A:$A, 'Hospitalisation Details'!J:J, "No Data")</f>
        <v>R1017</v>
      </c>
      <c r="M612" s="28" t="str">
        <f t="array" ref="M612">_xlfn.XLOOKUP($A612, 'Hospitalisation Details'!$A:$A, 'Hospitalisation Details'!E:E, "No Data")</f>
        <v>12/12/93</v>
      </c>
      <c r="N612" s="28">
        <f t="array" ref="N612">_xlfn.XLOOKUP($A612, 'Hospitalisation Details'!$A:$A, 'Hospitalisation Details'!K:K, "No Data")</f>
        <v>29</v>
      </c>
      <c r="O612" s="33">
        <f t="array" ref="O612">_xlfn.XLOOKUP($A612, 'Hospitalisation Details'!$A:$A, 'Hospitalisation Details'!G:G, "No Data")</f>
        <v>16138.76</v>
      </c>
      <c r="P612" s="28" t="str">
        <f t="array" ref="P612">_xlfn.XLOOKUP($A612, 'Hospitalisation Details'!$A:$A, 'Hospitalisation Details'!H:H, "No Data")</f>
        <v>tier - 2</v>
      </c>
    </row>
    <row r="613">
      <c r="A613" s="25" t="s">
        <v>1945</v>
      </c>
      <c r="B613" s="28" t="str">
        <f t="array" ref="B613">_xlfn.XLOOKUP($A613, 'Customer Names'!$A:$A, 'Customer Names'!B:B, "No Data")</f>
        <v>Pesyna</v>
      </c>
      <c r="C613" s="28">
        <f t="array" ref="C613">_xlfn.XLOOKUP($A613, 'Medical Examinations'!$A:$A, 'Medical Examinations'!B:B, "No Data")</f>
        <v>54.85</v>
      </c>
      <c r="D613" s="28">
        <f t="array" ref="D613">_xlfn.XLOOKUP($A613, 'Medical Examinations'!$A:$A, 'Medical Examinations'!C:C, "No Data")</f>
        <v>4.9</v>
      </c>
      <c r="E613" s="28" t="str">
        <f t="array" ref="E613">_xlfn.XLOOKUP($A613, 'Medical Examinations'!$A:$A, 'Medical Examinations'!D:D, "No Data")</f>
        <v>No</v>
      </c>
      <c r="F613" s="28" t="str">
        <f t="array" ref="F613">_xlfn.XLOOKUP($A613, 'Medical Examinations'!$A:$A, 'Medical Examinations'!E:E, "No Data")</f>
        <v>No</v>
      </c>
      <c r="G613" s="28" t="str">
        <f t="array" ref="G613">_xlfn.XLOOKUP($A613, 'Medical Examinations'!$A:$A, 'Medical Examinations'!F:F, "No Data")</f>
        <v>No</v>
      </c>
      <c r="H613" s="28">
        <f t="array" ref="H613">_xlfn.XLOOKUP($A613, 'Medical Examinations'!$A:$A, 'Medical Examinations'!G:G, "No Data")</f>
        <v>1</v>
      </c>
      <c r="I613" s="28" t="str">
        <f t="array" ref="I613">_xlfn.XLOOKUP($A613, 'Medical Examinations'!$A:$A, 'Medical Examinations'!H:H, "No Data")</f>
        <v>No</v>
      </c>
      <c r="J613" s="28" t="str">
        <f t="array" ref="J613">_xlfn.XLOOKUP($A613, 'Medical Examinations'!$A:$A, 'Medical Examinations'!I:I, "No Data")</f>
        <v>Obesity</v>
      </c>
      <c r="K613" s="28" t="str">
        <f t="array" ref="K613">_xlfn.XLOOKUP($A613, 'Hospitalisation Details'!$A:$A, 'Hospitalisation Details'!I:I, "No Data")</f>
        <v>tier - 1</v>
      </c>
      <c r="L613" s="28" t="str">
        <f t="array" ref="L613">_xlfn.XLOOKUP($A613, 'Hospitalisation Details'!$A:$A, 'Hospitalisation Details'!J:J, "No Data")</f>
        <v>R1011</v>
      </c>
      <c r="M613" s="28" t="str">
        <f t="array" ref="M613">_xlfn.XLOOKUP($A613, 'Hospitalisation Details'!$A:$A, 'Hospitalisation Details'!E:E, "No Data")</f>
        <v>06/10/87</v>
      </c>
      <c r="N613" s="28">
        <f t="array" ref="N613">_xlfn.XLOOKUP($A613, 'Hospitalisation Details'!$A:$A, 'Hospitalisation Details'!K:K, "No Data")</f>
        <v>35</v>
      </c>
      <c r="O613" s="33">
        <f t="array" ref="O613">_xlfn.XLOOKUP($A613, 'Hospitalisation Details'!$A:$A, 'Hospitalisation Details'!G:G, "No Data")</f>
        <v>16122.65</v>
      </c>
      <c r="P613" s="28" t="str">
        <f t="array" ref="P613">_xlfn.XLOOKUP($A613, 'Hospitalisation Details'!$A:$A, 'Hospitalisation Details'!H:H, "No Data")</f>
        <v>tier - 2</v>
      </c>
    </row>
    <row r="614">
      <c r="A614" s="25" t="s">
        <v>1947</v>
      </c>
      <c r="B614" s="28" t="str">
        <f t="array" ref="B614">_xlfn.XLOOKUP($A614, 'Customer Names'!$A:$A, 'Customer Names'!B:B, "No Data")</f>
        <v>Meling</v>
      </c>
      <c r="C614" s="28">
        <f t="array" ref="C614">_xlfn.XLOOKUP($A614, 'Medical Examinations'!$A:$A, 'Medical Examinations'!B:B, "No Data")</f>
        <v>21.85</v>
      </c>
      <c r="D614" s="28">
        <f t="array" ref="D614">_xlfn.XLOOKUP($A614, 'Medical Examinations'!$A:$A, 'Medical Examinations'!C:C, "No Data")</f>
        <v>5.52</v>
      </c>
      <c r="E614" s="28" t="str">
        <f t="array" ref="E614">_xlfn.XLOOKUP($A614, 'Medical Examinations'!$A:$A, 'Medical Examinations'!D:D, "No Data")</f>
        <v>No</v>
      </c>
      <c r="F614" s="28" t="str">
        <f t="array" ref="F614">_xlfn.XLOOKUP($A614, 'Medical Examinations'!$A:$A, 'Medical Examinations'!E:E, "No Data")</f>
        <v>No</v>
      </c>
      <c r="G614" s="28" t="str">
        <f t="array" ref="G614">_xlfn.XLOOKUP($A614, 'Medical Examinations'!$A:$A, 'Medical Examinations'!F:F, "No Data")</f>
        <v>Yes</v>
      </c>
      <c r="H614" s="28">
        <f t="array" ref="H614">_xlfn.XLOOKUP($A614, 'Medical Examinations'!$A:$A, 'Medical Examinations'!G:G, "No Data")</f>
        <v>1</v>
      </c>
      <c r="I614" s="28" t="str">
        <f t="array" ref="I614">_xlfn.XLOOKUP($A614, 'Medical Examinations'!$A:$A, 'Medical Examinations'!H:H, "No Data")</f>
        <v>yes</v>
      </c>
      <c r="J614" s="28" t="str">
        <f t="array" ref="J614">_xlfn.XLOOKUP($A614, 'Medical Examinations'!$A:$A, 'Medical Examinations'!I:I, "No Data")</f>
        <v>Normal Weight</v>
      </c>
      <c r="K614" s="28" t="str">
        <f t="array" ref="K614">_xlfn.XLOOKUP($A614, 'Hospitalisation Details'!$A:$A, 'Hospitalisation Details'!I:I, "No Data")</f>
        <v>tier - 1</v>
      </c>
      <c r="L614" s="28" t="str">
        <f t="array" ref="L614">_xlfn.XLOOKUP($A614, 'Hospitalisation Details'!$A:$A, 'Hospitalisation Details'!J:J, "No Data")</f>
        <v>R1024</v>
      </c>
      <c r="M614" s="28" t="str">
        <f t="array" ref="M614">_xlfn.XLOOKUP($A614, 'Hospitalisation Details'!$A:$A, 'Hospitalisation Details'!E:E, "No Data")</f>
        <v>08/08/93</v>
      </c>
      <c r="N614" s="28">
        <f t="array" ref="N614">_xlfn.XLOOKUP($A614, 'Hospitalisation Details'!$A:$A, 'Hospitalisation Details'!K:K, "No Data")</f>
        <v>29</v>
      </c>
      <c r="O614" s="33">
        <f t="array" ref="O614">_xlfn.XLOOKUP($A614, 'Hospitalisation Details'!$A:$A, 'Hospitalisation Details'!G:G, "No Data")</f>
        <v>16115.3</v>
      </c>
      <c r="P614" s="28" t="str">
        <f t="array" ref="P614">_xlfn.XLOOKUP($A614, 'Hospitalisation Details'!$A:$A, 'Hospitalisation Details'!H:H, "No Data")</f>
        <v>tier - 2</v>
      </c>
    </row>
    <row r="615">
      <c r="A615" s="25" t="s">
        <v>1951</v>
      </c>
      <c r="B615" s="28" t="str">
        <f t="array" ref="B615">_xlfn.XLOOKUP($A615, 'Customer Names'!$A:$A, 'Customer Names'!B:B, "No Data")</f>
        <v>Widlowski</v>
      </c>
      <c r="C615" s="28">
        <f t="array" ref="C615">_xlfn.XLOOKUP($A615, 'Medical Examinations'!$A:$A, 'Medical Examinations'!B:B, "No Data")</f>
        <v>51.86</v>
      </c>
      <c r="D615" s="28">
        <f t="array" ref="D615">_xlfn.XLOOKUP($A615, 'Medical Examinations'!$A:$A, 'Medical Examinations'!C:C, "No Data")</f>
        <v>5.2</v>
      </c>
      <c r="E615" s="28" t="str">
        <f t="array" ref="E615">_xlfn.XLOOKUP($A615, 'Medical Examinations'!$A:$A, 'Medical Examinations'!D:D, "No Data")</f>
        <v>yes</v>
      </c>
      <c r="F615" s="28" t="str">
        <f t="array" ref="F615">_xlfn.XLOOKUP($A615, 'Medical Examinations'!$A:$A, 'Medical Examinations'!E:E, "No Data")</f>
        <v>No</v>
      </c>
      <c r="G615" s="28" t="str">
        <f t="array" ref="G615">_xlfn.XLOOKUP($A615, 'Medical Examinations'!$A:$A, 'Medical Examinations'!F:F, "No Data")</f>
        <v>No</v>
      </c>
      <c r="H615" s="28">
        <f t="array" ref="H615">_xlfn.XLOOKUP($A615, 'Medical Examinations'!$A:$A, 'Medical Examinations'!G:G, "No Data")</f>
        <v>0</v>
      </c>
      <c r="I615" s="28" t="str">
        <f t="array" ref="I615">_xlfn.XLOOKUP($A615, 'Medical Examinations'!$A:$A, 'Medical Examinations'!H:H, "No Data")</f>
        <v>No</v>
      </c>
      <c r="J615" s="28" t="str">
        <f t="array" ref="J615">_xlfn.XLOOKUP($A615, 'Medical Examinations'!$A:$A, 'Medical Examinations'!I:I, "No Data")</f>
        <v>Obesity</v>
      </c>
      <c r="K615" s="28" t="str">
        <f t="array" ref="K615">_xlfn.XLOOKUP($A615, 'Hospitalisation Details'!$A:$A, 'Hospitalisation Details'!I:I, "No Data")</f>
        <v>tier - 3</v>
      </c>
      <c r="L615" s="28" t="str">
        <f t="array" ref="L615">_xlfn.XLOOKUP($A615, 'Hospitalisation Details'!$A:$A, 'Hospitalisation Details'!J:J, "No Data")</f>
        <v>R1012</v>
      </c>
      <c r="M615" s="28" t="str">
        <f t="array" ref="M615">_xlfn.XLOOKUP($A615, 'Hospitalisation Details'!$A:$A, 'Hospitalisation Details'!E:E, "No Data")</f>
        <v>27/08/85</v>
      </c>
      <c r="N615" s="28">
        <f t="array" ref="N615">_xlfn.XLOOKUP($A615, 'Hospitalisation Details'!$A:$A, 'Hospitalisation Details'!K:K, "No Data")</f>
        <v>37</v>
      </c>
      <c r="O615" s="33">
        <f t="array" ref="O615">_xlfn.XLOOKUP($A615, 'Hospitalisation Details'!$A:$A, 'Hospitalisation Details'!G:G, "No Data")</f>
        <v>16097.94</v>
      </c>
      <c r="P615" s="28" t="str">
        <f t="array" ref="P615">_xlfn.XLOOKUP($A615, 'Hospitalisation Details'!$A:$A, 'Hospitalisation Details'!H:H, "No Data")</f>
        <v>tier - 2</v>
      </c>
    </row>
    <row r="616">
      <c r="A616" s="25" t="s">
        <v>1955</v>
      </c>
      <c r="B616" s="28" t="str">
        <f t="array" ref="B616">_xlfn.XLOOKUP($A616, 'Customer Names'!$A:$A, 'Customer Names'!B:B, "No Data")</f>
        <v>Nadar</v>
      </c>
      <c r="C616" s="28">
        <f t="array" ref="C616">_xlfn.XLOOKUP($A616, 'Medical Examinations'!$A:$A, 'Medical Examinations'!B:B, "No Data")</f>
        <v>39.05</v>
      </c>
      <c r="D616" s="28">
        <f t="array" ref="D616">_xlfn.XLOOKUP($A616, 'Medical Examinations'!$A:$A, 'Medical Examinations'!C:C, "No Data")</f>
        <v>7.59</v>
      </c>
      <c r="E616" s="28" t="str">
        <f t="array" ref="E616">_xlfn.XLOOKUP($A616, 'Medical Examinations'!$A:$A, 'Medical Examinations'!D:D, "No Data")</f>
        <v>No</v>
      </c>
      <c r="F616" s="28" t="str">
        <f t="array" ref="F616">_xlfn.XLOOKUP($A616, 'Medical Examinations'!$A:$A, 'Medical Examinations'!E:E, "No Data")</f>
        <v>No</v>
      </c>
      <c r="G616" s="28" t="str">
        <f t="array" ref="G616">_xlfn.XLOOKUP($A616, 'Medical Examinations'!$A:$A, 'Medical Examinations'!F:F, "No Data")</f>
        <v>No</v>
      </c>
      <c r="H616" s="28">
        <f t="array" ref="H616">_xlfn.XLOOKUP($A616, 'Medical Examinations'!$A:$A, 'Medical Examinations'!G:G, "No Data")</f>
        <v>3</v>
      </c>
      <c r="I616" s="28" t="str">
        <f t="array" ref="I616">_xlfn.XLOOKUP($A616, 'Medical Examinations'!$A:$A, 'Medical Examinations'!H:H, "No Data")</f>
        <v>No</v>
      </c>
      <c r="J616" s="28" t="str">
        <f t="array" ref="J616">_xlfn.XLOOKUP($A616, 'Medical Examinations'!$A:$A, 'Medical Examinations'!I:I, "No Data")</f>
        <v>Obesity</v>
      </c>
      <c r="K616" s="28" t="str">
        <f t="array" ref="K616">_xlfn.XLOOKUP($A616, 'Hospitalisation Details'!$A:$A, 'Hospitalisation Details'!I:I, "No Data")</f>
        <v>tier - 2</v>
      </c>
      <c r="L616" s="28" t="str">
        <f t="array" ref="L616">_xlfn.XLOOKUP($A616, 'Hospitalisation Details'!$A:$A, 'Hospitalisation Details'!J:J, "No Data")</f>
        <v>R1013</v>
      </c>
      <c r="M616" s="28" t="str">
        <f t="array" ref="M616">_xlfn.XLOOKUP($A616, 'Hospitalisation Details'!$A:$A, 'Hospitalisation Details'!E:E, "No Data")</f>
        <v>21/06/58</v>
      </c>
      <c r="N616" s="28">
        <f t="array" ref="N616">_xlfn.XLOOKUP($A616, 'Hospitalisation Details'!$A:$A, 'Hospitalisation Details'!K:K, "No Data")</f>
        <v>64</v>
      </c>
      <c r="O616" s="33">
        <f t="array" ref="O616">_xlfn.XLOOKUP($A616, 'Hospitalisation Details'!$A:$A, 'Hospitalisation Details'!G:G, "No Data")</f>
        <v>16085.13</v>
      </c>
      <c r="P616" s="28" t="str">
        <f t="array" ref="P616">_xlfn.XLOOKUP($A616, 'Hospitalisation Details'!$A:$A, 'Hospitalisation Details'!H:H, "No Data")</f>
        <v>tier - 2</v>
      </c>
    </row>
    <row r="617">
      <c r="A617" s="25" t="s">
        <v>1958</v>
      </c>
      <c r="B617" s="28" t="str">
        <f t="array" ref="B617">_xlfn.XLOOKUP($A617, 'Customer Names'!$A:$A, 'Customer Names'!B:B, "No Data")</f>
        <v>Turner</v>
      </c>
      <c r="C617" s="28">
        <f t="array" ref="C617">_xlfn.XLOOKUP($A617, 'Medical Examinations'!$A:$A, 'Medical Examinations'!B:B, "No Data")</f>
        <v>31.825</v>
      </c>
      <c r="D617" s="28">
        <f t="array" ref="D617">_xlfn.XLOOKUP($A617, 'Medical Examinations'!$A:$A, 'Medical Examinations'!C:C, "No Data")</f>
        <v>8.28</v>
      </c>
      <c r="E617" s="28" t="str">
        <f t="array" ref="E617">_xlfn.XLOOKUP($A617, 'Medical Examinations'!$A:$A, 'Medical Examinations'!D:D, "No Data")</f>
        <v>No</v>
      </c>
      <c r="F617" s="28" t="str">
        <f t="array" ref="F617">_xlfn.XLOOKUP($A617, 'Medical Examinations'!$A:$A, 'Medical Examinations'!E:E, "No Data")</f>
        <v>No</v>
      </c>
      <c r="G617" s="28" t="str">
        <f t="array" ref="G617">_xlfn.XLOOKUP($A617, 'Medical Examinations'!$A:$A, 'Medical Examinations'!F:F, "No Data")</f>
        <v>No</v>
      </c>
      <c r="H617" s="28">
        <f t="array" ref="H617">_xlfn.XLOOKUP($A617, 'Medical Examinations'!$A:$A, 'Medical Examinations'!G:G, "No Data")</f>
        <v>3</v>
      </c>
      <c r="I617" s="28" t="str">
        <f t="array" ref="I617">_xlfn.XLOOKUP($A617, 'Medical Examinations'!$A:$A, 'Medical Examinations'!H:H, "No Data")</f>
        <v>No</v>
      </c>
      <c r="J617" s="28" t="str">
        <f t="array" ref="J617">_xlfn.XLOOKUP($A617, 'Medical Examinations'!$A:$A, 'Medical Examinations'!I:I, "No Data")</f>
        <v>Obesity</v>
      </c>
      <c r="K617" s="28" t="str">
        <f t="array" ref="K617">_xlfn.XLOOKUP($A617, 'Hospitalisation Details'!$A:$A, 'Hospitalisation Details'!I:I, "No Data")</f>
        <v>tier - 2</v>
      </c>
      <c r="L617" s="28" t="str">
        <f t="array" ref="L617">_xlfn.XLOOKUP($A617, 'Hospitalisation Details'!$A:$A, 'Hospitalisation Details'!J:J, "No Data")</f>
        <v>R1024</v>
      </c>
      <c r="M617" s="28" t="str">
        <f t="array" ref="M617">_xlfn.XLOOKUP($A617, 'Hospitalisation Details'!$A:$A, 'Hospitalisation Details'!E:E, "No Data")</f>
        <v>22/10/58</v>
      </c>
      <c r="N617" s="28">
        <f t="array" ref="N617">_xlfn.XLOOKUP($A617, 'Hospitalisation Details'!$A:$A, 'Hospitalisation Details'!K:K, "No Data")</f>
        <v>64</v>
      </c>
      <c r="O617" s="33">
        <f t="array" ref="O617">_xlfn.XLOOKUP($A617, 'Hospitalisation Details'!$A:$A, 'Hospitalisation Details'!G:G, "No Data")</f>
        <v>16069.08</v>
      </c>
      <c r="P617" s="28" t="str">
        <f t="array" ref="P617">_xlfn.XLOOKUP($A617, 'Hospitalisation Details'!$A:$A, 'Hospitalisation Details'!H:H, "No Data")</f>
        <v>tier - 2</v>
      </c>
    </row>
    <row r="618">
      <c r="A618" s="25" t="s">
        <v>1960</v>
      </c>
      <c r="B618" s="28" t="str">
        <f t="array" ref="B618">_xlfn.XLOOKUP($A618, 'Customer Names'!$A:$A, 'Customer Names'!B:B, "No Data")</f>
        <v>Walker</v>
      </c>
      <c r="C618" s="28">
        <f t="array" ref="C618">_xlfn.XLOOKUP($A618, 'Medical Examinations'!$A:$A, 'Medical Examinations'!B:B, "No Data")</f>
        <v>46.43</v>
      </c>
      <c r="D618" s="28">
        <f t="array" ref="D618">_xlfn.XLOOKUP($A618, 'Medical Examinations'!$A:$A, 'Medical Examinations'!C:C, "No Data")</f>
        <v>6.72</v>
      </c>
      <c r="E618" s="28" t="str">
        <f t="array" ref="E618">_xlfn.XLOOKUP($A618, 'Medical Examinations'!$A:$A, 'Medical Examinations'!D:D, "No Data")</f>
        <v>No</v>
      </c>
      <c r="F618" s="28" t="str">
        <f t="array" ref="F618">_xlfn.XLOOKUP($A618, 'Medical Examinations'!$A:$A, 'Medical Examinations'!E:E, "No Data")</f>
        <v>No</v>
      </c>
      <c r="G618" s="28" t="str">
        <f t="array" ref="G618">_xlfn.XLOOKUP($A618, 'Medical Examinations'!$A:$A, 'Medical Examinations'!F:F, "No Data")</f>
        <v>No</v>
      </c>
      <c r="H618" s="28">
        <f t="array" ref="H618">_xlfn.XLOOKUP($A618, 'Medical Examinations'!$A:$A, 'Medical Examinations'!G:G, "No Data")</f>
        <v>0</v>
      </c>
      <c r="I618" s="28" t="str">
        <f t="array" ref="I618">_xlfn.XLOOKUP($A618, 'Medical Examinations'!$A:$A, 'Medical Examinations'!H:H, "No Data")</f>
        <v>No</v>
      </c>
      <c r="J618" s="28" t="str">
        <f t="array" ref="J618">_xlfn.XLOOKUP($A618, 'Medical Examinations'!$A:$A, 'Medical Examinations'!I:I, "No Data")</f>
        <v>Obesity</v>
      </c>
      <c r="K618" s="28" t="str">
        <f t="array" ref="K618">_xlfn.XLOOKUP($A618, 'Hospitalisation Details'!$A:$A, 'Hospitalisation Details'!I:I, "No Data")</f>
        <v>tier - 2</v>
      </c>
      <c r="L618" s="28" t="str">
        <f t="array" ref="L618">_xlfn.XLOOKUP($A618, 'Hospitalisation Details'!$A:$A, 'Hospitalisation Details'!J:J, "No Data")</f>
        <v>R1026</v>
      </c>
      <c r="M618" s="28" t="str">
        <f t="array" ref="M618">_xlfn.XLOOKUP($A618, 'Hospitalisation Details'!$A:$A, 'Hospitalisation Details'!E:E, "No Data")</f>
        <v>16/09/78</v>
      </c>
      <c r="N618" s="28">
        <f t="array" ref="N618">_xlfn.XLOOKUP($A618, 'Hospitalisation Details'!$A:$A, 'Hospitalisation Details'!K:K, "No Data")</f>
        <v>44</v>
      </c>
      <c r="O618" s="33">
        <f t="array" ref="O618">_xlfn.XLOOKUP($A618, 'Hospitalisation Details'!$A:$A, 'Hospitalisation Details'!G:G, "No Data")</f>
        <v>16062.89</v>
      </c>
      <c r="P618" s="28" t="str">
        <f t="array" ref="P618">_xlfn.XLOOKUP($A618, 'Hospitalisation Details'!$A:$A, 'Hospitalisation Details'!H:H, "No Data")</f>
        <v>tier - 2</v>
      </c>
    </row>
    <row r="619">
      <c r="A619" s="25" t="s">
        <v>1962</v>
      </c>
      <c r="B619" s="28" t="str">
        <f t="array" ref="B619">_xlfn.XLOOKUP($A619, 'Customer Names'!$A:$A, 'Customer Names'!B:B, "No Data")</f>
        <v>Leedham</v>
      </c>
      <c r="C619" s="28">
        <f t="array" ref="C619">_xlfn.XLOOKUP($A619, 'Medical Examinations'!$A:$A, 'Medical Examinations'!B:B, "No Data")</f>
        <v>53.63</v>
      </c>
      <c r="D619" s="28">
        <f t="array" ref="D619">_xlfn.XLOOKUP($A619, 'Medical Examinations'!$A:$A, 'Medical Examinations'!C:C, "No Data")</f>
        <v>5.47</v>
      </c>
      <c r="E619" s="28" t="str">
        <f t="array" ref="E619">_xlfn.XLOOKUP($A619, 'Medical Examinations'!$A:$A, 'Medical Examinations'!D:D, "No Data")</f>
        <v>yes</v>
      </c>
      <c r="F619" s="28" t="str">
        <f t="array" ref="F619">_xlfn.XLOOKUP($A619, 'Medical Examinations'!$A:$A, 'Medical Examinations'!E:E, "No Data")</f>
        <v>No</v>
      </c>
      <c r="G619" s="28" t="str">
        <f t="array" ref="G619">_xlfn.XLOOKUP($A619, 'Medical Examinations'!$A:$A, 'Medical Examinations'!F:F, "No Data")</f>
        <v>No</v>
      </c>
      <c r="H619" s="28">
        <f t="array" ref="H619">_xlfn.XLOOKUP($A619, 'Medical Examinations'!$A:$A, 'Medical Examinations'!G:G, "No Data")</f>
        <v>1</v>
      </c>
      <c r="I619" s="28" t="str">
        <f t="array" ref="I619">_xlfn.XLOOKUP($A619, 'Medical Examinations'!$A:$A, 'Medical Examinations'!H:H, "No Data")</f>
        <v>No</v>
      </c>
      <c r="J619" s="28" t="str">
        <f t="array" ref="J619">_xlfn.XLOOKUP($A619, 'Medical Examinations'!$A:$A, 'Medical Examinations'!I:I, "No Data")</f>
        <v>Obesity</v>
      </c>
      <c r="K619" s="28" t="str">
        <f t="array" ref="K619">_xlfn.XLOOKUP($A619, 'Hospitalisation Details'!$A:$A, 'Hospitalisation Details'!I:I, "No Data")</f>
        <v>tier - 3</v>
      </c>
      <c r="L619" s="28" t="str">
        <f t="array" ref="L619">_xlfn.XLOOKUP($A619, 'Hospitalisation Details'!$A:$A, 'Hospitalisation Details'!J:J, "No Data")</f>
        <v>R1012</v>
      </c>
      <c r="M619" s="28" t="str">
        <f t="array" ref="M619">_xlfn.XLOOKUP($A619, 'Hospitalisation Details'!$A:$A, 'Hospitalisation Details'!E:E, "No Data")</f>
        <v>05/12/88</v>
      </c>
      <c r="N619" s="28">
        <f t="array" ref="N619">_xlfn.XLOOKUP($A619, 'Hospitalisation Details'!$A:$A, 'Hospitalisation Details'!K:K, "No Data")</f>
        <v>34</v>
      </c>
      <c r="O619" s="33">
        <f t="array" ref="O619">_xlfn.XLOOKUP($A619, 'Hospitalisation Details'!$A:$A, 'Hospitalisation Details'!G:G, "No Data")</f>
        <v>16059.06</v>
      </c>
      <c r="P619" s="28" t="str">
        <f t="array" ref="P619">_xlfn.XLOOKUP($A619, 'Hospitalisation Details'!$A:$A, 'Hospitalisation Details'!H:H, "No Data")</f>
        <v>tier - 2</v>
      </c>
    </row>
    <row r="620">
      <c r="A620" s="25" t="s">
        <v>1964</v>
      </c>
      <c r="B620" s="28" t="str">
        <f t="array" ref="B620">_xlfn.XLOOKUP($A620, 'Customer Names'!$A:$A, 'Customer Names'!B:B, "No Data")</f>
        <v>Haglund</v>
      </c>
      <c r="C620" s="28">
        <f t="array" ref="C620">_xlfn.XLOOKUP($A620, 'Medical Examinations'!$A:$A, 'Medical Examinations'!B:B, "No Data")</f>
        <v>48.7</v>
      </c>
      <c r="D620" s="28">
        <f t="array" ref="D620">_xlfn.XLOOKUP($A620, 'Medical Examinations'!$A:$A, 'Medical Examinations'!C:C, "No Data")</f>
        <v>4.71</v>
      </c>
      <c r="E620" s="28" t="str">
        <f t="array" ref="E620">_xlfn.XLOOKUP($A620, 'Medical Examinations'!$A:$A, 'Medical Examinations'!D:D, "No Data")</f>
        <v>No</v>
      </c>
      <c r="F620" s="28" t="str">
        <f t="array" ref="F620">_xlfn.XLOOKUP($A620, 'Medical Examinations'!$A:$A, 'Medical Examinations'!E:E, "No Data")</f>
        <v>No</v>
      </c>
      <c r="G620" s="28" t="str">
        <f t="array" ref="G620">_xlfn.XLOOKUP($A620, 'Medical Examinations'!$A:$A, 'Medical Examinations'!F:F, "No Data")</f>
        <v>No</v>
      </c>
      <c r="H620" s="28">
        <f t="array" ref="H620">_xlfn.XLOOKUP($A620, 'Medical Examinations'!$A:$A, 'Medical Examinations'!G:G, "No Data")</f>
        <v>0</v>
      </c>
      <c r="I620" s="28" t="str">
        <f t="array" ref="I620">_xlfn.XLOOKUP($A620, 'Medical Examinations'!$A:$A, 'Medical Examinations'!H:H, "No Data")</f>
        <v>No</v>
      </c>
      <c r="J620" s="28" t="str">
        <f t="array" ref="J620">_xlfn.XLOOKUP($A620, 'Medical Examinations'!$A:$A, 'Medical Examinations'!I:I, "No Data")</f>
        <v>Obesity</v>
      </c>
      <c r="K620" s="28" t="str">
        <f t="array" ref="K620">_xlfn.XLOOKUP($A620, 'Hospitalisation Details'!$A:$A, 'Hospitalisation Details'!I:I, "No Data")</f>
        <v>tier - 2</v>
      </c>
      <c r="L620" s="28" t="str">
        <f t="array" ref="L620">_xlfn.XLOOKUP($A620, 'Hospitalisation Details'!$A:$A, 'Hospitalisation Details'!J:J, "No Data")</f>
        <v>R1012</v>
      </c>
      <c r="M620" s="28" t="str">
        <f t="array" ref="M620">_xlfn.XLOOKUP($A620, 'Hospitalisation Details'!$A:$A, 'Hospitalisation Details'!E:E, "No Data")</f>
        <v>19/09/80</v>
      </c>
      <c r="N620" s="28">
        <f t="array" ref="N620">_xlfn.XLOOKUP($A620, 'Hospitalisation Details'!$A:$A, 'Hospitalisation Details'!K:K, "No Data")</f>
        <v>42</v>
      </c>
      <c r="O620" s="33">
        <f t="array" ref="O620">_xlfn.XLOOKUP($A620, 'Hospitalisation Details'!$A:$A, 'Hospitalisation Details'!G:G, "No Data")</f>
        <v>15966.19</v>
      </c>
      <c r="P620" s="28" t="str">
        <f t="array" ref="P620">_xlfn.XLOOKUP($A620, 'Hospitalisation Details'!$A:$A, 'Hospitalisation Details'!H:H, "No Data")</f>
        <v>tier - 2</v>
      </c>
    </row>
    <row r="621">
      <c r="A621" s="25" t="s">
        <v>1967</v>
      </c>
      <c r="B621" s="28" t="str">
        <f t="array" ref="B621">_xlfn.XLOOKUP($A621, 'Customer Names'!$A:$A, 'Customer Names'!B:B, "No Data")</f>
        <v>Mills</v>
      </c>
      <c r="C621" s="28">
        <f t="array" ref="C621">_xlfn.XLOOKUP($A621, 'Medical Examinations'!$A:$A, 'Medical Examinations'!B:B, "No Data")</f>
        <v>48.81</v>
      </c>
      <c r="D621" s="28">
        <f t="array" ref="D621">_xlfn.XLOOKUP($A621, 'Medical Examinations'!$A:$A, 'Medical Examinations'!C:C, "No Data")</f>
        <v>5.49</v>
      </c>
      <c r="E621" s="28" t="str">
        <f t="array" ref="E621">_xlfn.XLOOKUP($A621, 'Medical Examinations'!$A:$A, 'Medical Examinations'!D:D, "No Data")</f>
        <v>No</v>
      </c>
      <c r="F621" s="28" t="str">
        <f t="array" ref="F621">_xlfn.XLOOKUP($A621, 'Medical Examinations'!$A:$A, 'Medical Examinations'!E:E, "No Data")</f>
        <v>No</v>
      </c>
      <c r="G621" s="28" t="str">
        <f t="array" ref="G621">_xlfn.XLOOKUP($A621, 'Medical Examinations'!$A:$A, 'Medical Examinations'!F:F, "No Data")</f>
        <v>No</v>
      </c>
      <c r="H621" s="28">
        <f t="array" ref="H621">_xlfn.XLOOKUP($A621, 'Medical Examinations'!$A:$A, 'Medical Examinations'!G:G, "No Data")</f>
        <v>0</v>
      </c>
      <c r="I621" s="28" t="str">
        <f t="array" ref="I621">_xlfn.XLOOKUP($A621, 'Medical Examinations'!$A:$A, 'Medical Examinations'!H:H, "No Data")</f>
        <v>No</v>
      </c>
      <c r="J621" s="28" t="str">
        <f t="array" ref="J621">_xlfn.XLOOKUP($A621, 'Medical Examinations'!$A:$A, 'Medical Examinations'!I:I, "No Data")</f>
        <v>Obesity</v>
      </c>
      <c r="K621" s="28" t="str">
        <f t="array" ref="K621">_xlfn.XLOOKUP($A621, 'Hospitalisation Details'!$A:$A, 'Hospitalisation Details'!I:I, "No Data")</f>
        <v>tier - 1</v>
      </c>
      <c r="L621" s="28" t="str">
        <f t="array" ref="L621">_xlfn.XLOOKUP($A621, 'Hospitalisation Details'!$A:$A, 'Hospitalisation Details'!J:J, "No Data")</f>
        <v>R1012</v>
      </c>
      <c r="M621" s="28" t="str">
        <f t="array" ref="M621">_xlfn.XLOOKUP($A621, 'Hospitalisation Details'!$A:$A, 'Hospitalisation Details'!E:E, "No Data")</f>
        <v>24/07/82</v>
      </c>
      <c r="N621" s="28">
        <f t="array" ref="N621">_xlfn.XLOOKUP($A621, 'Hospitalisation Details'!$A:$A, 'Hospitalisation Details'!K:K, "No Data")</f>
        <v>40</v>
      </c>
      <c r="O621" s="33">
        <f t="array" ref="O621">_xlfn.XLOOKUP($A621, 'Hospitalisation Details'!$A:$A, 'Hospitalisation Details'!G:G, "No Data")</f>
        <v>15965.29</v>
      </c>
      <c r="P621" s="28" t="str">
        <f t="array" ref="P621">_xlfn.XLOOKUP($A621, 'Hospitalisation Details'!$A:$A, 'Hospitalisation Details'!H:H, "No Data")</f>
        <v>tier - 2</v>
      </c>
    </row>
    <row r="622">
      <c r="A622" s="25" t="s">
        <v>1970</v>
      </c>
      <c r="B622" s="28" t="str">
        <f t="array" ref="B622">_xlfn.XLOOKUP($A622, 'Customer Names'!$A:$A, 'Customer Names'!B:B, "No Data")</f>
        <v>Drnjevich</v>
      </c>
      <c r="C622" s="28">
        <f t="array" ref="C622">_xlfn.XLOOKUP($A622, 'Medical Examinations'!$A:$A, 'Medical Examinations'!B:B, "No Data")</f>
        <v>47.53</v>
      </c>
      <c r="D622" s="28">
        <f t="array" ref="D622">_xlfn.XLOOKUP($A622, 'Medical Examinations'!$A:$A, 'Medical Examinations'!C:C, "No Data")</f>
        <v>4.72</v>
      </c>
      <c r="E622" s="28" t="str">
        <f t="array" ref="E622">_xlfn.XLOOKUP($A622, 'Medical Examinations'!$A:$A, 'Medical Examinations'!D:D, "No Data")</f>
        <v>No</v>
      </c>
      <c r="F622" s="28" t="str">
        <f t="array" ref="F622">_xlfn.XLOOKUP($A622, 'Medical Examinations'!$A:$A, 'Medical Examinations'!E:E, "No Data")</f>
        <v>No</v>
      </c>
      <c r="G622" s="28" t="str">
        <f t="array" ref="G622">_xlfn.XLOOKUP($A622, 'Medical Examinations'!$A:$A, 'Medical Examinations'!F:F, "No Data")</f>
        <v>No</v>
      </c>
      <c r="H622" s="28">
        <f t="array" ref="H622">_xlfn.XLOOKUP($A622, 'Medical Examinations'!$A:$A, 'Medical Examinations'!G:G, "No Data")</f>
        <v>0</v>
      </c>
      <c r="I622" s="28" t="str">
        <f t="array" ref="I622">_xlfn.XLOOKUP($A622, 'Medical Examinations'!$A:$A, 'Medical Examinations'!H:H, "No Data")</f>
        <v>No</v>
      </c>
      <c r="J622" s="28" t="str">
        <f t="array" ref="J622">_xlfn.XLOOKUP($A622, 'Medical Examinations'!$A:$A, 'Medical Examinations'!I:I, "No Data")</f>
        <v>Obesity</v>
      </c>
      <c r="K622" s="28" t="str">
        <f t="array" ref="K622">_xlfn.XLOOKUP($A622, 'Hospitalisation Details'!$A:$A, 'Hospitalisation Details'!I:I, "No Data")</f>
        <v>tier - 3</v>
      </c>
      <c r="L622" s="28" t="str">
        <f t="array" ref="L622">_xlfn.XLOOKUP($A622, 'Hospitalisation Details'!$A:$A, 'Hospitalisation Details'!J:J, "No Data")</f>
        <v>R1026</v>
      </c>
      <c r="M622" s="28" t="str">
        <f t="array" ref="M622">_xlfn.XLOOKUP($A622, 'Hospitalisation Details'!$A:$A, 'Hospitalisation Details'!E:E, "No Data")</f>
        <v>12/10/80</v>
      </c>
      <c r="N622" s="28">
        <f t="array" ref="N622">_xlfn.XLOOKUP($A622, 'Hospitalisation Details'!$A:$A, 'Hospitalisation Details'!K:K, "No Data")</f>
        <v>42</v>
      </c>
      <c r="O622" s="33">
        <f t="array" ref="O622">_xlfn.XLOOKUP($A622, 'Hospitalisation Details'!$A:$A, 'Hospitalisation Details'!G:G, "No Data")</f>
        <v>15922.29</v>
      </c>
      <c r="P622" s="28" t="str">
        <f t="array" ref="P622">_xlfn.XLOOKUP($A622, 'Hospitalisation Details'!$A:$A, 'Hospitalisation Details'!H:H, "No Data")</f>
        <v>tier - 2</v>
      </c>
    </row>
    <row r="623">
      <c r="A623" s="25" t="s">
        <v>1974</v>
      </c>
      <c r="B623" s="28" t="str">
        <f t="array" ref="B623">_xlfn.XLOOKUP($A623, 'Customer Names'!$A:$A, 'Customer Names'!B:B, "No Data")</f>
        <v>Clay</v>
      </c>
      <c r="C623" s="28">
        <f t="array" ref="C623">_xlfn.XLOOKUP($A623, 'Medical Examinations'!$A:$A, 'Medical Examinations'!B:B, "No Data")</f>
        <v>36.85</v>
      </c>
      <c r="D623" s="28">
        <f t="array" ref="D623">_xlfn.XLOOKUP($A623, 'Medical Examinations'!$A:$A, 'Medical Examinations'!C:C, "No Data")</f>
        <v>6.7</v>
      </c>
      <c r="E623" s="28" t="str">
        <f t="array" ref="E623">_xlfn.XLOOKUP($A623, 'Medical Examinations'!$A:$A, 'Medical Examinations'!D:D, "No Data")</f>
        <v>No</v>
      </c>
      <c r="F623" s="28" t="str">
        <f t="array" ref="F623">_xlfn.XLOOKUP($A623, 'Medical Examinations'!$A:$A, 'Medical Examinations'!E:E, "No Data")</f>
        <v>No</v>
      </c>
      <c r="G623" s="28" t="str">
        <f t="array" ref="G623">_xlfn.XLOOKUP($A623, 'Medical Examinations'!$A:$A, 'Medical Examinations'!F:F, "No Data")</f>
        <v>No</v>
      </c>
      <c r="H623" s="28">
        <f t="array" ref="H623">_xlfn.XLOOKUP($A623, 'Medical Examinations'!$A:$A, 'Medical Examinations'!G:G, "No Data")</f>
        <v>0</v>
      </c>
      <c r="I623" s="28" t="str">
        <f t="array" ref="I623">_xlfn.XLOOKUP($A623, 'Medical Examinations'!$A:$A, 'Medical Examinations'!H:H, "No Data")</f>
        <v>No</v>
      </c>
      <c r="J623" s="28" t="str">
        <f t="array" ref="J623">_xlfn.XLOOKUP($A623, 'Medical Examinations'!$A:$A, 'Medical Examinations'!I:I, "No Data")</f>
        <v>Obesity</v>
      </c>
      <c r="K623" s="28" t="str">
        <f t="array" ref="K623">_xlfn.XLOOKUP($A623, 'Hospitalisation Details'!$A:$A, 'Hospitalisation Details'!I:I, "No Data")</f>
        <v>tier - 1</v>
      </c>
      <c r="L623" s="28" t="str">
        <f t="array" ref="L623">_xlfn.XLOOKUP($A623, 'Hospitalisation Details'!$A:$A, 'Hospitalisation Details'!J:J, "No Data")</f>
        <v>R1022</v>
      </c>
      <c r="M623" s="28" t="str">
        <f t="array" ref="M623">_xlfn.XLOOKUP($A623, 'Hospitalisation Details'!$A:$A, 'Hospitalisation Details'!E:E, "No Data")</f>
        <v>25/12/62</v>
      </c>
      <c r="N623" s="28">
        <f t="array" ref="N623">_xlfn.XLOOKUP($A623, 'Hospitalisation Details'!$A:$A, 'Hospitalisation Details'!K:K, "No Data")</f>
        <v>60</v>
      </c>
      <c r="O623" s="33">
        <f t="array" ref="O623">_xlfn.XLOOKUP($A623, 'Hospitalisation Details'!$A:$A, 'Hospitalisation Details'!G:G, "No Data")</f>
        <v>15840.81</v>
      </c>
      <c r="P623" s="28" t="str">
        <f t="array" ref="P623">_xlfn.XLOOKUP($A623, 'Hospitalisation Details'!$A:$A, 'Hospitalisation Details'!H:H, "No Data")</f>
        <v>tier - 2</v>
      </c>
    </row>
    <row r="624">
      <c r="A624" s="25" t="s">
        <v>1977</v>
      </c>
      <c r="B624" s="28" t="str">
        <f t="array" ref="B624">_xlfn.XLOOKUP($A624, 'Customer Names'!$A:$A, 'Customer Names'!B:B, "No Data")</f>
        <v>Marbury</v>
      </c>
      <c r="C624" s="28">
        <f t="array" ref="C624">_xlfn.XLOOKUP($A624, 'Medical Examinations'!$A:$A, 'Medical Examinations'!B:B, "No Data")</f>
        <v>29.3</v>
      </c>
      <c r="D624" s="28">
        <f t="array" ref="D624">_xlfn.XLOOKUP($A624, 'Medical Examinations'!$A:$A, 'Medical Examinations'!C:C, "No Data")</f>
        <v>5.5</v>
      </c>
      <c r="E624" s="28" t="str">
        <f t="array" ref="E624">_xlfn.XLOOKUP($A624, 'Medical Examinations'!$A:$A, 'Medical Examinations'!D:D, "No Data")</f>
        <v>No</v>
      </c>
      <c r="F624" s="28" t="str">
        <f t="array" ref="F624">_xlfn.XLOOKUP($A624, 'Medical Examinations'!$A:$A, 'Medical Examinations'!E:E, "No Data")</f>
        <v>No</v>
      </c>
      <c r="G624" s="28" t="str">
        <f t="array" ref="G624">_xlfn.XLOOKUP($A624, 'Medical Examinations'!$A:$A, 'Medical Examinations'!F:F, "No Data")</f>
        <v>No</v>
      </c>
      <c r="H624" s="28">
        <f t="array" ref="H624">_xlfn.XLOOKUP($A624, 'Medical Examinations'!$A:$A, 'Medical Examinations'!G:G, "No Data")</f>
        <v>0</v>
      </c>
      <c r="I624" s="28" t="str">
        <f t="array" ref="I624">_xlfn.XLOOKUP($A624, 'Medical Examinations'!$A:$A, 'Medical Examinations'!H:H, "No Data")</f>
        <v>No</v>
      </c>
      <c r="J624" s="28" t="str">
        <f t="array" ref="J624">_xlfn.XLOOKUP($A624, 'Medical Examinations'!$A:$A, 'Medical Examinations'!I:I, "No Data")</f>
        <v>Overweight</v>
      </c>
      <c r="K624" s="28" t="str">
        <f t="array" ref="K624">_xlfn.XLOOKUP($A624, 'Hospitalisation Details'!$A:$A, 'Hospitalisation Details'!I:I, "No Data")</f>
        <v>tier - 3</v>
      </c>
      <c r="L624" s="28" t="str">
        <f t="array" ref="L624">_xlfn.XLOOKUP($A624, 'Hospitalisation Details'!$A:$A, 'Hospitalisation Details'!J:J, "No Data")</f>
        <v>R1011</v>
      </c>
      <c r="M624" s="28" t="str">
        <f t="array" ref="M624">_xlfn.XLOOKUP($A624, 'Hospitalisation Details'!$A:$A, 'Hospitalisation Details'!E:E, "No Data")</f>
        <v>11/11/82</v>
      </c>
      <c r="N624" s="28">
        <f t="array" ref="N624">_xlfn.XLOOKUP($A624, 'Hospitalisation Details'!$A:$A, 'Hospitalisation Details'!K:K, "No Data")</f>
        <v>40</v>
      </c>
      <c r="O624" s="33">
        <f t="array" ref="O624">_xlfn.XLOOKUP($A624, 'Hospitalisation Details'!$A:$A, 'Hospitalisation Details'!G:G, "No Data")</f>
        <v>15828.82</v>
      </c>
      <c r="P624" s="28" t="str">
        <f t="array" ref="P624">_xlfn.XLOOKUP($A624, 'Hospitalisation Details'!$A:$A, 'Hospitalisation Details'!H:H, "No Data")</f>
        <v>tier - 2</v>
      </c>
    </row>
    <row r="625">
      <c r="A625" s="25" t="s">
        <v>1981</v>
      </c>
      <c r="B625" s="28" t="str">
        <f t="array" ref="B625">_xlfn.XLOOKUP($A625, 'Customer Names'!$A:$A, 'Customer Names'!B:B, "No Data")</f>
        <v>Coon</v>
      </c>
      <c r="C625" s="28">
        <f t="array" ref="C625">_xlfn.XLOOKUP($A625, 'Medical Examinations'!$A:$A, 'Medical Examinations'!B:B, "No Data")</f>
        <v>19.3</v>
      </c>
      <c r="D625" s="28">
        <f t="array" ref="D625">_xlfn.XLOOKUP($A625, 'Medical Examinations'!$A:$A, 'Medical Examinations'!C:C, "No Data")</f>
        <v>4.46</v>
      </c>
      <c r="E625" s="28" t="str">
        <f t="array" ref="E625">_xlfn.XLOOKUP($A625, 'Medical Examinations'!$A:$A, 'Medical Examinations'!D:D, "No Data")</f>
        <v>No</v>
      </c>
      <c r="F625" s="28" t="str">
        <f t="array" ref="F625">_xlfn.XLOOKUP($A625, 'Medical Examinations'!$A:$A, 'Medical Examinations'!E:E, "No Data")</f>
        <v>No</v>
      </c>
      <c r="G625" s="28" t="str">
        <f t="array" ref="G625">_xlfn.XLOOKUP($A625, 'Medical Examinations'!$A:$A, 'Medical Examinations'!F:F, "No Data")</f>
        <v>No</v>
      </c>
      <c r="H625" s="28">
        <f t="array" ref="H625">_xlfn.XLOOKUP($A625, 'Medical Examinations'!$A:$A, 'Medical Examinations'!G:G, "No Data")</f>
        <v>1</v>
      </c>
      <c r="I625" s="28" t="str">
        <f t="array" ref="I625">_xlfn.XLOOKUP($A625, 'Medical Examinations'!$A:$A, 'Medical Examinations'!H:H, "No Data")</f>
        <v>yes</v>
      </c>
      <c r="J625" s="28" t="str">
        <f t="array" ref="J625">_xlfn.XLOOKUP($A625, 'Medical Examinations'!$A:$A, 'Medical Examinations'!I:I, "No Data")</f>
        <v>Normal Weight</v>
      </c>
      <c r="K625" s="28" t="str">
        <f t="array" ref="K625">_xlfn.XLOOKUP($A625, 'Hospitalisation Details'!$A:$A, 'Hospitalisation Details'!I:I, "No Data")</f>
        <v>tier - 3</v>
      </c>
      <c r="L625" s="28" t="str">
        <f t="array" ref="L625">_xlfn.XLOOKUP($A625, 'Hospitalisation Details'!$A:$A, 'Hospitalisation Details'!J:J, "No Data")</f>
        <v>R1011</v>
      </c>
      <c r="M625" s="28" t="str">
        <f t="array" ref="M625">_xlfn.XLOOKUP($A625, 'Hospitalisation Details'!$A:$A, 'Hospitalisation Details'!E:E, "No Data")</f>
        <v>26/06/84</v>
      </c>
      <c r="N625" s="28">
        <f t="array" ref="N625">_xlfn.XLOOKUP($A625, 'Hospitalisation Details'!$A:$A, 'Hospitalisation Details'!K:K, "No Data")</f>
        <v>38</v>
      </c>
      <c r="O625" s="33">
        <f t="array" ref="O625">_xlfn.XLOOKUP($A625, 'Hospitalisation Details'!$A:$A, 'Hospitalisation Details'!G:G, "No Data")</f>
        <v>15820.7</v>
      </c>
      <c r="P625" s="28" t="str">
        <f t="array" ref="P625">_xlfn.XLOOKUP($A625, 'Hospitalisation Details'!$A:$A, 'Hospitalisation Details'!H:H, "No Data")</f>
        <v>tier - 2</v>
      </c>
    </row>
    <row r="626">
      <c r="A626" s="25" t="s">
        <v>1985</v>
      </c>
      <c r="B626" s="28" t="str">
        <f t="array" ref="B626">_xlfn.XLOOKUP($A626, 'Customer Names'!$A:$A, 'Customer Names'!B:B, "No Data")</f>
        <v>Vanttinen</v>
      </c>
      <c r="C626" s="28">
        <f t="array" ref="C626">_xlfn.XLOOKUP($A626, 'Medical Examinations'!$A:$A, 'Medical Examinations'!B:B, "No Data")</f>
        <v>24.13</v>
      </c>
      <c r="D626" s="28">
        <f t="array" ref="D626">_xlfn.XLOOKUP($A626, 'Medical Examinations'!$A:$A, 'Medical Examinations'!C:C, "No Data")</f>
        <v>5.29</v>
      </c>
      <c r="E626" s="28" t="str">
        <f t="array" ref="E626">_xlfn.XLOOKUP($A626, 'Medical Examinations'!$A:$A, 'Medical Examinations'!D:D, "No Data")</f>
        <v>yes</v>
      </c>
      <c r="F626" s="28" t="str">
        <f t="array" ref="F626">_xlfn.XLOOKUP($A626, 'Medical Examinations'!$A:$A, 'Medical Examinations'!E:E, "No Data")</f>
        <v>No</v>
      </c>
      <c r="G626" s="28" t="str">
        <f t="array" ref="G626">_xlfn.XLOOKUP($A626, 'Medical Examinations'!$A:$A, 'Medical Examinations'!F:F, "No Data")</f>
        <v>Yes</v>
      </c>
      <c r="H626" s="28">
        <f t="array" ref="H626">_xlfn.XLOOKUP($A626, 'Medical Examinations'!$A:$A, 'Medical Examinations'!G:G, "No Data")</f>
        <v>1</v>
      </c>
      <c r="I626" s="28" t="str">
        <f t="array" ref="I626">_xlfn.XLOOKUP($A626, 'Medical Examinations'!$A:$A, 'Medical Examinations'!H:H, "No Data")</f>
        <v>yes</v>
      </c>
      <c r="J626" s="28" t="str">
        <f t="array" ref="J626">_xlfn.XLOOKUP($A626, 'Medical Examinations'!$A:$A, 'Medical Examinations'!I:I, "No Data")</f>
        <v>Normal Weight</v>
      </c>
      <c r="K626" s="28" t="str">
        <f t="array" ref="K626">_xlfn.XLOOKUP($A626, 'Hospitalisation Details'!$A:$A, 'Hospitalisation Details'!I:I, "No Data")</f>
        <v>tier - 2</v>
      </c>
      <c r="L626" s="28" t="str">
        <f t="array" ref="L626">_xlfn.XLOOKUP($A626, 'Hospitalisation Details'!$A:$A, 'Hospitalisation Details'!J:J, "No Data")</f>
        <v>R1012</v>
      </c>
      <c r="M626" s="28" t="str">
        <f t="array" ref="M626">_xlfn.XLOOKUP($A626, 'Hospitalisation Details'!$A:$A, 'Hospitalisation Details'!E:E, "No Data")</f>
        <v>09/10/97</v>
      </c>
      <c r="N626" s="28">
        <f t="array" ref="N626">_xlfn.XLOOKUP($A626, 'Hospitalisation Details'!$A:$A, 'Hospitalisation Details'!K:K, "No Data")</f>
        <v>25</v>
      </c>
      <c r="O626" s="33">
        <f t="array" ref="O626">_xlfn.XLOOKUP($A626, 'Hospitalisation Details'!$A:$A, 'Hospitalisation Details'!G:G, "No Data")</f>
        <v>15817.99</v>
      </c>
      <c r="P626" s="28" t="str">
        <f t="array" ref="P626">_xlfn.XLOOKUP($A626, 'Hospitalisation Details'!$A:$A, 'Hospitalisation Details'!H:H, "No Data")</f>
        <v>tier - 2</v>
      </c>
    </row>
    <row r="627">
      <c r="A627" s="25" t="s">
        <v>1988</v>
      </c>
      <c r="B627" s="28" t="str">
        <f t="array" ref="B627">_xlfn.XLOOKUP($A627, 'Customer Names'!$A:$A, 'Customer Names'!B:B, "No Data")</f>
        <v>Garges</v>
      </c>
      <c r="C627" s="28">
        <f t="array" ref="C627">_xlfn.XLOOKUP($A627, 'Medical Examinations'!$A:$A, 'Medical Examinations'!B:B, "No Data")</f>
        <v>46.7</v>
      </c>
      <c r="D627" s="28">
        <f t="array" ref="D627">_xlfn.XLOOKUP($A627, 'Medical Examinations'!$A:$A, 'Medical Examinations'!C:C, "No Data")</f>
        <v>10.99</v>
      </c>
      <c r="E627" s="28" t="str">
        <f t="array" ref="E627">_xlfn.XLOOKUP($A627, 'Medical Examinations'!$A:$A, 'Medical Examinations'!D:D, "No Data")</f>
        <v>No</v>
      </c>
      <c r="F627" s="28" t="str">
        <f t="array" ref="F627">_xlfn.XLOOKUP($A627, 'Medical Examinations'!$A:$A, 'Medical Examinations'!E:E, "No Data")</f>
        <v>No</v>
      </c>
      <c r="G627" s="28" t="str">
        <f t="array" ref="G627">_xlfn.XLOOKUP($A627, 'Medical Examinations'!$A:$A, 'Medical Examinations'!F:F, "No Data")</f>
        <v>No</v>
      </c>
      <c r="H627" s="28">
        <f t="array" ref="H627">_xlfn.XLOOKUP($A627, 'Medical Examinations'!$A:$A, 'Medical Examinations'!G:G, "No Data")</f>
        <v>0</v>
      </c>
      <c r="I627" s="28" t="str">
        <f t="array" ref="I627">_xlfn.XLOOKUP($A627, 'Medical Examinations'!$A:$A, 'Medical Examinations'!H:H, "No Data")</f>
        <v>No</v>
      </c>
      <c r="J627" s="28" t="str">
        <f t="array" ref="J627">_xlfn.XLOOKUP($A627, 'Medical Examinations'!$A:$A, 'Medical Examinations'!I:I, "No Data")</f>
        <v>Obesity</v>
      </c>
      <c r="K627" s="28" t="str">
        <f t="array" ref="K627">_xlfn.XLOOKUP($A627, 'Hospitalisation Details'!$A:$A, 'Hospitalisation Details'!I:I, "No Data")</f>
        <v>tier - 1</v>
      </c>
      <c r="L627" s="28" t="str">
        <f t="array" ref="L627">_xlfn.XLOOKUP($A627, 'Hospitalisation Details'!$A:$A, 'Hospitalisation Details'!J:J, "No Data")</f>
        <v>R1012</v>
      </c>
      <c r="M627" s="28" t="str">
        <f t="array" ref="M627">_xlfn.XLOOKUP($A627, 'Hospitalisation Details'!$A:$A, 'Hospitalisation Details'!E:E, "No Data")</f>
        <v>29/08/74</v>
      </c>
      <c r="N627" s="28">
        <f t="array" ref="N627">_xlfn.XLOOKUP($A627, 'Hospitalisation Details'!$A:$A, 'Hospitalisation Details'!K:K, "No Data")</f>
        <v>48</v>
      </c>
      <c r="O627" s="33">
        <f t="array" ref="O627">_xlfn.XLOOKUP($A627, 'Hospitalisation Details'!$A:$A, 'Hospitalisation Details'!G:G, "No Data")</f>
        <v>15746.62</v>
      </c>
      <c r="P627" s="28" t="str">
        <f t="array" ref="P627">_xlfn.XLOOKUP($A627, 'Hospitalisation Details'!$A:$A, 'Hospitalisation Details'!H:H, "No Data")</f>
        <v>tier - 2</v>
      </c>
    </row>
    <row r="628">
      <c r="A628" s="25" t="s">
        <v>1991</v>
      </c>
      <c r="B628" s="28" t="str">
        <f t="array" ref="B628">_xlfn.XLOOKUP($A628, 'Customer Names'!$A:$A, 'Customer Names'!B:B, "No Data")</f>
        <v>Rivel</v>
      </c>
      <c r="C628" s="28">
        <f t="array" ref="C628">_xlfn.XLOOKUP($A628, 'Medical Examinations'!$A:$A, 'Medical Examinations'!B:B, "No Data")</f>
        <v>45.27</v>
      </c>
      <c r="D628" s="28">
        <f t="array" ref="D628">_xlfn.XLOOKUP($A628, 'Medical Examinations'!$A:$A, 'Medical Examinations'!C:C, "No Data")</f>
        <v>5.2</v>
      </c>
      <c r="E628" s="28" t="str">
        <f t="array" ref="E628">_xlfn.XLOOKUP($A628, 'Medical Examinations'!$A:$A, 'Medical Examinations'!D:D, "No Data")</f>
        <v>yes</v>
      </c>
      <c r="F628" s="28" t="str">
        <f t="array" ref="F628">_xlfn.XLOOKUP($A628, 'Medical Examinations'!$A:$A, 'Medical Examinations'!E:E, "No Data")</f>
        <v>No</v>
      </c>
      <c r="G628" s="28" t="str">
        <f t="array" ref="G628">_xlfn.XLOOKUP($A628, 'Medical Examinations'!$A:$A, 'Medical Examinations'!F:F, "No Data")</f>
        <v>No</v>
      </c>
      <c r="H628" s="28">
        <f t="array" ref="H628">_xlfn.XLOOKUP($A628, 'Medical Examinations'!$A:$A, 'Medical Examinations'!G:G, "No Data")</f>
        <v>0</v>
      </c>
      <c r="I628" s="28" t="str">
        <f t="array" ref="I628">_xlfn.XLOOKUP($A628, 'Medical Examinations'!$A:$A, 'Medical Examinations'!H:H, "No Data")</f>
        <v>No</v>
      </c>
      <c r="J628" s="28" t="str">
        <f t="array" ref="J628">_xlfn.XLOOKUP($A628, 'Medical Examinations'!$A:$A, 'Medical Examinations'!I:I, "No Data")</f>
        <v>Obesity</v>
      </c>
      <c r="K628" s="28" t="str">
        <f t="array" ref="K628">_xlfn.XLOOKUP($A628, 'Hospitalisation Details'!$A:$A, 'Hospitalisation Details'!I:I, "No Data")</f>
        <v>tier - 2</v>
      </c>
      <c r="L628" s="28" t="str">
        <f t="array" ref="L628">_xlfn.XLOOKUP($A628, 'Hospitalisation Details'!$A:$A, 'Hospitalisation Details'!J:J, "No Data")</f>
        <v>R1012</v>
      </c>
      <c r="M628" s="28" t="str">
        <f t="array" ref="M628">_xlfn.XLOOKUP($A628, 'Hospitalisation Details'!$A:$A, 'Hospitalisation Details'!E:E, "No Data")</f>
        <v>20/09/76</v>
      </c>
      <c r="N628" s="28">
        <f t="array" ref="N628">_xlfn.XLOOKUP($A628, 'Hospitalisation Details'!$A:$A, 'Hospitalisation Details'!K:K, "No Data")</f>
        <v>46</v>
      </c>
      <c r="O628" s="33">
        <f t="array" ref="O628">_xlfn.XLOOKUP($A628, 'Hospitalisation Details'!$A:$A, 'Hospitalisation Details'!G:G, "No Data")</f>
        <v>15698.86</v>
      </c>
      <c r="P628" s="28" t="str">
        <f t="array" ref="P628">_xlfn.XLOOKUP($A628, 'Hospitalisation Details'!$A:$A, 'Hospitalisation Details'!H:H, "No Data")</f>
        <v>tier - 2</v>
      </c>
    </row>
    <row r="629">
      <c r="A629" s="25" t="s">
        <v>1995</v>
      </c>
      <c r="B629" s="28" t="str">
        <f t="array" ref="B629">_xlfn.XLOOKUP($A629, 'Customer Names'!$A:$A, 'Customer Names'!B:B, "No Data")</f>
        <v>Lawson</v>
      </c>
      <c r="C629" s="28">
        <f t="array" ref="C629">_xlfn.XLOOKUP($A629, 'Medical Examinations'!$A:$A, 'Medical Examinations'!B:B, "No Data")</f>
        <v>44.29</v>
      </c>
      <c r="D629" s="28">
        <f t="array" ref="D629">_xlfn.XLOOKUP($A629, 'Medical Examinations'!$A:$A, 'Medical Examinations'!C:C, "No Data")</f>
        <v>9.66</v>
      </c>
      <c r="E629" s="28" t="str">
        <f t="array" ref="E629">_xlfn.XLOOKUP($A629, 'Medical Examinations'!$A:$A, 'Medical Examinations'!D:D, "No Data")</f>
        <v>No</v>
      </c>
      <c r="F629" s="28" t="str">
        <f t="array" ref="F629">_xlfn.XLOOKUP($A629, 'Medical Examinations'!$A:$A, 'Medical Examinations'!E:E, "No Data")</f>
        <v>No</v>
      </c>
      <c r="G629" s="28" t="str">
        <f t="array" ref="G629">_xlfn.XLOOKUP($A629, 'Medical Examinations'!$A:$A, 'Medical Examinations'!F:F, "No Data")</f>
        <v>No</v>
      </c>
      <c r="H629" s="28">
        <f t="array" ref="H629">_xlfn.XLOOKUP($A629, 'Medical Examinations'!$A:$A, 'Medical Examinations'!G:G, "No Data")</f>
        <v>2</v>
      </c>
      <c r="I629" s="28" t="str">
        <f t="array" ref="I629">_xlfn.XLOOKUP($A629, 'Medical Examinations'!$A:$A, 'Medical Examinations'!H:H, "No Data")</f>
        <v>No</v>
      </c>
      <c r="J629" s="28" t="str">
        <f t="array" ref="J629">_xlfn.XLOOKUP($A629, 'Medical Examinations'!$A:$A, 'Medical Examinations'!I:I, "No Data")</f>
        <v>Obesity</v>
      </c>
      <c r="K629" s="28" t="str">
        <f t="array" ref="K629">_xlfn.XLOOKUP($A629, 'Hospitalisation Details'!$A:$A, 'Hospitalisation Details'!I:I, "No Data")</f>
        <v>tier - 2</v>
      </c>
      <c r="L629" s="28" t="str">
        <f t="array" ref="L629">_xlfn.XLOOKUP($A629, 'Hospitalisation Details'!$A:$A, 'Hospitalisation Details'!J:J, "No Data")</f>
        <v>R1026</v>
      </c>
      <c r="M629" s="28" t="str">
        <f t="array" ref="M629">_xlfn.XLOOKUP($A629, 'Hospitalisation Details'!$A:$A, 'Hospitalisation Details'!E:E, "No Data")</f>
        <v>26/06/73</v>
      </c>
      <c r="N629" s="28">
        <f t="array" ref="N629">_xlfn.XLOOKUP($A629, 'Hospitalisation Details'!$A:$A, 'Hospitalisation Details'!K:K, "No Data")</f>
        <v>49</v>
      </c>
      <c r="O629" s="33">
        <f t="array" ref="O629">_xlfn.XLOOKUP($A629, 'Hospitalisation Details'!$A:$A, 'Hospitalisation Details'!G:G, "No Data")</f>
        <v>15670.3</v>
      </c>
      <c r="P629" s="28" t="str">
        <f t="array" ref="P629">_xlfn.XLOOKUP($A629, 'Hospitalisation Details'!$A:$A, 'Hospitalisation Details'!H:H, "No Data")</f>
        <v>tier - 2</v>
      </c>
    </row>
    <row r="630">
      <c r="A630" s="25" t="s">
        <v>1998</v>
      </c>
      <c r="B630" s="28" t="str">
        <f t="array" ref="B630">_xlfn.XLOOKUP($A630, 'Customer Names'!$A:$A, 'Customer Names'!B:B, "No Data")</f>
        <v>Cale</v>
      </c>
      <c r="C630" s="28">
        <f t="array" ref="C630">_xlfn.XLOOKUP($A630, 'Medical Examinations'!$A:$A, 'Medical Examinations'!B:B, "No Data")</f>
        <v>54.59</v>
      </c>
      <c r="D630" s="28">
        <f t="array" ref="D630">_xlfn.XLOOKUP($A630, 'Medical Examinations'!$A:$A, 'Medical Examinations'!C:C, "No Data")</f>
        <v>4.22</v>
      </c>
      <c r="E630" s="28" t="str">
        <f t="array" ref="E630">_xlfn.XLOOKUP($A630, 'Medical Examinations'!$A:$A, 'Medical Examinations'!D:D, "No Data")</f>
        <v>yes</v>
      </c>
      <c r="F630" s="28" t="str">
        <f t="array" ref="F630">_xlfn.XLOOKUP($A630, 'Medical Examinations'!$A:$A, 'Medical Examinations'!E:E, "No Data")</f>
        <v>No</v>
      </c>
      <c r="G630" s="28" t="str">
        <f t="array" ref="G630">_xlfn.XLOOKUP($A630, 'Medical Examinations'!$A:$A, 'Medical Examinations'!F:F, "No Data")</f>
        <v>No</v>
      </c>
      <c r="H630" s="28">
        <f t="array" ref="H630">_xlfn.XLOOKUP($A630, 'Medical Examinations'!$A:$A, 'Medical Examinations'!G:G, "No Data")</f>
        <v>1</v>
      </c>
      <c r="I630" s="28" t="str">
        <f t="array" ref="I630">_xlfn.XLOOKUP($A630, 'Medical Examinations'!$A:$A, 'Medical Examinations'!H:H, "No Data")</f>
        <v>No</v>
      </c>
      <c r="J630" s="28" t="str">
        <f t="array" ref="J630">_xlfn.XLOOKUP($A630, 'Medical Examinations'!$A:$A, 'Medical Examinations'!I:I, "No Data")</f>
        <v>Obesity</v>
      </c>
      <c r="K630" s="28" t="str">
        <f t="array" ref="K630">_xlfn.XLOOKUP($A630, 'Hospitalisation Details'!$A:$A, 'Hospitalisation Details'!I:I, "No Data")</f>
        <v>tier - 2</v>
      </c>
      <c r="L630" s="28" t="str">
        <f t="array" ref="L630">_xlfn.XLOOKUP($A630, 'Hospitalisation Details'!$A:$A, 'Hospitalisation Details'!J:J, "No Data")</f>
        <v>R1011</v>
      </c>
      <c r="M630" s="28" t="str">
        <f t="array" ref="M630">_xlfn.XLOOKUP($A630, 'Hospitalisation Details'!$A:$A, 'Hospitalisation Details'!E:E, "No Data")</f>
        <v>22/12/88</v>
      </c>
      <c r="N630" s="28">
        <f t="array" ref="N630">_xlfn.XLOOKUP($A630, 'Hospitalisation Details'!$A:$A, 'Hospitalisation Details'!K:K, "No Data")</f>
        <v>34</v>
      </c>
      <c r="O630" s="33">
        <f t="array" ref="O630">_xlfn.XLOOKUP($A630, 'Hospitalisation Details'!$A:$A, 'Hospitalisation Details'!G:G, "No Data")</f>
        <v>15646.28</v>
      </c>
      <c r="P630" s="28" t="str">
        <f t="array" ref="P630">_xlfn.XLOOKUP($A630, 'Hospitalisation Details'!$A:$A, 'Hospitalisation Details'!H:H, "No Data")</f>
        <v>tier - 2</v>
      </c>
    </row>
    <row r="631">
      <c r="A631" s="25" t="s">
        <v>2002</v>
      </c>
      <c r="B631" s="28" t="str">
        <f t="array" ref="B631">_xlfn.XLOOKUP($A631, 'Customer Names'!$A:$A, 'Customer Names'!B:B, "No Data")</f>
        <v>Phillips</v>
      </c>
      <c r="C631" s="28">
        <f t="array" ref="C631">_xlfn.XLOOKUP($A631, 'Medical Examinations'!$A:$A, 'Medical Examinations'!B:B, "No Data")</f>
        <v>32.965</v>
      </c>
      <c r="D631" s="28">
        <f t="array" ref="D631">_xlfn.XLOOKUP($A631, 'Medical Examinations'!$A:$A, 'Medical Examinations'!C:C, "No Data")</f>
        <v>11.78</v>
      </c>
      <c r="E631" s="28" t="str">
        <f t="array" ref="E631">_xlfn.XLOOKUP($A631, 'Medical Examinations'!$A:$A, 'Medical Examinations'!D:D, "No Data")</f>
        <v>No</v>
      </c>
      <c r="F631" s="28" t="str">
        <f t="array" ref="F631">_xlfn.XLOOKUP($A631, 'Medical Examinations'!$A:$A, 'Medical Examinations'!E:E, "No Data")</f>
        <v>No</v>
      </c>
      <c r="G631" s="28" t="str">
        <f t="array" ref="G631">_xlfn.XLOOKUP($A631, 'Medical Examinations'!$A:$A, 'Medical Examinations'!F:F, "No Data")</f>
        <v>No</v>
      </c>
      <c r="H631" s="28">
        <f t="array" ref="H631">_xlfn.XLOOKUP($A631, 'Medical Examinations'!$A:$A, 'Medical Examinations'!G:G, "No Data")</f>
        <v>0</v>
      </c>
      <c r="I631" s="28" t="str">
        <f t="array" ref="I631">_xlfn.XLOOKUP($A631, 'Medical Examinations'!$A:$A, 'Medical Examinations'!H:H, "No Data")</f>
        <v>No</v>
      </c>
      <c r="J631" s="28" t="str">
        <f t="array" ref="J631">_xlfn.XLOOKUP($A631, 'Medical Examinations'!$A:$A, 'Medical Examinations'!I:I, "No Data")</f>
        <v>Obesity</v>
      </c>
      <c r="K631" s="28" t="str">
        <f t="array" ref="K631">_xlfn.XLOOKUP($A631, 'Hospitalisation Details'!$A:$A, 'Hospitalisation Details'!I:I, "No Data")</f>
        <v>tier - 2</v>
      </c>
      <c r="L631" s="28" t="str">
        <f t="array" ref="L631">_xlfn.XLOOKUP($A631, 'Hospitalisation Details'!$A:$A, 'Hospitalisation Details'!J:J, "No Data")</f>
        <v>R1012</v>
      </c>
      <c r="M631" s="28" t="str">
        <f t="array" ref="M631">_xlfn.XLOOKUP($A631, 'Hospitalisation Details'!$A:$A, 'Hospitalisation Details'!E:E, "No Data")</f>
        <v>06/06/60</v>
      </c>
      <c r="N631" s="28">
        <f t="array" ref="N631">_xlfn.XLOOKUP($A631, 'Hospitalisation Details'!$A:$A, 'Hospitalisation Details'!K:K, "No Data")</f>
        <v>63</v>
      </c>
      <c r="O631" s="33">
        <f t="array" ref="O631">_xlfn.XLOOKUP($A631, 'Hospitalisation Details'!$A:$A, 'Hospitalisation Details'!G:G, "No Data")</f>
        <v>15612.19</v>
      </c>
      <c r="P631" s="28" t="str">
        <f t="array" ref="P631">_xlfn.XLOOKUP($A631, 'Hospitalisation Details'!$A:$A, 'Hospitalisation Details'!H:H, "No Data")</f>
        <v>tier - 2</v>
      </c>
    </row>
    <row r="632">
      <c r="A632" s="25" t="s">
        <v>2004</v>
      </c>
      <c r="B632" s="28" t="str">
        <f t="array" ref="B632">_xlfn.XLOOKUP($A632, 'Customer Names'!$A:$A, 'Customer Names'!B:B, "No Data")</f>
        <v>Stewart</v>
      </c>
      <c r="C632" s="28">
        <f t="array" ref="C632">_xlfn.XLOOKUP($A632, 'Medical Examinations'!$A:$A, 'Medical Examinations'!B:B, "No Data")</f>
        <v>38.05</v>
      </c>
      <c r="D632" s="28">
        <f t="array" ref="D632">_xlfn.XLOOKUP($A632, 'Medical Examinations'!$A:$A, 'Medical Examinations'!C:C, "No Data")</f>
        <v>9.62</v>
      </c>
      <c r="E632" s="28" t="str">
        <f t="array" ref="E632">_xlfn.XLOOKUP($A632, 'Medical Examinations'!$A:$A, 'Medical Examinations'!D:D, "No Data")</f>
        <v>No</v>
      </c>
      <c r="F632" s="28" t="str">
        <f t="array" ref="F632">_xlfn.XLOOKUP($A632, 'Medical Examinations'!$A:$A, 'Medical Examinations'!E:E, "No Data")</f>
        <v>No</v>
      </c>
      <c r="G632" s="28" t="str">
        <f t="array" ref="G632">_xlfn.XLOOKUP($A632, 'Medical Examinations'!$A:$A, 'Medical Examinations'!F:F, "No Data")</f>
        <v>No</v>
      </c>
      <c r="H632" s="28">
        <f t="array" ref="H632">_xlfn.XLOOKUP($A632, 'Medical Examinations'!$A:$A, 'Medical Examinations'!G:G, "No Data")</f>
        <v>0</v>
      </c>
      <c r="I632" s="28" t="str">
        <f t="array" ref="I632">_xlfn.XLOOKUP($A632, 'Medical Examinations'!$A:$A, 'Medical Examinations'!H:H, "No Data")</f>
        <v>No</v>
      </c>
      <c r="J632" s="28" t="str">
        <f t="array" ref="J632">_xlfn.XLOOKUP($A632, 'Medical Examinations'!$A:$A, 'Medical Examinations'!I:I, "No Data")</f>
        <v>Obesity</v>
      </c>
      <c r="K632" s="28" t="str">
        <f t="array" ref="K632">_xlfn.XLOOKUP($A632, 'Hospitalisation Details'!$A:$A, 'Hospitalisation Details'!I:I, "No Data")</f>
        <v>tier - 2</v>
      </c>
      <c r="L632" s="28" t="str">
        <f t="array" ref="L632">_xlfn.XLOOKUP($A632, 'Hospitalisation Details'!$A:$A, 'Hospitalisation Details'!J:J, "No Data")</f>
        <v>R1026</v>
      </c>
      <c r="M632" s="28" t="str">
        <f t="array" ref="M632">_xlfn.XLOOKUP($A632, 'Hospitalisation Details'!$A:$A, 'Hospitalisation Details'!E:E, "No Data")</f>
        <v>28/10/65</v>
      </c>
      <c r="N632" s="28">
        <f t="array" ref="N632">_xlfn.XLOOKUP($A632, 'Hospitalisation Details'!$A:$A, 'Hospitalisation Details'!K:K, "No Data")</f>
        <v>57</v>
      </c>
      <c r="O632" s="33">
        <f t="array" ref="O632">_xlfn.XLOOKUP($A632, 'Hospitalisation Details'!$A:$A, 'Hospitalisation Details'!G:G, "No Data")</f>
        <v>15608.58</v>
      </c>
      <c r="P632" s="28" t="str">
        <f t="array" ref="P632">_xlfn.XLOOKUP($A632, 'Hospitalisation Details'!$A:$A, 'Hospitalisation Details'!H:H, "No Data")</f>
        <v>tier - 2</v>
      </c>
    </row>
    <row r="633">
      <c r="A633" s="25" t="s">
        <v>2007</v>
      </c>
      <c r="B633" s="28" t="str">
        <f t="array" ref="B633">_xlfn.XLOOKUP($A633, 'Customer Names'!$A:$A, 'Customer Names'!B:B, "No Data")</f>
        <v>Drotz</v>
      </c>
      <c r="C633" s="28">
        <f t="array" ref="C633">_xlfn.XLOOKUP($A633, 'Medical Examinations'!$A:$A, 'Medical Examinations'!B:B, "No Data")</f>
        <v>46.14</v>
      </c>
      <c r="D633" s="28">
        <f t="array" ref="D633">_xlfn.XLOOKUP($A633, 'Medical Examinations'!$A:$A, 'Medical Examinations'!C:C, "No Data")</f>
        <v>10.78</v>
      </c>
      <c r="E633" s="28" t="str">
        <f t="array" ref="E633">_xlfn.XLOOKUP($A633, 'Medical Examinations'!$A:$A, 'Medical Examinations'!D:D, "No Data")</f>
        <v>No</v>
      </c>
      <c r="F633" s="28" t="str">
        <f t="array" ref="F633">_xlfn.XLOOKUP($A633, 'Medical Examinations'!$A:$A, 'Medical Examinations'!E:E, "No Data")</f>
        <v>No</v>
      </c>
      <c r="G633" s="28" t="str">
        <f t="array" ref="G633">_xlfn.XLOOKUP($A633, 'Medical Examinations'!$A:$A, 'Medical Examinations'!F:F, "No Data")</f>
        <v>No</v>
      </c>
      <c r="H633" s="28">
        <f t="array" ref="H633">_xlfn.XLOOKUP($A633, 'Medical Examinations'!$A:$A, 'Medical Examinations'!G:G, "No Data")</f>
        <v>0</v>
      </c>
      <c r="I633" s="28" t="str">
        <f t="array" ref="I633">_xlfn.XLOOKUP($A633, 'Medical Examinations'!$A:$A, 'Medical Examinations'!H:H, "No Data")</f>
        <v>No</v>
      </c>
      <c r="J633" s="28" t="str">
        <f t="array" ref="J633">_xlfn.XLOOKUP($A633, 'Medical Examinations'!$A:$A, 'Medical Examinations'!I:I, "No Data")</f>
        <v>Obesity</v>
      </c>
      <c r="K633" s="28" t="str">
        <f t="array" ref="K633">_xlfn.XLOOKUP($A633, 'Hospitalisation Details'!$A:$A, 'Hospitalisation Details'!I:I, "No Data")</f>
        <v>tier - 2</v>
      </c>
      <c r="L633" s="28" t="str">
        <f t="array" ref="L633">_xlfn.XLOOKUP($A633, 'Hospitalisation Details'!$A:$A, 'Hospitalisation Details'!J:J, "No Data")</f>
        <v>R1012</v>
      </c>
      <c r="M633" s="28" t="str">
        <f t="array" ref="M633">_xlfn.XLOOKUP($A633, 'Hospitalisation Details'!$A:$A, 'Hospitalisation Details'!E:E, "No Data")</f>
        <v>30/07/74</v>
      </c>
      <c r="N633" s="28">
        <f t="array" ref="N633">_xlfn.XLOOKUP($A633, 'Hospitalisation Details'!$A:$A, 'Hospitalisation Details'!K:K, "No Data")</f>
        <v>48</v>
      </c>
      <c r="O633" s="33">
        <f t="array" ref="O633">_xlfn.XLOOKUP($A633, 'Hospitalisation Details'!$A:$A, 'Hospitalisation Details'!G:G, "No Data")</f>
        <v>15556.67</v>
      </c>
      <c r="P633" s="28" t="str">
        <f t="array" ref="P633">_xlfn.XLOOKUP($A633, 'Hospitalisation Details'!$A:$A, 'Hospitalisation Details'!H:H, "No Data")</f>
        <v>tier - 2</v>
      </c>
    </row>
    <row r="634">
      <c r="A634" s="25" t="s">
        <v>2010</v>
      </c>
      <c r="B634" s="28" t="str">
        <f t="array" ref="B634">_xlfn.XLOOKUP($A634, 'Customer Names'!$A:$A, 'Customer Names'!B:B, "No Data")</f>
        <v>Mutai</v>
      </c>
      <c r="C634" s="28">
        <f t="array" ref="C634">_xlfn.XLOOKUP($A634, 'Medical Examinations'!$A:$A, 'Medical Examinations'!B:B, "No Data")</f>
        <v>41.325</v>
      </c>
      <c r="D634" s="28">
        <f t="array" ref="D634">_xlfn.XLOOKUP($A634, 'Medical Examinations'!$A:$A, 'Medical Examinations'!C:C, "No Data")</f>
        <v>5.11</v>
      </c>
      <c r="E634" s="28" t="str">
        <f t="array" ref="E634">_xlfn.XLOOKUP($A634, 'Medical Examinations'!$A:$A, 'Medical Examinations'!D:D, "No Data")</f>
        <v>yes</v>
      </c>
      <c r="F634" s="28" t="str">
        <f t="array" ref="F634">_xlfn.XLOOKUP($A634, 'Medical Examinations'!$A:$A, 'Medical Examinations'!E:E, "No Data")</f>
        <v>No</v>
      </c>
      <c r="G634" s="28" t="str">
        <f t="array" ref="G634">_xlfn.XLOOKUP($A634, 'Medical Examinations'!$A:$A, 'Medical Examinations'!F:F, "No Data")</f>
        <v>No</v>
      </c>
      <c r="H634" s="28">
        <f t="array" ref="H634">_xlfn.XLOOKUP($A634, 'Medical Examinations'!$A:$A, 'Medical Examinations'!G:G, "No Data")</f>
        <v>2</v>
      </c>
      <c r="I634" s="28" t="str">
        <f t="array" ref="I634">_xlfn.XLOOKUP($A634, 'Medical Examinations'!$A:$A, 'Medical Examinations'!H:H, "No Data")</f>
        <v>No</v>
      </c>
      <c r="J634" s="28" t="str">
        <f t="array" ref="J634">_xlfn.XLOOKUP($A634, 'Medical Examinations'!$A:$A, 'Medical Examinations'!I:I, "No Data")</f>
        <v>Obesity</v>
      </c>
      <c r="K634" s="28" t="str">
        <f t="array" ref="K634">_xlfn.XLOOKUP($A634, 'Hospitalisation Details'!$A:$A, 'Hospitalisation Details'!I:I, "No Data")</f>
        <v>tier - 3</v>
      </c>
      <c r="L634" s="28" t="str">
        <f t="array" ref="L634">_xlfn.XLOOKUP($A634, 'Hospitalisation Details'!$A:$A, 'Hospitalisation Details'!J:J, "No Data")</f>
        <v>R1012</v>
      </c>
      <c r="M634" s="28" t="str">
        <f t="array" ref="M634">_xlfn.XLOOKUP($A634, 'Hospitalisation Details'!$A:$A, 'Hospitalisation Details'!E:E, "No Data")</f>
        <v>02/10/59</v>
      </c>
      <c r="N634" s="28">
        <f t="array" ref="N634">_xlfn.XLOOKUP($A634, 'Hospitalisation Details'!$A:$A, 'Hospitalisation Details'!K:K, "No Data")</f>
        <v>63</v>
      </c>
      <c r="O634" s="33">
        <f t="array" ref="O634">_xlfn.XLOOKUP($A634, 'Hospitalisation Details'!$A:$A, 'Hospitalisation Details'!G:G, "No Data")</f>
        <v>15555.19</v>
      </c>
      <c r="P634" s="28" t="str">
        <f t="array" ref="P634">_xlfn.XLOOKUP($A634, 'Hospitalisation Details'!$A:$A, 'Hospitalisation Details'!H:H, "No Data")</f>
        <v>tier - 2</v>
      </c>
    </row>
    <row r="635">
      <c r="A635" s="25" t="s">
        <v>2012</v>
      </c>
      <c r="B635" s="28" t="str">
        <f t="array" ref="B635">_xlfn.XLOOKUP($A635, 'Customer Names'!$A:$A, 'Customer Names'!B:B, "No Data")</f>
        <v>Lovlien</v>
      </c>
      <c r="C635" s="28">
        <f t="array" ref="C635">_xlfn.XLOOKUP($A635, 'Medical Examinations'!$A:$A, 'Medical Examinations'!B:B, "No Data")</f>
        <v>44.64</v>
      </c>
      <c r="D635" s="28">
        <f t="array" ref="D635">_xlfn.XLOOKUP($A635, 'Medical Examinations'!$A:$A, 'Medical Examinations'!C:C, "No Data")</f>
        <v>7.18</v>
      </c>
      <c r="E635" s="28" t="str">
        <f t="array" ref="E635">_xlfn.XLOOKUP($A635, 'Medical Examinations'!$A:$A, 'Medical Examinations'!D:D, "No Data")</f>
        <v>No</v>
      </c>
      <c r="F635" s="28" t="str">
        <f t="array" ref="F635">_xlfn.XLOOKUP($A635, 'Medical Examinations'!$A:$A, 'Medical Examinations'!E:E, "No Data")</f>
        <v>No</v>
      </c>
      <c r="G635" s="28" t="str">
        <f t="array" ref="G635">_xlfn.XLOOKUP($A635, 'Medical Examinations'!$A:$A, 'Medical Examinations'!F:F, "No Data")</f>
        <v>No</v>
      </c>
      <c r="H635" s="28">
        <f t="array" ref="H635">_xlfn.XLOOKUP($A635, 'Medical Examinations'!$A:$A, 'Medical Examinations'!G:G, "No Data")</f>
        <v>0</v>
      </c>
      <c r="I635" s="28" t="str">
        <f t="array" ref="I635">_xlfn.XLOOKUP($A635, 'Medical Examinations'!$A:$A, 'Medical Examinations'!H:H, "No Data")</f>
        <v>No</v>
      </c>
      <c r="J635" s="28" t="str">
        <f t="array" ref="J635">_xlfn.XLOOKUP($A635, 'Medical Examinations'!$A:$A, 'Medical Examinations'!I:I, "No Data")</f>
        <v>Obesity</v>
      </c>
      <c r="K635" s="28" t="str">
        <f t="array" ref="K635">_xlfn.XLOOKUP($A635, 'Hospitalisation Details'!$A:$A, 'Hospitalisation Details'!I:I, "No Data")</f>
        <v>tier - 2</v>
      </c>
      <c r="L635" s="28" t="str">
        <f t="array" ref="L635">_xlfn.XLOOKUP($A635, 'Hospitalisation Details'!$A:$A, 'Hospitalisation Details'!J:J, "No Data")</f>
        <v>R1026</v>
      </c>
      <c r="M635" s="28" t="str">
        <f t="array" ref="M635">_xlfn.XLOOKUP($A635, 'Hospitalisation Details'!$A:$A, 'Hospitalisation Details'!E:E, "No Data")</f>
        <v>28/06/74</v>
      </c>
      <c r="N635" s="28">
        <f t="array" ref="N635">_xlfn.XLOOKUP($A635, 'Hospitalisation Details'!$A:$A, 'Hospitalisation Details'!K:K, "No Data")</f>
        <v>48</v>
      </c>
      <c r="O635" s="33">
        <f t="array" ref="O635">_xlfn.XLOOKUP($A635, 'Hospitalisation Details'!$A:$A, 'Hospitalisation Details'!G:G, "No Data")</f>
        <v>15532.16</v>
      </c>
      <c r="P635" s="28" t="str">
        <f t="array" ref="P635">_xlfn.XLOOKUP($A635, 'Hospitalisation Details'!$A:$A, 'Hospitalisation Details'!H:H, "No Data")</f>
        <v>tier - 2</v>
      </c>
    </row>
    <row r="636">
      <c r="A636" s="25" t="s">
        <v>2015</v>
      </c>
      <c r="B636" s="28" t="str">
        <f t="array" ref="B636">_xlfn.XLOOKUP($A636, 'Customer Names'!$A:$A, 'Customer Names'!B:B, "No Data")</f>
        <v>Bruns</v>
      </c>
      <c r="C636" s="28">
        <f t="array" ref="C636">_xlfn.XLOOKUP($A636, 'Medical Examinations'!$A:$A, 'Medical Examinations'!B:B, "No Data")</f>
        <v>25.175</v>
      </c>
      <c r="D636" s="28">
        <f t="array" ref="D636">_xlfn.XLOOKUP($A636, 'Medical Examinations'!$A:$A, 'Medical Examinations'!C:C, "No Data")</f>
        <v>4.96</v>
      </c>
      <c r="E636" s="28" t="str">
        <f t="array" ref="E636">_xlfn.XLOOKUP($A636, 'Medical Examinations'!$A:$A, 'Medical Examinations'!D:D, "No Data")</f>
        <v>No</v>
      </c>
      <c r="F636" s="28" t="str">
        <f t="array" ref="F636">_xlfn.XLOOKUP($A636, 'Medical Examinations'!$A:$A, 'Medical Examinations'!E:E, "No Data")</f>
        <v>yes</v>
      </c>
      <c r="G636" s="28" t="str">
        <f t="array" ref="G636">_xlfn.XLOOKUP($A636, 'Medical Examinations'!$A:$A, 'Medical Examinations'!F:F, "No Data")</f>
        <v>No</v>
      </c>
      <c r="H636" s="28">
        <f t="array" ref="H636">_xlfn.XLOOKUP($A636, 'Medical Examinations'!$A:$A, 'Medical Examinations'!G:G, "No Data")</f>
        <v>1</v>
      </c>
      <c r="I636" s="28" t="str">
        <f t="array" ref="I636">_xlfn.XLOOKUP($A636, 'Medical Examinations'!$A:$A, 'Medical Examinations'!H:H, "No Data")</f>
        <v>?</v>
      </c>
      <c r="J636" s="28" t="str">
        <f t="array" ref="J636">_xlfn.XLOOKUP($A636, 'Medical Examinations'!$A:$A, 'Medical Examinations'!I:I, "No Data")</f>
        <v>Overweight</v>
      </c>
      <c r="K636" s="28" t="str">
        <f t="array" ref="K636">_xlfn.XLOOKUP($A636, 'Hospitalisation Details'!$A:$A, 'Hospitalisation Details'!I:I, "No Data")</f>
        <v>tier - 3</v>
      </c>
      <c r="L636" s="28" t="str">
        <f t="array" ref="L636">_xlfn.XLOOKUP($A636, 'Hospitalisation Details'!$A:$A, 'Hospitalisation Details'!J:J, "No Data")</f>
        <v>R1015</v>
      </c>
      <c r="M636" s="28" t="str">
        <f t="array" ref="M636">_xlfn.XLOOKUP($A636, 'Hospitalisation Details'!$A:$A, 'Hospitalisation Details'!E:E, "No Data")</f>
        <v>17/07/04</v>
      </c>
      <c r="N636" s="28">
        <f t="array" ref="N636">_xlfn.XLOOKUP($A636, 'Hospitalisation Details'!$A:$A, 'Hospitalisation Details'!K:K, "No Data")</f>
        <v>18</v>
      </c>
      <c r="O636" s="33">
        <f t="array" ref="O636">_xlfn.XLOOKUP($A636, 'Hospitalisation Details'!$A:$A, 'Hospitalisation Details'!G:G, "No Data")</f>
        <v>15518.18</v>
      </c>
      <c r="P636" s="28" t="str">
        <f t="array" ref="P636">_xlfn.XLOOKUP($A636, 'Hospitalisation Details'!$A:$A, 'Hospitalisation Details'!H:H, "No Data")</f>
        <v>tier - 2</v>
      </c>
    </row>
    <row r="637">
      <c r="A637" s="25" t="s">
        <v>2017</v>
      </c>
      <c r="B637" s="28" t="str">
        <f t="array" ref="B637">_xlfn.XLOOKUP($A637, 'Customer Names'!$A:$A, 'Customer Names'!B:B, "No Data")</f>
        <v>Stoney</v>
      </c>
      <c r="C637" s="28">
        <f t="array" ref="C637">_xlfn.XLOOKUP($A637, 'Medical Examinations'!$A:$A, 'Medical Examinations'!B:B, "No Data")</f>
        <v>43.11</v>
      </c>
      <c r="D637" s="28">
        <f t="array" ref="D637">_xlfn.XLOOKUP($A637, 'Medical Examinations'!$A:$A, 'Medical Examinations'!C:C, "No Data")</f>
        <v>4.67</v>
      </c>
      <c r="E637" s="28" t="str">
        <f t="array" ref="E637">_xlfn.XLOOKUP($A637, 'Medical Examinations'!$A:$A, 'Medical Examinations'!D:D, "No Data")</f>
        <v>yes</v>
      </c>
      <c r="F637" s="28" t="str">
        <f t="array" ref="F637">_xlfn.XLOOKUP($A637, 'Medical Examinations'!$A:$A, 'Medical Examinations'!E:E, "No Data")</f>
        <v>No</v>
      </c>
      <c r="G637" s="28" t="str">
        <f t="array" ref="G637">_xlfn.XLOOKUP($A637, 'Medical Examinations'!$A:$A, 'Medical Examinations'!F:F, "No Data")</f>
        <v>No</v>
      </c>
      <c r="H637" s="28">
        <f t="array" ref="H637">_xlfn.XLOOKUP($A637, 'Medical Examinations'!$A:$A, 'Medical Examinations'!G:G, "No Data")</f>
        <v>0</v>
      </c>
      <c r="I637" s="28" t="str">
        <f t="array" ref="I637">_xlfn.XLOOKUP($A637, 'Medical Examinations'!$A:$A, 'Medical Examinations'!H:H, "No Data")</f>
        <v>No</v>
      </c>
      <c r="J637" s="28" t="str">
        <f t="array" ref="J637">_xlfn.XLOOKUP($A637, 'Medical Examinations'!$A:$A, 'Medical Examinations'!I:I, "No Data")</f>
        <v>Obesity</v>
      </c>
      <c r="K637" s="28" t="str">
        <f t="array" ref="K637">_xlfn.XLOOKUP($A637, 'Hospitalisation Details'!$A:$A, 'Hospitalisation Details'!I:I, "No Data")</f>
        <v>tier - 1</v>
      </c>
      <c r="L637" s="28" t="str">
        <f t="array" ref="L637">_xlfn.XLOOKUP($A637, 'Hospitalisation Details'!$A:$A, 'Hospitalisation Details'!J:J, "No Data")</f>
        <v>R1026</v>
      </c>
      <c r="M637" s="28" t="str">
        <f t="array" ref="M637">_xlfn.XLOOKUP($A637, 'Hospitalisation Details'!$A:$A, 'Hospitalisation Details'!E:E, "No Data")</f>
        <v>20/07/76</v>
      </c>
      <c r="N637" s="28">
        <f t="array" ref="N637">_xlfn.XLOOKUP($A637, 'Hospitalisation Details'!$A:$A, 'Hospitalisation Details'!K:K, "No Data")</f>
        <v>46</v>
      </c>
      <c r="O637" s="33">
        <f t="array" ref="O637">_xlfn.XLOOKUP($A637, 'Hospitalisation Details'!$A:$A, 'Hospitalisation Details'!G:G, "No Data")</f>
        <v>15450.48</v>
      </c>
      <c r="P637" s="28" t="str">
        <f t="array" ref="P637">_xlfn.XLOOKUP($A637, 'Hospitalisation Details'!$A:$A, 'Hospitalisation Details'!H:H, "No Data")</f>
        <v>tier - 2</v>
      </c>
    </row>
    <row r="638">
      <c r="A638" s="25" t="s">
        <v>2021</v>
      </c>
      <c r="B638" s="28" t="str">
        <f t="array" ref="B638">_xlfn.XLOOKUP($A638, 'Customer Names'!$A:$A, 'Customer Names'!B:B, "No Data")</f>
        <v>Markert</v>
      </c>
      <c r="C638" s="28">
        <f t="array" ref="C638">_xlfn.XLOOKUP($A638, 'Medical Examinations'!$A:$A, 'Medical Examinations'!B:B, "No Data")</f>
        <v>53.32</v>
      </c>
      <c r="D638" s="28">
        <f t="array" ref="D638">_xlfn.XLOOKUP($A638, 'Medical Examinations'!$A:$A, 'Medical Examinations'!C:C, "No Data")</f>
        <v>5.06</v>
      </c>
      <c r="E638" s="28" t="str">
        <f t="array" ref="E638">_xlfn.XLOOKUP($A638, 'Medical Examinations'!$A:$A, 'Medical Examinations'!D:D, "No Data")</f>
        <v>No</v>
      </c>
      <c r="F638" s="28" t="str">
        <f t="array" ref="F638">_xlfn.XLOOKUP($A638, 'Medical Examinations'!$A:$A, 'Medical Examinations'!E:E, "No Data")</f>
        <v>No</v>
      </c>
      <c r="G638" s="28" t="str">
        <f t="array" ref="G638">_xlfn.XLOOKUP($A638, 'Medical Examinations'!$A:$A, 'Medical Examinations'!F:F, "No Data")</f>
        <v>No</v>
      </c>
      <c r="H638" s="28">
        <f t="array" ref="H638">_xlfn.XLOOKUP($A638, 'Medical Examinations'!$A:$A, 'Medical Examinations'!G:G, "No Data")</f>
        <v>0</v>
      </c>
      <c r="I638" s="28" t="str">
        <f t="array" ref="I638">_xlfn.XLOOKUP($A638, 'Medical Examinations'!$A:$A, 'Medical Examinations'!H:H, "No Data")</f>
        <v>No</v>
      </c>
      <c r="J638" s="28" t="str">
        <f t="array" ref="J638">_xlfn.XLOOKUP($A638, 'Medical Examinations'!$A:$A, 'Medical Examinations'!I:I, "No Data")</f>
        <v>Obesity</v>
      </c>
      <c r="K638" s="28" t="str">
        <f t="array" ref="K638">_xlfn.XLOOKUP($A638, 'Hospitalisation Details'!$A:$A, 'Hospitalisation Details'!I:I, "No Data")</f>
        <v>tier - 1</v>
      </c>
      <c r="L638" s="28" t="str">
        <f t="array" ref="L638">_xlfn.XLOOKUP($A638, 'Hospitalisation Details'!$A:$A, 'Hospitalisation Details'!J:J, "No Data")</f>
        <v>R1012</v>
      </c>
      <c r="M638" s="28" t="str">
        <f t="array" ref="M638">_xlfn.XLOOKUP($A638, 'Hospitalisation Details'!$A:$A, 'Hospitalisation Details'!E:E, "No Data")</f>
        <v>25/10/90</v>
      </c>
      <c r="N638" s="28">
        <f t="array" ref="N638">_xlfn.XLOOKUP($A638, 'Hospitalisation Details'!$A:$A, 'Hospitalisation Details'!K:K, "No Data")</f>
        <v>32</v>
      </c>
      <c r="O638" s="33">
        <f t="array" ref="O638">_xlfn.XLOOKUP($A638, 'Hospitalisation Details'!$A:$A, 'Hospitalisation Details'!G:G, "No Data")</f>
        <v>15440.2</v>
      </c>
      <c r="P638" s="28" t="str">
        <f t="array" ref="P638">_xlfn.XLOOKUP($A638, 'Hospitalisation Details'!$A:$A, 'Hospitalisation Details'!H:H, "No Data")</f>
        <v>tier - 2</v>
      </c>
    </row>
    <row r="639">
      <c r="A639" s="25" t="s">
        <v>2023</v>
      </c>
      <c r="B639" s="28" t="str">
        <f t="array" ref="B639">_xlfn.XLOOKUP($A639, 'Customer Names'!$A:$A, 'Customer Names'!B:B, "No Data")</f>
        <v>McLucas</v>
      </c>
      <c r="C639" s="28">
        <f t="array" ref="C639">_xlfn.XLOOKUP($A639, 'Medical Examinations'!$A:$A, 'Medical Examinations'!B:B, "No Data")</f>
        <v>38.04</v>
      </c>
      <c r="D639" s="28">
        <f t="array" ref="D639">_xlfn.XLOOKUP($A639, 'Medical Examinations'!$A:$A, 'Medical Examinations'!C:C, "No Data")</f>
        <v>5.02</v>
      </c>
      <c r="E639" s="28" t="str">
        <f t="array" ref="E639">_xlfn.XLOOKUP($A639, 'Medical Examinations'!$A:$A, 'Medical Examinations'!D:D, "No Data")</f>
        <v>yes</v>
      </c>
      <c r="F639" s="28" t="str">
        <f t="array" ref="F639">_xlfn.XLOOKUP($A639, 'Medical Examinations'!$A:$A, 'Medical Examinations'!E:E, "No Data")</f>
        <v>No</v>
      </c>
      <c r="G639" s="28" t="str">
        <f t="array" ref="G639">_xlfn.XLOOKUP($A639, 'Medical Examinations'!$A:$A, 'Medical Examinations'!F:F, "No Data")</f>
        <v>No</v>
      </c>
      <c r="H639" s="28">
        <f t="array" ref="H639">_xlfn.XLOOKUP($A639, 'Medical Examinations'!$A:$A, 'Medical Examinations'!G:G, "No Data")</f>
        <v>1</v>
      </c>
      <c r="I639" s="28" t="str">
        <f t="array" ref="I639">_xlfn.XLOOKUP($A639, 'Medical Examinations'!$A:$A, 'Medical Examinations'!H:H, "No Data")</f>
        <v>No</v>
      </c>
      <c r="J639" s="28" t="str">
        <f t="array" ref="J639">_xlfn.XLOOKUP($A639, 'Medical Examinations'!$A:$A, 'Medical Examinations'!I:I, "No Data")</f>
        <v>Obesity</v>
      </c>
      <c r="K639" s="28" t="str">
        <f t="array" ref="K639">_xlfn.XLOOKUP($A639, 'Hospitalisation Details'!$A:$A, 'Hospitalisation Details'!I:I, "No Data")</f>
        <v>tier - 2</v>
      </c>
      <c r="L639" s="28" t="str">
        <f t="array" ref="L639">_xlfn.XLOOKUP($A639, 'Hospitalisation Details'!$A:$A, 'Hospitalisation Details'!J:J, "No Data")</f>
        <v>R1012</v>
      </c>
      <c r="M639" s="28" t="str">
        <f t="array" ref="M639">_xlfn.XLOOKUP($A639, 'Hospitalisation Details'!$A:$A, 'Hospitalisation Details'!E:E, "No Data")</f>
        <v>04/09/64</v>
      </c>
      <c r="N639" s="28">
        <f t="array" ref="N639">_xlfn.XLOOKUP($A639, 'Hospitalisation Details'!$A:$A, 'Hospitalisation Details'!K:K, "No Data")</f>
        <v>58</v>
      </c>
      <c r="O639" s="33">
        <f t="array" ref="O639">_xlfn.XLOOKUP($A639, 'Hospitalisation Details'!$A:$A, 'Hospitalisation Details'!G:G, "No Data")</f>
        <v>15377.77</v>
      </c>
      <c r="P639" s="28" t="str">
        <f t="array" ref="P639">_xlfn.XLOOKUP($A639, 'Hospitalisation Details'!$A:$A, 'Hospitalisation Details'!H:H, "No Data")</f>
        <v>tier - 2</v>
      </c>
    </row>
    <row r="640">
      <c r="A640" s="25" t="s">
        <v>2027</v>
      </c>
      <c r="B640" s="28" t="str">
        <f t="array" ref="B640">_xlfn.XLOOKUP($A640, 'Customer Names'!$A:$A, 'Customer Names'!B:B, "No Data")</f>
        <v>Erwin</v>
      </c>
      <c r="C640" s="28">
        <f t="array" ref="C640">_xlfn.XLOOKUP($A640, 'Medical Examinations'!$A:$A, 'Medical Examinations'!B:B, "No Data")</f>
        <v>37.9</v>
      </c>
      <c r="D640" s="28">
        <f t="array" ref="D640">_xlfn.XLOOKUP($A640, 'Medical Examinations'!$A:$A, 'Medical Examinations'!C:C, "No Data")</f>
        <v>7.76</v>
      </c>
      <c r="E640" s="28" t="str">
        <f t="array" ref="E640">_xlfn.XLOOKUP($A640, 'Medical Examinations'!$A:$A, 'Medical Examinations'!D:D, "No Data")</f>
        <v>No</v>
      </c>
      <c r="F640" s="28" t="str">
        <f t="array" ref="F640">_xlfn.XLOOKUP($A640, 'Medical Examinations'!$A:$A, 'Medical Examinations'!E:E, "No Data")</f>
        <v>No</v>
      </c>
      <c r="G640" s="28" t="str">
        <f t="array" ref="G640">_xlfn.XLOOKUP($A640, 'Medical Examinations'!$A:$A, 'Medical Examinations'!F:F, "No Data")</f>
        <v>No</v>
      </c>
      <c r="H640" s="28">
        <f t="array" ref="H640">_xlfn.XLOOKUP($A640, 'Medical Examinations'!$A:$A, 'Medical Examinations'!G:G, "No Data")</f>
        <v>0</v>
      </c>
      <c r="I640" s="28" t="str">
        <f t="array" ref="I640">_xlfn.XLOOKUP($A640, 'Medical Examinations'!$A:$A, 'Medical Examinations'!H:H, "No Data")</f>
        <v>No</v>
      </c>
      <c r="J640" s="28" t="str">
        <f t="array" ref="J640">_xlfn.XLOOKUP($A640, 'Medical Examinations'!$A:$A, 'Medical Examinations'!I:I, "No Data")</f>
        <v>Obesity</v>
      </c>
      <c r="K640" s="28" t="str">
        <f t="array" ref="K640">_xlfn.XLOOKUP($A640, 'Hospitalisation Details'!$A:$A, 'Hospitalisation Details'!I:I, "No Data")</f>
        <v>tier - 2</v>
      </c>
      <c r="L640" s="28" t="str">
        <f t="array" ref="L640">_xlfn.XLOOKUP($A640, 'Hospitalisation Details'!$A:$A, 'Hospitalisation Details'!J:J, "No Data")</f>
        <v>R1011</v>
      </c>
      <c r="M640" s="28" t="str">
        <f t="array" ref="M640">_xlfn.XLOOKUP($A640, 'Hospitalisation Details'!$A:$A, 'Hospitalisation Details'!E:E, "No Data")</f>
        <v>06/09/62</v>
      </c>
      <c r="N640" s="28">
        <f t="array" ref="N640">_xlfn.XLOOKUP($A640, 'Hospitalisation Details'!$A:$A, 'Hospitalisation Details'!K:K, "No Data")</f>
        <v>60</v>
      </c>
      <c r="O640" s="33">
        <f t="array" ref="O640">_xlfn.XLOOKUP($A640, 'Hospitalisation Details'!$A:$A, 'Hospitalisation Details'!G:G, "No Data")</f>
        <v>15368.22</v>
      </c>
      <c r="P640" s="28" t="str">
        <f t="array" ref="P640">_xlfn.XLOOKUP($A640, 'Hospitalisation Details'!$A:$A, 'Hospitalisation Details'!H:H, "No Data")</f>
        <v>tier - 2</v>
      </c>
    </row>
    <row r="641">
      <c r="A641" s="25" t="s">
        <v>2030</v>
      </c>
      <c r="B641" s="28" t="str">
        <f t="array" ref="B641">_xlfn.XLOOKUP($A641, 'Customer Names'!$A:$A, 'Customer Names'!B:B, "No Data")</f>
        <v>Osborne</v>
      </c>
      <c r="C641" s="28">
        <f t="array" ref="C641">_xlfn.XLOOKUP($A641, 'Medical Examinations'!$A:$A, 'Medical Examinations'!B:B, "No Data")</f>
        <v>39.6</v>
      </c>
      <c r="D641" s="28">
        <f t="array" ref="D641">_xlfn.XLOOKUP($A641, 'Medical Examinations'!$A:$A, 'Medical Examinations'!C:C, "No Data")</f>
        <v>9.32</v>
      </c>
      <c r="E641" s="28" t="str">
        <f t="array" ref="E641">_xlfn.XLOOKUP($A641, 'Medical Examinations'!$A:$A, 'Medical Examinations'!D:D, "No Data")</f>
        <v>No</v>
      </c>
      <c r="F641" s="28" t="str">
        <f t="array" ref="F641">_xlfn.XLOOKUP($A641, 'Medical Examinations'!$A:$A, 'Medical Examinations'!E:E, "No Data")</f>
        <v>No</v>
      </c>
      <c r="G641" s="28" t="str">
        <f t="array" ref="G641">_xlfn.XLOOKUP($A641, 'Medical Examinations'!$A:$A, 'Medical Examinations'!F:F, "No Data")</f>
        <v>No</v>
      </c>
      <c r="H641" s="28">
        <f t="array" ref="H641">_xlfn.XLOOKUP($A641, 'Medical Examinations'!$A:$A, 'Medical Examinations'!G:G, "No Data")</f>
        <v>0</v>
      </c>
      <c r="I641" s="28" t="str">
        <f t="array" ref="I641">_xlfn.XLOOKUP($A641, 'Medical Examinations'!$A:$A, 'Medical Examinations'!H:H, "No Data")</f>
        <v>No</v>
      </c>
      <c r="J641" s="28" t="str">
        <f t="array" ref="J641">_xlfn.XLOOKUP($A641, 'Medical Examinations'!$A:$A, 'Medical Examinations'!I:I, "No Data")</f>
        <v>Obesity</v>
      </c>
      <c r="K641" s="28" t="str">
        <f t="array" ref="K641">_xlfn.XLOOKUP($A641, 'Hospitalisation Details'!$A:$A, 'Hospitalisation Details'!I:I, "No Data")</f>
        <v>tier - 1</v>
      </c>
      <c r="L641" s="28" t="str">
        <f t="array" ref="L641">_xlfn.XLOOKUP($A641, 'Hospitalisation Details'!$A:$A, 'Hospitalisation Details'!J:J, "No Data")</f>
        <v>R1026</v>
      </c>
      <c r="M641" s="28" t="str">
        <f t="array" ref="M641">_xlfn.XLOOKUP($A641, 'Hospitalisation Details'!$A:$A, 'Hospitalisation Details'!E:E, "No Data")</f>
        <v>18/07/68</v>
      </c>
      <c r="N641" s="28">
        <f t="array" ref="N641">_xlfn.XLOOKUP($A641, 'Hospitalisation Details'!$A:$A, 'Hospitalisation Details'!K:K, "No Data")</f>
        <v>54</v>
      </c>
      <c r="O641" s="33">
        <f t="array" ref="O641">_xlfn.XLOOKUP($A641, 'Hospitalisation Details'!$A:$A, 'Hospitalisation Details'!G:G, "No Data")</f>
        <v>15363.77</v>
      </c>
      <c r="P641" s="28" t="str">
        <f t="array" ref="P641">_xlfn.XLOOKUP($A641, 'Hospitalisation Details'!$A:$A, 'Hospitalisation Details'!H:H, "No Data")</f>
        <v>tier - 2</v>
      </c>
    </row>
    <row r="642">
      <c r="A642" s="25" t="s">
        <v>2033</v>
      </c>
      <c r="B642" s="28" t="str">
        <f t="array" ref="B642">_xlfn.XLOOKUP($A642, 'Customer Names'!$A:$A, 'Customer Names'!B:B, "No Data")</f>
        <v>Otsuka</v>
      </c>
      <c r="C642" s="28">
        <f t="array" ref="C642">_xlfn.XLOOKUP($A642, 'Medical Examinations'!$A:$A, 'Medical Examinations'!B:B, "No Data")</f>
        <v>50.92</v>
      </c>
      <c r="D642" s="28">
        <f t="array" ref="D642">_xlfn.XLOOKUP($A642, 'Medical Examinations'!$A:$A, 'Medical Examinations'!C:C, "No Data")</f>
        <v>5.31</v>
      </c>
      <c r="E642" s="28" t="str">
        <f t="array" ref="E642">_xlfn.XLOOKUP($A642, 'Medical Examinations'!$A:$A, 'Medical Examinations'!D:D, "No Data")</f>
        <v>yes</v>
      </c>
      <c r="F642" s="28" t="str">
        <f t="array" ref="F642">_xlfn.XLOOKUP($A642, 'Medical Examinations'!$A:$A, 'Medical Examinations'!E:E, "No Data")</f>
        <v>No</v>
      </c>
      <c r="G642" s="28" t="str">
        <f t="array" ref="G642">_xlfn.XLOOKUP($A642, 'Medical Examinations'!$A:$A, 'Medical Examinations'!F:F, "No Data")</f>
        <v>No</v>
      </c>
      <c r="H642" s="28">
        <f t="array" ref="H642">_xlfn.XLOOKUP($A642, 'Medical Examinations'!$A:$A, 'Medical Examinations'!G:G, "No Data")</f>
        <v>1</v>
      </c>
      <c r="I642" s="28" t="str">
        <f t="array" ref="I642">_xlfn.XLOOKUP($A642, 'Medical Examinations'!$A:$A, 'Medical Examinations'!H:H, "No Data")</f>
        <v>No</v>
      </c>
      <c r="J642" s="28" t="str">
        <f t="array" ref="J642">_xlfn.XLOOKUP($A642, 'Medical Examinations'!$A:$A, 'Medical Examinations'!I:I, "No Data")</f>
        <v>Obesity</v>
      </c>
      <c r="K642" s="28" t="str">
        <f t="array" ref="K642">_xlfn.XLOOKUP($A642, 'Hospitalisation Details'!$A:$A, 'Hospitalisation Details'!I:I, "No Data")</f>
        <v>tier - 3</v>
      </c>
      <c r="L642" s="28" t="str">
        <f t="array" ref="L642">_xlfn.XLOOKUP($A642, 'Hospitalisation Details'!$A:$A, 'Hospitalisation Details'!J:J, "No Data")</f>
        <v>R1023</v>
      </c>
      <c r="M642" s="28" t="str">
        <f t="array" ref="M642">_xlfn.XLOOKUP($A642, 'Hospitalisation Details'!$A:$A, 'Hospitalisation Details'!E:E, "No Data")</f>
        <v>17/12/88</v>
      </c>
      <c r="N642" s="28">
        <f t="array" ref="N642">_xlfn.XLOOKUP($A642, 'Hospitalisation Details'!$A:$A, 'Hospitalisation Details'!K:K, "No Data")</f>
        <v>34</v>
      </c>
      <c r="O642" s="33">
        <f t="array" ref="O642">_xlfn.XLOOKUP($A642, 'Hospitalisation Details'!$A:$A, 'Hospitalisation Details'!G:G, "No Data")</f>
        <v>15361.5</v>
      </c>
      <c r="P642" s="28" t="str">
        <f t="array" ref="P642">_xlfn.XLOOKUP($A642, 'Hospitalisation Details'!$A:$A, 'Hospitalisation Details'!H:H, "No Data")</f>
        <v>tier - 2</v>
      </c>
    </row>
    <row r="643">
      <c r="A643" s="25" t="s">
        <v>2037</v>
      </c>
      <c r="B643" s="28" t="str">
        <f t="array" ref="B643">_xlfn.XLOOKUP($A643, 'Customer Names'!$A:$A, 'Customer Names'!B:B, "No Data")</f>
        <v>Smith</v>
      </c>
      <c r="C643" s="28">
        <f t="array" ref="C643">_xlfn.XLOOKUP($A643, 'Medical Examinations'!$A:$A, 'Medical Examinations'!B:B, "No Data")</f>
        <v>21.85</v>
      </c>
      <c r="D643" s="28">
        <f t="array" ref="D643">_xlfn.XLOOKUP($A643, 'Medical Examinations'!$A:$A, 'Medical Examinations'!C:C, "No Data")</f>
        <v>5.56</v>
      </c>
      <c r="E643" s="28" t="str">
        <f t="array" ref="E643">_xlfn.XLOOKUP($A643, 'Medical Examinations'!$A:$A, 'Medical Examinations'!D:D, "No Data")</f>
        <v>yes</v>
      </c>
      <c r="F643" s="28" t="str">
        <f t="array" ref="F643">_xlfn.XLOOKUP($A643, 'Medical Examinations'!$A:$A, 'Medical Examinations'!E:E, "No Data")</f>
        <v>No</v>
      </c>
      <c r="G643" s="28" t="str">
        <f t="array" ref="G643">_xlfn.XLOOKUP($A643, 'Medical Examinations'!$A:$A, 'Medical Examinations'!F:F, "No Data")</f>
        <v>No</v>
      </c>
      <c r="H643" s="28">
        <f t="array" ref="H643">_xlfn.XLOOKUP($A643, 'Medical Examinations'!$A:$A, 'Medical Examinations'!G:G, "No Data")</f>
        <v>0</v>
      </c>
      <c r="I643" s="28" t="str">
        <f t="array" ref="I643">_xlfn.XLOOKUP($A643, 'Medical Examinations'!$A:$A, 'Medical Examinations'!H:H, "No Data")</f>
        <v>yes</v>
      </c>
      <c r="J643" s="28" t="str">
        <f t="array" ref="J643">_xlfn.XLOOKUP($A643, 'Medical Examinations'!$A:$A, 'Medical Examinations'!I:I, "No Data")</f>
        <v>Normal Weight</v>
      </c>
      <c r="K643" s="28" t="str">
        <f t="array" ref="K643">_xlfn.XLOOKUP($A643, 'Hospitalisation Details'!$A:$A, 'Hospitalisation Details'!I:I, "No Data")</f>
        <v>tier - 3</v>
      </c>
      <c r="L643" s="28" t="str">
        <f t="array" ref="L643">_xlfn.XLOOKUP($A643, 'Hospitalisation Details'!$A:$A, 'Hospitalisation Details'!J:J, "No Data")</f>
        <v>R1024</v>
      </c>
      <c r="M643" s="28" t="str">
        <f t="array" ref="M643">_xlfn.XLOOKUP($A643, 'Hospitalisation Details'!$A:$A, 'Hospitalisation Details'!E:E, "No Data")</f>
        <v>14/07/01</v>
      </c>
      <c r="N643" s="28">
        <f t="array" ref="N643">_xlfn.XLOOKUP($A643, 'Hospitalisation Details'!$A:$A, 'Hospitalisation Details'!K:K, "No Data")</f>
        <v>21</v>
      </c>
      <c r="O643" s="33">
        <f t="array" ref="O643">_xlfn.XLOOKUP($A643, 'Hospitalisation Details'!$A:$A, 'Hospitalisation Details'!G:G, "No Data")</f>
        <v>15359.1</v>
      </c>
      <c r="P643" s="28" t="str">
        <f t="array" ref="P643">_xlfn.XLOOKUP($A643, 'Hospitalisation Details'!$A:$A, 'Hospitalisation Details'!H:H, "No Data")</f>
        <v>tier - 2</v>
      </c>
    </row>
    <row r="644">
      <c r="A644" s="25" t="s">
        <v>2039</v>
      </c>
      <c r="B644" s="28" t="str">
        <f t="array" ref="B644">_xlfn.XLOOKUP($A644, 'Customer Names'!$A:$A, 'Customer Names'!B:B, "No Data")</f>
        <v>Myers</v>
      </c>
      <c r="C644" s="28">
        <f t="array" ref="C644">_xlfn.XLOOKUP($A644, 'Medical Examinations'!$A:$A, 'Medical Examinations'!B:B, "No Data")</f>
        <v>36.08</v>
      </c>
      <c r="D644" s="28">
        <f t="array" ref="D644">_xlfn.XLOOKUP($A644, 'Medical Examinations'!$A:$A, 'Medical Examinations'!C:C, "No Data")</f>
        <v>7.11</v>
      </c>
      <c r="E644" s="28" t="str">
        <f t="array" ref="E644">_xlfn.XLOOKUP($A644, 'Medical Examinations'!$A:$A, 'Medical Examinations'!D:D, "No Data")</f>
        <v>yes</v>
      </c>
      <c r="F644" s="28" t="str">
        <f t="array" ref="F644">_xlfn.XLOOKUP($A644, 'Medical Examinations'!$A:$A, 'Medical Examinations'!E:E, "No Data")</f>
        <v>No</v>
      </c>
      <c r="G644" s="28" t="str">
        <f t="array" ref="G644">_xlfn.XLOOKUP($A644, 'Medical Examinations'!$A:$A, 'Medical Examinations'!F:F, "No Data")</f>
        <v>Yes</v>
      </c>
      <c r="H644" s="28">
        <f t="array" ref="H644">_xlfn.XLOOKUP($A644, 'Medical Examinations'!$A:$A, 'Medical Examinations'!G:G, "No Data")</f>
        <v>1</v>
      </c>
      <c r="I644" s="28" t="str">
        <f t="array" ref="I644">_xlfn.XLOOKUP($A644, 'Medical Examinations'!$A:$A, 'Medical Examinations'!H:H, "No Data")</f>
        <v>No</v>
      </c>
      <c r="J644" s="28" t="str">
        <f t="array" ref="J644">_xlfn.XLOOKUP($A644, 'Medical Examinations'!$A:$A, 'Medical Examinations'!I:I, "No Data")</f>
        <v>Obesity</v>
      </c>
      <c r="K644" s="28" t="str">
        <f t="array" ref="K644">_xlfn.XLOOKUP($A644, 'Hospitalisation Details'!$A:$A, 'Hospitalisation Details'!I:I, "No Data")</f>
        <v>tier - 3</v>
      </c>
      <c r="L644" s="28" t="str">
        <f t="array" ref="L644">_xlfn.XLOOKUP($A644, 'Hospitalisation Details'!$A:$A, 'Hospitalisation Details'!J:J, "No Data")</f>
        <v>R1021</v>
      </c>
      <c r="M644" s="28" t="str">
        <f t="array" ref="M644">_xlfn.XLOOKUP($A644, 'Hospitalisation Details'!$A:$A, 'Hospitalisation Details'!E:E, "No Data")</f>
        <v>13/12/63</v>
      </c>
      <c r="N644" s="28">
        <f t="array" ref="N644">_xlfn.XLOOKUP($A644, 'Hospitalisation Details'!$A:$A, 'Hospitalisation Details'!K:K, "No Data")</f>
        <v>59</v>
      </c>
      <c r="O644" s="33">
        <f t="array" ref="O644">_xlfn.XLOOKUP($A644, 'Hospitalisation Details'!$A:$A, 'Hospitalisation Details'!G:G, "No Data")</f>
        <v>15322.77</v>
      </c>
      <c r="P644" s="28" t="str">
        <f t="array" ref="P644">_xlfn.XLOOKUP($A644, 'Hospitalisation Details'!$A:$A, 'Hospitalisation Details'!H:H, "No Data")</f>
        <v>tier - 2</v>
      </c>
    </row>
    <row r="645">
      <c r="A645" s="25" t="s">
        <v>2041</v>
      </c>
      <c r="B645" s="28" t="str">
        <f t="array" ref="B645">_xlfn.XLOOKUP($A645, 'Customer Names'!$A:$A, 'Customer Names'!B:B, "No Data")</f>
        <v>Cote</v>
      </c>
      <c r="C645" s="28">
        <f t="array" ref="C645">_xlfn.XLOOKUP($A645, 'Medical Examinations'!$A:$A, 'Medical Examinations'!B:B, "No Data")</f>
        <v>40.44</v>
      </c>
      <c r="D645" s="28">
        <f t="array" ref="D645">_xlfn.XLOOKUP($A645, 'Medical Examinations'!$A:$A, 'Medical Examinations'!C:C, "No Data")</f>
        <v>5.13</v>
      </c>
      <c r="E645" s="28" t="str">
        <f t="array" ref="E645">_xlfn.XLOOKUP($A645, 'Medical Examinations'!$A:$A, 'Medical Examinations'!D:D, "No Data")</f>
        <v>yes</v>
      </c>
      <c r="F645" s="28" t="str">
        <f t="array" ref="F645">_xlfn.XLOOKUP($A645, 'Medical Examinations'!$A:$A, 'Medical Examinations'!E:E, "No Data")</f>
        <v>No</v>
      </c>
      <c r="G645" s="28" t="str">
        <f t="array" ref="G645">_xlfn.XLOOKUP($A645, 'Medical Examinations'!$A:$A, 'Medical Examinations'!F:F, "No Data")</f>
        <v>Yes</v>
      </c>
      <c r="H645" s="28">
        <f t="array" ref="H645">_xlfn.XLOOKUP($A645, 'Medical Examinations'!$A:$A, 'Medical Examinations'!G:G, "No Data")</f>
        <v>1</v>
      </c>
      <c r="I645" s="28" t="str">
        <f t="array" ref="I645">_xlfn.XLOOKUP($A645, 'Medical Examinations'!$A:$A, 'Medical Examinations'!H:H, "No Data")</f>
        <v>No</v>
      </c>
      <c r="J645" s="28" t="str">
        <f t="array" ref="J645">_xlfn.XLOOKUP($A645, 'Medical Examinations'!$A:$A, 'Medical Examinations'!I:I, "No Data")</f>
        <v>Obesity</v>
      </c>
      <c r="K645" s="28" t="str">
        <f t="array" ref="K645">_xlfn.XLOOKUP($A645, 'Hospitalisation Details'!$A:$A, 'Hospitalisation Details'!I:I, "No Data")</f>
        <v>tier - 2</v>
      </c>
      <c r="L645" s="28" t="str">
        <f t="array" ref="L645">_xlfn.XLOOKUP($A645, 'Hospitalisation Details'!$A:$A, 'Hospitalisation Details'!J:J, "No Data")</f>
        <v>R1023</v>
      </c>
      <c r="M645" s="28" t="str">
        <f t="array" ref="M645">_xlfn.XLOOKUP($A645, 'Hospitalisation Details'!$A:$A, 'Hospitalisation Details'!E:E, "No Data")</f>
        <v>16/09/69</v>
      </c>
      <c r="N645" s="28">
        <f t="array" ref="N645">_xlfn.XLOOKUP($A645, 'Hospitalisation Details'!$A:$A, 'Hospitalisation Details'!K:K, "No Data")</f>
        <v>53</v>
      </c>
      <c r="O645" s="33">
        <f t="array" ref="O645">_xlfn.XLOOKUP($A645, 'Hospitalisation Details'!$A:$A, 'Hospitalisation Details'!G:G, "No Data")</f>
        <v>15260.52</v>
      </c>
      <c r="P645" s="28" t="str">
        <f t="array" ref="P645">_xlfn.XLOOKUP($A645, 'Hospitalisation Details'!$A:$A, 'Hospitalisation Details'!H:H, "No Data")</f>
        <v>tier - 2</v>
      </c>
    </row>
    <row r="646">
      <c r="A646" s="25" t="s">
        <v>2045</v>
      </c>
      <c r="B646" s="28" t="str">
        <f t="array" ref="B646">_xlfn.XLOOKUP($A646, 'Customer Names'!$A:$A, 'Customer Names'!B:B, "No Data")</f>
        <v>Ehrhardt</v>
      </c>
      <c r="C646" s="28">
        <f t="array" ref="C646">_xlfn.XLOOKUP($A646, 'Medical Examinations'!$A:$A, 'Medical Examinations'!B:B, "No Data")</f>
        <v>38.095</v>
      </c>
      <c r="D646" s="28">
        <f t="array" ref="D646">_xlfn.XLOOKUP($A646, 'Medical Examinations'!$A:$A, 'Medical Examinations'!C:C, "No Data")</f>
        <v>10.2</v>
      </c>
      <c r="E646" s="28" t="str">
        <f t="array" ref="E646">_xlfn.XLOOKUP($A646, 'Medical Examinations'!$A:$A, 'Medical Examinations'!D:D, "No Data")</f>
        <v>No</v>
      </c>
      <c r="F646" s="28" t="str">
        <f t="array" ref="F646">_xlfn.XLOOKUP($A646, 'Medical Examinations'!$A:$A, 'Medical Examinations'!E:E, "No Data")</f>
        <v>No</v>
      </c>
      <c r="G646" s="28" t="str">
        <f t="array" ref="G646">_xlfn.XLOOKUP($A646, 'Medical Examinations'!$A:$A, 'Medical Examinations'!F:F, "No Data")</f>
        <v>No</v>
      </c>
      <c r="H646" s="28">
        <f t="array" ref="H646">_xlfn.XLOOKUP($A646, 'Medical Examinations'!$A:$A, 'Medical Examinations'!G:G, "No Data")</f>
        <v>0</v>
      </c>
      <c r="I646" s="28" t="str">
        <f t="array" ref="I646">_xlfn.XLOOKUP($A646, 'Medical Examinations'!$A:$A, 'Medical Examinations'!H:H, "No Data")</f>
        <v>No</v>
      </c>
      <c r="J646" s="28" t="str">
        <f t="array" ref="J646">_xlfn.XLOOKUP($A646, 'Medical Examinations'!$A:$A, 'Medical Examinations'!I:I, "No Data")</f>
        <v>Obesity</v>
      </c>
      <c r="K646" s="28" t="str">
        <f t="array" ref="K646">_xlfn.XLOOKUP($A646, 'Hospitalisation Details'!$A:$A, 'Hospitalisation Details'!I:I, "No Data")</f>
        <v>tier - 2</v>
      </c>
      <c r="L646" s="28" t="str">
        <f t="array" ref="L646">_xlfn.XLOOKUP($A646, 'Hospitalisation Details'!$A:$A, 'Hospitalisation Details'!J:J, "No Data")</f>
        <v>R1024</v>
      </c>
      <c r="M646" s="28" t="str">
        <f t="array" ref="M646">_xlfn.XLOOKUP($A646, 'Hospitalisation Details'!$A:$A, 'Hospitalisation Details'!E:E, "No Data")</f>
        <v>25/07/60</v>
      </c>
      <c r="N646" s="28">
        <f t="array" ref="N646">_xlfn.XLOOKUP($A646, 'Hospitalisation Details'!$A:$A, 'Hospitalisation Details'!K:K, "No Data")</f>
        <v>62</v>
      </c>
      <c r="O646" s="33">
        <f t="array" ref="O646">_xlfn.XLOOKUP($A646, 'Hospitalisation Details'!$A:$A, 'Hospitalisation Details'!G:G, "No Data")</f>
        <v>15230.32</v>
      </c>
      <c r="P646" s="28" t="str">
        <f t="array" ref="P646">_xlfn.XLOOKUP($A646, 'Hospitalisation Details'!$A:$A, 'Hospitalisation Details'!H:H, "No Data")</f>
        <v>tier - 2</v>
      </c>
    </row>
    <row r="647">
      <c r="A647" s="25" t="s">
        <v>2047</v>
      </c>
      <c r="B647" s="28" t="str">
        <f t="array" ref="B647">_xlfn.XLOOKUP($A647, 'Customer Names'!$A:$A, 'Customer Names'!B:B, "No Data")</f>
        <v>Petersen</v>
      </c>
      <c r="C647" s="28">
        <f t="array" ref="C647">_xlfn.XLOOKUP($A647, 'Medical Examinations'!$A:$A, 'Medical Examinations'!B:B, "No Data")</f>
        <v>44.95</v>
      </c>
      <c r="D647" s="28">
        <f t="array" ref="D647">_xlfn.XLOOKUP($A647, 'Medical Examinations'!$A:$A, 'Medical Examinations'!C:C, "No Data")</f>
        <v>10.4</v>
      </c>
      <c r="E647" s="28" t="str">
        <f t="array" ref="E647">_xlfn.XLOOKUP($A647, 'Medical Examinations'!$A:$A, 'Medical Examinations'!D:D, "No Data")</f>
        <v>No</v>
      </c>
      <c r="F647" s="28" t="str">
        <f t="array" ref="F647">_xlfn.XLOOKUP($A647, 'Medical Examinations'!$A:$A, 'Medical Examinations'!E:E, "No Data")</f>
        <v>No</v>
      </c>
      <c r="G647" s="28" t="str">
        <f t="array" ref="G647">_xlfn.XLOOKUP($A647, 'Medical Examinations'!$A:$A, 'Medical Examinations'!F:F, "No Data")</f>
        <v>No</v>
      </c>
      <c r="H647" s="28">
        <f t="array" ref="H647">_xlfn.XLOOKUP($A647, 'Medical Examinations'!$A:$A, 'Medical Examinations'!G:G, "No Data")</f>
        <v>0</v>
      </c>
      <c r="I647" s="28" t="str">
        <f t="array" ref="I647">_xlfn.XLOOKUP($A647, 'Medical Examinations'!$A:$A, 'Medical Examinations'!H:H, "No Data")</f>
        <v>No</v>
      </c>
      <c r="J647" s="28" t="str">
        <f t="array" ref="J647">_xlfn.XLOOKUP($A647, 'Medical Examinations'!$A:$A, 'Medical Examinations'!I:I, "No Data")</f>
        <v>Obesity</v>
      </c>
      <c r="K647" s="28" t="str">
        <f t="array" ref="K647">_xlfn.XLOOKUP($A647, 'Hospitalisation Details'!$A:$A, 'Hospitalisation Details'!I:I, "No Data")</f>
        <v>tier - 1</v>
      </c>
      <c r="L647" s="28" t="str">
        <f t="array" ref="L647">_xlfn.XLOOKUP($A647, 'Hospitalisation Details'!$A:$A, 'Hospitalisation Details'!J:J, "No Data")</f>
        <v>R1012</v>
      </c>
      <c r="M647" s="28" t="str">
        <f t="array" ref="M647">_xlfn.XLOOKUP($A647, 'Hospitalisation Details'!$A:$A, 'Hospitalisation Details'!E:E, "No Data")</f>
        <v>23/11/78</v>
      </c>
      <c r="N647" s="28">
        <f t="array" ref="N647">_xlfn.XLOOKUP($A647, 'Hospitalisation Details'!$A:$A, 'Hospitalisation Details'!K:K, "No Data")</f>
        <v>44</v>
      </c>
      <c r="O647" s="33">
        <f t="array" ref="O647">_xlfn.XLOOKUP($A647, 'Hospitalisation Details'!$A:$A, 'Hospitalisation Details'!G:G, "No Data")</f>
        <v>15207.92</v>
      </c>
      <c r="P647" s="28" t="str">
        <f t="array" ref="P647">_xlfn.XLOOKUP($A647, 'Hospitalisation Details'!$A:$A, 'Hospitalisation Details'!H:H, "No Data")</f>
        <v>tier - 2</v>
      </c>
    </row>
    <row r="648">
      <c r="A648" s="25" t="s">
        <v>2050</v>
      </c>
      <c r="B648" s="28" t="str">
        <f t="array" ref="B648">_xlfn.XLOOKUP($A648, 'Customer Names'!$A:$A, 'Customer Names'!B:B, "No Data")</f>
        <v>Ertel</v>
      </c>
      <c r="C648" s="28">
        <f t="array" ref="C648">_xlfn.XLOOKUP($A648, 'Medical Examinations'!$A:$A, 'Medical Examinations'!B:B, "No Data")</f>
        <v>35.54</v>
      </c>
      <c r="D648" s="28">
        <f t="array" ref="D648">_xlfn.XLOOKUP($A648, 'Medical Examinations'!$A:$A, 'Medical Examinations'!C:C, "No Data")</f>
        <v>10.67</v>
      </c>
      <c r="E648" s="28" t="str">
        <f t="array" ref="E648">_xlfn.XLOOKUP($A648, 'Medical Examinations'!$A:$A, 'Medical Examinations'!D:D, "No Data")</f>
        <v>No</v>
      </c>
      <c r="F648" s="28" t="str">
        <f t="array" ref="F648">_xlfn.XLOOKUP($A648, 'Medical Examinations'!$A:$A, 'Medical Examinations'!E:E, "No Data")</f>
        <v>No</v>
      </c>
      <c r="G648" s="28" t="str">
        <f t="array" ref="G648">_xlfn.XLOOKUP($A648, 'Medical Examinations'!$A:$A, 'Medical Examinations'!F:F, "No Data")</f>
        <v>No</v>
      </c>
      <c r="H648" s="28">
        <f t="array" ref="H648">_xlfn.XLOOKUP($A648, 'Medical Examinations'!$A:$A, 'Medical Examinations'!G:G, "No Data")</f>
        <v>0</v>
      </c>
      <c r="I648" s="28" t="str">
        <f t="array" ref="I648">_xlfn.XLOOKUP($A648, 'Medical Examinations'!$A:$A, 'Medical Examinations'!H:H, "No Data")</f>
        <v>No</v>
      </c>
      <c r="J648" s="28" t="str">
        <f t="array" ref="J648">_xlfn.XLOOKUP($A648, 'Medical Examinations'!$A:$A, 'Medical Examinations'!I:I, "No Data")</f>
        <v>Obesity</v>
      </c>
      <c r="K648" s="28" t="str">
        <f t="array" ref="K648">_xlfn.XLOOKUP($A648, 'Hospitalisation Details'!$A:$A, 'Hospitalisation Details'!I:I, "No Data")</f>
        <v>tier - 1</v>
      </c>
      <c r="L648" s="28" t="str">
        <f t="array" ref="L648">_xlfn.XLOOKUP($A648, 'Hospitalisation Details'!$A:$A, 'Hospitalisation Details'!J:J, "No Data")</f>
        <v>R1012</v>
      </c>
      <c r="M648" s="28" t="str">
        <f t="array" ref="M648">_xlfn.XLOOKUP($A648, 'Hospitalisation Details'!$A:$A, 'Hospitalisation Details'!E:E, "No Data")</f>
        <v>17/06/62</v>
      </c>
      <c r="N648" s="28">
        <f t="array" ref="N648">_xlfn.XLOOKUP($A648, 'Hospitalisation Details'!$A:$A, 'Hospitalisation Details'!K:K, "No Data")</f>
        <v>60</v>
      </c>
      <c r="O648" s="33">
        <f t="array" ref="O648">_xlfn.XLOOKUP($A648, 'Hospitalisation Details'!$A:$A, 'Hospitalisation Details'!G:G, "No Data")</f>
        <v>15174.81</v>
      </c>
      <c r="P648" s="28" t="str">
        <f t="array" ref="P648">_xlfn.XLOOKUP($A648, 'Hospitalisation Details'!$A:$A, 'Hospitalisation Details'!H:H, "No Data")</f>
        <v>tier - 2</v>
      </c>
    </row>
    <row r="649">
      <c r="A649" s="25" t="s">
        <v>2054</v>
      </c>
      <c r="B649" s="28" t="str">
        <f t="array" ref="B649">_xlfn.XLOOKUP($A649, 'Customer Names'!$A:$A, 'Customer Names'!B:B, "No Data")</f>
        <v>Lanza</v>
      </c>
      <c r="C649" s="28">
        <f t="array" ref="C649">_xlfn.XLOOKUP($A649, 'Medical Examinations'!$A:$A, 'Medical Examinations'!B:B, "No Data")</f>
        <v>39.8</v>
      </c>
      <c r="D649" s="28">
        <f t="array" ref="D649">_xlfn.XLOOKUP($A649, 'Medical Examinations'!$A:$A, 'Medical Examinations'!C:C, "No Data")</f>
        <v>4.65</v>
      </c>
      <c r="E649" s="28" t="str">
        <f t="array" ref="E649">_xlfn.XLOOKUP($A649, 'Medical Examinations'!$A:$A, 'Medical Examinations'!D:D, "No Data")</f>
        <v>yes</v>
      </c>
      <c r="F649" s="28" t="str">
        <f t="array" ref="F649">_xlfn.XLOOKUP($A649, 'Medical Examinations'!$A:$A, 'Medical Examinations'!E:E, "No Data")</f>
        <v>No</v>
      </c>
      <c r="G649" s="28" t="str">
        <f t="array" ref="G649">_xlfn.XLOOKUP($A649, 'Medical Examinations'!$A:$A, 'Medical Examinations'!F:F, "No Data")</f>
        <v>No</v>
      </c>
      <c r="H649" s="28">
        <f t="array" ref="H649">_xlfn.XLOOKUP($A649, 'Medical Examinations'!$A:$A, 'Medical Examinations'!G:G, "No Data")</f>
        <v>2</v>
      </c>
      <c r="I649" s="28" t="str">
        <f t="array" ref="I649">_xlfn.XLOOKUP($A649, 'Medical Examinations'!$A:$A, 'Medical Examinations'!H:H, "No Data")</f>
        <v>No</v>
      </c>
      <c r="J649" s="28" t="str">
        <f t="array" ref="J649">_xlfn.XLOOKUP($A649, 'Medical Examinations'!$A:$A, 'Medical Examinations'!I:I, "No Data")</f>
        <v>Obesity</v>
      </c>
      <c r="K649" s="28" t="str">
        <f t="array" ref="K649">_xlfn.XLOOKUP($A649, 'Hospitalisation Details'!$A:$A, 'Hospitalisation Details'!I:I, "No Data")</f>
        <v>tier - 3</v>
      </c>
      <c r="L649" s="28" t="str">
        <f t="array" ref="L649">_xlfn.XLOOKUP($A649, 'Hospitalisation Details'!$A:$A, 'Hospitalisation Details'!J:J, "No Data")</f>
        <v>R1011</v>
      </c>
      <c r="M649" s="28" t="str">
        <f t="array" ref="M649">_xlfn.XLOOKUP($A649, 'Hospitalisation Details'!$A:$A, 'Hospitalisation Details'!E:E, "No Data")</f>
        <v>03/12/59</v>
      </c>
      <c r="N649" s="28">
        <f t="array" ref="N649">_xlfn.XLOOKUP($A649, 'Hospitalisation Details'!$A:$A, 'Hospitalisation Details'!K:K, "No Data")</f>
        <v>63</v>
      </c>
      <c r="O649" s="33">
        <f t="array" ref="O649">_xlfn.XLOOKUP($A649, 'Hospitalisation Details'!$A:$A, 'Hospitalisation Details'!G:G, "No Data")</f>
        <v>15170.07</v>
      </c>
      <c r="P649" s="28" t="str">
        <f t="array" ref="P649">_xlfn.XLOOKUP($A649, 'Hospitalisation Details'!$A:$A, 'Hospitalisation Details'!H:H, "No Data")</f>
        <v>tier - 2</v>
      </c>
    </row>
    <row r="650">
      <c r="A650" s="25" t="s">
        <v>2057</v>
      </c>
      <c r="B650" s="28" t="str">
        <f t="array" ref="B650">_xlfn.XLOOKUP($A650, 'Customer Names'!$A:$A, 'Customer Names'!B:B, "No Data")</f>
        <v>Picklesimer</v>
      </c>
      <c r="C650" s="28">
        <f t="array" ref="C650">_xlfn.XLOOKUP($A650, 'Medical Examinations'!$A:$A, 'Medical Examinations'!B:B, "No Data")</f>
        <v>33.66</v>
      </c>
      <c r="D650" s="28">
        <f t="array" ref="D650">_xlfn.XLOOKUP($A650, 'Medical Examinations'!$A:$A, 'Medical Examinations'!C:C, "No Data")</f>
        <v>5.65</v>
      </c>
      <c r="E650" s="28" t="str">
        <f t="array" ref="E650">_xlfn.XLOOKUP($A650, 'Medical Examinations'!$A:$A, 'Medical Examinations'!D:D, "No Data")</f>
        <v>yes</v>
      </c>
      <c r="F650" s="28" t="str">
        <f t="array" ref="F650">_xlfn.XLOOKUP($A650, 'Medical Examinations'!$A:$A, 'Medical Examinations'!E:E, "No Data")</f>
        <v>No</v>
      </c>
      <c r="G650" s="28" t="str">
        <f t="array" ref="G650">_xlfn.XLOOKUP($A650, 'Medical Examinations'!$A:$A, 'Medical Examinations'!F:F, "No Data")</f>
        <v>No</v>
      </c>
      <c r="H650" s="28">
        <f t="array" ref="H650">_xlfn.XLOOKUP($A650, 'Medical Examinations'!$A:$A, 'Medical Examinations'!G:G, "No Data")</f>
        <v>2</v>
      </c>
      <c r="I650" s="28" t="str">
        <f t="array" ref="I650">_xlfn.XLOOKUP($A650, 'Medical Examinations'!$A:$A, 'Medical Examinations'!H:H, "No Data")</f>
        <v>No</v>
      </c>
      <c r="J650" s="28" t="str">
        <f t="array" ref="J650">_xlfn.XLOOKUP($A650, 'Medical Examinations'!$A:$A, 'Medical Examinations'!I:I, "No Data")</f>
        <v>Obesity</v>
      </c>
      <c r="K650" s="28" t="str">
        <f t="array" ref="K650">_xlfn.XLOOKUP($A650, 'Hospitalisation Details'!$A:$A, 'Hospitalisation Details'!I:I, "No Data")</f>
        <v>tier - 1</v>
      </c>
      <c r="L650" s="28" t="str">
        <f t="array" ref="L650">_xlfn.XLOOKUP($A650, 'Hospitalisation Details'!$A:$A, 'Hospitalisation Details'!J:J, "No Data")</f>
        <v>R1013</v>
      </c>
      <c r="M650" s="28" t="str">
        <f t="array" ref="M650">_xlfn.XLOOKUP($A650, 'Hospitalisation Details'!$A:$A, 'Hospitalisation Details'!E:E, "No Data")</f>
        <v>04/06/59</v>
      </c>
      <c r="N650" s="28">
        <f t="array" ref="N650">_xlfn.XLOOKUP($A650, 'Hospitalisation Details'!$A:$A, 'Hospitalisation Details'!K:K, "No Data")</f>
        <v>64</v>
      </c>
      <c r="O650" s="33">
        <f t="array" ref="O650">_xlfn.XLOOKUP($A650, 'Hospitalisation Details'!$A:$A, 'Hospitalisation Details'!G:G, "No Data")</f>
        <v>15161.53</v>
      </c>
      <c r="P650" s="28" t="str">
        <f t="array" ref="P650">_xlfn.XLOOKUP($A650, 'Hospitalisation Details'!$A:$A, 'Hospitalisation Details'!H:H, "No Data")</f>
        <v>tier - 2</v>
      </c>
    </row>
    <row r="651">
      <c r="A651" s="25" t="s">
        <v>2060</v>
      </c>
      <c r="B651" s="28" t="str">
        <f t="array" ref="B651">_xlfn.XLOOKUP($A651, 'Customer Names'!$A:$A, 'Customer Names'!B:B, "No Data")</f>
        <v>Giles</v>
      </c>
      <c r="C651" s="28">
        <f t="array" ref="C651">_xlfn.XLOOKUP($A651, 'Medical Examinations'!$A:$A, 'Medical Examinations'!B:B, "No Data")</f>
        <v>35.5</v>
      </c>
      <c r="D651" s="28">
        <f t="array" ref="D651">_xlfn.XLOOKUP($A651, 'Medical Examinations'!$A:$A, 'Medical Examinations'!C:C, "No Data")</f>
        <v>11.97</v>
      </c>
      <c r="E651" s="28" t="str">
        <f t="array" ref="E651">_xlfn.XLOOKUP($A651, 'Medical Examinations'!$A:$A, 'Medical Examinations'!D:D, "No Data")</f>
        <v>No</v>
      </c>
      <c r="F651" s="28" t="str">
        <f t="array" ref="F651">_xlfn.XLOOKUP($A651, 'Medical Examinations'!$A:$A, 'Medical Examinations'!E:E, "No Data")</f>
        <v>No</v>
      </c>
      <c r="G651" s="28" t="str">
        <f t="array" ref="G651">_xlfn.XLOOKUP($A651, 'Medical Examinations'!$A:$A, 'Medical Examinations'!F:F, "No Data")</f>
        <v>No</v>
      </c>
      <c r="H651" s="28">
        <f t="array" ref="H651">_xlfn.XLOOKUP($A651, 'Medical Examinations'!$A:$A, 'Medical Examinations'!G:G, "No Data")</f>
        <v>0</v>
      </c>
      <c r="I651" s="28" t="str">
        <f t="array" ref="I651">_xlfn.XLOOKUP($A651, 'Medical Examinations'!$A:$A, 'Medical Examinations'!H:H, "No Data")</f>
        <v>No</v>
      </c>
      <c r="J651" s="28" t="str">
        <f t="array" ref="J651">_xlfn.XLOOKUP($A651, 'Medical Examinations'!$A:$A, 'Medical Examinations'!I:I, "No Data")</f>
        <v>Obesity</v>
      </c>
      <c r="K651" s="28" t="str">
        <f t="array" ref="K651">_xlfn.XLOOKUP($A651, 'Hospitalisation Details'!$A:$A, 'Hospitalisation Details'!I:I, "No Data")</f>
        <v>tier - 2</v>
      </c>
      <c r="L651" s="28" t="str">
        <f t="array" ref="L651">_xlfn.XLOOKUP($A651, 'Hospitalisation Details'!$A:$A, 'Hospitalisation Details'!J:J, "No Data")</f>
        <v>R1012</v>
      </c>
      <c r="M651" s="28" t="str">
        <f t="array" ref="M651">_xlfn.XLOOKUP($A651, 'Hospitalisation Details'!$A:$A, 'Hospitalisation Details'!E:E, "No Data")</f>
        <v>25/10/62</v>
      </c>
      <c r="N651" s="28">
        <f t="array" ref="N651">_xlfn.XLOOKUP($A651, 'Hospitalisation Details'!$A:$A, 'Hospitalisation Details'!K:K, "No Data")</f>
        <v>60</v>
      </c>
      <c r="O651" s="33">
        <f t="array" ref="O651">_xlfn.XLOOKUP($A651, 'Hospitalisation Details'!$A:$A, 'Hospitalisation Details'!G:G, "No Data")</f>
        <v>15161.25</v>
      </c>
      <c r="P651" s="28" t="str">
        <f t="array" ref="P651">_xlfn.XLOOKUP($A651, 'Hospitalisation Details'!$A:$A, 'Hospitalisation Details'!H:H, "No Data")</f>
        <v>tier - 2</v>
      </c>
    </row>
    <row r="652">
      <c r="A652" s="25" t="s">
        <v>2063</v>
      </c>
      <c r="B652" s="28" t="str">
        <f t="array" ref="B652">_xlfn.XLOOKUP($A652, 'Customer Names'!$A:$A, 'Customer Names'!B:B, "No Data")</f>
        <v>Harmon</v>
      </c>
      <c r="C652" s="28">
        <f t="array" ref="C652">_xlfn.XLOOKUP($A652, 'Medical Examinations'!$A:$A, 'Medical Examinations'!B:B, "No Data")</f>
        <v>41.63</v>
      </c>
      <c r="D652" s="28">
        <f t="array" ref="D652">_xlfn.XLOOKUP($A652, 'Medical Examinations'!$A:$A, 'Medical Examinations'!C:C, "No Data")</f>
        <v>6.71</v>
      </c>
      <c r="E652" s="28" t="str">
        <f t="array" ref="E652">_xlfn.XLOOKUP($A652, 'Medical Examinations'!$A:$A, 'Medical Examinations'!D:D, "No Data")</f>
        <v>No</v>
      </c>
      <c r="F652" s="28" t="str">
        <f t="array" ref="F652">_xlfn.XLOOKUP($A652, 'Medical Examinations'!$A:$A, 'Medical Examinations'!E:E, "No Data")</f>
        <v>No</v>
      </c>
      <c r="G652" s="28" t="str">
        <f t="array" ref="G652">_xlfn.XLOOKUP($A652, 'Medical Examinations'!$A:$A, 'Medical Examinations'!F:F, "No Data")</f>
        <v>No</v>
      </c>
      <c r="H652" s="28">
        <f t="array" ref="H652">_xlfn.XLOOKUP($A652, 'Medical Examinations'!$A:$A, 'Medical Examinations'!G:G, "No Data")</f>
        <v>0</v>
      </c>
      <c r="I652" s="28" t="str">
        <f t="array" ref="I652">_xlfn.XLOOKUP($A652, 'Medical Examinations'!$A:$A, 'Medical Examinations'!H:H, "No Data")</f>
        <v>No</v>
      </c>
      <c r="J652" s="28" t="str">
        <f t="array" ref="J652">_xlfn.XLOOKUP($A652, 'Medical Examinations'!$A:$A, 'Medical Examinations'!I:I, "No Data")</f>
        <v>Obesity</v>
      </c>
      <c r="K652" s="28" t="str">
        <f t="array" ref="K652">_xlfn.XLOOKUP($A652, 'Hospitalisation Details'!$A:$A, 'Hospitalisation Details'!I:I, "No Data")</f>
        <v>tier - 1</v>
      </c>
      <c r="L652" s="28" t="str">
        <f t="array" ref="L652">_xlfn.XLOOKUP($A652, 'Hospitalisation Details'!$A:$A, 'Hospitalisation Details'!J:J, "No Data")</f>
        <v>R1023</v>
      </c>
      <c r="M652" s="28" t="str">
        <f t="array" ref="M652">_xlfn.XLOOKUP($A652, 'Hospitalisation Details'!$A:$A, 'Hospitalisation Details'!E:E, "No Data")</f>
        <v>25/11/71</v>
      </c>
      <c r="N652" s="28">
        <f t="array" ref="N652">_xlfn.XLOOKUP($A652, 'Hospitalisation Details'!$A:$A, 'Hospitalisation Details'!K:K, "No Data")</f>
        <v>51</v>
      </c>
      <c r="O652" s="33">
        <f t="array" ref="O652">_xlfn.XLOOKUP($A652, 'Hospitalisation Details'!$A:$A, 'Hospitalisation Details'!G:G, "No Data")</f>
        <v>15150.44</v>
      </c>
      <c r="P652" s="28" t="str">
        <f t="array" ref="P652">_xlfn.XLOOKUP($A652, 'Hospitalisation Details'!$A:$A, 'Hospitalisation Details'!H:H, "No Data")</f>
        <v>tier - 2</v>
      </c>
    </row>
    <row r="653">
      <c r="A653" s="25" t="s">
        <v>2065</v>
      </c>
      <c r="B653" s="28" t="str">
        <f t="array" ref="B653">_xlfn.XLOOKUP($A653, 'Customer Names'!$A:$A, 'Customer Names'!B:B, "No Data")</f>
        <v>Pennings</v>
      </c>
      <c r="C653" s="28">
        <f t="array" ref="C653">_xlfn.XLOOKUP($A653, 'Medical Examinations'!$A:$A, 'Medical Examinations'!B:B, "No Data")</f>
        <v>46.49</v>
      </c>
      <c r="D653" s="28">
        <f t="array" ref="D653">_xlfn.XLOOKUP($A653, 'Medical Examinations'!$A:$A, 'Medical Examinations'!C:C, "No Data")</f>
        <v>11.92</v>
      </c>
      <c r="E653" s="28" t="str">
        <f t="array" ref="E653">_xlfn.XLOOKUP($A653, 'Medical Examinations'!$A:$A, 'Medical Examinations'!D:D, "No Data")</f>
        <v>No</v>
      </c>
      <c r="F653" s="28" t="str">
        <f t="array" ref="F653">_xlfn.XLOOKUP($A653, 'Medical Examinations'!$A:$A, 'Medical Examinations'!E:E, "No Data")</f>
        <v>No</v>
      </c>
      <c r="G653" s="28" t="str">
        <f t="array" ref="G653">_xlfn.XLOOKUP($A653, 'Medical Examinations'!$A:$A, 'Medical Examinations'!F:F, "No Data")</f>
        <v>No</v>
      </c>
      <c r="H653" s="28">
        <f t="array" ref="H653">_xlfn.XLOOKUP($A653, 'Medical Examinations'!$A:$A, 'Medical Examinations'!G:G, "No Data")</f>
        <v>0</v>
      </c>
      <c r="I653" s="28" t="str">
        <f t="array" ref="I653">_xlfn.XLOOKUP($A653, 'Medical Examinations'!$A:$A, 'Medical Examinations'!H:H, "No Data")</f>
        <v>No</v>
      </c>
      <c r="J653" s="28" t="str">
        <f t="array" ref="J653">_xlfn.XLOOKUP($A653, 'Medical Examinations'!$A:$A, 'Medical Examinations'!I:I, "No Data")</f>
        <v>Obesity</v>
      </c>
      <c r="K653" s="28" t="str">
        <f t="array" ref="K653">_xlfn.XLOOKUP($A653, 'Hospitalisation Details'!$A:$A, 'Hospitalisation Details'!I:I, "No Data")</f>
        <v>tier - 1</v>
      </c>
      <c r="L653" s="28" t="str">
        <f t="array" ref="L653">_xlfn.XLOOKUP($A653, 'Hospitalisation Details'!$A:$A, 'Hospitalisation Details'!J:J, "No Data")</f>
        <v>R1011</v>
      </c>
      <c r="M653" s="28" t="str">
        <f t="array" ref="M653">_xlfn.XLOOKUP($A653, 'Hospitalisation Details'!$A:$A, 'Hospitalisation Details'!E:E, "No Data")</f>
        <v>05/09/78</v>
      </c>
      <c r="N653" s="28">
        <f t="array" ref="N653">_xlfn.XLOOKUP($A653, 'Hospitalisation Details'!$A:$A, 'Hospitalisation Details'!K:K, "No Data")</f>
        <v>44</v>
      </c>
      <c r="O653" s="33">
        <f t="array" ref="O653">_xlfn.XLOOKUP($A653, 'Hospitalisation Details'!$A:$A, 'Hospitalisation Details'!G:G, "No Data")</f>
        <v>15123.19</v>
      </c>
      <c r="P653" s="28" t="str">
        <f t="array" ref="P653">_xlfn.XLOOKUP($A653, 'Hospitalisation Details'!$A:$A, 'Hospitalisation Details'!H:H, "No Data")</f>
        <v>tier - 2</v>
      </c>
    </row>
    <row r="654">
      <c r="A654" s="25" t="s">
        <v>2068</v>
      </c>
      <c r="B654" s="28" t="str">
        <f t="array" ref="B654">_xlfn.XLOOKUP($A654, 'Customer Names'!$A:$A, 'Customer Names'!B:B, "No Data")</f>
        <v>Tseronis</v>
      </c>
      <c r="C654" s="28">
        <f t="array" ref="C654">_xlfn.XLOOKUP($A654, 'Medical Examinations'!$A:$A, 'Medical Examinations'!B:B, "No Data")</f>
        <v>43.29</v>
      </c>
      <c r="D654" s="28">
        <f t="array" ref="D654">_xlfn.XLOOKUP($A654, 'Medical Examinations'!$A:$A, 'Medical Examinations'!C:C, "No Data")</f>
        <v>5.35</v>
      </c>
      <c r="E654" s="28" t="str">
        <f t="array" ref="E654">_xlfn.XLOOKUP($A654, 'Medical Examinations'!$A:$A, 'Medical Examinations'!D:D, "No Data")</f>
        <v>No</v>
      </c>
      <c r="F654" s="28" t="str">
        <f t="array" ref="F654">_xlfn.XLOOKUP($A654, 'Medical Examinations'!$A:$A, 'Medical Examinations'!E:E, "No Data")</f>
        <v>No</v>
      </c>
      <c r="G654" s="28" t="str">
        <f t="array" ref="G654">_xlfn.XLOOKUP($A654, 'Medical Examinations'!$A:$A, 'Medical Examinations'!F:F, "No Data")</f>
        <v>No</v>
      </c>
      <c r="H654" s="28">
        <f t="array" ref="H654">_xlfn.XLOOKUP($A654, 'Medical Examinations'!$A:$A, 'Medical Examinations'!G:G, "No Data")</f>
        <v>2</v>
      </c>
      <c r="I654" s="28" t="str">
        <f t="array" ref="I654">_xlfn.XLOOKUP($A654, 'Medical Examinations'!$A:$A, 'Medical Examinations'!H:H, "No Data")</f>
        <v>No</v>
      </c>
      <c r="J654" s="28" t="str">
        <f t="array" ref="J654">_xlfn.XLOOKUP($A654, 'Medical Examinations'!$A:$A, 'Medical Examinations'!I:I, "No Data")</f>
        <v>Obesity</v>
      </c>
      <c r="K654" s="28" t="str">
        <f t="array" ref="K654">_xlfn.XLOOKUP($A654, 'Hospitalisation Details'!$A:$A, 'Hospitalisation Details'!I:I, "No Data")</f>
        <v>tier - 1</v>
      </c>
      <c r="L654" s="28" t="str">
        <f t="array" ref="L654">_xlfn.XLOOKUP($A654, 'Hospitalisation Details'!$A:$A, 'Hospitalisation Details'!J:J, "No Data")</f>
        <v>R1012</v>
      </c>
      <c r="M654" s="28" t="str">
        <f t="array" ref="M654">_xlfn.XLOOKUP($A654, 'Hospitalisation Details'!$A:$A, 'Hospitalisation Details'!E:E, "No Data")</f>
        <v>07/11/72</v>
      </c>
      <c r="N654" s="28">
        <f t="array" ref="N654">_xlfn.XLOOKUP($A654, 'Hospitalisation Details'!$A:$A, 'Hospitalisation Details'!K:K, "No Data")</f>
        <v>50</v>
      </c>
      <c r="O654" s="33">
        <f t="array" ref="O654">_xlfn.XLOOKUP($A654, 'Hospitalisation Details'!$A:$A, 'Hospitalisation Details'!G:G, "No Data")</f>
        <v>15103.69</v>
      </c>
      <c r="P654" s="28" t="str">
        <f t="array" ref="P654">_xlfn.XLOOKUP($A654, 'Hospitalisation Details'!$A:$A, 'Hospitalisation Details'!H:H, "No Data")</f>
        <v>tier - 2</v>
      </c>
    </row>
    <row r="655">
      <c r="A655" s="25" t="s">
        <v>2072</v>
      </c>
      <c r="B655" s="28" t="str">
        <f t="array" ref="B655">_xlfn.XLOOKUP($A655, 'Customer Names'!$A:$A, 'Customer Names'!B:B, "No Data")</f>
        <v>Aliff</v>
      </c>
      <c r="C655" s="28">
        <f t="array" ref="C655">_xlfn.XLOOKUP($A655, 'Medical Examinations'!$A:$A, 'Medical Examinations'!B:B, "No Data")</f>
        <v>43.08</v>
      </c>
      <c r="D655" s="28">
        <f t="array" ref="D655">_xlfn.XLOOKUP($A655, 'Medical Examinations'!$A:$A, 'Medical Examinations'!C:C, "No Data")</f>
        <v>8.96</v>
      </c>
      <c r="E655" s="28" t="str">
        <f t="array" ref="E655">_xlfn.XLOOKUP($A655, 'Medical Examinations'!$A:$A, 'Medical Examinations'!D:D, "No Data")</f>
        <v>yes</v>
      </c>
      <c r="F655" s="28" t="str">
        <f t="array" ref="F655">_xlfn.XLOOKUP($A655, 'Medical Examinations'!$A:$A, 'Medical Examinations'!E:E, "No Data")</f>
        <v>No</v>
      </c>
      <c r="G655" s="28" t="str">
        <f t="array" ref="G655">_xlfn.XLOOKUP($A655, 'Medical Examinations'!$A:$A, 'Medical Examinations'!F:F, "No Data")</f>
        <v>No</v>
      </c>
      <c r="H655" s="28">
        <f t="array" ref="H655">_xlfn.XLOOKUP($A655, 'Medical Examinations'!$A:$A, 'Medical Examinations'!G:G, "No Data")</f>
        <v>1</v>
      </c>
      <c r="I655" s="28" t="str">
        <f t="array" ref="I655">_xlfn.XLOOKUP($A655, 'Medical Examinations'!$A:$A, 'Medical Examinations'!H:H, "No Data")</f>
        <v>No</v>
      </c>
      <c r="J655" s="28" t="str">
        <f t="array" ref="J655">_xlfn.XLOOKUP($A655, 'Medical Examinations'!$A:$A, 'Medical Examinations'!I:I, "No Data")</f>
        <v>Obesity</v>
      </c>
      <c r="K655" s="28" t="str">
        <f t="array" ref="K655">_xlfn.XLOOKUP($A655, 'Hospitalisation Details'!$A:$A, 'Hospitalisation Details'!I:I, "No Data")</f>
        <v>tier - 1</v>
      </c>
      <c r="L655" s="28" t="str">
        <f t="array" ref="L655">_xlfn.XLOOKUP($A655, 'Hospitalisation Details'!$A:$A, 'Hospitalisation Details'!J:J, "No Data")</f>
        <v>R1023</v>
      </c>
      <c r="M655" s="28" t="str">
        <f t="array" ref="M655">_xlfn.XLOOKUP($A655, 'Hospitalisation Details'!$A:$A, 'Hospitalisation Details'!E:E, "No Data")</f>
        <v>26/10/75</v>
      </c>
      <c r="N655" s="28">
        <f t="array" ref="N655">_xlfn.XLOOKUP($A655, 'Hospitalisation Details'!$A:$A, 'Hospitalisation Details'!K:K, "No Data")</f>
        <v>47</v>
      </c>
      <c r="O655" s="33">
        <f t="array" ref="O655">_xlfn.XLOOKUP($A655, 'Hospitalisation Details'!$A:$A, 'Hospitalisation Details'!G:G, "No Data")</f>
        <v>15090.35</v>
      </c>
      <c r="P655" s="28" t="str">
        <f t="array" ref="P655">_xlfn.XLOOKUP($A655, 'Hospitalisation Details'!$A:$A, 'Hospitalisation Details'!H:H, "No Data")</f>
        <v>tier - 2</v>
      </c>
    </row>
    <row r="656">
      <c r="A656" s="25" t="s">
        <v>2074</v>
      </c>
      <c r="B656" s="28" t="str">
        <f t="array" ref="B656">_xlfn.XLOOKUP($A656, 'Customer Names'!$A:$A, 'Customer Names'!B:B, "No Data")</f>
        <v>Willenberg</v>
      </c>
      <c r="C656" s="28">
        <f t="array" ref="C656">_xlfn.XLOOKUP($A656, 'Medical Examinations'!$A:$A, 'Medical Examinations'!B:B, "No Data")</f>
        <v>39.07</v>
      </c>
      <c r="D656" s="28">
        <f t="array" ref="D656">_xlfn.XLOOKUP($A656, 'Medical Examinations'!$A:$A, 'Medical Examinations'!C:C, "No Data")</f>
        <v>11.93</v>
      </c>
      <c r="E656" s="28" t="str">
        <f t="array" ref="E656">_xlfn.XLOOKUP($A656, 'Medical Examinations'!$A:$A, 'Medical Examinations'!D:D, "No Data")</f>
        <v>No</v>
      </c>
      <c r="F656" s="28" t="str">
        <f t="array" ref="F656">_xlfn.XLOOKUP($A656, 'Medical Examinations'!$A:$A, 'Medical Examinations'!E:E, "No Data")</f>
        <v>No</v>
      </c>
      <c r="G656" s="28" t="str">
        <f t="array" ref="G656">_xlfn.XLOOKUP($A656, 'Medical Examinations'!$A:$A, 'Medical Examinations'!F:F, "No Data")</f>
        <v>No</v>
      </c>
      <c r="H656" s="28">
        <f t="array" ref="H656">_xlfn.XLOOKUP($A656, 'Medical Examinations'!$A:$A, 'Medical Examinations'!G:G, "No Data")</f>
        <v>0</v>
      </c>
      <c r="I656" s="28" t="str">
        <f t="array" ref="I656">_xlfn.XLOOKUP($A656, 'Medical Examinations'!$A:$A, 'Medical Examinations'!H:H, "No Data")</f>
        <v>No</v>
      </c>
      <c r="J656" s="28" t="str">
        <f t="array" ref="J656">_xlfn.XLOOKUP($A656, 'Medical Examinations'!$A:$A, 'Medical Examinations'!I:I, "No Data")</f>
        <v>Obesity</v>
      </c>
      <c r="K656" s="28" t="str">
        <f t="array" ref="K656">_xlfn.XLOOKUP($A656, 'Hospitalisation Details'!$A:$A, 'Hospitalisation Details'!I:I, "No Data")</f>
        <v>tier - 2</v>
      </c>
      <c r="L656" s="28" t="str">
        <f t="array" ref="L656">_xlfn.XLOOKUP($A656, 'Hospitalisation Details'!$A:$A, 'Hospitalisation Details'!J:J, "No Data")</f>
        <v>R1022</v>
      </c>
      <c r="M656" s="28" t="str">
        <f t="array" ref="M656">_xlfn.XLOOKUP($A656, 'Hospitalisation Details'!$A:$A, 'Hospitalisation Details'!E:E, "No Data")</f>
        <v>12/06/68</v>
      </c>
      <c r="N656" s="28">
        <f t="array" ref="N656">_xlfn.XLOOKUP($A656, 'Hospitalisation Details'!$A:$A, 'Hospitalisation Details'!K:K, "No Data")</f>
        <v>54</v>
      </c>
      <c r="O656" s="33">
        <f t="array" ref="O656">_xlfn.XLOOKUP($A656, 'Hospitalisation Details'!$A:$A, 'Hospitalisation Details'!G:G, "No Data")</f>
        <v>15052.68</v>
      </c>
      <c r="P656" s="28" t="str">
        <f t="array" ref="P656">_xlfn.XLOOKUP($A656, 'Hospitalisation Details'!$A:$A, 'Hospitalisation Details'!H:H, "No Data")</f>
        <v>tier - 2</v>
      </c>
    </row>
    <row r="657">
      <c r="A657" s="25" t="s">
        <v>2078</v>
      </c>
      <c r="B657" s="28" t="str">
        <f t="array" ref="B657">_xlfn.XLOOKUP($A657, 'Customer Names'!$A:$A, 'Customer Names'!B:B, "No Data")</f>
        <v>Millett</v>
      </c>
      <c r="C657" s="28">
        <f t="array" ref="C657">_xlfn.XLOOKUP($A657, 'Medical Examinations'!$A:$A, 'Medical Examinations'!B:B, "No Data")</f>
        <v>41.3</v>
      </c>
      <c r="D657" s="28">
        <f t="array" ref="D657">_xlfn.XLOOKUP($A657, 'Medical Examinations'!$A:$A, 'Medical Examinations'!C:C, "No Data")</f>
        <v>9.59</v>
      </c>
      <c r="E657" s="28" t="str">
        <f t="array" ref="E657">_xlfn.XLOOKUP($A657, 'Medical Examinations'!$A:$A, 'Medical Examinations'!D:D, "No Data")</f>
        <v>No</v>
      </c>
      <c r="F657" s="28" t="str">
        <f t="array" ref="F657">_xlfn.XLOOKUP($A657, 'Medical Examinations'!$A:$A, 'Medical Examinations'!E:E, "No Data")</f>
        <v>No</v>
      </c>
      <c r="G657" s="28" t="str">
        <f t="array" ref="G657">_xlfn.XLOOKUP($A657, 'Medical Examinations'!$A:$A, 'Medical Examinations'!F:F, "No Data")</f>
        <v>No</v>
      </c>
      <c r="H657" s="28">
        <f t="array" ref="H657">_xlfn.XLOOKUP($A657, 'Medical Examinations'!$A:$A, 'Medical Examinations'!G:G, "No Data")</f>
        <v>0</v>
      </c>
      <c r="I657" s="28" t="str">
        <f t="array" ref="I657">_xlfn.XLOOKUP($A657, 'Medical Examinations'!$A:$A, 'Medical Examinations'!H:H, "No Data")</f>
        <v>No</v>
      </c>
      <c r="J657" s="28" t="str">
        <f t="array" ref="J657">_xlfn.XLOOKUP($A657, 'Medical Examinations'!$A:$A, 'Medical Examinations'!I:I, "No Data")</f>
        <v>Obesity</v>
      </c>
      <c r="K657" s="28" t="str">
        <f t="array" ref="K657">_xlfn.XLOOKUP($A657, 'Hospitalisation Details'!$A:$A, 'Hospitalisation Details'!I:I, "No Data")</f>
        <v>tier - 3</v>
      </c>
      <c r="L657" s="28" t="str">
        <f t="array" ref="L657">_xlfn.XLOOKUP($A657, 'Hospitalisation Details'!$A:$A, 'Hospitalisation Details'!J:J, "No Data")</f>
        <v>R1023</v>
      </c>
      <c r="M657" s="28" t="str">
        <f t="array" ref="M657">_xlfn.XLOOKUP($A657, 'Hospitalisation Details'!$A:$A, 'Hospitalisation Details'!E:E, "No Data")</f>
        <v>15/08/71</v>
      </c>
      <c r="N657" s="28">
        <f t="array" ref="N657">_xlfn.XLOOKUP($A657, 'Hospitalisation Details'!$A:$A, 'Hospitalisation Details'!K:K, "No Data")</f>
        <v>51</v>
      </c>
      <c r="O657" s="33">
        <f t="array" ref="O657">_xlfn.XLOOKUP($A657, 'Hospitalisation Details'!$A:$A, 'Hospitalisation Details'!G:G, "No Data")</f>
        <v>15038.51</v>
      </c>
      <c r="P657" s="28" t="str">
        <f t="array" ref="P657">_xlfn.XLOOKUP($A657, 'Hospitalisation Details'!$A:$A, 'Hospitalisation Details'!H:H, "No Data")</f>
        <v>tier - 2</v>
      </c>
    </row>
    <row r="658">
      <c r="A658" s="25" t="s">
        <v>2081</v>
      </c>
      <c r="B658" s="28" t="str">
        <f t="array" ref="B658">_xlfn.XLOOKUP($A658, 'Customer Names'!$A:$A, 'Customer Names'!B:B, "No Data")</f>
        <v>Haley</v>
      </c>
      <c r="C658" s="28">
        <f t="array" ref="C658">_xlfn.XLOOKUP($A658, 'Medical Examinations'!$A:$A, 'Medical Examinations'!B:B, "No Data")</f>
        <v>42.95</v>
      </c>
      <c r="D658" s="28">
        <f t="array" ref="D658">_xlfn.XLOOKUP($A658, 'Medical Examinations'!$A:$A, 'Medical Examinations'!C:C, "No Data")</f>
        <v>11.88</v>
      </c>
      <c r="E658" s="28" t="str">
        <f t="array" ref="E658">_xlfn.XLOOKUP($A658, 'Medical Examinations'!$A:$A, 'Medical Examinations'!D:D, "No Data")</f>
        <v>yes</v>
      </c>
      <c r="F658" s="28" t="str">
        <f t="array" ref="F658">_xlfn.XLOOKUP($A658, 'Medical Examinations'!$A:$A, 'Medical Examinations'!E:E, "No Data")</f>
        <v>No</v>
      </c>
      <c r="G658" s="28" t="str">
        <f t="array" ref="G658">_xlfn.XLOOKUP($A658, 'Medical Examinations'!$A:$A, 'Medical Examinations'!F:F, "No Data")</f>
        <v>No</v>
      </c>
      <c r="H658" s="28">
        <f t="array" ref="H658">_xlfn.XLOOKUP($A658, 'Medical Examinations'!$A:$A, 'Medical Examinations'!G:G, "No Data")</f>
        <v>2</v>
      </c>
      <c r="I658" s="28" t="str">
        <f t="array" ref="I658">_xlfn.XLOOKUP($A658, 'Medical Examinations'!$A:$A, 'Medical Examinations'!H:H, "No Data")</f>
        <v>No</v>
      </c>
      <c r="J658" s="28" t="str">
        <f t="array" ref="J658">_xlfn.XLOOKUP($A658, 'Medical Examinations'!$A:$A, 'Medical Examinations'!I:I, "No Data")</f>
        <v>Obesity</v>
      </c>
      <c r="K658" s="28" t="str">
        <f t="array" ref="K658">_xlfn.XLOOKUP($A658, 'Hospitalisation Details'!$A:$A, 'Hospitalisation Details'!I:I, "No Data")</f>
        <v>tier - 3</v>
      </c>
      <c r="L658" s="28" t="str">
        <f t="array" ref="L658">_xlfn.XLOOKUP($A658, 'Hospitalisation Details'!$A:$A, 'Hospitalisation Details'!J:J, "No Data")</f>
        <v>R1011</v>
      </c>
      <c r="M658" s="28" t="str">
        <f t="array" ref="M658">_xlfn.XLOOKUP($A658, 'Hospitalisation Details'!$A:$A, 'Hospitalisation Details'!E:E, "No Data")</f>
        <v>11/09/70</v>
      </c>
      <c r="N658" s="28">
        <f t="array" ref="N658">_xlfn.XLOOKUP($A658, 'Hospitalisation Details'!$A:$A, 'Hospitalisation Details'!K:K, "No Data")</f>
        <v>52</v>
      </c>
      <c r="O658" s="33">
        <f t="array" ref="O658">_xlfn.XLOOKUP($A658, 'Hospitalisation Details'!$A:$A, 'Hospitalisation Details'!G:G, "No Data")</f>
        <v>15026.3</v>
      </c>
      <c r="P658" s="28" t="str">
        <f t="array" ref="P658">_xlfn.XLOOKUP($A658, 'Hospitalisation Details'!$A:$A, 'Hospitalisation Details'!H:H, "No Data")</f>
        <v>tier - 2</v>
      </c>
    </row>
    <row r="659">
      <c r="A659" s="25" t="s">
        <v>2085</v>
      </c>
      <c r="B659" s="28" t="str">
        <f t="array" ref="B659">_xlfn.XLOOKUP($A659, 'Customer Names'!$A:$A, 'Customer Names'!B:B, "No Data")</f>
        <v>Ackerman</v>
      </c>
      <c r="C659" s="28">
        <f t="array" ref="C659">_xlfn.XLOOKUP($A659, 'Medical Examinations'!$A:$A, 'Medical Examinations'!B:B, "No Data")</f>
        <v>46.96</v>
      </c>
      <c r="D659" s="28">
        <f t="array" ref="D659">_xlfn.XLOOKUP($A659, 'Medical Examinations'!$A:$A, 'Medical Examinations'!C:C, "No Data")</f>
        <v>4.64</v>
      </c>
      <c r="E659" s="28" t="str">
        <f t="array" ref="E659">_xlfn.XLOOKUP($A659, 'Medical Examinations'!$A:$A, 'Medical Examinations'!D:D, "No Data")</f>
        <v>No</v>
      </c>
      <c r="F659" s="28" t="str">
        <f t="array" ref="F659">_xlfn.XLOOKUP($A659, 'Medical Examinations'!$A:$A, 'Medical Examinations'!E:E, "No Data")</f>
        <v>No</v>
      </c>
      <c r="G659" s="28" t="str">
        <f t="array" ref="G659">_xlfn.XLOOKUP($A659, 'Medical Examinations'!$A:$A, 'Medical Examinations'!F:F, "No Data")</f>
        <v>Yes</v>
      </c>
      <c r="H659" s="28">
        <f t="array" ref="H659">_xlfn.XLOOKUP($A659, 'Medical Examinations'!$A:$A, 'Medical Examinations'!G:G, "No Data")</f>
        <v>1</v>
      </c>
      <c r="I659" s="28" t="str">
        <f t="array" ref="I659">_xlfn.XLOOKUP($A659, 'Medical Examinations'!$A:$A, 'Medical Examinations'!H:H, "No Data")</f>
        <v>No</v>
      </c>
      <c r="J659" s="28" t="str">
        <f t="array" ref="J659">_xlfn.XLOOKUP($A659, 'Medical Examinations'!$A:$A, 'Medical Examinations'!I:I, "No Data")</f>
        <v>Obesity</v>
      </c>
      <c r="K659" s="28" t="str">
        <f t="array" ref="K659">_xlfn.XLOOKUP($A659, 'Hospitalisation Details'!$A:$A, 'Hospitalisation Details'!I:I, "No Data")</f>
        <v>tier - 1</v>
      </c>
      <c r="L659" s="28" t="str">
        <f t="array" ref="L659">_xlfn.XLOOKUP($A659, 'Hospitalisation Details'!$A:$A, 'Hospitalisation Details'!J:J, "No Data")</f>
        <v>R1011</v>
      </c>
      <c r="M659" s="28" t="str">
        <f t="array" ref="M659">_xlfn.XLOOKUP($A659, 'Hospitalisation Details'!$A:$A, 'Hospitalisation Details'!E:E, "No Data")</f>
        <v>25/11/79</v>
      </c>
      <c r="N659" s="28">
        <f t="array" ref="N659">_xlfn.XLOOKUP($A659, 'Hospitalisation Details'!$A:$A, 'Hospitalisation Details'!K:K, "No Data")</f>
        <v>43</v>
      </c>
      <c r="O659" s="33">
        <f t="array" ref="O659">_xlfn.XLOOKUP($A659, 'Hospitalisation Details'!$A:$A, 'Hospitalisation Details'!G:G, "No Data")</f>
        <v>15025.76</v>
      </c>
      <c r="P659" s="28" t="str">
        <f t="array" ref="P659">_xlfn.XLOOKUP($A659, 'Hospitalisation Details'!$A:$A, 'Hospitalisation Details'!H:H, "No Data")</f>
        <v>tier - 2</v>
      </c>
    </row>
    <row r="660">
      <c r="A660" s="25" t="s">
        <v>2089</v>
      </c>
      <c r="B660" s="28" t="str">
        <f t="array" ref="B660">_xlfn.XLOOKUP($A660, 'Customer Names'!$A:$A, 'Customer Names'!B:B, "No Data")</f>
        <v>Valdez</v>
      </c>
      <c r="C660" s="28">
        <f t="array" ref="C660">_xlfn.XLOOKUP($A660, 'Medical Examinations'!$A:$A, 'Medical Examinations'!B:B, "No Data")</f>
        <v>30.495</v>
      </c>
      <c r="D660" s="28">
        <f t="array" ref="D660">_xlfn.XLOOKUP($A660, 'Medical Examinations'!$A:$A, 'Medical Examinations'!C:C, "No Data")</f>
        <v>9.53</v>
      </c>
      <c r="E660" s="28" t="str">
        <f t="array" ref="E660">_xlfn.XLOOKUP($A660, 'Medical Examinations'!$A:$A, 'Medical Examinations'!D:D, "No Data")</f>
        <v>No</v>
      </c>
      <c r="F660" s="28" t="str">
        <f t="array" ref="F660">_xlfn.XLOOKUP($A660, 'Medical Examinations'!$A:$A, 'Medical Examinations'!E:E, "No Data")</f>
        <v>No</v>
      </c>
      <c r="G660" s="28" t="str">
        <f t="array" ref="G660">_xlfn.XLOOKUP($A660, 'Medical Examinations'!$A:$A, 'Medical Examinations'!F:F, "No Data")</f>
        <v>No</v>
      </c>
      <c r="H660" s="28">
        <f t="array" ref="H660">_xlfn.XLOOKUP($A660, 'Medical Examinations'!$A:$A, 'Medical Examinations'!G:G, "No Data")</f>
        <v>0</v>
      </c>
      <c r="I660" s="28" t="str">
        <f t="array" ref="I660">_xlfn.XLOOKUP($A660, 'Medical Examinations'!$A:$A, 'Medical Examinations'!H:H, "No Data")</f>
        <v>No</v>
      </c>
      <c r="J660" s="28" t="str">
        <f t="array" ref="J660">_xlfn.XLOOKUP($A660, 'Medical Examinations'!$A:$A, 'Medical Examinations'!I:I, "No Data")</f>
        <v>Obesity</v>
      </c>
      <c r="K660" s="28" t="str">
        <f t="array" ref="K660">_xlfn.XLOOKUP($A660, 'Hospitalisation Details'!$A:$A, 'Hospitalisation Details'!I:I, "No Data")</f>
        <v>tier - 2</v>
      </c>
      <c r="L660" s="28" t="str">
        <f t="array" ref="L660">_xlfn.XLOOKUP($A660, 'Hospitalisation Details'!$A:$A, 'Hospitalisation Details'!J:J, "No Data")</f>
        <v>R1012</v>
      </c>
      <c r="M660" s="28" t="str">
        <f t="array" ref="M660">_xlfn.XLOOKUP($A660, 'Hospitalisation Details'!$A:$A, 'Hospitalisation Details'!E:E, "No Data")</f>
        <v>08/08/60</v>
      </c>
      <c r="N660" s="28">
        <f t="array" ref="N660">_xlfn.XLOOKUP($A660, 'Hospitalisation Details'!$A:$A, 'Hospitalisation Details'!K:K, "No Data")</f>
        <v>62</v>
      </c>
      <c r="O660" s="33">
        <f t="array" ref="O660">_xlfn.XLOOKUP($A660, 'Hospitalisation Details'!$A:$A, 'Hospitalisation Details'!G:G, "No Data")</f>
        <v>15019.76</v>
      </c>
      <c r="P660" s="28" t="str">
        <f t="array" ref="P660">_xlfn.XLOOKUP($A660, 'Hospitalisation Details'!$A:$A, 'Hospitalisation Details'!H:H, "No Data")</f>
        <v>tier - 2</v>
      </c>
    </row>
    <row r="661">
      <c r="A661" s="25" t="s">
        <v>2093</v>
      </c>
      <c r="B661" s="28" t="str">
        <f t="array" ref="B661">_xlfn.XLOOKUP($A661, 'Customer Names'!$A:$A, 'Customer Names'!B:B, "No Data")</f>
        <v>Michaud</v>
      </c>
      <c r="C661" s="28">
        <f t="array" ref="C661">_xlfn.XLOOKUP($A661, 'Medical Examinations'!$A:$A, 'Medical Examinations'!B:B, "No Data")</f>
        <v>17.955</v>
      </c>
      <c r="D661" s="28">
        <f t="array" ref="D661">_xlfn.XLOOKUP($A661, 'Medical Examinations'!$A:$A, 'Medical Examinations'!C:C, "No Data")</f>
        <v>5.29</v>
      </c>
      <c r="E661" s="28" t="str">
        <f t="array" ref="E661">_xlfn.XLOOKUP($A661, 'Medical Examinations'!$A:$A, 'Medical Examinations'!D:D, "No Data")</f>
        <v>yes</v>
      </c>
      <c r="F661" s="28" t="str">
        <f t="array" ref="F661">_xlfn.XLOOKUP($A661, 'Medical Examinations'!$A:$A, 'Medical Examinations'!E:E, "No Data")</f>
        <v>No</v>
      </c>
      <c r="G661" s="28" t="str">
        <f t="array" ref="G661">_xlfn.XLOOKUP($A661, 'Medical Examinations'!$A:$A, 'Medical Examinations'!F:F, "No Data")</f>
        <v>No</v>
      </c>
      <c r="H661" s="28">
        <f t="array" ref="H661">_xlfn.XLOOKUP($A661, 'Medical Examinations'!$A:$A, 'Medical Examinations'!G:G, "No Data")</f>
        <v>1</v>
      </c>
      <c r="I661" s="28" t="str">
        <f t="array" ref="I661">_xlfn.XLOOKUP($A661, 'Medical Examinations'!$A:$A, 'Medical Examinations'!H:H, "No Data")</f>
        <v>yes</v>
      </c>
      <c r="J661" s="28" t="str">
        <f t="array" ref="J661">_xlfn.XLOOKUP($A661, 'Medical Examinations'!$A:$A, 'Medical Examinations'!I:I, "No Data")</f>
        <v>Underweight</v>
      </c>
      <c r="K661" s="28" t="str">
        <f t="array" ref="K661">_xlfn.XLOOKUP($A661, 'Hospitalisation Details'!$A:$A, 'Hospitalisation Details'!I:I, "No Data")</f>
        <v>tier - 2</v>
      </c>
      <c r="L661" s="28" t="str">
        <f t="array" ref="L661">_xlfn.XLOOKUP($A661, 'Hospitalisation Details'!$A:$A, 'Hospitalisation Details'!J:J, "No Data")</f>
        <v>R1024</v>
      </c>
      <c r="M661" s="28" t="str">
        <f t="array" ref="M661">_xlfn.XLOOKUP($A661, 'Hospitalisation Details'!$A:$A, 'Hospitalisation Details'!E:E, "No Data")</f>
        <v>02/08/95</v>
      </c>
      <c r="N661" s="28">
        <f t="array" ref="N661">_xlfn.XLOOKUP($A661, 'Hospitalisation Details'!$A:$A, 'Hospitalisation Details'!K:K, "No Data")</f>
        <v>27</v>
      </c>
      <c r="O661" s="33">
        <f t="array" ref="O661">_xlfn.XLOOKUP($A661, 'Hospitalisation Details'!$A:$A, 'Hospitalisation Details'!G:G, "No Data")</f>
        <v>15006.58</v>
      </c>
      <c r="P661" s="28" t="str">
        <f t="array" ref="P661">_xlfn.XLOOKUP($A661, 'Hospitalisation Details'!$A:$A, 'Hospitalisation Details'!H:H, "No Data")</f>
        <v>tier - 2</v>
      </c>
    </row>
    <row r="662">
      <c r="A662" s="25" t="s">
        <v>2096</v>
      </c>
      <c r="B662" s="28" t="str">
        <f t="array" ref="B662">_xlfn.XLOOKUP($A662, 'Customer Names'!$A:$A, 'Customer Names'!B:B, "No Data")</f>
        <v>Gunnink</v>
      </c>
      <c r="C662" s="28">
        <f t="array" ref="C662">_xlfn.XLOOKUP($A662, 'Medical Examinations'!$A:$A, 'Medical Examinations'!B:B, "No Data")</f>
        <v>25.6</v>
      </c>
      <c r="D662" s="28">
        <f t="array" ref="D662">_xlfn.XLOOKUP($A662, 'Medical Examinations'!$A:$A, 'Medical Examinations'!C:C, "No Data")</f>
        <v>10.95</v>
      </c>
      <c r="E662" s="28" t="str">
        <f t="array" ref="E662">_xlfn.XLOOKUP($A662, 'Medical Examinations'!$A:$A, 'Medical Examinations'!D:D, "No Data")</f>
        <v>No</v>
      </c>
      <c r="F662" s="28" t="str">
        <f t="array" ref="F662">_xlfn.XLOOKUP($A662, 'Medical Examinations'!$A:$A, 'Medical Examinations'!E:E, "No Data")</f>
        <v>No</v>
      </c>
      <c r="G662" s="28" t="str">
        <f t="array" ref="G662">_xlfn.XLOOKUP($A662, 'Medical Examinations'!$A:$A, 'Medical Examinations'!F:F, "No Data")</f>
        <v>No</v>
      </c>
      <c r="H662" s="28">
        <f t="array" ref="H662">_xlfn.XLOOKUP($A662, 'Medical Examinations'!$A:$A, 'Medical Examinations'!G:G, "No Data")</f>
        <v>3</v>
      </c>
      <c r="I662" s="28" t="str">
        <f t="array" ref="I662">_xlfn.XLOOKUP($A662, 'Medical Examinations'!$A:$A, 'Medical Examinations'!H:H, "No Data")</f>
        <v>No</v>
      </c>
      <c r="J662" s="28" t="str">
        <f t="array" ref="J662">_xlfn.XLOOKUP($A662, 'Medical Examinations'!$A:$A, 'Medical Examinations'!I:I, "No Data")</f>
        <v>Overweight</v>
      </c>
      <c r="K662" s="28" t="str">
        <f t="array" ref="K662">_xlfn.XLOOKUP($A662, 'Hospitalisation Details'!$A:$A, 'Hospitalisation Details'!I:I, "No Data")</f>
        <v>tier - 3</v>
      </c>
      <c r="L662" s="28" t="str">
        <f t="array" ref="L662">_xlfn.XLOOKUP($A662, 'Hospitalisation Details'!$A:$A, 'Hospitalisation Details'!J:J, "No Data")</f>
        <v>R1011</v>
      </c>
      <c r="M662" s="28" t="str">
        <f t="array" ref="M662">_xlfn.XLOOKUP($A662, 'Hospitalisation Details'!$A:$A, 'Hospitalisation Details'!E:E, "No Data")</f>
        <v>29/07/58</v>
      </c>
      <c r="N662" s="28">
        <f t="array" ref="N662">_xlfn.XLOOKUP($A662, 'Hospitalisation Details'!$A:$A, 'Hospitalisation Details'!K:K, "No Data")</f>
        <v>64</v>
      </c>
      <c r="O662" s="33">
        <f t="array" ref="O662">_xlfn.XLOOKUP($A662, 'Hospitalisation Details'!$A:$A, 'Hospitalisation Details'!G:G, "No Data")</f>
        <v>14988.43</v>
      </c>
      <c r="P662" s="28" t="str">
        <f t="array" ref="P662">_xlfn.XLOOKUP($A662, 'Hospitalisation Details'!$A:$A, 'Hospitalisation Details'!H:H, "No Data")</f>
        <v>tier - 2</v>
      </c>
    </row>
    <row r="663">
      <c r="A663" s="25" t="s">
        <v>2099</v>
      </c>
      <c r="B663" s="28" t="str">
        <f t="array" ref="B663">_xlfn.XLOOKUP($A663, 'Customer Names'!$A:$A, 'Customer Names'!B:B, "No Data")</f>
        <v>Knight</v>
      </c>
      <c r="C663" s="28">
        <f t="array" ref="C663">_xlfn.XLOOKUP($A663, 'Medical Examinations'!$A:$A, 'Medical Examinations'!B:B, "No Data")</f>
        <v>34.21</v>
      </c>
      <c r="D663" s="28">
        <f t="array" ref="D663">_xlfn.XLOOKUP($A663, 'Medical Examinations'!$A:$A, 'Medical Examinations'!C:C, "No Data")</f>
        <v>9.17</v>
      </c>
      <c r="E663" s="28" t="str">
        <f t="array" ref="E663">_xlfn.XLOOKUP($A663, 'Medical Examinations'!$A:$A, 'Medical Examinations'!D:D, "No Data")</f>
        <v>No</v>
      </c>
      <c r="F663" s="28" t="str">
        <f t="array" ref="F663">_xlfn.XLOOKUP($A663, 'Medical Examinations'!$A:$A, 'Medical Examinations'!E:E, "No Data")</f>
        <v>No</v>
      </c>
      <c r="G663" s="28" t="str">
        <f t="array" ref="G663">_xlfn.XLOOKUP($A663, 'Medical Examinations'!$A:$A, 'Medical Examinations'!F:F, "No Data")</f>
        <v>No</v>
      </c>
      <c r="H663" s="28">
        <f t="array" ref="H663">_xlfn.XLOOKUP($A663, 'Medical Examinations'!$A:$A, 'Medical Examinations'!G:G, "No Data")</f>
        <v>0</v>
      </c>
      <c r="I663" s="28" t="str">
        <f t="array" ref="I663">_xlfn.XLOOKUP($A663, 'Medical Examinations'!$A:$A, 'Medical Examinations'!H:H, "No Data")</f>
        <v>No</v>
      </c>
      <c r="J663" s="28" t="str">
        <f t="array" ref="J663">_xlfn.XLOOKUP($A663, 'Medical Examinations'!$A:$A, 'Medical Examinations'!I:I, "No Data")</f>
        <v>Obesity</v>
      </c>
      <c r="K663" s="28" t="str">
        <f t="array" ref="K663">_xlfn.XLOOKUP($A663, 'Hospitalisation Details'!$A:$A, 'Hospitalisation Details'!I:I, "No Data")</f>
        <v>tier - 1</v>
      </c>
      <c r="L663" s="28" t="str">
        <f t="array" ref="L663">_xlfn.XLOOKUP($A663, 'Hospitalisation Details'!$A:$A, 'Hospitalisation Details'!J:J, "No Data")</f>
        <v>R1021</v>
      </c>
      <c r="M663" s="28" t="str">
        <f t="array" ref="M663">_xlfn.XLOOKUP($A663, 'Hospitalisation Details'!$A:$A, 'Hospitalisation Details'!E:E, "No Data")</f>
        <v>29/11/62</v>
      </c>
      <c r="N663" s="28">
        <f t="array" ref="N663">_xlfn.XLOOKUP($A663, 'Hospitalisation Details'!$A:$A, 'Hospitalisation Details'!K:K, "No Data")</f>
        <v>60</v>
      </c>
      <c r="O663" s="33">
        <f t="array" ref="O663">_xlfn.XLOOKUP($A663, 'Hospitalisation Details'!$A:$A, 'Hospitalisation Details'!G:G, "No Data")</f>
        <v>14945.34</v>
      </c>
      <c r="P663" s="28" t="str">
        <f t="array" ref="P663">_xlfn.XLOOKUP($A663, 'Hospitalisation Details'!$A:$A, 'Hospitalisation Details'!H:H, "No Data")</f>
        <v>tier - 2</v>
      </c>
    </row>
    <row r="664">
      <c r="A664" s="25" t="s">
        <v>2103</v>
      </c>
      <c r="B664" s="28" t="str">
        <f t="array" ref="B664">_xlfn.XLOOKUP($A664, 'Customer Names'!$A:$A, 'Customer Names'!B:B, "No Data")</f>
        <v>Grosscup</v>
      </c>
      <c r="C664" s="28">
        <f t="array" ref="C664">_xlfn.XLOOKUP($A664, 'Medical Examinations'!$A:$A, 'Medical Examinations'!B:B, "No Data")</f>
        <v>39.74</v>
      </c>
      <c r="D664" s="28">
        <f t="array" ref="D664">_xlfn.XLOOKUP($A664, 'Medical Examinations'!$A:$A, 'Medical Examinations'!C:C, "No Data")</f>
        <v>7.39</v>
      </c>
      <c r="E664" s="28" t="str">
        <f t="array" ref="E664">_xlfn.XLOOKUP($A664, 'Medical Examinations'!$A:$A, 'Medical Examinations'!D:D, "No Data")</f>
        <v>No</v>
      </c>
      <c r="F664" s="28" t="str">
        <f t="array" ref="F664">_xlfn.XLOOKUP($A664, 'Medical Examinations'!$A:$A, 'Medical Examinations'!E:E, "No Data")</f>
        <v>No</v>
      </c>
      <c r="G664" s="28" t="str">
        <f t="array" ref="G664">_xlfn.XLOOKUP($A664, 'Medical Examinations'!$A:$A, 'Medical Examinations'!F:F, "No Data")</f>
        <v>No</v>
      </c>
      <c r="H664" s="28">
        <f t="array" ref="H664">_xlfn.XLOOKUP($A664, 'Medical Examinations'!$A:$A, 'Medical Examinations'!G:G, "No Data")</f>
        <v>0</v>
      </c>
      <c r="I664" s="28" t="str">
        <f t="array" ref="I664">_xlfn.XLOOKUP($A664, 'Medical Examinations'!$A:$A, 'Medical Examinations'!H:H, "No Data")</f>
        <v>No</v>
      </c>
      <c r="J664" s="28" t="str">
        <f t="array" ref="J664">_xlfn.XLOOKUP($A664, 'Medical Examinations'!$A:$A, 'Medical Examinations'!I:I, "No Data")</f>
        <v>Obesity</v>
      </c>
      <c r="K664" s="28" t="str">
        <f t="array" ref="K664">_xlfn.XLOOKUP($A664, 'Hospitalisation Details'!$A:$A, 'Hospitalisation Details'!I:I, "No Data")</f>
        <v>tier - 2</v>
      </c>
      <c r="L664" s="28" t="str">
        <f t="array" ref="L664">_xlfn.XLOOKUP($A664, 'Hospitalisation Details'!$A:$A, 'Hospitalisation Details'!J:J, "No Data")</f>
        <v>R1012</v>
      </c>
      <c r="M664" s="28" t="str">
        <f t="array" ref="M664">_xlfn.XLOOKUP($A664, 'Hospitalisation Details'!$A:$A, 'Hospitalisation Details'!E:E, "No Data")</f>
        <v>08/11/68</v>
      </c>
      <c r="N664" s="28">
        <f t="array" ref="N664">_xlfn.XLOOKUP($A664, 'Hospitalisation Details'!$A:$A, 'Hospitalisation Details'!K:K, "No Data")</f>
        <v>54</v>
      </c>
      <c r="O664" s="33">
        <f t="array" ref="O664">_xlfn.XLOOKUP($A664, 'Hospitalisation Details'!$A:$A, 'Hospitalisation Details'!G:G, "No Data")</f>
        <v>14926.97</v>
      </c>
      <c r="P664" s="28" t="str">
        <f t="array" ref="P664">_xlfn.XLOOKUP($A664, 'Hospitalisation Details'!$A:$A, 'Hospitalisation Details'!H:H, "No Data")</f>
        <v>tier - 2</v>
      </c>
    </row>
    <row r="665">
      <c r="A665" s="25" t="s">
        <v>2107</v>
      </c>
      <c r="B665" s="28" t="str">
        <f t="array" ref="B665">_xlfn.XLOOKUP($A665, 'Customer Names'!$A:$A, 'Customer Names'!B:B, "No Data")</f>
        <v>Koniuch</v>
      </c>
      <c r="C665" s="28">
        <f t="array" ref="C665">_xlfn.XLOOKUP($A665, 'Medical Examinations'!$A:$A, 'Medical Examinations'!B:B, "No Data")</f>
        <v>49.53</v>
      </c>
      <c r="D665" s="28">
        <f t="array" ref="D665">_xlfn.XLOOKUP($A665, 'Medical Examinations'!$A:$A, 'Medical Examinations'!C:C, "No Data")</f>
        <v>9.13</v>
      </c>
      <c r="E665" s="28" t="str">
        <f t="array" ref="E665">_xlfn.XLOOKUP($A665, 'Medical Examinations'!$A:$A, 'Medical Examinations'!D:D, "No Data")</f>
        <v>yes</v>
      </c>
      <c r="F665" s="28" t="str">
        <f t="array" ref="F665">_xlfn.XLOOKUP($A665, 'Medical Examinations'!$A:$A, 'Medical Examinations'!E:E, "No Data")</f>
        <v>No</v>
      </c>
      <c r="G665" s="28" t="str">
        <f t="array" ref="G665">_xlfn.XLOOKUP($A665, 'Medical Examinations'!$A:$A, 'Medical Examinations'!F:F, "No Data")</f>
        <v>No</v>
      </c>
      <c r="H665" s="28">
        <f t="array" ref="H665">_xlfn.XLOOKUP($A665, 'Medical Examinations'!$A:$A, 'Medical Examinations'!G:G, "No Data")</f>
        <v>0</v>
      </c>
      <c r="I665" s="28" t="str">
        <f t="array" ref="I665">_xlfn.XLOOKUP($A665, 'Medical Examinations'!$A:$A, 'Medical Examinations'!H:H, "No Data")</f>
        <v>No</v>
      </c>
      <c r="J665" s="28" t="str">
        <f t="array" ref="J665">_xlfn.XLOOKUP($A665, 'Medical Examinations'!$A:$A, 'Medical Examinations'!I:I, "No Data")</f>
        <v>Obesity</v>
      </c>
      <c r="K665" s="28" t="str">
        <f t="array" ref="K665">_xlfn.XLOOKUP($A665, 'Hospitalisation Details'!$A:$A, 'Hospitalisation Details'!I:I, "No Data")</f>
        <v>tier - 1</v>
      </c>
      <c r="L665" s="28" t="str">
        <f t="array" ref="L665">_xlfn.XLOOKUP($A665, 'Hospitalisation Details'!$A:$A, 'Hospitalisation Details'!J:J, "No Data")</f>
        <v>R1011</v>
      </c>
      <c r="M665" s="28" t="str">
        <f t="array" ref="M665">_xlfn.XLOOKUP($A665, 'Hospitalisation Details'!$A:$A, 'Hospitalisation Details'!E:E, "No Data")</f>
        <v>04/07/81</v>
      </c>
      <c r="N665" s="28">
        <f t="array" ref="N665">_xlfn.XLOOKUP($A665, 'Hospitalisation Details'!$A:$A, 'Hospitalisation Details'!K:K, "No Data")</f>
        <v>41</v>
      </c>
      <c r="O665" s="33">
        <f t="array" ref="O665">_xlfn.XLOOKUP($A665, 'Hospitalisation Details'!$A:$A, 'Hospitalisation Details'!G:G, "No Data")</f>
        <v>14908.27</v>
      </c>
      <c r="P665" s="28" t="str">
        <f t="array" ref="P665">_xlfn.XLOOKUP($A665, 'Hospitalisation Details'!$A:$A, 'Hospitalisation Details'!H:H, "No Data")</f>
        <v>tier - 2</v>
      </c>
    </row>
    <row r="666">
      <c r="A666" s="25" t="s">
        <v>2110</v>
      </c>
      <c r="B666" s="28" t="str">
        <f t="array" ref="B666">_xlfn.XLOOKUP($A666, 'Customer Names'!$A:$A, 'Customer Names'!B:B, "No Data")</f>
        <v>Heitzman</v>
      </c>
      <c r="C666" s="28">
        <f t="array" ref="C666">_xlfn.XLOOKUP($A666, 'Medical Examinations'!$A:$A, 'Medical Examinations'!B:B, "No Data")</f>
        <v>39.33</v>
      </c>
      <c r="D666" s="28">
        <f t="array" ref="D666">_xlfn.XLOOKUP($A666, 'Medical Examinations'!$A:$A, 'Medical Examinations'!C:C, "No Data")</f>
        <v>10.4</v>
      </c>
      <c r="E666" s="28" t="str">
        <f t="array" ref="E666">_xlfn.XLOOKUP($A666, 'Medical Examinations'!$A:$A, 'Medical Examinations'!D:D, "No Data")</f>
        <v>No</v>
      </c>
      <c r="F666" s="28" t="str">
        <f t="array" ref="F666">_xlfn.XLOOKUP($A666, 'Medical Examinations'!$A:$A, 'Medical Examinations'!E:E, "No Data")</f>
        <v>No</v>
      </c>
      <c r="G666" s="28" t="str">
        <f t="array" ref="G666">_xlfn.XLOOKUP($A666, 'Medical Examinations'!$A:$A, 'Medical Examinations'!F:F, "No Data")</f>
        <v>No</v>
      </c>
      <c r="H666" s="28">
        <f t="array" ref="H666">_xlfn.XLOOKUP($A666, 'Medical Examinations'!$A:$A, 'Medical Examinations'!G:G, "No Data")</f>
        <v>3</v>
      </c>
      <c r="I666" s="28" t="str">
        <f t="array" ref="I666">_xlfn.XLOOKUP($A666, 'Medical Examinations'!$A:$A, 'Medical Examinations'!H:H, "No Data")</f>
        <v>No</v>
      </c>
      <c r="J666" s="28" t="str">
        <f t="array" ref="J666">_xlfn.XLOOKUP($A666, 'Medical Examinations'!$A:$A, 'Medical Examinations'!I:I, "No Data")</f>
        <v>Obesity</v>
      </c>
      <c r="K666" s="28" t="str">
        <f t="array" ref="K666">_xlfn.XLOOKUP($A666, 'Hospitalisation Details'!$A:$A, 'Hospitalisation Details'!I:I, "No Data")</f>
        <v>tier - 2</v>
      </c>
      <c r="L666" s="28" t="str">
        <f t="array" ref="L666">_xlfn.XLOOKUP($A666, 'Hospitalisation Details'!$A:$A, 'Hospitalisation Details'!J:J, "No Data")</f>
        <v>R1024</v>
      </c>
      <c r="M666" s="28" t="str">
        <f t="array" ref="M666">_xlfn.XLOOKUP($A666, 'Hospitalisation Details'!$A:$A, 'Hospitalisation Details'!E:E, "No Data")</f>
        <v>17/10/58</v>
      </c>
      <c r="N666" s="28">
        <f t="array" ref="N666">_xlfn.XLOOKUP($A666, 'Hospitalisation Details'!$A:$A, 'Hospitalisation Details'!K:K, "No Data")</f>
        <v>64</v>
      </c>
      <c r="O666" s="33">
        <f t="array" ref="O666">_xlfn.XLOOKUP($A666, 'Hospitalisation Details'!$A:$A, 'Hospitalisation Details'!G:G, "No Data")</f>
        <v>14901.52</v>
      </c>
      <c r="P666" s="28" t="str">
        <f t="array" ref="P666">_xlfn.XLOOKUP($A666, 'Hospitalisation Details'!$A:$A, 'Hospitalisation Details'!H:H, "No Data")</f>
        <v>tier - 2</v>
      </c>
    </row>
    <row r="667">
      <c r="A667" s="25" t="s">
        <v>2114</v>
      </c>
      <c r="B667" s="28" t="str">
        <f t="array" ref="B667">_xlfn.XLOOKUP($A667, 'Customer Names'!$A:$A, 'Customer Names'!B:B, "No Data")</f>
        <v>Tatton</v>
      </c>
      <c r="C667" s="28">
        <f t="array" ref="C667">_xlfn.XLOOKUP($A667, 'Medical Examinations'!$A:$A, 'Medical Examinations'!B:B, "No Data")</f>
        <v>39.98</v>
      </c>
      <c r="D667" s="28">
        <f t="array" ref="D667">_xlfn.XLOOKUP($A667, 'Medical Examinations'!$A:$A, 'Medical Examinations'!C:C, "No Data")</f>
        <v>9.46</v>
      </c>
      <c r="E667" s="28" t="str">
        <f t="array" ref="E667">_xlfn.XLOOKUP($A667, 'Medical Examinations'!$A:$A, 'Medical Examinations'!D:D, "No Data")</f>
        <v>yes</v>
      </c>
      <c r="F667" s="28" t="str">
        <f t="array" ref="F667">_xlfn.XLOOKUP($A667, 'Medical Examinations'!$A:$A, 'Medical Examinations'!E:E, "No Data")</f>
        <v>No</v>
      </c>
      <c r="G667" s="28" t="str">
        <f t="array" ref="G667">_xlfn.XLOOKUP($A667, 'Medical Examinations'!$A:$A, 'Medical Examinations'!F:F, "No Data")</f>
        <v>No</v>
      </c>
      <c r="H667" s="28">
        <f t="array" ref="H667">_xlfn.XLOOKUP($A667, 'Medical Examinations'!$A:$A, 'Medical Examinations'!G:G, "No Data")</f>
        <v>2</v>
      </c>
      <c r="I667" s="28" t="str">
        <f t="array" ref="I667">_xlfn.XLOOKUP($A667, 'Medical Examinations'!$A:$A, 'Medical Examinations'!H:H, "No Data")</f>
        <v>No</v>
      </c>
      <c r="J667" s="28" t="str">
        <f t="array" ref="J667">_xlfn.XLOOKUP($A667, 'Medical Examinations'!$A:$A, 'Medical Examinations'!I:I, "No Data")</f>
        <v>Obesity</v>
      </c>
      <c r="K667" s="28" t="str">
        <f t="array" ref="K667">_xlfn.XLOOKUP($A667, 'Hospitalisation Details'!$A:$A, 'Hospitalisation Details'!I:I, "No Data")</f>
        <v>tier - 2</v>
      </c>
      <c r="L667" s="28" t="str">
        <f t="array" ref="L667">_xlfn.XLOOKUP($A667, 'Hospitalisation Details'!$A:$A, 'Hospitalisation Details'!J:J, "No Data")</f>
        <v>R1023</v>
      </c>
      <c r="M667" s="28" t="str">
        <f t="array" ref="M667">_xlfn.XLOOKUP($A667, 'Hospitalisation Details'!$A:$A, 'Hospitalisation Details'!E:E, "No Data")</f>
        <v>11/11/70</v>
      </c>
      <c r="N667" s="28">
        <f t="array" ref="N667">_xlfn.XLOOKUP($A667, 'Hospitalisation Details'!$A:$A, 'Hospitalisation Details'!K:K, "No Data")</f>
        <v>52</v>
      </c>
      <c r="O667" s="33">
        <f t="array" ref="O667">_xlfn.XLOOKUP($A667, 'Hospitalisation Details'!$A:$A, 'Hospitalisation Details'!G:G, "No Data")</f>
        <v>14847.63</v>
      </c>
      <c r="P667" s="28" t="str">
        <f t="array" ref="P667">_xlfn.XLOOKUP($A667, 'Hospitalisation Details'!$A:$A, 'Hospitalisation Details'!H:H, "No Data")</f>
        <v>tier - 2</v>
      </c>
    </row>
    <row r="668">
      <c r="A668" s="25" t="s">
        <v>2118</v>
      </c>
      <c r="B668" s="28" t="str">
        <f t="array" ref="B668">_xlfn.XLOOKUP($A668, 'Customer Names'!$A:$A, 'Customer Names'!B:B, "No Data")</f>
        <v>Flanagan</v>
      </c>
      <c r="C668" s="28">
        <f t="array" ref="C668">_xlfn.XLOOKUP($A668, 'Medical Examinations'!$A:$A, 'Medical Examinations'!B:B, "No Data")</f>
        <v>46.51</v>
      </c>
      <c r="D668" s="28">
        <f t="array" ref="D668">_xlfn.XLOOKUP($A668, 'Medical Examinations'!$A:$A, 'Medical Examinations'!C:C, "No Data")</f>
        <v>8.69</v>
      </c>
      <c r="E668" s="28" t="str">
        <f t="array" ref="E668">_xlfn.XLOOKUP($A668, 'Medical Examinations'!$A:$A, 'Medical Examinations'!D:D, "No Data")</f>
        <v>yes</v>
      </c>
      <c r="F668" s="28" t="str">
        <f t="array" ref="F668">_xlfn.XLOOKUP($A668, 'Medical Examinations'!$A:$A, 'Medical Examinations'!E:E, "No Data")</f>
        <v>No</v>
      </c>
      <c r="G668" s="28" t="str">
        <f t="array" ref="G668">_xlfn.XLOOKUP($A668, 'Medical Examinations'!$A:$A, 'Medical Examinations'!F:F, "No Data")</f>
        <v>No</v>
      </c>
      <c r="H668" s="28">
        <f t="array" ref="H668">_xlfn.XLOOKUP($A668, 'Medical Examinations'!$A:$A, 'Medical Examinations'!G:G, "No Data")</f>
        <v>0</v>
      </c>
      <c r="I668" s="28" t="str">
        <f t="array" ref="I668">_xlfn.XLOOKUP($A668, 'Medical Examinations'!$A:$A, 'Medical Examinations'!H:H, "No Data")</f>
        <v>No</v>
      </c>
      <c r="J668" s="28" t="str">
        <f t="array" ref="J668">_xlfn.XLOOKUP($A668, 'Medical Examinations'!$A:$A, 'Medical Examinations'!I:I, "No Data")</f>
        <v>Obesity</v>
      </c>
      <c r="K668" s="28" t="str">
        <f t="array" ref="K668">_xlfn.XLOOKUP($A668, 'Hospitalisation Details'!$A:$A, 'Hospitalisation Details'!I:I, "No Data")</f>
        <v>tier - 3</v>
      </c>
      <c r="L668" s="28" t="str">
        <f t="array" ref="L668">_xlfn.XLOOKUP($A668, 'Hospitalisation Details'!$A:$A, 'Hospitalisation Details'!J:J, "No Data")</f>
        <v>R1026</v>
      </c>
      <c r="M668" s="28" t="str">
        <f t="array" ref="M668">_xlfn.XLOOKUP($A668, 'Hospitalisation Details'!$A:$A, 'Hospitalisation Details'!E:E, "No Data")</f>
        <v>05/06/81</v>
      </c>
      <c r="N668" s="28">
        <f t="array" ref="N668">_xlfn.XLOOKUP($A668, 'Hospitalisation Details'!$A:$A, 'Hospitalisation Details'!K:K, "No Data")</f>
        <v>42</v>
      </c>
      <c r="O668" s="33">
        <f t="array" ref="O668">_xlfn.XLOOKUP($A668, 'Hospitalisation Details'!$A:$A, 'Hospitalisation Details'!G:G, "No Data")</f>
        <v>14843.96</v>
      </c>
      <c r="P668" s="28" t="str">
        <f t="array" ref="P668">_xlfn.XLOOKUP($A668, 'Hospitalisation Details'!$A:$A, 'Hospitalisation Details'!H:H, "No Data")</f>
        <v>tier - 2</v>
      </c>
    </row>
    <row r="669">
      <c r="A669" s="25" t="s">
        <v>2120</v>
      </c>
      <c r="B669" s="28" t="str">
        <f t="array" ref="B669">_xlfn.XLOOKUP($A669, 'Customer Names'!$A:$A, 'Customer Names'!B:B, "No Data")</f>
        <v>Funk</v>
      </c>
      <c r="C669" s="28">
        <f t="array" ref="C669">_xlfn.XLOOKUP($A669, 'Medical Examinations'!$A:$A, 'Medical Examinations'!B:B, "No Data")</f>
        <v>43.58</v>
      </c>
      <c r="D669" s="28">
        <f t="array" ref="D669">_xlfn.XLOOKUP($A669, 'Medical Examinations'!$A:$A, 'Medical Examinations'!C:C, "No Data")</f>
        <v>4.23</v>
      </c>
      <c r="E669" s="28" t="str">
        <f t="array" ref="E669">_xlfn.XLOOKUP($A669, 'Medical Examinations'!$A:$A, 'Medical Examinations'!D:D, "No Data")</f>
        <v>No</v>
      </c>
      <c r="F669" s="28" t="str">
        <f t="array" ref="F669">_xlfn.XLOOKUP($A669, 'Medical Examinations'!$A:$A, 'Medical Examinations'!E:E, "No Data")</f>
        <v>No</v>
      </c>
      <c r="G669" s="28" t="str">
        <f t="array" ref="G669">_xlfn.XLOOKUP($A669, 'Medical Examinations'!$A:$A, 'Medical Examinations'!F:F, "No Data")</f>
        <v>Yes</v>
      </c>
      <c r="H669" s="28">
        <f t="array" ref="H669">_xlfn.XLOOKUP($A669, 'Medical Examinations'!$A:$A, 'Medical Examinations'!G:G, "No Data")</f>
        <v>1</v>
      </c>
      <c r="I669" s="28" t="str">
        <f t="array" ref="I669">_xlfn.XLOOKUP($A669, 'Medical Examinations'!$A:$A, 'Medical Examinations'!H:H, "No Data")</f>
        <v>No</v>
      </c>
      <c r="J669" s="28" t="str">
        <f t="array" ref="J669">_xlfn.XLOOKUP($A669, 'Medical Examinations'!$A:$A, 'Medical Examinations'!I:I, "No Data")</f>
        <v>Obesity</v>
      </c>
      <c r="K669" s="28" t="str">
        <f t="array" ref="K669">_xlfn.XLOOKUP($A669, 'Hospitalisation Details'!$A:$A, 'Hospitalisation Details'!I:I, "No Data")</f>
        <v>tier - 3</v>
      </c>
      <c r="L669" s="28" t="str">
        <f t="array" ref="L669">_xlfn.XLOOKUP($A669, 'Hospitalisation Details'!$A:$A, 'Hospitalisation Details'!J:J, "No Data")</f>
        <v>R1026</v>
      </c>
      <c r="M669" s="28" t="str">
        <f t="array" ref="M669">_xlfn.XLOOKUP($A669, 'Hospitalisation Details'!$A:$A, 'Hospitalisation Details'!E:E, "No Data")</f>
        <v>18/10/79</v>
      </c>
      <c r="N669" s="28">
        <f t="array" ref="N669">_xlfn.XLOOKUP($A669, 'Hospitalisation Details'!$A:$A, 'Hospitalisation Details'!K:K, "No Data")</f>
        <v>43</v>
      </c>
      <c r="O669" s="33">
        <f t="array" ref="O669">_xlfn.XLOOKUP($A669, 'Hospitalisation Details'!$A:$A, 'Hospitalisation Details'!G:G, "No Data")</f>
        <v>14839.34</v>
      </c>
      <c r="P669" s="28" t="str">
        <f t="array" ref="P669">_xlfn.XLOOKUP($A669, 'Hospitalisation Details'!$A:$A, 'Hospitalisation Details'!H:H, "No Data")</f>
        <v>tier - 2</v>
      </c>
    </row>
    <row r="670">
      <c r="A670" s="25" t="s">
        <v>2124</v>
      </c>
      <c r="B670" s="28" t="str">
        <f t="array" ref="B670">_xlfn.XLOOKUP($A670, 'Customer Names'!$A:$A, 'Customer Names'!B:B, "No Data")</f>
        <v>Davenport</v>
      </c>
      <c r="C670" s="28">
        <f t="array" ref="C670">_xlfn.XLOOKUP($A670, 'Medical Examinations'!$A:$A, 'Medical Examinations'!B:B, "No Data")</f>
        <v>42.28</v>
      </c>
      <c r="D670" s="28">
        <f t="array" ref="D670">_xlfn.XLOOKUP($A670, 'Medical Examinations'!$A:$A, 'Medical Examinations'!C:C, "No Data")</f>
        <v>9.16</v>
      </c>
      <c r="E670" s="28" t="str">
        <f t="array" ref="E670">_xlfn.XLOOKUP($A670, 'Medical Examinations'!$A:$A, 'Medical Examinations'!D:D, "No Data")</f>
        <v>yes</v>
      </c>
      <c r="F670" s="28" t="str">
        <f t="array" ref="F670">_xlfn.XLOOKUP($A670, 'Medical Examinations'!$A:$A, 'Medical Examinations'!E:E, "No Data")</f>
        <v>No</v>
      </c>
      <c r="G670" s="28" t="str">
        <f t="array" ref="G670">_xlfn.XLOOKUP($A670, 'Medical Examinations'!$A:$A, 'Medical Examinations'!F:F, "No Data")</f>
        <v>No</v>
      </c>
      <c r="H670" s="28">
        <f t="array" ref="H670">_xlfn.XLOOKUP($A670, 'Medical Examinations'!$A:$A, 'Medical Examinations'!G:G, "No Data")</f>
        <v>1</v>
      </c>
      <c r="I670" s="28" t="str">
        <f t="array" ref="I670">_xlfn.XLOOKUP($A670, 'Medical Examinations'!$A:$A, 'Medical Examinations'!H:H, "No Data")</f>
        <v>No</v>
      </c>
      <c r="J670" s="28" t="str">
        <f t="array" ref="J670">_xlfn.XLOOKUP($A670, 'Medical Examinations'!$A:$A, 'Medical Examinations'!I:I, "No Data")</f>
        <v>Obesity</v>
      </c>
      <c r="K670" s="28" t="str">
        <f t="array" ref="K670">_xlfn.XLOOKUP($A670, 'Hospitalisation Details'!$A:$A, 'Hospitalisation Details'!I:I, "No Data")</f>
        <v>tier - 3</v>
      </c>
      <c r="L670" s="28" t="str">
        <f t="array" ref="L670">_xlfn.XLOOKUP($A670, 'Hospitalisation Details'!$A:$A, 'Hospitalisation Details'!J:J, "No Data")</f>
        <v>R1023</v>
      </c>
      <c r="M670" s="28" t="str">
        <f t="array" ref="M670">_xlfn.XLOOKUP($A670, 'Hospitalisation Details'!$A:$A, 'Hospitalisation Details'!E:E, "No Data")</f>
        <v>10/12/75</v>
      </c>
      <c r="N670" s="28">
        <f t="array" ref="N670">_xlfn.XLOOKUP($A670, 'Hospitalisation Details'!$A:$A, 'Hospitalisation Details'!K:K, "No Data")</f>
        <v>47</v>
      </c>
      <c r="O670" s="33">
        <f t="array" ref="O670">_xlfn.XLOOKUP($A670, 'Hospitalisation Details'!$A:$A, 'Hospitalisation Details'!G:G, "No Data")</f>
        <v>14819</v>
      </c>
      <c r="P670" s="28" t="str">
        <f t="array" ref="P670">_xlfn.XLOOKUP($A670, 'Hospitalisation Details'!$A:$A, 'Hospitalisation Details'!H:H, "No Data")</f>
        <v>tier - 2</v>
      </c>
    </row>
    <row r="671">
      <c r="A671" s="25" t="s">
        <v>2126</v>
      </c>
      <c r="B671" s="28" t="str">
        <f t="array" ref="B671">_xlfn.XLOOKUP($A671, 'Customer Names'!$A:$A, 'Customer Names'!B:B, "No Data")</f>
        <v>Nicholson</v>
      </c>
      <c r="C671" s="28">
        <f t="array" ref="C671">_xlfn.XLOOKUP($A671, 'Medical Examinations'!$A:$A, 'Medical Examinations'!B:B, "No Data")</f>
        <v>35.52</v>
      </c>
      <c r="D671" s="28">
        <f t="array" ref="D671">_xlfn.XLOOKUP($A671, 'Medical Examinations'!$A:$A, 'Medical Examinations'!C:C, "No Data")</f>
        <v>8.26</v>
      </c>
      <c r="E671" s="28" t="str">
        <f t="array" ref="E671">_xlfn.XLOOKUP($A671, 'Medical Examinations'!$A:$A, 'Medical Examinations'!D:D, "No Data")</f>
        <v>No</v>
      </c>
      <c r="F671" s="28" t="str">
        <f t="array" ref="F671">_xlfn.XLOOKUP($A671, 'Medical Examinations'!$A:$A, 'Medical Examinations'!E:E, "No Data")</f>
        <v>No</v>
      </c>
      <c r="G671" s="28" t="str">
        <f t="array" ref="G671">_xlfn.XLOOKUP($A671, 'Medical Examinations'!$A:$A, 'Medical Examinations'!F:F, "No Data")</f>
        <v>No</v>
      </c>
      <c r="H671" s="28">
        <f t="array" ref="H671">_xlfn.XLOOKUP($A671, 'Medical Examinations'!$A:$A, 'Medical Examinations'!G:G, "No Data")</f>
        <v>0</v>
      </c>
      <c r="I671" s="28" t="str">
        <f t="array" ref="I671">_xlfn.XLOOKUP($A671, 'Medical Examinations'!$A:$A, 'Medical Examinations'!H:H, "No Data")</f>
        <v>No</v>
      </c>
      <c r="J671" s="28" t="str">
        <f t="array" ref="J671">_xlfn.XLOOKUP($A671, 'Medical Examinations'!$A:$A, 'Medical Examinations'!I:I, "No Data")</f>
        <v>Obesity</v>
      </c>
      <c r="K671" s="28" t="str">
        <f t="array" ref="K671">_xlfn.XLOOKUP($A671, 'Hospitalisation Details'!$A:$A, 'Hospitalisation Details'!I:I, "No Data")</f>
        <v>tier - 2</v>
      </c>
      <c r="L671" s="28" t="str">
        <f t="array" ref="L671">_xlfn.XLOOKUP($A671, 'Hospitalisation Details'!$A:$A, 'Hospitalisation Details'!J:J, "No Data")</f>
        <v>R1026</v>
      </c>
      <c r="M671" s="28" t="str">
        <f t="array" ref="M671">_xlfn.XLOOKUP($A671, 'Hospitalisation Details'!$A:$A, 'Hospitalisation Details'!E:E, "No Data")</f>
        <v>27/07/65</v>
      </c>
      <c r="N671" s="28">
        <f t="array" ref="N671">_xlfn.XLOOKUP($A671, 'Hospitalisation Details'!$A:$A, 'Hospitalisation Details'!K:K, "No Data")</f>
        <v>57</v>
      </c>
      <c r="O671" s="33">
        <f t="array" ref="O671">_xlfn.XLOOKUP($A671, 'Hospitalisation Details'!$A:$A, 'Hospitalisation Details'!G:G, "No Data")</f>
        <v>14750.42</v>
      </c>
      <c r="P671" s="28" t="str">
        <f t="array" ref="P671">_xlfn.XLOOKUP($A671, 'Hospitalisation Details'!$A:$A, 'Hospitalisation Details'!H:H, "No Data")</f>
        <v>tier - 2</v>
      </c>
    </row>
    <row r="672">
      <c r="A672" s="25" t="s">
        <v>2128</v>
      </c>
      <c r="B672" s="28" t="str">
        <f t="array" ref="B672">_xlfn.XLOOKUP($A672, 'Customer Names'!$A:$A, 'Customer Names'!B:B, "No Data")</f>
        <v>Lindbloom</v>
      </c>
      <c r="C672" s="28">
        <f t="array" ref="C672">_xlfn.XLOOKUP($A672, 'Medical Examinations'!$A:$A, 'Medical Examinations'!B:B, "No Data")</f>
        <v>33.6</v>
      </c>
      <c r="D672" s="28">
        <f t="array" ref="D672">_xlfn.XLOOKUP($A672, 'Medical Examinations'!$A:$A, 'Medical Examinations'!C:C, "No Data")</f>
        <v>11.25</v>
      </c>
      <c r="E672" s="28" t="str">
        <f t="array" ref="E672">_xlfn.XLOOKUP($A672, 'Medical Examinations'!$A:$A, 'Medical Examinations'!D:D, "No Data")</f>
        <v>No</v>
      </c>
      <c r="F672" s="28" t="str">
        <f t="array" ref="F672">_xlfn.XLOOKUP($A672, 'Medical Examinations'!$A:$A, 'Medical Examinations'!E:E, "No Data")</f>
        <v>No</v>
      </c>
      <c r="G672" s="28" t="str">
        <f t="array" ref="G672">_xlfn.XLOOKUP($A672, 'Medical Examinations'!$A:$A, 'Medical Examinations'!F:F, "No Data")</f>
        <v>No</v>
      </c>
      <c r="H672" s="28">
        <f t="array" ref="H672">_xlfn.XLOOKUP($A672, 'Medical Examinations'!$A:$A, 'Medical Examinations'!G:G, "No Data")</f>
        <v>0</v>
      </c>
      <c r="I672" s="28" t="str">
        <f t="array" ref="I672">_xlfn.XLOOKUP($A672, 'Medical Examinations'!$A:$A, 'Medical Examinations'!H:H, "No Data")</f>
        <v>No</v>
      </c>
      <c r="J672" s="28" t="str">
        <f t="array" ref="J672">_xlfn.XLOOKUP($A672, 'Medical Examinations'!$A:$A, 'Medical Examinations'!I:I, "No Data")</f>
        <v>Obesity</v>
      </c>
      <c r="K672" s="28" t="str">
        <f t="array" ref="K672">_xlfn.XLOOKUP($A672, 'Hospitalisation Details'!$A:$A, 'Hospitalisation Details'!I:I, "No Data")</f>
        <v>tier - 3</v>
      </c>
      <c r="L672" s="28" t="str">
        <f t="array" ref="L672">_xlfn.XLOOKUP($A672, 'Hospitalisation Details'!$A:$A, 'Hospitalisation Details'!J:J, "No Data")</f>
        <v>R1021</v>
      </c>
      <c r="M672" s="28" t="str">
        <f t="array" ref="M672">_xlfn.XLOOKUP($A672, 'Hospitalisation Details'!$A:$A, 'Hospitalisation Details'!E:E, "No Data")</f>
        <v>29/07/62</v>
      </c>
      <c r="N672" s="28">
        <f t="array" ref="N672">_xlfn.XLOOKUP($A672, 'Hospitalisation Details'!$A:$A, 'Hospitalisation Details'!K:K, "No Data")</f>
        <v>60</v>
      </c>
      <c r="O672" s="33">
        <f t="array" ref="O672">_xlfn.XLOOKUP($A672, 'Hospitalisation Details'!$A:$A, 'Hospitalisation Details'!G:G, "No Data")</f>
        <v>14738.43</v>
      </c>
      <c r="P672" s="28" t="str">
        <f t="array" ref="P672">_xlfn.XLOOKUP($A672, 'Hospitalisation Details'!$A:$A, 'Hospitalisation Details'!H:H, "No Data")</f>
        <v>tier - 2</v>
      </c>
    </row>
    <row r="673">
      <c r="A673" s="25" t="s">
        <v>2132</v>
      </c>
      <c r="B673" s="28" t="str">
        <f t="array" ref="B673">_xlfn.XLOOKUP($A673, 'Customer Names'!$A:$A, 'Customer Names'!B:B, "No Data")</f>
        <v>Wijayaratne</v>
      </c>
      <c r="C673" s="28">
        <f t="array" ref="C673">_xlfn.XLOOKUP($A673, 'Medical Examinations'!$A:$A, 'Medical Examinations'!B:B, "No Data")</f>
        <v>22.42</v>
      </c>
      <c r="D673" s="28">
        <f t="array" ref="D673">_xlfn.XLOOKUP($A673, 'Medical Examinations'!$A:$A, 'Medical Examinations'!C:C, "No Data")</f>
        <v>6.74</v>
      </c>
      <c r="E673" s="28" t="str">
        <f t="array" ref="E673">_xlfn.XLOOKUP($A673, 'Medical Examinations'!$A:$A, 'Medical Examinations'!D:D, "No Data")</f>
        <v>No</v>
      </c>
      <c r="F673" s="28" t="str">
        <f t="array" ref="F673">_xlfn.XLOOKUP($A673, 'Medical Examinations'!$A:$A, 'Medical Examinations'!E:E, "No Data")</f>
        <v>No</v>
      </c>
      <c r="G673" s="28" t="str">
        <f t="array" ref="G673">_xlfn.XLOOKUP($A673, 'Medical Examinations'!$A:$A, 'Medical Examinations'!F:F, "No Data")</f>
        <v>No</v>
      </c>
      <c r="H673" s="28">
        <f t="array" ref="H673">_xlfn.XLOOKUP($A673, 'Medical Examinations'!$A:$A, 'Medical Examinations'!G:G, "No Data")</f>
        <v>0</v>
      </c>
      <c r="I673" s="28" t="str">
        <f t="array" ref="I673">_xlfn.XLOOKUP($A673, 'Medical Examinations'!$A:$A, 'Medical Examinations'!H:H, "No Data")</f>
        <v>yes</v>
      </c>
      <c r="J673" s="28" t="str">
        <f t="array" ref="J673">_xlfn.XLOOKUP($A673, 'Medical Examinations'!$A:$A, 'Medical Examinations'!I:I, "No Data")</f>
        <v>Normal Weight</v>
      </c>
      <c r="K673" s="28" t="str">
        <f t="array" ref="K673">_xlfn.XLOOKUP($A673, 'Hospitalisation Details'!$A:$A, 'Hospitalisation Details'!I:I, "No Data")</f>
        <v>tier - 2</v>
      </c>
      <c r="L673" s="28" t="str">
        <f t="array" ref="L673">_xlfn.XLOOKUP($A673, 'Hospitalisation Details'!$A:$A, 'Hospitalisation Details'!J:J, "No Data")</f>
        <v>R1012</v>
      </c>
      <c r="M673" s="28" t="str">
        <f t="array" ref="M673">_xlfn.XLOOKUP($A673, 'Hospitalisation Details'!$A:$A, 'Hospitalisation Details'!E:E, "No Data")</f>
        <v>24/09/02</v>
      </c>
      <c r="N673" s="28">
        <f t="array" ref="N673">_xlfn.XLOOKUP($A673, 'Hospitalisation Details'!$A:$A, 'Hospitalisation Details'!K:K, "No Data")</f>
        <v>20</v>
      </c>
      <c r="O673" s="33">
        <f t="array" ref="O673">_xlfn.XLOOKUP($A673, 'Hospitalisation Details'!$A:$A, 'Hospitalisation Details'!G:G, "No Data")</f>
        <v>14711.74</v>
      </c>
      <c r="P673" s="28" t="str">
        <f t="array" ref="P673">_xlfn.XLOOKUP($A673, 'Hospitalisation Details'!$A:$A, 'Hospitalisation Details'!H:H, "No Data")</f>
        <v>tier - 2</v>
      </c>
    </row>
    <row r="674">
      <c r="A674" s="25" t="s">
        <v>2135</v>
      </c>
      <c r="B674" s="28" t="str">
        <f t="array" ref="B674">_xlfn.XLOOKUP($A674, 'Customer Names'!$A:$A, 'Customer Names'!B:B, "No Data")</f>
        <v>Ainsworth</v>
      </c>
      <c r="C674" s="28">
        <f t="array" ref="C674">_xlfn.XLOOKUP($A674, 'Medical Examinations'!$A:$A, 'Medical Examinations'!B:B, "No Data")</f>
        <v>46.86</v>
      </c>
      <c r="D674" s="28">
        <f t="array" ref="D674">_xlfn.XLOOKUP($A674, 'Medical Examinations'!$A:$A, 'Medical Examinations'!C:C, "No Data")</f>
        <v>4.87</v>
      </c>
      <c r="E674" s="28" t="str">
        <f t="array" ref="E674">_xlfn.XLOOKUP($A674, 'Medical Examinations'!$A:$A, 'Medical Examinations'!D:D, "No Data")</f>
        <v>No</v>
      </c>
      <c r="F674" s="28" t="str">
        <f t="array" ref="F674">_xlfn.XLOOKUP($A674, 'Medical Examinations'!$A:$A, 'Medical Examinations'!E:E, "No Data")</f>
        <v>No</v>
      </c>
      <c r="G674" s="28" t="str">
        <f t="array" ref="G674">_xlfn.XLOOKUP($A674, 'Medical Examinations'!$A:$A, 'Medical Examinations'!F:F, "No Data")</f>
        <v>No</v>
      </c>
      <c r="H674" s="28">
        <f t="array" ref="H674">_xlfn.XLOOKUP($A674, 'Medical Examinations'!$A:$A, 'Medical Examinations'!G:G, "No Data")</f>
        <v>0</v>
      </c>
      <c r="I674" s="28" t="str">
        <f t="array" ref="I674">_xlfn.XLOOKUP($A674, 'Medical Examinations'!$A:$A, 'Medical Examinations'!H:H, "No Data")</f>
        <v>No</v>
      </c>
      <c r="J674" s="28" t="str">
        <f t="array" ref="J674">_xlfn.XLOOKUP($A674, 'Medical Examinations'!$A:$A, 'Medical Examinations'!I:I, "No Data")</f>
        <v>Obesity</v>
      </c>
      <c r="K674" s="28" t="str">
        <f t="array" ref="K674">_xlfn.XLOOKUP($A674, 'Hospitalisation Details'!$A:$A, 'Hospitalisation Details'!I:I, "No Data")</f>
        <v>tier - 2</v>
      </c>
      <c r="L674" s="28" t="str">
        <f t="array" ref="L674">_xlfn.XLOOKUP($A674, 'Hospitalisation Details'!$A:$A, 'Hospitalisation Details'!J:J, "No Data")</f>
        <v>R1011</v>
      </c>
      <c r="M674" s="28" t="str">
        <f t="array" ref="M674">_xlfn.XLOOKUP($A674, 'Hospitalisation Details'!$A:$A, 'Hospitalisation Details'!E:E, "No Data")</f>
        <v>04/09/82</v>
      </c>
      <c r="N674" s="28">
        <f t="array" ref="N674">_xlfn.XLOOKUP($A674, 'Hospitalisation Details'!$A:$A, 'Hospitalisation Details'!K:K, "No Data")</f>
        <v>40</v>
      </c>
      <c r="O674" s="33">
        <f t="array" ref="O674">_xlfn.XLOOKUP($A674, 'Hospitalisation Details'!$A:$A, 'Hospitalisation Details'!G:G, "No Data")</f>
        <v>14696.77</v>
      </c>
      <c r="P674" s="28" t="str">
        <f t="array" ref="P674">_xlfn.XLOOKUP($A674, 'Hospitalisation Details'!$A:$A, 'Hospitalisation Details'!H:H, "No Data")</f>
        <v>tier - 2</v>
      </c>
    </row>
    <row r="675">
      <c r="A675" s="25" t="s">
        <v>2139</v>
      </c>
      <c r="B675" s="28" t="str">
        <f t="array" ref="B675">_xlfn.XLOOKUP($A675, 'Customer Names'!$A:$A, 'Customer Names'!B:B, "No Data")</f>
        <v>Gayagoy</v>
      </c>
      <c r="C675" s="28">
        <f t="array" ref="C675">_xlfn.XLOOKUP($A675, 'Medical Examinations'!$A:$A, 'Medical Examinations'!B:B, "No Data")</f>
        <v>32.965</v>
      </c>
      <c r="D675" s="28">
        <f t="array" ref="D675">_xlfn.XLOOKUP($A675, 'Medical Examinations'!$A:$A, 'Medical Examinations'!C:C, "No Data")</f>
        <v>6.68</v>
      </c>
      <c r="E675" s="28" t="str">
        <f t="array" ref="E675">_xlfn.XLOOKUP($A675, 'Medical Examinations'!$A:$A, 'Medical Examinations'!D:D, "No Data")</f>
        <v>No</v>
      </c>
      <c r="F675" s="28" t="str">
        <f t="array" ref="F675">_xlfn.XLOOKUP($A675, 'Medical Examinations'!$A:$A, 'Medical Examinations'!E:E, "No Data")</f>
        <v>No</v>
      </c>
      <c r="G675" s="28" t="str">
        <f t="array" ref="G675">_xlfn.XLOOKUP($A675, 'Medical Examinations'!$A:$A, 'Medical Examinations'!F:F, "No Data")</f>
        <v>No</v>
      </c>
      <c r="H675" s="28">
        <f t="array" ref="H675">_xlfn.XLOOKUP($A675, 'Medical Examinations'!$A:$A, 'Medical Examinations'!G:G, "No Data")</f>
        <v>3</v>
      </c>
      <c r="I675" s="28" t="str">
        <f t="array" ref="I675">_xlfn.XLOOKUP($A675, 'Medical Examinations'!$A:$A, 'Medical Examinations'!H:H, "No Data")</f>
        <v>No</v>
      </c>
      <c r="J675" s="28" t="str">
        <f t="array" ref="J675">_xlfn.XLOOKUP($A675, 'Medical Examinations'!$A:$A, 'Medical Examinations'!I:I, "No Data")</f>
        <v>Obesity</v>
      </c>
      <c r="K675" s="28" t="str">
        <f t="array" ref="K675">_xlfn.XLOOKUP($A675, 'Hospitalisation Details'!$A:$A, 'Hospitalisation Details'!I:I, "No Data")</f>
        <v>tier - 1</v>
      </c>
      <c r="L675" s="28" t="str">
        <f t="array" ref="L675">_xlfn.XLOOKUP($A675, 'Hospitalisation Details'!$A:$A, 'Hospitalisation Details'!J:J, "No Data")</f>
        <v>R1012</v>
      </c>
      <c r="M675" s="28" t="str">
        <f t="array" ref="M675">_xlfn.XLOOKUP($A675, 'Hospitalisation Details'!$A:$A, 'Hospitalisation Details'!E:E, "No Data")</f>
        <v>23/07/58</v>
      </c>
      <c r="N675" s="28">
        <f t="array" ref="N675">_xlfn.XLOOKUP($A675, 'Hospitalisation Details'!$A:$A, 'Hospitalisation Details'!K:K, "No Data")</f>
        <v>64</v>
      </c>
      <c r="O675" s="33">
        <f t="array" ref="O675">_xlfn.XLOOKUP($A675, 'Hospitalisation Details'!$A:$A, 'Hospitalisation Details'!G:G, "No Data")</f>
        <v>14692.67</v>
      </c>
      <c r="P675" s="28" t="str">
        <f t="array" ref="P675">_xlfn.XLOOKUP($A675, 'Hospitalisation Details'!$A:$A, 'Hospitalisation Details'!H:H, "No Data")</f>
        <v>tier - 2</v>
      </c>
    </row>
    <row r="676">
      <c r="A676" s="25" t="s">
        <v>2143</v>
      </c>
      <c r="B676" s="28" t="str">
        <f t="array" ref="B676">_xlfn.XLOOKUP($A676, 'Customer Names'!$A:$A, 'Customer Names'!B:B, "No Data")</f>
        <v>Fitzmaurice</v>
      </c>
      <c r="C676" s="28">
        <f t="array" ref="C676">_xlfn.XLOOKUP($A676, 'Medical Examinations'!$A:$A, 'Medical Examinations'!B:B, "No Data")</f>
        <v>39.34</v>
      </c>
      <c r="D676" s="28">
        <f t="array" ref="D676">_xlfn.XLOOKUP($A676, 'Medical Examinations'!$A:$A, 'Medical Examinations'!C:C, "No Data")</f>
        <v>5.02</v>
      </c>
      <c r="E676" s="28" t="str">
        <f t="array" ref="E676">_xlfn.XLOOKUP($A676, 'Medical Examinations'!$A:$A, 'Medical Examinations'!D:D, "No Data")</f>
        <v>yes</v>
      </c>
      <c r="F676" s="28" t="str">
        <f t="array" ref="F676">_xlfn.XLOOKUP($A676, 'Medical Examinations'!$A:$A, 'Medical Examinations'!E:E, "No Data")</f>
        <v>No</v>
      </c>
      <c r="G676" s="28" t="str">
        <f t="array" ref="G676">_xlfn.XLOOKUP($A676, 'Medical Examinations'!$A:$A, 'Medical Examinations'!F:F, "No Data")</f>
        <v>Yes</v>
      </c>
      <c r="H676" s="28">
        <f t="array" ref="H676">_xlfn.XLOOKUP($A676, 'Medical Examinations'!$A:$A, 'Medical Examinations'!G:G, "No Data")</f>
        <v>1</v>
      </c>
      <c r="I676" s="28" t="str">
        <f t="array" ref="I676">_xlfn.XLOOKUP($A676, 'Medical Examinations'!$A:$A, 'Medical Examinations'!H:H, "No Data")</f>
        <v>No</v>
      </c>
      <c r="J676" s="28" t="str">
        <f t="array" ref="J676">_xlfn.XLOOKUP($A676, 'Medical Examinations'!$A:$A, 'Medical Examinations'!I:I, "No Data")</f>
        <v>Obesity</v>
      </c>
      <c r="K676" s="28" t="str">
        <f t="array" ref="K676">_xlfn.XLOOKUP($A676, 'Hospitalisation Details'!$A:$A, 'Hospitalisation Details'!I:I, "No Data")</f>
        <v>tier - 1</v>
      </c>
      <c r="L676" s="28" t="str">
        <f t="array" ref="L676">_xlfn.XLOOKUP($A676, 'Hospitalisation Details'!$A:$A, 'Hospitalisation Details'!J:J, "No Data")</f>
        <v>R1012</v>
      </c>
      <c r="M676" s="28" t="str">
        <f t="array" ref="M676">_xlfn.XLOOKUP($A676, 'Hospitalisation Details'!$A:$A, 'Hospitalisation Details'!E:E, "No Data")</f>
        <v>20/10/69</v>
      </c>
      <c r="N676" s="28">
        <f t="array" ref="N676">_xlfn.XLOOKUP($A676, 'Hospitalisation Details'!$A:$A, 'Hospitalisation Details'!K:K, "No Data")</f>
        <v>53</v>
      </c>
      <c r="O676" s="33">
        <f t="array" ref="O676">_xlfn.XLOOKUP($A676, 'Hospitalisation Details'!$A:$A, 'Hospitalisation Details'!G:G, "No Data")</f>
        <v>14665.75</v>
      </c>
      <c r="P676" s="28" t="str">
        <f t="array" ref="P676">_xlfn.XLOOKUP($A676, 'Hospitalisation Details'!$A:$A, 'Hospitalisation Details'!H:H, "No Data")</f>
        <v>tier - 2</v>
      </c>
    </row>
    <row r="677">
      <c r="A677" s="25" t="s">
        <v>2146</v>
      </c>
      <c r="B677" s="28" t="str">
        <f t="array" ref="B677">_xlfn.XLOOKUP($A677, 'Customer Names'!$A:$A, 'Customer Names'!B:B, "No Data")</f>
        <v>Rodriguez</v>
      </c>
      <c r="C677" s="28">
        <f t="array" ref="C677">_xlfn.XLOOKUP($A677, 'Medical Examinations'!$A:$A, 'Medical Examinations'!B:B, "No Data")</f>
        <v>47</v>
      </c>
      <c r="D677" s="28">
        <f t="array" ref="D677">_xlfn.XLOOKUP($A677, 'Medical Examinations'!$A:$A, 'Medical Examinations'!C:C, "No Data")</f>
        <v>10.64</v>
      </c>
      <c r="E677" s="28" t="str">
        <f t="array" ref="E677">_xlfn.XLOOKUP($A677, 'Medical Examinations'!$A:$A, 'Medical Examinations'!D:D, "No Data")</f>
        <v>yes</v>
      </c>
      <c r="F677" s="28" t="str">
        <f t="array" ref="F677">_xlfn.XLOOKUP($A677, 'Medical Examinations'!$A:$A, 'Medical Examinations'!E:E, "No Data")</f>
        <v>No</v>
      </c>
      <c r="G677" s="28" t="str">
        <f t="array" ref="G677">_xlfn.XLOOKUP($A677, 'Medical Examinations'!$A:$A, 'Medical Examinations'!F:F, "No Data")</f>
        <v>No</v>
      </c>
      <c r="H677" s="28">
        <f t="array" ref="H677">_xlfn.XLOOKUP($A677, 'Medical Examinations'!$A:$A, 'Medical Examinations'!G:G, "No Data")</f>
        <v>0</v>
      </c>
      <c r="I677" s="28" t="str">
        <f t="array" ref="I677">_xlfn.XLOOKUP($A677, 'Medical Examinations'!$A:$A, 'Medical Examinations'!H:H, "No Data")</f>
        <v>No</v>
      </c>
      <c r="J677" s="28" t="str">
        <f t="array" ref="J677">_xlfn.XLOOKUP($A677, 'Medical Examinations'!$A:$A, 'Medical Examinations'!I:I, "No Data")</f>
        <v>Obesity</v>
      </c>
      <c r="K677" s="28" t="str">
        <f t="array" ref="K677">_xlfn.XLOOKUP($A677, 'Hospitalisation Details'!$A:$A, 'Hospitalisation Details'!I:I, "No Data")</f>
        <v>tier - 1</v>
      </c>
      <c r="L677" s="28" t="str">
        <f t="array" ref="L677">_xlfn.XLOOKUP($A677, 'Hospitalisation Details'!$A:$A, 'Hospitalisation Details'!J:J, "No Data")</f>
        <v>R1012</v>
      </c>
      <c r="M677" s="28" t="str">
        <f t="array" ref="M677">_xlfn.XLOOKUP($A677, 'Hospitalisation Details'!$A:$A, 'Hospitalisation Details'!E:E, "No Data")</f>
        <v>13/11/81</v>
      </c>
      <c r="N677" s="28">
        <f t="array" ref="N677">_xlfn.XLOOKUP($A677, 'Hospitalisation Details'!$A:$A, 'Hospitalisation Details'!K:K, "No Data")</f>
        <v>41</v>
      </c>
      <c r="O677" s="33">
        <f t="array" ref="O677">_xlfn.XLOOKUP($A677, 'Hospitalisation Details'!$A:$A, 'Hospitalisation Details'!G:G, "No Data")</f>
        <v>14657.2</v>
      </c>
      <c r="P677" s="28" t="str">
        <f t="array" ref="P677">_xlfn.XLOOKUP($A677, 'Hospitalisation Details'!$A:$A, 'Hospitalisation Details'!H:H, "No Data")</f>
        <v>tier - 2</v>
      </c>
    </row>
    <row r="678">
      <c r="A678" s="25" t="s">
        <v>2150</v>
      </c>
      <c r="B678" s="28" t="str">
        <f t="array" ref="B678">_xlfn.XLOOKUP($A678, 'Customer Names'!$A:$A, 'Customer Names'!B:B, "No Data")</f>
        <v>Tsoucas</v>
      </c>
      <c r="C678" s="28">
        <f t="array" ref="C678">_xlfn.XLOOKUP($A678, 'Medical Examinations'!$A:$A, 'Medical Examinations'!B:B, "No Data")</f>
        <v>36.71</v>
      </c>
      <c r="D678" s="28">
        <f t="array" ref="D678">_xlfn.XLOOKUP($A678, 'Medical Examinations'!$A:$A, 'Medical Examinations'!C:C, "No Data")</f>
        <v>8.74</v>
      </c>
      <c r="E678" s="28" t="str">
        <f t="array" ref="E678">_xlfn.XLOOKUP($A678, 'Medical Examinations'!$A:$A, 'Medical Examinations'!D:D, "No Data")</f>
        <v>yes</v>
      </c>
      <c r="F678" s="28" t="str">
        <f t="array" ref="F678">_xlfn.XLOOKUP($A678, 'Medical Examinations'!$A:$A, 'Medical Examinations'!E:E, "No Data")</f>
        <v>No</v>
      </c>
      <c r="G678" s="28" t="str">
        <f t="array" ref="G678">_xlfn.XLOOKUP($A678, 'Medical Examinations'!$A:$A, 'Medical Examinations'!F:F, "No Data")</f>
        <v>No</v>
      </c>
      <c r="H678" s="28">
        <f t="array" ref="H678">_xlfn.XLOOKUP($A678, 'Medical Examinations'!$A:$A, 'Medical Examinations'!G:G, "No Data")</f>
        <v>0</v>
      </c>
      <c r="I678" s="28" t="str">
        <f t="array" ref="I678">_xlfn.XLOOKUP($A678, 'Medical Examinations'!$A:$A, 'Medical Examinations'!H:H, "No Data")</f>
        <v>No</v>
      </c>
      <c r="J678" s="28" t="str">
        <f t="array" ref="J678">_xlfn.XLOOKUP($A678, 'Medical Examinations'!$A:$A, 'Medical Examinations'!I:I, "No Data")</f>
        <v>Obesity</v>
      </c>
      <c r="K678" s="28" t="str">
        <f t="array" ref="K678">_xlfn.XLOOKUP($A678, 'Hospitalisation Details'!$A:$A, 'Hospitalisation Details'!I:I, "No Data")</f>
        <v>tier - 3</v>
      </c>
      <c r="L678" s="28" t="str">
        <f t="array" ref="L678">_xlfn.XLOOKUP($A678, 'Hospitalisation Details'!$A:$A, 'Hospitalisation Details'!J:J, "No Data")</f>
        <v>R1026</v>
      </c>
      <c r="M678" s="28" t="str">
        <f t="array" ref="M678">_xlfn.XLOOKUP($A678, 'Hospitalisation Details'!$A:$A, 'Hospitalisation Details'!E:E, "No Data")</f>
        <v>01/09/67</v>
      </c>
      <c r="N678" s="28">
        <f t="array" ref="N678">_xlfn.XLOOKUP($A678, 'Hospitalisation Details'!$A:$A, 'Hospitalisation Details'!K:K, "No Data")</f>
        <v>55</v>
      </c>
      <c r="O678" s="33">
        <f t="array" ref="O678">_xlfn.XLOOKUP($A678, 'Hospitalisation Details'!$A:$A, 'Hospitalisation Details'!G:G, "No Data")</f>
        <v>14640.35</v>
      </c>
      <c r="P678" s="28" t="str">
        <f t="array" ref="P678">_xlfn.XLOOKUP($A678, 'Hospitalisation Details'!$A:$A, 'Hospitalisation Details'!H:H, "No Data")</f>
        <v>tier - 2</v>
      </c>
    </row>
    <row r="679">
      <c r="A679" s="25" t="s">
        <v>2153</v>
      </c>
      <c r="B679" s="28" t="str">
        <f t="array" ref="B679">_xlfn.XLOOKUP($A679, 'Customer Names'!$A:$A, 'Customer Names'!B:B, "No Data")</f>
        <v>Muhly</v>
      </c>
      <c r="C679" s="28">
        <f t="array" ref="C679">_xlfn.XLOOKUP($A679, 'Medical Examinations'!$A:$A, 'Medical Examinations'!B:B, "No Data")</f>
        <v>53.48</v>
      </c>
      <c r="D679" s="28">
        <f t="array" ref="D679">_xlfn.XLOOKUP($A679, 'Medical Examinations'!$A:$A, 'Medical Examinations'!C:C, "No Data")</f>
        <v>5.64</v>
      </c>
      <c r="E679" s="28" t="str">
        <f t="array" ref="E679">_xlfn.XLOOKUP($A679, 'Medical Examinations'!$A:$A, 'Medical Examinations'!D:D, "No Data")</f>
        <v>No</v>
      </c>
      <c r="F679" s="28" t="str">
        <f t="array" ref="F679">_xlfn.XLOOKUP($A679, 'Medical Examinations'!$A:$A, 'Medical Examinations'!E:E, "No Data")</f>
        <v>No</v>
      </c>
      <c r="G679" s="28" t="str">
        <f t="array" ref="G679">_xlfn.XLOOKUP($A679, 'Medical Examinations'!$A:$A, 'Medical Examinations'!F:F, "No Data")</f>
        <v>No</v>
      </c>
      <c r="H679" s="28">
        <f t="array" ref="H679">_xlfn.XLOOKUP($A679, 'Medical Examinations'!$A:$A, 'Medical Examinations'!G:G, "No Data")</f>
        <v>0</v>
      </c>
      <c r="I679" s="28" t="str">
        <f t="array" ref="I679">_xlfn.XLOOKUP($A679, 'Medical Examinations'!$A:$A, 'Medical Examinations'!H:H, "No Data")</f>
        <v>No</v>
      </c>
      <c r="J679" s="28" t="str">
        <f t="array" ref="J679">_xlfn.XLOOKUP($A679, 'Medical Examinations'!$A:$A, 'Medical Examinations'!I:I, "No Data")</f>
        <v>Obesity</v>
      </c>
      <c r="K679" s="28" t="str">
        <f t="array" ref="K679">_xlfn.XLOOKUP($A679, 'Hospitalisation Details'!$A:$A, 'Hospitalisation Details'!I:I, "No Data")</f>
        <v>tier - 3</v>
      </c>
      <c r="L679" s="28" t="str">
        <f t="array" ref="L679">_xlfn.XLOOKUP($A679, 'Hospitalisation Details'!$A:$A, 'Hospitalisation Details'!J:J, "No Data")</f>
        <v>R1011</v>
      </c>
      <c r="M679" s="28" t="str">
        <f t="array" ref="M679">_xlfn.XLOOKUP($A679, 'Hospitalisation Details'!$A:$A, 'Hospitalisation Details'!E:E, "No Data")</f>
        <v>21/08/91</v>
      </c>
      <c r="N679" s="28">
        <f t="array" ref="N679">_xlfn.XLOOKUP($A679, 'Hospitalisation Details'!$A:$A, 'Hospitalisation Details'!K:K, "No Data")</f>
        <v>31</v>
      </c>
      <c r="O679" s="33">
        <f t="array" ref="O679">_xlfn.XLOOKUP($A679, 'Hospitalisation Details'!$A:$A, 'Hospitalisation Details'!G:G, "No Data")</f>
        <v>14630.52</v>
      </c>
      <c r="P679" s="28" t="str">
        <f t="array" ref="P679">_xlfn.XLOOKUP($A679, 'Hospitalisation Details'!$A:$A, 'Hospitalisation Details'!H:H, "No Data")</f>
        <v>tier - 2</v>
      </c>
    </row>
    <row r="680">
      <c r="A680" s="25" t="s">
        <v>2157</v>
      </c>
      <c r="B680" s="28" t="str">
        <f t="array" ref="B680">_xlfn.XLOOKUP($A680, 'Customer Names'!$A:$A, 'Customer Names'!B:B, "No Data")</f>
        <v>Lund</v>
      </c>
      <c r="C680" s="28">
        <f t="array" ref="C680">_xlfn.XLOOKUP($A680, 'Medical Examinations'!$A:$A, 'Medical Examinations'!B:B, "No Data")</f>
        <v>35.5</v>
      </c>
      <c r="D680" s="28">
        <f t="array" ref="D680">_xlfn.XLOOKUP($A680, 'Medical Examinations'!$A:$A, 'Medical Examinations'!C:C, "No Data")</f>
        <v>10.37</v>
      </c>
      <c r="E680" s="28" t="str">
        <f t="array" ref="E680">_xlfn.XLOOKUP($A680, 'Medical Examinations'!$A:$A, 'Medical Examinations'!D:D, "No Data")</f>
        <v>No</v>
      </c>
      <c r="F680" s="28" t="str">
        <f t="array" ref="F680">_xlfn.XLOOKUP($A680, 'Medical Examinations'!$A:$A, 'Medical Examinations'!E:E, "No Data")</f>
        <v>No</v>
      </c>
      <c r="G680" s="28" t="str">
        <f t="array" ref="G680">_xlfn.XLOOKUP($A680, 'Medical Examinations'!$A:$A, 'Medical Examinations'!F:F, "No Data")</f>
        <v>No</v>
      </c>
      <c r="H680" s="28">
        <f t="array" ref="H680">_xlfn.XLOOKUP($A680, 'Medical Examinations'!$A:$A, 'Medical Examinations'!G:G, "No Data")</f>
        <v>0</v>
      </c>
      <c r="I680" s="28" t="str">
        <f t="array" ref="I680">_xlfn.XLOOKUP($A680, 'Medical Examinations'!$A:$A, 'Medical Examinations'!H:H, "No Data")</f>
        <v>No</v>
      </c>
      <c r="J680" s="28" t="str">
        <f t="array" ref="J680">_xlfn.XLOOKUP($A680, 'Medical Examinations'!$A:$A, 'Medical Examinations'!I:I, "No Data")</f>
        <v>Obesity</v>
      </c>
      <c r="K680" s="28" t="str">
        <f t="array" ref="K680">_xlfn.XLOOKUP($A680, 'Hospitalisation Details'!$A:$A, 'Hospitalisation Details'!I:I, "No Data")</f>
        <v>tier - 3</v>
      </c>
      <c r="L680" s="28" t="str">
        <f t="array" ref="L680">_xlfn.XLOOKUP($A680, 'Hospitalisation Details'!$A:$A, 'Hospitalisation Details'!J:J, "No Data")</f>
        <v>R1021</v>
      </c>
      <c r="M680" s="28" t="str">
        <f t="array" ref="M680">_xlfn.XLOOKUP($A680, 'Hospitalisation Details'!$A:$A, 'Hospitalisation Details'!E:E, "No Data")</f>
        <v>08/11/65</v>
      </c>
      <c r="N680" s="28">
        <f t="array" ref="N680">_xlfn.XLOOKUP($A680, 'Hospitalisation Details'!$A:$A, 'Hospitalisation Details'!K:K, "No Data")</f>
        <v>57</v>
      </c>
      <c r="O680" s="33">
        <f t="array" ref="O680">_xlfn.XLOOKUP($A680, 'Hospitalisation Details'!$A:$A, 'Hospitalisation Details'!G:G, "No Data")</f>
        <v>14612.33</v>
      </c>
      <c r="P680" s="28" t="str">
        <f t="array" ref="P680">_xlfn.XLOOKUP($A680, 'Hospitalisation Details'!$A:$A, 'Hospitalisation Details'!H:H, "No Data")</f>
        <v>tier - 2</v>
      </c>
    </row>
    <row r="681">
      <c r="A681" s="25" t="s">
        <v>2161</v>
      </c>
      <c r="B681" s="28" t="str">
        <f t="array" ref="B681">_xlfn.XLOOKUP($A681, 'Customer Names'!$A:$A, 'Customer Names'!B:B, "No Data")</f>
        <v>Battaglino</v>
      </c>
      <c r="C681" s="28">
        <f t="array" ref="C681">_xlfn.XLOOKUP($A681, 'Medical Examinations'!$A:$A, 'Medical Examinations'!B:B, "No Data")</f>
        <v>36.98</v>
      </c>
      <c r="D681" s="28">
        <f t="array" ref="D681">_xlfn.XLOOKUP($A681, 'Medical Examinations'!$A:$A, 'Medical Examinations'!C:C, "No Data")</f>
        <v>9.56</v>
      </c>
      <c r="E681" s="28" t="str">
        <f t="array" ref="E681">_xlfn.XLOOKUP($A681, 'Medical Examinations'!$A:$A, 'Medical Examinations'!D:D, "No Data")</f>
        <v>yes</v>
      </c>
      <c r="F681" s="28" t="str">
        <f t="array" ref="F681">_xlfn.XLOOKUP($A681, 'Medical Examinations'!$A:$A, 'Medical Examinations'!E:E, "No Data")</f>
        <v>No</v>
      </c>
      <c r="G681" s="28" t="str">
        <f t="array" ref="G681">_xlfn.XLOOKUP($A681, 'Medical Examinations'!$A:$A, 'Medical Examinations'!F:F, "No Data")</f>
        <v>No</v>
      </c>
      <c r="H681" s="28">
        <f t="array" ref="H681">_xlfn.XLOOKUP($A681, 'Medical Examinations'!$A:$A, 'Medical Examinations'!G:G, "No Data")</f>
        <v>0</v>
      </c>
      <c r="I681" s="28" t="str">
        <f t="array" ref="I681">_xlfn.XLOOKUP($A681, 'Medical Examinations'!$A:$A, 'Medical Examinations'!H:H, "No Data")</f>
        <v>No</v>
      </c>
      <c r="J681" s="28" t="str">
        <f t="array" ref="J681">_xlfn.XLOOKUP($A681, 'Medical Examinations'!$A:$A, 'Medical Examinations'!I:I, "No Data")</f>
        <v>Obesity</v>
      </c>
      <c r="K681" s="28" t="str">
        <f t="array" ref="K681">_xlfn.XLOOKUP($A681, 'Hospitalisation Details'!$A:$A, 'Hospitalisation Details'!I:I, "No Data")</f>
        <v>tier - 3</v>
      </c>
      <c r="L681" s="28" t="str">
        <f t="array" ref="L681">_xlfn.XLOOKUP($A681, 'Hospitalisation Details'!$A:$A, 'Hospitalisation Details'!J:J, "No Data")</f>
        <v>R1022</v>
      </c>
      <c r="M681" s="28" t="str">
        <f t="array" ref="M681">_xlfn.XLOOKUP($A681, 'Hospitalisation Details'!$A:$A, 'Hospitalisation Details'!E:E, "No Data")</f>
        <v>18/07/67</v>
      </c>
      <c r="N681" s="28">
        <f t="array" ref="N681">_xlfn.XLOOKUP($A681, 'Hospitalisation Details'!$A:$A, 'Hospitalisation Details'!K:K, "No Data")</f>
        <v>55</v>
      </c>
      <c r="O681" s="33">
        <f t="array" ref="O681">_xlfn.XLOOKUP($A681, 'Hospitalisation Details'!$A:$A, 'Hospitalisation Details'!G:G, "No Data")</f>
        <v>14600.62</v>
      </c>
      <c r="P681" s="28" t="str">
        <f t="array" ref="P681">_xlfn.XLOOKUP($A681, 'Hospitalisation Details'!$A:$A, 'Hospitalisation Details'!H:H, "No Data")</f>
        <v>tier - 2</v>
      </c>
    </row>
    <row r="682">
      <c r="A682" s="25" t="s">
        <v>2163</v>
      </c>
      <c r="B682" s="28" t="str">
        <f t="array" ref="B682">_xlfn.XLOOKUP($A682, 'Customer Names'!$A:$A, 'Customer Names'!B:B, "No Data")</f>
        <v>Pena</v>
      </c>
      <c r="C682" s="28">
        <f t="array" ref="C682">_xlfn.XLOOKUP($A682, 'Medical Examinations'!$A:$A, 'Medical Examinations'!B:B, "No Data")</f>
        <v>32.395</v>
      </c>
      <c r="D682" s="28">
        <f t="array" ref="D682">_xlfn.XLOOKUP($A682, 'Medical Examinations'!$A:$A, 'Medical Examinations'!C:C, "No Data")</f>
        <v>8.23</v>
      </c>
      <c r="E682" s="28" t="str">
        <f t="array" ref="E682">_xlfn.XLOOKUP($A682, 'Medical Examinations'!$A:$A, 'Medical Examinations'!D:D, "No Data")</f>
        <v>yes</v>
      </c>
      <c r="F682" s="28" t="str">
        <f t="array" ref="F682">_xlfn.XLOOKUP($A682, 'Medical Examinations'!$A:$A, 'Medical Examinations'!E:E, "No Data")</f>
        <v>No</v>
      </c>
      <c r="G682" s="28" t="str">
        <f t="array" ref="G682">_xlfn.XLOOKUP($A682, 'Medical Examinations'!$A:$A, 'Medical Examinations'!F:F, "No Data")</f>
        <v>Yes</v>
      </c>
      <c r="H682" s="28">
        <f t="array" ref="H682">_xlfn.XLOOKUP($A682, 'Medical Examinations'!$A:$A, 'Medical Examinations'!G:G, "No Data")</f>
        <v>1</v>
      </c>
      <c r="I682" s="28" t="str">
        <f t="array" ref="I682">_xlfn.XLOOKUP($A682, 'Medical Examinations'!$A:$A, 'Medical Examinations'!H:H, "No Data")</f>
        <v>No</v>
      </c>
      <c r="J682" s="28" t="str">
        <f t="array" ref="J682">_xlfn.XLOOKUP($A682, 'Medical Examinations'!$A:$A, 'Medical Examinations'!I:I, "No Data")</f>
        <v>Obesity</v>
      </c>
      <c r="K682" s="28" t="str">
        <f t="array" ref="K682">_xlfn.XLOOKUP($A682, 'Hospitalisation Details'!$A:$A, 'Hospitalisation Details'!I:I, "No Data")</f>
        <v>tier - 1</v>
      </c>
      <c r="L682" s="28" t="str">
        <f t="array" ref="L682">_xlfn.XLOOKUP($A682, 'Hospitalisation Details'!$A:$A, 'Hospitalisation Details'!J:J, "No Data")</f>
        <v>R1024</v>
      </c>
      <c r="M682" s="28" t="str">
        <f t="array" ref="M682">_xlfn.XLOOKUP($A682, 'Hospitalisation Details'!$A:$A, 'Hospitalisation Details'!E:E, "No Data")</f>
        <v>14/10/63</v>
      </c>
      <c r="N682" s="28">
        <f t="array" ref="N682">_xlfn.XLOOKUP($A682, 'Hospitalisation Details'!$A:$A, 'Hospitalisation Details'!K:K, "No Data")</f>
        <v>59</v>
      </c>
      <c r="O682" s="33">
        <f t="array" ref="O682">_xlfn.XLOOKUP($A682, 'Hospitalisation Details'!$A:$A, 'Hospitalisation Details'!G:G, "No Data")</f>
        <v>14590.63</v>
      </c>
      <c r="P682" s="28" t="str">
        <f t="array" ref="P682">_xlfn.XLOOKUP($A682, 'Hospitalisation Details'!$A:$A, 'Hospitalisation Details'!H:H, "No Data")</f>
        <v>tier - 2</v>
      </c>
    </row>
    <row r="683">
      <c r="A683" s="25" t="s">
        <v>2167</v>
      </c>
      <c r="B683" s="28" t="str">
        <f t="array" ref="B683">_xlfn.XLOOKUP($A683, 'Customer Names'!$A:$A, 'Customer Names'!B:B, "No Data")</f>
        <v>Thomason</v>
      </c>
      <c r="C683" s="28">
        <f t="array" ref="C683">_xlfn.XLOOKUP($A683, 'Medical Examinations'!$A:$A, 'Medical Examinations'!B:B, "No Data")</f>
        <v>32.73</v>
      </c>
      <c r="D683" s="28">
        <f t="array" ref="D683">_xlfn.XLOOKUP($A683, 'Medical Examinations'!$A:$A, 'Medical Examinations'!C:C, "No Data")</f>
        <v>7.03</v>
      </c>
      <c r="E683" s="28" t="str">
        <f t="array" ref="E683">_xlfn.XLOOKUP($A683, 'Medical Examinations'!$A:$A, 'Medical Examinations'!D:D, "No Data")</f>
        <v>No</v>
      </c>
      <c r="F683" s="28" t="str">
        <f t="array" ref="F683">_xlfn.XLOOKUP($A683, 'Medical Examinations'!$A:$A, 'Medical Examinations'!E:E, "No Data")</f>
        <v>No</v>
      </c>
      <c r="G683" s="28" t="str">
        <f t="array" ref="G683">_xlfn.XLOOKUP($A683, 'Medical Examinations'!$A:$A, 'Medical Examinations'!F:F, "No Data")</f>
        <v>No</v>
      </c>
      <c r="H683" s="28">
        <f t="array" ref="H683">_xlfn.XLOOKUP($A683, 'Medical Examinations'!$A:$A, 'Medical Examinations'!G:G, "No Data")</f>
        <v>0</v>
      </c>
      <c r="I683" s="28" t="str">
        <f t="array" ref="I683">_xlfn.XLOOKUP($A683, 'Medical Examinations'!$A:$A, 'Medical Examinations'!H:H, "No Data")</f>
        <v>No</v>
      </c>
      <c r="J683" s="28" t="str">
        <f t="array" ref="J683">_xlfn.XLOOKUP($A683, 'Medical Examinations'!$A:$A, 'Medical Examinations'!I:I, "No Data")</f>
        <v>Obesity</v>
      </c>
      <c r="K683" s="28" t="str">
        <f t="array" ref="K683">_xlfn.XLOOKUP($A683, 'Hospitalisation Details'!$A:$A, 'Hospitalisation Details'!I:I, "No Data")</f>
        <v>tier - 1</v>
      </c>
      <c r="L683" s="28" t="str">
        <f t="array" ref="L683">_xlfn.XLOOKUP($A683, 'Hospitalisation Details'!$A:$A, 'Hospitalisation Details'!J:J, "No Data")</f>
        <v>R1025</v>
      </c>
      <c r="M683" s="28" t="str">
        <f t="array" ref="M683">_xlfn.XLOOKUP($A683, 'Hospitalisation Details'!$A:$A, 'Hospitalisation Details'!E:E, "No Data")</f>
        <v>03/12/62</v>
      </c>
      <c r="N683" s="28">
        <f t="array" ref="N683">_xlfn.XLOOKUP($A683, 'Hospitalisation Details'!$A:$A, 'Hospitalisation Details'!K:K, "No Data")</f>
        <v>60</v>
      </c>
      <c r="O683" s="33">
        <f t="array" ref="O683">_xlfn.XLOOKUP($A683, 'Hospitalisation Details'!$A:$A, 'Hospitalisation Details'!G:G, "No Data")</f>
        <v>14574.64</v>
      </c>
      <c r="P683" s="28" t="str">
        <f t="array" ref="P683">_xlfn.XLOOKUP($A683, 'Hospitalisation Details'!$A:$A, 'Hospitalisation Details'!H:H, "No Data")</f>
        <v>tier - 2</v>
      </c>
    </row>
    <row r="684">
      <c r="A684" s="25" t="s">
        <v>2171</v>
      </c>
      <c r="B684" s="28" t="str">
        <f t="array" ref="B684">_xlfn.XLOOKUP($A684, 'Customer Names'!$A:$A, 'Customer Names'!B:B, "No Data")</f>
        <v>Hancox</v>
      </c>
      <c r="C684" s="28">
        <f t="array" ref="C684">_xlfn.XLOOKUP($A684, 'Medical Examinations'!$A:$A, 'Medical Examinations'!B:B, "No Data")</f>
        <v>20.52</v>
      </c>
      <c r="D684" s="28">
        <f t="array" ref="D684">_xlfn.XLOOKUP($A684, 'Medical Examinations'!$A:$A, 'Medical Examinations'!C:C, "No Data")</f>
        <v>5.45</v>
      </c>
      <c r="E684" s="28" t="str">
        <f t="array" ref="E684">_xlfn.XLOOKUP($A684, 'Medical Examinations'!$A:$A, 'Medical Examinations'!D:D, "No Data")</f>
        <v>No</v>
      </c>
      <c r="F684" s="28" t="str">
        <f t="array" ref="F684">_xlfn.XLOOKUP($A684, 'Medical Examinations'!$A:$A, 'Medical Examinations'!E:E, "No Data")</f>
        <v>No</v>
      </c>
      <c r="G684" s="28" t="str">
        <f t="array" ref="G684">_xlfn.XLOOKUP($A684, 'Medical Examinations'!$A:$A, 'Medical Examinations'!F:F, "No Data")</f>
        <v>No</v>
      </c>
      <c r="H684" s="28">
        <f t="array" ref="H684">_xlfn.XLOOKUP($A684, 'Medical Examinations'!$A:$A, 'Medical Examinations'!G:G, "No Data")</f>
        <v>1</v>
      </c>
      <c r="I684" s="28" t="str">
        <f t="array" ref="I684">_xlfn.XLOOKUP($A684, 'Medical Examinations'!$A:$A, 'Medical Examinations'!H:H, "No Data")</f>
        <v>yes</v>
      </c>
      <c r="J684" s="28" t="str">
        <f t="array" ref="J684">_xlfn.XLOOKUP($A684, 'Medical Examinations'!$A:$A, 'Medical Examinations'!I:I, "No Data")</f>
        <v>Normal Weight</v>
      </c>
      <c r="K684" s="28" t="str">
        <f t="array" ref="K684">_xlfn.XLOOKUP($A684, 'Hospitalisation Details'!$A:$A, 'Hospitalisation Details'!I:I, "No Data")</f>
        <v>tier - 1</v>
      </c>
      <c r="L684" s="28" t="str">
        <f t="array" ref="L684">_xlfn.XLOOKUP($A684, 'Hospitalisation Details'!$A:$A, 'Hospitalisation Details'!J:J, "No Data")</f>
        <v>R1024</v>
      </c>
      <c r="M684" s="28" t="str">
        <f t="array" ref="M684">_xlfn.XLOOKUP($A684, 'Hospitalisation Details'!$A:$A, 'Hospitalisation Details'!E:E, "No Data")</f>
        <v>12/09/98</v>
      </c>
      <c r="N684" s="28">
        <f t="array" ref="N684">_xlfn.XLOOKUP($A684, 'Hospitalisation Details'!$A:$A, 'Hospitalisation Details'!K:K, "No Data")</f>
        <v>24</v>
      </c>
      <c r="O684" s="33">
        <f t="array" ref="O684">_xlfn.XLOOKUP($A684, 'Hospitalisation Details'!$A:$A, 'Hospitalisation Details'!G:G, "No Data")</f>
        <v>14571.89</v>
      </c>
      <c r="P684" s="28" t="str">
        <f t="array" ref="P684">_xlfn.XLOOKUP($A684, 'Hospitalisation Details'!$A:$A, 'Hospitalisation Details'!H:H, "No Data")</f>
        <v>tier - 2</v>
      </c>
    </row>
    <row r="685">
      <c r="A685" s="25" t="s">
        <v>2173</v>
      </c>
      <c r="B685" s="28" t="str">
        <f t="array" ref="B685">_xlfn.XLOOKUP($A685, 'Customer Names'!$A:$A, 'Customer Names'!B:B, "No Data")</f>
        <v>Canarecci</v>
      </c>
      <c r="C685" s="28">
        <f t="array" ref="C685">_xlfn.XLOOKUP($A685, 'Medical Examinations'!$A:$A, 'Medical Examinations'!B:B, "No Data")</f>
        <v>51.72</v>
      </c>
      <c r="D685" s="28">
        <f t="array" ref="D685">_xlfn.XLOOKUP($A685, 'Medical Examinations'!$A:$A, 'Medical Examinations'!C:C, "No Data")</f>
        <v>5.76</v>
      </c>
      <c r="E685" s="28" t="str">
        <f t="array" ref="E685">_xlfn.XLOOKUP($A685, 'Medical Examinations'!$A:$A, 'Medical Examinations'!D:D, "No Data")</f>
        <v>No</v>
      </c>
      <c r="F685" s="28" t="str">
        <f t="array" ref="F685">_xlfn.XLOOKUP($A685, 'Medical Examinations'!$A:$A, 'Medical Examinations'!E:E, "No Data")</f>
        <v>No</v>
      </c>
      <c r="G685" s="28" t="str">
        <f t="array" ref="G685">_xlfn.XLOOKUP($A685, 'Medical Examinations'!$A:$A, 'Medical Examinations'!F:F, "No Data")</f>
        <v>No</v>
      </c>
      <c r="H685" s="28">
        <f t="array" ref="H685">_xlfn.XLOOKUP($A685, 'Medical Examinations'!$A:$A, 'Medical Examinations'!G:G, "No Data")</f>
        <v>0</v>
      </c>
      <c r="I685" s="28" t="str">
        <f t="array" ref="I685">_xlfn.XLOOKUP($A685, 'Medical Examinations'!$A:$A, 'Medical Examinations'!H:H, "No Data")</f>
        <v>No</v>
      </c>
      <c r="J685" s="28" t="str">
        <f t="array" ref="J685">_xlfn.XLOOKUP($A685, 'Medical Examinations'!$A:$A, 'Medical Examinations'!I:I, "No Data")</f>
        <v>Obesity</v>
      </c>
      <c r="K685" s="28" t="str">
        <f t="array" ref="K685">_xlfn.XLOOKUP($A685, 'Hospitalisation Details'!$A:$A, 'Hospitalisation Details'!I:I, "No Data")</f>
        <v>tier - 3</v>
      </c>
      <c r="L685" s="28" t="str">
        <f t="array" ref="L685">_xlfn.XLOOKUP($A685, 'Hospitalisation Details'!$A:$A, 'Hospitalisation Details'!J:J, "No Data")</f>
        <v>R1011</v>
      </c>
      <c r="M685" s="28" t="str">
        <f t="array" ref="M685">_xlfn.XLOOKUP($A685, 'Hospitalisation Details'!$A:$A, 'Hospitalisation Details'!E:E, "No Data")</f>
        <v>14/07/89</v>
      </c>
      <c r="N685" s="28">
        <f t="array" ref="N685">_xlfn.XLOOKUP($A685, 'Hospitalisation Details'!$A:$A, 'Hospitalisation Details'!K:K, "No Data")</f>
        <v>33</v>
      </c>
      <c r="O685" s="33">
        <f t="array" ref="O685">_xlfn.XLOOKUP($A685, 'Hospitalisation Details'!$A:$A, 'Hospitalisation Details'!G:G, "No Data")</f>
        <v>14547.26</v>
      </c>
      <c r="P685" s="28" t="str">
        <f t="array" ref="P685">_xlfn.XLOOKUP($A685, 'Hospitalisation Details'!$A:$A, 'Hospitalisation Details'!H:H, "No Data")</f>
        <v>tier - 2</v>
      </c>
    </row>
    <row r="686">
      <c r="A686" s="25" t="s">
        <v>2177</v>
      </c>
      <c r="B686" s="28" t="str">
        <f t="array" ref="B686">_xlfn.XLOOKUP($A686, 'Customer Names'!$A:$A, 'Customer Names'!B:B, "No Data")</f>
        <v>Toupin</v>
      </c>
      <c r="C686" s="28">
        <f t="array" ref="C686">_xlfn.XLOOKUP($A686, 'Medical Examinations'!$A:$A, 'Medical Examinations'!B:B, "No Data")</f>
        <v>50.2</v>
      </c>
      <c r="D686" s="28">
        <f t="array" ref="D686">_xlfn.XLOOKUP($A686, 'Medical Examinations'!$A:$A, 'Medical Examinations'!C:C, "No Data")</f>
        <v>5.4</v>
      </c>
      <c r="E686" s="28" t="str">
        <f t="array" ref="E686">_xlfn.XLOOKUP($A686, 'Medical Examinations'!$A:$A, 'Medical Examinations'!D:D, "No Data")</f>
        <v>No</v>
      </c>
      <c r="F686" s="28" t="str">
        <f t="array" ref="F686">_xlfn.XLOOKUP($A686, 'Medical Examinations'!$A:$A, 'Medical Examinations'!E:E, "No Data")</f>
        <v>No</v>
      </c>
      <c r="G686" s="28" t="str">
        <f t="array" ref="G686">_xlfn.XLOOKUP($A686, 'Medical Examinations'!$A:$A, 'Medical Examinations'!F:F, "No Data")</f>
        <v>No</v>
      </c>
      <c r="H686" s="28">
        <f t="array" ref="H686">_xlfn.XLOOKUP($A686, 'Medical Examinations'!$A:$A, 'Medical Examinations'!G:G, "No Data")</f>
        <v>0</v>
      </c>
      <c r="I686" s="28" t="str">
        <f t="array" ref="I686">_xlfn.XLOOKUP($A686, 'Medical Examinations'!$A:$A, 'Medical Examinations'!H:H, "No Data")</f>
        <v>No</v>
      </c>
      <c r="J686" s="28" t="str">
        <f t="array" ref="J686">_xlfn.XLOOKUP($A686, 'Medical Examinations'!$A:$A, 'Medical Examinations'!I:I, "No Data")</f>
        <v>Obesity</v>
      </c>
      <c r="K686" s="28" t="str">
        <f t="array" ref="K686">_xlfn.XLOOKUP($A686, 'Hospitalisation Details'!$A:$A, 'Hospitalisation Details'!I:I, "No Data")</f>
        <v>tier - 3</v>
      </c>
      <c r="L686" s="28" t="str">
        <f t="array" ref="L686">_xlfn.XLOOKUP($A686, 'Hospitalisation Details'!$A:$A, 'Hospitalisation Details'!J:J, "No Data")</f>
        <v>R1012</v>
      </c>
      <c r="M686" s="28" t="str">
        <f t="array" ref="M686">_xlfn.XLOOKUP($A686, 'Hospitalisation Details'!$A:$A, 'Hospitalisation Details'!E:E, "No Data")</f>
        <v>22/07/89</v>
      </c>
      <c r="N686" s="28">
        <f t="array" ref="N686">_xlfn.XLOOKUP($A686, 'Hospitalisation Details'!$A:$A, 'Hospitalisation Details'!K:K, "No Data")</f>
        <v>33</v>
      </c>
      <c r="O686" s="33">
        <f t="array" ref="O686">_xlfn.XLOOKUP($A686, 'Hospitalisation Details'!$A:$A, 'Hospitalisation Details'!G:G, "No Data")</f>
        <v>14507.46</v>
      </c>
      <c r="P686" s="28" t="str">
        <f t="array" ref="P686">_xlfn.XLOOKUP($A686, 'Hospitalisation Details'!$A:$A, 'Hospitalisation Details'!H:H, "No Data")</f>
        <v>tier - 2</v>
      </c>
    </row>
    <row r="687">
      <c r="A687" s="25" t="s">
        <v>2181</v>
      </c>
      <c r="B687" s="28" t="str">
        <f t="array" ref="B687">_xlfn.XLOOKUP($A687, 'Customer Names'!$A:$A, 'Customer Names'!B:B, "No Data")</f>
        <v>Mulley</v>
      </c>
      <c r="C687" s="28">
        <f t="array" ref="C687">_xlfn.XLOOKUP($A687, 'Medical Examinations'!$A:$A, 'Medical Examinations'!B:B, "No Data")</f>
        <v>25.52</v>
      </c>
      <c r="D687" s="28">
        <f t="array" ref="D687">_xlfn.XLOOKUP($A687, 'Medical Examinations'!$A:$A, 'Medical Examinations'!C:C, "No Data")</f>
        <v>6.35</v>
      </c>
      <c r="E687" s="28" t="str">
        <f t="array" ref="E687">_xlfn.XLOOKUP($A687, 'Medical Examinations'!$A:$A, 'Medical Examinations'!D:D, "No Data")</f>
        <v>No</v>
      </c>
      <c r="F687" s="28" t="str">
        <f t="array" ref="F687">_xlfn.XLOOKUP($A687, 'Medical Examinations'!$A:$A, 'Medical Examinations'!E:E, "No Data")</f>
        <v>No</v>
      </c>
      <c r="G687" s="28" t="str">
        <f t="array" ref="G687">_xlfn.XLOOKUP($A687, 'Medical Examinations'!$A:$A, 'Medical Examinations'!F:F, "No Data")</f>
        <v>Yes</v>
      </c>
      <c r="H687" s="28">
        <f t="array" ref="H687">_xlfn.XLOOKUP($A687, 'Medical Examinations'!$A:$A, 'Medical Examinations'!G:G, "No Data")</f>
        <v>1</v>
      </c>
      <c r="I687" s="28" t="str">
        <f t="array" ref="I687">_xlfn.XLOOKUP($A687, 'Medical Examinations'!$A:$A, 'Medical Examinations'!H:H, "No Data")</f>
        <v>No</v>
      </c>
      <c r="J687" s="28" t="str">
        <f t="array" ref="J687">_xlfn.XLOOKUP($A687, 'Medical Examinations'!$A:$A, 'Medical Examinations'!I:I, "No Data")</f>
        <v>Overweight</v>
      </c>
      <c r="K687" s="28" t="str">
        <f t="array" ref="K687">_xlfn.XLOOKUP($A687, 'Hospitalisation Details'!$A:$A, 'Hospitalisation Details'!I:I, "No Data")</f>
        <v>tier - 2</v>
      </c>
      <c r="L687" s="28" t="str">
        <f t="array" ref="L687">_xlfn.XLOOKUP($A687, 'Hospitalisation Details'!$A:$A, 'Hospitalisation Details'!J:J, "No Data")</f>
        <v>R1013</v>
      </c>
      <c r="M687" s="28" t="str">
        <f t="array" ref="M687">_xlfn.XLOOKUP($A687, 'Hospitalisation Details'!$A:$A, 'Hospitalisation Details'!E:E, "No Data")</f>
        <v>20/10/79</v>
      </c>
      <c r="N687" s="28">
        <f t="array" ref="N687">_xlfn.XLOOKUP($A687, 'Hospitalisation Details'!$A:$A, 'Hospitalisation Details'!K:K, "No Data")</f>
        <v>43</v>
      </c>
      <c r="O687" s="33">
        <f t="array" ref="O687">_xlfn.XLOOKUP($A687, 'Hospitalisation Details'!$A:$A, 'Hospitalisation Details'!G:G, "No Data")</f>
        <v>14478.33</v>
      </c>
      <c r="P687" s="28" t="str">
        <f t="array" ref="P687">_xlfn.XLOOKUP($A687, 'Hospitalisation Details'!$A:$A, 'Hospitalisation Details'!H:H, "No Data")</f>
        <v>tier - 2</v>
      </c>
    </row>
    <row r="688">
      <c r="A688" s="25" t="s">
        <v>2184</v>
      </c>
      <c r="B688" s="28" t="str">
        <f t="array" ref="B688">_xlfn.XLOOKUP($A688, 'Customer Names'!$A:$A, 'Customer Names'!B:B, "No Data")</f>
        <v>Parry</v>
      </c>
      <c r="C688" s="28">
        <f t="array" ref="C688">_xlfn.XLOOKUP($A688, 'Medical Examinations'!$A:$A, 'Medical Examinations'!B:B, "No Data")</f>
        <v>35.2</v>
      </c>
      <c r="D688" s="28">
        <f t="array" ref="D688">_xlfn.XLOOKUP($A688, 'Medical Examinations'!$A:$A, 'Medical Examinations'!C:C, "No Data")</f>
        <v>6.26</v>
      </c>
      <c r="E688" s="28" t="str">
        <f t="array" ref="E688">_xlfn.XLOOKUP($A688, 'Medical Examinations'!$A:$A, 'Medical Examinations'!D:D, "No Data")</f>
        <v>yes</v>
      </c>
      <c r="F688" s="28" t="str">
        <f t="array" ref="F688">_xlfn.XLOOKUP($A688, 'Medical Examinations'!$A:$A, 'Medical Examinations'!E:E, "No Data")</f>
        <v>No</v>
      </c>
      <c r="G688" s="28" t="str">
        <f t="array" ref="G688">_xlfn.XLOOKUP($A688, 'Medical Examinations'!$A:$A, 'Medical Examinations'!F:F, "No Data")</f>
        <v>No</v>
      </c>
      <c r="H688" s="28">
        <f t="array" ref="H688">_xlfn.XLOOKUP($A688, 'Medical Examinations'!$A:$A, 'Medical Examinations'!G:G, "No Data")</f>
        <v>2</v>
      </c>
      <c r="I688" s="28" t="str">
        <f t="array" ref="I688">_xlfn.XLOOKUP($A688, 'Medical Examinations'!$A:$A, 'Medical Examinations'!H:H, "No Data")</f>
        <v>No</v>
      </c>
      <c r="J688" s="28" t="str">
        <f t="array" ref="J688">_xlfn.XLOOKUP($A688, 'Medical Examinations'!$A:$A, 'Medical Examinations'!I:I, "No Data")</f>
        <v>Obesity</v>
      </c>
      <c r="K688" s="28" t="str">
        <f t="array" ref="K688">_xlfn.XLOOKUP($A688, 'Hospitalisation Details'!$A:$A, 'Hospitalisation Details'!I:I, "No Data")</f>
        <v>tier - 2</v>
      </c>
      <c r="L688" s="28" t="str">
        <f t="array" ref="L688">_xlfn.XLOOKUP($A688, 'Hospitalisation Details'!$A:$A, 'Hospitalisation Details'!J:J, "No Data")</f>
        <v>R1013</v>
      </c>
      <c r="M688" s="28" t="str">
        <f t="array" ref="M688">_xlfn.XLOOKUP($A688, 'Hospitalisation Details'!$A:$A, 'Hospitalisation Details'!E:E, "No Data")</f>
        <v>20/11/59</v>
      </c>
      <c r="N688" s="28">
        <f t="array" ref="N688">_xlfn.XLOOKUP($A688, 'Hospitalisation Details'!$A:$A, 'Hospitalisation Details'!K:K, "No Data")</f>
        <v>63</v>
      </c>
      <c r="O688" s="33">
        <f t="array" ref="O688">_xlfn.XLOOKUP($A688, 'Hospitalisation Details'!$A:$A, 'Hospitalisation Details'!G:G, "No Data")</f>
        <v>14474.68</v>
      </c>
      <c r="P688" s="28" t="str">
        <f t="array" ref="P688">_xlfn.XLOOKUP($A688, 'Hospitalisation Details'!$A:$A, 'Hospitalisation Details'!H:H, "No Data")</f>
        <v>tier - 2</v>
      </c>
    </row>
    <row r="689">
      <c r="A689" s="25" t="s">
        <v>2188</v>
      </c>
      <c r="B689" s="28" t="str">
        <f t="array" ref="B689">_xlfn.XLOOKUP($A689, 'Customer Names'!$A:$A, 'Customer Names'!B:B, "No Data")</f>
        <v>Mason Cox</v>
      </c>
      <c r="C689" s="28">
        <f t="array" ref="C689">_xlfn.XLOOKUP($A689, 'Medical Examinations'!$A:$A, 'Medical Examinations'!B:B, "No Data")</f>
        <v>41.26</v>
      </c>
      <c r="D689" s="28">
        <f t="array" ref="D689">_xlfn.XLOOKUP($A689, 'Medical Examinations'!$A:$A, 'Medical Examinations'!C:C, "No Data")</f>
        <v>5.97</v>
      </c>
      <c r="E689" s="28" t="str">
        <f t="array" ref="E689">_xlfn.XLOOKUP($A689, 'Medical Examinations'!$A:$A, 'Medical Examinations'!D:D, "No Data")</f>
        <v>yes</v>
      </c>
      <c r="F689" s="28" t="str">
        <f t="array" ref="F689">_xlfn.XLOOKUP($A689, 'Medical Examinations'!$A:$A, 'Medical Examinations'!E:E, "No Data")</f>
        <v>No</v>
      </c>
      <c r="G689" s="28" t="str">
        <f t="array" ref="G689">_xlfn.XLOOKUP($A689, 'Medical Examinations'!$A:$A, 'Medical Examinations'!F:F, "No Data")</f>
        <v>No</v>
      </c>
      <c r="H689" s="28">
        <f t="array" ref="H689">_xlfn.XLOOKUP($A689, 'Medical Examinations'!$A:$A, 'Medical Examinations'!G:G, "No Data")</f>
        <v>0</v>
      </c>
      <c r="I689" s="28" t="str">
        <f t="array" ref="I689">_xlfn.XLOOKUP($A689, 'Medical Examinations'!$A:$A, 'Medical Examinations'!H:H, "No Data")</f>
        <v>No</v>
      </c>
      <c r="J689" s="28" t="str">
        <f t="array" ref="J689">_xlfn.XLOOKUP($A689, 'Medical Examinations'!$A:$A, 'Medical Examinations'!I:I, "No Data")</f>
        <v>Obesity</v>
      </c>
      <c r="K689" s="28" t="str">
        <f t="array" ref="K689">_xlfn.XLOOKUP($A689, 'Hospitalisation Details'!$A:$A, 'Hospitalisation Details'!I:I, "No Data")</f>
        <v>tier - 3</v>
      </c>
      <c r="L689" s="28" t="str">
        <f t="array" ref="L689">_xlfn.XLOOKUP($A689, 'Hospitalisation Details'!$A:$A, 'Hospitalisation Details'!J:J, "No Data")</f>
        <v>R1012</v>
      </c>
      <c r="M689" s="28" t="str">
        <f t="array" ref="M689">_xlfn.XLOOKUP($A689, 'Hospitalisation Details'!$A:$A, 'Hospitalisation Details'!E:E, "No Data")</f>
        <v>27/11/76</v>
      </c>
      <c r="N689" s="28">
        <f t="array" ref="N689">_xlfn.XLOOKUP($A689, 'Hospitalisation Details'!$A:$A, 'Hospitalisation Details'!K:K, "No Data")</f>
        <v>46</v>
      </c>
      <c r="O689" s="33">
        <f t="array" ref="O689">_xlfn.XLOOKUP($A689, 'Hospitalisation Details'!$A:$A, 'Hospitalisation Details'!G:G, "No Data")</f>
        <v>14470.01</v>
      </c>
      <c r="P689" s="28" t="str">
        <f t="array" ref="P689">_xlfn.XLOOKUP($A689, 'Hospitalisation Details'!$A:$A, 'Hospitalisation Details'!H:H, "No Data")</f>
        <v>tier - 2</v>
      </c>
    </row>
    <row r="690">
      <c r="A690" s="25" t="s">
        <v>2192</v>
      </c>
      <c r="B690" s="28" t="str">
        <f t="array" ref="B690">_xlfn.XLOOKUP($A690, 'Customer Names'!$A:$A, 'Customer Names'!B:B, "No Data")</f>
        <v>Thompson</v>
      </c>
      <c r="C690" s="28">
        <f t="array" ref="C690">_xlfn.XLOOKUP($A690, 'Medical Examinations'!$A:$A, 'Medical Examinations'!B:B, "No Data")</f>
        <v>17.195</v>
      </c>
      <c r="D690" s="28">
        <f t="array" ref="D690">_xlfn.XLOOKUP($A690, 'Medical Examinations'!$A:$A, 'Medical Examinations'!C:C, "No Data")</f>
        <v>5.29</v>
      </c>
      <c r="E690" s="28" t="str">
        <f t="array" ref="E690">_xlfn.XLOOKUP($A690, 'Medical Examinations'!$A:$A, 'Medical Examinations'!D:D, "No Data")</f>
        <v>yes</v>
      </c>
      <c r="F690" s="28" t="str">
        <f t="array" ref="F690">_xlfn.XLOOKUP($A690, 'Medical Examinations'!$A:$A, 'Medical Examinations'!E:E, "No Data")</f>
        <v>No</v>
      </c>
      <c r="G690" s="28" t="str">
        <f t="array" ref="G690">_xlfn.XLOOKUP($A690, 'Medical Examinations'!$A:$A, 'Medical Examinations'!F:F, "No Data")</f>
        <v>No</v>
      </c>
      <c r="H690" s="28">
        <f t="array" ref="H690">_xlfn.XLOOKUP($A690, 'Medical Examinations'!$A:$A, 'Medical Examinations'!G:G, "No Data")</f>
        <v>0</v>
      </c>
      <c r="I690" s="28" t="str">
        <f t="array" ref="I690">_xlfn.XLOOKUP($A690, 'Medical Examinations'!$A:$A, 'Medical Examinations'!H:H, "No Data")</f>
        <v>yes</v>
      </c>
      <c r="J690" s="28" t="str">
        <f t="array" ref="J690">_xlfn.XLOOKUP($A690, 'Medical Examinations'!$A:$A, 'Medical Examinations'!I:I, "No Data")</f>
        <v>Underweight</v>
      </c>
      <c r="K690" s="28" t="str">
        <f t="array" ref="K690">_xlfn.XLOOKUP($A690, 'Hospitalisation Details'!$A:$A, 'Hospitalisation Details'!I:I, "No Data")</f>
        <v>tier - 3</v>
      </c>
      <c r="L690" s="28" t="str">
        <f t="array" ref="L690">_xlfn.XLOOKUP($A690, 'Hospitalisation Details'!$A:$A, 'Hospitalisation Details'!J:J, "No Data")</f>
        <v>R1024</v>
      </c>
      <c r="M690" s="28" t="str">
        <f t="array" ref="M690">_xlfn.XLOOKUP($A690, 'Hospitalisation Details'!$A:$A, 'Hospitalisation Details'!E:E, "No Data")</f>
        <v>10/11/96</v>
      </c>
      <c r="N690" s="28">
        <f t="array" ref="N690">_xlfn.XLOOKUP($A690, 'Hospitalisation Details'!$A:$A, 'Hospitalisation Details'!K:K, "No Data")</f>
        <v>26</v>
      </c>
      <c r="O690" s="33">
        <f t="array" ref="O690">_xlfn.XLOOKUP($A690, 'Hospitalisation Details'!$A:$A, 'Hospitalisation Details'!G:G, "No Data")</f>
        <v>14455.64</v>
      </c>
      <c r="P690" s="28" t="str">
        <f t="array" ref="P690">_xlfn.XLOOKUP($A690, 'Hospitalisation Details'!$A:$A, 'Hospitalisation Details'!H:H, "No Data")</f>
        <v>tier - 2</v>
      </c>
    </row>
    <row r="691">
      <c r="A691" s="25" t="s">
        <v>2196</v>
      </c>
      <c r="B691" s="28" t="str">
        <f t="array" ref="B691">_xlfn.XLOOKUP($A691, 'Customer Names'!$A:$A, 'Customer Names'!B:B, "No Data")</f>
        <v>Nelson</v>
      </c>
      <c r="C691" s="28">
        <f t="array" ref="C691">_xlfn.XLOOKUP($A691, 'Medical Examinations'!$A:$A, 'Medical Examinations'!B:B, "No Data")</f>
        <v>23.085</v>
      </c>
      <c r="D691" s="28">
        <f t="array" ref="D691">_xlfn.XLOOKUP($A691, 'Medical Examinations'!$A:$A, 'Medical Examinations'!C:C, "No Data")</f>
        <v>4.27</v>
      </c>
      <c r="E691" s="28" t="str">
        <f t="array" ref="E691">_xlfn.XLOOKUP($A691, 'Medical Examinations'!$A:$A, 'Medical Examinations'!D:D, "No Data")</f>
        <v>yes</v>
      </c>
      <c r="F691" s="28" t="str">
        <f t="array" ref="F691">_xlfn.XLOOKUP($A691, 'Medical Examinations'!$A:$A, 'Medical Examinations'!E:E, "No Data")</f>
        <v>No</v>
      </c>
      <c r="G691" s="28" t="str">
        <f t="array" ref="G691">_xlfn.XLOOKUP($A691, 'Medical Examinations'!$A:$A, 'Medical Examinations'!F:F, "No Data")</f>
        <v>No</v>
      </c>
      <c r="H691" s="28">
        <f t="array" ref="H691">_xlfn.XLOOKUP($A691, 'Medical Examinations'!$A:$A, 'Medical Examinations'!G:G, "No Data")</f>
        <v>2</v>
      </c>
      <c r="I691" s="28" t="str">
        <f t="array" ref="I691">_xlfn.XLOOKUP($A691, 'Medical Examinations'!$A:$A, 'Medical Examinations'!H:H, "No Data")</f>
        <v>No</v>
      </c>
      <c r="J691" s="28" t="str">
        <f t="array" ref="J691">_xlfn.XLOOKUP($A691, 'Medical Examinations'!$A:$A, 'Medical Examinations'!I:I, "No Data")</f>
        <v>Normal Weight</v>
      </c>
      <c r="K691" s="28" t="str">
        <f t="array" ref="K691">_xlfn.XLOOKUP($A691, 'Hospitalisation Details'!$A:$A, 'Hospitalisation Details'!I:I, "No Data")</f>
        <v>tier - 3</v>
      </c>
      <c r="L691" s="28" t="str">
        <f t="array" ref="L691">_xlfn.XLOOKUP($A691, 'Hospitalisation Details'!$A:$A, 'Hospitalisation Details'!J:J, "No Data")</f>
        <v>R1023</v>
      </c>
      <c r="M691" s="28" t="str">
        <f t="array" ref="M691">_xlfn.XLOOKUP($A691, 'Hospitalisation Details'!$A:$A, 'Hospitalisation Details'!E:E, "No Data")</f>
        <v>03/08/59</v>
      </c>
      <c r="N691" s="28">
        <f t="array" ref="N691">_xlfn.XLOOKUP($A691, 'Hospitalisation Details'!$A:$A, 'Hospitalisation Details'!K:K, "No Data")</f>
        <v>63</v>
      </c>
      <c r="O691" s="33">
        <f t="array" ref="O691">_xlfn.XLOOKUP($A691, 'Hospitalisation Details'!$A:$A, 'Hospitalisation Details'!G:G, "No Data")</f>
        <v>14451.84</v>
      </c>
      <c r="P691" s="28" t="str">
        <f t="array" ref="P691">_xlfn.XLOOKUP($A691, 'Hospitalisation Details'!$A:$A, 'Hospitalisation Details'!H:H, "No Data")</f>
        <v>tier - 2</v>
      </c>
    </row>
    <row r="692">
      <c r="A692" s="25" t="s">
        <v>2199</v>
      </c>
      <c r="B692" s="28" t="str">
        <f t="array" ref="B692">_xlfn.XLOOKUP($A692, 'Customer Names'!$A:$A, 'Customer Names'!B:B, "No Data")</f>
        <v>Forte</v>
      </c>
      <c r="C692" s="28">
        <f t="array" ref="C692">_xlfn.XLOOKUP($A692, 'Medical Examinations'!$A:$A, 'Medical Examinations'!B:B, "No Data")</f>
        <v>21.66</v>
      </c>
      <c r="D692" s="28">
        <f t="array" ref="D692">_xlfn.XLOOKUP($A692, 'Medical Examinations'!$A:$A, 'Medical Examinations'!C:C, "No Data")</f>
        <v>5.2</v>
      </c>
      <c r="E692" s="28" t="str">
        <f t="array" ref="E692">_xlfn.XLOOKUP($A692, 'Medical Examinations'!$A:$A, 'Medical Examinations'!D:D, "No Data")</f>
        <v>yes</v>
      </c>
      <c r="F692" s="28" t="str">
        <f t="array" ref="F692">_xlfn.XLOOKUP($A692, 'Medical Examinations'!$A:$A, 'Medical Examinations'!E:E, "No Data")</f>
        <v>No</v>
      </c>
      <c r="G692" s="28" t="str">
        <f t="array" ref="G692">_xlfn.XLOOKUP($A692, 'Medical Examinations'!$A:$A, 'Medical Examinations'!F:F, "No Data")</f>
        <v>No</v>
      </c>
      <c r="H692" s="28">
        <f t="array" ref="H692">_xlfn.XLOOKUP($A692, 'Medical Examinations'!$A:$A, 'Medical Examinations'!G:G, "No Data")</f>
        <v>2</v>
      </c>
      <c r="I692" s="28" t="str">
        <f t="array" ref="I692">_xlfn.XLOOKUP($A692, 'Medical Examinations'!$A:$A, 'Medical Examinations'!H:H, "No Data")</f>
        <v>No</v>
      </c>
      <c r="J692" s="28" t="str">
        <f t="array" ref="J692">_xlfn.XLOOKUP($A692, 'Medical Examinations'!$A:$A, 'Medical Examinations'!I:I, "No Data")</f>
        <v>Normal Weight</v>
      </c>
      <c r="K692" s="28" t="str">
        <f t="array" ref="K692">_xlfn.XLOOKUP($A692, 'Hospitalisation Details'!$A:$A, 'Hospitalisation Details'!I:I, "No Data")</f>
        <v>tier - 1</v>
      </c>
      <c r="L692" s="28" t="str">
        <f t="array" ref="L692">_xlfn.XLOOKUP($A692, 'Hospitalisation Details'!$A:$A, 'Hospitalisation Details'!J:J, "No Data")</f>
        <v>R1024</v>
      </c>
      <c r="M692" s="28" t="str">
        <f t="array" ref="M692">_xlfn.XLOOKUP($A692, 'Hospitalisation Details'!$A:$A, 'Hospitalisation Details'!E:E, "No Data")</f>
        <v>29/06/59</v>
      </c>
      <c r="N692" s="28">
        <f t="array" ref="N692">_xlfn.XLOOKUP($A692, 'Hospitalisation Details'!$A:$A, 'Hospitalisation Details'!K:K, "No Data")</f>
        <v>63</v>
      </c>
      <c r="O692" s="33">
        <f t="array" ref="O692">_xlfn.XLOOKUP($A692, 'Hospitalisation Details'!$A:$A, 'Hospitalisation Details'!G:G, "No Data")</f>
        <v>14449.85</v>
      </c>
      <c r="P692" s="28" t="str">
        <f t="array" ref="P692">_xlfn.XLOOKUP($A692, 'Hospitalisation Details'!$A:$A, 'Hospitalisation Details'!H:H, "No Data")</f>
        <v>tier - 2</v>
      </c>
    </row>
    <row r="693">
      <c r="A693" s="25" t="s">
        <v>2203</v>
      </c>
      <c r="B693" s="28" t="str">
        <f t="array" ref="B693">_xlfn.XLOOKUP($A693, 'Customer Names'!$A:$A, 'Customer Names'!B:B, "No Data")</f>
        <v>Corona Iturriaga</v>
      </c>
      <c r="C693" s="28">
        <f t="array" ref="C693">_xlfn.XLOOKUP($A693, 'Medical Examinations'!$A:$A, 'Medical Examinations'!B:B, "No Data")</f>
        <v>36.47</v>
      </c>
      <c r="D693" s="28">
        <f t="array" ref="D693">_xlfn.XLOOKUP($A693, 'Medical Examinations'!$A:$A, 'Medical Examinations'!C:C, "No Data")</f>
        <v>8.23</v>
      </c>
      <c r="E693" s="28" t="str">
        <f t="array" ref="E693">_xlfn.XLOOKUP($A693, 'Medical Examinations'!$A:$A, 'Medical Examinations'!D:D, "No Data")</f>
        <v>yes</v>
      </c>
      <c r="F693" s="28" t="str">
        <f t="array" ref="F693">_xlfn.XLOOKUP($A693, 'Medical Examinations'!$A:$A, 'Medical Examinations'!E:E, "No Data")</f>
        <v>No</v>
      </c>
      <c r="G693" s="28" t="str">
        <f t="array" ref="G693">_xlfn.XLOOKUP($A693, 'Medical Examinations'!$A:$A, 'Medical Examinations'!F:F, "No Data")</f>
        <v>No</v>
      </c>
      <c r="H693" s="28">
        <f t="array" ref="H693">_xlfn.XLOOKUP($A693, 'Medical Examinations'!$A:$A, 'Medical Examinations'!G:G, "No Data")</f>
        <v>0</v>
      </c>
      <c r="I693" s="28" t="str">
        <f t="array" ref="I693">_xlfn.XLOOKUP($A693, 'Medical Examinations'!$A:$A, 'Medical Examinations'!H:H, "No Data")</f>
        <v>No</v>
      </c>
      <c r="J693" s="28" t="str">
        <f t="array" ref="J693">_xlfn.XLOOKUP($A693, 'Medical Examinations'!$A:$A, 'Medical Examinations'!I:I, "No Data")</f>
        <v>Obesity</v>
      </c>
      <c r="K693" s="28" t="str">
        <f t="array" ref="K693">_xlfn.XLOOKUP($A693, 'Hospitalisation Details'!$A:$A, 'Hospitalisation Details'!I:I, "No Data")</f>
        <v>tier - 2</v>
      </c>
      <c r="L693" s="28" t="str">
        <f t="array" ref="L693">_xlfn.XLOOKUP($A693, 'Hospitalisation Details'!$A:$A, 'Hospitalisation Details'!J:J, "No Data")</f>
        <v>R1021</v>
      </c>
      <c r="M693" s="28" t="str">
        <f t="array" ref="M693">_xlfn.XLOOKUP($A693, 'Hospitalisation Details'!$A:$A, 'Hospitalisation Details'!E:E, "No Data")</f>
        <v>04/11/67</v>
      </c>
      <c r="N693" s="28">
        <f t="array" ref="N693">_xlfn.XLOOKUP($A693, 'Hospitalisation Details'!$A:$A, 'Hospitalisation Details'!K:K, "No Data")</f>
        <v>55</v>
      </c>
      <c r="O693" s="33">
        <f t="array" ref="O693">_xlfn.XLOOKUP($A693, 'Hospitalisation Details'!$A:$A, 'Hospitalisation Details'!G:G, "No Data")</f>
        <v>14427.63</v>
      </c>
      <c r="P693" s="28" t="str">
        <f t="array" ref="P693">_xlfn.XLOOKUP($A693, 'Hospitalisation Details'!$A:$A, 'Hospitalisation Details'!H:H, "No Data")</f>
        <v>tier - 2</v>
      </c>
    </row>
    <row r="694">
      <c r="A694" s="25" t="s">
        <v>2206</v>
      </c>
      <c r="B694" s="28" t="str">
        <f t="array" ref="B694">_xlfn.XLOOKUP($A694, 'Customer Names'!$A:$A, 'Customer Names'!B:B, "No Data")</f>
        <v>McCollum</v>
      </c>
      <c r="C694" s="28">
        <f t="array" ref="C694">_xlfn.XLOOKUP($A694, 'Medical Examinations'!$A:$A, 'Medical Examinations'!B:B, "No Data")</f>
        <v>36.08</v>
      </c>
      <c r="D694" s="28">
        <f t="array" ref="D694">_xlfn.XLOOKUP($A694, 'Medical Examinations'!$A:$A, 'Medical Examinations'!C:C, "No Data")</f>
        <v>10.33</v>
      </c>
      <c r="E694" s="28" t="str">
        <f t="array" ref="E694">_xlfn.XLOOKUP($A694, 'Medical Examinations'!$A:$A, 'Medical Examinations'!D:D, "No Data")</f>
        <v>yes</v>
      </c>
      <c r="F694" s="28" t="str">
        <f t="array" ref="F694">_xlfn.XLOOKUP($A694, 'Medical Examinations'!$A:$A, 'Medical Examinations'!E:E, "No Data")</f>
        <v>No</v>
      </c>
      <c r="G694" s="28" t="str">
        <f t="array" ref="G694">_xlfn.XLOOKUP($A694, 'Medical Examinations'!$A:$A, 'Medical Examinations'!F:F, "No Data")</f>
        <v>No</v>
      </c>
      <c r="H694" s="28">
        <f t="array" ref="H694">_xlfn.XLOOKUP($A694, 'Medical Examinations'!$A:$A, 'Medical Examinations'!G:G, "No Data")</f>
        <v>0</v>
      </c>
      <c r="I694" s="28" t="str">
        <f t="array" ref="I694">_xlfn.XLOOKUP($A694, 'Medical Examinations'!$A:$A, 'Medical Examinations'!H:H, "No Data")</f>
        <v>No</v>
      </c>
      <c r="J694" s="28" t="str">
        <f t="array" ref="J694">_xlfn.XLOOKUP($A694, 'Medical Examinations'!$A:$A, 'Medical Examinations'!I:I, "No Data")</f>
        <v>Obesity</v>
      </c>
      <c r="K694" s="28" t="str">
        <f t="array" ref="K694">_xlfn.XLOOKUP($A694, 'Hospitalisation Details'!$A:$A, 'Hospitalisation Details'!I:I, "No Data")</f>
        <v>tier - 2</v>
      </c>
      <c r="L694" s="28" t="str">
        <f t="array" ref="L694">_xlfn.XLOOKUP($A694, 'Hospitalisation Details'!$A:$A, 'Hospitalisation Details'!J:J, "No Data")</f>
        <v>R1026</v>
      </c>
      <c r="M694" s="28" t="str">
        <f t="array" ref="M694">_xlfn.XLOOKUP($A694, 'Hospitalisation Details'!$A:$A, 'Hospitalisation Details'!E:E, "No Data")</f>
        <v>15/08/67</v>
      </c>
      <c r="N694" s="28">
        <f t="array" ref="N694">_xlfn.XLOOKUP($A694, 'Hospitalisation Details'!$A:$A, 'Hospitalisation Details'!K:K, "No Data")</f>
        <v>55</v>
      </c>
      <c r="O694" s="33">
        <f t="array" ref="O694">_xlfn.XLOOKUP($A694, 'Hospitalisation Details'!$A:$A, 'Hospitalisation Details'!G:G, "No Data")</f>
        <v>14426.66</v>
      </c>
      <c r="P694" s="28" t="str">
        <f t="array" ref="P694">_xlfn.XLOOKUP($A694, 'Hospitalisation Details'!$A:$A, 'Hospitalisation Details'!H:H, "No Data")</f>
        <v>tier - 2</v>
      </c>
    </row>
    <row r="695">
      <c r="A695" s="25" t="s">
        <v>2210</v>
      </c>
      <c r="B695" s="28" t="str">
        <f t="array" ref="B695">_xlfn.XLOOKUP($A695, 'Customer Names'!$A:$A, 'Customer Names'!B:B, "No Data")</f>
        <v>Hevner</v>
      </c>
      <c r="C695" s="28">
        <f t="array" ref="C695">_xlfn.XLOOKUP($A695, 'Medical Examinations'!$A:$A, 'Medical Examinations'!B:B, "No Data")</f>
        <v>23.18</v>
      </c>
      <c r="D695" s="28">
        <f t="array" ref="D695">_xlfn.XLOOKUP($A695, 'Medical Examinations'!$A:$A, 'Medical Examinations'!C:C, "No Data")</f>
        <v>6.13</v>
      </c>
      <c r="E695" s="28" t="str">
        <f t="array" ref="E695">_xlfn.XLOOKUP($A695, 'Medical Examinations'!$A:$A, 'Medical Examinations'!D:D, "No Data")</f>
        <v>No</v>
      </c>
      <c r="F695" s="28" t="str">
        <f t="array" ref="F695">_xlfn.XLOOKUP($A695, 'Medical Examinations'!$A:$A, 'Medical Examinations'!E:E, "No Data")</f>
        <v>No</v>
      </c>
      <c r="G695" s="28" t="str">
        <f t="array" ref="G695">_xlfn.XLOOKUP($A695, 'Medical Examinations'!$A:$A, 'Medical Examinations'!F:F, "No Data")</f>
        <v>No</v>
      </c>
      <c r="H695" s="28">
        <f t="array" ref="H695">_xlfn.XLOOKUP($A695, 'Medical Examinations'!$A:$A, 'Medical Examinations'!G:G, "No Data")</f>
        <v>0</v>
      </c>
      <c r="I695" s="28" t="str">
        <f t="array" ref="I695">_xlfn.XLOOKUP($A695, 'Medical Examinations'!$A:$A, 'Medical Examinations'!H:H, "No Data")</f>
        <v>No</v>
      </c>
      <c r="J695" s="28" t="str">
        <f t="array" ref="J695">_xlfn.XLOOKUP($A695, 'Medical Examinations'!$A:$A, 'Medical Examinations'!I:I, "No Data")</f>
        <v>Normal Weight</v>
      </c>
      <c r="K695" s="28" t="str">
        <f t="array" ref="K695">_xlfn.XLOOKUP($A695, 'Hospitalisation Details'!$A:$A, 'Hospitalisation Details'!I:I, "No Data")</f>
        <v>tier - 1</v>
      </c>
      <c r="L695" s="28" t="str">
        <f t="array" ref="L695">_xlfn.XLOOKUP($A695, 'Hospitalisation Details'!$A:$A, 'Hospitalisation Details'!J:J, "No Data")</f>
        <v>R1012</v>
      </c>
      <c r="M695" s="28" t="str">
        <f t="array" ref="M695">_xlfn.XLOOKUP($A695, 'Hospitalisation Details'!$A:$A, 'Hospitalisation Details'!E:E, "No Data")</f>
        <v>10/08/99</v>
      </c>
      <c r="N695" s="28">
        <f t="array" ref="N695">_xlfn.XLOOKUP($A695, 'Hospitalisation Details'!$A:$A, 'Hospitalisation Details'!K:K, "No Data")</f>
        <v>23</v>
      </c>
      <c r="O695" s="33">
        <f t="array" ref="O695">_xlfn.XLOOKUP($A695, 'Hospitalisation Details'!$A:$A, 'Hospitalisation Details'!G:G, "No Data")</f>
        <v>14426.07</v>
      </c>
      <c r="P695" s="28" t="str">
        <f t="array" ref="P695">_xlfn.XLOOKUP($A695, 'Hospitalisation Details'!$A:$A, 'Hospitalisation Details'!H:H, "No Data")</f>
        <v>tier - 2</v>
      </c>
    </row>
    <row r="696">
      <c r="A696" s="25" t="s">
        <v>2214</v>
      </c>
      <c r="B696" s="28" t="str">
        <f t="array" ref="B696">_xlfn.XLOOKUP($A696, 'Customer Names'!$A:$A, 'Customer Names'!B:B, "No Data")</f>
        <v>Looi</v>
      </c>
      <c r="C696" s="28">
        <f t="array" ref="C696">_xlfn.XLOOKUP($A696, 'Medical Examinations'!$A:$A, 'Medical Examinations'!B:B, "No Data")</f>
        <v>39.16</v>
      </c>
      <c r="D696" s="28">
        <f t="array" ref="D696">_xlfn.XLOOKUP($A696, 'Medical Examinations'!$A:$A, 'Medical Examinations'!C:C, "No Data")</f>
        <v>8.08</v>
      </c>
      <c r="E696" s="28" t="str">
        <f t="array" ref="E696">_xlfn.XLOOKUP($A696, 'Medical Examinations'!$A:$A, 'Medical Examinations'!D:D, "No Data")</f>
        <v>No</v>
      </c>
      <c r="F696" s="28" t="str">
        <f t="array" ref="F696">_xlfn.XLOOKUP($A696, 'Medical Examinations'!$A:$A, 'Medical Examinations'!E:E, "No Data")</f>
        <v>No</v>
      </c>
      <c r="G696" s="28" t="str">
        <f t="array" ref="G696">_xlfn.XLOOKUP($A696, 'Medical Examinations'!$A:$A, 'Medical Examinations'!F:F, "No Data")</f>
        <v>No</v>
      </c>
      <c r="H696" s="28">
        <f t="array" ref="H696">_xlfn.XLOOKUP($A696, 'Medical Examinations'!$A:$A, 'Medical Examinations'!G:G, "No Data")</f>
        <v>3</v>
      </c>
      <c r="I696" s="28" t="str">
        <f t="array" ref="I696">_xlfn.XLOOKUP($A696, 'Medical Examinations'!$A:$A, 'Medical Examinations'!H:H, "No Data")</f>
        <v>No</v>
      </c>
      <c r="J696" s="28" t="str">
        <f t="array" ref="J696">_xlfn.XLOOKUP($A696, 'Medical Examinations'!$A:$A, 'Medical Examinations'!I:I, "No Data")</f>
        <v>Obesity</v>
      </c>
      <c r="K696" s="28" t="str">
        <f t="array" ref="K696">_xlfn.XLOOKUP($A696, 'Hospitalisation Details'!$A:$A, 'Hospitalisation Details'!I:I, "No Data")</f>
        <v>tier - 3</v>
      </c>
      <c r="L696" s="28" t="str">
        <f t="array" ref="L696">_xlfn.XLOOKUP($A696, 'Hospitalisation Details'!$A:$A, 'Hospitalisation Details'!J:J, "No Data")</f>
        <v>R1013</v>
      </c>
      <c r="M696" s="28" t="str">
        <f t="array" ref="M696">_xlfn.XLOOKUP($A696, 'Hospitalisation Details'!$A:$A, 'Hospitalisation Details'!E:E, "No Data")</f>
        <v>20/09/58</v>
      </c>
      <c r="N696" s="28">
        <f t="array" ref="N696">_xlfn.XLOOKUP($A696, 'Hospitalisation Details'!$A:$A, 'Hospitalisation Details'!K:K, "No Data")</f>
        <v>64</v>
      </c>
      <c r="O696" s="33">
        <f t="array" ref="O696">_xlfn.XLOOKUP($A696, 'Hospitalisation Details'!$A:$A, 'Hospitalisation Details'!G:G, "No Data")</f>
        <v>14418.28</v>
      </c>
      <c r="P696" s="28" t="str">
        <f t="array" ref="P696">_xlfn.XLOOKUP($A696, 'Hospitalisation Details'!$A:$A, 'Hospitalisation Details'!H:H, "No Data")</f>
        <v>tier - 2</v>
      </c>
    </row>
    <row r="697">
      <c r="A697" s="25" t="s">
        <v>2217</v>
      </c>
      <c r="B697" s="28" t="str">
        <f t="array" ref="B697">_xlfn.XLOOKUP($A697, 'Customer Names'!$A:$A, 'Customer Names'!B:B, "No Data")</f>
        <v>Power</v>
      </c>
      <c r="C697" s="28">
        <f t="array" ref="C697">_xlfn.XLOOKUP($A697, 'Medical Examinations'!$A:$A, 'Medical Examinations'!B:B, "No Data")</f>
        <v>38.19</v>
      </c>
      <c r="D697" s="28">
        <f t="array" ref="D697">_xlfn.XLOOKUP($A697, 'Medical Examinations'!$A:$A, 'Medical Examinations'!C:C, "No Data")</f>
        <v>10.49</v>
      </c>
      <c r="E697" s="28" t="str">
        <f t="array" ref="E697">_xlfn.XLOOKUP($A697, 'Medical Examinations'!$A:$A, 'Medical Examinations'!D:D, "No Data")</f>
        <v>No</v>
      </c>
      <c r="F697" s="28" t="str">
        <f t="array" ref="F697">_xlfn.XLOOKUP($A697, 'Medical Examinations'!$A:$A, 'Medical Examinations'!E:E, "No Data")</f>
        <v>No</v>
      </c>
      <c r="G697" s="28" t="str">
        <f t="array" ref="G697">_xlfn.XLOOKUP($A697, 'Medical Examinations'!$A:$A, 'Medical Examinations'!F:F, "No Data")</f>
        <v>No</v>
      </c>
      <c r="H697" s="28">
        <f t="array" ref="H697">_xlfn.XLOOKUP($A697, 'Medical Examinations'!$A:$A, 'Medical Examinations'!G:G, "No Data")</f>
        <v>3</v>
      </c>
      <c r="I697" s="28" t="str">
        <f t="array" ref="I697">_xlfn.XLOOKUP($A697, 'Medical Examinations'!$A:$A, 'Medical Examinations'!H:H, "No Data")</f>
        <v>No</v>
      </c>
      <c r="J697" s="28" t="str">
        <f t="array" ref="J697">_xlfn.XLOOKUP($A697, 'Medical Examinations'!$A:$A, 'Medical Examinations'!I:I, "No Data")</f>
        <v>Obesity</v>
      </c>
      <c r="K697" s="28" t="str">
        <f t="array" ref="K697">_xlfn.XLOOKUP($A697, 'Hospitalisation Details'!$A:$A, 'Hospitalisation Details'!I:I, "No Data")</f>
        <v>tier - 2</v>
      </c>
      <c r="L697" s="28" t="str">
        <f t="array" ref="L697">_xlfn.XLOOKUP($A697, 'Hospitalisation Details'!$A:$A, 'Hospitalisation Details'!J:J, "No Data")</f>
        <v>R1016</v>
      </c>
      <c r="M697" s="28" t="str">
        <f t="array" ref="M697">_xlfn.XLOOKUP($A697, 'Hospitalisation Details'!$A:$A, 'Hospitalisation Details'!E:E, "No Data")</f>
        <v>29/07/58</v>
      </c>
      <c r="N697" s="28">
        <f t="array" ref="N697">_xlfn.XLOOKUP($A697, 'Hospitalisation Details'!$A:$A, 'Hospitalisation Details'!K:K, "No Data")</f>
        <v>64</v>
      </c>
      <c r="O697" s="33">
        <f t="array" ref="O697">_xlfn.XLOOKUP($A697, 'Hospitalisation Details'!$A:$A, 'Hospitalisation Details'!G:G, "No Data")</f>
        <v>14410.93</v>
      </c>
      <c r="P697" s="28" t="str">
        <f t="array" ref="P697">_xlfn.XLOOKUP($A697, 'Hospitalisation Details'!$A:$A, 'Hospitalisation Details'!H:H, "No Data")</f>
        <v>tier - 2</v>
      </c>
    </row>
    <row r="698">
      <c r="A698" s="25" t="s">
        <v>2221</v>
      </c>
      <c r="B698" s="28" t="str">
        <f t="array" ref="B698">_xlfn.XLOOKUP($A698, 'Customer Names'!$A:$A, 'Customer Names'!B:B, "No Data")</f>
        <v>Routon</v>
      </c>
      <c r="C698" s="28">
        <f t="array" ref="C698">_xlfn.XLOOKUP($A698, 'Medical Examinations'!$A:$A, 'Medical Examinations'!B:B, "No Data")</f>
        <v>26.41</v>
      </c>
      <c r="D698" s="28">
        <f t="array" ref="D698">_xlfn.XLOOKUP($A698, 'Medical Examinations'!$A:$A, 'Medical Examinations'!C:C, "No Data")</f>
        <v>8.11</v>
      </c>
      <c r="E698" s="28" t="str">
        <f t="array" ref="E698">_xlfn.XLOOKUP($A698, 'Medical Examinations'!$A:$A, 'Medical Examinations'!D:D, "No Data")</f>
        <v>No</v>
      </c>
      <c r="F698" s="28" t="str">
        <f t="array" ref="F698">_xlfn.XLOOKUP($A698, 'Medical Examinations'!$A:$A, 'Medical Examinations'!E:E, "No Data")</f>
        <v>No</v>
      </c>
      <c r="G698" s="28" t="str">
        <f t="array" ref="G698">_xlfn.XLOOKUP($A698, 'Medical Examinations'!$A:$A, 'Medical Examinations'!F:F, "No Data")</f>
        <v>No</v>
      </c>
      <c r="H698" s="28">
        <f t="array" ref="H698">_xlfn.XLOOKUP($A698, 'Medical Examinations'!$A:$A, 'Medical Examinations'!G:G, "No Data")</f>
        <v>3</v>
      </c>
      <c r="I698" s="28" t="str">
        <f t="array" ref="I698">_xlfn.XLOOKUP($A698, 'Medical Examinations'!$A:$A, 'Medical Examinations'!H:H, "No Data")</f>
        <v>No</v>
      </c>
      <c r="J698" s="28" t="str">
        <f t="array" ref="J698">_xlfn.XLOOKUP($A698, 'Medical Examinations'!$A:$A, 'Medical Examinations'!I:I, "No Data")</f>
        <v>Overweight</v>
      </c>
      <c r="K698" s="28" t="str">
        <f t="array" ref="K698">_xlfn.XLOOKUP($A698, 'Hospitalisation Details'!$A:$A, 'Hospitalisation Details'!I:I, "No Data")</f>
        <v>tier - 1</v>
      </c>
      <c r="L698" s="28" t="str">
        <f t="array" ref="L698">_xlfn.XLOOKUP($A698, 'Hospitalisation Details'!$A:$A, 'Hospitalisation Details'!J:J, "No Data")</f>
        <v>R1018</v>
      </c>
      <c r="M698" s="28" t="str">
        <f t="array" ref="M698">_xlfn.XLOOKUP($A698, 'Hospitalisation Details'!$A:$A, 'Hospitalisation Details'!E:E, "No Data")</f>
        <v>14/09/58</v>
      </c>
      <c r="N698" s="28">
        <f t="array" ref="N698">_xlfn.XLOOKUP($A698, 'Hospitalisation Details'!$A:$A, 'Hospitalisation Details'!K:K, "No Data")</f>
        <v>64</v>
      </c>
      <c r="O698" s="33">
        <f t="array" ref="O698">_xlfn.XLOOKUP($A698, 'Hospitalisation Details'!$A:$A, 'Hospitalisation Details'!G:G, "No Data")</f>
        <v>14394.56</v>
      </c>
      <c r="P698" s="28" t="str">
        <f t="array" ref="P698">_xlfn.XLOOKUP($A698, 'Hospitalisation Details'!$A:$A, 'Hospitalisation Details'!H:H, "No Data")</f>
        <v>tier - 2</v>
      </c>
    </row>
    <row r="699">
      <c r="A699" s="25" t="s">
        <v>2225</v>
      </c>
      <c r="B699" s="28" t="str">
        <f t="array" ref="B699">_xlfn.XLOOKUP($A699, 'Customer Names'!$A:$A, 'Customer Names'!B:B, "No Data")</f>
        <v>Dochelli</v>
      </c>
      <c r="C699" s="28">
        <f t="array" ref="C699">_xlfn.XLOOKUP($A699, 'Medical Examinations'!$A:$A, 'Medical Examinations'!B:B, "No Data")</f>
        <v>28.785</v>
      </c>
      <c r="D699" s="28">
        <f t="array" ref="D699">_xlfn.XLOOKUP($A699, 'Medical Examinations'!$A:$A, 'Medical Examinations'!C:C, "No Data")</f>
        <v>6.6</v>
      </c>
      <c r="E699" s="28" t="str">
        <f t="array" ref="E699">_xlfn.XLOOKUP($A699, 'Medical Examinations'!$A:$A, 'Medical Examinations'!D:D, "No Data")</f>
        <v>No</v>
      </c>
      <c r="F699" s="28" t="str">
        <f t="array" ref="F699">_xlfn.XLOOKUP($A699, 'Medical Examinations'!$A:$A, 'Medical Examinations'!E:E, "No Data")</f>
        <v>No</v>
      </c>
      <c r="G699" s="28" t="str">
        <f t="array" ref="G699">_xlfn.XLOOKUP($A699, 'Medical Examinations'!$A:$A, 'Medical Examinations'!F:F, "No Data")</f>
        <v>No</v>
      </c>
      <c r="H699" s="28">
        <f t="array" ref="H699">_xlfn.XLOOKUP($A699, 'Medical Examinations'!$A:$A, 'Medical Examinations'!G:G, "No Data")</f>
        <v>0</v>
      </c>
      <c r="I699" s="28" t="str">
        <f t="array" ref="I699">_xlfn.XLOOKUP($A699, 'Medical Examinations'!$A:$A, 'Medical Examinations'!H:H, "No Data")</f>
        <v>No</v>
      </c>
      <c r="J699" s="28" t="str">
        <f t="array" ref="J699">_xlfn.XLOOKUP($A699, 'Medical Examinations'!$A:$A, 'Medical Examinations'!I:I, "No Data")</f>
        <v>Overweight</v>
      </c>
      <c r="K699" s="28" t="str">
        <f t="array" ref="K699">_xlfn.XLOOKUP($A699, 'Hospitalisation Details'!$A:$A, 'Hospitalisation Details'!I:I, "No Data")</f>
        <v>tier - 3</v>
      </c>
      <c r="L699" s="28" t="str">
        <f t="array" ref="L699">_xlfn.XLOOKUP($A699, 'Hospitalisation Details'!$A:$A, 'Hospitalisation Details'!J:J, "No Data")</f>
        <v>R1024</v>
      </c>
      <c r="M699" s="28" t="str">
        <f t="array" ref="M699">_xlfn.XLOOKUP($A699, 'Hospitalisation Details'!$A:$A, 'Hospitalisation Details'!E:E, "No Data")</f>
        <v>22/06/65</v>
      </c>
      <c r="N699" s="28">
        <f t="array" ref="N699">_xlfn.XLOOKUP($A699, 'Hospitalisation Details'!$A:$A, 'Hospitalisation Details'!K:K, "No Data")</f>
        <v>57</v>
      </c>
      <c r="O699" s="33">
        <f t="array" ref="O699">_xlfn.XLOOKUP($A699, 'Hospitalisation Details'!$A:$A, 'Hospitalisation Details'!G:G, "No Data")</f>
        <v>14394.4</v>
      </c>
      <c r="P699" s="28" t="str">
        <f t="array" ref="P699">_xlfn.XLOOKUP($A699, 'Hospitalisation Details'!$A:$A, 'Hospitalisation Details'!H:H, "No Data")</f>
        <v>tier - 2</v>
      </c>
    </row>
    <row r="700">
      <c r="A700" s="25" t="s">
        <v>2228</v>
      </c>
      <c r="B700" s="28" t="str">
        <f t="array" ref="B700">_xlfn.XLOOKUP($A700, 'Customer Names'!$A:$A, 'Customer Names'!B:B, "No Data")</f>
        <v>Gillespie</v>
      </c>
      <c r="C700" s="28">
        <f t="array" ref="C700">_xlfn.XLOOKUP($A700, 'Medical Examinations'!$A:$A, 'Medical Examinations'!B:B, "No Data")</f>
        <v>26.695</v>
      </c>
      <c r="D700" s="28">
        <f t="array" ref="D700">_xlfn.XLOOKUP($A700, 'Medical Examinations'!$A:$A, 'Medical Examinations'!C:C, "No Data")</f>
        <v>10.14</v>
      </c>
      <c r="E700" s="28" t="str">
        <f t="array" ref="E700">_xlfn.XLOOKUP($A700, 'Medical Examinations'!$A:$A, 'Medical Examinations'!D:D, "No Data")</f>
        <v>yes</v>
      </c>
      <c r="F700" s="28" t="str">
        <f t="array" ref="F700">_xlfn.XLOOKUP($A700, 'Medical Examinations'!$A:$A, 'Medical Examinations'!E:E, "No Data")</f>
        <v>No</v>
      </c>
      <c r="G700" s="28" t="str">
        <f t="array" ref="G700">_xlfn.XLOOKUP($A700, 'Medical Examinations'!$A:$A, 'Medical Examinations'!F:F, "No Data")</f>
        <v>Yes</v>
      </c>
      <c r="H700" s="28">
        <f t="array" ref="H700">_xlfn.XLOOKUP($A700, 'Medical Examinations'!$A:$A, 'Medical Examinations'!G:G, "No Data")</f>
        <v>1</v>
      </c>
      <c r="I700" s="28" t="str">
        <f t="array" ref="I700">_xlfn.XLOOKUP($A700, 'Medical Examinations'!$A:$A, 'Medical Examinations'!H:H, "No Data")</f>
        <v>No</v>
      </c>
      <c r="J700" s="28" t="str">
        <f t="array" ref="J700">_xlfn.XLOOKUP($A700, 'Medical Examinations'!$A:$A, 'Medical Examinations'!I:I, "No Data")</f>
        <v>Overweight</v>
      </c>
      <c r="K700" s="28" t="str">
        <f t="array" ref="K700">_xlfn.XLOOKUP($A700, 'Hospitalisation Details'!$A:$A, 'Hospitalisation Details'!I:I, "No Data")</f>
        <v>tier - 2</v>
      </c>
      <c r="L700" s="28" t="str">
        <f t="array" ref="L700">_xlfn.XLOOKUP($A700, 'Hospitalisation Details'!$A:$A, 'Hospitalisation Details'!J:J, "No Data")</f>
        <v>R1012</v>
      </c>
      <c r="M700" s="28" t="str">
        <f t="array" ref="M700">_xlfn.XLOOKUP($A700, 'Hospitalisation Details'!$A:$A, 'Hospitalisation Details'!E:E, "No Data")</f>
        <v>16/07/63</v>
      </c>
      <c r="N700" s="28">
        <f t="array" ref="N700">_xlfn.XLOOKUP($A700, 'Hospitalisation Details'!$A:$A, 'Hospitalisation Details'!K:K, "No Data")</f>
        <v>59</v>
      </c>
      <c r="O700" s="33">
        <f t="array" ref="O700">_xlfn.XLOOKUP($A700, 'Hospitalisation Details'!$A:$A, 'Hospitalisation Details'!G:G, "No Data")</f>
        <v>14382.71</v>
      </c>
      <c r="P700" s="28" t="str">
        <f t="array" ref="P700">_xlfn.XLOOKUP($A700, 'Hospitalisation Details'!$A:$A, 'Hospitalisation Details'!H:H, "No Data")</f>
        <v>tier - 2</v>
      </c>
    </row>
    <row r="701">
      <c r="A701" s="25" t="s">
        <v>2231</v>
      </c>
      <c r="B701" s="28" t="str">
        <f t="array" ref="B701">_xlfn.XLOOKUP($A701, 'Customer Names'!$A:$A, 'Customer Names'!B:B, "No Data")</f>
        <v>Oskvig</v>
      </c>
      <c r="C701" s="28">
        <f t="array" ref="C701">_xlfn.XLOOKUP($A701, 'Medical Examinations'!$A:$A, 'Medical Examinations'!B:B, "No Data")</f>
        <v>32.8</v>
      </c>
      <c r="D701" s="28">
        <f t="array" ref="D701">_xlfn.XLOOKUP($A701, 'Medical Examinations'!$A:$A, 'Medical Examinations'!C:C, "No Data")</f>
        <v>6.06</v>
      </c>
      <c r="E701" s="28" t="str">
        <f t="array" ref="E701">_xlfn.XLOOKUP($A701, 'Medical Examinations'!$A:$A, 'Medical Examinations'!D:D, "No Data")</f>
        <v>yes</v>
      </c>
      <c r="F701" s="28" t="str">
        <f t="array" ref="F701">_xlfn.XLOOKUP($A701, 'Medical Examinations'!$A:$A, 'Medical Examinations'!E:E, "No Data")</f>
        <v>No</v>
      </c>
      <c r="G701" s="28" t="str">
        <f t="array" ref="G701">_xlfn.XLOOKUP($A701, 'Medical Examinations'!$A:$A, 'Medical Examinations'!F:F, "No Data")</f>
        <v>No</v>
      </c>
      <c r="H701" s="28">
        <f t="array" ref="H701">_xlfn.XLOOKUP($A701, 'Medical Examinations'!$A:$A, 'Medical Examinations'!G:G, "No Data")</f>
        <v>1</v>
      </c>
      <c r="I701" s="28" t="str">
        <f t="array" ref="I701">_xlfn.XLOOKUP($A701, 'Medical Examinations'!$A:$A, 'Medical Examinations'!H:H, "No Data")</f>
        <v>No</v>
      </c>
      <c r="J701" s="28" t="str">
        <f t="array" ref="J701">_xlfn.XLOOKUP($A701, 'Medical Examinations'!$A:$A, 'Medical Examinations'!I:I, "No Data")</f>
        <v>Obesity</v>
      </c>
      <c r="K701" s="28" t="str">
        <f t="array" ref="K701">_xlfn.XLOOKUP($A701, 'Hospitalisation Details'!$A:$A, 'Hospitalisation Details'!I:I, "No Data")</f>
        <v>tier - 2</v>
      </c>
      <c r="L701" s="28" t="str">
        <f t="array" ref="L701">_xlfn.XLOOKUP($A701, 'Hospitalisation Details'!$A:$A, 'Hospitalisation Details'!J:J, "No Data")</f>
        <v>R1011</v>
      </c>
      <c r="M701" s="28" t="str">
        <f t="array" ref="M701">_xlfn.XLOOKUP($A701, 'Hospitalisation Details'!$A:$A, 'Hospitalisation Details'!E:E, "No Data")</f>
        <v>16/11/88</v>
      </c>
      <c r="N701" s="28">
        <f t="array" ref="N701">_xlfn.XLOOKUP($A701, 'Hospitalisation Details'!$A:$A, 'Hospitalisation Details'!K:K, "No Data")</f>
        <v>34</v>
      </c>
      <c r="O701" s="33">
        <f t="array" ref="O701">_xlfn.XLOOKUP($A701, 'Hospitalisation Details'!$A:$A, 'Hospitalisation Details'!G:G, "No Data")</f>
        <v>14358.36</v>
      </c>
      <c r="P701" s="28" t="str">
        <f t="array" ref="P701">_xlfn.XLOOKUP($A701, 'Hospitalisation Details'!$A:$A, 'Hospitalisation Details'!H:H, "No Data")</f>
        <v>tier - 2</v>
      </c>
    </row>
    <row r="702">
      <c r="A702" s="25" t="s">
        <v>2235</v>
      </c>
      <c r="B702" s="28" t="str">
        <f t="array" ref="B702">_xlfn.XLOOKUP($A702, 'Customer Names'!$A:$A, 'Customer Names'!B:B, "No Data")</f>
        <v>Holland-Stergar</v>
      </c>
      <c r="C702" s="28">
        <f t="array" ref="C702">_xlfn.XLOOKUP($A702, 'Medical Examinations'!$A:$A, 'Medical Examinations'!B:B, "No Data")</f>
        <v>35.87</v>
      </c>
      <c r="D702" s="28">
        <f t="array" ref="D702">_xlfn.XLOOKUP($A702, 'Medical Examinations'!$A:$A, 'Medical Examinations'!C:C, "No Data")</f>
        <v>9.91</v>
      </c>
      <c r="E702" s="28" t="str">
        <f t="array" ref="E702">_xlfn.XLOOKUP($A702, 'Medical Examinations'!$A:$A, 'Medical Examinations'!D:D, "No Data")</f>
        <v>yes</v>
      </c>
      <c r="F702" s="28" t="str">
        <f t="array" ref="F702">_xlfn.XLOOKUP($A702, 'Medical Examinations'!$A:$A, 'Medical Examinations'!E:E, "No Data")</f>
        <v>No</v>
      </c>
      <c r="G702" s="28" t="str">
        <f t="array" ref="G702">_xlfn.XLOOKUP($A702, 'Medical Examinations'!$A:$A, 'Medical Examinations'!F:F, "No Data")</f>
        <v>No</v>
      </c>
      <c r="H702" s="28">
        <f t="array" ref="H702">_xlfn.XLOOKUP($A702, 'Medical Examinations'!$A:$A, 'Medical Examinations'!G:G, "No Data")</f>
        <v>0</v>
      </c>
      <c r="I702" s="28" t="str">
        <f t="array" ref="I702">_xlfn.XLOOKUP($A702, 'Medical Examinations'!$A:$A, 'Medical Examinations'!H:H, "No Data")</f>
        <v>No</v>
      </c>
      <c r="J702" s="28" t="str">
        <f t="array" ref="J702">_xlfn.XLOOKUP($A702, 'Medical Examinations'!$A:$A, 'Medical Examinations'!I:I, "No Data")</f>
        <v>Obesity</v>
      </c>
      <c r="K702" s="28" t="str">
        <f t="array" ref="K702">_xlfn.XLOOKUP($A702, 'Hospitalisation Details'!$A:$A, 'Hospitalisation Details'!I:I, "No Data")</f>
        <v>tier - 1</v>
      </c>
      <c r="L702" s="28" t="str">
        <f t="array" ref="L702">_xlfn.XLOOKUP($A702, 'Hospitalisation Details'!$A:$A, 'Hospitalisation Details'!J:J, "No Data")</f>
        <v>R1026</v>
      </c>
      <c r="M702" s="28" t="str">
        <f t="array" ref="M702">_xlfn.XLOOKUP($A702, 'Hospitalisation Details'!$A:$A, 'Hospitalisation Details'!E:E, "No Data")</f>
        <v>10/10/67</v>
      </c>
      <c r="N702" s="28">
        <f t="array" ref="N702">_xlfn.XLOOKUP($A702, 'Hospitalisation Details'!$A:$A, 'Hospitalisation Details'!K:K, "No Data")</f>
        <v>55</v>
      </c>
      <c r="O702" s="33">
        <f t="array" ref="O702">_xlfn.XLOOKUP($A702, 'Hospitalisation Details'!$A:$A, 'Hospitalisation Details'!G:G, "No Data")</f>
        <v>14355.43</v>
      </c>
      <c r="P702" s="28" t="str">
        <f t="array" ref="P702">_xlfn.XLOOKUP($A702, 'Hospitalisation Details'!$A:$A, 'Hospitalisation Details'!H:H, "No Data")</f>
        <v>tier - 2</v>
      </c>
    </row>
    <row r="703">
      <c r="A703" s="25" t="s">
        <v>2239</v>
      </c>
      <c r="B703" s="28" t="str">
        <f t="array" ref="B703">_xlfn.XLOOKUP($A703, 'Customer Names'!$A:$A, 'Customer Names'!B:B, "No Data")</f>
        <v>Arai</v>
      </c>
      <c r="C703" s="28">
        <f t="array" ref="C703">_xlfn.XLOOKUP($A703, 'Medical Examinations'!$A:$A, 'Medical Examinations'!B:B, "No Data")</f>
        <v>21.66</v>
      </c>
      <c r="D703" s="28">
        <f t="array" ref="D703">_xlfn.XLOOKUP($A703, 'Medical Examinations'!$A:$A, 'Medical Examinations'!C:C, "No Data")</f>
        <v>4.14</v>
      </c>
      <c r="E703" s="28" t="str">
        <f t="array" ref="E703">_xlfn.XLOOKUP($A703, 'Medical Examinations'!$A:$A, 'Medical Examinations'!D:D, "No Data")</f>
        <v>yes</v>
      </c>
      <c r="F703" s="28" t="str">
        <f t="array" ref="F703">_xlfn.XLOOKUP($A703, 'Medical Examinations'!$A:$A, 'Medical Examinations'!E:E, "No Data")</f>
        <v>No</v>
      </c>
      <c r="G703" s="28" t="str">
        <f t="array" ref="G703">_xlfn.XLOOKUP($A703, 'Medical Examinations'!$A:$A, 'Medical Examinations'!F:F, "No Data")</f>
        <v>No</v>
      </c>
      <c r="H703" s="28">
        <f t="array" ref="H703">_xlfn.XLOOKUP($A703, 'Medical Examinations'!$A:$A, 'Medical Examinations'!G:G, "No Data")</f>
        <v>2</v>
      </c>
      <c r="I703" s="28" t="str">
        <f t="array" ref="I703">_xlfn.XLOOKUP($A703, 'Medical Examinations'!$A:$A, 'Medical Examinations'!H:H, "No Data")</f>
        <v>No</v>
      </c>
      <c r="J703" s="28" t="str">
        <f t="array" ref="J703">_xlfn.XLOOKUP($A703, 'Medical Examinations'!$A:$A, 'Medical Examinations'!I:I, "No Data")</f>
        <v>Normal Weight</v>
      </c>
      <c r="K703" s="28" t="str">
        <f t="array" ref="K703">_xlfn.XLOOKUP($A703, 'Hospitalisation Details'!$A:$A, 'Hospitalisation Details'!I:I, "No Data")</f>
        <v>tier - 2</v>
      </c>
      <c r="L703" s="28" t="str">
        <f t="array" ref="L703">_xlfn.XLOOKUP($A703, 'Hospitalisation Details'!$A:$A, 'Hospitalisation Details'!J:J, "No Data")</f>
        <v>R1012</v>
      </c>
      <c r="M703" s="28" t="str">
        <f t="array" ref="M703">_xlfn.XLOOKUP($A703, 'Hospitalisation Details'!$A:$A, 'Hospitalisation Details'!E:E, "No Data")</f>
        <v>24/12/59</v>
      </c>
      <c r="N703" s="28">
        <f t="array" ref="N703">_xlfn.XLOOKUP($A703, 'Hospitalisation Details'!$A:$A, 'Hospitalisation Details'!K:K, "No Data")</f>
        <v>63</v>
      </c>
      <c r="O703" s="33">
        <f t="array" ref="O703">_xlfn.XLOOKUP($A703, 'Hospitalisation Details'!$A:$A, 'Hospitalisation Details'!G:G, "No Data")</f>
        <v>14349.85</v>
      </c>
      <c r="P703" s="28" t="str">
        <f t="array" ref="P703">_xlfn.XLOOKUP($A703, 'Hospitalisation Details'!$A:$A, 'Hospitalisation Details'!H:H, "No Data")</f>
        <v>tier - 2</v>
      </c>
    </row>
    <row r="704">
      <c r="A704" s="25" t="s">
        <v>2242</v>
      </c>
      <c r="B704" s="28" t="str">
        <f t="array" ref="B704">_xlfn.XLOOKUP($A704, 'Customer Names'!$A:$A, 'Customer Names'!B:B, "No Data")</f>
        <v>Olausson</v>
      </c>
      <c r="C704" s="28">
        <f t="array" ref="C704">_xlfn.XLOOKUP($A704, 'Medical Examinations'!$A:$A, 'Medical Examinations'!B:B, "No Data")</f>
        <v>37.72</v>
      </c>
      <c r="D704" s="28">
        <f t="array" ref="D704">_xlfn.XLOOKUP($A704, 'Medical Examinations'!$A:$A, 'Medical Examinations'!C:C, "No Data")</f>
        <v>4.38</v>
      </c>
      <c r="E704" s="28" t="str">
        <f t="array" ref="E704">_xlfn.XLOOKUP($A704, 'Medical Examinations'!$A:$A, 'Medical Examinations'!D:D, "No Data")</f>
        <v>yes</v>
      </c>
      <c r="F704" s="28" t="str">
        <f t="array" ref="F704">_xlfn.XLOOKUP($A704, 'Medical Examinations'!$A:$A, 'Medical Examinations'!E:E, "No Data")</f>
        <v>No</v>
      </c>
      <c r="G704" s="28" t="str">
        <f t="array" ref="G704">_xlfn.XLOOKUP($A704, 'Medical Examinations'!$A:$A, 'Medical Examinations'!F:F, "No Data")</f>
        <v>Yes</v>
      </c>
      <c r="H704" s="28">
        <f t="array" ref="H704">_xlfn.XLOOKUP($A704, 'Medical Examinations'!$A:$A, 'Medical Examinations'!G:G, "No Data")</f>
        <v>1</v>
      </c>
      <c r="I704" s="28" t="str">
        <f t="array" ref="I704">_xlfn.XLOOKUP($A704, 'Medical Examinations'!$A:$A, 'Medical Examinations'!H:H, "No Data")</f>
        <v>No</v>
      </c>
      <c r="J704" s="28" t="str">
        <f t="array" ref="J704">_xlfn.XLOOKUP($A704, 'Medical Examinations'!$A:$A, 'Medical Examinations'!I:I, "No Data")</f>
        <v>Obesity</v>
      </c>
      <c r="K704" s="28" t="str">
        <f t="array" ref="K704">_xlfn.XLOOKUP($A704, 'Hospitalisation Details'!$A:$A, 'Hospitalisation Details'!I:I, "No Data")</f>
        <v>tier - 3</v>
      </c>
      <c r="L704" s="28" t="str">
        <f t="array" ref="L704">_xlfn.XLOOKUP($A704, 'Hospitalisation Details'!$A:$A, 'Hospitalisation Details'!J:J, "No Data")</f>
        <v>R1022</v>
      </c>
      <c r="M704" s="28" t="str">
        <f t="array" ref="M704">_xlfn.XLOOKUP($A704, 'Hospitalisation Details'!$A:$A, 'Hospitalisation Details'!E:E, "No Data")</f>
        <v>26/09/69</v>
      </c>
      <c r="N704" s="28">
        <f t="array" ref="N704">_xlfn.XLOOKUP($A704, 'Hospitalisation Details'!$A:$A, 'Hospitalisation Details'!K:K, "No Data")</f>
        <v>53</v>
      </c>
      <c r="O704" s="33">
        <f t="array" ref="O704">_xlfn.XLOOKUP($A704, 'Hospitalisation Details'!$A:$A, 'Hospitalisation Details'!G:G, "No Data")</f>
        <v>14337.91</v>
      </c>
      <c r="P704" s="28" t="str">
        <f t="array" ref="P704">_xlfn.XLOOKUP($A704, 'Hospitalisation Details'!$A:$A, 'Hospitalisation Details'!H:H, "No Data")</f>
        <v>tier - 2</v>
      </c>
    </row>
    <row r="705">
      <c r="A705" s="25" t="s">
        <v>2246</v>
      </c>
      <c r="B705" s="28" t="str">
        <f t="array" ref="B705">_xlfn.XLOOKUP($A705, 'Customer Names'!$A:$A, 'Customer Names'!B:B, "No Data")</f>
        <v>Wagner</v>
      </c>
      <c r="C705" s="28">
        <f t="array" ref="C705">_xlfn.XLOOKUP($A705, 'Medical Examinations'!$A:$A, 'Medical Examinations'!B:B, "No Data")</f>
        <v>39.7</v>
      </c>
      <c r="D705" s="28">
        <f t="array" ref="D705">_xlfn.XLOOKUP($A705, 'Medical Examinations'!$A:$A, 'Medical Examinations'!C:C, "No Data")</f>
        <v>9.83</v>
      </c>
      <c r="E705" s="28" t="str">
        <f t="array" ref="E705">_xlfn.XLOOKUP($A705, 'Medical Examinations'!$A:$A, 'Medical Examinations'!D:D, "No Data")</f>
        <v>No</v>
      </c>
      <c r="F705" s="28" t="str">
        <f t="array" ref="F705">_xlfn.XLOOKUP($A705, 'Medical Examinations'!$A:$A, 'Medical Examinations'!E:E, "No Data")</f>
        <v>No</v>
      </c>
      <c r="G705" s="28" t="str">
        <f t="array" ref="G705">_xlfn.XLOOKUP($A705, 'Medical Examinations'!$A:$A, 'Medical Examinations'!F:F, "No Data")</f>
        <v>No</v>
      </c>
      <c r="H705" s="28">
        <f t="array" ref="H705">_xlfn.XLOOKUP($A705, 'Medical Examinations'!$A:$A, 'Medical Examinations'!G:G, "No Data")</f>
        <v>3</v>
      </c>
      <c r="I705" s="28" t="str">
        <f t="array" ref="I705">_xlfn.XLOOKUP($A705, 'Medical Examinations'!$A:$A, 'Medical Examinations'!H:H, "No Data")</f>
        <v>No</v>
      </c>
      <c r="J705" s="28" t="str">
        <f t="array" ref="J705">_xlfn.XLOOKUP($A705, 'Medical Examinations'!$A:$A, 'Medical Examinations'!I:I, "No Data")</f>
        <v>Obesity</v>
      </c>
      <c r="K705" s="28" t="str">
        <f t="array" ref="K705">_xlfn.XLOOKUP($A705, 'Hospitalisation Details'!$A:$A, 'Hospitalisation Details'!I:I, "No Data")</f>
        <v>tier - 2</v>
      </c>
      <c r="L705" s="28" t="str">
        <f t="array" ref="L705">_xlfn.XLOOKUP($A705, 'Hospitalisation Details'!$A:$A, 'Hospitalisation Details'!J:J, "No Data")</f>
        <v>R1011</v>
      </c>
      <c r="M705" s="28" t="str">
        <f t="array" ref="M705">_xlfn.XLOOKUP($A705, 'Hospitalisation Details'!$A:$A, 'Hospitalisation Details'!E:E, "No Data")</f>
        <v>10/07/58</v>
      </c>
      <c r="N705" s="28">
        <f t="array" ref="N705">_xlfn.XLOOKUP($A705, 'Hospitalisation Details'!$A:$A, 'Hospitalisation Details'!K:K, "No Data")</f>
        <v>64</v>
      </c>
      <c r="O705" s="33">
        <f t="array" ref="O705">_xlfn.XLOOKUP($A705, 'Hospitalisation Details'!$A:$A, 'Hospitalisation Details'!G:G, "No Data")</f>
        <v>14319.03</v>
      </c>
      <c r="P705" s="28" t="str">
        <f t="array" ref="P705">_xlfn.XLOOKUP($A705, 'Hospitalisation Details'!$A:$A, 'Hospitalisation Details'!H:H, "No Data")</f>
        <v>tier - 2</v>
      </c>
    </row>
    <row r="706">
      <c r="A706" s="25" t="s">
        <v>2249</v>
      </c>
      <c r="B706" s="28" t="str">
        <f t="array" ref="B706">_xlfn.XLOOKUP($A706, 'Customer Names'!$A:$A, 'Customer Names'!B:B, "No Data")</f>
        <v>Delong</v>
      </c>
      <c r="C706" s="28">
        <f t="array" ref="C706">_xlfn.XLOOKUP($A706, 'Medical Examinations'!$A:$A, 'Medical Examinations'!B:B, "No Data")</f>
        <v>35.97</v>
      </c>
      <c r="D706" s="28">
        <f t="array" ref="D706">_xlfn.XLOOKUP($A706, 'Medical Examinations'!$A:$A, 'Medical Examinations'!C:C, "No Data")</f>
        <v>11.08</v>
      </c>
      <c r="E706" s="28" t="str">
        <f t="array" ref="E706">_xlfn.XLOOKUP($A706, 'Medical Examinations'!$A:$A, 'Medical Examinations'!D:D, "No Data")</f>
        <v>No</v>
      </c>
      <c r="F706" s="28" t="str">
        <f t="array" ref="F706">_xlfn.XLOOKUP($A706, 'Medical Examinations'!$A:$A, 'Medical Examinations'!E:E, "No Data")</f>
        <v>No</v>
      </c>
      <c r="G706" s="28" t="str">
        <f t="array" ref="G706">_xlfn.XLOOKUP($A706, 'Medical Examinations'!$A:$A, 'Medical Examinations'!F:F, "No Data")</f>
        <v>No</v>
      </c>
      <c r="H706" s="28">
        <f t="array" ref="H706">_xlfn.XLOOKUP($A706, 'Medical Examinations'!$A:$A, 'Medical Examinations'!G:G, "No Data")</f>
        <v>3</v>
      </c>
      <c r="I706" s="28" t="str">
        <f t="array" ref="I706">_xlfn.XLOOKUP($A706, 'Medical Examinations'!$A:$A, 'Medical Examinations'!H:H, "No Data")</f>
        <v>No</v>
      </c>
      <c r="J706" s="28" t="str">
        <f t="array" ref="J706">_xlfn.XLOOKUP($A706, 'Medical Examinations'!$A:$A, 'Medical Examinations'!I:I, "No Data")</f>
        <v>Obesity</v>
      </c>
      <c r="K706" s="28" t="str">
        <f t="array" ref="K706">_xlfn.XLOOKUP($A706, 'Hospitalisation Details'!$A:$A, 'Hospitalisation Details'!I:I, "No Data")</f>
        <v>tier - 3</v>
      </c>
      <c r="L706" s="28" t="str">
        <f t="array" ref="L706">_xlfn.XLOOKUP($A706, 'Hospitalisation Details'!$A:$A, 'Hospitalisation Details'!J:J, "No Data")</f>
        <v>R1013</v>
      </c>
      <c r="M706" s="28" t="str">
        <f t="array" ref="M706">_xlfn.XLOOKUP($A706, 'Hospitalisation Details'!$A:$A, 'Hospitalisation Details'!E:E, "No Data")</f>
        <v>15/10/58</v>
      </c>
      <c r="N706" s="28">
        <f t="array" ref="N706">_xlfn.XLOOKUP($A706, 'Hospitalisation Details'!$A:$A, 'Hospitalisation Details'!K:K, "No Data")</f>
        <v>64</v>
      </c>
      <c r="O706" s="33">
        <f t="array" ref="O706">_xlfn.XLOOKUP($A706, 'Hospitalisation Details'!$A:$A, 'Hospitalisation Details'!G:G, "No Data")</f>
        <v>14313.85</v>
      </c>
      <c r="P706" s="28" t="str">
        <f t="array" ref="P706">_xlfn.XLOOKUP($A706, 'Hospitalisation Details'!$A:$A, 'Hospitalisation Details'!H:H, "No Data")</f>
        <v>tier - 2</v>
      </c>
    </row>
    <row r="707">
      <c r="A707" s="25" t="s">
        <v>2252</v>
      </c>
      <c r="B707" s="28" t="str">
        <f t="array" ref="B707">_xlfn.XLOOKUP($A707, 'Customer Names'!$A:$A, 'Customer Names'!B:B, "No Data")</f>
        <v>Mehech</v>
      </c>
      <c r="C707" s="28">
        <f t="array" ref="C707">_xlfn.XLOOKUP($A707, 'Medical Examinations'!$A:$A, 'Medical Examinations'!B:B, "No Data")</f>
        <v>37.85</v>
      </c>
      <c r="D707" s="28">
        <f t="array" ref="D707">_xlfn.XLOOKUP($A707, 'Medical Examinations'!$A:$A, 'Medical Examinations'!C:C, "No Data")</f>
        <v>11.01</v>
      </c>
      <c r="E707" s="28" t="str">
        <f t="array" ref="E707">_xlfn.XLOOKUP($A707, 'Medical Examinations'!$A:$A, 'Medical Examinations'!D:D, "No Data")</f>
        <v>No</v>
      </c>
      <c r="F707" s="28" t="str">
        <f t="array" ref="F707">_xlfn.XLOOKUP($A707, 'Medical Examinations'!$A:$A, 'Medical Examinations'!E:E, "No Data")</f>
        <v>No</v>
      </c>
      <c r="G707" s="28" t="str">
        <f t="array" ref="G707">_xlfn.XLOOKUP($A707, 'Medical Examinations'!$A:$A, 'Medical Examinations'!F:F, "No Data")</f>
        <v>No</v>
      </c>
      <c r="H707" s="28">
        <f t="array" ref="H707">_xlfn.XLOOKUP($A707, 'Medical Examinations'!$A:$A, 'Medical Examinations'!G:G, "No Data")</f>
        <v>0</v>
      </c>
      <c r="I707" s="28" t="str">
        <f t="array" ref="I707">_xlfn.XLOOKUP($A707, 'Medical Examinations'!$A:$A, 'Medical Examinations'!H:H, "No Data")</f>
        <v>No</v>
      </c>
      <c r="J707" s="28" t="str">
        <f t="array" ref="J707">_xlfn.XLOOKUP($A707, 'Medical Examinations'!$A:$A, 'Medical Examinations'!I:I, "No Data")</f>
        <v>Obesity</v>
      </c>
      <c r="K707" s="28" t="str">
        <f t="array" ref="K707">_xlfn.XLOOKUP($A707, 'Hospitalisation Details'!$A:$A, 'Hospitalisation Details'!I:I, "No Data")</f>
        <v>tier - 3</v>
      </c>
      <c r="L707" s="28" t="str">
        <f t="array" ref="L707">_xlfn.XLOOKUP($A707, 'Hospitalisation Details'!$A:$A, 'Hospitalisation Details'!J:J, "No Data")</f>
        <v>R1012</v>
      </c>
      <c r="M707" s="28" t="str">
        <f t="array" ref="M707">_xlfn.XLOOKUP($A707, 'Hospitalisation Details'!$A:$A, 'Hospitalisation Details'!E:E, "No Data")</f>
        <v>15/12/68</v>
      </c>
      <c r="N707" s="28">
        <f t="array" ref="N707">_xlfn.XLOOKUP($A707, 'Hospitalisation Details'!$A:$A, 'Hospitalisation Details'!K:K, "No Data")</f>
        <v>54</v>
      </c>
      <c r="O707" s="33">
        <f t="array" ref="O707">_xlfn.XLOOKUP($A707, 'Hospitalisation Details'!$A:$A, 'Hospitalisation Details'!G:G, "No Data")</f>
        <v>14285.9</v>
      </c>
      <c r="P707" s="28" t="str">
        <f t="array" ref="P707">_xlfn.XLOOKUP($A707, 'Hospitalisation Details'!$A:$A, 'Hospitalisation Details'!H:H, "No Data")</f>
        <v>tier - 2</v>
      </c>
    </row>
    <row r="708">
      <c r="A708" s="25" t="s">
        <v>2256</v>
      </c>
      <c r="B708" s="28" t="str">
        <f t="array" ref="B708">_xlfn.XLOOKUP($A708, 'Customer Names'!$A:$A, 'Customer Names'!B:B, "No Data")</f>
        <v>Machiela</v>
      </c>
      <c r="C708" s="28">
        <f t="array" ref="C708">_xlfn.XLOOKUP($A708, 'Medical Examinations'!$A:$A, 'Medical Examinations'!B:B, "No Data")</f>
        <v>21.66</v>
      </c>
      <c r="D708" s="28">
        <f t="array" ref="D708">_xlfn.XLOOKUP($A708, 'Medical Examinations'!$A:$A, 'Medical Examinations'!C:C, "No Data")</f>
        <v>4.37</v>
      </c>
      <c r="E708" s="28" t="str">
        <f t="array" ref="E708">_xlfn.XLOOKUP($A708, 'Medical Examinations'!$A:$A, 'Medical Examinations'!D:D, "No Data")</f>
        <v>No</v>
      </c>
      <c r="F708" s="28" t="str">
        <f t="array" ref="F708">_xlfn.XLOOKUP($A708, 'Medical Examinations'!$A:$A, 'Medical Examinations'!E:E, "No Data")</f>
        <v>yes</v>
      </c>
      <c r="G708" s="28" t="str">
        <f t="array" ref="G708">_xlfn.XLOOKUP($A708, 'Medical Examinations'!$A:$A, 'Medical Examinations'!F:F, "No Data")</f>
        <v>No</v>
      </c>
      <c r="H708" s="28">
        <f t="array" ref="H708">_xlfn.XLOOKUP($A708, 'Medical Examinations'!$A:$A, 'Medical Examinations'!G:G, "No Data")</f>
        <v>1</v>
      </c>
      <c r="I708" s="28" t="str">
        <f t="array" ref="I708">_xlfn.XLOOKUP($A708, 'Medical Examinations'!$A:$A, 'Medical Examinations'!H:H, "No Data")</f>
        <v>yes</v>
      </c>
      <c r="J708" s="28" t="str">
        <f t="array" ref="J708">_xlfn.XLOOKUP($A708, 'Medical Examinations'!$A:$A, 'Medical Examinations'!I:I, "No Data")</f>
        <v>Normal Weight</v>
      </c>
      <c r="K708" s="28" t="str">
        <f t="array" ref="K708">_xlfn.XLOOKUP($A708, 'Hospitalisation Details'!$A:$A, 'Hospitalisation Details'!I:I, "No Data")</f>
        <v>tier - 2</v>
      </c>
      <c r="L708" s="28" t="str">
        <f t="array" ref="L708">_xlfn.XLOOKUP($A708, 'Hospitalisation Details'!$A:$A, 'Hospitalisation Details'!J:J, "No Data")</f>
        <v>R1024</v>
      </c>
      <c r="M708" s="28" t="str">
        <f t="array" ref="M708">_xlfn.XLOOKUP($A708, 'Hospitalisation Details'!$A:$A, 'Hospitalisation Details'!E:E, "No Data")</f>
        <v>06/09/04</v>
      </c>
      <c r="N708" s="28">
        <f t="array" ref="N708">_xlfn.XLOOKUP($A708, 'Hospitalisation Details'!$A:$A, 'Hospitalisation Details'!K:K, "No Data")</f>
        <v>18</v>
      </c>
      <c r="O708" s="33">
        <f t="array" ref="O708">_xlfn.XLOOKUP($A708, 'Hospitalisation Details'!$A:$A, 'Hospitalisation Details'!G:G, "No Data")</f>
        <v>14283.46</v>
      </c>
      <c r="P708" s="28" t="str">
        <f t="array" ref="P708">_xlfn.XLOOKUP($A708, 'Hospitalisation Details'!$A:$A, 'Hospitalisation Details'!H:H, "No Data")</f>
        <v>tier - 2</v>
      </c>
    </row>
    <row r="709">
      <c r="A709" s="25" t="s">
        <v>2259</v>
      </c>
      <c r="B709" s="28" t="str">
        <f t="array" ref="B709">_xlfn.XLOOKUP($A709, 'Customer Names'!$A:$A, 'Customer Names'!B:B, "No Data")</f>
        <v>Young</v>
      </c>
      <c r="C709" s="28">
        <f t="array" ref="C709">_xlfn.XLOOKUP($A709, 'Medical Examinations'!$A:$A, 'Medical Examinations'!B:B, "No Data")</f>
        <v>39.37</v>
      </c>
      <c r="D709" s="28">
        <f t="array" ref="D709">_xlfn.XLOOKUP($A709, 'Medical Examinations'!$A:$A, 'Medical Examinations'!C:C, "No Data")</f>
        <v>5.91</v>
      </c>
      <c r="E709" s="28" t="str">
        <f t="array" ref="E709">_xlfn.XLOOKUP($A709, 'Medical Examinations'!$A:$A, 'Medical Examinations'!D:D, "No Data")</f>
        <v>No</v>
      </c>
      <c r="F709" s="28" t="str">
        <f t="array" ref="F709">_xlfn.XLOOKUP($A709, 'Medical Examinations'!$A:$A, 'Medical Examinations'!E:E, "No Data")</f>
        <v>No</v>
      </c>
      <c r="G709" s="28" t="str">
        <f t="array" ref="G709">_xlfn.XLOOKUP($A709, 'Medical Examinations'!$A:$A, 'Medical Examinations'!F:F, "No Data")</f>
        <v>No</v>
      </c>
      <c r="H709" s="28">
        <f t="array" ref="H709">_xlfn.XLOOKUP($A709, 'Medical Examinations'!$A:$A, 'Medical Examinations'!G:G, "No Data")</f>
        <v>2</v>
      </c>
      <c r="I709" s="28" t="str">
        <f t="array" ref="I709">_xlfn.XLOOKUP($A709, 'Medical Examinations'!$A:$A, 'Medical Examinations'!H:H, "No Data")</f>
        <v>No</v>
      </c>
      <c r="J709" s="28" t="str">
        <f t="array" ref="J709">_xlfn.XLOOKUP($A709, 'Medical Examinations'!$A:$A, 'Medical Examinations'!I:I, "No Data")</f>
        <v>Obesity</v>
      </c>
      <c r="K709" s="28" t="str">
        <f t="array" ref="K709">_xlfn.XLOOKUP($A709, 'Hospitalisation Details'!$A:$A, 'Hospitalisation Details'!I:I, "No Data")</f>
        <v>tier - 2</v>
      </c>
      <c r="L709" s="28" t="str">
        <f t="array" ref="L709">_xlfn.XLOOKUP($A709, 'Hospitalisation Details'!$A:$A, 'Hospitalisation Details'!J:J, "No Data")</f>
        <v>R1026</v>
      </c>
      <c r="M709" s="28" t="str">
        <f t="array" ref="M709">_xlfn.XLOOKUP($A709, 'Hospitalisation Details'!$A:$A, 'Hospitalisation Details'!E:E, "No Data")</f>
        <v>13/07/72</v>
      </c>
      <c r="N709" s="28">
        <f t="array" ref="N709">_xlfn.XLOOKUP($A709, 'Hospitalisation Details'!$A:$A, 'Hospitalisation Details'!K:K, "No Data")</f>
        <v>50</v>
      </c>
      <c r="O709" s="33">
        <f t="array" ref="O709">_xlfn.XLOOKUP($A709, 'Hospitalisation Details'!$A:$A, 'Hospitalisation Details'!G:G, "No Data")</f>
        <v>14258.33</v>
      </c>
      <c r="P709" s="28" t="str">
        <f t="array" ref="P709">_xlfn.XLOOKUP($A709, 'Hospitalisation Details'!$A:$A, 'Hospitalisation Details'!H:H, "No Data")</f>
        <v>tier - 2</v>
      </c>
    </row>
    <row r="710">
      <c r="A710" s="25" t="s">
        <v>2260</v>
      </c>
      <c r="B710" s="28" t="str">
        <f t="array" ref="B710">_xlfn.XLOOKUP($A710, 'Customer Names'!$A:$A, 'Customer Names'!B:B, "No Data")</f>
        <v>Dupere</v>
      </c>
      <c r="C710" s="28">
        <f t="array" ref="C710">_xlfn.XLOOKUP($A710, 'Medical Examinations'!$A:$A, 'Medical Examinations'!B:B, "No Data")</f>
        <v>40.88</v>
      </c>
      <c r="D710" s="28">
        <f t="array" ref="D710">_xlfn.XLOOKUP($A710, 'Medical Examinations'!$A:$A, 'Medical Examinations'!C:C, "No Data")</f>
        <v>7.65</v>
      </c>
      <c r="E710" s="28" t="str">
        <f t="array" ref="E710">_xlfn.XLOOKUP($A710, 'Medical Examinations'!$A:$A, 'Medical Examinations'!D:D, "No Data")</f>
        <v>No</v>
      </c>
      <c r="F710" s="28" t="str">
        <f t="array" ref="F710">_xlfn.XLOOKUP($A710, 'Medical Examinations'!$A:$A, 'Medical Examinations'!E:E, "No Data")</f>
        <v>No</v>
      </c>
      <c r="G710" s="28" t="str">
        <f t="array" ref="G710">_xlfn.XLOOKUP($A710, 'Medical Examinations'!$A:$A, 'Medical Examinations'!F:F, "No Data")</f>
        <v>No</v>
      </c>
      <c r="H710" s="28">
        <f t="array" ref="H710">_xlfn.XLOOKUP($A710, 'Medical Examinations'!$A:$A, 'Medical Examinations'!G:G, "No Data")</f>
        <v>0</v>
      </c>
      <c r="I710" s="28" t="str">
        <f t="array" ref="I710">_xlfn.XLOOKUP($A710, 'Medical Examinations'!$A:$A, 'Medical Examinations'!H:H, "No Data")</f>
        <v>No</v>
      </c>
      <c r="J710" s="28" t="str">
        <f t="array" ref="J710">_xlfn.XLOOKUP($A710, 'Medical Examinations'!$A:$A, 'Medical Examinations'!I:I, "No Data")</f>
        <v>Obesity</v>
      </c>
      <c r="K710" s="28" t="str">
        <f t="array" ref="K710">_xlfn.XLOOKUP($A710, 'Hospitalisation Details'!$A:$A, 'Hospitalisation Details'!I:I, "No Data")</f>
        <v>tier - 2</v>
      </c>
      <c r="L710" s="28" t="str">
        <f t="array" ref="L710">_xlfn.XLOOKUP($A710, 'Hospitalisation Details'!$A:$A, 'Hospitalisation Details'!J:J, "No Data")</f>
        <v>R1026</v>
      </c>
      <c r="M710" s="28" t="str">
        <f t="array" ref="M710">_xlfn.XLOOKUP($A710, 'Hospitalisation Details'!$A:$A, 'Hospitalisation Details'!E:E, "No Data")</f>
        <v>26/12/74</v>
      </c>
      <c r="N710" s="28">
        <f t="array" ref="N710">_xlfn.XLOOKUP($A710, 'Hospitalisation Details'!$A:$A, 'Hospitalisation Details'!K:K, "No Data")</f>
        <v>48</v>
      </c>
      <c r="O710" s="33">
        <f t="array" ref="O710">_xlfn.XLOOKUP($A710, 'Hospitalisation Details'!$A:$A, 'Hospitalisation Details'!G:G, "No Data")</f>
        <v>14256.79</v>
      </c>
      <c r="P710" s="28" t="str">
        <f t="array" ref="P710">_xlfn.XLOOKUP($A710, 'Hospitalisation Details'!$A:$A, 'Hospitalisation Details'!H:H, "No Data")</f>
        <v>tier - 2</v>
      </c>
    </row>
    <row r="711">
      <c r="A711" s="25" t="s">
        <v>2264</v>
      </c>
      <c r="B711" s="28" t="str">
        <f t="array" ref="B711">_xlfn.XLOOKUP($A711, 'Customer Names'!$A:$A, 'Customer Names'!B:B, "No Data")</f>
        <v>Iandolo</v>
      </c>
      <c r="C711" s="28">
        <f t="array" ref="C711">_xlfn.XLOOKUP($A711, 'Medical Examinations'!$A:$A, 'Medical Examinations'!B:B, "No Data")</f>
        <v>26.22</v>
      </c>
      <c r="D711" s="28">
        <f t="array" ref="D711">_xlfn.XLOOKUP($A711, 'Medical Examinations'!$A:$A, 'Medical Examinations'!C:C, "No Data")</f>
        <v>5.37</v>
      </c>
      <c r="E711" s="28" t="str">
        <f t="array" ref="E711">_xlfn.XLOOKUP($A711, 'Medical Examinations'!$A:$A, 'Medical Examinations'!D:D, "No Data")</f>
        <v>yes</v>
      </c>
      <c r="F711" s="28" t="str">
        <f t="array" ref="F711">_xlfn.XLOOKUP($A711, 'Medical Examinations'!$A:$A, 'Medical Examinations'!E:E, "No Data")</f>
        <v>No</v>
      </c>
      <c r="G711" s="28" t="str">
        <f t="array" ref="G711">_xlfn.XLOOKUP($A711, 'Medical Examinations'!$A:$A, 'Medical Examinations'!F:F, "No Data")</f>
        <v>No</v>
      </c>
      <c r="H711" s="28">
        <f t="array" ref="H711">_xlfn.XLOOKUP($A711, 'Medical Examinations'!$A:$A, 'Medical Examinations'!G:G, "No Data")</f>
        <v>2</v>
      </c>
      <c r="I711" s="28" t="str">
        <f t="array" ref="I711">_xlfn.XLOOKUP($A711, 'Medical Examinations'!$A:$A, 'Medical Examinations'!H:H, "No Data")</f>
        <v>No</v>
      </c>
      <c r="J711" s="28" t="str">
        <f t="array" ref="J711">_xlfn.XLOOKUP($A711, 'Medical Examinations'!$A:$A, 'Medical Examinations'!I:I, "No Data")</f>
        <v>Overweight</v>
      </c>
      <c r="K711" s="28" t="str">
        <f t="array" ref="K711">_xlfn.XLOOKUP($A711, 'Hospitalisation Details'!$A:$A, 'Hospitalisation Details'!I:I, "No Data")</f>
        <v>tier - 3</v>
      </c>
      <c r="L711" s="28" t="str">
        <f t="array" ref="L711">_xlfn.XLOOKUP($A711, 'Hospitalisation Details'!$A:$A, 'Hospitalisation Details'!J:J, "No Data")</f>
        <v>R1012</v>
      </c>
      <c r="M711" s="28" t="str">
        <f t="array" ref="M711">_xlfn.XLOOKUP($A711, 'Hospitalisation Details'!$A:$A, 'Hospitalisation Details'!E:E, "No Data")</f>
        <v>08/11/59</v>
      </c>
      <c r="N711" s="28">
        <f t="array" ref="N711">_xlfn.XLOOKUP($A711, 'Hospitalisation Details'!$A:$A, 'Hospitalisation Details'!K:K, "No Data")</f>
        <v>63</v>
      </c>
      <c r="O711" s="33">
        <f t="array" ref="O711">_xlfn.XLOOKUP($A711, 'Hospitalisation Details'!$A:$A, 'Hospitalisation Details'!G:G, "No Data")</f>
        <v>14256.19</v>
      </c>
      <c r="P711" s="28" t="str">
        <f t="array" ref="P711">_xlfn.XLOOKUP($A711, 'Hospitalisation Details'!$A:$A, 'Hospitalisation Details'!H:H, "No Data")</f>
        <v>tier - 2</v>
      </c>
    </row>
    <row r="712">
      <c r="A712" s="25" t="s">
        <v>2268</v>
      </c>
      <c r="B712" s="28" t="str">
        <f t="array" ref="B712">_xlfn.XLOOKUP($A712, 'Customer Names'!$A:$A, 'Customer Names'!B:B, "No Data")</f>
        <v>Ito</v>
      </c>
      <c r="C712" s="28">
        <f t="array" ref="C712">_xlfn.XLOOKUP($A712, 'Medical Examinations'!$A:$A, 'Medical Examinations'!B:B, "No Data")</f>
        <v>25.08</v>
      </c>
      <c r="D712" s="28">
        <f t="array" ref="D712">_xlfn.XLOOKUP($A712, 'Medical Examinations'!$A:$A, 'Medical Examinations'!C:C, "No Data")</f>
        <v>5.75</v>
      </c>
      <c r="E712" s="28" t="str">
        <f t="array" ref="E712">_xlfn.XLOOKUP($A712, 'Medical Examinations'!$A:$A, 'Medical Examinations'!D:D, "No Data")</f>
        <v>yes</v>
      </c>
      <c r="F712" s="28" t="str">
        <f t="array" ref="F712">_xlfn.XLOOKUP($A712, 'Medical Examinations'!$A:$A, 'Medical Examinations'!E:E, "No Data")</f>
        <v>No</v>
      </c>
      <c r="G712" s="28" t="str">
        <f t="array" ref="G712">_xlfn.XLOOKUP($A712, 'Medical Examinations'!$A:$A, 'Medical Examinations'!F:F, "No Data")</f>
        <v>No</v>
      </c>
      <c r="H712" s="28">
        <f t="array" ref="H712">_xlfn.XLOOKUP($A712, 'Medical Examinations'!$A:$A, 'Medical Examinations'!G:G, "No Data")</f>
        <v>2</v>
      </c>
      <c r="I712" s="28" t="str">
        <f t="array" ref="I712">_xlfn.XLOOKUP($A712, 'Medical Examinations'!$A:$A, 'Medical Examinations'!H:H, "No Data")</f>
        <v>No</v>
      </c>
      <c r="J712" s="28" t="str">
        <f t="array" ref="J712">_xlfn.XLOOKUP($A712, 'Medical Examinations'!$A:$A, 'Medical Examinations'!I:I, "No Data")</f>
        <v>Overweight</v>
      </c>
      <c r="K712" s="28" t="str">
        <f t="array" ref="K712">_xlfn.XLOOKUP($A712, 'Hospitalisation Details'!$A:$A, 'Hospitalisation Details'!I:I, "No Data")</f>
        <v>tier - 1</v>
      </c>
      <c r="L712" s="28" t="str">
        <f t="array" ref="L712">_xlfn.XLOOKUP($A712, 'Hospitalisation Details'!$A:$A, 'Hospitalisation Details'!J:J, "No Data")</f>
        <v>R1012</v>
      </c>
      <c r="M712" s="28" t="str">
        <f t="array" ref="M712">_xlfn.XLOOKUP($A712, 'Hospitalisation Details'!$A:$A, 'Hospitalisation Details'!E:E, "No Data")</f>
        <v>10/10/59</v>
      </c>
      <c r="N712" s="28">
        <f t="array" ref="N712">_xlfn.XLOOKUP($A712, 'Hospitalisation Details'!$A:$A, 'Hospitalisation Details'!K:K, "No Data")</f>
        <v>63</v>
      </c>
      <c r="O712" s="33">
        <f t="array" ref="O712">_xlfn.XLOOKUP($A712, 'Hospitalisation Details'!$A:$A, 'Hospitalisation Details'!G:G, "No Data")</f>
        <v>14254.61</v>
      </c>
      <c r="P712" s="28" t="str">
        <f t="array" ref="P712">_xlfn.XLOOKUP($A712, 'Hospitalisation Details'!$A:$A, 'Hospitalisation Details'!H:H, "No Data")</f>
        <v>tier - 2</v>
      </c>
    </row>
    <row r="713">
      <c r="A713" s="25" t="s">
        <v>2271</v>
      </c>
      <c r="B713" s="28" t="str">
        <f t="array" ref="B713">_xlfn.XLOOKUP($A713, 'Customer Names'!$A:$A, 'Customer Names'!B:B, "No Data")</f>
        <v>Barry</v>
      </c>
      <c r="C713" s="28">
        <f t="array" ref="C713">_xlfn.XLOOKUP($A713, 'Medical Examinations'!$A:$A, 'Medical Examinations'!B:B, "No Data")</f>
        <v>39.1</v>
      </c>
      <c r="D713" s="28">
        <f t="array" ref="D713">_xlfn.XLOOKUP($A713, 'Medical Examinations'!$A:$A, 'Medical Examinations'!C:C, "No Data")</f>
        <v>6.79</v>
      </c>
      <c r="E713" s="28" t="str">
        <f t="array" ref="E713">_xlfn.XLOOKUP($A713, 'Medical Examinations'!$A:$A, 'Medical Examinations'!D:D, "No Data")</f>
        <v>yes</v>
      </c>
      <c r="F713" s="28" t="str">
        <f t="array" ref="F713">_xlfn.XLOOKUP($A713, 'Medical Examinations'!$A:$A, 'Medical Examinations'!E:E, "No Data")</f>
        <v>No</v>
      </c>
      <c r="G713" s="28" t="str">
        <f t="array" ref="G713">_xlfn.XLOOKUP($A713, 'Medical Examinations'!$A:$A, 'Medical Examinations'!F:F, "No Data")</f>
        <v>No</v>
      </c>
      <c r="H713" s="28">
        <f t="array" ref="H713">_xlfn.XLOOKUP($A713, 'Medical Examinations'!$A:$A, 'Medical Examinations'!G:G, "No Data")</f>
        <v>2</v>
      </c>
      <c r="I713" s="28" t="str">
        <f t="array" ref="I713">_xlfn.XLOOKUP($A713, 'Medical Examinations'!$A:$A, 'Medical Examinations'!H:H, "No Data")</f>
        <v>No</v>
      </c>
      <c r="J713" s="28" t="str">
        <f t="array" ref="J713">_xlfn.XLOOKUP($A713, 'Medical Examinations'!$A:$A, 'Medical Examinations'!I:I, "No Data")</f>
        <v>Obesity</v>
      </c>
      <c r="K713" s="28" t="str">
        <f t="array" ref="K713">_xlfn.XLOOKUP($A713, 'Hospitalisation Details'!$A:$A, 'Hospitalisation Details'!I:I, "No Data")</f>
        <v>tier - 1</v>
      </c>
      <c r="L713" s="28" t="str">
        <f t="array" ref="L713">_xlfn.XLOOKUP($A713, 'Hospitalisation Details'!$A:$A, 'Hospitalisation Details'!J:J, "No Data")</f>
        <v>R1011</v>
      </c>
      <c r="M713" s="28" t="str">
        <f t="array" ref="M713">_xlfn.XLOOKUP($A713, 'Hospitalisation Details'!$A:$A, 'Hospitalisation Details'!E:E, "No Data")</f>
        <v>25/09/61</v>
      </c>
      <c r="N713" s="28">
        <f t="array" ref="N713">_xlfn.XLOOKUP($A713, 'Hospitalisation Details'!$A:$A, 'Hospitalisation Details'!K:K, "No Data")</f>
        <v>61</v>
      </c>
      <c r="O713" s="33">
        <f t="array" ref="O713">_xlfn.XLOOKUP($A713, 'Hospitalisation Details'!$A:$A, 'Hospitalisation Details'!G:G, "No Data")</f>
        <v>14235.07</v>
      </c>
      <c r="P713" s="28" t="str">
        <f t="array" ref="P713">_xlfn.XLOOKUP($A713, 'Hospitalisation Details'!$A:$A, 'Hospitalisation Details'!H:H, "No Data")</f>
        <v>tier - 2</v>
      </c>
    </row>
    <row r="714">
      <c r="A714" s="25" t="s">
        <v>2275</v>
      </c>
      <c r="B714" s="28" t="str">
        <f t="array" ref="B714">_xlfn.XLOOKUP($A714, 'Customer Names'!$A:$A, 'Customer Names'!B:B, "No Data")</f>
        <v>Boyce</v>
      </c>
      <c r="C714" s="28">
        <f t="array" ref="C714">_xlfn.XLOOKUP($A714, 'Medical Examinations'!$A:$A, 'Medical Examinations'!B:B, "No Data")</f>
        <v>37.905</v>
      </c>
      <c r="D714" s="28">
        <f t="array" ref="D714">_xlfn.XLOOKUP($A714, 'Medical Examinations'!$A:$A, 'Medical Examinations'!C:C, "No Data")</f>
        <v>7.03</v>
      </c>
      <c r="E714" s="28" t="str">
        <f t="array" ref="E714">_xlfn.XLOOKUP($A714, 'Medical Examinations'!$A:$A, 'Medical Examinations'!D:D, "No Data")</f>
        <v>No</v>
      </c>
      <c r="F714" s="28" t="str">
        <f t="array" ref="F714">_xlfn.XLOOKUP($A714, 'Medical Examinations'!$A:$A, 'Medical Examinations'!E:E, "No Data")</f>
        <v>No</v>
      </c>
      <c r="G714" s="28" t="str">
        <f t="array" ref="G714">_xlfn.XLOOKUP($A714, 'Medical Examinations'!$A:$A, 'Medical Examinations'!F:F, "No Data")</f>
        <v>No</v>
      </c>
      <c r="H714" s="28">
        <f t="array" ref="H714">_xlfn.XLOOKUP($A714, 'Medical Examinations'!$A:$A, 'Medical Examinations'!G:G, "No Data")</f>
        <v>3</v>
      </c>
      <c r="I714" s="28" t="str">
        <f t="array" ref="I714">_xlfn.XLOOKUP($A714, 'Medical Examinations'!$A:$A, 'Medical Examinations'!H:H, "No Data")</f>
        <v>No</v>
      </c>
      <c r="J714" s="28" t="str">
        <f t="array" ref="J714">_xlfn.XLOOKUP($A714, 'Medical Examinations'!$A:$A, 'Medical Examinations'!I:I, "No Data")</f>
        <v>Obesity</v>
      </c>
      <c r="K714" s="28" t="str">
        <f t="array" ref="K714">_xlfn.XLOOKUP($A714, 'Hospitalisation Details'!$A:$A, 'Hospitalisation Details'!I:I, "No Data")</f>
        <v>tier - 2</v>
      </c>
      <c r="L714" s="28" t="str">
        <f t="array" ref="L714">_xlfn.XLOOKUP($A714, 'Hospitalisation Details'!$A:$A, 'Hospitalisation Details'!J:J, "No Data")</f>
        <v>R1012</v>
      </c>
      <c r="M714" s="28" t="str">
        <f t="array" ref="M714">_xlfn.XLOOKUP($A714, 'Hospitalisation Details'!$A:$A, 'Hospitalisation Details'!E:E, "No Data")</f>
        <v>21/09/58</v>
      </c>
      <c r="N714" s="28">
        <f t="array" ref="N714">_xlfn.XLOOKUP($A714, 'Hospitalisation Details'!$A:$A, 'Hospitalisation Details'!K:K, "No Data")</f>
        <v>64</v>
      </c>
      <c r="O714" s="33">
        <f t="array" ref="O714">_xlfn.XLOOKUP($A714, 'Hospitalisation Details'!$A:$A, 'Hospitalisation Details'!G:G, "No Data")</f>
        <v>14210.54</v>
      </c>
      <c r="P714" s="28" t="str">
        <f t="array" ref="P714">_xlfn.XLOOKUP($A714, 'Hospitalisation Details'!$A:$A, 'Hospitalisation Details'!H:H, "No Data")</f>
        <v>tier - 2</v>
      </c>
    </row>
    <row r="715">
      <c r="A715" s="25" t="s">
        <v>2278</v>
      </c>
      <c r="B715" s="28" t="str">
        <f t="array" ref="B715">_xlfn.XLOOKUP($A715, 'Customer Names'!$A:$A, 'Customer Names'!B:B, "No Data")</f>
        <v>Lin</v>
      </c>
      <c r="C715" s="28">
        <f t="array" ref="C715">_xlfn.XLOOKUP($A715, 'Medical Examinations'!$A:$A, 'Medical Examinations'!B:B, "No Data")</f>
        <v>43.35</v>
      </c>
      <c r="D715" s="28">
        <f t="array" ref="D715">_xlfn.XLOOKUP($A715, 'Medical Examinations'!$A:$A, 'Medical Examinations'!C:C, "No Data")</f>
        <v>5.41</v>
      </c>
      <c r="E715" s="28" t="str">
        <f t="array" ref="E715">_xlfn.XLOOKUP($A715, 'Medical Examinations'!$A:$A, 'Medical Examinations'!D:D, "No Data")</f>
        <v>yes</v>
      </c>
      <c r="F715" s="28" t="str">
        <f t="array" ref="F715">_xlfn.XLOOKUP($A715, 'Medical Examinations'!$A:$A, 'Medical Examinations'!E:E, "No Data")</f>
        <v>No</v>
      </c>
      <c r="G715" s="28" t="str">
        <f t="array" ref="G715">_xlfn.XLOOKUP($A715, 'Medical Examinations'!$A:$A, 'Medical Examinations'!F:F, "No Data")</f>
        <v>Yes</v>
      </c>
      <c r="H715" s="28">
        <f t="array" ref="H715">_xlfn.XLOOKUP($A715, 'Medical Examinations'!$A:$A, 'Medical Examinations'!G:G, "No Data")</f>
        <v>1</v>
      </c>
      <c r="I715" s="28" t="str">
        <f t="array" ref="I715">_xlfn.XLOOKUP($A715, 'Medical Examinations'!$A:$A, 'Medical Examinations'!H:H, "No Data")</f>
        <v>No</v>
      </c>
      <c r="J715" s="28" t="str">
        <f t="array" ref="J715">_xlfn.XLOOKUP($A715, 'Medical Examinations'!$A:$A, 'Medical Examinations'!I:I, "No Data")</f>
        <v>Obesity</v>
      </c>
      <c r="K715" s="28" t="str">
        <f t="array" ref="K715">_xlfn.XLOOKUP($A715, 'Hospitalisation Details'!$A:$A, 'Hospitalisation Details'!I:I, "No Data")</f>
        <v>tier - 1</v>
      </c>
      <c r="L715" s="28" t="str">
        <f t="array" ref="L715">_xlfn.XLOOKUP($A715, 'Hospitalisation Details'!$A:$A, 'Hospitalisation Details'!J:J, "No Data")</f>
        <v>R1026</v>
      </c>
      <c r="M715" s="28" t="str">
        <f t="array" ref="M715">_xlfn.XLOOKUP($A715, 'Hospitalisation Details'!$A:$A, 'Hospitalisation Details'!E:E, "No Data")</f>
        <v>17/11/83</v>
      </c>
      <c r="N715" s="28">
        <f t="array" ref="N715">_xlfn.XLOOKUP($A715, 'Hospitalisation Details'!$A:$A, 'Hospitalisation Details'!K:K, "No Data")</f>
        <v>39</v>
      </c>
      <c r="O715" s="33">
        <f t="array" ref="O715">_xlfn.XLOOKUP($A715, 'Hospitalisation Details'!$A:$A, 'Hospitalisation Details'!G:G, "No Data")</f>
        <v>14209.4</v>
      </c>
      <c r="P715" s="28" t="str">
        <f t="array" ref="P715">_xlfn.XLOOKUP($A715, 'Hospitalisation Details'!$A:$A, 'Hospitalisation Details'!H:H, "No Data")</f>
        <v>tier - 2</v>
      </c>
    </row>
    <row r="716">
      <c r="A716" s="25" t="s">
        <v>2281</v>
      </c>
      <c r="B716" s="28" t="str">
        <f t="array" ref="B716">_xlfn.XLOOKUP($A716, 'Customer Names'!$A:$A, 'Customer Names'!B:B, "No Data")</f>
        <v>Smith</v>
      </c>
      <c r="C716" s="28">
        <f t="array" ref="C716">_xlfn.XLOOKUP($A716, 'Medical Examinations'!$A:$A, 'Medical Examinations'!B:B, "No Data")</f>
        <v>36.15</v>
      </c>
      <c r="D716" s="28">
        <f t="array" ref="D716">_xlfn.XLOOKUP($A716, 'Medical Examinations'!$A:$A, 'Medical Examinations'!C:C, "No Data")</f>
        <v>8.05</v>
      </c>
      <c r="E716" s="28" t="str">
        <f t="array" ref="E716">_xlfn.XLOOKUP($A716, 'Medical Examinations'!$A:$A, 'Medical Examinations'!D:D, "No Data")</f>
        <v>No</v>
      </c>
      <c r="F716" s="28" t="str">
        <f t="array" ref="F716">_xlfn.XLOOKUP($A716, 'Medical Examinations'!$A:$A, 'Medical Examinations'!E:E, "No Data")</f>
        <v>No</v>
      </c>
      <c r="G716" s="28" t="str">
        <f t="array" ref="G716">_xlfn.XLOOKUP($A716, 'Medical Examinations'!$A:$A, 'Medical Examinations'!F:F, "No Data")</f>
        <v>No</v>
      </c>
      <c r="H716" s="28">
        <f t="array" ref="H716">_xlfn.XLOOKUP($A716, 'Medical Examinations'!$A:$A, 'Medical Examinations'!G:G, "No Data")</f>
        <v>0</v>
      </c>
      <c r="I716" s="28" t="str">
        <f t="array" ref="I716">_xlfn.XLOOKUP($A716, 'Medical Examinations'!$A:$A, 'Medical Examinations'!H:H, "No Data")</f>
        <v>No</v>
      </c>
      <c r="J716" s="28" t="str">
        <f t="array" ref="J716">_xlfn.XLOOKUP($A716, 'Medical Examinations'!$A:$A, 'Medical Examinations'!I:I, "No Data")</f>
        <v>Obesity</v>
      </c>
      <c r="K716" s="28" t="str">
        <f t="array" ref="K716">_xlfn.XLOOKUP($A716, 'Hospitalisation Details'!$A:$A, 'Hospitalisation Details'!I:I, "No Data")</f>
        <v>tier - 1</v>
      </c>
      <c r="L716" s="28" t="str">
        <f t="array" ref="L716">_xlfn.XLOOKUP($A716, 'Hospitalisation Details'!$A:$A, 'Hospitalisation Details'!J:J, "No Data")</f>
        <v>R1026</v>
      </c>
      <c r="M716" s="28" t="str">
        <f t="array" ref="M716">_xlfn.XLOOKUP($A716, 'Hospitalisation Details'!$A:$A, 'Hospitalisation Details'!E:E, "No Data")</f>
        <v>25/12/68</v>
      </c>
      <c r="N716" s="28">
        <f t="array" ref="N716">_xlfn.XLOOKUP($A716, 'Hospitalisation Details'!$A:$A, 'Hospitalisation Details'!K:K, "No Data")</f>
        <v>54</v>
      </c>
      <c r="O716" s="33">
        <f t="array" ref="O716">_xlfn.XLOOKUP($A716, 'Hospitalisation Details'!$A:$A, 'Hospitalisation Details'!G:G, "No Data")</f>
        <v>14193.55</v>
      </c>
      <c r="P716" s="28" t="str">
        <f t="array" ref="P716">_xlfn.XLOOKUP($A716, 'Hospitalisation Details'!$A:$A, 'Hospitalisation Details'!H:H, "No Data")</f>
        <v>tier - 2</v>
      </c>
    </row>
    <row r="717">
      <c r="A717" s="25" t="s">
        <v>2284</v>
      </c>
      <c r="B717" s="28" t="str">
        <f t="array" ref="B717">_xlfn.XLOOKUP($A717, 'Customer Names'!$A:$A, 'Customer Names'!B:B, "No Data")</f>
        <v>Nalven</v>
      </c>
      <c r="C717" s="28">
        <f t="array" ref="C717">_xlfn.XLOOKUP($A717, 'Medical Examinations'!$A:$A, 'Medical Examinations'!B:B, "No Data")</f>
        <v>44.98</v>
      </c>
      <c r="D717" s="28">
        <f t="array" ref="D717">_xlfn.XLOOKUP($A717, 'Medical Examinations'!$A:$A, 'Medical Examinations'!C:C, "No Data")</f>
        <v>5.94</v>
      </c>
      <c r="E717" s="28" t="str">
        <f t="array" ref="E717">_xlfn.XLOOKUP($A717, 'Medical Examinations'!$A:$A, 'Medical Examinations'!D:D, "No Data")</f>
        <v>No</v>
      </c>
      <c r="F717" s="28" t="str">
        <f t="array" ref="F717">_xlfn.XLOOKUP($A717, 'Medical Examinations'!$A:$A, 'Medical Examinations'!E:E, "No Data")</f>
        <v>No</v>
      </c>
      <c r="G717" s="28" t="str">
        <f t="array" ref="G717">_xlfn.XLOOKUP($A717, 'Medical Examinations'!$A:$A, 'Medical Examinations'!F:F, "No Data")</f>
        <v>No</v>
      </c>
      <c r="H717" s="28">
        <f t="array" ref="H717">_xlfn.XLOOKUP($A717, 'Medical Examinations'!$A:$A, 'Medical Examinations'!G:G, "No Data")</f>
        <v>1</v>
      </c>
      <c r="I717" s="28" t="str">
        <f t="array" ref="I717">_xlfn.XLOOKUP($A717, 'Medical Examinations'!$A:$A, 'Medical Examinations'!H:H, "No Data")</f>
        <v>No</v>
      </c>
      <c r="J717" s="28" t="str">
        <f t="array" ref="J717">_xlfn.XLOOKUP($A717, 'Medical Examinations'!$A:$A, 'Medical Examinations'!I:I, "No Data")</f>
        <v>Obesity</v>
      </c>
      <c r="K717" s="28" t="str">
        <f t="array" ref="K717">_xlfn.XLOOKUP($A717, 'Hospitalisation Details'!$A:$A, 'Hospitalisation Details'!I:I, "No Data")</f>
        <v>tier - 1</v>
      </c>
      <c r="L717" s="28" t="str">
        <f t="array" ref="L717">_xlfn.XLOOKUP($A717, 'Hospitalisation Details'!$A:$A, 'Hospitalisation Details'!J:J, "No Data")</f>
        <v>R1012</v>
      </c>
      <c r="M717" s="28" t="str">
        <f t="array" ref="M717">_xlfn.XLOOKUP($A717, 'Hospitalisation Details'!$A:$A, 'Hospitalisation Details'!E:E, "No Data")</f>
        <v>07/07/84</v>
      </c>
      <c r="N717" s="28">
        <f t="array" ref="N717">_xlfn.XLOOKUP($A717, 'Hospitalisation Details'!$A:$A, 'Hospitalisation Details'!K:K, "No Data")</f>
        <v>38</v>
      </c>
      <c r="O717" s="33">
        <f t="array" ref="O717">_xlfn.XLOOKUP($A717, 'Hospitalisation Details'!$A:$A, 'Hospitalisation Details'!G:G, "No Data")</f>
        <v>14152.46</v>
      </c>
      <c r="P717" s="28" t="str">
        <f t="array" ref="P717">_xlfn.XLOOKUP($A717, 'Hospitalisation Details'!$A:$A, 'Hospitalisation Details'!H:H, "No Data")</f>
        <v>tier - 2</v>
      </c>
    </row>
    <row r="718">
      <c r="A718" s="25" t="s">
        <v>2288</v>
      </c>
      <c r="B718" s="28" t="str">
        <f t="array" ref="B718">_xlfn.XLOOKUP($A718, 'Customer Names'!$A:$A, 'Customer Names'!B:B, "No Data")</f>
        <v>Bourgeois</v>
      </c>
      <c r="C718" s="28">
        <f t="array" ref="C718">_xlfn.XLOOKUP($A718, 'Medical Examinations'!$A:$A, 'Medical Examinations'!B:B, "No Data")</f>
        <v>38.28</v>
      </c>
      <c r="D718" s="28">
        <f t="array" ref="D718">_xlfn.XLOOKUP($A718, 'Medical Examinations'!$A:$A, 'Medical Examinations'!C:C, "No Data")</f>
        <v>5.51</v>
      </c>
      <c r="E718" s="28" t="str">
        <f t="array" ref="E718">_xlfn.XLOOKUP($A718, 'Medical Examinations'!$A:$A, 'Medical Examinations'!D:D, "No Data")</f>
        <v>No</v>
      </c>
      <c r="F718" s="28" t="str">
        <f t="array" ref="F718">_xlfn.XLOOKUP($A718, 'Medical Examinations'!$A:$A, 'Medical Examinations'!E:E, "No Data")</f>
        <v>yes</v>
      </c>
      <c r="G718" s="28" t="str">
        <f t="array" ref="G718">_xlfn.XLOOKUP($A718, 'Medical Examinations'!$A:$A, 'Medical Examinations'!F:F, "No Data")</f>
        <v>No</v>
      </c>
      <c r="H718" s="28">
        <f t="array" ref="H718">_xlfn.XLOOKUP($A718, 'Medical Examinations'!$A:$A, 'Medical Examinations'!G:G, "No Data")</f>
        <v>1</v>
      </c>
      <c r="I718" s="28" t="str">
        <f t="array" ref="I718">_xlfn.XLOOKUP($A718, 'Medical Examinations'!$A:$A, 'Medical Examinations'!H:H, "No Data")</f>
        <v>No</v>
      </c>
      <c r="J718" s="28" t="str">
        <f t="array" ref="J718">_xlfn.XLOOKUP($A718, 'Medical Examinations'!$A:$A, 'Medical Examinations'!I:I, "No Data")</f>
        <v>Obesity</v>
      </c>
      <c r="K718" s="28" t="str">
        <f t="array" ref="K718">_xlfn.XLOOKUP($A718, 'Hospitalisation Details'!$A:$A, 'Hospitalisation Details'!I:I, "No Data")</f>
        <v>tier - 3</v>
      </c>
      <c r="L718" s="28" t="str">
        <f t="array" ref="L718">_xlfn.XLOOKUP($A718, 'Hospitalisation Details'!$A:$A, 'Hospitalisation Details'!J:J, "No Data")</f>
        <v>R1013</v>
      </c>
      <c r="M718" s="28" t="str">
        <f t="array" ref="M718">_xlfn.XLOOKUP($A718, 'Hospitalisation Details'!$A:$A, 'Hospitalisation Details'!E:E, "No Data")</f>
        <v>06/07/04</v>
      </c>
      <c r="N718" s="28">
        <f t="array" ref="N718">_xlfn.XLOOKUP($A718, 'Hospitalisation Details'!$A:$A, 'Hospitalisation Details'!K:K, "No Data")</f>
        <v>18</v>
      </c>
      <c r="O718" s="33">
        <f t="array" ref="O718">_xlfn.XLOOKUP($A718, 'Hospitalisation Details'!$A:$A, 'Hospitalisation Details'!G:G, "No Data")</f>
        <v>14133.04</v>
      </c>
      <c r="P718" s="28" t="str">
        <f t="array" ref="P718">_xlfn.XLOOKUP($A718, 'Hospitalisation Details'!$A:$A, 'Hospitalisation Details'!H:H, "No Data")</f>
        <v>tier - 2</v>
      </c>
    </row>
    <row r="719">
      <c r="A719" s="25" t="s">
        <v>2292</v>
      </c>
      <c r="B719" s="28" t="str">
        <f t="array" ref="B719">_xlfn.XLOOKUP($A719, 'Customer Names'!$A:$A, 'Customer Names'!B:B, "No Data")</f>
        <v>Orloff</v>
      </c>
      <c r="C719" s="28">
        <f t="array" ref="C719">_xlfn.XLOOKUP($A719, 'Medical Examinations'!$A:$A, 'Medical Examinations'!B:B, "No Data")</f>
        <v>32.3</v>
      </c>
      <c r="D719" s="28">
        <f t="array" ref="D719">_xlfn.XLOOKUP($A719, 'Medical Examinations'!$A:$A, 'Medical Examinations'!C:C, "No Data")</f>
        <v>6.55</v>
      </c>
      <c r="E719" s="28" t="str">
        <f t="array" ref="E719">_xlfn.XLOOKUP($A719, 'Medical Examinations'!$A:$A, 'Medical Examinations'!D:D, "No Data")</f>
        <v>yes</v>
      </c>
      <c r="F719" s="28" t="str">
        <f t="array" ref="F719">_xlfn.XLOOKUP($A719, 'Medical Examinations'!$A:$A, 'Medical Examinations'!E:E, "No Data")</f>
        <v>No</v>
      </c>
      <c r="G719" s="28" t="str">
        <f t="array" ref="G719">_xlfn.XLOOKUP($A719, 'Medical Examinations'!$A:$A, 'Medical Examinations'!F:F, "No Data")</f>
        <v>No</v>
      </c>
      <c r="H719" s="28">
        <f t="array" ref="H719">_xlfn.XLOOKUP($A719, 'Medical Examinations'!$A:$A, 'Medical Examinations'!G:G, "No Data")</f>
        <v>2</v>
      </c>
      <c r="I719" s="28" t="str">
        <f t="array" ref="I719">_xlfn.XLOOKUP($A719, 'Medical Examinations'!$A:$A, 'Medical Examinations'!H:H, "No Data")</f>
        <v>No</v>
      </c>
      <c r="J719" s="28" t="str">
        <f t="array" ref="J719">_xlfn.XLOOKUP($A719, 'Medical Examinations'!$A:$A, 'Medical Examinations'!I:I, "No Data")</f>
        <v>Obesity</v>
      </c>
      <c r="K719" s="28" t="str">
        <f t="array" ref="K719">_xlfn.XLOOKUP($A719, 'Hospitalisation Details'!$A:$A, 'Hospitalisation Details'!I:I, "No Data")</f>
        <v>tier - 1</v>
      </c>
      <c r="L719" s="28" t="str">
        <f t="array" ref="L719">_xlfn.XLOOKUP($A719, 'Hospitalisation Details'!$A:$A, 'Hospitalisation Details'!J:J, "No Data")</f>
        <v>R1012</v>
      </c>
      <c r="M719" s="28" t="str">
        <f t="array" ref="M719">_xlfn.XLOOKUP($A719, 'Hospitalisation Details'!$A:$A, 'Hospitalisation Details'!E:E, "No Data")</f>
        <v>14/06/61</v>
      </c>
      <c r="N719" s="28">
        <f t="array" ref="N719">_xlfn.XLOOKUP($A719, 'Hospitalisation Details'!$A:$A, 'Hospitalisation Details'!K:K, "No Data")</f>
        <v>61</v>
      </c>
      <c r="O719" s="33">
        <f t="array" ref="O719">_xlfn.XLOOKUP($A719, 'Hospitalisation Details'!$A:$A, 'Hospitalisation Details'!G:G, "No Data")</f>
        <v>14119.62</v>
      </c>
      <c r="P719" s="28" t="str">
        <f t="array" ref="P719">_xlfn.XLOOKUP($A719, 'Hospitalisation Details'!$A:$A, 'Hospitalisation Details'!H:H, "No Data")</f>
        <v>tier - 2</v>
      </c>
    </row>
    <row r="720">
      <c r="A720" s="25" t="s">
        <v>2295</v>
      </c>
      <c r="B720" s="28" t="str">
        <f t="array" ref="B720">_xlfn.XLOOKUP($A720, 'Customer Names'!$A:$A, 'Customer Names'!B:B, "No Data")</f>
        <v>Ramirez</v>
      </c>
      <c r="C720" s="28">
        <f t="array" ref="C720">_xlfn.XLOOKUP($A720, 'Medical Examinations'!$A:$A, 'Medical Examinations'!B:B, "No Data")</f>
        <v>39.51</v>
      </c>
      <c r="D720" s="28">
        <f t="array" ref="D720">_xlfn.XLOOKUP($A720, 'Medical Examinations'!$A:$A, 'Medical Examinations'!C:C, "No Data")</f>
        <v>5.79</v>
      </c>
      <c r="E720" s="28" t="str">
        <f t="array" ref="E720">_xlfn.XLOOKUP($A720, 'Medical Examinations'!$A:$A, 'Medical Examinations'!D:D, "No Data")</f>
        <v>yes</v>
      </c>
      <c r="F720" s="28" t="str">
        <f t="array" ref="F720">_xlfn.XLOOKUP($A720, 'Medical Examinations'!$A:$A, 'Medical Examinations'!E:E, "No Data")</f>
        <v>No</v>
      </c>
      <c r="G720" s="28" t="str">
        <f t="array" ref="G720">_xlfn.XLOOKUP($A720, 'Medical Examinations'!$A:$A, 'Medical Examinations'!F:F, "No Data")</f>
        <v>No</v>
      </c>
      <c r="H720" s="28">
        <f t="array" ref="H720">_xlfn.XLOOKUP($A720, 'Medical Examinations'!$A:$A, 'Medical Examinations'!G:G, "No Data")</f>
        <v>0</v>
      </c>
      <c r="I720" s="28" t="str">
        <f t="array" ref="I720">_xlfn.XLOOKUP($A720, 'Medical Examinations'!$A:$A, 'Medical Examinations'!H:H, "No Data")</f>
        <v>No</v>
      </c>
      <c r="J720" s="28" t="str">
        <f t="array" ref="J720">_xlfn.XLOOKUP($A720, 'Medical Examinations'!$A:$A, 'Medical Examinations'!I:I, "No Data")</f>
        <v>Obesity</v>
      </c>
      <c r="K720" s="28" t="str">
        <f t="array" ref="K720">_xlfn.XLOOKUP($A720, 'Hospitalisation Details'!$A:$A, 'Hospitalisation Details'!I:I, "No Data")</f>
        <v>tier - 3</v>
      </c>
      <c r="L720" s="28" t="str">
        <f t="array" ref="L720">_xlfn.XLOOKUP($A720, 'Hospitalisation Details'!$A:$A, 'Hospitalisation Details'!J:J, "No Data")</f>
        <v>R1023</v>
      </c>
      <c r="M720" s="28" t="str">
        <f t="array" ref="M720">_xlfn.XLOOKUP($A720, 'Hospitalisation Details'!$A:$A, 'Hospitalisation Details'!E:E, "No Data")</f>
        <v>26/09/76</v>
      </c>
      <c r="N720" s="28">
        <f t="array" ref="N720">_xlfn.XLOOKUP($A720, 'Hospitalisation Details'!$A:$A, 'Hospitalisation Details'!K:K, "No Data")</f>
        <v>46</v>
      </c>
      <c r="O720" s="33">
        <f t="array" ref="O720">_xlfn.XLOOKUP($A720, 'Hospitalisation Details'!$A:$A, 'Hospitalisation Details'!G:G, "No Data")</f>
        <v>14098.07</v>
      </c>
      <c r="P720" s="28" t="str">
        <f t="array" ref="P720">_xlfn.XLOOKUP($A720, 'Hospitalisation Details'!$A:$A, 'Hospitalisation Details'!H:H, "No Data")</f>
        <v>tier - 2</v>
      </c>
    </row>
    <row r="721">
      <c r="A721" s="25" t="s">
        <v>2299</v>
      </c>
      <c r="B721" s="28" t="str">
        <f t="array" ref="B721">_xlfn.XLOOKUP($A721, 'Customer Names'!$A:$A, 'Customer Names'!B:B, "No Data")</f>
        <v>Fouquet</v>
      </c>
      <c r="C721" s="28">
        <f t="array" ref="C721">_xlfn.XLOOKUP($A721, 'Medical Examinations'!$A:$A, 'Medical Examinations'!B:B, "No Data")</f>
        <v>50.46</v>
      </c>
      <c r="D721" s="28">
        <f t="array" ref="D721">_xlfn.XLOOKUP($A721, 'Medical Examinations'!$A:$A, 'Medical Examinations'!C:C, "No Data")</f>
        <v>4.56</v>
      </c>
      <c r="E721" s="28" t="str">
        <f t="array" ref="E721">_xlfn.XLOOKUP($A721, 'Medical Examinations'!$A:$A, 'Medical Examinations'!D:D, "No Data")</f>
        <v>No</v>
      </c>
      <c r="F721" s="28" t="str">
        <f t="array" ref="F721">_xlfn.XLOOKUP($A721, 'Medical Examinations'!$A:$A, 'Medical Examinations'!E:E, "No Data")</f>
        <v>No</v>
      </c>
      <c r="G721" s="28" t="str">
        <f t="array" ref="G721">_xlfn.XLOOKUP($A721, 'Medical Examinations'!$A:$A, 'Medical Examinations'!F:F, "No Data")</f>
        <v>No</v>
      </c>
      <c r="H721" s="28">
        <f t="array" ref="H721">_xlfn.XLOOKUP($A721, 'Medical Examinations'!$A:$A, 'Medical Examinations'!G:G, "No Data")</f>
        <v>0</v>
      </c>
      <c r="I721" s="28" t="str">
        <f t="array" ref="I721">_xlfn.XLOOKUP($A721, 'Medical Examinations'!$A:$A, 'Medical Examinations'!H:H, "No Data")</f>
        <v>No</v>
      </c>
      <c r="J721" s="28" t="str">
        <f t="array" ref="J721">_xlfn.XLOOKUP($A721, 'Medical Examinations'!$A:$A, 'Medical Examinations'!I:I, "No Data")</f>
        <v>Obesity</v>
      </c>
      <c r="K721" s="28" t="str">
        <f t="array" ref="K721">_xlfn.XLOOKUP($A721, 'Hospitalisation Details'!$A:$A, 'Hospitalisation Details'!I:I, "No Data")</f>
        <v>tier - 3</v>
      </c>
      <c r="L721" s="28" t="str">
        <f t="array" ref="L721">_xlfn.XLOOKUP($A721, 'Hospitalisation Details'!$A:$A, 'Hospitalisation Details'!J:J, "No Data")</f>
        <v>R1012</v>
      </c>
      <c r="M721" s="28" t="str">
        <f t="array" ref="M721">_xlfn.XLOOKUP($A721, 'Hospitalisation Details'!$A:$A, 'Hospitalisation Details'!E:E, "No Data")</f>
        <v>12/09/91</v>
      </c>
      <c r="N721" s="28">
        <f t="array" ref="N721">_xlfn.XLOOKUP($A721, 'Hospitalisation Details'!$A:$A, 'Hospitalisation Details'!K:K, "No Data")</f>
        <v>31</v>
      </c>
      <c r="O721" s="33">
        <f t="array" ref="O721">_xlfn.XLOOKUP($A721, 'Hospitalisation Details'!$A:$A, 'Hospitalisation Details'!G:G, "No Data")</f>
        <v>14081.93</v>
      </c>
      <c r="P721" s="28" t="str">
        <f t="array" ref="P721">_xlfn.XLOOKUP($A721, 'Hospitalisation Details'!$A:$A, 'Hospitalisation Details'!H:H, "No Data")</f>
        <v>tier - 2</v>
      </c>
    </row>
    <row r="722">
      <c r="A722" s="25" t="s">
        <v>2303</v>
      </c>
      <c r="B722" s="28" t="str">
        <f t="array" ref="B722">_xlfn.XLOOKUP($A722, 'Customer Names'!$A:$A, 'Customer Names'!B:B, "No Data")</f>
        <v>McPhillips</v>
      </c>
      <c r="C722" s="28">
        <f t="array" ref="C722">_xlfn.XLOOKUP($A722, 'Medical Examinations'!$A:$A, 'Medical Examinations'!B:B, "No Data")</f>
        <v>31.73</v>
      </c>
      <c r="D722" s="28">
        <f t="array" ref="D722">_xlfn.XLOOKUP($A722, 'Medical Examinations'!$A:$A, 'Medical Examinations'!C:C, "No Data")</f>
        <v>7</v>
      </c>
      <c r="E722" s="28" t="str">
        <f t="array" ref="E722">_xlfn.XLOOKUP($A722, 'Medical Examinations'!$A:$A, 'Medical Examinations'!D:D, "No Data")</f>
        <v>No</v>
      </c>
      <c r="F722" s="28" t="str">
        <f t="array" ref="F722">_xlfn.XLOOKUP($A722, 'Medical Examinations'!$A:$A, 'Medical Examinations'!E:E, "No Data")</f>
        <v>No</v>
      </c>
      <c r="G722" s="28" t="str">
        <f t="array" ref="G722">_xlfn.XLOOKUP($A722, 'Medical Examinations'!$A:$A, 'Medical Examinations'!F:F, "No Data")</f>
        <v>No</v>
      </c>
      <c r="H722" s="28">
        <f t="array" ref="H722">_xlfn.XLOOKUP($A722, 'Medical Examinations'!$A:$A, 'Medical Examinations'!G:G, "No Data")</f>
        <v>0</v>
      </c>
      <c r="I722" s="28" t="str">
        <f t="array" ref="I722">_xlfn.XLOOKUP($A722, 'Medical Examinations'!$A:$A, 'Medical Examinations'!H:H, "No Data")</f>
        <v>No</v>
      </c>
      <c r="J722" s="28" t="str">
        <f t="array" ref="J722">_xlfn.XLOOKUP($A722, 'Medical Examinations'!$A:$A, 'Medical Examinations'!I:I, "No Data")</f>
        <v>Obesity</v>
      </c>
      <c r="K722" s="28" t="str">
        <f t="array" ref="K722">_xlfn.XLOOKUP($A722, 'Hospitalisation Details'!$A:$A, 'Hospitalisation Details'!I:I, "No Data")</f>
        <v>tier - 3</v>
      </c>
      <c r="L722" s="28" t="str">
        <f t="array" ref="L722">_xlfn.XLOOKUP($A722, 'Hospitalisation Details'!$A:$A, 'Hospitalisation Details'!J:J, "No Data")</f>
        <v>R1024</v>
      </c>
      <c r="M722" s="28" t="str">
        <f t="array" ref="M722">_xlfn.XLOOKUP($A722, 'Hospitalisation Details'!$A:$A, 'Hospitalisation Details'!E:E, "No Data")</f>
        <v>08/11/60</v>
      </c>
      <c r="N722" s="28">
        <f t="array" ref="N722">_xlfn.XLOOKUP($A722, 'Hospitalisation Details'!$A:$A, 'Hospitalisation Details'!K:K, "No Data")</f>
        <v>62</v>
      </c>
      <c r="O722" s="33">
        <f t="array" ref="O722">_xlfn.XLOOKUP($A722, 'Hospitalisation Details'!$A:$A, 'Hospitalisation Details'!G:G, "No Data")</f>
        <v>14043.48</v>
      </c>
      <c r="P722" s="28" t="str">
        <f t="array" ref="P722">_xlfn.XLOOKUP($A722, 'Hospitalisation Details'!$A:$A, 'Hospitalisation Details'!H:H, "No Data")</f>
        <v>tier - 2</v>
      </c>
    </row>
    <row r="723">
      <c r="A723" s="25" t="s">
        <v>2305</v>
      </c>
      <c r="B723" s="28" t="str">
        <f t="array" ref="B723">_xlfn.XLOOKUP($A723, 'Customer Names'!$A:$A, 'Customer Names'!B:B, "No Data")</f>
        <v>Burgin</v>
      </c>
      <c r="C723" s="28">
        <f t="array" ref="C723">_xlfn.XLOOKUP($A723, 'Medical Examinations'!$A:$A, 'Medical Examinations'!B:B, "No Data")</f>
        <v>32.1</v>
      </c>
      <c r="D723" s="28">
        <f t="array" ref="D723">_xlfn.XLOOKUP($A723, 'Medical Examinations'!$A:$A, 'Medical Examinations'!C:C, "No Data")</f>
        <v>6.57</v>
      </c>
      <c r="E723" s="28" t="str">
        <f t="array" ref="E723">_xlfn.XLOOKUP($A723, 'Medical Examinations'!$A:$A, 'Medical Examinations'!D:D, "No Data")</f>
        <v>yes</v>
      </c>
      <c r="F723" s="28" t="str">
        <f t="array" ref="F723">_xlfn.XLOOKUP($A723, 'Medical Examinations'!$A:$A, 'Medical Examinations'!E:E, "No Data")</f>
        <v>No</v>
      </c>
      <c r="G723" s="28" t="str">
        <f t="array" ref="G723">_xlfn.XLOOKUP($A723, 'Medical Examinations'!$A:$A, 'Medical Examinations'!F:F, "No Data")</f>
        <v>Yes</v>
      </c>
      <c r="H723" s="28">
        <f t="array" ref="H723">_xlfn.XLOOKUP($A723, 'Medical Examinations'!$A:$A, 'Medical Examinations'!G:G, "No Data")</f>
        <v>1</v>
      </c>
      <c r="I723" s="28" t="str">
        <f t="array" ref="I723">_xlfn.XLOOKUP($A723, 'Medical Examinations'!$A:$A, 'Medical Examinations'!H:H, "No Data")</f>
        <v>No</v>
      </c>
      <c r="J723" s="28" t="str">
        <f t="array" ref="J723">_xlfn.XLOOKUP($A723, 'Medical Examinations'!$A:$A, 'Medical Examinations'!I:I, "No Data")</f>
        <v>Obesity</v>
      </c>
      <c r="K723" s="28" t="str">
        <f t="array" ref="K723">_xlfn.XLOOKUP($A723, 'Hospitalisation Details'!$A:$A, 'Hospitalisation Details'!I:I, "No Data")</f>
        <v>tier - 3</v>
      </c>
      <c r="L723" s="28" t="str">
        <f t="array" ref="L723">_xlfn.XLOOKUP($A723, 'Hospitalisation Details'!$A:$A, 'Hospitalisation Details'!J:J, "No Data")</f>
        <v>R1011</v>
      </c>
      <c r="M723" s="28" t="str">
        <f t="array" ref="M723">_xlfn.XLOOKUP($A723, 'Hospitalisation Details'!$A:$A, 'Hospitalisation Details'!E:E, "No Data")</f>
        <v>08/07/63</v>
      </c>
      <c r="N723" s="28">
        <f t="array" ref="N723">_xlfn.XLOOKUP($A723, 'Hospitalisation Details'!$A:$A, 'Hospitalisation Details'!K:K, "No Data")</f>
        <v>59</v>
      </c>
      <c r="O723" s="33">
        <f t="array" ref="O723">_xlfn.XLOOKUP($A723, 'Hospitalisation Details'!$A:$A, 'Hospitalisation Details'!G:G, "No Data")</f>
        <v>14007.22</v>
      </c>
      <c r="P723" s="28" t="str">
        <f t="array" ref="P723">_xlfn.XLOOKUP($A723, 'Hospitalisation Details'!$A:$A, 'Hospitalisation Details'!H:H, "No Data")</f>
        <v>tier - 2</v>
      </c>
    </row>
    <row r="724">
      <c r="A724" s="25" t="s">
        <v>2307</v>
      </c>
      <c r="B724" s="28" t="str">
        <f t="array" ref="B724">_xlfn.XLOOKUP($A724, 'Customer Names'!$A:$A, 'Customer Names'!B:B, "No Data")</f>
        <v>Roberts</v>
      </c>
      <c r="C724" s="28">
        <f t="array" ref="C724">_xlfn.XLOOKUP($A724, 'Medical Examinations'!$A:$A, 'Medical Examinations'!B:B, "No Data")</f>
        <v>27.83</v>
      </c>
      <c r="D724" s="28">
        <f t="array" ref="D724">_xlfn.XLOOKUP($A724, 'Medical Examinations'!$A:$A, 'Medical Examinations'!C:C, "No Data")</f>
        <v>11.61</v>
      </c>
      <c r="E724" s="28" t="str">
        <f t="array" ref="E724">_xlfn.XLOOKUP($A724, 'Medical Examinations'!$A:$A, 'Medical Examinations'!D:D, "No Data")</f>
        <v>yes</v>
      </c>
      <c r="F724" s="28" t="str">
        <f t="array" ref="F724">_xlfn.XLOOKUP($A724, 'Medical Examinations'!$A:$A, 'Medical Examinations'!E:E, "No Data")</f>
        <v>No</v>
      </c>
      <c r="G724" s="28" t="str">
        <f t="array" ref="G724">_xlfn.XLOOKUP($A724, 'Medical Examinations'!$A:$A, 'Medical Examinations'!F:F, "No Data")</f>
        <v>Yes</v>
      </c>
      <c r="H724" s="28">
        <f t="array" ref="H724">_xlfn.XLOOKUP($A724, 'Medical Examinations'!$A:$A, 'Medical Examinations'!G:G, "No Data")</f>
        <v>1</v>
      </c>
      <c r="I724" s="28" t="str">
        <f t="array" ref="I724">_xlfn.XLOOKUP($A724, 'Medical Examinations'!$A:$A, 'Medical Examinations'!H:H, "No Data")</f>
        <v>No</v>
      </c>
      <c r="J724" s="28" t="str">
        <f t="array" ref="J724">_xlfn.XLOOKUP($A724, 'Medical Examinations'!$A:$A, 'Medical Examinations'!I:I, "No Data")</f>
        <v>Overweight</v>
      </c>
      <c r="K724" s="28" t="str">
        <f t="array" ref="K724">_xlfn.XLOOKUP($A724, 'Hospitalisation Details'!$A:$A, 'Hospitalisation Details'!I:I, "No Data")</f>
        <v>tier - 2</v>
      </c>
      <c r="L724" s="28" t="str">
        <f t="array" ref="L724">_xlfn.XLOOKUP($A724, 'Hospitalisation Details'!$A:$A, 'Hospitalisation Details'!J:J, "No Data")</f>
        <v>R1013</v>
      </c>
      <c r="M724" s="28" t="str">
        <f t="array" ref="M724">_xlfn.XLOOKUP($A724, 'Hospitalisation Details'!$A:$A, 'Hospitalisation Details'!E:E, "No Data")</f>
        <v>06/07/63</v>
      </c>
      <c r="N724" s="28">
        <f t="array" ref="N724">_xlfn.XLOOKUP($A724, 'Hospitalisation Details'!$A:$A, 'Hospitalisation Details'!K:K, "No Data")</f>
        <v>59</v>
      </c>
      <c r="O724" s="33">
        <f t="array" ref="O724">_xlfn.XLOOKUP($A724, 'Hospitalisation Details'!$A:$A, 'Hospitalisation Details'!G:G, "No Data")</f>
        <v>14001.29</v>
      </c>
      <c r="P724" s="28" t="str">
        <f t="array" ref="P724">_xlfn.XLOOKUP($A724, 'Hospitalisation Details'!$A:$A, 'Hospitalisation Details'!H:H, "No Data")</f>
        <v>tier - 2</v>
      </c>
    </row>
    <row r="725">
      <c r="A725" s="25" t="s">
        <v>2311</v>
      </c>
      <c r="B725" s="28" t="str">
        <f t="array" ref="B725">_xlfn.XLOOKUP($A725, 'Customer Names'!$A:$A, 'Customer Names'!B:B, "No Data")</f>
        <v>Nemec</v>
      </c>
      <c r="C725" s="28">
        <f t="array" ref="C725">_xlfn.XLOOKUP($A725, 'Medical Examinations'!$A:$A, 'Medical Examinations'!B:B, "No Data")</f>
        <v>27.72</v>
      </c>
      <c r="D725" s="28">
        <f t="array" ref="D725">_xlfn.XLOOKUP($A725, 'Medical Examinations'!$A:$A, 'Medical Examinations'!C:C, "No Data")</f>
        <v>8.16</v>
      </c>
      <c r="E725" s="28" t="str">
        <f t="array" ref="E725">_xlfn.XLOOKUP($A725, 'Medical Examinations'!$A:$A, 'Medical Examinations'!D:D, "No Data")</f>
        <v>yes</v>
      </c>
      <c r="F725" s="28" t="str">
        <f t="array" ref="F725">_xlfn.XLOOKUP($A725, 'Medical Examinations'!$A:$A, 'Medical Examinations'!E:E, "No Data")</f>
        <v>No</v>
      </c>
      <c r="G725" s="28" t="str">
        <f t="array" ref="G725">_xlfn.XLOOKUP($A725, 'Medical Examinations'!$A:$A, 'Medical Examinations'!F:F, "No Data")</f>
        <v>Yes</v>
      </c>
      <c r="H725" s="28">
        <f t="array" ref="H725">_xlfn.XLOOKUP($A725, 'Medical Examinations'!$A:$A, 'Medical Examinations'!G:G, "No Data")</f>
        <v>1</v>
      </c>
      <c r="I725" s="28" t="str">
        <f t="array" ref="I725">_xlfn.XLOOKUP($A725, 'Medical Examinations'!$A:$A, 'Medical Examinations'!H:H, "No Data")</f>
        <v>No</v>
      </c>
      <c r="J725" s="28" t="str">
        <f t="array" ref="J725">_xlfn.XLOOKUP($A725, 'Medical Examinations'!$A:$A, 'Medical Examinations'!I:I, "No Data")</f>
        <v>Overweight</v>
      </c>
      <c r="K725" s="28" t="str">
        <f t="array" ref="K725">_xlfn.XLOOKUP($A725, 'Hospitalisation Details'!$A:$A, 'Hospitalisation Details'!I:I, "No Data")</f>
        <v>tier - 1</v>
      </c>
      <c r="L725" s="28" t="str">
        <f t="array" ref="L725">_xlfn.XLOOKUP($A725, 'Hospitalisation Details'!$A:$A, 'Hospitalisation Details'!J:J, "No Data")</f>
        <v>R1013</v>
      </c>
      <c r="M725" s="28" t="str">
        <f t="array" ref="M725">_xlfn.XLOOKUP($A725, 'Hospitalisation Details'!$A:$A, 'Hospitalisation Details'!E:E, "No Data")</f>
        <v>23/12/63</v>
      </c>
      <c r="N725" s="28">
        <f t="array" ref="N725">_xlfn.XLOOKUP($A725, 'Hospitalisation Details'!$A:$A, 'Hospitalisation Details'!K:K, "No Data")</f>
        <v>59</v>
      </c>
      <c r="O725" s="33">
        <f t="array" ref="O725">_xlfn.XLOOKUP($A725, 'Hospitalisation Details'!$A:$A, 'Hospitalisation Details'!G:G, "No Data")</f>
        <v>14001.13</v>
      </c>
      <c r="P725" s="28" t="str">
        <f t="array" ref="P725">_xlfn.XLOOKUP($A725, 'Hospitalisation Details'!$A:$A, 'Hospitalisation Details'!H:H, "No Data")</f>
        <v>tier - 2</v>
      </c>
    </row>
    <row r="726">
      <c r="A726" s="25" t="s">
        <v>2313</v>
      </c>
      <c r="B726" s="28" t="str">
        <f t="array" ref="B726">_xlfn.XLOOKUP($A726, 'Customer Names'!$A:$A, 'Customer Names'!B:B, "No Data")</f>
        <v>Appman</v>
      </c>
      <c r="C726" s="28">
        <f t="array" ref="C726">_xlfn.XLOOKUP($A726, 'Medical Examinations'!$A:$A, 'Medical Examinations'!B:B, "No Data")</f>
        <v>36.765</v>
      </c>
      <c r="D726" s="28">
        <f t="array" ref="D726">_xlfn.XLOOKUP($A726, 'Medical Examinations'!$A:$A, 'Medical Examinations'!C:C, "No Data")</f>
        <v>4.48</v>
      </c>
      <c r="E726" s="28" t="str">
        <f t="array" ref="E726">_xlfn.XLOOKUP($A726, 'Medical Examinations'!$A:$A, 'Medical Examinations'!D:D, "No Data")</f>
        <v>yes</v>
      </c>
      <c r="F726" s="28" t="str">
        <f t="array" ref="F726">_xlfn.XLOOKUP($A726, 'Medical Examinations'!$A:$A, 'Medical Examinations'!E:E, "No Data")</f>
        <v>No</v>
      </c>
      <c r="G726" s="28" t="str">
        <f t="array" ref="G726">_xlfn.XLOOKUP($A726, 'Medical Examinations'!$A:$A, 'Medical Examinations'!F:F, "No Data")</f>
        <v>No</v>
      </c>
      <c r="H726" s="28">
        <f t="array" ref="H726">_xlfn.XLOOKUP($A726, 'Medical Examinations'!$A:$A, 'Medical Examinations'!G:G, "No Data")</f>
        <v>2</v>
      </c>
      <c r="I726" s="28" t="str">
        <f t="array" ref="I726">_xlfn.XLOOKUP($A726, 'Medical Examinations'!$A:$A, 'Medical Examinations'!H:H, "No Data")</f>
        <v>No</v>
      </c>
      <c r="J726" s="28" t="str">
        <f t="array" ref="J726">_xlfn.XLOOKUP($A726, 'Medical Examinations'!$A:$A, 'Medical Examinations'!I:I, "No Data")</f>
        <v>Obesity</v>
      </c>
      <c r="K726" s="28" t="str">
        <f t="array" ref="K726">_xlfn.XLOOKUP($A726, 'Hospitalisation Details'!$A:$A, 'Hospitalisation Details'!I:I, "No Data")</f>
        <v>tier - 1</v>
      </c>
      <c r="L726" s="28" t="str">
        <f t="array" ref="L726">_xlfn.XLOOKUP($A726, 'Hospitalisation Details'!$A:$A, 'Hospitalisation Details'!J:J, "No Data")</f>
        <v>R1016</v>
      </c>
      <c r="M726" s="28" t="str">
        <f t="array" ref="M726">_xlfn.XLOOKUP($A726, 'Hospitalisation Details'!$A:$A, 'Hospitalisation Details'!E:E, "No Data")</f>
        <v>06/09/59</v>
      </c>
      <c r="N726" s="28">
        <f t="array" ref="N726">_xlfn.XLOOKUP($A726, 'Hospitalisation Details'!$A:$A, 'Hospitalisation Details'!K:K, "No Data")</f>
        <v>63</v>
      </c>
      <c r="O726" s="33">
        <f t="array" ref="O726">_xlfn.XLOOKUP($A726, 'Hospitalisation Details'!$A:$A, 'Hospitalisation Details'!G:G, "No Data")</f>
        <v>13981.85</v>
      </c>
      <c r="P726" s="28" t="str">
        <f t="array" ref="P726">_xlfn.XLOOKUP($A726, 'Hospitalisation Details'!$A:$A, 'Hospitalisation Details'!H:H, "No Data")</f>
        <v>tier - 2</v>
      </c>
    </row>
    <row r="727">
      <c r="A727" s="25" t="s">
        <v>2317</v>
      </c>
      <c r="B727" s="28" t="str">
        <f t="array" ref="B727">_xlfn.XLOOKUP($A727, 'Customer Names'!$A:$A, 'Customer Names'!B:B, "No Data")</f>
        <v>Driscoll</v>
      </c>
      <c r="C727" s="28">
        <f t="array" ref="C727">_xlfn.XLOOKUP($A727, 'Medical Examinations'!$A:$A, 'Medical Examinations'!B:B, "No Data")</f>
        <v>48.36</v>
      </c>
      <c r="D727" s="28">
        <f t="array" ref="D727">_xlfn.XLOOKUP($A727, 'Medical Examinations'!$A:$A, 'Medical Examinations'!C:C, "No Data")</f>
        <v>4.08</v>
      </c>
      <c r="E727" s="28" t="str">
        <f t="array" ref="E727">_xlfn.XLOOKUP($A727, 'Medical Examinations'!$A:$A, 'Medical Examinations'!D:D, "No Data")</f>
        <v>No</v>
      </c>
      <c r="F727" s="28" t="str">
        <f t="array" ref="F727">_xlfn.XLOOKUP($A727, 'Medical Examinations'!$A:$A, 'Medical Examinations'!E:E, "No Data")</f>
        <v>No</v>
      </c>
      <c r="G727" s="28" t="str">
        <f t="array" ref="G727">_xlfn.XLOOKUP($A727, 'Medical Examinations'!$A:$A, 'Medical Examinations'!F:F, "No Data")</f>
        <v>No</v>
      </c>
      <c r="H727" s="28">
        <f t="array" ref="H727">_xlfn.XLOOKUP($A727, 'Medical Examinations'!$A:$A, 'Medical Examinations'!G:G, "No Data")</f>
        <v>0</v>
      </c>
      <c r="I727" s="28" t="str">
        <f t="array" ref="I727">_xlfn.XLOOKUP($A727, 'Medical Examinations'!$A:$A, 'Medical Examinations'!H:H, "No Data")</f>
        <v>No</v>
      </c>
      <c r="J727" s="28" t="str">
        <f t="array" ref="J727">_xlfn.XLOOKUP($A727, 'Medical Examinations'!$A:$A, 'Medical Examinations'!I:I, "No Data")</f>
        <v>Obesity</v>
      </c>
      <c r="K727" s="28" t="str">
        <f t="array" ref="K727">_xlfn.XLOOKUP($A727, 'Hospitalisation Details'!$A:$A, 'Hospitalisation Details'!I:I, "No Data")</f>
        <v>tier - 1</v>
      </c>
      <c r="L727" s="28" t="str">
        <f t="array" ref="L727">_xlfn.XLOOKUP($A727, 'Hospitalisation Details'!$A:$A, 'Hospitalisation Details'!J:J, "No Data")</f>
        <v>R1023</v>
      </c>
      <c r="M727" s="28" t="str">
        <f t="array" ref="M727">_xlfn.XLOOKUP($A727, 'Hospitalisation Details'!$A:$A, 'Hospitalisation Details'!E:E, "No Data")</f>
        <v>13/07/90</v>
      </c>
      <c r="N727" s="28">
        <f t="array" ref="N727">_xlfn.XLOOKUP($A727, 'Hospitalisation Details'!$A:$A, 'Hospitalisation Details'!K:K, "No Data")</f>
        <v>32</v>
      </c>
      <c r="O727" s="33">
        <f t="array" ref="O727">_xlfn.XLOOKUP($A727, 'Hospitalisation Details'!$A:$A, 'Hospitalisation Details'!G:G, "No Data")</f>
        <v>13979.45</v>
      </c>
      <c r="P727" s="28" t="str">
        <f t="array" ref="P727">_xlfn.XLOOKUP($A727, 'Hospitalisation Details'!$A:$A, 'Hospitalisation Details'!H:H, "No Data")</f>
        <v>tier - 2</v>
      </c>
    </row>
    <row r="728">
      <c r="A728" s="25" t="s">
        <v>2319</v>
      </c>
      <c r="B728" s="28" t="str">
        <f t="array" ref="B728">_xlfn.XLOOKUP($A728, 'Customer Names'!$A:$A, 'Customer Names'!B:B, "No Data")</f>
        <v>Glotzbach</v>
      </c>
      <c r="C728" s="28">
        <f t="array" ref="C728">_xlfn.XLOOKUP($A728, 'Medical Examinations'!$A:$A, 'Medical Examinations'!B:B, "No Data")</f>
        <v>31.445</v>
      </c>
      <c r="D728" s="28">
        <f t="array" ref="D728">_xlfn.XLOOKUP($A728, 'Medical Examinations'!$A:$A, 'Medical Examinations'!C:C, "No Data")</f>
        <v>4.4</v>
      </c>
      <c r="E728" s="28" t="str">
        <f t="array" ref="E728">_xlfn.XLOOKUP($A728, 'Medical Examinations'!$A:$A, 'Medical Examinations'!D:D, "No Data")</f>
        <v>yes</v>
      </c>
      <c r="F728" s="28" t="str">
        <f t="array" ref="F728">_xlfn.XLOOKUP($A728, 'Medical Examinations'!$A:$A, 'Medical Examinations'!E:E, "No Data")</f>
        <v>No</v>
      </c>
      <c r="G728" s="28" t="str">
        <f t="array" ref="G728">_xlfn.XLOOKUP($A728, 'Medical Examinations'!$A:$A, 'Medical Examinations'!F:F, "No Data")</f>
        <v>No</v>
      </c>
      <c r="H728" s="28">
        <f t="array" ref="H728">_xlfn.XLOOKUP($A728, 'Medical Examinations'!$A:$A, 'Medical Examinations'!G:G, "No Data")</f>
        <v>2</v>
      </c>
      <c r="I728" s="28" t="str">
        <f t="array" ref="I728">_xlfn.XLOOKUP($A728, 'Medical Examinations'!$A:$A, 'Medical Examinations'!H:H, "No Data")</f>
        <v>No</v>
      </c>
      <c r="J728" s="28" t="str">
        <f t="array" ref="J728">_xlfn.XLOOKUP($A728, 'Medical Examinations'!$A:$A, 'Medical Examinations'!I:I, "No Data")</f>
        <v>Obesity</v>
      </c>
      <c r="K728" s="28" t="str">
        <f t="array" ref="K728">_xlfn.XLOOKUP($A728, 'Hospitalisation Details'!$A:$A, 'Hospitalisation Details'!I:I, "No Data")</f>
        <v>tier - 2</v>
      </c>
      <c r="L728" s="28" t="str">
        <f t="array" ref="L728">_xlfn.XLOOKUP($A728, 'Hospitalisation Details'!$A:$A, 'Hospitalisation Details'!J:J, "No Data")</f>
        <v>R1019</v>
      </c>
      <c r="M728" s="28" t="str">
        <f t="array" ref="M728">_xlfn.XLOOKUP($A728, 'Hospitalisation Details'!$A:$A, 'Hospitalisation Details'!E:E, "No Data")</f>
        <v>29/08/59</v>
      </c>
      <c r="N728" s="28">
        <f t="array" ref="N728">_xlfn.XLOOKUP($A728, 'Hospitalisation Details'!$A:$A, 'Hospitalisation Details'!K:K, "No Data")</f>
        <v>63</v>
      </c>
      <c r="O728" s="33">
        <f t="array" ref="O728">_xlfn.XLOOKUP($A728, 'Hospitalisation Details'!$A:$A, 'Hospitalisation Details'!G:G, "No Data")</f>
        <v>13974.46</v>
      </c>
      <c r="P728" s="28" t="str">
        <f t="array" ref="P728">_xlfn.XLOOKUP($A728, 'Hospitalisation Details'!$A:$A, 'Hospitalisation Details'!H:H, "No Data")</f>
        <v>tier - 2</v>
      </c>
    </row>
    <row r="729">
      <c r="A729" s="25" t="s">
        <v>2321</v>
      </c>
      <c r="B729" s="28" t="str">
        <f t="array" ref="B729">_xlfn.XLOOKUP($A729, 'Customer Names'!$A:$A, 'Customer Names'!B:B, "No Data")</f>
        <v>Tenforde</v>
      </c>
      <c r="C729" s="28">
        <f t="array" ref="C729">_xlfn.XLOOKUP($A729, 'Medical Examinations'!$A:$A, 'Medical Examinations'!B:B, "No Data")</f>
        <v>27.55</v>
      </c>
      <c r="D729" s="28">
        <f t="array" ref="D729">_xlfn.XLOOKUP($A729, 'Medical Examinations'!$A:$A, 'Medical Examinations'!C:C, "No Data")</f>
        <v>9.02</v>
      </c>
      <c r="E729" s="28" t="str">
        <f t="array" ref="E729">_xlfn.XLOOKUP($A729, 'Medical Examinations'!$A:$A, 'Medical Examinations'!D:D, "No Data")</f>
        <v>No</v>
      </c>
      <c r="F729" s="28" t="str">
        <f t="array" ref="F729">_xlfn.XLOOKUP($A729, 'Medical Examinations'!$A:$A, 'Medical Examinations'!E:E, "No Data")</f>
        <v>No</v>
      </c>
      <c r="G729" s="28" t="str">
        <f t="array" ref="G729">_xlfn.XLOOKUP($A729, 'Medical Examinations'!$A:$A, 'Medical Examinations'!F:F, "No Data")</f>
        <v>No</v>
      </c>
      <c r="H729" s="28">
        <f t="array" ref="H729">_xlfn.XLOOKUP($A729, 'Medical Examinations'!$A:$A, 'Medical Examinations'!G:G, "No Data")</f>
        <v>0</v>
      </c>
      <c r="I729" s="28" t="str">
        <f t="array" ref="I729">_xlfn.XLOOKUP($A729, 'Medical Examinations'!$A:$A, 'Medical Examinations'!H:H, "No Data")</f>
        <v>No</v>
      </c>
      <c r="J729" s="28" t="str">
        <f t="array" ref="J729">_xlfn.XLOOKUP($A729, 'Medical Examinations'!$A:$A, 'Medical Examinations'!I:I, "No Data")</f>
        <v>Overweight</v>
      </c>
      <c r="K729" s="28" t="str">
        <f t="array" ref="K729">_xlfn.XLOOKUP($A729, 'Hospitalisation Details'!$A:$A, 'Hospitalisation Details'!I:I, "No Data")</f>
        <v>tier - 1</v>
      </c>
      <c r="L729" s="28" t="str">
        <f t="array" ref="L729">_xlfn.XLOOKUP($A729, 'Hospitalisation Details'!$A:$A, 'Hospitalisation Details'!J:J, "No Data")</f>
        <v>R1012</v>
      </c>
      <c r="M729" s="28" t="str">
        <f t="array" ref="M729">_xlfn.XLOOKUP($A729, 'Hospitalisation Details'!$A:$A, 'Hospitalisation Details'!E:E, "No Data")</f>
        <v>18/06/60</v>
      </c>
      <c r="N729" s="28">
        <f t="array" ref="N729">_xlfn.XLOOKUP($A729, 'Hospitalisation Details'!$A:$A, 'Hospitalisation Details'!K:K, "No Data")</f>
        <v>62</v>
      </c>
      <c r="O729" s="33">
        <f t="array" ref="O729">_xlfn.XLOOKUP($A729, 'Hospitalisation Details'!$A:$A, 'Hospitalisation Details'!G:G, "No Data")</f>
        <v>13937.67</v>
      </c>
      <c r="P729" s="28" t="str">
        <f t="array" ref="P729">_xlfn.XLOOKUP($A729, 'Hospitalisation Details'!$A:$A, 'Hospitalisation Details'!H:H, "No Data")</f>
        <v>tier - 2</v>
      </c>
    </row>
    <row r="730">
      <c r="A730" s="25" t="s">
        <v>2325</v>
      </c>
      <c r="B730" s="28" t="str">
        <f t="array" ref="B730">_xlfn.XLOOKUP($A730, 'Customer Names'!$A:$A, 'Customer Names'!B:B, "No Data")</f>
        <v>Ramirez</v>
      </c>
      <c r="C730" s="28">
        <f t="array" ref="C730">_xlfn.XLOOKUP($A730, 'Medical Examinations'!$A:$A, 'Medical Examinations'!B:B, "No Data")</f>
        <v>33.11</v>
      </c>
      <c r="D730" s="28">
        <f t="array" ref="D730">_xlfn.XLOOKUP($A730, 'Medical Examinations'!$A:$A, 'Medical Examinations'!C:C, "No Data")</f>
        <v>8.06</v>
      </c>
      <c r="E730" s="28" t="str">
        <f t="array" ref="E730">_xlfn.XLOOKUP($A730, 'Medical Examinations'!$A:$A, 'Medical Examinations'!D:D, "No Data")</f>
        <v>No</v>
      </c>
      <c r="F730" s="28" t="str">
        <f t="array" ref="F730">_xlfn.XLOOKUP($A730, 'Medical Examinations'!$A:$A, 'Medical Examinations'!E:E, "No Data")</f>
        <v>No</v>
      </c>
      <c r="G730" s="28" t="str">
        <f t="array" ref="G730">_xlfn.XLOOKUP($A730, 'Medical Examinations'!$A:$A, 'Medical Examinations'!F:F, "No Data")</f>
        <v>No</v>
      </c>
      <c r="H730" s="28">
        <f t="array" ref="H730">_xlfn.XLOOKUP($A730, 'Medical Examinations'!$A:$A, 'Medical Examinations'!G:G, "No Data")</f>
        <v>0</v>
      </c>
      <c r="I730" s="28" t="str">
        <f t="array" ref="I730">_xlfn.XLOOKUP($A730, 'Medical Examinations'!$A:$A, 'Medical Examinations'!H:H, "No Data")</f>
        <v>No</v>
      </c>
      <c r="J730" s="28" t="str">
        <f t="array" ref="J730">_xlfn.XLOOKUP($A730, 'Medical Examinations'!$A:$A, 'Medical Examinations'!I:I, "No Data")</f>
        <v>Obesity</v>
      </c>
      <c r="K730" s="28" t="str">
        <f t="array" ref="K730">_xlfn.XLOOKUP($A730, 'Hospitalisation Details'!$A:$A, 'Hospitalisation Details'!I:I, "No Data")</f>
        <v>tier - 2</v>
      </c>
      <c r="L730" s="28" t="str">
        <f t="array" ref="L730">_xlfn.XLOOKUP($A730, 'Hospitalisation Details'!$A:$A, 'Hospitalisation Details'!J:J, "No Data")</f>
        <v>R1013</v>
      </c>
      <c r="M730" s="28" t="str">
        <f t="array" ref="M730">_xlfn.XLOOKUP($A730, 'Hospitalisation Details'!$A:$A, 'Hospitalisation Details'!E:E, "No Data")</f>
        <v>27/07/62</v>
      </c>
      <c r="N730" s="28">
        <f t="array" ref="N730">_xlfn.XLOOKUP($A730, 'Hospitalisation Details'!$A:$A, 'Hospitalisation Details'!K:K, "No Data")</f>
        <v>60</v>
      </c>
      <c r="O730" s="33">
        <f t="array" ref="O730">_xlfn.XLOOKUP($A730, 'Hospitalisation Details'!$A:$A, 'Hospitalisation Details'!G:G, "No Data")</f>
        <v>13919.82</v>
      </c>
      <c r="P730" s="28" t="str">
        <f t="array" ref="P730">_xlfn.XLOOKUP($A730, 'Hospitalisation Details'!$A:$A, 'Hospitalisation Details'!H:H, "No Data")</f>
        <v>tier - 2</v>
      </c>
    </row>
    <row r="731">
      <c r="A731" s="25" t="s">
        <v>2327</v>
      </c>
      <c r="B731" s="28" t="str">
        <f t="array" ref="B731">_xlfn.XLOOKUP($A731, 'Customer Names'!$A:$A, 'Customer Names'!B:B, "No Data")</f>
        <v>Stanley Torres</v>
      </c>
      <c r="C731" s="28">
        <f t="array" ref="C731">_xlfn.XLOOKUP($A731, 'Medical Examinations'!$A:$A, 'Medical Examinations'!B:B, "No Data")</f>
        <v>36.85</v>
      </c>
      <c r="D731" s="28">
        <f t="array" ref="D731">_xlfn.XLOOKUP($A731, 'Medical Examinations'!$A:$A, 'Medical Examinations'!C:C, "No Data")</f>
        <v>6.21</v>
      </c>
      <c r="E731" s="28" t="str">
        <f t="array" ref="E731">_xlfn.XLOOKUP($A731, 'Medical Examinations'!$A:$A, 'Medical Examinations'!D:D, "No Data")</f>
        <v>yes</v>
      </c>
      <c r="F731" s="28" t="str">
        <f t="array" ref="F731">_xlfn.XLOOKUP($A731, 'Medical Examinations'!$A:$A, 'Medical Examinations'!E:E, "No Data")</f>
        <v>No</v>
      </c>
      <c r="G731" s="28" t="str">
        <f t="array" ref="G731">_xlfn.XLOOKUP($A731, 'Medical Examinations'!$A:$A, 'Medical Examinations'!F:F, "No Data")</f>
        <v>No</v>
      </c>
      <c r="H731" s="28">
        <f t="array" ref="H731">_xlfn.XLOOKUP($A731, 'Medical Examinations'!$A:$A, 'Medical Examinations'!G:G, "No Data")</f>
        <v>2</v>
      </c>
      <c r="I731" s="28" t="str">
        <f t="array" ref="I731">_xlfn.XLOOKUP($A731, 'Medical Examinations'!$A:$A, 'Medical Examinations'!H:H, "No Data")</f>
        <v>No</v>
      </c>
      <c r="J731" s="28" t="str">
        <f t="array" ref="J731">_xlfn.XLOOKUP($A731, 'Medical Examinations'!$A:$A, 'Medical Examinations'!I:I, "No Data")</f>
        <v>Obesity</v>
      </c>
      <c r="K731" s="28" t="str">
        <f t="array" ref="K731">_xlfn.XLOOKUP($A731, 'Hospitalisation Details'!$A:$A, 'Hospitalisation Details'!I:I, "No Data")</f>
        <v>tier - 2</v>
      </c>
      <c r="L731" s="28" t="str">
        <f t="array" ref="L731">_xlfn.XLOOKUP($A731, 'Hospitalisation Details'!$A:$A, 'Hospitalisation Details'!J:J, "No Data")</f>
        <v>R1013</v>
      </c>
      <c r="M731" s="28" t="str">
        <f t="array" ref="M731">_xlfn.XLOOKUP($A731, 'Hospitalisation Details'!$A:$A, 'Hospitalisation Details'!E:E, "No Data")</f>
        <v>07/07/59</v>
      </c>
      <c r="N731" s="28">
        <f t="array" ref="N731">_xlfn.XLOOKUP($A731, 'Hospitalisation Details'!$A:$A, 'Hospitalisation Details'!K:K, "No Data")</f>
        <v>63</v>
      </c>
      <c r="O731" s="33">
        <f t="array" ref="O731">_xlfn.XLOOKUP($A731, 'Hospitalisation Details'!$A:$A, 'Hospitalisation Details'!G:G, "No Data")</f>
        <v>13887.97</v>
      </c>
      <c r="P731" s="28" t="str">
        <f t="array" ref="P731">_xlfn.XLOOKUP($A731, 'Hospitalisation Details'!$A:$A, 'Hospitalisation Details'!H:H, "No Data")</f>
        <v>tier - 2</v>
      </c>
    </row>
    <row r="732">
      <c r="A732" s="25" t="s">
        <v>2331</v>
      </c>
      <c r="B732" s="28" t="str">
        <f t="array" ref="B732">_xlfn.XLOOKUP($A732, 'Customer Names'!$A:$A, 'Customer Names'!B:B, "No Data")</f>
        <v>Vandongen</v>
      </c>
      <c r="C732" s="28">
        <f t="array" ref="C732">_xlfn.XLOOKUP($A732, 'Medical Examinations'!$A:$A, 'Medical Examinations'!B:B, "No Data")</f>
        <v>36.3</v>
      </c>
      <c r="D732" s="28">
        <f t="array" ref="D732">_xlfn.XLOOKUP($A732, 'Medical Examinations'!$A:$A, 'Medical Examinations'!C:C, "No Data")</f>
        <v>5.79</v>
      </c>
      <c r="E732" s="28" t="str">
        <f t="array" ref="E732">_xlfn.XLOOKUP($A732, 'Medical Examinations'!$A:$A, 'Medical Examinations'!D:D, "No Data")</f>
        <v>yes</v>
      </c>
      <c r="F732" s="28" t="str">
        <f t="array" ref="F732">_xlfn.XLOOKUP($A732, 'Medical Examinations'!$A:$A, 'Medical Examinations'!E:E, "No Data")</f>
        <v>No</v>
      </c>
      <c r="G732" s="28" t="str">
        <f t="array" ref="G732">_xlfn.XLOOKUP($A732, 'Medical Examinations'!$A:$A, 'Medical Examinations'!F:F, "No Data")</f>
        <v>No</v>
      </c>
      <c r="H732" s="28">
        <f t="array" ref="H732">_xlfn.XLOOKUP($A732, 'Medical Examinations'!$A:$A, 'Medical Examinations'!G:G, "No Data")</f>
        <v>2</v>
      </c>
      <c r="I732" s="28" t="str">
        <f t="array" ref="I732">_xlfn.XLOOKUP($A732, 'Medical Examinations'!$A:$A, 'Medical Examinations'!H:H, "No Data")</f>
        <v>No</v>
      </c>
      <c r="J732" s="28" t="str">
        <f t="array" ref="J732">_xlfn.XLOOKUP($A732, 'Medical Examinations'!$A:$A, 'Medical Examinations'!I:I, "No Data")</f>
        <v>Obesity</v>
      </c>
      <c r="K732" s="28" t="str">
        <f t="array" ref="K732">_xlfn.XLOOKUP($A732, 'Hospitalisation Details'!$A:$A, 'Hospitalisation Details'!I:I, "No Data")</f>
        <v>tier - 3</v>
      </c>
      <c r="L732" s="28" t="str">
        <f t="array" ref="L732">_xlfn.XLOOKUP($A732, 'Hospitalisation Details'!$A:$A, 'Hospitalisation Details'!J:J, "No Data")</f>
        <v>R1013</v>
      </c>
      <c r="M732" s="28" t="str">
        <f t="array" ref="M732">_xlfn.XLOOKUP($A732, 'Hospitalisation Details'!$A:$A, 'Hospitalisation Details'!E:E, "No Data")</f>
        <v>29/12/59</v>
      </c>
      <c r="N732" s="28">
        <f t="array" ref="N732">_xlfn.XLOOKUP($A732, 'Hospitalisation Details'!$A:$A, 'Hospitalisation Details'!K:K, "No Data")</f>
        <v>63</v>
      </c>
      <c r="O732" s="33">
        <f t="array" ref="O732">_xlfn.XLOOKUP($A732, 'Hospitalisation Details'!$A:$A, 'Hospitalisation Details'!G:G, "No Data")</f>
        <v>13887.2</v>
      </c>
      <c r="P732" s="28" t="str">
        <f t="array" ref="P732">_xlfn.XLOOKUP($A732, 'Hospitalisation Details'!$A:$A, 'Hospitalisation Details'!H:H, "No Data")</f>
        <v>tier - 2</v>
      </c>
    </row>
    <row r="733">
      <c r="A733" s="25" t="s">
        <v>2333</v>
      </c>
      <c r="B733" s="28" t="str">
        <f t="array" ref="B733">_xlfn.XLOOKUP($A733, 'Customer Names'!$A:$A, 'Customer Names'!B:B, "No Data")</f>
        <v>Liebald</v>
      </c>
      <c r="C733" s="28">
        <f t="array" ref="C733">_xlfn.XLOOKUP($A733, 'Medical Examinations'!$A:$A, 'Medical Examinations'!B:B, "No Data")</f>
        <v>45.34</v>
      </c>
      <c r="D733" s="28">
        <f t="array" ref="D733">_xlfn.XLOOKUP($A733, 'Medical Examinations'!$A:$A, 'Medical Examinations'!C:C, "No Data")</f>
        <v>5.69</v>
      </c>
      <c r="E733" s="28" t="str">
        <f t="array" ref="E733">_xlfn.XLOOKUP($A733, 'Medical Examinations'!$A:$A, 'Medical Examinations'!D:D, "No Data")</f>
        <v>yes</v>
      </c>
      <c r="F733" s="28" t="str">
        <f t="array" ref="F733">_xlfn.XLOOKUP($A733, 'Medical Examinations'!$A:$A, 'Medical Examinations'!E:E, "No Data")</f>
        <v>No</v>
      </c>
      <c r="G733" s="28" t="str">
        <f t="array" ref="G733">_xlfn.XLOOKUP($A733, 'Medical Examinations'!$A:$A, 'Medical Examinations'!F:F, "No Data")</f>
        <v>No</v>
      </c>
      <c r="H733" s="28">
        <f t="array" ref="H733">_xlfn.XLOOKUP($A733, 'Medical Examinations'!$A:$A, 'Medical Examinations'!G:G, "No Data")</f>
        <v>0</v>
      </c>
      <c r="I733" s="28" t="str">
        <f t="array" ref="I733">_xlfn.XLOOKUP($A733, 'Medical Examinations'!$A:$A, 'Medical Examinations'!H:H, "No Data")</f>
        <v>No</v>
      </c>
      <c r="J733" s="28" t="str">
        <f t="array" ref="J733">_xlfn.XLOOKUP($A733, 'Medical Examinations'!$A:$A, 'Medical Examinations'!I:I, "No Data")</f>
        <v>Obesity</v>
      </c>
      <c r="K733" s="28" t="str">
        <f t="array" ref="K733">_xlfn.XLOOKUP($A733, 'Hospitalisation Details'!$A:$A, 'Hospitalisation Details'!I:I, "No Data")</f>
        <v>tier - 2</v>
      </c>
      <c r="L733" s="28" t="str">
        <f t="array" ref="L733">_xlfn.XLOOKUP($A733, 'Hospitalisation Details'!$A:$A, 'Hospitalisation Details'!J:J, "No Data")</f>
        <v>R1012</v>
      </c>
      <c r="M733" s="28" t="str">
        <f t="array" ref="M733">_xlfn.XLOOKUP($A733, 'Hospitalisation Details'!$A:$A, 'Hospitalisation Details'!E:E, "No Data")</f>
        <v>25/09/85</v>
      </c>
      <c r="N733" s="28">
        <f t="array" ref="N733">_xlfn.XLOOKUP($A733, 'Hospitalisation Details'!$A:$A, 'Hospitalisation Details'!K:K, "No Data")</f>
        <v>37</v>
      </c>
      <c r="O733" s="33">
        <f t="array" ref="O733">_xlfn.XLOOKUP($A733, 'Hospitalisation Details'!$A:$A, 'Hospitalisation Details'!G:G, "No Data")</f>
        <v>13886.4</v>
      </c>
      <c r="P733" s="28" t="str">
        <f t="array" ref="P733">_xlfn.XLOOKUP($A733, 'Hospitalisation Details'!$A:$A, 'Hospitalisation Details'!H:H, "No Data")</f>
        <v>tier - 2</v>
      </c>
    </row>
    <row r="734">
      <c r="A734" s="25" t="s">
        <v>2337</v>
      </c>
      <c r="B734" s="28" t="str">
        <f t="array" ref="B734">_xlfn.XLOOKUP($A734, 'Customer Names'!$A:$A, 'Customer Names'!B:B, "No Data")</f>
        <v>Holte</v>
      </c>
      <c r="C734" s="28">
        <f t="array" ref="C734">_xlfn.XLOOKUP($A734, 'Medical Examinations'!$A:$A, 'Medical Examinations'!B:B, "No Data")</f>
        <v>31.8</v>
      </c>
      <c r="D734" s="28">
        <f t="array" ref="D734">_xlfn.XLOOKUP($A734, 'Medical Examinations'!$A:$A, 'Medical Examinations'!C:C, "No Data")</f>
        <v>5.36</v>
      </c>
      <c r="E734" s="28" t="str">
        <f t="array" ref="E734">_xlfn.XLOOKUP($A734, 'Medical Examinations'!$A:$A, 'Medical Examinations'!D:D, "No Data")</f>
        <v>yes</v>
      </c>
      <c r="F734" s="28" t="str">
        <f t="array" ref="F734">_xlfn.XLOOKUP($A734, 'Medical Examinations'!$A:$A, 'Medical Examinations'!E:E, "No Data")</f>
        <v>No</v>
      </c>
      <c r="G734" s="28" t="str">
        <f t="array" ref="G734">_xlfn.XLOOKUP($A734, 'Medical Examinations'!$A:$A, 'Medical Examinations'!F:F, "No Data")</f>
        <v>No</v>
      </c>
      <c r="H734" s="28">
        <f t="array" ref="H734">_xlfn.XLOOKUP($A734, 'Medical Examinations'!$A:$A, 'Medical Examinations'!G:G, "No Data")</f>
        <v>2</v>
      </c>
      <c r="I734" s="28" t="str">
        <f t="array" ref="I734">_xlfn.XLOOKUP($A734, 'Medical Examinations'!$A:$A, 'Medical Examinations'!H:H, "No Data")</f>
        <v>No</v>
      </c>
      <c r="J734" s="28" t="str">
        <f t="array" ref="J734">_xlfn.XLOOKUP($A734, 'Medical Examinations'!$A:$A, 'Medical Examinations'!I:I, "No Data")</f>
        <v>Obesity</v>
      </c>
      <c r="K734" s="28" t="str">
        <f t="array" ref="K734">_xlfn.XLOOKUP($A734, 'Hospitalisation Details'!$A:$A, 'Hospitalisation Details'!I:I, "No Data")</f>
        <v>tier - 2</v>
      </c>
      <c r="L734" s="28" t="str">
        <f t="array" ref="L734">_xlfn.XLOOKUP($A734, 'Hospitalisation Details'!$A:$A, 'Hospitalisation Details'!J:J, "No Data")</f>
        <v>R1011</v>
      </c>
      <c r="M734" s="28" t="str">
        <f t="array" ref="M734">_xlfn.XLOOKUP($A734, 'Hospitalisation Details'!$A:$A, 'Hospitalisation Details'!E:E, "No Data")</f>
        <v>05/10/59</v>
      </c>
      <c r="N734" s="28">
        <f t="array" ref="N734">_xlfn.XLOOKUP($A734, 'Hospitalisation Details'!$A:$A, 'Hospitalisation Details'!K:K, "No Data")</f>
        <v>63</v>
      </c>
      <c r="O734" s="33">
        <f t="array" ref="O734">_xlfn.XLOOKUP($A734, 'Hospitalisation Details'!$A:$A, 'Hospitalisation Details'!G:G, "No Data")</f>
        <v>13880.95</v>
      </c>
      <c r="P734" s="28" t="str">
        <f t="array" ref="P734">_xlfn.XLOOKUP($A734, 'Hospitalisation Details'!$A:$A, 'Hospitalisation Details'!H:H, "No Data")</f>
        <v>tier - 2</v>
      </c>
    </row>
    <row r="735">
      <c r="A735" s="25" t="s">
        <v>2340</v>
      </c>
      <c r="B735" s="28" t="str">
        <f t="array" ref="B735">_xlfn.XLOOKUP($A735, 'Customer Names'!$A:$A, 'Customer Names'!B:B, "No Data")</f>
        <v>Johnson</v>
      </c>
      <c r="C735" s="28">
        <f t="array" ref="C735">_xlfn.XLOOKUP($A735, 'Medical Examinations'!$A:$A, 'Medical Examinations'!B:B, "No Data")</f>
        <v>41.02</v>
      </c>
      <c r="D735" s="28">
        <f t="array" ref="D735">_xlfn.XLOOKUP($A735, 'Medical Examinations'!$A:$A, 'Medical Examinations'!C:C, "No Data")</f>
        <v>11.37</v>
      </c>
      <c r="E735" s="28" t="str">
        <f t="array" ref="E735">_xlfn.XLOOKUP($A735, 'Medical Examinations'!$A:$A, 'Medical Examinations'!D:D, "No Data")</f>
        <v>No</v>
      </c>
      <c r="F735" s="28" t="str">
        <f t="array" ref="F735">_xlfn.XLOOKUP($A735, 'Medical Examinations'!$A:$A, 'Medical Examinations'!E:E, "No Data")</f>
        <v>No</v>
      </c>
      <c r="G735" s="28" t="str">
        <f t="array" ref="G735">_xlfn.XLOOKUP($A735, 'Medical Examinations'!$A:$A, 'Medical Examinations'!F:F, "No Data")</f>
        <v>No</v>
      </c>
      <c r="H735" s="28">
        <f t="array" ref="H735">_xlfn.XLOOKUP($A735, 'Medical Examinations'!$A:$A, 'Medical Examinations'!G:G, "No Data")</f>
        <v>0</v>
      </c>
      <c r="I735" s="28" t="str">
        <f t="array" ref="I735">_xlfn.XLOOKUP($A735, 'Medical Examinations'!$A:$A, 'Medical Examinations'!H:H, "No Data")</f>
        <v>No</v>
      </c>
      <c r="J735" s="28" t="str">
        <f t="array" ref="J735">_xlfn.XLOOKUP($A735, 'Medical Examinations'!$A:$A, 'Medical Examinations'!I:I, "No Data")</f>
        <v>Obesity</v>
      </c>
      <c r="K735" s="28" t="str">
        <f t="array" ref="K735">_xlfn.XLOOKUP($A735, 'Hospitalisation Details'!$A:$A, 'Hospitalisation Details'!I:I, "No Data")</f>
        <v>tier - 1</v>
      </c>
      <c r="L735" s="28" t="str">
        <f t="array" ref="L735">_xlfn.XLOOKUP($A735, 'Hospitalisation Details'!$A:$A, 'Hospitalisation Details'!J:J, "No Data")</f>
        <v>R1012</v>
      </c>
      <c r="M735" s="28" t="str">
        <f t="array" ref="M735">_xlfn.XLOOKUP($A735, 'Hospitalisation Details'!$A:$A, 'Hospitalisation Details'!E:E, "No Data")</f>
        <v>19/12/78</v>
      </c>
      <c r="N735" s="28">
        <f t="array" ref="N735">_xlfn.XLOOKUP($A735, 'Hospitalisation Details'!$A:$A, 'Hospitalisation Details'!K:K, "No Data")</f>
        <v>44</v>
      </c>
      <c r="O735" s="33">
        <f t="array" ref="O735">_xlfn.XLOOKUP($A735, 'Hospitalisation Details'!$A:$A, 'Hospitalisation Details'!G:G, "No Data")</f>
        <v>13874.89</v>
      </c>
      <c r="P735" s="28" t="str">
        <f t="array" ref="P735">_xlfn.XLOOKUP($A735, 'Hospitalisation Details'!$A:$A, 'Hospitalisation Details'!H:H, "No Data")</f>
        <v>tier - 2</v>
      </c>
    </row>
    <row r="736">
      <c r="A736" s="25" t="s">
        <v>2343</v>
      </c>
      <c r="B736" s="28" t="str">
        <f t="array" ref="B736">_xlfn.XLOOKUP($A736, 'Customer Names'!$A:$A, 'Customer Names'!B:B, "No Data")</f>
        <v>Bartlett</v>
      </c>
      <c r="C736" s="28">
        <f t="array" ref="C736">_xlfn.XLOOKUP($A736, 'Medical Examinations'!$A:$A, 'Medical Examinations'!B:B, "No Data")</f>
        <v>32.68</v>
      </c>
      <c r="D736" s="28">
        <f t="array" ref="D736">_xlfn.XLOOKUP($A736, 'Medical Examinations'!$A:$A, 'Medical Examinations'!C:C, "No Data")</f>
        <v>11.87</v>
      </c>
      <c r="E736" s="28" t="str">
        <f t="array" ref="E736">_xlfn.XLOOKUP($A736, 'Medical Examinations'!$A:$A, 'Medical Examinations'!D:D, "No Data")</f>
        <v>No</v>
      </c>
      <c r="F736" s="28" t="str">
        <f t="array" ref="F736">_xlfn.XLOOKUP($A736, 'Medical Examinations'!$A:$A, 'Medical Examinations'!E:E, "No Data")</f>
        <v>No</v>
      </c>
      <c r="G736" s="28" t="str">
        <f t="array" ref="G736">_xlfn.XLOOKUP($A736, 'Medical Examinations'!$A:$A, 'Medical Examinations'!F:F, "No Data")</f>
        <v>No</v>
      </c>
      <c r="H736" s="28">
        <f t="array" ref="H736">_xlfn.XLOOKUP($A736, 'Medical Examinations'!$A:$A, 'Medical Examinations'!G:G, "No Data")</f>
        <v>0</v>
      </c>
      <c r="I736" s="28" t="str">
        <f t="array" ref="I736">_xlfn.XLOOKUP($A736, 'Medical Examinations'!$A:$A, 'Medical Examinations'!H:H, "No Data")</f>
        <v>No</v>
      </c>
      <c r="J736" s="28" t="str">
        <f t="array" ref="J736">_xlfn.XLOOKUP($A736, 'Medical Examinations'!$A:$A, 'Medical Examinations'!I:I, "No Data")</f>
        <v>Obesity</v>
      </c>
      <c r="K736" s="28" t="str">
        <f t="array" ref="K736">_xlfn.XLOOKUP($A736, 'Hospitalisation Details'!$A:$A, 'Hospitalisation Details'!I:I, "No Data")</f>
        <v>tier - 2</v>
      </c>
      <c r="L736" s="28" t="str">
        <f t="array" ref="L736">_xlfn.XLOOKUP($A736, 'Hospitalisation Details'!$A:$A, 'Hospitalisation Details'!J:J, "No Data")</f>
        <v>R1012</v>
      </c>
      <c r="M736" s="28" t="str">
        <f t="array" ref="M736">_xlfn.XLOOKUP($A736, 'Hospitalisation Details'!$A:$A, 'Hospitalisation Details'!E:E, "No Data")</f>
        <v>21/07/60</v>
      </c>
      <c r="N736" s="28">
        <f t="array" ref="N736">_xlfn.XLOOKUP($A736, 'Hospitalisation Details'!$A:$A, 'Hospitalisation Details'!K:K, "No Data")</f>
        <v>62</v>
      </c>
      <c r="O736" s="33">
        <f t="array" ref="O736">_xlfn.XLOOKUP($A736, 'Hospitalisation Details'!$A:$A, 'Hospitalisation Details'!G:G, "No Data")</f>
        <v>13844.8</v>
      </c>
      <c r="P736" s="28" t="str">
        <f t="array" ref="P736">_xlfn.XLOOKUP($A736, 'Hospitalisation Details'!$A:$A, 'Hospitalisation Details'!H:H, "No Data")</f>
        <v>tier - 2</v>
      </c>
    </row>
    <row r="737">
      <c r="A737" s="25" t="s">
        <v>2347</v>
      </c>
      <c r="B737" s="28" t="str">
        <f t="array" ref="B737">_xlfn.XLOOKUP($A737, 'Customer Names'!$A:$A, 'Customer Names'!B:B, "No Data")</f>
        <v>Bergman</v>
      </c>
      <c r="C737" s="28">
        <f t="array" ref="C737">_xlfn.XLOOKUP($A737, 'Medical Examinations'!$A:$A, 'Medical Examinations'!B:B, "No Data")</f>
        <v>21.7</v>
      </c>
      <c r="D737" s="28">
        <f t="array" ref="D737">_xlfn.XLOOKUP($A737, 'Medical Examinations'!$A:$A, 'Medical Examinations'!C:C, "No Data")</f>
        <v>4.9</v>
      </c>
      <c r="E737" s="28" t="str">
        <f t="array" ref="E737">_xlfn.XLOOKUP($A737, 'Medical Examinations'!$A:$A, 'Medical Examinations'!D:D, "No Data")</f>
        <v>No</v>
      </c>
      <c r="F737" s="28" t="str">
        <f t="array" ref="F737">_xlfn.XLOOKUP($A737, 'Medical Examinations'!$A:$A, 'Medical Examinations'!E:E, "No Data")</f>
        <v>No</v>
      </c>
      <c r="G737" s="28" t="str">
        <f t="array" ref="G737">_xlfn.XLOOKUP($A737, 'Medical Examinations'!$A:$A, 'Medical Examinations'!F:F, "No Data")</f>
        <v>Yes</v>
      </c>
      <c r="H737" s="28">
        <f t="array" ref="H737">_xlfn.XLOOKUP($A737, 'Medical Examinations'!$A:$A, 'Medical Examinations'!G:G, "No Data")</f>
        <v>1</v>
      </c>
      <c r="I737" s="28" t="str">
        <f t="array" ref="I737">_xlfn.XLOOKUP($A737, 'Medical Examinations'!$A:$A, 'Medical Examinations'!H:H, "No Data")</f>
        <v>yes</v>
      </c>
      <c r="J737" s="28" t="str">
        <f t="array" ref="J737">_xlfn.XLOOKUP($A737, 'Medical Examinations'!$A:$A, 'Medical Examinations'!I:I, "No Data")</f>
        <v>Normal Weight</v>
      </c>
      <c r="K737" s="28" t="str">
        <f t="array" ref="K737">_xlfn.XLOOKUP($A737, 'Hospitalisation Details'!$A:$A, 'Hospitalisation Details'!I:I, "No Data")</f>
        <v>tier - 1</v>
      </c>
      <c r="L737" s="28" t="str">
        <f t="array" ref="L737">_xlfn.XLOOKUP($A737, 'Hospitalisation Details'!$A:$A, 'Hospitalisation Details'!J:J, "No Data")</f>
        <v>R1011</v>
      </c>
      <c r="M737" s="28" t="str">
        <f t="array" ref="M737">_xlfn.XLOOKUP($A737, 'Hospitalisation Details'!$A:$A, 'Hospitalisation Details'!E:E, "No Data")</f>
        <v>07/06/03</v>
      </c>
      <c r="N737" s="28">
        <f t="array" ref="N737">_xlfn.XLOOKUP($A737, 'Hospitalisation Details'!$A:$A, 'Hospitalisation Details'!K:K, "No Data")</f>
        <v>20</v>
      </c>
      <c r="O737" s="33">
        <f t="array" ref="O737">_xlfn.XLOOKUP($A737, 'Hospitalisation Details'!$A:$A, 'Hospitalisation Details'!G:G, "No Data")</f>
        <v>13844.51</v>
      </c>
      <c r="P737" s="28" t="str">
        <f t="array" ref="P737">_xlfn.XLOOKUP($A737, 'Hospitalisation Details'!$A:$A, 'Hospitalisation Details'!H:H, "No Data")</f>
        <v>tier - 2</v>
      </c>
    </row>
    <row r="738">
      <c r="A738" s="25" t="s">
        <v>2350</v>
      </c>
      <c r="B738" s="28" t="str">
        <f t="array" ref="B738">_xlfn.XLOOKUP($A738, 'Customer Names'!$A:$A, 'Customer Names'!B:B, "No Data")</f>
        <v>Aitken</v>
      </c>
      <c r="C738" s="28">
        <f t="array" ref="C738">_xlfn.XLOOKUP($A738, 'Medical Examinations'!$A:$A, 'Medical Examinations'!B:B, "No Data")</f>
        <v>40.48</v>
      </c>
      <c r="D738" s="28">
        <f t="array" ref="D738">_xlfn.XLOOKUP($A738, 'Medical Examinations'!$A:$A, 'Medical Examinations'!C:C, "No Data")</f>
        <v>6.7</v>
      </c>
      <c r="E738" s="28" t="str">
        <f t="array" ref="E738">_xlfn.XLOOKUP($A738, 'Medical Examinations'!$A:$A, 'Medical Examinations'!D:D, "No Data")</f>
        <v>No</v>
      </c>
      <c r="F738" s="28" t="str">
        <f t="array" ref="F738">_xlfn.XLOOKUP($A738, 'Medical Examinations'!$A:$A, 'Medical Examinations'!E:E, "No Data")</f>
        <v>No</v>
      </c>
      <c r="G738" s="28" t="str">
        <f t="array" ref="G738">_xlfn.XLOOKUP($A738, 'Medical Examinations'!$A:$A, 'Medical Examinations'!F:F, "No Data")</f>
        <v>No</v>
      </c>
      <c r="H738" s="28">
        <f t="array" ref="H738">_xlfn.XLOOKUP($A738, 'Medical Examinations'!$A:$A, 'Medical Examinations'!G:G, "No Data")</f>
        <v>3</v>
      </c>
      <c r="I738" s="28" t="str">
        <f t="array" ref="I738">_xlfn.XLOOKUP($A738, 'Medical Examinations'!$A:$A, 'Medical Examinations'!H:H, "No Data")</f>
        <v>No</v>
      </c>
      <c r="J738" s="28" t="str">
        <f t="array" ref="J738">_xlfn.XLOOKUP($A738, 'Medical Examinations'!$A:$A, 'Medical Examinations'!I:I, "No Data")</f>
        <v>Obesity</v>
      </c>
      <c r="K738" s="28" t="str">
        <f t="array" ref="K738">_xlfn.XLOOKUP($A738, 'Hospitalisation Details'!$A:$A, 'Hospitalisation Details'!I:I, "No Data")</f>
        <v>tier - 1</v>
      </c>
      <c r="L738" s="28" t="str">
        <f t="array" ref="L738">_xlfn.XLOOKUP($A738, 'Hospitalisation Details'!$A:$A, 'Hospitalisation Details'!J:J, "No Data")</f>
        <v>R1013</v>
      </c>
      <c r="M738" s="28" t="str">
        <f t="array" ref="M738">_xlfn.XLOOKUP($A738, 'Hospitalisation Details'!$A:$A, 'Hospitalisation Details'!E:E, "No Data")</f>
        <v>10/12/58</v>
      </c>
      <c r="N738" s="28">
        <f t="array" ref="N738">_xlfn.XLOOKUP($A738, 'Hospitalisation Details'!$A:$A, 'Hospitalisation Details'!K:K, "No Data")</f>
        <v>64</v>
      </c>
      <c r="O738" s="33">
        <f t="array" ref="O738">_xlfn.XLOOKUP($A738, 'Hospitalisation Details'!$A:$A, 'Hospitalisation Details'!G:G, "No Data")</f>
        <v>13831.12</v>
      </c>
      <c r="P738" s="28" t="str">
        <f t="array" ref="P738">_xlfn.XLOOKUP($A738, 'Hospitalisation Details'!$A:$A, 'Hospitalisation Details'!H:H, "No Data")</f>
        <v>tier - 3</v>
      </c>
    </row>
    <row r="739">
      <c r="A739" s="25" t="s">
        <v>2353</v>
      </c>
      <c r="B739" s="28" t="str">
        <f t="array" ref="B739">_xlfn.XLOOKUP($A739, 'Customer Names'!$A:$A, 'Customer Names'!B:B, "No Data")</f>
        <v>Berger</v>
      </c>
      <c r="C739" s="28">
        <f t="array" ref="C739">_xlfn.XLOOKUP($A739, 'Medical Examinations'!$A:$A, 'Medical Examinations'!B:B, "No Data")</f>
        <v>34.5</v>
      </c>
      <c r="D739" s="28">
        <f t="array" ref="D739">_xlfn.XLOOKUP($A739, 'Medical Examinations'!$A:$A, 'Medical Examinations'!C:C, "No Data")</f>
        <v>10.3</v>
      </c>
      <c r="E739" s="28" t="str">
        <f t="array" ref="E739">_xlfn.XLOOKUP($A739, 'Medical Examinations'!$A:$A, 'Medical Examinations'!D:D, "No Data")</f>
        <v>No</v>
      </c>
      <c r="F739" s="28" t="str">
        <f t="array" ref="F739">_xlfn.XLOOKUP($A739, 'Medical Examinations'!$A:$A, 'Medical Examinations'!E:E, "No Data")</f>
        <v>No</v>
      </c>
      <c r="G739" s="28" t="str">
        <f t="array" ref="G739">_xlfn.XLOOKUP($A739, 'Medical Examinations'!$A:$A, 'Medical Examinations'!F:F, "No Data")</f>
        <v>No</v>
      </c>
      <c r="H739" s="28">
        <f t="array" ref="H739">_xlfn.XLOOKUP($A739, 'Medical Examinations'!$A:$A, 'Medical Examinations'!G:G, "No Data")</f>
        <v>3</v>
      </c>
      <c r="I739" s="28" t="str">
        <f t="array" ref="I739">_xlfn.XLOOKUP($A739, 'Medical Examinations'!$A:$A, 'Medical Examinations'!H:H, "No Data")</f>
        <v>No</v>
      </c>
      <c r="J739" s="28" t="str">
        <f t="array" ref="J739">_xlfn.XLOOKUP($A739, 'Medical Examinations'!$A:$A, 'Medical Examinations'!I:I, "No Data")</f>
        <v>Obesity</v>
      </c>
      <c r="K739" s="28" t="str">
        <f t="array" ref="K739">_xlfn.XLOOKUP($A739, 'Hospitalisation Details'!$A:$A, 'Hospitalisation Details'!I:I, "No Data")</f>
        <v>tier - 3</v>
      </c>
      <c r="L739" s="28" t="str">
        <f t="array" ref="L739">_xlfn.XLOOKUP($A739, 'Hospitalisation Details'!$A:$A, 'Hospitalisation Details'!J:J, "No Data")</f>
        <v>R1011</v>
      </c>
      <c r="M739" s="28" t="str">
        <f t="array" ref="M739">_xlfn.XLOOKUP($A739, 'Hospitalisation Details'!$A:$A, 'Hospitalisation Details'!E:E, "No Data")</f>
        <v>25/11/58</v>
      </c>
      <c r="N739" s="28">
        <f t="array" ref="N739">_xlfn.XLOOKUP($A739, 'Hospitalisation Details'!$A:$A, 'Hospitalisation Details'!K:K, "No Data")</f>
        <v>64</v>
      </c>
      <c r="O739" s="33">
        <f t="array" ref="O739">_xlfn.XLOOKUP($A739, 'Hospitalisation Details'!$A:$A, 'Hospitalisation Details'!G:G, "No Data")</f>
        <v>13822.8</v>
      </c>
      <c r="P739" s="28" t="str">
        <f t="array" ref="P739">_xlfn.XLOOKUP($A739, 'Hospitalisation Details'!$A:$A, 'Hospitalisation Details'!H:H, "No Data")</f>
        <v>tier - 3</v>
      </c>
    </row>
    <row r="740">
      <c r="A740" s="25" t="s">
        <v>2356</v>
      </c>
      <c r="B740" s="28" t="str">
        <f t="array" ref="B740">_xlfn.XLOOKUP($A740, 'Customer Names'!$A:$A, 'Customer Names'!B:B, "No Data")</f>
        <v>Richey</v>
      </c>
      <c r="C740" s="28">
        <f t="array" ref="C740">_xlfn.XLOOKUP($A740, 'Medical Examinations'!$A:$A, 'Medical Examinations'!B:B, "No Data")</f>
        <v>45.9</v>
      </c>
      <c r="D740" s="28">
        <f t="array" ref="D740">_xlfn.XLOOKUP($A740, 'Medical Examinations'!$A:$A, 'Medical Examinations'!C:C, "No Data")</f>
        <v>11.14</v>
      </c>
      <c r="E740" s="28" t="str">
        <f t="array" ref="E740">_xlfn.XLOOKUP($A740, 'Medical Examinations'!$A:$A, 'Medical Examinations'!D:D, "No Data")</f>
        <v>yes</v>
      </c>
      <c r="F740" s="28" t="str">
        <f t="array" ref="F740">_xlfn.XLOOKUP($A740, 'Medical Examinations'!$A:$A, 'Medical Examinations'!E:E, "No Data")</f>
        <v>No</v>
      </c>
      <c r="G740" s="28" t="str">
        <f t="array" ref="G740">_xlfn.XLOOKUP($A740, 'Medical Examinations'!$A:$A, 'Medical Examinations'!F:F, "No Data")</f>
        <v>No</v>
      </c>
      <c r="H740" s="28">
        <f t="array" ref="H740">_xlfn.XLOOKUP($A740, 'Medical Examinations'!$A:$A, 'Medical Examinations'!G:G, "No Data")</f>
        <v>1</v>
      </c>
      <c r="I740" s="28" t="str">
        <f t="array" ref="I740">_xlfn.XLOOKUP($A740, 'Medical Examinations'!$A:$A, 'Medical Examinations'!H:H, "No Data")</f>
        <v>No</v>
      </c>
      <c r="J740" s="28" t="str">
        <f t="array" ref="J740">_xlfn.XLOOKUP($A740, 'Medical Examinations'!$A:$A, 'Medical Examinations'!I:I, "No Data")</f>
        <v>Obesity</v>
      </c>
      <c r="K740" s="28" t="str">
        <f t="array" ref="K740">_xlfn.XLOOKUP($A740, 'Hospitalisation Details'!$A:$A, 'Hospitalisation Details'!I:I, "No Data")</f>
        <v>tier - 2</v>
      </c>
      <c r="L740" s="28" t="str">
        <f t="array" ref="L740">_xlfn.XLOOKUP($A740, 'Hospitalisation Details'!$A:$A, 'Hospitalisation Details'!J:J, "No Data")</f>
        <v>R1012</v>
      </c>
      <c r="M740" s="28" t="str">
        <f t="array" ref="M740">_xlfn.XLOOKUP($A740, 'Hospitalisation Details'!$A:$A, 'Hospitalisation Details'!E:E, "No Data")</f>
        <v>08/12/86</v>
      </c>
      <c r="N740" s="28">
        <f t="array" ref="N740">_xlfn.XLOOKUP($A740, 'Hospitalisation Details'!$A:$A, 'Hospitalisation Details'!K:K, "No Data")</f>
        <v>36</v>
      </c>
      <c r="O740" s="33">
        <f t="array" ref="O740">_xlfn.XLOOKUP($A740, 'Hospitalisation Details'!$A:$A, 'Hospitalisation Details'!G:G, "No Data")</f>
        <v>13819.49</v>
      </c>
      <c r="P740" s="28" t="str">
        <f t="array" ref="P740">_xlfn.XLOOKUP($A740, 'Hospitalisation Details'!$A:$A, 'Hospitalisation Details'!H:H, "No Data")</f>
        <v>tier - 3</v>
      </c>
    </row>
    <row r="741">
      <c r="A741" s="25" t="s">
        <v>2360</v>
      </c>
      <c r="B741" s="28" t="str">
        <f t="array" ref="B741">_xlfn.XLOOKUP($A741, 'Customer Names'!$A:$A, 'Customer Names'!B:B, "No Data")</f>
        <v>Trotter</v>
      </c>
      <c r="C741" s="28">
        <f t="array" ref="C741">_xlfn.XLOOKUP($A741, 'Medical Examinations'!$A:$A, 'Medical Examinations'!B:B, "No Data")</f>
        <v>33.48</v>
      </c>
      <c r="D741" s="28">
        <f t="array" ref="D741">_xlfn.XLOOKUP($A741, 'Medical Examinations'!$A:$A, 'Medical Examinations'!C:C, "No Data")</f>
        <v>4.74</v>
      </c>
      <c r="E741" s="28" t="str">
        <f t="array" ref="E741">_xlfn.XLOOKUP($A741, 'Medical Examinations'!$A:$A, 'Medical Examinations'!D:D, "No Data")</f>
        <v>yes</v>
      </c>
      <c r="F741" s="28" t="str">
        <f t="array" ref="F741">_xlfn.XLOOKUP($A741, 'Medical Examinations'!$A:$A, 'Medical Examinations'!E:E, "No Data")</f>
        <v>No</v>
      </c>
      <c r="G741" s="28" t="str">
        <f t="array" ref="G741">_xlfn.XLOOKUP($A741, 'Medical Examinations'!$A:$A, 'Medical Examinations'!F:F, "No Data")</f>
        <v>No</v>
      </c>
      <c r="H741" s="28">
        <f t="array" ref="H741">_xlfn.XLOOKUP($A741, 'Medical Examinations'!$A:$A, 'Medical Examinations'!G:G, "No Data")</f>
        <v>2</v>
      </c>
      <c r="I741" s="28" t="str">
        <f t="array" ref="I741">_xlfn.XLOOKUP($A741, 'Medical Examinations'!$A:$A, 'Medical Examinations'!H:H, "No Data")</f>
        <v>No</v>
      </c>
      <c r="J741" s="28" t="str">
        <f t="array" ref="J741">_xlfn.XLOOKUP($A741, 'Medical Examinations'!$A:$A, 'Medical Examinations'!I:I, "No Data")</f>
        <v>Obesity</v>
      </c>
      <c r="K741" s="28" t="str">
        <f t="array" ref="K741">_xlfn.XLOOKUP($A741, 'Hospitalisation Details'!$A:$A, 'Hospitalisation Details'!I:I, "No Data")</f>
        <v>tier - 3</v>
      </c>
      <c r="L741" s="28" t="str">
        <f t="array" ref="L741">_xlfn.XLOOKUP($A741, 'Hospitalisation Details'!$A:$A, 'Hospitalisation Details'!J:J, "No Data")</f>
        <v>R1026</v>
      </c>
      <c r="M741" s="28" t="str">
        <f t="array" ref="M741">_xlfn.XLOOKUP($A741, 'Hospitalisation Details'!$A:$A, 'Hospitalisation Details'!E:E, "No Data")</f>
        <v>10/11/66</v>
      </c>
      <c r="N741" s="28">
        <f t="array" ref="N741">_xlfn.XLOOKUP($A741, 'Hospitalisation Details'!$A:$A, 'Hospitalisation Details'!K:K, "No Data")</f>
        <v>56</v>
      </c>
      <c r="O741" s="33">
        <f t="array" ref="O741">_xlfn.XLOOKUP($A741, 'Hospitalisation Details'!$A:$A, 'Hospitalisation Details'!G:G, "No Data")</f>
        <v>13801.61</v>
      </c>
      <c r="P741" s="28" t="str">
        <f t="array" ref="P741">_xlfn.XLOOKUP($A741, 'Hospitalisation Details'!$A:$A, 'Hospitalisation Details'!H:H, "No Data")</f>
        <v>tier - 3</v>
      </c>
    </row>
    <row r="742">
      <c r="A742" s="25" t="s">
        <v>2363</v>
      </c>
      <c r="B742" s="28" t="str">
        <f t="array" ref="B742">_xlfn.XLOOKUP($A742, 'Customer Names'!$A:$A, 'Customer Names'!B:B, "No Data")</f>
        <v>Chavez</v>
      </c>
      <c r="C742" s="28">
        <f t="array" ref="C742">_xlfn.XLOOKUP($A742, 'Medical Examinations'!$A:$A, 'Medical Examinations'!B:B, "No Data")</f>
        <v>28.31</v>
      </c>
      <c r="D742" s="28">
        <f t="array" ref="D742">_xlfn.XLOOKUP($A742, 'Medical Examinations'!$A:$A, 'Medical Examinations'!C:C, "No Data")</f>
        <v>5.96</v>
      </c>
      <c r="E742" s="28" t="str">
        <f t="array" ref="E742">_xlfn.XLOOKUP($A742, 'Medical Examinations'!$A:$A, 'Medical Examinations'!D:D, "No Data")</f>
        <v>yes</v>
      </c>
      <c r="F742" s="28" t="str">
        <f t="array" ref="F742">_xlfn.XLOOKUP($A742, 'Medical Examinations'!$A:$A, 'Medical Examinations'!E:E, "No Data")</f>
        <v>No</v>
      </c>
      <c r="G742" s="28" t="str">
        <f t="array" ref="G742">_xlfn.XLOOKUP($A742, 'Medical Examinations'!$A:$A, 'Medical Examinations'!F:F, "No Data")</f>
        <v>No</v>
      </c>
      <c r="H742" s="28">
        <f t="array" ref="H742">_xlfn.XLOOKUP($A742, 'Medical Examinations'!$A:$A, 'Medical Examinations'!G:G, "No Data")</f>
        <v>2</v>
      </c>
      <c r="I742" s="28" t="str">
        <f t="array" ref="I742">_xlfn.XLOOKUP($A742, 'Medical Examinations'!$A:$A, 'Medical Examinations'!H:H, "No Data")</f>
        <v>No</v>
      </c>
      <c r="J742" s="28" t="str">
        <f t="array" ref="J742">_xlfn.XLOOKUP($A742, 'Medical Examinations'!$A:$A, 'Medical Examinations'!I:I, "No Data")</f>
        <v>Overweight</v>
      </c>
      <c r="K742" s="28" t="str">
        <f t="array" ref="K742">_xlfn.XLOOKUP($A742, 'Hospitalisation Details'!$A:$A, 'Hospitalisation Details'!I:I, "No Data")</f>
        <v>tier - 1</v>
      </c>
      <c r="L742" s="28" t="str">
        <f t="array" ref="L742">_xlfn.XLOOKUP($A742, 'Hospitalisation Details'!$A:$A, 'Hospitalisation Details'!J:J, "No Data")</f>
        <v>R1012</v>
      </c>
      <c r="M742" s="28" t="str">
        <f t="array" ref="M742">_xlfn.XLOOKUP($A742, 'Hospitalisation Details'!$A:$A, 'Hospitalisation Details'!E:E, "No Data")</f>
        <v>06/08/59</v>
      </c>
      <c r="N742" s="28">
        <f t="array" ref="N742">_xlfn.XLOOKUP($A742, 'Hospitalisation Details'!$A:$A, 'Hospitalisation Details'!K:K, "No Data")</f>
        <v>63</v>
      </c>
      <c r="O742" s="33">
        <f t="array" ref="O742">_xlfn.XLOOKUP($A742, 'Hospitalisation Details'!$A:$A, 'Hospitalisation Details'!G:G, "No Data")</f>
        <v>13770.1</v>
      </c>
      <c r="P742" s="28" t="str">
        <f t="array" ref="P742">_xlfn.XLOOKUP($A742, 'Hospitalisation Details'!$A:$A, 'Hospitalisation Details'!H:H, "No Data")</f>
        <v>tier - 3</v>
      </c>
    </row>
    <row r="743">
      <c r="A743" s="25" t="s">
        <v>2365</v>
      </c>
      <c r="B743" s="28" t="str">
        <f t="array" ref="B743">_xlfn.XLOOKUP($A743, 'Customer Names'!$A:$A, 'Customer Names'!B:B, "No Data")</f>
        <v>Orifice</v>
      </c>
      <c r="C743" s="28">
        <f t="array" ref="C743">_xlfn.XLOOKUP($A743, 'Medical Examinations'!$A:$A, 'Medical Examinations'!B:B, "No Data")</f>
        <v>21.565</v>
      </c>
      <c r="D743" s="28">
        <f t="array" ref="D743">_xlfn.XLOOKUP($A743, 'Medical Examinations'!$A:$A, 'Medical Examinations'!C:C, "No Data")</f>
        <v>4.95</v>
      </c>
      <c r="E743" s="28" t="str">
        <f t="array" ref="E743">_xlfn.XLOOKUP($A743, 'Medical Examinations'!$A:$A, 'Medical Examinations'!D:D, "No Data")</f>
        <v>No</v>
      </c>
      <c r="F743" s="28" t="str">
        <f t="array" ref="F743">_xlfn.XLOOKUP($A743, 'Medical Examinations'!$A:$A, 'Medical Examinations'!E:E, "No Data")</f>
        <v>yes</v>
      </c>
      <c r="G743" s="28" t="str">
        <f t="array" ref="G743">_xlfn.XLOOKUP($A743, 'Medical Examinations'!$A:$A, 'Medical Examinations'!F:F, "No Data")</f>
        <v>No</v>
      </c>
      <c r="H743" s="28">
        <f t="array" ref="H743">_xlfn.XLOOKUP($A743, 'Medical Examinations'!$A:$A, 'Medical Examinations'!G:G, "No Data")</f>
        <v>1</v>
      </c>
      <c r="I743" s="28" t="str">
        <f t="array" ref="I743">_xlfn.XLOOKUP($A743, 'Medical Examinations'!$A:$A, 'Medical Examinations'!H:H, "No Data")</f>
        <v>yes</v>
      </c>
      <c r="J743" s="28" t="str">
        <f t="array" ref="J743">_xlfn.XLOOKUP($A743, 'Medical Examinations'!$A:$A, 'Medical Examinations'!I:I, "No Data")</f>
        <v>Normal Weight</v>
      </c>
      <c r="K743" s="28" t="str">
        <f t="array" ref="K743">_xlfn.XLOOKUP($A743, 'Hospitalisation Details'!$A:$A, 'Hospitalisation Details'!I:I, "No Data")</f>
        <v>tier - 2</v>
      </c>
      <c r="L743" s="28" t="str">
        <f t="array" ref="L743">_xlfn.XLOOKUP($A743, 'Hospitalisation Details'!$A:$A, 'Hospitalisation Details'!J:J, "No Data")</f>
        <v>R1018</v>
      </c>
      <c r="M743" s="28" t="str">
        <f t="array" ref="M743">_xlfn.XLOOKUP($A743, 'Hospitalisation Details'!$A:$A, 'Hospitalisation Details'!E:E, "No Data")</f>
        <v>16/07/04</v>
      </c>
      <c r="N743" s="28">
        <f t="array" ref="N743">_xlfn.XLOOKUP($A743, 'Hospitalisation Details'!$A:$A, 'Hospitalisation Details'!K:K, "No Data")</f>
        <v>18</v>
      </c>
      <c r="O743" s="33">
        <f t="array" ref="O743">_xlfn.XLOOKUP($A743, 'Hospitalisation Details'!$A:$A, 'Hospitalisation Details'!G:G, "No Data")</f>
        <v>13747.87</v>
      </c>
      <c r="P743" s="28" t="str">
        <f t="array" ref="P743">_xlfn.XLOOKUP($A743, 'Hospitalisation Details'!$A:$A, 'Hospitalisation Details'!H:H, "No Data")</f>
        <v>tier - 3</v>
      </c>
    </row>
    <row r="744">
      <c r="A744" s="25" t="s">
        <v>2369</v>
      </c>
      <c r="B744" s="28" t="str">
        <f t="array" ref="B744">_xlfn.XLOOKUP($A744, 'Customer Names'!$A:$A, 'Customer Names'!B:B, "No Data")</f>
        <v>Farkash</v>
      </c>
      <c r="C744" s="28">
        <f t="array" ref="C744">_xlfn.XLOOKUP($A744, 'Medical Examinations'!$A:$A, 'Medical Examinations'!B:B, "No Data")</f>
        <v>35.59</v>
      </c>
      <c r="D744" s="28">
        <f t="array" ref="D744">_xlfn.XLOOKUP($A744, 'Medical Examinations'!$A:$A, 'Medical Examinations'!C:C, "No Data")</f>
        <v>5.21</v>
      </c>
      <c r="E744" s="28" t="str">
        <f t="array" ref="E744">_xlfn.XLOOKUP($A744, 'Medical Examinations'!$A:$A, 'Medical Examinations'!D:D, "No Data")</f>
        <v>yes</v>
      </c>
      <c r="F744" s="28" t="str">
        <f t="array" ref="F744">_xlfn.XLOOKUP($A744, 'Medical Examinations'!$A:$A, 'Medical Examinations'!E:E, "No Data")</f>
        <v>No</v>
      </c>
      <c r="G744" s="28" t="str">
        <f t="array" ref="G744">_xlfn.XLOOKUP($A744, 'Medical Examinations'!$A:$A, 'Medical Examinations'!F:F, "No Data")</f>
        <v>Yes</v>
      </c>
      <c r="H744" s="28">
        <f t="array" ref="H744">_xlfn.XLOOKUP($A744, 'Medical Examinations'!$A:$A, 'Medical Examinations'!G:G, "No Data")</f>
        <v>1</v>
      </c>
      <c r="I744" s="28" t="str">
        <f t="array" ref="I744">_xlfn.XLOOKUP($A744, 'Medical Examinations'!$A:$A, 'Medical Examinations'!H:H, "No Data")</f>
        <v>No</v>
      </c>
      <c r="J744" s="28" t="str">
        <f t="array" ref="J744">_xlfn.XLOOKUP($A744, 'Medical Examinations'!$A:$A, 'Medical Examinations'!I:I, "No Data")</f>
        <v>Obesity</v>
      </c>
      <c r="K744" s="28" t="str">
        <f t="array" ref="K744">_xlfn.XLOOKUP($A744, 'Hospitalisation Details'!$A:$A, 'Hospitalisation Details'!I:I, "No Data")</f>
        <v>tier - 2</v>
      </c>
      <c r="L744" s="28" t="str">
        <f t="array" ref="L744">_xlfn.XLOOKUP($A744, 'Hospitalisation Details'!$A:$A, 'Hospitalisation Details'!J:J, "No Data")</f>
        <v>R1026</v>
      </c>
      <c r="M744" s="28" t="str">
        <f t="array" ref="M744">_xlfn.XLOOKUP($A744, 'Hospitalisation Details'!$A:$A, 'Hospitalisation Details'!E:E, "No Data")</f>
        <v>23/10/69</v>
      </c>
      <c r="N744" s="28">
        <f t="array" ref="N744">_xlfn.XLOOKUP($A744, 'Hospitalisation Details'!$A:$A, 'Hospitalisation Details'!K:K, "No Data")</f>
        <v>53</v>
      </c>
      <c r="O744" s="33">
        <f t="array" ref="O744">_xlfn.XLOOKUP($A744, 'Hospitalisation Details'!$A:$A, 'Hospitalisation Details'!G:G, "No Data")</f>
        <v>13746.74</v>
      </c>
      <c r="P744" s="28" t="str">
        <f t="array" ref="P744">_xlfn.XLOOKUP($A744, 'Hospitalisation Details'!$A:$A, 'Hospitalisation Details'!H:H, "No Data")</f>
        <v>tier - 3</v>
      </c>
    </row>
    <row r="745">
      <c r="A745" s="25" t="s">
        <v>2371</v>
      </c>
      <c r="B745" s="28" t="str">
        <f t="array" ref="B745">_xlfn.XLOOKUP($A745, 'Customer Names'!$A:$A, 'Customer Names'!B:B, "No Data")</f>
        <v>Hribar</v>
      </c>
      <c r="C745" s="28">
        <f t="array" ref="C745">_xlfn.XLOOKUP($A745, 'Medical Examinations'!$A:$A, 'Medical Examinations'!B:B, "No Data")</f>
        <v>43.44</v>
      </c>
      <c r="D745" s="28">
        <f t="array" ref="D745">_xlfn.XLOOKUP($A745, 'Medical Examinations'!$A:$A, 'Medical Examinations'!C:C, "No Data")</f>
        <v>4.86</v>
      </c>
      <c r="E745" s="28" t="str">
        <f t="array" ref="E745">_xlfn.XLOOKUP($A745, 'Medical Examinations'!$A:$A, 'Medical Examinations'!D:D, "No Data")</f>
        <v>yes</v>
      </c>
      <c r="F745" s="28" t="str">
        <f t="array" ref="F745">_xlfn.XLOOKUP($A745, 'Medical Examinations'!$A:$A, 'Medical Examinations'!E:E, "No Data")</f>
        <v>No</v>
      </c>
      <c r="G745" s="28" t="str">
        <f t="array" ref="G745">_xlfn.XLOOKUP($A745, 'Medical Examinations'!$A:$A, 'Medical Examinations'!F:F, "No Data")</f>
        <v>No</v>
      </c>
      <c r="H745" s="28">
        <f t="array" ref="H745">_xlfn.XLOOKUP($A745, 'Medical Examinations'!$A:$A, 'Medical Examinations'!G:G, "No Data")</f>
        <v>0</v>
      </c>
      <c r="I745" s="28" t="str">
        <f t="array" ref="I745">_xlfn.XLOOKUP($A745, 'Medical Examinations'!$A:$A, 'Medical Examinations'!H:H, "No Data")</f>
        <v>No</v>
      </c>
      <c r="J745" s="28" t="str">
        <f t="array" ref="J745">_xlfn.XLOOKUP($A745, 'Medical Examinations'!$A:$A, 'Medical Examinations'!I:I, "No Data")</f>
        <v>Obesity</v>
      </c>
      <c r="K745" s="28" t="str">
        <f t="array" ref="K745">_xlfn.XLOOKUP($A745, 'Hospitalisation Details'!$A:$A, 'Hospitalisation Details'!I:I, "No Data")</f>
        <v>tier - 3</v>
      </c>
      <c r="L745" s="28" t="str">
        <f t="array" ref="L745">_xlfn.XLOOKUP($A745, 'Hospitalisation Details'!$A:$A, 'Hospitalisation Details'!J:J, "No Data")</f>
        <v>R1026</v>
      </c>
      <c r="M745" s="28" t="str">
        <f t="array" ref="M745">_xlfn.XLOOKUP($A745, 'Hospitalisation Details'!$A:$A, 'Hospitalisation Details'!E:E, "No Data")</f>
        <v>29/08/85</v>
      </c>
      <c r="N745" s="28">
        <f t="array" ref="N745">_xlfn.XLOOKUP($A745, 'Hospitalisation Details'!$A:$A, 'Hospitalisation Details'!K:K, "No Data")</f>
        <v>37</v>
      </c>
      <c r="O745" s="33">
        <f t="array" ref="O745">_xlfn.XLOOKUP($A745, 'Hospitalisation Details'!$A:$A, 'Hospitalisation Details'!G:G, "No Data")</f>
        <v>13726.21</v>
      </c>
      <c r="P745" s="28" t="str">
        <f t="array" ref="P745">_xlfn.XLOOKUP($A745, 'Hospitalisation Details'!$A:$A, 'Hospitalisation Details'!H:H, "No Data")</f>
        <v>tier - 3</v>
      </c>
    </row>
    <row r="746">
      <c r="A746" s="25" t="s">
        <v>2374</v>
      </c>
      <c r="B746" s="28" t="str">
        <f t="array" ref="B746">_xlfn.XLOOKUP($A746, 'Customer Names'!$A:$A, 'Customer Names'!B:B, "No Data")</f>
        <v>Crawford</v>
      </c>
      <c r="C746" s="28">
        <f t="array" ref="C746">_xlfn.XLOOKUP($A746, 'Medical Examinations'!$A:$A, 'Medical Examinations'!B:B, "No Data")</f>
        <v>21.755</v>
      </c>
      <c r="D746" s="28">
        <f t="array" ref="D746">_xlfn.XLOOKUP($A746, 'Medical Examinations'!$A:$A, 'Medical Examinations'!C:C, "No Data")</f>
        <v>7.79</v>
      </c>
      <c r="E746" s="28" t="str">
        <f t="array" ref="E746">_xlfn.XLOOKUP($A746, 'Medical Examinations'!$A:$A, 'Medical Examinations'!D:D, "No Data")</f>
        <v>yes</v>
      </c>
      <c r="F746" s="28" t="str">
        <f t="array" ref="F746">_xlfn.XLOOKUP($A746, 'Medical Examinations'!$A:$A, 'Medical Examinations'!E:E, "No Data")</f>
        <v>No</v>
      </c>
      <c r="G746" s="28" t="str">
        <f t="array" ref="G746">_xlfn.XLOOKUP($A746, 'Medical Examinations'!$A:$A, 'Medical Examinations'!F:F, "No Data")</f>
        <v>No</v>
      </c>
      <c r="H746" s="28">
        <f t="array" ref="H746">_xlfn.XLOOKUP($A746, 'Medical Examinations'!$A:$A, 'Medical Examinations'!G:G, "No Data")</f>
        <v>0</v>
      </c>
      <c r="I746" s="28" t="str">
        <f t="array" ref="I746">_xlfn.XLOOKUP($A746, 'Medical Examinations'!$A:$A, 'Medical Examinations'!H:H, "No Data")</f>
        <v>No</v>
      </c>
      <c r="J746" s="28" t="str">
        <f t="array" ref="J746">_xlfn.XLOOKUP($A746, 'Medical Examinations'!$A:$A, 'Medical Examinations'!I:I, "No Data")</f>
        <v>Normal Weight</v>
      </c>
      <c r="K746" s="28" t="str">
        <f t="array" ref="K746">_xlfn.XLOOKUP($A746, 'Hospitalisation Details'!$A:$A, 'Hospitalisation Details'!I:I, "No Data")</f>
        <v>tier - 2</v>
      </c>
      <c r="L746" s="28" t="str">
        <f t="array" ref="L746">_xlfn.XLOOKUP($A746, 'Hospitalisation Details'!$A:$A, 'Hospitalisation Details'!J:J, "No Data")</f>
        <v>R1024</v>
      </c>
      <c r="M746" s="28" t="str">
        <f t="array" ref="M746">_xlfn.XLOOKUP($A746, 'Hospitalisation Details'!$A:$A, 'Hospitalisation Details'!E:E, "No Data")</f>
        <v>02/08/81</v>
      </c>
      <c r="N746" s="28">
        <f t="array" ref="N746">_xlfn.XLOOKUP($A746, 'Hospitalisation Details'!$A:$A, 'Hospitalisation Details'!K:K, "No Data")</f>
        <v>41</v>
      </c>
      <c r="O746" s="33">
        <f t="array" ref="O746">_xlfn.XLOOKUP($A746, 'Hospitalisation Details'!$A:$A, 'Hospitalisation Details'!G:G, "No Data")</f>
        <v>13725.47</v>
      </c>
      <c r="P746" s="28" t="str">
        <f t="array" ref="P746">_xlfn.XLOOKUP($A746, 'Hospitalisation Details'!$A:$A, 'Hospitalisation Details'!H:H, "No Data")</f>
        <v>tier - 3</v>
      </c>
    </row>
    <row r="747">
      <c r="A747" s="25" t="s">
        <v>2377</v>
      </c>
      <c r="B747" s="28" t="str">
        <f t="array" ref="B747">_xlfn.XLOOKUP($A747, 'Customer Names'!$A:$A, 'Customer Names'!B:B, "No Data")</f>
        <v>Sittlington</v>
      </c>
      <c r="C747" s="28">
        <f t="array" ref="C747">_xlfn.XLOOKUP($A747, 'Medical Examinations'!$A:$A, 'Medical Examinations'!B:B, "No Data")</f>
        <v>44.55</v>
      </c>
      <c r="D747" s="28">
        <f t="array" ref="D747">_xlfn.XLOOKUP($A747, 'Medical Examinations'!$A:$A, 'Medical Examinations'!C:C, "No Data")</f>
        <v>7.12</v>
      </c>
      <c r="E747" s="28" t="str">
        <f t="array" ref="E747">_xlfn.XLOOKUP($A747, 'Medical Examinations'!$A:$A, 'Medical Examinations'!D:D, "No Data")</f>
        <v>yes</v>
      </c>
      <c r="F747" s="28" t="str">
        <f t="array" ref="F747">_xlfn.XLOOKUP($A747, 'Medical Examinations'!$A:$A, 'Medical Examinations'!E:E, "No Data")</f>
        <v>No</v>
      </c>
      <c r="G747" s="28" t="str">
        <f t="array" ref="G747">_xlfn.XLOOKUP($A747, 'Medical Examinations'!$A:$A, 'Medical Examinations'!F:F, "No Data")</f>
        <v>No</v>
      </c>
      <c r="H747" s="28">
        <f t="array" ref="H747">_xlfn.XLOOKUP($A747, 'Medical Examinations'!$A:$A, 'Medical Examinations'!G:G, "No Data")</f>
        <v>1</v>
      </c>
      <c r="I747" s="28" t="str">
        <f t="array" ref="I747">_xlfn.XLOOKUP($A747, 'Medical Examinations'!$A:$A, 'Medical Examinations'!H:H, "No Data")</f>
        <v>No</v>
      </c>
      <c r="J747" s="28" t="str">
        <f t="array" ref="J747">_xlfn.XLOOKUP($A747, 'Medical Examinations'!$A:$A, 'Medical Examinations'!I:I, "No Data")</f>
        <v>Obesity</v>
      </c>
      <c r="K747" s="28" t="str">
        <f t="array" ref="K747">_xlfn.XLOOKUP($A747, 'Hospitalisation Details'!$A:$A, 'Hospitalisation Details'!I:I, "No Data")</f>
        <v>tier - 2</v>
      </c>
      <c r="L747" s="28" t="str">
        <f t="array" ref="L747">_xlfn.XLOOKUP($A747, 'Hospitalisation Details'!$A:$A, 'Hospitalisation Details'!J:J, "No Data")</f>
        <v>R1023</v>
      </c>
      <c r="M747" s="28" t="str">
        <f t="array" ref="M747">_xlfn.XLOOKUP($A747, 'Hospitalisation Details'!$A:$A, 'Hospitalisation Details'!E:E, "No Data")</f>
        <v>24/11/86</v>
      </c>
      <c r="N747" s="28">
        <f t="array" ref="N747">_xlfn.XLOOKUP($A747, 'Hospitalisation Details'!$A:$A, 'Hospitalisation Details'!K:K, "No Data")</f>
        <v>36</v>
      </c>
      <c r="O747" s="33">
        <f t="array" ref="O747">_xlfn.XLOOKUP($A747, 'Hospitalisation Details'!$A:$A, 'Hospitalisation Details'!G:G, "No Data")</f>
        <v>13714.55</v>
      </c>
      <c r="P747" s="28" t="str">
        <f t="array" ref="P747">_xlfn.XLOOKUP($A747, 'Hospitalisation Details'!$A:$A, 'Hospitalisation Details'!H:H, "No Data")</f>
        <v>tier - 3</v>
      </c>
    </row>
    <row r="748">
      <c r="A748" s="25" t="s">
        <v>2381</v>
      </c>
      <c r="B748" s="28" t="str">
        <f t="array" ref="B748">_xlfn.XLOOKUP($A748, 'Customer Names'!$A:$A, 'Customer Names'!B:B, "No Data")</f>
        <v>Silbert</v>
      </c>
      <c r="C748" s="28">
        <f t="array" ref="C748">_xlfn.XLOOKUP($A748, 'Medical Examinations'!$A:$A, 'Medical Examinations'!B:B, "No Data")</f>
        <v>43.32</v>
      </c>
      <c r="D748" s="28">
        <f t="array" ref="D748">_xlfn.XLOOKUP($A748, 'Medical Examinations'!$A:$A, 'Medical Examinations'!C:C, "No Data")</f>
        <v>4.67</v>
      </c>
      <c r="E748" s="28" t="str">
        <f t="array" ref="E748">_xlfn.XLOOKUP($A748, 'Medical Examinations'!$A:$A, 'Medical Examinations'!D:D, "No Data")</f>
        <v>yes</v>
      </c>
      <c r="F748" s="28" t="str">
        <f t="array" ref="F748">_xlfn.XLOOKUP($A748, 'Medical Examinations'!$A:$A, 'Medical Examinations'!E:E, "No Data")</f>
        <v>No</v>
      </c>
      <c r="G748" s="28" t="str">
        <f t="array" ref="G748">_xlfn.XLOOKUP($A748, 'Medical Examinations'!$A:$A, 'Medical Examinations'!F:F, "No Data")</f>
        <v>No</v>
      </c>
      <c r="H748" s="28">
        <f t="array" ref="H748">_xlfn.XLOOKUP($A748, 'Medical Examinations'!$A:$A, 'Medical Examinations'!G:G, "No Data")</f>
        <v>0</v>
      </c>
      <c r="I748" s="28" t="str">
        <f t="array" ref="I748">_xlfn.XLOOKUP($A748, 'Medical Examinations'!$A:$A, 'Medical Examinations'!H:H, "No Data")</f>
        <v>No</v>
      </c>
      <c r="J748" s="28" t="str">
        <f t="array" ref="J748">_xlfn.XLOOKUP($A748, 'Medical Examinations'!$A:$A, 'Medical Examinations'!I:I, "No Data")</f>
        <v>Obesity</v>
      </c>
      <c r="K748" s="28" t="str">
        <f t="array" ref="K748">_xlfn.XLOOKUP($A748, 'Hospitalisation Details'!$A:$A, 'Hospitalisation Details'!I:I, "No Data")</f>
        <v>tier - 1</v>
      </c>
      <c r="L748" s="28" t="str">
        <f t="array" ref="L748">_xlfn.XLOOKUP($A748, 'Hospitalisation Details'!$A:$A, 'Hospitalisation Details'!J:J, "No Data")</f>
        <v>R1026</v>
      </c>
      <c r="M748" s="28" t="str">
        <f t="array" ref="M748">_xlfn.XLOOKUP($A748, 'Hospitalisation Details'!$A:$A, 'Hospitalisation Details'!E:E, "No Data")</f>
        <v>14/09/85</v>
      </c>
      <c r="N748" s="28">
        <f t="array" ref="N748">_xlfn.XLOOKUP($A748, 'Hospitalisation Details'!$A:$A, 'Hospitalisation Details'!K:K, "No Data")</f>
        <v>37</v>
      </c>
      <c r="O748" s="33">
        <f t="array" ref="O748">_xlfn.XLOOKUP($A748, 'Hospitalisation Details'!$A:$A, 'Hospitalisation Details'!G:G, "No Data")</f>
        <v>13685.51</v>
      </c>
      <c r="P748" s="28" t="str">
        <f t="array" ref="P748">_xlfn.XLOOKUP($A748, 'Hospitalisation Details'!$A:$A, 'Hospitalisation Details'!H:H, "No Data")</f>
        <v>tier - 3</v>
      </c>
    </row>
    <row r="749">
      <c r="A749" s="25" t="s">
        <v>2384</v>
      </c>
      <c r="B749" s="28" t="str">
        <f t="array" ref="B749">_xlfn.XLOOKUP($A749, 'Customer Names'!$A:$A, 'Customer Names'!B:B, "No Data")</f>
        <v>Carrique</v>
      </c>
      <c r="C749" s="28">
        <f t="array" ref="C749">_xlfn.XLOOKUP($A749, 'Medical Examinations'!$A:$A, 'Medical Examinations'!B:B, "No Data")</f>
        <v>31.23</v>
      </c>
      <c r="D749" s="28">
        <f t="array" ref="D749">_xlfn.XLOOKUP($A749, 'Medical Examinations'!$A:$A, 'Medical Examinations'!C:C, "No Data")</f>
        <v>9.12</v>
      </c>
      <c r="E749" s="28" t="str">
        <f t="array" ref="E749">_xlfn.XLOOKUP($A749, 'Medical Examinations'!$A:$A, 'Medical Examinations'!D:D, "No Data")</f>
        <v>yes</v>
      </c>
      <c r="F749" s="28" t="str">
        <f t="array" ref="F749">_xlfn.XLOOKUP($A749, 'Medical Examinations'!$A:$A, 'Medical Examinations'!E:E, "No Data")</f>
        <v>No</v>
      </c>
      <c r="G749" s="28" t="str">
        <f t="array" ref="G749">_xlfn.XLOOKUP($A749, 'Medical Examinations'!$A:$A, 'Medical Examinations'!F:F, "No Data")</f>
        <v>Yes</v>
      </c>
      <c r="H749" s="28">
        <f t="array" ref="H749">_xlfn.XLOOKUP($A749, 'Medical Examinations'!$A:$A, 'Medical Examinations'!G:G, "No Data")</f>
        <v>1</v>
      </c>
      <c r="I749" s="28" t="str">
        <f t="array" ref="I749">_xlfn.XLOOKUP($A749, 'Medical Examinations'!$A:$A, 'Medical Examinations'!H:H, "No Data")</f>
        <v>No</v>
      </c>
      <c r="J749" s="28" t="str">
        <f t="array" ref="J749">_xlfn.XLOOKUP($A749, 'Medical Examinations'!$A:$A, 'Medical Examinations'!I:I, "No Data")</f>
        <v>Obesity</v>
      </c>
      <c r="K749" s="28" t="str">
        <f t="array" ref="K749">_xlfn.XLOOKUP($A749, 'Hospitalisation Details'!$A:$A, 'Hospitalisation Details'!I:I, "No Data")</f>
        <v>tier - 2</v>
      </c>
      <c r="L749" s="28" t="str">
        <f t="array" ref="L749">_xlfn.XLOOKUP($A749, 'Hospitalisation Details'!$A:$A, 'Hospitalisation Details'!J:J, "No Data")</f>
        <v>R1021</v>
      </c>
      <c r="M749" s="28" t="str">
        <f t="array" ref="M749">_xlfn.XLOOKUP($A749, 'Hospitalisation Details'!$A:$A, 'Hospitalisation Details'!E:E, "No Data")</f>
        <v>04/08/63</v>
      </c>
      <c r="N749" s="28">
        <f t="array" ref="N749">_xlfn.XLOOKUP($A749, 'Hospitalisation Details'!$A:$A, 'Hospitalisation Details'!K:K, "No Data")</f>
        <v>59</v>
      </c>
      <c r="O749" s="33">
        <f t="array" ref="O749">_xlfn.XLOOKUP($A749, 'Hospitalisation Details'!$A:$A, 'Hospitalisation Details'!G:G, "No Data")</f>
        <v>13677.68</v>
      </c>
      <c r="P749" s="28" t="str">
        <f t="array" ref="P749">_xlfn.XLOOKUP($A749, 'Hospitalisation Details'!$A:$A, 'Hospitalisation Details'!H:H, "No Data")</f>
        <v>tier - 3</v>
      </c>
    </row>
    <row r="750">
      <c r="A750" s="25" t="s">
        <v>2387</v>
      </c>
      <c r="B750" s="28" t="str">
        <f t="array" ref="B750">_xlfn.XLOOKUP($A750, 'Customer Names'!$A:$A, 'Customer Names'!B:B, "No Data")</f>
        <v>Kosla</v>
      </c>
      <c r="C750" s="28">
        <f t="array" ref="C750">_xlfn.XLOOKUP($A750, 'Medical Examinations'!$A:$A, 'Medical Examinations'!B:B, "No Data")</f>
        <v>42.81</v>
      </c>
      <c r="D750" s="28">
        <f t="array" ref="D750">_xlfn.XLOOKUP($A750, 'Medical Examinations'!$A:$A, 'Medical Examinations'!C:C, "No Data")</f>
        <v>4.15</v>
      </c>
      <c r="E750" s="28" t="str">
        <f t="array" ref="E750">_xlfn.XLOOKUP($A750, 'Medical Examinations'!$A:$A, 'Medical Examinations'!D:D, "No Data")</f>
        <v>No</v>
      </c>
      <c r="F750" s="28" t="str">
        <f t="array" ref="F750">_xlfn.XLOOKUP($A750, 'Medical Examinations'!$A:$A, 'Medical Examinations'!E:E, "No Data")</f>
        <v>No</v>
      </c>
      <c r="G750" s="28" t="str">
        <f t="array" ref="G750">_xlfn.XLOOKUP($A750, 'Medical Examinations'!$A:$A, 'Medical Examinations'!F:F, "No Data")</f>
        <v>No</v>
      </c>
      <c r="H750" s="28">
        <f t="array" ref="H750">_xlfn.XLOOKUP($A750, 'Medical Examinations'!$A:$A, 'Medical Examinations'!G:G, "No Data")</f>
        <v>1</v>
      </c>
      <c r="I750" s="28" t="str">
        <f t="array" ref="I750">_xlfn.XLOOKUP($A750, 'Medical Examinations'!$A:$A, 'Medical Examinations'!H:H, "No Data")</f>
        <v>No</v>
      </c>
      <c r="J750" s="28" t="str">
        <f t="array" ref="J750">_xlfn.XLOOKUP($A750, 'Medical Examinations'!$A:$A, 'Medical Examinations'!I:I, "No Data")</f>
        <v>Obesity</v>
      </c>
      <c r="K750" s="28" t="str">
        <f t="array" ref="K750">_xlfn.XLOOKUP($A750, 'Hospitalisation Details'!$A:$A, 'Hospitalisation Details'!I:I, "No Data")</f>
        <v>tier - 3</v>
      </c>
      <c r="L750" s="28" t="str">
        <f t="array" ref="L750">_xlfn.XLOOKUP($A750, 'Hospitalisation Details'!$A:$A, 'Hospitalisation Details'!J:J, "No Data")</f>
        <v>R1023</v>
      </c>
      <c r="M750" s="28" t="str">
        <f t="array" ref="M750">_xlfn.XLOOKUP($A750, 'Hospitalisation Details'!$A:$A, 'Hospitalisation Details'!E:E, "No Data")</f>
        <v>20/07/84</v>
      </c>
      <c r="N750" s="28">
        <f t="array" ref="N750">_xlfn.XLOOKUP($A750, 'Hospitalisation Details'!$A:$A, 'Hospitalisation Details'!K:K, "No Data")</f>
        <v>38</v>
      </c>
      <c r="O750" s="33">
        <f t="array" ref="O750">_xlfn.XLOOKUP($A750, 'Hospitalisation Details'!$A:$A, 'Hospitalisation Details'!G:G, "No Data")</f>
        <v>13638.06</v>
      </c>
      <c r="P750" s="28" t="str">
        <f t="array" ref="P750">_xlfn.XLOOKUP($A750, 'Hospitalisation Details'!$A:$A, 'Hospitalisation Details'!H:H, "No Data")</f>
        <v>tier - 3</v>
      </c>
    </row>
    <row r="751">
      <c r="A751" s="25" t="s">
        <v>2389</v>
      </c>
      <c r="B751" s="28" t="str">
        <f t="array" ref="B751">_xlfn.XLOOKUP($A751, 'Customer Names'!$A:$A, 'Customer Names'!B:B, "No Data")</f>
        <v>Parker</v>
      </c>
      <c r="C751" s="28">
        <f t="array" ref="C751">_xlfn.XLOOKUP($A751, 'Medical Examinations'!$A:$A, 'Medical Examinations'!B:B, "No Data")</f>
        <v>35.91</v>
      </c>
      <c r="D751" s="28">
        <f t="array" ref="D751">_xlfn.XLOOKUP($A751, 'Medical Examinations'!$A:$A, 'Medical Examinations'!C:C, "No Data")</f>
        <v>6.72</v>
      </c>
      <c r="E751" s="28" t="str">
        <f t="array" ref="E751">_xlfn.XLOOKUP($A751, 'Medical Examinations'!$A:$A, 'Medical Examinations'!D:D, "No Data")</f>
        <v>yes</v>
      </c>
      <c r="F751" s="28" t="str">
        <f t="array" ref="F751">_xlfn.XLOOKUP($A751, 'Medical Examinations'!$A:$A, 'Medical Examinations'!E:E, "No Data")</f>
        <v>No</v>
      </c>
      <c r="G751" s="28" t="str">
        <f t="array" ref="G751">_xlfn.XLOOKUP($A751, 'Medical Examinations'!$A:$A, 'Medical Examinations'!F:F, "No Data")</f>
        <v>No</v>
      </c>
      <c r="H751" s="28">
        <f t="array" ref="H751">_xlfn.XLOOKUP($A751, 'Medical Examinations'!$A:$A, 'Medical Examinations'!G:G, "No Data")</f>
        <v>2</v>
      </c>
      <c r="I751" s="28" t="str">
        <f t="array" ref="I751">_xlfn.XLOOKUP($A751, 'Medical Examinations'!$A:$A, 'Medical Examinations'!H:H, "No Data")</f>
        <v>No</v>
      </c>
      <c r="J751" s="28" t="str">
        <f t="array" ref="J751">_xlfn.XLOOKUP($A751, 'Medical Examinations'!$A:$A, 'Medical Examinations'!I:I, "No Data")</f>
        <v>Obesity</v>
      </c>
      <c r="K751" s="28" t="str">
        <f t="array" ref="K751">_xlfn.XLOOKUP($A751, 'Hospitalisation Details'!$A:$A, 'Hospitalisation Details'!I:I, "No Data")</f>
        <v>tier - 3</v>
      </c>
      <c r="L751" s="28" t="str">
        <f t="array" ref="L751">_xlfn.XLOOKUP($A751, 'Hospitalisation Details'!$A:$A, 'Hospitalisation Details'!J:J, "No Data")</f>
        <v>R1024</v>
      </c>
      <c r="M751" s="28" t="str">
        <f t="array" ref="M751">_xlfn.XLOOKUP($A751, 'Hospitalisation Details'!$A:$A, 'Hospitalisation Details'!E:E, "No Data")</f>
        <v>24/12/61</v>
      </c>
      <c r="N751" s="28">
        <f t="array" ref="N751">_xlfn.XLOOKUP($A751, 'Hospitalisation Details'!$A:$A, 'Hospitalisation Details'!K:K, "No Data")</f>
        <v>61</v>
      </c>
      <c r="O751" s="33">
        <f t="array" ref="O751">_xlfn.XLOOKUP($A751, 'Hospitalisation Details'!$A:$A, 'Hospitalisation Details'!G:G, "No Data")</f>
        <v>13635.64</v>
      </c>
      <c r="P751" s="28" t="str">
        <f t="array" ref="P751">_xlfn.XLOOKUP($A751, 'Hospitalisation Details'!$A:$A, 'Hospitalisation Details'!H:H, "No Data")</f>
        <v>tier - 3</v>
      </c>
    </row>
    <row r="752">
      <c r="A752" s="25" t="s">
        <v>2392</v>
      </c>
      <c r="B752" s="28" t="str">
        <f t="array" ref="B752">_xlfn.XLOOKUP($A752, 'Customer Names'!$A:$A, 'Customer Names'!B:B, "No Data")</f>
        <v>Horton</v>
      </c>
      <c r="C752" s="28">
        <f t="array" ref="C752">_xlfn.XLOOKUP($A752, 'Medical Examinations'!$A:$A, 'Medical Examinations'!B:B, "No Data")</f>
        <v>36.65</v>
      </c>
      <c r="D752" s="28">
        <f t="array" ref="D752">_xlfn.XLOOKUP($A752, 'Medical Examinations'!$A:$A, 'Medical Examinations'!C:C, "No Data")</f>
        <v>5.01</v>
      </c>
      <c r="E752" s="28" t="str">
        <f t="array" ref="E752">_xlfn.XLOOKUP($A752, 'Medical Examinations'!$A:$A, 'Medical Examinations'!D:D, "No Data")</f>
        <v>yes</v>
      </c>
      <c r="F752" s="28" t="str">
        <f t="array" ref="F752">_xlfn.XLOOKUP($A752, 'Medical Examinations'!$A:$A, 'Medical Examinations'!E:E, "No Data")</f>
        <v>No</v>
      </c>
      <c r="G752" s="28" t="str">
        <f t="array" ref="G752">_xlfn.XLOOKUP($A752, 'Medical Examinations'!$A:$A, 'Medical Examinations'!F:F, "No Data")</f>
        <v>Yes</v>
      </c>
      <c r="H752" s="28">
        <f t="array" ref="H752">_xlfn.XLOOKUP($A752, 'Medical Examinations'!$A:$A, 'Medical Examinations'!G:G, "No Data")</f>
        <v>1</v>
      </c>
      <c r="I752" s="28" t="str">
        <f t="array" ref="I752">_xlfn.XLOOKUP($A752, 'Medical Examinations'!$A:$A, 'Medical Examinations'!H:H, "No Data")</f>
        <v>No</v>
      </c>
      <c r="J752" s="28" t="str">
        <f t="array" ref="J752">_xlfn.XLOOKUP($A752, 'Medical Examinations'!$A:$A, 'Medical Examinations'!I:I, "No Data")</f>
        <v>Obesity</v>
      </c>
      <c r="K752" s="28" t="str">
        <f t="array" ref="K752">_xlfn.XLOOKUP($A752, 'Hospitalisation Details'!$A:$A, 'Hospitalisation Details'!I:I, "No Data")</f>
        <v>tier - 3</v>
      </c>
      <c r="L752" s="28" t="str">
        <f t="array" ref="L752">_xlfn.XLOOKUP($A752, 'Hospitalisation Details'!$A:$A, 'Hospitalisation Details'!J:J, "No Data")</f>
        <v>R1012</v>
      </c>
      <c r="M752" s="28" t="str">
        <f t="array" ref="M752">_xlfn.XLOOKUP($A752, 'Hospitalisation Details'!$A:$A, 'Hospitalisation Details'!E:E, "No Data")</f>
        <v>26/07/69</v>
      </c>
      <c r="N752" s="28">
        <f t="array" ref="N752">_xlfn.XLOOKUP($A752, 'Hospitalisation Details'!$A:$A, 'Hospitalisation Details'!K:K, "No Data")</f>
        <v>53</v>
      </c>
      <c r="O752" s="33">
        <f t="array" ref="O752">_xlfn.XLOOKUP($A752, 'Hospitalisation Details'!$A:$A, 'Hospitalisation Details'!G:G, "No Data")</f>
        <v>13622.01</v>
      </c>
      <c r="P752" s="28" t="str">
        <f t="array" ref="P752">_xlfn.XLOOKUP($A752, 'Hospitalisation Details'!$A:$A, 'Hospitalisation Details'!H:H, "No Data")</f>
        <v>tier - 3</v>
      </c>
    </row>
    <row r="753">
      <c r="A753" s="25" t="s">
        <v>2394</v>
      </c>
      <c r="B753" s="28" t="str">
        <f t="array" ref="B753">_xlfn.XLOOKUP($A753, 'Customer Names'!$A:$A, 'Customer Names'!B:B, "No Data")</f>
        <v>Boller</v>
      </c>
      <c r="C753" s="28">
        <f t="array" ref="C753">_xlfn.XLOOKUP($A753, 'Medical Examinations'!$A:$A, 'Medical Examinations'!B:B, "No Data")</f>
        <v>22.04</v>
      </c>
      <c r="D753" s="28">
        <f t="array" ref="D753">_xlfn.XLOOKUP($A753, 'Medical Examinations'!$A:$A, 'Medical Examinations'!C:C, "No Data")</f>
        <v>10.9</v>
      </c>
      <c r="E753" s="28" t="str">
        <f t="array" ref="E753">_xlfn.XLOOKUP($A753, 'Medical Examinations'!$A:$A, 'Medical Examinations'!D:D, "No Data")</f>
        <v>yes</v>
      </c>
      <c r="F753" s="28" t="str">
        <f t="array" ref="F753">_xlfn.XLOOKUP($A753, 'Medical Examinations'!$A:$A, 'Medical Examinations'!E:E, "No Data")</f>
        <v>No</v>
      </c>
      <c r="G753" s="28" t="str">
        <f t="array" ref="G753">_xlfn.XLOOKUP($A753, 'Medical Examinations'!$A:$A, 'Medical Examinations'!F:F, "No Data")</f>
        <v>No</v>
      </c>
      <c r="H753" s="28">
        <f t="array" ref="H753">_xlfn.XLOOKUP($A753, 'Medical Examinations'!$A:$A, 'Medical Examinations'!G:G, "No Data")</f>
        <v>2</v>
      </c>
      <c r="I753" s="28" t="str">
        <f t="array" ref="I753">_xlfn.XLOOKUP($A753, 'Medical Examinations'!$A:$A, 'Medical Examinations'!H:H, "No Data")</f>
        <v>No</v>
      </c>
      <c r="J753" s="28" t="str">
        <f t="array" ref="J753">_xlfn.XLOOKUP($A753, 'Medical Examinations'!$A:$A, 'Medical Examinations'!I:I, "No Data")</f>
        <v>Normal Weight</v>
      </c>
      <c r="K753" s="28" t="str">
        <f t="array" ref="K753">_xlfn.XLOOKUP($A753, 'Hospitalisation Details'!$A:$A, 'Hospitalisation Details'!I:I, "No Data")</f>
        <v>tier - 3</v>
      </c>
      <c r="L753" s="28" t="str">
        <f t="array" ref="L753">_xlfn.XLOOKUP($A753, 'Hospitalisation Details'!$A:$A, 'Hospitalisation Details'!J:J, "No Data")</f>
        <v>R1024</v>
      </c>
      <c r="M753" s="28" t="str">
        <f t="array" ref="M753">_xlfn.XLOOKUP($A753, 'Hospitalisation Details'!$A:$A, 'Hospitalisation Details'!E:E, "No Data")</f>
        <v>18/11/61</v>
      </c>
      <c r="N753" s="28">
        <f t="array" ref="N753">_xlfn.XLOOKUP($A753, 'Hospitalisation Details'!$A:$A, 'Hospitalisation Details'!K:K, "No Data")</f>
        <v>61</v>
      </c>
      <c r="O753" s="33">
        <f t="array" ref="O753">_xlfn.XLOOKUP($A753, 'Hospitalisation Details'!$A:$A, 'Hospitalisation Details'!G:G, "No Data")</f>
        <v>13616.36</v>
      </c>
      <c r="P753" s="28" t="str">
        <f t="array" ref="P753">_xlfn.XLOOKUP($A753, 'Hospitalisation Details'!$A:$A, 'Hospitalisation Details'!H:H, "No Data")</f>
        <v>tier - 3</v>
      </c>
    </row>
    <row r="754">
      <c r="A754" s="25" t="s">
        <v>2398</v>
      </c>
      <c r="B754" s="28" t="str">
        <f t="array" ref="B754">_xlfn.XLOOKUP($A754, 'Customer Names'!$A:$A, 'Customer Names'!B:B, "No Data")</f>
        <v>Olaru</v>
      </c>
      <c r="C754" s="28">
        <f t="array" ref="C754">_xlfn.XLOOKUP($A754, 'Medical Examinations'!$A:$A, 'Medical Examinations'!B:B, "No Data")</f>
        <v>31.825</v>
      </c>
      <c r="D754" s="28">
        <f t="array" ref="D754">_xlfn.XLOOKUP($A754, 'Medical Examinations'!$A:$A, 'Medical Examinations'!C:C, "No Data")</f>
        <v>5.52</v>
      </c>
      <c r="E754" s="28" t="str">
        <f t="array" ref="E754">_xlfn.XLOOKUP($A754, 'Medical Examinations'!$A:$A, 'Medical Examinations'!D:D, "No Data")</f>
        <v>yes</v>
      </c>
      <c r="F754" s="28" t="str">
        <f t="array" ref="F754">_xlfn.XLOOKUP($A754, 'Medical Examinations'!$A:$A, 'Medical Examinations'!E:E, "No Data")</f>
        <v>No</v>
      </c>
      <c r="G754" s="28" t="str">
        <f t="array" ref="G754">_xlfn.XLOOKUP($A754, 'Medical Examinations'!$A:$A, 'Medical Examinations'!F:F, "No Data")</f>
        <v>No</v>
      </c>
      <c r="H754" s="28">
        <f t="array" ref="H754">_xlfn.XLOOKUP($A754, 'Medical Examinations'!$A:$A, 'Medical Examinations'!G:G, "No Data")</f>
        <v>1</v>
      </c>
      <c r="I754" s="28" t="str">
        <f t="array" ref="I754">_xlfn.XLOOKUP($A754, 'Medical Examinations'!$A:$A, 'Medical Examinations'!H:H, "No Data")</f>
        <v>No</v>
      </c>
      <c r="J754" s="28" t="str">
        <f t="array" ref="J754">_xlfn.XLOOKUP($A754, 'Medical Examinations'!$A:$A, 'Medical Examinations'!I:I, "No Data")</f>
        <v>Obesity</v>
      </c>
      <c r="K754" s="28" t="str">
        <f t="array" ref="K754">_xlfn.XLOOKUP($A754, 'Hospitalisation Details'!$A:$A, 'Hospitalisation Details'!I:I, "No Data")</f>
        <v>tier - 1</v>
      </c>
      <c r="L754" s="28" t="str">
        <f t="array" ref="L754">_xlfn.XLOOKUP($A754, 'Hospitalisation Details'!$A:$A, 'Hospitalisation Details'!J:J, "No Data")</f>
        <v>R1024</v>
      </c>
      <c r="M754" s="28" t="str">
        <f t="array" ref="M754">_xlfn.XLOOKUP($A754, 'Hospitalisation Details'!$A:$A, 'Hospitalisation Details'!E:E, "No Data")</f>
        <v>10/09/64</v>
      </c>
      <c r="N754" s="28">
        <f t="array" ref="N754">_xlfn.XLOOKUP($A754, 'Hospitalisation Details'!$A:$A, 'Hospitalisation Details'!K:K, "No Data")</f>
        <v>58</v>
      </c>
      <c r="O754" s="33">
        <f t="array" ref="O754">_xlfn.XLOOKUP($A754, 'Hospitalisation Details'!$A:$A, 'Hospitalisation Details'!G:G, "No Data")</f>
        <v>13607.37</v>
      </c>
      <c r="P754" s="28" t="str">
        <f t="array" ref="P754">_xlfn.XLOOKUP($A754, 'Hospitalisation Details'!$A:$A, 'Hospitalisation Details'!H:H, "No Data")</f>
        <v>tier - 3</v>
      </c>
    </row>
    <row r="755">
      <c r="A755" s="25" t="s">
        <v>2402</v>
      </c>
      <c r="B755" s="28" t="str">
        <f t="array" ref="B755">_xlfn.XLOOKUP($A755, 'Customer Names'!$A:$A, 'Customer Names'!B:B, "No Data")</f>
        <v>Prescott</v>
      </c>
      <c r="C755" s="28">
        <f t="array" ref="C755">_xlfn.XLOOKUP($A755, 'Medical Examinations'!$A:$A, 'Medical Examinations'!B:B, "No Data")</f>
        <v>53.58</v>
      </c>
      <c r="D755" s="28">
        <f t="array" ref="D755">_xlfn.XLOOKUP($A755, 'Medical Examinations'!$A:$A, 'Medical Examinations'!C:C, "No Data")</f>
        <v>4.55</v>
      </c>
      <c r="E755" s="28" t="str">
        <f t="array" ref="E755">_xlfn.XLOOKUP($A755, 'Medical Examinations'!$A:$A, 'Medical Examinations'!D:D, "No Data")</f>
        <v>No</v>
      </c>
      <c r="F755" s="28" t="str">
        <f t="array" ref="F755">_xlfn.XLOOKUP($A755, 'Medical Examinations'!$A:$A, 'Medical Examinations'!E:E, "No Data")</f>
        <v>No</v>
      </c>
      <c r="G755" s="28" t="str">
        <f t="array" ref="G755">_xlfn.XLOOKUP($A755, 'Medical Examinations'!$A:$A, 'Medical Examinations'!F:F, "No Data")</f>
        <v>No</v>
      </c>
      <c r="H755" s="28">
        <f t="array" ref="H755">_xlfn.XLOOKUP($A755, 'Medical Examinations'!$A:$A, 'Medical Examinations'!G:G, "No Data")</f>
        <v>1</v>
      </c>
      <c r="I755" s="28" t="str">
        <f t="array" ref="I755">_xlfn.XLOOKUP($A755, 'Medical Examinations'!$A:$A, 'Medical Examinations'!H:H, "No Data")</f>
        <v>No</v>
      </c>
      <c r="J755" s="28" t="str">
        <f t="array" ref="J755">_xlfn.XLOOKUP($A755, 'Medical Examinations'!$A:$A, 'Medical Examinations'!I:I, "No Data")</f>
        <v>Obesity</v>
      </c>
      <c r="K755" s="28" t="str">
        <f t="array" ref="K755">_xlfn.XLOOKUP($A755, 'Hospitalisation Details'!$A:$A, 'Hospitalisation Details'!I:I, "No Data")</f>
        <v>tier - 1</v>
      </c>
      <c r="L755" s="28" t="str">
        <f t="array" ref="L755">_xlfn.XLOOKUP($A755, 'Hospitalisation Details'!$A:$A, 'Hospitalisation Details'!J:J, "No Data")</f>
        <v>R1012</v>
      </c>
      <c r="M755" s="28" t="str">
        <f t="array" ref="M755">_xlfn.XLOOKUP($A755, 'Hospitalisation Details'!$A:$A, 'Hospitalisation Details'!E:E, "No Data")</f>
        <v>14/08/92</v>
      </c>
      <c r="N755" s="28">
        <f t="array" ref="N755">_xlfn.XLOOKUP($A755, 'Hospitalisation Details'!$A:$A, 'Hospitalisation Details'!K:K, "No Data")</f>
        <v>30</v>
      </c>
      <c r="O755" s="33">
        <f t="array" ref="O755">_xlfn.XLOOKUP($A755, 'Hospitalisation Details'!$A:$A, 'Hospitalisation Details'!G:G, "No Data")</f>
        <v>13588.17</v>
      </c>
      <c r="P755" s="28" t="str">
        <f t="array" ref="P755">_xlfn.XLOOKUP($A755, 'Hospitalisation Details'!$A:$A, 'Hospitalisation Details'!H:H, "No Data")</f>
        <v>tier - 3</v>
      </c>
    </row>
    <row r="756">
      <c r="A756" s="25" t="s">
        <v>2405</v>
      </c>
      <c r="B756" s="28" t="str">
        <f t="array" ref="B756">_xlfn.XLOOKUP($A756, 'Customer Names'!$A:$A, 'Customer Names'!B:B, "No Data")</f>
        <v>Hines</v>
      </c>
      <c r="C756" s="28">
        <f t="array" ref="C756">_xlfn.XLOOKUP($A756, 'Medical Examinations'!$A:$A, 'Medical Examinations'!B:B, "No Data")</f>
        <v>34.3</v>
      </c>
      <c r="D756" s="28">
        <f t="array" ref="D756">_xlfn.XLOOKUP($A756, 'Medical Examinations'!$A:$A, 'Medical Examinations'!C:C, "No Data")</f>
        <v>11.76</v>
      </c>
      <c r="E756" s="28" t="str">
        <f t="array" ref="E756">_xlfn.XLOOKUP($A756, 'Medical Examinations'!$A:$A, 'Medical Examinations'!D:D, "No Data")</f>
        <v>No</v>
      </c>
      <c r="F756" s="28" t="str">
        <f t="array" ref="F756">_xlfn.XLOOKUP($A756, 'Medical Examinations'!$A:$A, 'Medical Examinations'!E:E, "No Data")</f>
        <v>No</v>
      </c>
      <c r="G756" s="28" t="str">
        <f t="array" ref="G756">_xlfn.XLOOKUP($A756, 'Medical Examinations'!$A:$A, 'Medical Examinations'!F:F, "No Data")</f>
        <v>No</v>
      </c>
      <c r="H756" s="28">
        <f t="array" ref="H756">_xlfn.XLOOKUP($A756, 'Medical Examinations'!$A:$A, 'Medical Examinations'!G:G, "No Data")</f>
        <v>0</v>
      </c>
      <c r="I756" s="28" t="str">
        <f t="array" ref="I756">_xlfn.XLOOKUP($A756, 'Medical Examinations'!$A:$A, 'Medical Examinations'!H:H, "No Data")</f>
        <v>No</v>
      </c>
      <c r="J756" s="28" t="str">
        <f t="array" ref="J756">_xlfn.XLOOKUP($A756, 'Medical Examinations'!$A:$A, 'Medical Examinations'!I:I, "No Data")</f>
        <v>Obesity</v>
      </c>
      <c r="K756" s="28" t="str">
        <f t="array" ref="K756">_xlfn.XLOOKUP($A756, 'Hospitalisation Details'!$A:$A, 'Hospitalisation Details'!I:I, "No Data")</f>
        <v>tier - 3</v>
      </c>
      <c r="L756" s="28" t="str">
        <f t="array" ref="L756">_xlfn.XLOOKUP($A756, 'Hospitalisation Details'!$A:$A, 'Hospitalisation Details'!J:J, "No Data")</f>
        <v>R1026</v>
      </c>
      <c r="M756" s="28" t="str">
        <f t="array" ref="M756">_xlfn.XLOOKUP($A756, 'Hospitalisation Details'!$A:$A, 'Hospitalisation Details'!E:E, "No Data")</f>
        <v>15/07/68</v>
      </c>
      <c r="N756" s="28">
        <f t="array" ref="N756">_xlfn.XLOOKUP($A756, 'Hospitalisation Details'!$A:$A, 'Hospitalisation Details'!K:K, "No Data")</f>
        <v>54</v>
      </c>
      <c r="O756" s="33">
        <f t="array" ref="O756">_xlfn.XLOOKUP($A756, 'Hospitalisation Details'!$A:$A, 'Hospitalisation Details'!G:G, "No Data")</f>
        <v>13566.04</v>
      </c>
      <c r="P756" s="28" t="str">
        <f t="array" ref="P756">_xlfn.XLOOKUP($A756, 'Hospitalisation Details'!$A:$A, 'Hospitalisation Details'!H:H, "No Data")</f>
        <v>tier - 3</v>
      </c>
    </row>
    <row r="757">
      <c r="A757" s="25" t="s">
        <v>2409</v>
      </c>
      <c r="B757" s="28" t="str">
        <f t="array" ref="B757">_xlfn.XLOOKUP($A757, 'Customer Names'!$A:$A, 'Customer Names'!B:B, "No Data")</f>
        <v>Blanton</v>
      </c>
      <c r="C757" s="28">
        <f t="array" ref="C757">_xlfn.XLOOKUP($A757, 'Medical Examinations'!$A:$A, 'Medical Examinations'!B:B, "No Data")</f>
        <v>32.11</v>
      </c>
      <c r="D757" s="28">
        <f t="array" ref="D757">_xlfn.XLOOKUP($A757, 'Medical Examinations'!$A:$A, 'Medical Examinations'!C:C, "No Data")</f>
        <v>7.06</v>
      </c>
      <c r="E757" s="28" t="str">
        <f t="array" ref="E757">_xlfn.XLOOKUP($A757, 'Medical Examinations'!$A:$A, 'Medical Examinations'!D:D, "No Data")</f>
        <v>No</v>
      </c>
      <c r="F757" s="28" t="str">
        <f t="array" ref="F757">_xlfn.XLOOKUP($A757, 'Medical Examinations'!$A:$A, 'Medical Examinations'!E:E, "No Data")</f>
        <v>No</v>
      </c>
      <c r="G757" s="28" t="str">
        <f t="array" ref="G757">_xlfn.XLOOKUP($A757, 'Medical Examinations'!$A:$A, 'Medical Examinations'!F:F, "No Data")</f>
        <v>No</v>
      </c>
      <c r="H757" s="28">
        <f t="array" ref="H757">_xlfn.XLOOKUP($A757, 'Medical Examinations'!$A:$A, 'Medical Examinations'!G:G, "No Data")</f>
        <v>0</v>
      </c>
      <c r="I757" s="28" t="str">
        <f t="array" ref="I757">_xlfn.XLOOKUP($A757, 'Medical Examinations'!$A:$A, 'Medical Examinations'!H:H, "No Data")</f>
        <v>No</v>
      </c>
      <c r="J757" s="28" t="str">
        <f t="array" ref="J757">_xlfn.XLOOKUP($A757, 'Medical Examinations'!$A:$A, 'Medical Examinations'!I:I, "No Data")</f>
        <v>Obesity</v>
      </c>
      <c r="K757" s="28" t="str">
        <f t="array" ref="K757">_xlfn.XLOOKUP($A757, 'Hospitalisation Details'!$A:$A, 'Hospitalisation Details'!I:I, "No Data")</f>
        <v>tier - 3</v>
      </c>
      <c r="L757" s="28" t="str">
        <f t="array" ref="L757">_xlfn.XLOOKUP($A757, 'Hospitalisation Details'!$A:$A, 'Hospitalisation Details'!J:J, "No Data")</f>
        <v>R1017</v>
      </c>
      <c r="M757" s="28" t="str">
        <f t="array" ref="M757">_xlfn.XLOOKUP($A757, 'Hospitalisation Details'!$A:$A, 'Hospitalisation Details'!E:E, "No Data")</f>
        <v>11/07/60</v>
      </c>
      <c r="N757" s="28">
        <f t="array" ref="N757">_xlfn.XLOOKUP($A757, 'Hospitalisation Details'!$A:$A, 'Hospitalisation Details'!K:K, "No Data")</f>
        <v>62</v>
      </c>
      <c r="O757" s="33">
        <f t="array" ref="O757">_xlfn.XLOOKUP($A757, 'Hospitalisation Details'!$A:$A, 'Hospitalisation Details'!G:G, "No Data")</f>
        <v>13555</v>
      </c>
      <c r="P757" s="28" t="str">
        <f t="array" ref="P757">_xlfn.XLOOKUP($A757, 'Hospitalisation Details'!$A:$A, 'Hospitalisation Details'!H:H, "No Data")</f>
        <v>tier - 3</v>
      </c>
    </row>
    <row r="758">
      <c r="A758" s="25" t="s">
        <v>2412</v>
      </c>
      <c r="B758" s="28" t="str">
        <f t="array" ref="B758">_xlfn.XLOOKUP($A758, 'Customer Names'!$A:$A, 'Customer Names'!B:B, "No Data")</f>
        <v>Bustamante</v>
      </c>
      <c r="C758" s="28">
        <f t="array" ref="C758">_xlfn.XLOOKUP($A758, 'Medical Examinations'!$A:$A, 'Medical Examinations'!B:B, "No Data")</f>
        <v>31.78</v>
      </c>
      <c r="D758" s="28">
        <f t="array" ref="D758">_xlfn.XLOOKUP($A758, 'Medical Examinations'!$A:$A, 'Medical Examinations'!C:C, "No Data")</f>
        <v>11.35</v>
      </c>
      <c r="E758" s="28" t="str">
        <f t="array" ref="E758">_xlfn.XLOOKUP($A758, 'Medical Examinations'!$A:$A, 'Medical Examinations'!D:D, "No Data")</f>
        <v>yes</v>
      </c>
      <c r="F758" s="28" t="str">
        <f t="array" ref="F758">_xlfn.XLOOKUP($A758, 'Medical Examinations'!$A:$A, 'Medical Examinations'!E:E, "No Data")</f>
        <v>No</v>
      </c>
      <c r="G758" s="28" t="str">
        <f t="array" ref="G758">_xlfn.XLOOKUP($A758, 'Medical Examinations'!$A:$A, 'Medical Examinations'!F:F, "No Data")</f>
        <v>Yes</v>
      </c>
      <c r="H758" s="28">
        <f t="array" ref="H758">_xlfn.XLOOKUP($A758, 'Medical Examinations'!$A:$A, 'Medical Examinations'!G:G, "No Data")</f>
        <v>1</v>
      </c>
      <c r="I758" s="28" t="str">
        <f t="array" ref="I758">_xlfn.XLOOKUP($A758, 'Medical Examinations'!$A:$A, 'Medical Examinations'!H:H, "No Data")</f>
        <v>No</v>
      </c>
      <c r="J758" s="28" t="str">
        <f t="array" ref="J758">_xlfn.XLOOKUP($A758, 'Medical Examinations'!$A:$A, 'Medical Examinations'!I:I, "No Data")</f>
        <v>Obesity</v>
      </c>
      <c r="K758" s="28" t="str">
        <f t="array" ref="K758">_xlfn.XLOOKUP($A758, 'Hospitalisation Details'!$A:$A, 'Hospitalisation Details'!I:I, "No Data")</f>
        <v>tier - 1</v>
      </c>
      <c r="L758" s="28" t="str">
        <f t="array" ref="L758">_xlfn.XLOOKUP($A758, 'Hospitalisation Details'!$A:$A, 'Hospitalisation Details'!J:J, "No Data")</f>
        <v>R1012</v>
      </c>
      <c r="M758" s="28" t="str">
        <f t="array" ref="M758">_xlfn.XLOOKUP($A758, 'Hospitalisation Details'!$A:$A, 'Hospitalisation Details'!E:E, "No Data")</f>
        <v>14/10/63</v>
      </c>
      <c r="N758" s="28">
        <f t="array" ref="N758">_xlfn.XLOOKUP($A758, 'Hospitalisation Details'!$A:$A, 'Hospitalisation Details'!K:K, "No Data")</f>
        <v>59</v>
      </c>
      <c r="O758" s="33">
        <f t="array" ref="O758">_xlfn.XLOOKUP($A758, 'Hospitalisation Details'!$A:$A, 'Hospitalisation Details'!G:G, "No Data")</f>
        <v>13511.28</v>
      </c>
      <c r="P758" s="28" t="str">
        <f t="array" ref="P758">_xlfn.XLOOKUP($A758, 'Hospitalisation Details'!$A:$A, 'Hospitalisation Details'!H:H, "No Data")</f>
        <v>tier - 3</v>
      </c>
    </row>
    <row r="759">
      <c r="A759" s="25" t="s">
        <v>2415</v>
      </c>
      <c r="B759" s="28" t="str">
        <f t="array" ref="B759">_xlfn.XLOOKUP($A759, 'Customer Names'!$A:$A, 'Customer Names'!B:B, "No Data")</f>
        <v>McCann</v>
      </c>
      <c r="C759" s="28">
        <f t="array" ref="C759">_xlfn.XLOOKUP($A759, 'Medical Examinations'!$A:$A, 'Medical Examinations'!B:B, "No Data")</f>
        <v>46.89</v>
      </c>
      <c r="D759" s="28">
        <f t="array" ref="D759">_xlfn.XLOOKUP($A759, 'Medical Examinations'!$A:$A, 'Medical Examinations'!C:C, "No Data")</f>
        <v>5.52</v>
      </c>
      <c r="E759" s="28" t="str">
        <f t="array" ref="E759">_xlfn.XLOOKUP($A759, 'Medical Examinations'!$A:$A, 'Medical Examinations'!D:D, "No Data")</f>
        <v>No</v>
      </c>
      <c r="F759" s="28" t="str">
        <f t="array" ref="F759">_xlfn.XLOOKUP($A759, 'Medical Examinations'!$A:$A, 'Medical Examinations'!E:E, "No Data")</f>
        <v>No</v>
      </c>
      <c r="G759" s="28" t="str">
        <f t="array" ref="G759">_xlfn.XLOOKUP($A759, 'Medical Examinations'!$A:$A, 'Medical Examinations'!F:F, "No Data")</f>
        <v>No</v>
      </c>
      <c r="H759" s="28">
        <f t="array" ref="H759">_xlfn.XLOOKUP($A759, 'Medical Examinations'!$A:$A, 'Medical Examinations'!G:G, "No Data")</f>
        <v>0</v>
      </c>
      <c r="I759" s="28" t="str">
        <f t="array" ref="I759">_xlfn.XLOOKUP($A759, 'Medical Examinations'!$A:$A, 'Medical Examinations'!H:H, "No Data")</f>
        <v>No</v>
      </c>
      <c r="J759" s="28" t="str">
        <f t="array" ref="J759">_xlfn.XLOOKUP($A759, 'Medical Examinations'!$A:$A, 'Medical Examinations'!I:I, "No Data")</f>
        <v>Obesity</v>
      </c>
      <c r="K759" s="28" t="str">
        <f t="array" ref="K759">_xlfn.XLOOKUP($A759, 'Hospitalisation Details'!$A:$A, 'Hospitalisation Details'!I:I, "No Data")</f>
        <v>tier - 2</v>
      </c>
      <c r="L759" s="28" t="str">
        <f t="array" ref="L759">_xlfn.XLOOKUP($A759, 'Hospitalisation Details'!$A:$A, 'Hospitalisation Details'!J:J, "No Data")</f>
        <v>R1023</v>
      </c>
      <c r="M759" s="28" t="str">
        <f t="array" ref="M759">_xlfn.XLOOKUP($A759, 'Hospitalisation Details'!$A:$A, 'Hospitalisation Details'!E:E, "No Data")</f>
        <v>30/08/90</v>
      </c>
      <c r="N759" s="28">
        <f t="array" ref="N759">_xlfn.XLOOKUP($A759, 'Hospitalisation Details'!$A:$A, 'Hospitalisation Details'!K:K, "No Data")</f>
        <v>32</v>
      </c>
      <c r="O759" s="33">
        <f t="array" ref="O759">_xlfn.XLOOKUP($A759, 'Hospitalisation Details'!$A:$A, 'Hospitalisation Details'!G:G, "No Data")</f>
        <v>13480.83</v>
      </c>
      <c r="P759" s="28" t="str">
        <f t="array" ref="P759">_xlfn.XLOOKUP($A759, 'Hospitalisation Details'!$A:$A, 'Hospitalisation Details'!H:H, "No Data")</f>
        <v>tier - 3</v>
      </c>
    </row>
    <row r="760">
      <c r="A760" s="25" t="s">
        <v>2418</v>
      </c>
      <c r="B760" s="28" t="str">
        <f t="array" ref="B760">_xlfn.XLOOKUP($A760, 'Customer Names'!$A:$A, 'Customer Names'!B:B, "No Data")</f>
        <v>Schmole</v>
      </c>
      <c r="C760" s="28">
        <f t="array" ref="C760">_xlfn.XLOOKUP($A760, 'Medical Examinations'!$A:$A, 'Medical Examinations'!B:B, "No Data")</f>
        <v>39.35</v>
      </c>
      <c r="D760" s="28">
        <f t="array" ref="D760">_xlfn.XLOOKUP($A760, 'Medical Examinations'!$A:$A, 'Medical Examinations'!C:C, "No Data")</f>
        <v>7.86</v>
      </c>
      <c r="E760" s="28" t="str">
        <f t="array" ref="E760">_xlfn.XLOOKUP($A760, 'Medical Examinations'!$A:$A, 'Medical Examinations'!D:D, "No Data")</f>
        <v>yes</v>
      </c>
      <c r="F760" s="28" t="str">
        <f t="array" ref="F760">_xlfn.XLOOKUP($A760, 'Medical Examinations'!$A:$A, 'Medical Examinations'!E:E, "No Data")</f>
        <v>No</v>
      </c>
      <c r="G760" s="28" t="str">
        <f t="array" ref="G760">_xlfn.XLOOKUP($A760, 'Medical Examinations'!$A:$A, 'Medical Examinations'!F:F, "No Data")</f>
        <v>No</v>
      </c>
      <c r="H760" s="28">
        <f t="array" ref="H760">_xlfn.XLOOKUP($A760, 'Medical Examinations'!$A:$A, 'Medical Examinations'!G:G, "No Data")</f>
        <v>1</v>
      </c>
      <c r="I760" s="28" t="str">
        <f t="array" ref="I760">_xlfn.XLOOKUP($A760, 'Medical Examinations'!$A:$A, 'Medical Examinations'!H:H, "No Data")</f>
        <v>No</v>
      </c>
      <c r="J760" s="28" t="str">
        <f t="array" ref="J760">_xlfn.XLOOKUP($A760, 'Medical Examinations'!$A:$A, 'Medical Examinations'!I:I, "No Data")</f>
        <v>Obesity</v>
      </c>
      <c r="K760" s="28" t="str">
        <f t="array" ref="K760">_xlfn.XLOOKUP($A760, 'Hospitalisation Details'!$A:$A, 'Hospitalisation Details'!I:I, "No Data")</f>
        <v>tier - 2</v>
      </c>
      <c r="L760" s="28" t="str">
        <f t="array" ref="L760">_xlfn.XLOOKUP($A760, 'Hospitalisation Details'!$A:$A, 'Hospitalisation Details'!J:J, "No Data")</f>
        <v>R1012</v>
      </c>
      <c r="M760" s="28" t="str">
        <f t="array" ref="M760">_xlfn.XLOOKUP($A760, 'Hospitalisation Details'!$A:$A, 'Hospitalisation Details'!E:E, "No Data")</f>
        <v>07/08/75</v>
      </c>
      <c r="N760" s="28">
        <f t="array" ref="N760">_xlfn.XLOOKUP($A760, 'Hospitalisation Details'!$A:$A, 'Hospitalisation Details'!K:K, "No Data")</f>
        <v>47</v>
      </c>
      <c r="O760" s="33">
        <f t="array" ref="O760">_xlfn.XLOOKUP($A760, 'Hospitalisation Details'!$A:$A, 'Hospitalisation Details'!G:G, "No Data")</f>
        <v>13472.19</v>
      </c>
      <c r="P760" s="28" t="str">
        <f t="array" ref="P760">_xlfn.XLOOKUP($A760, 'Hospitalisation Details'!$A:$A, 'Hospitalisation Details'!H:H, "No Data")</f>
        <v>tier - 3</v>
      </c>
    </row>
    <row r="761">
      <c r="A761" s="25" t="s">
        <v>2421</v>
      </c>
      <c r="B761" s="28" t="str">
        <f t="array" ref="B761">_xlfn.XLOOKUP($A761, 'Customer Names'!$A:$A, 'Customer Names'!B:B, "No Data")</f>
        <v>Barber</v>
      </c>
      <c r="C761" s="28">
        <f t="array" ref="C761">_xlfn.XLOOKUP($A761, 'Medical Examinations'!$A:$A, 'Medical Examinations'!B:B, "No Data")</f>
        <v>39.2</v>
      </c>
      <c r="D761" s="28">
        <f t="array" ref="D761">_xlfn.XLOOKUP($A761, 'Medical Examinations'!$A:$A, 'Medical Examinations'!C:C, "No Data")</f>
        <v>11.38</v>
      </c>
      <c r="E761" s="28" t="str">
        <f t="array" ref="E761">_xlfn.XLOOKUP($A761, 'Medical Examinations'!$A:$A, 'Medical Examinations'!D:D, "No Data")</f>
        <v>No</v>
      </c>
      <c r="F761" s="28" t="str">
        <f t="array" ref="F761">_xlfn.XLOOKUP($A761, 'Medical Examinations'!$A:$A, 'Medical Examinations'!E:E, "No Data")</f>
        <v>No</v>
      </c>
      <c r="G761" s="28" t="str">
        <f t="array" ref="G761">_xlfn.XLOOKUP($A761, 'Medical Examinations'!$A:$A, 'Medical Examinations'!F:F, "No Data")</f>
        <v>No</v>
      </c>
      <c r="H761" s="28">
        <f t="array" ref="H761">_xlfn.XLOOKUP($A761, 'Medical Examinations'!$A:$A, 'Medical Examinations'!G:G, "No Data")</f>
        <v>0</v>
      </c>
      <c r="I761" s="28" t="str">
        <f t="array" ref="I761">_xlfn.XLOOKUP($A761, 'Medical Examinations'!$A:$A, 'Medical Examinations'!H:H, "No Data")</f>
        <v>No</v>
      </c>
      <c r="J761" s="28" t="str">
        <f t="array" ref="J761">_xlfn.XLOOKUP($A761, 'Medical Examinations'!$A:$A, 'Medical Examinations'!I:I, "No Data")</f>
        <v>Obesity</v>
      </c>
      <c r="K761" s="28" t="str">
        <f t="array" ref="K761">_xlfn.XLOOKUP($A761, 'Hospitalisation Details'!$A:$A, 'Hospitalisation Details'!I:I, "No Data")</f>
        <v>tier - 3</v>
      </c>
      <c r="L761" s="28" t="str">
        <f t="array" ref="L761">_xlfn.XLOOKUP($A761, 'Hospitalisation Details'!$A:$A, 'Hospitalisation Details'!J:J, "No Data")</f>
        <v>R1011</v>
      </c>
      <c r="M761" s="28" t="str">
        <f t="array" ref="M761">_xlfn.XLOOKUP($A761, 'Hospitalisation Details'!$A:$A, 'Hospitalisation Details'!E:E, "No Data")</f>
        <v>24/07/60</v>
      </c>
      <c r="N761" s="28">
        <f t="array" ref="N761">_xlfn.XLOOKUP($A761, 'Hospitalisation Details'!$A:$A, 'Hospitalisation Details'!K:K, "No Data")</f>
        <v>62</v>
      </c>
      <c r="O761" s="33">
        <f t="array" ref="O761">_xlfn.XLOOKUP($A761, 'Hospitalisation Details'!$A:$A, 'Hospitalisation Details'!G:G, "No Data")</f>
        <v>13470.86</v>
      </c>
      <c r="P761" s="28" t="str">
        <f t="array" ref="P761">_xlfn.XLOOKUP($A761, 'Hospitalisation Details'!$A:$A, 'Hospitalisation Details'!H:H, "No Data")</f>
        <v>tier - 3</v>
      </c>
    </row>
    <row r="762">
      <c r="A762" s="25" t="s">
        <v>2425</v>
      </c>
      <c r="B762" s="28" t="str">
        <f t="array" ref="B762">_xlfn.XLOOKUP($A762, 'Customer Names'!$A:$A, 'Customer Names'!B:B, "No Data")</f>
        <v>Reichmann</v>
      </c>
      <c r="C762" s="28">
        <f t="array" ref="C762">_xlfn.XLOOKUP($A762, 'Medical Examinations'!$A:$A, 'Medical Examinations'!B:B, "No Data")</f>
        <v>39.16</v>
      </c>
      <c r="D762" s="28">
        <f t="array" ref="D762">_xlfn.XLOOKUP($A762, 'Medical Examinations'!$A:$A, 'Medical Examinations'!C:C, "No Data")</f>
        <v>10.48</v>
      </c>
      <c r="E762" s="28" t="str">
        <f t="array" ref="E762">_xlfn.XLOOKUP($A762, 'Medical Examinations'!$A:$A, 'Medical Examinations'!D:D, "No Data")</f>
        <v>No</v>
      </c>
      <c r="F762" s="28" t="str">
        <f t="array" ref="F762">_xlfn.XLOOKUP($A762, 'Medical Examinations'!$A:$A, 'Medical Examinations'!E:E, "No Data")</f>
        <v>No</v>
      </c>
      <c r="G762" s="28" t="str">
        <f t="array" ref="G762">_xlfn.XLOOKUP($A762, 'Medical Examinations'!$A:$A, 'Medical Examinations'!F:F, "No Data")</f>
        <v>No</v>
      </c>
      <c r="H762" s="28">
        <f t="array" ref="H762">_xlfn.XLOOKUP($A762, 'Medical Examinations'!$A:$A, 'Medical Examinations'!G:G, "No Data")</f>
        <v>0</v>
      </c>
      <c r="I762" s="28" t="str">
        <f t="array" ref="I762">_xlfn.XLOOKUP($A762, 'Medical Examinations'!$A:$A, 'Medical Examinations'!H:H, "No Data")</f>
        <v>No</v>
      </c>
      <c r="J762" s="28" t="str">
        <f t="array" ref="J762">_xlfn.XLOOKUP($A762, 'Medical Examinations'!$A:$A, 'Medical Examinations'!I:I, "No Data")</f>
        <v>Obesity</v>
      </c>
      <c r="K762" s="28" t="str">
        <f t="array" ref="K762">_xlfn.XLOOKUP($A762, 'Hospitalisation Details'!$A:$A, 'Hospitalisation Details'!I:I, "No Data")</f>
        <v>tier - 2</v>
      </c>
      <c r="L762" s="28" t="str">
        <f t="array" ref="L762">_xlfn.XLOOKUP($A762, 'Hospitalisation Details'!$A:$A, 'Hospitalisation Details'!J:J, "No Data")</f>
        <v>R1013</v>
      </c>
      <c r="M762" s="28" t="str">
        <f t="array" ref="M762">_xlfn.XLOOKUP($A762, 'Hospitalisation Details'!$A:$A, 'Hospitalisation Details'!E:E, "No Data")</f>
        <v>28/07/60</v>
      </c>
      <c r="N762" s="28">
        <f t="array" ref="N762">_xlfn.XLOOKUP($A762, 'Hospitalisation Details'!$A:$A, 'Hospitalisation Details'!K:K, "No Data")</f>
        <v>62</v>
      </c>
      <c r="O762" s="33">
        <f t="array" ref="O762">_xlfn.XLOOKUP($A762, 'Hospitalisation Details'!$A:$A, 'Hospitalisation Details'!G:G, "No Data")</f>
        <v>13470.8</v>
      </c>
      <c r="P762" s="28" t="str">
        <f t="array" ref="P762">_xlfn.XLOOKUP($A762, 'Hospitalisation Details'!$A:$A, 'Hospitalisation Details'!H:H, "No Data")</f>
        <v>tier - 3</v>
      </c>
    </row>
    <row r="763">
      <c r="A763" s="25" t="s">
        <v>2427</v>
      </c>
      <c r="B763" s="28" t="str">
        <f t="array" ref="B763">_xlfn.XLOOKUP($A763, 'Customer Names'!$A:$A, 'Customer Names'!B:B, "No Data")</f>
        <v>Cavatorta</v>
      </c>
      <c r="C763" s="28">
        <f t="array" ref="C763">_xlfn.XLOOKUP($A763, 'Medical Examinations'!$A:$A, 'Medical Examinations'!B:B, "No Data")</f>
        <v>44.1</v>
      </c>
      <c r="D763" s="28">
        <f t="array" ref="D763">_xlfn.XLOOKUP($A763, 'Medical Examinations'!$A:$A, 'Medical Examinations'!C:C, "No Data")</f>
        <v>5.04</v>
      </c>
      <c r="E763" s="28" t="str">
        <f t="array" ref="E763">_xlfn.XLOOKUP($A763, 'Medical Examinations'!$A:$A, 'Medical Examinations'!D:D, "No Data")</f>
        <v>yes</v>
      </c>
      <c r="F763" s="28" t="str">
        <f t="array" ref="F763">_xlfn.XLOOKUP($A763, 'Medical Examinations'!$A:$A, 'Medical Examinations'!E:E, "No Data")</f>
        <v>No</v>
      </c>
      <c r="G763" s="28" t="str">
        <f t="array" ref="G763">_xlfn.XLOOKUP($A763, 'Medical Examinations'!$A:$A, 'Medical Examinations'!F:F, "No Data")</f>
        <v>No</v>
      </c>
      <c r="H763" s="28">
        <f t="array" ref="H763">_xlfn.XLOOKUP($A763, 'Medical Examinations'!$A:$A, 'Medical Examinations'!G:G, "No Data")</f>
        <v>0</v>
      </c>
      <c r="I763" s="28" t="str">
        <f t="array" ref="I763">_xlfn.XLOOKUP($A763, 'Medical Examinations'!$A:$A, 'Medical Examinations'!H:H, "No Data")</f>
        <v>No</v>
      </c>
      <c r="J763" s="28" t="str">
        <f t="array" ref="J763">_xlfn.XLOOKUP($A763, 'Medical Examinations'!$A:$A, 'Medical Examinations'!I:I, "No Data")</f>
        <v>Obesity</v>
      </c>
      <c r="K763" s="28" t="str">
        <f t="array" ref="K763">_xlfn.XLOOKUP($A763, 'Hospitalisation Details'!$A:$A, 'Hospitalisation Details'!I:I, "No Data")</f>
        <v>tier - 1</v>
      </c>
      <c r="L763" s="28" t="str">
        <f t="array" ref="L763">_xlfn.XLOOKUP($A763, 'Hospitalisation Details'!$A:$A, 'Hospitalisation Details'!J:J, "No Data")</f>
        <v>R1012</v>
      </c>
      <c r="M763" s="28" t="str">
        <f t="array" ref="M763">_xlfn.XLOOKUP($A763, 'Hospitalisation Details'!$A:$A, 'Hospitalisation Details'!E:E, "No Data")</f>
        <v>19/08/85</v>
      </c>
      <c r="N763" s="28">
        <f t="array" ref="N763">_xlfn.XLOOKUP($A763, 'Hospitalisation Details'!$A:$A, 'Hospitalisation Details'!K:K, "No Data")</f>
        <v>37</v>
      </c>
      <c r="O763" s="33">
        <f t="array" ref="O763">_xlfn.XLOOKUP($A763, 'Hospitalisation Details'!$A:$A, 'Hospitalisation Details'!G:G, "No Data")</f>
        <v>13465.8</v>
      </c>
      <c r="P763" s="28" t="str">
        <f t="array" ref="P763">_xlfn.XLOOKUP($A763, 'Hospitalisation Details'!$A:$A, 'Hospitalisation Details'!H:H, "No Data")</f>
        <v>tier - 3</v>
      </c>
    </row>
    <row r="764">
      <c r="A764" s="25" t="s">
        <v>2430</v>
      </c>
      <c r="B764" s="28" t="str">
        <f t="array" ref="B764">_xlfn.XLOOKUP($A764, 'Customer Names'!$A:$A, 'Customer Names'!B:B, "No Data")</f>
        <v>Yaeger</v>
      </c>
      <c r="C764" s="28">
        <f t="array" ref="C764">_xlfn.XLOOKUP($A764, 'Medical Examinations'!$A:$A, 'Medical Examinations'!B:B, "No Data")</f>
        <v>33.2</v>
      </c>
      <c r="D764" s="28">
        <f t="array" ref="D764">_xlfn.XLOOKUP($A764, 'Medical Examinations'!$A:$A, 'Medical Examinations'!C:C, "No Data")</f>
        <v>9.06</v>
      </c>
      <c r="E764" s="28" t="str">
        <f t="array" ref="E764">_xlfn.XLOOKUP($A764, 'Medical Examinations'!$A:$A, 'Medical Examinations'!D:D, "No Data")</f>
        <v>No</v>
      </c>
      <c r="F764" s="28" t="str">
        <f t="array" ref="F764">_xlfn.XLOOKUP($A764, 'Medical Examinations'!$A:$A, 'Medical Examinations'!E:E, "No Data")</f>
        <v>No</v>
      </c>
      <c r="G764" s="28" t="str">
        <f t="array" ref="G764">_xlfn.XLOOKUP($A764, 'Medical Examinations'!$A:$A, 'Medical Examinations'!F:F, "No Data")</f>
        <v>No</v>
      </c>
      <c r="H764" s="28">
        <f t="array" ref="H764">_xlfn.XLOOKUP($A764, 'Medical Examinations'!$A:$A, 'Medical Examinations'!G:G, "No Data")</f>
        <v>0</v>
      </c>
      <c r="I764" s="28" t="str">
        <f t="array" ref="I764">_xlfn.XLOOKUP($A764, 'Medical Examinations'!$A:$A, 'Medical Examinations'!H:H, "No Data")</f>
        <v>No</v>
      </c>
      <c r="J764" s="28" t="str">
        <f t="array" ref="J764">_xlfn.XLOOKUP($A764, 'Medical Examinations'!$A:$A, 'Medical Examinations'!I:I, "No Data")</f>
        <v>Obesity</v>
      </c>
      <c r="K764" s="28" t="str">
        <f t="array" ref="K764">_xlfn.XLOOKUP($A764, 'Hospitalisation Details'!$A:$A, 'Hospitalisation Details'!I:I, "No Data")</f>
        <v>tier - 2</v>
      </c>
      <c r="L764" s="28" t="str">
        <f t="array" ref="L764">_xlfn.XLOOKUP($A764, 'Hospitalisation Details'!$A:$A, 'Hospitalisation Details'!J:J, "No Data")</f>
        <v>R1011</v>
      </c>
      <c r="M764" s="28" t="str">
        <f t="array" ref="M764">_xlfn.XLOOKUP($A764, 'Hospitalisation Details'!$A:$A, 'Hospitalisation Details'!E:E, "No Data")</f>
        <v>16/12/60</v>
      </c>
      <c r="N764" s="28">
        <f t="array" ref="N764">_xlfn.XLOOKUP($A764, 'Hospitalisation Details'!$A:$A, 'Hospitalisation Details'!K:K, "No Data")</f>
        <v>62</v>
      </c>
      <c r="O764" s="33">
        <f t="array" ref="O764">_xlfn.XLOOKUP($A764, 'Hospitalisation Details'!$A:$A, 'Hospitalisation Details'!G:G, "No Data")</f>
        <v>13462.52</v>
      </c>
      <c r="P764" s="28" t="str">
        <f t="array" ref="P764">_xlfn.XLOOKUP($A764, 'Hospitalisation Details'!$A:$A, 'Hospitalisation Details'!H:H, "No Data")</f>
        <v>tier - 3</v>
      </c>
    </row>
    <row r="765">
      <c r="A765" s="25" t="s">
        <v>2432</v>
      </c>
      <c r="B765" s="28" t="str">
        <f t="array" ref="B765">_xlfn.XLOOKUP($A765, 'Customer Names'!$A:$A, 'Customer Names'!B:B, "No Data")</f>
        <v>Hughes</v>
      </c>
      <c r="C765" s="28">
        <f t="array" ref="C765">_xlfn.XLOOKUP($A765, 'Medical Examinations'!$A:$A, 'Medical Examinations'!B:B, "No Data")</f>
        <v>29.92</v>
      </c>
      <c r="D765" s="28">
        <f t="array" ref="D765">_xlfn.XLOOKUP($A765, 'Medical Examinations'!$A:$A, 'Medical Examinations'!C:C, "No Data")</f>
        <v>11.07</v>
      </c>
      <c r="E765" s="28" t="str">
        <f t="array" ref="E765">_xlfn.XLOOKUP($A765, 'Medical Examinations'!$A:$A, 'Medical Examinations'!D:D, "No Data")</f>
        <v>No</v>
      </c>
      <c r="F765" s="28" t="str">
        <f t="array" ref="F765">_xlfn.XLOOKUP($A765, 'Medical Examinations'!$A:$A, 'Medical Examinations'!E:E, "No Data")</f>
        <v>No</v>
      </c>
      <c r="G765" s="28" t="str">
        <f t="array" ref="G765">_xlfn.XLOOKUP($A765, 'Medical Examinations'!$A:$A, 'Medical Examinations'!F:F, "No Data")</f>
        <v>No</v>
      </c>
      <c r="H765" s="28">
        <f t="array" ref="H765">_xlfn.XLOOKUP($A765, 'Medical Examinations'!$A:$A, 'Medical Examinations'!G:G, "No Data")</f>
        <v>0</v>
      </c>
      <c r="I765" s="28" t="str">
        <f t="array" ref="I765">_xlfn.XLOOKUP($A765, 'Medical Examinations'!$A:$A, 'Medical Examinations'!H:H, "No Data")</f>
        <v>No</v>
      </c>
      <c r="J765" s="28" t="str">
        <f t="array" ref="J765">_xlfn.XLOOKUP($A765, 'Medical Examinations'!$A:$A, 'Medical Examinations'!I:I, "No Data")</f>
        <v>Overweight</v>
      </c>
      <c r="K765" s="28" t="str">
        <f t="array" ref="K765">_xlfn.XLOOKUP($A765, 'Hospitalisation Details'!$A:$A, 'Hospitalisation Details'!I:I, "No Data")</f>
        <v>tier - 1</v>
      </c>
      <c r="L765" s="28" t="str">
        <f t="array" ref="L765">_xlfn.XLOOKUP($A765, 'Hospitalisation Details'!$A:$A, 'Hospitalisation Details'!J:J, "No Data")</f>
        <v>R1013</v>
      </c>
      <c r="M765" s="28" t="str">
        <f t="array" ref="M765">_xlfn.XLOOKUP($A765, 'Hospitalisation Details'!$A:$A, 'Hospitalisation Details'!E:E, "No Data")</f>
        <v>11/07/60</v>
      </c>
      <c r="N765" s="28">
        <f t="array" ref="N765">_xlfn.XLOOKUP($A765, 'Hospitalisation Details'!$A:$A, 'Hospitalisation Details'!K:K, "No Data")</f>
        <v>62</v>
      </c>
      <c r="O765" s="33">
        <f t="array" ref="O765">_xlfn.XLOOKUP($A765, 'Hospitalisation Details'!$A:$A, 'Hospitalisation Details'!G:G, "No Data")</f>
        <v>13457.96</v>
      </c>
      <c r="P765" s="28" t="str">
        <f t="array" ref="P765">_xlfn.XLOOKUP($A765, 'Hospitalisation Details'!$A:$A, 'Hospitalisation Details'!H:H, "No Data")</f>
        <v>tier - 3</v>
      </c>
    </row>
    <row r="766">
      <c r="A766" s="25" t="s">
        <v>2436</v>
      </c>
      <c r="B766" s="28" t="str">
        <f t="array" ref="B766">_xlfn.XLOOKUP($A766, 'Customer Names'!$A:$A, 'Customer Names'!B:B, "No Data")</f>
        <v>Donahue</v>
      </c>
      <c r="C766" s="28">
        <f t="array" ref="C766">_xlfn.XLOOKUP($A766, 'Medical Examinations'!$A:$A, 'Medical Examinations'!B:B, "No Data")</f>
        <v>25</v>
      </c>
      <c r="D766" s="28">
        <f t="array" ref="D766">_xlfn.XLOOKUP($A766, 'Medical Examinations'!$A:$A, 'Medical Examinations'!C:C, "No Data")</f>
        <v>10.45</v>
      </c>
      <c r="E766" s="28" t="str">
        <f t="array" ref="E766">_xlfn.XLOOKUP($A766, 'Medical Examinations'!$A:$A, 'Medical Examinations'!D:D, "No Data")</f>
        <v>No</v>
      </c>
      <c r="F766" s="28" t="str">
        <f t="array" ref="F766">_xlfn.XLOOKUP($A766, 'Medical Examinations'!$A:$A, 'Medical Examinations'!E:E, "No Data")</f>
        <v>No</v>
      </c>
      <c r="G766" s="28" t="str">
        <f t="array" ref="G766">_xlfn.XLOOKUP($A766, 'Medical Examinations'!$A:$A, 'Medical Examinations'!F:F, "No Data")</f>
        <v>No</v>
      </c>
      <c r="H766" s="28">
        <f t="array" ref="H766">_xlfn.XLOOKUP($A766, 'Medical Examinations'!$A:$A, 'Medical Examinations'!G:G, "No Data")</f>
        <v>0</v>
      </c>
      <c r="I766" s="28" t="str">
        <f t="array" ref="I766">_xlfn.XLOOKUP($A766, 'Medical Examinations'!$A:$A, 'Medical Examinations'!H:H, "No Data")</f>
        <v>No</v>
      </c>
      <c r="J766" s="28" t="str">
        <f t="array" ref="J766">_xlfn.XLOOKUP($A766, 'Medical Examinations'!$A:$A, 'Medical Examinations'!I:I, "No Data")</f>
        <v>Overweight</v>
      </c>
      <c r="K766" s="28" t="str">
        <f t="array" ref="K766">_xlfn.XLOOKUP($A766, 'Hospitalisation Details'!$A:$A, 'Hospitalisation Details'!I:I, "No Data")</f>
        <v>tier - 1</v>
      </c>
      <c r="L766" s="28" t="str">
        <f t="array" ref="L766">_xlfn.XLOOKUP($A766, 'Hospitalisation Details'!$A:$A, 'Hospitalisation Details'!J:J, "No Data")</f>
        <v>R1011</v>
      </c>
      <c r="M766" s="28" t="str">
        <f t="array" ref="M766">_xlfn.XLOOKUP($A766, 'Hospitalisation Details'!$A:$A, 'Hospitalisation Details'!E:E, "No Data")</f>
        <v>13/08/60</v>
      </c>
      <c r="N766" s="28">
        <f t="array" ref="N766">_xlfn.XLOOKUP($A766, 'Hospitalisation Details'!$A:$A, 'Hospitalisation Details'!K:K, "No Data")</f>
        <v>62</v>
      </c>
      <c r="O766" s="33">
        <f t="array" ref="O766">_xlfn.XLOOKUP($A766, 'Hospitalisation Details'!$A:$A, 'Hospitalisation Details'!G:G, "No Data")</f>
        <v>13451.12</v>
      </c>
      <c r="P766" s="28" t="str">
        <f t="array" ref="P766">_xlfn.XLOOKUP($A766, 'Hospitalisation Details'!$A:$A, 'Hospitalisation Details'!H:H, "No Data")</f>
        <v>tier - 3</v>
      </c>
    </row>
    <row r="767">
      <c r="A767" s="25" t="s">
        <v>2439</v>
      </c>
      <c r="B767" s="28" t="str">
        <f t="array" ref="B767">_xlfn.XLOOKUP($A767, 'Customer Names'!$A:$A, 'Customer Names'!B:B, "No Data")</f>
        <v>Greenwell</v>
      </c>
      <c r="C767" s="28">
        <f t="array" ref="C767">_xlfn.XLOOKUP($A767, 'Medical Examinations'!$A:$A, 'Medical Examinations'!B:B, "No Data")</f>
        <v>38.87</v>
      </c>
      <c r="D767" s="28">
        <f t="array" ref="D767">_xlfn.XLOOKUP($A767, 'Medical Examinations'!$A:$A, 'Medical Examinations'!C:C, "No Data")</f>
        <v>8.63</v>
      </c>
      <c r="E767" s="28" t="str">
        <f t="array" ref="E767">_xlfn.XLOOKUP($A767, 'Medical Examinations'!$A:$A, 'Medical Examinations'!D:D, "No Data")</f>
        <v>yes</v>
      </c>
      <c r="F767" s="28" t="str">
        <f t="array" ref="F767">_xlfn.XLOOKUP($A767, 'Medical Examinations'!$A:$A, 'Medical Examinations'!E:E, "No Data")</f>
        <v>No</v>
      </c>
      <c r="G767" s="28" t="str">
        <f t="array" ref="G767">_xlfn.XLOOKUP($A767, 'Medical Examinations'!$A:$A, 'Medical Examinations'!F:F, "No Data")</f>
        <v>No</v>
      </c>
      <c r="H767" s="28">
        <f t="array" ref="H767">_xlfn.XLOOKUP($A767, 'Medical Examinations'!$A:$A, 'Medical Examinations'!G:G, "No Data")</f>
        <v>1</v>
      </c>
      <c r="I767" s="28" t="str">
        <f t="array" ref="I767">_xlfn.XLOOKUP($A767, 'Medical Examinations'!$A:$A, 'Medical Examinations'!H:H, "No Data")</f>
        <v>No</v>
      </c>
      <c r="J767" s="28" t="str">
        <f t="array" ref="J767">_xlfn.XLOOKUP($A767, 'Medical Examinations'!$A:$A, 'Medical Examinations'!I:I, "No Data")</f>
        <v>Obesity</v>
      </c>
      <c r="K767" s="28" t="str">
        <f t="array" ref="K767">_xlfn.XLOOKUP($A767, 'Hospitalisation Details'!$A:$A, 'Hospitalisation Details'!I:I, "No Data")</f>
        <v>tier - 2</v>
      </c>
      <c r="L767" s="28" t="str">
        <f t="array" ref="L767">_xlfn.XLOOKUP($A767, 'Hospitalisation Details'!$A:$A, 'Hospitalisation Details'!J:J, "No Data")</f>
        <v>R1012</v>
      </c>
      <c r="M767" s="28" t="str">
        <f t="array" ref="M767">_xlfn.XLOOKUP($A767, 'Hospitalisation Details'!$A:$A, 'Hospitalisation Details'!E:E, "No Data")</f>
        <v>29/06/75</v>
      </c>
      <c r="N767" s="28">
        <f t="array" ref="N767">_xlfn.XLOOKUP($A767, 'Hospitalisation Details'!$A:$A, 'Hospitalisation Details'!K:K, "No Data")</f>
        <v>47</v>
      </c>
      <c r="O767" s="33">
        <f t="array" ref="O767">_xlfn.XLOOKUP($A767, 'Hospitalisation Details'!$A:$A, 'Hospitalisation Details'!G:G, "No Data")</f>
        <v>13440.7</v>
      </c>
      <c r="P767" s="28" t="str">
        <f t="array" ref="P767">_xlfn.XLOOKUP($A767, 'Hospitalisation Details'!$A:$A, 'Hospitalisation Details'!H:H, "No Data")</f>
        <v>tier - 3</v>
      </c>
    </row>
    <row r="768">
      <c r="A768" s="25" t="s">
        <v>2443</v>
      </c>
      <c r="B768" s="28" t="str">
        <f t="array" ref="B768">_xlfn.XLOOKUP($A768, 'Customer Names'!$A:$A, 'Customer Names'!B:B, "No Data")</f>
        <v>Steele</v>
      </c>
      <c r="C768" s="28">
        <f t="array" ref="C768">_xlfn.XLOOKUP($A768, 'Medical Examinations'!$A:$A, 'Medical Examinations'!B:B, "No Data")</f>
        <v>32.3</v>
      </c>
      <c r="D768" s="28">
        <f t="array" ref="D768">_xlfn.XLOOKUP($A768, 'Medical Examinations'!$A:$A, 'Medical Examinations'!C:C, "No Data")</f>
        <v>5.28</v>
      </c>
      <c r="E768" s="28" t="str">
        <f t="array" ref="E768">_xlfn.XLOOKUP($A768, 'Medical Examinations'!$A:$A, 'Medical Examinations'!D:D, "No Data")</f>
        <v>yes</v>
      </c>
      <c r="F768" s="28" t="str">
        <f t="array" ref="F768">_xlfn.XLOOKUP($A768, 'Medical Examinations'!$A:$A, 'Medical Examinations'!E:E, "No Data")</f>
        <v>No</v>
      </c>
      <c r="G768" s="28" t="str">
        <f t="array" ref="G768">_xlfn.XLOOKUP($A768, 'Medical Examinations'!$A:$A, 'Medical Examinations'!F:F, "No Data")</f>
        <v>No</v>
      </c>
      <c r="H768" s="28">
        <f t="array" ref="H768">_xlfn.XLOOKUP($A768, 'Medical Examinations'!$A:$A, 'Medical Examinations'!G:G, "No Data")</f>
        <v>2</v>
      </c>
      <c r="I768" s="28" t="str">
        <f t="array" ref="I768">_xlfn.XLOOKUP($A768, 'Medical Examinations'!$A:$A, 'Medical Examinations'!H:H, "No Data")</f>
        <v>No</v>
      </c>
      <c r="J768" s="28" t="str">
        <f t="array" ref="J768">_xlfn.XLOOKUP($A768, 'Medical Examinations'!$A:$A, 'Medical Examinations'!I:I, "No Data")</f>
        <v>Obesity</v>
      </c>
      <c r="K768" s="28" t="str">
        <f t="array" ref="K768">_xlfn.XLOOKUP($A768, 'Hospitalisation Details'!$A:$A, 'Hospitalisation Details'!I:I, "No Data")</f>
        <v>tier - 3</v>
      </c>
      <c r="L768" s="28" t="str">
        <f t="array" ref="L768">_xlfn.XLOOKUP($A768, 'Hospitalisation Details'!$A:$A, 'Hospitalisation Details'!J:J, "No Data")</f>
        <v>R1024</v>
      </c>
      <c r="M768" s="28" t="str">
        <f t="array" ref="M768">_xlfn.XLOOKUP($A768, 'Hospitalisation Details'!$A:$A, 'Hospitalisation Details'!E:E, "No Data")</f>
        <v>14/11/66</v>
      </c>
      <c r="N768" s="28">
        <f t="array" ref="N768">_xlfn.XLOOKUP($A768, 'Hospitalisation Details'!$A:$A, 'Hospitalisation Details'!K:K, "No Data")</f>
        <v>56</v>
      </c>
      <c r="O768" s="33">
        <f t="array" ref="O768">_xlfn.XLOOKUP($A768, 'Hospitalisation Details'!$A:$A, 'Hospitalisation Details'!G:G, "No Data")</f>
        <v>13430.27</v>
      </c>
      <c r="P768" s="28" t="str">
        <f t="array" ref="P768">_xlfn.XLOOKUP($A768, 'Hospitalisation Details'!$A:$A, 'Hospitalisation Details'!H:H, "No Data")</f>
        <v>tier - 3</v>
      </c>
    </row>
    <row r="769">
      <c r="A769" s="25" t="s">
        <v>2446</v>
      </c>
      <c r="B769" s="28" t="str">
        <f t="array" ref="B769">_xlfn.XLOOKUP($A769, 'Customer Names'!$A:$A, 'Customer Names'!B:B, "No Data")</f>
        <v>Gunter</v>
      </c>
      <c r="C769" s="28">
        <f t="array" ref="C769">_xlfn.XLOOKUP($A769, 'Medical Examinations'!$A:$A, 'Medical Examinations'!B:B, "No Data")</f>
        <v>31.16</v>
      </c>
      <c r="D769" s="28">
        <f t="array" ref="D769">_xlfn.XLOOKUP($A769, 'Medical Examinations'!$A:$A, 'Medical Examinations'!C:C, "No Data")</f>
        <v>7.49</v>
      </c>
      <c r="E769" s="28" t="str">
        <f t="array" ref="E769">_xlfn.XLOOKUP($A769, 'Medical Examinations'!$A:$A, 'Medical Examinations'!D:D, "No Data")</f>
        <v>yes</v>
      </c>
      <c r="F769" s="28" t="str">
        <f t="array" ref="F769">_xlfn.XLOOKUP($A769, 'Medical Examinations'!$A:$A, 'Medical Examinations'!E:E, "No Data")</f>
        <v>No</v>
      </c>
      <c r="G769" s="28" t="str">
        <f t="array" ref="G769">_xlfn.XLOOKUP($A769, 'Medical Examinations'!$A:$A, 'Medical Examinations'!F:F, "No Data")</f>
        <v>No</v>
      </c>
      <c r="H769" s="28">
        <f t="array" ref="H769">_xlfn.XLOOKUP($A769, 'Medical Examinations'!$A:$A, 'Medical Examinations'!G:G, "No Data")</f>
        <v>2</v>
      </c>
      <c r="I769" s="28" t="str">
        <f t="array" ref="I769">_xlfn.XLOOKUP($A769, 'Medical Examinations'!$A:$A, 'Medical Examinations'!H:H, "No Data")</f>
        <v>No</v>
      </c>
      <c r="J769" s="28" t="str">
        <f t="array" ref="J769">_xlfn.XLOOKUP($A769, 'Medical Examinations'!$A:$A, 'Medical Examinations'!I:I, "No Data")</f>
        <v>Obesity</v>
      </c>
      <c r="K769" s="28" t="str">
        <f t="array" ref="K769">_xlfn.XLOOKUP($A769, 'Hospitalisation Details'!$A:$A, 'Hospitalisation Details'!I:I, "No Data")</f>
        <v>tier - 3</v>
      </c>
      <c r="L769" s="28" t="str">
        <f t="array" ref="L769">_xlfn.XLOOKUP($A769, 'Hospitalisation Details'!$A:$A, 'Hospitalisation Details'!J:J, "No Data")</f>
        <v>R1012</v>
      </c>
      <c r="M769" s="28" t="str">
        <f t="array" ref="M769">_xlfn.XLOOKUP($A769, 'Hospitalisation Details'!$A:$A, 'Hospitalisation Details'!E:E, "No Data")</f>
        <v>03/11/61</v>
      </c>
      <c r="N769" s="28">
        <f t="array" ref="N769">_xlfn.XLOOKUP($A769, 'Hospitalisation Details'!$A:$A, 'Hospitalisation Details'!K:K, "No Data")</f>
        <v>61</v>
      </c>
      <c r="O769" s="33">
        <f t="array" ref="O769">_xlfn.XLOOKUP($A769, 'Hospitalisation Details'!$A:$A, 'Hospitalisation Details'!G:G, "No Data")</f>
        <v>13429.04</v>
      </c>
      <c r="P769" s="28" t="str">
        <f t="array" ref="P769">_xlfn.XLOOKUP($A769, 'Hospitalisation Details'!$A:$A, 'Hospitalisation Details'!H:H, "No Data")</f>
        <v>tier - 3</v>
      </c>
    </row>
    <row r="770">
      <c r="A770" s="25" t="s">
        <v>2450</v>
      </c>
      <c r="B770" s="28" t="str">
        <f t="array" ref="B770">_xlfn.XLOOKUP($A770, 'Customer Names'!$A:$A, 'Customer Names'!B:B, "No Data")</f>
        <v>McDonough</v>
      </c>
      <c r="C770" s="28">
        <f t="array" ref="C770">_xlfn.XLOOKUP($A770, 'Medical Examinations'!$A:$A, 'Medical Examinations'!B:B, "No Data")</f>
        <v>54.59</v>
      </c>
      <c r="D770" s="28">
        <f t="array" ref="D770">_xlfn.XLOOKUP($A770, 'Medical Examinations'!$A:$A, 'Medical Examinations'!C:C, "No Data")</f>
        <v>4.27</v>
      </c>
      <c r="E770" s="28" t="str">
        <f t="array" ref="E770">_xlfn.XLOOKUP($A770, 'Medical Examinations'!$A:$A, 'Medical Examinations'!D:D, "No Data")</f>
        <v>No</v>
      </c>
      <c r="F770" s="28" t="str">
        <f t="array" ref="F770">_xlfn.XLOOKUP($A770, 'Medical Examinations'!$A:$A, 'Medical Examinations'!E:E, "No Data")</f>
        <v>No</v>
      </c>
      <c r="G770" s="28" t="str">
        <f t="array" ref="G770">_xlfn.XLOOKUP($A770, 'Medical Examinations'!$A:$A, 'Medical Examinations'!F:F, "No Data")</f>
        <v>No</v>
      </c>
      <c r="H770" s="28">
        <f t="array" ref="H770">_xlfn.XLOOKUP($A770, 'Medical Examinations'!$A:$A, 'Medical Examinations'!G:G, "No Data")</f>
        <v>0</v>
      </c>
      <c r="I770" s="28" t="str">
        <f t="array" ref="I770">_xlfn.XLOOKUP($A770, 'Medical Examinations'!$A:$A, 'Medical Examinations'!H:H, "No Data")</f>
        <v>No</v>
      </c>
      <c r="J770" s="28" t="str">
        <f t="array" ref="J770">_xlfn.XLOOKUP($A770, 'Medical Examinations'!$A:$A, 'Medical Examinations'!I:I, "No Data")</f>
        <v>Obesity</v>
      </c>
      <c r="K770" s="28" t="str">
        <f t="array" ref="K770">_xlfn.XLOOKUP($A770, 'Hospitalisation Details'!$A:$A, 'Hospitalisation Details'!I:I, "No Data")</f>
        <v>tier - 3</v>
      </c>
      <c r="L770" s="28" t="str">
        <f t="array" ref="L770">_xlfn.XLOOKUP($A770, 'Hospitalisation Details'!$A:$A, 'Hospitalisation Details'!J:J, "No Data")</f>
        <v>R1012</v>
      </c>
      <c r="M770" s="28" t="str">
        <f t="array" ref="M770">_xlfn.XLOOKUP($A770, 'Hospitalisation Details'!$A:$A, 'Hospitalisation Details'!E:E, "No Data")</f>
        <v>17/06/94</v>
      </c>
      <c r="N770" s="28">
        <f t="array" ref="N770">_xlfn.XLOOKUP($A770, 'Hospitalisation Details'!$A:$A, 'Hospitalisation Details'!K:K, "No Data")</f>
        <v>28</v>
      </c>
      <c r="O770" s="33">
        <f t="array" ref="O770">_xlfn.XLOOKUP($A770, 'Hospitalisation Details'!$A:$A, 'Hospitalisation Details'!G:G, "No Data")</f>
        <v>13417.05</v>
      </c>
      <c r="P770" s="28" t="str">
        <f t="array" ref="P770">_xlfn.XLOOKUP($A770, 'Hospitalisation Details'!$A:$A, 'Hospitalisation Details'!H:H, "No Data")</f>
        <v>tier - 3</v>
      </c>
    </row>
    <row r="771">
      <c r="A771" s="25" t="s">
        <v>2452</v>
      </c>
      <c r="B771" s="28" t="str">
        <f t="array" ref="B771">_xlfn.XLOOKUP($A771, 'Customer Names'!$A:$A, 'Customer Names'!B:B, "No Data")</f>
        <v>Sweetland</v>
      </c>
      <c r="C771" s="28">
        <f t="array" ref="C771">_xlfn.XLOOKUP($A771, 'Medical Examinations'!$A:$A, 'Medical Examinations'!B:B, "No Data")</f>
        <v>21.09</v>
      </c>
      <c r="D771" s="28">
        <f t="array" ref="D771">_xlfn.XLOOKUP($A771, 'Medical Examinations'!$A:$A, 'Medical Examinations'!C:C, "No Data")</f>
        <v>9.22</v>
      </c>
      <c r="E771" s="28" t="str">
        <f t="array" ref="E771">_xlfn.XLOOKUP($A771, 'Medical Examinations'!$A:$A, 'Medical Examinations'!D:D, "No Data")</f>
        <v>yes</v>
      </c>
      <c r="F771" s="28" t="str">
        <f t="array" ref="F771">_xlfn.XLOOKUP($A771, 'Medical Examinations'!$A:$A, 'Medical Examinations'!E:E, "No Data")</f>
        <v>No</v>
      </c>
      <c r="G771" s="28" t="str">
        <f t="array" ref="G771">_xlfn.XLOOKUP($A771, 'Medical Examinations'!$A:$A, 'Medical Examinations'!F:F, "No Data")</f>
        <v>No</v>
      </c>
      <c r="H771" s="28">
        <f t="array" ref="H771">_xlfn.XLOOKUP($A771, 'Medical Examinations'!$A:$A, 'Medical Examinations'!G:G, "No Data")</f>
        <v>2</v>
      </c>
      <c r="I771" s="28" t="str">
        <f t="array" ref="I771">_xlfn.XLOOKUP($A771, 'Medical Examinations'!$A:$A, 'Medical Examinations'!H:H, "No Data")</f>
        <v>No</v>
      </c>
      <c r="J771" s="28" t="str">
        <f t="array" ref="J771">_xlfn.XLOOKUP($A771, 'Medical Examinations'!$A:$A, 'Medical Examinations'!I:I, "No Data")</f>
        <v>Normal Weight</v>
      </c>
      <c r="K771" s="28" t="str">
        <f t="array" ref="K771">_xlfn.XLOOKUP($A771, 'Hospitalisation Details'!$A:$A, 'Hospitalisation Details'!I:I, "No Data")</f>
        <v>tier - 2</v>
      </c>
      <c r="L771" s="28" t="str">
        <f t="array" ref="L771">_xlfn.XLOOKUP($A771, 'Hospitalisation Details'!$A:$A, 'Hospitalisation Details'!J:J, "No Data")</f>
        <v>R1012</v>
      </c>
      <c r="M771" s="28" t="str">
        <f t="array" ref="M771">_xlfn.XLOOKUP($A771, 'Hospitalisation Details'!$A:$A, 'Hospitalisation Details'!E:E, "No Data")</f>
        <v>22/07/61</v>
      </c>
      <c r="N771" s="28">
        <f t="array" ref="N771">_xlfn.XLOOKUP($A771, 'Hospitalisation Details'!$A:$A, 'Hospitalisation Details'!K:K, "No Data")</f>
        <v>61</v>
      </c>
      <c r="O771" s="33">
        <f t="array" ref="O771">_xlfn.XLOOKUP($A771, 'Hospitalisation Details'!$A:$A, 'Hospitalisation Details'!G:G, "No Data")</f>
        <v>13415.04</v>
      </c>
      <c r="P771" s="28" t="str">
        <f t="array" ref="P771">_xlfn.XLOOKUP($A771, 'Hospitalisation Details'!$A:$A, 'Hospitalisation Details'!H:H, "No Data")</f>
        <v>tier - 3</v>
      </c>
    </row>
    <row r="772">
      <c r="A772" s="25" t="s">
        <v>2456</v>
      </c>
      <c r="B772" s="28" t="str">
        <f t="array" ref="B772">_xlfn.XLOOKUP($A772, 'Customer Names'!$A:$A, 'Customer Names'!B:B, "No Data")</f>
        <v>Hammersmith</v>
      </c>
      <c r="C772" s="28">
        <f t="array" ref="C772">_xlfn.XLOOKUP($A772, 'Medical Examinations'!$A:$A, 'Medical Examinations'!B:B, "No Data")</f>
        <v>52.41</v>
      </c>
      <c r="D772" s="28">
        <f t="array" ref="D772">_xlfn.XLOOKUP($A772, 'Medical Examinations'!$A:$A, 'Medical Examinations'!C:C, "No Data")</f>
        <v>5.99</v>
      </c>
      <c r="E772" s="28" t="str">
        <f t="array" ref="E772">_xlfn.XLOOKUP($A772, 'Medical Examinations'!$A:$A, 'Medical Examinations'!D:D, "No Data")</f>
        <v>No</v>
      </c>
      <c r="F772" s="28" t="str">
        <f t="array" ref="F772">_xlfn.XLOOKUP($A772, 'Medical Examinations'!$A:$A, 'Medical Examinations'!E:E, "No Data")</f>
        <v>No</v>
      </c>
      <c r="G772" s="28" t="str">
        <f t="array" ref="G772">_xlfn.XLOOKUP($A772, 'Medical Examinations'!$A:$A, 'Medical Examinations'!F:F, "No Data")</f>
        <v>No</v>
      </c>
      <c r="H772" s="28">
        <f t="array" ref="H772">_xlfn.XLOOKUP($A772, 'Medical Examinations'!$A:$A, 'Medical Examinations'!G:G, "No Data")</f>
        <v>1</v>
      </c>
      <c r="I772" s="28" t="str">
        <f t="array" ref="I772">_xlfn.XLOOKUP($A772, 'Medical Examinations'!$A:$A, 'Medical Examinations'!H:H, "No Data")</f>
        <v>No</v>
      </c>
      <c r="J772" s="28" t="str">
        <f t="array" ref="J772">_xlfn.XLOOKUP($A772, 'Medical Examinations'!$A:$A, 'Medical Examinations'!I:I, "No Data")</f>
        <v>Obesity</v>
      </c>
      <c r="K772" s="28" t="str">
        <f t="array" ref="K772">_xlfn.XLOOKUP($A772, 'Hospitalisation Details'!$A:$A, 'Hospitalisation Details'!I:I, "No Data")</f>
        <v>tier - 3</v>
      </c>
      <c r="L772" s="28" t="str">
        <f t="array" ref="L772">_xlfn.XLOOKUP($A772, 'Hospitalisation Details'!$A:$A, 'Hospitalisation Details'!J:J, "No Data")</f>
        <v>R1023</v>
      </c>
      <c r="M772" s="28" t="str">
        <f t="array" ref="M772">_xlfn.XLOOKUP($A772, 'Hospitalisation Details'!$A:$A, 'Hospitalisation Details'!E:E, "No Data")</f>
        <v>19/12/92</v>
      </c>
      <c r="N772" s="28">
        <f t="array" ref="N772">_xlfn.XLOOKUP($A772, 'Hospitalisation Details'!$A:$A, 'Hospitalisation Details'!K:K, "No Data")</f>
        <v>30</v>
      </c>
      <c r="O772" s="33">
        <f t="array" ref="O772">_xlfn.XLOOKUP($A772, 'Hospitalisation Details'!$A:$A, 'Hospitalisation Details'!G:G, "No Data")</f>
        <v>13412.97</v>
      </c>
      <c r="P772" s="28" t="str">
        <f t="array" ref="P772">_xlfn.XLOOKUP($A772, 'Hospitalisation Details'!$A:$A, 'Hospitalisation Details'!H:H, "No Data")</f>
        <v>tier - 3</v>
      </c>
    </row>
    <row r="773">
      <c r="A773" s="25" t="s">
        <v>2459</v>
      </c>
      <c r="B773" s="28" t="str">
        <f t="array" ref="B773">_xlfn.XLOOKUP($A773, 'Customer Names'!$A:$A, 'Customer Names'!B:B, "No Data")</f>
        <v>French</v>
      </c>
      <c r="C773" s="28">
        <f t="array" ref="C773">_xlfn.XLOOKUP($A773, 'Medical Examinations'!$A:$A, 'Medical Examinations'!B:B, "No Data")</f>
        <v>41.47</v>
      </c>
      <c r="D773" s="28">
        <f t="array" ref="D773">_xlfn.XLOOKUP($A773, 'Medical Examinations'!$A:$A, 'Medical Examinations'!C:C, "No Data")</f>
        <v>5.86</v>
      </c>
      <c r="E773" s="28" t="str">
        <f t="array" ref="E773">_xlfn.XLOOKUP($A773, 'Medical Examinations'!$A:$A, 'Medical Examinations'!D:D, "No Data")</f>
        <v>yes</v>
      </c>
      <c r="F773" s="28" t="str">
        <f t="array" ref="F773">_xlfn.XLOOKUP($A773, 'Medical Examinations'!$A:$A, 'Medical Examinations'!E:E, "No Data")</f>
        <v>No</v>
      </c>
      <c r="G773" s="28" t="str">
        <f t="array" ref="G773">_xlfn.XLOOKUP($A773, 'Medical Examinations'!$A:$A, 'Medical Examinations'!F:F, "No Data")</f>
        <v>No</v>
      </c>
      <c r="H773" s="28">
        <f t="array" ref="H773">_xlfn.XLOOKUP($A773, 'Medical Examinations'!$A:$A, 'Medical Examinations'!G:G, "No Data")</f>
        <v>2</v>
      </c>
      <c r="I773" s="28" t="str">
        <f t="array" ref="I773">_xlfn.XLOOKUP($A773, 'Medical Examinations'!$A:$A, 'Medical Examinations'!H:H, "No Data")</f>
        <v>No</v>
      </c>
      <c r="J773" s="28" t="str">
        <f t="array" ref="J773">_xlfn.XLOOKUP($A773, 'Medical Examinations'!$A:$A, 'Medical Examinations'!I:I, "No Data")</f>
        <v>Obesity</v>
      </c>
      <c r="K773" s="28" t="str">
        <f t="array" ref="K773">_xlfn.XLOOKUP($A773, 'Hospitalisation Details'!$A:$A, 'Hospitalisation Details'!I:I, "No Data")</f>
        <v>tier - 3</v>
      </c>
      <c r="L773" s="28" t="str">
        <f t="array" ref="L773">_xlfn.XLOOKUP($A773, 'Hospitalisation Details'!$A:$A, 'Hospitalisation Details'!J:J, "No Data")</f>
        <v>R1013</v>
      </c>
      <c r="M773" s="28" t="str">
        <f t="array" ref="M773">_xlfn.XLOOKUP($A773, 'Hospitalisation Details'!$A:$A, 'Hospitalisation Details'!E:E, "No Data")</f>
        <v>20/12/59</v>
      </c>
      <c r="N773" s="28">
        <f t="array" ref="N773">_xlfn.XLOOKUP($A773, 'Hospitalisation Details'!$A:$A, 'Hospitalisation Details'!K:K, "No Data")</f>
        <v>63</v>
      </c>
      <c r="O773" s="33">
        <f t="array" ref="O773">_xlfn.XLOOKUP($A773, 'Hospitalisation Details'!$A:$A, 'Hospitalisation Details'!G:G, "No Data")</f>
        <v>13405.39</v>
      </c>
      <c r="P773" s="28" t="str">
        <f t="array" ref="P773">_xlfn.XLOOKUP($A773, 'Hospitalisation Details'!$A:$A, 'Hospitalisation Details'!H:H, "No Data")</f>
        <v>tier - 3</v>
      </c>
    </row>
    <row r="774">
      <c r="A774" s="25" t="s">
        <v>2461</v>
      </c>
      <c r="B774" s="28" t="str">
        <f t="array" ref="B774">_xlfn.XLOOKUP($A774, 'Customer Names'!$A:$A, 'Customer Names'!B:B, "No Data")</f>
        <v>Garbe</v>
      </c>
      <c r="C774" s="28">
        <f t="array" ref="C774">_xlfn.XLOOKUP($A774, 'Medical Examinations'!$A:$A, 'Medical Examinations'!B:B, "No Data")</f>
        <v>33.1</v>
      </c>
      <c r="D774" s="28">
        <f t="array" ref="D774">_xlfn.XLOOKUP($A774, 'Medical Examinations'!$A:$A, 'Medical Examinations'!C:C, "No Data")</f>
        <v>5.19</v>
      </c>
      <c r="E774" s="28" t="str">
        <f t="array" ref="E774">_xlfn.XLOOKUP($A774, 'Medical Examinations'!$A:$A, 'Medical Examinations'!D:D, "No Data")</f>
        <v>yes</v>
      </c>
      <c r="F774" s="28" t="str">
        <f t="array" ref="F774">_xlfn.XLOOKUP($A774, 'Medical Examinations'!$A:$A, 'Medical Examinations'!E:E, "No Data")</f>
        <v>No</v>
      </c>
      <c r="G774" s="28" t="str">
        <f t="array" ref="G774">_xlfn.XLOOKUP($A774, 'Medical Examinations'!$A:$A, 'Medical Examinations'!F:F, "No Data")</f>
        <v>No</v>
      </c>
      <c r="H774" s="28">
        <f t="array" ref="H774">_xlfn.XLOOKUP($A774, 'Medical Examinations'!$A:$A, 'Medical Examinations'!G:G, "No Data")</f>
        <v>2</v>
      </c>
      <c r="I774" s="28" t="str">
        <f t="array" ref="I774">_xlfn.XLOOKUP($A774, 'Medical Examinations'!$A:$A, 'Medical Examinations'!H:H, "No Data")</f>
        <v>No</v>
      </c>
      <c r="J774" s="28" t="str">
        <f t="array" ref="J774">_xlfn.XLOOKUP($A774, 'Medical Examinations'!$A:$A, 'Medical Examinations'!I:I, "No Data")</f>
        <v>Obesity</v>
      </c>
      <c r="K774" s="28" t="str">
        <f t="array" ref="K774">_xlfn.XLOOKUP($A774, 'Hospitalisation Details'!$A:$A, 'Hospitalisation Details'!I:I, "No Data")</f>
        <v>tier - 1</v>
      </c>
      <c r="L774" s="28" t="str">
        <f t="array" ref="L774">_xlfn.XLOOKUP($A774, 'Hospitalisation Details'!$A:$A, 'Hospitalisation Details'!J:J, "No Data")</f>
        <v>R1011</v>
      </c>
      <c r="M774" s="28" t="str">
        <f t="array" ref="M774">_xlfn.XLOOKUP($A774, 'Hospitalisation Details'!$A:$A, 'Hospitalisation Details'!E:E, "No Data")</f>
        <v>25/11/59</v>
      </c>
      <c r="N774" s="28">
        <f t="array" ref="N774">_xlfn.XLOOKUP($A774, 'Hospitalisation Details'!$A:$A, 'Hospitalisation Details'!K:K, "No Data")</f>
        <v>63</v>
      </c>
      <c r="O774" s="33">
        <f t="array" ref="O774">_xlfn.XLOOKUP($A774, 'Hospitalisation Details'!$A:$A, 'Hospitalisation Details'!G:G, "No Data")</f>
        <v>13393.76</v>
      </c>
      <c r="P774" s="28" t="str">
        <f t="array" ref="P774">_xlfn.XLOOKUP($A774, 'Hospitalisation Details'!$A:$A, 'Hospitalisation Details'!H:H, "No Data")</f>
        <v>tier - 3</v>
      </c>
    </row>
    <row r="775">
      <c r="A775" s="25" t="s">
        <v>2463</v>
      </c>
      <c r="B775" s="28" t="str">
        <f t="array" ref="B775">_xlfn.XLOOKUP($A775, 'Customer Names'!$A:$A, 'Customer Names'!B:B, "No Data")</f>
        <v>Duncan</v>
      </c>
      <c r="C775" s="28">
        <f t="array" ref="C775">_xlfn.XLOOKUP($A775, 'Medical Examinations'!$A:$A, 'Medical Examinations'!B:B, "No Data")</f>
        <v>30.8</v>
      </c>
      <c r="D775" s="28">
        <f t="array" ref="D775">_xlfn.XLOOKUP($A775, 'Medical Examinations'!$A:$A, 'Medical Examinations'!C:C, "No Data")</f>
        <v>4.37</v>
      </c>
      <c r="E775" s="28" t="str">
        <f t="array" ref="E775">_xlfn.XLOOKUP($A775, 'Medical Examinations'!$A:$A, 'Medical Examinations'!D:D, "No Data")</f>
        <v>yes</v>
      </c>
      <c r="F775" s="28" t="str">
        <f t="array" ref="F775">_xlfn.XLOOKUP($A775, 'Medical Examinations'!$A:$A, 'Medical Examinations'!E:E, "No Data")</f>
        <v>No</v>
      </c>
      <c r="G775" s="28" t="str">
        <f t="array" ref="G775">_xlfn.XLOOKUP($A775, 'Medical Examinations'!$A:$A, 'Medical Examinations'!F:F, "No Data")</f>
        <v>No</v>
      </c>
      <c r="H775" s="28">
        <f t="array" ref="H775">_xlfn.XLOOKUP($A775, 'Medical Examinations'!$A:$A, 'Medical Examinations'!G:G, "No Data")</f>
        <v>2</v>
      </c>
      <c r="I775" s="28" t="str">
        <f t="array" ref="I775">_xlfn.XLOOKUP($A775, 'Medical Examinations'!$A:$A, 'Medical Examinations'!H:H, "No Data")</f>
        <v>No</v>
      </c>
      <c r="J775" s="28" t="str">
        <f t="array" ref="J775">_xlfn.XLOOKUP($A775, 'Medical Examinations'!$A:$A, 'Medical Examinations'!I:I, "No Data")</f>
        <v>Obesity</v>
      </c>
      <c r="K775" s="28" t="str">
        <f t="array" ref="K775">_xlfn.XLOOKUP($A775, 'Hospitalisation Details'!$A:$A, 'Hospitalisation Details'!I:I, "No Data")</f>
        <v>tier - 3</v>
      </c>
      <c r="L775" s="28" t="str">
        <f t="array" ref="L775">_xlfn.XLOOKUP($A775, 'Hospitalisation Details'!$A:$A, 'Hospitalisation Details'!J:J, "No Data")</f>
        <v>R1011</v>
      </c>
      <c r="M775" s="28" t="str">
        <f t="array" ref="M775">_xlfn.XLOOKUP($A775, 'Hospitalisation Details'!$A:$A, 'Hospitalisation Details'!E:E, "No Data")</f>
        <v>09/12/59</v>
      </c>
      <c r="N775" s="28">
        <f t="array" ref="N775">_xlfn.XLOOKUP($A775, 'Hospitalisation Details'!$A:$A, 'Hospitalisation Details'!K:K, "No Data")</f>
        <v>63</v>
      </c>
      <c r="O775" s="33">
        <f t="array" ref="O775">_xlfn.XLOOKUP($A775, 'Hospitalisation Details'!$A:$A, 'Hospitalisation Details'!G:G, "No Data")</f>
        <v>13390.56</v>
      </c>
      <c r="P775" s="28" t="str">
        <f t="array" ref="P775">_xlfn.XLOOKUP($A775, 'Hospitalisation Details'!$A:$A, 'Hospitalisation Details'!H:H, "No Data")</f>
        <v>tier - 3</v>
      </c>
    </row>
    <row r="776">
      <c r="A776" s="25" t="s">
        <v>2465</v>
      </c>
      <c r="B776" s="28" t="str">
        <f t="array" ref="B776">_xlfn.XLOOKUP($A776, 'Customer Names'!$A:$A, 'Customer Names'!B:B, "No Data")</f>
        <v>Wallace</v>
      </c>
      <c r="C776" s="28">
        <f t="array" ref="C776">_xlfn.XLOOKUP($A776, 'Medical Examinations'!$A:$A, 'Medical Examinations'!B:B, "No Data")</f>
        <v>42.06</v>
      </c>
      <c r="D776" s="28">
        <f t="array" ref="D776">_xlfn.XLOOKUP($A776, 'Medical Examinations'!$A:$A, 'Medical Examinations'!C:C, "No Data")</f>
        <v>5.32</v>
      </c>
      <c r="E776" s="28" t="str">
        <f t="array" ref="E776">_xlfn.XLOOKUP($A776, 'Medical Examinations'!$A:$A, 'Medical Examinations'!D:D, "No Data")</f>
        <v>No</v>
      </c>
      <c r="F776" s="28" t="str">
        <f t="array" ref="F776">_xlfn.XLOOKUP($A776, 'Medical Examinations'!$A:$A, 'Medical Examinations'!E:E, "No Data")</f>
        <v>No</v>
      </c>
      <c r="G776" s="28" t="str">
        <f t="array" ref="G776">_xlfn.XLOOKUP($A776, 'Medical Examinations'!$A:$A, 'Medical Examinations'!F:F, "No Data")</f>
        <v>No</v>
      </c>
      <c r="H776" s="28">
        <f t="array" ref="H776">_xlfn.XLOOKUP($A776, 'Medical Examinations'!$A:$A, 'Medical Examinations'!G:G, "No Data")</f>
        <v>1</v>
      </c>
      <c r="I776" s="28" t="str">
        <f t="array" ref="I776">_xlfn.XLOOKUP($A776, 'Medical Examinations'!$A:$A, 'Medical Examinations'!H:H, "No Data")</f>
        <v>No</v>
      </c>
      <c r="J776" s="28" t="str">
        <f t="array" ref="J776">_xlfn.XLOOKUP($A776, 'Medical Examinations'!$A:$A, 'Medical Examinations'!I:I, "No Data")</f>
        <v>Obesity</v>
      </c>
      <c r="K776" s="28" t="str">
        <f t="array" ref="K776">_xlfn.XLOOKUP($A776, 'Hospitalisation Details'!$A:$A, 'Hospitalisation Details'!I:I, "No Data")</f>
        <v>tier - 2</v>
      </c>
      <c r="L776" s="28" t="str">
        <f t="array" ref="L776">_xlfn.XLOOKUP($A776, 'Hospitalisation Details'!$A:$A, 'Hospitalisation Details'!J:J, "No Data")</f>
        <v>R1023</v>
      </c>
      <c r="M776" s="28" t="str">
        <f t="array" ref="M776">_xlfn.XLOOKUP($A776, 'Hospitalisation Details'!$A:$A, 'Hospitalisation Details'!E:E, "No Data")</f>
        <v>06/06/84</v>
      </c>
      <c r="N776" s="28">
        <f t="array" ref="N776">_xlfn.XLOOKUP($A776, 'Hospitalisation Details'!$A:$A, 'Hospitalisation Details'!K:K, "No Data")</f>
        <v>39</v>
      </c>
      <c r="O776" s="33">
        <f t="array" ref="O776">_xlfn.XLOOKUP($A776, 'Hospitalisation Details'!$A:$A, 'Hospitalisation Details'!G:G, "No Data")</f>
        <v>13383.67</v>
      </c>
      <c r="P776" s="28" t="str">
        <f t="array" ref="P776">_xlfn.XLOOKUP($A776, 'Hospitalisation Details'!$A:$A, 'Hospitalisation Details'!H:H, "No Data")</f>
        <v>tier - 3</v>
      </c>
    </row>
    <row r="777">
      <c r="A777" s="25" t="s">
        <v>2469</v>
      </c>
      <c r="B777" s="28" t="str">
        <f t="array" ref="B777">_xlfn.XLOOKUP($A777, 'Customer Names'!$A:$A, 'Customer Names'!B:B, "No Data")</f>
        <v>Tillman</v>
      </c>
      <c r="C777" s="28">
        <f t="array" ref="C777">_xlfn.XLOOKUP($A777, 'Medical Examinations'!$A:$A, 'Medical Examinations'!B:B, "No Data")</f>
        <v>39.27</v>
      </c>
      <c r="D777" s="28">
        <f t="array" ref="D777">_xlfn.XLOOKUP($A777, 'Medical Examinations'!$A:$A, 'Medical Examinations'!C:C, "No Data")</f>
        <v>5.64</v>
      </c>
      <c r="E777" s="28" t="str">
        <f t="array" ref="E777">_xlfn.XLOOKUP($A777, 'Medical Examinations'!$A:$A, 'Medical Examinations'!D:D, "No Data")</f>
        <v>No</v>
      </c>
      <c r="F777" s="28" t="str">
        <f t="array" ref="F777">_xlfn.XLOOKUP($A777, 'Medical Examinations'!$A:$A, 'Medical Examinations'!E:E, "No Data")</f>
        <v>No</v>
      </c>
      <c r="G777" s="28" t="str">
        <f t="array" ref="G777">_xlfn.XLOOKUP($A777, 'Medical Examinations'!$A:$A, 'Medical Examinations'!F:F, "No Data")</f>
        <v>Yes</v>
      </c>
      <c r="H777" s="28">
        <f t="array" ref="H777">_xlfn.XLOOKUP($A777, 'Medical Examinations'!$A:$A, 'Medical Examinations'!G:G, "No Data")</f>
        <v>1</v>
      </c>
      <c r="I777" s="28" t="str">
        <f t="array" ref="I777">_xlfn.XLOOKUP($A777, 'Medical Examinations'!$A:$A, 'Medical Examinations'!H:H, "No Data")</f>
        <v>No</v>
      </c>
      <c r="J777" s="28" t="str">
        <f t="array" ref="J777">_xlfn.XLOOKUP($A777, 'Medical Examinations'!$A:$A, 'Medical Examinations'!I:I, "No Data")</f>
        <v>Obesity</v>
      </c>
      <c r="K777" s="28" t="str">
        <f t="array" ref="K777">_xlfn.XLOOKUP($A777, 'Hospitalisation Details'!$A:$A, 'Hospitalisation Details'!I:I, "No Data")</f>
        <v>tier - 3</v>
      </c>
      <c r="L777" s="28" t="str">
        <f t="array" ref="L777">_xlfn.XLOOKUP($A777, 'Hospitalisation Details'!$A:$A, 'Hospitalisation Details'!J:J, "No Data")</f>
        <v>R1026</v>
      </c>
      <c r="M777" s="28" t="str">
        <f t="array" ref="M777">_xlfn.XLOOKUP($A777, 'Hospitalisation Details'!$A:$A, 'Hospitalisation Details'!E:E, "No Data")</f>
        <v>30/09/79</v>
      </c>
      <c r="N777" s="28">
        <f t="array" ref="N777">_xlfn.XLOOKUP($A777, 'Hospitalisation Details'!$A:$A, 'Hospitalisation Details'!K:K, "No Data")</f>
        <v>43</v>
      </c>
      <c r="O777" s="33">
        <f t="array" ref="O777">_xlfn.XLOOKUP($A777, 'Hospitalisation Details'!$A:$A, 'Hospitalisation Details'!G:G, "No Data")</f>
        <v>13377.41</v>
      </c>
      <c r="P777" s="28" t="str">
        <f t="array" ref="P777">_xlfn.XLOOKUP($A777, 'Hospitalisation Details'!$A:$A, 'Hospitalisation Details'!H:H, "No Data")</f>
        <v>tier - 3</v>
      </c>
    </row>
    <row r="778">
      <c r="A778" s="25" t="s">
        <v>2472</v>
      </c>
      <c r="B778" s="28" t="str">
        <f t="array" ref="B778">_xlfn.XLOOKUP($A778, 'Customer Names'!$A:$A, 'Customer Names'!B:B, "No Data")</f>
        <v>Lee</v>
      </c>
      <c r="C778" s="28">
        <f t="array" ref="C778">_xlfn.XLOOKUP($A778, 'Medical Examinations'!$A:$A, 'Medical Examinations'!B:B, "No Data")</f>
        <v>30.71</v>
      </c>
      <c r="D778" s="28">
        <f t="array" ref="D778">_xlfn.XLOOKUP($A778, 'Medical Examinations'!$A:$A, 'Medical Examinations'!C:C, "No Data")</f>
        <v>5.59</v>
      </c>
      <c r="E778" s="28" t="str">
        <f t="array" ref="E778">_xlfn.XLOOKUP($A778, 'Medical Examinations'!$A:$A, 'Medical Examinations'!D:D, "No Data")</f>
        <v>yes</v>
      </c>
      <c r="F778" s="28" t="str">
        <f t="array" ref="F778">_xlfn.XLOOKUP($A778, 'Medical Examinations'!$A:$A, 'Medical Examinations'!E:E, "No Data")</f>
        <v>No</v>
      </c>
      <c r="G778" s="28" t="str">
        <f t="array" ref="G778">_xlfn.XLOOKUP($A778, 'Medical Examinations'!$A:$A, 'Medical Examinations'!F:F, "No Data")</f>
        <v>No</v>
      </c>
      <c r="H778" s="28">
        <f t="array" ref="H778">_xlfn.XLOOKUP($A778, 'Medical Examinations'!$A:$A, 'Medical Examinations'!G:G, "No Data")</f>
        <v>1</v>
      </c>
      <c r="I778" s="28" t="str">
        <f t="array" ref="I778">_xlfn.XLOOKUP($A778, 'Medical Examinations'!$A:$A, 'Medical Examinations'!H:H, "No Data")</f>
        <v>No</v>
      </c>
      <c r="J778" s="28" t="str">
        <f t="array" ref="J778">_xlfn.XLOOKUP($A778, 'Medical Examinations'!$A:$A, 'Medical Examinations'!I:I, "No Data")</f>
        <v>Obesity</v>
      </c>
      <c r="K778" s="28" t="str">
        <f t="array" ref="K778">_xlfn.XLOOKUP($A778, 'Hospitalisation Details'!$A:$A, 'Hospitalisation Details'!I:I, "No Data")</f>
        <v>tier - 2</v>
      </c>
      <c r="L778" s="28" t="str">
        <f t="array" ref="L778">_xlfn.XLOOKUP($A778, 'Hospitalisation Details'!$A:$A, 'Hospitalisation Details'!J:J, "No Data")</f>
        <v>R1025</v>
      </c>
      <c r="M778" s="28" t="str">
        <f t="array" ref="M778">_xlfn.XLOOKUP($A778, 'Hospitalisation Details'!$A:$A, 'Hospitalisation Details'!E:E, "No Data")</f>
        <v>24/09/64</v>
      </c>
      <c r="N778" s="28">
        <f t="array" ref="N778">_xlfn.XLOOKUP($A778, 'Hospitalisation Details'!$A:$A, 'Hospitalisation Details'!K:K, "No Data")</f>
        <v>58</v>
      </c>
      <c r="O778" s="33">
        <f t="array" ref="O778">_xlfn.XLOOKUP($A778, 'Hospitalisation Details'!$A:$A, 'Hospitalisation Details'!G:G, "No Data")</f>
        <v>13375.76</v>
      </c>
      <c r="P778" s="28" t="str">
        <f t="array" ref="P778">_xlfn.XLOOKUP($A778, 'Hospitalisation Details'!$A:$A, 'Hospitalisation Details'!H:H, "No Data")</f>
        <v>tier - 3</v>
      </c>
    </row>
    <row r="779">
      <c r="A779" s="25" t="s">
        <v>2475</v>
      </c>
      <c r="B779" s="28" t="str">
        <f t="array" ref="B779">_xlfn.XLOOKUP($A779, 'Customer Names'!$A:$A, 'Customer Names'!B:B, "No Data")</f>
        <v>Taylor</v>
      </c>
      <c r="C779" s="28">
        <f t="array" ref="C779">_xlfn.XLOOKUP($A779, 'Medical Examinations'!$A:$A, 'Medical Examinations'!B:B, "No Data")</f>
        <v>47.19</v>
      </c>
      <c r="D779" s="28">
        <f t="array" ref="D779">_xlfn.XLOOKUP($A779, 'Medical Examinations'!$A:$A, 'Medical Examinations'!C:C, "No Data")</f>
        <v>5.29</v>
      </c>
      <c r="E779" s="28" t="str">
        <f t="array" ref="E779">_xlfn.XLOOKUP($A779, 'Medical Examinations'!$A:$A, 'Medical Examinations'!D:D, "No Data")</f>
        <v>No</v>
      </c>
      <c r="F779" s="28" t="str">
        <f t="array" ref="F779">_xlfn.XLOOKUP($A779, 'Medical Examinations'!$A:$A, 'Medical Examinations'!E:E, "No Data")</f>
        <v>No</v>
      </c>
      <c r="G779" s="28" t="str">
        <f t="array" ref="G779">_xlfn.XLOOKUP($A779, 'Medical Examinations'!$A:$A, 'Medical Examinations'!F:F, "No Data")</f>
        <v>No</v>
      </c>
      <c r="H779" s="28">
        <f t="array" ref="H779">_xlfn.XLOOKUP($A779, 'Medical Examinations'!$A:$A, 'Medical Examinations'!G:G, "No Data")</f>
        <v>0</v>
      </c>
      <c r="I779" s="28" t="str">
        <f t="array" ref="I779">_xlfn.XLOOKUP($A779, 'Medical Examinations'!$A:$A, 'Medical Examinations'!H:H, "No Data")</f>
        <v>No</v>
      </c>
      <c r="J779" s="28" t="str">
        <f t="array" ref="J779">_xlfn.XLOOKUP($A779, 'Medical Examinations'!$A:$A, 'Medical Examinations'!I:I, "No Data")</f>
        <v>Obesity</v>
      </c>
      <c r="K779" s="28" t="str">
        <f t="array" ref="K779">_xlfn.XLOOKUP($A779, 'Hospitalisation Details'!$A:$A, 'Hospitalisation Details'!I:I, "No Data")</f>
        <v>tier - 1</v>
      </c>
      <c r="L779" s="28" t="str">
        <f t="array" ref="L779">_xlfn.XLOOKUP($A779, 'Hospitalisation Details'!$A:$A, 'Hospitalisation Details'!J:J, "No Data")</f>
        <v>R1012</v>
      </c>
      <c r="M779" s="28" t="str">
        <f t="array" ref="M779">_xlfn.XLOOKUP($A779, 'Hospitalisation Details'!$A:$A, 'Hospitalisation Details'!E:E, "No Data")</f>
        <v>02/10/90</v>
      </c>
      <c r="N779" s="28">
        <f t="array" ref="N779">_xlfn.XLOOKUP($A779, 'Hospitalisation Details'!$A:$A, 'Hospitalisation Details'!K:K, "No Data")</f>
        <v>32</v>
      </c>
      <c r="O779" s="33">
        <f t="array" ref="O779">_xlfn.XLOOKUP($A779, 'Hospitalisation Details'!$A:$A, 'Hospitalisation Details'!G:G, "No Data")</f>
        <v>13360.94</v>
      </c>
      <c r="P779" s="28" t="str">
        <f t="array" ref="P779">_xlfn.XLOOKUP($A779, 'Hospitalisation Details'!$A:$A, 'Hospitalisation Details'!H:H, "No Data")</f>
        <v>tier - 3</v>
      </c>
    </row>
    <row r="780">
      <c r="A780" s="25" t="s">
        <v>2477</v>
      </c>
      <c r="B780" s="28" t="str">
        <f t="array" ref="B780">_xlfn.XLOOKUP($A780, 'Customer Names'!$A:$A, 'Customer Names'!B:B, "No Data")</f>
        <v>McSween</v>
      </c>
      <c r="C780" s="28">
        <f t="array" ref="C780">_xlfn.XLOOKUP($A780, 'Medical Examinations'!$A:$A, 'Medical Examinations'!B:B, "No Data")</f>
        <v>30.02</v>
      </c>
      <c r="D780" s="28">
        <f t="array" ref="D780">_xlfn.XLOOKUP($A780, 'Medical Examinations'!$A:$A, 'Medical Examinations'!C:C, "No Data")</f>
        <v>6.65</v>
      </c>
      <c r="E780" s="28" t="str">
        <f t="array" ref="E780">_xlfn.XLOOKUP($A780, 'Medical Examinations'!$A:$A, 'Medical Examinations'!D:D, "No Data")</f>
        <v>No</v>
      </c>
      <c r="F780" s="28" t="str">
        <f t="array" ref="F780">_xlfn.XLOOKUP($A780, 'Medical Examinations'!$A:$A, 'Medical Examinations'!E:E, "No Data")</f>
        <v>No</v>
      </c>
      <c r="G780" s="28" t="str">
        <f t="array" ref="G780">_xlfn.XLOOKUP($A780, 'Medical Examinations'!$A:$A, 'Medical Examinations'!F:F, "No Data")</f>
        <v>No</v>
      </c>
      <c r="H780" s="28">
        <f t="array" ref="H780">_xlfn.XLOOKUP($A780, 'Medical Examinations'!$A:$A, 'Medical Examinations'!G:G, "No Data")</f>
        <v>0</v>
      </c>
      <c r="I780" s="28" t="str">
        <f t="array" ref="I780">_xlfn.XLOOKUP($A780, 'Medical Examinations'!$A:$A, 'Medical Examinations'!H:H, "No Data")</f>
        <v>No</v>
      </c>
      <c r="J780" s="28" t="str">
        <f t="array" ref="J780">_xlfn.XLOOKUP($A780, 'Medical Examinations'!$A:$A, 'Medical Examinations'!I:I, "No Data")</f>
        <v>Obesity</v>
      </c>
      <c r="K780" s="28" t="str">
        <f t="array" ref="K780">_xlfn.XLOOKUP($A780, 'Hospitalisation Details'!$A:$A, 'Hospitalisation Details'!I:I, "No Data")</f>
        <v>tier - 1</v>
      </c>
      <c r="L780" s="28" t="str">
        <f t="array" ref="L780">_xlfn.XLOOKUP($A780, 'Hospitalisation Details'!$A:$A, 'Hospitalisation Details'!J:J, "No Data")</f>
        <v>R1012</v>
      </c>
      <c r="M780" s="28" t="str">
        <f t="array" ref="M780">_xlfn.XLOOKUP($A780, 'Hospitalisation Details'!$A:$A, 'Hospitalisation Details'!E:E, "No Data")</f>
        <v>11/11/60</v>
      </c>
      <c r="N780" s="28">
        <f t="array" ref="N780">_xlfn.XLOOKUP($A780, 'Hospitalisation Details'!$A:$A, 'Hospitalisation Details'!K:K, "No Data")</f>
        <v>62</v>
      </c>
      <c r="O780" s="33">
        <f t="array" ref="O780">_xlfn.XLOOKUP($A780, 'Hospitalisation Details'!$A:$A, 'Hospitalisation Details'!G:G, "No Data")</f>
        <v>13352.1</v>
      </c>
      <c r="P780" s="28" t="str">
        <f t="array" ref="P780">_xlfn.XLOOKUP($A780, 'Hospitalisation Details'!$A:$A, 'Hospitalisation Details'!H:H, "No Data")</f>
        <v>tier - 3</v>
      </c>
    </row>
    <row r="781">
      <c r="A781" s="25" t="s">
        <v>2480</v>
      </c>
      <c r="B781" s="28" t="str">
        <f t="array" ref="B781">_xlfn.XLOOKUP($A781, 'Customer Names'!$A:$A, 'Customer Names'!B:B, "No Data")</f>
        <v>Schubert</v>
      </c>
      <c r="C781" s="28">
        <f t="array" ref="C781">_xlfn.XLOOKUP($A781, 'Medical Examinations'!$A:$A, 'Medical Examinations'!B:B, "No Data")</f>
        <v>37.91</v>
      </c>
      <c r="D781" s="28">
        <f t="array" ref="D781">_xlfn.XLOOKUP($A781, 'Medical Examinations'!$A:$A, 'Medical Examinations'!C:C, "No Data")</f>
        <v>5.68</v>
      </c>
      <c r="E781" s="28" t="str">
        <f t="array" ref="E781">_xlfn.XLOOKUP($A781, 'Medical Examinations'!$A:$A, 'Medical Examinations'!D:D, "No Data")</f>
        <v>yes</v>
      </c>
      <c r="F781" s="28" t="str">
        <f t="array" ref="F781">_xlfn.XLOOKUP($A781, 'Medical Examinations'!$A:$A, 'Medical Examinations'!E:E, "No Data")</f>
        <v>No</v>
      </c>
      <c r="G781" s="28" t="str">
        <f t="array" ref="G781">_xlfn.XLOOKUP($A781, 'Medical Examinations'!$A:$A, 'Medical Examinations'!F:F, "No Data")</f>
        <v>No</v>
      </c>
      <c r="H781" s="28">
        <f t="array" ref="H781">_xlfn.XLOOKUP($A781, 'Medical Examinations'!$A:$A, 'Medical Examinations'!G:G, "No Data")</f>
        <v>0</v>
      </c>
      <c r="I781" s="28" t="str">
        <f t="array" ref="I781">_xlfn.XLOOKUP($A781, 'Medical Examinations'!$A:$A, 'Medical Examinations'!H:H, "No Data")</f>
        <v>No</v>
      </c>
      <c r="J781" s="28" t="str">
        <f t="array" ref="J781">_xlfn.XLOOKUP($A781, 'Medical Examinations'!$A:$A, 'Medical Examinations'!I:I, "No Data")</f>
        <v>Obesity</v>
      </c>
      <c r="K781" s="28" t="str">
        <f t="array" ref="K781">_xlfn.XLOOKUP($A781, 'Hospitalisation Details'!$A:$A, 'Hospitalisation Details'!I:I, "No Data")</f>
        <v>tier - 2</v>
      </c>
      <c r="L781" s="28" t="str">
        <f t="array" ref="L781">_xlfn.XLOOKUP($A781, 'Hospitalisation Details'!$A:$A, 'Hospitalisation Details'!J:J, "No Data")</f>
        <v>R1012</v>
      </c>
      <c r="M781" s="28" t="str">
        <f t="array" ref="M781">_xlfn.XLOOKUP($A781, 'Hospitalisation Details'!$A:$A, 'Hospitalisation Details'!E:E, "No Data")</f>
        <v>23/08/76</v>
      </c>
      <c r="N781" s="28">
        <f t="array" ref="N781">_xlfn.XLOOKUP($A781, 'Hospitalisation Details'!$A:$A, 'Hospitalisation Details'!K:K, "No Data")</f>
        <v>46</v>
      </c>
      <c r="O781" s="33">
        <f t="array" ref="O781">_xlfn.XLOOKUP($A781, 'Hospitalisation Details'!$A:$A, 'Hospitalisation Details'!G:G, "No Data")</f>
        <v>13333.71</v>
      </c>
      <c r="P781" s="28" t="str">
        <f t="array" ref="P781">_xlfn.XLOOKUP($A781, 'Hospitalisation Details'!$A:$A, 'Hospitalisation Details'!H:H, "No Data")</f>
        <v>tier - 3</v>
      </c>
    </row>
    <row r="782">
      <c r="A782" s="25" t="s">
        <v>2483</v>
      </c>
      <c r="B782" s="28" t="str">
        <f t="array" ref="B782">_xlfn.XLOOKUP($A782, 'Customer Names'!$A:$A, 'Customer Names'!B:B, "No Data")</f>
        <v>Lalanne</v>
      </c>
      <c r="C782" s="28">
        <f t="array" ref="C782">_xlfn.XLOOKUP($A782, 'Medical Examinations'!$A:$A, 'Medical Examinations'!B:B, "No Data")</f>
        <v>54.61</v>
      </c>
      <c r="D782" s="28">
        <f t="array" ref="D782">_xlfn.XLOOKUP($A782, 'Medical Examinations'!$A:$A, 'Medical Examinations'!C:C, "No Data")</f>
        <v>4.49</v>
      </c>
      <c r="E782" s="28" t="str">
        <f t="array" ref="E782">_xlfn.XLOOKUP($A782, 'Medical Examinations'!$A:$A, 'Medical Examinations'!D:D, "No Data")</f>
        <v>No</v>
      </c>
      <c r="F782" s="28" t="str">
        <f t="array" ref="F782">_xlfn.XLOOKUP($A782, 'Medical Examinations'!$A:$A, 'Medical Examinations'!E:E, "No Data")</f>
        <v>No</v>
      </c>
      <c r="G782" s="28" t="str">
        <f t="array" ref="G782">_xlfn.XLOOKUP($A782, 'Medical Examinations'!$A:$A, 'Medical Examinations'!F:F, "No Data")</f>
        <v>No</v>
      </c>
      <c r="H782" s="28">
        <f t="array" ref="H782">_xlfn.XLOOKUP($A782, 'Medical Examinations'!$A:$A, 'Medical Examinations'!G:G, "No Data")</f>
        <v>0</v>
      </c>
      <c r="I782" s="28" t="str">
        <f t="array" ref="I782">_xlfn.XLOOKUP($A782, 'Medical Examinations'!$A:$A, 'Medical Examinations'!H:H, "No Data")</f>
        <v>No</v>
      </c>
      <c r="J782" s="28" t="str">
        <f t="array" ref="J782">_xlfn.XLOOKUP($A782, 'Medical Examinations'!$A:$A, 'Medical Examinations'!I:I, "No Data")</f>
        <v>Obesity</v>
      </c>
      <c r="K782" s="28" t="str">
        <f t="array" ref="K782">_xlfn.XLOOKUP($A782, 'Hospitalisation Details'!$A:$A, 'Hospitalisation Details'!I:I, "No Data")</f>
        <v>tier - 3</v>
      </c>
      <c r="L782" s="28" t="str">
        <f t="array" ref="L782">_xlfn.XLOOKUP($A782, 'Hospitalisation Details'!$A:$A, 'Hospitalisation Details'!J:J, "No Data")</f>
        <v>R1012</v>
      </c>
      <c r="M782" s="28" t="str">
        <f t="array" ref="M782">_xlfn.XLOOKUP($A782, 'Hospitalisation Details'!$A:$A, 'Hospitalisation Details'!E:E, "No Data")</f>
        <v>01/07/94</v>
      </c>
      <c r="N782" s="28">
        <f t="array" ref="N782">_xlfn.XLOOKUP($A782, 'Hospitalisation Details'!$A:$A, 'Hospitalisation Details'!K:K, "No Data")</f>
        <v>28</v>
      </c>
      <c r="O782" s="33">
        <f t="array" ref="O782">_xlfn.XLOOKUP($A782, 'Hospitalisation Details'!$A:$A, 'Hospitalisation Details'!G:G, "No Data")</f>
        <v>13292.52</v>
      </c>
      <c r="P782" s="28" t="str">
        <f t="array" ref="P782">_xlfn.XLOOKUP($A782, 'Hospitalisation Details'!$A:$A, 'Hospitalisation Details'!H:H, "No Data")</f>
        <v>tier - 3</v>
      </c>
    </row>
    <row r="783">
      <c r="A783" s="25" t="s">
        <v>2486</v>
      </c>
      <c r="B783" s="28" t="str">
        <f t="array" ref="B783">_xlfn.XLOOKUP($A783, 'Customer Names'!$A:$A, 'Customer Names'!B:B, "No Data")</f>
        <v>Flanagan</v>
      </c>
      <c r="C783" s="28">
        <f t="array" ref="C783">_xlfn.XLOOKUP($A783, 'Medical Examinations'!$A:$A, 'Medical Examinations'!B:B, "No Data")</f>
        <v>36.005</v>
      </c>
      <c r="D783" s="28">
        <f t="array" ref="D783">_xlfn.XLOOKUP($A783, 'Medical Examinations'!$A:$A, 'Medical Examinations'!C:C, "No Data")</f>
        <v>6.9</v>
      </c>
      <c r="E783" s="28" t="str">
        <f t="array" ref="E783">_xlfn.XLOOKUP($A783, 'Medical Examinations'!$A:$A, 'Medical Examinations'!D:D, "No Data")</f>
        <v>No</v>
      </c>
      <c r="F783" s="28" t="str">
        <f t="array" ref="F783">_xlfn.XLOOKUP($A783, 'Medical Examinations'!$A:$A, 'Medical Examinations'!E:E, "No Data")</f>
        <v>No</v>
      </c>
      <c r="G783" s="28" t="str">
        <f t="array" ref="G783">_xlfn.XLOOKUP($A783, 'Medical Examinations'!$A:$A, 'Medical Examinations'!F:F, "No Data")</f>
        <v>No</v>
      </c>
      <c r="H783" s="28">
        <f t="array" ref="H783">_xlfn.XLOOKUP($A783, 'Medical Examinations'!$A:$A, 'Medical Examinations'!G:G, "No Data")</f>
        <v>0</v>
      </c>
      <c r="I783" s="28" t="str">
        <f t="array" ref="I783">_xlfn.XLOOKUP($A783, 'Medical Examinations'!$A:$A, 'Medical Examinations'!H:H, "No Data")</f>
        <v>No</v>
      </c>
      <c r="J783" s="28" t="str">
        <f t="array" ref="J783">_xlfn.XLOOKUP($A783, 'Medical Examinations'!$A:$A, 'Medical Examinations'!I:I, "No Data")</f>
        <v>Obesity</v>
      </c>
      <c r="K783" s="28" t="str">
        <f t="array" ref="K783">_xlfn.XLOOKUP($A783, 'Hospitalisation Details'!$A:$A, 'Hospitalisation Details'!I:I, "No Data")</f>
        <v>tier - 3</v>
      </c>
      <c r="L783" s="28" t="str">
        <f t="array" ref="L783">_xlfn.XLOOKUP($A783, 'Hospitalisation Details'!$A:$A, 'Hospitalisation Details'!J:J, "No Data")</f>
        <v>R1023</v>
      </c>
      <c r="M783" s="28" t="str">
        <f t="array" ref="M783">_xlfn.XLOOKUP($A783, 'Hospitalisation Details'!$A:$A, 'Hospitalisation Details'!E:E, "No Data")</f>
        <v>11/10/62</v>
      </c>
      <c r="N783" s="28">
        <f t="array" ref="N783">_xlfn.XLOOKUP($A783, 'Hospitalisation Details'!$A:$A, 'Hospitalisation Details'!K:K, "No Data")</f>
        <v>60</v>
      </c>
      <c r="O783" s="33">
        <f t="array" ref="O783">_xlfn.XLOOKUP($A783, 'Hospitalisation Details'!$A:$A, 'Hospitalisation Details'!G:G, "No Data")</f>
        <v>13228.85</v>
      </c>
      <c r="P783" s="28" t="str">
        <f t="array" ref="P783">_xlfn.XLOOKUP($A783, 'Hospitalisation Details'!$A:$A, 'Hospitalisation Details'!H:H, "No Data")</f>
        <v>tier - 3</v>
      </c>
    </row>
    <row r="784">
      <c r="A784" s="25" t="s">
        <v>2489</v>
      </c>
      <c r="B784" s="28" t="str">
        <f t="array" ref="B784">_xlfn.XLOOKUP($A784, 'Customer Names'!$A:$A, 'Customer Names'!B:B, "No Data")</f>
        <v>Arellano</v>
      </c>
      <c r="C784" s="28">
        <f t="array" ref="C784">_xlfn.XLOOKUP($A784, 'Medical Examinations'!$A:$A, 'Medical Examinations'!B:B, "No Data")</f>
        <v>28.7</v>
      </c>
      <c r="D784" s="28">
        <f t="array" ref="D784">_xlfn.XLOOKUP($A784, 'Medical Examinations'!$A:$A, 'Medical Examinations'!C:C, "No Data")</f>
        <v>11.52</v>
      </c>
      <c r="E784" s="28" t="str">
        <f t="array" ref="E784">_xlfn.XLOOKUP($A784, 'Medical Examinations'!$A:$A, 'Medical Examinations'!D:D, "No Data")</f>
        <v>No</v>
      </c>
      <c r="F784" s="28" t="str">
        <f t="array" ref="F784">_xlfn.XLOOKUP($A784, 'Medical Examinations'!$A:$A, 'Medical Examinations'!E:E, "No Data")</f>
        <v>No</v>
      </c>
      <c r="G784" s="28" t="str">
        <f t="array" ref="G784">_xlfn.XLOOKUP($A784, 'Medical Examinations'!$A:$A, 'Medical Examinations'!F:F, "No Data")</f>
        <v>No</v>
      </c>
      <c r="H784" s="28">
        <f t="array" ref="H784">_xlfn.XLOOKUP($A784, 'Medical Examinations'!$A:$A, 'Medical Examinations'!G:G, "No Data")</f>
        <v>0</v>
      </c>
      <c r="I784" s="28" t="str">
        <f t="array" ref="I784">_xlfn.XLOOKUP($A784, 'Medical Examinations'!$A:$A, 'Medical Examinations'!H:H, "No Data")</f>
        <v>No</v>
      </c>
      <c r="J784" s="28" t="str">
        <f t="array" ref="J784">_xlfn.XLOOKUP($A784, 'Medical Examinations'!$A:$A, 'Medical Examinations'!I:I, "No Data")</f>
        <v>Overweight</v>
      </c>
      <c r="K784" s="28" t="str">
        <f t="array" ref="K784">_xlfn.XLOOKUP($A784, 'Hospitalisation Details'!$A:$A, 'Hospitalisation Details'!I:I, "No Data")</f>
        <v>tier - 2</v>
      </c>
      <c r="L784" s="28" t="str">
        <f t="array" ref="L784">_xlfn.XLOOKUP($A784, 'Hospitalisation Details'!$A:$A, 'Hospitalisation Details'!J:J, "No Data")</f>
        <v>R1011</v>
      </c>
      <c r="M784" s="28" t="str">
        <f t="array" ref="M784">_xlfn.XLOOKUP($A784, 'Hospitalisation Details'!$A:$A, 'Hospitalisation Details'!E:E, "No Data")</f>
        <v>24/11/62</v>
      </c>
      <c r="N784" s="28">
        <f t="array" ref="N784">_xlfn.XLOOKUP($A784, 'Hospitalisation Details'!$A:$A, 'Hospitalisation Details'!K:K, "No Data")</f>
        <v>60</v>
      </c>
      <c r="O784" s="33">
        <f t="array" ref="O784">_xlfn.XLOOKUP($A784, 'Hospitalisation Details'!$A:$A, 'Hospitalisation Details'!G:G, "No Data")</f>
        <v>13224.69</v>
      </c>
      <c r="P784" s="28" t="str">
        <f t="array" ref="P784">_xlfn.XLOOKUP($A784, 'Hospitalisation Details'!$A:$A, 'Hospitalisation Details'!H:H, "No Data")</f>
        <v>tier - 3</v>
      </c>
    </row>
    <row r="785">
      <c r="A785" s="25" t="s">
        <v>2492</v>
      </c>
      <c r="B785" s="28" t="str">
        <f t="array" ref="B785">_xlfn.XLOOKUP($A785, 'Customer Names'!$A:$A, 'Customer Names'!B:B, "No Data")</f>
        <v>Charette</v>
      </c>
      <c r="C785" s="28">
        <f t="array" ref="C785">_xlfn.XLOOKUP($A785, 'Medical Examinations'!$A:$A, 'Medical Examinations'!B:B, "No Data")</f>
        <v>34.295</v>
      </c>
      <c r="D785" s="28">
        <f t="array" ref="D785">_xlfn.XLOOKUP($A785, 'Medical Examinations'!$A:$A, 'Medical Examinations'!C:C, "No Data")</f>
        <v>11.24</v>
      </c>
      <c r="E785" s="28" t="str">
        <f t="array" ref="E785">_xlfn.XLOOKUP($A785, 'Medical Examinations'!$A:$A, 'Medical Examinations'!D:D, "No Data")</f>
        <v>No</v>
      </c>
      <c r="F785" s="28" t="str">
        <f t="array" ref="F785">_xlfn.XLOOKUP($A785, 'Medical Examinations'!$A:$A, 'Medical Examinations'!E:E, "No Data")</f>
        <v>No</v>
      </c>
      <c r="G785" s="28" t="str">
        <f t="array" ref="G785">_xlfn.XLOOKUP($A785, 'Medical Examinations'!$A:$A, 'Medical Examinations'!F:F, "No Data")</f>
        <v>No</v>
      </c>
      <c r="H785" s="28">
        <f t="array" ref="H785">_xlfn.XLOOKUP($A785, 'Medical Examinations'!$A:$A, 'Medical Examinations'!G:G, "No Data")</f>
        <v>0</v>
      </c>
      <c r="I785" s="28" t="str">
        <f t="array" ref="I785">_xlfn.XLOOKUP($A785, 'Medical Examinations'!$A:$A, 'Medical Examinations'!H:H, "No Data")</f>
        <v>No</v>
      </c>
      <c r="J785" s="28" t="str">
        <f t="array" ref="J785">_xlfn.XLOOKUP($A785, 'Medical Examinations'!$A:$A, 'Medical Examinations'!I:I, "No Data")</f>
        <v>Obesity</v>
      </c>
      <c r="K785" s="28" t="str">
        <f t="array" ref="K785">_xlfn.XLOOKUP($A785, 'Hospitalisation Details'!$A:$A, 'Hospitalisation Details'!I:I, "No Data")</f>
        <v>tier - 3</v>
      </c>
      <c r="L785" s="28" t="str">
        <f t="array" ref="L785">_xlfn.XLOOKUP($A785, 'Hospitalisation Details'!$A:$A, 'Hospitalisation Details'!J:J, "No Data")</f>
        <v>R1024</v>
      </c>
      <c r="M785" s="28" t="str">
        <f t="array" ref="M785">_xlfn.XLOOKUP($A785, 'Hospitalisation Details'!$A:$A, 'Hospitalisation Details'!E:E, "No Data")</f>
        <v>13/11/65</v>
      </c>
      <c r="N785" s="28">
        <f t="array" ref="N785">_xlfn.XLOOKUP($A785, 'Hospitalisation Details'!$A:$A, 'Hospitalisation Details'!K:K, "No Data")</f>
        <v>57</v>
      </c>
      <c r="O785" s="33">
        <f t="array" ref="O785">_xlfn.XLOOKUP($A785, 'Hospitalisation Details'!$A:$A, 'Hospitalisation Details'!G:G, "No Data")</f>
        <v>13224.06</v>
      </c>
      <c r="P785" s="28" t="str">
        <f t="array" ref="P785">_xlfn.XLOOKUP($A785, 'Hospitalisation Details'!$A:$A, 'Hospitalisation Details'!H:H, "No Data")</f>
        <v>tier - 3</v>
      </c>
    </row>
    <row r="786">
      <c r="A786" s="25" t="s">
        <v>2496</v>
      </c>
      <c r="B786" s="28" t="str">
        <f t="array" ref="B786">_xlfn.XLOOKUP($A786, 'Customer Names'!$A:$A, 'Customer Names'!B:B, "No Data")</f>
        <v>Pena Reyes</v>
      </c>
      <c r="C786" s="28">
        <f t="array" ref="C786">_xlfn.XLOOKUP($A786, 'Medical Examinations'!$A:$A, 'Medical Examinations'!B:B, "No Data")</f>
        <v>27.55</v>
      </c>
      <c r="D786" s="28">
        <f t="array" ref="D786">_xlfn.XLOOKUP($A786, 'Medical Examinations'!$A:$A, 'Medical Examinations'!C:C, "No Data")</f>
        <v>10.98</v>
      </c>
      <c r="E786" s="28" t="str">
        <f t="array" ref="E786">_xlfn.XLOOKUP($A786, 'Medical Examinations'!$A:$A, 'Medical Examinations'!D:D, "No Data")</f>
        <v>No</v>
      </c>
      <c r="F786" s="28" t="str">
        <f t="array" ref="F786">_xlfn.XLOOKUP($A786, 'Medical Examinations'!$A:$A, 'Medical Examinations'!E:E, "No Data")</f>
        <v>No</v>
      </c>
      <c r="G786" s="28" t="str">
        <f t="array" ref="G786">_xlfn.XLOOKUP($A786, 'Medical Examinations'!$A:$A, 'Medical Examinations'!F:F, "No Data")</f>
        <v>No</v>
      </c>
      <c r="H786" s="28">
        <f t="array" ref="H786">_xlfn.XLOOKUP($A786, 'Medical Examinations'!$A:$A, 'Medical Examinations'!G:G, "No Data")</f>
        <v>0</v>
      </c>
      <c r="I786" s="28" t="str">
        <f t="array" ref="I786">_xlfn.XLOOKUP($A786, 'Medical Examinations'!$A:$A, 'Medical Examinations'!H:H, "No Data")</f>
        <v>No</v>
      </c>
      <c r="J786" s="28" t="str">
        <f t="array" ref="J786">_xlfn.XLOOKUP($A786, 'Medical Examinations'!$A:$A, 'Medical Examinations'!I:I, "No Data")</f>
        <v>Overweight</v>
      </c>
      <c r="K786" s="28" t="str">
        <f t="array" ref="K786">_xlfn.XLOOKUP($A786, 'Hospitalisation Details'!$A:$A, 'Hospitalisation Details'!I:I, "No Data")</f>
        <v>tier - 1</v>
      </c>
      <c r="L786" s="28" t="str">
        <f t="array" ref="L786">_xlfn.XLOOKUP($A786, 'Hospitalisation Details'!$A:$A, 'Hospitalisation Details'!J:J, "No Data")</f>
        <v>R1024</v>
      </c>
      <c r="M786" s="28" t="str">
        <f t="array" ref="M786">_xlfn.XLOOKUP($A786, 'Hospitalisation Details'!$A:$A, 'Hospitalisation Details'!E:E, "No Data")</f>
        <v>07/12/62</v>
      </c>
      <c r="N786" s="28">
        <f t="array" ref="N786">_xlfn.XLOOKUP($A786, 'Hospitalisation Details'!$A:$A, 'Hospitalisation Details'!K:K, "No Data")</f>
        <v>60</v>
      </c>
      <c r="O786" s="33">
        <f t="array" ref="O786">_xlfn.XLOOKUP($A786, 'Hospitalisation Details'!$A:$A, 'Hospitalisation Details'!G:G, "No Data")</f>
        <v>13217.09</v>
      </c>
      <c r="P786" s="28" t="str">
        <f t="array" ref="P786">_xlfn.XLOOKUP($A786, 'Hospitalisation Details'!$A:$A, 'Hospitalisation Details'!H:H, "No Data")</f>
        <v>tier - 3</v>
      </c>
    </row>
    <row r="787">
      <c r="A787" s="25" t="s">
        <v>2500</v>
      </c>
      <c r="B787" s="28" t="str">
        <f t="array" ref="B787">_xlfn.XLOOKUP($A787, 'Customer Names'!$A:$A, 'Customer Names'!B:B, "No Data")</f>
        <v>Broderick</v>
      </c>
      <c r="C787" s="28">
        <f t="array" ref="C787">_xlfn.XLOOKUP($A787, 'Medical Examinations'!$A:$A, 'Medical Examinations'!B:B, "No Data")</f>
        <v>40.7</v>
      </c>
      <c r="D787" s="28">
        <f t="array" ref="D787">_xlfn.XLOOKUP($A787, 'Medical Examinations'!$A:$A, 'Medical Examinations'!C:C, "No Data")</f>
        <v>5.42</v>
      </c>
      <c r="E787" s="28" t="str">
        <f t="array" ref="E787">_xlfn.XLOOKUP($A787, 'Medical Examinations'!$A:$A, 'Medical Examinations'!D:D, "No Data")</f>
        <v>No</v>
      </c>
      <c r="F787" s="28" t="str">
        <f t="array" ref="F787">_xlfn.XLOOKUP($A787, 'Medical Examinations'!$A:$A, 'Medical Examinations'!E:E, "No Data")</f>
        <v>No</v>
      </c>
      <c r="G787" s="28" t="str">
        <f t="array" ref="G787">_xlfn.XLOOKUP($A787, 'Medical Examinations'!$A:$A, 'Medical Examinations'!F:F, "No Data")</f>
        <v>No</v>
      </c>
      <c r="H787" s="28">
        <f t="array" ref="H787">_xlfn.XLOOKUP($A787, 'Medical Examinations'!$A:$A, 'Medical Examinations'!G:G, "No Data")</f>
        <v>0</v>
      </c>
      <c r="I787" s="28" t="str">
        <f t="array" ref="I787">_xlfn.XLOOKUP($A787, 'Medical Examinations'!$A:$A, 'Medical Examinations'!H:H, "No Data")</f>
        <v>No</v>
      </c>
      <c r="J787" s="28" t="str">
        <f t="array" ref="J787">_xlfn.XLOOKUP($A787, 'Medical Examinations'!$A:$A, 'Medical Examinations'!I:I, "No Data")</f>
        <v>Obesity</v>
      </c>
      <c r="K787" s="28" t="str">
        <f t="array" ref="K787">_xlfn.XLOOKUP($A787, 'Hospitalisation Details'!$A:$A, 'Hospitalisation Details'!I:I, "No Data")</f>
        <v>tier - 2</v>
      </c>
      <c r="L787" s="28" t="str">
        <f t="array" ref="L787">_xlfn.XLOOKUP($A787, 'Hospitalisation Details'!$A:$A, 'Hospitalisation Details'!J:J, "No Data")</f>
        <v>R1012</v>
      </c>
      <c r="M787" s="28" t="str">
        <f t="array" ref="M787">_xlfn.XLOOKUP($A787, 'Hospitalisation Details'!$A:$A, 'Hospitalisation Details'!E:E, "No Data")</f>
        <v>15/10/82</v>
      </c>
      <c r="N787" s="28">
        <f t="array" ref="N787">_xlfn.XLOOKUP($A787, 'Hospitalisation Details'!$A:$A, 'Hospitalisation Details'!K:K, "No Data")</f>
        <v>40</v>
      </c>
      <c r="O787" s="33">
        <f t="array" ref="O787">_xlfn.XLOOKUP($A787, 'Hospitalisation Details'!$A:$A, 'Hospitalisation Details'!G:G, "No Data")</f>
        <v>13214.43</v>
      </c>
      <c r="P787" s="28" t="str">
        <f t="array" ref="P787">_xlfn.XLOOKUP($A787, 'Hospitalisation Details'!$A:$A, 'Hospitalisation Details'!H:H, "No Data")</f>
        <v>tier - 3</v>
      </c>
    </row>
    <row r="788">
      <c r="A788" s="25" t="s">
        <v>2503</v>
      </c>
      <c r="B788" s="28" t="str">
        <f t="array" ref="B788">_xlfn.XLOOKUP($A788, 'Customer Names'!$A:$A, 'Customer Names'!B:B, "No Data")</f>
        <v>Summers</v>
      </c>
      <c r="C788" s="28">
        <f t="array" ref="C788">_xlfn.XLOOKUP($A788, 'Medical Examinations'!$A:$A, 'Medical Examinations'!B:B, "No Data")</f>
        <v>18.335</v>
      </c>
      <c r="D788" s="28">
        <f t="array" ref="D788">_xlfn.XLOOKUP($A788, 'Medical Examinations'!$A:$A, 'Medical Examinations'!C:C, "No Data")</f>
        <v>10.97</v>
      </c>
      <c r="E788" s="28" t="str">
        <f t="array" ref="E788">_xlfn.XLOOKUP($A788, 'Medical Examinations'!$A:$A, 'Medical Examinations'!D:D, "No Data")</f>
        <v>No</v>
      </c>
      <c r="F788" s="28" t="str">
        <f t="array" ref="F788">_xlfn.XLOOKUP($A788, 'Medical Examinations'!$A:$A, 'Medical Examinations'!E:E, "No Data")</f>
        <v>No</v>
      </c>
      <c r="G788" s="28" t="str">
        <f t="array" ref="G788">_xlfn.XLOOKUP($A788, 'Medical Examinations'!$A:$A, 'Medical Examinations'!F:F, "No Data")</f>
        <v>No</v>
      </c>
      <c r="H788" s="28">
        <f t="array" ref="H788">_xlfn.XLOOKUP($A788, 'Medical Examinations'!$A:$A, 'Medical Examinations'!G:G, "No Data")</f>
        <v>0</v>
      </c>
      <c r="I788" s="28" t="str">
        <f t="array" ref="I788">_xlfn.XLOOKUP($A788, 'Medical Examinations'!$A:$A, 'Medical Examinations'!H:H, "No Data")</f>
        <v>No</v>
      </c>
      <c r="J788" s="28" t="str">
        <f t="array" ref="J788">_xlfn.XLOOKUP($A788, 'Medical Examinations'!$A:$A, 'Medical Examinations'!I:I, "No Data")</f>
        <v>Underweight</v>
      </c>
      <c r="K788" s="28" t="str">
        <f t="array" ref="K788">_xlfn.XLOOKUP($A788, 'Hospitalisation Details'!$A:$A, 'Hospitalisation Details'!I:I, "No Data")</f>
        <v>tier - 1</v>
      </c>
      <c r="L788" s="28" t="str">
        <f t="array" ref="L788">_xlfn.XLOOKUP($A788, 'Hospitalisation Details'!$A:$A, 'Hospitalisation Details'!J:J, "No Data")</f>
        <v>R1024</v>
      </c>
      <c r="M788" s="28" t="str">
        <f t="array" ref="M788">_xlfn.XLOOKUP($A788, 'Hospitalisation Details'!$A:$A, 'Hospitalisation Details'!E:E, "No Data")</f>
        <v>05/08/62</v>
      </c>
      <c r="N788" s="28">
        <f t="array" ref="N788">_xlfn.XLOOKUP($A788, 'Hospitalisation Details'!$A:$A, 'Hospitalisation Details'!K:K, "No Data")</f>
        <v>60</v>
      </c>
      <c r="O788" s="33">
        <f t="array" ref="O788">_xlfn.XLOOKUP($A788, 'Hospitalisation Details'!$A:$A, 'Hospitalisation Details'!G:G, "No Data")</f>
        <v>13204.29</v>
      </c>
      <c r="P788" s="28" t="str">
        <f t="array" ref="P788">_xlfn.XLOOKUP($A788, 'Hospitalisation Details'!$A:$A, 'Hospitalisation Details'!H:H, "No Data")</f>
        <v>tier - 3</v>
      </c>
    </row>
    <row r="789">
      <c r="A789" s="25" t="s">
        <v>2507</v>
      </c>
      <c r="B789" s="28" t="str">
        <f t="array" ref="B789">_xlfn.XLOOKUP($A789, 'Customer Names'!$A:$A, 'Customer Names'!B:B, "No Data")</f>
        <v>Fisher</v>
      </c>
      <c r="C789" s="28">
        <f t="array" ref="C789">_xlfn.XLOOKUP($A789, 'Medical Examinations'!$A:$A, 'Medical Examinations'!B:B, "No Data")</f>
        <v>33.915</v>
      </c>
      <c r="D789" s="28">
        <f t="array" ref="D789">_xlfn.XLOOKUP($A789, 'Medical Examinations'!$A:$A, 'Medical Examinations'!C:C, "No Data")</f>
        <v>9.56</v>
      </c>
      <c r="E789" s="28" t="str">
        <f t="array" ref="E789">_xlfn.XLOOKUP($A789, 'Medical Examinations'!$A:$A, 'Medical Examinations'!D:D, "No Data")</f>
        <v>yes</v>
      </c>
      <c r="F789" s="28" t="str">
        <f t="array" ref="F789">_xlfn.XLOOKUP($A789, 'Medical Examinations'!$A:$A, 'Medical Examinations'!E:E, "No Data")</f>
        <v>No</v>
      </c>
      <c r="G789" s="28" t="str">
        <f t="array" ref="G789">_xlfn.XLOOKUP($A789, 'Medical Examinations'!$A:$A, 'Medical Examinations'!F:F, "No Data")</f>
        <v>No</v>
      </c>
      <c r="H789" s="28">
        <f t="array" ref="H789">_xlfn.XLOOKUP($A789, 'Medical Examinations'!$A:$A, 'Medical Examinations'!G:G, "No Data")</f>
        <v>2</v>
      </c>
      <c r="I789" s="28" t="str">
        <f t="array" ref="I789">_xlfn.XLOOKUP($A789, 'Medical Examinations'!$A:$A, 'Medical Examinations'!H:H, "No Data")</f>
        <v>No</v>
      </c>
      <c r="J789" s="28" t="str">
        <f t="array" ref="J789">_xlfn.XLOOKUP($A789, 'Medical Examinations'!$A:$A, 'Medical Examinations'!I:I, "No Data")</f>
        <v>Obesity</v>
      </c>
      <c r="K789" s="28" t="str">
        <f t="array" ref="K789">_xlfn.XLOOKUP($A789, 'Hospitalisation Details'!$A:$A, 'Hospitalisation Details'!I:I, "No Data")</f>
        <v>tier - 2</v>
      </c>
      <c r="L789" s="28" t="str">
        <f t="array" ref="L789">_xlfn.XLOOKUP($A789, 'Hospitalisation Details'!$A:$A, 'Hospitalisation Details'!J:J, "No Data")</f>
        <v>R1016</v>
      </c>
      <c r="M789" s="28" t="str">
        <f t="array" ref="M789">_xlfn.XLOOKUP($A789, 'Hospitalisation Details'!$A:$A, 'Hospitalisation Details'!E:E, "No Data")</f>
        <v>06/12/61</v>
      </c>
      <c r="N789" s="28">
        <f t="array" ref="N789">_xlfn.XLOOKUP($A789, 'Hospitalisation Details'!$A:$A, 'Hospitalisation Details'!K:K, "No Data")</f>
        <v>61</v>
      </c>
      <c r="O789" s="33">
        <f t="array" ref="O789">_xlfn.XLOOKUP($A789, 'Hospitalisation Details'!$A:$A, 'Hospitalisation Details'!G:G, "No Data")</f>
        <v>13143.86</v>
      </c>
      <c r="P789" s="28" t="str">
        <f t="array" ref="P789">_xlfn.XLOOKUP($A789, 'Hospitalisation Details'!$A:$A, 'Hospitalisation Details'!H:H, "No Data")</f>
        <v>tier - 3</v>
      </c>
    </row>
    <row r="790">
      <c r="A790" s="25" t="s">
        <v>2510</v>
      </c>
      <c r="B790" s="28" t="str">
        <f t="array" ref="B790">_xlfn.XLOOKUP($A790, 'Customer Names'!$A:$A, 'Customer Names'!B:B, "No Data")</f>
        <v>Zhou</v>
      </c>
      <c r="C790" s="28">
        <f t="array" ref="C790">_xlfn.XLOOKUP($A790, 'Medical Examinations'!$A:$A, 'Medical Examinations'!B:B, "No Data")</f>
        <v>33.535</v>
      </c>
      <c r="D790" s="28">
        <f t="array" ref="D790">_xlfn.XLOOKUP($A790, 'Medical Examinations'!$A:$A, 'Medical Examinations'!C:C, "No Data")</f>
        <v>9.4</v>
      </c>
      <c r="E790" s="28" t="str">
        <f t="array" ref="E790">_xlfn.XLOOKUP($A790, 'Medical Examinations'!$A:$A, 'Medical Examinations'!D:D, "No Data")</f>
        <v>yes</v>
      </c>
      <c r="F790" s="28" t="str">
        <f t="array" ref="F790">_xlfn.XLOOKUP($A790, 'Medical Examinations'!$A:$A, 'Medical Examinations'!E:E, "No Data")</f>
        <v>No</v>
      </c>
      <c r="G790" s="28" t="str">
        <f t="array" ref="G790">_xlfn.XLOOKUP($A790, 'Medical Examinations'!$A:$A, 'Medical Examinations'!F:F, "No Data")</f>
        <v>No</v>
      </c>
      <c r="H790" s="28">
        <f t="array" ref="H790">_xlfn.XLOOKUP($A790, 'Medical Examinations'!$A:$A, 'Medical Examinations'!G:G, "No Data")</f>
        <v>2</v>
      </c>
      <c r="I790" s="28" t="str">
        <f t="array" ref="I790">_xlfn.XLOOKUP($A790, 'Medical Examinations'!$A:$A, 'Medical Examinations'!H:H, "No Data")</f>
        <v>No</v>
      </c>
      <c r="J790" s="28" t="str">
        <f t="array" ref="J790">_xlfn.XLOOKUP($A790, 'Medical Examinations'!$A:$A, 'Medical Examinations'!I:I, "No Data")</f>
        <v>Obesity</v>
      </c>
      <c r="K790" s="28" t="str">
        <f t="array" ref="K790">_xlfn.XLOOKUP($A790, 'Hospitalisation Details'!$A:$A, 'Hospitalisation Details'!I:I, "No Data")</f>
        <v>tier - 2</v>
      </c>
      <c r="L790" s="28" t="str">
        <f t="array" ref="L790">_xlfn.XLOOKUP($A790, 'Hospitalisation Details'!$A:$A, 'Hospitalisation Details'!J:J, "No Data")</f>
        <v>R1020</v>
      </c>
      <c r="M790" s="28" t="str">
        <f t="array" ref="M790">_xlfn.XLOOKUP($A790, 'Hospitalisation Details'!$A:$A, 'Hospitalisation Details'!E:E, "No Data")</f>
        <v>06/12/61</v>
      </c>
      <c r="N790" s="28">
        <f t="array" ref="N790">_xlfn.XLOOKUP($A790, 'Hospitalisation Details'!$A:$A, 'Hospitalisation Details'!K:K, "No Data")</f>
        <v>61</v>
      </c>
      <c r="O790" s="33">
        <f t="array" ref="O790">_xlfn.XLOOKUP($A790, 'Hospitalisation Details'!$A:$A, 'Hospitalisation Details'!G:G, "No Data")</f>
        <v>13143.34</v>
      </c>
      <c r="P790" s="28" t="str">
        <f t="array" ref="P790">_xlfn.XLOOKUP($A790, 'Hospitalisation Details'!$A:$A, 'Hospitalisation Details'!H:H, "No Data")</f>
        <v>tier - 3</v>
      </c>
    </row>
    <row r="791">
      <c r="A791" s="25" t="s">
        <v>2513</v>
      </c>
      <c r="B791" s="28" t="str">
        <f t="array" ref="B791">_xlfn.XLOOKUP($A791, 'Customer Names'!$A:$A, 'Customer Names'!B:B, "No Data")</f>
        <v>Clarke-Ames</v>
      </c>
      <c r="C791" s="28">
        <f t="array" ref="C791">_xlfn.XLOOKUP($A791, 'Medical Examinations'!$A:$A, 'Medical Examinations'!B:B, "No Data")</f>
        <v>23.655</v>
      </c>
      <c r="D791" s="28">
        <f t="array" ref="D791">_xlfn.XLOOKUP($A791, 'Medical Examinations'!$A:$A, 'Medical Examinations'!C:C, "No Data")</f>
        <v>8.48</v>
      </c>
      <c r="E791" s="28" t="str">
        <f t="array" ref="E791">_xlfn.XLOOKUP($A791, 'Medical Examinations'!$A:$A, 'Medical Examinations'!D:D, "No Data")</f>
        <v>yes</v>
      </c>
      <c r="F791" s="28" t="str">
        <f t="array" ref="F791">_xlfn.XLOOKUP($A791, 'Medical Examinations'!$A:$A, 'Medical Examinations'!E:E, "No Data")</f>
        <v>No</v>
      </c>
      <c r="G791" s="28" t="str">
        <f t="array" ref="G791">_xlfn.XLOOKUP($A791, 'Medical Examinations'!$A:$A, 'Medical Examinations'!F:F, "No Data")</f>
        <v>No</v>
      </c>
      <c r="H791" s="28">
        <f t="array" ref="H791">_xlfn.XLOOKUP($A791, 'Medical Examinations'!$A:$A, 'Medical Examinations'!G:G, "No Data")</f>
        <v>2</v>
      </c>
      <c r="I791" s="28" t="str">
        <f t="array" ref="I791">_xlfn.XLOOKUP($A791, 'Medical Examinations'!$A:$A, 'Medical Examinations'!H:H, "No Data")</f>
        <v>No</v>
      </c>
      <c r="J791" s="28" t="str">
        <f t="array" ref="J791">_xlfn.XLOOKUP($A791, 'Medical Examinations'!$A:$A, 'Medical Examinations'!I:I, "No Data")</f>
        <v>Normal Weight</v>
      </c>
      <c r="K791" s="28" t="str">
        <f t="array" ref="K791">_xlfn.XLOOKUP($A791, 'Hospitalisation Details'!$A:$A, 'Hospitalisation Details'!I:I, "No Data")</f>
        <v>tier - 2</v>
      </c>
      <c r="L791" s="28" t="str">
        <f t="array" ref="L791">_xlfn.XLOOKUP($A791, 'Hospitalisation Details'!$A:$A, 'Hospitalisation Details'!J:J, "No Data")</f>
        <v>R1017</v>
      </c>
      <c r="M791" s="28" t="str">
        <f t="array" ref="M791">_xlfn.XLOOKUP($A791, 'Hospitalisation Details'!$A:$A, 'Hospitalisation Details'!E:E, "No Data")</f>
        <v>07/09/61</v>
      </c>
      <c r="N791" s="28">
        <f t="array" ref="N791">_xlfn.XLOOKUP($A791, 'Hospitalisation Details'!$A:$A, 'Hospitalisation Details'!K:K, "No Data")</f>
        <v>61</v>
      </c>
      <c r="O791" s="33">
        <f t="array" ref="O791">_xlfn.XLOOKUP($A791, 'Hospitalisation Details'!$A:$A, 'Hospitalisation Details'!G:G, "No Data")</f>
        <v>13129.6</v>
      </c>
      <c r="P791" s="28" t="str">
        <f t="array" ref="P791">_xlfn.XLOOKUP($A791, 'Hospitalisation Details'!$A:$A, 'Hospitalisation Details'!H:H, "No Data")</f>
        <v>tier - 3</v>
      </c>
    </row>
    <row r="792">
      <c r="A792" s="25" t="s">
        <v>2517</v>
      </c>
      <c r="B792" s="28" t="str">
        <f t="array" ref="B792">_xlfn.XLOOKUP($A792, 'Customer Names'!$A:$A, 'Customer Names'!B:B, "No Data")</f>
        <v>Staton</v>
      </c>
      <c r="C792" s="28">
        <f t="array" ref="C792">_xlfn.XLOOKUP($A792, 'Medical Examinations'!$A:$A, 'Medical Examinations'!B:B, "No Data")</f>
        <v>28</v>
      </c>
      <c r="D792" s="28">
        <f t="array" ref="D792">_xlfn.XLOOKUP($A792, 'Medical Examinations'!$A:$A, 'Medical Examinations'!C:C, "No Data")</f>
        <v>5.57</v>
      </c>
      <c r="E792" s="28" t="str">
        <f t="array" ref="E792">_xlfn.XLOOKUP($A792, 'Medical Examinations'!$A:$A, 'Medical Examinations'!D:D, "No Data")</f>
        <v>No</v>
      </c>
      <c r="F792" s="28" t="str">
        <f t="array" ref="F792">_xlfn.XLOOKUP($A792, 'Medical Examinations'!$A:$A, 'Medical Examinations'!E:E, "No Data")</f>
        <v>No</v>
      </c>
      <c r="G792" s="28" t="str">
        <f t="array" ref="G792">_xlfn.XLOOKUP($A792, 'Medical Examinations'!$A:$A, 'Medical Examinations'!F:F, "No Data")</f>
        <v>No</v>
      </c>
      <c r="H792" s="28">
        <f t="array" ref="H792">_xlfn.XLOOKUP($A792, 'Medical Examinations'!$A:$A, 'Medical Examinations'!G:G, "No Data")</f>
        <v>0</v>
      </c>
      <c r="I792" s="28" t="str">
        <f t="array" ref="I792">_xlfn.XLOOKUP($A792, 'Medical Examinations'!$A:$A, 'Medical Examinations'!H:H, "No Data")</f>
        <v>No</v>
      </c>
      <c r="J792" s="28" t="str">
        <f t="array" ref="J792">_xlfn.XLOOKUP($A792, 'Medical Examinations'!$A:$A, 'Medical Examinations'!I:I, "No Data")</f>
        <v>Overweight</v>
      </c>
      <c r="K792" s="28" t="str">
        <f t="array" ref="K792">_xlfn.XLOOKUP($A792, 'Hospitalisation Details'!$A:$A, 'Hospitalisation Details'!I:I, "No Data")</f>
        <v>tier - 3</v>
      </c>
      <c r="L792" s="28" t="str">
        <f t="array" ref="L792">_xlfn.XLOOKUP($A792, 'Hospitalisation Details'!$A:$A, 'Hospitalisation Details'!J:J, "No Data")</f>
        <v>R1011</v>
      </c>
      <c r="M792" s="28" t="str">
        <f t="array" ref="M792">_xlfn.XLOOKUP($A792, 'Hospitalisation Details'!$A:$A, 'Hospitalisation Details'!E:E, "No Data")</f>
        <v>16/08/99</v>
      </c>
      <c r="N792" s="28">
        <f t="array" ref="N792">_xlfn.XLOOKUP($A792, 'Hospitalisation Details'!$A:$A, 'Hospitalisation Details'!K:K, "No Data")</f>
        <v>23</v>
      </c>
      <c r="O792" s="33">
        <f t="array" ref="O792">_xlfn.XLOOKUP($A792, 'Hospitalisation Details'!$A:$A, 'Hospitalisation Details'!G:G, "No Data")</f>
        <v>13126.68</v>
      </c>
      <c r="P792" s="28" t="str">
        <f t="array" ref="P792">_xlfn.XLOOKUP($A792, 'Hospitalisation Details'!$A:$A, 'Hospitalisation Details'!H:H, "No Data")</f>
        <v>tier - 3</v>
      </c>
    </row>
    <row r="793">
      <c r="A793" s="25" t="s">
        <v>2520</v>
      </c>
      <c r="B793" s="28" t="str">
        <f t="array" ref="B793">_xlfn.XLOOKUP($A793, 'Customer Names'!$A:$A, 'Customer Names'!B:B, "No Data")</f>
        <v>Forster</v>
      </c>
      <c r="C793" s="28">
        <f t="array" ref="C793">_xlfn.XLOOKUP($A793, 'Medical Examinations'!$A:$A, 'Medical Examinations'!B:B, "No Data")</f>
        <v>30.23</v>
      </c>
      <c r="D793" s="28">
        <f t="array" ref="D793">_xlfn.XLOOKUP($A793, 'Medical Examinations'!$A:$A, 'Medical Examinations'!C:C, "No Data")</f>
        <v>6.94</v>
      </c>
      <c r="E793" s="28" t="str">
        <f t="array" ref="E793">_xlfn.XLOOKUP($A793, 'Medical Examinations'!$A:$A, 'Medical Examinations'!D:D, "No Data")</f>
        <v>yes</v>
      </c>
      <c r="F793" s="28" t="str">
        <f t="array" ref="F793">_xlfn.XLOOKUP($A793, 'Medical Examinations'!$A:$A, 'Medical Examinations'!E:E, "No Data")</f>
        <v>No</v>
      </c>
      <c r="G793" s="28" t="str">
        <f t="array" ref="G793">_xlfn.XLOOKUP($A793, 'Medical Examinations'!$A:$A, 'Medical Examinations'!F:F, "No Data")</f>
        <v>Yes</v>
      </c>
      <c r="H793" s="28">
        <f t="array" ref="H793">_xlfn.XLOOKUP($A793, 'Medical Examinations'!$A:$A, 'Medical Examinations'!G:G, "No Data")</f>
        <v>1</v>
      </c>
      <c r="I793" s="28" t="str">
        <f t="array" ref="I793">_xlfn.XLOOKUP($A793, 'Medical Examinations'!$A:$A, 'Medical Examinations'!H:H, "No Data")</f>
        <v>No</v>
      </c>
      <c r="J793" s="28" t="str">
        <f t="array" ref="J793">_xlfn.XLOOKUP($A793, 'Medical Examinations'!$A:$A, 'Medical Examinations'!I:I, "No Data")</f>
        <v>Obesity</v>
      </c>
      <c r="K793" s="28" t="str">
        <f t="array" ref="K793">_xlfn.XLOOKUP($A793, 'Hospitalisation Details'!$A:$A, 'Hospitalisation Details'!I:I, "No Data")</f>
        <v>tier - 1</v>
      </c>
      <c r="L793" s="28" t="str">
        <f t="array" ref="L793">_xlfn.XLOOKUP($A793, 'Hospitalisation Details'!$A:$A, 'Hospitalisation Details'!J:J, "No Data")</f>
        <v>R1012</v>
      </c>
      <c r="M793" s="28" t="str">
        <f t="array" ref="M793">_xlfn.XLOOKUP($A793, 'Hospitalisation Details'!$A:$A, 'Hospitalisation Details'!E:E, "No Data")</f>
        <v>14/09/63</v>
      </c>
      <c r="N793" s="28">
        <f t="array" ref="N793">_xlfn.XLOOKUP($A793, 'Hospitalisation Details'!$A:$A, 'Hospitalisation Details'!K:K, "No Data")</f>
        <v>59</v>
      </c>
      <c r="O793" s="33">
        <f t="array" ref="O793">_xlfn.XLOOKUP($A793, 'Hospitalisation Details'!$A:$A, 'Hospitalisation Details'!G:G, "No Data")</f>
        <v>13116.84</v>
      </c>
      <c r="P793" s="28" t="str">
        <f t="array" ref="P793">_xlfn.XLOOKUP($A793, 'Hospitalisation Details'!$A:$A, 'Hospitalisation Details'!H:H, "No Data")</f>
        <v>tier - 3</v>
      </c>
    </row>
    <row r="794">
      <c r="A794" s="25" t="s">
        <v>2523</v>
      </c>
      <c r="B794" s="28" t="str">
        <f t="array" ref="B794">_xlfn.XLOOKUP($A794, 'Customer Names'!$A:$A, 'Customer Names'!B:B, "No Data")</f>
        <v>Monaghan</v>
      </c>
      <c r="C794" s="28">
        <f t="array" ref="C794">_xlfn.XLOOKUP($A794, 'Medical Examinations'!$A:$A, 'Medical Examinations'!B:B, "No Data")</f>
        <v>51.14</v>
      </c>
      <c r="D794" s="28">
        <f t="array" ref="D794">_xlfn.XLOOKUP($A794, 'Medical Examinations'!$A:$A, 'Medical Examinations'!C:C, "No Data")</f>
        <v>4.05</v>
      </c>
      <c r="E794" s="28" t="str">
        <f t="array" ref="E794">_xlfn.XLOOKUP($A794, 'Medical Examinations'!$A:$A, 'Medical Examinations'!D:D, "No Data")</f>
        <v>No</v>
      </c>
      <c r="F794" s="28" t="str">
        <f t="array" ref="F794">_xlfn.XLOOKUP($A794, 'Medical Examinations'!$A:$A, 'Medical Examinations'!E:E, "No Data")</f>
        <v>No</v>
      </c>
      <c r="G794" s="28" t="str">
        <f t="array" ref="G794">_xlfn.XLOOKUP($A794, 'Medical Examinations'!$A:$A, 'Medical Examinations'!F:F, "No Data")</f>
        <v>No</v>
      </c>
      <c r="H794" s="28">
        <f t="array" ref="H794">_xlfn.XLOOKUP($A794, 'Medical Examinations'!$A:$A, 'Medical Examinations'!G:G, "No Data")</f>
        <v>1</v>
      </c>
      <c r="I794" s="28" t="str">
        <f t="array" ref="I794">_xlfn.XLOOKUP($A794, 'Medical Examinations'!$A:$A, 'Medical Examinations'!H:H, "No Data")</f>
        <v>No</v>
      </c>
      <c r="J794" s="28" t="str">
        <f t="array" ref="J794">_xlfn.XLOOKUP($A794, 'Medical Examinations'!$A:$A, 'Medical Examinations'!I:I, "No Data")</f>
        <v>Obesity</v>
      </c>
      <c r="K794" s="28" t="str">
        <f t="array" ref="K794">_xlfn.XLOOKUP($A794, 'Hospitalisation Details'!$A:$A, 'Hospitalisation Details'!I:I, "No Data")</f>
        <v>tier - 2</v>
      </c>
      <c r="L794" s="28" t="str">
        <f t="array" ref="L794">_xlfn.XLOOKUP($A794, 'Hospitalisation Details'!$A:$A, 'Hospitalisation Details'!J:J, "No Data")</f>
        <v>R1026</v>
      </c>
      <c r="M794" s="28" t="str">
        <f t="array" ref="M794">_xlfn.XLOOKUP($A794, 'Hospitalisation Details'!$A:$A, 'Hospitalisation Details'!E:E, "No Data")</f>
        <v>12/08/92</v>
      </c>
      <c r="N794" s="28">
        <f t="array" ref="N794">_xlfn.XLOOKUP($A794, 'Hospitalisation Details'!$A:$A, 'Hospitalisation Details'!K:K, "No Data")</f>
        <v>30</v>
      </c>
      <c r="O794" s="33">
        <f t="array" ref="O794">_xlfn.XLOOKUP($A794, 'Hospitalisation Details'!$A:$A, 'Hospitalisation Details'!G:G, "No Data")</f>
        <v>13113.51</v>
      </c>
      <c r="P794" s="28" t="str">
        <f t="array" ref="P794">_xlfn.XLOOKUP($A794, 'Hospitalisation Details'!$A:$A, 'Hospitalisation Details'!H:H, "No Data")</f>
        <v>tier - 3</v>
      </c>
    </row>
    <row r="795">
      <c r="A795" s="25" t="s">
        <v>2527</v>
      </c>
      <c r="B795" s="28" t="str">
        <f t="array" ref="B795">_xlfn.XLOOKUP($A795, 'Customer Names'!$A:$A, 'Customer Names'!B:B, "No Data")</f>
        <v>Kawamoto</v>
      </c>
      <c r="C795" s="28">
        <f t="array" ref="C795">_xlfn.XLOOKUP($A795, 'Medical Examinations'!$A:$A, 'Medical Examinations'!B:B, "No Data")</f>
        <v>24.32</v>
      </c>
      <c r="D795" s="28">
        <f t="array" ref="D795">_xlfn.XLOOKUP($A795, 'Medical Examinations'!$A:$A, 'Medical Examinations'!C:C, "No Data")</f>
        <v>10.22</v>
      </c>
      <c r="E795" s="28" t="str">
        <f t="array" ref="E795">_xlfn.XLOOKUP($A795, 'Medical Examinations'!$A:$A, 'Medical Examinations'!D:D, "No Data")</f>
        <v>No</v>
      </c>
      <c r="F795" s="28" t="str">
        <f t="array" ref="F795">_xlfn.XLOOKUP($A795, 'Medical Examinations'!$A:$A, 'Medical Examinations'!E:E, "No Data")</f>
        <v>No</v>
      </c>
      <c r="G795" s="28" t="str">
        <f t="array" ref="G795">_xlfn.XLOOKUP($A795, 'Medical Examinations'!$A:$A, 'Medical Examinations'!F:F, "No Data")</f>
        <v>No</v>
      </c>
      <c r="H795" s="28">
        <f t="array" ref="H795">_xlfn.XLOOKUP($A795, 'Medical Examinations'!$A:$A, 'Medical Examinations'!G:G, "No Data")</f>
        <v>0</v>
      </c>
      <c r="I795" s="28" t="str">
        <f t="array" ref="I795">_xlfn.XLOOKUP($A795, 'Medical Examinations'!$A:$A, 'Medical Examinations'!H:H, "No Data")</f>
        <v>No</v>
      </c>
      <c r="J795" s="28" t="str">
        <f t="array" ref="J795">_xlfn.XLOOKUP($A795, 'Medical Examinations'!$A:$A, 'Medical Examinations'!I:I, "No Data")</f>
        <v>Normal Weight</v>
      </c>
      <c r="K795" s="28" t="str">
        <f t="array" ref="K795">_xlfn.XLOOKUP($A795, 'Hospitalisation Details'!$A:$A, 'Hospitalisation Details'!I:I, "No Data")</f>
        <v>tier - 3</v>
      </c>
      <c r="L795" s="28" t="str">
        <f t="array" ref="L795">_xlfn.XLOOKUP($A795, 'Hospitalisation Details'!$A:$A, 'Hospitalisation Details'!J:J, "No Data")</f>
        <v>R1012</v>
      </c>
      <c r="M795" s="28" t="str">
        <f t="array" ref="M795">_xlfn.XLOOKUP($A795, 'Hospitalisation Details'!$A:$A, 'Hospitalisation Details'!E:E, "No Data")</f>
        <v>02/08/62</v>
      </c>
      <c r="N795" s="28">
        <f t="array" ref="N795">_xlfn.XLOOKUP($A795, 'Hospitalisation Details'!$A:$A, 'Hospitalisation Details'!K:K, "No Data")</f>
        <v>60</v>
      </c>
      <c r="O795" s="33">
        <f t="array" ref="O795">_xlfn.XLOOKUP($A795, 'Hospitalisation Details'!$A:$A, 'Hospitalisation Details'!G:G, "No Data")</f>
        <v>13112.6</v>
      </c>
      <c r="P795" s="28" t="str">
        <f t="array" ref="P795">_xlfn.XLOOKUP($A795, 'Hospitalisation Details'!$A:$A, 'Hospitalisation Details'!H:H, "No Data")</f>
        <v>tier - 3</v>
      </c>
    </row>
    <row r="796">
      <c r="A796" s="25" t="s">
        <v>2531</v>
      </c>
      <c r="B796" s="28" t="str">
        <f t="array" ref="B796">_xlfn.XLOOKUP($A796, 'Customer Names'!$A:$A, 'Customer Names'!B:B, "No Data")</f>
        <v>Dicharry</v>
      </c>
      <c r="C796" s="28">
        <f t="array" ref="C796">_xlfn.XLOOKUP($A796, 'Medical Examinations'!$A:$A, 'Medical Examinations'!B:B, "No Data")</f>
        <v>38.06</v>
      </c>
      <c r="D796" s="28">
        <f t="array" ref="D796">_xlfn.XLOOKUP($A796, 'Medical Examinations'!$A:$A, 'Medical Examinations'!C:C, "No Data")</f>
        <v>9.24</v>
      </c>
      <c r="E796" s="28" t="str">
        <f t="array" ref="E796">_xlfn.XLOOKUP($A796, 'Medical Examinations'!$A:$A, 'Medical Examinations'!D:D, "No Data")</f>
        <v>No</v>
      </c>
      <c r="F796" s="28" t="str">
        <f t="array" ref="F796">_xlfn.XLOOKUP($A796, 'Medical Examinations'!$A:$A, 'Medical Examinations'!E:E, "No Data")</f>
        <v>No</v>
      </c>
      <c r="G796" s="28" t="str">
        <f t="array" ref="G796">_xlfn.XLOOKUP($A796, 'Medical Examinations'!$A:$A, 'Medical Examinations'!F:F, "No Data")</f>
        <v>No</v>
      </c>
      <c r="H796" s="28">
        <f t="array" ref="H796">_xlfn.XLOOKUP($A796, 'Medical Examinations'!$A:$A, 'Medical Examinations'!G:G, "No Data")</f>
        <v>0</v>
      </c>
      <c r="I796" s="28" t="str">
        <f t="array" ref="I796">_xlfn.XLOOKUP($A796, 'Medical Examinations'!$A:$A, 'Medical Examinations'!H:H, "No Data")</f>
        <v>No</v>
      </c>
      <c r="J796" s="28" t="str">
        <f t="array" ref="J796">_xlfn.XLOOKUP($A796, 'Medical Examinations'!$A:$A, 'Medical Examinations'!I:I, "No Data")</f>
        <v>Obesity</v>
      </c>
      <c r="K796" s="28" t="str">
        <f t="array" ref="K796">_xlfn.XLOOKUP($A796, 'Hospitalisation Details'!$A:$A, 'Hospitalisation Details'!I:I, "No Data")</f>
        <v>tier - 2</v>
      </c>
      <c r="L796" s="28" t="str">
        <f t="array" ref="L796">_xlfn.XLOOKUP($A796, 'Hospitalisation Details'!$A:$A, 'Hospitalisation Details'!J:J, "No Data")</f>
        <v>R1011</v>
      </c>
      <c r="M796" s="28" t="str">
        <f t="array" ref="M796">_xlfn.XLOOKUP($A796, 'Hospitalisation Details'!$A:$A, 'Hospitalisation Details'!E:E, "No Data")</f>
        <v>30/10/71</v>
      </c>
      <c r="N796" s="28">
        <f t="array" ref="N796">_xlfn.XLOOKUP($A796, 'Hospitalisation Details'!$A:$A, 'Hospitalisation Details'!K:K, "No Data")</f>
        <v>51</v>
      </c>
      <c r="O796" s="33">
        <f t="array" ref="O796">_xlfn.XLOOKUP($A796, 'Hospitalisation Details'!$A:$A, 'Hospitalisation Details'!G:G, "No Data")</f>
        <v>13110.79</v>
      </c>
      <c r="P796" s="28" t="str">
        <f t="array" ref="P796">_xlfn.XLOOKUP($A796, 'Hospitalisation Details'!$A:$A, 'Hospitalisation Details'!H:H, "No Data")</f>
        <v>tier - 3</v>
      </c>
    </row>
    <row r="797">
      <c r="A797" s="25" t="s">
        <v>2534</v>
      </c>
      <c r="B797" s="28" t="str">
        <f t="array" ref="B797">_xlfn.XLOOKUP($A797, 'Customer Names'!$A:$A, 'Customer Names'!B:B, "No Data")</f>
        <v>Berry</v>
      </c>
      <c r="C797" s="28">
        <f t="array" ref="C797">_xlfn.XLOOKUP($A797, 'Medical Examinations'!$A:$A, 'Medical Examinations'!B:B, "No Data")</f>
        <v>37.7</v>
      </c>
      <c r="D797" s="28">
        <f t="array" ref="D797">_xlfn.XLOOKUP($A797, 'Medical Examinations'!$A:$A, 'Medical Examinations'!C:C, "No Data")</f>
        <v>8.6</v>
      </c>
      <c r="E797" s="28" t="str">
        <f t="array" ref="E797">_xlfn.XLOOKUP($A797, 'Medical Examinations'!$A:$A, 'Medical Examinations'!D:D, "No Data")</f>
        <v>No</v>
      </c>
      <c r="F797" s="28" t="str">
        <f t="array" ref="F797">_xlfn.XLOOKUP($A797, 'Medical Examinations'!$A:$A, 'Medical Examinations'!E:E, "No Data")</f>
        <v>No</v>
      </c>
      <c r="G797" s="28" t="str">
        <f t="array" ref="G797">_xlfn.XLOOKUP($A797, 'Medical Examinations'!$A:$A, 'Medical Examinations'!F:F, "No Data")</f>
        <v>No</v>
      </c>
      <c r="H797" s="28">
        <f t="array" ref="H797">_xlfn.XLOOKUP($A797, 'Medical Examinations'!$A:$A, 'Medical Examinations'!G:G, "No Data")</f>
        <v>0</v>
      </c>
      <c r="I797" s="28" t="str">
        <f t="array" ref="I797">_xlfn.XLOOKUP($A797, 'Medical Examinations'!$A:$A, 'Medical Examinations'!H:H, "No Data")</f>
        <v>No</v>
      </c>
      <c r="J797" s="28" t="str">
        <f t="array" ref="J797">_xlfn.XLOOKUP($A797, 'Medical Examinations'!$A:$A, 'Medical Examinations'!I:I, "No Data")</f>
        <v>Obesity</v>
      </c>
      <c r="K797" s="28" t="str">
        <f t="array" ref="K797">_xlfn.XLOOKUP($A797, 'Hospitalisation Details'!$A:$A, 'Hospitalisation Details'!I:I, "No Data")</f>
        <v>tier - 2</v>
      </c>
      <c r="L797" s="28" t="str">
        <f t="array" ref="L797">_xlfn.XLOOKUP($A797, 'Hospitalisation Details'!$A:$A, 'Hospitalisation Details'!J:J, "No Data")</f>
        <v>R1026</v>
      </c>
      <c r="M797" s="28" t="str">
        <f t="array" ref="M797">_xlfn.XLOOKUP($A797, 'Hospitalisation Details'!$A:$A, 'Hospitalisation Details'!E:E, "No Data")</f>
        <v>17/07/78</v>
      </c>
      <c r="N797" s="28">
        <f t="array" ref="N797">_xlfn.XLOOKUP($A797, 'Hospitalisation Details'!$A:$A, 'Hospitalisation Details'!K:K, "No Data")</f>
        <v>44</v>
      </c>
      <c r="O797" s="33">
        <f t="array" ref="O797">_xlfn.XLOOKUP($A797, 'Hospitalisation Details'!$A:$A, 'Hospitalisation Details'!G:G, "No Data")</f>
        <v>13101.74</v>
      </c>
      <c r="P797" s="28" t="str">
        <f t="array" ref="P797">_xlfn.XLOOKUP($A797, 'Hospitalisation Details'!$A:$A, 'Hospitalisation Details'!H:H, "No Data")</f>
        <v>tier - 3</v>
      </c>
    </row>
    <row r="798">
      <c r="A798" s="25" t="s">
        <v>2537</v>
      </c>
      <c r="B798" s="28" t="str">
        <f t="array" ref="B798">_xlfn.XLOOKUP($A798, 'Customer Names'!$A:$A, 'Customer Names'!B:B, "No Data")</f>
        <v>Porfirio</v>
      </c>
      <c r="C798" s="28">
        <f t="array" ref="C798">_xlfn.XLOOKUP($A798, 'Medical Examinations'!$A:$A, 'Medical Examinations'!B:B, "No Data")</f>
        <v>44</v>
      </c>
      <c r="D798" s="28">
        <f t="array" ref="D798">_xlfn.XLOOKUP($A798, 'Medical Examinations'!$A:$A, 'Medical Examinations'!C:C, "No Data")</f>
        <v>9.32</v>
      </c>
      <c r="E798" s="28" t="str">
        <f t="array" ref="E798">_xlfn.XLOOKUP($A798, 'Medical Examinations'!$A:$A, 'Medical Examinations'!D:D, "No Data")</f>
        <v>yes</v>
      </c>
      <c r="F798" s="28" t="str">
        <f t="array" ref="F798">_xlfn.XLOOKUP($A798, 'Medical Examinations'!$A:$A, 'Medical Examinations'!E:E, "No Data")</f>
        <v>No</v>
      </c>
      <c r="G798" s="28" t="str">
        <f t="array" ref="G798">_xlfn.XLOOKUP($A798, 'Medical Examinations'!$A:$A, 'Medical Examinations'!F:F, "No Data")</f>
        <v>No</v>
      </c>
      <c r="H798" s="28">
        <f t="array" ref="H798">_xlfn.XLOOKUP($A798, 'Medical Examinations'!$A:$A, 'Medical Examinations'!G:G, "No Data")</f>
        <v>2</v>
      </c>
      <c r="I798" s="28" t="str">
        <f t="array" ref="I798">_xlfn.XLOOKUP($A798, 'Medical Examinations'!$A:$A, 'Medical Examinations'!H:H, "No Data")</f>
        <v>No</v>
      </c>
      <c r="J798" s="28" t="str">
        <f t="array" ref="J798">_xlfn.XLOOKUP($A798, 'Medical Examinations'!$A:$A, 'Medical Examinations'!I:I, "No Data")</f>
        <v>Obesity</v>
      </c>
      <c r="K798" s="28" t="str">
        <f t="array" ref="K798">_xlfn.XLOOKUP($A798, 'Hospitalisation Details'!$A:$A, 'Hospitalisation Details'!I:I, "No Data")</f>
        <v>tier - 2</v>
      </c>
      <c r="L798" s="28" t="str">
        <f t="array" ref="L798">_xlfn.XLOOKUP($A798, 'Hospitalisation Details'!$A:$A, 'Hospitalisation Details'!J:J, "No Data")</f>
        <v>R1011</v>
      </c>
      <c r="M798" s="28" t="str">
        <f t="array" ref="M798">_xlfn.XLOOKUP($A798, 'Hospitalisation Details'!$A:$A, 'Hospitalisation Details'!E:E, "No Data")</f>
        <v>06/11/61</v>
      </c>
      <c r="N798" s="28">
        <f t="array" ref="N798">_xlfn.XLOOKUP($A798, 'Hospitalisation Details'!$A:$A, 'Hospitalisation Details'!K:K, "No Data")</f>
        <v>61</v>
      </c>
      <c r="O798" s="33">
        <f t="array" ref="O798">_xlfn.XLOOKUP($A798, 'Hospitalisation Details'!$A:$A, 'Hospitalisation Details'!G:G, "No Data")</f>
        <v>13063.88</v>
      </c>
      <c r="P798" s="28" t="str">
        <f t="array" ref="P798">_xlfn.XLOOKUP($A798, 'Hospitalisation Details'!$A:$A, 'Hospitalisation Details'!H:H, "No Data")</f>
        <v>tier - 3</v>
      </c>
    </row>
    <row r="799">
      <c r="A799" s="25" t="s">
        <v>2541</v>
      </c>
      <c r="B799" s="28" t="str">
        <f t="array" ref="B799">_xlfn.XLOOKUP($A799, 'Customer Names'!$A:$A, 'Customer Names'!B:B, "No Data")</f>
        <v>Thind</v>
      </c>
      <c r="C799" s="28">
        <f t="array" ref="C799">_xlfn.XLOOKUP($A799, 'Medical Examinations'!$A:$A, 'Medical Examinations'!B:B, "No Data")</f>
        <v>41.45</v>
      </c>
      <c r="D799" s="28">
        <f t="array" ref="D799">_xlfn.XLOOKUP($A799, 'Medical Examinations'!$A:$A, 'Medical Examinations'!C:C, "No Data")</f>
        <v>6.12</v>
      </c>
      <c r="E799" s="28" t="str">
        <f t="array" ref="E799">_xlfn.XLOOKUP($A799, 'Medical Examinations'!$A:$A, 'Medical Examinations'!D:D, "No Data")</f>
        <v>yes</v>
      </c>
      <c r="F799" s="28" t="str">
        <f t="array" ref="F799">_xlfn.XLOOKUP($A799, 'Medical Examinations'!$A:$A, 'Medical Examinations'!E:E, "No Data")</f>
        <v>No</v>
      </c>
      <c r="G799" s="28" t="str">
        <f t="array" ref="G799">_xlfn.XLOOKUP($A799, 'Medical Examinations'!$A:$A, 'Medical Examinations'!F:F, "No Data")</f>
        <v>No</v>
      </c>
      <c r="H799" s="28">
        <f t="array" ref="H799">_xlfn.XLOOKUP($A799, 'Medical Examinations'!$A:$A, 'Medical Examinations'!G:G, "No Data")</f>
        <v>0</v>
      </c>
      <c r="I799" s="28" t="str">
        <f t="array" ref="I799">_xlfn.XLOOKUP($A799, 'Medical Examinations'!$A:$A, 'Medical Examinations'!H:H, "No Data")</f>
        <v>No</v>
      </c>
      <c r="J799" s="28" t="str">
        <f t="array" ref="J799">_xlfn.XLOOKUP($A799, 'Medical Examinations'!$A:$A, 'Medical Examinations'!I:I, "No Data")</f>
        <v>Obesity</v>
      </c>
      <c r="K799" s="28" t="str">
        <f t="array" ref="K799">_xlfn.XLOOKUP($A799, 'Hospitalisation Details'!$A:$A, 'Hospitalisation Details'!I:I, "No Data")</f>
        <v>tier - 1</v>
      </c>
      <c r="L799" s="28" t="str">
        <f t="array" ref="L799">_xlfn.XLOOKUP($A799, 'Hospitalisation Details'!$A:$A, 'Hospitalisation Details'!J:J, "No Data")</f>
        <v>R1026</v>
      </c>
      <c r="M799" s="28" t="str">
        <f t="array" ref="M799">_xlfn.XLOOKUP($A799, 'Hospitalisation Details'!$A:$A, 'Hospitalisation Details'!E:E, "No Data")</f>
        <v>26/10/85</v>
      </c>
      <c r="N799" s="28">
        <f t="array" ref="N799">_xlfn.XLOOKUP($A799, 'Hospitalisation Details'!$A:$A, 'Hospitalisation Details'!K:K, "No Data")</f>
        <v>37</v>
      </c>
      <c r="O799" s="33">
        <f t="array" ref="O799">_xlfn.XLOOKUP($A799, 'Hospitalisation Details'!$A:$A, 'Hospitalisation Details'!G:G, "No Data")</f>
        <v>13051.22</v>
      </c>
      <c r="P799" s="28" t="str">
        <f t="array" ref="P799">_xlfn.XLOOKUP($A799, 'Hospitalisation Details'!$A:$A, 'Hospitalisation Details'!H:H, "No Data")</f>
        <v>tier - 3</v>
      </c>
    </row>
    <row r="800">
      <c r="A800" s="25" t="s">
        <v>2544</v>
      </c>
      <c r="B800" s="28" t="str">
        <f t="array" ref="B800">_xlfn.XLOOKUP($A800, 'Customer Names'!$A:$A, 'Customer Names'!B:B, "No Data")</f>
        <v>Ryan</v>
      </c>
      <c r="C800" s="28">
        <f t="array" ref="C800">_xlfn.XLOOKUP($A800, 'Medical Examinations'!$A:$A, 'Medical Examinations'!B:B, "No Data")</f>
        <v>25.365</v>
      </c>
      <c r="D800" s="28">
        <f t="array" ref="D800">_xlfn.XLOOKUP($A800, 'Medical Examinations'!$A:$A, 'Medical Examinations'!C:C, "No Data")</f>
        <v>9.19</v>
      </c>
      <c r="E800" s="28" t="str">
        <f t="array" ref="E800">_xlfn.XLOOKUP($A800, 'Medical Examinations'!$A:$A, 'Medical Examinations'!D:D, "No Data")</f>
        <v>yes</v>
      </c>
      <c r="F800" s="28" t="str">
        <f t="array" ref="F800">_xlfn.XLOOKUP($A800, 'Medical Examinations'!$A:$A, 'Medical Examinations'!E:E, "No Data")</f>
        <v>No</v>
      </c>
      <c r="G800" s="28" t="str">
        <f t="array" ref="G800">_xlfn.XLOOKUP($A800, 'Medical Examinations'!$A:$A, 'Medical Examinations'!F:F, "No Data")</f>
        <v>No</v>
      </c>
      <c r="H800" s="28">
        <f t="array" ref="H800">_xlfn.XLOOKUP($A800, 'Medical Examinations'!$A:$A, 'Medical Examinations'!G:G, "No Data")</f>
        <v>0</v>
      </c>
      <c r="I800" s="28" t="str">
        <f t="array" ref="I800">_xlfn.XLOOKUP($A800, 'Medical Examinations'!$A:$A, 'Medical Examinations'!H:H, "No Data")</f>
        <v>No</v>
      </c>
      <c r="J800" s="28" t="str">
        <f t="array" ref="J800">_xlfn.XLOOKUP($A800, 'Medical Examinations'!$A:$A, 'Medical Examinations'!I:I, "No Data")</f>
        <v>Overweight</v>
      </c>
      <c r="K800" s="28" t="str">
        <f t="array" ref="K800">_xlfn.XLOOKUP($A800, 'Hospitalisation Details'!$A:$A, 'Hospitalisation Details'!I:I, "No Data")</f>
        <v>tier - 3</v>
      </c>
      <c r="L800" s="28" t="str">
        <f t="array" ref="L800">_xlfn.XLOOKUP($A800, 'Hospitalisation Details'!$A:$A, 'Hospitalisation Details'!J:J, "No Data")</f>
        <v>R1024</v>
      </c>
      <c r="M800" s="28" t="str">
        <f t="array" ref="M800">_xlfn.XLOOKUP($A800, 'Hospitalisation Details'!$A:$A, 'Hospitalisation Details'!E:E, "No Data")</f>
        <v>06/08/67</v>
      </c>
      <c r="N800" s="28">
        <f t="array" ref="N800">_xlfn.XLOOKUP($A800, 'Hospitalisation Details'!$A:$A, 'Hospitalisation Details'!K:K, "No Data")</f>
        <v>55</v>
      </c>
      <c r="O800" s="33">
        <f t="array" ref="O800">_xlfn.XLOOKUP($A800, 'Hospitalisation Details'!$A:$A, 'Hospitalisation Details'!G:G, "No Data")</f>
        <v>13047.33</v>
      </c>
      <c r="P800" s="28" t="str">
        <f t="array" ref="P800">_xlfn.XLOOKUP($A800, 'Hospitalisation Details'!$A:$A, 'Hospitalisation Details'!H:H, "No Data")</f>
        <v>tier - 3</v>
      </c>
    </row>
    <row r="801">
      <c r="A801" s="25" t="s">
        <v>2547</v>
      </c>
      <c r="B801" s="28" t="str">
        <f t="array" ref="B801">_xlfn.XLOOKUP($A801, 'Customer Names'!$A:$A, 'Customer Names'!B:B, "No Data")</f>
        <v>Horn</v>
      </c>
      <c r="C801" s="28">
        <f t="array" ref="C801">_xlfn.XLOOKUP($A801, 'Medical Examinations'!$A:$A, 'Medical Examinations'!B:B, "No Data")</f>
        <v>34.56</v>
      </c>
      <c r="D801" s="28">
        <f t="array" ref="D801">_xlfn.XLOOKUP($A801, 'Medical Examinations'!$A:$A, 'Medical Examinations'!C:C, "No Data")</f>
        <v>5.84</v>
      </c>
      <c r="E801" s="28" t="str">
        <f t="array" ref="E801">_xlfn.XLOOKUP($A801, 'Medical Examinations'!$A:$A, 'Medical Examinations'!D:D, "No Data")</f>
        <v>yes</v>
      </c>
      <c r="F801" s="28" t="str">
        <f t="array" ref="F801">_xlfn.XLOOKUP($A801, 'Medical Examinations'!$A:$A, 'Medical Examinations'!E:E, "No Data")</f>
        <v>No</v>
      </c>
      <c r="G801" s="28" t="str">
        <f t="array" ref="G801">_xlfn.XLOOKUP($A801, 'Medical Examinations'!$A:$A, 'Medical Examinations'!F:F, "No Data")</f>
        <v>Yes</v>
      </c>
      <c r="H801" s="28">
        <f t="array" ref="H801">_xlfn.XLOOKUP($A801, 'Medical Examinations'!$A:$A, 'Medical Examinations'!G:G, "No Data")</f>
        <v>1</v>
      </c>
      <c r="I801" s="28" t="str">
        <f t="array" ref="I801">_xlfn.XLOOKUP($A801, 'Medical Examinations'!$A:$A, 'Medical Examinations'!H:H, "No Data")</f>
        <v>No</v>
      </c>
      <c r="J801" s="28" t="str">
        <f t="array" ref="J801">_xlfn.XLOOKUP($A801, 'Medical Examinations'!$A:$A, 'Medical Examinations'!I:I, "No Data")</f>
        <v>Obesity</v>
      </c>
      <c r="K801" s="28" t="str">
        <f t="array" ref="K801">_xlfn.XLOOKUP($A801, 'Hospitalisation Details'!$A:$A, 'Hospitalisation Details'!I:I, "No Data")</f>
        <v>tier - 1</v>
      </c>
      <c r="L801" s="28" t="str">
        <f t="array" ref="L801">_xlfn.XLOOKUP($A801, 'Hospitalisation Details'!$A:$A, 'Hospitalisation Details'!J:J, "No Data")</f>
        <v>R1012</v>
      </c>
      <c r="M801" s="28" t="str">
        <f t="array" ref="M801">_xlfn.XLOOKUP($A801, 'Hospitalisation Details'!$A:$A, 'Hospitalisation Details'!E:E, "No Data")</f>
        <v>23/09/69</v>
      </c>
      <c r="N801" s="28">
        <f t="array" ref="N801">_xlfn.XLOOKUP($A801, 'Hospitalisation Details'!$A:$A, 'Hospitalisation Details'!K:K, "No Data")</f>
        <v>53</v>
      </c>
      <c r="O801" s="33">
        <f t="array" ref="O801">_xlfn.XLOOKUP($A801, 'Hospitalisation Details'!$A:$A, 'Hospitalisation Details'!G:G, "No Data")</f>
        <v>13044.41</v>
      </c>
      <c r="P801" s="28" t="str">
        <f t="array" ref="P801">_xlfn.XLOOKUP($A801, 'Hospitalisation Details'!$A:$A, 'Hospitalisation Details'!H:H, "No Data")</f>
        <v>tier - 3</v>
      </c>
    </row>
    <row r="802">
      <c r="A802" s="25" t="s">
        <v>2552</v>
      </c>
      <c r="B802" s="28" t="str">
        <f t="array" ref="B802">_xlfn.XLOOKUP($A802, 'Customer Names'!$A:$A, 'Customer Names'!B:B, "No Data")</f>
        <v>Sabadosa</v>
      </c>
      <c r="C802" s="28">
        <f t="array" ref="C802">_xlfn.XLOOKUP($A802, 'Medical Examinations'!$A:$A, 'Medical Examinations'!B:B, "No Data")</f>
        <v>28.2</v>
      </c>
      <c r="D802" s="28">
        <f t="array" ref="D802">_xlfn.XLOOKUP($A802, 'Medical Examinations'!$A:$A, 'Medical Examinations'!C:C, "No Data")</f>
        <v>7.19</v>
      </c>
      <c r="E802" s="28" t="str">
        <f t="array" ref="E802">_xlfn.XLOOKUP($A802, 'Medical Examinations'!$A:$A, 'Medical Examinations'!D:D, "No Data")</f>
        <v>yes</v>
      </c>
      <c r="F802" s="28" t="str">
        <f t="array" ref="F802">_xlfn.XLOOKUP($A802, 'Medical Examinations'!$A:$A, 'Medical Examinations'!E:E, "No Data")</f>
        <v>No</v>
      </c>
      <c r="G802" s="28" t="str">
        <f t="array" ref="G802">_xlfn.XLOOKUP($A802, 'Medical Examinations'!$A:$A, 'Medical Examinations'!F:F, "No Data")</f>
        <v>No</v>
      </c>
      <c r="H802" s="28">
        <f t="array" ref="H802">_xlfn.XLOOKUP($A802, 'Medical Examinations'!$A:$A, 'Medical Examinations'!G:G, "No Data")</f>
        <v>2</v>
      </c>
      <c r="I802" s="28" t="str">
        <f t="array" ref="I802">_xlfn.XLOOKUP($A802, 'Medical Examinations'!$A:$A, 'Medical Examinations'!H:H, "No Data")</f>
        <v>No</v>
      </c>
      <c r="J802" s="28" t="str">
        <f t="array" ref="J802">_xlfn.XLOOKUP($A802, 'Medical Examinations'!$A:$A, 'Medical Examinations'!I:I, "No Data")</f>
        <v>Overweight</v>
      </c>
      <c r="K802" s="28" t="str">
        <f t="array" ref="K802">_xlfn.XLOOKUP($A802, 'Hospitalisation Details'!$A:$A, 'Hospitalisation Details'!I:I, "No Data")</f>
        <v>tier - 1</v>
      </c>
      <c r="L802" s="28" t="str">
        <f t="array" ref="L802">_xlfn.XLOOKUP($A802, 'Hospitalisation Details'!$A:$A, 'Hospitalisation Details'!J:J, "No Data")</f>
        <v>R1011</v>
      </c>
      <c r="M802" s="28" t="str">
        <f t="array" ref="M802">_xlfn.XLOOKUP($A802, 'Hospitalisation Details'!$A:$A, 'Hospitalisation Details'!E:E, "No Data")</f>
        <v>09/11/61</v>
      </c>
      <c r="N802" s="28">
        <f t="array" ref="N802">_xlfn.XLOOKUP($A802, 'Hospitalisation Details'!$A:$A, 'Hospitalisation Details'!K:K, "No Data")</f>
        <v>61</v>
      </c>
      <c r="O802" s="33">
        <f t="array" ref="O802">_xlfn.XLOOKUP($A802, 'Hospitalisation Details'!$A:$A, 'Hospitalisation Details'!G:G, "No Data")</f>
        <v>13041.92</v>
      </c>
      <c r="P802" s="28" t="str">
        <f t="array" ref="P802">_xlfn.XLOOKUP($A802, 'Hospitalisation Details'!$A:$A, 'Hospitalisation Details'!H:H, "No Data")</f>
        <v>tier - 3</v>
      </c>
    </row>
    <row r="803">
      <c r="A803" s="25" t="s">
        <v>2556</v>
      </c>
      <c r="B803" s="28" t="str">
        <f t="array" ref="B803">_xlfn.XLOOKUP($A803, 'Customer Names'!$A:$A, 'Customer Names'!B:B, "No Data")</f>
        <v>Casady</v>
      </c>
      <c r="C803" s="28">
        <f t="array" ref="C803">_xlfn.XLOOKUP($A803, 'Medical Examinations'!$A:$A, 'Medical Examinations'!B:B, "No Data")</f>
        <v>30.43</v>
      </c>
      <c r="D803" s="28">
        <f t="array" ref="D803">_xlfn.XLOOKUP($A803, 'Medical Examinations'!$A:$A, 'Medical Examinations'!C:C, "No Data")</f>
        <v>9.39</v>
      </c>
      <c r="E803" s="28" t="str">
        <f t="array" ref="E803">_xlfn.XLOOKUP($A803, 'Medical Examinations'!$A:$A, 'Medical Examinations'!D:D, "No Data")</f>
        <v>No</v>
      </c>
      <c r="F803" s="28" t="str">
        <f t="array" ref="F803">_xlfn.XLOOKUP($A803, 'Medical Examinations'!$A:$A, 'Medical Examinations'!E:E, "No Data")</f>
        <v>No</v>
      </c>
      <c r="G803" s="28" t="str">
        <f t="array" ref="G803">_xlfn.XLOOKUP($A803, 'Medical Examinations'!$A:$A, 'Medical Examinations'!F:F, "No Data")</f>
        <v>No</v>
      </c>
      <c r="H803" s="28">
        <f t="array" ref="H803">_xlfn.XLOOKUP($A803, 'Medical Examinations'!$A:$A, 'Medical Examinations'!G:G, "No Data")</f>
        <v>0</v>
      </c>
      <c r="I803" s="28" t="str">
        <f t="array" ref="I803">_xlfn.XLOOKUP($A803, 'Medical Examinations'!$A:$A, 'Medical Examinations'!H:H, "No Data")</f>
        <v>No</v>
      </c>
      <c r="J803" s="28" t="str">
        <f t="array" ref="J803">_xlfn.XLOOKUP($A803, 'Medical Examinations'!$A:$A, 'Medical Examinations'!I:I, "No Data")</f>
        <v>Obesity</v>
      </c>
      <c r="K803" s="28" t="str">
        <f t="array" ref="K803">_xlfn.XLOOKUP($A803, 'Hospitalisation Details'!$A:$A, 'Hospitalisation Details'!I:I, "No Data")</f>
        <v>tier - 2</v>
      </c>
      <c r="L803" s="28" t="str">
        <f t="array" ref="L803">_xlfn.XLOOKUP($A803, 'Hospitalisation Details'!$A:$A, 'Hospitalisation Details'!J:J, "No Data")</f>
        <v>R1025</v>
      </c>
      <c r="M803" s="28" t="str">
        <f t="array" ref="M803">_xlfn.XLOOKUP($A803, 'Hospitalisation Details'!$A:$A, 'Hospitalisation Details'!E:E, "No Data")</f>
        <v>04/11/65</v>
      </c>
      <c r="N803" s="28">
        <f t="array" ref="N803">_xlfn.XLOOKUP($A803, 'Hospitalisation Details'!$A:$A, 'Hospitalisation Details'!K:K, "No Data")</f>
        <v>57</v>
      </c>
      <c r="O803" s="33">
        <f t="array" ref="O803">_xlfn.XLOOKUP($A803, 'Hospitalisation Details'!$A:$A, 'Hospitalisation Details'!G:G, "No Data")</f>
        <v>13023.93</v>
      </c>
      <c r="P803" s="28" t="str">
        <f t="array" ref="P803">_xlfn.XLOOKUP($A803, 'Hospitalisation Details'!$A:$A, 'Hospitalisation Details'!H:H, "No Data")</f>
        <v>tier - 3</v>
      </c>
    </row>
    <row r="804">
      <c r="A804" s="25" t="s">
        <v>2560</v>
      </c>
      <c r="B804" s="28" t="str">
        <f t="array" ref="B804">_xlfn.XLOOKUP($A804, 'Customer Names'!$A:$A, 'Customer Names'!B:B, "No Data")</f>
        <v>Phillips</v>
      </c>
      <c r="C804" s="28">
        <f t="array" ref="C804">_xlfn.XLOOKUP($A804, 'Medical Examinations'!$A:$A, 'Medical Examinations'!B:B, "No Data")</f>
        <v>32.395</v>
      </c>
      <c r="D804" s="28">
        <f t="array" ref="D804">_xlfn.XLOOKUP($A804, 'Medical Examinations'!$A:$A, 'Medical Examinations'!C:C, "No Data")</f>
        <v>4.27</v>
      </c>
      <c r="E804" s="28" t="str">
        <f t="array" ref="E804">_xlfn.XLOOKUP($A804, 'Medical Examinations'!$A:$A, 'Medical Examinations'!D:D, "No Data")</f>
        <v>yes</v>
      </c>
      <c r="F804" s="28" t="str">
        <f t="array" ref="F804">_xlfn.XLOOKUP($A804, 'Medical Examinations'!$A:$A, 'Medical Examinations'!E:E, "No Data")</f>
        <v>No</v>
      </c>
      <c r="G804" s="28" t="str">
        <f t="array" ref="G804">_xlfn.XLOOKUP($A804, 'Medical Examinations'!$A:$A, 'Medical Examinations'!F:F, "No Data")</f>
        <v>No</v>
      </c>
      <c r="H804" s="28">
        <f t="array" ref="H804">_xlfn.XLOOKUP($A804, 'Medical Examinations'!$A:$A, 'Medical Examinations'!G:G, "No Data")</f>
        <v>1</v>
      </c>
      <c r="I804" s="28" t="str">
        <f t="array" ref="I804">_xlfn.XLOOKUP($A804, 'Medical Examinations'!$A:$A, 'Medical Examinations'!H:H, "No Data")</f>
        <v>No</v>
      </c>
      <c r="J804" s="28" t="str">
        <f t="array" ref="J804">_xlfn.XLOOKUP($A804, 'Medical Examinations'!$A:$A, 'Medical Examinations'!I:I, "No Data")</f>
        <v>Obesity</v>
      </c>
      <c r="K804" s="28" t="str">
        <f t="array" ref="K804">_xlfn.XLOOKUP($A804, 'Hospitalisation Details'!$A:$A, 'Hospitalisation Details'!I:I, "No Data")</f>
        <v>tier - 1</v>
      </c>
      <c r="L804" s="28" t="str">
        <f t="array" ref="L804">_xlfn.XLOOKUP($A804, 'Hospitalisation Details'!$A:$A, 'Hospitalisation Details'!J:J, "No Data")</f>
        <v>R1024</v>
      </c>
      <c r="M804" s="28" t="str">
        <f t="array" ref="M804">_xlfn.XLOOKUP($A804, 'Hospitalisation Details'!$A:$A, 'Hospitalisation Details'!E:E, "No Data")</f>
        <v>23/09/64</v>
      </c>
      <c r="N804" s="28">
        <f t="array" ref="N804">_xlfn.XLOOKUP($A804, 'Hospitalisation Details'!$A:$A, 'Hospitalisation Details'!K:K, "No Data")</f>
        <v>58</v>
      </c>
      <c r="O804" s="33">
        <f t="array" ref="O804">_xlfn.XLOOKUP($A804, 'Hospitalisation Details'!$A:$A, 'Hospitalisation Details'!G:G, "No Data")</f>
        <v>13019.16</v>
      </c>
      <c r="P804" s="28" t="str">
        <f t="array" ref="P804">_xlfn.XLOOKUP($A804, 'Hospitalisation Details'!$A:$A, 'Hospitalisation Details'!H:H, "No Data")</f>
        <v>tier - 3</v>
      </c>
    </row>
    <row r="805">
      <c r="A805" s="25" t="s">
        <v>2561</v>
      </c>
      <c r="B805" s="28" t="str">
        <f t="array" ref="B805">_xlfn.XLOOKUP($A805, 'Customer Names'!$A:$A, 'Customer Names'!B:B, "No Data")</f>
        <v>Ahokas</v>
      </c>
      <c r="C805" s="28">
        <f t="array" ref="C805">_xlfn.XLOOKUP($A805, 'Medical Examinations'!$A:$A, 'Medical Examinations'!B:B, "No Data")</f>
        <v>24.035</v>
      </c>
      <c r="D805" s="28">
        <f t="array" ref="D805">_xlfn.XLOOKUP($A805, 'Medical Examinations'!$A:$A, 'Medical Examinations'!C:C, "No Data")</f>
        <v>11.71</v>
      </c>
      <c r="E805" s="28" t="str">
        <f t="array" ref="E805">_xlfn.XLOOKUP($A805, 'Medical Examinations'!$A:$A, 'Medical Examinations'!D:D, "No Data")</f>
        <v>No</v>
      </c>
      <c r="F805" s="28" t="str">
        <f t="array" ref="F805">_xlfn.XLOOKUP($A805, 'Medical Examinations'!$A:$A, 'Medical Examinations'!E:E, "No Data")</f>
        <v>No</v>
      </c>
      <c r="G805" s="28" t="str">
        <f t="array" ref="G805">_xlfn.XLOOKUP($A805, 'Medical Examinations'!$A:$A, 'Medical Examinations'!F:F, "No Data")</f>
        <v>No</v>
      </c>
      <c r="H805" s="28">
        <f t="array" ref="H805">_xlfn.XLOOKUP($A805, 'Medical Examinations'!$A:$A, 'Medical Examinations'!G:G, "No Data")</f>
        <v>0</v>
      </c>
      <c r="I805" s="28" t="str">
        <f t="array" ref="I805">_xlfn.XLOOKUP($A805, 'Medical Examinations'!$A:$A, 'Medical Examinations'!H:H, "No Data")</f>
        <v>No</v>
      </c>
      <c r="J805" s="28" t="str">
        <f t="array" ref="J805">_xlfn.XLOOKUP($A805, 'Medical Examinations'!$A:$A, 'Medical Examinations'!I:I, "No Data")</f>
        <v>Normal Weight</v>
      </c>
      <c r="K805" s="28" t="str">
        <f t="array" ref="K805">_xlfn.XLOOKUP($A805, 'Hospitalisation Details'!$A:$A, 'Hospitalisation Details'!I:I, "No Data")</f>
        <v>tier - 1</v>
      </c>
      <c r="L805" s="28" t="str">
        <f t="array" ref="L805">_xlfn.XLOOKUP($A805, 'Hospitalisation Details'!$A:$A, 'Hospitalisation Details'!J:J, "No Data")</f>
        <v>R1012</v>
      </c>
      <c r="M805" s="28" t="str">
        <f t="array" ref="M805">_xlfn.XLOOKUP($A805, 'Hospitalisation Details'!$A:$A, 'Hospitalisation Details'!E:E, "No Data")</f>
        <v>20/07/62</v>
      </c>
      <c r="N805" s="28">
        <f t="array" ref="N805">_xlfn.XLOOKUP($A805, 'Hospitalisation Details'!$A:$A, 'Hospitalisation Details'!K:K, "No Data")</f>
        <v>60</v>
      </c>
      <c r="O805" s="33">
        <f t="array" ref="O805">_xlfn.XLOOKUP($A805, 'Hospitalisation Details'!$A:$A, 'Hospitalisation Details'!G:G, "No Data")</f>
        <v>13012.21</v>
      </c>
      <c r="P805" s="28" t="str">
        <f t="array" ref="P805">_xlfn.XLOOKUP($A805, 'Hospitalisation Details'!$A:$A, 'Hospitalisation Details'!H:H, "No Data")</f>
        <v>tier - 3</v>
      </c>
    </row>
    <row r="806">
      <c r="A806" s="25" t="s">
        <v>2564</v>
      </c>
      <c r="B806" s="28" t="str">
        <f t="array" ref="B806">_xlfn.XLOOKUP($A806, 'Customer Names'!$A:$A, 'Customer Names'!B:B, "No Data")</f>
        <v>Hebert</v>
      </c>
      <c r="C806" s="28">
        <f t="array" ref="C806">_xlfn.XLOOKUP($A806, 'Medical Examinations'!$A:$A, 'Medical Examinations'!B:B, "No Data")</f>
        <v>37.12</v>
      </c>
      <c r="D806" s="28">
        <f t="array" ref="D806">_xlfn.XLOOKUP($A806, 'Medical Examinations'!$A:$A, 'Medical Examinations'!C:C, "No Data")</f>
        <v>5.29</v>
      </c>
      <c r="E806" s="28" t="str">
        <f t="array" ref="E806">_xlfn.XLOOKUP($A806, 'Medical Examinations'!$A:$A, 'Medical Examinations'!D:D, "No Data")</f>
        <v>No</v>
      </c>
      <c r="F806" s="28" t="str">
        <f t="array" ref="F806">_xlfn.XLOOKUP($A806, 'Medical Examinations'!$A:$A, 'Medical Examinations'!E:E, "No Data")</f>
        <v>No</v>
      </c>
      <c r="G806" s="28" t="str">
        <f t="array" ref="G806">_xlfn.XLOOKUP($A806, 'Medical Examinations'!$A:$A, 'Medical Examinations'!F:F, "No Data")</f>
        <v>No</v>
      </c>
      <c r="H806" s="28">
        <f t="array" ref="H806">_xlfn.XLOOKUP($A806, 'Medical Examinations'!$A:$A, 'Medical Examinations'!G:G, "No Data")</f>
        <v>2</v>
      </c>
      <c r="I806" s="28" t="str">
        <f t="array" ref="I806">_xlfn.XLOOKUP($A806, 'Medical Examinations'!$A:$A, 'Medical Examinations'!H:H, "No Data")</f>
        <v>No</v>
      </c>
      <c r="J806" s="28" t="str">
        <f t="array" ref="J806">_xlfn.XLOOKUP($A806, 'Medical Examinations'!$A:$A, 'Medical Examinations'!I:I, "No Data")</f>
        <v>Obesity</v>
      </c>
      <c r="K806" s="28" t="str">
        <f t="array" ref="K806">_xlfn.XLOOKUP($A806, 'Hospitalisation Details'!$A:$A, 'Hospitalisation Details'!I:I, "No Data")</f>
        <v>tier - 2</v>
      </c>
      <c r="L806" s="28" t="str">
        <f t="array" ref="L806">_xlfn.XLOOKUP($A806, 'Hospitalisation Details'!$A:$A, 'Hospitalisation Details'!J:J, "No Data")</f>
        <v>R1012</v>
      </c>
      <c r="M806" s="28" t="str">
        <f t="array" ref="M806">_xlfn.XLOOKUP($A806, 'Hospitalisation Details'!$A:$A, 'Hospitalisation Details'!E:E, "No Data")</f>
        <v>27/09/72</v>
      </c>
      <c r="N806" s="28">
        <f t="array" ref="N806">_xlfn.XLOOKUP($A806, 'Hospitalisation Details'!$A:$A, 'Hospitalisation Details'!K:K, "No Data")</f>
        <v>50</v>
      </c>
      <c r="O806" s="33">
        <f t="array" ref="O806">_xlfn.XLOOKUP($A806, 'Hospitalisation Details'!$A:$A, 'Hospitalisation Details'!G:G, "No Data")</f>
        <v>13010.86</v>
      </c>
      <c r="P806" s="28" t="str">
        <f t="array" ref="P806">_xlfn.XLOOKUP($A806, 'Hospitalisation Details'!$A:$A, 'Hospitalisation Details'!H:H, "No Data")</f>
        <v>tier - 3</v>
      </c>
    </row>
    <row r="807">
      <c r="A807" s="25" t="s">
        <v>2568</v>
      </c>
      <c r="B807" s="28" t="str">
        <f t="array" ref="B807">_xlfn.XLOOKUP($A807, 'Customer Names'!$A:$A, 'Customer Names'!B:B, "No Data")</f>
        <v>Fair</v>
      </c>
      <c r="C807" s="28">
        <f t="array" ref="C807">_xlfn.XLOOKUP($A807, 'Medical Examinations'!$A:$A, 'Medical Examinations'!B:B, "No Data")</f>
        <v>34.84</v>
      </c>
      <c r="D807" s="28">
        <f t="array" ref="D807">_xlfn.XLOOKUP($A807, 'Medical Examinations'!$A:$A, 'Medical Examinations'!C:C, "No Data")</f>
        <v>6</v>
      </c>
      <c r="E807" s="28" t="str">
        <f t="array" ref="E807">_xlfn.XLOOKUP($A807, 'Medical Examinations'!$A:$A, 'Medical Examinations'!D:D, "No Data")</f>
        <v>yes</v>
      </c>
      <c r="F807" s="28" t="str">
        <f t="array" ref="F807">_xlfn.XLOOKUP($A807, 'Medical Examinations'!$A:$A, 'Medical Examinations'!E:E, "No Data")</f>
        <v>No</v>
      </c>
      <c r="G807" s="28" t="str">
        <f t="array" ref="G807">_xlfn.XLOOKUP($A807, 'Medical Examinations'!$A:$A, 'Medical Examinations'!F:F, "No Data")</f>
        <v>Yes</v>
      </c>
      <c r="H807" s="28">
        <f t="array" ref="H807">_xlfn.XLOOKUP($A807, 'Medical Examinations'!$A:$A, 'Medical Examinations'!G:G, "No Data")</f>
        <v>1</v>
      </c>
      <c r="I807" s="28" t="str">
        <f t="array" ref="I807">_xlfn.XLOOKUP($A807, 'Medical Examinations'!$A:$A, 'Medical Examinations'!H:H, "No Data")</f>
        <v>No</v>
      </c>
      <c r="J807" s="28" t="str">
        <f t="array" ref="J807">_xlfn.XLOOKUP($A807, 'Medical Examinations'!$A:$A, 'Medical Examinations'!I:I, "No Data")</f>
        <v>Obesity</v>
      </c>
      <c r="K807" s="28" t="str">
        <f t="array" ref="K807">_xlfn.XLOOKUP($A807, 'Hospitalisation Details'!$A:$A, 'Hospitalisation Details'!I:I, "No Data")</f>
        <v>tier - 3</v>
      </c>
      <c r="L807" s="28" t="str">
        <f t="array" ref="L807">_xlfn.XLOOKUP($A807, 'Hospitalisation Details'!$A:$A, 'Hospitalisation Details'!J:J, "No Data")</f>
        <v>R1012</v>
      </c>
      <c r="M807" s="28" t="str">
        <f t="array" ref="M807">_xlfn.XLOOKUP($A807, 'Hospitalisation Details'!$A:$A, 'Hospitalisation Details'!E:E, "No Data")</f>
        <v>13/12/69</v>
      </c>
      <c r="N807" s="28">
        <f t="array" ref="N807">_xlfn.XLOOKUP($A807, 'Hospitalisation Details'!$A:$A, 'Hospitalisation Details'!K:K, "No Data")</f>
        <v>53</v>
      </c>
      <c r="O807" s="33">
        <f t="array" ref="O807">_xlfn.XLOOKUP($A807, 'Hospitalisation Details'!$A:$A, 'Hospitalisation Details'!G:G, "No Data")</f>
        <v>13008.07</v>
      </c>
      <c r="P807" s="28" t="str">
        <f t="array" ref="P807">_xlfn.XLOOKUP($A807, 'Hospitalisation Details'!$A:$A, 'Hospitalisation Details'!H:H, "No Data")</f>
        <v>tier - 3</v>
      </c>
    </row>
    <row r="808">
      <c r="A808" s="25" t="s">
        <v>2570</v>
      </c>
      <c r="B808" s="28" t="str">
        <f t="array" ref="B808">_xlfn.XLOOKUP($A808, 'Customer Names'!$A:$A, 'Customer Names'!B:B, "No Data")</f>
        <v>Swenson</v>
      </c>
      <c r="C808" s="28">
        <f t="array" ref="C808">_xlfn.XLOOKUP($A808, 'Medical Examinations'!$A:$A, 'Medical Examinations'!B:B, "No Data")</f>
        <v>29.53</v>
      </c>
      <c r="D808" s="28">
        <f t="array" ref="D808">_xlfn.XLOOKUP($A808, 'Medical Examinations'!$A:$A, 'Medical Examinations'!C:C, "No Data")</f>
        <v>10.64</v>
      </c>
      <c r="E808" s="28" t="str">
        <f t="array" ref="E808">_xlfn.XLOOKUP($A808, 'Medical Examinations'!$A:$A, 'Medical Examinations'!D:D, "No Data")</f>
        <v>No</v>
      </c>
      <c r="F808" s="28" t="str">
        <f t="array" ref="F808">_xlfn.XLOOKUP($A808, 'Medical Examinations'!$A:$A, 'Medical Examinations'!E:E, "No Data")</f>
        <v>No</v>
      </c>
      <c r="G808" s="28" t="str">
        <f t="array" ref="G808">_xlfn.XLOOKUP($A808, 'Medical Examinations'!$A:$A, 'Medical Examinations'!F:F, "No Data")</f>
        <v>No</v>
      </c>
      <c r="H808" s="28">
        <f t="array" ref="H808">_xlfn.XLOOKUP($A808, 'Medical Examinations'!$A:$A, 'Medical Examinations'!G:G, "No Data")</f>
        <v>0</v>
      </c>
      <c r="I808" s="28" t="str">
        <f t="array" ref="I808">_xlfn.XLOOKUP($A808, 'Medical Examinations'!$A:$A, 'Medical Examinations'!H:H, "No Data")</f>
        <v>No</v>
      </c>
      <c r="J808" s="28" t="str">
        <f t="array" ref="J808">_xlfn.XLOOKUP($A808, 'Medical Examinations'!$A:$A, 'Medical Examinations'!I:I, "No Data")</f>
        <v>Overweight</v>
      </c>
      <c r="K808" s="28" t="str">
        <f t="array" ref="K808">_xlfn.XLOOKUP($A808, 'Hospitalisation Details'!$A:$A, 'Hospitalisation Details'!I:I, "No Data")</f>
        <v>tier - 1</v>
      </c>
      <c r="L808" s="28" t="str">
        <f t="array" ref="L808">_xlfn.XLOOKUP($A808, 'Hospitalisation Details'!$A:$A, 'Hospitalisation Details'!J:J, "No Data")</f>
        <v>R1012</v>
      </c>
      <c r="M808" s="28" t="str">
        <f t="array" ref="M808">_xlfn.XLOOKUP($A808, 'Hospitalisation Details'!$A:$A, 'Hospitalisation Details'!E:E, "No Data")</f>
        <v>24/06/62</v>
      </c>
      <c r="N808" s="28">
        <f t="array" ref="N808">_xlfn.XLOOKUP($A808, 'Hospitalisation Details'!$A:$A, 'Hospitalisation Details'!K:K, "No Data")</f>
        <v>60</v>
      </c>
      <c r="O808" s="33">
        <f t="array" ref="O808">_xlfn.XLOOKUP($A808, 'Hospitalisation Details'!$A:$A, 'Hospitalisation Details'!G:G, "No Data")</f>
        <v>13004.95</v>
      </c>
      <c r="P808" s="28" t="str">
        <f t="array" ref="P808">_xlfn.XLOOKUP($A808, 'Hospitalisation Details'!$A:$A, 'Hospitalisation Details'!H:H, "No Data")</f>
        <v>tier - 3</v>
      </c>
    </row>
    <row r="809">
      <c r="A809" s="25" t="s">
        <v>2574</v>
      </c>
      <c r="B809" s="28" t="str">
        <f t="array" ref="B809">_xlfn.XLOOKUP($A809, 'Customer Names'!$A:$A, 'Customer Names'!B:B, "No Data")</f>
        <v>Revenis</v>
      </c>
      <c r="C809" s="28">
        <f t="array" ref="C809">_xlfn.XLOOKUP($A809, 'Medical Examinations'!$A:$A, 'Medical Examinations'!B:B, "No Data")</f>
        <v>42.51</v>
      </c>
      <c r="D809" s="28">
        <f t="array" ref="D809">_xlfn.XLOOKUP($A809, 'Medical Examinations'!$A:$A, 'Medical Examinations'!C:C, "No Data")</f>
        <v>8.21</v>
      </c>
      <c r="E809" s="28" t="str">
        <f t="array" ref="E809">_xlfn.XLOOKUP($A809, 'Medical Examinations'!$A:$A, 'Medical Examinations'!D:D, "No Data")</f>
        <v>yes</v>
      </c>
      <c r="F809" s="28" t="str">
        <f t="array" ref="F809">_xlfn.XLOOKUP($A809, 'Medical Examinations'!$A:$A, 'Medical Examinations'!E:E, "No Data")</f>
        <v>No</v>
      </c>
      <c r="G809" s="28" t="str">
        <f t="array" ref="G809">_xlfn.XLOOKUP($A809, 'Medical Examinations'!$A:$A, 'Medical Examinations'!F:F, "No Data")</f>
        <v>No</v>
      </c>
      <c r="H809" s="28">
        <f t="array" ref="H809">_xlfn.XLOOKUP($A809, 'Medical Examinations'!$A:$A, 'Medical Examinations'!G:G, "No Data")</f>
        <v>0</v>
      </c>
      <c r="I809" s="28" t="str">
        <f t="array" ref="I809">_xlfn.XLOOKUP($A809, 'Medical Examinations'!$A:$A, 'Medical Examinations'!H:H, "No Data")</f>
        <v>No</v>
      </c>
      <c r="J809" s="28" t="str">
        <f t="array" ref="J809">_xlfn.XLOOKUP($A809, 'Medical Examinations'!$A:$A, 'Medical Examinations'!I:I, "No Data")</f>
        <v>Obesity</v>
      </c>
      <c r="K809" s="28" t="str">
        <f t="array" ref="K809">_xlfn.XLOOKUP($A809, 'Hospitalisation Details'!$A:$A, 'Hospitalisation Details'!I:I, "No Data")</f>
        <v>tier - 1</v>
      </c>
      <c r="L809" s="28" t="str">
        <f t="array" ref="L809">_xlfn.XLOOKUP($A809, 'Hospitalisation Details'!$A:$A, 'Hospitalisation Details'!J:J, "No Data")</f>
        <v>R1012</v>
      </c>
      <c r="M809" s="28" t="str">
        <f t="array" ref="M809">_xlfn.XLOOKUP($A809, 'Hospitalisation Details'!$A:$A, 'Hospitalisation Details'!E:E, "No Data")</f>
        <v>30/10/81</v>
      </c>
      <c r="N809" s="28">
        <f t="array" ref="N809">_xlfn.XLOOKUP($A809, 'Hospitalisation Details'!$A:$A, 'Hospitalisation Details'!K:K, "No Data")</f>
        <v>41</v>
      </c>
      <c r="O809" s="33">
        <f t="array" ref="O809">_xlfn.XLOOKUP($A809, 'Hospitalisation Details'!$A:$A, 'Hospitalisation Details'!G:G, "No Data")</f>
        <v>13002.91</v>
      </c>
      <c r="P809" s="28" t="str">
        <f t="array" ref="P809">_xlfn.XLOOKUP($A809, 'Hospitalisation Details'!$A:$A, 'Hospitalisation Details'!H:H, "No Data")</f>
        <v>tier - 3</v>
      </c>
    </row>
    <row r="810">
      <c r="A810" s="25" t="s">
        <v>2577</v>
      </c>
      <c r="B810" s="28" t="str">
        <f t="array" ref="B810">_xlfn.XLOOKUP($A810, 'Customer Names'!$A:$A, 'Customer Names'!B:B, "No Data")</f>
        <v>Engnes</v>
      </c>
      <c r="C810" s="28">
        <f t="array" ref="C810">_xlfn.XLOOKUP($A810, 'Medical Examinations'!$A:$A, 'Medical Examinations'!B:B, "No Data")</f>
        <v>38.14</v>
      </c>
      <c r="D810" s="28">
        <f t="array" ref="D810">_xlfn.XLOOKUP($A810, 'Medical Examinations'!$A:$A, 'Medical Examinations'!C:C, "No Data")</f>
        <v>5.58</v>
      </c>
      <c r="E810" s="28" t="str">
        <f t="array" ref="E810">_xlfn.XLOOKUP($A810, 'Medical Examinations'!$A:$A, 'Medical Examinations'!D:D, "No Data")</f>
        <v>No</v>
      </c>
      <c r="F810" s="28" t="str">
        <f t="array" ref="F810">_xlfn.XLOOKUP($A810, 'Medical Examinations'!$A:$A, 'Medical Examinations'!E:E, "No Data")</f>
        <v>No</v>
      </c>
      <c r="G810" s="28" t="str">
        <f t="array" ref="G810">_xlfn.XLOOKUP($A810, 'Medical Examinations'!$A:$A, 'Medical Examinations'!F:F, "No Data")</f>
        <v>Yes</v>
      </c>
      <c r="H810" s="28">
        <f t="array" ref="H810">_xlfn.XLOOKUP($A810, 'Medical Examinations'!$A:$A, 'Medical Examinations'!G:G, "No Data")</f>
        <v>1</v>
      </c>
      <c r="I810" s="28" t="str">
        <f t="array" ref="I810">_xlfn.XLOOKUP($A810, 'Medical Examinations'!$A:$A, 'Medical Examinations'!H:H, "No Data")</f>
        <v>No</v>
      </c>
      <c r="J810" s="28" t="str">
        <f t="array" ref="J810">_xlfn.XLOOKUP($A810, 'Medical Examinations'!$A:$A, 'Medical Examinations'!I:I, "No Data")</f>
        <v>Obesity</v>
      </c>
      <c r="K810" s="28" t="str">
        <f t="array" ref="K810">_xlfn.XLOOKUP($A810, 'Hospitalisation Details'!$A:$A, 'Hospitalisation Details'!I:I, "No Data")</f>
        <v>tier - 2</v>
      </c>
      <c r="L810" s="28" t="str">
        <f t="array" ref="L810">_xlfn.XLOOKUP($A810, 'Hospitalisation Details'!$A:$A, 'Hospitalisation Details'!J:J, "No Data")</f>
        <v>R1026</v>
      </c>
      <c r="M810" s="28" t="str">
        <f t="array" ref="M810">_xlfn.XLOOKUP($A810, 'Hospitalisation Details'!$A:$A, 'Hospitalisation Details'!E:E, "No Data")</f>
        <v>27/11/79</v>
      </c>
      <c r="N810" s="28">
        <f t="array" ref="N810">_xlfn.XLOOKUP($A810, 'Hospitalisation Details'!$A:$A, 'Hospitalisation Details'!K:K, "No Data")</f>
        <v>43</v>
      </c>
      <c r="O810" s="33">
        <f t="array" ref="O810">_xlfn.XLOOKUP($A810, 'Hospitalisation Details'!$A:$A, 'Hospitalisation Details'!G:G, "No Data")</f>
        <v>12994.12</v>
      </c>
      <c r="P810" s="28" t="str">
        <f t="array" ref="P810">_xlfn.XLOOKUP($A810, 'Hospitalisation Details'!$A:$A, 'Hospitalisation Details'!H:H, "No Data")</f>
        <v>tier - 3</v>
      </c>
    </row>
    <row r="811">
      <c r="A811" s="25" t="s">
        <v>2581</v>
      </c>
      <c r="B811" s="28" t="str">
        <f t="array" ref="B811">_xlfn.XLOOKUP($A811, 'Customer Names'!$A:$A, 'Customer Names'!B:B, "No Data")</f>
        <v>Wiltse</v>
      </c>
      <c r="C811" s="28">
        <f t="array" ref="C811">_xlfn.XLOOKUP($A811, 'Medical Examinations'!$A:$A, 'Medical Examinations'!B:B, "No Data")</f>
        <v>39.93</v>
      </c>
      <c r="D811" s="28">
        <f t="array" ref="D811">_xlfn.XLOOKUP($A811, 'Medical Examinations'!$A:$A, 'Medical Examinations'!C:C, "No Data")</f>
        <v>8.75</v>
      </c>
      <c r="E811" s="28" t="str">
        <f t="array" ref="E811">_xlfn.XLOOKUP($A811, 'Medical Examinations'!$A:$A, 'Medical Examinations'!D:D, "No Data")</f>
        <v>No</v>
      </c>
      <c r="F811" s="28" t="str">
        <f t="array" ref="F811">_xlfn.XLOOKUP($A811, 'Medical Examinations'!$A:$A, 'Medical Examinations'!E:E, "No Data")</f>
        <v>No</v>
      </c>
      <c r="G811" s="28" t="str">
        <f t="array" ref="G811">_xlfn.XLOOKUP($A811, 'Medical Examinations'!$A:$A, 'Medical Examinations'!F:F, "No Data")</f>
        <v>No</v>
      </c>
      <c r="H811" s="28">
        <f t="array" ref="H811">_xlfn.XLOOKUP($A811, 'Medical Examinations'!$A:$A, 'Medical Examinations'!G:G, "No Data")</f>
        <v>0</v>
      </c>
      <c r="I811" s="28" t="str">
        <f t="array" ref="I811">_xlfn.XLOOKUP($A811, 'Medical Examinations'!$A:$A, 'Medical Examinations'!H:H, "No Data")</f>
        <v>No</v>
      </c>
      <c r="J811" s="28" t="str">
        <f t="array" ref="J811">_xlfn.XLOOKUP($A811, 'Medical Examinations'!$A:$A, 'Medical Examinations'!I:I, "No Data")</f>
        <v>Obesity</v>
      </c>
      <c r="K811" s="28" t="str">
        <f t="array" ref="K811">_xlfn.XLOOKUP($A811, 'Hospitalisation Details'!$A:$A, 'Hospitalisation Details'!I:I, "No Data")</f>
        <v>tier - 1</v>
      </c>
      <c r="L811" s="28" t="str">
        <f t="array" ref="L811">_xlfn.XLOOKUP($A811, 'Hospitalisation Details'!$A:$A, 'Hospitalisation Details'!J:J, "No Data")</f>
        <v>R1013</v>
      </c>
      <c r="M811" s="28" t="str">
        <f t="array" ref="M811">_xlfn.XLOOKUP($A811, 'Hospitalisation Details'!$A:$A, 'Hospitalisation Details'!E:E, "No Data")</f>
        <v>28/11/60</v>
      </c>
      <c r="N811" s="28">
        <f t="array" ref="N811">_xlfn.XLOOKUP($A811, 'Hospitalisation Details'!$A:$A, 'Hospitalisation Details'!K:K, "No Data")</f>
        <v>62</v>
      </c>
      <c r="O811" s="33">
        <f t="array" ref="O811">_xlfn.XLOOKUP($A811, 'Hospitalisation Details'!$A:$A, 'Hospitalisation Details'!G:G, "No Data")</f>
        <v>12982.87</v>
      </c>
      <c r="P811" s="28" t="str">
        <f t="array" ref="P811">_xlfn.XLOOKUP($A811, 'Hospitalisation Details'!$A:$A, 'Hospitalisation Details'!H:H, "No Data")</f>
        <v>tier - 3</v>
      </c>
    </row>
    <row r="812">
      <c r="A812" s="25" t="s">
        <v>2585</v>
      </c>
      <c r="B812" s="28" t="str">
        <f t="array" ref="B812">_xlfn.XLOOKUP($A812, 'Customer Names'!$A:$A, 'Customer Names'!B:B, "No Data")</f>
        <v>Fernandez</v>
      </c>
      <c r="C812" s="28">
        <f t="array" ref="C812">_xlfn.XLOOKUP($A812, 'Medical Examinations'!$A:$A, 'Medical Examinations'!B:B, "No Data")</f>
        <v>38.83</v>
      </c>
      <c r="D812" s="28">
        <f t="array" ref="D812">_xlfn.XLOOKUP($A812, 'Medical Examinations'!$A:$A, 'Medical Examinations'!C:C, "No Data")</f>
        <v>11.86</v>
      </c>
      <c r="E812" s="28" t="str">
        <f t="array" ref="E812">_xlfn.XLOOKUP($A812, 'Medical Examinations'!$A:$A, 'Medical Examinations'!D:D, "No Data")</f>
        <v>No</v>
      </c>
      <c r="F812" s="28" t="str">
        <f t="array" ref="F812">_xlfn.XLOOKUP($A812, 'Medical Examinations'!$A:$A, 'Medical Examinations'!E:E, "No Data")</f>
        <v>No</v>
      </c>
      <c r="G812" s="28" t="str">
        <f t="array" ref="G812">_xlfn.XLOOKUP($A812, 'Medical Examinations'!$A:$A, 'Medical Examinations'!F:F, "No Data")</f>
        <v>No</v>
      </c>
      <c r="H812" s="28">
        <f t="array" ref="H812">_xlfn.XLOOKUP($A812, 'Medical Examinations'!$A:$A, 'Medical Examinations'!G:G, "No Data")</f>
        <v>0</v>
      </c>
      <c r="I812" s="28" t="str">
        <f t="array" ref="I812">_xlfn.XLOOKUP($A812, 'Medical Examinations'!$A:$A, 'Medical Examinations'!H:H, "No Data")</f>
        <v>No</v>
      </c>
      <c r="J812" s="28" t="str">
        <f t="array" ref="J812">_xlfn.XLOOKUP($A812, 'Medical Examinations'!$A:$A, 'Medical Examinations'!I:I, "No Data")</f>
        <v>Obesity</v>
      </c>
      <c r="K812" s="28" t="str">
        <f t="array" ref="K812">_xlfn.XLOOKUP($A812, 'Hospitalisation Details'!$A:$A, 'Hospitalisation Details'!I:I, "No Data")</f>
        <v>tier - 3</v>
      </c>
      <c r="L812" s="28" t="str">
        <f t="array" ref="L812">_xlfn.XLOOKUP($A812, 'Hospitalisation Details'!$A:$A, 'Hospitalisation Details'!J:J, "No Data")</f>
        <v>R1013</v>
      </c>
      <c r="M812" s="28" t="str">
        <f t="array" ref="M812">_xlfn.XLOOKUP($A812, 'Hospitalisation Details'!$A:$A, 'Hospitalisation Details'!E:E, "No Data")</f>
        <v>23/09/60</v>
      </c>
      <c r="N812" s="28">
        <f t="array" ref="N812">_xlfn.XLOOKUP($A812, 'Hospitalisation Details'!$A:$A, 'Hospitalisation Details'!K:K, "No Data")</f>
        <v>62</v>
      </c>
      <c r="O812" s="33">
        <f t="array" ref="O812">_xlfn.XLOOKUP($A812, 'Hospitalisation Details'!$A:$A, 'Hospitalisation Details'!G:G, "No Data")</f>
        <v>12981.35</v>
      </c>
      <c r="P812" s="28" t="str">
        <f t="array" ref="P812">_xlfn.XLOOKUP($A812, 'Hospitalisation Details'!$A:$A, 'Hospitalisation Details'!H:H, "No Data")</f>
        <v>tier - 3</v>
      </c>
    </row>
    <row r="813">
      <c r="A813" s="25" t="s">
        <v>2587</v>
      </c>
      <c r="B813" s="28" t="str">
        <f t="array" ref="B813">_xlfn.XLOOKUP($A813, 'Customer Names'!$A:$A, 'Customer Names'!B:B, "No Data")</f>
        <v>Edwards</v>
      </c>
      <c r="C813" s="28">
        <f t="array" ref="C813">_xlfn.XLOOKUP($A813, 'Medical Examinations'!$A:$A, 'Medical Examinations'!B:B, "No Data")</f>
        <v>37.4</v>
      </c>
      <c r="D813" s="28">
        <f t="array" ref="D813">_xlfn.XLOOKUP($A813, 'Medical Examinations'!$A:$A, 'Medical Examinations'!C:C, "No Data")</f>
        <v>11.46</v>
      </c>
      <c r="E813" s="28" t="str">
        <f t="array" ref="E813">_xlfn.XLOOKUP($A813, 'Medical Examinations'!$A:$A, 'Medical Examinations'!D:D, "No Data")</f>
        <v>No</v>
      </c>
      <c r="F813" s="28" t="str">
        <f t="array" ref="F813">_xlfn.XLOOKUP($A813, 'Medical Examinations'!$A:$A, 'Medical Examinations'!E:E, "No Data")</f>
        <v>No</v>
      </c>
      <c r="G813" s="28" t="str">
        <f t="array" ref="G813">_xlfn.XLOOKUP($A813, 'Medical Examinations'!$A:$A, 'Medical Examinations'!F:F, "No Data")</f>
        <v>No</v>
      </c>
      <c r="H813" s="28">
        <f t="array" ref="H813">_xlfn.XLOOKUP($A813, 'Medical Examinations'!$A:$A, 'Medical Examinations'!G:G, "No Data")</f>
        <v>0</v>
      </c>
      <c r="I813" s="28" t="str">
        <f t="array" ref="I813">_xlfn.XLOOKUP($A813, 'Medical Examinations'!$A:$A, 'Medical Examinations'!H:H, "No Data")</f>
        <v>No</v>
      </c>
      <c r="J813" s="28" t="str">
        <f t="array" ref="J813">_xlfn.XLOOKUP($A813, 'Medical Examinations'!$A:$A, 'Medical Examinations'!I:I, "No Data")</f>
        <v>Obesity</v>
      </c>
      <c r="K813" s="28" t="str">
        <f t="array" ref="K813">_xlfn.XLOOKUP($A813, 'Hospitalisation Details'!$A:$A, 'Hospitalisation Details'!I:I, "No Data")</f>
        <v>tier - 1</v>
      </c>
      <c r="L813" s="28" t="str">
        <f t="array" ref="L813">_xlfn.XLOOKUP($A813, 'Hospitalisation Details'!$A:$A, 'Hospitalisation Details'!J:J, "No Data")</f>
        <v>R1011</v>
      </c>
      <c r="M813" s="28" t="str">
        <f t="array" ref="M813">_xlfn.XLOOKUP($A813, 'Hospitalisation Details'!$A:$A, 'Hospitalisation Details'!E:E, "No Data")</f>
        <v>22/06/60</v>
      </c>
      <c r="N813" s="28">
        <f t="array" ref="N813">_xlfn.XLOOKUP($A813, 'Hospitalisation Details'!$A:$A, 'Hospitalisation Details'!K:K, "No Data")</f>
        <v>62</v>
      </c>
      <c r="O813" s="33">
        <f t="array" ref="O813">_xlfn.XLOOKUP($A813, 'Hospitalisation Details'!$A:$A, 'Hospitalisation Details'!G:G, "No Data")</f>
        <v>12979.36</v>
      </c>
      <c r="P813" s="28" t="str">
        <f t="array" ref="P813">_xlfn.XLOOKUP($A813, 'Hospitalisation Details'!$A:$A, 'Hospitalisation Details'!H:H, "No Data")</f>
        <v>tier - 3</v>
      </c>
    </row>
    <row r="814">
      <c r="A814" s="25" t="s">
        <v>2590</v>
      </c>
      <c r="B814" s="28" t="str">
        <f t="array" ref="B814">_xlfn.XLOOKUP($A814, 'Customer Names'!$A:$A, 'Customer Names'!B:B, "No Data")</f>
        <v>Pinney</v>
      </c>
      <c r="C814" s="28">
        <f t="array" ref="C814">_xlfn.XLOOKUP($A814, 'Medical Examinations'!$A:$A, 'Medical Examinations'!B:B, "No Data")</f>
        <v>21.4</v>
      </c>
      <c r="D814" s="28">
        <f t="array" ref="D814">_xlfn.XLOOKUP($A814, 'Medical Examinations'!$A:$A, 'Medical Examinations'!C:C, "No Data")</f>
        <v>9.03</v>
      </c>
      <c r="E814" s="28" t="str">
        <f t="array" ref="E814">_xlfn.XLOOKUP($A814, 'Medical Examinations'!$A:$A, 'Medical Examinations'!D:D, "No Data")</f>
        <v>No</v>
      </c>
      <c r="F814" s="28" t="str">
        <f t="array" ref="F814">_xlfn.XLOOKUP($A814, 'Medical Examinations'!$A:$A, 'Medical Examinations'!E:E, "No Data")</f>
        <v>No</v>
      </c>
      <c r="G814" s="28" t="str">
        <f t="array" ref="G814">_xlfn.XLOOKUP($A814, 'Medical Examinations'!$A:$A, 'Medical Examinations'!F:F, "No Data")</f>
        <v>No</v>
      </c>
      <c r="H814" s="28">
        <f t="array" ref="H814">_xlfn.XLOOKUP($A814, 'Medical Examinations'!$A:$A, 'Medical Examinations'!G:G, "No Data")</f>
        <v>0</v>
      </c>
      <c r="I814" s="28" t="str">
        <f t="array" ref="I814">_xlfn.XLOOKUP($A814, 'Medical Examinations'!$A:$A, 'Medical Examinations'!H:H, "No Data")</f>
        <v>No</v>
      </c>
      <c r="J814" s="28" t="str">
        <f t="array" ref="J814">_xlfn.XLOOKUP($A814, 'Medical Examinations'!$A:$A, 'Medical Examinations'!I:I, "No Data")</f>
        <v>Normal Weight</v>
      </c>
      <c r="K814" s="28" t="str">
        <f t="array" ref="K814">_xlfn.XLOOKUP($A814, 'Hospitalisation Details'!$A:$A, 'Hospitalisation Details'!I:I, "No Data")</f>
        <v>tier - 1</v>
      </c>
      <c r="L814" s="28" t="str">
        <f t="array" ref="L814">_xlfn.XLOOKUP($A814, 'Hospitalisation Details'!$A:$A, 'Hospitalisation Details'!J:J, "No Data")</f>
        <v>R1011</v>
      </c>
      <c r="M814" s="28" t="str">
        <f t="array" ref="M814">_xlfn.XLOOKUP($A814, 'Hospitalisation Details'!$A:$A, 'Hospitalisation Details'!E:E, "No Data")</f>
        <v>04/11/60</v>
      </c>
      <c r="N814" s="28">
        <f t="array" ref="N814">_xlfn.XLOOKUP($A814, 'Hospitalisation Details'!$A:$A, 'Hospitalisation Details'!K:K, "No Data")</f>
        <v>62</v>
      </c>
      <c r="O814" s="33">
        <f t="array" ref="O814">_xlfn.XLOOKUP($A814, 'Hospitalisation Details'!$A:$A, 'Hospitalisation Details'!G:G, "No Data")</f>
        <v>12957.12</v>
      </c>
      <c r="P814" s="28" t="str">
        <f t="array" ref="P814">_xlfn.XLOOKUP($A814, 'Hospitalisation Details'!$A:$A, 'Hospitalisation Details'!H:H, "No Data")</f>
        <v>tier - 3</v>
      </c>
    </row>
    <row r="815">
      <c r="A815" s="25" t="s">
        <v>2592</v>
      </c>
      <c r="B815" s="28" t="str">
        <f t="array" ref="B815">_xlfn.XLOOKUP($A815, 'Customer Names'!$A:$A, 'Customer Names'!B:B, "No Data")</f>
        <v>Levy</v>
      </c>
      <c r="C815" s="28">
        <f t="array" ref="C815">_xlfn.XLOOKUP($A815, 'Medical Examinations'!$A:$A, 'Medical Examinations'!B:B, "No Data")</f>
        <v>38.38</v>
      </c>
      <c r="D815" s="28">
        <f t="array" ref="D815">_xlfn.XLOOKUP($A815, 'Medical Examinations'!$A:$A, 'Medical Examinations'!C:C, "No Data")</f>
        <v>8.26</v>
      </c>
      <c r="E815" s="28" t="str">
        <f t="array" ref="E815">_xlfn.XLOOKUP($A815, 'Medical Examinations'!$A:$A, 'Medical Examinations'!D:D, "No Data")</f>
        <v>yes</v>
      </c>
      <c r="F815" s="28" t="str">
        <f t="array" ref="F815">_xlfn.XLOOKUP($A815, 'Medical Examinations'!$A:$A, 'Medical Examinations'!E:E, "No Data")</f>
        <v>No</v>
      </c>
      <c r="G815" s="28" t="str">
        <f t="array" ref="G815">_xlfn.XLOOKUP($A815, 'Medical Examinations'!$A:$A, 'Medical Examinations'!F:F, "No Data")</f>
        <v>No</v>
      </c>
      <c r="H815" s="28">
        <f t="array" ref="H815">_xlfn.XLOOKUP($A815, 'Medical Examinations'!$A:$A, 'Medical Examinations'!G:G, "No Data")</f>
        <v>2</v>
      </c>
      <c r="I815" s="28" t="str">
        <f t="array" ref="I815">_xlfn.XLOOKUP($A815, 'Medical Examinations'!$A:$A, 'Medical Examinations'!H:H, "No Data")</f>
        <v>No</v>
      </c>
      <c r="J815" s="28" t="str">
        <f t="array" ref="J815">_xlfn.XLOOKUP($A815, 'Medical Examinations'!$A:$A, 'Medical Examinations'!I:I, "No Data")</f>
        <v>Obesity</v>
      </c>
      <c r="K815" s="28" t="str">
        <f t="array" ref="K815">_xlfn.XLOOKUP($A815, 'Hospitalisation Details'!$A:$A, 'Hospitalisation Details'!I:I, "No Data")</f>
        <v>tier - 1</v>
      </c>
      <c r="L815" s="28" t="str">
        <f t="array" ref="L815">_xlfn.XLOOKUP($A815, 'Hospitalisation Details'!$A:$A, 'Hospitalisation Details'!J:J, "No Data")</f>
        <v>R1012</v>
      </c>
      <c r="M815" s="28" t="str">
        <f t="array" ref="M815">_xlfn.XLOOKUP($A815, 'Hospitalisation Details'!$A:$A, 'Hospitalisation Details'!E:E, "No Data")</f>
        <v>20/08/61</v>
      </c>
      <c r="N815" s="28">
        <f t="array" ref="N815">_xlfn.XLOOKUP($A815, 'Hospitalisation Details'!$A:$A, 'Hospitalisation Details'!K:K, "No Data")</f>
        <v>61</v>
      </c>
      <c r="O815" s="33">
        <f t="array" ref="O815">_xlfn.XLOOKUP($A815, 'Hospitalisation Details'!$A:$A, 'Hospitalisation Details'!G:G, "No Data")</f>
        <v>12950.07</v>
      </c>
      <c r="P815" s="28" t="str">
        <f t="array" ref="P815">_xlfn.XLOOKUP($A815, 'Hospitalisation Details'!$A:$A, 'Hospitalisation Details'!H:H, "No Data")</f>
        <v>tier - 3</v>
      </c>
    </row>
    <row r="816">
      <c r="A816" s="25" t="s">
        <v>2596</v>
      </c>
      <c r="B816" s="28" t="str">
        <f t="array" ref="B816">_xlfn.XLOOKUP($A816, 'Customer Names'!$A:$A, 'Customer Names'!B:B, "No Data")</f>
        <v>Takeda</v>
      </c>
      <c r="C816" s="28">
        <f t="array" ref="C816">_xlfn.XLOOKUP($A816, 'Medical Examinations'!$A:$A, 'Medical Examinations'!B:B, "No Data")</f>
        <v>33.66</v>
      </c>
      <c r="D816" s="28">
        <f t="array" ref="D816">_xlfn.XLOOKUP($A816, 'Medical Examinations'!$A:$A, 'Medical Examinations'!C:C, "No Data")</f>
        <v>5.42</v>
      </c>
      <c r="E816" s="28" t="str">
        <f t="array" ref="E816">_xlfn.XLOOKUP($A816, 'Medical Examinations'!$A:$A, 'Medical Examinations'!D:D, "No Data")</f>
        <v>yes</v>
      </c>
      <c r="F816" s="28" t="str">
        <f t="array" ref="F816">_xlfn.XLOOKUP($A816, 'Medical Examinations'!$A:$A, 'Medical Examinations'!E:E, "No Data")</f>
        <v>No</v>
      </c>
      <c r="G816" s="28" t="str">
        <f t="array" ref="G816">_xlfn.XLOOKUP($A816, 'Medical Examinations'!$A:$A, 'Medical Examinations'!F:F, "No Data")</f>
        <v>No</v>
      </c>
      <c r="H816" s="28">
        <f t="array" ref="H816">_xlfn.XLOOKUP($A816, 'Medical Examinations'!$A:$A, 'Medical Examinations'!G:G, "No Data")</f>
        <v>2</v>
      </c>
      <c r="I816" s="28" t="str">
        <f t="array" ref="I816">_xlfn.XLOOKUP($A816, 'Medical Examinations'!$A:$A, 'Medical Examinations'!H:H, "No Data")</f>
        <v>No</v>
      </c>
      <c r="J816" s="28" t="str">
        <f t="array" ref="J816">_xlfn.XLOOKUP($A816, 'Medical Examinations'!$A:$A, 'Medical Examinations'!I:I, "No Data")</f>
        <v>Obesity</v>
      </c>
      <c r="K816" s="28" t="str">
        <f t="array" ref="K816">_xlfn.XLOOKUP($A816, 'Hospitalisation Details'!$A:$A, 'Hospitalisation Details'!I:I, "No Data")</f>
        <v>tier - 3</v>
      </c>
      <c r="L816" s="28" t="str">
        <f t="array" ref="L816">_xlfn.XLOOKUP($A816, 'Hospitalisation Details'!$A:$A, 'Hospitalisation Details'!J:J, "No Data")</f>
        <v>R1013</v>
      </c>
      <c r="M816" s="28" t="str">
        <f t="array" ref="M816">_xlfn.XLOOKUP($A816, 'Hospitalisation Details'!$A:$A, 'Hospitalisation Details'!E:E, "No Data")</f>
        <v>22/12/66</v>
      </c>
      <c r="N816" s="28">
        <f t="array" ref="N816">_xlfn.XLOOKUP($A816, 'Hospitalisation Details'!$A:$A, 'Hospitalisation Details'!K:K, "No Data")</f>
        <v>56</v>
      </c>
      <c r="O816" s="33">
        <f t="array" ref="O816">_xlfn.XLOOKUP($A816, 'Hospitalisation Details'!$A:$A, 'Hospitalisation Details'!G:G, "No Data")</f>
        <v>12949.16</v>
      </c>
      <c r="P816" s="28" t="str">
        <f t="array" ref="P816">_xlfn.XLOOKUP($A816, 'Hospitalisation Details'!$A:$A, 'Hospitalisation Details'!H:H, "No Data")</f>
        <v>tier - 3</v>
      </c>
    </row>
    <row r="817">
      <c r="A817" s="25" t="s">
        <v>2600</v>
      </c>
      <c r="B817" s="28" t="str">
        <f t="array" ref="B817">_xlfn.XLOOKUP($A817, 'Customer Names'!$A:$A, 'Customer Names'!B:B, "No Data")</f>
        <v>Burke</v>
      </c>
      <c r="C817" s="28">
        <f t="array" ref="C817">_xlfn.XLOOKUP($A817, 'Medical Examinations'!$A:$A, 'Medical Examinations'!B:B, "No Data")</f>
        <v>31.79</v>
      </c>
      <c r="D817" s="28">
        <f t="array" ref="D817">_xlfn.XLOOKUP($A817, 'Medical Examinations'!$A:$A, 'Medical Examinations'!C:C, "No Data")</f>
        <v>11.33</v>
      </c>
      <c r="E817" s="28" t="str">
        <f t="array" ref="E817">_xlfn.XLOOKUP($A817, 'Medical Examinations'!$A:$A, 'Medical Examinations'!D:D, "No Data")</f>
        <v>yes</v>
      </c>
      <c r="F817" s="28" t="str">
        <f t="array" ref="F817">_xlfn.XLOOKUP($A817, 'Medical Examinations'!$A:$A, 'Medical Examinations'!E:E, "No Data")</f>
        <v>No</v>
      </c>
      <c r="G817" s="28" t="str">
        <f t="array" ref="G817">_xlfn.XLOOKUP($A817, 'Medical Examinations'!$A:$A, 'Medical Examinations'!F:F, "No Data")</f>
        <v>Yes</v>
      </c>
      <c r="H817" s="28">
        <f t="array" ref="H817">_xlfn.XLOOKUP($A817, 'Medical Examinations'!$A:$A, 'Medical Examinations'!G:G, "No Data")</f>
        <v>1</v>
      </c>
      <c r="I817" s="28" t="str">
        <f t="array" ref="I817">_xlfn.XLOOKUP($A817, 'Medical Examinations'!$A:$A, 'Medical Examinations'!H:H, "No Data")</f>
        <v>No</v>
      </c>
      <c r="J817" s="28" t="str">
        <f t="array" ref="J817">_xlfn.XLOOKUP($A817, 'Medical Examinations'!$A:$A, 'Medical Examinations'!I:I, "No Data")</f>
        <v>Obesity</v>
      </c>
      <c r="K817" s="28" t="str">
        <f t="array" ref="K817">_xlfn.XLOOKUP($A817, 'Hospitalisation Details'!$A:$A, 'Hospitalisation Details'!I:I, "No Data")</f>
        <v>tier - 2</v>
      </c>
      <c r="L817" s="28" t="str">
        <f t="array" ref="L817">_xlfn.XLOOKUP($A817, 'Hospitalisation Details'!$A:$A, 'Hospitalisation Details'!J:J, "No Data")</f>
        <v>R1013</v>
      </c>
      <c r="M817" s="28" t="str">
        <f t="array" ref="M817">_xlfn.XLOOKUP($A817, 'Hospitalisation Details'!$A:$A, 'Hospitalisation Details'!E:E, "No Data")</f>
        <v>14/08/63</v>
      </c>
      <c r="N817" s="28">
        <f t="array" ref="N817">_xlfn.XLOOKUP($A817, 'Hospitalisation Details'!$A:$A, 'Hospitalisation Details'!K:K, "No Data")</f>
        <v>59</v>
      </c>
      <c r="O817" s="33">
        <f t="array" ref="O817">_xlfn.XLOOKUP($A817, 'Hospitalisation Details'!$A:$A, 'Hospitalisation Details'!G:G, "No Data")</f>
        <v>12928.79</v>
      </c>
      <c r="P817" s="28" t="str">
        <f t="array" ref="P817">_xlfn.XLOOKUP($A817, 'Hospitalisation Details'!$A:$A, 'Hospitalisation Details'!H:H, "No Data")</f>
        <v>tier - 3</v>
      </c>
    </row>
    <row r="818">
      <c r="A818" s="25" t="s">
        <v>2603</v>
      </c>
      <c r="B818" s="28" t="str">
        <f t="array" ref="B818">_xlfn.XLOOKUP($A818, 'Customer Names'!$A:$A, 'Customer Names'!B:B, "No Data")</f>
        <v>Duarte</v>
      </c>
      <c r="C818" s="28">
        <f t="array" ref="C818">_xlfn.XLOOKUP($A818, 'Medical Examinations'!$A:$A, 'Medical Examinations'!B:B, "No Data")</f>
        <v>29.7</v>
      </c>
      <c r="D818" s="28">
        <f t="array" ref="D818">_xlfn.XLOOKUP($A818, 'Medical Examinations'!$A:$A, 'Medical Examinations'!C:C, "No Data")</f>
        <v>7.69</v>
      </c>
      <c r="E818" s="28" t="str">
        <f t="array" ref="E818">_xlfn.XLOOKUP($A818, 'Medical Examinations'!$A:$A, 'Medical Examinations'!D:D, "No Data")</f>
        <v>yes</v>
      </c>
      <c r="F818" s="28" t="str">
        <f t="array" ref="F818">_xlfn.XLOOKUP($A818, 'Medical Examinations'!$A:$A, 'Medical Examinations'!E:E, "No Data")</f>
        <v>No</v>
      </c>
      <c r="G818" s="28" t="str">
        <f t="array" ref="G818">_xlfn.XLOOKUP($A818, 'Medical Examinations'!$A:$A, 'Medical Examinations'!F:F, "No Data")</f>
        <v>Yes</v>
      </c>
      <c r="H818" s="28">
        <f t="array" ref="H818">_xlfn.XLOOKUP($A818, 'Medical Examinations'!$A:$A, 'Medical Examinations'!G:G, "No Data")</f>
        <v>1</v>
      </c>
      <c r="I818" s="28" t="str">
        <f t="array" ref="I818">_xlfn.XLOOKUP($A818, 'Medical Examinations'!$A:$A, 'Medical Examinations'!H:H, "No Data")</f>
        <v>No</v>
      </c>
      <c r="J818" s="28" t="str">
        <f t="array" ref="J818">_xlfn.XLOOKUP($A818, 'Medical Examinations'!$A:$A, 'Medical Examinations'!I:I, "No Data")</f>
        <v>Overweight</v>
      </c>
      <c r="K818" s="28" t="str">
        <f t="array" ref="K818">_xlfn.XLOOKUP($A818, 'Hospitalisation Details'!$A:$A, 'Hospitalisation Details'!I:I, "No Data")</f>
        <v>tier - 2</v>
      </c>
      <c r="L818" s="28" t="str">
        <f t="array" ref="L818">_xlfn.XLOOKUP($A818, 'Hospitalisation Details'!$A:$A, 'Hospitalisation Details'!J:J, "No Data")</f>
        <v>R1013</v>
      </c>
      <c r="M818" s="28" t="str">
        <f t="array" ref="M818">_xlfn.XLOOKUP($A818, 'Hospitalisation Details'!$A:$A, 'Hospitalisation Details'!E:E, "No Data")</f>
        <v>01/09/63</v>
      </c>
      <c r="N818" s="28">
        <f t="array" ref="N818">_xlfn.XLOOKUP($A818, 'Hospitalisation Details'!$A:$A, 'Hospitalisation Details'!K:K, "No Data")</f>
        <v>59</v>
      </c>
      <c r="O818" s="33">
        <f t="array" ref="O818">_xlfn.XLOOKUP($A818, 'Hospitalisation Details'!$A:$A, 'Hospitalisation Details'!G:G, "No Data")</f>
        <v>12925.89</v>
      </c>
      <c r="P818" s="28" t="str">
        <f t="array" ref="P818">_xlfn.XLOOKUP($A818, 'Hospitalisation Details'!$A:$A, 'Hospitalisation Details'!H:H, "No Data")</f>
        <v>tier - 3</v>
      </c>
    </row>
    <row r="819">
      <c r="A819" s="25" t="s">
        <v>2607</v>
      </c>
      <c r="B819" s="28" t="str">
        <f t="array" ref="B819">_xlfn.XLOOKUP($A819, 'Customer Names'!$A:$A, 'Customer Names'!B:B, "No Data")</f>
        <v>Clark</v>
      </c>
      <c r="C819" s="28">
        <f t="array" ref="C819">_xlfn.XLOOKUP($A819, 'Medical Examinations'!$A:$A, 'Medical Examinations'!B:B, "No Data")</f>
        <v>25.46</v>
      </c>
      <c r="D819" s="28">
        <f t="array" ref="D819">_xlfn.XLOOKUP($A819, 'Medical Examinations'!$A:$A, 'Medical Examinations'!C:C, "No Data")</f>
        <v>8.77</v>
      </c>
      <c r="E819" s="28" t="str">
        <f t="array" ref="E819">_xlfn.XLOOKUP($A819, 'Medical Examinations'!$A:$A, 'Medical Examinations'!D:D, "No Data")</f>
        <v>yes</v>
      </c>
      <c r="F819" s="28" t="str">
        <f t="array" ref="F819">_xlfn.XLOOKUP($A819, 'Medical Examinations'!$A:$A, 'Medical Examinations'!E:E, "No Data")</f>
        <v>No</v>
      </c>
      <c r="G819" s="28" t="str">
        <f t="array" ref="G819">_xlfn.XLOOKUP($A819, 'Medical Examinations'!$A:$A, 'Medical Examinations'!F:F, "No Data")</f>
        <v>Yes</v>
      </c>
      <c r="H819" s="28">
        <f t="array" ref="H819">_xlfn.XLOOKUP($A819, 'Medical Examinations'!$A:$A, 'Medical Examinations'!G:G, "No Data")</f>
        <v>1</v>
      </c>
      <c r="I819" s="28" t="str">
        <f t="array" ref="I819">_xlfn.XLOOKUP($A819, 'Medical Examinations'!$A:$A, 'Medical Examinations'!H:H, "No Data")</f>
        <v>No</v>
      </c>
      <c r="J819" s="28" t="str">
        <f t="array" ref="J819">_xlfn.XLOOKUP($A819, 'Medical Examinations'!$A:$A, 'Medical Examinations'!I:I, "No Data")</f>
        <v>Overweight</v>
      </c>
      <c r="K819" s="28" t="str">
        <f t="array" ref="K819">_xlfn.XLOOKUP($A819, 'Hospitalisation Details'!$A:$A, 'Hospitalisation Details'!I:I, "No Data")</f>
        <v>tier - 2</v>
      </c>
      <c r="L819" s="28" t="str">
        <f t="array" ref="L819">_xlfn.XLOOKUP($A819, 'Hospitalisation Details'!$A:$A, 'Hospitalisation Details'!J:J, "No Data")</f>
        <v>R1016</v>
      </c>
      <c r="M819" s="28" t="str">
        <f t="array" ref="M819">_xlfn.XLOOKUP($A819, 'Hospitalisation Details'!$A:$A, 'Hospitalisation Details'!E:E, "No Data")</f>
        <v>16/08/63</v>
      </c>
      <c r="N819" s="28">
        <f t="array" ref="N819">_xlfn.XLOOKUP($A819, 'Hospitalisation Details'!$A:$A, 'Hospitalisation Details'!K:K, "No Data")</f>
        <v>59</v>
      </c>
      <c r="O819" s="33">
        <f t="array" ref="O819">_xlfn.XLOOKUP($A819, 'Hospitalisation Details'!$A:$A, 'Hospitalisation Details'!G:G, "No Data")</f>
        <v>12913.99</v>
      </c>
      <c r="P819" s="28" t="str">
        <f t="array" ref="P819">_xlfn.XLOOKUP($A819, 'Hospitalisation Details'!$A:$A, 'Hospitalisation Details'!H:H, "No Data")</f>
        <v>tier - 3</v>
      </c>
    </row>
    <row r="820">
      <c r="A820" s="25" t="s">
        <v>2609</v>
      </c>
      <c r="B820" s="28" t="str">
        <f t="array" ref="B820">_xlfn.XLOOKUP($A820, 'Customer Names'!$A:$A, 'Customer Names'!B:B, "No Data")</f>
        <v>Nice</v>
      </c>
      <c r="C820" s="28">
        <f t="array" ref="C820">_xlfn.XLOOKUP($A820, 'Medical Examinations'!$A:$A, 'Medical Examinations'!B:B, "No Data")</f>
        <v>39.14</v>
      </c>
      <c r="D820" s="28">
        <f t="array" ref="D820">_xlfn.XLOOKUP($A820, 'Medical Examinations'!$A:$A, 'Medical Examinations'!C:C, "No Data")</f>
        <v>4.91</v>
      </c>
      <c r="E820" s="28" t="str">
        <f t="array" ref="E820">_xlfn.XLOOKUP($A820, 'Medical Examinations'!$A:$A, 'Medical Examinations'!D:D, "No Data")</f>
        <v>No</v>
      </c>
      <c r="F820" s="28" t="str">
        <f t="array" ref="F820">_xlfn.XLOOKUP($A820, 'Medical Examinations'!$A:$A, 'Medical Examinations'!E:E, "No Data")</f>
        <v>yes</v>
      </c>
      <c r="G820" s="28" t="str">
        <f t="array" ref="G820">_xlfn.XLOOKUP($A820, 'Medical Examinations'!$A:$A, 'Medical Examinations'!F:F, "No Data")</f>
        <v>No</v>
      </c>
      <c r="H820" s="28">
        <f t="array" ref="H820">_xlfn.XLOOKUP($A820, 'Medical Examinations'!$A:$A, 'Medical Examinations'!G:G, "No Data")</f>
        <v>1</v>
      </c>
      <c r="I820" s="28" t="str">
        <f t="array" ref="I820">_xlfn.XLOOKUP($A820, 'Medical Examinations'!$A:$A, 'Medical Examinations'!H:H, "No Data")</f>
        <v>No</v>
      </c>
      <c r="J820" s="28" t="str">
        <f t="array" ref="J820">_xlfn.XLOOKUP($A820, 'Medical Examinations'!$A:$A, 'Medical Examinations'!I:I, "No Data")</f>
        <v>Obesity</v>
      </c>
      <c r="K820" s="28" t="str">
        <f t="array" ref="K820">_xlfn.XLOOKUP($A820, 'Hospitalisation Details'!$A:$A, 'Hospitalisation Details'!I:I, "No Data")</f>
        <v>tier - 1</v>
      </c>
      <c r="L820" s="28" t="str">
        <f t="array" ref="L820">_xlfn.XLOOKUP($A820, 'Hospitalisation Details'!$A:$A, 'Hospitalisation Details'!J:J, "No Data")</f>
        <v>R1019</v>
      </c>
      <c r="M820" s="28" t="str">
        <f t="array" ref="M820">_xlfn.XLOOKUP($A820, 'Hospitalisation Details'!$A:$A, 'Hospitalisation Details'!E:E, "No Data")</f>
        <v>09/07/04</v>
      </c>
      <c r="N820" s="28">
        <f t="array" ref="N820">_xlfn.XLOOKUP($A820, 'Hospitalisation Details'!$A:$A, 'Hospitalisation Details'!K:K, "No Data")</f>
        <v>18</v>
      </c>
      <c r="O820" s="33">
        <f t="array" ref="O820">_xlfn.XLOOKUP($A820, 'Hospitalisation Details'!$A:$A, 'Hospitalisation Details'!G:G, "No Data")</f>
        <v>12890.06</v>
      </c>
      <c r="P820" s="28" t="str">
        <f t="array" ref="P820">_xlfn.XLOOKUP($A820, 'Hospitalisation Details'!$A:$A, 'Hospitalisation Details'!H:H, "No Data")</f>
        <v>tier - 3</v>
      </c>
    </row>
    <row r="821">
      <c r="A821" s="25" t="s">
        <v>2612</v>
      </c>
      <c r="B821" s="28" t="str">
        <f t="array" ref="B821">_xlfn.XLOOKUP($A821, 'Customer Names'!$A:$A, 'Customer Names'!B:B, "No Data")</f>
        <v>Windler</v>
      </c>
      <c r="C821" s="28">
        <f t="array" ref="C821">_xlfn.XLOOKUP($A821, 'Medical Examinations'!$A:$A, 'Medical Examinations'!B:B, "No Data")</f>
        <v>41.2</v>
      </c>
      <c r="D821" s="28">
        <f t="array" ref="D821">_xlfn.XLOOKUP($A821, 'Medical Examinations'!$A:$A, 'Medical Examinations'!C:C, "No Data")</f>
        <v>4.95</v>
      </c>
      <c r="E821" s="28" t="str">
        <f t="array" ref="E821">_xlfn.XLOOKUP($A821, 'Medical Examinations'!$A:$A, 'Medical Examinations'!D:D, "No Data")</f>
        <v>No</v>
      </c>
      <c r="F821" s="28" t="str">
        <f t="array" ref="F821">_xlfn.XLOOKUP($A821, 'Medical Examinations'!$A:$A, 'Medical Examinations'!E:E, "No Data")</f>
        <v>No</v>
      </c>
      <c r="G821" s="28" t="str">
        <f t="array" ref="G821">_xlfn.XLOOKUP($A821, 'Medical Examinations'!$A:$A, 'Medical Examinations'!F:F, "No Data")</f>
        <v>No</v>
      </c>
      <c r="H821" s="28">
        <f t="array" ref="H821">_xlfn.XLOOKUP($A821, 'Medical Examinations'!$A:$A, 'Medical Examinations'!G:G, "No Data")</f>
        <v>1</v>
      </c>
      <c r="I821" s="28" t="str">
        <f t="array" ref="I821">_xlfn.XLOOKUP($A821, 'Medical Examinations'!$A:$A, 'Medical Examinations'!H:H, "No Data")</f>
        <v>No</v>
      </c>
      <c r="J821" s="28" t="str">
        <f t="array" ref="J821">_xlfn.XLOOKUP($A821, 'Medical Examinations'!$A:$A, 'Medical Examinations'!I:I, "No Data")</f>
        <v>Obesity</v>
      </c>
      <c r="K821" s="28" t="str">
        <f t="array" ref="K821">_xlfn.XLOOKUP($A821, 'Hospitalisation Details'!$A:$A, 'Hospitalisation Details'!I:I, "No Data")</f>
        <v>tier - 3</v>
      </c>
      <c r="L821" s="28" t="str">
        <f t="array" ref="L821">_xlfn.XLOOKUP($A821, 'Hospitalisation Details'!$A:$A, 'Hospitalisation Details'!J:J, "No Data")</f>
        <v>R1012</v>
      </c>
      <c r="M821" s="28" t="str">
        <f t="array" ref="M821">_xlfn.XLOOKUP($A821, 'Hospitalisation Details'!$A:$A, 'Hospitalisation Details'!E:E, "No Data")</f>
        <v>06/08/84</v>
      </c>
      <c r="N821" s="28">
        <f t="array" ref="N821">_xlfn.XLOOKUP($A821, 'Hospitalisation Details'!$A:$A, 'Hospitalisation Details'!K:K, "No Data")</f>
        <v>38</v>
      </c>
      <c r="O821" s="33">
        <f t="array" ref="O821">_xlfn.XLOOKUP($A821, 'Hospitalisation Details'!$A:$A, 'Hospitalisation Details'!G:G, "No Data")</f>
        <v>12870.31</v>
      </c>
      <c r="P821" s="28" t="str">
        <f t="array" ref="P821">_xlfn.XLOOKUP($A821, 'Hospitalisation Details'!$A:$A, 'Hospitalisation Details'!H:H, "No Data")</f>
        <v>tier - 3</v>
      </c>
    </row>
    <row r="822">
      <c r="A822" s="25" t="s">
        <v>2615</v>
      </c>
      <c r="B822" s="28" t="str">
        <f t="array" ref="B822">_xlfn.XLOOKUP($A822, 'Customer Names'!$A:$A, 'Customer Names'!B:B, "No Data")</f>
        <v>Jones</v>
      </c>
      <c r="C822" s="28">
        <f t="array" ref="C822">_xlfn.XLOOKUP($A822, 'Medical Examinations'!$A:$A, 'Medical Examinations'!B:B, "No Data")</f>
        <v>28.81</v>
      </c>
      <c r="D822" s="28">
        <f t="array" ref="D822">_xlfn.XLOOKUP($A822, 'Medical Examinations'!$A:$A, 'Medical Examinations'!C:C, "No Data")</f>
        <v>10.8</v>
      </c>
      <c r="E822" s="28" t="str">
        <f t="array" ref="E822">_xlfn.XLOOKUP($A822, 'Medical Examinations'!$A:$A, 'Medical Examinations'!D:D, "No Data")</f>
        <v>yes</v>
      </c>
      <c r="F822" s="28" t="str">
        <f t="array" ref="F822">_xlfn.XLOOKUP($A822, 'Medical Examinations'!$A:$A, 'Medical Examinations'!E:E, "No Data")</f>
        <v>No</v>
      </c>
      <c r="G822" s="28" t="str">
        <f t="array" ref="G822">_xlfn.XLOOKUP($A822, 'Medical Examinations'!$A:$A, 'Medical Examinations'!F:F, "No Data")</f>
        <v>Yes</v>
      </c>
      <c r="H822" s="28">
        <f t="array" ref="H822">_xlfn.XLOOKUP($A822, 'Medical Examinations'!$A:$A, 'Medical Examinations'!G:G, "No Data")</f>
        <v>1</v>
      </c>
      <c r="I822" s="28" t="str">
        <f t="array" ref="I822">_xlfn.XLOOKUP($A822, 'Medical Examinations'!$A:$A, 'Medical Examinations'!H:H, "No Data")</f>
        <v>No</v>
      </c>
      <c r="J822" s="28" t="str">
        <f t="array" ref="J822">_xlfn.XLOOKUP($A822, 'Medical Examinations'!$A:$A, 'Medical Examinations'!I:I, "No Data")</f>
        <v>Overweight</v>
      </c>
      <c r="K822" s="28" t="str">
        <f t="array" ref="K822">_xlfn.XLOOKUP($A822, 'Hospitalisation Details'!$A:$A, 'Hospitalisation Details'!I:I, "No Data")</f>
        <v>tier - 3</v>
      </c>
      <c r="L822" s="28" t="str">
        <f t="array" ref="L822">_xlfn.XLOOKUP($A822, 'Hospitalisation Details'!$A:$A, 'Hospitalisation Details'!J:J, "No Data")</f>
        <v>R1021</v>
      </c>
      <c r="M822" s="28" t="str">
        <f t="array" ref="M822">_xlfn.XLOOKUP($A822, 'Hospitalisation Details'!$A:$A, 'Hospitalisation Details'!E:E, "No Data")</f>
        <v>27/09/63</v>
      </c>
      <c r="N822" s="28">
        <f t="array" ref="N822">_xlfn.XLOOKUP($A822, 'Hospitalisation Details'!$A:$A, 'Hospitalisation Details'!K:K, "No Data")</f>
        <v>59</v>
      </c>
      <c r="O822" s="33">
        <f t="array" ref="O822">_xlfn.XLOOKUP($A822, 'Hospitalisation Details'!$A:$A, 'Hospitalisation Details'!G:G, "No Data")</f>
        <v>12856.84</v>
      </c>
      <c r="P822" s="28" t="str">
        <f t="array" ref="P822">_xlfn.XLOOKUP($A822, 'Hospitalisation Details'!$A:$A, 'Hospitalisation Details'!H:H, "No Data")</f>
        <v>tier - 3</v>
      </c>
    </row>
    <row r="823">
      <c r="A823" s="25" t="s">
        <v>2620</v>
      </c>
      <c r="B823" s="28" t="str">
        <f t="array" ref="B823">_xlfn.XLOOKUP($A823, 'Customer Names'!$A:$A, 'Customer Names'!B:B, "No Data")</f>
        <v>Stevenson</v>
      </c>
      <c r="C823" s="28">
        <f t="array" ref="C823">_xlfn.XLOOKUP($A823, 'Medical Examinations'!$A:$A, 'Medical Examinations'!B:B, "No Data")</f>
        <v>37.41</v>
      </c>
      <c r="D823" s="28">
        <f t="array" ref="D823">_xlfn.XLOOKUP($A823, 'Medical Examinations'!$A:$A, 'Medical Examinations'!C:C, "No Data")</f>
        <v>7.21</v>
      </c>
      <c r="E823" s="28" t="str">
        <f t="array" ref="E823">_xlfn.XLOOKUP($A823, 'Medical Examinations'!$A:$A, 'Medical Examinations'!D:D, "No Data")</f>
        <v>No</v>
      </c>
      <c r="F823" s="28" t="str">
        <f t="array" ref="F823">_xlfn.XLOOKUP($A823, 'Medical Examinations'!$A:$A, 'Medical Examinations'!E:E, "No Data")</f>
        <v>No</v>
      </c>
      <c r="G823" s="28" t="str">
        <f t="array" ref="G823">_xlfn.XLOOKUP($A823, 'Medical Examinations'!$A:$A, 'Medical Examinations'!F:F, "No Data")</f>
        <v>No</v>
      </c>
      <c r="H823" s="28">
        <f t="array" ref="H823">_xlfn.XLOOKUP($A823, 'Medical Examinations'!$A:$A, 'Medical Examinations'!G:G, "No Data")</f>
        <v>2</v>
      </c>
      <c r="I823" s="28" t="str">
        <f t="array" ref="I823">_xlfn.XLOOKUP($A823, 'Medical Examinations'!$A:$A, 'Medical Examinations'!H:H, "No Data")</f>
        <v>No</v>
      </c>
      <c r="J823" s="28" t="str">
        <f t="array" ref="J823">_xlfn.XLOOKUP($A823, 'Medical Examinations'!$A:$A, 'Medical Examinations'!I:I, "No Data")</f>
        <v>Obesity</v>
      </c>
      <c r="K823" s="28" t="str">
        <f t="array" ref="K823">_xlfn.XLOOKUP($A823, 'Hospitalisation Details'!$A:$A, 'Hospitalisation Details'!I:I, "No Data")</f>
        <v>tier - 1</v>
      </c>
      <c r="L823" s="28" t="str">
        <f t="array" ref="L823">_xlfn.XLOOKUP($A823, 'Hospitalisation Details'!$A:$A, 'Hospitalisation Details'!J:J, "No Data")</f>
        <v>R1012</v>
      </c>
      <c r="M823" s="28" t="str">
        <f t="array" ref="M823">_xlfn.XLOOKUP($A823, 'Hospitalisation Details'!$A:$A, 'Hospitalisation Details'!E:E, "No Data")</f>
        <v>22/09/73</v>
      </c>
      <c r="N823" s="28">
        <f t="array" ref="N823">_xlfn.XLOOKUP($A823, 'Hospitalisation Details'!$A:$A, 'Hospitalisation Details'!K:K, "No Data")</f>
        <v>49</v>
      </c>
      <c r="O823" s="33">
        <f t="array" ref="O823">_xlfn.XLOOKUP($A823, 'Hospitalisation Details'!$A:$A, 'Hospitalisation Details'!G:G, "No Data")</f>
        <v>12852.37</v>
      </c>
      <c r="P823" s="28" t="str">
        <f t="array" ref="P823">_xlfn.XLOOKUP($A823, 'Hospitalisation Details'!$A:$A, 'Hospitalisation Details'!H:H, "No Data")</f>
        <v>tier - 3</v>
      </c>
    </row>
    <row r="824">
      <c r="A824" s="25" t="s">
        <v>2623</v>
      </c>
      <c r="B824" s="28" t="str">
        <f t="array" ref="B824">_xlfn.XLOOKUP($A824, 'Customer Names'!$A:$A, 'Customer Names'!B:B, "No Data")</f>
        <v>Humphrey</v>
      </c>
      <c r="C824" s="28">
        <f t="array" ref="C824">_xlfn.XLOOKUP($A824, 'Medical Examinations'!$A:$A, 'Medical Examinations'!B:B, "No Data")</f>
        <v>52.54</v>
      </c>
      <c r="D824" s="28">
        <f t="array" ref="D824">_xlfn.XLOOKUP($A824, 'Medical Examinations'!$A:$A, 'Medical Examinations'!C:C, "No Data")</f>
        <v>5.12</v>
      </c>
      <c r="E824" s="28" t="str">
        <f t="array" ref="E824">_xlfn.XLOOKUP($A824, 'Medical Examinations'!$A:$A, 'Medical Examinations'!D:D, "No Data")</f>
        <v>No</v>
      </c>
      <c r="F824" s="28" t="str">
        <f t="array" ref="F824">_xlfn.XLOOKUP($A824, 'Medical Examinations'!$A:$A, 'Medical Examinations'!E:E, "No Data")</f>
        <v>No</v>
      </c>
      <c r="G824" s="28" t="str">
        <f t="array" ref="G824">_xlfn.XLOOKUP($A824, 'Medical Examinations'!$A:$A, 'Medical Examinations'!F:F, "No Data")</f>
        <v>Yes</v>
      </c>
      <c r="H824" s="28">
        <f t="array" ref="H824">_xlfn.XLOOKUP($A824, 'Medical Examinations'!$A:$A, 'Medical Examinations'!G:G, "No Data")</f>
        <v>1</v>
      </c>
      <c r="I824" s="28" t="str">
        <f t="array" ref="I824">_xlfn.XLOOKUP($A824, 'Medical Examinations'!$A:$A, 'Medical Examinations'!H:H, "No Data")</f>
        <v>No</v>
      </c>
      <c r="J824" s="28" t="str">
        <f t="array" ref="J824">_xlfn.XLOOKUP($A824, 'Medical Examinations'!$A:$A, 'Medical Examinations'!I:I, "No Data")</f>
        <v>Obesity</v>
      </c>
      <c r="K824" s="28" t="str">
        <f t="array" ref="K824">_xlfn.XLOOKUP($A824, 'Hospitalisation Details'!$A:$A, 'Hospitalisation Details'!I:I, "No Data")</f>
        <v>tier - 2</v>
      </c>
      <c r="L824" s="28" t="str">
        <f t="array" ref="L824">_xlfn.XLOOKUP($A824, 'Hospitalisation Details'!$A:$A, 'Hospitalisation Details'!J:J, "No Data")</f>
        <v>R1012</v>
      </c>
      <c r="M824" s="28" t="str">
        <f t="array" ref="M824">_xlfn.XLOOKUP($A824, 'Hospitalisation Details'!$A:$A, 'Hospitalisation Details'!E:E, "No Data")</f>
        <v>27/09/93</v>
      </c>
      <c r="N824" s="28">
        <f t="array" ref="N824">_xlfn.XLOOKUP($A824, 'Hospitalisation Details'!$A:$A, 'Hospitalisation Details'!K:K, "No Data")</f>
        <v>29</v>
      </c>
      <c r="O824" s="33">
        <f t="array" ref="O824">_xlfn.XLOOKUP($A824, 'Hospitalisation Details'!$A:$A, 'Hospitalisation Details'!G:G, "No Data")</f>
        <v>12847.24</v>
      </c>
      <c r="P824" s="28" t="str">
        <f t="array" ref="P824">_xlfn.XLOOKUP($A824, 'Hospitalisation Details'!$A:$A, 'Hospitalisation Details'!H:H, "No Data")</f>
        <v>tier - 3</v>
      </c>
    </row>
    <row r="825">
      <c r="A825" s="25" t="s">
        <v>2626</v>
      </c>
      <c r="B825" s="28" t="str">
        <f t="array" ref="B825">_xlfn.XLOOKUP($A825, 'Customer Names'!$A:$A, 'Customer Names'!B:B, "No Data")</f>
        <v>Nelson</v>
      </c>
      <c r="C825" s="28">
        <f t="array" ref="C825">_xlfn.XLOOKUP($A825, 'Medical Examinations'!$A:$A, 'Medical Examinations'!B:B, "No Data")</f>
        <v>17.29</v>
      </c>
      <c r="D825" s="28">
        <f t="array" ref="D825">_xlfn.XLOOKUP($A825, 'Medical Examinations'!$A:$A, 'Medical Examinations'!C:C, "No Data")</f>
        <v>4.62</v>
      </c>
      <c r="E825" s="28" t="str">
        <f t="array" ref="E825">_xlfn.XLOOKUP($A825, 'Medical Examinations'!$A:$A, 'Medical Examinations'!D:D, "No Data")</f>
        <v>No</v>
      </c>
      <c r="F825" s="28" t="str">
        <f t="array" ref="F825">_xlfn.XLOOKUP($A825, 'Medical Examinations'!$A:$A, 'Medical Examinations'!E:E, "No Data")</f>
        <v>yes</v>
      </c>
      <c r="G825" s="28" t="str">
        <f t="array" ref="G825">_xlfn.XLOOKUP($A825, 'Medical Examinations'!$A:$A, 'Medical Examinations'!F:F, "No Data")</f>
        <v>No</v>
      </c>
      <c r="H825" s="28">
        <f t="array" ref="H825">_xlfn.XLOOKUP($A825, 'Medical Examinations'!$A:$A, 'Medical Examinations'!G:G, "No Data")</f>
        <v>1</v>
      </c>
      <c r="I825" s="28" t="str">
        <f t="array" ref="I825">_xlfn.XLOOKUP($A825, 'Medical Examinations'!$A:$A, 'Medical Examinations'!H:H, "No Data")</f>
        <v>yes</v>
      </c>
      <c r="J825" s="28" t="str">
        <f t="array" ref="J825">_xlfn.XLOOKUP($A825, 'Medical Examinations'!$A:$A, 'Medical Examinations'!I:I, "No Data")</f>
        <v>Underweight</v>
      </c>
      <c r="K825" s="28" t="str">
        <f t="array" ref="K825">_xlfn.XLOOKUP($A825, 'Hospitalisation Details'!$A:$A, 'Hospitalisation Details'!I:I, "No Data")</f>
        <v>tier - 3</v>
      </c>
      <c r="L825" s="28" t="str">
        <f t="array" ref="L825">_xlfn.XLOOKUP($A825, 'Hospitalisation Details'!$A:$A, 'Hospitalisation Details'!J:J, "No Data")</f>
        <v>R1016</v>
      </c>
      <c r="M825" s="28" t="str">
        <f t="array" ref="M825">_xlfn.XLOOKUP($A825, 'Hospitalisation Details'!$A:$A, 'Hospitalisation Details'!E:E, "No Data")</f>
        <v>09/11/04</v>
      </c>
      <c r="N825" s="28">
        <f t="array" ref="N825">_xlfn.XLOOKUP($A825, 'Hospitalisation Details'!$A:$A, 'Hospitalisation Details'!K:K, "No Data")</f>
        <v>18</v>
      </c>
      <c r="O825" s="33">
        <f t="array" ref="O825">_xlfn.XLOOKUP($A825, 'Hospitalisation Details'!$A:$A, 'Hospitalisation Details'!G:G, "No Data")</f>
        <v>12829.46</v>
      </c>
      <c r="P825" s="28" t="str">
        <f t="array" ref="P825">_xlfn.XLOOKUP($A825, 'Hospitalisation Details'!$A:$A, 'Hospitalisation Details'!H:H, "No Data")</f>
        <v>tier - 3</v>
      </c>
    </row>
    <row r="826">
      <c r="A826" s="25" t="s">
        <v>2628</v>
      </c>
      <c r="B826" s="28" t="str">
        <f t="array" ref="B826">_xlfn.XLOOKUP($A826, 'Customer Names'!$A:$A, 'Customer Names'!B:B, "No Data")</f>
        <v>Payne</v>
      </c>
      <c r="C826" s="28">
        <f t="array" ref="C826">_xlfn.XLOOKUP($A826, 'Medical Examinations'!$A:$A, 'Medical Examinations'!B:B, "No Data")</f>
        <v>31.74</v>
      </c>
      <c r="D826" s="28">
        <f t="array" ref="D826">_xlfn.XLOOKUP($A826, 'Medical Examinations'!$A:$A, 'Medical Examinations'!C:C, "No Data")</f>
        <v>7.68</v>
      </c>
      <c r="E826" s="28" t="str">
        <f t="array" ref="E826">_xlfn.XLOOKUP($A826, 'Medical Examinations'!$A:$A, 'Medical Examinations'!D:D, "No Data")</f>
        <v>yes</v>
      </c>
      <c r="F826" s="28" t="str">
        <f t="array" ref="F826">_xlfn.XLOOKUP($A826, 'Medical Examinations'!$A:$A, 'Medical Examinations'!E:E, "No Data")</f>
        <v>No</v>
      </c>
      <c r="G826" s="28" t="str">
        <f t="array" ref="G826">_xlfn.XLOOKUP($A826, 'Medical Examinations'!$A:$A, 'Medical Examinations'!F:F, "No Data")</f>
        <v>No</v>
      </c>
      <c r="H826" s="28">
        <f t="array" ref="H826">_xlfn.XLOOKUP($A826, 'Medical Examinations'!$A:$A, 'Medical Examinations'!G:G, "No Data")</f>
        <v>0</v>
      </c>
      <c r="I826" s="28" t="str">
        <f t="array" ref="I826">_xlfn.XLOOKUP($A826, 'Medical Examinations'!$A:$A, 'Medical Examinations'!H:H, "No Data")</f>
        <v>No</v>
      </c>
      <c r="J826" s="28" t="str">
        <f t="array" ref="J826">_xlfn.XLOOKUP($A826, 'Medical Examinations'!$A:$A, 'Medical Examinations'!I:I, "No Data")</f>
        <v>Obesity</v>
      </c>
      <c r="K826" s="28" t="str">
        <f t="array" ref="K826">_xlfn.XLOOKUP($A826, 'Hospitalisation Details'!$A:$A, 'Hospitalisation Details'!I:I, "No Data")</f>
        <v>tier - 3</v>
      </c>
      <c r="L826" s="28" t="str">
        <f t="array" ref="L826">_xlfn.XLOOKUP($A826, 'Hospitalisation Details'!$A:$A, 'Hospitalisation Details'!J:J, "No Data")</f>
        <v>R1021</v>
      </c>
      <c r="M826" s="28" t="str">
        <f t="array" ref="M826">_xlfn.XLOOKUP($A826, 'Hospitalisation Details'!$A:$A, 'Hospitalisation Details'!E:E, "No Data")</f>
        <v>25/09/67</v>
      </c>
      <c r="N826" s="28">
        <f t="array" ref="N826">_xlfn.XLOOKUP($A826, 'Hospitalisation Details'!$A:$A, 'Hospitalisation Details'!K:K, "No Data")</f>
        <v>55</v>
      </c>
      <c r="O826" s="33">
        <f t="array" ref="O826">_xlfn.XLOOKUP($A826, 'Hospitalisation Details'!$A:$A, 'Hospitalisation Details'!G:G, "No Data")</f>
        <v>12823.25</v>
      </c>
      <c r="P826" s="28" t="str">
        <f t="array" ref="P826">_xlfn.XLOOKUP($A826, 'Hospitalisation Details'!$A:$A, 'Hospitalisation Details'!H:H, "No Data")</f>
        <v>tier - 3</v>
      </c>
    </row>
    <row r="827">
      <c r="A827" s="25" t="s">
        <v>2632</v>
      </c>
      <c r="B827" s="28" t="str">
        <f t="array" ref="B827">_xlfn.XLOOKUP($A827, 'Customer Names'!$A:$A, 'Customer Names'!B:B, "No Data")</f>
        <v>Hails</v>
      </c>
      <c r="C827" s="28">
        <f t="array" ref="C827">_xlfn.XLOOKUP($A827, 'Medical Examinations'!$A:$A, 'Medical Examinations'!B:B, "No Data")</f>
        <v>26.505</v>
      </c>
      <c r="D827" s="28">
        <f t="array" ref="D827">_xlfn.XLOOKUP($A827, 'Medical Examinations'!$A:$A, 'Medical Examinations'!C:C, "No Data")</f>
        <v>6.79</v>
      </c>
      <c r="E827" s="28" t="str">
        <f t="array" ref="E827">_xlfn.XLOOKUP($A827, 'Medical Examinations'!$A:$A, 'Medical Examinations'!D:D, "No Data")</f>
        <v>yes</v>
      </c>
      <c r="F827" s="28" t="str">
        <f t="array" ref="F827">_xlfn.XLOOKUP($A827, 'Medical Examinations'!$A:$A, 'Medical Examinations'!E:E, "No Data")</f>
        <v>No</v>
      </c>
      <c r="G827" s="28" t="str">
        <f t="array" ref="G827">_xlfn.XLOOKUP($A827, 'Medical Examinations'!$A:$A, 'Medical Examinations'!F:F, "No Data")</f>
        <v>Yes</v>
      </c>
      <c r="H827" s="28">
        <f t="array" ref="H827">_xlfn.XLOOKUP($A827, 'Medical Examinations'!$A:$A, 'Medical Examinations'!G:G, "No Data")</f>
        <v>1</v>
      </c>
      <c r="I827" s="28" t="str">
        <f t="array" ref="I827">_xlfn.XLOOKUP($A827, 'Medical Examinations'!$A:$A, 'Medical Examinations'!H:H, "No Data")</f>
        <v>No</v>
      </c>
      <c r="J827" s="28" t="str">
        <f t="array" ref="J827">_xlfn.XLOOKUP($A827, 'Medical Examinations'!$A:$A, 'Medical Examinations'!I:I, "No Data")</f>
        <v>Overweight</v>
      </c>
      <c r="K827" s="28" t="str">
        <f t="array" ref="K827">_xlfn.XLOOKUP($A827, 'Hospitalisation Details'!$A:$A, 'Hospitalisation Details'!I:I, "No Data")</f>
        <v>tier - 3</v>
      </c>
      <c r="L827" s="28" t="str">
        <f t="array" ref="L827">_xlfn.XLOOKUP($A827, 'Hospitalisation Details'!$A:$A, 'Hospitalisation Details'!J:J, "No Data")</f>
        <v>R1024</v>
      </c>
      <c r="M827" s="28" t="str">
        <f t="array" ref="M827">_xlfn.XLOOKUP($A827, 'Hospitalisation Details'!$A:$A, 'Hospitalisation Details'!E:E, "No Data")</f>
        <v>20/07/63</v>
      </c>
      <c r="N827" s="28">
        <f t="array" ref="N827">_xlfn.XLOOKUP($A827, 'Hospitalisation Details'!$A:$A, 'Hospitalisation Details'!K:K, "No Data")</f>
        <v>59</v>
      </c>
      <c r="O827" s="33">
        <f t="array" ref="O827">_xlfn.XLOOKUP($A827, 'Hospitalisation Details'!$A:$A, 'Hospitalisation Details'!G:G, "No Data")</f>
        <v>12815.44</v>
      </c>
      <c r="P827" s="28" t="str">
        <f t="array" ref="P827">_xlfn.XLOOKUP($A827, 'Hospitalisation Details'!$A:$A, 'Hospitalisation Details'!H:H, "No Data")</f>
        <v>tier - 3</v>
      </c>
    </row>
    <row r="828">
      <c r="A828" s="25" t="s">
        <v>2636</v>
      </c>
      <c r="B828" s="28" t="str">
        <f t="array" ref="B828">_xlfn.XLOOKUP($A828, 'Customer Names'!$A:$A, 'Customer Names'!B:B, "No Data")</f>
        <v>Proctor</v>
      </c>
      <c r="C828" s="28">
        <f t="array" ref="C828">_xlfn.XLOOKUP($A828, 'Medical Examinations'!$A:$A, 'Medical Examinations'!B:B, "No Data")</f>
        <v>36.48</v>
      </c>
      <c r="D828" s="28">
        <f t="array" ref="D828">_xlfn.XLOOKUP($A828, 'Medical Examinations'!$A:$A, 'Medical Examinations'!C:C, "No Data")</f>
        <v>11.09</v>
      </c>
      <c r="E828" s="28" t="str">
        <f t="array" ref="E828">_xlfn.XLOOKUP($A828, 'Medical Examinations'!$A:$A, 'Medical Examinations'!D:D, "No Data")</f>
        <v>No</v>
      </c>
      <c r="F828" s="28" t="str">
        <f t="array" ref="F828">_xlfn.XLOOKUP($A828, 'Medical Examinations'!$A:$A, 'Medical Examinations'!E:E, "No Data")</f>
        <v>No</v>
      </c>
      <c r="G828" s="28" t="str">
        <f t="array" ref="G828">_xlfn.XLOOKUP($A828, 'Medical Examinations'!$A:$A, 'Medical Examinations'!F:F, "No Data")</f>
        <v>No</v>
      </c>
      <c r="H828" s="28">
        <f t="array" ref="H828">_xlfn.XLOOKUP($A828, 'Medical Examinations'!$A:$A, 'Medical Examinations'!G:G, "No Data")</f>
        <v>0</v>
      </c>
      <c r="I828" s="28" t="str">
        <f t="array" ref="I828">_xlfn.XLOOKUP($A828, 'Medical Examinations'!$A:$A, 'Medical Examinations'!H:H, "No Data")</f>
        <v>No</v>
      </c>
      <c r="J828" s="28" t="str">
        <f t="array" ref="J828">_xlfn.XLOOKUP($A828, 'Medical Examinations'!$A:$A, 'Medical Examinations'!I:I, "No Data")</f>
        <v>Obesity</v>
      </c>
      <c r="K828" s="28" t="str">
        <f t="array" ref="K828">_xlfn.XLOOKUP($A828, 'Hospitalisation Details'!$A:$A, 'Hospitalisation Details'!I:I, "No Data")</f>
        <v>tier - 1</v>
      </c>
      <c r="L828" s="28" t="str">
        <f t="array" ref="L828">_xlfn.XLOOKUP($A828, 'Hospitalisation Details'!$A:$A, 'Hospitalisation Details'!J:J, "No Data")</f>
        <v>R1024</v>
      </c>
      <c r="M828" s="28" t="str">
        <f t="array" ref="M828">_xlfn.XLOOKUP($A828, 'Hospitalisation Details'!$A:$A, 'Hospitalisation Details'!E:E, "No Data")</f>
        <v>24/07/78</v>
      </c>
      <c r="N828" s="28">
        <f t="array" ref="N828">_xlfn.XLOOKUP($A828, 'Hospitalisation Details'!$A:$A, 'Hospitalisation Details'!K:K, "No Data")</f>
        <v>44</v>
      </c>
      <c r="O828" s="33">
        <f t="array" ref="O828">_xlfn.XLOOKUP($A828, 'Hospitalisation Details'!$A:$A, 'Hospitalisation Details'!G:G, "No Data")</f>
        <v>12797.21</v>
      </c>
      <c r="P828" s="28" t="str">
        <f t="array" ref="P828">_xlfn.XLOOKUP($A828, 'Hospitalisation Details'!$A:$A, 'Hospitalisation Details'!H:H, "No Data")</f>
        <v>tier - 3</v>
      </c>
    </row>
    <row r="829">
      <c r="A829" s="25" t="s">
        <v>2639</v>
      </c>
      <c r="B829" s="28" t="str">
        <f t="array" ref="B829">_xlfn.XLOOKUP($A829, 'Customer Names'!$A:$A, 'Customer Names'!B:B, "No Data")</f>
        <v>Ryan</v>
      </c>
      <c r="C829" s="28">
        <f t="array" ref="C829">_xlfn.XLOOKUP($A829, 'Medical Examinations'!$A:$A, 'Medical Examinations'!B:B, "No Data")</f>
        <v>39.16</v>
      </c>
      <c r="D829" s="28">
        <f t="array" ref="D829">_xlfn.XLOOKUP($A829, 'Medical Examinations'!$A:$A, 'Medical Examinations'!C:C, "No Data")</f>
        <v>5.24</v>
      </c>
      <c r="E829" s="28" t="str">
        <f t="array" ref="E829">_xlfn.XLOOKUP($A829, 'Medical Examinations'!$A:$A, 'Medical Examinations'!D:D, "No Data")</f>
        <v>yes</v>
      </c>
      <c r="F829" s="28" t="str">
        <f t="array" ref="F829">_xlfn.XLOOKUP($A829, 'Medical Examinations'!$A:$A, 'Medical Examinations'!E:E, "No Data")</f>
        <v>No</v>
      </c>
      <c r="G829" s="28" t="str">
        <f t="array" ref="G829">_xlfn.XLOOKUP($A829, 'Medical Examinations'!$A:$A, 'Medical Examinations'!F:F, "No Data")</f>
        <v>Yes</v>
      </c>
      <c r="H829" s="28">
        <f t="array" ref="H829">_xlfn.XLOOKUP($A829, 'Medical Examinations'!$A:$A, 'Medical Examinations'!G:G, "No Data")</f>
        <v>1</v>
      </c>
      <c r="I829" s="28" t="str">
        <f t="array" ref="I829">_xlfn.XLOOKUP($A829, 'Medical Examinations'!$A:$A, 'Medical Examinations'!H:H, "No Data")</f>
        <v>No</v>
      </c>
      <c r="J829" s="28" t="str">
        <f t="array" ref="J829">_xlfn.XLOOKUP($A829, 'Medical Examinations'!$A:$A, 'Medical Examinations'!I:I, "No Data")</f>
        <v>Obesity</v>
      </c>
      <c r="K829" s="28" t="str">
        <f t="array" ref="K829">_xlfn.XLOOKUP($A829, 'Hospitalisation Details'!$A:$A, 'Hospitalisation Details'!I:I, "No Data")</f>
        <v>tier - 1</v>
      </c>
      <c r="L829" s="28" t="str">
        <f t="array" ref="L829">_xlfn.XLOOKUP($A829, 'Hospitalisation Details'!$A:$A, 'Hospitalisation Details'!J:J, "No Data")</f>
        <v>R1026</v>
      </c>
      <c r="M829" s="28" t="str">
        <f t="array" ref="M829">_xlfn.XLOOKUP($A829, 'Hospitalisation Details'!$A:$A, 'Hospitalisation Details'!E:E, "No Data")</f>
        <v>29/10/83</v>
      </c>
      <c r="N829" s="28">
        <f t="array" ref="N829">_xlfn.XLOOKUP($A829, 'Hospitalisation Details'!$A:$A, 'Hospitalisation Details'!K:K, "No Data")</f>
        <v>39</v>
      </c>
      <c r="O829" s="33">
        <f t="array" ref="O829">_xlfn.XLOOKUP($A829, 'Hospitalisation Details'!$A:$A, 'Hospitalisation Details'!G:G, "No Data")</f>
        <v>12788.18</v>
      </c>
      <c r="P829" s="28" t="str">
        <f t="array" ref="P829">_xlfn.XLOOKUP($A829, 'Hospitalisation Details'!$A:$A, 'Hospitalisation Details'!H:H, "No Data")</f>
        <v>tier - 3</v>
      </c>
    </row>
    <row r="830">
      <c r="A830" s="25" t="s">
        <v>2642</v>
      </c>
      <c r="B830" s="28" t="str">
        <f t="array" ref="B830">_xlfn.XLOOKUP($A830, 'Customer Names'!$A:$A, 'Customer Names'!B:B, "No Data")</f>
        <v>Watson</v>
      </c>
      <c r="C830" s="28">
        <f t="array" ref="C830">_xlfn.XLOOKUP($A830, 'Medical Examinations'!$A:$A, 'Medical Examinations'!B:B, "No Data")</f>
        <v>28.22</v>
      </c>
      <c r="D830" s="28">
        <f t="array" ref="D830">_xlfn.XLOOKUP($A830, 'Medical Examinations'!$A:$A, 'Medical Examinations'!C:C, "No Data")</f>
        <v>7.51</v>
      </c>
      <c r="E830" s="28" t="str">
        <f t="array" ref="E830">_xlfn.XLOOKUP($A830, 'Medical Examinations'!$A:$A, 'Medical Examinations'!D:D, "No Data")</f>
        <v>yes</v>
      </c>
      <c r="F830" s="28" t="str">
        <f t="array" ref="F830">_xlfn.XLOOKUP($A830, 'Medical Examinations'!$A:$A, 'Medical Examinations'!E:E, "No Data")</f>
        <v>No</v>
      </c>
      <c r="G830" s="28" t="str">
        <f t="array" ref="G830">_xlfn.XLOOKUP($A830, 'Medical Examinations'!$A:$A, 'Medical Examinations'!F:F, "No Data")</f>
        <v>Yes</v>
      </c>
      <c r="H830" s="28">
        <f t="array" ref="H830">_xlfn.XLOOKUP($A830, 'Medical Examinations'!$A:$A, 'Medical Examinations'!G:G, "No Data")</f>
        <v>1</v>
      </c>
      <c r="I830" s="28" t="str">
        <f t="array" ref="I830">_xlfn.XLOOKUP($A830, 'Medical Examinations'!$A:$A, 'Medical Examinations'!H:H, "No Data")</f>
        <v>No</v>
      </c>
      <c r="J830" s="28" t="str">
        <f t="array" ref="J830">_xlfn.XLOOKUP($A830, 'Medical Examinations'!$A:$A, 'Medical Examinations'!I:I, "No Data")</f>
        <v>Overweight</v>
      </c>
      <c r="K830" s="28" t="str">
        <f t="array" ref="K830">_xlfn.XLOOKUP($A830, 'Hospitalisation Details'!$A:$A, 'Hospitalisation Details'!I:I, "No Data")</f>
        <v>tier - 3</v>
      </c>
      <c r="L830" s="28" t="str">
        <f t="array" ref="L830">_xlfn.XLOOKUP($A830, 'Hospitalisation Details'!$A:$A, 'Hospitalisation Details'!J:J, "No Data")</f>
        <v>R1025</v>
      </c>
      <c r="M830" s="28" t="str">
        <f t="array" ref="M830">_xlfn.XLOOKUP($A830, 'Hospitalisation Details'!$A:$A, 'Hospitalisation Details'!E:E, "No Data")</f>
        <v>05/12/63</v>
      </c>
      <c r="N830" s="28">
        <f t="array" ref="N830">_xlfn.XLOOKUP($A830, 'Hospitalisation Details'!$A:$A, 'Hospitalisation Details'!K:K, "No Data")</f>
        <v>59</v>
      </c>
      <c r="O830" s="33">
        <f t="array" ref="O830">_xlfn.XLOOKUP($A830, 'Hospitalisation Details'!$A:$A, 'Hospitalisation Details'!G:G, "No Data")</f>
        <v>12788.03</v>
      </c>
      <c r="P830" s="28" t="str">
        <f t="array" ref="P830">_xlfn.XLOOKUP($A830, 'Hospitalisation Details'!$A:$A, 'Hospitalisation Details'!H:H, "No Data")</f>
        <v>tier - 3</v>
      </c>
    </row>
    <row r="831">
      <c r="A831" s="25" t="s">
        <v>2645</v>
      </c>
      <c r="B831" s="28" t="str">
        <f t="array" ref="B831">_xlfn.XLOOKUP($A831, 'Customer Names'!$A:$A, 'Customer Names'!B:B, "No Data")</f>
        <v>Gresh</v>
      </c>
      <c r="C831" s="28">
        <f t="array" ref="C831">_xlfn.XLOOKUP($A831, 'Medical Examinations'!$A:$A, 'Medical Examinations'!B:B, "No Data")</f>
        <v>35</v>
      </c>
      <c r="D831" s="28">
        <f t="array" ref="D831">_xlfn.XLOOKUP($A831, 'Medical Examinations'!$A:$A, 'Medical Examinations'!C:C, "No Data")</f>
        <v>4.13</v>
      </c>
      <c r="E831" s="28" t="str">
        <f t="array" ref="E831">_xlfn.XLOOKUP($A831, 'Medical Examinations'!$A:$A, 'Medical Examinations'!D:D, "No Data")</f>
        <v>No</v>
      </c>
      <c r="F831" s="28" t="str">
        <f t="array" ref="F831">_xlfn.XLOOKUP($A831, 'Medical Examinations'!$A:$A, 'Medical Examinations'!E:E, "No Data")</f>
        <v>No</v>
      </c>
      <c r="G831" s="28" t="str">
        <f t="array" ref="G831">_xlfn.XLOOKUP($A831, 'Medical Examinations'!$A:$A, 'Medical Examinations'!F:F, "No Data")</f>
        <v>No</v>
      </c>
      <c r="H831" s="28">
        <f t="array" ref="H831">_xlfn.XLOOKUP($A831, 'Medical Examinations'!$A:$A, 'Medical Examinations'!G:G, "No Data")</f>
        <v>2</v>
      </c>
      <c r="I831" s="28" t="str">
        <f t="array" ref="I831">_xlfn.XLOOKUP($A831, 'Medical Examinations'!$A:$A, 'Medical Examinations'!H:H, "No Data")</f>
        <v>No</v>
      </c>
      <c r="J831" s="28" t="str">
        <f t="array" ref="J831">_xlfn.XLOOKUP($A831, 'Medical Examinations'!$A:$A, 'Medical Examinations'!I:I, "No Data")</f>
        <v>Obesity</v>
      </c>
      <c r="K831" s="28" t="str">
        <f t="array" ref="K831">_xlfn.XLOOKUP($A831, 'Hospitalisation Details'!$A:$A, 'Hospitalisation Details'!I:I, "No Data")</f>
        <v>tier - 3</v>
      </c>
      <c r="L831" s="28" t="str">
        <f t="array" ref="L831">_xlfn.XLOOKUP($A831, 'Hospitalisation Details'!$A:$A, 'Hospitalisation Details'!J:J, "No Data")</f>
        <v>R1026</v>
      </c>
      <c r="M831" s="28" t="str">
        <f t="array" ref="M831">_xlfn.XLOOKUP($A831, 'Hospitalisation Details'!$A:$A, 'Hospitalisation Details'!E:E, "No Data")</f>
        <v>07/10/72</v>
      </c>
      <c r="N831" s="28">
        <f t="array" ref="N831">_xlfn.XLOOKUP($A831, 'Hospitalisation Details'!$A:$A, 'Hospitalisation Details'!K:K, "No Data")</f>
        <v>50</v>
      </c>
      <c r="O831" s="33">
        <f t="array" ref="O831">_xlfn.XLOOKUP($A831, 'Hospitalisation Details'!$A:$A, 'Hospitalisation Details'!G:G, "No Data")</f>
        <v>12776.05</v>
      </c>
      <c r="P831" s="28" t="str">
        <f t="array" ref="P831">_xlfn.XLOOKUP($A831, 'Hospitalisation Details'!$A:$A, 'Hospitalisation Details'!H:H, "No Data")</f>
        <v>tier - 3</v>
      </c>
    </row>
    <row r="832">
      <c r="A832" s="25" t="s">
        <v>2649</v>
      </c>
      <c r="B832" s="28" t="str">
        <f t="array" ref="B832">_xlfn.XLOOKUP($A832, 'Customer Names'!$A:$A, 'Customer Names'!B:B, "No Data")</f>
        <v>Anis</v>
      </c>
      <c r="C832" s="28">
        <f t="array" ref="C832">_xlfn.XLOOKUP($A832, 'Medical Examinations'!$A:$A, 'Medical Examinations'!B:B, "No Data")</f>
        <v>36.24</v>
      </c>
      <c r="D832" s="28">
        <f t="array" ref="D832">_xlfn.XLOOKUP($A832, 'Medical Examinations'!$A:$A, 'Medical Examinations'!C:C, "No Data")</f>
        <v>8.38</v>
      </c>
      <c r="E832" s="28" t="str">
        <f t="array" ref="E832">_xlfn.XLOOKUP($A832, 'Medical Examinations'!$A:$A, 'Medical Examinations'!D:D, "No Data")</f>
        <v>yes</v>
      </c>
      <c r="F832" s="28" t="str">
        <f t="array" ref="F832">_xlfn.XLOOKUP($A832, 'Medical Examinations'!$A:$A, 'Medical Examinations'!E:E, "No Data")</f>
        <v>No</v>
      </c>
      <c r="G832" s="28" t="str">
        <f t="array" ref="G832">_xlfn.XLOOKUP($A832, 'Medical Examinations'!$A:$A, 'Medical Examinations'!F:F, "No Data")</f>
        <v>No</v>
      </c>
      <c r="H832" s="28">
        <f t="array" ref="H832">_xlfn.XLOOKUP($A832, 'Medical Examinations'!$A:$A, 'Medical Examinations'!G:G, "No Data")</f>
        <v>1</v>
      </c>
      <c r="I832" s="28" t="str">
        <f t="array" ref="I832">_xlfn.XLOOKUP($A832, 'Medical Examinations'!$A:$A, 'Medical Examinations'!H:H, "No Data")</f>
        <v>No</v>
      </c>
      <c r="J832" s="28" t="str">
        <f t="array" ref="J832">_xlfn.XLOOKUP($A832, 'Medical Examinations'!$A:$A, 'Medical Examinations'!I:I, "No Data")</f>
        <v>Obesity</v>
      </c>
      <c r="K832" s="28" t="str">
        <f t="array" ref="K832">_xlfn.XLOOKUP($A832, 'Hospitalisation Details'!$A:$A, 'Hospitalisation Details'!I:I, "No Data")</f>
        <v>tier - 3</v>
      </c>
      <c r="L832" s="28" t="str">
        <f t="array" ref="L832">_xlfn.XLOOKUP($A832, 'Hospitalisation Details'!$A:$A, 'Hospitalisation Details'!J:J, "No Data")</f>
        <v>R1021</v>
      </c>
      <c r="M832" s="28" t="str">
        <f t="array" ref="M832">_xlfn.XLOOKUP($A832, 'Hospitalisation Details'!$A:$A, 'Hospitalisation Details'!E:E, "No Data")</f>
        <v>25/09/75</v>
      </c>
      <c r="N832" s="28">
        <f t="array" ref="N832">_xlfn.XLOOKUP($A832, 'Hospitalisation Details'!$A:$A, 'Hospitalisation Details'!K:K, "No Data")</f>
        <v>47</v>
      </c>
      <c r="O832" s="33">
        <f t="array" ref="O832">_xlfn.XLOOKUP($A832, 'Hospitalisation Details'!$A:$A, 'Hospitalisation Details'!G:G, "No Data")</f>
        <v>12770.27</v>
      </c>
      <c r="P832" s="28" t="str">
        <f t="array" ref="P832">_xlfn.XLOOKUP($A832, 'Hospitalisation Details'!$A:$A, 'Hospitalisation Details'!H:H, "No Data")</f>
        <v>tier - 3</v>
      </c>
    </row>
    <row r="833">
      <c r="A833" s="25" t="s">
        <v>2651</v>
      </c>
      <c r="B833" s="28" t="str">
        <f t="array" ref="B833">_xlfn.XLOOKUP($A833, 'Customer Names'!$A:$A, 'Customer Names'!B:B, "No Data")</f>
        <v>Swartz</v>
      </c>
      <c r="C833" s="28">
        <f t="array" ref="C833">_xlfn.XLOOKUP($A833, 'Medical Examinations'!$A:$A, 'Medical Examinations'!B:B, "No Data")</f>
        <v>36.955</v>
      </c>
      <c r="D833" s="28">
        <f t="array" ref="D833">_xlfn.XLOOKUP($A833, 'Medical Examinations'!$A:$A, 'Medical Examinations'!C:C, "No Data")</f>
        <v>8.07</v>
      </c>
      <c r="E833" s="28" t="str">
        <f t="array" ref="E833">_xlfn.XLOOKUP($A833, 'Medical Examinations'!$A:$A, 'Medical Examinations'!D:D, "No Data")</f>
        <v>No</v>
      </c>
      <c r="F833" s="28" t="str">
        <f t="array" ref="F833">_xlfn.XLOOKUP($A833, 'Medical Examinations'!$A:$A, 'Medical Examinations'!E:E, "No Data")</f>
        <v>No</v>
      </c>
      <c r="G833" s="28" t="str">
        <f t="array" ref="G833">_xlfn.XLOOKUP($A833, 'Medical Examinations'!$A:$A, 'Medical Examinations'!F:F, "No Data")</f>
        <v>No</v>
      </c>
      <c r="H833" s="28">
        <f t="array" ref="H833">_xlfn.XLOOKUP($A833, 'Medical Examinations'!$A:$A, 'Medical Examinations'!G:G, "No Data")</f>
        <v>0</v>
      </c>
      <c r="I833" s="28" t="str">
        <f t="array" ref="I833">_xlfn.XLOOKUP($A833, 'Medical Examinations'!$A:$A, 'Medical Examinations'!H:H, "No Data")</f>
        <v>No</v>
      </c>
      <c r="J833" s="28" t="str">
        <f t="array" ref="J833">_xlfn.XLOOKUP($A833, 'Medical Examinations'!$A:$A, 'Medical Examinations'!I:I, "No Data")</f>
        <v>Obesity</v>
      </c>
      <c r="K833" s="28" t="str">
        <f t="array" ref="K833">_xlfn.XLOOKUP($A833, 'Hospitalisation Details'!$A:$A, 'Hospitalisation Details'!I:I, "No Data")</f>
        <v>tier - 1</v>
      </c>
      <c r="L833" s="28" t="str">
        <f t="array" ref="L833">_xlfn.XLOOKUP($A833, 'Hospitalisation Details'!$A:$A, 'Hospitalisation Details'!J:J, "No Data")</f>
        <v>R1017</v>
      </c>
      <c r="M833" s="28" t="str">
        <f t="array" ref="M833">_xlfn.XLOOKUP($A833, 'Hospitalisation Details'!$A:$A, 'Hospitalisation Details'!E:E, "No Data")</f>
        <v>01/10/62</v>
      </c>
      <c r="N833" s="28">
        <f t="array" ref="N833">_xlfn.XLOOKUP($A833, 'Hospitalisation Details'!$A:$A, 'Hospitalisation Details'!K:K, "No Data")</f>
        <v>60</v>
      </c>
      <c r="O833" s="33">
        <f t="array" ref="O833">_xlfn.XLOOKUP($A833, 'Hospitalisation Details'!$A:$A, 'Hospitalisation Details'!G:G, "No Data")</f>
        <v>12741.17</v>
      </c>
      <c r="P833" s="28" t="str">
        <f t="array" ref="P833">_xlfn.XLOOKUP($A833, 'Hospitalisation Details'!$A:$A, 'Hospitalisation Details'!H:H, "No Data")</f>
        <v>tier - 3</v>
      </c>
    </row>
    <row r="834">
      <c r="A834" s="25" t="s">
        <v>2655</v>
      </c>
      <c r="B834" s="28" t="str">
        <f t="array" ref="B834">_xlfn.XLOOKUP($A834, 'Customer Names'!$A:$A, 'Customer Names'!B:B, "No Data")</f>
        <v>Schluneker</v>
      </c>
      <c r="C834" s="28">
        <f t="array" ref="C834">_xlfn.XLOOKUP($A834, 'Medical Examinations'!$A:$A, 'Medical Examinations'!B:B, "No Data")</f>
        <v>29.64</v>
      </c>
      <c r="D834" s="28">
        <f t="array" ref="D834">_xlfn.XLOOKUP($A834, 'Medical Examinations'!$A:$A, 'Medical Examinations'!C:C, "No Data")</f>
        <v>8.95</v>
      </c>
      <c r="E834" s="28" t="str">
        <f t="array" ref="E834">_xlfn.XLOOKUP($A834, 'Medical Examinations'!$A:$A, 'Medical Examinations'!D:D, "No Data")</f>
        <v>No</v>
      </c>
      <c r="F834" s="28" t="str">
        <f t="array" ref="F834">_xlfn.XLOOKUP($A834, 'Medical Examinations'!$A:$A, 'Medical Examinations'!E:E, "No Data")</f>
        <v>No</v>
      </c>
      <c r="G834" s="28" t="str">
        <f t="array" ref="G834">_xlfn.XLOOKUP($A834, 'Medical Examinations'!$A:$A, 'Medical Examinations'!F:F, "No Data")</f>
        <v>No</v>
      </c>
      <c r="H834" s="28">
        <f t="array" ref="H834">_xlfn.XLOOKUP($A834, 'Medical Examinations'!$A:$A, 'Medical Examinations'!G:G, "No Data")</f>
        <v>0</v>
      </c>
      <c r="I834" s="28" t="str">
        <f t="array" ref="I834">_xlfn.XLOOKUP($A834, 'Medical Examinations'!$A:$A, 'Medical Examinations'!H:H, "No Data")</f>
        <v>No</v>
      </c>
      <c r="J834" s="28" t="str">
        <f t="array" ref="J834">_xlfn.XLOOKUP($A834, 'Medical Examinations'!$A:$A, 'Medical Examinations'!I:I, "No Data")</f>
        <v>Overweight</v>
      </c>
      <c r="K834" s="28" t="str">
        <f t="array" ref="K834">_xlfn.XLOOKUP($A834, 'Hospitalisation Details'!$A:$A, 'Hospitalisation Details'!I:I, "No Data")</f>
        <v>tier - 3</v>
      </c>
      <c r="L834" s="28" t="str">
        <f t="array" ref="L834">_xlfn.XLOOKUP($A834, 'Hospitalisation Details'!$A:$A, 'Hospitalisation Details'!J:J, "No Data")</f>
        <v>R1016</v>
      </c>
      <c r="M834" s="28" t="str">
        <f t="array" ref="M834">_xlfn.XLOOKUP($A834, 'Hospitalisation Details'!$A:$A, 'Hospitalisation Details'!E:E, "No Data")</f>
        <v>02/09/62</v>
      </c>
      <c r="N834" s="28">
        <f t="array" ref="N834">_xlfn.XLOOKUP($A834, 'Hospitalisation Details'!$A:$A, 'Hospitalisation Details'!K:K, "No Data")</f>
        <v>60</v>
      </c>
      <c r="O834" s="33">
        <f t="array" ref="O834">_xlfn.XLOOKUP($A834, 'Hospitalisation Details'!$A:$A, 'Hospitalisation Details'!G:G, "No Data")</f>
        <v>12731</v>
      </c>
      <c r="P834" s="28" t="str">
        <f t="array" ref="P834">_xlfn.XLOOKUP($A834, 'Hospitalisation Details'!$A:$A, 'Hospitalisation Details'!H:H, "No Data")</f>
        <v>tier - 3</v>
      </c>
    </row>
    <row r="835">
      <c r="A835" s="25" t="s">
        <v>2658</v>
      </c>
      <c r="B835" s="28" t="str">
        <f t="array" ref="B835">_xlfn.XLOOKUP($A835, 'Customer Names'!$A:$A, 'Customer Names'!B:B, "No Data")</f>
        <v>Bellemare</v>
      </c>
      <c r="C835" s="28">
        <f t="array" ref="C835">_xlfn.XLOOKUP($A835, 'Medical Examinations'!$A:$A, 'Medical Examinations'!B:B, "No Data")</f>
        <v>42.74</v>
      </c>
      <c r="D835" s="28">
        <f t="array" ref="D835">_xlfn.XLOOKUP($A835, 'Medical Examinations'!$A:$A, 'Medical Examinations'!C:C, "No Data")</f>
        <v>6.31</v>
      </c>
      <c r="E835" s="28" t="str">
        <f t="array" ref="E835">_xlfn.XLOOKUP($A835, 'Medical Examinations'!$A:$A, 'Medical Examinations'!D:D, "No Data")</f>
        <v>yes</v>
      </c>
      <c r="F835" s="28" t="str">
        <f t="array" ref="F835">_xlfn.XLOOKUP($A835, 'Medical Examinations'!$A:$A, 'Medical Examinations'!E:E, "No Data")</f>
        <v>No</v>
      </c>
      <c r="G835" s="28" t="str">
        <f t="array" ref="G835">_xlfn.XLOOKUP($A835, 'Medical Examinations'!$A:$A, 'Medical Examinations'!F:F, "No Data")</f>
        <v>No</v>
      </c>
      <c r="H835" s="28">
        <f t="array" ref="H835">_xlfn.XLOOKUP($A835, 'Medical Examinations'!$A:$A, 'Medical Examinations'!G:G, "No Data")</f>
        <v>1</v>
      </c>
      <c r="I835" s="28" t="str">
        <f t="array" ref="I835">_xlfn.XLOOKUP($A835, 'Medical Examinations'!$A:$A, 'Medical Examinations'!H:H, "No Data")</f>
        <v>No</v>
      </c>
      <c r="J835" s="28" t="str">
        <f t="array" ref="J835">_xlfn.XLOOKUP($A835, 'Medical Examinations'!$A:$A, 'Medical Examinations'!I:I, "No Data")</f>
        <v>Obesity</v>
      </c>
      <c r="K835" s="28" t="str">
        <f t="array" ref="K835">_xlfn.XLOOKUP($A835, 'Hospitalisation Details'!$A:$A, 'Hospitalisation Details'!I:I, "No Data")</f>
        <v>tier - 1</v>
      </c>
      <c r="L835" s="28" t="str">
        <f t="array" ref="L835">_xlfn.XLOOKUP($A835, 'Hospitalisation Details'!$A:$A, 'Hospitalisation Details'!J:J, "No Data")</f>
        <v>R1026</v>
      </c>
      <c r="M835" s="28" t="str">
        <f t="array" ref="M835">_xlfn.XLOOKUP($A835, 'Hospitalisation Details'!$A:$A, 'Hospitalisation Details'!E:E, "No Data")</f>
        <v>17/07/88</v>
      </c>
      <c r="N835" s="28">
        <f t="array" ref="N835">_xlfn.XLOOKUP($A835, 'Hospitalisation Details'!$A:$A, 'Hospitalisation Details'!K:K, "No Data")</f>
        <v>34</v>
      </c>
      <c r="O835" s="33">
        <f t="array" ref="O835">_xlfn.XLOOKUP($A835, 'Hospitalisation Details'!$A:$A, 'Hospitalisation Details'!G:G, "No Data")</f>
        <v>12718.21</v>
      </c>
      <c r="P835" s="28" t="str">
        <f t="array" ref="P835">_xlfn.XLOOKUP($A835, 'Hospitalisation Details'!$A:$A, 'Hospitalisation Details'!H:H, "No Data")</f>
        <v>tier - 3</v>
      </c>
    </row>
    <row r="836">
      <c r="A836" s="25" t="s">
        <v>2661</v>
      </c>
      <c r="B836" s="28" t="str">
        <f t="array" ref="B836">_xlfn.XLOOKUP($A836, 'Customer Names'!$A:$A, 'Customer Names'!B:B, "No Data")</f>
        <v>Vitalo</v>
      </c>
      <c r="C836" s="28">
        <f t="array" ref="C836">_xlfn.XLOOKUP($A836, 'Medical Examinations'!$A:$A, 'Medical Examinations'!B:B, "No Data")</f>
        <v>36.13</v>
      </c>
      <c r="D836" s="28">
        <f t="array" ref="D836">_xlfn.XLOOKUP($A836, 'Medical Examinations'!$A:$A, 'Medical Examinations'!C:C, "No Data")</f>
        <v>7.19</v>
      </c>
      <c r="E836" s="28" t="str">
        <f t="array" ref="E836">_xlfn.XLOOKUP($A836, 'Medical Examinations'!$A:$A, 'Medical Examinations'!D:D, "No Data")</f>
        <v>yes</v>
      </c>
      <c r="F836" s="28" t="str">
        <f t="array" ref="F836">_xlfn.XLOOKUP($A836, 'Medical Examinations'!$A:$A, 'Medical Examinations'!E:E, "No Data")</f>
        <v>No</v>
      </c>
      <c r="G836" s="28" t="str">
        <f t="array" ref="G836">_xlfn.XLOOKUP($A836, 'Medical Examinations'!$A:$A, 'Medical Examinations'!F:F, "No Data")</f>
        <v>No</v>
      </c>
      <c r="H836" s="28">
        <f t="array" ref="H836">_xlfn.XLOOKUP($A836, 'Medical Examinations'!$A:$A, 'Medical Examinations'!G:G, "No Data")</f>
        <v>2</v>
      </c>
      <c r="I836" s="28" t="str">
        <f t="array" ref="I836">_xlfn.XLOOKUP($A836, 'Medical Examinations'!$A:$A, 'Medical Examinations'!H:H, "No Data")</f>
        <v>No</v>
      </c>
      <c r="J836" s="28" t="str">
        <f t="array" ref="J836">_xlfn.XLOOKUP($A836, 'Medical Examinations'!$A:$A, 'Medical Examinations'!I:I, "No Data")</f>
        <v>Obesity</v>
      </c>
      <c r="K836" s="28" t="str">
        <f t="array" ref="K836">_xlfn.XLOOKUP($A836, 'Hospitalisation Details'!$A:$A, 'Hospitalisation Details'!I:I, "No Data")</f>
        <v>tier - 1</v>
      </c>
      <c r="L836" s="28" t="str">
        <f t="array" ref="L836">_xlfn.XLOOKUP($A836, 'Hospitalisation Details'!$A:$A, 'Hospitalisation Details'!J:J, "No Data")</f>
        <v>R1011</v>
      </c>
      <c r="M836" s="28" t="str">
        <f t="array" ref="M836">_xlfn.XLOOKUP($A836, 'Hospitalisation Details'!$A:$A, 'Hospitalisation Details'!E:E, "No Data")</f>
        <v>08/07/70</v>
      </c>
      <c r="N836" s="28">
        <f t="array" ref="N836">_xlfn.XLOOKUP($A836, 'Hospitalisation Details'!$A:$A, 'Hospitalisation Details'!K:K, "No Data")</f>
        <v>52</v>
      </c>
      <c r="O836" s="33">
        <f t="array" ref="O836">_xlfn.XLOOKUP($A836, 'Hospitalisation Details'!$A:$A, 'Hospitalisation Details'!G:G, "No Data")</f>
        <v>12713</v>
      </c>
      <c r="P836" s="28" t="str">
        <f t="array" ref="P836">_xlfn.XLOOKUP($A836, 'Hospitalisation Details'!$A:$A, 'Hospitalisation Details'!H:H, "No Data")</f>
        <v>tier - 3</v>
      </c>
    </row>
    <row r="837">
      <c r="A837" s="25" t="s">
        <v>2664</v>
      </c>
      <c r="B837" s="28" t="str">
        <f t="array" ref="B837">_xlfn.XLOOKUP($A837, 'Customer Names'!$A:$A, 'Customer Names'!B:B, "No Data")</f>
        <v>Hamilton</v>
      </c>
      <c r="C837" s="28">
        <f t="array" ref="C837">_xlfn.XLOOKUP($A837, 'Medical Examinations'!$A:$A, 'Medical Examinations'!B:B, "No Data")</f>
        <v>31.55</v>
      </c>
      <c r="D837" s="28">
        <f t="array" ref="D837">_xlfn.XLOOKUP($A837, 'Medical Examinations'!$A:$A, 'Medical Examinations'!C:C, "No Data")</f>
        <v>6.11</v>
      </c>
      <c r="E837" s="28" t="str">
        <f t="array" ref="E837">_xlfn.XLOOKUP($A837, 'Medical Examinations'!$A:$A, 'Medical Examinations'!D:D, "No Data")</f>
        <v>yes</v>
      </c>
      <c r="F837" s="28" t="str">
        <f t="array" ref="F837">_xlfn.XLOOKUP($A837, 'Medical Examinations'!$A:$A, 'Medical Examinations'!E:E, "No Data")</f>
        <v>No</v>
      </c>
      <c r="G837" s="28" t="str">
        <f t="array" ref="G837">_xlfn.XLOOKUP($A837, 'Medical Examinations'!$A:$A, 'Medical Examinations'!F:F, "No Data")</f>
        <v>No</v>
      </c>
      <c r="H837" s="28">
        <f t="array" ref="H837">_xlfn.XLOOKUP($A837, 'Medical Examinations'!$A:$A, 'Medical Examinations'!G:G, "No Data")</f>
        <v>1</v>
      </c>
      <c r="I837" s="28" t="str">
        <f t="array" ref="I837">_xlfn.XLOOKUP($A837, 'Medical Examinations'!$A:$A, 'Medical Examinations'!H:H, "No Data")</f>
        <v>No</v>
      </c>
      <c r="J837" s="28" t="str">
        <f t="array" ref="J837">_xlfn.XLOOKUP($A837, 'Medical Examinations'!$A:$A, 'Medical Examinations'!I:I, "No Data")</f>
        <v>Obesity</v>
      </c>
      <c r="K837" s="28" t="str">
        <f t="array" ref="K837">_xlfn.XLOOKUP($A837, 'Hospitalisation Details'!$A:$A, 'Hospitalisation Details'!I:I, "No Data")</f>
        <v>tier - 3</v>
      </c>
      <c r="L837" s="28" t="str">
        <f t="array" ref="L837">_xlfn.XLOOKUP($A837, 'Hospitalisation Details'!$A:$A, 'Hospitalisation Details'!J:J, "No Data")</f>
        <v>R1011</v>
      </c>
      <c r="M837" s="28" t="str">
        <f t="array" ref="M837">_xlfn.XLOOKUP($A837, 'Hospitalisation Details'!$A:$A, 'Hospitalisation Details'!E:E, "No Data")</f>
        <v>28/11/64</v>
      </c>
      <c r="N837" s="28">
        <f t="array" ref="N837">_xlfn.XLOOKUP($A837, 'Hospitalisation Details'!$A:$A, 'Hospitalisation Details'!K:K, "No Data")</f>
        <v>58</v>
      </c>
      <c r="O837" s="33">
        <f t="array" ref="O837">_xlfn.XLOOKUP($A837, 'Hospitalisation Details'!$A:$A, 'Hospitalisation Details'!G:G, "No Data")</f>
        <v>12700.63</v>
      </c>
      <c r="P837" s="28" t="str">
        <f t="array" ref="P837">_xlfn.XLOOKUP($A837, 'Hospitalisation Details'!$A:$A, 'Hospitalisation Details'!H:H, "No Data")</f>
        <v>tier - 3</v>
      </c>
    </row>
    <row r="838">
      <c r="A838" s="25" t="s">
        <v>2667</v>
      </c>
      <c r="B838" s="28" t="str">
        <f t="array" ref="B838">_xlfn.XLOOKUP($A838, 'Customer Names'!$A:$A, 'Customer Names'!B:B, "No Data")</f>
        <v>Marshall</v>
      </c>
      <c r="C838" s="28">
        <f t="array" ref="C838">_xlfn.XLOOKUP($A838, 'Medical Examinations'!$A:$A, 'Medical Examinations'!B:B, "No Data")</f>
        <v>52.75</v>
      </c>
      <c r="D838" s="28">
        <f t="array" ref="D838">_xlfn.XLOOKUP($A838, 'Medical Examinations'!$A:$A, 'Medical Examinations'!C:C, "No Data")</f>
        <v>6.02</v>
      </c>
      <c r="E838" s="28" t="str">
        <f t="array" ref="E838">_xlfn.XLOOKUP($A838, 'Medical Examinations'!$A:$A, 'Medical Examinations'!D:D, "No Data")</f>
        <v>No</v>
      </c>
      <c r="F838" s="28" t="str">
        <f t="array" ref="F838">_xlfn.XLOOKUP($A838, 'Medical Examinations'!$A:$A, 'Medical Examinations'!E:E, "No Data")</f>
        <v>No</v>
      </c>
      <c r="G838" s="28" t="str">
        <f t="array" ref="G838">_xlfn.XLOOKUP($A838, 'Medical Examinations'!$A:$A, 'Medical Examinations'!F:F, "No Data")</f>
        <v>No</v>
      </c>
      <c r="H838" s="28">
        <f t="array" ref="H838">_xlfn.XLOOKUP($A838, 'Medical Examinations'!$A:$A, 'Medical Examinations'!G:G, "No Data")</f>
        <v>1</v>
      </c>
      <c r="I838" s="28" t="str">
        <f t="array" ref="I838">_xlfn.XLOOKUP($A838, 'Medical Examinations'!$A:$A, 'Medical Examinations'!H:H, "No Data")</f>
        <v>No</v>
      </c>
      <c r="J838" s="28" t="str">
        <f t="array" ref="J838">_xlfn.XLOOKUP($A838, 'Medical Examinations'!$A:$A, 'Medical Examinations'!I:I, "No Data")</f>
        <v>Obesity</v>
      </c>
      <c r="K838" s="28" t="str">
        <f t="array" ref="K838">_xlfn.XLOOKUP($A838, 'Hospitalisation Details'!$A:$A, 'Hospitalisation Details'!I:I, "No Data")</f>
        <v>tier - 2</v>
      </c>
      <c r="L838" s="28" t="str">
        <f t="array" ref="L838">_xlfn.XLOOKUP($A838, 'Hospitalisation Details'!$A:$A, 'Hospitalisation Details'!J:J, "No Data")</f>
        <v>R1011</v>
      </c>
      <c r="M838" s="28" t="str">
        <f t="array" ref="M838">_xlfn.XLOOKUP($A838, 'Hospitalisation Details'!$A:$A, 'Hospitalisation Details'!E:E, "No Data")</f>
        <v>07/07/92</v>
      </c>
      <c r="N838" s="28">
        <f t="array" ref="N838">_xlfn.XLOOKUP($A838, 'Hospitalisation Details'!$A:$A, 'Hospitalisation Details'!K:K, "No Data")</f>
        <v>30</v>
      </c>
      <c r="O838" s="33">
        <f t="array" ref="O838">_xlfn.XLOOKUP($A838, 'Hospitalisation Details'!$A:$A, 'Hospitalisation Details'!G:G, "No Data")</f>
        <v>12699.56</v>
      </c>
      <c r="P838" s="28" t="str">
        <f t="array" ref="P838">_xlfn.XLOOKUP($A838, 'Hospitalisation Details'!$A:$A, 'Hospitalisation Details'!H:H, "No Data")</f>
        <v>tier - 3</v>
      </c>
    </row>
    <row r="839">
      <c r="A839" s="25" t="s">
        <v>2670</v>
      </c>
      <c r="B839" s="28" t="str">
        <f t="array" ref="B839">_xlfn.XLOOKUP($A839, 'Customer Names'!$A:$A, 'Customer Names'!B:B, "No Data")</f>
        <v>Cale</v>
      </c>
      <c r="C839" s="28">
        <f t="array" ref="C839">_xlfn.XLOOKUP($A839, 'Medical Examinations'!$A:$A, 'Medical Examinations'!B:B, "No Data")</f>
        <v>36.67</v>
      </c>
      <c r="D839" s="28">
        <f t="array" ref="D839">_xlfn.XLOOKUP($A839, 'Medical Examinations'!$A:$A, 'Medical Examinations'!C:C, "No Data")</f>
        <v>11.86</v>
      </c>
      <c r="E839" s="28" t="str">
        <f t="array" ref="E839">_xlfn.XLOOKUP($A839, 'Medical Examinations'!$A:$A, 'Medical Examinations'!D:D, "No Data")</f>
        <v>No</v>
      </c>
      <c r="F839" s="28" t="str">
        <f t="array" ref="F839">_xlfn.XLOOKUP($A839, 'Medical Examinations'!$A:$A, 'Medical Examinations'!E:E, "No Data")</f>
        <v>No</v>
      </c>
      <c r="G839" s="28" t="str">
        <f t="array" ref="G839">_xlfn.XLOOKUP($A839, 'Medical Examinations'!$A:$A, 'Medical Examinations'!F:F, "No Data")</f>
        <v>No</v>
      </c>
      <c r="H839" s="28">
        <f t="array" ref="H839">_xlfn.XLOOKUP($A839, 'Medical Examinations'!$A:$A, 'Medical Examinations'!G:G, "No Data")</f>
        <v>0</v>
      </c>
      <c r="I839" s="28" t="str">
        <f t="array" ref="I839">_xlfn.XLOOKUP($A839, 'Medical Examinations'!$A:$A, 'Medical Examinations'!H:H, "No Data")</f>
        <v>No</v>
      </c>
      <c r="J839" s="28" t="str">
        <f t="array" ref="J839">_xlfn.XLOOKUP($A839, 'Medical Examinations'!$A:$A, 'Medical Examinations'!I:I, "No Data")</f>
        <v>Obesity</v>
      </c>
      <c r="K839" s="28" t="str">
        <f t="array" ref="K839">_xlfn.XLOOKUP($A839, 'Hospitalisation Details'!$A:$A, 'Hospitalisation Details'!I:I, "No Data")</f>
        <v>tier - 3</v>
      </c>
      <c r="L839" s="28" t="str">
        <f t="array" ref="L839">_xlfn.XLOOKUP($A839, 'Hospitalisation Details'!$A:$A, 'Hospitalisation Details'!J:J, "No Data")</f>
        <v>R1021</v>
      </c>
      <c r="M839" s="28" t="str">
        <f t="array" ref="M839">_xlfn.XLOOKUP($A839, 'Hospitalisation Details'!$A:$A, 'Hospitalisation Details'!E:E, "No Data")</f>
        <v>24/09/74</v>
      </c>
      <c r="N839" s="28">
        <f t="array" ref="N839">_xlfn.XLOOKUP($A839, 'Hospitalisation Details'!$A:$A, 'Hospitalisation Details'!K:K, "No Data")</f>
        <v>48</v>
      </c>
      <c r="O839" s="33">
        <f t="array" ref="O839">_xlfn.XLOOKUP($A839, 'Hospitalisation Details'!$A:$A, 'Hospitalisation Details'!G:G, "No Data")</f>
        <v>12697.48</v>
      </c>
      <c r="P839" s="28" t="str">
        <f t="array" ref="P839">_xlfn.XLOOKUP($A839, 'Hospitalisation Details'!$A:$A, 'Hospitalisation Details'!H:H, "No Data")</f>
        <v>tier - 3</v>
      </c>
    </row>
    <row r="840">
      <c r="A840" s="25" t="s">
        <v>2672</v>
      </c>
      <c r="B840" s="28" t="str">
        <f t="array" ref="B840">_xlfn.XLOOKUP($A840, 'Customer Names'!$A:$A, 'Customer Names'!B:B, "No Data")</f>
        <v>Pittaway</v>
      </c>
      <c r="C840" s="28">
        <f t="array" ref="C840">_xlfn.XLOOKUP($A840, 'Medical Examinations'!$A:$A, 'Medical Examinations'!B:B, "No Data")</f>
        <v>38.06</v>
      </c>
      <c r="D840" s="28">
        <f t="array" ref="D840">_xlfn.XLOOKUP($A840, 'Medical Examinations'!$A:$A, 'Medical Examinations'!C:C, "No Data")</f>
        <v>8.25</v>
      </c>
      <c r="E840" s="28" t="str">
        <f t="array" ref="E840">_xlfn.XLOOKUP($A840, 'Medical Examinations'!$A:$A, 'Medical Examinations'!D:D, "No Data")</f>
        <v>No</v>
      </c>
      <c r="F840" s="28" t="str">
        <f t="array" ref="F840">_xlfn.XLOOKUP($A840, 'Medical Examinations'!$A:$A, 'Medical Examinations'!E:E, "No Data")</f>
        <v>No</v>
      </c>
      <c r="G840" s="28" t="str">
        <f t="array" ref="G840">_xlfn.XLOOKUP($A840, 'Medical Examinations'!$A:$A, 'Medical Examinations'!F:F, "No Data")</f>
        <v>No</v>
      </c>
      <c r="H840" s="28">
        <f t="array" ref="H840">_xlfn.XLOOKUP($A840, 'Medical Examinations'!$A:$A, 'Medical Examinations'!G:G, "No Data")</f>
        <v>0</v>
      </c>
      <c r="I840" s="28" t="str">
        <f t="array" ref="I840">_xlfn.XLOOKUP($A840, 'Medical Examinations'!$A:$A, 'Medical Examinations'!H:H, "No Data")</f>
        <v>No</v>
      </c>
      <c r="J840" s="28" t="str">
        <f t="array" ref="J840">_xlfn.XLOOKUP($A840, 'Medical Examinations'!$A:$A, 'Medical Examinations'!I:I, "No Data")</f>
        <v>Obesity</v>
      </c>
      <c r="K840" s="28" t="str">
        <f t="array" ref="K840">_xlfn.XLOOKUP($A840, 'Hospitalisation Details'!$A:$A, 'Hospitalisation Details'!I:I, "No Data")</f>
        <v>tier - 2</v>
      </c>
      <c r="L840" s="28" t="str">
        <f t="array" ref="L840">_xlfn.XLOOKUP($A840, 'Hospitalisation Details'!$A:$A, 'Hospitalisation Details'!J:J, "No Data")</f>
        <v>R1013</v>
      </c>
      <c r="M840" s="28" t="str">
        <f t="array" ref="M840">_xlfn.XLOOKUP($A840, 'Hospitalisation Details'!$A:$A, 'Hospitalisation Details'!E:E, "No Data")</f>
        <v>27/08/62</v>
      </c>
      <c r="N840" s="28">
        <f t="array" ref="N840">_xlfn.XLOOKUP($A840, 'Hospitalisation Details'!$A:$A, 'Hospitalisation Details'!K:K, "No Data")</f>
        <v>60</v>
      </c>
      <c r="O840" s="33">
        <f t="array" ref="O840">_xlfn.XLOOKUP($A840, 'Hospitalisation Details'!$A:$A, 'Hospitalisation Details'!G:G, "No Data")</f>
        <v>12648.7</v>
      </c>
      <c r="P840" s="28" t="str">
        <f t="array" ref="P840">_xlfn.XLOOKUP($A840, 'Hospitalisation Details'!$A:$A, 'Hospitalisation Details'!H:H, "No Data")</f>
        <v>tier - 3</v>
      </c>
    </row>
    <row r="841">
      <c r="A841" s="25" t="s">
        <v>2675</v>
      </c>
      <c r="B841" s="28" t="str">
        <f t="array" ref="B841">_xlfn.XLOOKUP($A841, 'Customer Names'!$A:$A, 'Customer Names'!B:B, "No Data")</f>
        <v>Bill</v>
      </c>
      <c r="C841" s="28">
        <f t="array" ref="C841">_xlfn.XLOOKUP($A841, 'Medical Examinations'!$A:$A, 'Medical Examinations'!B:B, "No Data")</f>
        <v>38</v>
      </c>
      <c r="D841" s="28">
        <f t="array" ref="D841">_xlfn.XLOOKUP($A841, 'Medical Examinations'!$A:$A, 'Medical Examinations'!C:C, "No Data")</f>
        <v>8.13</v>
      </c>
      <c r="E841" s="28" t="str">
        <f t="array" ref="E841">_xlfn.XLOOKUP($A841, 'Medical Examinations'!$A:$A, 'Medical Examinations'!D:D, "No Data")</f>
        <v>No</v>
      </c>
      <c r="F841" s="28" t="str">
        <f t="array" ref="F841">_xlfn.XLOOKUP($A841, 'Medical Examinations'!$A:$A, 'Medical Examinations'!E:E, "No Data")</f>
        <v>No</v>
      </c>
      <c r="G841" s="28" t="str">
        <f t="array" ref="G841">_xlfn.XLOOKUP($A841, 'Medical Examinations'!$A:$A, 'Medical Examinations'!F:F, "No Data")</f>
        <v>No</v>
      </c>
      <c r="H841" s="28">
        <f t="array" ref="H841">_xlfn.XLOOKUP($A841, 'Medical Examinations'!$A:$A, 'Medical Examinations'!G:G, "No Data")</f>
        <v>0</v>
      </c>
      <c r="I841" s="28" t="str">
        <f t="array" ref="I841">_xlfn.XLOOKUP($A841, 'Medical Examinations'!$A:$A, 'Medical Examinations'!H:H, "No Data")</f>
        <v>No</v>
      </c>
      <c r="J841" s="28" t="str">
        <f t="array" ref="J841">_xlfn.XLOOKUP($A841, 'Medical Examinations'!$A:$A, 'Medical Examinations'!I:I, "No Data")</f>
        <v>Obesity</v>
      </c>
      <c r="K841" s="28" t="str">
        <f t="array" ref="K841">_xlfn.XLOOKUP($A841, 'Hospitalisation Details'!$A:$A, 'Hospitalisation Details'!I:I, "No Data")</f>
        <v>tier - 2</v>
      </c>
      <c r="L841" s="28" t="str">
        <f t="array" ref="L841">_xlfn.XLOOKUP($A841, 'Hospitalisation Details'!$A:$A, 'Hospitalisation Details'!J:J, "No Data")</f>
        <v>R1011</v>
      </c>
      <c r="M841" s="28" t="str">
        <f t="array" ref="M841">_xlfn.XLOOKUP($A841, 'Hospitalisation Details'!$A:$A, 'Hospitalisation Details'!E:E, "No Data")</f>
        <v>14/09/65</v>
      </c>
      <c r="N841" s="28">
        <f t="array" ref="N841">_xlfn.XLOOKUP($A841, 'Hospitalisation Details'!$A:$A, 'Hospitalisation Details'!K:K, "No Data")</f>
        <v>57</v>
      </c>
      <c r="O841" s="33">
        <f t="array" ref="O841">_xlfn.XLOOKUP($A841, 'Hospitalisation Details'!$A:$A, 'Hospitalisation Details'!G:G, "No Data")</f>
        <v>12646.21</v>
      </c>
      <c r="P841" s="28" t="str">
        <f t="array" ref="P841">_xlfn.XLOOKUP($A841, 'Hospitalisation Details'!$A:$A, 'Hospitalisation Details'!H:H, "No Data")</f>
        <v>tier - 3</v>
      </c>
    </row>
    <row r="842">
      <c r="A842" s="25" t="s">
        <v>2678</v>
      </c>
      <c r="B842" s="28" t="str">
        <f t="array" ref="B842">_xlfn.XLOOKUP($A842, 'Customer Names'!$A:$A, 'Customer Names'!B:B, "No Data")</f>
        <v>Antrim</v>
      </c>
      <c r="C842" s="28">
        <f t="array" ref="C842">_xlfn.XLOOKUP($A842, 'Medical Examinations'!$A:$A, 'Medical Examinations'!B:B, "No Data")</f>
        <v>35.1</v>
      </c>
      <c r="D842" s="28">
        <f t="array" ref="D842">_xlfn.XLOOKUP($A842, 'Medical Examinations'!$A:$A, 'Medical Examinations'!C:C, "No Data")</f>
        <v>10.1</v>
      </c>
      <c r="E842" s="28" t="str">
        <f t="array" ref="E842">_xlfn.XLOOKUP($A842, 'Medical Examinations'!$A:$A, 'Medical Examinations'!D:D, "No Data")</f>
        <v>No</v>
      </c>
      <c r="F842" s="28" t="str">
        <f t="array" ref="F842">_xlfn.XLOOKUP($A842, 'Medical Examinations'!$A:$A, 'Medical Examinations'!E:E, "No Data")</f>
        <v>No</v>
      </c>
      <c r="G842" s="28" t="str">
        <f t="array" ref="G842">_xlfn.XLOOKUP($A842, 'Medical Examinations'!$A:$A, 'Medical Examinations'!F:F, "No Data")</f>
        <v>No</v>
      </c>
      <c r="H842" s="28">
        <f t="array" ref="H842">_xlfn.XLOOKUP($A842, 'Medical Examinations'!$A:$A, 'Medical Examinations'!G:G, "No Data")</f>
        <v>0</v>
      </c>
      <c r="I842" s="28" t="str">
        <f t="array" ref="I842">_xlfn.XLOOKUP($A842, 'Medical Examinations'!$A:$A, 'Medical Examinations'!H:H, "No Data")</f>
        <v>No</v>
      </c>
      <c r="J842" s="28" t="str">
        <f t="array" ref="J842">_xlfn.XLOOKUP($A842, 'Medical Examinations'!$A:$A, 'Medical Examinations'!I:I, "No Data")</f>
        <v>Obesity</v>
      </c>
      <c r="K842" s="28" t="str">
        <f t="array" ref="K842">_xlfn.XLOOKUP($A842, 'Hospitalisation Details'!$A:$A, 'Hospitalisation Details'!I:I, "No Data")</f>
        <v>tier - 2</v>
      </c>
      <c r="L842" s="28" t="str">
        <f t="array" ref="L842">_xlfn.XLOOKUP($A842, 'Hospitalisation Details'!$A:$A, 'Hospitalisation Details'!J:J, "No Data")</f>
        <v>R1011</v>
      </c>
      <c r="M842" s="28" t="str">
        <f t="array" ref="M842">_xlfn.XLOOKUP($A842, 'Hospitalisation Details'!$A:$A, 'Hospitalisation Details'!E:E, "No Data")</f>
        <v>11/07/62</v>
      </c>
      <c r="N842" s="28">
        <f t="array" ref="N842">_xlfn.XLOOKUP($A842, 'Hospitalisation Details'!$A:$A, 'Hospitalisation Details'!K:K, "No Data")</f>
        <v>60</v>
      </c>
      <c r="O842" s="33">
        <f t="array" ref="O842">_xlfn.XLOOKUP($A842, 'Hospitalisation Details'!$A:$A, 'Hospitalisation Details'!G:G, "No Data")</f>
        <v>12644.59</v>
      </c>
      <c r="P842" s="28" t="str">
        <f t="array" ref="P842">_xlfn.XLOOKUP($A842, 'Hospitalisation Details'!$A:$A, 'Hospitalisation Details'!H:H, "No Data")</f>
        <v>tier - 3</v>
      </c>
    </row>
    <row r="843">
      <c r="A843" s="25" t="s">
        <v>2682</v>
      </c>
      <c r="B843" s="28" t="str">
        <f t="array" ref="B843">_xlfn.XLOOKUP($A843, 'Customer Names'!$A:$A, 'Customer Names'!B:B, "No Data")</f>
        <v>Doolittle-Crider</v>
      </c>
      <c r="C843" s="28">
        <f t="array" ref="C843">_xlfn.XLOOKUP($A843, 'Medical Examinations'!$A:$A, 'Medical Examinations'!B:B, "No Data")</f>
        <v>33.82</v>
      </c>
      <c r="D843" s="28">
        <f t="array" ref="D843">_xlfn.XLOOKUP($A843, 'Medical Examinations'!$A:$A, 'Medical Examinations'!C:C, "No Data")</f>
        <v>5.89</v>
      </c>
      <c r="E843" s="28" t="str">
        <f t="array" ref="E843">_xlfn.XLOOKUP($A843, 'Medical Examinations'!$A:$A, 'Medical Examinations'!D:D, "No Data")</f>
        <v>yes</v>
      </c>
      <c r="F843" s="28" t="str">
        <f t="array" ref="F843">_xlfn.XLOOKUP($A843, 'Medical Examinations'!$A:$A, 'Medical Examinations'!E:E, "No Data")</f>
        <v>No</v>
      </c>
      <c r="G843" s="28" t="str">
        <f t="array" ref="G843">_xlfn.XLOOKUP($A843, 'Medical Examinations'!$A:$A, 'Medical Examinations'!F:F, "No Data")</f>
        <v>No</v>
      </c>
      <c r="H843" s="28">
        <f t="array" ref="H843">_xlfn.XLOOKUP($A843, 'Medical Examinations'!$A:$A, 'Medical Examinations'!G:G, "No Data")</f>
        <v>2</v>
      </c>
      <c r="I843" s="28" t="str">
        <f t="array" ref="I843">_xlfn.XLOOKUP($A843, 'Medical Examinations'!$A:$A, 'Medical Examinations'!H:H, "No Data")</f>
        <v>No</v>
      </c>
      <c r="J843" s="28" t="str">
        <f t="array" ref="J843">_xlfn.XLOOKUP($A843, 'Medical Examinations'!$A:$A, 'Medical Examinations'!I:I, "No Data")</f>
        <v>Obesity</v>
      </c>
      <c r="K843" s="28" t="str">
        <f t="array" ref="K843">_xlfn.XLOOKUP($A843, 'Hospitalisation Details'!$A:$A, 'Hospitalisation Details'!I:I, "No Data")</f>
        <v>tier - 1</v>
      </c>
      <c r="L843" s="28" t="str">
        <f t="array" ref="L843">_xlfn.XLOOKUP($A843, 'Hospitalisation Details'!$A:$A, 'Hospitalisation Details'!J:J, "No Data")</f>
        <v>R1012</v>
      </c>
      <c r="M843" s="28" t="str">
        <f t="array" ref="M843">_xlfn.XLOOKUP($A843, 'Hospitalisation Details'!$A:$A, 'Hospitalisation Details'!E:E, "No Data")</f>
        <v>17/12/66</v>
      </c>
      <c r="N843" s="28">
        <f t="array" ref="N843">_xlfn.XLOOKUP($A843, 'Hospitalisation Details'!$A:$A, 'Hospitalisation Details'!K:K, "No Data")</f>
        <v>56</v>
      </c>
      <c r="O843" s="33">
        <f t="array" ref="O843">_xlfn.XLOOKUP($A843, 'Hospitalisation Details'!$A:$A, 'Hospitalisation Details'!G:G, "No Data")</f>
        <v>12643.38</v>
      </c>
      <c r="P843" s="28" t="str">
        <f t="array" ref="P843">_xlfn.XLOOKUP($A843, 'Hospitalisation Details'!$A:$A, 'Hospitalisation Details'!H:H, "No Data")</f>
        <v>tier - 3</v>
      </c>
    </row>
    <row r="844">
      <c r="A844" s="25" t="s">
        <v>2685</v>
      </c>
      <c r="B844" s="28" t="str">
        <f t="array" ref="B844">_xlfn.XLOOKUP($A844, 'Customer Names'!$A:$A, 'Customer Names'!B:B, "No Data")</f>
        <v>Ruhlman</v>
      </c>
      <c r="C844" s="28">
        <f t="array" ref="C844">_xlfn.XLOOKUP($A844, 'Medical Examinations'!$A:$A, 'Medical Examinations'!B:B, "No Data")</f>
        <v>37.43</v>
      </c>
      <c r="D844" s="28">
        <f t="array" ref="D844">_xlfn.XLOOKUP($A844, 'Medical Examinations'!$A:$A, 'Medical Examinations'!C:C, "No Data")</f>
        <v>4.97</v>
      </c>
      <c r="E844" s="28" t="str">
        <f t="array" ref="E844">_xlfn.XLOOKUP($A844, 'Medical Examinations'!$A:$A, 'Medical Examinations'!D:D, "No Data")</f>
        <v>No</v>
      </c>
      <c r="F844" s="28" t="str">
        <f t="array" ref="F844">_xlfn.XLOOKUP($A844, 'Medical Examinations'!$A:$A, 'Medical Examinations'!E:E, "No Data")</f>
        <v>No</v>
      </c>
      <c r="G844" s="28" t="str">
        <f t="array" ref="G844">_xlfn.XLOOKUP($A844, 'Medical Examinations'!$A:$A, 'Medical Examinations'!F:F, "No Data")</f>
        <v>No</v>
      </c>
      <c r="H844" s="28">
        <f t="array" ref="H844">_xlfn.XLOOKUP($A844, 'Medical Examinations'!$A:$A, 'Medical Examinations'!G:G, "No Data")</f>
        <v>2</v>
      </c>
      <c r="I844" s="28" t="str">
        <f t="array" ref="I844">_xlfn.XLOOKUP($A844, 'Medical Examinations'!$A:$A, 'Medical Examinations'!H:H, "No Data")</f>
        <v>No</v>
      </c>
      <c r="J844" s="28" t="str">
        <f t="array" ref="J844">_xlfn.XLOOKUP($A844, 'Medical Examinations'!$A:$A, 'Medical Examinations'!I:I, "No Data")</f>
        <v>Obesity</v>
      </c>
      <c r="K844" s="28" t="str">
        <f t="array" ref="K844">_xlfn.XLOOKUP($A844, 'Hospitalisation Details'!$A:$A, 'Hospitalisation Details'!I:I, "No Data")</f>
        <v>tier - 1</v>
      </c>
      <c r="L844" s="28" t="str">
        <f t="array" ref="L844">_xlfn.XLOOKUP($A844, 'Hospitalisation Details'!$A:$A, 'Hospitalisation Details'!J:J, "No Data")</f>
        <v>R1011</v>
      </c>
      <c r="M844" s="28" t="str">
        <f t="array" ref="M844">_xlfn.XLOOKUP($A844, 'Hospitalisation Details'!$A:$A, 'Hospitalisation Details'!E:E, "No Data")</f>
        <v>05/09/72</v>
      </c>
      <c r="N844" s="28">
        <f t="array" ref="N844">_xlfn.XLOOKUP($A844, 'Hospitalisation Details'!$A:$A, 'Hospitalisation Details'!K:K, "No Data")</f>
        <v>50</v>
      </c>
      <c r="O844" s="33">
        <f t="array" ref="O844">_xlfn.XLOOKUP($A844, 'Hospitalisation Details'!$A:$A, 'Hospitalisation Details'!G:G, "No Data")</f>
        <v>12640.24</v>
      </c>
      <c r="P844" s="28" t="str">
        <f t="array" ref="P844">_xlfn.XLOOKUP($A844, 'Hospitalisation Details'!$A:$A, 'Hospitalisation Details'!H:H, "No Data")</f>
        <v>tier - 3</v>
      </c>
    </row>
    <row r="845">
      <c r="A845" s="25" t="s">
        <v>2689</v>
      </c>
      <c r="B845" s="28" t="str">
        <f t="array" ref="B845">_xlfn.XLOOKUP($A845, 'Customer Names'!$A:$A, 'Customer Names'!B:B, "No Data")</f>
        <v>Anderson</v>
      </c>
      <c r="C845" s="28">
        <f t="array" ref="C845">_xlfn.XLOOKUP($A845, 'Medical Examinations'!$A:$A, 'Medical Examinations'!B:B, "No Data")</f>
        <v>30.5</v>
      </c>
      <c r="D845" s="28">
        <f t="array" ref="D845">_xlfn.XLOOKUP($A845, 'Medical Examinations'!$A:$A, 'Medical Examinations'!C:C, "No Data")</f>
        <v>9.9</v>
      </c>
      <c r="E845" s="28" t="str">
        <f t="array" ref="E845">_xlfn.XLOOKUP($A845, 'Medical Examinations'!$A:$A, 'Medical Examinations'!D:D, "No Data")</f>
        <v>No</v>
      </c>
      <c r="F845" s="28" t="str">
        <f t="array" ref="F845">_xlfn.XLOOKUP($A845, 'Medical Examinations'!$A:$A, 'Medical Examinations'!E:E, "No Data")</f>
        <v>No</v>
      </c>
      <c r="G845" s="28" t="str">
        <f t="array" ref="G845">_xlfn.XLOOKUP($A845, 'Medical Examinations'!$A:$A, 'Medical Examinations'!F:F, "No Data")</f>
        <v>No</v>
      </c>
      <c r="H845" s="28">
        <f t="array" ref="H845">_xlfn.XLOOKUP($A845, 'Medical Examinations'!$A:$A, 'Medical Examinations'!G:G, "No Data")</f>
        <v>0</v>
      </c>
      <c r="I845" s="28" t="str">
        <f t="array" ref="I845">_xlfn.XLOOKUP($A845, 'Medical Examinations'!$A:$A, 'Medical Examinations'!H:H, "No Data")</f>
        <v>No</v>
      </c>
      <c r="J845" s="28" t="str">
        <f t="array" ref="J845">_xlfn.XLOOKUP($A845, 'Medical Examinations'!$A:$A, 'Medical Examinations'!I:I, "No Data")</f>
        <v>Obesity</v>
      </c>
      <c r="K845" s="28" t="str">
        <f t="array" ref="K845">_xlfn.XLOOKUP($A845, 'Hospitalisation Details'!$A:$A, 'Hospitalisation Details'!I:I, "No Data")</f>
        <v>tier - 1</v>
      </c>
      <c r="L845" s="28" t="str">
        <f t="array" ref="L845">_xlfn.XLOOKUP($A845, 'Hospitalisation Details'!$A:$A, 'Hospitalisation Details'!J:J, "No Data")</f>
        <v>R1011</v>
      </c>
      <c r="M845" s="28" t="str">
        <f t="array" ref="M845">_xlfn.XLOOKUP($A845, 'Hospitalisation Details'!$A:$A, 'Hospitalisation Details'!E:E, "No Data")</f>
        <v>22/07/62</v>
      </c>
      <c r="N845" s="28">
        <f t="array" ref="N845">_xlfn.XLOOKUP($A845, 'Hospitalisation Details'!$A:$A, 'Hospitalisation Details'!K:K, "No Data")</f>
        <v>60</v>
      </c>
      <c r="O845" s="33">
        <f t="array" ref="O845">_xlfn.XLOOKUP($A845, 'Hospitalisation Details'!$A:$A, 'Hospitalisation Details'!G:G, "No Data")</f>
        <v>12638.2</v>
      </c>
      <c r="P845" s="28" t="str">
        <f t="array" ref="P845">_xlfn.XLOOKUP($A845, 'Hospitalisation Details'!$A:$A, 'Hospitalisation Details'!H:H, "No Data")</f>
        <v>tier - 3</v>
      </c>
    </row>
    <row r="846">
      <c r="A846" s="25" t="s">
        <v>2690</v>
      </c>
      <c r="B846" s="28" t="str">
        <f t="array" ref="B846">_xlfn.XLOOKUP($A846, 'Customer Names'!$A:$A, 'Customer Names'!B:B, "No Data")</f>
        <v>Uchiyama</v>
      </c>
      <c r="C846" s="28">
        <f t="array" ref="C846">_xlfn.XLOOKUP($A846, 'Medical Examinations'!$A:$A, 'Medical Examinations'!B:B, "No Data")</f>
        <v>24.53</v>
      </c>
      <c r="D846" s="28">
        <f t="array" ref="D846">_xlfn.XLOOKUP($A846, 'Medical Examinations'!$A:$A, 'Medical Examinations'!C:C, "No Data")</f>
        <v>9.05</v>
      </c>
      <c r="E846" s="28" t="str">
        <f t="array" ref="E846">_xlfn.XLOOKUP($A846, 'Medical Examinations'!$A:$A, 'Medical Examinations'!D:D, "No Data")</f>
        <v>No</v>
      </c>
      <c r="F846" s="28" t="str">
        <f t="array" ref="F846">_xlfn.XLOOKUP($A846, 'Medical Examinations'!$A:$A, 'Medical Examinations'!E:E, "No Data")</f>
        <v>No</v>
      </c>
      <c r="G846" s="28" t="str">
        <f t="array" ref="G846">_xlfn.XLOOKUP($A846, 'Medical Examinations'!$A:$A, 'Medical Examinations'!F:F, "No Data")</f>
        <v>No</v>
      </c>
      <c r="H846" s="28">
        <f t="array" ref="H846">_xlfn.XLOOKUP($A846, 'Medical Examinations'!$A:$A, 'Medical Examinations'!G:G, "No Data")</f>
        <v>0</v>
      </c>
      <c r="I846" s="28" t="str">
        <f t="array" ref="I846">_xlfn.XLOOKUP($A846, 'Medical Examinations'!$A:$A, 'Medical Examinations'!H:H, "No Data")</f>
        <v>No</v>
      </c>
      <c r="J846" s="28" t="str">
        <f t="array" ref="J846">_xlfn.XLOOKUP($A846, 'Medical Examinations'!$A:$A, 'Medical Examinations'!I:I, "No Data")</f>
        <v>Normal Weight</v>
      </c>
      <c r="K846" s="28" t="str">
        <f t="array" ref="K846">_xlfn.XLOOKUP($A846, 'Hospitalisation Details'!$A:$A, 'Hospitalisation Details'!I:I, "No Data")</f>
        <v>tier - 3</v>
      </c>
      <c r="L846" s="28" t="str">
        <f t="array" ref="L846">_xlfn.XLOOKUP($A846, 'Hospitalisation Details'!$A:$A, 'Hospitalisation Details'!J:J, "No Data")</f>
        <v>R1013</v>
      </c>
      <c r="M846" s="28" t="str">
        <f t="array" ref="M846">_xlfn.XLOOKUP($A846, 'Hospitalisation Details'!$A:$A, 'Hospitalisation Details'!E:E, "No Data")</f>
        <v>22/11/62</v>
      </c>
      <c r="N846" s="28">
        <f t="array" ref="N846">_xlfn.XLOOKUP($A846, 'Hospitalisation Details'!$A:$A, 'Hospitalisation Details'!K:K, "No Data")</f>
        <v>60</v>
      </c>
      <c r="O846" s="33">
        <f t="array" ref="O846">_xlfn.XLOOKUP($A846, 'Hospitalisation Details'!$A:$A, 'Hospitalisation Details'!G:G, "No Data")</f>
        <v>12629.9</v>
      </c>
      <c r="P846" s="28" t="str">
        <f t="array" ref="P846">_xlfn.XLOOKUP($A846, 'Hospitalisation Details'!$A:$A, 'Hospitalisation Details'!H:H, "No Data")</f>
        <v>tier - 3</v>
      </c>
    </row>
    <row r="847">
      <c r="A847" s="25" t="s">
        <v>2694</v>
      </c>
      <c r="B847" s="28" t="str">
        <f t="array" ref="B847">_xlfn.XLOOKUP($A847, 'Customer Names'!$A:$A, 'Customer Names'!B:B, "No Data")</f>
        <v>Desota</v>
      </c>
      <c r="C847" s="28">
        <f t="array" ref="C847">_xlfn.XLOOKUP($A847, 'Medical Examinations'!$A:$A, 'Medical Examinations'!B:B, "No Data")</f>
        <v>25.74</v>
      </c>
      <c r="D847" s="28">
        <f t="array" ref="D847">_xlfn.XLOOKUP($A847, 'Medical Examinations'!$A:$A, 'Medical Examinations'!C:C, "No Data")</f>
        <v>10.93</v>
      </c>
      <c r="E847" s="28" t="str">
        <f t="array" ref="E847">_xlfn.XLOOKUP($A847, 'Medical Examinations'!$A:$A, 'Medical Examinations'!D:D, "No Data")</f>
        <v>No</v>
      </c>
      <c r="F847" s="28" t="str">
        <f t="array" ref="F847">_xlfn.XLOOKUP($A847, 'Medical Examinations'!$A:$A, 'Medical Examinations'!E:E, "No Data")</f>
        <v>No</v>
      </c>
      <c r="G847" s="28" t="str">
        <f t="array" ref="G847">_xlfn.XLOOKUP($A847, 'Medical Examinations'!$A:$A, 'Medical Examinations'!F:F, "No Data")</f>
        <v>No</v>
      </c>
      <c r="H847" s="28">
        <f t="array" ref="H847">_xlfn.XLOOKUP($A847, 'Medical Examinations'!$A:$A, 'Medical Examinations'!G:G, "No Data")</f>
        <v>0</v>
      </c>
      <c r="I847" s="28" t="str">
        <f t="array" ref="I847">_xlfn.XLOOKUP($A847, 'Medical Examinations'!$A:$A, 'Medical Examinations'!H:H, "No Data")</f>
        <v>No</v>
      </c>
      <c r="J847" s="28" t="str">
        <f t="array" ref="J847">_xlfn.XLOOKUP($A847, 'Medical Examinations'!$A:$A, 'Medical Examinations'!I:I, "No Data")</f>
        <v>Overweight</v>
      </c>
      <c r="K847" s="28" t="str">
        <f t="array" ref="K847">_xlfn.XLOOKUP($A847, 'Hospitalisation Details'!$A:$A, 'Hospitalisation Details'!I:I, "No Data")</f>
        <v>tier - 1</v>
      </c>
      <c r="L847" s="28" t="str">
        <f t="array" ref="L847">_xlfn.XLOOKUP($A847, 'Hospitalisation Details'!$A:$A, 'Hospitalisation Details'!J:J, "No Data")</f>
        <v>R1013</v>
      </c>
      <c r="M847" s="28" t="str">
        <f t="array" ref="M847">_xlfn.XLOOKUP($A847, 'Hospitalisation Details'!$A:$A, 'Hospitalisation Details'!E:E, "No Data")</f>
        <v>04/10/65</v>
      </c>
      <c r="N847" s="28">
        <f t="array" ref="N847">_xlfn.XLOOKUP($A847, 'Hospitalisation Details'!$A:$A, 'Hospitalisation Details'!K:K, "No Data")</f>
        <v>57</v>
      </c>
      <c r="O847" s="33">
        <f t="array" ref="O847">_xlfn.XLOOKUP($A847, 'Hospitalisation Details'!$A:$A, 'Hospitalisation Details'!G:G, "No Data")</f>
        <v>12629.17</v>
      </c>
      <c r="P847" s="28" t="str">
        <f t="array" ref="P847">_xlfn.XLOOKUP($A847, 'Hospitalisation Details'!$A:$A, 'Hospitalisation Details'!H:H, "No Data")</f>
        <v>tier - 3</v>
      </c>
    </row>
    <row r="848">
      <c r="A848" s="25" t="s">
        <v>2697</v>
      </c>
      <c r="B848" s="28" t="str">
        <f t="array" ref="B848">_xlfn.XLOOKUP($A848, 'Customer Names'!$A:$A, 'Customer Names'!B:B, "No Data")</f>
        <v>Edmonds</v>
      </c>
      <c r="C848" s="28">
        <f t="array" ref="C848">_xlfn.XLOOKUP($A848, 'Medical Examinations'!$A:$A, 'Medical Examinations'!B:B, "No Data")</f>
        <v>34.08</v>
      </c>
      <c r="D848" s="28">
        <f t="array" ref="D848">_xlfn.XLOOKUP($A848, 'Medical Examinations'!$A:$A, 'Medical Examinations'!C:C, "No Data")</f>
        <v>7.58</v>
      </c>
      <c r="E848" s="28" t="str">
        <f t="array" ref="E848">_xlfn.XLOOKUP($A848, 'Medical Examinations'!$A:$A, 'Medical Examinations'!D:D, "No Data")</f>
        <v>yes</v>
      </c>
      <c r="F848" s="28" t="str">
        <f t="array" ref="F848">_xlfn.XLOOKUP($A848, 'Medical Examinations'!$A:$A, 'Medical Examinations'!E:E, "No Data")</f>
        <v>No</v>
      </c>
      <c r="G848" s="28" t="str">
        <f t="array" ref="G848">_xlfn.XLOOKUP($A848, 'Medical Examinations'!$A:$A, 'Medical Examinations'!F:F, "No Data")</f>
        <v>No</v>
      </c>
      <c r="H848" s="28">
        <f t="array" ref="H848">_xlfn.XLOOKUP($A848, 'Medical Examinations'!$A:$A, 'Medical Examinations'!G:G, "No Data")</f>
        <v>2</v>
      </c>
      <c r="I848" s="28" t="str">
        <f t="array" ref="I848">_xlfn.XLOOKUP($A848, 'Medical Examinations'!$A:$A, 'Medical Examinations'!H:H, "No Data")</f>
        <v>No</v>
      </c>
      <c r="J848" s="28" t="str">
        <f t="array" ref="J848">_xlfn.XLOOKUP($A848, 'Medical Examinations'!$A:$A, 'Medical Examinations'!I:I, "No Data")</f>
        <v>Obesity</v>
      </c>
      <c r="K848" s="28" t="str">
        <f t="array" ref="K848">_xlfn.XLOOKUP($A848, 'Hospitalisation Details'!$A:$A, 'Hospitalisation Details'!I:I, "No Data")</f>
        <v>tier - 1</v>
      </c>
      <c r="L848" s="28" t="str">
        <f t="array" ref="L848">_xlfn.XLOOKUP($A848, 'Hospitalisation Details'!$A:$A, 'Hospitalisation Details'!J:J, "No Data")</f>
        <v>R1012</v>
      </c>
      <c r="M848" s="28" t="str">
        <f t="array" ref="M848">_xlfn.XLOOKUP($A848, 'Hospitalisation Details'!$A:$A, 'Hospitalisation Details'!E:E, "No Data")</f>
        <v>28/12/70</v>
      </c>
      <c r="N848" s="28">
        <f t="array" ref="N848">_xlfn.XLOOKUP($A848, 'Hospitalisation Details'!$A:$A, 'Hospitalisation Details'!K:K, "No Data")</f>
        <v>52</v>
      </c>
      <c r="O848" s="33">
        <f t="array" ref="O848">_xlfn.XLOOKUP($A848, 'Hospitalisation Details'!$A:$A, 'Hospitalisation Details'!G:G, "No Data")</f>
        <v>12624.74</v>
      </c>
      <c r="P848" s="28" t="str">
        <f t="array" ref="P848">_xlfn.XLOOKUP($A848, 'Hospitalisation Details'!$A:$A, 'Hospitalisation Details'!H:H, "No Data")</f>
        <v>tier - 3</v>
      </c>
    </row>
    <row r="849">
      <c r="A849" s="25" t="s">
        <v>2705</v>
      </c>
      <c r="B849" s="28" t="str">
        <f t="array" ref="B849">_xlfn.XLOOKUP($A849, 'Customer Names'!$A:$A, 'Customer Names'!B:B, "No Data")</f>
        <v>Otto</v>
      </c>
      <c r="C849" s="28">
        <f t="array" ref="C849">_xlfn.XLOOKUP($A849, 'Medical Examinations'!$A:$A, 'Medical Examinations'!B:B, "No Data")</f>
        <v>31.35</v>
      </c>
      <c r="D849" s="28">
        <f t="array" ref="D849">_xlfn.XLOOKUP($A849, 'Medical Examinations'!$A:$A, 'Medical Examinations'!C:C, "No Data")</f>
        <v>11</v>
      </c>
      <c r="E849" s="28" t="str">
        <f t="array" ref="E849">_xlfn.XLOOKUP($A849, 'Medical Examinations'!$A:$A, 'Medical Examinations'!D:D, "No Data")</f>
        <v>yes</v>
      </c>
      <c r="F849" s="28" t="str">
        <f t="array" ref="F849">_xlfn.XLOOKUP($A849, 'Medical Examinations'!$A:$A, 'Medical Examinations'!E:E, "No Data")</f>
        <v>No</v>
      </c>
      <c r="G849" s="28" t="str">
        <f t="array" ref="G849">_xlfn.XLOOKUP($A849, 'Medical Examinations'!$A:$A, 'Medical Examinations'!F:F, "No Data")</f>
        <v>Yes</v>
      </c>
      <c r="H849" s="28">
        <f t="array" ref="H849">_xlfn.XLOOKUP($A849, 'Medical Examinations'!$A:$A, 'Medical Examinations'!G:G, "No Data")</f>
        <v>1</v>
      </c>
      <c r="I849" s="28" t="str">
        <f t="array" ref="I849">_xlfn.XLOOKUP($A849, 'Medical Examinations'!$A:$A, 'Medical Examinations'!H:H, "No Data")</f>
        <v>No</v>
      </c>
      <c r="J849" s="28" t="str">
        <f t="array" ref="J849">_xlfn.XLOOKUP($A849, 'Medical Examinations'!$A:$A, 'Medical Examinations'!I:I, "No Data")</f>
        <v>Obesity</v>
      </c>
      <c r="K849" s="28" t="str">
        <f t="array" ref="K849">_xlfn.XLOOKUP($A849, 'Hospitalisation Details'!$A:$A, 'Hospitalisation Details'!I:I, "No Data")</f>
        <v>tier - 1</v>
      </c>
      <c r="L849" s="28" t="str">
        <f t="array" ref="L849">_xlfn.XLOOKUP($A849, 'Hospitalisation Details'!$A:$A, 'Hospitalisation Details'!J:J, "No Data")</f>
        <v>R1012</v>
      </c>
      <c r="M849" s="28" t="str">
        <f t="array" ref="M849">_xlfn.XLOOKUP($A849, 'Hospitalisation Details'!$A:$A, 'Hospitalisation Details'!E:E, "No Data")</f>
        <v>19/08/63</v>
      </c>
      <c r="N849" s="28">
        <f t="array" ref="N849">_xlfn.XLOOKUP($A849, 'Hospitalisation Details'!$A:$A, 'Hospitalisation Details'!K:K, "No Data")</f>
        <v>59</v>
      </c>
      <c r="O849" s="33">
        <f t="array" ref="O849">_xlfn.XLOOKUP($A849, 'Hospitalisation Details'!$A:$A, 'Hospitalisation Details'!G:G, "No Data")</f>
        <v>12622.18</v>
      </c>
      <c r="P849" s="28" t="str">
        <f t="array" ref="P849">_xlfn.XLOOKUP($A849, 'Hospitalisation Details'!$A:$A, 'Hospitalisation Details'!H:H, "No Data")</f>
        <v>tier - 3</v>
      </c>
    </row>
    <row r="850">
      <c r="A850" s="25" t="s">
        <v>2708</v>
      </c>
      <c r="B850" s="28" t="str">
        <f t="array" ref="B850">_xlfn.XLOOKUP($A850, 'Customer Names'!$A:$A, 'Customer Names'!B:B, "No Data")</f>
        <v>Kurt</v>
      </c>
      <c r="C850" s="28">
        <f t="array" ref="C850">_xlfn.XLOOKUP($A850, 'Medical Examinations'!$A:$A, 'Medical Examinations'!B:B, "No Data")</f>
        <v>26.79</v>
      </c>
      <c r="D850" s="28">
        <f t="array" ref="D850">_xlfn.XLOOKUP($A850, 'Medical Examinations'!$A:$A, 'Medical Examinations'!C:C, "No Data")</f>
        <v>5.06</v>
      </c>
      <c r="E850" s="28" t="str">
        <f t="array" ref="E850">_xlfn.XLOOKUP($A850, 'Medical Examinations'!$A:$A, 'Medical Examinations'!D:D, "No Data")</f>
        <v>No</v>
      </c>
      <c r="F850" s="28" t="str">
        <f t="array" ref="F850">_xlfn.XLOOKUP($A850, 'Medical Examinations'!$A:$A, 'Medical Examinations'!E:E, "No Data")</f>
        <v>No</v>
      </c>
      <c r="G850" s="28" t="str">
        <f t="array" ref="G850">_xlfn.XLOOKUP($A850, 'Medical Examinations'!$A:$A, 'Medical Examinations'!F:F, "No Data")</f>
        <v>No</v>
      </c>
      <c r="H850" s="28">
        <f t="array" ref="H850">_xlfn.XLOOKUP($A850, 'Medical Examinations'!$A:$A, 'Medical Examinations'!G:G, "No Data")</f>
        <v>1</v>
      </c>
      <c r="I850" s="28" t="str">
        <f t="array" ref="I850">_xlfn.XLOOKUP($A850, 'Medical Examinations'!$A:$A, 'Medical Examinations'!H:H, "No Data")</f>
        <v>No</v>
      </c>
      <c r="J850" s="28" t="str">
        <f t="array" ref="J850">_xlfn.XLOOKUP($A850, 'Medical Examinations'!$A:$A, 'Medical Examinations'!I:I, "No Data")</f>
        <v>Overweight</v>
      </c>
      <c r="K850" s="28" t="str">
        <f t="array" ref="K850">_xlfn.XLOOKUP($A850, 'Hospitalisation Details'!$A:$A, 'Hospitalisation Details'!I:I, "No Data")</f>
        <v>tier - 3</v>
      </c>
      <c r="L850" s="28" t="str">
        <f t="array" ref="L850">_xlfn.XLOOKUP($A850, 'Hospitalisation Details'!$A:$A, 'Hospitalisation Details'!J:J, "No Data")</f>
        <v>R1012</v>
      </c>
      <c r="M850" s="28" t="str">
        <f t="array" ref="M850">_xlfn.XLOOKUP($A850, 'Hospitalisation Details'!$A:$A, 'Hospitalisation Details'!E:E, "No Data")</f>
        <v>18/11/98</v>
      </c>
      <c r="N850" s="28">
        <f t="array" ref="N850">_xlfn.XLOOKUP($A850, 'Hospitalisation Details'!$A:$A, 'Hospitalisation Details'!K:K, "No Data")</f>
        <v>24</v>
      </c>
      <c r="O850" s="33">
        <f t="array" ref="O850">_xlfn.XLOOKUP($A850, 'Hospitalisation Details'!$A:$A, 'Hospitalisation Details'!G:G, "No Data")</f>
        <v>12609.89</v>
      </c>
      <c r="P850" s="28" t="str">
        <f t="array" ref="P850">_xlfn.XLOOKUP($A850, 'Hospitalisation Details'!$A:$A, 'Hospitalisation Details'!H:H, "No Data")</f>
        <v>tier - 3</v>
      </c>
    </row>
    <row r="851">
      <c r="A851" s="25" t="s">
        <v>2711</v>
      </c>
      <c r="B851" s="28" t="str">
        <f t="array" ref="B851">_xlfn.XLOOKUP($A851, 'Customer Names'!$A:$A, 'Customer Names'!B:B, "No Data")</f>
        <v>Duhaime</v>
      </c>
      <c r="C851" s="28">
        <f t="array" ref="C851">_xlfn.XLOOKUP($A851, 'Medical Examinations'!$A:$A, 'Medical Examinations'!B:B, "No Data")</f>
        <v>42.78</v>
      </c>
      <c r="D851" s="28">
        <f t="array" ref="D851">_xlfn.XLOOKUP($A851, 'Medical Examinations'!$A:$A, 'Medical Examinations'!C:C, "No Data")</f>
        <v>6.11</v>
      </c>
      <c r="E851" s="28" t="str">
        <f t="array" ref="E851">_xlfn.XLOOKUP($A851, 'Medical Examinations'!$A:$A, 'Medical Examinations'!D:D, "No Data")</f>
        <v>yes</v>
      </c>
      <c r="F851" s="28" t="str">
        <f t="array" ref="F851">_xlfn.XLOOKUP($A851, 'Medical Examinations'!$A:$A, 'Medical Examinations'!E:E, "No Data")</f>
        <v>No</v>
      </c>
      <c r="G851" s="28" t="str">
        <f t="array" ref="G851">_xlfn.XLOOKUP($A851, 'Medical Examinations'!$A:$A, 'Medical Examinations'!F:F, "No Data")</f>
        <v>No</v>
      </c>
      <c r="H851" s="28">
        <f t="array" ref="H851">_xlfn.XLOOKUP($A851, 'Medical Examinations'!$A:$A, 'Medical Examinations'!G:G, "No Data")</f>
        <v>1</v>
      </c>
      <c r="I851" s="28" t="str">
        <f t="array" ref="I851">_xlfn.XLOOKUP($A851, 'Medical Examinations'!$A:$A, 'Medical Examinations'!H:H, "No Data")</f>
        <v>No</v>
      </c>
      <c r="J851" s="28" t="str">
        <f t="array" ref="J851">_xlfn.XLOOKUP($A851, 'Medical Examinations'!$A:$A, 'Medical Examinations'!I:I, "No Data")</f>
        <v>Obesity</v>
      </c>
      <c r="K851" s="28" t="str">
        <f t="array" ref="K851">_xlfn.XLOOKUP($A851, 'Hospitalisation Details'!$A:$A, 'Hospitalisation Details'!I:I, "No Data")</f>
        <v>tier - 1</v>
      </c>
      <c r="L851" s="28" t="str">
        <f t="array" ref="L851">_xlfn.XLOOKUP($A851, 'Hospitalisation Details'!$A:$A, 'Hospitalisation Details'!J:J, "No Data")</f>
        <v>R1023</v>
      </c>
      <c r="M851" s="28" t="str">
        <f t="array" ref="M851">_xlfn.XLOOKUP($A851, 'Hospitalisation Details'!$A:$A, 'Hospitalisation Details'!E:E, "No Data")</f>
        <v>11/08/88</v>
      </c>
      <c r="N851" s="28">
        <f t="array" ref="N851">_xlfn.XLOOKUP($A851, 'Hospitalisation Details'!$A:$A, 'Hospitalisation Details'!K:K, "No Data")</f>
        <v>34</v>
      </c>
      <c r="O851" s="33">
        <f t="array" ref="O851">_xlfn.XLOOKUP($A851, 'Hospitalisation Details'!$A:$A, 'Hospitalisation Details'!G:G, "No Data")</f>
        <v>12600.46</v>
      </c>
      <c r="P851" s="28" t="str">
        <f t="array" ref="P851">_xlfn.XLOOKUP($A851, 'Hospitalisation Details'!$A:$A, 'Hospitalisation Details'!H:H, "No Data")</f>
        <v>tier - 3</v>
      </c>
    </row>
    <row r="852">
      <c r="A852" s="25" t="s">
        <v>2713</v>
      </c>
      <c r="B852" s="28" t="str">
        <f t="array" ref="B852">_xlfn.XLOOKUP($A852, 'Customer Names'!$A:$A, 'Customer Names'!B:B, "No Data")</f>
        <v>Swann</v>
      </c>
      <c r="C852" s="28">
        <f t="array" ref="C852">_xlfn.XLOOKUP($A852, 'Medical Examinations'!$A:$A, 'Medical Examinations'!B:B, "No Data")</f>
        <v>46.75</v>
      </c>
      <c r="D852" s="28">
        <f t="array" ref="D852">_xlfn.XLOOKUP($A852, 'Medical Examinations'!$A:$A, 'Medical Examinations'!C:C, "No Data")</f>
        <v>6.66</v>
      </c>
      <c r="E852" s="28" t="str">
        <f t="array" ref="E852">_xlfn.XLOOKUP($A852, 'Medical Examinations'!$A:$A, 'Medical Examinations'!D:D, "No Data")</f>
        <v>yes</v>
      </c>
      <c r="F852" s="28" t="str">
        <f t="array" ref="F852">_xlfn.XLOOKUP($A852, 'Medical Examinations'!$A:$A, 'Medical Examinations'!E:E, "No Data")</f>
        <v>No</v>
      </c>
      <c r="G852" s="28" t="str">
        <f t="array" ref="G852">_xlfn.XLOOKUP($A852, 'Medical Examinations'!$A:$A, 'Medical Examinations'!F:F, "No Data")</f>
        <v>No</v>
      </c>
      <c r="H852" s="28">
        <f t="array" ref="H852">_xlfn.XLOOKUP($A852, 'Medical Examinations'!$A:$A, 'Medical Examinations'!G:G, "No Data")</f>
        <v>2</v>
      </c>
      <c r="I852" s="28" t="str">
        <f t="array" ref="I852">_xlfn.XLOOKUP($A852, 'Medical Examinations'!$A:$A, 'Medical Examinations'!H:H, "No Data")</f>
        <v>No</v>
      </c>
      <c r="J852" s="28" t="str">
        <f t="array" ref="J852">_xlfn.XLOOKUP($A852, 'Medical Examinations'!$A:$A, 'Medical Examinations'!I:I, "No Data")</f>
        <v>Obesity</v>
      </c>
      <c r="K852" s="28" t="str">
        <f t="array" ref="K852">_xlfn.XLOOKUP($A852, 'Hospitalisation Details'!$A:$A, 'Hospitalisation Details'!I:I, "No Data")</f>
        <v>tier - 2</v>
      </c>
      <c r="L852" s="28" t="str">
        <f t="array" ref="L852">_xlfn.XLOOKUP($A852, 'Hospitalisation Details'!$A:$A, 'Hospitalisation Details'!J:J, "No Data")</f>
        <v>R1013</v>
      </c>
      <c r="M852" s="28" t="str">
        <f t="array" ref="M852">_xlfn.XLOOKUP($A852, 'Hospitalisation Details'!$A:$A, 'Hospitalisation Details'!E:E, "No Data")</f>
        <v>18/06/70</v>
      </c>
      <c r="N852" s="28">
        <f t="array" ref="N852">_xlfn.XLOOKUP($A852, 'Hospitalisation Details'!$A:$A, 'Hospitalisation Details'!K:K, "No Data")</f>
        <v>52</v>
      </c>
      <c r="O852" s="33">
        <f t="array" ref="O852">_xlfn.XLOOKUP($A852, 'Hospitalisation Details'!$A:$A, 'Hospitalisation Details'!G:G, "No Data")</f>
        <v>12592.53</v>
      </c>
      <c r="P852" s="28" t="str">
        <f t="array" ref="P852">_xlfn.XLOOKUP($A852, 'Hospitalisation Details'!$A:$A, 'Hospitalisation Details'!H:H, "No Data")</f>
        <v>tier - 3</v>
      </c>
    </row>
    <row r="853">
      <c r="A853" s="25" t="s">
        <v>2717</v>
      </c>
      <c r="B853" s="28" t="str">
        <f t="array" ref="B853">_xlfn.XLOOKUP($A853, 'Customer Names'!$A:$A, 'Customer Names'!B:B, "No Data")</f>
        <v>Burton</v>
      </c>
      <c r="C853" s="28">
        <f t="array" ref="C853">_xlfn.XLOOKUP($A853, 'Medical Examinations'!$A:$A, 'Medical Examinations'!B:B, "No Data")</f>
        <v>32.15</v>
      </c>
      <c r="D853" s="28">
        <f t="array" ref="D853">_xlfn.XLOOKUP($A853, 'Medical Examinations'!$A:$A, 'Medical Examinations'!C:C, "No Data")</f>
        <v>4.02</v>
      </c>
      <c r="E853" s="28" t="str">
        <f t="array" ref="E853">_xlfn.XLOOKUP($A853, 'Medical Examinations'!$A:$A, 'Medical Examinations'!D:D, "No Data")</f>
        <v>yes</v>
      </c>
      <c r="F853" s="28" t="str">
        <f t="array" ref="F853">_xlfn.XLOOKUP($A853, 'Medical Examinations'!$A:$A, 'Medical Examinations'!E:E, "No Data")</f>
        <v>No</v>
      </c>
      <c r="G853" s="28" t="str">
        <f t="array" ref="G853">_xlfn.XLOOKUP($A853, 'Medical Examinations'!$A:$A, 'Medical Examinations'!F:F, "No Data")</f>
        <v>Yes</v>
      </c>
      <c r="H853" s="28">
        <f t="array" ref="H853">_xlfn.XLOOKUP($A853, 'Medical Examinations'!$A:$A, 'Medical Examinations'!G:G, "No Data")</f>
        <v>1</v>
      </c>
      <c r="I853" s="28" t="str">
        <f t="array" ref="I853">_xlfn.XLOOKUP($A853, 'Medical Examinations'!$A:$A, 'Medical Examinations'!H:H, "No Data")</f>
        <v>No</v>
      </c>
      <c r="J853" s="28" t="str">
        <f t="array" ref="J853">_xlfn.XLOOKUP($A853, 'Medical Examinations'!$A:$A, 'Medical Examinations'!I:I, "No Data")</f>
        <v>Obesity</v>
      </c>
      <c r="K853" s="28" t="str">
        <f t="array" ref="K853">_xlfn.XLOOKUP($A853, 'Hospitalisation Details'!$A:$A, 'Hospitalisation Details'!I:I, "No Data")</f>
        <v>tier - 1</v>
      </c>
      <c r="L853" s="28" t="str">
        <f t="array" ref="L853">_xlfn.XLOOKUP($A853, 'Hospitalisation Details'!$A:$A, 'Hospitalisation Details'!J:J, "No Data")</f>
        <v>R1025</v>
      </c>
      <c r="M853" s="28" t="str">
        <f t="array" ref="M853">_xlfn.XLOOKUP($A853, 'Hospitalisation Details'!$A:$A, 'Hospitalisation Details'!E:E, "No Data")</f>
        <v>26/11/69</v>
      </c>
      <c r="N853" s="28">
        <f t="array" ref="N853">_xlfn.XLOOKUP($A853, 'Hospitalisation Details'!$A:$A, 'Hospitalisation Details'!K:K, "No Data")</f>
        <v>53</v>
      </c>
      <c r="O853" s="33">
        <f t="array" ref="O853">_xlfn.XLOOKUP($A853, 'Hospitalisation Details'!$A:$A, 'Hospitalisation Details'!G:G, "No Data")</f>
        <v>12579.92</v>
      </c>
      <c r="P853" s="28" t="str">
        <f t="array" ref="P853">_xlfn.XLOOKUP($A853, 'Hospitalisation Details'!$A:$A, 'Hospitalisation Details'!H:H, "No Data")</f>
        <v>tier - 3</v>
      </c>
    </row>
    <row r="854">
      <c r="A854" s="25" t="s">
        <v>2720</v>
      </c>
      <c r="B854" s="28" t="str">
        <f t="array" ref="B854">_xlfn.XLOOKUP($A854, 'Customer Names'!$A:$A, 'Customer Names'!B:B, "No Data")</f>
        <v>Ricardi</v>
      </c>
      <c r="C854" s="28">
        <f t="array" ref="C854">_xlfn.XLOOKUP($A854, 'Medical Examinations'!$A:$A, 'Medical Examinations'!B:B, "No Data")</f>
        <v>43.4</v>
      </c>
      <c r="D854" s="28">
        <f t="array" ref="D854">_xlfn.XLOOKUP($A854, 'Medical Examinations'!$A:$A, 'Medical Examinations'!C:C, "No Data")</f>
        <v>8.81</v>
      </c>
      <c r="E854" s="28" t="str">
        <f t="array" ref="E854">_xlfn.XLOOKUP($A854, 'Medical Examinations'!$A:$A, 'Medical Examinations'!D:D, "No Data")</f>
        <v>yes</v>
      </c>
      <c r="F854" s="28" t="str">
        <f t="array" ref="F854">_xlfn.XLOOKUP($A854, 'Medical Examinations'!$A:$A, 'Medical Examinations'!E:E, "No Data")</f>
        <v>No</v>
      </c>
      <c r="G854" s="28" t="str">
        <f t="array" ref="G854">_xlfn.XLOOKUP($A854, 'Medical Examinations'!$A:$A, 'Medical Examinations'!F:F, "No Data")</f>
        <v>No</v>
      </c>
      <c r="H854" s="28">
        <f t="array" ref="H854">_xlfn.XLOOKUP($A854, 'Medical Examinations'!$A:$A, 'Medical Examinations'!G:G, "No Data")</f>
        <v>2</v>
      </c>
      <c r="I854" s="28" t="str">
        <f t="array" ref="I854">_xlfn.XLOOKUP($A854, 'Medical Examinations'!$A:$A, 'Medical Examinations'!H:H, "No Data")</f>
        <v>No</v>
      </c>
      <c r="J854" s="28" t="str">
        <f t="array" ref="J854">_xlfn.XLOOKUP($A854, 'Medical Examinations'!$A:$A, 'Medical Examinations'!I:I, "No Data")</f>
        <v>Obesity</v>
      </c>
      <c r="K854" s="28" t="str">
        <f t="array" ref="K854">_xlfn.XLOOKUP($A854, 'Hospitalisation Details'!$A:$A, 'Hospitalisation Details'!I:I, "No Data")</f>
        <v>tier - 1</v>
      </c>
      <c r="L854" s="28" t="str">
        <f t="array" ref="L854">_xlfn.XLOOKUP($A854, 'Hospitalisation Details'!$A:$A, 'Hospitalisation Details'!J:J, "No Data")</f>
        <v>R1011</v>
      </c>
      <c r="M854" s="28" t="str">
        <f t="array" ref="M854">_xlfn.XLOOKUP($A854, 'Hospitalisation Details'!$A:$A, 'Hospitalisation Details'!E:E, "No Data")</f>
        <v>28/11/61</v>
      </c>
      <c r="N854" s="28">
        <f t="array" ref="N854">_xlfn.XLOOKUP($A854, 'Hospitalisation Details'!$A:$A, 'Hospitalisation Details'!K:K, "No Data")</f>
        <v>61</v>
      </c>
      <c r="O854" s="33">
        <f t="array" ref="O854">_xlfn.XLOOKUP($A854, 'Hospitalisation Details'!$A:$A, 'Hospitalisation Details'!G:G, "No Data")</f>
        <v>12574.05</v>
      </c>
      <c r="P854" s="28" t="str">
        <f t="array" ref="P854">_xlfn.XLOOKUP($A854, 'Hospitalisation Details'!$A:$A, 'Hospitalisation Details'!H:H, "No Data")</f>
        <v>tier - 3</v>
      </c>
    </row>
    <row r="855">
      <c r="A855" s="25" t="s">
        <v>2721</v>
      </c>
      <c r="B855" s="28" t="str">
        <f t="array" ref="B855">_xlfn.XLOOKUP($A855, 'Customer Names'!$A:$A, 'Customer Names'!B:B, "No Data")</f>
        <v>Joslyn</v>
      </c>
      <c r="C855" s="28">
        <f t="array" ref="C855">_xlfn.XLOOKUP($A855, 'Medical Examinations'!$A:$A, 'Medical Examinations'!B:B, "No Data")</f>
        <v>31.57</v>
      </c>
      <c r="D855" s="28">
        <f t="array" ref="D855">_xlfn.XLOOKUP($A855, 'Medical Examinations'!$A:$A, 'Medical Examinations'!C:C, "No Data")</f>
        <v>7.92</v>
      </c>
      <c r="E855" s="28" t="str">
        <f t="array" ref="E855">_xlfn.XLOOKUP($A855, 'Medical Examinations'!$A:$A, 'Medical Examinations'!D:D, "No Data")</f>
        <v>yes</v>
      </c>
      <c r="F855" s="28" t="str">
        <f t="array" ref="F855">_xlfn.XLOOKUP($A855, 'Medical Examinations'!$A:$A, 'Medical Examinations'!E:E, "No Data")</f>
        <v>No</v>
      </c>
      <c r="G855" s="28" t="str">
        <f t="array" ref="G855">_xlfn.XLOOKUP($A855, 'Medical Examinations'!$A:$A, 'Medical Examinations'!F:F, "No Data")</f>
        <v>No</v>
      </c>
      <c r="H855" s="28">
        <f t="array" ref="H855">_xlfn.XLOOKUP($A855, 'Medical Examinations'!$A:$A, 'Medical Examinations'!G:G, "No Data")</f>
        <v>2</v>
      </c>
      <c r="I855" s="28" t="str">
        <f t="array" ref="I855">_xlfn.XLOOKUP($A855, 'Medical Examinations'!$A:$A, 'Medical Examinations'!H:H, "No Data")</f>
        <v>No</v>
      </c>
      <c r="J855" s="28" t="str">
        <f t="array" ref="J855">_xlfn.XLOOKUP($A855, 'Medical Examinations'!$A:$A, 'Medical Examinations'!I:I, "No Data")</f>
        <v>Obesity</v>
      </c>
      <c r="K855" s="28" t="str">
        <f t="array" ref="K855">_xlfn.XLOOKUP($A855, 'Hospitalisation Details'!$A:$A, 'Hospitalisation Details'!I:I, "No Data")</f>
        <v>tier - 3</v>
      </c>
      <c r="L855" s="28" t="str">
        <f t="array" ref="L855">_xlfn.XLOOKUP($A855, 'Hospitalisation Details'!$A:$A, 'Hospitalisation Details'!J:J, "No Data")</f>
        <v>R1013</v>
      </c>
      <c r="M855" s="28" t="str">
        <f t="array" ref="M855">_xlfn.XLOOKUP($A855, 'Hospitalisation Details'!$A:$A, 'Hospitalisation Details'!E:E, "No Data")</f>
        <v>28/11/61</v>
      </c>
      <c r="N855" s="28">
        <f t="array" ref="N855">_xlfn.XLOOKUP($A855, 'Hospitalisation Details'!$A:$A, 'Hospitalisation Details'!K:K, "No Data")</f>
        <v>61</v>
      </c>
      <c r="O855" s="33">
        <f t="array" ref="O855">_xlfn.XLOOKUP($A855, 'Hospitalisation Details'!$A:$A, 'Hospitalisation Details'!G:G, "No Data")</f>
        <v>12557.61</v>
      </c>
      <c r="P855" s="28" t="str">
        <f t="array" ref="P855">_xlfn.XLOOKUP($A855, 'Hospitalisation Details'!$A:$A, 'Hospitalisation Details'!H:H, "No Data")</f>
        <v>tier - 3</v>
      </c>
    </row>
    <row r="856">
      <c r="A856" s="25" t="s">
        <v>2725</v>
      </c>
      <c r="B856" s="28" t="str">
        <f t="array" ref="B856">_xlfn.XLOOKUP($A856, 'Customer Names'!$A:$A, 'Customer Names'!B:B, "No Data")</f>
        <v>Bennie</v>
      </c>
      <c r="C856" s="28">
        <f t="array" ref="C856">_xlfn.XLOOKUP($A856, 'Medical Examinations'!$A:$A, 'Medical Examinations'!B:B, "No Data")</f>
        <v>24.32</v>
      </c>
      <c r="D856" s="28">
        <f t="array" ref="D856">_xlfn.XLOOKUP($A856, 'Medical Examinations'!$A:$A, 'Medical Examinations'!C:C, "No Data")</f>
        <v>7.48</v>
      </c>
      <c r="E856" s="28" t="str">
        <f t="array" ref="E856">_xlfn.XLOOKUP($A856, 'Medical Examinations'!$A:$A, 'Medical Examinations'!D:D, "No Data")</f>
        <v>No</v>
      </c>
      <c r="F856" s="28" t="str">
        <f t="array" ref="F856">_xlfn.XLOOKUP($A856, 'Medical Examinations'!$A:$A, 'Medical Examinations'!E:E, "No Data")</f>
        <v>No</v>
      </c>
      <c r="G856" s="28" t="str">
        <f t="array" ref="G856">_xlfn.XLOOKUP($A856, 'Medical Examinations'!$A:$A, 'Medical Examinations'!F:F, "No Data")</f>
        <v>No</v>
      </c>
      <c r="H856" s="28">
        <f t="array" ref="H856">_xlfn.XLOOKUP($A856, 'Medical Examinations'!$A:$A, 'Medical Examinations'!G:G, "No Data")</f>
        <v>0</v>
      </c>
      <c r="I856" s="28" t="str">
        <f t="array" ref="I856">_xlfn.XLOOKUP($A856, 'Medical Examinations'!$A:$A, 'Medical Examinations'!H:H, "No Data")</f>
        <v>No</v>
      </c>
      <c r="J856" s="28" t="str">
        <f t="array" ref="J856">_xlfn.XLOOKUP($A856, 'Medical Examinations'!$A:$A, 'Medical Examinations'!I:I, "No Data")</f>
        <v>Normal Weight</v>
      </c>
      <c r="K856" s="28" t="str">
        <f t="array" ref="K856">_xlfn.XLOOKUP($A856, 'Hospitalisation Details'!$A:$A, 'Hospitalisation Details'!I:I, "No Data")</f>
        <v>tier - 3</v>
      </c>
      <c r="L856" s="28" t="str">
        <f t="array" ref="L856">_xlfn.XLOOKUP($A856, 'Hospitalisation Details'!$A:$A, 'Hospitalisation Details'!J:J, "No Data")</f>
        <v>R1012</v>
      </c>
      <c r="M856" s="28" t="str">
        <f t="array" ref="M856">_xlfn.XLOOKUP($A856, 'Hospitalisation Details'!$A:$A, 'Hospitalisation Details'!E:E, "No Data")</f>
        <v>16/10/62</v>
      </c>
      <c r="N856" s="28">
        <f t="array" ref="N856">_xlfn.XLOOKUP($A856, 'Hospitalisation Details'!$A:$A, 'Hospitalisation Details'!K:K, "No Data")</f>
        <v>60</v>
      </c>
      <c r="O856" s="33">
        <f t="array" ref="O856">_xlfn.XLOOKUP($A856, 'Hospitalisation Details'!$A:$A, 'Hospitalisation Details'!G:G, "No Data")</f>
        <v>12523.6</v>
      </c>
      <c r="P856" s="28" t="str">
        <f t="array" ref="P856">_xlfn.XLOOKUP($A856, 'Hospitalisation Details'!$A:$A, 'Hospitalisation Details'!H:H, "No Data")</f>
        <v>tier - 3</v>
      </c>
    </row>
    <row r="857">
      <c r="A857" s="25" t="s">
        <v>2727</v>
      </c>
      <c r="B857" s="28" t="str">
        <f t="array" ref="B857">_xlfn.XLOOKUP($A857, 'Customer Names'!$A:$A, 'Customer Names'!B:B, "No Data")</f>
        <v>Kanyane</v>
      </c>
      <c r="C857" s="28">
        <f t="array" ref="C857">_xlfn.XLOOKUP($A857, 'Medical Examinations'!$A:$A, 'Medical Examinations'!B:B, "No Data")</f>
        <v>31.07</v>
      </c>
      <c r="D857" s="28">
        <f t="array" ref="D857">_xlfn.XLOOKUP($A857, 'Medical Examinations'!$A:$A, 'Medical Examinations'!C:C, "No Data")</f>
        <v>4.62</v>
      </c>
      <c r="E857" s="28" t="str">
        <f t="array" ref="E857">_xlfn.XLOOKUP($A857, 'Medical Examinations'!$A:$A, 'Medical Examinations'!D:D, "No Data")</f>
        <v>yes</v>
      </c>
      <c r="F857" s="28" t="str">
        <f t="array" ref="F857">_xlfn.XLOOKUP($A857, 'Medical Examinations'!$A:$A, 'Medical Examinations'!E:E, "No Data")</f>
        <v>No</v>
      </c>
      <c r="G857" s="28" t="str">
        <f t="array" ref="G857">_xlfn.XLOOKUP($A857, 'Medical Examinations'!$A:$A, 'Medical Examinations'!F:F, "No Data")</f>
        <v>No</v>
      </c>
      <c r="H857" s="28">
        <f t="array" ref="H857">_xlfn.XLOOKUP($A857, 'Medical Examinations'!$A:$A, 'Medical Examinations'!G:G, "No Data")</f>
        <v>2</v>
      </c>
      <c r="I857" s="28" t="str">
        <f t="array" ref="I857">_xlfn.XLOOKUP($A857, 'Medical Examinations'!$A:$A, 'Medical Examinations'!H:H, "No Data")</f>
        <v>No</v>
      </c>
      <c r="J857" s="28" t="str">
        <f t="array" ref="J857">_xlfn.XLOOKUP($A857, 'Medical Examinations'!$A:$A, 'Medical Examinations'!I:I, "No Data")</f>
        <v>Obesity</v>
      </c>
      <c r="K857" s="28" t="str">
        <f t="array" ref="K857">_xlfn.XLOOKUP($A857, 'Hospitalisation Details'!$A:$A, 'Hospitalisation Details'!I:I, "No Data")</f>
        <v>tier - 2</v>
      </c>
      <c r="L857" s="28" t="str">
        <f t="array" ref="L857">_xlfn.XLOOKUP($A857, 'Hospitalisation Details'!$A:$A, 'Hospitalisation Details'!J:J, "No Data")</f>
        <v>R1012</v>
      </c>
      <c r="M857" s="28" t="str">
        <f t="array" ref="M857">_xlfn.XLOOKUP($A857, 'Hospitalisation Details'!$A:$A, 'Hospitalisation Details'!E:E, "No Data")</f>
        <v>12/07/66</v>
      </c>
      <c r="N857" s="28">
        <f t="array" ref="N857">_xlfn.XLOOKUP($A857, 'Hospitalisation Details'!$A:$A, 'Hospitalisation Details'!K:K, "No Data")</f>
        <v>56</v>
      </c>
      <c r="O857" s="33">
        <f t="array" ref="O857">_xlfn.XLOOKUP($A857, 'Hospitalisation Details'!$A:$A, 'Hospitalisation Details'!G:G, "No Data")</f>
        <v>12499.88</v>
      </c>
      <c r="P857" s="28" t="str">
        <f t="array" ref="P857">_xlfn.XLOOKUP($A857, 'Hospitalisation Details'!$A:$A, 'Hospitalisation Details'!H:H, "No Data")</f>
        <v>tier - 3</v>
      </c>
    </row>
    <row r="858">
      <c r="A858" s="25" t="s">
        <v>2731</v>
      </c>
      <c r="B858" s="28" t="str">
        <f t="array" ref="B858">_xlfn.XLOOKUP($A858, 'Customer Names'!$A:$A, 'Customer Names'!B:B, "No Data")</f>
        <v>McFadden</v>
      </c>
      <c r="C858" s="28">
        <f t="array" ref="C858">_xlfn.XLOOKUP($A858, 'Medical Examinations'!$A:$A, 'Medical Examinations'!B:B, "No Data")</f>
        <v>35.815</v>
      </c>
      <c r="D858" s="28">
        <f t="array" ref="D858">_xlfn.XLOOKUP($A858, 'Medical Examinations'!$A:$A, 'Medical Examinations'!C:C, "No Data")</f>
        <v>8.47</v>
      </c>
      <c r="E858" s="28" t="str">
        <f t="array" ref="E858">_xlfn.XLOOKUP($A858, 'Medical Examinations'!$A:$A, 'Medical Examinations'!D:D, "No Data")</f>
        <v>No</v>
      </c>
      <c r="F858" s="28" t="str">
        <f t="array" ref="F858">_xlfn.XLOOKUP($A858, 'Medical Examinations'!$A:$A, 'Medical Examinations'!E:E, "No Data")</f>
        <v>No</v>
      </c>
      <c r="G858" s="28" t="str">
        <f t="array" ref="G858">_xlfn.XLOOKUP($A858, 'Medical Examinations'!$A:$A, 'Medical Examinations'!F:F, "No Data")</f>
        <v>No</v>
      </c>
      <c r="H858" s="28">
        <f t="array" ref="H858">_xlfn.XLOOKUP($A858, 'Medical Examinations'!$A:$A, 'Medical Examinations'!G:G, "No Data")</f>
        <v>0</v>
      </c>
      <c r="I858" s="28" t="str">
        <f t="array" ref="I858">_xlfn.XLOOKUP($A858, 'Medical Examinations'!$A:$A, 'Medical Examinations'!H:H, "No Data")</f>
        <v>No</v>
      </c>
      <c r="J858" s="28" t="str">
        <f t="array" ref="J858">_xlfn.XLOOKUP($A858, 'Medical Examinations'!$A:$A, 'Medical Examinations'!I:I, "No Data")</f>
        <v>Obesity</v>
      </c>
      <c r="K858" s="28" t="str">
        <f t="array" ref="K858">_xlfn.XLOOKUP($A858, 'Hospitalisation Details'!$A:$A, 'Hospitalisation Details'!I:I, "No Data")</f>
        <v>tier - 3</v>
      </c>
      <c r="L858" s="28" t="str">
        <f t="array" ref="L858">_xlfn.XLOOKUP($A858, 'Hospitalisation Details'!$A:$A, 'Hospitalisation Details'!J:J, "No Data")</f>
        <v>R1012</v>
      </c>
      <c r="M858" s="28" t="str">
        <f t="array" ref="M858">_xlfn.XLOOKUP($A858, 'Hospitalisation Details'!$A:$A, 'Hospitalisation Details'!E:E, "No Data")</f>
        <v>03/12/68</v>
      </c>
      <c r="N858" s="28">
        <f t="array" ref="N858">_xlfn.XLOOKUP($A858, 'Hospitalisation Details'!$A:$A, 'Hospitalisation Details'!K:K, "No Data")</f>
        <v>54</v>
      </c>
      <c r="O858" s="33">
        <f t="array" ref="O858">_xlfn.XLOOKUP($A858, 'Hospitalisation Details'!$A:$A, 'Hospitalisation Details'!G:G, "No Data")</f>
        <v>12495.29</v>
      </c>
      <c r="P858" s="28" t="str">
        <f t="array" ref="P858">_xlfn.XLOOKUP($A858, 'Hospitalisation Details'!$A:$A, 'Hospitalisation Details'!H:H, "No Data")</f>
        <v>tier - 3</v>
      </c>
    </row>
    <row r="859">
      <c r="A859" s="25" t="s">
        <v>2734</v>
      </c>
      <c r="B859" s="28" t="str">
        <f t="array" ref="B859">_xlfn.XLOOKUP($A859, 'Customer Names'!$A:$A, 'Customer Names'!B:B, "No Data")</f>
        <v>Connolly</v>
      </c>
      <c r="C859" s="28">
        <f t="array" ref="C859">_xlfn.XLOOKUP($A859, 'Medical Examinations'!$A:$A, 'Medical Examinations'!B:B, "No Data")</f>
        <v>40.81</v>
      </c>
      <c r="D859" s="28">
        <f t="array" ref="D859">_xlfn.XLOOKUP($A859, 'Medical Examinations'!$A:$A, 'Medical Examinations'!C:C, "No Data")</f>
        <v>10.58</v>
      </c>
      <c r="E859" s="28" t="str">
        <f t="array" ref="E859">_xlfn.XLOOKUP($A859, 'Medical Examinations'!$A:$A, 'Medical Examinations'!D:D, "No Data")</f>
        <v>yes</v>
      </c>
      <c r="F859" s="28" t="str">
        <f t="array" ref="F859">_xlfn.XLOOKUP($A859, 'Medical Examinations'!$A:$A, 'Medical Examinations'!E:E, "No Data")</f>
        <v>No</v>
      </c>
      <c r="G859" s="28" t="str">
        <f t="array" ref="G859">_xlfn.XLOOKUP($A859, 'Medical Examinations'!$A:$A, 'Medical Examinations'!F:F, "No Data")</f>
        <v>No</v>
      </c>
      <c r="H859" s="28">
        <f t="array" ref="H859">_xlfn.XLOOKUP($A859, 'Medical Examinations'!$A:$A, 'Medical Examinations'!G:G, "No Data")</f>
        <v>0</v>
      </c>
      <c r="I859" s="28" t="str">
        <f t="array" ref="I859">_xlfn.XLOOKUP($A859, 'Medical Examinations'!$A:$A, 'Medical Examinations'!H:H, "No Data")</f>
        <v>No</v>
      </c>
      <c r="J859" s="28" t="str">
        <f t="array" ref="J859">_xlfn.XLOOKUP($A859, 'Medical Examinations'!$A:$A, 'Medical Examinations'!I:I, "No Data")</f>
        <v>Obesity</v>
      </c>
      <c r="K859" s="28" t="str">
        <f t="array" ref="K859">_xlfn.XLOOKUP($A859, 'Hospitalisation Details'!$A:$A, 'Hospitalisation Details'!I:I, "No Data")</f>
        <v>tier - 3</v>
      </c>
      <c r="L859" s="28" t="str">
        <f t="array" ref="L859">_xlfn.XLOOKUP($A859, 'Hospitalisation Details'!$A:$A, 'Hospitalisation Details'!J:J, "No Data")</f>
        <v>R1013</v>
      </c>
      <c r="M859" s="28" t="str">
        <f t="array" ref="M859">_xlfn.XLOOKUP($A859, 'Hospitalisation Details'!$A:$A, 'Hospitalisation Details'!E:E, "No Data")</f>
        <v>01/09/67</v>
      </c>
      <c r="N859" s="28">
        <f t="array" ref="N859">_xlfn.XLOOKUP($A859, 'Hospitalisation Details'!$A:$A, 'Hospitalisation Details'!K:K, "No Data")</f>
        <v>55</v>
      </c>
      <c r="O859" s="33">
        <f t="array" ref="O859">_xlfn.XLOOKUP($A859, 'Hospitalisation Details'!$A:$A, 'Hospitalisation Details'!G:G, "No Data")</f>
        <v>12485.8</v>
      </c>
      <c r="P859" s="28" t="str">
        <f t="array" ref="P859">_xlfn.XLOOKUP($A859, 'Hospitalisation Details'!$A:$A, 'Hospitalisation Details'!H:H, "No Data")</f>
        <v>tier - 3</v>
      </c>
    </row>
    <row r="860">
      <c r="A860" s="25" t="s">
        <v>2737</v>
      </c>
      <c r="B860" s="28" t="str">
        <f t="array" ref="B860">_xlfn.XLOOKUP($A860, 'Customer Names'!$A:$A, 'Customer Names'!B:B, "No Data")</f>
        <v>Merino</v>
      </c>
      <c r="C860" s="28">
        <f t="array" ref="C860">_xlfn.XLOOKUP($A860, 'Medical Examinations'!$A:$A, 'Medical Examinations'!B:B, "No Data")</f>
        <v>24.605</v>
      </c>
      <c r="D860" s="28">
        <f t="array" ref="D860">_xlfn.XLOOKUP($A860, 'Medical Examinations'!$A:$A, 'Medical Examinations'!C:C, "No Data")</f>
        <v>7.48</v>
      </c>
      <c r="E860" s="28" t="str">
        <f t="array" ref="E860">_xlfn.XLOOKUP($A860, 'Medical Examinations'!$A:$A, 'Medical Examinations'!D:D, "No Data")</f>
        <v>No</v>
      </c>
      <c r="F860" s="28" t="str">
        <f t="array" ref="F860">_xlfn.XLOOKUP($A860, 'Medical Examinations'!$A:$A, 'Medical Examinations'!E:E, "No Data")</f>
        <v>No</v>
      </c>
      <c r="G860" s="28" t="str">
        <f t="array" ref="G860">_xlfn.XLOOKUP($A860, 'Medical Examinations'!$A:$A, 'Medical Examinations'!F:F, "No Data")</f>
        <v>No</v>
      </c>
      <c r="H860" s="28">
        <f t="array" ref="H860">_xlfn.XLOOKUP($A860, 'Medical Examinations'!$A:$A, 'Medical Examinations'!G:G, "No Data")</f>
        <v>0</v>
      </c>
      <c r="I860" s="28" t="str">
        <f t="array" ref="I860">_xlfn.XLOOKUP($A860, 'Medical Examinations'!$A:$A, 'Medical Examinations'!H:H, "No Data")</f>
        <v>No</v>
      </c>
      <c r="J860" s="28" t="str">
        <f t="array" ref="J860">_xlfn.XLOOKUP($A860, 'Medical Examinations'!$A:$A, 'Medical Examinations'!I:I, "No Data")</f>
        <v>Normal Weight</v>
      </c>
      <c r="K860" s="28" t="str">
        <f t="array" ref="K860">_xlfn.XLOOKUP($A860, 'Hospitalisation Details'!$A:$A, 'Hospitalisation Details'!I:I, "No Data")</f>
        <v>tier - 3</v>
      </c>
      <c r="L860" s="28" t="str">
        <f t="array" ref="L860">_xlfn.XLOOKUP($A860, 'Hospitalisation Details'!$A:$A, 'Hospitalisation Details'!J:J, "No Data")</f>
        <v>R1012</v>
      </c>
      <c r="M860" s="28" t="str">
        <f t="array" ref="M860">_xlfn.XLOOKUP($A860, 'Hospitalisation Details'!$A:$A, 'Hospitalisation Details'!E:E, "No Data")</f>
        <v>12/11/68</v>
      </c>
      <c r="N860" s="28">
        <f t="array" ref="N860">_xlfn.XLOOKUP($A860, 'Hospitalisation Details'!$A:$A, 'Hospitalisation Details'!K:K, "No Data")</f>
        <v>54</v>
      </c>
      <c r="O860" s="33">
        <f t="array" ref="O860">_xlfn.XLOOKUP($A860, 'Hospitalisation Details'!$A:$A, 'Hospitalisation Details'!G:G, "No Data")</f>
        <v>12479.71</v>
      </c>
      <c r="P860" s="28" t="str">
        <f t="array" ref="P860">_xlfn.XLOOKUP($A860, 'Hospitalisation Details'!$A:$A, 'Hospitalisation Details'!H:H, "No Data")</f>
        <v>tier - 3</v>
      </c>
    </row>
    <row r="861">
      <c r="A861" s="25" t="s">
        <v>2740</v>
      </c>
      <c r="B861" s="28" t="str">
        <f t="array" ref="B861">_xlfn.XLOOKUP($A861, 'Customer Names'!$A:$A, 'Customer Names'!B:B, "No Data")</f>
        <v>Baird</v>
      </c>
      <c r="C861" s="28">
        <f t="array" ref="C861">_xlfn.XLOOKUP($A861, 'Medical Examinations'!$A:$A, 'Medical Examinations'!B:B, "No Data")</f>
        <v>21.47</v>
      </c>
      <c r="D861" s="28">
        <f t="array" ref="D861">_xlfn.XLOOKUP($A861, 'Medical Examinations'!$A:$A, 'Medical Examinations'!C:C, "No Data")</f>
        <v>7.82</v>
      </c>
      <c r="E861" s="28" t="str">
        <f t="array" ref="E861">_xlfn.XLOOKUP($A861, 'Medical Examinations'!$A:$A, 'Medical Examinations'!D:D, "No Data")</f>
        <v>No</v>
      </c>
      <c r="F861" s="28" t="str">
        <f t="array" ref="F861">_xlfn.XLOOKUP($A861, 'Medical Examinations'!$A:$A, 'Medical Examinations'!E:E, "No Data")</f>
        <v>No</v>
      </c>
      <c r="G861" s="28" t="str">
        <f t="array" ref="G861">_xlfn.XLOOKUP($A861, 'Medical Examinations'!$A:$A, 'Medical Examinations'!F:F, "No Data")</f>
        <v>No</v>
      </c>
      <c r="H861" s="28">
        <f t="array" ref="H861">_xlfn.XLOOKUP($A861, 'Medical Examinations'!$A:$A, 'Medical Examinations'!G:G, "No Data")</f>
        <v>0</v>
      </c>
      <c r="I861" s="28" t="str">
        <f t="array" ref="I861">_xlfn.XLOOKUP($A861, 'Medical Examinations'!$A:$A, 'Medical Examinations'!H:H, "No Data")</f>
        <v>No</v>
      </c>
      <c r="J861" s="28" t="str">
        <f t="array" ref="J861">_xlfn.XLOOKUP($A861, 'Medical Examinations'!$A:$A, 'Medical Examinations'!I:I, "No Data")</f>
        <v>Normal Weight</v>
      </c>
      <c r="K861" s="28" t="str">
        <f t="array" ref="K861">_xlfn.XLOOKUP($A861, 'Hospitalisation Details'!$A:$A, 'Hospitalisation Details'!I:I, "No Data")</f>
        <v>tier - 1</v>
      </c>
      <c r="L861" s="28" t="str">
        <f t="array" ref="L861">_xlfn.XLOOKUP($A861, 'Hospitalisation Details'!$A:$A, 'Hospitalisation Details'!J:J, "No Data")</f>
        <v>R1012</v>
      </c>
      <c r="M861" s="28" t="str">
        <f t="array" ref="M861">_xlfn.XLOOKUP($A861, 'Hospitalisation Details'!$A:$A, 'Hospitalisation Details'!E:E, "No Data")</f>
        <v>26/11/68</v>
      </c>
      <c r="N861" s="28">
        <f t="array" ref="N861">_xlfn.XLOOKUP($A861, 'Hospitalisation Details'!$A:$A, 'Hospitalisation Details'!K:K, "No Data")</f>
        <v>54</v>
      </c>
      <c r="O861" s="33">
        <f t="array" ref="O861">_xlfn.XLOOKUP($A861, 'Hospitalisation Details'!$A:$A, 'Hospitalisation Details'!G:G, "No Data")</f>
        <v>12475.35</v>
      </c>
      <c r="P861" s="28" t="str">
        <f t="array" ref="P861">_xlfn.XLOOKUP($A861, 'Hospitalisation Details'!$A:$A, 'Hospitalisation Details'!H:H, "No Data")</f>
        <v>tier - 3</v>
      </c>
    </row>
    <row r="862">
      <c r="A862" s="25" t="s">
        <v>2744</v>
      </c>
      <c r="B862" s="28" t="str">
        <f t="array" ref="B862">_xlfn.XLOOKUP($A862, 'Customer Names'!$A:$A, 'Customer Names'!B:B, "No Data")</f>
        <v>Locatelli</v>
      </c>
      <c r="C862" s="28">
        <f t="array" ref="C862">_xlfn.XLOOKUP($A862, 'Medical Examinations'!$A:$A, 'Medical Examinations'!B:B, "No Data")</f>
        <v>52.89</v>
      </c>
      <c r="D862" s="28">
        <f t="array" ref="D862">_xlfn.XLOOKUP($A862, 'Medical Examinations'!$A:$A, 'Medical Examinations'!C:C, "No Data")</f>
        <v>4.96</v>
      </c>
      <c r="E862" s="28" t="str">
        <f t="array" ref="E862">_xlfn.XLOOKUP($A862, 'Medical Examinations'!$A:$A, 'Medical Examinations'!D:D, "No Data")</f>
        <v>yes</v>
      </c>
      <c r="F862" s="28" t="str">
        <f t="array" ref="F862">_xlfn.XLOOKUP($A862, 'Medical Examinations'!$A:$A, 'Medical Examinations'!E:E, "No Data")</f>
        <v>No</v>
      </c>
      <c r="G862" s="28" t="str">
        <f t="array" ref="G862">_xlfn.XLOOKUP($A862, 'Medical Examinations'!$A:$A, 'Medical Examinations'!F:F, "No Data")</f>
        <v>No</v>
      </c>
      <c r="H862" s="28">
        <f t="array" ref="H862">_xlfn.XLOOKUP($A862, 'Medical Examinations'!$A:$A, 'Medical Examinations'!G:G, "No Data")</f>
        <v>1</v>
      </c>
      <c r="I862" s="28" t="str">
        <f t="array" ref="I862">_xlfn.XLOOKUP($A862, 'Medical Examinations'!$A:$A, 'Medical Examinations'!H:H, "No Data")</f>
        <v>No</v>
      </c>
      <c r="J862" s="28" t="str">
        <f t="array" ref="J862">_xlfn.XLOOKUP($A862, 'Medical Examinations'!$A:$A, 'Medical Examinations'!I:I, "No Data")</f>
        <v>Obesity</v>
      </c>
      <c r="K862" s="28" t="str">
        <f t="array" ref="K862">_xlfn.XLOOKUP($A862, 'Hospitalisation Details'!$A:$A, 'Hospitalisation Details'!I:I, "No Data")</f>
        <v>tier - 3</v>
      </c>
      <c r="L862" s="28" t="str">
        <f t="array" ref="L862">_xlfn.XLOOKUP($A862, 'Hospitalisation Details'!$A:$A, 'Hospitalisation Details'!J:J, "No Data")</f>
        <v>R1012</v>
      </c>
      <c r="M862" s="28" t="str">
        <f t="array" ref="M862">_xlfn.XLOOKUP($A862, 'Hospitalisation Details'!$A:$A, 'Hospitalisation Details'!E:E, "No Data")</f>
        <v>09/08/95</v>
      </c>
      <c r="N862" s="28">
        <f t="array" ref="N862">_xlfn.XLOOKUP($A862, 'Hospitalisation Details'!$A:$A, 'Hospitalisation Details'!K:K, "No Data")</f>
        <v>27</v>
      </c>
      <c r="O862" s="33">
        <f t="array" ref="O862">_xlfn.XLOOKUP($A862, 'Hospitalisation Details'!$A:$A, 'Hospitalisation Details'!G:G, "No Data")</f>
        <v>12452.25</v>
      </c>
      <c r="P862" s="28" t="str">
        <f t="array" ref="P862">_xlfn.XLOOKUP($A862, 'Hospitalisation Details'!$A:$A, 'Hospitalisation Details'!H:H, "No Data")</f>
        <v>tier - 3</v>
      </c>
    </row>
    <row r="863">
      <c r="A863" s="25" t="s">
        <v>2746</v>
      </c>
      <c r="B863" s="28" t="str">
        <f t="array" ref="B863">_xlfn.XLOOKUP($A863, 'Customer Names'!$A:$A, 'Customer Names'!B:B, "No Data")</f>
        <v>Brake</v>
      </c>
      <c r="C863" s="28">
        <f t="array" ref="C863">_xlfn.XLOOKUP($A863, 'Medical Examinations'!$A:$A, 'Medical Examinations'!B:B, "No Data")</f>
        <v>32.965</v>
      </c>
      <c r="D863" s="28">
        <f t="array" ref="D863">_xlfn.XLOOKUP($A863, 'Medical Examinations'!$A:$A, 'Medical Examinations'!C:C, "No Data")</f>
        <v>6.15</v>
      </c>
      <c r="E863" s="28" t="str">
        <f t="array" ref="E863">_xlfn.XLOOKUP($A863, 'Medical Examinations'!$A:$A, 'Medical Examinations'!D:D, "No Data")</f>
        <v>yes</v>
      </c>
      <c r="F863" s="28" t="str">
        <f t="array" ref="F863">_xlfn.XLOOKUP($A863, 'Medical Examinations'!$A:$A, 'Medical Examinations'!E:E, "No Data")</f>
        <v>No</v>
      </c>
      <c r="G863" s="28" t="str">
        <f t="array" ref="G863">_xlfn.XLOOKUP($A863, 'Medical Examinations'!$A:$A, 'Medical Examinations'!F:F, "No Data")</f>
        <v>No</v>
      </c>
      <c r="H863" s="28">
        <f t="array" ref="H863">_xlfn.XLOOKUP($A863, 'Medical Examinations'!$A:$A, 'Medical Examinations'!G:G, "No Data")</f>
        <v>1</v>
      </c>
      <c r="I863" s="28" t="str">
        <f t="array" ref="I863">_xlfn.XLOOKUP($A863, 'Medical Examinations'!$A:$A, 'Medical Examinations'!H:H, "No Data")</f>
        <v>No</v>
      </c>
      <c r="J863" s="28" t="str">
        <f t="array" ref="J863">_xlfn.XLOOKUP($A863, 'Medical Examinations'!$A:$A, 'Medical Examinations'!I:I, "No Data")</f>
        <v>Obesity</v>
      </c>
      <c r="K863" s="28" t="str">
        <f t="array" ref="K863">_xlfn.XLOOKUP($A863, 'Hospitalisation Details'!$A:$A, 'Hospitalisation Details'!I:I, "No Data")</f>
        <v>tier - 3</v>
      </c>
      <c r="L863" s="28" t="str">
        <f t="array" ref="L863">_xlfn.XLOOKUP($A863, 'Hospitalisation Details'!$A:$A, 'Hospitalisation Details'!J:J, "No Data")</f>
        <v>R1024</v>
      </c>
      <c r="M863" s="28" t="str">
        <f t="array" ref="M863">_xlfn.XLOOKUP($A863, 'Hospitalisation Details'!$A:$A, 'Hospitalisation Details'!E:E, "No Data")</f>
        <v>04/08/64</v>
      </c>
      <c r="N863" s="28">
        <f t="array" ref="N863">_xlfn.XLOOKUP($A863, 'Hospitalisation Details'!$A:$A, 'Hospitalisation Details'!K:K, "No Data")</f>
        <v>58</v>
      </c>
      <c r="O863" s="33">
        <f t="array" ref="O863">_xlfn.XLOOKUP($A863, 'Hospitalisation Details'!$A:$A, 'Hospitalisation Details'!G:G, "No Data")</f>
        <v>12430.95</v>
      </c>
      <c r="P863" s="28" t="str">
        <f t="array" ref="P863">_xlfn.XLOOKUP($A863, 'Hospitalisation Details'!$A:$A, 'Hospitalisation Details'!H:H, "No Data")</f>
        <v>tier - 3</v>
      </c>
    </row>
    <row r="864">
      <c r="A864" s="25" t="s">
        <v>2749</v>
      </c>
      <c r="B864" s="28" t="str">
        <f t="array" ref="B864">_xlfn.XLOOKUP($A864, 'Customer Names'!$A:$A, 'Customer Names'!B:B, "No Data")</f>
        <v>Jacobs</v>
      </c>
      <c r="C864" s="28">
        <f t="array" ref="C864">_xlfn.XLOOKUP($A864, 'Medical Examinations'!$A:$A, 'Medical Examinations'!B:B, "No Data")</f>
        <v>36.8</v>
      </c>
      <c r="D864" s="28">
        <f t="array" ref="D864">_xlfn.XLOOKUP($A864, 'Medical Examinations'!$A:$A, 'Medical Examinations'!C:C, "No Data")</f>
        <v>4.62</v>
      </c>
      <c r="E864" s="28" t="str">
        <f t="array" ref="E864">_xlfn.XLOOKUP($A864, 'Medical Examinations'!$A:$A, 'Medical Examinations'!D:D, "No Data")</f>
        <v>No</v>
      </c>
      <c r="F864" s="28" t="str">
        <f t="array" ref="F864">_xlfn.XLOOKUP($A864, 'Medical Examinations'!$A:$A, 'Medical Examinations'!E:E, "No Data")</f>
        <v>No</v>
      </c>
      <c r="G864" s="28" t="str">
        <f t="array" ref="G864">_xlfn.XLOOKUP($A864, 'Medical Examinations'!$A:$A, 'Medical Examinations'!F:F, "No Data")</f>
        <v>Yes</v>
      </c>
      <c r="H864" s="28">
        <f t="array" ref="H864">_xlfn.XLOOKUP($A864, 'Medical Examinations'!$A:$A, 'Medical Examinations'!G:G, "No Data")</f>
        <v>1</v>
      </c>
      <c r="I864" s="28" t="str">
        <f t="array" ref="I864">_xlfn.XLOOKUP($A864, 'Medical Examinations'!$A:$A, 'Medical Examinations'!H:H, "No Data")</f>
        <v>No</v>
      </c>
      <c r="J864" s="28" t="str">
        <f t="array" ref="J864">_xlfn.XLOOKUP($A864, 'Medical Examinations'!$A:$A, 'Medical Examinations'!I:I, "No Data")</f>
        <v>Obesity</v>
      </c>
      <c r="K864" s="28" t="str">
        <f t="array" ref="K864">_xlfn.XLOOKUP($A864, 'Hospitalisation Details'!$A:$A, 'Hospitalisation Details'!I:I, "No Data")</f>
        <v>tier - 1</v>
      </c>
      <c r="L864" s="28" t="str">
        <f t="array" ref="L864">_xlfn.XLOOKUP($A864, 'Hospitalisation Details'!$A:$A, 'Hospitalisation Details'!J:J, "No Data")</f>
        <v>R1022</v>
      </c>
      <c r="M864" s="28" t="str">
        <f t="array" ref="M864">_xlfn.XLOOKUP($A864, 'Hospitalisation Details'!$A:$A, 'Hospitalisation Details'!E:E, "No Data")</f>
        <v>14/07/79</v>
      </c>
      <c r="N864" s="28">
        <f t="array" ref="N864">_xlfn.XLOOKUP($A864, 'Hospitalisation Details'!$A:$A, 'Hospitalisation Details'!K:K, "No Data")</f>
        <v>43</v>
      </c>
      <c r="O864" s="33">
        <f t="array" ref="O864">_xlfn.XLOOKUP($A864, 'Hospitalisation Details'!$A:$A, 'Hospitalisation Details'!G:G, "No Data")</f>
        <v>12408.29</v>
      </c>
      <c r="P864" s="28" t="str">
        <f t="array" ref="P864">_xlfn.XLOOKUP($A864, 'Hospitalisation Details'!$A:$A, 'Hospitalisation Details'!H:H, "No Data")</f>
        <v>tier - 3</v>
      </c>
    </row>
    <row r="865">
      <c r="A865" s="25" t="s">
        <v>2753</v>
      </c>
      <c r="B865" s="28" t="str">
        <f t="array" ref="B865">_xlfn.XLOOKUP($A865, 'Customer Names'!$A:$A, 'Customer Names'!B:B, "No Data")</f>
        <v>Vaught</v>
      </c>
      <c r="C865" s="28">
        <f t="array" ref="C865">_xlfn.XLOOKUP($A865, 'Medical Examinations'!$A:$A, 'Medical Examinations'!B:B, "No Data")</f>
        <v>34.3</v>
      </c>
      <c r="D865" s="28">
        <f t="array" ref="D865">_xlfn.XLOOKUP($A865, 'Medical Examinations'!$A:$A, 'Medical Examinations'!C:C, "No Data")</f>
        <v>4.87</v>
      </c>
      <c r="E865" s="28" t="str">
        <f t="array" ref="E865">_xlfn.XLOOKUP($A865, 'Medical Examinations'!$A:$A, 'Medical Examinations'!D:D, "No Data")</f>
        <v>No</v>
      </c>
      <c r="F865" s="28" t="str">
        <f t="array" ref="F865">_xlfn.XLOOKUP($A865, 'Medical Examinations'!$A:$A, 'Medical Examinations'!E:E, "No Data")</f>
        <v>No</v>
      </c>
      <c r="G865" s="28" t="str">
        <f t="array" ref="G865">_xlfn.XLOOKUP($A865, 'Medical Examinations'!$A:$A, 'Medical Examinations'!F:F, "No Data")</f>
        <v>No</v>
      </c>
      <c r="H865" s="28">
        <f t="array" ref="H865">_xlfn.XLOOKUP($A865, 'Medical Examinations'!$A:$A, 'Medical Examinations'!G:G, "No Data")</f>
        <v>2</v>
      </c>
      <c r="I865" s="28" t="str">
        <f t="array" ref="I865">_xlfn.XLOOKUP($A865, 'Medical Examinations'!$A:$A, 'Medical Examinations'!H:H, "No Data")</f>
        <v>No</v>
      </c>
      <c r="J865" s="28" t="str">
        <f t="array" ref="J865">_xlfn.XLOOKUP($A865, 'Medical Examinations'!$A:$A, 'Medical Examinations'!I:I, "No Data")</f>
        <v>Obesity</v>
      </c>
      <c r="K865" s="28" t="str">
        <f t="array" ref="K865">_xlfn.XLOOKUP($A865, 'Hospitalisation Details'!$A:$A, 'Hospitalisation Details'!I:I, "No Data")</f>
        <v>tier - 2</v>
      </c>
      <c r="L865" s="28" t="str">
        <f t="array" ref="L865">_xlfn.XLOOKUP($A865, 'Hospitalisation Details'!$A:$A, 'Hospitalisation Details'!J:J, "No Data")</f>
        <v>R1021</v>
      </c>
      <c r="M865" s="28" t="str">
        <f t="array" ref="M865">_xlfn.XLOOKUP($A865, 'Hospitalisation Details'!$A:$A, 'Hospitalisation Details'!E:E, "No Data")</f>
        <v>21/08/72</v>
      </c>
      <c r="N865" s="28">
        <f t="array" ref="N865">_xlfn.XLOOKUP($A865, 'Hospitalisation Details'!$A:$A, 'Hospitalisation Details'!K:K, "No Data")</f>
        <v>50</v>
      </c>
      <c r="O865" s="33">
        <f t="array" ref="O865">_xlfn.XLOOKUP($A865, 'Hospitalisation Details'!$A:$A, 'Hospitalisation Details'!G:G, "No Data")</f>
        <v>12407.3</v>
      </c>
      <c r="P865" s="28" t="str">
        <f t="array" ref="P865">_xlfn.XLOOKUP($A865, 'Hospitalisation Details'!$A:$A, 'Hospitalisation Details'!H:H, "No Data")</f>
        <v>tier - 3</v>
      </c>
    </row>
    <row r="866">
      <c r="A866" s="25" t="s">
        <v>2757</v>
      </c>
      <c r="B866" s="28" t="str">
        <f t="array" ref="B866">_xlfn.XLOOKUP($A866, 'Customer Names'!$A:$A, 'Customer Names'!B:B, "No Data")</f>
        <v>Monteleone</v>
      </c>
      <c r="C866" s="28">
        <f t="array" ref="C866">_xlfn.XLOOKUP($A866, 'Medical Examinations'!$A:$A, 'Medical Examinations'!B:B, "No Data")</f>
        <v>35.245</v>
      </c>
      <c r="D866" s="28">
        <f t="array" ref="D866">_xlfn.XLOOKUP($A866, 'Medical Examinations'!$A:$A, 'Medical Examinations'!C:C, "No Data")</f>
        <v>4.63</v>
      </c>
      <c r="E866" s="28" t="str">
        <f t="array" ref="E866">_xlfn.XLOOKUP($A866, 'Medical Examinations'!$A:$A, 'Medical Examinations'!D:D, "No Data")</f>
        <v>No</v>
      </c>
      <c r="F866" s="28" t="str">
        <f t="array" ref="F866">_xlfn.XLOOKUP($A866, 'Medical Examinations'!$A:$A, 'Medical Examinations'!E:E, "No Data")</f>
        <v>No</v>
      </c>
      <c r="G866" s="28" t="str">
        <f t="array" ref="G866">_xlfn.XLOOKUP($A866, 'Medical Examinations'!$A:$A, 'Medical Examinations'!F:F, "No Data")</f>
        <v>No</v>
      </c>
      <c r="H866" s="28">
        <f t="array" ref="H866">_xlfn.XLOOKUP($A866, 'Medical Examinations'!$A:$A, 'Medical Examinations'!G:G, "No Data")</f>
        <v>0</v>
      </c>
      <c r="I866" s="28" t="str">
        <f t="array" ref="I866">_xlfn.XLOOKUP($A866, 'Medical Examinations'!$A:$A, 'Medical Examinations'!H:H, "No Data")</f>
        <v>No</v>
      </c>
      <c r="J866" s="28" t="str">
        <f t="array" ref="J866">_xlfn.XLOOKUP($A866, 'Medical Examinations'!$A:$A, 'Medical Examinations'!I:I, "No Data")</f>
        <v>Obesity</v>
      </c>
      <c r="K866" s="28" t="str">
        <f t="array" ref="K866">_xlfn.XLOOKUP($A866, 'Hospitalisation Details'!$A:$A, 'Hospitalisation Details'!I:I, "No Data")</f>
        <v>tier - 3</v>
      </c>
      <c r="L866" s="28" t="str">
        <f t="array" ref="L866">_xlfn.XLOOKUP($A866, 'Hospitalisation Details'!$A:$A, 'Hospitalisation Details'!J:J, "No Data")</f>
        <v>R1016</v>
      </c>
      <c r="M866" s="28" t="str">
        <f t="array" ref="M866">_xlfn.XLOOKUP($A866, 'Hospitalisation Details'!$A:$A, 'Hospitalisation Details'!E:E, "No Data")</f>
        <v>29/12/89</v>
      </c>
      <c r="N866" s="28">
        <f t="array" ref="N866">_xlfn.XLOOKUP($A866, 'Hospitalisation Details'!$A:$A, 'Hospitalisation Details'!K:K, "No Data")</f>
        <v>33</v>
      </c>
      <c r="O866" s="33">
        <f t="array" ref="O866">_xlfn.XLOOKUP($A866, 'Hospitalisation Details'!$A:$A, 'Hospitalisation Details'!G:G, "No Data")</f>
        <v>12404.88</v>
      </c>
      <c r="P866" s="28" t="str">
        <f t="array" ref="P866">_xlfn.XLOOKUP($A866, 'Hospitalisation Details'!$A:$A, 'Hospitalisation Details'!H:H, "No Data")</f>
        <v>tier - 3</v>
      </c>
    </row>
    <row r="867">
      <c r="A867" s="25" t="s">
        <v>2759</v>
      </c>
      <c r="B867" s="28" t="str">
        <f t="array" ref="B867">_xlfn.XLOOKUP($A867, 'Customer Names'!$A:$A, 'Customer Names'!B:B, "No Data")</f>
        <v>Verdugo</v>
      </c>
      <c r="C867" s="28">
        <f t="array" ref="C867">_xlfn.XLOOKUP($A867, 'Medical Examinations'!$A:$A, 'Medical Examinations'!B:B, "No Data")</f>
        <v>26.23</v>
      </c>
      <c r="D867" s="28">
        <f t="array" ref="D867">_xlfn.XLOOKUP($A867, 'Medical Examinations'!$A:$A, 'Medical Examinations'!C:C, "No Data")</f>
        <v>11.93</v>
      </c>
      <c r="E867" s="28" t="str">
        <f t="array" ref="E867">_xlfn.XLOOKUP($A867, 'Medical Examinations'!$A:$A, 'Medical Examinations'!D:D, "No Data")</f>
        <v>No</v>
      </c>
      <c r="F867" s="28" t="str">
        <f t="array" ref="F867">_xlfn.XLOOKUP($A867, 'Medical Examinations'!$A:$A, 'Medical Examinations'!E:E, "No Data")</f>
        <v>No</v>
      </c>
      <c r="G867" s="28" t="str">
        <f t="array" ref="G867">_xlfn.XLOOKUP($A867, 'Medical Examinations'!$A:$A, 'Medical Examinations'!F:F, "No Data")</f>
        <v>No</v>
      </c>
      <c r="H867" s="28">
        <f t="array" ref="H867">_xlfn.XLOOKUP($A867, 'Medical Examinations'!$A:$A, 'Medical Examinations'!G:G, "No Data")</f>
        <v>0</v>
      </c>
      <c r="I867" s="28" t="str">
        <f t="array" ref="I867">_xlfn.XLOOKUP($A867, 'Medical Examinations'!$A:$A, 'Medical Examinations'!H:H, "No Data")</f>
        <v>No</v>
      </c>
      <c r="J867" s="28" t="str">
        <f t="array" ref="J867">_xlfn.XLOOKUP($A867, 'Medical Examinations'!$A:$A, 'Medical Examinations'!I:I, "No Data")</f>
        <v>Overweight</v>
      </c>
      <c r="K867" s="28" t="str">
        <f t="array" ref="K867">_xlfn.XLOOKUP($A867, 'Hospitalisation Details'!$A:$A, 'Hospitalisation Details'!I:I, "No Data")</f>
        <v>tier - 2</v>
      </c>
      <c r="L867" s="28" t="str">
        <f t="array" ref="L867">_xlfn.XLOOKUP($A867, 'Hospitalisation Details'!$A:$A, 'Hospitalisation Details'!J:J, "No Data")</f>
        <v>R1024</v>
      </c>
      <c r="M867" s="28" t="str">
        <f t="array" ref="M867">_xlfn.XLOOKUP($A867, 'Hospitalisation Details'!$A:$A, 'Hospitalisation Details'!E:E, "No Data")</f>
        <v>26/09/62</v>
      </c>
      <c r="N867" s="28">
        <f t="array" ref="N867">_xlfn.XLOOKUP($A867, 'Hospitalisation Details'!$A:$A, 'Hospitalisation Details'!K:K, "No Data")</f>
        <v>60</v>
      </c>
      <c r="O867" s="33">
        <f t="array" ref="O867">_xlfn.XLOOKUP($A867, 'Hospitalisation Details'!$A:$A, 'Hospitalisation Details'!G:G, "No Data")</f>
        <v>12369.89</v>
      </c>
      <c r="P867" s="28" t="str">
        <f t="array" ref="P867">_xlfn.XLOOKUP($A867, 'Hospitalisation Details'!$A:$A, 'Hospitalisation Details'!H:H, "No Data")</f>
        <v>tier - 3</v>
      </c>
    </row>
    <row r="868">
      <c r="A868" s="25" t="s">
        <v>2763</v>
      </c>
      <c r="B868" s="28" t="str">
        <f t="array" ref="B868">_xlfn.XLOOKUP($A868, 'Customer Names'!$A:$A, 'Customer Names'!B:B, "No Data")</f>
        <v>Sellers</v>
      </c>
      <c r="C868" s="28">
        <f t="array" ref="C868">_xlfn.XLOOKUP($A868, 'Medical Examinations'!$A:$A, 'Medical Examinations'!B:B, "No Data")</f>
        <v>36.1</v>
      </c>
      <c r="D868" s="28">
        <f t="array" ref="D868">_xlfn.XLOOKUP($A868, 'Medical Examinations'!$A:$A, 'Medical Examinations'!C:C, "No Data")</f>
        <v>5.65</v>
      </c>
      <c r="E868" s="28" t="str">
        <f t="array" ref="E868">_xlfn.XLOOKUP($A868, 'Medical Examinations'!$A:$A, 'Medical Examinations'!D:D, "No Data")</f>
        <v>yes</v>
      </c>
      <c r="F868" s="28" t="str">
        <f t="array" ref="F868">_xlfn.XLOOKUP($A868, 'Medical Examinations'!$A:$A, 'Medical Examinations'!E:E, "No Data")</f>
        <v>No</v>
      </c>
      <c r="G868" s="28" t="str">
        <f t="array" ref="G868">_xlfn.XLOOKUP($A868, 'Medical Examinations'!$A:$A, 'Medical Examinations'!F:F, "No Data")</f>
        <v>No</v>
      </c>
      <c r="H868" s="28">
        <f t="array" ref="H868">_xlfn.XLOOKUP($A868, 'Medical Examinations'!$A:$A, 'Medical Examinations'!G:G, "No Data")</f>
        <v>2</v>
      </c>
      <c r="I868" s="28" t="str">
        <f t="array" ref="I868">_xlfn.XLOOKUP($A868, 'Medical Examinations'!$A:$A, 'Medical Examinations'!H:H, "No Data")</f>
        <v>No</v>
      </c>
      <c r="J868" s="28" t="str">
        <f t="array" ref="J868">_xlfn.XLOOKUP($A868, 'Medical Examinations'!$A:$A, 'Medical Examinations'!I:I, "No Data")</f>
        <v>Obesity</v>
      </c>
      <c r="K868" s="28" t="str">
        <f t="array" ref="K868">_xlfn.XLOOKUP($A868, 'Hospitalisation Details'!$A:$A, 'Hospitalisation Details'!I:I, "No Data")</f>
        <v>tier - 3</v>
      </c>
      <c r="L868" s="28" t="str">
        <f t="array" ref="L868">_xlfn.XLOOKUP($A868, 'Hospitalisation Details'!$A:$A, 'Hospitalisation Details'!J:J, "No Data")</f>
        <v>R1011</v>
      </c>
      <c r="M868" s="28" t="str">
        <f t="array" ref="M868">_xlfn.XLOOKUP($A868, 'Hospitalisation Details'!$A:$A, 'Hospitalisation Details'!E:E, "No Data")</f>
        <v>29/12/66</v>
      </c>
      <c r="N868" s="28">
        <f t="array" ref="N868">_xlfn.XLOOKUP($A868, 'Hospitalisation Details'!$A:$A, 'Hospitalisation Details'!K:K, "No Data")</f>
        <v>56</v>
      </c>
      <c r="O868" s="33">
        <f t="array" ref="O868">_xlfn.XLOOKUP($A868, 'Hospitalisation Details'!$A:$A, 'Hospitalisation Details'!G:G, "No Data")</f>
        <v>12363.55</v>
      </c>
      <c r="P868" s="28" t="str">
        <f t="array" ref="P868">_xlfn.XLOOKUP($A868, 'Hospitalisation Details'!$A:$A, 'Hospitalisation Details'!H:H, "No Data")</f>
        <v>tier - 3</v>
      </c>
    </row>
    <row r="869">
      <c r="A869" s="25" t="s">
        <v>2766</v>
      </c>
      <c r="B869" s="28" t="str">
        <f t="array" ref="B869">_xlfn.XLOOKUP($A869, 'Customer Names'!$A:$A, 'Customer Names'!B:B, "No Data")</f>
        <v>Bowman</v>
      </c>
      <c r="C869" s="28">
        <f t="array" ref="C869">_xlfn.XLOOKUP($A869, 'Medical Examinations'!$A:$A, 'Medical Examinations'!B:B, "No Data")</f>
        <v>37.1</v>
      </c>
      <c r="D869" s="28">
        <f t="array" ref="D869">_xlfn.XLOOKUP($A869, 'Medical Examinations'!$A:$A, 'Medical Examinations'!C:C, "No Data")</f>
        <v>11.21</v>
      </c>
      <c r="E869" s="28" t="str">
        <f t="array" ref="E869">_xlfn.XLOOKUP($A869, 'Medical Examinations'!$A:$A, 'Medical Examinations'!D:D, "No Data")</f>
        <v>yes</v>
      </c>
      <c r="F869" s="28" t="str">
        <f t="array" ref="F869">_xlfn.XLOOKUP($A869, 'Medical Examinations'!$A:$A, 'Medical Examinations'!E:E, "No Data")</f>
        <v>No</v>
      </c>
      <c r="G869" s="28" t="str">
        <f t="array" ref="G869">_xlfn.XLOOKUP($A869, 'Medical Examinations'!$A:$A, 'Medical Examinations'!F:F, "No Data")</f>
        <v>Yes</v>
      </c>
      <c r="H869" s="28">
        <f t="array" ref="H869">_xlfn.XLOOKUP($A869, 'Medical Examinations'!$A:$A, 'Medical Examinations'!G:G, "No Data")</f>
        <v>1</v>
      </c>
      <c r="I869" s="28" t="str">
        <f t="array" ref="I869">_xlfn.XLOOKUP($A869, 'Medical Examinations'!$A:$A, 'Medical Examinations'!H:H, "No Data")</f>
        <v>No</v>
      </c>
      <c r="J869" s="28" t="str">
        <f t="array" ref="J869">_xlfn.XLOOKUP($A869, 'Medical Examinations'!$A:$A, 'Medical Examinations'!I:I, "No Data")</f>
        <v>Obesity</v>
      </c>
      <c r="K869" s="28" t="str">
        <f t="array" ref="K869">_xlfn.XLOOKUP($A869, 'Hospitalisation Details'!$A:$A, 'Hospitalisation Details'!I:I, "No Data")</f>
        <v>tier - 3</v>
      </c>
      <c r="L869" s="28" t="str">
        <f t="array" ref="L869">_xlfn.XLOOKUP($A869, 'Hospitalisation Details'!$A:$A, 'Hospitalisation Details'!J:J, "No Data")</f>
        <v>R1011</v>
      </c>
      <c r="M869" s="28" t="str">
        <f t="array" ref="M869">_xlfn.XLOOKUP($A869, 'Hospitalisation Details'!$A:$A, 'Hospitalisation Details'!E:E, "No Data")</f>
        <v>22/09/63</v>
      </c>
      <c r="N869" s="28">
        <f t="array" ref="N869">_xlfn.XLOOKUP($A869, 'Hospitalisation Details'!$A:$A, 'Hospitalisation Details'!K:K, "No Data")</f>
        <v>59</v>
      </c>
      <c r="O869" s="33">
        <f t="array" ref="O869">_xlfn.XLOOKUP($A869, 'Hospitalisation Details'!$A:$A, 'Hospitalisation Details'!G:G, "No Data")</f>
        <v>12347.17</v>
      </c>
      <c r="P869" s="28" t="str">
        <f t="array" ref="P869">_xlfn.XLOOKUP($A869, 'Hospitalisation Details'!$A:$A, 'Hospitalisation Details'!H:H, "No Data")</f>
        <v>tier - 3</v>
      </c>
    </row>
    <row r="870">
      <c r="A870" s="25" t="s">
        <v>2769</v>
      </c>
      <c r="B870" s="28" t="str">
        <f t="array" ref="B870">_xlfn.XLOOKUP($A870, 'Customer Names'!$A:$A, 'Customer Names'!B:B, "No Data")</f>
        <v>Marley</v>
      </c>
      <c r="C870" s="28">
        <f t="array" ref="C870">_xlfn.XLOOKUP($A870, 'Medical Examinations'!$A:$A, 'Medical Examinations'!B:B, "No Data")</f>
        <v>27.5</v>
      </c>
      <c r="D870" s="28">
        <f t="array" ref="D870">_xlfn.XLOOKUP($A870, 'Medical Examinations'!$A:$A, 'Medical Examinations'!C:C, "No Data")</f>
        <v>10.62</v>
      </c>
      <c r="E870" s="28" t="str">
        <f t="array" ref="E870">_xlfn.XLOOKUP($A870, 'Medical Examinations'!$A:$A, 'Medical Examinations'!D:D, "No Data")</f>
        <v>yes</v>
      </c>
      <c r="F870" s="28" t="str">
        <f t="array" ref="F870">_xlfn.XLOOKUP($A870, 'Medical Examinations'!$A:$A, 'Medical Examinations'!E:E, "No Data")</f>
        <v>No</v>
      </c>
      <c r="G870" s="28" t="str">
        <f t="array" ref="G870">_xlfn.XLOOKUP($A870, 'Medical Examinations'!$A:$A, 'Medical Examinations'!F:F, "No Data")</f>
        <v>Yes</v>
      </c>
      <c r="H870" s="28">
        <f t="array" ref="H870">_xlfn.XLOOKUP($A870, 'Medical Examinations'!$A:$A, 'Medical Examinations'!G:G, "No Data")</f>
        <v>1</v>
      </c>
      <c r="I870" s="28" t="str">
        <f t="array" ref="I870">_xlfn.XLOOKUP($A870, 'Medical Examinations'!$A:$A, 'Medical Examinations'!H:H, "No Data")</f>
        <v>No</v>
      </c>
      <c r="J870" s="28" t="str">
        <f t="array" ref="J870">_xlfn.XLOOKUP($A870, 'Medical Examinations'!$A:$A, 'Medical Examinations'!I:I, "No Data")</f>
        <v>Overweight</v>
      </c>
      <c r="K870" s="28" t="str">
        <f t="array" ref="K870">_xlfn.XLOOKUP($A870, 'Hospitalisation Details'!$A:$A, 'Hospitalisation Details'!I:I, "No Data")</f>
        <v>tier - 2</v>
      </c>
      <c r="L870" s="28" t="str">
        <f t="array" ref="L870">_xlfn.XLOOKUP($A870, 'Hospitalisation Details'!$A:$A, 'Hospitalisation Details'!J:J, "No Data")</f>
        <v>R1011</v>
      </c>
      <c r="M870" s="28" t="str">
        <f t="array" ref="M870">_xlfn.XLOOKUP($A870, 'Hospitalisation Details'!$A:$A, 'Hospitalisation Details'!E:E, "No Data")</f>
        <v>02/08/63</v>
      </c>
      <c r="N870" s="28">
        <f t="array" ref="N870">_xlfn.XLOOKUP($A870, 'Hospitalisation Details'!$A:$A, 'Hospitalisation Details'!K:K, "No Data")</f>
        <v>59</v>
      </c>
      <c r="O870" s="33">
        <f t="array" ref="O870">_xlfn.XLOOKUP($A870, 'Hospitalisation Details'!$A:$A, 'Hospitalisation Details'!G:G, "No Data")</f>
        <v>12333.83</v>
      </c>
      <c r="P870" s="28" t="str">
        <f t="array" ref="P870">_xlfn.XLOOKUP($A870, 'Hospitalisation Details'!$A:$A, 'Hospitalisation Details'!H:H, "No Data")</f>
        <v>tier - 3</v>
      </c>
    </row>
    <row r="871">
      <c r="A871" s="25" t="s">
        <v>2771</v>
      </c>
      <c r="B871" s="28" t="str">
        <f t="array" ref="B871">_xlfn.XLOOKUP($A871, 'Customer Names'!$A:$A, 'Customer Names'!B:B, "No Data")</f>
        <v>Grey</v>
      </c>
      <c r="C871" s="28">
        <f t="array" ref="C871">_xlfn.XLOOKUP($A871, 'Medical Examinations'!$A:$A, 'Medical Examinations'!B:B, "No Data")</f>
        <v>24.7</v>
      </c>
      <c r="D871" s="28">
        <f t="array" ref="D871">_xlfn.XLOOKUP($A871, 'Medical Examinations'!$A:$A, 'Medical Examinations'!C:C, "No Data")</f>
        <v>10.7</v>
      </c>
      <c r="E871" s="28" t="str">
        <f t="array" ref="E871">_xlfn.XLOOKUP($A871, 'Medical Examinations'!$A:$A, 'Medical Examinations'!D:D, "No Data")</f>
        <v>yes</v>
      </c>
      <c r="F871" s="28" t="str">
        <f t="array" ref="F871">_xlfn.XLOOKUP($A871, 'Medical Examinations'!$A:$A, 'Medical Examinations'!E:E, "No Data")</f>
        <v>No</v>
      </c>
      <c r="G871" s="28" t="str">
        <f t="array" ref="G871">_xlfn.XLOOKUP($A871, 'Medical Examinations'!$A:$A, 'Medical Examinations'!F:F, "No Data")</f>
        <v>Yes</v>
      </c>
      <c r="H871" s="28">
        <f t="array" ref="H871">_xlfn.XLOOKUP($A871, 'Medical Examinations'!$A:$A, 'Medical Examinations'!G:G, "No Data")</f>
        <v>1</v>
      </c>
      <c r="I871" s="28" t="str">
        <f t="array" ref="I871">_xlfn.XLOOKUP($A871, 'Medical Examinations'!$A:$A, 'Medical Examinations'!H:H, "No Data")</f>
        <v>No</v>
      </c>
      <c r="J871" s="28" t="str">
        <f t="array" ref="J871">_xlfn.XLOOKUP($A871, 'Medical Examinations'!$A:$A, 'Medical Examinations'!I:I, "No Data")</f>
        <v>Normal Weight</v>
      </c>
      <c r="K871" s="28" t="str">
        <f t="array" ref="K871">_xlfn.XLOOKUP($A871, 'Hospitalisation Details'!$A:$A, 'Hospitalisation Details'!I:I, "No Data")</f>
        <v>tier - 3</v>
      </c>
      <c r="L871" s="28" t="str">
        <f t="array" ref="L871">_xlfn.XLOOKUP($A871, 'Hospitalisation Details'!$A:$A, 'Hospitalisation Details'!J:J, "No Data")</f>
        <v>R1017</v>
      </c>
      <c r="M871" s="28" t="str">
        <f t="array" ref="M871">_xlfn.XLOOKUP($A871, 'Hospitalisation Details'!$A:$A, 'Hospitalisation Details'!E:E, "No Data")</f>
        <v>29/08/63</v>
      </c>
      <c r="N871" s="28">
        <f t="array" ref="N871">_xlfn.XLOOKUP($A871, 'Hospitalisation Details'!$A:$A, 'Hospitalisation Details'!K:K, "No Data")</f>
        <v>59</v>
      </c>
      <c r="O871" s="33">
        <f t="array" ref="O871">_xlfn.XLOOKUP($A871, 'Hospitalisation Details'!$A:$A, 'Hospitalisation Details'!G:G, "No Data")</f>
        <v>12323.94</v>
      </c>
      <c r="P871" s="28" t="str">
        <f t="array" ref="P871">_xlfn.XLOOKUP($A871, 'Hospitalisation Details'!$A:$A, 'Hospitalisation Details'!H:H, "No Data")</f>
        <v>tier - 3</v>
      </c>
    </row>
    <row r="872">
      <c r="A872" s="25" t="s">
        <v>2775</v>
      </c>
      <c r="B872" s="28" t="str">
        <f t="array" ref="B872">_xlfn.XLOOKUP($A872, 'Customer Names'!$A:$A, 'Customer Names'!B:B, "No Data")</f>
        <v>O'Rourke</v>
      </c>
      <c r="C872" s="28">
        <f t="array" ref="C872">_xlfn.XLOOKUP($A872, 'Medical Examinations'!$A:$A, 'Medical Examinations'!B:B, "No Data")</f>
        <v>26.78</v>
      </c>
      <c r="D872" s="28">
        <f t="array" ref="D872">_xlfn.XLOOKUP($A872, 'Medical Examinations'!$A:$A, 'Medical Examinations'!C:C, "No Data")</f>
        <v>10.02</v>
      </c>
      <c r="E872" s="28" t="str">
        <f t="array" ref="E872">_xlfn.XLOOKUP($A872, 'Medical Examinations'!$A:$A, 'Medical Examinations'!D:D, "No Data")</f>
        <v>yes</v>
      </c>
      <c r="F872" s="28" t="str">
        <f t="array" ref="F872">_xlfn.XLOOKUP($A872, 'Medical Examinations'!$A:$A, 'Medical Examinations'!E:E, "No Data")</f>
        <v>No</v>
      </c>
      <c r="G872" s="28" t="str">
        <f t="array" ref="G872">_xlfn.XLOOKUP($A872, 'Medical Examinations'!$A:$A, 'Medical Examinations'!F:F, "No Data")</f>
        <v>Yes</v>
      </c>
      <c r="H872" s="28">
        <f t="array" ref="H872">_xlfn.XLOOKUP($A872, 'Medical Examinations'!$A:$A, 'Medical Examinations'!G:G, "No Data")</f>
        <v>1</v>
      </c>
      <c r="I872" s="28" t="str">
        <f t="array" ref="I872">_xlfn.XLOOKUP($A872, 'Medical Examinations'!$A:$A, 'Medical Examinations'!H:H, "No Data")</f>
        <v>No</v>
      </c>
      <c r="J872" s="28" t="str">
        <f t="array" ref="J872">_xlfn.XLOOKUP($A872, 'Medical Examinations'!$A:$A, 'Medical Examinations'!I:I, "No Data")</f>
        <v>Overweight</v>
      </c>
      <c r="K872" s="28" t="str">
        <f t="array" ref="K872">_xlfn.XLOOKUP($A872, 'Hospitalisation Details'!$A:$A, 'Hospitalisation Details'!I:I, "No Data")</f>
        <v>tier - 1</v>
      </c>
      <c r="L872" s="28" t="str">
        <f t="array" ref="L872">_xlfn.XLOOKUP($A872, 'Hospitalisation Details'!$A:$A, 'Hospitalisation Details'!J:J, "No Data")</f>
        <v>R1025</v>
      </c>
      <c r="M872" s="28" t="str">
        <f t="array" ref="M872">_xlfn.XLOOKUP($A872, 'Hospitalisation Details'!$A:$A, 'Hospitalisation Details'!E:E, "No Data")</f>
        <v>28/10/63</v>
      </c>
      <c r="N872" s="28">
        <f t="array" ref="N872">_xlfn.XLOOKUP($A872, 'Hospitalisation Details'!$A:$A, 'Hospitalisation Details'!K:K, "No Data")</f>
        <v>59</v>
      </c>
      <c r="O872" s="33">
        <f t="array" ref="O872">_xlfn.XLOOKUP($A872, 'Hospitalisation Details'!$A:$A, 'Hospitalisation Details'!G:G, "No Data")</f>
        <v>12299.59</v>
      </c>
      <c r="P872" s="28" t="str">
        <f t="array" ref="P872">_xlfn.XLOOKUP($A872, 'Hospitalisation Details'!$A:$A, 'Hospitalisation Details'!H:H, "No Data")</f>
        <v>tier - 3</v>
      </c>
    </row>
    <row r="873">
      <c r="A873" s="25" t="s">
        <v>2779</v>
      </c>
      <c r="B873" s="28" t="str">
        <f t="array" ref="B873">_xlfn.XLOOKUP($A873, 'Customer Names'!$A:$A, 'Customer Names'!B:B, "No Data")</f>
        <v>Fatehali</v>
      </c>
      <c r="C873" s="28">
        <f t="array" ref="C873">_xlfn.XLOOKUP($A873, 'Medical Examinations'!$A:$A, 'Medical Examinations'!B:B, "No Data")</f>
        <v>45.8</v>
      </c>
      <c r="D873" s="28">
        <f t="array" ref="D873">_xlfn.XLOOKUP($A873, 'Medical Examinations'!$A:$A, 'Medical Examinations'!C:C, "No Data")</f>
        <v>4.85</v>
      </c>
      <c r="E873" s="28" t="str">
        <f t="array" ref="E873">_xlfn.XLOOKUP($A873, 'Medical Examinations'!$A:$A, 'Medical Examinations'!D:D, "No Data")</f>
        <v>No</v>
      </c>
      <c r="F873" s="28" t="str">
        <f t="array" ref="F873">_xlfn.XLOOKUP($A873, 'Medical Examinations'!$A:$A, 'Medical Examinations'!E:E, "No Data")</f>
        <v>No</v>
      </c>
      <c r="G873" s="28" t="str">
        <f t="array" ref="G873">_xlfn.XLOOKUP($A873, 'Medical Examinations'!$A:$A, 'Medical Examinations'!F:F, "No Data")</f>
        <v>No</v>
      </c>
      <c r="H873" s="28">
        <f t="array" ref="H873">_xlfn.XLOOKUP($A873, 'Medical Examinations'!$A:$A, 'Medical Examinations'!G:G, "No Data")</f>
        <v>0</v>
      </c>
      <c r="I873" s="28" t="str">
        <f t="array" ref="I873">_xlfn.XLOOKUP($A873, 'Medical Examinations'!$A:$A, 'Medical Examinations'!H:H, "No Data")</f>
        <v>No</v>
      </c>
      <c r="J873" s="28" t="str">
        <f t="array" ref="J873">_xlfn.XLOOKUP($A873, 'Medical Examinations'!$A:$A, 'Medical Examinations'!I:I, "No Data")</f>
        <v>Obesity</v>
      </c>
      <c r="K873" s="28" t="str">
        <f t="array" ref="K873">_xlfn.XLOOKUP($A873, 'Hospitalisation Details'!$A:$A, 'Hospitalisation Details'!I:I, "No Data")</f>
        <v>tier - 1</v>
      </c>
      <c r="L873" s="28" t="str">
        <f t="array" ref="L873">_xlfn.XLOOKUP($A873, 'Hospitalisation Details'!$A:$A, 'Hospitalisation Details'!J:J, "No Data")</f>
        <v>R1011</v>
      </c>
      <c r="M873" s="28" t="str">
        <f t="array" ref="M873">_xlfn.XLOOKUP($A873, 'Hospitalisation Details'!$A:$A, 'Hospitalisation Details'!E:E, "No Data")</f>
        <v>29/10/90</v>
      </c>
      <c r="N873" s="28">
        <f t="array" ref="N873">_xlfn.XLOOKUP($A873, 'Hospitalisation Details'!$A:$A, 'Hospitalisation Details'!K:K, "No Data")</f>
        <v>32</v>
      </c>
      <c r="O873" s="33">
        <f t="array" ref="O873">_xlfn.XLOOKUP($A873, 'Hospitalisation Details'!$A:$A, 'Hospitalisation Details'!G:G, "No Data")</f>
        <v>12282.38</v>
      </c>
      <c r="P873" s="28" t="str">
        <f t="array" ref="P873">_xlfn.XLOOKUP($A873, 'Hospitalisation Details'!$A:$A, 'Hospitalisation Details'!H:H, "No Data")</f>
        <v>tier - 3</v>
      </c>
    </row>
    <row r="874">
      <c r="A874" s="25" t="s">
        <v>2782</v>
      </c>
      <c r="B874" s="28" t="str">
        <f t="array" ref="B874">_xlfn.XLOOKUP($A874, 'Customer Names'!$A:$A, 'Customer Names'!B:B, "No Data")</f>
        <v>Piza-Taylor</v>
      </c>
      <c r="C874" s="28">
        <f t="array" ref="C874">_xlfn.XLOOKUP($A874, 'Medical Examinations'!$A:$A, 'Medical Examinations'!B:B, "No Data")</f>
        <v>29</v>
      </c>
      <c r="D874" s="28">
        <f t="array" ref="D874">_xlfn.XLOOKUP($A874, 'Medical Examinations'!$A:$A, 'Medical Examinations'!C:C, "No Data")</f>
        <v>4.39</v>
      </c>
      <c r="E874" s="28" t="str">
        <f t="array" ref="E874">_xlfn.XLOOKUP($A874, 'Medical Examinations'!$A:$A, 'Medical Examinations'!D:D, "No Data")</f>
        <v>yes</v>
      </c>
      <c r="F874" s="28" t="str">
        <f t="array" ref="F874">_xlfn.XLOOKUP($A874, 'Medical Examinations'!$A:$A, 'Medical Examinations'!E:E, "No Data")</f>
        <v>No</v>
      </c>
      <c r="G874" s="28" t="str">
        <f t="array" ref="G874">_xlfn.XLOOKUP($A874, 'Medical Examinations'!$A:$A, 'Medical Examinations'!F:F, "No Data")</f>
        <v>No</v>
      </c>
      <c r="H874" s="28">
        <f t="array" ref="H874">_xlfn.XLOOKUP($A874, 'Medical Examinations'!$A:$A, 'Medical Examinations'!G:G, "No Data")</f>
        <v>2</v>
      </c>
      <c r="I874" s="28" t="str">
        <f t="array" ref="I874">_xlfn.XLOOKUP($A874, 'Medical Examinations'!$A:$A, 'Medical Examinations'!H:H, "No Data")</f>
        <v>No</v>
      </c>
      <c r="J874" s="28" t="str">
        <f t="array" ref="J874">_xlfn.XLOOKUP($A874, 'Medical Examinations'!$A:$A, 'Medical Examinations'!I:I, "No Data")</f>
        <v>Overweight</v>
      </c>
      <c r="K874" s="28" t="str">
        <f t="array" ref="K874">_xlfn.XLOOKUP($A874, 'Hospitalisation Details'!$A:$A, 'Hospitalisation Details'!I:I, "No Data")</f>
        <v>tier - 1</v>
      </c>
      <c r="L874" s="28" t="str">
        <f t="array" ref="L874">_xlfn.XLOOKUP($A874, 'Hospitalisation Details'!$A:$A, 'Hospitalisation Details'!J:J, "No Data")</f>
        <v>R1025</v>
      </c>
      <c r="M874" s="28" t="str">
        <f t="array" ref="M874">_xlfn.XLOOKUP($A874, 'Hospitalisation Details'!$A:$A, 'Hospitalisation Details'!E:E, "No Data")</f>
        <v>16/11/66</v>
      </c>
      <c r="N874" s="28">
        <f t="array" ref="N874">_xlfn.XLOOKUP($A874, 'Hospitalisation Details'!$A:$A, 'Hospitalisation Details'!K:K, "No Data")</f>
        <v>56</v>
      </c>
      <c r="O874" s="33">
        <f t="array" ref="O874">_xlfn.XLOOKUP($A874, 'Hospitalisation Details'!$A:$A, 'Hospitalisation Details'!G:G, "No Data")</f>
        <v>12282.03</v>
      </c>
      <c r="P874" s="28" t="str">
        <f t="array" ref="P874">_xlfn.XLOOKUP($A874, 'Hospitalisation Details'!$A:$A, 'Hospitalisation Details'!H:H, "No Data")</f>
        <v>tier - 3</v>
      </c>
    </row>
    <row r="875">
      <c r="A875" s="25" t="s">
        <v>2785</v>
      </c>
      <c r="B875" s="28" t="str">
        <f t="array" ref="B875">_xlfn.XLOOKUP($A875, 'Customer Names'!$A:$A, 'Customer Names'!B:B, "No Data")</f>
        <v>Cavanaugh</v>
      </c>
      <c r="C875" s="28">
        <f t="array" ref="C875">_xlfn.XLOOKUP($A875, 'Medical Examinations'!$A:$A, 'Medical Examinations'!B:B, "No Data")</f>
        <v>33.535</v>
      </c>
      <c r="D875" s="28">
        <f t="array" ref="D875">_xlfn.XLOOKUP($A875, 'Medical Examinations'!$A:$A, 'Medical Examinations'!C:C, "No Data")</f>
        <v>8.24</v>
      </c>
      <c r="E875" s="28" t="str">
        <f t="array" ref="E875">_xlfn.XLOOKUP($A875, 'Medical Examinations'!$A:$A, 'Medical Examinations'!D:D, "No Data")</f>
        <v>yes</v>
      </c>
      <c r="F875" s="28" t="str">
        <f t="array" ref="F875">_xlfn.XLOOKUP($A875, 'Medical Examinations'!$A:$A, 'Medical Examinations'!E:E, "No Data")</f>
        <v>No</v>
      </c>
      <c r="G875" s="28" t="str">
        <f t="array" ref="G875">_xlfn.XLOOKUP($A875, 'Medical Examinations'!$A:$A, 'Medical Examinations'!F:F, "No Data")</f>
        <v>No</v>
      </c>
      <c r="H875" s="28">
        <f t="array" ref="H875">_xlfn.XLOOKUP($A875, 'Medical Examinations'!$A:$A, 'Medical Examinations'!G:G, "No Data")</f>
        <v>0</v>
      </c>
      <c r="I875" s="28" t="str">
        <f t="array" ref="I875">_xlfn.XLOOKUP($A875, 'Medical Examinations'!$A:$A, 'Medical Examinations'!H:H, "No Data")</f>
        <v>No</v>
      </c>
      <c r="J875" s="28" t="str">
        <f t="array" ref="J875">_xlfn.XLOOKUP($A875, 'Medical Examinations'!$A:$A, 'Medical Examinations'!I:I, "No Data")</f>
        <v>Obesity</v>
      </c>
      <c r="K875" s="28" t="str">
        <f t="array" ref="K875">_xlfn.XLOOKUP($A875, 'Hospitalisation Details'!$A:$A, 'Hospitalisation Details'!I:I, "No Data")</f>
        <v>tier - 2</v>
      </c>
      <c r="L875" s="28" t="str">
        <f t="array" ref="L875">_xlfn.XLOOKUP($A875, 'Hospitalisation Details'!$A:$A, 'Hospitalisation Details'!J:J, "No Data")</f>
        <v>R1012</v>
      </c>
      <c r="M875" s="28" t="str">
        <f t="array" ref="M875">_xlfn.XLOOKUP($A875, 'Hospitalisation Details'!$A:$A, 'Hospitalisation Details'!E:E, "No Data")</f>
        <v>28/08/67</v>
      </c>
      <c r="N875" s="28">
        <f t="array" ref="N875">_xlfn.XLOOKUP($A875, 'Hospitalisation Details'!$A:$A, 'Hospitalisation Details'!K:K, "No Data")</f>
        <v>55</v>
      </c>
      <c r="O875" s="33">
        <f t="array" ref="O875">_xlfn.XLOOKUP($A875, 'Hospitalisation Details'!$A:$A, 'Hospitalisation Details'!G:G, "No Data")</f>
        <v>12269.69</v>
      </c>
      <c r="P875" s="28" t="str">
        <f t="array" ref="P875">_xlfn.XLOOKUP($A875, 'Hospitalisation Details'!$A:$A, 'Hospitalisation Details'!H:H, "No Data")</f>
        <v>tier - 3</v>
      </c>
    </row>
    <row r="876">
      <c r="A876" s="25" t="s">
        <v>2788</v>
      </c>
      <c r="B876" s="28" t="str">
        <f t="array" ref="B876">_xlfn.XLOOKUP($A876, 'Customer Names'!$A:$A, 'Customer Names'!B:B, "No Data")</f>
        <v>Amako</v>
      </c>
      <c r="C876" s="28">
        <f t="array" ref="C876">_xlfn.XLOOKUP($A876, 'Medical Examinations'!$A:$A, 'Medical Examinations'!B:B, "No Data")</f>
        <v>32.775</v>
      </c>
      <c r="D876" s="28">
        <f t="array" ref="D876">_xlfn.XLOOKUP($A876, 'Medical Examinations'!$A:$A, 'Medical Examinations'!C:C, "No Data")</f>
        <v>9.77</v>
      </c>
      <c r="E876" s="28" t="str">
        <f t="array" ref="E876">_xlfn.XLOOKUP($A876, 'Medical Examinations'!$A:$A, 'Medical Examinations'!D:D, "No Data")</f>
        <v>yes</v>
      </c>
      <c r="F876" s="28" t="str">
        <f t="array" ref="F876">_xlfn.XLOOKUP($A876, 'Medical Examinations'!$A:$A, 'Medical Examinations'!E:E, "No Data")</f>
        <v>No</v>
      </c>
      <c r="G876" s="28" t="str">
        <f t="array" ref="G876">_xlfn.XLOOKUP($A876, 'Medical Examinations'!$A:$A, 'Medical Examinations'!F:F, "No Data")</f>
        <v>No</v>
      </c>
      <c r="H876" s="28">
        <f t="array" ref="H876">_xlfn.XLOOKUP($A876, 'Medical Examinations'!$A:$A, 'Medical Examinations'!G:G, "No Data")</f>
        <v>0</v>
      </c>
      <c r="I876" s="28" t="str">
        <f t="array" ref="I876">_xlfn.XLOOKUP($A876, 'Medical Examinations'!$A:$A, 'Medical Examinations'!H:H, "No Data")</f>
        <v>No</v>
      </c>
      <c r="J876" s="28" t="str">
        <f t="array" ref="J876">_xlfn.XLOOKUP($A876, 'Medical Examinations'!$A:$A, 'Medical Examinations'!I:I, "No Data")</f>
        <v>Obesity</v>
      </c>
      <c r="K876" s="28" t="str">
        <f t="array" ref="K876">_xlfn.XLOOKUP($A876, 'Hospitalisation Details'!$A:$A, 'Hospitalisation Details'!I:I, "No Data")</f>
        <v>tier - 1</v>
      </c>
      <c r="L876" s="28" t="str">
        <f t="array" ref="L876">_xlfn.XLOOKUP($A876, 'Hospitalisation Details'!$A:$A, 'Hospitalisation Details'!J:J, "No Data")</f>
        <v>R1012</v>
      </c>
      <c r="M876" s="28" t="str">
        <f t="array" ref="M876">_xlfn.XLOOKUP($A876, 'Hospitalisation Details'!$A:$A, 'Hospitalisation Details'!E:E, "No Data")</f>
        <v>30/12/67</v>
      </c>
      <c r="N876" s="28">
        <f t="array" ref="N876">_xlfn.XLOOKUP($A876, 'Hospitalisation Details'!$A:$A, 'Hospitalisation Details'!K:K, "No Data")</f>
        <v>55</v>
      </c>
      <c r="O876" s="33">
        <f t="array" ref="O876">_xlfn.XLOOKUP($A876, 'Hospitalisation Details'!$A:$A, 'Hospitalisation Details'!G:G, "No Data")</f>
        <v>12268.63</v>
      </c>
      <c r="P876" s="28" t="str">
        <f t="array" ref="P876">_xlfn.XLOOKUP($A876, 'Hospitalisation Details'!$A:$A, 'Hospitalisation Details'!H:H, "No Data")</f>
        <v>tier - 3</v>
      </c>
    </row>
    <row r="877">
      <c r="A877" s="25" t="s">
        <v>2792</v>
      </c>
      <c r="B877" s="28" t="str">
        <f t="array" ref="B877">_xlfn.XLOOKUP($A877, 'Customer Names'!$A:$A, 'Customer Names'!B:B, "No Data")</f>
        <v>Musa</v>
      </c>
      <c r="C877" s="28">
        <f t="array" ref="C877">_xlfn.XLOOKUP($A877, 'Medical Examinations'!$A:$A, 'Medical Examinations'!B:B, "No Data")</f>
        <v>37.51</v>
      </c>
      <c r="D877" s="28">
        <f t="array" ref="D877">_xlfn.XLOOKUP($A877, 'Medical Examinations'!$A:$A, 'Medical Examinations'!C:C, "No Data")</f>
        <v>5.5</v>
      </c>
      <c r="E877" s="28" t="str">
        <f t="array" ref="E877">_xlfn.XLOOKUP($A877, 'Medical Examinations'!$A:$A, 'Medical Examinations'!D:D, "No Data")</f>
        <v>yes</v>
      </c>
      <c r="F877" s="28" t="str">
        <f t="array" ref="F877">_xlfn.XLOOKUP($A877, 'Medical Examinations'!$A:$A, 'Medical Examinations'!E:E, "No Data")</f>
        <v>No</v>
      </c>
      <c r="G877" s="28" t="str">
        <f t="array" ref="G877">_xlfn.XLOOKUP($A877, 'Medical Examinations'!$A:$A, 'Medical Examinations'!F:F, "No Data")</f>
        <v>No</v>
      </c>
      <c r="H877" s="28">
        <f t="array" ref="H877">_xlfn.XLOOKUP($A877, 'Medical Examinations'!$A:$A, 'Medical Examinations'!G:G, "No Data")</f>
        <v>2</v>
      </c>
      <c r="I877" s="28" t="str">
        <f t="array" ref="I877">_xlfn.XLOOKUP($A877, 'Medical Examinations'!$A:$A, 'Medical Examinations'!H:H, "No Data")</f>
        <v>No</v>
      </c>
      <c r="J877" s="28" t="str">
        <f t="array" ref="J877">_xlfn.XLOOKUP($A877, 'Medical Examinations'!$A:$A, 'Medical Examinations'!I:I, "No Data")</f>
        <v>Obesity</v>
      </c>
      <c r="K877" s="28" t="str">
        <f t="array" ref="K877">_xlfn.XLOOKUP($A877, 'Hospitalisation Details'!$A:$A, 'Hospitalisation Details'!I:I, "No Data")</f>
        <v>tier - 3</v>
      </c>
      <c r="L877" s="28" t="str">
        <f t="array" ref="L877">_xlfn.XLOOKUP($A877, 'Hospitalisation Details'!$A:$A, 'Hospitalisation Details'!J:J, "No Data")</f>
        <v>R1013</v>
      </c>
      <c r="M877" s="28" t="str">
        <f t="array" ref="M877">_xlfn.XLOOKUP($A877, 'Hospitalisation Details'!$A:$A, 'Hospitalisation Details'!E:E, "No Data")</f>
        <v>06/12/66</v>
      </c>
      <c r="N877" s="28">
        <f t="array" ref="N877">_xlfn.XLOOKUP($A877, 'Hospitalisation Details'!$A:$A, 'Hospitalisation Details'!K:K, "No Data")</f>
        <v>56</v>
      </c>
      <c r="O877" s="33">
        <f t="array" ref="O877">_xlfn.XLOOKUP($A877, 'Hospitalisation Details'!$A:$A, 'Hospitalisation Details'!G:G, "No Data")</f>
        <v>12265.51</v>
      </c>
      <c r="P877" s="28" t="str">
        <f t="array" ref="P877">_xlfn.XLOOKUP($A877, 'Hospitalisation Details'!$A:$A, 'Hospitalisation Details'!H:H, "No Data")</f>
        <v>tier - 3</v>
      </c>
    </row>
    <row r="878">
      <c r="A878" s="25" t="s">
        <v>2795</v>
      </c>
      <c r="B878" s="28" t="str">
        <f t="array" ref="B878">_xlfn.XLOOKUP($A878, 'Customer Names'!$A:$A, 'Customer Names'!B:B, "No Data")</f>
        <v>Phillippi</v>
      </c>
      <c r="C878" s="28">
        <f t="array" ref="C878">_xlfn.XLOOKUP($A878, 'Medical Examinations'!$A:$A, 'Medical Examinations'!B:B, "No Data")</f>
        <v>39.86</v>
      </c>
      <c r="D878" s="28">
        <f t="array" ref="D878">_xlfn.XLOOKUP($A878, 'Medical Examinations'!$A:$A, 'Medical Examinations'!C:C, "No Data")</f>
        <v>11.84</v>
      </c>
      <c r="E878" s="28" t="str">
        <f t="array" ref="E878">_xlfn.XLOOKUP($A878, 'Medical Examinations'!$A:$A, 'Medical Examinations'!D:D, "No Data")</f>
        <v>yes</v>
      </c>
      <c r="F878" s="28" t="str">
        <f t="array" ref="F878">_xlfn.XLOOKUP($A878, 'Medical Examinations'!$A:$A, 'Medical Examinations'!E:E, "No Data")</f>
        <v>No</v>
      </c>
      <c r="G878" s="28" t="str">
        <f t="array" ref="G878">_xlfn.XLOOKUP($A878, 'Medical Examinations'!$A:$A, 'Medical Examinations'!F:F, "No Data")</f>
        <v>No</v>
      </c>
      <c r="H878" s="28">
        <f t="array" ref="H878">_xlfn.XLOOKUP($A878, 'Medical Examinations'!$A:$A, 'Medical Examinations'!G:G, "No Data")</f>
        <v>1</v>
      </c>
      <c r="I878" s="28" t="str">
        <f t="array" ref="I878">_xlfn.XLOOKUP($A878, 'Medical Examinations'!$A:$A, 'Medical Examinations'!H:H, "No Data")</f>
        <v>No</v>
      </c>
      <c r="J878" s="28" t="str">
        <f t="array" ref="J878">_xlfn.XLOOKUP($A878, 'Medical Examinations'!$A:$A, 'Medical Examinations'!I:I, "No Data")</f>
        <v>Obesity</v>
      </c>
      <c r="K878" s="28" t="str">
        <f t="array" ref="K878">_xlfn.XLOOKUP($A878, 'Hospitalisation Details'!$A:$A, 'Hospitalisation Details'!I:I, "No Data")</f>
        <v>tier - 2</v>
      </c>
      <c r="L878" s="28" t="str">
        <f t="array" ref="L878">_xlfn.XLOOKUP($A878, 'Hospitalisation Details'!$A:$A, 'Hospitalisation Details'!J:J, "No Data")</f>
        <v>R1026</v>
      </c>
      <c r="M878" s="28" t="str">
        <f t="array" ref="M878">_xlfn.XLOOKUP($A878, 'Hospitalisation Details'!$A:$A, 'Hospitalisation Details'!E:E, "No Data")</f>
        <v>13/08/86</v>
      </c>
      <c r="N878" s="28">
        <f t="array" ref="N878">_xlfn.XLOOKUP($A878, 'Hospitalisation Details'!$A:$A, 'Hospitalisation Details'!K:K, "No Data")</f>
        <v>36</v>
      </c>
      <c r="O878" s="33">
        <f t="array" ref="O878">_xlfn.XLOOKUP($A878, 'Hospitalisation Details'!$A:$A, 'Hospitalisation Details'!G:G, "No Data")</f>
        <v>12255.04</v>
      </c>
      <c r="P878" s="28" t="str">
        <f t="array" ref="P878">_xlfn.XLOOKUP($A878, 'Hospitalisation Details'!$A:$A, 'Hospitalisation Details'!H:H, "No Data")</f>
        <v>tier - 3</v>
      </c>
    </row>
    <row r="879">
      <c r="A879" s="25" t="s">
        <v>2798</v>
      </c>
      <c r="B879" s="28" t="str">
        <f t="array" ref="B879">_xlfn.XLOOKUP($A879, 'Customer Names'!$A:$A, 'Customer Names'!B:B, "No Data")</f>
        <v>Hoskins</v>
      </c>
      <c r="C879" s="28">
        <f t="array" ref="C879">_xlfn.XLOOKUP($A879, 'Medical Examinations'!$A:$A, 'Medical Examinations'!B:B, "No Data")</f>
        <v>42.13</v>
      </c>
      <c r="D879" s="28">
        <f t="array" ref="D879">_xlfn.XLOOKUP($A879, 'Medical Examinations'!$A:$A, 'Medical Examinations'!C:C, "No Data")</f>
        <v>4.66</v>
      </c>
      <c r="E879" s="28" t="str">
        <f t="array" ref="E879">_xlfn.XLOOKUP($A879, 'Medical Examinations'!$A:$A, 'Medical Examinations'!D:D, "No Data")</f>
        <v>No</v>
      </c>
      <c r="F879" s="28" t="str">
        <f t="array" ref="F879">_xlfn.XLOOKUP($A879, 'Medical Examinations'!$A:$A, 'Medical Examinations'!E:E, "No Data")</f>
        <v>No</v>
      </c>
      <c r="G879" s="28" t="str">
        <f t="array" ref="G879">_xlfn.XLOOKUP($A879, 'Medical Examinations'!$A:$A, 'Medical Examinations'!F:F, "No Data")</f>
        <v>No</v>
      </c>
      <c r="H879" s="28">
        <f t="array" ref="H879">_xlfn.XLOOKUP($A879, 'Medical Examinations'!$A:$A, 'Medical Examinations'!G:G, "No Data")</f>
        <v>0</v>
      </c>
      <c r="I879" s="28" t="str">
        <f t="array" ref="I879">_xlfn.XLOOKUP($A879, 'Medical Examinations'!$A:$A, 'Medical Examinations'!H:H, "No Data")</f>
        <v>No</v>
      </c>
      <c r="J879" s="28" t="str">
        <f t="array" ref="J879">_xlfn.XLOOKUP($A879, 'Medical Examinations'!$A:$A, 'Medical Examinations'!I:I, "No Data")</f>
        <v>Obesity</v>
      </c>
      <c r="K879" s="28" t="str">
        <f t="array" ref="K879">_xlfn.XLOOKUP($A879, 'Hospitalisation Details'!$A:$A, 'Hospitalisation Details'!I:I, "No Data")</f>
        <v>tier - 3</v>
      </c>
      <c r="L879" s="28" t="str">
        <f t="array" ref="L879">_xlfn.XLOOKUP($A879, 'Hospitalisation Details'!$A:$A, 'Hospitalisation Details'!J:J, "No Data")</f>
        <v>R1026</v>
      </c>
      <c r="M879" s="28" t="str">
        <f t="array" ref="M879">_xlfn.XLOOKUP($A879, 'Hospitalisation Details'!$A:$A, 'Hospitalisation Details'!E:E, "No Data")</f>
        <v>23/11/89</v>
      </c>
      <c r="N879" s="28">
        <f t="array" ref="N879">_xlfn.XLOOKUP($A879, 'Hospitalisation Details'!$A:$A, 'Hospitalisation Details'!K:K, "No Data")</f>
        <v>33</v>
      </c>
      <c r="O879" s="33">
        <f t="array" ref="O879">_xlfn.XLOOKUP($A879, 'Hospitalisation Details'!$A:$A, 'Hospitalisation Details'!G:G, "No Data")</f>
        <v>12254.44</v>
      </c>
      <c r="P879" s="28" t="str">
        <f t="array" ref="P879">_xlfn.XLOOKUP($A879, 'Hospitalisation Details'!$A:$A, 'Hospitalisation Details'!H:H, "No Data")</f>
        <v>tier - 3</v>
      </c>
    </row>
    <row r="880">
      <c r="A880" s="25" t="s">
        <v>2802</v>
      </c>
      <c r="B880" s="28" t="str">
        <f t="array" ref="B880">_xlfn.XLOOKUP($A880, 'Customer Names'!$A:$A, 'Customer Names'!B:B, "No Data")</f>
        <v>Imbalzano Zegar</v>
      </c>
      <c r="C880" s="28">
        <f t="array" ref="C880">_xlfn.XLOOKUP($A880, 'Medical Examinations'!$A:$A, 'Medical Examinations'!B:B, "No Data")</f>
        <v>35.99</v>
      </c>
      <c r="D880" s="28">
        <f t="array" ref="D880">_xlfn.XLOOKUP($A880, 'Medical Examinations'!$A:$A, 'Medical Examinations'!C:C, "No Data")</f>
        <v>11.11</v>
      </c>
      <c r="E880" s="28" t="str">
        <f t="array" ref="E880">_xlfn.XLOOKUP($A880, 'Medical Examinations'!$A:$A, 'Medical Examinations'!D:D, "No Data")</f>
        <v>No</v>
      </c>
      <c r="F880" s="28" t="str">
        <f t="array" ref="F880">_xlfn.XLOOKUP($A880, 'Medical Examinations'!$A:$A, 'Medical Examinations'!E:E, "No Data")</f>
        <v>No</v>
      </c>
      <c r="G880" s="28" t="str">
        <f t="array" ref="G880">_xlfn.XLOOKUP($A880, 'Medical Examinations'!$A:$A, 'Medical Examinations'!F:F, "No Data")</f>
        <v>No</v>
      </c>
      <c r="H880" s="28">
        <f t="array" ref="H880">_xlfn.XLOOKUP($A880, 'Medical Examinations'!$A:$A, 'Medical Examinations'!G:G, "No Data")</f>
        <v>0</v>
      </c>
      <c r="I880" s="28" t="str">
        <f t="array" ref="I880">_xlfn.XLOOKUP($A880, 'Medical Examinations'!$A:$A, 'Medical Examinations'!H:H, "No Data")</f>
        <v>No</v>
      </c>
      <c r="J880" s="28" t="str">
        <f t="array" ref="J880">_xlfn.XLOOKUP($A880, 'Medical Examinations'!$A:$A, 'Medical Examinations'!I:I, "No Data")</f>
        <v>Obesity</v>
      </c>
      <c r="K880" s="28" t="str">
        <f t="array" ref="K880">_xlfn.XLOOKUP($A880, 'Hospitalisation Details'!$A:$A, 'Hospitalisation Details'!I:I, "No Data")</f>
        <v>tier - 1</v>
      </c>
      <c r="L880" s="28" t="str">
        <f t="array" ref="L880">_xlfn.XLOOKUP($A880, 'Hospitalisation Details'!$A:$A, 'Hospitalisation Details'!J:J, "No Data")</f>
        <v>R1012</v>
      </c>
      <c r="M880" s="28" t="str">
        <f t="array" ref="M880">_xlfn.XLOOKUP($A880, 'Hospitalisation Details'!$A:$A, 'Hospitalisation Details'!E:E, "No Data")</f>
        <v>23/06/74</v>
      </c>
      <c r="N880" s="28">
        <f t="array" ref="N880">_xlfn.XLOOKUP($A880, 'Hospitalisation Details'!$A:$A, 'Hospitalisation Details'!K:K, "No Data")</f>
        <v>48</v>
      </c>
      <c r="O880" s="33">
        <f t="array" ref="O880">_xlfn.XLOOKUP($A880, 'Hospitalisation Details'!$A:$A, 'Hospitalisation Details'!G:G, "No Data")</f>
        <v>12245.17</v>
      </c>
      <c r="P880" s="28" t="str">
        <f t="array" ref="P880">_xlfn.XLOOKUP($A880, 'Hospitalisation Details'!$A:$A, 'Hospitalisation Details'!H:H, "No Data")</f>
        <v>tier - 3</v>
      </c>
    </row>
    <row r="881">
      <c r="A881" s="25" t="s">
        <v>2805</v>
      </c>
      <c r="B881" s="28" t="str">
        <f t="array" ref="B881">_xlfn.XLOOKUP($A881, 'Customer Names'!$A:$A, 'Customer Names'!B:B, "No Data")</f>
        <v>Triedman</v>
      </c>
      <c r="C881" s="28">
        <f t="array" ref="C881">_xlfn.XLOOKUP($A881, 'Medical Examinations'!$A:$A, 'Medical Examinations'!B:B, "No Data")</f>
        <v>35.2</v>
      </c>
      <c r="D881" s="28">
        <f t="array" ref="D881">_xlfn.XLOOKUP($A881, 'Medical Examinations'!$A:$A, 'Medical Examinations'!C:C, "No Data")</f>
        <v>7.72</v>
      </c>
      <c r="E881" s="28" t="str">
        <f t="array" ref="E881">_xlfn.XLOOKUP($A881, 'Medical Examinations'!$A:$A, 'Medical Examinations'!D:D, "No Data")</f>
        <v>yes</v>
      </c>
      <c r="F881" s="28" t="str">
        <f t="array" ref="F881">_xlfn.XLOOKUP($A881, 'Medical Examinations'!$A:$A, 'Medical Examinations'!E:E, "No Data")</f>
        <v>No</v>
      </c>
      <c r="G881" s="28" t="str">
        <f t="array" ref="G881">_xlfn.XLOOKUP($A881, 'Medical Examinations'!$A:$A, 'Medical Examinations'!F:F, "No Data")</f>
        <v>Yes</v>
      </c>
      <c r="H881" s="28">
        <f t="array" ref="H881">_xlfn.XLOOKUP($A881, 'Medical Examinations'!$A:$A, 'Medical Examinations'!G:G, "No Data")</f>
        <v>1</v>
      </c>
      <c r="I881" s="28" t="str">
        <f t="array" ref="I881">_xlfn.XLOOKUP($A881, 'Medical Examinations'!$A:$A, 'Medical Examinations'!H:H, "No Data")</f>
        <v>No</v>
      </c>
      <c r="J881" s="28" t="str">
        <f t="array" ref="J881">_xlfn.XLOOKUP($A881, 'Medical Examinations'!$A:$A, 'Medical Examinations'!I:I, "No Data")</f>
        <v>Obesity</v>
      </c>
      <c r="K881" s="28" t="str">
        <f t="array" ref="K881">_xlfn.XLOOKUP($A881, 'Hospitalisation Details'!$A:$A, 'Hospitalisation Details'!I:I, "No Data")</f>
        <v>tier - 1</v>
      </c>
      <c r="L881" s="28" t="str">
        <f t="array" ref="L881">_xlfn.XLOOKUP($A881, 'Hospitalisation Details'!$A:$A, 'Hospitalisation Details'!J:J, "No Data")</f>
        <v>R1013</v>
      </c>
      <c r="M881" s="28" t="str">
        <f t="array" ref="M881">_xlfn.XLOOKUP($A881, 'Hospitalisation Details'!$A:$A, 'Hospitalisation Details'!E:E, "No Data")</f>
        <v>17/07/63</v>
      </c>
      <c r="N881" s="28">
        <f t="array" ref="N881">_xlfn.XLOOKUP($A881, 'Hospitalisation Details'!$A:$A, 'Hospitalisation Details'!K:K, "No Data")</f>
        <v>59</v>
      </c>
      <c r="O881" s="33">
        <f t="array" ref="O881">_xlfn.XLOOKUP($A881, 'Hospitalisation Details'!$A:$A, 'Hospitalisation Details'!G:G, "No Data")</f>
        <v>12244.53</v>
      </c>
      <c r="P881" s="28" t="str">
        <f t="array" ref="P881">_xlfn.XLOOKUP($A881, 'Hospitalisation Details'!$A:$A, 'Hospitalisation Details'!H:H, "No Data")</f>
        <v>tier - 3</v>
      </c>
    </row>
    <row r="882">
      <c r="A882" s="25" t="s">
        <v>2809</v>
      </c>
      <c r="B882" s="28" t="str">
        <f t="array" ref="B882">_xlfn.XLOOKUP($A882, 'Customer Names'!$A:$A, 'Customer Names'!B:B, "No Data")</f>
        <v>Lovuolo</v>
      </c>
      <c r="C882" s="28">
        <f t="array" ref="C882">_xlfn.XLOOKUP($A882, 'Medical Examinations'!$A:$A, 'Medical Examinations'!B:B, "No Data")</f>
        <v>29.91</v>
      </c>
      <c r="D882" s="28">
        <f t="array" ref="D882">_xlfn.XLOOKUP($A882, 'Medical Examinations'!$A:$A, 'Medical Examinations'!C:C, "No Data")</f>
        <v>5.55</v>
      </c>
      <c r="E882" s="28" t="str">
        <f t="array" ref="E882">_xlfn.XLOOKUP($A882, 'Medical Examinations'!$A:$A, 'Medical Examinations'!D:D, "No Data")</f>
        <v>yes</v>
      </c>
      <c r="F882" s="28" t="str">
        <f t="array" ref="F882">_xlfn.XLOOKUP($A882, 'Medical Examinations'!$A:$A, 'Medical Examinations'!E:E, "No Data")</f>
        <v>No</v>
      </c>
      <c r="G882" s="28" t="str">
        <f t="array" ref="G882">_xlfn.XLOOKUP($A882, 'Medical Examinations'!$A:$A, 'Medical Examinations'!F:F, "No Data")</f>
        <v>No</v>
      </c>
      <c r="H882" s="28">
        <f t="array" ref="H882">_xlfn.XLOOKUP($A882, 'Medical Examinations'!$A:$A, 'Medical Examinations'!G:G, "No Data")</f>
        <v>2</v>
      </c>
      <c r="I882" s="28" t="str">
        <f t="array" ref="I882">_xlfn.XLOOKUP($A882, 'Medical Examinations'!$A:$A, 'Medical Examinations'!H:H, "No Data")</f>
        <v>No</v>
      </c>
      <c r="J882" s="28" t="str">
        <f t="array" ref="J882">_xlfn.XLOOKUP($A882, 'Medical Examinations'!$A:$A, 'Medical Examinations'!I:I, "No Data")</f>
        <v>Overweight</v>
      </c>
      <c r="K882" s="28" t="str">
        <f t="array" ref="K882">_xlfn.XLOOKUP($A882, 'Hospitalisation Details'!$A:$A, 'Hospitalisation Details'!I:I, "No Data")</f>
        <v>tier - 3</v>
      </c>
      <c r="L882" s="28" t="str">
        <f t="array" ref="L882">_xlfn.XLOOKUP($A882, 'Hospitalisation Details'!$A:$A, 'Hospitalisation Details'!J:J, "No Data")</f>
        <v>R1012</v>
      </c>
      <c r="M882" s="28" t="str">
        <f t="array" ref="M882">_xlfn.XLOOKUP($A882, 'Hospitalisation Details'!$A:$A, 'Hospitalisation Details'!E:E, "No Data")</f>
        <v>29/07/66</v>
      </c>
      <c r="N882" s="28">
        <f t="array" ref="N882">_xlfn.XLOOKUP($A882, 'Hospitalisation Details'!$A:$A, 'Hospitalisation Details'!K:K, "No Data")</f>
        <v>56</v>
      </c>
      <c r="O882" s="33">
        <f t="array" ref="O882">_xlfn.XLOOKUP($A882, 'Hospitalisation Details'!$A:$A, 'Hospitalisation Details'!G:G, "No Data")</f>
        <v>12237.73</v>
      </c>
      <c r="P882" s="28" t="str">
        <f t="array" ref="P882">_xlfn.XLOOKUP($A882, 'Hospitalisation Details'!$A:$A, 'Hospitalisation Details'!H:H, "No Data")</f>
        <v>tier - 3</v>
      </c>
    </row>
    <row r="883">
      <c r="A883" s="25" t="s">
        <v>2812</v>
      </c>
      <c r="B883" s="28" t="str">
        <f t="array" ref="B883">_xlfn.XLOOKUP($A883, 'Customer Names'!$A:$A, 'Customer Names'!B:B, "No Data")</f>
        <v>Chung</v>
      </c>
      <c r="C883" s="28">
        <f t="array" ref="C883">_xlfn.XLOOKUP($A883, 'Medical Examinations'!$A:$A, 'Medical Examinations'!B:B, "No Data")</f>
        <v>36.48</v>
      </c>
      <c r="D883" s="28">
        <f t="array" ref="D883">_xlfn.XLOOKUP($A883, 'Medical Examinations'!$A:$A, 'Medical Examinations'!C:C, "No Data")</f>
        <v>5.05</v>
      </c>
      <c r="E883" s="28" t="str">
        <f t="array" ref="E883">_xlfn.XLOOKUP($A883, 'Medical Examinations'!$A:$A, 'Medical Examinations'!D:D, "No Data")</f>
        <v>yes</v>
      </c>
      <c r="F883" s="28" t="str">
        <f t="array" ref="F883">_xlfn.XLOOKUP($A883, 'Medical Examinations'!$A:$A, 'Medical Examinations'!E:E, "No Data")</f>
        <v>No</v>
      </c>
      <c r="G883" s="28" t="str">
        <f t="array" ref="G883">_xlfn.XLOOKUP($A883, 'Medical Examinations'!$A:$A, 'Medical Examinations'!F:F, "No Data")</f>
        <v>No</v>
      </c>
      <c r="H883" s="28">
        <f t="array" ref="H883">_xlfn.XLOOKUP($A883, 'Medical Examinations'!$A:$A, 'Medical Examinations'!G:G, "No Data")</f>
        <v>1</v>
      </c>
      <c r="I883" s="28" t="str">
        <f t="array" ref="I883">_xlfn.XLOOKUP($A883, 'Medical Examinations'!$A:$A, 'Medical Examinations'!H:H, "No Data")</f>
        <v>No</v>
      </c>
      <c r="J883" s="28" t="str">
        <f t="array" ref="J883">_xlfn.XLOOKUP($A883, 'Medical Examinations'!$A:$A, 'Medical Examinations'!I:I, "No Data")</f>
        <v>Obesity</v>
      </c>
      <c r="K883" s="28" t="str">
        <f t="array" ref="K883">_xlfn.XLOOKUP($A883, 'Hospitalisation Details'!$A:$A, 'Hospitalisation Details'!I:I, "No Data")</f>
        <v>tier - 3</v>
      </c>
      <c r="L883" s="28" t="str">
        <f t="array" ref="L883">_xlfn.XLOOKUP($A883, 'Hospitalisation Details'!$A:$A, 'Hospitalisation Details'!J:J, "No Data")</f>
        <v>R1012</v>
      </c>
      <c r="M883" s="28" t="str">
        <f t="array" ref="M883">_xlfn.XLOOKUP($A883, 'Hospitalisation Details'!$A:$A, 'Hospitalisation Details'!E:E, "No Data")</f>
        <v>15/10/64</v>
      </c>
      <c r="N883" s="28">
        <f t="array" ref="N883">_xlfn.XLOOKUP($A883, 'Hospitalisation Details'!$A:$A, 'Hospitalisation Details'!K:K, "No Data")</f>
        <v>58</v>
      </c>
      <c r="O883" s="33">
        <f t="array" ref="O883">_xlfn.XLOOKUP($A883, 'Hospitalisation Details'!$A:$A, 'Hospitalisation Details'!G:G, "No Data")</f>
        <v>12235.84</v>
      </c>
      <c r="P883" s="28" t="str">
        <f t="array" ref="P883">_xlfn.XLOOKUP($A883, 'Hospitalisation Details'!$A:$A, 'Hospitalisation Details'!H:H, "No Data")</f>
        <v>tier - 3</v>
      </c>
    </row>
    <row r="884">
      <c r="A884" s="25" t="s">
        <v>2815</v>
      </c>
      <c r="B884" s="28" t="str">
        <f t="array" ref="B884">_xlfn.XLOOKUP($A884, 'Customer Names'!$A:$A, 'Customer Names'!B:B, "No Data")</f>
        <v>Newsom</v>
      </c>
      <c r="C884" s="28">
        <f t="array" ref="C884">_xlfn.XLOOKUP($A884, 'Medical Examinations'!$A:$A, 'Medical Examinations'!B:B, "No Data")</f>
        <v>27.5</v>
      </c>
      <c r="D884" s="28">
        <f t="array" ref="D884">_xlfn.XLOOKUP($A884, 'Medical Examinations'!$A:$A, 'Medical Examinations'!C:C, "No Data")</f>
        <v>8.69</v>
      </c>
      <c r="E884" s="28" t="str">
        <f t="array" ref="E884">_xlfn.XLOOKUP($A884, 'Medical Examinations'!$A:$A, 'Medical Examinations'!D:D, "No Data")</f>
        <v>yes</v>
      </c>
      <c r="F884" s="28" t="str">
        <f t="array" ref="F884">_xlfn.XLOOKUP($A884, 'Medical Examinations'!$A:$A, 'Medical Examinations'!E:E, "No Data")</f>
        <v>No</v>
      </c>
      <c r="G884" s="28" t="str">
        <f t="array" ref="G884">_xlfn.XLOOKUP($A884, 'Medical Examinations'!$A:$A, 'Medical Examinations'!F:F, "No Data")</f>
        <v>Yes</v>
      </c>
      <c r="H884" s="28">
        <f t="array" ref="H884">_xlfn.XLOOKUP($A884, 'Medical Examinations'!$A:$A, 'Medical Examinations'!G:G, "No Data")</f>
        <v>1</v>
      </c>
      <c r="I884" s="28" t="str">
        <f t="array" ref="I884">_xlfn.XLOOKUP($A884, 'Medical Examinations'!$A:$A, 'Medical Examinations'!H:H, "No Data")</f>
        <v>No</v>
      </c>
      <c r="J884" s="28" t="str">
        <f t="array" ref="J884">_xlfn.XLOOKUP($A884, 'Medical Examinations'!$A:$A, 'Medical Examinations'!I:I, "No Data")</f>
        <v>Overweight</v>
      </c>
      <c r="K884" s="28" t="str">
        <f t="array" ref="K884">_xlfn.XLOOKUP($A884, 'Hospitalisation Details'!$A:$A, 'Hospitalisation Details'!I:I, "No Data")</f>
        <v>tier - 1</v>
      </c>
      <c r="L884" s="28" t="str">
        <f t="array" ref="L884">_xlfn.XLOOKUP($A884, 'Hospitalisation Details'!$A:$A, 'Hospitalisation Details'!J:J, "No Data")</f>
        <v>R1011</v>
      </c>
      <c r="M884" s="28" t="str">
        <f t="array" ref="M884">_xlfn.XLOOKUP($A884, 'Hospitalisation Details'!$A:$A, 'Hospitalisation Details'!E:E, "No Data")</f>
        <v>19/07/63</v>
      </c>
      <c r="N884" s="28">
        <f t="array" ref="N884">_xlfn.XLOOKUP($A884, 'Hospitalisation Details'!$A:$A, 'Hospitalisation Details'!K:K, "No Data")</f>
        <v>59</v>
      </c>
      <c r="O884" s="33">
        <f t="array" ref="O884">_xlfn.XLOOKUP($A884, 'Hospitalisation Details'!$A:$A, 'Hospitalisation Details'!G:G, "No Data")</f>
        <v>12233.83</v>
      </c>
      <c r="P884" s="28" t="str">
        <f t="array" ref="P884">_xlfn.XLOOKUP($A884, 'Hospitalisation Details'!$A:$A, 'Hospitalisation Details'!H:H, "No Data")</f>
        <v>tier - 3</v>
      </c>
    </row>
    <row r="885">
      <c r="A885" s="25" t="s">
        <v>2818</v>
      </c>
      <c r="B885" s="28" t="str">
        <f t="array" ref="B885">_xlfn.XLOOKUP($A885, 'Customer Names'!$A:$A, 'Customer Names'!B:B, "No Data")</f>
        <v>Harrington</v>
      </c>
      <c r="C885" s="28">
        <f t="array" ref="C885">_xlfn.XLOOKUP($A885, 'Medical Examinations'!$A:$A, 'Medical Examinations'!B:B, "No Data")</f>
        <v>33.44</v>
      </c>
      <c r="D885" s="28">
        <f t="array" ref="D885">_xlfn.XLOOKUP($A885, 'Medical Examinations'!$A:$A, 'Medical Examinations'!C:C, "No Data")</f>
        <v>5.9</v>
      </c>
      <c r="E885" s="28" t="str">
        <f t="array" ref="E885">_xlfn.XLOOKUP($A885, 'Medical Examinations'!$A:$A, 'Medical Examinations'!D:D, "No Data")</f>
        <v>yes</v>
      </c>
      <c r="F885" s="28" t="str">
        <f t="array" ref="F885">_xlfn.XLOOKUP($A885, 'Medical Examinations'!$A:$A, 'Medical Examinations'!E:E, "No Data")</f>
        <v>No</v>
      </c>
      <c r="G885" s="28" t="str">
        <f t="array" ref="G885">_xlfn.XLOOKUP($A885, 'Medical Examinations'!$A:$A, 'Medical Examinations'!F:F, "No Data")</f>
        <v>No</v>
      </c>
      <c r="H885" s="28">
        <f t="array" ref="H885">_xlfn.XLOOKUP($A885, 'Medical Examinations'!$A:$A, 'Medical Examinations'!G:G, "No Data")</f>
        <v>1</v>
      </c>
      <c r="I885" s="28" t="str">
        <f t="array" ref="I885">_xlfn.XLOOKUP($A885, 'Medical Examinations'!$A:$A, 'Medical Examinations'!H:H, "No Data")</f>
        <v>No</v>
      </c>
      <c r="J885" s="28" t="str">
        <f t="array" ref="J885">_xlfn.XLOOKUP($A885, 'Medical Examinations'!$A:$A, 'Medical Examinations'!I:I, "No Data")</f>
        <v>Obesity</v>
      </c>
      <c r="K885" s="28" t="str">
        <f t="array" ref="K885">_xlfn.XLOOKUP($A885, 'Hospitalisation Details'!$A:$A, 'Hospitalisation Details'!I:I, "No Data")</f>
        <v>tier - 3</v>
      </c>
      <c r="L885" s="28" t="str">
        <f t="array" ref="L885">_xlfn.XLOOKUP($A885, 'Hospitalisation Details'!$A:$A, 'Hospitalisation Details'!J:J, "No Data")</f>
        <v>R1012</v>
      </c>
      <c r="M885" s="28" t="str">
        <f t="array" ref="M885">_xlfn.XLOOKUP($A885, 'Hospitalisation Details'!$A:$A, 'Hospitalisation Details'!E:E, "No Data")</f>
        <v>24/06/64</v>
      </c>
      <c r="N885" s="28">
        <f t="array" ref="N885">_xlfn.XLOOKUP($A885, 'Hospitalisation Details'!$A:$A, 'Hospitalisation Details'!K:K, "No Data")</f>
        <v>58</v>
      </c>
      <c r="O885" s="33">
        <f t="array" ref="O885">_xlfn.XLOOKUP($A885, 'Hospitalisation Details'!$A:$A, 'Hospitalisation Details'!G:G, "No Data")</f>
        <v>12231.61</v>
      </c>
      <c r="P885" s="28" t="str">
        <f t="array" ref="P885">_xlfn.XLOOKUP($A885, 'Hospitalisation Details'!$A:$A, 'Hospitalisation Details'!H:H, "No Data")</f>
        <v>tier - 3</v>
      </c>
    </row>
    <row r="886">
      <c r="A886" s="25" t="s">
        <v>2822</v>
      </c>
      <c r="B886" s="28" t="str">
        <f t="array" ref="B886">_xlfn.XLOOKUP($A886, 'Customer Names'!$A:$A, 'Customer Names'!B:B, "No Data")</f>
        <v>Hoffman</v>
      </c>
      <c r="C886" s="28">
        <f t="array" ref="C886">_xlfn.XLOOKUP($A886, 'Medical Examinations'!$A:$A, 'Medical Examinations'!B:B, "No Data")</f>
        <v>28.215</v>
      </c>
      <c r="D886" s="28">
        <f t="array" ref="D886">_xlfn.XLOOKUP($A886, 'Medical Examinations'!$A:$A, 'Medical Examinations'!C:C, "No Data")</f>
        <v>6.29</v>
      </c>
      <c r="E886" s="28" t="str">
        <f t="array" ref="E886">_xlfn.XLOOKUP($A886, 'Medical Examinations'!$A:$A, 'Medical Examinations'!D:D, "No Data")</f>
        <v>yes</v>
      </c>
      <c r="F886" s="28" t="str">
        <f t="array" ref="F886">_xlfn.XLOOKUP($A886, 'Medical Examinations'!$A:$A, 'Medical Examinations'!E:E, "No Data")</f>
        <v>No</v>
      </c>
      <c r="G886" s="28" t="str">
        <f t="array" ref="G886">_xlfn.XLOOKUP($A886, 'Medical Examinations'!$A:$A, 'Medical Examinations'!F:F, "No Data")</f>
        <v>No</v>
      </c>
      <c r="H886" s="28">
        <f t="array" ref="H886">_xlfn.XLOOKUP($A886, 'Medical Examinations'!$A:$A, 'Medical Examinations'!G:G, "No Data")</f>
        <v>1</v>
      </c>
      <c r="I886" s="28" t="str">
        <f t="array" ref="I886">_xlfn.XLOOKUP($A886, 'Medical Examinations'!$A:$A, 'Medical Examinations'!H:H, "No Data")</f>
        <v>No</v>
      </c>
      <c r="J886" s="28" t="str">
        <f t="array" ref="J886">_xlfn.XLOOKUP($A886, 'Medical Examinations'!$A:$A, 'Medical Examinations'!I:I, "No Data")</f>
        <v>Overweight</v>
      </c>
      <c r="K886" s="28" t="str">
        <f t="array" ref="K886">_xlfn.XLOOKUP($A886, 'Hospitalisation Details'!$A:$A, 'Hospitalisation Details'!I:I, "No Data")</f>
        <v>tier - 1</v>
      </c>
      <c r="L886" s="28" t="str">
        <f t="array" ref="L886">_xlfn.XLOOKUP($A886, 'Hospitalisation Details'!$A:$A, 'Hospitalisation Details'!J:J, "No Data")</f>
        <v>R1012</v>
      </c>
      <c r="M886" s="28" t="str">
        <f t="array" ref="M886">_xlfn.XLOOKUP($A886, 'Hospitalisation Details'!$A:$A, 'Hospitalisation Details'!E:E, "No Data")</f>
        <v>02/07/64</v>
      </c>
      <c r="N886" s="28">
        <f t="array" ref="N886">_xlfn.XLOOKUP($A886, 'Hospitalisation Details'!$A:$A, 'Hospitalisation Details'!K:K, "No Data")</f>
        <v>58</v>
      </c>
      <c r="O886" s="33">
        <f t="array" ref="O886">_xlfn.XLOOKUP($A886, 'Hospitalisation Details'!$A:$A, 'Hospitalisation Details'!G:G, "No Data")</f>
        <v>12224.35</v>
      </c>
      <c r="P886" s="28" t="str">
        <f t="array" ref="P886">_xlfn.XLOOKUP($A886, 'Hospitalisation Details'!$A:$A, 'Hospitalisation Details'!H:H, "No Data")</f>
        <v>tier - 3</v>
      </c>
    </row>
    <row r="887">
      <c r="A887" s="25" t="s">
        <v>2825</v>
      </c>
      <c r="B887" s="28" t="str">
        <f t="array" ref="B887">_xlfn.XLOOKUP($A887, 'Customer Names'!$A:$A, 'Customer Names'!B:B, "No Data")</f>
        <v>Van Vugt</v>
      </c>
      <c r="C887" s="28">
        <f t="array" ref="C887">_xlfn.XLOOKUP($A887, 'Medical Examinations'!$A:$A, 'Medical Examinations'!B:B, "No Data")</f>
        <v>27.17</v>
      </c>
      <c r="D887" s="28">
        <f t="array" ref="D887">_xlfn.XLOOKUP($A887, 'Medical Examinations'!$A:$A, 'Medical Examinations'!C:C, "No Data")</f>
        <v>5.84</v>
      </c>
      <c r="E887" s="28" t="str">
        <f t="array" ref="E887">_xlfn.XLOOKUP($A887, 'Medical Examinations'!$A:$A, 'Medical Examinations'!D:D, "No Data")</f>
        <v>yes</v>
      </c>
      <c r="F887" s="28" t="str">
        <f t="array" ref="F887">_xlfn.XLOOKUP($A887, 'Medical Examinations'!$A:$A, 'Medical Examinations'!E:E, "No Data")</f>
        <v>No</v>
      </c>
      <c r="G887" s="28" t="str">
        <f t="array" ref="G887">_xlfn.XLOOKUP($A887, 'Medical Examinations'!$A:$A, 'Medical Examinations'!F:F, "No Data")</f>
        <v>No</v>
      </c>
      <c r="H887" s="28">
        <f t="array" ref="H887">_xlfn.XLOOKUP($A887, 'Medical Examinations'!$A:$A, 'Medical Examinations'!G:G, "No Data")</f>
        <v>1</v>
      </c>
      <c r="I887" s="28" t="str">
        <f t="array" ref="I887">_xlfn.XLOOKUP($A887, 'Medical Examinations'!$A:$A, 'Medical Examinations'!H:H, "No Data")</f>
        <v>No</v>
      </c>
      <c r="J887" s="28" t="str">
        <f t="array" ref="J887">_xlfn.XLOOKUP($A887, 'Medical Examinations'!$A:$A, 'Medical Examinations'!I:I, "No Data")</f>
        <v>Overweight</v>
      </c>
      <c r="K887" s="28" t="str">
        <f t="array" ref="K887">_xlfn.XLOOKUP($A887, 'Hospitalisation Details'!$A:$A, 'Hospitalisation Details'!I:I, "No Data")</f>
        <v>tier - 2</v>
      </c>
      <c r="L887" s="28" t="str">
        <f t="array" ref="L887">_xlfn.XLOOKUP($A887, 'Hospitalisation Details'!$A:$A, 'Hospitalisation Details'!J:J, "No Data")</f>
        <v>R1012</v>
      </c>
      <c r="M887" s="28" t="str">
        <f t="array" ref="M887">_xlfn.XLOOKUP($A887, 'Hospitalisation Details'!$A:$A, 'Hospitalisation Details'!E:E, "No Data")</f>
        <v>20/07/64</v>
      </c>
      <c r="N887" s="28">
        <f t="array" ref="N887">_xlfn.XLOOKUP($A887, 'Hospitalisation Details'!$A:$A, 'Hospitalisation Details'!K:K, "No Data")</f>
        <v>58</v>
      </c>
      <c r="O887" s="33">
        <f t="array" ref="O887">_xlfn.XLOOKUP($A887, 'Hospitalisation Details'!$A:$A, 'Hospitalisation Details'!G:G, "No Data")</f>
        <v>12222.9</v>
      </c>
      <c r="P887" s="28" t="str">
        <f t="array" ref="P887">_xlfn.XLOOKUP($A887, 'Hospitalisation Details'!$A:$A, 'Hospitalisation Details'!H:H, "No Data")</f>
        <v>tier - 3</v>
      </c>
    </row>
    <row r="888">
      <c r="A888" s="25" t="s">
        <v>2829</v>
      </c>
      <c r="B888" s="28" t="str">
        <f t="array" ref="B888">_xlfn.XLOOKUP($A888, 'Customer Names'!$A:$A, 'Customer Names'!B:B, "No Data")</f>
        <v>Feehley</v>
      </c>
      <c r="C888" s="28">
        <f t="array" ref="C888">_xlfn.XLOOKUP($A888, 'Medical Examinations'!$A:$A, 'Medical Examinations'!B:B, "No Data")</f>
        <v>35.38</v>
      </c>
      <c r="D888" s="28">
        <f t="array" ref="D888">_xlfn.XLOOKUP($A888, 'Medical Examinations'!$A:$A, 'Medical Examinations'!C:C, "No Data")</f>
        <v>6.12</v>
      </c>
      <c r="E888" s="28" t="str">
        <f t="array" ref="E888">_xlfn.XLOOKUP($A888, 'Medical Examinations'!$A:$A, 'Medical Examinations'!D:D, "No Data")</f>
        <v>No</v>
      </c>
      <c r="F888" s="28" t="str">
        <f t="array" ref="F888">_xlfn.XLOOKUP($A888, 'Medical Examinations'!$A:$A, 'Medical Examinations'!E:E, "No Data")</f>
        <v>No</v>
      </c>
      <c r="G888" s="28" t="str">
        <f t="array" ref="G888">_xlfn.XLOOKUP($A888, 'Medical Examinations'!$A:$A, 'Medical Examinations'!F:F, "No Data")</f>
        <v>No</v>
      </c>
      <c r="H888" s="28">
        <f t="array" ref="H888">_xlfn.XLOOKUP($A888, 'Medical Examinations'!$A:$A, 'Medical Examinations'!G:G, "No Data")</f>
        <v>0</v>
      </c>
      <c r="I888" s="28" t="str">
        <f t="array" ref="I888">_xlfn.XLOOKUP($A888, 'Medical Examinations'!$A:$A, 'Medical Examinations'!H:H, "No Data")</f>
        <v>No</v>
      </c>
      <c r="J888" s="28" t="str">
        <f t="array" ref="J888">_xlfn.XLOOKUP($A888, 'Medical Examinations'!$A:$A, 'Medical Examinations'!I:I, "No Data")</f>
        <v>Obesity</v>
      </c>
      <c r="K888" s="28" t="str">
        <f t="array" ref="K888">_xlfn.XLOOKUP($A888, 'Hospitalisation Details'!$A:$A, 'Hospitalisation Details'!I:I, "No Data")</f>
        <v>tier - 1</v>
      </c>
      <c r="L888" s="28" t="str">
        <f t="array" ref="L888">_xlfn.XLOOKUP($A888, 'Hospitalisation Details'!$A:$A, 'Hospitalisation Details'!J:J, "No Data")</f>
        <v>R1012</v>
      </c>
      <c r="M888" s="28" t="str">
        <f t="array" ref="M888">_xlfn.XLOOKUP($A888, 'Hospitalisation Details'!$A:$A, 'Hospitalisation Details'!E:E, "No Data")</f>
        <v>14/08/77</v>
      </c>
      <c r="N888" s="28">
        <f t="array" ref="N888">_xlfn.XLOOKUP($A888, 'Hospitalisation Details'!$A:$A, 'Hospitalisation Details'!K:K, "No Data")</f>
        <v>45</v>
      </c>
      <c r="O888" s="33">
        <f t="array" ref="O888">_xlfn.XLOOKUP($A888, 'Hospitalisation Details'!$A:$A, 'Hospitalisation Details'!G:G, "No Data")</f>
        <v>12218.7</v>
      </c>
      <c r="P888" s="28" t="str">
        <f t="array" ref="P888">_xlfn.XLOOKUP($A888, 'Hospitalisation Details'!$A:$A, 'Hospitalisation Details'!H:H, "No Data")</f>
        <v>tier - 3</v>
      </c>
    </row>
    <row r="889">
      <c r="A889" s="25" t="s">
        <v>2832</v>
      </c>
      <c r="B889" s="28" t="str">
        <f t="array" ref="B889">_xlfn.XLOOKUP($A889, 'Customer Names'!$A:$A, 'Customer Names'!B:B, "No Data")</f>
        <v>Ashworth</v>
      </c>
      <c r="C889" s="28">
        <f t="array" ref="C889">_xlfn.XLOOKUP($A889, 'Medical Examinations'!$A:$A, 'Medical Examinations'!B:B, "No Data")</f>
        <v>43.48</v>
      </c>
      <c r="D889" s="28">
        <f t="array" ref="D889">_xlfn.XLOOKUP($A889, 'Medical Examinations'!$A:$A, 'Medical Examinations'!C:C, "No Data")</f>
        <v>6.24</v>
      </c>
      <c r="E889" s="28" t="str">
        <f t="array" ref="E889">_xlfn.XLOOKUP($A889, 'Medical Examinations'!$A:$A, 'Medical Examinations'!D:D, "No Data")</f>
        <v>No</v>
      </c>
      <c r="F889" s="28" t="str">
        <f t="array" ref="F889">_xlfn.XLOOKUP($A889, 'Medical Examinations'!$A:$A, 'Medical Examinations'!E:E, "No Data")</f>
        <v>No</v>
      </c>
      <c r="G889" s="28" t="str">
        <f t="array" ref="G889">_xlfn.XLOOKUP($A889, 'Medical Examinations'!$A:$A, 'Medical Examinations'!F:F, "No Data")</f>
        <v>No</v>
      </c>
      <c r="H889" s="28">
        <f t="array" ref="H889">_xlfn.XLOOKUP($A889, 'Medical Examinations'!$A:$A, 'Medical Examinations'!G:G, "No Data")</f>
        <v>0</v>
      </c>
      <c r="I889" s="28" t="str">
        <f t="array" ref="I889">_xlfn.XLOOKUP($A889, 'Medical Examinations'!$A:$A, 'Medical Examinations'!H:H, "No Data")</f>
        <v>No</v>
      </c>
      <c r="J889" s="28" t="str">
        <f t="array" ref="J889">_xlfn.XLOOKUP($A889, 'Medical Examinations'!$A:$A, 'Medical Examinations'!I:I, "No Data")</f>
        <v>Obesity</v>
      </c>
      <c r="K889" s="28" t="str">
        <f t="array" ref="K889">_xlfn.XLOOKUP($A889, 'Hospitalisation Details'!$A:$A, 'Hospitalisation Details'!I:I, "No Data")</f>
        <v>tier - 3</v>
      </c>
      <c r="L889" s="28" t="str">
        <f t="array" ref="L889">_xlfn.XLOOKUP($A889, 'Hospitalisation Details'!$A:$A, 'Hospitalisation Details'!J:J, "No Data")</f>
        <v>R1026</v>
      </c>
      <c r="M889" s="28" t="str">
        <f t="array" ref="M889">_xlfn.XLOOKUP($A889, 'Hospitalisation Details'!$A:$A, 'Hospitalisation Details'!E:E, "No Data")</f>
        <v>29/08/91</v>
      </c>
      <c r="N889" s="28">
        <f t="array" ref="N889">_xlfn.XLOOKUP($A889, 'Hospitalisation Details'!$A:$A, 'Hospitalisation Details'!K:K, "No Data")</f>
        <v>31</v>
      </c>
      <c r="O889" s="33">
        <f t="array" ref="O889">_xlfn.XLOOKUP($A889, 'Hospitalisation Details'!$A:$A, 'Hospitalisation Details'!G:G, "No Data")</f>
        <v>12198.64</v>
      </c>
      <c r="P889" s="28" t="str">
        <f t="array" ref="P889">_xlfn.XLOOKUP($A889, 'Hospitalisation Details'!$A:$A, 'Hospitalisation Details'!H:H, "No Data")</f>
        <v>tier - 3</v>
      </c>
    </row>
    <row r="890">
      <c r="A890" s="25" t="s">
        <v>2836</v>
      </c>
      <c r="B890" s="28" t="str">
        <f t="array" ref="B890">_xlfn.XLOOKUP($A890, 'Customer Names'!$A:$A, 'Customer Names'!B:B, "No Data")</f>
        <v>Hansen</v>
      </c>
      <c r="C890" s="28">
        <f t="array" ref="C890">_xlfn.XLOOKUP($A890, 'Medical Examinations'!$A:$A, 'Medical Examinations'!B:B, "No Data")</f>
        <v>41.73</v>
      </c>
      <c r="D890" s="28">
        <f t="array" ref="D890">_xlfn.XLOOKUP($A890, 'Medical Examinations'!$A:$A, 'Medical Examinations'!C:C, "No Data")</f>
        <v>6.25</v>
      </c>
      <c r="E890" s="28" t="str">
        <f t="array" ref="E890">_xlfn.XLOOKUP($A890, 'Medical Examinations'!$A:$A, 'Medical Examinations'!D:D, "No Data")</f>
        <v>No</v>
      </c>
      <c r="F890" s="28" t="str">
        <f t="array" ref="F890">_xlfn.XLOOKUP($A890, 'Medical Examinations'!$A:$A, 'Medical Examinations'!E:E, "No Data")</f>
        <v>No</v>
      </c>
      <c r="G890" s="28" t="str">
        <f t="array" ref="G890">_xlfn.XLOOKUP($A890, 'Medical Examinations'!$A:$A, 'Medical Examinations'!F:F, "No Data")</f>
        <v>No</v>
      </c>
      <c r="H890" s="28">
        <f t="array" ref="H890">_xlfn.XLOOKUP($A890, 'Medical Examinations'!$A:$A, 'Medical Examinations'!G:G, "No Data")</f>
        <v>1</v>
      </c>
      <c r="I890" s="28" t="str">
        <f t="array" ref="I890">_xlfn.XLOOKUP($A890, 'Medical Examinations'!$A:$A, 'Medical Examinations'!H:H, "No Data")</f>
        <v>No</v>
      </c>
      <c r="J890" s="28" t="str">
        <f t="array" ref="J890">_xlfn.XLOOKUP($A890, 'Medical Examinations'!$A:$A, 'Medical Examinations'!I:I, "No Data")</f>
        <v>Obesity</v>
      </c>
      <c r="K890" s="28" t="str">
        <f t="array" ref="K890">_xlfn.XLOOKUP($A890, 'Hospitalisation Details'!$A:$A, 'Hospitalisation Details'!I:I, "No Data")</f>
        <v>tier - 3</v>
      </c>
      <c r="L890" s="28" t="str">
        <f t="array" ref="L890">_xlfn.XLOOKUP($A890, 'Hospitalisation Details'!$A:$A, 'Hospitalisation Details'!J:J, "No Data")</f>
        <v>R1012</v>
      </c>
      <c r="M890" s="28" t="str">
        <f t="array" ref="M890">_xlfn.XLOOKUP($A890, 'Hospitalisation Details'!$A:$A, 'Hospitalisation Details'!E:E, "No Data")</f>
        <v>05/10/87</v>
      </c>
      <c r="N890" s="28">
        <f t="array" ref="N890">_xlfn.XLOOKUP($A890, 'Hospitalisation Details'!$A:$A, 'Hospitalisation Details'!K:K, "No Data")</f>
        <v>35</v>
      </c>
      <c r="O890" s="33">
        <f t="array" ref="O890">_xlfn.XLOOKUP($A890, 'Hospitalisation Details'!$A:$A, 'Hospitalisation Details'!G:G, "No Data")</f>
        <v>12148.2</v>
      </c>
      <c r="P890" s="28" t="str">
        <f t="array" ref="P890">_xlfn.XLOOKUP($A890, 'Hospitalisation Details'!$A:$A, 'Hospitalisation Details'!H:H, "No Data")</f>
        <v>tier - 3</v>
      </c>
    </row>
    <row r="891">
      <c r="A891" s="25" t="s">
        <v>2840</v>
      </c>
      <c r="B891" s="28" t="str">
        <f t="array" ref="B891">_xlfn.XLOOKUP($A891, 'Customer Names'!$A:$A, 'Customer Names'!B:B, "No Data")</f>
        <v>Czyz</v>
      </c>
      <c r="C891" s="28">
        <f t="array" ref="C891">_xlfn.XLOOKUP($A891, 'Medical Examinations'!$A:$A, 'Medical Examinations'!B:B, "No Data")</f>
        <v>28.9</v>
      </c>
      <c r="D891" s="28">
        <f t="array" ref="D891">_xlfn.XLOOKUP($A891, 'Medical Examinations'!$A:$A, 'Medical Examinations'!C:C, "No Data")</f>
        <v>11.96</v>
      </c>
      <c r="E891" s="28" t="str">
        <f t="array" ref="E891">_xlfn.XLOOKUP($A891, 'Medical Examinations'!$A:$A, 'Medical Examinations'!D:D, "No Data")</f>
        <v>No</v>
      </c>
      <c r="F891" s="28" t="str">
        <f t="array" ref="F891">_xlfn.XLOOKUP($A891, 'Medical Examinations'!$A:$A, 'Medical Examinations'!E:E, "No Data")</f>
        <v>No</v>
      </c>
      <c r="G891" s="28" t="str">
        <f t="array" ref="G891">_xlfn.XLOOKUP($A891, 'Medical Examinations'!$A:$A, 'Medical Examinations'!F:F, "No Data")</f>
        <v>No</v>
      </c>
      <c r="H891" s="28">
        <f t="array" ref="H891">_xlfn.XLOOKUP($A891, 'Medical Examinations'!$A:$A, 'Medical Examinations'!G:G, "No Data")</f>
        <v>0</v>
      </c>
      <c r="I891" s="28" t="str">
        <f t="array" ref="I891">_xlfn.XLOOKUP($A891, 'Medical Examinations'!$A:$A, 'Medical Examinations'!H:H, "No Data")</f>
        <v>No</v>
      </c>
      <c r="J891" s="28" t="str">
        <f t="array" ref="J891">_xlfn.XLOOKUP($A891, 'Medical Examinations'!$A:$A, 'Medical Examinations'!I:I, "No Data")</f>
        <v>Overweight</v>
      </c>
      <c r="K891" s="28" t="str">
        <f t="array" ref="K891">_xlfn.XLOOKUP($A891, 'Hospitalisation Details'!$A:$A, 'Hospitalisation Details'!I:I, "No Data")</f>
        <v>tier - 3</v>
      </c>
      <c r="L891" s="28" t="str">
        <f t="array" ref="L891">_xlfn.XLOOKUP($A891, 'Hospitalisation Details'!$A:$A, 'Hospitalisation Details'!J:J, "No Data")</f>
        <v>R1011</v>
      </c>
      <c r="M891" s="28" t="str">
        <f t="array" ref="M891">_xlfn.XLOOKUP($A891, 'Hospitalisation Details'!$A:$A, 'Hospitalisation Details'!E:E, "No Data")</f>
        <v>15/09/62</v>
      </c>
      <c r="N891" s="28">
        <f t="array" ref="N891">_xlfn.XLOOKUP($A891, 'Hospitalisation Details'!$A:$A, 'Hospitalisation Details'!K:K, "No Data")</f>
        <v>60</v>
      </c>
      <c r="O891" s="33">
        <f t="array" ref="O891">_xlfn.XLOOKUP($A891, 'Hospitalisation Details'!$A:$A, 'Hospitalisation Details'!G:G, "No Data")</f>
        <v>12146.97</v>
      </c>
      <c r="P891" s="28" t="str">
        <f t="array" ref="P891">_xlfn.XLOOKUP($A891, 'Hospitalisation Details'!$A:$A, 'Hospitalisation Details'!H:H, "No Data")</f>
        <v>tier - 3</v>
      </c>
    </row>
    <row r="892">
      <c r="A892" s="25" t="s">
        <v>2842</v>
      </c>
      <c r="B892" s="28" t="str">
        <f t="array" ref="B892">_xlfn.XLOOKUP($A892, 'Customer Names'!$A:$A, 'Customer Names'!B:B, "No Data")</f>
        <v>Bauder</v>
      </c>
      <c r="C892" s="28">
        <f t="array" ref="C892">_xlfn.XLOOKUP($A892, 'Medical Examinations'!$A:$A, 'Medical Examinations'!B:B, "No Data")</f>
        <v>25.74</v>
      </c>
      <c r="D892" s="28">
        <f t="array" ref="D892">_xlfn.XLOOKUP($A892, 'Medical Examinations'!$A:$A, 'Medical Examinations'!C:C, "No Data")</f>
        <v>7.69</v>
      </c>
      <c r="E892" s="28" t="str">
        <f t="array" ref="E892">_xlfn.XLOOKUP($A892, 'Medical Examinations'!$A:$A, 'Medical Examinations'!D:D, "No Data")</f>
        <v>No</v>
      </c>
      <c r="F892" s="28" t="str">
        <f t="array" ref="F892">_xlfn.XLOOKUP($A892, 'Medical Examinations'!$A:$A, 'Medical Examinations'!E:E, "No Data")</f>
        <v>No</v>
      </c>
      <c r="G892" s="28" t="str">
        <f t="array" ref="G892">_xlfn.XLOOKUP($A892, 'Medical Examinations'!$A:$A, 'Medical Examinations'!F:F, "No Data")</f>
        <v>No</v>
      </c>
      <c r="H892" s="28">
        <f t="array" ref="H892">_xlfn.XLOOKUP($A892, 'Medical Examinations'!$A:$A, 'Medical Examinations'!G:G, "No Data")</f>
        <v>0</v>
      </c>
      <c r="I892" s="28" t="str">
        <f t="array" ref="I892">_xlfn.XLOOKUP($A892, 'Medical Examinations'!$A:$A, 'Medical Examinations'!H:H, "No Data")</f>
        <v>No</v>
      </c>
      <c r="J892" s="28" t="str">
        <f t="array" ref="J892">_xlfn.XLOOKUP($A892, 'Medical Examinations'!$A:$A, 'Medical Examinations'!I:I, "No Data")</f>
        <v>Overweight</v>
      </c>
      <c r="K892" s="28" t="str">
        <f t="array" ref="K892">_xlfn.XLOOKUP($A892, 'Hospitalisation Details'!$A:$A, 'Hospitalisation Details'!I:I, "No Data")</f>
        <v>tier - 2</v>
      </c>
      <c r="L892" s="28" t="str">
        <f t="array" ref="L892">_xlfn.XLOOKUP($A892, 'Hospitalisation Details'!$A:$A, 'Hospitalisation Details'!J:J, "No Data")</f>
        <v>R1013</v>
      </c>
      <c r="M892" s="28" t="str">
        <f t="array" ref="M892">_xlfn.XLOOKUP($A892, 'Hospitalisation Details'!$A:$A, 'Hospitalisation Details'!E:E, "No Data")</f>
        <v>04/11/62</v>
      </c>
      <c r="N892" s="28">
        <f t="array" ref="N892">_xlfn.XLOOKUP($A892, 'Hospitalisation Details'!$A:$A, 'Hospitalisation Details'!K:K, "No Data")</f>
        <v>60</v>
      </c>
      <c r="O892" s="33">
        <f t="array" ref="O892">_xlfn.XLOOKUP($A892, 'Hospitalisation Details'!$A:$A, 'Hospitalisation Details'!G:G, "No Data")</f>
        <v>12142.58</v>
      </c>
      <c r="P892" s="28" t="str">
        <f t="array" ref="P892">_xlfn.XLOOKUP($A892, 'Hospitalisation Details'!$A:$A, 'Hospitalisation Details'!H:H, "No Data")</f>
        <v>tier - 3</v>
      </c>
    </row>
    <row r="893">
      <c r="A893" s="25" t="s">
        <v>2846</v>
      </c>
      <c r="B893" s="28" t="str">
        <f t="array" ref="B893">_xlfn.XLOOKUP($A893, 'Customer Names'!$A:$A, 'Customer Names'!B:B, "No Data")</f>
        <v>Mendoza</v>
      </c>
      <c r="C893" s="28">
        <f t="array" ref="C893">_xlfn.XLOOKUP($A893, 'Medical Examinations'!$A:$A, 'Medical Examinations'!B:B, "No Data")</f>
        <v>36.06</v>
      </c>
      <c r="D893" s="28">
        <f t="array" ref="D893">_xlfn.XLOOKUP($A893, 'Medical Examinations'!$A:$A, 'Medical Examinations'!C:C, "No Data")</f>
        <v>8.83</v>
      </c>
      <c r="E893" s="28" t="str">
        <f t="array" ref="E893">_xlfn.XLOOKUP($A893, 'Medical Examinations'!$A:$A, 'Medical Examinations'!D:D, "No Data")</f>
        <v>No</v>
      </c>
      <c r="F893" s="28" t="str">
        <f t="array" ref="F893">_xlfn.XLOOKUP($A893, 'Medical Examinations'!$A:$A, 'Medical Examinations'!E:E, "No Data")</f>
        <v>No</v>
      </c>
      <c r="G893" s="28" t="str">
        <f t="array" ref="G893">_xlfn.XLOOKUP($A893, 'Medical Examinations'!$A:$A, 'Medical Examinations'!F:F, "No Data")</f>
        <v>No</v>
      </c>
      <c r="H893" s="28">
        <f t="array" ref="H893">_xlfn.XLOOKUP($A893, 'Medical Examinations'!$A:$A, 'Medical Examinations'!G:G, "No Data")</f>
        <v>0</v>
      </c>
      <c r="I893" s="28" t="str">
        <f t="array" ref="I893">_xlfn.XLOOKUP($A893, 'Medical Examinations'!$A:$A, 'Medical Examinations'!H:H, "No Data")</f>
        <v>No</v>
      </c>
      <c r="J893" s="28" t="str">
        <f t="array" ref="J893">_xlfn.XLOOKUP($A893, 'Medical Examinations'!$A:$A, 'Medical Examinations'!I:I, "No Data")</f>
        <v>Obesity</v>
      </c>
      <c r="K893" s="28" t="str">
        <f t="array" ref="K893">_xlfn.XLOOKUP($A893, 'Hospitalisation Details'!$A:$A, 'Hospitalisation Details'!I:I, "No Data")</f>
        <v>tier - 3</v>
      </c>
      <c r="L893" s="28" t="str">
        <f t="array" ref="L893">_xlfn.XLOOKUP($A893, 'Hospitalisation Details'!$A:$A, 'Hospitalisation Details'!J:J, "No Data")</f>
        <v>R1012</v>
      </c>
      <c r="M893" s="28" t="str">
        <f t="array" ref="M893">_xlfn.XLOOKUP($A893, 'Hospitalisation Details'!$A:$A, 'Hospitalisation Details'!E:E, "No Data")</f>
        <v>16/09/74</v>
      </c>
      <c r="N893" s="28">
        <f t="array" ref="N893">_xlfn.XLOOKUP($A893, 'Hospitalisation Details'!$A:$A, 'Hospitalisation Details'!K:K, "No Data")</f>
        <v>48</v>
      </c>
      <c r="O893" s="33">
        <f t="array" ref="O893">_xlfn.XLOOKUP($A893, 'Hospitalisation Details'!$A:$A, 'Hospitalisation Details'!G:G, "No Data")</f>
        <v>12137.6</v>
      </c>
      <c r="P893" s="28" t="str">
        <f t="array" ref="P893">_xlfn.XLOOKUP($A893, 'Hospitalisation Details'!$A:$A, 'Hospitalisation Details'!H:H, "No Data")</f>
        <v>tier - 3</v>
      </c>
    </row>
    <row r="894">
      <c r="A894" s="25" t="s">
        <v>2849</v>
      </c>
      <c r="B894" s="28" t="str">
        <f t="array" ref="B894">_xlfn.XLOOKUP($A894, 'Customer Names'!$A:$A, 'Customer Names'!B:B, "No Data")</f>
        <v>Glass</v>
      </c>
      <c r="C894" s="28">
        <f t="array" ref="C894">_xlfn.XLOOKUP($A894, 'Medical Examinations'!$A:$A, 'Medical Examinations'!B:B, "No Data")</f>
        <v>43.28</v>
      </c>
      <c r="D894" s="28">
        <f t="array" ref="D894">_xlfn.XLOOKUP($A894, 'Medical Examinations'!$A:$A, 'Medical Examinations'!C:C, "No Data")</f>
        <v>4.41</v>
      </c>
      <c r="E894" s="28" t="str">
        <f t="array" ref="E894">_xlfn.XLOOKUP($A894, 'Medical Examinations'!$A:$A, 'Medical Examinations'!D:D, "No Data")</f>
        <v>No</v>
      </c>
      <c r="F894" s="28" t="str">
        <f t="array" ref="F894">_xlfn.XLOOKUP($A894, 'Medical Examinations'!$A:$A, 'Medical Examinations'!E:E, "No Data")</f>
        <v>No</v>
      </c>
      <c r="G894" s="28" t="str">
        <f t="array" ref="G894">_xlfn.XLOOKUP($A894, 'Medical Examinations'!$A:$A, 'Medical Examinations'!F:F, "No Data")</f>
        <v>No</v>
      </c>
      <c r="H894" s="28">
        <f t="array" ref="H894">_xlfn.XLOOKUP($A894, 'Medical Examinations'!$A:$A, 'Medical Examinations'!G:G, "No Data")</f>
        <v>0</v>
      </c>
      <c r="I894" s="28" t="str">
        <f t="array" ref="I894">_xlfn.XLOOKUP($A894, 'Medical Examinations'!$A:$A, 'Medical Examinations'!H:H, "No Data")</f>
        <v>No</v>
      </c>
      <c r="J894" s="28" t="str">
        <f t="array" ref="J894">_xlfn.XLOOKUP($A894, 'Medical Examinations'!$A:$A, 'Medical Examinations'!I:I, "No Data")</f>
        <v>Obesity</v>
      </c>
      <c r="K894" s="28" t="str">
        <f t="array" ref="K894">_xlfn.XLOOKUP($A894, 'Hospitalisation Details'!$A:$A, 'Hospitalisation Details'!I:I, "No Data")</f>
        <v>tier - 3</v>
      </c>
      <c r="L894" s="28" t="str">
        <f t="array" ref="L894">_xlfn.XLOOKUP($A894, 'Hospitalisation Details'!$A:$A, 'Hospitalisation Details'!J:J, "No Data")</f>
        <v>R1026</v>
      </c>
      <c r="M894" s="28" t="str">
        <f t="array" ref="M894">_xlfn.XLOOKUP($A894, 'Hospitalisation Details'!$A:$A, 'Hospitalisation Details'!E:E, "No Data")</f>
        <v>06/11/91</v>
      </c>
      <c r="N894" s="28">
        <f t="array" ref="N894">_xlfn.XLOOKUP($A894, 'Hospitalisation Details'!$A:$A, 'Hospitalisation Details'!K:K, "No Data")</f>
        <v>31</v>
      </c>
      <c r="O894" s="33">
        <f t="array" ref="O894">_xlfn.XLOOKUP($A894, 'Hospitalisation Details'!$A:$A, 'Hospitalisation Details'!G:G, "No Data")</f>
        <v>12130.8</v>
      </c>
      <c r="P894" s="28" t="str">
        <f t="array" ref="P894">_xlfn.XLOOKUP($A894, 'Hospitalisation Details'!$A:$A, 'Hospitalisation Details'!H:H, "No Data")</f>
        <v>tier - 3</v>
      </c>
    </row>
    <row r="895">
      <c r="A895" s="25" t="s">
        <v>2853</v>
      </c>
      <c r="B895" s="28" t="str">
        <f t="array" ref="B895">_xlfn.XLOOKUP($A895, 'Customer Names'!$A:$A, 'Customer Names'!B:B, "No Data")</f>
        <v>Butcher</v>
      </c>
      <c r="C895" s="28">
        <f t="array" ref="C895">_xlfn.XLOOKUP($A895, 'Medical Examinations'!$A:$A, 'Medical Examinations'!B:B, "No Data")</f>
        <v>28.785</v>
      </c>
      <c r="D895" s="28">
        <f t="array" ref="D895">_xlfn.XLOOKUP($A895, 'Medical Examinations'!$A:$A, 'Medical Examinations'!C:C, "No Data")</f>
        <v>9.1</v>
      </c>
      <c r="E895" s="28" t="str">
        <f t="array" ref="E895">_xlfn.XLOOKUP($A895, 'Medical Examinations'!$A:$A, 'Medical Examinations'!D:D, "No Data")</f>
        <v>yes</v>
      </c>
      <c r="F895" s="28" t="str">
        <f t="array" ref="F895">_xlfn.XLOOKUP($A895, 'Medical Examinations'!$A:$A, 'Medical Examinations'!E:E, "No Data")</f>
        <v>No</v>
      </c>
      <c r="G895" s="28" t="str">
        <f t="array" ref="G895">_xlfn.XLOOKUP($A895, 'Medical Examinations'!$A:$A, 'Medical Examinations'!F:F, "No Data")</f>
        <v>Yes</v>
      </c>
      <c r="H895" s="28">
        <f t="array" ref="H895">_xlfn.XLOOKUP($A895, 'Medical Examinations'!$A:$A, 'Medical Examinations'!G:G, "No Data")</f>
        <v>1</v>
      </c>
      <c r="I895" s="28" t="str">
        <f t="array" ref="I895">_xlfn.XLOOKUP($A895, 'Medical Examinations'!$A:$A, 'Medical Examinations'!H:H, "No Data")</f>
        <v>No</v>
      </c>
      <c r="J895" s="28" t="str">
        <f t="array" ref="J895">_xlfn.XLOOKUP($A895, 'Medical Examinations'!$A:$A, 'Medical Examinations'!I:I, "No Data")</f>
        <v>Overweight</v>
      </c>
      <c r="K895" s="28" t="str">
        <f t="array" ref="K895">_xlfn.XLOOKUP($A895, 'Hospitalisation Details'!$A:$A, 'Hospitalisation Details'!I:I, "No Data")</f>
        <v>tier - 1</v>
      </c>
      <c r="L895" s="28" t="str">
        <f t="array" ref="L895">_xlfn.XLOOKUP($A895, 'Hospitalisation Details'!$A:$A, 'Hospitalisation Details'!J:J, "No Data")</f>
        <v>R1012</v>
      </c>
      <c r="M895" s="28" t="str">
        <f t="array" ref="M895">_xlfn.XLOOKUP($A895, 'Hospitalisation Details'!$A:$A, 'Hospitalisation Details'!E:E, "No Data")</f>
        <v>04/06/63</v>
      </c>
      <c r="N895" s="28">
        <f t="array" ref="N895">_xlfn.XLOOKUP($A895, 'Hospitalisation Details'!$A:$A, 'Hospitalisation Details'!K:K, "No Data")</f>
        <v>60</v>
      </c>
      <c r="O895" s="33">
        <f t="array" ref="O895">_xlfn.XLOOKUP($A895, 'Hospitalisation Details'!$A:$A, 'Hospitalisation Details'!G:G, "No Data")</f>
        <v>12129.61</v>
      </c>
      <c r="P895" s="28" t="str">
        <f t="array" ref="P895">_xlfn.XLOOKUP($A895, 'Hospitalisation Details'!$A:$A, 'Hospitalisation Details'!H:H, "No Data")</f>
        <v>tier - 3</v>
      </c>
    </row>
    <row r="896">
      <c r="A896" s="25" t="s">
        <v>2855</v>
      </c>
      <c r="B896" s="28" t="str">
        <f t="array" ref="B896">_xlfn.XLOOKUP($A896, 'Customer Names'!$A:$A, 'Customer Names'!B:B, "No Data")</f>
        <v>Traiser</v>
      </c>
      <c r="C896" s="28">
        <f t="array" ref="C896">_xlfn.XLOOKUP($A896, 'Medical Examinations'!$A:$A, 'Medical Examinations'!B:B, "No Data")</f>
        <v>25.46</v>
      </c>
      <c r="D896" s="28">
        <f t="array" ref="D896">_xlfn.XLOOKUP($A896, 'Medical Examinations'!$A:$A, 'Medical Examinations'!C:C, "No Data")</f>
        <v>11.52</v>
      </c>
      <c r="E896" s="28" t="str">
        <f t="array" ref="E896">_xlfn.XLOOKUP($A896, 'Medical Examinations'!$A:$A, 'Medical Examinations'!D:D, "No Data")</f>
        <v>yes</v>
      </c>
      <c r="F896" s="28" t="str">
        <f t="array" ref="F896">_xlfn.XLOOKUP($A896, 'Medical Examinations'!$A:$A, 'Medical Examinations'!E:E, "No Data")</f>
        <v>No</v>
      </c>
      <c r="G896" s="28" t="str">
        <f t="array" ref="G896">_xlfn.XLOOKUP($A896, 'Medical Examinations'!$A:$A, 'Medical Examinations'!F:F, "No Data")</f>
        <v>Yes</v>
      </c>
      <c r="H896" s="28">
        <f t="array" ref="H896">_xlfn.XLOOKUP($A896, 'Medical Examinations'!$A:$A, 'Medical Examinations'!G:G, "No Data")</f>
        <v>1</v>
      </c>
      <c r="I896" s="28" t="str">
        <f t="array" ref="I896">_xlfn.XLOOKUP($A896, 'Medical Examinations'!$A:$A, 'Medical Examinations'!H:H, "No Data")</f>
        <v>No</v>
      </c>
      <c r="J896" s="28" t="str">
        <f t="array" ref="J896">_xlfn.XLOOKUP($A896, 'Medical Examinations'!$A:$A, 'Medical Examinations'!I:I, "No Data")</f>
        <v>Overweight</v>
      </c>
      <c r="K896" s="28" t="str">
        <f t="array" ref="K896">_xlfn.XLOOKUP($A896, 'Hospitalisation Details'!$A:$A, 'Hospitalisation Details'!I:I, "No Data")</f>
        <v>tier - 1</v>
      </c>
      <c r="L896" s="28" t="str">
        <f t="array" ref="L896">_xlfn.XLOOKUP($A896, 'Hospitalisation Details'!$A:$A, 'Hospitalisation Details'!J:J, "No Data")</f>
        <v>R1012</v>
      </c>
      <c r="M896" s="28" t="str">
        <f t="array" ref="M896">_xlfn.XLOOKUP($A896, 'Hospitalisation Details'!$A:$A, 'Hospitalisation Details'!E:E, "No Data")</f>
        <v>20/07/63</v>
      </c>
      <c r="N896" s="28">
        <f t="array" ref="N896">_xlfn.XLOOKUP($A896, 'Hospitalisation Details'!$A:$A, 'Hospitalisation Details'!K:K, "No Data")</f>
        <v>59</v>
      </c>
      <c r="O896" s="33">
        <f t="array" ref="O896">_xlfn.XLOOKUP($A896, 'Hospitalisation Details'!$A:$A, 'Hospitalisation Details'!G:G, "No Data")</f>
        <v>12124.99</v>
      </c>
      <c r="P896" s="28" t="str">
        <f t="array" ref="P896">_xlfn.XLOOKUP($A896, 'Hospitalisation Details'!$A:$A, 'Hospitalisation Details'!H:H, "No Data")</f>
        <v>tier - 3</v>
      </c>
    </row>
    <row r="897">
      <c r="A897" s="25" t="s">
        <v>2858</v>
      </c>
      <c r="B897" s="28" t="str">
        <f t="array" ref="B897">_xlfn.XLOOKUP($A897, 'Customer Names'!$A:$A, 'Customer Names'!B:B, "No Data")</f>
        <v>Mudy-Mader</v>
      </c>
      <c r="C897" s="28">
        <f t="array" ref="C897">_xlfn.XLOOKUP($A897, 'Medical Examinations'!$A:$A, 'Medical Examinations'!B:B, "No Data")</f>
        <v>30.8</v>
      </c>
      <c r="D897" s="28">
        <f t="array" ref="D897">_xlfn.XLOOKUP($A897, 'Medical Examinations'!$A:$A, 'Medical Examinations'!C:C, "No Data")</f>
        <v>10.95</v>
      </c>
      <c r="E897" s="28" t="str">
        <f t="array" ref="E897">_xlfn.XLOOKUP($A897, 'Medical Examinations'!$A:$A, 'Medical Examinations'!D:D, "No Data")</f>
        <v>No</v>
      </c>
      <c r="F897" s="28" t="str">
        <f t="array" ref="F897">_xlfn.XLOOKUP($A897, 'Medical Examinations'!$A:$A, 'Medical Examinations'!E:E, "No Data")</f>
        <v>No</v>
      </c>
      <c r="G897" s="28" t="str">
        <f t="array" ref="G897">_xlfn.XLOOKUP($A897, 'Medical Examinations'!$A:$A, 'Medical Examinations'!F:F, "No Data")</f>
        <v>No</v>
      </c>
      <c r="H897" s="28">
        <f t="array" ref="H897">_xlfn.XLOOKUP($A897, 'Medical Examinations'!$A:$A, 'Medical Examinations'!G:G, "No Data")</f>
        <v>0</v>
      </c>
      <c r="I897" s="28" t="str">
        <f t="array" ref="I897">_xlfn.XLOOKUP($A897, 'Medical Examinations'!$A:$A, 'Medical Examinations'!H:H, "No Data")</f>
        <v>No</v>
      </c>
      <c r="J897" s="28" t="str">
        <f t="array" ref="J897">_xlfn.XLOOKUP($A897, 'Medical Examinations'!$A:$A, 'Medical Examinations'!I:I, "No Data")</f>
        <v>Obesity</v>
      </c>
      <c r="K897" s="28" t="str">
        <f t="array" ref="K897">_xlfn.XLOOKUP($A897, 'Hospitalisation Details'!$A:$A, 'Hospitalisation Details'!I:I, "No Data")</f>
        <v>tier - 3</v>
      </c>
      <c r="L897" s="28" t="str">
        <f t="array" ref="L897">_xlfn.XLOOKUP($A897, 'Hospitalisation Details'!$A:$A, 'Hospitalisation Details'!J:J, "No Data")</f>
        <v>R1011</v>
      </c>
      <c r="M897" s="28" t="str">
        <f t="array" ref="M897">_xlfn.XLOOKUP($A897, 'Hospitalisation Details'!$A:$A, 'Hospitalisation Details'!E:E, "No Data")</f>
        <v>25/10/68</v>
      </c>
      <c r="N897" s="28">
        <f t="array" ref="N897">_xlfn.XLOOKUP($A897, 'Hospitalisation Details'!$A:$A, 'Hospitalisation Details'!K:K, "No Data")</f>
        <v>54</v>
      </c>
      <c r="O897" s="33">
        <f t="array" ref="O897">_xlfn.XLOOKUP($A897, 'Hospitalisation Details'!$A:$A, 'Hospitalisation Details'!G:G, "No Data")</f>
        <v>12105.32</v>
      </c>
      <c r="P897" s="28" t="str">
        <f t="array" ref="P897">_xlfn.XLOOKUP($A897, 'Hospitalisation Details'!$A:$A, 'Hospitalisation Details'!H:H, "No Data")</f>
        <v>tier - 3</v>
      </c>
    </row>
    <row r="898">
      <c r="A898" s="25" t="s">
        <v>2862</v>
      </c>
      <c r="B898" s="28" t="str">
        <f t="array" ref="B898">_xlfn.XLOOKUP($A898, 'Customer Names'!$A:$A, 'Customer Names'!B:B, "No Data")</f>
        <v>Rogers</v>
      </c>
      <c r="C898" s="28">
        <f t="array" ref="C898">_xlfn.XLOOKUP($A898, 'Medical Examinations'!$A:$A, 'Medical Examinations'!B:B, "No Data")</f>
        <v>28.88</v>
      </c>
      <c r="D898" s="28">
        <f t="array" ref="D898">_xlfn.XLOOKUP($A898, 'Medical Examinations'!$A:$A, 'Medical Examinations'!C:C, "No Data")</f>
        <v>11.5</v>
      </c>
      <c r="E898" s="28" t="str">
        <f t="array" ref="E898">_xlfn.XLOOKUP($A898, 'Medical Examinations'!$A:$A, 'Medical Examinations'!D:D, "No Data")</f>
        <v>No</v>
      </c>
      <c r="F898" s="28" t="str">
        <f t="array" ref="F898">_xlfn.XLOOKUP($A898, 'Medical Examinations'!$A:$A, 'Medical Examinations'!E:E, "No Data")</f>
        <v>No</v>
      </c>
      <c r="G898" s="28" t="str">
        <f t="array" ref="G898">_xlfn.XLOOKUP($A898, 'Medical Examinations'!$A:$A, 'Medical Examinations'!F:F, "No Data")</f>
        <v>No</v>
      </c>
      <c r="H898" s="28">
        <f t="array" ref="H898">_xlfn.XLOOKUP($A898, 'Medical Examinations'!$A:$A, 'Medical Examinations'!G:G, "No Data")</f>
        <v>0</v>
      </c>
      <c r="I898" s="28" t="str">
        <f t="array" ref="I898">_xlfn.XLOOKUP($A898, 'Medical Examinations'!$A:$A, 'Medical Examinations'!H:H, "No Data")</f>
        <v>No</v>
      </c>
      <c r="J898" s="28" t="str">
        <f t="array" ref="J898">_xlfn.XLOOKUP($A898, 'Medical Examinations'!$A:$A, 'Medical Examinations'!I:I, "No Data")</f>
        <v>Overweight</v>
      </c>
      <c r="K898" s="28" t="str">
        <f t="array" ref="K898">_xlfn.XLOOKUP($A898, 'Hospitalisation Details'!$A:$A, 'Hospitalisation Details'!I:I, "No Data")</f>
        <v>tier - 1</v>
      </c>
      <c r="L898" s="28" t="str">
        <f t="array" ref="L898">_xlfn.XLOOKUP($A898, 'Hospitalisation Details'!$A:$A, 'Hospitalisation Details'!J:J, "No Data")</f>
        <v>R1024</v>
      </c>
      <c r="M898" s="28" t="str">
        <f t="array" ref="M898">_xlfn.XLOOKUP($A898, 'Hospitalisation Details'!$A:$A, 'Hospitalisation Details'!E:E, "No Data")</f>
        <v>09/12/68</v>
      </c>
      <c r="N898" s="28">
        <f t="array" ref="N898">_xlfn.XLOOKUP($A898, 'Hospitalisation Details'!$A:$A, 'Hospitalisation Details'!K:K, "No Data")</f>
        <v>54</v>
      </c>
      <c r="O898" s="33">
        <f t="array" ref="O898">_xlfn.XLOOKUP($A898, 'Hospitalisation Details'!$A:$A, 'Hospitalisation Details'!G:G, "No Data")</f>
        <v>12096.65</v>
      </c>
      <c r="P898" s="28" t="str">
        <f t="array" ref="P898">_xlfn.XLOOKUP($A898, 'Hospitalisation Details'!$A:$A, 'Hospitalisation Details'!H:H, "No Data")</f>
        <v>tier - 3</v>
      </c>
    </row>
    <row r="899">
      <c r="A899" s="25" t="s">
        <v>2865</v>
      </c>
      <c r="B899" s="28" t="str">
        <f t="array" ref="B899">_xlfn.XLOOKUP($A899, 'Customer Names'!$A:$A, 'Customer Names'!B:B, "No Data")</f>
        <v>Woo</v>
      </c>
      <c r="C899" s="28">
        <f t="array" ref="C899">_xlfn.XLOOKUP($A899, 'Medical Examinations'!$A:$A, 'Medical Examinations'!B:B, "No Data")</f>
        <v>23</v>
      </c>
      <c r="D899" s="28">
        <f t="array" ref="D899">_xlfn.XLOOKUP($A899, 'Medical Examinations'!$A:$A, 'Medical Examinations'!C:C, "No Data")</f>
        <v>9.88</v>
      </c>
      <c r="E899" s="28" t="str">
        <f t="array" ref="E899">_xlfn.XLOOKUP($A899, 'Medical Examinations'!$A:$A, 'Medical Examinations'!D:D, "No Data")</f>
        <v>No</v>
      </c>
      <c r="F899" s="28" t="str">
        <f t="array" ref="F899">_xlfn.XLOOKUP($A899, 'Medical Examinations'!$A:$A, 'Medical Examinations'!E:E, "No Data")</f>
        <v>No</v>
      </c>
      <c r="G899" s="28" t="str">
        <f t="array" ref="G899">_xlfn.XLOOKUP($A899, 'Medical Examinations'!$A:$A, 'Medical Examinations'!F:F, "No Data")</f>
        <v>No</v>
      </c>
      <c r="H899" s="28">
        <f t="array" ref="H899">_xlfn.XLOOKUP($A899, 'Medical Examinations'!$A:$A, 'Medical Examinations'!G:G, "No Data")</f>
        <v>0</v>
      </c>
      <c r="I899" s="28" t="str">
        <f t="array" ref="I899">_xlfn.XLOOKUP($A899, 'Medical Examinations'!$A:$A, 'Medical Examinations'!H:H, "No Data")</f>
        <v>No</v>
      </c>
      <c r="J899" s="28" t="str">
        <f t="array" ref="J899">_xlfn.XLOOKUP($A899, 'Medical Examinations'!$A:$A, 'Medical Examinations'!I:I, "No Data")</f>
        <v>Normal Weight</v>
      </c>
      <c r="K899" s="28" t="str">
        <f t="array" ref="K899">_xlfn.XLOOKUP($A899, 'Hospitalisation Details'!$A:$A, 'Hospitalisation Details'!I:I, "No Data")</f>
        <v>tier - 3</v>
      </c>
      <c r="L899" s="28" t="str">
        <f t="array" ref="L899">_xlfn.XLOOKUP($A899, 'Hospitalisation Details'!$A:$A, 'Hospitalisation Details'!J:J, "No Data")</f>
        <v>R1011</v>
      </c>
      <c r="M899" s="28" t="str">
        <f t="array" ref="M899">_xlfn.XLOOKUP($A899, 'Hospitalisation Details'!$A:$A, 'Hospitalisation Details'!E:E, "No Data")</f>
        <v>21/06/68</v>
      </c>
      <c r="N899" s="28">
        <f t="array" ref="N899">_xlfn.XLOOKUP($A899, 'Hospitalisation Details'!$A:$A, 'Hospitalisation Details'!K:K, "No Data")</f>
        <v>54</v>
      </c>
      <c r="O899" s="33">
        <f t="array" ref="O899">_xlfn.XLOOKUP($A899, 'Hospitalisation Details'!$A:$A, 'Hospitalisation Details'!G:G, "No Data")</f>
        <v>12094.48</v>
      </c>
      <c r="P899" s="28" t="str">
        <f t="array" ref="P899">_xlfn.XLOOKUP($A899, 'Hospitalisation Details'!$A:$A, 'Hospitalisation Details'!H:H, "No Data")</f>
        <v>tier - 3</v>
      </c>
    </row>
    <row r="900">
      <c r="A900" s="25" t="s">
        <v>2868</v>
      </c>
      <c r="B900" s="28" t="str">
        <f t="array" ref="B900">_xlfn.XLOOKUP($A900, 'Customer Names'!$A:$A, 'Customer Names'!B:B, "No Data")</f>
        <v>Walsh</v>
      </c>
      <c r="C900" s="28">
        <f t="array" ref="C900">_xlfn.XLOOKUP($A900, 'Medical Examinations'!$A:$A, 'Medical Examinations'!B:B, "No Data")</f>
        <v>38.25</v>
      </c>
      <c r="D900" s="28">
        <f t="array" ref="D900">_xlfn.XLOOKUP($A900, 'Medical Examinations'!$A:$A, 'Medical Examinations'!C:C, "No Data")</f>
        <v>6.2</v>
      </c>
      <c r="E900" s="28" t="str">
        <f t="array" ref="E900">_xlfn.XLOOKUP($A900, 'Medical Examinations'!$A:$A, 'Medical Examinations'!D:D, "No Data")</f>
        <v>No</v>
      </c>
      <c r="F900" s="28" t="str">
        <f t="array" ref="F900">_xlfn.XLOOKUP($A900, 'Medical Examinations'!$A:$A, 'Medical Examinations'!E:E, "No Data")</f>
        <v>No</v>
      </c>
      <c r="G900" s="28" t="str">
        <f t="array" ref="G900">_xlfn.XLOOKUP($A900, 'Medical Examinations'!$A:$A, 'Medical Examinations'!F:F, "No Data")</f>
        <v>No</v>
      </c>
      <c r="H900" s="28">
        <f t="array" ref="H900">_xlfn.XLOOKUP($A900, 'Medical Examinations'!$A:$A, 'Medical Examinations'!G:G, "No Data")</f>
        <v>1</v>
      </c>
      <c r="I900" s="28" t="str">
        <f t="array" ref="I900">_xlfn.XLOOKUP($A900, 'Medical Examinations'!$A:$A, 'Medical Examinations'!H:H, "No Data")</f>
        <v>No</v>
      </c>
      <c r="J900" s="28" t="str">
        <f t="array" ref="J900">_xlfn.XLOOKUP($A900, 'Medical Examinations'!$A:$A, 'Medical Examinations'!I:I, "No Data")</f>
        <v>Obesity</v>
      </c>
      <c r="K900" s="28" t="str">
        <f t="array" ref="K900">_xlfn.XLOOKUP($A900, 'Hospitalisation Details'!$A:$A, 'Hospitalisation Details'!I:I, "No Data")</f>
        <v>tier - 2</v>
      </c>
      <c r="L900" s="28" t="str">
        <f t="array" ref="L900">_xlfn.XLOOKUP($A900, 'Hospitalisation Details'!$A:$A, 'Hospitalisation Details'!J:J, "No Data")</f>
        <v>R1022</v>
      </c>
      <c r="M900" s="28" t="str">
        <f t="array" ref="M900">_xlfn.XLOOKUP($A900, 'Hospitalisation Details'!$A:$A, 'Hospitalisation Details'!E:E, "No Data")</f>
        <v>02/09/84</v>
      </c>
      <c r="N900" s="28">
        <f t="array" ref="N900">_xlfn.XLOOKUP($A900, 'Hospitalisation Details'!$A:$A, 'Hospitalisation Details'!K:K, "No Data")</f>
        <v>38</v>
      </c>
      <c r="O900" s="33">
        <f t="array" ref="O900">_xlfn.XLOOKUP($A900, 'Hospitalisation Details'!$A:$A, 'Hospitalisation Details'!G:G, "No Data")</f>
        <v>12091.34</v>
      </c>
      <c r="P900" s="28" t="str">
        <f t="array" ref="P900">_xlfn.XLOOKUP($A900, 'Hospitalisation Details'!$A:$A, 'Hospitalisation Details'!H:H, "No Data")</f>
        <v>tier - 3</v>
      </c>
    </row>
    <row r="901">
      <c r="A901" s="25" t="s">
        <v>2870</v>
      </c>
      <c r="B901" s="28" t="str">
        <f t="array" ref="B901">_xlfn.XLOOKUP($A901, 'Customer Names'!$A:$A, 'Customer Names'!B:B, "No Data")</f>
        <v>White</v>
      </c>
      <c r="C901" s="28">
        <f t="array" ref="C901">_xlfn.XLOOKUP($A901, 'Medical Examinations'!$A:$A, 'Medical Examinations'!B:B, "No Data")</f>
        <v>39.25</v>
      </c>
      <c r="D901" s="28">
        <f t="array" ref="D901">_xlfn.XLOOKUP($A901, 'Medical Examinations'!$A:$A, 'Medical Examinations'!C:C, "No Data")</f>
        <v>8.41</v>
      </c>
      <c r="E901" s="28" t="str">
        <f t="array" ref="E901">_xlfn.XLOOKUP($A901, 'Medical Examinations'!$A:$A, 'Medical Examinations'!D:D, "No Data")</f>
        <v>yes</v>
      </c>
      <c r="F901" s="28" t="str">
        <f t="array" ref="F901">_xlfn.XLOOKUP($A901, 'Medical Examinations'!$A:$A, 'Medical Examinations'!E:E, "No Data")</f>
        <v>No</v>
      </c>
      <c r="G901" s="28" t="str">
        <f t="array" ref="G901">_xlfn.XLOOKUP($A901, 'Medical Examinations'!$A:$A, 'Medical Examinations'!F:F, "No Data")</f>
        <v>No</v>
      </c>
      <c r="H901" s="28">
        <f t="array" ref="H901">_xlfn.XLOOKUP($A901, 'Medical Examinations'!$A:$A, 'Medical Examinations'!G:G, "No Data")</f>
        <v>1</v>
      </c>
      <c r="I901" s="28" t="str">
        <f t="array" ref="I901">_xlfn.XLOOKUP($A901, 'Medical Examinations'!$A:$A, 'Medical Examinations'!H:H, "No Data")</f>
        <v>No</v>
      </c>
      <c r="J901" s="28" t="str">
        <f t="array" ref="J901">_xlfn.XLOOKUP($A901, 'Medical Examinations'!$A:$A, 'Medical Examinations'!I:I, "No Data")</f>
        <v>Obesity</v>
      </c>
      <c r="K901" s="28" t="str">
        <f t="array" ref="K901">_xlfn.XLOOKUP($A901, 'Hospitalisation Details'!$A:$A, 'Hospitalisation Details'!I:I, "No Data")</f>
        <v>tier - 2</v>
      </c>
      <c r="L901" s="28" t="str">
        <f t="array" ref="L901">_xlfn.XLOOKUP($A901, 'Hospitalisation Details'!$A:$A, 'Hospitalisation Details'!J:J, "No Data")</f>
        <v>R1026</v>
      </c>
      <c r="M901" s="28" t="str">
        <f t="array" ref="M901">_xlfn.XLOOKUP($A901, 'Hospitalisation Details'!$A:$A, 'Hospitalisation Details'!E:E, "No Data")</f>
        <v>07/09/86</v>
      </c>
      <c r="N901" s="28">
        <f t="array" ref="N901">_xlfn.XLOOKUP($A901, 'Hospitalisation Details'!$A:$A, 'Hospitalisation Details'!K:K, "No Data")</f>
        <v>36</v>
      </c>
      <c r="O901" s="33">
        <f t="array" ref="O901">_xlfn.XLOOKUP($A901, 'Hospitalisation Details'!$A:$A, 'Hospitalisation Details'!G:G, "No Data")</f>
        <v>12048.13</v>
      </c>
      <c r="P901" s="28" t="str">
        <f t="array" ref="P901">_xlfn.XLOOKUP($A901, 'Hospitalisation Details'!$A:$A, 'Hospitalisation Details'!H:H, "No Data")</f>
        <v>tier - 3</v>
      </c>
    </row>
    <row r="902">
      <c r="A902" s="25" t="s">
        <v>2873</v>
      </c>
      <c r="B902" s="28" t="str">
        <f t="array" ref="B902">_xlfn.XLOOKUP($A902, 'Customer Names'!$A:$A, 'Customer Names'!B:B, "No Data")</f>
        <v>Sheppard</v>
      </c>
      <c r="C902" s="28">
        <f t="array" ref="C902">_xlfn.XLOOKUP($A902, 'Medical Examinations'!$A:$A, 'Medical Examinations'!B:B, "No Data")</f>
        <v>26.6</v>
      </c>
      <c r="D902" s="28">
        <f t="array" ref="D902">_xlfn.XLOOKUP($A902, 'Medical Examinations'!$A:$A, 'Medical Examinations'!C:C, "No Data")</f>
        <v>5.07</v>
      </c>
      <c r="E902" s="28" t="str">
        <f t="array" ref="E902">_xlfn.XLOOKUP($A902, 'Medical Examinations'!$A:$A, 'Medical Examinations'!D:D, "No Data")</f>
        <v>yes</v>
      </c>
      <c r="F902" s="28" t="str">
        <f t="array" ref="F902">_xlfn.XLOOKUP($A902, 'Medical Examinations'!$A:$A, 'Medical Examinations'!E:E, "No Data")</f>
        <v>No</v>
      </c>
      <c r="G902" s="28" t="str">
        <f t="array" ref="G902">_xlfn.XLOOKUP($A902, 'Medical Examinations'!$A:$A, 'Medical Examinations'!F:F, "No Data")</f>
        <v>No</v>
      </c>
      <c r="H902" s="28">
        <f t="array" ref="H902">_xlfn.XLOOKUP($A902, 'Medical Examinations'!$A:$A, 'Medical Examinations'!G:G, "No Data")</f>
        <v>2</v>
      </c>
      <c r="I902" s="28" t="str">
        <f t="array" ref="I902">_xlfn.XLOOKUP($A902, 'Medical Examinations'!$A:$A, 'Medical Examinations'!H:H, "No Data")</f>
        <v>No</v>
      </c>
      <c r="J902" s="28" t="str">
        <f t="array" ref="J902">_xlfn.XLOOKUP($A902, 'Medical Examinations'!$A:$A, 'Medical Examinations'!I:I, "No Data")</f>
        <v>Overweight</v>
      </c>
      <c r="K902" s="28" t="str">
        <f t="array" ref="K902">_xlfn.XLOOKUP($A902, 'Hospitalisation Details'!$A:$A, 'Hospitalisation Details'!I:I, "No Data")</f>
        <v>tier - 1</v>
      </c>
      <c r="L902" s="28" t="str">
        <f t="array" ref="L902">_xlfn.XLOOKUP($A902, 'Hospitalisation Details'!$A:$A, 'Hospitalisation Details'!J:J, "No Data")</f>
        <v>R1012</v>
      </c>
      <c r="M902" s="28" t="str">
        <f t="array" ref="M902">_xlfn.XLOOKUP($A902, 'Hospitalisation Details'!$A:$A, 'Hospitalisation Details'!E:E, "No Data")</f>
        <v>24/11/66</v>
      </c>
      <c r="N902" s="28">
        <f t="array" ref="N902">_xlfn.XLOOKUP($A902, 'Hospitalisation Details'!$A:$A, 'Hospitalisation Details'!K:K, "No Data")</f>
        <v>56</v>
      </c>
      <c r="O902" s="33">
        <f t="array" ref="O902">_xlfn.XLOOKUP($A902, 'Hospitalisation Details'!$A:$A, 'Hospitalisation Details'!G:G, "No Data")</f>
        <v>12044.34</v>
      </c>
      <c r="P902" s="28" t="str">
        <f t="array" ref="P902">_xlfn.XLOOKUP($A902, 'Hospitalisation Details'!$A:$A, 'Hospitalisation Details'!H:H, "No Data")</f>
        <v>tier - 3</v>
      </c>
    </row>
    <row r="903">
      <c r="A903" s="25" t="s">
        <v>2876</v>
      </c>
      <c r="B903" s="28" t="str">
        <f t="array" ref="B903">_xlfn.XLOOKUP($A903, 'Customer Names'!$A:$A, 'Customer Names'!B:B, "No Data")</f>
        <v>Doran</v>
      </c>
      <c r="C903" s="28">
        <f t="array" ref="C903">_xlfn.XLOOKUP($A903, 'Medical Examinations'!$A:$A, 'Medical Examinations'!B:B, "No Data")</f>
        <v>35.7</v>
      </c>
      <c r="D903" s="28">
        <f t="array" ref="D903">_xlfn.XLOOKUP($A903, 'Medical Examinations'!$A:$A, 'Medical Examinations'!C:C, "No Data")</f>
        <v>4.06</v>
      </c>
      <c r="E903" s="28" t="str">
        <f t="array" ref="E903">_xlfn.XLOOKUP($A903, 'Medical Examinations'!$A:$A, 'Medical Examinations'!D:D, "No Data")</f>
        <v>No</v>
      </c>
      <c r="F903" s="28" t="str">
        <f t="array" ref="F903">_xlfn.XLOOKUP($A903, 'Medical Examinations'!$A:$A, 'Medical Examinations'!E:E, "No Data")</f>
        <v>No</v>
      </c>
      <c r="G903" s="28" t="str">
        <f t="array" ref="G903">_xlfn.XLOOKUP($A903, 'Medical Examinations'!$A:$A, 'Medical Examinations'!F:F, "No Data")</f>
        <v>Yes</v>
      </c>
      <c r="H903" s="28">
        <f t="array" ref="H903">_xlfn.XLOOKUP($A903, 'Medical Examinations'!$A:$A, 'Medical Examinations'!G:G, "No Data")</f>
        <v>1</v>
      </c>
      <c r="I903" s="28" t="str">
        <f t="array" ref="I903">_xlfn.XLOOKUP($A903, 'Medical Examinations'!$A:$A, 'Medical Examinations'!H:H, "No Data")</f>
        <v>No</v>
      </c>
      <c r="J903" s="28" t="str">
        <f t="array" ref="J903">_xlfn.XLOOKUP($A903, 'Medical Examinations'!$A:$A, 'Medical Examinations'!I:I, "No Data")</f>
        <v>Obesity</v>
      </c>
      <c r="K903" s="28" t="str">
        <f t="array" ref="K903">_xlfn.XLOOKUP($A903, 'Hospitalisation Details'!$A:$A, 'Hospitalisation Details'!I:I, "No Data")</f>
        <v>tier - 3</v>
      </c>
      <c r="L903" s="28" t="str">
        <f t="array" ref="L903">_xlfn.XLOOKUP($A903, 'Hospitalisation Details'!$A:$A, 'Hospitalisation Details'!J:J, "No Data")</f>
        <v>R1021</v>
      </c>
      <c r="M903" s="28" t="str">
        <f t="array" ref="M903">_xlfn.XLOOKUP($A903, 'Hospitalisation Details'!$A:$A, 'Hospitalisation Details'!E:E, "No Data")</f>
        <v>16/10/79</v>
      </c>
      <c r="N903" s="28">
        <f t="array" ref="N903">_xlfn.XLOOKUP($A903, 'Hospitalisation Details'!$A:$A, 'Hospitalisation Details'!K:K, "No Data")</f>
        <v>43</v>
      </c>
      <c r="O903" s="33">
        <f t="array" ref="O903">_xlfn.XLOOKUP($A903, 'Hospitalisation Details'!$A:$A, 'Hospitalisation Details'!G:G, "No Data")</f>
        <v>12035.18</v>
      </c>
      <c r="P903" s="28" t="str">
        <f t="array" ref="P903">_xlfn.XLOOKUP($A903, 'Hospitalisation Details'!$A:$A, 'Hospitalisation Details'!H:H, "No Data")</f>
        <v>tier - 3</v>
      </c>
    </row>
    <row r="904">
      <c r="A904" s="25" t="s">
        <v>2879</v>
      </c>
      <c r="B904" s="28" t="str">
        <f t="array" ref="B904">_xlfn.XLOOKUP($A904, 'Customer Names'!$A:$A, 'Customer Names'!B:B, "No Data")</f>
        <v>Labrosse</v>
      </c>
      <c r="C904" s="28">
        <f t="array" ref="C904">_xlfn.XLOOKUP($A904, 'Medical Examinations'!$A:$A, 'Medical Examinations'!B:B, "No Data")</f>
        <v>20.1</v>
      </c>
      <c r="D904" s="28">
        <f t="array" ref="D904">_xlfn.XLOOKUP($A904, 'Medical Examinations'!$A:$A, 'Medical Examinations'!C:C, "No Data")</f>
        <v>10.52</v>
      </c>
      <c r="E904" s="28" t="str">
        <f t="array" ref="E904">_xlfn.XLOOKUP($A904, 'Medical Examinations'!$A:$A, 'Medical Examinations'!D:D, "No Data")</f>
        <v>No</v>
      </c>
      <c r="F904" s="28" t="str">
        <f t="array" ref="F904">_xlfn.XLOOKUP($A904, 'Medical Examinations'!$A:$A, 'Medical Examinations'!E:E, "No Data")</f>
        <v>No</v>
      </c>
      <c r="G904" s="28" t="str">
        <f t="array" ref="G904">_xlfn.XLOOKUP($A904, 'Medical Examinations'!$A:$A, 'Medical Examinations'!F:F, "No Data")</f>
        <v>No</v>
      </c>
      <c r="H904" s="28">
        <f t="array" ref="H904">_xlfn.XLOOKUP($A904, 'Medical Examinations'!$A:$A, 'Medical Examinations'!G:G, "No Data")</f>
        <v>0</v>
      </c>
      <c r="I904" s="28" t="str">
        <f t="array" ref="I904">_xlfn.XLOOKUP($A904, 'Medical Examinations'!$A:$A, 'Medical Examinations'!H:H, "No Data")</f>
        <v>No</v>
      </c>
      <c r="J904" s="28" t="str">
        <f t="array" ref="J904">_xlfn.XLOOKUP($A904, 'Medical Examinations'!$A:$A, 'Medical Examinations'!I:I, "No Data")</f>
        <v>Normal Weight</v>
      </c>
      <c r="K904" s="28" t="str">
        <f t="array" ref="K904">_xlfn.XLOOKUP($A904, 'Hospitalisation Details'!$A:$A, 'Hospitalisation Details'!I:I, "No Data")</f>
        <v>tier - 1</v>
      </c>
      <c r="L904" s="28" t="str">
        <f t="array" ref="L904">_xlfn.XLOOKUP($A904, 'Hospitalisation Details'!$A:$A, 'Hospitalisation Details'!J:J, "No Data")</f>
        <v>R1011</v>
      </c>
      <c r="M904" s="28" t="str">
        <f t="array" ref="M904">_xlfn.XLOOKUP($A904, 'Hospitalisation Details'!$A:$A, 'Hospitalisation Details'!E:E, "No Data")</f>
        <v>29/10/65</v>
      </c>
      <c r="N904" s="28">
        <f t="array" ref="N904">_xlfn.XLOOKUP($A904, 'Hospitalisation Details'!$A:$A, 'Hospitalisation Details'!K:K, "No Data")</f>
        <v>57</v>
      </c>
      <c r="O904" s="33">
        <f t="array" ref="O904">_xlfn.XLOOKUP($A904, 'Hospitalisation Details'!$A:$A, 'Hospitalisation Details'!G:G, "No Data")</f>
        <v>12032.33</v>
      </c>
      <c r="P904" s="28" t="str">
        <f t="array" ref="P904">_xlfn.XLOOKUP($A904, 'Hospitalisation Details'!$A:$A, 'Hospitalisation Details'!H:H, "No Data")</f>
        <v>tier - 3</v>
      </c>
    </row>
    <row r="905">
      <c r="A905" s="25" t="s">
        <v>2882</v>
      </c>
      <c r="B905" s="28" t="str">
        <f t="array" ref="B905">_xlfn.XLOOKUP($A905, 'Customer Names'!$A:$A, 'Customer Names'!B:B, "No Data")</f>
        <v>Thomas</v>
      </c>
      <c r="C905" s="28">
        <f t="array" ref="C905">_xlfn.XLOOKUP($A905, 'Medical Examinations'!$A:$A, 'Medical Examinations'!B:B, "No Data")</f>
        <v>22.23</v>
      </c>
      <c r="D905" s="28">
        <f t="array" ref="D905">_xlfn.XLOOKUP($A905, 'Medical Examinations'!$A:$A, 'Medical Examinations'!C:C, "No Data")</f>
        <v>9.65</v>
      </c>
      <c r="E905" s="28" t="str">
        <f t="array" ref="E905">_xlfn.XLOOKUP($A905, 'Medical Examinations'!$A:$A, 'Medical Examinations'!D:D, "No Data")</f>
        <v>No</v>
      </c>
      <c r="F905" s="28" t="str">
        <f t="array" ref="F905">_xlfn.XLOOKUP($A905, 'Medical Examinations'!$A:$A, 'Medical Examinations'!E:E, "No Data")</f>
        <v>No</v>
      </c>
      <c r="G905" s="28" t="str">
        <f t="array" ref="G905">_xlfn.XLOOKUP($A905, 'Medical Examinations'!$A:$A, 'Medical Examinations'!F:F, "No Data")</f>
        <v>No</v>
      </c>
      <c r="H905" s="28">
        <f t="array" ref="H905">_xlfn.XLOOKUP($A905, 'Medical Examinations'!$A:$A, 'Medical Examinations'!G:G, "No Data")</f>
        <v>0</v>
      </c>
      <c r="I905" s="28" t="str">
        <f t="array" ref="I905">_xlfn.XLOOKUP($A905, 'Medical Examinations'!$A:$A, 'Medical Examinations'!H:H, "No Data")</f>
        <v>No</v>
      </c>
      <c r="J905" s="28" t="str">
        <f t="array" ref="J905">_xlfn.XLOOKUP($A905, 'Medical Examinations'!$A:$A, 'Medical Examinations'!I:I, "No Data")</f>
        <v>Normal Weight</v>
      </c>
      <c r="K905" s="28" t="str">
        <f t="array" ref="K905">_xlfn.XLOOKUP($A905, 'Hospitalisation Details'!$A:$A, 'Hospitalisation Details'!I:I, "No Data")</f>
        <v>tier - 2</v>
      </c>
      <c r="L905" s="28" t="str">
        <f t="array" ref="L905">_xlfn.XLOOKUP($A905, 'Hospitalisation Details'!$A:$A, 'Hospitalisation Details'!J:J, "No Data")</f>
        <v>R1024</v>
      </c>
      <c r="M905" s="28" t="str">
        <f t="array" ref="M905">_xlfn.XLOOKUP($A905, 'Hospitalisation Details'!$A:$A, 'Hospitalisation Details'!E:E, "No Data")</f>
        <v>09/06/65</v>
      </c>
      <c r="N905" s="28">
        <f t="array" ref="N905">_xlfn.XLOOKUP($A905, 'Hospitalisation Details'!$A:$A, 'Hospitalisation Details'!K:K, "No Data")</f>
        <v>57</v>
      </c>
      <c r="O905" s="33">
        <f t="array" ref="O905">_xlfn.XLOOKUP($A905, 'Hospitalisation Details'!$A:$A, 'Hospitalisation Details'!G:G, "No Data")</f>
        <v>12029.29</v>
      </c>
      <c r="P905" s="28" t="str">
        <f t="array" ref="P905">_xlfn.XLOOKUP($A905, 'Hospitalisation Details'!$A:$A, 'Hospitalisation Details'!H:H, "No Data")</f>
        <v>tier - 3</v>
      </c>
    </row>
    <row r="906">
      <c r="A906" s="25" t="s">
        <v>2885</v>
      </c>
      <c r="B906" s="28" t="str">
        <f t="array" ref="B906">_xlfn.XLOOKUP($A906, 'Customer Names'!$A:$A, 'Customer Names'!B:B, "No Data")</f>
        <v>Lesniak</v>
      </c>
      <c r="C906" s="28">
        <f t="array" ref="C906">_xlfn.XLOOKUP($A906, 'Medical Examinations'!$A:$A, 'Medical Examinations'!B:B, "No Data")</f>
        <v>36.47</v>
      </c>
      <c r="D906" s="28">
        <f t="array" ref="D906">_xlfn.XLOOKUP($A906, 'Medical Examinations'!$A:$A, 'Medical Examinations'!C:C, "No Data")</f>
        <v>6.21</v>
      </c>
      <c r="E906" s="28" t="str">
        <f t="array" ref="E906">_xlfn.XLOOKUP($A906, 'Medical Examinations'!$A:$A, 'Medical Examinations'!D:D, "No Data")</f>
        <v>No</v>
      </c>
      <c r="F906" s="28" t="str">
        <f t="array" ref="F906">_xlfn.XLOOKUP($A906, 'Medical Examinations'!$A:$A, 'Medical Examinations'!E:E, "No Data")</f>
        <v>No</v>
      </c>
      <c r="G906" s="28" t="str">
        <f t="array" ref="G906">_xlfn.XLOOKUP($A906, 'Medical Examinations'!$A:$A, 'Medical Examinations'!F:F, "No Data")</f>
        <v>No</v>
      </c>
      <c r="H906" s="28">
        <f t="array" ref="H906">_xlfn.XLOOKUP($A906, 'Medical Examinations'!$A:$A, 'Medical Examinations'!G:G, "No Data")</f>
        <v>0</v>
      </c>
      <c r="I906" s="28" t="str">
        <f t="array" ref="I906">_xlfn.XLOOKUP($A906, 'Medical Examinations'!$A:$A, 'Medical Examinations'!H:H, "No Data")</f>
        <v>No</v>
      </c>
      <c r="J906" s="28" t="str">
        <f t="array" ref="J906">_xlfn.XLOOKUP($A906, 'Medical Examinations'!$A:$A, 'Medical Examinations'!I:I, "No Data")</f>
        <v>Obesity</v>
      </c>
      <c r="K906" s="28" t="str">
        <f t="array" ref="K906">_xlfn.XLOOKUP($A906, 'Hospitalisation Details'!$A:$A, 'Hospitalisation Details'!I:I, "No Data")</f>
        <v>tier - 3</v>
      </c>
      <c r="L906" s="28" t="str">
        <f t="array" ref="L906">_xlfn.XLOOKUP($A906, 'Hospitalisation Details'!$A:$A, 'Hospitalisation Details'!J:J, "No Data")</f>
        <v>R1021</v>
      </c>
      <c r="M906" s="28" t="str">
        <f t="array" ref="M906">_xlfn.XLOOKUP($A906, 'Hospitalisation Details'!$A:$A, 'Hospitalisation Details'!E:E, "No Data")</f>
        <v>17/10/82</v>
      </c>
      <c r="N906" s="28">
        <f t="array" ref="N906">_xlfn.XLOOKUP($A906, 'Hospitalisation Details'!$A:$A, 'Hospitalisation Details'!K:K, "No Data")</f>
        <v>40</v>
      </c>
      <c r="O906" s="33">
        <f t="array" ref="O906">_xlfn.XLOOKUP($A906, 'Hospitalisation Details'!$A:$A, 'Hospitalisation Details'!G:G, "No Data")</f>
        <v>12001.29</v>
      </c>
      <c r="P906" s="28" t="str">
        <f t="array" ref="P906">_xlfn.XLOOKUP($A906, 'Hospitalisation Details'!$A:$A, 'Hospitalisation Details'!H:H, "No Data")</f>
        <v>tier - 3</v>
      </c>
    </row>
    <row r="907">
      <c r="A907" s="25" t="s">
        <v>2888</v>
      </c>
      <c r="B907" s="28" t="str">
        <f t="array" ref="B907">_xlfn.XLOOKUP($A907, 'Customer Names'!$A:$A, 'Customer Names'!B:B, "No Data")</f>
        <v>Prowse</v>
      </c>
      <c r="C907" s="28">
        <f t="array" ref="C907">_xlfn.XLOOKUP($A907, 'Medical Examinations'!$A:$A, 'Medical Examinations'!B:B, "No Data")</f>
        <v>49.64</v>
      </c>
      <c r="D907" s="28">
        <f t="array" ref="D907">_xlfn.XLOOKUP($A907, 'Medical Examinations'!$A:$A, 'Medical Examinations'!C:C, "No Data")</f>
        <v>4.76</v>
      </c>
      <c r="E907" s="28" t="str">
        <f t="array" ref="E907">_xlfn.XLOOKUP($A907, 'Medical Examinations'!$A:$A, 'Medical Examinations'!D:D, "No Data")</f>
        <v>No</v>
      </c>
      <c r="F907" s="28" t="str">
        <f t="array" ref="F907">_xlfn.XLOOKUP($A907, 'Medical Examinations'!$A:$A, 'Medical Examinations'!E:E, "No Data")</f>
        <v>No</v>
      </c>
      <c r="G907" s="28" t="str">
        <f t="array" ref="G907">_xlfn.XLOOKUP($A907, 'Medical Examinations'!$A:$A, 'Medical Examinations'!F:F, "No Data")</f>
        <v>Yes</v>
      </c>
      <c r="H907" s="28">
        <f t="array" ref="H907">_xlfn.XLOOKUP($A907, 'Medical Examinations'!$A:$A, 'Medical Examinations'!G:G, "No Data")</f>
        <v>1</v>
      </c>
      <c r="I907" s="28" t="str">
        <f t="array" ref="I907">_xlfn.XLOOKUP($A907, 'Medical Examinations'!$A:$A, 'Medical Examinations'!H:H, "No Data")</f>
        <v>No</v>
      </c>
      <c r="J907" s="28" t="str">
        <f t="array" ref="J907">_xlfn.XLOOKUP($A907, 'Medical Examinations'!$A:$A, 'Medical Examinations'!I:I, "No Data")</f>
        <v>Obesity</v>
      </c>
      <c r="K907" s="28" t="str">
        <f t="array" ref="K907">_xlfn.XLOOKUP($A907, 'Hospitalisation Details'!$A:$A, 'Hospitalisation Details'!I:I, "No Data")</f>
        <v>tier - 2</v>
      </c>
      <c r="L907" s="28" t="str">
        <f t="array" ref="L907">_xlfn.XLOOKUP($A907, 'Hospitalisation Details'!$A:$A, 'Hospitalisation Details'!J:J, "No Data")</f>
        <v>R1012</v>
      </c>
      <c r="M907" s="28" t="str">
        <f t="array" ref="M907">_xlfn.XLOOKUP($A907, 'Hospitalisation Details'!$A:$A, 'Hospitalisation Details'!E:E, "No Data")</f>
        <v>12/12/93</v>
      </c>
      <c r="N907" s="28">
        <f t="array" ref="N907">_xlfn.XLOOKUP($A907, 'Hospitalisation Details'!$A:$A, 'Hospitalisation Details'!K:K, "No Data")</f>
        <v>29</v>
      </c>
      <c r="O907" s="33">
        <f t="array" ref="O907">_xlfn.XLOOKUP($A907, 'Hospitalisation Details'!$A:$A, 'Hospitalisation Details'!G:G, "No Data")</f>
        <v>11994.89</v>
      </c>
      <c r="P907" s="28" t="str">
        <f t="array" ref="P907">_xlfn.XLOOKUP($A907, 'Hospitalisation Details'!$A:$A, 'Hospitalisation Details'!H:H, "No Data")</f>
        <v>tier - 3</v>
      </c>
    </row>
    <row r="908">
      <c r="A908" s="25" t="s">
        <v>2891</v>
      </c>
      <c r="B908" s="28" t="str">
        <f t="array" ref="B908">_xlfn.XLOOKUP($A908, 'Customer Names'!$A:$A, 'Customer Names'!B:B, "No Data")</f>
        <v>Seigel</v>
      </c>
      <c r="C908" s="28">
        <f t="array" ref="C908">_xlfn.XLOOKUP($A908, 'Medical Examinations'!$A:$A, 'Medical Examinations'!B:B, "No Data")</f>
        <v>36.8</v>
      </c>
      <c r="D908" s="28">
        <f t="array" ref="D908">_xlfn.XLOOKUP($A908, 'Medical Examinations'!$A:$A, 'Medical Examinations'!C:C, "No Data")</f>
        <v>5.73</v>
      </c>
      <c r="E908" s="28" t="str">
        <f t="array" ref="E908">_xlfn.XLOOKUP($A908, 'Medical Examinations'!$A:$A, 'Medical Examinations'!D:D, "No Data")</f>
        <v>yes</v>
      </c>
      <c r="F908" s="28" t="str">
        <f t="array" ref="F908">_xlfn.XLOOKUP($A908, 'Medical Examinations'!$A:$A, 'Medical Examinations'!E:E, "No Data")</f>
        <v>No</v>
      </c>
      <c r="G908" s="28" t="str">
        <f t="array" ref="G908">_xlfn.XLOOKUP($A908, 'Medical Examinations'!$A:$A, 'Medical Examinations'!F:F, "No Data")</f>
        <v>Yes</v>
      </c>
      <c r="H908" s="28">
        <f t="array" ref="H908">_xlfn.XLOOKUP($A908, 'Medical Examinations'!$A:$A, 'Medical Examinations'!G:G, "No Data")</f>
        <v>1</v>
      </c>
      <c r="I908" s="28" t="str">
        <f t="array" ref="I908">_xlfn.XLOOKUP($A908, 'Medical Examinations'!$A:$A, 'Medical Examinations'!H:H, "No Data")</f>
        <v>No</v>
      </c>
      <c r="J908" s="28" t="str">
        <f t="array" ref="J908">_xlfn.XLOOKUP($A908, 'Medical Examinations'!$A:$A, 'Medical Examinations'!I:I, "No Data")</f>
        <v>Obesity</v>
      </c>
      <c r="K908" s="28" t="str">
        <f t="array" ref="K908">_xlfn.XLOOKUP($A908, 'Hospitalisation Details'!$A:$A, 'Hospitalisation Details'!I:I, "No Data")</f>
        <v>tier - 2</v>
      </c>
      <c r="L908" s="28" t="str">
        <f t="array" ref="L908">_xlfn.XLOOKUP($A908, 'Hospitalisation Details'!$A:$A, 'Hospitalisation Details'!J:J, "No Data")</f>
        <v>R1026</v>
      </c>
      <c r="M908" s="28" t="str">
        <f t="array" ref="M908">_xlfn.XLOOKUP($A908, 'Hospitalisation Details'!$A:$A, 'Hospitalisation Details'!E:E, "No Data")</f>
        <v>04/07/83</v>
      </c>
      <c r="N908" s="28">
        <f t="array" ref="N908">_xlfn.XLOOKUP($A908, 'Hospitalisation Details'!$A:$A, 'Hospitalisation Details'!K:K, "No Data")</f>
        <v>39</v>
      </c>
      <c r="O908" s="33">
        <f t="array" ref="O908">_xlfn.XLOOKUP($A908, 'Hospitalisation Details'!$A:$A, 'Hospitalisation Details'!G:G, "No Data")</f>
        <v>11987.68</v>
      </c>
      <c r="P908" s="28" t="str">
        <f t="array" ref="P908">_xlfn.XLOOKUP($A908, 'Hospitalisation Details'!$A:$A, 'Hospitalisation Details'!H:H, "No Data")</f>
        <v>tier - 3</v>
      </c>
    </row>
    <row r="909">
      <c r="A909" s="25" t="s">
        <v>2895</v>
      </c>
      <c r="B909" s="28" t="str">
        <f t="array" ref="B909">_xlfn.XLOOKUP($A909, 'Customer Names'!$A:$A, 'Customer Names'!B:B, "No Data")</f>
        <v>Blas</v>
      </c>
      <c r="C909" s="28">
        <f t="array" ref="C909">_xlfn.XLOOKUP($A909, 'Medical Examinations'!$A:$A, 'Medical Examinations'!B:B, "No Data")</f>
        <v>33.88</v>
      </c>
      <c r="D909" s="28">
        <f t="array" ref="D909">_xlfn.XLOOKUP($A909, 'Medical Examinations'!$A:$A, 'Medical Examinations'!C:C, "No Data")</f>
        <v>10.78</v>
      </c>
      <c r="E909" s="28" t="str">
        <f t="array" ref="E909">_xlfn.XLOOKUP($A909, 'Medical Examinations'!$A:$A, 'Medical Examinations'!D:D, "No Data")</f>
        <v>yes</v>
      </c>
      <c r="F909" s="28" t="str">
        <f t="array" ref="F909">_xlfn.XLOOKUP($A909, 'Medical Examinations'!$A:$A, 'Medical Examinations'!E:E, "No Data")</f>
        <v>No</v>
      </c>
      <c r="G909" s="28" t="str">
        <f t="array" ref="G909">_xlfn.XLOOKUP($A909, 'Medical Examinations'!$A:$A, 'Medical Examinations'!F:F, "No Data")</f>
        <v>No</v>
      </c>
      <c r="H909" s="28">
        <f t="array" ref="H909">_xlfn.XLOOKUP($A909, 'Medical Examinations'!$A:$A, 'Medical Examinations'!G:G, "No Data")</f>
        <v>0</v>
      </c>
      <c r="I909" s="28" t="str">
        <f t="array" ref="I909">_xlfn.XLOOKUP($A909, 'Medical Examinations'!$A:$A, 'Medical Examinations'!H:H, "No Data")</f>
        <v>No</v>
      </c>
      <c r="J909" s="28" t="str">
        <f t="array" ref="J909">_xlfn.XLOOKUP($A909, 'Medical Examinations'!$A:$A, 'Medical Examinations'!I:I, "No Data")</f>
        <v>Obesity</v>
      </c>
      <c r="K909" s="28" t="str">
        <f t="array" ref="K909">_xlfn.XLOOKUP($A909, 'Hospitalisation Details'!$A:$A, 'Hospitalisation Details'!I:I, "No Data")</f>
        <v>tier - 3</v>
      </c>
      <c r="L909" s="28" t="str">
        <f t="array" ref="L909">_xlfn.XLOOKUP($A909, 'Hospitalisation Details'!$A:$A, 'Hospitalisation Details'!J:J, "No Data")</f>
        <v>R1013</v>
      </c>
      <c r="M909" s="28" t="str">
        <f t="array" ref="M909">_xlfn.XLOOKUP($A909, 'Hospitalisation Details'!$A:$A, 'Hospitalisation Details'!E:E, "No Data")</f>
        <v>22/12/67</v>
      </c>
      <c r="N909" s="28">
        <f t="array" ref="N909">_xlfn.XLOOKUP($A909, 'Hospitalisation Details'!$A:$A, 'Hospitalisation Details'!K:K, "No Data")</f>
        <v>55</v>
      </c>
      <c r="O909" s="33">
        <f t="array" ref="O909">_xlfn.XLOOKUP($A909, 'Hospitalisation Details'!$A:$A, 'Hospitalisation Details'!G:G, "No Data")</f>
        <v>11987.17</v>
      </c>
      <c r="P909" s="28" t="str">
        <f t="array" ref="P909">_xlfn.XLOOKUP($A909, 'Hospitalisation Details'!$A:$A, 'Hospitalisation Details'!H:H, "No Data")</f>
        <v>tier - 3</v>
      </c>
    </row>
    <row r="910">
      <c r="A910" s="25" t="s">
        <v>2898</v>
      </c>
      <c r="B910" s="28" t="str">
        <f t="array" ref="B910">_xlfn.XLOOKUP($A910, 'Customer Names'!$A:$A, 'Customer Names'!B:B, "No Data")</f>
        <v>Simpson</v>
      </c>
      <c r="C910" s="28">
        <f t="array" ref="C910">_xlfn.XLOOKUP($A910, 'Medical Examinations'!$A:$A, 'Medical Examinations'!B:B, "No Data")</f>
        <v>32.01</v>
      </c>
      <c r="D910" s="28">
        <f t="array" ref="D910">_xlfn.XLOOKUP($A910, 'Medical Examinations'!$A:$A, 'Medical Examinations'!C:C, "No Data")</f>
        <v>5.08</v>
      </c>
      <c r="E910" s="28" t="str">
        <f t="array" ref="E910">_xlfn.XLOOKUP($A910, 'Medical Examinations'!$A:$A, 'Medical Examinations'!D:D, "No Data")</f>
        <v>yes</v>
      </c>
      <c r="F910" s="28" t="str">
        <f t="array" ref="F910">_xlfn.XLOOKUP($A910, 'Medical Examinations'!$A:$A, 'Medical Examinations'!E:E, "No Data")</f>
        <v>No</v>
      </c>
      <c r="G910" s="28" t="str">
        <f t="array" ref="G910">_xlfn.XLOOKUP($A910, 'Medical Examinations'!$A:$A, 'Medical Examinations'!F:F, "No Data")</f>
        <v>No</v>
      </c>
      <c r="H910" s="28">
        <f t="array" ref="H910">_xlfn.XLOOKUP($A910, 'Medical Examinations'!$A:$A, 'Medical Examinations'!G:G, "No Data")</f>
        <v>1</v>
      </c>
      <c r="I910" s="28" t="str">
        <f t="array" ref="I910">_xlfn.XLOOKUP($A910, 'Medical Examinations'!$A:$A, 'Medical Examinations'!H:H, "No Data")</f>
        <v>No</v>
      </c>
      <c r="J910" s="28" t="str">
        <f t="array" ref="J910">_xlfn.XLOOKUP($A910, 'Medical Examinations'!$A:$A, 'Medical Examinations'!I:I, "No Data")</f>
        <v>Obesity</v>
      </c>
      <c r="K910" s="28" t="str">
        <f t="array" ref="K910">_xlfn.XLOOKUP($A910, 'Hospitalisation Details'!$A:$A, 'Hospitalisation Details'!I:I, "No Data")</f>
        <v>tier - 2</v>
      </c>
      <c r="L910" s="28" t="str">
        <f t="array" ref="L910">_xlfn.XLOOKUP($A910, 'Hospitalisation Details'!$A:$A, 'Hospitalisation Details'!J:J, "No Data")</f>
        <v>R1013</v>
      </c>
      <c r="M910" s="28" t="str">
        <f t="array" ref="M910">_xlfn.XLOOKUP($A910, 'Hospitalisation Details'!$A:$A, 'Hospitalisation Details'!E:E, "No Data")</f>
        <v>29/09/64</v>
      </c>
      <c r="N910" s="28">
        <f t="array" ref="N910">_xlfn.XLOOKUP($A910, 'Hospitalisation Details'!$A:$A, 'Hospitalisation Details'!K:K, "No Data")</f>
        <v>58</v>
      </c>
      <c r="O910" s="33">
        <f t="array" ref="O910">_xlfn.XLOOKUP($A910, 'Hospitalisation Details'!$A:$A, 'Hospitalisation Details'!G:G, "No Data")</f>
        <v>11946.63</v>
      </c>
      <c r="P910" s="28" t="str">
        <f t="array" ref="P910">_xlfn.XLOOKUP($A910, 'Hospitalisation Details'!$A:$A, 'Hospitalisation Details'!H:H, "No Data")</f>
        <v>tier - 3</v>
      </c>
    </row>
    <row r="911">
      <c r="A911" s="25" t="s">
        <v>2901</v>
      </c>
      <c r="B911" s="28" t="str">
        <f t="array" ref="B911">_xlfn.XLOOKUP($A911, 'Customer Names'!$A:$A, 'Customer Names'!B:B, "No Data")</f>
        <v>Gierman</v>
      </c>
      <c r="C911" s="28">
        <f t="array" ref="C911">_xlfn.XLOOKUP($A911, 'Medical Examinations'!$A:$A, 'Medical Examinations'!B:B, "No Data")</f>
        <v>33.63</v>
      </c>
      <c r="D911" s="28">
        <f t="array" ref="D911">_xlfn.XLOOKUP($A911, 'Medical Examinations'!$A:$A, 'Medical Examinations'!C:C, "No Data")</f>
        <v>11.39</v>
      </c>
      <c r="E911" s="28" t="str">
        <f t="array" ref="E911">_xlfn.XLOOKUP($A911, 'Medical Examinations'!$A:$A, 'Medical Examinations'!D:D, "No Data")</f>
        <v>No</v>
      </c>
      <c r="F911" s="28" t="str">
        <f t="array" ref="F911">_xlfn.XLOOKUP($A911, 'Medical Examinations'!$A:$A, 'Medical Examinations'!E:E, "No Data")</f>
        <v>No</v>
      </c>
      <c r="G911" s="28" t="str">
        <f t="array" ref="G911">_xlfn.XLOOKUP($A911, 'Medical Examinations'!$A:$A, 'Medical Examinations'!F:F, "No Data")</f>
        <v>No</v>
      </c>
      <c r="H911" s="28">
        <f t="array" ref="H911">_xlfn.XLOOKUP($A911, 'Medical Examinations'!$A:$A, 'Medical Examinations'!G:G, "No Data")</f>
        <v>0</v>
      </c>
      <c r="I911" s="28" t="str">
        <f t="array" ref="I911">_xlfn.XLOOKUP($A911, 'Medical Examinations'!$A:$A, 'Medical Examinations'!H:H, "No Data")</f>
        <v>No</v>
      </c>
      <c r="J911" s="28" t="str">
        <f t="array" ref="J911">_xlfn.XLOOKUP($A911, 'Medical Examinations'!$A:$A, 'Medical Examinations'!I:I, "No Data")</f>
        <v>Obesity</v>
      </c>
      <c r="K911" s="28" t="str">
        <f t="array" ref="K911">_xlfn.XLOOKUP($A911, 'Hospitalisation Details'!$A:$A, 'Hospitalisation Details'!I:I, "No Data")</f>
        <v>tier - 2</v>
      </c>
      <c r="L911" s="28" t="str">
        <f t="array" ref="L911">_xlfn.XLOOKUP($A911, 'Hospitalisation Details'!$A:$A, 'Hospitalisation Details'!J:J, "No Data")</f>
        <v>R1012</v>
      </c>
      <c r="M911" s="28" t="str">
        <f t="array" ref="M911">_xlfn.XLOOKUP($A911, 'Hospitalisation Details'!$A:$A, 'Hospitalisation Details'!E:E, "No Data")</f>
        <v>01/11/65</v>
      </c>
      <c r="N911" s="28">
        <f t="array" ref="N911">_xlfn.XLOOKUP($A911, 'Hospitalisation Details'!$A:$A, 'Hospitalisation Details'!K:K, "No Data")</f>
        <v>57</v>
      </c>
      <c r="O911" s="33">
        <f t="array" ref="O911">_xlfn.XLOOKUP($A911, 'Hospitalisation Details'!$A:$A, 'Hospitalisation Details'!G:G, "No Data")</f>
        <v>11945.13</v>
      </c>
      <c r="P911" s="28" t="str">
        <f t="array" ref="P911">_xlfn.XLOOKUP($A911, 'Hospitalisation Details'!$A:$A, 'Hospitalisation Details'!H:H, "No Data")</f>
        <v>tier - 3</v>
      </c>
    </row>
    <row r="912">
      <c r="A912" s="25" t="s">
        <v>2905</v>
      </c>
      <c r="B912" s="28" t="str">
        <f t="array" ref="B912">_xlfn.XLOOKUP($A912, 'Customer Names'!$A:$A, 'Customer Names'!B:B, "No Data")</f>
        <v>Jeuland</v>
      </c>
      <c r="C912" s="28">
        <f t="array" ref="C912">_xlfn.XLOOKUP($A912, 'Medical Examinations'!$A:$A, 'Medical Examinations'!B:B, "No Data")</f>
        <v>34.865</v>
      </c>
      <c r="D912" s="28">
        <f t="array" ref="D912">_xlfn.XLOOKUP($A912, 'Medical Examinations'!$A:$A, 'Medical Examinations'!C:C, "No Data")</f>
        <v>5.35</v>
      </c>
      <c r="E912" s="28" t="str">
        <f t="array" ref="E912">_xlfn.XLOOKUP($A912, 'Medical Examinations'!$A:$A, 'Medical Examinations'!D:D, "No Data")</f>
        <v>yes</v>
      </c>
      <c r="F912" s="28" t="str">
        <f t="array" ref="F912">_xlfn.XLOOKUP($A912, 'Medical Examinations'!$A:$A, 'Medical Examinations'!E:E, "No Data")</f>
        <v>No</v>
      </c>
      <c r="G912" s="28" t="str">
        <f t="array" ref="G912">_xlfn.XLOOKUP($A912, 'Medical Examinations'!$A:$A, 'Medical Examinations'!F:F, "No Data")</f>
        <v>No</v>
      </c>
      <c r="H912" s="28">
        <f t="array" ref="H912">_xlfn.XLOOKUP($A912, 'Medical Examinations'!$A:$A, 'Medical Examinations'!G:G, "No Data")</f>
        <v>1</v>
      </c>
      <c r="I912" s="28" t="str">
        <f t="array" ref="I912">_xlfn.XLOOKUP($A912, 'Medical Examinations'!$A:$A, 'Medical Examinations'!H:H, "No Data")</f>
        <v>No</v>
      </c>
      <c r="J912" s="28" t="str">
        <f t="array" ref="J912">_xlfn.XLOOKUP($A912, 'Medical Examinations'!$A:$A, 'Medical Examinations'!I:I, "No Data")</f>
        <v>Obesity</v>
      </c>
      <c r="K912" s="28" t="str">
        <f t="array" ref="K912">_xlfn.XLOOKUP($A912, 'Hospitalisation Details'!$A:$A, 'Hospitalisation Details'!I:I, "No Data")</f>
        <v>tier - 2</v>
      </c>
      <c r="L912" s="28" t="str">
        <f t="array" ref="L912">_xlfn.XLOOKUP($A912, 'Hospitalisation Details'!$A:$A, 'Hospitalisation Details'!J:J, "No Data")</f>
        <v>R1016</v>
      </c>
      <c r="M912" s="28" t="str">
        <f t="array" ref="M912">_xlfn.XLOOKUP($A912, 'Hospitalisation Details'!$A:$A, 'Hospitalisation Details'!E:E, "No Data")</f>
        <v>25/12/64</v>
      </c>
      <c r="N912" s="28">
        <f t="array" ref="N912">_xlfn.XLOOKUP($A912, 'Hospitalisation Details'!$A:$A, 'Hospitalisation Details'!K:K, "No Data")</f>
        <v>58</v>
      </c>
      <c r="O912" s="33">
        <f t="array" ref="O912">_xlfn.XLOOKUP($A912, 'Hospitalisation Details'!$A:$A, 'Hospitalisation Details'!G:G, "No Data")</f>
        <v>11944.59</v>
      </c>
      <c r="P912" s="28" t="str">
        <f t="array" ref="P912">_xlfn.XLOOKUP($A912, 'Hospitalisation Details'!$A:$A, 'Hospitalisation Details'!H:H, "No Data")</f>
        <v>tier - 3</v>
      </c>
    </row>
    <row r="913">
      <c r="A913" s="25" t="s">
        <v>2908</v>
      </c>
      <c r="B913" s="28" t="str">
        <f t="array" ref="B913">_xlfn.XLOOKUP($A913, 'Customer Names'!$A:$A, 'Customer Names'!B:B, "No Data")</f>
        <v>Chorney</v>
      </c>
      <c r="C913" s="28">
        <f t="array" ref="C913">_xlfn.XLOOKUP($A913, 'Medical Examinations'!$A:$A, 'Medical Examinations'!B:B, "No Data")</f>
        <v>43.11</v>
      </c>
      <c r="D913" s="28">
        <f t="array" ref="D913">_xlfn.XLOOKUP($A913, 'Medical Examinations'!$A:$A, 'Medical Examinations'!C:C, "No Data")</f>
        <v>5.6</v>
      </c>
      <c r="E913" s="28" t="str">
        <f t="array" ref="E913">_xlfn.XLOOKUP($A913, 'Medical Examinations'!$A:$A, 'Medical Examinations'!D:D, "No Data")</f>
        <v>No</v>
      </c>
      <c r="F913" s="28" t="str">
        <f t="array" ref="F913">_xlfn.XLOOKUP($A913, 'Medical Examinations'!$A:$A, 'Medical Examinations'!E:E, "No Data")</f>
        <v>No</v>
      </c>
      <c r="G913" s="28" t="str">
        <f t="array" ref="G913">_xlfn.XLOOKUP($A913, 'Medical Examinations'!$A:$A, 'Medical Examinations'!F:F, "No Data")</f>
        <v>No</v>
      </c>
      <c r="H913" s="28">
        <f t="array" ref="H913">_xlfn.XLOOKUP($A913, 'Medical Examinations'!$A:$A, 'Medical Examinations'!G:G, "No Data")</f>
        <v>0</v>
      </c>
      <c r="I913" s="28" t="str">
        <f t="array" ref="I913">_xlfn.XLOOKUP($A913, 'Medical Examinations'!$A:$A, 'Medical Examinations'!H:H, "No Data")</f>
        <v>No</v>
      </c>
      <c r="J913" s="28" t="str">
        <f t="array" ref="J913">_xlfn.XLOOKUP($A913, 'Medical Examinations'!$A:$A, 'Medical Examinations'!I:I, "No Data")</f>
        <v>Obesity</v>
      </c>
      <c r="K913" s="28" t="str">
        <f t="array" ref="K913">_xlfn.XLOOKUP($A913, 'Hospitalisation Details'!$A:$A, 'Hospitalisation Details'!I:I, "No Data")</f>
        <v>tier - 1</v>
      </c>
      <c r="L913" s="28" t="str">
        <f t="array" ref="L913">_xlfn.XLOOKUP($A913, 'Hospitalisation Details'!$A:$A, 'Hospitalisation Details'!J:J, "No Data")</f>
        <v>R1023</v>
      </c>
      <c r="M913" s="28" t="str">
        <f t="array" ref="M913">_xlfn.XLOOKUP($A913, 'Hospitalisation Details'!$A:$A, 'Hospitalisation Details'!E:E, "No Data")</f>
        <v>19/10/91</v>
      </c>
      <c r="N913" s="28">
        <f t="array" ref="N913">_xlfn.XLOOKUP($A913, 'Hospitalisation Details'!$A:$A, 'Hospitalisation Details'!K:K, "No Data")</f>
        <v>31</v>
      </c>
      <c r="O913" s="33">
        <f t="array" ref="O913">_xlfn.XLOOKUP($A913, 'Hospitalisation Details'!$A:$A, 'Hospitalisation Details'!G:G, "No Data")</f>
        <v>11941.83</v>
      </c>
      <c r="P913" s="28" t="str">
        <f t="array" ref="P913">_xlfn.XLOOKUP($A913, 'Hospitalisation Details'!$A:$A, 'Hospitalisation Details'!H:H, "No Data")</f>
        <v>tier - 3</v>
      </c>
    </row>
    <row r="914">
      <c r="A914" s="25" t="s">
        <v>2911</v>
      </c>
      <c r="B914" s="28" t="str">
        <f t="array" ref="B914">_xlfn.XLOOKUP($A914, 'Customer Names'!$A:$A, 'Customer Names'!B:B, "No Data")</f>
        <v>Rook</v>
      </c>
      <c r="C914" s="28">
        <f t="array" ref="C914">_xlfn.XLOOKUP($A914, 'Medical Examinations'!$A:$A, 'Medical Examinations'!B:B, "No Data")</f>
        <v>30.305</v>
      </c>
      <c r="D914" s="28">
        <f t="array" ref="D914">_xlfn.XLOOKUP($A914, 'Medical Examinations'!$A:$A, 'Medical Examinations'!C:C, "No Data")</f>
        <v>4.27</v>
      </c>
      <c r="E914" s="28" t="str">
        <f t="array" ref="E914">_xlfn.XLOOKUP($A914, 'Medical Examinations'!$A:$A, 'Medical Examinations'!D:D, "No Data")</f>
        <v>yes</v>
      </c>
      <c r="F914" s="28" t="str">
        <f t="array" ref="F914">_xlfn.XLOOKUP($A914, 'Medical Examinations'!$A:$A, 'Medical Examinations'!E:E, "No Data")</f>
        <v>No</v>
      </c>
      <c r="G914" s="28" t="str">
        <f t="array" ref="G914">_xlfn.XLOOKUP($A914, 'Medical Examinations'!$A:$A, 'Medical Examinations'!F:F, "No Data")</f>
        <v>No</v>
      </c>
      <c r="H914" s="28">
        <f t="array" ref="H914">_xlfn.XLOOKUP($A914, 'Medical Examinations'!$A:$A, 'Medical Examinations'!G:G, "No Data")</f>
        <v>1</v>
      </c>
      <c r="I914" s="28" t="str">
        <f t="array" ref="I914">_xlfn.XLOOKUP($A914, 'Medical Examinations'!$A:$A, 'Medical Examinations'!H:H, "No Data")</f>
        <v>No</v>
      </c>
      <c r="J914" s="28" t="str">
        <f t="array" ref="J914">_xlfn.XLOOKUP($A914, 'Medical Examinations'!$A:$A, 'Medical Examinations'!I:I, "No Data")</f>
        <v>Obesity</v>
      </c>
      <c r="K914" s="28" t="str">
        <f t="array" ref="K914">_xlfn.XLOOKUP($A914, 'Hospitalisation Details'!$A:$A, 'Hospitalisation Details'!I:I, "No Data")</f>
        <v>tier - 3</v>
      </c>
      <c r="L914" s="28" t="str">
        <f t="array" ref="L914">_xlfn.XLOOKUP($A914, 'Hospitalisation Details'!$A:$A, 'Hospitalisation Details'!J:J, "No Data")</f>
        <v>R1019</v>
      </c>
      <c r="M914" s="28" t="str">
        <f t="array" ref="M914">_xlfn.XLOOKUP($A914, 'Hospitalisation Details'!$A:$A, 'Hospitalisation Details'!E:E, "No Data")</f>
        <v>02/08/64</v>
      </c>
      <c r="N914" s="28">
        <f t="array" ref="N914">_xlfn.XLOOKUP($A914, 'Hospitalisation Details'!$A:$A, 'Hospitalisation Details'!K:K, "No Data")</f>
        <v>58</v>
      </c>
      <c r="O914" s="33">
        <f t="array" ref="O914">_xlfn.XLOOKUP($A914, 'Hospitalisation Details'!$A:$A, 'Hospitalisation Details'!G:G, "No Data")</f>
        <v>11938.26</v>
      </c>
      <c r="P914" s="28" t="str">
        <f t="array" ref="P914">_xlfn.XLOOKUP($A914, 'Hospitalisation Details'!$A:$A, 'Hospitalisation Details'!H:H, "No Data")</f>
        <v>tier - 3</v>
      </c>
    </row>
    <row r="915">
      <c r="A915" s="25" t="s">
        <v>2913</v>
      </c>
      <c r="B915" s="28" t="str">
        <f t="array" ref="B915">_xlfn.XLOOKUP($A915, 'Customer Names'!$A:$A, 'Customer Names'!B:B, "No Data")</f>
        <v>Wright</v>
      </c>
      <c r="C915" s="28">
        <f t="array" ref="C915">_xlfn.XLOOKUP($A915, 'Medical Examinations'!$A:$A, 'Medical Examinations'!B:B, "No Data")</f>
        <v>25.175</v>
      </c>
      <c r="D915" s="28">
        <f t="array" ref="D915">_xlfn.XLOOKUP($A915, 'Medical Examinations'!$A:$A, 'Medical Examinations'!C:C, "No Data")</f>
        <v>5.57</v>
      </c>
      <c r="E915" s="28" t="str">
        <f t="array" ref="E915">_xlfn.XLOOKUP($A915, 'Medical Examinations'!$A:$A, 'Medical Examinations'!D:D, "No Data")</f>
        <v>yes</v>
      </c>
      <c r="F915" s="28" t="str">
        <f t="array" ref="F915">_xlfn.XLOOKUP($A915, 'Medical Examinations'!$A:$A, 'Medical Examinations'!E:E, "No Data")</f>
        <v>No</v>
      </c>
      <c r="G915" s="28" t="str">
        <f t="array" ref="G915">_xlfn.XLOOKUP($A915, 'Medical Examinations'!$A:$A, 'Medical Examinations'!F:F, "No Data")</f>
        <v>No</v>
      </c>
      <c r="H915" s="28">
        <f t="array" ref="H915">_xlfn.XLOOKUP($A915, 'Medical Examinations'!$A:$A, 'Medical Examinations'!G:G, "No Data")</f>
        <v>1</v>
      </c>
      <c r="I915" s="28" t="str">
        <f t="array" ref="I915">_xlfn.XLOOKUP($A915, 'Medical Examinations'!$A:$A, 'Medical Examinations'!H:H, "No Data")</f>
        <v>No</v>
      </c>
      <c r="J915" s="28" t="str">
        <f t="array" ref="J915">_xlfn.XLOOKUP($A915, 'Medical Examinations'!$A:$A, 'Medical Examinations'!I:I, "No Data")</f>
        <v>Overweight</v>
      </c>
      <c r="K915" s="28" t="str">
        <f t="array" ref="K915">_xlfn.XLOOKUP($A915, 'Hospitalisation Details'!$A:$A, 'Hospitalisation Details'!I:I, "No Data")</f>
        <v>tier - 1</v>
      </c>
      <c r="L915" s="28" t="str">
        <f t="array" ref="L915">_xlfn.XLOOKUP($A915, 'Hospitalisation Details'!$A:$A, 'Hospitalisation Details'!J:J, "No Data")</f>
        <v>R1019</v>
      </c>
      <c r="M915" s="28" t="str">
        <f t="array" ref="M915">_xlfn.XLOOKUP($A915, 'Hospitalisation Details'!$A:$A, 'Hospitalisation Details'!E:E, "No Data")</f>
        <v>20/12/64</v>
      </c>
      <c r="N915" s="28">
        <f t="array" ref="N915">_xlfn.XLOOKUP($A915, 'Hospitalisation Details'!$A:$A, 'Hospitalisation Details'!K:K, "No Data")</f>
        <v>58</v>
      </c>
      <c r="O915" s="33">
        <f t="array" ref="O915">_xlfn.XLOOKUP($A915, 'Hospitalisation Details'!$A:$A, 'Hospitalisation Details'!G:G, "No Data")</f>
        <v>11931.13</v>
      </c>
      <c r="P915" s="28" t="str">
        <f t="array" ref="P915">_xlfn.XLOOKUP($A915, 'Hospitalisation Details'!$A:$A, 'Hospitalisation Details'!H:H, "No Data")</f>
        <v>tier - 3</v>
      </c>
    </row>
    <row r="916">
      <c r="A916" s="25" t="s">
        <v>2915</v>
      </c>
      <c r="B916" s="28" t="str">
        <f t="array" ref="B916">_xlfn.XLOOKUP($A916, 'Customer Names'!$A:$A, 'Customer Names'!B:B, "No Data")</f>
        <v>Chin</v>
      </c>
      <c r="C916" s="28">
        <f t="array" ref="C916">_xlfn.XLOOKUP($A916, 'Medical Examinations'!$A:$A, 'Medical Examinations'!B:B, "No Data")</f>
        <v>26.8</v>
      </c>
      <c r="D916" s="28">
        <f t="array" ref="D916">_xlfn.XLOOKUP($A916, 'Medical Examinations'!$A:$A, 'Medical Examinations'!C:C, "No Data")</f>
        <v>5.68</v>
      </c>
      <c r="E916" s="28" t="str">
        <f t="array" ref="E916">_xlfn.XLOOKUP($A916, 'Medical Examinations'!$A:$A, 'Medical Examinations'!D:D, "No Data")</f>
        <v>yes</v>
      </c>
      <c r="F916" s="28" t="str">
        <f t="array" ref="F916">_xlfn.XLOOKUP($A916, 'Medical Examinations'!$A:$A, 'Medical Examinations'!E:E, "No Data")</f>
        <v>No</v>
      </c>
      <c r="G916" s="28" t="str">
        <f t="array" ref="G916">_xlfn.XLOOKUP($A916, 'Medical Examinations'!$A:$A, 'Medical Examinations'!F:F, "No Data")</f>
        <v>No</v>
      </c>
      <c r="H916" s="28">
        <f t="array" ref="H916">_xlfn.XLOOKUP($A916, 'Medical Examinations'!$A:$A, 'Medical Examinations'!G:G, "No Data")</f>
        <v>1</v>
      </c>
      <c r="I916" s="28" t="str">
        <f t="array" ref="I916">_xlfn.XLOOKUP($A916, 'Medical Examinations'!$A:$A, 'Medical Examinations'!H:H, "No Data")</f>
        <v>No</v>
      </c>
      <c r="J916" s="28" t="str">
        <f t="array" ref="J916">_xlfn.XLOOKUP($A916, 'Medical Examinations'!$A:$A, 'Medical Examinations'!I:I, "No Data")</f>
        <v>Overweight</v>
      </c>
      <c r="K916" s="28" t="str">
        <f t="array" ref="K916">_xlfn.XLOOKUP($A916, 'Hospitalisation Details'!$A:$A, 'Hospitalisation Details'!I:I, "No Data")</f>
        <v>tier - 1</v>
      </c>
      <c r="L916" s="28" t="str">
        <f t="array" ref="L916">_xlfn.XLOOKUP($A916, 'Hospitalisation Details'!$A:$A, 'Hospitalisation Details'!J:J, "No Data")</f>
        <v>R1021</v>
      </c>
      <c r="M916" s="28" t="str">
        <f t="array" ref="M916">_xlfn.XLOOKUP($A916, 'Hospitalisation Details'!$A:$A, 'Hospitalisation Details'!E:E, "No Data")</f>
        <v>19/11/64</v>
      </c>
      <c r="N916" s="28">
        <f t="array" ref="N916">_xlfn.XLOOKUP($A916, 'Hospitalisation Details'!$A:$A, 'Hospitalisation Details'!K:K, "No Data")</f>
        <v>58</v>
      </c>
      <c r="O916" s="33">
        <f t="array" ref="O916">_xlfn.XLOOKUP($A916, 'Hospitalisation Details'!$A:$A, 'Hospitalisation Details'!G:G, "No Data")</f>
        <v>11918.2</v>
      </c>
      <c r="P916" s="28" t="str">
        <f t="array" ref="P916">_xlfn.XLOOKUP($A916, 'Hospitalisation Details'!$A:$A, 'Hospitalisation Details'!H:H, "No Data")</f>
        <v>tier - 3</v>
      </c>
    </row>
    <row r="917">
      <c r="A917" s="25" t="s">
        <v>2925</v>
      </c>
      <c r="B917" s="28" t="str">
        <f t="array" ref="B917">_xlfn.XLOOKUP($A917, 'Customer Names'!$A:$A, 'Customer Names'!B:B, "No Data")</f>
        <v>White</v>
      </c>
      <c r="C917" s="28">
        <f t="array" ref="C917">_xlfn.XLOOKUP($A917, 'Medical Examinations'!$A:$A, 'Medical Examinations'!B:B, "No Data")</f>
        <v>21.78</v>
      </c>
      <c r="D917" s="28">
        <f t="array" ref="D917">_xlfn.XLOOKUP($A917, 'Medical Examinations'!$A:$A, 'Medical Examinations'!C:C, "No Data")</f>
        <v>5.3</v>
      </c>
      <c r="E917" s="28" t="str">
        <f t="array" ref="E917">_xlfn.XLOOKUP($A917, 'Medical Examinations'!$A:$A, 'Medical Examinations'!D:D, "No Data")</f>
        <v>No</v>
      </c>
      <c r="F917" s="28" t="str">
        <f t="array" ref="F917">_xlfn.XLOOKUP($A917, 'Medical Examinations'!$A:$A, 'Medical Examinations'!E:E, "No Data")</f>
        <v>yes</v>
      </c>
      <c r="G917" s="28" t="str">
        <f t="array" ref="G917">_xlfn.XLOOKUP($A917, 'Medical Examinations'!$A:$A, 'Medical Examinations'!F:F, "No Data")</f>
        <v>No</v>
      </c>
      <c r="H917" s="28">
        <f t="array" ref="H917">_xlfn.XLOOKUP($A917, 'Medical Examinations'!$A:$A, 'Medical Examinations'!G:G, "No Data")</f>
        <v>1</v>
      </c>
      <c r="I917" s="28" t="str">
        <f t="array" ref="I917">_xlfn.XLOOKUP($A917, 'Medical Examinations'!$A:$A, 'Medical Examinations'!H:H, "No Data")</f>
        <v>No</v>
      </c>
      <c r="J917" s="28" t="str">
        <f t="array" ref="J917">_xlfn.XLOOKUP($A917, 'Medical Examinations'!$A:$A, 'Medical Examinations'!I:I, "No Data")</f>
        <v>Normal Weight</v>
      </c>
      <c r="K917" s="28" t="str">
        <f t="array" ref="K917">_xlfn.XLOOKUP($A917, 'Hospitalisation Details'!$A:$A, 'Hospitalisation Details'!I:I, "No Data")</f>
        <v>tier - 3</v>
      </c>
      <c r="L917" s="28" t="str">
        <f t="array" ref="L917">_xlfn.XLOOKUP($A917, 'Hospitalisation Details'!$A:$A, 'Hospitalisation Details'!J:J, "No Data")</f>
        <v>R1013</v>
      </c>
      <c r="M917" s="28" t="str">
        <f t="array" ref="M917">_xlfn.XLOOKUP($A917, 'Hospitalisation Details'!$A:$A, 'Hospitalisation Details'!E:E, "No Data")</f>
        <v>02/06/04</v>
      </c>
      <c r="N917" s="28">
        <f t="array" ref="N917">_xlfn.XLOOKUP($A917, 'Hospitalisation Details'!$A:$A, 'Hospitalisation Details'!K:K, "No Data")</f>
        <v>19</v>
      </c>
      <c r="O917" s="33">
        <f t="array" ref="O917">_xlfn.XLOOKUP($A917, 'Hospitalisation Details'!$A:$A, 'Hospitalisation Details'!G:G, "No Data")</f>
        <v>11884.05</v>
      </c>
      <c r="P917" s="28" t="str">
        <f t="array" ref="P917">_xlfn.XLOOKUP($A917, 'Hospitalisation Details'!$A:$A, 'Hospitalisation Details'!H:H, "No Data")</f>
        <v>tier - 3</v>
      </c>
    </row>
    <row r="918">
      <c r="A918" s="25" t="s">
        <v>2928</v>
      </c>
      <c r="B918" s="28" t="str">
        <f t="array" ref="B918">_xlfn.XLOOKUP($A918, 'Customer Names'!$A:$A, 'Customer Names'!B:B, "No Data")</f>
        <v>Savage</v>
      </c>
      <c r="C918" s="28">
        <f t="array" ref="C918">_xlfn.XLOOKUP($A918, 'Medical Examinations'!$A:$A, 'Medical Examinations'!B:B, "No Data")</f>
        <v>30.14</v>
      </c>
      <c r="D918" s="28">
        <f t="array" ref="D918">_xlfn.XLOOKUP($A918, 'Medical Examinations'!$A:$A, 'Medical Examinations'!C:C, "No Data")</f>
        <v>9.45</v>
      </c>
      <c r="E918" s="28" t="str">
        <f t="array" ref="E918">_xlfn.XLOOKUP($A918, 'Medical Examinations'!$A:$A, 'Medical Examinations'!D:D, "No Data")</f>
        <v>yes</v>
      </c>
      <c r="F918" s="28" t="str">
        <f t="array" ref="F918">_xlfn.XLOOKUP($A918, 'Medical Examinations'!$A:$A, 'Medical Examinations'!E:E, "No Data")</f>
        <v>No</v>
      </c>
      <c r="G918" s="28" t="str">
        <f t="array" ref="G918">_xlfn.XLOOKUP($A918, 'Medical Examinations'!$A:$A, 'Medical Examinations'!F:F, "No Data")</f>
        <v>No</v>
      </c>
      <c r="H918" s="28">
        <f t="array" ref="H918">_xlfn.XLOOKUP($A918, 'Medical Examinations'!$A:$A, 'Medical Examinations'!G:G, "No Data")</f>
        <v>0</v>
      </c>
      <c r="I918" s="28" t="str">
        <f t="array" ref="I918">_xlfn.XLOOKUP($A918, 'Medical Examinations'!$A:$A, 'Medical Examinations'!H:H, "No Data")</f>
        <v>No</v>
      </c>
      <c r="J918" s="28" t="str">
        <f t="array" ref="J918">_xlfn.XLOOKUP($A918, 'Medical Examinations'!$A:$A, 'Medical Examinations'!I:I, "No Data")</f>
        <v>Obesity</v>
      </c>
      <c r="K918" s="28" t="str">
        <f t="array" ref="K918">_xlfn.XLOOKUP($A918, 'Hospitalisation Details'!$A:$A, 'Hospitalisation Details'!I:I, "No Data")</f>
        <v>tier - 1</v>
      </c>
      <c r="L918" s="28" t="str">
        <f t="array" ref="L918">_xlfn.XLOOKUP($A918, 'Hospitalisation Details'!$A:$A, 'Hospitalisation Details'!J:J, "No Data")</f>
        <v>R1013</v>
      </c>
      <c r="M918" s="28" t="str">
        <f t="array" ref="M918">_xlfn.XLOOKUP($A918, 'Hospitalisation Details'!$A:$A, 'Hospitalisation Details'!E:E, "No Data")</f>
        <v>29/10/67</v>
      </c>
      <c r="N918" s="28">
        <f t="array" ref="N918">_xlfn.XLOOKUP($A918, 'Hospitalisation Details'!$A:$A, 'Hospitalisation Details'!K:K, "No Data")</f>
        <v>55</v>
      </c>
      <c r="O918" s="33">
        <f t="array" ref="O918">_xlfn.XLOOKUP($A918, 'Hospitalisation Details'!$A:$A, 'Hospitalisation Details'!G:G, "No Data")</f>
        <v>11881.97</v>
      </c>
      <c r="P918" s="28" t="str">
        <f t="array" ref="P918">_xlfn.XLOOKUP($A918, 'Hospitalisation Details'!$A:$A, 'Hospitalisation Details'!H:H, "No Data")</f>
        <v>tier - 3</v>
      </c>
    </row>
    <row r="919">
      <c r="A919" s="25" t="s">
        <v>2932</v>
      </c>
      <c r="B919" s="28" t="str">
        <f t="array" ref="B919">_xlfn.XLOOKUP($A919, 'Customer Names'!$A:$A, 'Customer Names'!B:B, "No Data")</f>
        <v>Hitchings</v>
      </c>
      <c r="C919" s="28">
        <f t="array" ref="C919">_xlfn.XLOOKUP($A919, 'Medical Examinations'!$A:$A, 'Medical Examinations'!B:B, "No Data")</f>
        <v>29.7</v>
      </c>
      <c r="D919" s="28">
        <f t="array" ref="D919">_xlfn.XLOOKUP($A919, 'Medical Examinations'!$A:$A, 'Medical Examinations'!C:C, "No Data")</f>
        <v>6.79</v>
      </c>
      <c r="E919" s="28" t="str">
        <f t="array" ref="E919">_xlfn.XLOOKUP($A919, 'Medical Examinations'!$A:$A, 'Medical Examinations'!D:D, "No Data")</f>
        <v>yes</v>
      </c>
      <c r="F919" s="28" t="str">
        <f t="array" ref="F919">_xlfn.XLOOKUP($A919, 'Medical Examinations'!$A:$A, 'Medical Examinations'!E:E, "No Data")</f>
        <v>No</v>
      </c>
      <c r="G919" s="28" t="str">
        <f t="array" ref="G919">_xlfn.XLOOKUP($A919, 'Medical Examinations'!$A:$A, 'Medical Examinations'!F:F, "No Data")</f>
        <v>No</v>
      </c>
      <c r="H919" s="28">
        <f t="array" ref="H919">_xlfn.XLOOKUP($A919, 'Medical Examinations'!$A:$A, 'Medical Examinations'!G:G, "No Data")</f>
        <v>0</v>
      </c>
      <c r="I919" s="28" t="str">
        <f t="array" ref="I919">_xlfn.XLOOKUP($A919, 'Medical Examinations'!$A:$A, 'Medical Examinations'!H:H, "No Data")</f>
        <v>No</v>
      </c>
      <c r="J919" s="28" t="str">
        <f t="array" ref="J919">_xlfn.XLOOKUP($A919, 'Medical Examinations'!$A:$A, 'Medical Examinations'!I:I, "No Data")</f>
        <v>Overweight</v>
      </c>
      <c r="K919" s="28" t="str">
        <f t="array" ref="K919">_xlfn.XLOOKUP($A919, 'Hospitalisation Details'!$A:$A, 'Hospitalisation Details'!I:I, "No Data")</f>
        <v>tier - 2</v>
      </c>
      <c r="L919" s="28" t="str">
        <f t="array" ref="L919">_xlfn.XLOOKUP($A919, 'Hospitalisation Details'!$A:$A, 'Hospitalisation Details'!J:J, "No Data")</f>
        <v>R1011</v>
      </c>
      <c r="M919" s="28" t="str">
        <f t="array" ref="M919">_xlfn.XLOOKUP($A919, 'Hospitalisation Details'!$A:$A, 'Hospitalisation Details'!E:E, "No Data")</f>
        <v>14/07/67</v>
      </c>
      <c r="N919" s="28">
        <f t="array" ref="N919">_xlfn.XLOOKUP($A919, 'Hospitalisation Details'!$A:$A, 'Hospitalisation Details'!K:K, "No Data")</f>
        <v>55</v>
      </c>
      <c r="O919" s="33">
        <f t="array" ref="O919">_xlfn.XLOOKUP($A919, 'Hospitalisation Details'!$A:$A, 'Hospitalisation Details'!G:G, "No Data")</f>
        <v>11881.36</v>
      </c>
      <c r="P919" s="28" t="str">
        <f t="array" ref="P919">_xlfn.XLOOKUP($A919, 'Hospitalisation Details'!$A:$A, 'Hospitalisation Details'!H:H, "No Data")</f>
        <v>tier - 3</v>
      </c>
    </row>
    <row r="920">
      <c r="A920" s="25" t="s">
        <v>2934</v>
      </c>
      <c r="B920" s="28" t="str">
        <f t="array" ref="B920">_xlfn.XLOOKUP($A920, 'Customer Names'!$A:$A, 'Customer Names'!B:B, "No Data")</f>
        <v>Truitt</v>
      </c>
      <c r="C920" s="28">
        <f t="array" ref="C920">_xlfn.XLOOKUP($A920, 'Medical Examinations'!$A:$A, 'Medical Examinations'!B:B, "No Data")</f>
        <v>32.395</v>
      </c>
      <c r="D920" s="28">
        <f t="array" ref="D920">_xlfn.XLOOKUP($A920, 'Medical Examinations'!$A:$A, 'Medical Examinations'!C:C, "No Data")</f>
        <v>11.1</v>
      </c>
      <c r="E920" s="28" t="str">
        <f t="array" ref="E920">_xlfn.XLOOKUP($A920, 'Medical Examinations'!$A:$A, 'Medical Examinations'!D:D, "No Data")</f>
        <v>yes</v>
      </c>
      <c r="F920" s="28" t="str">
        <f t="array" ref="F920">_xlfn.XLOOKUP($A920, 'Medical Examinations'!$A:$A, 'Medical Examinations'!E:E, "No Data")</f>
        <v>No</v>
      </c>
      <c r="G920" s="28" t="str">
        <f t="array" ref="G920">_xlfn.XLOOKUP($A920, 'Medical Examinations'!$A:$A, 'Medical Examinations'!F:F, "No Data")</f>
        <v>No</v>
      </c>
      <c r="H920" s="28">
        <f t="array" ref="H920">_xlfn.XLOOKUP($A920, 'Medical Examinations'!$A:$A, 'Medical Examinations'!G:G, "No Data")</f>
        <v>0</v>
      </c>
      <c r="I920" s="28" t="str">
        <f t="array" ref="I920">_xlfn.XLOOKUP($A920, 'Medical Examinations'!$A:$A, 'Medical Examinations'!H:H, "No Data")</f>
        <v>No</v>
      </c>
      <c r="J920" s="28" t="str">
        <f t="array" ref="J920">_xlfn.XLOOKUP($A920, 'Medical Examinations'!$A:$A, 'Medical Examinations'!I:I, "No Data")</f>
        <v>Obesity</v>
      </c>
      <c r="K920" s="28" t="str">
        <f t="array" ref="K920">_xlfn.XLOOKUP($A920, 'Hospitalisation Details'!$A:$A, 'Hospitalisation Details'!I:I, "No Data")</f>
        <v>tier - 3</v>
      </c>
      <c r="L920" s="28" t="str">
        <f t="array" ref="L920">_xlfn.XLOOKUP($A920, 'Hospitalisation Details'!$A:$A, 'Hospitalisation Details'!J:J, "No Data")</f>
        <v>R1024</v>
      </c>
      <c r="M920" s="28" t="str">
        <f t="array" ref="M920">_xlfn.XLOOKUP($A920, 'Hospitalisation Details'!$A:$A, 'Hospitalisation Details'!E:E, "No Data")</f>
        <v>24/08/67</v>
      </c>
      <c r="N920" s="28">
        <f t="array" ref="N920">_xlfn.XLOOKUP($A920, 'Hospitalisation Details'!$A:$A, 'Hospitalisation Details'!K:K, "No Data")</f>
        <v>55</v>
      </c>
      <c r="O920" s="33">
        <f t="array" ref="O920">_xlfn.XLOOKUP($A920, 'Hospitalisation Details'!$A:$A, 'Hospitalisation Details'!G:G, "No Data")</f>
        <v>11879.1</v>
      </c>
      <c r="P920" s="28" t="str">
        <f t="array" ref="P920">_xlfn.XLOOKUP($A920, 'Hospitalisation Details'!$A:$A, 'Hospitalisation Details'!H:H, "No Data")</f>
        <v>tier - 3</v>
      </c>
    </row>
    <row r="921">
      <c r="A921" s="25" t="s">
        <v>2937</v>
      </c>
      <c r="B921" s="28" t="str">
        <f t="array" ref="B921">_xlfn.XLOOKUP($A921, 'Customer Names'!$A:$A, 'Customer Names'!B:B, "No Data")</f>
        <v>Chang</v>
      </c>
      <c r="C921" s="28">
        <f t="array" ref="C921">_xlfn.XLOOKUP($A921, 'Medical Examinations'!$A:$A, 'Medical Examinations'!B:B, "No Data")</f>
        <v>36.64</v>
      </c>
      <c r="D921" s="28">
        <f t="array" ref="D921">_xlfn.XLOOKUP($A921, 'Medical Examinations'!$A:$A, 'Medical Examinations'!C:C, "No Data")</f>
        <v>7.26</v>
      </c>
      <c r="E921" s="28" t="str">
        <f t="array" ref="E921">_xlfn.XLOOKUP($A921, 'Medical Examinations'!$A:$A, 'Medical Examinations'!D:D, "No Data")</f>
        <v>No</v>
      </c>
      <c r="F921" s="28" t="str">
        <f t="array" ref="F921">_xlfn.XLOOKUP($A921, 'Medical Examinations'!$A:$A, 'Medical Examinations'!E:E, "No Data")</f>
        <v>No</v>
      </c>
      <c r="G921" s="28" t="str">
        <f t="array" ref="G921">_xlfn.XLOOKUP($A921, 'Medical Examinations'!$A:$A, 'Medical Examinations'!F:F, "No Data")</f>
        <v>No</v>
      </c>
      <c r="H921" s="28">
        <f t="array" ref="H921">_xlfn.XLOOKUP($A921, 'Medical Examinations'!$A:$A, 'Medical Examinations'!G:G, "No Data")</f>
        <v>0</v>
      </c>
      <c r="I921" s="28" t="str">
        <f t="array" ref="I921">_xlfn.XLOOKUP($A921, 'Medical Examinations'!$A:$A, 'Medical Examinations'!H:H, "No Data")</f>
        <v>No</v>
      </c>
      <c r="J921" s="28" t="str">
        <f t="array" ref="J921">_xlfn.XLOOKUP($A921, 'Medical Examinations'!$A:$A, 'Medical Examinations'!I:I, "No Data")</f>
        <v>Obesity</v>
      </c>
      <c r="K921" s="28" t="str">
        <f t="array" ref="K921">_xlfn.XLOOKUP($A921, 'Hospitalisation Details'!$A:$A, 'Hospitalisation Details'!I:I, "No Data")</f>
        <v>tier - 3</v>
      </c>
      <c r="L921" s="28" t="str">
        <f t="array" ref="L921">_xlfn.XLOOKUP($A921, 'Hospitalisation Details'!$A:$A, 'Hospitalisation Details'!J:J, "No Data")</f>
        <v>R1011</v>
      </c>
      <c r="M921" s="28" t="str">
        <f t="array" ref="M921">_xlfn.XLOOKUP($A921, 'Hospitalisation Details'!$A:$A, 'Hospitalisation Details'!E:E, "No Data")</f>
        <v>07/07/74</v>
      </c>
      <c r="N921" s="28">
        <f t="array" ref="N921">_xlfn.XLOOKUP($A921, 'Hospitalisation Details'!$A:$A, 'Hospitalisation Details'!K:K, "No Data")</f>
        <v>48</v>
      </c>
      <c r="O921" s="33">
        <f t="array" ref="O921">_xlfn.XLOOKUP($A921, 'Hospitalisation Details'!$A:$A, 'Hospitalisation Details'!G:G, "No Data")</f>
        <v>11858.56</v>
      </c>
      <c r="P921" s="28" t="str">
        <f t="array" ref="P921">_xlfn.XLOOKUP($A921, 'Hospitalisation Details'!$A:$A, 'Hospitalisation Details'!H:H, "No Data")</f>
        <v>tier - 3</v>
      </c>
    </row>
    <row r="922">
      <c r="A922" s="25" t="s">
        <v>2941</v>
      </c>
      <c r="B922" s="28" t="str">
        <f t="array" ref="B922">_xlfn.XLOOKUP($A922, 'Customer Names'!$A:$A, 'Customer Names'!B:B, "No Data")</f>
        <v>Frey</v>
      </c>
      <c r="C922" s="28">
        <f t="array" ref="C922">_xlfn.XLOOKUP($A922, 'Medical Examinations'!$A:$A, 'Medical Examinations'!B:B, "No Data")</f>
        <v>39.05</v>
      </c>
      <c r="D922" s="28">
        <f t="array" ref="D922">_xlfn.XLOOKUP($A922, 'Medical Examinations'!$A:$A, 'Medical Examinations'!C:C, "No Data")</f>
        <v>5.27</v>
      </c>
      <c r="E922" s="28" t="str">
        <f t="array" ref="E922">_xlfn.XLOOKUP($A922, 'Medical Examinations'!$A:$A, 'Medical Examinations'!D:D, "No Data")</f>
        <v>yes</v>
      </c>
      <c r="F922" s="28" t="str">
        <f t="array" ref="F922">_xlfn.XLOOKUP($A922, 'Medical Examinations'!$A:$A, 'Medical Examinations'!E:E, "No Data")</f>
        <v>No</v>
      </c>
      <c r="G922" s="28" t="str">
        <f t="array" ref="G922">_xlfn.XLOOKUP($A922, 'Medical Examinations'!$A:$A, 'Medical Examinations'!F:F, "No Data")</f>
        <v>No</v>
      </c>
      <c r="H922" s="28">
        <f t="array" ref="H922">_xlfn.XLOOKUP($A922, 'Medical Examinations'!$A:$A, 'Medical Examinations'!G:G, "No Data")</f>
        <v>1</v>
      </c>
      <c r="I922" s="28" t="str">
        <f t="array" ref="I922">_xlfn.XLOOKUP($A922, 'Medical Examinations'!$A:$A, 'Medical Examinations'!H:H, "No Data")</f>
        <v>No</v>
      </c>
      <c r="J922" s="28" t="str">
        <f t="array" ref="J922">_xlfn.XLOOKUP($A922, 'Medical Examinations'!$A:$A, 'Medical Examinations'!I:I, "No Data")</f>
        <v>Obesity</v>
      </c>
      <c r="K922" s="28" t="str">
        <f t="array" ref="K922">_xlfn.XLOOKUP($A922, 'Hospitalisation Details'!$A:$A, 'Hospitalisation Details'!I:I, "No Data")</f>
        <v>tier - 2</v>
      </c>
      <c r="L922" s="28" t="str">
        <f t="array" ref="L922">_xlfn.XLOOKUP($A922, 'Hospitalisation Details'!$A:$A, 'Hospitalisation Details'!J:J, "No Data")</f>
        <v>R1013</v>
      </c>
      <c r="M922" s="28" t="str">
        <f t="array" ref="M922">_xlfn.XLOOKUP($A922, 'Hospitalisation Details'!$A:$A, 'Hospitalisation Details'!E:E, "No Data")</f>
        <v>29/09/64</v>
      </c>
      <c r="N922" s="28">
        <f t="array" ref="N922">_xlfn.XLOOKUP($A922, 'Hospitalisation Details'!$A:$A, 'Hospitalisation Details'!K:K, "No Data")</f>
        <v>58</v>
      </c>
      <c r="O922" s="33">
        <f t="array" ref="O922">_xlfn.XLOOKUP($A922, 'Hospitalisation Details'!$A:$A, 'Hospitalisation Details'!G:G, "No Data")</f>
        <v>11856.41</v>
      </c>
      <c r="P922" s="28" t="str">
        <f t="array" ref="P922">_xlfn.XLOOKUP($A922, 'Hospitalisation Details'!$A:$A, 'Hospitalisation Details'!H:H, "No Data")</f>
        <v>tier - 3</v>
      </c>
    </row>
    <row r="923">
      <c r="A923" s="25" t="s">
        <v>2945</v>
      </c>
      <c r="B923" s="28" t="str">
        <f t="array" ref="B923">_xlfn.XLOOKUP($A923, 'Customer Names'!$A:$A, 'Customer Names'!B:B, "No Data")</f>
        <v>Krishna</v>
      </c>
      <c r="C923" s="28">
        <f t="array" ref="C923">_xlfn.XLOOKUP($A923, 'Medical Examinations'!$A:$A, 'Medical Examinations'!B:B, "No Data")</f>
        <v>33.1</v>
      </c>
      <c r="D923" s="28">
        <f t="array" ref="D923">_xlfn.XLOOKUP($A923, 'Medical Examinations'!$A:$A, 'Medical Examinations'!C:C, "No Data")</f>
        <v>5.46</v>
      </c>
      <c r="E923" s="28" t="str">
        <f t="array" ref="E923">_xlfn.XLOOKUP($A923, 'Medical Examinations'!$A:$A, 'Medical Examinations'!D:D, "No Data")</f>
        <v>yes</v>
      </c>
      <c r="F923" s="28" t="str">
        <f t="array" ref="F923">_xlfn.XLOOKUP($A923, 'Medical Examinations'!$A:$A, 'Medical Examinations'!E:E, "No Data")</f>
        <v>No</v>
      </c>
      <c r="G923" s="28" t="str">
        <f t="array" ref="G923">_xlfn.XLOOKUP($A923, 'Medical Examinations'!$A:$A, 'Medical Examinations'!F:F, "No Data")</f>
        <v>No</v>
      </c>
      <c r="H923" s="28">
        <f t="array" ref="H923">_xlfn.XLOOKUP($A923, 'Medical Examinations'!$A:$A, 'Medical Examinations'!G:G, "No Data")</f>
        <v>1</v>
      </c>
      <c r="I923" s="28" t="str">
        <f t="array" ref="I923">_xlfn.XLOOKUP($A923, 'Medical Examinations'!$A:$A, 'Medical Examinations'!H:H, "No Data")</f>
        <v>No</v>
      </c>
      <c r="J923" s="28" t="str">
        <f t="array" ref="J923">_xlfn.XLOOKUP($A923, 'Medical Examinations'!$A:$A, 'Medical Examinations'!I:I, "No Data")</f>
        <v>Obesity</v>
      </c>
      <c r="K923" s="28" t="str">
        <f t="array" ref="K923">_xlfn.XLOOKUP($A923, 'Hospitalisation Details'!$A:$A, 'Hospitalisation Details'!I:I, "No Data")</f>
        <v>tier - 2</v>
      </c>
      <c r="L923" s="28" t="str">
        <f t="array" ref="L923">_xlfn.XLOOKUP($A923, 'Hospitalisation Details'!$A:$A, 'Hospitalisation Details'!J:J, "No Data")</f>
        <v>R1011</v>
      </c>
      <c r="M923" s="28" t="str">
        <f t="array" ref="M923">_xlfn.XLOOKUP($A923, 'Hospitalisation Details'!$A:$A, 'Hospitalisation Details'!E:E, "No Data")</f>
        <v>27/06/64</v>
      </c>
      <c r="N923" s="28">
        <f t="array" ref="N923">_xlfn.XLOOKUP($A923, 'Hospitalisation Details'!$A:$A, 'Hospitalisation Details'!K:K, "No Data")</f>
        <v>58</v>
      </c>
      <c r="O923" s="33">
        <f t="array" ref="O923">_xlfn.XLOOKUP($A923, 'Hospitalisation Details'!$A:$A, 'Hospitalisation Details'!G:G, "No Data")</f>
        <v>11848.14</v>
      </c>
      <c r="P923" s="28" t="str">
        <f t="array" ref="P923">_xlfn.XLOOKUP($A923, 'Hospitalisation Details'!$A:$A, 'Hospitalisation Details'!H:H, "No Data")</f>
        <v>tier - 3</v>
      </c>
    </row>
    <row r="924">
      <c r="A924" s="25" t="s">
        <v>2949</v>
      </c>
      <c r="B924" s="28" t="str">
        <f t="array" ref="B924">_xlfn.XLOOKUP($A924, 'Customer Names'!$A:$A, 'Customer Names'!B:B, "No Data")</f>
        <v>Maher</v>
      </c>
      <c r="C924" s="28">
        <f t="array" ref="C924">_xlfn.XLOOKUP($A924, 'Medical Examinations'!$A:$A, 'Medical Examinations'!B:B, "No Data")</f>
        <v>31.825</v>
      </c>
      <c r="D924" s="28">
        <f t="array" ref="D924">_xlfn.XLOOKUP($A924, 'Medical Examinations'!$A:$A, 'Medical Examinations'!C:C, "No Data")</f>
        <v>8.13</v>
      </c>
      <c r="E924" s="28" t="str">
        <f t="array" ref="E924">_xlfn.XLOOKUP($A924, 'Medical Examinations'!$A:$A, 'Medical Examinations'!D:D, "No Data")</f>
        <v>No</v>
      </c>
      <c r="F924" s="28" t="str">
        <f t="array" ref="F924">_xlfn.XLOOKUP($A924, 'Medical Examinations'!$A:$A, 'Medical Examinations'!E:E, "No Data")</f>
        <v>No</v>
      </c>
      <c r="G924" s="28" t="str">
        <f t="array" ref="G924">_xlfn.XLOOKUP($A924, 'Medical Examinations'!$A:$A, 'Medical Examinations'!F:F, "No Data")</f>
        <v>No</v>
      </c>
      <c r="H924" s="28">
        <f t="array" ref="H924">_xlfn.XLOOKUP($A924, 'Medical Examinations'!$A:$A, 'Medical Examinations'!G:G, "No Data")</f>
        <v>0</v>
      </c>
      <c r="I924" s="28" t="str">
        <f t="array" ref="I924">_xlfn.XLOOKUP($A924, 'Medical Examinations'!$A:$A, 'Medical Examinations'!H:H, "No Data")</f>
        <v>No</v>
      </c>
      <c r="J924" s="28" t="str">
        <f t="array" ref="J924">_xlfn.XLOOKUP($A924, 'Medical Examinations'!$A:$A, 'Medical Examinations'!I:I, "No Data")</f>
        <v>Obesity</v>
      </c>
      <c r="K924" s="28" t="str">
        <f t="array" ref="K924">_xlfn.XLOOKUP($A924, 'Hospitalisation Details'!$A:$A, 'Hospitalisation Details'!I:I, "No Data")</f>
        <v>tier - 3</v>
      </c>
      <c r="L924" s="28" t="str">
        <f t="array" ref="L924">_xlfn.XLOOKUP($A924, 'Hospitalisation Details'!$A:$A, 'Hospitalisation Details'!J:J, "No Data")</f>
        <v>R1012</v>
      </c>
      <c r="M924" s="28" t="str">
        <f t="array" ref="M924">_xlfn.XLOOKUP($A924, 'Hospitalisation Details'!$A:$A, 'Hospitalisation Details'!E:E, "No Data")</f>
        <v>10/11/65</v>
      </c>
      <c r="N924" s="28">
        <f t="array" ref="N924">_xlfn.XLOOKUP($A924, 'Hospitalisation Details'!$A:$A, 'Hospitalisation Details'!K:K, "No Data")</f>
        <v>57</v>
      </c>
      <c r="O924" s="33">
        <f t="array" ref="O924">_xlfn.XLOOKUP($A924, 'Hospitalisation Details'!$A:$A, 'Hospitalisation Details'!G:G, "No Data")</f>
        <v>11842.62</v>
      </c>
      <c r="P924" s="28" t="str">
        <f t="array" ref="P924">_xlfn.XLOOKUP($A924, 'Hospitalisation Details'!$A:$A, 'Hospitalisation Details'!H:H, "No Data")</f>
        <v>tier - 3</v>
      </c>
    </row>
    <row r="925">
      <c r="A925" s="25" t="s">
        <v>2952</v>
      </c>
      <c r="B925" s="28" t="str">
        <f t="array" ref="B925">_xlfn.XLOOKUP($A925, 'Customer Names'!$A:$A, 'Customer Names'!B:B, "No Data")</f>
        <v>Boivin</v>
      </c>
      <c r="C925" s="28">
        <f t="array" ref="C925">_xlfn.XLOOKUP($A925, 'Medical Examinations'!$A:$A, 'Medical Examinations'!B:B, "No Data")</f>
        <v>29</v>
      </c>
      <c r="D925" s="28">
        <f t="array" ref="D925">_xlfn.XLOOKUP($A925, 'Medical Examinations'!$A:$A, 'Medical Examinations'!C:C, "No Data")</f>
        <v>4.25</v>
      </c>
      <c r="E925" s="28" t="str">
        <f t="array" ref="E925">_xlfn.XLOOKUP($A925, 'Medical Examinations'!$A:$A, 'Medical Examinations'!D:D, "No Data")</f>
        <v>yes</v>
      </c>
      <c r="F925" s="28" t="str">
        <f t="array" ref="F925">_xlfn.XLOOKUP($A925, 'Medical Examinations'!$A:$A, 'Medical Examinations'!E:E, "No Data")</f>
        <v>No</v>
      </c>
      <c r="G925" s="28" t="str">
        <f t="array" ref="G925">_xlfn.XLOOKUP($A925, 'Medical Examinations'!$A:$A, 'Medical Examinations'!F:F, "No Data")</f>
        <v>No</v>
      </c>
      <c r="H925" s="28">
        <f t="array" ref="H925">_xlfn.XLOOKUP($A925, 'Medical Examinations'!$A:$A, 'Medical Examinations'!G:G, "No Data")</f>
        <v>1</v>
      </c>
      <c r="I925" s="28" t="str">
        <f t="array" ref="I925">_xlfn.XLOOKUP($A925, 'Medical Examinations'!$A:$A, 'Medical Examinations'!H:H, "No Data")</f>
        <v>No</v>
      </c>
      <c r="J925" s="28" t="str">
        <f t="array" ref="J925">_xlfn.XLOOKUP($A925, 'Medical Examinations'!$A:$A, 'Medical Examinations'!I:I, "No Data")</f>
        <v>Overweight</v>
      </c>
      <c r="K925" s="28" t="str">
        <f t="array" ref="K925">_xlfn.XLOOKUP($A925, 'Hospitalisation Details'!$A:$A, 'Hospitalisation Details'!I:I, "No Data")</f>
        <v>tier - 2</v>
      </c>
      <c r="L925" s="28" t="str">
        <f t="array" ref="L925">_xlfn.XLOOKUP($A925, 'Hospitalisation Details'!$A:$A, 'Hospitalisation Details'!J:J, "No Data")</f>
        <v>R1011</v>
      </c>
      <c r="M925" s="28" t="str">
        <f t="array" ref="M925">_xlfn.XLOOKUP($A925, 'Hospitalisation Details'!$A:$A, 'Hospitalisation Details'!E:E, "No Data")</f>
        <v>11/07/64</v>
      </c>
      <c r="N925" s="28">
        <f t="array" ref="N925">_xlfn.XLOOKUP($A925, 'Hospitalisation Details'!$A:$A, 'Hospitalisation Details'!K:K, "No Data")</f>
        <v>58</v>
      </c>
      <c r="O925" s="33">
        <f t="array" ref="O925">_xlfn.XLOOKUP($A925, 'Hospitalisation Details'!$A:$A, 'Hospitalisation Details'!G:G, "No Data")</f>
        <v>11842.44</v>
      </c>
      <c r="P925" s="28" t="str">
        <f t="array" ref="P925">_xlfn.XLOOKUP($A925, 'Hospitalisation Details'!$A:$A, 'Hospitalisation Details'!H:H, "No Data")</f>
        <v>tier - 3</v>
      </c>
    </row>
    <row r="926">
      <c r="A926" s="25" t="s">
        <v>2956</v>
      </c>
      <c r="B926" s="28" t="str">
        <f t="array" ref="B926">_xlfn.XLOOKUP($A926, 'Customer Names'!$A:$A, 'Customer Names'!B:B, "No Data")</f>
        <v>McAlister</v>
      </c>
      <c r="C926" s="28">
        <f t="array" ref="C926">_xlfn.XLOOKUP($A926, 'Medical Examinations'!$A:$A, 'Medical Examinations'!B:B, "No Data")</f>
        <v>30.495</v>
      </c>
      <c r="D926" s="28">
        <f t="array" ref="D926">_xlfn.XLOOKUP($A926, 'Medical Examinations'!$A:$A, 'Medical Examinations'!C:C, "No Data")</f>
        <v>8.68</v>
      </c>
      <c r="E926" s="28" t="str">
        <f t="array" ref="E926">_xlfn.XLOOKUP($A926, 'Medical Examinations'!$A:$A, 'Medical Examinations'!D:D, "No Data")</f>
        <v>No</v>
      </c>
      <c r="F926" s="28" t="str">
        <f t="array" ref="F926">_xlfn.XLOOKUP($A926, 'Medical Examinations'!$A:$A, 'Medical Examinations'!E:E, "No Data")</f>
        <v>No</v>
      </c>
      <c r="G926" s="28" t="str">
        <f t="array" ref="G926">_xlfn.XLOOKUP($A926, 'Medical Examinations'!$A:$A, 'Medical Examinations'!F:F, "No Data")</f>
        <v>No</v>
      </c>
      <c r="H926" s="28">
        <f t="array" ref="H926">_xlfn.XLOOKUP($A926, 'Medical Examinations'!$A:$A, 'Medical Examinations'!G:G, "No Data")</f>
        <v>0</v>
      </c>
      <c r="I926" s="28" t="str">
        <f t="array" ref="I926">_xlfn.XLOOKUP($A926, 'Medical Examinations'!$A:$A, 'Medical Examinations'!H:H, "No Data")</f>
        <v>No</v>
      </c>
      <c r="J926" s="28" t="str">
        <f t="array" ref="J926">_xlfn.XLOOKUP($A926, 'Medical Examinations'!$A:$A, 'Medical Examinations'!I:I, "No Data")</f>
        <v>Obesity</v>
      </c>
      <c r="K926" s="28" t="str">
        <f t="array" ref="K926">_xlfn.XLOOKUP($A926, 'Hospitalisation Details'!$A:$A, 'Hospitalisation Details'!I:I, "No Data")</f>
        <v>tier - 2</v>
      </c>
      <c r="L926" s="28" t="str">
        <f t="array" ref="L926">_xlfn.XLOOKUP($A926, 'Hospitalisation Details'!$A:$A, 'Hospitalisation Details'!J:J, "No Data")</f>
        <v>R1012</v>
      </c>
      <c r="M926" s="28" t="str">
        <f t="array" ref="M926">_xlfn.XLOOKUP($A926, 'Hospitalisation Details'!$A:$A, 'Hospitalisation Details'!E:E, "No Data")</f>
        <v>25/09/65</v>
      </c>
      <c r="N926" s="28">
        <f t="array" ref="N926">_xlfn.XLOOKUP($A926, 'Hospitalisation Details'!$A:$A, 'Hospitalisation Details'!K:K, "No Data")</f>
        <v>57</v>
      </c>
      <c r="O926" s="33">
        <f t="array" ref="O926">_xlfn.XLOOKUP($A926, 'Hospitalisation Details'!$A:$A, 'Hospitalisation Details'!G:G, "No Data")</f>
        <v>11840.78</v>
      </c>
      <c r="P926" s="28" t="str">
        <f t="array" ref="P926">_xlfn.XLOOKUP($A926, 'Hospitalisation Details'!$A:$A, 'Hospitalisation Details'!H:H, "No Data")</f>
        <v>tier - 3</v>
      </c>
    </row>
    <row r="927">
      <c r="A927" s="25" t="s">
        <v>2960</v>
      </c>
      <c r="B927" s="28" t="str">
        <f t="array" ref="B927">_xlfn.XLOOKUP($A927, 'Customer Names'!$A:$A, 'Customer Names'!B:B, "No Data")</f>
        <v>Akhmedova</v>
      </c>
      <c r="C927" s="28">
        <f t="array" ref="C927">_xlfn.XLOOKUP($A927, 'Medical Examinations'!$A:$A, 'Medical Examinations'!B:B, "No Data")</f>
        <v>25.2</v>
      </c>
      <c r="D927" s="28">
        <f t="array" ref="D927">_xlfn.XLOOKUP($A927, 'Medical Examinations'!$A:$A, 'Medical Examinations'!C:C, "No Data")</f>
        <v>6.25</v>
      </c>
      <c r="E927" s="28" t="str">
        <f t="array" ref="E927">_xlfn.XLOOKUP($A927, 'Medical Examinations'!$A:$A, 'Medical Examinations'!D:D, "No Data")</f>
        <v>yes</v>
      </c>
      <c r="F927" s="28" t="str">
        <f t="array" ref="F927">_xlfn.XLOOKUP($A927, 'Medical Examinations'!$A:$A, 'Medical Examinations'!E:E, "No Data")</f>
        <v>No</v>
      </c>
      <c r="G927" s="28" t="str">
        <f t="array" ref="G927">_xlfn.XLOOKUP($A927, 'Medical Examinations'!$A:$A, 'Medical Examinations'!F:F, "No Data")</f>
        <v>No</v>
      </c>
      <c r="H927" s="28">
        <f t="array" ref="H927">_xlfn.XLOOKUP($A927, 'Medical Examinations'!$A:$A, 'Medical Examinations'!G:G, "No Data")</f>
        <v>1</v>
      </c>
      <c r="I927" s="28" t="str">
        <f t="array" ref="I927">_xlfn.XLOOKUP($A927, 'Medical Examinations'!$A:$A, 'Medical Examinations'!H:H, "No Data")</f>
        <v>No</v>
      </c>
      <c r="J927" s="28" t="str">
        <f t="array" ref="J927">_xlfn.XLOOKUP($A927, 'Medical Examinations'!$A:$A, 'Medical Examinations'!I:I, "No Data")</f>
        <v>Overweight</v>
      </c>
      <c r="K927" s="28" t="str">
        <f t="array" ref="K927">_xlfn.XLOOKUP($A927, 'Hospitalisation Details'!$A:$A, 'Hospitalisation Details'!I:I, "No Data")</f>
        <v>tier - 3</v>
      </c>
      <c r="L927" s="28" t="str">
        <f t="array" ref="L927">_xlfn.XLOOKUP($A927, 'Hospitalisation Details'!$A:$A, 'Hospitalisation Details'!J:J, "No Data")</f>
        <v>R1011</v>
      </c>
      <c r="M927" s="28" t="str">
        <f t="array" ref="M927">_xlfn.XLOOKUP($A927, 'Hospitalisation Details'!$A:$A, 'Hospitalisation Details'!E:E, "No Data")</f>
        <v>11/09/64</v>
      </c>
      <c r="N927" s="28">
        <f t="array" ref="N927">_xlfn.XLOOKUP($A927, 'Hospitalisation Details'!$A:$A, 'Hospitalisation Details'!K:K, "No Data")</f>
        <v>58</v>
      </c>
      <c r="O927" s="33">
        <f t="array" ref="O927">_xlfn.XLOOKUP($A927, 'Hospitalisation Details'!$A:$A, 'Hospitalisation Details'!G:G, "No Data")</f>
        <v>11837.16</v>
      </c>
      <c r="P927" s="28" t="str">
        <f t="array" ref="P927">_xlfn.XLOOKUP($A927, 'Hospitalisation Details'!$A:$A, 'Hospitalisation Details'!H:H, "No Data")</f>
        <v>tier - 3</v>
      </c>
    </row>
    <row r="928">
      <c r="A928" s="25" t="s">
        <v>2963</v>
      </c>
      <c r="B928" s="28" t="str">
        <f t="array" ref="B928">_xlfn.XLOOKUP($A928, 'Customer Names'!$A:$A, 'Customer Names'!B:B, "No Data")</f>
        <v>Tucker</v>
      </c>
      <c r="C928" s="28">
        <f t="array" ref="C928">_xlfn.XLOOKUP($A928, 'Medical Examinations'!$A:$A, 'Medical Examinations'!B:B, "No Data")</f>
        <v>22.77</v>
      </c>
      <c r="D928" s="28">
        <f t="array" ref="D928">_xlfn.XLOOKUP($A928, 'Medical Examinations'!$A:$A, 'Medical Examinations'!C:C, "No Data")</f>
        <v>4.47</v>
      </c>
      <c r="E928" s="28" t="str">
        <f t="array" ref="E928">_xlfn.XLOOKUP($A928, 'Medical Examinations'!$A:$A, 'Medical Examinations'!D:D, "No Data")</f>
        <v>yes</v>
      </c>
      <c r="F928" s="28" t="str">
        <f t="array" ref="F928">_xlfn.XLOOKUP($A928, 'Medical Examinations'!$A:$A, 'Medical Examinations'!E:E, "No Data")</f>
        <v>No</v>
      </c>
      <c r="G928" s="28" t="str">
        <f t="array" ref="G928">_xlfn.XLOOKUP($A928, 'Medical Examinations'!$A:$A, 'Medical Examinations'!F:F, "No Data")</f>
        <v>No</v>
      </c>
      <c r="H928" s="28">
        <f t="array" ref="H928">_xlfn.XLOOKUP($A928, 'Medical Examinations'!$A:$A, 'Medical Examinations'!G:G, "No Data")</f>
        <v>1</v>
      </c>
      <c r="I928" s="28" t="str">
        <f t="array" ref="I928">_xlfn.XLOOKUP($A928, 'Medical Examinations'!$A:$A, 'Medical Examinations'!H:H, "No Data")</f>
        <v>No</v>
      </c>
      <c r="J928" s="28" t="str">
        <f t="array" ref="J928">_xlfn.XLOOKUP($A928, 'Medical Examinations'!$A:$A, 'Medical Examinations'!I:I, "No Data")</f>
        <v>Normal Weight</v>
      </c>
      <c r="K928" s="28" t="str">
        <f t="array" ref="K928">_xlfn.XLOOKUP($A928, 'Hospitalisation Details'!$A:$A, 'Hospitalisation Details'!I:I, "No Data")</f>
        <v>tier - 3</v>
      </c>
      <c r="L928" s="28" t="str">
        <f t="array" ref="L928">_xlfn.XLOOKUP($A928, 'Hospitalisation Details'!$A:$A, 'Hospitalisation Details'!J:J, "No Data")</f>
        <v>R1013</v>
      </c>
      <c r="M928" s="28" t="str">
        <f t="array" ref="M928">_xlfn.XLOOKUP($A928, 'Hospitalisation Details'!$A:$A, 'Hospitalisation Details'!E:E, "No Data")</f>
        <v>27/06/64</v>
      </c>
      <c r="N928" s="28">
        <f t="array" ref="N928">_xlfn.XLOOKUP($A928, 'Hospitalisation Details'!$A:$A, 'Hospitalisation Details'!K:K, "No Data")</f>
        <v>58</v>
      </c>
      <c r="O928" s="33">
        <f t="array" ref="O928">_xlfn.XLOOKUP($A928, 'Hospitalisation Details'!$A:$A, 'Hospitalisation Details'!G:G, "No Data")</f>
        <v>11833.78</v>
      </c>
      <c r="P928" s="28" t="str">
        <f t="array" ref="P928">_xlfn.XLOOKUP($A928, 'Hospitalisation Details'!$A:$A, 'Hospitalisation Details'!H:H, "No Data")</f>
        <v>tier - 3</v>
      </c>
    </row>
    <row r="929">
      <c r="A929" s="25" t="s">
        <v>2966</v>
      </c>
      <c r="B929" s="28" t="str">
        <f t="array" ref="B929">_xlfn.XLOOKUP($A929, 'Customer Names'!$A:$A, 'Customer Names'!B:B, "No Data")</f>
        <v>Gramelspacher</v>
      </c>
      <c r="C929" s="28">
        <f t="array" ref="C929">_xlfn.XLOOKUP($A929, 'Medical Examinations'!$A:$A, 'Medical Examinations'!B:B, "No Data")</f>
        <v>23.18</v>
      </c>
      <c r="D929" s="28">
        <f t="array" ref="D929">_xlfn.XLOOKUP($A929, 'Medical Examinations'!$A:$A, 'Medical Examinations'!C:C, "No Data")</f>
        <v>8.31</v>
      </c>
      <c r="E929" s="28" t="str">
        <f t="array" ref="E929">_xlfn.XLOOKUP($A929, 'Medical Examinations'!$A:$A, 'Medical Examinations'!D:D, "No Data")</f>
        <v>No</v>
      </c>
      <c r="F929" s="28" t="str">
        <f t="array" ref="F929">_xlfn.XLOOKUP($A929, 'Medical Examinations'!$A:$A, 'Medical Examinations'!E:E, "No Data")</f>
        <v>No</v>
      </c>
      <c r="G929" s="28" t="str">
        <f t="array" ref="G929">_xlfn.XLOOKUP($A929, 'Medical Examinations'!$A:$A, 'Medical Examinations'!F:F, "No Data")</f>
        <v>No</v>
      </c>
      <c r="H929" s="28">
        <f t="array" ref="H929">_xlfn.XLOOKUP($A929, 'Medical Examinations'!$A:$A, 'Medical Examinations'!G:G, "No Data")</f>
        <v>0</v>
      </c>
      <c r="I929" s="28" t="str">
        <f t="array" ref="I929">_xlfn.XLOOKUP($A929, 'Medical Examinations'!$A:$A, 'Medical Examinations'!H:H, "No Data")</f>
        <v>No</v>
      </c>
      <c r="J929" s="28" t="str">
        <f t="array" ref="J929">_xlfn.XLOOKUP($A929, 'Medical Examinations'!$A:$A, 'Medical Examinations'!I:I, "No Data")</f>
        <v>Normal Weight</v>
      </c>
      <c r="K929" s="28" t="str">
        <f t="array" ref="K929">_xlfn.XLOOKUP($A929, 'Hospitalisation Details'!$A:$A, 'Hospitalisation Details'!I:I, "No Data")</f>
        <v>tier - 1</v>
      </c>
      <c r="L929" s="28" t="str">
        <f t="array" ref="L929">_xlfn.XLOOKUP($A929, 'Hospitalisation Details'!$A:$A, 'Hospitalisation Details'!J:J, "No Data")</f>
        <v>R1012</v>
      </c>
      <c r="M929" s="28" t="str">
        <f t="array" ref="M929">_xlfn.XLOOKUP($A929, 'Hospitalisation Details'!$A:$A, 'Hospitalisation Details'!E:E, "No Data")</f>
        <v>03/10/65</v>
      </c>
      <c r="N929" s="28">
        <f t="array" ref="N929">_xlfn.XLOOKUP($A929, 'Hospitalisation Details'!$A:$A, 'Hospitalisation Details'!K:K, "No Data")</f>
        <v>57</v>
      </c>
      <c r="O929" s="33">
        <f t="array" ref="O929">_xlfn.XLOOKUP($A929, 'Hospitalisation Details'!$A:$A, 'Hospitalisation Details'!G:G, "No Data")</f>
        <v>11830.61</v>
      </c>
      <c r="P929" s="28" t="str">
        <f t="array" ref="P929">_xlfn.XLOOKUP($A929, 'Hospitalisation Details'!$A:$A, 'Hospitalisation Details'!H:H, "No Data")</f>
        <v>tier - 3</v>
      </c>
    </row>
    <row r="930">
      <c r="A930" s="25" t="s">
        <v>2969</v>
      </c>
      <c r="B930" s="28" t="str">
        <f t="array" ref="B930">_xlfn.XLOOKUP($A930, 'Customer Names'!$A:$A, 'Customer Names'!B:B, "No Data")</f>
        <v>Goldsmith</v>
      </c>
      <c r="C930" s="28">
        <f t="array" ref="C930">_xlfn.XLOOKUP($A930, 'Medical Examinations'!$A:$A, 'Medical Examinations'!B:B, "No Data")</f>
        <v>35.41</v>
      </c>
      <c r="D930" s="28">
        <f t="array" ref="D930">_xlfn.XLOOKUP($A930, 'Medical Examinations'!$A:$A, 'Medical Examinations'!C:C, "No Data")</f>
        <v>5.68</v>
      </c>
      <c r="E930" s="28" t="str">
        <f t="array" ref="E930">_xlfn.XLOOKUP($A930, 'Medical Examinations'!$A:$A, 'Medical Examinations'!D:D, "No Data")</f>
        <v>No</v>
      </c>
      <c r="F930" s="28" t="str">
        <f t="array" ref="F930">_xlfn.XLOOKUP($A930, 'Medical Examinations'!$A:$A, 'Medical Examinations'!E:E, "No Data")</f>
        <v>No</v>
      </c>
      <c r="G930" s="28" t="str">
        <f t="array" ref="G930">_xlfn.XLOOKUP($A930, 'Medical Examinations'!$A:$A, 'Medical Examinations'!F:F, "No Data")</f>
        <v>No</v>
      </c>
      <c r="H930" s="28">
        <f t="array" ref="H930">_xlfn.XLOOKUP($A930, 'Medical Examinations'!$A:$A, 'Medical Examinations'!G:G, "No Data")</f>
        <v>0</v>
      </c>
      <c r="I930" s="28" t="str">
        <f t="array" ref="I930">_xlfn.XLOOKUP($A930, 'Medical Examinations'!$A:$A, 'Medical Examinations'!H:H, "No Data")</f>
        <v>No</v>
      </c>
      <c r="J930" s="28" t="str">
        <f t="array" ref="J930">_xlfn.XLOOKUP($A930, 'Medical Examinations'!$A:$A, 'Medical Examinations'!I:I, "No Data")</f>
        <v>Obesity</v>
      </c>
      <c r="K930" s="28" t="str">
        <f t="array" ref="K930">_xlfn.XLOOKUP($A930, 'Hospitalisation Details'!$A:$A, 'Hospitalisation Details'!I:I, "No Data")</f>
        <v>tier - 3</v>
      </c>
      <c r="L930" s="28" t="str">
        <f t="array" ref="L930">_xlfn.XLOOKUP($A930, 'Hospitalisation Details'!$A:$A, 'Hospitalisation Details'!J:J, "No Data")</f>
        <v>R1026</v>
      </c>
      <c r="M930" s="28" t="str">
        <f t="array" ref="M930">_xlfn.XLOOKUP($A930, 'Hospitalisation Details'!$A:$A, 'Hospitalisation Details'!E:E, "No Data")</f>
        <v>20/11/82</v>
      </c>
      <c r="N930" s="28">
        <f t="array" ref="N930">_xlfn.XLOOKUP($A930, 'Hospitalisation Details'!$A:$A, 'Hospitalisation Details'!K:K, "No Data")</f>
        <v>40</v>
      </c>
      <c r="O930" s="33">
        <f t="array" ref="O930">_xlfn.XLOOKUP($A930, 'Hospitalisation Details'!$A:$A, 'Hospitalisation Details'!G:G, "No Data")</f>
        <v>11773.06</v>
      </c>
      <c r="P930" s="28" t="str">
        <f t="array" ref="P930">_xlfn.XLOOKUP($A930, 'Hospitalisation Details'!$A:$A, 'Hospitalisation Details'!H:H, "No Data")</f>
        <v>tier - 3</v>
      </c>
    </row>
    <row r="931">
      <c r="A931" s="25" t="s">
        <v>2973</v>
      </c>
      <c r="B931" s="28" t="str">
        <f t="array" ref="B931">_xlfn.XLOOKUP($A931, 'Customer Names'!$A:$A, 'Customer Names'!B:B, "No Data")</f>
        <v>Tranter</v>
      </c>
      <c r="C931" s="28">
        <f t="array" ref="C931">_xlfn.XLOOKUP($A931, 'Medical Examinations'!$A:$A, 'Medical Examinations'!B:B, "No Data")</f>
        <v>32.11</v>
      </c>
      <c r="D931" s="28">
        <f t="array" ref="D931">_xlfn.XLOOKUP($A931, 'Medical Examinations'!$A:$A, 'Medical Examinations'!C:C, "No Data")</f>
        <v>4.75</v>
      </c>
      <c r="E931" s="28" t="str">
        <f t="array" ref="E931">_xlfn.XLOOKUP($A931, 'Medical Examinations'!$A:$A, 'Medical Examinations'!D:D, "No Data")</f>
        <v>yes</v>
      </c>
      <c r="F931" s="28" t="str">
        <f t="array" ref="F931">_xlfn.XLOOKUP($A931, 'Medical Examinations'!$A:$A, 'Medical Examinations'!E:E, "No Data")</f>
        <v>No</v>
      </c>
      <c r="G931" s="28" t="str">
        <f t="array" ref="G931">_xlfn.XLOOKUP($A931, 'Medical Examinations'!$A:$A, 'Medical Examinations'!F:F, "No Data")</f>
        <v>No</v>
      </c>
      <c r="H931" s="28">
        <f t="array" ref="H931">_xlfn.XLOOKUP($A931, 'Medical Examinations'!$A:$A, 'Medical Examinations'!G:G, "No Data")</f>
        <v>2</v>
      </c>
      <c r="I931" s="28" t="str">
        <f t="array" ref="I931">_xlfn.XLOOKUP($A931, 'Medical Examinations'!$A:$A, 'Medical Examinations'!H:H, "No Data")</f>
        <v>No</v>
      </c>
      <c r="J931" s="28" t="str">
        <f t="array" ref="J931">_xlfn.XLOOKUP($A931, 'Medical Examinations'!$A:$A, 'Medical Examinations'!I:I, "No Data")</f>
        <v>Obesity</v>
      </c>
      <c r="K931" s="28" t="str">
        <f t="array" ref="K931">_xlfn.XLOOKUP($A931, 'Hospitalisation Details'!$A:$A, 'Hospitalisation Details'!I:I, "No Data")</f>
        <v>tier - 3</v>
      </c>
      <c r="L931" s="28" t="str">
        <f t="array" ref="L931">_xlfn.XLOOKUP($A931, 'Hospitalisation Details'!$A:$A, 'Hospitalisation Details'!J:J, "No Data")</f>
        <v>R1016</v>
      </c>
      <c r="M931" s="28" t="str">
        <f t="array" ref="M931">_xlfn.XLOOKUP($A931, 'Hospitalisation Details'!$A:$A, 'Hospitalisation Details'!E:E, "No Data")</f>
        <v>25/07/66</v>
      </c>
      <c r="N931" s="28">
        <f t="array" ref="N931">_xlfn.XLOOKUP($A931, 'Hospitalisation Details'!$A:$A, 'Hospitalisation Details'!K:K, "No Data")</f>
        <v>56</v>
      </c>
      <c r="O931" s="33">
        <f t="array" ref="O931">_xlfn.XLOOKUP($A931, 'Hospitalisation Details'!$A:$A, 'Hospitalisation Details'!G:G, "No Data")</f>
        <v>11763</v>
      </c>
      <c r="P931" s="28" t="str">
        <f t="array" ref="P931">_xlfn.XLOOKUP($A931, 'Hospitalisation Details'!$A:$A, 'Hospitalisation Details'!H:H, "No Data")</f>
        <v>tier - 3</v>
      </c>
    </row>
    <row r="932">
      <c r="A932" s="25" t="s">
        <v>2977</v>
      </c>
      <c r="B932" s="28" t="str">
        <f t="array" ref="B932">_xlfn.XLOOKUP($A932, 'Customer Names'!$A:$A, 'Customer Names'!B:B, "No Data")</f>
        <v>Tu</v>
      </c>
      <c r="C932" s="28">
        <f t="array" ref="C932">_xlfn.XLOOKUP($A932, 'Medical Examinations'!$A:$A, 'Medical Examinations'!B:B, "No Data")</f>
        <v>34.48</v>
      </c>
      <c r="D932" s="28">
        <f t="array" ref="D932">_xlfn.XLOOKUP($A932, 'Medical Examinations'!$A:$A, 'Medical Examinations'!C:C, "No Data")</f>
        <v>6.31</v>
      </c>
      <c r="E932" s="28" t="str">
        <f t="array" ref="E932">_xlfn.XLOOKUP($A932, 'Medical Examinations'!$A:$A, 'Medical Examinations'!D:D, "No Data")</f>
        <v>No</v>
      </c>
      <c r="F932" s="28" t="str">
        <f t="array" ref="F932">_xlfn.XLOOKUP($A932, 'Medical Examinations'!$A:$A, 'Medical Examinations'!E:E, "No Data")</f>
        <v>No</v>
      </c>
      <c r="G932" s="28" t="str">
        <f t="array" ref="G932">_xlfn.XLOOKUP($A932, 'Medical Examinations'!$A:$A, 'Medical Examinations'!F:F, "No Data")</f>
        <v>Yes</v>
      </c>
      <c r="H932" s="28">
        <f t="array" ref="H932">_xlfn.XLOOKUP($A932, 'Medical Examinations'!$A:$A, 'Medical Examinations'!G:G, "No Data")</f>
        <v>1</v>
      </c>
      <c r="I932" s="28" t="str">
        <f t="array" ref="I932">_xlfn.XLOOKUP($A932, 'Medical Examinations'!$A:$A, 'Medical Examinations'!H:H, "No Data")</f>
        <v>No</v>
      </c>
      <c r="J932" s="28" t="str">
        <f t="array" ref="J932">_xlfn.XLOOKUP($A932, 'Medical Examinations'!$A:$A, 'Medical Examinations'!I:I, "No Data")</f>
        <v>Obesity</v>
      </c>
      <c r="K932" s="28" t="str">
        <f t="array" ref="K932">_xlfn.XLOOKUP($A932, 'Hospitalisation Details'!$A:$A, 'Hospitalisation Details'!I:I, "No Data")</f>
        <v>tier - 1</v>
      </c>
      <c r="L932" s="28" t="str">
        <f t="array" ref="L932">_xlfn.XLOOKUP($A932, 'Hospitalisation Details'!$A:$A, 'Hospitalisation Details'!J:J, "No Data")</f>
        <v>R1026</v>
      </c>
      <c r="M932" s="28" t="str">
        <f t="array" ref="M932">_xlfn.XLOOKUP($A932, 'Hospitalisation Details'!$A:$A, 'Hospitalisation Details'!E:E, "No Data")</f>
        <v>06/11/79</v>
      </c>
      <c r="N932" s="28">
        <f t="array" ref="N932">_xlfn.XLOOKUP($A932, 'Hospitalisation Details'!$A:$A, 'Hospitalisation Details'!K:K, "No Data")</f>
        <v>43</v>
      </c>
      <c r="O932" s="33">
        <f t="array" ref="O932">_xlfn.XLOOKUP($A932, 'Hospitalisation Details'!$A:$A, 'Hospitalisation Details'!G:G, "No Data")</f>
        <v>11752.68</v>
      </c>
      <c r="P932" s="28" t="str">
        <f t="array" ref="P932">_xlfn.XLOOKUP($A932, 'Hospitalisation Details'!$A:$A, 'Hospitalisation Details'!H:H, "No Data")</f>
        <v>tier - 3</v>
      </c>
    </row>
    <row r="933">
      <c r="A933" s="25" t="s">
        <v>2979</v>
      </c>
      <c r="B933" s="28" t="str">
        <f t="array" ref="B933">_xlfn.XLOOKUP($A933, 'Customer Names'!$A:$A, 'Customer Names'!B:B, "No Data")</f>
        <v>Kaczka</v>
      </c>
      <c r="C933" s="28">
        <f t="array" ref="C933">_xlfn.XLOOKUP($A933, 'Medical Examinations'!$A:$A, 'Medical Examinations'!B:B, "No Data")</f>
        <v>34.39</v>
      </c>
      <c r="D933" s="28">
        <f t="array" ref="D933">_xlfn.XLOOKUP($A933, 'Medical Examinations'!$A:$A, 'Medical Examinations'!C:C, "No Data")</f>
        <v>6.28</v>
      </c>
      <c r="E933" s="28" t="str">
        <f t="array" ref="E933">_xlfn.XLOOKUP($A933, 'Medical Examinations'!$A:$A, 'Medical Examinations'!D:D, "No Data")</f>
        <v>yes</v>
      </c>
      <c r="F933" s="28" t="str">
        <f t="array" ref="F933">_xlfn.XLOOKUP($A933, 'Medical Examinations'!$A:$A, 'Medical Examinations'!E:E, "No Data")</f>
        <v>No</v>
      </c>
      <c r="G933" s="28" t="str">
        <f t="array" ref="G933">_xlfn.XLOOKUP($A933, 'Medical Examinations'!$A:$A, 'Medical Examinations'!F:F, "No Data")</f>
        <v>No</v>
      </c>
      <c r="H933" s="28">
        <f t="array" ref="H933">_xlfn.XLOOKUP($A933, 'Medical Examinations'!$A:$A, 'Medical Examinations'!G:G, "No Data")</f>
        <v>1</v>
      </c>
      <c r="I933" s="28" t="str">
        <f t="array" ref="I933">_xlfn.XLOOKUP($A933, 'Medical Examinations'!$A:$A, 'Medical Examinations'!H:H, "No Data")</f>
        <v>No</v>
      </c>
      <c r="J933" s="28" t="str">
        <f t="array" ref="J933">_xlfn.XLOOKUP($A933, 'Medical Examinations'!$A:$A, 'Medical Examinations'!I:I, "No Data")</f>
        <v>Obesity</v>
      </c>
      <c r="K933" s="28" t="str">
        <f t="array" ref="K933">_xlfn.XLOOKUP($A933, 'Hospitalisation Details'!$A:$A, 'Hospitalisation Details'!I:I, "No Data")</f>
        <v>tier - 1</v>
      </c>
      <c r="L933" s="28" t="str">
        <f t="array" ref="L933">_xlfn.XLOOKUP($A933, 'Hospitalisation Details'!$A:$A, 'Hospitalisation Details'!J:J, "No Data")</f>
        <v>R1012</v>
      </c>
      <c r="M933" s="28" t="str">
        <f t="array" ref="M933">_xlfn.XLOOKUP($A933, 'Hospitalisation Details'!$A:$A, 'Hospitalisation Details'!E:E, "No Data")</f>
        <v>02/12/64</v>
      </c>
      <c r="N933" s="28">
        <f t="array" ref="N933">_xlfn.XLOOKUP($A933, 'Hospitalisation Details'!$A:$A, 'Hospitalisation Details'!K:K, "No Data")</f>
        <v>58</v>
      </c>
      <c r="O933" s="33">
        <f t="array" ref="O933">_xlfn.XLOOKUP($A933, 'Hospitalisation Details'!$A:$A, 'Hospitalisation Details'!G:G, "No Data")</f>
        <v>11743.93</v>
      </c>
      <c r="P933" s="28" t="str">
        <f t="array" ref="P933">_xlfn.XLOOKUP($A933, 'Hospitalisation Details'!$A:$A, 'Hospitalisation Details'!H:H, "No Data")</f>
        <v>tier - 3</v>
      </c>
    </row>
    <row r="934">
      <c r="A934" s="25" t="s">
        <v>2982</v>
      </c>
      <c r="B934" s="28" t="str">
        <f t="array" ref="B934">_xlfn.XLOOKUP($A934, 'Customer Names'!$A:$A, 'Customer Names'!B:B, "No Data")</f>
        <v>Hunter</v>
      </c>
      <c r="C934" s="28">
        <f t="array" ref="C934">_xlfn.XLOOKUP($A934, 'Medical Examinations'!$A:$A, 'Medical Examinations'!B:B, "No Data")</f>
        <v>26.4</v>
      </c>
      <c r="D934" s="28">
        <f t="array" ref="D934">_xlfn.XLOOKUP($A934, 'Medical Examinations'!$A:$A, 'Medical Examinations'!C:C, "No Data")</f>
        <v>9.29</v>
      </c>
      <c r="E934" s="28" t="str">
        <f t="array" ref="E934">_xlfn.XLOOKUP($A934, 'Medical Examinations'!$A:$A, 'Medical Examinations'!D:D, "No Data")</f>
        <v>yes</v>
      </c>
      <c r="F934" s="28" t="str">
        <f t="array" ref="F934">_xlfn.XLOOKUP($A934, 'Medical Examinations'!$A:$A, 'Medical Examinations'!E:E, "No Data")</f>
        <v>No</v>
      </c>
      <c r="G934" s="28" t="str">
        <f t="array" ref="G934">_xlfn.XLOOKUP($A934, 'Medical Examinations'!$A:$A, 'Medical Examinations'!F:F, "No Data")</f>
        <v>Yes</v>
      </c>
      <c r="H934" s="28">
        <f t="array" ref="H934">_xlfn.XLOOKUP($A934, 'Medical Examinations'!$A:$A, 'Medical Examinations'!G:G, "No Data")</f>
        <v>1</v>
      </c>
      <c r="I934" s="28" t="str">
        <f t="array" ref="I934">_xlfn.XLOOKUP($A934, 'Medical Examinations'!$A:$A, 'Medical Examinations'!H:H, "No Data")</f>
        <v>No</v>
      </c>
      <c r="J934" s="28" t="str">
        <f t="array" ref="J934">_xlfn.XLOOKUP($A934, 'Medical Examinations'!$A:$A, 'Medical Examinations'!I:I, "No Data")</f>
        <v>Overweight</v>
      </c>
      <c r="K934" s="28" t="str">
        <f t="array" ref="K934">_xlfn.XLOOKUP($A934, 'Hospitalisation Details'!$A:$A, 'Hospitalisation Details'!I:I, "No Data")</f>
        <v>tier - 3</v>
      </c>
      <c r="L934" s="28" t="str">
        <f t="array" ref="L934">_xlfn.XLOOKUP($A934, 'Hospitalisation Details'!$A:$A, 'Hospitalisation Details'!J:J, "No Data")</f>
        <v>R1013</v>
      </c>
      <c r="M934" s="28" t="str">
        <f t="array" ref="M934">_xlfn.XLOOKUP($A934, 'Hospitalisation Details'!$A:$A, 'Hospitalisation Details'!E:E, "No Data")</f>
        <v>09/06/63</v>
      </c>
      <c r="N934" s="28">
        <f t="array" ref="N934">_xlfn.XLOOKUP($A934, 'Hospitalisation Details'!$A:$A, 'Hospitalisation Details'!K:K, "No Data")</f>
        <v>59</v>
      </c>
      <c r="O934" s="33">
        <f t="array" ref="O934">_xlfn.XLOOKUP($A934, 'Hospitalisation Details'!$A:$A, 'Hospitalisation Details'!G:G, "No Data")</f>
        <v>11743.3</v>
      </c>
      <c r="P934" s="28" t="str">
        <f t="array" ref="P934">_xlfn.XLOOKUP($A934, 'Hospitalisation Details'!$A:$A, 'Hospitalisation Details'!H:H, "No Data")</f>
        <v>tier - 3</v>
      </c>
    </row>
    <row r="935">
      <c r="A935" s="25" t="s">
        <v>2986</v>
      </c>
      <c r="B935" s="28" t="str">
        <f t="array" ref="B935">_xlfn.XLOOKUP($A935, 'Customer Names'!$A:$A, 'Customer Names'!B:B, "No Data")</f>
        <v>Moran</v>
      </c>
      <c r="C935" s="28">
        <f t="array" ref="C935">_xlfn.XLOOKUP($A935, 'Medical Examinations'!$A:$A, 'Medical Examinations'!B:B, "No Data")</f>
        <v>28.1</v>
      </c>
      <c r="D935" s="28">
        <f t="array" ref="D935">_xlfn.XLOOKUP($A935, 'Medical Examinations'!$A:$A, 'Medical Examinations'!C:C, "No Data")</f>
        <v>5.79</v>
      </c>
      <c r="E935" s="28" t="str">
        <f t="array" ref="E935">_xlfn.XLOOKUP($A935, 'Medical Examinations'!$A:$A, 'Medical Examinations'!D:D, "No Data")</f>
        <v>yes</v>
      </c>
      <c r="F935" s="28" t="str">
        <f t="array" ref="F935">_xlfn.XLOOKUP($A935, 'Medical Examinations'!$A:$A, 'Medical Examinations'!E:E, "No Data")</f>
        <v>No</v>
      </c>
      <c r="G935" s="28" t="str">
        <f t="array" ref="G935">_xlfn.XLOOKUP($A935, 'Medical Examinations'!$A:$A, 'Medical Examinations'!F:F, "No Data")</f>
        <v>Yes</v>
      </c>
      <c r="H935" s="28">
        <f t="array" ref="H935">_xlfn.XLOOKUP($A935, 'Medical Examinations'!$A:$A, 'Medical Examinations'!G:G, "No Data")</f>
        <v>1</v>
      </c>
      <c r="I935" s="28" t="str">
        <f t="array" ref="I935">_xlfn.XLOOKUP($A935, 'Medical Examinations'!$A:$A, 'Medical Examinations'!H:H, "No Data")</f>
        <v>No</v>
      </c>
      <c r="J935" s="28" t="str">
        <f t="array" ref="J935">_xlfn.XLOOKUP($A935, 'Medical Examinations'!$A:$A, 'Medical Examinations'!I:I, "No Data")</f>
        <v>Overweight</v>
      </c>
      <c r="K935" s="28" t="str">
        <f t="array" ref="K935">_xlfn.XLOOKUP($A935, 'Hospitalisation Details'!$A:$A, 'Hospitalisation Details'!I:I, "No Data")</f>
        <v>tier - 1</v>
      </c>
      <c r="L935" s="28" t="str">
        <f t="array" ref="L935">_xlfn.XLOOKUP($A935, 'Hospitalisation Details'!$A:$A, 'Hospitalisation Details'!J:J, "No Data")</f>
        <v>R1011</v>
      </c>
      <c r="M935" s="28" t="str">
        <f t="array" ref="M935">_xlfn.XLOOKUP($A935, 'Hospitalisation Details'!$A:$A, 'Hospitalisation Details'!E:E, "No Data")</f>
        <v>12/11/69</v>
      </c>
      <c r="N935" s="28">
        <f t="array" ref="N935">_xlfn.XLOOKUP($A935, 'Hospitalisation Details'!$A:$A, 'Hospitalisation Details'!K:K, "No Data")</f>
        <v>53</v>
      </c>
      <c r="O935" s="33">
        <f t="array" ref="O935">_xlfn.XLOOKUP($A935, 'Hospitalisation Details'!$A:$A, 'Hospitalisation Details'!G:G, "No Data")</f>
        <v>11741.73</v>
      </c>
      <c r="P935" s="28" t="str">
        <f t="array" ref="P935">_xlfn.XLOOKUP($A935, 'Hospitalisation Details'!$A:$A, 'Hospitalisation Details'!H:H, "No Data")</f>
        <v>tier - 3</v>
      </c>
    </row>
    <row r="936">
      <c r="A936" s="25" t="s">
        <v>2988</v>
      </c>
      <c r="B936" s="28" t="str">
        <f t="array" ref="B936">_xlfn.XLOOKUP($A936, 'Customer Names'!$A:$A, 'Customer Names'!B:B, "No Data")</f>
        <v>Ashby</v>
      </c>
      <c r="C936" s="28">
        <f t="array" ref="C936">_xlfn.XLOOKUP($A936, 'Medical Examinations'!$A:$A, 'Medical Examinations'!B:B, "No Data")</f>
        <v>27</v>
      </c>
      <c r="D936" s="28">
        <f t="array" ref="D936">_xlfn.XLOOKUP($A936, 'Medical Examinations'!$A:$A, 'Medical Examinations'!C:C, "No Data")</f>
        <v>4.54</v>
      </c>
      <c r="E936" s="28" t="str">
        <f t="array" ref="E936">_xlfn.XLOOKUP($A936, 'Medical Examinations'!$A:$A, 'Medical Examinations'!D:D, "No Data")</f>
        <v>yes</v>
      </c>
      <c r="F936" s="28" t="str">
        <f t="array" ref="F936">_xlfn.XLOOKUP($A936, 'Medical Examinations'!$A:$A, 'Medical Examinations'!E:E, "No Data")</f>
        <v>No</v>
      </c>
      <c r="G936" s="28" t="str">
        <f t="array" ref="G936">_xlfn.XLOOKUP($A936, 'Medical Examinations'!$A:$A, 'Medical Examinations'!F:F, "No Data")</f>
        <v>No</v>
      </c>
      <c r="H936" s="28">
        <f t="array" ref="H936">_xlfn.XLOOKUP($A936, 'Medical Examinations'!$A:$A, 'Medical Examinations'!G:G, "No Data")</f>
        <v>1</v>
      </c>
      <c r="I936" s="28" t="str">
        <f t="array" ref="I936">_xlfn.XLOOKUP($A936, 'Medical Examinations'!$A:$A, 'Medical Examinations'!H:H, "No Data")</f>
        <v>No</v>
      </c>
      <c r="J936" s="28" t="str">
        <f t="array" ref="J936">_xlfn.XLOOKUP($A936, 'Medical Examinations'!$A:$A, 'Medical Examinations'!I:I, "No Data")</f>
        <v>Overweight</v>
      </c>
      <c r="K936" s="28" t="str">
        <f t="array" ref="K936">_xlfn.XLOOKUP($A936, 'Hospitalisation Details'!$A:$A, 'Hospitalisation Details'!I:I, "No Data")</f>
        <v>tier - 1</v>
      </c>
      <c r="L936" s="28" t="str">
        <f t="array" ref="L936">_xlfn.XLOOKUP($A936, 'Hospitalisation Details'!$A:$A, 'Hospitalisation Details'!J:J, "No Data")</f>
        <v>R1011</v>
      </c>
      <c r="M936" s="28" t="str">
        <f t="array" ref="M936">_xlfn.XLOOKUP($A936, 'Hospitalisation Details'!$A:$A, 'Hospitalisation Details'!E:E, "No Data")</f>
        <v>05/09/88</v>
      </c>
      <c r="N936" s="28">
        <f t="array" ref="N936">_xlfn.XLOOKUP($A936, 'Hospitalisation Details'!$A:$A, 'Hospitalisation Details'!K:K, "No Data")</f>
        <v>34</v>
      </c>
      <c r="O936" s="33">
        <f t="array" ref="O936">_xlfn.XLOOKUP($A936, 'Hospitalisation Details'!$A:$A, 'Hospitalisation Details'!G:G, "No Data")</f>
        <v>11737.85</v>
      </c>
      <c r="P936" s="28" t="str">
        <f t="array" ref="P936">_xlfn.XLOOKUP($A936, 'Hospitalisation Details'!$A:$A, 'Hospitalisation Details'!H:H, "No Data")</f>
        <v>tier - 3</v>
      </c>
    </row>
    <row r="937">
      <c r="A937" s="25" t="s">
        <v>2992</v>
      </c>
      <c r="B937" s="28" t="str">
        <f t="array" ref="B937">_xlfn.XLOOKUP($A937, 'Customer Names'!$A:$A, 'Customer Names'!B:B, "No Data")</f>
        <v>Ausen</v>
      </c>
      <c r="C937" s="28">
        <f t="array" ref="C937">_xlfn.XLOOKUP($A937, 'Medical Examinations'!$A:$A, 'Medical Examinations'!B:B, "No Data")</f>
        <v>28.595</v>
      </c>
      <c r="D937" s="28">
        <f t="array" ref="D937">_xlfn.XLOOKUP($A937, 'Medical Examinations'!$A:$A, 'Medical Examinations'!C:C, "No Data")</f>
        <v>4.68</v>
      </c>
      <c r="E937" s="28" t="str">
        <f t="array" ref="E937">_xlfn.XLOOKUP($A937, 'Medical Examinations'!$A:$A, 'Medical Examinations'!D:D, "No Data")</f>
        <v>yes</v>
      </c>
      <c r="F937" s="28" t="str">
        <f t="array" ref="F937">_xlfn.XLOOKUP($A937, 'Medical Examinations'!$A:$A, 'Medical Examinations'!E:E, "No Data")</f>
        <v>No</v>
      </c>
      <c r="G937" s="28" t="str">
        <f t="array" ref="G937">_xlfn.XLOOKUP($A937, 'Medical Examinations'!$A:$A, 'Medical Examinations'!F:F, "No Data")</f>
        <v>No</v>
      </c>
      <c r="H937" s="28">
        <f t="array" ref="H937">_xlfn.XLOOKUP($A937, 'Medical Examinations'!$A:$A, 'Medical Examinations'!G:G, "No Data")</f>
        <v>1</v>
      </c>
      <c r="I937" s="28" t="str">
        <f t="array" ref="I937">_xlfn.XLOOKUP($A937, 'Medical Examinations'!$A:$A, 'Medical Examinations'!H:H, "No Data")</f>
        <v>No</v>
      </c>
      <c r="J937" s="28" t="str">
        <f t="array" ref="J937">_xlfn.XLOOKUP($A937, 'Medical Examinations'!$A:$A, 'Medical Examinations'!I:I, "No Data")</f>
        <v>Overweight</v>
      </c>
      <c r="K937" s="28" t="str">
        <f t="array" ref="K937">_xlfn.XLOOKUP($A937, 'Hospitalisation Details'!$A:$A, 'Hospitalisation Details'!I:I, "No Data")</f>
        <v>tier - 1</v>
      </c>
      <c r="L937" s="28" t="str">
        <f t="array" ref="L937">_xlfn.XLOOKUP($A937, 'Hospitalisation Details'!$A:$A, 'Hospitalisation Details'!J:J, "No Data")</f>
        <v>R1012</v>
      </c>
      <c r="M937" s="28" t="str">
        <f t="array" ref="M937">_xlfn.XLOOKUP($A937, 'Hospitalisation Details'!$A:$A, 'Hospitalisation Details'!E:E, "No Data")</f>
        <v>09/11/64</v>
      </c>
      <c r="N937" s="28">
        <f t="array" ref="N937">_xlfn.XLOOKUP($A937, 'Hospitalisation Details'!$A:$A, 'Hospitalisation Details'!K:K, "No Data")</f>
        <v>58</v>
      </c>
      <c r="O937" s="33">
        <f t="array" ref="O937">_xlfn.XLOOKUP($A937, 'Hospitalisation Details'!$A:$A, 'Hospitalisation Details'!G:G, "No Data")</f>
        <v>11735.88</v>
      </c>
      <c r="P937" s="28" t="str">
        <f t="array" ref="P937">_xlfn.XLOOKUP($A937, 'Hospitalisation Details'!$A:$A, 'Hospitalisation Details'!H:H, "No Data")</f>
        <v>tier - 3</v>
      </c>
    </row>
    <row r="938">
      <c r="A938" s="25" t="s">
        <v>2994</v>
      </c>
      <c r="B938" s="28" t="str">
        <f t="array" ref="B938">_xlfn.XLOOKUP($A938, 'Customer Names'!$A:$A, 'Customer Names'!B:B, "No Data")</f>
        <v>Savage</v>
      </c>
      <c r="C938" s="28">
        <f t="array" ref="C938">_xlfn.XLOOKUP($A938, 'Medical Examinations'!$A:$A, 'Medical Examinations'!B:B, "No Data")</f>
        <v>36.8</v>
      </c>
      <c r="D938" s="28">
        <f t="array" ref="D938">_xlfn.XLOOKUP($A938, 'Medical Examinations'!$A:$A, 'Medical Examinations'!C:C, "No Data")</f>
        <v>5.88</v>
      </c>
      <c r="E938" s="28" t="str">
        <f t="array" ref="E938">_xlfn.XLOOKUP($A938, 'Medical Examinations'!$A:$A, 'Medical Examinations'!D:D, "No Data")</f>
        <v>No</v>
      </c>
      <c r="F938" s="28" t="str">
        <f t="array" ref="F938">_xlfn.XLOOKUP($A938, 'Medical Examinations'!$A:$A, 'Medical Examinations'!E:E, "No Data")</f>
        <v>No</v>
      </c>
      <c r="G938" s="28" t="str">
        <f t="array" ref="G938">_xlfn.XLOOKUP($A938, 'Medical Examinations'!$A:$A, 'Medical Examinations'!F:F, "No Data")</f>
        <v>No</v>
      </c>
      <c r="H938" s="28">
        <f t="array" ref="H938">_xlfn.XLOOKUP($A938, 'Medical Examinations'!$A:$A, 'Medical Examinations'!G:G, "No Data")</f>
        <v>1</v>
      </c>
      <c r="I938" s="28" t="str">
        <f t="array" ref="I938">_xlfn.XLOOKUP($A938, 'Medical Examinations'!$A:$A, 'Medical Examinations'!H:H, "No Data")</f>
        <v>No</v>
      </c>
      <c r="J938" s="28" t="str">
        <f t="array" ref="J938">_xlfn.XLOOKUP($A938, 'Medical Examinations'!$A:$A, 'Medical Examinations'!I:I, "No Data")</f>
        <v>Obesity</v>
      </c>
      <c r="K938" s="28" t="str">
        <f t="array" ref="K938">_xlfn.XLOOKUP($A938, 'Hospitalisation Details'!$A:$A, 'Hospitalisation Details'!I:I, "No Data")</f>
        <v>tier - 3</v>
      </c>
      <c r="L938" s="28" t="str">
        <f t="array" ref="L938">_xlfn.XLOOKUP($A938, 'Hospitalisation Details'!$A:$A, 'Hospitalisation Details'!J:J, "No Data")</f>
        <v>R1026</v>
      </c>
      <c r="M938" s="28" t="str">
        <f t="array" ref="M938">_xlfn.XLOOKUP($A938, 'Hospitalisation Details'!$A:$A, 'Hospitalisation Details'!E:E, "No Data")</f>
        <v>26/11/84</v>
      </c>
      <c r="N938" s="28">
        <f t="array" ref="N938">_xlfn.XLOOKUP($A938, 'Hospitalisation Details'!$A:$A, 'Hospitalisation Details'!K:K, "No Data")</f>
        <v>38</v>
      </c>
      <c r="O938" s="33">
        <f t="array" ref="O938">_xlfn.XLOOKUP($A938, 'Hospitalisation Details'!$A:$A, 'Hospitalisation Details'!G:G, "No Data")</f>
        <v>11730.82</v>
      </c>
      <c r="P938" s="28" t="str">
        <f t="array" ref="P938">_xlfn.XLOOKUP($A938, 'Hospitalisation Details'!$A:$A, 'Hospitalisation Details'!H:H, "No Data")</f>
        <v>tier - 3</v>
      </c>
    </row>
    <row r="939">
      <c r="A939" s="25" t="s">
        <v>2997</v>
      </c>
      <c r="B939" s="28" t="str">
        <f t="array" ref="B939">_xlfn.XLOOKUP($A939, 'Customer Names'!$A:$A, 'Customer Names'!B:B, "No Data")</f>
        <v>O'Leary</v>
      </c>
      <c r="C939" s="28">
        <f t="array" ref="C939">_xlfn.XLOOKUP($A939, 'Medical Examinations'!$A:$A, 'Medical Examinations'!B:B, "No Data")</f>
        <v>23.75</v>
      </c>
      <c r="D939" s="28">
        <f t="array" ref="D939">_xlfn.XLOOKUP($A939, 'Medical Examinations'!$A:$A, 'Medical Examinations'!C:C, "No Data")</f>
        <v>5.42</v>
      </c>
      <c r="E939" s="28" t="str">
        <f t="array" ref="E939">_xlfn.XLOOKUP($A939, 'Medical Examinations'!$A:$A, 'Medical Examinations'!D:D, "No Data")</f>
        <v>yes</v>
      </c>
      <c r="F939" s="28" t="str">
        <f t="array" ref="F939">_xlfn.XLOOKUP($A939, 'Medical Examinations'!$A:$A, 'Medical Examinations'!E:E, "No Data")</f>
        <v>No</v>
      </c>
      <c r="G939" s="28" t="str">
        <f t="array" ref="G939">_xlfn.XLOOKUP($A939, 'Medical Examinations'!$A:$A, 'Medical Examinations'!F:F, "No Data")</f>
        <v>Yes</v>
      </c>
      <c r="H939" s="28">
        <f t="array" ref="H939">_xlfn.XLOOKUP($A939, 'Medical Examinations'!$A:$A, 'Medical Examinations'!G:G, "No Data")</f>
        <v>1</v>
      </c>
      <c r="I939" s="28" t="str">
        <f t="array" ref="I939">_xlfn.XLOOKUP($A939, 'Medical Examinations'!$A:$A, 'Medical Examinations'!H:H, "No Data")</f>
        <v>No</v>
      </c>
      <c r="J939" s="28" t="str">
        <f t="array" ref="J939">_xlfn.XLOOKUP($A939, 'Medical Examinations'!$A:$A, 'Medical Examinations'!I:I, "No Data")</f>
        <v>Normal Weight</v>
      </c>
      <c r="K939" s="28" t="str">
        <f t="array" ref="K939">_xlfn.XLOOKUP($A939, 'Hospitalisation Details'!$A:$A, 'Hospitalisation Details'!I:I, "No Data")</f>
        <v>tier - 1</v>
      </c>
      <c r="L939" s="28" t="str">
        <f t="array" ref="L939">_xlfn.XLOOKUP($A939, 'Hospitalisation Details'!$A:$A, 'Hospitalisation Details'!J:J, "No Data")</f>
        <v>R1024</v>
      </c>
      <c r="M939" s="28" t="str">
        <f t="array" ref="M939">_xlfn.XLOOKUP($A939, 'Hospitalisation Details'!$A:$A, 'Hospitalisation Details'!E:E, "No Data")</f>
        <v>12/10/69</v>
      </c>
      <c r="N939" s="28">
        <f t="array" ref="N939">_xlfn.XLOOKUP($A939, 'Hospitalisation Details'!$A:$A, 'Hospitalisation Details'!K:K, "No Data")</f>
        <v>53</v>
      </c>
      <c r="O939" s="33">
        <f t="array" ref="O939">_xlfn.XLOOKUP($A939, 'Hospitalisation Details'!$A:$A, 'Hospitalisation Details'!G:G, "No Data")</f>
        <v>11729.68</v>
      </c>
      <c r="P939" s="28" t="str">
        <f t="array" ref="P939">_xlfn.XLOOKUP($A939, 'Hospitalisation Details'!$A:$A, 'Hospitalisation Details'!H:H, "No Data")</f>
        <v>tier - 3</v>
      </c>
    </row>
    <row r="940">
      <c r="A940" s="25" t="s">
        <v>3000</v>
      </c>
      <c r="B940" s="28" t="str">
        <f t="array" ref="B940">_xlfn.XLOOKUP($A940, 'Customer Names'!$A:$A, 'Customer Names'!B:B, "No Data")</f>
        <v>Scoville</v>
      </c>
      <c r="C940" s="28">
        <f t="array" ref="C940">_xlfn.XLOOKUP($A940, 'Medical Examinations'!$A:$A, 'Medical Examinations'!B:B, "No Data")</f>
        <v>35.62</v>
      </c>
      <c r="D940" s="28">
        <f t="array" ref="D940">_xlfn.XLOOKUP($A940, 'Medical Examinations'!$A:$A, 'Medical Examinations'!C:C, "No Data")</f>
        <v>4.16</v>
      </c>
      <c r="E940" s="28" t="str">
        <f t="array" ref="E940">_xlfn.XLOOKUP($A940, 'Medical Examinations'!$A:$A, 'Medical Examinations'!D:D, "No Data")</f>
        <v>No</v>
      </c>
      <c r="F940" s="28" t="str">
        <f t="array" ref="F940">_xlfn.XLOOKUP($A940, 'Medical Examinations'!$A:$A, 'Medical Examinations'!E:E, "No Data")</f>
        <v>No</v>
      </c>
      <c r="G940" s="28" t="str">
        <f t="array" ref="G940">_xlfn.XLOOKUP($A940, 'Medical Examinations'!$A:$A, 'Medical Examinations'!F:F, "No Data")</f>
        <v>No</v>
      </c>
      <c r="H940" s="28">
        <f t="array" ref="H940">_xlfn.XLOOKUP($A940, 'Medical Examinations'!$A:$A, 'Medical Examinations'!G:G, "No Data")</f>
        <v>0</v>
      </c>
      <c r="I940" s="28" t="str">
        <f t="array" ref="I940">_xlfn.XLOOKUP($A940, 'Medical Examinations'!$A:$A, 'Medical Examinations'!H:H, "No Data")</f>
        <v>No</v>
      </c>
      <c r="J940" s="28" t="str">
        <f t="array" ref="J940">_xlfn.XLOOKUP($A940, 'Medical Examinations'!$A:$A, 'Medical Examinations'!I:I, "No Data")</f>
        <v>Obesity</v>
      </c>
      <c r="K940" s="28" t="str">
        <f t="array" ref="K940">_xlfn.XLOOKUP($A940, 'Hospitalisation Details'!$A:$A, 'Hospitalisation Details'!I:I, "No Data")</f>
        <v>tier - 2</v>
      </c>
      <c r="L940" s="28" t="str">
        <f t="array" ref="L940">_xlfn.XLOOKUP($A940, 'Hospitalisation Details'!$A:$A, 'Hospitalisation Details'!J:J, "No Data")</f>
        <v>R1021</v>
      </c>
      <c r="M940" s="28" t="str">
        <f t="array" ref="M940">_xlfn.XLOOKUP($A940, 'Hospitalisation Details'!$A:$A, 'Hospitalisation Details'!E:E, "No Data")</f>
        <v>21/10/82</v>
      </c>
      <c r="N940" s="28">
        <f t="array" ref="N940">_xlfn.XLOOKUP($A940, 'Hospitalisation Details'!$A:$A, 'Hospitalisation Details'!K:K, "No Data")</f>
        <v>40</v>
      </c>
      <c r="O940" s="33">
        <f t="array" ref="O940">_xlfn.XLOOKUP($A940, 'Hospitalisation Details'!$A:$A, 'Hospitalisation Details'!G:G, "No Data")</f>
        <v>11712.97</v>
      </c>
      <c r="P940" s="28" t="str">
        <f t="array" ref="P940">_xlfn.XLOOKUP($A940, 'Hospitalisation Details'!$A:$A, 'Hospitalisation Details'!H:H, "No Data")</f>
        <v>tier - 3</v>
      </c>
    </row>
    <row r="941">
      <c r="A941" s="25" t="s">
        <v>3004</v>
      </c>
      <c r="B941" s="28" t="str">
        <f t="array" ref="B941">_xlfn.XLOOKUP($A941, 'Customer Names'!$A:$A, 'Customer Names'!B:B, "No Data")</f>
        <v>Kaus</v>
      </c>
      <c r="C941" s="28">
        <f t="array" ref="C941">_xlfn.XLOOKUP($A941, 'Medical Examinations'!$A:$A, 'Medical Examinations'!B:B, "No Data")</f>
        <v>30.69</v>
      </c>
      <c r="D941" s="28">
        <f t="array" ref="D941">_xlfn.XLOOKUP($A941, 'Medical Examinations'!$A:$A, 'Medical Examinations'!C:C, "No Data")</f>
        <v>7.05</v>
      </c>
      <c r="E941" s="28" t="str">
        <f t="array" ref="E941">_xlfn.XLOOKUP($A941, 'Medical Examinations'!$A:$A, 'Medical Examinations'!D:D, "No Data")</f>
        <v>yes</v>
      </c>
      <c r="F941" s="28" t="str">
        <f t="array" ref="F941">_xlfn.XLOOKUP($A941, 'Medical Examinations'!$A:$A, 'Medical Examinations'!E:E, "No Data")</f>
        <v>No</v>
      </c>
      <c r="G941" s="28" t="str">
        <f t="array" ref="G941">_xlfn.XLOOKUP($A941, 'Medical Examinations'!$A:$A, 'Medical Examinations'!F:F, "No Data")</f>
        <v>No</v>
      </c>
      <c r="H941" s="28">
        <f t="array" ref="H941">_xlfn.XLOOKUP($A941, 'Medical Examinations'!$A:$A, 'Medical Examinations'!G:G, "No Data")</f>
        <v>2</v>
      </c>
      <c r="I941" s="28" t="str">
        <f t="array" ref="I941">_xlfn.XLOOKUP($A941, 'Medical Examinations'!$A:$A, 'Medical Examinations'!H:H, "No Data")</f>
        <v>No</v>
      </c>
      <c r="J941" s="28" t="str">
        <f t="array" ref="J941">_xlfn.XLOOKUP($A941, 'Medical Examinations'!$A:$A, 'Medical Examinations'!I:I, "No Data")</f>
        <v>Obesity</v>
      </c>
      <c r="K941" s="28" t="str">
        <f t="array" ref="K941">_xlfn.XLOOKUP($A941, 'Hospitalisation Details'!$A:$A, 'Hospitalisation Details'!I:I, "No Data")</f>
        <v>tier - 1</v>
      </c>
      <c r="L941" s="28" t="str">
        <f t="array" ref="L941">_xlfn.XLOOKUP($A941, 'Hospitalisation Details'!$A:$A, 'Hospitalisation Details'!J:J, "No Data")</f>
        <v>R1021</v>
      </c>
      <c r="M941" s="28" t="str">
        <f t="array" ref="M941">_xlfn.XLOOKUP($A941, 'Hospitalisation Details'!$A:$A, 'Hospitalisation Details'!E:E, "No Data")</f>
        <v>01/12/70</v>
      </c>
      <c r="N941" s="28">
        <f t="array" ref="N941">_xlfn.XLOOKUP($A941, 'Hospitalisation Details'!$A:$A, 'Hospitalisation Details'!K:K, "No Data")</f>
        <v>52</v>
      </c>
      <c r="O941" s="33">
        <f t="array" ref="O941">_xlfn.XLOOKUP($A941, 'Hospitalisation Details'!$A:$A, 'Hospitalisation Details'!G:G, "No Data")</f>
        <v>11696.52</v>
      </c>
      <c r="P941" s="28" t="str">
        <f t="array" ref="P941">_xlfn.XLOOKUP($A941, 'Hospitalisation Details'!$A:$A, 'Hospitalisation Details'!H:H, "No Data")</f>
        <v>tier - 3</v>
      </c>
    </row>
    <row r="942">
      <c r="A942" s="25" t="s">
        <v>3007</v>
      </c>
      <c r="B942" s="28" t="str">
        <f t="array" ref="B942">_xlfn.XLOOKUP($A942, 'Customer Names'!$A:$A, 'Customer Names'!B:B, "No Data")</f>
        <v>Rainey</v>
      </c>
      <c r="C942" s="28">
        <f t="array" ref="C942">_xlfn.XLOOKUP($A942, 'Medical Examinations'!$A:$A, 'Medical Examinations'!B:B, "No Data")</f>
        <v>35.8</v>
      </c>
      <c r="D942" s="28">
        <f t="array" ref="D942">_xlfn.XLOOKUP($A942, 'Medical Examinations'!$A:$A, 'Medical Examinations'!C:C, "No Data")</f>
        <v>5.63</v>
      </c>
      <c r="E942" s="28" t="str">
        <f t="array" ref="E942">_xlfn.XLOOKUP($A942, 'Medical Examinations'!$A:$A, 'Medical Examinations'!D:D, "No Data")</f>
        <v>yes</v>
      </c>
      <c r="F942" s="28" t="str">
        <f t="array" ref="F942">_xlfn.XLOOKUP($A942, 'Medical Examinations'!$A:$A, 'Medical Examinations'!E:E, "No Data")</f>
        <v>No</v>
      </c>
      <c r="G942" s="28" t="str">
        <f t="array" ref="G942">_xlfn.XLOOKUP($A942, 'Medical Examinations'!$A:$A, 'Medical Examinations'!F:F, "No Data")</f>
        <v>No</v>
      </c>
      <c r="H942" s="28">
        <f t="array" ref="H942">_xlfn.XLOOKUP($A942, 'Medical Examinations'!$A:$A, 'Medical Examinations'!G:G, "No Data")</f>
        <v>2</v>
      </c>
      <c r="I942" s="28" t="str">
        <f t="array" ref="I942">_xlfn.XLOOKUP($A942, 'Medical Examinations'!$A:$A, 'Medical Examinations'!H:H, "No Data")</f>
        <v>No</v>
      </c>
      <c r="J942" s="28" t="str">
        <f t="array" ref="J942">_xlfn.XLOOKUP($A942, 'Medical Examinations'!$A:$A, 'Medical Examinations'!I:I, "No Data")</f>
        <v>Obesity</v>
      </c>
      <c r="K942" s="28" t="str">
        <f t="array" ref="K942">_xlfn.XLOOKUP($A942, 'Hospitalisation Details'!$A:$A, 'Hospitalisation Details'!I:I, "No Data")</f>
        <v>tier - 1</v>
      </c>
      <c r="L942" s="28" t="str">
        <f t="array" ref="L942">_xlfn.XLOOKUP($A942, 'Hospitalisation Details'!$A:$A, 'Hospitalisation Details'!J:J, "No Data")</f>
        <v>R1011</v>
      </c>
      <c r="M942" s="28" t="str">
        <f t="array" ref="M942">_xlfn.XLOOKUP($A942, 'Hospitalisation Details'!$A:$A, 'Hospitalisation Details'!E:E, "No Data")</f>
        <v>09/11/66</v>
      </c>
      <c r="N942" s="28">
        <f t="array" ref="N942">_xlfn.XLOOKUP($A942, 'Hospitalisation Details'!$A:$A, 'Hospitalisation Details'!K:K, "No Data")</f>
        <v>56</v>
      </c>
      <c r="O942" s="33">
        <f t="array" ref="O942">_xlfn.XLOOKUP($A942, 'Hospitalisation Details'!$A:$A, 'Hospitalisation Details'!G:G, "No Data")</f>
        <v>11674.13</v>
      </c>
      <c r="P942" s="28" t="str">
        <f t="array" ref="P942">_xlfn.XLOOKUP($A942, 'Hospitalisation Details'!$A:$A, 'Hospitalisation Details'!H:H, "No Data")</f>
        <v>tier - 3</v>
      </c>
    </row>
    <row r="943">
      <c r="A943" s="25" t="s">
        <v>3010</v>
      </c>
      <c r="B943" s="28" t="str">
        <f t="array" ref="B943">_xlfn.XLOOKUP($A943, 'Customer Names'!$A:$A, 'Customer Names'!B:B, "No Data")</f>
        <v>Rasch</v>
      </c>
      <c r="C943" s="28">
        <f t="array" ref="C943">_xlfn.XLOOKUP($A943, 'Medical Examinations'!$A:$A, 'Medical Examinations'!B:B, "No Data")</f>
        <v>28.785</v>
      </c>
      <c r="D943" s="28">
        <f t="array" ref="D943">_xlfn.XLOOKUP($A943, 'Medical Examinations'!$A:$A, 'Medical Examinations'!C:C, "No Data")</f>
        <v>4.24</v>
      </c>
      <c r="E943" s="28" t="str">
        <f t="array" ref="E943">_xlfn.XLOOKUP($A943, 'Medical Examinations'!$A:$A, 'Medical Examinations'!D:D, "No Data")</f>
        <v>yes</v>
      </c>
      <c r="F943" s="28" t="str">
        <f t="array" ref="F943">_xlfn.XLOOKUP($A943, 'Medical Examinations'!$A:$A, 'Medical Examinations'!E:E, "No Data")</f>
        <v>No</v>
      </c>
      <c r="G943" s="28" t="str">
        <f t="array" ref="G943">_xlfn.XLOOKUP($A943, 'Medical Examinations'!$A:$A, 'Medical Examinations'!F:F, "No Data")</f>
        <v>No</v>
      </c>
      <c r="H943" s="28">
        <f t="array" ref="H943">_xlfn.XLOOKUP($A943, 'Medical Examinations'!$A:$A, 'Medical Examinations'!G:G, "No Data")</f>
        <v>2</v>
      </c>
      <c r="I943" s="28" t="str">
        <f t="array" ref="I943">_xlfn.XLOOKUP($A943, 'Medical Examinations'!$A:$A, 'Medical Examinations'!H:H, "No Data")</f>
        <v>No</v>
      </c>
      <c r="J943" s="28" t="str">
        <f t="array" ref="J943">_xlfn.XLOOKUP($A943, 'Medical Examinations'!$A:$A, 'Medical Examinations'!I:I, "No Data")</f>
        <v>Overweight</v>
      </c>
      <c r="K943" s="28" t="str">
        <f t="array" ref="K943">_xlfn.XLOOKUP($A943, 'Hospitalisation Details'!$A:$A, 'Hospitalisation Details'!I:I, "No Data")</f>
        <v>tier - 3</v>
      </c>
      <c r="L943" s="28" t="str">
        <f t="array" ref="L943">_xlfn.XLOOKUP($A943, 'Hospitalisation Details'!$A:$A, 'Hospitalisation Details'!J:J, "No Data")</f>
        <v>R1024</v>
      </c>
      <c r="M943" s="28" t="str">
        <f t="array" ref="M943">_xlfn.XLOOKUP($A943, 'Hospitalisation Details'!$A:$A, 'Hospitalisation Details'!E:E, "No Data")</f>
        <v>23/08/66</v>
      </c>
      <c r="N943" s="28">
        <f t="array" ref="N943">_xlfn.XLOOKUP($A943, 'Hospitalisation Details'!$A:$A, 'Hospitalisation Details'!K:K, "No Data")</f>
        <v>56</v>
      </c>
      <c r="O943" s="33">
        <f t="array" ref="O943">_xlfn.XLOOKUP($A943, 'Hospitalisation Details'!$A:$A, 'Hospitalisation Details'!G:G, "No Data")</f>
        <v>11658.38</v>
      </c>
      <c r="P943" s="28" t="str">
        <f t="array" ref="P943">_xlfn.XLOOKUP($A943, 'Hospitalisation Details'!$A:$A, 'Hospitalisation Details'!H:H, "No Data")</f>
        <v>tier - 3</v>
      </c>
    </row>
    <row r="944">
      <c r="A944" s="25" t="s">
        <v>3014</v>
      </c>
      <c r="B944" s="28" t="str">
        <f t="array" ref="B944">_xlfn.XLOOKUP($A944, 'Customer Names'!$A:$A, 'Customer Names'!B:B, "No Data")</f>
        <v>Plunkett</v>
      </c>
      <c r="C944" s="28">
        <f t="array" ref="C944">_xlfn.XLOOKUP($A944, 'Medical Examinations'!$A:$A, 'Medical Examinations'!B:B, "No Data")</f>
        <v>28.595</v>
      </c>
      <c r="D944" s="28">
        <f t="array" ref="D944">_xlfn.XLOOKUP($A944, 'Medical Examinations'!$A:$A, 'Medical Examinations'!C:C, "No Data")</f>
        <v>4.96</v>
      </c>
      <c r="E944" s="28" t="str">
        <f t="array" ref="E944">_xlfn.XLOOKUP($A944, 'Medical Examinations'!$A:$A, 'Medical Examinations'!D:D, "No Data")</f>
        <v>yes</v>
      </c>
      <c r="F944" s="28" t="str">
        <f t="array" ref="F944">_xlfn.XLOOKUP($A944, 'Medical Examinations'!$A:$A, 'Medical Examinations'!E:E, "No Data")</f>
        <v>No</v>
      </c>
      <c r="G944" s="28" t="str">
        <f t="array" ref="G944">_xlfn.XLOOKUP($A944, 'Medical Examinations'!$A:$A, 'Medical Examinations'!F:F, "No Data")</f>
        <v>No</v>
      </c>
      <c r="H944" s="28">
        <f t="array" ref="H944">_xlfn.XLOOKUP($A944, 'Medical Examinations'!$A:$A, 'Medical Examinations'!G:G, "No Data")</f>
        <v>2</v>
      </c>
      <c r="I944" s="28" t="str">
        <f t="array" ref="I944">_xlfn.XLOOKUP($A944, 'Medical Examinations'!$A:$A, 'Medical Examinations'!H:H, "No Data")</f>
        <v>No</v>
      </c>
      <c r="J944" s="28" t="str">
        <f t="array" ref="J944">_xlfn.XLOOKUP($A944, 'Medical Examinations'!$A:$A, 'Medical Examinations'!I:I, "No Data")</f>
        <v>Overweight</v>
      </c>
      <c r="K944" s="28" t="str">
        <f t="array" ref="K944">_xlfn.XLOOKUP($A944, 'Hospitalisation Details'!$A:$A, 'Hospitalisation Details'!I:I, "No Data")</f>
        <v>tier - 1</v>
      </c>
      <c r="L944" s="28" t="str">
        <f t="array" ref="L944">_xlfn.XLOOKUP($A944, 'Hospitalisation Details'!$A:$A, 'Hospitalisation Details'!J:J, "No Data")</f>
        <v>R1024</v>
      </c>
      <c r="M944" s="28" t="str">
        <f t="array" ref="M944">_xlfn.XLOOKUP($A944, 'Hospitalisation Details'!$A:$A, 'Hospitalisation Details'!E:E, "No Data")</f>
        <v>06/07/66</v>
      </c>
      <c r="N944" s="28">
        <f t="array" ref="N944">_xlfn.XLOOKUP($A944, 'Hospitalisation Details'!$A:$A, 'Hospitalisation Details'!K:K, "No Data")</f>
        <v>56</v>
      </c>
      <c r="O944" s="33">
        <f t="array" ref="O944">_xlfn.XLOOKUP($A944, 'Hospitalisation Details'!$A:$A, 'Hospitalisation Details'!G:G, "No Data")</f>
        <v>11658.12</v>
      </c>
      <c r="P944" s="28" t="str">
        <f t="array" ref="P944">_xlfn.XLOOKUP($A944, 'Hospitalisation Details'!$A:$A, 'Hospitalisation Details'!H:H, "No Data")</f>
        <v>tier - 3</v>
      </c>
    </row>
    <row r="945">
      <c r="A945" s="25" t="s">
        <v>3018</v>
      </c>
      <c r="B945" s="28" t="str">
        <f t="array" ref="B945">_xlfn.XLOOKUP($A945, 'Customer Names'!$A:$A, 'Customer Names'!B:B, "No Data")</f>
        <v>Murphy</v>
      </c>
      <c r="C945" s="28">
        <f t="array" ref="C945">_xlfn.XLOOKUP($A945, 'Medical Examinations'!$A:$A, 'Medical Examinations'!B:B, "No Data")</f>
        <v>48.75</v>
      </c>
      <c r="D945" s="28">
        <f t="array" ref="D945">_xlfn.XLOOKUP($A945, 'Medical Examinations'!$A:$A, 'Medical Examinations'!C:C, "No Data")</f>
        <v>4.34</v>
      </c>
      <c r="E945" s="28" t="str">
        <f t="array" ref="E945">_xlfn.XLOOKUP($A945, 'Medical Examinations'!$A:$A, 'Medical Examinations'!D:D, "No Data")</f>
        <v>No</v>
      </c>
      <c r="F945" s="28" t="str">
        <f t="array" ref="F945">_xlfn.XLOOKUP($A945, 'Medical Examinations'!$A:$A, 'Medical Examinations'!E:E, "No Data")</f>
        <v>No</v>
      </c>
      <c r="G945" s="28" t="str">
        <f t="array" ref="G945">_xlfn.XLOOKUP($A945, 'Medical Examinations'!$A:$A, 'Medical Examinations'!F:F, "No Data")</f>
        <v>No</v>
      </c>
      <c r="H945" s="28">
        <f t="array" ref="H945">_xlfn.XLOOKUP($A945, 'Medical Examinations'!$A:$A, 'Medical Examinations'!G:G, "No Data")</f>
        <v>0</v>
      </c>
      <c r="I945" s="28" t="str">
        <f t="array" ref="I945">_xlfn.XLOOKUP($A945, 'Medical Examinations'!$A:$A, 'Medical Examinations'!H:H, "No Data")</f>
        <v>No</v>
      </c>
      <c r="J945" s="28" t="str">
        <f t="array" ref="J945">_xlfn.XLOOKUP($A945, 'Medical Examinations'!$A:$A, 'Medical Examinations'!I:I, "No Data")</f>
        <v>Obesity</v>
      </c>
      <c r="K945" s="28" t="str">
        <f t="array" ref="K945">_xlfn.XLOOKUP($A945, 'Hospitalisation Details'!$A:$A, 'Hospitalisation Details'!I:I, "No Data")</f>
        <v>tier - 2</v>
      </c>
      <c r="L945" s="28" t="str">
        <f t="array" ref="L945">_xlfn.XLOOKUP($A945, 'Hospitalisation Details'!$A:$A, 'Hospitalisation Details'!J:J, "No Data")</f>
        <v>R1023</v>
      </c>
      <c r="M945" s="28" t="str">
        <f t="array" ref="M945">_xlfn.XLOOKUP($A945, 'Hospitalisation Details'!$A:$A, 'Hospitalisation Details'!E:E, "No Data")</f>
        <v>20/07/94</v>
      </c>
      <c r="N945" s="28">
        <f t="array" ref="N945">_xlfn.XLOOKUP($A945, 'Hospitalisation Details'!$A:$A, 'Hospitalisation Details'!K:K, "No Data")</f>
        <v>28</v>
      </c>
      <c r="O945" s="33">
        <f t="array" ref="O945">_xlfn.XLOOKUP($A945, 'Hospitalisation Details'!$A:$A, 'Hospitalisation Details'!G:G, "No Data")</f>
        <v>11657.81</v>
      </c>
      <c r="P945" s="28" t="str">
        <f t="array" ref="P945">_xlfn.XLOOKUP($A945, 'Hospitalisation Details'!$A:$A, 'Hospitalisation Details'!H:H, "No Data")</f>
        <v>tier - 3</v>
      </c>
    </row>
    <row r="946">
      <c r="A946" s="25" t="s">
        <v>3020</v>
      </c>
      <c r="B946" s="28" t="str">
        <f t="array" ref="B946">_xlfn.XLOOKUP($A946, 'Customer Names'!$A:$A, 'Customer Names'!B:B, "No Data")</f>
        <v>Gusmer</v>
      </c>
      <c r="C946" s="28">
        <f t="array" ref="C946">_xlfn.XLOOKUP($A946, 'Medical Examinations'!$A:$A, 'Medical Examinations'!B:B, "No Data")</f>
        <v>28.31</v>
      </c>
      <c r="D946" s="28">
        <f t="array" ref="D946">_xlfn.XLOOKUP($A946, 'Medical Examinations'!$A:$A, 'Medical Examinations'!C:C, "No Data")</f>
        <v>5.43</v>
      </c>
      <c r="E946" s="28" t="str">
        <f t="array" ref="E946">_xlfn.XLOOKUP($A946, 'Medical Examinations'!$A:$A, 'Medical Examinations'!D:D, "No Data")</f>
        <v>yes</v>
      </c>
      <c r="F946" s="28" t="str">
        <f t="array" ref="F946">_xlfn.XLOOKUP($A946, 'Medical Examinations'!$A:$A, 'Medical Examinations'!E:E, "No Data")</f>
        <v>No</v>
      </c>
      <c r="G946" s="28" t="str">
        <f t="array" ref="G946">_xlfn.XLOOKUP($A946, 'Medical Examinations'!$A:$A, 'Medical Examinations'!F:F, "No Data")</f>
        <v>No</v>
      </c>
      <c r="H946" s="28">
        <f t="array" ref="H946">_xlfn.XLOOKUP($A946, 'Medical Examinations'!$A:$A, 'Medical Examinations'!G:G, "No Data")</f>
        <v>2</v>
      </c>
      <c r="I946" s="28" t="str">
        <f t="array" ref="I946">_xlfn.XLOOKUP($A946, 'Medical Examinations'!$A:$A, 'Medical Examinations'!H:H, "No Data")</f>
        <v>No</v>
      </c>
      <c r="J946" s="28" t="str">
        <f t="array" ref="J946">_xlfn.XLOOKUP($A946, 'Medical Examinations'!$A:$A, 'Medical Examinations'!I:I, "No Data")</f>
        <v>Overweight</v>
      </c>
      <c r="K946" s="28" t="str">
        <f t="array" ref="K946">_xlfn.XLOOKUP($A946, 'Hospitalisation Details'!$A:$A, 'Hospitalisation Details'!I:I, "No Data")</f>
        <v>tier - 2</v>
      </c>
      <c r="L946" s="28" t="str">
        <f t="array" ref="L946">_xlfn.XLOOKUP($A946, 'Hospitalisation Details'!$A:$A, 'Hospitalisation Details'!J:J, "No Data")</f>
        <v>R1024</v>
      </c>
      <c r="M946" s="28" t="str">
        <f t="array" ref="M946">_xlfn.XLOOKUP($A946, 'Hospitalisation Details'!$A:$A, 'Hospitalisation Details'!E:E, "No Data")</f>
        <v>04/10/66</v>
      </c>
      <c r="N946" s="28">
        <f t="array" ref="N946">_xlfn.XLOOKUP($A946, 'Hospitalisation Details'!$A:$A, 'Hospitalisation Details'!K:K, "No Data")</f>
        <v>56</v>
      </c>
      <c r="O946" s="33">
        <f t="array" ref="O946">_xlfn.XLOOKUP($A946, 'Hospitalisation Details'!$A:$A, 'Hospitalisation Details'!G:G, "No Data")</f>
        <v>11657.72</v>
      </c>
      <c r="P946" s="28" t="str">
        <f t="array" ref="P946">_xlfn.XLOOKUP($A946, 'Hospitalisation Details'!$A:$A, 'Hospitalisation Details'!H:H, "No Data")</f>
        <v>tier - 3</v>
      </c>
    </row>
    <row r="947">
      <c r="A947" s="25" t="s">
        <v>3023</v>
      </c>
      <c r="B947" s="28" t="str">
        <f t="array" ref="B947">_xlfn.XLOOKUP($A947, 'Customer Names'!$A:$A, 'Customer Names'!B:B, "No Data")</f>
        <v>Loftus</v>
      </c>
      <c r="C947" s="28">
        <f t="array" ref="C947">_xlfn.XLOOKUP($A947, 'Medical Examinations'!$A:$A, 'Medical Examinations'!B:B, "No Data")</f>
        <v>38.39</v>
      </c>
      <c r="D947" s="28">
        <f t="array" ref="D947">_xlfn.XLOOKUP($A947, 'Medical Examinations'!$A:$A, 'Medical Examinations'!C:C, "No Data")</f>
        <v>8.33</v>
      </c>
      <c r="E947" s="28" t="str">
        <f t="array" ref="E947">_xlfn.XLOOKUP($A947, 'Medical Examinations'!$A:$A, 'Medical Examinations'!D:D, "No Data")</f>
        <v>yes</v>
      </c>
      <c r="F947" s="28" t="str">
        <f t="array" ref="F947">_xlfn.XLOOKUP($A947, 'Medical Examinations'!$A:$A, 'Medical Examinations'!E:E, "No Data")</f>
        <v>No</v>
      </c>
      <c r="G947" s="28" t="str">
        <f t="array" ref="G947">_xlfn.XLOOKUP($A947, 'Medical Examinations'!$A:$A, 'Medical Examinations'!F:F, "No Data")</f>
        <v>No</v>
      </c>
      <c r="H947" s="28">
        <f t="array" ref="H947">_xlfn.XLOOKUP($A947, 'Medical Examinations'!$A:$A, 'Medical Examinations'!G:G, "No Data")</f>
        <v>1</v>
      </c>
      <c r="I947" s="28" t="str">
        <f t="array" ref="I947">_xlfn.XLOOKUP($A947, 'Medical Examinations'!$A:$A, 'Medical Examinations'!H:H, "No Data")</f>
        <v>No</v>
      </c>
      <c r="J947" s="28" t="str">
        <f t="array" ref="J947">_xlfn.XLOOKUP($A947, 'Medical Examinations'!$A:$A, 'Medical Examinations'!I:I, "No Data")</f>
        <v>Obesity</v>
      </c>
      <c r="K947" s="28" t="str">
        <f t="array" ref="K947">_xlfn.XLOOKUP($A947, 'Hospitalisation Details'!$A:$A, 'Hospitalisation Details'!I:I, "No Data")</f>
        <v>tier - 3</v>
      </c>
      <c r="L947" s="28" t="str">
        <f t="array" ref="L947">_xlfn.XLOOKUP($A947, 'Hospitalisation Details'!$A:$A, 'Hospitalisation Details'!J:J, "No Data")</f>
        <v>R1022</v>
      </c>
      <c r="M947" s="28" t="str">
        <f t="array" ref="M947">_xlfn.XLOOKUP($A947, 'Hospitalisation Details'!$A:$A, 'Hospitalisation Details'!E:E, "No Data")</f>
        <v>17/07/86</v>
      </c>
      <c r="N947" s="28">
        <f t="array" ref="N947">_xlfn.XLOOKUP($A947, 'Hospitalisation Details'!$A:$A, 'Hospitalisation Details'!K:K, "No Data")</f>
        <v>36</v>
      </c>
      <c r="O947" s="33">
        <f t="array" ref="O947">_xlfn.XLOOKUP($A947, 'Hospitalisation Details'!$A:$A, 'Hospitalisation Details'!G:G, "No Data")</f>
        <v>11625.11</v>
      </c>
      <c r="P947" s="28" t="str">
        <f t="array" ref="P947">_xlfn.XLOOKUP($A947, 'Hospitalisation Details'!$A:$A, 'Hospitalisation Details'!H:H, "No Data")</f>
        <v>tier - 3</v>
      </c>
    </row>
    <row r="948">
      <c r="A948" s="25" t="s">
        <v>3025</v>
      </c>
      <c r="B948" s="28" t="str">
        <f t="array" ref="B948">_xlfn.XLOOKUP($A948, 'Customer Names'!$A:$A, 'Customer Names'!B:B, "No Data")</f>
        <v>Scott</v>
      </c>
      <c r="C948" s="28">
        <f t="array" ref="C948">_xlfn.XLOOKUP($A948, 'Medical Examinations'!$A:$A, 'Medical Examinations'!B:B, "No Data")</f>
        <v>25.87</v>
      </c>
      <c r="D948" s="28">
        <f t="array" ref="D948">_xlfn.XLOOKUP($A948, 'Medical Examinations'!$A:$A, 'Medical Examinations'!C:C, "No Data")</f>
        <v>5.63</v>
      </c>
      <c r="E948" s="28" t="str">
        <f t="array" ref="E948">_xlfn.XLOOKUP($A948, 'Medical Examinations'!$A:$A, 'Medical Examinations'!D:D, "No Data")</f>
        <v>yes</v>
      </c>
      <c r="F948" s="28" t="str">
        <f t="array" ref="F948">_xlfn.XLOOKUP($A948, 'Medical Examinations'!$A:$A, 'Medical Examinations'!E:E, "No Data")</f>
        <v>No</v>
      </c>
      <c r="G948" s="28" t="str">
        <f t="array" ref="G948">_xlfn.XLOOKUP($A948, 'Medical Examinations'!$A:$A, 'Medical Examinations'!F:F, "No Data")</f>
        <v>No</v>
      </c>
      <c r="H948" s="28">
        <f t="array" ref="H948">_xlfn.XLOOKUP($A948, 'Medical Examinations'!$A:$A, 'Medical Examinations'!G:G, "No Data")</f>
        <v>1</v>
      </c>
      <c r="I948" s="28" t="str">
        <f t="array" ref="I948">_xlfn.XLOOKUP($A948, 'Medical Examinations'!$A:$A, 'Medical Examinations'!H:H, "No Data")</f>
        <v>No</v>
      </c>
      <c r="J948" s="28" t="str">
        <f t="array" ref="J948">_xlfn.XLOOKUP($A948, 'Medical Examinations'!$A:$A, 'Medical Examinations'!I:I, "No Data")</f>
        <v>Overweight</v>
      </c>
      <c r="K948" s="28" t="str">
        <f t="array" ref="K948">_xlfn.XLOOKUP($A948, 'Hospitalisation Details'!$A:$A, 'Hospitalisation Details'!I:I, "No Data")</f>
        <v>tier - 1</v>
      </c>
      <c r="L948" s="28" t="str">
        <f t="array" ref="L948">_xlfn.XLOOKUP($A948, 'Hospitalisation Details'!$A:$A, 'Hospitalisation Details'!J:J, "No Data")</f>
        <v>R1020</v>
      </c>
      <c r="M948" s="28" t="str">
        <f t="array" ref="M948">_xlfn.XLOOKUP($A948, 'Hospitalisation Details'!$A:$A, 'Hospitalisation Details'!E:E, "No Data")</f>
        <v>20/06/64</v>
      </c>
      <c r="N948" s="28">
        <f t="array" ref="N948">_xlfn.XLOOKUP($A948, 'Hospitalisation Details'!$A:$A, 'Hospitalisation Details'!K:K, "No Data")</f>
        <v>58</v>
      </c>
      <c r="O948" s="33">
        <f t="array" ref="O948">_xlfn.XLOOKUP($A948, 'Hospitalisation Details'!$A:$A, 'Hospitalisation Details'!G:G, "No Data")</f>
        <v>11602.75</v>
      </c>
      <c r="P948" s="28" t="str">
        <f t="array" ref="P948">_xlfn.XLOOKUP($A948, 'Hospitalisation Details'!$A:$A, 'Hospitalisation Details'!H:H, "No Data")</f>
        <v>tier - 3</v>
      </c>
    </row>
    <row r="949">
      <c r="A949" s="25" t="s">
        <v>3028</v>
      </c>
      <c r="B949" s="28" t="str">
        <f t="array" ref="B949">_xlfn.XLOOKUP($A949, 'Customer Names'!$A:$A, 'Customer Names'!B:B, "No Data")</f>
        <v>Alvarez</v>
      </c>
      <c r="C949" s="28">
        <f t="array" ref="C949">_xlfn.XLOOKUP($A949, 'Medical Examinations'!$A:$A, 'Medical Examinations'!B:B, "No Data")</f>
        <v>43.7</v>
      </c>
      <c r="D949" s="28">
        <f t="array" ref="D949">_xlfn.XLOOKUP($A949, 'Medical Examinations'!$A:$A, 'Medical Examinations'!C:C, "No Data")</f>
        <v>7.23</v>
      </c>
      <c r="E949" s="28" t="str">
        <f t="array" ref="E949">_xlfn.XLOOKUP($A949, 'Medical Examinations'!$A:$A, 'Medical Examinations'!D:D, "No Data")</f>
        <v>No</v>
      </c>
      <c r="F949" s="28" t="str">
        <f t="array" ref="F949">_xlfn.XLOOKUP($A949, 'Medical Examinations'!$A:$A, 'Medical Examinations'!E:E, "No Data")</f>
        <v>No</v>
      </c>
      <c r="G949" s="28" t="str">
        <f t="array" ref="G949">_xlfn.XLOOKUP($A949, 'Medical Examinations'!$A:$A, 'Medical Examinations'!F:F, "No Data")</f>
        <v>No</v>
      </c>
      <c r="H949" s="28">
        <f t="array" ref="H949">_xlfn.XLOOKUP($A949, 'Medical Examinations'!$A:$A, 'Medical Examinations'!G:G, "No Data")</f>
        <v>0</v>
      </c>
      <c r="I949" s="28" t="str">
        <f t="array" ref="I949">_xlfn.XLOOKUP($A949, 'Medical Examinations'!$A:$A, 'Medical Examinations'!H:H, "No Data")</f>
        <v>No</v>
      </c>
      <c r="J949" s="28" t="str">
        <f t="array" ref="J949">_xlfn.XLOOKUP($A949, 'Medical Examinations'!$A:$A, 'Medical Examinations'!I:I, "No Data")</f>
        <v>Obesity</v>
      </c>
      <c r="K949" s="28" t="str">
        <f t="array" ref="K949">_xlfn.XLOOKUP($A949, 'Hospitalisation Details'!$A:$A, 'Hospitalisation Details'!I:I, "No Data")</f>
        <v>tier - 3</v>
      </c>
      <c r="L949" s="28" t="str">
        <f t="array" ref="L949">_xlfn.XLOOKUP($A949, 'Hospitalisation Details'!$A:$A, 'Hospitalisation Details'!J:J, "No Data")</f>
        <v>R1011</v>
      </c>
      <c r="M949" s="28" t="str">
        <f t="array" ref="M949">_xlfn.XLOOKUP($A949, 'Hospitalisation Details'!$A:$A, 'Hospitalisation Details'!E:E, "No Data")</f>
        <v>06/11/65</v>
      </c>
      <c r="N949" s="28">
        <f t="array" ref="N949">_xlfn.XLOOKUP($A949, 'Hospitalisation Details'!$A:$A, 'Hospitalisation Details'!K:K, "No Data")</f>
        <v>57</v>
      </c>
      <c r="O949" s="33">
        <f t="array" ref="O949">_xlfn.XLOOKUP($A949, 'Hospitalisation Details'!$A:$A, 'Hospitalisation Details'!G:G, "No Data")</f>
        <v>11576.13</v>
      </c>
      <c r="P949" s="28" t="str">
        <f t="array" ref="P949">_xlfn.XLOOKUP($A949, 'Hospitalisation Details'!$A:$A, 'Hospitalisation Details'!H:H, "No Data")</f>
        <v>tier - 3</v>
      </c>
    </row>
    <row r="950">
      <c r="A950" s="25" t="s">
        <v>3031</v>
      </c>
      <c r="B950" s="28" t="str">
        <f t="array" ref="B950">_xlfn.XLOOKUP($A950, 'Customer Names'!$A:$A, 'Customer Names'!B:B, "No Data")</f>
        <v>Petersson</v>
      </c>
      <c r="C950" s="28">
        <f t="array" ref="C950">_xlfn.XLOOKUP($A950, 'Medical Examinations'!$A:$A, 'Medical Examinations'!B:B, "No Data")</f>
        <v>40.945</v>
      </c>
      <c r="D950" s="28">
        <f t="array" ref="D950">_xlfn.XLOOKUP($A950, 'Medical Examinations'!$A:$A, 'Medical Examinations'!C:C, "No Data")</f>
        <v>10.57</v>
      </c>
      <c r="E950" s="28" t="str">
        <f t="array" ref="E950">_xlfn.XLOOKUP($A950, 'Medical Examinations'!$A:$A, 'Medical Examinations'!D:D, "No Data")</f>
        <v>No</v>
      </c>
      <c r="F950" s="28" t="str">
        <f t="array" ref="F950">_xlfn.XLOOKUP($A950, 'Medical Examinations'!$A:$A, 'Medical Examinations'!E:E, "No Data")</f>
        <v>No</v>
      </c>
      <c r="G950" s="28" t="str">
        <f t="array" ref="G950">_xlfn.XLOOKUP($A950, 'Medical Examinations'!$A:$A, 'Medical Examinations'!F:F, "No Data")</f>
        <v>No</v>
      </c>
      <c r="H950" s="28">
        <f t="array" ref="H950">_xlfn.XLOOKUP($A950, 'Medical Examinations'!$A:$A, 'Medical Examinations'!G:G, "No Data")</f>
        <v>0</v>
      </c>
      <c r="I950" s="28" t="str">
        <f t="array" ref="I950">_xlfn.XLOOKUP($A950, 'Medical Examinations'!$A:$A, 'Medical Examinations'!H:H, "No Data")</f>
        <v>No</v>
      </c>
      <c r="J950" s="28" t="str">
        <f t="array" ref="J950">_xlfn.XLOOKUP($A950, 'Medical Examinations'!$A:$A, 'Medical Examinations'!I:I, "No Data")</f>
        <v>Obesity</v>
      </c>
      <c r="K950" s="28" t="str">
        <f t="array" ref="K950">_xlfn.XLOOKUP($A950, 'Hospitalisation Details'!$A:$A, 'Hospitalisation Details'!I:I, "No Data")</f>
        <v>tier - 3</v>
      </c>
      <c r="L950" s="28" t="str">
        <f t="array" ref="L950">_xlfn.XLOOKUP($A950, 'Hospitalisation Details'!$A:$A, 'Hospitalisation Details'!J:J, "No Data")</f>
        <v>R1016</v>
      </c>
      <c r="M950" s="28" t="str">
        <f t="array" ref="M950">_xlfn.XLOOKUP($A950, 'Hospitalisation Details'!$A:$A, 'Hospitalisation Details'!E:E, "No Data")</f>
        <v>25/12/65</v>
      </c>
      <c r="N950" s="28">
        <f t="array" ref="N950">_xlfn.XLOOKUP($A950, 'Hospitalisation Details'!$A:$A, 'Hospitalisation Details'!K:K, "No Data")</f>
        <v>57</v>
      </c>
      <c r="O950" s="33">
        <f t="array" ref="O950">_xlfn.XLOOKUP($A950, 'Hospitalisation Details'!$A:$A, 'Hospitalisation Details'!G:G, "No Data")</f>
        <v>11566.3</v>
      </c>
      <c r="P950" s="28" t="str">
        <f t="array" ref="P950">_xlfn.XLOOKUP($A950, 'Hospitalisation Details'!$A:$A, 'Hospitalisation Details'!H:H, "No Data")</f>
        <v>tier - 3</v>
      </c>
    </row>
    <row r="951">
      <c r="A951" s="25" t="s">
        <v>3033</v>
      </c>
      <c r="B951" s="28" t="str">
        <f t="array" ref="B951">_xlfn.XLOOKUP($A951, 'Customer Names'!$A:$A, 'Customer Names'!B:B, "No Data")</f>
        <v>Liaw</v>
      </c>
      <c r="C951" s="28">
        <f t="array" ref="C951">_xlfn.XLOOKUP($A951, 'Medical Examinations'!$A:$A, 'Medical Examinations'!B:B, "No Data")</f>
        <v>27.94</v>
      </c>
      <c r="D951" s="28">
        <f t="array" ref="D951">_xlfn.XLOOKUP($A951, 'Medical Examinations'!$A:$A, 'Medical Examinations'!C:C, "No Data")</f>
        <v>7.92</v>
      </c>
      <c r="E951" s="28" t="str">
        <f t="array" ref="E951">_xlfn.XLOOKUP($A951, 'Medical Examinations'!$A:$A, 'Medical Examinations'!D:D, "No Data")</f>
        <v>No</v>
      </c>
      <c r="F951" s="28" t="str">
        <f t="array" ref="F951">_xlfn.XLOOKUP($A951, 'Medical Examinations'!$A:$A, 'Medical Examinations'!E:E, "No Data")</f>
        <v>No</v>
      </c>
      <c r="G951" s="28" t="str">
        <f t="array" ref="G951">_xlfn.XLOOKUP($A951, 'Medical Examinations'!$A:$A, 'Medical Examinations'!F:F, "No Data")</f>
        <v>No</v>
      </c>
      <c r="H951" s="28">
        <f t="array" ref="H951">_xlfn.XLOOKUP($A951, 'Medical Examinations'!$A:$A, 'Medical Examinations'!G:G, "No Data")</f>
        <v>0</v>
      </c>
      <c r="I951" s="28" t="str">
        <f t="array" ref="I951">_xlfn.XLOOKUP($A951, 'Medical Examinations'!$A:$A, 'Medical Examinations'!H:H, "No Data")</f>
        <v>No</v>
      </c>
      <c r="J951" s="28" t="str">
        <f t="array" ref="J951">_xlfn.XLOOKUP($A951, 'Medical Examinations'!$A:$A, 'Medical Examinations'!I:I, "No Data")</f>
        <v>Overweight</v>
      </c>
      <c r="K951" s="28" t="str">
        <f t="array" ref="K951">_xlfn.XLOOKUP($A951, 'Hospitalisation Details'!$A:$A, 'Hospitalisation Details'!I:I, "No Data")</f>
        <v>tier - 1</v>
      </c>
      <c r="L951" s="28" t="str">
        <f t="array" ref="L951">_xlfn.XLOOKUP($A951, 'Hospitalisation Details'!$A:$A, 'Hospitalisation Details'!J:J, "No Data")</f>
        <v>R1013</v>
      </c>
      <c r="M951" s="28" t="str">
        <f t="array" ref="M951">_xlfn.XLOOKUP($A951, 'Hospitalisation Details'!$A:$A, 'Hospitalisation Details'!E:E, "No Data")</f>
        <v>27/10/65</v>
      </c>
      <c r="N951" s="28">
        <f t="array" ref="N951">_xlfn.XLOOKUP($A951, 'Hospitalisation Details'!$A:$A, 'Hospitalisation Details'!K:K, "No Data")</f>
        <v>57</v>
      </c>
      <c r="O951" s="33">
        <f t="array" ref="O951">_xlfn.XLOOKUP($A951, 'Hospitalisation Details'!$A:$A, 'Hospitalisation Details'!G:G, "No Data")</f>
        <v>11554.22</v>
      </c>
      <c r="P951" s="28" t="str">
        <f t="array" ref="P951">_xlfn.XLOOKUP($A951, 'Hospitalisation Details'!$A:$A, 'Hospitalisation Details'!H:H, "No Data")</f>
        <v>tier - 3</v>
      </c>
    </row>
    <row r="952">
      <c r="A952" s="25" t="s">
        <v>3036</v>
      </c>
      <c r="B952" s="28" t="str">
        <f t="array" ref="B952">_xlfn.XLOOKUP($A952, 'Customer Names'!$A:$A, 'Customer Names'!B:B, "No Data")</f>
        <v>Tripaldi</v>
      </c>
      <c r="C952" s="28">
        <f t="array" ref="C952">_xlfn.XLOOKUP($A952, 'Medical Examinations'!$A:$A, 'Medical Examinations'!B:B, "No Data")</f>
        <v>31.9</v>
      </c>
      <c r="D952" s="28">
        <f t="array" ref="D952">_xlfn.XLOOKUP($A952, 'Medical Examinations'!$A:$A, 'Medical Examinations'!C:C, "No Data")</f>
        <v>10.12</v>
      </c>
      <c r="E952" s="28" t="str">
        <f t="array" ref="E952">_xlfn.XLOOKUP($A952, 'Medical Examinations'!$A:$A, 'Medical Examinations'!D:D, "No Data")</f>
        <v>No</v>
      </c>
      <c r="F952" s="28" t="str">
        <f t="array" ref="F952">_xlfn.XLOOKUP($A952, 'Medical Examinations'!$A:$A, 'Medical Examinations'!E:E, "No Data")</f>
        <v>No</v>
      </c>
      <c r="G952" s="28" t="str">
        <f t="array" ref="G952">_xlfn.XLOOKUP($A952, 'Medical Examinations'!$A:$A, 'Medical Examinations'!F:F, "No Data")</f>
        <v>No</v>
      </c>
      <c r="H952" s="28">
        <f t="array" ref="H952">_xlfn.XLOOKUP($A952, 'Medical Examinations'!$A:$A, 'Medical Examinations'!G:G, "No Data")</f>
        <v>2</v>
      </c>
      <c r="I952" s="28" t="str">
        <f t="array" ref="I952">_xlfn.XLOOKUP($A952, 'Medical Examinations'!$A:$A, 'Medical Examinations'!H:H, "No Data")</f>
        <v>No</v>
      </c>
      <c r="J952" s="28" t="str">
        <f t="array" ref="J952">_xlfn.XLOOKUP($A952, 'Medical Examinations'!$A:$A, 'Medical Examinations'!I:I, "No Data")</f>
        <v>Obesity</v>
      </c>
      <c r="K952" s="28" t="str">
        <f t="array" ref="K952">_xlfn.XLOOKUP($A952, 'Hospitalisation Details'!$A:$A, 'Hospitalisation Details'!I:I, "No Data")</f>
        <v>tier - 2</v>
      </c>
      <c r="L952" s="28" t="str">
        <f t="array" ref="L952">_xlfn.XLOOKUP($A952, 'Hospitalisation Details'!$A:$A, 'Hospitalisation Details'!J:J, "No Data")</f>
        <v>R1011</v>
      </c>
      <c r="M952" s="28" t="str">
        <f t="array" ref="M952">_xlfn.XLOOKUP($A952, 'Hospitalisation Details'!$A:$A, 'Hospitalisation Details'!E:E, "No Data")</f>
        <v>23/07/73</v>
      </c>
      <c r="N952" s="28">
        <f t="array" ref="N952">_xlfn.XLOOKUP($A952, 'Hospitalisation Details'!$A:$A, 'Hospitalisation Details'!K:K, "No Data")</f>
        <v>49</v>
      </c>
      <c r="O952" s="33">
        <f t="array" ref="O952">_xlfn.XLOOKUP($A952, 'Hospitalisation Details'!$A:$A, 'Hospitalisation Details'!G:G, "No Data")</f>
        <v>11552.9</v>
      </c>
      <c r="P952" s="28" t="str">
        <f t="array" ref="P952">_xlfn.XLOOKUP($A952, 'Hospitalisation Details'!$A:$A, 'Hospitalisation Details'!H:H, "No Data")</f>
        <v>tier - 3</v>
      </c>
    </row>
    <row r="953">
      <c r="A953" s="25" t="s">
        <v>3040</v>
      </c>
      <c r="B953" s="28" t="str">
        <f t="array" ref="B953">_xlfn.XLOOKUP($A953, 'Customer Names'!$A:$A, 'Customer Names'!B:B, "No Data")</f>
        <v>Kelley</v>
      </c>
      <c r="C953" s="28">
        <f t="array" ref="C953">_xlfn.XLOOKUP($A953, 'Medical Examinations'!$A:$A, 'Medical Examinations'!B:B, "No Data")</f>
        <v>31.64</v>
      </c>
      <c r="D953" s="28">
        <f t="array" ref="D953">_xlfn.XLOOKUP($A953, 'Medical Examinations'!$A:$A, 'Medical Examinations'!C:C, "No Data")</f>
        <v>7.91</v>
      </c>
      <c r="E953" s="28" t="str">
        <f t="array" ref="E953">_xlfn.XLOOKUP($A953, 'Medical Examinations'!$A:$A, 'Medical Examinations'!D:D, "No Data")</f>
        <v>No</v>
      </c>
      <c r="F953" s="28" t="str">
        <f t="array" ref="F953">_xlfn.XLOOKUP($A953, 'Medical Examinations'!$A:$A, 'Medical Examinations'!E:E, "No Data")</f>
        <v>No</v>
      </c>
      <c r="G953" s="28" t="str">
        <f t="array" ref="G953">_xlfn.XLOOKUP($A953, 'Medical Examinations'!$A:$A, 'Medical Examinations'!F:F, "No Data")</f>
        <v>No</v>
      </c>
      <c r="H953" s="28">
        <f t="array" ref="H953">_xlfn.XLOOKUP($A953, 'Medical Examinations'!$A:$A, 'Medical Examinations'!G:G, "No Data")</f>
        <v>0</v>
      </c>
      <c r="I953" s="28" t="str">
        <f t="array" ref="I953">_xlfn.XLOOKUP($A953, 'Medical Examinations'!$A:$A, 'Medical Examinations'!H:H, "No Data")</f>
        <v>No</v>
      </c>
      <c r="J953" s="28" t="str">
        <f t="array" ref="J953">_xlfn.XLOOKUP($A953, 'Medical Examinations'!$A:$A, 'Medical Examinations'!I:I, "No Data")</f>
        <v>Obesity</v>
      </c>
      <c r="K953" s="28" t="str">
        <f t="array" ref="K953">_xlfn.XLOOKUP($A953, 'Hospitalisation Details'!$A:$A, 'Hospitalisation Details'!I:I, "No Data")</f>
        <v>tier - 1</v>
      </c>
      <c r="L953" s="28" t="str">
        <f t="array" ref="L953">_xlfn.XLOOKUP($A953, 'Hospitalisation Details'!$A:$A, 'Hospitalisation Details'!J:J, "No Data")</f>
        <v>R1012</v>
      </c>
      <c r="M953" s="28" t="str">
        <f t="array" ref="M953">_xlfn.XLOOKUP($A953, 'Hospitalisation Details'!$A:$A, 'Hospitalisation Details'!E:E, "No Data")</f>
        <v>01/12/71</v>
      </c>
      <c r="N953" s="28">
        <f t="array" ref="N953">_xlfn.XLOOKUP($A953, 'Hospitalisation Details'!$A:$A, 'Hospitalisation Details'!K:K, "No Data")</f>
        <v>51</v>
      </c>
      <c r="O953" s="33">
        <f t="array" ref="O953">_xlfn.XLOOKUP($A953, 'Hospitalisation Details'!$A:$A, 'Hospitalisation Details'!G:G, "No Data")</f>
        <v>11540.25</v>
      </c>
      <c r="P953" s="28" t="str">
        <f t="array" ref="P953">_xlfn.XLOOKUP($A953, 'Hospitalisation Details'!$A:$A, 'Hospitalisation Details'!H:H, "No Data")</f>
        <v>tier - 3</v>
      </c>
    </row>
    <row r="954">
      <c r="A954" s="25" t="s">
        <v>3043</v>
      </c>
      <c r="B954" s="28" t="str">
        <f t="array" ref="B954">_xlfn.XLOOKUP($A954, 'Customer Names'!$A:$A, 'Customer Names'!B:B, "No Data")</f>
        <v>Endara</v>
      </c>
      <c r="C954" s="28">
        <f t="array" ref="C954">_xlfn.XLOOKUP($A954, 'Medical Examinations'!$A:$A, 'Medical Examinations'!B:B, "No Data")</f>
        <v>46.7</v>
      </c>
      <c r="D954" s="28">
        <f t="array" ref="D954">_xlfn.XLOOKUP($A954, 'Medical Examinations'!$A:$A, 'Medical Examinations'!C:C, "No Data")</f>
        <v>10.9</v>
      </c>
      <c r="E954" s="28" t="str">
        <f t="array" ref="E954">_xlfn.XLOOKUP($A954, 'Medical Examinations'!$A:$A, 'Medical Examinations'!D:D, "No Data")</f>
        <v>No</v>
      </c>
      <c r="F954" s="28" t="str">
        <f t="array" ref="F954">_xlfn.XLOOKUP($A954, 'Medical Examinations'!$A:$A, 'Medical Examinations'!E:E, "No Data")</f>
        <v>No</v>
      </c>
      <c r="G954" s="28" t="str">
        <f t="array" ref="G954">_xlfn.XLOOKUP($A954, 'Medical Examinations'!$A:$A, 'Medical Examinations'!F:F, "No Data")</f>
        <v>No</v>
      </c>
      <c r="H954" s="28">
        <f t="array" ref="H954">_xlfn.XLOOKUP($A954, 'Medical Examinations'!$A:$A, 'Medical Examinations'!G:G, "No Data")</f>
        <v>0</v>
      </c>
      <c r="I954" s="28" t="str">
        <f t="array" ref="I954">_xlfn.XLOOKUP($A954, 'Medical Examinations'!$A:$A, 'Medical Examinations'!H:H, "No Data")</f>
        <v>No</v>
      </c>
      <c r="J954" s="28" t="str">
        <f t="array" ref="J954">_xlfn.XLOOKUP($A954, 'Medical Examinations'!$A:$A, 'Medical Examinations'!I:I, "No Data")</f>
        <v>Obesity</v>
      </c>
      <c r="K954" s="28" t="str">
        <f t="array" ref="K954">_xlfn.XLOOKUP($A954, 'Hospitalisation Details'!$A:$A, 'Hospitalisation Details'!I:I, "No Data")</f>
        <v>tier - 1</v>
      </c>
      <c r="L954" s="28" t="str">
        <f t="array" ref="L954">_xlfn.XLOOKUP($A954, 'Hospitalisation Details'!$A:$A, 'Hospitalisation Details'!J:J, "No Data")</f>
        <v>R1011</v>
      </c>
      <c r="M954" s="28" t="str">
        <f t="array" ref="M954">_xlfn.XLOOKUP($A954, 'Hospitalisation Details'!$A:$A, 'Hospitalisation Details'!E:E, "No Data")</f>
        <v>14/11/68</v>
      </c>
      <c r="N954" s="28">
        <f t="array" ref="N954">_xlfn.XLOOKUP($A954, 'Hospitalisation Details'!$A:$A, 'Hospitalisation Details'!K:K, "No Data")</f>
        <v>54</v>
      </c>
      <c r="O954" s="33">
        <f t="array" ref="O954">_xlfn.XLOOKUP($A954, 'Hospitalisation Details'!$A:$A, 'Hospitalisation Details'!G:G, "No Data")</f>
        <v>11538.42</v>
      </c>
      <c r="P954" s="28" t="str">
        <f t="array" ref="P954">_xlfn.XLOOKUP($A954, 'Hospitalisation Details'!$A:$A, 'Hospitalisation Details'!H:H, "No Data")</f>
        <v>tier - 3</v>
      </c>
    </row>
    <row r="955">
      <c r="A955" s="25" t="s">
        <v>3046</v>
      </c>
      <c r="B955" s="28" t="str">
        <f t="array" ref="B955">_xlfn.XLOOKUP($A955, 'Customer Names'!$A:$A, 'Customer Names'!B:B, "No Data")</f>
        <v>Valle</v>
      </c>
      <c r="C955" s="28">
        <f t="array" ref="C955">_xlfn.XLOOKUP($A955, 'Medical Examinations'!$A:$A, 'Medical Examinations'!B:B, "No Data")</f>
        <v>18.335</v>
      </c>
      <c r="D955" s="28">
        <f t="array" ref="D955">_xlfn.XLOOKUP($A955, 'Medical Examinations'!$A:$A, 'Medical Examinations'!C:C, "No Data")</f>
        <v>11.83</v>
      </c>
      <c r="E955" s="28" t="str">
        <f t="array" ref="E955">_xlfn.XLOOKUP($A955, 'Medical Examinations'!$A:$A, 'Medical Examinations'!D:D, "No Data")</f>
        <v>No</v>
      </c>
      <c r="F955" s="28" t="str">
        <f t="array" ref="F955">_xlfn.XLOOKUP($A955, 'Medical Examinations'!$A:$A, 'Medical Examinations'!E:E, "No Data")</f>
        <v>No</v>
      </c>
      <c r="G955" s="28" t="str">
        <f t="array" ref="G955">_xlfn.XLOOKUP($A955, 'Medical Examinations'!$A:$A, 'Medical Examinations'!F:F, "No Data")</f>
        <v>No</v>
      </c>
      <c r="H955" s="28">
        <f t="array" ref="H955">_xlfn.XLOOKUP($A955, 'Medical Examinations'!$A:$A, 'Medical Examinations'!G:G, "No Data")</f>
        <v>0</v>
      </c>
      <c r="I955" s="28" t="str">
        <f t="array" ref="I955">_xlfn.XLOOKUP($A955, 'Medical Examinations'!$A:$A, 'Medical Examinations'!H:H, "No Data")</f>
        <v>No</v>
      </c>
      <c r="J955" s="28" t="str">
        <f t="array" ref="J955">_xlfn.XLOOKUP($A955, 'Medical Examinations'!$A:$A, 'Medical Examinations'!I:I, "No Data")</f>
        <v>Underweight</v>
      </c>
      <c r="K955" s="28" t="str">
        <f t="array" ref="K955">_xlfn.XLOOKUP($A955, 'Hospitalisation Details'!$A:$A, 'Hospitalisation Details'!I:I, "No Data")</f>
        <v>tier - 1</v>
      </c>
      <c r="L955" s="28" t="str">
        <f t="array" ref="L955">_xlfn.XLOOKUP($A955, 'Hospitalisation Details'!$A:$A, 'Hospitalisation Details'!J:J, "No Data")</f>
        <v>R1017</v>
      </c>
      <c r="M955" s="28" t="str">
        <f t="array" ref="M955">_xlfn.XLOOKUP($A955, 'Hospitalisation Details'!$A:$A, 'Hospitalisation Details'!E:E, "No Data")</f>
        <v>03/10/65</v>
      </c>
      <c r="N955" s="28">
        <f t="array" ref="N955">_xlfn.XLOOKUP($A955, 'Hospitalisation Details'!$A:$A, 'Hospitalisation Details'!K:K, "No Data")</f>
        <v>57</v>
      </c>
      <c r="O955" s="33">
        <f t="array" ref="O955">_xlfn.XLOOKUP($A955, 'Hospitalisation Details'!$A:$A, 'Hospitalisation Details'!G:G, "No Data")</f>
        <v>11534.87</v>
      </c>
      <c r="P955" s="28" t="str">
        <f t="array" ref="P955">_xlfn.XLOOKUP($A955, 'Hospitalisation Details'!$A:$A, 'Hospitalisation Details'!H:H, "No Data")</f>
        <v>tier - 3</v>
      </c>
    </row>
    <row r="956">
      <c r="A956" s="25" t="s">
        <v>3050</v>
      </c>
      <c r="B956" s="28" t="str">
        <f t="array" ref="B956">_xlfn.XLOOKUP($A956, 'Customer Names'!$A:$A, 'Customer Names'!B:B, "No Data")</f>
        <v>Germain</v>
      </c>
      <c r="C956" s="28">
        <f t="array" ref="C956">_xlfn.XLOOKUP($A956, 'Medical Examinations'!$A:$A, 'Medical Examinations'!B:B, "No Data")</f>
        <v>31.24</v>
      </c>
      <c r="D956" s="28">
        <f t="array" ref="D956">_xlfn.XLOOKUP($A956, 'Medical Examinations'!$A:$A, 'Medical Examinations'!C:C, "No Data")</f>
        <v>7.42</v>
      </c>
      <c r="E956" s="28" t="str">
        <f t="array" ref="E956">_xlfn.XLOOKUP($A956, 'Medical Examinations'!$A:$A, 'Medical Examinations'!D:D, "No Data")</f>
        <v>yes</v>
      </c>
      <c r="F956" s="28" t="str">
        <f t="array" ref="F956">_xlfn.XLOOKUP($A956, 'Medical Examinations'!$A:$A, 'Medical Examinations'!E:E, "No Data")</f>
        <v>No</v>
      </c>
      <c r="G956" s="28" t="str">
        <f t="array" ref="G956">_xlfn.XLOOKUP($A956, 'Medical Examinations'!$A:$A, 'Medical Examinations'!F:F, "No Data")</f>
        <v>No</v>
      </c>
      <c r="H956" s="28">
        <f t="array" ref="H956">_xlfn.XLOOKUP($A956, 'Medical Examinations'!$A:$A, 'Medical Examinations'!G:G, "No Data")</f>
        <v>2</v>
      </c>
      <c r="I956" s="28" t="str">
        <f t="array" ref="I956">_xlfn.XLOOKUP($A956, 'Medical Examinations'!$A:$A, 'Medical Examinations'!H:H, "No Data")</f>
        <v>No</v>
      </c>
      <c r="J956" s="28" t="str">
        <f t="array" ref="J956">_xlfn.XLOOKUP($A956, 'Medical Examinations'!$A:$A, 'Medical Examinations'!I:I, "No Data")</f>
        <v>Obesity</v>
      </c>
      <c r="K956" s="28" t="str">
        <f t="array" ref="K956">_xlfn.XLOOKUP($A956, 'Hospitalisation Details'!$A:$A, 'Hospitalisation Details'!I:I, "No Data")</f>
        <v>tier - 1</v>
      </c>
      <c r="L956" s="28" t="str">
        <f t="array" ref="L956">_xlfn.XLOOKUP($A956, 'Hospitalisation Details'!$A:$A, 'Hospitalisation Details'!J:J, "No Data")</f>
        <v>R1012</v>
      </c>
      <c r="M956" s="28" t="str">
        <f t="array" ref="M956">_xlfn.XLOOKUP($A956, 'Hospitalisation Details'!$A:$A, 'Hospitalisation Details'!E:E, "No Data")</f>
        <v>23/07/70</v>
      </c>
      <c r="N956" s="28">
        <f t="array" ref="N956">_xlfn.XLOOKUP($A956, 'Hospitalisation Details'!$A:$A, 'Hospitalisation Details'!K:K, "No Data")</f>
        <v>52</v>
      </c>
      <c r="O956" s="33">
        <f t="array" ref="O956">_xlfn.XLOOKUP($A956, 'Hospitalisation Details'!$A:$A, 'Hospitalisation Details'!G:G, "No Data")</f>
        <v>11530.12</v>
      </c>
      <c r="P956" s="28" t="str">
        <f t="array" ref="P956">_xlfn.XLOOKUP($A956, 'Hospitalisation Details'!$A:$A, 'Hospitalisation Details'!H:H, "No Data")</f>
        <v>tier - 3</v>
      </c>
    </row>
    <row r="957">
      <c r="A957" s="25" t="s">
        <v>3054</v>
      </c>
      <c r="B957" s="28" t="str">
        <f t="array" ref="B957">_xlfn.XLOOKUP($A957, 'Customer Names'!$A:$A, 'Customer Names'!B:B, "No Data")</f>
        <v>Finecey</v>
      </c>
      <c r="C957" s="28">
        <f t="array" ref="C957">_xlfn.XLOOKUP($A957, 'Medical Examinations'!$A:$A, 'Medical Examinations'!B:B, "No Data")</f>
        <v>39.22</v>
      </c>
      <c r="D957" s="28">
        <f t="array" ref="D957">_xlfn.XLOOKUP($A957, 'Medical Examinations'!$A:$A, 'Medical Examinations'!C:C, "No Data")</f>
        <v>5.62</v>
      </c>
      <c r="E957" s="28" t="str">
        <f t="array" ref="E957">_xlfn.XLOOKUP($A957, 'Medical Examinations'!$A:$A, 'Medical Examinations'!D:D, "No Data")</f>
        <v>yes</v>
      </c>
      <c r="F957" s="28" t="str">
        <f t="array" ref="F957">_xlfn.XLOOKUP($A957, 'Medical Examinations'!$A:$A, 'Medical Examinations'!E:E, "No Data")</f>
        <v>No</v>
      </c>
      <c r="G957" s="28" t="str">
        <f t="array" ref="G957">_xlfn.XLOOKUP($A957, 'Medical Examinations'!$A:$A, 'Medical Examinations'!F:F, "No Data")</f>
        <v>No</v>
      </c>
      <c r="H957" s="28">
        <f t="array" ref="H957">_xlfn.XLOOKUP($A957, 'Medical Examinations'!$A:$A, 'Medical Examinations'!G:G, "No Data")</f>
        <v>1</v>
      </c>
      <c r="I957" s="28" t="str">
        <f t="array" ref="I957">_xlfn.XLOOKUP($A957, 'Medical Examinations'!$A:$A, 'Medical Examinations'!H:H, "No Data")</f>
        <v>No</v>
      </c>
      <c r="J957" s="28" t="str">
        <f t="array" ref="J957">_xlfn.XLOOKUP($A957, 'Medical Examinations'!$A:$A, 'Medical Examinations'!I:I, "No Data")</f>
        <v>Obesity</v>
      </c>
      <c r="K957" s="28" t="str">
        <f t="array" ref="K957">_xlfn.XLOOKUP($A957, 'Hospitalisation Details'!$A:$A, 'Hospitalisation Details'!I:I, "No Data")</f>
        <v>tier - 1</v>
      </c>
      <c r="L957" s="28" t="str">
        <f t="array" ref="L957">_xlfn.XLOOKUP($A957, 'Hospitalisation Details'!$A:$A, 'Hospitalisation Details'!J:J, "No Data")</f>
        <v>R1026</v>
      </c>
      <c r="M957" s="28" t="str">
        <f t="array" ref="M957">_xlfn.XLOOKUP($A957, 'Hospitalisation Details'!$A:$A, 'Hospitalisation Details'!E:E, "No Data")</f>
        <v>12/06/88</v>
      </c>
      <c r="N957" s="28">
        <f t="array" ref="N957">_xlfn.XLOOKUP($A957, 'Hospitalisation Details'!$A:$A, 'Hospitalisation Details'!K:K, "No Data")</f>
        <v>34</v>
      </c>
      <c r="O957" s="33">
        <f t="array" ref="O957">_xlfn.XLOOKUP($A957, 'Hospitalisation Details'!$A:$A, 'Hospitalisation Details'!G:G, "No Data")</f>
        <v>11524.25</v>
      </c>
      <c r="P957" s="28" t="str">
        <f t="array" ref="P957">_xlfn.XLOOKUP($A957, 'Hospitalisation Details'!$A:$A, 'Hospitalisation Details'!H:H, "No Data")</f>
        <v>tier - 3</v>
      </c>
    </row>
    <row r="958">
      <c r="A958" s="25" t="s">
        <v>3057</v>
      </c>
      <c r="B958" s="28" t="str">
        <f t="array" ref="B958">_xlfn.XLOOKUP($A958, 'Customer Names'!$A:$A, 'Customer Names'!B:B, "No Data")</f>
        <v>Mendoza</v>
      </c>
      <c r="C958" s="28">
        <f t="array" ref="C958">_xlfn.XLOOKUP($A958, 'Medical Examinations'!$A:$A, 'Medical Examinations'!B:B, "No Data")</f>
        <v>24.415</v>
      </c>
      <c r="D958" s="28">
        <f t="array" ref="D958">_xlfn.XLOOKUP($A958, 'Medical Examinations'!$A:$A, 'Medical Examinations'!C:C, "No Data")</f>
        <v>7.16</v>
      </c>
      <c r="E958" s="28" t="str">
        <f t="array" ref="E958">_xlfn.XLOOKUP($A958, 'Medical Examinations'!$A:$A, 'Medical Examinations'!D:D, "No Data")</f>
        <v>No</v>
      </c>
      <c r="F958" s="28" t="str">
        <f t="array" ref="F958">_xlfn.XLOOKUP($A958, 'Medical Examinations'!$A:$A, 'Medical Examinations'!E:E, "No Data")</f>
        <v>No</v>
      </c>
      <c r="G958" s="28" t="str">
        <f t="array" ref="G958">_xlfn.XLOOKUP($A958, 'Medical Examinations'!$A:$A, 'Medical Examinations'!F:F, "No Data")</f>
        <v>No</v>
      </c>
      <c r="H958" s="28">
        <f t="array" ref="H958">_xlfn.XLOOKUP($A958, 'Medical Examinations'!$A:$A, 'Medical Examinations'!G:G, "No Data")</f>
        <v>0</v>
      </c>
      <c r="I958" s="28" t="str">
        <f t="array" ref="I958">_xlfn.XLOOKUP($A958, 'Medical Examinations'!$A:$A, 'Medical Examinations'!H:H, "No Data")</f>
        <v>No</v>
      </c>
      <c r="J958" s="28" t="str">
        <f t="array" ref="J958">_xlfn.XLOOKUP($A958, 'Medical Examinations'!$A:$A, 'Medical Examinations'!I:I, "No Data")</f>
        <v>Normal Weight</v>
      </c>
      <c r="K958" s="28" t="str">
        <f t="array" ref="K958">_xlfn.XLOOKUP($A958, 'Hospitalisation Details'!$A:$A, 'Hospitalisation Details'!I:I, "No Data")</f>
        <v>tier - 1</v>
      </c>
      <c r="L958" s="28" t="str">
        <f t="array" ref="L958">_xlfn.XLOOKUP($A958, 'Hospitalisation Details'!$A:$A, 'Hospitalisation Details'!J:J, "No Data")</f>
        <v>R1012</v>
      </c>
      <c r="M958" s="28" t="str">
        <f t="array" ref="M958">_xlfn.XLOOKUP($A958, 'Hospitalisation Details'!$A:$A, 'Hospitalisation Details'!E:E, "No Data")</f>
        <v>19/12/71</v>
      </c>
      <c r="N958" s="28">
        <f t="array" ref="N958">_xlfn.XLOOKUP($A958, 'Hospitalisation Details'!$A:$A, 'Hospitalisation Details'!K:K, "No Data")</f>
        <v>51</v>
      </c>
      <c r="O958" s="33">
        <f t="array" ref="O958">_xlfn.XLOOKUP($A958, 'Hospitalisation Details'!$A:$A, 'Hospitalisation Details'!G:G, "No Data")</f>
        <v>11520.1</v>
      </c>
      <c r="P958" s="28" t="str">
        <f t="array" ref="P958">_xlfn.XLOOKUP($A958, 'Hospitalisation Details'!$A:$A, 'Hospitalisation Details'!H:H, "No Data")</f>
        <v>tier - 3</v>
      </c>
    </row>
    <row r="959">
      <c r="A959" s="25" t="s">
        <v>3059</v>
      </c>
      <c r="B959" s="28" t="str">
        <f t="array" ref="B959">_xlfn.XLOOKUP($A959, 'Customer Names'!$A:$A, 'Customer Names'!B:B, "No Data")</f>
        <v>Roe</v>
      </c>
      <c r="C959" s="28">
        <f t="array" ref="C959">_xlfn.XLOOKUP($A959, 'Medical Examinations'!$A:$A, 'Medical Examinations'!B:B, "No Data")</f>
        <v>32.3</v>
      </c>
      <c r="D959" s="28">
        <f t="array" ref="D959">_xlfn.XLOOKUP($A959, 'Medical Examinations'!$A:$A, 'Medical Examinations'!C:C, "No Data")</f>
        <v>9.89</v>
      </c>
      <c r="E959" s="28" t="str">
        <f t="array" ref="E959">_xlfn.XLOOKUP($A959, 'Medical Examinations'!$A:$A, 'Medical Examinations'!D:D, "No Data")</f>
        <v>No</v>
      </c>
      <c r="F959" s="28" t="str">
        <f t="array" ref="F959">_xlfn.XLOOKUP($A959, 'Medical Examinations'!$A:$A, 'Medical Examinations'!E:E, "No Data")</f>
        <v>No</v>
      </c>
      <c r="G959" s="28" t="str">
        <f t="array" ref="G959">_xlfn.XLOOKUP($A959, 'Medical Examinations'!$A:$A, 'Medical Examinations'!F:F, "No Data")</f>
        <v>No</v>
      </c>
      <c r="H959" s="28">
        <f t="array" ref="H959">_xlfn.XLOOKUP($A959, 'Medical Examinations'!$A:$A, 'Medical Examinations'!G:G, "No Data")</f>
        <v>0</v>
      </c>
      <c r="I959" s="28" t="str">
        <f t="array" ref="I959">_xlfn.XLOOKUP($A959, 'Medical Examinations'!$A:$A, 'Medical Examinations'!H:H, "No Data")</f>
        <v>No</v>
      </c>
      <c r="J959" s="28" t="str">
        <f t="array" ref="J959">_xlfn.XLOOKUP($A959, 'Medical Examinations'!$A:$A, 'Medical Examinations'!I:I, "No Data")</f>
        <v>Obesity</v>
      </c>
      <c r="K959" s="28" t="str">
        <f t="array" ref="K959">_xlfn.XLOOKUP($A959, 'Hospitalisation Details'!$A:$A, 'Hospitalisation Details'!I:I, "No Data")</f>
        <v>tier - 1</v>
      </c>
      <c r="L959" s="28" t="str">
        <f t="array" ref="L959">_xlfn.XLOOKUP($A959, 'Hospitalisation Details'!$A:$A, 'Hospitalisation Details'!J:J, "No Data")</f>
        <v>R1024</v>
      </c>
      <c r="M959" s="28" t="str">
        <f t="array" ref="M959">_xlfn.XLOOKUP($A959, 'Hospitalisation Details'!$A:$A, 'Hospitalisation Details'!E:E, "No Data")</f>
        <v>24/06/68</v>
      </c>
      <c r="N959" s="28">
        <f t="array" ref="N959">_xlfn.XLOOKUP($A959, 'Hospitalisation Details'!$A:$A, 'Hospitalisation Details'!K:K, "No Data")</f>
        <v>54</v>
      </c>
      <c r="O959" s="33">
        <f t="array" ref="O959">_xlfn.XLOOKUP($A959, 'Hospitalisation Details'!$A:$A, 'Hospitalisation Details'!G:G, "No Data")</f>
        <v>11512.41</v>
      </c>
      <c r="P959" s="28" t="str">
        <f t="array" ref="P959">_xlfn.XLOOKUP($A959, 'Hospitalisation Details'!$A:$A, 'Hospitalisation Details'!H:H, "No Data")</f>
        <v>tier - 3</v>
      </c>
    </row>
    <row r="960">
      <c r="A960" s="25" t="s">
        <v>3062</v>
      </c>
      <c r="B960" s="28" t="str">
        <f t="array" ref="B960">_xlfn.XLOOKUP($A960, 'Customer Names'!$A:$A, 'Customer Names'!B:B, "No Data")</f>
        <v>Webb</v>
      </c>
      <c r="C960" s="28">
        <f t="array" ref="C960">_xlfn.XLOOKUP($A960, 'Medical Examinations'!$A:$A, 'Medical Examinations'!B:B, "No Data")</f>
        <v>39.94</v>
      </c>
      <c r="D960" s="28">
        <f t="array" ref="D960">_xlfn.XLOOKUP($A960, 'Medical Examinations'!$A:$A, 'Medical Examinations'!C:C, "No Data")</f>
        <v>5.14</v>
      </c>
      <c r="E960" s="28" t="str">
        <f t="array" ref="E960">_xlfn.XLOOKUP($A960, 'Medical Examinations'!$A:$A, 'Medical Examinations'!D:D, "No Data")</f>
        <v>No</v>
      </c>
      <c r="F960" s="28" t="str">
        <f t="array" ref="F960">_xlfn.XLOOKUP($A960, 'Medical Examinations'!$A:$A, 'Medical Examinations'!E:E, "No Data")</f>
        <v>No</v>
      </c>
      <c r="G960" s="28" t="str">
        <f t="array" ref="G960">_xlfn.XLOOKUP($A960, 'Medical Examinations'!$A:$A, 'Medical Examinations'!F:F, "No Data")</f>
        <v>No</v>
      </c>
      <c r="H960" s="28">
        <f t="array" ref="H960">_xlfn.XLOOKUP($A960, 'Medical Examinations'!$A:$A, 'Medical Examinations'!G:G, "No Data")</f>
        <v>0</v>
      </c>
      <c r="I960" s="28" t="str">
        <f t="array" ref="I960">_xlfn.XLOOKUP($A960, 'Medical Examinations'!$A:$A, 'Medical Examinations'!H:H, "No Data")</f>
        <v>No</v>
      </c>
      <c r="J960" s="28" t="str">
        <f t="array" ref="J960">_xlfn.XLOOKUP($A960, 'Medical Examinations'!$A:$A, 'Medical Examinations'!I:I, "No Data")</f>
        <v>Obesity</v>
      </c>
      <c r="K960" s="28" t="str">
        <f t="array" ref="K960">_xlfn.XLOOKUP($A960, 'Hospitalisation Details'!$A:$A, 'Hospitalisation Details'!I:I, "No Data")</f>
        <v>tier - 3</v>
      </c>
      <c r="L960" s="28" t="str">
        <f t="array" ref="L960">_xlfn.XLOOKUP($A960, 'Hospitalisation Details'!$A:$A, 'Hospitalisation Details'!J:J, "No Data")</f>
        <v>R1026</v>
      </c>
      <c r="M960" s="28" t="str">
        <f t="array" ref="M960">_xlfn.XLOOKUP($A960, 'Hospitalisation Details'!$A:$A, 'Hospitalisation Details'!E:E, "No Data")</f>
        <v>06/10/89</v>
      </c>
      <c r="N960" s="28">
        <f t="array" ref="N960">_xlfn.XLOOKUP($A960, 'Hospitalisation Details'!$A:$A, 'Hospitalisation Details'!K:K, "No Data")</f>
        <v>33</v>
      </c>
      <c r="O960" s="33">
        <f t="array" ref="O960">_xlfn.XLOOKUP($A960, 'Hospitalisation Details'!$A:$A, 'Hospitalisation Details'!G:G, "No Data")</f>
        <v>11511.61</v>
      </c>
      <c r="P960" s="28" t="str">
        <f t="array" ref="P960">_xlfn.XLOOKUP($A960, 'Hospitalisation Details'!$A:$A, 'Hospitalisation Details'!H:H, "No Data")</f>
        <v>tier - 3</v>
      </c>
    </row>
    <row r="961">
      <c r="A961" s="25" t="s">
        <v>3067</v>
      </c>
      <c r="B961" s="28" t="str">
        <f t="array" ref="B961">_xlfn.XLOOKUP($A961, 'Customer Names'!$A:$A, 'Customer Names'!B:B, "No Data")</f>
        <v>Stocker</v>
      </c>
      <c r="C961" s="28">
        <f t="array" ref="C961">_xlfn.XLOOKUP($A961, 'Medical Examinations'!$A:$A, 'Medical Examinations'!B:B, "No Data")</f>
        <v>30</v>
      </c>
      <c r="D961" s="28">
        <f t="array" ref="D961">_xlfn.XLOOKUP($A961, 'Medical Examinations'!$A:$A, 'Medical Examinations'!C:C, "No Data")</f>
        <v>5.61</v>
      </c>
      <c r="E961" s="28" t="str">
        <f t="array" ref="E961">_xlfn.XLOOKUP($A961, 'Medical Examinations'!$A:$A, 'Medical Examinations'!D:D, "No Data")</f>
        <v>yes</v>
      </c>
      <c r="F961" s="28" t="str">
        <f t="array" ref="F961">_xlfn.XLOOKUP($A961, 'Medical Examinations'!$A:$A, 'Medical Examinations'!E:E, "No Data")</f>
        <v>No</v>
      </c>
      <c r="G961" s="28" t="str">
        <f t="array" ref="G961">_xlfn.XLOOKUP($A961, 'Medical Examinations'!$A:$A, 'Medical Examinations'!F:F, "No Data")</f>
        <v>Yes</v>
      </c>
      <c r="H961" s="28">
        <f t="array" ref="H961">_xlfn.XLOOKUP($A961, 'Medical Examinations'!$A:$A, 'Medical Examinations'!G:G, "No Data")</f>
        <v>1</v>
      </c>
      <c r="I961" s="28" t="str">
        <f t="array" ref="I961">_xlfn.XLOOKUP($A961, 'Medical Examinations'!$A:$A, 'Medical Examinations'!H:H, "No Data")</f>
        <v>No</v>
      </c>
      <c r="J961" s="28" t="str">
        <f t="array" ref="J961">_xlfn.XLOOKUP($A961, 'Medical Examinations'!$A:$A, 'Medical Examinations'!I:I, "No Data")</f>
        <v>Obesity</v>
      </c>
      <c r="K961" s="28" t="str">
        <f t="array" ref="K961">_xlfn.XLOOKUP($A961, 'Hospitalisation Details'!$A:$A, 'Hospitalisation Details'!I:I, "No Data")</f>
        <v>tier - 1</v>
      </c>
      <c r="L961" s="28" t="str">
        <f t="array" ref="L961">_xlfn.XLOOKUP($A961, 'Hospitalisation Details'!$A:$A, 'Hospitalisation Details'!J:J, "No Data")</f>
        <v>R1012</v>
      </c>
      <c r="M961" s="28" t="str">
        <f t="array" ref="M961">_xlfn.XLOOKUP($A961, 'Hospitalisation Details'!$A:$A, 'Hospitalisation Details'!E:E, "No Data")</f>
        <v>11/08/69</v>
      </c>
      <c r="N961" s="28">
        <f t="array" ref="N961">_xlfn.XLOOKUP($A961, 'Hospitalisation Details'!$A:$A, 'Hospitalisation Details'!K:K, "No Data")</f>
        <v>53</v>
      </c>
      <c r="O961" s="33">
        <f t="array" ref="O961">_xlfn.XLOOKUP($A961, 'Hospitalisation Details'!$A:$A, 'Hospitalisation Details'!G:G, "No Data")</f>
        <v>11497.69</v>
      </c>
      <c r="P961" s="28" t="str">
        <f t="array" ref="P961">_xlfn.XLOOKUP($A961, 'Hospitalisation Details'!$A:$A, 'Hospitalisation Details'!H:H, "No Data")</f>
        <v>tier - 3</v>
      </c>
    </row>
    <row r="962">
      <c r="A962" s="25" t="s">
        <v>3070</v>
      </c>
      <c r="B962" s="28" t="str">
        <f t="array" ref="B962">_xlfn.XLOOKUP($A962, 'Customer Names'!$A:$A, 'Customer Names'!B:B, "No Data")</f>
        <v>Jacobson</v>
      </c>
      <c r="C962" s="28">
        <f t="array" ref="C962">_xlfn.XLOOKUP($A962, 'Medical Examinations'!$A:$A, 'Medical Examinations'!B:B, "No Data")</f>
        <v>35.34</v>
      </c>
      <c r="D962" s="28">
        <f t="array" ref="D962">_xlfn.XLOOKUP($A962, 'Medical Examinations'!$A:$A, 'Medical Examinations'!C:C, "No Data")</f>
        <v>5.51</v>
      </c>
      <c r="E962" s="28" t="str">
        <f t="array" ref="E962">_xlfn.XLOOKUP($A962, 'Medical Examinations'!$A:$A, 'Medical Examinations'!D:D, "No Data")</f>
        <v>yes</v>
      </c>
      <c r="F962" s="28" t="str">
        <f t="array" ref="F962">_xlfn.XLOOKUP($A962, 'Medical Examinations'!$A:$A, 'Medical Examinations'!E:E, "No Data")</f>
        <v>No</v>
      </c>
      <c r="G962" s="28" t="str">
        <f t="array" ref="G962">_xlfn.XLOOKUP($A962, 'Medical Examinations'!$A:$A, 'Medical Examinations'!F:F, "No Data")</f>
        <v>Yes</v>
      </c>
      <c r="H962" s="28">
        <f t="array" ref="H962">_xlfn.XLOOKUP($A962, 'Medical Examinations'!$A:$A, 'Medical Examinations'!G:G, "No Data")</f>
        <v>1</v>
      </c>
      <c r="I962" s="28" t="str">
        <f t="array" ref="I962">_xlfn.XLOOKUP($A962, 'Medical Examinations'!$A:$A, 'Medical Examinations'!H:H, "No Data")</f>
        <v>No</v>
      </c>
      <c r="J962" s="28" t="str">
        <f t="array" ref="J962">_xlfn.XLOOKUP($A962, 'Medical Examinations'!$A:$A, 'Medical Examinations'!I:I, "No Data")</f>
        <v>Obesity</v>
      </c>
      <c r="K962" s="28" t="str">
        <f t="array" ref="K962">_xlfn.XLOOKUP($A962, 'Hospitalisation Details'!$A:$A, 'Hospitalisation Details'!I:I, "No Data")</f>
        <v>tier - 3</v>
      </c>
      <c r="L962" s="28" t="str">
        <f t="array" ref="L962">_xlfn.XLOOKUP($A962, 'Hospitalisation Details'!$A:$A, 'Hospitalisation Details'!J:J, "No Data")</f>
        <v>R1026</v>
      </c>
      <c r="M962" s="28" t="str">
        <f t="array" ref="M962">_xlfn.XLOOKUP($A962, 'Hospitalisation Details'!$A:$A, 'Hospitalisation Details'!E:E, "No Data")</f>
        <v>07/06/83</v>
      </c>
      <c r="N962" s="28">
        <f t="array" ref="N962">_xlfn.XLOOKUP($A962, 'Hospitalisation Details'!$A:$A, 'Hospitalisation Details'!K:K, "No Data")</f>
        <v>40</v>
      </c>
      <c r="O962" s="33">
        <f t="array" ref="O962">_xlfn.XLOOKUP($A962, 'Hospitalisation Details'!$A:$A, 'Hospitalisation Details'!G:G, "No Data")</f>
        <v>11492.46</v>
      </c>
      <c r="P962" s="28" t="str">
        <f t="array" ref="P962">_xlfn.XLOOKUP($A962, 'Hospitalisation Details'!$A:$A, 'Hospitalisation Details'!H:H, "No Data")</f>
        <v>tier - 3</v>
      </c>
    </row>
    <row r="963">
      <c r="A963" s="25" t="s">
        <v>3075</v>
      </c>
      <c r="B963" s="28" t="str">
        <f t="array" ref="B963">_xlfn.XLOOKUP($A963, 'Customer Names'!$A:$A, 'Customer Names'!B:B, "No Data")</f>
        <v>Shaw</v>
      </c>
      <c r="C963" s="28">
        <f t="array" ref="C963">_xlfn.XLOOKUP($A963, 'Medical Examinations'!$A:$A, 'Medical Examinations'!B:B, "No Data")</f>
        <v>32.205</v>
      </c>
      <c r="D963" s="28">
        <f t="array" ref="D963">_xlfn.XLOOKUP($A963, 'Medical Examinations'!$A:$A, 'Medical Examinations'!C:C, "No Data")</f>
        <v>8.38</v>
      </c>
      <c r="E963" s="28" t="str">
        <f t="array" ref="E963">_xlfn.XLOOKUP($A963, 'Medical Examinations'!$A:$A, 'Medical Examinations'!D:D, "No Data")</f>
        <v>yes</v>
      </c>
      <c r="F963" s="28" t="str">
        <f t="array" ref="F963">_xlfn.XLOOKUP($A963, 'Medical Examinations'!$A:$A, 'Medical Examinations'!E:E, "No Data")</f>
        <v>No</v>
      </c>
      <c r="G963" s="28" t="str">
        <f t="array" ref="G963">_xlfn.XLOOKUP($A963, 'Medical Examinations'!$A:$A, 'Medical Examinations'!F:F, "No Data")</f>
        <v>No</v>
      </c>
      <c r="H963" s="28">
        <f t="array" ref="H963">_xlfn.XLOOKUP($A963, 'Medical Examinations'!$A:$A, 'Medical Examinations'!G:G, "No Data")</f>
        <v>2</v>
      </c>
      <c r="I963" s="28" t="str">
        <f t="array" ref="I963">_xlfn.XLOOKUP($A963, 'Medical Examinations'!$A:$A, 'Medical Examinations'!H:H, "No Data")</f>
        <v>No</v>
      </c>
      <c r="J963" s="28" t="str">
        <f t="array" ref="J963">_xlfn.XLOOKUP($A963, 'Medical Examinations'!$A:$A, 'Medical Examinations'!I:I, "No Data")</f>
        <v>Obesity</v>
      </c>
      <c r="K963" s="28" t="str">
        <f t="array" ref="K963">_xlfn.XLOOKUP($A963, 'Hospitalisation Details'!$A:$A, 'Hospitalisation Details'!I:I, "No Data")</f>
        <v>tier - 1</v>
      </c>
      <c r="L963" s="28" t="str">
        <f t="array" ref="L963">_xlfn.XLOOKUP($A963, 'Hospitalisation Details'!$A:$A, 'Hospitalisation Details'!J:J, "No Data")</f>
        <v>R1014</v>
      </c>
      <c r="M963" s="28" t="str">
        <f t="array" ref="M963">_xlfn.XLOOKUP($A963, 'Hospitalisation Details'!$A:$A, 'Hospitalisation Details'!E:E, "No Data")</f>
        <v>13/10/70</v>
      </c>
      <c r="N963" s="28">
        <f t="array" ref="N963">_xlfn.XLOOKUP($A963, 'Hospitalisation Details'!$A:$A, 'Hospitalisation Details'!K:K, "No Data")</f>
        <v>52</v>
      </c>
      <c r="O963" s="33">
        <f t="array" ref="O963">_xlfn.XLOOKUP($A963, 'Hospitalisation Details'!$A:$A, 'Hospitalisation Details'!G:G, "No Data")</f>
        <v>11488.32</v>
      </c>
      <c r="P963" s="28" t="str">
        <f t="array" ref="P963">_xlfn.XLOOKUP($A963, 'Hospitalisation Details'!$A:$A, 'Hospitalisation Details'!H:H, "No Data")</f>
        <v>tier - 3</v>
      </c>
    </row>
    <row r="964">
      <c r="A964" s="25" t="s">
        <v>3078</v>
      </c>
      <c r="B964" s="28" t="str">
        <f t="array" ref="B964">_xlfn.XLOOKUP($A964, 'Customer Names'!$A:$A, 'Customer Names'!B:B, "No Data")</f>
        <v>Goodwin</v>
      </c>
      <c r="C964" s="28">
        <f t="array" ref="C964">_xlfn.XLOOKUP($A964, 'Medical Examinations'!$A:$A, 'Medical Examinations'!B:B, "No Data")</f>
        <v>33.88</v>
      </c>
      <c r="D964" s="28">
        <f t="array" ref="D964">_xlfn.XLOOKUP($A964, 'Medical Examinations'!$A:$A, 'Medical Examinations'!C:C, "No Data")</f>
        <v>4.68</v>
      </c>
      <c r="E964" s="28" t="str">
        <f t="array" ref="E964">_xlfn.XLOOKUP($A964, 'Medical Examinations'!$A:$A, 'Medical Examinations'!D:D, "No Data")</f>
        <v>No</v>
      </c>
      <c r="F964" s="28" t="str">
        <f t="array" ref="F964">_xlfn.XLOOKUP($A964, 'Medical Examinations'!$A:$A, 'Medical Examinations'!E:E, "No Data")</f>
        <v>yes</v>
      </c>
      <c r="G964" s="28" t="str">
        <f t="array" ref="G964">_xlfn.XLOOKUP($A964, 'Medical Examinations'!$A:$A, 'Medical Examinations'!F:F, "No Data")</f>
        <v>No</v>
      </c>
      <c r="H964" s="28">
        <f t="array" ref="H964">_xlfn.XLOOKUP($A964, 'Medical Examinations'!$A:$A, 'Medical Examinations'!G:G, "No Data")</f>
        <v>1</v>
      </c>
      <c r="I964" s="28" t="str">
        <f t="array" ref="I964">_xlfn.XLOOKUP($A964, 'Medical Examinations'!$A:$A, 'Medical Examinations'!H:H, "No Data")</f>
        <v>No</v>
      </c>
      <c r="J964" s="28" t="str">
        <f t="array" ref="J964">_xlfn.XLOOKUP($A964, 'Medical Examinations'!$A:$A, 'Medical Examinations'!I:I, "No Data")</f>
        <v>Obesity</v>
      </c>
      <c r="K964" s="28" t="str">
        <f t="array" ref="K964">_xlfn.XLOOKUP($A964, 'Hospitalisation Details'!$A:$A, 'Hospitalisation Details'!I:I, "No Data")</f>
        <v>tier - 2</v>
      </c>
      <c r="L964" s="28" t="str">
        <f t="array" ref="L964">_xlfn.XLOOKUP($A964, 'Hospitalisation Details'!$A:$A, 'Hospitalisation Details'!J:J, "No Data")</f>
        <v>R1013</v>
      </c>
      <c r="M964" s="28" t="str">
        <f t="array" ref="M964">_xlfn.XLOOKUP($A964, 'Hospitalisation Details'!$A:$A, 'Hospitalisation Details'!E:E, "No Data")</f>
        <v>10/09/04</v>
      </c>
      <c r="N964" s="28">
        <f t="array" ref="N964">_xlfn.XLOOKUP($A964, 'Hospitalisation Details'!$A:$A, 'Hospitalisation Details'!K:K, "No Data")</f>
        <v>18</v>
      </c>
      <c r="O964" s="33">
        <f t="array" ref="O964">_xlfn.XLOOKUP($A964, 'Hospitalisation Details'!$A:$A, 'Hospitalisation Details'!G:G, "No Data")</f>
        <v>11482.63</v>
      </c>
      <c r="P964" s="28" t="str">
        <f t="array" ref="P964">_xlfn.XLOOKUP($A964, 'Hospitalisation Details'!$A:$A, 'Hospitalisation Details'!H:H, "No Data")</f>
        <v>tier - 3</v>
      </c>
    </row>
    <row r="965">
      <c r="A965" s="25" t="s">
        <v>3082</v>
      </c>
      <c r="B965" s="28" t="str">
        <f t="array" ref="B965">_xlfn.XLOOKUP($A965, 'Customer Names'!$A:$A, 'Customer Names'!B:B, "No Data")</f>
        <v>Brock</v>
      </c>
      <c r="C965" s="28">
        <f t="array" ref="C965">_xlfn.XLOOKUP($A965, 'Medical Examinations'!$A:$A, 'Medical Examinations'!B:B, "No Data")</f>
        <v>26.63</v>
      </c>
      <c r="D965" s="28">
        <f t="array" ref="D965">_xlfn.XLOOKUP($A965, 'Medical Examinations'!$A:$A, 'Medical Examinations'!C:C, "No Data")</f>
        <v>4.36</v>
      </c>
      <c r="E965" s="28" t="str">
        <f t="array" ref="E965">_xlfn.XLOOKUP($A965, 'Medical Examinations'!$A:$A, 'Medical Examinations'!D:D, "No Data")</f>
        <v>yes</v>
      </c>
      <c r="F965" s="28" t="str">
        <f t="array" ref="F965">_xlfn.XLOOKUP($A965, 'Medical Examinations'!$A:$A, 'Medical Examinations'!E:E, "No Data")</f>
        <v>No</v>
      </c>
      <c r="G965" s="28" t="str">
        <f t="array" ref="G965">_xlfn.XLOOKUP($A965, 'Medical Examinations'!$A:$A, 'Medical Examinations'!F:F, "No Data")</f>
        <v>No</v>
      </c>
      <c r="H965" s="28">
        <f t="array" ref="H965">_xlfn.XLOOKUP($A965, 'Medical Examinations'!$A:$A, 'Medical Examinations'!G:G, "No Data")</f>
        <v>2</v>
      </c>
      <c r="I965" s="28" t="str">
        <f t="array" ref="I965">_xlfn.XLOOKUP($A965, 'Medical Examinations'!$A:$A, 'Medical Examinations'!H:H, "No Data")</f>
        <v>No</v>
      </c>
      <c r="J965" s="28" t="str">
        <f t="array" ref="J965">_xlfn.XLOOKUP($A965, 'Medical Examinations'!$A:$A, 'Medical Examinations'!I:I, "No Data")</f>
        <v>Overweight</v>
      </c>
      <c r="K965" s="28" t="str">
        <f t="array" ref="K965">_xlfn.XLOOKUP($A965, 'Hospitalisation Details'!$A:$A, 'Hospitalisation Details'!I:I, "No Data")</f>
        <v>tier - 2</v>
      </c>
      <c r="L965" s="28" t="str">
        <f t="array" ref="L965">_xlfn.XLOOKUP($A965, 'Hospitalisation Details'!$A:$A, 'Hospitalisation Details'!J:J, "No Data")</f>
        <v>R1025</v>
      </c>
      <c r="M965" s="28" t="str">
        <f t="array" ref="M965">_xlfn.XLOOKUP($A965, 'Hospitalisation Details'!$A:$A, 'Hospitalisation Details'!E:E, "No Data")</f>
        <v>07/09/66</v>
      </c>
      <c r="N965" s="28">
        <f t="array" ref="N965">_xlfn.XLOOKUP($A965, 'Hospitalisation Details'!$A:$A, 'Hospitalisation Details'!K:K, "No Data")</f>
        <v>56</v>
      </c>
      <c r="O965" s="33">
        <f t="array" ref="O965">_xlfn.XLOOKUP($A965, 'Hospitalisation Details'!$A:$A, 'Hospitalisation Details'!G:G, "No Data")</f>
        <v>11478.14</v>
      </c>
      <c r="P965" s="28" t="str">
        <f t="array" ref="P965">_xlfn.XLOOKUP($A965, 'Hospitalisation Details'!$A:$A, 'Hospitalisation Details'!H:H, "No Data")</f>
        <v>tier - 3</v>
      </c>
    </row>
    <row r="966">
      <c r="A966" s="25" t="s">
        <v>3085</v>
      </c>
      <c r="B966" s="28" t="str">
        <f t="array" ref="B966">_xlfn.XLOOKUP($A966, 'Customer Names'!$A:$A, 'Customer Names'!B:B, "No Data")</f>
        <v>Papp</v>
      </c>
      <c r="C966" s="28">
        <f t="array" ref="C966">_xlfn.XLOOKUP($A966, 'Medical Examinations'!$A:$A, 'Medical Examinations'!B:B, "No Data")</f>
        <v>28.7</v>
      </c>
      <c r="D966" s="28">
        <f t="array" ref="D966">_xlfn.XLOOKUP($A966, 'Medical Examinations'!$A:$A, 'Medical Examinations'!C:C, "No Data")</f>
        <v>7.74</v>
      </c>
      <c r="E966" s="28" t="str">
        <f t="array" ref="E966">_xlfn.XLOOKUP($A966, 'Medical Examinations'!$A:$A, 'Medical Examinations'!D:D, "No Data")</f>
        <v>No</v>
      </c>
      <c r="F966" s="28" t="str">
        <f t="array" ref="F966">_xlfn.XLOOKUP($A966, 'Medical Examinations'!$A:$A, 'Medical Examinations'!E:E, "No Data")</f>
        <v>No</v>
      </c>
      <c r="G966" s="28" t="str">
        <f t="array" ref="G966">_xlfn.XLOOKUP($A966, 'Medical Examinations'!$A:$A, 'Medical Examinations'!F:F, "No Data")</f>
        <v>No</v>
      </c>
      <c r="H966" s="28">
        <f t="array" ref="H966">_xlfn.XLOOKUP($A966, 'Medical Examinations'!$A:$A, 'Medical Examinations'!G:G, "No Data")</f>
        <v>0</v>
      </c>
      <c r="I966" s="28" t="str">
        <f t="array" ref="I966">_xlfn.XLOOKUP($A966, 'Medical Examinations'!$A:$A, 'Medical Examinations'!H:H, "No Data")</f>
        <v>No</v>
      </c>
      <c r="J966" s="28" t="str">
        <f t="array" ref="J966">_xlfn.XLOOKUP($A966, 'Medical Examinations'!$A:$A, 'Medical Examinations'!I:I, "No Data")</f>
        <v>Overweight</v>
      </c>
      <c r="K966" s="28" t="str">
        <f t="array" ref="K966">_xlfn.XLOOKUP($A966, 'Hospitalisation Details'!$A:$A, 'Hospitalisation Details'!I:I, "No Data")</f>
        <v>tier - 2</v>
      </c>
      <c r="L966" s="28" t="str">
        <f t="array" ref="L966">_xlfn.XLOOKUP($A966, 'Hospitalisation Details'!$A:$A, 'Hospitalisation Details'!J:J, "No Data")</f>
        <v>R1011</v>
      </c>
      <c r="M966" s="28" t="str">
        <f t="array" ref="M966">_xlfn.XLOOKUP($A966, 'Hospitalisation Details'!$A:$A, 'Hospitalisation Details'!E:E, "No Data")</f>
        <v>23/06/65</v>
      </c>
      <c r="N966" s="28">
        <f t="array" ref="N966">_xlfn.XLOOKUP($A966, 'Hospitalisation Details'!$A:$A, 'Hospitalisation Details'!K:K, "No Data")</f>
        <v>57</v>
      </c>
      <c r="O966" s="33">
        <f t="array" ref="O966">_xlfn.XLOOKUP($A966, 'Hospitalisation Details'!$A:$A, 'Hospitalisation Details'!G:G, "No Data")</f>
        <v>11455.28</v>
      </c>
      <c r="P966" s="28" t="str">
        <f t="array" ref="P966">_xlfn.XLOOKUP($A966, 'Hospitalisation Details'!$A:$A, 'Hospitalisation Details'!H:H, "No Data")</f>
        <v>tier - 3</v>
      </c>
    </row>
    <row r="967">
      <c r="A967" s="25" t="s">
        <v>3089</v>
      </c>
      <c r="B967" s="28" t="str">
        <f t="array" ref="B967">_xlfn.XLOOKUP($A967, 'Customer Names'!$A:$A, 'Customer Names'!B:B, "No Data")</f>
        <v>Siragusa</v>
      </c>
      <c r="C967" s="28">
        <f t="array" ref="C967">_xlfn.XLOOKUP($A967, 'Medical Examinations'!$A:$A, 'Medical Examinations'!B:B, "No Data")</f>
        <v>25.65</v>
      </c>
      <c r="D967" s="28">
        <f t="array" ref="D967">_xlfn.XLOOKUP($A967, 'Medical Examinations'!$A:$A, 'Medical Examinations'!C:C, "No Data")</f>
        <v>4.05</v>
      </c>
      <c r="E967" s="28" t="str">
        <f t="array" ref="E967">_xlfn.XLOOKUP($A967, 'Medical Examinations'!$A:$A, 'Medical Examinations'!D:D, "No Data")</f>
        <v>yes</v>
      </c>
      <c r="F967" s="28" t="str">
        <f t="array" ref="F967">_xlfn.XLOOKUP($A967, 'Medical Examinations'!$A:$A, 'Medical Examinations'!E:E, "No Data")</f>
        <v>No</v>
      </c>
      <c r="G967" s="28" t="str">
        <f t="array" ref="G967">_xlfn.XLOOKUP($A967, 'Medical Examinations'!$A:$A, 'Medical Examinations'!F:F, "No Data")</f>
        <v>No</v>
      </c>
      <c r="H967" s="28">
        <f t="array" ref="H967">_xlfn.XLOOKUP($A967, 'Medical Examinations'!$A:$A, 'Medical Examinations'!G:G, "No Data")</f>
        <v>2</v>
      </c>
      <c r="I967" s="28" t="str">
        <f t="array" ref="I967">_xlfn.XLOOKUP($A967, 'Medical Examinations'!$A:$A, 'Medical Examinations'!H:H, "No Data")</f>
        <v>No</v>
      </c>
      <c r="J967" s="28" t="str">
        <f t="array" ref="J967">_xlfn.XLOOKUP($A967, 'Medical Examinations'!$A:$A, 'Medical Examinations'!I:I, "No Data")</f>
        <v>Overweight</v>
      </c>
      <c r="K967" s="28" t="str">
        <f t="array" ref="K967">_xlfn.XLOOKUP($A967, 'Hospitalisation Details'!$A:$A, 'Hospitalisation Details'!I:I, "No Data")</f>
        <v>tier - 1</v>
      </c>
      <c r="L967" s="28" t="str">
        <f t="array" ref="L967">_xlfn.XLOOKUP($A967, 'Hospitalisation Details'!$A:$A, 'Hospitalisation Details'!J:J, "No Data")</f>
        <v>R1012</v>
      </c>
      <c r="M967" s="28" t="str">
        <f t="array" ref="M967">_xlfn.XLOOKUP($A967, 'Hospitalisation Details'!$A:$A, 'Hospitalisation Details'!E:E, "No Data")</f>
        <v>14/06/66</v>
      </c>
      <c r="N967" s="28">
        <f t="array" ref="N967">_xlfn.XLOOKUP($A967, 'Hospitalisation Details'!$A:$A, 'Hospitalisation Details'!K:K, "No Data")</f>
        <v>56</v>
      </c>
      <c r="O967" s="33">
        <f t="array" ref="O967">_xlfn.XLOOKUP($A967, 'Hospitalisation Details'!$A:$A, 'Hospitalisation Details'!G:G, "No Data")</f>
        <v>11454.02</v>
      </c>
      <c r="P967" s="28" t="str">
        <f t="array" ref="P967">_xlfn.XLOOKUP($A967, 'Hospitalisation Details'!$A:$A, 'Hospitalisation Details'!H:H, "No Data")</f>
        <v>tier - 3</v>
      </c>
    </row>
    <row r="968">
      <c r="A968" s="25" t="s">
        <v>3092</v>
      </c>
      <c r="B968" s="28" t="str">
        <f t="array" ref="B968">_xlfn.XLOOKUP($A968, 'Customer Names'!$A:$A, 'Customer Names'!B:B, "No Data")</f>
        <v>Pizarro</v>
      </c>
      <c r="C968" s="28">
        <f t="array" ref="C968">_xlfn.XLOOKUP($A968, 'Medical Examinations'!$A:$A, 'Medical Examinations'!B:B, "No Data")</f>
        <v>36.385</v>
      </c>
      <c r="D968" s="28">
        <f t="array" ref="D968">_xlfn.XLOOKUP($A968, 'Medical Examinations'!$A:$A, 'Medical Examinations'!C:C, "No Data")</f>
        <v>11.49</v>
      </c>
      <c r="E968" s="28" t="str">
        <f t="array" ref="E968">_xlfn.XLOOKUP($A968, 'Medical Examinations'!$A:$A, 'Medical Examinations'!D:D, "No Data")</f>
        <v>No</v>
      </c>
      <c r="F968" s="28" t="str">
        <f t="array" ref="F968">_xlfn.XLOOKUP($A968, 'Medical Examinations'!$A:$A, 'Medical Examinations'!E:E, "No Data")</f>
        <v>No</v>
      </c>
      <c r="G968" s="28" t="str">
        <f t="array" ref="G968">_xlfn.XLOOKUP($A968, 'Medical Examinations'!$A:$A, 'Medical Examinations'!F:F, "No Data")</f>
        <v>No</v>
      </c>
      <c r="H968" s="28">
        <f t="array" ref="H968">_xlfn.XLOOKUP($A968, 'Medical Examinations'!$A:$A, 'Medical Examinations'!G:G, "No Data")</f>
        <v>0</v>
      </c>
      <c r="I968" s="28" t="str">
        <f t="array" ref="I968">_xlfn.XLOOKUP($A968, 'Medical Examinations'!$A:$A, 'Medical Examinations'!H:H, "No Data")</f>
        <v>No</v>
      </c>
      <c r="J968" s="28" t="str">
        <f t="array" ref="J968">_xlfn.XLOOKUP($A968, 'Medical Examinations'!$A:$A, 'Medical Examinations'!I:I, "No Data")</f>
        <v>Obesity</v>
      </c>
      <c r="K968" s="28" t="str">
        <f t="array" ref="K968">_xlfn.XLOOKUP($A968, 'Hospitalisation Details'!$A:$A, 'Hospitalisation Details'!I:I, "No Data")</f>
        <v>tier - 3</v>
      </c>
      <c r="L968" s="28" t="str">
        <f t="array" ref="L968">_xlfn.XLOOKUP($A968, 'Hospitalisation Details'!$A:$A, 'Hospitalisation Details'!J:J, "No Data")</f>
        <v>R1012</v>
      </c>
      <c r="M968" s="28" t="str">
        <f t="array" ref="M968">_xlfn.XLOOKUP($A968, 'Hospitalisation Details'!$A:$A, 'Hospitalisation Details'!E:E, "No Data")</f>
        <v>12/09/71</v>
      </c>
      <c r="N968" s="28">
        <f t="array" ref="N968">_xlfn.XLOOKUP($A968, 'Hospitalisation Details'!$A:$A, 'Hospitalisation Details'!K:K, "No Data")</f>
        <v>51</v>
      </c>
      <c r="O968" s="33">
        <f t="array" ref="O968">_xlfn.XLOOKUP($A968, 'Hospitalisation Details'!$A:$A, 'Hospitalisation Details'!G:G, "No Data")</f>
        <v>11436.74</v>
      </c>
      <c r="P968" s="28" t="str">
        <f t="array" ref="P968">_xlfn.XLOOKUP($A968, 'Hospitalisation Details'!$A:$A, 'Hospitalisation Details'!H:H, "No Data")</f>
        <v>tier - 3</v>
      </c>
    </row>
    <row r="969">
      <c r="A969" s="25" t="s">
        <v>3096</v>
      </c>
      <c r="B969" s="28" t="str">
        <f t="array" ref="B969">_xlfn.XLOOKUP($A969, 'Customer Names'!$A:$A, 'Customer Names'!B:B, "No Data")</f>
        <v>Strange</v>
      </c>
      <c r="C969" s="28">
        <f t="array" ref="C969">_xlfn.XLOOKUP($A969, 'Medical Examinations'!$A:$A, 'Medical Examinations'!B:B, "No Data")</f>
        <v>34.69</v>
      </c>
      <c r="D969" s="28">
        <f t="array" ref="D969">_xlfn.XLOOKUP($A969, 'Medical Examinations'!$A:$A, 'Medical Examinations'!C:C, "No Data")</f>
        <v>5.65</v>
      </c>
      <c r="E969" s="28" t="str">
        <f t="array" ref="E969">_xlfn.XLOOKUP($A969, 'Medical Examinations'!$A:$A, 'Medical Examinations'!D:D, "No Data")</f>
        <v>No</v>
      </c>
      <c r="F969" s="28" t="str">
        <f t="array" ref="F969">_xlfn.XLOOKUP($A969, 'Medical Examinations'!$A:$A, 'Medical Examinations'!E:E, "No Data")</f>
        <v>No</v>
      </c>
      <c r="G969" s="28" t="str">
        <f t="array" ref="G969">_xlfn.XLOOKUP($A969, 'Medical Examinations'!$A:$A, 'Medical Examinations'!F:F, "No Data")</f>
        <v>No</v>
      </c>
      <c r="H969" s="28">
        <f t="array" ref="H969">_xlfn.XLOOKUP($A969, 'Medical Examinations'!$A:$A, 'Medical Examinations'!G:G, "No Data")</f>
        <v>0</v>
      </c>
      <c r="I969" s="28" t="str">
        <f t="array" ref="I969">_xlfn.XLOOKUP($A969, 'Medical Examinations'!$A:$A, 'Medical Examinations'!H:H, "No Data")</f>
        <v>No</v>
      </c>
      <c r="J969" s="28" t="str">
        <f t="array" ref="J969">_xlfn.XLOOKUP($A969, 'Medical Examinations'!$A:$A, 'Medical Examinations'!I:I, "No Data")</f>
        <v>Obesity</v>
      </c>
      <c r="K969" s="28" t="str">
        <f t="array" ref="K969">_xlfn.XLOOKUP($A969, 'Hospitalisation Details'!$A:$A, 'Hospitalisation Details'!I:I, "No Data")</f>
        <v>tier - 3</v>
      </c>
      <c r="L969" s="28" t="str">
        <f t="array" ref="L969">_xlfn.XLOOKUP($A969, 'Hospitalisation Details'!$A:$A, 'Hospitalisation Details'!J:J, "No Data")</f>
        <v>R1021</v>
      </c>
      <c r="M969" s="28" t="str">
        <f t="array" ref="M969">_xlfn.XLOOKUP($A969, 'Hospitalisation Details'!$A:$A, 'Hospitalisation Details'!E:E, "No Data")</f>
        <v>17/07/80</v>
      </c>
      <c r="N969" s="28">
        <f t="array" ref="N969">_xlfn.XLOOKUP($A969, 'Hospitalisation Details'!$A:$A, 'Hospitalisation Details'!K:K, "No Data")</f>
        <v>42</v>
      </c>
      <c r="O969" s="33">
        <f t="array" ref="O969">_xlfn.XLOOKUP($A969, 'Hospitalisation Details'!$A:$A, 'Hospitalisation Details'!G:G, "No Data")</f>
        <v>11435.74</v>
      </c>
      <c r="P969" s="28" t="str">
        <f t="array" ref="P969">_xlfn.XLOOKUP($A969, 'Hospitalisation Details'!$A:$A, 'Hospitalisation Details'!H:H, "No Data")</f>
        <v>tier - 3</v>
      </c>
    </row>
    <row r="970">
      <c r="A970" s="25" t="s">
        <v>3098</v>
      </c>
      <c r="B970" s="28" t="str">
        <f t="array" ref="B970">_xlfn.XLOOKUP($A970, 'Customer Names'!$A:$A, 'Customer Names'!B:B, "No Data")</f>
        <v>Eidinger</v>
      </c>
      <c r="C970" s="28">
        <f t="array" ref="C970">_xlfn.XLOOKUP($A970, 'Medical Examinations'!$A:$A, 'Medical Examinations'!B:B, "No Data")</f>
        <v>37.68</v>
      </c>
      <c r="D970" s="28">
        <f t="array" ref="D970">_xlfn.XLOOKUP($A970, 'Medical Examinations'!$A:$A, 'Medical Examinations'!C:C, "No Data")</f>
        <v>4.29</v>
      </c>
      <c r="E970" s="28" t="str">
        <f t="array" ref="E970">_xlfn.XLOOKUP($A970, 'Medical Examinations'!$A:$A, 'Medical Examinations'!D:D, "No Data")</f>
        <v>yes</v>
      </c>
      <c r="F970" s="28" t="str">
        <f t="array" ref="F970">_xlfn.XLOOKUP($A970, 'Medical Examinations'!$A:$A, 'Medical Examinations'!E:E, "No Data")</f>
        <v>No</v>
      </c>
      <c r="G970" s="28" t="str">
        <f t="array" ref="G970">_xlfn.XLOOKUP($A970, 'Medical Examinations'!$A:$A, 'Medical Examinations'!F:F, "No Data")</f>
        <v>No</v>
      </c>
      <c r="H970" s="28">
        <f t="array" ref="H970">_xlfn.XLOOKUP($A970, 'Medical Examinations'!$A:$A, 'Medical Examinations'!G:G, "No Data")</f>
        <v>0</v>
      </c>
      <c r="I970" s="28" t="str">
        <f t="array" ref="I970">_xlfn.XLOOKUP($A970, 'Medical Examinations'!$A:$A, 'Medical Examinations'!H:H, "No Data")</f>
        <v>No</v>
      </c>
      <c r="J970" s="28" t="str">
        <f t="array" ref="J970">_xlfn.XLOOKUP($A970, 'Medical Examinations'!$A:$A, 'Medical Examinations'!I:I, "No Data")</f>
        <v>Obesity</v>
      </c>
      <c r="K970" s="28" t="str">
        <f t="array" ref="K970">_xlfn.XLOOKUP($A970, 'Hospitalisation Details'!$A:$A, 'Hospitalisation Details'!I:I, "No Data")</f>
        <v>tier - 1</v>
      </c>
      <c r="L970" s="28" t="str">
        <f t="array" ref="L970">_xlfn.XLOOKUP($A970, 'Hospitalisation Details'!$A:$A, 'Hospitalisation Details'!J:J, "No Data")</f>
        <v>R1012</v>
      </c>
      <c r="M970" s="28" t="str">
        <f t="array" ref="M970">_xlfn.XLOOKUP($A970, 'Hospitalisation Details'!$A:$A, 'Hospitalisation Details'!E:E, "No Data")</f>
        <v>09/06/85</v>
      </c>
      <c r="N970" s="28">
        <f t="array" ref="N970">_xlfn.XLOOKUP($A970, 'Hospitalisation Details'!$A:$A, 'Hospitalisation Details'!K:K, "No Data")</f>
        <v>37</v>
      </c>
      <c r="O970" s="33">
        <f t="array" ref="O970">_xlfn.XLOOKUP($A970, 'Hospitalisation Details'!$A:$A, 'Hospitalisation Details'!G:G, "No Data")</f>
        <v>11419.49</v>
      </c>
      <c r="P970" s="28" t="str">
        <f t="array" ref="P970">_xlfn.XLOOKUP($A970, 'Hospitalisation Details'!$A:$A, 'Hospitalisation Details'!H:H, "No Data")</f>
        <v>tier - 3</v>
      </c>
    </row>
    <row r="971">
      <c r="A971" s="25" t="s">
        <v>3101</v>
      </c>
      <c r="B971" s="28" t="str">
        <f t="array" ref="B971">_xlfn.XLOOKUP($A971, 'Customer Names'!$A:$A, 'Customer Names'!B:B, "No Data")</f>
        <v>Ginsburg</v>
      </c>
      <c r="C971" s="28">
        <f t="array" ref="C971">_xlfn.XLOOKUP($A971, 'Medical Examinations'!$A:$A, 'Medical Examinations'!B:B, "No Data")</f>
        <v>35.49</v>
      </c>
      <c r="D971" s="28">
        <f t="array" ref="D971">_xlfn.XLOOKUP($A971, 'Medical Examinations'!$A:$A, 'Medical Examinations'!C:C, "No Data")</f>
        <v>4.74</v>
      </c>
      <c r="E971" s="28" t="str">
        <f t="array" ref="E971">_xlfn.XLOOKUP($A971, 'Medical Examinations'!$A:$A, 'Medical Examinations'!D:D, "No Data")</f>
        <v>yes</v>
      </c>
      <c r="F971" s="28" t="str">
        <f t="array" ref="F971">_xlfn.XLOOKUP($A971, 'Medical Examinations'!$A:$A, 'Medical Examinations'!E:E, "No Data")</f>
        <v>No</v>
      </c>
      <c r="G971" s="28" t="str">
        <f t="array" ref="G971">_xlfn.XLOOKUP($A971, 'Medical Examinations'!$A:$A, 'Medical Examinations'!F:F, "No Data")</f>
        <v>Yes</v>
      </c>
      <c r="H971" s="28">
        <f t="array" ref="H971">_xlfn.XLOOKUP($A971, 'Medical Examinations'!$A:$A, 'Medical Examinations'!G:G, "No Data")</f>
        <v>1</v>
      </c>
      <c r="I971" s="28" t="str">
        <f t="array" ref="I971">_xlfn.XLOOKUP($A971, 'Medical Examinations'!$A:$A, 'Medical Examinations'!H:H, "No Data")</f>
        <v>No</v>
      </c>
      <c r="J971" s="28" t="str">
        <f t="array" ref="J971">_xlfn.XLOOKUP($A971, 'Medical Examinations'!$A:$A, 'Medical Examinations'!I:I, "No Data")</f>
        <v>Obesity</v>
      </c>
      <c r="K971" s="28" t="str">
        <f t="array" ref="K971">_xlfn.XLOOKUP($A971, 'Hospitalisation Details'!$A:$A, 'Hospitalisation Details'!I:I, "No Data")</f>
        <v>tier - 1</v>
      </c>
      <c r="L971" s="28" t="str">
        <f t="array" ref="L971">_xlfn.XLOOKUP($A971, 'Hospitalisation Details'!$A:$A, 'Hospitalisation Details'!J:J, "No Data")</f>
        <v>R1021</v>
      </c>
      <c r="M971" s="28" t="str">
        <f t="array" ref="M971">_xlfn.XLOOKUP($A971, 'Hospitalisation Details'!$A:$A, 'Hospitalisation Details'!E:E, "No Data")</f>
        <v>23/10/83</v>
      </c>
      <c r="N971" s="28">
        <f t="array" ref="N971">_xlfn.XLOOKUP($A971, 'Hospitalisation Details'!$A:$A, 'Hospitalisation Details'!K:K, "No Data")</f>
        <v>39</v>
      </c>
      <c r="O971" s="33">
        <f t="array" ref="O971">_xlfn.XLOOKUP($A971, 'Hospitalisation Details'!$A:$A, 'Hospitalisation Details'!G:G, "No Data")</f>
        <v>11412.02</v>
      </c>
      <c r="P971" s="28" t="str">
        <f t="array" ref="P971">_xlfn.XLOOKUP($A971, 'Hospitalisation Details'!$A:$A, 'Hospitalisation Details'!H:H, "No Data")</f>
        <v>tier - 3</v>
      </c>
    </row>
    <row r="972">
      <c r="A972" s="25" t="s">
        <v>3104</v>
      </c>
      <c r="B972" s="28" t="str">
        <f t="array" ref="B972">_xlfn.XLOOKUP($A972, 'Customer Names'!$A:$A, 'Customer Names'!B:B, "No Data")</f>
        <v>Truex</v>
      </c>
      <c r="C972" s="28">
        <f t="array" ref="C972">_xlfn.XLOOKUP($A972, 'Medical Examinations'!$A:$A, 'Medical Examinations'!B:B, "No Data")</f>
        <v>44.7</v>
      </c>
      <c r="D972" s="28">
        <f t="array" ref="D972">_xlfn.XLOOKUP($A972, 'Medical Examinations'!$A:$A, 'Medical Examinations'!C:C, "No Data")</f>
        <v>7.6</v>
      </c>
      <c r="E972" s="28" t="str">
        <f t="array" ref="E972">_xlfn.XLOOKUP($A972, 'Medical Examinations'!$A:$A, 'Medical Examinations'!D:D, "No Data")</f>
        <v>yes</v>
      </c>
      <c r="F972" s="28" t="str">
        <f t="array" ref="F972">_xlfn.XLOOKUP($A972, 'Medical Examinations'!$A:$A, 'Medical Examinations'!E:E, "No Data")</f>
        <v>No</v>
      </c>
      <c r="G972" s="28" t="str">
        <f t="array" ref="G972">_xlfn.XLOOKUP($A972, 'Medical Examinations'!$A:$A, 'Medical Examinations'!F:F, "No Data")</f>
        <v>No</v>
      </c>
      <c r="H972" s="28">
        <f t="array" ref="H972">_xlfn.XLOOKUP($A972, 'Medical Examinations'!$A:$A, 'Medical Examinations'!G:G, "No Data")</f>
        <v>2</v>
      </c>
      <c r="I972" s="28" t="str">
        <f t="array" ref="I972">_xlfn.XLOOKUP($A972, 'Medical Examinations'!$A:$A, 'Medical Examinations'!H:H, "No Data")</f>
        <v>No</v>
      </c>
      <c r="J972" s="28" t="str">
        <f t="array" ref="J972">_xlfn.XLOOKUP($A972, 'Medical Examinations'!$A:$A, 'Medical Examinations'!I:I, "No Data")</f>
        <v>Obesity</v>
      </c>
      <c r="K972" s="28" t="str">
        <f t="array" ref="K972">_xlfn.XLOOKUP($A972, 'Hospitalisation Details'!$A:$A, 'Hospitalisation Details'!I:I, "No Data")</f>
        <v>tier - 2</v>
      </c>
      <c r="L972" s="28" t="str">
        <f t="array" ref="L972">_xlfn.XLOOKUP($A972, 'Hospitalisation Details'!$A:$A, 'Hospitalisation Details'!J:J, "No Data")</f>
        <v>R1011</v>
      </c>
      <c r="M972" s="28" t="str">
        <f t="array" ref="M972">_xlfn.XLOOKUP($A972, 'Hospitalisation Details'!$A:$A, 'Hospitalisation Details'!E:E, "No Data")</f>
        <v>07/10/70</v>
      </c>
      <c r="N972" s="28">
        <f t="array" ref="N972">_xlfn.XLOOKUP($A972, 'Hospitalisation Details'!$A:$A, 'Hospitalisation Details'!K:K, "No Data")</f>
        <v>52</v>
      </c>
      <c r="O972" s="33">
        <f t="array" ref="O972">_xlfn.XLOOKUP($A972, 'Hospitalisation Details'!$A:$A, 'Hospitalisation Details'!G:G, "No Data")</f>
        <v>11411.69</v>
      </c>
      <c r="P972" s="28" t="str">
        <f t="array" ref="P972">_xlfn.XLOOKUP($A972, 'Hospitalisation Details'!$A:$A, 'Hospitalisation Details'!H:H, "No Data")</f>
        <v>tier - 3</v>
      </c>
    </row>
    <row r="973">
      <c r="A973" s="25" t="s">
        <v>3106</v>
      </c>
      <c r="B973" s="28" t="str">
        <f t="array" ref="B973">_xlfn.XLOOKUP($A973, 'Customer Names'!$A:$A, 'Customer Names'!B:B, "No Data")</f>
        <v>Higgins</v>
      </c>
      <c r="C973" s="28">
        <f t="array" ref="C973">_xlfn.XLOOKUP($A973, 'Medical Examinations'!$A:$A, 'Medical Examinations'!B:B, "No Data")</f>
        <v>38.38</v>
      </c>
      <c r="D973" s="28">
        <f t="array" ref="D973">_xlfn.XLOOKUP($A973, 'Medical Examinations'!$A:$A, 'Medical Examinations'!C:C, "No Data")</f>
        <v>8.5</v>
      </c>
      <c r="E973" s="28" t="str">
        <f t="array" ref="E973">_xlfn.XLOOKUP($A973, 'Medical Examinations'!$A:$A, 'Medical Examinations'!D:D, "No Data")</f>
        <v>yes</v>
      </c>
      <c r="F973" s="28" t="str">
        <f t="array" ref="F973">_xlfn.XLOOKUP($A973, 'Medical Examinations'!$A:$A, 'Medical Examinations'!E:E, "No Data")</f>
        <v>No</v>
      </c>
      <c r="G973" s="28" t="str">
        <f t="array" ref="G973">_xlfn.XLOOKUP($A973, 'Medical Examinations'!$A:$A, 'Medical Examinations'!F:F, "No Data")</f>
        <v>No</v>
      </c>
      <c r="H973" s="28">
        <f t="array" ref="H973">_xlfn.XLOOKUP($A973, 'Medical Examinations'!$A:$A, 'Medical Examinations'!G:G, "No Data")</f>
        <v>2</v>
      </c>
      <c r="I973" s="28" t="str">
        <f t="array" ref="I973">_xlfn.XLOOKUP($A973, 'Medical Examinations'!$A:$A, 'Medical Examinations'!H:H, "No Data")</f>
        <v>No</v>
      </c>
      <c r="J973" s="28" t="str">
        <f t="array" ref="J973">_xlfn.XLOOKUP($A973, 'Medical Examinations'!$A:$A, 'Medical Examinations'!I:I, "No Data")</f>
        <v>Obesity</v>
      </c>
      <c r="K973" s="28" t="str">
        <f t="array" ref="K973">_xlfn.XLOOKUP($A973, 'Hospitalisation Details'!$A:$A, 'Hospitalisation Details'!I:I, "No Data")</f>
        <v>tier - 3</v>
      </c>
      <c r="L973" s="28" t="str">
        <f t="array" ref="L973">_xlfn.XLOOKUP($A973, 'Hospitalisation Details'!$A:$A, 'Hospitalisation Details'!J:J, "No Data")</f>
        <v>R1024</v>
      </c>
      <c r="M973" s="28" t="str">
        <f t="array" ref="M973">_xlfn.XLOOKUP($A973, 'Hospitalisation Details'!$A:$A, 'Hospitalisation Details'!E:E, "No Data")</f>
        <v>02/10/70</v>
      </c>
      <c r="N973" s="28">
        <f t="array" ref="N973">_xlfn.XLOOKUP($A973, 'Hospitalisation Details'!$A:$A, 'Hospitalisation Details'!K:K, "No Data")</f>
        <v>52</v>
      </c>
      <c r="O973" s="33">
        <f t="array" ref="O973">_xlfn.XLOOKUP($A973, 'Hospitalisation Details'!$A:$A, 'Hospitalisation Details'!G:G, "No Data")</f>
        <v>11396.9</v>
      </c>
      <c r="P973" s="28" t="str">
        <f t="array" ref="P973">_xlfn.XLOOKUP($A973, 'Hospitalisation Details'!$A:$A, 'Hospitalisation Details'!H:H, "No Data")</f>
        <v>tier - 3</v>
      </c>
    </row>
    <row r="974">
      <c r="A974" s="25" t="s">
        <v>3110</v>
      </c>
      <c r="B974" s="28" t="str">
        <f t="array" ref="B974">_xlfn.XLOOKUP($A974, 'Customer Names'!$A:$A, 'Customer Names'!B:B, "No Data")</f>
        <v>McCurdy</v>
      </c>
      <c r="C974" s="28">
        <f t="array" ref="C974">_xlfn.XLOOKUP($A974, 'Medical Examinations'!$A:$A, 'Medical Examinations'!B:B, "No Data")</f>
        <v>35.245</v>
      </c>
      <c r="D974" s="28">
        <f t="array" ref="D974">_xlfn.XLOOKUP($A974, 'Medical Examinations'!$A:$A, 'Medical Examinations'!C:C, "No Data")</f>
        <v>11.22</v>
      </c>
      <c r="E974" s="28" t="str">
        <f t="array" ref="E974">_xlfn.XLOOKUP($A974, 'Medical Examinations'!$A:$A, 'Medical Examinations'!D:D, "No Data")</f>
        <v>yes</v>
      </c>
      <c r="F974" s="28" t="str">
        <f t="array" ref="F974">_xlfn.XLOOKUP($A974, 'Medical Examinations'!$A:$A, 'Medical Examinations'!E:E, "No Data")</f>
        <v>No</v>
      </c>
      <c r="G974" s="28" t="str">
        <f t="array" ref="G974">_xlfn.XLOOKUP($A974, 'Medical Examinations'!$A:$A, 'Medical Examinations'!F:F, "No Data")</f>
        <v>No</v>
      </c>
      <c r="H974" s="28">
        <f t="array" ref="H974">_xlfn.XLOOKUP($A974, 'Medical Examinations'!$A:$A, 'Medical Examinations'!G:G, "No Data")</f>
        <v>0</v>
      </c>
      <c r="I974" s="28" t="str">
        <f t="array" ref="I974">_xlfn.XLOOKUP($A974, 'Medical Examinations'!$A:$A, 'Medical Examinations'!H:H, "No Data")</f>
        <v>No</v>
      </c>
      <c r="J974" s="28" t="str">
        <f t="array" ref="J974">_xlfn.XLOOKUP($A974, 'Medical Examinations'!$A:$A, 'Medical Examinations'!I:I, "No Data")</f>
        <v>Obesity</v>
      </c>
      <c r="K974" s="28" t="str">
        <f t="array" ref="K974">_xlfn.XLOOKUP($A974, 'Hospitalisation Details'!$A:$A, 'Hospitalisation Details'!I:I, "No Data")</f>
        <v>tier - 1</v>
      </c>
      <c r="L974" s="28" t="str">
        <f t="array" ref="L974">_xlfn.XLOOKUP($A974, 'Hospitalisation Details'!$A:$A, 'Hospitalisation Details'!J:J, "No Data")</f>
        <v>R1018</v>
      </c>
      <c r="M974" s="28" t="str">
        <f t="array" ref="M974">_xlfn.XLOOKUP($A974, 'Hospitalisation Details'!$A:$A, 'Hospitalisation Details'!E:E, "No Data")</f>
        <v>19/12/67</v>
      </c>
      <c r="N974" s="28">
        <f t="array" ref="N974">_xlfn.XLOOKUP($A974, 'Hospitalisation Details'!$A:$A, 'Hospitalisation Details'!K:K, "No Data")</f>
        <v>55</v>
      </c>
      <c r="O974" s="33">
        <f t="array" ref="O974">_xlfn.XLOOKUP($A974, 'Hospitalisation Details'!$A:$A, 'Hospitalisation Details'!G:G, "No Data")</f>
        <v>11394.07</v>
      </c>
      <c r="P974" s="28" t="str">
        <f t="array" ref="P974">_xlfn.XLOOKUP($A974, 'Hospitalisation Details'!$A:$A, 'Hospitalisation Details'!H:H, "No Data")</f>
        <v>tier - 3</v>
      </c>
    </row>
    <row r="975">
      <c r="A975" s="25" t="s">
        <v>3112</v>
      </c>
      <c r="B975" s="28" t="str">
        <f t="array" ref="B975">_xlfn.XLOOKUP($A975, 'Customer Names'!$A:$A, 'Customer Names'!B:B, "No Data")</f>
        <v>Hughes</v>
      </c>
      <c r="C975" s="28">
        <f t="array" ref="C975">_xlfn.XLOOKUP($A975, 'Medical Examinations'!$A:$A, 'Medical Examinations'!B:B, "No Data")</f>
        <v>49.84</v>
      </c>
      <c r="D975" s="28">
        <f t="array" ref="D975">_xlfn.XLOOKUP($A975, 'Medical Examinations'!$A:$A, 'Medical Examinations'!C:C, "No Data")</f>
        <v>5.1</v>
      </c>
      <c r="E975" s="28" t="str">
        <f t="array" ref="E975">_xlfn.XLOOKUP($A975, 'Medical Examinations'!$A:$A, 'Medical Examinations'!D:D, "No Data")</f>
        <v>yes</v>
      </c>
      <c r="F975" s="28" t="str">
        <f t="array" ref="F975">_xlfn.XLOOKUP($A975, 'Medical Examinations'!$A:$A, 'Medical Examinations'!E:E, "No Data")</f>
        <v>No</v>
      </c>
      <c r="G975" s="28" t="str">
        <f t="array" ref="G975">_xlfn.XLOOKUP($A975, 'Medical Examinations'!$A:$A, 'Medical Examinations'!F:F, "No Data")</f>
        <v>Yes</v>
      </c>
      <c r="H975" s="28">
        <f t="array" ref="H975">_xlfn.XLOOKUP($A975, 'Medical Examinations'!$A:$A, 'Medical Examinations'!G:G, "No Data")</f>
        <v>1</v>
      </c>
      <c r="I975" s="28" t="str">
        <f t="array" ref="I975">_xlfn.XLOOKUP($A975, 'Medical Examinations'!$A:$A, 'Medical Examinations'!H:H, "No Data")</f>
        <v>No</v>
      </c>
      <c r="J975" s="28" t="str">
        <f t="array" ref="J975">_xlfn.XLOOKUP($A975, 'Medical Examinations'!$A:$A, 'Medical Examinations'!I:I, "No Data")</f>
        <v>Obesity</v>
      </c>
      <c r="K975" s="28" t="str">
        <f t="array" ref="K975">_xlfn.XLOOKUP($A975, 'Hospitalisation Details'!$A:$A, 'Hospitalisation Details'!I:I, "No Data")</f>
        <v>tier - 2</v>
      </c>
      <c r="L975" s="28" t="str">
        <f t="array" ref="L975">_xlfn.XLOOKUP($A975, 'Hospitalisation Details'!$A:$A, 'Hospitalisation Details'!J:J, "No Data")</f>
        <v>R1026</v>
      </c>
      <c r="M975" s="28" t="str">
        <f t="array" ref="M975">_xlfn.XLOOKUP($A975, 'Hospitalisation Details'!$A:$A, 'Hospitalisation Details'!E:E, "No Data")</f>
        <v>28/07/97</v>
      </c>
      <c r="N975" s="28">
        <f t="array" ref="N975">_xlfn.XLOOKUP($A975, 'Hospitalisation Details'!$A:$A, 'Hospitalisation Details'!K:K, "No Data")</f>
        <v>25</v>
      </c>
      <c r="O975" s="33">
        <f t="array" ref="O975">_xlfn.XLOOKUP($A975, 'Hospitalisation Details'!$A:$A, 'Hospitalisation Details'!G:G, "No Data")</f>
        <v>11388.27</v>
      </c>
      <c r="P975" s="28" t="str">
        <f t="array" ref="P975">_xlfn.XLOOKUP($A975, 'Hospitalisation Details'!$A:$A, 'Hospitalisation Details'!H:H, "No Data")</f>
        <v>tier - 3</v>
      </c>
    </row>
    <row r="976">
      <c r="A976" s="25" t="s">
        <v>3115</v>
      </c>
      <c r="B976" s="28" t="str">
        <f t="array" ref="B976">_xlfn.XLOOKUP($A976, 'Customer Names'!$A:$A, 'Customer Names'!B:B, "No Data")</f>
        <v>Varner</v>
      </c>
      <c r="C976" s="28">
        <f t="array" ref="C976">_xlfn.XLOOKUP($A976, 'Medical Examinations'!$A:$A, 'Medical Examinations'!B:B, "No Data")</f>
        <v>49.06</v>
      </c>
      <c r="D976" s="28">
        <f t="array" ref="D976">_xlfn.XLOOKUP($A976, 'Medical Examinations'!$A:$A, 'Medical Examinations'!C:C, "No Data")</f>
        <v>5.43</v>
      </c>
      <c r="E976" s="28" t="str">
        <f t="array" ref="E976">_xlfn.XLOOKUP($A976, 'Medical Examinations'!$A:$A, 'Medical Examinations'!D:D, "No Data")</f>
        <v>yes</v>
      </c>
      <c r="F976" s="28" t="str">
        <f t="array" ref="F976">_xlfn.XLOOKUP($A976, 'Medical Examinations'!$A:$A, 'Medical Examinations'!E:E, "No Data")</f>
        <v>No</v>
      </c>
      <c r="G976" s="28" t="str">
        <f t="array" ref="G976">_xlfn.XLOOKUP($A976, 'Medical Examinations'!$A:$A, 'Medical Examinations'!F:F, "No Data")</f>
        <v>No</v>
      </c>
      <c r="H976" s="28">
        <f t="array" ref="H976">_xlfn.XLOOKUP($A976, 'Medical Examinations'!$A:$A, 'Medical Examinations'!G:G, "No Data")</f>
        <v>1</v>
      </c>
      <c r="I976" s="28" t="str">
        <f t="array" ref="I976">_xlfn.XLOOKUP($A976, 'Medical Examinations'!$A:$A, 'Medical Examinations'!H:H, "No Data")</f>
        <v>No</v>
      </c>
      <c r="J976" s="28" t="str">
        <f t="array" ref="J976">_xlfn.XLOOKUP($A976, 'Medical Examinations'!$A:$A, 'Medical Examinations'!I:I, "No Data")</f>
        <v>Obesity</v>
      </c>
      <c r="K976" s="28" t="str">
        <f t="array" ref="K976">_xlfn.XLOOKUP($A976, 'Hospitalisation Details'!$A:$A, 'Hospitalisation Details'!I:I, "No Data")</f>
        <v>tier - 2</v>
      </c>
      <c r="L976" s="28" t="str">
        <f t="array" ref="L976">_xlfn.XLOOKUP($A976, 'Hospitalisation Details'!$A:$A, 'Hospitalisation Details'!J:J, "No Data")</f>
        <v>R1013</v>
      </c>
      <c r="M976" s="28" t="str">
        <f t="array" ref="M976">_xlfn.XLOOKUP($A976, 'Hospitalisation Details'!$A:$A, 'Hospitalisation Details'!E:E, "No Data")</f>
        <v>13/06/64</v>
      </c>
      <c r="N976" s="28">
        <f t="array" ref="N976">_xlfn.XLOOKUP($A976, 'Hospitalisation Details'!$A:$A, 'Hospitalisation Details'!K:K, "No Data")</f>
        <v>58</v>
      </c>
      <c r="O976" s="33">
        <f t="array" ref="O976">_xlfn.XLOOKUP($A976, 'Hospitalisation Details'!$A:$A, 'Hospitalisation Details'!G:G, "No Data")</f>
        <v>11381.33</v>
      </c>
      <c r="P976" s="28" t="str">
        <f t="array" ref="P976">_xlfn.XLOOKUP($A976, 'Hospitalisation Details'!$A:$A, 'Hospitalisation Details'!H:H, "No Data")</f>
        <v>tier - 3</v>
      </c>
    </row>
    <row r="977">
      <c r="A977" s="25" t="s">
        <v>3117</v>
      </c>
      <c r="B977" s="28" t="str">
        <f t="array" ref="B977">_xlfn.XLOOKUP($A977, 'Customer Names'!$A:$A, 'Customer Names'!B:B, "No Data")</f>
        <v>Dahmen</v>
      </c>
      <c r="C977" s="28">
        <f t="array" ref="C977">_xlfn.XLOOKUP($A977, 'Medical Examinations'!$A:$A, 'Medical Examinations'!B:B, "No Data")</f>
        <v>30.88</v>
      </c>
      <c r="D977" s="28">
        <f t="array" ref="D977">_xlfn.XLOOKUP($A977, 'Medical Examinations'!$A:$A, 'Medical Examinations'!C:C, "No Data")</f>
        <v>5.82</v>
      </c>
      <c r="E977" s="28" t="str">
        <f t="array" ref="E977">_xlfn.XLOOKUP($A977, 'Medical Examinations'!$A:$A, 'Medical Examinations'!D:D, "No Data")</f>
        <v>No</v>
      </c>
      <c r="F977" s="28" t="str">
        <f t="array" ref="F977">_xlfn.XLOOKUP($A977, 'Medical Examinations'!$A:$A, 'Medical Examinations'!E:E, "No Data")</f>
        <v>No</v>
      </c>
      <c r="G977" s="28" t="str">
        <f t="array" ref="G977">_xlfn.XLOOKUP($A977, 'Medical Examinations'!$A:$A, 'Medical Examinations'!F:F, "No Data")</f>
        <v>No</v>
      </c>
      <c r="H977" s="28">
        <f t="array" ref="H977">_xlfn.XLOOKUP($A977, 'Medical Examinations'!$A:$A, 'Medical Examinations'!G:G, "No Data")</f>
        <v>2</v>
      </c>
      <c r="I977" s="28" t="str">
        <f t="array" ref="I977">_xlfn.XLOOKUP($A977, 'Medical Examinations'!$A:$A, 'Medical Examinations'!H:H, "No Data")</f>
        <v>No</v>
      </c>
      <c r="J977" s="28" t="str">
        <f t="array" ref="J977">_xlfn.XLOOKUP($A977, 'Medical Examinations'!$A:$A, 'Medical Examinations'!I:I, "No Data")</f>
        <v>Obesity</v>
      </c>
      <c r="K977" s="28" t="str">
        <f t="array" ref="K977">_xlfn.XLOOKUP($A977, 'Hospitalisation Details'!$A:$A, 'Hospitalisation Details'!I:I, "No Data")</f>
        <v>tier - 2</v>
      </c>
      <c r="L977" s="28" t="str">
        <f t="array" ref="L977">_xlfn.XLOOKUP($A977, 'Hospitalisation Details'!$A:$A, 'Hospitalisation Details'!J:J, "No Data")</f>
        <v>R1025</v>
      </c>
      <c r="M977" s="28" t="str">
        <f t="array" ref="M977">_xlfn.XLOOKUP($A977, 'Hospitalisation Details'!$A:$A, 'Hospitalisation Details'!E:E, "No Data")</f>
        <v>06/12/72</v>
      </c>
      <c r="N977" s="28">
        <f t="array" ref="N977">_xlfn.XLOOKUP($A977, 'Hospitalisation Details'!$A:$A, 'Hospitalisation Details'!K:K, "No Data")</f>
        <v>50</v>
      </c>
      <c r="O977" s="33">
        <f t="array" ref="O977">_xlfn.XLOOKUP($A977, 'Hospitalisation Details'!$A:$A, 'Hospitalisation Details'!G:G, "No Data")</f>
        <v>11378.57</v>
      </c>
      <c r="P977" s="28" t="str">
        <f t="array" ref="P977">_xlfn.XLOOKUP($A977, 'Hospitalisation Details'!$A:$A, 'Hospitalisation Details'!H:H, "No Data")</f>
        <v>tier - 3</v>
      </c>
    </row>
    <row r="978">
      <c r="A978" s="25" t="s">
        <v>3120</v>
      </c>
      <c r="B978" s="28" t="str">
        <f t="array" ref="B978">_xlfn.XLOOKUP($A978, 'Customer Names'!$A:$A, 'Customer Names'!B:B, "No Data")</f>
        <v>Young</v>
      </c>
      <c r="C978" s="28">
        <f t="array" ref="C978">_xlfn.XLOOKUP($A978, 'Medical Examinations'!$A:$A, 'Medical Examinations'!B:B, "No Data")</f>
        <v>33.35</v>
      </c>
      <c r="D978" s="28">
        <f t="array" ref="D978">_xlfn.XLOOKUP($A978, 'Medical Examinations'!$A:$A, 'Medical Examinations'!C:C, "No Data")</f>
        <v>6.05</v>
      </c>
      <c r="E978" s="28" t="str">
        <f t="array" ref="E978">_xlfn.XLOOKUP($A978, 'Medical Examinations'!$A:$A, 'Medical Examinations'!D:D, "No Data")</f>
        <v>No</v>
      </c>
      <c r="F978" s="28" t="str">
        <f t="array" ref="F978">_xlfn.XLOOKUP($A978, 'Medical Examinations'!$A:$A, 'Medical Examinations'!E:E, "No Data")</f>
        <v>No</v>
      </c>
      <c r="G978" s="28" t="str">
        <f t="array" ref="G978">_xlfn.XLOOKUP($A978, 'Medical Examinations'!$A:$A, 'Medical Examinations'!F:F, "No Data")</f>
        <v>Yes</v>
      </c>
      <c r="H978" s="28">
        <f t="array" ref="H978">_xlfn.XLOOKUP($A978, 'Medical Examinations'!$A:$A, 'Medical Examinations'!G:G, "No Data")</f>
        <v>1</v>
      </c>
      <c r="I978" s="28" t="str">
        <f t="array" ref="I978">_xlfn.XLOOKUP($A978, 'Medical Examinations'!$A:$A, 'Medical Examinations'!H:H, "No Data")</f>
        <v>No</v>
      </c>
      <c r="J978" s="28" t="str">
        <f t="array" ref="J978">_xlfn.XLOOKUP($A978, 'Medical Examinations'!$A:$A, 'Medical Examinations'!I:I, "No Data")</f>
        <v>Obesity</v>
      </c>
      <c r="K978" s="28" t="str">
        <f t="array" ref="K978">_xlfn.XLOOKUP($A978, 'Hospitalisation Details'!$A:$A, 'Hospitalisation Details'!I:I, "No Data")</f>
        <v>tier - 1</v>
      </c>
      <c r="L978" s="28" t="str">
        <f t="array" ref="L978">_xlfn.XLOOKUP($A978, 'Hospitalisation Details'!$A:$A, 'Hospitalisation Details'!J:J, "No Data")</f>
        <v>R1026</v>
      </c>
      <c r="M978" s="28" t="str">
        <f t="array" ref="M978">_xlfn.XLOOKUP($A978, 'Hospitalisation Details'!$A:$A, 'Hospitalisation Details'!E:E, "No Data")</f>
        <v>07/06/79</v>
      </c>
      <c r="N978" s="28">
        <f t="array" ref="N978">_xlfn.XLOOKUP($A978, 'Hospitalisation Details'!$A:$A, 'Hospitalisation Details'!K:K, "No Data")</f>
        <v>44</v>
      </c>
      <c r="O978" s="33">
        <f t="array" ref="O978">_xlfn.XLOOKUP($A978, 'Hospitalisation Details'!$A:$A, 'Hospitalisation Details'!G:G, "No Data")</f>
        <v>11369.39</v>
      </c>
      <c r="P978" s="28" t="str">
        <f t="array" ref="P978">_xlfn.XLOOKUP($A978, 'Hospitalisation Details'!$A:$A, 'Hospitalisation Details'!H:H, "No Data")</f>
        <v>tier - 3</v>
      </c>
    </row>
    <row r="979">
      <c r="A979" s="25" t="s">
        <v>3123</v>
      </c>
      <c r="B979" s="28" t="str">
        <f t="array" ref="B979">_xlfn.XLOOKUP($A979, 'Customer Names'!$A:$A, 'Customer Names'!B:B, "No Data")</f>
        <v>Fraser</v>
      </c>
      <c r="C979" s="28">
        <f t="array" ref="C979">_xlfn.XLOOKUP($A979, 'Medical Examinations'!$A:$A, 'Medical Examinations'!B:B, "No Data")</f>
        <v>38</v>
      </c>
      <c r="D979" s="28">
        <f t="array" ref="D979">_xlfn.XLOOKUP($A979, 'Medical Examinations'!$A:$A, 'Medical Examinations'!C:C, "No Data")</f>
        <v>6.38</v>
      </c>
      <c r="E979" s="28" t="str">
        <f t="array" ref="E979">_xlfn.XLOOKUP($A979, 'Medical Examinations'!$A:$A, 'Medical Examinations'!D:D, "No Data")</f>
        <v>yes</v>
      </c>
      <c r="F979" s="28" t="str">
        <f t="array" ref="F979">_xlfn.XLOOKUP($A979, 'Medical Examinations'!$A:$A, 'Medical Examinations'!E:E, "No Data")</f>
        <v>No</v>
      </c>
      <c r="G979" s="28" t="str">
        <f t="array" ref="G979">_xlfn.XLOOKUP($A979, 'Medical Examinations'!$A:$A, 'Medical Examinations'!F:F, "No Data")</f>
        <v>No</v>
      </c>
      <c r="H979" s="28">
        <f t="array" ref="H979">_xlfn.XLOOKUP($A979, 'Medical Examinations'!$A:$A, 'Medical Examinations'!G:G, "No Data")</f>
        <v>1</v>
      </c>
      <c r="I979" s="28" t="str">
        <f t="array" ref="I979">_xlfn.XLOOKUP($A979, 'Medical Examinations'!$A:$A, 'Medical Examinations'!H:H, "No Data")</f>
        <v>No</v>
      </c>
      <c r="J979" s="28" t="str">
        <f t="array" ref="J979">_xlfn.XLOOKUP($A979, 'Medical Examinations'!$A:$A, 'Medical Examinations'!I:I, "No Data")</f>
        <v>Obesity</v>
      </c>
      <c r="K979" s="28" t="str">
        <f t="array" ref="K979">_xlfn.XLOOKUP($A979, 'Hospitalisation Details'!$A:$A, 'Hospitalisation Details'!I:I, "No Data")</f>
        <v>tier - 2</v>
      </c>
      <c r="L979" s="28" t="str">
        <f t="array" ref="L979">_xlfn.XLOOKUP($A979, 'Hospitalisation Details'!$A:$A, 'Hospitalisation Details'!J:J, "No Data")</f>
        <v>R1011</v>
      </c>
      <c r="M979" s="28" t="str">
        <f t="array" ref="M979">_xlfn.XLOOKUP($A979, 'Hospitalisation Details'!$A:$A, 'Hospitalisation Details'!E:E, "No Data")</f>
        <v>13/12/64</v>
      </c>
      <c r="N979" s="28">
        <f t="array" ref="N979">_xlfn.XLOOKUP($A979, 'Hospitalisation Details'!$A:$A, 'Hospitalisation Details'!K:K, "No Data")</f>
        <v>58</v>
      </c>
      <c r="O979" s="33">
        <f t="array" ref="O979">_xlfn.XLOOKUP($A979, 'Hospitalisation Details'!$A:$A, 'Hospitalisation Details'!G:G, "No Data")</f>
        <v>11365.95</v>
      </c>
      <c r="P979" s="28" t="str">
        <f t="array" ref="P979">_xlfn.XLOOKUP($A979, 'Hospitalisation Details'!$A:$A, 'Hospitalisation Details'!H:H, "No Data")</f>
        <v>tier - 3</v>
      </c>
    </row>
    <row r="980">
      <c r="A980" s="25" t="s">
        <v>3125</v>
      </c>
      <c r="B980" s="28" t="str">
        <f t="array" ref="B980">_xlfn.XLOOKUP($A980, 'Customer Names'!$A:$A, 'Customer Names'!B:B, "No Data")</f>
        <v>Deeg</v>
      </c>
      <c r="C980" s="28">
        <f t="array" ref="C980">_xlfn.XLOOKUP($A980, 'Medical Examinations'!$A:$A, 'Medical Examinations'!B:B, "No Data")</f>
        <v>36.08</v>
      </c>
      <c r="D980" s="28">
        <f t="array" ref="D980">_xlfn.XLOOKUP($A980, 'Medical Examinations'!$A:$A, 'Medical Examinations'!C:C, "No Data")</f>
        <v>5.73</v>
      </c>
      <c r="E980" s="28" t="str">
        <f t="array" ref="E980">_xlfn.XLOOKUP($A980, 'Medical Examinations'!$A:$A, 'Medical Examinations'!D:D, "No Data")</f>
        <v>yes</v>
      </c>
      <c r="F980" s="28" t="str">
        <f t="array" ref="F980">_xlfn.XLOOKUP($A980, 'Medical Examinations'!$A:$A, 'Medical Examinations'!E:E, "No Data")</f>
        <v>No</v>
      </c>
      <c r="G980" s="28" t="str">
        <f t="array" ref="G980">_xlfn.XLOOKUP($A980, 'Medical Examinations'!$A:$A, 'Medical Examinations'!F:F, "No Data")</f>
        <v>No</v>
      </c>
      <c r="H980" s="28">
        <f t="array" ref="H980">_xlfn.XLOOKUP($A980, 'Medical Examinations'!$A:$A, 'Medical Examinations'!G:G, "No Data")</f>
        <v>1</v>
      </c>
      <c r="I980" s="28" t="str">
        <f t="array" ref="I980">_xlfn.XLOOKUP($A980, 'Medical Examinations'!$A:$A, 'Medical Examinations'!H:H, "No Data")</f>
        <v>No</v>
      </c>
      <c r="J980" s="28" t="str">
        <f t="array" ref="J980">_xlfn.XLOOKUP($A980, 'Medical Examinations'!$A:$A, 'Medical Examinations'!I:I, "No Data")</f>
        <v>Obesity</v>
      </c>
      <c r="K980" s="28" t="str">
        <f t="array" ref="K980">_xlfn.XLOOKUP($A980, 'Hospitalisation Details'!$A:$A, 'Hospitalisation Details'!I:I, "No Data")</f>
        <v>tier - 1</v>
      </c>
      <c r="L980" s="28" t="str">
        <f t="array" ref="L980">_xlfn.XLOOKUP($A980, 'Hospitalisation Details'!$A:$A, 'Hospitalisation Details'!J:J, "No Data")</f>
        <v>R1013</v>
      </c>
      <c r="M980" s="28" t="str">
        <f t="array" ref="M980">_xlfn.XLOOKUP($A980, 'Hospitalisation Details'!$A:$A, 'Hospitalisation Details'!E:E, "No Data")</f>
        <v>03/07/64</v>
      </c>
      <c r="N980" s="28">
        <f t="array" ref="N980">_xlfn.XLOOKUP($A980, 'Hospitalisation Details'!$A:$A, 'Hospitalisation Details'!K:K, "No Data")</f>
        <v>58</v>
      </c>
      <c r="O980" s="33">
        <f t="array" ref="O980">_xlfn.XLOOKUP($A980, 'Hospitalisation Details'!$A:$A, 'Hospitalisation Details'!G:G, "No Data")</f>
        <v>11363.28</v>
      </c>
      <c r="P980" s="28" t="str">
        <f t="array" ref="P980">_xlfn.XLOOKUP($A980, 'Hospitalisation Details'!$A:$A, 'Hospitalisation Details'!H:H, "No Data")</f>
        <v>tier - 3</v>
      </c>
    </row>
    <row r="981">
      <c r="A981" s="25" t="s">
        <v>3129</v>
      </c>
      <c r="B981" s="28" t="str">
        <f t="array" ref="B981">_xlfn.XLOOKUP($A981, 'Customer Names'!$A:$A, 'Customer Names'!B:B, "No Data")</f>
        <v>Robertson</v>
      </c>
      <c r="C981" s="28">
        <f t="array" ref="C981">_xlfn.XLOOKUP($A981, 'Medical Examinations'!$A:$A, 'Medical Examinations'!B:B, "No Data")</f>
        <v>35.7</v>
      </c>
      <c r="D981" s="28">
        <f t="array" ref="D981">_xlfn.XLOOKUP($A981, 'Medical Examinations'!$A:$A, 'Medical Examinations'!C:C, "No Data")</f>
        <v>5.47</v>
      </c>
      <c r="E981" s="28" t="str">
        <f t="array" ref="E981">_xlfn.XLOOKUP($A981, 'Medical Examinations'!$A:$A, 'Medical Examinations'!D:D, "No Data")</f>
        <v>yes</v>
      </c>
      <c r="F981" s="28" t="str">
        <f t="array" ref="F981">_xlfn.XLOOKUP($A981, 'Medical Examinations'!$A:$A, 'Medical Examinations'!E:E, "No Data")</f>
        <v>No</v>
      </c>
      <c r="G981" s="28" t="str">
        <f t="array" ref="G981">_xlfn.XLOOKUP($A981, 'Medical Examinations'!$A:$A, 'Medical Examinations'!F:F, "No Data")</f>
        <v>No</v>
      </c>
      <c r="H981" s="28">
        <f t="array" ref="H981">_xlfn.XLOOKUP($A981, 'Medical Examinations'!$A:$A, 'Medical Examinations'!G:G, "No Data")</f>
        <v>1</v>
      </c>
      <c r="I981" s="28" t="str">
        <f t="array" ref="I981">_xlfn.XLOOKUP($A981, 'Medical Examinations'!$A:$A, 'Medical Examinations'!H:H, "No Data")</f>
        <v>No</v>
      </c>
      <c r="J981" s="28" t="str">
        <f t="array" ref="J981">_xlfn.XLOOKUP($A981, 'Medical Examinations'!$A:$A, 'Medical Examinations'!I:I, "No Data")</f>
        <v>Obesity</v>
      </c>
      <c r="K981" s="28" t="str">
        <f t="array" ref="K981">_xlfn.XLOOKUP($A981, 'Hospitalisation Details'!$A:$A, 'Hospitalisation Details'!I:I, "No Data")</f>
        <v>tier - 1</v>
      </c>
      <c r="L981" s="28" t="str">
        <f t="array" ref="L981">_xlfn.XLOOKUP($A981, 'Hospitalisation Details'!$A:$A, 'Hospitalisation Details'!J:J, "No Data")</f>
        <v>R1011</v>
      </c>
      <c r="M981" s="28" t="str">
        <f t="array" ref="M981">_xlfn.XLOOKUP($A981, 'Hospitalisation Details'!$A:$A, 'Hospitalisation Details'!E:E, "No Data")</f>
        <v>04/07/64</v>
      </c>
      <c r="N981" s="28">
        <f t="array" ref="N981">_xlfn.XLOOKUP($A981, 'Hospitalisation Details'!$A:$A, 'Hospitalisation Details'!K:K, "No Data")</f>
        <v>58</v>
      </c>
      <c r="O981" s="33">
        <f t="array" ref="O981">_xlfn.XLOOKUP($A981, 'Hospitalisation Details'!$A:$A, 'Hospitalisation Details'!G:G, "No Data")</f>
        <v>11362.76</v>
      </c>
      <c r="P981" s="28" t="str">
        <f t="array" ref="P981">_xlfn.XLOOKUP($A981, 'Hospitalisation Details'!$A:$A, 'Hospitalisation Details'!H:H, "No Data")</f>
        <v>tier - 3</v>
      </c>
    </row>
    <row r="982">
      <c r="A982" s="25" t="s">
        <v>3131</v>
      </c>
      <c r="B982" s="28" t="str">
        <f t="array" ref="B982">_xlfn.XLOOKUP($A982, 'Customer Names'!$A:$A, 'Customer Names'!B:B, "No Data")</f>
        <v>Peck</v>
      </c>
      <c r="C982" s="28">
        <f t="array" ref="C982">_xlfn.XLOOKUP($A982, 'Medical Examinations'!$A:$A, 'Medical Examinations'!B:B, "No Data")</f>
        <v>34.01</v>
      </c>
      <c r="D982" s="28">
        <f t="array" ref="D982">_xlfn.XLOOKUP($A982, 'Medical Examinations'!$A:$A, 'Medical Examinations'!C:C, "No Data")</f>
        <v>11.3</v>
      </c>
      <c r="E982" s="28" t="str">
        <f t="array" ref="E982">_xlfn.XLOOKUP($A982, 'Medical Examinations'!$A:$A, 'Medical Examinations'!D:D, "No Data")</f>
        <v>No</v>
      </c>
      <c r="F982" s="28" t="str">
        <f t="array" ref="F982">_xlfn.XLOOKUP($A982, 'Medical Examinations'!$A:$A, 'Medical Examinations'!E:E, "No Data")</f>
        <v>No</v>
      </c>
      <c r="G982" s="28" t="str">
        <f t="array" ref="G982">_xlfn.XLOOKUP($A982, 'Medical Examinations'!$A:$A, 'Medical Examinations'!F:F, "No Data")</f>
        <v>No</v>
      </c>
      <c r="H982" s="28">
        <f t="array" ref="H982">_xlfn.XLOOKUP($A982, 'Medical Examinations'!$A:$A, 'Medical Examinations'!G:G, "No Data")</f>
        <v>0</v>
      </c>
      <c r="I982" s="28" t="str">
        <f t="array" ref="I982">_xlfn.XLOOKUP($A982, 'Medical Examinations'!$A:$A, 'Medical Examinations'!H:H, "No Data")</f>
        <v>No</v>
      </c>
      <c r="J982" s="28" t="str">
        <f t="array" ref="J982">_xlfn.XLOOKUP($A982, 'Medical Examinations'!$A:$A, 'Medical Examinations'!I:I, "No Data")</f>
        <v>Obesity</v>
      </c>
      <c r="K982" s="28" t="str">
        <f t="array" ref="K982">_xlfn.XLOOKUP($A982, 'Hospitalisation Details'!$A:$A, 'Hospitalisation Details'!I:I, "No Data")</f>
        <v>tier - 3</v>
      </c>
      <c r="L982" s="28" t="str">
        <f t="array" ref="L982">_xlfn.XLOOKUP($A982, 'Hospitalisation Details'!$A:$A, 'Hospitalisation Details'!J:J, "No Data")</f>
        <v>R1012</v>
      </c>
      <c r="M982" s="28" t="str">
        <f t="array" ref="M982">_xlfn.XLOOKUP($A982, 'Hospitalisation Details'!$A:$A, 'Hospitalisation Details'!E:E, "No Data")</f>
        <v>26/09/65</v>
      </c>
      <c r="N982" s="28">
        <f t="array" ref="N982">_xlfn.XLOOKUP($A982, 'Hospitalisation Details'!$A:$A, 'Hospitalisation Details'!K:K, "No Data")</f>
        <v>57</v>
      </c>
      <c r="O982" s="33">
        <f t="array" ref="O982">_xlfn.XLOOKUP($A982, 'Hospitalisation Details'!$A:$A, 'Hospitalisation Details'!G:G, "No Data")</f>
        <v>11356.66</v>
      </c>
      <c r="P982" s="28" t="str">
        <f t="array" ref="P982">_xlfn.XLOOKUP($A982, 'Hospitalisation Details'!$A:$A, 'Hospitalisation Details'!H:H, "No Data")</f>
        <v>tier - 3</v>
      </c>
    </row>
    <row r="983">
      <c r="A983" s="25" t="s">
        <v>3134</v>
      </c>
      <c r="B983" s="28" t="str">
        <f t="array" ref="B983">_xlfn.XLOOKUP($A983, 'Customer Names'!$A:$A, 'Customer Names'!B:B, "No Data")</f>
        <v>Burger</v>
      </c>
      <c r="C983" s="28">
        <f t="array" ref="C983">_xlfn.XLOOKUP($A983, 'Medical Examinations'!$A:$A, 'Medical Examinations'!B:B, "No Data")</f>
        <v>31.54</v>
      </c>
      <c r="D983" s="28">
        <f t="array" ref="D983">_xlfn.XLOOKUP($A983, 'Medical Examinations'!$A:$A, 'Medical Examinations'!C:C, "No Data")</f>
        <v>6.72</v>
      </c>
      <c r="E983" s="28" t="str">
        <f t="array" ref="E983">_xlfn.XLOOKUP($A983, 'Medical Examinations'!$A:$A, 'Medical Examinations'!D:D, "No Data")</f>
        <v>No</v>
      </c>
      <c r="F983" s="28" t="str">
        <f t="array" ref="F983">_xlfn.XLOOKUP($A983, 'Medical Examinations'!$A:$A, 'Medical Examinations'!E:E, "No Data")</f>
        <v>No</v>
      </c>
      <c r="G983" s="28" t="str">
        <f t="array" ref="G983">_xlfn.XLOOKUP($A983, 'Medical Examinations'!$A:$A, 'Medical Examinations'!F:F, "No Data")</f>
        <v>No</v>
      </c>
      <c r="H983" s="28">
        <f t="array" ref="H983">_xlfn.XLOOKUP($A983, 'Medical Examinations'!$A:$A, 'Medical Examinations'!G:G, "No Data")</f>
        <v>0</v>
      </c>
      <c r="I983" s="28" t="str">
        <f t="array" ref="I983">_xlfn.XLOOKUP($A983, 'Medical Examinations'!$A:$A, 'Medical Examinations'!H:H, "No Data")</f>
        <v>No</v>
      </c>
      <c r="J983" s="28" t="str">
        <f t="array" ref="J983">_xlfn.XLOOKUP($A983, 'Medical Examinations'!$A:$A, 'Medical Examinations'!I:I, "No Data")</f>
        <v>Obesity</v>
      </c>
      <c r="K983" s="28" t="str">
        <f t="array" ref="K983">_xlfn.XLOOKUP($A983, 'Hospitalisation Details'!$A:$A, 'Hospitalisation Details'!I:I, "No Data")</f>
        <v>tier - 1</v>
      </c>
      <c r="L983" s="28" t="str">
        <f t="array" ref="L983">_xlfn.XLOOKUP($A983, 'Hospitalisation Details'!$A:$A, 'Hospitalisation Details'!J:J, "No Data")</f>
        <v>R1012</v>
      </c>
      <c r="M983" s="28" t="str">
        <f t="array" ref="M983">_xlfn.XLOOKUP($A983, 'Hospitalisation Details'!$A:$A, 'Hospitalisation Details'!E:E, "No Data")</f>
        <v>29/11/65</v>
      </c>
      <c r="N983" s="28">
        <f t="array" ref="N983">_xlfn.XLOOKUP($A983, 'Hospitalisation Details'!$A:$A, 'Hospitalisation Details'!K:K, "No Data")</f>
        <v>57</v>
      </c>
      <c r="O983" s="33">
        <f t="array" ref="O983">_xlfn.XLOOKUP($A983, 'Hospitalisation Details'!$A:$A, 'Hospitalisation Details'!G:G, "No Data")</f>
        <v>11353.23</v>
      </c>
      <c r="P983" s="28" t="str">
        <f t="array" ref="P983">_xlfn.XLOOKUP($A983, 'Hospitalisation Details'!$A:$A, 'Hospitalisation Details'!H:H, "No Data")</f>
        <v>tier - 3</v>
      </c>
    </row>
    <row r="984">
      <c r="A984" s="25" t="s">
        <v>3137</v>
      </c>
      <c r="B984" s="28" t="str">
        <f t="array" ref="B984">_xlfn.XLOOKUP($A984, 'Customer Names'!$A:$A, 'Customer Names'!B:B, "No Data")</f>
        <v>Blain</v>
      </c>
      <c r="C984" s="28">
        <f t="array" ref="C984">_xlfn.XLOOKUP($A984, 'Medical Examinations'!$A:$A, 'Medical Examinations'!B:B, "No Data")</f>
        <v>23.3</v>
      </c>
      <c r="D984" s="28">
        <f t="array" ref="D984">_xlfn.XLOOKUP($A984, 'Medical Examinations'!$A:$A, 'Medical Examinations'!C:C, "No Data")</f>
        <v>5.36</v>
      </c>
      <c r="E984" s="28" t="str">
        <f t="array" ref="E984">_xlfn.XLOOKUP($A984, 'Medical Examinations'!$A:$A, 'Medical Examinations'!D:D, "No Data")</f>
        <v>yes</v>
      </c>
      <c r="F984" s="28" t="str">
        <f t="array" ref="F984">_xlfn.XLOOKUP($A984, 'Medical Examinations'!$A:$A, 'Medical Examinations'!E:E, "No Data")</f>
        <v>No</v>
      </c>
      <c r="G984" s="28" t="str">
        <f t="array" ref="G984">_xlfn.XLOOKUP($A984, 'Medical Examinations'!$A:$A, 'Medical Examinations'!F:F, "No Data")</f>
        <v>No</v>
      </c>
      <c r="H984" s="28">
        <f t="array" ref="H984">_xlfn.XLOOKUP($A984, 'Medical Examinations'!$A:$A, 'Medical Examinations'!G:G, "No Data")</f>
        <v>1</v>
      </c>
      <c r="I984" s="28" t="str">
        <f t="array" ref="I984">_xlfn.XLOOKUP($A984, 'Medical Examinations'!$A:$A, 'Medical Examinations'!H:H, "No Data")</f>
        <v>No</v>
      </c>
      <c r="J984" s="28" t="str">
        <f t="array" ref="J984">_xlfn.XLOOKUP($A984, 'Medical Examinations'!$A:$A, 'Medical Examinations'!I:I, "No Data")</f>
        <v>Normal Weight</v>
      </c>
      <c r="K984" s="28" t="str">
        <f t="array" ref="K984">_xlfn.XLOOKUP($A984, 'Hospitalisation Details'!$A:$A, 'Hospitalisation Details'!I:I, "No Data")</f>
        <v>tier - 3</v>
      </c>
      <c r="L984" s="28" t="str">
        <f t="array" ref="L984">_xlfn.XLOOKUP($A984, 'Hospitalisation Details'!$A:$A, 'Hospitalisation Details'!J:J, "No Data")</f>
        <v>R1011</v>
      </c>
      <c r="M984" s="28" t="str">
        <f t="array" ref="M984">_xlfn.XLOOKUP($A984, 'Hospitalisation Details'!$A:$A, 'Hospitalisation Details'!E:E, "No Data")</f>
        <v>12/07/64</v>
      </c>
      <c r="N984" s="28">
        <f t="array" ref="N984">_xlfn.XLOOKUP($A984, 'Hospitalisation Details'!$A:$A, 'Hospitalisation Details'!K:K, "No Data")</f>
        <v>58</v>
      </c>
      <c r="O984" s="33">
        <f t="array" ref="O984">_xlfn.XLOOKUP($A984, 'Hospitalisation Details'!$A:$A, 'Hospitalisation Details'!G:G, "No Data")</f>
        <v>11345.52</v>
      </c>
      <c r="P984" s="28" t="str">
        <f t="array" ref="P984">_xlfn.XLOOKUP($A984, 'Hospitalisation Details'!$A:$A, 'Hospitalisation Details'!H:H, "No Data")</f>
        <v>tier - 3</v>
      </c>
    </row>
    <row r="985">
      <c r="A985" s="25" t="s">
        <v>3139</v>
      </c>
      <c r="B985" s="28" t="str">
        <f t="array" ref="B985">_xlfn.XLOOKUP($A985, 'Customer Names'!$A:$A, 'Customer Names'!B:B, "No Data")</f>
        <v>Winters</v>
      </c>
      <c r="C985" s="28">
        <f t="array" ref="C985">_xlfn.XLOOKUP($A985, 'Medical Examinations'!$A:$A, 'Medical Examinations'!B:B, "No Data")</f>
        <v>27.75</v>
      </c>
      <c r="D985" s="28">
        <f t="array" ref="D985">_xlfn.XLOOKUP($A985, 'Medical Examinations'!$A:$A, 'Medical Examinations'!C:C, "No Data")</f>
        <v>9.88</v>
      </c>
      <c r="E985" s="28" t="str">
        <f t="array" ref="E985">_xlfn.XLOOKUP($A985, 'Medical Examinations'!$A:$A, 'Medical Examinations'!D:D, "No Data")</f>
        <v>No</v>
      </c>
      <c r="F985" s="28" t="str">
        <f t="array" ref="F985">_xlfn.XLOOKUP($A985, 'Medical Examinations'!$A:$A, 'Medical Examinations'!E:E, "No Data")</f>
        <v>No</v>
      </c>
      <c r="G985" s="28" t="str">
        <f t="array" ref="G985">_xlfn.XLOOKUP($A985, 'Medical Examinations'!$A:$A, 'Medical Examinations'!F:F, "No Data")</f>
        <v>No</v>
      </c>
      <c r="H985" s="28">
        <f t="array" ref="H985">_xlfn.XLOOKUP($A985, 'Medical Examinations'!$A:$A, 'Medical Examinations'!G:G, "No Data")</f>
        <v>0</v>
      </c>
      <c r="I985" s="28" t="str">
        <f t="array" ref="I985">_xlfn.XLOOKUP($A985, 'Medical Examinations'!$A:$A, 'Medical Examinations'!H:H, "No Data")</f>
        <v>No</v>
      </c>
      <c r="J985" s="28" t="str">
        <f t="array" ref="J985">_xlfn.XLOOKUP($A985, 'Medical Examinations'!$A:$A, 'Medical Examinations'!I:I, "No Data")</f>
        <v>Overweight</v>
      </c>
      <c r="K985" s="28" t="str">
        <f t="array" ref="K985">_xlfn.XLOOKUP($A985, 'Hospitalisation Details'!$A:$A, 'Hospitalisation Details'!I:I, "No Data")</f>
        <v>tier - 2</v>
      </c>
      <c r="L985" s="28" t="str">
        <f t="array" ref="L985">_xlfn.XLOOKUP($A985, 'Hospitalisation Details'!$A:$A, 'Hospitalisation Details'!J:J, "No Data")</f>
        <v>R1025</v>
      </c>
      <c r="M985" s="28" t="str">
        <f t="array" ref="M985">_xlfn.XLOOKUP($A985, 'Hospitalisation Details'!$A:$A, 'Hospitalisation Details'!E:E, "No Data")</f>
        <v>02/11/68</v>
      </c>
      <c r="N985" s="28">
        <f t="array" ref="N985">_xlfn.XLOOKUP($A985, 'Hospitalisation Details'!$A:$A, 'Hospitalisation Details'!K:K, "No Data")</f>
        <v>54</v>
      </c>
      <c r="O985" s="33">
        <f t="array" ref="O985">_xlfn.XLOOKUP($A985, 'Hospitalisation Details'!$A:$A, 'Hospitalisation Details'!G:G, "No Data")</f>
        <v>11344.32</v>
      </c>
      <c r="P985" s="28" t="str">
        <f t="array" ref="P985">_xlfn.XLOOKUP($A985, 'Hospitalisation Details'!$A:$A, 'Hospitalisation Details'!H:H, "No Data")</f>
        <v>tier - 3</v>
      </c>
    </row>
    <row r="986">
      <c r="A986" s="25" t="s">
        <v>3143</v>
      </c>
      <c r="B986" s="28" t="str">
        <f t="array" ref="B986">_xlfn.XLOOKUP($A986, 'Customer Names'!$A:$A, 'Customer Names'!B:B, "No Data")</f>
        <v>McCue</v>
      </c>
      <c r="C986" s="28">
        <f t="array" ref="C986">_xlfn.XLOOKUP($A986, 'Medical Examinations'!$A:$A, 'Medical Examinations'!B:B, "No Data")</f>
        <v>42.46</v>
      </c>
      <c r="D986" s="28">
        <f t="array" ref="D986">_xlfn.XLOOKUP($A986, 'Medical Examinations'!$A:$A, 'Medical Examinations'!C:C, "No Data")</f>
        <v>4.11</v>
      </c>
      <c r="E986" s="28" t="str">
        <f t="array" ref="E986">_xlfn.XLOOKUP($A986, 'Medical Examinations'!$A:$A, 'Medical Examinations'!D:D, "No Data")</f>
        <v>No</v>
      </c>
      <c r="F986" s="28" t="str">
        <f t="array" ref="F986">_xlfn.XLOOKUP($A986, 'Medical Examinations'!$A:$A, 'Medical Examinations'!E:E, "No Data")</f>
        <v>No</v>
      </c>
      <c r="G986" s="28" t="str">
        <f t="array" ref="G986">_xlfn.XLOOKUP($A986, 'Medical Examinations'!$A:$A, 'Medical Examinations'!F:F, "No Data")</f>
        <v>No</v>
      </c>
      <c r="H986" s="28">
        <f t="array" ref="H986">_xlfn.XLOOKUP($A986, 'Medical Examinations'!$A:$A, 'Medical Examinations'!G:G, "No Data")</f>
        <v>0</v>
      </c>
      <c r="I986" s="28" t="str">
        <f t="array" ref="I986">_xlfn.XLOOKUP($A986, 'Medical Examinations'!$A:$A, 'Medical Examinations'!H:H, "No Data")</f>
        <v>No</v>
      </c>
      <c r="J986" s="28" t="str">
        <f t="array" ref="J986">_xlfn.XLOOKUP($A986, 'Medical Examinations'!$A:$A, 'Medical Examinations'!I:I, "No Data")</f>
        <v>Obesity</v>
      </c>
      <c r="K986" s="28" t="str">
        <f t="array" ref="K986">_xlfn.XLOOKUP($A986, 'Hospitalisation Details'!$A:$A, 'Hospitalisation Details'!I:I, "No Data")</f>
        <v>tier - 3</v>
      </c>
      <c r="L986" s="28" t="str">
        <f t="array" ref="L986">_xlfn.XLOOKUP($A986, 'Hospitalisation Details'!$A:$A, 'Hospitalisation Details'!J:J, "No Data")</f>
        <v>R1013</v>
      </c>
      <c r="M986" s="28" t="str">
        <f t="array" ref="M986">_xlfn.XLOOKUP($A986, 'Hospitalisation Details'!$A:$A, 'Hospitalisation Details'!E:E, "No Data")</f>
        <v>19/08/89</v>
      </c>
      <c r="N986" s="28">
        <f t="array" ref="N986">_xlfn.XLOOKUP($A986, 'Hospitalisation Details'!$A:$A, 'Hospitalisation Details'!K:K, "No Data")</f>
        <v>33</v>
      </c>
      <c r="O986" s="33">
        <f t="array" ref="O986">_xlfn.XLOOKUP($A986, 'Hospitalisation Details'!$A:$A, 'Hospitalisation Details'!G:G, "No Data")</f>
        <v>11326.71</v>
      </c>
      <c r="P986" s="28" t="str">
        <f t="array" ref="P986">_xlfn.XLOOKUP($A986, 'Hospitalisation Details'!$A:$A, 'Hospitalisation Details'!H:H, "No Data")</f>
        <v>tier - 3</v>
      </c>
    </row>
    <row r="987">
      <c r="A987" s="25" t="s">
        <v>3146</v>
      </c>
      <c r="B987" s="28" t="str">
        <f t="array" ref="B987">_xlfn.XLOOKUP($A987, 'Customer Names'!$A:$A, 'Customer Names'!B:B, "No Data")</f>
        <v>Webster</v>
      </c>
      <c r="C987" s="28">
        <f t="array" ref="C987">_xlfn.XLOOKUP($A987, 'Medical Examinations'!$A:$A, 'Medical Examinations'!B:B, "No Data")</f>
        <v>54.47</v>
      </c>
      <c r="D987" s="28">
        <f t="array" ref="D987">_xlfn.XLOOKUP($A987, 'Medical Examinations'!$A:$A, 'Medical Examinations'!C:C, "No Data")</f>
        <v>7.48</v>
      </c>
      <c r="E987" s="28" t="str">
        <f t="array" ref="E987">_xlfn.XLOOKUP($A987, 'Medical Examinations'!$A:$A, 'Medical Examinations'!D:D, "No Data")</f>
        <v>No</v>
      </c>
      <c r="F987" s="28" t="str">
        <f t="array" ref="F987">_xlfn.XLOOKUP($A987, 'Medical Examinations'!$A:$A, 'Medical Examinations'!E:E, "No Data")</f>
        <v>No</v>
      </c>
      <c r="G987" s="28" t="str">
        <f t="array" ref="G987">_xlfn.XLOOKUP($A987, 'Medical Examinations'!$A:$A, 'Medical Examinations'!F:F, "No Data")</f>
        <v>No</v>
      </c>
      <c r="H987" s="28">
        <f t="array" ref="H987">_xlfn.XLOOKUP($A987, 'Medical Examinations'!$A:$A, 'Medical Examinations'!G:G, "No Data")</f>
        <v>0</v>
      </c>
      <c r="I987" s="28" t="str">
        <f t="array" ref="I987">_xlfn.XLOOKUP($A987, 'Medical Examinations'!$A:$A, 'Medical Examinations'!H:H, "No Data")</f>
        <v>No</v>
      </c>
      <c r="J987" s="28" t="str">
        <f t="array" ref="J987">_xlfn.XLOOKUP($A987, 'Medical Examinations'!$A:$A, 'Medical Examinations'!I:I, "No Data")</f>
        <v>Obesity</v>
      </c>
      <c r="K987" s="28" t="str">
        <f t="array" ref="K987">_xlfn.XLOOKUP($A987, 'Hospitalisation Details'!$A:$A, 'Hospitalisation Details'!I:I, "No Data")</f>
        <v>tier - 3</v>
      </c>
      <c r="L987" s="28" t="str">
        <f t="array" ref="L987">_xlfn.XLOOKUP($A987, 'Hospitalisation Details'!$A:$A, 'Hospitalisation Details'!J:J, "No Data")</f>
        <v>R1012</v>
      </c>
      <c r="M987" s="28" t="str">
        <f t="array" ref="M987">_xlfn.XLOOKUP($A987, 'Hospitalisation Details'!$A:$A, 'Hospitalisation Details'!E:E, "No Data")</f>
        <v>20/09/02</v>
      </c>
      <c r="N987" s="28">
        <f t="array" ref="N987">_xlfn.XLOOKUP($A987, 'Hospitalisation Details'!$A:$A, 'Hospitalisation Details'!K:K, "No Data")</f>
        <v>20</v>
      </c>
      <c r="O987" s="33">
        <f t="array" ref="O987">_xlfn.XLOOKUP($A987, 'Hospitalisation Details'!$A:$A, 'Hospitalisation Details'!G:G, "No Data")</f>
        <v>11321.49</v>
      </c>
      <c r="P987" s="28" t="str">
        <f t="array" ref="P987">_xlfn.XLOOKUP($A987, 'Hospitalisation Details'!$A:$A, 'Hospitalisation Details'!H:H, "No Data")</f>
        <v>tier - 3</v>
      </c>
    </row>
    <row r="988">
      <c r="A988" s="25" t="s">
        <v>3149</v>
      </c>
      <c r="B988" s="28" t="str">
        <f t="array" ref="B988">_xlfn.XLOOKUP($A988, 'Customer Names'!$A:$A, 'Customer Names'!B:B, "No Data")</f>
        <v>Anderson</v>
      </c>
      <c r="C988" s="28">
        <f t="array" ref="C988">_xlfn.XLOOKUP($A988, 'Medical Examinations'!$A:$A, 'Medical Examinations'!B:B, "No Data")</f>
        <v>24.93</v>
      </c>
      <c r="D988" s="28">
        <f t="array" ref="D988">_xlfn.XLOOKUP($A988, 'Medical Examinations'!$A:$A, 'Medical Examinations'!C:C, "No Data")</f>
        <v>9.18</v>
      </c>
      <c r="E988" s="28" t="str">
        <f t="array" ref="E988">_xlfn.XLOOKUP($A988, 'Medical Examinations'!$A:$A, 'Medical Examinations'!D:D, "No Data")</f>
        <v>yes</v>
      </c>
      <c r="F988" s="28" t="str">
        <f t="array" ref="F988">_xlfn.XLOOKUP($A988, 'Medical Examinations'!$A:$A, 'Medical Examinations'!E:E, "No Data")</f>
        <v>No</v>
      </c>
      <c r="G988" s="28" t="str">
        <f t="array" ref="G988">_xlfn.XLOOKUP($A988, 'Medical Examinations'!$A:$A, 'Medical Examinations'!F:F, "No Data")</f>
        <v>Yes</v>
      </c>
      <c r="H988" s="28">
        <f t="array" ref="H988">_xlfn.XLOOKUP($A988, 'Medical Examinations'!$A:$A, 'Medical Examinations'!G:G, "No Data")</f>
        <v>1</v>
      </c>
      <c r="I988" s="28" t="str">
        <f t="array" ref="I988">_xlfn.XLOOKUP($A988, 'Medical Examinations'!$A:$A, 'Medical Examinations'!H:H, "No Data")</f>
        <v>No</v>
      </c>
      <c r="J988" s="28" t="str">
        <f t="array" ref="J988">_xlfn.XLOOKUP($A988, 'Medical Examinations'!$A:$A, 'Medical Examinations'!I:I, "No Data")</f>
        <v>Normal Weight</v>
      </c>
      <c r="K988" s="28" t="str">
        <f t="array" ref="K988">_xlfn.XLOOKUP($A988, 'Hospitalisation Details'!$A:$A, 'Hospitalisation Details'!I:I, "No Data")</f>
        <v>tier - 1</v>
      </c>
      <c r="L988" s="28" t="str">
        <f t="array" ref="L988">_xlfn.XLOOKUP($A988, 'Hospitalisation Details'!$A:$A, 'Hospitalisation Details'!J:J, "No Data")</f>
        <v>R1012</v>
      </c>
      <c r="M988" s="28" t="str">
        <f t="array" ref="M988">_xlfn.XLOOKUP($A988, 'Hospitalisation Details'!$A:$A, 'Hospitalisation Details'!E:E, "No Data")</f>
        <v>11/07/63</v>
      </c>
      <c r="N988" s="28">
        <f t="array" ref="N988">_xlfn.XLOOKUP($A988, 'Hospitalisation Details'!$A:$A, 'Hospitalisation Details'!K:K, "No Data")</f>
        <v>59</v>
      </c>
      <c r="O988" s="33">
        <f t="array" ref="O988">_xlfn.XLOOKUP($A988, 'Hospitalisation Details'!$A:$A, 'Hospitalisation Details'!G:G, "No Data")</f>
        <v>11319.12</v>
      </c>
      <c r="P988" s="28" t="str">
        <f t="array" ref="P988">_xlfn.XLOOKUP($A988, 'Hospitalisation Details'!$A:$A, 'Hospitalisation Details'!H:H, "No Data")</f>
        <v>tier - 3</v>
      </c>
    </row>
    <row r="989">
      <c r="A989" s="25" t="s">
        <v>3151</v>
      </c>
      <c r="B989" s="28" t="str">
        <f t="array" ref="B989">_xlfn.XLOOKUP($A989, 'Customer Names'!$A:$A, 'Customer Names'!B:B, "No Data")</f>
        <v>Chiappone</v>
      </c>
      <c r="C989" s="28">
        <f t="array" ref="C989">_xlfn.XLOOKUP($A989, 'Medical Examinations'!$A:$A, 'Medical Examinations'!B:B, "No Data")</f>
        <v>48.12</v>
      </c>
      <c r="D989" s="28">
        <f t="array" ref="D989">_xlfn.XLOOKUP($A989, 'Medical Examinations'!$A:$A, 'Medical Examinations'!C:C, "No Data")</f>
        <v>4.51</v>
      </c>
      <c r="E989" s="28" t="str">
        <f t="array" ref="E989">_xlfn.XLOOKUP($A989, 'Medical Examinations'!$A:$A, 'Medical Examinations'!D:D, "No Data")</f>
        <v>yes</v>
      </c>
      <c r="F989" s="28" t="str">
        <f t="array" ref="F989">_xlfn.XLOOKUP($A989, 'Medical Examinations'!$A:$A, 'Medical Examinations'!E:E, "No Data")</f>
        <v>No</v>
      </c>
      <c r="G989" s="28" t="str">
        <f t="array" ref="G989">_xlfn.XLOOKUP($A989, 'Medical Examinations'!$A:$A, 'Medical Examinations'!F:F, "No Data")</f>
        <v>No</v>
      </c>
      <c r="H989" s="28">
        <f t="array" ref="H989">_xlfn.XLOOKUP($A989, 'Medical Examinations'!$A:$A, 'Medical Examinations'!G:G, "No Data")</f>
        <v>1</v>
      </c>
      <c r="I989" s="28" t="str">
        <f t="array" ref="I989">_xlfn.XLOOKUP($A989, 'Medical Examinations'!$A:$A, 'Medical Examinations'!H:H, "No Data")</f>
        <v>No</v>
      </c>
      <c r="J989" s="28" t="str">
        <f t="array" ref="J989">_xlfn.XLOOKUP($A989, 'Medical Examinations'!$A:$A, 'Medical Examinations'!I:I, "No Data")</f>
        <v>Obesity</v>
      </c>
      <c r="K989" s="28" t="str">
        <f t="array" ref="K989">_xlfn.XLOOKUP($A989, 'Hospitalisation Details'!$A:$A, 'Hospitalisation Details'!I:I, "No Data")</f>
        <v>tier - 2</v>
      </c>
      <c r="L989" s="28" t="str">
        <f t="array" ref="L989">_xlfn.XLOOKUP($A989, 'Hospitalisation Details'!$A:$A, 'Hospitalisation Details'!J:J, "No Data")</f>
        <v>R1026</v>
      </c>
      <c r="M989" s="28" t="str">
        <f t="array" ref="M989">_xlfn.XLOOKUP($A989, 'Hospitalisation Details'!$A:$A, 'Hospitalisation Details'!E:E, "No Data")</f>
        <v>10/12/95</v>
      </c>
      <c r="N989" s="28">
        <f t="array" ref="N989">_xlfn.XLOOKUP($A989, 'Hospitalisation Details'!$A:$A, 'Hospitalisation Details'!K:K, "No Data")</f>
        <v>27</v>
      </c>
      <c r="O989" s="33">
        <f t="array" ref="O989">_xlfn.XLOOKUP($A989, 'Hospitalisation Details'!$A:$A, 'Hospitalisation Details'!G:G, "No Data")</f>
        <v>11318.57</v>
      </c>
      <c r="P989" s="28" t="str">
        <f t="array" ref="P989">_xlfn.XLOOKUP($A989, 'Hospitalisation Details'!$A:$A, 'Hospitalisation Details'!H:H, "No Data")</f>
        <v>tier - 3</v>
      </c>
    </row>
    <row r="990">
      <c r="A990" s="25" t="s">
        <v>3153</v>
      </c>
      <c r="B990" s="28" t="str">
        <f t="array" ref="B990">_xlfn.XLOOKUP($A990, 'Customer Names'!$A:$A, 'Customer Names'!B:B, "No Data")</f>
        <v>Opie</v>
      </c>
      <c r="C990" s="28">
        <f t="array" ref="C990">_xlfn.XLOOKUP($A990, 'Medical Examinations'!$A:$A, 'Medical Examinations'!B:B, "No Data")</f>
        <v>24.91</v>
      </c>
      <c r="D990" s="28">
        <f t="array" ref="D990">_xlfn.XLOOKUP($A990, 'Medical Examinations'!$A:$A, 'Medical Examinations'!C:C, "No Data")</f>
        <v>7.33</v>
      </c>
      <c r="E990" s="28" t="str">
        <f t="array" ref="E990">_xlfn.XLOOKUP($A990, 'Medical Examinations'!$A:$A, 'Medical Examinations'!D:D, "No Data")</f>
        <v>yes</v>
      </c>
      <c r="F990" s="28" t="str">
        <f t="array" ref="F990">_xlfn.XLOOKUP($A990, 'Medical Examinations'!$A:$A, 'Medical Examinations'!E:E, "No Data")</f>
        <v>No</v>
      </c>
      <c r="G990" s="28" t="str">
        <f t="array" ref="G990">_xlfn.XLOOKUP($A990, 'Medical Examinations'!$A:$A, 'Medical Examinations'!F:F, "No Data")</f>
        <v>Yes</v>
      </c>
      <c r="H990" s="28">
        <f t="array" ref="H990">_xlfn.XLOOKUP($A990, 'Medical Examinations'!$A:$A, 'Medical Examinations'!G:G, "No Data")</f>
        <v>1</v>
      </c>
      <c r="I990" s="28" t="str">
        <f t="array" ref="I990">_xlfn.XLOOKUP($A990, 'Medical Examinations'!$A:$A, 'Medical Examinations'!H:H, "No Data")</f>
        <v>No</v>
      </c>
      <c r="J990" s="28" t="str">
        <f t="array" ref="J990">_xlfn.XLOOKUP($A990, 'Medical Examinations'!$A:$A, 'Medical Examinations'!I:I, "No Data")</f>
        <v>Normal Weight</v>
      </c>
      <c r="K990" s="28" t="str">
        <f t="array" ref="K990">_xlfn.XLOOKUP($A990, 'Hospitalisation Details'!$A:$A, 'Hospitalisation Details'!I:I, "No Data")</f>
        <v>tier - 3</v>
      </c>
      <c r="L990" s="28" t="str">
        <f t="array" ref="L990">_xlfn.XLOOKUP($A990, 'Hospitalisation Details'!$A:$A, 'Hospitalisation Details'!J:J, "No Data")</f>
        <v>R1012</v>
      </c>
      <c r="M990" s="28" t="str">
        <f t="array" ref="M990">_xlfn.XLOOKUP($A990, 'Hospitalisation Details'!$A:$A, 'Hospitalisation Details'!E:E, "No Data")</f>
        <v>22/11/63</v>
      </c>
      <c r="N990" s="28">
        <f t="array" ref="N990">_xlfn.XLOOKUP($A990, 'Hospitalisation Details'!$A:$A, 'Hospitalisation Details'!K:K, "No Data")</f>
        <v>59</v>
      </c>
      <c r="O990" s="33">
        <f t="array" ref="O990">_xlfn.XLOOKUP($A990, 'Hospitalisation Details'!$A:$A, 'Hospitalisation Details'!G:G, "No Data")</f>
        <v>11312.33</v>
      </c>
      <c r="P990" s="28" t="str">
        <f t="array" ref="P990">_xlfn.XLOOKUP($A990, 'Hospitalisation Details'!$A:$A, 'Hospitalisation Details'!H:H, "No Data")</f>
        <v>tier - 3</v>
      </c>
    </row>
    <row r="991">
      <c r="A991" s="25" t="s">
        <v>3157</v>
      </c>
      <c r="B991" s="28" t="str">
        <f t="array" ref="B991">_xlfn.XLOOKUP($A991, 'Customer Names'!$A:$A, 'Customer Names'!B:B, "No Data")</f>
        <v>Donnelly</v>
      </c>
      <c r="C991" s="28">
        <f t="array" ref="C991">_xlfn.XLOOKUP($A991, 'Medical Examinations'!$A:$A, 'Medical Examinations'!B:B, "No Data")</f>
        <v>27.645</v>
      </c>
      <c r="D991" s="28">
        <f t="array" ref="D991">_xlfn.XLOOKUP($A991, 'Medical Examinations'!$A:$A, 'Medical Examinations'!C:C, "No Data")</f>
        <v>10.56</v>
      </c>
      <c r="E991" s="28" t="str">
        <f t="array" ref="E991">_xlfn.XLOOKUP($A991, 'Medical Examinations'!$A:$A, 'Medical Examinations'!D:D, "No Data")</f>
        <v>No</v>
      </c>
      <c r="F991" s="28" t="str">
        <f t="array" ref="F991">_xlfn.XLOOKUP($A991, 'Medical Examinations'!$A:$A, 'Medical Examinations'!E:E, "No Data")</f>
        <v>No</v>
      </c>
      <c r="G991" s="28" t="str">
        <f t="array" ref="G991">_xlfn.XLOOKUP($A991, 'Medical Examinations'!$A:$A, 'Medical Examinations'!F:F, "No Data")</f>
        <v>No</v>
      </c>
      <c r="H991" s="28">
        <f t="array" ref="H991">_xlfn.XLOOKUP($A991, 'Medical Examinations'!$A:$A, 'Medical Examinations'!G:G, "No Data")</f>
        <v>0</v>
      </c>
      <c r="I991" s="28" t="str">
        <f t="array" ref="I991">_xlfn.XLOOKUP($A991, 'Medical Examinations'!$A:$A, 'Medical Examinations'!H:H, "No Data")</f>
        <v>No</v>
      </c>
      <c r="J991" s="28" t="str">
        <f t="array" ref="J991">_xlfn.XLOOKUP($A991, 'Medical Examinations'!$A:$A, 'Medical Examinations'!I:I, "No Data")</f>
        <v>Overweight</v>
      </c>
      <c r="K991" s="28" t="str">
        <f t="array" ref="K991">_xlfn.XLOOKUP($A991, 'Hospitalisation Details'!$A:$A, 'Hospitalisation Details'!I:I, "No Data")</f>
        <v>tier - 1</v>
      </c>
      <c r="L991" s="28" t="str">
        <f t="array" ref="L991">_xlfn.XLOOKUP($A991, 'Hospitalisation Details'!$A:$A, 'Hospitalisation Details'!J:J, "No Data")</f>
        <v>R1012</v>
      </c>
      <c r="M991" s="28" t="str">
        <f t="array" ref="M991">_xlfn.XLOOKUP($A991, 'Hospitalisation Details'!$A:$A, 'Hospitalisation Details'!E:E, "No Data")</f>
        <v>06/10/68</v>
      </c>
      <c r="N991" s="28">
        <f t="array" ref="N991">_xlfn.XLOOKUP($A991, 'Hospitalisation Details'!$A:$A, 'Hospitalisation Details'!K:K, "No Data")</f>
        <v>54</v>
      </c>
      <c r="O991" s="33">
        <f t="array" ref="O991">_xlfn.XLOOKUP($A991, 'Hospitalisation Details'!$A:$A, 'Hospitalisation Details'!G:G, "No Data")</f>
        <v>11305.93</v>
      </c>
      <c r="P991" s="28" t="str">
        <f t="array" ref="P991">_xlfn.XLOOKUP($A991, 'Hospitalisation Details'!$A:$A, 'Hospitalisation Details'!H:H, "No Data")</f>
        <v>tier - 3</v>
      </c>
    </row>
    <row r="992">
      <c r="A992" s="25" t="s">
        <v>3159</v>
      </c>
      <c r="B992" s="28" t="str">
        <f t="array" ref="B992">_xlfn.XLOOKUP($A992, 'Customer Names'!$A:$A, 'Customer Names'!B:B, "No Data")</f>
        <v>Rall</v>
      </c>
      <c r="C992" s="28">
        <f t="array" ref="C992">_xlfn.XLOOKUP($A992, 'Medical Examinations'!$A:$A, 'Medical Examinations'!B:B, "No Data")</f>
        <v>33.7</v>
      </c>
      <c r="D992" s="28">
        <f t="array" ref="D992">_xlfn.XLOOKUP($A992, 'Medical Examinations'!$A:$A, 'Medical Examinations'!C:C, "No Data")</f>
        <v>4.01</v>
      </c>
      <c r="E992" s="28" t="str">
        <f t="array" ref="E992">_xlfn.XLOOKUP($A992, 'Medical Examinations'!$A:$A, 'Medical Examinations'!D:D, "No Data")</f>
        <v>No</v>
      </c>
      <c r="F992" s="28" t="str">
        <f t="array" ref="F992">_xlfn.XLOOKUP($A992, 'Medical Examinations'!$A:$A, 'Medical Examinations'!E:E, "No Data")</f>
        <v>No</v>
      </c>
      <c r="G992" s="28" t="str">
        <f t="array" ref="G992">_xlfn.XLOOKUP($A992, 'Medical Examinations'!$A:$A, 'Medical Examinations'!F:F, "No Data")</f>
        <v>No</v>
      </c>
      <c r="H992" s="28">
        <f t="array" ref="H992">_xlfn.XLOOKUP($A992, 'Medical Examinations'!$A:$A, 'Medical Examinations'!G:G, "No Data")</f>
        <v>2</v>
      </c>
      <c r="I992" s="28" t="str">
        <f t="array" ref="I992">_xlfn.XLOOKUP($A992, 'Medical Examinations'!$A:$A, 'Medical Examinations'!H:H, "No Data")</f>
        <v>No</v>
      </c>
      <c r="J992" s="28" t="str">
        <f t="array" ref="J992">_xlfn.XLOOKUP($A992, 'Medical Examinations'!$A:$A, 'Medical Examinations'!I:I, "No Data")</f>
        <v>Obesity</v>
      </c>
      <c r="K992" s="28" t="str">
        <f t="array" ref="K992">_xlfn.XLOOKUP($A992, 'Hospitalisation Details'!$A:$A, 'Hospitalisation Details'!I:I, "No Data")</f>
        <v>tier - 2</v>
      </c>
      <c r="L992" s="28" t="str">
        <f t="array" ref="L992">_xlfn.XLOOKUP($A992, 'Hospitalisation Details'!$A:$A, 'Hospitalisation Details'!J:J, "No Data")</f>
        <v>R1011</v>
      </c>
      <c r="M992" s="28" t="str">
        <f t="array" ref="M992">_xlfn.XLOOKUP($A992, 'Hospitalisation Details'!$A:$A, 'Hospitalisation Details'!E:E, "No Data")</f>
        <v>25/09/72</v>
      </c>
      <c r="N992" s="28">
        <f t="array" ref="N992">_xlfn.XLOOKUP($A992, 'Hospitalisation Details'!$A:$A, 'Hospitalisation Details'!K:K, "No Data")</f>
        <v>50</v>
      </c>
      <c r="O992" s="33">
        <f t="array" ref="O992">_xlfn.XLOOKUP($A992, 'Hospitalisation Details'!$A:$A, 'Hospitalisation Details'!G:G, "No Data")</f>
        <v>11299.34</v>
      </c>
      <c r="P992" s="28" t="str">
        <f t="array" ref="P992">_xlfn.XLOOKUP($A992, 'Hospitalisation Details'!$A:$A, 'Hospitalisation Details'!H:H, "No Data")</f>
        <v>tier - 3</v>
      </c>
    </row>
    <row r="993">
      <c r="A993" s="25" t="s">
        <v>3163</v>
      </c>
      <c r="B993" s="28" t="str">
        <f t="array" ref="B993">_xlfn.XLOOKUP($A993, 'Customer Names'!$A:$A, 'Customer Names'!B:B, "No Data")</f>
        <v>Mitchell</v>
      </c>
      <c r="C993" s="28">
        <f t="array" ref="C993">_xlfn.XLOOKUP($A993, 'Medical Examinations'!$A:$A, 'Medical Examinations'!B:B, "No Data")</f>
        <v>38.93</v>
      </c>
      <c r="D993" s="28">
        <f t="array" ref="D993">_xlfn.XLOOKUP($A993, 'Medical Examinations'!$A:$A, 'Medical Examinations'!C:C, "No Data")</f>
        <v>5.64</v>
      </c>
      <c r="E993" s="28" t="str">
        <f t="array" ref="E993">_xlfn.XLOOKUP($A993, 'Medical Examinations'!$A:$A, 'Medical Examinations'!D:D, "No Data")</f>
        <v>yes</v>
      </c>
      <c r="F993" s="28" t="str">
        <f t="array" ref="F993">_xlfn.XLOOKUP($A993, 'Medical Examinations'!$A:$A, 'Medical Examinations'!E:E, "No Data")</f>
        <v>No</v>
      </c>
      <c r="G993" s="28" t="str">
        <f t="array" ref="G993">_xlfn.XLOOKUP($A993, 'Medical Examinations'!$A:$A, 'Medical Examinations'!F:F, "No Data")</f>
        <v>No</v>
      </c>
      <c r="H993" s="28">
        <f t="array" ref="H993">_xlfn.XLOOKUP($A993, 'Medical Examinations'!$A:$A, 'Medical Examinations'!G:G, "No Data")</f>
        <v>1</v>
      </c>
      <c r="I993" s="28" t="str">
        <f t="array" ref="I993">_xlfn.XLOOKUP($A993, 'Medical Examinations'!$A:$A, 'Medical Examinations'!H:H, "No Data")</f>
        <v>No</v>
      </c>
      <c r="J993" s="28" t="str">
        <f t="array" ref="J993">_xlfn.XLOOKUP($A993, 'Medical Examinations'!$A:$A, 'Medical Examinations'!I:I, "No Data")</f>
        <v>Obesity</v>
      </c>
      <c r="K993" s="28" t="str">
        <f t="array" ref="K993">_xlfn.XLOOKUP($A993, 'Hospitalisation Details'!$A:$A, 'Hospitalisation Details'!I:I, "No Data")</f>
        <v>tier - 1</v>
      </c>
      <c r="L993" s="28" t="str">
        <f t="array" ref="L993">_xlfn.XLOOKUP($A993, 'Hospitalisation Details'!$A:$A, 'Hospitalisation Details'!J:J, "No Data")</f>
        <v>R1022</v>
      </c>
      <c r="M993" s="28" t="str">
        <f t="array" ref="M993">_xlfn.XLOOKUP($A993, 'Hospitalisation Details'!$A:$A, 'Hospitalisation Details'!E:E, "No Data")</f>
        <v>14/11/88</v>
      </c>
      <c r="N993" s="28">
        <f t="array" ref="N993">_xlfn.XLOOKUP($A993, 'Hospitalisation Details'!$A:$A, 'Hospitalisation Details'!K:K, "No Data")</f>
        <v>34</v>
      </c>
      <c r="O993" s="33">
        <f t="array" ref="O993">_xlfn.XLOOKUP($A993, 'Hospitalisation Details'!$A:$A, 'Hospitalisation Details'!G:G, "No Data")</f>
        <v>11294.57</v>
      </c>
      <c r="P993" s="28" t="str">
        <f t="array" ref="P993">_xlfn.XLOOKUP($A993, 'Hospitalisation Details'!$A:$A, 'Hospitalisation Details'!H:H, "No Data")</f>
        <v>tier - 3</v>
      </c>
    </row>
    <row r="994">
      <c r="A994" s="25" t="s">
        <v>3165</v>
      </c>
      <c r="B994" s="28" t="str">
        <f t="array" ref="B994">_xlfn.XLOOKUP($A994, 'Customer Names'!$A:$A, 'Customer Names'!B:B, "No Data")</f>
        <v>Chen</v>
      </c>
      <c r="C994" s="28">
        <f t="array" ref="C994">_xlfn.XLOOKUP($A994, 'Medical Examinations'!$A:$A, 'Medical Examinations'!B:B, "No Data")</f>
        <v>32.775</v>
      </c>
      <c r="D994" s="28">
        <f t="array" ref="D994">_xlfn.XLOOKUP($A994, 'Medical Examinations'!$A:$A, 'Medical Examinations'!C:C, "No Data")</f>
        <v>8.02</v>
      </c>
      <c r="E994" s="28" t="str">
        <f t="array" ref="E994">_xlfn.XLOOKUP($A994, 'Medical Examinations'!$A:$A, 'Medical Examinations'!D:D, "No Data")</f>
        <v>yes</v>
      </c>
      <c r="F994" s="28" t="str">
        <f t="array" ref="F994">_xlfn.XLOOKUP($A994, 'Medical Examinations'!$A:$A, 'Medical Examinations'!E:E, "No Data")</f>
        <v>No</v>
      </c>
      <c r="G994" s="28" t="str">
        <f t="array" ref="G994">_xlfn.XLOOKUP($A994, 'Medical Examinations'!$A:$A, 'Medical Examinations'!F:F, "No Data")</f>
        <v>No</v>
      </c>
      <c r="H994" s="28">
        <f t="array" ref="H994">_xlfn.XLOOKUP($A994, 'Medical Examinations'!$A:$A, 'Medical Examinations'!G:G, "No Data")</f>
        <v>2</v>
      </c>
      <c r="I994" s="28" t="str">
        <f t="array" ref="I994">_xlfn.XLOOKUP($A994, 'Medical Examinations'!$A:$A, 'Medical Examinations'!H:H, "No Data")</f>
        <v>No</v>
      </c>
      <c r="J994" s="28" t="str">
        <f t="array" ref="J994">_xlfn.XLOOKUP($A994, 'Medical Examinations'!$A:$A, 'Medical Examinations'!I:I, "No Data")</f>
        <v>Obesity</v>
      </c>
      <c r="K994" s="28" t="str">
        <f t="array" ref="K994">_xlfn.XLOOKUP($A994, 'Hospitalisation Details'!$A:$A, 'Hospitalisation Details'!I:I, "No Data")</f>
        <v>tier - 1</v>
      </c>
      <c r="L994" s="28" t="str">
        <f t="array" ref="L994">_xlfn.XLOOKUP($A994, 'Hospitalisation Details'!$A:$A, 'Hospitalisation Details'!J:J, "No Data")</f>
        <v>R1012</v>
      </c>
      <c r="M994" s="28" t="str">
        <f t="array" ref="M994">_xlfn.XLOOKUP($A994, 'Hospitalisation Details'!$A:$A, 'Hospitalisation Details'!E:E, "No Data")</f>
        <v>22/06/70</v>
      </c>
      <c r="N994" s="28">
        <f t="array" ref="N994">_xlfn.XLOOKUP($A994, 'Hospitalisation Details'!$A:$A, 'Hospitalisation Details'!K:K, "No Data")</f>
        <v>52</v>
      </c>
      <c r="O994" s="33">
        <f t="array" ref="O994">_xlfn.XLOOKUP($A994, 'Hospitalisation Details'!$A:$A, 'Hospitalisation Details'!G:G, "No Data")</f>
        <v>11289.11</v>
      </c>
      <c r="P994" s="28" t="str">
        <f t="array" ref="P994">_xlfn.XLOOKUP($A994, 'Hospitalisation Details'!$A:$A, 'Hospitalisation Details'!H:H, "No Data")</f>
        <v>tier - 3</v>
      </c>
    </row>
    <row r="995">
      <c r="A995" s="25" t="s">
        <v>3169</v>
      </c>
      <c r="B995" s="28" t="str">
        <f t="array" ref="B995">_xlfn.XLOOKUP($A995, 'Customer Names'!$A:$A, 'Customer Names'!B:B, "No Data")</f>
        <v>Tufaro</v>
      </c>
      <c r="C995" s="28">
        <f t="array" ref="C995">_xlfn.XLOOKUP($A995, 'Medical Examinations'!$A:$A, 'Medical Examinations'!B:B, "No Data")</f>
        <v>29.83</v>
      </c>
      <c r="D995" s="28">
        <f t="array" ref="D995">_xlfn.XLOOKUP($A995, 'Medical Examinations'!$A:$A, 'Medical Examinations'!C:C, "No Data")</f>
        <v>7.2</v>
      </c>
      <c r="E995" s="28" t="str">
        <f t="array" ref="E995">_xlfn.XLOOKUP($A995, 'Medical Examinations'!$A:$A, 'Medical Examinations'!D:D, "No Data")</f>
        <v>yes</v>
      </c>
      <c r="F995" s="28" t="str">
        <f t="array" ref="F995">_xlfn.XLOOKUP($A995, 'Medical Examinations'!$A:$A, 'Medical Examinations'!E:E, "No Data")</f>
        <v>No</v>
      </c>
      <c r="G995" s="28" t="str">
        <f t="array" ref="G995">_xlfn.XLOOKUP($A995, 'Medical Examinations'!$A:$A, 'Medical Examinations'!F:F, "No Data")</f>
        <v>No</v>
      </c>
      <c r="H995" s="28">
        <f t="array" ref="H995">_xlfn.XLOOKUP($A995, 'Medical Examinations'!$A:$A, 'Medical Examinations'!G:G, "No Data")</f>
        <v>0</v>
      </c>
      <c r="I995" s="28" t="str">
        <f t="array" ref="I995">_xlfn.XLOOKUP($A995, 'Medical Examinations'!$A:$A, 'Medical Examinations'!H:H, "No Data")</f>
        <v>No</v>
      </c>
      <c r="J995" s="28" t="str">
        <f t="array" ref="J995">_xlfn.XLOOKUP($A995, 'Medical Examinations'!$A:$A, 'Medical Examinations'!I:I, "No Data")</f>
        <v>Overweight</v>
      </c>
      <c r="K995" s="28" t="str">
        <f t="array" ref="K995">_xlfn.XLOOKUP($A995, 'Hospitalisation Details'!$A:$A, 'Hospitalisation Details'!I:I, "No Data")</f>
        <v>tier - 3</v>
      </c>
      <c r="L995" s="28" t="str">
        <f t="array" ref="L995">_xlfn.XLOOKUP($A995, 'Hospitalisation Details'!$A:$A, 'Hospitalisation Details'!J:J, "No Data")</f>
        <v>R1024</v>
      </c>
      <c r="M995" s="28" t="str">
        <f t="array" ref="M995">_xlfn.XLOOKUP($A995, 'Hospitalisation Details'!$A:$A, 'Hospitalisation Details'!E:E, "No Data")</f>
        <v>14/06/67</v>
      </c>
      <c r="N995" s="28">
        <f t="array" ref="N995">_xlfn.XLOOKUP($A995, 'Hospitalisation Details'!$A:$A, 'Hospitalisation Details'!K:K, "No Data")</f>
        <v>55</v>
      </c>
      <c r="O995" s="33">
        <f t="array" ref="O995">_xlfn.XLOOKUP($A995, 'Hospitalisation Details'!$A:$A, 'Hospitalisation Details'!G:G, "No Data")</f>
        <v>11286.54</v>
      </c>
      <c r="P995" s="28" t="str">
        <f t="array" ref="P995">_xlfn.XLOOKUP($A995, 'Hospitalisation Details'!$A:$A, 'Hospitalisation Details'!H:H, "No Data")</f>
        <v>tier - 3</v>
      </c>
    </row>
    <row r="996">
      <c r="A996" s="25" t="s">
        <v>3172</v>
      </c>
      <c r="B996" s="28" t="str">
        <f t="array" ref="B996">_xlfn.XLOOKUP($A996, 'Customer Names'!$A:$A, 'Customer Names'!B:B, "No Data")</f>
        <v>Peters</v>
      </c>
      <c r="C996" s="28">
        <f t="array" ref="C996">_xlfn.XLOOKUP($A996, 'Medical Examinations'!$A:$A, 'Medical Examinations'!B:B, "No Data")</f>
        <v>28.31</v>
      </c>
      <c r="D996" s="28">
        <f t="array" ref="D996">_xlfn.XLOOKUP($A996, 'Medical Examinations'!$A:$A, 'Medical Examinations'!C:C, "No Data")</f>
        <v>4.55</v>
      </c>
      <c r="E996" s="28" t="str">
        <f t="array" ref="E996">_xlfn.XLOOKUP($A996, 'Medical Examinations'!$A:$A, 'Medical Examinations'!D:D, "No Data")</f>
        <v>No</v>
      </c>
      <c r="F996" s="28" t="str">
        <f t="array" ref="F996">_xlfn.XLOOKUP($A996, 'Medical Examinations'!$A:$A, 'Medical Examinations'!E:E, "No Data")</f>
        <v>yes</v>
      </c>
      <c r="G996" s="28" t="str">
        <f t="array" ref="G996">_xlfn.XLOOKUP($A996, 'Medical Examinations'!$A:$A, 'Medical Examinations'!F:F, "No Data")</f>
        <v>No</v>
      </c>
      <c r="H996" s="28">
        <f t="array" ref="H996">_xlfn.XLOOKUP($A996, 'Medical Examinations'!$A:$A, 'Medical Examinations'!G:G, "No Data")</f>
        <v>1</v>
      </c>
      <c r="I996" s="28" t="str">
        <f t="array" ref="I996">_xlfn.XLOOKUP($A996, 'Medical Examinations'!$A:$A, 'Medical Examinations'!H:H, "No Data")</f>
        <v>No</v>
      </c>
      <c r="J996" s="28" t="str">
        <f t="array" ref="J996">_xlfn.XLOOKUP($A996, 'Medical Examinations'!$A:$A, 'Medical Examinations'!I:I, "No Data")</f>
        <v>Overweight</v>
      </c>
      <c r="K996" s="28" t="str">
        <f t="array" ref="K996">_xlfn.XLOOKUP($A996, 'Hospitalisation Details'!$A:$A, 'Hospitalisation Details'!I:I, "No Data")</f>
        <v>tier - 2</v>
      </c>
      <c r="L996" s="28" t="str">
        <f t="array" ref="L996">_xlfn.XLOOKUP($A996, 'Hospitalisation Details'!$A:$A, 'Hospitalisation Details'!J:J, "No Data")</f>
        <v>R1019</v>
      </c>
      <c r="M996" s="28" t="str">
        <f t="array" ref="M996">_xlfn.XLOOKUP($A996, 'Hospitalisation Details'!$A:$A, 'Hospitalisation Details'!E:E, "No Data")</f>
        <v>04/10/04</v>
      </c>
      <c r="N996" s="28">
        <f t="array" ref="N996">_xlfn.XLOOKUP($A996, 'Hospitalisation Details'!$A:$A, 'Hospitalisation Details'!K:K, "No Data")</f>
        <v>18</v>
      </c>
      <c r="O996" s="33">
        <f t="array" ref="O996">_xlfn.XLOOKUP($A996, 'Hospitalisation Details'!$A:$A, 'Hospitalisation Details'!G:G, "No Data")</f>
        <v>11272.33</v>
      </c>
      <c r="P996" s="28" t="str">
        <f t="array" ref="P996">_xlfn.XLOOKUP($A996, 'Hospitalisation Details'!$A:$A, 'Hospitalisation Details'!H:H, "No Data")</f>
        <v>tier - 3</v>
      </c>
    </row>
    <row r="997">
      <c r="A997" s="25" t="s">
        <v>3174</v>
      </c>
      <c r="B997" s="28" t="str">
        <f t="array" ref="B997">_xlfn.XLOOKUP($A997, 'Customer Names'!$A:$A, 'Customer Names'!B:B, "No Data")</f>
        <v>Susedik</v>
      </c>
      <c r="C997" s="28">
        <f t="array" ref="C997">_xlfn.XLOOKUP($A997, 'Medical Examinations'!$A:$A, 'Medical Examinations'!B:B, "No Data")</f>
        <v>29.79</v>
      </c>
      <c r="D997" s="28">
        <f t="array" ref="D997">_xlfn.XLOOKUP($A997, 'Medical Examinations'!$A:$A, 'Medical Examinations'!C:C, "No Data")</f>
        <v>9.03</v>
      </c>
      <c r="E997" s="28" t="str">
        <f t="array" ref="E997">_xlfn.XLOOKUP($A997, 'Medical Examinations'!$A:$A, 'Medical Examinations'!D:D, "No Data")</f>
        <v>No</v>
      </c>
      <c r="F997" s="28" t="str">
        <f t="array" ref="F997">_xlfn.XLOOKUP($A997, 'Medical Examinations'!$A:$A, 'Medical Examinations'!E:E, "No Data")</f>
        <v>No</v>
      </c>
      <c r="G997" s="28" t="str">
        <f t="array" ref="G997">_xlfn.XLOOKUP($A997, 'Medical Examinations'!$A:$A, 'Medical Examinations'!F:F, "No Data")</f>
        <v>No</v>
      </c>
      <c r="H997" s="28">
        <f t="array" ref="H997">_xlfn.XLOOKUP($A997, 'Medical Examinations'!$A:$A, 'Medical Examinations'!G:G, "No Data")</f>
        <v>0</v>
      </c>
      <c r="I997" s="28" t="str">
        <f t="array" ref="I997">_xlfn.XLOOKUP($A997, 'Medical Examinations'!$A:$A, 'Medical Examinations'!H:H, "No Data")</f>
        <v>No</v>
      </c>
      <c r="J997" s="28" t="str">
        <f t="array" ref="J997">_xlfn.XLOOKUP($A997, 'Medical Examinations'!$A:$A, 'Medical Examinations'!I:I, "No Data")</f>
        <v>Overweight</v>
      </c>
      <c r="K997" s="28" t="str">
        <f t="array" ref="K997">_xlfn.XLOOKUP($A997, 'Hospitalisation Details'!$A:$A, 'Hospitalisation Details'!I:I, "No Data")</f>
        <v>tier - 1</v>
      </c>
      <c r="L997" s="28" t="str">
        <f t="array" ref="L997">_xlfn.XLOOKUP($A997, 'Hospitalisation Details'!$A:$A, 'Hospitalisation Details'!J:J, "No Data")</f>
        <v>R1025</v>
      </c>
      <c r="M997" s="28" t="str">
        <f t="array" ref="M997">_xlfn.XLOOKUP($A997, 'Hospitalisation Details'!$A:$A, 'Hospitalisation Details'!E:E, "No Data")</f>
        <v>26/12/71</v>
      </c>
      <c r="N997" s="28">
        <f t="array" ref="N997">_xlfn.XLOOKUP($A997, 'Hospitalisation Details'!$A:$A, 'Hospitalisation Details'!K:K, "No Data")</f>
        <v>51</v>
      </c>
      <c r="O997" s="33">
        <f t="array" ref="O997">_xlfn.XLOOKUP($A997, 'Hospitalisation Details'!$A:$A, 'Hospitalisation Details'!G:G, "No Data")</f>
        <v>11265.71</v>
      </c>
      <c r="P997" s="28" t="str">
        <f t="array" ref="P997">_xlfn.XLOOKUP($A997, 'Hospitalisation Details'!$A:$A, 'Hospitalisation Details'!H:H, "No Data")</f>
        <v>tier - 3</v>
      </c>
    </row>
    <row r="998">
      <c r="A998" s="25" t="s">
        <v>3178</v>
      </c>
      <c r="B998" s="28" t="str">
        <f t="array" ref="B998">_xlfn.XLOOKUP($A998, 'Customer Names'!$A:$A, 'Customer Names'!B:B, "No Data")</f>
        <v>Garcia</v>
      </c>
      <c r="C998" s="28">
        <f t="array" ref="C998">_xlfn.XLOOKUP($A998, 'Medical Examinations'!$A:$A, 'Medical Examinations'!B:B, "No Data")</f>
        <v>36.6</v>
      </c>
      <c r="D998" s="28">
        <f t="array" ref="D998">_xlfn.XLOOKUP($A998, 'Medical Examinations'!$A:$A, 'Medical Examinations'!C:C, "No Data")</f>
        <v>5.2</v>
      </c>
      <c r="E998" s="28" t="str">
        <f t="array" ref="E998">_xlfn.XLOOKUP($A998, 'Medical Examinations'!$A:$A, 'Medical Examinations'!D:D, "No Data")</f>
        <v>yes</v>
      </c>
      <c r="F998" s="28" t="str">
        <f t="array" ref="F998">_xlfn.XLOOKUP($A998, 'Medical Examinations'!$A:$A, 'Medical Examinations'!E:E, "No Data")</f>
        <v>No</v>
      </c>
      <c r="G998" s="28" t="str">
        <f t="array" ref="G998">_xlfn.XLOOKUP($A998, 'Medical Examinations'!$A:$A, 'Medical Examinations'!F:F, "No Data")</f>
        <v>Yes</v>
      </c>
      <c r="H998" s="28">
        <f t="array" ref="H998">_xlfn.XLOOKUP($A998, 'Medical Examinations'!$A:$A, 'Medical Examinations'!G:G, "No Data")</f>
        <v>1</v>
      </c>
      <c r="I998" s="28" t="str">
        <f t="array" ref="I998">_xlfn.XLOOKUP($A998, 'Medical Examinations'!$A:$A, 'Medical Examinations'!H:H, "No Data")</f>
        <v>No</v>
      </c>
      <c r="J998" s="28" t="str">
        <f t="array" ref="J998">_xlfn.XLOOKUP($A998, 'Medical Examinations'!$A:$A, 'Medical Examinations'!I:I, "No Data")</f>
        <v>Obesity</v>
      </c>
      <c r="K998" s="28" t="str">
        <f t="array" ref="K998">_xlfn.XLOOKUP($A998, 'Hospitalisation Details'!$A:$A, 'Hospitalisation Details'!I:I, "No Data")</f>
        <v>tier - 2</v>
      </c>
      <c r="L998" s="28" t="str">
        <f t="array" ref="L998">_xlfn.XLOOKUP($A998, 'Hospitalisation Details'!$A:$A, 'Hospitalisation Details'!J:J, "No Data")</f>
        <v>R1011</v>
      </c>
      <c r="M998" s="28" t="str">
        <f t="array" ref="M998">_xlfn.XLOOKUP($A998, 'Hospitalisation Details'!$A:$A, 'Hospitalisation Details'!E:E, "No Data")</f>
        <v>11/10/69</v>
      </c>
      <c r="N998" s="28">
        <f t="array" ref="N998">_xlfn.XLOOKUP($A998, 'Hospitalisation Details'!$A:$A, 'Hospitalisation Details'!K:K, "No Data")</f>
        <v>53</v>
      </c>
      <c r="O998" s="33">
        <f t="array" ref="O998">_xlfn.XLOOKUP($A998, 'Hospitalisation Details'!$A:$A, 'Hospitalisation Details'!G:G, "No Data")</f>
        <v>11264.54</v>
      </c>
      <c r="P998" s="28" t="str">
        <f t="array" ref="P998">_xlfn.XLOOKUP($A998, 'Hospitalisation Details'!$A:$A, 'Hospitalisation Details'!H:H, "No Data")</f>
        <v>tier - 3</v>
      </c>
    </row>
    <row r="999">
      <c r="A999" s="25" t="s">
        <v>3180</v>
      </c>
      <c r="B999" s="28" t="str">
        <f t="array" ref="B999">_xlfn.XLOOKUP($A999, 'Customer Names'!$A:$A, 'Customer Names'!B:B, "No Data")</f>
        <v>Deady</v>
      </c>
      <c r="C999" s="28">
        <f t="array" ref="C999">_xlfn.XLOOKUP($A999, 'Medical Examinations'!$A:$A, 'Medical Examinations'!B:B, "No Data")</f>
        <v>35.93</v>
      </c>
      <c r="D999" s="28">
        <f t="array" ref="D999">_xlfn.XLOOKUP($A999, 'Medical Examinations'!$A:$A, 'Medical Examinations'!C:C, "No Data")</f>
        <v>8.3</v>
      </c>
      <c r="E999" s="28" t="str">
        <f t="array" ref="E999">_xlfn.XLOOKUP($A999, 'Medical Examinations'!$A:$A, 'Medical Examinations'!D:D, "No Data")</f>
        <v>yes</v>
      </c>
      <c r="F999" s="28" t="str">
        <f t="array" ref="F999">_xlfn.XLOOKUP($A999, 'Medical Examinations'!$A:$A, 'Medical Examinations'!E:E, "No Data")</f>
        <v>No</v>
      </c>
      <c r="G999" s="28" t="str">
        <f t="array" ref="G999">_xlfn.XLOOKUP($A999, 'Medical Examinations'!$A:$A, 'Medical Examinations'!F:F, "No Data")</f>
        <v>No</v>
      </c>
      <c r="H999" s="28">
        <f t="array" ref="H999">_xlfn.XLOOKUP($A999, 'Medical Examinations'!$A:$A, 'Medical Examinations'!G:G, "No Data")</f>
        <v>0</v>
      </c>
      <c r="I999" s="28" t="str">
        <f t="array" ref="I999">_xlfn.XLOOKUP($A999, 'Medical Examinations'!$A:$A, 'Medical Examinations'!H:H, "No Data")</f>
        <v>No</v>
      </c>
      <c r="J999" s="28" t="str">
        <f t="array" ref="J999">_xlfn.XLOOKUP($A999, 'Medical Examinations'!$A:$A, 'Medical Examinations'!I:I, "No Data")</f>
        <v>Obesity</v>
      </c>
      <c r="K999" s="28" t="str">
        <f t="array" ref="K999">_xlfn.XLOOKUP($A999, 'Hospitalisation Details'!$A:$A, 'Hospitalisation Details'!I:I, "No Data")</f>
        <v>tier - 1</v>
      </c>
      <c r="L999" s="28" t="str">
        <f t="array" ref="L999">_xlfn.XLOOKUP($A999, 'Hospitalisation Details'!$A:$A, 'Hospitalisation Details'!J:J, "No Data")</f>
        <v>R1026</v>
      </c>
      <c r="M999" s="28" t="str">
        <f t="array" ref="M999">_xlfn.XLOOKUP($A999, 'Hospitalisation Details'!$A:$A, 'Hospitalisation Details'!E:E, "No Data")</f>
        <v>02/10/81</v>
      </c>
      <c r="N999" s="28">
        <f t="array" ref="N999">_xlfn.XLOOKUP($A999, 'Hospitalisation Details'!$A:$A, 'Hospitalisation Details'!K:K, "No Data")</f>
        <v>41</v>
      </c>
      <c r="O999" s="33">
        <f t="array" ref="O999">_xlfn.XLOOKUP($A999, 'Hospitalisation Details'!$A:$A, 'Hospitalisation Details'!G:G, "No Data")</f>
        <v>11255.29</v>
      </c>
      <c r="P999" s="28" t="str">
        <f t="array" ref="P999">_xlfn.XLOOKUP($A999, 'Hospitalisation Details'!$A:$A, 'Hospitalisation Details'!H:H, "No Data")</f>
        <v>tier - 3</v>
      </c>
    </row>
    <row r="1000">
      <c r="A1000" s="25" t="s">
        <v>3183</v>
      </c>
      <c r="B1000" s="28" t="str">
        <f t="array" ref="B1000">_xlfn.XLOOKUP($A1000, 'Customer Names'!$A:$A, 'Customer Names'!B:B, "No Data")</f>
        <v>Campbell</v>
      </c>
      <c r="C1000" s="28">
        <f t="array" ref="C1000">_xlfn.XLOOKUP($A1000, 'Medical Examinations'!$A:$A, 'Medical Examinations'!B:B, "No Data")</f>
        <v>28.6</v>
      </c>
      <c r="D1000" s="28">
        <f t="array" ref="D1000">_xlfn.XLOOKUP($A1000, 'Medical Examinations'!$A:$A, 'Medical Examinations'!C:C, "No Data")</f>
        <v>5.56</v>
      </c>
      <c r="E1000" s="28" t="str">
        <f t="array" ref="E1000">_xlfn.XLOOKUP($A1000, 'Medical Examinations'!$A:$A, 'Medical Examinations'!D:D, "No Data")</f>
        <v>yes</v>
      </c>
      <c r="F1000" s="28" t="str">
        <f t="array" ref="F1000">_xlfn.XLOOKUP($A1000, 'Medical Examinations'!$A:$A, 'Medical Examinations'!E:E, "No Data")</f>
        <v>No</v>
      </c>
      <c r="G1000" s="28" t="str">
        <f t="array" ref="G1000">_xlfn.XLOOKUP($A1000, 'Medical Examinations'!$A:$A, 'Medical Examinations'!F:F, "No Data")</f>
        <v>Yes</v>
      </c>
      <c r="H1000" s="28">
        <f t="array" ref="H1000">_xlfn.XLOOKUP($A1000, 'Medical Examinations'!$A:$A, 'Medical Examinations'!G:G, "No Data")</f>
        <v>1</v>
      </c>
      <c r="I1000" s="28" t="str">
        <f t="array" ref="I1000">_xlfn.XLOOKUP($A1000, 'Medical Examinations'!$A:$A, 'Medical Examinations'!H:H, "No Data")</f>
        <v>No</v>
      </c>
      <c r="J1000" s="28" t="str">
        <f t="array" ref="J1000">_xlfn.XLOOKUP($A1000, 'Medical Examinations'!$A:$A, 'Medical Examinations'!I:I, "No Data")</f>
        <v>Overweight</v>
      </c>
      <c r="K1000" s="28" t="str">
        <f t="array" ref="K1000">_xlfn.XLOOKUP($A1000, 'Hospitalisation Details'!$A:$A, 'Hospitalisation Details'!I:I, "No Data")</f>
        <v>tier - 1</v>
      </c>
      <c r="L1000" s="28" t="str">
        <f t="array" ref="L1000">_xlfn.XLOOKUP($A1000, 'Hospitalisation Details'!$A:$A, 'Hospitalisation Details'!J:J, "No Data")</f>
        <v>R1011</v>
      </c>
      <c r="M1000" s="28" t="str">
        <f t="array" ref="M1000">_xlfn.XLOOKUP($A1000, 'Hospitalisation Details'!$A:$A, 'Hospitalisation Details'!E:E, "No Data")</f>
        <v>20/08/69</v>
      </c>
      <c r="N1000" s="28">
        <f t="array" ref="N1000">_xlfn.XLOOKUP($A1000, 'Hospitalisation Details'!$A:$A, 'Hospitalisation Details'!K:K, "No Data")</f>
        <v>53</v>
      </c>
      <c r="O1000" s="33">
        <f t="array" ref="O1000">_xlfn.XLOOKUP($A1000, 'Hospitalisation Details'!$A:$A, 'Hospitalisation Details'!G:G, "No Data")</f>
        <v>11253.42</v>
      </c>
      <c r="P1000" s="28" t="str">
        <f t="array" ref="P1000">_xlfn.XLOOKUP($A1000, 'Hospitalisation Details'!$A:$A, 'Hospitalisation Details'!H:H, "No Data")</f>
        <v>tier - 3</v>
      </c>
    </row>
    <row r="1001">
      <c r="A1001" s="25" t="s">
        <v>3185</v>
      </c>
      <c r="B1001" s="28" t="str">
        <f t="array" ref="B1001">_xlfn.XLOOKUP($A1001, 'Customer Names'!$A:$A, 'Customer Names'!B:B, "No Data")</f>
        <v>Schaefer</v>
      </c>
      <c r="C1001" s="28">
        <f t="array" ref="C1001">_xlfn.XLOOKUP($A1001, 'Medical Examinations'!$A:$A, 'Medical Examinations'!B:B, "No Data")</f>
        <v>39.17</v>
      </c>
      <c r="D1001" s="28">
        <f t="array" ref="D1001">_xlfn.XLOOKUP($A1001, 'Medical Examinations'!$A:$A, 'Medical Examinations'!C:C, "No Data")</f>
        <v>4.15</v>
      </c>
      <c r="E1001" s="28" t="str">
        <f t="array" ref="E1001">_xlfn.XLOOKUP($A1001, 'Medical Examinations'!$A:$A, 'Medical Examinations'!D:D, "No Data")</f>
        <v>No</v>
      </c>
      <c r="F1001" s="28" t="str">
        <f t="array" ref="F1001">_xlfn.XLOOKUP($A1001, 'Medical Examinations'!$A:$A, 'Medical Examinations'!E:E, "No Data")</f>
        <v>No</v>
      </c>
      <c r="G1001" s="28" t="str">
        <f t="array" ref="G1001">_xlfn.XLOOKUP($A1001, 'Medical Examinations'!$A:$A, 'Medical Examinations'!F:F, "No Data")</f>
        <v>No</v>
      </c>
      <c r="H1001" s="28">
        <f t="array" ref="H1001">_xlfn.XLOOKUP($A1001, 'Medical Examinations'!$A:$A, 'Medical Examinations'!G:G, "No Data")</f>
        <v>0</v>
      </c>
      <c r="I1001" s="28" t="str">
        <f t="array" ref="I1001">_xlfn.XLOOKUP($A1001, 'Medical Examinations'!$A:$A, 'Medical Examinations'!H:H, "No Data")</f>
        <v>No</v>
      </c>
      <c r="J1001" s="28" t="str">
        <f t="array" ref="J1001">_xlfn.XLOOKUP($A1001, 'Medical Examinations'!$A:$A, 'Medical Examinations'!I:I, "No Data")</f>
        <v>Obesity</v>
      </c>
      <c r="K1001" s="28" t="str">
        <f t="array" ref="K1001">_xlfn.XLOOKUP($A1001, 'Hospitalisation Details'!$A:$A, 'Hospitalisation Details'!I:I, "No Data")</f>
        <v>tier - 2</v>
      </c>
      <c r="L1001" s="28" t="str">
        <f t="array" ref="L1001">_xlfn.XLOOKUP($A1001, 'Hospitalisation Details'!$A:$A, 'Hospitalisation Details'!J:J, "No Data")</f>
        <v>R1026</v>
      </c>
      <c r="M1001" s="28" t="str">
        <f t="array" ref="M1001">_xlfn.XLOOKUP($A1001, 'Hospitalisation Details'!$A:$A, 'Hospitalisation Details'!E:E, "No Data")</f>
        <v>17/12/89</v>
      </c>
      <c r="N1001" s="28">
        <f t="array" ref="N1001">_xlfn.XLOOKUP($A1001, 'Hospitalisation Details'!$A:$A, 'Hospitalisation Details'!K:K, "No Data")</f>
        <v>33</v>
      </c>
      <c r="O1001" s="33">
        <f t="array" ref="O1001">_xlfn.XLOOKUP($A1001, 'Hospitalisation Details'!$A:$A, 'Hospitalisation Details'!G:G, "No Data")</f>
        <v>11250.43</v>
      </c>
      <c r="P1001" s="28" t="str">
        <f t="array" ref="P1001">_xlfn.XLOOKUP($A1001, 'Hospitalisation Details'!$A:$A, 'Hospitalisation Details'!H:H, "No Data")</f>
        <v>tier - 3</v>
      </c>
    </row>
    <row r="1002">
      <c r="A1002" s="25" t="s">
        <v>3189</v>
      </c>
      <c r="B1002" s="28" t="str">
        <f t="array" ref="B1002">_xlfn.XLOOKUP($A1002, 'Customer Names'!$A:$A, 'Customer Names'!B:B, "No Data")</f>
        <v>D'Alessandro</v>
      </c>
      <c r="C1002" s="28">
        <f t="array" ref="C1002">_xlfn.XLOOKUP($A1002, 'Medical Examinations'!$A:$A, 'Medical Examinations'!B:B, "No Data")</f>
        <v>26.41</v>
      </c>
      <c r="D1002" s="28">
        <f t="array" ref="D1002">_xlfn.XLOOKUP($A1002, 'Medical Examinations'!$A:$A, 'Medical Examinations'!C:C, "No Data")</f>
        <v>5.99</v>
      </c>
      <c r="E1002" s="28" t="str">
        <f t="array" ref="E1002">_xlfn.XLOOKUP($A1002, 'Medical Examinations'!$A:$A, 'Medical Examinations'!D:D, "No Data")</f>
        <v>yes</v>
      </c>
      <c r="F1002" s="28" t="str">
        <f t="array" ref="F1002">_xlfn.XLOOKUP($A1002, 'Medical Examinations'!$A:$A, 'Medical Examinations'!E:E, "No Data")</f>
        <v>No</v>
      </c>
      <c r="G1002" s="28" t="str">
        <f t="array" ref="G1002">_xlfn.XLOOKUP($A1002, 'Medical Examinations'!$A:$A, 'Medical Examinations'!F:F, "No Data")</f>
        <v>Yes</v>
      </c>
      <c r="H1002" s="28">
        <f t="array" ref="H1002">_xlfn.XLOOKUP($A1002, 'Medical Examinations'!$A:$A, 'Medical Examinations'!G:G, "No Data")</f>
        <v>1</v>
      </c>
      <c r="I1002" s="28" t="str">
        <f t="array" ref="I1002">_xlfn.XLOOKUP($A1002, 'Medical Examinations'!$A:$A, 'Medical Examinations'!H:H, "No Data")</f>
        <v>No</v>
      </c>
      <c r="J1002" s="28" t="str">
        <f t="array" ref="J1002">_xlfn.XLOOKUP($A1002, 'Medical Examinations'!$A:$A, 'Medical Examinations'!I:I, "No Data")</f>
        <v>Overweight</v>
      </c>
      <c r="K1002" s="28" t="str">
        <f t="array" ref="K1002">_xlfn.XLOOKUP($A1002, 'Hospitalisation Details'!$A:$A, 'Hospitalisation Details'!I:I, "No Data")</f>
        <v>tier - 1</v>
      </c>
      <c r="L1002" s="28" t="str">
        <f t="array" ref="L1002">_xlfn.XLOOKUP($A1002, 'Hospitalisation Details'!$A:$A, 'Hospitalisation Details'!J:J, "No Data")</f>
        <v>R1016</v>
      </c>
      <c r="M1002" s="28" t="str">
        <f t="array" ref="M1002">_xlfn.XLOOKUP($A1002, 'Hospitalisation Details'!$A:$A, 'Hospitalisation Details'!E:E, "No Data")</f>
        <v>30/12/69</v>
      </c>
      <c r="N1002" s="28">
        <f t="array" ref="N1002">_xlfn.XLOOKUP($A1002, 'Hospitalisation Details'!$A:$A, 'Hospitalisation Details'!K:K, "No Data")</f>
        <v>53</v>
      </c>
      <c r="O1002" s="33">
        <f t="array" ref="O1002">_xlfn.XLOOKUP($A1002, 'Hospitalisation Details'!$A:$A, 'Hospitalisation Details'!G:G, "No Data")</f>
        <v>11244.38</v>
      </c>
      <c r="P1002" s="28" t="str">
        <f t="array" ref="P1002">_xlfn.XLOOKUP($A1002, 'Hospitalisation Details'!$A:$A, 'Hospitalisation Details'!H:H, "No Data")</f>
        <v>tier - 3</v>
      </c>
    </row>
    <row r="1003">
      <c r="A1003" s="25" t="s">
        <v>3191</v>
      </c>
      <c r="B1003" s="28" t="str">
        <f t="array" ref="B1003">_xlfn.XLOOKUP($A1003, 'Customer Names'!$A:$A, 'Customer Names'!B:B, "No Data")</f>
        <v>Wyss</v>
      </c>
      <c r="C1003" s="28">
        <f t="array" ref="C1003">_xlfn.XLOOKUP($A1003, 'Medical Examinations'!$A:$A, 'Medical Examinations'!B:B, "No Data")</f>
        <v>30.63</v>
      </c>
      <c r="D1003" s="28">
        <f t="array" ref="D1003">_xlfn.XLOOKUP($A1003, 'Medical Examinations'!$A:$A, 'Medical Examinations'!C:C, "No Data")</f>
        <v>5.8</v>
      </c>
      <c r="E1003" s="28" t="str">
        <f t="array" ref="E1003">_xlfn.XLOOKUP($A1003, 'Medical Examinations'!$A:$A, 'Medical Examinations'!D:D, "No Data")</f>
        <v>yes</v>
      </c>
      <c r="F1003" s="28" t="str">
        <f t="array" ref="F1003">_xlfn.XLOOKUP($A1003, 'Medical Examinations'!$A:$A, 'Medical Examinations'!E:E, "No Data")</f>
        <v>No</v>
      </c>
      <c r="G1003" s="28" t="str">
        <f t="array" ref="G1003">_xlfn.XLOOKUP($A1003, 'Medical Examinations'!$A:$A, 'Medical Examinations'!F:F, "No Data")</f>
        <v>No</v>
      </c>
      <c r="H1003" s="28">
        <f t="array" ref="H1003">_xlfn.XLOOKUP($A1003, 'Medical Examinations'!$A:$A, 'Medical Examinations'!G:G, "No Data")</f>
        <v>0</v>
      </c>
      <c r="I1003" s="28" t="str">
        <f t="array" ref="I1003">_xlfn.XLOOKUP($A1003, 'Medical Examinations'!$A:$A, 'Medical Examinations'!H:H, "No Data")</f>
        <v>No</v>
      </c>
      <c r="J1003" s="28" t="str">
        <f t="array" ref="J1003">_xlfn.XLOOKUP($A1003, 'Medical Examinations'!$A:$A, 'Medical Examinations'!I:I, "No Data")</f>
        <v>Obesity</v>
      </c>
      <c r="K1003" s="28" t="str">
        <f t="array" ref="K1003">_xlfn.XLOOKUP($A1003, 'Hospitalisation Details'!$A:$A, 'Hospitalisation Details'!I:I, "No Data")</f>
        <v>tier - 2</v>
      </c>
      <c r="L1003" s="28" t="str">
        <f t="array" ref="L1003">_xlfn.XLOOKUP($A1003, 'Hospitalisation Details'!$A:$A, 'Hospitalisation Details'!J:J, "No Data")</f>
        <v>R1025</v>
      </c>
      <c r="M1003" s="28" t="str">
        <f t="array" ref="M1003">_xlfn.XLOOKUP($A1003, 'Hospitalisation Details'!$A:$A, 'Hospitalisation Details'!E:E, "No Data")</f>
        <v>28/06/76</v>
      </c>
      <c r="N1003" s="28">
        <f t="array" ref="N1003">_xlfn.XLOOKUP($A1003, 'Hospitalisation Details'!$A:$A, 'Hospitalisation Details'!K:K, "No Data")</f>
        <v>46</v>
      </c>
      <c r="O1003" s="33">
        <f t="array" ref="O1003">_xlfn.XLOOKUP($A1003, 'Hospitalisation Details'!$A:$A, 'Hospitalisation Details'!G:G, "No Data")</f>
        <v>11217.35</v>
      </c>
      <c r="P1003" s="28" t="str">
        <f t="array" ref="P1003">_xlfn.XLOOKUP($A1003, 'Hospitalisation Details'!$A:$A, 'Hospitalisation Details'!H:H, "No Data")</f>
        <v>tier - 3</v>
      </c>
    </row>
    <row r="1004">
      <c r="A1004" s="25" t="s">
        <v>3195</v>
      </c>
      <c r="B1004" s="28" t="str">
        <f t="array" ref="B1004">_xlfn.XLOOKUP($A1004, 'Customer Names'!$A:$A, 'Customer Names'!B:B, "No Data")</f>
        <v>Rose</v>
      </c>
      <c r="C1004" s="28">
        <f t="array" ref="C1004">_xlfn.XLOOKUP($A1004, 'Medical Examinations'!$A:$A, 'Medical Examinations'!B:B, "No Data")</f>
        <v>31.73</v>
      </c>
      <c r="D1004" s="28">
        <f t="array" ref="D1004">_xlfn.XLOOKUP($A1004, 'Medical Examinations'!$A:$A, 'Medical Examinations'!C:C, "No Data")</f>
        <v>7.32</v>
      </c>
      <c r="E1004" s="28" t="str">
        <f t="array" ref="E1004">_xlfn.XLOOKUP($A1004, 'Medical Examinations'!$A:$A, 'Medical Examinations'!D:D, "No Data")</f>
        <v>yes</v>
      </c>
      <c r="F1004" s="28" t="str">
        <f t="array" ref="F1004">_xlfn.XLOOKUP($A1004, 'Medical Examinations'!$A:$A, 'Medical Examinations'!E:E, "No Data")</f>
        <v>No</v>
      </c>
      <c r="G1004" s="28" t="str">
        <f t="array" ref="G1004">_xlfn.XLOOKUP($A1004, 'Medical Examinations'!$A:$A, 'Medical Examinations'!F:F, "No Data")</f>
        <v>No</v>
      </c>
      <c r="H1004" s="28">
        <f t="array" ref="H1004">_xlfn.XLOOKUP($A1004, 'Medical Examinations'!$A:$A, 'Medical Examinations'!G:G, "No Data")</f>
        <v>2</v>
      </c>
      <c r="I1004" s="28" t="str">
        <f t="array" ref="I1004">_xlfn.XLOOKUP($A1004, 'Medical Examinations'!$A:$A, 'Medical Examinations'!H:H, "No Data")</f>
        <v>No</v>
      </c>
      <c r="J1004" s="28" t="str">
        <f t="array" ref="J1004">_xlfn.XLOOKUP($A1004, 'Medical Examinations'!$A:$A, 'Medical Examinations'!I:I, "No Data")</f>
        <v>Obesity</v>
      </c>
      <c r="K1004" s="28" t="str">
        <f t="array" ref="K1004">_xlfn.XLOOKUP($A1004, 'Hospitalisation Details'!$A:$A, 'Hospitalisation Details'!I:I, "No Data")</f>
        <v>tier - 2</v>
      </c>
      <c r="L1004" s="28" t="str">
        <f t="array" ref="L1004">_xlfn.XLOOKUP($A1004, 'Hospitalisation Details'!$A:$A, 'Hospitalisation Details'!J:J, "No Data")</f>
        <v>R1012</v>
      </c>
      <c r="M1004" s="28" t="str">
        <f t="array" ref="M1004">_xlfn.XLOOKUP($A1004, 'Hospitalisation Details'!$A:$A, 'Hospitalisation Details'!E:E, "No Data")</f>
        <v>14/06/70</v>
      </c>
      <c r="N1004" s="28">
        <f t="array" ref="N1004">_xlfn.XLOOKUP($A1004, 'Hospitalisation Details'!$A:$A, 'Hospitalisation Details'!K:K, "No Data")</f>
        <v>52</v>
      </c>
      <c r="O1004" s="33">
        <f t="array" ref="O1004">_xlfn.XLOOKUP($A1004, 'Hospitalisation Details'!$A:$A, 'Hospitalisation Details'!G:G, "No Data")</f>
        <v>11187.66</v>
      </c>
      <c r="P1004" s="28" t="str">
        <f t="array" ref="P1004">_xlfn.XLOOKUP($A1004, 'Hospitalisation Details'!$A:$A, 'Hospitalisation Details'!H:H, "No Data")</f>
        <v>tier - 3</v>
      </c>
    </row>
    <row r="1005">
      <c r="A1005" s="25" t="s">
        <v>3198</v>
      </c>
      <c r="B1005" s="28" t="str">
        <f t="array" ref="B1005">_xlfn.XLOOKUP($A1005, 'Customer Names'!$A:$A, 'Customer Names'!B:B, "No Data")</f>
        <v>Hopper</v>
      </c>
      <c r="C1005" s="28">
        <f t="array" ref="C1005">_xlfn.XLOOKUP($A1005, 'Medical Examinations'!$A:$A, 'Medical Examinations'!B:B, "No Data")</f>
        <v>30.7</v>
      </c>
      <c r="D1005" s="28">
        <f t="array" ref="D1005">_xlfn.XLOOKUP($A1005, 'Medical Examinations'!$A:$A, 'Medical Examinations'!C:C, "No Data")</f>
        <v>5.16</v>
      </c>
      <c r="E1005" s="28" t="str">
        <f t="array" ref="E1005">_xlfn.XLOOKUP($A1005, 'Medical Examinations'!$A:$A, 'Medical Examinations'!D:D, "No Data")</f>
        <v>No</v>
      </c>
      <c r="F1005" s="28" t="str">
        <f t="array" ref="F1005">_xlfn.XLOOKUP($A1005, 'Medical Examinations'!$A:$A, 'Medical Examinations'!E:E, "No Data")</f>
        <v>No</v>
      </c>
      <c r="G1005" s="28" t="str">
        <f t="array" ref="G1005">_xlfn.XLOOKUP($A1005, 'Medical Examinations'!$A:$A, 'Medical Examinations'!F:F, "No Data")</f>
        <v>No</v>
      </c>
      <c r="H1005" s="28">
        <f t="array" ref="H1005">_xlfn.XLOOKUP($A1005, 'Medical Examinations'!$A:$A, 'Medical Examinations'!G:G, "No Data")</f>
        <v>2</v>
      </c>
      <c r="I1005" s="28" t="str">
        <f t="array" ref="I1005">_xlfn.XLOOKUP($A1005, 'Medical Examinations'!$A:$A, 'Medical Examinations'!H:H, "No Data")</f>
        <v>No</v>
      </c>
      <c r="J1005" s="28" t="str">
        <f t="array" ref="J1005">_xlfn.XLOOKUP($A1005, 'Medical Examinations'!$A:$A, 'Medical Examinations'!I:I, "No Data")</f>
        <v>Obesity</v>
      </c>
      <c r="K1005" s="28" t="str">
        <f t="array" ref="K1005">_xlfn.XLOOKUP($A1005, 'Hospitalisation Details'!$A:$A, 'Hospitalisation Details'!I:I, "No Data")</f>
        <v>tier - 2</v>
      </c>
      <c r="L1005" s="28" t="str">
        <f t="array" ref="L1005">_xlfn.XLOOKUP($A1005, 'Hospitalisation Details'!$A:$A, 'Hospitalisation Details'!J:J, "No Data")</f>
        <v>R1021</v>
      </c>
      <c r="M1005" s="28" t="str">
        <f t="array" ref="M1005">_xlfn.XLOOKUP($A1005, 'Hospitalisation Details'!$A:$A, 'Hospitalisation Details'!E:E, "No Data")</f>
        <v>03/09/72</v>
      </c>
      <c r="N1005" s="28">
        <f t="array" ref="N1005">_xlfn.XLOOKUP($A1005, 'Hospitalisation Details'!$A:$A, 'Hospitalisation Details'!K:K, "No Data")</f>
        <v>50</v>
      </c>
      <c r="O1005" s="33">
        <f t="array" ref="O1005">_xlfn.XLOOKUP($A1005, 'Hospitalisation Details'!$A:$A, 'Hospitalisation Details'!G:G, "No Data")</f>
        <v>11186.2</v>
      </c>
      <c r="P1005" s="28" t="str">
        <f t="array" ref="P1005">_xlfn.XLOOKUP($A1005, 'Hospitalisation Details'!$A:$A, 'Hospitalisation Details'!H:H, "No Data")</f>
        <v>tier - 3</v>
      </c>
    </row>
    <row r="1006">
      <c r="A1006" s="25" t="s">
        <v>3201</v>
      </c>
      <c r="B1006" s="28" t="str">
        <f t="array" ref="B1006">_xlfn.XLOOKUP($A1006, 'Customer Names'!$A:$A, 'Customer Names'!B:B, "No Data")</f>
        <v>Finneran</v>
      </c>
      <c r="C1006" s="28">
        <f t="array" ref="C1006">_xlfn.XLOOKUP($A1006, 'Medical Examinations'!$A:$A, 'Medical Examinations'!B:B, "No Data")</f>
        <v>25.935</v>
      </c>
      <c r="D1006" s="28">
        <f t="array" ref="D1006">_xlfn.XLOOKUP($A1006, 'Medical Examinations'!$A:$A, 'Medical Examinations'!C:C, "No Data")</f>
        <v>5.96</v>
      </c>
      <c r="E1006" s="28" t="str">
        <f t="array" ref="E1006">_xlfn.XLOOKUP($A1006, 'Medical Examinations'!$A:$A, 'Medical Examinations'!D:D, "No Data")</f>
        <v>yes</v>
      </c>
      <c r="F1006" s="28" t="str">
        <f t="array" ref="F1006">_xlfn.XLOOKUP($A1006, 'Medical Examinations'!$A:$A, 'Medical Examinations'!E:E, "No Data")</f>
        <v>No</v>
      </c>
      <c r="G1006" s="28" t="str">
        <f t="array" ref="G1006">_xlfn.XLOOKUP($A1006, 'Medical Examinations'!$A:$A, 'Medical Examinations'!F:F, "No Data")</f>
        <v>No</v>
      </c>
      <c r="H1006" s="28">
        <f t="array" ref="H1006">_xlfn.XLOOKUP($A1006, 'Medical Examinations'!$A:$A, 'Medical Examinations'!G:G, "No Data")</f>
        <v>2</v>
      </c>
      <c r="I1006" s="28" t="str">
        <f t="array" ref="I1006">_xlfn.XLOOKUP($A1006, 'Medical Examinations'!$A:$A, 'Medical Examinations'!H:H, "No Data")</f>
        <v>No</v>
      </c>
      <c r="J1006" s="28" t="str">
        <f t="array" ref="J1006">_xlfn.XLOOKUP($A1006, 'Medical Examinations'!$A:$A, 'Medical Examinations'!I:I, "No Data")</f>
        <v>Overweight</v>
      </c>
      <c r="K1006" s="28" t="str">
        <f t="array" ref="K1006">_xlfn.XLOOKUP($A1006, 'Hospitalisation Details'!$A:$A, 'Hospitalisation Details'!I:I, "No Data")</f>
        <v>tier - 1</v>
      </c>
      <c r="L1006" s="28" t="str">
        <f t="array" ref="L1006">_xlfn.XLOOKUP($A1006, 'Hospitalisation Details'!$A:$A, 'Hospitalisation Details'!J:J, "No Data")</f>
        <v>R1016</v>
      </c>
      <c r="M1006" s="28" t="str">
        <f t="array" ref="M1006">_xlfn.XLOOKUP($A1006, 'Hospitalisation Details'!$A:$A, 'Hospitalisation Details'!E:E, "No Data")</f>
        <v>06/08/66</v>
      </c>
      <c r="N1006" s="28">
        <f t="array" ref="N1006">_xlfn.XLOOKUP($A1006, 'Hospitalisation Details'!$A:$A, 'Hospitalisation Details'!K:K, "No Data")</f>
        <v>56</v>
      </c>
      <c r="O1006" s="33">
        <f t="array" ref="O1006">_xlfn.XLOOKUP($A1006, 'Hospitalisation Details'!$A:$A, 'Hospitalisation Details'!G:G, "No Data")</f>
        <v>11165.42</v>
      </c>
      <c r="P1006" s="28" t="str">
        <f t="array" ref="P1006">_xlfn.XLOOKUP($A1006, 'Hospitalisation Details'!$A:$A, 'Hospitalisation Details'!H:H, "No Data")</f>
        <v>tier - 3</v>
      </c>
    </row>
    <row r="1007">
      <c r="A1007" s="25" t="s">
        <v>3204</v>
      </c>
      <c r="B1007" s="28" t="str">
        <f t="array" ref="B1007">_xlfn.XLOOKUP($A1007, 'Customer Names'!$A:$A, 'Customer Names'!B:B, "No Data")</f>
        <v>Basham</v>
      </c>
      <c r="C1007" s="28">
        <f t="array" ref="C1007">_xlfn.XLOOKUP($A1007, 'Medical Examinations'!$A:$A, 'Medical Examinations'!B:B, "No Data")</f>
        <v>35.9</v>
      </c>
      <c r="D1007" s="28">
        <f t="array" ref="D1007">_xlfn.XLOOKUP($A1007, 'Medical Examinations'!$A:$A, 'Medical Examinations'!C:C, "No Data")</f>
        <v>4.85</v>
      </c>
      <c r="E1007" s="28" t="str">
        <f t="array" ref="E1007">_xlfn.XLOOKUP($A1007, 'Medical Examinations'!$A:$A, 'Medical Examinations'!D:D, "No Data")</f>
        <v>yes</v>
      </c>
      <c r="F1007" s="28" t="str">
        <f t="array" ref="F1007">_xlfn.XLOOKUP($A1007, 'Medical Examinations'!$A:$A, 'Medical Examinations'!E:E, "No Data")</f>
        <v>No</v>
      </c>
      <c r="G1007" s="28" t="str">
        <f t="array" ref="G1007">_xlfn.XLOOKUP($A1007, 'Medical Examinations'!$A:$A, 'Medical Examinations'!F:F, "No Data")</f>
        <v>Yes</v>
      </c>
      <c r="H1007" s="28">
        <f t="array" ref="H1007">_xlfn.XLOOKUP($A1007, 'Medical Examinations'!$A:$A, 'Medical Examinations'!G:G, "No Data")</f>
        <v>1</v>
      </c>
      <c r="I1007" s="28" t="str">
        <f t="array" ref="I1007">_xlfn.XLOOKUP($A1007, 'Medical Examinations'!$A:$A, 'Medical Examinations'!H:H, "No Data")</f>
        <v>No</v>
      </c>
      <c r="J1007" s="28" t="str">
        <f t="array" ref="J1007">_xlfn.XLOOKUP($A1007, 'Medical Examinations'!$A:$A, 'Medical Examinations'!I:I, "No Data")</f>
        <v>Obesity</v>
      </c>
      <c r="K1007" s="28" t="str">
        <f t="array" ref="K1007">_xlfn.XLOOKUP($A1007, 'Hospitalisation Details'!$A:$A, 'Hospitalisation Details'!I:I, "No Data")</f>
        <v>tier - 2</v>
      </c>
      <c r="L1007" s="28" t="str">
        <f t="array" ref="L1007">_xlfn.XLOOKUP($A1007, 'Hospitalisation Details'!$A:$A, 'Hospitalisation Details'!J:J, "No Data")</f>
        <v>R1011</v>
      </c>
      <c r="M1007" s="28" t="str">
        <f t="array" ref="M1007">_xlfn.XLOOKUP($A1007, 'Hospitalisation Details'!$A:$A, 'Hospitalisation Details'!E:E, "No Data")</f>
        <v>25/06/69</v>
      </c>
      <c r="N1007" s="28">
        <f t="array" ref="N1007">_xlfn.XLOOKUP($A1007, 'Hospitalisation Details'!$A:$A, 'Hospitalisation Details'!K:K, "No Data")</f>
        <v>53</v>
      </c>
      <c r="O1007" s="33">
        <f t="array" ref="O1007">_xlfn.XLOOKUP($A1007, 'Hospitalisation Details'!$A:$A, 'Hospitalisation Details'!G:G, "No Data")</f>
        <v>11163.57</v>
      </c>
      <c r="P1007" s="28" t="str">
        <f t="array" ref="P1007">_xlfn.XLOOKUP($A1007, 'Hospitalisation Details'!$A:$A, 'Hospitalisation Details'!H:H, "No Data")</f>
        <v>tier - 3</v>
      </c>
    </row>
    <row r="1008">
      <c r="A1008" s="25" t="s">
        <v>3207</v>
      </c>
      <c r="B1008" s="28" t="str">
        <f t="array" ref="B1008">_xlfn.XLOOKUP($A1008, 'Customer Names'!$A:$A, 'Customer Names'!B:B, "No Data")</f>
        <v>Inman</v>
      </c>
      <c r="C1008" s="28">
        <f t="array" ref="C1008">_xlfn.XLOOKUP($A1008, 'Medical Examinations'!$A:$A, 'Medical Examinations'!B:B, "No Data")</f>
        <v>26.7</v>
      </c>
      <c r="D1008" s="28">
        <f t="array" ref="D1008">_xlfn.XLOOKUP($A1008, 'Medical Examinations'!$A:$A, 'Medical Examinations'!C:C, "No Data")</f>
        <v>5.09</v>
      </c>
      <c r="E1008" s="28" t="str">
        <f t="array" ref="E1008">_xlfn.XLOOKUP($A1008, 'Medical Examinations'!$A:$A, 'Medical Examinations'!D:D, "No Data")</f>
        <v>yes</v>
      </c>
      <c r="F1008" s="28" t="str">
        <f t="array" ref="F1008">_xlfn.XLOOKUP($A1008, 'Medical Examinations'!$A:$A, 'Medical Examinations'!E:E, "No Data")</f>
        <v>No</v>
      </c>
      <c r="G1008" s="28" t="str">
        <f t="array" ref="G1008">_xlfn.XLOOKUP($A1008, 'Medical Examinations'!$A:$A, 'Medical Examinations'!F:F, "No Data")</f>
        <v>Yes</v>
      </c>
      <c r="H1008" s="28">
        <f t="array" ref="H1008">_xlfn.XLOOKUP($A1008, 'Medical Examinations'!$A:$A, 'Medical Examinations'!G:G, "No Data")</f>
        <v>1</v>
      </c>
      <c r="I1008" s="28" t="str">
        <f t="array" ref="I1008">_xlfn.XLOOKUP($A1008, 'Medical Examinations'!$A:$A, 'Medical Examinations'!H:H, "No Data")</f>
        <v>No</v>
      </c>
      <c r="J1008" s="28" t="str">
        <f t="array" ref="J1008">_xlfn.XLOOKUP($A1008, 'Medical Examinations'!$A:$A, 'Medical Examinations'!I:I, "No Data")</f>
        <v>Overweight</v>
      </c>
      <c r="K1008" s="28" t="str">
        <f t="array" ref="K1008">_xlfn.XLOOKUP($A1008, 'Hospitalisation Details'!$A:$A, 'Hospitalisation Details'!I:I, "No Data")</f>
        <v>tier - 2</v>
      </c>
      <c r="L1008" s="28" t="str">
        <f t="array" ref="L1008">_xlfn.XLOOKUP($A1008, 'Hospitalisation Details'!$A:$A, 'Hospitalisation Details'!J:J, "No Data")</f>
        <v>R1011</v>
      </c>
      <c r="M1008" s="28" t="str">
        <f t="array" ref="M1008">_xlfn.XLOOKUP($A1008, 'Hospitalisation Details'!$A:$A, 'Hospitalisation Details'!E:E, "No Data")</f>
        <v>30/11/69</v>
      </c>
      <c r="N1008" s="28">
        <f t="array" ref="N1008">_xlfn.XLOOKUP($A1008, 'Hospitalisation Details'!$A:$A, 'Hospitalisation Details'!K:K, "No Data")</f>
        <v>53</v>
      </c>
      <c r="O1008" s="33">
        <f t="array" ref="O1008">_xlfn.XLOOKUP($A1008, 'Hospitalisation Details'!$A:$A, 'Hospitalisation Details'!G:G, "No Data")</f>
        <v>11150.78</v>
      </c>
      <c r="P1008" s="28" t="str">
        <f t="array" ref="P1008">_xlfn.XLOOKUP($A1008, 'Hospitalisation Details'!$A:$A, 'Hospitalisation Details'!H:H, "No Data")</f>
        <v>tier - 3</v>
      </c>
    </row>
    <row r="1009">
      <c r="A1009" s="25" t="s">
        <v>3210</v>
      </c>
      <c r="B1009" s="28" t="str">
        <f t="array" ref="B1009">_xlfn.XLOOKUP($A1009, 'Customer Names'!$A:$A, 'Customer Names'!B:B, "No Data")</f>
        <v>Oscal</v>
      </c>
      <c r="C1009" s="28">
        <f t="array" ref="C1009">_xlfn.XLOOKUP($A1009, 'Medical Examinations'!$A:$A, 'Medical Examinations'!B:B, "No Data")</f>
        <v>33.71</v>
      </c>
      <c r="D1009" s="28">
        <f t="array" ref="D1009">_xlfn.XLOOKUP($A1009, 'Medical Examinations'!$A:$A, 'Medical Examinations'!C:C, "No Data")</f>
        <v>4.94</v>
      </c>
      <c r="E1009" s="28" t="str">
        <f t="array" ref="E1009">_xlfn.XLOOKUP($A1009, 'Medical Examinations'!$A:$A, 'Medical Examinations'!D:D, "No Data")</f>
        <v>No</v>
      </c>
      <c r="F1009" s="28" t="str">
        <f t="array" ref="F1009">_xlfn.XLOOKUP($A1009, 'Medical Examinations'!$A:$A, 'Medical Examinations'!E:E, "No Data")</f>
        <v>No</v>
      </c>
      <c r="G1009" s="28" t="str">
        <f t="array" ref="G1009">_xlfn.XLOOKUP($A1009, 'Medical Examinations'!$A:$A, 'Medical Examinations'!F:F, "No Data")</f>
        <v>No</v>
      </c>
      <c r="H1009" s="28">
        <f t="array" ref="H1009">_xlfn.XLOOKUP($A1009, 'Medical Examinations'!$A:$A, 'Medical Examinations'!G:G, "No Data")</f>
        <v>0</v>
      </c>
      <c r="I1009" s="28" t="str">
        <f t="array" ref="I1009">_xlfn.XLOOKUP($A1009, 'Medical Examinations'!$A:$A, 'Medical Examinations'!H:H, "No Data")</f>
        <v>No</v>
      </c>
      <c r="J1009" s="28" t="str">
        <f t="array" ref="J1009">_xlfn.XLOOKUP($A1009, 'Medical Examinations'!$A:$A, 'Medical Examinations'!I:I, "No Data")</f>
        <v>Obesity</v>
      </c>
      <c r="K1009" s="28" t="str">
        <f t="array" ref="K1009">_xlfn.XLOOKUP($A1009, 'Hospitalisation Details'!$A:$A, 'Hospitalisation Details'!I:I, "No Data")</f>
        <v>tier - 1</v>
      </c>
      <c r="L1009" s="28" t="str">
        <f t="array" ref="L1009">_xlfn.XLOOKUP($A1009, 'Hospitalisation Details'!$A:$A, 'Hospitalisation Details'!J:J, "No Data")</f>
        <v>R1021</v>
      </c>
      <c r="M1009" s="28" t="str">
        <f t="array" ref="M1009">_xlfn.XLOOKUP($A1009, 'Hospitalisation Details'!$A:$A, 'Hospitalisation Details'!E:E, "No Data")</f>
        <v>20/08/80</v>
      </c>
      <c r="N1009" s="28">
        <f t="array" ref="N1009">_xlfn.XLOOKUP($A1009, 'Hospitalisation Details'!$A:$A, 'Hospitalisation Details'!K:K, "No Data")</f>
        <v>42</v>
      </c>
      <c r="O1009" s="33">
        <f t="array" ref="O1009">_xlfn.XLOOKUP($A1009, 'Hospitalisation Details'!$A:$A, 'Hospitalisation Details'!G:G, "No Data")</f>
        <v>11103.33</v>
      </c>
      <c r="P1009" s="28" t="str">
        <f t="array" ref="P1009">_xlfn.XLOOKUP($A1009, 'Hospitalisation Details'!$A:$A, 'Hospitalisation Details'!H:H, "No Data")</f>
        <v>tier - 3</v>
      </c>
    </row>
    <row r="1010">
      <c r="A1010" s="25" t="s">
        <v>3213</v>
      </c>
      <c r="B1010" s="28" t="str">
        <f t="array" ref="B1010">_xlfn.XLOOKUP($A1010, 'Customer Names'!$A:$A, 'Customer Names'!B:B, "No Data")</f>
        <v>Craft</v>
      </c>
      <c r="C1010" s="28">
        <f t="array" ref="C1010">_xlfn.XLOOKUP($A1010, 'Medical Examinations'!$A:$A, 'Medical Examinations'!B:B, "No Data")</f>
        <v>41.91</v>
      </c>
      <c r="D1010" s="28">
        <f t="array" ref="D1010">_xlfn.XLOOKUP($A1010, 'Medical Examinations'!$A:$A, 'Medical Examinations'!C:C, "No Data")</f>
        <v>4.92</v>
      </c>
      <c r="E1010" s="28" t="str">
        <f t="array" ref="E1010">_xlfn.XLOOKUP($A1010, 'Medical Examinations'!$A:$A, 'Medical Examinations'!D:D, "No Data")</f>
        <v>yes</v>
      </c>
      <c r="F1010" s="28" t="str">
        <f t="array" ref="F1010">_xlfn.XLOOKUP($A1010, 'Medical Examinations'!$A:$A, 'Medical Examinations'!E:E, "No Data")</f>
        <v>No</v>
      </c>
      <c r="G1010" s="28" t="str">
        <f t="array" ref="G1010">_xlfn.XLOOKUP($A1010, 'Medical Examinations'!$A:$A, 'Medical Examinations'!F:F, "No Data")</f>
        <v>No</v>
      </c>
      <c r="H1010" s="28">
        <f t="array" ref="H1010">_xlfn.XLOOKUP($A1010, 'Medical Examinations'!$A:$A, 'Medical Examinations'!G:G, "No Data")</f>
        <v>2</v>
      </c>
      <c r="I1010" s="28" t="str">
        <f t="array" ref="I1010">_xlfn.XLOOKUP($A1010, 'Medical Examinations'!$A:$A, 'Medical Examinations'!H:H, "No Data")</f>
        <v>No</v>
      </c>
      <c r="J1010" s="28" t="str">
        <f t="array" ref="J1010">_xlfn.XLOOKUP($A1010, 'Medical Examinations'!$A:$A, 'Medical Examinations'!I:I, "No Data")</f>
        <v>Obesity</v>
      </c>
      <c r="K1010" s="28" t="str">
        <f t="array" ref="K1010">_xlfn.XLOOKUP($A1010, 'Hospitalisation Details'!$A:$A, 'Hospitalisation Details'!I:I, "No Data")</f>
        <v>tier - 1</v>
      </c>
      <c r="L1010" s="28" t="str">
        <f t="array" ref="L1010">_xlfn.XLOOKUP($A1010, 'Hospitalisation Details'!$A:$A, 'Hospitalisation Details'!J:J, "No Data")</f>
        <v>R1013</v>
      </c>
      <c r="M1010" s="28" t="str">
        <f t="array" ref="M1010">_xlfn.XLOOKUP($A1010, 'Hospitalisation Details'!$A:$A, 'Hospitalisation Details'!E:E, "No Data")</f>
        <v>05/07/66</v>
      </c>
      <c r="N1010" s="28">
        <f t="array" ref="N1010">_xlfn.XLOOKUP($A1010, 'Hospitalisation Details'!$A:$A, 'Hospitalisation Details'!K:K, "No Data")</f>
        <v>56</v>
      </c>
      <c r="O1010" s="33">
        <f t="array" ref="O1010">_xlfn.XLOOKUP($A1010, 'Hospitalisation Details'!$A:$A, 'Hospitalisation Details'!G:G, "No Data")</f>
        <v>11093.62</v>
      </c>
      <c r="P1010" s="28" t="str">
        <f t="array" ref="P1010">_xlfn.XLOOKUP($A1010, 'Hospitalisation Details'!$A:$A, 'Hospitalisation Details'!H:H, "No Data")</f>
        <v>tier - 3</v>
      </c>
    </row>
    <row r="1011">
      <c r="A1011" s="25" t="s">
        <v>3215</v>
      </c>
      <c r="B1011" s="28" t="str">
        <f t="array" ref="B1011">_xlfn.XLOOKUP($A1011, 'Customer Names'!$A:$A, 'Customer Names'!B:B, "No Data")</f>
        <v>Kebede</v>
      </c>
      <c r="C1011" s="28">
        <f t="array" ref="C1011">_xlfn.XLOOKUP($A1011, 'Medical Examinations'!$A:$A, 'Medical Examinations'!B:B, "No Data")</f>
        <v>39.82</v>
      </c>
      <c r="D1011" s="28">
        <f t="array" ref="D1011">_xlfn.XLOOKUP($A1011, 'Medical Examinations'!$A:$A, 'Medical Examinations'!C:C, "No Data")</f>
        <v>6.05</v>
      </c>
      <c r="E1011" s="28" t="str">
        <f t="array" ref="E1011">_xlfn.XLOOKUP($A1011, 'Medical Examinations'!$A:$A, 'Medical Examinations'!D:D, "No Data")</f>
        <v>yes</v>
      </c>
      <c r="F1011" s="28" t="str">
        <f t="array" ref="F1011">_xlfn.XLOOKUP($A1011, 'Medical Examinations'!$A:$A, 'Medical Examinations'!E:E, "No Data")</f>
        <v>No</v>
      </c>
      <c r="G1011" s="28" t="str">
        <f t="array" ref="G1011">_xlfn.XLOOKUP($A1011, 'Medical Examinations'!$A:$A, 'Medical Examinations'!F:F, "No Data")</f>
        <v>No</v>
      </c>
      <c r="H1011" s="28">
        <f t="array" ref="H1011">_xlfn.XLOOKUP($A1011, 'Medical Examinations'!$A:$A, 'Medical Examinations'!G:G, "No Data")</f>
        <v>2</v>
      </c>
      <c r="I1011" s="28" t="str">
        <f t="array" ref="I1011">_xlfn.XLOOKUP($A1011, 'Medical Examinations'!$A:$A, 'Medical Examinations'!H:H, "No Data")</f>
        <v>No</v>
      </c>
      <c r="J1011" s="28" t="str">
        <f t="array" ref="J1011">_xlfn.XLOOKUP($A1011, 'Medical Examinations'!$A:$A, 'Medical Examinations'!I:I, "No Data")</f>
        <v>Obesity</v>
      </c>
      <c r="K1011" s="28" t="str">
        <f t="array" ref="K1011">_xlfn.XLOOKUP($A1011, 'Hospitalisation Details'!$A:$A, 'Hospitalisation Details'!I:I, "No Data")</f>
        <v>tier - 1</v>
      </c>
      <c r="L1011" s="28" t="str">
        <f t="array" ref="L1011">_xlfn.XLOOKUP($A1011, 'Hospitalisation Details'!$A:$A, 'Hospitalisation Details'!J:J, "No Data")</f>
        <v>R1013</v>
      </c>
      <c r="M1011" s="28" t="str">
        <f t="array" ref="M1011">_xlfn.XLOOKUP($A1011, 'Hospitalisation Details'!$A:$A, 'Hospitalisation Details'!E:E, "No Data")</f>
        <v>09/09/66</v>
      </c>
      <c r="N1011" s="28">
        <f t="array" ref="N1011">_xlfn.XLOOKUP($A1011, 'Hospitalisation Details'!$A:$A, 'Hospitalisation Details'!K:K, "No Data")</f>
        <v>56</v>
      </c>
      <c r="O1011" s="33">
        <f t="array" ref="O1011">_xlfn.XLOOKUP($A1011, 'Hospitalisation Details'!$A:$A, 'Hospitalisation Details'!G:G, "No Data")</f>
        <v>11090.72</v>
      </c>
      <c r="P1011" s="28" t="str">
        <f t="array" ref="P1011">_xlfn.XLOOKUP($A1011, 'Hospitalisation Details'!$A:$A, 'Hospitalisation Details'!H:H, "No Data")</f>
        <v>tier - 3</v>
      </c>
    </row>
    <row r="1012">
      <c r="A1012" s="25" t="s">
        <v>3219</v>
      </c>
      <c r="B1012" s="28" t="str">
        <f t="array" ref="B1012">_xlfn.XLOOKUP($A1012, 'Customer Names'!$A:$A, 'Customer Names'!B:B, "No Data")</f>
        <v>Strobel</v>
      </c>
      <c r="C1012" s="28">
        <f t="array" ref="C1012">_xlfn.XLOOKUP($A1012, 'Medical Examinations'!$A:$A, 'Medical Examinations'!B:B, "No Data")</f>
        <v>28.12</v>
      </c>
      <c r="D1012" s="28">
        <f t="array" ref="D1012">_xlfn.XLOOKUP($A1012, 'Medical Examinations'!$A:$A, 'Medical Examinations'!C:C, "No Data")</f>
        <v>4.67</v>
      </c>
      <c r="E1012" s="28" t="str">
        <f t="array" ref="E1012">_xlfn.XLOOKUP($A1012, 'Medical Examinations'!$A:$A, 'Medical Examinations'!D:D, "No Data")</f>
        <v>No</v>
      </c>
      <c r="F1012" s="28" t="str">
        <f t="array" ref="F1012">_xlfn.XLOOKUP($A1012, 'Medical Examinations'!$A:$A, 'Medical Examinations'!E:E, "No Data")</f>
        <v>No</v>
      </c>
      <c r="G1012" s="28" t="str">
        <f t="array" ref="G1012">_xlfn.XLOOKUP($A1012, 'Medical Examinations'!$A:$A, 'Medical Examinations'!F:F, "No Data")</f>
        <v>No</v>
      </c>
      <c r="H1012" s="28">
        <f t="array" ref="H1012">_xlfn.XLOOKUP($A1012, 'Medical Examinations'!$A:$A, 'Medical Examinations'!G:G, "No Data")</f>
        <v>2</v>
      </c>
      <c r="I1012" s="28" t="str">
        <f t="array" ref="I1012">_xlfn.XLOOKUP($A1012, 'Medical Examinations'!$A:$A, 'Medical Examinations'!H:H, "No Data")</f>
        <v>No</v>
      </c>
      <c r="J1012" s="28" t="str">
        <f t="array" ref="J1012">_xlfn.XLOOKUP($A1012, 'Medical Examinations'!$A:$A, 'Medical Examinations'!I:I, "No Data")</f>
        <v>Overweight</v>
      </c>
      <c r="K1012" s="28" t="str">
        <f t="array" ref="K1012">_xlfn.XLOOKUP($A1012, 'Hospitalisation Details'!$A:$A, 'Hospitalisation Details'!I:I, "No Data")</f>
        <v>tier - 2</v>
      </c>
      <c r="L1012" s="28" t="str">
        <f t="array" ref="L1012">_xlfn.XLOOKUP($A1012, 'Hospitalisation Details'!$A:$A, 'Hospitalisation Details'!J:J, "No Data")</f>
        <v>R1012</v>
      </c>
      <c r="M1012" s="28" t="str">
        <f t="array" ref="M1012">_xlfn.XLOOKUP($A1012, 'Hospitalisation Details'!$A:$A, 'Hospitalisation Details'!E:E, "No Data")</f>
        <v>07/10/72</v>
      </c>
      <c r="N1012" s="28">
        <f t="array" ref="N1012">_xlfn.XLOOKUP($A1012, 'Hospitalisation Details'!$A:$A, 'Hospitalisation Details'!K:K, "No Data")</f>
        <v>50</v>
      </c>
      <c r="O1012" s="33">
        <f t="array" ref="O1012">_xlfn.XLOOKUP($A1012, 'Hospitalisation Details'!$A:$A, 'Hospitalisation Details'!G:G, "No Data")</f>
        <v>11085.59</v>
      </c>
      <c r="P1012" s="28" t="str">
        <f t="array" ref="P1012">_xlfn.XLOOKUP($A1012, 'Hospitalisation Details'!$A:$A, 'Hospitalisation Details'!H:H, "No Data")</f>
        <v>tier - 3</v>
      </c>
    </row>
    <row r="1013">
      <c r="A1013" s="25" t="s">
        <v>3221</v>
      </c>
      <c r="B1013" s="28" t="str">
        <f t="array" ref="B1013">_xlfn.XLOOKUP($A1013, 'Customer Names'!$A:$A, 'Customer Names'!B:B, "No Data")</f>
        <v>Dalton</v>
      </c>
      <c r="C1013" s="28">
        <f t="array" ref="C1013">_xlfn.XLOOKUP($A1013, 'Medical Examinations'!$A:$A, 'Medical Examinations'!B:B, "No Data")</f>
        <v>26.98</v>
      </c>
      <c r="D1013" s="28">
        <f t="array" ref="D1013">_xlfn.XLOOKUP($A1013, 'Medical Examinations'!$A:$A, 'Medical Examinations'!C:C, "No Data")</f>
        <v>9.81</v>
      </c>
      <c r="E1013" s="28" t="str">
        <f t="array" ref="E1013">_xlfn.XLOOKUP($A1013, 'Medical Examinations'!$A:$A, 'Medical Examinations'!D:D, "No Data")</f>
        <v>yes</v>
      </c>
      <c r="F1013" s="28" t="str">
        <f t="array" ref="F1013">_xlfn.XLOOKUP($A1013, 'Medical Examinations'!$A:$A, 'Medical Examinations'!E:E, "No Data")</f>
        <v>No</v>
      </c>
      <c r="G1013" s="28" t="str">
        <f t="array" ref="G1013">_xlfn.XLOOKUP($A1013, 'Medical Examinations'!$A:$A, 'Medical Examinations'!F:F, "No Data")</f>
        <v>No</v>
      </c>
      <c r="H1013" s="28">
        <f t="array" ref="H1013">_xlfn.XLOOKUP($A1013, 'Medical Examinations'!$A:$A, 'Medical Examinations'!G:G, "No Data")</f>
        <v>0</v>
      </c>
      <c r="I1013" s="28" t="str">
        <f t="array" ref="I1013">_xlfn.XLOOKUP($A1013, 'Medical Examinations'!$A:$A, 'Medical Examinations'!H:H, "No Data")</f>
        <v>No</v>
      </c>
      <c r="J1013" s="28" t="str">
        <f t="array" ref="J1013">_xlfn.XLOOKUP($A1013, 'Medical Examinations'!$A:$A, 'Medical Examinations'!I:I, "No Data")</f>
        <v>Overweight</v>
      </c>
      <c r="K1013" s="28" t="str">
        <f t="array" ref="K1013">_xlfn.XLOOKUP($A1013, 'Hospitalisation Details'!$A:$A, 'Hospitalisation Details'!I:I, "No Data")</f>
        <v>tier - 2</v>
      </c>
      <c r="L1013" s="28" t="str">
        <f t="array" ref="L1013">_xlfn.XLOOKUP($A1013, 'Hospitalisation Details'!$A:$A, 'Hospitalisation Details'!J:J, "No Data")</f>
        <v>R1012</v>
      </c>
      <c r="M1013" s="28" t="str">
        <f t="array" ref="M1013">_xlfn.XLOOKUP($A1013, 'Hospitalisation Details'!$A:$A, 'Hospitalisation Details'!E:E, "No Data")</f>
        <v>04/09/67</v>
      </c>
      <c r="N1013" s="28">
        <f t="array" ref="N1013">_xlfn.XLOOKUP($A1013, 'Hospitalisation Details'!$A:$A, 'Hospitalisation Details'!K:K, "No Data")</f>
        <v>55</v>
      </c>
      <c r="O1013" s="33">
        <f t="array" ref="O1013">_xlfn.XLOOKUP($A1013, 'Hospitalisation Details'!$A:$A, 'Hospitalisation Details'!G:G, "No Data")</f>
        <v>11082.58</v>
      </c>
      <c r="P1013" s="28" t="str">
        <f t="array" ref="P1013">_xlfn.XLOOKUP($A1013, 'Hospitalisation Details'!$A:$A, 'Hospitalisation Details'!H:H, "No Data")</f>
        <v>tier - 3</v>
      </c>
    </row>
    <row r="1014">
      <c r="A1014" s="25" t="s">
        <v>3225</v>
      </c>
      <c r="B1014" s="28" t="str">
        <f t="array" ref="B1014">_xlfn.XLOOKUP($A1014, 'Customer Names'!$A:$A, 'Customer Names'!B:B, "No Data")</f>
        <v>Morimoto</v>
      </c>
      <c r="C1014" s="28">
        <f t="array" ref="C1014">_xlfn.XLOOKUP($A1014, 'Medical Examinations'!$A:$A, 'Medical Examinations'!B:B, "No Data")</f>
        <v>27.2</v>
      </c>
      <c r="D1014" s="28">
        <f t="array" ref="D1014">_xlfn.XLOOKUP($A1014, 'Medical Examinations'!$A:$A, 'Medical Examinations'!C:C, "No Data")</f>
        <v>6.06</v>
      </c>
      <c r="E1014" s="28" t="str">
        <f t="array" ref="E1014">_xlfn.XLOOKUP($A1014, 'Medical Examinations'!$A:$A, 'Medical Examinations'!D:D, "No Data")</f>
        <v>yes</v>
      </c>
      <c r="F1014" s="28" t="str">
        <f t="array" ref="F1014">_xlfn.XLOOKUP($A1014, 'Medical Examinations'!$A:$A, 'Medical Examinations'!E:E, "No Data")</f>
        <v>No</v>
      </c>
      <c r="G1014" s="28" t="str">
        <f t="array" ref="G1014">_xlfn.XLOOKUP($A1014, 'Medical Examinations'!$A:$A, 'Medical Examinations'!F:F, "No Data")</f>
        <v>No</v>
      </c>
      <c r="H1014" s="28">
        <f t="array" ref="H1014">_xlfn.XLOOKUP($A1014, 'Medical Examinations'!$A:$A, 'Medical Examinations'!G:G, "No Data")</f>
        <v>2</v>
      </c>
      <c r="I1014" s="28" t="str">
        <f t="array" ref="I1014">_xlfn.XLOOKUP($A1014, 'Medical Examinations'!$A:$A, 'Medical Examinations'!H:H, "No Data")</f>
        <v>No</v>
      </c>
      <c r="J1014" s="28" t="str">
        <f t="array" ref="J1014">_xlfn.XLOOKUP($A1014, 'Medical Examinations'!$A:$A, 'Medical Examinations'!I:I, "No Data")</f>
        <v>Overweight</v>
      </c>
      <c r="K1014" s="28" t="str">
        <f t="array" ref="K1014">_xlfn.XLOOKUP($A1014, 'Hospitalisation Details'!$A:$A, 'Hospitalisation Details'!I:I, "No Data")</f>
        <v>tier - 3</v>
      </c>
      <c r="L1014" s="28" t="str">
        <f t="array" ref="L1014">_xlfn.XLOOKUP($A1014, 'Hospitalisation Details'!$A:$A, 'Hospitalisation Details'!J:J, "No Data")</f>
        <v>R1011</v>
      </c>
      <c r="M1014" s="28" t="str">
        <f t="array" ref="M1014">_xlfn.XLOOKUP($A1014, 'Hospitalisation Details'!$A:$A, 'Hospitalisation Details'!E:E, "No Data")</f>
        <v>20/11/66</v>
      </c>
      <c r="N1014" s="28">
        <f t="array" ref="N1014">_xlfn.XLOOKUP($A1014, 'Hospitalisation Details'!$A:$A, 'Hospitalisation Details'!K:K, "No Data")</f>
        <v>56</v>
      </c>
      <c r="O1014" s="33">
        <f t="array" ref="O1014">_xlfn.XLOOKUP($A1014, 'Hospitalisation Details'!$A:$A, 'Hospitalisation Details'!G:G, "No Data")</f>
        <v>11073.18</v>
      </c>
      <c r="P1014" s="28" t="str">
        <f t="array" ref="P1014">_xlfn.XLOOKUP($A1014, 'Hospitalisation Details'!$A:$A, 'Hospitalisation Details'!H:H, "No Data")</f>
        <v>tier - 3</v>
      </c>
    </row>
    <row r="1015">
      <c r="A1015" s="25" t="s">
        <v>3228</v>
      </c>
      <c r="B1015" s="28" t="str">
        <f t="array" ref="B1015">_xlfn.XLOOKUP($A1015, 'Customer Names'!$A:$A, 'Customer Names'!B:B, "No Data")</f>
        <v>Manlove</v>
      </c>
      <c r="C1015" s="28">
        <f t="array" ref="C1015">_xlfn.XLOOKUP($A1015, 'Medical Examinations'!$A:$A, 'Medical Examinations'!B:B, "No Data")</f>
        <v>25.3</v>
      </c>
      <c r="D1015" s="28">
        <f t="array" ref="D1015">_xlfn.XLOOKUP($A1015, 'Medical Examinations'!$A:$A, 'Medical Examinations'!C:C, "No Data")</f>
        <v>5.19</v>
      </c>
      <c r="E1015" s="28" t="str">
        <f t="array" ref="E1015">_xlfn.XLOOKUP($A1015, 'Medical Examinations'!$A:$A, 'Medical Examinations'!D:D, "No Data")</f>
        <v>yes</v>
      </c>
      <c r="F1015" s="28" t="str">
        <f t="array" ref="F1015">_xlfn.XLOOKUP($A1015, 'Medical Examinations'!$A:$A, 'Medical Examinations'!E:E, "No Data")</f>
        <v>No</v>
      </c>
      <c r="G1015" s="28" t="str">
        <f t="array" ref="G1015">_xlfn.XLOOKUP($A1015, 'Medical Examinations'!$A:$A, 'Medical Examinations'!F:F, "No Data")</f>
        <v>No</v>
      </c>
      <c r="H1015" s="28">
        <f t="array" ref="H1015">_xlfn.XLOOKUP($A1015, 'Medical Examinations'!$A:$A, 'Medical Examinations'!G:G, "No Data")</f>
        <v>2</v>
      </c>
      <c r="I1015" s="28" t="str">
        <f t="array" ref="I1015">_xlfn.XLOOKUP($A1015, 'Medical Examinations'!$A:$A, 'Medical Examinations'!H:H, "No Data")</f>
        <v>No</v>
      </c>
      <c r="J1015" s="28" t="str">
        <f t="array" ref="J1015">_xlfn.XLOOKUP($A1015, 'Medical Examinations'!$A:$A, 'Medical Examinations'!I:I, "No Data")</f>
        <v>Overweight</v>
      </c>
      <c r="K1015" s="28" t="str">
        <f t="array" ref="K1015">_xlfn.XLOOKUP($A1015, 'Hospitalisation Details'!$A:$A, 'Hospitalisation Details'!I:I, "No Data")</f>
        <v>tier - 3</v>
      </c>
      <c r="L1015" s="28" t="str">
        <f t="array" ref="L1015">_xlfn.XLOOKUP($A1015, 'Hospitalisation Details'!$A:$A, 'Hospitalisation Details'!J:J, "No Data")</f>
        <v>R1011</v>
      </c>
      <c r="M1015" s="28" t="str">
        <f t="array" ref="M1015">_xlfn.XLOOKUP($A1015, 'Hospitalisation Details'!$A:$A, 'Hospitalisation Details'!E:E, "No Data")</f>
        <v>07/11/66</v>
      </c>
      <c r="N1015" s="28">
        <f t="array" ref="N1015">_xlfn.XLOOKUP($A1015, 'Hospitalisation Details'!$A:$A, 'Hospitalisation Details'!K:K, "No Data")</f>
        <v>56</v>
      </c>
      <c r="O1015" s="33">
        <f t="array" ref="O1015">_xlfn.XLOOKUP($A1015, 'Hospitalisation Details'!$A:$A, 'Hospitalisation Details'!G:G, "No Data")</f>
        <v>11070.54</v>
      </c>
      <c r="P1015" s="28" t="str">
        <f t="array" ref="P1015">_xlfn.XLOOKUP($A1015, 'Hospitalisation Details'!$A:$A, 'Hospitalisation Details'!H:H, "No Data")</f>
        <v>tier - 3</v>
      </c>
    </row>
    <row r="1016">
      <c r="A1016" s="25" t="s">
        <v>3231</v>
      </c>
      <c r="B1016" s="28" t="str">
        <f t="array" ref="B1016">_xlfn.XLOOKUP($A1016, 'Customer Names'!$A:$A, 'Customer Names'!B:B, "No Data")</f>
        <v>Madzik</v>
      </c>
      <c r="C1016" s="28">
        <f t="array" ref="C1016">_xlfn.XLOOKUP($A1016, 'Medical Examinations'!$A:$A, 'Medical Examinations'!B:B, "No Data")</f>
        <v>30.25</v>
      </c>
      <c r="D1016" s="28">
        <f t="array" ref="D1016">_xlfn.XLOOKUP($A1016, 'Medical Examinations'!$A:$A, 'Medical Examinations'!C:C, "No Data")</f>
        <v>10.16</v>
      </c>
      <c r="E1016" s="28" t="str">
        <f t="array" ref="E1016">_xlfn.XLOOKUP($A1016, 'Medical Examinations'!$A:$A, 'Medical Examinations'!D:D, "No Data")</f>
        <v>No</v>
      </c>
      <c r="F1016" s="28" t="str">
        <f t="array" ref="F1016">_xlfn.XLOOKUP($A1016, 'Medical Examinations'!$A:$A, 'Medical Examinations'!E:E, "No Data")</f>
        <v>No</v>
      </c>
      <c r="G1016" s="28" t="str">
        <f t="array" ref="G1016">_xlfn.XLOOKUP($A1016, 'Medical Examinations'!$A:$A, 'Medical Examinations'!F:F, "No Data")</f>
        <v>No</v>
      </c>
      <c r="H1016" s="28">
        <f t="array" ref="H1016">_xlfn.XLOOKUP($A1016, 'Medical Examinations'!$A:$A, 'Medical Examinations'!G:G, "No Data")</f>
        <v>0</v>
      </c>
      <c r="I1016" s="28" t="str">
        <f t="array" ref="I1016">_xlfn.XLOOKUP($A1016, 'Medical Examinations'!$A:$A, 'Medical Examinations'!H:H, "No Data")</f>
        <v>No</v>
      </c>
      <c r="J1016" s="28" t="str">
        <f t="array" ref="J1016">_xlfn.XLOOKUP($A1016, 'Medical Examinations'!$A:$A, 'Medical Examinations'!I:I, "No Data")</f>
        <v>Obesity</v>
      </c>
      <c r="K1016" s="28" t="str">
        <f t="array" ref="K1016">_xlfn.XLOOKUP($A1016, 'Hospitalisation Details'!$A:$A, 'Hospitalisation Details'!I:I, "No Data")</f>
        <v>tier - 2</v>
      </c>
      <c r="L1016" s="28" t="str">
        <f t="array" ref="L1016">_xlfn.XLOOKUP($A1016, 'Hospitalisation Details'!$A:$A, 'Hospitalisation Details'!J:J, "No Data")</f>
        <v>R1012</v>
      </c>
      <c r="M1016" s="28" t="str">
        <f t="array" ref="M1016">_xlfn.XLOOKUP($A1016, 'Hospitalisation Details'!$A:$A, 'Hospitalisation Details'!E:E, "No Data")</f>
        <v>09/11/71</v>
      </c>
      <c r="N1016" s="28">
        <f t="array" ref="N1016">_xlfn.XLOOKUP($A1016, 'Hospitalisation Details'!$A:$A, 'Hospitalisation Details'!K:K, "No Data")</f>
        <v>51</v>
      </c>
      <c r="O1016" s="33">
        <f t="array" ref="O1016">_xlfn.XLOOKUP($A1016, 'Hospitalisation Details'!$A:$A, 'Hospitalisation Details'!G:G, "No Data")</f>
        <v>11068.77</v>
      </c>
      <c r="P1016" s="28" t="str">
        <f t="array" ref="P1016">_xlfn.XLOOKUP($A1016, 'Hospitalisation Details'!$A:$A, 'Hospitalisation Details'!H:H, "No Data")</f>
        <v>tier - 3</v>
      </c>
    </row>
    <row r="1017">
      <c r="A1017" s="25" t="s">
        <v>3233</v>
      </c>
      <c r="B1017" s="28" t="str">
        <f t="array" ref="B1017">_xlfn.XLOOKUP($A1017, 'Customer Names'!$A:$A, 'Customer Names'!B:B, "No Data")</f>
        <v>Hobson</v>
      </c>
      <c r="C1017" s="28">
        <f t="array" ref="C1017">_xlfn.XLOOKUP($A1017, 'Medical Examinations'!$A:$A, 'Medical Examinations'!B:B, "No Data")</f>
        <v>54</v>
      </c>
      <c r="D1017" s="28">
        <f t="array" ref="D1017">_xlfn.XLOOKUP($A1017, 'Medical Examinations'!$A:$A, 'Medical Examinations'!C:C, "No Data")</f>
        <v>4.68</v>
      </c>
      <c r="E1017" s="28" t="str">
        <f t="array" ref="E1017">_xlfn.XLOOKUP($A1017, 'Medical Examinations'!$A:$A, 'Medical Examinations'!D:D, "No Data")</f>
        <v>yes</v>
      </c>
      <c r="F1017" s="28" t="str">
        <f t="array" ref="F1017">_xlfn.XLOOKUP($A1017, 'Medical Examinations'!$A:$A, 'Medical Examinations'!E:E, "No Data")</f>
        <v>yes</v>
      </c>
      <c r="G1017" s="28" t="str">
        <f t="array" ref="G1017">_xlfn.XLOOKUP($A1017, 'Medical Examinations'!$A:$A, 'Medical Examinations'!F:F, "No Data")</f>
        <v>No</v>
      </c>
      <c r="H1017" s="28">
        <f t="array" ref="H1017">_xlfn.XLOOKUP($A1017, 'Medical Examinations'!$A:$A, 'Medical Examinations'!G:G, "No Data")</f>
        <v>2</v>
      </c>
      <c r="I1017" s="28" t="str">
        <f t="array" ref="I1017">_xlfn.XLOOKUP($A1017, 'Medical Examinations'!$A:$A, 'Medical Examinations'!H:H, "No Data")</f>
        <v>No</v>
      </c>
      <c r="J1017" s="28" t="str">
        <f t="array" ref="J1017">_xlfn.XLOOKUP($A1017, 'Medical Examinations'!$A:$A, 'Medical Examinations'!I:I, "No Data")</f>
        <v>Obesity</v>
      </c>
      <c r="K1017" s="28" t="str">
        <f t="array" ref="K1017">_xlfn.XLOOKUP($A1017, 'Hospitalisation Details'!$A:$A, 'Hospitalisation Details'!I:I, "No Data")</f>
        <v>tier - 1</v>
      </c>
      <c r="L1017" s="28" t="str">
        <f t="array" ref="L1017">_xlfn.XLOOKUP($A1017, 'Hospitalisation Details'!$A:$A, 'Hospitalisation Details'!J:J, "No Data")</f>
        <v>R1011</v>
      </c>
      <c r="M1017" s="28" t="str">
        <f t="array" ref="M1017">_xlfn.XLOOKUP($A1017, 'Hospitalisation Details'!$A:$A, 'Hospitalisation Details'!E:E, "No Data")</f>
        <v>18/09/00</v>
      </c>
      <c r="N1017" s="28">
        <f t="array" ref="N1017">_xlfn.XLOOKUP($A1017, 'Hospitalisation Details'!$A:$A, 'Hospitalisation Details'!K:K, "No Data")</f>
        <v>22</v>
      </c>
      <c r="O1017" s="33">
        <f t="array" ref="O1017">_xlfn.XLOOKUP($A1017, 'Hospitalisation Details'!$A:$A, 'Hospitalisation Details'!G:G, "No Data")</f>
        <v>11068.7</v>
      </c>
      <c r="P1017" s="28" t="str">
        <f t="array" ref="P1017">_xlfn.XLOOKUP($A1017, 'Hospitalisation Details'!$A:$A, 'Hospitalisation Details'!H:H, "No Data")</f>
        <v>tier - 3</v>
      </c>
    </row>
    <row r="1018">
      <c r="A1018" s="25" t="s">
        <v>3237</v>
      </c>
      <c r="B1018" s="28" t="str">
        <f t="array" ref="B1018">_xlfn.XLOOKUP($A1018, 'Customer Names'!$A:$A, 'Customer Names'!B:B, "No Data")</f>
        <v>Reyes</v>
      </c>
      <c r="C1018" s="28">
        <f t="array" ref="C1018">_xlfn.XLOOKUP($A1018, 'Medical Examinations'!$A:$A, 'Medical Examinations'!B:B, "No Data")</f>
        <v>51.86</v>
      </c>
      <c r="D1018" s="28">
        <f t="array" ref="D1018">_xlfn.XLOOKUP($A1018, 'Medical Examinations'!$A:$A, 'Medical Examinations'!C:C, "No Data")</f>
        <v>5.32</v>
      </c>
      <c r="E1018" s="28" t="str">
        <f t="array" ref="E1018">_xlfn.XLOOKUP($A1018, 'Medical Examinations'!$A:$A, 'Medical Examinations'!D:D, "No Data")</f>
        <v>yes</v>
      </c>
      <c r="F1018" s="28" t="str">
        <f t="array" ref="F1018">_xlfn.XLOOKUP($A1018, 'Medical Examinations'!$A:$A, 'Medical Examinations'!E:E, "No Data")</f>
        <v>No</v>
      </c>
      <c r="G1018" s="28" t="str">
        <f t="array" ref="G1018">_xlfn.XLOOKUP($A1018, 'Medical Examinations'!$A:$A, 'Medical Examinations'!F:F, "No Data")</f>
        <v>No</v>
      </c>
      <c r="H1018" s="28">
        <f t="array" ref="H1018">_xlfn.XLOOKUP($A1018, 'Medical Examinations'!$A:$A, 'Medical Examinations'!G:G, "No Data")</f>
        <v>0</v>
      </c>
      <c r="I1018" s="28" t="str">
        <f t="array" ref="I1018">_xlfn.XLOOKUP($A1018, 'Medical Examinations'!$A:$A, 'Medical Examinations'!H:H, "No Data")</f>
        <v>No</v>
      </c>
      <c r="J1018" s="28" t="str">
        <f t="array" ref="J1018">_xlfn.XLOOKUP($A1018, 'Medical Examinations'!$A:$A, 'Medical Examinations'!I:I, "No Data")</f>
        <v>Obesity</v>
      </c>
      <c r="K1018" s="28" t="str">
        <f t="array" ref="K1018">_xlfn.XLOOKUP($A1018, 'Hospitalisation Details'!$A:$A, 'Hospitalisation Details'!I:I, "No Data")</f>
        <v>tier - 1</v>
      </c>
      <c r="L1018" s="28" t="str">
        <f t="array" ref="L1018">_xlfn.XLOOKUP($A1018, 'Hospitalisation Details'!$A:$A, 'Hospitalisation Details'!J:J, "No Data")</f>
        <v>R1026</v>
      </c>
      <c r="M1018" s="28" t="str">
        <f t="array" ref="M1018">_xlfn.XLOOKUP($A1018, 'Hospitalisation Details'!$A:$A, 'Hospitalisation Details'!E:E, "No Data")</f>
        <v>17/12/01</v>
      </c>
      <c r="N1018" s="28">
        <f t="array" ref="N1018">_xlfn.XLOOKUP($A1018, 'Hospitalisation Details'!$A:$A, 'Hospitalisation Details'!K:K, "No Data")</f>
        <v>21</v>
      </c>
      <c r="O1018" s="33">
        <f t="array" ref="O1018">_xlfn.XLOOKUP($A1018, 'Hospitalisation Details'!$A:$A, 'Hospitalisation Details'!G:G, "No Data")</f>
        <v>11046.02</v>
      </c>
      <c r="P1018" s="28" t="str">
        <f t="array" ref="P1018">_xlfn.XLOOKUP($A1018, 'Hospitalisation Details'!$A:$A, 'Hospitalisation Details'!H:H, "No Data")</f>
        <v>tier - 3</v>
      </c>
    </row>
    <row r="1019">
      <c r="A1019" s="25" t="s">
        <v>3240</v>
      </c>
      <c r="B1019" s="28" t="str">
        <f t="array" ref="B1019">_xlfn.XLOOKUP($A1019, 'Customer Names'!$A:$A, 'Customer Names'!B:B, "No Data")</f>
        <v>Tierney</v>
      </c>
      <c r="C1019" s="28">
        <f t="array" ref="C1019">_xlfn.XLOOKUP($A1019, 'Medical Examinations'!$A:$A, 'Medical Examinations'!B:B, "No Data")</f>
        <v>31.39</v>
      </c>
      <c r="D1019" s="28">
        <f t="array" ref="D1019">_xlfn.XLOOKUP($A1019, 'Medical Examinations'!$A:$A, 'Medical Examinations'!C:C, "No Data")</f>
        <v>6.99</v>
      </c>
      <c r="E1019" s="28" t="str">
        <f t="array" ref="E1019">_xlfn.XLOOKUP($A1019, 'Medical Examinations'!$A:$A, 'Medical Examinations'!D:D, "No Data")</f>
        <v>No</v>
      </c>
      <c r="F1019" s="28" t="str">
        <f t="array" ref="F1019">_xlfn.XLOOKUP($A1019, 'Medical Examinations'!$A:$A, 'Medical Examinations'!E:E, "No Data")</f>
        <v>No</v>
      </c>
      <c r="G1019" s="28" t="str">
        <f t="array" ref="G1019">_xlfn.XLOOKUP($A1019, 'Medical Examinations'!$A:$A, 'Medical Examinations'!F:F, "No Data")</f>
        <v>No</v>
      </c>
      <c r="H1019" s="28">
        <f t="array" ref="H1019">_xlfn.XLOOKUP($A1019, 'Medical Examinations'!$A:$A, 'Medical Examinations'!G:G, "No Data")</f>
        <v>0</v>
      </c>
      <c r="I1019" s="28" t="str">
        <f t="array" ref="I1019">_xlfn.XLOOKUP($A1019, 'Medical Examinations'!$A:$A, 'Medical Examinations'!H:H, "No Data")</f>
        <v>No</v>
      </c>
      <c r="J1019" s="28" t="str">
        <f t="array" ref="J1019">_xlfn.XLOOKUP($A1019, 'Medical Examinations'!$A:$A, 'Medical Examinations'!I:I, "No Data")</f>
        <v>Obesity</v>
      </c>
      <c r="K1019" s="28" t="str">
        <f t="array" ref="K1019">_xlfn.XLOOKUP($A1019, 'Hospitalisation Details'!$A:$A, 'Hospitalisation Details'!I:I, "No Data")</f>
        <v>tier - 2</v>
      </c>
      <c r="L1019" s="28" t="str">
        <f t="array" ref="L1019">_xlfn.XLOOKUP($A1019, 'Hospitalisation Details'!$A:$A, 'Hospitalisation Details'!J:J, "No Data")</f>
        <v>R1025</v>
      </c>
      <c r="M1019" s="28" t="str">
        <f t="array" ref="M1019">_xlfn.XLOOKUP($A1019, 'Hospitalisation Details'!$A:$A, 'Hospitalisation Details'!E:E, "No Data")</f>
        <v>30/08/74</v>
      </c>
      <c r="N1019" s="28">
        <f t="array" ref="N1019">_xlfn.XLOOKUP($A1019, 'Hospitalisation Details'!$A:$A, 'Hospitalisation Details'!K:K, "No Data")</f>
        <v>48</v>
      </c>
      <c r="O1019" s="33">
        <f t="array" ref="O1019">_xlfn.XLOOKUP($A1019, 'Hospitalisation Details'!$A:$A, 'Hospitalisation Details'!G:G, "No Data")</f>
        <v>11037.85</v>
      </c>
      <c r="P1019" s="28" t="str">
        <f t="array" ref="P1019">_xlfn.XLOOKUP($A1019, 'Hospitalisation Details'!$A:$A, 'Hospitalisation Details'!H:H, "No Data")</f>
        <v>tier - 3</v>
      </c>
    </row>
    <row r="1020">
      <c r="A1020" s="25" t="s">
        <v>3244</v>
      </c>
      <c r="B1020" s="28" t="str">
        <f t="array" ref="B1020">_xlfn.XLOOKUP($A1020, 'Customer Names'!$A:$A, 'Customer Names'!B:B, "No Data")</f>
        <v>Gabris</v>
      </c>
      <c r="C1020" s="28">
        <f t="array" ref="C1020">_xlfn.XLOOKUP($A1020, 'Medical Examinations'!$A:$A, 'Medical Examinations'!B:B, "No Data")</f>
        <v>39.97</v>
      </c>
      <c r="D1020" s="28">
        <f t="array" ref="D1020">_xlfn.XLOOKUP($A1020, 'Medical Examinations'!$A:$A, 'Medical Examinations'!C:C, "No Data")</f>
        <v>5.55</v>
      </c>
      <c r="E1020" s="28" t="str">
        <f t="array" ref="E1020">_xlfn.XLOOKUP($A1020, 'Medical Examinations'!$A:$A, 'Medical Examinations'!D:D, "No Data")</f>
        <v>No</v>
      </c>
      <c r="F1020" s="28" t="str">
        <f t="array" ref="F1020">_xlfn.XLOOKUP($A1020, 'Medical Examinations'!$A:$A, 'Medical Examinations'!E:E, "No Data")</f>
        <v>No</v>
      </c>
      <c r="G1020" s="28" t="str">
        <f t="array" ref="G1020">_xlfn.XLOOKUP($A1020, 'Medical Examinations'!$A:$A, 'Medical Examinations'!F:F, "No Data")</f>
        <v>No</v>
      </c>
      <c r="H1020" s="28">
        <f t="array" ref="H1020">_xlfn.XLOOKUP($A1020, 'Medical Examinations'!$A:$A, 'Medical Examinations'!G:G, "No Data")</f>
        <v>0</v>
      </c>
      <c r="I1020" s="28" t="str">
        <f t="array" ref="I1020">_xlfn.XLOOKUP($A1020, 'Medical Examinations'!$A:$A, 'Medical Examinations'!H:H, "No Data")</f>
        <v>No</v>
      </c>
      <c r="J1020" s="28" t="str">
        <f t="array" ref="J1020">_xlfn.XLOOKUP($A1020, 'Medical Examinations'!$A:$A, 'Medical Examinations'!I:I, "No Data")</f>
        <v>Obesity</v>
      </c>
      <c r="K1020" s="28" t="str">
        <f t="array" ref="K1020">_xlfn.XLOOKUP($A1020, 'Hospitalisation Details'!$A:$A, 'Hospitalisation Details'!I:I, "No Data")</f>
        <v>tier - 1</v>
      </c>
      <c r="L1020" s="28" t="str">
        <f t="array" ref="L1020">_xlfn.XLOOKUP($A1020, 'Hospitalisation Details'!$A:$A, 'Hospitalisation Details'!J:J, "No Data")</f>
        <v>R1012</v>
      </c>
      <c r="M1020" s="28" t="str">
        <f t="array" ref="M1020">_xlfn.XLOOKUP($A1020, 'Hospitalisation Details'!$A:$A, 'Hospitalisation Details'!E:E, "No Data")</f>
        <v>25/10/89</v>
      </c>
      <c r="N1020" s="28">
        <f t="array" ref="N1020">_xlfn.XLOOKUP($A1020, 'Hospitalisation Details'!$A:$A, 'Hospitalisation Details'!K:K, "No Data")</f>
        <v>33</v>
      </c>
      <c r="O1020" s="33">
        <f t="array" ref="O1020">_xlfn.XLOOKUP($A1020, 'Hospitalisation Details'!$A:$A, 'Hospitalisation Details'!G:G, "No Data")</f>
        <v>11037.51</v>
      </c>
      <c r="P1020" s="28" t="str">
        <f t="array" ref="P1020">_xlfn.XLOOKUP($A1020, 'Hospitalisation Details'!$A:$A, 'Hospitalisation Details'!H:H, "No Data")</f>
        <v>tier - 3</v>
      </c>
    </row>
    <row r="1021">
      <c r="A1021" s="25" t="s">
        <v>3246</v>
      </c>
      <c r="B1021" s="28" t="str">
        <f t="array" ref="B1021">_xlfn.XLOOKUP($A1021, 'Customer Names'!$A:$A, 'Customer Names'!B:B, "No Data")</f>
        <v>Howard</v>
      </c>
      <c r="C1021" s="28">
        <f t="array" ref="C1021">_xlfn.XLOOKUP($A1021, 'Medical Examinations'!$A:$A, 'Medical Examinations'!B:B, "No Data")</f>
        <v>41.23</v>
      </c>
      <c r="D1021" s="28">
        <f t="array" ref="D1021">_xlfn.XLOOKUP($A1021, 'Medical Examinations'!$A:$A, 'Medical Examinations'!C:C, "No Data")</f>
        <v>6.94</v>
      </c>
      <c r="E1021" s="28" t="str">
        <f t="array" ref="E1021">_xlfn.XLOOKUP($A1021, 'Medical Examinations'!$A:$A, 'Medical Examinations'!D:D, "No Data")</f>
        <v>No</v>
      </c>
      <c r="F1021" s="28" t="str">
        <f t="array" ref="F1021">_xlfn.XLOOKUP($A1021, 'Medical Examinations'!$A:$A, 'Medical Examinations'!E:E, "No Data")</f>
        <v>No</v>
      </c>
      <c r="G1021" s="28" t="str">
        <f t="array" ref="G1021">_xlfn.XLOOKUP($A1021, 'Medical Examinations'!$A:$A, 'Medical Examinations'!F:F, "No Data")</f>
        <v>No</v>
      </c>
      <c r="H1021" s="28">
        <f t="array" ref="H1021">_xlfn.XLOOKUP($A1021, 'Medical Examinations'!$A:$A, 'Medical Examinations'!G:G, "No Data")</f>
        <v>0</v>
      </c>
      <c r="I1021" s="28" t="str">
        <f t="array" ref="I1021">_xlfn.XLOOKUP($A1021, 'Medical Examinations'!$A:$A, 'Medical Examinations'!H:H, "No Data")</f>
        <v>No</v>
      </c>
      <c r="J1021" s="28" t="str">
        <f t="array" ref="J1021">_xlfn.XLOOKUP($A1021, 'Medical Examinations'!$A:$A, 'Medical Examinations'!I:I, "No Data")</f>
        <v>Obesity</v>
      </c>
      <c r="K1021" s="28" t="str">
        <f t="array" ref="K1021">_xlfn.XLOOKUP($A1021, 'Hospitalisation Details'!$A:$A, 'Hospitalisation Details'!I:I, "No Data")</f>
        <v>tier - 3</v>
      </c>
      <c r="L1021" s="28" t="str">
        <f t="array" ref="L1021">_xlfn.XLOOKUP($A1021, 'Hospitalisation Details'!$A:$A, 'Hospitalisation Details'!J:J, "No Data")</f>
        <v>R1012</v>
      </c>
      <c r="M1021" s="28" t="str">
        <f t="array" ref="M1021">_xlfn.XLOOKUP($A1021, 'Hospitalisation Details'!$A:$A, 'Hospitalisation Details'!E:E, "No Data")</f>
        <v>10/12/74</v>
      </c>
      <c r="N1021" s="28">
        <f t="array" ref="N1021">_xlfn.XLOOKUP($A1021, 'Hospitalisation Details'!$A:$A, 'Hospitalisation Details'!K:K, "No Data")</f>
        <v>48</v>
      </c>
      <c r="O1021" s="33">
        <f t="array" ref="O1021">_xlfn.XLOOKUP($A1021, 'Hospitalisation Details'!$A:$A, 'Hospitalisation Details'!G:G, "No Data")</f>
        <v>11033.66</v>
      </c>
      <c r="P1021" s="28" t="str">
        <f t="array" ref="P1021">_xlfn.XLOOKUP($A1021, 'Hospitalisation Details'!$A:$A, 'Hospitalisation Details'!H:H, "No Data")</f>
        <v>tier - 3</v>
      </c>
    </row>
    <row r="1022">
      <c r="A1022" s="25" t="s">
        <v>3249</v>
      </c>
      <c r="B1022" s="28" t="str">
        <f t="array" ref="B1022">_xlfn.XLOOKUP($A1022, 'Customer Names'!$A:$A, 'Customer Names'!B:B, "No Data")</f>
        <v>Kallay</v>
      </c>
      <c r="C1022" s="28">
        <f t="array" ref="C1022">_xlfn.XLOOKUP($A1022, 'Medical Examinations'!$A:$A, 'Medical Examinations'!B:B, "No Data")</f>
        <v>49.45</v>
      </c>
      <c r="D1022" s="28">
        <f t="array" ref="D1022">_xlfn.XLOOKUP($A1022, 'Medical Examinations'!$A:$A, 'Medical Examinations'!C:C, "No Data")</f>
        <v>4.2</v>
      </c>
      <c r="E1022" s="28" t="str">
        <f t="array" ref="E1022">_xlfn.XLOOKUP($A1022, 'Medical Examinations'!$A:$A, 'Medical Examinations'!D:D, "No Data")</f>
        <v>yes</v>
      </c>
      <c r="F1022" s="28" t="str">
        <f t="array" ref="F1022">_xlfn.XLOOKUP($A1022, 'Medical Examinations'!$A:$A, 'Medical Examinations'!E:E, "No Data")</f>
        <v>No</v>
      </c>
      <c r="G1022" s="28" t="str">
        <f t="array" ref="G1022">_xlfn.XLOOKUP($A1022, 'Medical Examinations'!$A:$A, 'Medical Examinations'!F:F, "No Data")</f>
        <v>No</v>
      </c>
      <c r="H1022" s="28">
        <f t="array" ref="H1022">_xlfn.XLOOKUP($A1022, 'Medical Examinations'!$A:$A, 'Medical Examinations'!G:G, "No Data")</f>
        <v>0</v>
      </c>
      <c r="I1022" s="28" t="str">
        <f t="array" ref="I1022">_xlfn.XLOOKUP($A1022, 'Medical Examinations'!$A:$A, 'Medical Examinations'!H:H, "No Data")</f>
        <v>No</v>
      </c>
      <c r="J1022" s="28" t="str">
        <f t="array" ref="J1022">_xlfn.XLOOKUP($A1022, 'Medical Examinations'!$A:$A, 'Medical Examinations'!I:I, "No Data")</f>
        <v>Obesity</v>
      </c>
      <c r="K1022" s="28" t="str">
        <f t="array" ref="K1022">_xlfn.XLOOKUP($A1022, 'Hospitalisation Details'!$A:$A, 'Hospitalisation Details'!I:I, "No Data")</f>
        <v>tier - 3</v>
      </c>
      <c r="L1022" s="28" t="str">
        <f t="array" ref="L1022">_xlfn.XLOOKUP($A1022, 'Hospitalisation Details'!$A:$A, 'Hospitalisation Details'!J:J, "No Data")</f>
        <v>R1012</v>
      </c>
      <c r="M1022" s="28" t="str">
        <f t="array" ref="M1022">_xlfn.XLOOKUP($A1022, 'Hospitalisation Details'!$A:$A, 'Hospitalisation Details'!E:E, "No Data")</f>
        <v>21/07/96</v>
      </c>
      <c r="N1022" s="28">
        <f t="array" ref="N1022">_xlfn.XLOOKUP($A1022, 'Hospitalisation Details'!$A:$A, 'Hospitalisation Details'!K:K, "No Data")</f>
        <v>26</v>
      </c>
      <c r="O1022" s="33">
        <f t="array" ref="O1022">_xlfn.XLOOKUP($A1022, 'Hospitalisation Details'!$A:$A, 'Hospitalisation Details'!G:G, "No Data")</f>
        <v>11028.56</v>
      </c>
      <c r="P1022" s="28" t="str">
        <f t="array" ref="P1022">_xlfn.XLOOKUP($A1022, 'Hospitalisation Details'!$A:$A, 'Hospitalisation Details'!H:H, "No Data")</f>
        <v>tier - 3</v>
      </c>
    </row>
    <row r="1023">
      <c r="A1023" s="25" t="s">
        <v>3253</v>
      </c>
      <c r="B1023" s="28" t="str">
        <f t="array" ref="B1023">_xlfn.XLOOKUP($A1023, 'Customer Names'!$A:$A, 'Customer Names'!B:B, "No Data")</f>
        <v>Leguizamo</v>
      </c>
      <c r="C1023" s="28">
        <f t="array" ref="C1023">_xlfn.XLOOKUP($A1023, 'Medical Examinations'!$A:$A, 'Medical Examinations'!B:B, "No Data")</f>
        <v>41.04</v>
      </c>
      <c r="D1023" s="28">
        <f t="array" ref="D1023">_xlfn.XLOOKUP($A1023, 'Medical Examinations'!$A:$A, 'Medical Examinations'!C:C, "No Data")</f>
        <v>5.59</v>
      </c>
      <c r="E1023" s="28" t="str">
        <f t="array" ref="E1023">_xlfn.XLOOKUP($A1023, 'Medical Examinations'!$A:$A, 'Medical Examinations'!D:D, "No Data")</f>
        <v>No</v>
      </c>
      <c r="F1023" s="28" t="str">
        <f t="array" ref="F1023">_xlfn.XLOOKUP($A1023, 'Medical Examinations'!$A:$A, 'Medical Examinations'!E:E, "No Data")</f>
        <v>No</v>
      </c>
      <c r="G1023" s="28" t="str">
        <f t="array" ref="G1023">_xlfn.XLOOKUP($A1023, 'Medical Examinations'!$A:$A, 'Medical Examinations'!F:F, "No Data")</f>
        <v>No</v>
      </c>
      <c r="H1023" s="28">
        <f t="array" ref="H1023">_xlfn.XLOOKUP($A1023, 'Medical Examinations'!$A:$A, 'Medical Examinations'!G:G, "No Data")</f>
        <v>0</v>
      </c>
      <c r="I1023" s="28" t="str">
        <f t="array" ref="I1023">_xlfn.XLOOKUP($A1023, 'Medical Examinations'!$A:$A, 'Medical Examinations'!H:H, "No Data")</f>
        <v>No</v>
      </c>
      <c r="J1023" s="28" t="str">
        <f t="array" ref="J1023">_xlfn.XLOOKUP($A1023, 'Medical Examinations'!$A:$A, 'Medical Examinations'!I:I, "No Data")</f>
        <v>Obesity</v>
      </c>
      <c r="K1023" s="28" t="str">
        <f t="array" ref="K1023">_xlfn.XLOOKUP($A1023, 'Hospitalisation Details'!$A:$A, 'Hospitalisation Details'!I:I, "No Data")</f>
        <v>tier - 2</v>
      </c>
      <c r="L1023" s="28" t="str">
        <f t="array" ref="L1023">_xlfn.XLOOKUP($A1023, 'Hospitalisation Details'!$A:$A, 'Hospitalisation Details'!J:J, "No Data")</f>
        <v>R1012</v>
      </c>
      <c r="M1023" s="28" t="str">
        <f t="array" ref="M1023">_xlfn.XLOOKUP($A1023, 'Hospitalisation Details'!$A:$A, 'Hospitalisation Details'!E:E, "No Data")</f>
        <v>26/06/91</v>
      </c>
      <c r="N1023" s="28">
        <f t="array" ref="N1023">_xlfn.XLOOKUP($A1023, 'Hospitalisation Details'!$A:$A, 'Hospitalisation Details'!K:K, "No Data")</f>
        <v>31</v>
      </c>
      <c r="O1023" s="33">
        <f t="array" ref="O1023">_xlfn.XLOOKUP($A1023, 'Hospitalisation Details'!$A:$A, 'Hospitalisation Details'!G:G, "No Data")</f>
        <v>11018.05</v>
      </c>
      <c r="P1023" s="28" t="str">
        <f t="array" ref="P1023">_xlfn.XLOOKUP($A1023, 'Hospitalisation Details'!$A:$A, 'Hospitalisation Details'!H:H, "No Data")</f>
        <v>tier - 3</v>
      </c>
    </row>
    <row r="1024">
      <c r="A1024" s="25" t="s">
        <v>3256</v>
      </c>
      <c r="B1024" s="28" t="str">
        <f t="array" ref="B1024">_xlfn.XLOOKUP($A1024, 'Customer Names'!$A:$A, 'Customer Names'!B:B, "No Data")</f>
        <v>Escartin</v>
      </c>
      <c r="C1024" s="28">
        <f t="array" ref="C1024">_xlfn.XLOOKUP($A1024, 'Medical Examinations'!$A:$A, 'Medical Examinations'!B:B, "No Data")</f>
        <v>27.93</v>
      </c>
      <c r="D1024" s="28">
        <f t="array" ref="D1024">_xlfn.XLOOKUP($A1024, 'Medical Examinations'!$A:$A, 'Medical Examinations'!C:C, "No Data")</f>
        <v>9.96</v>
      </c>
      <c r="E1024" s="28" t="str">
        <f t="array" ref="E1024">_xlfn.XLOOKUP($A1024, 'Medical Examinations'!$A:$A, 'Medical Examinations'!D:D, "No Data")</f>
        <v>No</v>
      </c>
      <c r="F1024" s="28" t="str">
        <f t="array" ref="F1024">_xlfn.XLOOKUP($A1024, 'Medical Examinations'!$A:$A, 'Medical Examinations'!E:E, "No Data")</f>
        <v>No</v>
      </c>
      <c r="G1024" s="28" t="str">
        <f t="array" ref="G1024">_xlfn.XLOOKUP($A1024, 'Medical Examinations'!$A:$A, 'Medical Examinations'!F:F, "No Data")</f>
        <v>No</v>
      </c>
      <c r="H1024" s="28">
        <f t="array" ref="H1024">_xlfn.XLOOKUP($A1024, 'Medical Examinations'!$A:$A, 'Medical Examinations'!G:G, "No Data")</f>
        <v>0</v>
      </c>
      <c r="I1024" s="28" t="str">
        <f t="array" ref="I1024">_xlfn.XLOOKUP($A1024, 'Medical Examinations'!$A:$A, 'Medical Examinations'!H:H, "No Data")</f>
        <v>No</v>
      </c>
      <c r="J1024" s="28" t="str">
        <f t="array" ref="J1024">_xlfn.XLOOKUP($A1024, 'Medical Examinations'!$A:$A, 'Medical Examinations'!I:I, "No Data")</f>
        <v>Overweight</v>
      </c>
      <c r="K1024" s="28" t="str">
        <f t="array" ref="K1024">_xlfn.XLOOKUP($A1024, 'Hospitalisation Details'!$A:$A, 'Hospitalisation Details'!I:I, "No Data")</f>
        <v>tier - 1</v>
      </c>
      <c r="L1024" s="28" t="str">
        <f t="array" ref="L1024">_xlfn.XLOOKUP($A1024, 'Hospitalisation Details'!$A:$A, 'Hospitalisation Details'!J:J, "No Data")</f>
        <v>R1012</v>
      </c>
      <c r="M1024" s="28" t="str">
        <f t="array" ref="M1024">_xlfn.XLOOKUP($A1024, 'Hospitalisation Details'!$A:$A, 'Hospitalisation Details'!E:E, "No Data")</f>
        <v>15/12/74</v>
      </c>
      <c r="N1024" s="28">
        <f t="array" ref="N1024">_xlfn.XLOOKUP($A1024, 'Hospitalisation Details'!$A:$A, 'Hospitalisation Details'!K:K, "No Data")</f>
        <v>48</v>
      </c>
      <c r="O1024" s="33">
        <f t="array" ref="O1024">_xlfn.XLOOKUP($A1024, 'Hospitalisation Details'!$A:$A, 'Hospitalisation Details'!G:G, "No Data")</f>
        <v>11015.17</v>
      </c>
      <c r="P1024" s="28" t="str">
        <f t="array" ref="P1024">_xlfn.XLOOKUP($A1024, 'Hospitalisation Details'!$A:$A, 'Hospitalisation Details'!H:H, "No Data")</f>
        <v>tier - 3</v>
      </c>
    </row>
    <row r="1025">
      <c r="A1025" s="25" t="s">
        <v>3260</v>
      </c>
      <c r="B1025" s="28" t="str">
        <f t="array" ref="B1025">_xlfn.XLOOKUP($A1025, 'Customer Names'!$A:$A, 'Customer Names'!B:B, "No Data")</f>
        <v>Chorey</v>
      </c>
      <c r="C1025" s="28">
        <f t="array" ref="C1025">_xlfn.XLOOKUP($A1025, 'Medical Examinations'!$A:$A, 'Medical Examinations'!B:B, "No Data")</f>
        <v>21.01</v>
      </c>
      <c r="D1025" s="28">
        <f t="array" ref="D1025">_xlfn.XLOOKUP($A1025, 'Medical Examinations'!$A:$A, 'Medical Examinations'!C:C, "No Data")</f>
        <v>7.37</v>
      </c>
      <c r="E1025" s="28" t="str">
        <f t="array" ref="E1025">_xlfn.XLOOKUP($A1025, 'Medical Examinations'!$A:$A, 'Medical Examinations'!D:D, "No Data")</f>
        <v>No</v>
      </c>
      <c r="F1025" s="28" t="str">
        <f t="array" ref="F1025">_xlfn.XLOOKUP($A1025, 'Medical Examinations'!$A:$A, 'Medical Examinations'!E:E, "No Data")</f>
        <v>No</v>
      </c>
      <c r="G1025" s="28" t="str">
        <f t="array" ref="G1025">_xlfn.XLOOKUP($A1025, 'Medical Examinations'!$A:$A, 'Medical Examinations'!F:F, "No Data")</f>
        <v>No</v>
      </c>
      <c r="H1025" s="28">
        <f t="array" ref="H1025">_xlfn.XLOOKUP($A1025, 'Medical Examinations'!$A:$A, 'Medical Examinations'!G:G, "No Data")</f>
        <v>0</v>
      </c>
      <c r="I1025" s="28" t="str">
        <f t="array" ref="I1025">_xlfn.XLOOKUP($A1025, 'Medical Examinations'!$A:$A, 'Medical Examinations'!H:H, "No Data")</f>
        <v>No</v>
      </c>
      <c r="J1025" s="28" t="str">
        <f t="array" ref="J1025">_xlfn.XLOOKUP($A1025, 'Medical Examinations'!$A:$A, 'Medical Examinations'!I:I, "No Data")</f>
        <v>Normal Weight</v>
      </c>
      <c r="K1025" s="28" t="str">
        <f t="array" ref="K1025">_xlfn.XLOOKUP($A1025, 'Hospitalisation Details'!$A:$A, 'Hospitalisation Details'!I:I, "No Data")</f>
        <v>tier - 1</v>
      </c>
      <c r="L1025" s="28" t="str">
        <f t="array" ref="L1025">_xlfn.XLOOKUP($A1025, 'Hospitalisation Details'!$A:$A, 'Hospitalisation Details'!J:J, "No Data")</f>
        <v>R1013</v>
      </c>
      <c r="M1025" s="28" t="str">
        <f t="array" ref="M1025">_xlfn.XLOOKUP($A1025, 'Hospitalisation Details'!$A:$A, 'Hospitalisation Details'!E:E, "No Data")</f>
        <v>24/10/68</v>
      </c>
      <c r="N1025" s="28">
        <f t="array" ref="N1025">_xlfn.XLOOKUP($A1025, 'Hospitalisation Details'!$A:$A, 'Hospitalisation Details'!K:K, "No Data")</f>
        <v>54</v>
      </c>
      <c r="O1025" s="33">
        <f t="array" ref="O1025">_xlfn.XLOOKUP($A1025, 'Hospitalisation Details'!$A:$A, 'Hospitalisation Details'!G:G, "No Data")</f>
        <v>11013.71</v>
      </c>
      <c r="P1025" s="28" t="str">
        <f t="array" ref="P1025">_xlfn.XLOOKUP($A1025, 'Hospitalisation Details'!$A:$A, 'Hospitalisation Details'!H:H, "No Data")</f>
        <v>tier - 3</v>
      </c>
    </row>
    <row r="1026">
      <c r="A1026" s="25" t="s">
        <v>3263</v>
      </c>
      <c r="B1026" s="28" t="str">
        <f t="array" ref="B1026">_xlfn.XLOOKUP($A1026, 'Customer Names'!$A:$A, 'Customer Names'!B:B, "No Data")</f>
        <v>McVay</v>
      </c>
      <c r="C1026" s="28">
        <f t="array" ref="C1026">_xlfn.XLOOKUP($A1026, 'Medical Examinations'!$A:$A, 'Medical Examinations'!B:B, "No Data")</f>
        <v>52.37</v>
      </c>
      <c r="D1026" s="28">
        <f t="array" ref="D1026">_xlfn.XLOOKUP($A1026, 'Medical Examinations'!$A:$A, 'Medical Examinations'!C:C, "No Data")</f>
        <v>5.06</v>
      </c>
      <c r="E1026" s="28" t="str">
        <f t="array" ref="E1026">_xlfn.XLOOKUP($A1026, 'Medical Examinations'!$A:$A, 'Medical Examinations'!D:D, "No Data")</f>
        <v>yes</v>
      </c>
      <c r="F1026" s="28" t="str">
        <f t="array" ref="F1026">_xlfn.XLOOKUP($A1026, 'Medical Examinations'!$A:$A, 'Medical Examinations'!E:E, "No Data")</f>
        <v>yes</v>
      </c>
      <c r="G1026" s="28" t="str">
        <f t="array" ref="G1026">_xlfn.XLOOKUP($A1026, 'Medical Examinations'!$A:$A, 'Medical Examinations'!F:F, "No Data")</f>
        <v>No</v>
      </c>
      <c r="H1026" s="28">
        <f t="array" ref="H1026">_xlfn.XLOOKUP($A1026, 'Medical Examinations'!$A:$A, 'Medical Examinations'!G:G, "No Data")</f>
        <v>2</v>
      </c>
      <c r="I1026" s="28" t="str">
        <f t="array" ref="I1026">_xlfn.XLOOKUP($A1026, 'Medical Examinations'!$A:$A, 'Medical Examinations'!H:H, "No Data")</f>
        <v>No</v>
      </c>
      <c r="J1026" s="28" t="str">
        <f t="array" ref="J1026">_xlfn.XLOOKUP($A1026, 'Medical Examinations'!$A:$A, 'Medical Examinations'!I:I, "No Data")</f>
        <v>Obesity</v>
      </c>
      <c r="K1026" s="28" t="str">
        <f t="array" ref="K1026">_xlfn.XLOOKUP($A1026, 'Hospitalisation Details'!$A:$A, 'Hospitalisation Details'!I:I, "No Data")</f>
        <v>tier - 3</v>
      </c>
      <c r="L1026" s="28" t="str">
        <f t="array" ref="L1026">_xlfn.XLOOKUP($A1026, 'Hospitalisation Details'!$A:$A, 'Hospitalisation Details'!J:J, "No Data")</f>
        <v>R1012</v>
      </c>
      <c r="M1026" s="28" t="str">
        <f t="array" ref="M1026">_xlfn.XLOOKUP($A1026, 'Hospitalisation Details'!$A:$A, 'Hospitalisation Details'!E:E, "No Data")</f>
        <v>17/09/00</v>
      </c>
      <c r="N1026" s="28">
        <f t="array" ref="N1026">_xlfn.XLOOKUP($A1026, 'Hospitalisation Details'!$A:$A, 'Hospitalisation Details'!K:K, "No Data")</f>
        <v>22</v>
      </c>
      <c r="O1026" s="33">
        <f t="array" ref="O1026">_xlfn.XLOOKUP($A1026, 'Hospitalisation Details'!$A:$A, 'Hospitalisation Details'!G:G, "No Data")</f>
        <v>10991.58</v>
      </c>
      <c r="P1026" s="28" t="str">
        <f t="array" ref="P1026">_xlfn.XLOOKUP($A1026, 'Hospitalisation Details'!$A:$A, 'Hospitalisation Details'!H:H, "No Data")</f>
        <v>tier - 3</v>
      </c>
    </row>
    <row r="1027">
      <c r="A1027" s="25" t="s">
        <v>3265</v>
      </c>
      <c r="B1027" s="28" t="str">
        <f t="array" ref="B1027">_xlfn.XLOOKUP($A1027, 'Customer Names'!$A:$A, 'Customer Names'!B:B, "No Data")</f>
        <v>Vinson</v>
      </c>
      <c r="C1027" s="28">
        <f t="array" ref="C1027">_xlfn.XLOOKUP($A1027, 'Medical Examinations'!$A:$A, 'Medical Examinations'!B:B, "No Data")</f>
        <v>40.37</v>
      </c>
      <c r="D1027" s="28">
        <f t="array" ref="D1027">_xlfn.XLOOKUP($A1027, 'Medical Examinations'!$A:$A, 'Medical Examinations'!C:C, "No Data")</f>
        <v>8.21</v>
      </c>
      <c r="E1027" s="28" t="str">
        <f t="array" ref="E1027">_xlfn.XLOOKUP($A1027, 'Medical Examinations'!$A:$A, 'Medical Examinations'!D:D, "No Data")</f>
        <v>No</v>
      </c>
      <c r="F1027" s="28" t="str">
        <f t="array" ref="F1027">_xlfn.XLOOKUP($A1027, 'Medical Examinations'!$A:$A, 'Medical Examinations'!E:E, "No Data")</f>
        <v>No</v>
      </c>
      <c r="G1027" s="28" t="str">
        <f t="array" ref="G1027">_xlfn.XLOOKUP($A1027, 'Medical Examinations'!$A:$A, 'Medical Examinations'!F:F, "No Data")</f>
        <v>No</v>
      </c>
      <c r="H1027" s="28">
        <f t="array" ref="H1027">_xlfn.XLOOKUP($A1027, 'Medical Examinations'!$A:$A, 'Medical Examinations'!G:G, "No Data")</f>
        <v>0</v>
      </c>
      <c r="I1027" s="28" t="str">
        <f t="array" ref="I1027">_xlfn.XLOOKUP($A1027, 'Medical Examinations'!$A:$A, 'Medical Examinations'!H:H, "No Data")</f>
        <v>No</v>
      </c>
      <c r="J1027" s="28" t="str">
        <f t="array" ref="J1027">_xlfn.XLOOKUP($A1027, 'Medical Examinations'!$A:$A, 'Medical Examinations'!I:I, "No Data")</f>
        <v>Obesity</v>
      </c>
      <c r="K1027" s="28" t="str">
        <f t="array" ref="K1027">_xlfn.XLOOKUP($A1027, 'Hospitalisation Details'!$A:$A, 'Hospitalisation Details'!I:I, "No Data")</f>
        <v>tier - 3</v>
      </c>
      <c r="L1027" s="28" t="str">
        <f t="array" ref="L1027">_xlfn.XLOOKUP($A1027, 'Hospitalisation Details'!$A:$A, 'Hospitalisation Details'!J:J, "No Data")</f>
        <v>R1013</v>
      </c>
      <c r="M1027" s="28" t="str">
        <f t="array" ref="M1027">_xlfn.XLOOKUP($A1027, 'Hospitalisation Details'!$A:$A, 'Hospitalisation Details'!E:E, "No Data")</f>
        <v>18/12/65</v>
      </c>
      <c r="N1027" s="28">
        <f t="array" ref="N1027">_xlfn.XLOOKUP($A1027, 'Hospitalisation Details'!$A:$A, 'Hospitalisation Details'!K:K, "No Data")</f>
        <v>57</v>
      </c>
      <c r="O1027" s="33">
        <f t="array" ref="O1027">_xlfn.XLOOKUP($A1027, 'Hospitalisation Details'!$A:$A, 'Hospitalisation Details'!G:G, "No Data")</f>
        <v>10982.5</v>
      </c>
      <c r="P1027" s="28" t="str">
        <f t="array" ref="P1027">_xlfn.XLOOKUP($A1027, 'Hospitalisation Details'!$A:$A, 'Hospitalisation Details'!H:H, "No Data")</f>
        <v>tier - 3</v>
      </c>
    </row>
    <row r="1028">
      <c r="A1028" s="25" t="s">
        <v>3269</v>
      </c>
      <c r="B1028" s="28" t="str">
        <f t="array" ref="B1028">_xlfn.XLOOKUP($A1028, 'Customer Names'!$A:$A, 'Customer Names'!B:B, "No Data")</f>
        <v>Astrike-Davis</v>
      </c>
      <c r="C1028" s="28">
        <f t="array" ref="C1028">_xlfn.XLOOKUP($A1028, 'Medical Examinations'!$A:$A, 'Medical Examinations'!B:B, "No Data")</f>
        <v>41.47</v>
      </c>
      <c r="D1028" s="28">
        <f t="array" ref="D1028">_xlfn.XLOOKUP($A1028, 'Medical Examinations'!$A:$A, 'Medical Examinations'!C:C, "No Data")</f>
        <v>10.34</v>
      </c>
      <c r="E1028" s="28" t="str">
        <f t="array" ref="E1028">_xlfn.XLOOKUP($A1028, 'Medical Examinations'!$A:$A, 'Medical Examinations'!D:D, "No Data")</f>
        <v>No</v>
      </c>
      <c r="F1028" s="28" t="str">
        <f t="array" ref="F1028">_xlfn.XLOOKUP($A1028, 'Medical Examinations'!$A:$A, 'Medical Examinations'!E:E, "No Data")</f>
        <v>No</v>
      </c>
      <c r="G1028" s="28" t="str">
        <f t="array" ref="G1028">_xlfn.XLOOKUP($A1028, 'Medical Examinations'!$A:$A, 'Medical Examinations'!F:F, "No Data")</f>
        <v>No</v>
      </c>
      <c r="H1028" s="28">
        <f t="array" ref="H1028">_xlfn.XLOOKUP($A1028, 'Medical Examinations'!$A:$A, 'Medical Examinations'!G:G, "No Data")</f>
        <v>2</v>
      </c>
      <c r="I1028" s="28" t="str">
        <f t="array" ref="I1028">_xlfn.XLOOKUP($A1028, 'Medical Examinations'!$A:$A, 'Medical Examinations'!H:H, "No Data")</f>
        <v>No</v>
      </c>
      <c r="J1028" s="28" t="str">
        <f t="array" ref="J1028">_xlfn.XLOOKUP($A1028, 'Medical Examinations'!$A:$A, 'Medical Examinations'!I:I, "No Data")</f>
        <v>Obesity</v>
      </c>
      <c r="K1028" s="28" t="str">
        <f t="array" ref="K1028">_xlfn.XLOOKUP($A1028, 'Hospitalisation Details'!$A:$A, 'Hospitalisation Details'!I:I, "No Data")</f>
        <v>tier - 1</v>
      </c>
      <c r="L1028" s="28" t="str">
        <f t="array" ref="L1028">_xlfn.XLOOKUP($A1028, 'Hospitalisation Details'!$A:$A, 'Hospitalisation Details'!J:J, "No Data")</f>
        <v>R1013</v>
      </c>
      <c r="M1028" s="28" t="str">
        <f t="array" ref="M1028">_xlfn.XLOOKUP($A1028, 'Hospitalisation Details'!$A:$A, 'Hospitalisation Details'!E:E, "No Data")</f>
        <v>21/10/73</v>
      </c>
      <c r="N1028" s="28">
        <f t="array" ref="N1028">_xlfn.XLOOKUP($A1028, 'Hospitalisation Details'!$A:$A, 'Hospitalisation Details'!K:K, "No Data")</f>
        <v>49</v>
      </c>
      <c r="O1028" s="33">
        <f t="array" ref="O1028">_xlfn.XLOOKUP($A1028, 'Hospitalisation Details'!$A:$A, 'Hospitalisation Details'!G:G, "No Data")</f>
        <v>10977.21</v>
      </c>
      <c r="P1028" s="28" t="str">
        <f t="array" ref="P1028">_xlfn.XLOOKUP($A1028, 'Hospitalisation Details'!$A:$A, 'Hospitalisation Details'!H:H, "No Data")</f>
        <v>tier - 3</v>
      </c>
    </row>
    <row r="1029">
      <c r="A1029" s="25" t="s">
        <v>3272</v>
      </c>
      <c r="B1029" s="28" t="str">
        <f t="array" ref="B1029">_xlfn.XLOOKUP($A1029, 'Customer Names'!$A:$A, 'Customer Names'!B:B, "No Data")</f>
        <v>Harder</v>
      </c>
      <c r="C1029" s="28">
        <f t="array" ref="C1029">_xlfn.XLOOKUP($A1029, 'Medical Examinations'!$A:$A, 'Medical Examinations'!B:B, "No Data")</f>
        <v>33.725</v>
      </c>
      <c r="D1029" s="28">
        <f t="array" ref="D1029">_xlfn.XLOOKUP($A1029, 'Medical Examinations'!$A:$A, 'Medical Examinations'!C:C, "No Data")</f>
        <v>5.51</v>
      </c>
      <c r="E1029" s="28" t="str">
        <f t="array" ref="E1029">_xlfn.XLOOKUP($A1029, 'Medical Examinations'!$A:$A, 'Medical Examinations'!D:D, "No Data")</f>
        <v>yes</v>
      </c>
      <c r="F1029" s="28" t="str">
        <f t="array" ref="F1029">_xlfn.XLOOKUP($A1029, 'Medical Examinations'!$A:$A, 'Medical Examinations'!E:E, "No Data")</f>
        <v>No</v>
      </c>
      <c r="G1029" s="28" t="str">
        <f t="array" ref="G1029">_xlfn.XLOOKUP($A1029, 'Medical Examinations'!$A:$A, 'Medical Examinations'!F:F, "No Data")</f>
        <v>No</v>
      </c>
      <c r="H1029" s="28">
        <f t="array" ref="H1029">_xlfn.XLOOKUP($A1029, 'Medical Examinations'!$A:$A, 'Medical Examinations'!G:G, "No Data")</f>
        <v>2</v>
      </c>
      <c r="I1029" s="28" t="str">
        <f t="array" ref="I1029">_xlfn.XLOOKUP($A1029, 'Medical Examinations'!$A:$A, 'Medical Examinations'!H:H, "No Data")</f>
        <v>No</v>
      </c>
      <c r="J1029" s="28" t="str">
        <f t="array" ref="J1029">_xlfn.XLOOKUP($A1029, 'Medical Examinations'!$A:$A, 'Medical Examinations'!I:I, "No Data")</f>
        <v>Obesity</v>
      </c>
      <c r="K1029" s="28" t="str">
        <f t="array" ref="K1029">_xlfn.XLOOKUP($A1029, 'Hospitalisation Details'!$A:$A, 'Hospitalisation Details'!I:I, "No Data")</f>
        <v>tier - 2</v>
      </c>
      <c r="L1029" s="28" t="str">
        <f t="array" ref="L1029">_xlfn.XLOOKUP($A1029, 'Hospitalisation Details'!$A:$A, 'Hospitalisation Details'!J:J, "No Data")</f>
        <v>R1012</v>
      </c>
      <c r="M1029" s="28" t="str">
        <f t="array" ref="M1029">_xlfn.XLOOKUP($A1029, 'Hospitalisation Details'!$A:$A, 'Hospitalisation Details'!E:E, "No Data")</f>
        <v>09/07/66</v>
      </c>
      <c r="N1029" s="28">
        <f t="array" ref="N1029">_xlfn.XLOOKUP($A1029, 'Hospitalisation Details'!$A:$A, 'Hospitalisation Details'!K:K, "No Data")</f>
        <v>56</v>
      </c>
      <c r="O1029" s="33">
        <f t="array" ref="O1029">_xlfn.XLOOKUP($A1029, 'Hospitalisation Details'!$A:$A, 'Hospitalisation Details'!G:G, "No Data")</f>
        <v>10976.25</v>
      </c>
      <c r="P1029" s="28" t="str">
        <f t="array" ref="P1029">_xlfn.XLOOKUP($A1029, 'Hospitalisation Details'!$A:$A, 'Hospitalisation Details'!H:H, "No Data")</f>
        <v>tier - 3</v>
      </c>
    </row>
    <row r="1030">
      <c r="A1030" s="25" t="s">
        <v>3275</v>
      </c>
      <c r="B1030" s="28" t="str">
        <f t="array" ref="B1030">_xlfn.XLOOKUP($A1030, 'Customer Names'!$A:$A, 'Customer Names'!B:B, "No Data")</f>
        <v>Bell</v>
      </c>
      <c r="C1030" s="28">
        <f t="array" ref="C1030">_xlfn.XLOOKUP($A1030, 'Medical Examinations'!$A:$A, 'Medical Examinations'!B:B, "No Data")</f>
        <v>28.1</v>
      </c>
      <c r="D1030" s="28">
        <f t="array" ref="D1030">_xlfn.XLOOKUP($A1030, 'Medical Examinations'!$A:$A, 'Medical Examinations'!C:C, "No Data")</f>
        <v>11.2</v>
      </c>
      <c r="E1030" s="28" t="str">
        <f t="array" ref="E1030">_xlfn.XLOOKUP($A1030, 'Medical Examinations'!$A:$A, 'Medical Examinations'!D:D, "No Data")</f>
        <v>No</v>
      </c>
      <c r="F1030" s="28" t="str">
        <f t="array" ref="F1030">_xlfn.XLOOKUP($A1030, 'Medical Examinations'!$A:$A, 'Medical Examinations'!E:E, "No Data")</f>
        <v>No</v>
      </c>
      <c r="G1030" s="28" t="str">
        <f t="array" ref="G1030">_xlfn.XLOOKUP($A1030, 'Medical Examinations'!$A:$A, 'Medical Examinations'!F:F, "No Data")</f>
        <v>No</v>
      </c>
      <c r="H1030" s="28">
        <f t="array" ref="H1030">_xlfn.XLOOKUP($A1030, 'Medical Examinations'!$A:$A, 'Medical Examinations'!G:G, "No Data")</f>
        <v>0</v>
      </c>
      <c r="I1030" s="28" t="str">
        <f t="array" ref="I1030">_xlfn.XLOOKUP($A1030, 'Medical Examinations'!$A:$A, 'Medical Examinations'!H:H, "No Data")</f>
        <v>No</v>
      </c>
      <c r="J1030" s="28" t="str">
        <f t="array" ref="J1030">_xlfn.XLOOKUP($A1030, 'Medical Examinations'!$A:$A, 'Medical Examinations'!I:I, "No Data")</f>
        <v>Overweight</v>
      </c>
      <c r="K1030" s="28" t="str">
        <f t="array" ref="K1030">_xlfn.XLOOKUP($A1030, 'Hospitalisation Details'!$A:$A, 'Hospitalisation Details'!I:I, "No Data")</f>
        <v>tier - 2</v>
      </c>
      <c r="L1030" s="28" t="str">
        <f t="array" ref="L1030">_xlfn.XLOOKUP($A1030, 'Hospitalisation Details'!$A:$A, 'Hospitalisation Details'!J:J, "No Data")</f>
        <v>R1011</v>
      </c>
      <c r="M1030" s="28" t="str">
        <f t="array" ref="M1030">_xlfn.XLOOKUP($A1030, 'Hospitalisation Details'!$A:$A, 'Hospitalisation Details'!E:E, "No Data")</f>
        <v>19/06/65</v>
      </c>
      <c r="N1030" s="28">
        <f t="array" ref="N1030">_xlfn.XLOOKUP($A1030, 'Hospitalisation Details'!$A:$A, 'Hospitalisation Details'!K:K, "No Data")</f>
        <v>57</v>
      </c>
      <c r="O1030" s="33">
        <f t="array" ref="O1030">_xlfn.XLOOKUP($A1030, 'Hospitalisation Details'!$A:$A, 'Hospitalisation Details'!G:G, "No Data")</f>
        <v>10965.45</v>
      </c>
      <c r="P1030" s="28" t="str">
        <f t="array" ref="P1030">_xlfn.XLOOKUP($A1030, 'Hospitalisation Details'!$A:$A, 'Hospitalisation Details'!H:H, "No Data")</f>
        <v>tier - 3</v>
      </c>
    </row>
    <row r="1031">
      <c r="A1031" s="25" t="s">
        <v>3278</v>
      </c>
      <c r="B1031" s="28" t="str">
        <f t="array" ref="B1031">_xlfn.XLOOKUP($A1031, 'Customer Names'!$A:$A, 'Customer Names'!B:B, "No Data")</f>
        <v>Dawes</v>
      </c>
      <c r="C1031" s="28">
        <f t="array" ref="C1031">_xlfn.XLOOKUP($A1031, 'Medical Examinations'!$A:$A, 'Medical Examinations'!B:B, "No Data")</f>
        <v>37.43</v>
      </c>
      <c r="D1031" s="28">
        <f t="array" ref="D1031">_xlfn.XLOOKUP($A1031, 'Medical Examinations'!$A:$A, 'Medical Examinations'!C:C, "No Data")</f>
        <v>4.35</v>
      </c>
      <c r="E1031" s="28" t="str">
        <f t="array" ref="E1031">_xlfn.XLOOKUP($A1031, 'Medical Examinations'!$A:$A, 'Medical Examinations'!D:D, "No Data")</f>
        <v>yes</v>
      </c>
      <c r="F1031" s="28" t="str">
        <f t="array" ref="F1031">_xlfn.XLOOKUP($A1031, 'Medical Examinations'!$A:$A, 'Medical Examinations'!E:E, "No Data")</f>
        <v>No</v>
      </c>
      <c r="G1031" s="28" t="str">
        <f t="array" ref="G1031">_xlfn.XLOOKUP($A1031, 'Medical Examinations'!$A:$A, 'Medical Examinations'!F:F, "No Data")</f>
        <v>Yes</v>
      </c>
      <c r="H1031" s="28">
        <f t="array" ref="H1031">_xlfn.XLOOKUP($A1031, 'Medical Examinations'!$A:$A, 'Medical Examinations'!G:G, "No Data")</f>
        <v>1</v>
      </c>
      <c r="I1031" s="28" t="str">
        <f t="array" ref="I1031">_xlfn.XLOOKUP($A1031, 'Medical Examinations'!$A:$A, 'Medical Examinations'!H:H, "No Data")</f>
        <v>No</v>
      </c>
      <c r="J1031" s="28" t="str">
        <f t="array" ref="J1031">_xlfn.XLOOKUP($A1031, 'Medical Examinations'!$A:$A, 'Medical Examinations'!I:I, "No Data")</f>
        <v>Obesity</v>
      </c>
      <c r="K1031" s="28" t="str">
        <f t="array" ref="K1031">_xlfn.XLOOKUP($A1031, 'Hospitalisation Details'!$A:$A, 'Hospitalisation Details'!I:I, "No Data")</f>
        <v>tier - 3</v>
      </c>
      <c r="L1031" s="28" t="str">
        <f t="array" ref="L1031">_xlfn.XLOOKUP($A1031, 'Hospitalisation Details'!$A:$A, 'Hospitalisation Details'!J:J, "No Data")</f>
        <v>R1012</v>
      </c>
      <c r="M1031" s="28" t="str">
        <f t="array" ref="M1031">_xlfn.XLOOKUP($A1031, 'Hospitalisation Details'!$A:$A, 'Hospitalisation Details'!E:E, "No Data")</f>
        <v>14/08/69</v>
      </c>
      <c r="N1031" s="28">
        <f t="array" ref="N1031">_xlfn.XLOOKUP($A1031, 'Hospitalisation Details'!$A:$A, 'Hospitalisation Details'!K:K, "No Data")</f>
        <v>53</v>
      </c>
      <c r="O1031" s="33">
        <f t="array" ref="O1031">_xlfn.XLOOKUP($A1031, 'Hospitalisation Details'!$A:$A, 'Hospitalisation Details'!G:G, "No Data")</f>
        <v>10959.69</v>
      </c>
      <c r="P1031" s="28" t="str">
        <f t="array" ref="P1031">_xlfn.XLOOKUP($A1031, 'Hospitalisation Details'!$A:$A, 'Hospitalisation Details'!H:H, "No Data")</f>
        <v>tier - 3</v>
      </c>
    </row>
    <row r="1032">
      <c r="A1032" s="25" t="s">
        <v>3281</v>
      </c>
      <c r="B1032" s="28" t="str">
        <f t="array" ref="B1032">_xlfn.XLOOKUP($A1032, 'Customer Names'!$A:$A, 'Customer Names'!B:B, "No Data")</f>
        <v>Larios</v>
      </c>
      <c r="C1032" s="28">
        <f t="array" ref="C1032">_xlfn.XLOOKUP($A1032, 'Medical Examinations'!$A:$A, 'Medical Examinations'!B:B, "No Data")</f>
        <v>23.7</v>
      </c>
      <c r="D1032" s="28">
        <f t="array" ref="D1032">_xlfn.XLOOKUP($A1032, 'Medical Examinations'!$A:$A, 'Medical Examinations'!C:C, "No Data")</f>
        <v>10.45</v>
      </c>
      <c r="E1032" s="28" t="str">
        <f t="array" ref="E1032">_xlfn.XLOOKUP($A1032, 'Medical Examinations'!$A:$A, 'Medical Examinations'!D:D, "No Data")</f>
        <v>No</v>
      </c>
      <c r="F1032" s="28" t="str">
        <f t="array" ref="F1032">_xlfn.XLOOKUP($A1032, 'Medical Examinations'!$A:$A, 'Medical Examinations'!E:E, "No Data")</f>
        <v>No</v>
      </c>
      <c r="G1032" s="28" t="str">
        <f t="array" ref="G1032">_xlfn.XLOOKUP($A1032, 'Medical Examinations'!$A:$A, 'Medical Examinations'!F:F, "No Data")</f>
        <v>No</v>
      </c>
      <c r="H1032" s="28">
        <f t="array" ref="H1032">_xlfn.XLOOKUP($A1032, 'Medical Examinations'!$A:$A, 'Medical Examinations'!G:G, "No Data")</f>
        <v>0</v>
      </c>
      <c r="I1032" s="28" t="str">
        <f t="array" ref="I1032">_xlfn.XLOOKUP($A1032, 'Medical Examinations'!$A:$A, 'Medical Examinations'!H:H, "No Data")</f>
        <v>No</v>
      </c>
      <c r="J1032" s="28" t="str">
        <f t="array" ref="J1032">_xlfn.XLOOKUP($A1032, 'Medical Examinations'!$A:$A, 'Medical Examinations'!I:I, "No Data")</f>
        <v>Normal Weight</v>
      </c>
      <c r="K1032" s="28" t="str">
        <f t="array" ref="K1032">_xlfn.XLOOKUP($A1032, 'Hospitalisation Details'!$A:$A, 'Hospitalisation Details'!I:I, "No Data")</f>
        <v>tier - 3</v>
      </c>
      <c r="L1032" s="28" t="str">
        <f t="array" ref="L1032">_xlfn.XLOOKUP($A1032, 'Hospitalisation Details'!$A:$A, 'Hospitalisation Details'!J:J, "No Data")</f>
        <v>R1011</v>
      </c>
      <c r="M1032" s="28" t="str">
        <f t="array" ref="M1032">_xlfn.XLOOKUP($A1032, 'Hospitalisation Details'!$A:$A, 'Hospitalisation Details'!E:E, "No Data")</f>
        <v>04/12/65</v>
      </c>
      <c r="N1032" s="28">
        <f t="array" ref="N1032">_xlfn.XLOOKUP($A1032, 'Hospitalisation Details'!$A:$A, 'Hospitalisation Details'!K:K, "No Data")</f>
        <v>57</v>
      </c>
      <c r="O1032" s="33">
        <f t="array" ref="O1032">_xlfn.XLOOKUP($A1032, 'Hospitalisation Details'!$A:$A, 'Hospitalisation Details'!G:G, "No Data")</f>
        <v>10959.33</v>
      </c>
      <c r="P1032" s="28" t="str">
        <f t="array" ref="P1032">_xlfn.XLOOKUP($A1032, 'Hospitalisation Details'!$A:$A, 'Hospitalisation Details'!H:H, "No Data")</f>
        <v>tier - 3</v>
      </c>
    </row>
    <row r="1033">
      <c r="A1033" s="25" t="s">
        <v>3285</v>
      </c>
      <c r="B1033" s="28" t="str">
        <f t="array" ref="B1033">_xlfn.XLOOKUP($A1033, 'Customer Names'!$A:$A, 'Customer Names'!B:B, "No Data")</f>
        <v>Yaremczuk</v>
      </c>
      <c r="C1033" s="28">
        <f t="array" ref="C1033">_xlfn.XLOOKUP($A1033, 'Medical Examinations'!$A:$A, 'Medical Examinations'!B:B, "No Data")</f>
        <v>24.795</v>
      </c>
      <c r="D1033" s="28">
        <f t="array" ref="D1033">_xlfn.XLOOKUP($A1033, 'Medical Examinations'!$A:$A, 'Medical Examinations'!C:C, "No Data")</f>
        <v>4.07</v>
      </c>
      <c r="E1033" s="28" t="str">
        <f t="array" ref="E1033">_xlfn.XLOOKUP($A1033, 'Medical Examinations'!$A:$A, 'Medical Examinations'!D:D, "No Data")</f>
        <v>yes</v>
      </c>
      <c r="F1033" s="28" t="str">
        <f t="array" ref="F1033">_xlfn.XLOOKUP($A1033, 'Medical Examinations'!$A:$A, 'Medical Examinations'!E:E, "No Data")</f>
        <v>No</v>
      </c>
      <c r="G1033" s="28" t="str">
        <f t="array" ref="G1033">_xlfn.XLOOKUP($A1033, 'Medical Examinations'!$A:$A, 'Medical Examinations'!F:F, "No Data")</f>
        <v>Yes</v>
      </c>
      <c r="H1033" s="28">
        <f t="array" ref="H1033">_xlfn.XLOOKUP($A1033, 'Medical Examinations'!$A:$A, 'Medical Examinations'!G:G, "No Data")</f>
        <v>1</v>
      </c>
      <c r="I1033" s="28" t="str">
        <f t="array" ref="I1033">_xlfn.XLOOKUP($A1033, 'Medical Examinations'!$A:$A, 'Medical Examinations'!H:H, "No Data")</f>
        <v>No</v>
      </c>
      <c r="J1033" s="28" t="str">
        <f t="array" ref="J1033">_xlfn.XLOOKUP($A1033, 'Medical Examinations'!$A:$A, 'Medical Examinations'!I:I, "No Data")</f>
        <v>Normal Weight</v>
      </c>
      <c r="K1033" s="28" t="str">
        <f t="array" ref="K1033">_xlfn.XLOOKUP($A1033, 'Hospitalisation Details'!$A:$A, 'Hospitalisation Details'!I:I, "No Data")</f>
        <v>tier - 3</v>
      </c>
      <c r="L1033" s="28" t="str">
        <f t="array" ref="L1033">_xlfn.XLOOKUP($A1033, 'Hospitalisation Details'!$A:$A, 'Hospitalisation Details'!J:J, "No Data")</f>
        <v>R1012</v>
      </c>
      <c r="M1033" s="28" t="str">
        <f t="array" ref="M1033">_xlfn.XLOOKUP($A1033, 'Hospitalisation Details'!$A:$A, 'Hospitalisation Details'!E:E, "No Data")</f>
        <v>10/11/69</v>
      </c>
      <c r="N1033" s="28">
        <f t="array" ref="N1033">_xlfn.XLOOKUP($A1033, 'Hospitalisation Details'!$A:$A, 'Hospitalisation Details'!K:K, "No Data")</f>
        <v>53</v>
      </c>
      <c r="O1033" s="33">
        <f t="array" ref="O1033">_xlfn.XLOOKUP($A1033, 'Hospitalisation Details'!$A:$A, 'Hospitalisation Details'!G:G, "No Data")</f>
        <v>10942.13</v>
      </c>
      <c r="P1033" s="28" t="str">
        <f t="array" ref="P1033">_xlfn.XLOOKUP($A1033, 'Hospitalisation Details'!$A:$A, 'Hospitalisation Details'!H:H, "No Data")</f>
        <v>tier - 3</v>
      </c>
    </row>
    <row r="1034">
      <c r="A1034" s="25" t="s">
        <v>3288</v>
      </c>
      <c r="B1034" s="28" t="str">
        <f t="array" ref="B1034">_xlfn.XLOOKUP($A1034, 'Customer Names'!$A:$A, 'Customer Names'!B:B, "No Data")</f>
        <v>Knight</v>
      </c>
      <c r="C1034" s="28">
        <f t="array" ref="C1034">_xlfn.XLOOKUP($A1034, 'Medical Examinations'!$A:$A, 'Medical Examinations'!B:B, "No Data")</f>
        <v>31.9</v>
      </c>
      <c r="D1034" s="28">
        <f t="array" ref="D1034">_xlfn.XLOOKUP($A1034, 'Medical Examinations'!$A:$A, 'Medical Examinations'!C:C, "No Data")</f>
        <v>8.34</v>
      </c>
      <c r="E1034" s="28" t="str">
        <f t="array" ref="E1034">_xlfn.XLOOKUP($A1034, 'Medical Examinations'!$A:$A, 'Medical Examinations'!D:D, "No Data")</f>
        <v>No</v>
      </c>
      <c r="F1034" s="28" t="str">
        <f t="array" ref="F1034">_xlfn.XLOOKUP($A1034, 'Medical Examinations'!$A:$A, 'Medical Examinations'!E:E, "No Data")</f>
        <v>No</v>
      </c>
      <c r="G1034" s="28" t="str">
        <f t="array" ref="G1034">_xlfn.XLOOKUP($A1034, 'Medical Examinations'!$A:$A, 'Medical Examinations'!F:F, "No Data")</f>
        <v>No</v>
      </c>
      <c r="H1034" s="28">
        <f t="array" ref="H1034">_xlfn.XLOOKUP($A1034, 'Medical Examinations'!$A:$A, 'Medical Examinations'!G:G, "No Data")</f>
        <v>0</v>
      </c>
      <c r="I1034" s="28" t="str">
        <f t="array" ref="I1034">_xlfn.XLOOKUP($A1034, 'Medical Examinations'!$A:$A, 'Medical Examinations'!H:H, "No Data")</f>
        <v>No</v>
      </c>
      <c r="J1034" s="28" t="str">
        <f t="array" ref="J1034">_xlfn.XLOOKUP($A1034, 'Medical Examinations'!$A:$A, 'Medical Examinations'!I:I, "No Data")</f>
        <v>Obesity</v>
      </c>
      <c r="K1034" s="28" t="str">
        <f t="array" ref="K1034">_xlfn.XLOOKUP($A1034, 'Hospitalisation Details'!$A:$A, 'Hospitalisation Details'!I:I, "No Data")</f>
        <v>tier - 3</v>
      </c>
      <c r="L1034" s="28" t="str">
        <f t="array" ref="L1034">_xlfn.XLOOKUP($A1034, 'Hospitalisation Details'!$A:$A, 'Hospitalisation Details'!J:J, "No Data")</f>
        <v>R1013</v>
      </c>
      <c r="M1034" s="28" t="str">
        <f t="array" ref="M1034">_xlfn.XLOOKUP($A1034, 'Hospitalisation Details'!$A:$A, 'Hospitalisation Details'!E:E, "No Data")</f>
        <v>12/11/68</v>
      </c>
      <c r="N1034" s="28">
        <f t="array" ref="N1034">_xlfn.XLOOKUP($A1034, 'Hospitalisation Details'!$A:$A, 'Hospitalisation Details'!K:K, "No Data")</f>
        <v>54</v>
      </c>
      <c r="O1034" s="33">
        <f t="array" ref="O1034">_xlfn.XLOOKUP($A1034, 'Hospitalisation Details'!$A:$A, 'Hospitalisation Details'!G:G, "No Data")</f>
        <v>10928.85</v>
      </c>
      <c r="P1034" s="28" t="str">
        <f t="array" ref="P1034">_xlfn.XLOOKUP($A1034, 'Hospitalisation Details'!$A:$A, 'Hospitalisation Details'!H:H, "No Data")</f>
        <v>tier - 3</v>
      </c>
    </row>
    <row r="1035">
      <c r="A1035" s="25" t="s">
        <v>3291</v>
      </c>
      <c r="B1035" s="28" t="str">
        <f t="array" ref="B1035">_xlfn.XLOOKUP($A1035, 'Customer Names'!$A:$A, 'Customer Names'!B:B, "No Data")</f>
        <v>Eversman</v>
      </c>
      <c r="C1035" s="28">
        <f t="array" ref="C1035">_xlfn.XLOOKUP($A1035, 'Medical Examinations'!$A:$A, 'Medical Examinations'!B:B, "No Data")</f>
        <v>32.68</v>
      </c>
      <c r="D1035" s="28">
        <f t="array" ref="D1035">_xlfn.XLOOKUP($A1035, 'Medical Examinations'!$A:$A, 'Medical Examinations'!C:C, "No Data")</f>
        <v>7.41</v>
      </c>
      <c r="E1035" s="28" t="str">
        <f t="array" ref="E1035">_xlfn.XLOOKUP($A1035, 'Medical Examinations'!$A:$A, 'Medical Examinations'!D:D, "No Data")</f>
        <v>No</v>
      </c>
      <c r="F1035" s="28" t="str">
        <f t="array" ref="F1035">_xlfn.XLOOKUP($A1035, 'Medical Examinations'!$A:$A, 'Medical Examinations'!E:E, "No Data")</f>
        <v>No</v>
      </c>
      <c r="G1035" s="28" t="str">
        <f t="array" ref="G1035">_xlfn.XLOOKUP($A1035, 'Medical Examinations'!$A:$A, 'Medical Examinations'!F:F, "No Data")</f>
        <v>No</v>
      </c>
      <c r="H1035" s="28">
        <f t="array" ref="H1035">_xlfn.XLOOKUP($A1035, 'Medical Examinations'!$A:$A, 'Medical Examinations'!G:G, "No Data")</f>
        <v>0</v>
      </c>
      <c r="I1035" s="28" t="str">
        <f t="array" ref="I1035">_xlfn.XLOOKUP($A1035, 'Medical Examinations'!$A:$A, 'Medical Examinations'!H:H, "No Data")</f>
        <v>No</v>
      </c>
      <c r="J1035" s="28" t="str">
        <f t="array" ref="J1035">_xlfn.XLOOKUP($A1035, 'Medical Examinations'!$A:$A, 'Medical Examinations'!I:I, "No Data")</f>
        <v>Obesity</v>
      </c>
      <c r="K1035" s="28" t="str">
        <f t="array" ref="K1035">_xlfn.XLOOKUP($A1035, 'Hospitalisation Details'!$A:$A, 'Hospitalisation Details'!I:I, "No Data")</f>
        <v>tier - 1</v>
      </c>
      <c r="L1035" s="28" t="str">
        <f t="array" ref="L1035">_xlfn.XLOOKUP($A1035, 'Hospitalisation Details'!$A:$A, 'Hospitalisation Details'!J:J, "No Data")</f>
        <v>R1024</v>
      </c>
      <c r="M1035" s="28" t="str">
        <f t="array" ref="M1035">_xlfn.XLOOKUP($A1035, 'Hospitalisation Details'!$A:$A, 'Hospitalisation Details'!E:E, "No Data")</f>
        <v>13/11/68</v>
      </c>
      <c r="N1035" s="28">
        <f t="array" ref="N1035">_xlfn.XLOOKUP($A1035, 'Hospitalisation Details'!$A:$A, 'Hospitalisation Details'!K:K, "No Data")</f>
        <v>54</v>
      </c>
      <c r="O1035" s="33">
        <f t="array" ref="O1035">_xlfn.XLOOKUP($A1035, 'Hospitalisation Details'!$A:$A, 'Hospitalisation Details'!G:G, "No Data")</f>
        <v>10923.93</v>
      </c>
      <c r="P1035" s="28" t="str">
        <f t="array" ref="P1035">_xlfn.XLOOKUP($A1035, 'Hospitalisation Details'!$A:$A, 'Hospitalisation Details'!H:H, "No Data")</f>
        <v>tier - 3</v>
      </c>
    </row>
    <row r="1036">
      <c r="A1036" s="25" t="s">
        <v>3294</v>
      </c>
      <c r="B1036" s="28" t="str">
        <f t="array" ref="B1036">_xlfn.XLOOKUP($A1036, 'Customer Names'!$A:$A, 'Customer Names'!B:B, "No Data")</f>
        <v>Hickory</v>
      </c>
      <c r="C1036" s="28">
        <f t="array" ref="C1036">_xlfn.XLOOKUP($A1036, 'Medical Examinations'!$A:$A, 'Medical Examinations'!B:B, "No Data")</f>
        <v>47.13</v>
      </c>
      <c r="D1036" s="28">
        <f t="array" ref="D1036">_xlfn.XLOOKUP($A1036, 'Medical Examinations'!$A:$A, 'Medical Examinations'!C:C, "No Data")</f>
        <v>4.31</v>
      </c>
      <c r="E1036" s="28" t="str">
        <f t="array" ref="E1036">_xlfn.XLOOKUP($A1036, 'Medical Examinations'!$A:$A, 'Medical Examinations'!D:D, "No Data")</f>
        <v>No</v>
      </c>
      <c r="F1036" s="28" t="str">
        <f t="array" ref="F1036">_xlfn.XLOOKUP($A1036, 'Medical Examinations'!$A:$A, 'Medical Examinations'!E:E, "No Data")</f>
        <v>No</v>
      </c>
      <c r="G1036" s="28" t="str">
        <f t="array" ref="G1036">_xlfn.XLOOKUP($A1036, 'Medical Examinations'!$A:$A, 'Medical Examinations'!F:F, "No Data")</f>
        <v>No</v>
      </c>
      <c r="H1036" s="28">
        <f t="array" ref="H1036">_xlfn.XLOOKUP($A1036, 'Medical Examinations'!$A:$A, 'Medical Examinations'!G:G, "No Data")</f>
        <v>0</v>
      </c>
      <c r="I1036" s="28" t="str">
        <f t="array" ref="I1036">_xlfn.XLOOKUP($A1036, 'Medical Examinations'!$A:$A, 'Medical Examinations'!H:H, "No Data")</f>
        <v>No</v>
      </c>
      <c r="J1036" s="28" t="str">
        <f t="array" ref="J1036">_xlfn.XLOOKUP($A1036, 'Medical Examinations'!$A:$A, 'Medical Examinations'!I:I, "No Data")</f>
        <v>Obesity</v>
      </c>
      <c r="K1036" s="28" t="str">
        <f t="array" ref="K1036">_xlfn.XLOOKUP($A1036, 'Hospitalisation Details'!$A:$A, 'Hospitalisation Details'!I:I, "No Data")</f>
        <v>tier - 3</v>
      </c>
      <c r="L1036" s="28" t="str">
        <f t="array" ref="L1036">_xlfn.XLOOKUP($A1036, 'Hospitalisation Details'!$A:$A, 'Hospitalisation Details'!J:J, "No Data")</f>
        <v>R1012</v>
      </c>
      <c r="M1036" s="28" t="str">
        <f t="array" ref="M1036">_xlfn.XLOOKUP($A1036, 'Hospitalisation Details'!$A:$A, 'Hospitalisation Details'!E:E, "No Data")</f>
        <v>06/09/94</v>
      </c>
      <c r="N1036" s="28">
        <f t="array" ref="N1036">_xlfn.XLOOKUP($A1036, 'Hospitalisation Details'!$A:$A, 'Hospitalisation Details'!K:K, "No Data")</f>
        <v>28</v>
      </c>
      <c r="O1036" s="33">
        <f t="array" ref="O1036">_xlfn.XLOOKUP($A1036, 'Hospitalisation Details'!$A:$A, 'Hospitalisation Details'!G:G, "No Data")</f>
        <v>10886.66</v>
      </c>
      <c r="P1036" s="28" t="str">
        <f t="array" ref="P1036">_xlfn.XLOOKUP($A1036, 'Hospitalisation Details'!$A:$A, 'Hospitalisation Details'!H:H, "No Data")</f>
        <v>tier - 3</v>
      </c>
    </row>
    <row r="1037">
      <c r="A1037" s="25" t="s">
        <v>3297</v>
      </c>
      <c r="B1037" s="28" t="str">
        <f t="array" ref="B1037">_xlfn.XLOOKUP($A1037, 'Customer Names'!$A:$A, 'Customer Names'!B:B, "No Data")</f>
        <v>Mooney</v>
      </c>
      <c r="C1037" s="28">
        <f t="array" ref="C1037">_xlfn.XLOOKUP($A1037, 'Medical Examinations'!$A:$A, 'Medical Examinations'!B:B, "No Data")</f>
        <v>36.67</v>
      </c>
      <c r="D1037" s="28">
        <f t="array" ref="D1037">_xlfn.XLOOKUP($A1037, 'Medical Examinations'!$A:$A, 'Medical Examinations'!C:C, "No Data")</f>
        <v>10.83</v>
      </c>
      <c r="E1037" s="28" t="str">
        <f t="array" ref="E1037">_xlfn.XLOOKUP($A1037, 'Medical Examinations'!$A:$A, 'Medical Examinations'!D:D, "No Data")</f>
        <v>No</v>
      </c>
      <c r="F1037" s="28" t="str">
        <f t="array" ref="F1037">_xlfn.XLOOKUP($A1037, 'Medical Examinations'!$A:$A, 'Medical Examinations'!E:E, "No Data")</f>
        <v>No</v>
      </c>
      <c r="G1037" s="28" t="str">
        <f t="array" ref="G1037">_xlfn.XLOOKUP($A1037, 'Medical Examinations'!$A:$A, 'Medical Examinations'!F:F, "No Data")</f>
        <v>No</v>
      </c>
      <c r="H1037" s="28">
        <f t="array" ref="H1037">_xlfn.XLOOKUP($A1037, 'Medical Examinations'!$A:$A, 'Medical Examinations'!G:G, "No Data")</f>
        <v>0</v>
      </c>
      <c r="I1037" s="28" t="str">
        <f t="array" ref="I1037">_xlfn.XLOOKUP($A1037, 'Medical Examinations'!$A:$A, 'Medical Examinations'!H:H, "No Data")</f>
        <v>No</v>
      </c>
      <c r="J1037" s="28" t="str">
        <f t="array" ref="J1037">_xlfn.XLOOKUP($A1037, 'Medical Examinations'!$A:$A, 'Medical Examinations'!I:I, "No Data")</f>
        <v>Obesity</v>
      </c>
      <c r="K1037" s="28" t="str">
        <f t="array" ref="K1037">_xlfn.XLOOKUP($A1037, 'Hospitalisation Details'!$A:$A, 'Hospitalisation Details'!I:I, "No Data")</f>
        <v>tier - 3</v>
      </c>
      <c r="L1037" s="28" t="str">
        <f t="array" ref="L1037">_xlfn.XLOOKUP($A1037, 'Hospitalisation Details'!$A:$A, 'Hospitalisation Details'!J:J, "No Data")</f>
        <v>R1012</v>
      </c>
      <c r="M1037" s="28" t="str">
        <f t="array" ref="M1037">_xlfn.XLOOKUP($A1037, 'Hospitalisation Details'!$A:$A, 'Hospitalisation Details'!E:E, "No Data")</f>
        <v>20/12/71</v>
      </c>
      <c r="N1037" s="28">
        <f t="array" ref="N1037">_xlfn.XLOOKUP($A1037, 'Hospitalisation Details'!$A:$A, 'Hospitalisation Details'!K:K, "No Data")</f>
        <v>51</v>
      </c>
      <c r="O1037" s="33">
        <f t="array" ref="O1037">_xlfn.XLOOKUP($A1037, 'Hospitalisation Details'!$A:$A, 'Hospitalisation Details'!G:G, "No Data")</f>
        <v>10848.13</v>
      </c>
      <c r="P1037" s="28" t="str">
        <f t="array" ref="P1037">_xlfn.XLOOKUP($A1037, 'Hospitalisation Details'!$A:$A, 'Hospitalisation Details'!H:H, "No Data")</f>
        <v>tier - 3</v>
      </c>
    </row>
    <row r="1038">
      <c r="A1038" s="25" t="s">
        <v>3300</v>
      </c>
      <c r="B1038" s="28" t="str">
        <f t="array" ref="B1038">_xlfn.XLOOKUP($A1038, 'Customer Names'!$A:$A, 'Customer Names'!B:B, "No Data")</f>
        <v>Craighead</v>
      </c>
      <c r="C1038" s="28">
        <f t="array" ref="C1038">_xlfn.XLOOKUP($A1038, 'Medical Examinations'!$A:$A, 'Medical Examinations'!B:B, "No Data")</f>
        <v>33.63</v>
      </c>
      <c r="D1038" s="28">
        <f t="array" ref="D1038">_xlfn.XLOOKUP($A1038, 'Medical Examinations'!$A:$A, 'Medical Examinations'!C:C, "No Data")</f>
        <v>11.31</v>
      </c>
      <c r="E1038" s="28" t="str">
        <f t="array" ref="E1038">_xlfn.XLOOKUP($A1038, 'Medical Examinations'!$A:$A, 'Medical Examinations'!D:D, "No Data")</f>
        <v>No</v>
      </c>
      <c r="F1038" s="28" t="str">
        <f t="array" ref="F1038">_xlfn.XLOOKUP($A1038, 'Medical Examinations'!$A:$A, 'Medical Examinations'!E:E, "No Data")</f>
        <v>No</v>
      </c>
      <c r="G1038" s="28" t="str">
        <f t="array" ref="G1038">_xlfn.XLOOKUP($A1038, 'Medical Examinations'!$A:$A, 'Medical Examinations'!F:F, "No Data")</f>
        <v>No</v>
      </c>
      <c r="H1038" s="28">
        <f t="array" ref="H1038">_xlfn.XLOOKUP($A1038, 'Medical Examinations'!$A:$A, 'Medical Examinations'!G:G, "No Data")</f>
        <v>0</v>
      </c>
      <c r="I1038" s="28" t="str">
        <f t="array" ref="I1038">_xlfn.XLOOKUP($A1038, 'Medical Examinations'!$A:$A, 'Medical Examinations'!H:H, "No Data")</f>
        <v>No</v>
      </c>
      <c r="J1038" s="28" t="str">
        <f t="array" ref="J1038">_xlfn.XLOOKUP($A1038, 'Medical Examinations'!$A:$A, 'Medical Examinations'!I:I, "No Data")</f>
        <v>Obesity</v>
      </c>
      <c r="K1038" s="28" t="str">
        <f t="array" ref="K1038">_xlfn.XLOOKUP($A1038, 'Hospitalisation Details'!$A:$A, 'Hospitalisation Details'!I:I, "No Data")</f>
        <v>tier - 3</v>
      </c>
      <c r="L1038" s="28" t="str">
        <f t="array" ref="L1038">_xlfn.XLOOKUP($A1038, 'Hospitalisation Details'!$A:$A, 'Hospitalisation Details'!J:J, "No Data")</f>
        <v>R1012</v>
      </c>
      <c r="M1038" s="28" t="str">
        <f t="array" ref="M1038">_xlfn.XLOOKUP($A1038, 'Hospitalisation Details'!$A:$A, 'Hospitalisation Details'!E:E, "No Data")</f>
        <v>28/07/68</v>
      </c>
      <c r="N1038" s="28">
        <f t="array" ref="N1038">_xlfn.XLOOKUP($A1038, 'Hospitalisation Details'!$A:$A, 'Hospitalisation Details'!K:K, "No Data")</f>
        <v>54</v>
      </c>
      <c r="O1038" s="33">
        <f t="array" ref="O1038">_xlfn.XLOOKUP($A1038, 'Hospitalisation Details'!$A:$A, 'Hospitalisation Details'!G:G, "No Data")</f>
        <v>10825.25</v>
      </c>
      <c r="P1038" s="28" t="str">
        <f t="array" ref="P1038">_xlfn.XLOOKUP($A1038, 'Hospitalisation Details'!$A:$A, 'Hospitalisation Details'!H:H, "No Data")</f>
        <v>tier - 3</v>
      </c>
    </row>
    <row r="1039">
      <c r="A1039" s="25" t="s">
        <v>3302</v>
      </c>
      <c r="B1039" s="28" t="str">
        <f t="array" ref="B1039">_xlfn.XLOOKUP($A1039, 'Customer Names'!$A:$A, 'Customer Names'!B:B, "No Data")</f>
        <v>Gardner</v>
      </c>
      <c r="C1039" s="28">
        <f t="array" ref="C1039">_xlfn.XLOOKUP($A1039, 'Medical Examinations'!$A:$A, 'Medical Examinations'!B:B, "No Data")</f>
        <v>32.67</v>
      </c>
      <c r="D1039" s="28">
        <f t="array" ref="D1039">_xlfn.XLOOKUP($A1039, 'Medical Examinations'!$A:$A, 'Medical Examinations'!C:C, "No Data")</f>
        <v>11.81</v>
      </c>
      <c r="E1039" s="28" t="str">
        <f t="array" ref="E1039">_xlfn.XLOOKUP($A1039, 'Medical Examinations'!$A:$A, 'Medical Examinations'!D:D, "No Data")</f>
        <v>yes</v>
      </c>
      <c r="F1039" s="28" t="str">
        <f t="array" ref="F1039">_xlfn.XLOOKUP($A1039, 'Medical Examinations'!$A:$A, 'Medical Examinations'!E:E, "No Data")</f>
        <v>No</v>
      </c>
      <c r="G1039" s="28" t="str">
        <f t="array" ref="G1039">_xlfn.XLOOKUP($A1039, 'Medical Examinations'!$A:$A, 'Medical Examinations'!F:F, "No Data")</f>
        <v>No</v>
      </c>
      <c r="H1039" s="28">
        <f t="array" ref="H1039">_xlfn.XLOOKUP($A1039, 'Medical Examinations'!$A:$A, 'Medical Examinations'!G:G, "No Data")</f>
        <v>0</v>
      </c>
      <c r="I1039" s="28" t="str">
        <f t="array" ref="I1039">_xlfn.XLOOKUP($A1039, 'Medical Examinations'!$A:$A, 'Medical Examinations'!H:H, "No Data")</f>
        <v>No</v>
      </c>
      <c r="J1039" s="28" t="str">
        <f t="array" ref="J1039">_xlfn.XLOOKUP($A1039, 'Medical Examinations'!$A:$A, 'Medical Examinations'!I:I, "No Data")</f>
        <v>Obesity</v>
      </c>
      <c r="K1039" s="28" t="str">
        <f t="array" ref="K1039">_xlfn.XLOOKUP($A1039, 'Hospitalisation Details'!$A:$A, 'Hospitalisation Details'!I:I, "No Data")</f>
        <v>tier - 2</v>
      </c>
      <c r="L1039" s="28" t="str">
        <f t="array" ref="L1039">_xlfn.XLOOKUP($A1039, 'Hospitalisation Details'!$A:$A, 'Hospitalisation Details'!J:J, "No Data")</f>
        <v>R1013</v>
      </c>
      <c r="M1039" s="28" t="str">
        <f t="array" ref="M1039">_xlfn.XLOOKUP($A1039, 'Hospitalisation Details'!$A:$A, 'Hospitalisation Details'!E:E, "No Data")</f>
        <v>02/10/67</v>
      </c>
      <c r="N1039" s="28">
        <f t="array" ref="N1039">_xlfn.XLOOKUP($A1039, 'Hospitalisation Details'!$A:$A, 'Hospitalisation Details'!K:K, "No Data")</f>
        <v>55</v>
      </c>
      <c r="O1039" s="33">
        <f t="array" ref="O1039">_xlfn.XLOOKUP($A1039, 'Hospitalisation Details'!$A:$A, 'Hospitalisation Details'!G:G, "No Data")</f>
        <v>10807.49</v>
      </c>
      <c r="P1039" s="28" t="str">
        <f t="array" ref="P1039">_xlfn.XLOOKUP($A1039, 'Hospitalisation Details'!$A:$A, 'Hospitalisation Details'!H:H, "No Data")</f>
        <v>tier - 3</v>
      </c>
    </row>
    <row r="1040">
      <c r="A1040" s="25" t="s">
        <v>3306</v>
      </c>
      <c r="B1040" s="28" t="str">
        <f t="array" ref="B1040">_xlfn.XLOOKUP($A1040, 'Customer Names'!$A:$A, 'Customer Names'!B:B, "No Data")</f>
        <v>Lohrenz</v>
      </c>
      <c r="C1040" s="28">
        <f t="array" ref="C1040">_xlfn.XLOOKUP($A1040, 'Medical Examinations'!$A:$A, 'Medical Examinations'!B:B, "No Data")</f>
        <v>33.3</v>
      </c>
      <c r="D1040" s="28">
        <f t="array" ref="D1040">_xlfn.XLOOKUP($A1040, 'Medical Examinations'!$A:$A, 'Medical Examinations'!C:C, "No Data")</f>
        <v>8.26</v>
      </c>
      <c r="E1040" s="28" t="str">
        <f t="array" ref="E1040">_xlfn.XLOOKUP($A1040, 'Medical Examinations'!$A:$A, 'Medical Examinations'!D:D, "No Data")</f>
        <v>yes</v>
      </c>
      <c r="F1040" s="28" t="str">
        <f t="array" ref="F1040">_xlfn.XLOOKUP($A1040, 'Medical Examinations'!$A:$A, 'Medical Examinations'!E:E, "No Data")</f>
        <v>No</v>
      </c>
      <c r="G1040" s="28" t="str">
        <f t="array" ref="G1040">_xlfn.XLOOKUP($A1040, 'Medical Examinations'!$A:$A, 'Medical Examinations'!F:F, "No Data")</f>
        <v>No</v>
      </c>
      <c r="H1040" s="28">
        <f t="array" ref="H1040">_xlfn.XLOOKUP($A1040, 'Medical Examinations'!$A:$A, 'Medical Examinations'!G:G, "No Data")</f>
        <v>2</v>
      </c>
      <c r="I1040" s="28" t="str">
        <f t="array" ref="I1040">_xlfn.XLOOKUP($A1040, 'Medical Examinations'!$A:$A, 'Medical Examinations'!H:H, "No Data")</f>
        <v>No</v>
      </c>
      <c r="J1040" s="28" t="str">
        <f t="array" ref="J1040">_xlfn.XLOOKUP($A1040, 'Medical Examinations'!$A:$A, 'Medical Examinations'!I:I, "No Data")</f>
        <v>Obesity</v>
      </c>
      <c r="K1040" s="28" t="str">
        <f t="array" ref="K1040">_xlfn.XLOOKUP($A1040, 'Hospitalisation Details'!$A:$A, 'Hospitalisation Details'!I:I, "No Data")</f>
        <v>tier - 2</v>
      </c>
      <c r="L1040" s="28" t="str">
        <f t="array" ref="L1040">_xlfn.XLOOKUP($A1040, 'Hospitalisation Details'!$A:$A, 'Hospitalisation Details'!J:J, "No Data")</f>
        <v>R1011</v>
      </c>
      <c r="M1040" s="28" t="str">
        <f t="array" ref="M1040">_xlfn.XLOOKUP($A1040, 'Hospitalisation Details'!$A:$A, 'Hospitalisation Details'!E:E, "No Data")</f>
        <v>18/12/70</v>
      </c>
      <c r="N1040" s="28">
        <f t="array" ref="N1040">_xlfn.XLOOKUP($A1040, 'Hospitalisation Details'!$A:$A, 'Hospitalisation Details'!K:K, "No Data")</f>
        <v>52</v>
      </c>
      <c r="O1040" s="33">
        <f t="array" ref="O1040">_xlfn.XLOOKUP($A1040, 'Hospitalisation Details'!$A:$A, 'Hospitalisation Details'!G:G, "No Data")</f>
        <v>10806.84</v>
      </c>
      <c r="P1040" s="28" t="str">
        <f t="array" ref="P1040">_xlfn.XLOOKUP($A1040, 'Hospitalisation Details'!$A:$A, 'Hospitalisation Details'!H:H, "No Data")</f>
        <v>tier - 3</v>
      </c>
    </row>
    <row r="1041">
      <c r="A1041" s="25" t="s">
        <v>3310</v>
      </c>
      <c r="B1041" s="28" t="str">
        <f t="array" ref="B1041">_xlfn.XLOOKUP($A1041, 'Customer Names'!$A:$A, 'Customer Names'!B:B, "No Data")</f>
        <v>Demise</v>
      </c>
      <c r="C1041" s="28">
        <f t="array" ref="C1041">_xlfn.XLOOKUP($A1041, 'Medical Examinations'!$A:$A, 'Medical Examinations'!B:B, "No Data")</f>
        <v>30.78</v>
      </c>
      <c r="D1041" s="28">
        <f t="array" ref="D1041">_xlfn.XLOOKUP($A1041, 'Medical Examinations'!$A:$A, 'Medical Examinations'!C:C, "No Data")</f>
        <v>10.74</v>
      </c>
      <c r="E1041" s="28" t="str">
        <f t="array" ref="E1041">_xlfn.XLOOKUP($A1041, 'Medical Examinations'!$A:$A, 'Medical Examinations'!D:D, "No Data")</f>
        <v>yes</v>
      </c>
      <c r="F1041" s="28" t="str">
        <f t="array" ref="F1041">_xlfn.XLOOKUP($A1041, 'Medical Examinations'!$A:$A, 'Medical Examinations'!E:E, "No Data")</f>
        <v>No</v>
      </c>
      <c r="G1041" s="28" t="str">
        <f t="array" ref="G1041">_xlfn.XLOOKUP($A1041, 'Medical Examinations'!$A:$A, 'Medical Examinations'!F:F, "No Data")</f>
        <v>No</v>
      </c>
      <c r="H1041" s="28">
        <f t="array" ref="H1041">_xlfn.XLOOKUP($A1041, 'Medical Examinations'!$A:$A, 'Medical Examinations'!G:G, "No Data")</f>
        <v>2</v>
      </c>
      <c r="I1041" s="28" t="str">
        <f t="array" ref="I1041">_xlfn.XLOOKUP($A1041, 'Medical Examinations'!$A:$A, 'Medical Examinations'!H:H, "No Data")</f>
        <v>No</v>
      </c>
      <c r="J1041" s="28" t="str">
        <f t="array" ref="J1041">_xlfn.XLOOKUP($A1041, 'Medical Examinations'!$A:$A, 'Medical Examinations'!I:I, "No Data")</f>
        <v>Obesity</v>
      </c>
      <c r="K1041" s="28" t="str">
        <f t="array" ref="K1041">_xlfn.XLOOKUP($A1041, 'Hospitalisation Details'!$A:$A, 'Hospitalisation Details'!I:I, "No Data")</f>
        <v>tier - 2</v>
      </c>
      <c r="L1041" s="28" t="str">
        <f t="array" ref="L1041">_xlfn.XLOOKUP($A1041, 'Hospitalisation Details'!$A:$A, 'Hospitalisation Details'!J:J, "No Data")</f>
        <v>R1023</v>
      </c>
      <c r="M1041" s="28" t="str">
        <f t="array" ref="M1041">_xlfn.XLOOKUP($A1041, 'Hospitalisation Details'!$A:$A, 'Hospitalisation Details'!E:E, "No Data")</f>
        <v>28/10/70</v>
      </c>
      <c r="N1041" s="28">
        <f t="array" ref="N1041">_xlfn.XLOOKUP($A1041, 'Hospitalisation Details'!$A:$A, 'Hospitalisation Details'!K:K, "No Data")</f>
        <v>52</v>
      </c>
      <c r="O1041" s="33">
        <f t="array" ref="O1041">_xlfn.XLOOKUP($A1041, 'Hospitalisation Details'!$A:$A, 'Hospitalisation Details'!G:G, "No Data")</f>
        <v>10797.34</v>
      </c>
      <c r="P1041" s="28" t="str">
        <f t="array" ref="P1041">_xlfn.XLOOKUP($A1041, 'Hospitalisation Details'!$A:$A, 'Hospitalisation Details'!H:H, "No Data")</f>
        <v>tier - 3</v>
      </c>
    </row>
    <row r="1042">
      <c r="A1042" s="25" t="s">
        <v>3313</v>
      </c>
      <c r="B1042" s="28" t="str">
        <f t="array" ref="B1042">_xlfn.XLOOKUP($A1042, 'Customer Names'!$A:$A, 'Customer Names'!B:B, "No Data")</f>
        <v>Nelson</v>
      </c>
      <c r="C1042" s="28">
        <f t="array" ref="C1042">_xlfn.XLOOKUP($A1042, 'Medical Examinations'!$A:$A, 'Medical Examinations'!B:B, "No Data")</f>
        <v>28.975</v>
      </c>
      <c r="D1042" s="28">
        <f t="array" ref="D1042">_xlfn.XLOOKUP($A1042, 'Medical Examinations'!$A:$A, 'Medical Examinations'!C:C, "No Data")</f>
        <v>7.69</v>
      </c>
      <c r="E1042" s="28" t="str">
        <f t="array" ref="E1042">_xlfn.XLOOKUP($A1042, 'Medical Examinations'!$A:$A, 'Medical Examinations'!D:D, "No Data")</f>
        <v>yes</v>
      </c>
      <c r="F1042" s="28" t="str">
        <f t="array" ref="F1042">_xlfn.XLOOKUP($A1042, 'Medical Examinations'!$A:$A, 'Medical Examinations'!E:E, "No Data")</f>
        <v>No</v>
      </c>
      <c r="G1042" s="28" t="str">
        <f t="array" ref="G1042">_xlfn.XLOOKUP($A1042, 'Medical Examinations'!$A:$A, 'Medical Examinations'!F:F, "No Data")</f>
        <v>No</v>
      </c>
      <c r="H1042" s="28">
        <f t="array" ref="H1042">_xlfn.XLOOKUP($A1042, 'Medical Examinations'!$A:$A, 'Medical Examinations'!G:G, "No Data")</f>
        <v>0</v>
      </c>
      <c r="I1042" s="28" t="str">
        <f t="array" ref="I1042">_xlfn.XLOOKUP($A1042, 'Medical Examinations'!$A:$A, 'Medical Examinations'!H:H, "No Data")</f>
        <v>No</v>
      </c>
      <c r="J1042" s="28" t="str">
        <f t="array" ref="J1042">_xlfn.XLOOKUP($A1042, 'Medical Examinations'!$A:$A, 'Medical Examinations'!I:I, "No Data")</f>
        <v>Overweight</v>
      </c>
      <c r="K1042" s="28" t="str">
        <f t="array" ref="K1042">_xlfn.XLOOKUP($A1042, 'Hospitalisation Details'!$A:$A, 'Hospitalisation Details'!I:I, "No Data")</f>
        <v>tier - 1</v>
      </c>
      <c r="L1042" s="28" t="str">
        <f t="array" ref="L1042">_xlfn.XLOOKUP($A1042, 'Hospitalisation Details'!$A:$A, 'Hospitalisation Details'!J:J, "No Data")</f>
        <v>R1019</v>
      </c>
      <c r="M1042" s="28" t="str">
        <f t="array" ref="M1042">_xlfn.XLOOKUP($A1042, 'Hospitalisation Details'!$A:$A, 'Hospitalisation Details'!E:E, "No Data")</f>
        <v>23/10/67</v>
      </c>
      <c r="N1042" s="28">
        <f t="array" ref="N1042">_xlfn.XLOOKUP($A1042, 'Hospitalisation Details'!$A:$A, 'Hospitalisation Details'!K:K, "No Data")</f>
        <v>55</v>
      </c>
      <c r="O1042" s="33">
        <f t="array" ref="O1042">_xlfn.XLOOKUP($A1042, 'Hospitalisation Details'!$A:$A, 'Hospitalisation Details'!G:G, "No Data")</f>
        <v>10796.35</v>
      </c>
      <c r="P1042" s="28" t="str">
        <f t="array" ref="P1042">_xlfn.XLOOKUP($A1042, 'Hospitalisation Details'!$A:$A, 'Hospitalisation Details'!H:H, "No Data")</f>
        <v>tier - 3</v>
      </c>
    </row>
    <row r="1043">
      <c r="A1043" s="25" t="s">
        <v>3315</v>
      </c>
      <c r="B1043" s="28" t="str">
        <f t="array" ref="B1043">_xlfn.XLOOKUP($A1043, 'Customer Names'!$A:$A, 'Customer Names'!B:B, "No Data")</f>
        <v>Guitard</v>
      </c>
      <c r="C1043" s="28">
        <f t="array" ref="C1043">_xlfn.XLOOKUP($A1043, 'Medical Examinations'!$A:$A, 'Medical Examinations'!B:B, "No Data")</f>
        <v>33.4</v>
      </c>
      <c r="D1043" s="28">
        <f t="array" ref="D1043">_xlfn.XLOOKUP($A1043, 'Medical Examinations'!$A:$A, 'Medical Examinations'!C:C, "No Data")</f>
        <v>4.84</v>
      </c>
      <c r="E1043" s="28" t="str">
        <f t="array" ref="E1043">_xlfn.XLOOKUP($A1043, 'Medical Examinations'!$A:$A, 'Medical Examinations'!D:D, "No Data")</f>
        <v>No</v>
      </c>
      <c r="F1043" s="28" t="str">
        <f t="array" ref="F1043">_xlfn.XLOOKUP($A1043, 'Medical Examinations'!$A:$A, 'Medical Examinations'!E:E, "No Data")</f>
        <v>No</v>
      </c>
      <c r="G1043" s="28" t="str">
        <f t="array" ref="G1043">_xlfn.XLOOKUP($A1043, 'Medical Examinations'!$A:$A, 'Medical Examinations'!F:F, "No Data")</f>
        <v>No</v>
      </c>
      <c r="H1043" s="28">
        <f t="array" ref="H1043">_xlfn.XLOOKUP($A1043, 'Medical Examinations'!$A:$A, 'Medical Examinations'!G:G, "No Data")</f>
        <v>0</v>
      </c>
      <c r="I1043" s="28" t="str">
        <f t="array" ref="I1043">_xlfn.XLOOKUP($A1043, 'Medical Examinations'!$A:$A, 'Medical Examinations'!H:H, "No Data")</f>
        <v>No</v>
      </c>
      <c r="J1043" s="28" t="str">
        <f t="array" ref="J1043">_xlfn.XLOOKUP($A1043, 'Medical Examinations'!$A:$A, 'Medical Examinations'!I:I, "No Data")</f>
        <v>Obesity</v>
      </c>
      <c r="K1043" s="28" t="str">
        <f t="array" ref="K1043">_xlfn.XLOOKUP($A1043, 'Hospitalisation Details'!$A:$A, 'Hospitalisation Details'!I:I, "No Data")</f>
        <v>tier - 1</v>
      </c>
      <c r="L1043" s="28" t="str">
        <f t="array" ref="L1043">_xlfn.XLOOKUP($A1043, 'Hospitalisation Details'!$A:$A, 'Hospitalisation Details'!J:J, "No Data")</f>
        <v>R1011</v>
      </c>
      <c r="M1043" s="28" t="str">
        <f t="array" ref="M1043">_xlfn.XLOOKUP($A1043, 'Hospitalisation Details'!$A:$A, 'Hospitalisation Details'!E:E, "No Data")</f>
        <v>24/12/99</v>
      </c>
      <c r="N1043" s="28">
        <f t="array" ref="N1043">_xlfn.XLOOKUP($A1043, 'Hospitalisation Details'!$A:$A, 'Hospitalisation Details'!K:K, "No Data")</f>
        <v>23</v>
      </c>
      <c r="O1043" s="33">
        <f t="array" ref="O1043">_xlfn.XLOOKUP($A1043, 'Hospitalisation Details'!$A:$A, 'Hospitalisation Details'!G:G, "No Data")</f>
        <v>10795.94</v>
      </c>
      <c r="P1043" s="28" t="str">
        <f t="array" ref="P1043">_xlfn.XLOOKUP($A1043, 'Hospitalisation Details'!$A:$A, 'Hospitalisation Details'!H:H, "No Data")</f>
        <v>tier - 3</v>
      </c>
    </row>
    <row r="1044">
      <c r="A1044" s="25" t="s">
        <v>3318</v>
      </c>
      <c r="B1044" s="28" t="str">
        <f t="array" ref="B1044">_xlfn.XLOOKUP($A1044, 'Customer Names'!$A:$A, 'Customer Names'!B:B, "No Data")</f>
        <v>Navas</v>
      </c>
      <c r="C1044" s="28">
        <f t="array" ref="C1044">_xlfn.XLOOKUP($A1044, 'Medical Examinations'!$A:$A, 'Medical Examinations'!B:B, "No Data")</f>
        <v>21.5</v>
      </c>
      <c r="D1044" s="28">
        <f t="array" ref="D1044">_xlfn.XLOOKUP($A1044, 'Medical Examinations'!$A:$A, 'Medical Examinations'!C:C, "No Data")</f>
        <v>9.77</v>
      </c>
      <c r="E1044" s="28" t="str">
        <f t="array" ref="E1044">_xlfn.XLOOKUP($A1044, 'Medical Examinations'!$A:$A, 'Medical Examinations'!D:D, "No Data")</f>
        <v>yes</v>
      </c>
      <c r="F1044" s="28" t="str">
        <f t="array" ref="F1044">_xlfn.XLOOKUP($A1044, 'Medical Examinations'!$A:$A, 'Medical Examinations'!E:E, "No Data")</f>
        <v>No</v>
      </c>
      <c r="G1044" s="28" t="str">
        <f t="array" ref="G1044">_xlfn.XLOOKUP($A1044, 'Medical Examinations'!$A:$A, 'Medical Examinations'!F:F, "No Data")</f>
        <v>No</v>
      </c>
      <c r="H1044" s="28">
        <f t="array" ref="H1044">_xlfn.XLOOKUP($A1044, 'Medical Examinations'!$A:$A, 'Medical Examinations'!G:G, "No Data")</f>
        <v>0</v>
      </c>
      <c r="I1044" s="28" t="str">
        <f t="array" ref="I1044">_xlfn.XLOOKUP($A1044, 'Medical Examinations'!$A:$A, 'Medical Examinations'!H:H, "No Data")</f>
        <v>No</v>
      </c>
      <c r="J1044" s="28" t="str">
        <f t="array" ref="J1044">_xlfn.XLOOKUP($A1044, 'Medical Examinations'!$A:$A, 'Medical Examinations'!I:I, "No Data")</f>
        <v>Normal Weight</v>
      </c>
      <c r="K1044" s="28" t="str">
        <f t="array" ref="K1044">_xlfn.XLOOKUP($A1044, 'Hospitalisation Details'!$A:$A, 'Hospitalisation Details'!I:I, "No Data")</f>
        <v>tier - 2</v>
      </c>
      <c r="L1044" s="28" t="str">
        <f t="array" ref="L1044">_xlfn.XLOOKUP($A1044, 'Hospitalisation Details'!$A:$A, 'Hospitalisation Details'!J:J, "No Data")</f>
        <v>R1011</v>
      </c>
      <c r="M1044" s="28" t="str">
        <f t="array" ref="M1044">_xlfn.XLOOKUP($A1044, 'Hospitalisation Details'!$A:$A, 'Hospitalisation Details'!E:E, "No Data")</f>
        <v>11/11/67</v>
      </c>
      <c r="N1044" s="28">
        <f t="array" ref="N1044">_xlfn.XLOOKUP($A1044, 'Hospitalisation Details'!$A:$A, 'Hospitalisation Details'!K:K, "No Data")</f>
        <v>55</v>
      </c>
      <c r="O1044" s="33">
        <f t="array" ref="O1044">_xlfn.XLOOKUP($A1044, 'Hospitalisation Details'!$A:$A, 'Hospitalisation Details'!G:G, "No Data")</f>
        <v>10791.96</v>
      </c>
      <c r="P1044" s="28" t="str">
        <f t="array" ref="P1044">_xlfn.XLOOKUP($A1044, 'Hospitalisation Details'!$A:$A, 'Hospitalisation Details'!H:H, "No Data")</f>
        <v>tier - 3</v>
      </c>
    </row>
    <row r="1045">
      <c r="A1045" s="25" t="s">
        <v>3322</v>
      </c>
      <c r="B1045" s="28" t="str">
        <f t="array" ref="B1045">_xlfn.XLOOKUP($A1045, 'Customer Names'!$A:$A, 'Customer Names'!B:B, "No Data")</f>
        <v>Ptucha</v>
      </c>
      <c r="C1045" s="28">
        <f t="array" ref="C1045">_xlfn.XLOOKUP($A1045, 'Medical Examinations'!$A:$A, 'Medical Examinations'!B:B, "No Data")</f>
        <v>38.14</v>
      </c>
      <c r="D1045" s="28">
        <f t="array" ref="D1045">_xlfn.XLOOKUP($A1045, 'Medical Examinations'!$A:$A, 'Medical Examinations'!C:C, "No Data")</f>
        <v>5.84</v>
      </c>
      <c r="E1045" s="28" t="str">
        <f t="array" ref="E1045">_xlfn.XLOOKUP($A1045, 'Medical Examinations'!$A:$A, 'Medical Examinations'!D:D, "No Data")</f>
        <v>No</v>
      </c>
      <c r="F1045" s="28" t="str">
        <f t="array" ref="F1045">_xlfn.XLOOKUP($A1045, 'Medical Examinations'!$A:$A, 'Medical Examinations'!E:E, "No Data")</f>
        <v>No</v>
      </c>
      <c r="G1045" s="28" t="str">
        <f t="array" ref="G1045">_xlfn.XLOOKUP($A1045, 'Medical Examinations'!$A:$A, 'Medical Examinations'!F:F, "No Data")</f>
        <v>No</v>
      </c>
      <c r="H1045" s="28">
        <f t="array" ref="H1045">_xlfn.XLOOKUP($A1045, 'Medical Examinations'!$A:$A, 'Medical Examinations'!G:G, "No Data")</f>
        <v>0</v>
      </c>
      <c r="I1045" s="28" t="str">
        <f t="array" ref="I1045">_xlfn.XLOOKUP($A1045, 'Medical Examinations'!$A:$A, 'Medical Examinations'!H:H, "No Data")</f>
        <v>No</v>
      </c>
      <c r="J1045" s="28" t="str">
        <f t="array" ref="J1045">_xlfn.XLOOKUP($A1045, 'Medical Examinations'!$A:$A, 'Medical Examinations'!I:I, "No Data")</f>
        <v>Obesity</v>
      </c>
      <c r="K1045" s="28" t="str">
        <f t="array" ref="K1045">_xlfn.XLOOKUP($A1045, 'Hospitalisation Details'!$A:$A, 'Hospitalisation Details'!I:I, "No Data")</f>
        <v>tier - 2</v>
      </c>
      <c r="L1045" s="28" t="str">
        <f t="array" ref="L1045">_xlfn.XLOOKUP($A1045, 'Hospitalisation Details'!$A:$A, 'Hospitalisation Details'!J:J, "No Data")</f>
        <v>R1022</v>
      </c>
      <c r="M1045" s="28" t="str">
        <f t="array" ref="M1045">_xlfn.XLOOKUP($A1045, 'Hospitalisation Details'!$A:$A, 'Hospitalisation Details'!E:E, "No Data")</f>
        <v>25/11/89</v>
      </c>
      <c r="N1045" s="28">
        <f t="array" ref="N1045">_xlfn.XLOOKUP($A1045, 'Hospitalisation Details'!$A:$A, 'Hospitalisation Details'!K:K, "No Data")</f>
        <v>33</v>
      </c>
      <c r="O1045" s="33">
        <f t="array" ref="O1045">_xlfn.XLOOKUP($A1045, 'Hospitalisation Details'!$A:$A, 'Hospitalisation Details'!G:G, "No Data")</f>
        <v>10769.75</v>
      </c>
      <c r="P1045" s="28" t="str">
        <f t="array" ref="P1045">_xlfn.XLOOKUP($A1045, 'Hospitalisation Details'!$A:$A, 'Hospitalisation Details'!H:H, "No Data")</f>
        <v>tier - 3</v>
      </c>
    </row>
    <row r="1046">
      <c r="A1046" s="25" t="s">
        <v>3326</v>
      </c>
      <c r="B1046" s="28" t="str">
        <f t="array" ref="B1046">_xlfn.XLOOKUP($A1046, 'Customer Names'!$A:$A, 'Customer Names'!B:B, "No Data")</f>
        <v>Kirouac</v>
      </c>
      <c r="C1046" s="28">
        <f t="array" ref="C1046">_xlfn.XLOOKUP($A1046, 'Medical Examinations'!$A:$A, 'Medical Examinations'!B:B, "No Data")</f>
        <v>35.42</v>
      </c>
      <c r="D1046" s="28">
        <f t="array" ref="D1046">_xlfn.XLOOKUP($A1046, 'Medical Examinations'!$A:$A, 'Medical Examinations'!C:C, "No Data")</f>
        <v>8.7</v>
      </c>
      <c r="E1046" s="28" t="str">
        <f t="array" ref="E1046">_xlfn.XLOOKUP($A1046, 'Medical Examinations'!$A:$A, 'Medical Examinations'!D:D, "No Data")</f>
        <v>yes</v>
      </c>
      <c r="F1046" s="28" t="str">
        <f t="array" ref="F1046">_xlfn.XLOOKUP($A1046, 'Medical Examinations'!$A:$A, 'Medical Examinations'!E:E, "No Data")</f>
        <v>No</v>
      </c>
      <c r="G1046" s="28" t="str">
        <f t="array" ref="G1046">_xlfn.XLOOKUP($A1046, 'Medical Examinations'!$A:$A, 'Medical Examinations'!F:F, "No Data")</f>
        <v>No</v>
      </c>
      <c r="H1046" s="28">
        <f t="array" ref="H1046">_xlfn.XLOOKUP($A1046, 'Medical Examinations'!$A:$A, 'Medical Examinations'!G:G, "No Data")</f>
        <v>1</v>
      </c>
      <c r="I1046" s="28" t="str">
        <f t="array" ref="I1046">_xlfn.XLOOKUP($A1046, 'Medical Examinations'!$A:$A, 'Medical Examinations'!H:H, "No Data")</f>
        <v>No</v>
      </c>
      <c r="J1046" s="28" t="str">
        <f t="array" ref="J1046">_xlfn.XLOOKUP($A1046, 'Medical Examinations'!$A:$A, 'Medical Examinations'!I:I, "No Data")</f>
        <v>Obesity</v>
      </c>
      <c r="K1046" s="28" t="str">
        <f t="array" ref="K1046">_xlfn.XLOOKUP($A1046, 'Hospitalisation Details'!$A:$A, 'Hospitalisation Details'!I:I, "No Data")</f>
        <v>tier - 1</v>
      </c>
      <c r="L1046" s="28" t="str">
        <f t="array" ref="L1046">_xlfn.XLOOKUP($A1046, 'Hospitalisation Details'!$A:$A, 'Hospitalisation Details'!J:J, "No Data")</f>
        <v>R1026</v>
      </c>
      <c r="M1046" s="28" t="str">
        <f t="array" ref="M1046">_xlfn.XLOOKUP($A1046, 'Hospitalisation Details'!$A:$A, 'Hospitalisation Details'!E:E, "No Data")</f>
        <v>29/08/86</v>
      </c>
      <c r="N1046" s="28">
        <f t="array" ref="N1046">_xlfn.XLOOKUP($A1046, 'Hospitalisation Details'!$A:$A, 'Hospitalisation Details'!K:K, "No Data")</f>
        <v>36</v>
      </c>
      <c r="O1046" s="33">
        <f t="array" ref="O1046">_xlfn.XLOOKUP($A1046, 'Hospitalisation Details'!$A:$A, 'Hospitalisation Details'!G:G, "No Data")</f>
        <v>10749.02</v>
      </c>
      <c r="P1046" s="28" t="str">
        <f t="array" ref="P1046">_xlfn.XLOOKUP($A1046, 'Hospitalisation Details'!$A:$A, 'Hospitalisation Details'!H:H, "No Data")</f>
        <v>tier - 3</v>
      </c>
    </row>
    <row r="1047">
      <c r="A1047" s="25" t="s">
        <v>3329</v>
      </c>
      <c r="B1047" s="28" t="str">
        <f t="array" ref="B1047">_xlfn.XLOOKUP($A1047, 'Customer Names'!$A:$A, 'Customer Names'!B:B, "No Data")</f>
        <v>Toews</v>
      </c>
      <c r="C1047" s="28">
        <f t="array" ref="C1047">_xlfn.XLOOKUP($A1047, 'Medical Examinations'!$A:$A, 'Medical Examinations'!B:B, "No Data")</f>
        <v>35.625</v>
      </c>
      <c r="D1047" s="28">
        <f t="array" ref="D1047">_xlfn.XLOOKUP($A1047, 'Medical Examinations'!$A:$A, 'Medical Examinations'!C:C, "No Data")</f>
        <v>10.79</v>
      </c>
      <c r="E1047" s="28" t="str">
        <f t="array" ref="E1047">_xlfn.XLOOKUP($A1047, 'Medical Examinations'!$A:$A, 'Medical Examinations'!D:D, "No Data")</f>
        <v>No</v>
      </c>
      <c r="F1047" s="28" t="str">
        <f t="array" ref="F1047">_xlfn.XLOOKUP($A1047, 'Medical Examinations'!$A:$A, 'Medical Examinations'!E:E, "No Data")</f>
        <v>No</v>
      </c>
      <c r="G1047" s="28" t="str">
        <f t="array" ref="G1047">_xlfn.XLOOKUP($A1047, 'Medical Examinations'!$A:$A, 'Medical Examinations'!F:F, "No Data")</f>
        <v>No</v>
      </c>
      <c r="H1047" s="28">
        <f t="array" ref="H1047">_xlfn.XLOOKUP($A1047, 'Medical Examinations'!$A:$A, 'Medical Examinations'!G:G, "No Data")</f>
        <v>0</v>
      </c>
      <c r="I1047" s="28" t="str">
        <f t="array" ref="I1047">_xlfn.XLOOKUP($A1047, 'Medical Examinations'!$A:$A, 'Medical Examinations'!H:H, "No Data")</f>
        <v>No</v>
      </c>
      <c r="J1047" s="28" t="str">
        <f t="array" ref="J1047">_xlfn.XLOOKUP($A1047, 'Medical Examinations'!$A:$A, 'Medical Examinations'!I:I, "No Data")</f>
        <v>Obesity</v>
      </c>
      <c r="K1047" s="28" t="str">
        <f t="array" ref="K1047">_xlfn.XLOOKUP($A1047, 'Hospitalisation Details'!$A:$A, 'Hospitalisation Details'!I:I, "No Data")</f>
        <v>tier - 1</v>
      </c>
      <c r="L1047" s="28" t="str">
        <f t="array" ref="L1047">_xlfn.XLOOKUP($A1047, 'Hospitalisation Details'!$A:$A, 'Hospitalisation Details'!J:J, "No Data")</f>
        <v>R1016</v>
      </c>
      <c r="M1047" s="28" t="str">
        <f t="array" ref="M1047">_xlfn.XLOOKUP($A1047, 'Hospitalisation Details'!$A:$A, 'Hospitalisation Details'!E:E, "No Data")</f>
        <v>09/12/74</v>
      </c>
      <c r="N1047" s="28">
        <f t="array" ref="N1047">_xlfn.XLOOKUP($A1047, 'Hospitalisation Details'!$A:$A, 'Hospitalisation Details'!K:K, "No Data")</f>
        <v>48</v>
      </c>
      <c r="O1047" s="33">
        <f t="array" ref="O1047">_xlfn.XLOOKUP($A1047, 'Hospitalisation Details'!$A:$A, 'Hospitalisation Details'!G:G, "No Data")</f>
        <v>10736.87</v>
      </c>
      <c r="P1047" s="28" t="str">
        <f t="array" ref="P1047">_xlfn.XLOOKUP($A1047, 'Hospitalisation Details'!$A:$A, 'Hospitalisation Details'!H:H, "No Data")</f>
        <v>tier - 3</v>
      </c>
    </row>
    <row r="1048">
      <c r="A1048" s="25" t="s">
        <v>3333</v>
      </c>
      <c r="B1048" s="28" t="str">
        <f t="array" ref="B1048">_xlfn.XLOOKUP($A1048, 'Customer Names'!$A:$A, 'Customer Names'!B:B, "No Data")</f>
        <v>Perry</v>
      </c>
      <c r="C1048" s="28">
        <f t="array" ref="C1048">_xlfn.XLOOKUP($A1048, 'Medical Examinations'!$A:$A, 'Medical Examinations'!B:B, "No Data")</f>
        <v>45.51</v>
      </c>
      <c r="D1048" s="28">
        <f t="array" ref="D1048">_xlfn.XLOOKUP($A1048, 'Medical Examinations'!$A:$A, 'Medical Examinations'!C:C, "No Data")</f>
        <v>4.32</v>
      </c>
      <c r="E1048" s="28" t="str">
        <f t="array" ref="E1048">_xlfn.XLOOKUP($A1048, 'Medical Examinations'!$A:$A, 'Medical Examinations'!D:D, "No Data")</f>
        <v>No</v>
      </c>
      <c r="F1048" s="28" t="str">
        <f t="array" ref="F1048">_xlfn.XLOOKUP($A1048, 'Medical Examinations'!$A:$A, 'Medical Examinations'!E:E, "No Data")</f>
        <v>No</v>
      </c>
      <c r="G1048" s="28" t="str">
        <f t="array" ref="G1048">_xlfn.XLOOKUP($A1048, 'Medical Examinations'!$A:$A, 'Medical Examinations'!F:F, "No Data")</f>
        <v>No</v>
      </c>
      <c r="H1048" s="28">
        <f t="array" ref="H1048">_xlfn.XLOOKUP($A1048, 'Medical Examinations'!$A:$A, 'Medical Examinations'!G:G, "No Data")</f>
        <v>1</v>
      </c>
      <c r="I1048" s="28" t="str">
        <f t="array" ref="I1048">_xlfn.XLOOKUP($A1048, 'Medical Examinations'!$A:$A, 'Medical Examinations'!H:H, "No Data")</f>
        <v>No</v>
      </c>
      <c r="J1048" s="28" t="str">
        <f t="array" ref="J1048">_xlfn.XLOOKUP($A1048, 'Medical Examinations'!$A:$A, 'Medical Examinations'!I:I, "No Data")</f>
        <v>Obesity</v>
      </c>
      <c r="K1048" s="28" t="str">
        <f t="array" ref="K1048">_xlfn.XLOOKUP($A1048, 'Hospitalisation Details'!$A:$A, 'Hospitalisation Details'!I:I, "No Data")</f>
        <v>tier - 1</v>
      </c>
      <c r="L1048" s="28" t="str">
        <f t="array" ref="L1048">_xlfn.XLOOKUP($A1048, 'Hospitalisation Details'!$A:$A, 'Hospitalisation Details'!J:J, "No Data")</f>
        <v>R1012</v>
      </c>
      <c r="M1048" s="28" t="str">
        <f t="array" ref="M1048">_xlfn.XLOOKUP($A1048, 'Hospitalisation Details'!$A:$A, 'Hospitalisation Details'!E:E, "No Data")</f>
        <v>25/06/92</v>
      </c>
      <c r="N1048" s="28">
        <f t="array" ref="N1048">_xlfn.XLOOKUP($A1048, 'Hospitalisation Details'!$A:$A, 'Hospitalisation Details'!K:K, "No Data")</f>
        <v>30</v>
      </c>
      <c r="O1048" s="33">
        <f t="array" ref="O1048">_xlfn.XLOOKUP($A1048, 'Hospitalisation Details'!$A:$A, 'Hospitalisation Details'!G:G, "No Data")</f>
        <v>10719.57</v>
      </c>
      <c r="P1048" s="28" t="str">
        <f t="array" ref="P1048">_xlfn.XLOOKUP($A1048, 'Hospitalisation Details'!$A:$A, 'Hospitalisation Details'!H:H, "No Data")</f>
        <v>tier - 3</v>
      </c>
    </row>
    <row r="1049">
      <c r="A1049" s="25" t="s">
        <v>3335</v>
      </c>
      <c r="B1049" s="28" t="str">
        <f t="array" ref="B1049">_xlfn.XLOOKUP($A1049, 'Customer Names'!$A:$A, 'Customer Names'!B:B, "No Data")</f>
        <v>Kretz</v>
      </c>
      <c r="C1049" s="28">
        <f t="array" ref="C1049">_xlfn.XLOOKUP($A1049, 'Medical Examinations'!$A:$A, 'Medical Examinations'!B:B, "No Data")</f>
        <v>37.1</v>
      </c>
      <c r="D1049" s="28">
        <f t="array" ref="D1049">_xlfn.XLOOKUP($A1049, 'Medical Examinations'!$A:$A, 'Medical Examinations'!C:C, "No Data")</f>
        <v>7.19</v>
      </c>
      <c r="E1049" s="28" t="str">
        <f t="array" ref="E1049">_xlfn.XLOOKUP($A1049, 'Medical Examinations'!$A:$A, 'Medical Examinations'!D:D, "No Data")</f>
        <v>yes</v>
      </c>
      <c r="F1049" s="28" t="str">
        <f t="array" ref="F1049">_xlfn.XLOOKUP($A1049, 'Medical Examinations'!$A:$A, 'Medical Examinations'!E:E, "No Data")</f>
        <v>No</v>
      </c>
      <c r="G1049" s="28" t="str">
        <f t="array" ref="G1049">_xlfn.XLOOKUP($A1049, 'Medical Examinations'!$A:$A, 'Medical Examinations'!F:F, "No Data")</f>
        <v>No</v>
      </c>
      <c r="H1049" s="28">
        <f t="array" ref="H1049">_xlfn.XLOOKUP($A1049, 'Medical Examinations'!$A:$A, 'Medical Examinations'!G:G, "No Data")</f>
        <v>0</v>
      </c>
      <c r="I1049" s="28" t="str">
        <f t="array" ref="I1049">_xlfn.XLOOKUP($A1049, 'Medical Examinations'!$A:$A, 'Medical Examinations'!H:H, "No Data")</f>
        <v>No</v>
      </c>
      <c r="J1049" s="28" t="str">
        <f t="array" ref="J1049">_xlfn.XLOOKUP($A1049, 'Medical Examinations'!$A:$A, 'Medical Examinations'!I:I, "No Data")</f>
        <v>Obesity</v>
      </c>
      <c r="K1049" s="28" t="str">
        <f t="array" ref="K1049">_xlfn.XLOOKUP($A1049, 'Hospitalisation Details'!$A:$A, 'Hospitalisation Details'!I:I, "No Data")</f>
        <v>tier - 3</v>
      </c>
      <c r="L1049" s="28" t="str">
        <f t="array" ref="L1049">_xlfn.XLOOKUP($A1049, 'Hospitalisation Details'!$A:$A, 'Hospitalisation Details'!J:J, "No Data")</f>
        <v>R1011</v>
      </c>
      <c r="M1049" s="28" t="str">
        <f t="array" ref="M1049">_xlfn.XLOOKUP($A1049, 'Hospitalisation Details'!$A:$A, 'Hospitalisation Details'!E:E, "No Data")</f>
        <v>05/10/67</v>
      </c>
      <c r="N1049" s="28">
        <f t="array" ref="N1049">_xlfn.XLOOKUP($A1049, 'Hospitalisation Details'!$A:$A, 'Hospitalisation Details'!K:K, "No Data")</f>
        <v>55</v>
      </c>
      <c r="O1049" s="33">
        <f t="array" ref="O1049">_xlfn.XLOOKUP($A1049, 'Hospitalisation Details'!$A:$A, 'Hospitalisation Details'!G:G, "No Data")</f>
        <v>10713.64</v>
      </c>
      <c r="P1049" s="28" t="str">
        <f t="array" ref="P1049">_xlfn.XLOOKUP($A1049, 'Hospitalisation Details'!$A:$A, 'Hospitalisation Details'!H:H, "No Data")</f>
        <v>tier - 3</v>
      </c>
    </row>
    <row r="1050">
      <c r="A1050" s="25" t="s">
        <v>3339</v>
      </c>
      <c r="B1050" s="28" t="str">
        <f t="array" ref="B1050">_xlfn.XLOOKUP($A1050, 'Customer Names'!$A:$A, 'Customer Names'!B:B, "No Data")</f>
        <v>Hempel</v>
      </c>
      <c r="C1050" s="28">
        <f t="array" ref="C1050">_xlfn.XLOOKUP($A1050, 'Medical Examinations'!$A:$A, 'Medical Examinations'!B:B, "No Data")</f>
        <v>30.5</v>
      </c>
      <c r="D1050" s="28">
        <f t="array" ref="D1050">_xlfn.XLOOKUP($A1050, 'Medical Examinations'!$A:$A, 'Medical Examinations'!C:C, "No Data")</f>
        <v>11.94</v>
      </c>
      <c r="E1050" s="28" t="str">
        <f t="array" ref="E1050">_xlfn.XLOOKUP($A1050, 'Medical Examinations'!$A:$A, 'Medical Examinations'!D:D, "No Data")</f>
        <v>yes</v>
      </c>
      <c r="F1050" s="28" t="str">
        <f t="array" ref="F1050">_xlfn.XLOOKUP($A1050, 'Medical Examinations'!$A:$A, 'Medical Examinations'!E:E, "No Data")</f>
        <v>No</v>
      </c>
      <c r="G1050" s="28" t="str">
        <f t="array" ref="G1050">_xlfn.XLOOKUP($A1050, 'Medical Examinations'!$A:$A, 'Medical Examinations'!F:F, "No Data")</f>
        <v>No</v>
      </c>
      <c r="H1050" s="28">
        <f t="array" ref="H1050">_xlfn.XLOOKUP($A1050, 'Medical Examinations'!$A:$A, 'Medical Examinations'!G:G, "No Data")</f>
        <v>0</v>
      </c>
      <c r="I1050" s="28" t="str">
        <f t="array" ref="I1050">_xlfn.XLOOKUP($A1050, 'Medical Examinations'!$A:$A, 'Medical Examinations'!H:H, "No Data")</f>
        <v>No</v>
      </c>
      <c r="J1050" s="28" t="str">
        <f t="array" ref="J1050">_xlfn.XLOOKUP($A1050, 'Medical Examinations'!$A:$A, 'Medical Examinations'!I:I, "No Data")</f>
        <v>Obesity</v>
      </c>
      <c r="K1050" s="28" t="str">
        <f t="array" ref="K1050">_xlfn.XLOOKUP($A1050, 'Hospitalisation Details'!$A:$A, 'Hospitalisation Details'!I:I, "No Data")</f>
        <v>tier - 2</v>
      </c>
      <c r="L1050" s="28" t="str">
        <f t="array" ref="L1050">_xlfn.XLOOKUP($A1050, 'Hospitalisation Details'!$A:$A, 'Hospitalisation Details'!J:J, "No Data")</f>
        <v>R1011</v>
      </c>
      <c r="M1050" s="28" t="str">
        <f t="array" ref="M1050">_xlfn.XLOOKUP($A1050, 'Hospitalisation Details'!$A:$A, 'Hospitalisation Details'!E:E, "No Data")</f>
        <v>30/07/67</v>
      </c>
      <c r="N1050" s="28">
        <f t="array" ref="N1050">_xlfn.XLOOKUP($A1050, 'Hospitalisation Details'!$A:$A, 'Hospitalisation Details'!K:K, "No Data")</f>
        <v>55</v>
      </c>
      <c r="O1050" s="33">
        <f t="array" ref="O1050">_xlfn.XLOOKUP($A1050, 'Hospitalisation Details'!$A:$A, 'Hospitalisation Details'!G:G, "No Data")</f>
        <v>10704.47</v>
      </c>
      <c r="P1050" s="28" t="str">
        <f t="array" ref="P1050">_xlfn.XLOOKUP($A1050, 'Hospitalisation Details'!$A:$A, 'Hospitalisation Details'!H:H, "No Data")</f>
        <v>tier - 3</v>
      </c>
    </row>
    <row r="1051">
      <c r="A1051" s="25" t="s">
        <v>3343</v>
      </c>
      <c r="B1051" s="28" t="str">
        <f t="array" ref="B1051">_xlfn.XLOOKUP($A1051, 'Customer Names'!$A:$A, 'Customer Names'!B:B, "No Data")</f>
        <v>McBroom</v>
      </c>
      <c r="C1051" s="28">
        <f t="array" ref="C1051">_xlfn.XLOOKUP($A1051, 'Medical Examinations'!$A:$A, 'Medical Examinations'!B:B, "No Data")</f>
        <v>28.16</v>
      </c>
      <c r="D1051" s="28">
        <f t="array" ref="D1051">_xlfn.XLOOKUP($A1051, 'Medical Examinations'!$A:$A, 'Medical Examinations'!C:C, "No Data")</f>
        <v>5.56</v>
      </c>
      <c r="E1051" s="28" t="str">
        <f t="array" ref="E1051">_xlfn.XLOOKUP($A1051, 'Medical Examinations'!$A:$A, 'Medical Examinations'!D:D, "No Data")</f>
        <v>No</v>
      </c>
      <c r="F1051" s="28" t="str">
        <f t="array" ref="F1051">_xlfn.XLOOKUP($A1051, 'Medical Examinations'!$A:$A, 'Medical Examinations'!E:E, "No Data")</f>
        <v>No</v>
      </c>
      <c r="G1051" s="28" t="str">
        <f t="array" ref="G1051">_xlfn.XLOOKUP($A1051, 'Medical Examinations'!$A:$A, 'Medical Examinations'!F:F, "No Data")</f>
        <v>No</v>
      </c>
      <c r="H1051" s="28">
        <f t="array" ref="H1051">_xlfn.XLOOKUP($A1051, 'Medical Examinations'!$A:$A, 'Medical Examinations'!G:G, "No Data")</f>
        <v>2</v>
      </c>
      <c r="I1051" s="28" t="str">
        <f t="array" ref="I1051">_xlfn.XLOOKUP($A1051, 'Medical Examinations'!$A:$A, 'Medical Examinations'!H:H, "No Data")</f>
        <v>No</v>
      </c>
      <c r="J1051" s="28" t="str">
        <f t="array" ref="J1051">_xlfn.XLOOKUP($A1051, 'Medical Examinations'!$A:$A, 'Medical Examinations'!I:I, "No Data")</f>
        <v>Overweight</v>
      </c>
      <c r="K1051" s="28" t="str">
        <f t="array" ref="K1051">_xlfn.XLOOKUP($A1051, 'Hospitalisation Details'!$A:$A, 'Hospitalisation Details'!I:I, "No Data")</f>
        <v>tier - 3</v>
      </c>
      <c r="L1051" s="28" t="str">
        <f t="array" ref="L1051">_xlfn.XLOOKUP($A1051, 'Hospitalisation Details'!$A:$A, 'Hospitalisation Details'!J:J, "No Data")</f>
        <v>R1013</v>
      </c>
      <c r="M1051" s="28" t="str">
        <f t="array" ref="M1051">_xlfn.XLOOKUP($A1051, 'Hospitalisation Details'!$A:$A, 'Hospitalisation Details'!E:E, "No Data")</f>
        <v>24/10/72</v>
      </c>
      <c r="N1051" s="28">
        <f t="array" ref="N1051">_xlfn.XLOOKUP($A1051, 'Hospitalisation Details'!$A:$A, 'Hospitalisation Details'!K:K, "No Data")</f>
        <v>50</v>
      </c>
      <c r="O1051" s="33">
        <f t="array" ref="O1051">_xlfn.XLOOKUP($A1051, 'Hospitalisation Details'!$A:$A, 'Hospitalisation Details'!G:G, "No Data")</f>
        <v>10702.64</v>
      </c>
      <c r="P1051" s="28" t="str">
        <f t="array" ref="P1051">_xlfn.XLOOKUP($A1051, 'Hospitalisation Details'!$A:$A, 'Hospitalisation Details'!H:H, "No Data")</f>
        <v>tier - 3</v>
      </c>
    </row>
    <row r="1052">
      <c r="A1052" s="25" t="s">
        <v>3345</v>
      </c>
      <c r="B1052" s="28" t="str">
        <f t="array" ref="B1052">_xlfn.XLOOKUP($A1052, 'Customer Names'!$A:$A, 'Customer Names'!B:B, "No Data")</f>
        <v>Yoo</v>
      </c>
      <c r="C1052" s="28">
        <f t="array" ref="C1052">_xlfn.XLOOKUP($A1052, 'Medical Examinations'!$A:$A, 'Medical Examinations'!B:B, "No Data")</f>
        <v>29.1</v>
      </c>
      <c r="D1052" s="28">
        <f t="array" ref="D1052">_xlfn.XLOOKUP($A1052, 'Medical Examinations'!$A:$A, 'Medical Examinations'!C:C, "No Data")</f>
        <v>5.64</v>
      </c>
      <c r="E1052" s="28" t="str">
        <f t="array" ref="E1052">_xlfn.XLOOKUP($A1052, 'Medical Examinations'!$A:$A, 'Medical Examinations'!D:D, "No Data")</f>
        <v>yes</v>
      </c>
      <c r="F1052" s="28" t="str">
        <f t="array" ref="F1052">_xlfn.XLOOKUP($A1052, 'Medical Examinations'!$A:$A, 'Medical Examinations'!E:E, "No Data")</f>
        <v>No</v>
      </c>
      <c r="G1052" s="28" t="str">
        <f t="array" ref="G1052">_xlfn.XLOOKUP($A1052, 'Medical Examinations'!$A:$A, 'Medical Examinations'!F:F, "No Data")</f>
        <v>No</v>
      </c>
      <c r="H1052" s="28">
        <f t="array" ref="H1052">_xlfn.XLOOKUP($A1052, 'Medical Examinations'!$A:$A, 'Medical Examinations'!G:G, "No Data")</f>
        <v>0</v>
      </c>
      <c r="I1052" s="28" t="str">
        <f t="array" ref="I1052">_xlfn.XLOOKUP($A1052, 'Medical Examinations'!$A:$A, 'Medical Examinations'!H:H, "No Data")</f>
        <v>No</v>
      </c>
      <c r="J1052" s="28" t="str">
        <f t="array" ref="J1052">_xlfn.XLOOKUP($A1052, 'Medical Examinations'!$A:$A, 'Medical Examinations'!I:I, "No Data")</f>
        <v>Overweight</v>
      </c>
      <c r="K1052" s="28" t="str">
        <f t="array" ref="K1052">_xlfn.XLOOKUP($A1052, 'Hospitalisation Details'!$A:$A, 'Hospitalisation Details'!I:I, "No Data")</f>
        <v>tier - 1</v>
      </c>
      <c r="L1052" s="28" t="str">
        <f t="array" ref="L1052">_xlfn.XLOOKUP($A1052, 'Hospitalisation Details'!$A:$A, 'Hospitalisation Details'!J:J, "No Data")</f>
        <v>R1025</v>
      </c>
      <c r="M1052" s="28" t="str">
        <f t="array" ref="M1052">_xlfn.XLOOKUP($A1052, 'Hospitalisation Details'!$A:$A, 'Hospitalisation Details'!E:E, "No Data")</f>
        <v>30/09/76</v>
      </c>
      <c r="N1052" s="28">
        <f t="array" ref="N1052">_xlfn.XLOOKUP($A1052, 'Hospitalisation Details'!$A:$A, 'Hospitalisation Details'!K:K, "No Data")</f>
        <v>46</v>
      </c>
      <c r="O1052" s="33">
        <f t="array" ref="O1052">_xlfn.XLOOKUP($A1052, 'Hospitalisation Details'!$A:$A, 'Hospitalisation Details'!G:G, "No Data")</f>
        <v>10698.38</v>
      </c>
      <c r="P1052" s="28" t="str">
        <f t="array" ref="P1052">_xlfn.XLOOKUP($A1052, 'Hospitalisation Details'!$A:$A, 'Hospitalisation Details'!H:H, "No Data")</f>
        <v>tier - 3</v>
      </c>
    </row>
    <row r="1053">
      <c r="A1053" s="25" t="s">
        <v>3349</v>
      </c>
      <c r="B1053" s="28" t="str">
        <f t="array" ref="B1053">_xlfn.XLOOKUP($A1053, 'Customer Names'!$A:$A, 'Customer Names'!B:B, "No Data")</f>
        <v>Rand</v>
      </c>
      <c r="C1053" s="28">
        <f t="array" ref="C1053">_xlfn.XLOOKUP($A1053, 'Medical Examinations'!$A:$A, 'Medical Examinations'!B:B, "No Data")</f>
        <v>30.22</v>
      </c>
      <c r="D1053" s="28">
        <f t="array" ref="D1053">_xlfn.XLOOKUP($A1053, 'Medical Examinations'!$A:$A, 'Medical Examinations'!C:C, "No Data")</f>
        <v>4.65</v>
      </c>
      <c r="E1053" s="28" t="str">
        <f t="array" ref="E1053">_xlfn.XLOOKUP($A1053, 'Medical Examinations'!$A:$A, 'Medical Examinations'!D:D, "No Data")</f>
        <v>No</v>
      </c>
      <c r="F1053" s="28" t="str">
        <f t="array" ref="F1053">_xlfn.XLOOKUP($A1053, 'Medical Examinations'!$A:$A, 'Medical Examinations'!E:E, "No Data")</f>
        <v>No</v>
      </c>
      <c r="G1053" s="28" t="str">
        <f t="array" ref="G1053">_xlfn.XLOOKUP($A1053, 'Medical Examinations'!$A:$A, 'Medical Examinations'!F:F, "No Data")</f>
        <v>No</v>
      </c>
      <c r="H1053" s="28">
        <f t="array" ref="H1053">_xlfn.XLOOKUP($A1053, 'Medical Examinations'!$A:$A, 'Medical Examinations'!G:G, "No Data")</f>
        <v>0</v>
      </c>
      <c r="I1053" s="28" t="str">
        <f t="array" ref="I1053">_xlfn.XLOOKUP($A1053, 'Medical Examinations'!$A:$A, 'Medical Examinations'!H:H, "No Data")</f>
        <v>No</v>
      </c>
      <c r="J1053" s="28" t="str">
        <f t="array" ref="J1053">_xlfn.XLOOKUP($A1053, 'Medical Examinations'!$A:$A, 'Medical Examinations'!I:I, "No Data")</f>
        <v>Obesity</v>
      </c>
      <c r="K1053" s="28" t="str">
        <f t="array" ref="K1053">_xlfn.XLOOKUP($A1053, 'Hospitalisation Details'!$A:$A, 'Hospitalisation Details'!I:I, "No Data")</f>
        <v>tier - 2</v>
      </c>
      <c r="L1053" s="28" t="str">
        <f t="array" ref="L1053">_xlfn.XLOOKUP($A1053, 'Hospitalisation Details'!$A:$A, 'Hospitalisation Details'!J:J, "No Data")</f>
        <v>R1021</v>
      </c>
      <c r="M1053" s="28" t="str">
        <f t="array" ref="M1053">_xlfn.XLOOKUP($A1053, 'Hospitalisation Details'!$A:$A, 'Hospitalisation Details'!E:E, "No Data")</f>
        <v>02/08/77</v>
      </c>
      <c r="N1053" s="28">
        <f t="array" ref="N1053">_xlfn.XLOOKUP($A1053, 'Hospitalisation Details'!$A:$A, 'Hospitalisation Details'!K:K, "No Data")</f>
        <v>45</v>
      </c>
      <c r="O1053" s="33">
        <f t="array" ref="O1053">_xlfn.XLOOKUP($A1053, 'Hospitalisation Details'!$A:$A, 'Hospitalisation Details'!G:G, "No Data")</f>
        <v>10690.11</v>
      </c>
      <c r="P1053" s="28" t="str">
        <f t="array" ref="P1053">_xlfn.XLOOKUP($A1053, 'Hospitalisation Details'!$A:$A, 'Hospitalisation Details'!H:H, "No Data")</f>
        <v>tier - 3</v>
      </c>
    </row>
    <row r="1054">
      <c r="A1054" s="25" t="s">
        <v>3352</v>
      </c>
      <c r="B1054" s="28" t="str">
        <f t="array" ref="B1054">_xlfn.XLOOKUP($A1054, 'Customer Names'!$A:$A, 'Customer Names'!B:B, "No Data")</f>
        <v>Wolfe</v>
      </c>
      <c r="C1054" s="28">
        <f t="array" ref="C1054">_xlfn.XLOOKUP($A1054, 'Medical Examinations'!$A:$A, 'Medical Examinations'!B:B, "No Data")</f>
        <v>24.29</v>
      </c>
      <c r="D1054" s="28">
        <f t="array" ref="D1054">_xlfn.XLOOKUP($A1054, 'Medical Examinations'!$A:$A, 'Medical Examinations'!C:C, "No Data")</f>
        <v>9.05</v>
      </c>
      <c r="E1054" s="28" t="str">
        <f t="array" ref="E1054">_xlfn.XLOOKUP($A1054, 'Medical Examinations'!$A:$A, 'Medical Examinations'!D:D, "No Data")</f>
        <v>No</v>
      </c>
      <c r="F1054" s="28" t="str">
        <f t="array" ref="F1054">_xlfn.XLOOKUP($A1054, 'Medical Examinations'!$A:$A, 'Medical Examinations'!E:E, "No Data")</f>
        <v>No</v>
      </c>
      <c r="G1054" s="28" t="str">
        <f t="array" ref="G1054">_xlfn.XLOOKUP($A1054, 'Medical Examinations'!$A:$A, 'Medical Examinations'!F:F, "No Data")</f>
        <v>No</v>
      </c>
      <c r="H1054" s="28">
        <f t="array" ref="H1054">_xlfn.XLOOKUP($A1054, 'Medical Examinations'!$A:$A, 'Medical Examinations'!G:G, "No Data")</f>
        <v>0</v>
      </c>
      <c r="I1054" s="28" t="str">
        <f t="array" ref="I1054">_xlfn.XLOOKUP($A1054, 'Medical Examinations'!$A:$A, 'Medical Examinations'!H:H, "No Data")</f>
        <v>No</v>
      </c>
      <c r="J1054" s="28" t="str">
        <f t="array" ref="J1054">_xlfn.XLOOKUP($A1054, 'Medical Examinations'!$A:$A, 'Medical Examinations'!I:I, "No Data")</f>
        <v>Normal Weight</v>
      </c>
      <c r="K1054" s="28" t="str">
        <f t="array" ref="K1054">_xlfn.XLOOKUP($A1054, 'Hospitalisation Details'!$A:$A, 'Hospitalisation Details'!I:I, "No Data")</f>
        <v>tier - 3</v>
      </c>
      <c r="L1054" s="28" t="str">
        <f t="array" ref="L1054">_xlfn.XLOOKUP($A1054, 'Hospitalisation Details'!$A:$A, 'Hospitalisation Details'!J:J, "No Data")</f>
        <v>R1013</v>
      </c>
      <c r="M1054" s="28" t="str">
        <f t="array" ref="M1054">_xlfn.XLOOKUP($A1054, 'Hospitalisation Details'!$A:$A, 'Hospitalisation Details'!E:E, "No Data")</f>
        <v>07/09/62</v>
      </c>
      <c r="N1054" s="28">
        <f t="array" ref="N1054">_xlfn.XLOOKUP($A1054, 'Hospitalisation Details'!$A:$A, 'Hospitalisation Details'!K:K, "No Data")</f>
        <v>60</v>
      </c>
      <c r="O1054" s="33">
        <f t="array" ref="O1054">_xlfn.XLOOKUP($A1054, 'Hospitalisation Details'!$A:$A, 'Hospitalisation Details'!G:G, "No Data")</f>
        <v>10676.83</v>
      </c>
      <c r="P1054" s="28" t="str">
        <f t="array" ref="P1054">_xlfn.XLOOKUP($A1054, 'Hospitalisation Details'!$A:$A, 'Hospitalisation Details'!H:H, "No Data")</f>
        <v>tier - 3</v>
      </c>
    </row>
    <row r="1055">
      <c r="A1055" s="25" t="s">
        <v>3356</v>
      </c>
      <c r="B1055" s="28" t="str">
        <f t="array" ref="B1055">_xlfn.XLOOKUP($A1055, 'Customer Names'!$A:$A, 'Customer Names'!B:B, "No Data")</f>
        <v>Vance</v>
      </c>
      <c r="C1055" s="28">
        <f t="array" ref="C1055">_xlfn.XLOOKUP($A1055, 'Medical Examinations'!$A:$A, 'Medical Examinations'!B:B, "No Data")</f>
        <v>29.39</v>
      </c>
      <c r="D1055" s="28">
        <f t="array" ref="D1055">_xlfn.XLOOKUP($A1055, 'Medical Examinations'!$A:$A, 'Medical Examinations'!C:C, "No Data")</f>
        <v>4.52</v>
      </c>
      <c r="E1055" s="28" t="str">
        <f t="array" ref="E1055">_xlfn.XLOOKUP($A1055, 'Medical Examinations'!$A:$A, 'Medical Examinations'!D:D, "No Data")</f>
        <v>yes</v>
      </c>
      <c r="F1055" s="28" t="str">
        <f t="array" ref="F1055">_xlfn.XLOOKUP($A1055, 'Medical Examinations'!$A:$A, 'Medical Examinations'!E:E, "No Data")</f>
        <v>No</v>
      </c>
      <c r="G1055" s="28" t="str">
        <f t="array" ref="G1055">_xlfn.XLOOKUP($A1055, 'Medical Examinations'!$A:$A, 'Medical Examinations'!F:F, "No Data")</f>
        <v>No</v>
      </c>
      <c r="H1055" s="28">
        <f t="array" ref="H1055">_xlfn.XLOOKUP($A1055, 'Medical Examinations'!$A:$A, 'Medical Examinations'!G:G, "No Data")</f>
        <v>0</v>
      </c>
      <c r="I1055" s="28" t="str">
        <f t="array" ref="I1055">_xlfn.XLOOKUP($A1055, 'Medical Examinations'!$A:$A, 'Medical Examinations'!H:H, "No Data")</f>
        <v>No</v>
      </c>
      <c r="J1055" s="28" t="str">
        <f t="array" ref="J1055">_xlfn.XLOOKUP($A1055, 'Medical Examinations'!$A:$A, 'Medical Examinations'!I:I, "No Data")</f>
        <v>Overweight</v>
      </c>
      <c r="K1055" s="28" t="str">
        <f t="array" ref="K1055">_xlfn.XLOOKUP($A1055, 'Hospitalisation Details'!$A:$A, 'Hospitalisation Details'!I:I, "No Data")</f>
        <v>tier - 2</v>
      </c>
      <c r="L1055" s="28" t="str">
        <f t="array" ref="L1055">_xlfn.XLOOKUP($A1055, 'Hospitalisation Details'!$A:$A, 'Hospitalisation Details'!J:J, "No Data")</f>
        <v>R1021</v>
      </c>
      <c r="M1055" s="28" t="str">
        <f t="array" ref="M1055">_xlfn.XLOOKUP($A1055, 'Hospitalisation Details'!$A:$A, 'Hospitalisation Details'!E:E, "No Data")</f>
        <v>22/11/76</v>
      </c>
      <c r="N1055" s="28">
        <f t="array" ref="N1055">_xlfn.XLOOKUP($A1055, 'Hospitalisation Details'!$A:$A, 'Hospitalisation Details'!K:K, "No Data")</f>
        <v>46</v>
      </c>
      <c r="O1055" s="33">
        <f t="array" ref="O1055">_xlfn.XLOOKUP($A1055, 'Hospitalisation Details'!$A:$A, 'Hospitalisation Details'!G:G, "No Data")</f>
        <v>10665.44</v>
      </c>
      <c r="P1055" s="28" t="str">
        <f t="array" ref="P1055">_xlfn.XLOOKUP($A1055, 'Hospitalisation Details'!$A:$A, 'Hospitalisation Details'!H:H, "No Data")</f>
        <v>tier - 3</v>
      </c>
    </row>
    <row r="1056">
      <c r="A1056" s="25" t="s">
        <v>3360</v>
      </c>
      <c r="B1056" s="28" t="str">
        <f t="array" ref="B1056">_xlfn.XLOOKUP($A1056, 'Customer Names'!$A:$A, 'Customer Names'!B:B, "No Data")</f>
        <v>Burnett</v>
      </c>
      <c r="C1056" s="28">
        <f t="array" ref="C1056">_xlfn.XLOOKUP($A1056, 'Medical Examinations'!$A:$A, 'Medical Examinations'!B:B, "No Data")</f>
        <v>25.66</v>
      </c>
      <c r="D1056" s="28">
        <f t="array" ref="D1056">_xlfn.XLOOKUP($A1056, 'Medical Examinations'!$A:$A, 'Medical Examinations'!C:C, "No Data")</f>
        <v>4.62</v>
      </c>
      <c r="E1056" s="28" t="str">
        <f t="array" ref="E1056">_xlfn.XLOOKUP($A1056, 'Medical Examinations'!$A:$A, 'Medical Examinations'!D:D, "No Data")</f>
        <v>yes</v>
      </c>
      <c r="F1056" s="28" t="str">
        <f t="array" ref="F1056">_xlfn.XLOOKUP($A1056, 'Medical Examinations'!$A:$A, 'Medical Examinations'!E:E, "No Data")</f>
        <v>No</v>
      </c>
      <c r="G1056" s="28" t="str">
        <f t="array" ref="G1056">_xlfn.XLOOKUP($A1056, 'Medical Examinations'!$A:$A, 'Medical Examinations'!F:F, "No Data")</f>
        <v>No</v>
      </c>
      <c r="H1056" s="28">
        <f t="array" ref="H1056">_xlfn.XLOOKUP($A1056, 'Medical Examinations'!$A:$A, 'Medical Examinations'!G:G, "No Data")</f>
        <v>1</v>
      </c>
      <c r="I1056" s="28" t="str">
        <f t="array" ref="I1056">_xlfn.XLOOKUP($A1056, 'Medical Examinations'!$A:$A, 'Medical Examinations'!H:H, "No Data")</f>
        <v>No</v>
      </c>
      <c r="J1056" s="28" t="str">
        <f t="array" ref="J1056">_xlfn.XLOOKUP($A1056, 'Medical Examinations'!$A:$A, 'Medical Examinations'!I:I, "No Data")</f>
        <v>Overweight</v>
      </c>
      <c r="K1056" s="28" t="str">
        <f t="array" ref="K1056">_xlfn.XLOOKUP($A1056, 'Hospitalisation Details'!$A:$A, 'Hospitalisation Details'!I:I, "No Data")</f>
        <v>tier - 3</v>
      </c>
      <c r="L1056" s="28" t="str">
        <f t="array" ref="L1056">_xlfn.XLOOKUP($A1056, 'Hospitalisation Details'!$A:$A, 'Hospitalisation Details'!J:J, "No Data")</f>
        <v>R1013</v>
      </c>
      <c r="M1056" s="28" t="str">
        <f t="array" ref="M1056">_xlfn.XLOOKUP($A1056, 'Hospitalisation Details'!$A:$A, 'Hospitalisation Details'!E:E, "No Data")</f>
        <v>08/08/64</v>
      </c>
      <c r="N1056" s="28">
        <f t="array" ref="N1056">_xlfn.XLOOKUP($A1056, 'Hospitalisation Details'!$A:$A, 'Hospitalisation Details'!K:K, "No Data")</f>
        <v>58</v>
      </c>
      <c r="O1056" s="33">
        <f t="array" ref="O1056">_xlfn.XLOOKUP($A1056, 'Hospitalisation Details'!$A:$A, 'Hospitalisation Details'!G:G, "No Data")</f>
        <v>10627.81</v>
      </c>
      <c r="P1056" s="28" t="str">
        <f t="array" ref="P1056">_xlfn.XLOOKUP($A1056, 'Hospitalisation Details'!$A:$A, 'Hospitalisation Details'!H:H, "No Data")</f>
        <v>tier - 3</v>
      </c>
    </row>
    <row r="1057">
      <c r="A1057" s="25" t="s">
        <v>3362</v>
      </c>
      <c r="B1057" s="28" t="str">
        <f t="array" ref="B1057">_xlfn.XLOOKUP($A1057, 'Customer Names'!$A:$A, 'Customer Names'!B:B, "No Data")</f>
        <v>Clason</v>
      </c>
      <c r="C1057" s="28">
        <f t="array" ref="C1057">_xlfn.XLOOKUP($A1057, 'Medical Examinations'!$A:$A, 'Medical Examinations'!B:B, "No Data")</f>
        <v>39.11</v>
      </c>
      <c r="D1057" s="28">
        <f t="array" ref="D1057">_xlfn.XLOOKUP($A1057, 'Medical Examinations'!$A:$A, 'Medical Examinations'!C:C, "No Data")</f>
        <v>5.87</v>
      </c>
      <c r="E1057" s="28" t="str">
        <f t="array" ref="E1057">_xlfn.XLOOKUP($A1057, 'Medical Examinations'!$A:$A, 'Medical Examinations'!D:D, "No Data")</f>
        <v>No</v>
      </c>
      <c r="F1057" s="28" t="str">
        <f t="array" ref="F1057">_xlfn.XLOOKUP($A1057, 'Medical Examinations'!$A:$A, 'Medical Examinations'!E:E, "No Data")</f>
        <v>No</v>
      </c>
      <c r="G1057" s="28" t="str">
        <f t="array" ref="G1057">_xlfn.XLOOKUP($A1057, 'Medical Examinations'!$A:$A, 'Medical Examinations'!F:F, "No Data")</f>
        <v>No</v>
      </c>
      <c r="H1057" s="28">
        <f t="array" ref="H1057">_xlfn.XLOOKUP($A1057, 'Medical Examinations'!$A:$A, 'Medical Examinations'!G:G, "No Data")</f>
        <v>0</v>
      </c>
      <c r="I1057" s="28" t="str">
        <f t="array" ref="I1057">_xlfn.XLOOKUP($A1057, 'Medical Examinations'!$A:$A, 'Medical Examinations'!H:H, "No Data")</f>
        <v>No</v>
      </c>
      <c r="J1057" s="28" t="str">
        <f t="array" ref="J1057">_xlfn.XLOOKUP($A1057, 'Medical Examinations'!$A:$A, 'Medical Examinations'!I:I, "No Data")</f>
        <v>Obesity</v>
      </c>
      <c r="K1057" s="28" t="str">
        <f t="array" ref="K1057">_xlfn.XLOOKUP($A1057, 'Hospitalisation Details'!$A:$A, 'Hospitalisation Details'!I:I, "No Data")</f>
        <v>tier - 3</v>
      </c>
      <c r="L1057" s="28" t="str">
        <f t="array" ref="L1057">_xlfn.XLOOKUP($A1057, 'Hospitalisation Details'!$A:$A, 'Hospitalisation Details'!J:J, "No Data")</f>
        <v>R1012</v>
      </c>
      <c r="M1057" s="28" t="str">
        <f t="array" ref="M1057">_xlfn.XLOOKUP($A1057, 'Hospitalisation Details'!$A:$A, 'Hospitalisation Details'!E:E, "No Data")</f>
        <v>06/07/90</v>
      </c>
      <c r="N1057" s="28">
        <f t="array" ref="N1057">_xlfn.XLOOKUP($A1057, 'Hospitalisation Details'!$A:$A, 'Hospitalisation Details'!K:K, "No Data")</f>
        <v>32</v>
      </c>
      <c r="O1057" s="33">
        <f t="array" ref="O1057">_xlfn.XLOOKUP($A1057, 'Hospitalisation Details'!$A:$A, 'Hospitalisation Details'!G:G, "No Data")</f>
        <v>10620.26</v>
      </c>
      <c r="P1057" s="28" t="str">
        <f t="array" ref="P1057">_xlfn.XLOOKUP($A1057, 'Hospitalisation Details'!$A:$A, 'Hospitalisation Details'!H:H, "No Data")</f>
        <v>tier - 3</v>
      </c>
    </row>
    <row r="1058">
      <c r="A1058" s="25" t="s">
        <v>3366</v>
      </c>
      <c r="B1058" s="28" t="str">
        <f t="array" ref="B1058">_xlfn.XLOOKUP($A1058, 'Customer Names'!$A:$A, 'Customer Names'!B:B, "No Data")</f>
        <v>Donnelly</v>
      </c>
      <c r="C1058" s="28">
        <f t="array" ref="C1058">_xlfn.XLOOKUP($A1058, 'Medical Examinations'!$A:$A, 'Medical Examinations'!B:B, "No Data")</f>
        <v>43.78</v>
      </c>
      <c r="D1058" s="28">
        <f t="array" ref="D1058">_xlfn.XLOOKUP($A1058, 'Medical Examinations'!$A:$A, 'Medical Examinations'!C:C, "No Data")</f>
        <v>5.71</v>
      </c>
      <c r="E1058" s="28" t="str">
        <f t="array" ref="E1058">_xlfn.XLOOKUP($A1058, 'Medical Examinations'!$A:$A, 'Medical Examinations'!D:D, "No Data")</f>
        <v>No</v>
      </c>
      <c r="F1058" s="28" t="str">
        <f t="array" ref="F1058">_xlfn.XLOOKUP($A1058, 'Medical Examinations'!$A:$A, 'Medical Examinations'!E:E, "No Data")</f>
        <v>No</v>
      </c>
      <c r="G1058" s="28" t="str">
        <f t="array" ref="G1058">_xlfn.XLOOKUP($A1058, 'Medical Examinations'!$A:$A, 'Medical Examinations'!F:F, "No Data")</f>
        <v>No</v>
      </c>
      <c r="H1058" s="28">
        <f t="array" ref="H1058">_xlfn.XLOOKUP($A1058, 'Medical Examinations'!$A:$A, 'Medical Examinations'!G:G, "No Data")</f>
        <v>1</v>
      </c>
      <c r="I1058" s="28" t="str">
        <f t="array" ref="I1058">_xlfn.XLOOKUP($A1058, 'Medical Examinations'!$A:$A, 'Medical Examinations'!H:H, "No Data")</f>
        <v>No</v>
      </c>
      <c r="J1058" s="28" t="str">
        <f t="array" ref="J1058">_xlfn.XLOOKUP($A1058, 'Medical Examinations'!$A:$A, 'Medical Examinations'!I:I, "No Data")</f>
        <v>Obesity</v>
      </c>
      <c r="K1058" s="28" t="str">
        <f t="array" ref="K1058">_xlfn.XLOOKUP($A1058, 'Hospitalisation Details'!$A:$A, 'Hospitalisation Details'!I:I, "No Data")</f>
        <v>tier - 3</v>
      </c>
      <c r="L1058" s="28" t="str">
        <f t="array" ref="L1058">_xlfn.XLOOKUP($A1058, 'Hospitalisation Details'!$A:$A, 'Hospitalisation Details'!J:J, "No Data")</f>
        <v>R1026</v>
      </c>
      <c r="M1058" s="28" t="str">
        <f t="array" ref="M1058">_xlfn.XLOOKUP($A1058, 'Hospitalisation Details'!$A:$A, 'Hospitalisation Details'!E:E, "No Data")</f>
        <v>23/07/92</v>
      </c>
      <c r="N1058" s="28">
        <f t="array" ref="N1058">_xlfn.XLOOKUP($A1058, 'Hospitalisation Details'!$A:$A, 'Hospitalisation Details'!K:K, "No Data")</f>
        <v>30</v>
      </c>
      <c r="O1058" s="33">
        <f t="array" ref="O1058">_xlfn.XLOOKUP($A1058, 'Hospitalisation Details'!$A:$A, 'Hospitalisation Details'!G:G, "No Data")</f>
        <v>10617.04</v>
      </c>
      <c r="P1058" s="28" t="str">
        <f t="array" ref="P1058">_xlfn.XLOOKUP($A1058, 'Hospitalisation Details'!$A:$A, 'Hospitalisation Details'!H:H, "No Data")</f>
        <v>tier - 3</v>
      </c>
    </row>
    <row r="1059">
      <c r="A1059" s="25" t="s">
        <v>3368</v>
      </c>
      <c r="B1059" s="28" t="str">
        <f t="array" ref="B1059">_xlfn.XLOOKUP($A1059, 'Customer Names'!$A:$A, 'Customer Names'!B:B, "No Data")</f>
        <v>Pietz</v>
      </c>
      <c r="C1059" s="28">
        <f t="array" ref="C1059">_xlfn.XLOOKUP($A1059, 'Medical Examinations'!$A:$A, 'Medical Examinations'!B:B, "No Data")</f>
        <v>24.35</v>
      </c>
      <c r="D1059" s="28">
        <f t="array" ref="D1059">_xlfn.XLOOKUP($A1059, 'Medical Examinations'!$A:$A, 'Medical Examinations'!C:C, "No Data")</f>
        <v>9.08</v>
      </c>
      <c r="E1059" s="28" t="str">
        <f t="array" ref="E1059">_xlfn.XLOOKUP($A1059, 'Medical Examinations'!$A:$A, 'Medical Examinations'!D:D, "No Data")</f>
        <v>No</v>
      </c>
      <c r="F1059" s="28" t="str">
        <f t="array" ref="F1059">_xlfn.XLOOKUP($A1059, 'Medical Examinations'!$A:$A, 'Medical Examinations'!E:E, "No Data")</f>
        <v>No</v>
      </c>
      <c r="G1059" s="28" t="str">
        <f t="array" ref="G1059">_xlfn.XLOOKUP($A1059, 'Medical Examinations'!$A:$A, 'Medical Examinations'!F:F, "No Data")</f>
        <v>No</v>
      </c>
      <c r="H1059" s="28">
        <f t="array" ref="H1059">_xlfn.XLOOKUP($A1059, 'Medical Examinations'!$A:$A, 'Medical Examinations'!G:G, "No Data")</f>
        <v>0</v>
      </c>
      <c r="I1059" s="28" t="str">
        <f t="array" ref="I1059">_xlfn.XLOOKUP($A1059, 'Medical Examinations'!$A:$A, 'Medical Examinations'!H:H, "No Data")</f>
        <v>No</v>
      </c>
      <c r="J1059" s="28" t="str">
        <f t="array" ref="J1059">_xlfn.XLOOKUP($A1059, 'Medical Examinations'!$A:$A, 'Medical Examinations'!I:I, "No Data")</f>
        <v>Normal Weight</v>
      </c>
      <c r="K1059" s="28" t="str">
        <f t="array" ref="K1059">_xlfn.XLOOKUP($A1059, 'Hospitalisation Details'!$A:$A, 'Hospitalisation Details'!I:I, "No Data")</f>
        <v>tier - 3</v>
      </c>
      <c r="L1059" s="28" t="str">
        <f t="array" ref="L1059">_xlfn.XLOOKUP($A1059, 'Hospitalisation Details'!$A:$A, 'Hospitalisation Details'!J:J, "No Data")</f>
        <v>R1012</v>
      </c>
      <c r="M1059" s="28" t="str">
        <f t="array" ref="M1059">_xlfn.XLOOKUP($A1059, 'Hospitalisation Details'!$A:$A, 'Hospitalisation Details'!E:E, "No Data")</f>
        <v>27/06/65</v>
      </c>
      <c r="N1059" s="28">
        <f t="array" ref="N1059">_xlfn.XLOOKUP($A1059, 'Hospitalisation Details'!$A:$A, 'Hospitalisation Details'!K:K, "No Data")</f>
        <v>57</v>
      </c>
      <c r="O1059" s="33">
        <f t="array" ref="O1059">_xlfn.XLOOKUP($A1059, 'Hospitalisation Details'!$A:$A, 'Hospitalisation Details'!G:G, "No Data")</f>
        <v>10608.67</v>
      </c>
      <c r="P1059" s="28" t="str">
        <f t="array" ref="P1059">_xlfn.XLOOKUP($A1059, 'Hospitalisation Details'!$A:$A, 'Hospitalisation Details'!H:H, "No Data")</f>
        <v>tier - 3</v>
      </c>
    </row>
    <row r="1060">
      <c r="A1060" s="25" t="s">
        <v>3371</v>
      </c>
      <c r="B1060" s="28" t="str">
        <f t="array" ref="B1060">_xlfn.XLOOKUP($A1060, 'Customer Names'!$A:$A, 'Customer Names'!B:B, "No Data")</f>
        <v>Tegenkamp</v>
      </c>
      <c r="C1060" s="28">
        <f t="array" ref="C1060">_xlfn.XLOOKUP($A1060, 'Medical Examinations'!$A:$A, 'Medical Examinations'!B:B, "No Data")</f>
        <v>40.3</v>
      </c>
      <c r="D1060" s="28">
        <f t="array" ref="D1060">_xlfn.XLOOKUP($A1060, 'Medical Examinations'!$A:$A, 'Medical Examinations'!C:C, "No Data")</f>
        <v>5.3</v>
      </c>
      <c r="E1060" s="28" t="str">
        <f t="array" ref="E1060">_xlfn.XLOOKUP($A1060, 'Medical Examinations'!$A:$A, 'Medical Examinations'!D:D, "No Data")</f>
        <v>yes</v>
      </c>
      <c r="F1060" s="28" t="str">
        <f t="array" ref="F1060">_xlfn.XLOOKUP($A1060, 'Medical Examinations'!$A:$A, 'Medical Examinations'!E:E, "No Data")</f>
        <v>No</v>
      </c>
      <c r="G1060" s="28" t="str">
        <f t="array" ref="G1060">_xlfn.XLOOKUP($A1060, 'Medical Examinations'!$A:$A, 'Medical Examinations'!F:F, "No Data")</f>
        <v>No</v>
      </c>
      <c r="H1060" s="28">
        <f t="array" ref="H1060">_xlfn.XLOOKUP($A1060, 'Medical Examinations'!$A:$A, 'Medical Examinations'!G:G, "No Data")</f>
        <v>2</v>
      </c>
      <c r="I1060" s="28" t="str">
        <f t="array" ref="I1060">_xlfn.XLOOKUP($A1060, 'Medical Examinations'!$A:$A, 'Medical Examinations'!H:H, "No Data")</f>
        <v>No</v>
      </c>
      <c r="J1060" s="28" t="str">
        <f t="array" ref="J1060">_xlfn.XLOOKUP($A1060, 'Medical Examinations'!$A:$A, 'Medical Examinations'!I:I, "No Data")</f>
        <v>Obesity</v>
      </c>
      <c r="K1060" s="28" t="str">
        <f t="array" ref="K1060">_xlfn.XLOOKUP($A1060, 'Hospitalisation Details'!$A:$A, 'Hospitalisation Details'!I:I, "No Data")</f>
        <v>tier - 3</v>
      </c>
      <c r="L1060" s="28" t="str">
        <f t="array" ref="L1060">_xlfn.XLOOKUP($A1060, 'Hospitalisation Details'!$A:$A, 'Hospitalisation Details'!J:J, "No Data")</f>
        <v>R1011</v>
      </c>
      <c r="M1060" s="28" t="str">
        <f t="array" ref="M1060">_xlfn.XLOOKUP($A1060, 'Hospitalisation Details'!$A:$A, 'Hospitalisation Details'!E:E, "No Data")</f>
        <v>02/07/66</v>
      </c>
      <c r="N1060" s="28">
        <f t="array" ref="N1060">_xlfn.XLOOKUP($A1060, 'Hospitalisation Details'!$A:$A, 'Hospitalisation Details'!K:K, "No Data")</f>
        <v>56</v>
      </c>
      <c r="O1060" s="33">
        <f t="array" ref="O1060">_xlfn.XLOOKUP($A1060, 'Hospitalisation Details'!$A:$A, 'Hospitalisation Details'!G:G, "No Data")</f>
        <v>10602.39</v>
      </c>
      <c r="P1060" s="28" t="str">
        <f t="array" ref="P1060">_xlfn.XLOOKUP($A1060, 'Hospitalisation Details'!$A:$A, 'Hospitalisation Details'!H:H, "No Data")</f>
        <v>tier - 3</v>
      </c>
    </row>
    <row r="1061">
      <c r="A1061" s="25" t="s">
        <v>3373</v>
      </c>
      <c r="B1061" s="28" t="str">
        <f t="array" ref="B1061">_xlfn.XLOOKUP($A1061, 'Customer Names'!$A:$A, 'Customer Names'!B:B, "No Data")</f>
        <v>Dover</v>
      </c>
      <c r="C1061" s="28">
        <f t="array" ref="C1061">_xlfn.XLOOKUP($A1061, 'Medical Examinations'!$A:$A, 'Medical Examinations'!B:B, "No Data")</f>
        <v>32.775</v>
      </c>
      <c r="D1061" s="28">
        <f t="array" ref="D1061">_xlfn.XLOOKUP($A1061, 'Medical Examinations'!$A:$A, 'Medical Examinations'!C:C, "No Data")</f>
        <v>11.76</v>
      </c>
      <c r="E1061" s="28" t="str">
        <f t="array" ref="E1061">_xlfn.XLOOKUP($A1061, 'Medical Examinations'!$A:$A, 'Medical Examinations'!D:D, "No Data")</f>
        <v>yes</v>
      </c>
      <c r="F1061" s="28" t="str">
        <f t="array" ref="F1061">_xlfn.XLOOKUP($A1061, 'Medical Examinations'!$A:$A, 'Medical Examinations'!E:E, "No Data")</f>
        <v>No</v>
      </c>
      <c r="G1061" s="28" t="str">
        <f t="array" ref="G1061">_xlfn.XLOOKUP($A1061, 'Medical Examinations'!$A:$A, 'Medical Examinations'!F:F, "No Data")</f>
        <v>No</v>
      </c>
      <c r="H1061" s="28">
        <f t="array" ref="H1061">_xlfn.XLOOKUP($A1061, 'Medical Examinations'!$A:$A, 'Medical Examinations'!G:G, "No Data")</f>
        <v>0</v>
      </c>
      <c r="I1061" s="28" t="str">
        <f t="array" ref="I1061">_xlfn.XLOOKUP($A1061, 'Medical Examinations'!$A:$A, 'Medical Examinations'!H:H, "No Data")</f>
        <v>No</v>
      </c>
      <c r="J1061" s="28" t="str">
        <f t="array" ref="J1061">_xlfn.XLOOKUP($A1061, 'Medical Examinations'!$A:$A, 'Medical Examinations'!I:I, "No Data")</f>
        <v>Obesity</v>
      </c>
      <c r="K1061" s="28" t="str">
        <f t="array" ref="K1061">_xlfn.XLOOKUP($A1061, 'Hospitalisation Details'!$A:$A, 'Hospitalisation Details'!I:I, "No Data")</f>
        <v>tier - 2</v>
      </c>
      <c r="L1061" s="28" t="str">
        <f t="array" ref="L1061">_xlfn.XLOOKUP($A1061, 'Hospitalisation Details'!$A:$A, 'Hospitalisation Details'!J:J, "No Data")</f>
        <v>R1012</v>
      </c>
      <c r="M1061" s="28" t="str">
        <f t="array" ref="M1061">_xlfn.XLOOKUP($A1061, 'Hospitalisation Details'!$A:$A, 'Hospitalisation Details'!E:E, "No Data")</f>
        <v>23/06/67</v>
      </c>
      <c r="N1061" s="28">
        <f t="array" ref="N1061">_xlfn.XLOOKUP($A1061, 'Hospitalisation Details'!$A:$A, 'Hospitalisation Details'!K:K, "No Data")</f>
        <v>55</v>
      </c>
      <c r="O1061" s="33">
        <f t="array" ref="O1061">_xlfn.XLOOKUP($A1061, 'Hospitalisation Details'!$A:$A, 'Hospitalisation Details'!G:G, "No Data")</f>
        <v>10601.63</v>
      </c>
      <c r="P1061" s="28" t="str">
        <f t="array" ref="P1061">_xlfn.XLOOKUP($A1061, 'Hospitalisation Details'!$A:$A, 'Hospitalisation Details'!H:H, "No Data")</f>
        <v>tier - 3</v>
      </c>
    </row>
    <row r="1062">
      <c r="A1062" s="25" t="s">
        <v>3377</v>
      </c>
      <c r="B1062" s="28" t="str">
        <f t="array" ref="B1062">_xlfn.XLOOKUP($A1062, 'Customer Names'!$A:$A, 'Customer Names'!B:B, "No Data")</f>
        <v>Dockemeyer</v>
      </c>
      <c r="C1062" s="28">
        <f t="array" ref="C1062">_xlfn.XLOOKUP($A1062, 'Medical Examinations'!$A:$A, 'Medical Examinations'!B:B, "No Data")</f>
        <v>39.6</v>
      </c>
      <c r="D1062" s="28">
        <f t="array" ref="D1062">_xlfn.XLOOKUP($A1062, 'Medical Examinations'!$A:$A, 'Medical Examinations'!C:C, "No Data")</f>
        <v>5.11</v>
      </c>
      <c r="E1062" s="28" t="str">
        <f t="array" ref="E1062">_xlfn.XLOOKUP($A1062, 'Medical Examinations'!$A:$A, 'Medical Examinations'!D:D, "No Data")</f>
        <v>yes</v>
      </c>
      <c r="F1062" s="28" t="str">
        <f t="array" ref="F1062">_xlfn.XLOOKUP($A1062, 'Medical Examinations'!$A:$A, 'Medical Examinations'!E:E, "No Data")</f>
        <v>No</v>
      </c>
      <c r="G1062" s="28" t="str">
        <f t="array" ref="G1062">_xlfn.XLOOKUP($A1062, 'Medical Examinations'!$A:$A, 'Medical Examinations'!F:F, "No Data")</f>
        <v>No</v>
      </c>
      <c r="H1062" s="28">
        <f t="array" ref="H1062">_xlfn.XLOOKUP($A1062, 'Medical Examinations'!$A:$A, 'Medical Examinations'!G:G, "No Data")</f>
        <v>2</v>
      </c>
      <c r="I1062" s="28" t="str">
        <f t="array" ref="I1062">_xlfn.XLOOKUP($A1062, 'Medical Examinations'!$A:$A, 'Medical Examinations'!H:H, "No Data")</f>
        <v>No</v>
      </c>
      <c r="J1062" s="28" t="str">
        <f t="array" ref="J1062">_xlfn.XLOOKUP($A1062, 'Medical Examinations'!$A:$A, 'Medical Examinations'!I:I, "No Data")</f>
        <v>Obesity</v>
      </c>
      <c r="K1062" s="28" t="str">
        <f t="array" ref="K1062">_xlfn.XLOOKUP($A1062, 'Hospitalisation Details'!$A:$A, 'Hospitalisation Details'!I:I, "No Data")</f>
        <v>tier - 2</v>
      </c>
      <c r="L1062" s="28" t="str">
        <f t="array" ref="L1062">_xlfn.XLOOKUP($A1062, 'Hospitalisation Details'!$A:$A, 'Hospitalisation Details'!J:J, "No Data")</f>
        <v>R1011</v>
      </c>
      <c r="M1062" s="28" t="str">
        <f t="array" ref="M1062">_xlfn.XLOOKUP($A1062, 'Hospitalisation Details'!$A:$A, 'Hospitalisation Details'!E:E, "No Data")</f>
        <v>20/07/66</v>
      </c>
      <c r="N1062" s="28">
        <f t="array" ref="N1062">_xlfn.XLOOKUP($A1062, 'Hospitalisation Details'!$A:$A, 'Hospitalisation Details'!K:K, "No Data")</f>
        <v>56</v>
      </c>
      <c r="O1062" s="33">
        <f t="array" ref="O1062">_xlfn.XLOOKUP($A1062, 'Hospitalisation Details'!$A:$A, 'Hospitalisation Details'!G:G, "No Data")</f>
        <v>10601.41</v>
      </c>
      <c r="P1062" s="28" t="str">
        <f t="array" ref="P1062">_xlfn.XLOOKUP($A1062, 'Hospitalisation Details'!$A:$A, 'Hospitalisation Details'!H:H, "No Data")</f>
        <v>tier - 3</v>
      </c>
    </row>
    <row r="1063">
      <c r="A1063" s="25" t="s">
        <v>3381</v>
      </c>
      <c r="B1063" s="28" t="str">
        <f t="array" ref="B1063">_xlfn.XLOOKUP($A1063, 'Customer Names'!$A:$A, 'Customer Names'!B:B, "No Data")</f>
        <v>Steele</v>
      </c>
      <c r="C1063" s="28">
        <f t="array" ref="C1063">_xlfn.XLOOKUP($A1063, 'Medical Examinations'!$A:$A, 'Medical Examinations'!B:B, "No Data")</f>
        <v>30.97</v>
      </c>
      <c r="D1063" s="28">
        <f t="array" ref="D1063">_xlfn.XLOOKUP($A1063, 'Medical Examinations'!$A:$A, 'Medical Examinations'!C:C, "No Data")</f>
        <v>5.54</v>
      </c>
      <c r="E1063" s="28" t="str">
        <f t="array" ref="E1063">_xlfn.XLOOKUP($A1063, 'Medical Examinations'!$A:$A, 'Medical Examinations'!D:D, "No Data")</f>
        <v>No</v>
      </c>
      <c r="F1063" s="28" t="str">
        <f t="array" ref="F1063">_xlfn.XLOOKUP($A1063, 'Medical Examinations'!$A:$A, 'Medical Examinations'!E:E, "No Data")</f>
        <v>No</v>
      </c>
      <c r="G1063" s="28" t="str">
        <f t="array" ref="G1063">_xlfn.XLOOKUP($A1063, 'Medical Examinations'!$A:$A, 'Medical Examinations'!F:F, "No Data")</f>
        <v>No</v>
      </c>
      <c r="H1063" s="28">
        <f t="array" ref="H1063">_xlfn.XLOOKUP($A1063, 'Medical Examinations'!$A:$A, 'Medical Examinations'!G:G, "No Data")</f>
        <v>2</v>
      </c>
      <c r="I1063" s="28" t="str">
        <f t="array" ref="I1063">_xlfn.XLOOKUP($A1063, 'Medical Examinations'!$A:$A, 'Medical Examinations'!H:H, "No Data")</f>
        <v>No</v>
      </c>
      <c r="J1063" s="28" t="str">
        <f t="array" ref="J1063">_xlfn.XLOOKUP($A1063, 'Medical Examinations'!$A:$A, 'Medical Examinations'!I:I, "No Data")</f>
        <v>Obesity</v>
      </c>
      <c r="K1063" s="28" t="str">
        <f t="array" ref="K1063">_xlfn.XLOOKUP($A1063, 'Hospitalisation Details'!$A:$A, 'Hospitalisation Details'!I:I, "No Data")</f>
        <v>tier - 1</v>
      </c>
      <c r="L1063" s="28" t="str">
        <f t="array" ref="L1063">_xlfn.XLOOKUP($A1063, 'Hospitalisation Details'!$A:$A, 'Hospitalisation Details'!J:J, "No Data")</f>
        <v>R1012</v>
      </c>
      <c r="M1063" s="28" t="str">
        <f t="array" ref="M1063">_xlfn.XLOOKUP($A1063, 'Hospitalisation Details'!$A:$A, 'Hospitalisation Details'!E:E, "No Data")</f>
        <v>14/12/72</v>
      </c>
      <c r="N1063" s="28">
        <f t="array" ref="N1063">_xlfn.XLOOKUP($A1063, 'Hospitalisation Details'!$A:$A, 'Hospitalisation Details'!K:K, "No Data")</f>
        <v>50</v>
      </c>
      <c r="O1063" s="33">
        <f t="array" ref="O1063">_xlfn.XLOOKUP($A1063, 'Hospitalisation Details'!$A:$A, 'Hospitalisation Details'!G:G, "No Data")</f>
        <v>10600.55</v>
      </c>
      <c r="P1063" s="28" t="str">
        <f t="array" ref="P1063">_xlfn.XLOOKUP($A1063, 'Hospitalisation Details'!$A:$A, 'Hospitalisation Details'!H:H, "No Data")</f>
        <v>tier - 3</v>
      </c>
    </row>
    <row r="1064">
      <c r="A1064" s="25" t="s">
        <v>3383</v>
      </c>
      <c r="B1064" s="28" t="str">
        <f t="array" ref="B1064">_xlfn.XLOOKUP($A1064, 'Customer Names'!$A:$A, 'Customer Names'!B:B, "No Data")</f>
        <v>Harel</v>
      </c>
      <c r="C1064" s="28">
        <f t="array" ref="C1064">_xlfn.XLOOKUP($A1064, 'Medical Examinations'!$A:$A, 'Medical Examinations'!B:B, "No Data")</f>
        <v>27.645</v>
      </c>
      <c r="D1064" s="28">
        <f t="array" ref="D1064">_xlfn.XLOOKUP($A1064, 'Medical Examinations'!$A:$A, 'Medical Examinations'!C:C, "No Data")</f>
        <v>8.87</v>
      </c>
      <c r="E1064" s="28" t="str">
        <f t="array" ref="E1064">_xlfn.XLOOKUP($A1064, 'Medical Examinations'!$A:$A, 'Medical Examinations'!D:D, "No Data")</f>
        <v>yes</v>
      </c>
      <c r="F1064" s="28" t="str">
        <f t="array" ref="F1064">_xlfn.XLOOKUP($A1064, 'Medical Examinations'!$A:$A, 'Medical Examinations'!E:E, "No Data")</f>
        <v>No</v>
      </c>
      <c r="G1064" s="28" t="str">
        <f t="array" ref="G1064">_xlfn.XLOOKUP($A1064, 'Medical Examinations'!$A:$A, 'Medical Examinations'!F:F, "No Data")</f>
        <v>No</v>
      </c>
      <c r="H1064" s="28">
        <f t="array" ref="H1064">_xlfn.XLOOKUP($A1064, 'Medical Examinations'!$A:$A, 'Medical Examinations'!G:G, "No Data")</f>
        <v>0</v>
      </c>
      <c r="I1064" s="28" t="str">
        <f t="array" ref="I1064">_xlfn.XLOOKUP($A1064, 'Medical Examinations'!$A:$A, 'Medical Examinations'!H:H, "No Data")</f>
        <v>No</v>
      </c>
      <c r="J1064" s="28" t="str">
        <f t="array" ref="J1064">_xlfn.XLOOKUP($A1064, 'Medical Examinations'!$A:$A, 'Medical Examinations'!I:I, "No Data")</f>
        <v>Overweight</v>
      </c>
      <c r="K1064" s="28" t="str">
        <f t="array" ref="K1064">_xlfn.XLOOKUP($A1064, 'Hospitalisation Details'!$A:$A, 'Hospitalisation Details'!I:I, "No Data")</f>
        <v>tier - 1</v>
      </c>
      <c r="L1064" s="28" t="str">
        <f t="array" ref="L1064">_xlfn.XLOOKUP($A1064, 'Hospitalisation Details'!$A:$A, 'Hospitalisation Details'!J:J, "No Data")</f>
        <v>R1012</v>
      </c>
      <c r="M1064" s="28" t="str">
        <f t="array" ref="M1064">_xlfn.XLOOKUP($A1064, 'Hospitalisation Details'!$A:$A, 'Hospitalisation Details'!E:E, "No Data")</f>
        <v>29/11/67</v>
      </c>
      <c r="N1064" s="28">
        <f t="array" ref="N1064">_xlfn.XLOOKUP($A1064, 'Hospitalisation Details'!$A:$A, 'Hospitalisation Details'!K:K, "No Data")</f>
        <v>55</v>
      </c>
      <c r="O1064" s="33">
        <f t="array" ref="O1064">_xlfn.XLOOKUP($A1064, 'Hospitalisation Details'!$A:$A, 'Hospitalisation Details'!G:G, "No Data")</f>
        <v>10594.5</v>
      </c>
      <c r="P1064" s="28" t="str">
        <f t="array" ref="P1064">_xlfn.XLOOKUP($A1064, 'Hospitalisation Details'!$A:$A, 'Hospitalisation Details'!H:H, "No Data")</f>
        <v>tier - 3</v>
      </c>
    </row>
    <row r="1065">
      <c r="A1065" s="25" t="s">
        <v>3387</v>
      </c>
      <c r="B1065" s="28" t="str">
        <f t="array" ref="B1065">_xlfn.XLOOKUP($A1065, 'Customer Names'!$A:$A, 'Customer Names'!B:B, "No Data")</f>
        <v>Aguila</v>
      </c>
      <c r="C1065" s="28">
        <f t="array" ref="C1065">_xlfn.XLOOKUP($A1065, 'Medical Examinations'!$A:$A, 'Medical Examinations'!B:B, "No Data")</f>
        <v>34.43</v>
      </c>
      <c r="D1065" s="28">
        <f t="array" ref="D1065">_xlfn.XLOOKUP($A1065, 'Medical Examinations'!$A:$A, 'Medical Examinations'!C:C, "No Data")</f>
        <v>5.96</v>
      </c>
      <c r="E1065" s="28" t="str">
        <f t="array" ref="E1065">_xlfn.XLOOKUP($A1065, 'Medical Examinations'!$A:$A, 'Medical Examinations'!D:D, "No Data")</f>
        <v>yes</v>
      </c>
      <c r="F1065" s="28" t="str">
        <f t="array" ref="F1065">_xlfn.XLOOKUP($A1065, 'Medical Examinations'!$A:$A, 'Medical Examinations'!E:E, "No Data")</f>
        <v>No</v>
      </c>
      <c r="G1065" s="28" t="str">
        <f t="array" ref="G1065">_xlfn.XLOOKUP($A1065, 'Medical Examinations'!$A:$A, 'Medical Examinations'!F:F, "No Data")</f>
        <v>No</v>
      </c>
      <c r="H1065" s="28">
        <f t="array" ref="H1065">_xlfn.XLOOKUP($A1065, 'Medical Examinations'!$A:$A, 'Medical Examinations'!G:G, "No Data")</f>
        <v>2</v>
      </c>
      <c r="I1065" s="28" t="str">
        <f t="array" ref="I1065">_xlfn.XLOOKUP($A1065, 'Medical Examinations'!$A:$A, 'Medical Examinations'!H:H, "No Data")</f>
        <v>No</v>
      </c>
      <c r="J1065" s="28" t="str">
        <f t="array" ref="J1065">_xlfn.XLOOKUP($A1065, 'Medical Examinations'!$A:$A, 'Medical Examinations'!I:I, "No Data")</f>
        <v>Obesity</v>
      </c>
      <c r="K1065" s="28" t="str">
        <f t="array" ref="K1065">_xlfn.XLOOKUP($A1065, 'Hospitalisation Details'!$A:$A, 'Hospitalisation Details'!I:I, "No Data")</f>
        <v>tier - 3</v>
      </c>
      <c r="L1065" s="28" t="str">
        <f t="array" ref="L1065">_xlfn.XLOOKUP($A1065, 'Hospitalisation Details'!$A:$A, 'Hospitalisation Details'!J:J, "No Data")</f>
        <v>R1013</v>
      </c>
      <c r="M1065" s="28" t="str">
        <f t="array" ref="M1065">_xlfn.XLOOKUP($A1065, 'Hospitalisation Details'!$A:$A, 'Hospitalisation Details'!E:E, "No Data")</f>
        <v>03/11/66</v>
      </c>
      <c r="N1065" s="28">
        <f t="array" ref="N1065">_xlfn.XLOOKUP($A1065, 'Hospitalisation Details'!$A:$A, 'Hospitalisation Details'!K:K, "No Data")</f>
        <v>56</v>
      </c>
      <c r="O1065" s="33">
        <f t="array" ref="O1065">_xlfn.XLOOKUP($A1065, 'Hospitalisation Details'!$A:$A, 'Hospitalisation Details'!G:G, "No Data")</f>
        <v>10594.23</v>
      </c>
      <c r="P1065" s="28" t="str">
        <f t="array" ref="P1065">_xlfn.XLOOKUP($A1065, 'Hospitalisation Details'!$A:$A, 'Hospitalisation Details'!H:H, "No Data")</f>
        <v>tier - 3</v>
      </c>
    </row>
    <row r="1066">
      <c r="A1066" s="25" t="s">
        <v>3390</v>
      </c>
      <c r="B1066" s="28" t="str">
        <f t="array" ref="B1066">_xlfn.XLOOKUP($A1066, 'Customer Names'!$A:$A, 'Customer Names'!B:B, "No Data")</f>
        <v>Vallejo Sarmiento</v>
      </c>
      <c r="C1066" s="28">
        <f t="array" ref="C1066">_xlfn.XLOOKUP($A1066, 'Medical Examinations'!$A:$A, 'Medical Examinations'!B:B, "No Data")</f>
        <v>39.6</v>
      </c>
      <c r="D1066" s="28">
        <f t="array" ref="D1066">_xlfn.XLOOKUP($A1066, 'Medical Examinations'!$A:$A, 'Medical Examinations'!C:C, "No Data")</f>
        <v>4.44</v>
      </c>
      <c r="E1066" s="28" t="str">
        <f t="array" ref="E1066">_xlfn.XLOOKUP($A1066, 'Medical Examinations'!$A:$A, 'Medical Examinations'!D:D, "No Data")</f>
        <v>yes</v>
      </c>
      <c r="F1066" s="28" t="str">
        <f t="array" ref="F1066">_xlfn.XLOOKUP($A1066, 'Medical Examinations'!$A:$A, 'Medical Examinations'!E:E, "No Data")</f>
        <v>No</v>
      </c>
      <c r="G1066" s="28" t="str">
        <f t="array" ref="G1066">_xlfn.XLOOKUP($A1066, 'Medical Examinations'!$A:$A, 'Medical Examinations'!F:F, "No Data")</f>
        <v>Yes</v>
      </c>
      <c r="H1066" s="28">
        <f t="array" ref="H1066">_xlfn.XLOOKUP($A1066, 'Medical Examinations'!$A:$A, 'Medical Examinations'!G:G, "No Data")</f>
        <v>1</v>
      </c>
      <c r="I1066" s="28" t="str">
        <f t="array" ref="I1066">_xlfn.XLOOKUP($A1066, 'Medical Examinations'!$A:$A, 'Medical Examinations'!H:H, "No Data")</f>
        <v>No</v>
      </c>
      <c r="J1066" s="28" t="str">
        <f t="array" ref="J1066">_xlfn.XLOOKUP($A1066, 'Medical Examinations'!$A:$A, 'Medical Examinations'!I:I, "No Data")</f>
        <v>Obesity</v>
      </c>
      <c r="K1066" s="28" t="str">
        <f t="array" ref="K1066">_xlfn.XLOOKUP($A1066, 'Hospitalisation Details'!$A:$A, 'Hospitalisation Details'!I:I, "No Data")</f>
        <v>tier - 3</v>
      </c>
      <c r="L1066" s="28" t="str">
        <f t="array" ref="L1066">_xlfn.XLOOKUP($A1066, 'Hospitalisation Details'!$A:$A, 'Hospitalisation Details'!J:J, "No Data")</f>
        <v>R1013</v>
      </c>
      <c r="M1066" s="28" t="str">
        <f t="array" ref="M1066">_xlfn.XLOOKUP($A1066, 'Hospitalisation Details'!$A:$A, 'Hospitalisation Details'!E:E, "No Data")</f>
        <v>25/12/69</v>
      </c>
      <c r="N1066" s="28">
        <f t="array" ref="N1066">_xlfn.XLOOKUP($A1066, 'Hospitalisation Details'!$A:$A, 'Hospitalisation Details'!K:K, "No Data")</f>
        <v>53</v>
      </c>
      <c r="O1066" s="33">
        <f t="array" ref="O1066">_xlfn.XLOOKUP($A1066, 'Hospitalisation Details'!$A:$A, 'Hospitalisation Details'!G:G, "No Data")</f>
        <v>10579.71</v>
      </c>
      <c r="P1066" s="28" t="str">
        <f t="array" ref="P1066">_xlfn.XLOOKUP($A1066, 'Hospitalisation Details'!$A:$A, 'Hospitalisation Details'!H:H, "No Data")</f>
        <v>tier - 3</v>
      </c>
    </row>
    <row r="1067">
      <c r="A1067" s="25" t="s">
        <v>3394</v>
      </c>
      <c r="B1067" s="28" t="str">
        <f t="array" ref="B1067">_xlfn.XLOOKUP($A1067, 'Customer Names'!$A:$A, 'Customer Names'!B:B, "No Data")</f>
        <v>Beisheim</v>
      </c>
      <c r="C1067" s="28">
        <f t="array" ref="C1067">_xlfn.XLOOKUP($A1067, 'Medical Examinations'!$A:$A, 'Medical Examinations'!B:B, "No Data")</f>
        <v>22.1</v>
      </c>
      <c r="D1067" s="28">
        <f t="array" ref="D1067">_xlfn.XLOOKUP($A1067, 'Medical Examinations'!$A:$A, 'Medical Examinations'!C:C, "No Data")</f>
        <v>4.65</v>
      </c>
      <c r="E1067" s="28" t="str">
        <f t="array" ref="E1067">_xlfn.XLOOKUP($A1067, 'Medical Examinations'!$A:$A, 'Medical Examinations'!D:D, "No Data")</f>
        <v>yes</v>
      </c>
      <c r="F1067" s="28" t="str">
        <f t="array" ref="F1067">_xlfn.XLOOKUP($A1067, 'Medical Examinations'!$A:$A, 'Medical Examinations'!E:E, "No Data")</f>
        <v>No</v>
      </c>
      <c r="G1067" s="28" t="str">
        <f t="array" ref="G1067">_xlfn.XLOOKUP($A1067, 'Medical Examinations'!$A:$A, 'Medical Examinations'!F:F, "No Data")</f>
        <v>No</v>
      </c>
      <c r="H1067" s="28">
        <f t="array" ref="H1067">_xlfn.XLOOKUP($A1067, 'Medical Examinations'!$A:$A, 'Medical Examinations'!G:G, "No Data")</f>
        <v>2</v>
      </c>
      <c r="I1067" s="28" t="str">
        <f t="array" ref="I1067">_xlfn.XLOOKUP($A1067, 'Medical Examinations'!$A:$A, 'Medical Examinations'!H:H, "No Data")</f>
        <v>No</v>
      </c>
      <c r="J1067" s="28" t="str">
        <f t="array" ref="J1067">_xlfn.XLOOKUP($A1067, 'Medical Examinations'!$A:$A, 'Medical Examinations'!I:I, "No Data")</f>
        <v>Normal Weight</v>
      </c>
      <c r="K1067" s="28" t="str">
        <f t="array" ref="K1067">_xlfn.XLOOKUP($A1067, 'Hospitalisation Details'!$A:$A, 'Hospitalisation Details'!I:I, "No Data")</f>
        <v>tier - 3</v>
      </c>
      <c r="L1067" s="28" t="str">
        <f t="array" ref="L1067">_xlfn.XLOOKUP($A1067, 'Hospitalisation Details'!$A:$A, 'Hospitalisation Details'!J:J, "No Data")</f>
        <v>R1011</v>
      </c>
      <c r="M1067" s="28" t="str">
        <f t="array" ref="M1067">_xlfn.XLOOKUP($A1067, 'Hospitalisation Details'!$A:$A, 'Hospitalisation Details'!E:E, "No Data")</f>
        <v>11/12/66</v>
      </c>
      <c r="N1067" s="28">
        <f t="array" ref="N1067">_xlfn.XLOOKUP($A1067, 'Hospitalisation Details'!$A:$A, 'Hospitalisation Details'!K:K, "No Data")</f>
        <v>56</v>
      </c>
      <c r="O1067" s="33">
        <f t="array" ref="O1067">_xlfn.XLOOKUP($A1067, 'Hospitalisation Details'!$A:$A, 'Hospitalisation Details'!G:G, "No Data")</f>
        <v>10577.09</v>
      </c>
      <c r="P1067" s="28" t="str">
        <f t="array" ref="P1067">_xlfn.XLOOKUP($A1067, 'Hospitalisation Details'!$A:$A, 'Hospitalisation Details'!H:H, "No Data")</f>
        <v>tier - 3</v>
      </c>
    </row>
    <row r="1068">
      <c r="A1068" s="25" t="s">
        <v>3397</v>
      </c>
      <c r="B1068" s="28" t="str">
        <f t="array" ref="B1068">_xlfn.XLOOKUP($A1068, 'Customer Names'!$A:$A, 'Customer Names'!B:B, "No Data")</f>
        <v>Lenhoff</v>
      </c>
      <c r="C1068" s="28">
        <f t="array" ref="C1068">_xlfn.XLOOKUP($A1068, 'Medical Examinations'!$A:$A, 'Medical Examinations'!B:B, "No Data")</f>
        <v>33.25</v>
      </c>
      <c r="D1068" s="28">
        <f t="array" ref="D1068">_xlfn.XLOOKUP($A1068, 'Medical Examinations'!$A:$A, 'Medical Examinations'!C:C, "No Data")</f>
        <v>5.64</v>
      </c>
      <c r="E1068" s="28" t="str">
        <f t="array" ref="E1068">_xlfn.XLOOKUP($A1068, 'Medical Examinations'!$A:$A, 'Medical Examinations'!D:D, "No Data")</f>
        <v>yes</v>
      </c>
      <c r="F1068" s="28" t="str">
        <f t="array" ref="F1068">_xlfn.XLOOKUP($A1068, 'Medical Examinations'!$A:$A, 'Medical Examinations'!E:E, "No Data")</f>
        <v>No</v>
      </c>
      <c r="G1068" s="28" t="str">
        <f t="array" ref="G1068">_xlfn.XLOOKUP($A1068, 'Medical Examinations'!$A:$A, 'Medical Examinations'!F:F, "No Data")</f>
        <v>Yes</v>
      </c>
      <c r="H1068" s="28">
        <f t="array" ref="H1068">_xlfn.XLOOKUP($A1068, 'Medical Examinations'!$A:$A, 'Medical Examinations'!G:G, "No Data")</f>
        <v>1</v>
      </c>
      <c r="I1068" s="28" t="str">
        <f t="array" ref="I1068">_xlfn.XLOOKUP($A1068, 'Medical Examinations'!$A:$A, 'Medical Examinations'!H:H, "No Data")</f>
        <v>No</v>
      </c>
      <c r="J1068" s="28" t="str">
        <f t="array" ref="J1068">_xlfn.XLOOKUP($A1068, 'Medical Examinations'!$A:$A, 'Medical Examinations'!I:I, "No Data")</f>
        <v>Obesity</v>
      </c>
      <c r="K1068" s="28" t="str">
        <f t="array" ref="K1068">_xlfn.XLOOKUP($A1068, 'Hospitalisation Details'!$A:$A, 'Hospitalisation Details'!I:I, "No Data")</f>
        <v>tier - 1</v>
      </c>
      <c r="L1068" s="28" t="str">
        <f t="array" ref="L1068">_xlfn.XLOOKUP($A1068, 'Hospitalisation Details'!$A:$A, 'Hospitalisation Details'!J:J, "No Data")</f>
        <v>R1024</v>
      </c>
      <c r="M1068" s="28" t="str">
        <f t="array" ref="M1068">_xlfn.XLOOKUP($A1068, 'Hospitalisation Details'!$A:$A, 'Hospitalisation Details'!E:E, "No Data")</f>
        <v>17/07/69</v>
      </c>
      <c r="N1068" s="28">
        <f t="array" ref="N1068">_xlfn.XLOOKUP($A1068, 'Hospitalisation Details'!$A:$A, 'Hospitalisation Details'!K:K, "No Data")</f>
        <v>53</v>
      </c>
      <c r="O1068" s="33">
        <f t="array" ref="O1068">_xlfn.XLOOKUP($A1068, 'Hospitalisation Details'!$A:$A, 'Hospitalisation Details'!G:G, "No Data")</f>
        <v>10564.88</v>
      </c>
      <c r="P1068" s="28" t="str">
        <f t="array" ref="P1068">_xlfn.XLOOKUP($A1068, 'Hospitalisation Details'!$A:$A, 'Hospitalisation Details'!H:H, "No Data")</f>
        <v>tier - 3</v>
      </c>
    </row>
    <row r="1069">
      <c r="A1069" s="25" t="s">
        <v>3401</v>
      </c>
      <c r="B1069" s="28" t="str">
        <f t="array" ref="B1069">_xlfn.XLOOKUP($A1069, 'Customer Names'!$A:$A, 'Customer Names'!B:B, "No Data")</f>
        <v>Wehrwein</v>
      </c>
      <c r="C1069" s="28">
        <f t="array" ref="C1069">_xlfn.XLOOKUP($A1069, 'Medical Examinations'!$A:$A, 'Medical Examinations'!B:B, "No Data")</f>
        <v>33.33</v>
      </c>
      <c r="D1069" s="28">
        <f t="array" ref="D1069">_xlfn.XLOOKUP($A1069, 'Medical Examinations'!$A:$A, 'Medical Examinations'!C:C, "No Data")</f>
        <v>10.19</v>
      </c>
      <c r="E1069" s="28" t="str">
        <f t="array" ref="E1069">_xlfn.XLOOKUP($A1069, 'Medical Examinations'!$A:$A, 'Medical Examinations'!D:D, "No Data")</f>
        <v>No</v>
      </c>
      <c r="F1069" s="28" t="str">
        <f t="array" ref="F1069">_xlfn.XLOOKUP($A1069, 'Medical Examinations'!$A:$A, 'Medical Examinations'!E:E, "No Data")</f>
        <v>No</v>
      </c>
      <c r="G1069" s="28" t="str">
        <f t="array" ref="G1069">_xlfn.XLOOKUP($A1069, 'Medical Examinations'!$A:$A, 'Medical Examinations'!F:F, "No Data")</f>
        <v>No</v>
      </c>
      <c r="H1069" s="28">
        <f t="array" ref="H1069">_xlfn.XLOOKUP($A1069, 'Medical Examinations'!$A:$A, 'Medical Examinations'!G:G, "No Data")</f>
        <v>0</v>
      </c>
      <c r="I1069" s="28" t="str">
        <f t="array" ref="I1069">_xlfn.XLOOKUP($A1069, 'Medical Examinations'!$A:$A, 'Medical Examinations'!H:H, "No Data")</f>
        <v>No</v>
      </c>
      <c r="J1069" s="28" t="str">
        <f t="array" ref="J1069">_xlfn.XLOOKUP($A1069, 'Medical Examinations'!$A:$A, 'Medical Examinations'!I:I, "No Data")</f>
        <v>Obesity</v>
      </c>
      <c r="K1069" s="28" t="str">
        <f t="array" ref="K1069">_xlfn.XLOOKUP($A1069, 'Hospitalisation Details'!$A:$A, 'Hospitalisation Details'!I:I, "No Data")</f>
        <v>tier - 2</v>
      </c>
      <c r="L1069" s="28" t="str">
        <f t="array" ref="L1069">_xlfn.XLOOKUP($A1069, 'Hospitalisation Details'!$A:$A, 'Hospitalisation Details'!J:J, "No Data")</f>
        <v>R1013</v>
      </c>
      <c r="M1069" s="28" t="str">
        <f t="array" ref="M1069">_xlfn.XLOOKUP($A1069, 'Hospitalisation Details'!$A:$A, 'Hospitalisation Details'!E:E, "No Data")</f>
        <v>29/06/71</v>
      </c>
      <c r="N1069" s="28">
        <f t="array" ref="N1069">_xlfn.XLOOKUP($A1069, 'Hospitalisation Details'!$A:$A, 'Hospitalisation Details'!K:K, "No Data")</f>
        <v>51</v>
      </c>
      <c r="O1069" s="33">
        <f t="array" ref="O1069">_xlfn.XLOOKUP($A1069, 'Hospitalisation Details'!$A:$A, 'Hospitalisation Details'!G:G, "No Data")</f>
        <v>10560.49</v>
      </c>
      <c r="P1069" s="28" t="str">
        <f t="array" ref="P1069">_xlfn.XLOOKUP($A1069, 'Hospitalisation Details'!$A:$A, 'Hospitalisation Details'!H:H, "No Data")</f>
        <v>tier - 3</v>
      </c>
    </row>
    <row r="1070">
      <c r="A1070" s="25" t="s">
        <v>3404</v>
      </c>
      <c r="B1070" s="28" t="str">
        <f t="array" ref="B1070">_xlfn.XLOOKUP($A1070, 'Customer Names'!$A:$A, 'Customer Names'!B:B, "No Data")</f>
        <v>Wallace</v>
      </c>
      <c r="C1070" s="28">
        <f t="array" ref="C1070">_xlfn.XLOOKUP($A1070, 'Medical Examinations'!$A:$A, 'Medical Examinations'!B:B, "No Data")</f>
        <v>30.5</v>
      </c>
      <c r="D1070" s="28">
        <f t="array" ref="D1070">_xlfn.XLOOKUP($A1070, 'Medical Examinations'!$A:$A, 'Medical Examinations'!C:C, "No Data")</f>
        <v>10.79</v>
      </c>
      <c r="E1070" s="28" t="str">
        <f t="array" ref="E1070">_xlfn.XLOOKUP($A1070, 'Medical Examinations'!$A:$A, 'Medical Examinations'!D:D, "No Data")</f>
        <v>No</v>
      </c>
      <c r="F1070" s="28" t="str">
        <f t="array" ref="F1070">_xlfn.XLOOKUP($A1070, 'Medical Examinations'!$A:$A, 'Medical Examinations'!E:E, "No Data")</f>
        <v>No</v>
      </c>
      <c r="G1070" s="28" t="str">
        <f t="array" ref="G1070">_xlfn.XLOOKUP($A1070, 'Medical Examinations'!$A:$A, 'Medical Examinations'!F:F, "No Data")</f>
        <v>No</v>
      </c>
      <c r="H1070" s="28">
        <f t="array" ref="H1070">_xlfn.XLOOKUP($A1070, 'Medical Examinations'!$A:$A, 'Medical Examinations'!G:G, "No Data")</f>
        <v>0</v>
      </c>
      <c r="I1070" s="28" t="str">
        <f t="array" ref="I1070">_xlfn.XLOOKUP($A1070, 'Medical Examinations'!$A:$A, 'Medical Examinations'!H:H, "No Data")</f>
        <v>No</v>
      </c>
      <c r="J1070" s="28" t="str">
        <f t="array" ref="J1070">_xlfn.XLOOKUP($A1070, 'Medical Examinations'!$A:$A, 'Medical Examinations'!I:I, "No Data")</f>
        <v>Obesity</v>
      </c>
      <c r="K1070" s="28" t="str">
        <f t="array" ref="K1070">_xlfn.XLOOKUP($A1070, 'Hospitalisation Details'!$A:$A, 'Hospitalisation Details'!I:I, "No Data")</f>
        <v>tier - 3</v>
      </c>
      <c r="L1070" s="28" t="str">
        <f t="array" ref="L1070">_xlfn.XLOOKUP($A1070, 'Hospitalisation Details'!$A:$A, 'Hospitalisation Details'!J:J, "No Data")</f>
        <v>R1011</v>
      </c>
      <c r="M1070" s="28" t="str">
        <f t="array" ref="M1070">_xlfn.XLOOKUP($A1070, 'Hospitalisation Details'!$A:$A, 'Hospitalisation Details'!E:E, "No Data")</f>
        <v>26/09/71</v>
      </c>
      <c r="N1070" s="28">
        <f t="array" ref="N1070">_xlfn.XLOOKUP($A1070, 'Hospitalisation Details'!$A:$A, 'Hospitalisation Details'!K:K, "No Data")</f>
        <v>51</v>
      </c>
      <c r="O1070" s="33">
        <f t="array" ref="O1070">_xlfn.XLOOKUP($A1070, 'Hospitalisation Details'!$A:$A, 'Hospitalisation Details'!G:G, "No Data")</f>
        <v>10546.48</v>
      </c>
      <c r="P1070" s="28" t="str">
        <f t="array" ref="P1070">_xlfn.XLOOKUP($A1070, 'Hospitalisation Details'!$A:$A, 'Hospitalisation Details'!H:H, "No Data")</f>
        <v>tier - 3</v>
      </c>
    </row>
    <row r="1071">
      <c r="A1071" s="25" t="s">
        <v>3406</v>
      </c>
      <c r="B1071" s="28" t="str">
        <f t="array" ref="B1071">_xlfn.XLOOKUP($A1071, 'Customer Names'!$A:$A, 'Customer Names'!B:B, "No Data")</f>
        <v>Markowitz</v>
      </c>
      <c r="C1071" s="28">
        <f t="array" ref="C1071">_xlfn.XLOOKUP($A1071, 'Medical Examinations'!$A:$A, 'Medical Examinations'!B:B, "No Data")</f>
        <v>30.3</v>
      </c>
      <c r="D1071" s="28">
        <f t="array" ref="D1071">_xlfn.XLOOKUP($A1071, 'Medical Examinations'!$A:$A, 'Medical Examinations'!C:C, "No Data")</f>
        <v>4.24</v>
      </c>
      <c r="E1071" s="28" t="str">
        <f t="array" ref="E1071">_xlfn.XLOOKUP($A1071, 'Medical Examinations'!$A:$A, 'Medical Examinations'!D:D, "No Data")</f>
        <v>No</v>
      </c>
      <c r="F1071" s="28" t="str">
        <f t="array" ref="F1071">_xlfn.XLOOKUP($A1071, 'Medical Examinations'!$A:$A, 'Medical Examinations'!E:E, "No Data")</f>
        <v>No</v>
      </c>
      <c r="G1071" s="28" t="str">
        <f t="array" ref="G1071">_xlfn.XLOOKUP($A1071, 'Medical Examinations'!$A:$A, 'Medical Examinations'!F:F, "No Data")</f>
        <v>No</v>
      </c>
      <c r="H1071" s="28">
        <f t="array" ref="H1071">_xlfn.XLOOKUP($A1071, 'Medical Examinations'!$A:$A, 'Medical Examinations'!G:G, "No Data")</f>
        <v>0</v>
      </c>
      <c r="I1071" s="28" t="str">
        <f t="array" ref="I1071">_xlfn.XLOOKUP($A1071, 'Medical Examinations'!$A:$A, 'Medical Examinations'!H:H, "No Data")</f>
        <v>No</v>
      </c>
      <c r="J1071" s="28" t="str">
        <f t="array" ref="J1071">_xlfn.XLOOKUP($A1071, 'Medical Examinations'!$A:$A, 'Medical Examinations'!I:I, "No Data")</f>
        <v>Obesity</v>
      </c>
      <c r="K1071" s="28" t="str">
        <f t="array" ref="K1071">_xlfn.XLOOKUP($A1071, 'Hospitalisation Details'!$A:$A, 'Hospitalisation Details'!I:I, "No Data")</f>
        <v>tier - 1</v>
      </c>
      <c r="L1071" s="28" t="str">
        <f t="array" ref="L1071">_xlfn.XLOOKUP($A1071, 'Hospitalisation Details'!$A:$A, 'Hospitalisation Details'!J:J, "No Data")</f>
        <v>R1012</v>
      </c>
      <c r="M1071" s="28" t="str">
        <f t="array" ref="M1071">_xlfn.XLOOKUP($A1071, 'Hospitalisation Details'!$A:$A, 'Hospitalisation Details'!E:E, "No Data")</f>
        <v>25/10/77</v>
      </c>
      <c r="N1071" s="28">
        <f t="array" ref="N1071">_xlfn.XLOOKUP($A1071, 'Hospitalisation Details'!$A:$A, 'Hospitalisation Details'!K:K, "No Data")</f>
        <v>45</v>
      </c>
      <c r="O1071" s="33">
        <f t="array" ref="O1071">_xlfn.XLOOKUP($A1071, 'Hospitalisation Details'!$A:$A, 'Hospitalisation Details'!G:G, "No Data")</f>
        <v>10495.6</v>
      </c>
      <c r="P1071" s="28" t="str">
        <f t="array" ref="P1071">_xlfn.XLOOKUP($A1071, 'Hospitalisation Details'!$A:$A, 'Hospitalisation Details'!H:H, "No Data")</f>
        <v>tier - 3</v>
      </c>
    </row>
    <row r="1072">
      <c r="A1072" s="25" t="s">
        <v>3410</v>
      </c>
      <c r="B1072" s="28" t="str">
        <f t="array" ref="B1072">_xlfn.XLOOKUP($A1072, 'Customer Names'!$A:$A, 'Customer Names'!B:B, "No Data")</f>
        <v>Vos</v>
      </c>
      <c r="C1072" s="28">
        <f t="array" ref="C1072">_xlfn.XLOOKUP($A1072, 'Medical Examinations'!$A:$A, 'Medical Examinations'!B:B, "No Data")</f>
        <v>26.22</v>
      </c>
      <c r="D1072" s="28">
        <f t="array" ref="D1072">_xlfn.XLOOKUP($A1072, 'Medical Examinations'!$A:$A, 'Medical Examinations'!C:C, "No Data")</f>
        <v>5.83</v>
      </c>
      <c r="E1072" s="28" t="str">
        <f t="array" ref="E1072">_xlfn.XLOOKUP($A1072, 'Medical Examinations'!$A:$A, 'Medical Examinations'!D:D, "No Data")</f>
        <v>No</v>
      </c>
      <c r="F1072" s="28" t="str">
        <f t="array" ref="F1072">_xlfn.XLOOKUP($A1072, 'Medical Examinations'!$A:$A, 'Medical Examinations'!E:E, "No Data")</f>
        <v>No</v>
      </c>
      <c r="G1072" s="28" t="str">
        <f t="array" ref="G1072">_xlfn.XLOOKUP($A1072, 'Medical Examinations'!$A:$A, 'Medical Examinations'!F:F, "No Data")</f>
        <v>No</v>
      </c>
      <c r="H1072" s="28">
        <f t="array" ref="H1072">_xlfn.XLOOKUP($A1072, 'Medical Examinations'!$A:$A, 'Medical Examinations'!G:G, "No Data")</f>
        <v>2</v>
      </c>
      <c r="I1072" s="28" t="str">
        <f t="array" ref="I1072">_xlfn.XLOOKUP($A1072, 'Medical Examinations'!$A:$A, 'Medical Examinations'!H:H, "No Data")</f>
        <v>No</v>
      </c>
      <c r="J1072" s="28" t="str">
        <f t="array" ref="J1072">_xlfn.XLOOKUP($A1072, 'Medical Examinations'!$A:$A, 'Medical Examinations'!I:I, "No Data")</f>
        <v>Overweight</v>
      </c>
      <c r="K1072" s="28" t="str">
        <f t="array" ref="K1072">_xlfn.XLOOKUP($A1072, 'Hospitalisation Details'!$A:$A, 'Hospitalisation Details'!I:I, "No Data")</f>
        <v>tier - 1</v>
      </c>
      <c r="L1072" s="28" t="str">
        <f t="array" ref="L1072">_xlfn.XLOOKUP($A1072, 'Hospitalisation Details'!$A:$A, 'Hospitalisation Details'!J:J, "No Data")</f>
        <v>R1012</v>
      </c>
      <c r="M1072" s="28" t="str">
        <f t="array" ref="M1072">_xlfn.XLOOKUP($A1072, 'Hospitalisation Details'!$A:$A, 'Hospitalisation Details'!E:E, "No Data")</f>
        <v>19/10/72</v>
      </c>
      <c r="N1072" s="28">
        <f t="array" ref="N1072">_xlfn.XLOOKUP($A1072, 'Hospitalisation Details'!$A:$A, 'Hospitalisation Details'!K:K, "No Data")</f>
        <v>50</v>
      </c>
      <c r="O1072" s="33">
        <f t="array" ref="O1072">_xlfn.XLOOKUP($A1072, 'Hospitalisation Details'!$A:$A, 'Hospitalisation Details'!G:G, "No Data")</f>
        <v>10493.95</v>
      </c>
      <c r="P1072" s="28" t="str">
        <f t="array" ref="P1072">_xlfn.XLOOKUP($A1072, 'Hospitalisation Details'!$A:$A, 'Hospitalisation Details'!H:H, "No Data")</f>
        <v>tier - 3</v>
      </c>
    </row>
    <row r="1073">
      <c r="A1073" s="25" t="s">
        <v>3412</v>
      </c>
      <c r="B1073" s="28" t="str">
        <f t="array" ref="B1073">_xlfn.XLOOKUP($A1073, 'Customer Names'!$A:$A, 'Customer Names'!B:B, "No Data")</f>
        <v>McLeod</v>
      </c>
      <c r="C1073" s="28">
        <f t="array" ref="C1073">_xlfn.XLOOKUP($A1073, 'Medical Examinations'!$A:$A, 'Medical Examinations'!B:B, "No Data")</f>
        <v>29.99</v>
      </c>
      <c r="D1073" s="28">
        <f t="array" ref="D1073">_xlfn.XLOOKUP($A1073, 'Medical Examinations'!$A:$A, 'Medical Examinations'!C:C, "No Data")</f>
        <v>11.85</v>
      </c>
      <c r="E1073" s="28" t="str">
        <f t="array" ref="E1073">_xlfn.XLOOKUP($A1073, 'Medical Examinations'!$A:$A, 'Medical Examinations'!D:D, "No Data")</f>
        <v>No</v>
      </c>
      <c r="F1073" s="28" t="str">
        <f t="array" ref="F1073">_xlfn.XLOOKUP($A1073, 'Medical Examinations'!$A:$A, 'Medical Examinations'!E:E, "No Data")</f>
        <v>No</v>
      </c>
      <c r="G1073" s="28" t="str">
        <f t="array" ref="G1073">_xlfn.XLOOKUP($A1073, 'Medical Examinations'!$A:$A, 'Medical Examinations'!F:F, "No Data")</f>
        <v>No</v>
      </c>
      <c r="H1073" s="28">
        <f t="array" ref="H1073">_xlfn.XLOOKUP($A1073, 'Medical Examinations'!$A:$A, 'Medical Examinations'!G:G, "No Data")</f>
        <v>0</v>
      </c>
      <c r="I1073" s="28" t="str">
        <f t="array" ref="I1073">_xlfn.XLOOKUP($A1073, 'Medical Examinations'!$A:$A, 'Medical Examinations'!H:H, "No Data")</f>
        <v>No</v>
      </c>
      <c r="J1073" s="28" t="str">
        <f t="array" ref="J1073">_xlfn.XLOOKUP($A1073, 'Medical Examinations'!$A:$A, 'Medical Examinations'!I:I, "No Data")</f>
        <v>Overweight</v>
      </c>
      <c r="K1073" s="28" t="str">
        <f t="array" ref="K1073">_xlfn.XLOOKUP($A1073, 'Hospitalisation Details'!$A:$A, 'Hospitalisation Details'!I:I, "No Data")</f>
        <v>tier - 3</v>
      </c>
      <c r="L1073" s="28" t="str">
        <f t="array" ref="L1073">_xlfn.XLOOKUP($A1073, 'Hospitalisation Details'!$A:$A, 'Hospitalisation Details'!J:J, "No Data")</f>
        <v>R1025</v>
      </c>
      <c r="M1073" s="28" t="str">
        <f t="array" ref="M1073">_xlfn.XLOOKUP($A1073, 'Hospitalisation Details'!$A:$A, 'Hospitalisation Details'!E:E, "No Data")</f>
        <v>21/08/78</v>
      </c>
      <c r="N1073" s="28">
        <f t="array" ref="N1073">_xlfn.XLOOKUP($A1073, 'Hospitalisation Details'!$A:$A, 'Hospitalisation Details'!K:K, "No Data")</f>
        <v>44</v>
      </c>
      <c r="O1073" s="33">
        <f t="array" ref="O1073">_xlfn.XLOOKUP($A1073, 'Hospitalisation Details'!$A:$A, 'Hospitalisation Details'!G:G, "No Data")</f>
        <v>10486.55</v>
      </c>
      <c r="P1073" s="28" t="str">
        <f t="array" ref="P1073">_xlfn.XLOOKUP($A1073, 'Hospitalisation Details'!$A:$A, 'Hospitalisation Details'!H:H, "No Data")</f>
        <v>tier - 3</v>
      </c>
    </row>
    <row r="1074">
      <c r="A1074" s="25" t="s">
        <v>3416</v>
      </c>
      <c r="B1074" s="28" t="str">
        <f t="array" ref="B1074">_xlfn.XLOOKUP($A1074, 'Customer Names'!$A:$A, 'Customer Names'!B:B, "No Data")</f>
        <v>Balcom</v>
      </c>
      <c r="C1074" s="28">
        <f t="array" ref="C1074">_xlfn.XLOOKUP($A1074, 'Medical Examinations'!$A:$A, 'Medical Examinations'!B:B, "No Data")</f>
        <v>36.38</v>
      </c>
      <c r="D1074" s="28">
        <f t="array" ref="D1074">_xlfn.XLOOKUP($A1074, 'Medical Examinations'!$A:$A, 'Medical Examinations'!C:C, "No Data")</f>
        <v>5.98</v>
      </c>
      <c r="E1074" s="28" t="str">
        <f t="array" ref="E1074">_xlfn.XLOOKUP($A1074, 'Medical Examinations'!$A:$A, 'Medical Examinations'!D:D, "No Data")</f>
        <v>No</v>
      </c>
      <c r="F1074" s="28" t="str">
        <f t="array" ref="F1074">_xlfn.XLOOKUP($A1074, 'Medical Examinations'!$A:$A, 'Medical Examinations'!E:E, "No Data")</f>
        <v>No</v>
      </c>
      <c r="G1074" s="28" t="str">
        <f t="array" ref="G1074">_xlfn.XLOOKUP($A1074, 'Medical Examinations'!$A:$A, 'Medical Examinations'!F:F, "No Data")</f>
        <v>No</v>
      </c>
      <c r="H1074" s="28">
        <f t="array" ref="H1074">_xlfn.XLOOKUP($A1074, 'Medical Examinations'!$A:$A, 'Medical Examinations'!G:G, "No Data")</f>
        <v>1</v>
      </c>
      <c r="I1074" s="28" t="str">
        <f t="array" ref="I1074">_xlfn.XLOOKUP($A1074, 'Medical Examinations'!$A:$A, 'Medical Examinations'!H:H, "No Data")</f>
        <v>No</v>
      </c>
      <c r="J1074" s="28" t="str">
        <f t="array" ref="J1074">_xlfn.XLOOKUP($A1074, 'Medical Examinations'!$A:$A, 'Medical Examinations'!I:I, "No Data")</f>
        <v>Obesity</v>
      </c>
      <c r="K1074" s="28" t="str">
        <f t="array" ref="K1074">_xlfn.XLOOKUP($A1074, 'Hospitalisation Details'!$A:$A, 'Hospitalisation Details'!I:I, "No Data")</f>
        <v>tier - 1</v>
      </c>
      <c r="L1074" s="28" t="str">
        <f t="array" ref="L1074">_xlfn.XLOOKUP($A1074, 'Hospitalisation Details'!$A:$A, 'Hospitalisation Details'!J:J, "No Data")</f>
        <v>R1012</v>
      </c>
      <c r="M1074" s="28" t="str">
        <f t="array" ref="M1074">_xlfn.XLOOKUP($A1074, 'Hospitalisation Details'!$A:$A, 'Hospitalisation Details'!E:E, "No Data")</f>
        <v>28/06/87</v>
      </c>
      <c r="N1074" s="28">
        <f t="array" ref="N1074">_xlfn.XLOOKUP($A1074, 'Hospitalisation Details'!$A:$A, 'Hospitalisation Details'!K:K, "No Data")</f>
        <v>35</v>
      </c>
      <c r="O1074" s="33">
        <f t="array" ref="O1074">_xlfn.XLOOKUP($A1074, 'Hospitalisation Details'!$A:$A, 'Hospitalisation Details'!G:G, "No Data")</f>
        <v>10464.83</v>
      </c>
      <c r="P1074" s="28" t="str">
        <f t="array" ref="P1074">_xlfn.XLOOKUP($A1074, 'Hospitalisation Details'!$A:$A, 'Hospitalisation Details'!H:H, "No Data")</f>
        <v>tier - 3</v>
      </c>
    </row>
    <row r="1075">
      <c r="A1075" s="25" t="s">
        <v>3419</v>
      </c>
      <c r="B1075" s="28" t="str">
        <f t="array" ref="B1075">_xlfn.XLOOKUP($A1075, 'Customer Names'!$A:$A, 'Customer Names'!B:B, "No Data")</f>
        <v>Dirth</v>
      </c>
      <c r="C1075" s="28">
        <f t="array" ref="C1075">_xlfn.XLOOKUP($A1075, 'Medical Examinations'!$A:$A, 'Medical Examinations'!B:B, "No Data")</f>
        <v>31.16</v>
      </c>
      <c r="D1075" s="28">
        <f t="array" ref="D1075">_xlfn.XLOOKUP($A1075, 'Medical Examinations'!$A:$A, 'Medical Examinations'!C:C, "No Data")</f>
        <v>4.26</v>
      </c>
      <c r="E1075" s="28" t="str">
        <f t="array" ref="E1075">_xlfn.XLOOKUP($A1075, 'Medical Examinations'!$A:$A, 'Medical Examinations'!D:D, "No Data")</f>
        <v>yes</v>
      </c>
      <c r="F1075" s="28" t="str">
        <f t="array" ref="F1075">_xlfn.XLOOKUP($A1075, 'Medical Examinations'!$A:$A, 'Medical Examinations'!E:E, "No Data")</f>
        <v>No</v>
      </c>
      <c r="G1075" s="28" t="str">
        <f t="array" ref="G1075">_xlfn.XLOOKUP($A1075, 'Medical Examinations'!$A:$A, 'Medical Examinations'!F:F, "No Data")</f>
        <v>Yes</v>
      </c>
      <c r="H1075" s="28">
        <f t="array" ref="H1075">_xlfn.XLOOKUP($A1075, 'Medical Examinations'!$A:$A, 'Medical Examinations'!G:G, "No Data")</f>
        <v>1</v>
      </c>
      <c r="I1075" s="28" t="str">
        <f t="array" ref="I1075">_xlfn.XLOOKUP($A1075, 'Medical Examinations'!$A:$A, 'Medical Examinations'!H:H, "No Data")</f>
        <v>No</v>
      </c>
      <c r="J1075" s="28" t="str">
        <f t="array" ref="J1075">_xlfn.XLOOKUP($A1075, 'Medical Examinations'!$A:$A, 'Medical Examinations'!I:I, "No Data")</f>
        <v>Obesity</v>
      </c>
      <c r="K1075" s="28" t="str">
        <f t="array" ref="K1075">_xlfn.XLOOKUP($A1075, 'Hospitalisation Details'!$A:$A, 'Hospitalisation Details'!I:I, "No Data")</f>
        <v>tier - 1</v>
      </c>
      <c r="L1075" s="28" t="str">
        <f t="array" ref="L1075">_xlfn.XLOOKUP($A1075, 'Hospitalisation Details'!$A:$A, 'Hospitalisation Details'!J:J, "No Data")</f>
        <v>R1012</v>
      </c>
      <c r="M1075" s="28" t="str">
        <f t="array" ref="M1075">_xlfn.XLOOKUP($A1075, 'Hospitalisation Details'!$A:$A, 'Hospitalisation Details'!E:E, "No Data")</f>
        <v>22/09/69</v>
      </c>
      <c r="N1075" s="28">
        <f t="array" ref="N1075">_xlfn.XLOOKUP($A1075, 'Hospitalisation Details'!$A:$A, 'Hospitalisation Details'!K:K, "No Data")</f>
        <v>53</v>
      </c>
      <c r="O1075" s="33">
        <f t="array" ref="O1075">_xlfn.XLOOKUP($A1075, 'Hospitalisation Details'!$A:$A, 'Hospitalisation Details'!G:G, "No Data")</f>
        <v>10461.98</v>
      </c>
      <c r="P1075" s="28" t="str">
        <f t="array" ref="P1075">_xlfn.XLOOKUP($A1075, 'Hospitalisation Details'!$A:$A, 'Hospitalisation Details'!H:H, "No Data")</f>
        <v>tier - 3</v>
      </c>
    </row>
    <row r="1076">
      <c r="A1076" s="25" t="s">
        <v>3422</v>
      </c>
      <c r="B1076" s="28" t="str">
        <f t="array" ref="B1076">_xlfn.XLOOKUP($A1076, 'Customer Names'!$A:$A, 'Customer Names'!B:B, "No Data")</f>
        <v>Inglish</v>
      </c>
      <c r="C1076" s="28">
        <f t="array" ref="C1076">_xlfn.XLOOKUP($A1076, 'Medical Examinations'!$A:$A, 'Medical Examinations'!B:B, "No Data")</f>
        <v>25.55</v>
      </c>
      <c r="D1076" s="28">
        <f t="array" ref="D1076">_xlfn.XLOOKUP($A1076, 'Medical Examinations'!$A:$A, 'Medical Examinations'!C:C, "No Data")</f>
        <v>4.96</v>
      </c>
      <c r="E1076" s="28" t="str">
        <f t="array" ref="E1076">_xlfn.XLOOKUP($A1076, 'Medical Examinations'!$A:$A, 'Medical Examinations'!D:D, "No Data")</f>
        <v>yes</v>
      </c>
      <c r="F1076" s="28" t="str">
        <f t="array" ref="F1076">_xlfn.XLOOKUP($A1076, 'Medical Examinations'!$A:$A, 'Medical Examinations'!E:E, "No Data")</f>
        <v>No</v>
      </c>
      <c r="G1076" s="28" t="str">
        <f t="array" ref="G1076">_xlfn.XLOOKUP($A1076, 'Medical Examinations'!$A:$A, 'Medical Examinations'!F:F, "No Data")</f>
        <v>No</v>
      </c>
      <c r="H1076" s="28">
        <f t="array" ref="H1076">_xlfn.XLOOKUP($A1076, 'Medical Examinations'!$A:$A, 'Medical Examinations'!G:G, "No Data")</f>
        <v>1</v>
      </c>
      <c r="I1076" s="28" t="str">
        <f t="array" ref="I1076">_xlfn.XLOOKUP($A1076, 'Medical Examinations'!$A:$A, 'Medical Examinations'!H:H, "No Data")</f>
        <v>No</v>
      </c>
      <c r="J1076" s="28" t="str">
        <f t="array" ref="J1076">_xlfn.XLOOKUP($A1076, 'Medical Examinations'!$A:$A, 'Medical Examinations'!I:I, "No Data")</f>
        <v>Overweight</v>
      </c>
      <c r="K1076" s="28" t="str">
        <f t="array" ref="K1076">_xlfn.XLOOKUP($A1076, 'Hospitalisation Details'!$A:$A, 'Hospitalisation Details'!I:I, "No Data")</f>
        <v>tier - 1</v>
      </c>
      <c r="L1076" s="28" t="str">
        <f t="array" ref="L1076">_xlfn.XLOOKUP($A1076, 'Hospitalisation Details'!$A:$A, 'Hospitalisation Details'!J:J, "No Data")</f>
        <v>R1013</v>
      </c>
      <c r="M1076" s="28" t="str">
        <f t="array" ref="M1076">_xlfn.XLOOKUP($A1076, 'Hospitalisation Details'!$A:$A, 'Hospitalisation Details'!E:E, "No Data")</f>
        <v>27/07/64</v>
      </c>
      <c r="N1076" s="28">
        <f t="array" ref="N1076">_xlfn.XLOOKUP($A1076, 'Hospitalisation Details'!$A:$A, 'Hospitalisation Details'!K:K, "No Data")</f>
        <v>58</v>
      </c>
      <c r="O1076" s="33">
        <f t="array" ref="O1076">_xlfn.XLOOKUP($A1076, 'Hospitalisation Details'!$A:$A, 'Hospitalisation Details'!G:G, "No Data")</f>
        <v>10459.19</v>
      </c>
      <c r="P1076" s="28" t="str">
        <f t="array" ref="P1076">_xlfn.XLOOKUP($A1076, 'Hospitalisation Details'!$A:$A, 'Hospitalisation Details'!H:H, "No Data")</f>
        <v>tier - 3</v>
      </c>
    </row>
    <row r="1077">
      <c r="A1077" s="25" t="s">
        <v>3425</v>
      </c>
      <c r="B1077" s="28" t="str">
        <f t="array" ref="B1077">_xlfn.XLOOKUP($A1077, 'Customer Names'!$A:$A, 'Customer Names'!B:B, "No Data")</f>
        <v>Matthews</v>
      </c>
      <c r="C1077" s="28">
        <f t="array" ref="C1077">_xlfn.XLOOKUP($A1077, 'Medical Examinations'!$A:$A, 'Medical Examinations'!B:B, "No Data")</f>
        <v>28.77</v>
      </c>
      <c r="D1077" s="28">
        <f t="array" ref="D1077">_xlfn.XLOOKUP($A1077, 'Medical Examinations'!$A:$A, 'Medical Examinations'!C:C, "No Data")</f>
        <v>4</v>
      </c>
      <c r="E1077" s="28" t="str">
        <f t="array" ref="E1077">_xlfn.XLOOKUP($A1077, 'Medical Examinations'!$A:$A, 'Medical Examinations'!D:D, "No Data")</f>
        <v>yes</v>
      </c>
      <c r="F1077" s="28" t="str">
        <f t="array" ref="F1077">_xlfn.XLOOKUP($A1077, 'Medical Examinations'!$A:$A, 'Medical Examinations'!E:E, "No Data")</f>
        <v>No</v>
      </c>
      <c r="G1077" s="28" t="str">
        <f t="array" ref="G1077">_xlfn.XLOOKUP($A1077, 'Medical Examinations'!$A:$A, 'Medical Examinations'!F:F, "No Data")</f>
        <v>No</v>
      </c>
      <c r="H1077" s="28">
        <f t="array" ref="H1077">_xlfn.XLOOKUP($A1077, 'Medical Examinations'!$A:$A, 'Medical Examinations'!G:G, "No Data")</f>
        <v>0</v>
      </c>
      <c r="I1077" s="28" t="str">
        <f t="array" ref="I1077">_xlfn.XLOOKUP($A1077, 'Medical Examinations'!$A:$A, 'Medical Examinations'!H:H, "No Data")</f>
        <v>No</v>
      </c>
      <c r="J1077" s="28" t="str">
        <f t="array" ref="J1077">_xlfn.XLOOKUP($A1077, 'Medical Examinations'!$A:$A, 'Medical Examinations'!I:I, "No Data")</f>
        <v>Overweight</v>
      </c>
      <c r="K1077" s="28" t="str">
        <f t="array" ref="K1077">_xlfn.XLOOKUP($A1077, 'Hospitalisation Details'!$A:$A, 'Hospitalisation Details'!I:I, "No Data")</f>
        <v>tier - 2</v>
      </c>
      <c r="L1077" s="28" t="str">
        <f t="array" ref="L1077">_xlfn.XLOOKUP($A1077, 'Hospitalisation Details'!$A:$A, 'Hospitalisation Details'!J:J, "No Data")</f>
        <v>R1021</v>
      </c>
      <c r="M1077" s="28" t="str">
        <f t="array" ref="M1077">_xlfn.XLOOKUP($A1077, 'Hospitalisation Details'!$A:$A, 'Hospitalisation Details'!E:E, "No Data")</f>
        <v>03/08/76</v>
      </c>
      <c r="N1077" s="28">
        <f t="array" ref="N1077">_xlfn.XLOOKUP($A1077, 'Hospitalisation Details'!$A:$A, 'Hospitalisation Details'!K:K, "No Data")</f>
        <v>46</v>
      </c>
      <c r="O1077" s="33">
        <f t="array" ref="O1077">_xlfn.XLOOKUP($A1077, 'Hospitalisation Details'!$A:$A, 'Hospitalisation Details'!G:G, "No Data")</f>
        <v>10455.14</v>
      </c>
      <c r="P1077" s="28" t="str">
        <f t="array" ref="P1077">_xlfn.XLOOKUP($A1077, 'Hospitalisation Details'!$A:$A, 'Hospitalisation Details'!H:H, "No Data")</f>
        <v>tier - 3</v>
      </c>
    </row>
    <row r="1078">
      <c r="A1078" s="25" t="s">
        <v>3427</v>
      </c>
      <c r="B1078" s="28" t="str">
        <f t="array" ref="B1078">_xlfn.XLOOKUP($A1078, 'Customer Names'!$A:$A, 'Customer Names'!B:B, "No Data")</f>
        <v>Massa-Musiak</v>
      </c>
      <c r="C1078" s="28">
        <f t="array" ref="C1078">_xlfn.XLOOKUP($A1078, 'Medical Examinations'!$A:$A, 'Medical Examinations'!B:B, "No Data")</f>
        <v>23.14</v>
      </c>
      <c r="D1078" s="28">
        <f t="array" ref="D1078">_xlfn.XLOOKUP($A1078, 'Medical Examinations'!$A:$A, 'Medical Examinations'!C:C, "No Data")</f>
        <v>4.15</v>
      </c>
      <c r="E1078" s="28" t="str">
        <f t="array" ref="E1078">_xlfn.XLOOKUP($A1078, 'Medical Examinations'!$A:$A, 'Medical Examinations'!D:D, "No Data")</f>
        <v>yes</v>
      </c>
      <c r="F1078" s="28" t="str">
        <f t="array" ref="F1078">_xlfn.XLOOKUP($A1078, 'Medical Examinations'!$A:$A, 'Medical Examinations'!E:E, "No Data")</f>
        <v>No</v>
      </c>
      <c r="G1078" s="28" t="str">
        <f t="array" ref="G1078">_xlfn.XLOOKUP($A1078, 'Medical Examinations'!$A:$A, 'Medical Examinations'!F:F, "No Data")</f>
        <v>No</v>
      </c>
      <c r="H1078" s="28">
        <f t="array" ref="H1078">_xlfn.XLOOKUP($A1078, 'Medical Examinations'!$A:$A, 'Medical Examinations'!G:G, "No Data")</f>
        <v>1</v>
      </c>
      <c r="I1078" s="28" t="str">
        <f t="array" ref="I1078">_xlfn.XLOOKUP($A1078, 'Medical Examinations'!$A:$A, 'Medical Examinations'!H:H, "No Data")</f>
        <v>No</v>
      </c>
      <c r="J1078" s="28" t="str">
        <f t="array" ref="J1078">_xlfn.XLOOKUP($A1078, 'Medical Examinations'!$A:$A, 'Medical Examinations'!I:I, "No Data")</f>
        <v>Normal Weight</v>
      </c>
      <c r="K1078" s="28" t="str">
        <f t="array" ref="K1078">_xlfn.XLOOKUP($A1078, 'Hospitalisation Details'!$A:$A, 'Hospitalisation Details'!I:I, "No Data")</f>
        <v>tier - 1</v>
      </c>
      <c r="L1078" s="28" t="str">
        <f t="array" ref="L1078">_xlfn.XLOOKUP($A1078, 'Hospitalisation Details'!$A:$A, 'Hospitalisation Details'!J:J, "No Data")</f>
        <v>R1012</v>
      </c>
      <c r="M1078" s="28" t="str">
        <f t="array" ref="M1078">_xlfn.XLOOKUP($A1078, 'Hospitalisation Details'!$A:$A, 'Hospitalisation Details'!E:E, "No Data")</f>
        <v>14/10/64</v>
      </c>
      <c r="N1078" s="28">
        <f t="array" ref="N1078">_xlfn.XLOOKUP($A1078, 'Hospitalisation Details'!$A:$A, 'Hospitalisation Details'!K:K, "No Data")</f>
        <v>58</v>
      </c>
      <c r="O1078" s="33">
        <f t="array" ref="O1078">_xlfn.XLOOKUP($A1078, 'Hospitalisation Details'!$A:$A, 'Hospitalisation Details'!G:G, "No Data")</f>
        <v>10455.1</v>
      </c>
      <c r="P1078" s="28" t="str">
        <f t="array" ref="P1078">_xlfn.XLOOKUP($A1078, 'Hospitalisation Details'!$A:$A, 'Hospitalisation Details'!H:H, "No Data")</f>
        <v>tier - 3</v>
      </c>
    </row>
    <row r="1079">
      <c r="A1079" s="25" t="s">
        <v>3431</v>
      </c>
      <c r="B1079" s="28" t="str">
        <f t="array" ref="B1079">_xlfn.XLOOKUP($A1079, 'Customer Names'!$A:$A, 'Customer Names'!B:B, "No Data")</f>
        <v>Bailey</v>
      </c>
      <c r="C1079" s="28">
        <f t="array" ref="C1079">_xlfn.XLOOKUP($A1079, 'Medical Examinations'!$A:$A, 'Medical Examinations'!B:B, "No Data")</f>
        <v>39.6</v>
      </c>
      <c r="D1079" s="28">
        <f t="array" ref="D1079">_xlfn.XLOOKUP($A1079, 'Medical Examinations'!$A:$A, 'Medical Examinations'!C:C, "No Data")</f>
        <v>11.36</v>
      </c>
      <c r="E1079" s="28" t="str">
        <f t="array" ref="E1079">_xlfn.XLOOKUP($A1079, 'Medical Examinations'!$A:$A, 'Medical Examinations'!D:D, "No Data")</f>
        <v>No</v>
      </c>
      <c r="F1079" s="28" t="str">
        <f t="array" ref="F1079">_xlfn.XLOOKUP($A1079, 'Medical Examinations'!$A:$A, 'Medical Examinations'!E:E, "No Data")</f>
        <v>No</v>
      </c>
      <c r="G1079" s="28" t="str">
        <f t="array" ref="G1079">_xlfn.XLOOKUP($A1079, 'Medical Examinations'!$A:$A, 'Medical Examinations'!F:F, "No Data")</f>
        <v>No</v>
      </c>
      <c r="H1079" s="28">
        <f t="array" ref="H1079">_xlfn.XLOOKUP($A1079, 'Medical Examinations'!$A:$A, 'Medical Examinations'!G:G, "No Data")</f>
        <v>0</v>
      </c>
      <c r="I1079" s="28" t="str">
        <f t="array" ref="I1079">_xlfn.XLOOKUP($A1079, 'Medical Examinations'!$A:$A, 'Medical Examinations'!H:H, "No Data")</f>
        <v>No</v>
      </c>
      <c r="J1079" s="28" t="str">
        <f t="array" ref="J1079">_xlfn.XLOOKUP($A1079, 'Medical Examinations'!$A:$A, 'Medical Examinations'!I:I, "No Data")</f>
        <v>Obesity</v>
      </c>
      <c r="K1079" s="28" t="str">
        <f t="array" ref="K1079">_xlfn.XLOOKUP($A1079, 'Hospitalisation Details'!$A:$A, 'Hospitalisation Details'!I:I, "No Data")</f>
        <v>tier - 1</v>
      </c>
      <c r="L1079" s="28" t="str">
        <f t="array" ref="L1079">_xlfn.XLOOKUP($A1079, 'Hospitalisation Details'!$A:$A, 'Hospitalisation Details'!J:J, "No Data")</f>
        <v>R1011</v>
      </c>
      <c r="M1079" s="28" t="str">
        <f t="array" ref="M1079">_xlfn.XLOOKUP($A1079, 'Hospitalisation Details'!$A:$A, 'Hospitalisation Details'!E:E, "No Data")</f>
        <v>08/11/68</v>
      </c>
      <c r="N1079" s="28">
        <f t="array" ref="N1079">_xlfn.XLOOKUP($A1079, 'Hospitalisation Details'!$A:$A, 'Hospitalisation Details'!K:K, "No Data")</f>
        <v>54</v>
      </c>
      <c r="O1079" s="33">
        <f t="array" ref="O1079">_xlfn.XLOOKUP($A1079, 'Hospitalisation Details'!$A:$A, 'Hospitalisation Details'!G:G, "No Data")</f>
        <v>10450.55</v>
      </c>
      <c r="P1079" s="28" t="str">
        <f t="array" ref="P1079">_xlfn.XLOOKUP($A1079, 'Hospitalisation Details'!$A:$A, 'Hospitalisation Details'!H:H, "No Data")</f>
        <v>tier - 3</v>
      </c>
    </row>
    <row r="1080">
      <c r="A1080" s="25" t="s">
        <v>3434</v>
      </c>
      <c r="B1080" s="28" t="str">
        <f t="array" ref="B1080">_xlfn.XLOOKUP($A1080, 'Customer Names'!$A:$A, 'Customer Names'!B:B, "No Data")</f>
        <v>Jacoby</v>
      </c>
      <c r="C1080" s="28">
        <f t="array" ref="C1080">_xlfn.XLOOKUP($A1080, 'Medical Examinations'!$A:$A, 'Medical Examinations'!B:B, "No Data")</f>
        <v>29.2</v>
      </c>
      <c r="D1080" s="28">
        <f t="array" ref="D1080">_xlfn.XLOOKUP($A1080, 'Medical Examinations'!$A:$A, 'Medical Examinations'!C:C, "No Data")</f>
        <v>7.53</v>
      </c>
      <c r="E1080" s="28" t="str">
        <f t="array" ref="E1080">_xlfn.XLOOKUP($A1080, 'Medical Examinations'!$A:$A, 'Medical Examinations'!D:D, "No Data")</f>
        <v>No</v>
      </c>
      <c r="F1080" s="28" t="str">
        <f t="array" ref="F1080">_xlfn.XLOOKUP($A1080, 'Medical Examinations'!$A:$A, 'Medical Examinations'!E:E, "No Data")</f>
        <v>No</v>
      </c>
      <c r="G1080" s="28" t="str">
        <f t="array" ref="G1080">_xlfn.XLOOKUP($A1080, 'Medical Examinations'!$A:$A, 'Medical Examinations'!F:F, "No Data")</f>
        <v>No</v>
      </c>
      <c r="H1080" s="28">
        <f t="array" ref="H1080">_xlfn.XLOOKUP($A1080, 'Medical Examinations'!$A:$A, 'Medical Examinations'!G:G, "No Data")</f>
        <v>0</v>
      </c>
      <c r="I1080" s="28" t="str">
        <f t="array" ref="I1080">_xlfn.XLOOKUP($A1080, 'Medical Examinations'!$A:$A, 'Medical Examinations'!H:H, "No Data")</f>
        <v>No</v>
      </c>
      <c r="J1080" s="28" t="str">
        <f t="array" ref="J1080">_xlfn.XLOOKUP($A1080, 'Medical Examinations'!$A:$A, 'Medical Examinations'!I:I, "No Data")</f>
        <v>Overweight</v>
      </c>
      <c r="K1080" s="28" t="str">
        <f t="array" ref="K1080">_xlfn.XLOOKUP($A1080, 'Hospitalisation Details'!$A:$A, 'Hospitalisation Details'!I:I, "No Data")</f>
        <v>tier - 3</v>
      </c>
      <c r="L1080" s="28" t="str">
        <f t="array" ref="L1080">_xlfn.XLOOKUP($A1080, 'Hospitalisation Details'!$A:$A, 'Hospitalisation Details'!J:J, "No Data")</f>
        <v>R1011</v>
      </c>
      <c r="M1080" s="28" t="str">
        <f t="array" ref="M1080">_xlfn.XLOOKUP($A1080, 'Hospitalisation Details'!$A:$A, 'Hospitalisation Details'!E:E, "No Data")</f>
        <v>29/08/68</v>
      </c>
      <c r="N1080" s="28">
        <f t="array" ref="N1080">_xlfn.XLOOKUP($A1080, 'Hospitalisation Details'!$A:$A, 'Hospitalisation Details'!K:K, "No Data")</f>
        <v>54</v>
      </c>
      <c r="O1080" s="33">
        <f t="array" ref="O1080">_xlfn.XLOOKUP($A1080, 'Hospitalisation Details'!$A:$A, 'Hospitalisation Details'!G:G, "No Data")</f>
        <v>10436.1</v>
      </c>
      <c r="P1080" s="28" t="str">
        <f t="array" ref="P1080">_xlfn.XLOOKUP($A1080, 'Hospitalisation Details'!$A:$A, 'Hospitalisation Details'!H:H, "No Data")</f>
        <v>tier - 3</v>
      </c>
    </row>
    <row r="1081">
      <c r="A1081" s="25" t="s">
        <v>3437</v>
      </c>
      <c r="B1081" s="28" t="str">
        <f t="array" ref="B1081">_xlfn.XLOOKUP($A1081, 'Customer Names'!$A:$A, 'Customer Names'!B:B, "No Data")</f>
        <v>Crimmings</v>
      </c>
      <c r="C1081" s="28">
        <f t="array" ref="C1081">_xlfn.XLOOKUP($A1081, 'Medical Examinations'!$A:$A, 'Medical Examinations'!B:B, "No Data")</f>
        <v>32.775</v>
      </c>
      <c r="D1081" s="28">
        <f t="array" ref="D1081">_xlfn.XLOOKUP($A1081, 'Medical Examinations'!$A:$A, 'Medical Examinations'!C:C, "No Data")</f>
        <v>7.95</v>
      </c>
      <c r="E1081" s="28" t="str">
        <f t="array" ref="E1081">_xlfn.XLOOKUP($A1081, 'Medical Examinations'!$A:$A, 'Medical Examinations'!D:D, "No Data")</f>
        <v>No</v>
      </c>
      <c r="F1081" s="28" t="str">
        <f t="array" ref="F1081">_xlfn.XLOOKUP($A1081, 'Medical Examinations'!$A:$A, 'Medical Examinations'!E:E, "No Data")</f>
        <v>No</v>
      </c>
      <c r="G1081" s="28" t="str">
        <f t="array" ref="G1081">_xlfn.XLOOKUP($A1081, 'Medical Examinations'!$A:$A, 'Medical Examinations'!F:F, "No Data")</f>
        <v>No</v>
      </c>
      <c r="H1081" s="28">
        <f t="array" ref="H1081">_xlfn.XLOOKUP($A1081, 'Medical Examinations'!$A:$A, 'Medical Examinations'!G:G, "No Data")</f>
        <v>0</v>
      </c>
      <c r="I1081" s="28" t="str">
        <f t="array" ref="I1081">_xlfn.XLOOKUP($A1081, 'Medical Examinations'!$A:$A, 'Medical Examinations'!H:H, "No Data")</f>
        <v>No</v>
      </c>
      <c r="J1081" s="28" t="str">
        <f t="array" ref="J1081">_xlfn.XLOOKUP($A1081, 'Medical Examinations'!$A:$A, 'Medical Examinations'!I:I, "No Data")</f>
        <v>Obesity</v>
      </c>
      <c r="K1081" s="28" t="str">
        <f t="array" ref="K1081">_xlfn.XLOOKUP($A1081, 'Hospitalisation Details'!$A:$A, 'Hospitalisation Details'!I:I, "No Data")</f>
        <v>tier - 1</v>
      </c>
      <c r="L1081" s="28" t="str">
        <f t="array" ref="L1081">_xlfn.XLOOKUP($A1081, 'Hospitalisation Details'!$A:$A, 'Hospitalisation Details'!J:J, "No Data")</f>
        <v>R1016</v>
      </c>
      <c r="M1081" s="28" t="str">
        <f t="array" ref="M1081">_xlfn.XLOOKUP($A1081, 'Hospitalisation Details'!$A:$A, 'Hospitalisation Details'!E:E, "No Data")</f>
        <v>23/08/68</v>
      </c>
      <c r="N1081" s="28">
        <f t="array" ref="N1081">_xlfn.XLOOKUP($A1081, 'Hospitalisation Details'!$A:$A, 'Hospitalisation Details'!K:K, "No Data")</f>
        <v>54</v>
      </c>
      <c r="O1081" s="33">
        <f t="array" ref="O1081">_xlfn.XLOOKUP($A1081, 'Hospitalisation Details'!$A:$A, 'Hospitalisation Details'!G:G, "No Data")</f>
        <v>10435.07</v>
      </c>
      <c r="P1081" s="28" t="str">
        <f t="array" ref="P1081">_xlfn.XLOOKUP($A1081, 'Hospitalisation Details'!$A:$A, 'Hospitalisation Details'!H:H, "No Data")</f>
        <v>tier - 3</v>
      </c>
    </row>
    <row r="1082">
      <c r="A1082" s="25" t="s">
        <v>3440</v>
      </c>
      <c r="B1082" s="28" t="str">
        <f t="array" ref="B1082">_xlfn.XLOOKUP($A1082, 'Customer Names'!$A:$A, 'Customer Names'!B:B, "No Data")</f>
        <v>Crane</v>
      </c>
      <c r="C1082" s="28">
        <f t="array" ref="C1082">_xlfn.XLOOKUP($A1082, 'Medical Examinations'!$A:$A, 'Medical Examinations'!B:B, "No Data")</f>
        <v>24.035</v>
      </c>
      <c r="D1082" s="28">
        <f t="array" ref="D1082">_xlfn.XLOOKUP($A1082, 'Medical Examinations'!$A:$A, 'Medical Examinations'!C:C, "No Data")</f>
        <v>8.5</v>
      </c>
      <c r="E1082" s="28" t="str">
        <f t="array" ref="E1082">_xlfn.XLOOKUP($A1082, 'Medical Examinations'!$A:$A, 'Medical Examinations'!D:D, "No Data")</f>
        <v>No</v>
      </c>
      <c r="F1082" s="28" t="str">
        <f t="array" ref="F1082">_xlfn.XLOOKUP($A1082, 'Medical Examinations'!$A:$A, 'Medical Examinations'!E:E, "No Data")</f>
        <v>No</v>
      </c>
      <c r="G1082" s="28" t="str">
        <f t="array" ref="G1082">_xlfn.XLOOKUP($A1082, 'Medical Examinations'!$A:$A, 'Medical Examinations'!F:F, "No Data")</f>
        <v>No</v>
      </c>
      <c r="H1082" s="28">
        <f t="array" ref="H1082">_xlfn.XLOOKUP($A1082, 'Medical Examinations'!$A:$A, 'Medical Examinations'!G:G, "No Data")</f>
        <v>0</v>
      </c>
      <c r="I1082" s="28" t="str">
        <f t="array" ref="I1082">_xlfn.XLOOKUP($A1082, 'Medical Examinations'!$A:$A, 'Medical Examinations'!H:H, "No Data")</f>
        <v>No</v>
      </c>
      <c r="J1082" s="28" t="str">
        <f t="array" ref="J1082">_xlfn.XLOOKUP($A1082, 'Medical Examinations'!$A:$A, 'Medical Examinations'!I:I, "No Data")</f>
        <v>Normal Weight</v>
      </c>
      <c r="K1082" s="28" t="str">
        <f t="array" ref="K1082">_xlfn.XLOOKUP($A1082, 'Hospitalisation Details'!$A:$A, 'Hospitalisation Details'!I:I, "No Data")</f>
        <v>tier - 1</v>
      </c>
      <c r="L1082" s="28" t="str">
        <f t="array" ref="L1082">_xlfn.XLOOKUP($A1082, 'Hospitalisation Details'!$A:$A, 'Hospitalisation Details'!J:J, "No Data")</f>
        <v>R1017</v>
      </c>
      <c r="M1082" s="28" t="str">
        <f t="array" ref="M1082">_xlfn.XLOOKUP($A1082, 'Hospitalisation Details'!$A:$A, 'Hospitalisation Details'!E:E, "No Data")</f>
        <v>27/12/68</v>
      </c>
      <c r="N1082" s="28">
        <f t="array" ref="N1082">_xlfn.XLOOKUP($A1082, 'Hospitalisation Details'!$A:$A, 'Hospitalisation Details'!K:K, "No Data")</f>
        <v>54</v>
      </c>
      <c r="O1082" s="33">
        <f t="array" ref="O1082">_xlfn.XLOOKUP($A1082, 'Hospitalisation Details'!$A:$A, 'Hospitalisation Details'!G:G, "No Data")</f>
        <v>10422.92</v>
      </c>
      <c r="P1082" s="28" t="str">
        <f t="array" ref="P1082">_xlfn.XLOOKUP($A1082, 'Hospitalisation Details'!$A:$A, 'Hospitalisation Details'!H:H, "No Data")</f>
        <v>tier - 3</v>
      </c>
    </row>
    <row r="1083">
      <c r="A1083" s="25" t="s">
        <v>3447</v>
      </c>
      <c r="B1083" s="28" t="str">
        <f t="array" ref="B1083">_xlfn.XLOOKUP($A1083, 'Customer Names'!$A:$A, 'Customer Names'!B:B, "No Data")</f>
        <v>Swartzfager</v>
      </c>
      <c r="C1083" s="28">
        <f t="array" ref="C1083">_xlfn.XLOOKUP($A1083, 'Medical Examinations'!$A:$A, 'Medical Examinations'!B:B, "No Data")</f>
        <v>30.55</v>
      </c>
      <c r="D1083" s="28">
        <f t="array" ref="D1083">_xlfn.XLOOKUP($A1083, 'Medical Examinations'!$A:$A, 'Medical Examinations'!C:C, "No Data")</f>
        <v>5.89</v>
      </c>
      <c r="E1083" s="28" t="str">
        <f t="array" ref="E1083">_xlfn.XLOOKUP($A1083, 'Medical Examinations'!$A:$A, 'Medical Examinations'!D:D, "No Data")</f>
        <v>No</v>
      </c>
      <c r="F1083" s="28" t="str">
        <f t="array" ref="F1083">_xlfn.XLOOKUP($A1083, 'Medical Examinations'!$A:$A, 'Medical Examinations'!E:E, "No Data")</f>
        <v>No</v>
      </c>
      <c r="G1083" s="28" t="str">
        <f t="array" ref="G1083">_xlfn.XLOOKUP($A1083, 'Medical Examinations'!$A:$A, 'Medical Examinations'!F:F, "No Data")</f>
        <v>Yes</v>
      </c>
      <c r="H1083" s="28">
        <f t="array" ref="H1083">_xlfn.XLOOKUP($A1083, 'Medical Examinations'!$A:$A, 'Medical Examinations'!G:G, "No Data")</f>
        <v>1</v>
      </c>
      <c r="I1083" s="28" t="str">
        <f t="array" ref="I1083">_xlfn.XLOOKUP($A1083, 'Medical Examinations'!$A:$A, 'Medical Examinations'!H:H, "No Data")</f>
        <v>No</v>
      </c>
      <c r="J1083" s="28" t="str">
        <f t="array" ref="J1083">_xlfn.XLOOKUP($A1083, 'Medical Examinations'!$A:$A, 'Medical Examinations'!I:I, "No Data")</f>
        <v>Obesity</v>
      </c>
      <c r="K1083" s="28" t="str">
        <f t="array" ref="K1083">_xlfn.XLOOKUP($A1083, 'Hospitalisation Details'!$A:$A, 'Hospitalisation Details'!I:I, "No Data")</f>
        <v>tier - 2</v>
      </c>
      <c r="L1083" s="28" t="str">
        <f t="array" ref="L1083">_xlfn.XLOOKUP($A1083, 'Hospitalisation Details'!$A:$A, 'Hospitalisation Details'!J:J, "No Data")</f>
        <v>R1025</v>
      </c>
      <c r="M1083" s="28" t="str">
        <f t="array" ref="M1083">_xlfn.XLOOKUP($A1083, 'Hospitalisation Details'!$A:$A, 'Hospitalisation Details'!E:E, "No Data")</f>
        <v>25/11/79</v>
      </c>
      <c r="N1083" s="28">
        <f t="array" ref="N1083">_xlfn.XLOOKUP($A1083, 'Hospitalisation Details'!$A:$A, 'Hospitalisation Details'!K:K, "No Data")</f>
        <v>43</v>
      </c>
      <c r="O1083" s="33">
        <f t="array" ref="O1083">_xlfn.XLOOKUP($A1083, 'Hospitalisation Details'!$A:$A, 'Hospitalisation Details'!G:G, "No Data")</f>
        <v>10419.65</v>
      </c>
      <c r="P1083" s="28" t="str">
        <f t="array" ref="P1083">_xlfn.XLOOKUP($A1083, 'Hospitalisation Details'!$A:$A, 'Hospitalisation Details'!H:H, "No Data")</f>
        <v>tier - 3</v>
      </c>
    </row>
    <row r="1084">
      <c r="A1084" s="25" t="s">
        <v>3450</v>
      </c>
      <c r="B1084" s="28" t="str">
        <f t="array" ref="B1084">_xlfn.XLOOKUP($A1084, 'Customer Names'!$A:$A, 'Customer Names'!B:B, "No Data")</f>
        <v>Clevenger</v>
      </c>
      <c r="C1084" s="28">
        <f t="array" ref="C1084">_xlfn.XLOOKUP($A1084, 'Medical Examinations'!$A:$A, 'Medical Examinations'!B:B, "No Data")</f>
        <v>28.81</v>
      </c>
      <c r="D1084" s="28">
        <f t="array" ref="D1084">_xlfn.XLOOKUP($A1084, 'Medical Examinations'!$A:$A, 'Medical Examinations'!C:C, "No Data")</f>
        <v>8.76</v>
      </c>
      <c r="E1084" s="28" t="str">
        <f t="array" ref="E1084">_xlfn.XLOOKUP($A1084, 'Medical Examinations'!$A:$A, 'Medical Examinations'!D:D, "No Data")</f>
        <v>No</v>
      </c>
      <c r="F1084" s="28" t="str">
        <f t="array" ref="F1084">_xlfn.XLOOKUP($A1084, 'Medical Examinations'!$A:$A, 'Medical Examinations'!E:E, "No Data")</f>
        <v>No</v>
      </c>
      <c r="G1084" s="28" t="str">
        <f t="array" ref="G1084">_xlfn.XLOOKUP($A1084, 'Medical Examinations'!$A:$A, 'Medical Examinations'!F:F, "No Data")</f>
        <v>No</v>
      </c>
      <c r="H1084" s="28">
        <f t="array" ref="H1084">_xlfn.XLOOKUP($A1084, 'Medical Examinations'!$A:$A, 'Medical Examinations'!G:G, "No Data")</f>
        <v>2</v>
      </c>
      <c r="I1084" s="28" t="str">
        <f t="array" ref="I1084">_xlfn.XLOOKUP($A1084, 'Medical Examinations'!$A:$A, 'Medical Examinations'!H:H, "No Data")</f>
        <v>No</v>
      </c>
      <c r="J1084" s="28" t="str">
        <f t="array" ref="J1084">_xlfn.XLOOKUP($A1084, 'Medical Examinations'!$A:$A, 'Medical Examinations'!I:I, "No Data")</f>
        <v>Overweight</v>
      </c>
      <c r="K1084" s="28" t="str">
        <f t="array" ref="K1084">_xlfn.XLOOKUP($A1084, 'Hospitalisation Details'!$A:$A, 'Hospitalisation Details'!I:I, "No Data")</f>
        <v>tier - 2</v>
      </c>
      <c r="L1084" s="28" t="str">
        <f t="array" ref="L1084">_xlfn.XLOOKUP($A1084, 'Hospitalisation Details'!$A:$A, 'Hospitalisation Details'!J:J, "No Data")</f>
        <v>R1025</v>
      </c>
      <c r="M1084" s="28" t="str">
        <f t="array" ref="M1084">_xlfn.XLOOKUP($A1084, 'Hospitalisation Details'!$A:$A, 'Hospitalisation Details'!E:E, "No Data")</f>
        <v>11/10/73</v>
      </c>
      <c r="N1084" s="28">
        <f t="array" ref="N1084">_xlfn.XLOOKUP($A1084, 'Hospitalisation Details'!$A:$A, 'Hospitalisation Details'!K:K, "No Data")</f>
        <v>49</v>
      </c>
      <c r="O1084" s="33">
        <f t="array" ref="O1084">_xlfn.XLOOKUP($A1084, 'Hospitalisation Details'!$A:$A, 'Hospitalisation Details'!G:G, "No Data")</f>
        <v>10419.59</v>
      </c>
      <c r="P1084" s="28" t="str">
        <f t="array" ref="P1084">_xlfn.XLOOKUP($A1084, 'Hospitalisation Details'!$A:$A, 'Hospitalisation Details'!H:H, "No Data")</f>
        <v>tier - 3</v>
      </c>
    </row>
    <row r="1085">
      <c r="A1085" s="25" t="s">
        <v>3454</v>
      </c>
      <c r="B1085" s="28" t="str">
        <f t="array" ref="B1085">_xlfn.XLOOKUP($A1085, 'Customer Names'!$A:$A, 'Customer Names'!B:B, "No Data")</f>
        <v>Reichardt</v>
      </c>
      <c r="C1085" s="28">
        <f t="array" ref="C1085">_xlfn.XLOOKUP($A1085, 'Medical Examinations'!$A:$A, 'Medical Examinations'!B:B, "No Data")</f>
        <v>31.66</v>
      </c>
      <c r="D1085" s="28">
        <f t="array" ref="D1085">_xlfn.XLOOKUP($A1085, 'Medical Examinations'!$A:$A, 'Medical Examinations'!C:C, "No Data")</f>
        <v>4.11</v>
      </c>
      <c r="E1085" s="28" t="str">
        <f t="array" ref="E1085">_xlfn.XLOOKUP($A1085, 'Medical Examinations'!$A:$A, 'Medical Examinations'!D:D, "No Data")</f>
        <v>No</v>
      </c>
      <c r="F1085" s="28" t="str">
        <f t="array" ref="F1085">_xlfn.XLOOKUP($A1085, 'Medical Examinations'!$A:$A, 'Medical Examinations'!E:E, "No Data")</f>
        <v>No</v>
      </c>
      <c r="G1085" s="28" t="str">
        <f t="array" ref="G1085">_xlfn.XLOOKUP($A1085, 'Medical Examinations'!$A:$A, 'Medical Examinations'!F:F, "No Data")</f>
        <v>No</v>
      </c>
      <c r="H1085" s="28">
        <f t="array" ref="H1085">_xlfn.XLOOKUP($A1085, 'Medical Examinations'!$A:$A, 'Medical Examinations'!G:G, "No Data")</f>
        <v>0</v>
      </c>
      <c r="I1085" s="28" t="str">
        <f t="array" ref="I1085">_xlfn.XLOOKUP($A1085, 'Medical Examinations'!$A:$A, 'Medical Examinations'!H:H, "No Data")</f>
        <v>No</v>
      </c>
      <c r="J1085" s="28" t="str">
        <f t="array" ref="J1085">_xlfn.XLOOKUP($A1085, 'Medical Examinations'!$A:$A, 'Medical Examinations'!I:I, "No Data")</f>
        <v>Obesity</v>
      </c>
      <c r="K1085" s="28" t="str">
        <f t="array" ref="K1085">_xlfn.XLOOKUP($A1085, 'Hospitalisation Details'!$A:$A, 'Hospitalisation Details'!I:I, "No Data")</f>
        <v>tier - 1</v>
      </c>
      <c r="L1085" s="28" t="str">
        <f t="array" ref="L1085">_xlfn.XLOOKUP($A1085, 'Hospitalisation Details'!$A:$A, 'Hospitalisation Details'!J:J, "No Data")</f>
        <v>R1021</v>
      </c>
      <c r="M1085" s="28" t="str">
        <f t="array" ref="M1085">_xlfn.XLOOKUP($A1085, 'Hospitalisation Details'!$A:$A, 'Hospitalisation Details'!E:E, "No Data")</f>
        <v>24/10/80</v>
      </c>
      <c r="N1085" s="28">
        <f t="array" ref="N1085">_xlfn.XLOOKUP($A1085, 'Hospitalisation Details'!$A:$A, 'Hospitalisation Details'!K:K, "No Data")</f>
        <v>42</v>
      </c>
      <c r="O1085" s="33">
        <f t="array" ref="O1085">_xlfn.XLOOKUP($A1085, 'Hospitalisation Details'!$A:$A, 'Hospitalisation Details'!G:G, "No Data")</f>
        <v>10407.98</v>
      </c>
      <c r="P1085" s="28" t="str">
        <f t="array" ref="P1085">_xlfn.XLOOKUP($A1085, 'Hospitalisation Details'!$A:$A, 'Hospitalisation Details'!H:H, "No Data")</f>
        <v>tier - 3</v>
      </c>
    </row>
    <row r="1086">
      <c r="A1086" s="25" t="s">
        <v>3457</v>
      </c>
      <c r="B1086" s="28" t="str">
        <f t="array" ref="B1086">_xlfn.XLOOKUP($A1086, 'Customer Names'!$A:$A, 'Customer Names'!B:B, "No Data")</f>
        <v>Morton</v>
      </c>
      <c r="C1086" s="28">
        <f t="array" ref="C1086">_xlfn.XLOOKUP($A1086, 'Medical Examinations'!$A:$A, 'Medical Examinations'!B:B, "No Data")</f>
        <v>28.215</v>
      </c>
      <c r="D1086" s="28">
        <f t="array" ref="D1086">_xlfn.XLOOKUP($A1086, 'Medical Examinations'!$A:$A, 'Medical Examinations'!C:C, "No Data")</f>
        <v>7.56</v>
      </c>
      <c r="E1086" s="28" t="str">
        <f t="array" ref="E1086">_xlfn.XLOOKUP($A1086, 'Medical Examinations'!$A:$A, 'Medical Examinations'!D:D, "No Data")</f>
        <v>yes</v>
      </c>
      <c r="F1086" s="28" t="str">
        <f t="array" ref="F1086">_xlfn.XLOOKUP($A1086, 'Medical Examinations'!$A:$A, 'Medical Examinations'!E:E, "No Data")</f>
        <v>No</v>
      </c>
      <c r="G1086" s="28" t="str">
        <f t="array" ref="G1086">_xlfn.XLOOKUP($A1086, 'Medical Examinations'!$A:$A, 'Medical Examinations'!F:F, "No Data")</f>
        <v>No</v>
      </c>
      <c r="H1086" s="28">
        <f t="array" ref="H1086">_xlfn.XLOOKUP($A1086, 'Medical Examinations'!$A:$A, 'Medical Examinations'!G:G, "No Data")</f>
        <v>1</v>
      </c>
      <c r="I1086" s="28" t="str">
        <f t="array" ref="I1086">_xlfn.XLOOKUP($A1086, 'Medical Examinations'!$A:$A, 'Medical Examinations'!H:H, "No Data")</f>
        <v>No</v>
      </c>
      <c r="J1086" s="28" t="str">
        <f t="array" ref="J1086">_xlfn.XLOOKUP($A1086, 'Medical Examinations'!$A:$A, 'Medical Examinations'!I:I, "No Data")</f>
        <v>Overweight</v>
      </c>
      <c r="K1086" s="28" t="str">
        <f t="array" ref="K1086">_xlfn.XLOOKUP($A1086, 'Hospitalisation Details'!$A:$A, 'Hospitalisation Details'!I:I, "No Data")</f>
        <v>tier - 1</v>
      </c>
      <c r="L1086" s="28" t="str">
        <f t="array" ref="L1086">_xlfn.XLOOKUP($A1086, 'Hospitalisation Details'!$A:$A, 'Hospitalisation Details'!J:J, "No Data")</f>
        <v>R1015</v>
      </c>
      <c r="M1086" s="28" t="str">
        <f t="array" ref="M1086">_xlfn.XLOOKUP($A1086, 'Hospitalisation Details'!$A:$A, 'Hospitalisation Details'!E:E, "No Data")</f>
        <v>05/06/75</v>
      </c>
      <c r="N1086" s="28">
        <f t="array" ref="N1086">_xlfn.XLOOKUP($A1086, 'Hospitalisation Details'!$A:$A, 'Hospitalisation Details'!K:K, "No Data")</f>
        <v>48</v>
      </c>
      <c r="O1086" s="33">
        <f t="array" ref="O1086">_xlfn.XLOOKUP($A1086, 'Hospitalisation Details'!$A:$A, 'Hospitalisation Details'!G:G, "No Data")</f>
        <v>10407.09</v>
      </c>
      <c r="P1086" s="28" t="str">
        <f t="array" ref="P1086">_xlfn.XLOOKUP($A1086, 'Hospitalisation Details'!$A:$A, 'Hospitalisation Details'!H:H, "No Data")</f>
        <v>tier - 3</v>
      </c>
    </row>
    <row r="1087">
      <c r="A1087" s="25" t="s">
        <v>3459</v>
      </c>
      <c r="B1087" s="28" t="str">
        <f t="array" ref="B1087">_xlfn.XLOOKUP($A1087, 'Customer Names'!$A:$A, 'Customer Names'!B:B, "No Data")</f>
        <v>Sunstrum</v>
      </c>
      <c r="C1087" s="28">
        <f t="array" ref="C1087">_xlfn.XLOOKUP($A1087, 'Medical Examinations'!$A:$A, 'Medical Examinations'!B:B, "No Data")</f>
        <v>26.12</v>
      </c>
      <c r="D1087" s="28">
        <f t="array" ref="D1087">_xlfn.XLOOKUP($A1087, 'Medical Examinations'!$A:$A, 'Medical Examinations'!C:C, "No Data")</f>
        <v>4.17</v>
      </c>
      <c r="E1087" s="28" t="str">
        <f t="array" ref="E1087">_xlfn.XLOOKUP($A1087, 'Medical Examinations'!$A:$A, 'Medical Examinations'!D:D, "No Data")</f>
        <v>yes</v>
      </c>
      <c r="F1087" s="28" t="str">
        <f t="array" ref="F1087">_xlfn.XLOOKUP($A1087, 'Medical Examinations'!$A:$A, 'Medical Examinations'!E:E, "No Data")</f>
        <v>No</v>
      </c>
      <c r="G1087" s="28" t="str">
        <f t="array" ref="G1087">_xlfn.XLOOKUP($A1087, 'Medical Examinations'!$A:$A, 'Medical Examinations'!F:F, "No Data")</f>
        <v>Yes</v>
      </c>
      <c r="H1087" s="28">
        <f t="array" ref="H1087">_xlfn.XLOOKUP($A1087, 'Medical Examinations'!$A:$A, 'Medical Examinations'!G:G, "No Data")</f>
        <v>1</v>
      </c>
      <c r="I1087" s="28" t="str">
        <f t="array" ref="I1087">_xlfn.XLOOKUP($A1087, 'Medical Examinations'!$A:$A, 'Medical Examinations'!H:H, "No Data")</f>
        <v>No</v>
      </c>
      <c r="J1087" s="28" t="str">
        <f t="array" ref="J1087">_xlfn.XLOOKUP($A1087, 'Medical Examinations'!$A:$A, 'Medical Examinations'!I:I, "No Data")</f>
        <v>Overweight</v>
      </c>
      <c r="K1087" s="28" t="str">
        <f t="array" ref="K1087">_xlfn.XLOOKUP($A1087, 'Hospitalisation Details'!$A:$A, 'Hospitalisation Details'!I:I, "No Data")</f>
        <v>tier - 2</v>
      </c>
      <c r="L1087" s="28" t="str">
        <f t="array" ref="L1087">_xlfn.XLOOKUP($A1087, 'Hospitalisation Details'!$A:$A, 'Hospitalisation Details'!J:J, "No Data")</f>
        <v>R1020</v>
      </c>
      <c r="M1087" s="28" t="str">
        <f t="array" ref="M1087">_xlfn.XLOOKUP($A1087, 'Hospitalisation Details'!$A:$A, 'Hospitalisation Details'!E:E, "No Data")</f>
        <v>07/07/69</v>
      </c>
      <c r="N1087" s="28">
        <f t="array" ref="N1087">_xlfn.XLOOKUP($A1087, 'Hospitalisation Details'!$A:$A, 'Hospitalisation Details'!K:K, "No Data")</f>
        <v>53</v>
      </c>
      <c r="O1087" s="33">
        <f t="array" ref="O1087">_xlfn.XLOOKUP($A1087, 'Hospitalisation Details'!$A:$A, 'Hospitalisation Details'!G:G, "No Data")</f>
        <v>10403.27</v>
      </c>
      <c r="P1087" s="28" t="str">
        <f t="array" ref="P1087">_xlfn.XLOOKUP($A1087, 'Hospitalisation Details'!$A:$A, 'Hospitalisation Details'!H:H, "No Data")</f>
        <v>tier - 3</v>
      </c>
    </row>
    <row r="1088">
      <c r="A1088" s="25" t="s">
        <v>3462</v>
      </c>
      <c r="B1088" s="28" t="str">
        <f t="array" ref="B1088">_xlfn.XLOOKUP($A1088, 'Customer Names'!$A:$A, 'Customer Names'!B:B, "No Data")</f>
        <v>Frownfelter</v>
      </c>
      <c r="C1088" s="28">
        <f t="array" ref="C1088">_xlfn.XLOOKUP($A1088, 'Medical Examinations'!$A:$A, 'Medical Examinations'!B:B, "No Data")</f>
        <v>36.63</v>
      </c>
      <c r="D1088" s="28">
        <f t="array" ref="D1088">_xlfn.XLOOKUP($A1088, 'Medical Examinations'!$A:$A, 'Medical Examinations'!C:C, "No Data")</f>
        <v>11.42</v>
      </c>
      <c r="E1088" s="28" t="str">
        <f t="array" ref="E1088">_xlfn.XLOOKUP($A1088, 'Medical Examinations'!$A:$A, 'Medical Examinations'!D:D, "No Data")</f>
        <v>No</v>
      </c>
      <c r="F1088" s="28" t="str">
        <f t="array" ref="F1088">_xlfn.XLOOKUP($A1088, 'Medical Examinations'!$A:$A, 'Medical Examinations'!E:E, "No Data")</f>
        <v>No</v>
      </c>
      <c r="G1088" s="28" t="str">
        <f t="array" ref="G1088">_xlfn.XLOOKUP($A1088, 'Medical Examinations'!$A:$A, 'Medical Examinations'!F:F, "No Data")</f>
        <v>No</v>
      </c>
      <c r="H1088" s="28">
        <f t="array" ref="H1088">_xlfn.XLOOKUP($A1088, 'Medical Examinations'!$A:$A, 'Medical Examinations'!G:G, "No Data")</f>
        <v>2</v>
      </c>
      <c r="I1088" s="28" t="str">
        <f t="array" ref="I1088">_xlfn.XLOOKUP($A1088, 'Medical Examinations'!$A:$A, 'Medical Examinations'!H:H, "No Data")</f>
        <v>No</v>
      </c>
      <c r="J1088" s="28" t="str">
        <f t="array" ref="J1088">_xlfn.XLOOKUP($A1088, 'Medical Examinations'!$A:$A, 'Medical Examinations'!I:I, "No Data")</f>
        <v>Obesity</v>
      </c>
      <c r="K1088" s="28" t="str">
        <f t="array" ref="K1088">_xlfn.XLOOKUP($A1088, 'Hospitalisation Details'!$A:$A, 'Hospitalisation Details'!I:I, "No Data")</f>
        <v>tier - 3</v>
      </c>
      <c r="L1088" s="28" t="str">
        <f t="array" ref="L1088">_xlfn.XLOOKUP($A1088, 'Hospitalisation Details'!$A:$A, 'Hospitalisation Details'!J:J, "No Data")</f>
        <v>R1013</v>
      </c>
      <c r="M1088" s="28" t="str">
        <f t="array" ref="M1088">_xlfn.XLOOKUP($A1088, 'Hospitalisation Details'!$A:$A, 'Hospitalisation Details'!E:E, "No Data")</f>
        <v>19/09/73</v>
      </c>
      <c r="N1088" s="28">
        <f t="array" ref="N1088">_xlfn.XLOOKUP($A1088, 'Hospitalisation Details'!$A:$A, 'Hospitalisation Details'!K:K, "No Data")</f>
        <v>49</v>
      </c>
      <c r="O1088" s="33">
        <f t="array" ref="O1088">_xlfn.XLOOKUP($A1088, 'Hospitalisation Details'!$A:$A, 'Hospitalisation Details'!G:G, "No Data")</f>
        <v>10381.48</v>
      </c>
      <c r="P1088" s="28" t="str">
        <f t="array" ref="P1088">_xlfn.XLOOKUP($A1088, 'Hospitalisation Details'!$A:$A, 'Hospitalisation Details'!H:H, "No Data")</f>
        <v>tier - 3</v>
      </c>
    </row>
    <row r="1089">
      <c r="A1089" s="25" t="s">
        <v>3465</v>
      </c>
      <c r="B1089" s="28" t="str">
        <f t="array" ref="B1089">_xlfn.XLOOKUP($A1089, 'Customer Names'!$A:$A, 'Customer Names'!B:B, "No Data")</f>
        <v>Richter</v>
      </c>
      <c r="C1089" s="28">
        <f t="array" ref="C1089">_xlfn.XLOOKUP($A1089, 'Medical Examinations'!$A:$A, 'Medical Examinations'!B:B, "No Data")</f>
        <v>33.345</v>
      </c>
      <c r="D1089" s="28">
        <f t="array" ref="D1089">_xlfn.XLOOKUP($A1089, 'Medical Examinations'!$A:$A, 'Medical Examinations'!C:C, "No Data")</f>
        <v>7.33</v>
      </c>
      <c r="E1089" s="28" t="str">
        <f t="array" ref="E1089">_xlfn.XLOOKUP($A1089, 'Medical Examinations'!$A:$A, 'Medical Examinations'!D:D, "No Data")</f>
        <v>No</v>
      </c>
      <c r="F1089" s="28" t="str">
        <f t="array" ref="F1089">_xlfn.XLOOKUP($A1089, 'Medical Examinations'!$A:$A, 'Medical Examinations'!E:E, "No Data")</f>
        <v>No</v>
      </c>
      <c r="G1089" s="28" t="str">
        <f t="array" ref="G1089">_xlfn.XLOOKUP($A1089, 'Medical Examinations'!$A:$A, 'Medical Examinations'!F:F, "No Data")</f>
        <v>No</v>
      </c>
      <c r="H1089" s="28">
        <f t="array" ref="H1089">_xlfn.XLOOKUP($A1089, 'Medical Examinations'!$A:$A, 'Medical Examinations'!G:G, "No Data")</f>
        <v>2</v>
      </c>
      <c r="I1089" s="28" t="str">
        <f t="array" ref="I1089">_xlfn.XLOOKUP($A1089, 'Medical Examinations'!$A:$A, 'Medical Examinations'!H:H, "No Data")</f>
        <v>No</v>
      </c>
      <c r="J1089" s="28" t="str">
        <f t="array" ref="J1089">_xlfn.XLOOKUP($A1089, 'Medical Examinations'!$A:$A, 'Medical Examinations'!I:I, "No Data")</f>
        <v>Obesity</v>
      </c>
      <c r="K1089" s="28" t="str">
        <f t="array" ref="K1089">_xlfn.XLOOKUP($A1089, 'Hospitalisation Details'!$A:$A, 'Hospitalisation Details'!I:I, "No Data")</f>
        <v>tier - 3</v>
      </c>
      <c r="L1089" s="28" t="str">
        <f t="array" ref="L1089">_xlfn.XLOOKUP($A1089, 'Hospitalisation Details'!$A:$A, 'Hospitalisation Details'!J:J, "No Data")</f>
        <v>R1024</v>
      </c>
      <c r="M1089" s="28" t="str">
        <f t="array" ref="M1089">_xlfn.XLOOKUP($A1089, 'Hospitalisation Details'!$A:$A, 'Hospitalisation Details'!E:E, "No Data")</f>
        <v>29/09/73</v>
      </c>
      <c r="N1089" s="28">
        <f t="array" ref="N1089">_xlfn.XLOOKUP($A1089, 'Hospitalisation Details'!$A:$A, 'Hospitalisation Details'!K:K, "No Data")</f>
        <v>49</v>
      </c>
      <c r="O1089" s="33">
        <f t="array" ref="O1089">_xlfn.XLOOKUP($A1089, 'Hospitalisation Details'!$A:$A, 'Hospitalisation Details'!G:G, "No Data")</f>
        <v>10370.91</v>
      </c>
      <c r="P1089" s="28" t="str">
        <f t="array" ref="P1089">_xlfn.XLOOKUP($A1089, 'Hospitalisation Details'!$A:$A, 'Hospitalisation Details'!H:H, "No Data")</f>
        <v>tier - 3</v>
      </c>
    </row>
    <row r="1090">
      <c r="A1090" s="25" t="s">
        <v>3469</v>
      </c>
      <c r="B1090" s="28" t="str">
        <f t="array" ref="B1090">_xlfn.XLOOKUP($A1090, 'Customer Names'!$A:$A, 'Customer Names'!B:B, "No Data")</f>
        <v>England</v>
      </c>
      <c r="C1090" s="28">
        <f t="array" ref="C1090">_xlfn.XLOOKUP($A1090, 'Medical Examinations'!$A:$A, 'Medical Examinations'!B:B, "No Data")</f>
        <v>27.11</v>
      </c>
      <c r="D1090" s="28">
        <f t="array" ref="D1090">_xlfn.XLOOKUP($A1090, 'Medical Examinations'!$A:$A, 'Medical Examinations'!C:C, "No Data")</f>
        <v>6.7</v>
      </c>
      <c r="E1090" s="28" t="str">
        <f t="array" ref="E1090">_xlfn.XLOOKUP($A1090, 'Medical Examinations'!$A:$A, 'Medical Examinations'!D:D, "No Data")</f>
        <v>No</v>
      </c>
      <c r="F1090" s="28" t="str">
        <f t="array" ref="F1090">_xlfn.XLOOKUP($A1090, 'Medical Examinations'!$A:$A, 'Medical Examinations'!E:E, "No Data")</f>
        <v>No</v>
      </c>
      <c r="G1090" s="28" t="str">
        <f t="array" ref="G1090">_xlfn.XLOOKUP($A1090, 'Medical Examinations'!$A:$A, 'Medical Examinations'!F:F, "No Data")</f>
        <v>No</v>
      </c>
      <c r="H1090" s="28">
        <f t="array" ref="H1090">_xlfn.XLOOKUP($A1090, 'Medical Examinations'!$A:$A, 'Medical Examinations'!G:G, "No Data")</f>
        <v>0</v>
      </c>
      <c r="I1090" s="28" t="str">
        <f t="array" ref="I1090">_xlfn.XLOOKUP($A1090, 'Medical Examinations'!$A:$A, 'Medical Examinations'!H:H, "No Data")</f>
        <v>No</v>
      </c>
      <c r="J1090" s="28" t="str">
        <f t="array" ref="J1090">_xlfn.XLOOKUP($A1090, 'Medical Examinations'!$A:$A, 'Medical Examinations'!I:I, "No Data")</f>
        <v>Overweight</v>
      </c>
      <c r="K1090" s="28" t="str">
        <f t="array" ref="K1090">_xlfn.XLOOKUP($A1090, 'Hospitalisation Details'!$A:$A, 'Hospitalisation Details'!I:I, "No Data")</f>
        <v>tier - 1</v>
      </c>
      <c r="L1090" s="28" t="str">
        <f t="array" ref="L1090">_xlfn.XLOOKUP($A1090, 'Hospitalisation Details'!$A:$A, 'Hospitalisation Details'!J:J, "No Data")</f>
        <v>R1025</v>
      </c>
      <c r="M1090" s="28" t="str">
        <f t="array" ref="M1090">_xlfn.XLOOKUP($A1090, 'Hospitalisation Details'!$A:$A, 'Hospitalisation Details'!E:E, "No Data")</f>
        <v>06/09/71</v>
      </c>
      <c r="N1090" s="28">
        <f t="array" ref="N1090">_xlfn.XLOOKUP($A1090, 'Hospitalisation Details'!$A:$A, 'Hospitalisation Details'!K:K, "No Data")</f>
        <v>51</v>
      </c>
      <c r="O1090" s="33">
        <f t="array" ref="O1090">_xlfn.XLOOKUP($A1090, 'Hospitalisation Details'!$A:$A, 'Hospitalisation Details'!G:G, "No Data")</f>
        <v>10356.67</v>
      </c>
      <c r="P1090" s="28" t="str">
        <f t="array" ref="P1090">_xlfn.XLOOKUP($A1090, 'Hospitalisation Details'!$A:$A, 'Hospitalisation Details'!H:H, "No Data")</f>
        <v>tier - 3</v>
      </c>
    </row>
    <row r="1091">
      <c r="A1091" s="25" t="s">
        <v>3472</v>
      </c>
      <c r="B1091" s="28" t="str">
        <f t="array" ref="B1091">_xlfn.XLOOKUP($A1091, 'Customer Names'!$A:$A, 'Customer Names'!B:B, "No Data")</f>
        <v>McLean</v>
      </c>
      <c r="C1091" s="28">
        <f t="array" ref="C1091">_xlfn.XLOOKUP($A1091, 'Medical Examinations'!$A:$A, 'Medical Examinations'!B:B, "No Data")</f>
        <v>26.6</v>
      </c>
      <c r="D1091" s="28">
        <f t="array" ref="D1091">_xlfn.XLOOKUP($A1091, 'Medical Examinations'!$A:$A, 'Medical Examinations'!C:C, "No Data")</f>
        <v>5.27</v>
      </c>
      <c r="E1091" s="28" t="str">
        <f t="array" ref="E1091">_xlfn.XLOOKUP($A1091, 'Medical Examinations'!$A:$A, 'Medical Examinations'!D:D, "No Data")</f>
        <v>yes</v>
      </c>
      <c r="F1091" s="28" t="str">
        <f t="array" ref="F1091">_xlfn.XLOOKUP($A1091, 'Medical Examinations'!$A:$A, 'Medical Examinations'!E:E, "No Data")</f>
        <v>No</v>
      </c>
      <c r="G1091" s="28" t="str">
        <f t="array" ref="G1091">_xlfn.XLOOKUP($A1091, 'Medical Examinations'!$A:$A, 'Medical Examinations'!F:F, "No Data")</f>
        <v>Yes</v>
      </c>
      <c r="H1091" s="28">
        <f t="array" ref="H1091">_xlfn.XLOOKUP($A1091, 'Medical Examinations'!$A:$A, 'Medical Examinations'!G:G, "No Data")</f>
        <v>1</v>
      </c>
      <c r="I1091" s="28" t="str">
        <f t="array" ref="I1091">_xlfn.XLOOKUP($A1091, 'Medical Examinations'!$A:$A, 'Medical Examinations'!H:H, "No Data")</f>
        <v>No</v>
      </c>
      <c r="J1091" s="28" t="str">
        <f t="array" ref="J1091">_xlfn.XLOOKUP($A1091, 'Medical Examinations'!$A:$A, 'Medical Examinations'!I:I, "No Data")</f>
        <v>Overweight</v>
      </c>
      <c r="K1091" s="28" t="str">
        <f t="array" ref="K1091">_xlfn.XLOOKUP($A1091, 'Hospitalisation Details'!$A:$A, 'Hospitalisation Details'!I:I, "No Data")</f>
        <v>tier - 1</v>
      </c>
      <c r="L1091" s="28" t="str">
        <f t="array" ref="L1091">_xlfn.XLOOKUP($A1091, 'Hospitalisation Details'!$A:$A, 'Hospitalisation Details'!J:J, "No Data")</f>
        <v>R1012</v>
      </c>
      <c r="M1091" s="28" t="str">
        <f t="array" ref="M1091">_xlfn.XLOOKUP($A1091, 'Hospitalisation Details'!$A:$A, 'Hospitalisation Details'!E:E, "No Data")</f>
        <v>17/06/69</v>
      </c>
      <c r="N1091" s="28">
        <f t="array" ref="N1091">_xlfn.XLOOKUP($A1091, 'Hospitalisation Details'!$A:$A, 'Hospitalisation Details'!K:K, "No Data")</f>
        <v>53</v>
      </c>
      <c r="O1091" s="33">
        <f t="array" ref="O1091">_xlfn.XLOOKUP($A1091, 'Hospitalisation Details'!$A:$A, 'Hospitalisation Details'!G:G, "No Data")</f>
        <v>10355.64</v>
      </c>
      <c r="P1091" s="28" t="str">
        <f t="array" ref="P1091">_xlfn.XLOOKUP($A1091, 'Hospitalisation Details'!$A:$A, 'Hospitalisation Details'!H:H, "No Data")</f>
        <v>tier - 3</v>
      </c>
    </row>
    <row r="1092">
      <c r="A1092" s="25" t="s">
        <v>3475</v>
      </c>
      <c r="B1092" s="28" t="str">
        <f t="array" ref="B1092">_xlfn.XLOOKUP($A1092, 'Customer Names'!$A:$A, 'Customer Names'!B:B, "No Data")</f>
        <v>Gardner</v>
      </c>
      <c r="C1092" s="28">
        <f t="array" ref="C1092">_xlfn.XLOOKUP($A1092, 'Medical Examinations'!$A:$A, 'Medical Examinations'!B:B, "No Data")</f>
        <v>30.41</v>
      </c>
      <c r="D1092" s="28">
        <f t="array" ref="D1092">_xlfn.XLOOKUP($A1092, 'Medical Examinations'!$A:$A, 'Medical Examinations'!C:C, "No Data")</f>
        <v>7.72</v>
      </c>
      <c r="E1092" s="28" t="str">
        <f t="array" ref="E1092">_xlfn.XLOOKUP($A1092, 'Medical Examinations'!$A:$A, 'Medical Examinations'!D:D, "No Data")</f>
        <v>No</v>
      </c>
      <c r="F1092" s="28" t="str">
        <f t="array" ref="F1092">_xlfn.XLOOKUP($A1092, 'Medical Examinations'!$A:$A, 'Medical Examinations'!E:E, "No Data")</f>
        <v>No</v>
      </c>
      <c r="G1092" s="28" t="str">
        <f t="array" ref="G1092">_xlfn.XLOOKUP($A1092, 'Medical Examinations'!$A:$A, 'Medical Examinations'!F:F, "No Data")</f>
        <v>No</v>
      </c>
      <c r="H1092" s="28">
        <f t="array" ref="H1092">_xlfn.XLOOKUP($A1092, 'Medical Examinations'!$A:$A, 'Medical Examinations'!G:G, "No Data")</f>
        <v>0</v>
      </c>
      <c r="I1092" s="28" t="str">
        <f t="array" ref="I1092">_xlfn.XLOOKUP($A1092, 'Medical Examinations'!$A:$A, 'Medical Examinations'!H:H, "No Data")</f>
        <v>No</v>
      </c>
      <c r="J1092" s="28" t="str">
        <f t="array" ref="J1092">_xlfn.XLOOKUP($A1092, 'Medical Examinations'!$A:$A, 'Medical Examinations'!I:I, "No Data")</f>
        <v>Obesity</v>
      </c>
      <c r="K1092" s="28" t="str">
        <f t="array" ref="K1092">_xlfn.XLOOKUP($A1092, 'Hospitalisation Details'!$A:$A, 'Hospitalisation Details'!I:I, "No Data")</f>
        <v>tier - 1</v>
      </c>
      <c r="L1092" s="28" t="str">
        <f t="array" ref="L1092">_xlfn.XLOOKUP($A1092, 'Hospitalisation Details'!$A:$A, 'Hospitalisation Details'!J:J, "No Data")</f>
        <v>R1012</v>
      </c>
      <c r="M1092" s="28" t="str">
        <f t="array" ref="M1092">_xlfn.XLOOKUP($A1092, 'Hospitalisation Details'!$A:$A, 'Hospitalisation Details'!E:E, "No Data")</f>
        <v>29/09/74</v>
      </c>
      <c r="N1092" s="28">
        <f t="array" ref="N1092">_xlfn.XLOOKUP($A1092, 'Hospitalisation Details'!$A:$A, 'Hospitalisation Details'!K:K, "No Data")</f>
        <v>48</v>
      </c>
      <c r="O1092" s="33">
        <f t="array" ref="O1092">_xlfn.XLOOKUP($A1092, 'Hospitalisation Details'!$A:$A, 'Hospitalisation Details'!G:G, "No Data")</f>
        <v>10352.48</v>
      </c>
      <c r="P1092" s="28" t="str">
        <f t="array" ref="P1092">_xlfn.XLOOKUP($A1092, 'Hospitalisation Details'!$A:$A, 'Hospitalisation Details'!H:H, "No Data")</f>
        <v>tier - 3</v>
      </c>
    </row>
    <row r="1093">
      <c r="A1093" s="25" t="s">
        <v>3478</v>
      </c>
      <c r="B1093" s="28" t="str">
        <f t="array" ref="B1093">_xlfn.XLOOKUP($A1093, 'Customer Names'!$A:$A, 'Customer Names'!B:B, "No Data")</f>
        <v>Lane</v>
      </c>
      <c r="C1093" s="28">
        <f t="array" ref="C1093">_xlfn.XLOOKUP($A1093, 'Medical Examinations'!$A:$A, 'Medical Examinations'!B:B, "No Data")</f>
        <v>28.98</v>
      </c>
      <c r="D1093" s="28">
        <f t="array" ref="D1093">_xlfn.XLOOKUP($A1093, 'Medical Examinations'!$A:$A, 'Medical Examinations'!C:C, "No Data")</f>
        <v>8.68</v>
      </c>
      <c r="E1093" s="28" t="str">
        <f t="array" ref="E1093">_xlfn.XLOOKUP($A1093, 'Medical Examinations'!$A:$A, 'Medical Examinations'!D:D, "No Data")</f>
        <v>No</v>
      </c>
      <c r="F1093" s="28" t="str">
        <f t="array" ref="F1093">_xlfn.XLOOKUP($A1093, 'Medical Examinations'!$A:$A, 'Medical Examinations'!E:E, "No Data")</f>
        <v>No</v>
      </c>
      <c r="G1093" s="28" t="str">
        <f t="array" ref="G1093">_xlfn.XLOOKUP($A1093, 'Medical Examinations'!$A:$A, 'Medical Examinations'!F:F, "No Data")</f>
        <v>No</v>
      </c>
      <c r="H1093" s="28">
        <f t="array" ref="H1093">_xlfn.XLOOKUP($A1093, 'Medical Examinations'!$A:$A, 'Medical Examinations'!G:G, "No Data")</f>
        <v>2</v>
      </c>
      <c r="I1093" s="28" t="str">
        <f t="array" ref="I1093">_xlfn.XLOOKUP($A1093, 'Medical Examinations'!$A:$A, 'Medical Examinations'!H:H, "No Data")</f>
        <v>No</v>
      </c>
      <c r="J1093" s="28" t="str">
        <f t="array" ref="J1093">_xlfn.XLOOKUP($A1093, 'Medical Examinations'!$A:$A, 'Medical Examinations'!I:I, "No Data")</f>
        <v>Overweight</v>
      </c>
      <c r="K1093" s="28" t="str">
        <f t="array" ref="K1093">_xlfn.XLOOKUP($A1093, 'Hospitalisation Details'!$A:$A, 'Hospitalisation Details'!I:I, "No Data")</f>
        <v>tier - 2</v>
      </c>
      <c r="L1093" s="28" t="str">
        <f t="array" ref="L1093">_xlfn.XLOOKUP($A1093, 'Hospitalisation Details'!$A:$A, 'Hospitalisation Details'!J:J, "No Data")</f>
        <v>R1021</v>
      </c>
      <c r="M1093" s="28" t="str">
        <f t="array" ref="M1093">_xlfn.XLOOKUP($A1093, 'Hospitalisation Details'!$A:$A, 'Hospitalisation Details'!E:E, "No Data")</f>
        <v>08/08/73</v>
      </c>
      <c r="N1093" s="28">
        <f t="array" ref="N1093">_xlfn.XLOOKUP($A1093, 'Hospitalisation Details'!$A:$A, 'Hospitalisation Details'!K:K, "No Data")</f>
        <v>49</v>
      </c>
      <c r="O1093" s="33">
        <f t="array" ref="O1093">_xlfn.XLOOKUP($A1093, 'Hospitalisation Details'!$A:$A, 'Hospitalisation Details'!G:G, "No Data")</f>
        <v>10345.93</v>
      </c>
      <c r="P1093" s="28" t="str">
        <f t="array" ref="P1093">_xlfn.XLOOKUP($A1093, 'Hospitalisation Details'!$A:$A, 'Hospitalisation Details'!H:H, "No Data")</f>
        <v>tier - 3</v>
      </c>
    </row>
    <row r="1094">
      <c r="A1094" s="25" t="s">
        <v>3481</v>
      </c>
      <c r="B1094" s="28" t="str">
        <f t="array" ref="B1094">_xlfn.XLOOKUP($A1094, 'Customer Names'!$A:$A, 'Customer Names'!B:B, "No Data")</f>
        <v>Vonachen</v>
      </c>
      <c r="C1094" s="28">
        <f t="array" ref="C1094">_xlfn.XLOOKUP($A1094, 'Medical Examinations'!$A:$A, 'Medical Examinations'!B:B, "No Data")</f>
        <v>31.24</v>
      </c>
      <c r="D1094" s="28">
        <f t="array" ref="D1094">_xlfn.XLOOKUP($A1094, 'Medical Examinations'!$A:$A, 'Medical Examinations'!C:C, "No Data")</f>
        <v>9.8</v>
      </c>
      <c r="E1094" s="28" t="str">
        <f t="array" ref="E1094">_xlfn.XLOOKUP($A1094, 'Medical Examinations'!$A:$A, 'Medical Examinations'!D:D, "No Data")</f>
        <v>No</v>
      </c>
      <c r="F1094" s="28" t="str">
        <f t="array" ref="F1094">_xlfn.XLOOKUP($A1094, 'Medical Examinations'!$A:$A, 'Medical Examinations'!E:E, "No Data")</f>
        <v>No</v>
      </c>
      <c r="G1094" s="28" t="str">
        <f t="array" ref="G1094">_xlfn.XLOOKUP($A1094, 'Medical Examinations'!$A:$A, 'Medical Examinations'!F:F, "No Data")</f>
        <v>No</v>
      </c>
      <c r="H1094" s="28">
        <f t="array" ref="H1094">_xlfn.XLOOKUP($A1094, 'Medical Examinations'!$A:$A, 'Medical Examinations'!G:G, "No Data")</f>
        <v>0</v>
      </c>
      <c r="I1094" s="28" t="str">
        <f t="array" ref="I1094">_xlfn.XLOOKUP($A1094, 'Medical Examinations'!$A:$A, 'Medical Examinations'!H:H, "No Data")</f>
        <v>No</v>
      </c>
      <c r="J1094" s="28" t="str">
        <f t="array" ref="J1094">_xlfn.XLOOKUP($A1094, 'Medical Examinations'!$A:$A, 'Medical Examinations'!I:I, "No Data")</f>
        <v>Obesity</v>
      </c>
      <c r="K1094" s="28" t="str">
        <f t="array" ref="K1094">_xlfn.XLOOKUP($A1094, 'Hospitalisation Details'!$A:$A, 'Hospitalisation Details'!I:I, "No Data")</f>
        <v>tier - 1</v>
      </c>
      <c r="L1094" s="28" t="str">
        <f t="array" ref="L1094">_xlfn.XLOOKUP($A1094, 'Hospitalisation Details'!$A:$A, 'Hospitalisation Details'!J:J, "No Data")</f>
        <v>R1013</v>
      </c>
      <c r="M1094" s="28" t="str">
        <f t="array" ref="M1094">_xlfn.XLOOKUP($A1094, 'Hospitalisation Details'!$A:$A, 'Hospitalisation Details'!E:E, "No Data")</f>
        <v>19/07/68</v>
      </c>
      <c r="N1094" s="28">
        <f t="array" ref="N1094">_xlfn.XLOOKUP($A1094, 'Hospitalisation Details'!$A:$A, 'Hospitalisation Details'!K:K, "No Data")</f>
        <v>54</v>
      </c>
      <c r="O1094" s="33">
        <f t="array" ref="O1094">_xlfn.XLOOKUP($A1094, 'Hospitalisation Details'!$A:$A, 'Hospitalisation Details'!G:G, "No Data")</f>
        <v>10338.93</v>
      </c>
      <c r="P1094" s="28" t="str">
        <f t="array" ref="P1094">_xlfn.XLOOKUP($A1094, 'Hospitalisation Details'!$A:$A, 'Hospitalisation Details'!H:H, "No Data")</f>
        <v>tier - 3</v>
      </c>
    </row>
    <row r="1095">
      <c r="A1095" s="25" t="s">
        <v>3484</v>
      </c>
      <c r="B1095" s="28" t="str">
        <f t="array" ref="B1095">_xlfn.XLOOKUP($A1095, 'Customer Names'!$A:$A, 'Customer Names'!B:B, "No Data")</f>
        <v>Smith</v>
      </c>
      <c r="C1095" s="28">
        <f t="array" ref="C1095">_xlfn.XLOOKUP($A1095, 'Medical Examinations'!$A:$A, 'Medical Examinations'!B:B, "No Data")</f>
        <v>31.54</v>
      </c>
      <c r="D1095" s="28">
        <f t="array" ref="D1095">_xlfn.XLOOKUP($A1095, 'Medical Examinations'!$A:$A, 'Medical Examinations'!C:C, "No Data")</f>
        <v>4.44</v>
      </c>
      <c r="E1095" s="28" t="str">
        <f t="array" ref="E1095">_xlfn.XLOOKUP($A1095, 'Medical Examinations'!$A:$A, 'Medical Examinations'!D:D, "No Data")</f>
        <v>No</v>
      </c>
      <c r="F1095" s="28" t="str">
        <f t="array" ref="F1095">_xlfn.XLOOKUP($A1095, 'Medical Examinations'!$A:$A, 'Medical Examinations'!E:E, "No Data")</f>
        <v>No</v>
      </c>
      <c r="G1095" s="28" t="str">
        <f t="array" ref="G1095">_xlfn.XLOOKUP($A1095, 'Medical Examinations'!$A:$A, 'Medical Examinations'!F:F, "No Data")</f>
        <v>No</v>
      </c>
      <c r="H1095" s="28">
        <f t="array" ref="H1095">_xlfn.XLOOKUP($A1095, 'Medical Examinations'!$A:$A, 'Medical Examinations'!G:G, "No Data")</f>
        <v>0</v>
      </c>
      <c r="I1095" s="28" t="str">
        <f t="array" ref="I1095">_xlfn.XLOOKUP($A1095, 'Medical Examinations'!$A:$A, 'Medical Examinations'!H:H, "No Data")</f>
        <v>No</v>
      </c>
      <c r="J1095" s="28" t="str">
        <f t="array" ref="J1095">_xlfn.XLOOKUP($A1095, 'Medical Examinations'!$A:$A, 'Medical Examinations'!I:I, "No Data")</f>
        <v>Obesity</v>
      </c>
      <c r="K1095" s="28" t="str">
        <f t="array" ref="K1095">_xlfn.XLOOKUP($A1095, 'Hospitalisation Details'!$A:$A, 'Hospitalisation Details'!I:I, "No Data")</f>
        <v>tier - 1</v>
      </c>
      <c r="L1095" s="28" t="str">
        <f t="array" ref="L1095">_xlfn.XLOOKUP($A1095, 'Hospitalisation Details'!$A:$A, 'Hospitalisation Details'!J:J, "No Data")</f>
        <v>R1021</v>
      </c>
      <c r="M1095" s="28" t="str">
        <f t="array" ref="M1095">_xlfn.XLOOKUP($A1095, 'Hospitalisation Details'!$A:$A, 'Hospitalisation Details'!E:E, "No Data")</f>
        <v>21/07/82</v>
      </c>
      <c r="N1095" s="28">
        <f t="array" ref="N1095">_xlfn.XLOOKUP($A1095, 'Hospitalisation Details'!$A:$A, 'Hospitalisation Details'!K:K, "No Data")</f>
        <v>40</v>
      </c>
      <c r="O1095" s="33">
        <f t="array" ref="O1095">_xlfn.XLOOKUP($A1095, 'Hospitalisation Details'!$A:$A, 'Hospitalisation Details'!G:G, "No Data")</f>
        <v>10329.06</v>
      </c>
      <c r="P1095" s="28" t="str">
        <f t="array" ref="P1095">_xlfn.XLOOKUP($A1095, 'Hospitalisation Details'!$A:$A, 'Hospitalisation Details'!H:H, "No Data")</f>
        <v>tier - 3</v>
      </c>
    </row>
    <row r="1096">
      <c r="A1096" s="25" t="s">
        <v>3485</v>
      </c>
      <c r="B1096" s="28" t="str">
        <f t="array" ref="B1096">_xlfn.XLOOKUP($A1096, 'Customer Names'!$A:$A, 'Customer Names'!B:B, "No Data")</f>
        <v>Kidwell</v>
      </c>
      <c r="C1096" s="28">
        <f t="array" ref="C1096">_xlfn.XLOOKUP($A1096, 'Medical Examinations'!$A:$A, 'Medical Examinations'!B:B, "No Data")</f>
        <v>38.6</v>
      </c>
      <c r="D1096" s="28">
        <f t="array" ref="D1096">_xlfn.XLOOKUP($A1096, 'Medical Examinations'!$A:$A, 'Medical Examinations'!C:C, "No Data")</f>
        <v>7.19</v>
      </c>
      <c r="E1096" s="28" t="str">
        <f t="array" ref="E1096">_xlfn.XLOOKUP($A1096, 'Medical Examinations'!$A:$A, 'Medical Examinations'!D:D, "No Data")</f>
        <v>yes</v>
      </c>
      <c r="F1096" s="28" t="str">
        <f t="array" ref="F1096">_xlfn.XLOOKUP($A1096, 'Medical Examinations'!$A:$A, 'Medical Examinations'!E:E, "No Data")</f>
        <v>No</v>
      </c>
      <c r="G1096" s="28" t="str">
        <f t="array" ref="G1096">_xlfn.XLOOKUP($A1096, 'Medical Examinations'!$A:$A, 'Medical Examinations'!F:F, "No Data")</f>
        <v>No</v>
      </c>
      <c r="H1096" s="28">
        <f t="array" ref="H1096">_xlfn.XLOOKUP($A1096, 'Medical Examinations'!$A:$A, 'Medical Examinations'!G:G, "No Data")</f>
        <v>2</v>
      </c>
      <c r="I1096" s="28" t="str">
        <f t="array" ref="I1096">_xlfn.XLOOKUP($A1096, 'Medical Examinations'!$A:$A, 'Medical Examinations'!H:H, "No Data")</f>
        <v>No</v>
      </c>
      <c r="J1096" s="28" t="str">
        <f t="array" ref="J1096">_xlfn.XLOOKUP($A1096, 'Medical Examinations'!$A:$A, 'Medical Examinations'!I:I, "No Data")</f>
        <v>Obesity</v>
      </c>
      <c r="K1096" s="28" t="str">
        <f t="array" ref="K1096">_xlfn.XLOOKUP($A1096, 'Hospitalisation Details'!$A:$A, 'Hospitalisation Details'!I:I, "No Data")</f>
        <v>tier - 3</v>
      </c>
      <c r="L1096" s="28" t="str">
        <f t="array" ref="L1096">_xlfn.XLOOKUP($A1096, 'Hospitalisation Details'!$A:$A, 'Hospitalisation Details'!J:J, "No Data")</f>
        <v>R1011</v>
      </c>
      <c r="M1096" s="28" t="str">
        <f t="array" ref="M1096">_xlfn.XLOOKUP($A1096, 'Hospitalisation Details'!$A:$A, 'Hospitalisation Details'!E:E, "No Data")</f>
        <v>01/12/70</v>
      </c>
      <c r="N1096" s="28">
        <f t="array" ref="N1096">_xlfn.XLOOKUP($A1096, 'Hospitalisation Details'!$A:$A, 'Hospitalisation Details'!K:K, "No Data")</f>
        <v>52</v>
      </c>
      <c r="O1096" s="33">
        <f t="array" ref="O1096">_xlfn.XLOOKUP($A1096, 'Hospitalisation Details'!$A:$A, 'Hospitalisation Details'!G:G, "No Data")</f>
        <v>10325.21</v>
      </c>
      <c r="P1096" s="28" t="str">
        <f t="array" ref="P1096">_xlfn.XLOOKUP($A1096, 'Hospitalisation Details'!$A:$A, 'Hospitalisation Details'!H:H, "No Data")</f>
        <v>tier - 3</v>
      </c>
    </row>
    <row r="1097">
      <c r="A1097" s="25" t="s">
        <v>3488</v>
      </c>
      <c r="B1097" s="28" t="str">
        <f t="array" ref="B1097">_xlfn.XLOOKUP($A1097, 'Customer Names'!$A:$A, 'Customer Names'!B:B, "No Data")</f>
        <v>Betancourth</v>
      </c>
      <c r="C1097" s="28">
        <f t="array" ref="C1097">_xlfn.XLOOKUP($A1097, 'Medical Examinations'!$A:$A, 'Medical Examinations'!B:B, "No Data")</f>
        <v>37.95</v>
      </c>
      <c r="D1097" s="28">
        <f t="array" ref="D1097">_xlfn.XLOOKUP($A1097, 'Medical Examinations'!$A:$A, 'Medical Examinations'!C:C, "No Data")</f>
        <v>6.06</v>
      </c>
      <c r="E1097" s="28" t="str">
        <f t="array" ref="E1097">_xlfn.XLOOKUP($A1097, 'Medical Examinations'!$A:$A, 'Medical Examinations'!D:D, "No Data")</f>
        <v>No</v>
      </c>
      <c r="F1097" s="28" t="str">
        <f t="array" ref="F1097">_xlfn.XLOOKUP($A1097, 'Medical Examinations'!$A:$A, 'Medical Examinations'!E:E, "No Data")</f>
        <v>No</v>
      </c>
      <c r="G1097" s="28" t="str">
        <f t="array" ref="G1097">_xlfn.XLOOKUP($A1097, 'Medical Examinations'!$A:$A, 'Medical Examinations'!F:F, "No Data")</f>
        <v>No</v>
      </c>
      <c r="H1097" s="28">
        <f t="array" ref="H1097">_xlfn.XLOOKUP($A1097, 'Medical Examinations'!$A:$A, 'Medical Examinations'!G:G, "No Data")</f>
        <v>0</v>
      </c>
      <c r="I1097" s="28" t="str">
        <f t="array" ref="I1097">_xlfn.XLOOKUP($A1097, 'Medical Examinations'!$A:$A, 'Medical Examinations'!H:H, "No Data")</f>
        <v>No</v>
      </c>
      <c r="J1097" s="28" t="str">
        <f t="array" ref="J1097">_xlfn.XLOOKUP($A1097, 'Medical Examinations'!$A:$A, 'Medical Examinations'!I:I, "No Data")</f>
        <v>Obesity</v>
      </c>
      <c r="K1097" s="28" t="str">
        <f t="array" ref="K1097">_xlfn.XLOOKUP($A1097, 'Hospitalisation Details'!$A:$A, 'Hospitalisation Details'!I:I, "No Data")</f>
        <v>tier - 1</v>
      </c>
      <c r="L1097" s="28" t="str">
        <f t="array" ref="L1097">_xlfn.XLOOKUP($A1097, 'Hospitalisation Details'!$A:$A, 'Hospitalisation Details'!J:J, "No Data")</f>
        <v>R1026</v>
      </c>
      <c r="M1097" s="28" t="str">
        <f t="array" ref="M1097">_xlfn.XLOOKUP($A1097, 'Hospitalisation Details'!$A:$A, 'Hospitalisation Details'!E:E, "No Data")</f>
        <v>21/08/91</v>
      </c>
      <c r="N1097" s="28">
        <f t="array" ref="N1097">_xlfn.XLOOKUP($A1097, 'Hospitalisation Details'!$A:$A, 'Hospitalisation Details'!K:K, "No Data")</f>
        <v>31</v>
      </c>
      <c r="O1097" s="33">
        <f t="array" ref="O1097">_xlfn.XLOOKUP($A1097, 'Hospitalisation Details'!$A:$A, 'Hospitalisation Details'!G:G, "No Data")</f>
        <v>10322.9</v>
      </c>
      <c r="P1097" s="28" t="str">
        <f t="array" ref="P1097">_xlfn.XLOOKUP($A1097, 'Hospitalisation Details'!$A:$A, 'Hospitalisation Details'!H:H, "No Data")</f>
        <v>tier - 3</v>
      </c>
    </row>
    <row r="1098">
      <c r="A1098" s="25" t="s">
        <v>3491</v>
      </c>
      <c r="B1098" s="28" t="str">
        <f t="array" ref="B1098">_xlfn.XLOOKUP($A1098, 'Customer Names'!$A:$A, 'Customer Names'!B:B, "No Data")</f>
        <v>Henstrom</v>
      </c>
      <c r="C1098" s="28">
        <f t="array" ref="C1098">_xlfn.XLOOKUP($A1098, 'Medical Examinations'!$A:$A, 'Medical Examinations'!B:B, "No Data")</f>
        <v>38.97</v>
      </c>
      <c r="D1098" s="28">
        <f t="array" ref="D1098">_xlfn.XLOOKUP($A1098, 'Medical Examinations'!$A:$A, 'Medical Examinations'!C:C, "No Data")</f>
        <v>5.12</v>
      </c>
      <c r="E1098" s="28" t="str">
        <f t="array" ref="E1098">_xlfn.XLOOKUP($A1098, 'Medical Examinations'!$A:$A, 'Medical Examinations'!D:D, "No Data")</f>
        <v>No</v>
      </c>
      <c r="F1098" s="28" t="str">
        <f t="array" ref="F1098">_xlfn.XLOOKUP($A1098, 'Medical Examinations'!$A:$A, 'Medical Examinations'!E:E, "No Data")</f>
        <v>No</v>
      </c>
      <c r="G1098" s="28" t="str">
        <f t="array" ref="G1098">_xlfn.XLOOKUP($A1098, 'Medical Examinations'!$A:$A, 'Medical Examinations'!F:F, "No Data")</f>
        <v>No</v>
      </c>
      <c r="H1098" s="28">
        <f t="array" ref="H1098">_xlfn.XLOOKUP($A1098, 'Medical Examinations'!$A:$A, 'Medical Examinations'!G:G, "No Data")</f>
        <v>0</v>
      </c>
      <c r="I1098" s="28" t="str">
        <f t="array" ref="I1098">_xlfn.XLOOKUP($A1098, 'Medical Examinations'!$A:$A, 'Medical Examinations'!H:H, "No Data")</f>
        <v>No</v>
      </c>
      <c r="J1098" s="28" t="str">
        <f t="array" ref="J1098">_xlfn.XLOOKUP($A1098, 'Medical Examinations'!$A:$A, 'Medical Examinations'!I:I, "No Data")</f>
        <v>Obesity</v>
      </c>
      <c r="K1098" s="28" t="str">
        <f t="array" ref="K1098">_xlfn.XLOOKUP($A1098, 'Hospitalisation Details'!$A:$A, 'Hospitalisation Details'!I:I, "No Data")</f>
        <v>tier - 2</v>
      </c>
      <c r="L1098" s="28" t="str">
        <f t="array" ref="L1098">_xlfn.XLOOKUP($A1098, 'Hospitalisation Details'!$A:$A, 'Hospitalisation Details'!J:J, "No Data")</f>
        <v>R1012</v>
      </c>
      <c r="M1098" s="28" t="str">
        <f t="array" ref="M1098">_xlfn.XLOOKUP($A1098, 'Hospitalisation Details'!$A:$A, 'Hospitalisation Details'!E:E, "No Data")</f>
        <v>17/11/91</v>
      </c>
      <c r="N1098" s="28">
        <f t="array" ref="N1098">_xlfn.XLOOKUP($A1098, 'Hospitalisation Details'!$A:$A, 'Hospitalisation Details'!K:K, "No Data")</f>
        <v>31</v>
      </c>
      <c r="O1098" s="33">
        <f t="array" ref="O1098">_xlfn.XLOOKUP($A1098, 'Hospitalisation Details'!$A:$A, 'Hospitalisation Details'!G:G, "No Data")</f>
        <v>10315.91</v>
      </c>
      <c r="P1098" s="28" t="str">
        <f t="array" ref="P1098">_xlfn.XLOOKUP($A1098, 'Hospitalisation Details'!$A:$A, 'Hospitalisation Details'!H:H, "No Data")</f>
        <v>tier - 3</v>
      </c>
    </row>
    <row r="1099">
      <c r="A1099" s="25" t="s">
        <v>3494</v>
      </c>
      <c r="B1099" s="28" t="str">
        <f t="array" ref="B1099">_xlfn.XLOOKUP($A1099, 'Customer Names'!$A:$A, 'Customer Names'!B:B, "No Data")</f>
        <v>Pereira</v>
      </c>
      <c r="C1099" s="28">
        <f t="array" ref="C1099">_xlfn.XLOOKUP($A1099, 'Medical Examinations'!$A:$A, 'Medical Examinations'!B:B, "No Data")</f>
        <v>21.2</v>
      </c>
      <c r="D1099" s="28">
        <f t="array" ref="D1099">_xlfn.XLOOKUP($A1099, 'Medical Examinations'!$A:$A, 'Medical Examinations'!C:C, "No Data")</f>
        <v>10.72</v>
      </c>
      <c r="E1099" s="28" t="str">
        <f t="array" ref="E1099">_xlfn.XLOOKUP($A1099, 'Medical Examinations'!$A:$A, 'Medical Examinations'!D:D, "No Data")</f>
        <v>No</v>
      </c>
      <c r="F1099" s="28" t="str">
        <f t="array" ref="F1099">_xlfn.XLOOKUP($A1099, 'Medical Examinations'!$A:$A, 'Medical Examinations'!E:E, "No Data")</f>
        <v>No</v>
      </c>
      <c r="G1099" s="28" t="str">
        <f t="array" ref="G1099">_xlfn.XLOOKUP($A1099, 'Medical Examinations'!$A:$A, 'Medical Examinations'!F:F, "No Data")</f>
        <v>No</v>
      </c>
      <c r="H1099" s="28">
        <f t="array" ref="H1099">_xlfn.XLOOKUP($A1099, 'Medical Examinations'!$A:$A, 'Medical Examinations'!G:G, "No Data")</f>
        <v>0</v>
      </c>
      <c r="I1099" s="28" t="str">
        <f t="array" ref="I1099">_xlfn.XLOOKUP($A1099, 'Medical Examinations'!$A:$A, 'Medical Examinations'!H:H, "No Data")</f>
        <v>No</v>
      </c>
      <c r="J1099" s="28" t="str">
        <f t="array" ref="J1099">_xlfn.XLOOKUP($A1099, 'Medical Examinations'!$A:$A, 'Medical Examinations'!I:I, "No Data")</f>
        <v>Normal Weight</v>
      </c>
      <c r="K1099" s="28" t="str">
        <f t="array" ref="K1099">_xlfn.XLOOKUP($A1099, 'Hospitalisation Details'!$A:$A, 'Hospitalisation Details'!I:I, "No Data")</f>
        <v>tier - 3</v>
      </c>
      <c r="L1099" s="28" t="str">
        <f t="array" ref="L1099">_xlfn.XLOOKUP($A1099, 'Hospitalisation Details'!$A:$A, 'Hospitalisation Details'!J:J, "No Data")</f>
        <v>R1012</v>
      </c>
      <c r="M1099" s="28" t="str">
        <f t="array" ref="M1099">_xlfn.XLOOKUP($A1099, 'Hospitalisation Details'!$A:$A, 'Hospitalisation Details'!E:E, "No Data")</f>
        <v>12/07/62</v>
      </c>
      <c r="N1099" s="28">
        <f t="array" ref="N1099">_xlfn.XLOOKUP($A1099, 'Hospitalisation Details'!$A:$A, 'Hospitalisation Details'!K:K, "No Data")</f>
        <v>60</v>
      </c>
      <c r="O1099" s="33">
        <f t="array" ref="O1099">_xlfn.XLOOKUP($A1099, 'Hospitalisation Details'!$A:$A, 'Hospitalisation Details'!G:G, "No Data")</f>
        <v>10310.78</v>
      </c>
      <c r="P1099" s="28" t="str">
        <f t="array" ref="P1099">_xlfn.XLOOKUP($A1099, 'Hospitalisation Details'!$A:$A, 'Hospitalisation Details'!H:H, "No Data")</f>
        <v>tier - 3</v>
      </c>
    </row>
    <row r="1100">
      <c r="A1100" s="25" t="s">
        <v>3497</v>
      </c>
      <c r="B1100" s="28" t="str">
        <f t="array" ref="B1100">_xlfn.XLOOKUP($A1100, 'Customer Names'!$A:$A, 'Customer Names'!B:B, "No Data")</f>
        <v>Black</v>
      </c>
      <c r="C1100" s="28">
        <f t="array" ref="C1100">_xlfn.XLOOKUP($A1100, 'Medical Examinations'!$A:$A, 'Medical Examinations'!B:B, "No Data")</f>
        <v>23.96</v>
      </c>
      <c r="D1100" s="28">
        <f t="array" ref="D1100">_xlfn.XLOOKUP($A1100, 'Medical Examinations'!$A:$A, 'Medical Examinations'!C:C, "No Data")</f>
        <v>9.58</v>
      </c>
      <c r="E1100" s="28" t="str">
        <f t="array" ref="E1100">_xlfn.XLOOKUP($A1100, 'Medical Examinations'!$A:$A, 'Medical Examinations'!D:D, "No Data")</f>
        <v>yes</v>
      </c>
      <c r="F1100" s="28" t="str">
        <f t="array" ref="F1100">_xlfn.XLOOKUP($A1100, 'Medical Examinations'!$A:$A, 'Medical Examinations'!E:E, "No Data")</f>
        <v>No</v>
      </c>
      <c r="G1100" s="28" t="str">
        <f t="array" ref="G1100">_xlfn.XLOOKUP($A1100, 'Medical Examinations'!$A:$A, 'Medical Examinations'!F:F, "No Data")</f>
        <v>Yes</v>
      </c>
      <c r="H1100" s="28">
        <f t="array" ref="H1100">_xlfn.XLOOKUP($A1100, 'Medical Examinations'!$A:$A, 'Medical Examinations'!G:G, "No Data")</f>
        <v>1</v>
      </c>
      <c r="I1100" s="28" t="str">
        <f t="array" ref="I1100">_xlfn.XLOOKUP($A1100, 'Medical Examinations'!$A:$A, 'Medical Examinations'!H:H, "No Data")</f>
        <v>No</v>
      </c>
      <c r="J1100" s="28" t="str">
        <f t="array" ref="J1100">_xlfn.XLOOKUP($A1100, 'Medical Examinations'!$A:$A, 'Medical Examinations'!I:I, "No Data")</f>
        <v>Normal Weight</v>
      </c>
      <c r="K1100" s="28" t="str">
        <f t="array" ref="K1100">_xlfn.XLOOKUP($A1100, 'Hospitalisation Details'!$A:$A, 'Hospitalisation Details'!I:I, "No Data")</f>
        <v>tier - 1</v>
      </c>
      <c r="L1100" s="28" t="str">
        <f t="array" ref="L1100">_xlfn.XLOOKUP($A1100, 'Hospitalisation Details'!$A:$A, 'Hospitalisation Details'!J:J, "No Data")</f>
        <v>R1013</v>
      </c>
      <c r="M1100" s="28" t="str">
        <f t="array" ref="M1100">_xlfn.XLOOKUP($A1100, 'Hospitalisation Details'!$A:$A, 'Hospitalisation Details'!E:E, "No Data")</f>
        <v>24/09/63</v>
      </c>
      <c r="N1100" s="28">
        <f t="array" ref="N1100">_xlfn.XLOOKUP($A1100, 'Hospitalisation Details'!$A:$A, 'Hospitalisation Details'!K:K, "No Data")</f>
        <v>59</v>
      </c>
      <c r="O1100" s="33">
        <f t="array" ref="O1100">_xlfn.XLOOKUP($A1100, 'Hospitalisation Details'!$A:$A, 'Hospitalisation Details'!G:G, "No Data")</f>
        <v>10308.04</v>
      </c>
      <c r="P1100" s="28" t="str">
        <f t="array" ref="P1100">_xlfn.XLOOKUP($A1100, 'Hospitalisation Details'!$A:$A, 'Hospitalisation Details'!H:H, "No Data")</f>
        <v>tier - 3</v>
      </c>
    </row>
    <row r="1101">
      <c r="A1101" s="25" t="s">
        <v>3499</v>
      </c>
      <c r="B1101" s="28" t="str">
        <f t="array" ref="B1101">_xlfn.XLOOKUP($A1101, 'Customer Names'!$A:$A, 'Customer Names'!B:B, "No Data")</f>
        <v>Brown</v>
      </c>
      <c r="C1101" s="28">
        <f t="array" ref="C1101">_xlfn.XLOOKUP($A1101, 'Medical Examinations'!$A:$A, 'Medical Examinations'!B:B, "No Data")</f>
        <v>35.93</v>
      </c>
      <c r="D1101" s="28">
        <f t="array" ref="D1101">_xlfn.XLOOKUP($A1101, 'Medical Examinations'!$A:$A, 'Medical Examinations'!C:C, "No Data")</f>
        <v>6.4</v>
      </c>
      <c r="E1101" s="28" t="str">
        <f t="array" ref="E1101">_xlfn.XLOOKUP($A1101, 'Medical Examinations'!$A:$A, 'Medical Examinations'!D:D, "No Data")</f>
        <v>yes</v>
      </c>
      <c r="F1101" s="28" t="str">
        <f t="array" ref="F1101">_xlfn.XLOOKUP($A1101, 'Medical Examinations'!$A:$A, 'Medical Examinations'!E:E, "No Data")</f>
        <v>No</v>
      </c>
      <c r="G1101" s="28" t="str">
        <f t="array" ref="G1101">_xlfn.XLOOKUP($A1101, 'Medical Examinations'!$A:$A, 'Medical Examinations'!F:F, "No Data")</f>
        <v>No</v>
      </c>
      <c r="H1101" s="28">
        <f t="array" ref="H1101">_xlfn.XLOOKUP($A1101, 'Medical Examinations'!$A:$A, 'Medical Examinations'!G:G, "No Data")</f>
        <v>1</v>
      </c>
      <c r="I1101" s="28" t="str">
        <f t="array" ref="I1101">_xlfn.XLOOKUP($A1101, 'Medical Examinations'!$A:$A, 'Medical Examinations'!H:H, "No Data")</f>
        <v>No</v>
      </c>
      <c r="J1101" s="28" t="str">
        <f t="array" ref="J1101">_xlfn.XLOOKUP($A1101, 'Medical Examinations'!$A:$A, 'Medical Examinations'!I:I, "No Data")</f>
        <v>Obesity</v>
      </c>
      <c r="K1101" s="28" t="str">
        <f t="array" ref="K1101">_xlfn.XLOOKUP($A1101, 'Hospitalisation Details'!$A:$A, 'Hospitalisation Details'!I:I, "No Data")</f>
        <v>tier - 1</v>
      </c>
      <c r="L1101" s="28" t="str">
        <f t="array" ref="L1101">_xlfn.XLOOKUP($A1101, 'Hospitalisation Details'!$A:$A, 'Hospitalisation Details'!J:J, "No Data")</f>
        <v>R1021</v>
      </c>
      <c r="M1101" s="28" t="str">
        <f t="array" ref="M1101">_xlfn.XLOOKUP($A1101, 'Hospitalisation Details'!$A:$A, 'Hospitalisation Details'!E:E, "No Data")</f>
        <v>14/09/88</v>
      </c>
      <c r="N1101" s="28">
        <f t="array" ref="N1101">_xlfn.XLOOKUP($A1101, 'Hospitalisation Details'!$A:$A, 'Hospitalisation Details'!K:K, "No Data")</f>
        <v>34</v>
      </c>
      <c r="O1101" s="33">
        <f t="array" ref="O1101">_xlfn.XLOOKUP($A1101, 'Hospitalisation Details'!$A:$A, 'Hospitalisation Details'!G:G, "No Data")</f>
        <v>10276.99</v>
      </c>
      <c r="P1101" s="28" t="str">
        <f t="array" ref="P1101">_xlfn.XLOOKUP($A1101, 'Hospitalisation Details'!$A:$A, 'Hospitalisation Details'!H:H, "No Data")</f>
        <v>tier - 3</v>
      </c>
    </row>
    <row r="1102">
      <c r="A1102" s="25" t="s">
        <v>3502</v>
      </c>
      <c r="B1102" s="28" t="str">
        <f t="array" ref="B1102">_xlfn.XLOOKUP($A1102, 'Customer Names'!$A:$A, 'Customer Names'!B:B, "No Data")</f>
        <v>Reasoner</v>
      </c>
      <c r="C1102" s="28">
        <f t="array" ref="C1102">_xlfn.XLOOKUP($A1102, 'Medical Examinations'!$A:$A, 'Medical Examinations'!B:B, "No Data")</f>
        <v>26.11</v>
      </c>
      <c r="D1102" s="28">
        <f t="array" ref="D1102">_xlfn.XLOOKUP($A1102, 'Medical Examinations'!$A:$A, 'Medical Examinations'!C:C, "No Data")</f>
        <v>6.8</v>
      </c>
      <c r="E1102" s="28" t="str">
        <f t="array" ref="E1102">_xlfn.XLOOKUP($A1102, 'Medical Examinations'!$A:$A, 'Medical Examinations'!D:D, "No Data")</f>
        <v>yes</v>
      </c>
      <c r="F1102" s="28" t="str">
        <f t="array" ref="F1102">_xlfn.XLOOKUP($A1102, 'Medical Examinations'!$A:$A, 'Medical Examinations'!E:E, "No Data")</f>
        <v>No</v>
      </c>
      <c r="G1102" s="28" t="str">
        <f t="array" ref="G1102">_xlfn.XLOOKUP($A1102, 'Medical Examinations'!$A:$A, 'Medical Examinations'!F:F, "No Data")</f>
        <v>No</v>
      </c>
      <c r="H1102" s="28">
        <f t="array" ref="H1102">_xlfn.XLOOKUP($A1102, 'Medical Examinations'!$A:$A, 'Medical Examinations'!G:G, "No Data")</f>
        <v>2</v>
      </c>
      <c r="I1102" s="28" t="str">
        <f t="array" ref="I1102">_xlfn.XLOOKUP($A1102, 'Medical Examinations'!$A:$A, 'Medical Examinations'!H:H, "No Data")</f>
        <v>No</v>
      </c>
      <c r="J1102" s="28" t="str">
        <f t="array" ref="J1102">_xlfn.XLOOKUP($A1102, 'Medical Examinations'!$A:$A, 'Medical Examinations'!I:I, "No Data")</f>
        <v>Overweight</v>
      </c>
      <c r="K1102" s="28" t="str">
        <f t="array" ref="K1102">_xlfn.XLOOKUP($A1102, 'Hospitalisation Details'!$A:$A, 'Hospitalisation Details'!I:I, "No Data")</f>
        <v>tier - 1</v>
      </c>
      <c r="L1102" s="28" t="str">
        <f t="array" ref="L1102">_xlfn.XLOOKUP($A1102, 'Hospitalisation Details'!$A:$A, 'Hospitalisation Details'!J:J, "No Data")</f>
        <v>R1024</v>
      </c>
      <c r="M1102" s="28" t="str">
        <f t="array" ref="M1102">_xlfn.XLOOKUP($A1102, 'Hospitalisation Details'!$A:$A, 'Hospitalisation Details'!E:E, "No Data")</f>
        <v>21/06/70</v>
      </c>
      <c r="N1102" s="28">
        <f t="array" ref="N1102">_xlfn.XLOOKUP($A1102, 'Hospitalisation Details'!$A:$A, 'Hospitalisation Details'!K:K, "No Data")</f>
        <v>52</v>
      </c>
      <c r="O1102" s="33">
        <f t="array" ref="O1102">_xlfn.XLOOKUP($A1102, 'Hospitalisation Details'!$A:$A, 'Hospitalisation Details'!G:G, "No Data")</f>
        <v>10274.33</v>
      </c>
      <c r="P1102" s="28" t="str">
        <f t="array" ref="P1102">_xlfn.XLOOKUP($A1102, 'Hospitalisation Details'!$A:$A, 'Hospitalisation Details'!H:H, "No Data")</f>
        <v>tier - 3</v>
      </c>
    </row>
    <row r="1103">
      <c r="A1103" s="25" t="s">
        <v>3505</v>
      </c>
      <c r="B1103" s="28" t="str">
        <f t="array" ref="B1103">_xlfn.XLOOKUP($A1103, 'Customer Names'!$A:$A, 'Customer Names'!B:B, "No Data")</f>
        <v>Wandzilak</v>
      </c>
      <c r="C1103" s="28">
        <f t="array" ref="C1103">_xlfn.XLOOKUP($A1103, 'Medical Examinations'!$A:$A, 'Medical Examinations'!B:B, "No Data")</f>
        <v>32.3</v>
      </c>
      <c r="D1103" s="28">
        <f t="array" ref="D1103">_xlfn.XLOOKUP($A1103, 'Medical Examinations'!$A:$A, 'Medical Examinations'!C:C, "No Data")</f>
        <v>9.48</v>
      </c>
      <c r="E1103" s="28" t="str">
        <f t="array" ref="E1103">_xlfn.XLOOKUP($A1103, 'Medical Examinations'!$A:$A, 'Medical Examinations'!D:D, "No Data")</f>
        <v>No</v>
      </c>
      <c r="F1103" s="28" t="str">
        <f t="array" ref="F1103">_xlfn.XLOOKUP($A1103, 'Medical Examinations'!$A:$A, 'Medical Examinations'!E:E, "No Data")</f>
        <v>No</v>
      </c>
      <c r="G1103" s="28" t="str">
        <f t="array" ref="G1103">_xlfn.XLOOKUP($A1103, 'Medical Examinations'!$A:$A, 'Medical Examinations'!F:F, "No Data")</f>
        <v>No</v>
      </c>
      <c r="H1103" s="28">
        <f t="array" ref="H1103">_xlfn.XLOOKUP($A1103, 'Medical Examinations'!$A:$A, 'Medical Examinations'!G:G, "No Data")</f>
        <v>2</v>
      </c>
      <c r="I1103" s="28" t="str">
        <f t="array" ref="I1103">_xlfn.XLOOKUP($A1103, 'Medical Examinations'!$A:$A, 'Medical Examinations'!H:H, "No Data")</f>
        <v>No</v>
      </c>
      <c r="J1103" s="28" t="str">
        <f t="array" ref="J1103">_xlfn.XLOOKUP($A1103, 'Medical Examinations'!$A:$A, 'Medical Examinations'!I:I, "No Data")</f>
        <v>Obesity</v>
      </c>
      <c r="K1103" s="28" t="str">
        <f t="array" ref="K1103">_xlfn.XLOOKUP($A1103, 'Hospitalisation Details'!$A:$A, 'Hospitalisation Details'!I:I, "No Data")</f>
        <v>tier - 3</v>
      </c>
      <c r="L1103" s="28" t="str">
        <f t="array" ref="L1103">_xlfn.XLOOKUP($A1103, 'Hospitalisation Details'!$A:$A, 'Hospitalisation Details'!J:J, "No Data")</f>
        <v>R1012</v>
      </c>
      <c r="M1103" s="28" t="str">
        <f t="array" ref="M1103">_xlfn.XLOOKUP($A1103, 'Hospitalisation Details'!$A:$A, 'Hospitalisation Details'!E:E, "No Data")</f>
        <v>27/11/73</v>
      </c>
      <c r="N1103" s="28">
        <f t="array" ref="N1103">_xlfn.XLOOKUP($A1103, 'Hospitalisation Details'!$A:$A, 'Hospitalisation Details'!K:K, "No Data")</f>
        <v>49</v>
      </c>
      <c r="O1103" s="33">
        <f t="array" ref="O1103">_xlfn.XLOOKUP($A1103, 'Hospitalisation Details'!$A:$A, 'Hospitalisation Details'!G:G, "No Data")</f>
        <v>10269.46</v>
      </c>
      <c r="P1103" s="28" t="str">
        <f t="array" ref="P1103">_xlfn.XLOOKUP($A1103, 'Hospitalisation Details'!$A:$A, 'Hospitalisation Details'!H:H, "No Data")</f>
        <v>tier - 3</v>
      </c>
    </row>
    <row r="1104">
      <c r="A1104" s="25" t="s">
        <v>3506</v>
      </c>
      <c r="B1104" s="28" t="str">
        <f t="array" ref="B1104">_xlfn.XLOOKUP($A1104, 'Customer Names'!$A:$A, 'Customer Names'!B:B, "No Data")</f>
        <v>Carver</v>
      </c>
      <c r="C1104" s="28">
        <f t="array" ref="C1104">_xlfn.XLOOKUP($A1104, 'Medical Examinations'!$A:$A, 'Medical Examinations'!B:B, "No Data")</f>
        <v>28.69</v>
      </c>
      <c r="D1104" s="28">
        <f t="array" ref="D1104">_xlfn.XLOOKUP($A1104, 'Medical Examinations'!$A:$A, 'Medical Examinations'!C:C, "No Data")</f>
        <v>7.45</v>
      </c>
      <c r="E1104" s="28" t="str">
        <f t="array" ref="E1104">_xlfn.XLOOKUP($A1104, 'Medical Examinations'!$A:$A, 'Medical Examinations'!D:D, "No Data")</f>
        <v>No</v>
      </c>
      <c r="F1104" s="28" t="str">
        <f t="array" ref="F1104">_xlfn.XLOOKUP($A1104, 'Medical Examinations'!$A:$A, 'Medical Examinations'!E:E, "No Data")</f>
        <v>No</v>
      </c>
      <c r="G1104" s="28" t="str">
        <f t="array" ref="G1104">_xlfn.XLOOKUP($A1104, 'Medical Examinations'!$A:$A, 'Medical Examinations'!F:F, "No Data")</f>
        <v>No</v>
      </c>
      <c r="H1104" s="28">
        <f t="array" ref="H1104">_xlfn.XLOOKUP($A1104, 'Medical Examinations'!$A:$A, 'Medical Examinations'!G:G, "No Data")</f>
        <v>2</v>
      </c>
      <c r="I1104" s="28" t="str">
        <f t="array" ref="I1104">_xlfn.XLOOKUP($A1104, 'Medical Examinations'!$A:$A, 'Medical Examinations'!H:H, "No Data")</f>
        <v>No</v>
      </c>
      <c r="J1104" s="28" t="str">
        <f t="array" ref="J1104">_xlfn.XLOOKUP($A1104, 'Medical Examinations'!$A:$A, 'Medical Examinations'!I:I, "No Data")</f>
        <v>Overweight</v>
      </c>
      <c r="K1104" s="28" t="str">
        <f t="array" ref="K1104">_xlfn.XLOOKUP($A1104, 'Hospitalisation Details'!$A:$A, 'Hospitalisation Details'!I:I, "No Data")</f>
        <v>tier - 2</v>
      </c>
      <c r="L1104" s="28" t="str">
        <f t="array" ref="L1104">_xlfn.XLOOKUP($A1104, 'Hospitalisation Details'!$A:$A, 'Hospitalisation Details'!J:J, "No Data")</f>
        <v>R1012</v>
      </c>
      <c r="M1104" s="28" t="str">
        <f t="array" ref="M1104">_xlfn.XLOOKUP($A1104, 'Hospitalisation Details'!$A:$A, 'Hospitalisation Details'!E:E, "No Data")</f>
        <v>05/09/73</v>
      </c>
      <c r="N1104" s="28">
        <f t="array" ref="N1104">_xlfn.XLOOKUP($A1104, 'Hospitalisation Details'!$A:$A, 'Hospitalisation Details'!K:K, "No Data")</f>
        <v>49</v>
      </c>
      <c r="O1104" s="33">
        <f t="array" ref="O1104">_xlfn.XLOOKUP($A1104, 'Hospitalisation Details'!$A:$A, 'Hospitalisation Details'!G:G, "No Data")</f>
        <v>10264.44</v>
      </c>
      <c r="P1104" s="28" t="str">
        <f t="array" ref="P1104">_xlfn.XLOOKUP($A1104, 'Hospitalisation Details'!$A:$A, 'Hospitalisation Details'!H:H, "No Data")</f>
        <v>tier - 3</v>
      </c>
    </row>
    <row r="1105">
      <c r="A1105" s="25" t="s">
        <v>3509</v>
      </c>
      <c r="B1105" s="28" t="str">
        <f t="array" ref="B1105">_xlfn.XLOOKUP($A1105, 'Customer Names'!$A:$A, 'Customer Names'!B:B, "No Data")</f>
        <v>Borror</v>
      </c>
      <c r="C1105" s="28">
        <f t="array" ref="C1105">_xlfn.XLOOKUP($A1105, 'Medical Examinations'!$A:$A, 'Medical Examinations'!B:B, "No Data")</f>
        <v>31.28</v>
      </c>
      <c r="D1105" s="28">
        <f t="array" ref="D1105">_xlfn.XLOOKUP($A1105, 'Medical Examinations'!$A:$A, 'Medical Examinations'!C:C, "No Data")</f>
        <v>6.94</v>
      </c>
      <c r="E1105" s="28" t="str">
        <f t="array" ref="E1105">_xlfn.XLOOKUP($A1105, 'Medical Examinations'!$A:$A, 'Medical Examinations'!D:D, "No Data")</f>
        <v>yes</v>
      </c>
      <c r="F1105" s="28" t="str">
        <f t="array" ref="F1105">_xlfn.XLOOKUP($A1105, 'Medical Examinations'!$A:$A, 'Medical Examinations'!E:E, "No Data")</f>
        <v>No</v>
      </c>
      <c r="G1105" s="28" t="str">
        <f t="array" ref="G1105">_xlfn.XLOOKUP($A1105, 'Medical Examinations'!$A:$A, 'Medical Examinations'!F:F, "No Data")</f>
        <v>No</v>
      </c>
      <c r="H1105" s="28">
        <f t="array" ref="H1105">_xlfn.XLOOKUP($A1105, 'Medical Examinations'!$A:$A, 'Medical Examinations'!G:G, "No Data")</f>
        <v>1</v>
      </c>
      <c r="I1105" s="28" t="str">
        <f t="array" ref="I1105">_xlfn.XLOOKUP($A1105, 'Medical Examinations'!$A:$A, 'Medical Examinations'!H:H, "No Data")</f>
        <v>No</v>
      </c>
      <c r="J1105" s="28" t="str">
        <f t="array" ref="J1105">_xlfn.XLOOKUP($A1105, 'Medical Examinations'!$A:$A, 'Medical Examinations'!I:I, "No Data")</f>
        <v>Obesity</v>
      </c>
      <c r="K1105" s="28" t="str">
        <f t="array" ref="K1105">_xlfn.XLOOKUP($A1105, 'Hospitalisation Details'!$A:$A, 'Hospitalisation Details'!I:I, "No Data")</f>
        <v>tier - 2</v>
      </c>
      <c r="L1105" s="28" t="str">
        <f t="array" ref="L1105">_xlfn.XLOOKUP($A1105, 'Hospitalisation Details'!$A:$A, 'Hospitalisation Details'!J:J, "No Data")</f>
        <v>R1011</v>
      </c>
      <c r="M1105" s="28" t="str">
        <f t="array" ref="M1105">_xlfn.XLOOKUP($A1105, 'Hospitalisation Details'!$A:$A, 'Hospitalisation Details'!E:E, "No Data")</f>
        <v>15/08/75</v>
      </c>
      <c r="N1105" s="28">
        <f t="array" ref="N1105">_xlfn.XLOOKUP($A1105, 'Hospitalisation Details'!$A:$A, 'Hospitalisation Details'!K:K, "No Data")</f>
        <v>47</v>
      </c>
      <c r="O1105" s="33">
        <f t="array" ref="O1105">_xlfn.XLOOKUP($A1105, 'Hospitalisation Details'!$A:$A, 'Hospitalisation Details'!G:G, "No Data")</f>
        <v>10259.13</v>
      </c>
      <c r="P1105" s="28" t="str">
        <f t="array" ref="P1105">_xlfn.XLOOKUP($A1105, 'Hospitalisation Details'!$A:$A, 'Hospitalisation Details'!H:H, "No Data")</f>
        <v>tier - 3</v>
      </c>
    </row>
    <row r="1106">
      <c r="A1106" s="25" t="s">
        <v>3513</v>
      </c>
      <c r="B1106" s="28" t="str">
        <f t="array" ref="B1106">_xlfn.XLOOKUP($A1106, 'Customer Names'!$A:$A, 'Customer Names'!B:B, "No Data")</f>
        <v>Saad</v>
      </c>
      <c r="C1106" s="28">
        <f t="array" ref="C1106">_xlfn.XLOOKUP($A1106, 'Medical Examinations'!$A:$A, 'Medical Examinations'!B:B, "No Data")</f>
        <v>30.21</v>
      </c>
      <c r="D1106" s="28">
        <f t="array" ref="D1106">_xlfn.XLOOKUP($A1106, 'Medical Examinations'!$A:$A, 'Medical Examinations'!C:C, "No Data")</f>
        <v>7.83</v>
      </c>
      <c r="E1106" s="28" t="str">
        <f t="array" ref="E1106">_xlfn.XLOOKUP($A1106, 'Medical Examinations'!$A:$A, 'Medical Examinations'!D:D, "No Data")</f>
        <v>No</v>
      </c>
      <c r="F1106" s="28" t="str">
        <f t="array" ref="F1106">_xlfn.XLOOKUP($A1106, 'Medical Examinations'!$A:$A, 'Medical Examinations'!E:E, "No Data")</f>
        <v>No</v>
      </c>
      <c r="G1106" s="28" t="str">
        <f t="array" ref="G1106">_xlfn.XLOOKUP($A1106, 'Medical Examinations'!$A:$A, 'Medical Examinations'!F:F, "No Data")</f>
        <v>No</v>
      </c>
      <c r="H1106" s="28">
        <f t="array" ref="H1106">_xlfn.XLOOKUP($A1106, 'Medical Examinations'!$A:$A, 'Medical Examinations'!G:G, "No Data")</f>
        <v>0</v>
      </c>
      <c r="I1106" s="28" t="str">
        <f t="array" ref="I1106">_xlfn.XLOOKUP($A1106, 'Medical Examinations'!$A:$A, 'Medical Examinations'!H:H, "No Data")</f>
        <v>No</v>
      </c>
      <c r="J1106" s="28" t="str">
        <f t="array" ref="J1106">_xlfn.XLOOKUP($A1106, 'Medical Examinations'!$A:$A, 'Medical Examinations'!I:I, "No Data")</f>
        <v>Obesity</v>
      </c>
      <c r="K1106" s="28" t="str">
        <f t="array" ref="K1106">_xlfn.XLOOKUP($A1106, 'Hospitalisation Details'!$A:$A, 'Hospitalisation Details'!I:I, "No Data")</f>
        <v>tier - 1</v>
      </c>
      <c r="L1106" s="28" t="str">
        <f t="array" ref="L1106">_xlfn.XLOOKUP($A1106, 'Hospitalisation Details'!$A:$A, 'Hospitalisation Details'!J:J, "No Data")</f>
        <v>R1012</v>
      </c>
      <c r="M1106" s="28" t="str">
        <f t="array" ref="M1106">_xlfn.XLOOKUP($A1106, 'Hospitalisation Details'!$A:$A, 'Hospitalisation Details'!E:E, "No Data")</f>
        <v>23/09/68</v>
      </c>
      <c r="N1106" s="28">
        <f t="array" ref="N1106">_xlfn.XLOOKUP($A1106, 'Hospitalisation Details'!$A:$A, 'Hospitalisation Details'!K:K, "No Data")</f>
        <v>54</v>
      </c>
      <c r="O1106" s="33">
        <f t="array" ref="O1106">_xlfn.XLOOKUP($A1106, 'Hospitalisation Details'!$A:$A, 'Hospitalisation Details'!G:G, "No Data")</f>
        <v>10231.5</v>
      </c>
      <c r="P1106" s="28" t="str">
        <f t="array" ref="P1106">_xlfn.XLOOKUP($A1106, 'Hospitalisation Details'!$A:$A, 'Hospitalisation Details'!H:H, "No Data")</f>
        <v>tier - 3</v>
      </c>
    </row>
    <row r="1107">
      <c r="A1107" s="25" t="s">
        <v>3517</v>
      </c>
      <c r="B1107" s="28" t="str">
        <f t="array" ref="B1107">_xlfn.XLOOKUP($A1107, 'Customer Names'!$A:$A, 'Customer Names'!B:B, "No Data")</f>
        <v>Paul</v>
      </c>
      <c r="C1107" s="28">
        <f t="array" ref="C1107">_xlfn.XLOOKUP($A1107, 'Medical Examinations'!$A:$A, 'Medical Examinations'!B:B, "No Data")</f>
        <v>38.28</v>
      </c>
      <c r="D1107" s="28">
        <f t="array" ref="D1107">_xlfn.XLOOKUP($A1107, 'Medical Examinations'!$A:$A, 'Medical Examinations'!C:C, "No Data")</f>
        <v>10.17</v>
      </c>
      <c r="E1107" s="28" t="str">
        <f t="array" ref="E1107">_xlfn.XLOOKUP($A1107, 'Medical Examinations'!$A:$A, 'Medical Examinations'!D:D, "No Data")</f>
        <v>yes</v>
      </c>
      <c r="F1107" s="28" t="str">
        <f t="array" ref="F1107">_xlfn.XLOOKUP($A1107, 'Medical Examinations'!$A:$A, 'Medical Examinations'!E:E, "No Data")</f>
        <v>No</v>
      </c>
      <c r="G1107" s="28" t="str">
        <f t="array" ref="G1107">_xlfn.XLOOKUP($A1107, 'Medical Examinations'!$A:$A, 'Medical Examinations'!F:F, "No Data")</f>
        <v>No</v>
      </c>
      <c r="H1107" s="28">
        <f t="array" ref="H1107">_xlfn.XLOOKUP($A1107, 'Medical Examinations'!$A:$A, 'Medical Examinations'!G:G, "No Data")</f>
        <v>0</v>
      </c>
      <c r="I1107" s="28" t="str">
        <f t="array" ref="I1107">_xlfn.XLOOKUP($A1107, 'Medical Examinations'!$A:$A, 'Medical Examinations'!H:H, "No Data")</f>
        <v>No</v>
      </c>
      <c r="J1107" s="28" t="str">
        <f t="array" ref="J1107">_xlfn.XLOOKUP($A1107, 'Medical Examinations'!$A:$A, 'Medical Examinations'!I:I, "No Data")</f>
        <v>Obesity</v>
      </c>
      <c r="K1107" s="28" t="str">
        <f t="array" ref="K1107">_xlfn.XLOOKUP($A1107, 'Hospitalisation Details'!$A:$A, 'Hospitalisation Details'!I:I, "No Data")</f>
        <v>tier - 3</v>
      </c>
      <c r="L1107" s="28" t="str">
        <f t="array" ref="L1107">_xlfn.XLOOKUP($A1107, 'Hospitalisation Details'!$A:$A, 'Hospitalisation Details'!J:J, "No Data")</f>
        <v>R1013</v>
      </c>
      <c r="M1107" s="28" t="str">
        <f t="array" ref="M1107">_xlfn.XLOOKUP($A1107, 'Hospitalisation Details'!$A:$A, 'Hospitalisation Details'!E:E, "No Data")</f>
        <v>28/06/67</v>
      </c>
      <c r="N1107" s="28">
        <f t="array" ref="N1107">_xlfn.XLOOKUP($A1107, 'Hospitalisation Details'!$A:$A, 'Hospitalisation Details'!K:K, "No Data")</f>
        <v>55</v>
      </c>
      <c r="O1107" s="33">
        <f t="array" ref="O1107">_xlfn.XLOOKUP($A1107, 'Hospitalisation Details'!$A:$A, 'Hospitalisation Details'!G:G, "No Data")</f>
        <v>10226.28</v>
      </c>
      <c r="P1107" s="28" t="str">
        <f t="array" ref="P1107">_xlfn.XLOOKUP($A1107, 'Hospitalisation Details'!$A:$A, 'Hospitalisation Details'!H:H, "No Data")</f>
        <v>tier - 3</v>
      </c>
    </row>
    <row r="1108">
      <c r="A1108" s="25" t="s">
        <v>3518</v>
      </c>
      <c r="B1108" s="28" t="str">
        <f t="array" ref="B1108">_xlfn.XLOOKUP($A1108, 'Customer Names'!$A:$A, 'Customer Names'!B:B, "No Data")</f>
        <v>Trail</v>
      </c>
      <c r="C1108" s="28">
        <f t="array" ref="C1108">_xlfn.XLOOKUP($A1108, 'Medical Examinations'!$A:$A, 'Medical Examinations'!B:B, "No Data")</f>
        <v>29.9</v>
      </c>
      <c r="D1108" s="28">
        <f t="array" ref="D1108">_xlfn.XLOOKUP($A1108, 'Medical Examinations'!$A:$A, 'Medical Examinations'!C:C, "No Data")</f>
        <v>8.96</v>
      </c>
      <c r="E1108" s="28" t="str">
        <f t="array" ref="E1108">_xlfn.XLOOKUP($A1108, 'Medical Examinations'!$A:$A, 'Medical Examinations'!D:D, "No Data")</f>
        <v>yes</v>
      </c>
      <c r="F1108" s="28" t="str">
        <f t="array" ref="F1108">_xlfn.XLOOKUP($A1108, 'Medical Examinations'!$A:$A, 'Medical Examinations'!E:E, "No Data")</f>
        <v>No</v>
      </c>
      <c r="G1108" s="28" t="str">
        <f t="array" ref="G1108">_xlfn.XLOOKUP($A1108, 'Medical Examinations'!$A:$A, 'Medical Examinations'!F:F, "No Data")</f>
        <v>No</v>
      </c>
      <c r="H1108" s="28">
        <f t="array" ref="H1108">_xlfn.XLOOKUP($A1108, 'Medical Examinations'!$A:$A, 'Medical Examinations'!G:G, "No Data")</f>
        <v>0</v>
      </c>
      <c r="I1108" s="28" t="str">
        <f t="array" ref="I1108">_xlfn.XLOOKUP($A1108, 'Medical Examinations'!$A:$A, 'Medical Examinations'!H:H, "No Data")</f>
        <v>No</v>
      </c>
      <c r="J1108" s="28" t="str">
        <f t="array" ref="J1108">_xlfn.XLOOKUP($A1108, 'Medical Examinations'!$A:$A, 'Medical Examinations'!I:I, "No Data")</f>
        <v>Overweight</v>
      </c>
      <c r="K1108" s="28" t="str">
        <f t="array" ref="K1108">_xlfn.XLOOKUP($A1108, 'Hospitalisation Details'!$A:$A, 'Hospitalisation Details'!I:I, "No Data")</f>
        <v>tier - 2</v>
      </c>
      <c r="L1108" s="28" t="str">
        <f t="array" ref="L1108">_xlfn.XLOOKUP($A1108, 'Hospitalisation Details'!$A:$A, 'Hospitalisation Details'!J:J, "No Data")</f>
        <v>R1011</v>
      </c>
      <c r="M1108" s="28" t="str">
        <f t="array" ref="M1108">_xlfn.XLOOKUP($A1108, 'Hospitalisation Details'!$A:$A, 'Hospitalisation Details'!E:E, "No Data")</f>
        <v>26/09/67</v>
      </c>
      <c r="N1108" s="28">
        <f t="array" ref="N1108">_xlfn.XLOOKUP($A1108, 'Hospitalisation Details'!$A:$A, 'Hospitalisation Details'!K:K, "No Data")</f>
        <v>55</v>
      </c>
      <c r="O1108" s="33">
        <f t="array" ref="O1108">_xlfn.XLOOKUP($A1108, 'Hospitalisation Details'!$A:$A, 'Hospitalisation Details'!G:G, "No Data")</f>
        <v>10214.64</v>
      </c>
      <c r="P1108" s="28" t="str">
        <f t="array" ref="P1108">_xlfn.XLOOKUP($A1108, 'Hospitalisation Details'!$A:$A, 'Hospitalisation Details'!H:H, "No Data")</f>
        <v>tier - 3</v>
      </c>
    </row>
    <row r="1109">
      <c r="A1109" s="25" t="s">
        <v>3521</v>
      </c>
      <c r="B1109" s="28" t="str">
        <f t="array" ref="B1109">_xlfn.XLOOKUP($A1109, 'Customer Names'!$A:$A, 'Customer Names'!B:B, "No Data")</f>
        <v>Benton</v>
      </c>
      <c r="C1109" s="28">
        <f t="array" ref="C1109">_xlfn.XLOOKUP($A1109, 'Medical Examinations'!$A:$A, 'Medical Examinations'!B:B, "No Data")</f>
        <v>23.18</v>
      </c>
      <c r="D1109" s="28">
        <f t="array" ref="D1109">_xlfn.XLOOKUP($A1109, 'Medical Examinations'!$A:$A, 'Medical Examinations'!C:C, "No Data")</f>
        <v>6.96</v>
      </c>
      <c r="E1109" s="28" t="str">
        <f t="array" ref="E1109">_xlfn.XLOOKUP($A1109, 'Medical Examinations'!$A:$A, 'Medical Examinations'!D:D, "No Data")</f>
        <v>yes</v>
      </c>
      <c r="F1109" s="28" t="str">
        <f t="array" ref="F1109">_xlfn.XLOOKUP($A1109, 'Medical Examinations'!$A:$A, 'Medical Examinations'!E:E, "No Data")</f>
        <v>No</v>
      </c>
      <c r="G1109" s="28" t="str">
        <f t="array" ref="G1109">_xlfn.XLOOKUP($A1109, 'Medical Examinations'!$A:$A, 'Medical Examinations'!F:F, "No Data")</f>
        <v>No</v>
      </c>
      <c r="H1109" s="28">
        <f t="array" ref="H1109">_xlfn.XLOOKUP($A1109, 'Medical Examinations'!$A:$A, 'Medical Examinations'!G:G, "No Data")</f>
        <v>2</v>
      </c>
      <c r="I1109" s="28" t="str">
        <f t="array" ref="I1109">_xlfn.XLOOKUP($A1109, 'Medical Examinations'!$A:$A, 'Medical Examinations'!H:H, "No Data")</f>
        <v>No</v>
      </c>
      <c r="J1109" s="28" t="str">
        <f t="array" ref="J1109">_xlfn.XLOOKUP($A1109, 'Medical Examinations'!$A:$A, 'Medical Examinations'!I:I, "No Data")</f>
        <v>Normal Weight</v>
      </c>
      <c r="K1109" s="28" t="str">
        <f t="array" ref="K1109">_xlfn.XLOOKUP($A1109, 'Hospitalisation Details'!$A:$A, 'Hospitalisation Details'!I:I, "No Data")</f>
        <v>tier - 1</v>
      </c>
      <c r="L1109" s="28" t="str">
        <f t="array" ref="L1109">_xlfn.XLOOKUP($A1109, 'Hospitalisation Details'!$A:$A, 'Hospitalisation Details'!J:J, "No Data")</f>
        <v>R1024</v>
      </c>
      <c r="M1109" s="28" t="str">
        <f t="array" ref="M1109">_xlfn.XLOOKUP($A1109, 'Hospitalisation Details'!$A:$A, 'Hospitalisation Details'!E:E, "No Data")</f>
        <v>24/12/70</v>
      </c>
      <c r="N1109" s="28">
        <f t="array" ref="N1109">_xlfn.XLOOKUP($A1109, 'Hospitalisation Details'!$A:$A, 'Hospitalisation Details'!K:K, "No Data")</f>
        <v>52</v>
      </c>
      <c r="O1109" s="33">
        <f t="array" ref="O1109">_xlfn.XLOOKUP($A1109, 'Hospitalisation Details'!$A:$A, 'Hospitalisation Details'!G:G, "No Data")</f>
        <v>10197.77</v>
      </c>
      <c r="P1109" s="28" t="str">
        <f t="array" ref="P1109">_xlfn.XLOOKUP($A1109, 'Hospitalisation Details'!$A:$A, 'Hospitalisation Details'!H:H, "No Data")</f>
        <v>tier - 3</v>
      </c>
    </row>
    <row r="1110">
      <c r="A1110" s="25" t="s">
        <v>3524</v>
      </c>
      <c r="B1110" s="28" t="str">
        <f t="array" ref="B1110">_xlfn.XLOOKUP($A1110, 'Customer Names'!$A:$A, 'Customer Names'!B:B, "No Data")</f>
        <v>Bauman</v>
      </c>
      <c r="C1110" s="28">
        <f t="array" ref="C1110">_xlfn.XLOOKUP($A1110, 'Medical Examinations'!$A:$A, 'Medical Examinations'!B:B, "No Data")</f>
        <v>33.02</v>
      </c>
      <c r="D1110" s="28">
        <f t="array" ref="D1110">_xlfn.XLOOKUP($A1110, 'Medical Examinations'!$A:$A, 'Medical Examinations'!C:C, "No Data")</f>
        <v>5.07</v>
      </c>
      <c r="E1110" s="28" t="str">
        <f t="array" ref="E1110">_xlfn.XLOOKUP($A1110, 'Medical Examinations'!$A:$A, 'Medical Examinations'!D:D, "No Data")</f>
        <v>yes</v>
      </c>
      <c r="F1110" s="28" t="str">
        <f t="array" ref="F1110">_xlfn.XLOOKUP($A1110, 'Medical Examinations'!$A:$A, 'Medical Examinations'!E:E, "No Data")</f>
        <v>No</v>
      </c>
      <c r="G1110" s="28" t="str">
        <f t="array" ref="G1110">_xlfn.XLOOKUP($A1110, 'Medical Examinations'!$A:$A, 'Medical Examinations'!F:F, "No Data")</f>
        <v>No</v>
      </c>
      <c r="H1110" s="28">
        <f t="array" ref="H1110">_xlfn.XLOOKUP($A1110, 'Medical Examinations'!$A:$A, 'Medical Examinations'!G:G, "No Data")</f>
        <v>0</v>
      </c>
      <c r="I1110" s="28" t="str">
        <f t="array" ref="I1110">_xlfn.XLOOKUP($A1110, 'Medical Examinations'!$A:$A, 'Medical Examinations'!H:H, "No Data")</f>
        <v>No</v>
      </c>
      <c r="J1110" s="28" t="str">
        <f t="array" ref="J1110">_xlfn.XLOOKUP($A1110, 'Medical Examinations'!$A:$A, 'Medical Examinations'!I:I, "No Data")</f>
        <v>Obesity</v>
      </c>
      <c r="K1110" s="28" t="str">
        <f t="array" ref="K1110">_xlfn.XLOOKUP($A1110, 'Hospitalisation Details'!$A:$A, 'Hospitalisation Details'!I:I, "No Data")</f>
        <v>tier - 2</v>
      </c>
      <c r="L1110" s="28" t="str">
        <f t="array" ref="L1110">_xlfn.XLOOKUP($A1110, 'Hospitalisation Details'!$A:$A, 'Hospitalisation Details'!J:J, "No Data")</f>
        <v>R1026</v>
      </c>
      <c r="M1110" s="28" t="str">
        <f t="array" ref="M1110">_xlfn.XLOOKUP($A1110, 'Hospitalisation Details'!$A:$A, 'Hospitalisation Details'!E:E, "No Data")</f>
        <v>16/10/85</v>
      </c>
      <c r="N1110" s="28">
        <f t="array" ref="N1110">_xlfn.XLOOKUP($A1110, 'Hospitalisation Details'!$A:$A, 'Hospitalisation Details'!K:K, "No Data")</f>
        <v>37</v>
      </c>
      <c r="O1110" s="33">
        <f t="array" ref="O1110">_xlfn.XLOOKUP($A1110, 'Hospitalisation Details'!$A:$A, 'Hospitalisation Details'!G:G, "No Data")</f>
        <v>10191.82</v>
      </c>
      <c r="P1110" s="28" t="str">
        <f t="array" ref="P1110">_xlfn.XLOOKUP($A1110, 'Hospitalisation Details'!$A:$A, 'Hospitalisation Details'!H:H, "No Data")</f>
        <v>tier - 3</v>
      </c>
    </row>
    <row r="1111">
      <c r="A1111" s="25" t="s">
        <v>3528</v>
      </c>
      <c r="B1111" s="28" t="str">
        <f t="array" ref="B1111">_xlfn.XLOOKUP($A1111, 'Customer Names'!$A:$A, 'Customer Names'!B:B, "No Data")</f>
        <v>Bakula</v>
      </c>
      <c r="C1111" s="28">
        <f t="array" ref="C1111">_xlfn.XLOOKUP($A1111, 'Medical Examinations'!$A:$A, 'Medical Examinations'!B:B, "No Data")</f>
        <v>27.29</v>
      </c>
      <c r="D1111" s="28">
        <f t="array" ref="D1111">_xlfn.XLOOKUP($A1111, 'Medical Examinations'!$A:$A, 'Medical Examinations'!C:C, "No Data")</f>
        <v>5.85</v>
      </c>
      <c r="E1111" s="28" t="str">
        <f t="array" ref="E1111">_xlfn.XLOOKUP($A1111, 'Medical Examinations'!$A:$A, 'Medical Examinations'!D:D, "No Data")</f>
        <v>No</v>
      </c>
      <c r="F1111" s="28" t="str">
        <f t="array" ref="F1111">_xlfn.XLOOKUP($A1111, 'Medical Examinations'!$A:$A, 'Medical Examinations'!E:E, "No Data")</f>
        <v>No</v>
      </c>
      <c r="G1111" s="28" t="str">
        <f t="array" ref="G1111">_xlfn.XLOOKUP($A1111, 'Medical Examinations'!$A:$A, 'Medical Examinations'!F:F, "No Data")</f>
        <v>No</v>
      </c>
      <c r="H1111" s="28">
        <f t="array" ref="H1111">_xlfn.XLOOKUP($A1111, 'Medical Examinations'!$A:$A, 'Medical Examinations'!G:G, "No Data")</f>
        <v>2</v>
      </c>
      <c r="I1111" s="28" t="str">
        <f t="array" ref="I1111">_xlfn.XLOOKUP($A1111, 'Medical Examinations'!$A:$A, 'Medical Examinations'!H:H, "No Data")</f>
        <v>No</v>
      </c>
      <c r="J1111" s="28" t="str">
        <f t="array" ref="J1111">_xlfn.XLOOKUP($A1111, 'Medical Examinations'!$A:$A, 'Medical Examinations'!I:I, "No Data")</f>
        <v>Overweight</v>
      </c>
      <c r="K1111" s="28" t="str">
        <f t="array" ref="K1111">_xlfn.XLOOKUP($A1111, 'Hospitalisation Details'!$A:$A, 'Hospitalisation Details'!I:I, "No Data")</f>
        <v>tier - 3</v>
      </c>
      <c r="L1111" s="28" t="str">
        <f t="array" ref="L1111">_xlfn.XLOOKUP($A1111, 'Hospitalisation Details'!$A:$A, 'Hospitalisation Details'!J:J, "No Data")</f>
        <v>R1025</v>
      </c>
      <c r="M1111" s="28" t="str">
        <f t="array" ref="M1111">_xlfn.XLOOKUP($A1111, 'Hospitalisation Details'!$A:$A, 'Hospitalisation Details'!E:E, "No Data")</f>
        <v>10/07/72</v>
      </c>
      <c r="N1111" s="28">
        <f t="array" ref="N1111">_xlfn.XLOOKUP($A1111, 'Hospitalisation Details'!$A:$A, 'Hospitalisation Details'!K:K, "No Data")</f>
        <v>50</v>
      </c>
      <c r="O1111" s="33">
        <f t="array" ref="O1111">_xlfn.XLOOKUP($A1111, 'Hospitalisation Details'!$A:$A, 'Hospitalisation Details'!G:G, "No Data")</f>
        <v>10160.87</v>
      </c>
      <c r="P1111" s="28" t="str">
        <f t="array" ref="P1111">_xlfn.XLOOKUP($A1111, 'Hospitalisation Details'!$A:$A, 'Hospitalisation Details'!H:H, "No Data")</f>
        <v>tier - 3</v>
      </c>
    </row>
    <row r="1112">
      <c r="A1112" s="25" t="s">
        <v>3531</v>
      </c>
      <c r="B1112" s="28" t="str">
        <f t="array" ref="B1112">_xlfn.XLOOKUP($A1112, 'Customer Names'!$A:$A, 'Customer Names'!B:B, "No Data")</f>
        <v>Edwards</v>
      </c>
      <c r="C1112" s="28">
        <f t="array" ref="C1112">_xlfn.XLOOKUP($A1112, 'Medical Examinations'!$A:$A, 'Medical Examinations'!B:B, "No Data")</f>
        <v>23.18</v>
      </c>
      <c r="D1112" s="28">
        <f t="array" ref="D1112">_xlfn.XLOOKUP($A1112, 'Medical Examinations'!$A:$A, 'Medical Examinations'!C:C, "No Data")</f>
        <v>10.56</v>
      </c>
      <c r="E1112" s="28" t="str">
        <f t="array" ref="E1112">_xlfn.XLOOKUP($A1112, 'Medical Examinations'!$A:$A, 'Medical Examinations'!D:D, "No Data")</f>
        <v>No</v>
      </c>
      <c r="F1112" s="28" t="str">
        <f t="array" ref="F1112">_xlfn.XLOOKUP($A1112, 'Medical Examinations'!$A:$A, 'Medical Examinations'!E:E, "No Data")</f>
        <v>No</v>
      </c>
      <c r="G1112" s="28" t="str">
        <f t="array" ref="G1112">_xlfn.XLOOKUP($A1112, 'Medical Examinations'!$A:$A, 'Medical Examinations'!F:F, "No Data")</f>
        <v>No</v>
      </c>
      <c r="H1112" s="28">
        <f t="array" ref="H1112">_xlfn.XLOOKUP($A1112, 'Medical Examinations'!$A:$A, 'Medical Examinations'!G:G, "No Data")</f>
        <v>2</v>
      </c>
      <c r="I1112" s="28" t="str">
        <f t="array" ref="I1112">_xlfn.XLOOKUP($A1112, 'Medical Examinations'!$A:$A, 'Medical Examinations'!H:H, "No Data")</f>
        <v>No</v>
      </c>
      <c r="J1112" s="28" t="str">
        <f t="array" ref="J1112">_xlfn.XLOOKUP($A1112, 'Medical Examinations'!$A:$A, 'Medical Examinations'!I:I, "No Data")</f>
        <v>Normal Weight</v>
      </c>
      <c r="K1112" s="28" t="str">
        <f t="array" ref="K1112">_xlfn.XLOOKUP($A1112, 'Hospitalisation Details'!$A:$A, 'Hospitalisation Details'!I:I, "No Data")</f>
        <v>tier - 2</v>
      </c>
      <c r="L1112" s="28" t="str">
        <f t="array" ref="L1112">_xlfn.XLOOKUP($A1112, 'Hospitalisation Details'!$A:$A, 'Hospitalisation Details'!J:J, "No Data")</f>
        <v>R1012</v>
      </c>
      <c r="M1112" s="28" t="str">
        <f t="array" ref="M1112">_xlfn.XLOOKUP($A1112, 'Hospitalisation Details'!$A:$A, 'Hospitalisation Details'!E:E, "No Data")</f>
        <v>13/10/73</v>
      </c>
      <c r="N1112" s="28">
        <f t="array" ref="N1112">_xlfn.XLOOKUP($A1112, 'Hospitalisation Details'!$A:$A, 'Hospitalisation Details'!K:K, "No Data")</f>
        <v>49</v>
      </c>
      <c r="O1112" s="33">
        <f t="array" ref="O1112">_xlfn.XLOOKUP($A1112, 'Hospitalisation Details'!$A:$A, 'Hospitalisation Details'!G:G, "No Data")</f>
        <v>10156.78</v>
      </c>
      <c r="P1112" s="28" t="str">
        <f t="array" ref="P1112">_xlfn.XLOOKUP($A1112, 'Hospitalisation Details'!$A:$A, 'Hospitalisation Details'!H:H, "No Data")</f>
        <v>tier - 3</v>
      </c>
    </row>
    <row r="1113">
      <c r="A1113" s="25" t="s">
        <v>3533</v>
      </c>
      <c r="B1113" s="28" t="str">
        <f t="array" ref="B1113">_xlfn.XLOOKUP($A1113, 'Customer Names'!$A:$A, 'Customer Names'!B:B, "No Data")</f>
        <v>Davis</v>
      </c>
      <c r="C1113" s="28">
        <f t="array" ref="C1113">_xlfn.XLOOKUP($A1113, 'Medical Examinations'!$A:$A, 'Medical Examinations'!B:B, "No Data")</f>
        <v>32.66</v>
      </c>
      <c r="D1113" s="28">
        <f t="array" ref="D1113">_xlfn.XLOOKUP($A1113, 'Medical Examinations'!$A:$A, 'Medical Examinations'!C:C, "No Data")</f>
        <v>8.92</v>
      </c>
      <c r="E1113" s="28" t="str">
        <f t="array" ref="E1113">_xlfn.XLOOKUP($A1113, 'Medical Examinations'!$A:$A, 'Medical Examinations'!D:D, "No Data")</f>
        <v>yes</v>
      </c>
      <c r="F1113" s="28" t="str">
        <f t="array" ref="F1113">_xlfn.XLOOKUP($A1113, 'Medical Examinations'!$A:$A, 'Medical Examinations'!E:E, "No Data")</f>
        <v>No</v>
      </c>
      <c r="G1113" s="28" t="str">
        <f t="array" ref="G1113">_xlfn.XLOOKUP($A1113, 'Medical Examinations'!$A:$A, 'Medical Examinations'!F:F, "No Data")</f>
        <v>No</v>
      </c>
      <c r="H1113" s="28">
        <f t="array" ref="H1113">_xlfn.XLOOKUP($A1113, 'Medical Examinations'!$A:$A, 'Medical Examinations'!G:G, "No Data")</f>
        <v>0</v>
      </c>
      <c r="I1113" s="28" t="str">
        <f t="array" ref="I1113">_xlfn.XLOOKUP($A1113, 'Medical Examinations'!$A:$A, 'Medical Examinations'!H:H, "No Data")</f>
        <v>No</v>
      </c>
      <c r="J1113" s="28" t="str">
        <f t="array" ref="J1113">_xlfn.XLOOKUP($A1113, 'Medical Examinations'!$A:$A, 'Medical Examinations'!I:I, "No Data")</f>
        <v>Obesity</v>
      </c>
      <c r="K1113" s="28" t="str">
        <f t="array" ref="K1113">_xlfn.XLOOKUP($A1113, 'Hospitalisation Details'!$A:$A, 'Hospitalisation Details'!I:I, "No Data")</f>
        <v>tier - 1</v>
      </c>
      <c r="L1113" s="28" t="str">
        <f t="array" ref="L1113">_xlfn.XLOOKUP($A1113, 'Hospitalisation Details'!$A:$A, 'Hospitalisation Details'!J:J, "No Data")</f>
        <v>R1025</v>
      </c>
      <c r="M1113" s="28" t="str">
        <f t="array" ref="M1113">_xlfn.XLOOKUP($A1113, 'Hospitalisation Details'!$A:$A, 'Hospitalisation Details'!E:E, "No Data")</f>
        <v>12/06/81</v>
      </c>
      <c r="N1113" s="28">
        <f t="array" ref="N1113">_xlfn.XLOOKUP($A1113, 'Hospitalisation Details'!$A:$A, 'Hospitalisation Details'!K:K, "No Data")</f>
        <v>41</v>
      </c>
      <c r="O1113" s="33">
        <f t="array" ref="O1113">_xlfn.XLOOKUP($A1113, 'Hospitalisation Details'!$A:$A, 'Hospitalisation Details'!G:G, "No Data")</f>
        <v>10146.13</v>
      </c>
      <c r="P1113" s="28" t="str">
        <f t="array" ref="P1113">_xlfn.XLOOKUP($A1113, 'Hospitalisation Details'!$A:$A, 'Hospitalisation Details'!H:H, "No Data")</f>
        <v>tier - 3</v>
      </c>
    </row>
    <row r="1114">
      <c r="A1114" s="25" t="s">
        <v>3536</v>
      </c>
      <c r="B1114" s="28" t="str">
        <f t="array" ref="B1114">_xlfn.XLOOKUP($A1114, 'Customer Names'!$A:$A, 'Customer Names'!B:B, "No Data")</f>
        <v>Weiler</v>
      </c>
      <c r="C1114" s="28">
        <f t="array" ref="C1114">_xlfn.XLOOKUP($A1114, 'Medical Examinations'!$A:$A, 'Medical Examinations'!B:B, "No Data")</f>
        <v>30.78</v>
      </c>
      <c r="D1114" s="28">
        <f t="array" ref="D1114">_xlfn.XLOOKUP($A1114, 'Medical Examinations'!$A:$A, 'Medical Examinations'!C:C, "No Data")</f>
        <v>8.63</v>
      </c>
      <c r="E1114" s="28" t="str">
        <f t="array" ref="E1114">_xlfn.XLOOKUP($A1114, 'Medical Examinations'!$A:$A, 'Medical Examinations'!D:D, "No Data")</f>
        <v>No</v>
      </c>
      <c r="F1114" s="28" t="str">
        <f t="array" ref="F1114">_xlfn.XLOOKUP($A1114, 'Medical Examinations'!$A:$A, 'Medical Examinations'!E:E, "No Data")</f>
        <v>No</v>
      </c>
      <c r="G1114" s="28" t="str">
        <f t="array" ref="G1114">_xlfn.XLOOKUP($A1114, 'Medical Examinations'!$A:$A, 'Medical Examinations'!F:F, "No Data")</f>
        <v>No</v>
      </c>
      <c r="H1114" s="28">
        <f t="array" ref="H1114">_xlfn.XLOOKUP($A1114, 'Medical Examinations'!$A:$A, 'Medical Examinations'!G:G, "No Data")</f>
        <v>0</v>
      </c>
      <c r="I1114" s="28" t="str">
        <f t="array" ref="I1114">_xlfn.XLOOKUP($A1114, 'Medical Examinations'!$A:$A, 'Medical Examinations'!H:H, "No Data")</f>
        <v>No</v>
      </c>
      <c r="J1114" s="28" t="str">
        <f t="array" ref="J1114">_xlfn.XLOOKUP($A1114, 'Medical Examinations'!$A:$A, 'Medical Examinations'!I:I, "No Data")</f>
        <v>Obesity</v>
      </c>
      <c r="K1114" s="28" t="str">
        <f t="array" ref="K1114">_xlfn.XLOOKUP($A1114, 'Hospitalisation Details'!$A:$A, 'Hospitalisation Details'!I:I, "No Data")</f>
        <v>tier - 1</v>
      </c>
      <c r="L1114" s="28" t="str">
        <f t="array" ref="L1114">_xlfn.XLOOKUP($A1114, 'Hospitalisation Details'!$A:$A, 'Hospitalisation Details'!J:J, "No Data")</f>
        <v>R1016</v>
      </c>
      <c r="M1114" s="28" t="str">
        <f t="array" ref="M1114">_xlfn.XLOOKUP($A1114, 'Hospitalisation Details'!$A:$A, 'Hospitalisation Details'!E:E, "No Data")</f>
        <v>30/12/74</v>
      </c>
      <c r="N1114" s="28">
        <f t="array" ref="N1114">_xlfn.XLOOKUP($A1114, 'Hospitalisation Details'!$A:$A, 'Hospitalisation Details'!K:K, "No Data")</f>
        <v>48</v>
      </c>
      <c r="O1114" s="33">
        <f t="array" ref="O1114">_xlfn.XLOOKUP($A1114, 'Hospitalisation Details'!$A:$A, 'Hospitalisation Details'!G:G, "No Data")</f>
        <v>10141.14</v>
      </c>
      <c r="P1114" s="28" t="str">
        <f t="array" ref="P1114">_xlfn.XLOOKUP($A1114, 'Hospitalisation Details'!$A:$A, 'Hospitalisation Details'!H:H, "No Data")</f>
        <v>tier - 3</v>
      </c>
    </row>
    <row r="1115">
      <c r="A1115" s="25" t="s">
        <v>3539</v>
      </c>
      <c r="B1115" s="28" t="str">
        <f t="array" ref="B1115">_xlfn.XLOOKUP($A1115, 'Customer Names'!$A:$A, 'Customer Names'!B:B, "No Data")</f>
        <v>Schaaf</v>
      </c>
      <c r="C1115" s="28">
        <f t="array" ref="C1115">_xlfn.XLOOKUP($A1115, 'Medical Examinations'!$A:$A, 'Medical Examinations'!B:B, "No Data")</f>
        <v>47.2</v>
      </c>
      <c r="D1115" s="28">
        <f t="array" ref="D1115">_xlfn.XLOOKUP($A1115, 'Medical Examinations'!$A:$A, 'Medical Examinations'!C:C, "No Data")</f>
        <v>6.29</v>
      </c>
      <c r="E1115" s="28" t="str">
        <f t="array" ref="E1115">_xlfn.XLOOKUP($A1115, 'Medical Examinations'!$A:$A, 'Medical Examinations'!D:D, "No Data")</f>
        <v>yes</v>
      </c>
      <c r="F1115" s="28" t="str">
        <f t="array" ref="F1115">_xlfn.XLOOKUP($A1115, 'Medical Examinations'!$A:$A, 'Medical Examinations'!E:E, "No Data")</f>
        <v>No</v>
      </c>
      <c r="G1115" s="28" t="str">
        <f t="array" ref="G1115">_xlfn.XLOOKUP($A1115, 'Medical Examinations'!$A:$A, 'Medical Examinations'!F:F, "No Data")</f>
        <v>Yes</v>
      </c>
      <c r="H1115" s="28">
        <f t="array" ref="H1115">_xlfn.XLOOKUP($A1115, 'Medical Examinations'!$A:$A, 'Medical Examinations'!G:G, "No Data")</f>
        <v>1</v>
      </c>
      <c r="I1115" s="28" t="str">
        <f t="array" ref="I1115">_xlfn.XLOOKUP($A1115, 'Medical Examinations'!$A:$A, 'Medical Examinations'!H:H, "No Data")</f>
        <v>No</v>
      </c>
      <c r="J1115" s="28" t="str">
        <f t="array" ref="J1115">_xlfn.XLOOKUP($A1115, 'Medical Examinations'!$A:$A, 'Medical Examinations'!I:I, "No Data")</f>
        <v>Obesity</v>
      </c>
      <c r="K1115" s="28" t="str">
        <f t="array" ref="K1115">_xlfn.XLOOKUP($A1115, 'Hospitalisation Details'!$A:$A, 'Hospitalisation Details'!I:I, "No Data")</f>
        <v>tier - 2</v>
      </c>
      <c r="L1115" s="28" t="str">
        <f t="array" ref="L1115">_xlfn.XLOOKUP($A1115, 'Hospitalisation Details'!$A:$A, 'Hospitalisation Details'!J:J, "No Data")</f>
        <v>R1012</v>
      </c>
      <c r="M1115" s="28" t="str">
        <f t="array" ref="M1115">_xlfn.XLOOKUP($A1115, 'Hospitalisation Details'!$A:$A, 'Hospitalisation Details'!E:E, "No Data")</f>
        <v>05/09/97</v>
      </c>
      <c r="N1115" s="28">
        <f t="array" ref="N1115">_xlfn.XLOOKUP($A1115, 'Hospitalisation Details'!$A:$A, 'Hospitalisation Details'!K:K, "No Data")</f>
        <v>25</v>
      </c>
      <c r="O1115" s="33">
        <f t="array" ref="O1115">_xlfn.XLOOKUP($A1115, 'Hospitalisation Details'!$A:$A, 'Hospitalisation Details'!G:G, "No Data")</f>
        <v>10139.84</v>
      </c>
      <c r="P1115" s="28" t="str">
        <f t="array" ref="P1115">_xlfn.XLOOKUP($A1115, 'Hospitalisation Details'!$A:$A, 'Hospitalisation Details'!H:H, "No Data")</f>
        <v>tier - 3</v>
      </c>
    </row>
    <row r="1116">
      <c r="A1116" s="25" t="s">
        <v>3542</v>
      </c>
      <c r="B1116" s="28" t="str">
        <f t="array" ref="B1116">_xlfn.XLOOKUP($A1116, 'Customer Names'!$A:$A, 'Customer Names'!B:B, "No Data")</f>
        <v>Sack</v>
      </c>
      <c r="C1116" s="28">
        <f t="array" ref="C1116">_xlfn.XLOOKUP($A1116, 'Medical Examinations'!$A:$A, 'Medical Examinations'!B:B, "No Data")</f>
        <v>31.6</v>
      </c>
      <c r="D1116" s="28">
        <f t="array" ref="D1116">_xlfn.XLOOKUP($A1116, 'Medical Examinations'!$A:$A, 'Medical Examinations'!C:C, "No Data")</f>
        <v>5.75</v>
      </c>
      <c r="E1116" s="28" t="str">
        <f t="array" ref="E1116">_xlfn.XLOOKUP($A1116, 'Medical Examinations'!$A:$A, 'Medical Examinations'!D:D, "No Data")</f>
        <v>No</v>
      </c>
      <c r="F1116" s="28" t="str">
        <f t="array" ref="F1116">_xlfn.XLOOKUP($A1116, 'Medical Examinations'!$A:$A, 'Medical Examinations'!E:E, "No Data")</f>
        <v>No</v>
      </c>
      <c r="G1116" s="28" t="str">
        <f t="array" ref="G1116">_xlfn.XLOOKUP($A1116, 'Medical Examinations'!$A:$A, 'Medical Examinations'!F:F, "No Data")</f>
        <v>No</v>
      </c>
      <c r="H1116" s="28">
        <f t="array" ref="H1116">_xlfn.XLOOKUP($A1116, 'Medical Examinations'!$A:$A, 'Medical Examinations'!G:G, "No Data")</f>
        <v>2</v>
      </c>
      <c r="I1116" s="28" t="str">
        <f t="array" ref="I1116">_xlfn.XLOOKUP($A1116, 'Medical Examinations'!$A:$A, 'Medical Examinations'!H:H, "No Data")</f>
        <v>No</v>
      </c>
      <c r="J1116" s="28" t="str">
        <f t="array" ref="J1116">_xlfn.XLOOKUP($A1116, 'Medical Examinations'!$A:$A, 'Medical Examinations'!I:I, "No Data")</f>
        <v>Obesity</v>
      </c>
      <c r="K1116" s="28" t="str">
        <f t="array" ref="K1116">_xlfn.XLOOKUP($A1116, 'Hospitalisation Details'!$A:$A, 'Hospitalisation Details'!I:I, "No Data")</f>
        <v>tier - 3</v>
      </c>
      <c r="L1116" s="28" t="str">
        <f t="array" ref="L1116">_xlfn.XLOOKUP($A1116, 'Hospitalisation Details'!$A:$A, 'Hospitalisation Details'!J:J, "No Data")</f>
        <v>R1011</v>
      </c>
      <c r="M1116" s="28" t="str">
        <f t="array" ref="M1116">_xlfn.XLOOKUP($A1116, 'Hospitalisation Details'!$A:$A, 'Hospitalisation Details'!E:E, "No Data")</f>
        <v>16/11/72</v>
      </c>
      <c r="N1116" s="28">
        <f t="array" ref="N1116">_xlfn.XLOOKUP($A1116, 'Hospitalisation Details'!$A:$A, 'Hospitalisation Details'!K:K, "No Data")</f>
        <v>50</v>
      </c>
      <c r="O1116" s="33">
        <f t="array" ref="O1116">_xlfn.XLOOKUP($A1116, 'Hospitalisation Details'!$A:$A, 'Hospitalisation Details'!G:G, "No Data")</f>
        <v>10118.42</v>
      </c>
      <c r="P1116" s="28" t="str">
        <f t="array" ref="P1116">_xlfn.XLOOKUP($A1116, 'Hospitalisation Details'!$A:$A, 'Hospitalisation Details'!H:H, "No Data")</f>
        <v>tier - 3</v>
      </c>
    </row>
    <row r="1117">
      <c r="A1117" s="25" t="s">
        <v>3546</v>
      </c>
      <c r="B1117" s="28" t="str">
        <f t="array" ref="B1117">_xlfn.XLOOKUP($A1117, 'Customer Names'!$A:$A, 'Customer Names'!B:B, "No Data")</f>
        <v>Chenard</v>
      </c>
      <c r="C1117" s="28">
        <f t="array" ref="C1117">_xlfn.XLOOKUP($A1117, 'Medical Examinations'!$A:$A, 'Medical Examinations'!B:B, "No Data")</f>
        <v>33.915</v>
      </c>
      <c r="D1117" s="28">
        <f t="array" ref="D1117">_xlfn.XLOOKUP($A1117, 'Medical Examinations'!$A:$A, 'Medical Examinations'!C:C, "No Data")</f>
        <v>6.66</v>
      </c>
      <c r="E1117" s="28" t="str">
        <f t="array" ref="E1117">_xlfn.XLOOKUP($A1117, 'Medical Examinations'!$A:$A, 'Medical Examinations'!D:D, "No Data")</f>
        <v>yes</v>
      </c>
      <c r="F1117" s="28" t="str">
        <f t="array" ref="F1117">_xlfn.XLOOKUP($A1117, 'Medical Examinations'!$A:$A, 'Medical Examinations'!E:E, "No Data")</f>
        <v>No</v>
      </c>
      <c r="G1117" s="28" t="str">
        <f t="array" ref="G1117">_xlfn.XLOOKUP($A1117, 'Medical Examinations'!$A:$A, 'Medical Examinations'!F:F, "No Data")</f>
        <v>No</v>
      </c>
      <c r="H1117" s="28">
        <f t="array" ref="H1117">_xlfn.XLOOKUP($A1117, 'Medical Examinations'!$A:$A, 'Medical Examinations'!G:G, "No Data")</f>
        <v>1</v>
      </c>
      <c r="I1117" s="28" t="str">
        <f t="array" ref="I1117">_xlfn.XLOOKUP($A1117, 'Medical Examinations'!$A:$A, 'Medical Examinations'!H:H, "No Data")</f>
        <v>No</v>
      </c>
      <c r="J1117" s="28" t="str">
        <f t="array" ref="J1117">_xlfn.XLOOKUP($A1117, 'Medical Examinations'!$A:$A, 'Medical Examinations'!I:I, "No Data")</f>
        <v>Obesity</v>
      </c>
      <c r="K1117" s="28" t="str">
        <f t="array" ref="K1117">_xlfn.XLOOKUP($A1117, 'Hospitalisation Details'!$A:$A, 'Hospitalisation Details'!I:I, "No Data")</f>
        <v>tier - 3</v>
      </c>
      <c r="L1117" s="28" t="str">
        <f t="array" ref="L1117">_xlfn.XLOOKUP($A1117, 'Hospitalisation Details'!$A:$A, 'Hospitalisation Details'!J:J, "No Data")</f>
        <v>R1012</v>
      </c>
      <c r="M1117" s="28" t="str">
        <f t="array" ref="M1117">_xlfn.XLOOKUP($A1117, 'Hospitalisation Details'!$A:$A, 'Hospitalisation Details'!E:E, "No Data")</f>
        <v>02/07/75</v>
      </c>
      <c r="N1117" s="28">
        <f t="array" ref="N1117">_xlfn.XLOOKUP($A1117, 'Hospitalisation Details'!$A:$A, 'Hospitalisation Details'!K:K, "No Data")</f>
        <v>47</v>
      </c>
      <c r="O1117" s="33">
        <f t="array" ref="O1117">_xlfn.XLOOKUP($A1117, 'Hospitalisation Details'!$A:$A, 'Hospitalisation Details'!G:G, "No Data")</f>
        <v>10115.01</v>
      </c>
      <c r="P1117" s="28" t="str">
        <f t="array" ref="P1117">_xlfn.XLOOKUP($A1117, 'Hospitalisation Details'!$A:$A, 'Hospitalisation Details'!H:H, "No Data")</f>
        <v>tier - 3</v>
      </c>
    </row>
    <row r="1118">
      <c r="A1118" s="25" t="s">
        <v>3550</v>
      </c>
      <c r="B1118" s="28" t="str">
        <f t="array" ref="B1118">_xlfn.XLOOKUP($A1118, 'Customer Names'!$A:$A, 'Customer Names'!B:B, "No Data")</f>
        <v>Williamson</v>
      </c>
      <c r="C1118" s="28">
        <f t="array" ref="C1118">_xlfn.XLOOKUP($A1118, 'Medical Examinations'!$A:$A, 'Medical Examinations'!B:B, "No Data")</f>
        <v>23.54</v>
      </c>
      <c r="D1118" s="28">
        <f t="array" ref="D1118">_xlfn.XLOOKUP($A1118, 'Medical Examinations'!$A:$A, 'Medical Examinations'!C:C, "No Data")</f>
        <v>5.1</v>
      </c>
      <c r="E1118" s="28" t="str">
        <f t="array" ref="E1118">_xlfn.XLOOKUP($A1118, 'Medical Examinations'!$A:$A, 'Medical Examinations'!D:D, "No Data")</f>
        <v>No</v>
      </c>
      <c r="F1118" s="28" t="str">
        <f t="array" ref="F1118">_xlfn.XLOOKUP($A1118, 'Medical Examinations'!$A:$A, 'Medical Examinations'!E:E, "No Data")</f>
        <v>No</v>
      </c>
      <c r="G1118" s="28" t="str">
        <f t="array" ref="G1118">_xlfn.XLOOKUP($A1118, 'Medical Examinations'!$A:$A, 'Medical Examinations'!F:F, "No Data")</f>
        <v>No</v>
      </c>
      <c r="H1118" s="28">
        <f t="array" ref="H1118">_xlfn.XLOOKUP($A1118, 'Medical Examinations'!$A:$A, 'Medical Examinations'!G:G, "No Data")</f>
        <v>2</v>
      </c>
      <c r="I1118" s="28" t="str">
        <f t="array" ref="I1118">_xlfn.XLOOKUP($A1118, 'Medical Examinations'!$A:$A, 'Medical Examinations'!H:H, "No Data")</f>
        <v>No</v>
      </c>
      <c r="J1118" s="28" t="str">
        <f t="array" ref="J1118">_xlfn.XLOOKUP($A1118, 'Medical Examinations'!$A:$A, 'Medical Examinations'!I:I, "No Data")</f>
        <v>Normal Weight</v>
      </c>
      <c r="K1118" s="28" t="str">
        <f t="array" ref="K1118">_xlfn.XLOOKUP($A1118, 'Hospitalisation Details'!$A:$A, 'Hospitalisation Details'!I:I, "No Data")</f>
        <v>tier - 1</v>
      </c>
      <c r="L1118" s="28" t="str">
        <f t="array" ref="L1118">_xlfn.XLOOKUP($A1118, 'Hospitalisation Details'!$A:$A, 'Hospitalisation Details'!J:J, "No Data")</f>
        <v>R1013</v>
      </c>
      <c r="M1118" s="28" t="str">
        <f t="array" ref="M1118">_xlfn.XLOOKUP($A1118, 'Hospitalisation Details'!$A:$A, 'Hospitalisation Details'!E:E, "No Data")</f>
        <v>08/08/72</v>
      </c>
      <c r="N1118" s="28">
        <f t="array" ref="N1118">_xlfn.XLOOKUP($A1118, 'Hospitalisation Details'!$A:$A, 'Hospitalisation Details'!K:K, "No Data")</f>
        <v>50</v>
      </c>
      <c r="O1118" s="33">
        <f t="array" ref="O1118">_xlfn.XLOOKUP($A1118, 'Hospitalisation Details'!$A:$A, 'Hospitalisation Details'!G:G, "No Data")</f>
        <v>10107.22</v>
      </c>
      <c r="P1118" s="28" t="str">
        <f t="array" ref="P1118">_xlfn.XLOOKUP($A1118, 'Hospitalisation Details'!$A:$A, 'Hospitalisation Details'!H:H, "No Data")</f>
        <v>tier - 3</v>
      </c>
    </row>
    <row r="1119">
      <c r="A1119" s="25" t="s">
        <v>3554</v>
      </c>
      <c r="B1119" s="28" t="str">
        <f t="array" ref="B1119">_xlfn.XLOOKUP($A1119, 'Customer Names'!$A:$A, 'Customer Names'!B:B, "No Data")</f>
        <v>Dollas</v>
      </c>
      <c r="C1119" s="28">
        <f t="array" ref="C1119">_xlfn.XLOOKUP($A1119, 'Medical Examinations'!$A:$A, 'Medical Examinations'!B:B, "No Data")</f>
        <v>27.075</v>
      </c>
      <c r="D1119" s="28">
        <f t="array" ref="D1119">_xlfn.XLOOKUP($A1119, 'Medical Examinations'!$A:$A, 'Medical Examinations'!C:C, "No Data")</f>
        <v>4.41</v>
      </c>
      <c r="E1119" s="28" t="str">
        <f t="array" ref="E1119">_xlfn.XLOOKUP($A1119, 'Medical Examinations'!$A:$A, 'Medical Examinations'!D:D, "No Data")</f>
        <v>No</v>
      </c>
      <c r="F1119" s="28" t="str">
        <f t="array" ref="F1119">_xlfn.XLOOKUP($A1119, 'Medical Examinations'!$A:$A, 'Medical Examinations'!E:E, "No Data")</f>
        <v>No</v>
      </c>
      <c r="G1119" s="28" t="str">
        <f t="array" ref="G1119">_xlfn.XLOOKUP($A1119, 'Medical Examinations'!$A:$A, 'Medical Examinations'!F:F, "No Data")</f>
        <v>No</v>
      </c>
      <c r="H1119" s="28">
        <f t="array" ref="H1119">_xlfn.XLOOKUP($A1119, 'Medical Examinations'!$A:$A, 'Medical Examinations'!G:G, "No Data")</f>
        <v>2</v>
      </c>
      <c r="I1119" s="28" t="str">
        <f t="array" ref="I1119">_xlfn.XLOOKUP($A1119, 'Medical Examinations'!$A:$A, 'Medical Examinations'!H:H, "No Data")</f>
        <v>No</v>
      </c>
      <c r="J1119" s="28" t="str">
        <f t="array" ref="J1119">_xlfn.XLOOKUP($A1119, 'Medical Examinations'!$A:$A, 'Medical Examinations'!I:I, "No Data")</f>
        <v>Overweight</v>
      </c>
      <c r="K1119" s="28" t="str">
        <f t="array" ref="K1119">_xlfn.XLOOKUP($A1119, 'Hospitalisation Details'!$A:$A, 'Hospitalisation Details'!I:I, "No Data")</f>
        <v>tier - 1</v>
      </c>
      <c r="L1119" s="28" t="str">
        <f t="array" ref="L1119">_xlfn.XLOOKUP($A1119, 'Hospitalisation Details'!$A:$A, 'Hospitalisation Details'!J:J, "No Data")</f>
        <v>R1024</v>
      </c>
      <c r="M1119" s="28" t="str">
        <f t="array" ref="M1119">_xlfn.XLOOKUP($A1119, 'Hospitalisation Details'!$A:$A, 'Hospitalisation Details'!E:E, "No Data")</f>
        <v>19/10/72</v>
      </c>
      <c r="N1119" s="28">
        <f t="array" ref="N1119">_xlfn.XLOOKUP($A1119, 'Hospitalisation Details'!$A:$A, 'Hospitalisation Details'!K:K, "No Data")</f>
        <v>50</v>
      </c>
      <c r="O1119" s="33">
        <f t="array" ref="O1119">_xlfn.XLOOKUP($A1119, 'Hospitalisation Details'!$A:$A, 'Hospitalisation Details'!G:G, "No Data")</f>
        <v>10106.13</v>
      </c>
      <c r="P1119" s="28" t="str">
        <f t="array" ref="P1119">_xlfn.XLOOKUP($A1119, 'Hospitalisation Details'!$A:$A, 'Hospitalisation Details'!H:H, "No Data")</f>
        <v>tier - 3</v>
      </c>
    </row>
    <row r="1120">
      <c r="A1120" s="25" t="s">
        <v>3557</v>
      </c>
      <c r="B1120" s="28" t="str">
        <f t="array" ref="B1120">_xlfn.XLOOKUP($A1120, 'Customer Names'!$A:$A, 'Customer Names'!B:B, "No Data")</f>
        <v>Sprague</v>
      </c>
      <c r="C1120" s="28">
        <f t="array" ref="C1120">_xlfn.XLOOKUP($A1120, 'Medical Examinations'!$A:$A, 'Medical Examinations'!B:B, "No Data")</f>
        <v>25.8</v>
      </c>
      <c r="D1120" s="28">
        <f t="array" ref="D1120">_xlfn.XLOOKUP($A1120, 'Medical Examinations'!$A:$A, 'Medical Examinations'!C:C, "No Data")</f>
        <v>5.52</v>
      </c>
      <c r="E1120" s="28" t="str">
        <f t="array" ref="E1120">_xlfn.XLOOKUP($A1120, 'Medical Examinations'!$A:$A, 'Medical Examinations'!D:D, "No Data")</f>
        <v>yes</v>
      </c>
      <c r="F1120" s="28" t="str">
        <f t="array" ref="F1120">_xlfn.XLOOKUP($A1120, 'Medical Examinations'!$A:$A, 'Medical Examinations'!E:E, "No Data")</f>
        <v>No</v>
      </c>
      <c r="G1120" s="28" t="str">
        <f t="array" ref="G1120">_xlfn.XLOOKUP($A1120, 'Medical Examinations'!$A:$A, 'Medical Examinations'!F:F, "No Data")</f>
        <v>No</v>
      </c>
      <c r="H1120" s="28">
        <f t="array" ref="H1120">_xlfn.XLOOKUP($A1120, 'Medical Examinations'!$A:$A, 'Medical Examinations'!G:G, "No Data")</f>
        <v>0</v>
      </c>
      <c r="I1120" s="28" t="str">
        <f t="array" ref="I1120">_xlfn.XLOOKUP($A1120, 'Medical Examinations'!$A:$A, 'Medical Examinations'!H:H, "No Data")</f>
        <v>No</v>
      </c>
      <c r="J1120" s="28" t="str">
        <f t="array" ref="J1120">_xlfn.XLOOKUP($A1120, 'Medical Examinations'!$A:$A, 'Medical Examinations'!I:I, "No Data")</f>
        <v>Overweight</v>
      </c>
      <c r="K1120" s="28" t="str">
        <f t="array" ref="K1120">_xlfn.XLOOKUP($A1120, 'Hospitalisation Details'!$A:$A, 'Hospitalisation Details'!I:I, "No Data")</f>
        <v>tier - 2</v>
      </c>
      <c r="L1120" s="28" t="str">
        <f t="array" ref="L1120">_xlfn.XLOOKUP($A1120, 'Hospitalisation Details'!$A:$A, 'Hospitalisation Details'!J:J, "No Data")</f>
        <v>R1011</v>
      </c>
      <c r="M1120" s="28" t="str">
        <f t="array" ref="M1120">_xlfn.XLOOKUP($A1120, 'Hospitalisation Details'!$A:$A, 'Hospitalisation Details'!E:E, "No Data")</f>
        <v>19/12/76</v>
      </c>
      <c r="N1120" s="28">
        <f t="array" ref="N1120">_xlfn.XLOOKUP($A1120, 'Hospitalisation Details'!$A:$A, 'Hospitalisation Details'!K:K, "No Data")</f>
        <v>46</v>
      </c>
      <c r="O1120" s="33">
        <f t="array" ref="O1120">_xlfn.XLOOKUP($A1120, 'Hospitalisation Details'!$A:$A, 'Hospitalisation Details'!G:G, "No Data")</f>
        <v>10096.97</v>
      </c>
      <c r="P1120" s="28" t="str">
        <f t="array" ref="P1120">_xlfn.XLOOKUP($A1120, 'Hospitalisation Details'!$A:$A, 'Hospitalisation Details'!H:H, "No Data")</f>
        <v>tier - 3</v>
      </c>
    </row>
    <row r="1121">
      <c r="A1121" s="25" t="s">
        <v>3562</v>
      </c>
      <c r="B1121" s="28" t="str">
        <f t="array" ref="B1121">_xlfn.XLOOKUP($A1121, 'Customer Names'!$A:$A, 'Customer Names'!B:B, "No Data")</f>
        <v>Michell</v>
      </c>
      <c r="C1121" s="28">
        <f t="array" ref="C1121">_xlfn.XLOOKUP($A1121, 'Medical Examinations'!$A:$A, 'Medical Examinations'!B:B, "No Data")</f>
        <v>36.1</v>
      </c>
      <c r="D1121" s="28">
        <f t="array" ref="D1121">_xlfn.XLOOKUP($A1121, 'Medical Examinations'!$A:$A, 'Medical Examinations'!C:C, "No Data")</f>
        <v>4.62</v>
      </c>
      <c r="E1121" s="28" t="str">
        <f t="array" ref="E1121">_xlfn.XLOOKUP($A1121, 'Medical Examinations'!$A:$A, 'Medical Examinations'!D:D, "No Data")</f>
        <v>yes</v>
      </c>
      <c r="F1121" s="28" t="str">
        <f t="array" ref="F1121">_xlfn.XLOOKUP($A1121, 'Medical Examinations'!$A:$A, 'Medical Examinations'!E:E, "No Data")</f>
        <v>No</v>
      </c>
      <c r="G1121" s="28" t="str">
        <f t="array" ref="G1121">_xlfn.XLOOKUP($A1121, 'Medical Examinations'!$A:$A, 'Medical Examinations'!F:F, "No Data")</f>
        <v>Yes</v>
      </c>
      <c r="H1121" s="28">
        <f t="array" ref="H1121">_xlfn.XLOOKUP($A1121, 'Medical Examinations'!$A:$A, 'Medical Examinations'!G:G, "No Data")</f>
        <v>1</v>
      </c>
      <c r="I1121" s="28" t="str">
        <f t="array" ref="I1121">_xlfn.XLOOKUP($A1121, 'Medical Examinations'!$A:$A, 'Medical Examinations'!H:H, "No Data")</f>
        <v>No</v>
      </c>
      <c r="J1121" s="28" t="str">
        <f t="array" ref="J1121">_xlfn.XLOOKUP($A1121, 'Medical Examinations'!$A:$A, 'Medical Examinations'!I:I, "No Data")</f>
        <v>Obesity</v>
      </c>
      <c r="K1121" s="28" t="str">
        <f t="array" ref="K1121">_xlfn.XLOOKUP($A1121, 'Hospitalisation Details'!$A:$A, 'Hospitalisation Details'!I:I, "No Data")</f>
        <v>tier - 3</v>
      </c>
      <c r="L1121" s="28" t="str">
        <f t="array" ref="L1121">_xlfn.XLOOKUP($A1121, 'Hospitalisation Details'!$A:$A, 'Hospitalisation Details'!J:J, "No Data")</f>
        <v>R1011</v>
      </c>
      <c r="M1121" s="28" t="str">
        <f t="array" ref="M1121">_xlfn.XLOOKUP($A1121, 'Hospitalisation Details'!$A:$A, 'Hospitalisation Details'!E:E, "No Data")</f>
        <v>03/07/69</v>
      </c>
      <c r="N1121" s="28">
        <f t="array" ref="N1121">_xlfn.XLOOKUP($A1121, 'Hospitalisation Details'!$A:$A, 'Hospitalisation Details'!K:K, "No Data")</f>
        <v>53</v>
      </c>
      <c r="O1121" s="33">
        <f t="array" ref="O1121">_xlfn.XLOOKUP($A1121, 'Hospitalisation Details'!$A:$A, 'Hospitalisation Details'!G:G, "No Data")</f>
        <v>10085.85</v>
      </c>
      <c r="P1121" s="28" t="str">
        <f t="array" ref="P1121">_xlfn.XLOOKUP($A1121, 'Hospitalisation Details'!$A:$A, 'Hospitalisation Details'!H:H, "No Data")</f>
        <v>tier - 3</v>
      </c>
    </row>
    <row r="1122">
      <c r="A1122" s="25" t="s">
        <v>3565</v>
      </c>
      <c r="B1122" s="28" t="str">
        <f t="array" ref="B1122">_xlfn.XLOOKUP($A1122, 'Customer Names'!$A:$A, 'Customer Names'!B:B, "No Data")</f>
        <v>Datwyler</v>
      </c>
      <c r="C1122" s="28">
        <f t="array" ref="C1122">_xlfn.XLOOKUP($A1122, 'Medical Examinations'!$A:$A, 'Medical Examinations'!B:B, "No Data")</f>
        <v>30.495</v>
      </c>
      <c r="D1122" s="28">
        <f t="array" ref="D1122">_xlfn.XLOOKUP($A1122, 'Medical Examinations'!$A:$A, 'Medical Examinations'!C:C, "No Data")</f>
        <v>5.74</v>
      </c>
      <c r="E1122" s="28" t="str">
        <f t="array" ref="E1122">_xlfn.XLOOKUP($A1122, 'Medical Examinations'!$A:$A, 'Medical Examinations'!D:D, "No Data")</f>
        <v>yes</v>
      </c>
      <c r="F1122" s="28" t="str">
        <f t="array" ref="F1122">_xlfn.XLOOKUP($A1122, 'Medical Examinations'!$A:$A, 'Medical Examinations'!E:E, "No Data")</f>
        <v>No</v>
      </c>
      <c r="G1122" s="28" t="str">
        <f t="array" ref="G1122">_xlfn.XLOOKUP($A1122, 'Medical Examinations'!$A:$A, 'Medical Examinations'!F:F, "No Data")</f>
        <v>Yes</v>
      </c>
      <c r="H1122" s="28">
        <f t="array" ref="H1122">_xlfn.XLOOKUP($A1122, 'Medical Examinations'!$A:$A, 'Medical Examinations'!G:G, "No Data")</f>
        <v>1</v>
      </c>
      <c r="I1122" s="28" t="str">
        <f t="array" ref="I1122">_xlfn.XLOOKUP($A1122, 'Medical Examinations'!$A:$A, 'Medical Examinations'!H:H, "No Data")</f>
        <v>No</v>
      </c>
      <c r="J1122" s="28" t="str">
        <f t="array" ref="J1122">_xlfn.XLOOKUP($A1122, 'Medical Examinations'!$A:$A, 'Medical Examinations'!I:I, "No Data")</f>
        <v>Obesity</v>
      </c>
      <c r="K1122" s="28" t="str">
        <f t="array" ref="K1122">_xlfn.XLOOKUP($A1122, 'Hospitalisation Details'!$A:$A, 'Hospitalisation Details'!I:I, "No Data")</f>
        <v>tier - 1</v>
      </c>
      <c r="L1122" s="28" t="str">
        <f t="array" ref="L1122">_xlfn.XLOOKUP($A1122, 'Hospitalisation Details'!$A:$A, 'Hospitalisation Details'!J:J, "No Data")</f>
        <v>R1017</v>
      </c>
      <c r="M1122" s="28" t="str">
        <f t="array" ref="M1122">_xlfn.XLOOKUP($A1122, 'Hospitalisation Details'!$A:$A, 'Hospitalisation Details'!E:E, "No Data")</f>
        <v>27/10/69</v>
      </c>
      <c r="N1122" s="28">
        <f t="array" ref="N1122">_xlfn.XLOOKUP($A1122, 'Hospitalisation Details'!$A:$A, 'Hospitalisation Details'!K:K, "No Data")</f>
        <v>53</v>
      </c>
      <c r="O1122" s="33">
        <f t="array" ref="O1122">_xlfn.XLOOKUP($A1122, 'Hospitalisation Details'!$A:$A, 'Hospitalisation Details'!G:G, "No Data")</f>
        <v>10072.06</v>
      </c>
      <c r="P1122" s="28" t="str">
        <f t="array" ref="P1122">_xlfn.XLOOKUP($A1122, 'Hospitalisation Details'!$A:$A, 'Hospitalisation Details'!H:H, "No Data")</f>
        <v>tier - 3</v>
      </c>
    </row>
    <row r="1123">
      <c r="A1123" s="25" t="s">
        <v>3569</v>
      </c>
      <c r="B1123" s="28" t="str">
        <f t="array" ref="B1123">_xlfn.XLOOKUP($A1123, 'Customer Names'!$A:$A, 'Customer Names'!B:B, "No Data")</f>
        <v>Mead</v>
      </c>
      <c r="C1123" s="28">
        <f t="array" ref="C1123">_xlfn.XLOOKUP($A1123, 'Medical Examinations'!$A:$A, 'Medical Examinations'!B:B, "No Data")</f>
        <v>21.4</v>
      </c>
      <c r="D1123" s="28">
        <f t="array" ref="D1123">_xlfn.XLOOKUP($A1123, 'Medical Examinations'!$A:$A, 'Medical Examinations'!C:C, "No Data")</f>
        <v>6.3</v>
      </c>
      <c r="E1123" s="28" t="str">
        <f t="array" ref="E1123">_xlfn.XLOOKUP($A1123, 'Medical Examinations'!$A:$A, 'Medical Examinations'!D:D, "No Data")</f>
        <v>yes</v>
      </c>
      <c r="F1123" s="28" t="str">
        <f t="array" ref="F1123">_xlfn.XLOOKUP($A1123, 'Medical Examinations'!$A:$A, 'Medical Examinations'!E:E, "No Data")</f>
        <v>No</v>
      </c>
      <c r="G1123" s="28" t="str">
        <f t="array" ref="G1123">_xlfn.XLOOKUP($A1123, 'Medical Examinations'!$A:$A, 'Medical Examinations'!F:F, "No Data")</f>
        <v>Yes</v>
      </c>
      <c r="H1123" s="28">
        <f t="array" ref="H1123">_xlfn.XLOOKUP($A1123, 'Medical Examinations'!$A:$A, 'Medical Examinations'!G:G, "No Data")</f>
        <v>1</v>
      </c>
      <c r="I1123" s="28" t="str">
        <f t="array" ref="I1123">_xlfn.XLOOKUP($A1123, 'Medical Examinations'!$A:$A, 'Medical Examinations'!H:H, "No Data")</f>
        <v>No</v>
      </c>
      <c r="J1123" s="28" t="str">
        <f t="array" ref="J1123">_xlfn.XLOOKUP($A1123, 'Medical Examinations'!$A:$A, 'Medical Examinations'!I:I, "No Data")</f>
        <v>Normal Weight</v>
      </c>
      <c r="K1123" s="28" t="str">
        <f t="array" ref="K1123">_xlfn.XLOOKUP($A1123, 'Hospitalisation Details'!$A:$A, 'Hospitalisation Details'!I:I, "No Data")</f>
        <v>tier - 2</v>
      </c>
      <c r="L1123" s="28" t="str">
        <f t="array" ref="L1123">_xlfn.XLOOKUP($A1123, 'Hospitalisation Details'!$A:$A, 'Hospitalisation Details'!J:J, "No Data")</f>
        <v>R1011</v>
      </c>
      <c r="M1123" s="28" t="str">
        <f t="array" ref="M1123">_xlfn.XLOOKUP($A1123, 'Hospitalisation Details'!$A:$A, 'Hospitalisation Details'!E:E, "No Data")</f>
        <v>22/08/69</v>
      </c>
      <c r="N1123" s="28">
        <f t="array" ref="N1123">_xlfn.XLOOKUP($A1123, 'Hospitalisation Details'!$A:$A, 'Hospitalisation Details'!K:K, "No Data")</f>
        <v>53</v>
      </c>
      <c r="O1123" s="33">
        <f t="array" ref="O1123">_xlfn.XLOOKUP($A1123, 'Hospitalisation Details'!$A:$A, 'Hospitalisation Details'!G:G, "No Data")</f>
        <v>10065.41</v>
      </c>
      <c r="P1123" s="28" t="str">
        <f t="array" ref="P1123">_xlfn.XLOOKUP($A1123, 'Hospitalisation Details'!$A:$A, 'Hospitalisation Details'!H:H, "No Data")</f>
        <v>tier - 3</v>
      </c>
    </row>
    <row r="1124">
      <c r="A1124" s="25" t="s">
        <v>3572</v>
      </c>
      <c r="B1124" s="28" t="str">
        <f t="array" ref="B1124">_xlfn.XLOOKUP($A1124, 'Customer Names'!$A:$A, 'Customer Names'!B:B, "No Data")</f>
        <v>Kennedy</v>
      </c>
      <c r="C1124" s="28">
        <f t="array" ref="C1124">_xlfn.XLOOKUP($A1124, 'Medical Examinations'!$A:$A, 'Medical Examinations'!B:B, "No Data")</f>
        <v>32.3</v>
      </c>
      <c r="D1124" s="28">
        <f t="array" ref="D1124">_xlfn.XLOOKUP($A1124, 'Medical Examinations'!$A:$A, 'Medical Examinations'!C:C, "No Data")</f>
        <v>10.27</v>
      </c>
      <c r="E1124" s="28" t="str">
        <f t="array" ref="E1124">_xlfn.XLOOKUP($A1124, 'Medical Examinations'!$A:$A, 'Medical Examinations'!D:D, "No Data")</f>
        <v>No</v>
      </c>
      <c r="F1124" s="28" t="str">
        <f t="array" ref="F1124">_xlfn.XLOOKUP($A1124, 'Medical Examinations'!$A:$A, 'Medical Examinations'!E:E, "No Data")</f>
        <v>No</v>
      </c>
      <c r="G1124" s="28" t="str">
        <f t="array" ref="G1124">_xlfn.XLOOKUP($A1124, 'Medical Examinations'!$A:$A, 'Medical Examinations'!F:F, "No Data")</f>
        <v>No</v>
      </c>
      <c r="H1124" s="28">
        <f t="array" ref="H1124">_xlfn.XLOOKUP($A1124, 'Medical Examinations'!$A:$A, 'Medical Examinations'!G:G, "No Data")</f>
        <v>0</v>
      </c>
      <c r="I1124" s="28" t="str">
        <f t="array" ref="I1124">_xlfn.XLOOKUP($A1124, 'Medical Examinations'!$A:$A, 'Medical Examinations'!H:H, "No Data")</f>
        <v>No</v>
      </c>
      <c r="J1124" s="28" t="str">
        <f t="array" ref="J1124">_xlfn.XLOOKUP($A1124, 'Medical Examinations'!$A:$A, 'Medical Examinations'!I:I, "No Data")</f>
        <v>Obesity</v>
      </c>
      <c r="K1124" s="28" t="str">
        <f t="array" ref="K1124">_xlfn.XLOOKUP($A1124, 'Hospitalisation Details'!$A:$A, 'Hospitalisation Details'!I:I, "No Data")</f>
        <v>tier - 2</v>
      </c>
      <c r="L1124" s="28" t="str">
        <f t="array" ref="L1124">_xlfn.XLOOKUP($A1124, 'Hospitalisation Details'!$A:$A, 'Hospitalisation Details'!J:J, "No Data")</f>
        <v>R1024</v>
      </c>
      <c r="M1124" s="28" t="str">
        <f t="array" ref="M1124">_xlfn.XLOOKUP($A1124, 'Hospitalisation Details'!$A:$A, 'Hospitalisation Details'!E:E, "No Data")</f>
        <v>30/08/74</v>
      </c>
      <c r="N1124" s="28">
        <f t="array" ref="N1124">_xlfn.XLOOKUP($A1124, 'Hospitalisation Details'!$A:$A, 'Hospitalisation Details'!K:K, "No Data")</f>
        <v>48</v>
      </c>
      <c r="O1124" s="33">
        <f t="array" ref="O1124">_xlfn.XLOOKUP($A1124, 'Hospitalisation Details'!$A:$A, 'Hospitalisation Details'!G:G, "No Data")</f>
        <v>10043.25</v>
      </c>
      <c r="P1124" s="28" t="str">
        <f t="array" ref="P1124">_xlfn.XLOOKUP($A1124, 'Hospitalisation Details'!$A:$A, 'Hospitalisation Details'!H:H, "No Data")</f>
        <v>tier - 3</v>
      </c>
    </row>
    <row r="1125">
      <c r="A1125" s="25" t="s">
        <v>3576</v>
      </c>
      <c r="B1125" s="28" t="str">
        <f t="array" ref="B1125">_xlfn.XLOOKUP($A1125, 'Customer Names'!$A:$A, 'Customer Names'!B:B, "No Data")</f>
        <v>Czech</v>
      </c>
      <c r="C1125" s="28">
        <f t="array" ref="C1125">_xlfn.XLOOKUP($A1125, 'Medical Examinations'!$A:$A, 'Medical Examinations'!B:B, "No Data")</f>
        <v>29.78</v>
      </c>
      <c r="D1125" s="28">
        <f t="array" ref="D1125">_xlfn.XLOOKUP($A1125, 'Medical Examinations'!$A:$A, 'Medical Examinations'!C:C, "No Data")</f>
        <v>5.85</v>
      </c>
      <c r="E1125" s="28" t="str">
        <f t="array" ref="E1125">_xlfn.XLOOKUP($A1125, 'Medical Examinations'!$A:$A, 'Medical Examinations'!D:D, "No Data")</f>
        <v>No</v>
      </c>
      <c r="F1125" s="28" t="str">
        <f t="array" ref="F1125">_xlfn.XLOOKUP($A1125, 'Medical Examinations'!$A:$A, 'Medical Examinations'!E:E, "No Data")</f>
        <v>No</v>
      </c>
      <c r="G1125" s="28" t="str">
        <f t="array" ref="G1125">_xlfn.XLOOKUP($A1125, 'Medical Examinations'!$A:$A, 'Medical Examinations'!F:F, "No Data")</f>
        <v>Yes</v>
      </c>
      <c r="H1125" s="28">
        <f t="array" ref="H1125">_xlfn.XLOOKUP($A1125, 'Medical Examinations'!$A:$A, 'Medical Examinations'!G:G, "No Data")</f>
        <v>1</v>
      </c>
      <c r="I1125" s="28" t="str">
        <f t="array" ref="I1125">_xlfn.XLOOKUP($A1125, 'Medical Examinations'!$A:$A, 'Medical Examinations'!H:H, "No Data")</f>
        <v>No</v>
      </c>
      <c r="J1125" s="28" t="str">
        <f t="array" ref="J1125">_xlfn.XLOOKUP($A1125, 'Medical Examinations'!$A:$A, 'Medical Examinations'!I:I, "No Data")</f>
        <v>Overweight</v>
      </c>
      <c r="K1125" s="28" t="str">
        <f t="array" ref="K1125">_xlfn.XLOOKUP($A1125, 'Hospitalisation Details'!$A:$A, 'Hospitalisation Details'!I:I, "No Data")</f>
        <v>tier - 1</v>
      </c>
      <c r="L1125" s="28" t="str">
        <f t="array" ref="L1125">_xlfn.XLOOKUP($A1125, 'Hospitalisation Details'!$A:$A, 'Hospitalisation Details'!J:J, "No Data")</f>
        <v>R1021</v>
      </c>
      <c r="M1125" s="28" t="str">
        <f t="array" ref="M1125">_xlfn.XLOOKUP($A1125, 'Hospitalisation Details'!$A:$A, 'Hospitalisation Details'!E:E, "No Data")</f>
        <v>28/12/79</v>
      </c>
      <c r="N1125" s="28">
        <f t="array" ref="N1125">_xlfn.XLOOKUP($A1125, 'Hospitalisation Details'!$A:$A, 'Hospitalisation Details'!K:K, "No Data")</f>
        <v>43</v>
      </c>
      <c r="O1125" s="33">
        <f t="array" ref="O1125">_xlfn.XLOOKUP($A1125, 'Hospitalisation Details'!$A:$A, 'Hospitalisation Details'!G:G, "No Data")</f>
        <v>10027.15</v>
      </c>
      <c r="P1125" s="28" t="str">
        <f t="array" ref="P1125">_xlfn.XLOOKUP($A1125, 'Hospitalisation Details'!$A:$A, 'Hospitalisation Details'!H:H, "No Data")</f>
        <v>tier - 3</v>
      </c>
    </row>
    <row r="1126">
      <c r="A1126" s="25" t="s">
        <v>3579</v>
      </c>
      <c r="B1126" s="28" t="str">
        <f t="array" ref="B1126">_xlfn.XLOOKUP($A1126, 'Customer Names'!$A:$A, 'Customer Names'!B:B, "No Data")</f>
        <v>O'Brien</v>
      </c>
      <c r="C1126" s="28">
        <f t="array" ref="C1126">_xlfn.XLOOKUP($A1126, 'Medical Examinations'!$A:$A, 'Medical Examinations'!B:B, "No Data")</f>
        <v>34.76</v>
      </c>
      <c r="D1126" s="28">
        <f t="array" ref="D1126">_xlfn.XLOOKUP($A1126, 'Medical Examinations'!$A:$A, 'Medical Examinations'!C:C, "No Data")</f>
        <v>5.92</v>
      </c>
      <c r="E1126" s="28" t="str">
        <f t="array" ref="E1126">_xlfn.XLOOKUP($A1126, 'Medical Examinations'!$A:$A, 'Medical Examinations'!D:D, "No Data")</f>
        <v>yes</v>
      </c>
      <c r="F1126" s="28" t="str">
        <f t="array" ref="F1126">_xlfn.XLOOKUP($A1126, 'Medical Examinations'!$A:$A, 'Medical Examinations'!E:E, "No Data")</f>
        <v>No</v>
      </c>
      <c r="G1126" s="28" t="str">
        <f t="array" ref="G1126">_xlfn.XLOOKUP($A1126, 'Medical Examinations'!$A:$A, 'Medical Examinations'!F:F, "No Data")</f>
        <v>No</v>
      </c>
      <c r="H1126" s="28">
        <f t="array" ref="H1126">_xlfn.XLOOKUP($A1126, 'Medical Examinations'!$A:$A, 'Medical Examinations'!G:G, "No Data")</f>
        <v>1</v>
      </c>
      <c r="I1126" s="28" t="str">
        <f t="array" ref="I1126">_xlfn.XLOOKUP($A1126, 'Medical Examinations'!$A:$A, 'Medical Examinations'!H:H, "No Data")</f>
        <v>No</v>
      </c>
      <c r="J1126" s="28" t="str">
        <f t="array" ref="J1126">_xlfn.XLOOKUP($A1126, 'Medical Examinations'!$A:$A, 'Medical Examinations'!I:I, "No Data")</f>
        <v>Obesity</v>
      </c>
      <c r="K1126" s="28" t="str">
        <f t="array" ref="K1126">_xlfn.XLOOKUP($A1126, 'Hospitalisation Details'!$A:$A, 'Hospitalisation Details'!I:I, "No Data")</f>
        <v>tier - 3</v>
      </c>
      <c r="L1126" s="28" t="str">
        <f t="array" ref="L1126">_xlfn.XLOOKUP($A1126, 'Hospitalisation Details'!$A:$A, 'Hospitalisation Details'!J:J, "No Data")</f>
        <v>R1026</v>
      </c>
      <c r="M1126" s="28" t="str">
        <f t="array" ref="M1126">_xlfn.XLOOKUP($A1126, 'Hospitalisation Details'!$A:$A, 'Hospitalisation Details'!E:E, "No Data")</f>
        <v>03/07/88</v>
      </c>
      <c r="N1126" s="28">
        <f t="array" ref="N1126">_xlfn.XLOOKUP($A1126, 'Hospitalisation Details'!$A:$A, 'Hospitalisation Details'!K:K, "No Data")</f>
        <v>34</v>
      </c>
      <c r="O1126" s="33">
        <f t="array" ref="O1126">_xlfn.XLOOKUP($A1126, 'Hospitalisation Details'!$A:$A, 'Hospitalisation Details'!G:G, "No Data")</f>
        <v>10011.44</v>
      </c>
      <c r="P1126" s="28" t="str">
        <f t="array" ref="P1126">_xlfn.XLOOKUP($A1126, 'Hospitalisation Details'!$A:$A, 'Hospitalisation Details'!H:H, "No Data")</f>
        <v>tier - 3</v>
      </c>
    </row>
    <row r="1127">
      <c r="A1127" s="25" t="s">
        <v>3583</v>
      </c>
      <c r="B1127" s="28" t="str">
        <f t="array" ref="B1127">_xlfn.XLOOKUP($A1127, 'Customer Names'!$A:$A, 'Customer Names'!B:B, "No Data")</f>
        <v>Bachman</v>
      </c>
      <c r="C1127" s="28">
        <f t="array" ref="C1127">_xlfn.XLOOKUP($A1127, 'Medical Examinations'!$A:$A, 'Medical Examinations'!B:B, "No Data")</f>
        <v>18.335</v>
      </c>
      <c r="D1127" s="28">
        <f t="array" ref="D1127">_xlfn.XLOOKUP($A1127, 'Medical Examinations'!$A:$A, 'Medical Examinations'!C:C, "No Data")</f>
        <v>10.01</v>
      </c>
      <c r="E1127" s="28" t="str">
        <f t="array" ref="E1127">_xlfn.XLOOKUP($A1127, 'Medical Examinations'!$A:$A, 'Medical Examinations'!D:D, "No Data")</f>
        <v>yes</v>
      </c>
      <c r="F1127" s="28" t="str">
        <f t="array" ref="F1127">_xlfn.XLOOKUP($A1127, 'Medical Examinations'!$A:$A, 'Medical Examinations'!E:E, "No Data")</f>
        <v>No</v>
      </c>
      <c r="G1127" s="28" t="str">
        <f t="array" ref="G1127">_xlfn.XLOOKUP($A1127, 'Medical Examinations'!$A:$A, 'Medical Examinations'!F:F, "No Data")</f>
        <v>No</v>
      </c>
      <c r="H1127" s="28">
        <f t="array" ref="H1127">_xlfn.XLOOKUP($A1127, 'Medical Examinations'!$A:$A, 'Medical Examinations'!G:G, "No Data")</f>
        <v>2</v>
      </c>
      <c r="I1127" s="28" t="str">
        <f t="array" ref="I1127">_xlfn.XLOOKUP($A1127, 'Medical Examinations'!$A:$A, 'Medical Examinations'!H:H, "No Data")</f>
        <v>No</v>
      </c>
      <c r="J1127" s="28" t="str">
        <f t="array" ref="J1127">_xlfn.XLOOKUP($A1127, 'Medical Examinations'!$A:$A, 'Medical Examinations'!I:I, "No Data")</f>
        <v>Underweight</v>
      </c>
      <c r="K1127" s="28" t="str">
        <f t="array" ref="K1127">_xlfn.XLOOKUP($A1127, 'Hospitalisation Details'!$A:$A, 'Hospitalisation Details'!I:I, "No Data")</f>
        <v>tier - 3</v>
      </c>
      <c r="L1127" s="28" t="str">
        <f t="array" ref="L1127">_xlfn.XLOOKUP($A1127, 'Hospitalisation Details'!$A:$A, 'Hospitalisation Details'!J:J, "No Data")</f>
        <v>R1012</v>
      </c>
      <c r="M1127" s="28" t="str">
        <f t="array" ref="M1127">_xlfn.XLOOKUP($A1127, 'Hospitalisation Details'!$A:$A, 'Hospitalisation Details'!E:E, "No Data")</f>
        <v>11/08/70</v>
      </c>
      <c r="N1127" s="28">
        <f t="array" ref="N1127">_xlfn.XLOOKUP($A1127, 'Hospitalisation Details'!$A:$A, 'Hospitalisation Details'!K:K, "No Data")</f>
        <v>52</v>
      </c>
      <c r="O1127" s="33">
        <f t="array" ref="O1127">_xlfn.XLOOKUP($A1127, 'Hospitalisation Details'!$A:$A, 'Hospitalisation Details'!G:G, "No Data")</f>
        <v>9991.04</v>
      </c>
      <c r="P1127" s="28" t="str">
        <f t="array" ref="P1127">_xlfn.XLOOKUP($A1127, 'Hospitalisation Details'!$A:$A, 'Hospitalisation Details'!H:H, "No Data")</f>
        <v>tier - 2</v>
      </c>
    </row>
    <row r="1128">
      <c r="A1128" s="25" t="s">
        <v>3586</v>
      </c>
      <c r="B1128" s="28" t="str">
        <f t="array" ref="B1128">_xlfn.XLOOKUP($A1128, 'Customer Names'!$A:$A, 'Customer Names'!B:B, "No Data")</f>
        <v>Bednar</v>
      </c>
      <c r="C1128" s="28">
        <f t="array" ref="C1128">_xlfn.XLOOKUP($A1128, 'Medical Examinations'!$A:$A, 'Medical Examinations'!B:B, "No Data")</f>
        <v>32.3</v>
      </c>
      <c r="D1128" s="28">
        <f t="array" ref="D1128">_xlfn.XLOOKUP($A1128, 'Medical Examinations'!$A:$A, 'Medical Examinations'!C:C, "No Data")</f>
        <v>9.59</v>
      </c>
      <c r="E1128" s="28" t="str">
        <f t="array" ref="E1128">_xlfn.XLOOKUP($A1128, 'Medical Examinations'!$A:$A, 'Medical Examinations'!D:D, "No Data")</f>
        <v>No</v>
      </c>
      <c r="F1128" s="28" t="str">
        <f t="array" ref="F1128">_xlfn.XLOOKUP($A1128, 'Medical Examinations'!$A:$A, 'Medical Examinations'!E:E, "No Data")</f>
        <v>No</v>
      </c>
      <c r="G1128" s="28" t="str">
        <f t="array" ref="G1128">_xlfn.XLOOKUP($A1128, 'Medical Examinations'!$A:$A, 'Medical Examinations'!F:F, "No Data")</f>
        <v>No</v>
      </c>
      <c r="H1128" s="28">
        <f t="array" ref="H1128">_xlfn.XLOOKUP($A1128, 'Medical Examinations'!$A:$A, 'Medical Examinations'!G:G, "No Data")</f>
        <v>0</v>
      </c>
      <c r="I1128" s="28" t="str">
        <f t="array" ref="I1128">_xlfn.XLOOKUP($A1128, 'Medical Examinations'!$A:$A, 'Medical Examinations'!H:H, "No Data")</f>
        <v>No</v>
      </c>
      <c r="J1128" s="28" t="str">
        <f t="array" ref="J1128">_xlfn.XLOOKUP($A1128, 'Medical Examinations'!$A:$A, 'Medical Examinations'!I:I, "No Data")</f>
        <v>Obesity</v>
      </c>
      <c r="K1128" s="28" t="str">
        <f t="array" ref="K1128">_xlfn.XLOOKUP($A1128, 'Hospitalisation Details'!$A:$A, 'Hospitalisation Details'!I:I, "No Data")</f>
        <v>tier - 2</v>
      </c>
      <c r="L1128" s="28" t="str">
        <f t="array" ref="L1128">_xlfn.XLOOKUP($A1128, 'Hospitalisation Details'!$A:$A, 'Hospitalisation Details'!J:J, "No Data")</f>
        <v>R1019</v>
      </c>
      <c r="M1128" s="28" t="str">
        <f t="array" ref="M1128">_xlfn.XLOOKUP($A1128, 'Hospitalisation Details'!$A:$A, 'Hospitalisation Details'!E:E, "No Data")</f>
        <v>06/10/71</v>
      </c>
      <c r="N1128" s="28">
        <f t="array" ref="N1128">_xlfn.XLOOKUP($A1128, 'Hospitalisation Details'!$A:$A, 'Hospitalisation Details'!K:K, "No Data")</f>
        <v>51</v>
      </c>
      <c r="O1128" s="33">
        <f t="array" ref="O1128">_xlfn.XLOOKUP($A1128, 'Hospitalisation Details'!$A:$A, 'Hospitalisation Details'!G:G, "No Data")</f>
        <v>9964.06</v>
      </c>
      <c r="P1128" s="28" t="str">
        <f t="array" ref="P1128">_xlfn.XLOOKUP($A1128, 'Hospitalisation Details'!$A:$A, 'Hospitalisation Details'!H:H, "No Data")</f>
        <v>tier - 2</v>
      </c>
    </row>
    <row r="1129">
      <c r="A1129" s="25" t="s">
        <v>3589</v>
      </c>
      <c r="B1129" s="28" t="str">
        <f t="array" ref="B1129">_xlfn.XLOOKUP($A1129, 'Customer Names'!$A:$A, 'Customer Names'!B:B, "No Data")</f>
        <v>Daye</v>
      </c>
      <c r="C1129" s="28">
        <f t="array" ref="C1129">_xlfn.XLOOKUP($A1129, 'Medical Examinations'!$A:$A, 'Medical Examinations'!B:B, "No Data")</f>
        <v>27.74</v>
      </c>
      <c r="D1129" s="28">
        <f t="array" ref="D1129">_xlfn.XLOOKUP($A1129, 'Medical Examinations'!$A:$A, 'Medical Examinations'!C:C, "No Data")</f>
        <v>10.37</v>
      </c>
      <c r="E1129" s="28" t="str">
        <f t="array" ref="E1129">_xlfn.XLOOKUP($A1129, 'Medical Examinations'!$A:$A, 'Medical Examinations'!D:D, "No Data")</f>
        <v>No</v>
      </c>
      <c r="F1129" s="28" t="str">
        <f t="array" ref="F1129">_xlfn.XLOOKUP($A1129, 'Medical Examinations'!$A:$A, 'Medical Examinations'!E:E, "No Data")</f>
        <v>No</v>
      </c>
      <c r="G1129" s="28" t="str">
        <f t="array" ref="G1129">_xlfn.XLOOKUP($A1129, 'Medical Examinations'!$A:$A, 'Medical Examinations'!F:F, "No Data")</f>
        <v>No</v>
      </c>
      <c r="H1129" s="28">
        <f t="array" ref="H1129">_xlfn.XLOOKUP($A1129, 'Medical Examinations'!$A:$A, 'Medical Examinations'!G:G, "No Data")</f>
        <v>0</v>
      </c>
      <c r="I1129" s="28" t="str">
        <f t="array" ref="I1129">_xlfn.XLOOKUP($A1129, 'Medical Examinations'!$A:$A, 'Medical Examinations'!H:H, "No Data")</f>
        <v>No</v>
      </c>
      <c r="J1129" s="28" t="str">
        <f t="array" ref="J1129">_xlfn.XLOOKUP($A1129, 'Medical Examinations'!$A:$A, 'Medical Examinations'!I:I, "No Data")</f>
        <v>Overweight</v>
      </c>
      <c r="K1129" s="28" t="str">
        <f t="array" ref="K1129">_xlfn.XLOOKUP($A1129, 'Hospitalisation Details'!$A:$A, 'Hospitalisation Details'!I:I, "No Data")</f>
        <v>tier - 3</v>
      </c>
      <c r="L1129" s="28" t="str">
        <f t="array" ref="L1129">_xlfn.XLOOKUP($A1129, 'Hospitalisation Details'!$A:$A, 'Hospitalisation Details'!J:J, "No Data")</f>
        <v>R1018</v>
      </c>
      <c r="M1129" s="28" t="str">
        <f t="array" ref="M1129">_xlfn.XLOOKUP($A1129, 'Hospitalisation Details'!$A:$A, 'Hospitalisation Details'!E:E, "No Data")</f>
        <v>26/12/71</v>
      </c>
      <c r="N1129" s="28">
        <f t="array" ref="N1129">_xlfn.XLOOKUP($A1129, 'Hospitalisation Details'!$A:$A, 'Hospitalisation Details'!K:K, "No Data")</f>
        <v>51</v>
      </c>
      <c r="O1129" s="33">
        <f t="array" ref="O1129">_xlfn.XLOOKUP($A1129, 'Hospitalisation Details'!$A:$A, 'Hospitalisation Details'!G:G, "No Data")</f>
        <v>9957.72</v>
      </c>
      <c r="P1129" s="28" t="str">
        <f t="array" ref="P1129">_xlfn.XLOOKUP($A1129, 'Hospitalisation Details'!$A:$A, 'Hospitalisation Details'!H:H, "No Data")</f>
        <v>tier - 2</v>
      </c>
    </row>
    <row r="1130">
      <c r="A1130" s="25" t="s">
        <v>3592</v>
      </c>
      <c r="B1130" s="28" t="str">
        <f t="array" ref="B1130">_xlfn.XLOOKUP($A1130, 'Customer Names'!$A:$A, 'Customer Names'!B:B, "No Data")</f>
        <v>Clarke</v>
      </c>
      <c r="C1130" s="28">
        <f t="array" ref="C1130">_xlfn.XLOOKUP($A1130, 'Medical Examinations'!$A:$A, 'Medical Examinations'!B:B, "No Data")</f>
        <v>24</v>
      </c>
      <c r="D1130" s="28">
        <f t="array" ref="D1130">_xlfn.XLOOKUP($A1130, 'Medical Examinations'!$A:$A, 'Medical Examinations'!C:C, "No Data")</f>
        <v>4.01</v>
      </c>
      <c r="E1130" s="28" t="str">
        <f t="array" ref="E1130">_xlfn.XLOOKUP($A1130, 'Medical Examinations'!$A:$A, 'Medical Examinations'!D:D, "No Data")</f>
        <v>yes</v>
      </c>
      <c r="F1130" s="28" t="str">
        <f t="array" ref="F1130">_xlfn.XLOOKUP($A1130, 'Medical Examinations'!$A:$A, 'Medical Examinations'!E:E, "No Data")</f>
        <v>No</v>
      </c>
      <c r="G1130" s="28" t="str">
        <f t="array" ref="G1130">_xlfn.XLOOKUP($A1130, 'Medical Examinations'!$A:$A, 'Medical Examinations'!F:F, "No Data")</f>
        <v>No</v>
      </c>
      <c r="H1130" s="28">
        <f t="array" ref="H1130">_xlfn.XLOOKUP($A1130, 'Medical Examinations'!$A:$A, 'Medical Examinations'!G:G, "No Data")</f>
        <v>1</v>
      </c>
      <c r="I1130" s="28" t="str">
        <f t="array" ref="I1130">_xlfn.XLOOKUP($A1130, 'Medical Examinations'!$A:$A, 'Medical Examinations'!H:H, "No Data")</f>
        <v>No</v>
      </c>
      <c r="J1130" s="28" t="str">
        <f t="array" ref="J1130">_xlfn.XLOOKUP($A1130, 'Medical Examinations'!$A:$A, 'Medical Examinations'!I:I, "No Data")</f>
        <v>Normal Weight</v>
      </c>
      <c r="K1130" s="28" t="str">
        <f t="array" ref="K1130">_xlfn.XLOOKUP($A1130, 'Hospitalisation Details'!$A:$A, 'Hospitalisation Details'!I:I, "No Data")</f>
        <v>tier - 3</v>
      </c>
      <c r="L1130" s="28" t="str">
        <f t="array" ref="L1130">_xlfn.XLOOKUP($A1130, 'Hospitalisation Details'!$A:$A, 'Hospitalisation Details'!J:J, "No Data")</f>
        <v>R1013</v>
      </c>
      <c r="M1130" s="28" t="str">
        <f t="array" ref="M1130">_xlfn.XLOOKUP($A1130, 'Hospitalisation Details'!$A:$A, 'Hospitalisation Details'!E:E, "No Data")</f>
        <v>11/09/64</v>
      </c>
      <c r="N1130" s="28">
        <f t="array" ref="N1130">_xlfn.XLOOKUP($A1130, 'Hospitalisation Details'!$A:$A, 'Hospitalisation Details'!K:K, "No Data")</f>
        <v>58</v>
      </c>
      <c r="O1130" s="33">
        <f t="array" ref="O1130">_xlfn.XLOOKUP($A1130, 'Hospitalisation Details'!$A:$A, 'Hospitalisation Details'!G:G, "No Data")</f>
        <v>9933.44</v>
      </c>
      <c r="P1130" s="28" t="str">
        <f t="array" ref="P1130">_xlfn.XLOOKUP($A1130, 'Hospitalisation Details'!$A:$A, 'Hospitalisation Details'!H:H, "No Data")</f>
        <v>tier - 3</v>
      </c>
    </row>
    <row r="1131">
      <c r="A1131" s="25" t="s">
        <v>3596</v>
      </c>
      <c r="B1131" s="28" t="str">
        <f t="array" ref="B1131">_xlfn.XLOOKUP($A1131, 'Customer Names'!$A:$A, 'Customer Names'!B:B, "No Data")</f>
        <v>Koren</v>
      </c>
      <c r="C1131" s="28">
        <f t="array" ref="C1131">_xlfn.XLOOKUP($A1131, 'Medical Examinations'!$A:$A, 'Medical Examinations'!B:B, "No Data")</f>
        <v>31.78</v>
      </c>
      <c r="D1131" s="28">
        <f t="array" ref="D1131">_xlfn.XLOOKUP($A1131, 'Medical Examinations'!$A:$A, 'Medical Examinations'!C:C, "No Data")</f>
        <v>4.24</v>
      </c>
      <c r="E1131" s="28" t="str">
        <f t="array" ref="E1131">_xlfn.XLOOKUP($A1131, 'Medical Examinations'!$A:$A, 'Medical Examinations'!D:D, "No Data")</f>
        <v>yes</v>
      </c>
      <c r="F1131" s="28" t="str">
        <f t="array" ref="F1131">_xlfn.XLOOKUP($A1131, 'Medical Examinations'!$A:$A, 'Medical Examinations'!E:E, "No Data")</f>
        <v>No</v>
      </c>
      <c r="G1131" s="28" t="str">
        <f t="array" ref="G1131">_xlfn.XLOOKUP($A1131, 'Medical Examinations'!$A:$A, 'Medical Examinations'!F:F, "No Data")</f>
        <v>Yes</v>
      </c>
      <c r="H1131" s="28">
        <f t="array" ref="H1131">_xlfn.XLOOKUP($A1131, 'Medical Examinations'!$A:$A, 'Medical Examinations'!G:G, "No Data")</f>
        <v>1</v>
      </c>
      <c r="I1131" s="28" t="str">
        <f t="array" ref="I1131">_xlfn.XLOOKUP($A1131, 'Medical Examinations'!$A:$A, 'Medical Examinations'!H:H, "No Data")</f>
        <v>No</v>
      </c>
      <c r="J1131" s="28" t="str">
        <f t="array" ref="J1131">_xlfn.XLOOKUP($A1131, 'Medical Examinations'!$A:$A, 'Medical Examinations'!I:I, "No Data")</f>
        <v>Obesity</v>
      </c>
      <c r="K1131" s="28" t="str">
        <f t="array" ref="K1131">_xlfn.XLOOKUP($A1131, 'Hospitalisation Details'!$A:$A, 'Hospitalisation Details'!I:I, "No Data")</f>
        <v>tier - 2</v>
      </c>
      <c r="L1131" s="28" t="str">
        <f t="array" ref="L1131">_xlfn.XLOOKUP($A1131, 'Hospitalisation Details'!$A:$A, 'Hospitalisation Details'!J:J, "No Data")</f>
        <v>R1012</v>
      </c>
      <c r="M1131" s="28" t="str">
        <f t="array" ref="M1131">_xlfn.XLOOKUP($A1131, 'Hospitalisation Details'!$A:$A, 'Hospitalisation Details'!E:E, "No Data")</f>
        <v>03/12/83</v>
      </c>
      <c r="N1131" s="28">
        <f t="array" ref="N1131">_xlfn.XLOOKUP($A1131, 'Hospitalisation Details'!$A:$A, 'Hospitalisation Details'!K:K, "No Data")</f>
        <v>39</v>
      </c>
      <c r="O1131" s="33">
        <f t="array" ref="O1131">_xlfn.XLOOKUP($A1131, 'Hospitalisation Details'!$A:$A, 'Hospitalisation Details'!G:G, "No Data")</f>
        <v>9931.96</v>
      </c>
      <c r="P1131" s="28" t="str">
        <f t="array" ref="P1131">_xlfn.XLOOKUP($A1131, 'Hospitalisation Details'!$A:$A, 'Hospitalisation Details'!H:H, "No Data")</f>
        <v>tier - 2</v>
      </c>
    </row>
    <row r="1132">
      <c r="A1132" s="25" t="s">
        <v>3599</v>
      </c>
      <c r="B1132" s="28" t="str">
        <f t="array" ref="B1132">_xlfn.XLOOKUP($A1132, 'Customer Names'!$A:$A, 'Customer Names'!B:B, "No Data")</f>
        <v>Kuramoto</v>
      </c>
      <c r="C1132" s="28">
        <f t="array" ref="C1132">_xlfn.XLOOKUP($A1132, 'Medical Examinations'!$A:$A, 'Medical Examinations'!B:B, "No Data")</f>
        <v>32.25</v>
      </c>
      <c r="D1132" s="28">
        <f t="array" ref="D1132">_xlfn.XLOOKUP($A1132, 'Medical Examinations'!$A:$A, 'Medical Examinations'!C:C, "No Data")</f>
        <v>5.36</v>
      </c>
      <c r="E1132" s="28" t="str">
        <f t="array" ref="E1132">_xlfn.XLOOKUP($A1132, 'Medical Examinations'!$A:$A, 'Medical Examinations'!D:D, "No Data")</f>
        <v>yes</v>
      </c>
      <c r="F1132" s="28" t="str">
        <f t="array" ref="F1132">_xlfn.XLOOKUP($A1132, 'Medical Examinations'!$A:$A, 'Medical Examinations'!E:E, "No Data")</f>
        <v>No</v>
      </c>
      <c r="G1132" s="28" t="str">
        <f t="array" ref="G1132">_xlfn.XLOOKUP($A1132, 'Medical Examinations'!$A:$A, 'Medical Examinations'!F:F, "No Data")</f>
        <v>No</v>
      </c>
      <c r="H1132" s="28">
        <f t="array" ref="H1132">_xlfn.XLOOKUP($A1132, 'Medical Examinations'!$A:$A, 'Medical Examinations'!G:G, "No Data")</f>
        <v>0</v>
      </c>
      <c r="I1132" s="28" t="str">
        <f t="array" ref="I1132">_xlfn.XLOOKUP($A1132, 'Medical Examinations'!$A:$A, 'Medical Examinations'!H:H, "No Data")</f>
        <v>No</v>
      </c>
      <c r="J1132" s="28" t="str">
        <f t="array" ref="J1132">_xlfn.XLOOKUP($A1132, 'Medical Examinations'!$A:$A, 'Medical Examinations'!I:I, "No Data")</f>
        <v>Obesity</v>
      </c>
      <c r="K1132" s="28" t="str">
        <f t="array" ref="K1132">_xlfn.XLOOKUP($A1132, 'Hospitalisation Details'!$A:$A, 'Hospitalisation Details'!I:I, "No Data")</f>
        <v>tier - 3</v>
      </c>
      <c r="L1132" s="28" t="str">
        <f t="array" ref="L1132">_xlfn.XLOOKUP($A1132, 'Hospitalisation Details'!$A:$A, 'Hospitalisation Details'!J:J, "No Data")</f>
        <v>R1025</v>
      </c>
      <c r="M1132" s="28" t="str">
        <f t="array" ref="M1132">_xlfn.XLOOKUP($A1132, 'Hospitalisation Details'!$A:$A, 'Hospitalisation Details'!E:E, "No Data")</f>
        <v>19/08/85</v>
      </c>
      <c r="N1132" s="28">
        <f t="array" ref="N1132">_xlfn.XLOOKUP($A1132, 'Hospitalisation Details'!$A:$A, 'Hospitalisation Details'!K:K, "No Data")</f>
        <v>37</v>
      </c>
      <c r="O1132" s="33">
        <f t="array" ref="O1132">_xlfn.XLOOKUP($A1132, 'Hospitalisation Details'!$A:$A, 'Hospitalisation Details'!G:G, "No Data")</f>
        <v>9930.64</v>
      </c>
      <c r="P1132" s="28" t="str">
        <f t="array" ref="P1132">_xlfn.XLOOKUP($A1132, 'Hospitalisation Details'!$A:$A, 'Hospitalisation Details'!H:H, "No Data")</f>
        <v>tier - 2</v>
      </c>
    </row>
    <row r="1133">
      <c r="A1133" s="25" t="s">
        <v>3602</v>
      </c>
      <c r="B1133" s="28" t="str">
        <f t="array" ref="B1133">_xlfn.XLOOKUP($A1133, 'Customer Names'!$A:$A, 'Customer Names'!B:B, "No Data")</f>
        <v>Lynn</v>
      </c>
      <c r="C1133" s="28">
        <f t="array" ref="C1133">_xlfn.XLOOKUP($A1133, 'Medical Examinations'!$A:$A, 'Medical Examinations'!B:B, "No Data")</f>
        <v>30.115</v>
      </c>
      <c r="D1133" s="28">
        <f t="array" ref="D1133">_xlfn.XLOOKUP($A1133, 'Medical Examinations'!$A:$A, 'Medical Examinations'!C:C, "No Data")</f>
        <v>4.99</v>
      </c>
      <c r="E1133" s="28" t="str">
        <f t="array" ref="E1133">_xlfn.XLOOKUP($A1133, 'Medical Examinations'!$A:$A, 'Medical Examinations'!D:D, "No Data")</f>
        <v>No</v>
      </c>
      <c r="F1133" s="28" t="str">
        <f t="array" ref="F1133">_xlfn.XLOOKUP($A1133, 'Medical Examinations'!$A:$A, 'Medical Examinations'!E:E, "No Data")</f>
        <v>No</v>
      </c>
      <c r="G1133" s="28" t="str">
        <f t="array" ref="G1133">_xlfn.XLOOKUP($A1133, 'Medical Examinations'!$A:$A, 'Medical Examinations'!F:F, "No Data")</f>
        <v>No</v>
      </c>
      <c r="H1133" s="28">
        <f t="array" ref="H1133">_xlfn.XLOOKUP($A1133, 'Medical Examinations'!$A:$A, 'Medical Examinations'!G:G, "No Data")</f>
        <v>2</v>
      </c>
      <c r="I1133" s="28" t="str">
        <f t="array" ref="I1133">_xlfn.XLOOKUP($A1133, 'Medical Examinations'!$A:$A, 'Medical Examinations'!H:H, "No Data")</f>
        <v>No</v>
      </c>
      <c r="J1133" s="28" t="str">
        <f t="array" ref="J1133">_xlfn.XLOOKUP($A1133, 'Medical Examinations'!$A:$A, 'Medical Examinations'!I:I, "No Data")</f>
        <v>Obesity</v>
      </c>
      <c r="K1133" s="28" t="str">
        <f t="array" ref="K1133">_xlfn.XLOOKUP($A1133, 'Hospitalisation Details'!$A:$A, 'Hospitalisation Details'!I:I, "No Data")</f>
        <v>tier - 3</v>
      </c>
      <c r="L1133" s="28" t="str">
        <f t="array" ref="L1133">_xlfn.XLOOKUP($A1133, 'Hospitalisation Details'!$A:$A, 'Hospitalisation Details'!J:J, "No Data")</f>
        <v>R1012</v>
      </c>
      <c r="M1133" s="28" t="str">
        <f t="array" ref="M1133">_xlfn.XLOOKUP($A1133, 'Hospitalisation Details'!$A:$A, 'Hospitalisation Details'!E:E, "No Data")</f>
        <v>14/09/72</v>
      </c>
      <c r="N1133" s="28">
        <f t="array" ref="N1133">_xlfn.XLOOKUP($A1133, 'Hospitalisation Details'!$A:$A, 'Hospitalisation Details'!K:K, "No Data")</f>
        <v>50</v>
      </c>
      <c r="O1133" s="33">
        <f t="array" ref="O1133">_xlfn.XLOOKUP($A1133, 'Hospitalisation Details'!$A:$A, 'Hospitalisation Details'!G:G, "No Data")</f>
        <v>9910.36</v>
      </c>
      <c r="P1133" s="28" t="str">
        <f t="array" ref="P1133">_xlfn.XLOOKUP($A1133, 'Hospitalisation Details'!$A:$A, 'Hospitalisation Details'!H:H, "No Data")</f>
        <v>tier - 2</v>
      </c>
    </row>
    <row r="1134">
      <c r="A1134" s="25" t="s">
        <v>3606</v>
      </c>
      <c r="B1134" s="28" t="str">
        <f t="array" ref="B1134">_xlfn.XLOOKUP($A1134, 'Customer Names'!$A:$A, 'Customer Names'!B:B, "No Data")</f>
        <v>Dierksen</v>
      </c>
      <c r="C1134" s="28">
        <f t="array" ref="C1134">_xlfn.XLOOKUP($A1134, 'Medical Examinations'!$A:$A, 'Medical Examinations'!B:B, "No Data")</f>
        <v>22.41</v>
      </c>
      <c r="D1134" s="28">
        <f t="array" ref="D1134">_xlfn.XLOOKUP($A1134, 'Medical Examinations'!$A:$A, 'Medical Examinations'!C:C, "No Data")</f>
        <v>8.68</v>
      </c>
      <c r="E1134" s="28" t="str">
        <f t="array" ref="E1134">_xlfn.XLOOKUP($A1134, 'Medical Examinations'!$A:$A, 'Medical Examinations'!D:D, "No Data")</f>
        <v>No</v>
      </c>
      <c r="F1134" s="28" t="str">
        <f t="array" ref="F1134">_xlfn.XLOOKUP($A1134, 'Medical Examinations'!$A:$A, 'Medical Examinations'!E:E, "No Data")</f>
        <v>No</v>
      </c>
      <c r="G1134" s="28" t="str">
        <f t="array" ref="G1134">_xlfn.XLOOKUP($A1134, 'Medical Examinations'!$A:$A, 'Medical Examinations'!F:F, "No Data")</f>
        <v>No</v>
      </c>
      <c r="H1134" s="28">
        <f t="array" ref="H1134">_xlfn.XLOOKUP($A1134, 'Medical Examinations'!$A:$A, 'Medical Examinations'!G:G, "No Data")</f>
        <v>0</v>
      </c>
      <c r="I1134" s="28" t="str">
        <f t="array" ref="I1134">_xlfn.XLOOKUP($A1134, 'Medical Examinations'!$A:$A, 'Medical Examinations'!H:H, "No Data")</f>
        <v>No</v>
      </c>
      <c r="J1134" s="28" t="str">
        <f t="array" ref="J1134">_xlfn.XLOOKUP($A1134, 'Medical Examinations'!$A:$A, 'Medical Examinations'!I:I, "No Data")</f>
        <v>Normal Weight</v>
      </c>
      <c r="K1134" s="28" t="str">
        <f t="array" ref="K1134">_xlfn.XLOOKUP($A1134, 'Hospitalisation Details'!$A:$A, 'Hospitalisation Details'!I:I, "No Data")</f>
        <v>tier - 2</v>
      </c>
      <c r="L1134" s="28" t="str">
        <f t="array" ref="L1134">_xlfn.XLOOKUP($A1134, 'Hospitalisation Details'!$A:$A, 'Hospitalisation Details'!J:J, "No Data")</f>
        <v>R1013</v>
      </c>
      <c r="M1134" s="28" t="str">
        <f t="array" ref="M1134">_xlfn.XLOOKUP($A1134, 'Hospitalisation Details'!$A:$A, 'Hospitalisation Details'!E:E, "No Data")</f>
        <v>17/08/62</v>
      </c>
      <c r="N1134" s="28">
        <f t="array" ref="N1134">_xlfn.XLOOKUP($A1134, 'Hospitalisation Details'!$A:$A, 'Hospitalisation Details'!K:K, "No Data")</f>
        <v>60</v>
      </c>
      <c r="O1134" s="33">
        <f t="array" ref="O1134">_xlfn.XLOOKUP($A1134, 'Hospitalisation Details'!$A:$A, 'Hospitalisation Details'!G:G, "No Data")</f>
        <v>9907.83</v>
      </c>
      <c r="P1134" s="28" t="str">
        <f t="array" ref="P1134">_xlfn.XLOOKUP($A1134, 'Hospitalisation Details'!$A:$A, 'Hospitalisation Details'!H:H, "No Data")</f>
        <v>tier - 3</v>
      </c>
    </row>
    <row r="1135">
      <c r="A1135" s="25" t="s">
        <v>3610</v>
      </c>
      <c r="B1135" s="28" t="str">
        <f t="array" ref="B1135">_xlfn.XLOOKUP($A1135, 'Customer Names'!$A:$A, 'Customer Names'!B:B, "No Data")</f>
        <v>Zoeller</v>
      </c>
      <c r="C1135" s="28">
        <f t="array" ref="C1135">_xlfn.XLOOKUP($A1135, 'Medical Examinations'!$A:$A, 'Medical Examinations'!B:B, "No Data")</f>
        <v>45.72</v>
      </c>
      <c r="D1135" s="28">
        <f t="array" ref="D1135">_xlfn.XLOOKUP($A1135, 'Medical Examinations'!$A:$A, 'Medical Examinations'!C:C, "No Data")</f>
        <v>4.23</v>
      </c>
      <c r="E1135" s="28" t="str">
        <f t="array" ref="E1135">_xlfn.XLOOKUP($A1135, 'Medical Examinations'!$A:$A, 'Medical Examinations'!D:D, "No Data")</f>
        <v>yes</v>
      </c>
      <c r="F1135" s="28" t="str">
        <f t="array" ref="F1135">_xlfn.XLOOKUP($A1135, 'Medical Examinations'!$A:$A, 'Medical Examinations'!E:E, "No Data")</f>
        <v>No</v>
      </c>
      <c r="G1135" s="28" t="str">
        <f t="array" ref="G1135">_xlfn.XLOOKUP($A1135, 'Medical Examinations'!$A:$A, 'Medical Examinations'!F:F, "No Data")</f>
        <v>No</v>
      </c>
      <c r="H1135" s="28">
        <f t="array" ref="H1135">_xlfn.XLOOKUP($A1135, 'Medical Examinations'!$A:$A, 'Medical Examinations'!G:G, "No Data")</f>
        <v>0</v>
      </c>
      <c r="I1135" s="28" t="str">
        <f t="array" ref="I1135">_xlfn.XLOOKUP($A1135, 'Medical Examinations'!$A:$A, 'Medical Examinations'!H:H, "No Data")</f>
        <v>No</v>
      </c>
      <c r="J1135" s="28" t="str">
        <f t="array" ref="J1135">_xlfn.XLOOKUP($A1135, 'Medical Examinations'!$A:$A, 'Medical Examinations'!I:I, "No Data")</f>
        <v>Obesity</v>
      </c>
      <c r="K1135" s="28" t="str">
        <f t="array" ref="K1135">_xlfn.XLOOKUP($A1135, 'Hospitalisation Details'!$A:$A, 'Hospitalisation Details'!I:I, "No Data")</f>
        <v>tier - 3</v>
      </c>
      <c r="L1135" s="28" t="str">
        <f t="array" ref="L1135">_xlfn.XLOOKUP($A1135, 'Hospitalisation Details'!$A:$A, 'Hospitalisation Details'!J:J, "No Data")</f>
        <v>R1012</v>
      </c>
      <c r="M1135" s="28" t="str">
        <f t="array" ref="M1135">_xlfn.XLOOKUP($A1135, 'Hospitalisation Details'!$A:$A, 'Hospitalisation Details'!E:E, "No Data")</f>
        <v>08/07/96</v>
      </c>
      <c r="N1135" s="28">
        <f t="array" ref="N1135">_xlfn.XLOOKUP($A1135, 'Hospitalisation Details'!$A:$A, 'Hospitalisation Details'!K:K, "No Data")</f>
        <v>26</v>
      </c>
      <c r="O1135" s="33">
        <f t="array" ref="O1135">_xlfn.XLOOKUP($A1135, 'Hospitalisation Details'!$A:$A, 'Hospitalisation Details'!G:G, "No Data")</f>
        <v>9894.69</v>
      </c>
      <c r="P1135" s="28" t="str">
        <f t="array" ref="P1135">_xlfn.XLOOKUP($A1135, 'Hospitalisation Details'!$A:$A, 'Hospitalisation Details'!H:H, "No Data")</f>
        <v>tier - 2</v>
      </c>
    </row>
    <row r="1136">
      <c r="A1136" s="25" t="s">
        <v>3612</v>
      </c>
      <c r="B1136" s="28" t="str">
        <f t="array" ref="B1136">_xlfn.XLOOKUP($A1136, 'Customer Names'!$A:$A, 'Customer Names'!B:B, "No Data")</f>
        <v>Flesch</v>
      </c>
      <c r="C1136" s="28">
        <f t="array" ref="C1136">_xlfn.XLOOKUP($A1136, 'Medical Examinations'!$A:$A, 'Medical Examinations'!B:B, "No Data")</f>
        <v>25</v>
      </c>
      <c r="D1136" s="28">
        <f t="array" ref="D1136">_xlfn.XLOOKUP($A1136, 'Medical Examinations'!$A:$A, 'Medical Examinations'!C:C, "No Data")</f>
        <v>5.32</v>
      </c>
      <c r="E1136" s="28" t="str">
        <f t="array" ref="E1136">_xlfn.XLOOKUP($A1136, 'Medical Examinations'!$A:$A, 'Medical Examinations'!D:D, "No Data")</f>
        <v>yes</v>
      </c>
      <c r="F1136" s="28" t="str">
        <f t="array" ref="F1136">_xlfn.XLOOKUP($A1136, 'Medical Examinations'!$A:$A, 'Medical Examinations'!E:E, "No Data")</f>
        <v>No</v>
      </c>
      <c r="G1136" s="28" t="str">
        <f t="array" ref="G1136">_xlfn.XLOOKUP($A1136, 'Medical Examinations'!$A:$A, 'Medical Examinations'!F:F, "No Data")</f>
        <v>No</v>
      </c>
      <c r="H1136" s="28">
        <f t="array" ref="H1136">_xlfn.XLOOKUP($A1136, 'Medical Examinations'!$A:$A, 'Medical Examinations'!G:G, "No Data")</f>
        <v>2</v>
      </c>
      <c r="I1136" s="28" t="str">
        <f t="array" ref="I1136">_xlfn.XLOOKUP($A1136, 'Medical Examinations'!$A:$A, 'Medical Examinations'!H:H, "No Data")</f>
        <v>No</v>
      </c>
      <c r="J1136" s="28" t="str">
        <f t="array" ref="J1136">_xlfn.XLOOKUP($A1136, 'Medical Examinations'!$A:$A, 'Medical Examinations'!I:I, "No Data")</f>
        <v>Overweight</v>
      </c>
      <c r="K1136" s="28" t="str">
        <f t="array" ref="K1136">_xlfn.XLOOKUP($A1136, 'Hospitalisation Details'!$A:$A, 'Hospitalisation Details'!I:I, "No Data")</f>
        <v>tier - 3</v>
      </c>
      <c r="L1136" s="28" t="str">
        <f t="array" ref="L1136">_xlfn.XLOOKUP($A1136, 'Hospitalisation Details'!$A:$A, 'Hospitalisation Details'!J:J, "No Data")</f>
        <v>R1013</v>
      </c>
      <c r="M1136" s="28" t="str">
        <f t="array" ref="M1136">_xlfn.XLOOKUP($A1136, 'Hospitalisation Details'!$A:$A, 'Hospitalisation Details'!E:E, "No Data")</f>
        <v>05/11/66</v>
      </c>
      <c r="N1136" s="28">
        <f t="array" ref="N1136">_xlfn.XLOOKUP($A1136, 'Hospitalisation Details'!$A:$A, 'Hospitalisation Details'!K:K, "No Data")</f>
        <v>56</v>
      </c>
      <c r="O1136" s="33">
        <f t="array" ref="O1136">_xlfn.XLOOKUP($A1136, 'Hospitalisation Details'!$A:$A, 'Hospitalisation Details'!G:G, "No Data")</f>
        <v>9890.23</v>
      </c>
      <c r="P1136" s="28" t="str">
        <f t="array" ref="P1136">_xlfn.XLOOKUP($A1136, 'Hospitalisation Details'!$A:$A, 'Hospitalisation Details'!H:H, "No Data")</f>
        <v>tier - 3</v>
      </c>
    </row>
    <row r="1137">
      <c r="A1137" s="25" t="s">
        <v>3615</v>
      </c>
      <c r="B1137" s="28" t="str">
        <f t="array" ref="B1137">_xlfn.XLOOKUP($A1137, 'Customer Names'!$A:$A, 'Customer Names'!B:B, "No Data")</f>
        <v>Maltby</v>
      </c>
      <c r="C1137" s="28">
        <f t="array" ref="C1137">_xlfn.XLOOKUP($A1137, 'Medical Examinations'!$A:$A, 'Medical Examinations'!B:B, "No Data")</f>
        <v>39.5</v>
      </c>
      <c r="D1137" s="28">
        <f t="array" ref="D1137">_xlfn.XLOOKUP($A1137, 'Medical Examinations'!$A:$A, 'Medical Examinations'!C:C, "No Data")</f>
        <v>6.66</v>
      </c>
      <c r="E1137" s="28" t="str">
        <f t="array" ref="E1137">_xlfn.XLOOKUP($A1137, 'Medical Examinations'!$A:$A, 'Medical Examinations'!D:D, "No Data")</f>
        <v>No</v>
      </c>
      <c r="F1137" s="28" t="str">
        <f t="array" ref="F1137">_xlfn.XLOOKUP($A1137, 'Medical Examinations'!$A:$A, 'Medical Examinations'!E:E, "No Data")</f>
        <v>No</v>
      </c>
      <c r="G1137" s="28" t="str">
        <f t="array" ref="G1137">_xlfn.XLOOKUP($A1137, 'Medical Examinations'!$A:$A, 'Medical Examinations'!F:F, "No Data")</f>
        <v>No</v>
      </c>
      <c r="H1137" s="28">
        <f t="array" ref="H1137">_xlfn.XLOOKUP($A1137, 'Medical Examinations'!$A:$A, 'Medical Examinations'!G:G, "No Data")</f>
        <v>0</v>
      </c>
      <c r="I1137" s="28" t="str">
        <f t="array" ref="I1137">_xlfn.XLOOKUP($A1137, 'Medical Examinations'!$A:$A, 'Medical Examinations'!H:H, "No Data")</f>
        <v>No</v>
      </c>
      <c r="J1137" s="28" t="str">
        <f t="array" ref="J1137">_xlfn.XLOOKUP($A1137, 'Medical Examinations'!$A:$A, 'Medical Examinations'!I:I, "No Data")</f>
        <v>Obesity</v>
      </c>
      <c r="K1137" s="28" t="str">
        <f t="array" ref="K1137">_xlfn.XLOOKUP($A1137, 'Hospitalisation Details'!$A:$A, 'Hospitalisation Details'!I:I, "No Data")</f>
        <v>tier - 3</v>
      </c>
      <c r="L1137" s="28" t="str">
        <f t="array" ref="L1137">_xlfn.XLOOKUP($A1137, 'Hospitalisation Details'!$A:$A, 'Hospitalisation Details'!J:J, "No Data")</f>
        <v>R1011</v>
      </c>
      <c r="M1137" s="28" t="str">
        <f t="array" ref="M1137">_xlfn.XLOOKUP($A1137, 'Hospitalisation Details'!$A:$A, 'Hospitalisation Details'!E:E, "No Data")</f>
        <v>08/11/71</v>
      </c>
      <c r="N1137" s="28">
        <f t="array" ref="N1137">_xlfn.XLOOKUP($A1137, 'Hospitalisation Details'!$A:$A, 'Hospitalisation Details'!K:K, "No Data")</f>
        <v>51</v>
      </c>
      <c r="O1137" s="33">
        <f t="array" ref="O1137">_xlfn.XLOOKUP($A1137, 'Hospitalisation Details'!$A:$A, 'Hospitalisation Details'!G:G, "No Data")</f>
        <v>9880.07</v>
      </c>
      <c r="P1137" s="28" t="str">
        <f t="array" ref="P1137">_xlfn.XLOOKUP($A1137, 'Hospitalisation Details'!$A:$A, 'Hospitalisation Details'!H:H, "No Data")</f>
        <v>tier - 2</v>
      </c>
    </row>
    <row r="1138">
      <c r="A1138" s="25" t="s">
        <v>3619</v>
      </c>
      <c r="B1138" s="28" t="str">
        <f t="array" ref="B1138">_xlfn.XLOOKUP($A1138, 'Customer Names'!$A:$A, 'Customer Names'!B:B, "No Data")</f>
        <v>Custance</v>
      </c>
      <c r="C1138" s="28">
        <f t="array" ref="C1138">_xlfn.XLOOKUP($A1138, 'Medical Examinations'!$A:$A, 'Medical Examinations'!B:B, "No Data")</f>
        <v>37.73</v>
      </c>
      <c r="D1138" s="28">
        <f t="array" ref="D1138">_xlfn.XLOOKUP($A1138, 'Medical Examinations'!$A:$A, 'Medical Examinations'!C:C, "No Data")</f>
        <v>7.4</v>
      </c>
      <c r="E1138" s="28" t="str">
        <f t="array" ref="E1138">_xlfn.XLOOKUP($A1138, 'Medical Examinations'!$A:$A, 'Medical Examinations'!D:D, "No Data")</f>
        <v>No</v>
      </c>
      <c r="F1138" s="28" t="str">
        <f t="array" ref="F1138">_xlfn.XLOOKUP($A1138, 'Medical Examinations'!$A:$A, 'Medical Examinations'!E:E, "No Data")</f>
        <v>No</v>
      </c>
      <c r="G1138" s="28" t="str">
        <f t="array" ref="G1138">_xlfn.XLOOKUP($A1138, 'Medical Examinations'!$A:$A, 'Medical Examinations'!F:F, "No Data")</f>
        <v>No</v>
      </c>
      <c r="H1138" s="28">
        <f t="array" ref="H1138">_xlfn.XLOOKUP($A1138, 'Medical Examinations'!$A:$A, 'Medical Examinations'!G:G, "No Data")</f>
        <v>0</v>
      </c>
      <c r="I1138" s="28" t="str">
        <f t="array" ref="I1138">_xlfn.XLOOKUP($A1138, 'Medical Examinations'!$A:$A, 'Medical Examinations'!H:H, "No Data")</f>
        <v>No</v>
      </c>
      <c r="J1138" s="28" t="str">
        <f t="array" ref="J1138">_xlfn.XLOOKUP($A1138, 'Medical Examinations'!$A:$A, 'Medical Examinations'!I:I, "No Data")</f>
        <v>Obesity</v>
      </c>
      <c r="K1138" s="28" t="str">
        <f t="array" ref="K1138">_xlfn.XLOOKUP($A1138, 'Hospitalisation Details'!$A:$A, 'Hospitalisation Details'!I:I, "No Data")</f>
        <v>tier - 1</v>
      </c>
      <c r="L1138" s="28" t="str">
        <f t="array" ref="L1138">_xlfn.XLOOKUP($A1138, 'Hospitalisation Details'!$A:$A, 'Hospitalisation Details'!J:J, "No Data")</f>
        <v>R1013</v>
      </c>
      <c r="M1138" s="28" t="str">
        <f t="array" ref="M1138">_xlfn.XLOOKUP($A1138, 'Hospitalisation Details'!$A:$A, 'Hospitalisation Details'!E:E, "No Data")</f>
        <v>03/10/71</v>
      </c>
      <c r="N1138" s="28">
        <f t="array" ref="N1138">_xlfn.XLOOKUP($A1138, 'Hospitalisation Details'!$A:$A, 'Hospitalisation Details'!K:K, "No Data")</f>
        <v>51</v>
      </c>
      <c r="O1138" s="33">
        <f t="array" ref="O1138">_xlfn.XLOOKUP($A1138, 'Hospitalisation Details'!$A:$A, 'Hospitalisation Details'!G:G, "No Data")</f>
        <v>9877.61</v>
      </c>
      <c r="P1138" s="28" t="str">
        <f t="array" ref="P1138">_xlfn.XLOOKUP($A1138, 'Hospitalisation Details'!$A:$A, 'Hospitalisation Details'!H:H, "No Data")</f>
        <v>tier - 2</v>
      </c>
    </row>
    <row r="1139">
      <c r="A1139" s="25" t="s">
        <v>3623</v>
      </c>
      <c r="B1139" s="28" t="str">
        <f t="array" ref="B1139">_xlfn.XLOOKUP($A1139, 'Customer Names'!$A:$A, 'Customer Names'!B:B, "No Data")</f>
        <v>Choi</v>
      </c>
      <c r="C1139" s="28">
        <f t="array" ref="C1139">_xlfn.XLOOKUP($A1139, 'Medical Examinations'!$A:$A, 'Medical Examinations'!B:B, "No Data")</f>
        <v>40.66</v>
      </c>
      <c r="D1139" s="28">
        <f t="array" ref="D1139">_xlfn.XLOOKUP($A1139, 'Medical Examinations'!$A:$A, 'Medical Examinations'!C:C, "No Data")</f>
        <v>10.08</v>
      </c>
      <c r="E1139" s="28" t="str">
        <f t="array" ref="E1139">_xlfn.XLOOKUP($A1139, 'Medical Examinations'!$A:$A, 'Medical Examinations'!D:D, "No Data")</f>
        <v>No</v>
      </c>
      <c r="F1139" s="28" t="str">
        <f t="array" ref="F1139">_xlfn.XLOOKUP($A1139, 'Medical Examinations'!$A:$A, 'Medical Examinations'!E:E, "No Data")</f>
        <v>No</v>
      </c>
      <c r="G1139" s="28" t="str">
        <f t="array" ref="G1139">_xlfn.XLOOKUP($A1139, 'Medical Examinations'!$A:$A, 'Medical Examinations'!F:F, "No Data")</f>
        <v>No</v>
      </c>
      <c r="H1139" s="28">
        <f t="array" ref="H1139">_xlfn.XLOOKUP($A1139, 'Medical Examinations'!$A:$A, 'Medical Examinations'!G:G, "No Data")</f>
        <v>0</v>
      </c>
      <c r="I1139" s="28" t="str">
        <f t="array" ref="I1139">_xlfn.XLOOKUP($A1139, 'Medical Examinations'!$A:$A, 'Medical Examinations'!H:H, "No Data")</f>
        <v>No</v>
      </c>
      <c r="J1139" s="28" t="str">
        <f t="array" ref="J1139">_xlfn.XLOOKUP($A1139, 'Medical Examinations'!$A:$A, 'Medical Examinations'!I:I, "No Data")</f>
        <v>Obesity</v>
      </c>
      <c r="K1139" s="28" t="str">
        <f t="array" ref="K1139">_xlfn.XLOOKUP($A1139, 'Hospitalisation Details'!$A:$A, 'Hospitalisation Details'!I:I, "No Data")</f>
        <v>tier - 3</v>
      </c>
      <c r="L1139" s="28" t="str">
        <f t="array" ref="L1139">_xlfn.XLOOKUP($A1139, 'Hospitalisation Details'!$A:$A, 'Hospitalisation Details'!J:J, "No Data")</f>
        <v>R1024</v>
      </c>
      <c r="M1139" s="28" t="str">
        <f t="array" ref="M1139">_xlfn.XLOOKUP($A1139, 'Hospitalisation Details'!$A:$A, 'Hospitalisation Details'!E:E, "No Data")</f>
        <v>03/07/71</v>
      </c>
      <c r="N1139" s="28">
        <f t="array" ref="N1139">_xlfn.XLOOKUP($A1139, 'Hospitalisation Details'!$A:$A, 'Hospitalisation Details'!K:K, "No Data")</f>
        <v>51</v>
      </c>
      <c r="O1139" s="33">
        <f t="array" ref="O1139">_xlfn.XLOOKUP($A1139, 'Hospitalisation Details'!$A:$A, 'Hospitalisation Details'!G:G, "No Data")</f>
        <v>9875.68</v>
      </c>
      <c r="P1139" s="28" t="str">
        <f t="array" ref="P1139">_xlfn.XLOOKUP($A1139, 'Hospitalisation Details'!$A:$A, 'Hospitalisation Details'!H:H, "No Data")</f>
        <v>tier - 2</v>
      </c>
    </row>
    <row r="1140">
      <c r="A1140" s="25" t="s">
        <v>3626</v>
      </c>
      <c r="B1140" s="28" t="str">
        <f t="array" ref="B1140">_xlfn.XLOOKUP($A1140, 'Customer Names'!$A:$A, 'Customer Names'!B:B, "No Data")</f>
        <v>Barnett</v>
      </c>
      <c r="C1140" s="28">
        <f t="array" ref="C1140">_xlfn.XLOOKUP($A1140, 'Medical Examinations'!$A:$A, 'Medical Examinations'!B:B, "No Data")</f>
        <v>34.2</v>
      </c>
      <c r="D1140" s="28">
        <f t="array" ref="D1140">_xlfn.XLOOKUP($A1140, 'Medical Examinations'!$A:$A, 'Medical Examinations'!C:C, "No Data")</f>
        <v>8.58</v>
      </c>
      <c r="E1140" s="28" t="str">
        <f t="array" ref="E1140">_xlfn.XLOOKUP($A1140, 'Medical Examinations'!$A:$A, 'Medical Examinations'!D:D, "No Data")</f>
        <v>No</v>
      </c>
      <c r="F1140" s="28" t="str">
        <f t="array" ref="F1140">_xlfn.XLOOKUP($A1140, 'Medical Examinations'!$A:$A, 'Medical Examinations'!E:E, "No Data")</f>
        <v>No</v>
      </c>
      <c r="G1140" s="28" t="str">
        <f t="array" ref="G1140">_xlfn.XLOOKUP($A1140, 'Medical Examinations'!$A:$A, 'Medical Examinations'!F:F, "No Data")</f>
        <v>No</v>
      </c>
      <c r="H1140" s="28">
        <f t="array" ref="H1140">_xlfn.XLOOKUP($A1140, 'Medical Examinations'!$A:$A, 'Medical Examinations'!G:G, "No Data")</f>
        <v>0</v>
      </c>
      <c r="I1140" s="28" t="str">
        <f t="array" ref="I1140">_xlfn.XLOOKUP($A1140, 'Medical Examinations'!$A:$A, 'Medical Examinations'!H:H, "No Data")</f>
        <v>No</v>
      </c>
      <c r="J1140" s="28" t="str">
        <f t="array" ref="J1140">_xlfn.XLOOKUP($A1140, 'Medical Examinations'!$A:$A, 'Medical Examinations'!I:I, "No Data")</f>
        <v>Obesity</v>
      </c>
      <c r="K1140" s="28" t="str">
        <f t="array" ref="K1140">_xlfn.XLOOKUP($A1140, 'Hospitalisation Details'!$A:$A, 'Hospitalisation Details'!I:I, "No Data")</f>
        <v>tier - 2</v>
      </c>
      <c r="L1140" s="28" t="str">
        <f t="array" ref="L1140">_xlfn.XLOOKUP($A1140, 'Hospitalisation Details'!$A:$A, 'Hospitalisation Details'!J:J, "No Data")</f>
        <v>R1011</v>
      </c>
      <c r="M1140" s="28" t="str">
        <f t="array" ref="M1140">_xlfn.XLOOKUP($A1140, 'Hospitalisation Details'!$A:$A, 'Hospitalisation Details'!E:E, "No Data")</f>
        <v>22/12/71</v>
      </c>
      <c r="N1140" s="28">
        <f t="array" ref="N1140">_xlfn.XLOOKUP($A1140, 'Hospitalisation Details'!$A:$A, 'Hospitalisation Details'!K:K, "No Data")</f>
        <v>51</v>
      </c>
      <c r="O1140" s="33">
        <f t="array" ref="O1140">_xlfn.XLOOKUP($A1140, 'Hospitalisation Details'!$A:$A, 'Hospitalisation Details'!G:G, "No Data")</f>
        <v>9872.7</v>
      </c>
      <c r="P1140" s="28" t="str">
        <f t="array" ref="P1140">_xlfn.XLOOKUP($A1140, 'Hospitalisation Details'!$A:$A, 'Hospitalisation Details'!H:H, "No Data")</f>
        <v>tier - 2</v>
      </c>
    </row>
    <row r="1141">
      <c r="A1141" s="25" t="s">
        <v>3629</v>
      </c>
      <c r="B1141" s="28" t="str">
        <f t="array" ref="B1141">_xlfn.XLOOKUP($A1141, 'Customer Names'!$A:$A, 'Customer Names'!B:B, "No Data")</f>
        <v>Proulx</v>
      </c>
      <c r="C1141" s="28">
        <f t="array" ref="C1141">_xlfn.XLOOKUP($A1141, 'Medical Examinations'!$A:$A, 'Medical Examinations'!B:B, "No Data")</f>
        <v>46.51</v>
      </c>
      <c r="D1141" s="28">
        <f t="array" ref="D1141">_xlfn.XLOOKUP($A1141, 'Medical Examinations'!$A:$A, 'Medical Examinations'!C:C, "No Data")</f>
        <v>5.84</v>
      </c>
      <c r="E1141" s="28" t="str">
        <f t="array" ref="E1141">_xlfn.XLOOKUP($A1141, 'Medical Examinations'!$A:$A, 'Medical Examinations'!D:D, "No Data")</f>
        <v>No</v>
      </c>
      <c r="F1141" s="28" t="str">
        <f t="array" ref="F1141">_xlfn.XLOOKUP($A1141, 'Medical Examinations'!$A:$A, 'Medical Examinations'!E:E, "No Data")</f>
        <v>No</v>
      </c>
      <c r="G1141" s="28" t="str">
        <f t="array" ref="G1141">_xlfn.XLOOKUP($A1141, 'Medical Examinations'!$A:$A, 'Medical Examinations'!F:F, "No Data")</f>
        <v>No</v>
      </c>
      <c r="H1141" s="28">
        <f t="array" ref="H1141">_xlfn.XLOOKUP($A1141, 'Medical Examinations'!$A:$A, 'Medical Examinations'!G:G, "No Data")</f>
        <v>1</v>
      </c>
      <c r="I1141" s="28" t="str">
        <f t="array" ref="I1141">_xlfn.XLOOKUP($A1141, 'Medical Examinations'!$A:$A, 'Medical Examinations'!H:H, "No Data")</f>
        <v>No</v>
      </c>
      <c r="J1141" s="28" t="str">
        <f t="array" ref="J1141">_xlfn.XLOOKUP($A1141, 'Medical Examinations'!$A:$A, 'Medical Examinations'!I:I, "No Data")</f>
        <v>Obesity</v>
      </c>
      <c r="K1141" s="28" t="str">
        <f t="array" ref="K1141">_xlfn.XLOOKUP($A1141, 'Hospitalisation Details'!$A:$A, 'Hospitalisation Details'!I:I, "No Data")</f>
        <v>tier - 2</v>
      </c>
      <c r="L1141" s="28" t="str">
        <f t="array" ref="L1141">_xlfn.XLOOKUP($A1141, 'Hospitalisation Details'!$A:$A, 'Hospitalisation Details'!J:J, "No Data")</f>
        <v>R1023</v>
      </c>
      <c r="M1141" s="28" t="str">
        <f t="array" ref="M1141">_xlfn.XLOOKUP($A1141, 'Hospitalisation Details'!$A:$A, 'Hospitalisation Details'!E:E, "No Data")</f>
        <v>06/07/98</v>
      </c>
      <c r="N1141" s="28">
        <f t="array" ref="N1141">_xlfn.XLOOKUP($A1141, 'Hospitalisation Details'!$A:$A, 'Hospitalisation Details'!K:K, "No Data")</f>
        <v>24</v>
      </c>
      <c r="O1141" s="33">
        <f t="array" ref="O1141">_xlfn.XLOOKUP($A1141, 'Hospitalisation Details'!$A:$A, 'Hospitalisation Details'!G:G, "No Data")</f>
        <v>9870.59</v>
      </c>
      <c r="P1141" s="28" t="str">
        <f t="array" ref="P1141">_xlfn.XLOOKUP($A1141, 'Hospitalisation Details'!$A:$A, 'Hospitalisation Details'!H:H, "No Data")</f>
        <v>tier - 2</v>
      </c>
    </row>
    <row r="1142">
      <c r="A1142" s="25" t="s">
        <v>3632</v>
      </c>
      <c r="B1142" s="28" t="str">
        <f t="array" ref="B1142">_xlfn.XLOOKUP($A1142, 'Customer Names'!$A:$A, 'Customer Names'!B:B, "No Data")</f>
        <v>Hamilton</v>
      </c>
      <c r="C1142" s="28">
        <f t="array" ref="C1142">_xlfn.XLOOKUP($A1142, 'Medical Examinations'!$A:$A, 'Medical Examinations'!B:B, "No Data")</f>
        <v>28.88</v>
      </c>
      <c r="D1142" s="28">
        <f t="array" ref="D1142">_xlfn.XLOOKUP($A1142, 'Medical Examinations'!$A:$A, 'Medical Examinations'!C:C, "No Data")</f>
        <v>4.86</v>
      </c>
      <c r="E1142" s="28" t="str">
        <f t="array" ref="E1142">_xlfn.XLOOKUP($A1142, 'Medical Examinations'!$A:$A, 'Medical Examinations'!D:D, "No Data")</f>
        <v>yes</v>
      </c>
      <c r="F1142" s="28" t="str">
        <f t="array" ref="F1142">_xlfn.XLOOKUP($A1142, 'Medical Examinations'!$A:$A, 'Medical Examinations'!E:E, "No Data")</f>
        <v>No</v>
      </c>
      <c r="G1142" s="28" t="str">
        <f t="array" ref="G1142">_xlfn.XLOOKUP($A1142, 'Medical Examinations'!$A:$A, 'Medical Examinations'!F:F, "No Data")</f>
        <v>Yes</v>
      </c>
      <c r="H1142" s="28">
        <f t="array" ref="H1142">_xlfn.XLOOKUP($A1142, 'Medical Examinations'!$A:$A, 'Medical Examinations'!G:G, "No Data")</f>
        <v>1</v>
      </c>
      <c r="I1142" s="28" t="str">
        <f t="array" ref="I1142">_xlfn.XLOOKUP($A1142, 'Medical Examinations'!$A:$A, 'Medical Examinations'!H:H, "No Data")</f>
        <v>No</v>
      </c>
      <c r="J1142" s="28" t="str">
        <f t="array" ref="J1142">_xlfn.XLOOKUP($A1142, 'Medical Examinations'!$A:$A, 'Medical Examinations'!I:I, "No Data")</f>
        <v>Overweight</v>
      </c>
      <c r="K1142" s="28" t="str">
        <f t="array" ref="K1142">_xlfn.XLOOKUP($A1142, 'Hospitalisation Details'!$A:$A, 'Hospitalisation Details'!I:I, "No Data")</f>
        <v>tier - 3</v>
      </c>
      <c r="L1142" s="28" t="str">
        <f t="array" ref="L1142">_xlfn.XLOOKUP($A1142, 'Hospitalisation Details'!$A:$A, 'Hospitalisation Details'!J:J, "No Data")</f>
        <v>R1012</v>
      </c>
      <c r="M1142" s="28" t="str">
        <f t="array" ref="M1142">_xlfn.XLOOKUP($A1142, 'Hospitalisation Details'!$A:$A, 'Hospitalisation Details'!E:E, "No Data")</f>
        <v>13/08/69</v>
      </c>
      <c r="N1142" s="28">
        <f t="array" ref="N1142">_xlfn.XLOOKUP($A1142, 'Hospitalisation Details'!$A:$A, 'Hospitalisation Details'!K:K, "No Data")</f>
        <v>53</v>
      </c>
      <c r="O1142" s="33">
        <f t="array" ref="O1142">_xlfn.XLOOKUP($A1142, 'Hospitalisation Details'!$A:$A, 'Hospitalisation Details'!G:G, "No Data")</f>
        <v>9869.81</v>
      </c>
      <c r="P1142" s="28" t="str">
        <f t="array" ref="P1142">_xlfn.XLOOKUP($A1142, 'Hospitalisation Details'!$A:$A, 'Hospitalisation Details'!H:H, "No Data")</f>
        <v>tier - 3</v>
      </c>
    </row>
    <row r="1143">
      <c r="A1143" s="25" t="s">
        <v>3633</v>
      </c>
      <c r="B1143" s="28" t="str">
        <f t="array" ref="B1143">_xlfn.XLOOKUP($A1143, 'Customer Names'!$A:$A, 'Customer Names'!B:B, "No Data")</f>
        <v>Lundine</v>
      </c>
      <c r="C1143" s="28">
        <f t="array" ref="C1143">_xlfn.XLOOKUP($A1143, 'Medical Examinations'!$A:$A, 'Medical Examinations'!B:B, "No Data")</f>
        <v>33.915</v>
      </c>
      <c r="D1143" s="28">
        <f t="array" ref="D1143">_xlfn.XLOOKUP($A1143, 'Medical Examinations'!$A:$A, 'Medical Examinations'!C:C, "No Data")</f>
        <v>11.52</v>
      </c>
      <c r="E1143" s="28" t="str">
        <f t="array" ref="E1143">_xlfn.XLOOKUP($A1143, 'Medical Examinations'!$A:$A, 'Medical Examinations'!D:D, "No Data")</f>
        <v>No</v>
      </c>
      <c r="F1143" s="28" t="str">
        <f t="array" ref="F1143">_xlfn.XLOOKUP($A1143, 'Medical Examinations'!$A:$A, 'Medical Examinations'!E:E, "No Data")</f>
        <v>No</v>
      </c>
      <c r="G1143" s="28" t="str">
        <f t="array" ref="G1143">_xlfn.XLOOKUP($A1143, 'Medical Examinations'!$A:$A, 'Medical Examinations'!F:F, "No Data")</f>
        <v>No</v>
      </c>
      <c r="H1143" s="28">
        <f t="array" ref="H1143">_xlfn.XLOOKUP($A1143, 'Medical Examinations'!$A:$A, 'Medical Examinations'!G:G, "No Data")</f>
        <v>0</v>
      </c>
      <c r="I1143" s="28" t="str">
        <f t="array" ref="I1143">_xlfn.XLOOKUP($A1143, 'Medical Examinations'!$A:$A, 'Medical Examinations'!H:H, "No Data")</f>
        <v>No</v>
      </c>
      <c r="J1143" s="28" t="str">
        <f t="array" ref="J1143">_xlfn.XLOOKUP($A1143, 'Medical Examinations'!$A:$A, 'Medical Examinations'!I:I, "No Data")</f>
        <v>Obesity</v>
      </c>
      <c r="K1143" s="28" t="str">
        <f t="array" ref="K1143">_xlfn.XLOOKUP($A1143, 'Hospitalisation Details'!$A:$A, 'Hospitalisation Details'!I:I, "No Data")</f>
        <v>tier - 3</v>
      </c>
      <c r="L1143" s="28" t="str">
        <f t="array" ref="L1143">_xlfn.XLOOKUP($A1143, 'Hospitalisation Details'!$A:$A, 'Hospitalisation Details'!J:J, "No Data")</f>
        <v>R1024</v>
      </c>
      <c r="M1143" s="28" t="str">
        <f t="array" ref="M1143">_xlfn.XLOOKUP($A1143, 'Hospitalisation Details'!$A:$A, 'Hospitalisation Details'!E:E, "No Data")</f>
        <v>09/11/71</v>
      </c>
      <c r="N1143" s="28">
        <f t="array" ref="N1143">_xlfn.XLOOKUP($A1143, 'Hospitalisation Details'!$A:$A, 'Hospitalisation Details'!K:K, "No Data")</f>
        <v>51</v>
      </c>
      <c r="O1143" s="33">
        <f t="array" ref="O1143">_xlfn.XLOOKUP($A1143, 'Hospitalisation Details'!$A:$A, 'Hospitalisation Details'!G:G, "No Data")</f>
        <v>9866.3</v>
      </c>
      <c r="P1143" s="28" t="str">
        <f t="array" ref="P1143">_xlfn.XLOOKUP($A1143, 'Hospitalisation Details'!$A:$A, 'Hospitalisation Details'!H:H, "No Data")</f>
        <v>tier - 2</v>
      </c>
    </row>
    <row r="1144">
      <c r="A1144" s="25" t="s">
        <v>3636</v>
      </c>
      <c r="B1144" s="28" t="str">
        <f t="array" ref="B1144">_xlfn.XLOOKUP($A1144, 'Customer Names'!$A:$A, 'Customer Names'!B:B, "No Data")</f>
        <v>Paullin</v>
      </c>
      <c r="C1144" s="28">
        <f t="array" ref="C1144">_xlfn.XLOOKUP($A1144, 'Medical Examinations'!$A:$A, 'Medical Examinations'!B:B, "No Data")</f>
        <v>24.32</v>
      </c>
      <c r="D1144" s="28">
        <f t="array" ref="D1144">_xlfn.XLOOKUP($A1144, 'Medical Examinations'!$A:$A, 'Medical Examinations'!C:C, "No Data")</f>
        <v>6.15</v>
      </c>
      <c r="E1144" s="28" t="str">
        <f t="array" ref="E1144">_xlfn.XLOOKUP($A1144, 'Medical Examinations'!$A:$A, 'Medical Examinations'!D:D, "No Data")</f>
        <v>yes</v>
      </c>
      <c r="F1144" s="28" t="str">
        <f t="array" ref="F1144">_xlfn.XLOOKUP($A1144, 'Medical Examinations'!$A:$A, 'Medical Examinations'!E:E, "No Data")</f>
        <v>No</v>
      </c>
      <c r="G1144" s="28" t="str">
        <f t="array" ref="G1144">_xlfn.XLOOKUP($A1144, 'Medical Examinations'!$A:$A, 'Medical Examinations'!F:F, "No Data")</f>
        <v>Yes</v>
      </c>
      <c r="H1144" s="28">
        <f t="array" ref="H1144">_xlfn.XLOOKUP($A1144, 'Medical Examinations'!$A:$A, 'Medical Examinations'!G:G, "No Data")</f>
        <v>1</v>
      </c>
      <c r="I1144" s="28" t="str">
        <f t="array" ref="I1144">_xlfn.XLOOKUP($A1144, 'Medical Examinations'!$A:$A, 'Medical Examinations'!H:H, "No Data")</f>
        <v>No</v>
      </c>
      <c r="J1144" s="28" t="str">
        <f t="array" ref="J1144">_xlfn.XLOOKUP($A1144, 'Medical Examinations'!$A:$A, 'Medical Examinations'!I:I, "No Data")</f>
        <v>Normal Weight</v>
      </c>
      <c r="K1144" s="28" t="str">
        <f t="array" ref="K1144">_xlfn.XLOOKUP($A1144, 'Hospitalisation Details'!$A:$A, 'Hospitalisation Details'!I:I, "No Data")</f>
        <v>tier - 3</v>
      </c>
      <c r="L1144" s="28" t="str">
        <f t="array" ref="L1144">_xlfn.XLOOKUP($A1144, 'Hospitalisation Details'!$A:$A, 'Hospitalisation Details'!J:J, "No Data")</f>
        <v>R1012</v>
      </c>
      <c r="M1144" s="28" t="str">
        <f t="array" ref="M1144">_xlfn.XLOOKUP($A1144, 'Hospitalisation Details'!$A:$A, 'Hospitalisation Details'!E:E, "No Data")</f>
        <v>20/10/69</v>
      </c>
      <c r="N1144" s="28">
        <f t="array" ref="N1144">_xlfn.XLOOKUP($A1144, 'Hospitalisation Details'!$A:$A, 'Hospitalisation Details'!K:K, "No Data")</f>
        <v>53</v>
      </c>
      <c r="O1144" s="33">
        <f t="array" ref="O1144">_xlfn.XLOOKUP($A1144, 'Hospitalisation Details'!$A:$A, 'Hospitalisation Details'!G:G, "No Data")</f>
        <v>9863.47</v>
      </c>
      <c r="P1144" s="28" t="str">
        <f t="array" ref="P1144">_xlfn.XLOOKUP($A1144, 'Hospitalisation Details'!$A:$A, 'Hospitalisation Details'!H:H, "No Data")</f>
        <v>tier - 3</v>
      </c>
    </row>
    <row r="1145">
      <c r="A1145" s="25" t="s">
        <v>3639</v>
      </c>
      <c r="B1145" s="28" t="str">
        <f t="array" ref="B1145">_xlfn.XLOOKUP($A1145, 'Customer Names'!$A:$A, 'Customer Names'!B:B, "No Data")</f>
        <v>Delucia</v>
      </c>
      <c r="C1145" s="28">
        <f t="array" ref="C1145">_xlfn.XLOOKUP($A1145, 'Medical Examinations'!$A:$A, 'Medical Examinations'!B:B, "No Data")</f>
        <v>25.8</v>
      </c>
      <c r="D1145" s="28">
        <f t="array" ref="D1145">_xlfn.XLOOKUP($A1145, 'Medical Examinations'!$A:$A, 'Medical Examinations'!C:C, "No Data")</f>
        <v>9.94</v>
      </c>
      <c r="E1145" s="28" t="str">
        <f t="array" ref="E1145">_xlfn.XLOOKUP($A1145, 'Medical Examinations'!$A:$A, 'Medical Examinations'!D:D, "No Data")</f>
        <v>No</v>
      </c>
      <c r="F1145" s="28" t="str">
        <f t="array" ref="F1145">_xlfn.XLOOKUP($A1145, 'Medical Examinations'!$A:$A, 'Medical Examinations'!E:E, "No Data")</f>
        <v>No</v>
      </c>
      <c r="G1145" s="28" t="str">
        <f t="array" ref="G1145">_xlfn.XLOOKUP($A1145, 'Medical Examinations'!$A:$A, 'Medical Examinations'!F:F, "No Data")</f>
        <v>No</v>
      </c>
      <c r="H1145" s="28">
        <f t="array" ref="H1145">_xlfn.XLOOKUP($A1145, 'Medical Examinations'!$A:$A, 'Medical Examinations'!G:G, "No Data")</f>
        <v>0</v>
      </c>
      <c r="I1145" s="28" t="str">
        <f t="array" ref="I1145">_xlfn.XLOOKUP($A1145, 'Medical Examinations'!$A:$A, 'Medical Examinations'!H:H, "No Data")</f>
        <v>No</v>
      </c>
      <c r="J1145" s="28" t="str">
        <f t="array" ref="J1145">_xlfn.XLOOKUP($A1145, 'Medical Examinations'!$A:$A, 'Medical Examinations'!I:I, "No Data")</f>
        <v>Overweight</v>
      </c>
      <c r="K1145" s="28" t="str">
        <f t="array" ref="K1145">_xlfn.XLOOKUP($A1145, 'Hospitalisation Details'!$A:$A, 'Hospitalisation Details'!I:I, "No Data")</f>
        <v>tier - 2</v>
      </c>
      <c r="L1145" s="28" t="str">
        <f t="array" ref="L1145">_xlfn.XLOOKUP($A1145, 'Hospitalisation Details'!$A:$A, 'Hospitalisation Details'!J:J, "No Data")</f>
        <v>R1011</v>
      </c>
      <c r="M1145" s="28" t="str">
        <f t="array" ref="M1145">_xlfn.XLOOKUP($A1145, 'Hospitalisation Details'!$A:$A, 'Hospitalisation Details'!E:E, "No Data")</f>
        <v>17/07/71</v>
      </c>
      <c r="N1145" s="28">
        <f t="array" ref="N1145">_xlfn.XLOOKUP($A1145, 'Hospitalisation Details'!$A:$A, 'Hospitalisation Details'!K:K, "No Data")</f>
        <v>51</v>
      </c>
      <c r="O1145" s="33">
        <f t="array" ref="O1145">_xlfn.XLOOKUP($A1145, 'Hospitalisation Details'!$A:$A, 'Hospitalisation Details'!G:G, "No Data")</f>
        <v>9861.03</v>
      </c>
      <c r="P1145" s="28" t="str">
        <f t="array" ref="P1145">_xlfn.XLOOKUP($A1145, 'Hospitalisation Details'!$A:$A, 'Hospitalisation Details'!H:H, "No Data")</f>
        <v>tier - 2</v>
      </c>
    </row>
    <row r="1146">
      <c r="A1146" s="25" t="s">
        <v>3642</v>
      </c>
      <c r="B1146" s="28" t="str">
        <f t="array" ref="B1146">_xlfn.XLOOKUP($A1146, 'Customer Names'!$A:$A, 'Customer Names'!B:B, "No Data")</f>
        <v>Valentine</v>
      </c>
      <c r="C1146" s="28">
        <f t="array" ref="C1146">_xlfn.XLOOKUP($A1146, 'Medical Examinations'!$A:$A, 'Medical Examinations'!B:B, "No Data")</f>
        <v>21.56</v>
      </c>
      <c r="D1146" s="28">
        <f t="array" ref="D1146">_xlfn.XLOOKUP($A1146, 'Medical Examinations'!$A:$A, 'Medical Examinations'!C:C, "No Data")</f>
        <v>10.56</v>
      </c>
      <c r="E1146" s="28" t="str">
        <f t="array" ref="E1146">_xlfn.XLOOKUP($A1146, 'Medical Examinations'!$A:$A, 'Medical Examinations'!D:D, "No Data")</f>
        <v>No</v>
      </c>
      <c r="F1146" s="28" t="str">
        <f t="array" ref="F1146">_xlfn.XLOOKUP($A1146, 'Medical Examinations'!$A:$A, 'Medical Examinations'!E:E, "No Data")</f>
        <v>No</v>
      </c>
      <c r="G1146" s="28" t="str">
        <f t="array" ref="G1146">_xlfn.XLOOKUP($A1146, 'Medical Examinations'!$A:$A, 'Medical Examinations'!F:F, "No Data")</f>
        <v>No</v>
      </c>
      <c r="H1146" s="28">
        <f t="array" ref="H1146">_xlfn.XLOOKUP($A1146, 'Medical Examinations'!$A:$A, 'Medical Examinations'!G:G, "No Data")</f>
        <v>0</v>
      </c>
      <c r="I1146" s="28" t="str">
        <f t="array" ref="I1146">_xlfn.XLOOKUP($A1146, 'Medical Examinations'!$A:$A, 'Medical Examinations'!H:H, "No Data")</f>
        <v>No</v>
      </c>
      <c r="J1146" s="28" t="str">
        <f t="array" ref="J1146">_xlfn.XLOOKUP($A1146, 'Medical Examinations'!$A:$A, 'Medical Examinations'!I:I, "No Data")</f>
        <v>Normal Weight</v>
      </c>
      <c r="K1146" s="28" t="str">
        <f t="array" ref="K1146">_xlfn.XLOOKUP($A1146, 'Hospitalisation Details'!$A:$A, 'Hospitalisation Details'!I:I, "No Data")</f>
        <v>tier - 3</v>
      </c>
      <c r="L1146" s="28" t="str">
        <f t="array" ref="L1146">_xlfn.XLOOKUP($A1146, 'Hospitalisation Details'!$A:$A, 'Hospitalisation Details'!J:J, "No Data")</f>
        <v>R1013</v>
      </c>
      <c r="M1146" s="28" t="str">
        <f t="array" ref="M1146">_xlfn.XLOOKUP($A1146, 'Hospitalisation Details'!$A:$A, 'Hospitalisation Details'!E:E, "No Data")</f>
        <v>23/10/71</v>
      </c>
      <c r="N1146" s="28">
        <f t="array" ref="N1146">_xlfn.XLOOKUP($A1146, 'Hospitalisation Details'!$A:$A, 'Hospitalisation Details'!K:K, "No Data")</f>
        <v>51</v>
      </c>
      <c r="O1146" s="33">
        <f t="array" ref="O1146">_xlfn.XLOOKUP($A1146, 'Hospitalisation Details'!$A:$A, 'Hospitalisation Details'!G:G, "No Data")</f>
        <v>9855.13</v>
      </c>
      <c r="P1146" s="28" t="str">
        <f t="array" ref="P1146">_xlfn.XLOOKUP($A1146, 'Hospitalisation Details'!$A:$A, 'Hospitalisation Details'!H:H, "No Data")</f>
        <v>tier - 2</v>
      </c>
    </row>
    <row r="1147">
      <c r="A1147" s="25" t="s">
        <v>3645</v>
      </c>
      <c r="B1147" s="28" t="str">
        <f t="array" ref="B1147">_xlfn.XLOOKUP($A1147, 'Customer Names'!$A:$A, 'Customer Names'!B:B, "No Data")</f>
        <v>Mohara</v>
      </c>
      <c r="C1147" s="28">
        <f t="array" ref="C1147">_xlfn.XLOOKUP($A1147, 'Medical Examinations'!$A:$A, 'Medical Examinations'!B:B, "No Data")</f>
        <v>31.6</v>
      </c>
      <c r="D1147" s="28">
        <f t="array" ref="D1147">_xlfn.XLOOKUP($A1147, 'Medical Examinations'!$A:$A, 'Medical Examinations'!C:C, "No Data")</f>
        <v>6.79</v>
      </c>
      <c r="E1147" s="28" t="str">
        <f t="array" ref="E1147">_xlfn.XLOOKUP($A1147, 'Medical Examinations'!$A:$A, 'Medical Examinations'!D:D, "No Data")</f>
        <v>No</v>
      </c>
      <c r="F1147" s="28" t="str">
        <f t="array" ref="F1147">_xlfn.XLOOKUP($A1147, 'Medical Examinations'!$A:$A, 'Medical Examinations'!E:E, "No Data")</f>
        <v>No</v>
      </c>
      <c r="G1147" s="28" t="str">
        <f t="array" ref="G1147">_xlfn.XLOOKUP($A1147, 'Medical Examinations'!$A:$A, 'Medical Examinations'!F:F, "No Data")</f>
        <v>No</v>
      </c>
      <c r="H1147" s="28">
        <f t="array" ref="H1147">_xlfn.XLOOKUP($A1147, 'Medical Examinations'!$A:$A, 'Medical Examinations'!G:G, "No Data")</f>
        <v>0</v>
      </c>
      <c r="I1147" s="28" t="str">
        <f t="array" ref="I1147">_xlfn.XLOOKUP($A1147, 'Medical Examinations'!$A:$A, 'Medical Examinations'!H:H, "No Data")</f>
        <v>No</v>
      </c>
      <c r="J1147" s="28" t="str">
        <f t="array" ref="J1147">_xlfn.XLOOKUP($A1147, 'Medical Examinations'!$A:$A, 'Medical Examinations'!I:I, "No Data")</f>
        <v>Obesity</v>
      </c>
      <c r="K1147" s="28" t="str">
        <f t="array" ref="K1147">_xlfn.XLOOKUP($A1147, 'Hospitalisation Details'!$A:$A, 'Hospitalisation Details'!I:I, "No Data")</f>
        <v>tier - 3</v>
      </c>
      <c r="L1147" s="28" t="str">
        <f t="array" ref="L1147">_xlfn.XLOOKUP($A1147, 'Hospitalisation Details'!$A:$A, 'Hospitalisation Details'!J:J, "No Data")</f>
        <v>R1011</v>
      </c>
      <c r="M1147" s="28" t="str">
        <f t="array" ref="M1147">_xlfn.XLOOKUP($A1147, 'Hospitalisation Details'!$A:$A, 'Hospitalisation Details'!E:E, "No Data")</f>
        <v>04/11/68</v>
      </c>
      <c r="N1147" s="28">
        <f t="array" ref="N1147">_xlfn.XLOOKUP($A1147, 'Hospitalisation Details'!$A:$A, 'Hospitalisation Details'!K:K, "No Data")</f>
        <v>54</v>
      </c>
      <c r="O1147" s="33">
        <f t="array" ref="O1147">_xlfn.XLOOKUP($A1147, 'Hospitalisation Details'!$A:$A, 'Hospitalisation Details'!G:G, "No Data")</f>
        <v>9850.43</v>
      </c>
      <c r="P1147" s="28" t="str">
        <f t="array" ref="P1147">_xlfn.XLOOKUP($A1147, 'Hospitalisation Details'!$A:$A, 'Hospitalisation Details'!H:H, "No Data")</f>
        <v>tier - 3</v>
      </c>
    </row>
    <row r="1148">
      <c r="A1148" s="25" t="s">
        <v>3648</v>
      </c>
      <c r="B1148" s="28" t="str">
        <f t="array" ref="B1148">_xlfn.XLOOKUP($A1148, 'Customer Names'!$A:$A, 'Customer Names'!B:B, "No Data")</f>
        <v>Fairbrother</v>
      </c>
      <c r="C1148" s="28">
        <f t="array" ref="C1148">_xlfn.XLOOKUP($A1148, 'Medical Examinations'!$A:$A, 'Medical Examinations'!B:B, "No Data")</f>
        <v>42.93</v>
      </c>
      <c r="D1148" s="28">
        <f t="array" ref="D1148">_xlfn.XLOOKUP($A1148, 'Medical Examinations'!$A:$A, 'Medical Examinations'!C:C, "No Data")</f>
        <v>4.8</v>
      </c>
      <c r="E1148" s="28" t="str">
        <f t="array" ref="E1148">_xlfn.XLOOKUP($A1148, 'Medical Examinations'!$A:$A, 'Medical Examinations'!D:D, "No Data")</f>
        <v>No</v>
      </c>
      <c r="F1148" s="28" t="str">
        <f t="array" ref="F1148">_xlfn.XLOOKUP($A1148, 'Medical Examinations'!$A:$A, 'Medical Examinations'!E:E, "No Data")</f>
        <v>No</v>
      </c>
      <c r="G1148" s="28" t="str">
        <f t="array" ref="G1148">_xlfn.XLOOKUP($A1148, 'Medical Examinations'!$A:$A, 'Medical Examinations'!F:F, "No Data")</f>
        <v>No</v>
      </c>
      <c r="H1148" s="28">
        <f t="array" ref="H1148">_xlfn.XLOOKUP($A1148, 'Medical Examinations'!$A:$A, 'Medical Examinations'!G:G, "No Data")</f>
        <v>1</v>
      </c>
      <c r="I1148" s="28" t="str">
        <f t="array" ref="I1148">_xlfn.XLOOKUP($A1148, 'Medical Examinations'!$A:$A, 'Medical Examinations'!H:H, "No Data")</f>
        <v>No</v>
      </c>
      <c r="J1148" s="28" t="str">
        <f t="array" ref="J1148">_xlfn.XLOOKUP($A1148, 'Medical Examinations'!$A:$A, 'Medical Examinations'!I:I, "No Data")</f>
        <v>Obesity</v>
      </c>
      <c r="K1148" s="28" t="str">
        <f t="array" ref="K1148">_xlfn.XLOOKUP($A1148, 'Hospitalisation Details'!$A:$A, 'Hospitalisation Details'!I:I, "No Data")</f>
        <v>tier - 1</v>
      </c>
      <c r="L1148" s="28" t="str">
        <f t="array" ref="L1148">_xlfn.XLOOKUP($A1148, 'Hospitalisation Details'!$A:$A, 'Hospitalisation Details'!J:J, "No Data")</f>
        <v>R1012</v>
      </c>
      <c r="M1148" s="28" t="str">
        <f t="array" ref="M1148">_xlfn.XLOOKUP($A1148, 'Hospitalisation Details'!$A:$A, 'Hospitalisation Details'!E:E, "No Data")</f>
        <v>13/08/92</v>
      </c>
      <c r="N1148" s="28">
        <f t="array" ref="N1148">_xlfn.XLOOKUP($A1148, 'Hospitalisation Details'!$A:$A, 'Hospitalisation Details'!K:K, "No Data")</f>
        <v>30</v>
      </c>
      <c r="O1148" s="33">
        <f t="array" ref="O1148">_xlfn.XLOOKUP($A1148, 'Hospitalisation Details'!$A:$A, 'Hospitalisation Details'!G:G, "No Data")</f>
        <v>9844.45</v>
      </c>
      <c r="P1148" s="28" t="str">
        <f t="array" ref="P1148">_xlfn.XLOOKUP($A1148, 'Hospitalisation Details'!$A:$A, 'Hospitalisation Details'!H:H, "No Data")</f>
        <v>tier - 2</v>
      </c>
    </row>
    <row r="1149">
      <c r="A1149" s="25" t="s">
        <v>3652</v>
      </c>
      <c r="B1149" s="28" t="str">
        <f t="array" ref="B1149">_xlfn.XLOOKUP($A1149, 'Customer Names'!$A:$A, 'Customer Names'!B:B, "No Data")</f>
        <v>Fagan</v>
      </c>
      <c r="C1149" s="28">
        <f t="array" ref="C1149">_xlfn.XLOOKUP($A1149, 'Medical Examinations'!$A:$A, 'Medical Examinations'!B:B, "No Data")</f>
        <v>26.72</v>
      </c>
      <c r="D1149" s="28">
        <f t="array" ref="D1149">_xlfn.XLOOKUP($A1149, 'Medical Examinations'!$A:$A, 'Medical Examinations'!C:C, "No Data")</f>
        <v>5.75</v>
      </c>
      <c r="E1149" s="28" t="str">
        <f t="array" ref="E1149">_xlfn.XLOOKUP($A1149, 'Medical Examinations'!$A:$A, 'Medical Examinations'!D:D, "No Data")</f>
        <v>No</v>
      </c>
      <c r="F1149" s="28" t="str">
        <f t="array" ref="F1149">_xlfn.XLOOKUP($A1149, 'Medical Examinations'!$A:$A, 'Medical Examinations'!E:E, "No Data")</f>
        <v>No</v>
      </c>
      <c r="G1149" s="28" t="str">
        <f t="array" ref="G1149">_xlfn.XLOOKUP($A1149, 'Medical Examinations'!$A:$A, 'Medical Examinations'!F:F, "No Data")</f>
        <v>No</v>
      </c>
      <c r="H1149" s="28">
        <f t="array" ref="H1149">_xlfn.XLOOKUP($A1149, 'Medical Examinations'!$A:$A, 'Medical Examinations'!G:G, "No Data")</f>
        <v>2</v>
      </c>
      <c r="I1149" s="28" t="str">
        <f t="array" ref="I1149">_xlfn.XLOOKUP($A1149, 'Medical Examinations'!$A:$A, 'Medical Examinations'!H:H, "No Data")</f>
        <v>No</v>
      </c>
      <c r="J1149" s="28" t="str">
        <f t="array" ref="J1149">_xlfn.XLOOKUP($A1149, 'Medical Examinations'!$A:$A, 'Medical Examinations'!I:I, "No Data")</f>
        <v>Overweight</v>
      </c>
      <c r="K1149" s="28" t="str">
        <f t="array" ref="K1149">_xlfn.XLOOKUP($A1149, 'Hospitalisation Details'!$A:$A, 'Hospitalisation Details'!I:I, "No Data")</f>
        <v>tier - 3</v>
      </c>
      <c r="L1149" s="28" t="str">
        <f t="array" ref="L1149">_xlfn.XLOOKUP($A1149, 'Hospitalisation Details'!$A:$A, 'Hospitalisation Details'!J:J, "No Data")</f>
        <v>R1021</v>
      </c>
      <c r="M1149" s="28" t="str">
        <f t="array" ref="M1149">_xlfn.XLOOKUP($A1149, 'Hospitalisation Details'!$A:$A, 'Hospitalisation Details'!E:E, "No Data")</f>
        <v>26/09/72</v>
      </c>
      <c r="N1149" s="28">
        <f t="array" ref="N1149">_xlfn.XLOOKUP($A1149, 'Hospitalisation Details'!$A:$A, 'Hospitalisation Details'!K:K, "No Data")</f>
        <v>50</v>
      </c>
      <c r="O1149" s="33">
        <f t="array" ref="O1149">_xlfn.XLOOKUP($A1149, 'Hospitalisation Details'!$A:$A, 'Hospitalisation Details'!G:G, "No Data")</f>
        <v>9836.21</v>
      </c>
      <c r="P1149" s="28" t="str">
        <f t="array" ref="P1149">_xlfn.XLOOKUP($A1149, 'Hospitalisation Details'!$A:$A, 'Hospitalisation Details'!H:H, "No Data")</f>
        <v>tier - 2</v>
      </c>
    </row>
    <row r="1150">
      <c r="A1150" s="25" t="s">
        <v>3654</v>
      </c>
      <c r="B1150" s="28" t="str">
        <f t="array" ref="B1150">_xlfn.XLOOKUP($A1150, 'Customer Names'!$A:$A, 'Customer Names'!B:B, "No Data")</f>
        <v>Toth</v>
      </c>
      <c r="C1150" s="28">
        <f t="array" ref="C1150">_xlfn.XLOOKUP($A1150, 'Medical Examinations'!$A:$A, 'Medical Examinations'!B:B, "No Data")</f>
        <v>26.67</v>
      </c>
      <c r="D1150" s="28">
        <f t="array" ref="D1150">_xlfn.XLOOKUP($A1150, 'Medical Examinations'!$A:$A, 'Medical Examinations'!C:C, "No Data")</f>
        <v>5.81</v>
      </c>
      <c r="E1150" s="28" t="str">
        <f t="array" ref="E1150">_xlfn.XLOOKUP($A1150, 'Medical Examinations'!$A:$A, 'Medical Examinations'!D:D, "No Data")</f>
        <v>No</v>
      </c>
      <c r="F1150" s="28" t="str">
        <f t="array" ref="F1150">_xlfn.XLOOKUP($A1150, 'Medical Examinations'!$A:$A, 'Medical Examinations'!E:E, "No Data")</f>
        <v>No</v>
      </c>
      <c r="G1150" s="28" t="str">
        <f t="array" ref="G1150">_xlfn.XLOOKUP($A1150, 'Medical Examinations'!$A:$A, 'Medical Examinations'!F:F, "No Data")</f>
        <v>No</v>
      </c>
      <c r="H1150" s="28">
        <f t="array" ref="H1150">_xlfn.XLOOKUP($A1150, 'Medical Examinations'!$A:$A, 'Medical Examinations'!G:G, "No Data")</f>
        <v>2</v>
      </c>
      <c r="I1150" s="28" t="str">
        <f t="array" ref="I1150">_xlfn.XLOOKUP($A1150, 'Medical Examinations'!$A:$A, 'Medical Examinations'!H:H, "No Data")</f>
        <v>No</v>
      </c>
      <c r="J1150" s="28" t="str">
        <f t="array" ref="J1150">_xlfn.XLOOKUP($A1150, 'Medical Examinations'!$A:$A, 'Medical Examinations'!I:I, "No Data")</f>
        <v>Overweight</v>
      </c>
      <c r="K1150" s="28" t="str">
        <f t="array" ref="K1150">_xlfn.XLOOKUP($A1150, 'Hospitalisation Details'!$A:$A, 'Hospitalisation Details'!I:I, "No Data")</f>
        <v>tier - 2</v>
      </c>
      <c r="L1150" s="28" t="str">
        <f t="array" ref="L1150">_xlfn.XLOOKUP($A1150, 'Hospitalisation Details'!$A:$A, 'Hospitalisation Details'!J:J, "No Data")</f>
        <v>R1021</v>
      </c>
      <c r="M1150" s="28" t="str">
        <f t="array" ref="M1150">_xlfn.XLOOKUP($A1150, 'Hospitalisation Details'!$A:$A, 'Hospitalisation Details'!E:E, "No Data")</f>
        <v>28/06/72</v>
      </c>
      <c r="N1150" s="28">
        <f t="array" ref="N1150">_xlfn.XLOOKUP($A1150, 'Hospitalisation Details'!$A:$A, 'Hospitalisation Details'!K:K, "No Data")</f>
        <v>50</v>
      </c>
      <c r="O1150" s="33">
        <f t="array" ref="O1150">_xlfn.XLOOKUP($A1150, 'Hospitalisation Details'!$A:$A, 'Hospitalisation Details'!G:G, "No Data")</f>
        <v>9819.25</v>
      </c>
      <c r="P1150" s="28" t="str">
        <f t="array" ref="P1150">_xlfn.XLOOKUP($A1150, 'Hospitalisation Details'!$A:$A, 'Hospitalisation Details'!H:H, "No Data")</f>
        <v>tier - 2</v>
      </c>
    </row>
    <row r="1151">
      <c r="A1151" s="25" t="s">
        <v>3657</v>
      </c>
      <c r="B1151" s="28" t="str">
        <f t="array" ref="B1151">_xlfn.XLOOKUP($A1151, 'Customer Names'!$A:$A, 'Customer Names'!B:B, "No Data")</f>
        <v>Guinn</v>
      </c>
      <c r="C1151" s="28">
        <f t="array" ref="C1151">_xlfn.XLOOKUP($A1151, 'Medical Examinations'!$A:$A, 'Medical Examinations'!B:B, "No Data")</f>
        <v>42.68</v>
      </c>
      <c r="D1151" s="28">
        <f t="array" ref="D1151">_xlfn.XLOOKUP($A1151, 'Medical Examinations'!$A:$A, 'Medical Examinations'!C:C, "No Data")</f>
        <v>9.28</v>
      </c>
      <c r="E1151" s="28" t="str">
        <f t="array" ref="E1151">_xlfn.XLOOKUP($A1151, 'Medical Examinations'!$A:$A, 'Medical Examinations'!D:D, "No Data")</f>
        <v>No</v>
      </c>
      <c r="F1151" s="28" t="str">
        <f t="array" ref="F1151">_xlfn.XLOOKUP($A1151, 'Medical Examinations'!$A:$A, 'Medical Examinations'!E:E, "No Data")</f>
        <v>No</v>
      </c>
      <c r="G1151" s="28" t="str">
        <f t="array" ref="G1151">_xlfn.XLOOKUP($A1151, 'Medical Examinations'!$A:$A, 'Medical Examinations'!F:F, "No Data")</f>
        <v>No</v>
      </c>
      <c r="H1151" s="28">
        <f t="array" ref="H1151">_xlfn.XLOOKUP($A1151, 'Medical Examinations'!$A:$A, 'Medical Examinations'!G:G, "No Data")</f>
        <v>2</v>
      </c>
      <c r="I1151" s="28" t="str">
        <f t="array" ref="I1151">_xlfn.XLOOKUP($A1151, 'Medical Examinations'!$A:$A, 'Medical Examinations'!H:H, "No Data")</f>
        <v>No</v>
      </c>
      <c r="J1151" s="28" t="str">
        <f t="array" ref="J1151">_xlfn.XLOOKUP($A1151, 'Medical Examinations'!$A:$A, 'Medical Examinations'!I:I, "No Data")</f>
        <v>Obesity</v>
      </c>
      <c r="K1151" s="28" t="str">
        <f t="array" ref="K1151">_xlfn.XLOOKUP($A1151, 'Hospitalisation Details'!$A:$A, 'Hospitalisation Details'!I:I, "No Data")</f>
        <v>tier - 1</v>
      </c>
      <c r="L1151" s="28" t="str">
        <f t="array" ref="L1151">_xlfn.XLOOKUP($A1151, 'Hospitalisation Details'!$A:$A, 'Hospitalisation Details'!J:J, "No Data")</f>
        <v>R1013</v>
      </c>
      <c r="M1151" s="28" t="str">
        <f t="array" ref="M1151">_xlfn.XLOOKUP($A1151, 'Hospitalisation Details'!$A:$A, 'Hospitalisation Details'!E:E, "No Data")</f>
        <v>17/09/73</v>
      </c>
      <c r="N1151" s="28">
        <f t="array" ref="N1151">_xlfn.XLOOKUP($A1151, 'Hospitalisation Details'!$A:$A, 'Hospitalisation Details'!K:K, "No Data")</f>
        <v>49</v>
      </c>
      <c r="O1151" s="33">
        <f t="array" ref="O1151">_xlfn.XLOOKUP($A1151, 'Hospitalisation Details'!$A:$A, 'Hospitalisation Details'!G:G, "No Data")</f>
        <v>9800.89</v>
      </c>
      <c r="P1151" s="28" t="str">
        <f t="array" ref="P1151">_xlfn.XLOOKUP($A1151, 'Hospitalisation Details'!$A:$A, 'Hospitalisation Details'!H:H, "No Data")</f>
        <v>tier - 2</v>
      </c>
    </row>
    <row r="1152">
      <c r="A1152" s="25" t="s">
        <v>3660</v>
      </c>
      <c r="B1152" s="28" t="str">
        <f t="array" ref="B1152">_xlfn.XLOOKUP($A1152, 'Customer Names'!$A:$A, 'Customer Names'!B:B, "No Data")</f>
        <v>Rogers</v>
      </c>
      <c r="C1152" s="28">
        <f t="array" ref="C1152">_xlfn.XLOOKUP($A1152, 'Medical Examinations'!$A:$A, 'Medical Examinations'!B:B, "No Data")</f>
        <v>24.31</v>
      </c>
      <c r="D1152" s="28">
        <f t="array" ref="D1152">_xlfn.XLOOKUP($A1152, 'Medical Examinations'!$A:$A, 'Medical Examinations'!C:C, "No Data")</f>
        <v>6.37</v>
      </c>
      <c r="E1152" s="28" t="str">
        <f t="array" ref="E1152">_xlfn.XLOOKUP($A1152, 'Medical Examinations'!$A:$A, 'Medical Examinations'!D:D, "No Data")</f>
        <v>No</v>
      </c>
      <c r="F1152" s="28" t="str">
        <f t="array" ref="F1152">_xlfn.XLOOKUP($A1152, 'Medical Examinations'!$A:$A, 'Medical Examinations'!E:E, "No Data")</f>
        <v>No</v>
      </c>
      <c r="G1152" s="28" t="str">
        <f t="array" ref="G1152">_xlfn.XLOOKUP($A1152, 'Medical Examinations'!$A:$A, 'Medical Examinations'!F:F, "No Data")</f>
        <v>No</v>
      </c>
      <c r="H1152" s="28">
        <f t="array" ref="H1152">_xlfn.XLOOKUP($A1152, 'Medical Examinations'!$A:$A, 'Medical Examinations'!G:G, "No Data")</f>
        <v>0</v>
      </c>
      <c r="I1152" s="28" t="str">
        <f t="array" ref="I1152">_xlfn.XLOOKUP($A1152, 'Medical Examinations'!$A:$A, 'Medical Examinations'!H:H, "No Data")</f>
        <v>No</v>
      </c>
      <c r="J1152" s="28" t="str">
        <f t="array" ref="J1152">_xlfn.XLOOKUP($A1152, 'Medical Examinations'!$A:$A, 'Medical Examinations'!I:I, "No Data")</f>
        <v>Normal Weight</v>
      </c>
      <c r="K1152" s="28" t="str">
        <f t="array" ref="K1152">_xlfn.XLOOKUP($A1152, 'Hospitalisation Details'!$A:$A, 'Hospitalisation Details'!I:I, "No Data")</f>
        <v>tier - 2</v>
      </c>
      <c r="L1152" s="28" t="str">
        <f t="array" ref="L1152">_xlfn.XLOOKUP($A1152, 'Hospitalisation Details'!$A:$A, 'Hospitalisation Details'!J:J, "No Data")</f>
        <v>R1013</v>
      </c>
      <c r="M1152" s="28" t="str">
        <f t="array" ref="M1152">_xlfn.XLOOKUP($A1152, 'Hospitalisation Details'!$A:$A, 'Hospitalisation Details'!E:E, "No Data")</f>
        <v>07/06/77</v>
      </c>
      <c r="N1152" s="28">
        <f t="array" ref="N1152">_xlfn.XLOOKUP($A1152, 'Hospitalisation Details'!$A:$A, 'Hospitalisation Details'!K:K, "No Data")</f>
        <v>46</v>
      </c>
      <c r="O1152" s="33">
        <f t="array" ref="O1152">_xlfn.XLOOKUP($A1152, 'Hospitalisation Details'!$A:$A, 'Hospitalisation Details'!G:G, "No Data")</f>
        <v>9788.87</v>
      </c>
      <c r="P1152" s="28" t="str">
        <f t="array" ref="P1152">_xlfn.XLOOKUP($A1152, 'Hospitalisation Details'!$A:$A, 'Hospitalisation Details'!H:H, "No Data")</f>
        <v>tier - 3</v>
      </c>
    </row>
    <row r="1153">
      <c r="A1153" s="25" t="s">
        <v>3663</v>
      </c>
      <c r="B1153" s="28" t="str">
        <f t="array" ref="B1153">_xlfn.XLOOKUP($A1153, 'Customer Names'!$A:$A, 'Customer Names'!B:B, "No Data")</f>
        <v>Diviney</v>
      </c>
      <c r="C1153" s="28">
        <f t="array" ref="C1153">_xlfn.XLOOKUP($A1153, 'Medical Examinations'!$A:$A, 'Medical Examinations'!B:B, "No Data")</f>
        <v>44.75</v>
      </c>
      <c r="D1153" s="28">
        <f t="array" ref="D1153">_xlfn.XLOOKUP($A1153, 'Medical Examinations'!$A:$A, 'Medical Examinations'!C:C, "No Data")</f>
        <v>5.09</v>
      </c>
      <c r="E1153" s="28" t="str">
        <f t="array" ref="E1153">_xlfn.XLOOKUP($A1153, 'Medical Examinations'!$A:$A, 'Medical Examinations'!D:D, "No Data")</f>
        <v>yes</v>
      </c>
      <c r="F1153" s="28" t="str">
        <f t="array" ref="F1153">_xlfn.XLOOKUP($A1153, 'Medical Examinations'!$A:$A, 'Medical Examinations'!E:E, "No Data")</f>
        <v>No</v>
      </c>
      <c r="G1153" s="28" t="str">
        <f t="array" ref="G1153">_xlfn.XLOOKUP($A1153, 'Medical Examinations'!$A:$A, 'Medical Examinations'!F:F, "No Data")</f>
        <v>No</v>
      </c>
      <c r="H1153" s="28">
        <f t="array" ref="H1153">_xlfn.XLOOKUP($A1153, 'Medical Examinations'!$A:$A, 'Medical Examinations'!G:G, "No Data")</f>
        <v>0</v>
      </c>
      <c r="I1153" s="28" t="str">
        <f t="array" ref="I1153">_xlfn.XLOOKUP($A1153, 'Medical Examinations'!$A:$A, 'Medical Examinations'!H:H, "No Data")</f>
        <v>No</v>
      </c>
      <c r="J1153" s="28" t="str">
        <f t="array" ref="J1153">_xlfn.XLOOKUP($A1153, 'Medical Examinations'!$A:$A, 'Medical Examinations'!I:I, "No Data")</f>
        <v>Obesity</v>
      </c>
      <c r="K1153" s="28" t="str">
        <f t="array" ref="K1153">_xlfn.XLOOKUP($A1153, 'Hospitalisation Details'!$A:$A, 'Hospitalisation Details'!I:I, "No Data")</f>
        <v>tier - 3</v>
      </c>
      <c r="L1153" s="28" t="str">
        <f t="array" ref="L1153">_xlfn.XLOOKUP($A1153, 'Hospitalisation Details'!$A:$A, 'Hospitalisation Details'!J:J, "No Data")</f>
        <v>R1023</v>
      </c>
      <c r="M1153" s="28" t="str">
        <f t="array" ref="M1153">_xlfn.XLOOKUP($A1153, 'Hospitalisation Details'!$A:$A, 'Hospitalisation Details'!E:E, "No Data")</f>
        <v>08/08/96</v>
      </c>
      <c r="N1153" s="28">
        <f t="array" ref="N1153">_xlfn.XLOOKUP($A1153, 'Hospitalisation Details'!$A:$A, 'Hospitalisation Details'!K:K, "No Data")</f>
        <v>26</v>
      </c>
      <c r="O1153" s="33">
        <f t="array" ref="O1153">_xlfn.XLOOKUP($A1153, 'Hospitalisation Details'!$A:$A, 'Hospitalisation Details'!G:G, "No Data")</f>
        <v>9787.32</v>
      </c>
      <c r="P1153" s="28" t="str">
        <f t="array" ref="P1153">_xlfn.XLOOKUP($A1153, 'Hospitalisation Details'!$A:$A, 'Hospitalisation Details'!H:H, "No Data")</f>
        <v>tier - 2</v>
      </c>
    </row>
    <row r="1154">
      <c r="A1154" s="25" t="s">
        <v>3666</v>
      </c>
      <c r="B1154" s="28" t="str">
        <f t="array" ref="B1154">_xlfn.XLOOKUP($A1154, 'Customer Names'!$A:$A, 'Customer Names'!B:B, "No Data")</f>
        <v>Marlatt</v>
      </c>
      <c r="C1154" s="28">
        <f t="array" ref="C1154">_xlfn.XLOOKUP($A1154, 'Medical Examinations'!$A:$A, 'Medical Examinations'!B:B, "No Data")</f>
        <v>30.78</v>
      </c>
      <c r="D1154" s="28">
        <f t="array" ref="D1154">_xlfn.XLOOKUP($A1154, 'Medical Examinations'!$A:$A, 'Medical Examinations'!C:C, "No Data")</f>
        <v>7.94</v>
      </c>
      <c r="E1154" s="28" t="str">
        <f t="array" ref="E1154">_xlfn.XLOOKUP($A1154, 'Medical Examinations'!$A:$A, 'Medical Examinations'!D:D, "No Data")</f>
        <v>No</v>
      </c>
      <c r="F1154" s="28" t="str">
        <f t="array" ref="F1154">_xlfn.XLOOKUP($A1154, 'Medical Examinations'!$A:$A, 'Medical Examinations'!E:E, "No Data")</f>
        <v>No</v>
      </c>
      <c r="G1154" s="28" t="str">
        <f t="array" ref="G1154">_xlfn.XLOOKUP($A1154, 'Medical Examinations'!$A:$A, 'Medical Examinations'!F:F, "No Data")</f>
        <v>No</v>
      </c>
      <c r="H1154" s="28">
        <f t="array" ref="H1154">_xlfn.XLOOKUP($A1154, 'Medical Examinations'!$A:$A, 'Medical Examinations'!G:G, "No Data")</f>
        <v>2</v>
      </c>
      <c r="I1154" s="28" t="str">
        <f t="array" ref="I1154">_xlfn.XLOOKUP($A1154, 'Medical Examinations'!$A:$A, 'Medical Examinations'!H:H, "No Data")</f>
        <v>No</v>
      </c>
      <c r="J1154" s="28" t="str">
        <f t="array" ref="J1154">_xlfn.XLOOKUP($A1154, 'Medical Examinations'!$A:$A, 'Medical Examinations'!I:I, "No Data")</f>
        <v>Obesity</v>
      </c>
      <c r="K1154" s="28" t="str">
        <f t="array" ref="K1154">_xlfn.XLOOKUP($A1154, 'Hospitalisation Details'!$A:$A, 'Hospitalisation Details'!I:I, "No Data")</f>
        <v>tier - 2</v>
      </c>
      <c r="L1154" s="28" t="str">
        <f t="array" ref="L1154">_xlfn.XLOOKUP($A1154, 'Hospitalisation Details'!$A:$A, 'Hospitalisation Details'!J:J, "No Data")</f>
        <v>R1024</v>
      </c>
      <c r="M1154" s="28" t="str">
        <f t="array" ref="M1154">_xlfn.XLOOKUP($A1154, 'Hospitalisation Details'!$A:$A, 'Hospitalisation Details'!E:E, "No Data")</f>
        <v>07/07/73</v>
      </c>
      <c r="N1154" s="28">
        <f t="array" ref="N1154">_xlfn.XLOOKUP($A1154, 'Hospitalisation Details'!$A:$A, 'Hospitalisation Details'!K:K, "No Data")</f>
        <v>49</v>
      </c>
      <c r="O1154" s="33">
        <f t="array" ref="O1154">_xlfn.XLOOKUP($A1154, 'Hospitalisation Details'!$A:$A, 'Hospitalisation Details'!G:G, "No Data")</f>
        <v>9778.35</v>
      </c>
      <c r="P1154" s="28" t="str">
        <f t="array" ref="P1154">_xlfn.XLOOKUP($A1154, 'Hospitalisation Details'!$A:$A, 'Hospitalisation Details'!H:H, "No Data")</f>
        <v>tier - 2</v>
      </c>
    </row>
    <row r="1155">
      <c r="A1155" s="25" t="s">
        <v>3669</v>
      </c>
      <c r="B1155" s="28" t="str">
        <f t="array" ref="B1155">_xlfn.XLOOKUP($A1155, 'Customer Names'!$A:$A, 'Customer Names'!B:B, "No Data")</f>
        <v>Ohler</v>
      </c>
      <c r="C1155" s="28">
        <f t="array" ref="C1155">_xlfn.XLOOKUP($A1155, 'Medical Examinations'!$A:$A, 'Medical Examinations'!B:B, "No Data")</f>
        <v>21.86</v>
      </c>
      <c r="D1155" s="28">
        <f t="array" ref="D1155">_xlfn.XLOOKUP($A1155, 'Medical Examinations'!$A:$A, 'Medical Examinations'!C:C, "No Data")</f>
        <v>10.95</v>
      </c>
      <c r="E1155" s="28" t="str">
        <f t="array" ref="E1155">_xlfn.XLOOKUP($A1155, 'Medical Examinations'!$A:$A, 'Medical Examinations'!D:D, "No Data")</f>
        <v>No</v>
      </c>
      <c r="F1155" s="28" t="str">
        <f t="array" ref="F1155">_xlfn.XLOOKUP($A1155, 'Medical Examinations'!$A:$A, 'Medical Examinations'!E:E, "No Data")</f>
        <v>No</v>
      </c>
      <c r="G1155" s="28" t="str">
        <f t="array" ref="G1155">_xlfn.XLOOKUP($A1155, 'Medical Examinations'!$A:$A, 'Medical Examinations'!F:F, "No Data")</f>
        <v>No</v>
      </c>
      <c r="H1155" s="28">
        <f t="array" ref="H1155">_xlfn.XLOOKUP($A1155, 'Medical Examinations'!$A:$A, 'Medical Examinations'!G:G, "No Data")</f>
        <v>0</v>
      </c>
      <c r="I1155" s="28" t="str">
        <f t="array" ref="I1155">_xlfn.XLOOKUP($A1155, 'Medical Examinations'!$A:$A, 'Medical Examinations'!H:H, "No Data")</f>
        <v>No</v>
      </c>
      <c r="J1155" s="28" t="str">
        <f t="array" ref="J1155">_xlfn.XLOOKUP($A1155, 'Medical Examinations'!$A:$A, 'Medical Examinations'!I:I, "No Data")</f>
        <v>Normal Weight</v>
      </c>
      <c r="K1155" s="28" t="str">
        <f t="array" ref="K1155">_xlfn.XLOOKUP($A1155, 'Hospitalisation Details'!$A:$A, 'Hospitalisation Details'!I:I, "No Data")</f>
        <v>tier - 1</v>
      </c>
      <c r="L1155" s="28" t="str">
        <f t="array" ref="L1155">_xlfn.XLOOKUP($A1155, 'Hospitalisation Details'!$A:$A, 'Hospitalisation Details'!J:J, "No Data")</f>
        <v>R1012</v>
      </c>
      <c r="M1155" s="28" t="str">
        <f t="array" ref="M1155">_xlfn.XLOOKUP($A1155, 'Hospitalisation Details'!$A:$A, 'Hospitalisation Details'!E:E, "No Data")</f>
        <v>05/09/65</v>
      </c>
      <c r="N1155" s="28">
        <f t="array" ref="N1155">_xlfn.XLOOKUP($A1155, 'Hospitalisation Details'!$A:$A, 'Hospitalisation Details'!K:K, "No Data")</f>
        <v>57</v>
      </c>
      <c r="O1155" s="33">
        <f t="array" ref="O1155">_xlfn.XLOOKUP($A1155, 'Hospitalisation Details'!$A:$A, 'Hospitalisation Details'!G:G, "No Data")</f>
        <v>9764.08</v>
      </c>
      <c r="P1155" s="28" t="str">
        <f t="array" ref="P1155">_xlfn.XLOOKUP($A1155, 'Hospitalisation Details'!$A:$A, 'Hospitalisation Details'!H:H, "No Data")</f>
        <v>tier - 3</v>
      </c>
    </row>
    <row r="1156">
      <c r="A1156" s="25" t="s">
        <v>3672</v>
      </c>
      <c r="B1156" s="28" t="str">
        <f t="array" ref="B1156">_xlfn.XLOOKUP($A1156, 'Customer Names'!$A:$A, 'Customer Names'!B:B, "No Data")</f>
        <v>Mossler</v>
      </c>
      <c r="C1156" s="28">
        <f t="array" ref="C1156">_xlfn.XLOOKUP($A1156, 'Medical Examinations'!$A:$A, 'Medical Examinations'!B:B, "No Data")</f>
        <v>49.09</v>
      </c>
      <c r="D1156" s="28">
        <f t="array" ref="D1156">_xlfn.XLOOKUP($A1156, 'Medical Examinations'!$A:$A, 'Medical Examinations'!C:C, "No Data")</f>
        <v>6.3</v>
      </c>
      <c r="E1156" s="28" t="str">
        <f t="array" ref="E1156">_xlfn.XLOOKUP($A1156, 'Medical Examinations'!$A:$A, 'Medical Examinations'!D:D, "No Data")</f>
        <v>yes</v>
      </c>
      <c r="F1156" s="28" t="str">
        <f t="array" ref="F1156">_xlfn.XLOOKUP($A1156, 'Medical Examinations'!$A:$A, 'Medical Examinations'!E:E, "No Data")</f>
        <v>No</v>
      </c>
      <c r="G1156" s="28" t="str">
        <f t="array" ref="G1156">_xlfn.XLOOKUP($A1156, 'Medical Examinations'!$A:$A, 'Medical Examinations'!F:F, "No Data")</f>
        <v>No</v>
      </c>
      <c r="H1156" s="28">
        <f t="array" ref="H1156">_xlfn.XLOOKUP($A1156, 'Medical Examinations'!$A:$A, 'Medical Examinations'!G:G, "No Data")</f>
        <v>0</v>
      </c>
      <c r="I1156" s="28" t="str">
        <f t="array" ref="I1156">_xlfn.XLOOKUP($A1156, 'Medical Examinations'!$A:$A, 'Medical Examinations'!H:H, "No Data")</f>
        <v>No</v>
      </c>
      <c r="J1156" s="28" t="str">
        <f t="array" ref="J1156">_xlfn.XLOOKUP($A1156, 'Medical Examinations'!$A:$A, 'Medical Examinations'!I:I, "No Data")</f>
        <v>Obesity</v>
      </c>
      <c r="K1156" s="28" t="str">
        <f t="array" ref="K1156">_xlfn.XLOOKUP($A1156, 'Hospitalisation Details'!$A:$A, 'Hospitalisation Details'!I:I, "No Data")</f>
        <v>tier - 2</v>
      </c>
      <c r="L1156" s="28" t="str">
        <f t="array" ref="L1156">_xlfn.XLOOKUP($A1156, 'Hospitalisation Details'!$A:$A, 'Hospitalisation Details'!J:J, "No Data")</f>
        <v>R1012</v>
      </c>
      <c r="M1156" s="28" t="str">
        <f t="array" ref="M1156">_xlfn.XLOOKUP($A1156, 'Hospitalisation Details'!$A:$A, 'Hospitalisation Details'!E:E, "No Data")</f>
        <v>14/07/01</v>
      </c>
      <c r="N1156" s="28">
        <f t="array" ref="N1156">_xlfn.XLOOKUP($A1156, 'Hospitalisation Details'!$A:$A, 'Hospitalisation Details'!K:K, "No Data")</f>
        <v>21</v>
      </c>
      <c r="O1156" s="33">
        <f t="array" ref="O1156">_xlfn.XLOOKUP($A1156, 'Hospitalisation Details'!$A:$A, 'Hospitalisation Details'!G:G, "No Data")</f>
        <v>9753.49</v>
      </c>
      <c r="P1156" s="28" t="str">
        <f t="array" ref="P1156">_xlfn.XLOOKUP($A1156, 'Hospitalisation Details'!$A:$A, 'Hospitalisation Details'!H:H, "No Data")</f>
        <v>tier - 2</v>
      </c>
    </row>
    <row r="1157">
      <c r="A1157" s="25" t="s">
        <v>3676</v>
      </c>
      <c r="B1157" s="28" t="str">
        <f t="array" ref="B1157">_xlfn.XLOOKUP($A1157, 'Customer Names'!$A:$A, 'Customer Names'!B:B, "No Data")</f>
        <v>Segall</v>
      </c>
      <c r="C1157" s="28">
        <f t="array" ref="C1157">_xlfn.XLOOKUP($A1157, 'Medical Examinations'!$A:$A, 'Medical Examinations'!B:B, "No Data")</f>
        <v>47.74</v>
      </c>
      <c r="D1157" s="28">
        <f t="array" ref="D1157">_xlfn.XLOOKUP($A1157, 'Medical Examinations'!$A:$A, 'Medical Examinations'!C:C, "No Data")</f>
        <v>8.05</v>
      </c>
      <c r="E1157" s="28" t="str">
        <f t="array" ref="E1157">_xlfn.XLOOKUP($A1157, 'Medical Examinations'!$A:$A, 'Medical Examinations'!D:D, "No Data")</f>
        <v>yes</v>
      </c>
      <c r="F1157" s="28" t="str">
        <f t="array" ref="F1157">_xlfn.XLOOKUP($A1157, 'Medical Examinations'!$A:$A, 'Medical Examinations'!E:E, "No Data")</f>
        <v>No</v>
      </c>
      <c r="G1157" s="28" t="str">
        <f t="array" ref="G1157">_xlfn.XLOOKUP($A1157, 'Medical Examinations'!$A:$A, 'Medical Examinations'!F:F, "No Data")</f>
        <v>No</v>
      </c>
      <c r="H1157" s="28">
        <f t="array" ref="H1157">_xlfn.XLOOKUP($A1157, 'Medical Examinations'!$A:$A, 'Medical Examinations'!G:G, "No Data")</f>
        <v>2</v>
      </c>
      <c r="I1157" s="28" t="str">
        <f t="array" ref="I1157">_xlfn.XLOOKUP($A1157, 'Medical Examinations'!$A:$A, 'Medical Examinations'!H:H, "No Data")</f>
        <v>No</v>
      </c>
      <c r="J1157" s="28" t="str">
        <f t="array" ref="J1157">_xlfn.XLOOKUP($A1157, 'Medical Examinations'!$A:$A, 'Medical Examinations'!I:I, "No Data")</f>
        <v>Obesity</v>
      </c>
      <c r="K1157" s="28" t="str">
        <f t="array" ref="K1157">_xlfn.XLOOKUP($A1157, 'Hospitalisation Details'!$A:$A, 'Hospitalisation Details'!I:I, "No Data")</f>
        <v>tier - 1</v>
      </c>
      <c r="L1157" s="28" t="str">
        <f t="array" ref="L1157">_xlfn.XLOOKUP($A1157, 'Hospitalisation Details'!$A:$A, 'Hospitalisation Details'!J:J, "No Data")</f>
        <v>R1013</v>
      </c>
      <c r="M1157" s="28" t="str">
        <f t="array" ref="M1157">_xlfn.XLOOKUP($A1157, 'Hospitalisation Details'!$A:$A, 'Hospitalisation Details'!E:E, "No Data")</f>
        <v>04/07/70</v>
      </c>
      <c r="N1157" s="28">
        <f t="array" ref="N1157">_xlfn.XLOOKUP($A1157, 'Hospitalisation Details'!$A:$A, 'Hospitalisation Details'!K:K, "No Data")</f>
        <v>52</v>
      </c>
      <c r="O1157" s="33">
        <f t="array" ref="O1157">_xlfn.XLOOKUP($A1157, 'Hospitalisation Details'!$A:$A, 'Hospitalisation Details'!G:G, "No Data")</f>
        <v>9748.91</v>
      </c>
      <c r="P1157" s="28" t="str">
        <f t="array" ref="P1157">_xlfn.XLOOKUP($A1157, 'Hospitalisation Details'!$A:$A, 'Hospitalisation Details'!H:H, "No Data")</f>
        <v>tier - 2</v>
      </c>
    </row>
    <row r="1158">
      <c r="A1158" s="25" t="s">
        <v>3679</v>
      </c>
      <c r="B1158" s="28" t="str">
        <f t="array" ref="B1158">_xlfn.XLOOKUP($A1158, 'Customer Names'!$A:$A, 'Customer Names'!B:B, "No Data")</f>
        <v>Sprieser</v>
      </c>
      <c r="C1158" s="28">
        <f t="array" ref="C1158">_xlfn.XLOOKUP($A1158, 'Medical Examinations'!$A:$A, 'Medical Examinations'!B:B, "No Data")</f>
        <v>30.2</v>
      </c>
      <c r="D1158" s="28">
        <f t="array" ref="D1158">_xlfn.XLOOKUP($A1158, 'Medical Examinations'!$A:$A, 'Medical Examinations'!C:C, "No Data")</f>
        <v>9.88</v>
      </c>
      <c r="E1158" s="28" t="str">
        <f t="array" ref="E1158">_xlfn.XLOOKUP($A1158, 'Medical Examinations'!$A:$A, 'Medical Examinations'!D:D, "No Data")</f>
        <v>yes</v>
      </c>
      <c r="F1158" s="28" t="str">
        <f t="array" ref="F1158">_xlfn.XLOOKUP($A1158, 'Medical Examinations'!$A:$A, 'Medical Examinations'!E:E, "No Data")</f>
        <v>No</v>
      </c>
      <c r="G1158" s="28" t="str">
        <f t="array" ref="G1158">_xlfn.XLOOKUP($A1158, 'Medical Examinations'!$A:$A, 'Medical Examinations'!F:F, "No Data")</f>
        <v>No</v>
      </c>
      <c r="H1158" s="28">
        <f t="array" ref="H1158">_xlfn.XLOOKUP($A1158, 'Medical Examinations'!$A:$A, 'Medical Examinations'!G:G, "No Data")</f>
        <v>2</v>
      </c>
      <c r="I1158" s="28" t="str">
        <f t="array" ref="I1158">_xlfn.XLOOKUP($A1158, 'Medical Examinations'!$A:$A, 'Medical Examinations'!H:H, "No Data")</f>
        <v>No</v>
      </c>
      <c r="J1158" s="28" t="str">
        <f t="array" ref="J1158">_xlfn.XLOOKUP($A1158, 'Medical Examinations'!$A:$A, 'Medical Examinations'!I:I, "No Data")</f>
        <v>Obesity</v>
      </c>
      <c r="K1158" s="28" t="str">
        <f t="array" ref="K1158">_xlfn.XLOOKUP($A1158, 'Hospitalisation Details'!$A:$A, 'Hospitalisation Details'!I:I, "No Data")</f>
        <v>tier - 1</v>
      </c>
      <c r="L1158" s="28" t="str">
        <f t="array" ref="L1158">_xlfn.XLOOKUP($A1158, 'Hospitalisation Details'!$A:$A, 'Hospitalisation Details'!J:J, "No Data")</f>
        <v>R1011</v>
      </c>
      <c r="M1158" s="28" t="str">
        <f t="array" ref="M1158">_xlfn.XLOOKUP($A1158, 'Hospitalisation Details'!$A:$A, 'Hospitalisation Details'!E:E, "No Data")</f>
        <v>18/08/70</v>
      </c>
      <c r="N1158" s="28">
        <f t="array" ref="N1158">_xlfn.XLOOKUP($A1158, 'Hospitalisation Details'!$A:$A, 'Hospitalisation Details'!K:K, "No Data")</f>
        <v>52</v>
      </c>
      <c r="O1158" s="33">
        <f t="array" ref="O1158">_xlfn.XLOOKUP($A1158, 'Hospitalisation Details'!$A:$A, 'Hospitalisation Details'!G:G, "No Data")</f>
        <v>9724.53</v>
      </c>
      <c r="P1158" s="28" t="str">
        <f t="array" ref="P1158">_xlfn.XLOOKUP($A1158, 'Hospitalisation Details'!$A:$A, 'Hospitalisation Details'!H:H, "No Data")</f>
        <v>tier - 3</v>
      </c>
    </row>
    <row r="1159">
      <c r="A1159" s="25" t="s">
        <v>3683</v>
      </c>
      <c r="B1159" s="28" t="str">
        <f t="array" ref="B1159">_xlfn.XLOOKUP($A1159, 'Customer Names'!$A:$A, 'Customer Names'!B:B, "No Data")</f>
        <v>Blanco</v>
      </c>
      <c r="C1159" s="28">
        <f t="array" ref="C1159">_xlfn.XLOOKUP($A1159, 'Medical Examinations'!$A:$A, 'Medical Examinations'!B:B, "No Data")</f>
        <v>33.25</v>
      </c>
      <c r="D1159" s="28">
        <f t="array" ref="D1159">_xlfn.XLOOKUP($A1159, 'Medical Examinations'!$A:$A, 'Medical Examinations'!C:C, "No Data")</f>
        <v>7.42</v>
      </c>
      <c r="E1159" s="28" t="str">
        <f t="array" ref="E1159">_xlfn.XLOOKUP($A1159, 'Medical Examinations'!$A:$A, 'Medical Examinations'!D:D, "No Data")</f>
        <v>yes</v>
      </c>
      <c r="F1159" s="28" t="str">
        <f t="array" ref="F1159">_xlfn.XLOOKUP($A1159, 'Medical Examinations'!$A:$A, 'Medical Examinations'!E:E, "No Data")</f>
        <v>No</v>
      </c>
      <c r="G1159" s="28" t="str">
        <f t="array" ref="G1159">_xlfn.XLOOKUP($A1159, 'Medical Examinations'!$A:$A, 'Medical Examinations'!F:F, "No Data")</f>
        <v>No</v>
      </c>
      <c r="H1159" s="28">
        <f t="array" ref="H1159">_xlfn.XLOOKUP($A1159, 'Medical Examinations'!$A:$A, 'Medical Examinations'!G:G, "No Data")</f>
        <v>2</v>
      </c>
      <c r="I1159" s="28" t="str">
        <f t="array" ref="I1159">_xlfn.XLOOKUP($A1159, 'Medical Examinations'!$A:$A, 'Medical Examinations'!H:H, "No Data")</f>
        <v>No</v>
      </c>
      <c r="J1159" s="28" t="str">
        <f t="array" ref="J1159">_xlfn.XLOOKUP($A1159, 'Medical Examinations'!$A:$A, 'Medical Examinations'!I:I, "No Data")</f>
        <v>Obesity</v>
      </c>
      <c r="K1159" s="28" t="str">
        <f t="array" ref="K1159">_xlfn.XLOOKUP($A1159, 'Hospitalisation Details'!$A:$A, 'Hospitalisation Details'!I:I, "No Data")</f>
        <v>tier - 1</v>
      </c>
      <c r="L1159" s="28" t="str">
        <f t="array" ref="L1159">_xlfn.XLOOKUP($A1159, 'Hospitalisation Details'!$A:$A, 'Hospitalisation Details'!J:J, "No Data")</f>
        <v>R1016</v>
      </c>
      <c r="M1159" s="28" t="str">
        <f t="array" ref="M1159">_xlfn.XLOOKUP($A1159, 'Hospitalisation Details'!$A:$A, 'Hospitalisation Details'!E:E, "No Data")</f>
        <v>12/09/70</v>
      </c>
      <c r="N1159" s="28">
        <f t="array" ref="N1159">_xlfn.XLOOKUP($A1159, 'Hospitalisation Details'!$A:$A, 'Hospitalisation Details'!K:K, "No Data")</f>
        <v>52</v>
      </c>
      <c r="O1159" s="33">
        <f t="array" ref="O1159">_xlfn.XLOOKUP($A1159, 'Hospitalisation Details'!$A:$A, 'Hospitalisation Details'!G:G, "No Data")</f>
        <v>9722.77</v>
      </c>
      <c r="P1159" s="28" t="str">
        <f t="array" ref="P1159">_xlfn.XLOOKUP($A1159, 'Hospitalisation Details'!$A:$A, 'Hospitalisation Details'!H:H, "No Data")</f>
        <v>tier - 3</v>
      </c>
    </row>
    <row r="1160">
      <c r="A1160" s="25" t="s">
        <v>3687</v>
      </c>
      <c r="B1160" s="28" t="str">
        <f t="array" ref="B1160">_xlfn.XLOOKUP($A1160, 'Customer Names'!$A:$A, 'Customer Names'!B:B, "No Data")</f>
        <v>Sheptock</v>
      </c>
      <c r="C1160" s="28">
        <f t="array" ref="C1160">_xlfn.XLOOKUP($A1160, 'Medical Examinations'!$A:$A, 'Medical Examinations'!B:B, "No Data")</f>
        <v>26.6</v>
      </c>
      <c r="D1160" s="28">
        <f t="array" ref="D1160">_xlfn.XLOOKUP($A1160, 'Medical Examinations'!$A:$A, 'Medical Examinations'!C:C, "No Data")</f>
        <v>8.45</v>
      </c>
      <c r="E1160" s="28" t="str">
        <f t="array" ref="E1160">_xlfn.XLOOKUP($A1160, 'Medical Examinations'!$A:$A, 'Medical Examinations'!D:D, "No Data")</f>
        <v>yes</v>
      </c>
      <c r="F1160" s="28" t="str">
        <f t="array" ref="F1160">_xlfn.XLOOKUP($A1160, 'Medical Examinations'!$A:$A, 'Medical Examinations'!E:E, "No Data")</f>
        <v>No</v>
      </c>
      <c r="G1160" s="28" t="str">
        <f t="array" ref="G1160">_xlfn.XLOOKUP($A1160, 'Medical Examinations'!$A:$A, 'Medical Examinations'!F:F, "No Data")</f>
        <v>No</v>
      </c>
      <c r="H1160" s="28">
        <f t="array" ref="H1160">_xlfn.XLOOKUP($A1160, 'Medical Examinations'!$A:$A, 'Medical Examinations'!G:G, "No Data")</f>
        <v>1</v>
      </c>
      <c r="I1160" s="28" t="str">
        <f t="array" ref="I1160">_xlfn.XLOOKUP($A1160, 'Medical Examinations'!$A:$A, 'Medical Examinations'!H:H, "No Data")</f>
        <v>No</v>
      </c>
      <c r="J1160" s="28" t="str">
        <f t="array" ref="J1160">_xlfn.XLOOKUP($A1160, 'Medical Examinations'!$A:$A, 'Medical Examinations'!I:I, "No Data")</f>
        <v>Overweight</v>
      </c>
      <c r="K1160" s="28" t="str">
        <f t="array" ref="K1160">_xlfn.XLOOKUP($A1160, 'Hospitalisation Details'!$A:$A, 'Hospitalisation Details'!I:I, "No Data")</f>
        <v>tier - 1</v>
      </c>
      <c r="L1160" s="28" t="str">
        <f t="array" ref="L1160">_xlfn.XLOOKUP($A1160, 'Hospitalisation Details'!$A:$A, 'Hospitalisation Details'!J:J, "No Data")</f>
        <v>R1024</v>
      </c>
      <c r="M1160" s="28" t="str">
        <f t="array" ref="M1160">_xlfn.XLOOKUP($A1160, 'Hospitalisation Details'!$A:$A, 'Hospitalisation Details'!E:E, "No Data")</f>
        <v>27/06/75</v>
      </c>
      <c r="N1160" s="28">
        <f t="array" ref="N1160">_xlfn.XLOOKUP($A1160, 'Hospitalisation Details'!$A:$A, 'Hospitalisation Details'!K:K, "No Data")</f>
        <v>47</v>
      </c>
      <c r="O1160" s="33">
        <f t="array" ref="O1160">_xlfn.XLOOKUP($A1160, 'Hospitalisation Details'!$A:$A, 'Hospitalisation Details'!G:G, "No Data")</f>
        <v>9715.84</v>
      </c>
      <c r="P1160" s="28" t="str">
        <f t="array" ref="P1160">_xlfn.XLOOKUP($A1160, 'Hospitalisation Details'!$A:$A, 'Hospitalisation Details'!H:H, "No Data")</f>
        <v>tier - 2</v>
      </c>
    </row>
    <row r="1161">
      <c r="A1161" s="25" t="s">
        <v>3691</v>
      </c>
      <c r="B1161" s="28" t="str">
        <f t="array" ref="B1161">_xlfn.XLOOKUP($A1161, 'Customer Names'!$A:$A, 'Customer Names'!B:B, "No Data")</f>
        <v>Chruniak</v>
      </c>
      <c r="C1161" s="28">
        <f t="array" ref="C1161">_xlfn.XLOOKUP($A1161, 'Medical Examinations'!$A:$A, 'Medical Examinations'!B:B, "No Data")</f>
        <v>26.35</v>
      </c>
      <c r="D1161" s="28">
        <f t="array" ref="D1161">_xlfn.XLOOKUP($A1161, 'Medical Examinations'!$A:$A, 'Medical Examinations'!C:C, "No Data")</f>
        <v>6.21</v>
      </c>
      <c r="E1161" s="28" t="str">
        <f t="array" ref="E1161">_xlfn.XLOOKUP($A1161, 'Medical Examinations'!$A:$A, 'Medical Examinations'!D:D, "No Data")</f>
        <v>No</v>
      </c>
      <c r="F1161" s="28" t="str">
        <f t="array" ref="F1161">_xlfn.XLOOKUP($A1161, 'Medical Examinations'!$A:$A, 'Medical Examinations'!E:E, "No Data")</f>
        <v>No</v>
      </c>
      <c r="G1161" s="28" t="str">
        <f t="array" ref="G1161">_xlfn.XLOOKUP($A1161, 'Medical Examinations'!$A:$A, 'Medical Examinations'!F:F, "No Data")</f>
        <v>No</v>
      </c>
      <c r="H1161" s="28">
        <f t="array" ref="H1161">_xlfn.XLOOKUP($A1161, 'Medical Examinations'!$A:$A, 'Medical Examinations'!G:G, "No Data")</f>
        <v>2</v>
      </c>
      <c r="I1161" s="28" t="str">
        <f t="array" ref="I1161">_xlfn.XLOOKUP($A1161, 'Medical Examinations'!$A:$A, 'Medical Examinations'!H:H, "No Data")</f>
        <v>No</v>
      </c>
      <c r="J1161" s="28" t="str">
        <f t="array" ref="J1161">_xlfn.XLOOKUP($A1161, 'Medical Examinations'!$A:$A, 'Medical Examinations'!I:I, "No Data")</f>
        <v>Overweight</v>
      </c>
      <c r="K1161" s="28" t="str">
        <f t="array" ref="K1161">_xlfn.XLOOKUP($A1161, 'Hospitalisation Details'!$A:$A, 'Hospitalisation Details'!I:I, "No Data")</f>
        <v>tier - 1</v>
      </c>
      <c r="L1161" s="28" t="str">
        <f t="array" ref="L1161">_xlfn.XLOOKUP($A1161, 'Hospitalisation Details'!$A:$A, 'Hospitalisation Details'!J:J, "No Data")</f>
        <v>R1021</v>
      </c>
      <c r="M1161" s="28" t="str">
        <f t="array" ref="M1161">_xlfn.XLOOKUP($A1161, 'Hospitalisation Details'!$A:$A, 'Hospitalisation Details'!E:E, "No Data")</f>
        <v>10/07/72</v>
      </c>
      <c r="N1161" s="28">
        <f t="array" ref="N1161">_xlfn.XLOOKUP($A1161, 'Hospitalisation Details'!$A:$A, 'Hospitalisation Details'!K:K, "No Data")</f>
        <v>50</v>
      </c>
      <c r="O1161" s="33">
        <f t="array" ref="O1161">_xlfn.XLOOKUP($A1161, 'Hospitalisation Details'!$A:$A, 'Hospitalisation Details'!G:G, "No Data")</f>
        <v>9710.71</v>
      </c>
      <c r="P1161" s="28" t="str">
        <f t="array" ref="P1161">_xlfn.XLOOKUP($A1161, 'Hospitalisation Details'!$A:$A, 'Hospitalisation Details'!H:H, "No Data")</f>
        <v>tier - 2</v>
      </c>
    </row>
    <row r="1162">
      <c r="A1162" s="25" t="s">
        <v>3695</v>
      </c>
      <c r="B1162" s="28" t="str">
        <f t="array" ref="B1162">_xlfn.XLOOKUP($A1162, 'Customer Names'!$A:$A, 'Customer Names'!B:B, "No Data")</f>
        <v>Miller</v>
      </c>
      <c r="C1162" s="28">
        <f t="array" ref="C1162">_xlfn.XLOOKUP($A1162, 'Medical Examinations'!$A:$A, 'Medical Examinations'!B:B, "No Data")</f>
        <v>39.995</v>
      </c>
      <c r="D1162" s="28">
        <f t="array" ref="D1162">_xlfn.XLOOKUP($A1162, 'Medical Examinations'!$A:$A, 'Medical Examinations'!C:C, "No Data")</f>
        <v>4.65</v>
      </c>
      <c r="E1162" s="28" t="str">
        <f t="array" ref="E1162">_xlfn.XLOOKUP($A1162, 'Medical Examinations'!$A:$A, 'Medical Examinations'!D:D, "No Data")</f>
        <v>No</v>
      </c>
      <c r="F1162" s="28" t="str">
        <f t="array" ref="F1162">_xlfn.XLOOKUP($A1162, 'Medical Examinations'!$A:$A, 'Medical Examinations'!E:E, "No Data")</f>
        <v>No</v>
      </c>
      <c r="G1162" s="28" t="str">
        <f t="array" ref="G1162">_xlfn.XLOOKUP($A1162, 'Medical Examinations'!$A:$A, 'Medical Examinations'!F:F, "No Data")</f>
        <v>No</v>
      </c>
      <c r="H1162" s="28">
        <f t="array" ref="H1162">_xlfn.XLOOKUP($A1162, 'Medical Examinations'!$A:$A, 'Medical Examinations'!G:G, "No Data")</f>
        <v>0</v>
      </c>
      <c r="I1162" s="28" t="str">
        <f t="array" ref="I1162">_xlfn.XLOOKUP($A1162, 'Medical Examinations'!$A:$A, 'Medical Examinations'!H:H, "No Data")</f>
        <v>No</v>
      </c>
      <c r="J1162" s="28" t="str">
        <f t="array" ref="J1162">_xlfn.XLOOKUP($A1162, 'Medical Examinations'!$A:$A, 'Medical Examinations'!I:I, "No Data")</f>
        <v>Obesity</v>
      </c>
      <c r="K1162" s="28" t="str">
        <f t="array" ref="K1162">_xlfn.XLOOKUP($A1162, 'Hospitalisation Details'!$A:$A, 'Hospitalisation Details'!I:I, "No Data")</f>
        <v>tier - 3</v>
      </c>
      <c r="L1162" s="28" t="str">
        <f t="array" ref="L1162">_xlfn.XLOOKUP($A1162, 'Hospitalisation Details'!$A:$A, 'Hospitalisation Details'!J:J, "No Data")</f>
        <v>R1024</v>
      </c>
      <c r="M1162" s="28" t="str">
        <f t="array" ref="M1162">_xlfn.XLOOKUP($A1162, 'Hospitalisation Details'!$A:$A, 'Hospitalisation Details'!E:E, "No Data")</f>
        <v>19/09/77</v>
      </c>
      <c r="N1162" s="28">
        <f t="array" ref="N1162">_xlfn.XLOOKUP($A1162, 'Hospitalisation Details'!$A:$A, 'Hospitalisation Details'!K:K, "No Data")</f>
        <v>45</v>
      </c>
      <c r="O1162" s="33">
        <f t="array" ref="O1162">_xlfn.XLOOKUP($A1162, 'Hospitalisation Details'!$A:$A, 'Hospitalisation Details'!G:G, "No Data")</f>
        <v>9704.67</v>
      </c>
      <c r="P1162" s="28" t="str">
        <f t="array" ref="P1162">_xlfn.XLOOKUP($A1162, 'Hospitalisation Details'!$A:$A, 'Hospitalisation Details'!H:H, "No Data")</f>
        <v>tier - 2</v>
      </c>
    </row>
    <row r="1163">
      <c r="A1163" s="25" t="s">
        <v>3698</v>
      </c>
      <c r="B1163" s="28" t="str">
        <f t="array" ref="B1163">_xlfn.XLOOKUP($A1163, 'Customer Names'!$A:$A, 'Customer Names'!B:B, "No Data")</f>
        <v>Theis</v>
      </c>
      <c r="C1163" s="28">
        <f t="array" ref="C1163">_xlfn.XLOOKUP($A1163, 'Medical Examinations'!$A:$A, 'Medical Examinations'!B:B, "No Data")</f>
        <v>22.92</v>
      </c>
      <c r="D1163" s="28">
        <f t="array" ref="D1163">_xlfn.XLOOKUP($A1163, 'Medical Examinations'!$A:$A, 'Medical Examinations'!C:C, "No Data")</f>
        <v>5.87</v>
      </c>
      <c r="E1163" s="28" t="str">
        <f t="array" ref="E1163">_xlfn.XLOOKUP($A1163, 'Medical Examinations'!$A:$A, 'Medical Examinations'!D:D, "No Data")</f>
        <v>yes</v>
      </c>
      <c r="F1163" s="28" t="str">
        <f t="array" ref="F1163">_xlfn.XLOOKUP($A1163, 'Medical Examinations'!$A:$A, 'Medical Examinations'!E:E, "No Data")</f>
        <v>No</v>
      </c>
      <c r="G1163" s="28" t="str">
        <f t="array" ref="G1163">_xlfn.XLOOKUP($A1163, 'Medical Examinations'!$A:$A, 'Medical Examinations'!F:F, "No Data")</f>
        <v>No</v>
      </c>
      <c r="H1163" s="28">
        <f t="array" ref="H1163">_xlfn.XLOOKUP($A1163, 'Medical Examinations'!$A:$A, 'Medical Examinations'!G:G, "No Data")</f>
        <v>1</v>
      </c>
      <c r="I1163" s="28" t="str">
        <f t="array" ref="I1163">_xlfn.XLOOKUP($A1163, 'Medical Examinations'!$A:$A, 'Medical Examinations'!H:H, "No Data")</f>
        <v>No</v>
      </c>
      <c r="J1163" s="28" t="str">
        <f t="array" ref="J1163">_xlfn.XLOOKUP($A1163, 'Medical Examinations'!$A:$A, 'Medical Examinations'!I:I, "No Data")</f>
        <v>Normal Weight</v>
      </c>
      <c r="K1163" s="28" t="str">
        <f t="array" ref="K1163">_xlfn.XLOOKUP($A1163, 'Hospitalisation Details'!$A:$A, 'Hospitalisation Details'!I:I, "No Data")</f>
        <v>tier - 3</v>
      </c>
      <c r="L1163" s="28" t="str">
        <f t="array" ref="L1163">_xlfn.XLOOKUP($A1163, 'Hospitalisation Details'!$A:$A, 'Hospitalisation Details'!J:J, "No Data")</f>
        <v>R1013</v>
      </c>
      <c r="M1163" s="28" t="str">
        <f t="array" ref="M1163">_xlfn.XLOOKUP($A1163, 'Hospitalisation Details'!$A:$A, 'Hospitalisation Details'!E:E, "No Data")</f>
        <v>07/11/64</v>
      </c>
      <c r="N1163" s="28">
        <f t="array" ref="N1163">_xlfn.XLOOKUP($A1163, 'Hospitalisation Details'!$A:$A, 'Hospitalisation Details'!K:K, "No Data")</f>
        <v>58</v>
      </c>
      <c r="O1163" s="33">
        <f t="array" ref="O1163">_xlfn.XLOOKUP($A1163, 'Hospitalisation Details'!$A:$A, 'Hospitalisation Details'!G:G, "No Data")</f>
        <v>9698.42</v>
      </c>
      <c r="P1163" s="28" t="str">
        <f t="array" ref="P1163">_xlfn.XLOOKUP($A1163, 'Hospitalisation Details'!$A:$A, 'Hospitalisation Details'!H:H, "No Data")</f>
        <v>tier - 3</v>
      </c>
    </row>
    <row r="1164">
      <c r="A1164" s="25" t="s">
        <v>3702</v>
      </c>
      <c r="B1164" s="28" t="str">
        <f t="array" ref="B1164">_xlfn.XLOOKUP($A1164, 'Customer Names'!$A:$A, 'Customer Names'!B:B, "No Data")</f>
        <v>Sadler</v>
      </c>
      <c r="C1164" s="28">
        <f t="array" ref="C1164">_xlfn.XLOOKUP($A1164, 'Medical Examinations'!$A:$A, 'Medical Examinations'!B:B, "No Data")</f>
        <v>24.78</v>
      </c>
      <c r="D1164" s="28">
        <f t="array" ref="D1164">_xlfn.XLOOKUP($A1164, 'Medical Examinations'!$A:$A, 'Medical Examinations'!C:C, "No Data")</f>
        <v>4.24</v>
      </c>
      <c r="E1164" s="28" t="str">
        <f t="array" ref="E1164">_xlfn.XLOOKUP($A1164, 'Medical Examinations'!$A:$A, 'Medical Examinations'!D:D, "No Data")</f>
        <v>yes</v>
      </c>
      <c r="F1164" s="28" t="str">
        <f t="array" ref="F1164">_xlfn.XLOOKUP($A1164, 'Medical Examinations'!$A:$A, 'Medical Examinations'!E:E, "No Data")</f>
        <v>No</v>
      </c>
      <c r="G1164" s="28" t="str">
        <f t="array" ref="G1164">_xlfn.XLOOKUP($A1164, 'Medical Examinations'!$A:$A, 'Medical Examinations'!F:F, "No Data")</f>
        <v>No</v>
      </c>
      <c r="H1164" s="28">
        <f t="array" ref="H1164">_xlfn.XLOOKUP($A1164, 'Medical Examinations'!$A:$A, 'Medical Examinations'!G:G, "No Data")</f>
        <v>2</v>
      </c>
      <c r="I1164" s="28" t="str">
        <f t="array" ref="I1164">_xlfn.XLOOKUP($A1164, 'Medical Examinations'!$A:$A, 'Medical Examinations'!H:H, "No Data")</f>
        <v>No</v>
      </c>
      <c r="J1164" s="28" t="str">
        <f t="array" ref="J1164">_xlfn.XLOOKUP($A1164, 'Medical Examinations'!$A:$A, 'Medical Examinations'!I:I, "No Data")</f>
        <v>Normal Weight</v>
      </c>
      <c r="K1164" s="28" t="str">
        <f t="array" ref="K1164">_xlfn.XLOOKUP($A1164, 'Hospitalisation Details'!$A:$A, 'Hospitalisation Details'!I:I, "No Data")</f>
        <v>tier - 2</v>
      </c>
      <c r="L1164" s="28" t="str">
        <f t="array" ref="L1164">_xlfn.XLOOKUP($A1164, 'Hospitalisation Details'!$A:$A, 'Hospitalisation Details'!J:J, "No Data")</f>
        <v>R1013</v>
      </c>
      <c r="M1164" s="28" t="str">
        <f t="array" ref="M1164">_xlfn.XLOOKUP($A1164, 'Hospitalisation Details'!$A:$A, 'Hospitalisation Details'!E:E, "No Data")</f>
        <v>16/09/66</v>
      </c>
      <c r="N1164" s="28">
        <f t="array" ref="N1164">_xlfn.XLOOKUP($A1164, 'Hospitalisation Details'!$A:$A, 'Hospitalisation Details'!K:K, "No Data")</f>
        <v>56</v>
      </c>
      <c r="O1164" s="33">
        <f t="array" ref="O1164">_xlfn.XLOOKUP($A1164, 'Hospitalisation Details'!$A:$A, 'Hospitalisation Details'!G:G, "No Data")</f>
        <v>9684.29</v>
      </c>
      <c r="P1164" s="28" t="str">
        <f t="array" ref="P1164">_xlfn.XLOOKUP($A1164, 'Hospitalisation Details'!$A:$A, 'Hospitalisation Details'!H:H, "No Data")</f>
        <v>tier - 3</v>
      </c>
    </row>
    <row r="1165">
      <c r="A1165" s="25" t="s">
        <v>3706</v>
      </c>
      <c r="B1165" s="28" t="str">
        <f t="array" ref="B1165">_xlfn.XLOOKUP($A1165, 'Customer Names'!$A:$A, 'Customer Names'!B:B, "No Data")</f>
        <v>Auger</v>
      </c>
      <c r="C1165" s="28">
        <f t="array" ref="C1165">_xlfn.XLOOKUP($A1165, 'Medical Examinations'!$A:$A, 'Medical Examinations'!B:B, "No Data")</f>
        <v>34.07</v>
      </c>
      <c r="D1165" s="28">
        <f t="array" ref="D1165">_xlfn.XLOOKUP($A1165, 'Medical Examinations'!$A:$A, 'Medical Examinations'!C:C, "No Data")</f>
        <v>7.81</v>
      </c>
      <c r="E1165" s="28" t="str">
        <f t="array" ref="E1165">_xlfn.XLOOKUP($A1165, 'Medical Examinations'!$A:$A, 'Medical Examinations'!D:D, "No Data")</f>
        <v>yes</v>
      </c>
      <c r="F1165" s="28" t="str">
        <f t="array" ref="F1165">_xlfn.XLOOKUP($A1165, 'Medical Examinations'!$A:$A, 'Medical Examinations'!E:E, "No Data")</f>
        <v>No</v>
      </c>
      <c r="G1165" s="28" t="str">
        <f t="array" ref="G1165">_xlfn.XLOOKUP($A1165, 'Medical Examinations'!$A:$A, 'Medical Examinations'!F:F, "No Data")</f>
        <v>No</v>
      </c>
      <c r="H1165" s="28">
        <f t="array" ref="H1165">_xlfn.XLOOKUP($A1165, 'Medical Examinations'!$A:$A, 'Medical Examinations'!G:G, "No Data")</f>
        <v>0</v>
      </c>
      <c r="I1165" s="28" t="str">
        <f t="array" ref="I1165">_xlfn.XLOOKUP($A1165, 'Medical Examinations'!$A:$A, 'Medical Examinations'!H:H, "No Data")</f>
        <v>No</v>
      </c>
      <c r="J1165" s="28" t="str">
        <f t="array" ref="J1165">_xlfn.XLOOKUP($A1165, 'Medical Examinations'!$A:$A, 'Medical Examinations'!I:I, "No Data")</f>
        <v>Obesity</v>
      </c>
      <c r="K1165" s="28" t="str">
        <f t="array" ref="K1165">_xlfn.XLOOKUP($A1165, 'Hospitalisation Details'!$A:$A, 'Hospitalisation Details'!I:I, "No Data")</f>
        <v>tier - 3</v>
      </c>
      <c r="L1165" s="28" t="str">
        <f t="array" ref="L1165">_xlfn.XLOOKUP($A1165, 'Hospitalisation Details'!$A:$A, 'Hospitalisation Details'!J:J, "No Data")</f>
        <v>R1011</v>
      </c>
      <c r="M1165" s="28" t="str">
        <f t="array" ref="M1165">_xlfn.XLOOKUP($A1165, 'Hospitalisation Details'!$A:$A, 'Hospitalisation Details'!E:E, "No Data")</f>
        <v>08/08/81</v>
      </c>
      <c r="N1165" s="28">
        <f t="array" ref="N1165">_xlfn.XLOOKUP($A1165, 'Hospitalisation Details'!$A:$A, 'Hospitalisation Details'!K:K, "No Data")</f>
        <v>41</v>
      </c>
      <c r="O1165" s="33">
        <f t="array" ref="O1165">_xlfn.XLOOKUP($A1165, 'Hospitalisation Details'!$A:$A, 'Hospitalisation Details'!G:G, "No Data")</f>
        <v>9664.34</v>
      </c>
      <c r="P1165" s="28" t="str">
        <f t="array" ref="P1165">_xlfn.XLOOKUP($A1165, 'Hospitalisation Details'!$A:$A, 'Hospitalisation Details'!H:H, "No Data")</f>
        <v>tier - 2</v>
      </c>
    </row>
    <row r="1166">
      <c r="A1166" s="25" t="s">
        <v>3710</v>
      </c>
      <c r="B1166" s="28" t="str">
        <f t="array" ref="B1166">_xlfn.XLOOKUP($A1166, 'Customer Names'!$A:$A, 'Customer Names'!B:B, "No Data")</f>
        <v>Steadman</v>
      </c>
      <c r="C1166" s="28">
        <f t="array" ref="C1166">_xlfn.XLOOKUP($A1166, 'Medical Examinations'!$A:$A, 'Medical Examinations'!B:B, "No Data")</f>
        <v>30.14</v>
      </c>
      <c r="D1166" s="28">
        <f t="array" ref="D1166">_xlfn.XLOOKUP($A1166, 'Medical Examinations'!$A:$A, 'Medical Examinations'!C:C, "No Data")</f>
        <v>9.85</v>
      </c>
      <c r="E1166" s="28" t="str">
        <f t="array" ref="E1166">_xlfn.XLOOKUP($A1166, 'Medical Examinations'!$A:$A, 'Medical Examinations'!D:D, "No Data")</f>
        <v>No</v>
      </c>
      <c r="F1166" s="28" t="str">
        <f t="array" ref="F1166">_xlfn.XLOOKUP($A1166, 'Medical Examinations'!$A:$A, 'Medical Examinations'!E:E, "No Data")</f>
        <v>No</v>
      </c>
      <c r="G1166" s="28" t="str">
        <f t="array" ref="G1166">_xlfn.XLOOKUP($A1166, 'Medical Examinations'!$A:$A, 'Medical Examinations'!F:F, "No Data")</f>
        <v>No</v>
      </c>
      <c r="H1166" s="28">
        <f t="array" ref="H1166">_xlfn.XLOOKUP($A1166, 'Medical Examinations'!$A:$A, 'Medical Examinations'!G:G, "No Data")</f>
        <v>0</v>
      </c>
      <c r="I1166" s="28" t="str">
        <f t="array" ref="I1166">_xlfn.XLOOKUP($A1166, 'Medical Examinations'!$A:$A, 'Medical Examinations'!H:H, "No Data")</f>
        <v>No</v>
      </c>
      <c r="J1166" s="28" t="str">
        <f t="array" ref="J1166">_xlfn.XLOOKUP($A1166, 'Medical Examinations'!$A:$A, 'Medical Examinations'!I:I, "No Data")</f>
        <v>Obesity</v>
      </c>
      <c r="K1166" s="28" t="str">
        <f t="array" ref="K1166">_xlfn.XLOOKUP($A1166, 'Hospitalisation Details'!$A:$A, 'Hospitalisation Details'!I:I, "No Data")</f>
        <v>tier - 2</v>
      </c>
      <c r="L1166" s="28" t="str">
        <f t="array" ref="L1166">_xlfn.XLOOKUP($A1166, 'Hospitalisation Details'!$A:$A, 'Hospitalisation Details'!J:J, "No Data")</f>
        <v>R1011</v>
      </c>
      <c r="M1166" s="28" t="str">
        <f t="array" ref="M1166">_xlfn.XLOOKUP($A1166, 'Hospitalisation Details'!$A:$A, 'Hospitalisation Details'!E:E, "No Data")</f>
        <v>08/07/74</v>
      </c>
      <c r="N1166" s="28">
        <f t="array" ref="N1166">_xlfn.XLOOKUP($A1166, 'Hospitalisation Details'!$A:$A, 'Hospitalisation Details'!K:K, "No Data")</f>
        <v>48</v>
      </c>
      <c r="O1166" s="33">
        <f t="array" ref="O1166">_xlfn.XLOOKUP($A1166, 'Hospitalisation Details'!$A:$A, 'Hospitalisation Details'!G:G, "No Data")</f>
        <v>9653.81</v>
      </c>
      <c r="P1166" s="28" t="str">
        <f t="array" ref="P1166">_xlfn.XLOOKUP($A1166, 'Hospitalisation Details'!$A:$A, 'Hospitalisation Details'!H:H, "No Data")</f>
        <v>tier - 2</v>
      </c>
    </row>
    <row r="1167">
      <c r="A1167" s="25" t="s">
        <v>3716</v>
      </c>
      <c r="B1167" s="28" t="str">
        <f t="array" ref="B1167">_xlfn.XLOOKUP($A1167, 'Customer Names'!$A:$A, 'Customer Names'!B:B, "No Data")</f>
        <v>McCarron</v>
      </c>
      <c r="C1167" s="28">
        <f t="array" ref="C1167">_xlfn.XLOOKUP($A1167, 'Medical Examinations'!$A:$A, 'Medical Examinations'!B:B, "No Data")</f>
        <v>18.05</v>
      </c>
      <c r="D1167" s="28">
        <f t="array" ref="D1167">_xlfn.XLOOKUP($A1167, 'Medical Examinations'!$A:$A, 'Medical Examinations'!C:C, "No Data")</f>
        <v>6.94</v>
      </c>
      <c r="E1167" s="28" t="str">
        <f t="array" ref="E1167">_xlfn.XLOOKUP($A1167, 'Medical Examinations'!$A:$A, 'Medical Examinations'!D:D, "No Data")</f>
        <v>No</v>
      </c>
      <c r="F1167" s="28" t="str">
        <f t="array" ref="F1167">_xlfn.XLOOKUP($A1167, 'Medical Examinations'!$A:$A, 'Medical Examinations'!E:E, "No Data")</f>
        <v>No</v>
      </c>
      <c r="G1167" s="28" t="str">
        <f t="array" ref="G1167">_xlfn.XLOOKUP($A1167, 'Medical Examinations'!$A:$A, 'Medical Examinations'!F:F, "No Data")</f>
        <v>No</v>
      </c>
      <c r="H1167" s="28">
        <f t="array" ref="H1167">_xlfn.XLOOKUP($A1167, 'Medical Examinations'!$A:$A, 'Medical Examinations'!G:G, "No Data")</f>
        <v>0</v>
      </c>
      <c r="I1167" s="28" t="str">
        <f t="array" ref="I1167">_xlfn.XLOOKUP($A1167, 'Medical Examinations'!$A:$A, 'Medical Examinations'!H:H, "No Data")</f>
        <v>No</v>
      </c>
      <c r="J1167" s="28" t="str">
        <f t="array" ref="J1167">_xlfn.XLOOKUP($A1167, 'Medical Examinations'!$A:$A, 'Medical Examinations'!I:I, "No Data")</f>
        <v>Underweight</v>
      </c>
      <c r="K1167" s="28" t="str">
        <f t="array" ref="K1167">_xlfn.XLOOKUP($A1167, 'Hospitalisation Details'!$A:$A, 'Hospitalisation Details'!I:I, "No Data")</f>
        <v>tier - 1</v>
      </c>
      <c r="L1167" s="28" t="str">
        <f t="array" ref="L1167">_xlfn.XLOOKUP($A1167, 'Hospitalisation Details'!$A:$A, 'Hospitalisation Details'!J:J, "No Data")</f>
        <v>R1012</v>
      </c>
      <c r="M1167" s="28" t="str">
        <f t="array" ref="M1167">_xlfn.XLOOKUP($A1167, 'Hospitalisation Details'!$A:$A, 'Hospitalisation Details'!E:E, "No Data")</f>
        <v>19/07/71</v>
      </c>
      <c r="N1167" s="28">
        <f t="array" ref="N1167">_xlfn.XLOOKUP($A1167, 'Hospitalisation Details'!$A:$A, 'Hospitalisation Details'!K:K, "No Data")</f>
        <v>51</v>
      </c>
      <c r="O1167" s="33">
        <f t="array" ref="O1167">_xlfn.XLOOKUP($A1167, 'Hospitalisation Details'!$A:$A, 'Hospitalisation Details'!G:G, "No Data")</f>
        <v>9644.25</v>
      </c>
      <c r="P1167" s="28" t="str">
        <f t="array" ref="P1167">_xlfn.XLOOKUP($A1167, 'Hospitalisation Details'!$A:$A, 'Hospitalisation Details'!H:H, "No Data")</f>
        <v>tier - 2</v>
      </c>
    </row>
    <row r="1168">
      <c r="A1168" s="25" t="s">
        <v>3718</v>
      </c>
      <c r="B1168" s="28" t="str">
        <f t="array" ref="B1168">_xlfn.XLOOKUP($A1168, 'Customer Names'!$A:$A, 'Customer Names'!B:B, "No Data")</f>
        <v>Roecker</v>
      </c>
      <c r="C1168" s="28">
        <f t="array" ref="C1168">_xlfn.XLOOKUP($A1168, 'Medical Examinations'!$A:$A, 'Medical Examinations'!B:B, "No Data")</f>
        <v>37.4</v>
      </c>
      <c r="D1168" s="28">
        <f t="array" ref="D1168">_xlfn.XLOOKUP($A1168, 'Medical Examinations'!$A:$A, 'Medical Examinations'!C:C, "No Data")</f>
        <v>11.3</v>
      </c>
      <c r="E1168" s="28" t="str">
        <f t="array" ref="E1168">_xlfn.XLOOKUP($A1168, 'Medical Examinations'!$A:$A, 'Medical Examinations'!D:D, "No Data")</f>
        <v>yes</v>
      </c>
      <c r="F1168" s="28" t="str">
        <f t="array" ref="F1168">_xlfn.XLOOKUP($A1168, 'Medical Examinations'!$A:$A, 'Medical Examinations'!E:E, "No Data")</f>
        <v>No</v>
      </c>
      <c r="G1168" s="28" t="str">
        <f t="array" ref="G1168">_xlfn.XLOOKUP($A1168, 'Medical Examinations'!$A:$A, 'Medical Examinations'!F:F, "No Data")</f>
        <v>No</v>
      </c>
      <c r="H1168" s="28">
        <f t="array" ref="H1168">_xlfn.XLOOKUP($A1168, 'Medical Examinations'!$A:$A, 'Medical Examinations'!G:G, "No Data")</f>
        <v>2</v>
      </c>
      <c r="I1168" s="28" t="str">
        <f t="array" ref="I1168">_xlfn.XLOOKUP($A1168, 'Medical Examinations'!$A:$A, 'Medical Examinations'!H:H, "No Data")</f>
        <v>No</v>
      </c>
      <c r="J1168" s="28" t="str">
        <f t="array" ref="J1168">_xlfn.XLOOKUP($A1168, 'Medical Examinations'!$A:$A, 'Medical Examinations'!I:I, "No Data")</f>
        <v>Obesity</v>
      </c>
      <c r="K1168" s="28" t="str">
        <f t="array" ref="K1168">_xlfn.XLOOKUP($A1168, 'Hospitalisation Details'!$A:$A, 'Hospitalisation Details'!I:I, "No Data")</f>
        <v>tier - 2</v>
      </c>
      <c r="L1168" s="28" t="str">
        <f t="array" ref="L1168">_xlfn.XLOOKUP($A1168, 'Hospitalisation Details'!$A:$A, 'Hospitalisation Details'!J:J, "No Data")</f>
        <v>R1011</v>
      </c>
      <c r="M1168" s="28" t="str">
        <f t="array" ref="M1168">_xlfn.XLOOKUP($A1168, 'Hospitalisation Details'!$A:$A, 'Hospitalisation Details'!E:E, "No Data")</f>
        <v>30/09/70</v>
      </c>
      <c r="N1168" s="28">
        <f t="array" ref="N1168">_xlfn.XLOOKUP($A1168, 'Hospitalisation Details'!$A:$A, 'Hospitalisation Details'!K:K, "No Data")</f>
        <v>52</v>
      </c>
      <c r="O1168" s="33">
        <f t="array" ref="O1168">_xlfn.XLOOKUP($A1168, 'Hospitalisation Details'!$A:$A, 'Hospitalisation Details'!G:G, "No Data")</f>
        <v>9634.54</v>
      </c>
      <c r="P1168" s="28" t="str">
        <f t="array" ref="P1168">_xlfn.XLOOKUP($A1168, 'Hospitalisation Details'!$A:$A, 'Hospitalisation Details'!H:H, "No Data")</f>
        <v>tier - 2</v>
      </c>
    </row>
    <row r="1169">
      <c r="A1169" s="25" t="s">
        <v>3721</v>
      </c>
      <c r="B1169" s="28" t="str">
        <f t="array" ref="B1169">_xlfn.XLOOKUP($A1169, 'Customer Names'!$A:$A, 'Customer Names'!B:B, "No Data")</f>
        <v>Giumarra</v>
      </c>
      <c r="C1169" s="28">
        <f t="array" ref="C1169">_xlfn.XLOOKUP($A1169, 'Medical Examinations'!$A:$A, 'Medical Examinations'!B:B, "No Data")</f>
        <v>25.75</v>
      </c>
      <c r="D1169" s="28">
        <f t="array" ref="D1169">_xlfn.XLOOKUP($A1169, 'Medical Examinations'!$A:$A, 'Medical Examinations'!C:C, "No Data")</f>
        <v>9.23</v>
      </c>
      <c r="E1169" s="28" t="str">
        <f t="array" ref="E1169">_xlfn.XLOOKUP($A1169, 'Medical Examinations'!$A:$A, 'Medical Examinations'!D:D, "No Data")</f>
        <v>No</v>
      </c>
      <c r="F1169" s="28" t="str">
        <f t="array" ref="F1169">_xlfn.XLOOKUP($A1169, 'Medical Examinations'!$A:$A, 'Medical Examinations'!E:E, "No Data")</f>
        <v>No</v>
      </c>
      <c r="G1169" s="28" t="str">
        <f t="array" ref="G1169">_xlfn.XLOOKUP($A1169, 'Medical Examinations'!$A:$A, 'Medical Examinations'!F:F, "No Data")</f>
        <v>No</v>
      </c>
      <c r="H1169" s="28">
        <f t="array" ref="H1169">_xlfn.XLOOKUP($A1169, 'Medical Examinations'!$A:$A, 'Medical Examinations'!G:G, "No Data")</f>
        <v>0</v>
      </c>
      <c r="I1169" s="28" t="str">
        <f t="array" ref="I1169">_xlfn.XLOOKUP($A1169, 'Medical Examinations'!$A:$A, 'Medical Examinations'!H:H, "No Data")</f>
        <v>No</v>
      </c>
      <c r="J1169" s="28" t="str">
        <f t="array" ref="J1169">_xlfn.XLOOKUP($A1169, 'Medical Examinations'!$A:$A, 'Medical Examinations'!I:I, "No Data")</f>
        <v>Overweight</v>
      </c>
      <c r="K1169" s="28" t="str">
        <f t="array" ref="K1169">_xlfn.XLOOKUP($A1169, 'Hospitalisation Details'!$A:$A, 'Hospitalisation Details'!I:I, "No Data")</f>
        <v>tier - 2</v>
      </c>
      <c r="L1169" s="28" t="str">
        <f t="array" ref="L1169">_xlfn.XLOOKUP($A1169, 'Hospitalisation Details'!$A:$A, 'Hospitalisation Details'!J:J, "No Data")</f>
        <v>R1013</v>
      </c>
      <c r="M1169" s="28" t="str">
        <f t="array" ref="M1169">_xlfn.XLOOKUP($A1169, 'Hospitalisation Details'!$A:$A, 'Hospitalisation Details'!E:E, "No Data")</f>
        <v>22/06/68</v>
      </c>
      <c r="N1169" s="28">
        <f t="array" ref="N1169">_xlfn.XLOOKUP($A1169, 'Hospitalisation Details'!$A:$A, 'Hospitalisation Details'!K:K, "No Data")</f>
        <v>54</v>
      </c>
      <c r="O1169" s="33">
        <f t="array" ref="O1169">_xlfn.XLOOKUP($A1169, 'Hospitalisation Details'!$A:$A, 'Hospitalisation Details'!G:G, "No Data")</f>
        <v>9630.91</v>
      </c>
      <c r="P1169" s="28" t="str">
        <f t="array" ref="P1169">_xlfn.XLOOKUP($A1169, 'Hospitalisation Details'!$A:$A, 'Hospitalisation Details'!H:H, "No Data")</f>
        <v>tier - 3</v>
      </c>
    </row>
    <row r="1170">
      <c r="A1170" s="25" t="s">
        <v>3725</v>
      </c>
      <c r="B1170" s="28" t="str">
        <f t="array" ref="B1170">_xlfn.XLOOKUP($A1170, 'Customer Names'!$A:$A, 'Customer Names'!B:B, "No Data")</f>
        <v>Peters</v>
      </c>
      <c r="C1170" s="28">
        <f t="array" ref="C1170">_xlfn.XLOOKUP($A1170, 'Medical Examinations'!$A:$A, 'Medical Examinations'!B:B, "No Data")</f>
        <v>32.3</v>
      </c>
      <c r="D1170" s="28">
        <f t="array" ref="D1170">_xlfn.XLOOKUP($A1170, 'Medical Examinations'!$A:$A, 'Medical Examinations'!C:C, "No Data")</f>
        <v>4.37</v>
      </c>
      <c r="E1170" s="28" t="str">
        <f t="array" ref="E1170">_xlfn.XLOOKUP($A1170, 'Medical Examinations'!$A:$A, 'Medical Examinations'!D:D, "No Data")</f>
        <v>No</v>
      </c>
      <c r="F1170" s="28" t="str">
        <f t="array" ref="F1170">_xlfn.XLOOKUP($A1170, 'Medical Examinations'!$A:$A, 'Medical Examinations'!E:E, "No Data")</f>
        <v>No</v>
      </c>
      <c r="G1170" s="28" t="str">
        <f t="array" ref="G1170">_xlfn.XLOOKUP($A1170, 'Medical Examinations'!$A:$A, 'Medical Examinations'!F:F, "No Data")</f>
        <v>No</v>
      </c>
      <c r="H1170" s="28">
        <f t="array" ref="H1170">_xlfn.XLOOKUP($A1170, 'Medical Examinations'!$A:$A, 'Medical Examinations'!G:G, "No Data")</f>
        <v>2</v>
      </c>
      <c r="I1170" s="28" t="str">
        <f t="array" ref="I1170">_xlfn.XLOOKUP($A1170, 'Medical Examinations'!$A:$A, 'Medical Examinations'!H:H, "No Data")</f>
        <v>No</v>
      </c>
      <c r="J1170" s="28" t="str">
        <f t="array" ref="J1170">_xlfn.XLOOKUP($A1170, 'Medical Examinations'!$A:$A, 'Medical Examinations'!I:I, "No Data")</f>
        <v>Obesity</v>
      </c>
      <c r="K1170" s="28" t="str">
        <f t="array" ref="K1170">_xlfn.XLOOKUP($A1170, 'Hospitalisation Details'!$A:$A, 'Hospitalisation Details'!I:I, "No Data")</f>
        <v>tier - 2</v>
      </c>
      <c r="L1170" s="28" t="str">
        <f t="array" ref="L1170">_xlfn.XLOOKUP($A1170, 'Hospitalisation Details'!$A:$A, 'Hospitalisation Details'!J:J, "No Data")</f>
        <v>R1011</v>
      </c>
      <c r="M1170" s="28" t="str">
        <f t="array" ref="M1170">_xlfn.XLOOKUP($A1170, 'Hospitalisation Details'!$A:$A, 'Hospitalisation Details'!E:E, "No Data")</f>
        <v>23/10/72</v>
      </c>
      <c r="N1170" s="28">
        <f t="array" ref="N1170">_xlfn.XLOOKUP($A1170, 'Hospitalisation Details'!$A:$A, 'Hospitalisation Details'!K:K, "No Data")</f>
        <v>50</v>
      </c>
      <c r="O1170" s="33">
        <f t="array" ref="O1170">_xlfn.XLOOKUP($A1170, 'Hospitalisation Details'!$A:$A, 'Hospitalisation Details'!G:G, "No Data")</f>
        <v>9630.4</v>
      </c>
      <c r="P1170" s="28" t="str">
        <f t="array" ref="P1170">_xlfn.XLOOKUP($A1170, 'Hospitalisation Details'!$A:$A, 'Hospitalisation Details'!H:H, "No Data")</f>
        <v>tier - 2</v>
      </c>
    </row>
    <row r="1171">
      <c r="A1171" s="25" t="s">
        <v>3729</v>
      </c>
      <c r="B1171" s="28" t="str">
        <f t="array" ref="B1171">_xlfn.XLOOKUP($A1171, 'Customer Names'!$A:$A, 'Customer Names'!B:B, "No Data")</f>
        <v>Bower</v>
      </c>
      <c r="C1171" s="28">
        <f t="array" ref="C1171">_xlfn.XLOOKUP($A1171, 'Medical Examinations'!$A:$A, 'Medical Examinations'!B:B, "No Data")</f>
        <v>28.61</v>
      </c>
      <c r="D1171" s="28">
        <f t="array" ref="D1171">_xlfn.XLOOKUP($A1171, 'Medical Examinations'!$A:$A, 'Medical Examinations'!C:C, "No Data")</f>
        <v>5.76</v>
      </c>
      <c r="E1171" s="28" t="str">
        <f t="array" ref="E1171">_xlfn.XLOOKUP($A1171, 'Medical Examinations'!$A:$A, 'Medical Examinations'!D:D, "No Data")</f>
        <v>No</v>
      </c>
      <c r="F1171" s="28" t="str">
        <f t="array" ref="F1171">_xlfn.XLOOKUP($A1171, 'Medical Examinations'!$A:$A, 'Medical Examinations'!E:E, "No Data")</f>
        <v>No</v>
      </c>
      <c r="G1171" s="28" t="str">
        <f t="array" ref="G1171">_xlfn.XLOOKUP($A1171, 'Medical Examinations'!$A:$A, 'Medical Examinations'!F:F, "No Data")</f>
        <v>Yes</v>
      </c>
      <c r="H1171" s="28">
        <f t="array" ref="H1171">_xlfn.XLOOKUP($A1171, 'Medical Examinations'!$A:$A, 'Medical Examinations'!G:G, "No Data")</f>
        <v>1</v>
      </c>
      <c r="I1171" s="28" t="str">
        <f t="array" ref="I1171">_xlfn.XLOOKUP($A1171, 'Medical Examinations'!$A:$A, 'Medical Examinations'!H:H, "No Data")</f>
        <v>No</v>
      </c>
      <c r="J1171" s="28" t="str">
        <f t="array" ref="J1171">_xlfn.XLOOKUP($A1171, 'Medical Examinations'!$A:$A, 'Medical Examinations'!I:I, "No Data")</f>
        <v>Overweight</v>
      </c>
      <c r="K1171" s="28" t="str">
        <f t="array" ref="K1171">_xlfn.XLOOKUP($A1171, 'Hospitalisation Details'!$A:$A, 'Hospitalisation Details'!I:I, "No Data")</f>
        <v>tier - 2</v>
      </c>
      <c r="L1171" s="28" t="str">
        <f t="array" ref="L1171">_xlfn.XLOOKUP($A1171, 'Hospitalisation Details'!$A:$A, 'Hospitalisation Details'!J:J, "No Data")</f>
        <v>R1021</v>
      </c>
      <c r="M1171" s="28" t="str">
        <f t="array" ref="M1171">_xlfn.XLOOKUP($A1171, 'Hospitalisation Details'!$A:$A, 'Hospitalisation Details'!E:E, "No Data")</f>
        <v>19/12/79</v>
      </c>
      <c r="N1171" s="28">
        <f t="array" ref="N1171">_xlfn.XLOOKUP($A1171, 'Hospitalisation Details'!$A:$A, 'Hospitalisation Details'!K:K, "No Data")</f>
        <v>43</v>
      </c>
      <c r="O1171" s="33">
        <f t="array" ref="O1171">_xlfn.XLOOKUP($A1171, 'Hospitalisation Details'!$A:$A, 'Hospitalisation Details'!G:G, "No Data")</f>
        <v>9630.3</v>
      </c>
      <c r="P1171" s="28" t="str">
        <f t="array" ref="P1171">_xlfn.XLOOKUP($A1171, 'Hospitalisation Details'!$A:$A, 'Hospitalisation Details'!H:H, "No Data")</f>
        <v>tier - 2</v>
      </c>
    </row>
    <row r="1172">
      <c r="A1172" s="25" t="s">
        <v>3733</v>
      </c>
      <c r="B1172" s="28" t="str">
        <f t="array" ref="B1172">_xlfn.XLOOKUP($A1172, 'Customer Names'!$A:$A, 'Customer Names'!B:B, "No Data")</f>
        <v>Chen</v>
      </c>
      <c r="C1172" s="28">
        <f t="array" ref="C1172">_xlfn.XLOOKUP($A1172, 'Medical Examinations'!$A:$A, 'Medical Examinations'!B:B, "No Data")</f>
        <v>45.41</v>
      </c>
      <c r="D1172" s="28">
        <f t="array" ref="D1172">_xlfn.XLOOKUP($A1172, 'Medical Examinations'!$A:$A, 'Medical Examinations'!C:C, "No Data")</f>
        <v>4.96</v>
      </c>
      <c r="E1172" s="28" t="str">
        <f t="array" ref="E1172">_xlfn.XLOOKUP($A1172, 'Medical Examinations'!$A:$A, 'Medical Examinations'!D:D, "No Data")</f>
        <v>No</v>
      </c>
      <c r="F1172" s="28" t="str">
        <f t="array" ref="F1172">_xlfn.XLOOKUP($A1172, 'Medical Examinations'!$A:$A, 'Medical Examinations'!E:E, "No Data")</f>
        <v>No</v>
      </c>
      <c r="G1172" s="28" t="str">
        <f t="array" ref="G1172">_xlfn.XLOOKUP($A1172, 'Medical Examinations'!$A:$A, 'Medical Examinations'!F:F, "No Data")</f>
        <v>No</v>
      </c>
      <c r="H1172" s="28">
        <f t="array" ref="H1172">_xlfn.XLOOKUP($A1172, 'Medical Examinations'!$A:$A, 'Medical Examinations'!G:G, "No Data")</f>
        <v>1</v>
      </c>
      <c r="I1172" s="28" t="str">
        <f t="array" ref="I1172">_xlfn.XLOOKUP($A1172, 'Medical Examinations'!$A:$A, 'Medical Examinations'!H:H, "No Data")</f>
        <v>No</v>
      </c>
      <c r="J1172" s="28" t="str">
        <f t="array" ref="J1172">_xlfn.XLOOKUP($A1172, 'Medical Examinations'!$A:$A, 'Medical Examinations'!I:I, "No Data")</f>
        <v>Obesity</v>
      </c>
      <c r="K1172" s="28" t="str">
        <f t="array" ref="K1172">_xlfn.XLOOKUP($A1172, 'Hospitalisation Details'!$A:$A, 'Hospitalisation Details'!I:I, "No Data")</f>
        <v>tier - 2</v>
      </c>
      <c r="L1172" s="28" t="str">
        <f t="array" ref="L1172">_xlfn.XLOOKUP($A1172, 'Hospitalisation Details'!$A:$A, 'Hospitalisation Details'!J:J, "No Data")</f>
        <v>R1026</v>
      </c>
      <c r="M1172" s="28" t="str">
        <f t="array" ref="M1172">_xlfn.XLOOKUP($A1172, 'Hospitalisation Details'!$A:$A, 'Hospitalisation Details'!E:E, "No Data")</f>
        <v>23/06/98</v>
      </c>
      <c r="N1172" s="28">
        <f t="array" ref="N1172">_xlfn.XLOOKUP($A1172, 'Hospitalisation Details'!$A:$A, 'Hospitalisation Details'!K:K, "No Data")</f>
        <v>24</v>
      </c>
      <c r="O1172" s="33">
        <f t="array" ref="O1172">_xlfn.XLOOKUP($A1172, 'Hospitalisation Details'!$A:$A, 'Hospitalisation Details'!G:G, "No Data")</f>
        <v>9628.79</v>
      </c>
      <c r="P1172" s="28" t="str">
        <f t="array" ref="P1172">_xlfn.XLOOKUP($A1172, 'Hospitalisation Details'!$A:$A, 'Hospitalisation Details'!H:H, "No Data")</f>
        <v>tier - 2</v>
      </c>
    </row>
    <row r="1173">
      <c r="A1173" s="25" t="s">
        <v>3736</v>
      </c>
      <c r="B1173" s="28" t="str">
        <f t="array" ref="B1173">_xlfn.XLOOKUP($A1173, 'Customer Names'!$A:$A, 'Customer Names'!B:B, "No Data")</f>
        <v>Capriccioso</v>
      </c>
      <c r="C1173" s="28">
        <f t="array" ref="C1173">_xlfn.XLOOKUP($A1173, 'Medical Examinations'!$A:$A, 'Medical Examinations'!B:B, "No Data")</f>
        <v>31.2</v>
      </c>
      <c r="D1173" s="28">
        <f t="array" ref="D1173">_xlfn.XLOOKUP($A1173, 'Medical Examinations'!$A:$A, 'Medical Examinations'!C:C, "No Data")</f>
        <v>11.04</v>
      </c>
      <c r="E1173" s="28" t="str">
        <f t="array" ref="E1173">_xlfn.XLOOKUP($A1173, 'Medical Examinations'!$A:$A, 'Medical Examinations'!D:D, "No Data")</f>
        <v>yes</v>
      </c>
      <c r="F1173" s="28" t="str">
        <f t="array" ref="F1173">_xlfn.XLOOKUP($A1173, 'Medical Examinations'!$A:$A, 'Medical Examinations'!E:E, "No Data")</f>
        <v>No</v>
      </c>
      <c r="G1173" s="28" t="str">
        <f t="array" ref="G1173">_xlfn.XLOOKUP($A1173, 'Medical Examinations'!$A:$A, 'Medical Examinations'!F:F, "No Data")</f>
        <v>No</v>
      </c>
      <c r="H1173" s="28">
        <f t="array" ref="H1173">_xlfn.XLOOKUP($A1173, 'Medical Examinations'!$A:$A, 'Medical Examinations'!G:G, "No Data")</f>
        <v>2</v>
      </c>
      <c r="I1173" s="28" t="str">
        <f t="array" ref="I1173">_xlfn.XLOOKUP($A1173, 'Medical Examinations'!$A:$A, 'Medical Examinations'!H:H, "No Data")</f>
        <v>No</v>
      </c>
      <c r="J1173" s="28" t="str">
        <f t="array" ref="J1173">_xlfn.XLOOKUP($A1173, 'Medical Examinations'!$A:$A, 'Medical Examinations'!I:I, "No Data")</f>
        <v>Obesity</v>
      </c>
      <c r="K1173" s="28" t="str">
        <f t="array" ref="K1173">_xlfn.XLOOKUP($A1173, 'Hospitalisation Details'!$A:$A, 'Hospitalisation Details'!I:I, "No Data")</f>
        <v>tier - 3</v>
      </c>
      <c r="L1173" s="28" t="str">
        <f t="array" ref="L1173">_xlfn.XLOOKUP($A1173, 'Hospitalisation Details'!$A:$A, 'Hospitalisation Details'!J:J, "No Data")</f>
        <v>R1011</v>
      </c>
      <c r="M1173" s="28" t="str">
        <f t="array" ref="M1173">_xlfn.XLOOKUP($A1173, 'Hospitalisation Details'!$A:$A, 'Hospitalisation Details'!E:E, "No Data")</f>
        <v>16/12/70</v>
      </c>
      <c r="N1173" s="28">
        <f t="array" ref="N1173">_xlfn.XLOOKUP($A1173, 'Hospitalisation Details'!$A:$A, 'Hospitalisation Details'!K:K, "No Data")</f>
        <v>52</v>
      </c>
      <c r="O1173" s="33">
        <f t="array" ref="O1173">_xlfn.XLOOKUP($A1173, 'Hospitalisation Details'!$A:$A, 'Hospitalisation Details'!G:G, "No Data")</f>
        <v>9625.92</v>
      </c>
      <c r="P1173" s="28" t="str">
        <f t="array" ref="P1173">_xlfn.XLOOKUP($A1173, 'Hospitalisation Details'!$A:$A, 'Hospitalisation Details'!H:H, "No Data")</f>
        <v>tier - 2</v>
      </c>
    </row>
    <row r="1174">
      <c r="A1174" s="25" t="s">
        <v>3740</v>
      </c>
      <c r="B1174" s="28" t="str">
        <f t="array" ref="B1174">_xlfn.XLOOKUP($A1174, 'Customer Names'!$A:$A, 'Customer Names'!B:B, "No Data")</f>
        <v>Starbuck</v>
      </c>
      <c r="C1174" s="28">
        <f t="array" ref="C1174">_xlfn.XLOOKUP($A1174, 'Medical Examinations'!$A:$A, 'Medical Examinations'!B:B, "No Data")</f>
        <v>29.83</v>
      </c>
      <c r="D1174" s="28">
        <f t="array" ref="D1174">_xlfn.XLOOKUP($A1174, 'Medical Examinations'!$A:$A, 'Medical Examinations'!C:C, "No Data")</f>
        <v>7.81</v>
      </c>
      <c r="E1174" s="28" t="str">
        <f t="array" ref="E1174">_xlfn.XLOOKUP($A1174, 'Medical Examinations'!$A:$A, 'Medical Examinations'!D:D, "No Data")</f>
        <v>yes</v>
      </c>
      <c r="F1174" s="28" t="str">
        <f t="array" ref="F1174">_xlfn.XLOOKUP($A1174, 'Medical Examinations'!$A:$A, 'Medical Examinations'!E:E, "No Data")</f>
        <v>No</v>
      </c>
      <c r="G1174" s="28" t="str">
        <f t="array" ref="G1174">_xlfn.XLOOKUP($A1174, 'Medical Examinations'!$A:$A, 'Medical Examinations'!F:F, "No Data")</f>
        <v>No</v>
      </c>
      <c r="H1174" s="28">
        <f t="array" ref="H1174">_xlfn.XLOOKUP($A1174, 'Medical Examinations'!$A:$A, 'Medical Examinations'!G:G, "No Data")</f>
        <v>1</v>
      </c>
      <c r="I1174" s="28" t="str">
        <f t="array" ref="I1174">_xlfn.XLOOKUP($A1174, 'Medical Examinations'!$A:$A, 'Medical Examinations'!H:H, "No Data")</f>
        <v>No</v>
      </c>
      <c r="J1174" s="28" t="str">
        <f t="array" ref="J1174">_xlfn.XLOOKUP($A1174, 'Medical Examinations'!$A:$A, 'Medical Examinations'!I:I, "No Data")</f>
        <v>Overweight</v>
      </c>
      <c r="K1174" s="28" t="str">
        <f t="array" ref="K1174">_xlfn.XLOOKUP($A1174, 'Hospitalisation Details'!$A:$A, 'Hospitalisation Details'!I:I, "No Data")</f>
        <v>tier - 3</v>
      </c>
      <c r="L1174" s="28" t="str">
        <f t="array" ref="L1174">_xlfn.XLOOKUP($A1174, 'Hospitalisation Details'!$A:$A, 'Hospitalisation Details'!J:J, "No Data")</f>
        <v>R1012</v>
      </c>
      <c r="M1174" s="28" t="str">
        <f t="array" ref="M1174">_xlfn.XLOOKUP($A1174, 'Hospitalisation Details'!$A:$A, 'Hospitalisation Details'!E:E, "No Data")</f>
        <v>29/10/75</v>
      </c>
      <c r="N1174" s="28">
        <f t="array" ref="N1174">_xlfn.XLOOKUP($A1174, 'Hospitalisation Details'!$A:$A, 'Hospitalisation Details'!K:K, "No Data")</f>
        <v>47</v>
      </c>
      <c r="O1174" s="33">
        <f t="array" ref="O1174">_xlfn.XLOOKUP($A1174, 'Hospitalisation Details'!$A:$A, 'Hospitalisation Details'!G:G, "No Data")</f>
        <v>9620.33</v>
      </c>
      <c r="P1174" s="28" t="str">
        <f t="array" ref="P1174">_xlfn.XLOOKUP($A1174, 'Hospitalisation Details'!$A:$A, 'Hospitalisation Details'!H:H, "No Data")</f>
        <v>tier - 3</v>
      </c>
    </row>
    <row r="1175">
      <c r="A1175" s="25" t="s">
        <v>3744</v>
      </c>
      <c r="B1175" s="28" t="str">
        <f t="array" ref="B1175">_xlfn.XLOOKUP($A1175, 'Customer Names'!$A:$A, 'Customer Names'!B:B, "No Data")</f>
        <v>McMahon</v>
      </c>
      <c r="C1175" s="28">
        <f t="array" ref="C1175">_xlfn.XLOOKUP($A1175, 'Medical Examinations'!$A:$A, 'Medical Examinations'!B:B, "No Data")</f>
        <v>29.06</v>
      </c>
      <c r="D1175" s="28">
        <f t="array" ref="D1175">_xlfn.XLOOKUP($A1175, 'Medical Examinations'!$A:$A, 'Medical Examinations'!C:C, "No Data")</f>
        <v>4.55</v>
      </c>
      <c r="E1175" s="28" t="str">
        <f t="array" ref="E1175">_xlfn.XLOOKUP($A1175, 'Medical Examinations'!$A:$A, 'Medical Examinations'!D:D, "No Data")</f>
        <v>No</v>
      </c>
      <c r="F1175" s="28" t="str">
        <f t="array" ref="F1175">_xlfn.XLOOKUP($A1175, 'Medical Examinations'!$A:$A, 'Medical Examinations'!E:E, "No Data")</f>
        <v>No</v>
      </c>
      <c r="G1175" s="28" t="str">
        <f t="array" ref="G1175">_xlfn.XLOOKUP($A1175, 'Medical Examinations'!$A:$A, 'Medical Examinations'!F:F, "No Data")</f>
        <v>No</v>
      </c>
      <c r="H1175" s="28">
        <f t="array" ref="H1175">_xlfn.XLOOKUP($A1175, 'Medical Examinations'!$A:$A, 'Medical Examinations'!G:G, "No Data")</f>
        <v>0</v>
      </c>
      <c r="I1175" s="28" t="str">
        <f t="array" ref="I1175">_xlfn.XLOOKUP($A1175, 'Medical Examinations'!$A:$A, 'Medical Examinations'!H:H, "No Data")</f>
        <v>No</v>
      </c>
      <c r="J1175" s="28" t="str">
        <f t="array" ref="J1175">_xlfn.XLOOKUP($A1175, 'Medical Examinations'!$A:$A, 'Medical Examinations'!I:I, "No Data")</f>
        <v>Overweight</v>
      </c>
      <c r="K1175" s="28" t="str">
        <f t="array" ref="K1175">_xlfn.XLOOKUP($A1175, 'Hospitalisation Details'!$A:$A, 'Hospitalisation Details'!I:I, "No Data")</f>
        <v>tier - 1</v>
      </c>
      <c r="L1175" s="28" t="str">
        <f t="array" ref="L1175">_xlfn.XLOOKUP($A1175, 'Hospitalisation Details'!$A:$A, 'Hospitalisation Details'!J:J, "No Data")</f>
        <v>R1025</v>
      </c>
      <c r="M1175" s="28" t="str">
        <f t="array" ref="M1175">_xlfn.XLOOKUP($A1175, 'Hospitalisation Details'!$A:$A, 'Hospitalisation Details'!E:E, "No Data")</f>
        <v>29/08/82</v>
      </c>
      <c r="N1175" s="28">
        <f t="array" ref="N1175">_xlfn.XLOOKUP($A1175, 'Hospitalisation Details'!$A:$A, 'Hospitalisation Details'!K:K, "No Data")</f>
        <v>40</v>
      </c>
      <c r="O1175" s="33">
        <f t="array" ref="O1175">_xlfn.XLOOKUP($A1175, 'Hospitalisation Details'!$A:$A, 'Hospitalisation Details'!G:G, "No Data")</f>
        <v>9619.18</v>
      </c>
      <c r="P1175" s="28" t="str">
        <f t="array" ref="P1175">_xlfn.XLOOKUP($A1175, 'Hospitalisation Details'!$A:$A, 'Hospitalisation Details'!H:H, "No Data")</f>
        <v>tier - 2</v>
      </c>
    </row>
    <row r="1176">
      <c r="A1176" s="25" t="s">
        <v>3748</v>
      </c>
      <c r="B1176" s="28" t="str">
        <f t="array" ref="B1176">_xlfn.XLOOKUP($A1176, 'Customer Names'!$A:$A, 'Customer Names'!B:B, "No Data")</f>
        <v>Rissell</v>
      </c>
      <c r="C1176" s="28">
        <f t="array" ref="C1176">_xlfn.XLOOKUP($A1176, 'Medical Examinations'!$A:$A, 'Medical Examinations'!B:B, "No Data")</f>
        <v>27.455</v>
      </c>
      <c r="D1176" s="28">
        <f t="array" ref="D1176">_xlfn.XLOOKUP($A1176, 'Medical Examinations'!$A:$A, 'Medical Examinations'!C:C, "No Data")</f>
        <v>6.13</v>
      </c>
      <c r="E1176" s="28" t="str">
        <f t="array" ref="E1176">_xlfn.XLOOKUP($A1176, 'Medical Examinations'!$A:$A, 'Medical Examinations'!D:D, "No Data")</f>
        <v>No</v>
      </c>
      <c r="F1176" s="28" t="str">
        <f t="array" ref="F1176">_xlfn.XLOOKUP($A1176, 'Medical Examinations'!$A:$A, 'Medical Examinations'!E:E, "No Data")</f>
        <v>No</v>
      </c>
      <c r="G1176" s="28" t="str">
        <f t="array" ref="G1176">_xlfn.XLOOKUP($A1176, 'Medical Examinations'!$A:$A, 'Medical Examinations'!F:F, "No Data")</f>
        <v>No</v>
      </c>
      <c r="H1176" s="28">
        <f t="array" ref="H1176">_xlfn.XLOOKUP($A1176, 'Medical Examinations'!$A:$A, 'Medical Examinations'!G:G, "No Data")</f>
        <v>2</v>
      </c>
      <c r="I1176" s="28" t="str">
        <f t="array" ref="I1176">_xlfn.XLOOKUP($A1176, 'Medical Examinations'!$A:$A, 'Medical Examinations'!H:H, "No Data")</f>
        <v>No</v>
      </c>
      <c r="J1176" s="28" t="str">
        <f t="array" ref="J1176">_xlfn.XLOOKUP($A1176, 'Medical Examinations'!$A:$A, 'Medical Examinations'!I:I, "No Data")</f>
        <v>Overweight</v>
      </c>
      <c r="K1176" s="28" t="str">
        <f t="array" ref="K1176">_xlfn.XLOOKUP($A1176, 'Hospitalisation Details'!$A:$A, 'Hospitalisation Details'!I:I, "No Data")</f>
        <v>tier - 3</v>
      </c>
      <c r="L1176" s="28" t="str">
        <f t="array" ref="L1176">_xlfn.XLOOKUP($A1176, 'Hospitalisation Details'!$A:$A, 'Hospitalisation Details'!J:J, "No Data")</f>
        <v>R1016</v>
      </c>
      <c r="M1176" s="28" t="str">
        <f t="array" ref="M1176">_xlfn.XLOOKUP($A1176, 'Hospitalisation Details'!$A:$A, 'Hospitalisation Details'!E:E, "No Data")</f>
        <v>27/12/72</v>
      </c>
      <c r="N1176" s="28">
        <f t="array" ref="N1176">_xlfn.XLOOKUP($A1176, 'Hospitalisation Details'!$A:$A, 'Hospitalisation Details'!K:K, "No Data")</f>
        <v>50</v>
      </c>
      <c r="O1176" s="33">
        <f t="array" ref="O1176">_xlfn.XLOOKUP($A1176, 'Hospitalisation Details'!$A:$A, 'Hospitalisation Details'!G:G, "No Data")</f>
        <v>9617.66</v>
      </c>
      <c r="P1176" s="28" t="str">
        <f t="array" ref="P1176">_xlfn.XLOOKUP($A1176, 'Hospitalisation Details'!$A:$A, 'Hospitalisation Details'!H:H, "No Data")</f>
        <v>tier - 3</v>
      </c>
    </row>
    <row r="1177">
      <c r="A1177" s="25" t="s">
        <v>3751</v>
      </c>
      <c r="B1177" s="28" t="str">
        <f t="array" ref="B1177">_xlfn.XLOOKUP($A1177, 'Customer Names'!$A:$A, 'Customer Names'!B:B, "No Data")</f>
        <v>Kromroy</v>
      </c>
      <c r="C1177" s="28">
        <f t="array" ref="C1177">_xlfn.XLOOKUP($A1177, 'Medical Examinations'!$A:$A, 'Medical Examinations'!B:B, "No Data")</f>
        <v>23.01</v>
      </c>
      <c r="D1177" s="28">
        <f t="array" ref="D1177">_xlfn.XLOOKUP($A1177, 'Medical Examinations'!$A:$A, 'Medical Examinations'!C:C, "No Data")</f>
        <v>6.04</v>
      </c>
      <c r="E1177" s="28" t="str">
        <f t="array" ref="E1177">_xlfn.XLOOKUP($A1177, 'Medical Examinations'!$A:$A, 'Medical Examinations'!D:D, "No Data")</f>
        <v>yes</v>
      </c>
      <c r="F1177" s="28" t="str">
        <f t="array" ref="F1177">_xlfn.XLOOKUP($A1177, 'Medical Examinations'!$A:$A, 'Medical Examinations'!E:E, "No Data")</f>
        <v>No</v>
      </c>
      <c r="G1177" s="28" t="str">
        <f t="array" ref="G1177">_xlfn.XLOOKUP($A1177, 'Medical Examinations'!$A:$A, 'Medical Examinations'!F:F, "No Data")</f>
        <v>No</v>
      </c>
      <c r="H1177" s="28">
        <f t="array" ref="H1177">_xlfn.XLOOKUP($A1177, 'Medical Examinations'!$A:$A, 'Medical Examinations'!G:G, "No Data")</f>
        <v>1</v>
      </c>
      <c r="I1177" s="28" t="str">
        <f t="array" ref="I1177">_xlfn.XLOOKUP($A1177, 'Medical Examinations'!$A:$A, 'Medical Examinations'!H:H, "No Data")</f>
        <v>No</v>
      </c>
      <c r="J1177" s="28" t="str">
        <f t="array" ref="J1177">_xlfn.XLOOKUP($A1177, 'Medical Examinations'!$A:$A, 'Medical Examinations'!I:I, "No Data")</f>
        <v>Normal Weight</v>
      </c>
      <c r="K1177" s="28" t="str">
        <f t="array" ref="K1177">_xlfn.XLOOKUP($A1177, 'Hospitalisation Details'!$A:$A, 'Hospitalisation Details'!I:I, "No Data")</f>
        <v>tier - 3</v>
      </c>
      <c r="L1177" s="28" t="str">
        <f t="array" ref="L1177">_xlfn.XLOOKUP($A1177, 'Hospitalisation Details'!$A:$A, 'Hospitalisation Details'!J:J, "No Data")</f>
        <v>R1013</v>
      </c>
      <c r="M1177" s="28" t="str">
        <f t="array" ref="M1177">_xlfn.XLOOKUP($A1177, 'Hospitalisation Details'!$A:$A, 'Hospitalisation Details'!E:E, "No Data")</f>
        <v>15/12/64</v>
      </c>
      <c r="N1177" s="28">
        <f t="array" ref="N1177">_xlfn.XLOOKUP($A1177, 'Hospitalisation Details'!$A:$A, 'Hospitalisation Details'!K:K, "No Data")</f>
        <v>58</v>
      </c>
      <c r="O1177" s="33">
        <f t="array" ref="O1177">_xlfn.XLOOKUP($A1177, 'Hospitalisation Details'!$A:$A, 'Hospitalisation Details'!G:G, "No Data")</f>
        <v>9597.63</v>
      </c>
      <c r="P1177" s="28" t="str">
        <f t="array" ref="P1177">_xlfn.XLOOKUP($A1177, 'Hospitalisation Details'!$A:$A, 'Hospitalisation Details'!H:H, "No Data")</f>
        <v>tier - 3</v>
      </c>
    </row>
    <row r="1178">
      <c r="A1178" s="25" t="s">
        <v>3755</v>
      </c>
      <c r="B1178" s="28" t="str">
        <f t="array" ref="B1178">_xlfn.XLOOKUP($A1178, 'Customer Names'!$A:$A, 'Customer Names'!B:B, "No Data")</f>
        <v>Manfredi</v>
      </c>
      <c r="C1178" s="28">
        <f t="array" ref="C1178">_xlfn.XLOOKUP($A1178, 'Medical Examinations'!$A:$A, 'Medical Examinations'!B:B, "No Data")</f>
        <v>31.39</v>
      </c>
      <c r="D1178" s="28">
        <f t="array" ref="D1178">_xlfn.XLOOKUP($A1178, 'Medical Examinations'!$A:$A, 'Medical Examinations'!C:C, "No Data")</f>
        <v>8.85</v>
      </c>
      <c r="E1178" s="28" t="str">
        <f t="array" ref="E1178">_xlfn.XLOOKUP($A1178, 'Medical Examinations'!$A:$A, 'Medical Examinations'!D:D, "No Data")</f>
        <v>yes</v>
      </c>
      <c r="F1178" s="28" t="str">
        <f t="array" ref="F1178">_xlfn.XLOOKUP($A1178, 'Medical Examinations'!$A:$A, 'Medical Examinations'!E:E, "No Data")</f>
        <v>No</v>
      </c>
      <c r="G1178" s="28" t="str">
        <f t="array" ref="G1178">_xlfn.XLOOKUP($A1178, 'Medical Examinations'!$A:$A, 'Medical Examinations'!F:F, "No Data")</f>
        <v>No</v>
      </c>
      <c r="H1178" s="28">
        <f t="array" ref="H1178">_xlfn.XLOOKUP($A1178, 'Medical Examinations'!$A:$A, 'Medical Examinations'!G:G, "No Data")</f>
        <v>0</v>
      </c>
      <c r="I1178" s="28" t="str">
        <f t="array" ref="I1178">_xlfn.XLOOKUP($A1178, 'Medical Examinations'!$A:$A, 'Medical Examinations'!H:H, "No Data")</f>
        <v>No</v>
      </c>
      <c r="J1178" s="28" t="str">
        <f t="array" ref="J1178">_xlfn.XLOOKUP($A1178, 'Medical Examinations'!$A:$A, 'Medical Examinations'!I:I, "No Data")</f>
        <v>Obesity</v>
      </c>
      <c r="K1178" s="28" t="str">
        <f t="array" ref="K1178">_xlfn.XLOOKUP($A1178, 'Hospitalisation Details'!$A:$A, 'Hospitalisation Details'!I:I, "No Data")</f>
        <v>tier - 1</v>
      </c>
      <c r="L1178" s="28" t="str">
        <f t="array" ref="L1178">_xlfn.XLOOKUP($A1178, 'Hospitalisation Details'!$A:$A, 'Hospitalisation Details'!J:J, "No Data")</f>
        <v>R1021</v>
      </c>
      <c r="M1178" s="28" t="str">
        <f t="array" ref="M1178">_xlfn.XLOOKUP($A1178, 'Hospitalisation Details'!$A:$A, 'Hospitalisation Details'!E:E, "No Data")</f>
        <v>18/10/81</v>
      </c>
      <c r="N1178" s="28">
        <f t="array" ref="N1178">_xlfn.XLOOKUP($A1178, 'Hospitalisation Details'!$A:$A, 'Hospitalisation Details'!K:K, "No Data")</f>
        <v>41</v>
      </c>
      <c r="O1178" s="33">
        <f t="array" ref="O1178">_xlfn.XLOOKUP($A1178, 'Hospitalisation Details'!$A:$A, 'Hospitalisation Details'!G:G, "No Data")</f>
        <v>9584.04</v>
      </c>
      <c r="P1178" s="28" t="str">
        <f t="array" ref="P1178">_xlfn.XLOOKUP($A1178, 'Hospitalisation Details'!$A:$A, 'Hospitalisation Details'!H:H, "No Data")</f>
        <v>tier - 2</v>
      </c>
    </row>
    <row r="1179">
      <c r="A1179" s="25" t="s">
        <v>3759</v>
      </c>
      <c r="B1179" s="28" t="str">
        <f t="array" ref="B1179">_xlfn.XLOOKUP($A1179, 'Customer Names'!$A:$A, 'Customer Names'!B:B, "No Data")</f>
        <v>Manwaring</v>
      </c>
      <c r="C1179" s="28">
        <f t="array" ref="C1179">_xlfn.XLOOKUP($A1179, 'Medical Examinations'!$A:$A, 'Medical Examinations'!B:B, "No Data")</f>
        <v>34.77</v>
      </c>
      <c r="D1179" s="28">
        <f t="array" ref="D1179">_xlfn.XLOOKUP($A1179, 'Medical Examinations'!$A:$A, 'Medical Examinations'!C:C, "No Data")</f>
        <v>10.54</v>
      </c>
      <c r="E1179" s="28" t="str">
        <f t="array" ref="E1179">_xlfn.XLOOKUP($A1179, 'Medical Examinations'!$A:$A, 'Medical Examinations'!D:D, "No Data")</f>
        <v>No</v>
      </c>
      <c r="F1179" s="28" t="str">
        <f t="array" ref="F1179">_xlfn.XLOOKUP($A1179, 'Medical Examinations'!$A:$A, 'Medical Examinations'!E:E, "No Data")</f>
        <v>No</v>
      </c>
      <c r="G1179" s="28" t="str">
        <f t="array" ref="G1179">_xlfn.XLOOKUP($A1179, 'Medical Examinations'!$A:$A, 'Medical Examinations'!F:F, "No Data")</f>
        <v>No</v>
      </c>
      <c r="H1179" s="28">
        <f t="array" ref="H1179">_xlfn.XLOOKUP($A1179, 'Medical Examinations'!$A:$A, 'Medical Examinations'!G:G, "No Data")</f>
        <v>2</v>
      </c>
      <c r="I1179" s="28" t="str">
        <f t="array" ref="I1179">_xlfn.XLOOKUP($A1179, 'Medical Examinations'!$A:$A, 'Medical Examinations'!H:H, "No Data")</f>
        <v>No</v>
      </c>
      <c r="J1179" s="28" t="str">
        <f t="array" ref="J1179">_xlfn.XLOOKUP($A1179, 'Medical Examinations'!$A:$A, 'Medical Examinations'!I:I, "No Data")</f>
        <v>Obesity</v>
      </c>
      <c r="K1179" s="28" t="str">
        <f t="array" ref="K1179">_xlfn.XLOOKUP($A1179, 'Hospitalisation Details'!$A:$A, 'Hospitalisation Details'!I:I, "No Data")</f>
        <v>tier - 3</v>
      </c>
      <c r="L1179" s="28" t="str">
        <f t="array" ref="L1179">_xlfn.XLOOKUP($A1179, 'Hospitalisation Details'!$A:$A, 'Hospitalisation Details'!J:J, "No Data")</f>
        <v>R1012</v>
      </c>
      <c r="M1179" s="28" t="str">
        <f t="array" ref="M1179">_xlfn.XLOOKUP($A1179, 'Hospitalisation Details'!$A:$A, 'Hospitalisation Details'!E:E, "No Data")</f>
        <v>28/11/73</v>
      </c>
      <c r="N1179" s="28">
        <f t="array" ref="N1179">_xlfn.XLOOKUP($A1179, 'Hospitalisation Details'!$A:$A, 'Hospitalisation Details'!K:K, "No Data")</f>
        <v>49</v>
      </c>
      <c r="O1179" s="33">
        <f t="array" ref="O1179">_xlfn.XLOOKUP($A1179, 'Hospitalisation Details'!$A:$A, 'Hospitalisation Details'!G:G, "No Data")</f>
        <v>9583.89</v>
      </c>
      <c r="P1179" s="28" t="str">
        <f t="array" ref="P1179">_xlfn.XLOOKUP($A1179, 'Hospitalisation Details'!$A:$A, 'Hospitalisation Details'!H:H, "No Data")</f>
        <v>tier - 2</v>
      </c>
    </row>
    <row r="1180">
      <c r="A1180" s="25" t="s">
        <v>3763</v>
      </c>
      <c r="B1180" s="28" t="str">
        <f t="array" ref="B1180">_xlfn.XLOOKUP($A1180, 'Customer Names'!$A:$A, 'Customer Names'!B:B, "No Data")</f>
        <v>Tomaszewski</v>
      </c>
      <c r="C1180" s="28">
        <f t="array" ref="C1180">_xlfn.XLOOKUP($A1180, 'Medical Examinations'!$A:$A, 'Medical Examinations'!B:B, "No Data")</f>
        <v>24.48</v>
      </c>
      <c r="D1180" s="28">
        <f t="array" ref="D1180">_xlfn.XLOOKUP($A1180, 'Medical Examinations'!$A:$A, 'Medical Examinations'!C:C, "No Data")</f>
        <v>4.37</v>
      </c>
      <c r="E1180" s="28" t="str">
        <f t="array" ref="E1180">_xlfn.XLOOKUP($A1180, 'Medical Examinations'!$A:$A, 'Medical Examinations'!D:D, "No Data")</f>
        <v>yes</v>
      </c>
      <c r="F1180" s="28" t="str">
        <f t="array" ref="F1180">_xlfn.XLOOKUP($A1180, 'Medical Examinations'!$A:$A, 'Medical Examinations'!E:E, "No Data")</f>
        <v>No</v>
      </c>
      <c r="G1180" s="28" t="str">
        <f t="array" ref="G1180">_xlfn.XLOOKUP($A1180, 'Medical Examinations'!$A:$A, 'Medical Examinations'!F:F, "No Data")</f>
        <v>No</v>
      </c>
      <c r="H1180" s="28">
        <f t="array" ref="H1180">_xlfn.XLOOKUP($A1180, 'Medical Examinations'!$A:$A, 'Medical Examinations'!G:G, "No Data")</f>
        <v>2</v>
      </c>
      <c r="I1180" s="28" t="str">
        <f t="array" ref="I1180">_xlfn.XLOOKUP($A1180, 'Medical Examinations'!$A:$A, 'Medical Examinations'!H:H, "No Data")</f>
        <v>No</v>
      </c>
      <c r="J1180" s="28" t="str">
        <f t="array" ref="J1180">_xlfn.XLOOKUP($A1180, 'Medical Examinations'!$A:$A, 'Medical Examinations'!I:I, "No Data")</f>
        <v>Normal Weight</v>
      </c>
      <c r="K1180" s="28" t="str">
        <f t="array" ref="K1180">_xlfn.XLOOKUP($A1180, 'Hospitalisation Details'!$A:$A, 'Hospitalisation Details'!I:I, "No Data")</f>
        <v>tier - 2</v>
      </c>
      <c r="L1180" s="28" t="str">
        <f t="array" ref="L1180">_xlfn.XLOOKUP($A1180, 'Hospitalisation Details'!$A:$A, 'Hospitalisation Details'!J:J, "No Data")</f>
        <v>R1013</v>
      </c>
      <c r="M1180" s="28" t="str">
        <f t="array" ref="M1180">_xlfn.XLOOKUP($A1180, 'Hospitalisation Details'!$A:$A, 'Hospitalisation Details'!E:E, "No Data")</f>
        <v>04/12/66</v>
      </c>
      <c r="N1180" s="28">
        <f t="array" ref="N1180">_xlfn.XLOOKUP($A1180, 'Hospitalisation Details'!$A:$A, 'Hospitalisation Details'!K:K, "No Data")</f>
        <v>56</v>
      </c>
      <c r="O1180" s="33">
        <f t="array" ref="O1180">_xlfn.XLOOKUP($A1180, 'Hospitalisation Details'!$A:$A, 'Hospitalisation Details'!G:G, "No Data")</f>
        <v>9582.54</v>
      </c>
      <c r="P1180" s="28" t="str">
        <f t="array" ref="P1180">_xlfn.XLOOKUP($A1180, 'Hospitalisation Details'!$A:$A, 'Hospitalisation Details'!H:H, "No Data")</f>
        <v>tier - 3</v>
      </c>
    </row>
    <row r="1181">
      <c r="A1181" s="25" t="s">
        <v>3766</v>
      </c>
      <c r="B1181" s="28" t="str">
        <f t="array" ref="B1181">_xlfn.XLOOKUP($A1181, 'Customer Names'!$A:$A, 'Customer Names'!B:B, "No Data")</f>
        <v>Gannon</v>
      </c>
      <c r="C1181" s="28">
        <f t="array" ref="C1181">_xlfn.XLOOKUP($A1181, 'Medical Examinations'!$A:$A, 'Medical Examinations'!B:B, "No Data")</f>
        <v>22.61</v>
      </c>
      <c r="D1181" s="28">
        <f t="array" ref="D1181">_xlfn.XLOOKUP($A1181, 'Medical Examinations'!$A:$A, 'Medical Examinations'!C:C, "No Data")</f>
        <v>9.63</v>
      </c>
      <c r="E1181" s="28" t="str">
        <f t="array" ref="E1181">_xlfn.XLOOKUP($A1181, 'Medical Examinations'!$A:$A, 'Medical Examinations'!D:D, "No Data")</f>
        <v>No</v>
      </c>
      <c r="F1181" s="28" t="str">
        <f t="array" ref="F1181">_xlfn.XLOOKUP($A1181, 'Medical Examinations'!$A:$A, 'Medical Examinations'!E:E, "No Data")</f>
        <v>No</v>
      </c>
      <c r="G1181" s="28" t="str">
        <f t="array" ref="G1181">_xlfn.XLOOKUP($A1181, 'Medical Examinations'!$A:$A, 'Medical Examinations'!F:F, "No Data")</f>
        <v>No</v>
      </c>
      <c r="H1181" s="28">
        <f t="array" ref="H1181">_xlfn.XLOOKUP($A1181, 'Medical Examinations'!$A:$A, 'Medical Examinations'!G:G, "No Data")</f>
        <v>2</v>
      </c>
      <c r="I1181" s="28" t="str">
        <f t="array" ref="I1181">_xlfn.XLOOKUP($A1181, 'Medical Examinations'!$A:$A, 'Medical Examinations'!H:H, "No Data")</f>
        <v>No</v>
      </c>
      <c r="J1181" s="28" t="str">
        <f t="array" ref="J1181">_xlfn.XLOOKUP($A1181, 'Medical Examinations'!$A:$A, 'Medical Examinations'!I:I, "No Data")</f>
        <v>Normal Weight</v>
      </c>
      <c r="K1181" s="28" t="str">
        <f t="array" ref="K1181">_xlfn.XLOOKUP($A1181, 'Hospitalisation Details'!$A:$A, 'Hospitalisation Details'!I:I, "No Data")</f>
        <v>tier - 1</v>
      </c>
      <c r="L1181" s="28" t="str">
        <f t="array" ref="L1181">_xlfn.XLOOKUP($A1181, 'Hospitalisation Details'!$A:$A, 'Hospitalisation Details'!J:J, "No Data")</f>
        <v>R1012</v>
      </c>
      <c r="M1181" s="28" t="str">
        <f t="array" ref="M1181">_xlfn.XLOOKUP($A1181, 'Hospitalisation Details'!$A:$A, 'Hospitalisation Details'!E:E, "No Data")</f>
        <v>01/12/73</v>
      </c>
      <c r="N1181" s="28">
        <f t="array" ref="N1181">_xlfn.XLOOKUP($A1181, 'Hospitalisation Details'!$A:$A, 'Hospitalisation Details'!K:K, "No Data")</f>
        <v>49</v>
      </c>
      <c r="O1181" s="33">
        <f t="array" ref="O1181">_xlfn.XLOOKUP($A1181, 'Hospitalisation Details'!$A:$A, 'Hospitalisation Details'!G:G, "No Data")</f>
        <v>9566.99</v>
      </c>
      <c r="P1181" s="28" t="str">
        <f t="array" ref="P1181">_xlfn.XLOOKUP($A1181, 'Hospitalisation Details'!$A:$A, 'Hospitalisation Details'!H:H, "No Data")</f>
        <v>tier - 2</v>
      </c>
    </row>
    <row r="1182">
      <c r="A1182" s="25" t="s">
        <v>3769</v>
      </c>
      <c r="B1182" s="28" t="str">
        <f t="array" ref="B1182">_xlfn.XLOOKUP($A1182, 'Customer Names'!$A:$A, 'Customer Names'!B:B, "No Data")</f>
        <v>Frye</v>
      </c>
      <c r="C1182" s="28">
        <f t="array" ref="C1182">_xlfn.XLOOKUP($A1182, 'Medical Examinations'!$A:$A, 'Medical Examinations'!B:B, "No Data")</f>
        <v>34.3</v>
      </c>
      <c r="D1182" s="28">
        <f t="array" ref="D1182">_xlfn.XLOOKUP($A1182, 'Medical Examinations'!$A:$A, 'Medical Examinations'!C:C, "No Data")</f>
        <v>10.37</v>
      </c>
      <c r="E1182" s="28" t="str">
        <f t="array" ref="E1182">_xlfn.XLOOKUP($A1182, 'Medical Examinations'!$A:$A, 'Medical Examinations'!D:D, "No Data")</f>
        <v>No</v>
      </c>
      <c r="F1182" s="28" t="str">
        <f t="array" ref="F1182">_xlfn.XLOOKUP($A1182, 'Medical Examinations'!$A:$A, 'Medical Examinations'!E:E, "No Data")</f>
        <v>No</v>
      </c>
      <c r="G1182" s="28" t="str">
        <f t="array" ref="G1182">_xlfn.XLOOKUP($A1182, 'Medical Examinations'!$A:$A, 'Medical Examinations'!F:F, "No Data")</f>
        <v>No</v>
      </c>
      <c r="H1182" s="28">
        <f t="array" ref="H1182">_xlfn.XLOOKUP($A1182, 'Medical Examinations'!$A:$A, 'Medical Examinations'!G:G, "No Data")</f>
        <v>0</v>
      </c>
      <c r="I1182" s="28" t="str">
        <f t="array" ref="I1182">_xlfn.XLOOKUP($A1182, 'Medical Examinations'!$A:$A, 'Medical Examinations'!H:H, "No Data")</f>
        <v>No</v>
      </c>
      <c r="J1182" s="28" t="str">
        <f t="array" ref="J1182">_xlfn.XLOOKUP($A1182, 'Medical Examinations'!$A:$A, 'Medical Examinations'!I:I, "No Data")</f>
        <v>Obesity</v>
      </c>
      <c r="K1182" s="28" t="str">
        <f t="array" ref="K1182">_xlfn.XLOOKUP($A1182, 'Hospitalisation Details'!$A:$A, 'Hospitalisation Details'!I:I, "No Data")</f>
        <v>tier - 1</v>
      </c>
      <c r="L1182" s="28" t="str">
        <f t="array" ref="L1182">_xlfn.XLOOKUP($A1182, 'Hospitalisation Details'!$A:$A, 'Hospitalisation Details'!J:J, "No Data")</f>
        <v>R1011</v>
      </c>
      <c r="M1182" s="28" t="str">
        <f t="array" ref="M1182">_xlfn.XLOOKUP($A1182, 'Hospitalisation Details'!$A:$A, 'Hospitalisation Details'!E:E, "No Data")</f>
        <v>14/08/74</v>
      </c>
      <c r="N1182" s="28">
        <f t="array" ref="N1182">_xlfn.XLOOKUP($A1182, 'Hospitalisation Details'!$A:$A, 'Hospitalisation Details'!K:K, "No Data")</f>
        <v>48</v>
      </c>
      <c r="O1182" s="33">
        <f t="array" ref="O1182">_xlfn.XLOOKUP($A1182, 'Hospitalisation Details'!$A:$A, 'Hospitalisation Details'!G:G, "No Data")</f>
        <v>9563.03</v>
      </c>
      <c r="P1182" s="28" t="str">
        <f t="array" ref="P1182">_xlfn.XLOOKUP($A1182, 'Hospitalisation Details'!$A:$A, 'Hospitalisation Details'!H:H, "No Data")</f>
        <v>tier - 3</v>
      </c>
    </row>
    <row r="1183">
      <c r="A1183" s="25" t="s">
        <v>3771</v>
      </c>
      <c r="B1183" s="28" t="str">
        <f t="array" ref="B1183">_xlfn.XLOOKUP($A1183, 'Customer Names'!$A:$A, 'Customer Names'!B:B, "No Data")</f>
        <v>Jenkins</v>
      </c>
      <c r="C1183" s="28">
        <f t="array" ref="C1183">_xlfn.XLOOKUP($A1183, 'Medical Examinations'!$A:$A, 'Medical Examinations'!B:B, "No Data")</f>
        <v>46.09</v>
      </c>
      <c r="D1183" s="28">
        <f t="array" ref="D1183">_xlfn.XLOOKUP($A1183, 'Medical Examinations'!$A:$A, 'Medical Examinations'!C:C, "No Data")</f>
        <v>5.44</v>
      </c>
      <c r="E1183" s="28" t="str">
        <f t="array" ref="E1183">_xlfn.XLOOKUP($A1183, 'Medical Examinations'!$A:$A, 'Medical Examinations'!D:D, "No Data")</f>
        <v>No</v>
      </c>
      <c r="F1183" s="28" t="str">
        <f t="array" ref="F1183">_xlfn.XLOOKUP($A1183, 'Medical Examinations'!$A:$A, 'Medical Examinations'!E:E, "No Data")</f>
        <v>No</v>
      </c>
      <c r="G1183" s="28" t="str">
        <f t="array" ref="G1183">_xlfn.XLOOKUP($A1183, 'Medical Examinations'!$A:$A, 'Medical Examinations'!F:F, "No Data")</f>
        <v>No</v>
      </c>
      <c r="H1183" s="28">
        <f t="array" ref="H1183">_xlfn.XLOOKUP($A1183, 'Medical Examinations'!$A:$A, 'Medical Examinations'!G:G, "No Data")</f>
        <v>2</v>
      </c>
      <c r="I1183" s="28" t="str">
        <f t="array" ref="I1183">_xlfn.XLOOKUP($A1183, 'Medical Examinations'!$A:$A, 'Medical Examinations'!H:H, "No Data")</f>
        <v>No</v>
      </c>
      <c r="J1183" s="28" t="str">
        <f t="array" ref="J1183">_xlfn.XLOOKUP($A1183, 'Medical Examinations'!$A:$A, 'Medical Examinations'!I:I, "No Data")</f>
        <v>Obesity</v>
      </c>
      <c r="K1183" s="28" t="str">
        <f t="array" ref="K1183">_xlfn.XLOOKUP($A1183, 'Hospitalisation Details'!$A:$A, 'Hospitalisation Details'!I:I, "No Data")</f>
        <v>tier - 1</v>
      </c>
      <c r="L1183" s="28" t="str">
        <f t="array" ref="L1183">_xlfn.XLOOKUP($A1183, 'Hospitalisation Details'!$A:$A, 'Hospitalisation Details'!J:J, "No Data")</f>
        <v>R1013</v>
      </c>
      <c r="M1183" s="28" t="str">
        <f t="array" ref="M1183">_xlfn.XLOOKUP($A1183, 'Hospitalisation Details'!$A:$A, 'Hospitalisation Details'!E:E, "No Data")</f>
        <v>22/09/72</v>
      </c>
      <c r="N1183" s="28">
        <f t="array" ref="N1183">_xlfn.XLOOKUP($A1183, 'Hospitalisation Details'!$A:$A, 'Hospitalisation Details'!K:K, "No Data")</f>
        <v>50</v>
      </c>
      <c r="O1183" s="33">
        <f t="array" ref="O1183">_xlfn.XLOOKUP($A1183, 'Hospitalisation Details'!$A:$A, 'Hospitalisation Details'!G:G, "No Data")</f>
        <v>9549.57</v>
      </c>
      <c r="P1183" s="28" t="str">
        <f t="array" ref="P1183">_xlfn.XLOOKUP($A1183, 'Hospitalisation Details'!$A:$A, 'Hospitalisation Details'!H:H, "No Data")</f>
        <v>tier - 2</v>
      </c>
    </row>
    <row r="1184">
      <c r="A1184" s="25" t="s">
        <v>3775</v>
      </c>
      <c r="B1184" s="28" t="str">
        <f t="array" ref="B1184">_xlfn.XLOOKUP($A1184, 'Customer Names'!$A:$A, 'Customer Names'!B:B, "No Data")</f>
        <v>Currier</v>
      </c>
      <c r="C1184" s="28">
        <f t="array" ref="C1184">_xlfn.XLOOKUP($A1184, 'Medical Examinations'!$A:$A, 'Medical Examinations'!B:B, "No Data")</f>
        <v>44.745</v>
      </c>
      <c r="D1184" s="28">
        <f t="array" ref="D1184">_xlfn.XLOOKUP($A1184, 'Medical Examinations'!$A:$A, 'Medical Examinations'!C:C, "No Data")</f>
        <v>5.19</v>
      </c>
      <c r="E1184" s="28" t="str">
        <f t="array" ref="E1184">_xlfn.XLOOKUP($A1184, 'Medical Examinations'!$A:$A, 'Medical Examinations'!D:D, "No Data")</f>
        <v>No</v>
      </c>
      <c r="F1184" s="28" t="str">
        <f t="array" ref="F1184">_xlfn.XLOOKUP($A1184, 'Medical Examinations'!$A:$A, 'Medical Examinations'!E:E, "No Data")</f>
        <v>No</v>
      </c>
      <c r="G1184" s="28" t="str">
        <f t="array" ref="G1184">_xlfn.XLOOKUP($A1184, 'Medical Examinations'!$A:$A, 'Medical Examinations'!F:F, "No Data")</f>
        <v>No</v>
      </c>
      <c r="H1184" s="28">
        <f t="array" ref="H1184">_xlfn.XLOOKUP($A1184, 'Medical Examinations'!$A:$A, 'Medical Examinations'!G:G, "No Data")</f>
        <v>2</v>
      </c>
      <c r="I1184" s="28" t="str">
        <f t="array" ref="I1184">_xlfn.XLOOKUP($A1184, 'Medical Examinations'!$A:$A, 'Medical Examinations'!H:H, "No Data")</f>
        <v>No</v>
      </c>
      <c r="J1184" s="28" t="str">
        <f t="array" ref="J1184">_xlfn.XLOOKUP($A1184, 'Medical Examinations'!$A:$A, 'Medical Examinations'!I:I, "No Data")</f>
        <v>Obesity</v>
      </c>
      <c r="K1184" s="28" t="str">
        <f t="array" ref="K1184">_xlfn.XLOOKUP($A1184, 'Hospitalisation Details'!$A:$A, 'Hospitalisation Details'!I:I, "No Data")</f>
        <v>tier - 1</v>
      </c>
      <c r="L1184" s="28" t="str">
        <f t="array" ref="L1184">_xlfn.XLOOKUP($A1184, 'Hospitalisation Details'!$A:$A, 'Hospitalisation Details'!J:J, "No Data")</f>
        <v>R1024</v>
      </c>
      <c r="M1184" s="28" t="str">
        <f t="array" ref="M1184">_xlfn.XLOOKUP($A1184, 'Hospitalisation Details'!$A:$A, 'Hospitalisation Details'!E:E, "No Data")</f>
        <v>22/09/72</v>
      </c>
      <c r="N1184" s="28">
        <f t="array" ref="N1184">_xlfn.XLOOKUP($A1184, 'Hospitalisation Details'!$A:$A, 'Hospitalisation Details'!K:K, "No Data")</f>
        <v>50</v>
      </c>
      <c r="O1184" s="33">
        <f t="array" ref="O1184">_xlfn.XLOOKUP($A1184, 'Hospitalisation Details'!$A:$A, 'Hospitalisation Details'!G:G, "No Data")</f>
        <v>9541.7</v>
      </c>
      <c r="P1184" s="28" t="str">
        <f t="array" ref="P1184">_xlfn.XLOOKUP($A1184, 'Hospitalisation Details'!$A:$A, 'Hospitalisation Details'!H:H, "No Data")</f>
        <v>tier - 2</v>
      </c>
    </row>
    <row r="1185">
      <c r="A1185" s="25" t="s">
        <v>3779</v>
      </c>
      <c r="B1185" s="28" t="str">
        <f t="array" ref="B1185">_xlfn.XLOOKUP($A1185, 'Customer Names'!$A:$A, 'Customer Names'!B:B, "No Data")</f>
        <v>Whittendale</v>
      </c>
      <c r="C1185" s="28">
        <f t="array" ref="C1185">_xlfn.XLOOKUP($A1185, 'Medical Examinations'!$A:$A, 'Medical Examinations'!B:B, "No Data")</f>
        <v>26.33</v>
      </c>
      <c r="D1185" s="28">
        <f t="array" ref="D1185">_xlfn.XLOOKUP($A1185, 'Medical Examinations'!$A:$A, 'Medical Examinations'!C:C, "No Data")</f>
        <v>11.8</v>
      </c>
      <c r="E1185" s="28" t="str">
        <f t="array" ref="E1185">_xlfn.XLOOKUP($A1185, 'Medical Examinations'!$A:$A, 'Medical Examinations'!D:D, "No Data")</f>
        <v>yes</v>
      </c>
      <c r="F1185" s="28" t="str">
        <f t="array" ref="F1185">_xlfn.XLOOKUP($A1185, 'Medical Examinations'!$A:$A, 'Medical Examinations'!E:E, "No Data")</f>
        <v>No</v>
      </c>
      <c r="G1185" s="28" t="str">
        <f t="array" ref="G1185">_xlfn.XLOOKUP($A1185, 'Medical Examinations'!$A:$A, 'Medical Examinations'!F:F, "No Data")</f>
        <v>No</v>
      </c>
      <c r="H1185" s="28">
        <f t="array" ref="H1185">_xlfn.XLOOKUP($A1185, 'Medical Examinations'!$A:$A, 'Medical Examinations'!G:G, "No Data")</f>
        <v>1</v>
      </c>
      <c r="I1185" s="28" t="str">
        <f t="array" ref="I1185">_xlfn.XLOOKUP($A1185, 'Medical Examinations'!$A:$A, 'Medical Examinations'!H:H, "No Data")</f>
        <v>No</v>
      </c>
      <c r="J1185" s="28" t="str">
        <f t="array" ref="J1185">_xlfn.XLOOKUP($A1185, 'Medical Examinations'!$A:$A, 'Medical Examinations'!I:I, "No Data")</f>
        <v>Overweight</v>
      </c>
      <c r="K1185" s="28" t="str">
        <f t="array" ref="K1185">_xlfn.XLOOKUP($A1185, 'Hospitalisation Details'!$A:$A, 'Hospitalisation Details'!I:I, "No Data")</f>
        <v>tier - 2</v>
      </c>
      <c r="L1185" s="28" t="str">
        <f t="array" ref="L1185">_xlfn.XLOOKUP($A1185, 'Hospitalisation Details'!$A:$A, 'Hospitalisation Details'!J:J, "No Data")</f>
        <v>R1024</v>
      </c>
      <c r="M1185" s="28" t="str">
        <f t="array" ref="M1185">_xlfn.XLOOKUP($A1185, 'Hospitalisation Details'!$A:$A, 'Hospitalisation Details'!E:E, "No Data")</f>
        <v>28/07/75</v>
      </c>
      <c r="N1185" s="28">
        <f t="array" ref="N1185">_xlfn.XLOOKUP($A1185, 'Hospitalisation Details'!$A:$A, 'Hospitalisation Details'!K:K, "No Data")</f>
        <v>47</v>
      </c>
      <c r="O1185" s="33">
        <f t="array" ref="O1185">_xlfn.XLOOKUP($A1185, 'Hospitalisation Details'!$A:$A, 'Hospitalisation Details'!G:G, "No Data")</f>
        <v>9540.17</v>
      </c>
      <c r="P1185" s="28" t="str">
        <f t="array" ref="P1185">_xlfn.XLOOKUP($A1185, 'Hospitalisation Details'!$A:$A, 'Hospitalisation Details'!H:H, "No Data")</f>
        <v>tier - 2</v>
      </c>
    </row>
    <row r="1186">
      <c r="A1186" s="25" t="s">
        <v>3783</v>
      </c>
      <c r="B1186" s="28" t="str">
        <f t="array" ref="B1186">_xlfn.XLOOKUP($A1186, 'Customer Names'!$A:$A, 'Customer Names'!B:B, "No Data")</f>
        <v>Rixe</v>
      </c>
      <c r="C1186" s="28">
        <f t="array" ref="C1186">_xlfn.XLOOKUP($A1186, 'Medical Examinations'!$A:$A, 'Medical Examinations'!B:B, "No Data")</f>
        <v>26.6</v>
      </c>
      <c r="D1186" s="28">
        <f t="array" ref="D1186">_xlfn.XLOOKUP($A1186, 'Medical Examinations'!$A:$A, 'Medical Examinations'!C:C, "No Data")</f>
        <v>8.38</v>
      </c>
      <c r="E1186" s="28" t="str">
        <f t="array" ref="E1186">_xlfn.XLOOKUP($A1186, 'Medical Examinations'!$A:$A, 'Medical Examinations'!D:D, "No Data")</f>
        <v>No</v>
      </c>
      <c r="F1186" s="28" t="str">
        <f t="array" ref="F1186">_xlfn.XLOOKUP($A1186, 'Medical Examinations'!$A:$A, 'Medical Examinations'!E:E, "No Data")</f>
        <v>No</v>
      </c>
      <c r="G1186" s="28" t="str">
        <f t="array" ref="G1186">_xlfn.XLOOKUP($A1186, 'Medical Examinations'!$A:$A, 'Medical Examinations'!F:F, "No Data")</f>
        <v>No</v>
      </c>
      <c r="H1186" s="28">
        <f t="array" ref="H1186">_xlfn.XLOOKUP($A1186, 'Medical Examinations'!$A:$A, 'Medical Examinations'!G:G, "No Data")</f>
        <v>2</v>
      </c>
      <c r="I1186" s="28" t="str">
        <f t="array" ref="I1186">_xlfn.XLOOKUP($A1186, 'Medical Examinations'!$A:$A, 'Medical Examinations'!H:H, "No Data")</f>
        <v>No</v>
      </c>
      <c r="J1186" s="28" t="str">
        <f t="array" ref="J1186">_xlfn.XLOOKUP($A1186, 'Medical Examinations'!$A:$A, 'Medical Examinations'!I:I, "No Data")</f>
        <v>Overweight</v>
      </c>
      <c r="K1186" s="28" t="str">
        <f t="array" ref="K1186">_xlfn.XLOOKUP($A1186, 'Hospitalisation Details'!$A:$A, 'Hospitalisation Details'!I:I, "No Data")</f>
        <v>tier - 3</v>
      </c>
      <c r="L1186" s="28" t="str">
        <f t="array" ref="L1186">_xlfn.XLOOKUP($A1186, 'Hospitalisation Details'!$A:$A, 'Hospitalisation Details'!J:J, "No Data")</f>
        <v>R1021</v>
      </c>
      <c r="M1186" s="28" t="str">
        <f t="array" ref="M1186">_xlfn.XLOOKUP($A1186, 'Hospitalisation Details'!$A:$A, 'Hospitalisation Details'!E:E, "No Data")</f>
        <v>21/12/73</v>
      </c>
      <c r="N1186" s="28">
        <f t="array" ref="N1186">_xlfn.XLOOKUP($A1186, 'Hospitalisation Details'!$A:$A, 'Hospitalisation Details'!K:K, "No Data")</f>
        <v>49</v>
      </c>
      <c r="O1186" s="33">
        <f t="array" ref="O1186">_xlfn.XLOOKUP($A1186, 'Hospitalisation Details'!$A:$A, 'Hospitalisation Details'!G:G, "No Data")</f>
        <v>9538.65</v>
      </c>
      <c r="P1186" s="28" t="str">
        <f t="array" ref="P1186">_xlfn.XLOOKUP($A1186, 'Hospitalisation Details'!$A:$A, 'Hospitalisation Details'!H:H, "No Data")</f>
        <v>tier - 2</v>
      </c>
    </row>
    <row r="1187">
      <c r="A1187" s="25" t="s">
        <v>3787</v>
      </c>
      <c r="B1187" s="28" t="str">
        <f t="array" ref="B1187">_xlfn.XLOOKUP($A1187, 'Customer Names'!$A:$A, 'Customer Names'!B:B, "No Data")</f>
        <v>Ballon-Landa</v>
      </c>
      <c r="C1187" s="28">
        <f t="array" ref="C1187">_xlfn.XLOOKUP($A1187, 'Medical Examinations'!$A:$A, 'Medical Examinations'!B:B, "No Data")</f>
        <v>27.5</v>
      </c>
      <c r="D1187" s="28">
        <f t="array" ref="D1187">_xlfn.XLOOKUP($A1187, 'Medical Examinations'!$A:$A, 'Medical Examinations'!C:C, "No Data")</f>
        <v>7.58</v>
      </c>
      <c r="E1187" s="28" t="str">
        <f t="array" ref="E1187">_xlfn.XLOOKUP($A1187, 'Medical Examinations'!$A:$A, 'Medical Examinations'!D:D, "No Data")</f>
        <v>No</v>
      </c>
      <c r="F1187" s="28" t="str">
        <f t="array" ref="F1187">_xlfn.XLOOKUP($A1187, 'Medical Examinations'!$A:$A, 'Medical Examinations'!E:E, "No Data")</f>
        <v>No</v>
      </c>
      <c r="G1187" s="28" t="str">
        <f t="array" ref="G1187">_xlfn.XLOOKUP($A1187, 'Medical Examinations'!$A:$A, 'Medical Examinations'!F:F, "No Data")</f>
        <v>No</v>
      </c>
      <c r="H1187" s="28">
        <f t="array" ref="H1187">_xlfn.XLOOKUP($A1187, 'Medical Examinations'!$A:$A, 'Medical Examinations'!G:G, "No Data")</f>
        <v>0</v>
      </c>
      <c r="I1187" s="28" t="str">
        <f t="array" ref="I1187">_xlfn.XLOOKUP($A1187, 'Medical Examinations'!$A:$A, 'Medical Examinations'!H:H, "No Data")</f>
        <v>No</v>
      </c>
      <c r="J1187" s="28" t="str">
        <f t="array" ref="J1187">_xlfn.XLOOKUP($A1187, 'Medical Examinations'!$A:$A, 'Medical Examinations'!I:I, "No Data")</f>
        <v>Overweight</v>
      </c>
      <c r="K1187" s="28" t="str">
        <f t="array" ref="K1187">_xlfn.XLOOKUP($A1187, 'Hospitalisation Details'!$A:$A, 'Hospitalisation Details'!I:I, "No Data")</f>
        <v>tier - 2</v>
      </c>
      <c r="L1187" s="28" t="str">
        <f t="array" ref="L1187">_xlfn.XLOOKUP($A1187, 'Hospitalisation Details'!$A:$A, 'Hospitalisation Details'!J:J, "No Data")</f>
        <v>R1011</v>
      </c>
      <c r="M1187" s="28" t="str">
        <f t="array" ref="M1187">_xlfn.XLOOKUP($A1187, 'Hospitalisation Details'!$A:$A, 'Hospitalisation Details'!E:E, "No Data")</f>
        <v>29/11/71</v>
      </c>
      <c r="N1187" s="28">
        <f t="array" ref="N1187">_xlfn.XLOOKUP($A1187, 'Hospitalisation Details'!$A:$A, 'Hospitalisation Details'!K:K, "No Data")</f>
        <v>51</v>
      </c>
      <c r="O1187" s="33">
        <f t="array" ref="O1187">_xlfn.XLOOKUP($A1187, 'Hospitalisation Details'!$A:$A, 'Hospitalisation Details'!G:G, "No Data")</f>
        <v>9528.9</v>
      </c>
      <c r="P1187" s="28" t="str">
        <f t="array" ref="P1187">_xlfn.XLOOKUP($A1187, 'Hospitalisation Details'!$A:$A, 'Hospitalisation Details'!H:H, "No Data")</f>
        <v>tier - 2</v>
      </c>
    </row>
    <row r="1188">
      <c r="A1188" s="25" t="s">
        <v>3789</v>
      </c>
      <c r="B1188" s="28" t="str">
        <f t="array" ref="B1188">_xlfn.XLOOKUP($A1188, 'Customer Names'!$A:$A, 'Customer Names'!B:B, "No Data")</f>
        <v>Zaferos</v>
      </c>
      <c r="C1188" s="28">
        <f t="array" ref="C1188">_xlfn.XLOOKUP($A1188, 'Medical Examinations'!$A:$A, 'Medical Examinations'!B:B, "No Data")</f>
        <v>41.55</v>
      </c>
      <c r="D1188" s="28">
        <f t="array" ref="D1188">_xlfn.XLOOKUP($A1188, 'Medical Examinations'!$A:$A, 'Medical Examinations'!C:C, "No Data")</f>
        <v>4.61</v>
      </c>
      <c r="E1188" s="28" t="str">
        <f t="array" ref="E1188">_xlfn.XLOOKUP($A1188, 'Medical Examinations'!$A:$A, 'Medical Examinations'!D:D, "No Data")</f>
        <v>No</v>
      </c>
      <c r="F1188" s="28" t="str">
        <f t="array" ref="F1188">_xlfn.XLOOKUP($A1188, 'Medical Examinations'!$A:$A, 'Medical Examinations'!E:E, "No Data")</f>
        <v>No</v>
      </c>
      <c r="G1188" s="28" t="str">
        <f t="array" ref="G1188">_xlfn.XLOOKUP($A1188, 'Medical Examinations'!$A:$A, 'Medical Examinations'!F:F, "No Data")</f>
        <v>No</v>
      </c>
      <c r="H1188" s="28">
        <f t="array" ref="H1188">_xlfn.XLOOKUP($A1188, 'Medical Examinations'!$A:$A, 'Medical Examinations'!G:G, "No Data")</f>
        <v>1</v>
      </c>
      <c r="I1188" s="28" t="str">
        <f t="array" ref="I1188">_xlfn.XLOOKUP($A1188, 'Medical Examinations'!$A:$A, 'Medical Examinations'!H:H, "No Data")</f>
        <v>No</v>
      </c>
      <c r="J1188" s="28" t="str">
        <f t="array" ref="J1188">_xlfn.XLOOKUP($A1188, 'Medical Examinations'!$A:$A, 'Medical Examinations'!I:I, "No Data")</f>
        <v>Obesity</v>
      </c>
      <c r="K1188" s="28" t="str">
        <f t="array" ref="K1188">_xlfn.XLOOKUP($A1188, 'Hospitalisation Details'!$A:$A, 'Hospitalisation Details'!I:I, "No Data")</f>
        <v>tier - 1</v>
      </c>
      <c r="L1188" s="28" t="str">
        <f t="array" ref="L1188">_xlfn.XLOOKUP($A1188, 'Hospitalisation Details'!$A:$A, 'Hospitalisation Details'!J:J, "No Data")</f>
        <v>R1012</v>
      </c>
      <c r="M1188" s="28" t="str">
        <f t="array" ref="M1188">_xlfn.XLOOKUP($A1188, 'Hospitalisation Details'!$A:$A, 'Hospitalisation Details'!E:E, "No Data")</f>
        <v>22/08/92</v>
      </c>
      <c r="N1188" s="28">
        <f t="array" ref="N1188">_xlfn.XLOOKUP($A1188, 'Hospitalisation Details'!$A:$A, 'Hospitalisation Details'!K:K, "No Data")</f>
        <v>30</v>
      </c>
      <c r="O1188" s="33">
        <f t="array" ref="O1188">_xlfn.XLOOKUP($A1188, 'Hospitalisation Details'!$A:$A, 'Hospitalisation Details'!G:G, "No Data")</f>
        <v>9507.68</v>
      </c>
      <c r="P1188" s="28" t="str">
        <f t="array" ref="P1188">_xlfn.XLOOKUP($A1188, 'Hospitalisation Details'!$A:$A, 'Hospitalisation Details'!H:H, "No Data")</f>
        <v>tier - 2</v>
      </c>
    </row>
    <row r="1189">
      <c r="A1189" s="25" t="s">
        <v>3794</v>
      </c>
      <c r="B1189" s="28" t="str">
        <f t="array" ref="B1189">_xlfn.XLOOKUP($A1189, 'Customer Names'!$A:$A, 'Customer Names'!B:B, "No Data")</f>
        <v>Jackson</v>
      </c>
      <c r="C1189" s="28">
        <f t="array" ref="C1189">_xlfn.XLOOKUP($A1189, 'Medical Examinations'!$A:$A, 'Medical Examinations'!B:B, "No Data")</f>
        <v>41.47</v>
      </c>
      <c r="D1189" s="28">
        <f t="array" ref="D1189">_xlfn.XLOOKUP($A1189, 'Medical Examinations'!$A:$A, 'Medical Examinations'!C:C, "No Data")</f>
        <v>4.7</v>
      </c>
      <c r="E1189" s="28" t="str">
        <f t="array" ref="E1189">_xlfn.XLOOKUP($A1189, 'Medical Examinations'!$A:$A, 'Medical Examinations'!D:D, "No Data")</f>
        <v>yes</v>
      </c>
      <c r="F1189" s="28" t="str">
        <f t="array" ref="F1189">_xlfn.XLOOKUP($A1189, 'Medical Examinations'!$A:$A, 'Medical Examinations'!E:E, "No Data")</f>
        <v>No</v>
      </c>
      <c r="G1189" s="28" t="str">
        <f t="array" ref="G1189">_xlfn.XLOOKUP($A1189, 'Medical Examinations'!$A:$A, 'Medical Examinations'!F:F, "No Data")</f>
        <v>Yes</v>
      </c>
      <c r="H1189" s="28">
        <f t="array" ref="H1189">_xlfn.XLOOKUP($A1189, 'Medical Examinations'!$A:$A, 'Medical Examinations'!G:G, "No Data")</f>
        <v>1</v>
      </c>
      <c r="I1189" s="28" t="str">
        <f t="array" ref="I1189">_xlfn.XLOOKUP($A1189, 'Medical Examinations'!$A:$A, 'Medical Examinations'!H:H, "No Data")</f>
        <v>No</v>
      </c>
      <c r="J1189" s="28" t="str">
        <f t="array" ref="J1189">_xlfn.XLOOKUP($A1189, 'Medical Examinations'!$A:$A, 'Medical Examinations'!I:I, "No Data")</f>
        <v>Obesity</v>
      </c>
      <c r="K1189" s="28" t="str">
        <f t="array" ref="K1189">_xlfn.XLOOKUP($A1189, 'Hospitalisation Details'!$A:$A, 'Hospitalisation Details'!I:I, "No Data")</f>
        <v>tier - 2</v>
      </c>
      <c r="L1189" s="28" t="str">
        <f t="array" ref="L1189">_xlfn.XLOOKUP($A1189, 'Hospitalisation Details'!$A:$A, 'Hospitalisation Details'!J:J, "No Data")</f>
        <v>R1013</v>
      </c>
      <c r="M1189" s="28" t="str">
        <f t="array" ref="M1189">_xlfn.XLOOKUP($A1189, 'Hospitalisation Details'!$A:$A, 'Hospitalisation Details'!E:E, "No Data")</f>
        <v>24/08/69</v>
      </c>
      <c r="N1189" s="28">
        <f t="array" ref="N1189">_xlfn.XLOOKUP($A1189, 'Hospitalisation Details'!$A:$A, 'Hospitalisation Details'!K:K, "No Data")</f>
        <v>53</v>
      </c>
      <c r="O1189" s="33">
        <f t="array" ref="O1189">_xlfn.XLOOKUP($A1189, 'Hospitalisation Details'!$A:$A, 'Hospitalisation Details'!G:G, "No Data")</f>
        <v>9504.31</v>
      </c>
      <c r="P1189" s="28" t="str">
        <f t="array" ref="P1189">_xlfn.XLOOKUP($A1189, 'Hospitalisation Details'!$A:$A, 'Hospitalisation Details'!H:H, "No Data")</f>
        <v>tier - 3</v>
      </c>
    </row>
    <row r="1190">
      <c r="A1190" s="25" t="s">
        <v>3796</v>
      </c>
      <c r="B1190" s="28" t="str">
        <f t="array" ref="B1190">_xlfn.XLOOKUP($A1190, 'Customer Names'!$A:$A, 'Customer Names'!B:B, "No Data")</f>
        <v>Evans Marke</v>
      </c>
      <c r="C1190" s="28">
        <f t="array" ref="C1190">_xlfn.XLOOKUP($A1190, 'Medical Examinations'!$A:$A, 'Medical Examinations'!B:B, "No Data")</f>
        <v>24.795</v>
      </c>
      <c r="D1190" s="28">
        <f t="array" ref="D1190">_xlfn.XLOOKUP($A1190, 'Medical Examinations'!$A:$A, 'Medical Examinations'!C:C, "No Data")</f>
        <v>6.05</v>
      </c>
      <c r="E1190" s="28" t="str">
        <f t="array" ref="E1190">_xlfn.XLOOKUP($A1190, 'Medical Examinations'!$A:$A, 'Medical Examinations'!D:D, "No Data")</f>
        <v>yes</v>
      </c>
      <c r="F1190" s="28" t="str">
        <f t="array" ref="F1190">_xlfn.XLOOKUP($A1190, 'Medical Examinations'!$A:$A, 'Medical Examinations'!E:E, "No Data")</f>
        <v>No</v>
      </c>
      <c r="G1190" s="28" t="str">
        <f t="array" ref="G1190">_xlfn.XLOOKUP($A1190, 'Medical Examinations'!$A:$A, 'Medical Examinations'!F:F, "No Data")</f>
        <v>No</v>
      </c>
      <c r="H1190" s="28">
        <f t="array" ref="H1190">_xlfn.XLOOKUP($A1190, 'Medical Examinations'!$A:$A, 'Medical Examinations'!G:G, "No Data")</f>
        <v>0</v>
      </c>
      <c r="I1190" s="28" t="str">
        <f t="array" ref="I1190">_xlfn.XLOOKUP($A1190, 'Medical Examinations'!$A:$A, 'Medical Examinations'!H:H, "No Data")</f>
        <v>No</v>
      </c>
      <c r="J1190" s="28" t="str">
        <f t="array" ref="J1190">_xlfn.XLOOKUP($A1190, 'Medical Examinations'!$A:$A, 'Medical Examinations'!I:I, "No Data")</f>
        <v>Normal Weight</v>
      </c>
      <c r="K1190" s="28" t="str">
        <f t="array" ref="K1190">_xlfn.XLOOKUP($A1190, 'Hospitalisation Details'!$A:$A, 'Hospitalisation Details'!I:I, "No Data")</f>
        <v>tier - 3</v>
      </c>
      <c r="L1190" s="28" t="str">
        <f t="array" ref="L1190">_xlfn.XLOOKUP($A1190, 'Hospitalisation Details'!$A:$A, 'Hospitalisation Details'!J:J, "No Data")</f>
        <v>R1017</v>
      </c>
      <c r="M1190" s="28" t="str">
        <f t="array" ref="M1190">_xlfn.XLOOKUP($A1190, 'Hospitalisation Details'!$A:$A, 'Hospitalisation Details'!E:E, "No Data")</f>
        <v>28/11/76</v>
      </c>
      <c r="N1190" s="28">
        <f t="array" ref="N1190">_xlfn.XLOOKUP($A1190, 'Hospitalisation Details'!$A:$A, 'Hospitalisation Details'!K:K, "No Data")</f>
        <v>46</v>
      </c>
      <c r="O1190" s="33">
        <f t="array" ref="O1190">_xlfn.XLOOKUP($A1190, 'Hospitalisation Details'!$A:$A, 'Hospitalisation Details'!G:G, "No Data")</f>
        <v>9500.57</v>
      </c>
      <c r="P1190" s="28" t="str">
        <f t="array" ref="P1190">_xlfn.XLOOKUP($A1190, 'Hospitalisation Details'!$A:$A, 'Hospitalisation Details'!H:H, "No Data")</f>
        <v>tier - 2</v>
      </c>
    </row>
    <row r="1191">
      <c r="A1191" s="25" t="s">
        <v>3800</v>
      </c>
      <c r="B1191" s="28" t="str">
        <f t="array" ref="B1191">_xlfn.XLOOKUP($A1191, 'Customer Names'!$A:$A, 'Customer Names'!B:B, "No Data")</f>
        <v>Samland</v>
      </c>
      <c r="C1191" s="28">
        <f t="array" ref="C1191">_xlfn.XLOOKUP($A1191, 'Medical Examinations'!$A:$A, 'Medical Examinations'!B:B, "No Data")</f>
        <v>29.48</v>
      </c>
      <c r="D1191" s="28">
        <f t="array" ref="D1191">_xlfn.XLOOKUP($A1191, 'Medical Examinations'!$A:$A, 'Medical Examinations'!C:C, "No Data")</f>
        <v>5.63</v>
      </c>
      <c r="E1191" s="28" t="str">
        <f t="array" ref="E1191">_xlfn.XLOOKUP($A1191, 'Medical Examinations'!$A:$A, 'Medical Examinations'!D:D, "No Data")</f>
        <v>yes</v>
      </c>
      <c r="F1191" s="28" t="str">
        <f t="array" ref="F1191">_xlfn.XLOOKUP($A1191, 'Medical Examinations'!$A:$A, 'Medical Examinations'!E:E, "No Data")</f>
        <v>No</v>
      </c>
      <c r="G1191" s="28" t="str">
        <f t="array" ref="G1191">_xlfn.XLOOKUP($A1191, 'Medical Examinations'!$A:$A, 'Medical Examinations'!F:F, "No Data")</f>
        <v>Yes</v>
      </c>
      <c r="H1191" s="28">
        <f t="array" ref="H1191">_xlfn.XLOOKUP($A1191, 'Medical Examinations'!$A:$A, 'Medical Examinations'!G:G, "No Data")</f>
        <v>1</v>
      </c>
      <c r="I1191" s="28" t="str">
        <f t="array" ref="I1191">_xlfn.XLOOKUP($A1191, 'Medical Examinations'!$A:$A, 'Medical Examinations'!H:H, "No Data")</f>
        <v>No</v>
      </c>
      <c r="J1191" s="28" t="str">
        <f t="array" ref="J1191">_xlfn.XLOOKUP($A1191, 'Medical Examinations'!$A:$A, 'Medical Examinations'!I:I, "No Data")</f>
        <v>Overweight</v>
      </c>
      <c r="K1191" s="28" t="str">
        <f t="array" ref="K1191">_xlfn.XLOOKUP($A1191, 'Hospitalisation Details'!$A:$A, 'Hospitalisation Details'!I:I, "No Data")</f>
        <v>tier - 2</v>
      </c>
      <c r="L1191" s="28" t="str">
        <f t="array" ref="L1191">_xlfn.XLOOKUP($A1191, 'Hospitalisation Details'!$A:$A, 'Hospitalisation Details'!J:J, "No Data")</f>
        <v>R1013</v>
      </c>
      <c r="M1191" s="28" t="str">
        <f t="array" ref="M1191">_xlfn.XLOOKUP($A1191, 'Hospitalisation Details'!$A:$A, 'Hospitalisation Details'!E:E, "No Data")</f>
        <v>04/06/69</v>
      </c>
      <c r="N1191" s="28">
        <f t="array" ref="N1191">_xlfn.XLOOKUP($A1191, 'Hospitalisation Details'!$A:$A, 'Hospitalisation Details'!K:K, "No Data")</f>
        <v>54</v>
      </c>
      <c r="O1191" s="33">
        <f t="array" ref="O1191">_xlfn.XLOOKUP($A1191, 'Hospitalisation Details'!$A:$A, 'Hospitalisation Details'!G:G, "No Data")</f>
        <v>9487.64</v>
      </c>
      <c r="P1191" s="28" t="str">
        <f t="array" ref="P1191">_xlfn.XLOOKUP($A1191, 'Hospitalisation Details'!$A:$A, 'Hospitalisation Details'!H:H, "No Data")</f>
        <v>tier - 2</v>
      </c>
    </row>
    <row r="1192">
      <c r="A1192" s="25" t="s">
        <v>3804</v>
      </c>
      <c r="B1192" s="28" t="str">
        <f t="array" ref="B1192">_xlfn.XLOOKUP($A1192, 'Customer Names'!$A:$A, 'Customer Names'!B:B, "No Data")</f>
        <v>Shapiro</v>
      </c>
      <c r="C1192" s="28">
        <f t="array" ref="C1192">_xlfn.XLOOKUP($A1192, 'Medical Examinations'!$A:$A, 'Medical Examinations'!B:B, "No Data")</f>
        <v>28.09</v>
      </c>
      <c r="D1192" s="28">
        <f t="array" ref="D1192">_xlfn.XLOOKUP($A1192, 'Medical Examinations'!$A:$A, 'Medical Examinations'!C:C, "No Data")</f>
        <v>6.06</v>
      </c>
      <c r="E1192" s="28" t="str">
        <f t="array" ref="E1192">_xlfn.XLOOKUP($A1192, 'Medical Examinations'!$A:$A, 'Medical Examinations'!D:D, "No Data")</f>
        <v>No</v>
      </c>
      <c r="F1192" s="28" t="str">
        <f t="array" ref="F1192">_xlfn.XLOOKUP($A1192, 'Medical Examinations'!$A:$A, 'Medical Examinations'!E:E, "No Data")</f>
        <v>No</v>
      </c>
      <c r="G1192" s="28" t="str">
        <f t="array" ref="G1192">_xlfn.XLOOKUP($A1192, 'Medical Examinations'!$A:$A, 'Medical Examinations'!F:F, "No Data")</f>
        <v>Yes</v>
      </c>
      <c r="H1192" s="28">
        <f t="array" ref="H1192">_xlfn.XLOOKUP($A1192, 'Medical Examinations'!$A:$A, 'Medical Examinations'!G:G, "No Data")</f>
        <v>1</v>
      </c>
      <c r="I1192" s="28" t="str">
        <f t="array" ref="I1192">_xlfn.XLOOKUP($A1192, 'Medical Examinations'!$A:$A, 'Medical Examinations'!H:H, "No Data")</f>
        <v>No</v>
      </c>
      <c r="J1192" s="28" t="str">
        <f t="array" ref="J1192">_xlfn.XLOOKUP($A1192, 'Medical Examinations'!$A:$A, 'Medical Examinations'!I:I, "No Data")</f>
        <v>Overweight</v>
      </c>
      <c r="K1192" s="28" t="str">
        <f t="array" ref="K1192">_xlfn.XLOOKUP($A1192, 'Hospitalisation Details'!$A:$A, 'Hospitalisation Details'!I:I, "No Data")</f>
        <v>tier - 2</v>
      </c>
      <c r="L1192" s="28" t="str">
        <f t="array" ref="L1192">_xlfn.XLOOKUP($A1192, 'Hospitalisation Details'!$A:$A, 'Hospitalisation Details'!J:J, "No Data")</f>
        <v>R1021</v>
      </c>
      <c r="M1192" s="28" t="str">
        <f t="array" ref="M1192">_xlfn.XLOOKUP($A1192, 'Hospitalisation Details'!$A:$A, 'Hospitalisation Details'!E:E, "No Data")</f>
        <v>17/07/79</v>
      </c>
      <c r="N1192" s="28">
        <f t="array" ref="N1192">_xlfn.XLOOKUP($A1192, 'Hospitalisation Details'!$A:$A, 'Hospitalisation Details'!K:K, "No Data")</f>
        <v>43</v>
      </c>
      <c r="O1192" s="33">
        <f t="array" ref="O1192">_xlfn.XLOOKUP($A1192, 'Hospitalisation Details'!$A:$A, 'Hospitalisation Details'!G:G, "No Data")</f>
        <v>9453.92</v>
      </c>
      <c r="P1192" s="28" t="str">
        <f t="array" ref="P1192">_xlfn.XLOOKUP($A1192, 'Hospitalisation Details'!$A:$A, 'Hospitalisation Details'!H:H, "No Data")</f>
        <v>tier - 2</v>
      </c>
    </row>
    <row r="1193">
      <c r="A1193" s="25" t="s">
        <v>3808</v>
      </c>
      <c r="B1193" s="28" t="str">
        <f t="array" ref="B1193">_xlfn.XLOOKUP($A1193, 'Customer Names'!$A:$A, 'Customer Names'!B:B, "No Data")</f>
        <v>Snitzer</v>
      </c>
      <c r="C1193" s="28">
        <f t="array" ref="C1193">_xlfn.XLOOKUP($A1193, 'Medical Examinations'!$A:$A, 'Medical Examinations'!B:B, "No Data")</f>
        <v>32.73</v>
      </c>
      <c r="D1193" s="28">
        <f t="array" ref="D1193">_xlfn.XLOOKUP($A1193, 'Medical Examinations'!$A:$A, 'Medical Examinations'!C:C, "No Data")</f>
        <v>5.19</v>
      </c>
      <c r="E1193" s="28" t="str">
        <f t="array" ref="E1193">_xlfn.XLOOKUP($A1193, 'Medical Examinations'!$A:$A, 'Medical Examinations'!D:D, "No Data")</f>
        <v>No</v>
      </c>
      <c r="F1193" s="28" t="str">
        <f t="array" ref="F1193">_xlfn.XLOOKUP($A1193, 'Medical Examinations'!$A:$A, 'Medical Examinations'!E:E, "No Data")</f>
        <v>No</v>
      </c>
      <c r="G1193" s="28" t="str">
        <f t="array" ref="G1193">_xlfn.XLOOKUP($A1193, 'Medical Examinations'!$A:$A, 'Medical Examinations'!F:F, "No Data")</f>
        <v>No</v>
      </c>
      <c r="H1193" s="28">
        <f t="array" ref="H1193">_xlfn.XLOOKUP($A1193, 'Medical Examinations'!$A:$A, 'Medical Examinations'!G:G, "No Data")</f>
        <v>1</v>
      </c>
      <c r="I1193" s="28" t="str">
        <f t="array" ref="I1193">_xlfn.XLOOKUP($A1193, 'Medical Examinations'!$A:$A, 'Medical Examinations'!H:H, "No Data")</f>
        <v>No</v>
      </c>
      <c r="J1193" s="28" t="str">
        <f t="array" ref="J1193">_xlfn.XLOOKUP($A1193, 'Medical Examinations'!$A:$A, 'Medical Examinations'!I:I, "No Data")</f>
        <v>Obesity</v>
      </c>
      <c r="K1193" s="28" t="str">
        <f t="array" ref="K1193">_xlfn.XLOOKUP($A1193, 'Hospitalisation Details'!$A:$A, 'Hospitalisation Details'!I:I, "No Data")</f>
        <v>tier - 3</v>
      </c>
      <c r="L1193" s="28" t="str">
        <f t="array" ref="L1193">_xlfn.XLOOKUP($A1193, 'Hospitalisation Details'!$A:$A, 'Hospitalisation Details'!J:J, "No Data")</f>
        <v>R1021</v>
      </c>
      <c r="M1193" s="28" t="str">
        <f t="array" ref="M1193">_xlfn.XLOOKUP($A1193, 'Hospitalisation Details'!$A:$A, 'Hospitalisation Details'!E:E, "No Data")</f>
        <v>14/11/87</v>
      </c>
      <c r="N1193" s="28">
        <f t="array" ref="N1193">_xlfn.XLOOKUP($A1193, 'Hospitalisation Details'!$A:$A, 'Hospitalisation Details'!K:K, "No Data")</f>
        <v>35</v>
      </c>
      <c r="O1193" s="33">
        <f t="array" ref="O1193">_xlfn.XLOOKUP($A1193, 'Hospitalisation Details'!$A:$A, 'Hospitalisation Details'!G:G, "No Data")</f>
        <v>9448.42</v>
      </c>
      <c r="P1193" s="28" t="str">
        <f t="array" ref="P1193">_xlfn.XLOOKUP($A1193, 'Hospitalisation Details'!$A:$A, 'Hospitalisation Details'!H:H, "No Data")</f>
        <v>tier - 2</v>
      </c>
    </row>
    <row r="1194">
      <c r="A1194" s="25" t="s">
        <v>3811</v>
      </c>
      <c r="B1194" s="28" t="str">
        <f t="array" ref="B1194">_xlfn.XLOOKUP($A1194, 'Customer Names'!$A:$A, 'Customer Names'!B:B, "No Data")</f>
        <v>Herra Arroyo</v>
      </c>
      <c r="C1194" s="28">
        <f t="array" ref="C1194">_xlfn.XLOOKUP($A1194, 'Medical Examinations'!$A:$A, 'Medical Examinations'!B:B, "No Data")</f>
        <v>27.36</v>
      </c>
      <c r="D1194" s="28">
        <f t="array" ref="D1194">_xlfn.XLOOKUP($A1194, 'Medical Examinations'!$A:$A, 'Medical Examinations'!C:C, "No Data")</f>
        <v>8.96</v>
      </c>
      <c r="E1194" s="28" t="str">
        <f t="array" ref="E1194">_xlfn.XLOOKUP($A1194, 'Medical Examinations'!$A:$A, 'Medical Examinations'!D:D, "No Data")</f>
        <v>No</v>
      </c>
      <c r="F1194" s="28" t="str">
        <f t="array" ref="F1194">_xlfn.XLOOKUP($A1194, 'Medical Examinations'!$A:$A, 'Medical Examinations'!E:E, "No Data")</f>
        <v>No</v>
      </c>
      <c r="G1194" s="28" t="str">
        <f t="array" ref="G1194">_xlfn.XLOOKUP($A1194, 'Medical Examinations'!$A:$A, 'Medical Examinations'!F:F, "No Data")</f>
        <v>No</v>
      </c>
      <c r="H1194" s="28">
        <f t="array" ref="H1194">_xlfn.XLOOKUP($A1194, 'Medical Examinations'!$A:$A, 'Medical Examinations'!G:G, "No Data")</f>
        <v>0</v>
      </c>
      <c r="I1194" s="28" t="str">
        <f t="array" ref="I1194">_xlfn.XLOOKUP($A1194, 'Medical Examinations'!$A:$A, 'Medical Examinations'!H:H, "No Data")</f>
        <v>No</v>
      </c>
      <c r="J1194" s="28" t="str">
        <f t="array" ref="J1194">_xlfn.XLOOKUP($A1194, 'Medical Examinations'!$A:$A, 'Medical Examinations'!I:I, "No Data")</f>
        <v>Overweight</v>
      </c>
      <c r="K1194" s="28" t="str">
        <f t="array" ref="K1194">_xlfn.XLOOKUP($A1194, 'Hospitalisation Details'!$A:$A, 'Hospitalisation Details'!I:I, "No Data")</f>
        <v>tier - 3</v>
      </c>
      <c r="L1194" s="28" t="str">
        <f t="array" ref="L1194">_xlfn.XLOOKUP($A1194, 'Hospitalisation Details'!$A:$A, 'Hospitalisation Details'!J:J, "No Data")</f>
        <v>R1024</v>
      </c>
      <c r="M1194" s="28" t="str">
        <f t="array" ref="M1194">_xlfn.XLOOKUP($A1194, 'Hospitalisation Details'!$A:$A, 'Hospitalisation Details'!E:E, "No Data")</f>
        <v>08/06/74</v>
      </c>
      <c r="N1194" s="28">
        <f t="array" ref="N1194">_xlfn.XLOOKUP($A1194, 'Hospitalisation Details'!$A:$A, 'Hospitalisation Details'!K:K, "No Data")</f>
        <v>49</v>
      </c>
      <c r="O1194" s="33">
        <f t="array" ref="O1194">_xlfn.XLOOKUP($A1194, 'Hospitalisation Details'!$A:$A, 'Hospitalisation Details'!G:G, "No Data")</f>
        <v>9447.38</v>
      </c>
      <c r="P1194" s="28" t="str">
        <f t="array" ref="P1194">_xlfn.XLOOKUP($A1194, 'Hospitalisation Details'!$A:$A, 'Hospitalisation Details'!H:H, "No Data")</f>
        <v>tier - 2</v>
      </c>
    </row>
    <row r="1195">
      <c r="A1195" s="25" t="s">
        <v>3814</v>
      </c>
      <c r="B1195" s="28" t="str">
        <f t="array" ref="B1195">_xlfn.XLOOKUP($A1195, 'Customer Names'!$A:$A, 'Customer Names'!B:B, "No Data")</f>
        <v>Watters</v>
      </c>
      <c r="C1195" s="28">
        <f t="array" ref="C1195">_xlfn.XLOOKUP($A1195, 'Medical Examinations'!$A:$A, 'Medical Examinations'!B:B, "No Data")</f>
        <v>27.265</v>
      </c>
      <c r="D1195" s="28">
        <f t="array" ref="D1195">_xlfn.XLOOKUP($A1195, 'Medical Examinations'!$A:$A, 'Medical Examinations'!C:C, "No Data")</f>
        <v>11.39</v>
      </c>
      <c r="E1195" s="28" t="str">
        <f t="array" ref="E1195">_xlfn.XLOOKUP($A1195, 'Medical Examinations'!$A:$A, 'Medical Examinations'!D:D, "No Data")</f>
        <v>No</v>
      </c>
      <c r="F1195" s="28" t="str">
        <f t="array" ref="F1195">_xlfn.XLOOKUP($A1195, 'Medical Examinations'!$A:$A, 'Medical Examinations'!E:E, "No Data")</f>
        <v>No</v>
      </c>
      <c r="G1195" s="28" t="str">
        <f t="array" ref="G1195">_xlfn.XLOOKUP($A1195, 'Medical Examinations'!$A:$A, 'Medical Examinations'!F:F, "No Data")</f>
        <v>No</v>
      </c>
      <c r="H1195" s="28">
        <f t="array" ref="H1195">_xlfn.XLOOKUP($A1195, 'Medical Examinations'!$A:$A, 'Medical Examinations'!G:G, "No Data")</f>
        <v>0</v>
      </c>
      <c r="I1195" s="28" t="str">
        <f t="array" ref="I1195">_xlfn.XLOOKUP($A1195, 'Medical Examinations'!$A:$A, 'Medical Examinations'!H:H, "No Data")</f>
        <v>No</v>
      </c>
      <c r="J1195" s="28" t="str">
        <f t="array" ref="J1195">_xlfn.XLOOKUP($A1195, 'Medical Examinations'!$A:$A, 'Medical Examinations'!I:I, "No Data")</f>
        <v>Overweight</v>
      </c>
      <c r="K1195" s="28" t="str">
        <f t="array" ref="K1195">_xlfn.XLOOKUP($A1195, 'Hospitalisation Details'!$A:$A, 'Hospitalisation Details'!I:I, "No Data")</f>
        <v>tier - 1</v>
      </c>
      <c r="L1195" s="28" t="str">
        <f t="array" ref="L1195">_xlfn.XLOOKUP($A1195, 'Hospitalisation Details'!$A:$A, 'Hospitalisation Details'!J:J, "No Data")</f>
        <v>R1024</v>
      </c>
      <c r="M1195" s="28" t="str">
        <f t="array" ref="M1195">_xlfn.XLOOKUP($A1195, 'Hospitalisation Details'!$A:$A, 'Hospitalisation Details'!E:E, "No Data")</f>
        <v>27/11/74</v>
      </c>
      <c r="N1195" s="28">
        <f t="array" ref="N1195">_xlfn.XLOOKUP($A1195, 'Hospitalisation Details'!$A:$A, 'Hospitalisation Details'!K:K, "No Data")</f>
        <v>48</v>
      </c>
      <c r="O1195" s="33">
        <f t="array" ref="O1195">_xlfn.XLOOKUP($A1195, 'Hospitalisation Details'!$A:$A, 'Hospitalisation Details'!G:G, "No Data")</f>
        <v>9447.25</v>
      </c>
      <c r="P1195" s="28" t="str">
        <f t="array" ref="P1195">_xlfn.XLOOKUP($A1195, 'Hospitalisation Details'!$A:$A, 'Hospitalisation Details'!H:H, "No Data")</f>
        <v>tier - 2</v>
      </c>
    </row>
    <row r="1196">
      <c r="A1196" s="25" t="s">
        <v>3816</v>
      </c>
      <c r="B1196" s="28" t="str">
        <f t="array" ref="B1196">_xlfn.XLOOKUP($A1196, 'Customer Names'!$A:$A, 'Customer Names'!B:B, "No Data")</f>
        <v>Steele-Belkin</v>
      </c>
      <c r="C1196" s="28">
        <f t="array" ref="C1196">_xlfn.XLOOKUP($A1196, 'Medical Examinations'!$A:$A, 'Medical Examinations'!B:B, "No Data")</f>
        <v>48.07</v>
      </c>
      <c r="D1196" s="28">
        <f t="array" ref="D1196">_xlfn.XLOOKUP($A1196, 'Medical Examinations'!$A:$A, 'Medical Examinations'!C:C, "No Data")</f>
        <v>4.06</v>
      </c>
      <c r="E1196" s="28" t="str">
        <f t="array" ref="E1196">_xlfn.XLOOKUP($A1196, 'Medical Examinations'!$A:$A, 'Medical Examinations'!D:D, "No Data")</f>
        <v>yes</v>
      </c>
      <c r="F1196" s="28" t="str">
        <f t="array" ref="F1196">_xlfn.XLOOKUP($A1196, 'Medical Examinations'!$A:$A, 'Medical Examinations'!E:E, "No Data")</f>
        <v>No</v>
      </c>
      <c r="G1196" s="28" t="str">
        <f t="array" ref="G1196">_xlfn.XLOOKUP($A1196, 'Medical Examinations'!$A:$A, 'Medical Examinations'!F:F, "No Data")</f>
        <v>No</v>
      </c>
      <c r="H1196" s="28">
        <f t="array" ref="H1196">_xlfn.XLOOKUP($A1196, 'Medical Examinations'!$A:$A, 'Medical Examinations'!G:G, "No Data")</f>
        <v>0</v>
      </c>
      <c r="I1196" s="28" t="str">
        <f t="array" ref="I1196">_xlfn.XLOOKUP($A1196, 'Medical Examinations'!$A:$A, 'Medical Examinations'!H:H, "No Data")</f>
        <v>No</v>
      </c>
      <c r="J1196" s="28" t="str">
        <f t="array" ref="J1196">_xlfn.XLOOKUP($A1196, 'Medical Examinations'!$A:$A, 'Medical Examinations'!I:I, "No Data")</f>
        <v>Obesity</v>
      </c>
      <c r="K1196" s="28" t="str">
        <f t="array" ref="K1196">_xlfn.XLOOKUP($A1196, 'Hospitalisation Details'!$A:$A, 'Hospitalisation Details'!I:I, "No Data")</f>
        <v>tier - 1</v>
      </c>
      <c r="L1196" s="28" t="str">
        <f t="array" ref="L1196">_xlfn.XLOOKUP($A1196, 'Hospitalisation Details'!$A:$A, 'Hospitalisation Details'!J:J, "No Data")</f>
        <v>R1024</v>
      </c>
      <c r="M1196" s="28" t="str">
        <f t="array" ref="M1196">_xlfn.XLOOKUP($A1196, 'Hospitalisation Details'!$A:$A, 'Hospitalisation Details'!E:E, "No Data")</f>
        <v>03/11/76</v>
      </c>
      <c r="N1196" s="28">
        <f t="array" ref="N1196">_xlfn.XLOOKUP($A1196, 'Hospitalisation Details'!$A:$A, 'Hospitalisation Details'!K:K, "No Data")</f>
        <v>46</v>
      </c>
      <c r="O1196" s="33">
        <f t="array" ref="O1196">_xlfn.XLOOKUP($A1196, 'Hospitalisation Details'!$A:$A, 'Hospitalisation Details'!G:G, "No Data")</f>
        <v>9432.93</v>
      </c>
      <c r="P1196" s="28" t="str">
        <f t="array" ref="P1196">_xlfn.XLOOKUP($A1196, 'Hospitalisation Details'!$A:$A, 'Hospitalisation Details'!H:H, "No Data")</f>
        <v>tier - 2</v>
      </c>
    </row>
    <row r="1197">
      <c r="A1197" s="25" t="s">
        <v>3820</v>
      </c>
      <c r="B1197" s="28" t="str">
        <f t="array" ref="B1197">_xlfn.XLOOKUP($A1197, 'Customer Names'!$A:$A, 'Customer Names'!B:B, "No Data")</f>
        <v>Christensen</v>
      </c>
      <c r="C1197" s="28">
        <f t="array" ref="C1197">_xlfn.XLOOKUP($A1197, 'Medical Examinations'!$A:$A, 'Medical Examinations'!B:B, "No Data")</f>
        <v>30.8</v>
      </c>
      <c r="D1197" s="28">
        <f t="array" ref="D1197">_xlfn.XLOOKUP($A1197, 'Medical Examinations'!$A:$A, 'Medical Examinations'!C:C, "No Data")</f>
        <v>5.23</v>
      </c>
      <c r="E1197" s="28" t="str">
        <f t="array" ref="E1197">_xlfn.XLOOKUP($A1197, 'Medical Examinations'!$A:$A, 'Medical Examinations'!D:D, "No Data")</f>
        <v>yes</v>
      </c>
      <c r="F1197" s="28" t="str">
        <f t="array" ref="F1197">_xlfn.XLOOKUP($A1197, 'Medical Examinations'!$A:$A, 'Medical Examinations'!E:E, "No Data")</f>
        <v>No</v>
      </c>
      <c r="G1197" s="28" t="str">
        <f t="array" ref="G1197">_xlfn.XLOOKUP($A1197, 'Medical Examinations'!$A:$A, 'Medical Examinations'!F:F, "No Data")</f>
        <v>No</v>
      </c>
      <c r="H1197" s="28">
        <f t="array" ref="H1197">_xlfn.XLOOKUP($A1197, 'Medical Examinations'!$A:$A, 'Medical Examinations'!G:G, "No Data")</f>
        <v>0</v>
      </c>
      <c r="I1197" s="28" t="str">
        <f t="array" ref="I1197">_xlfn.XLOOKUP($A1197, 'Medical Examinations'!$A:$A, 'Medical Examinations'!H:H, "No Data")</f>
        <v>No</v>
      </c>
      <c r="J1197" s="28" t="str">
        <f t="array" ref="J1197">_xlfn.XLOOKUP($A1197, 'Medical Examinations'!$A:$A, 'Medical Examinations'!I:I, "No Data")</f>
        <v>Obesity</v>
      </c>
      <c r="K1197" s="28" t="str">
        <f t="array" ref="K1197">_xlfn.XLOOKUP($A1197, 'Hospitalisation Details'!$A:$A, 'Hospitalisation Details'!I:I, "No Data")</f>
        <v>tier - 2</v>
      </c>
      <c r="L1197" s="28" t="str">
        <f t="array" ref="L1197">_xlfn.XLOOKUP($A1197, 'Hospitalisation Details'!$A:$A, 'Hospitalisation Details'!J:J, "No Data")</f>
        <v>R1011</v>
      </c>
      <c r="M1197" s="28" t="str">
        <f t="array" ref="M1197">_xlfn.XLOOKUP($A1197, 'Hospitalisation Details'!$A:$A, 'Hospitalisation Details'!E:E, "No Data")</f>
        <v>30/10/76</v>
      </c>
      <c r="N1197" s="28">
        <f t="array" ref="N1197">_xlfn.XLOOKUP($A1197, 'Hospitalisation Details'!$A:$A, 'Hospitalisation Details'!K:K, "No Data")</f>
        <v>46</v>
      </c>
      <c r="O1197" s="33">
        <f t="array" ref="O1197">_xlfn.XLOOKUP($A1197, 'Hospitalisation Details'!$A:$A, 'Hospitalisation Details'!G:G, "No Data")</f>
        <v>9414.92</v>
      </c>
      <c r="P1197" s="28" t="str">
        <f t="array" ref="P1197">_xlfn.XLOOKUP($A1197, 'Hospitalisation Details'!$A:$A, 'Hospitalisation Details'!H:H, "No Data")</f>
        <v>tier - 2</v>
      </c>
    </row>
    <row r="1198">
      <c r="A1198" s="25" t="s">
        <v>3823</v>
      </c>
      <c r="B1198" s="28" t="str">
        <f t="array" ref="B1198">_xlfn.XLOOKUP($A1198, 'Customer Names'!$A:$A, 'Customer Names'!B:B, "No Data")</f>
        <v>Hodge</v>
      </c>
      <c r="C1198" s="28">
        <f t="array" ref="C1198">_xlfn.XLOOKUP($A1198, 'Medical Examinations'!$A:$A, 'Medical Examinations'!B:B, "No Data")</f>
        <v>32.3</v>
      </c>
      <c r="D1198" s="28">
        <f t="array" ref="D1198">_xlfn.XLOOKUP($A1198, 'Medical Examinations'!$A:$A, 'Medical Examinations'!C:C, "No Data")</f>
        <v>5.05</v>
      </c>
      <c r="E1198" s="28" t="str">
        <f t="array" ref="E1198">_xlfn.XLOOKUP($A1198, 'Medical Examinations'!$A:$A, 'Medical Examinations'!D:D, "No Data")</f>
        <v>yes</v>
      </c>
      <c r="F1198" s="28" t="str">
        <f t="array" ref="F1198">_xlfn.XLOOKUP($A1198, 'Medical Examinations'!$A:$A, 'Medical Examinations'!E:E, "No Data")</f>
        <v>No</v>
      </c>
      <c r="G1198" s="28" t="str">
        <f t="array" ref="G1198">_xlfn.XLOOKUP($A1198, 'Medical Examinations'!$A:$A, 'Medical Examinations'!F:F, "No Data")</f>
        <v>No</v>
      </c>
      <c r="H1198" s="28">
        <f t="array" ref="H1198">_xlfn.XLOOKUP($A1198, 'Medical Examinations'!$A:$A, 'Medical Examinations'!G:G, "No Data")</f>
        <v>0</v>
      </c>
      <c r="I1198" s="28" t="str">
        <f t="array" ref="I1198">_xlfn.XLOOKUP($A1198, 'Medical Examinations'!$A:$A, 'Medical Examinations'!H:H, "No Data")</f>
        <v>No</v>
      </c>
      <c r="J1198" s="28" t="str">
        <f t="array" ref="J1198">_xlfn.XLOOKUP($A1198, 'Medical Examinations'!$A:$A, 'Medical Examinations'!I:I, "No Data")</f>
        <v>Obesity</v>
      </c>
      <c r="K1198" s="28" t="str">
        <f t="array" ref="K1198">_xlfn.XLOOKUP($A1198, 'Hospitalisation Details'!$A:$A, 'Hospitalisation Details'!I:I, "No Data")</f>
        <v>tier - 3</v>
      </c>
      <c r="L1198" s="28" t="str">
        <f t="array" ref="L1198">_xlfn.XLOOKUP($A1198, 'Hospitalisation Details'!$A:$A, 'Hospitalisation Details'!J:J, "No Data")</f>
        <v>R1024</v>
      </c>
      <c r="M1198" s="28" t="str">
        <f t="array" ref="M1198">_xlfn.XLOOKUP($A1198, 'Hospitalisation Details'!$A:$A, 'Hospitalisation Details'!E:E, "No Data")</f>
        <v>17/10/76</v>
      </c>
      <c r="N1198" s="28">
        <f t="array" ref="N1198">_xlfn.XLOOKUP($A1198, 'Hospitalisation Details'!$A:$A, 'Hospitalisation Details'!K:K, "No Data")</f>
        <v>46</v>
      </c>
      <c r="O1198" s="33">
        <f t="array" ref="O1198">_xlfn.XLOOKUP($A1198, 'Hospitalisation Details'!$A:$A, 'Hospitalisation Details'!G:G, "No Data")</f>
        <v>9411.01</v>
      </c>
      <c r="P1198" s="28" t="str">
        <f t="array" ref="P1198">_xlfn.XLOOKUP($A1198, 'Hospitalisation Details'!$A:$A, 'Hospitalisation Details'!H:H, "No Data")</f>
        <v>tier - 2</v>
      </c>
    </row>
    <row r="1199">
      <c r="A1199" s="25" t="s">
        <v>3827</v>
      </c>
      <c r="B1199" s="28" t="str">
        <f t="array" ref="B1199">_xlfn.XLOOKUP($A1199, 'Customer Names'!$A:$A, 'Customer Names'!B:B, "No Data")</f>
        <v>Rusterholz</v>
      </c>
      <c r="C1199" s="28">
        <f t="array" ref="C1199">_xlfn.XLOOKUP($A1199, 'Medical Examinations'!$A:$A, 'Medical Examinations'!B:B, "No Data")</f>
        <v>39.7</v>
      </c>
      <c r="D1199" s="28">
        <f t="array" ref="D1199">_xlfn.XLOOKUP($A1199, 'Medical Examinations'!$A:$A, 'Medical Examinations'!C:C, "No Data")</f>
        <v>7.34</v>
      </c>
      <c r="E1199" s="28" t="str">
        <f t="array" ref="E1199">_xlfn.XLOOKUP($A1199, 'Medical Examinations'!$A:$A, 'Medical Examinations'!D:D, "No Data")</f>
        <v>No</v>
      </c>
      <c r="F1199" s="28" t="str">
        <f t="array" ref="F1199">_xlfn.XLOOKUP($A1199, 'Medical Examinations'!$A:$A, 'Medical Examinations'!E:E, "No Data")</f>
        <v>No</v>
      </c>
      <c r="G1199" s="28" t="str">
        <f t="array" ref="G1199">_xlfn.XLOOKUP($A1199, 'Medical Examinations'!$A:$A, 'Medical Examinations'!F:F, "No Data")</f>
        <v>No</v>
      </c>
      <c r="H1199" s="28">
        <f t="array" ref="H1199">_xlfn.XLOOKUP($A1199, 'Medical Examinations'!$A:$A, 'Medical Examinations'!G:G, "No Data")</f>
        <v>0</v>
      </c>
      <c r="I1199" s="28" t="str">
        <f t="array" ref="I1199">_xlfn.XLOOKUP($A1199, 'Medical Examinations'!$A:$A, 'Medical Examinations'!H:H, "No Data")</f>
        <v>No</v>
      </c>
      <c r="J1199" s="28" t="str">
        <f t="array" ref="J1199">_xlfn.XLOOKUP($A1199, 'Medical Examinations'!$A:$A, 'Medical Examinations'!I:I, "No Data")</f>
        <v>Obesity</v>
      </c>
      <c r="K1199" s="28" t="str">
        <f t="array" ref="K1199">_xlfn.XLOOKUP($A1199, 'Hospitalisation Details'!$A:$A, 'Hospitalisation Details'!I:I, "No Data")</f>
        <v>tier - 3</v>
      </c>
      <c r="L1199" s="28" t="str">
        <f t="array" ref="L1199">_xlfn.XLOOKUP($A1199, 'Hospitalisation Details'!$A:$A, 'Hospitalisation Details'!J:J, "No Data")</f>
        <v>R1011</v>
      </c>
      <c r="M1199" s="28" t="str">
        <f t="array" ref="M1199">_xlfn.XLOOKUP($A1199, 'Hospitalisation Details'!$A:$A, 'Hospitalisation Details'!E:E, "No Data")</f>
        <v>20/10/71</v>
      </c>
      <c r="N1199" s="28">
        <f t="array" ref="N1199">_xlfn.XLOOKUP($A1199, 'Hospitalisation Details'!$A:$A, 'Hospitalisation Details'!K:K, "No Data")</f>
        <v>51</v>
      </c>
      <c r="O1199" s="33">
        <f t="array" ref="O1199">_xlfn.XLOOKUP($A1199, 'Hospitalisation Details'!$A:$A, 'Hospitalisation Details'!G:G, "No Data")</f>
        <v>9391.35</v>
      </c>
      <c r="P1199" s="28" t="str">
        <f t="array" ref="P1199">_xlfn.XLOOKUP($A1199, 'Hospitalisation Details'!$A:$A, 'Hospitalisation Details'!H:H, "No Data")</f>
        <v>tier - 3</v>
      </c>
    </row>
    <row r="1200">
      <c r="A1200" s="25" t="s">
        <v>3829</v>
      </c>
      <c r="B1200" s="28" t="str">
        <f t="array" ref="B1200">_xlfn.XLOOKUP($A1200, 'Customer Names'!$A:$A, 'Customer Names'!B:B, "No Data")</f>
        <v>Lafrance</v>
      </c>
      <c r="C1200" s="28">
        <f t="array" ref="C1200">_xlfn.XLOOKUP($A1200, 'Medical Examinations'!$A:$A, 'Medical Examinations'!B:B, "No Data")</f>
        <v>35.97</v>
      </c>
      <c r="D1200" s="28">
        <f t="array" ref="D1200">_xlfn.XLOOKUP($A1200, 'Medical Examinations'!$A:$A, 'Medical Examinations'!C:C, "No Data")</f>
        <v>8.13</v>
      </c>
      <c r="E1200" s="28" t="str">
        <f t="array" ref="E1200">_xlfn.XLOOKUP($A1200, 'Medical Examinations'!$A:$A, 'Medical Examinations'!D:D, "No Data")</f>
        <v>No</v>
      </c>
      <c r="F1200" s="28" t="str">
        <f t="array" ref="F1200">_xlfn.XLOOKUP($A1200, 'Medical Examinations'!$A:$A, 'Medical Examinations'!E:E, "No Data")</f>
        <v>No</v>
      </c>
      <c r="G1200" s="28" t="str">
        <f t="array" ref="G1200">_xlfn.XLOOKUP($A1200, 'Medical Examinations'!$A:$A, 'Medical Examinations'!F:F, "No Data")</f>
        <v>No</v>
      </c>
      <c r="H1200" s="28">
        <f t="array" ref="H1200">_xlfn.XLOOKUP($A1200, 'Medical Examinations'!$A:$A, 'Medical Examinations'!G:G, "No Data")</f>
        <v>0</v>
      </c>
      <c r="I1200" s="28" t="str">
        <f t="array" ref="I1200">_xlfn.XLOOKUP($A1200, 'Medical Examinations'!$A:$A, 'Medical Examinations'!H:H, "No Data")</f>
        <v>No</v>
      </c>
      <c r="J1200" s="28" t="str">
        <f t="array" ref="J1200">_xlfn.XLOOKUP($A1200, 'Medical Examinations'!$A:$A, 'Medical Examinations'!I:I, "No Data")</f>
        <v>Obesity</v>
      </c>
      <c r="K1200" s="28" t="str">
        <f t="array" ref="K1200">_xlfn.XLOOKUP($A1200, 'Hospitalisation Details'!$A:$A, 'Hospitalisation Details'!I:I, "No Data")</f>
        <v>tier - 2</v>
      </c>
      <c r="L1200" s="28" t="str">
        <f t="array" ref="L1200">_xlfn.XLOOKUP($A1200, 'Hospitalisation Details'!$A:$A, 'Hospitalisation Details'!J:J, "No Data")</f>
        <v>R1013</v>
      </c>
      <c r="M1200" s="28" t="str">
        <f t="array" ref="M1200">_xlfn.XLOOKUP($A1200, 'Hospitalisation Details'!$A:$A, 'Hospitalisation Details'!E:E, "No Data")</f>
        <v>29/12/71</v>
      </c>
      <c r="N1200" s="28">
        <f t="array" ref="N1200">_xlfn.XLOOKUP($A1200, 'Hospitalisation Details'!$A:$A, 'Hospitalisation Details'!K:K, "No Data")</f>
        <v>51</v>
      </c>
      <c r="O1200" s="33">
        <f t="array" ref="O1200">_xlfn.XLOOKUP($A1200, 'Hospitalisation Details'!$A:$A, 'Hospitalisation Details'!G:G, "No Data")</f>
        <v>9386.16</v>
      </c>
      <c r="P1200" s="28" t="str">
        <f t="array" ref="P1200">_xlfn.XLOOKUP($A1200, 'Hospitalisation Details'!$A:$A, 'Hospitalisation Details'!H:H, "No Data")</f>
        <v>tier - 3</v>
      </c>
    </row>
    <row r="1201">
      <c r="A1201" s="25" t="s">
        <v>3833</v>
      </c>
      <c r="B1201" s="28" t="str">
        <f t="array" ref="B1201">_xlfn.XLOOKUP($A1201, 'Customer Names'!$A:$A, 'Customer Names'!B:B, "No Data")</f>
        <v>Hallis</v>
      </c>
      <c r="C1201" s="28">
        <f t="array" ref="C1201">_xlfn.XLOOKUP($A1201, 'Medical Examinations'!$A:$A, 'Medical Examinations'!B:B, "No Data")</f>
        <v>25.86</v>
      </c>
      <c r="D1201" s="28">
        <f t="array" ref="D1201">_xlfn.XLOOKUP($A1201, 'Medical Examinations'!$A:$A, 'Medical Examinations'!C:C, "No Data")</f>
        <v>6.68</v>
      </c>
      <c r="E1201" s="28" t="str">
        <f t="array" ref="E1201">_xlfn.XLOOKUP($A1201, 'Medical Examinations'!$A:$A, 'Medical Examinations'!D:D, "No Data")</f>
        <v>yes</v>
      </c>
      <c r="F1201" s="28" t="str">
        <f t="array" ref="F1201">_xlfn.XLOOKUP($A1201, 'Medical Examinations'!$A:$A, 'Medical Examinations'!E:E, "No Data")</f>
        <v>No</v>
      </c>
      <c r="G1201" s="28" t="str">
        <f t="array" ref="G1201">_xlfn.XLOOKUP($A1201, 'Medical Examinations'!$A:$A, 'Medical Examinations'!F:F, "No Data")</f>
        <v>No</v>
      </c>
      <c r="H1201" s="28">
        <f t="array" ref="H1201">_xlfn.XLOOKUP($A1201, 'Medical Examinations'!$A:$A, 'Medical Examinations'!G:G, "No Data")</f>
        <v>1</v>
      </c>
      <c r="I1201" s="28" t="str">
        <f t="array" ref="I1201">_xlfn.XLOOKUP($A1201, 'Medical Examinations'!$A:$A, 'Medical Examinations'!H:H, "No Data")</f>
        <v>No</v>
      </c>
      <c r="J1201" s="28" t="str">
        <f t="array" ref="J1201">_xlfn.XLOOKUP($A1201, 'Medical Examinations'!$A:$A, 'Medical Examinations'!I:I, "No Data")</f>
        <v>Overweight</v>
      </c>
      <c r="K1201" s="28" t="str">
        <f t="array" ref="K1201">_xlfn.XLOOKUP($A1201, 'Hospitalisation Details'!$A:$A, 'Hospitalisation Details'!I:I, "No Data")</f>
        <v>tier - 2</v>
      </c>
      <c r="L1201" s="28" t="str">
        <f t="array" ref="L1201">_xlfn.XLOOKUP($A1201, 'Hospitalisation Details'!$A:$A, 'Hospitalisation Details'!J:J, "No Data")</f>
        <v>R1024</v>
      </c>
      <c r="M1201" s="28" t="str">
        <f t="array" ref="M1201">_xlfn.XLOOKUP($A1201, 'Hospitalisation Details'!$A:$A, 'Hospitalisation Details'!E:E, "No Data")</f>
        <v>02/12/75</v>
      </c>
      <c r="N1201" s="28">
        <f t="array" ref="N1201">_xlfn.XLOOKUP($A1201, 'Hospitalisation Details'!$A:$A, 'Hospitalisation Details'!K:K, "No Data")</f>
        <v>47</v>
      </c>
      <c r="O1201" s="33">
        <f t="array" ref="O1201">_xlfn.XLOOKUP($A1201, 'Hospitalisation Details'!$A:$A, 'Hospitalisation Details'!G:G, "No Data")</f>
        <v>9380.75</v>
      </c>
      <c r="P1201" s="28" t="str">
        <f t="array" ref="P1201">_xlfn.XLOOKUP($A1201, 'Hospitalisation Details'!$A:$A, 'Hospitalisation Details'!H:H, "No Data")</f>
        <v>tier - 2</v>
      </c>
    </row>
    <row r="1202">
      <c r="A1202" s="25" t="s">
        <v>3836</v>
      </c>
      <c r="B1202" s="28" t="str">
        <f t="array" ref="B1202">_xlfn.XLOOKUP($A1202, 'Customer Names'!$A:$A, 'Customer Names'!B:B, "No Data")</f>
        <v>Marshall</v>
      </c>
      <c r="C1202" s="28">
        <f t="array" ref="C1202">_xlfn.XLOOKUP($A1202, 'Medical Examinations'!$A:$A, 'Medical Examinations'!B:B, "No Data")</f>
        <v>30.03</v>
      </c>
      <c r="D1202" s="28">
        <f t="array" ref="D1202">_xlfn.XLOOKUP($A1202, 'Medical Examinations'!$A:$A, 'Medical Examinations'!C:C, "No Data")</f>
        <v>11.51</v>
      </c>
      <c r="E1202" s="28" t="str">
        <f t="array" ref="E1202">_xlfn.XLOOKUP($A1202, 'Medical Examinations'!$A:$A, 'Medical Examinations'!D:D, "No Data")</f>
        <v>No</v>
      </c>
      <c r="F1202" s="28" t="str">
        <f t="array" ref="F1202">_xlfn.XLOOKUP($A1202, 'Medical Examinations'!$A:$A, 'Medical Examinations'!E:E, "No Data")</f>
        <v>No</v>
      </c>
      <c r="G1202" s="28" t="str">
        <f t="array" ref="G1202">_xlfn.XLOOKUP($A1202, 'Medical Examinations'!$A:$A, 'Medical Examinations'!F:F, "No Data")</f>
        <v>No</v>
      </c>
      <c r="H1202" s="28">
        <f t="array" ref="H1202">_xlfn.XLOOKUP($A1202, 'Medical Examinations'!$A:$A, 'Medical Examinations'!G:G, "No Data")</f>
        <v>0</v>
      </c>
      <c r="I1202" s="28" t="str">
        <f t="array" ref="I1202">_xlfn.XLOOKUP($A1202, 'Medical Examinations'!$A:$A, 'Medical Examinations'!H:H, "No Data")</f>
        <v>No</v>
      </c>
      <c r="J1202" s="28" t="str">
        <f t="array" ref="J1202">_xlfn.XLOOKUP($A1202, 'Medical Examinations'!$A:$A, 'Medical Examinations'!I:I, "No Data")</f>
        <v>Obesity</v>
      </c>
      <c r="K1202" s="28" t="str">
        <f t="array" ref="K1202">_xlfn.XLOOKUP($A1202, 'Hospitalisation Details'!$A:$A, 'Hospitalisation Details'!I:I, "No Data")</f>
        <v>tier - 1</v>
      </c>
      <c r="L1202" s="28" t="str">
        <f t="array" ref="L1202">_xlfn.XLOOKUP($A1202, 'Hospitalisation Details'!$A:$A, 'Hospitalisation Details'!J:J, "No Data")</f>
        <v>R1013</v>
      </c>
      <c r="M1202" s="28" t="str">
        <f t="array" ref="M1202">_xlfn.XLOOKUP($A1202, 'Hospitalisation Details'!$A:$A, 'Hospitalisation Details'!E:E, "No Data")</f>
        <v>26/11/71</v>
      </c>
      <c r="N1202" s="28">
        <f t="array" ref="N1202">_xlfn.XLOOKUP($A1202, 'Hospitalisation Details'!$A:$A, 'Hospitalisation Details'!K:K, "No Data")</f>
        <v>51</v>
      </c>
      <c r="O1202" s="33">
        <f t="array" ref="O1202">_xlfn.XLOOKUP($A1202, 'Hospitalisation Details'!$A:$A, 'Hospitalisation Details'!G:G, "No Data")</f>
        <v>9377.9</v>
      </c>
      <c r="P1202" s="28" t="str">
        <f t="array" ref="P1202">_xlfn.XLOOKUP($A1202, 'Hospitalisation Details'!$A:$A, 'Hospitalisation Details'!H:H, "No Data")</f>
        <v>tier - 2</v>
      </c>
    </row>
    <row r="1203">
      <c r="A1203" s="25" t="s">
        <v>3837</v>
      </c>
      <c r="B1203" s="28" t="str">
        <f t="array" ref="B1203">_xlfn.XLOOKUP($A1203, 'Customer Names'!$A:$A, 'Customer Names'!B:B, "No Data")</f>
        <v>Salowitz</v>
      </c>
      <c r="C1203" s="28">
        <f t="array" ref="C1203">_xlfn.XLOOKUP($A1203, 'Medical Examinations'!$A:$A, 'Medical Examinations'!B:B, "No Data")</f>
        <v>25.76</v>
      </c>
      <c r="D1203" s="28">
        <f t="array" ref="D1203">_xlfn.XLOOKUP($A1203, 'Medical Examinations'!$A:$A, 'Medical Examinations'!C:C, "No Data")</f>
        <v>6.02</v>
      </c>
      <c r="E1203" s="28" t="str">
        <f t="array" ref="E1203">_xlfn.XLOOKUP($A1203, 'Medical Examinations'!$A:$A, 'Medical Examinations'!D:D, "No Data")</f>
        <v>yes</v>
      </c>
      <c r="F1203" s="28" t="str">
        <f t="array" ref="F1203">_xlfn.XLOOKUP($A1203, 'Medical Examinations'!$A:$A, 'Medical Examinations'!E:E, "No Data")</f>
        <v>No</v>
      </c>
      <c r="G1203" s="28" t="str">
        <f t="array" ref="G1203">_xlfn.XLOOKUP($A1203, 'Medical Examinations'!$A:$A, 'Medical Examinations'!F:F, "No Data")</f>
        <v>Yes</v>
      </c>
      <c r="H1203" s="28">
        <f t="array" ref="H1203">_xlfn.XLOOKUP($A1203, 'Medical Examinations'!$A:$A, 'Medical Examinations'!G:G, "No Data")</f>
        <v>1</v>
      </c>
      <c r="I1203" s="28" t="str">
        <f t="array" ref="I1203">_xlfn.XLOOKUP($A1203, 'Medical Examinations'!$A:$A, 'Medical Examinations'!H:H, "No Data")</f>
        <v>No</v>
      </c>
      <c r="J1203" s="28" t="str">
        <f t="array" ref="J1203">_xlfn.XLOOKUP($A1203, 'Medical Examinations'!$A:$A, 'Medical Examinations'!I:I, "No Data")</f>
        <v>Overweight</v>
      </c>
      <c r="K1203" s="28" t="str">
        <f t="array" ref="K1203">_xlfn.XLOOKUP($A1203, 'Hospitalisation Details'!$A:$A, 'Hospitalisation Details'!I:I, "No Data")</f>
        <v>tier - 3</v>
      </c>
      <c r="L1203" s="28" t="str">
        <f t="array" ref="L1203">_xlfn.XLOOKUP($A1203, 'Hospitalisation Details'!$A:$A, 'Hospitalisation Details'!J:J, "No Data")</f>
        <v>R1013</v>
      </c>
      <c r="M1203" s="28" t="str">
        <f t="array" ref="M1203">_xlfn.XLOOKUP($A1203, 'Hospitalisation Details'!$A:$A, 'Hospitalisation Details'!E:E, "No Data")</f>
        <v>24/11/69</v>
      </c>
      <c r="N1203" s="28">
        <f t="array" ref="N1203">_xlfn.XLOOKUP($A1203, 'Hospitalisation Details'!$A:$A, 'Hospitalisation Details'!K:K, "No Data")</f>
        <v>53</v>
      </c>
      <c r="O1203" s="33">
        <f t="array" ref="O1203">_xlfn.XLOOKUP($A1203, 'Hospitalisation Details'!$A:$A, 'Hospitalisation Details'!G:G, "No Data")</f>
        <v>9377.45</v>
      </c>
      <c r="P1203" s="28" t="str">
        <f t="array" ref="P1203">_xlfn.XLOOKUP($A1203, 'Hospitalisation Details'!$A:$A, 'Hospitalisation Details'!H:H, "No Data")</f>
        <v>tier - 2</v>
      </c>
    </row>
    <row r="1204">
      <c r="A1204" s="25" t="s">
        <v>3841</v>
      </c>
      <c r="B1204" s="28" t="str">
        <f t="array" ref="B1204">_xlfn.XLOOKUP($A1204, 'Customer Names'!$A:$A, 'Customer Names'!B:B, "No Data")</f>
        <v>Blake</v>
      </c>
      <c r="C1204" s="28">
        <f t="array" ref="C1204">_xlfn.XLOOKUP($A1204, 'Medical Examinations'!$A:$A, 'Medical Examinations'!B:B, "No Data")</f>
        <v>22.42</v>
      </c>
      <c r="D1204" s="28">
        <f t="array" ref="D1204">_xlfn.XLOOKUP($A1204, 'Medical Examinations'!$A:$A, 'Medical Examinations'!C:C, "No Data")</f>
        <v>7.96</v>
      </c>
      <c r="E1204" s="28" t="str">
        <f t="array" ref="E1204">_xlfn.XLOOKUP($A1204, 'Medical Examinations'!$A:$A, 'Medical Examinations'!D:D, "No Data")</f>
        <v>No</v>
      </c>
      <c r="F1204" s="28" t="str">
        <f t="array" ref="F1204">_xlfn.XLOOKUP($A1204, 'Medical Examinations'!$A:$A, 'Medical Examinations'!E:E, "No Data")</f>
        <v>No</v>
      </c>
      <c r="G1204" s="28" t="str">
        <f t="array" ref="G1204">_xlfn.XLOOKUP($A1204, 'Medical Examinations'!$A:$A, 'Medical Examinations'!F:F, "No Data")</f>
        <v>No</v>
      </c>
      <c r="H1204" s="28">
        <f t="array" ref="H1204">_xlfn.XLOOKUP($A1204, 'Medical Examinations'!$A:$A, 'Medical Examinations'!G:G, "No Data")</f>
        <v>0</v>
      </c>
      <c r="I1204" s="28" t="str">
        <f t="array" ref="I1204">_xlfn.XLOOKUP($A1204, 'Medical Examinations'!$A:$A, 'Medical Examinations'!H:H, "No Data")</f>
        <v>No</v>
      </c>
      <c r="J1204" s="28" t="str">
        <f t="array" ref="J1204">_xlfn.XLOOKUP($A1204, 'Medical Examinations'!$A:$A, 'Medical Examinations'!I:I, "No Data")</f>
        <v>Normal Weight</v>
      </c>
      <c r="K1204" s="28" t="str">
        <f t="array" ref="K1204">_xlfn.XLOOKUP($A1204, 'Hospitalisation Details'!$A:$A, 'Hospitalisation Details'!I:I, "No Data")</f>
        <v>tier - 1</v>
      </c>
      <c r="L1204" s="28" t="str">
        <f t="array" ref="L1204">_xlfn.XLOOKUP($A1204, 'Hospitalisation Details'!$A:$A, 'Hospitalisation Details'!J:J, "No Data")</f>
        <v>R1016</v>
      </c>
      <c r="M1204" s="28" t="str">
        <f t="array" ref="M1204">_xlfn.XLOOKUP($A1204, 'Hospitalisation Details'!$A:$A, 'Hospitalisation Details'!E:E, "No Data")</f>
        <v>08/10/71</v>
      </c>
      <c r="N1204" s="28">
        <f t="array" ref="N1204">_xlfn.XLOOKUP($A1204, 'Hospitalisation Details'!$A:$A, 'Hospitalisation Details'!K:K, "No Data")</f>
        <v>51</v>
      </c>
      <c r="O1204" s="33">
        <f t="array" ref="O1204">_xlfn.XLOOKUP($A1204, 'Hospitalisation Details'!$A:$A, 'Hospitalisation Details'!G:G, "No Data")</f>
        <v>9361.33</v>
      </c>
      <c r="P1204" s="28" t="str">
        <f t="array" ref="P1204">_xlfn.XLOOKUP($A1204, 'Hospitalisation Details'!$A:$A, 'Hospitalisation Details'!H:H, "No Data")</f>
        <v>tier - 3</v>
      </c>
    </row>
    <row r="1205">
      <c r="A1205" s="25" t="s">
        <v>3845</v>
      </c>
      <c r="B1205" s="28" t="str">
        <f t="array" ref="B1205">_xlfn.XLOOKUP($A1205, 'Customer Names'!$A:$A, 'Customer Names'!B:B, "No Data")</f>
        <v>Langerak</v>
      </c>
      <c r="C1205" s="28">
        <f t="array" ref="C1205">_xlfn.XLOOKUP($A1205, 'Medical Examinations'!$A:$A, 'Medical Examinations'!B:B, "No Data")</f>
        <v>33.18</v>
      </c>
      <c r="D1205" s="28">
        <f t="array" ref="D1205">_xlfn.XLOOKUP($A1205, 'Medical Examinations'!$A:$A, 'Medical Examinations'!C:C, "No Data")</f>
        <v>6.01</v>
      </c>
      <c r="E1205" s="28" t="str">
        <f t="array" ref="E1205">_xlfn.XLOOKUP($A1205, 'Medical Examinations'!$A:$A, 'Medical Examinations'!D:D, "No Data")</f>
        <v>yes</v>
      </c>
      <c r="F1205" s="28" t="str">
        <f t="array" ref="F1205">_xlfn.XLOOKUP($A1205, 'Medical Examinations'!$A:$A, 'Medical Examinations'!E:E, "No Data")</f>
        <v>No</v>
      </c>
      <c r="G1205" s="28" t="str">
        <f t="array" ref="G1205">_xlfn.XLOOKUP($A1205, 'Medical Examinations'!$A:$A, 'Medical Examinations'!F:F, "No Data")</f>
        <v>No</v>
      </c>
      <c r="H1205" s="28">
        <f t="array" ref="H1205">_xlfn.XLOOKUP($A1205, 'Medical Examinations'!$A:$A, 'Medical Examinations'!G:G, "No Data")</f>
        <v>1</v>
      </c>
      <c r="I1205" s="28" t="str">
        <f t="array" ref="I1205">_xlfn.XLOOKUP($A1205, 'Medical Examinations'!$A:$A, 'Medical Examinations'!H:H, "No Data")</f>
        <v>No</v>
      </c>
      <c r="J1205" s="28" t="str">
        <f t="array" ref="J1205">_xlfn.XLOOKUP($A1205, 'Medical Examinations'!$A:$A, 'Medical Examinations'!I:I, "No Data")</f>
        <v>Obesity</v>
      </c>
      <c r="K1205" s="28" t="str">
        <f t="array" ref="K1205">_xlfn.XLOOKUP($A1205, 'Hospitalisation Details'!$A:$A, 'Hospitalisation Details'!I:I, "No Data")</f>
        <v>tier - 1</v>
      </c>
      <c r="L1205" s="28" t="str">
        <f t="array" ref="L1205">_xlfn.XLOOKUP($A1205, 'Hospitalisation Details'!$A:$A, 'Hospitalisation Details'!J:J, "No Data")</f>
        <v>R1021</v>
      </c>
      <c r="M1205" s="28" t="str">
        <f t="array" ref="M1205">_xlfn.XLOOKUP($A1205, 'Hospitalisation Details'!$A:$A, 'Hospitalisation Details'!E:E, "No Data")</f>
        <v>01/07/88</v>
      </c>
      <c r="N1205" s="28">
        <f t="array" ref="N1205">_xlfn.XLOOKUP($A1205, 'Hospitalisation Details'!$A:$A, 'Hospitalisation Details'!K:K, "No Data")</f>
        <v>34</v>
      </c>
      <c r="O1205" s="33">
        <f t="array" ref="O1205">_xlfn.XLOOKUP($A1205, 'Hospitalisation Details'!$A:$A, 'Hospitalisation Details'!G:G, "No Data")</f>
        <v>9344.2</v>
      </c>
      <c r="P1205" s="28" t="str">
        <f t="array" ref="P1205">_xlfn.XLOOKUP($A1205, 'Hospitalisation Details'!$A:$A, 'Hospitalisation Details'!H:H, "No Data")</f>
        <v>tier - 2</v>
      </c>
    </row>
    <row r="1206">
      <c r="A1206" s="25" t="s">
        <v>3848</v>
      </c>
      <c r="B1206" s="28" t="str">
        <f t="array" ref="B1206">_xlfn.XLOOKUP($A1206, 'Customer Names'!$A:$A, 'Customer Names'!B:B, "No Data")</f>
        <v>Bonilla</v>
      </c>
      <c r="C1206" s="28">
        <f t="array" ref="C1206">_xlfn.XLOOKUP($A1206, 'Medical Examinations'!$A:$A, 'Medical Examinations'!B:B, "No Data")</f>
        <v>43.04</v>
      </c>
      <c r="D1206" s="28">
        <f t="array" ref="D1206">_xlfn.XLOOKUP($A1206, 'Medical Examinations'!$A:$A, 'Medical Examinations'!C:C, "No Data")</f>
        <v>5.9</v>
      </c>
      <c r="E1206" s="28" t="str">
        <f t="array" ref="E1206">_xlfn.XLOOKUP($A1206, 'Medical Examinations'!$A:$A, 'Medical Examinations'!D:D, "No Data")</f>
        <v>yes</v>
      </c>
      <c r="F1206" s="28" t="str">
        <f t="array" ref="F1206">_xlfn.XLOOKUP($A1206, 'Medical Examinations'!$A:$A, 'Medical Examinations'!E:E, "No Data")</f>
        <v>No</v>
      </c>
      <c r="G1206" s="28" t="str">
        <f t="array" ref="G1206">_xlfn.XLOOKUP($A1206, 'Medical Examinations'!$A:$A, 'Medical Examinations'!F:F, "No Data")</f>
        <v>No</v>
      </c>
      <c r="H1206" s="28">
        <f t="array" ref="H1206">_xlfn.XLOOKUP($A1206, 'Medical Examinations'!$A:$A, 'Medical Examinations'!G:G, "No Data")</f>
        <v>0</v>
      </c>
      <c r="I1206" s="28" t="str">
        <f t="array" ref="I1206">_xlfn.XLOOKUP($A1206, 'Medical Examinations'!$A:$A, 'Medical Examinations'!H:H, "No Data")</f>
        <v>No</v>
      </c>
      <c r="J1206" s="28" t="str">
        <f t="array" ref="J1206">_xlfn.XLOOKUP($A1206, 'Medical Examinations'!$A:$A, 'Medical Examinations'!I:I, "No Data")</f>
        <v>Obesity</v>
      </c>
      <c r="K1206" s="28" t="str">
        <f t="array" ref="K1206">_xlfn.XLOOKUP($A1206, 'Hospitalisation Details'!$A:$A, 'Hospitalisation Details'!I:I, "No Data")</f>
        <v>tier - 1</v>
      </c>
      <c r="L1206" s="28" t="str">
        <f t="array" ref="L1206">_xlfn.XLOOKUP($A1206, 'Hospitalisation Details'!$A:$A, 'Hospitalisation Details'!J:J, "No Data")</f>
        <v>R1026</v>
      </c>
      <c r="M1206" s="28" t="str">
        <f t="array" ref="M1206">_xlfn.XLOOKUP($A1206, 'Hospitalisation Details'!$A:$A, 'Hospitalisation Details'!E:E, "No Data")</f>
        <v>12/10/96</v>
      </c>
      <c r="N1206" s="28">
        <f t="array" ref="N1206">_xlfn.XLOOKUP($A1206, 'Hospitalisation Details'!$A:$A, 'Hospitalisation Details'!K:K, "No Data")</f>
        <v>26</v>
      </c>
      <c r="O1206" s="33">
        <f t="array" ref="O1206">_xlfn.XLOOKUP($A1206, 'Hospitalisation Details'!$A:$A, 'Hospitalisation Details'!G:G, "No Data")</f>
        <v>9338.61</v>
      </c>
      <c r="P1206" s="28" t="str">
        <f t="array" ref="P1206">_xlfn.XLOOKUP($A1206, 'Hospitalisation Details'!$A:$A, 'Hospitalisation Details'!H:H, "No Data")</f>
        <v>tier - 2</v>
      </c>
    </row>
    <row r="1207">
      <c r="A1207" s="25" t="s">
        <v>3852</v>
      </c>
      <c r="B1207" s="28" t="str">
        <f t="array" ref="B1207">_xlfn.XLOOKUP($A1207, 'Customer Names'!$A:$A, 'Customer Names'!B:B, "No Data")</f>
        <v>Ciabattoni</v>
      </c>
      <c r="C1207" s="28">
        <f t="array" ref="C1207">_xlfn.XLOOKUP($A1207, 'Medical Examinations'!$A:$A, 'Medical Examinations'!B:B, "No Data")</f>
        <v>34.15</v>
      </c>
      <c r="D1207" s="28">
        <f t="array" ref="D1207">_xlfn.XLOOKUP($A1207, 'Medical Examinations'!$A:$A, 'Medical Examinations'!C:C, "No Data")</f>
        <v>4.49</v>
      </c>
      <c r="E1207" s="28" t="str">
        <f t="array" ref="E1207">_xlfn.XLOOKUP($A1207, 'Medical Examinations'!$A:$A, 'Medical Examinations'!D:D, "No Data")</f>
        <v>yes</v>
      </c>
      <c r="F1207" s="28" t="str">
        <f t="array" ref="F1207">_xlfn.XLOOKUP($A1207, 'Medical Examinations'!$A:$A, 'Medical Examinations'!E:E, "No Data")</f>
        <v>No</v>
      </c>
      <c r="G1207" s="28" t="str">
        <f t="array" ref="G1207">_xlfn.XLOOKUP($A1207, 'Medical Examinations'!$A:$A, 'Medical Examinations'!F:F, "No Data")</f>
        <v>No</v>
      </c>
      <c r="H1207" s="28">
        <f t="array" ref="H1207">_xlfn.XLOOKUP($A1207, 'Medical Examinations'!$A:$A, 'Medical Examinations'!G:G, "No Data")</f>
        <v>1</v>
      </c>
      <c r="I1207" s="28" t="str">
        <f t="array" ref="I1207">_xlfn.XLOOKUP($A1207, 'Medical Examinations'!$A:$A, 'Medical Examinations'!H:H, "No Data")</f>
        <v>No</v>
      </c>
      <c r="J1207" s="28" t="str">
        <f t="array" ref="J1207">_xlfn.XLOOKUP($A1207, 'Medical Examinations'!$A:$A, 'Medical Examinations'!I:I, "No Data")</f>
        <v>Obesity</v>
      </c>
      <c r="K1207" s="28" t="str">
        <f t="array" ref="K1207">_xlfn.XLOOKUP($A1207, 'Hospitalisation Details'!$A:$A, 'Hospitalisation Details'!I:I, "No Data")</f>
        <v>tier - 1</v>
      </c>
      <c r="L1207" s="28" t="str">
        <f t="array" ref="L1207">_xlfn.XLOOKUP($A1207, 'Hospitalisation Details'!$A:$A, 'Hospitalisation Details'!J:J, "No Data")</f>
        <v>R1012</v>
      </c>
      <c r="M1207" s="28" t="str">
        <f t="array" ref="M1207">_xlfn.XLOOKUP($A1207, 'Hospitalisation Details'!$A:$A, 'Hospitalisation Details'!E:E, "No Data")</f>
        <v>09/07/88</v>
      </c>
      <c r="N1207" s="28">
        <f t="array" ref="N1207">_xlfn.XLOOKUP($A1207, 'Hospitalisation Details'!$A:$A, 'Hospitalisation Details'!K:K, "No Data")</f>
        <v>34</v>
      </c>
      <c r="O1207" s="33">
        <f t="array" ref="O1207">_xlfn.XLOOKUP($A1207, 'Hospitalisation Details'!$A:$A, 'Hospitalisation Details'!G:G, "No Data")</f>
        <v>9320.26</v>
      </c>
      <c r="P1207" s="28" t="str">
        <f t="array" ref="P1207">_xlfn.XLOOKUP($A1207, 'Hospitalisation Details'!$A:$A, 'Hospitalisation Details'!H:H, "No Data")</f>
        <v>tier - 2</v>
      </c>
    </row>
    <row r="1208">
      <c r="A1208" s="25" t="s">
        <v>3855</v>
      </c>
      <c r="B1208" s="28" t="str">
        <f t="array" ref="B1208">_xlfn.XLOOKUP($A1208, 'Customer Names'!$A:$A, 'Customer Names'!B:B, "No Data")</f>
        <v>Escanero Palmer</v>
      </c>
      <c r="C1208" s="28">
        <f t="array" ref="C1208">_xlfn.XLOOKUP($A1208, 'Medical Examinations'!$A:$A, 'Medical Examinations'!B:B, "No Data")</f>
        <v>25.78</v>
      </c>
      <c r="D1208" s="28">
        <f t="array" ref="D1208">_xlfn.XLOOKUP($A1208, 'Medical Examinations'!$A:$A, 'Medical Examinations'!C:C, "No Data")</f>
        <v>6.25</v>
      </c>
      <c r="E1208" s="28" t="str">
        <f t="array" ref="E1208">_xlfn.XLOOKUP($A1208, 'Medical Examinations'!$A:$A, 'Medical Examinations'!D:D, "No Data")</f>
        <v>No</v>
      </c>
      <c r="F1208" s="28" t="str">
        <f t="array" ref="F1208">_xlfn.XLOOKUP($A1208, 'Medical Examinations'!$A:$A, 'Medical Examinations'!E:E, "No Data")</f>
        <v>No</v>
      </c>
      <c r="G1208" s="28" t="str">
        <f t="array" ref="G1208">_xlfn.XLOOKUP($A1208, 'Medical Examinations'!$A:$A, 'Medical Examinations'!F:F, "No Data")</f>
        <v>No</v>
      </c>
      <c r="H1208" s="28">
        <f t="array" ref="H1208">_xlfn.XLOOKUP($A1208, 'Medical Examinations'!$A:$A, 'Medical Examinations'!G:G, "No Data")</f>
        <v>0</v>
      </c>
      <c r="I1208" s="28" t="str">
        <f t="array" ref="I1208">_xlfn.XLOOKUP($A1208, 'Medical Examinations'!$A:$A, 'Medical Examinations'!H:H, "No Data")</f>
        <v>No</v>
      </c>
      <c r="J1208" s="28" t="str">
        <f t="array" ref="J1208">_xlfn.XLOOKUP($A1208, 'Medical Examinations'!$A:$A, 'Medical Examinations'!I:I, "No Data")</f>
        <v>Overweight</v>
      </c>
      <c r="K1208" s="28" t="str">
        <f t="array" ref="K1208">_xlfn.XLOOKUP($A1208, 'Hospitalisation Details'!$A:$A, 'Hospitalisation Details'!I:I, "No Data")</f>
        <v>tier - 1</v>
      </c>
      <c r="L1208" s="28" t="str">
        <f t="array" ref="L1208">_xlfn.XLOOKUP($A1208, 'Hospitalisation Details'!$A:$A, 'Hospitalisation Details'!J:J, "No Data")</f>
        <v>R1024</v>
      </c>
      <c r="M1208" s="28" t="str">
        <f t="array" ref="M1208">_xlfn.XLOOKUP($A1208, 'Hospitalisation Details'!$A:$A, 'Hospitalisation Details'!E:E, "No Data")</f>
        <v>12/10/77</v>
      </c>
      <c r="N1208" s="28">
        <f t="array" ref="N1208">_xlfn.XLOOKUP($A1208, 'Hospitalisation Details'!$A:$A, 'Hospitalisation Details'!K:K, "No Data")</f>
        <v>45</v>
      </c>
      <c r="O1208" s="33">
        <f t="array" ref="O1208">_xlfn.XLOOKUP($A1208, 'Hospitalisation Details'!$A:$A, 'Hospitalisation Details'!G:G, "No Data")</f>
        <v>9315.41</v>
      </c>
      <c r="P1208" s="28" t="str">
        <f t="array" ref="P1208">_xlfn.XLOOKUP($A1208, 'Hospitalisation Details'!$A:$A, 'Hospitalisation Details'!H:H, "No Data")</f>
        <v>tier - 2</v>
      </c>
    </row>
    <row r="1209">
      <c r="A1209" s="25" t="s">
        <v>3859</v>
      </c>
      <c r="B1209" s="28" t="str">
        <f t="array" ref="B1209">_xlfn.XLOOKUP($A1209, 'Customer Names'!$A:$A, 'Customer Names'!B:B, "No Data")</f>
        <v>Lowe</v>
      </c>
      <c r="C1209" s="28">
        <f t="array" ref="C1209">_xlfn.XLOOKUP($A1209, 'Medical Examinations'!$A:$A, 'Medical Examinations'!B:B, "No Data")</f>
        <v>21.02</v>
      </c>
      <c r="D1209" s="28">
        <f t="array" ref="D1209">_xlfn.XLOOKUP($A1209, 'Medical Examinations'!$A:$A, 'Medical Examinations'!C:C, "No Data")</f>
        <v>9.62</v>
      </c>
      <c r="E1209" s="28" t="str">
        <f t="array" ref="E1209">_xlfn.XLOOKUP($A1209, 'Medical Examinations'!$A:$A, 'Medical Examinations'!D:D, "No Data")</f>
        <v>yes</v>
      </c>
      <c r="F1209" s="28" t="str">
        <f t="array" ref="F1209">_xlfn.XLOOKUP($A1209, 'Medical Examinations'!$A:$A, 'Medical Examinations'!E:E, "No Data")</f>
        <v>No</v>
      </c>
      <c r="G1209" s="28" t="str">
        <f t="array" ref="G1209">_xlfn.XLOOKUP($A1209, 'Medical Examinations'!$A:$A, 'Medical Examinations'!F:F, "No Data")</f>
        <v>Yes</v>
      </c>
      <c r="H1209" s="28">
        <f t="array" ref="H1209">_xlfn.XLOOKUP($A1209, 'Medical Examinations'!$A:$A, 'Medical Examinations'!G:G, "No Data")</f>
        <v>1</v>
      </c>
      <c r="I1209" s="28" t="str">
        <f t="array" ref="I1209">_xlfn.XLOOKUP($A1209, 'Medical Examinations'!$A:$A, 'Medical Examinations'!H:H, "No Data")</f>
        <v>No</v>
      </c>
      <c r="J1209" s="28" t="str">
        <f t="array" ref="J1209">_xlfn.XLOOKUP($A1209, 'Medical Examinations'!$A:$A, 'Medical Examinations'!I:I, "No Data")</f>
        <v>Normal Weight</v>
      </c>
      <c r="K1209" s="28" t="str">
        <f t="array" ref="K1209">_xlfn.XLOOKUP($A1209, 'Hospitalisation Details'!$A:$A, 'Hospitalisation Details'!I:I, "No Data")</f>
        <v>tier - 1</v>
      </c>
      <c r="L1209" s="28" t="str">
        <f t="array" ref="L1209">_xlfn.XLOOKUP($A1209, 'Hospitalisation Details'!$A:$A, 'Hospitalisation Details'!J:J, "No Data")</f>
        <v>R1013</v>
      </c>
      <c r="M1209" s="28" t="str">
        <f t="array" ref="M1209">_xlfn.XLOOKUP($A1209, 'Hospitalisation Details'!$A:$A, 'Hospitalisation Details'!E:E, "No Data")</f>
        <v>08/06/63</v>
      </c>
      <c r="N1209" s="28">
        <f t="array" ref="N1209">_xlfn.XLOOKUP($A1209, 'Hospitalisation Details'!$A:$A, 'Hospitalisation Details'!K:K, "No Data")</f>
        <v>60</v>
      </c>
      <c r="O1209" s="33">
        <f t="array" ref="O1209">_xlfn.XLOOKUP($A1209, 'Hospitalisation Details'!$A:$A, 'Hospitalisation Details'!G:G, "No Data")</f>
        <v>9310.81</v>
      </c>
      <c r="P1209" s="28" t="str">
        <f t="array" ref="P1209">_xlfn.XLOOKUP($A1209, 'Hospitalisation Details'!$A:$A, 'Hospitalisation Details'!H:H, "No Data")</f>
        <v>tier - 3</v>
      </c>
    </row>
    <row r="1210">
      <c r="A1210" s="25" t="s">
        <v>3862</v>
      </c>
      <c r="B1210" s="28" t="str">
        <f t="array" ref="B1210">_xlfn.XLOOKUP($A1210, 'Customer Names'!$A:$A, 'Customer Names'!B:B, "No Data")</f>
        <v>Osmark</v>
      </c>
      <c r="C1210" s="28">
        <f t="array" ref="C1210">_xlfn.XLOOKUP($A1210, 'Medical Examinations'!$A:$A, 'Medical Examinations'!B:B, "No Data")</f>
        <v>37.51</v>
      </c>
      <c r="D1210" s="28">
        <f t="array" ref="D1210">_xlfn.XLOOKUP($A1210, 'Medical Examinations'!$A:$A, 'Medical Examinations'!C:C, "No Data")</f>
        <v>11.06</v>
      </c>
      <c r="E1210" s="28" t="str">
        <f t="array" ref="E1210">_xlfn.XLOOKUP($A1210, 'Medical Examinations'!$A:$A, 'Medical Examinations'!D:D, "No Data")</f>
        <v>No</v>
      </c>
      <c r="F1210" s="28" t="str">
        <f t="array" ref="F1210">_xlfn.XLOOKUP($A1210, 'Medical Examinations'!$A:$A, 'Medical Examinations'!E:E, "No Data")</f>
        <v>No</v>
      </c>
      <c r="G1210" s="28" t="str">
        <f t="array" ref="G1210">_xlfn.XLOOKUP($A1210, 'Medical Examinations'!$A:$A, 'Medical Examinations'!F:F, "No Data")</f>
        <v>No</v>
      </c>
      <c r="H1210" s="28">
        <f t="array" ref="H1210">_xlfn.XLOOKUP($A1210, 'Medical Examinations'!$A:$A, 'Medical Examinations'!G:G, "No Data")</f>
        <v>2</v>
      </c>
      <c r="I1210" s="28" t="str">
        <f t="array" ref="I1210">_xlfn.XLOOKUP($A1210, 'Medical Examinations'!$A:$A, 'Medical Examinations'!H:H, "No Data")</f>
        <v>No</v>
      </c>
      <c r="J1210" s="28" t="str">
        <f t="array" ref="J1210">_xlfn.XLOOKUP($A1210, 'Medical Examinations'!$A:$A, 'Medical Examinations'!I:I, "No Data")</f>
        <v>Obesity</v>
      </c>
      <c r="K1210" s="28" t="str">
        <f t="array" ref="K1210">_xlfn.XLOOKUP($A1210, 'Hospitalisation Details'!$A:$A, 'Hospitalisation Details'!I:I, "No Data")</f>
        <v>tier - 3</v>
      </c>
      <c r="L1210" s="28" t="str">
        <f t="array" ref="L1210">_xlfn.XLOOKUP($A1210, 'Hospitalisation Details'!$A:$A, 'Hospitalisation Details'!J:J, "No Data")</f>
        <v>R1013</v>
      </c>
      <c r="M1210" s="28" t="str">
        <f t="array" ref="M1210">_xlfn.XLOOKUP($A1210, 'Hospitalisation Details'!$A:$A, 'Hospitalisation Details'!E:E, "No Data")</f>
        <v>16/10/73</v>
      </c>
      <c r="N1210" s="28">
        <f t="array" ref="N1210">_xlfn.XLOOKUP($A1210, 'Hospitalisation Details'!$A:$A, 'Hospitalisation Details'!K:K, "No Data")</f>
        <v>49</v>
      </c>
      <c r="O1210" s="33">
        <f t="array" ref="O1210">_xlfn.XLOOKUP($A1210, 'Hospitalisation Details'!$A:$A, 'Hospitalisation Details'!G:G, "No Data")</f>
        <v>9304.7</v>
      </c>
      <c r="P1210" s="28" t="str">
        <f t="array" ref="P1210">_xlfn.XLOOKUP($A1210, 'Hospitalisation Details'!$A:$A, 'Hospitalisation Details'!H:H, "No Data")</f>
        <v>tier - 3</v>
      </c>
    </row>
    <row r="1211">
      <c r="A1211" s="25" t="s">
        <v>3866</v>
      </c>
      <c r="B1211" s="28" t="str">
        <f t="array" ref="B1211">_xlfn.XLOOKUP($A1211, 'Customer Names'!$A:$A, 'Customer Names'!B:B, "No Data")</f>
        <v>Lawson</v>
      </c>
      <c r="C1211" s="28">
        <f t="array" ref="C1211">_xlfn.XLOOKUP($A1211, 'Medical Examinations'!$A:$A, 'Medical Examinations'!B:B, "No Data")</f>
        <v>25.745</v>
      </c>
      <c r="D1211" s="28">
        <f t="array" ref="D1211">_xlfn.XLOOKUP($A1211, 'Medical Examinations'!$A:$A, 'Medical Examinations'!C:C, "No Data")</f>
        <v>6.11</v>
      </c>
      <c r="E1211" s="28" t="str">
        <f t="array" ref="E1211">_xlfn.XLOOKUP($A1211, 'Medical Examinations'!$A:$A, 'Medical Examinations'!D:D, "No Data")</f>
        <v>yes</v>
      </c>
      <c r="F1211" s="28" t="str">
        <f t="array" ref="F1211">_xlfn.XLOOKUP($A1211, 'Medical Examinations'!$A:$A, 'Medical Examinations'!E:E, "No Data")</f>
        <v>No</v>
      </c>
      <c r="G1211" s="28" t="str">
        <f t="array" ref="G1211">_xlfn.XLOOKUP($A1211, 'Medical Examinations'!$A:$A, 'Medical Examinations'!F:F, "No Data")</f>
        <v>No</v>
      </c>
      <c r="H1211" s="28">
        <f t="array" ref="H1211">_xlfn.XLOOKUP($A1211, 'Medical Examinations'!$A:$A, 'Medical Examinations'!G:G, "No Data")</f>
        <v>0</v>
      </c>
      <c r="I1211" s="28" t="str">
        <f t="array" ref="I1211">_xlfn.XLOOKUP($A1211, 'Medical Examinations'!$A:$A, 'Medical Examinations'!H:H, "No Data")</f>
        <v>No</v>
      </c>
      <c r="J1211" s="28" t="str">
        <f t="array" ref="J1211">_xlfn.XLOOKUP($A1211, 'Medical Examinations'!$A:$A, 'Medical Examinations'!I:I, "No Data")</f>
        <v>Overweight</v>
      </c>
      <c r="K1211" s="28" t="str">
        <f t="array" ref="K1211">_xlfn.XLOOKUP($A1211, 'Hospitalisation Details'!$A:$A, 'Hospitalisation Details'!I:I, "No Data")</f>
        <v>tier - 1</v>
      </c>
      <c r="L1211" s="28" t="str">
        <f t="array" ref="L1211">_xlfn.XLOOKUP($A1211, 'Hospitalisation Details'!$A:$A, 'Hospitalisation Details'!J:J, "No Data")</f>
        <v>R1012</v>
      </c>
      <c r="M1211" s="28" t="str">
        <f t="array" ref="M1211">_xlfn.XLOOKUP($A1211, 'Hospitalisation Details'!$A:$A, 'Hospitalisation Details'!E:E, "No Data")</f>
        <v>03/11/76</v>
      </c>
      <c r="N1211" s="28">
        <f t="array" ref="N1211">_xlfn.XLOOKUP($A1211, 'Hospitalisation Details'!$A:$A, 'Hospitalisation Details'!K:K, "No Data")</f>
        <v>46</v>
      </c>
      <c r="O1211" s="33">
        <f t="array" ref="O1211">_xlfn.XLOOKUP($A1211, 'Hospitalisation Details'!$A:$A, 'Hospitalisation Details'!G:G, "No Data")</f>
        <v>9301.89</v>
      </c>
      <c r="P1211" s="28" t="str">
        <f t="array" ref="P1211">_xlfn.XLOOKUP($A1211, 'Hospitalisation Details'!$A:$A, 'Hospitalisation Details'!H:H, "No Data")</f>
        <v>tier - 2</v>
      </c>
    </row>
    <row r="1212">
      <c r="A1212" s="25" t="s">
        <v>3867</v>
      </c>
      <c r="B1212" s="28" t="str">
        <f t="array" ref="B1212">_xlfn.XLOOKUP($A1212, 'Customer Names'!$A:$A, 'Customer Names'!B:B, "No Data")</f>
        <v>Warwick</v>
      </c>
      <c r="C1212" s="28">
        <f t="array" ref="C1212">_xlfn.XLOOKUP($A1212, 'Medical Examinations'!$A:$A, 'Medical Examinations'!B:B, "No Data")</f>
        <v>31.35</v>
      </c>
      <c r="D1212" s="28">
        <f t="array" ref="D1212">_xlfn.XLOOKUP($A1212, 'Medical Examinations'!$A:$A, 'Medical Examinations'!C:C, "No Data")</f>
        <v>11.49</v>
      </c>
      <c r="E1212" s="28" t="str">
        <f t="array" ref="E1212">_xlfn.XLOOKUP($A1212, 'Medical Examinations'!$A:$A, 'Medical Examinations'!D:D, "No Data")</f>
        <v>No</v>
      </c>
      <c r="F1212" s="28" t="str">
        <f t="array" ref="F1212">_xlfn.XLOOKUP($A1212, 'Medical Examinations'!$A:$A, 'Medical Examinations'!E:E, "No Data")</f>
        <v>No</v>
      </c>
      <c r="G1212" s="28" t="str">
        <f t="array" ref="G1212">_xlfn.XLOOKUP($A1212, 'Medical Examinations'!$A:$A, 'Medical Examinations'!F:F, "No Data")</f>
        <v>No</v>
      </c>
      <c r="H1212" s="28">
        <f t="array" ref="H1212">_xlfn.XLOOKUP($A1212, 'Medical Examinations'!$A:$A, 'Medical Examinations'!G:G, "No Data")</f>
        <v>2</v>
      </c>
      <c r="I1212" s="28" t="str">
        <f t="array" ref="I1212">_xlfn.XLOOKUP($A1212, 'Medical Examinations'!$A:$A, 'Medical Examinations'!H:H, "No Data")</f>
        <v>No</v>
      </c>
      <c r="J1212" s="28" t="str">
        <f t="array" ref="J1212">_xlfn.XLOOKUP($A1212, 'Medical Examinations'!$A:$A, 'Medical Examinations'!I:I, "No Data")</f>
        <v>Obesity</v>
      </c>
      <c r="K1212" s="28" t="str">
        <f t="array" ref="K1212">_xlfn.XLOOKUP($A1212, 'Hospitalisation Details'!$A:$A, 'Hospitalisation Details'!I:I, "No Data")</f>
        <v>tier - 3</v>
      </c>
      <c r="L1212" s="28" t="str">
        <f t="array" ref="L1212">_xlfn.XLOOKUP($A1212, 'Hospitalisation Details'!$A:$A, 'Hospitalisation Details'!J:J, "No Data")</f>
        <v>R1016</v>
      </c>
      <c r="M1212" s="28" t="str">
        <f t="array" ref="M1212">_xlfn.XLOOKUP($A1212, 'Hospitalisation Details'!$A:$A, 'Hospitalisation Details'!E:E, "No Data")</f>
        <v>18/09/73</v>
      </c>
      <c r="N1212" s="28">
        <f t="array" ref="N1212">_xlfn.XLOOKUP($A1212, 'Hospitalisation Details'!$A:$A, 'Hospitalisation Details'!K:K, "No Data")</f>
        <v>49</v>
      </c>
      <c r="O1212" s="33">
        <f t="array" ref="O1212">_xlfn.XLOOKUP($A1212, 'Hospitalisation Details'!$A:$A, 'Hospitalisation Details'!G:G, "No Data")</f>
        <v>9290.14</v>
      </c>
      <c r="P1212" s="28" t="str">
        <f t="array" ref="P1212">_xlfn.XLOOKUP($A1212, 'Hospitalisation Details'!$A:$A, 'Hospitalisation Details'!H:H, "No Data")</f>
        <v>tier - 3</v>
      </c>
    </row>
    <row r="1213">
      <c r="A1213" s="25" t="s">
        <v>3870</v>
      </c>
      <c r="B1213" s="28" t="str">
        <f t="array" ref="B1213">_xlfn.XLOOKUP($A1213, 'Customer Names'!$A:$A, 'Customer Names'!B:B, "No Data")</f>
        <v>Magnuson</v>
      </c>
      <c r="C1213" s="28">
        <f t="array" ref="C1213">_xlfn.XLOOKUP($A1213, 'Medical Examinations'!$A:$A, 'Medical Examinations'!B:B, "No Data")</f>
        <v>29.83</v>
      </c>
      <c r="D1213" s="28">
        <f t="array" ref="D1213">_xlfn.XLOOKUP($A1213, 'Medical Examinations'!$A:$A, 'Medical Examinations'!C:C, "No Data")</f>
        <v>8.68</v>
      </c>
      <c r="E1213" s="28" t="str">
        <f t="array" ref="E1213">_xlfn.XLOOKUP($A1213, 'Medical Examinations'!$A:$A, 'Medical Examinations'!D:D, "No Data")</f>
        <v>No</v>
      </c>
      <c r="F1213" s="28" t="str">
        <f t="array" ref="F1213">_xlfn.XLOOKUP($A1213, 'Medical Examinations'!$A:$A, 'Medical Examinations'!E:E, "No Data")</f>
        <v>No</v>
      </c>
      <c r="G1213" s="28" t="str">
        <f t="array" ref="G1213">_xlfn.XLOOKUP($A1213, 'Medical Examinations'!$A:$A, 'Medical Examinations'!F:F, "No Data")</f>
        <v>No</v>
      </c>
      <c r="H1213" s="28">
        <f t="array" ref="H1213">_xlfn.XLOOKUP($A1213, 'Medical Examinations'!$A:$A, 'Medical Examinations'!G:G, "No Data")</f>
        <v>2</v>
      </c>
      <c r="I1213" s="28" t="str">
        <f t="array" ref="I1213">_xlfn.XLOOKUP($A1213, 'Medical Examinations'!$A:$A, 'Medical Examinations'!H:H, "No Data")</f>
        <v>No</v>
      </c>
      <c r="J1213" s="28" t="str">
        <f t="array" ref="J1213">_xlfn.XLOOKUP($A1213, 'Medical Examinations'!$A:$A, 'Medical Examinations'!I:I, "No Data")</f>
        <v>Overweight</v>
      </c>
      <c r="K1213" s="28" t="str">
        <f t="array" ref="K1213">_xlfn.XLOOKUP($A1213, 'Hospitalisation Details'!$A:$A, 'Hospitalisation Details'!I:I, "No Data")</f>
        <v>tier - 3</v>
      </c>
      <c r="L1213" s="28" t="str">
        <f t="array" ref="L1213">_xlfn.XLOOKUP($A1213, 'Hospitalisation Details'!$A:$A, 'Hospitalisation Details'!J:J, "No Data")</f>
        <v>R1018</v>
      </c>
      <c r="M1213" s="28" t="str">
        <f t="array" ref="M1213">_xlfn.XLOOKUP($A1213, 'Hospitalisation Details'!$A:$A, 'Hospitalisation Details'!E:E, "No Data")</f>
        <v>16/10/73</v>
      </c>
      <c r="N1213" s="28">
        <f t="array" ref="N1213">_xlfn.XLOOKUP($A1213, 'Hospitalisation Details'!$A:$A, 'Hospitalisation Details'!K:K, "No Data")</f>
        <v>49</v>
      </c>
      <c r="O1213" s="33">
        <f t="array" ref="O1213">_xlfn.XLOOKUP($A1213, 'Hospitalisation Details'!$A:$A, 'Hospitalisation Details'!G:G, "No Data")</f>
        <v>9288.03</v>
      </c>
      <c r="P1213" s="28" t="str">
        <f t="array" ref="P1213">_xlfn.XLOOKUP($A1213, 'Hospitalisation Details'!$A:$A, 'Hospitalisation Details'!H:H, "No Data")</f>
        <v>tier - 2</v>
      </c>
    </row>
    <row r="1214">
      <c r="A1214" s="25" t="s">
        <v>3873</v>
      </c>
      <c r="B1214" s="28" t="str">
        <f t="array" ref="B1214">_xlfn.XLOOKUP($A1214, 'Customer Names'!$A:$A, 'Customer Names'!B:B, "No Data")</f>
        <v>Marsh</v>
      </c>
      <c r="C1214" s="28">
        <f t="array" ref="C1214">_xlfn.XLOOKUP($A1214, 'Medical Examinations'!$A:$A, 'Medical Examinations'!B:B, "No Data")</f>
        <v>25.49</v>
      </c>
      <c r="D1214" s="28">
        <f t="array" ref="D1214">_xlfn.XLOOKUP($A1214, 'Medical Examinations'!$A:$A, 'Medical Examinations'!C:C, "No Data")</f>
        <v>5.68</v>
      </c>
      <c r="E1214" s="28" t="str">
        <f t="array" ref="E1214">_xlfn.XLOOKUP($A1214, 'Medical Examinations'!$A:$A, 'Medical Examinations'!D:D, "No Data")</f>
        <v>yes</v>
      </c>
      <c r="F1214" s="28" t="str">
        <f t="array" ref="F1214">_xlfn.XLOOKUP($A1214, 'Medical Examinations'!$A:$A, 'Medical Examinations'!E:E, "No Data")</f>
        <v>No</v>
      </c>
      <c r="G1214" s="28" t="str">
        <f t="array" ref="G1214">_xlfn.XLOOKUP($A1214, 'Medical Examinations'!$A:$A, 'Medical Examinations'!F:F, "No Data")</f>
        <v>Yes</v>
      </c>
      <c r="H1214" s="28">
        <f t="array" ref="H1214">_xlfn.XLOOKUP($A1214, 'Medical Examinations'!$A:$A, 'Medical Examinations'!G:G, "No Data")</f>
        <v>1</v>
      </c>
      <c r="I1214" s="28" t="str">
        <f t="array" ref="I1214">_xlfn.XLOOKUP($A1214, 'Medical Examinations'!$A:$A, 'Medical Examinations'!H:H, "No Data")</f>
        <v>No</v>
      </c>
      <c r="J1214" s="28" t="str">
        <f t="array" ref="J1214">_xlfn.XLOOKUP($A1214, 'Medical Examinations'!$A:$A, 'Medical Examinations'!I:I, "No Data")</f>
        <v>Overweight</v>
      </c>
      <c r="K1214" s="28" t="str">
        <f t="array" ref="K1214">_xlfn.XLOOKUP($A1214, 'Hospitalisation Details'!$A:$A, 'Hospitalisation Details'!I:I, "No Data")</f>
        <v>tier - 3</v>
      </c>
      <c r="L1214" s="28" t="str">
        <f t="array" ref="L1214">_xlfn.XLOOKUP($A1214, 'Hospitalisation Details'!$A:$A, 'Hospitalisation Details'!J:J, "No Data")</f>
        <v>R1013</v>
      </c>
      <c r="M1214" s="28" t="str">
        <f t="array" ref="M1214">_xlfn.XLOOKUP($A1214, 'Hospitalisation Details'!$A:$A, 'Hospitalisation Details'!E:E, "No Data")</f>
        <v>26/11/69</v>
      </c>
      <c r="N1214" s="28">
        <f t="array" ref="N1214">_xlfn.XLOOKUP($A1214, 'Hospitalisation Details'!$A:$A, 'Hospitalisation Details'!K:K, "No Data")</f>
        <v>53</v>
      </c>
      <c r="O1214" s="33">
        <f t="array" ref="O1214">_xlfn.XLOOKUP($A1214, 'Hospitalisation Details'!$A:$A, 'Hospitalisation Details'!G:G, "No Data")</f>
        <v>9285.87</v>
      </c>
      <c r="P1214" s="28" t="str">
        <f t="array" ref="P1214">_xlfn.XLOOKUP($A1214, 'Hospitalisation Details'!$A:$A, 'Hospitalisation Details'!H:H, "No Data")</f>
        <v>tier - 2</v>
      </c>
    </row>
    <row r="1215">
      <c r="A1215" s="25" t="s">
        <v>3875</v>
      </c>
      <c r="B1215" s="28" t="str">
        <f t="array" ref="B1215">_xlfn.XLOOKUP($A1215, 'Customer Names'!$A:$A, 'Customer Names'!B:B, "No Data")</f>
        <v>Kari</v>
      </c>
      <c r="C1215" s="28">
        <f t="array" ref="C1215">_xlfn.XLOOKUP($A1215, 'Medical Examinations'!$A:$A, 'Medical Examinations'!B:B, "No Data")</f>
        <v>34.1</v>
      </c>
      <c r="D1215" s="28">
        <f t="array" ref="D1215">_xlfn.XLOOKUP($A1215, 'Medical Examinations'!$A:$A, 'Medical Examinations'!C:C, "No Data")</f>
        <v>8.45</v>
      </c>
      <c r="E1215" s="28" t="str">
        <f t="array" ref="E1215">_xlfn.XLOOKUP($A1215, 'Medical Examinations'!$A:$A, 'Medical Examinations'!D:D, "No Data")</f>
        <v>No</v>
      </c>
      <c r="F1215" s="28" t="str">
        <f t="array" ref="F1215">_xlfn.XLOOKUP($A1215, 'Medical Examinations'!$A:$A, 'Medical Examinations'!E:E, "No Data")</f>
        <v>No</v>
      </c>
      <c r="G1215" s="28" t="str">
        <f t="array" ref="G1215">_xlfn.XLOOKUP($A1215, 'Medical Examinations'!$A:$A, 'Medical Examinations'!F:F, "No Data")</f>
        <v>No</v>
      </c>
      <c r="H1215" s="28">
        <f t="array" ref="H1215">_xlfn.XLOOKUP($A1215, 'Medical Examinations'!$A:$A, 'Medical Examinations'!G:G, "No Data")</f>
        <v>0</v>
      </c>
      <c r="I1215" s="28" t="str">
        <f t="array" ref="I1215">_xlfn.XLOOKUP($A1215, 'Medical Examinations'!$A:$A, 'Medical Examinations'!H:H, "No Data")</f>
        <v>No</v>
      </c>
      <c r="J1215" s="28" t="str">
        <f t="array" ref="J1215">_xlfn.XLOOKUP($A1215, 'Medical Examinations'!$A:$A, 'Medical Examinations'!I:I, "No Data")</f>
        <v>Obesity</v>
      </c>
      <c r="K1215" s="28" t="str">
        <f t="array" ref="K1215">_xlfn.XLOOKUP($A1215, 'Hospitalisation Details'!$A:$A, 'Hospitalisation Details'!I:I, "No Data")</f>
        <v>tier - 3</v>
      </c>
      <c r="L1215" s="28" t="str">
        <f t="array" ref="L1215">_xlfn.XLOOKUP($A1215, 'Hospitalisation Details'!$A:$A, 'Hospitalisation Details'!J:J, "No Data")</f>
        <v>R1013</v>
      </c>
      <c r="M1215" s="28" t="str">
        <f t="array" ref="M1215">_xlfn.XLOOKUP($A1215, 'Hospitalisation Details'!$A:$A, 'Hospitalisation Details'!E:E, "No Data")</f>
        <v>02/07/71</v>
      </c>
      <c r="N1215" s="28">
        <f t="array" ref="N1215">_xlfn.XLOOKUP($A1215, 'Hospitalisation Details'!$A:$A, 'Hospitalisation Details'!K:K, "No Data")</f>
        <v>51</v>
      </c>
      <c r="O1215" s="33">
        <f t="array" ref="O1215">_xlfn.XLOOKUP($A1215, 'Hospitalisation Details'!$A:$A, 'Hospitalisation Details'!G:G, "No Data")</f>
        <v>9283.56</v>
      </c>
      <c r="P1215" s="28" t="str">
        <f t="array" ref="P1215">_xlfn.XLOOKUP($A1215, 'Hospitalisation Details'!$A:$A, 'Hospitalisation Details'!H:H, "No Data")</f>
        <v>tier - 2</v>
      </c>
    </row>
    <row r="1216">
      <c r="A1216" s="25" t="s">
        <v>3878</v>
      </c>
      <c r="B1216" s="28" t="str">
        <f t="array" ref="B1216">_xlfn.XLOOKUP($A1216, 'Customer Names'!$A:$A, 'Customer Names'!B:B, "No Data")</f>
        <v>Standiford</v>
      </c>
      <c r="C1216" s="28">
        <f t="array" ref="C1216">_xlfn.XLOOKUP($A1216, 'Medical Examinations'!$A:$A, 'Medical Examinations'!B:B, "No Data")</f>
        <v>25.84</v>
      </c>
      <c r="D1216" s="28">
        <f t="array" ref="D1216">_xlfn.XLOOKUP($A1216, 'Medical Examinations'!$A:$A, 'Medical Examinations'!C:C, "No Data")</f>
        <v>8.51</v>
      </c>
      <c r="E1216" s="28" t="str">
        <f t="array" ref="E1216">_xlfn.XLOOKUP($A1216, 'Medical Examinations'!$A:$A, 'Medical Examinations'!D:D, "No Data")</f>
        <v>No</v>
      </c>
      <c r="F1216" s="28" t="str">
        <f t="array" ref="F1216">_xlfn.XLOOKUP($A1216, 'Medical Examinations'!$A:$A, 'Medical Examinations'!E:E, "No Data")</f>
        <v>No</v>
      </c>
      <c r="G1216" s="28" t="str">
        <f t="array" ref="G1216">_xlfn.XLOOKUP($A1216, 'Medical Examinations'!$A:$A, 'Medical Examinations'!F:F, "No Data")</f>
        <v>No</v>
      </c>
      <c r="H1216" s="28">
        <f t="array" ref="H1216">_xlfn.XLOOKUP($A1216, 'Medical Examinations'!$A:$A, 'Medical Examinations'!G:G, "No Data")</f>
        <v>2</v>
      </c>
      <c r="I1216" s="28" t="str">
        <f t="array" ref="I1216">_xlfn.XLOOKUP($A1216, 'Medical Examinations'!$A:$A, 'Medical Examinations'!H:H, "No Data")</f>
        <v>No</v>
      </c>
      <c r="J1216" s="28" t="str">
        <f t="array" ref="J1216">_xlfn.XLOOKUP($A1216, 'Medical Examinations'!$A:$A, 'Medical Examinations'!I:I, "No Data")</f>
        <v>Overweight</v>
      </c>
      <c r="K1216" s="28" t="str">
        <f t="array" ref="K1216">_xlfn.XLOOKUP($A1216, 'Hospitalisation Details'!$A:$A, 'Hospitalisation Details'!I:I, "No Data")</f>
        <v>tier - 2</v>
      </c>
      <c r="L1216" s="28" t="str">
        <f t="array" ref="L1216">_xlfn.XLOOKUP($A1216, 'Hospitalisation Details'!$A:$A, 'Hospitalisation Details'!J:J, "No Data")</f>
        <v>R1016</v>
      </c>
      <c r="M1216" s="28" t="str">
        <f t="array" ref="M1216">_xlfn.XLOOKUP($A1216, 'Hospitalisation Details'!$A:$A, 'Hospitalisation Details'!E:E, "No Data")</f>
        <v>27/10/73</v>
      </c>
      <c r="N1216" s="28">
        <f t="array" ref="N1216">_xlfn.XLOOKUP($A1216, 'Hospitalisation Details'!$A:$A, 'Hospitalisation Details'!K:K, "No Data")</f>
        <v>49</v>
      </c>
      <c r="O1216" s="33">
        <f t="array" ref="O1216">_xlfn.XLOOKUP($A1216, 'Hospitalisation Details'!$A:$A, 'Hospitalisation Details'!G:G, "No Data")</f>
        <v>9282.48</v>
      </c>
      <c r="P1216" s="28" t="str">
        <f t="array" ref="P1216">_xlfn.XLOOKUP($A1216, 'Hospitalisation Details'!$A:$A, 'Hospitalisation Details'!H:H, "No Data")</f>
        <v>tier - 3</v>
      </c>
    </row>
    <row r="1217">
      <c r="A1217" s="25" t="s">
        <v>3882</v>
      </c>
      <c r="B1217" s="28" t="str">
        <f t="array" ref="B1217">_xlfn.XLOOKUP($A1217, 'Customer Names'!$A:$A, 'Customer Names'!B:B, "No Data")</f>
        <v>Sherwin</v>
      </c>
      <c r="C1217" s="28">
        <f t="array" ref="C1217">_xlfn.XLOOKUP($A1217, 'Medical Examinations'!$A:$A, 'Medical Examinations'!B:B, "No Data")</f>
        <v>20.6</v>
      </c>
      <c r="D1217" s="28">
        <f t="array" ref="D1217">_xlfn.XLOOKUP($A1217, 'Medical Examinations'!$A:$A, 'Medical Examinations'!C:C, "No Data")</f>
        <v>7.62</v>
      </c>
      <c r="E1217" s="28" t="str">
        <f t="array" ref="E1217">_xlfn.XLOOKUP($A1217, 'Medical Examinations'!$A:$A, 'Medical Examinations'!D:D, "No Data")</f>
        <v>No</v>
      </c>
      <c r="F1217" s="28" t="str">
        <f t="array" ref="F1217">_xlfn.XLOOKUP($A1217, 'Medical Examinations'!$A:$A, 'Medical Examinations'!E:E, "No Data")</f>
        <v>No</v>
      </c>
      <c r="G1217" s="28" t="str">
        <f t="array" ref="G1217">_xlfn.XLOOKUP($A1217, 'Medical Examinations'!$A:$A, 'Medical Examinations'!F:F, "No Data")</f>
        <v>No</v>
      </c>
      <c r="H1217" s="28">
        <f t="array" ref="H1217">_xlfn.XLOOKUP($A1217, 'Medical Examinations'!$A:$A, 'Medical Examinations'!G:G, "No Data")</f>
        <v>0</v>
      </c>
      <c r="I1217" s="28" t="str">
        <f t="array" ref="I1217">_xlfn.XLOOKUP($A1217, 'Medical Examinations'!$A:$A, 'Medical Examinations'!H:H, "No Data")</f>
        <v>No</v>
      </c>
      <c r="J1217" s="28" t="str">
        <f t="array" ref="J1217">_xlfn.XLOOKUP($A1217, 'Medical Examinations'!$A:$A, 'Medical Examinations'!I:I, "No Data")</f>
        <v>Normal Weight</v>
      </c>
      <c r="K1217" s="28" t="str">
        <f t="array" ref="K1217">_xlfn.XLOOKUP($A1217, 'Hospitalisation Details'!$A:$A, 'Hospitalisation Details'!I:I, "No Data")</f>
        <v>tier - 1</v>
      </c>
      <c r="L1217" s="28" t="str">
        <f t="array" ref="L1217">_xlfn.XLOOKUP($A1217, 'Hospitalisation Details'!$A:$A, 'Hospitalisation Details'!J:J, "No Data")</f>
        <v>R1011</v>
      </c>
      <c r="M1217" s="28" t="str">
        <f t="array" ref="M1217">_xlfn.XLOOKUP($A1217, 'Hospitalisation Details'!$A:$A, 'Hospitalisation Details'!E:E, "No Data")</f>
        <v>06/08/71</v>
      </c>
      <c r="N1217" s="28">
        <f t="array" ref="N1217">_xlfn.XLOOKUP($A1217, 'Hospitalisation Details'!$A:$A, 'Hospitalisation Details'!K:K, "No Data")</f>
        <v>51</v>
      </c>
      <c r="O1217" s="33">
        <f t="array" ref="O1217">_xlfn.XLOOKUP($A1217, 'Hospitalisation Details'!$A:$A, 'Hospitalisation Details'!G:G, "No Data")</f>
        <v>9264.8</v>
      </c>
      <c r="P1217" s="28" t="str">
        <f t="array" ref="P1217">_xlfn.XLOOKUP($A1217, 'Hospitalisation Details'!$A:$A, 'Hospitalisation Details'!H:H, "No Data")</f>
        <v>tier - 2</v>
      </c>
    </row>
    <row r="1218">
      <c r="A1218" s="25" t="s">
        <v>3886</v>
      </c>
      <c r="B1218" s="28" t="str">
        <f t="array" ref="B1218">_xlfn.XLOOKUP($A1218, 'Customer Names'!$A:$A, 'Customer Names'!B:B, "No Data")</f>
        <v>Parker</v>
      </c>
      <c r="C1218" s="28">
        <f t="array" ref="C1218">_xlfn.XLOOKUP($A1218, 'Medical Examinations'!$A:$A, 'Medical Examinations'!B:B, "No Data")</f>
        <v>28.88</v>
      </c>
      <c r="D1218" s="28">
        <f t="array" ref="D1218">_xlfn.XLOOKUP($A1218, 'Medical Examinations'!$A:$A, 'Medical Examinations'!C:C, "No Data")</f>
        <v>10.18</v>
      </c>
      <c r="E1218" s="28" t="str">
        <f t="array" ref="E1218">_xlfn.XLOOKUP($A1218, 'Medical Examinations'!$A:$A, 'Medical Examinations'!D:D, "No Data")</f>
        <v>No</v>
      </c>
      <c r="F1218" s="28" t="str">
        <f t="array" ref="F1218">_xlfn.XLOOKUP($A1218, 'Medical Examinations'!$A:$A, 'Medical Examinations'!E:E, "No Data")</f>
        <v>No</v>
      </c>
      <c r="G1218" s="28" t="str">
        <f t="array" ref="G1218">_xlfn.XLOOKUP($A1218, 'Medical Examinations'!$A:$A, 'Medical Examinations'!F:F, "No Data")</f>
        <v>No</v>
      </c>
      <c r="H1218" s="28">
        <f t="array" ref="H1218">_xlfn.XLOOKUP($A1218, 'Medical Examinations'!$A:$A, 'Medical Examinations'!G:G, "No Data")</f>
        <v>0</v>
      </c>
      <c r="I1218" s="28" t="str">
        <f t="array" ref="I1218">_xlfn.XLOOKUP($A1218, 'Medical Examinations'!$A:$A, 'Medical Examinations'!H:H, "No Data")</f>
        <v>No</v>
      </c>
      <c r="J1218" s="28" t="str">
        <f t="array" ref="J1218">_xlfn.XLOOKUP($A1218, 'Medical Examinations'!$A:$A, 'Medical Examinations'!I:I, "No Data")</f>
        <v>Overweight</v>
      </c>
      <c r="K1218" s="28" t="str">
        <f t="array" ref="K1218">_xlfn.XLOOKUP($A1218, 'Hospitalisation Details'!$A:$A, 'Hospitalisation Details'!I:I, "No Data")</f>
        <v>tier - 1</v>
      </c>
      <c r="L1218" s="28" t="str">
        <f t="array" ref="L1218">_xlfn.XLOOKUP($A1218, 'Hospitalisation Details'!$A:$A, 'Hospitalisation Details'!J:J, "No Data")</f>
        <v>R1012</v>
      </c>
      <c r="M1218" s="28" t="str">
        <f t="array" ref="M1218">_xlfn.XLOOKUP($A1218, 'Hospitalisation Details'!$A:$A, 'Hospitalisation Details'!E:E, "No Data")</f>
        <v>21/08/74</v>
      </c>
      <c r="N1218" s="28">
        <f t="array" ref="N1218">_xlfn.XLOOKUP($A1218, 'Hospitalisation Details'!$A:$A, 'Hospitalisation Details'!K:K, "No Data")</f>
        <v>48</v>
      </c>
      <c r="O1218" s="33">
        <f t="array" ref="O1218">_xlfn.XLOOKUP($A1218, 'Hospitalisation Details'!$A:$A, 'Hospitalisation Details'!G:G, "No Data")</f>
        <v>9249.5</v>
      </c>
      <c r="P1218" s="28" t="str">
        <f t="array" ref="P1218">_xlfn.XLOOKUP($A1218, 'Hospitalisation Details'!$A:$A, 'Hospitalisation Details'!H:H, "No Data")</f>
        <v>tier - 2</v>
      </c>
    </row>
    <row r="1219">
      <c r="A1219" s="25" t="s">
        <v>3888</v>
      </c>
      <c r="B1219" s="28" t="str">
        <f t="array" ref="B1219">_xlfn.XLOOKUP($A1219, 'Customer Names'!$A:$A, 'Customer Names'!B:B, "No Data")</f>
        <v>Blekeli</v>
      </c>
      <c r="C1219" s="28">
        <f t="array" ref="C1219">_xlfn.XLOOKUP($A1219, 'Medical Examinations'!$A:$A, 'Medical Examinations'!B:B, "No Data")</f>
        <v>28.24</v>
      </c>
      <c r="D1219" s="28">
        <f t="array" ref="D1219">_xlfn.XLOOKUP($A1219, 'Medical Examinations'!$A:$A, 'Medical Examinations'!C:C, "No Data")</f>
        <v>5.36</v>
      </c>
      <c r="E1219" s="28" t="str">
        <f t="array" ref="E1219">_xlfn.XLOOKUP($A1219, 'Medical Examinations'!$A:$A, 'Medical Examinations'!D:D, "No Data")</f>
        <v>No</v>
      </c>
      <c r="F1219" s="28" t="str">
        <f t="array" ref="F1219">_xlfn.XLOOKUP($A1219, 'Medical Examinations'!$A:$A, 'Medical Examinations'!E:E, "No Data")</f>
        <v>No</v>
      </c>
      <c r="G1219" s="28" t="str">
        <f t="array" ref="G1219">_xlfn.XLOOKUP($A1219, 'Medical Examinations'!$A:$A, 'Medical Examinations'!F:F, "No Data")</f>
        <v>No</v>
      </c>
      <c r="H1219" s="28">
        <f t="array" ref="H1219">_xlfn.XLOOKUP($A1219, 'Medical Examinations'!$A:$A, 'Medical Examinations'!G:G, "No Data")</f>
        <v>0</v>
      </c>
      <c r="I1219" s="28" t="str">
        <f t="array" ref="I1219">_xlfn.XLOOKUP($A1219, 'Medical Examinations'!$A:$A, 'Medical Examinations'!H:H, "No Data")</f>
        <v>No</v>
      </c>
      <c r="J1219" s="28" t="str">
        <f t="array" ref="J1219">_xlfn.XLOOKUP($A1219, 'Medical Examinations'!$A:$A, 'Medical Examinations'!I:I, "No Data")</f>
        <v>Overweight</v>
      </c>
      <c r="K1219" s="28" t="str">
        <f t="array" ref="K1219">_xlfn.XLOOKUP($A1219, 'Hospitalisation Details'!$A:$A, 'Hospitalisation Details'!I:I, "No Data")</f>
        <v>tier - 1</v>
      </c>
      <c r="L1219" s="28" t="str">
        <f t="array" ref="L1219">_xlfn.XLOOKUP($A1219, 'Hospitalisation Details'!$A:$A, 'Hospitalisation Details'!J:J, "No Data")</f>
        <v>R1021</v>
      </c>
      <c r="M1219" s="28" t="str">
        <f t="array" ref="M1219">_xlfn.XLOOKUP($A1219, 'Hospitalisation Details'!$A:$A, 'Hospitalisation Details'!E:E, "No Data")</f>
        <v>05/10/80</v>
      </c>
      <c r="N1219" s="28">
        <f t="array" ref="N1219">_xlfn.XLOOKUP($A1219, 'Hospitalisation Details'!$A:$A, 'Hospitalisation Details'!K:K, "No Data")</f>
        <v>42</v>
      </c>
      <c r="O1219" s="33">
        <f t="array" ref="O1219">_xlfn.XLOOKUP($A1219, 'Hospitalisation Details'!$A:$A, 'Hospitalisation Details'!G:G, "No Data")</f>
        <v>9247.94</v>
      </c>
      <c r="P1219" s="28" t="str">
        <f t="array" ref="P1219">_xlfn.XLOOKUP($A1219, 'Hospitalisation Details'!$A:$A, 'Hospitalisation Details'!H:H, "No Data")</f>
        <v>tier - 2</v>
      </c>
    </row>
    <row r="1220">
      <c r="A1220" s="25" t="s">
        <v>3893</v>
      </c>
      <c r="B1220" s="28" t="str">
        <f t="array" ref="B1220">_xlfn.XLOOKUP($A1220, 'Customer Names'!$A:$A, 'Customer Names'!B:B, "No Data")</f>
        <v>Vangampleare</v>
      </c>
      <c r="C1220" s="28">
        <f t="array" ref="C1220">_xlfn.XLOOKUP($A1220, 'Medical Examinations'!$A:$A, 'Medical Examinations'!B:B, "No Data")</f>
        <v>25.46</v>
      </c>
      <c r="D1220" s="28">
        <f t="array" ref="D1220">_xlfn.XLOOKUP($A1220, 'Medical Examinations'!$A:$A, 'Medical Examinations'!C:C, "No Data")</f>
        <v>11.78</v>
      </c>
      <c r="E1220" s="28" t="str">
        <f t="array" ref="E1220">_xlfn.XLOOKUP($A1220, 'Medical Examinations'!$A:$A, 'Medical Examinations'!D:D, "No Data")</f>
        <v>yes</v>
      </c>
      <c r="F1220" s="28" t="str">
        <f t="array" ref="F1220">_xlfn.XLOOKUP($A1220, 'Medical Examinations'!$A:$A, 'Medical Examinations'!E:E, "No Data")</f>
        <v>No</v>
      </c>
      <c r="G1220" s="28" t="str">
        <f t="array" ref="G1220">_xlfn.XLOOKUP($A1220, 'Medical Examinations'!$A:$A, 'Medical Examinations'!F:F, "No Data")</f>
        <v>No</v>
      </c>
      <c r="H1220" s="28">
        <f t="array" ref="H1220">_xlfn.XLOOKUP($A1220, 'Medical Examinations'!$A:$A, 'Medical Examinations'!G:G, "No Data")</f>
        <v>1</v>
      </c>
      <c r="I1220" s="28" t="str">
        <f t="array" ref="I1220">_xlfn.XLOOKUP($A1220, 'Medical Examinations'!$A:$A, 'Medical Examinations'!H:H, "No Data")</f>
        <v>No</v>
      </c>
      <c r="J1220" s="28" t="str">
        <f t="array" ref="J1220">_xlfn.XLOOKUP($A1220, 'Medical Examinations'!$A:$A, 'Medical Examinations'!I:I, "No Data")</f>
        <v>Overweight</v>
      </c>
      <c r="K1220" s="28" t="str">
        <f t="array" ref="K1220">_xlfn.XLOOKUP($A1220, 'Hospitalisation Details'!$A:$A, 'Hospitalisation Details'!I:I, "No Data")</f>
        <v>tier - 3</v>
      </c>
      <c r="L1220" s="28" t="str">
        <f t="array" ref="L1220">_xlfn.XLOOKUP($A1220, 'Hospitalisation Details'!$A:$A, 'Hospitalisation Details'!J:J, "No Data")</f>
        <v>R1015</v>
      </c>
      <c r="M1220" s="28" t="str">
        <f t="array" ref="M1220">_xlfn.XLOOKUP($A1220, 'Hospitalisation Details'!$A:$A, 'Hospitalisation Details'!E:E, "No Data")</f>
        <v>06/12/75</v>
      </c>
      <c r="N1220" s="28">
        <f t="array" ref="N1220">_xlfn.XLOOKUP($A1220, 'Hospitalisation Details'!$A:$A, 'Hospitalisation Details'!K:K, "No Data")</f>
        <v>47</v>
      </c>
      <c r="O1220" s="33">
        <f t="array" ref="O1220">_xlfn.XLOOKUP($A1220, 'Hospitalisation Details'!$A:$A, 'Hospitalisation Details'!G:G, "No Data")</f>
        <v>9225.26</v>
      </c>
      <c r="P1220" s="28" t="str">
        <f t="array" ref="P1220">_xlfn.XLOOKUP($A1220, 'Hospitalisation Details'!$A:$A, 'Hospitalisation Details'!H:H, "No Data")</f>
        <v>tier - 3</v>
      </c>
    </row>
    <row r="1221">
      <c r="A1221" s="25" t="s">
        <v>3896</v>
      </c>
      <c r="B1221" s="28" t="str">
        <f t="array" ref="B1221">_xlfn.XLOOKUP($A1221, 'Customer Names'!$A:$A, 'Customer Names'!B:B, "No Data")</f>
        <v>Hiatt</v>
      </c>
      <c r="C1221" s="28">
        <f t="array" ref="C1221">_xlfn.XLOOKUP($A1221, 'Medical Examinations'!$A:$A, 'Medical Examinations'!B:B, "No Data")</f>
        <v>29.64</v>
      </c>
      <c r="D1221" s="28">
        <f t="array" ref="D1221">_xlfn.XLOOKUP($A1221, 'Medical Examinations'!$A:$A, 'Medical Examinations'!C:C, "No Data")</f>
        <v>10.82</v>
      </c>
      <c r="E1221" s="28" t="str">
        <f t="array" ref="E1221">_xlfn.XLOOKUP($A1221, 'Medical Examinations'!$A:$A, 'Medical Examinations'!D:D, "No Data")</f>
        <v>yes</v>
      </c>
      <c r="F1221" s="28" t="str">
        <f t="array" ref="F1221">_xlfn.XLOOKUP($A1221, 'Medical Examinations'!$A:$A, 'Medical Examinations'!E:E, "No Data")</f>
        <v>No</v>
      </c>
      <c r="G1221" s="28" t="str">
        <f t="array" ref="G1221">_xlfn.XLOOKUP($A1221, 'Medical Examinations'!$A:$A, 'Medical Examinations'!F:F, "No Data")</f>
        <v>No</v>
      </c>
      <c r="H1221" s="28">
        <f t="array" ref="H1221">_xlfn.XLOOKUP($A1221, 'Medical Examinations'!$A:$A, 'Medical Examinations'!G:G, "No Data")</f>
        <v>0</v>
      </c>
      <c r="I1221" s="28" t="str">
        <f t="array" ref="I1221">_xlfn.XLOOKUP($A1221, 'Medical Examinations'!$A:$A, 'Medical Examinations'!H:H, "No Data")</f>
        <v>No</v>
      </c>
      <c r="J1221" s="28" t="str">
        <f t="array" ref="J1221">_xlfn.XLOOKUP($A1221, 'Medical Examinations'!$A:$A, 'Medical Examinations'!I:I, "No Data")</f>
        <v>Overweight</v>
      </c>
      <c r="K1221" s="28" t="str">
        <f t="array" ref="K1221">_xlfn.XLOOKUP($A1221, 'Hospitalisation Details'!$A:$A, 'Hospitalisation Details'!I:I, "No Data")</f>
        <v>tier - 3</v>
      </c>
      <c r="L1221" s="28" t="str">
        <f t="array" ref="L1221">_xlfn.XLOOKUP($A1221, 'Hospitalisation Details'!$A:$A, 'Hospitalisation Details'!J:J, "No Data")</f>
        <v>R1019</v>
      </c>
      <c r="M1221" s="28" t="str">
        <f t="array" ref="M1221">_xlfn.XLOOKUP($A1221, 'Hospitalisation Details'!$A:$A, 'Hospitalisation Details'!E:E, "No Data")</f>
        <v>05/12/81</v>
      </c>
      <c r="N1221" s="28">
        <f t="array" ref="N1221">_xlfn.XLOOKUP($A1221, 'Hospitalisation Details'!$A:$A, 'Hospitalisation Details'!K:K, "No Data")</f>
        <v>41</v>
      </c>
      <c r="O1221" s="33">
        <f t="array" ref="O1221">_xlfn.XLOOKUP($A1221, 'Hospitalisation Details'!$A:$A, 'Hospitalisation Details'!G:G, "No Data")</f>
        <v>9222.4</v>
      </c>
      <c r="P1221" s="28" t="str">
        <f t="array" ref="P1221">_xlfn.XLOOKUP($A1221, 'Hospitalisation Details'!$A:$A, 'Hospitalisation Details'!H:H, "No Data")</f>
        <v>tier - 2</v>
      </c>
    </row>
    <row r="1222">
      <c r="A1222" s="25" t="s">
        <v>3900</v>
      </c>
      <c r="B1222" s="28" t="str">
        <f t="array" ref="B1222">_xlfn.XLOOKUP($A1222, 'Customer Names'!$A:$A, 'Customer Names'!B:B, "No Data")</f>
        <v>Tadesse</v>
      </c>
      <c r="C1222" s="28">
        <f t="array" ref="C1222">_xlfn.XLOOKUP($A1222, 'Medical Examinations'!$A:$A, 'Medical Examinations'!B:B, "No Data")</f>
        <v>31.27</v>
      </c>
      <c r="D1222" s="28">
        <f t="array" ref="D1222">_xlfn.XLOOKUP($A1222, 'Medical Examinations'!$A:$A, 'Medical Examinations'!C:C, "No Data")</f>
        <v>7.73</v>
      </c>
      <c r="E1222" s="28" t="str">
        <f t="array" ref="E1222">_xlfn.XLOOKUP($A1222, 'Medical Examinations'!$A:$A, 'Medical Examinations'!D:D, "No Data")</f>
        <v>yes</v>
      </c>
      <c r="F1222" s="28" t="str">
        <f t="array" ref="F1222">_xlfn.XLOOKUP($A1222, 'Medical Examinations'!$A:$A, 'Medical Examinations'!E:E, "No Data")</f>
        <v>No</v>
      </c>
      <c r="G1222" s="28" t="str">
        <f t="array" ref="G1222">_xlfn.XLOOKUP($A1222, 'Medical Examinations'!$A:$A, 'Medical Examinations'!F:F, "No Data")</f>
        <v>No</v>
      </c>
      <c r="H1222" s="28">
        <f t="array" ref="H1222">_xlfn.XLOOKUP($A1222, 'Medical Examinations'!$A:$A, 'Medical Examinations'!G:G, "No Data")</f>
        <v>1</v>
      </c>
      <c r="I1222" s="28" t="str">
        <f t="array" ref="I1222">_xlfn.XLOOKUP($A1222, 'Medical Examinations'!$A:$A, 'Medical Examinations'!H:H, "No Data")</f>
        <v>No</v>
      </c>
      <c r="J1222" s="28" t="str">
        <f t="array" ref="J1222">_xlfn.XLOOKUP($A1222, 'Medical Examinations'!$A:$A, 'Medical Examinations'!I:I, "No Data")</f>
        <v>Obesity</v>
      </c>
      <c r="K1222" s="28" t="str">
        <f t="array" ref="K1222">_xlfn.XLOOKUP($A1222, 'Hospitalisation Details'!$A:$A, 'Hospitalisation Details'!I:I, "No Data")</f>
        <v>tier - 3</v>
      </c>
      <c r="L1222" s="28" t="str">
        <f t="array" ref="L1222">_xlfn.XLOOKUP($A1222, 'Hospitalisation Details'!$A:$A, 'Hospitalisation Details'!J:J, "No Data")</f>
        <v>R1021</v>
      </c>
      <c r="M1222" s="28" t="str">
        <f t="array" ref="M1222">_xlfn.XLOOKUP($A1222, 'Hospitalisation Details'!$A:$A, 'Hospitalisation Details'!E:E, "No Data")</f>
        <v>25/12/86</v>
      </c>
      <c r="N1222" s="28">
        <f t="array" ref="N1222">_xlfn.XLOOKUP($A1222, 'Hospitalisation Details'!$A:$A, 'Hospitalisation Details'!K:K, "No Data")</f>
        <v>36</v>
      </c>
      <c r="O1222" s="33">
        <f t="array" ref="O1222">_xlfn.XLOOKUP($A1222, 'Hospitalisation Details'!$A:$A, 'Hospitalisation Details'!G:G, "No Data")</f>
        <v>9210.06</v>
      </c>
      <c r="P1222" s="28" t="str">
        <f t="array" ref="P1222">_xlfn.XLOOKUP($A1222, 'Hospitalisation Details'!$A:$A, 'Hospitalisation Details'!H:H, "No Data")</f>
        <v>tier - 2</v>
      </c>
    </row>
    <row r="1223">
      <c r="A1223" s="25" t="s">
        <v>3904</v>
      </c>
      <c r="B1223" s="28" t="str">
        <f t="array" ref="B1223">_xlfn.XLOOKUP($A1223, 'Customer Names'!$A:$A, 'Customer Names'!B:B, "No Data")</f>
        <v>Jaswell</v>
      </c>
      <c r="C1223" s="28">
        <f t="array" ref="C1223">_xlfn.XLOOKUP($A1223, 'Medical Examinations'!$A:$A, 'Medical Examinations'!B:B, "No Data")</f>
        <v>19.95</v>
      </c>
      <c r="D1223" s="28">
        <f t="array" ref="D1223">_xlfn.XLOOKUP($A1223, 'Medical Examinations'!$A:$A, 'Medical Examinations'!C:C, "No Data")</f>
        <v>6.24</v>
      </c>
      <c r="E1223" s="28" t="str">
        <f t="array" ref="E1223">_xlfn.XLOOKUP($A1223, 'Medical Examinations'!$A:$A, 'Medical Examinations'!D:D, "No Data")</f>
        <v>yes</v>
      </c>
      <c r="F1223" s="28" t="str">
        <f t="array" ref="F1223">_xlfn.XLOOKUP($A1223, 'Medical Examinations'!$A:$A, 'Medical Examinations'!E:E, "No Data")</f>
        <v>No</v>
      </c>
      <c r="G1223" s="28" t="str">
        <f t="array" ref="G1223">_xlfn.XLOOKUP($A1223, 'Medical Examinations'!$A:$A, 'Medical Examinations'!F:F, "No Data")</f>
        <v>No</v>
      </c>
      <c r="H1223" s="28">
        <f t="array" ref="H1223">_xlfn.XLOOKUP($A1223, 'Medical Examinations'!$A:$A, 'Medical Examinations'!G:G, "No Data")</f>
        <v>0</v>
      </c>
      <c r="I1223" s="28" t="str">
        <f t="array" ref="I1223">_xlfn.XLOOKUP($A1223, 'Medical Examinations'!$A:$A, 'Medical Examinations'!H:H, "No Data")</f>
        <v>No</v>
      </c>
      <c r="J1223" s="28" t="str">
        <f t="array" ref="J1223">_xlfn.XLOOKUP($A1223, 'Medical Examinations'!$A:$A, 'Medical Examinations'!I:I, "No Data")</f>
        <v>Normal Weight</v>
      </c>
      <c r="K1223" s="28" t="str">
        <f t="array" ref="K1223">_xlfn.XLOOKUP($A1223, 'Hospitalisation Details'!$A:$A, 'Hospitalisation Details'!I:I, "No Data")</f>
        <v>tier - 1</v>
      </c>
      <c r="L1223" s="28" t="str">
        <f t="array" ref="L1223">_xlfn.XLOOKUP($A1223, 'Hospitalisation Details'!$A:$A, 'Hospitalisation Details'!J:J, "No Data")</f>
        <v>R1012</v>
      </c>
      <c r="M1223" s="28" t="str">
        <f t="array" ref="M1223">_xlfn.XLOOKUP($A1223, 'Hospitalisation Details'!$A:$A, 'Hospitalisation Details'!E:E, "No Data")</f>
        <v>10/09/76</v>
      </c>
      <c r="N1223" s="28">
        <f t="array" ref="N1223">_xlfn.XLOOKUP($A1223, 'Hospitalisation Details'!$A:$A, 'Hospitalisation Details'!K:K, "No Data")</f>
        <v>46</v>
      </c>
      <c r="O1223" s="33">
        <f t="array" ref="O1223">_xlfn.XLOOKUP($A1223, 'Hospitalisation Details'!$A:$A, 'Hospitalisation Details'!G:G, "No Data")</f>
        <v>9193.84</v>
      </c>
      <c r="P1223" s="28" t="str">
        <f t="array" ref="P1223">_xlfn.XLOOKUP($A1223, 'Hospitalisation Details'!$A:$A, 'Hospitalisation Details'!H:H, "No Data")</f>
        <v>tier - 2</v>
      </c>
    </row>
    <row r="1224">
      <c r="A1224" s="25" t="s">
        <v>3907</v>
      </c>
      <c r="B1224" s="28" t="str">
        <f t="array" ref="B1224">_xlfn.XLOOKUP($A1224, 'Customer Names'!$A:$A, 'Customer Names'!B:B, "No Data")</f>
        <v>Phillips-Cook</v>
      </c>
      <c r="C1224" s="28">
        <f t="array" ref="C1224">_xlfn.XLOOKUP($A1224, 'Medical Examinations'!$A:$A, 'Medical Examinations'!B:B, "No Data")</f>
        <v>21.3</v>
      </c>
      <c r="D1224" s="28">
        <f t="array" ref="D1224">_xlfn.XLOOKUP($A1224, 'Medical Examinations'!$A:$A, 'Medical Examinations'!C:C, "No Data")</f>
        <v>10.42</v>
      </c>
      <c r="E1224" s="28" t="str">
        <f t="array" ref="E1224">_xlfn.XLOOKUP($A1224, 'Medical Examinations'!$A:$A, 'Medical Examinations'!D:D, "No Data")</f>
        <v>No</v>
      </c>
      <c r="F1224" s="28" t="str">
        <f t="array" ref="F1224">_xlfn.XLOOKUP($A1224, 'Medical Examinations'!$A:$A, 'Medical Examinations'!E:E, "No Data")</f>
        <v>No</v>
      </c>
      <c r="G1224" s="28" t="str">
        <f t="array" ref="G1224">_xlfn.XLOOKUP($A1224, 'Medical Examinations'!$A:$A, 'Medical Examinations'!F:F, "No Data")</f>
        <v>No</v>
      </c>
      <c r="H1224" s="28">
        <f t="array" ref="H1224">_xlfn.XLOOKUP($A1224, 'Medical Examinations'!$A:$A, 'Medical Examinations'!G:G, "No Data")</f>
        <v>2</v>
      </c>
      <c r="I1224" s="28" t="str">
        <f t="array" ref="I1224">_xlfn.XLOOKUP($A1224, 'Medical Examinations'!$A:$A, 'Medical Examinations'!H:H, "No Data")</f>
        <v>No</v>
      </c>
      <c r="J1224" s="28" t="str">
        <f t="array" ref="J1224">_xlfn.XLOOKUP($A1224, 'Medical Examinations'!$A:$A, 'Medical Examinations'!I:I, "No Data")</f>
        <v>Normal Weight</v>
      </c>
      <c r="K1224" s="28" t="str">
        <f t="array" ref="K1224">_xlfn.XLOOKUP($A1224, 'Hospitalisation Details'!$A:$A, 'Hospitalisation Details'!I:I, "No Data")</f>
        <v>tier - 3</v>
      </c>
      <c r="L1224" s="28" t="str">
        <f t="array" ref="L1224">_xlfn.XLOOKUP($A1224, 'Hospitalisation Details'!$A:$A, 'Hospitalisation Details'!J:J, "No Data")</f>
        <v>R1011</v>
      </c>
      <c r="M1224" s="28" t="str">
        <f t="array" ref="M1224">_xlfn.XLOOKUP($A1224, 'Hospitalisation Details'!$A:$A, 'Hospitalisation Details'!E:E, "No Data")</f>
        <v>25/12/73</v>
      </c>
      <c r="N1224" s="28">
        <f t="array" ref="N1224">_xlfn.XLOOKUP($A1224, 'Hospitalisation Details'!$A:$A, 'Hospitalisation Details'!K:K, "No Data")</f>
        <v>49</v>
      </c>
      <c r="O1224" s="33">
        <f t="array" ref="O1224">_xlfn.XLOOKUP($A1224, 'Hospitalisation Details'!$A:$A, 'Hospitalisation Details'!G:G, "No Data")</f>
        <v>9182.17</v>
      </c>
      <c r="P1224" s="28" t="str">
        <f t="array" ref="P1224">_xlfn.XLOOKUP($A1224, 'Hospitalisation Details'!$A:$A, 'Hospitalisation Details'!H:H, "No Data")</f>
        <v>tier - 2</v>
      </c>
    </row>
    <row r="1225">
      <c r="A1225" s="25" t="s">
        <v>3911</v>
      </c>
      <c r="B1225" s="28" t="str">
        <f t="array" ref="B1225">_xlfn.XLOOKUP($A1225, 'Customer Names'!$A:$A, 'Customer Names'!B:B, "No Data")</f>
        <v>Clark</v>
      </c>
      <c r="C1225" s="28">
        <f t="array" ref="C1225">_xlfn.XLOOKUP($A1225, 'Medical Examinations'!$A:$A, 'Medical Examinations'!B:B, "No Data")</f>
        <v>31.635</v>
      </c>
      <c r="D1225" s="28">
        <f t="array" ref="D1225">_xlfn.XLOOKUP($A1225, 'Medical Examinations'!$A:$A, 'Medical Examinations'!C:C, "No Data")</f>
        <v>11.11</v>
      </c>
      <c r="E1225" s="28" t="str">
        <f t="array" ref="E1225">_xlfn.XLOOKUP($A1225, 'Medical Examinations'!$A:$A, 'Medical Examinations'!D:D, "No Data")</f>
        <v>No</v>
      </c>
      <c r="F1225" s="28" t="str">
        <f t="array" ref="F1225">_xlfn.XLOOKUP($A1225, 'Medical Examinations'!$A:$A, 'Medical Examinations'!E:E, "No Data")</f>
        <v>No</v>
      </c>
      <c r="G1225" s="28" t="str">
        <f t="array" ref="G1225">_xlfn.XLOOKUP($A1225, 'Medical Examinations'!$A:$A, 'Medical Examinations'!F:F, "No Data")</f>
        <v>No</v>
      </c>
      <c r="H1225" s="28">
        <f t="array" ref="H1225">_xlfn.XLOOKUP($A1225, 'Medical Examinations'!$A:$A, 'Medical Examinations'!G:G, "No Data")</f>
        <v>0</v>
      </c>
      <c r="I1225" s="28" t="str">
        <f t="array" ref="I1225">_xlfn.XLOOKUP($A1225, 'Medical Examinations'!$A:$A, 'Medical Examinations'!H:H, "No Data")</f>
        <v>No</v>
      </c>
      <c r="J1225" s="28" t="str">
        <f t="array" ref="J1225">_xlfn.XLOOKUP($A1225, 'Medical Examinations'!$A:$A, 'Medical Examinations'!I:I, "No Data")</f>
        <v>Obesity</v>
      </c>
      <c r="K1225" s="28" t="str">
        <f t="array" ref="K1225">_xlfn.XLOOKUP($A1225, 'Hospitalisation Details'!$A:$A, 'Hospitalisation Details'!I:I, "No Data")</f>
        <v>tier - 1</v>
      </c>
      <c r="L1225" s="28" t="str">
        <f t="array" ref="L1225">_xlfn.XLOOKUP($A1225, 'Hospitalisation Details'!$A:$A, 'Hospitalisation Details'!J:J, "No Data")</f>
        <v>R1012</v>
      </c>
      <c r="M1225" s="28" t="str">
        <f t="array" ref="M1225">_xlfn.XLOOKUP($A1225, 'Hospitalisation Details'!$A:$A, 'Hospitalisation Details'!E:E, "No Data")</f>
        <v>29/12/71</v>
      </c>
      <c r="N1225" s="28">
        <f t="array" ref="N1225">_xlfn.XLOOKUP($A1225, 'Hospitalisation Details'!$A:$A, 'Hospitalisation Details'!K:K, "No Data")</f>
        <v>51</v>
      </c>
      <c r="O1225" s="33">
        <f t="array" ref="O1225">_xlfn.XLOOKUP($A1225, 'Hospitalisation Details'!$A:$A, 'Hospitalisation Details'!G:G, "No Data")</f>
        <v>9174.14</v>
      </c>
      <c r="P1225" s="28" t="str">
        <f t="array" ref="P1225">_xlfn.XLOOKUP($A1225, 'Hospitalisation Details'!$A:$A, 'Hospitalisation Details'!H:H, "No Data")</f>
        <v>tier - 3</v>
      </c>
    </row>
    <row r="1226">
      <c r="A1226" s="25" t="s">
        <v>3914</v>
      </c>
      <c r="B1226" s="28" t="str">
        <f t="array" ref="B1226">_xlfn.XLOOKUP($A1226, 'Customer Names'!$A:$A, 'Customer Names'!B:B, "No Data")</f>
        <v>Wang</v>
      </c>
      <c r="C1226" s="28">
        <f t="array" ref="C1226">_xlfn.XLOOKUP($A1226, 'Medical Examinations'!$A:$A, 'Medical Examinations'!B:B, "No Data")</f>
        <v>23.9</v>
      </c>
      <c r="D1226" s="28">
        <f t="array" ref="D1226">_xlfn.XLOOKUP($A1226, 'Medical Examinations'!$A:$A, 'Medical Examinations'!C:C, "No Data")</f>
        <v>7.67</v>
      </c>
      <c r="E1226" s="28" t="str">
        <f t="array" ref="E1226">_xlfn.XLOOKUP($A1226, 'Medical Examinations'!$A:$A, 'Medical Examinations'!D:D, "No Data")</f>
        <v>yes</v>
      </c>
      <c r="F1226" s="28" t="str">
        <f t="array" ref="F1226">_xlfn.XLOOKUP($A1226, 'Medical Examinations'!$A:$A, 'Medical Examinations'!E:E, "No Data")</f>
        <v>No</v>
      </c>
      <c r="G1226" s="28" t="str">
        <f t="array" ref="G1226">_xlfn.XLOOKUP($A1226, 'Medical Examinations'!$A:$A, 'Medical Examinations'!F:F, "No Data")</f>
        <v>No</v>
      </c>
      <c r="H1226" s="28">
        <f t="array" ref="H1226">_xlfn.XLOOKUP($A1226, 'Medical Examinations'!$A:$A, 'Medical Examinations'!G:G, "No Data")</f>
        <v>2</v>
      </c>
      <c r="I1226" s="28" t="str">
        <f t="array" ref="I1226">_xlfn.XLOOKUP($A1226, 'Medical Examinations'!$A:$A, 'Medical Examinations'!H:H, "No Data")</f>
        <v>No</v>
      </c>
      <c r="J1226" s="28" t="str">
        <f t="array" ref="J1226">_xlfn.XLOOKUP($A1226, 'Medical Examinations'!$A:$A, 'Medical Examinations'!I:I, "No Data")</f>
        <v>Normal Weight</v>
      </c>
      <c r="K1226" s="28" t="str">
        <f t="array" ref="K1226">_xlfn.XLOOKUP($A1226, 'Hospitalisation Details'!$A:$A, 'Hospitalisation Details'!I:I, "No Data")</f>
        <v>tier - 2</v>
      </c>
      <c r="L1226" s="28" t="str">
        <f t="array" ref="L1226">_xlfn.XLOOKUP($A1226, 'Hospitalisation Details'!$A:$A, 'Hospitalisation Details'!J:J, "No Data")</f>
        <v>R1012</v>
      </c>
      <c r="M1226" s="28" t="str">
        <f t="array" ref="M1226">_xlfn.XLOOKUP($A1226, 'Hospitalisation Details'!$A:$A, 'Hospitalisation Details'!E:E, "No Data")</f>
        <v>24/10/70</v>
      </c>
      <c r="N1226" s="28">
        <f t="array" ref="N1226">_xlfn.XLOOKUP($A1226, 'Hospitalisation Details'!$A:$A, 'Hospitalisation Details'!K:K, "No Data")</f>
        <v>52</v>
      </c>
      <c r="O1226" s="33">
        <f t="array" ref="O1226">_xlfn.XLOOKUP($A1226, 'Hospitalisation Details'!$A:$A, 'Hospitalisation Details'!G:G, "No Data")</f>
        <v>9171.75</v>
      </c>
      <c r="P1226" s="28" t="str">
        <f t="array" ref="P1226">_xlfn.XLOOKUP($A1226, 'Hospitalisation Details'!$A:$A, 'Hospitalisation Details'!H:H, "No Data")</f>
        <v>tier - 2</v>
      </c>
    </row>
    <row r="1227">
      <c r="A1227" s="25" t="s">
        <v>3916</v>
      </c>
      <c r="B1227" s="28" t="str">
        <f t="array" ref="B1227">_xlfn.XLOOKUP($A1227, 'Customer Names'!$A:$A, 'Customer Names'!B:B, "No Data")</f>
        <v>Desruisseaux</v>
      </c>
      <c r="C1227" s="28">
        <f t="array" ref="C1227">_xlfn.XLOOKUP($A1227, 'Medical Examinations'!$A:$A, 'Medical Examinations'!B:B, "No Data")</f>
        <v>34.15</v>
      </c>
      <c r="D1227" s="28">
        <f t="array" ref="D1227">_xlfn.XLOOKUP($A1227, 'Medical Examinations'!$A:$A, 'Medical Examinations'!C:C, "No Data")</f>
        <v>6.15</v>
      </c>
      <c r="E1227" s="28" t="str">
        <f t="array" ref="E1227">_xlfn.XLOOKUP($A1227, 'Medical Examinations'!$A:$A, 'Medical Examinations'!D:D, "No Data")</f>
        <v>No</v>
      </c>
      <c r="F1227" s="28" t="str">
        <f t="array" ref="F1227">_xlfn.XLOOKUP($A1227, 'Medical Examinations'!$A:$A, 'Medical Examinations'!E:E, "No Data")</f>
        <v>No</v>
      </c>
      <c r="G1227" s="28" t="str">
        <f t="array" ref="G1227">_xlfn.XLOOKUP($A1227, 'Medical Examinations'!$A:$A, 'Medical Examinations'!F:F, "No Data")</f>
        <v>No</v>
      </c>
      <c r="H1227" s="28">
        <f t="array" ref="H1227">_xlfn.XLOOKUP($A1227, 'Medical Examinations'!$A:$A, 'Medical Examinations'!G:G, "No Data")</f>
        <v>0</v>
      </c>
      <c r="I1227" s="28" t="str">
        <f t="array" ref="I1227">_xlfn.XLOOKUP($A1227, 'Medical Examinations'!$A:$A, 'Medical Examinations'!H:H, "No Data")</f>
        <v>No</v>
      </c>
      <c r="J1227" s="28" t="str">
        <f t="array" ref="J1227">_xlfn.XLOOKUP($A1227, 'Medical Examinations'!$A:$A, 'Medical Examinations'!I:I, "No Data")</f>
        <v>Obesity</v>
      </c>
      <c r="K1227" s="28" t="str">
        <f t="array" ref="K1227">_xlfn.XLOOKUP($A1227, 'Hospitalisation Details'!$A:$A, 'Hospitalisation Details'!I:I, "No Data")</f>
        <v>tier - 2</v>
      </c>
      <c r="L1227" s="28" t="str">
        <f t="array" ref="L1227">_xlfn.XLOOKUP($A1227, 'Hospitalisation Details'!$A:$A, 'Hospitalisation Details'!J:J, "No Data")</f>
        <v>R1021</v>
      </c>
      <c r="M1227" s="28" t="str">
        <f t="array" ref="M1227">_xlfn.XLOOKUP($A1227, 'Hospitalisation Details'!$A:$A, 'Hospitalisation Details'!E:E, "No Data")</f>
        <v>23/08/90</v>
      </c>
      <c r="N1227" s="28">
        <f t="array" ref="N1227">_xlfn.XLOOKUP($A1227, 'Hospitalisation Details'!$A:$A, 'Hospitalisation Details'!K:K, "No Data")</f>
        <v>32</v>
      </c>
      <c r="O1227" s="33">
        <f t="array" ref="O1227">_xlfn.XLOOKUP($A1227, 'Hospitalisation Details'!$A:$A, 'Hospitalisation Details'!G:G, "No Data")</f>
        <v>9159.51</v>
      </c>
      <c r="P1227" s="28" t="str">
        <f t="array" ref="P1227">_xlfn.XLOOKUP($A1227, 'Hospitalisation Details'!$A:$A, 'Hospitalisation Details'!H:H, "No Data")</f>
        <v>tier - 2</v>
      </c>
    </row>
    <row r="1228">
      <c r="A1228" s="25" t="s">
        <v>3920</v>
      </c>
      <c r="B1228" s="28" t="str">
        <f t="array" ref="B1228">_xlfn.XLOOKUP($A1228, 'Customer Names'!$A:$A, 'Customer Names'!B:B, "No Data")</f>
        <v>Ripp</v>
      </c>
      <c r="C1228" s="28">
        <f t="array" ref="C1228">_xlfn.XLOOKUP($A1228, 'Medical Examinations'!$A:$A, 'Medical Examinations'!B:B, "No Data")</f>
        <v>28.71</v>
      </c>
      <c r="D1228" s="28">
        <f t="array" ref="D1228">_xlfn.XLOOKUP($A1228, 'Medical Examinations'!$A:$A, 'Medical Examinations'!C:C, "No Data")</f>
        <v>5.71</v>
      </c>
      <c r="E1228" s="28" t="str">
        <f t="array" ref="E1228">_xlfn.XLOOKUP($A1228, 'Medical Examinations'!$A:$A, 'Medical Examinations'!D:D, "No Data")</f>
        <v>No</v>
      </c>
      <c r="F1228" s="28" t="str">
        <f t="array" ref="F1228">_xlfn.XLOOKUP($A1228, 'Medical Examinations'!$A:$A, 'Medical Examinations'!E:E, "No Data")</f>
        <v>No</v>
      </c>
      <c r="G1228" s="28" t="str">
        <f t="array" ref="G1228">_xlfn.XLOOKUP($A1228, 'Medical Examinations'!$A:$A, 'Medical Examinations'!F:F, "No Data")</f>
        <v>No</v>
      </c>
      <c r="H1228" s="28">
        <f t="array" ref="H1228">_xlfn.XLOOKUP($A1228, 'Medical Examinations'!$A:$A, 'Medical Examinations'!G:G, "No Data")</f>
        <v>0</v>
      </c>
      <c r="I1228" s="28" t="str">
        <f t="array" ref="I1228">_xlfn.XLOOKUP($A1228, 'Medical Examinations'!$A:$A, 'Medical Examinations'!H:H, "No Data")</f>
        <v>No</v>
      </c>
      <c r="J1228" s="28" t="str">
        <f t="array" ref="J1228">_xlfn.XLOOKUP($A1228, 'Medical Examinations'!$A:$A, 'Medical Examinations'!I:I, "No Data")</f>
        <v>Overweight</v>
      </c>
      <c r="K1228" s="28" t="str">
        <f t="array" ref="K1228">_xlfn.XLOOKUP($A1228, 'Hospitalisation Details'!$A:$A, 'Hospitalisation Details'!I:I, "No Data")</f>
        <v>tier - 1</v>
      </c>
      <c r="L1228" s="28" t="str">
        <f t="array" ref="L1228">_xlfn.XLOOKUP($A1228, 'Hospitalisation Details'!$A:$A, 'Hospitalisation Details'!J:J, "No Data")</f>
        <v>R1012</v>
      </c>
      <c r="M1228" s="28" t="str">
        <f t="array" ref="M1228">_xlfn.XLOOKUP($A1228, 'Hospitalisation Details'!$A:$A, 'Hospitalisation Details'!E:E, "No Data")</f>
        <v>08/12/82</v>
      </c>
      <c r="N1228" s="28">
        <f t="array" ref="N1228">_xlfn.XLOOKUP($A1228, 'Hospitalisation Details'!$A:$A, 'Hospitalisation Details'!K:K, "No Data")</f>
        <v>40</v>
      </c>
      <c r="O1228" s="33">
        <f t="array" ref="O1228">_xlfn.XLOOKUP($A1228, 'Hospitalisation Details'!$A:$A, 'Hospitalisation Details'!G:G, "No Data")</f>
        <v>9147.5</v>
      </c>
      <c r="P1228" s="28" t="str">
        <f t="array" ref="P1228">_xlfn.XLOOKUP($A1228, 'Hospitalisation Details'!$A:$A, 'Hospitalisation Details'!H:H, "No Data")</f>
        <v>tier - 2</v>
      </c>
    </row>
    <row r="1229">
      <c r="A1229" s="25" t="s">
        <v>3923</v>
      </c>
      <c r="B1229" s="28" t="str">
        <f t="array" ref="B1229">_xlfn.XLOOKUP($A1229, 'Customer Names'!$A:$A, 'Customer Names'!B:B, "No Data")</f>
        <v>Harris</v>
      </c>
      <c r="C1229" s="28">
        <f t="array" ref="C1229">_xlfn.XLOOKUP($A1229, 'Medical Examinations'!$A:$A, 'Medical Examinations'!B:B, "No Data")</f>
        <v>36.7</v>
      </c>
      <c r="D1229" s="28">
        <f t="array" ref="D1229">_xlfn.XLOOKUP($A1229, 'Medical Examinations'!$A:$A, 'Medical Examinations'!C:C, "No Data")</f>
        <v>8.7</v>
      </c>
      <c r="E1229" s="28" t="str">
        <f t="array" ref="E1229">_xlfn.XLOOKUP($A1229, 'Medical Examinations'!$A:$A, 'Medical Examinations'!D:D, "No Data")</f>
        <v>yes</v>
      </c>
      <c r="F1229" s="28" t="str">
        <f t="array" ref="F1229">_xlfn.XLOOKUP($A1229, 'Medical Examinations'!$A:$A, 'Medical Examinations'!E:E, "No Data")</f>
        <v>No</v>
      </c>
      <c r="G1229" s="28" t="str">
        <f t="array" ref="G1229">_xlfn.XLOOKUP($A1229, 'Medical Examinations'!$A:$A, 'Medical Examinations'!F:F, "No Data")</f>
        <v>No</v>
      </c>
      <c r="H1229" s="28">
        <f t="array" ref="H1229">_xlfn.XLOOKUP($A1229, 'Medical Examinations'!$A:$A, 'Medical Examinations'!G:G, "No Data")</f>
        <v>2</v>
      </c>
      <c r="I1229" s="28" t="str">
        <f t="array" ref="I1229">_xlfn.XLOOKUP($A1229, 'Medical Examinations'!$A:$A, 'Medical Examinations'!H:H, "No Data")</f>
        <v>No</v>
      </c>
      <c r="J1229" s="28" t="str">
        <f t="array" ref="J1229">_xlfn.XLOOKUP($A1229, 'Medical Examinations'!$A:$A, 'Medical Examinations'!I:I, "No Data")</f>
        <v>Obesity</v>
      </c>
      <c r="K1229" s="28" t="str">
        <f t="array" ref="K1229">_xlfn.XLOOKUP($A1229, 'Hospitalisation Details'!$A:$A, 'Hospitalisation Details'!I:I, "No Data")</f>
        <v>tier - 2</v>
      </c>
      <c r="L1229" s="28" t="str">
        <f t="array" ref="L1229">_xlfn.XLOOKUP($A1229, 'Hospitalisation Details'!$A:$A, 'Hospitalisation Details'!J:J, "No Data")</f>
        <v>R1011</v>
      </c>
      <c r="M1229" s="28" t="str">
        <f t="array" ref="M1229">_xlfn.XLOOKUP($A1229, 'Hospitalisation Details'!$A:$A, 'Hospitalisation Details'!E:E, "No Data")</f>
        <v>18/10/70</v>
      </c>
      <c r="N1229" s="28">
        <f t="array" ref="N1229">_xlfn.XLOOKUP($A1229, 'Hospitalisation Details'!$A:$A, 'Hospitalisation Details'!K:K, "No Data")</f>
        <v>52</v>
      </c>
      <c r="O1229" s="33">
        <f t="array" ref="O1229">_xlfn.XLOOKUP($A1229, 'Hospitalisation Details'!$A:$A, 'Hospitalisation Details'!G:G, "No Data")</f>
        <v>9144.57</v>
      </c>
      <c r="P1229" s="28" t="str">
        <f t="array" ref="P1229">_xlfn.XLOOKUP($A1229, 'Hospitalisation Details'!$A:$A, 'Hospitalisation Details'!H:H, "No Data")</f>
        <v>tier - 3</v>
      </c>
    </row>
    <row r="1230">
      <c r="A1230" s="25" t="s">
        <v>3927</v>
      </c>
      <c r="B1230" s="28" t="str">
        <f t="array" ref="B1230">_xlfn.XLOOKUP($A1230, 'Customer Names'!$A:$A, 'Customer Names'!B:B, "No Data")</f>
        <v>Shafer</v>
      </c>
      <c r="C1230" s="28">
        <f t="array" ref="C1230">_xlfn.XLOOKUP($A1230, 'Medical Examinations'!$A:$A, 'Medical Examinations'!B:B, "No Data")</f>
        <v>34.1</v>
      </c>
      <c r="D1230" s="28">
        <f t="array" ref="D1230">_xlfn.XLOOKUP($A1230, 'Medical Examinations'!$A:$A, 'Medical Examinations'!C:C, "No Data")</f>
        <v>9.04</v>
      </c>
      <c r="E1230" s="28" t="str">
        <f t="array" ref="E1230">_xlfn.XLOOKUP($A1230, 'Medical Examinations'!$A:$A, 'Medical Examinations'!D:D, "No Data")</f>
        <v>yes</v>
      </c>
      <c r="F1230" s="28" t="str">
        <f t="array" ref="F1230">_xlfn.XLOOKUP($A1230, 'Medical Examinations'!$A:$A, 'Medical Examinations'!E:E, "No Data")</f>
        <v>No</v>
      </c>
      <c r="G1230" s="28" t="str">
        <f t="array" ref="G1230">_xlfn.XLOOKUP($A1230, 'Medical Examinations'!$A:$A, 'Medical Examinations'!F:F, "No Data")</f>
        <v>No</v>
      </c>
      <c r="H1230" s="28">
        <f t="array" ref="H1230">_xlfn.XLOOKUP($A1230, 'Medical Examinations'!$A:$A, 'Medical Examinations'!G:G, "No Data")</f>
        <v>2</v>
      </c>
      <c r="I1230" s="28" t="str">
        <f t="array" ref="I1230">_xlfn.XLOOKUP($A1230, 'Medical Examinations'!$A:$A, 'Medical Examinations'!H:H, "No Data")</f>
        <v>No</v>
      </c>
      <c r="J1230" s="28" t="str">
        <f t="array" ref="J1230">_xlfn.XLOOKUP($A1230, 'Medical Examinations'!$A:$A, 'Medical Examinations'!I:I, "No Data")</f>
        <v>Obesity</v>
      </c>
      <c r="K1230" s="28" t="str">
        <f t="array" ref="K1230">_xlfn.XLOOKUP($A1230, 'Hospitalisation Details'!$A:$A, 'Hospitalisation Details'!I:I, "No Data")</f>
        <v>tier - 3</v>
      </c>
      <c r="L1230" s="28" t="str">
        <f t="array" ref="L1230">_xlfn.XLOOKUP($A1230, 'Hospitalisation Details'!$A:$A, 'Hospitalisation Details'!J:J, "No Data")</f>
        <v>R1013</v>
      </c>
      <c r="M1230" s="28" t="str">
        <f t="array" ref="M1230">_xlfn.XLOOKUP($A1230, 'Hospitalisation Details'!$A:$A, 'Hospitalisation Details'!E:E, "No Data")</f>
        <v>12/08/70</v>
      </c>
      <c r="N1230" s="28">
        <f t="array" ref="N1230">_xlfn.XLOOKUP($A1230, 'Hospitalisation Details'!$A:$A, 'Hospitalisation Details'!K:K, "No Data")</f>
        <v>52</v>
      </c>
      <c r="O1230" s="33">
        <f t="array" ref="O1230">_xlfn.XLOOKUP($A1230, 'Hospitalisation Details'!$A:$A, 'Hospitalisation Details'!G:G, "No Data")</f>
        <v>9140.95</v>
      </c>
      <c r="P1230" s="28" t="str">
        <f t="array" ref="P1230">_xlfn.XLOOKUP($A1230, 'Hospitalisation Details'!$A:$A, 'Hospitalisation Details'!H:H, "No Data")</f>
        <v>tier - 3</v>
      </c>
    </row>
    <row r="1231">
      <c r="A1231" s="25" t="s">
        <v>3929</v>
      </c>
      <c r="B1231" s="28" t="str">
        <f t="array" ref="B1231">_xlfn.XLOOKUP($A1231, 'Customer Names'!$A:$A, 'Customer Names'!B:B, "No Data")</f>
        <v>Hemesath</v>
      </c>
      <c r="C1231" s="28">
        <f t="array" ref="C1231">_xlfn.XLOOKUP($A1231, 'Medical Examinations'!$A:$A, 'Medical Examinations'!B:B, "No Data")</f>
        <v>25.7</v>
      </c>
      <c r="D1231" s="28">
        <f t="array" ref="D1231">_xlfn.XLOOKUP($A1231, 'Medical Examinations'!$A:$A, 'Medical Examinations'!C:C, "No Data")</f>
        <v>5.61</v>
      </c>
      <c r="E1231" s="28" t="str">
        <f t="array" ref="E1231">_xlfn.XLOOKUP($A1231, 'Medical Examinations'!$A:$A, 'Medical Examinations'!D:D, "No Data")</f>
        <v>No</v>
      </c>
      <c r="F1231" s="28" t="str">
        <f t="array" ref="F1231">_xlfn.XLOOKUP($A1231, 'Medical Examinations'!$A:$A, 'Medical Examinations'!E:E, "No Data")</f>
        <v>No</v>
      </c>
      <c r="G1231" s="28" t="str">
        <f t="array" ref="G1231">_xlfn.XLOOKUP($A1231, 'Medical Examinations'!$A:$A, 'Medical Examinations'!F:F, "No Data")</f>
        <v>No</v>
      </c>
      <c r="H1231" s="28">
        <f t="array" ref="H1231">_xlfn.XLOOKUP($A1231, 'Medical Examinations'!$A:$A, 'Medical Examinations'!G:G, "No Data")</f>
        <v>0</v>
      </c>
      <c r="I1231" s="28" t="str">
        <f t="array" ref="I1231">_xlfn.XLOOKUP($A1231, 'Medical Examinations'!$A:$A, 'Medical Examinations'!H:H, "No Data")</f>
        <v>No</v>
      </c>
      <c r="J1231" s="28" t="str">
        <f t="array" ref="J1231">_xlfn.XLOOKUP($A1231, 'Medical Examinations'!$A:$A, 'Medical Examinations'!I:I, "No Data")</f>
        <v>Overweight</v>
      </c>
      <c r="K1231" s="28" t="str">
        <f t="array" ref="K1231">_xlfn.XLOOKUP($A1231, 'Hospitalisation Details'!$A:$A, 'Hospitalisation Details'!I:I, "No Data")</f>
        <v>tier - 1</v>
      </c>
      <c r="L1231" s="28" t="str">
        <f t="array" ref="L1231">_xlfn.XLOOKUP($A1231, 'Hospitalisation Details'!$A:$A, 'Hospitalisation Details'!J:J, "No Data")</f>
        <v>R1011</v>
      </c>
      <c r="M1231" s="28" t="str">
        <f t="array" ref="M1231">_xlfn.XLOOKUP($A1231, 'Hospitalisation Details'!$A:$A, 'Hospitalisation Details'!E:E, "No Data")</f>
        <v>02/12/77</v>
      </c>
      <c r="N1231" s="28">
        <f t="array" ref="N1231">_xlfn.XLOOKUP($A1231, 'Hospitalisation Details'!$A:$A, 'Hospitalisation Details'!K:K, "No Data")</f>
        <v>45</v>
      </c>
      <c r="O1231" s="33">
        <f t="array" ref="O1231">_xlfn.XLOOKUP($A1231, 'Hospitalisation Details'!$A:$A, 'Hospitalisation Details'!G:G, "No Data")</f>
        <v>9101.8</v>
      </c>
      <c r="P1231" s="28" t="str">
        <f t="array" ref="P1231">_xlfn.XLOOKUP($A1231, 'Hospitalisation Details'!$A:$A, 'Hospitalisation Details'!H:H, "No Data")</f>
        <v>tier - 2</v>
      </c>
    </row>
    <row r="1232">
      <c r="A1232" s="25" t="s">
        <v>3933</v>
      </c>
      <c r="B1232" s="28" t="str">
        <f t="array" ref="B1232">_xlfn.XLOOKUP($A1232, 'Customer Names'!$A:$A, 'Customer Names'!B:B, "No Data")</f>
        <v>Vinci</v>
      </c>
      <c r="C1232" s="28">
        <f t="array" ref="C1232">_xlfn.XLOOKUP($A1232, 'Medical Examinations'!$A:$A, 'Medical Examinations'!B:B, "No Data")</f>
        <v>21.68</v>
      </c>
      <c r="D1232" s="28">
        <f t="array" ref="D1232">_xlfn.XLOOKUP($A1232, 'Medical Examinations'!$A:$A, 'Medical Examinations'!C:C, "No Data")</f>
        <v>8.12</v>
      </c>
      <c r="E1232" s="28" t="str">
        <f t="array" ref="E1232">_xlfn.XLOOKUP($A1232, 'Medical Examinations'!$A:$A, 'Medical Examinations'!D:D, "No Data")</f>
        <v>No</v>
      </c>
      <c r="F1232" s="28" t="str">
        <f t="array" ref="F1232">_xlfn.XLOOKUP($A1232, 'Medical Examinations'!$A:$A, 'Medical Examinations'!E:E, "No Data")</f>
        <v>No</v>
      </c>
      <c r="G1232" s="28" t="str">
        <f t="array" ref="G1232">_xlfn.XLOOKUP($A1232, 'Medical Examinations'!$A:$A, 'Medical Examinations'!F:F, "No Data")</f>
        <v>No</v>
      </c>
      <c r="H1232" s="28">
        <f t="array" ref="H1232">_xlfn.XLOOKUP($A1232, 'Medical Examinations'!$A:$A, 'Medical Examinations'!G:G, "No Data")</f>
        <v>0</v>
      </c>
      <c r="I1232" s="28" t="str">
        <f t="array" ref="I1232">_xlfn.XLOOKUP($A1232, 'Medical Examinations'!$A:$A, 'Medical Examinations'!H:H, "No Data")</f>
        <v>No</v>
      </c>
      <c r="J1232" s="28" t="str">
        <f t="array" ref="J1232">_xlfn.XLOOKUP($A1232, 'Medical Examinations'!$A:$A, 'Medical Examinations'!I:I, "No Data")</f>
        <v>Normal Weight</v>
      </c>
      <c r="K1232" s="28" t="str">
        <f t="array" ref="K1232">_xlfn.XLOOKUP($A1232, 'Hospitalisation Details'!$A:$A, 'Hospitalisation Details'!I:I, "No Data")</f>
        <v>tier - 1</v>
      </c>
      <c r="L1232" s="28" t="str">
        <f t="array" ref="L1232">_xlfn.XLOOKUP($A1232, 'Hospitalisation Details'!$A:$A, 'Hospitalisation Details'!J:J, "No Data")</f>
        <v>R1011</v>
      </c>
      <c r="M1232" s="28" t="str">
        <f t="array" ref="M1232">_xlfn.XLOOKUP($A1232, 'Hospitalisation Details'!$A:$A, 'Hospitalisation Details'!E:E, "No Data")</f>
        <v>09/11/65</v>
      </c>
      <c r="N1232" s="28">
        <f t="array" ref="N1232">_xlfn.XLOOKUP($A1232, 'Hospitalisation Details'!$A:$A, 'Hospitalisation Details'!K:K, "No Data")</f>
        <v>57</v>
      </c>
      <c r="O1232" s="33">
        <f t="array" ref="O1232">_xlfn.XLOOKUP($A1232, 'Hospitalisation Details'!$A:$A, 'Hospitalisation Details'!G:G, "No Data")</f>
        <v>9095.94</v>
      </c>
      <c r="P1232" s="28" t="str">
        <f t="array" ref="P1232">_xlfn.XLOOKUP($A1232, 'Hospitalisation Details'!$A:$A, 'Hospitalisation Details'!H:H, "No Data")</f>
        <v>tier - 3</v>
      </c>
    </row>
    <row r="1233">
      <c r="A1233" s="25" t="s">
        <v>3936</v>
      </c>
      <c r="B1233" s="28" t="str">
        <f t="array" ref="B1233">_xlfn.XLOOKUP($A1233, 'Customer Names'!$A:$A, 'Customer Names'!B:B, "No Data")</f>
        <v>Diamond-Husmann</v>
      </c>
      <c r="C1233" s="28">
        <f t="array" ref="C1233">_xlfn.XLOOKUP($A1233, 'Medical Examinations'!$A:$A, 'Medical Examinations'!B:B, "No Data")</f>
        <v>25.175</v>
      </c>
      <c r="D1233" s="28">
        <f t="array" ref="D1233">_xlfn.XLOOKUP($A1233, 'Medical Examinations'!$A:$A, 'Medical Examinations'!C:C, "No Data")</f>
        <v>4.74</v>
      </c>
      <c r="E1233" s="28" t="str">
        <f t="array" ref="E1233">_xlfn.XLOOKUP($A1233, 'Medical Examinations'!$A:$A, 'Medical Examinations'!D:D, "No Data")</f>
        <v>No</v>
      </c>
      <c r="F1233" s="28" t="str">
        <f t="array" ref="F1233">_xlfn.XLOOKUP($A1233, 'Medical Examinations'!$A:$A, 'Medical Examinations'!E:E, "No Data")</f>
        <v>No</v>
      </c>
      <c r="G1233" s="28" t="str">
        <f t="array" ref="G1233">_xlfn.XLOOKUP($A1233, 'Medical Examinations'!$A:$A, 'Medical Examinations'!F:F, "No Data")</f>
        <v>No</v>
      </c>
      <c r="H1233" s="28">
        <f t="array" ref="H1233">_xlfn.XLOOKUP($A1233, 'Medical Examinations'!$A:$A, 'Medical Examinations'!G:G, "No Data")</f>
        <v>0</v>
      </c>
      <c r="I1233" s="28" t="str">
        <f t="array" ref="I1233">_xlfn.XLOOKUP($A1233, 'Medical Examinations'!$A:$A, 'Medical Examinations'!H:H, "No Data")</f>
        <v>No</v>
      </c>
      <c r="J1233" s="28" t="str">
        <f t="array" ref="J1233">_xlfn.XLOOKUP($A1233, 'Medical Examinations'!$A:$A, 'Medical Examinations'!I:I, "No Data")</f>
        <v>Overweight</v>
      </c>
      <c r="K1233" s="28" t="str">
        <f t="array" ref="K1233">_xlfn.XLOOKUP($A1233, 'Hospitalisation Details'!$A:$A, 'Hospitalisation Details'!I:I, "No Data")</f>
        <v>tier - 2</v>
      </c>
      <c r="L1233" s="28" t="str">
        <f t="array" ref="L1233">_xlfn.XLOOKUP($A1233, 'Hospitalisation Details'!$A:$A, 'Hospitalisation Details'!J:J, "No Data")</f>
        <v>R1024</v>
      </c>
      <c r="M1233" s="28" t="str">
        <f t="array" ref="M1233">_xlfn.XLOOKUP($A1233, 'Hospitalisation Details'!$A:$A, 'Hospitalisation Details'!E:E, "No Data")</f>
        <v>04/11/77</v>
      </c>
      <c r="N1233" s="28">
        <f t="array" ref="N1233">_xlfn.XLOOKUP($A1233, 'Hospitalisation Details'!$A:$A, 'Hospitalisation Details'!K:K, "No Data")</f>
        <v>45</v>
      </c>
      <c r="O1233" s="33">
        <f t="array" ref="O1233">_xlfn.XLOOKUP($A1233, 'Hospitalisation Details'!$A:$A, 'Hospitalisation Details'!G:G, "No Data")</f>
        <v>9095.07</v>
      </c>
      <c r="P1233" s="28" t="str">
        <f t="array" ref="P1233">_xlfn.XLOOKUP($A1233, 'Hospitalisation Details'!$A:$A, 'Hospitalisation Details'!H:H, "No Data")</f>
        <v>tier - 2</v>
      </c>
    </row>
    <row r="1234">
      <c r="A1234" s="25" t="s">
        <v>3940</v>
      </c>
      <c r="B1234" s="28" t="str">
        <f t="array" ref="B1234">_xlfn.XLOOKUP($A1234, 'Customer Names'!$A:$A, 'Customer Names'!B:B, "No Data")</f>
        <v>Soto</v>
      </c>
      <c r="C1234" s="28">
        <f t="array" ref="C1234">_xlfn.XLOOKUP($A1234, 'Medical Examinations'!$A:$A, 'Medical Examinations'!B:B, "No Data")</f>
        <v>44.77</v>
      </c>
      <c r="D1234" s="28">
        <f t="array" ref="D1234">_xlfn.XLOOKUP($A1234, 'Medical Examinations'!$A:$A, 'Medical Examinations'!C:C, "No Data")</f>
        <v>4.06</v>
      </c>
      <c r="E1234" s="28" t="str">
        <f t="array" ref="E1234">_xlfn.XLOOKUP($A1234, 'Medical Examinations'!$A:$A, 'Medical Examinations'!D:D, "No Data")</f>
        <v>No</v>
      </c>
      <c r="F1234" s="28" t="str">
        <f t="array" ref="F1234">_xlfn.XLOOKUP($A1234, 'Medical Examinations'!$A:$A, 'Medical Examinations'!E:E, "No Data")</f>
        <v>No</v>
      </c>
      <c r="G1234" s="28" t="str">
        <f t="array" ref="G1234">_xlfn.XLOOKUP($A1234, 'Medical Examinations'!$A:$A, 'Medical Examinations'!F:F, "No Data")</f>
        <v>No</v>
      </c>
      <c r="H1234" s="28">
        <f t="array" ref="H1234">_xlfn.XLOOKUP($A1234, 'Medical Examinations'!$A:$A, 'Medical Examinations'!G:G, "No Data")</f>
        <v>2</v>
      </c>
      <c r="I1234" s="28" t="str">
        <f t="array" ref="I1234">_xlfn.XLOOKUP($A1234, 'Medical Examinations'!$A:$A, 'Medical Examinations'!H:H, "No Data")</f>
        <v>No</v>
      </c>
      <c r="J1234" s="28" t="str">
        <f t="array" ref="J1234">_xlfn.XLOOKUP($A1234, 'Medical Examinations'!$A:$A, 'Medical Examinations'!I:I, "No Data")</f>
        <v>Obesity</v>
      </c>
      <c r="K1234" s="28" t="str">
        <f t="array" ref="K1234">_xlfn.XLOOKUP($A1234, 'Hospitalisation Details'!$A:$A, 'Hospitalisation Details'!I:I, "No Data")</f>
        <v>tier - 2</v>
      </c>
      <c r="L1234" s="28" t="str">
        <f t="array" ref="L1234">_xlfn.XLOOKUP($A1234, 'Hospitalisation Details'!$A:$A, 'Hospitalisation Details'!J:J, "No Data")</f>
        <v>R1013</v>
      </c>
      <c r="M1234" s="28" t="str">
        <f t="array" ref="M1234">_xlfn.XLOOKUP($A1234, 'Hospitalisation Details'!$A:$A, 'Hospitalisation Details'!E:E, "No Data")</f>
        <v>02/12/72</v>
      </c>
      <c r="N1234" s="28">
        <f t="array" ref="N1234">_xlfn.XLOOKUP($A1234, 'Hospitalisation Details'!$A:$A, 'Hospitalisation Details'!K:K, "No Data")</f>
        <v>50</v>
      </c>
      <c r="O1234" s="33">
        <f t="array" ref="O1234">_xlfn.XLOOKUP($A1234, 'Hospitalisation Details'!$A:$A, 'Hospitalisation Details'!G:G, "No Data")</f>
        <v>9058.73</v>
      </c>
      <c r="P1234" s="28" t="str">
        <f t="array" ref="P1234">_xlfn.XLOOKUP($A1234, 'Hospitalisation Details'!$A:$A, 'Hospitalisation Details'!H:H, "No Data")</f>
        <v>tier - 3</v>
      </c>
    </row>
    <row r="1235">
      <c r="A1235" s="25" t="s">
        <v>3944</v>
      </c>
      <c r="B1235" s="28" t="str">
        <f t="array" ref="B1235">_xlfn.XLOOKUP($A1235, 'Customer Names'!$A:$A, 'Customer Names'!B:B, "No Data")</f>
        <v>Howard</v>
      </c>
      <c r="C1235" s="28">
        <f t="array" ref="C1235">_xlfn.XLOOKUP($A1235, 'Medical Examinations'!$A:$A, 'Medical Examinations'!B:B, "No Data")</f>
        <v>37.07</v>
      </c>
      <c r="D1235" s="28">
        <f t="array" ref="D1235">_xlfn.XLOOKUP($A1235, 'Medical Examinations'!$A:$A, 'Medical Examinations'!C:C, "No Data")</f>
        <v>5.69</v>
      </c>
      <c r="E1235" s="28" t="str">
        <f t="array" ref="E1235">_xlfn.XLOOKUP($A1235, 'Medical Examinations'!$A:$A, 'Medical Examinations'!D:D, "No Data")</f>
        <v>No</v>
      </c>
      <c r="F1235" s="28" t="str">
        <f t="array" ref="F1235">_xlfn.XLOOKUP($A1235, 'Medical Examinations'!$A:$A, 'Medical Examinations'!E:E, "No Data")</f>
        <v>No</v>
      </c>
      <c r="G1235" s="28" t="str">
        <f t="array" ref="G1235">_xlfn.XLOOKUP($A1235, 'Medical Examinations'!$A:$A, 'Medical Examinations'!F:F, "No Data")</f>
        <v>No</v>
      </c>
      <c r="H1235" s="28">
        <f t="array" ref="H1235">_xlfn.XLOOKUP($A1235, 'Medical Examinations'!$A:$A, 'Medical Examinations'!G:G, "No Data")</f>
        <v>2</v>
      </c>
      <c r="I1235" s="28" t="str">
        <f t="array" ref="I1235">_xlfn.XLOOKUP($A1235, 'Medical Examinations'!$A:$A, 'Medical Examinations'!H:H, "No Data")</f>
        <v>No</v>
      </c>
      <c r="J1235" s="28" t="str">
        <f t="array" ref="J1235">_xlfn.XLOOKUP($A1235, 'Medical Examinations'!$A:$A, 'Medical Examinations'!I:I, "No Data")</f>
        <v>Obesity</v>
      </c>
      <c r="K1235" s="28" t="str">
        <f t="array" ref="K1235">_xlfn.XLOOKUP($A1235, 'Hospitalisation Details'!$A:$A, 'Hospitalisation Details'!I:I, "No Data")</f>
        <v>tier - 2</v>
      </c>
      <c r="L1235" s="28" t="str">
        <f t="array" ref="L1235">_xlfn.XLOOKUP($A1235, 'Hospitalisation Details'!$A:$A, 'Hospitalisation Details'!J:J, "No Data")</f>
        <v>R1013</v>
      </c>
      <c r="M1235" s="28" t="str">
        <f t="array" ref="M1235">_xlfn.XLOOKUP($A1235, 'Hospitalisation Details'!$A:$A, 'Hospitalisation Details'!E:E, "No Data")</f>
        <v>07/12/72</v>
      </c>
      <c r="N1235" s="28">
        <f t="array" ref="N1235">_xlfn.XLOOKUP($A1235, 'Hospitalisation Details'!$A:$A, 'Hospitalisation Details'!K:K, "No Data")</f>
        <v>50</v>
      </c>
      <c r="O1235" s="33">
        <f t="array" ref="O1235">_xlfn.XLOOKUP($A1235, 'Hospitalisation Details'!$A:$A, 'Hospitalisation Details'!G:G, "No Data")</f>
        <v>9048.03</v>
      </c>
      <c r="P1235" s="28" t="str">
        <f t="array" ref="P1235">_xlfn.XLOOKUP($A1235, 'Hospitalisation Details'!$A:$A, 'Hospitalisation Details'!H:H, "No Data")</f>
        <v>tier - 2</v>
      </c>
    </row>
    <row r="1236">
      <c r="A1236" s="25" t="s">
        <v>3947</v>
      </c>
      <c r="B1236" s="28" t="str">
        <f t="array" ref="B1236">_xlfn.XLOOKUP($A1236, 'Customer Names'!$A:$A, 'Customer Names'!B:B, "No Data")</f>
        <v>Patrick</v>
      </c>
      <c r="C1236" s="28">
        <f t="array" ref="C1236">_xlfn.XLOOKUP($A1236, 'Medical Examinations'!$A:$A, 'Medical Examinations'!B:B, "No Data")</f>
        <v>39.8</v>
      </c>
      <c r="D1236" s="28">
        <f t="array" ref="D1236">_xlfn.XLOOKUP($A1236, 'Medical Examinations'!$A:$A, 'Medical Examinations'!C:C, "No Data")</f>
        <v>5.66</v>
      </c>
      <c r="E1236" s="28" t="str">
        <f t="array" ref="E1236">_xlfn.XLOOKUP($A1236, 'Medical Examinations'!$A:$A, 'Medical Examinations'!D:D, "No Data")</f>
        <v>No</v>
      </c>
      <c r="F1236" s="28" t="str">
        <f t="array" ref="F1236">_xlfn.XLOOKUP($A1236, 'Medical Examinations'!$A:$A, 'Medical Examinations'!E:E, "No Data")</f>
        <v>No</v>
      </c>
      <c r="G1236" s="28" t="str">
        <f t="array" ref="G1236">_xlfn.XLOOKUP($A1236, 'Medical Examinations'!$A:$A, 'Medical Examinations'!F:F, "No Data")</f>
        <v>Yes</v>
      </c>
      <c r="H1236" s="28">
        <f t="array" ref="H1236">_xlfn.XLOOKUP($A1236, 'Medical Examinations'!$A:$A, 'Medical Examinations'!G:G, "No Data")</f>
        <v>1</v>
      </c>
      <c r="I1236" s="28" t="str">
        <f t="array" ref="I1236">_xlfn.XLOOKUP($A1236, 'Medical Examinations'!$A:$A, 'Medical Examinations'!H:H, "No Data")</f>
        <v>No</v>
      </c>
      <c r="J1236" s="28" t="str">
        <f t="array" ref="J1236">_xlfn.XLOOKUP($A1236, 'Medical Examinations'!$A:$A, 'Medical Examinations'!I:I, "No Data")</f>
        <v>Obesity</v>
      </c>
      <c r="K1236" s="28" t="str">
        <f t="array" ref="K1236">_xlfn.XLOOKUP($A1236, 'Hospitalisation Details'!$A:$A, 'Hospitalisation Details'!I:I, "No Data")</f>
        <v>tier - 3</v>
      </c>
      <c r="L1236" s="28" t="str">
        <f t="array" ref="L1236">_xlfn.XLOOKUP($A1236, 'Hospitalisation Details'!$A:$A, 'Hospitalisation Details'!J:J, "No Data")</f>
        <v>R1026</v>
      </c>
      <c r="M1236" s="28" t="str">
        <f t="array" ref="M1236">_xlfn.XLOOKUP($A1236, 'Hospitalisation Details'!$A:$A, 'Hospitalisation Details'!E:E, "No Data")</f>
        <v>01/12/93</v>
      </c>
      <c r="N1236" s="28">
        <f t="array" ref="N1236">_xlfn.XLOOKUP($A1236, 'Hospitalisation Details'!$A:$A, 'Hospitalisation Details'!K:K, "No Data")</f>
        <v>29</v>
      </c>
      <c r="O1236" s="33">
        <f t="array" ref="O1236">_xlfn.XLOOKUP($A1236, 'Hospitalisation Details'!$A:$A, 'Hospitalisation Details'!G:G, "No Data")</f>
        <v>9010.2</v>
      </c>
      <c r="P1236" s="28" t="str">
        <f t="array" ref="P1236">_xlfn.XLOOKUP($A1236, 'Hospitalisation Details'!$A:$A, 'Hospitalisation Details'!H:H, "No Data")</f>
        <v>tier - 2</v>
      </c>
    </row>
    <row r="1237">
      <c r="A1237" s="25" t="s">
        <v>3949</v>
      </c>
      <c r="B1237" s="28" t="str">
        <f t="array" ref="B1237">_xlfn.XLOOKUP($A1237, 'Customer Names'!$A:$A, 'Customer Names'!B:B, "No Data")</f>
        <v>Dacko</v>
      </c>
      <c r="C1237" s="28">
        <f t="array" ref="C1237">_xlfn.XLOOKUP($A1237, 'Medical Examinations'!$A:$A, 'Medical Examinations'!B:B, "No Data")</f>
        <v>26.36</v>
      </c>
      <c r="D1237" s="28">
        <f t="array" ref="D1237">_xlfn.XLOOKUP($A1237, 'Medical Examinations'!$A:$A, 'Medical Examinations'!C:C, "No Data")</f>
        <v>4.32</v>
      </c>
      <c r="E1237" s="28" t="str">
        <f t="array" ref="E1237">_xlfn.XLOOKUP($A1237, 'Medical Examinations'!$A:$A, 'Medical Examinations'!D:D, "No Data")</f>
        <v>No</v>
      </c>
      <c r="F1237" s="28" t="str">
        <f t="array" ref="F1237">_xlfn.XLOOKUP($A1237, 'Medical Examinations'!$A:$A, 'Medical Examinations'!E:E, "No Data")</f>
        <v>No</v>
      </c>
      <c r="G1237" s="28" t="str">
        <f t="array" ref="G1237">_xlfn.XLOOKUP($A1237, 'Medical Examinations'!$A:$A, 'Medical Examinations'!F:F, "No Data")</f>
        <v>Yes</v>
      </c>
      <c r="H1237" s="28">
        <f t="array" ref="H1237">_xlfn.XLOOKUP($A1237, 'Medical Examinations'!$A:$A, 'Medical Examinations'!G:G, "No Data")</f>
        <v>1</v>
      </c>
      <c r="I1237" s="28" t="str">
        <f t="array" ref="I1237">_xlfn.XLOOKUP($A1237, 'Medical Examinations'!$A:$A, 'Medical Examinations'!H:H, "No Data")</f>
        <v>No</v>
      </c>
      <c r="J1237" s="28" t="str">
        <f t="array" ref="J1237">_xlfn.XLOOKUP($A1237, 'Medical Examinations'!$A:$A, 'Medical Examinations'!I:I, "No Data")</f>
        <v>Overweight</v>
      </c>
      <c r="K1237" s="28" t="str">
        <f t="array" ref="K1237">_xlfn.XLOOKUP($A1237, 'Hospitalisation Details'!$A:$A, 'Hospitalisation Details'!I:I, "No Data")</f>
        <v>tier - 1</v>
      </c>
      <c r="L1237" s="28" t="str">
        <f t="array" ref="L1237">_xlfn.XLOOKUP($A1237, 'Hospitalisation Details'!$A:$A, 'Hospitalisation Details'!J:J, "No Data")</f>
        <v>R1025</v>
      </c>
      <c r="M1237" s="28" t="str">
        <f t="array" ref="M1237">_xlfn.XLOOKUP($A1237, 'Hospitalisation Details'!$A:$A, 'Hospitalisation Details'!E:E, "No Data")</f>
        <v>16/12/79</v>
      </c>
      <c r="N1237" s="28">
        <f t="array" ref="N1237">_xlfn.XLOOKUP($A1237, 'Hospitalisation Details'!$A:$A, 'Hospitalisation Details'!K:K, "No Data")</f>
        <v>43</v>
      </c>
      <c r="O1237" s="33">
        <f t="array" ref="O1237">_xlfn.XLOOKUP($A1237, 'Hospitalisation Details'!$A:$A, 'Hospitalisation Details'!G:G, "No Data")</f>
        <v>8998.43</v>
      </c>
      <c r="P1237" s="28" t="str">
        <f t="array" ref="P1237">_xlfn.XLOOKUP($A1237, 'Hospitalisation Details'!$A:$A, 'Hospitalisation Details'!H:H, "No Data")</f>
        <v>tier - 2</v>
      </c>
    </row>
    <row r="1238">
      <c r="A1238" s="25" t="s">
        <v>3953</v>
      </c>
      <c r="B1238" s="28" t="str">
        <f t="array" ref="B1238">_xlfn.XLOOKUP($A1238, 'Customer Names'!$A:$A, 'Customer Names'!B:B, "No Data")</f>
        <v>Glassey</v>
      </c>
      <c r="C1238" s="28">
        <f t="array" ref="C1238">_xlfn.XLOOKUP($A1238, 'Medical Examinations'!$A:$A, 'Medical Examinations'!B:B, "No Data")</f>
        <v>29.925</v>
      </c>
      <c r="D1238" s="28">
        <f t="array" ref="D1238">_xlfn.XLOOKUP($A1238, 'Medical Examinations'!$A:$A, 'Medical Examinations'!C:C, "No Data")</f>
        <v>8.29</v>
      </c>
      <c r="E1238" s="28" t="str">
        <f t="array" ref="E1238">_xlfn.XLOOKUP($A1238, 'Medical Examinations'!$A:$A, 'Medical Examinations'!D:D, "No Data")</f>
        <v>No</v>
      </c>
      <c r="F1238" s="28" t="str">
        <f t="array" ref="F1238">_xlfn.XLOOKUP($A1238, 'Medical Examinations'!$A:$A, 'Medical Examinations'!E:E, "No Data")</f>
        <v>No</v>
      </c>
      <c r="G1238" s="28" t="str">
        <f t="array" ref="G1238">_xlfn.XLOOKUP($A1238, 'Medical Examinations'!$A:$A, 'Medical Examinations'!F:F, "No Data")</f>
        <v>No</v>
      </c>
      <c r="H1238" s="28">
        <f t="array" ref="H1238">_xlfn.XLOOKUP($A1238, 'Medical Examinations'!$A:$A, 'Medical Examinations'!G:G, "No Data")</f>
        <v>2</v>
      </c>
      <c r="I1238" s="28" t="str">
        <f t="array" ref="I1238">_xlfn.XLOOKUP($A1238, 'Medical Examinations'!$A:$A, 'Medical Examinations'!H:H, "No Data")</f>
        <v>No</v>
      </c>
      <c r="J1238" s="28" t="str">
        <f t="array" ref="J1238">_xlfn.XLOOKUP($A1238, 'Medical Examinations'!$A:$A, 'Medical Examinations'!I:I, "No Data")</f>
        <v>Overweight</v>
      </c>
      <c r="K1238" s="28" t="str">
        <f t="array" ref="K1238">_xlfn.XLOOKUP($A1238, 'Hospitalisation Details'!$A:$A, 'Hospitalisation Details'!I:I, "No Data")</f>
        <v>tier - 1</v>
      </c>
      <c r="L1238" s="28" t="str">
        <f t="array" ref="L1238">_xlfn.XLOOKUP($A1238, 'Hospitalisation Details'!$A:$A, 'Hospitalisation Details'!J:J, "No Data")</f>
        <v>R1012</v>
      </c>
      <c r="M1238" s="28" t="str">
        <f t="array" ref="M1238">_xlfn.XLOOKUP($A1238, 'Hospitalisation Details'!$A:$A, 'Hospitalisation Details'!E:E, "No Data")</f>
        <v>11/10/73</v>
      </c>
      <c r="N1238" s="28">
        <f t="array" ref="N1238">_xlfn.XLOOKUP($A1238, 'Hospitalisation Details'!$A:$A, 'Hospitalisation Details'!K:K, "No Data")</f>
        <v>49</v>
      </c>
      <c r="O1238" s="33">
        <f t="array" ref="O1238">_xlfn.XLOOKUP($A1238, 'Hospitalisation Details'!$A:$A, 'Hospitalisation Details'!G:G, "No Data")</f>
        <v>8988.16</v>
      </c>
      <c r="P1238" s="28" t="str">
        <f t="array" ref="P1238">_xlfn.XLOOKUP($A1238, 'Hospitalisation Details'!$A:$A, 'Hospitalisation Details'!H:H, "No Data")</f>
        <v>tier - 2</v>
      </c>
    </row>
    <row r="1239">
      <c r="A1239" s="25" t="s">
        <v>3957</v>
      </c>
      <c r="B1239" s="28" t="str">
        <f t="array" ref="B1239">_xlfn.XLOOKUP($A1239, 'Customer Names'!$A:$A, 'Customer Names'!B:B, "No Data")</f>
        <v>Frechette</v>
      </c>
      <c r="C1239" s="28">
        <f t="array" ref="C1239">_xlfn.XLOOKUP($A1239, 'Medical Examinations'!$A:$A, 'Medical Examinations'!B:B, "No Data")</f>
        <v>37.29</v>
      </c>
      <c r="D1239" s="28">
        <f t="array" ref="D1239">_xlfn.XLOOKUP($A1239, 'Medical Examinations'!$A:$A, 'Medical Examinations'!C:C, "No Data")</f>
        <v>10.46</v>
      </c>
      <c r="E1239" s="28" t="str">
        <f t="array" ref="E1239">_xlfn.XLOOKUP($A1239, 'Medical Examinations'!$A:$A, 'Medical Examinations'!D:D, "No Data")</f>
        <v>No</v>
      </c>
      <c r="F1239" s="28" t="str">
        <f t="array" ref="F1239">_xlfn.XLOOKUP($A1239, 'Medical Examinations'!$A:$A, 'Medical Examinations'!E:E, "No Data")</f>
        <v>No</v>
      </c>
      <c r="G1239" s="28" t="str">
        <f t="array" ref="G1239">_xlfn.XLOOKUP($A1239, 'Medical Examinations'!$A:$A, 'Medical Examinations'!F:F, "No Data")</f>
        <v>No</v>
      </c>
      <c r="H1239" s="28">
        <f t="array" ref="H1239">_xlfn.XLOOKUP($A1239, 'Medical Examinations'!$A:$A, 'Medical Examinations'!G:G, "No Data")</f>
        <v>0</v>
      </c>
      <c r="I1239" s="28" t="str">
        <f t="array" ref="I1239">_xlfn.XLOOKUP($A1239, 'Medical Examinations'!$A:$A, 'Medical Examinations'!H:H, "No Data")</f>
        <v>No</v>
      </c>
      <c r="J1239" s="28" t="str">
        <f t="array" ref="J1239">_xlfn.XLOOKUP($A1239, 'Medical Examinations'!$A:$A, 'Medical Examinations'!I:I, "No Data")</f>
        <v>Obesity</v>
      </c>
      <c r="K1239" s="28" t="str">
        <f t="array" ref="K1239">_xlfn.XLOOKUP($A1239, 'Hospitalisation Details'!$A:$A, 'Hospitalisation Details'!I:I, "No Data")</f>
        <v>tier - 2</v>
      </c>
      <c r="L1239" s="28" t="str">
        <f t="array" ref="L1239">_xlfn.XLOOKUP($A1239, 'Hospitalisation Details'!$A:$A, 'Hospitalisation Details'!J:J, "No Data")</f>
        <v>R1013</v>
      </c>
      <c r="M1239" s="28" t="str">
        <f t="array" ref="M1239">_xlfn.XLOOKUP($A1239, 'Hospitalisation Details'!$A:$A, 'Hospitalisation Details'!E:E, "No Data")</f>
        <v>21/07/74</v>
      </c>
      <c r="N1239" s="28">
        <f t="array" ref="N1239">_xlfn.XLOOKUP($A1239, 'Hospitalisation Details'!$A:$A, 'Hospitalisation Details'!K:K, "No Data")</f>
        <v>48</v>
      </c>
      <c r="O1239" s="33">
        <f t="array" ref="O1239">_xlfn.XLOOKUP($A1239, 'Hospitalisation Details'!$A:$A, 'Hospitalisation Details'!G:G, "No Data")</f>
        <v>8978.19</v>
      </c>
      <c r="P1239" s="28" t="str">
        <f t="array" ref="P1239">_xlfn.XLOOKUP($A1239, 'Hospitalisation Details'!$A:$A, 'Hospitalisation Details'!H:H, "No Data")</f>
        <v>tier - 2</v>
      </c>
    </row>
    <row r="1240">
      <c r="A1240" s="25" t="s">
        <v>3960</v>
      </c>
      <c r="B1240" s="28" t="str">
        <f t="array" ref="B1240">_xlfn.XLOOKUP($A1240, 'Customer Names'!$A:$A, 'Customer Names'!B:B, "No Data")</f>
        <v>Benitez</v>
      </c>
      <c r="C1240" s="28">
        <f t="array" ref="C1240">_xlfn.XLOOKUP($A1240, 'Medical Examinations'!$A:$A, 'Medical Examinations'!B:B, "No Data")</f>
        <v>30.2</v>
      </c>
      <c r="D1240" s="28">
        <f t="array" ref="D1240">_xlfn.XLOOKUP($A1240, 'Medical Examinations'!$A:$A, 'Medical Examinations'!C:C, "No Data")</f>
        <v>11.96</v>
      </c>
      <c r="E1240" s="28" t="str">
        <f t="array" ref="E1240">_xlfn.XLOOKUP($A1240, 'Medical Examinations'!$A:$A, 'Medical Examinations'!D:D, "No Data")</f>
        <v>No</v>
      </c>
      <c r="F1240" s="28" t="str">
        <f t="array" ref="F1240">_xlfn.XLOOKUP($A1240, 'Medical Examinations'!$A:$A, 'Medical Examinations'!E:E, "No Data")</f>
        <v>No</v>
      </c>
      <c r="G1240" s="28" t="str">
        <f t="array" ref="G1240">_xlfn.XLOOKUP($A1240, 'Medical Examinations'!$A:$A, 'Medical Examinations'!F:F, "No Data")</f>
        <v>No</v>
      </c>
      <c r="H1240" s="28">
        <f t="array" ref="H1240">_xlfn.XLOOKUP($A1240, 'Medical Examinations'!$A:$A, 'Medical Examinations'!G:G, "No Data")</f>
        <v>0</v>
      </c>
      <c r="I1240" s="28" t="str">
        <f t="array" ref="I1240">_xlfn.XLOOKUP($A1240, 'Medical Examinations'!$A:$A, 'Medical Examinations'!H:H, "No Data")</f>
        <v>No</v>
      </c>
      <c r="J1240" s="28" t="str">
        <f t="array" ref="J1240">_xlfn.XLOOKUP($A1240, 'Medical Examinations'!$A:$A, 'Medical Examinations'!I:I, "No Data")</f>
        <v>Obesity</v>
      </c>
      <c r="K1240" s="28" t="str">
        <f t="array" ref="K1240">_xlfn.XLOOKUP($A1240, 'Hospitalisation Details'!$A:$A, 'Hospitalisation Details'!I:I, "No Data")</f>
        <v>tier - 2</v>
      </c>
      <c r="L1240" s="28" t="str">
        <f t="array" ref="L1240">_xlfn.XLOOKUP($A1240, 'Hospitalisation Details'!$A:$A, 'Hospitalisation Details'!J:J, "No Data")</f>
        <v>R1011</v>
      </c>
      <c r="M1240" s="28" t="str">
        <f t="array" ref="M1240">_xlfn.XLOOKUP($A1240, 'Hospitalisation Details'!$A:$A, 'Hospitalisation Details'!E:E, "No Data")</f>
        <v>08/09/74</v>
      </c>
      <c r="N1240" s="28">
        <f t="array" ref="N1240">_xlfn.XLOOKUP($A1240, 'Hospitalisation Details'!$A:$A, 'Hospitalisation Details'!K:K, "No Data")</f>
        <v>48</v>
      </c>
      <c r="O1240" s="33">
        <f t="array" ref="O1240">_xlfn.XLOOKUP($A1240, 'Hospitalisation Details'!$A:$A, 'Hospitalisation Details'!G:G, "No Data")</f>
        <v>8968.33</v>
      </c>
      <c r="P1240" s="28" t="str">
        <f t="array" ref="P1240">_xlfn.XLOOKUP($A1240, 'Hospitalisation Details'!$A:$A, 'Hospitalisation Details'!H:H, "No Data")</f>
        <v>tier - 3</v>
      </c>
    </row>
    <row r="1241">
      <c r="A1241" s="25" t="s">
        <v>3964</v>
      </c>
      <c r="B1241" s="28" t="str">
        <f t="array" ref="B1241">_xlfn.XLOOKUP($A1241, 'Customer Names'!$A:$A, 'Customer Names'!B:B, "No Data")</f>
        <v>Gauthier</v>
      </c>
      <c r="C1241" s="28">
        <f t="array" ref="C1241">_xlfn.XLOOKUP($A1241, 'Medical Examinations'!$A:$A, 'Medical Examinations'!B:B, "No Data")</f>
        <v>24.225</v>
      </c>
      <c r="D1241" s="28">
        <f t="array" ref="D1241">_xlfn.XLOOKUP($A1241, 'Medical Examinations'!$A:$A, 'Medical Examinations'!C:C, "No Data")</f>
        <v>4.25</v>
      </c>
      <c r="E1241" s="28" t="str">
        <f t="array" ref="E1241">_xlfn.XLOOKUP($A1241, 'Medical Examinations'!$A:$A, 'Medical Examinations'!D:D, "No Data")</f>
        <v>yes</v>
      </c>
      <c r="F1241" s="28" t="str">
        <f t="array" ref="F1241">_xlfn.XLOOKUP($A1241, 'Medical Examinations'!$A:$A, 'Medical Examinations'!E:E, "No Data")</f>
        <v>No</v>
      </c>
      <c r="G1241" s="28" t="str">
        <f t="array" ref="G1241">_xlfn.XLOOKUP($A1241, 'Medical Examinations'!$A:$A, 'Medical Examinations'!F:F, "No Data")</f>
        <v>Yes</v>
      </c>
      <c r="H1241" s="28">
        <f t="array" ref="H1241">_xlfn.XLOOKUP($A1241, 'Medical Examinations'!$A:$A, 'Medical Examinations'!G:G, "No Data")</f>
        <v>1</v>
      </c>
      <c r="I1241" s="28" t="str">
        <f t="array" ref="I1241">_xlfn.XLOOKUP($A1241, 'Medical Examinations'!$A:$A, 'Medical Examinations'!H:H, "No Data")</f>
        <v>No</v>
      </c>
      <c r="J1241" s="28" t="str">
        <f t="array" ref="J1241">_xlfn.XLOOKUP($A1241, 'Medical Examinations'!$A:$A, 'Medical Examinations'!I:I, "No Data")</f>
        <v>Normal Weight</v>
      </c>
      <c r="K1241" s="28" t="str">
        <f t="array" ref="K1241">_xlfn.XLOOKUP($A1241, 'Hospitalisation Details'!$A:$A, 'Hospitalisation Details'!I:I, "No Data")</f>
        <v>tier - 3</v>
      </c>
      <c r="L1241" s="28" t="str">
        <f t="array" ref="L1241">_xlfn.XLOOKUP($A1241, 'Hospitalisation Details'!$A:$A, 'Hospitalisation Details'!J:J, "No Data")</f>
        <v>R1012</v>
      </c>
      <c r="M1241" s="28" t="str">
        <f t="array" ref="M1241">_xlfn.XLOOKUP($A1241, 'Hospitalisation Details'!$A:$A, 'Hospitalisation Details'!E:E, "No Data")</f>
        <v>15/07/83</v>
      </c>
      <c r="N1241" s="28">
        <f t="array" ref="N1241">_xlfn.XLOOKUP($A1241, 'Hospitalisation Details'!$A:$A, 'Hospitalisation Details'!K:K, "No Data")</f>
        <v>39</v>
      </c>
      <c r="O1241" s="33">
        <f t="array" ref="O1241">_xlfn.XLOOKUP($A1241, 'Hospitalisation Details'!$A:$A, 'Hospitalisation Details'!G:G, "No Data")</f>
        <v>8965.8</v>
      </c>
      <c r="P1241" s="28" t="str">
        <f t="array" ref="P1241">_xlfn.XLOOKUP($A1241, 'Hospitalisation Details'!$A:$A, 'Hospitalisation Details'!H:H, "No Data")</f>
        <v>tier - 2</v>
      </c>
    </row>
    <row r="1242">
      <c r="A1242" s="25" t="s">
        <v>3967</v>
      </c>
      <c r="B1242" s="28" t="str">
        <f t="array" ref="B1242">_xlfn.XLOOKUP($A1242, 'Customer Names'!$A:$A, 'Customer Names'!B:B, "No Data")</f>
        <v>Fazioli</v>
      </c>
      <c r="C1242" s="28">
        <f t="array" ref="C1242">_xlfn.XLOOKUP($A1242, 'Medical Examinations'!$A:$A, 'Medical Examinations'!B:B, "No Data")</f>
        <v>31.445</v>
      </c>
      <c r="D1242" s="28">
        <f t="array" ref="D1242">_xlfn.XLOOKUP($A1242, 'Medical Examinations'!$A:$A, 'Medical Examinations'!C:C, "No Data")</f>
        <v>8.33</v>
      </c>
      <c r="E1242" s="28" t="str">
        <f t="array" ref="E1242">_xlfn.XLOOKUP($A1242, 'Medical Examinations'!$A:$A, 'Medical Examinations'!D:D, "No Data")</f>
        <v>No</v>
      </c>
      <c r="F1242" s="28" t="str">
        <f t="array" ref="F1242">_xlfn.XLOOKUP($A1242, 'Medical Examinations'!$A:$A, 'Medical Examinations'!E:E, "No Data")</f>
        <v>No</v>
      </c>
      <c r="G1242" s="28" t="str">
        <f t="array" ref="G1242">_xlfn.XLOOKUP($A1242, 'Medical Examinations'!$A:$A, 'Medical Examinations'!F:F, "No Data")</f>
        <v>No</v>
      </c>
      <c r="H1242" s="28">
        <f t="array" ref="H1242">_xlfn.XLOOKUP($A1242, 'Medical Examinations'!$A:$A, 'Medical Examinations'!G:G, "No Data")</f>
        <v>0</v>
      </c>
      <c r="I1242" s="28" t="str">
        <f t="array" ref="I1242">_xlfn.XLOOKUP($A1242, 'Medical Examinations'!$A:$A, 'Medical Examinations'!H:H, "No Data")</f>
        <v>No</v>
      </c>
      <c r="J1242" s="28" t="str">
        <f t="array" ref="J1242">_xlfn.XLOOKUP($A1242, 'Medical Examinations'!$A:$A, 'Medical Examinations'!I:I, "No Data")</f>
        <v>Obesity</v>
      </c>
      <c r="K1242" s="28" t="str">
        <f t="array" ref="K1242">_xlfn.XLOOKUP($A1242, 'Hospitalisation Details'!$A:$A, 'Hospitalisation Details'!I:I, "No Data")</f>
        <v>tier - 2</v>
      </c>
      <c r="L1242" s="28" t="str">
        <f t="array" ref="L1242">_xlfn.XLOOKUP($A1242, 'Hospitalisation Details'!$A:$A, 'Hospitalisation Details'!J:J, "No Data")</f>
        <v>R1016</v>
      </c>
      <c r="M1242" s="28" t="str">
        <f t="array" ref="M1242">_xlfn.XLOOKUP($A1242, 'Hospitalisation Details'!$A:$A, 'Hospitalisation Details'!E:E, "No Data")</f>
        <v>17/08/74</v>
      </c>
      <c r="N1242" s="28">
        <f t="array" ref="N1242">_xlfn.XLOOKUP($A1242, 'Hospitalisation Details'!$A:$A, 'Hospitalisation Details'!K:K, "No Data")</f>
        <v>48</v>
      </c>
      <c r="O1242" s="33">
        <f t="array" ref="O1242">_xlfn.XLOOKUP($A1242, 'Hospitalisation Details'!$A:$A, 'Hospitalisation Details'!G:G, "No Data")</f>
        <v>8964.06</v>
      </c>
      <c r="P1242" s="28" t="str">
        <f t="array" ref="P1242">_xlfn.XLOOKUP($A1242, 'Hospitalisation Details'!$A:$A, 'Hospitalisation Details'!H:H, "No Data")</f>
        <v>tier - 3</v>
      </c>
    </row>
    <row r="1243">
      <c r="A1243" s="25" t="s">
        <v>3971</v>
      </c>
      <c r="B1243" s="28" t="str">
        <f t="array" ref="B1243">_xlfn.XLOOKUP($A1243, 'Customer Names'!$A:$A, 'Customer Names'!B:B, "No Data")</f>
        <v>Chorney</v>
      </c>
      <c r="C1243" s="28">
        <f t="array" ref="C1243">_xlfn.XLOOKUP($A1243, 'Medical Examinations'!$A:$A, 'Medical Examinations'!B:B, "No Data")</f>
        <v>38.88</v>
      </c>
      <c r="D1243" s="28">
        <f t="array" ref="D1243">_xlfn.XLOOKUP($A1243, 'Medical Examinations'!$A:$A, 'Medical Examinations'!C:C, "No Data")</f>
        <v>4.29</v>
      </c>
      <c r="E1243" s="28" t="str">
        <f t="array" ref="E1243">_xlfn.XLOOKUP($A1243, 'Medical Examinations'!$A:$A, 'Medical Examinations'!D:D, "No Data")</f>
        <v>No</v>
      </c>
      <c r="F1243" s="28" t="str">
        <f t="array" ref="F1243">_xlfn.XLOOKUP($A1243, 'Medical Examinations'!$A:$A, 'Medical Examinations'!E:E, "No Data")</f>
        <v>No</v>
      </c>
      <c r="G1243" s="28" t="str">
        <f t="array" ref="G1243">_xlfn.XLOOKUP($A1243, 'Medical Examinations'!$A:$A, 'Medical Examinations'!F:F, "No Data")</f>
        <v>No</v>
      </c>
      <c r="H1243" s="28">
        <f t="array" ref="H1243">_xlfn.XLOOKUP($A1243, 'Medical Examinations'!$A:$A, 'Medical Examinations'!G:G, "No Data")</f>
        <v>1</v>
      </c>
      <c r="I1243" s="28" t="str">
        <f t="array" ref="I1243">_xlfn.XLOOKUP($A1243, 'Medical Examinations'!$A:$A, 'Medical Examinations'!H:H, "No Data")</f>
        <v>No</v>
      </c>
      <c r="J1243" s="28" t="str">
        <f t="array" ref="J1243">_xlfn.XLOOKUP($A1243, 'Medical Examinations'!$A:$A, 'Medical Examinations'!I:I, "No Data")</f>
        <v>Obesity</v>
      </c>
      <c r="K1243" s="28" t="str">
        <f t="array" ref="K1243">_xlfn.XLOOKUP($A1243, 'Hospitalisation Details'!$A:$A, 'Hospitalisation Details'!I:I, "No Data")</f>
        <v>tier - 3</v>
      </c>
      <c r="L1243" s="28" t="str">
        <f t="array" ref="L1243">_xlfn.XLOOKUP($A1243, 'Hospitalisation Details'!$A:$A, 'Hospitalisation Details'!J:J, "No Data")</f>
        <v>R1026</v>
      </c>
      <c r="M1243" s="28" t="str">
        <f t="array" ref="M1243">_xlfn.XLOOKUP($A1243, 'Hospitalisation Details'!$A:$A, 'Hospitalisation Details'!E:E, "No Data")</f>
        <v>27/09/92</v>
      </c>
      <c r="N1243" s="28">
        <f t="array" ref="N1243">_xlfn.XLOOKUP($A1243, 'Hospitalisation Details'!$A:$A, 'Hospitalisation Details'!K:K, "No Data")</f>
        <v>30</v>
      </c>
      <c r="O1243" s="33">
        <f t="array" ref="O1243">_xlfn.XLOOKUP($A1243, 'Hospitalisation Details'!$A:$A, 'Hospitalisation Details'!G:G, "No Data")</f>
        <v>8954.99</v>
      </c>
      <c r="P1243" s="28" t="str">
        <f t="array" ref="P1243">_xlfn.XLOOKUP($A1243, 'Hospitalisation Details'!$A:$A, 'Hospitalisation Details'!H:H, "No Data")</f>
        <v>tier - 2</v>
      </c>
    </row>
    <row r="1244">
      <c r="A1244" s="25" t="s">
        <v>3974</v>
      </c>
      <c r="B1244" s="28" t="str">
        <f t="array" ref="B1244">_xlfn.XLOOKUP($A1244, 'Customer Names'!$A:$A, 'Customer Names'!B:B, "No Data")</f>
        <v>Dannenhauer</v>
      </c>
      <c r="C1244" s="28">
        <f t="array" ref="C1244">_xlfn.XLOOKUP($A1244, 'Medical Examinations'!$A:$A, 'Medical Examinations'!B:B, "No Data")</f>
        <v>43.89</v>
      </c>
      <c r="D1244" s="28">
        <f t="array" ref="D1244">_xlfn.XLOOKUP($A1244, 'Medical Examinations'!$A:$A, 'Medical Examinations'!C:C, "No Data")</f>
        <v>6.32</v>
      </c>
      <c r="E1244" s="28" t="str">
        <f t="array" ref="E1244">_xlfn.XLOOKUP($A1244, 'Medical Examinations'!$A:$A, 'Medical Examinations'!D:D, "No Data")</f>
        <v>yes</v>
      </c>
      <c r="F1244" s="28" t="str">
        <f t="array" ref="F1244">_xlfn.XLOOKUP($A1244, 'Medical Examinations'!$A:$A, 'Medical Examinations'!E:E, "No Data")</f>
        <v>No</v>
      </c>
      <c r="G1244" s="28" t="str">
        <f t="array" ref="G1244">_xlfn.XLOOKUP($A1244, 'Medical Examinations'!$A:$A, 'Medical Examinations'!F:F, "No Data")</f>
        <v>No</v>
      </c>
      <c r="H1244" s="28">
        <f t="array" ref="H1244">_xlfn.XLOOKUP($A1244, 'Medical Examinations'!$A:$A, 'Medical Examinations'!G:G, "No Data")</f>
        <v>0</v>
      </c>
      <c r="I1244" s="28" t="str">
        <f t="array" ref="I1244">_xlfn.XLOOKUP($A1244, 'Medical Examinations'!$A:$A, 'Medical Examinations'!H:H, "No Data")</f>
        <v>No</v>
      </c>
      <c r="J1244" s="28" t="str">
        <f t="array" ref="J1244">_xlfn.XLOOKUP($A1244, 'Medical Examinations'!$A:$A, 'Medical Examinations'!I:I, "No Data")</f>
        <v>Obesity</v>
      </c>
      <c r="K1244" s="28" t="str">
        <f t="array" ref="K1244">_xlfn.XLOOKUP($A1244, 'Hospitalisation Details'!$A:$A, 'Hospitalisation Details'!I:I, "No Data")</f>
        <v>tier - 2</v>
      </c>
      <c r="L1244" s="28" t="str">
        <f t="array" ref="L1244">_xlfn.XLOOKUP($A1244, 'Hospitalisation Details'!$A:$A, 'Hospitalisation Details'!J:J, "No Data")</f>
        <v>R1013</v>
      </c>
      <c r="M1244" s="28" t="str">
        <f t="array" ref="M1244">_xlfn.XLOOKUP($A1244, 'Hospitalisation Details'!$A:$A, 'Hospitalisation Details'!E:E, "No Data")</f>
        <v>25/12/76</v>
      </c>
      <c r="N1244" s="28">
        <f t="array" ref="N1244">_xlfn.XLOOKUP($A1244, 'Hospitalisation Details'!$A:$A, 'Hospitalisation Details'!K:K, "No Data")</f>
        <v>46</v>
      </c>
      <c r="O1244" s="33">
        <f t="array" ref="O1244">_xlfn.XLOOKUP($A1244, 'Hospitalisation Details'!$A:$A, 'Hospitalisation Details'!G:G, "No Data")</f>
        <v>8944.12</v>
      </c>
      <c r="P1244" s="28" t="str">
        <f t="array" ref="P1244">_xlfn.XLOOKUP($A1244, 'Hospitalisation Details'!$A:$A, 'Hospitalisation Details'!H:H, "No Data")</f>
        <v>tier - 3</v>
      </c>
    </row>
    <row r="1245">
      <c r="A1245" s="25" t="s">
        <v>3979</v>
      </c>
      <c r="B1245" s="28" t="str">
        <f t="array" ref="B1245">_xlfn.XLOOKUP($A1245, 'Customer Names'!$A:$A, 'Customer Names'!B:B, "No Data")</f>
        <v>McComb</v>
      </c>
      <c r="C1245" s="28">
        <f t="array" ref="C1245">_xlfn.XLOOKUP($A1245, 'Medical Examinations'!$A:$A, 'Medical Examinations'!B:B, "No Data")</f>
        <v>25.6</v>
      </c>
      <c r="D1245" s="28">
        <f t="array" ref="D1245">_xlfn.XLOOKUP($A1245, 'Medical Examinations'!$A:$A, 'Medical Examinations'!C:C, "No Data")</f>
        <v>5.65</v>
      </c>
      <c r="E1245" s="28" t="str">
        <f t="array" ref="E1245">_xlfn.XLOOKUP($A1245, 'Medical Examinations'!$A:$A, 'Medical Examinations'!D:D, "No Data")</f>
        <v>No</v>
      </c>
      <c r="F1245" s="28" t="str">
        <f t="array" ref="F1245">_xlfn.XLOOKUP($A1245, 'Medical Examinations'!$A:$A, 'Medical Examinations'!E:E, "No Data")</f>
        <v>No</v>
      </c>
      <c r="G1245" s="28" t="str">
        <f t="array" ref="G1245">_xlfn.XLOOKUP($A1245, 'Medical Examinations'!$A:$A, 'Medical Examinations'!F:F, "No Data")</f>
        <v>No</v>
      </c>
      <c r="H1245" s="28">
        <f t="array" ref="H1245">_xlfn.XLOOKUP($A1245, 'Medical Examinations'!$A:$A, 'Medical Examinations'!G:G, "No Data")</f>
        <v>2</v>
      </c>
      <c r="I1245" s="28" t="str">
        <f t="array" ref="I1245">_xlfn.XLOOKUP($A1245, 'Medical Examinations'!$A:$A, 'Medical Examinations'!H:H, "No Data")</f>
        <v>No</v>
      </c>
      <c r="J1245" s="28" t="str">
        <f t="array" ref="J1245">_xlfn.XLOOKUP($A1245, 'Medical Examinations'!$A:$A, 'Medical Examinations'!I:I, "No Data")</f>
        <v>Overweight</v>
      </c>
      <c r="K1245" s="28" t="str">
        <f t="array" ref="K1245">_xlfn.XLOOKUP($A1245, 'Hospitalisation Details'!$A:$A, 'Hospitalisation Details'!I:I, "No Data")</f>
        <v>tier - 1</v>
      </c>
      <c r="L1245" s="28" t="str">
        <f t="array" ref="L1245">_xlfn.XLOOKUP($A1245, 'Hospitalisation Details'!$A:$A, 'Hospitalisation Details'!J:J, "No Data")</f>
        <v>R1011</v>
      </c>
      <c r="M1245" s="28" t="str">
        <f t="array" ref="M1245">_xlfn.XLOOKUP($A1245, 'Hospitalisation Details'!$A:$A, 'Hospitalisation Details'!E:E, "No Data")</f>
        <v>06/06/72</v>
      </c>
      <c r="N1245" s="28">
        <f t="array" ref="N1245">_xlfn.XLOOKUP($A1245, 'Hospitalisation Details'!$A:$A, 'Hospitalisation Details'!K:K, "No Data")</f>
        <v>51</v>
      </c>
      <c r="O1245" s="33">
        <f t="array" ref="O1245">_xlfn.XLOOKUP($A1245, 'Hospitalisation Details'!$A:$A, 'Hospitalisation Details'!G:G, "No Data")</f>
        <v>8932.08</v>
      </c>
      <c r="P1245" s="28" t="str">
        <f t="array" ref="P1245">_xlfn.XLOOKUP($A1245, 'Hospitalisation Details'!$A:$A, 'Hospitalisation Details'!H:H, "No Data")</f>
        <v>tier - 2</v>
      </c>
    </row>
    <row r="1246">
      <c r="A1246" s="25" t="s">
        <v>3982</v>
      </c>
      <c r="B1246" s="28" t="str">
        <f t="array" ref="B1246">_xlfn.XLOOKUP($A1246, 'Customer Names'!$A:$A, 'Customer Names'!B:B, "No Data")</f>
        <v>Blake</v>
      </c>
      <c r="C1246" s="28">
        <f t="array" ref="C1246">_xlfn.XLOOKUP($A1246, 'Medical Examinations'!$A:$A, 'Medical Examinations'!B:B, "No Data")</f>
        <v>29.545</v>
      </c>
      <c r="D1246" s="28">
        <f t="array" ref="D1246">_xlfn.XLOOKUP($A1246, 'Medical Examinations'!$A:$A, 'Medical Examinations'!C:C, "No Data")</f>
        <v>8.41</v>
      </c>
      <c r="E1246" s="28" t="str">
        <f t="array" ref="E1246">_xlfn.XLOOKUP($A1246, 'Medical Examinations'!$A:$A, 'Medical Examinations'!D:D, "No Data")</f>
        <v>yes</v>
      </c>
      <c r="F1246" s="28" t="str">
        <f t="array" ref="F1246">_xlfn.XLOOKUP($A1246, 'Medical Examinations'!$A:$A, 'Medical Examinations'!E:E, "No Data")</f>
        <v>No</v>
      </c>
      <c r="G1246" s="28" t="str">
        <f t="array" ref="G1246">_xlfn.XLOOKUP($A1246, 'Medical Examinations'!$A:$A, 'Medical Examinations'!F:F, "No Data")</f>
        <v>No</v>
      </c>
      <c r="H1246" s="28">
        <f t="array" ref="H1246">_xlfn.XLOOKUP($A1246, 'Medical Examinations'!$A:$A, 'Medical Examinations'!G:G, "No Data")</f>
        <v>1</v>
      </c>
      <c r="I1246" s="28" t="str">
        <f t="array" ref="I1246">_xlfn.XLOOKUP($A1246, 'Medical Examinations'!$A:$A, 'Medical Examinations'!H:H, "No Data")</f>
        <v>No</v>
      </c>
      <c r="J1246" s="28" t="str">
        <f t="array" ref="J1246">_xlfn.XLOOKUP($A1246, 'Medical Examinations'!$A:$A, 'Medical Examinations'!I:I, "No Data")</f>
        <v>Overweight</v>
      </c>
      <c r="K1246" s="28" t="str">
        <f t="array" ref="K1246">_xlfn.XLOOKUP($A1246, 'Hospitalisation Details'!$A:$A, 'Hospitalisation Details'!I:I, "No Data")</f>
        <v>tier - 2</v>
      </c>
      <c r="L1246" s="28" t="str">
        <f t="array" ref="L1246">_xlfn.XLOOKUP($A1246, 'Hospitalisation Details'!$A:$A, 'Hospitalisation Details'!J:J, "No Data")</f>
        <v>R1012</v>
      </c>
      <c r="M1246" s="28" t="str">
        <f t="array" ref="M1246">_xlfn.XLOOKUP($A1246, 'Hospitalisation Details'!$A:$A, 'Hospitalisation Details'!E:E, "No Data")</f>
        <v>07/07/75</v>
      </c>
      <c r="N1246" s="28">
        <f t="array" ref="N1246">_xlfn.XLOOKUP($A1246, 'Hospitalisation Details'!$A:$A, 'Hospitalisation Details'!K:K, "No Data")</f>
        <v>47</v>
      </c>
      <c r="O1246" s="33">
        <f t="array" ref="O1246">_xlfn.XLOOKUP($A1246, 'Hospitalisation Details'!$A:$A, 'Hospitalisation Details'!G:G, "No Data")</f>
        <v>8930.93</v>
      </c>
      <c r="P1246" s="28" t="str">
        <f t="array" ref="P1246">_xlfn.XLOOKUP($A1246, 'Hospitalisation Details'!$A:$A, 'Hospitalisation Details'!H:H, "No Data")</f>
        <v>tier - 2</v>
      </c>
    </row>
    <row r="1247">
      <c r="A1247" s="25" t="s">
        <v>3985</v>
      </c>
      <c r="B1247" s="28" t="str">
        <f t="array" ref="B1247">_xlfn.XLOOKUP($A1247, 'Customer Names'!$A:$A, 'Customer Names'!B:B, "No Data")</f>
        <v>Sambasivam</v>
      </c>
      <c r="C1247" s="28">
        <f t="array" ref="C1247">_xlfn.XLOOKUP($A1247, 'Medical Examinations'!$A:$A, 'Medical Examinations'!B:B, "No Data")</f>
        <v>23.25</v>
      </c>
      <c r="D1247" s="28">
        <f t="array" ref="D1247">_xlfn.XLOOKUP($A1247, 'Medical Examinations'!$A:$A, 'Medical Examinations'!C:C, "No Data")</f>
        <v>11.96</v>
      </c>
      <c r="E1247" s="28" t="str">
        <f t="array" ref="E1247">_xlfn.XLOOKUP($A1247, 'Medical Examinations'!$A:$A, 'Medical Examinations'!D:D, "No Data")</f>
        <v>yes</v>
      </c>
      <c r="F1247" s="28" t="str">
        <f t="array" ref="F1247">_xlfn.XLOOKUP($A1247, 'Medical Examinations'!$A:$A, 'Medical Examinations'!E:E, "No Data")</f>
        <v>No</v>
      </c>
      <c r="G1247" s="28" t="str">
        <f t="array" ref="G1247">_xlfn.XLOOKUP($A1247, 'Medical Examinations'!$A:$A, 'Medical Examinations'!F:F, "No Data")</f>
        <v>No</v>
      </c>
      <c r="H1247" s="28">
        <f t="array" ref="H1247">_xlfn.XLOOKUP($A1247, 'Medical Examinations'!$A:$A, 'Medical Examinations'!G:G, "No Data")</f>
        <v>0</v>
      </c>
      <c r="I1247" s="28" t="str">
        <f t="array" ref="I1247">_xlfn.XLOOKUP($A1247, 'Medical Examinations'!$A:$A, 'Medical Examinations'!H:H, "No Data")</f>
        <v>No</v>
      </c>
      <c r="J1247" s="28" t="str">
        <f t="array" ref="J1247">_xlfn.XLOOKUP($A1247, 'Medical Examinations'!$A:$A, 'Medical Examinations'!I:I, "No Data")</f>
        <v>Normal Weight</v>
      </c>
      <c r="K1247" s="28" t="str">
        <f t="array" ref="K1247">_xlfn.XLOOKUP($A1247, 'Hospitalisation Details'!$A:$A, 'Hospitalisation Details'!I:I, "No Data")</f>
        <v>tier - 2</v>
      </c>
      <c r="L1247" s="28" t="str">
        <f t="array" ref="L1247">_xlfn.XLOOKUP($A1247, 'Hospitalisation Details'!$A:$A, 'Hospitalisation Details'!J:J, "No Data")</f>
        <v>R1013</v>
      </c>
      <c r="M1247" s="28" t="str">
        <f t="array" ref="M1247">_xlfn.XLOOKUP($A1247, 'Hospitalisation Details'!$A:$A, 'Hospitalisation Details'!E:E, "No Data")</f>
        <v>06/09/67</v>
      </c>
      <c r="N1247" s="28">
        <f t="array" ref="N1247">_xlfn.XLOOKUP($A1247, 'Hospitalisation Details'!$A:$A, 'Hospitalisation Details'!K:K, "No Data")</f>
        <v>55</v>
      </c>
      <c r="O1247" s="33">
        <f t="array" ref="O1247">_xlfn.XLOOKUP($A1247, 'Hospitalisation Details'!$A:$A, 'Hospitalisation Details'!G:G, "No Data")</f>
        <v>8908.47</v>
      </c>
      <c r="P1247" s="28" t="str">
        <f t="array" ref="P1247">_xlfn.XLOOKUP($A1247, 'Hospitalisation Details'!$A:$A, 'Hospitalisation Details'!H:H, "No Data")</f>
        <v>tier - 3</v>
      </c>
    </row>
    <row r="1248">
      <c r="A1248" s="25" t="s">
        <v>3989</v>
      </c>
      <c r="B1248" s="28" t="str">
        <f t="array" ref="B1248">_xlfn.XLOOKUP($A1248, 'Customer Names'!$A:$A, 'Customer Names'!B:B, "No Data")</f>
        <v>Maina</v>
      </c>
      <c r="C1248" s="28">
        <f t="array" ref="C1248">_xlfn.XLOOKUP($A1248, 'Medical Examinations'!$A:$A, 'Medical Examinations'!B:B, "No Data")</f>
        <v>43.95</v>
      </c>
      <c r="D1248" s="28">
        <f t="array" ref="D1248">_xlfn.XLOOKUP($A1248, 'Medical Examinations'!$A:$A, 'Medical Examinations'!C:C, "No Data")</f>
        <v>5.17</v>
      </c>
      <c r="E1248" s="28" t="str">
        <f t="array" ref="E1248">_xlfn.XLOOKUP($A1248, 'Medical Examinations'!$A:$A, 'Medical Examinations'!D:D, "No Data")</f>
        <v>yes</v>
      </c>
      <c r="F1248" s="28" t="str">
        <f t="array" ref="F1248">_xlfn.XLOOKUP($A1248, 'Medical Examinations'!$A:$A, 'Medical Examinations'!E:E, "No Data")</f>
        <v>No</v>
      </c>
      <c r="G1248" s="28" t="str">
        <f t="array" ref="G1248">_xlfn.XLOOKUP($A1248, 'Medical Examinations'!$A:$A, 'Medical Examinations'!F:F, "No Data")</f>
        <v>Yes</v>
      </c>
      <c r="H1248" s="28">
        <f t="array" ref="H1248">_xlfn.XLOOKUP($A1248, 'Medical Examinations'!$A:$A, 'Medical Examinations'!G:G, "No Data")</f>
        <v>1</v>
      </c>
      <c r="I1248" s="28" t="str">
        <f t="array" ref="I1248">_xlfn.XLOOKUP($A1248, 'Medical Examinations'!$A:$A, 'Medical Examinations'!H:H, "No Data")</f>
        <v>No</v>
      </c>
      <c r="J1248" s="28" t="str">
        <f t="array" ref="J1248">_xlfn.XLOOKUP($A1248, 'Medical Examinations'!$A:$A, 'Medical Examinations'!I:I, "No Data")</f>
        <v>Obesity</v>
      </c>
      <c r="K1248" s="28" t="str">
        <f t="array" ref="K1248">_xlfn.XLOOKUP($A1248, 'Hospitalisation Details'!$A:$A, 'Hospitalisation Details'!I:I, "No Data")</f>
        <v>tier - 2</v>
      </c>
      <c r="L1248" s="28" t="str">
        <f t="array" ref="L1248">_xlfn.XLOOKUP($A1248, 'Hospitalisation Details'!$A:$A, 'Hospitalisation Details'!J:J, "No Data")</f>
        <v>R1012</v>
      </c>
      <c r="M1248" s="28" t="str">
        <f t="array" ref="M1248">_xlfn.XLOOKUP($A1248, 'Hospitalisation Details'!$A:$A, 'Hospitalisation Details'!E:E, "No Data")</f>
        <v>28/11/97</v>
      </c>
      <c r="N1248" s="28">
        <f t="array" ref="N1248">_xlfn.XLOOKUP($A1248, 'Hospitalisation Details'!$A:$A, 'Hospitalisation Details'!K:K, "No Data")</f>
        <v>25</v>
      </c>
      <c r="O1248" s="33">
        <f t="array" ref="O1248">_xlfn.XLOOKUP($A1248, 'Hospitalisation Details'!$A:$A, 'Hospitalisation Details'!G:G, "No Data")</f>
        <v>8906.14</v>
      </c>
      <c r="P1248" s="28" t="str">
        <f t="array" ref="P1248">_xlfn.XLOOKUP($A1248, 'Hospitalisation Details'!$A:$A, 'Hospitalisation Details'!H:H, "No Data")</f>
        <v>tier - 2</v>
      </c>
    </row>
    <row r="1249">
      <c r="A1249" s="25" t="s">
        <v>3993</v>
      </c>
      <c r="B1249" s="28" t="str">
        <f t="array" ref="B1249">_xlfn.XLOOKUP($A1249, 'Customer Names'!$A:$A, 'Customer Names'!B:B, "No Data")</f>
        <v>Keshian</v>
      </c>
      <c r="C1249" s="28">
        <f t="array" ref="C1249">_xlfn.XLOOKUP($A1249, 'Medical Examinations'!$A:$A, 'Medical Examinations'!B:B, "No Data")</f>
        <v>21.85</v>
      </c>
      <c r="D1249" s="28">
        <f t="array" ref="D1249">_xlfn.XLOOKUP($A1249, 'Medical Examinations'!$A:$A, 'Medical Examinations'!C:C, "No Data")</f>
        <v>8.76</v>
      </c>
      <c r="E1249" s="28" t="str">
        <f t="array" ref="E1249">_xlfn.XLOOKUP($A1249, 'Medical Examinations'!$A:$A, 'Medical Examinations'!D:D, "No Data")</f>
        <v>No</v>
      </c>
      <c r="F1249" s="28" t="str">
        <f t="array" ref="F1249">_xlfn.XLOOKUP($A1249, 'Medical Examinations'!$A:$A, 'Medical Examinations'!E:E, "No Data")</f>
        <v>No</v>
      </c>
      <c r="G1249" s="28" t="str">
        <f t="array" ref="G1249">_xlfn.XLOOKUP($A1249, 'Medical Examinations'!$A:$A, 'Medical Examinations'!F:F, "No Data")</f>
        <v>No</v>
      </c>
      <c r="H1249" s="28">
        <f t="array" ref="H1249">_xlfn.XLOOKUP($A1249, 'Medical Examinations'!$A:$A, 'Medical Examinations'!G:G, "No Data")</f>
        <v>0</v>
      </c>
      <c r="I1249" s="28" t="str">
        <f t="array" ref="I1249">_xlfn.XLOOKUP($A1249, 'Medical Examinations'!$A:$A, 'Medical Examinations'!H:H, "No Data")</f>
        <v>No</v>
      </c>
      <c r="J1249" s="28" t="str">
        <f t="array" ref="J1249">_xlfn.XLOOKUP($A1249, 'Medical Examinations'!$A:$A, 'Medical Examinations'!I:I, "No Data")</f>
        <v>Normal Weight</v>
      </c>
      <c r="K1249" s="28" t="str">
        <f t="array" ref="K1249">_xlfn.XLOOKUP($A1249, 'Hospitalisation Details'!$A:$A, 'Hospitalisation Details'!I:I, "No Data")</f>
        <v>tier - 3</v>
      </c>
      <c r="L1249" s="28" t="str">
        <f t="array" ref="L1249">_xlfn.XLOOKUP($A1249, 'Hospitalisation Details'!$A:$A, 'Hospitalisation Details'!J:J, "No Data")</f>
        <v>R1017</v>
      </c>
      <c r="M1249" s="28" t="str">
        <f t="array" ref="M1249">_xlfn.XLOOKUP($A1249, 'Hospitalisation Details'!$A:$A, 'Hospitalisation Details'!E:E, "No Data")</f>
        <v>16/12/78</v>
      </c>
      <c r="N1249" s="28">
        <f t="array" ref="N1249">_xlfn.XLOOKUP($A1249, 'Hospitalisation Details'!$A:$A, 'Hospitalisation Details'!K:K, "No Data")</f>
        <v>44</v>
      </c>
      <c r="O1249" s="33">
        <f t="array" ref="O1249">_xlfn.XLOOKUP($A1249, 'Hospitalisation Details'!$A:$A, 'Hospitalisation Details'!G:G, "No Data")</f>
        <v>8891.14</v>
      </c>
      <c r="P1249" s="28" t="str">
        <f t="array" ref="P1249">_xlfn.XLOOKUP($A1249, 'Hospitalisation Details'!$A:$A, 'Hospitalisation Details'!H:H, "No Data")</f>
        <v>tier - 2</v>
      </c>
    </row>
    <row r="1250">
      <c r="A1250" s="25" t="s">
        <v>3996</v>
      </c>
      <c r="B1250" s="28" t="str">
        <f t="array" ref="B1250">_xlfn.XLOOKUP($A1250, 'Customer Names'!$A:$A, 'Customer Names'!B:B, "No Data")</f>
        <v>Maas</v>
      </c>
      <c r="C1250" s="28">
        <f t="array" ref="C1250">_xlfn.XLOOKUP($A1250, 'Medical Examinations'!$A:$A, 'Medical Examinations'!B:B, "No Data")</f>
        <v>25.73</v>
      </c>
      <c r="D1250" s="28">
        <f t="array" ref="D1250">_xlfn.XLOOKUP($A1250, 'Medical Examinations'!$A:$A, 'Medical Examinations'!C:C, "No Data")</f>
        <v>7.99</v>
      </c>
      <c r="E1250" s="28" t="str">
        <f t="array" ref="E1250">_xlfn.XLOOKUP($A1250, 'Medical Examinations'!$A:$A, 'Medical Examinations'!D:D, "No Data")</f>
        <v>No</v>
      </c>
      <c r="F1250" s="28" t="str">
        <f t="array" ref="F1250">_xlfn.XLOOKUP($A1250, 'Medical Examinations'!$A:$A, 'Medical Examinations'!E:E, "No Data")</f>
        <v>No</v>
      </c>
      <c r="G1250" s="28" t="str">
        <f t="array" ref="G1250">_xlfn.XLOOKUP($A1250, 'Medical Examinations'!$A:$A, 'Medical Examinations'!F:F, "No Data")</f>
        <v>No</v>
      </c>
      <c r="H1250" s="28">
        <f t="array" ref="H1250">_xlfn.XLOOKUP($A1250, 'Medical Examinations'!$A:$A, 'Medical Examinations'!G:G, "No Data")</f>
        <v>2</v>
      </c>
      <c r="I1250" s="28" t="str">
        <f t="array" ref="I1250">_xlfn.XLOOKUP($A1250, 'Medical Examinations'!$A:$A, 'Medical Examinations'!H:H, "No Data")</f>
        <v>No</v>
      </c>
      <c r="J1250" s="28" t="str">
        <f t="array" ref="J1250">_xlfn.XLOOKUP($A1250, 'Medical Examinations'!$A:$A, 'Medical Examinations'!I:I, "No Data")</f>
        <v>Overweight</v>
      </c>
      <c r="K1250" s="28" t="str">
        <f t="array" ref="K1250">_xlfn.XLOOKUP($A1250, 'Hospitalisation Details'!$A:$A, 'Hospitalisation Details'!I:I, "No Data")</f>
        <v>tier - 3</v>
      </c>
      <c r="L1250" s="28" t="str">
        <f t="array" ref="L1250">_xlfn.XLOOKUP($A1250, 'Hospitalisation Details'!$A:$A, 'Hospitalisation Details'!J:J, "No Data")</f>
        <v>R1012</v>
      </c>
      <c r="M1250" s="28" t="str">
        <f t="array" ref="M1250">_xlfn.XLOOKUP($A1250, 'Hospitalisation Details'!$A:$A, 'Hospitalisation Details'!E:E, "No Data")</f>
        <v>09/09/73</v>
      </c>
      <c r="N1250" s="28">
        <f t="array" ref="N1250">_xlfn.XLOOKUP($A1250, 'Hospitalisation Details'!$A:$A, 'Hospitalisation Details'!K:K, "No Data")</f>
        <v>49</v>
      </c>
      <c r="O1250" s="33">
        <f t="array" ref="O1250">_xlfn.XLOOKUP($A1250, 'Hospitalisation Details'!$A:$A, 'Hospitalisation Details'!G:G, "No Data")</f>
        <v>8890.59</v>
      </c>
      <c r="P1250" s="28" t="str">
        <f t="array" ref="P1250">_xlfn.XLOOKUP($A1250, 'Hospitalisation Details'!$A:$A, 'Hospitalisation Details'!H:H, "No Data")</f>
        <v>tier - 2</v>
      </c>
    </row>
    <row r="1251">
      <c r="A1251" s="25" t="s">
        <v>3998</v>
      </c>
      <c r="B1251" s="28" t="str">
        <f t="array" ref="B1251">_xlfn.XLOOKUP($A1251, 'Customer Names'!$A:$A, 'Customer Names'!B:B, "No Data")</f>
        <v>Sinasac</v>
      </c>
      <c r="C1251" s="28">
        <f t="array" ref="C1251">_xlfn.XLOOKUP($A1251, 'Medical Examinations'!$A:$A, 'Medical Examinations'!B:B, "No Data")</f>
        <v>32.23</v>
      </c>
      <c r="D1251" s="28">
        <f t="array" ref="D1251">_xlfn.XLOOKUP($A1251, 'Medical Examinations'!$A:$A, 'Medical Examinations'!C:C, "No Data")</f>
        <v>8.59</v>
      </c>
      <c r="E1251" s="28" t="str">
        <f t="array" ref="E1251">_xlfn.XLOOKUP($A1251, 'Medical Examinations'!$A:$A, 'Medical Examinations'!D:D, "No Data")</f>
        <v>No</v>
      </c>
      <c r="F1251" s="28" t="str">
        <f t="array" ref="F1251">_xlfn.XLOOKUP($A1251, 'Medical Examinations'!$A:$A, 'Medical Examinations'!E:E, "No Data")</f>
        <v>No</v>
      </c>
      <c r="G1251" s="28" t="str">
        <f t="array" ref="G1251">_xlfn.XLOOKUP($A1251, 'Medical Examinations'!$A:$A, 'Medical Examinations'!F:F, "No Data")</f>
        <v>No</v>
      </c>
      <c r="H1251" s="28">
        <f t="array" ref="H1251">_xlfn.XLOOKUP($A1251, 'Medical Examinations'!$A:$A, 'Medical Examinations'!G:G, "No Data")</f>
        <v>0</v>
      </c>
      <c r="I1251" s="28" t="str">
        <f t="array" ref="I1251">_xlfn.XLOOKUP($A1251, 'Medical Examinations'!$A:$A, 'Medical Examinations'!H:H, "No Data")</f>
        <v>No</v>
      </c>
      <c r="J1251" s="28" t="str">
        <f t="array" ref="J1251">_xlfn.XLOOKUP($A1251, 'Medical Examinations'!$A:$A, 'Medical Examinations'!I:I, "No Data")</f>
        <v>Obesity</v>
      </c>
      <c r="K1251" s="28" t="str">
        <f t="array" ref="K1251">_xlfn.XLOOKUP($A1251, 'Hospitalisation Details'!$A:$A, 'Hospitalisation Details'!I:I, "No Data")</f>
        <v>tier - 3</v>
      </c>
      <c r="L1251" s="28" t="str">
        <f t="array" ref="L1251">_xlfn.XLOOKUP($A1251, 'Hospitalisation Details'!$A:$A, 'Hospitalisation Details'!J:J, "No Data")</f>
        <v>R1013</v>
      </c>
      <c r="M1251" s="28" t="str">
        <f t="array" ref="M1251">_xlfn.XLOOKUP($A1251, 'Hospitalisation Details'!$A:$A, 'Hospitalisation Details'!E:E, "No Data")</f>
        <v>18/06/74</v>
      </c>
      <c r="N1251" s="28">
        <f t="array" ref="N1251">_xlfn.XLOOKUP($A1251, 'Hospitalisation Details'!$A:$A, 'Hospitalisation Details'!K:K, "No Data")</f>
        <v>48</v>
      </c>
      <c r="O1251" s="33">
        <f t="array" ref="O1251">_xlfn.XLOOKUP($A1251, 'Hospitalisation Details'!$A:$A, 'Hospitalisation Details'!G:G, "No Data")</f>
        <v>8871.15</v>
      </c>
      <c r="P1251" s="28" t="str">
        <f t="array" ref="P1251">_xlfn.XLOOKUP($A1251, 'Hospitalisation Details'!$A:$A, 'Hospitalisation Details'!H:H, "No Data")</f>
        <v>tier - 2</v>
      </c>
    </row>
    <row r="1252">
      <c r="A1252" s="25" t="s">
        <v>4003</v>
      </c>
      <c r="B1252" s="28" t="str">
        <f t="array" ref="B1252">_xlfn.XLOOKUP($A1252, 'Customer Names'!$A:$A, 'Customer Names'!B:B, "No Data")</f>
        <v>Van De Kamp</v>
      </c>
      <c r="C1252" s="28">
        <f t="array" ref="C1252">_xlfn.XLOOKUP($A1252, 'Medical Examinations'!$A:$A, 'Medical Examinations'!B:B, "No Data")</f>
        <v>32.205</v>
      </c>
      <c r="D1252" s="28">
        <f t="array" ref="D1252">_xlfn.XLOOKUP($A1252, 'Medical Examinations'!$A:$A, 'Medical Examinations'!C:C, "No Data")</f>
        <v>6.14</v>
      </c>
      <c r="E1252" s="28" t="str">
        <f t="array" ref="E1252">_xlfn.XLOOKUP($A1252, 'Medical Examinations'!$A:$A, 'Medical Examinations'!D:D, "No Data")</f>
        <v>No</v>
      </c>
      <c r="F1252" s="28" t="str">
        <f t="array" ref="F1252">_xlfn.XLOOKUP($A1252, 'Medical Examinations'!$A:$A, 'Medical Examinations'!E:E, "No Data")</f>
        <v>No</v>
      </c>
      <c r="G1252" s="28" t="str">
        <f t="array" ref="G1252">_xlfn.XLOOKUP($A1252, 'Medical Examinations'!$A:$A, 'Medical Examinations'!F:F, "No Data")</f>
        <v>No</v>
      </c>
      <c r="H1252" s="28">
        <f t="array" ref="H1252">_xlfn.XLOOKUP($A1252, 'Medical Examinations'!$A:$A, 'Medical Examinations'!G:G, "No Data")</f>
        <v>2</v>
      </c>
      <c r="I1252" s="28" t="str">
        <f t="array" ref="I1252">_xlfn.XLOOKUP($A1252, 'Medical Examinations'!$A:$A, 'Medical Examinations'!H:H, "No Data")</f>
        <v>No</v>
      </c>
      <c r="J1252" s="28" t="str">
        <f t="array" ref="J1252">_xlfn.XLOOKUP($A1252, 'Medical Examinations'!$A:$A, 'Medical Examinations'!I:I, "No Data")</f>
        <v>Obesity</v>
      </c>
      <c r="K1252" s="28" t="str">
        <f t="array" ref="K1252">_xlfn.XLOOKUP($A1252, 'Hospitalisation Details'!$A:$A, 'Hospitalisation Details'!I:I, "No Data")</f>
        <v>tier - 2</v>
      </c>
      <c r="L1252" s="28" t="str">
        <f t="array" ref="L1252">_xlfn.XLOOKUP($A1252, 'Hospitalisation Details'!$A:$A, 'Hospitalisation Details'!J:J, "No Data")</f>
        <v>R1012</v>
      </c>
      <c r="M1252" s="28" t="str">
        <f t="array" ref="M1252">_xlfn.XLOOKUP($A1252, 'Hospitalisation Details'!$A:$A, 'Hospitalisation Details'!E:E, "No Data")</f>
        <v>22/11/72</v>
      </c>
      <c r="N1252" s="28">
        <f t="array" ref="N1252">_xlfn.XLOOKUP($A1252, 'Hospitalisation Details'!$A:$A, 'Hospitalisation Details'!K:K, "No Data")</f>
        <v>50</v>
      </c>
      <c r="O1252" s="33">
        <f t="array" ref="O1252">_xlfn.XLOOKUP($A1252, 'Hospitalisation Details'!$A:$A, 'Hospitalisation Details'!G:G, "No Data")</f>
        <v>8835.26</v>
      </c>
      <c r="P1252" s="28" t="str">
        <f t="array" ref="P1252">_xlfn.XLOOKUP($A1252, 'Hospitalisation Details'!$A:$A, 'Hospitalisation Details'!H:H, "No Data")</f>
        <v>tier - 3</v>
      </c>
    </row>
    <row r="1253">
      <c r="A1253" s="25" t="s">
        <v>4007</v>
      </c>
      <c r="B1253" s="28" t="str">
        <f t="array" ref="B1253">_xlfn.XLOOKUP($A1253, 'Customer Names'!$A:$A, 'Customer Names'!B:B, "No Data")</f>
        <v>Ruffo</v>
      </c>
      <c r="C1253" s="28">
        <f t="array" ref="C1253">_xlfn.XLOOKUP($A1253, 'Medical Examinations'!$A:$A, 'Medical Examinations'!B:B, "No Data")</f>
        <v>26.41</v>
      </c>
      <c r="D1253" s="28">
        <f t="array" ref="D1253">_xlfn.XLOOKUP($A1253, 'Medical Examinations'!$A:$A, 'Medical Examinations'!C:C, "No Data")</f>
        <v>4.08</v>
      </c>
      <c r="E1253" s="28" t="str">
        <f t="array" ref="E1253">_xlfn.XLOOKUP($A1253, 'Medical Examinations'!$A:$A, 'Medical Examinations'!D:D, "No Data")</f>
        <v>No</v>
      </c>
      <c r="F1253" s="28" t="str">
        <f t="array" ref="F1253">_xlfn.XLOOKUP($A1253, 'Medical Examinations'!$A:$A, 'Medical Examinations'!E:E, "No Data")</f>
        <v>No</v>
      </c>
      <c r="G1253" s="28" t="str">
        <f t="array" ref="G1253">_xlfn.XLOOKUP($A1253, 'Medical Examinations'!$A:$A, 'Medical Examinations'!F:F, "No Data")</f>
        <v>No</v>
      </c>
      <c r="H1253" s="28">
        <f t="array" ref="H1253">_xlfn.XLOOKUP($A1253, 'Medical Examinations'!$A:$A, 'Medical Examinations'!G:G, "No Data")</f>
        <v>2</v>
      </c>
      <c r="I1253" s="28" t="str">
        <f t="array" ref="I1253">_xlfn.XLOOKUP($A1253, 'Medical Examinations'!$A:$A, 'Medical Examinations'!H:H, "No Data")</f>
        <v>No</v>
      </c>
      <c r="J1253" s="28" t="str">
        <f t="array" ref="J1253">_xlfn.XLOOKUP($A1253, 'Medical Examinations'!$A:$A, 'Medical Examinations'!I:I, "No Data")</f>
        <v>Overweight</v>
      </c>
      <c r="K1253" s="28" t="str">
        <f t="array" ref="K1253">_xlfn.XLOOKUP($A1253, 'Hospitalisation Details'!$A:$A, 'Hospitalisation Details'!I:I, "No Data")</f>
        <v>tier - 1</v>
      </c>
      <c r="L1253" s="28" t="str">
        <f t="array" ref="L1253">_xlfn.XLOOKUP($A1253, 'Hospitalisation Details'!$A:$A, 'Hospitalisation Details'!J:J, "No Data")</f>
        <v>R1012</v>
      </c>
      <c r="M1253" s="28" t="str">
        <f t="array" ref="M1253">_xlfn.XLOOKUP($A1253, 'Hospitalisation Details'!$A:$A, 'Hospitalisation Details'!E:E, "No Data")</f>
        <v>14/11/72</v>
      </c>
      <c r="N1253" s="28">
        <f t="array" ref="N1253">_xlfn.XLOOKUP($A1253, 'Hospitalisation Details'!$A:$A, 'Hospitalisation Details'!K:K, "No Data")</f>
        <v>50</v>
      </c>
      <c r="O1253" s="33">
        <f t="array" ref="O1253">_xlfn.XLOOKUP($A1253, 'Hospitalisation Details'!$A:$A, 'Hospitalisation Details'!G:G, "No Data")</f>
        <v>8827.21</v>
      </c>
      <c r="P1253" s="28" t="str">
        <f t="array" ref="P1253">_xlfn.XLOOKUP($A1253, 'Hospitalisation Details'!$A:$A, 'Hospitalisation Details'!H:H, "No Data")</f>
        <v>tier - 3</v>
      </c>
    </row>
    <row r="1254">
      <c r="A1254" s="25" t="s">
        <v>4009</v>
      </c>
      <c r="B1254" s="28" t="str">
        <f t="array" ref="B1254">_xlfn.XLOOKUP($A1254, 'Customer Names'!$A:$A, 'Customer Names'!B:B, "No Data")</f>
        <v>Long</v>
      </c>
      <c r="C1254" s="28">
        <f t="array" ref="C1254">_xlfn.XLOOKUP($A1254, 'Medical Examinations'!$A:$A, 'Medical Examinations'!B:B, "No Data")</f>
        <v>30.2</v>
      </c>
      <c r="D1254" s="28">
        <f t="array" ref="D1254">_xlfn.XLOOKUP($A1254, 'Medical Examinations'!$A:$A, 'Medical Examinations'!C:C, "No Data")</f>
        <v>6.25</v>
      </c>
      <c r="E1254" s="28" t="str">
        <f t="array" ref="E1254">_xlfn.XLOOKUP($A1254, 'Medical Examinations'!$A:$A, 'Medical Examinations'!D:D, "No Data")</f>
        <v>yes</v>
      </c>
      <c r="F1254" s="28" t="str">
        <f t="array" ref="F1254">_xlfn.XLOOKUP($A1254, 'Medical Examinations'!$A:$A, 'Medical Examinations'!E:E, "No Data")</f>
        <v>No</v>
      </c>
      <c r="G1254" s="28" t="str">
        <f t="array" ref="G1254">_xlfn.XLOOKUP($A1254, 'Medical Examinations'!$A:$A, 'Medical Examinations'!F:F, "No Data")</f>
        <v>No</v>
      </c>
      <c r="H1254" s="28">
        <f t="array" ref="H1254">_xlfn.XLOOKUP($A1254, 'Medical Examinations'!$A:$A, 'Medical Examinations'!G:G, "No Data")</f>
        <v>0</v>
      </c>
      <c r="I1254" s="28" t="str">
        <f t="array" ref="I1254">_xlfn.XLOOKUP($A1254, 'Medical Examinations'!$A:$A, 'Medical Examinations'!H:H, "No Data")</f>
        <v>No</v>
      </c>
      <c r="J1254" s="28" t="str">
        <f t="array" ref="J1254">_xlfn.XLOOKUP($A1254, 'Medical Examinations'!$A:$A, 'Medical Examinations'!I:I, "No Data")</f>
        <v>Obesity</v>
      </c>
      <c r="K1254" s="28" t="str">
        <f t="array" ref="K1254">_xlfn.XLOOKUP($A1254, 'Hospitalisation Details'!$A:$A, 'Hospitalisation Details'!I:I, "No Data")</f>
        <v>tier - 3</v>
      </c>
      <c r="L1254" s="28" t="str">
        <f t="array" ref="L1254">_xlfn.XLOOKUP($A1254, 'Hospitalisation Details'!$A:$A, 'Hospitalisation Details'!J:J, "No Data")</f>
        <v>R1011</v>
      </c>
      <c r="M1254" s="28" t="str">
        <f t="array" ref="M1254">_xlfn.XLOOKUP($A1254, 'Hospitalisation Details'!$A:$A, 'Hospitalisation Details'!E:E, "No Data")</f>
        <v>14/07/76</v>
      </c>
      <c r="N1254" s="28">
        <f t="array" ref="N1254">_xlfn.XLOOKUP($A1254, 'Hospitalisation Details'!$A:$A, 'Hospitalisation Details'!K:K, "No Data")</f>
        <v>46</v>
      </c>
      <c r="O1254" s="33">
        <f t="array" ref="O1254">_xlfn.XLOOKUP($A1254, 'Hospitalisation Details'!$A:$A, 'Hospitalisation Details'!G:G, "No Data")</f>
        <v>8825.09</v>
      </c>
      <c r="P1254" s="28" t="str">
        <f t="array" ref="P1254">_xlfn.XLOOKUP($A1254, 'Hospitalisation Details'!$A:$A, 'Hospitalisation Details'!H:H, "No Data")</f>
        <v>tier - 2</v>
      </c>
    </row>
    <row r="1255">
      <c r="A1255" s="25" t="s">
        <v>4013</v>
      </c>
      <c r="B1255" s="28" t="str">
        <f t="array" ref="B1255">_xlfn.XLOOKUP($A1255, 'Customer Names'!$A:$A, 'Customer Names'!B:B, "No Data")</f>
        <v>Rohde</v>
      </c>
      <c r="C1255" s="28">
        <f t="array" ref="C1255">_xlfn.XLOOKUP($A1255, 'Medical Examinations'!$A:$A, 'Medical Examinations'!B:B, "No Data")</f>
        <v>31.26</v>
      </c>
      <c r="D1255" s="28">
        <f t="array" ref="D1255">_xlfn.XLOOKUP($A1255, 'Medical Examinations'!$A:$A, 'Medical Examinations'!C:C, "No Data")</f>
        <v>5.94</v>
      </c>
      <c r="E1255" s="28" t="str">
        <f t="array" ref="E1255">_xlfn.XLOOKUP($A1255, 'Medical Examinations'!$A:$A, 'Medical Examinations'!D:D, "No Data")</f>
        <v>yes</v>
      </c>
      <c r="F1255" s="28" t="str">
        <f t="array" ref="F1255">_xlfn.XLOOKUP($A1255, 'Medical Examinations'!$A:$A, 'Medical Examinations'!E:E, "No Data")</f>
        <v>No</v>
      </c>
      <c r="G1255" s="28" t="str">
        <f t="array" ref="G1255">_xlfn.XLOOKUP($A1255, 'Medical Examinations'!$A:$A, 'Medical Examinations'!F:F, "No Data")</f>
        <v>No</v>
      </c>
      <c r="H1255" s="28">
        <f t="array" ref="H1255">_xlfn.XLOOKUP($A1255, 'Medical Examinations'!$A:$A, 'Medical Examinations'!G:G, "No Data")</f>
        <v>1</v>
      </c>
      <c r="I1255" s="28" t="str">
        <f t="array" ref="I1255">_xlfn.XLOOKUP($A1255, 'Medical Examinations'!$A:$A, 'Medical Examinations'!H:H, "No Data")</f>
        <v>No</v>
      </c>
      <c r="J1255" s="28" t="str">
        <f t="array" ref="J1255">_xlfn.XLOOKUP($A1255, 'Medical Examinations'!$A:$A, 'Medical Examinations'!I:I, "No Data")</f>
        <v>Obesity</v>
      </c>
      <c r="K1255" s="28" t="str">
        <f t="array" ref="K1255">_xlfn.XLOOKUP($A1255, 'Hospitalisation Details'!$A:$A, 'Hospitalisation Details'!I:I, "No Data")</f>
        <v>tier - 1</v>
      </c>
      <c r="L1255" s="28" t="str">
        <f t="array" ref="L1255">_xlfn.XLOOKUP($A1255, 'Hospitalisation Details'!$A:$A, 'Hospitalisation Details'!J:J, "No Data")</f>
        <v>R1025</v>
      </c>
      <c r="M1255" s="28" t="str">
        <f t="array" ref="M1255">_xlfn.XLOOKUP($A1255, 'Hospitalisation Details'!$A:$A, 'Hospitalisation Details'!E:E, "No Data")</f>
        <v>22/08/88</v>
      </c>
      <c r="N1255" s="28">
        <f t="array" ref="N1255">_xlfn.XLOOKUP($A1255, 'Hospitalisation Details'!$A:$A, 'Hospitalisation Details'!K:K, "No Data")</f>
        <v>34</v>
      </c>
      <c r="O1255" s="33">
        <f t="array" ref="O1255">_xlfn.XLOOKUP($A1255, 'Hospitalisation Details'!$A:$A, 'Hospitalisation Details'!G:G, "No Data")</f>
        <v>8824.27</v>
      </c>
      <c r="P1255" s="28" t="str">
        <f t="array" ref="P1255">_xlfn.XLOOKUP($A1255, 'Hospitalisation Details'!$A:$A, 'Hospitalisation Details'!H:H, "No Data")</f>
        <v>tier - 2</v>
      </c>
    </row>
    <row r="1256">
      <c r="A1256" s="25" t="s">
        <v>4016</v>
      </c>
      <c r="B1256" s="28" t="str">
        <f t="array" ref="B1256">_xlfn.XLOOKUP($A1256, 'Customer Names'!$A:$A, 'Customer Names'!B:B, "No Data")</f>
        <v>Bonzi</v>
      </c>
      <c r="C1256" s="28">
        <f t="array" ref="C1256">_xlfn.XLOOKUP($A1256, 'Medical Examinations'!$A:$A, 'Medical Examinations'!B:B, "No Data")</f>
        <v>33.725</v>
      </c>
      <c r="D1256" s="28">
        <f t="array" ref="D1256">_xlfn.XLOOKUP($A1256, 'Medical Examinations'!$A:$A, 'Medical Examinations'!C:C, "No Data")</f>
        <v>6.45</v>
      </c>
      <c r="E1256" s="28" t="str">
        <f t="array" ref="E1256">_xlfn.XLOOKUP($A1256, 'Medical Examinations'!$A:$A, 'Medical Examinations'!D:D, "No Data")</f>
        <v>yes</v>
      </c>
      <c r="F1256" s="28" t="str">
        <f t="array" ref="F1256">_xlfn.XLOOKUP($A1256, 'Medical Examinations'!$A:$A, 'Medical Examinations'!E:E, "No Data")</f>
        <v>No</v>
      </c>
      <c r="G1256" s="28" t="str">
        <f t="array" ref="G1256">_xlfn.XLOOKUP($A1256, 'Medical Examinations'!$A:$A, 'Medical Examinations'!F:F, "No Data")</f>
        <v>No</v>
      </c>
      <c r="H1256" s="28">
        <f t="array" ref="H1256">_xlfn.XLOOKUP($A1256, 'Medical Examinations'!$A:$A, 'Medical Examinations'!G:G, "No Data")</f>
        <v>0</v>
      </c>
      <c r="I1256" s="28" t="str">
        <f t="array" ref="I1256">_xlfn.XLOOKUP($A1256, 'Medical Examinations'!$A:$A, 'Medical Examinations'!H:H, "No Data")</f>
        <v>No</v>
      </c>
      <c r="J1256" s="28" t="str">
        <f t="array" ref="J1256">_xlfn.XLOOKUP($A1256, 'Medical Examinations'!$A:$A, 'Medical Examinations'!I:I, "No Data")</f>
        <v>Obesity</v>
      </c>
      <c r="K1256" s="28" t="str">
        <f t="array" ref="K1256">_xlfn.XLOOKUP($A1256, 'Hospitalisation Details'!$A:$A, 'Hospitalisation Details'!I:I, "No Data")</f>
        <v>tier - 3</v>
      </c>
      <c r="L1256" s="28" t="str">
        <f t="array" ref="L1256">_xlfn.XLOOKUP($A1256, 'Hospitalisation Details'!$A:$A, 'Hospitalisation Details'!J:J, "No Data")</f>
        <v>R1024</v>
      </c>
      <c r="M1256" s="28" t="str">
        <f t="array" ref="M1256">_xlfn.XLOOKUP($A1256, 'Hospitalisation Details'!$A:$A, 'Hospitalisation Details'!E:E, "No Data")</f>
        <v>19/10/76</v>
      </c>
      <c r="N1256" s="28">
        <f t="array" ref="N1256">_xlfn.XLOOKUP($A1256, 'Hospitalisation Details'!$A:$A, 'Hospitalisation Details'!K:K, "No Data")</f>
        <v>46</v>
      </c>
      <c r="O1256" s="33">
        <f t="array" ref="O1256">_xlfn.XLOOKUP($A1256, 'Hospitalisation Details'!$A:$A, 'Hospitalisation Details'!G:G, "No Data")</f>
        <v>8823.99</v>
      </c>
      <c r="P1256" s="28" t="str">
        <f t="array" ref="P1256">_xlfn.XLOOKUP($A1256, 'Hospitalisation Details'!$A:$A, 'Hospitalisation Details'!H:H, "No Data")</f>
        <v>tier - 2</v>
      </c>
    </row>
    <row r="1257">
      <c r="A1257" s="25" t="s">
        <v>4019</v>
      </c>
      <c r="B1257" s="28" t="str">
        <f t="array" ref="B1257">_xlfn.XLOOKUP($A1257, 'Customer Names'!$A:$A, 'Customer Names'!B:B, "No Data")</f>
        <v>Moore</v>
      </c>
      <c r="C1257" s="28">
        <f t="array" ref="C1257">_xlfn.XLOOKUP($A1257, 'Medical Examinations'!$A:$A, 'Medical Examinations'!B:B, "No Data")</f>
        <v>28.9</v>
      </c>
      <c r="D1257" s="28">
        <f t="array" ref="D1257">_xlfn.XLOOKUP($A1257, 'Medical Examinations'!$A:$A, 'Medical Examinations'!C:C, "No Data")</f>
        <v>5.74</v>
      </c>
      <c r="E1257" s="28" t="str">
        <f t="array" ref="E1257">_xlfn.XLOOKUP($A1257, 'Medical Examinations'!$A:$A, 'Medical Examinations'!D:D, "No Data")</f>
        <v>yes</v>
      </c>
      <c r="F1257" s="28" t="str">
        <f t="array" ref="F1257">_xlfn.XLOOKUP($A1257, 'Medical Examinations'!$A:$A, 'Medical Examinations'!E:E, "No Data")</f>
        <v>No</v>
      </c>
      <c r="G1257" s="28" t="str">
        <f t="array" ref="G1257">_xlfn.XLOOKUP($A1257, 'Medical Examinations'!$A:$A, 'Medical Examinations'!F:F, "No Data")</f>
        <v>No</v>
      </c>
      <c r="H1257" s="28">
        <f t="array" ref="H1257">_xlfn.XLOOKUP($A1257, 'Medical Examinations'!$A:$A, 'Medical Examinations'!G:G, "No Data")</f>
        <v>0</v>
      </c>
      <c r="I1257" s="28" t="str">
        <f t="array" ref="I1257">_xlfn.XLOOKUP($A1257, 'Medical Examinations'!$A:$A, 'Medical Examinations'!H:H, "No Data")</f>
        <v>No</v>
      </c>
      <c r="J1257" s="28" t="str">
        <f t="array" ref="J1257">_xlfn.XLOOKUP($A1257, 'Medical Examinations'!$A:$A, 'Medical Examinations'!I:I, "No Data")</f>
        <v>Overweight</v>
      </c>
      <c r="K1257" s="28" t="str">
        <f t="array" ref="K1257">_xlfn.XLOOKUP($A1257, 'Hospitalisation Details'!$A:$A, 'Hospitalisation Details'!I:I, "No Data")</f>
        <v>tier - 1</v>
      </c>
      <c r="L1257" s="28" t="str">
        <f t="array" ref="L1257">_xlfn.XLOOKUP($A1257, 'Hospitalisation Details'!$A:$A, 'Hospitalisation Details'!J:J, "No Data")</f>
        <v>R1011</v>
      </c>
      <c r="M1257" s="28" t="str">
        <f t="array" ref="M1257">_xlfn.XLOOKUP($A1257, 'Hospitalisation Details'!$A:$A, 'Hospitalisation Details'!E:E, "No Data")</f>
        <v>14/06/76</v>
      </c>
      <c r="N1257" s="28">
        <f t="array" ref="N1257">_xlfn.XLOOKUP($A1257, 'Hospitalisation Details'!$A:$A, 'Hospitalisation Details'!K:K, "No Data")</f>
        <v>46</v>
      </c>
      <c r="O1257" s="33">
        <f t="array" ref="O1257">_xlfn.XLOOKUP($A1257, 'Hospitalisation Details'!$A:$A, 'Hospitalisation Details'!G:G, "No Data")</f>
        <v>8823.28</v>
      </c>
      <c r="P1257" s="28" t="str">
        <f t="array" ref="P1257">_xlfn.XLOOKUP($A1257, 'Hospitalisation Details'!$A:$A, 'Hospitalisation Details'!H:H, "No Data")</f>
        <v>tier - 2</v>
      </c>
    </row>
    <row r="1258">
      <c r="A1258" s="25" t="s">
        <v>4022</v>
      </c>
      <c r="B1258" s="28" t="str">
        <f t="array" ref="B1258">_xlfn.XLOOKUP($A1258, 'Customer Names'!$A:$A, 'Customer Names'!B:B, "No Data")</f>
        <v>McGrane</v>
      </c>
      <c r="C1258" s="28">
        <f t="array" ref="C1258">_xlfn.XLOOKUP($A1258, 'Medical Examinations'!$A:$A, 'Medical Examinations'!B:B, "No Data")</f>
        <v>45.69</v>
      </c>
      <c r="D1258" s="28">
        <f t="array" ref="D1258">_xlfn.XLOOKUP($A1258, 'Medical Examinations'!$A:$A, 'Medical Examinations'!C:C, "No Data")</f>
        <v>4.43</v>
      </c>
      <c r="E1258" s="28" t="str">
        <f t="array" ref="E1258">_xlfn.XLOOKUP($A1258, 'Medical Examinations'!$A:$A, 'Medical Examinations'!D:D, "No Data")</f>
        <v>yes</v>
      </c>
      <c r="F1258" s="28" t="str">
        <f t="array" ref="F1258">_xlfn.XLOOKUP($A1258, 'Medical Examinations'!$A:$A, 'Medical Examinations'!E:E, "No Data")</f>
        <v>No</v>
      </c>
      <c r="G1258" s="28" t="str">
        <f t="array" ref="G1258">_xlfn.XLOOKUP($A1258, 'Medical Examinations'!$A:$A, 'Medical Examinations'!F:F, "No Data")</f>
        <v>No</v>
      </c>
      <c r="H1258" s="28">
        <f t="array" ref="H1258">_xlfn.XLOOKUP($A1258, 'Medical Examinations'!$A:$A, 'Medical Examinations'!G:G, "No Data")</f>
        <v>0</v>
      </c>
      <c r="I1258" s="28" t="str">
        <f t="array" ref="I1258">_xlfn.XLOOKUP($A1258, 'Medical Examinations'!$A:$A, 'Medical Examinations'!H:H, "No Data")</f>
        <v>No</v>
      </c>
      <c r="J1258" s="28" t="str">
        <f t="array" ref="J1258">_xlfn.XLOOKUP($A1258, 'Medical Examinations'!$A:$A, 'Medical Examinations'!I:I, "No Data")</f>
        <v>Obesity</v>
      </c>
      <c r="K1258" s="28" t="str">
        <f t="array" ref="K1258">_xlfn.XLOOKUP($A1258, 'Hospitalisation Details'!$A:$A, 'Hospitalisation Details'!I:I, "No Data")</f>
        <v>tier - 3</v>
      </c>
      <c r="L1258" s="28" t="str">
        <f t="array" ref="L1258">_xlfn.XLOOKUP($A1258, 'Hospitalisation Details'!$A:$A, 'Hospitalisation Details'!J:J, "No Data")</f>
        <v>R1023</v>
      </c>
      <c r="M1258" s="28" t="str">
        <f t="array" ref="M1258">_xlfn.XLOOKUP($A1258, 'Hospitalisation Details'!$A:$A, 'Hospitalisation Details'!E:E, "No Data")</f>
        <v>07/11/01</v>
      </c>
      <c r="N1258" s="28">
        <f t="array" ref="N1258">_xlfn.XLOOKUP($A1258, 'Hospitalisation Details'!$A:$A, 'Hospitalisation Details'!K:K, "No Data")</f>
        <v>21</v>
      </c>
      <c r="O1258" s="33">
        <f t="array" ref="O1258">_xlfn.XLOOKUP($A1258, 'Hospitalisation Details'!$A:$A, 'Hospitalisation Details'!G:G, "No Data")</f>
        <v>8821.88</v>
      </c>
      <c r="P1258" s="28" t="str">
        <f t="array" ref="P1258">_xlfn.XLOOKUP($A1258, 'Hospitalisation Details'!$A:$A, 'Hospitalisation Details'!H:H, "No Data")</f>
        <v>tier - 2</v>
      </c>
    </row>
    <row r="1259">
      <c r="A1259" s="25" t="s">
        <v>4025</v>
      </c>
      <c r="B1259" s="28" t="str">
        <f t="array" ref="B1259">_xlfn.XLOOKUP($A1259, 'Customer Names'!$A:$A, 'Customer Names'!B:B, "No Data")</f>
        <v>Stepnowski</v>
      </c>
      <c r="C1259" s="28">
        <f t="array" ref="C1259">_xlfn.XLOOKUP($A1259, 'Medical Examinations'!$A:$A, 'Medical Examinations'!B:B, "No Data")</f>
        <v>21.03</v>
      </c>
      <c r="D1259" s="28">
        <f t="array" ref="D1259">_xlfn.XLOOKUP($A1259, 'Medical Examinations'!$A:$A, 'Medical Examinations'!C:C, "No Data")</f>
        <v>6.5</v>
      </c>
      <c r="E1259" s="28" t="str">
        <f t="array" ref="E1259">_xlfn.XLOOKUP($A1259, 'Medical Examinations'!$A:$A, 'Medical Examinations'!D:D, "No Data")</f>
        <v>No</v>
      </c>
      <c r="F1259" s="28" t="str">
        <f t="array" ref="F1259">_xlfn.XLOOKUP($A1259, 'Medical Examinations'!$A:$A, 'Medical Examinations'!E:E, "No Data")</f>
        <v>No</v>
      </c>
      <c r="G1259" s="28" t="str">
        <f t="array" ref="G1259">_xlfn.XLOOKUP($A1259, 'Medical Examinations'!$A:$A, 'Medical Examinations'!F:F, "No Data")</f>
        <v>No</v>
      </c>
      <c r="H1259" s="28">
        <f t="array" ref="H1259">_xlfn.XLOOKUP($A1259, 'Medical Examinations'!$A:$A, 'Medical Examinations'!G:G, "No Data")</f>
        <v>0</v>
      </c>
      <c r="I1259" s="28" t="str">
        <f t="array" ref="I1259">_xlfn.XLOOKUP($A1259, 'Medical Examinations'!$A:$A, 'Medical Examinations'!H:H, "No Data")</f>
        <v>No</v>
      </c>
      <c r="J1259" s="28" t="str">
        <f t="array" ref="J1259">_xlfn.XLOOKUP($A1259, 'Medical Examinations'!$A:$A, 'Medical Examinations'!I:I, "No Data")</f>
        <v>Normal Weight</v>
      </c>
      <c r="K1259" s="28" t="str">
        <f t="array" ref="K1259">_xlfn.XLOOKUP($A1259, 'Hospitalisation Details'!$A:$A, 'Hospitalisation Details'!I:I, "No Data")</f>
        <v>tier - 2</v>
      </c>
      <c r="L1259" s="28" t="str">
        <f t="array" ref="L1259">_xlfn.XLOOKUP($A1259, 'Hospitalisation Details'!$A:$A, 'Hospitalisation Details'!J:J, "No Data")</f>
        <v>R1013</v>
      </c>
      <c r="M1259" s="28" t="str">
        <f t="array" ref="M1259">_xlfn.XLOOKUP($A1259, 'Hospitalisation Details'!$A:$A, 'Hospitalisation Details'!E:E, "No Data")</f>
        <v>29/08/65</v>
      </c>
      <c r="N1259" s="28">
        <f t="array" ref="N1259">_xlfn.XLOOKUP($A1259, 'Hospitalisation Details'!$A:$A, 'Hospitalisation Details'!K:K, "No Data")</f>
        <v>57</v>
      </c>
      <c r="O1259" s="33">
        <f t="array" ref="O1259">_xlfn.XLOOKUP($A1259, 'Hospitalisation Details'!$A:$A, 'Hospitalisation Details'!G:G, "No Data")</f>
        <v>8800.49</v>
      </c>
      <c r="P1259" s="28" t="str">
        <f t="array" ref="P1259">_xlfn.XLOOKUP($A1259, 'Hospitalisation Details'!$A:$A, 'Hospitalisation Details'!H:H, "No Data")</f>
        <v>tier - 3</v>
      </c>
    </row>
    <row r="1260">
      <c r="A1260" s="25" t="s">
        <v>4028</v>
      </c>
      <c r="B1260" s="28" t="str">
        <f t="array" ref="B1260">_xlfn.XLOOKUP($A1260, 'Customer Names'!$A:$A, 'Customer Names'!B:B, "No Data")</f>
        <v>Merkle</v>
      </c>
      <c r="C1260" s="28">
        <f t="array" ref="C1260">_xlfn.XLOOKUP($A1260, 'Medical Examinations'!$A:$A, 'Medical Examinations'!B:B, "No Data")</f>
        <v>37</v>
      </c>
      <c r="D1260" s="28">
        <f t="array" ref="D1260">_xlfn.XLOOKUP($A1260, 'Medical Examinations'!$A:$A, 'Medical Examinations'!C:C, "No Data")</f>
        <v>8.75</v>
      </c>
      <c r="E1260" s="28" t="str">
        <f t="array" ref="E1260">_xlfn.XLOOKUP($A1260, 'Medical Examinations'!$A:$A, 'Medical Examinations'!D:D, "No Data")</f>
        <v>No</v>
      </c>
      <c r="F1260" s="28" t="str">
        <f t="array" ref="F1260">_xlfn.XLOOKUP($A1260, 'Medical Examinations'!$A:$A, 'Medical Examinations'!E:E, "No Data")</f>
        <v>No</v>
      </c>
      <c r="G1260" s="28" t="str">
        <f t="array" ref="G1260">_xlfn.XLOOKUP($A1260, 'Medical Examinations'!$A:$A, 'Medical Examinations'!F:F, "No Data")</f>
        <v>No</v>
      </c>
      <c r="H1260" s="28">
        <f t="array" ref="H1260">_xlfn.XLOOKUP($A1260, 'Medical Examinations'!$A:$A, 'Medical Examinations'!G:G, "No Data")</f>
        <v>0</v>
      </c>
      <c r="I1260" s="28" t="str">
        <f t="array" ref="I1260">_xlfn.XLOOKUP($A1260, 'Medical Examinations'!$A:$A, 'Medical Examinations'!H:H, "No Data")</f>
        <v>No</v>
      </c>
      <c r="J1260" s="28" t="str">
        <f t="array" ref="J1260">_xlfn.XLOOKUP($A1260, 'Medical Examinations'!$A:$A, 'Medical Examinations'!I:I, "No Data")</f>
        <v>Obesity</v>
      </c>
      <c r="K1260" s="28" t="str">
        <f t="array" ref="K1260">_xlfn.XLOOKUP($A1260, 'Hospitalisation Details'!$A:$A, 'Hospitalisation Details'!I:I, "No Data")</f>
        <v>tier - 1</v>
      </c>
      <c r="L1260" s="28" t="str">
        <f t="array" ref="L1260">_xlfn.XLOOKUP($A1260, 'Hospitalisation Details'!$A:$A, 'Hospitalisation Details'!J:J, "No Data")</f>
        <v>R1011</v>
      </c>
      <c r="M1260" s="28" t="str">
        <f t="array" ref="M1260">_xlfn.XLOOKUP($A1260, 'Hospitalisation Details'!$A:$A, 'Hospitalisation Details'!E:E, "No Data")</f>
        <v>18/06/71</v>
      </c>
      <c r="N1260" s="28">
        <f t="array" ref="N1260">_xlfn.XLOOKUP($A1260, 'Hospitalisation Details'!$A:$A, 'Hospitalisation Details'!K:K, "No Data")</f>
        <v>51</v>
      </c>
      <c r="O1260" s="33">
        <f t="array" ref="O1260">_xlfn.XLOOKUP($A1260, 'Hospitalisation Details'!$A:$A, 'Hospitalisation Details'!G:G, "No Data")</f>
        <v>8798.59</v>
      </c>
      <c r="P1260" s="28" t="str">
        <f t="array" ref="P1260">_xlfn.XLOOKUP($A1260, 'Hospitalisation Details'!$A:$A, 'Hospitalisation Details'!H:H, "No Data")</f>
        <v>tier - 2</v>
      </c>
    </row>
    <row r="1261">
      <c r="A1261" s="25" t="s">
        <v>4032</v>
      </c>
      <c r="B1261" s="28" t="str">
        <f t="array" ref="B1261">_xlfn.XLOOKUP($A1261, 'Customer Names'!$A:$A, 'Customer Names'!B:B, "No Data")</f>
        <v>Schaefer</v>
      </c>
      <c r="C1261" s="28">
        <f t="array" ref="C1261">_xlfn.XLOOKUP($A1261, 'Medical Examinations'!$A:$A, 'Medical Examinations'!B:B, "No Data")</f>
        <v>25.4</v>
      </c>
      <c r="D1261" s="28">
        <f t="array" ref="D1261">_xlfn.XLOOKUP($A1261, 'Medical Examinations'!$A:$A, 'Medical Examinations'!C:C, "No Data")</f>
        <v>11.96</v>
      </c>
      <c r="E1261" s="28" t="str">
        <f t="array" ref="E1261">_xlfn.XLOOKUP($A1261, 'Medical Examinations'!$A:$A, 'Medical Examinations'!D:D, "No Data")</f>
        <v>No</v>
      </c>
      <c r="F1261" s="28" t="str">
        <f t="array" ref="F1261">_xlfn.XLOOKUP($A1261, 'Medical Examinations'!$A:$A, 'Medical Examinations'!E:E, "No Data")</f>
        <v>No</v>
      </c>
      <c r="G1261" s="28" t="str">
        <f t="array" ref="G1261">_xlfn.XLOOKUP($A1261, 'Medical Examinations'!$A:$A, 'Medical Examinations'!F:F, "No Data")</f>
        <v>No</v>
      </c>
      <c r="H1261" s="28">
        <f t="array" ref="H1261">_xlfn.XLOOKUP($A1261, 'Medical Examinations'!$A:$A, 'Medical Examinations'!G:G, "No Data")</f>
        <v>0</v>
      </c>
      <c r="I1261" s="28" t="str">
        <f t="array" ref="I1261">_xlfn.XLOOKUP($A1261, 'Medical Examinations'!$A:$A, 'Medical Examinations'!H:H, "No Data")</f>
        <v>No</v>
      </c>
      <c r="J1261" s="28" t="str">
        <f t="array" ref="J1261">_xlfn.XLOOKUP($A1261, 'Medical Examinations'!$A:$A, 'Medical Examinations'!I:I, "No Data")</f>
        <v>Overweight</v>
      </c>
      <c r="K1261" s="28" t="str">
        <f t="array" ref="K1261">_xlfn.XLOOKUP($A1261, 'Hospitalisation Details'!$A:$A, 'Hospitalisation Details'!I:I, "No Data")</f>
        <v>tier - 3</v>
      </c>
      <c r="L1261" s="28" t="str">
        <f t="array" ref="L1261">_xlfn.XLOOKUP($A1261, 'Hospitalisation Details'!$A:$A, 'Hospitalisation Details'!J:J, "No Data")</f>
        <v>R1011</v>
      </c>
      <c r="M1261" s="28" t="str">
        <f t="array" ref="M1261">_xlfn.XLOOKUP($A1261, 'Hospitalisation Details'!$A:$A, 'Hospitalisation Details'!E:E, "No Data")</f>
        <v>23/08/71</v>
      </c>
      <c r="N1261" s="28">
        <f t="array" ref="N1261">_xlfn.XLOOKUP($A1261, 'Hospitalisation Details'!$A:$A, 'Hospitalisation Details'!K:K, "No Data")</f>
        <v>51</v>
      </c>
      <c r="O1261" s="33">
        <f t="array" ref="O1261">_xlfn.XLOOKUP($A1261, 'Hospitalisation Details'!$A:$A, 'Hospitalisation Details'!G:G, "No Data")</f>
        <v>8782.47</v>
      </c>
      <c r="P1261" s="28" t="str">
        <f t="array" ref="P1261">_xlfn.XLOOKUP($A1261, 'Hospitalisation Details'!$A:$A, 'Hospitalisation Details'!H:H, "No Data")</f>
        <v>tier - 2</v>
      </c>
    </row>
    <row r="1262">
      <c r="A1262" s="25" t="s">
        <v>4035</v>
      </c>
      <c r="B1262" s="28" t="str">
        <f t="array" ref="B1262">_xlfn.XLOOKUP($A1262, 'Customer Names'!$A:$A, 'Customer Names'!B:B, "No Data")</f>
        <v>Vigneron</v>
      </c>
      <c r="C1262" s="28">
        <f t="array" ref="C1262">_xlfn.XLOOKUP($A1262, 'Medical Examinations'!$A:$A, 'Medical Examinations'!B:B, "No Data")</f>
        <v>32.3</v>
      </c>
      <c r="D1262" s="28">
        <f t="array" ref="D1262">_xlfn.XLOOKUP($A1262, 'Medical Examinations'!$A:$A, 'Medical Examinations'!C:C, "No Data")</f>
        <v>10.54</v>
      </c>
      <c r="E1262" s="28" t="str">
        <f t="array" ref="E1262">_xlfn.XLOOKUP($A1262, 'Medical Examinations'!$A:$A, 'Medical Examinations'!D:D, "No Data")</f>
        <v>No</v>
      </c>
      <c r="F1262" s="28" t="str">
        <f t="array" ref="F1262">_xlfn.XLOOKUP($A1262, 'Medical Examinations'!$A:$A, 'Medical Examinations'!E:E, "No Data")</f>
        <v>No</v>
      </c>
      <c r="G1262" s="28" t="str">
        <f t="array" ref="G1262">_xlfn.XLOOKUP($A1262, 'Medical Examinations'!$A:$A, 'Medical Examinations'!F:F, "No Data")</f>
        <v>No</v>
      </c>
      <c r="H1262" s="28">
        <f t="array" ref="H1262">_xlfn.XLOOKUP($A1262, 'Medical Examinations'!$A:$A, 'Medical Examinations'!G:G, "No Data")</f>
        <v>0</v>
      </c>
      <c r="I1262" s="28" t="str">
        <f t="array" ref="I1262">_xlfn.XLOOKUP($A1262, 'Medical Examinations'!$A:$A, 'Medical Examinations'!H:H, "No Data")</f>
        <v>No</v>
      </c>
      <c r="J1262" s="28" t="str">
        <f t="array" ref="J1262">_xlfn.XLOOKUP($A1262, 'Medical Examinations'!$A:$A, 'Medical Examinations'!I:I, "No Data")</f>
        <v>Obesity</v>
      </c>
      <c r="K1262" s="28" t="str">
        <f t="array" ref="K1262">_xlfn.XLOOKUP($A1262, 'Hospitalisation Details'!$A:$A, 'Hospitalisation Details'!I:I, "No Data")</f>
        <v>tier - 3</v>
      </c>
      <c r="L1262" s="28" t="str">
        <f t="array" ref="L1262">_xlfn.XLOOKUP($A1262, 'Hospitalisation Details'!$A:$A, 'Hospitalisation Details'!J:J, "No Data")</f>
        <v>R1012</v>
      </c>
      <c r="M1262" s="28" t="str">
        <f t="array" ref="M1262">_xlfn.XLOOKUP($A1262, 'Hospitalisation Details'!$A:$A, 'Hospitalisation Details'!E:E, "No Data")</f>
        <v>06/09/74</v>
      </c>
      <c r="N1262" s="28">
        <f t="array" ref="N1262">_xlfn.XLOOKUP($A1262, 'Hospitalisation Details'!$A:$A, 'Hospitalisation Details'!K:K, "No Data")</f>
        <v>48</v>
      </c>
      <c r="O1262" s="33">
        <f t="array" ref="O1262">_xlfn.XLOOKUP($A1262, 'Hospitalisation Details'!$A:$A, 'Hospitalisation Details'!G:G, "No Data")</f>
        <v>8765.25</v>
      </c>
      <c r="P1262" s="28" t="str">
        <f t="array" ref="P1262">_xlfn.XLOOKUP($A1262, 'Hospitalisation Details'!$A:$A, 'Hospitalisation Details'!H:H, "No Data")</f>
        <v>tier - 2</v>
      </c>
    </row>
    <row r="1263">
      <c r="A1263" s="25" t="s">
        <v>4038</v>
      </c>
      <c r="B1263" s="28" t="str">
        <f t="array" ref="B1263">_xlfn.XLOOKUP($A1263, 'Customer Names'!$A:$A, 'Customer Names'!B:B, "No Data")</f>
        <v>Mucci</v>
      </c>
      <c r="C1263" s="28">
        <f t="array" ref="C1263">_xlfn.XLOOKUP($A1263, 'Medical Examinations'!$A:$A, 'Medical Examinations'!B:B, "No Data")</f>
        <v>23.94</v>
      </c>
      <c r="D1263" s="28">
        <f t="array" ref="D1263">_xlfn.XLOOKUP($A1263, 'Medical Examinations'!$A:$A, 'Medical Examinations'!C:C, "No Data")</f>
        <v>4.54</v>
      </c>
      <c r="E1263" s="28" t="str">
        <f t="array" ref="E1263">_xlfn.XLOOKUP($A1263, 'Medical Examinations'!$A:$A, 'Medical Examinations'!D:D, "No Data")</f>
        <v>yes</v>
      </c>
      <c r="F1263" s="28" t="str">
        <f t="array" ref="F1263">_xlfn.XLOOKUP($A1263, 'Medical Examinations'!$A:$A, 'Medical Examinations'!E:E, "No Data")</f>
        <v>No</v>
      </c>
      <c r="G1263" s="28" t="str">
        <f t="array" ref="G1263">_xlfn.XLOOKUP($A1263, 'Medical Examinations'!$A:$A, 'Medical Examinations'!F:F, "No Data")</f>
        <v>Yes</v>
      </c>
      <c r="H1263" s="28">
        <f t="array" ref="H1263">_xlfn.XLOOKUP($A1263, 'Medical Examinations'!$A:$A, 'Medical Examinations'!G:G, "No Data")</f>
        <v>1</v>
      </c>
      <c r="I1263" s="28" t="str">
        <f t="array" ref="I1263">_xlfn.XLOOKUP($A1263, 'Medical Examinations'!$A:$A, 'Medical Examinations'!H:H, "No Data")</f>
        <v>No</v>
      </c>
      <c r="J1263" s="28" t="str">
        <f t="array" ref="J1263">_xlfn.XLOOKUP($A1263, 'Medical Examinations'!$A:$A, 'Medical Examinations'!I:I, "No Data")</f>
        <v>Normal Weight</v>
      </c>
      <c r="K1263" s="28" t="str">
        <f t="array" ref="K1263">_xlfn.XLOOKUP($A1263, 'Hospitalisation Details'!$A:$A, 'Hospitalisation Details'!I:I, "No Data")</f>
        <v>tier - 1</v>
      </c>
      <c r="L1263" s="28" t="str">
        <f t="array" ref="L1263">_xlfn.XLOOKUP($A1263, 'Hospitalisation Details'!$A:$A, 'Hospitalisation Details'!J:J, "No Data")</f>
        <v>R1013</v>
      </c>
      <c r="M1263" s="28" t="str">
        <f t="array" ref="M1263">_xlfn.XLOOKUP($A1263, 'Hospitalisation Details'!$A:$A, 'Hospitalisation Details'!E:E, "No Data")</f>
        <v>09/09/69</v>
      </c>
      <c r="N1263" s="28">
        <f t="array" ref="N1263">_xlfn.XLOOKUP($A1263, 'Hospitalisation Details'!$A:$A, 'Hospitalisation Details'!K:K, "No Data")</f>
        <v>53</v>
      </c>
      <c r="O1263" s="33">
        <f t="array" ref="O1263">_xlfn.XLOOKUP($A1263, 'Hospitalisation Details'!$A:$A, 'Hospitalisation Details'!G:G, "No Data")</f>
        <v>8760.12</v>
      </c>
      <c r="P1263" s="28" t="str">
        <f t="array" ref="P1263">_xlfn.XLOOKUP($A1263, 'Hospitalisation Details'!$A:$A, 'Hospitalisation Details'!H:H, "No Data")</f>
        <v>tier - 2</v>
      </c>
    </row>
    <row r="1264">
      <c r="A1264" s="25" t="s">
        <v>4042</v>
      </c>
      <c r="B1264" s="28" t="str">
        <f t="array" ref="B1264">_xlfn.XLOOKUP($A1264, 'Customer Names'!$A:$A, 'Customer Names'!B:B, "No Data")</f>
        <v>MacDonald</v>
      </c>
      <c r="C1264" s="28">
        <f t="array" ref="C1264">_xlfn.XLOOKUP($A1264, 'Medical Examinations'!$A:$A, 'Medical Examinations'!B:B, "No Data")</f>
        <v>46.4</v>
      </c>
      <c r="D1264" s="28">
        <f t="array" ref="D1264">_xlfn.XLOOKUP($A1264, 'Medical Examinations'!$A:$A, 'Medical Examinations'!C:C, "No Data")</f>
        <v>5.71</v>
      </c>
      <c r="E1264" s="28" t="str">
        <f t="array" ref="E1264">_xlfn.XLOOKUP($A1264, 'Medical Examinations'!$A:$A, 'Medical Examinations'!D:D, "No Data")</f>
        <v>No</v>
      </c>
      <c r="F1264" s="28" t="str">
        <f t="array" ref="F1264">_xlfn.XLOOKUP($A1264, 'Medical Examinations'!$A:$A, 'Medical Examinations'!E:E, "No Data")</f>
        <v>No</v>
      </c>
      <c r="G1264" s="28" t="str">
        <f t="array" ref="G1264">_xlfn.XLOOKUP($A1264, 'Medical Examinations'!$A:$A, 'Medical Examinations'!F:F, "No Data")</f>
        <v>No</v>
      </c>
      <c r="H1264" s="28">
        <f t="array" ref="H1264">_xlfn.XLOOKUP($A1264, 'Medical Examinations'!$A:$A, 'Medical Examinations'!G:G, "No Data")</f>
        <v>0</v>
      </c>
      <c r="I1264" s="28" t="str">
        <f t="array" ref="I1264">_xlfn.XLOOKUP($A1264, 'Medical Examinations'!$A:$A, 'Medical Examinations'!H:H, "No Data")</f>
        <v>No</v>
      </c>
      <c r="J1264" s="28" t="str">
        <f t="array" ref="J1264">_xlfn.XLOOKUP($A1264, 'Medical Examinations'!$A:$A, 'Medical Examinations'!I:I, "No Data")</f>
        <v>Obesity</v>
      </c>
      <c r="K1264" s="28" t="str">
        <f t="array" ref="K1264">_xlfn.XLOOKUP($A1264, 'Hospitalisation Details'!$A:$A, 'Hospitalisation Details'!I:I, "No Data")</f>
        <v>tier - 3</v>
      </c>
      <c r="L1264" s="28" t="str">
        <f t="array" ref="L1264">_xlfn.XLOOKUP($A1264, 'Hospitalisation Details'!$A:$A, 'Hospitalisation Details'!J:J, "No Data")</f>
        <v>R1011</v>
      </c>
      <c r="M1264" s="28" t="str">
        <f t="array" ref="M1264">_xlfn.XLOOKUP($A1264, 'Hospitalisation Details'!$A:$A, 'Hospitalisation Details'!E:E, "No Data")</f>
        <v>23/08/99</v>
      </c>
      <c r="N1264" s="28">
        <f t="array" ref="N1264">_xlfn.XLOOKUP($A1264, 'Hospitalisation Details'!$A:$A, 'Hospitalisation Details'!K:K, "No Data")</f>
        <v>23</v>
      </c>
      <c r="O1264" s="33">
        <f t="array" ref="O1264">_xlfn.XLOOKUP($A1264, 'Hospitalisation Details'!$A:$A, 'Hospitalisation Details'!G:G, "No Data")</f>
        <v>8747.68</v>
      </c>
      <c r="P1264" s="28" t="str">
        <f t="array" ref="P1264">_xlfn.XLOOKUP($A1264, 'Hospitalisation Details'!$A:$A, 'Hospitalisation Details'!H:H, "No Data")</f>
        <v>tier - 2</v>
      </c>
    </row>
    <row r="1265">
      <c r="A1265" s="25" t="s">
        <v>4046</v>
      </c>
      <c r="B1265" s="28" t="str">
        <f t="array" ref="B1265">_xlfn.XLOOKUP($A1265, 'Customer Names'!$A:$A, 'Customer Names'!B:B, "No Data")</f>
        <v>Deng</v>
      </c>
      <c r="C1265" s="28">
        <f t="array" ref="C1265">_xlfn.XLOOKUP($A1265, 'Medical Examinations'!$A:$A, 'Medical Examinations'!B:B, "No Data")</f>
        <v>40.375</v>
      </c>
      <c r="D1265" s="28">
        <f t="array" ref="D1265">_xlfn.XLOOKUP($A1265, 'Medical Examinations'!$A:$A, 'Medical Examinations'!C:C, "No Data")</f>
        <v>6.25</v>
      </c>
      <c r="E1265" s="28" t="str">
        <f t="array" ref="E1265">_xlfn.XLOOKUP($A1265, 'Medical Examinations'!$A:$A, 'Medical Examinations'!D:D, "No Data")</f>
        <v>yes</v>
      </c>
      <c r="F1265" s="28" t="str">
        <f t="array" ref="F1265">_xlfn.XLOOKUP($A1265, 'Medical Examinations'!$A:$A, 'Medical Examinations'!E:E, "No Data")</f>
        <v>No</v>
      </c>
      <c r="G1265" s="28" t="str">
        <f t="array" ref="G1265">_xlfn.XLOOKUP($A1265, 'Medical Examinations'!$A:$A, 'Medical Examinations'!F:F, "No Data")</f>
        <v>No</v>
      </c>
      <c r="H1265" s="28">
        <f t="array" ref="H1265">_xlfn.XLOOKUP($A1265, 'Medical Examinations'!$A:$A, 'Medical Examinations'!G:G, "No Data")</f>
        <v>0</v>
      </c>
      <c r="I1265" s="28" t="str">
        <f t="array" ref="I1265">_xlfn.XLOOKUP($A1265, 'Medical Examinations'!$A:$A, 'Medical Examinations'!H:H, "No Data")</f>
        <v>No</v>
      </c>
      <c r="J1265" s="28" t="str">
        <f t="array" ref="J1265">_xlfn.XLOOKUP($A1265, 'Medical Examinations'!$A:$A, 'Medical Examinations'!I:I, "No Data")</f>
        <v>Obesity</v>
      </c>
      <c r="K1265" s="28" t="str">
        <f t="array" ref="K1265">_xlfn.XLOOKUP($A1265, 'Hospitalisation Details'!$A:$A, 'Hospitalisation Details'!I:I, "No Data")</f>
        <v>tier - 3</v>
      </c>
      <c r="L1265" s="28" t="str">
        <f t="array" ref="L1265">_xlfn.XLOOKUP($A1265, 'Hospitalisation Details'!$A:$A, 'Hospitalisation Details'!J:J, "No Data")</f>
        <v>R1012</v>
      </c>
      <c r="M1265" s="28" t="str">
        <f t="array" ref="M1265">_xlfn.XLOOKUP($A1265, 'Hospitalisation Details'!$A:$A, 'Hospitalisation Details'!E:E, "No Data")</f>
        <v>17/06/76</v>
      </c>
      <c r="N1265" s="28">
        <f t="array" ref="N1265">_xlfn.XLOOKUP($A1265, 'Hospitalisation Details'!$A:$A, 'Hospitalisation Details'!K:K, "No Data")</f>
        <v>46</v>
      </c>
      <c r="O1265" s="33">
        <f t="array" ref="O1265">_xlfn.XLOOKUP($A1265, 'Hospitalisation Details'!$A:$A, 'Hospitalisation Details'!G:G, "No Data")</f>
        <v>8733.23</v>
      </c>
      <c r="P1265" s="28" t="str">
        <f t="array" ref="P1265">_xlfn.XLOOKUP($A1265, 'Hospitalisation Details'!$A:$A, 'Hospitalisation Details'!H:H, "No Data")</f>
        <v>tier - 2</v>
      </c>
    </row>
    <row r="1266">
      <c r="A1266" s="25" t="s">
        <v>4050</v>
      </c>
      <c r="B1266" s="28" t="str">
        <f t="array" ref="B1266">_xlfn.XLOOKUP($A1266, 'Customer Names'!$A:$A, 'Customer Names'!B:B, "No Data")</f>
        <v>De Mata</v>
      </c>
      <c r="C1266" s="28">
        <f t="array" ref="C1266">_xlfn.XLOOKUP($A1266, 'Medical Examinations'!$A:$A, 'Medical Examinations'!B:B, "No Data")</f>
        <v>28.7</v>
      </c>
      <c r="D1266" s="28">
        <f t="array" ref="D1266">_xlfn.XLOOKUP($A1266, 'Medical Examinations'!$A:$A, 'Medical Examinations'!C:C, "No Data")</f>
        <v>9.47</v>
      </c>
      <c r="E1266" s="28" t="str">
        <f t="array" ref="E1266">_xlfn.XLOOKUP($A1266, 'Medical Examinations'!$A:$A, 'Medical Examinations'!D:D, "No Data")</f>
        <v>No</v>
      </c>
      <c r="F1266" s="28" t="str">
        <f t="array" ref="F1266">_xlfn.XLOOKUP($A1266, 'Medical Examinations'!$A:$A, 'Medical Examinations'!E:E, "No Data")</f>
        <v>No</v>
      </c>
      <c r="G1266" s="28" t="str">
        <f t="array" ref="G1266">_xlfn.XLOOKUP($A1266, 'Medical Examinations'!$A:$A, 'Medical Examinations'!F:F, "No Data")</f>
        <v>No</v>
      </c>
      <c r="H1266" s="28">
        <f t="array" ref="H1266">_xlfn.XLOOKUP($A1266, 'Medical Examinations'!$A:$A, 'Medical Examinations'!G:G, "No Data")</f>
        <v>2</v>
      </c>
      <c r="I1266" s="28" t="str">
        <f t="array" ref="I1266">_xlfn.XLOOKUP($A1266, 'Medical Examinations'!$A:$A, 'Medical Examinations'!H:H, "No Data")</f>
        <v>No</v>
      </c>
      <c r="J1266" s="28" t="str">
        <f t="array" ref="J1266">_xlfn.XLOOKUP($A1266, 'Medical Examinations'!$A:$A, 'Medical Examinations'!I:I, "No Data")</f>
        <v>Overweight</v>
      </c>
      <c r="K1266" s="28" t="str">
        <f t="array" ref="K1266">_xlfn.XLOOKUP($A1266, 'Hospitalisation Details'!$A:$A, 'Hospitalisation Details'!I:I, "No Data")</f>
        <v>tier - 3</v>
      </c>
      <c r="L1266" s="28" t="str">
        <f t="array" ref="L1266">_xlfn.XLOOKUP($A1266, 'Hospitalisation Details'!$A:$A, 'Hospitalisation Details'!J:J, "No Data")</f>
        <v>R1011</v>
      </c>
      <c r="M1266" s="28" t="str">
        <f t="array" ref="M1266">_xlfn.XLOOKUP($A1266, 'Hospitalisation Details'!$A:$A, 'Hospitalisation Details'!E:E, "No Data")</f>
        <v>25/06/73</v>
      </c>
      <c r="N1266" s="28">
        <f t="array" ref="N1266">_xlfn.XLOOKUP($A1266, 'Hospitalisation Details'!$A:$A, 'Hospitalisation Details'!K:K, "No Data")</f>
        <v>49</v>
      </c>
      <c r="O1266" s="33">
        <f t="array" ref="O1266">_xlfn.XLOOKUP($A1266, 'Hospitalisation Details'!$A:$A, 'Hospitalisation Details'!G:G, "No Data")</f>
        <v>8703.46</v>
      </c>
      <c r="P1266" s="28" t="str">
        <f t="array" ref="P1266">_xlfn.XLOOKUP($A1266, 'Hospitalisation Details'!$A:$A, 'Hospitalisation Details'!H:H, "No Data")</f>
        <v>tier - 3</v>
      </c>
    </row>
    <row r="1267">
      <c r="A1267" s="25" t="s">
        <v>4055</v>
      </c>
      <c r="B1267" s="28" t="str">
        <f t="array" ref="B1267">_xlfn.XLOOKUP($A1267, 'Customer Names'!$A:$A, 'Customer Names'!B:B, "No Data")</f>
        <v>Strickland</v>
      </c>
      <c r="C1267" s="28">
        <f t="array" ref="C1267">_xlfn.XLOOKUP($A1267, 'Medical Examinations'!$A:$A, 'Medical Examinations'!B:B, "No Data")</f>
        <v>26.63</v>
      </c>
      <c r="D1267" s="28">
        <f t="array" ref="D1267">_xlfn.XLOOKUP($A1267, 'Medical Examinations'!$A:$A, 'Medical Examinations'!C:C, "No Data")</f>
        <v>5.7</v>
      </c>
      <c r="E1267" s="28" t="str">
        <f t="array" ref="E1267">_xlfn.XLOOKUP($A1267, 'Medical Examinations'!$A:$A, 'Medical Examinations'!D:D, "No Data")</f>
        <v>No</v>
      </c>
      <c r="F1267" s="28" t="str">
        <f t="array" ref="F1267">_xlfn.XLOOKUP($A1267, 'Medical Examinations'!$A:$A, 'Medical Examinations'!E:E, "No Data")</f>
        <v>No</v>
      </c>
      <c r="G1267" s="28" t="str">
        <f t="array" ref="G1267">_xlfn.XLOOKUP($A1267, 'Medical Examinations'!$A:$A, 'Medical Examinations'!F:F, "No Data")</f>
        <v>No</v>
      </c>
      <c r="H1267" s="28">
        <f t="array" ref="H1267">_xlfn.XLOOKUP($A1267, 'Medical Examinations'!$A:$A, 'Medical Examinations'!G:G, "No Data")</f>
        <v>0</v>
      </c>
      <c r="I1267" s="28" t="str">
        <f t="array" ref="I1267">_xlfn.XLOOKUP($A1267, 'Medical Examinations'!$A:$A, 'Medical Examinations'!H:H, "No Data")</f>
        <v>No</v>
      </c>
      <c r="J1267" s="28" t="str">
        <f t="array" ref="J1267">_xlfn.XLOOKUP($A1267, 'Medical Examinations'!$A:$A, 'Medical Examinations'!I:I, "No Data")</f>
        <v>Overweight</v>
      </c>
      <c r="K1267" s="28" t="str">
        <f t="array" ref="K1267">_xlfn.XLOOKUP($A1267, 'Hospitalisation Details'!$A:$A, 'Hospitalisation Details'!I:I, "No Data")</f>
        <v>tier - 3</v>
      </c>
      <c r="L1267" s="28" t="str">
        <f t="array" ref="L1267">_xlfn.XLOOKUP($A1267, 'Hospitalisation Details'!$A:$A, 'Hospitalisation Details'!J:J, "No Data")</f>
        <v>R1021</v>
      </c>
      <c r="M1267" s="28" t="str">
        <f t="array" ref="M1267">_xlfn.XLOOKUP($A1267, 'Hospitalisation Details'!$A:$A, 'Hospitalisation Details'!E:E, "No Data")</f>
        <v>28/10/80</v>
      </c>
      <c r="N1267" s="28">
        <f t="array" ref="N1267">_xlfn.XLOOKUP($A1267, 'Hospitalisation Details'!$A:$A, 'Hospitalisation Details'!K:K, "No Data")</f>
        <v>42</v>
      </c>
      <c r="O1267" s="33">
        <f t="array" ref="O1267">_xlfn.XLOOKUP($A1267, 'Hospitalisation Details'!$A:$A, 'Hospitalisation Details'!G:G, "No Data")</f>
        <v>8701.84</v>
      </c>
      <c r="P1267" s="28" t="str">
        <f t="array" ref="P1267">_xlfn.XLOOKUP($A1267, 'Hospitalisation Details'!$A:$A, 'Hospitalisation Details'!H:H, "No Data")</f>
        <v>tier - 2</v>
      </c>
    </row>
    <row r="1268">
      <c r="A1268" s="25" t="s">
        <v>4057</v>
      </c>
      <c r="B1268" s="28" t="str">
        <f t="array" ref="B1268">_xlfn.XLOOKUP($A1268, 'Customer Names'!$A:$A, 'Customer Names'!B:B, "No Data")</f>
        <v>Cheney</v>
      </c>
      <c r="C1268" s="28">
        <f t="array" ref="C1268">_xlfn.XLOOKUP($A1268, 'Medical Examinations'!$A:$A, 'Medical Examinations'!B:B, "No Data")</f>
        <v>22.515</v>
      </c>
      <c r="D1268" s="28">
        <f t="array" ref="D1268">_xlfn.XLOOKUP($A1268, 'Medical Examinations'!$A:$A, 'Medical Examinations'!C:C, "No Data")</f>
        <v>11.18</v>
      </c>
      <c r="E1268" s="28" t="str">
        <f t="array" ref="E1268">_xlfn.XLOOKUP($A1268, 'Medical Examinations'!$A:$A, 'Medical Examinations'!D:D, "No Data")</f>
        <v>No</v>
      </c>
      <c r="F1268" s="28" t="str">
        <f t="array" ref="F1268">_xlfn.XLOOKUP($A1268, 'Medical Examinations'!$A:$A, 'Medical Examinations'!E:E, "No Data")</f>
        <v>No</v>
      </c>
      <c r="G1268" s="28" t="str">
        <f t="array" ref="G1268">_xlfn.XLOOKUP($A1268, 'Medical Examinations'!$A:$A, 'Medical Examinations'!F:F, "No Data")</f>
        <v>No</v>
      </c>
      <c r="H1268" s="28">
        <f t="array" ref="H1268">_xlfn.XLOOKUP($A1268, 'Medical Examinations'!$A:$A, 'Medical Examinations'!G:G, "No Data")</f>
        <v>2</v>
      </c>
      <c r="I1268" s="28" t="str">
        <f t="array" ref="I1268">_xlfn.XLOOKUP($A1268, 'Medical Examinations'!$A:$A, 'Medical Examinations'!H:H, "No Data")</f>
        <v>No</v>
      </c>
      <c r="J1268" s="28" t="str">
        <f t="array" ref="J1268">_xlfn.XLOOKUP($A1268, 'Medical Examinations'!$A:$A, 'Medical Examinations'!I:I, "No Data")</f>
        <v>Normal Weight</v>
      </c>
      <c r="K1268" s="28" t="str">
        <f t="array" ref="K1268">_xlfn.XLOOKUP($A1268, 'Hospitalisation Details'!$A:$A, 'Hospitalisation Details'!I:I, "No Data")</f>
        <v>tier - 1</v>
      </c>
      <c r="L1268" s="28" t="str">
        <f t="array" ref="L1268">_xlfn.XLOOKUP($A1268, 'Hospitalisation Details'!$A:$A, 'Hospitalisation Details'!J:J, "No Data")</f>
        <v>R1017</v>
      </c>
      <c r="M1268" s="28" t="str">
        <f t="array" ref="M1268">_xlfn.XLOOKUP($A1268, 'Hospitalisation Details'!$A:$A, 'Hospitalisation Details'!E:E, "No Data")</f>
        <v>11/10/73</v>
      </c>
      <c r="N1268" s="28">
        <f t="array" ref="N1268">_xlfn.XLOOKUP($A1268, 'Hospitalisation Details'!$A:$A, 'Hospitalisation Details'!K:K, "No Data")</f>
        <v>49</v>
      </c>
      <c r="O1268" s="33">
        <f t="array" ref="O1268">_xlfn.XLOOKUP($A1268, 'Hospitalisation Details'!$A:$A, 'Hospitalisation Details'!G:G, "No Data")</f>
        <v>8688.86</v>
      </c>
      <c r="P1268" s="28" t="str">
        <f t="array" ref="P1268">_xlfn.XLOOKUP($A1268, 'Hospitalisation Details'!$A:$A, 'Hospitalisation Details'!H:H, "No Data")</f>
        <v>tier - 2</v>
      </c>
    </row>
    <row r="1269">
      <c r="A1269" s="25" t="s">
        <v>4061</v>
      </c>
      <c r="B1269" s="28" t="str">
        <f t="array" ref="B1269">_xlfn.XLOOKUP($A1269, 'Customer Names'!$A:$A, 'Customer Names'!B:B, "No Data")</f>
        <v>Godoy</v>
      </c>
      <c r="C1269" s="28">
        <f t="array" ref="C1269">_xlfn.XLOOKUP($A1269, 'Medical Examinations'!$A:$A, 'Medical Examinations'!B:B, "No Data")</f>
        <v>36.575</v>
      </c>
      <c r="D1269" s="28">
        <f t="array" ref="D1269">_xlfn.XLOOKUP($A1269, 'Medical Examinations'!$A:$A, 'Medical Examinations'!C:C, "No Data")</f>
        <v>10.98</v>
      </c>
      <c r="E1269" s="28" t="str">
        <f t="array" ref="E1269">_xlfn.XLOOKUP($A1269, 'Medical Examinations'!$A:$A, 'Medical Examinations'!D:D, "No Data")</f>
        <v>No</v>
      </c>
      <c r="F1269" s="28" t="str">
        <f t="array" ref="F1269">_xlfn.XLOOKUP($A1269, 'Medical Examinations'!$A:$A, 'Medical Examinations'!E:E, "No Data")</f>
        <v>No</v>
      </c>
      <c r="G1269" s="28" t="str">
        <f t="array" ref="G1269">_xlfn.XLOOKUP($A1269, 'Medical Examinations'!$A:$A, 'Medical Examinations'!F:F, "No Data")</f>
        <v>No</v>
      </c>
      <c r="H1269" s="28">
        <f t="array" ref="H1269">_xlfn.XLOOKUP($A1269, 'Medical Examinations'!$A:$A, 'Medical Examinations'!G:G, "No Data")</f>
        <v>0</v>
      </c>
      <c r="I1269" s="28" t="str">
        <f t="array" ref="I1269">_xlfn.XLOOKUP($A1269, 'Medical Examinations'!$A:$A, 'Medical Examinations'!H:H, "No Data")</f>
        <v>No</v>
      </c>
      <c r="J1269" s="28" t="str">
        <f t="array" ref="J1269">_xlfn.XLOOKUP($A1269, 'Medical Examinations'!$A:$A, 'Medical Examinations'!I:I, "No Data")</f>
        <v>Obesity</v>
      </c>
      <c r="K1269" s="28" t="str">
        <f t="array" ref="K1269">_xlfn.XLOOKUP($A1269, 'Hospitalisation Details'!$A:$A, 'Hospitalisation Details'!I:I, "No Data")</f>
        <v>tier - 1</v>
      </c>
      <c r="L1269" s="28" t="str">
        <f t="array" ref="L1269">_xlfn.XLOOKUP($A1269, 'Hospitalisation Details'!$A:$A, 'Hospitalisation Details'!J:J, "No Data")</f>
        <v>R1012</v>
      </c>
      <c r="M1269" s="28" t="str">
        <f t="array" ref="M1269">_xlfn.XLOOKUP($A1269, 'Hospitalisation Details'!$A:$A, 'Hospitalisation Details'!E:E, "No Data")</f>
        <v>16/08/74</v>
      </c>
      <c r="N1269" s="28">
        <f t="array" ref="N1269">_xlfn.XLOOKUP($A1269, 'Hospitalisation Details'!$A:$A, 'Hospitalisation Details'!K:K, "No Data")</f>
        <v>48</v>
      </c>
      <c r="O1269" s="33">
        <f t="array" ref="O1269">_xlfn.XLOOKUP($A1269, 'Hospitalisation Details'!$A:$A, 'Hospitalisation Details'!G:G, "No Data")</f>
        <v>8671.19</v>
      </c>
      <c r="P1269" s="28" t="str">
        <f t="array" ref="P1269">_xlfn.XLOOKUP($A1269, 'Hospitalisation Details'!$A:$A, 'Hospitalisation Details'!H:H, "No Data")</f>
        <v>tier - 2</v>
      </c>
    </row>
    <row r="1270">
      <c r="A1270" s="25" t="s">
        <v>4065</v>
      </c>
      <c r="B1270" s="28" t="str">
        <f t="array" ref="B1270">_xlfn.XLOOKUP($A1270, 'Customer Names'!$A:$A, 'Customer Names'!B:B, "No Data")</f>
        <v>Rider</v>
      </c>
      <c r="C1270" s="28">
        <f t="array" ref="C1270">_xlfn.XLOOKUP($A1270, 'Medical Examinations'!$A:$A, 'Medical Examinations'!B:B, "No Data")</f>
        <v>23.66</v>
      </c>
      <c r="D1270" s="28">
        <f t="array" ref="D1270">_xlfn.XLOOKUP($A1270, 'Medical Examinations'!$A:$A, 'Medical Examinations'!C:C, "No Data")</f>
        <v>5.11</v>
      </c>
      <c r="E1270" s="28" t="str">
        <f t="array" ref="E1270">_xlfn.XLOOKUP($A1270, 'Medical Examinations'!$A:$A, 'Medical Examinations'!D:D, "No Data")</f>
        <v>yes</v>
      </c>
      <c r="F1270" s="28" t="str">
        <f t="array" ref="F1270">_xlfn.XLOOKUP($A1270, 'Medical Examinations'!$A:$A, 'Medical Examinations'!E:E, "No Data")</f>
        <v>No</v>
      </c>
      <c r="G1270" s="28" t="str">
        <f t="array" ref="G1270">_xlfn.XLOOKUP($A1270, 'Medical Examinations'!$A:$A, 'Medical Examinations'!F:F, "No Data")</f>
        <v>Yes</v>
      </c>
      <c r="H1270" s="28">
        <f t="array" ref="H1270">_xlfn.XLOOKUP($A1270, 'Medical Examinations'!$A:$A, 'Medical Examinations'!G:G, "No Data")</f>
        <v>1</v>
      </c>
      <c r="I1270" s="28" t="str">
        <f t="array" ref="I1270">_xlfn.XLOOKUP($A1270, 'Medical Examinations'!$A:$A, 'Medical Examinations'!H:H, "No Data")</f>
        <v>No</v>
      </c>
      <c r="J1270" s="28" t="str">
        <f t="array" ref="J1270">_xlfn.XLOOKUP($A1270, 'Medical Examinations'!$A:$A, 'Medical Examinations'!I:I, "No Data")</f>
        <v>Normal Weight</v>
      </c>
      <c r="K1270" s="28" t="str">
        <f t="array" ref="K1270">_xlfn.XLOOKUP($A1270, 'Hospitalisation Details'!$A:$A, 'Hospitalisation Details'!I:I, "No Data")</f>
        <v>tier - 3</v>
      </c>
      <c r="L1270" s="28" t="str">
        <f t="array" ref="L1270">_xlfn.XLOOKUP($A1270, 'Hospitalisation Details'!$A:$A, 'Hospitalisation Details'!J:J, "No Data")</f>
        <v>R1013</v>
      </c>
      <c r="M1270" s="28" t="str">
        <f t="array" ref="M1270">_xlfn.XLOOKUP($A1270, 'Hospitalisation Details'!$A:$A, 'Hospitalisation Details'!E:E, "No Data")</f>
        <v>10/08/69</v>
      </c>
      <c r="N1270" s="28">
        <f t="array" ref="N1270">_xlfn.XLOOKUP($A1270, 'Hospitalisation Details'!$A:$A, 'Hospitalisation Details'!K:K, "No Data")</f>
        <v>53</v>
      </c>
      <c r="O1270" s="33">
        <f t="array" ref="O1270">_xlfn.XLOOKUP($A1270, 'Hospitalisation Details'!$A:$A, 'Hospitalisation Details'!G:G, "No Data")</f>
        <v>8665.14</v>
      </c>
      <c r="P1270" s="28" t="str">
        <f t="array" ref="P1270">_xlfn.XLOOKUP($A1270, 'Hospitalisation Details'!$A:$A, 'Hospitalisation Details'!H:H, "No Data")</f>
        <v>tier - 2</v>
      </c>
    </row>
    <row r="1271">
      <c r="A1271" s="25" t="s">
        <v>4067</v>
      </c>
      <c r="B1271" s="28" t="str">
        <f t="array" ref="B1271">_xlfn.XLOOKUP($A1271, 'Customer Names'!$A:$A, 'Customer Names'!B:B, "No Data")</f>
        <v>Evans</v>
      </c>
      <c r="C1271" s="28">
        <f t="array" ref="C1271">_xlfn.XLOOKUP($A1271, 'Medical Examinations'!$A:$A, 'Medical Examinations'!B:B, "No Data")</f>
        <v>18.62</v>
      </c>
      <c r="D1271" s="28">
        <f t="array" ref="D1271">_xlfn.XLOOKUP($A1271, 'Medical Examinations'!$A:$A, 'Medical Examinations'!C:C, "No Data")</f>
        <v>10.24</v>
      </c>
      <c r="E1271" s="28" t="str">
        <f t="array" ref="E1271">_xlfn.XLOOKUP($A1271, 'Medical Examinations'!$A:$A, 'Medical Examinations'!D:D, "No Data")</f>
        <v>No</v>
      </c>
      <c r="F1271" s="28" t="str">
        <f t="array" ref="F1271">_xlfn.XLOOKUP($A1271, 'Medical Examinations'!$A:$A, 'Medical Examinations'!E:E, "No Data")</f>
        <v>No</v>
      </c>
      <c r="G1271" s="28" t="str">
        <f t="array" ref="G1271">_xlfn.XLOOKUP($A1271, 'Medical Examinations'!$A:$A, 'Medical Examinations'!F:F, "No Data")</f>
        <v>No</v>
      </c>
      <c r="H1271" s="28">
        <f t="array" ref="H1271">_xlfn.XLOOKUP($A1271, 'Medical Examinations'!$A:$A, 'Medical Examinations'!G:G, "No Data")</f>
        <v>0</v>
      </c>
      <c r="I1271" s="28" t="str">
        <f t="array" ref="I1271">_xlfn.XLOOKUP($A1271, 'Medical Examinations'!$A:$A, 'Medical Examinations'!H:H, "No Data")</f>
        <v>No</v>
      </c>
      <c r="J1271" s="28" t="str">
        <f t="array" ref="J1271">_xlfn.XLOOKUP($A1271, 'Medical Examinations'!$A:$A, 'Medical Examinations'!I:I, "No Data")</f>
        <v>Normal Weight</v>
      </c>
      <c r="K1271" s="28" t="str">
        <f t="array" ref="K1271">_xlfn.XLOOKUP($A1271, 'Hospitalisation Details'!$A:$A, 'Hospitalisation Details'!I:I, "No Data")</f>
        <v>tier - 2</v>
      </c>
      <c r="L1271" s="28" t="str">
        <f t="array" ref="L1271">_xlfn.XLOOKUP($A1271, 'Hospitalisation Details'!$A:$A, 'Hospitalisation Details'!J:J, "No Data")</f>
        <v>R1012</v>
      </c>
      <c r="M1271" s="28" t="str">
        <f t="array" ref="M1271">_xlfn.XLOOKUP($A1271, 'Hospitalisation Details'!$A:$A, 'Hospitalisation Details'!E:E, "No Data")</f>
        <v>21/10/65</v>
      </c>
      <c r="N1271" s="28">
        <f t="array" ref="N1271">_xlfn.XLOOKUP($A1271, 'Hospitalisation Details'!$A:$A, 'Hospitalisation Details'!K:K, "No Data")</f>
        <v>57</v>
      </c>
      <c r="O1271" s="33">
        <f t="array" ref="O1271">_xlfn.XLOOKUP($A1271, 'Hospitalisation Details'!$A:$A, 'Hospitalisation Details'!G:G, "No Data")</f>
        <v>8665.09</v>
      </c>
      <c r="P1271" s="28" t="str">
        <f t="array" ref="P1271">_xlfn.XLOOKUP($A1271, 'Hospitalisation Details'!$A:$A, 'Hospitalisation Details'!H:H, "No Data")</f>
        <v>tier - 3</v>
      </c>
    </row>
    <row r="1272">
      <c r="A1272" s="25" t="s">
        <v>4070</v>
      </c>
      <c r="B1272" s="28" t="str">
        <f t="array" ref="B1272">_xlfn.XLOOKUP($A1272, 'Customer Names'!$A:$A, 'Customer Names'!B:B, "No Data")</f>
        <v>Anderson</v>
      </c>
      <c r="C1272" s="28">
        <f t="array" ref="C1272">_xlfn.XLOOKUP($A1272, 'Medical Examinations'!$A:$A, 'Medical Examinations'!B:B, "No Data")</f>
        <v>19.19</v>
      </c>
      <c r="D1272" s="28">
        <f t="array" ref="D1272">_xlfn.XLOOKUP($A1272, 'Medical Examinations'!$A:$A, 'Medical Examinations'!C:C, "No Data")</f>
        <v>7.71</v>
      </c>
      <c r="E1272" s="28" t="str">
        <f t="array" ref="E1272">_xlfn.XLOOKUP($A1272, 'Medical Examinations'!$A:$A, 'Medical Examinations'!D:D, "No Data")</f>
        <v>yes</v>
      </c>
      <c r="F1272" s="28" t="str">
        <f t="array" ref="F1272">_xlfn.XLOOKUP($A1272, 'Medical Examinations'!$A:$A, 'Medical Examinations'!E:E, "No Data")</f>
        <v>No</v>
      </c>
      <c r="G1272" s="28" t="str">
        <f t="array" ref="G1272">_xlfn.XLOOKUP($A1272, 'Medical Examinations'!$A:$A, 'Medical Examinations'!F:F, "No Data")</f>
        <v>No</v>
      </c>
      <c r="H1272" s="28">
        <f t="array" ref="H1272">_xlfn.XLOOKUP($A1272, 'Medical Examinations'!$A:$A, 'Medical Examinations'!G:G, "No Data")</f>
        <v>1</v>
      </c>
      <c r="I1272" s="28" t="str">
        <f t="array" ref="I1272">_xlfn.XLOOKUP($A1272, 'Medical Examinations'!$A:$A, 'Medical Examinations'!H:H, "No Data")</f>
        <v>No</v>
      </c>
      <c r="J1272" s="28" t="str">
        <f t="array" ref="J1272">_xlfn.XLOOKUP($A1272, 'Medical Examinations'!$A:$A, 'Medical Examinations'!I:I, "No Data")</f>
        <v>Normal Weight</v>
      </c>
      <c r="K1272" s="28" t="str">
        <f t="array" ref="K1272">_xlfn.XLOOKUP($A1272, 'Hospitalisation Details'!$A:$A, 'Hospitalisation Details'!I:I, "No Data")</f>
        <v>tier - 2</v>
      </c>
      <c r="L1272" s="28" t="str">
        <f t="array" ref="L1272">_xlfn.XLOOKUP($A1272, 'Hospitalisation Details'!$A:$A, 'Hospitalisation Details'!J:J, "No Data")</f>
        <v>R1017</v>
      </c>
      <c r="M1272" s="28" t="str">
        <f t="array" ref="M1272">_xlfn.XLOOKUP($A1272, 'Hospitalisation Details'!$A:$A, 'Hospitalisation Details'!E:E, "No Data")</f>
        <v>03/08/75</v>
      </c>
      <c r="N1272" s="28">
        <f t="array" ref="N1272">_xlfn.XLOOKUP($A1272, 'Hospitalisation Details'!$A:$A, 'Hospitalisation Details'!K:K, "No Data")</f>
        <v>47</v>
      </c>
      <c r="O1272" s="33">
        <f t="array" ref="O1272">_xlfn.XLOOKUP($A1272, 'Hospitalisation Details'!$A:$A, 'Hospitalisation Details'!G:G, "No Data")</f>
        <v>8627.54</v>
      </c>
      <c r="P1272" s="28" t="str">
        <f t="array" ref="P1272">_xlfn.XLOOKUP($A1272, 'Hospitalisation Details'!$A:$A, 'Hospitalisation Details'!H:H, "No Data")</f>
        <v>tier - 2</v>
      </c>
    </row>
    <row r="1273">
      <c r="A1273" s="25" t="s">
        <v>4072</v>
      </c>
      <c r="B1273" s="28" t="str">
        <f t="array" ref="B1273">_xlfn.XLOOKUP($A1273, 'Customer Names'!$A:$A, 'Customer Names'!B:B, "No Data")</f>
        <v>Walters</v>
      </c>
      <c r="C1273" s="28">
        <f t="array" ref="C1273">_xlfn.XLOOKUP($A1273, 'Medical Examinations'!$A:$A, 'Medical Examinations'!B:B, "No Data")</f>
        <v>27.5</v>
      </c>
      <c r="D1273" s="28">
        <f t="array" ref="D1273">_xlfn.XLOOKUP($A1273, 'Medical Examinations'!$A:$A, 'Medical Examinations'!C:C, "No Data")</f>
        <v>6.03</v>
      </c>
      <c r="E1273" s="28" t="str">
        <f t="array" ref="E1273">_xlfn.XLOOKUP($A1273, 'Medical Examinations'!$A:$A, 'Medical Examinations'!D:D, "No Data")</f>
        <v>No</v>
      </c>
      <c r="F1273" s="28" t="str">
        <f t="array" ref="F1273">_xlfn.XLOOKUP($A1273, 'Medical Examinations'!$A:$A, 'Medical Examinations'!E:E, "No Data")</f>
        <v>No</v>
      </c>
      <c r="G1273" s="28" t="str">
        <f t="array" ref="G1273">_xlfn.XLOOKUP($A1273, 'Medical Examinations'!$A:$A, 'Medical Examinations'!F:F, "No Data")</f>
        <v>No</v>
      </c>
      <c r="H1273" s="28">
        <f t="array" ref="H1273">_xlfn.XLOOKUP($A1273, 'Medical Examinations'!$A:$A, 'Medical Examinations'!G:G, "No Data")</f>
        <v>0</v>
      </c>
      <c r="I1273" s="28" t="str">
        <f t="array" ref="I1273">_xlfn.XLOOKUP($A1273, 'Medical Examinations'!$A:$A, 'Medical Examinations'!H:H, "No Data")</f>
        <v>No</v>
      </c>
      <c r="J1273" s="28" t="str">
        <f t="array" ref="J1273">_xlfn.XLOOKUP($A1273, 'Medical Examinations'!$A:$A, 'Medical Examinations'!I:I, "No Data")</f>
        <v>Overweight</v>
      </c>
      <c r="K1273" s="28" t="str">
        <f t="array" ref="K1273">_xlfn.XLOOKUP($A1273, 'Hospitalisation Details'!$A:$A, 'Hospitalisation Details'!I:I, "No Data")</f>
        <v>tier - 3</v>
      </c>
      <c r="L1273" s="28" t="str">
        <f t="array" ref="L1273">_xlfn.XLOOKUP($A1273, 'Hospitalisation Details'!$A:$A, 'Hospitalisation Details'!J:J, "No Data")</f>
        <v>R1011</v>
      </c>
      <c r="M1273" s="28" t="str">
        <f t="array" ref="M1273">_xlfn.XLOOKUP($A1273, 'Hospitalisation Details'!$A:$A, 'Hospitalisation Details'!E:E, "No Data")</f>
        <v>02/09/77</v>
      </c>
      <c r="N1273" s="28">
        <f t="array" ref="N1273">_xlfn.XLOOKUP($A1273, 'Hospitalisation Details'!$A:$A, 'Hospitalisation Details'!K:K, "No Data")</f>
        <v>45</v>
      </c>
      <c r="O1273" s="33">
        <f t="array" ref="O1273">_xlfn.XLOOKUP($A1273, 'Hospitalisation Details'!$A:$A, 'Hospitalisation Details'!G:G, "No Data")</f>
        <v>8615.3</v>
      </c>
      <c r="P1273" s="28" t="str">
        <f t="array" ref="P1273">_xlfn.XLOOKUP($A1273, 'Hospitalisation Details'!$A:$A, 'Hospitalisation Details'!H:H, "No Data")</f>
        <v>tier - 2</v>
      </c>
    </row>
    <row r="1274">
      <c r="A1274" s="25" t="s">
        <v>4076</v>
      </c>
      <c r="B1274" s="28" t="str">
        <f t="array" ref="B1274">_xlfn.XLOOKUP($A1274, 'Customer Names'!$A:$A, 'Customer Names'!B:B, "No Data")</f>
        <v>Leboeuf</v>
      </c>
      <c r="C1274" s="28">
        <f t="array" ref="C1274">_xlfn.XLOOKUP($A1274, 'Medical Examinations'!$A:$A, 'Medical Examinations'!B:B, "No Data")</f>
        <v>27.36</v>
      </c>
      <c r="D1274" s="28">
        <f t="array" ref="D1274">_xlfn.XLOOKUP($A1274, 'Medical Examinations'!$A:$A, 'Medical Examinations'!C:C, "No Data")</f>
        <v>5.96</v>
      </c>
      <c r="E1274" s="28" t="str">
        <f t="array" ref="E1274">_xlfn.XLOOKUP($A1274, 'Medical Examinations'!$A:$A, 'Medical Examinations'!D:D, "No Data")</f>
        <v>No</v>
      </c>
      <c r="F1274" s="28" t="str">
        <f t="array" ref="F1274">_xlfn.XLOOKUP($A1274, 'Medical Examinations'!$A:$A, 'Medical Examinations'!E:E, "No Data")</f>
        <v>No</v>
      </c>
      <c r="G1274" s="28" t="str">
        <f t="array" ref="G1274">_xlfn.XLOOKUP($A1274, 'Medical Examinations'!$A:$A, 'Medical Examinations'!F:F, "No Data")</f>
        <v>Yes</v>
      </c>
      <c r="H1274" s="28">
        <f t="array" ref="H1274">_xlfn.XLOOKUP($A1274, 'Medical Examinations'!$A:$A, 'Medical Examinations'!G:G, "No Data")</f>
        <v>1</v>
      </c>
      <c r="I1274" s="28" t="str">
        <f t="array" ref="I1274">_xlfn.XLOOKUP($A1274, 'Medical Examinations'!$A:$A, 'Medical Examinations'!H:H, "No Data")</f>
        <v>No</v>
      </c>
      <c r="J1274" s="28" t="str">
        <f t="array" ref="J1274">_xlfn.XLOOKUP($A1274, 'Medical Examinations'!$A:$A, 'Medical Examinations'!I:I, "No Data")</f>
        <v>Overweight</v>
      </c>
      <c r="K1274" s="28" t="str">
        <f t="array" ref="K1274">_xlfn.XLOOKUP($A1274, 'Hospitalisation Details'!$A:$A, 'Hospitalisation Details'!I:I, "No Data")</f>
        <v>tier - 2</v>
      </c>
      <c r="L1274" s="28" t="str">
        <f t="array" ref="L1274">_xlfn.XLOOKUP($A1274, 'Hospitalisation Details'!$A:$A, 'Hospitalisation Details'!J:J, "No Data")</f>
        <v>R1014</v>
      </c>
      <c r="M1274" s="28" t="str">
        <f t="array" ref="M1274">_xlfn.XLOOKUP($A1274, 'Hospitalisation Details'!$A:$A, 'Hospitalisation Details'!E:E, "No Data")</f>
        <v>17/07/79</v>
      </c>
      <c r="N1274" s="28">
        <f t="array" ref="N1274">_xlfn.XLOOKUP($A1274, 'Hospitalisation Details'!$A:$A, 'Hospitalisation Details'!K:K, "No Data")</f>
        <v>43</v>
      </c>
      <c r="O1274" s="33">
        <f t="array" ref="O1274">_xlfn.XLOOKUP($A1274, 'Hospitalisation Details'!$A:$A, 'Hospitalisation Details'!G:G, "No Data")</f>
        <v>8606.22</v>
      </c>
      <c r="P1274" s="28" t="str">
        <f t="array" ref="P1274">_xlfn.XLOOKUP($A1274, 'Hospitalisation Details'!$A:$A, 'Hospitalisation Details'!H:H, "No Data")</f>
        <v>tier - 1</v>
      </c>
    </row>
    <row r="1275">
      <c r="A1275" s="25" t="s">
        <v>4079</v>
      </c>
      <c r="B1275" s="28" t="str">
        <f t="array" ref="B1275">_xlfn.XLOOKUP($A1275, 'Customer Names'!$A:$A, 'Customer Names'!B:B, "No Data")</f>
        <v>Scheibel</v>
      </c>
      <c r="C1275" s="28">
        <f t="array" ref="C1275">_xlfn.XLOOKUP($A1275, 'Medical Examinations'!$A:$A, 'Medical Examinations'!B:B, "No Data")</f>
        <v>20.35</v>
      </c>
      <c r="D1275" s="28">
        <f t="array" ref="D1275">_xlfn.XLOOKUP($A1275, 'Medical Examinations'!$A:$A, 'Medical Examinations'!C:C, "No Data")</f>
        <v>4.16</v>
      </c>
      <c r="E1275" s="28" t="str">
        <f t="array" ref="E1275">_xlfn.XLOOKUP($A1275, 'Medical Examinations'!$A:$A, 'Medical Examinations'!D:D, "No Data")</f>
        <v>No</v>
      </c>
      <c r="F1275" s="28" t="str">
        <f t="array" ref="F1275">_xlfn.XLOOKUP($A1275, 'Medical Examinations'!$A:$A, 'Medical Examinations'!E:E, "No Data")</f>
        <v>No</v>
      </c>
      <c r="G1275" s="28" t="str">
        <f t="array" ref="G1275">_xlfn.XLOOKUP($A1275, 'Medical Examinations'!$A:$A, 'Medical Examinations'!F:F, "No Data")</f>
        <v>No</v>
      </c>
      <c r="H1275" s="28">
        <f t="array" ref="H1275">_xlfn.XLOOKUP($A1275, 'Medical Examinations'!$A:$A, 'Medical Examinations'!G:G, "No Data")</f>
        <v>0</v>
      </c>
      <c r="I1275" s="28" t="str">
        <f t="array" ref="I1275">_xlfn.XLOOKUP($A1275, 'Medical Examinations'!$A:$A, 'Medical Examinations'!H:H, "No Data")</f>
        <v>No</v>
      </c>
      <c r="J1275" s="28" t="str">
        <f t="array" ref="J1275">_xlfn.XLOOKUP($A1275, 'Medical Examinations'!$A:$A, 'Medical Examinations'!I:I, "No Data")</f>
        <v>Normal Weight</v>
      </c>
      <c r="K1275" s="28" t="str">
        <f t="array" ref="K1275">_xlfn.XLOOKUP($A1275, 'Hospitalisation Details'!$A:$A, 'Hospitalisation Details'!I:I, "No Data")</f>
        <v>tier - 2</v>
      </c>
      <c r="L1275" s="28" t="str">
        <f t="array" ref="L1275">_xlfn.XLOOKUP($A1275, 'Hospitalisation Details'!$A:$A, 'Hospitalisation Details'!J:J, "No Data")</f>
        <v>R1013</v>
      </c>
      <c r="M1275" s="28" t="str">
        <f t="array" ref="M1275">_xlfn.XLOOKUP($A1275, 'Hospitalisation Details'!$A:$A, 'Hospitalisation Details'!E:E, "No Data")</f>
        <v>15/10/77</v>
      </c>
      <c r="N1275" s="28">
        <f t="array" ref="N1275">_xlfn.XLOOKUP($A1275, 'Hospitalisation Details'!$A:$A, 'Hospitalisation Details'!K:K, "No Data")</f>
        <v>45</v>
      </c>
      <c r="O1275" s="33">
        <f t="array" ref="O1275">_xlfn.XLOOKUP($A1275, 'Hospitalisation Details'!$A:$A, 'Hospitalisation Details'!G:G, "No Data")</f>
        <v>8605.36</v>
      </c>
      <c r="P1275" s="28" t="str">
        <f t="array" ref="P1275">_xlfn.XLOOKUP($A1275, 'Hospitalisation Details'!$A:$A, 'Hospitalisation Details'!H:H, "No Data")</f>
        <v>tier - 2</v>
      </c>
    </row>
    <row r="1276">
      <c r="A1276" s="25" t="s">
        <v>4082</v>
      </c>
      <c r="B1276" s="28" t="str">
        <f t="array" ref="B1276">_xlfn.XLOOKUP($A1276, 'Customer Names'!$A:$A, 'Customer Names'!B:B, "No Data")</f>
        <v>Ritter</v>
      </c>
      <c r="C1276" s="28">
        <f t="array" ref="C1276">_xlfn.XLOOKUP($A1276, 'Medical Examinations'!$A:$A, 'Medical Examinations'!B:B, "No Data")</f>
        <v>24.035</v>
      </c>
      <c r="D1276" s="28">
        <f t="array" ref="D1276">_xlfn.XLOOKUP($A1276, 'Medical Examinations'!$A:$A, 'Medical Examinations'!C:C, "No Data")</f>
        <v>6.11</v>
      </c>
      <c r="E1276" s="28" t="str">
        <f t="array" ref="E1276">_xlfn.XLOOKUP($A1276, 'Medical Examinations'!$A:$A, 'Medical Examinations'!D:D, "No Data")</f>
        <v>No</v>
      </c>
      <c r="F1276" s="28" t="str">
        <f t="array" ref="F1276">_xlfn.XLOOKUP($A1276, 'Medical Examinations'!$A:$A, 'Medical Examinations'!E:E, "No Data")</f>
        <v>No</v>
      </c>
      <c r="G1276" s="28" t="str">
        <f t="array" ref="G1276">_xlfn.XLOOKUP($A1276, 'Medical Examinations'!$A:$A, 'Medical Examinations'!F:F, "No Data")</f>
        <v>No</v>
      </c>
      <c r="H1276" s="28">
        <f t="array" ref="H1276">_xlfn.XLOOKUP($A1276, 'Medical Examinations'!$A:$A, 'Medical Examinations'!G:G, "No Data")</f>
        <v>0</v>
      </c>
      <c r="I1276" s="28" t="str">
        <f t="array" ref="I1276">_xlfn.XLOOKUP($A1276, 'Medical Examinations'!$A:$A, 'Medical Examinations'!H:H, "No Data")</f>
        <v>No</v>
      </c>
      <c r="J1276" s="28" t="str">
        <f t="array" ref="J1276">_xlfn.XLOOKUP($A1276, 'Medical Examinations'!$A:$A, 'Medical Examinations'!I:I, "No Data")</f>
        <v>Normal Weight</v>
      </c>
      <c r="K1276" s="28" t="str">
        <f t="array" ref="K1276">_xlfn.XLOOKUP($A1276, 'Hospitalisation Details'!$A:$A, 'Hospitalisation Details'!I:I, "No Data")</f>
        <v>tier - 2</v>
      </c>
      <c r="L1276" s="28" t="str">
        <f t="array" ref="L1276">_xlfn.XLOOKUP($A1276, 'Hospitalisation Details'!$A:$A, 'Hospitalisation Details'!J:J, "No Data")</f>
        <v>R1016</v>
      </c>
      <c r="M1276" s="28" t="str">
        <f t="array" ref="M1276">_xlfn.XLOOKUP($A1276, 'Hospitalisation Details'!$A:$A, 'Hospitalisation Details'!E:E, "No Data")</f>
        <v>12/11/77</v>
      </c>
      <c r="N1276" s="28">
        <f t="array" ref="N1276">_xlfn.XLOOKUP($A1276, 'Hospitalisation Details'!$A:$A, 'Hospitalisation Details'!K:K, "No Data")</f>
        <v>45</v>
      </c>
      <c r="O1276" s="33">
        <f t="array" ref="O1276">_xlfn.XLOOKUP($A1276, 'Hospitalisation Details'!$A:$A, 'Hospitalisation Details'!G:G, "No Data")</f>
        <v>8604.48</v>
      </c>
      <c r="P1276" s="28" t="str">
        <f t="array" ref="P1276">_xlfn.XLOOKUP($A1276, 'Hospitalisation Details'!$A:$A, 'Hospitalisation Details'!H:H, "No Data")</f>
        <v>tier - 3</v>
      </c>
    </row>
    <row r="1277">
      <c r="A1277" s="25" t="s">
        <v>4084</v>
      </c>
      <c r="B1277" s="28" t="str">
        <f t="array" ref="B1277">_xlfn.XLOOKUP($A1277, 'Customer Names'!$A:$A, 'Customer Names'!B:B, "No Data")</f>
        <v>Deeg</v>
      </c>
      <c r="C1277" s="28">
        <f t="array" ref="C1277">_xlfn.XLOOKUP($A1277, 'Medical Examinations'!$A:$A, 'Medical Examinations'!B:B, "No Data")</f>
        <v>23.56</v>
      </c>
      <c r="D1277" s="28">
        <f t="array" ref="D1277">_xlfn.XLOOKUP($A1277, 'Medical Examinations'!$A:$A, 'Medical Examinations'!C:C, "No Data")</f>
        <v>5.97</v>
      </c>
      <c r="E1277" s="28" t="str">
        <f t="array" ref="E1277">_xlfn.XLOOKUP($A1277, 'Medical Examinations'!$A:$A, 'Medical Examinations'!D:D, "No Data")</f>
        <v>No</v>
      </c>
      <c r="F1277" s="28" t="str">
        <f t="array" ref="F1277">_xlfn.XLOOKUP($A1277, 'Medical Examinations'!$A:$A, 'Medical Examinations'!E:E, "No Data")</f>
        <v>No</v>
      </c>
      <c r="G1277" s="28" t="str">
        <f t="array" ref="G1277">_xlfn.XLOOKUP($A1277, 'Medical Examinations'!$A:$A, 'Medical Examinations'!F:F, "No Data")</f>
        <v>No</v>
      </c>
      <c r="H1277" s="28">
        <f t="array" ref="H1277">_xlfn.XLOOKUP($A1277, 'Medical Examinations'!$A:$A, 'Medical Examinations'!G:G, "No Data")</f>
        <v>0</v>
      </c>
      <c r="I1277" s="28" t="str">
        <f t="array" ref="I1277">_xlfn.XLOOKUP($A1277, 'Medical Examinations'!$A:$A, 'Medical Examinations'!H:H, "No Data")</f>
        <v>No</v>
      </c>
      <c r="J1277" s="28" t="str">
        <f t="array" ref="J1277">_xlfn.XLOOKUP($A1277, 'Medical Examinations'!$A:$A, 'Medical Examinations'!I:I, "No Data")</f>
        <v>Normal Weight</v>
      </c>
      <c r="K1277" s="28" t="str">
        <f t="array" ref="K1277">_xlfn.XLOOKUP($A1277, 'Hospitalisation Details'!$A:$A, 'Hospitalisation Details'!I:I, "No Data")</f>
        <v>tier - 1</v>
      </c>
      <c r="L1277" s="28" t="str">
        <f t="array" ref="L1277">_xlfn.XLOOKUP($A1277, 'Hospitalisation Details'!$A:$A, 'Hospitalisation Details'!J:J, "No Data")</f>
        <v>R1019</v>
      </c>
      <c r="M1277" s="28" t="str">
        <f t="array" ref="M1277">_xlfn.XLOOKUP($A1277, 'Hospitalisation Details'!$A:$A, 'Hospitalisation Details'!E:E, "No Data")</f>
        <v>24/09/77</v>
      </c>
      <c r="N1277" s="28">
        <f t="array" ref="N1277">_xlfn.XLOOKUP($A1277, 'Hospitalisation Details'!$A:$A, 'Hospitalisation Details'!K:K, "No Data")</f>
        <v>45</v>
      </c>
      <c r="O1277" s="33">
        <f t="array" ref="O1277">_xlfn.XLOOKUP($A1277, 'Hospitalisation Details'!$A:$A, 'Hospitalisation Details'!G:G, "No Data")</f>
        <v>8603.82</v>
      </c>
      <c r="P1277" s="28" t="str">
        <f t="array" ref="P1277">_xlfn.XLOOKUP($A1277, 'Hospitalisation Details'!$A:$A, 'Hospitalisation Details'!H:H, "No Data")</f>
        <v>tier - 2</v>
      </c>
    </row>
    <row r="1278">
      <c r="A1278" s="25" t="s">
        <v>4086</v>
      </c>
      <c r="B1278" s="28" t="str">
        <f t="array" ref="B1278">_xlfn.XLOOKUP($A1278, 'Customer Names'!$A:$A, 'Customer Names'!B:B, "No Data")</f>
        <v>Pretot</v>
      </c>
      <c r="C1278" s="28">
        <f t="array" ref="C1278">_xlfn.XLOOKUP($A1278, 'Medical Examinations'!$A:$A, 'Medical Examinations'!B:B, "No Data")</f>
        <v>27.17</v>
      </c>
      <c r="D1278" s="28">
        <f t="array" ref="D1278">_xlfn.XLOOKUP($A1278, 'Medical Examinations'!$A:$A, 'Medical Examinations'!C:C, "No Data")</f>
        <v>10.81</v>
      </c>
      <c r="E1278" s="28" t="str">
        <f t="array" ref="E1278">_xlfn.XLOOKUP($A1278, 'Medical Examinations'!$A:$A, 'Medical Examinations'!D:D, "No Data")</f>
        <v>No</v>
      </c>
      <c r="F1278" s="28" t="str">
        <f t="array" ref="F1278">_xlfn.XLOOKUP($A1278, 'Medical Examinations'!$A:$A, 'Medical Examinations'!E:E, "No Data")</f>
        <v>No</v>
      </c>
      <c r="G1278" s="28" t="str">
        <f t="array" ref="G1278">_xlfn.XLOOKUP($A1278, 'Medical Examinations'!$A:$A, 'Medical Examinations'!F:F, "No Data")</f>
        <v>No</v>
      </c>
      <c r="H1278" s="28">
        <f t="array" ref="H1278">_xlfn.XLOOKUP($A1278, 'Medical Examinations'!$A:$A, 'Medical Examinations'!G:G, "No Data")</f>
        <v>2</v>
      </c>
      <c r="I1278" s="28" t="str">
        <f t="array" ref="I1278">_xlfn.XLOOKUP($A1278, 'Medical Examinations'!$A:$A, 'Medical Examinations'!H:H, "No Data")</f>
        <v>No</v>
      </c>
      <c r="J1278" s="28" t="str">
        <f t="array" ref="J1278">_xlfn.XLOOKUP($A1278, 'Medical Examinations'!$A:$A, 'Medical Examinations'!I:I, "No Data")</f>
        <v>Overweight</v>
      </c>
      <c r="K1278" s="28" t="str">
        <f t="array" ref="K1278">_xlfn.XLOOKUP($A1278, 'Hospitalisation Details'!$A:$A, 'Hospitalisation Details'!I:I, "No Data")</f>
        <v>tier - 1</v>
      </c>
      <c r="L1278" s="28" t="str">
        <f t="array" ref="L1278">_xlfn.XLOOKUP($A1278, 'Hospitalisation Details'!$A:$A, 'Hospitalisation Details'!J:J, "No Data")</f>
        <v>R1013</v>
      </c>
      <c r="M1278" s="28" t="str">
        <f t="array" ref="M1278">_xlfn.XLOOKUP($A1278, 'Hospitalisation Details'!$A:$A, 'Hospitalisation Details'!E:E, "No Data")</f>
        <v>11/07/73</v>
      </c>
      <c r="N1278" s="28">
        <f t="array" ref="N1278">_xlfn.XLOOKUP($A1278, 'Hospitalisation Details'!$A:$A, 'Hospitalisation Details'!K:K, "No Data")</f>
        <v>49</v>
      </c>
      <c r="O1278" s="33">
        <f t="array" ref="O1278">_xlfn.XLOOKUP($A1278, 'Hospitalisation Details'!$A:$A, 'Hospitalisation Details'!G:G, "No Data")</f>
        <v>8601.33</v>
      </c>
      <c r="P1278" s="28" t="str">
        <f t="array" ref="P1278">_xlfn.XLOOKUP($A1278, 'Hospitalisation Details'!$A:$A, 'Hospitalisation Details'!H:H, "No Data")</f>
        <v>tier - 2</v>
      </c>
    </row>
    <row r="1279">
      <c r="A1279" s="25" t="s">
        <v>4090</v>
      </c>
      <c r="B1279" s="28" t="str">
        <f t="array" ref="B1279">_xlfn.XLOOKUP($A1279, 'Customer Names'!$A:$A, 'Customer Names'!B:B, "No Data")</f>
        <v>Willsey</v>
      </c>
      <c r="C1279" s="28">
        <f t="array" ref="C1279">_xlfn.XLOOKUP($A1279, 'Medical Examinations'!$A:$A, 'Medical Examinations'!B:B, "No Data")</f>
        <v>34.32</v>
      </c>
      <c r="D1279" s="28">
        <f t="array" ref="D1279">_xlfn.XLOOKUP($A1279, 'Medical Examinations'!$A:$A, 'Medical Examinations'!C:C, "No Data")</f>
        <v>5.7</v>
      </c>
      <c r="E1279" s="28" t="str">
        <f t="array" ref="E1279">_xlfn.XLOOKUP($A1279, 'Medical Examinations'!$A:$A, 'Medical Examinations'!D:D, "No Data")</f>
        <v>yes</v>
      </c>
      <c r="F1279" s="28" t="str">
        <f t="array" ref="F1279">_xlfn.XLOOKUP($A1279, 'Medical Examinations'!$A:$A, 'Medical Examinations'!E:E, "No Data")</f>
        <v>No</v>
      </c>
      <c r="G1279" s="28" t="str">
        <f t="array" ref="G1279">_xlfn.XLOOKUP($A1279, 'Medical Examinations'!$A:$A, 'Medical Examinations'!F:F, "No Data")</f>
        <v>Yes</v>
      </c>
      <c r="H1279" s="28">
        <f t="array" ref="H1279">_xlfn.XLOOKUP($A1279, 'Medical Examinations'!$A:$A, 'Medical Examinations'!G:G, "No Data")</f>
        <v>1</v>
      </c>
      <c r="I1279" s="28" t="str">
        <f t="array" ref="I1279">_xlfn.XLOOKUP($A1279, 'Medical Examinations'!$A:$A, 'Medical Examinations'!H:H, "No Data")</f>
        <v>No</v>
      </c>
      <c r="J1279" s="28" t="str">
        <f t="array" ref="J1279">_xlfn.XLOOKUP($A1279, 'Medical Examinations'!$A:$A, 'Medical Examinations'!I:I, "No Data")</f>
        <v>Obesity</v>
      </c>
      <c r="K1279" s="28" t="str">
        <f t="array" ref="K1279">_xlfn.XLOOKUP($A1279, 'Hospitalisation Details'!$A:$A, 'Hospitalisation Details'!I:I, "No Data")</f>
        <v>tier - 3</v>
      </c>
      <c r="L1279" s="28" t="str">
        <f t="array" ref="L1279">_xlfn.XLOOKUP($A1279, 'Hospitalisation Details'!$A:$A, 'Hospitalisation Details'!J:J, "No Data")</f>
        <v>R1013</v>
      </c>
      <c r="M1279" s="28" t="str">
        <f t="array" ref="M1279">_xlfn.XLOOKUP($A1279, 'Hospitalisation Details'!$A:$A, 'Hospitalisation Details'!E:E, "No Data")</f>
        <v>25/07/83</v>
      </c>
      <c r="N1279" s="28">
        <f t="array" ref="N1279">_xlfn.XLOOKUP($A1279, 'Hospitalisation Details'!$A:$A, 'Hospitalisation Details'!K:K, "No Data")</f>
        <v>39</v>
      </c>
      <c r="O1279" s="33">
        <f t="array" ref="O1279">_xlfn.XLOOKUP($A1279, 'Hospitalisation Details'!$A:$A, 'Hospitalisation Details'!G:G, "No Data")</f>
        <v>8596.83</v>
      </c>
      <c r="P1279" s="28" t="str">
        <f t="array" ref="P1279">_xlfn.XLOOKUP($A1279, 'Hospitalisation Details'!$A:$A, 'Hospitalisation Details'!H:H, "No Data")</f>
        <v>tier - 2</v>
      </c>
    </row>
    <row r="1280">
      <c r="A1280" s="25" t="s">
        <v>4094</v>
      </c>
      <c r="B1280" s="28" t="str">
        <f t="array" ref="B1280">_xlfn.XLOOKUP($A1280, 'Customer Names'!$A:$A, 'Customer Names'!B:B, "No Data")</f>
        <v>Roach</v>
      </c>
      <c r="C1280" s="28">
        <f t="array" ref="C1280">_xlfn.XLOOKUP($A1280, 'Medical Examinations'!$A:$A, 'Medical Examinations'!B:B, "No Data")</f>
        <v>23.87</v>
      </c>
      <c r="D1280" s="28">
        <f t="array" ref="D1280">_xlfn.XLOOKUP($A1280, 'Medical Examinations'!$A:$A, 'Medical Examinations'!C:C, "No Data")</f>
        <v>4.77</v>
      </c>
      <c r="E1280" s="28" t="str">
        <f t="array" ref="E1280">_xlfn.XLOOKUP($A1280, 'Medical Examinations'!$A:$A, 'Medical Examinations'!D:D, "No Data")</f>
        <v>yes</v>
      </c>
      <c r="F1280" s="28" t="str">
        <f t="array" ref="F1280">_xlfn.XLOOKUP($A1280, 'Medical Examinations'!$A:$A, 'Medical Examinations'!E:E, "No Data")</f>
        <v>No</v>
      </c>
      <c r="G1280" s="28" t="str">
        <f t="array" ref="G1280">_xlfn.XLOOKUP($A1280, 'Medical Examinations'!$A:$A, 'Medical Examinations'!F:F, "No Data")</f>
        <v>Yes</v>
      </c>
      <c r="H1280" s="28">
        <f t="array" ref="H1280">_xlfn.XLOOKUP($A1280, 'Medical Examinations'!$A:$A, 'Medical Examinations'!G:G, "No Data")</f>
        <v>1</v>
      </c>
      <c r="I1280" s="28" t="str">
        <f t="array" ref="I1280">_xlfn.XLOOKUP($A1280, 'Medical Examinations'!$A:$A, 'Medical Examinations'!H:H, "No Data")</f>
        <v>No</v>
      </c>
      <c r="J1280" s="28" t="str">
        <f t="array" ref="J1280">_xlfn.XLOOKUP($A1280, 'Medical Examinations'!$A:$A, 'Medical Examinations'!I:I, "No Data")</f>
        <v>Normal Weight</v>
      </c>
      <c r="K1280" s="28" t="str">
        <f t="array" ref="K1280">_xlfn.XLOOKUP($A1280, 'Hospitalisation Details'!$A:$A, 'Hospitalisation Details'!I:I, "No Data")</f>
        <v>tier - 1</v>
      </c>
      <c r="L1280" s="28" t="str">
        <f t="array" ref="L1280">_xlfn.XLOOKUP($A1280, 'Hospitalisation Details'!$A:$A, 'Hospitalisation Details'!J:J, "No Data")</f>
        <v>R1013</v>
      </c>
      <c r="M1280" s="28" t="str">
        <f t="array" ref="M1280">_xlfn.XLOOKUP($A1280, 'Hospitalisation Details'!$A:$A, 'Hospitalisation Details'!E:E, "No Data")</f>
        <v>30/12/83</v>
      </c>
      <c r="N1280" s="28">
        <f t="array" ref="N1280">_xlfn.XLOOKUP($A1280, 'Hospitalisation Details'!$A:$A, 'Hospitalisation Details'!K:K, "No Data")</f>
        <v>39</v>
      </c>
      <c r="O1280" s="33">
        <f t="array" ref="O1280">_xlfn.XLOOKUP($A1280, 'Hospitalisation Details'!$A:$A, 'Hospitalisation Details'!G:G, "No Data")</f>
        <v>8582.3</v>
      </c>
      <c r="P1280" s="28" t="str">
        <f t="array" ref="P1280">_xlfn.XLOOKUP($A1280, 'Hospitalisation Details'!$A:$A, 'Hospitalisation Details'!H:H, "No Data")</f>
        <v>tier - 2</v>
      </c>
    </row>
    <row r="1281">
      <c r="A1281" s="25" t="s">
        <v>4097</v>
      </c>
      <c r="B1281" s="28" t="str">
        <f t="array" ref="B1281">_xlfn.XLOOKUP($A1281, 'Customer Names'!$A:$A, 'Customer Names'!B:B, "No Data")</f>
        <v>Jacobsen</v>
      </c>
      <c r="C1281" s="28">
        <f t="array" ref="C1281">_xlfn.XLOOKUP($A1281, 'Medical Examinations'!$A:$A, 'Medical Examinations'!B:B, "No Data")</f>
        <v>30.15</v>
      </c>
      <c r="D1281" s="28">
        <f t="array" ref="D1281">_xlfn.XLOOKUP($A1281, 'Medical Examinations'!$A:$A, 'Medical Examinations'!C:C, "No Data")</f>
        <v>4.25</v>
      </c>
      <c r="E1281" s="28" t="str">
        <f t="array" ref="E1281">_xlfn.XLOOKUP($A1281, 'Medical Examinations'!$A:$A, 'Medical Examinations'!D:D, "No Data")</f>
        <v>No</v>
      </c>
      <c r="F1281" s="28" t="str">
        <f t="array" ref="F1281">_xlfn.XLOOKUP($A1281, 'Medical Examinations'!$A:$A, 'Medical Examinations'!E:E, "No Data")</f>
        <v>No</v>
      </c>
      <c r="G1281" s="28" t="str">
        <f t="array" ref="G1281">_xlfn.XLOOKUP($A1281, 'Medical Examinations'!$A:$A, 'Medical Examinations'!F:F, "No Data")</f>
        <v>No</v>
      </c>
      <c r="H1281" s="28">
        <f t="array" ref="H1281">_xlfn.XLOOKUP($A1281, 'Medical Examinations'!$A:$A, 'Medical Examinations'!G:G, "No Data")</f>
        <v>1</v>
      </c>
      <c r="I1281" s="28" t="str">
        <f t="array" ref="I1281">_xlfn.XLOOKUP($A1281, 'Medical Examinations'!$A:$A, 'Medical Examinations'!H:H, "No Data")</f>
        <v>No</v>
      </c>
      <c r="J1281" s="28" t="str">
        <f t="array" ref="J1281">_xlfn.XLOOKUP($A1281, 'Medical Examinations'!$A:$A, 'Medical Examinations'!I:I, "No Data")</f>
        <v>Obesity</v>
      </c>
      <c r="K1281" s="28" t="str">
        <f t="array" ref="K1281">_xlfn.XLOOKUP($A1281, 'Hospitalisation Details'!$A:$A, 'Hospitalisation Details'!I:I, "No Data")</f>
        <v>tier - 2</v>
      </c>
      <c r="L1281" s="28" t="str">
        <f t="array" ref="L1281">_xlfn.XLOOKUP($A1281, 'Hospitalisation Details'!$A:$A, 'Hospitalisation Details'!J:J, "No Data")</f>
        <v>R1021</v>
      </c>
      <c r="M1281" s="28" t="str">
        <f t="array" ref="M1281">_xlfn.XLOOKUP($A1281, 'Hospitalisation Details'!$A:$A, 'Hospitalisation Details'!E:E, "No Data")</f>
        <v>11/11/87</v>
      </c>
      <c r="N1281" s="28">
        <f t="array" ref="N1281">_xlfn.XLOOKUP($A1281, 'Hospitalisation Details'!$A:$A, 'Hospitalisation Details'!K:K, "No Data")</f>
        <v>35</v>
      </c>
      <c r="O1281" s="33">
        <f t="array" ref="O1281">_xlfn.XLOOKUP($A1281, 'Hospitalisation Details'!$A:$A, 'Hospitalisation Details'!G:G, "No Data")</f>
        <v>8573.3</v>
      </c>
      <c r="P1281" s="28" t="str">
        <f t="array" ref="P1281">_xlfn.XLOOKUP($A1281, 'Hospitalisation Details'!$A:$A, 'Hospitalisation Details'!H:H, "No Data")</f>
        <v>tier - 2</v>
      </c>
    </row>
    <row r="1282">
      <c r="A1282" s="25" t="s">
        <v>4101</v>
      </c>
      <c r="B1282" s="28" t="str">
        <f t="array" ref="B1282">_xlfn.XLOOKUP($A1282, 'Customer Names'!$A:$A, 'Customer Names'!B:B, "No Data")</f>
        <v>O'Hora</v>
      </c>
      <c r="C1282" s="28">
        <f t="array" ref="C1282">_xlfn.XLOOKUP($A1282, 'Medical Examinations'!$A:$A, 'Medical Examinations'!B:B, "No Data")</f>
        <v>26.36</v>
      </c>
      <c r="D1282" s="28">
        <f t="array" ref="D1282">_xlfn.XLOOKUP($A1282, 'Medical Examinations'!$A:$A, 'Medical Examinations'!C:C, "No Data")</f>
        <v>5.52</v>
      </c>
      <c r="E1282" s="28" t="str">
        <f t="array" ref="E1282">_xlfn.XLOOKUP($A1282, 'Medical Examinations'!$A:$A, 'Medical Examinations'!D:D, "No Data")</f>
        <v>No</v>
      </c>
      <c r="F1282" s="28" t="str">
        <f t="array" ref="F1282">_xlfn.XLOOKUP($A1282, 'Medical Examinations'!$A:$A, 'Medical Examinations'!E:E, "No Data")</f>
        <v>No</v>
      </c>
      <c r="G1282" s="28" t="str">
        <f t="array" ref="G1282">_xlfn.XLOOKUP($A1282, 'Medical Examinations'!$A:$A, 'Medical Examinations'!F:F, "No Data")</f>
        <v>No</v>
      </c>
      <c r="H1282" s="28">
        <f t="array" ref="H1282">_xlfn.XLOOKUP($A1282, 'Medical Examinations'!$A:$A, 'Medical Examinations'!G:G, "No Data")</f>
        <v>0</v>
      </c>
      <c r="I1282" s="28" t="str">
        <f t="array" ref="I1282">_xlfn.XLOOKUP($A1282, 'Medical Examinations'!$A:$A, 'Medical Examinations'!H:H, "No Data")</f>
        <v>No</v>
      </c>
      <c r="J1282" s="28" t="str">
        <f t="array" ref="J1282">_xlfn.XLOOKUP($A1282, 'Medical Examinations'!$A:$A, 'Medical Examinations'!I:I, "No Data")</f>
        <v>Overweight</v>
      </c>
      <c r="K1282" s="28" t="str">
        <f t="array" ref="K1282">_xlfn.XLOOKUP($A1282, 'Hospitalisation Details'!$A:$A, 'Hospitalisation Details'!I:I, "No Data")</f>
        <v>tier - 2</v>
      </c>
      <c r="L1282" s="28" t="str">
        <f t="array" ref="L1282">_xlfn.XLOOKUP($A1282, 'Hospitalisation Details'!$A:$A, 'Hospitalisation Details'!J:J, "No Data")</f>
        <v>R1021</v>
      </c>
      <c r="M1282" s="28" t="str">
        <f t="array" ref="M1282">_xlfn.XLOOKUP($A1282, 'Hospitalisation Details'!$A:$A, 'Hospitalisation Details'!E:E, "No Data")</f>
        <v>06/12/82</v>
      </c>
      <c r="N1282" s="28">
        <f t="array" ref="N1282">_xlfn.XLOOKUP($A1282, 'Hospitalisation Details'!$A:$A, 'Hospitalisation Details'!K:K, "No Data")</f>
        <v>40</v>
      </c>
      <c r="O1282" s="33">
        <f t="array" ref="O1282">_xlfn.XLOOKUP($A1282, 'Hospitalisation Details'!$A:$A, 'Hospitalisation Details'!G:G, "No Data")</f>
        <v>8572.04</v>
      </c>
      <c r="P1282" s="28" t="str">
        <f t="array" ref="P1282">_xlfn.XLOOKUP($A1282, 'Hospitalisation Details'!$A:$A, 'Hospitalisation Details'!H:H, "No Data")</f>
        <v>tier - 2</v>
      </c>
    </row>
    <row r="1283">
      <c r="A1283" s="25" t="s">
        <v>4104</v>
      </c>
      <c r="B1283" s="28" t="str">
        <f t="array" ref="B1283">_xlfn.XLOOKUP($A1283, 'Customer Names'!$A:$A, 'Customer Names'!B:B, "No Data")</f>
        <v>Amato</v>
      </c>
      <c r="C1283" s="28">
        <f t="array" ref="C1283">_xlfn.XLOOKUP($A1283, 'Medical Examinations'!$A:$A, 'Medical Examinations'!B:B, "No Data")</f>
        <v>45.32</v>
      </c>
      <c r="D1283" s="28">
        <f t="array" ref="D1283">_xlfn.XLOOKUP($A1283, 'Medical Examinations'!$A:$A, 'Medical Examinations'!C:C, "No Data")</f>
        <v>6.53</v>
      </c>
      <c r="E1283" s="28" t="str">
        <f t="array" ref="E1283">_xlfn.XLOOKUP($A1283, 'Medical Examinations'!$A:$A, 'Medical Examinations'!D:D, "No Data")</f>
        <v>yes</v>
      </c>
      <c r="F1283" s="28" t="str">
        <f t="array" ref="F1283">_xlfn.XLOOKUP($A1283, 'Medical Examinations'!$A:$A, 'Medical Examinations'!E:E, "No Data")</f>
        <v>No</v>
      </c>
      <c r="G1283" s="28" t="str">
        <f t="array" ref="G1283">_xlfn.XLOOKUP($A1283, 'Medical Examinations'!$A:$A, 'Medical Examinations'!F:F, "No Data")</f>
        <v>No</v>
      </c>
      <c r="H1283" s="28">
        <f t="array" ref="H1283">_xlfn.XLOOKUP($A1283, 'Medical Examinations'!$A:$A, 'Medical Examinations'!G:G, "No Data")</f>
        <v>1</v>
      </c>
      <c r="I1283" s="28" t="str">
        <f t="array" ref="I1283">_xlfn.XLOOKUP($A1283, 'Medical Examinations'!$A:$A, 'Medical Examinations'!H:H, "No Data")</f>
        <v>No</v>
      </c>
      <c r="J1283" s="28" t="str">
        <f t="array" ref="J1283">_xlfn.XLOOKUP($A1283, 'Medical Examinations'!$A:$A, 'Medical Examinations'!I:I, "No Data")</f>
        <v>Obesity</v>
      </c>
      <c r="K1283" s="28" t="str">
        <f t="array" ref="K1283">_xlfn.XLOOKUP($A1283, 'Hospitalisation Details'!$A:$A, 'Hospitalisation Details'!I:I, "No Data")</f>
        <v>tier - 3</v>
      </c>
      <c r="L1283" s="28" t="str">
        <f t="array" ref="L1283">_xlfn.XLOOKUP($A1283, 'Hospitalisation Details'!$A:$A, 'Hospitalisation Details'!J:J, "No Data")</f>
        <v>R1013</v>
      </c>
      <c r="M1283" s="28" t="str">
        <f t="array" ref="M1283">_xlfn.XLOOKUP($A1283, 'Hospitalisation Details'!$A:$A, 'Hospitalisation Details'!E:E, "No Data")</f>
        <v>26/09/75</v>
      </c>
      <c r="N1283" s="28">
        <f t="array" ref="N1283">_xlfn.XLOOKUP($A1283, 'Hospitalisation Details'!$A:$A, 'Hospitalisation Details'!K:K, "No Data")</f>
        <v>47</v>
      </c>
      <c r="O1283" s="33">
        <f t="array" ref="O1283">_xlfn.XLOOKUP($A1283, 'Hospitalisation Details'!$A:$A, 'Hospitalisation Details'!G:G, "No Data")</f>
        <v>8569.86</v>
      </c>
      <c r="P1283" s="28" t="str">
        <f t="array" ref="P1283">_xlfn.XLOOKUP($A1283, 'Hospitalisation Details'!$A:$A, 'Hospitalisation Details'!H:H, "No Data")</f>
        <v>tier - 2</v>
      </c>
    </row>
    <row r="1284">
      <c r="A1284" s="25" t="s">
        <v>4107</v>
      </c>
      <c r="B1284" s="28" t="str">
        <f t="array" ref="B1284">_xlfn.XLOOKUP($A1284, 'Customer Names'!$A:$A, 'Customer Names'!B:B, "No Data")</f>
        <v>Reed</v>
      </c>
      <c r="C1284" s="28">
        <f t="array" ref="C1284">_xlfn.XLOOKUP($A1284, 'Medical Examinations'!$A:$A, 'Medical Examinations'!B:B, "No Data")</f>
        <v>31.93</v>
      </c>
      <c r="D1284" s="28">
        <f t="array" ref="D1284">_xlfn.XLOOKUP($A1284, 'Medical Examinations'!$A:$A, 'Medical Examinations'!C:C, "No Data")</f>
        <v>4.82</v>
      </c>
      <c r="E1284" s="28" t="str">
        <f t="array" ref="E1284">_xlfn.XLOOKUP($A1284, 'Medical Examinations'!$A:$A, 'Medical Examinations'!D:D, "No Data")</f>
        <v>yes</v>
      </c>
      <c r="F1284" s="28" t="str">
        <f t="array" ref="F1284">_xlfn.XLOOKUP($A1284, 'Medical Examinations'!$A:$A, 'Medical Examinations'!E:E, "No Data")</f>
        <v>No</v>
      </c>
      <c r="G1284" s="28" t="str">
        <f t="array" ref="G1284">_xlfn.XLOOKUP($A1284, 'Medical Examinations'!$A:$A, 'Medical Examinations'!F:F, "No Data")</f>
        <v>No</v>
      </c>
      <c r="H1284" s="28">
        <f t="array" ref="H1284">_xlfn.XLOOKUP($A1284, 'Medical Examinations'!$A:$A, 'Medical Examinations'!G:G, "No Data")</f>
        <v>1</v>
      </c>
      <c r="I1284" s="28" t="str">
        <f t="array" ref="I1284">_xlfn.XLOOKUP($A1284, 'Medical Examinations'!$A:$A, 'Medical Examinations'!H:H, "No Data")</f>
        <v>No</v>
      </c>
      <c r="J1284" s="28" t="str">
        <f t="array" ref="J1284">_xlfn.XLOOKUP($A1284, 'Medical Examinations'!$A:$A, 'Medical Examinations'!I:I, "No Data")</f>
        <v>Obesity</v>
      </c>
      <c r="K1284" s="28" t="str">
        <f t="array" ref="K1284">_xlfn.XLOOKUP($A1284, 'Hospitalisation Details'!$A:$A, 'Hospitalisation Details'!I:I, "No Data")</f>
        <v>tier - 1</v>
      </c>
      <c r="L1284" s="28" t="str">
        <f t="array" ref="L1284">_xlfn.XLOOKUP($A1284, 'Hospitalisation Details'!$A:$A, 'Hospitalisation Details'!J:J, "No Data")</f>
        <v>R1012</v>
      </c>
      <c r="M1284" s="28" t="str">
        <f t="array" ref="M1284">_xlfn.XLOOKUP($A1284, 'Hospitalisation Details'!$A:$A, 'Hospitalisation Details'!E:E, "No Data")</f>
        <v>21/09/88</v>
      </c>
      <c r="N1284" s="28">
        <f t="array" ref="N1284">_xlfn.XLOOKUP($A1284, 'Hospitalisation Details'!$A:$A, 'Hospitalisation Details'!K:K, "No Data")</f>
        <v>34</v>
      </c>
      <c r="O1284" s="33">
        <f t="array" ref="O1284">_xlfn.XLOOKUP($A1284, 'Hospitalisation Details'!$A:$A, 'Hospitalisation Details'!G:G, "No Data")</f>
        <v>8567.25</v>
      </c>
      <c r="P1284" s="28" t="str">
        <f t="array" ref="P1284">_xlfn.XLOOKUP($A1284, 'Hospitalisation Details'!$A:$A, 'Hospitalisation Details'!H:H, "No Data")</f>
        <v>tier - 2</v>
      </c>
    </row>
    <row r="1285">
      <c r="A1285" s="25" t="s">
        <v>4109</v>
      </c>
      <c r="B1285" s="28" t="str">
        <f t="array" ref="B1285">_xlfn.XLOOKUP($A1285, 'Customer Names'!$A:$A, 'Customer Names'!B:B, "No Data")</f>
        <v>Wegner</v>
      </c>
      <c r="C1285" s="28">
        <f t="array" ref="C1285">_xlfn.XLOOKUP($A1285, 'Medical Examinations'!$A:$A, 'Medical Examinations'!B:B, "No Data")</f>
        <v>36</v>
      </c>
      <c r="D1285" s="28">
        <f t="array" ref="D1285">_xlfn.XLOOKUP($A1285, 'Medical Examinations'!$A:$A, 'Medical Examinations'!C:C, "No Data")</f>
        <v>11.94</v>
      </c>
      <c r="E1285" s="28" t="str">
        <f t="array" ref="E1285">_xlfn.XLOOKUP($A1285, 'Medical Examinations'!$A:$A, 'Medical Examinations'!D:D, "No Data")</f>
        <v>yes</v>
      </c>
      <c r="F1285" s="28" t="str">
        <f t="array" ref="F1285">_xlfn.XLOOKUP($A1285, 'Medical Examinations'!$A:$A, 'Medical Examinations'!E:E, "No Data")</f>
        <v>No</v>
      </c>
      <c r="G1285" s="28" t="str">
        <f t="array" ref="G1285">_xlfn.XLOOKUP($A1285, 'Medical Examinations'!$A:$A, 'Medical Examinations'!F:F, "No Data")</f>
        <v>No</v>
      </c>
      <c r="H1285" s="28">
        <f t="array" ref="H1285">_xlfn.XLOOKUP($A1285, 'Medical Examinations'!$A:$A, 'Medical Examinations'!G:G, "No Data")</f>
        <v>1</v>
      </c>
      <c r="I1285" s="28" t="str">
        <f t="array" ref="I1285">_xlfn.XLOOKUP($A1285, 'Medical Examinations'!$A:$A, 'Medical Examinations'!H:H, "No Data")</f>
        <v>No</v>
      </c>
      <c r="J1285" s="28" t="str">
        <f t="array" ref="J1285">_xlfn.XLOOKUP($A1285, 'Medical Examinations'!$A:$A, 'Medical Examinations'!I:I, "No Data")</f>
        <v>Obesity</v>
      </c>
      <c r="K1285" s="28" t="str">
        <f t="array" ref="K1285">_xlfn.XLOOKUP($A1285, 'Hospitalisation Details'!$A:$A, 'Hospitalisation Details'!I:I, "No Data")</f>
        <v>tier - 1</v>
      </c>
      <c r="L1285" s="28" t="str">
        <f t="array" ref="L1285">_xlfn.XLOOKUP($A1285, 'Hospitalisation Details'!$A:$A, 'Hospitalisation Details'!J:J, "No Data")</f>
        <v>R1011</v>
      </c>
      <c r="M1285" s="28" t="str">
        <f t="array" ref="M1285">_xlfn.XLOOKUP($A1285, 'Hospitalisation Details'!$A:$A, 'Hospitalisation Details'!E:E, "No Data")</f>
        <v>21/08/75</v>
      </c>
      <c r="N1285" s="28">
        <f t="array" ref="N1285">_xlfn.XLOOKUP($A1285, 'Hospitalisation Details'!$A:$A, 'Hospitalisation Details'!K:K, "No Data")</f>
        <v>47</v>
      </c>
      <c r="O1285" s="33">
        <f t="array" ref="O1285">_xlfn.XLOOKUP($A1285, 'Hospitalisation Details'!$A:$A, 'Hospitalisation Details'!G:G, "No Data")</f>
        <v>8556.91</v>
      </c>
      <c r="P1285" s="28" t="str">
        <f t="array" ref="P1285">_xlfn.XLOOKUP($A1285, 'Hospitalisation Details'!$A:$A, 'Hospitalisation Details'!H:H, "No Data")</f>
        <v>tier - 2</v>
      </c>
    </row>
    <row r="1286">
      <c r="A1286" s="25" t="s">
        <v>4113</v>
      </c>
      <c r="B1286" s="28" t="str">
        <f t="array" ref="B1286">_xlfn.XLOOKUP($A1286, 'Customer Names'!$A:$A, 'Customer Names'!B:B, "No Data")</f>
        <v>Bokun</v>
      </c>
      <c r="C1286" s="28">
        <f t="array" ref="C1286">_xlfn.XLOOKUP($A1286, 'Medical Examinations'!$A:$A, 'Medical Examinations'!B:B, "No Data")</f>
        <v>32</v>
      </c>
      <c r="D1286" s="28">
        <f t="array" ref="D1286">_xlfn.XLOOKUP($A1286, 'Medical Examinations'!$A:$A, 'Medical Examinations'!C:C, "No Data")</f>
        <v>7.85</v>
      </c>
      <c r="E1286" s="28" t="str">
        <f t="array" ref="E1286">_xlfn.XLOOKUP($A1286, 'Medical Examinations'!$A:$A, 'Medical Examinations'!D:D, "No Data")</f>
        <v>yes</v>
      </c>
      <c r="F1286" s="28" t="str">
        <f t="array" ref="F1286">_xlfn.XLOOKUP($A1286, 'Medical Examinations'!$A:$A, 'Medical Examinations'!E:E, "No Data")</f>
        <v>No</v>
      </c>
      <c r="G1286" s="28" t="str">
        <f t="array" ref="G1286">_xlfn.XLOOKUP($A1286, 'Medical Examinations'!$A:$A, 'Medical Examinations'!F:F, "No Data")</f>
        <v>No</v>
      </c>
      <c r="H1286" s="28">
        <f t="array" ref="H1286">_xlfn.XLOOKUP($A1286, 'Medical Examinations'!$A:$A, 'Medical Examinations'!G:G, "No Data")</f>
        <v>1</v>
      </c>
      <c r="I1286" s="28" t="str">
        <f t="array" ref="I1286">_xlfn.XLOOKUP($A1286, 'Medical Examinations'!$A:$A, 'Medical Examinations'!H:H, "No Data")</f>
        <v>No</v>
      </c>
      <c r="J1286" s="28" t="str">
        <f t="array" ref="J1286">_xlfn.XLOOKUP($A1286, 'Medical Examinations'!$A:$A, 'Medical Examinations'!I:I, "No Data")</f>
        <v>Obesity</v>
      </c>
      <c r="K1286" s="28" t="str">
        <f t="array" ref="K1286">_xlfn.XLOOKUP($A1286, 'Hospitalisation Details'!$A:$A, 'Hospitalisation Details'!I:I, "No Data")</f>
        <v>tier - 2</v>
      </c>
      <c r="L1286" s="28" t="str">
        <f t="array" ref="L1286">_xlfn.XLOOKUP($A1286, 'Hospitalisation Details'!$A:$A, 'Hospitalisation Details'!J:J, "No Data")</f>
        <v>R1011</v>
      </c>
      <c r="M1286" s="28" t="str">
        <f t="array" ref="M1286">_xlfn.XLOOKUP($A1286, 'Hospitalisation Details'!$A:$A, 'Hospitalisation Details'!E:E, "No Data")</f>
        <v>06/08/75</v>
      </c>
      <c r="N1286" s="28">
        <f t="array" ref="N1286">_xlfn.XLOOKUP($A1286, 'Hospitalisation Details'!$A:$A, 'Hospitalisation Details'!K:K, "No Data")</f>
        <v>47</v>
      </c>
      <c r="O1286" s="33">
        <f t="array" ref="O1286">_xlfn.XLOOKUP($A1286, 'Hospitalisation Details'!$A:$A, 'Hospitalisation Details'!G:G, "No Data")</f>
        <v>8551.35</v>
      </c>
      <c r="P1286" s="28" t="str">
        <f t="array" ref="P1286">_xlfn.XLOOKUP($A1286, 'Hospitalisation Details'!$A:$A, 'Hospitalisation Details'!H:H, "No Data")</f>
        <v>tier - 2</v>
      </c>
    </row>
    <row r="1287">
      <c r="A1287" s="25" t="s">
        <v>4116</v>
      </c>
      <c r="B1287" s="28" t="str">
        <f t="array" ref="B1287">_xlfn.XLOOKUP($A1287, 'Customer Names'!$A:$A, 'Customer Names'!B:B, "No Data")</f>
        <v>Ainsley</v>
      </c>
      <c r="C1287" s="28">
        <f t="array" ref="C1287">_xlfn.XLOOKUP($A1287, 'Medical Examinations'!$A:$A, 'Medical Examinations'!B:B, "No Data")</f>
        <v>29.37</v>
      </c>
      <c r="D1287" s="28">
        <f t="array" ref="D1287">_xlfn.XLOOKUP($A1287, 'Medical Examinations'!$A:$A, 'Medical Examinations'!C:C, "No Data")</f>
        <v>8.01</v>
      </c>
      <c r="E1287" s="28" t="str">
        <f t="array" ref="E1287">_xlfn.XLOOKUP($A1287, 'Medical Examinations'!$A:$A, 'Medical Examinations'!D:D, "No Data")</f>
        <v>yes</v>
      </c>
      <c r="F1287" s="28" t="str">
        <f t="array" ref="F1287">_xlfn.XLOOKUP($A1287, 'Medical Examinations'!$A:$A, 'Medical Examinations'!E:E, "No Data")</f>
        <v>No</v>
      </c>
      <c r="G1287" s="28" t="str">
        <f t="array" ref="G1287">_xlfn.XLOOKUP($A1287, 'Medical Examinations'!$A:$A, 'Medical Examinations'!F:F, "No Data")</f>
        <v>No</v>
      </c>
      <c r="H1287" s="28">
        <f t="array" ref="H1287">_xlfn.XLOOKUP($A1287, 'Medical Examinations'!$A:$A, 'Medical Examinations'!G:G, "No Data")</f>
        <v>1</v>
      </c>
      <c r="I1287" s="28" t="str">
        <f t="array" ref="I1287">_xlfn.XLOOKUP($A1287, 'Medical Examinations'!$A:$A, 'Medical Examinations'!H:H, "No Data")</f>
        <v>No</v>
      </c>
      <c r="J1287" s="28" t="str">
        <f t="array" ref="J1287">_xlfn.XLOOKUP($A1287, 'Medical Examinations'!$A:$A, 'Medical Examinations'!I:I, "No Data")</f>
        <v>Overweight</v>
      </c>
      <c r="K1287" s="28" t="str">
        <f t="array" ref="K1287">_xlfn.XLOOKUP($A1287, 'Hospitalisation Details'!$A:$A, 'Hospitalisation Details'!I:I, "No Data")</f>
        <v>tier - 1</v>
      </c>
      <c r="L1287" s="28" t="str">
        <f t="array" ref="L1287">_xlfn.XLOOKUP($A1287, 'Hospitalisation Details'!$A:$A, 'Hospitalisation Details'!J:J, "No Data")</f>
        <v>R1013</v>
      </c>
      <c r="M1287" s="28" t="str">
        <f t="array" ref="M1287">_xlfn.XLOOKUP($A1287, 'Hospitalisation Details'!$A:$A, 'Hospitalisation Details'!E:E, "No Data")</f>
        <v>12/12/00</v>
      </c>
      <c r="N1287" s="28">
        <f t="array" ref="N1287">_xlfn.XLOOKUP($A1287, 'Hospitalisation Details'!$A:$A, 'Hospitalisation Details'!K:K, "No Data")</f>
        <v>22</v>
      </c>
      <c r="O1287" s="33">
        <f t="array" ref="O1287">_xlfn.XLOOKUP($A1287, 'Hospitalisation Details'!$A:$A, 'Hospitalisation Details'!G:G, "No Data")</f>
        <v>8547.69</v>
      </c>
      <c r="P1287" s="28" t="str">
        <f t="array" ref="P1287">_xlfn.XLOOKUP($A1287, 'Hospitalisation Details'!$A:$A, 'Hospitalisation Details'!H:H, "No Data")</f>
        <v>tier - 2</v>
      </c>
    </row>
    <row r="1288">
      <c r="A1288" s="25" t="s">
        <v>4120</v>
      </c>
      <c r="B1288" s="28" t="str">
        <f t="array" ref="B1288">_xlfn.XLOOKUP($A1288, 'Customer Names'!$A:$A, 'Customer Names'!B:B, "No Data")</f>
        <v>Foster</v>
      </c>
      <c r="C1288" s="28">
        <f t="array" ref="C1288">_xlfn.XLOOKUP($A1288, 'Medical Examinations'!$A:$A, 'Medical Examinations'!B:B, "No Data")</f>
        <v>23.6</v>
      </c>
      <c r="D1288" s="28">
        <f t="array" ref="D1288">_xlfn.XLOOKUP($A1288, 'Medical Examinations'!$A:$A, 'Medical Examinations'!C:C, "No Data")</f>
        <v>7.4</v>
      </c>
      <c r="E1288" s="28" t="str">
        <f t="array" ref="E1288">_xlfn.XLOOKUP($A1288, 'Medical Examinations'!$A:$A, 'Medical Examinations'!D:D, "No Data")</f>
        <v>yes</v>
      </c>
      <c r="F1288" s="28" t="str">
        <f t="array" ref="F1288">_xlfn.XLOOKUP($A1288, 'Medical Examinations'!$A:$A, 'Medical Examinations'!E:E, "No Data")</f>
        <v>No</v>
      </c>
      <c r="G1288" s="28" t="str">
        <f t="array" ref="G1288">_xlfn.XLOOKUP($A1288, 'Medical Examinations'!$A:$A, 'Medical Examinations'!F:F, "No Data")</f>
        <v>No</v>
      </c>
      <c r="H1288" s="28">
        <f t="array" ref="H1288">_xlfn.XLOOKUP($A1288, 'Medical Examinations'!$A:$A, 'Medical Examinations'!G:G, "No Data")</f>
        <v>1</v>
      </c>
      <c r="I1288" s="28" t="str">
        <f t="array" ref="I1288">_xlfn.XLOOKUP($A1288, 'Medical Examinations'!$A:$A, 'Medical Examinations'!H:H, "No Data")</f>
        <v>No</v>
      </c>
      <c r="J1288" s="28" t="str">
        <f t="array" ref="J1288">_xlfn.XLOOKUP($A1288, 'Medical Examinations'!$A:$A, 'Medical Examinations'!I:I, "No Data")</f>
        <v>Normal Weight</v>
      </c>
      <c r="K1288" s="28" t="str">
        <f t="array" ref="K1288">_xlfn.XLOOKUP($A1288, 'Hospitalisation Details'!$A:$A, 'Hospitalisation Details'!I:I, "No Data")</f>
        <v>tier - 3</v>
      </c>
      <c r="L1288" s="28" t="str">
        <f t="array" ref="L1288">_xlfn.XLOOKUP($A1288, 'Hospitalisation Details'!$A:$A, 'Hospitalisation Details'!J:J, "No Data")</f>
        <v>R1011</v>
      </c>
      <c r="M1288" s="28" t="str">
        <f t="array" ref="M1288">_xlfn.XLOOKUP($A1288, 'Hospitalisation Details'!$A:$A, 'Hospitalisation Details'!E:E, "No Data")</f>
        <v>06/11/75</v>
      </c>
      <c r="N1288" s="28">
        <f t="array" ref="N1288">_xlfn.XLOOKUP($A1288, 'Hospitalisation Details'!$A:$A, 'Hospitalisation Details'!K:K, "No Data")</f>
        <v>47</v>
      </c>
      <c r="O1288" s="33">
        <f t="array" ref="O1288">_xlfn.XLOOKUP($A1288, 'Hospitalisation Details'!$A:$A, 'Hospitalisation Details'!G:G, "No Data")</f>
        <v>8539.67</v>
      </c>
      <c r="P1288" s="28" t="str">
        <f t="array" ref="P1288">_xlfn.XLOOKUP($A1288, 'Hospitalisation Details'!$A:$A, 'Hospitalisation Details'!H:H, "No Data")</f>
        <v>tier - 2</v>
      </c>
    </row>
    <row r="1289">
      <c r="A1289" s="25" t="s">
        <v>4122</v>
      </c>
      <c r="B1289" s="28" t="str">
        <f t="array" ref="B1289">_xlfn.XLOOKUP($A1289, 'Customer Names'!$A:$A, 'Customer Names'!B:B, "No Data")</f>
        <v>Overpeck</v>
      </c>
      <c r="C1289" s="28">
        <f t="array" ref="C1289">_xlfn.XLOOKUP($A1289, 'Medical Examinations'!$A:$A, 'Medical Examinations'!B:B, "No Data")</f>
        <v>33.155</v>
      </c>
      <c r="D1289" s="28">
        <f t="array" ref="D1289">_xlfn.XLOOKUP($A1289, 'Medical Examinations'!$A:$A, 'Medical Examinations'!C:C, "No Data")</f>
        <v>8.38</v>
      </c>
      <c r="E1289" s="28" t="str">
        <f t="array" ref="E1289">_xlfn.XLOOKUP($A1289, 'Medical Examinations'!$A:$A, 'Medical Examinations'!D:D, "No Data")</f>
        <v>yes</v>
      </c>
      <c r="F1289" s="28" t="str">
        <f t="array" ref="F1289">_xlfn.XLOOKUP($A1289, 'Medical Examinations'!$A:$A, 'Medical Examinations'!E:E, "No Data")</f>
        <v>No</v>
      </c>
      <c r="G1289" s="28" t="str">
        <f t="array" ref="G1289">_xlfn.XLOOKUP($A1289, 'Medical Examinations'!$A:$A, 'Medical Examinations'!F:F, "No Data")</f>
        <v>No</v>
      </c>
      <c r="H1289" s="28">
        <f t="array" ref="H1289">_xlfn.XLOOKUP($A1289, 'Medical Examinations'!$A:$A, 'Medical Examinations'!G:G, "No Data")</f>
        <v>0</v>
      </c>
      <c r="I1289" s="28" t="str">
        <f t="array" ref="I1289">_xlfn.XLOOKUP($A1289, 'Medical Examinations'!$A:$A, 'Medical Examinations'!H:H, "No Data")</f>
        <v>No</v>
      </c>
      <c r="J1289" s="28" t="str">
        <f t="array" ref="J1289">_xlfn.XLOOKUP($A1289, 'Medical Examinations'!$A:$A, 'Medical Examinations'!I:I, "No Data")</f>
        <v>Obesity</v>
      </c>
      <c r="K1289" s="28" t="str">
        <f t="array" ref="K1289">_xlfn.XLOOKUP($A1289, 'Hospitalisation Details'!$A:$A, 'Hospitalisation Details'!I:I, "No Data")</f>
        <v>tier - 3</v>
      </c>
      <c r="L1289" s="28" t="str">
        <f t="array" ref="L1289">_xlfn.XLOOKUP($A1289, 'Hospitalisation Details'!$A:$A, 'Hospitalisation Details'!J:J, "No Data")</f>
        <v>R1024</v>
      </c>
      <c r="M1289" s="28" t="str">
        <f t="array" ref="M1289">_xlfn.XLOOKUP($A1289, 'Hospitalisation Details'!$A:$A, 'Hospitalisation Details'!E:E, "No Data")</f>
        <v>27/12/81</v>
      </c>
      <c r="N1289" s="28">
        <f t="array" ref="N1289">_xlfn.XLOOKUP($A1289, 'Hospitalisation Details'!$A:$A, 'Hospitalisation Details'!K:K, "No Data")</f>
        <v>41</v>
      </c>
      <c r="O1289" s="33">
        <f t="array" ref="O1289">_xlfn.XLOOKUP($A1289, 'Hospitalisation Details'!$A:$A, 'Hospitalisation Details'!G:G, "No Data")</f>
        <v>8538.29</v>
      </c>
      <c r="P1289" s="28" t="str">
        <f t="array" ref="P1289">_xlfn.XLOOKUP($A1289, 'Hospitalisation Details'!$A:$A, 'Hospitalisation Details'!H:H, "No Data")</f>
        <v>tier - 2</v>
      </c>
    </row>
    <row r="1290">
      <c r="A1290" s="25" t="s">
        <v>4125</v>
      </c>
      <c r="B1290" s="28" t="str">
        <f t="array" ref="B1290">_xlfn.XLOOKUP($A1290, 'Customer Names'!$A:$A, 'Customer Names'!B:B, "No Data")</f>
        <v>Levine</v>
      </c>
      <c r="C1290" s="28">
        <f t="array" ref="C1290">_xlfn.XLOOKUP($A1290, 'Medical Examinations'!$A:$A, 'Medical Examinations'!B:B, "No Data")</f>
        <v>24.32</v>
      </c>
      <c r="D1290" s="28">
        <f t="array" ref="D1290">_xlfn.XLOOKUP($A1290, 'Medical Examinations'!$A:$A, 'Medical Examinations'!C:C, "No Data")</f>
        <v>11.56</v>
      </c>
      <c r="E1290" s="28" t="str">
        <f t="array" ref="E1290">_xlfn.XLOOKUP($A1290, 'Medical Examinations'!$A:$A, 'Medical Examinations'!D:D, "No Data")</f>
        <v>yes</v>
      </c>
      <c r="F1290" s="28" t="str">
        <f t="array" ref="F1290">_xlfn.XLOOKUP($A1290, 'Medical Examinations'!$A:$A, 'Medical Examinations'!E:E, "No Data")</f>
        <v>No</v>
      </c>
      <c r="G1290" s="28" t="str">
        <f t="array" ref="G1290">_xlfn.XLOOKUP($A1290, 'Medical Examinations'!$A:$A, 'Medical Examinations'!F:F, "No Data")</f>
        <v>No</v>
      </c>
      <c r="H1290" s="28">
        <f t="array" ref="H1290">_xlfn.XLOOKUP($A1290, 'Medical Examinations'!$A:$A, 'Medical Examinations'!G:G, "No Data")</f>
        <v>1</v>
      </c>
      <c r="I1290" s="28" t="str">
        <f t="array" ref="I1290">_xlfn.XLOOKUP($A1290, 'Medical Examinations'!$A:$A, 'Medical Examinations'!H:H, "No Data")</f>
        <v>No</v>
      </c>
      <c r="J1290" s="28" t="str">
        <f t="array" ref="J1290">_xlfn.XLOOKUP($A1290, 'Medical Examinations'!$A:$A, 'Medical Examinations'!I:I, "No Data")</f>
        <v>Normal Weight</v>
      </c>
      <c r="K1290" s="28" t="str">
        <f t="array" ref="K1290">_xlfn.XLOOKUP($A1290, 'Hospitalisation Details'!$A:$A, 'Hospitalisation Details'!I:I, "No Data")</f>
        <v>tier - 3</v>
      </c>
      <c r="L1290" s="28" t="str">
        <f t="array" ref="L1290">_xlfn.XLOOKUP($A1290, 'Hospitalisation Details'!$A:$A, 'Hospitalisation Details'!J:J, "No Data")</f>
        <v>R1024</v>
      </c>
      <c r="M1290" s="28" t="str">
        <f t="array" ref="M1290">_xlfn.XLOOKUP($A1290, 'Hospitalisation Details'!$A:$A, 'Hospitalisation Details'!E:E, "No Data")</f>
        <v>24/07/00</v>
      </c>
      <c r="N1290" s="28">
        <f t="array" ref="N1290">_xlfn.XLOOKUP($A1290, 'Hospitalisation Details'!$A:$A, 'Hospitalisation Details'!K:K, "No Data")</f>
        <v>22</v>
      </c>
      <c r="O1290" s="33">
        <f t="array" ref="O1290">_xlfn.XLOOKUP($A1290, 'Hospitalisation Details'!$A:$A, 'Hospitalisation Details'!G:G, "No Data")</f>
        <v>8534.67</v>
      </c>
      <c r="P1290" s="28" t="str">
        <f t="array" ref="P1290">_xlfn.XLOOKUP($A1290, 'Hospitalisation Details'!$A:$A, 'Hospitalisation Details'!H:H, "No Data")</f>
        <v>tier - 2</v>
      </c>
    </row>
    <row r="1291">
      <c r="A1291" s="25" t="s">
        <v>4128</v>
      </c>
      <c r="B1291" s="28" t="str">
        <f t="array" ref="B1291">_xlfn.XLOOKUP($A1291, 'Customer Names'!$A:$A, 'Customer Names'!B:B, "No Data")</f>
        <v>Jean</v>
      </c>
      <c r="C1291" s="28">
        <f t="array" ref="C1291">_xlfn.XLOOKUP($A1291, 'Medical Examinations'!$A:$A, 'Medical Examinations'!B:B, "No Data")</f>
        <v>36.3</v>
      </c>
      <c r="D1291" s="28">
        <f t="array" ref="D1291">_xlfn.XLOOKUP($A1291, 'Medical Examinations'!$A:$A, 'Medical Examinations'!C:C, "No Data")</f>
        <v>4.61</v>
      </c>
      <c r="E1291" s="28" t="str">
        <f t="array" ref="E1291">_xlfn.XLOOKUP($A1291, 'Medical Examinations'!$A:$A, 'Medical Examinations'!D:D, "No Data")</f>
        <v>No</v>
      </c>
      <c r="F1291" s="28" t="str">
        <f t="array" ref="F1291">_xlfn.XLOOKUP($A1291, 'Medical Examinations'!$A:$A, 'Medical Examinations'!E:E, "No Data")</f>
        <v>No</v>
      </c>
      <c r="G1291" s="28" t="str">
        <f t="array" ref="G1291">_xlfn.XLOOKUP($A1291, 'Medical Examinations'!$A:$A, 'Medical Examinations'!F:F, "No Data")</f>
        <v>No</v>
      </c>
      <c r="H1291" s="28">
        <f t="array" ref="H1291">_xlfn.XLOOKUP($A1291, 'Medical Examinations'!$A:$A, 'Medical Examinations'!G:G, "No Data")</f>
        <v>0</v>
      </c>
      <c r="I1291" s="28" t="str">
        <f t="array" ref="I1291">_xlfn.XLOOKUP($A1291, 'Medical Examinations'!$A:$A, 'Medical Examinations'!H:H, "No Data")</f>
        <v>No</v>
      </c>
      <c r="J1291" s="28" t="str">
        <f t="array" ref="J1291">_xlfn.XLOOKUP($A1291, 'Medical Examinations'!$A:$A, 'Medical Examinations'!I:I, "No Data")</f>
        <v>Obesity</v>
      </c>
      <c r="K1291" s="28" t="str">
        <f t="array" ref="K1291">_xlfn.XLOOKUP($A1291, 'Hospitalisation Details'!$A:$A, 'Hospitalisation Details'!I:I, "No Data")</f>
        <v>tier - 2</v>
      </c>
      <c r="L1291" s="28" t="str">
        <f t="array" ref="L1291">_xlfn.XLOOKUP($A1291, 'Hospitalisation Details'!$A:$A, 'Hospitalisation Details'!J:J, "No Data")</f>
        <v>R1013</v>
      </c>
      <c r="M1291" s="28" t="str">
        <f t="array" ref="M1291">_xlfn.XLOOKUP($A1291, 'Hospitalisation Details'!$A:$A, 'Hospitalisation Details'!E:E, "No Data")</f>
        <v>26/07/77</v>
      </c>
      <c r="N1291" s="28">
        <f t="array" ref="N1291">_xlfn.XLOOKUP($A1291, 'Hospitalisation Details'!$A:$A, 'Hospitalisation Details'!K:K, "No Data")</f>
        <v>45</v>
      </c>
      <c r="O1291" s="33">
        <f t="array" ref="O1291">_xlfn.XLOOKUP($A1291, 'Hospitalisation Details'!$A:$A, 'Hospitalisation Details'!G:G, "No Data")</f>
        <v>8527.53</v>
      </c>
      <c r="P1291" s="28" t="str">
        <f t="array" ref="P1291">_xlfn.XLOOKUP($A1291, 'Hospitalisation Details'!$A:$A, 'Hospitalisation Details'!H:H, "No Data")</f>
        <v>tier - 2</v>
      </c>
    </row>
    <row r="1292">
      <c r="A1292" s="25" t="s">
        <v>4132</v>
      </c>
      <c r="B1292" s="28" t="str">
        <f t="array" ref="B1292">_xlfn.XLOOKUP($A1292, 'Customer Names'!$A:$A, 'Customer Names'!B:B, "No Data")</f>
        <v>Wild</v>
      </c>
      <c r="C1292" s="28">
        <f t="array" ref="C1292">_xlfn.XLOOKUP($A1292, 'Medical Examinations'!$A:$A, 'Medical Examinations'!B:B, "No Data")</f>
        <v>34.4</v>
      </c>
      <c r="D1292" s="28">
        <f t="array" ref="D1292">_xlfn.XLOOKUP($A1292, 'Medical Examinations'!$A:$A, 'Medical Examinations'!C:C, "No Data")</f>
        <v>4.95</v>
      </c>
      <c r="E1292" s="28" t="str">
        <f t="array" ref="E1292">_xlfn.XLOOKUP($A1292, 'Medical Examinations'!$A:$A, 'Medical Examinations'!D:D, "No Data")</f>
        <v>No</v>
      </c>
      <c r="F1292" s="28" t="str">
        <f t="array" ref="F1292">_xlfn.XLOOKUP($A1292, 'Medical Examinations'!$A:$A, 'Medical Examinations'!E:E, "No Data")</f>
        <v>No</v>
      </c>
      <c r="G1292" s="28" t="str">
        <f t="array" ref="G1292">_xlfn.XLOOKUP($A1292, 'Medical Examinations'!$A:$A, 'Medical Examinations'!F:F, "No Data")</f>
        <v>Yes</v>
      </c>
      <c r="H1292" s="28">
        <f t="array" ref="H1292">_xlfn.XLOOKUP($A1292, 'Medical Examinations'!$A:$A, 'Medical Examinations'!G:G, "No Data")</f>
        <v>1</v>
      </c>
      <c r="I1292" s="28" t="str">
        <f t="array" ref="I1292">_xlfn.XLOOKUP($A1292, 'Medical Examinations'!$A:$A, 'Medical Examinations'!H:H, "No Data")</f>
        <v>No</v>
      </c>
      <c r="J1292" s="28" t="str">
        <f t="array" ref="J1292">_xlfn.XLOOKUP($A1292, 'Medical Examinations'!$A:$A, 'Medical Examinations'!I:I, "No Data")</f>
        <v>Obesity</v>
      </c>
      <c r="K1292" s="28" t="str">
        <f t="array" ref="K1292">_xlfn.XLOOKUP($A1292, 'Hospitalisation Details'!$A:$A, 'Hospitalisation Details'!I:I, "No Data")</f>
        <v>tier - 2</v>
      </c>
      <c r="L1292" s="28" t="str">
        <f t="array" ref="L1292">_xlfn.XLOOKUP($A1292, 'Hospitalisation Details'!$A:$A, 'Hospitalisation Details'!J:J, "No Data")</f>
        <v>R1011</v>
      </c>
      <c r="M1292" s="28" t="str">
        <f t="array" ref="M1292">_xlfn.XLOOKUP($A1292, 'Hospitalisation Details'!$A:$A, 'Hospitalisation Details'!E:E, "No Data")</f>
        <v>13/08/79</v>
      </c>
      <c r="N1292" s="28">
        <f t="array" ref="N1292">_xlfn.XLOOKUP($A1292, 'Hospitalisation Details'!$A:$A, 'Hospitalisation Details'!K:K, "No Data")</f>
        <v>43</v>
      </c>
      <c r="O1292" s="33">
        <f t="array" ref="O1292">_xlfn.XLOOKUP($A1292, 'Hospitalisation Details'!$A:$A, 'Hospitalisation Details'!G:G, "No Data")</f>
        <v>8522</v>
      </c>
      <c r="P1292" s="28" t="str">
        <f t="array" ref="P1292">_xlfn.XLOOKUP($A1292, 'Hospitalisation Details'!$A:$A, 'Hospitalisation Details'!H:H, "No Data")</f>
        <v>tier - 2</v>
      </c>
    </row>
    <row r="1293">
      <c r="A1293" s="25" t="s">
        <v>4134</v>
      </c>
      <c r="B1293" s="28" t="str">
        <f t="array" ref="B1293">_xlfn.XLOOKUP($A1293, 'Customer Names'!$A:$A, 'Customer Names'!B:B, "No Data")</f>
        <v>Tabor</v>
      </c>
      <c r="C1293" s="28">
        <f t="array" ref="C1293">_xlfn.XLOOKUP($A1293, 'Medical Examinations'!$A:$A, 'Medical Examinations'!B:B, "No Data")</f>
        <v>30.9</v>
      </c>
      <c r="D1293" s="28">
        <f t="array" ref="D1293">_xlfn.XLOOKUP($A1293, 'Medical Examinations'!$A:$A, 'Medical Examinations'!C:C, "No Data")</f>
        <v>5.04</v>
      </c>
      <c r="E1293" s="28" t="str">
        <f t="array" ref="E1293">_xlfn.XLOOKUP($A1293, 'Medical Examinations'!$A:$A, 'Medical Examinations'!D:D, "No Data")</f>
        <v>No</v>
      </c>
      <c r="F1293" s="28" t="str">
        <f t="array" ref="F1293">_xlfn.XLOOKUP($A1293, 'Medical Examinations'!$A:$A, 'Medical Examinations'!E:E, "No Data")</f>
        <v>No</v>
      </c>
      <c r="G1293" s="28" t="str">
        <f t="array" ref="G1293">_xlfn.XLOOKUP($A1293, 'Medical Examinations'!$A:$A, 'Medical Examinations'!F:F, "No Data")</f>
        <v>No</v>
      </c>
      <c r="H1293" s="28">
        <f t="array" ref="H1293">_xlfn.XLOOKUP($A1293, 'Medical Examinations'!$A:$A, 'Medical Examinations'!G:G, "No Data")</f>
        <v>0</v>
      </c>
      <c r="I1293" s="28" t="str">
        <f t="array" ref="I1293">_xlfn.XLOOKUP($A1293, 'Medical Examinations'!$A:$A, 'Medical Examinations'!H:H, "No Data")</f>
        <v>No</v>
      </c>
      <c r="J1293" s="28" t="str">
        <f t="array" ref="J1293">_xlfn.XLOOKUP($A1293, 'Medical Examinations'!$A:$A, 'Medical Examinations'!I:I, "No Data")</f>
        <v>Obesity</v>
      </c>
      <c r="K1293" s="28" t="str">
        <f t="array" ref="K1293">_xlfn.XLOOKUP($A1293, 'Hospitalisation Details'!$A:$A, 'Hospitalisation Details'!I:I, "No Data")</f>
        <v>tier - 3</v>
      </c>
      <c r="L1293" s="28" t="str">
        <f t="array" ref="L1293">_xlfn.XLOOKUP($A1293, 'Hospitalisation Details'!$A:$A, 'Hospitalisation Details'!J:J, "No Data")</f>
        <v>R1011</v>
      </c>
      <c r="M1293" s="28" t="str">
        <f t="array" ref="M1293">_xlfn.XLOOKUP($A1293, 'Hospitalisation Details'!$A:$A, 'Hospitalisation Details'!E:E, "No Data")</f>
        <v>29/12/77</v>
      </c>
      <c r="N1293" s="28">
        <f t="array" ref="N1293">_xlfn.XLOOKUP($A1293, 'Hospitalisation Details'!$A:$A, 'Hospitalisation Details'!K:K, "No Data")</f>
        <v>45</v>
      </c>
      <c r="O1293" s="33">
        <f t="array" ref="O1293">_xlfn.XLOOKUP($A1293, 'Hospitalisation Details'!$A:$A, 'Hospitalisation Details'!G:G, "No Data")</f>
        <v>8520.03</v>
      </c>
      <c r="P1293" s="28" t="str">
        <f t="array" ref="P1293">_xlfn.XLOOKUP($A1293, 'Hospitalisation Details'!$A:$A, 'Hospitalisation Details'!H:H, "No Data")</f>
        <v>tier - 2</v>
      </c>
    </row>
    <row r="1294">
      <c r="A1294" s="25" t="s">
        <v>4137</v>
      </c>
      <c r="B1294" s="28" t="str">
        <f t="array" ref="B1294">_xlfn.XLOOKUP($A1294, 'Customer Names'!$A:$A, 'Customer Names'!B:B, "No Data")</f>
        <v>Steffen</v>
      </c>
      <c r="C1294" s="28">
        <f t="array" ref="C1294">_xlfn.XLOOKUP($A1294, 'Medical Examinations'!$A:$A, 'Medical Examinations'!B:B, "No Data")</f>
        <v>28.6</v>
      </c>
      <c r="D1294" s="28">
        <f t="array" ref="D1294">_xlfn.XLOOKUP($A1294, 'Medical Examinations'!$A:$A, 'Medical Examinations'!C:C, "No Data")</f>
        <v>5.42</v>
      </c>
      <c r="E1294" s="28" t="str">
        <f t="array" ref="E1294">_xlfn.XLOOKUP($A1294, 'Medical Examinations'!$A:$A, 'Medical Examinations'!D:D, "No Data")</f>
        <v>No</v>
      </c>
      <c r="F1294" s="28" t="str">
        <f t="array" ref="F1294">_xlfn.XLOOKUP($A1294, 'Medical Examinations'!$A:$A, 'Medical Examinations'!E:E, "No Data")</f>
        <v>No</v>
      </c>
      <c r="G1294" s="28" t="str">
        <f t="array" ref="G1294">_xlfn.XLOOKUP($A1294, 'Medical Examinations'!$A:$A, 'Medical Examinations'!F:F, "No Data")</f>
        <v>No</v>
      </c>
      <c r="H1294" s="28">
        <f t="array" ref="H1294">_xlfn.XLOOKUP($A1294, 'Medical Examinations'!$A:$A, 'Medical Examinations'!G:G, "No Data")</f>
        <v>0</v>
      </c>
      <c r="I1294" s="28" t="str">
        <f t="array" ref="I1294">_xlfn.XLOOKUP($A1294, 'Medical Examinations'!$A:$A, 'Medical Examinations'!H:H, "No Data")</f>
        <v>No</v>
      </c>
      <c r="J1294" s="28" t="str">
        <f t="array" ref="J1294">_xlfn.XLOOKUP($A1294, 'Medical Examinations'!$A:$A, 'Medical Examinations'!I:I, "No Data")</f>
        <v>Overweight</v>
      </c>
      <c r="K1294" s="28" t="str">
        <f t="array" ref="K1294">_xlfn.XLOOKUP($A1294, 'Hospitalisation Details'!$A:$A, 'Hospitalisation Details'!I:I, "No Data")</f>
        <v>tier - 1</v>
      </c>
      <c r="L1294" s="28" t="str">
        <f t="array" ref="L1294">_xlfn.XLOOKUP($A1294, 'Hospitalisation Details'!$A:$A, 'Hospitalisation Details'!J:J, "No Data")</f>
        <v>R1013</v>
      </c>
      <c r="M1294" s="28" t="str">
        <f t="array" ref="M1294">_xlfn.XLOOKUP($A1294, 'Hospitalisation Details'!$A:$A, 'Hospitalisation Details'!E:E, "No Data")</f>
        <v>21/06/77</v>
      </c>
      <c r="N1294" s="28">
        <f t="array" ref="N1294">_xlfn.XLOOKUP($A1294, 'Hospitalisation Details'!$A:$A, 'Hospitalisation Details'!K:K, "No Data")</f>
        <v>45</v>
      </c>
      <c r="O1294" s="33">
        <f t="array" ref="O1294">_xlfn.XLOOKUP($A1294, 'Hospitalisation Details'!$A:$A, 'Hospitalisation Details'!G:G, "No Data")</f>
        <v>8516.83</v>
      </c>
      <c r="P1294" s="28" t="str">
        <f t="array" ref="P1294">_xlfn.XLOOKUP($A1294, 'Hospitalisation Details'!$A:$A, 'Hospitalisation Details'!H:H, "No Data")</f>
        <v>tier - 2</v>
      </c>
    </row>
    <row r="1295">
      <c r="A1295" s="25" t="s">
        <v>4141</v>
      </c>
      <c r="B1295" s="28" t="str">
        <f t="array" ref="B1295">_xlfn.XLOOKUP($A1295, 'Customer Names'!$A:$A, 'Customer Names'!B:B, "No Data")</f>
        <v>Tadich</v>
      </c>
      <c r="C1295" s="28">
        <f t="array" ref="C1295">_xlfn.XLOOKUP($A1295, 'Medical Examinations'!$A:$A, 'Medical Examinations'!B:B, "No Data")</f>
        <v>27.83</v>
      </c>
      <c r="D1295" s="28">
        <f t="array" ref="D1295">_xlfn.XLOOKUP($A1295, 'Medical Examinations'!$A:$A, 'Medical Examinations'!C:C, "No Data")</f>
        <v>5.39</v>
      </c>
      <c r="E1295" s="28" t="str">
        <f t="array" ref="E1295">_xlfn.XLOOKUP($A1295, 'Medical Examinations'!$A:$A, 'Medical Examinations'!D:D, "No Data")</f>
        <v>No</v>
      </c>
      <c r="F1295" s="28" t="str">
        <f t="array" ref="F1295">_xlfn.XLOOKUP($A1295, 'Medical Examinations'!$A:$A, 'Medical Examinations'!E:E, "No Data")</f>
        <v>No</v>
      </c>
      <c r="G1295" s="28" t="str">
        <f t="array" ref="G1295">_xlfn.XLOOKUP($A1295, 'Medical Examinations'!$A:$A, 'Medical Examinations'!F:F, "No Data")</f>
        <v>No</v>
      </c>
      <c r="H1295" s="28">
        <f t="array" ref="H1295">_xlfn.XLOOKUP($A1295, 'Medical Examinations'!$A:$A, 'Medical Examinations'!G:G, "No Data")</f>
        <v>0</v>
      </c>
      <c r="I1295" s="28" t="str">
        <f t="array" ref="I1295">_xlfn.XLOOKUP($A1295, 'Medical Examinations'!$A:$A, 'Medical Examinations'!H:H, "No Data")</f>
        <v>No</v>
      </c>
      <c r="J1295" s="28" t="str">
        <f t="array" ref="J1295">_xlfn.XLOOKUP($A1295, 'Medical Examinations'!$A:$A, 'Medical Examinations'!I:I, "No Data")</f>
        <v>Overweight</v>
      </c>
      <c r="K1295" s="28" t="str">
        <f t="array" ref="K1295">_xlfn.XLOOKUP($A1295, 'Hospitalisation Details'!$A:$A, 'Hospitalisation Details'!I:I, "No Data")</f>
        <v>tier - 2</v>
      </c>
      <c r="L1295" s="28" t="str">
        <f t="array" ref="L1295">_xlfn.XLOOKUP($A1295, 'Hospitalisation Details'!$A:$A, 'Hospitalisation Details'!J:J, "No Data")</f>
        <v>R1013</v>
      </c>
      <c r="M1295" s="28" t="str">
        <f t="array" ref="M1295">_xlfn.XLOOKUP($A1295, 'Hospitalisation Details'!$A:$A, 'Hospitalisation Details'!E:E, "No Data")</f>
        <v>26/12/77</v>
      </c>
      <c r="N1295" s="28">
        <f t="array" ref="N1295">_xlfn.XLOOKUP($A1295, 'Hospitalisation Details'!$A:$A, 'Hospitalisation Details'!K:K, "No Data")</f>
        <v>45</v>
      </c>
      <c r="O1295" s="33">
        <f t="array" ref="O1295">_xlfn.XLOOKUP($A1295, 'Hospitalisation Details'!$A:$A, 'Hospitalisation Details'!G:G, "No Data")</f>
        <v>8515.76</v>
      </c>
      <c r="P1295" s="28" t="str">
        <f t="array" ref="P1295">_xlfn.XLOOKUP($A1295, 'Hospitalisation Details'!$A:$A, 'Hospitalisation Details'!H:H, "No Data")</f>
        <v>tier - 2</v>
      </c>
    </row>
    <row r="1296">
      <c r="A1296" s="25" t="s">
        <v>4144</v>
      </c>
      <c r="B1296" s="28" t="str">
        <f t="array" ref="B1296">_xlfn.XLOOKUP($A1296, 'Customer Names'!$A:$A, 'Customer Names'!B:B, "No Data")</f>
        <v>Christenson</v>
      </c>
      <c r="C1296" s="28">
        <f t="array" ref="C1296">_xlfn.XLOOKUP($A1296, 'Medical Examinations'!$A:$A, 'Medical Examinations'!B:B, "No Data")</f>
        <v>39.64</v>
      </c>
      <c r="D1296" s="28">
        <f t="array" ref="D1296">_xlfn.XLOOKUP($A1296, 'Medical Examinations'!$A:$A, 'Medical Examinations'!C:C, "No Data")</f>
        <v>6</v>
      </c>
      <c r="E1296" s="28" t="str">
        <f t="array" ref="E1296">_xlfn.XLOOKUP($A1296, 'Medical Examinations'!$A:$A, 'Medical Examinations'!D:D, "No Data")</f>
        <v>No</v>
      </c>
      <c r="F1296" s="28" t="str">
        <f t="array" ref="F1296">_xlfn.XLOOKUP($A1296, 'Medical Examinations'!$A:$A, 'Medical Examinations'!E:E, "No Data")</f>
        <v>No</v>
      </c>
      <c r="G1296" s="28" t="str">
        <f t="array" ref="G1296">_xlfn.XLOOKUP($A1296, 'Medical Examinations'!$A:$A, 'Medical Examinations'!F:F, "No Data")</f>
        <v>Yes</v>
      </c>
      <c r="H1296" s="28">
        <f t="array" ref="H1296">_xlfn.XLOOKUP($A1296, 'Medical Examinations'!$A:$A, 'Medical Examinations'!G:G, "No Data")</f>
        <v>1</v>
      </c>
      <c r="I1296" s="28" t="str">
        <f t="array" ref="I1296">_xlfn.XLOOKUP($A1296, 'Medical Examinations'!$A:$A, 'Medical Examinations'!H:H, "No Data")</f>
        <v>No</v>
      </c>
      <c r="J1296" s="28" t="str">
        <f t="array" ref="J1296">_xlfn.XLOOKUP($A1296, 'Medical Examinations'!$A:$A, 'Medical Examinations'!I:I, "No Data")</f>
        <v>Obesity</v>
      </c>
      <c r="K1296" s="28" t="str">
        <f t="array" ref="K1296">_xlfn.XLOOKUP($A1296, 'Hospitalisation Details'!$A:$A, 'Hospitalisation Details'!I:I, "No Data")</f>
        <v>tier - 1</v>
      </c>
      <c r="L1296" s="28" t="str">
        <f t="array" ref="L1296">_xlfn.XLOOKUP($A1296, 'Hospitalisation Details'!$A:$A, 'Hospitalisation Details'!J:J, "No Data")</f>
        <v>R1012</v>
      </c>
      <c r="M1296" s="28" t="str">
        <f t="array" ref="M1296">_xlfn.XLOOKUP($A1296, 'Hospitalisation Details'!$A:$A, 'Hospitalisation Details'!E:E, "No Data")</f>
        <v>10/11/93</v>
      </c>
      <c r="N1296" s="28">
        <f t="array" ref="N1296">_xlfn.XLOOKUP($A1296, 'Hospitalisation Details'!$A:$A, 'Hospitalisation Details'!K:K, "No Data")</f>
        <v>29</v>
      </c>
      <c r="O1296" s="33">
        <f t="array" ref="O1296">_xlfn.XLOOKUP($A1296, 'Hospitalisation Details'!$A:$A, 'Hospitalisation Details'!G:G, "No Data")</f>
        <v>8471.65</v>
      </c>
      <c r="P1296" s="28" t="str">
        <f t="array" ref="P1296">_xlfn.XLOOKUP($A1296, 'Hospitalisation Details'!$A:$A, 'Hospitalisation Details'!H:H, "No Data")</f>
        <v>tier - 2</v>
      </c>
    </row>
    <row r="1297">
      <c r="A1297" s="25" t="s">
        <v>4148</v>
      </c>
      <c r="B1297" s="28" t="str">
        <f t="array" ref="B1297">_xlfn.XLOOKUP($A1297, 'Customer Names'!$A:$A, 'Customer Names'!B:B, "No Data")</f>
        <v>Shell</v>
      </c>
      <c r="C1297" s="28">
        <f t="array" ref="C1297">_xlfn.XLOOKUP($A1297, 'Medical Examinations'!$A:$A, 'Medical Examinations'!B:B, "No Data")</f>
        <v>38.48</v>
      </c>
      <c r="D1297" s="28">
        <f t="array" ref="D1297">_xlfn.XLOOKUP($A1297, 'Medical Examinations'!$A:$A, 'Medical Examinations'!C:C, "No Data")</f>
        <v>6.02</v>
      </c>
      <c r="E1297" s="28" t="str">
        <f t="array" ref="E1297">_xlfn.XLOOKUP($A1297, 'Medical Examinations'!$A:$A, 'Medical Examinations'!D:D, "No Data")</f>
        <v>No</v>
      </c>
      <c r="F1297" s="28" t="str">
        <f t="array" ref="F1297">_xlfn.XLOOKUP($A1297, 'Medical Examinations'!$A:$A, 'Medical Examinations'!E:E, "No Data")</f>
        <v>No</v>
      </c>
      <c r="G1297" s="28" t="str">
        <f t="array" ref="G1297">_xlfn.XLOOKUP($A1297, 'Medical Examinations'!$A:$A, 'Medical Examinations'!F:F, "No Data")</f>
        <v>No</v>
      </c>
      <c r="H1297" s="28">
        <f t="array" ref="H1297">_xlfn.XLOOKUP($A1297, 'Medical Examinations'!$A:$A, 'Medical Examinations'!G:G, "No Data")</f>
        <v>1</v>
      </c>
      <c r="I1297" s="28" t="str">
        <f t="array" ref="I1297">_xlfn.XLOOKUP($A1297, 'Medical Examinations'!$A:$A, 'Medical Examinations'!H:H, "No Data")</f>
        <v>No</v>
      </c>
      <c r="J1297" s="28" t="str">
        <f t="array" ref="J1297">_xlfn.XLOOKUP($A1297, 'Medical Examinations'!$A:$A, 'Medical Examinations'!I:I, "No Data")</f>
        <v>Obesity</v>
      </c>
      <c r="K1297" s="28" t="str">
        <f t="array" ref="K1297">_xlfn.XLOOKUP($A1297, 'Hospitalisation Details'!$A:$A, 'Hospitalisation Details'!I:I, "No Data")</f>
        <v>tier - 2</v>
      </c>
      <c r="L1297" s="28" t="str">
        <f t="array" ref="L1297">_xlfn.XLOOKUP($A1297, 'Hospitalisation Details'!$A:$A, 'Hospitalisation Details'!J:J, "No Data")</f>
        <v>R1012</v>
      </c>
      <c r="M1297" s="28" t="str">
        <f t="array" ref="M1297">_xlfn.XLOOKUP($A1297, 'Hospitalisation Details'!$A:$A, 'Hospitalisation Details'!E:E, "No Data")</f>
        <v>09/09/92</v>
      </c>
      <c r="N1297" s="28">
        <f t="array" ref="N1297">_xlfn.XLOOKUP($A1297, 'Hospitalisation Details'!$A:$A, 'Hospitalisation Details'!K:K, "No Data")</f>
        <v>30</v>
      </c>
      <c r="O1297" s="33">
        <f t="array" ref="O1297">_xlfn.XLOOKUP($A1297, 'Hospitalisation Details'!$A:$A, 'Hospitalisation Details'!G:G, "No Data")</f>
        <v>8466.35</v>
      </c>
      <c r="P1297" s="28" t="str">
        <f t="array" ref="P1297">_xlfn.XLOOKUP($A1297, 'Hospitalisation Details'!$A:$A, 'Hospitalisation Details'!H:H, "No Data")</f>
        <v>tier - 2</v>
      </c>
    </row>
    <row r="1298">
      <c r="A1298" s="25" t="s">
        <v>4151</v>
      </c>
      <c r="B1298" s="28" t="str">
        <f t="array" ref="B1298">_xlfn.XLOOKUP($A1298, 'Customer Names'!$A:$A, 'Customer Names'!B:B, "No Data")</f>
        <v>Rao</v>
      </c>
      <c r="C1298" s="28">
        <f t="array" ref="C1298">_xlfn.XLOOKUP($A1298, 'Medical Examinations'!$A:$A, 'Medical Examinations'!B:B, "No Data")</f>
        <v>36.2</v>
      </c>
      <c r="D1298" s="28">
        <f t="array" ref="D1298">_xlfn.XLOOKUP($A1298, 'Medical Examinations'!$A:$A, 'Medical Examinations'!C:C, "No Data")</f>
        <v>4.62</v>
      </c>
      <c r="E1298" s="28" t="str">
        <f t="array" ref="E1298">_xlfn.XLOOKUP($A1298, 'Medical Examinations'!$A:$A, 'Medical Examinations'!D:D, "No Data")</f>
        <v>No</v>
      </c>
      <c r="F1298" s="28" t="str">
        <f t="array" ref="F1298">_xlfn.XLOOKUP($A1298, 'Medical Examinations'!$A:$A, 'Medical Examinations'!E:E, "No Data")</f>
        <v>No</v>
      </c>
      <c r="G1298" s="28" t="str">
        <f t="array" ref="G1298">_xlfn.XLOOKUP($A1298, 'Medical Examinations'!$A:$A, 'Medical Examinations'!F:F, "No Data")</f>
        <v>No</v>
      </c>
      <c r="H1298" s="28">
        <f t="array" ref="H1298">_xlfn.XLOOKUP($A1298, 'Medical Examinations'!$A:$A, 'Medical Examinations'!G:G, "No Data")</f>
        <v>2</v>
      </c>
      <c r="I1298" s="28" t="str">
        <f t="array" ref="I1298">_xlfn.XLOOKUP($A1298, 'Medical Examinations'!$A:$A, 'Medical Examinations'!H:H, "No Data")</f>
        <v>No</v>
      </c>
      <c r="J1298" s="28" t="str">
        <f t="array" ref="J1298">_xlfn.XLOOKUP($A1298, 'Medical Examinations'!$A:$A, 'Medical Examinations'!I:I, "No Data")</f>
        <v>Obesity</v>
      </c>
      <c r="K1298" s="28" t="str">
        <f t="array" ref="K1298">_xlfn.XLOOKUP($A1298, 'Hospitalisation Details'!$A:$A, 'Hospitalisation Details'!I:I, "No Data")</f>
        <v>tier - 3</v>
      </c>
      <c r="L1298" s="28" t="str">
        <f t="array" ref="L1298">_xlfn.XLOOKUP($A1298, 'Hospitalisation Details'!$A:$A, 'Hospitalisation Details'!J:J, "No Data")</f>
        <v>R1011</v>
      </c>
      <c r="M1298" s="28" t="str">
        <f t="array" ref="M1298">_xlfn.XLOOKUP($A1298, 'Hospitalisation Details'!$A:$A, 'Hospitalisation Details'!E:E, "No Data")</f>
        <v>26/12/72</v>
      </c>
      <c r="N1298" s="28">
        <f t="array" ref="N1298">_xlfn.XLOOKUP($A1298, 'Hospitalisation Details'!$A:$A, 'Hospitalisation Details'!K:K, "No Data")</f>
        <v>50</v>
      </c>
      <c r="O1298" s="33">
        <f t="array" ref="O1298">_xlfn.XLOOKUP($A1298, 'Hospitalisation Details'!$A:$A, 'Hospitalisation Details'!G:G, "No Data")</f>
        <v>8457.82</v>
      </c>
      <c r="P1298" s="28" t="str">
        <f t="array" ref="P1298">_xlfn.XLOOKUP($A1298, 'Hospitalisation Details'!$A:$A, 'Hospitalisation Details'!H:H, "No Data")</f>
        <v>tier - 2</v>
      </c>
    </row>
    <row r="1299">
      <c r="A1299" s="25" t="s">
        <v>4155</v>
      </c>
      <c r="B1299" s="28" t="str">
        <f t="array" ref="B1299">_xlfn.XLOOKUP($A1299, 'Customer Names'!$A:$A, 'Customer Names'!B:B, "No Data")</f>
        <v>Myers</v>
      </c>
      <c r="C1299" s="28">
        <f t="array" ref="C1299">_xlfn.XLOOKUP($A1299, 'Medical Examinations'!$A:$A, 'Medical Examinations'!B:B, "No Data")</f>
        <v>27.13</v>
      </c>
      <c r="D1299" s="28">
        <f t="array" ref="D1299">_xlfn.XLOOKUP($A1299, 'Medical Examinations'!$A:$A, 'Medical Examinations'!C:C, "No Data")</f>
        <v>5.59</v>
      </c>
      <c r="E1299" s="28" t="str">
        <f t="array" ref="E1299">_xlfn.XLOOKUP($A1299, 'Medical Examinations'!$A:$A, 'Medical Examinations'!D:D, "No Data")</f>
        <v>No</v>
      </c>
      <c r="F1299" s="28" t="str">
        <f t="array" ref="F1299">_xlfn.XLOOKUP($A1299, 'Medical Examinations'!$A:$A, 'Medical Examinations'!E:E, "No Data")</f>
        <v>No</v>
      </c>
      <c r="G1299" s="28" t="str">
        <f t="array" ref="G1299">_xlfn.XLOOKUP($A1299, 'Medical Examinations'!$A:$A, 'Medical Examinations'!F:F, "No Data")</f>
        <v>No</v>
      </c>
      <c r="H1299" s="28">
        <f t="array" ref="H1299">_xlfn.XLOOKUP($A1299, 'Medical Examinations'!$A:$A, 'Medical Examinations'!G:G, "No Data")</f>
        <v>1</v>
      </c>
      <c r="I1299" s="28" t="str">
        <f t="array" ref="I1299">_xlfn.XLOOKUP($A1299, 'Medical Examinations'!$A:$A, 'Medical Examinations'!H:H, "No Data")</f>
        <v>No</v>
      </c>
      <c r="J1299" s="28" t="str">
        <f t="array" ref="J1299">_xlfn.XLOOKUP($A1299, 'Medical Examinations'!$A:$A, 'Medical Examinations'!I:I, "No Data")</f>
        <v>Overweight</v>
      </c>
      <c r="K1299" s="28" t="str">
        <f t="array" ref="K1299">_xlfn.XLOOKUP($A1299, 'Hospitalisation Details'!$A:$A, 'Hospitalisation Details'!I:I, "No Data")</f>
        <v>tier - 2</v>
      </c>
      <c r="L1299" s="28" t="str">
        <f t="array" ref="L1299">_xlfn.XLOOKUP($A1299, 'Hospitalisation Details'!$A:$A, 'Hospitalisation Details'!J:J, "No Data")</f>
        <v>R1025</v>
      </c>
      <c r="M1299" s="28" t="str">
        <f t="array" ref="M1299">_xlfn.XLOOKUP($A1299, 'Hospitalisation Details'!$A:$A, 'Hospitalisation Details'!E:E, "No Data")</f>
        <v>19/06/84</v>
      </c>
      <c r="N1299" s="28">
        <f t="array" ref="N1299">_xlfn.XLOOKUP($A1299, 'Hospitalisation Details'!$A:$A, 'Hospitalisation Details'!K:K, "No Data")</f>
        <v>38</v>
      </c>
      <c r="O1299" s="33">
        <f t="array" ref="O1299">_xlfn.XLOOKUP($A1299, 'Hospitalisation Details'!$A:$A, 'Hospitalisation Details'!G:G, "No Data")</f>
        <v>8450.82</v>
      </c>
      <c r="P1299" s="28" t="str">
        <f t="array" ref="P1299">_xlfn.XLOOKUP($A1299, 'Hospitalisation Details'!$A:$A, 'Hospitalisation Details'!H:H, "No Data")</f>
        <v>tier - 2</v>
      </c>
    </row>
    <row r="1300">
      <c r="A1300" s="25" t="s">
        <v>4158</v>
      </c>
      <c r="B1300" s="28" t="str">
        <f t="array" ref="B1300">_xlfn.XLOOKUP($A1300, 'Customer Names'!$A:$A, 'Customer Names'!B:B, "No Data")</f>
        <v>McLean</v>
      </c>
      <c r="C1300" s="28">
        <f t="array" ref="C1300">_xlfn.XLOOKUP($A1300, 'Medical Examinations'!$A:$A, 'Medical Examinations'!B:B, "No Data")</f>
        <v>20.75</v>
      </c>
      <c r="D1300" s="28">
        <f t="array" ref="D1300">_xlfn.XLOOKUP($A1300, 'Medical Examinations'!$A:$A, 'Medical Examinations'!C:C, "No Data")</f>
        <v>5.18</v>
      </c>
      <c r="E1300" s="28" t="str">
        <f t="array" ref="E1300">_xlfn.XLOOKUP($A1300, 'Medical Examinations'!$A:$A, 'Medical Examinations'!D:D, "No Data")</f>
        <v>yes</v>
      </c>
      <c r="F1300" s="28" t="str">
        <f t="array" ref="F1300">_xlfn.XLOOKUP($A1300, 'Medical Examinations'!$A:$A, 'Medical Examinations'!E:E, "No Data")</f>
        <v>No</v>
      </c>
      <c r="G1300" s="28" t="str">
        <f t="array" ref="G1300">_xlfn.XLOOKUP($A1300, 'Medical Examinations'!$A:$A, 'Medical Examinations'!F:F, "No Data")</f>
        <v>No</v>
      </c>
      <c r="H1300" s="28">
        <f t="array" ref="H1300">_xlfn.XLOOKUP($A1300, 'Medical Examinations'!$A:$A, 'Medical Examinations'!G:G, "No Data")</f>
        <v>2</v>
      </c>
      <c r="I1300" s="28" t="str">
        <f t="array" ref="I1300">_xlfn.XLOOKUP($A1300, 'Medical Examinations'!$A:$A, 'Medical Examinations'!H:H, "No Data")</f>
        <v>No</v>
      </c>
      <c r="J1300" s="28" t="str">
        <f t="array" ref="J1300">_xlfn.XLOOKUP($A1300, 'Medical Examinations'!$A:$A, 'Medical Examinations'!I:I, "No Data")</f>
        <v>Normal Weight</v>
      </c>
      <c r="K1300" s="28" t="str">
        <f t="array" ref="K1300">_xlfn.XLOOKUP($A1300, 'Hospitalisation Details'!$A:$A, 'Hospitalisation Details'!I:I, "No Data")</f>
        <v>tier - 1</v>
      </c>
      <c r="L1300" s="28" t="str">
        <f t="array" ref="L1300">_xlfn.XLOOKUP($A1300, 'Hospitalisation Details'!$A:$A, 'Hospitalisation Details'!J:J, "No Data")</f>
        <v>R1013</v>
      </c>
      <c r="M1300" s="28" t="str">
        <f t="array" ref="M1300">_xlfn.XLOOKUP($A1300, 'Hospitalisation Details'!$A:$A, 'Hospitalisation Details'!E:E, "No Data")</f>
        <v>12/06/66</v>
      </c>
      <c r="N1300" s="28">
        <f t="array" ref="N1300">_xlfn.XLOOKUP($A1300, 'Hospitalisation Details'!$A:$A, 'Hospitalisation Details'!K:K, "No Data")</f>
        <v>56</v>
      </c>
      <c r="O1300" s="33">
        <f t="array" ref="O1300">_xlfn.XLOOKUP($A1300, 'Hospitalisation Details'!$A:$A, 'Hospitalisation Details'!G:G, "No Data")</f>
        <v>8448.66</v>
      </c>
      <c r="P1300" s="28" t="str">
        <f t="array" ref="P1300">_xlfn.XLOOKUP($A1300, 'Hospitalisation Details'!$A:$A, 'Hospitalisation Details'!H:H, "No Data")</f>
        <v>tier - 3</v>
      </c>
    </row>
    <row r="1301">
      <c r="A1301" s="25" t="s">
        <v>4161</v>
      </c>
      <c r="B1301" s="28" t="str">
        <f t="array" ref="B1301">_xlfn.XLOOKUP($A1301, 'Customer Names'!$A:$A, 'Customer Names'!B:B, "No Data")</f>
        <v>Gomez</v>
      </c>
      <c r="C1301" s="28">
        <f t="array" ref="C1301">_xlfn.XLOOKUP($A1301, 'Medical Examinations'!$A:$A, 'Medical Examinations'!B:B, "No Data")</f>
        <v>26.6</v>
      </c>
      <c r="D1301" s="28">
        <f t="array" ref="D1301">_xlfn.XLOOKUP($A1301, 'Medical Examinations'!$A:$A, 'Medical Examinations'!C:C, "No Data")</f>
        <v>6.29</v>
      </c>
      <c r="E1301" s="28" t="str">
        <f t="array" ref="E1301">_xlfn.XLOOKUP($A1301, 'Medical Examinations'!$A:$A, 'Medical Examinations'!D:D, "No Data")</f>
        <v>No</v>
      </c>
      <c r="F1301" s="28" t="str">
        <f t="array" ref="F1301">_xlfn.XLOOKUP($A1301, 'Medical Examinations'!$A:$A, 'Medical Examinations'!E:E, "No Data")</f>
        <v>No</v>
      </c>
      <c r="G1301" s="28" t="str">
        <f t="array" ref="G1301">_xlfn.XLOOKUP($A1301, 'Medical Examinations'!$A:$A, 'Medical Examinations'!F:F, "No Data")</f>
        <v>No</v>
      </c>
      <c r="H1301" s="28">
        <f t="array" ref="H1301">_xlfn.XLOOKUP($A1301, 'Medical Examinations'!$A:$A, 'Medical Examinations'!G:G, "No Data")</f>
        <v>2</v>
      </c>
      <c r="I1301" s="28" t="str">
        <f t="array" ref="I1301">_xlfn.XLOOKUP($A1301, 'Medical Examinations'!$A:$A, 'Medical Examinations'!H:H, "No Data")</f>
        <v>No</v>
      </c>
      <c r="J1301" s="28" t="str">
        <f t="array" ref="J1301">_xlfn.XLOOKUP($A1301, 'Medical Examinations'!$A:$A, 'Medical Examinations'!I:I, "No Data")</f>
        <v>Overweight</v>
      </c>
      <c r="K1301" s="28" t="str">
        <f t="array" ref="K1301">_xlfn.XLOOKUP($A1301, 'Hospitalisation Details'!$A:$A, 'Hospitalisation Details'!I:I, "No Data")</f>
        <v>tier - 1</v>
      </c>
      <c r="L1301" s="28" t="str">
        <f t="array" ref="L1301">_xlfn.XLOOKUP($A1301, 'Hospitalisation Details'!$A:$A, 'Hospitalisation Details'!J:J, "No Data")</f>
        <v>R1011</v>
      </c>
      <c r="M1301" s="28" t="str">
        <f t="array" ref="M1301">_xlfn.XLOOKUP($A1301, 'Hospitalisation Details'!$A:$A, 'Hospitalisation Details'!E:E, "No Data")</f>
        <v>04/09/72</v>
      </c>
      <c r="N1301" s="28">
        <f t="array" ref="N1301">_xlfn.XLOOKUP($A1301, 'Hospitalisation Details'!$A:$A, 'Hospitalisation Details'!K:K, "No Data")</f>
        <v>50</v>
      </c>
      <c r="O1301" s="33">
        <f t="array" ref="O1301">_xlfn.XLOOKUP($A1301, 'Hospitalisation Details'!$A:$A, 'Hospitalisation Details'!G:G, "No Data")</f>
        <v>8444.47</v>
      </c>
      <c r="P1301" s="28" t="str">
        <f t="array" ref="P1301">_xlfn.XLOOKUP($A1301, 'Hospitalisation Details'!$A:$A, 'Hospitalisation Details'!H:H, "No Data")</f>
        <v>tier - 3</v>
      </c>
    </row>
    <row r="1302">
      <c r="A1302" s="25" t="s">
        <v>4163</v>
      </c>
      <c r="B1302" s="28" t="str">
        <f t="array" ref="B1302">_xlfn.XLOOKUP($A1302, 'Customer Names'!$A:$A, 'Customer Names'!B:B, "No Data")</f>
        <v>Hemingway</v>
      </c>
      <c r="C1302" s="28">
        <f t="array" ref="C1302">_xlfn.XLOOKUP($A1302, 'Medical Examinations'!$A:$A, 'Medical Examinations'!B:B, "No Data")</f>
        <v>25.3</v>
      </c>
      <c r="D1302" s="28">
        <f t="array" ref="D1302">_xlfn.XLOOKUP($A1302, 'Medical Examinations'!$A:$A, 'Medical Examinations'!C:C, "No Data")</f>
        <v>4.49</v>
      </c>
      <c r="E1302" s="28" t="str">
        <f t="array" ref="E1302">_xlfn.XLOOKUP($A1302, 'Medical Examinations'!$A:$A, 'Medical Examinations'!D:D, "No Data")</f>
        <v>No</v>
      </c>
      <c r="F1302" s="28" t="str">
        <f t="array" ref="F1302">_xlfn.XLOOKUP($A1302, 'Medical Examinations'!$A:$A, 'Medical Examinations'!E:E, "No Data")</f>
        <v>No</v>
      </c>
      <c r="G1302" s="28" t="str">
        <f t="array" ref="G1302">_xlfn.XLOOKUP($A1302, 'Medical Examinations'!$A:$A, 'Medical Examinations'!F:F, "No Data")</f>
        <v>No</v>
      </c>
      <c r="H1302" s="28">
        <f t="array" ref="H1302">_xlfn.XLOOKUP($A1302, 'Medical Examinations'!$A:$A, 'Medical Examinations'!G:G, "No Data")</f>
        <v>2</v>
      </c>
      <c r="I1302" s="28" t="str">
        <f t="array" ref="I1302">_xlfn.XLOOKUP($A1302, 'Medical Examinations'!$A:$A, 'Medical Examinations'!H:H, "No Data")</f>
        <v>No</v>
      </c>
      <c r="J1302" s="28" t="str">
        <f t="array" ref="J1302">_xlfn.XLOOKUP($A1302, 'Medical Examinations'!$A:$A, 'Medical Examinations'!I:I, "No Data")</f>
        <v>Overweight</v>
      </c>
      <c r="K1302" s="28" t="str">
        <f t="array" ref="K1302">_xlfn.XLOOKUP($A1302, 'Hospitalisation Details'!$A:$A, 'Hospitalisation Details'!I:I, "No Data")</f>
        <v>tier - 3</v>
      </c>
      <c r="L1302" s="28" t="str">
        <f t="array" ref="L1302">_xlfn.XLOOKUP($A1302, 'Hospitalisation Details'!$A:$A, 'Hospitalisation Details'!J:J, "No Data")</f>
        <v>R1013</v>
      </c>
      <c r="M1302" s="28" t="str">
        <f t="array" ref="M1302">_xlfn.XLOOKUP($A1302, 'Hospitalisation Details'!$A:$A, 'Hospitalisation Details'!E:E, "No Data")</f>
        <v>09/09/72</v>
      </c>
      <c r="N1302" s="28">
        <f t="array" ref="N1302">_xlfn.XLOOKUP($A1302, 'Hospitalisation Details'!$A:$A, 'Hospitalisation Details'!K:K, "No Data")</f>
        <v>50</v>
      </c>
      <c r="O1302" s="33">
        <f t="array" ref="O1302">_xlfn.XLOOKUP($A1302, 'Hospitalisation Details'!$A:$A, 'Hospitalisation Details'!G:G, "No Data")</f>
        <v>8442.67</v>
      </c>
      <c r="P1302" s="28" t="str">
        <f t="array" ref="P1302">_xlfn.XLOOKUP($A1302, 'Hospitalisation Details'!$A:$A, 'Hospitalisation Details'!H:H, "No Data")</f>
        <v>tier - 2</v>
      </c>
    </row>
    <row r="1303">
      <c r="A1303" s="25" t="s">
        <v>4167</v>
      </c>
      <c r="B1303" s="28" t="str">
        <f t="array" ref="B1303">_xlfn.XLOOKUP($A1303, 'Customer Names'!$A:$A, 'Customer Names'!B:B, "No Data")</f>
        <v>Pett</v>
      </c>
      <c r="C1303" s="28">
        <f t="array" ref="C1303">_xlfn.XLOOKUP($A1303, 'Medical Examinations'!$A:$A, 'Medical Examinations'!B:B, "No Data")</f>
        <v>18.84</v>
      </c>
      <c r="D1303" s="28">
        <f t="array" ref="D1303">_xlfn.XLOOKUP($A1303, 'Medical Examinations'!$A:$A, 'Medical Examinations'!C:C, "No Data")</f>
        <v>11.82</v>
      </c>
      <c r="E1303" s="28" t="str">
        <f t="array" ref="E1303">_xlfn.XLOOKUP($A1303, 'Medical Examinations'!$A:$A, 'Medical Examinations'!D:D, "No Data")</f>
        <v>yes</v>
      </c>
      <c r="F1303" s="28" t="str">
        <f t="array" ref="F1303">_xlfn.XLOOKUP($A1303, 'Medical Examinations'!$A:$A, 'Medical Examinations'!E:E, "No Data")</f>
        <v>No</v>
      </c>
      <c r="G1303" s="28" t="str">
        <f t="array" ref="G1303">_xlfn.XLOOKUP($A1303, 'Medical Examinations'!$A:$A, 'Medical Examinations'!F:F, "No Data")</f>
        <v>Yes</v>
      </c>
      <c r="H1303" s="28">
        <f t="array" ref="H1303">_xlfn.XLOOKUP($A1303, 'Medical Examinations'!$A:$A, 'Medical Examinations'!G:G, "No Data")</f>
        <v>1</v>
      </c>
      <c r="I1303" s="28" t="str">
        <f t="array" ref="I1303">_xlfn.XLOOKUP($A1303, 'Medical Examinations'!$A:$A, 'Medical Examinations'!H:H, "No Data")</f>
        <v>No</v>
      </c>
      <c r="J1303" s="28" t="str">
        <f t="array" ref="J1303">_xlfn.XLOOKUP($A1303, 'Medical Examinations'!$A:$A, 'Medical Examinations'!I:I, "No Data")</f>
        <v>Normal Weight</v>
      </c>
      <c r="K1303" s="28" t="str">
        <f t="array" ref="K1303">_xlfn.XLOOKUP($A1303, 'Hospitalisation Details'!$A:$A, 'Hospitalisation Details'!I:I, "No Data")</f>
        <v>tier - 2</v>
      </c>
      <c r="L1303" s="28" t="str">
        <f t="array" ref="L1303">_xlfn.XLOOKUP($A1303, 'Hospitalisation Details'!$A:$A, 'Hospitalisation Details'!J:J, "No Data")</f>
        <v>R1013</v>
      </c>
      <c r="M1303" s="28" t="str">
        <f t="array" ref="M1303">_xlfn.XLOOKUP($A1303, 'Hospitalisation Details'!$A:$A, 'Hospitalisation Details'!E:E, "No Data")</f>
        <v>24/09/63</v>
      </c>
      <c r="N1303" s="28">
        <f t="array" ref="N1303">_xlfn.XLOOKUP($A1303, 'Hospitalisation Details'!$A:$A, 'Hospitalisation Details'!K:K, "No Data")</f>
        <v>59</v>
      </c>
      <c r="O1303" s="33">
        <f t="array" ref="O1303">_xlfn.XLOOKUP($A1303, 'Hospitalisation Details'!$A:$A, 'Hospitalisation Details'!G:G, "No Data")</f>
        <v>8440.05</v>
      </c>
      <c r="P1303" s="28" t="str">
        <f t="array" ref="P1303">_xlfn.XLOOKUP($A1303, 'Hospitalisation Details'!$A:$A, 'Hospitalisation Details'!H:H, "No Data")</f>
        <v>tier - 3</v>
      </c>
    </row>
    <row r="1304">
      <c r="A1304" s="25" t="s">
        <v>4170</v>
      </c>
      <c r="B1304" s="28" t="str">
        <f t="array" ref="B1304">_xlfn.XLOOKUP($A1304, 'Customer Names'!$A:$A, 'Customer Names'!B:B, "No Data")</f>
        <v>Meingast</v>
      </c>
      <c r="C1304" s="28">
        <f t="array" ref="C1304">_xlfn.XLOOKUP($A1304, 'Medical Examinations'!$A:$A, 'Medical Examinations'!B:B, "No Data")</f>
        <v>19.57</v>
      </c>
      <c r="D1304" s="28">
        <f t="array" ref="D1304">_xlfn.XLOOKUP($A1304, 'Medical Examinations'!$A:$A, 'Medical Examinations'!C:C, "No Data")</f>
        <v>7.41</v>
      </c>
      <c r="E1304" s="28" t="str">
        <f t="array" ref="E1304">_xlfn.XLOOKUP($A1304, 'Medical Examinations'!$A:$A, 'Medical Examinations'!D:D, "No Data")</f>
        <v>yes</v>
      </c>
      <c r="F1304" s="28" t="str">
        <f t="array" ref="F1304">_xlfn.XLOOKUP($A1304, 'Medical Examinations'!$A:$A, 'Medical Examinations'!E:E, "No Data")</f>
        <v>No</v>
      </c>
      <c r="G1304" s="28" t="str">
        <f t="array" ref="G1304">_xlfn.XLOOKUP($A1304, 'Medical Examinations'!$A:$A, 'Medical Examinations'!F:F, "No Data")</f>
        <v>No</v>
      </c>
      <c r="H1304" s="28">
        <f t="array" ref="H1304">_xlfn.XLOOKUP($A1304, 'Medical Examinations'!$A:$A, 'Medical Examinations'!G:G, "No Data")</f>
        <v>1</v>
      </c>
      <c r="I1304" s="28" t="str">
        <f t="array" ref="I1304">_xlfn.XLOOKUP($A1304, 'Medical Examinations'!$A:$A, 'Medical Examinations'!H:H, "No Data")</f>
        <v>No</v>
      </c>
      <c r="J1304" s="28" t="str">
        <f t="array" ref="J1304">_xlfn.XLOOKUP($A1304, 'Medical Examinations'!$A:$A, 'Medical Examinations'!I:I, "No Data")</f>
        <v>Normal Weight</v>
      </c>
      <c r="K1304" s="28" t="str">
        <f t="array" ref="K1304">_xlfn.XLOOKUP($A1304, 'Hospitalisation Details'!$A:$A, 'Hospitalisation Details'!I:I, "No Data")</f>
        <v>tier - 2</v>
      </c>
      <c r="L1304" s="28" t="str">
        <f t="array" ref="L1304">_xlfn.XLOOKUP($A1304, 'Hospitalisation Details'!$A:$A, 'Hospitalisation Details'!J:J, "No Data")</f>
        <v>R1012</v>
      </c>
      <c r="M1304" s="28" t="str">
        <f t="array" ref="M1304">_xlfn.XLOOKUP($A1304, 'Hospitalisation Details'!$A:$A, 'Hospitalisation Details'!E:E, "No Data")</f>
        <v>28/09/75</v>
      </c>
      <c r="N1304" s="28">
        <f t="array" ref="N1304">_xlfn.XLOOKUP($A1304, 'Hospitalisation Details'!$A:$A, 'Hospitalisation Details'!K:K, "No Data")</f>
        <v>47</v>
      </c>
      <c r="O1304" s="33">
        <f t="array" ref="O1304">_xlfn.XLOOKUP($A1304, 'Hospitalisation Details'!$A:$A, 'Hospitalisation Details'!G:G, "No Data")</f>
        <v>8428.07</v>
      </c>
      <c r="P1304" s="28" t="str">
        <f t="array" ref="P1304">_xlfn.XLOOKUP($A1304, 'Hospitalisation Details'!$A:$A, 'Hospitalisation Details'!H:H, "No Data")</f>
        <v>tier - 3</v>
      </c>
    </row>
    <row r="1305">
      <c r="A1305" s="25" t="s">
        <v>4174</v>
      </c>
      <c r="B1305" s="28" t="str">
        <f t="array" ref="B1305">_xlfn.XLOOKUP($A1305, 'Customer Names'!$A:$A, 'Customer Names'!B:B, "No Data")</f>
        <v>McCarthy</v>
      </c>
      <c r="C1305" s="28">
        <f t="array" ref="C1305">_xlfn.XLOOKUP($A1305, 'Medical Examinations'!$A:$A, 'Medical Examinations'!B:B, "No Data")</f>
        <v>30.495</v>
      </c>
      <c r="D1305" s="28">
        <f t="array" ref="D1305">_xlfn.XLOOKUP($A1305, 'Medical Examinations'!$A:$A, 'Medical Examinations'!C:C, "No Data")</f>
        <v>5.97</v>
      </c>
      <c r="E1305" s="28" t="str">
        <f t="array" ref="E1305">_xlfn.XLOOKUP($A1305, 'Medical Examinations'!$A:$A, 'Medical Examinations'!D:D, "No Data")</f>
        <v>No</v>
      </c>
      <c r="F1305" s="28" t="str">
        <f t="array" ref="F1305">_xlfn.XLOOKUP($A1305, 'Medical Examinations'!$A:$A, 'Medical Examinations'!E:E, "No Data")</f>
        <v>No</v>
      </c>
      <c r="G1305" s="28" t="str">
        <f t="array" ref="G1305">_xlfn.XLOOKUP($A1305, 'Medical Examinations'!$A:$A, 'Medical Examinations'!F:F, "No Data")</f>
        <v>No</v>
      </c>
      <c r="H1305" s="28">
        <f t="array" ref="H1305">_xlfn.XLOOKUP($A1305, 'Medical Examinations'!$A:$A, 'Medical Examinations'!G:G, "No Data")</f>
        <v>0</v>
      </c>
      <c r="I1305" s="28" t="str">
        <f t="array" ref="I1305">_xlfn.XLOOKUP($A1305, 'Medical Examinations'!$A:$A, 'Medical Examinations'!H:H, "No Data")</f>
        <v>No</v>
      </c>
      <c r="J1305" s="28" t="str">
        <f t="array" ref="J1305">_xlfn.XLOOKUP($A1305, 'Medical Examinations'!$A:$A, 'Medical Examinations'!I:I, "No Data")</f>
        <v>Obesity</v>
      </c>
      <c r="K1305" s="28" t="str">
        <f t="array" ref="K1305">_xlfn.XLOOKUP($A1305, 'Hospitalisation Details'!$A:$A, 'Hospitalisation Details'!I:I, "No Data")</f>
        <v>tier - 1</v>
      </c>
      <c r="L1305" s="28" t="str">
        <f t="array" ref="L1305">_xlfn.XLOOKUP($A1305, 'Hospitalisation Details'!$A:$A, 'Hospitalisation Details'!J:J, "No Data")</f>
        <v>R1012</v>
      </c>
      <c r="M1305" s="28" t="str">
        <f t="array" ref="M1305">_xlfn.XLOOKUP($A1305, 'Hospitalisation Details'!$A:$A, 'Hospitalisation Details'!E:E, "No Data")</f>
        <v>04/09/77</v>
      </c>
      <c r="N1305" s="28">
        <f t="array" ref="N1305">_xlfn.XLOOKUP($A1305, 'Hospitalisation Details'!$A:$A, 'Hospitalisation Details'!K:K, "No Data")</f>
        <v>45</v>
      </c>
      <c r="O1305" s="33">
        <f t="array" ref="O1305">_xlfn.XLOOKUP($A1305, 'Hospitalisation Details'!$A:$A, 'Hospitalisation Details'!G:G, "No Data")</f>
        <v>8413.46</v>
      </c>
      <c r="P1305" s="28" t="str">
        <f t="array" ref="P1305">_xlfn.XLOOKUP($A1305, 'Hospitalisation Details'!$A:$A, 'Hospitalisation Details'!H:H, "No Data")</f>
        <v>tier - 3</v>
      </c>
    </row>
    <row r="1306">
      <c r="A1306" s="25" t="s">
        <v>4176</v>
      </c>
      <c r="B1306" s="28" t="str">
        <f t="array" ref="B1306">_xlfn.XLOOKUP($A1306, 'Customer Names'!$A:$A, 'Customer Names'!B:B, "No Data")</f>
        <v>Boyle</v>
      </c>
      <c r="C1306" s="28">
        <f t="array" ref="C1306">_xlfn.XLOOKUP($A1306, 'Medical Examinations'!$A:$A, 'Medical Examinations'!B:B, "No Data")</f>
        <v>30.115</v>
      </c>
      <c r="D1306" s="28">
        <f t="array" ref="D1306">_xlfn.XLOOKUP($A1306, 'Medical Examinations'!$A:$A, 'Medical Examinations'!C:C, "No Data")</f>
        <v>5.74</v>
      </c>
      <c r="E1306" s="28" t="str">
        <f t="array" ref="E1306">_xlfn.XLOOKUP($A1306, 'Medical Examinations'!$A:$A, 'Medical Examinations'!D:D, "No Data")</f>
        <v>No</v>
      </c>
      <c r="F1306" s="28" t="str">
        <f t="array" ref="F1306">_xlfn.XLOOKUP($A1306, 'Medical Examinations'!$A:$A, 'Medical Examinations'!E:E, "No Data")</f>
        <v>No</v>
      </c>
      <c r="G1306" s="28" t="str">
        <f t="array" ref="G1306">_xlfn.XLOOKUP($A1306, 'Medical Examinations'!$A:$A, 'Medical Examinations'!F:F, "No Data")</f>
        <v>Yes</v>
      </c>
      <c r="H1306" s="28">
        <f t="array" ref="H1306">_xlfn.XLOOKUP($A1306, 'Medical Examinations'!$A:$A, 'Medical Examinations'!G:G, "No Data")</f>
        <v>1</v>
      </c>
      <c r="I1306" s="28" t="str">
        <f t="array" ref="I1306">_xlfn.XLOOKUP($A1306, 'Medical Examinations'!$A:$A, 'Medical Examinations'!H:H, "No Data")</f>
        <v>No</v>
      </c>
      <c r="J1306" s="28" t="str">
        <f t="array" ref="J1306">_xlfn.XLOOKUP($A1306, 'Medical Examinations'!$A:$A, 'Medical Examinations'!I:I, "No Data")</f>
        <v>Obesity</v>
      </c>
      <c r="K1306" s="28" t="str">
        <f t="array" ref="K1306">_xlfn.XLOOKUP($A1306, 'Hospitalisation Details'!$A:$A, 'Hospitalisation Details'!I:I, "No Data")</f>
        <v>tier - 2</v>
      </c>
      <c r="L1306" s="28" t="str">
        <f t="array" ref="L1306">_xlfn.XLOOKUP($A1306, 'Hospitalisation Details'!$A:$A, 'Hospitalisation Details'!J:J, "No Data")</f>
        <v>R1012</v>
      </c>
      <c r="M1306" s="28" t="str">
        <f t="array" ref="M1306">_xlfn.XLOOKUP($A1306, 'Hospitalisation Details'!$A:$A, 'Hospitalisation Details'!E:E, "No Data")</f>
        <v>11/06/79</v>
      </c>
      <c r="N1306" s="28">
        <f t="array" ref="N1306">_xlfn.XLOOKUP($A1306, 'Hospitalisation Details'!$A:$A, 'Hospitalisation Details'!K:K, "No Data")</f>
        <v>43</v>
      </c>
      <c r="O1306" s="33">
        <f t="array" ref="O1306">_xlfn.XLOOKUP($A1306, 'Hospitalisation Details'!$A:$A, 'Hospitalisation Details'!G:G, "No Data")</f>
        <v>8410.05</v>
      </c>
      <c r="P1306" s="28" t="str">
        <f t="array" ref="P1306">_xlfn.XLOOKUP($A1306, 'Hospitalisation Details'!$A:$A, 'Hospitalisation Details'!H:H, "No Data")</f>
        <v>tier - 2</v>
      </c>
    </row>
    <row r="1307">
      <c r="A1307" s="25" t="s">
        <v>4178</v>
      </c>
      <c r="B1307" s="28" t="str">
        <f t="array" ref="B1307">_xlfn.XLOOKUP($A1307, 'Customer Names'!$A:$A, 'Customer Names'!B:B, "No Data")</f>
        <v>Gundersen</v>
      </c>
      <c r="C1307" s="28">
        <f t="array" ref="C1307">_xlfn.XLOOKUP($A1307, 'Medical Examinations'!$A:$A, 'Medical Examinations'!B:B, "No Data")</f>
        <v>24.78</v>
      </c>
      <c r="D1307" s="28">
        <f t="array" ref="D1307">_xlfn.XLOOKUP($A1307, 'Medical Examinations'!$A:$A, 'Medical Examinations'!C:C, "No Data")</f>
        <v>9.85</v>
      </c>
      <c r="E1307" s="28" t="str">
        <f t="array" ref="E1307">_xlfn.XLOOKUP($A1307, 'Medical Examinations'!$A:$A, 'Medical Examinations'!D:D, "No Data")</f>
        <v>No</v>
      </c>
      <c r="F1307" s="28" t="str">
        <f t="array" ref="F1307">_xlfn.XLOOKUP($A1307, 'Medical Examinations'!$A:$A, 'Medical Examinations'!E:E, "No Data")</f>
        <v>No</v>
      </c>
      <c r="G1307" s="28" t="str">
        <f t="array" ref="G1307">_xlfn.XLOOKUP($A1307, 'Medical Examinations'!$A:$A, 'Medical Examinations'!F:F, "No Data")</f>
        <v>No</v>
      </c>
      <c r="H1307" s="28">
        <f t="array" ref="H1307">_xlfn.XLOOKUP($A1307, 'Medical Examinations'!$A:$A, 'Medical Examinations'!G:G, "No Data")</f>
        <v>0</v>
      </c>
      <c r="I1307" s="28" t="str">
        <f t="array" ref="I1307">_xlfn.XLOOKUP($A1307, 'Medical Examinations'!$A:$A, 'Medical Examinations'!H:H, "No Data")</f>
        <v>No</v>
      </c>
      <c r="J1307" s="28" t="str">
        <f t="array" ref="J1307">_xlfn.XLOOKUP($A1307, 'Medical Examinations'!$A:$A, 'Medical Examinations'!I:I, "No Data")</f>
        <v>Normal Weight</v>
      </c>
      <c r="K1307" s="28" t="str">
        <f t="array" ref="K1307">_xlfn.XLOOKUP($A1307, 'Hospitalisation Details'!$A:$A, 'Hospitalisation Details'!I:I, "No Data")</f>
        <v>tier - 3</v>
      </c>
      <c r="L1307" s="28" t="str">
        <f t="array" ref="L1307">_xlfn.XLOOKUP($A1307, 'Hospitalisation Details'!$A:$A, 'Hospitalisation Details'!J:J, "No Data")</f>
        <v>R1013</v>
      </c>
      <c r="M1307" s="28" t="str">
        <f t="array" ref="M1307">_xlfn.XLOOKUP($A1307, 'Hospitalisation Details'!$A:$A, 'Hospitalisation Details'!E:E, "No Data")</f>
        <v>18/09/71</v>
      </c>
      <c r="N1307" s="28">
        <f t="array" ref="N1307">_xlfn.XLOOKUP($A1307, 'Hospitalisation Details'!$A:$A, 'Hospitalisation Details'!K:K, "No Data")</f>
        <v>51</v>
      </c>
      <c r="O1307" s="33">
        <f t="array" ref="O1307">_xlfn.XLOOKUP($A1307, 'Hospitalisation Details'!$A:$A, 'Hospitalisation Details'!G:G, "No Data")</f>
        <v>8400.01</v>
      </c>
      <c r="P1307" s="28" t="str">
        <f t="array" ref="P1307">_xlfn.XLOOKUP($A1307, 'Hospitalisation Details'!$A:$A, 'Hospitalisation Details'!H:H, "No Data")</f>
        <v>tier - 2</v>
      </c>
    </row>
    <row r="1308">
      <c r="A1308" s="25" t="s">
        <v>4182</v>
      </c>
      <c r="B1308" s="28" t="str">
        <f t="array" ref="B1308">_xlfn.XLOOKUP($A1308, 'Customer Names'!$A:$A, 'Customer Names'!B:B, "No Data")</f>
        <v>Wolswinkel</v>
      </c>
      <c r="C1308" s="28">
        <f t="array" ref="C1308">_xlfn.XLOOKUP($A1308, 'Medical Examinations'!$A:$A, 'Medical Examinations'!B:B, "No Data")</f>
        <v>24.77</v>
      </c>
      <c r="D1308" s="28">
        <f t="array" ref="D1308">_xlfn.XLOOKUP($A1308, 'Medical Examinations'!$A:$A, 'Medical Examinations'!C:C, "No Data")</f>
        <v>7.59</v>
      </c>
      <c r="E1308" s="28" t="str">
        <f t="array" ref="E1308">_xlfn.XLOOKUP($A1308, 'Medical Examinations'!$A:$A, 'Medical Examinations'!D:D, "No Data")</f>
        <v>No</v>
      </c>
      <c r="F1308" s="28" t="str">
        <f t="array" ref="F1308">_xlfn.XLOOKUP($A1308, 'Medical Examinations'!$A:$A, 'Medical Examinations'!E:E, "No Data")</f>
        <v>No</v>
      </c>
      <c r="G1308" s="28" t="str">
        <f t="array" ref="G1308">_xlfn.XLOOKUP($A1308, 'Medical Examinations'!$A:$A, 'Medical Examinations'!F:F, "No Data")</f>
        <v>No</v>
      </c>
      <c r="H1308" s="28">
        <f t="array" ref="H1308">_xlfn.XLOOKUP($A1308, 'Medical Examinations'!$A:$A, 'Medical Examinations'!G:G, "No Data")</f>
        <v>0</v>
      </c>
      <c r="I1308" s="28" t="str">
        <f t="array" ref="I1308">_xlfn.XLOOKUP($A1308, 'Medical Examinations'!$A:$A, 'Medical Examinations'!H:H, "No Data")</f>
        <v>No</v>
      </c>
      <c r="J1308" s="28" t="str">
        <f t="array" ref="J1308">_xlfn.XLOOKUP($A1308, 'Medical Examinations'!$A:$A, 'Medical Examinations'!I:I, "No Data")</f>
        <v>Normal Weight</v>
      </c>
      <c r="K1308" s="28" t="str">
        <f t="array" ref="K1308">_xlfn.XLOOKUP($A1308, 'Hospitalisation Details'!$A:$A, 'Hospitalisation Details'!I:I, "No Data")</f>
        <v>tier - 3</v>
      </c>
      <c r="L1308" s="28" t="str">
        <f t="array" ref="L1308">_xlfn.XLOOKUP($A1308, 'Hospitalisation Details'!$A:$A, 'Hospitalisation Details'!J:J, "No Data")</f>
        <v>R1013</v>
      </c>
      <c r="M1308" s="28" t="str">
        <f t="array" ref="M1308">_xlfn.XLOOKUP($A1308, 'Hospitalisation Details'!$A:$A, 'Hospitalisation Details'!E:E, "No Data")</f>
        <v>04/09/71</v>
      </c>
      <c r="N1308" s="28">
        <f t="array" ref="N1308">_xlfn.XLOOKUP($A1308, 'Hospitalisation Details'!$A:$A, 'Hospitalisation Details'!K:K, "No Data")</f>
        <v>51</v>
      </c>
      <c r="O1308" s="33">
        <f t="array" ref="O1308">_xlfn.XLOOKUP($A1308, 'Hospitalisation Details'!$A:$A, 'Hospitalisation Details'!G:G, "No Data")</f>
        <v>8396.62</v>
      </c>
      <c r="P1308" s="28" t="str">
        <f t="array" ref="P1308">_xlfn.XLOOKUP($A1308, 'Hospitalisation Details'!$A:$A, 'Hospitalisation Details'!H:H, "No Data")</f>
        <v>tier - 2</v>
      </c>
    </row>
    <row r="1309">
      <c r="A1309" s="25" t="s">
        <v>4186</v>
      </c>
      <c r="B1309" s="28" t="str">
        <f t="array" ref="B1309">_xlfn.XLOOKUP($A1309, 'Customer Names'!$A:$A, 'Customer Names'!B:B, "No Data")</f>
        <v>Bomberger</v>
      </c>
      <c r="C1309" s="28">
        <f t="array" ref="C1309">_xlfn.XLOOKUP($A1309, 'Medical Examinations'!$A:$A, 'Medical Examinations'!B:B, "No Data")</f>
        <v>16.58</v>
      </c>
      <c r="D1309" s="28">
        <f t="array" ref="D1309">_xlfn.XLOOKUP($A1309, 'Medical Examinations'!$A:$A, 'Medical Examinations'!C:C, "No Data")</f>
        <v>6.98</v>
      </c>
      <c r="E1309" s="28" t="str">
        <f t="array" ref="E1309">_xlfn.XLOOKUP($A1309, 'Medical Examinations'!$A:$A, 'Medical Examinations'!D:D, "No Data")</f>
        <v>yes</v>
      </c>
      <c r="F1309" s="28" t="str">
        <f t="array" ref="F1309">_xlfn.XLOOKUP($A1309, 'Medical Examinations'!$A:$A, 'Medical Examinations'!E:E, "No Data")</f>
        <v>No</v>
      </c>
      <c r="G1309" s="28" t="str">
        <f t="array" ref="G1309">_xlfn.XLOOKUP($A1309, 'Medical Examinations'!$A:$A, 'Medical Examinations'!F:F, "No Data")</f>
        <v>Yes</v>
      </c>
      <c r="H1309" s="28">
        <f t="array" ref="H1309">_xlfn.XLOOKUP($A1309, 'Medical Examinations'!$A:$A, 'Medical Examinations'!G:G, "No Data")</f>
        <v>1</v>
      </c>
      <c r="I1309" s="28" t="str">
        <f t="array" ref="I1309">_xlfn.XLOOKUP($A1309, 'Medical Examinations'!$A:$A, 'Medical Examinations'!H:H, "No Data")</f>
        <v>No</v>
      </c>
      <c r="J1309" s="28" t="str">
        <f t="array" ref="J1309">_xlfn.XLOOKUP($A1309, 'Medical Examinations'!$A:$A, 'Medical Examinations'!I:I, "No Data")</f>
        <v>Underweight</v>
      </c>
      <c r="K1309" s="28" t="str">
        <f t="array" ref="K1309">_xlfn.XLOOKUP($A1309, 'Hospitalisation Details'!$A:$A, 'Hospitalisation Details'!I:I, "No Data")</f>
        <v>tier - 3</v>
      </c>
      <c r="L1309" s="28" t="str">
        <f t="array" ref="L1309">_xlfn.XLOOKUP($A1309, 'Hospitalisation Details'!$A:$A, 'Hospitalisation Details'!J:J, "No Data")</f>
        <v>R1012</v>
      </c>
      <c r="M1309" s="28" t="str">
        <f t="array" ref="M1309">_xlfn.XLOOKUP($A1309, 'Hospitalisation Details'!$A:$A, 'Hospitalisation Details'!E:E, "No Data")</f>
        <v>21/09/63</v>
      </c>
      <c r="N1309" s="28">
        <f t="array" ref="N1309">_xlfn.XLOOKUP($A1309, 'Hospitalisation Details'!$A:$A, 'Hospitalisation Details'!K:K, "No Data")</f>
        <v>59</v>
      </c>
      <c r="O1309" s="33">
        <f t="array" ref="O1309">_xlfn.XLOOKUP($A1309, 'Hospitalisation Details'!$A:$A, 'Hospitalisation Details'!G:G, "No Data")</f>
        <v>8355.54</v>
      </c>
      <c r="P1309" s="28" t="str">
        <f t="array" ref="P1309">_xlfn.XLOOKUP($A1309, 'Hospitalisation Details'!$A:$A, 'Hospitalisation Details'!H:H, "No Data")</f>
        <v>tier - 3</v>
      </c>
    </row>
    <row r="1310">
      <c r="A1310" s="25" t="s">
        <v>4188</v>
      </c>
      <c r="B1310" s="28" t="str">
        <f t="array" ref="B1310">_xlfn.XLOOKUP($A1310, 'Customer Names'!$A:$A, 'Customer Names'!B:B, "No Data")</f>
        <v>Roy</v>
      </c>
      <c r="C1310" s="28">
        <f t="array" ref="C1310">_xlfn.XLOOKUP($A1310, 'Medical Examinations'!$A:$A, 'Medical Examinations'!B:B, "No Data")</f>
        <v>38.17</v>
      </c>
      <c r="D1310" s="28">
        <f t="array" ref="D1310">_xlfn.XLOOKUP($A1310, 'Medical Examinations'!$A:$A, 'Medical Examinations'!C:C, "No Data")</f>
        <v>4.73</v>
      </c>
      <c r="E1310" s="28" t="str">
        <f t="array" ref="E1310">_xlfn.XLOOKUP($A1310, 'Medical Examinations'!$A:$A, 'Medical Examinations'!D:D, "No Data")</f>
        <v>yes</v>
      </c>
      <c r="F1310" s="28" t="str">
        <f t="array" ref="F1310">_xlfn.XLOOKUP($A1310, 'Medical Examinations'!$A:$A, 'Medical Examinations'!E:E, "No Data")</f>
        <v>No</v>
      </c>
      <c r="G1310" s="28" t="str">
        <f t="array" ref="G1310">_xlfn.XLOOKUP($A1310, 'Medical Examinations'!$A:$A, 'Medical Examinations'!F:F, "No Data")</f>
        <v>No</v>
      </c>
      <c r="H1310" s="28">
        <f t="array" ref="H1310">_xlfn.XLOOKUP($A1310, 'Medical Examinations'!$A:$A, 'Medical Examinations'!G:G, "No Data")</f>
        <v>0</v>
      </c>
      <c r="I1310" s="28" t="str">
        <f t="array" ref="I1310">_xlfn.XLOOKUP($A1310, 'Medical Examinations'!$A:$A, 'Medical Examinations'!H:H, "No Data")</f>
        <v>No</v>
      </c>
      <c r="J1310" s="28" t="str">
        <f t="array" ref="J1310">_xlfn.XLOOKUP($A1310, 'Medical Examinations'!$A:$A, 'Medical Examinations'!I:I, "No Data")</f>
        <v>Obesity</v>
      </c>
      <c r="K1310" s="28" t="str">
        <f t="array" ref="K1310">_xlfn.XLOOKUP($A1310, 'Hospitalisation Details'!$A:$A, 'Hospitalisation Details'!I:I, "No Data")</f>
        <v>tier - 1</v>
      </c>
      <c r="L1310" s="28" t="str">
        <f t="array" ref="L1310">_xlfn.XLOOKUP($A1310, 'Hospitalisation Details'!$A:$A, 'Hospitalisation Details'!J:J, "No Data")</f>
        <v>R1013</v>
      </c>
      <c r="M1310" s="28" t="str">
        <f t="array" ref="M1310">_xlfn.XLOOKUP($A1310, 'Hospitalisation Details'!$A:$A, 'Hospitalisation Details'!E:E, "No Data")</f>
        <v>12/06/76</v>
      </c>
      <c r="N1310" s="28">
        <f t="array" ref="N1310">_xlfn.XLOOKUP($A1310, 'Hospitalisation Details'!$A:$A, 'Hospitalisation Details'!K:K, "No Data")</f>
        <v>46</v>
      </c>
      <c r="O1310" s="33">
        <f t="array" ref="O1310">_xlfn.XLOOKUP($A1310, 'Hospitalisation Details'!$A:$A, 'Hospitalisation Details'!G:G, "No Data")</f>
        <v>8347.16</v>
      </c>
      <c r="P1310" s="28" t="str">
        <f t="array" ref="P1310">_xlfn.XLOOKUP($A1310, 'Hospitalisation Details'!$A:$A, 'Hospitalisation Details'!H:H, "No Data")</f>
        <v>tier - 2</v>
      </c>
    </row>
    <row r="1311">
      <c r="A1311" s="25" t="s">
        <v>4190</v>
      </c>
      <c r="B1311" s="28" t="str">
        <f t="array" ref="B1311">_xlfn.XLOOKUP($A1311, 'Customer Names'!$A:$A, 'Customer Names'!B:B, "No Data")</f>
        <v>Lapierre</v>
      </c>
      <c r="C1311" s="28">
        <f t="array" ref="C1311">_xlfn.XLOOKUP($A1311, 'Medical Examinations'!$A:$A, 'Medical Examinations'!B:B, "No Data")</f>
        <v>39.425</v>
      </c>
      <c r="D1311" s="28">
        <f t="array" ref="D1311">_xlfn.XLOOKUP($A1311, 'Medical Examinations'!$A:$A, 'Medical Examinations'!C:C, "No Data")</f>
        <v>4.76</v>
      </c>
      <c r="E1311" s="28" t="str">
        <f t="array" ref="E1311">_xlfn.XLOOKUP($A1311, 'Medical Examinations'!$A:$A, 'Medical Examinations'!D:D, "No Data")</f>
        <v>yes</v>
      </c>
      <c r="F1311" s="28" t="str">
        <f t="array" ref="F1311">_xlfn.XLOOKUP($A1311, 'Medical Examinations'!$A:$A, 'Medical Examinations'!E:E, "No Data")</f>
        <v>No</v>
      </c>
      <c r="G1311" s="28" t="str">
        <f t="array" ref="G1311">_xlfn.XLOOKUP($A1311, 'Medical Examinations'!$A:$A, 'Medical Examinations'!F:F, "No Data")</f>
        <v>No</v>
      </c>
      <c r="H1311" s="28">
        <f t="array" ref="H1311">_xlfn.XLOOKUP($A1311, 'Medical Examinations'!$A:$A, 'Medical Examinations'!G:G, "No Data")</f>
        <v>0</v>
      </c>
      <c r="I1311" s="28" t="str">
        <f t="array" ref="I1311">_xlfn.XLOOKUP($A1311, 'Medical Examinations'!$A:$A, 'Medical Examinations'!H:H, "No Data")</f>
        <v>No</v>
      </c>
      <c r="J1311" s="28" t="str">
        <f t="array" ref="J1311">_xlfn.XLOOKUP($A1311, 'Medical Examinations'!$A:$A, 'Medical Examinations'!I:I, "No Data")</f>
        <v>Obesity</v>
      </c>
      <c r="K1311" s="28" t="str">
        <f t="array" ref="K1311">_xlfn.XLOOKUP($A1311, 'Hospitalisation Details'!$A:$A, 'Hospitalisation Details'!I:I, "No Data")</f>
        <v>tier - 1</v>
      </c>
      <c r="L1311" s="28" t="str">
        <f t="array" ref="L1311">_xlfn.XLOOKUP($A1311, 'Hospitalisation Details'!$A:$A, 'Hospitalisation Details'!J:J, "No Data")</f>
        <v>R1016</v>
      </c>
      <c r="M1311" s="28" t="str">
        <f t="array" ref="M1311">_xlfn.XLOOKUP($A1311, 'Hospitalisation Details'!$A:$A, 'Hospitalisation Details'!E:E, "No Data")</f>
        <v>07/07/76</v>
      </c>
      <c r="N1311" s="28">
        <f t="array" ref="N1311">_xlfn.XLOOKUP($A1311, 'Hospitalisation Details'!$A:$A, 'Hospitalisation Details'!K:K, "No Data")</f>
        <v>46</v>
      </c>
      <c r="O1311" s="33">
        <f t="array" ref="O1311">_xlfn.XLOOKUP($A1311, 'Hospitalisation Details'!$A:$A, 'Hospitalisation Details'!G:G, "No Data")</f>
        <v>8342.91</v>
      </c>
      <c r="P1311" s="28" t="str">
        <f t="array" ref="P1311">_xlfn.XLOOKUP($A1311, 'Hospitalisation Details'!$A:$A, 'Hospitalisation Details'!H:H, "No Data")</f>
        <v>tier - 3</v>
      </c>
    </row>
    <row r="1312">
      <c r="A1312" s="25" t="s">
        <v>4194</v>
      </c>
      <c r="B1312" s="28" t="str">
        <f t="array" ref="B1312">_xlfn.XLOOKUP($A1312, 'Customer Names'!$A:$A, 'Customer Names'!B:B, "No Data")</f>
        <v>Beaty</v>
      </c>
      <c r="C1312" s="28">
        <f t="array" ref="C1312">_xlfn.XLOOKUP($A1312, 'Medical Examinations'!$A:$A, 'Medical Examinations'!B:B, "No Data")</f>
        <v>33.44</v>
      </c>
      <c r="D1312" s="28">
        <f t="array" ref="D1312">_xlfn.XLOOKUP($A1312, 'Medical Examinations'!$A:$A, 'Medical Examinations'!C:C, "No Data")</f>
        <v>6.24</v>
      </c>
      <c r="E1312" s="28" t="str">
        <f t="array" ref="E1312">_xlfn.XLOOKUP($A1312, 'Medical Examinations'!$A:$A, 'Medical Examinations'!D:D, "No Data")</f>
        <v>yes</v>
      </c>
      <c r="F1312" s="28" t="str">
        <f t="array" ref="F1312">_xlfn.XLOOKUP($A1312, 'Medical Examinations'!$A:$A, 'Medical Examinations'!E:E, "No Data")</f>
        <v>No</v>
      </c>
      <c r="G1312" s="28" t="str">
        <f t="array" ref="G1312">_xlfn.XLOOKUP($A1312, 'Medical Examinations'!$A:$A, 'Medical Examinations'!F:F, "No Data")</f>
        <v>No</v>
      </c>
      <c r="H1312" s="28">
        <f t="array" ref="H1312">_xlfn.XLOOKUP($A1312, 'Medical Examinations'!$A:$A, 'Medical Examinations'!G:G, "No Data")</f>
        <v>0</v>
      </c>
      <c r="I1312" s="28" t="str">
        <f t="array" ref="I1312">_xlfn.XLOOKUP($A1312, 'Medical Examinations'!$A:$A, 'Medical Examinations'!H:H, "No Data")</f>
        <v>No</v>
      </c>
      <c r="J1312" s="28" t="str">
        <f t="array" ref="J1312">_xlfn.XLOOKUP($A1312, 'Medical Examinations'!$A:$A, 'Medical Examinations'!I:I, "No Data")</f>
        <v>Obesity</v>
      </c>
      <c r="K1312" s="28" t="str">
        <f t="array" ref="K1312">_xlfn.XLOOKUP($A1312, 'Hospitalisation Details'!$A:$A, 'Hospitalisation Details'!I:I, "No Data")</f>
        <v>tier - 2</v>
      </c>
      <c r="L1312" s="28" t="str">
        <f t="array" ref="L1312">_xlfn.XLOOKUP($A1312, 'Hospitalisation Details'!$A:$A, 'Hospitalisation Details'!J:J, "No Data")</f>
        <v>R1016</v>
      </c>
      <c r="M1312" s="28" t="str">
        <f t="array" ref="M1312">_xlfn.XLOOKUP($A1312, 'Hospitalisation Details'!$A:$A, 'Hospitalisation Details'!E:E, "No Data")</f>
        <v>20/07/76</v>
      </c>
      <c r="N1312" s="28">
        <f t="array" ref="N1312">_xlfn.XLOOKUP($A1312, 'Hospitalisation Details'!$A:$A, 'Hospitalisation Details'!K:K, "No Data")</f>
        <v>46</v>
      </c>
      <c r="O1312" s="33">
        <f t="array" ref="O1312">_xlfn.XLOOKUP($A1312, 'Hospitalisation Details'!$A:$A, 'Hospitalisation Details'!G:G, "No Data")</f>
        <v>8334.59</v>
      </c>
      <c r="P1312" s="28" t="str">
        <f t="array" ref="P1312">_xlfn.XLOOKUP($A1312, 'Hospitalisation Details'!$A:$A, 'Hospitalisation Details'!H:H, "No Data")</f>
        <v>tier - 3</v>
      </c>
    </row>
    <row r="1313">
      <c r="A1313" s="25" t="s">
        <v>4197</v>
      </c>
      <c r="B1313" s="28" t="str">
        <f t="array" ref="B1313">_xlfn.XLOOKUP($A1313, 'Customer Names'!$A:$A, 'Customer Names'!B:B, "No Data")</f>
        <v>Hammer</v>
      </c>
      <c r="C1313" s="28">
        <f t="array" ref="C1313">_xlfn.XLOOKUP($A1313, 'Medical Examinations'!$A:$A, 'Medical Examinations'!B:B, "No Data")</f>
        <v>33.345</v>
      </c>
      <c r="D1313" s="28">
        <f t="array" ref="D1313">_xlfn.XLOOKUP($A1313, 'Medical Examinations'!$A:$A, 'Medical Examinations'!C:C, "No Data")</f>
        <v>5.44</v>
      </c>
      <c r="E1313" s="28" t="str">
        <f t="array" ref="E1313">_xlfn.XLOOKUP($A1313, 'Medical Examinations'!$A:$A, 'Medical Examinations'!D:D, "No Data")</f>
        <v>yes</v>
      </c>
      <c r="F1313" s="28" t="str">
        <f t="array" ref="F1313">_xlfn.XLOOKUP($A1313, 'Medical Examinations'!$A:$A, 'Medical Examinations'!E:E, "No Data")</f>
        <v>No</v>
      </c>
      <c r="G1313" s="28" t="str">
        <f t="array" ref="G1313">_xlfn.XLOOKUP($A1313, 'Medical Examinations'!$A:$A, 'Medical Examinations'!F:F, "No Data")</f>
        <v>No</v>
      </c>
      <c r="H1313" s="28">
        <f t="array" ref="H1313">_xlfn.XLOOKUP($A1313, 'Medical Examinations'!$A:$A, 'Medical Examinations'!G:G, "No Data")</f>
        <v>0</v>
      </c>
      <c r="I1313" s="28" t="str">
        <f t="array" ref="I1313">_xlfn.XLOOKUP($A1313, 'Medical Examinations'!$A:$A, 'Medical Examinations'!H:H, "No Data")</f>
        <v>No</v>
      </c>
      <c r="J1313" s="28" t="str">
        <f t="array" ref="J1313">_xlfn.XLOOKUP($A1313, 'Medical Examinations'!$A:$A, 'Medical Examinations'!I:I, "No Data")</f>
        <v>Obesity</v>
      </c>
      <c r="K1313" s="28" t="str">
        <f t="array" ref="K1313">_xlfn.XLOOKUP($A1313, 'Hospitalisation Details'!$A:$A, 'Hospitalisation Details'!I:I, "No Data")</f>
        <v>tier - 2</v>
      </c>
      <c r="L1313" s="28" t="str">
        <f t="array" ref="L1313">_xlfn.XLOOKUP($A1313, 'Hospitalisation Details'!$A:$A, 'Hospitalisation Details'!J:J, "No Data")</f>
        <v>R1016</v>
      </c>
      <c r="M1313" s="28" t="str">
        <f t="array" ref="M1313">_xlfn.XLOOKUP($A1313, 'Hospitalisation Details'!$A:$A, 'Hospitalisation Details'!E:E, "No Data")</f>
        <v>12/07/76</v>
      </c>
      <c r="N1313" s="28">
        <f t="array" ref="N1313">_xlfn.XLOOKUP($A1313, 'Hospitalisation Details'!$A:$A, 'Hospitalisation Details'!K:K, "No Data")</f>
        <v>46</v>
      </c>
      <c r="O1313" s="33">
        <f t="array" ref="O1313">_xlfn.XLOOKUP($A1313, 'Hospitalisation Details'!$A:$A, 'Hospitalisation Details'!G:G, "No Data")</f>
        <v>8334.46</v>
      </c>
      <c r="P1313" s="28" t="str">
        <f t="array" ref="P1313">_xlfn.XLOOKUP($A1313, 'Hospitalisation Details'!$A:$A, 'Hospitalisation Details'!H:H, "No Data")</f>
        <v>tier - 3</v>
      </c>
    </row>
    <row r="1314">
      <c r="A1314" s="25" t="s">
        <v>4200</v>
      </c>
      <c r="B1314" s="28" t="str">
        <f t="array" ref="B1314">_xlfn.XLOOKUP($A1314, 'Customer Names'!$A:$A, 'Customer Names'!B:B, "No Data")</f>
        <v>Randolph</v>
      </c>
      <c r="C1314" s="28">
        <f t="array" ref="C1314">_xlfn.XLOOKUP($A1314, 'Medical Examinations'!$A:$A, 'Medical Examinations'!B:B, "No Data")</f>
        <v>38.79</v>
      </c>
      <c r="D1314" s="28">
        <f t="array" ref="D1314">_xlfn.XLOOKUP($A1314, 'Medical Examinations'!$A:$A, 'Medical Examinations'!C:C, "No Data")</f>
        <v>5.08</v>
      </c>
      <c r="E1314" s="28" t="str">
        <f t="array" ref="E1314">_xlfn.XLOOKUP($A1314, 'Medical Examinations'!$A:$A, 'Medical Examinations'!D:D, "No Data")</f>
        <v>No</v>
      </c>
      <c r="F1314" s="28" t="str">
        <f t="array" ref="F1314">_xlfn.XLOOKUP($A1314, 'Medical Examinations'!$A:$A, 'Medical Examinations'!E:E, "No Data")</f>
        <v>No</v>
      </c>
      <c r="G1314" s="28" t="str">
        <f t="array" ref="G1314">_xlfn.XLOOKUP($A1314, 'Medical Examinations'!$A:$A, 'Medical Examinations'!F:F, "No Data")</f>
        <v>Yes</v>
      </c>
      <c r="H1314" s="28">
        <f t="array" ref="H1314">_xlfn.XLOOKUP($A1314, 'Medical Examinations'!$A:$A, 'Medical Examinations'!G:G, "No Data")</f>
        <v>1</v>
      </c>
      <c r="I1314" s="28" t="str">
        <f t="array" ref="I1314">_xlfn.XLOOKUP($A1314, 'Medical Examinations'!$A:$A, 'Medical Examinations'!H:H, "No Data")</f>
        <v>No</v>
      </c>
      <c r="J1314" s="28" t="str">
        <f t="array" ref="J1314">_xlfn.XLOOKUP($A1314, 'Medical Examinations'!$A:$A, 'Medical Examinations'!I:I, "No Data")</f>
        <v>Obesity</v>
      </c>
      <c r="K1314" s="28" t="str">
        <f t="array" ref="K1314">_xlfn.XLOOKUP($A1314, 'Hospitalisation Details'!$A:$A, 'Hospitalisation Details'!I:I, "No Data")</f>
        <v>tier - 1</v>
      </c>
      <c r="L1314" s="28" t="str">
        <f t="array" ref="L1314">_xlfn.XLOOKUP($A1314, 'Hospitalisation Details'!$A:$A, 'Hospitalisation Details'!J:J, "No Data")</f>
        <v>R1012</v>
      </c>
      <c r="M1314" s="28" t="str">
        <f t="array" ref="M1314">_xlfn.XLOOKUP($A1314, 'Hospitalisation Details'!$A:$A, 'Hospitalisation Details'!E:E, "No Data")</f>
        <v>22/06/93</v>
      </c>
      <c r="N1314" s="28">
        <f t="array" ref="N1314">_xlfn.XLOOKUP($A1314, 'Hospitalisation Details'!$A:$A, 'Hospitalisation Details'!K:K, "No Data")</f>
        <v>29</v>
      </c>
      <c r="O1314" s="33">
        <f t="array" ref="O1314">_xlfn.XLOOKUP($A1314, 'Hospitalisation Details'!$A:$A, 'Hospitalisation Details'!G:G, "No Data")</f>
        <v>8314.65</v>
      </c>
      <c r="P1314" s="28" t="str">
        <f t="array" ref="P1314">_xlfn.XLOOKUP($A1314, 'Hospitalisation Details'!$A:$A, 'Hospitalisation Details'!H:H, "No Data")</f>
        <v>tier - 2</v>
      </c>
    </row>
    <row r="1315">
      <c r="A1315" s="25" t="s">
        <v>4203</v>
      </c>
      <c r="B1315" s="28" t="str">
        <f t="array" ref="B1315">_xlfn.XLOOKUP($A1315, 'Customer Names'!$A:$A, 'Customer Names'!B:B, "No Data")</f>
        <v>Masterson</v>
      </c>
      <c r="C1315" s="28">
        <f t="array" ref="C1315">_xlfn.XLOOKUP($A1315, 'Medical Examinations'!$A:$A, 'Medical Examinations'!B:B, "No Data")</f>
        <v>30.685</v>
      </c>
      <c r="D1315" s="28">
        <f t="array" ref="D1315">_xlfn.XLOOKUP($A1315, 'Medical Examinations'!$A:$A, 'Medical Examinations'!C:C, "No Data")</f>
        <v>4.87</v>
      </c>
      <c r="E1315" s="28" t="str">
        <f t="array" ref="E1315">_xlfn.XLOOKUP($A1315, 'Medical Examinations'!$A:$A, 'Medical Examinations'!D:D, "No Data")</f>
        <v>No</v>
      </c>
      <c r="F1315" s="28" t="str">
        <f t="array" ref="F1315">_xlfn.XLOOKUP($A1315, 'Medical Examinations'!$A:$A, 'Medical Examinations'!E:E, "No Data")</f>
        <v>No</v>
      </c>
      <c r="G1315" s="28" t="str">
        <f t="array" ref="G1315">_xlfn.XLOOKUP($A1315, 'Medical Examinations'!$A:$A, 'Medical Examinations'!F:F, "No Data")</f>
        <v>Yes</v>
      </c>
      <c r="H1315" s="28">
        <f t="array" ref="H1315">_xlfn.XLOOKUP($A1315, 'Medical Examinations'!$A:$A, 'Medical Examinations'!G:G, "No Data")</f>
        <v>1</v>
      </c>
      <c r="I1315" s="28" t="str">
        <f t="array" ref="I1315">_xlfn.XLOOKUP($A1315, 'Medical Examinations'!$A:$A, 'Medical Examinations'!H:H, "No Data")</f>
        <v>No</v>
      </c>
      <c r="J1315" s="28" t="str">
        <f t="array" ref="J1315">_xlfn.XLOOKUP($A1315, 'Medical Examinations'!$A:$A, 'Medical Examinations'!I:I, "No Data")</f>
        <v>Obesity</v>
      </c>
      <c r="K1315" s="28" t="str">
        <f t="array" ref="K1315">_xlfn.XLOOKUP($A1315, 'Hospitalisation Details'!$A:$A, 'Hospitalisation Details'!I:I, "No Data")</f>
        <v>tier - 2</v>
      </c>
      <c r="L1315" s="28" t="str">
        <f t="array" ref="L1315">_xlfn.XLOOKUP($A1315, 'Hospitalisation Details'!$A:$A, 'Hospitalisation Details'!J:J, "No Data")</f>
        <v>R1012</v>
      </c>
      <c r="M1315" s="28" t="str">
        <f t="array" ref="M1315">_xlfn.XLOOKUP($A1315, 'Hospitalisation Details'!$A:$A, 'Hospitalisation Details'!E:E, "No Data")</f>
        <v>07/08/79</v>
      </c>
      <c r="N1315" s="28">
        <f t="array" ref="N1315">_xlfn.XLOOKUP($A1315, 'Hospitalisation Details'!$A:$A, 'Hospitalisation Details'!K:K, "No Data")</f>
        <v>43</v>
      </c>
      <c r="O1315" s="33">
        <f t="array" ref="O1315">_xlfn.XLOOKUP($A1315, 'Hospitalisation Details'!$A:$A, 'Hospitalisation Details'!G:G, "No Data")</f>
        <v>8310.84</v>
      </c>
      <c r="P1315" s="28" t="str">
        <f t="array" ref="P1315">_xlfn.XLOOKUP($A1315, 'Hospitalisation Details'!$A:$A, 'Hospitalisation Details'!H:H, "No Data")</f>
        <v>tier - 2</v>
      </c>
    </row>
    <row r="1316">
      <c r="A1316" s="25" t="s">
        <v>4205</v>
      </c>
      <c r="B1316" s="28" t="str">
        <f t="array" ref="B1316">_xlfn.XLOOKUP($A1316, 'Customer Names'!$A:$A, 'Customer Names'!B:B, "No Data")</f>
        <v>Friess</v>
      </c>
      <c r="C1316" s="28">
        <f t="array" ref="C1316">_xlfn.XLOOKUP($A1316, 'Medical Examinations'!$A:$A, 'Medical Examinations'!B:B, "No Data")</f>
        <v>22.135</v>
      </c>
      <c r="D1316" s="28">
        <f t="array" ref="D1316">_xlfn.XLOOKUP($A1316, 'Medical Examinations'!$A:$A, 'Medical Examinations'!C:C, "No Data")</f>
        <v>8.17</v>
      </c>
      <c r="E1316" s="28" t="str">
        <f t="array" ref="E1316">_xlfn.XLOOKUP($A1316, 'Medical Examinations'!$A:$A, 'Medical Examinations'!D:D, "No Data")</f>
        <v>No</v>
      </c>
      <c r="F1316" s="28" t="str">
        <f t="array" ref="F1316">_xlfn.XLOOKUP($A1316, 'Medical Examinations'!$A:$A, 'Medical Examinations'!E:E, "No Data")</f>
        <v>No</v>
      </c>
      <c r="G1316" s="28" t="str">
        <f t="array" ref="G1316">_xlfn.XLOOKUP($A1316, 'Medical Examinations'!$A:$A, 'Medical Examinations'!F:F, "No Data")</f>
        <v>No</v>
      </c>
      <c r="H1316" s="28">
        <f t="array" ref="H1316">_xlfn.XLOOKUP($A1316, 'Medical Examinations'!$A:$A, 'Medical Examinations'!G:G, "No Data")</f>
        <v>0</v>
      </c>
      <c r="I1316" s="28" t="str">
        <f t="array" ref="I1316">_xlfn.XLOOKUP($A1316, 'Medical Examinations'!$A:$A, 'Medical Examinations'!H:H, "No Data")</f>
        <v>No</v>
      </c>
      <c r="J1316" s="28" t="str">
        <f t="array" ref="J1316">_xlfn.XLOOKUP($A1316, 'Medical Examinations'!$A:$A, 'Medical Examinations'!I:I, "No Data")</f>
        <v>Normal Weight</v>
      </c>
      <c r="K1316" s="28" t="str">
        <f t="array" ref="K1316">_xlfn.XLOOKUP($A1316, 'Hospitalisation Details'!$A:$A, 'Hospitalisation Details'!I:I, "No Data")</f>
        <v>tier - 3</v>
      </c>
      <c r="L1316" s="28" t="str">
        <f t="array" ref="L1316">_xlfn.XLOOKUP($A1316, 'Hospitalisation Details'!$A:$A, 'Hospitalisation Details'!J:J, "No Data")</f>
        <v>R1016</v>
      </c>
      <c r="M1316" s="28" t="str">
        <f t="array" ref="M1316">_xlfn.XLOOKUP($A1316, 'Hospitalisation Details'!$A:$A, 'Hospitalisation Details'!E:E, "No Data")</f>
        <v>26/06/78</v>
      </c>
      <c r="N1316" s="28">
        <f t="array" ref="N1316">_xlfn.XLOOKUP($A1316, 'Hospitalisation Details'!$A:$A, 'Hospitalisation Details'!K:K, "No Data")</f>
        <v>44</v>
      </c>
      <c r="O1316" s="33">
        <f t="array" ref="O1316">_xlfn.XLOOKUP($A1316, 'Hospitalisation Details'!$A:$A, 'Hospitalisation Details'!G:G, "No Data")</f>
        <v>8302.54</v>
      </c>
      <c r="P1316" s="28" t="str">
        <f t="array" ref="P1316">_xlfn.XLOOKUP($A1316, 'Hospitalisation Details'!$A:$A, 'Hospitalisation Details'!H:H, "No Data")</f>
        <v>tier - 3</v>
      </c>
    </row>
    <row r="1317">
      <c r="A1317" s="25" t="s">
        <v>4209</v>
      </c>
      <c r="B1317" s="28" t="str">
        <f t="array" ref="B1317">_xlfn.XLOOKUP($A1317, 'Customer Names'!$A:$A, 'Customer Names'!B:B, "No Data")</f>
        <v>Mantoni</v>
      </c>
      <c r="C1317" s="28">
        <f t="array" ref="C1317">_xlfn.XLOOKUP($A1317, 'Medical Examinations'!$A:$A, 'Medical Examinations'!B:B, "No Data")</f>
        <v>33.33</v>
      </c>
      <c r="D1317" s="28">
        <f t="array" ref="D1317">_xlfn.XLOOKUP($A1317, 'Medical Examinations'!$A:$A, 'Medical Examinations'!C:C, "No Data")</f>
        <v>7.61</v>
      </c>
      <c r="E1317" s="28" t="str">
        <f t="array" ref="E1317">_xlfn.XLOOKUP($A1317, 'Medical Examinations'!$A:$A, 'Medical Examinations'!D:D, "No Data")</f>
        <v>No</v>
      </c>
      <c r="F1317" s="28" t="str">
        <f t="array" ref="F1317">_xlfn.XLOOKUP($A1317, 'Medical Examinations'!$A:$A, 'Medical Examinations'!E:E, "No Data")</f>
        <v>No</v>
      </c>
      <c r="G1317" s="28" t="str">
        <f t="array" ref="G1317">_xlfn.XLOOKUP($A1317, 'Medical Examinations'!$A:$A, 'Medical Examinations'!F:F, "No Data")</f>
        <v>No</v>
      </c>
      <c r="H1317" s="28">
        <f t="array" ref="H1317">_xlfn.XLOOKUP($A1317, 'Medical Examinations'!$A:$A, 'Medical Examinations'!G:G, "No Data")</f>
        <v>0</v>
      </c>
      <c r="I1317" s="28" t="str">
        <f t="array" ref="I1317">_xlfn.XLOOKUP($A1317, 'Medical Examinations'!$A:$A, 'Medical Examinations'!H:H, "No Data")</f>
        <v>No</v>
      </c>
      <c r="J1317" s="28" t="str">
        <f t="array" ref="J1317">_xlfn.XLOOKUP($A1317, 'Medical Examinations'!$A:$A, 'Medical Examinations'!I:I, "No Data")</f>
        <v>Obesity</v>
      </c>
      <c r="K1317" s="28" t="str">
        <f t="array" ref="K1317">_xlfn.XLOOKUP($A1317, 'Hospitalisation Details'!$A:$A, 'Hospitalisation Details'!I:I, "No Data")</f>
        <v>tier - 3</v>
      </c>
      <c r="L1317" s="28" t="str">
        <f t="array" ref="L1317">_xlfn.XLOOKUP($A1317, 'Hospitalisation Details'!$A:$A, 'Hospitalisation Details'!J:J, "No Data")</f>
        <v>R1013</v>
      </c>
      <c r="M1317" s="28" t="str">
        <f t="array" ref="M1317">_xlfn.XLOOKUP($A1317, 'Hospitalisation Details'!$A:$A, 'Hospitalisation Details'!E:E, "No Data")</f>
        <v>06/06/74</v>
      </c>
      <c r="N1317" s="28">
        <f t="array" ref="N1317">_xlfn.XLOOKUP($A1317, 'Hospitalisation Details'!$A:$A, 'Hospitalisation Details'!K:K, "No Data")</f>
        <v>49</v>
      </c>
      <c r="O1317" s="33">
        <f t="array" ref="O1317">_xlfn.XLOOKUP($A1317, 'Hospitalisation Details'!$A:$A, 'Hospitalisation Details'!G:G, "No Data")</f>
        <v>8283.68</v>
      </c>
      <c r="P1317" s="28" t="str">
        <f t="array" ref="P1317">_xlfn.XLOOKUP($A1317, 'Hospitalisation Details'!$A:$A, 'Hospitalisation Details'!H:H, "No Data")</f>
        <v>tier - 2</v>
      </c>
    </row>
    <row r="1318">
      <c r="A1318" s="25" t="s">
        <v>4212</v>
      </c>
      <c r="B1318" s="28" t="str">
        <f t="array" ref="B1318">_xlfn.XLOOKUP($A1318, 'Customer Names'!$A:$A, 'Customer Names'!B:B, "No Data")</f>
        <v>Bodeen</v>
      </c>
      <c r="C1318" s="28">
        <f t="array" ref="C1318">_xlfn.XLOOKUP($A1318, 'Medical Examinations'!$A:$A, 'Medical Examinations'!B:B, "No Data")</f>
        <v>31.13</v>
      </c>
      <c r="D1318" s="28">
        <f t="array" ref="D1318">_xlfn.XLOOKUP($A1318, 'Medical Examinations'!$A:$A, 'Medical Examinations'!C:C, "No Data")</f>
        <v>10.1</v>
      </c>
      <c r="E1318" s="28" t="str">
        <f t="array" ref="E1318">_xlfn.XLOOKUP($A1318, 'Medical Examinations'!$A:$A, 'Medical Examinations'!D:D, "No Data")</f>
        <v>No</v>
      </c>
      <c r="F1318" s="28" t="str">
        <f t="array" ref="F1318">_xlfn.XLOOKUP($A1318, 'Medical Examinations'!$A:$A, 'Medical Examinations'!E:E, "No Data")</f>
        <v>No</v>
      </c>
      <c r="G1318" s="28" t="str">
        <f t="array" ref="G1318">_xlfn.XLOOKUP($A1318, 'Medical Examinations'!$A:$A, 'Medical Examinations'!F:F, "No Data")</f>
        <v>No</v>
      </c>
      <c r="H1318" s="28">
        <f t="array" ref="H1318">_xlfn.XLOOKUP($A1318, 'Medical Examinations'!$A:$A, 'Medical Examinations'!G:G, "No Data")</f>
        <v>0</v>
      </c>
      <c r="I1318" s="28" t="str">
        <f t="array" ref="I1318">_xlfn.XLOOKUP($A1318, 'Medical Examinations'!$A:$A, 'Medical Examinations'!H:H, "No Data")</f>
        <v>No</v>
      </c>
      <c r="J1318" s="28" t="str">
        <f t="array" ref="J1318">_xlfn.XLOOKUP($A1318, 'Medical Examinations'!$A:$A, 'Medical Examinations'!I:I, "No Data")</f>
        <v>Obesity</v>
      </c>
      <c r="K1318" s="28" t="str">
        <f t="array" ref="K1318">_xlfn.XLOOKUP($A1318, 'Hospitalisation Details'!$A:$A, 'Hospitalisation Details'!I:I, "No Data")</f>
        <v>tier - 2</v>
      </c>
      <c r="L1318" s="28" t="str">
        <f t="array" ref="L1318">_xlfn.XLOOKUP($A1318, 'Hospitalisation Details'!$A:$A, 'Hospitalisation Details'!J:J, "No Data")</f>
        <v>R1013</v>
      </c>
      <c r="M1318" s="28" t="str">
        <f t="array" ref="M1318">_xlfn.XLOOKUP($A1318, 'Hospitalisation Details'!$A:$A, 'Hospitalisation Details'!E:E, "No Data")</f>
        <v>22/12/74</v>
      </c>
      <c r="N1318" s="28">
        <f t="array" ref="N1318">_xlfn.XLOOKUP($A1318, 'Hospitalisation Details'!$A:$A, 'Hospitalisation Details'!K:K, "No Data")</f>
        <v>48</v>
      </c>
      <c r="O1318" s="33">
        <f t="array" ref="O1318">_xlfn.XLOOKUP($A1318, 'Hospitalisation Details'!$A:$A, 'Hospitalisation Details'!G:G, "No Data")</f>
        <v>8280.62</v>
      </c>
      <c r="P1318" s="28" t="str">
        <f t="array" ref="P1318">_xlfn.XLOOKUP($A1318, 'Hospitalisation Details'!$A:$A, 'Hospitalisation Details'!H:H, "No Data")</f>
        <v>tier - 2</v>
      </c>
    </row>
    <row r="1319">
      <c r="A1319" s="25" t="s">
        <v>4216</v>
      </c>
      <c r="B1319" s="28" t="str">
        <f t="array" ref="B1319">_xlfn.XLOOKUP($A1319, 'Customer Names'!$A:$A, 'Customer Names'!B:B, "No Data")</f>
        <v>McPherson</v>
      </c>
      <c r="C1319" s="28">
        <f t="array" ref="C1319">_xlfn.XLOOKUP($A1319, 'Medical Examinations'!$A:$A, 'Medical Examinations'!B:B, "No Data")</f>
        <v>28.9</v>
      </c>
      <c r="D1319" s="28">
        <f t="array" ref="D1319">_xlfn.XLOOKUP($A1319, 'Medical Examinations'!$A:$A, 'Medical Examinations'!C:C, "No Data")</f>
        <v>11.24</v>
      </c>
      <c r="E1319" s="28" t="str">
        <f t="array" ref="E1319">_xlfn.XLOOKUP($A1319, 'Medical Examinations'!$A:$A, 'Medical Examinations'!D:D, "No Data")</f>
        <v>No</v>
      </c>
      <c r="F1319" s="28" t="str">
        <f t="array" ref="F1319">_xlfn.XLOOKUP($A1319, 'Medical Examinations'!$A:$A, 'Medical Examinations'!E:E, "No Data")</f>
        <v>No</v>
      </c>
      <c r="G1319" s="28" t="str">
        <f t="array" ref="G1319">_xlfn.XLOOKUP($A1319, 'Medical Examinations'!$A:$A, 'Medical Examinations'!F:F, "No Data")</f>
        <v>No</v>
      </c>
      <c r="H1319" s="28">
        <f t="array" ref="H1319">_xlfn.XLOOKUP($A1319, 'Medical Examinations'!$A:$A, 'Medical Examinations'!G:G, "No Data")</f>
        <v>0</v>
      </c>
      <c r="I1319" s="28" t="str">
        <f t="array" ref="I1319">_xlfn.XLOOKUP($A1319, 'Medical Examinations'!$A:$A, 'Medical Examinations'!H:H, "No Data")</f>
        <v>No</v>
      </c>
      <c r="J1319" s="28" t="str">
        <f t="array" ref="J1319">_xlfn.XLOOKUP($A1319, 'Medical Examinations'!$A:$A, 'Medical Examinations'!I:I, "No Data")</f>
        <v>Overweight</v>
      </c>
      <c r="K1319" s="28" t="str">
        <f t="array" ref="K1319">_xlfn.XLOOKUP($A1319, 'Hospitalisation Details'!$A:$A, 'Hospitalisation Details'!I:I, "No Data")</f>
        <v>tier - 2</v>
      </c>
      <c r="L1319" s="28" t="str">
        <f t="array" ref="L1319">_xlfn.XLOOKUP($A1319, 'Hospitalisation Details'!$A:$A, 'Hospitalisation Details'!J:J, "No Data")</f>
        <v>R1011</v>
      </c>
      <c r="M1319" s="28" t="str">
        <f t="array" ref="M1319">_xlfn.XLOOKUP($A1319, 'Hospitalisation Details'!$A:$A, 'Hospitalisation Details'!E:E, "No Data")</f>
        <v>26/09/74</v>
      </c>
      <c r="N1319" s="28">
        <f t="array" ref="N1319">_xlfn.XLOOKUP($A1319, 'Hospitalisation Details'!$A:$A, 'Hospitalisation Details'!K:K, "No Data")</f>
        <v>48</v>
      </c>
      <c r="O1319" s="33">
        <f t="array" ref="O1319">_xlfn.XLOOKUP($A1319, 'Hospitalisation Details'!$A:$A, 'Hospitalisation Details'!G:G, "No Data")</f>
        <v>8277.52</v>
      </c>
      <c r="P1319" s="28" t="str">
        <f t="array" ref="P1319">_xlfn.XLOOKUP($A1319, 'Hospitalisation Details'!$A:$A, 'Hospitalisation Details'!H:H, "No Data")</f>
        <v>tier - 2</v>
      </c>
    </row>
    <row r="1320">
      <c r="A1320" s="25" t="s">
        <v>4219</v>
      </c>
      <c r="B1320" s="28" t="str">
        <f t="array" ref="B1320">_xlfn.XLOOKUP($A1320, 'Customer Names'!$A:$A, 'Customer Names'!B:B, "No Data")</f>
        <v>Palko</v>
      </c>
      <c r="C1320" s="28">
        <f t="array" ref="C1320">_xlfn.XLOOKUP($A1320, 'Medical Examinations'!$A:$A, 'Medical Examinations'!B:B, "No Data")</f>
        <v>43.31</v>
      </c>
      <c r="D1320" s="28">
        <f t="array" ref="D1320">_xlfn.XLOOKUP($A1320, 'Medical Examinations'!$A:$A, 'Medical Examinations'!C:C, "No Data")</f>
        <v>6.1</v>
      </c>
      <c r="E1320" s="28" t="str">
        <f t="array" ref="E1320">_xlfn.XLOOKUP($A1320, 'Medical Examinations'!$A:$A, 'Medical Examinations'!D:D, "No Data")</f>
        <v>yes</v>
      </c>
      <c r="F1320" s="28" t="str">
        <f t="array" ref="F1320">_xlfn.XLOOKUP($A1320, 'Medical Examinations'!$A:$A, 'Medical Examinations'!E:E, "No Data")</f>
        <v>yes</v>
      </c>
      <c r="G1320" s="28" t="str">
        <f t="array" ref="G1320">_xlfn.XLOOKUP($A1320, 'Medical Examinations'!$A:$A, 'Medical Examinations'!F:F, "No Data")</f>
        <v>No</v>
      </c>
      <c r="H1320" s="28">
        <f t="array" ref="H1320">_xlfn.XLOOKUP($A1320, 'Medical Examinations'!$A:$A, 'Medical Examinations'!G:G, "No Data")</f>
        <v>1</v>
      </c>
      <c r="I1320" s="28" t="str">
        <f t="array" ref="I1320">_xlfn.XLOOKUP($A1320, 'Medical Examinations'!$A:$A, 'Medical Examinations'!H:H, "No Data")</f>
        <v>No</v>
      </c>
      <c r="J1320" s="28" t="str">
        <f t="array" ref="J1320">_xlfn.XLOOKUP($A1320, 'Medical Examinations'!$A:$A, 'Medical Examinations'!I:I, "No Data")</f>
        <v>Obesity</v>
      </c>
      <c r="K1320" s="28" t="str">
        <f t="array" ref="K1320">_xlfn.XLOOKUP($A1320, 'Hospitalisation Details'!$A:$A, 'Hospitalisation Details'!I:I, "No Data")</f>
        <v>tier - 1</v>
      </c>
      <c r="L1320" s="28" t="str">
        <f t="array" ref="L1320">_xlfn.XLOOKUP($A1320, 'Hospitalisation Details'!$A:$A, 'Hospitalisation Details'!J:J, "No Data")</f>
        <v>R1023</v>
      </c>
      <c r="M1320" s="28" t="str">
        <f t="array" ref="M1320">_xlfn.XLOOKUP($A1320, 'Hospitalisation Details'!$A:$A, 'Hospitalisation Details'!E:E, "No Data")</f>
        <v>28/11/00</v>
      </c>
      <c r="N1320" s="28">
        <f t="array" ref="N1320">_xlfn.XLOOKUP($A1320, 'Hospitalisation Details'!$A:$A, 'Hospitalisation Details'!K:K, "No Data")</f>
        <v>22</v>
      </c>
      <c r="O1320" s="33">
        <f t="array" ref="O1320">_xlfn.XLOOKUP($A1320, 'Hospitalisation Details'!$A:$A, 'Hospitalisation Details'!G:G, "No Data")</f>
        <v>8271.46</v>
      </c>
      <c r="P1320" s="28" t="str">
        <f t="array" ref="P1320">_xlfn.XLOOKUP($A1320, 'Hospitalisation Details'!$A:$A, 'Hospitalisation Details'!H:H, "No Data")</f>
        <v>tier - 2</v>
      </c>
    </row>
    <row r="1321">
      <c r="A1321" s="25" t="s">
        <v>4223</v>
      </c>
      <c r="B1321" s="28" t="str">
        <f t="array" ref="B1321">_xlfn.XLOOKUP($A1321, 'Customer Names'!$A:$A, 'Customer Names'!B:B, "No Data")</f>
        <v>Breathitt</v>
      </c>
      <c r="C1321" s="28">
        <f t="array" ref="C1321">_xlfn.XLOOKUP($A1321, 'Medical Examinations'!$A:$A, 'Medical Examinations'!B:B, "No Data")</f>
        <v>22.8</v>
      </c>
      <c r="D1321" s="28">
        <f t="array" ref="D1321">_xlfn.XLOOKUP($A1321, 'Medical Examinations'!$A:$A, 'Medical Examinations'!C:C, "No Data")</f>
        <v>6.98</v>
      </c>
      <c r="E1321" s="28" t="str">
        <f t="array" ref="E1321">_xlfn.XLOOKUP($A1321, 'Medical Examinations'!$A:$A, 'Medical Examinations'!D:D, "No Data")</f>
        <v>No</v>
      </c>
      <c r="F1321" s="28" t="str">
        <f t="array" ref="F1321">_xlfn.XLOOKUP($A1321, 'Medical Examinations'!$A:$A, 'Medical Examinations'!E:E, "No Data")</f>
        <v>No</v>
      </c>
      <c r="G1321" s="28" t="str">
        <f t="array" ref="G1321">_xlfn.XLOOKUP($A1321, 'Medical Examinations'!$A:$A, 'Medical Examinations'!F:F, "No Data")</f>
        <v>No</v>
      </c>
      <c r="H1321" s="28">
        <f t="array" ref="H1321">_xlfn.XLOOKUP($A1321, 'Medical Examinations'!$A:$A, 'Medical Examinations'!G:G, "No Data")</f>
        <v>0</v>
      </c>
      <c r="I1321" s="28" t="str">
        <f t="array" ref="I1321">_xlfn.XLOOKUP($A1321, 'Medical Examinations'!$A:$A, 'Medical Examinations'!H:H, "No Data")</f>
        <v>No</v>
      </c>
      <c r="J1321" s="28" t="str">
        <f t="array" ref="J1321">_xlfn.XLOOKUP($A1321, 'Medical Examinations'!$A:$A, 'Medical Examinations'!I:I, "No Data")</f>
        <v>Normal Weight</v>
      </c>
      <c r="K1321" s="28" t="str">
        <f t="array" ref="K1321">_xlfn.XLOOKUP($A1321, 'Hospitalisation Details'!$A:$A, 'Hospitalisation Details'!I:I, "No Data")</f>
        <v>tier - 1</v>
      </c>
      <c r="L1321" s="28" t="str">
        <f t="array" ref="L1321">_xlfn.XLOOKUP($A1321, 'Hospitalisation Details'!$A:$A, 'Hospitalisation Details'!J:J, "No Data")</f>
        <v>R1011</v>
      </c>
      <c r="M1321" s="28" t="str">
        <f t="array" ref="M1321">_xlfn.XLOOKUP($A1321, 'Hospitalisation Details'!$A:$A, 'Hospitalisation Details'!E:E, "No Data")</f>
        <v>05/08/74</v>
      </c>
      <c r="N1321" s="28">
        <f t="array" ref="N1321">_xlfn.XLOOKUP($A1321, 'Hospitalisation Details'!$A:$A, 'Hospitalisation Details'!K:K, "No Data")</f>
        <v>48</v>
      </c>
      <c r="O1321" s="33">
        <f t="array" ref="O1321">_xlfn.XLOOKUP($A1321, 'Hospitalisation Details'!$A:$A, 'Hospitalisation Details'!G:G, "No Data")</f>
        <v>8269.04</v>
      </c>
      <c r="P1321" s="28" t="str">
        <f t="array" ref="P1321">_xlfn.XLOOKUP($A1321, 'Hospitalisation Details'!$A:$A, 'Hospitalisation Details'!H:H, "No Data")</f>
        <v>tier - 2</v>
      </c>
    </row>
    <row r="1322">
      <c r="A1322" s="25" t="s">
        <v>4226</v>
      </c>
      <c r="B1322" s="28" t="str">
        <f t="array" ref="B1322">_xlfn.XLOOKUP($A1322, 'Customer Names'!$A:$A, 'Customer Names'!B:B, "No Data")</f>
        <v>Evora</v>
      </c>
      <c r="C1322" s="28">
        <f t="array" ref="C1322">_xlfn.XLOOKUP($A1322, 'Medical Examinations'!$A:$A, 'Medical Examinations'!B:B, "No Data")</f>
        <v>19.09</v>
      </c>
      <c r="D1322" s="28">
        <f t="array" ref="D1322">_xlfn.XLOOKUP($A1322, 'Medical Examinations'!$A:$A, 'Medical Examinations'!C:C, "No Data")</f>
        <v>4</v>
      </c>
      <c r="E1322" s="28" t="str">
        <f t="array" ref="E1322">_xlfn.XLOOKUP($A1322, 'Medical Examinations'!$A:$A, 'Medical Examinations'!D:D, "No Data")</f>
        <v>yes</v>
      </c>
      <c r="F1322" s="28" t="str">
        <f t="array" ref="F1322">_xlfn.XLOOKUP($A1322, 'Medical Examinations'!$A:$A, 'Medical Examinations'!E:E, "No Data")</f>
        <v>No</v>
      </c>
      <c r="G1322" s="28" t="str">
        <f t="array" ref="G1322">_xlfn.XLOOKUP($A1322, 'Medical Examinations'!$A:$A, 'Medical Examinations'!F:F, "No Data")</f>
        <v>No</v>
      </c>
      <c r="H1322" s="28">
        <f t="array" ref="H1322">_xlfn.XLOOKUP($A1322, 'Medical Examinations'!$A:$A, 'Medical Examinations'!G:G, "No Data")</f>
        <v>1</v>
      </c>
      <c r="I1322" s="28" t="str">
        <f t="array" ref="I1322">_xlfn.XLOOKUP($A1322, 'Medical Examinations'!$A:$A, 'Medical Examinations'!H:H, "No Data")</f>
        <v>No</v>
      </c>
      <c r="J1322" s="28" t="str">
        <f t="array" ref="J1322">_xlfn.XLOOKUP($A1322, 'Medical Examinations'!$A:$A, 'Medical Examinations'!I:I, "No Data")</f>
        <v>Normal Weight</v>
      </c>
      <c r="K1322" s="28" t="str">
        <f t="array" ref="K1322">_xlfn.XLOOKUP($A1322, 'Hospitalisation Details'!$A:$A, 'Hospitalisation Details'!I:I, "No Data")</f>
        <v>tier - 3</v>
      </c>
      <c r="L1322" s="28" t="str">
        <f t="array" ref="L1322">_xlfn.XLOOKUP($A1322, 'Hospitalisation Details'!$A:$A, 'Hospitalisation Details'!J:J, "No Data")</f>
        <v>R1013</v>
      </c>
      <c r="M1322" s="28" t="str">
        <f t="array" ref="M1322">_xlfn.XLOOKUP($A1322, 'Hospitalisation Details'!$A:$A, 'Hospitalisation Details'!E:E, "No Data")</f>
        <v>05/09/64</v>
      </c>
      <c r="N1322" s="28">
        <f t="array" ref="N1322">_xlfn.XLOOKUP($A1322, 'Hospitalisation Details'!$A:$A, 'Hospitalisation Details'!K:K, "No Data")</f>
        <v>58</v>
      </c>
      <c r="O1322" s="33">
        <f t="array" ref="O1322">_xlfn.XLOOKUP($A1322, 'Hospitalisation Details'!$A:$A, 'Hospitalisation Details'!G:G, "No Data")</f>
        <v>8268</v>
      </c>
      <c r="P1322" s="28" t="str">
        <f t="array" ref="P1322">_xlfn.XLOOKUP($A1322, 'Hospitalisation Details'!$A:$A, 'Hospitalisation Details'!H:H, "No Data")</f>
        <v>tier - 3</v>
      </c>
    </row>
    <row r="1323">
      <c r="A1323" s="25" t="s">
        <v>4230</v>
      </c>
      <c r="B1323" s="28" t="str">
        <f t="array" ref="B1323">_xlfn.XLOOKUP($A1323, 'Customer Names'!$A:$A, 'Customer Names'!B:B, "No Data")</f>
        <v>Fischer</v>
      </c>
      <c r="C1323" s="28">
        <f t="array" ref="C1323">_xlfn.XLOOKUP($A1323, 'Medical Examinations'!$A:$A, 'Medical Examinations'!B:B, "No Data")</f>
        <v>23.37</v>
      </c>
      <c r="D1323" s="28">
        <f t="array" ref="D1323">_xlfn.XLOOKUP($A1323, 'Medical Examinations'!$A:$A, 'Medical Examinations'!C:C, "No Data")</f>
        <v>4.23</v>
      </c>
      <c r="E1323" s="28" t="str">
        <f t="array" ref="E1323">_xlfn.XLOOKUP($A1323, 'Medical Examinations'!$A:$A, 'Medical Examinations'!D:D, "No Data")</f>
        <v>No</v>
      </c>
      <c r="F1323" s="28" t="str">
        <f t="array" ref="F1323">_xlfn.XLOOKUP($A1323, 'Medical Examinations'!$A:$A, 'Medical Examinations'!E:E, "No Data")</f>
        <v>No</v>
      </c>
      <c r="G1323" s="28" t="str">
        <f t="array" ref="G1323">_xlfn.XLOOKUP($A1323, 'Medical Examinations'!$A:$A, 'Medical Examinations'!F:F, "No Data")</f>
        <v>No</v>
      </c>
      <c r="H1323" s="28">
        <f t="array" ref="H1323">_xlfn.XLOOKUP($A1323, 'Medical Examinations'!$A:$A, 'Medical Examinations'!G:G, "No Data")</f>
        <v>0</v>
      </c>
      <c r="I1323" s="28" t="str">
        <f t="array" ref="I1323">_xlfn.XLOOKUP($A1323, 'Medical Examinations'!$A:$A, 'Medical Examinations'!H:H, "No Data")</f>
        <v>No</v>
      </c>
      <c r="J1323" s="28" t="str">
        <f t="array" ref="J1323">_xlfn.XLOOKUP($A1323, 'Medical Examinations'!$A:$A, 'Medical Examinations'!I:I, "No Data")</f>
        <v>Normal Weight</v>
      </c>
      <c r="K1323" s="28" t="str">
        <f t="array" ref="K1323">_xlfn.XLOOKUP($A1323, 'Hospitalisation Details'!$A:$A, 'Hospitalisation Details'!I:I, "No Data")</f>
        <v>tier - 2</v>
      </c>
      <c r="L1323" s="28" t="str">
        <f t="array" ref="L1323">_xlfn.XLOOKUP($A1323, 'Hospitalisation Details'!$A:$A, 'Hospitalisation Details'!J:J, "No Data")</f>
        <v>R1024</v>
      </c>
      <c r="M1323" s="28" t="str">
        <f t="array" ref="M1323">_xlfn.XLOOKUP($A1323, 'Hospitalisation Details'!$A:$A, 'Hospitalisation Details'!E:E, "No Data")</f>
        <v>27/09/82</v>
      </c>
      <c r="N1323" s="28">
        <f t="array" ref="N1323">_xlfn.XLOOKUP($A1323, 'Hospitalisation Details'!$A:$A, 'Hospitalisation Details'!K:K, "No Data")</f>
        <v>40</v>
      </c>
      <c r="O1323" s="33">
        <f t="array" ref="O1323">_xlfn.XLOOKUP($A1323, 'Hospitalisation Details'!$A:$A, 'Hospitalisation Details'!G:G, "No Data")</f>
        <v>8252.28</v>
      </c>
      <c r="P1323" s="28" t="str">
        <f t="array" ref="P1323">_xlfn.XLOOKUP($A1323, 'Hospitalisation Details'!$A:$A, 'Hospitalisation Details'!H:H, "No Data")</f>
        <v>tier - 2</v>
      </c>
    </row>
    <row r="1324">
      <c r="A1324" s="25" t="s">
        <v>4234</v>
      </c>
      <c r="B1324" s="28" t="str">
        <f t="array" ref="B1324">_xlfn.XLOOKUP($A1324, 'Customer Names'!$A:$A, 'Customer Names'!B:B, "No Data")</f>
        <v>Deba</v>
      </c>
      <c r="C1324" s="28">
        <f t="array" ref="C1324">_xlfn.XLOOKUP($A1324, 'Medical Examinations'!$A:$A, 'Medical Examinations'!B:B, "No Data")</f>
        <v>33.44</v>
      </c>
      <c r="D1324" s="28">
        <f t="array" ref="D1324">_xlfn.XLOOKUP($A1324, 'Medical Examinations'!$A:$A, 'Medical Examinations'!C:C, "No Data")</f>
        <v>4.72</v>
      </c>
      <c r="E1324" s="28" t="str">
        <f t="array" ref="E1324">_xlfn.XLOOKUP($A1324, 'Medical Examinations'!$A:$A, 'Medical Examinations'!D:D, "No Data")</f>
        <v>yes</v>
      </c>
      <c r="F1324" s="28" t="str">
        <f t="array" ref="F1324">_xlfn.XLOOKUP($A1324, 'Medical Examinations'!$A:$A, 'Medical Examinations'!E:E, "No Data")</f>
        <v>No</v>
      </c>
      <c r="G1324" s="28" t="str">
        <f t="array" ref="G1324">_xlfn.XLOOKUP($A1324, 'Medical Examinations'!$A:$A, 'Medical Examinations'!F:F, "No Data")</f>
        <v>No</v>
      </c>
      <c r="H1324" s="28">
        <f t="array" ref="H1324">_xlfn.XLOOKUP($A1324, 'Medical Examinations'!$A:$A, 'Medical Examinations'!G:G, "No Data")</f>
        <v>0</v>
      </c>
      <c r="I1324" s="28" t="str">
        <f t="array" ref="I1324">_xlfn.XLOOKUP($A1324, 'Medical Examinations'!$A:$A, 'Medical Examinations'!H:H, "No Data")</f>
        <v>No</v>
      </c>
      <c r="J1324" s="28" t="str">
        <f t="array" ref="J1324">_xlfn.XLOOKUP($A1324, 'Medical Examinations'!$A:$A, 'Medical Examinations'!I:I, "No Data")</f>
        <v>Obesity</v>
      </c>
      <c r="K1324" s="28" t="str">
        <f t="array" ref="K1324">_xlfn.XLOOKUP($A1324, 'Hospitalisation Details'!$A:$A, 'Hospitalisation Details'!I:I, "No Data")</f>
        <v>tier - 2</v>
      </c>
      <c r="L1324" s="28" t="str">
        <f t="array" ref="L1324">_xlfn.XLOOKUP($A1324, 'Hospitalisation Details'!$A:$A, 'Hospitalisation Details'!J:J, "No Data")</f>
        <v>R1013</v>
      </c>
      <c r="M1324" s="28" t="str">
        <f t="array" ref="M1324">_xlfn.XLOOKUP($A1324, 'Hospitalisation Details'!$A:$A, 'Hospitalisation Details'!E:E, "No Data")</f>
        <v>02/09/76</v>
      </c>
      <c r="N1324" s="28">
        <f t="array" ref="N1324">_xlfn.XLOOKUP($A1324, 'Hospitalisation Details'!$A:$A, 'Hospitalisation Details'!K:K, "No Data")</f>
        <v>46</v>
      </c>
      <c r="O1324" s="33">
        <f t="array" ref="O1324">_xlfn.XLOOKUP($A1324, 'Hospitalisation Details'!$A:$A, 'Hospitalisation Details'!G:G, "No Data")</f>
        <v>8240.59</v>
      </c>
      <c r="P1324" s="28" t="str">
        <f t="array" ref="P1324">_xlfn.XLOOKUP($A1324, 'Hospitalisation Details'!$A:$A, 'Hospitalisation Details'!H:H, "No Data")</f>
        <v>tier - 2</v>
      </c>
    </row>
    <row r="1325">
      <c r="A1325" s="25" t="s">
        <v>4237</v>
      </c>
      <c r="B1325" s="28" t="str">
        <f t="array" ref="B1325">_xlfn.XLOOKUP($A1325, 'Customer Names'!$A:$A, 'Customer Names'!B:B, "No Data")</f>
        <v>Leloup</v>
      </c>
      <c r="C1325" s="28">
        <f t="array" ref="C1325">_xlfn.XLOOKUP($A1325, 'Medical Examinations'!$A:$A, 'Medical Examinations'!B:B, "No Data")</f>
        <v>28.05</v>
      </c>
      <c r="D1325" s="28">
        <f t="array" ref="D1325">_xlfn.XLOOKUP($A1325, 'Medical Examinations'!$A:$A, 'Medical Examinations'!C:C, "No Data")</f>
        <v>5.63</v>
      </c>
      <c r="E1325" s="28" t="str">
        <f t="array" ref="E1325">_xlfn.XLOOKUP($A1325, 'Medical Examinations'!$A:$A, 'Medical Examinations'!D:D, "No Data")</f>
        <v>yes</v>
      </c>
      <c r="F1325" s="28" t="str">
        <f t="array" ref="F1325">_xlfn.XLOOKUP($A1325, 'Medical Examinations'!$A:$A, 'Medical Examinations'!E:E, "No Data")</f>
        <v>No</v>
      </c>
      <c r="G1325" s="28" t="str">
        <f t="array" ref="G1325">_xlfn.XLOOKUP($A1325, 'Medical Examinations'!$A:$A, 'Medical Examinations'!F:F, "No Data")</f>
        <v>No</v>
      </c>
      <c r="H1325" s="28">
        <f t="array" ref="H1325">_xlfn.XLOOKUP($A1325, 'Medical Examinations'!$A:$A, 'Medical Examinations'!G:G, "No Data")</f>
        <v>0</v>
      </c>
      <c r="I1325" s="28" t="str">
        <f t="array" ref="I1325">_xlfn.XLOOKUP($A1325, 'Medical Examinations'!$A:$A, 'Medical Examinations'!H:H, "No Data")</f>
        <v>No</v>
      </c>
      <c r="J1325" s="28" t="str">
        <f t="array" ref="J1325">_xlfn.XLOOKUP($A1325, 'Medical Examinations'!$A:$A, 'Medical Examinations'!I:I, "No Data")</f>
        <v>Overweight</v>
      </c>
      <c r="K1325" s="28" t="str">
        <f t="array" ref="K1325">_xlfn.XLOOKUP($A1325, 'Hospitalisation Details'!$A:$A, 'Hospitalisation Details'!I:I, "No Data")</f>
        <v>tier - 2</v>
      </c>
      <c r="L1325" s="28" t="str">
        <f t="array" ref="L1325">_xlfn.XLOOKUP($A1325, 'Hospitalisation Details'!$A:$A, 'Hospitalisation Details'!J:J, "No Data")</f>
        <v>R1013</v>
      </c>
      <c r="M1325" s="28" t="str">
        <f t="array" ref="M1325">_xlfn.XLOOKUP($A1325, 'Hospitalisation Details'!$A:$A, 'Hospitalisation Details'!E:E, "No Data")</f>
        <v>30/06/76</v>
      </c>
      <c r="N1325" s="28">
        <f t="array" ref="N1325">_xlfn.XLOOKUP($A1325, 'Hospitalisation Details'!$A:$A, 'Hospitalisation Details'!K:K, "No Data")</f>
        <v>46</v>
      </c>
      <c r="O1325" s="33">
        <f t="array" ref="O1325">_xlfn.XLOOKUP($A1325, 'Hospitalisation Details'!$A:$A, 'Hospitalisation Details'!G:G, "No Data")</f>
        <v>8233.1</v>
      </c>
      <c r="P1325" s="28" t="str">
        <f t="array" ref="P1325">_xlfn.XLOOKUP($A1325, 'Hospitalisation Details'!$A:$A, 'Hospitalisation Details'!H:H, "No Data")</f>
        <v>tier - 2</v>
      </c>
    </row>
    <row r="1326">
      <c r="A1326" s="25" t="s">
        <v>4241</v>
      </c>
      <c r="B1326" s="28" t="str">
        <f t="array" ref="B1326">_xlfn.XLOOKUP($A1326, 'Customer Names'!$A:$A, 'Customer Names'!B:B, "No Data")</f>
        <v>Labare</v>
      </c>
      <c r="C1326" s="28">
        <f t="array" ref="C1326">_xlfn.XLOOKUP($A1326, 'Medical Examinations'!$A:$A, 'Medical Examinations'!B:B, "No Data")</f>
        <v>27.72</v>
      </c>
      <c r="D1326" s="28">
        <f t="array" ref="D1326">_xlfn.XLOOKUP($A1326, 'Medical Examinations'!$A:$A, 'Medical Examinations'!C:C, "No Data")</f>
        <v>5.83</v>
      </c>
      <c r="E1326" s="28" t="str">
        <f t="array" ref="E1326">_xlfn.XLOOKUP($A1326, 'Medical Examinations'!$A:$A, 'Medical Examinations'!D:D, "No Data")</f>
        <v>yes</v>
      </c>
      <c r="F1326" s="28" t="str">
        <f t="array" ref="F1326">_xlfn.XLOOKUP($A1326, 'Medical Examinations'!$A:$A, 'Medical Examinations'!E:E, "No Data")</f>
        <v>No</v>
      </c>
      <c r="G1326" s="28" t="str">
        <f t="array" ref="G1326">_xlfn.XLOOKUP($A1326, 'Medical Examinations'!$A:$A, 'Medical Examinations'!F:F, "No Data")</f>
        <v>No</v>
      </c>
      <c r="H1326" s="28">
        <f t="array" ref="H1326">_xlfn.XLOOKUP($A1326, 'Medical Examinations'!$A:$A, 'Medical Examinations'!G:G, "No Data")</f>
        <v>0</v>
      </c>
      <c r="I1326" s="28" t="str">
        <f t="array" ref="I1326">_xlfn.XLOOKUP($A1326, 'Medical Examinations'!$A:$A, 'Medical Examinations'!H:H, "No Data")</f>
        <v>No</v>
      </c>
      <c r="J1326" s="28" t="str">
        <f t="array" ref="J1326">_xlfn.XLOOKUP($A1326, 'Medical Examinations'!$A:$A, 'Medical Examinations'!I:I, "No Data")</f>
        <v>Overweight</v>
      </c>
      <c r="K1326" s="28" t="str">
        <f t="array" ref="K1326">_xlfn.XLOOKUP($A1326, 'Hospitalisation Details'!$A:$A, 'Hospitalisation Details'!I:I, "No Data")</f>
        <v>tier - 3</v>
      </c>
      <c r="L1326" s="28" t="str">
        <f t="array" ref="L1326">_xlfn.XLOOKUP($A1326, 'Hospitalisation Details'!$A:$A, 'Hospitalisation Details'!J:J, "No Data")</f>
        <v>R1013</v>
      </c>
      <c r="M1326" s="28" t="str">
        <f t="array" ref="M1326">_xlfn.XLOOKUP($A1326, 'Hospitalisation Details'!$A:$A, 'Hospitalisation Details'!E:E, "No Data")</f>
        <v>03/09/76</v>
      </c>
      <c r="N1326" s="28">
        <f t="array" ref="N1326">_xlfn.XLOOKUP($A1326, 'Hospitalisation Details'!$A:$A, 'Hospitalisation Details'!K:K, "No Data")</f>
        <v>46</v>
      </c>
      <c r="O1326" s="33">
        <f t="array" ref="O1326">_xlfn.XLOOKUP($A1326, 'Hospitalisation Details'!$A:$A, 'Hospitalisation Details'!G:G, "No Data")</f>
        <v>8232.64</v>
      </c>
      <c r="P1326" s="28" t="str">
        <f t="array" ref="P1326">_xlfn.XLOOKUP($A1326, 'Hospitalisation Details'!$A:$A, 'Hospitalisation Details'!H:H, "No Data")</f>
        <v>tier - 2</v>
      </c>
    </row>
    <row r="1327">
      <c r="A1327" s="25" t="s">
        <v>4243</v>
      </c>
      <c r="B1327" s="28" t="str">
        <f t="array" ref="B1327">_xlfn.XLOOKUP($A1327, 'Customer Names'!$A:$A, 'Customer Names'!B:B, "No Data")</f>
        <v>Arouca</v>
      </c>
      <c r="C1327" s="28">
        <f t="array" ref="C1327">_xlfn.XLOOKUP($A1327, 'Medical Examinations'!$A:$A, 'Medical Examinations'!B:B, "No Data")</f>
        <v>29.81</v>
      </c>
      <c r="D1327" s="28">
        <f t="array" ref="D1327">_xlfn.XLOOKUP($A1327, 'Medical Examinations'!$A:$A, 'Medical Examinations'!C:C, "No Data")</f>
        <v>9.23</v>
      </c>
      <c r="E1327" s="28" t="str">
        <f t="array" ref="E1327">_xlfn.XLOOKUP($A1327, 'Medical Examinations'!$A:$A, 'Medical Examinations'!D:D, "No Data")</f>
        <v>No</v>
      </c>
      <c r="F1327" s="28" t="str">
        <f t="array" ref="F1327">_xlfn.XLOOKUP($A1327, 'Medical Examinations'!$A:$A, 'Medical Examinations'!E:E, "No Data")</f>
        <v>No</v>
      </c>
      <c r="G1327" s="28" t="str">
        <f t="array" ref="G1327">_xlfn.XLOOKUP($A1327, 'Medical Examinations'!$A:$A, 'Medical Examinations'!F:F, "No Data")</f>
        <v>No</v>
      </c>
      <c r="H1327" s="28">
        <f t="array" ref="H1327">_xlfn.XLOOKUP($A1327, 'Medical Examinations'!$A:$A, 'Medical Examinations'!G:G, "No Data")</f>
        <v>0</v>
      </c>
      <c r="I1327" s="28" t="str">
        <f t="array" ref="I1327">_xlfn.XLOOKUP($A1327, 'Medical Examinations'!$A:$A, 'Medical Examinations'!H:H, "No Data")</f>
        <v>No</v>
      </c>
      <c r="J1327" s="28" t="str">
        <f t="array" ref="J1327">_xlfn.XLOOKUP($A1327, 'Medical Examinations'!$A:$A, 'Medical Examinations'!I:I, "No Data")</f>
        <v>Overweight</v>
      </c>
      <c r="K1327" s="28" t="str">
        <f t="array" ref="K1327">_xlfn.XLOOKUP($A1327, 'Hospitalisation Details'!$A:$A, 'Hospitalisation Details'!I:I, "No Data")</f>
        <v>tier - 2</v>
      </c>
      <c r="L1327" s="28" t="str">
        <f t="array" ref="L1327">_xlfn.XLOOKUP($A1327, 'Hospitalisation Details'!$A:$A, 'Hospitalisation Details'!J:J, "No Data")</f>
        <v>R1013</v>
      </c>
      <c r="M1327" s="28" t="str">
        <f t="array" ref="M1327">_xlfn.XLOOKUP($A1327, 'Hospitalisation Details'!$A:$A, 'Hospitalisation Details'!E:E, "No Data")</f>
        <v>30/06/78</v>
      </c>
      <c r="N1327" s="28">
        <f t="array" ref="N1327">_xlfn.XLOOKUP($A1327, 'Hospitalisation Details'!$A:$A, 'Hospitalisation Details'!K:K, "No Data")</f>
        <v>44</v>
      </c>
      <c r="O1327" s="33">
        <f t="array" ref="O1327">_xlfn.XLOOKUP($A1327, 'Hospitalisation Details'!$A:$A, 'Hospitalisation Details'!G:G, "No Data")</f>
        <v>8219.2</v>
      </c>
      <c r="P1327" s="28" t="str">
        <f t="array" ref="P1327">_xlfn.XLOOKUP($A1327, 'Hospitalisation Details'!$A:$A, 'Hospitalisation Details'!H:H, "No Data")</f>
        <v>tier - 2</v>
      </c>
    </row>
    <row r="1328">
      <c r="A1328" s="25" t="s">
        <v>4247</v>
      </c>
      <c r="B1328" s="28" t="str">
        <f t="array" ref="B1328">_xlfn.XLOOKUP($A1328, 'Customer Names'!$A:$A, 'Customer Names'!B:B, "No Data")</f>
        <v>Reese</v>
      </c>
      <c r="C1328" s="28">
        <f t="array" ref="C1328">_xlfn.XLOOKUP($A1328, 'Medical Examinations'!$A:$A, 'Medical Examinations'!B:B, "No Data")</f>
        <v>23.98</v>
      </c>
      <c r="D1328" s="28">
        <f t="array" ref="D1328">_xlfn.XLOOKUP($A1328, 'Medical Examinations'!$A:$A, 'Medical Examinations'!C:C, "No Data")</f>
        <v>9.89</v>
      </c>
      <c r="E1328" s="28" t="str">
        <f t="array" ref="E1328">_xlfn.XLOOKUP($A1328, 'Medical Examinations'!$A:$A, 'Medical Examinations'!D:D, "No Data")</f>
        <v>No</v>
      </c>
      <c r="F1328" s="28" t="str">
        <f t="array" ref="F1328">_xlfn.XLOOKUP($A1328, 'Medical Examinations'!$A:$A, 'Medical Examinations'!E:E, "No Data")</f>
        <v>No</v>
      </c>
      <c r="G1328" s="28" t="str">
        <f t="array" ref="G1328">_xlfn.XLOOKUP($A1328, 'Medical Examinations'!$A:$A, 'Medical Examinations'!F:F, "No Data")</f>
        <v>No</v>
      </c>
      <c r="H1328" s="28">
        <f t="array" ref="H1328">_xlfn.XLOOKUP($A1328, 'Medical Examinations'!$A:$A, 'Medical Examinations'!G:G, "No Data")</f>
        <v>0</v>
      </c>
      <c r="I1328" s="28" t="str">
        <f t="array" ref="I1328">_xlfn.XLOOKUP($A1328, 'Medical Examinations'!$A:$A, 'Medical Examinations'!H:H, "No Data")</f>
        <v>No</v>
      </c>
      <c r="J1328" s="28" t="str">
        <f t="array" ref="J1328">_xlfn.XLOOKUP($A1328, 'Medical Examinations'!$A:$A, 'Medical Examinations'!I:I, "No Data")</f>
        <v>Normal Weight</v>
      </c>
      <c r="K1328" s="28" t="str">
        <f t="array" ref="K1328">_xlfn.XLOOKUP($A1328, 'Hospitalisation Details'!$A:$A, 'Hospitalisation Details'!I:I, "No Data")</f>
        <v>tier - 3</v>
      </c>
      <c r="L1328" s="28" t="str">
        <f t="array" ref="L1328">_xlfn.XLOOKUP($A1328, 'Hospitalisation Details'!$A:$A, 'Hospitalisation Details'!J:J, "No Data")</f>
        <v>R1013</v>
      </c>
      <c r="M1328" s="28" t="str">
        <f t="array" ref="M1328">_xlfn.XLOOKUP($A1328, 'Hospitalisation Details'!$A:$A, 'Hospitalisation Details'!E:E, "No Data")</f>
        <v>24/10/78</v>
      </c>
      <c r="N1328" s="28">
        <f t="array" ref="N1328">_xlfn.XLOOKUP($A1328, 'Hospitalisation Details'!$A:$A, 'Hospitalisation Details'!K:K, "No Data")</f>
        <v>44</v>
      </c>
      <c r="O1328" s="33">
        <f t="array" ref="O1328">_xlfn.XLOOKUP($A1328, 'Hospitalisation Details'!$A:$A, 'Hospitalisation Details'!G:G, "No Data")</f>
        <v>8211.1</v>
      </c>
      <c r="P1328" s="28" t="str">
        <f t="array" ref="P1328">_xlfn.XLOOKUP($A1328, 'Hospitalisation Details'!$A:$A, 'Hospitalisation Details'!H:H, "No Data")</f>
        <v>tier - 2</v>
      </c>
    </row>
    <row r="1329">
      <c r="A1329" s="25" t="s">
        <v>4249</v>
      </c>
      <c r="B1329" s="28" t="str">
        <f t="array" ref="B1329">_xlfn.XLOOKUP($A1329, 'Customer Names'!$A:$A, 'Customer Names'!B:B, "No Data")</f>
        <v>McCloskey</v>
      </c>
      <c r="C1329" s="28">
        <f t="array" ref="C1329">_xlfn.XLOOKUP($A1329, 'Medical Examinations'!$A:$A, 'Medical Examinations'!B:B, "No Data")</f>
        <v>17.34</v>
      </c>
      <c r="D1329" s="28">
        <f t="array" ref="D1329">_xlfn.XLOOKUP($A1329, 'Medical Examinations'!$A:$A, 'Medical Examinations'!C:C, "No Data")</f>
        <v>12</v>
      </c>
      <c r="E1329" s="28" t="str">
        <f t="array" ref="E1329">_xlfn.XLOOKUP($A1329, 'Medical Examinations'!$A:$A, 'Medical Examinations'!D:D, "No Data")</f>
        <v>No</v>
      </c>
      <c r="F1329" s="28" t="str">
        <f t="array" ref="F1329">_xlfn.XLOOKUP($A1329, 'Medical Examinations'!$A:$A, 'Medical Examinations'!E:E, "No Data")</f>
        <v>No</v>
      </c>
      <c r="G1329" s="28" t="str">
        <f t="array" ref="G1329">_xlfn.XLOOKUP($A1329, 'Medical Examinations'!$A:$A, 'Medical Examinations'!F:F, "No Data")</f>
        <v>No</v>
      </c>
      <c r="H1329" s="28">
        <f t="array" ref="H1329">_xlfn.XLOOKUP($A1329, 'Medical Examinations'!$A:$A, 'Medical Examinations'!G:G, "No Data")</f>
        <v>0</v>
      </c>
      <c r="I1329" s="28" t="str">
        <f t="array" ref="I1329">_xlfn.XLOOKUP($A1329, 'Medical Examinations'!$A:$A, 'Medical Examinations'!H:H, "No Data")</f>
        <v>No</v>
      </c>
      <c r="J1329" s="28" t="str">
        <f t="array" ref="J1329">_xlfn.XLOOKUP($A1329, 'Medical Examinations'!$A:$A, 'Medical Examinations'!I:I, "No Data")</f>
        <v>Underweight</v>
      </c>
      <c r="K1329" s="28" t="str">
        <f t="array" ref="K1329">_xlfn.XLOOKUP($A1329, 'Hospitalisation Details'!$A:$A, 'Hospitalisation Details'!I:I, "No Data")</f>
        <v>tier - 3</v>
      </c>
      <c r="L1329" s="28" t="str">
        <f t="array" ref="L1329">_xlfn.XLOOKUP($A1329, 'Hospitalisation Details'!$A:$A, 'Hospitalisation Details'!J:J, "No Data")</f>
        <v>R1013</v>
      </c>
      <c r="M1329" s="28" t="str">
        <f t="array" ref="M1329">_xlfn.XLOOKUP($A1329, 'Hospitalisation Details'!$A:$A, 'Hospitalisation Details'!E:E, "No Data")</f>
        <v>23/11/62</v>
      </c>
      <c r="N1329" s="28">
        <f t="array" ref="N1329">_xlfn.XLOOKUP($A1329, 'Hospitalisation Details'!$A:$A, 'Hospitalisation Details'!K:K, "No Data")</f>
        <v>60</v>
      </c>
      <c r="O1329" s="33">
        <f t="array" ref="O1329">_xlfn.XLOOKUP($A1329, 'Hospitalisation Details'!$A:$A, 'Hospitalisation Details'!G:G, "No Data")</f>
        <v>8188.12</v>
      </c>
      <c r="P1329" s="28" t="str">
        <f t="array" ref="P1329">_xlfn.XLOOKUP($A1329, 'Hospitalisation Details'!$A:$A, 'Hospitalisation Details'!H:H, "No Data")</f>
        <v>tier - 3</v>
      </c>
    </row>
    <row r="1330">
      <c r="A1330" s="25" t="s">
        <v>4252</v>
      </c>
      <c r="B1330" s="28" t="str">
        <f t="array" ref="B1330">_xlfn.XLOOKUP($A1330, 'Customer Names'!$A:$A, 'Customer Names'!B:B, "No Data")</f>
        <v>Tedsen</v>
      </c>
      <c r="C1330" s="28">
        <f t="array" ref="C1330">_xlfn.XLOOKUP($A1330, 'Medical Examinations'!$A:$A, 'Medical Examinations'!B:B, "No Data")</f>
        <v>40.39</v>
      </c>
      <c r="D1330" s="28">
        <f t="array" ref="D1330">_xlfn.XLOOKUP($A1330, 'Medical Examinations'!$A:$A, 'Medical Examinations'!C:C, "No Data")</f>
        <v>4.24</v>
      </c>
      <c r="E1330" s="28" t="str">
        <f t="array" ref="E1330">_xlfn.XLOOKUP($A1330, 'Medical Examinations'!$A:$A, 'Medical Examinations'!D:D, "No Data")</f>
        <v>yes</v>
      </c>
      <c r="F1330" s="28" t="str">
        <f t="array" ref="F1330">_xlfn.XLOOKUP($A1330, 'Medical Examinations'!$A:$A, 'Medical Examinations'!E:E, "No Data")</f>
        <v>No</v>
      </c>
      <c r="G1330" s="28" t="str">
        <f t="array" ref="G1330">_xlfn.XLOOKUP($A1330, 'Medical Examinations'!$A:$A, 'Medical Examinations'!F:F, "No Data")</f>
        <v>Yes</v>
      </c>
      <c r="H1330" s="28">
        <f t="array" ref="H1330">_xlfn.XLOOKUP($A1330, 'Medical Examinations'!$A:$A, 'Medical Examinations'!G:G, "No Data")</f>
        <v>1</v>
      </c>
      <c r="I1330" s="28" t="str">
        <f t="array" ref="I1330">_xlfn.XLOOKUP($A1330, 'Medical Examinations'!$A:$A, 'Medical Examinations'!H:H, "No Data")</f>
        <v>No</v>
      </c>
      <c r="J1330" s="28" t="str">
        <f t="array" ref="J1330">_xlfn.XLOOKUP($A1330, 'Medical Examinations'!$A:$A, 'Medical Examinations'!I:I, "No Data")</f>
        <v>Obesity</v>
      </c>
      <c r="K1330" s="28" t="str">
        <f t="array" ref="K1330">_xlfn.XLOOKUP($A1330, 'Hospitalisation Details'!$A:$A, 'Hospitalisation Details'!I:I, "No Data")</f>
        <v>tier - 1</v>
      </c>
      <c r="L1330" s="28" t="str">
        <f t="array" ref="L1330">_xlfn.XLOOKUP($A1330, 'Hospitalisation Details'!$A:$A, 'Hospitalisation Details'!J:J, "No Data")</f>
        <v>R1026</v>
      </c>
      <c r="M1330" s="28" t="str">
        <f t="array" ref="M1330">_xlfn.XLOOKUP($A1330, 'Hospitalisation Details'!$A:$A, 'Hospitalisation Details'!E:E, "No Data")</f>
        <v>21/10/97</v>
      </c>
      <c r="N1330" s="28">
        <f t="array" ref="N1330">_xlfn.XLOOKUP($A1330, 'Hospitalisation Details'!$A:$A, 'Hospitalisation Details'!K:K, "No Data")</f>
        <v>25</v>
      </c>
      <c r="O1330" s="33">
        <f t="array" ref="O1330">_xlfn.XLOOKUP($A1330, 'Hospitalisation Details'!$A:$A, 'Hospitalisation Details'!G:G, "No Data")</f>
        <v>8182.89</v>
      </c>
      <c r="P1330" s="28" t="str">
        <f t="array" ref="P1330">_xlfn.XLOOKUP($A1330, 'Hospitalisation Details'!$A:$A, 'Hospitalisation Details'!H:H, "No Data")</f>
        <v>tier - 2</v>
      </c>
    </row>
    <row r="1331">
      <c r="A1331" s="25" t="s">
        <v>4256</v>
      </c>
      <c r="B1331" s="28" t="str">
        <f t="array" ref="B1331">_xlfn.XLOOKUP($A1331, 'Customer Names'!$A:$A, 'Customer Names'!B:B, "No Data")</f>
        <v>Koehlinger</v>
      </c>
      <c r="C1331" s="28">
        <f t="array" ref="C1331">_xlfn.XLOOKUP($A1331, 'Medical Examinations'!$A:$A, 'Medical Examinations'!B:B, "No Data")</f>
        <v>25.96</v>
      </c>
      <c r="D1331" s="28">
        <f t="array" ref="D1331">_xlfn.XLOOKUP($A1331, 'Medical Examinations'!$A:$A, 'Medical Examinations'!C:C, "No Data")</f>
        <v>4.68</v>
      </c>
      <c r="E1331" s="28" t="str">
        <f t="array" ref="E1331">_xlfn.XLOOKUP($A1331, 'Medical Examinations'!$A:$A, 'Medical Examinations'!D:D, "No Data")</f>
        <v>yes</v>
      </c>
      <c r="F1331" s="28" t="str">
        <f t="array" ref="F1331">_xlfn.XLOOKUP($A1331, 'Medical Examinations'!$A:$A, 'Medical Examinations'!E:E, "No Data")</f>
        <v>No</v>
      </c>
      <c r="G1331" s="28" t="str">
        <f t="array" ref="G1331">_xlfn.XLOOKUP($A1331, 'Medical Examinations'!$A:$A, 'Medical Examinations'!F:F, "No Data")</f>
        <v>Yes</v>
      </c>
      <c r="H1331" s="28">
        <f t="array" ref="H1331">_xlfn.XLOOKUP($A1331, 'Medical Examinations'!$A:$A, 'Medical Examinations'!G:G, "No Data")</f>
        <v>1</v>
      </c>
      <c r="I1331" s="28" t="str">
        <f t="array" ref="I1331">_xlfn.XLOOKUP($A1331, 'Medical Examinations'!$A:$A, 'Medical Examinations'!H:H, "No Data")</f>
        <v>No</v>
      </c>
      <c r="J1331" s="28" t="str">
        <f t="array" ref="J1331">_xlfn.XLOOKUP($A1331, 'Medical Examinations'!$A:$A, 'Medical Examinations'!I:I, "No Data")</f>
        <v>Overweight</v>
      </c>
      <c r="K1331" s="28" t="str">
        <f t="array" ref="K1331">_xlfn.XLOOKUP($A1331, 'Hospitalisation Details'!$A:$A, 'Hospitalisation Details'!I:I, "No Data")</f>
        <v>tier - 2</v>
      </c>
      <c r="L1331" s="28" t="str">
        <f t="array" ref="L1331">_xlfn.XLOOKUP($A1331, 'Hospitalisation Details'!$A:$A, 'Hospitalisation Details'!J:J, "No Data")</f>
        <v>R1020</v>
      </c>
      <c r="M1331" s="28" t="str">
        <f t="array" ref="M1331">_xlfn.XLOOKUP($A1331, 'Hospitalisation Details'!$A:$A, 'Hospitalisation Details'!E:E, "No Data")</f>
        <v>08/06/83</v>
      </c>
      <c r="N1331" s="28">
        <f t="array" ref="N1331">_xlfn.XLOOKUP($A1331, 'Hospitalisation Details'!$A:$A, 'Hospitalisation Details'!K:K, "No Data")</f>
        <v>40</v>
      </c>
      <c r="O1331" s="33">
        <f t="array" ref="O1331">_xlfn.XLOOKUP($A1331, 'Hospitalisation Details'!$A:$A, 'Hospitalisation Details'!G:G, "No Data")</f>
        <v>8179.51</v>
      </c>
      <c r="P1331" s="28" t="str">
        <f t="array" ref="P1331">_xlfn.XLOOKUP($A1331, 'Hospitalisation Details'!$A:$A, 'Hospitalisation Details'!H:H, "No Data")</f>
        <v>tier - 2</v>
      </c>
    </row>
    <row r="1332">
      <c r="A1332" s="25" t="s">
        <v>4259</v>
      </c>
      <c r="B1332" s="28" t="str">
        <f t="array" ref="B1332">_xlfn.XLOOKUP($A1332, 'Customer Names'!$A:$A, 'Customer Names'!B:B, "No Data")</f>
        <v>Pielechaty</v>
      </c>
      <c r="C1332" s="28">
        <f t="array" ref="C1332">_xlfn.XLOOKUP($A1332, 'Medical Examinations'!$A:$A, 'Medical Examinations'!B:B, "No Data")</f>
        <v>17.68</v>
      </c>
      <c r="D1332" s="28">
        <f t="array" ref="D1332">_xlfn.XLOOKUP($A1332, 'Medical Examinations'!$A:$A, 'Medical Examinations'!C:C, "No Data")</f>
        <v>8.57</v>
      </c>
      <c r="E1332" s="28" t="str">
        <f t="array" ref="E1332">_xlfn.XLOOKUP($A1332, 'Medical Examinations'!$A:$A, 'Medical Examinations'!D:D, "No Data")</f>
        <v>yes</v>
      </c>
      <c r="F1332" s="28" t="str">
        <f t="array" ref="F1332">_xlfn.XLOOKUP($A1332, 'Medical Examinations'!$A:$A, 'Medical Examinations'!E:E, "No Data")</f>
        <v>No</v>
      </c>
      <c r="G1332" s="28" t="str">
        <f t="array" ref="G1332">_xlfn.XLOOKUP($A1332, 'Medical Examinations'!$A:$A, 'Medical Examinations'!F:F, "No Data")</f>
        <v>Yes</v>
      </c>
      <c r="H1332" s="28">
        <f t="array" ref="H1332">_xlfn.XLOOKUP($A1332, 'Medical Examinations'!$A:$A, 'Medical Examinations'!G:G, "No Data")</f>
        <v>1</v>
      </c>
      <c r="I1332" s="28" t="str">
        <f t="array" ref="I1332">_xlfn.XLOOKUP($A1332, 'Medical Examinations'!$A:$A, 'Medical Examinations'!H:H, "No Data")</f>
        <v>No</v>
      </c>
      <c r="J1332" s="28" t="str">
        <f t="array" ref="J1332">_xlfn.XLOOKUP($A1332, 'Medical Examinations'!$A:$A, 'Medical Examinations'!I:I, "No Data")</f>
        <v>Underweight</v>
      </c>
      <c r="K1332" s="28" t="str">
        <f t="array" ref="K1332">_xlfn.XLOOKUP($A1332, 'Hospitalisation Details'!$A:$A, 'Hospitalisation Details'!I:I, "No Data")</f>
        <v>tier - 1</v>
      </c>
      <c r="L1332" s="28" t="str">
        <f t="array" ref="L1332">_xlfn.XLOOKUP($A1332, 'Hospitalisation Details'!$A:$A, 'Hospitalisation Details'!J:J, "No Data")</f>
        <v>R1013</v>
      </c>
      <c r="M1332" s="28" t="str">
        <f t="array" ref="M1332">_xlfn.XLOOKUP($A1332, 'Hospitalisation Details'!$A:$A, 'Hospitalisation Details'!E:E, "No Data")</f>
        <v>05/11/63</v>
      </c>
      <c r="N1332" s="28">
        <f t="array" ref="N1332">_xlfn.XLOOKUP($A1332, 'Hospitalisation Details'!$A:$A, 'Hospitalisation Details'!K:K, "No Data")</f>
        <v>59</v>
      </c>
      <c r="O1332" s="33">
        <f t="array" ref="O1332">_xlfn.XLOOKUP($A1332, 'Hospitalisation Details'!$A:$A, 'Hospitalisation Details'!G:G, "No Data")</f>
        <v>8177.9</v>
      </c>
      <c r="P1332" s="28" t="str">
        <f t="array" ref="P1332">_xlfn.XLOOKUP($A1332, 'Hospitalisation Details'!$A:$A, 'Hospitalisation Details'!H:H, "No Data")</f>
        <v>tier - 3</v>
      </c>
    </row>
    <row r="1333">
      <c r="A1333" s="25" t="s">
        <v>4261</v>
      </c>
      <c r="B1333" s="28" t="str">
        <f t="array" ref="B1333">_xlfn.XLOOKUP($A1333, 'Customer Names'!$A:$A, 'Customer Names'!B:B, "No Data")</f>
        <v>Korhonen</v>
      </c>
      <c r="C1333" s="28">
        <f t="array" ref="C1333">_xlfn.XLOOKUP($A1333, 'Medical Examinations'!$A:$A, 'Medical Examinations'!B:B, "No Data")</f>
        <v>30.875</v>
      </c>
      <c r="D1333" s="28">
        <f t="array" ref="D1333">_xlfn.XLOOKUP($A1333, 'Medical Examinations'!$A:$A, 'Medical Examinations'!C:C, "No Data")</f>
        <v>4.1</v>
      </c>
      <c r="E1333" s="28" t="str">
        <f t="array" ref="E1333">_xlfn.XLOOKUP($A1333, 'Medical Examinations'!$A:$A, 'Medical Examinations'!D:D, "No Data")</f>
        <v>No</v>
      </c>
      <c r="F1333" s="28" t="str">
        <f t="array" ref="F1333">_xlfn.XLOOKUP($A1333, 'Medical Examinations'!$A:$A, 'Medical Examinations'!E:E, "No Data")</f>
        <v>No</v>
      </c>
      <c r="G1333" s="28" t="str">
        <f t="array" ref="G1333">_xlfn.XLOOKUP($A1333, 'Medical Examinations'!$A:$A, 'Medical Examinations'!F:F, "No Data")</f>
        <v>No</v>
      </c>
      <c r="H1333" s="28">
        <f t="array" ref="H1333">_xlfn.XLOOKUP($A1333, 'Medical Examinations'!$A:$A, 'Medical Examinations'!G:G, "No Data")</f>
        <v>0</v>
      </c>
      <c r="I1333" s="28" t="str">
        <f t="array" ref="I1333">_xlfn.XLOOKUP($A1333, 'Medical Examinations'!$A:$A, 'Medical Examinations'!H:H, "No Data")</f>
        <v>No</v>
      </c>
      <c r="J1333" s="28" t="str">
        <f t="array" ref="J1333">_xlfn.XLOOKUP($A1333, 'Medical Examinations'!$A:$A, 'Medical Examinations'!I:I, "No Data")</f>
        <v>Obesity</v>
      </c>
      <c r="K1333" s="28" t="str">
        <f t="array" ref="K1333">_xlfn.XLOOKUP($A1333, 'Hospitalisation Details'!$A:$A, 'Hospitalisation Details'!I:I, "No Data")</f>
        <v>tier - 3</v>
      </c>
      <c r="L1333" s="28" t="str">
        <f t="array" ref="L1333">_xlfn.XLOOKUP($A1333, 'Hospitalisation Details'!$A:$A, 'Hospitalisation Details'!J:J, "No Data")</f>
        <v>R1012</v>
      </c>
      <c r="M1333" s="28" t="str">
        <f t="array" ref="M1333">_xlfn.XLOOKUP($A1333, 'Hospitalisation Details'!$A:$A, 'Hospitalisation Details'!E:E, "No Data")</f>
        <v>28/06/82</v>
      </c>
      <c r="N1333" s="28">
        <f t="array" ref="N1333">_xlfn.XLOOKUP($A1333, 'Hospitalisation Details'!$A:$A, 'Hospitalisation Details'!K:K, "No Data")</f>
        <v>40</v>
      </c>
      <c r="O1333" s="33">
        <f t="array" ref="O1333">_xlfn.XLOOKUP($A1333, 'Hospitalisation Details'!$A:$A, 'Hospitalisation Details'!G:G, "No Data")</f>
        <v>8162.72</v>
      </c>
      <c r="P1333" s="28" t="str">
        <f t="array" ref="P1333">_xlfn.XLOOKUP($A1333, 'Hospitalisation Details'!$A:$A, 'Hospitalisation Details'!H:H, "No Data")</f>
        <v>tier - 3</v>
      </c>
    </row>
    <row r="1334">
      <c r="A1334" s="25" t="s">
        <v>4265</v>
      </c>
      <c r="B1334" s="28" t="str">
        <f t="array" ref="B1334">_xlfn.XLOOKUP($A1334, 'Customer Names'!$A:$A, 'Customer Names'!B:B, "No Data")</f>
        <v>Kehr</v>
      </c>
      <c r="C1334" s="28">
        <f t="array" ref="C1334">_xlfn.XLOOKUP($A1334, 'Medical Examinations'!$A:$A, 'Medical Examinations'!B:B, "No Data")</f>
        <v>30.81</v>
      </c>
      <c r="D1334" s="28">
        <f t="array" ref="D1334">_xlfn.XLOOKUP($A1334, 'Medical Examinations'!$A:$A, 'Medical Examinations'!C:C, "No Data")</f>
        <v>4.49</v>
      </c>
      <c r="E1334" s="28" t="str">
        <f t="array" ref="E1334">_xlfn.XLOOKUP($A1334, 'Medical Examinations'!$A:$A, 'Medical Examinations'!D:D, "No Data")</f>
        <v>No</v>
      </c>
      <c r="F1334" s="28" t="str">
        <f t="array" ref="F1334">_xlfn.XLOOKUP($A1334, 'Medical Examinations'!$A:$A, 'Medical Examinations'!E:E, "No Data")</f>
        <v>No</v>
      </c>
      <c r="G1334" s="28" t="str">
        <f t="array" ref="G1334">_xlfn.XLOOKUP($A1334, 'Medical Examinations'!$A:$A, 'Medical Examinations'!F:F, "No Data")</f>
        <v>No</v>
      </c>
      <c r="H1334" s="28">
        <f t="array" ref="H1334">_xlfn.XLOOKUP($A1334, 'Medical Examinations'!$A:$A, 'Medical Examinations'!G:G, "No Data")</f>
        <v>0</v>
      </c>
      <c r="I1334" s="28" t="str">
        <f t="array" ref="I1334">_xlfn.XLOOKUP($A1334, 'Medical Examinations'!$A:$A, 'Medical Examinations'!H:H, "No Data")</f>
        <v>No</v>
      </c>
      <c r="J1334" s="28" t="str">
        <f t="array" ref="J1334">_xlfn.XLOOKUP($A1334, 'Medical Examinations'!$A:$A, 'Medical Examinations'!I:I, "No Data")</f>
        <v>Obesity</v>
      </c>
      <c r="K1334" s="28" t="str">
        <f t="array" ref="K1334">_xlfn.XLOOKUP($A1334, 'Hospitalisation Details'!$A:$A, 'Hospitalisation Details'!I:I, "No Data")</f>
        <v>tier - 3</v>
      </c>
      <c r="L1334" s="28" t="str">
        <f t="array" ref="L1334">_xlfn.XLOOKUP($A1334, 'Hospitalisation Details'!$A:$A, 'Hospitalisation Details'!J:J, "No Data")</f>
        <v>R1025</v>
      </c>
      <c r="M1334" s="28" t="str">
        <f t="array" ref="M1334">_xlfn.XLOOKUP($A1334, 'Hospitalisation Details'!$A:$A, 'Hospitalisation Details'!E:E, "No Data")</f>
        <v>21/06/90</v>
      </c>
      <c r="N1334" s="28">
        <f t="array" ref="N1334">_xlfn.XLOOKUP($A1334, 'Hospitalisation Details'!$A:$A, 'Hospitalisation Details'!K:K, "No Data")</f>
        <v>32</v>
      </c>
      <c r="O1334" s="33">
        <f t="array" ref="O1334">_xlfn.XLOOKUP($A1334, 'Hospitalisation Details'!$A:$A, 'Hospitalisation Details'!G:G, "No Data")</f>
        <v>8157.92</v>
      </c>
      <c r="P1334" s="28" t="str">
        <f t="array" ref="P1334">_xlfn.XLOOKUP($A1334, 'Hospitalisation Details'!$A:$A, 'Hospitalisation Details'!H:H, "No Data")</f>
        <v>tier - 2</v>
      </c>
    </row>
    <row r="1335">
      <c r="A1335" s="25" t="s">
        <v>4268</v>
      </c>
      <c r="B1335" s="28" t="str">
        <f t="array" ref="B1335">_xlfn.XLOOKUP($A1335, 'Customer Names'!$A:$A, 'Customer Names'!B:B, "No Data")</f>
        <v>Montagna</v>
      </c>
      <c r="C1335" s="28">
        <f t="array" ref="C1335">_xlfn.XLOOKUP($A1335, 'Medical Examinations'!$A:$A, 'Medical Examinations'!B:B, "No Data")</f>
        <v>36.85</v>
      </c>
      <c r="D1335" s="28">
        <f t="array" ref="D1335">_xlfn.XLOOKUP($A1335, 'Medical Examinations'!$A:$A, 'Medical Examinations'!C:C, "No Data")</f>
        <v>8.8</v>
      </c>
      <c r="E1335" s="28" t="str">
        <f t="array" ref="E1335">_xlfn.XLOOKUP($A1335, 'Medical Examinations'!$A:$A, 'Medical Examinations'!D:D, "No Data")</f>
        <v>No</v>
      </c>
      <c r="F1335" s="28" t="str">
        <f t="array" ref="F1335">_xlfn.XLOOKUP($A1335, 'Medical Examinations'!$A:$A, 'Medical Examinations'!E:E, "No Data")</f>
        <v>No</v>
      </c>
      <c r="G1335" s="28" t="str">
        <f t="array" ref="G1335">_xlfn.XLOOKUP($A1335, 'Medical Examinations'!$A:$A, 'Medical Examinations'!F:F, "No Data")</f>
        <v>No</v>
      </c>
      <c r="H1335" s="28">
        <f t="array" ref="H1335">_xlfn.XLOOKUP($A1335, 'Medical Examinations'!$A:$A, 'Medical Examinations'!G:G, "No Data")</f>
        <v>2</v>
      </c>
      <c r="I1335" s="28" t="str">
        <f t="array" ref="I1335">_xlfn.XLOOKUP($A1335, 'Medical Examinations'!$A:$A, 'Medical Examinations'!H:H, "No Data")</f>
        <v>No</v>
      </c>
      <c r="J1335" s="28" t="str">
        <f t="array" ref="J1335">_xlfn.XLOOKUP($A1335, 'Medical Examinations'!$A:$A, 'Medical Examinations'!I:I, "No Data")</f>
        <v>Obesity</v>
      </c>
      <c r="K1335" s="28" t="str">
        <f t="array" ref="K1335">_xlfn.XLOOKUP($A1335, 'Hospitalisation Details'!$A:$A, 'Hospitalisation Details'!I:I, "No Data")</f>
        <v>tier - 2</v>
      </c>
      <c r="L1335" s="28" t="str">
        <f t="array" ref="L1335">_xlfn.XLOOKUP($A1335, 'Hospitalisation Details'!$A:$A, 'Hospitalisation Details'!J:J, "No Data")</f>
        <v>R1013</v>
      </c>
      <c r="M1335" s="28" t="str">
        <f t="array" ref="M1335">_xlfn.XLOOKUP($A1335, 'Hospitalisation Details'!$A:$A, 'Hospitalisation Details'!E:E, "No Data")</f>
        <v>03/09/73</v>
      </c>
      <c r="N1335" s="28">
        <f t="array" ref="N1335">_xlfn.XLOOKUP($A1335, 'Hospitalisation Details'!$A:$A, 'Hospitalisation Details'!K:K, "No Data")</f>
        <v>49</v>
      </c>
      <c r="O1335" s="33">
        <f t="array" ref="O1335">_xlfn.XLOOKUP($A1335, 'Hospitalisation Details'!$A:$A, 'Hospitalisation Details'!G:G, "No Data")</f>
        <v>8125.78</v>
      </c>
      <c r="P1335" s="28" t="str">
        <f t="array" ref="P1335">_xlfn.XLOOKUP($A1335, 'Hospitalisation Details'!$A:$A, 'Hospitalisation Details'!H:H, "No Data")</f>
        <v>tier - 2</v>
      </c>
    </row>
    <row r="1336">
      <c r="A1336" s="25" t="s">
        <v>4271</v>
      </c>
      <c r="B1336" s="28" t="str">
        <f t="array" ref="B1336">_xlfn.XLOOKUP($A1336, 'Customer Names'!$A:$A, 'Customer Names'!B:B, "No Data")</f>
        <v>M√ºller</v>
      </c>
      <c r="C1336" s="28">
        <f t="array" ref="C1336">_xlfn.XLOOKUP($A1336, 'Medical Examinations'!$A:$A, 'Medical Examinations'!B:B, "No Data")</f>
        <v>35.86</v>
      </c>
      <c r="D1336" s="28">
        <f t="array" ref="D1336">_xlfn.XLOOKUP($A1336, 'Medical Examinations'!$A:$A, 'Medical Examinations'!C:C, "No Data")</f>
        <v>7.93</v>
      </c>
      <c r="E1336" s="28" t="str">
        <f t="array" ref="E1336">_xlfn.XLOOKUP($A1336, 'Medical Examinations'!$A:$A, 'Medical Examinations'!D:D, "No Data")</f>
        <v>No</v>
      </c>
      <c r="F1336" s="28" t="str">
        <f t="array" ref="F1336">_xlfn.XLOOKUP($A1336, 'Medical Examinations'!$A:$A, 'Medical Examinations'!E:E, "No Data")</f>
        <v>No</v>
      </c>
      <c r="G1336" s="28" t="str">
        <f t="array" ref="G1336">_xlfn.XLOOKUP($A1336, 'Medical Examinations'!$A:$A, 'Medical Examinations'!F:F, "No Data")</f>
        <v>No</v>
      </c>
      <c r="H1336" s="28">
        <f t="array" ref="H1336">_xlfn.XLOOKUP($A1336, 'Medical Examinations'!$A:$A, 'Medical Examinations'!G:G, "No Data")</f>
        <v>2</v>
      </c>
      <c r="I1336" s="28" t="str">
        <f t="array" ref="I1336">_xlfn.XLOOKUP($A1336, 'Medical Examinations'!$A:$A, 'Medical Examinations'!H:H, "No Data")</f>
        <v>No</v>
      </c>
      <c r="J1336" s="28" t="str">
        <f t="array" ref="J1336">_xlfn.XLOOKUP($A1336, 'Medical Examinations'!$A:$A, 'Medical Examinations'!I:I, "No Data")</f>
        <v>Obesity</v>
      </c>
      <c r="K1336" s="28" t="str">
        <f t="array" ref="K1336">_xlfn.XLOOKUP($A1336, 'Hospitalisation Details'!$A:$A, 'Hospitalisation Details'!I:I, "No Data")</f>
        <v>tier - 1</v>
      </c>
      <c r="L1336" s="28" t="str">
        <f t="array" ref="L1336">_xlfn.XLOOKUP($A1336, 'Hospitalisation Details'!$A:$A, 'Hospitalisation Details'!J:J, "No Data")</f>
        <v>R1013</v>
      </c>
      <c r="M1336" s="28" t="str">
        <f t="array" ref="M1336">_xlfn.XLOOKUP($A1336, 'Hospitalisation Details'!$A:$A, 'Hospitalisation Details'!E:E, "No Data")</f>
        <v>30/08/73</v>
      </c>
      <c r="N1336" s="28">
        <f t="array" ref="N1336">_xlfn.XLOOKUP($A1336, 'Hospitalisation Details'!$A:$A, 'Hospitalisation Details'!K:K, "No Data")</f>
        <v>49</v>
      </c>
      <c r="O1336" s="33">
        <f t="array" ref="O1336">_xlfn.XLOOKUP($A1336, 'Hospitalisation Details'!$A:$A, 'Hospitalisation Details'!G:G, "No Data")</f>
        <v>8124.41</v>
      </c>
      <c r="P1336" s="28" t="str">
        <f t="array" ref="P1336">_xlfn.XLOOKUP($A1336, 'Hospitalisation Details'!$A:$A, 'Hospitalisation Details'!H:H, "No Data")</f>
        <v>tier - 3</v>
      </c>
    </row>
    <row r="1337">
      <c r="A1337" s="25" t="s">
        <v>4275</v>
      </c>
      <c r="B1337" s="28" t="str">
        <f t="array" ref="B1337">_xlfn.XLOOKUP($A1337, 'Customer Names'!$A:$A, 'Customer Names'!B:B, "No Data")</f>
        <v>Baker</v>
      </c>
      <c r="C1337" s="28">
        <f t="array" ref="C1337">_xlfn.XLOOKUP($A1337, 'Medical Examinations'!$A:$A, 'Medical Examinations'!B:B, "No Data")</f>
        <v>30.3</v>
      </c>
      <c r="D1337" s="28">
        <f t="array" ref="D1337">_xlfn.XLOOKUP($A1337, 'Medical Examinations'!$A:$A, 'Medical Examinations'!C:C, "No Data")</f>
        <v>9.45</v>
      </c>
      <c r="E1337" s="28" t="str">
        <f t="array" ref="E1337">_xlfn.XLOOKUP($A1337, 'Medical Examinations'!$A:$A, 'Medical Examinations'!D:D, "No Data")</f>
        <v>No</v>
      </c>
      <c r="F1337" s="28" t="str">
        <f t="array" ref="F1337">_xlfn.XLOOKUP($A1337, 'Medical Examinations'!$A:$A, 'Medical Examinations'!E:E, "No Data")</f>
        <v>No</v>
      </c>
      <c r="G1337" s="28" t="str">
        <f t="array" ref="G1337">_xlfn.XLOOKUP($A1337, 'Medical Examinations'!$A:$A, 'Medical Examinations'!F:F, "No Data")</f>
        <v>No</v>
      </c>
      <c r="H1337" s="28">
        <f t="array" ref="H1337">_xlfn.XLOOKUP($A1337, 'Medical Examinations'!$A:$A, 'Medical Examinations'!G:G, "No Data")</f>
        <v>2</v>
      </c>
      <c r="I1337" s="28" t="str">
        <f t="array" ref="I1337">_xlfn.XLOOKUP($A1337, 'Medical Examinations'!$A:$A, 'Medical Examinations'!H:H, "No Data")</f>
        <v>No</v>
      </c>
      <c r="J1337" s="28" t="str">
        <f t="array" ref="J1337">_xlfn.XLOOKUP($A1337, 'Medical Examinations'!$A:$A, 'Medical Examinations'!I:I, "No Data")</f>
        <v>Obesity</v>
      </c>
      <c r="K1337" s="28" t="str">
        <f t="array" ref="K1337">_xlfn.XLOOKUP($A1337, 'Hospitalisation Details'!$A:$A, 'Hospitalisation Details'!I:I, "No Data")</f>
        <v>tier - 1</v>
      </c>
      <c r="L1337" s="28" t="str">
        <f t="array" ref="L1337">_xlfn.XLOOKUP($A1337, 'Hospitalisation Details'!$A:$A, 'Hospitalisation Details'!J:J, "No Data")</f>
        <v>R1011</v>
      </c>
      <c r="M1337" s="28" t="str">
        <f t="array" ref="M1337">_xlfn.XLOOKUP($A1337, 'Hospitalisation Details'!$A:$A, 'Hospitalisation Details'!E:E, "No Data")</f>
        <v>16/12/73</v>
      </c>
      <c r="N1337" s="28">
        <f t="array" ref="N1337">_xlfn.XLOOKUP($A1337, 'Hospitalisation Details'!$A:$A, 'Hospitalisation Details'!K:K, "No Data")</f>
        <v>49</v>
      </c>
      <c r="O1337" s="33">
        <f t="array" ref="O1337">_xlfn.XLOOKUP($A1337, 'Hospitalisation Details'!$A:$A, 'Hospitalisation Details'!G:G, "No Data")</f>
        <v>8116.68</v>
      </c>
      <c r="P1337" s="28" t="str">
        <f t="array" ref="P1337">_xlfn.XLOOKUP($A1337, 'Hospitalisation Details'!$A:$A, 'Hospitalisation Details'!H:H, "No Data")</f>
        <v>tier - 3</v>
      </c>
    </row>
    <row r="1338">
      <c r="A1338" s="25" t="s">
        <v>4278</v>
      </c>
      <c r="B1338" s="28" t="str">
        <f t="array" ref="B1338">_xlfn.XLOOKUP($A1338, 'Customer Names'!$A:$A, 'Customer Names'!B:B, "No Data")</f>
        <v>Sidebottom</v>
      </c>
      <c r="C1338" s="28">
        <f t="array" ref="C1338">_xlfn.XLOOKUP($A1338, 'Medical Examinations'!$A:$A, 'Medical Examinations'!B:B, "No Data")</f>
        <v>32.015</v>
      </c>
      <c r="D1338" s="28">
        <f t="array" ref="D1338">_xlfn.XLOOKUP($A1338, 'Medical Examinations'!$A:$A, 'Medical Examinations'!C:C, "No Data")</f>
        <v>7.67</v>
      </c>
      <c r="E1338" s="28" t="str">
        <f t="array" ref="E1338">_xlfn.XLOOKUP($A1338, 'Medical Examinations'!$A:$A, 'Medical Examinations'!D:D, "No Data")</f>
        <v>No</v>
      </c>
      <c r="F1338" s="28" t="str">
        <f t="array" ref="F1338">_xlfn.XLOOKUP($A1338, 'Medical Examinations'!$A:$A, 'Medical Examinations'!E:E, "No Data")</f>
        <v>No</v>
      </c>
      <c r="G1338" s="28" t="str">
        <f t="array" ref="G1338">_xlfn.XLOOKUP($A1338, 'Medical Examinations'!$A:$A, 'Medical Examinations'!F:F, "No Data")</f>
        <v>No</v>
      </c>
      <c r="H1338" s="28">
        <f t="array" ref="H1338">_xlfn.XLOOKUP($A1338, 'Medical Examinations'!$A:$A, 'Medical Examinations'!G:G, "No Data")</f>
        <v>0</v>
      </c>
      <c r="I1338" s="28" t="str">
        <f t="array" ref="I1338">_xlfn.XLOOKUP($A1338, 'Medical Examinations'!$A:$A, 'Medical Examinations'!H:H, "No Data")</f>
        <v>No</v>
      </c>
      <c r="J1338" s="28" t="str">
        <f t="array" ref="J1338">_xlfn.XLOOKUP($A1338, 'Medical Examinations'!$A:$A, 'Medical Examinations'!I:I, "No Data")</f>
        <v>Obesity</v>
      </c>
      <c r="K1338" s="28" t="str">
        <f t="array" ref="K1338">_xlfn.XLOOKUP($A1338, 'Hospitalisation Details'!$A:$A, 'Hospitalisation Details'!I:I, "No Data")</f>
        <v>tier - 1</v>
      </c>
      <c r="L1338" s="28" t="str">
        <f t="array" ref="L1338">_xlfn.XLOOKUP($A1338, 'Hospitalisation Details'!$A:$A, 'Hospitalisation Details'!J:J, "No Data")</f>
        <v>R1012</v>
      </c>
      <c r="M1338" s="28" t="str">
        <f t="array" ref="M1338">_xlfn.XLOOKUP($A1338, 'Hospitalisation Details'!$A:$A, 'Hospitalisation Details'!E:E, "No Data")</f>
        <v>01/09/78</v>
      </c>
      <c r="N1338" s="28">
        <f t="array" ref="N1338">_xlfn.XLOOKUP($A1338, 'Hospitalisation Details'!$A:$A, 'Hospitalisation Details'!K:K, "No Data")</f>
        <v>44</v>
      </c>
      <c r="O1338" s="33">
        <f t="array" ref="O1338">_xlfn.XLOOKUP($A1338, 'Hospitalisation Details'!$A:$A, 'Hospitalisation Details'!G:G, "No Data")</f>
        <v>8116.27</v>
      </c>
      <c r="P1338" s="28" t="str">
        <f t="array" ref="P1338">_xlfn.XLOOKUP($A1338, 'Hospitalisation Details'!$A:$A, 'Hospitalisation Details'!H:H, "No Data")</f>
        <v>tier - 3</v>
      </c>
    </row>
    <row r="1339">
      <c r="A1339" s="25" t="s">
        <v>4281</v>
      </c>
      <c r="B1339" s="28" t="str">
        <f t="array" ref="B1339">_xlfn.XLOOKUP($A1339, 'Customer Names'!$A:$A, 'Customer Names'!B:B, "No Data")</f>
        <v>Johnson</v>
      </c>
      <c r="C1339" s="28">
        <f t="array" ref="C1339">_xlfn.XLOOKUP($A1339, 'Medical Examinations'!$A:$A, 'Medical Examinations'!B:B, "No Data")</f>
        <v>25.06</v>
      </c>
      <c r="D1339" s="28">
        <f t="array" ref="D1339">_xlfn.XLOOKUP($A1339, 'Medical Examinations'!$A:$A, 'Medical Examinations'!C:C, "No Data")</f>
        <v>10.53</v>
      </c>
      <c r="E1339" s="28" t="str">
        <f t="array" ref="E1339">_xlfn.XLOOKUP($A1339, 'Medical Examinations'!$A:$A, 'Medical Examinations'!D:D, "No Data")</f>
        <v>No</v>
      </c>
      <c r="F1339" s="28" t="str">
        <f t="array" ref="F1339">_xlfn.XLOOKUP($A1339, 'Medical Examinations'!$A:$A, 'Medical Examinations'!E:E, "No Data")</f>
        <v>No</v>
      </c>
      <c r="G1339" s="28" t="str">
        <f t="array" ref="G1339">_xlfn.XLOOKUP($A1339, 'Medical Examinations'!$A:$A, 'Medical Examinations'!F:F, "No Data")</f>
        <v>No</v>
      </c>
      <c r="H1339" s="28">
        <f t="array" ref="H1339">_xlfn.XLOOKUP($A1339, 'Medical Examinations'!$A:$A, 'Medical Examinations'!G:G, "No Data")</f>
        <v>2</v>
      </c>
      <c r="I1339" s="28" t="str">
        <f t="array" ref="I1339">_xlfn.XLOOKUP($A1339, 'Medical Examinations'!$A:$A, 'Medical Examinations'!H:H, "No Data")</f>
        <v>No</v>
      </c>
      <c r="J1339" s="28" t="str">
        <f t="array" ref="J1339">_xlfn.XLOOKUP($A1339, 'Medical Examinations'!$A:$A, 'Medical Examinations'!I:I, "No Data")</f>
        <v>Overweight</v>
      </c>
      <c r="K1339" s="28" t="str">
        <f t="array" ref="K1339">_xlfn.XLOOKUP($A1339, 'Hospitalisation Details'!$A:$A, 'Hospitalisation Details'!I:I, "No Data")</f>
        <v>tier - 2</v>
      </c>
      <c r="L1339" s="28" t="str">
        <f t="array" ref="L1339">_xlfn.XLOOKUP($A1339, 'Hospitalisation Details'!$A:$A, 'Hospitalisation Details'!J:J, "No Data")</f>
        <v>R1013</v>
      </c>
      <c r="M1339" s="28" t="str">
        <f t="array" ref="M1339">_xlfn.XLOOKUP($A1339, 'Hospitalisation Details'!$A:$A, 'Hospitalisation Details'!E:E, "No Data")</f>
        <v>11/10/73</v>
      </c>
      <c r="N1339" s="28">
        <f t="array" ref="N1339">_xlfn.XLOOKUP($A1339, 'Hospitalisation Details'!$A:$A, 'Hospitalisation Details'!K:K, "No Data")</f>
        <v>49</v>
      </c>
      <c r="O1339" s="33">
        <f t="array" ref="O1339">_xlfn.XLOOKUP($A1339, 'Hospitalisation Details'!$A:$A, 'Hospitalisation Details'!G:G, "No Data")</f>
        <v>8112.59</v>
      </c>
      <c r="P1339" s="28" t="str">
        <f t="array" ref="P1339">_xlfn.XLOOKUP($A1339, 'Hospitalisation Details'!$A:$A, 'Hospitalisation Details'!H:H, "No Data")</f>
        <v>tier - 2</v>
      </c>
    </row>
    <row r="1340">
      <c r="A1340" s="25" t="s">
        <v>4283</v>
      </c>
      <c r="B1340" s="28" t="str">
        <f t="array" ref="B1340">_xlfn.XLOOKUP($A1340, 'Customer Names'!$A:$A, 'Customer Names'!B:B, "No Data")</f>
        <v>Morris</v>
      </c>
      <c r="C1340" s="28">
        <f t="array" ref="C1340">_xlfn.XLOOKUP($A1340, 'Medical Examinations'!$A:$A, 'Medical Examinations'!B:B, "No Data")</f>
        <v>18.83</v>
      </c>
      <c r="D1340" s="28">
        <f t="array" ref="D1340">_xlfn.XLOOKUP($A1340, 'Medical Examinations'!$A:$A, 'Medical Examinations'!C:C, "No Data")</f>
        <v>10.08</v>
      </c>
      <c r="E1340" s="28" t="str">
        <f t="array" ref="E1340">_xlfn.XLOOKUP($A1340, 'Medical Examinations'!$A:$A, 'Medical Examinations'!D:D, "No Data")</f>
        <v>yes</v>
      </c>
      <c r="F1340" s="28" t="str">
        <f t="array" ref="F1340">_xlfn.XLOOKUP($A1340, 'Medical Examinations'!$A:$A, 'Medical Examinations'!E:E, "No Data")</f>
        <v>No</v>
      </c>
      <c r="G1340" s="28" t="str">
        <f t="array" ref="G1340">_xlfn.XLOOKUP($A1340, 'Medical Examinations'!$A:$A, 'Medical Examinations'!F:F, "No Data")</f>
        <v>No</v>
      </c>
      <c r="H1340" s="28">
        <f t="array" ref="H1340">_xlfn.XLOOKUP($A1340, 'Medical Examinations'!$A:$A, 'Medical Examinations'!G:G, "No Data")</f>
        <v>0</v>
      </c>
      <c r="I1340" s="28" t="str">
        <f t="array" ref="I1340">_xlfn.XLOOKUP($A1340, 'Medical Examinations'!$A:$A, 'Medical Examinations'!H:H, "No Data")</f>
        <v>No</v>
      </c>
      <c r="J1340" s="28" t="str">
        <f t="array" ref="J1340">_xlfn.XLOOKUP($A1340, 'Medical Examinations'!$A:$A, 'Medical Examinations'!I:I, "No Data")</f>
        <v>Normal Weight</v>
      </c>
      <c r="K1340" s="28" t="str">
        <f t="array" ref="K1340">_xlfn.XLOOKUP($A1340, 'Hospitalisation Details'!$A:$A, 'Hospitalisation Details'!I:I, "No Data")</f>
        <v>tier - 1</v>
      </c>
      <c r="L1340" s="28" t="str">
        <f t="array" ref="L1340">_xlfn.XLOOKUP($A1340, 'Hospitalisation Details'!$A:$A, 'Hospitalisation Details'!J:J, "No Data")</f>
        <v>R1012</v>
      </c>
      <c r="M1340" s="28" t="str">
        <f t="array" ref="M1340">_xlfn.XLOOKUP($A1340, 'Hospitalisation Details'!$A:$A, 'Hospitalisation Details'!E:E, "No Data")</f>
        <v>10/06/67</v>
      </c>
      <c r="N1340" s="28">
        <f t="array" ref="N1340">_xlfn.XLOOKUP($A1340, 'Hospitalisation Details'!$A:$A, 'Hospitalisation Details'!K:K, "No Data")</f>
        <v>55</v>
      </c>
      <c r="O1340" s="33">
        <f t="array" ref="O1340">_xlfn.XLOOKUP($A1340, 'Hospitalisation Details'!$A:$A, 'Hospitalisation Details'!G:G, "No Data")</f>
        <v>8091.3</v>
      </c>
      <c r="P1340" s="28" t="str">
        <f t="array" ref="P1340">_xlfn.XLOOKUP($A1340, 'Hospitalisation Details'!$A:$A, 'Hospitalisation Details'!H:H, "No Data")</f>
        <v>tier - 3</v>
      </c>
    </row>
    <row r="1341">
      <c r="A1341" s="25" t="s">
        <v>4286</v>
      </c>
      <c r="B1341" s="28" t="str">
        <f t="array" ref="B1341">_xlfn.XLOOKUP($A1341, 'Customer Names'!$A:$A, 'Customer Names'!B:B, "No Data")</f>
        <v>Chaisson</v>
      </c>
      <c r="C1341" s="28">
        <f t="array" ref="C1341">_xlfn.XLOOKUP($A1341, 'Medical Examinations'!$A:$A, 'Medical Examinations'!B:B, "No Data")</f>
        <v>47.52</v>
      </c>
      <c r="D1341" s="28">
        <f t="array" ref="D1341">_xlfn.XLOOKUP($A1341, 'Medical Examinations'!$A:$A, 'Medical Examinations'!C:C, "No Data")</f>
        <v>11.39</v>
      </c>
      <c r="E1341" s="28" t="str">
        <f t="array" ref="E1341">_xlfn.XLOOKUP($A1341, 'Medical Examinations'!$A:$A, 'Medical Examinations'!D:D, "No Data")</f>
        <v>yes</v>
      </c>
      <c r="F1341" s="28" t="str">
        <f t="array" ref="F1341">_xlfn.XLOOKUP($A1341, 'Medical Examinations'!$A:$A, 'Medical Examinations'!E:E, "No Data")</f>
        <v>No</v>
      </c>
      <c r="G1341" s="28" t="str">
        <f t="array" ref="G1341">_xlfn.XLOOKUP($A1341, 'Medical Examinations'!$A:$A, 'Medical Examinations'!F:F, "No Data")</f>
        <v>No</v>
      </c>
      <c r="H1341" s="28">
        <f t="array" ref="H1341">_xlfn.XLOOKUP($A1341, 'Medical Examinations'!$A:$A, 'Medical Examinations'!G:G, "No Data")</f>
        <v>1</v>
      </c>
      <c r="I1341" s="28" t="str">
        <f t="array" ref="I1341">_xlfn.XLOOKUP($A1341, 'Medical Examinations'!$A:$A, 'Medical Examinations'!H:H, "No Data")</f>
        <v>No</v>
      </c>
      <c r="J1341" s="28" t="str">
        <f t="array" ref="J1341">_xlfn.XLOOKUP($A1341, 'Medical Examinations'!$A:$A, 'Medical Examinations'!I:I, "No Data")</f>
        <v>Obesity</v>
      </c>
      <c r="K1341" s="28" t="str">
        <f t="array" ref="K1341">_xlfn.XLOOKUP($A1341, 'Hospitalisation Details'!$A:$A, 'Hospitalisation Details'!I:I, "No Data")</f>
        <v>tier - 3</v>
      </c>
      <c r="L1341" s="28" t="str">
        <f t="array" ref="L1341">_xlfn.XLOOKUP($A1341, 'Hospitalisation Details'!$A:$A, 'Hospitalisation Details'!J:J, "No Data")</f>
        <v>R1013</v>
      </c>
      <c r="M1341" s="28" t="str">
        <f t="array" ref="M1341">_xlfn.XLOOKUP($A1341, 'Hospitalisation Details'!$A:$A, 'Hospitalisation Details'!E:E, "No Data")</f>
        <v>21/12/75</v>
      </c>
      <c r="N1341" s="28">
        <f t="array" ref="N1341">_xlfn.XLOOKUP($A1341, 'Hospitalisation Details'!$A:$A, 'Hospitalisation Details'!K:K, "No Data")</f>
        <v>47</v>
      </c>
      <c r="O1341" s="33">
        <f t="array" ref="O1341">_xlfn.XLOOKUP($A1341, 'Hospitalisation Details'!$A:$A, 'Hospitalisation Details'!G:G, "No Data")</f>
        <v>8083.92</v>
      </c>
      <c r="P1341" s="28" t="str">
        <f t="array" ref="P1341">_xlfn.XLOOKUP($A1341, 'Hospitalisation Details'!$A:$A, 'Hospitalisation Details'!H:H, "No Data")</f>
        <v>tier - 3</v>
      </c>
    </row>
    <row r="1342">
      <c r="A1342" s="25" t="s">
        <v>4290</v>
      </c>
      <c r="B1342" s="28" t="str">
        <f t="array" ref="B1342">_xlfn.XLOOKUP($A1342, 'Customer Names'!$A:$A, 'Customer Names'!B:B, "No Data")</f>
        <v>Pigott</v>
      </c>
      <c r="C1342" s="28">
        <f t="array" ref="C1342">_xlfn.XLOOKUP($A1342, 'Medical Examinations'!$A:$A, 'Medical Examinations'!B:B, "No Data")</f>
        <v>37.82</v>
      </c>
      <c r="D1342" s="28">
        <f t="array" ref="D1342">_xlfn.XLOOKUP($A1342, 'Medical Examinations'!$A:$A, 'Medical Examinations'!C:C, "No Data")</f>
        <v>6.36</v>
      </c>
      <c r="E1342" s="28" t="str">
        <f t="array" ref="E1342">_xlfn.XLOOKUP($A1342, 'Medical Examinations'!$A:$A, 'Medical Examinations'!D:D, "No Data")</f>
        <v>No</v>
      </c>
      <c r="F1342" s="28" t="str">
        <f t="array" ref="F1342">_xlfn.XLOOKUP($A1342, 'Medical Examinations'!$A:$A, 'Medical Examinations'!E:E, "No Data")</f>
        <v>No</v>
      </c>
      <c r="G1342" s="28" t="str">
        <f t="array" ref="G1342">_xlfn.XLOOKUP($A1342, 'Medical Examinations'!$A:$A, 'Medical Examinations'!F:F, "No Data")</f>
        <v>No</v>
      </c>
      <c r="H1342" s="28">
        <f t="array" ref="H1342">_xlfn.XLOOKUP($A1342, 'Medical Examinations'!$A:$A, 'Medical Examinations'!G:G, "No Data")</f>
        <v>0</v>
      </c>
      <c r="I1342" s="28" t="str">
        <f t="array" ref="I1342">_xlfn.XLOOKUP($A1342, 'Medical Examinations'!$A:$A, 'Medical Examinations'!H:H, "No Data")</f>
        <v>No</v>
      </c>
      <c r="J1342" s="28" t="str">
        <f t="array" ref="J1342">_xlfn.XLOOKUP($A1342, 'Medical Examinations'!$A:$A, 'Medical Examinations'!I:I, "No Data")</f>
        <v>Obesity</v>
      </c>
      <c r="K1342" s="28" t="str">
        <f t="array" ref="K1342">_xlfn.XLOOKUP($A1342, 'Hospitalisation Details'!$A:$A, 'Hospitalisation Details'!I:I, "No Data")</f>
        <v>tier - 2</v>
      </c>
      <c r="L1342" s="28" t="str">
        <f t="array" ref="L1342">_xlfn.XLOOKUP($A1342, 'Hospitalisation Details'!$A:$A, 'Hospitalisation Details'!J:J, "No Data")</f>
        <v>R1026</v>
      </c>
      <c r="M1342" s="28" t="str">
        <f t="array" ref="M1342">_xlfn.XLOOKUP($A1342, 'Hospitalisation Details'!$A:$A, 'Hospitalisation Details'!E:E, "No Data")</f>
        <v>12/10/94</v>
      </c>
      <c r="N1342" s="28">
        <f t="array" ref="N1342">_xlfn.XLOOKUP($A1342, 'Hospitalisation Details'!$A:$A, 'Hospitalisation Details'!K:K, "No Data")</f>
        <v>28</v>
      </c>
      <c r="O1342" s="33">
        <f t="array" ref="O1342">_xlfn.XLOOKUP($A1342, 'Hospitalisation Details'!$A:$A, 'Hospitalisation Details'!G:G, "No Data")</f>
        <v>8081.74</v>
      </c>
      <c r="P1342" s="28" t="str">
        <f t="array" ref="P1342">_xlfn.XLOOKUP($A1342, 'Hospitalisation Details'!$A:$A, 'Hospitalisation Details'!H:H, "No Data")</f>
        <v>tier - 2</v>
      </c>
    </row>
    <row r="1343">
      <c r="A1343" s="25" t="s">
        <v>4293</v>
      </c>
      <c r="B1343" s="28" t="str">
        <f t="array" ref="B1343">_xlfn.XLOOKUP($A1343, 'Customer Names'!$A:$A, 'Customer Names'!B:B, "No Data")</f>
        <v>Cochrane</v>
      </c>
      <c r="C1343" s="28">
        <f t="array" ref="C1343">_xlfn.XLOOKUP($A1343, 'Medical Examinations'!$A:$A, 'Medical Examinations'!B:B, "No Data")</f>
        <v>44.16</v>
      </c>
      <c r="D1343" s="28">
        <f t="array" ref="D1343">_xlfn.XLOOKUP($A1343, 'Medical Examinations'!$A:$A, 'Medical Examinations'!C:C, "No Data")</f>
        <v>5.31</v>
      </c>
      <c r="E1343" s="28" t="str">
        <f t="array" ref="E1343">_xlfn.XLOOKUP($A1343, 'Medical Examinations'!$A:$A, 'Medical Examinations'!D:D, "No Data")</f>
        <v>yes</v>
      </c>
      <c r="F1343" s="28" t="str">
        <f t="array" ref="F1343">_xlfn.XLOOKUP($A1343, 'Medical Examinations'!$A:$A, 'Medical Examinations'!E:E, "No Data")</f>
        <v>No</v>
      </c>
      <c r="G1343" s="28" t="str">
        <f t="array" ref="G1343">_xlfn.XLOOKUP($A1343, 'Medical Examinations'!$A:$A, 'Medical Examinations'!F:F, "No Data")</f>
        <v>No</v>
      </c>
      <c r="H1343" s="28">
        <f t="array" ref="H1343">_xlfn.XLOOKUP($A1343, 'Medical Examinations'!$A:$A, 'Medical Examinations'!G:G, "No Data")</f>
        <v>0</v>
      </c>
      <c r="I1343" s="28" t="str">
        <f t="array" ref="I1343">_xlfn.XLOOKUP($A1343, 'Medical Examinations'!$A:$A, 'Medical Examinations'!H:H, "No Data")</f>
        <v>No</v>
      </c>
      <c r="J1343" s="28" t="str">
        <f t="array" ref="J1343">_xlfn.XLOOKUP($A1343, 'Medical Examinations'!$A:$A, 'Medical Examinations'!I:I, "No Data")</f>
        <v>Obesity</v>
      </c>
      <c r="K1343" s="28" t="str">
        <f t="array" ref="K1343">_xlfn.XLOOKUP($A1343, 'Hospitalisation Details'!$A:$A, 'Hospitalisation Details'!I:I, "No Data")</f>
        <v>tier - 2</v>
      </c>
      <c r="L1343" s="28" t="str">
        <f t="array" ref="L1343">_xlfn.XLOOKUP($A1343, 'Hospitalisation Details'!$A:$A, 'Hospitalisation Details'!J:J, "No Data")</f>
        <v>R1012</v>
      </c>
      <c r="M1343" s="28" t="str">
        <f t="array" ref="M1343">_xlfn.XLOOKUP($A1343, 'Hospitalisation Details'!$A:$A, 'Hospitalisation Details'!E:E, "No Data")</f>
        <v>28/08/01</v>
      </c>
      <c r="N1343" s="28">
        <f t="array" ref="N1343">_xlfn.XLOOKUP($A1343, 'Hospitalisation Details'!$A:$A, 'Hospitalisation Details'!K:K, "No Data")</f>
        <v>21</v>
      </c>
      <c r="O1343" s="33">
        <f t="array" ref="O1343">_xlfn.XLOOKUP($A1343, 'Hospitalisation Details'!$A:$A, 'Hospitalisation Details'!G:G, "No Data")</f>
        <v>8081.26</v>
      </c>
      <c r="P1343" s="28" t="str">
        <f t="array" ref="P1343">_xlfn.XLOOKUP($A1343, 'Hospitalisation Details'!$A:$A, 'Hospitalisation Details'!H:H, "No Data")</f>
        <v>tier - 2</v>
      </c>
    </row>
    <row r="1344">
      <c r="A1344" s="25" t="s">
        <v>4298</v>
      </c>
      <c r="B1344" s="28" t="str">
        <f t="array" ref="B1344">_xlfn.XLOOKUP($A1344, 'Customer Names'!$A:$A, 'Customer Names'!B:B, "No Data")</f>
        <v>Armitage</v>
      </c>
      <c r="C1344" s="28">
        <f t="array" ref="C1344">_xlfn.XLOOKUP($A1344, 'Medical Examinations'!$A:$A, 'Medical Examinations'!B:B, "No Data")</f>
        <v>37.05</v>
      </c>
      <c r="D1344" s="28">
        <f t="array" ref="D1344">_xlfn.XLOOKUP($A1344, 'Medical Examinations'!$A:$A, 'Medical Examinations'!C:C, "No Data")</f>
        <v>4.74</v>
      </c>
      <c r="E1344" s="28" t="str">
        <f t="array" ref="E1344">_xlfn.XLOOKUP($A1344, 'Medical Examinations'!$A:$A, 'Medical Examinations'!D:D, "No Data")</f>
        <v>No</v>
      </c>
      <c r="F1344" s="28" t="str">
        <f t="array" ref="F1344">_xlfn.XLOOKUP($A1344, 'Medical Examinations'!$A:$A, 'Medical Examinations'!E:E, "No Data")</f>
        <v>No</v>
      </c>
      <c r="G1344" s="28" t="str">
        <f t="array" ref="G1344">_xlfn.XLOOKUP($A1344, 'Medical Examinations'!$A:$A, 'Medical Examinations'!F:F, "No Data")</f>
        <v>Yes</v>
      </c>
      <c r="H1344" s="28">
        <f t="array" ref="H1344">_xlfn.XLOOKUP($A1344, 'Medical Examinations'!$A:$A, 'Medical Examinations'!G:G, "No Data")</f>
        <v>1</v>
      </c>
      <c r="I1344" s="28" t="str">
        <f t="array" ref="I1344">_xlfn.XLOOKUP($A1344, 'Medical Examinations'!$A:$A, 'Medical Examinations'!H:H, "No Data")</f>
        <v>No</v>
      </c>
      <c r="J1344" s="28" t="str">
        <f t="array" ref="J1344">_xlfn.XLOOKUP($A1344, 'Medical Examinations'!$A:$A, 'Medical Examinations'!I:I, "No Data")</f>
        <v>Obesity</v>
      </c>
      <c r="K1344" s="28" t="str">
        <f t="array" ref="K1344">_xlfn.XLOOKUP($A1344, 'Hospitalisation Details'!$A:$A, 'Hospitalisation Details'!I:I, "No Data")</f>
        <v>tier - 1</v>
      </c>
      <c r="L1344" s="28" t="str">
        <f t="array" ref="L1344">_xlfn.XLOOKUP($A1344, 'Hospitalisation Details'!$A:$A, 'Hospitalisation Details'!J:J, "No Data")</f>
        <v>R1026</v>
      </c>
      <c r="M1344" s="28" t="str">
        <f t="array" ref="M1344">_xlfn.XLOOKUP($A1344, 'Hospitalisation Details'!$A:$A, 'Hospitalisation Details'!E:E, "No Data")</f>
        <v>07/11/93</v>
      </c>
      <c r="N1344" s="28">
        <f t="array" ref="N1344">_xlfn.XLOOKUP($A1344, 'Hospitalisation Details'!$A:$A, 'Hospitalisation Details'!K:K, "No Data")</f>
        <v>29</v>
      </c>
      <c r="O1344" s="33">
        <f t="array" ref="O1344">_xlfn.XLOOKUP($A1344, 'Hospitalisation Details'!$A:$A, 'Hospitalisation Details'!G:G, "No Data")</f>
        <v>8077.41</v>
      </c>
      <c r="P1344" s="28" t="str">
        <f t="array" ref="P1344">_xlfn.XLOOKUP($A1344, 'Hospitalisation Details'!$A:$A, 'Hospitalisation Details'!H:H, "No Data")</f>
        <v>tier - 2</v>
      </c>
    </row>
    <row r="1345">
      <c r="A1345" s="25" t="s">
        <v>4302</v>
      </c>
      <c r="B1345" s="28" t="str">
        <f t="array" ref="B1345">_xlfn.XLOOKUP($A1345, 'Customer Names'!$A:$A, 'Customer Names'!B:B, "No Data")</f>
        <v>Shen</v>
      </c>
      <c r="C1345" s="28">
        <f t="array" ref="C1345">_xlfn.XLOOKUP($A1345, 'Medical Examinations'!$A:$A, 'Medical Examinations'!B:B, "No Data")</f>
        <v>18.66</v>
      </c>
      <c r="D1345" s="28">
        <f t="array" ref="D1345">_xlfn.XLOOKUP($A1345, 'Medical Examinations'!$A:$A, 'Medical Examinations'!C:C, "No Data")</f>
        <v>11.35</v>
      </c>
      <c r="E1345" s="28" t="str">
        <f t="array" ref="E1345">_xlfn.XLOOKUP($A1345, 'Medical Examinations'!$A:$A, 'Medical Examinations'!D:D, "No Data")</f>
        <v>No</v>
      </c>
      <c r="F1345" s="28" t="str">
        <f t="array" ref="F1345">_xlfn.XLOOKUP($A1345, 'Medical Examinations'!$A:$A, 'Medical Examinations'!E:E, "No Data")</f>
        <v>No</v>
      </c>
      <c r="G1345" s="28" t="str">
        <f t="array" ref="G1345">_xlfn.XLOOKUP($A1345, 'Medical Examinations'!$A:$A, 'Medical Examinations'!F:F, "No Data")</f>
        <v>No</v>
      </c>
      <c r="H1345" s="28">
        <f t="array" ref="H1345">_xlfn.XLOOKUP($A1345, 'Medical Examinations'!$A:$A, 'Medical Examinations'!G:G, "No Data")</f>
        <v>0</v>
      </c>
      <c r="I1345" s="28" t="str">
        <f t="array" ref="I1345">_xlfn.XLOOKUP($A1345, 'Medical Examinations'!$A:$A, 'Medical Examinations'!H:H, "No Data")</f>
        <v>No</v>
      </c>
      <c r="J1345" s="28" t="str">
        <f t="array" ref="J1345">_xlfn.XLOOKUP($A1345, 'Medical Examinations'!$A:$A, 'Medical Examinations'!I:I, "No Data")</f>
        <v>Normal Weight</v>
      </c>
      <c r="K1345" s="28" t="str">
        <f t="array" ref="K1345">_xlfn.XLOOKUP($A1345, 'Hospitalisation Details'!$A:$A, 'Hospitalisation Details'!I:I, "No Data")</f>
        <v>tier - 1</v>
      </c>
      <c r="L1345" s="28" t="str">
        <f t="array" ref="L1345">_xlfn.XLOOKUP($A1345, 'Hospitalisation Details'!$A:$A, 'Hospitalisation Details'!J:J, "No Data")</f>
        <v>R1011</v>
      </c>
      <c r="M1345" s="28" t="str">
        <f t="array" ref="M1345">_xlfn.XLOOKUP($A1345, 'Hospitalisation Details'!$A:$A, 'Hospitalisation Details'!E:E, "No Data")</f>
        <v>21/10/65</v>
      </c>
      <c r="N1345" s="28">
        <f t="array" ref="N1345">_xlfn.XLOOKUP($A1345, 'Hospitalisation Details'!$A:$A, 'Hospitalisation Details'!K:K, "No Data")</f>
        <v>57</v>
      </c>
      <c r="O1345" s="33">
        <f t="array" ref="O1345">_xlfn.XLOOKUP($A1345, 'Hospitalisation Details'!$A:$A, 'Hospitalisation Details'!G:G, "No Data")</f>
        <v>8071.57</v>
      </c>
      <c r="P1345" s="28" t="str">
        <f t="array" ref="P1345">_xlfn.XLOOKUP($A1345, 'Hospitalisation Details'!$A:$A, 'Hospitalisation Details'!H:H, "No Data")</f>
        <v>tier - 3</v>
      </c>
    </row>
    <row r="1346">
      <c r="A1346" s="25" t="s">
        <v>4304</v>
      </c>
      <c r="B1346" s="28" t="str">
        <f t="array" ref="B1346">_xlfn.XLOOKUP($A1346, 'Customer Names'!$A:$A, 'Customer Names'!B:B, "No Data")</f>
        <v>O'Kelly</v>
      </c>
      <c r="C1346" s="28">
        <f t="array" ref="C1346">_xlfn.XLOOKUP($A1346, 'Medical Examinations'!$A:$A, 'Medical Examinations'!B:B, "No Data")</f>
        <v>36.2</v>
      </c>
      <c r="D1346" s="28">
        <f t="array" ref="D1346">_xlfn.XLOOKUP($A1346, 'Medical Examinations'!$A:$A, 'Medical Examinations'!C:C, "No Data")</f>
        <v>6.81</v>
      </c>
      <c r="E1346" s="28" t="str">
        <f t="array" ref="E1346">_xlfn.XLOOKUP($A1346, 'Medical Examinations'!$A:$A, 'Medical Examinations'!D:D, "No Data")</f>
        <v>yes</v>
      </c>
      <c r="F1346" s="28" t="str">
        <f t="array" ref="F1346">_xlfn.XLOOKUP($A1346, 'Medical Examinations'!$A:$A, 'Medical Examinations'!E:E, "No Data")</f>
        <v>No</v>
      </c>
      <c r="G1346" s="28" t="str">
        <f t="array" ref="G1346">_xlfn.XLOOKUP($A1346, 'Medical Examinations'!$A:$A, 'Medical Examinations'!F:F, "No Data")</f>
        <v>No</v>
      </c>
      <c r="H1346" s="28">
        <f t="array" ref="H1346">_xlfn.XLOOKUP($A1346, 'Medical Examinations'!$A:$A, 'Medical Examinations'!G:G, "No Data")</f>
        <v>1</v>
      </c>
      <c r="I1346" s="28" t="str">
        <f t="array" ref="I1346">_xlfn.XLOOKUP($A1346, 'Medical Examinations'!$A:$A, 'Medical Examinations'!H:H, "No Data")</f>
        <v>No</v>
      </c>
      <c r="J1346" s="28" t="str">
        <f t="array" ref="J1346">_xlfn.XLOOKUP($A1346, 'Medical Examinations'!$A:$A, 'Medical Examinations'!I:I, "No Data")</f>
        <v>Obesity</v>
      </c>
      <c r="K1346" s="28" t="str">
        <f t="array" ref="K1346">_xlfn.XLOOKUP($A1346, 'Hospitalisation Details'!$A:$A, 'Hospitalisation Details'!I:I, "No Data")</f>
        <v>tier - 2</v>
      </c>
      <c r="L1346" s="28" t="str">
        <f t="array" ref="L1346">_xlfn.XLOOKUP($A1346, 'Hospitalisation Details'!$A:$A, 'Hospitalisation Details'!J:J, "No Data")</f>
        <v>R1011</v>
      </c>
      <c r="M1346" s="28" t="str">
        <f t="array" ref="M1346">_xlfn.XLOOKUP($A1346, 'Hospitalisation Details'!$A:$A, 'Hospitalisation Details'!E:E, "No Data")</f>
        <v>15/12/75</v>
      </c>
      <c r="N1346" s="28">
        <f t="array" ref="N1346">_xlfn.XLOOKUP($A1346, 'Hospitalisation Details'!$A:$A, 'Hospitalisation Details'!K:K, "No Data")</f>
        <v>47</v>
      </c>
      <c r="O1346" s="33">
        <f t="array" ref="O1346">_xlfn.XLOOKUP($A1346, 'Hospitalisation Details'!$A:$A, 'Hospitalisation Details'!G:G, "No Data")</f>
        <v>8068.19</v>
      </c>
      <c r="P1346" s="28" t="str">
        <f t="array" ref="P1346">_xlfn.XLOOKUP($A1346, 'Hospitalisation Details'!$A:$A, 'Hospitalisation Details'!H:H, "No Data")</f>
        <v>tier - 3</v>
      </c>
    </row>
    <row r="1347">
      <c r="A1347" s="25" t="s">
        <v>4307</v>
      </c>
      <c r="B1347" s="28" t="str">
        <f t="array" ref="B1347">_xlfn.XLOOKUP($A1347, 'Customer Names'!$A:$A, 'Customer Names'!B:B, "No Data")</f>
        <v>Huff</v>
      </c>
      <c r="C1347" s="28">
        <f t="array" ref="C1347">_xlfn.XLOOKUP($A1347, 'Medical Examinations'!$A:$A, 'Medical Examinations'!B:B, "No Data")</f>
        <v>18.87</v>
      </c>
      <c r="D1347" s="28">
        <f t="array" ref="D1347">_xlfn.XLOOKUP($A1347, 'Medical Examinations'!$A:$A, 'Medical Examinations'!C:C, "No Data")</f>
        <v>8.06</v>
      </c>
      <c r="E1347" s="28" t="str">
        <f t="array" ref="E1347">_xlfn.XLOOKUP($A1347, 'Medical Examinations'!$A:$A, 'Medical Examinations'!D:D, "No Data")</f>
        <v>No</v>
      </c>
      <c r="F1347" s="28" t="str">
        <f t="array" ref="F1347">_xlfn.XLOOKUP($A1347, 'Medical Examinations'!$A:$A, 'Medical Examinations'!E:E, "No Data")</f>
        <v>No</v>
      </c>
      <c r="G1347" s="28" t="str">
        <f t="array" ref="G1347">_xlfn.XLOOKUP($A1347, 'Medical Examinations'!$A:$A, 'Medical Examinations'!F:F, "No Data")</f>
        <v>No</v>
      </c>
      <c r="H1347" s="28">
        <f t="array" ref="H1347">_xlfn.XLOOKUP($A1347, 'Medical Examinations'!$A:$A, 'Medical Examinations'!G:G, "No Data")</f>
        <v>0</v>
      </c>
      <c r="I1347" s="28" t="str">
        <f t="array" ref="I1347">_xlfn.XLOOKUP($A1347, 'Medical Examinations'!$A:$A, 'Medical Examinations'!H:H, "No Data")</f>
        <v>No</v>
      </c>
      <c r="J1347" s="28" t="str">
        <f t="array" ref="J1347">_xlfn.XLOOKUP($A1347, 'Medical Examinations'!$A:$A, 'Medical Examinations'!I:I, "No Data")</f>
        <v>Normal Weight</v>
      </c>
      <c r="K1347" s="28" t="str">
        <f t="array" ref="K1347">_xlfn.XLOOKUP($A1347, 'Hospitalisation Details'!$A:$A, 'Hospitalisation Details'!I:I, "No Data")</f>
        <v>tier - 1</v>
      </c>
      <c r="L1347" s="28" t="str">
        <f t="array" ref="L1347">_xlfn.XLOOKUP($A1347, 'Hospitalisation Details'!$A:$A, 'Hospitalisation Details'!J:J, "No Data")</f>
        <v>R1013</v>
      </c>
      <c r="M1347" s="28" t="str">
        <f t="array" ref="M1347">_xlfn.XLOOKUP($A1347, 'Hospitalisation Details'!$A:$A, 'Hospitalisation Details'!E:E, "No Data")</f>
        <v>11/08/65</v>
      </c>
      <c r="N1347" s="28">
        <f t="array" ref="N1347">_xlfn.XLOOKUP($A1347, 'Hospitalisation Details'!$A:$A, 'Hospitalisation Details'!K:K, "No Data")</f>
        <v>57</v>
      </c>
      <c r="O1347" s="33">
        <f t="array" ref="O1347">_xlfn.XLOOKUP($A1347, 'Hospitalisation Details'!$A:$A, 'Hospitalisation Details'!G:G, "No Data")</f>
        <v>8067.83</v>
      </c>
      <c r="P1347" s="28" t="str">
        <f t="array" ref="P1347">_xlfn.XLOOKUP($A1347, 'Hospitalisation Details'!$A:$A, 'Hospitalisation Details'!H:H, "No Data")</f>
        <v>tier - 3</v>
      </c>
    </row>
    <row r="1348">
      <c r="A1348" s="25" t="s">
        <v>4311</v>
      </c>
      <c r="B1348" s="28" t="str">
        <f t="array" ref="B1348">_xlfn.XLOOKUP($A1348, 'Customer Names'!$A:$A, 'Customer Names'!B:B, "No Data")</f>
        <v>Dye</v>
      </c>
      <c r="C1348" s="28">
        <f t="array" ref="C1348">_xlfn.XLOOKUP($A1348, 'Medical Examinations'!$A:$A, 'Medical Examinations'!B:B, "No Data")</f>
        <v>32.3</v>
      </c>
      <c r="D1348" s="28">
        <f t="array" ref="D1348">_xlfn.XLOOKUP($A1348, 'Medical Examinations'!$A:$A, 'Medical Examinations'!C:C, "No Data")</f>
        <v>6.74</v>
      </c>
      <c r="E1348" s="28" t="str">
        <f t="array" ref="E1348">_xlfn.XLOOKUP($A1348, 'Medical Examinations'!$A:$A, 'Medical Examinations'!D:D, "No Data")</f>
        <v>yes</v>
      </c>
      <c r="F1348" s="28" t="str">
        <f t="array" ref="F1348">_xlfn.XLOOKUP($A1348, 'Medical Examinations'!$A:$A, 'Medical Examinations'!E:E, "No Data")</f>
        <v>No</v>
      </c>
      <c r="G1348" s="28" t="str">
        <f t="array" ref="G1348">_xlfn.XLOOKUP($A1348, 'Medical Examinations'!$A:$A, 'Medical Examinations'!F:F, "No Data")</f>
        <v>No</v>
      </c>
      <c r="H1348" s="28">
        <f t="array" ref="H1348">_xlfn.XLOOKUP($A1348, 'Medical Examinations'!$A:$A, 'Medical Examinations'!G:G, "No Data")</f>
        <v>1</v>
      </c>
      <c r="I1348" s="28" t="str">
        <f t="array" ref="I1348">_xlfn.XLOOKUP($A1348, 'Medical Examinations'!$A:$A, 'Medical Examinations'!H:H, "No Data")</f>
        <v>No</v>
      </c>
      <c r="J1348" s="28" t="str">
        <f t="array" ref="J1348">_xlfn.XLOOKUP($A1348, 'Medical Examinations'!$A:$A, 'Medical Examinations'!I:I, "No Data")</f>
        <v>Obesity</v>
      </c>
      <c r="K1348" s="28" t="str">
        <f t="array" ref="K1348">_xlfn.XLOOKUP($A1348, 'Hospitalisation Details'!$A:$A, 'Hospitalisation Details'!I:I, "No Data")</f>
        <v>tier - 3</v>
      </c>
      <c r="L1348" s="28" t="str">
        <f t="array" ref="L1348">_xlfn.XLOOKUP($A1348, 'Hospitalisation Details'!$A:$A, 'Hospitalisation Details'!J:J, "No Data")</f>
        <v>R1011</v>
      </c>
      <c r="M1348" s="28" t="str">
        <f t="array" ref="M1348">_xlfn.XLOOKUP($A1348, 'Hospitalisation Details'!$A:$A, 'Hospitalisation Details'!E:E, "No Data")</f>
        <v>28/06/75</v>
      </c>
      <c r="N1348" s="28">
        <f t="array" ref="N1348">_xlfn.XLOOKUP($A1348, 'Hospitalisation Details'!$A:$A, 'Hospitalisation Details'!K:K, "No Data")</f>
        <v>47</v>
      </c>
      <c r="O1348" s="33">
        <f t="array" ref="O1348">_xlfn.XLOOKUP($A1348, 'Hospitalisation Details'!$A:$A, 'Hospitalisation Details'!G:G, "No Data")</f>
        <v>8062.76</v>
      </c>
      <c r="P1348" s="28" t="str">
        <f t="array" ref="P1348">_xlfn.XLOOKUP($A1348, 'Hospitalisation Details'!$A:$A, 'Hospitalisation Details'!H:H, "No Data")</f>
        <v>tier - 3</v>
      </c>
    </row>
    <row r="1349">
      <c r="A1349" s="25" t="s">
        <v>4313</v>
      </c>
      <c r="B1349" s="28" t="str">
        <f t="array" ref="B1349">_xlfn.XLOOKUP($A1349, 'Customer Names'!$A:$A, 'Customer Names'!B:B, "No Data")</f>
        <v>Willard</v>
      </c>
      <c r="C1349" s="28">
        <f t="array" ref="C1349">_xlfn.XLOOKUP($A1349, 'Medical Examinations'!$A:$A, 'Medical Examinations'!B:B, "No Data")</f>
        <v>22.64</v>
      </c>
      <c r="D1349" s="28">
        <f t="array" ref="D1349">_xlfn.XLOOKUP($A1349, 'Medical Examinations'!$A:$A, 'Medical Examinations'!C:C, "No Data")</f>
        <v>6.54</v>
      </c>
      <c r="E1349" s="28" t="str">
        <f t="array" ref="E1349">_xlfn.XLOOKUP($A1349, 'Medical Examinations'!$A:$A, 'Medical Examinations'!D:D, "No Data")</f>
        <v>yes</v>
      </c>
      <c r="F1349" s="28" t="str">
        <f t="array" ref="F1349">_xlfn.XLOOKUP($A1349, 'Medical Examinations'!$A:$A, 'Medical Examinations'!E:E, "No Data")</f>
        <v>No</v>
      </c>
      <c r="G1349" s="28" t="str">
        <f t="array" ref="G1349">_xlfn.XLOOKUP($A1349, 'Medical Examinations'!$A:$A, 'Medical Examinations'!F:F, "No Data")</f>
        <v>No</v>
      </c>
      <c r="H1349" s="28">
        <f t="array" ref="H1349">_xlfn.XLOOKUP($A1349, 'Medical Examinations'!$A:$A, 'Medical Examinations'!G:G, "No Data")</f>
        <v>2</v>
      </c>
      <c r="I1349" s="28" t="str">
        <f t="array" ref="I1349">_xlfn.XLOOKUP($A1349, 'Medical Examinations'!$A:$A, 'Medical Examinations'!H:H, "No Data")</f>
        <v>No</v>
      </c>
      <c r="J1349" s="28" t="str">
        <f t="array" ref="J1349">_xlfn.XLOOKUP($A1349, 'Medical Examinations'!$A:$A, 'Medical Examinations'!I:I, "No Data")</f>
        <v>Normal Weight</v>
      </c>
      <c r="K1349" s="28" t="str">
        <f t="array" ref="K1349">_xlfn.XLOOKUP($A1349, 'Hospitalisation Details'!$A:$A, 'Hospitalisation Details'!I:I, "No Data")</f>
        <v>tier - 1</v>
      </c>
      <c r="L1349" s="28" t="str">
        <f t="array" ref="L1349">_xlfn.XLOOKUP($A1349, 'Hospitalisation Details'!$A:$A, 'Hospitalisation Details'!J:J, "No Data")</f>
        <v>R1013</v>
      </c>
      <c r="M1349" s="28" t="str">
        <f t="array" ref="M1349">_xlfn.XLOOKUP($A1349, 'Hospitalisation Details'!$A:$A, 'Hospitalisation Details'!E:E, "No Data")</f>
        <v>12/12/70</v>
      </c>
      <c r="N1349" s="28">
        <f t="array" ref="N1349">_xlfn.XLOOKUP($A1349, 'Hospitalisation Details'!$A:$A, 'Hospitalisation Details'!K:K, "No Data")</f>
        <v>52</v>
      </c>
      <c r="O1349" s="33">
        <f t="array" ref="O1349">_xlfn.XLOOKUP($A1349, 'Hospitalisation Details'!$A:$A, 'Hospitalisation Details'!G:G, "No Data")</f>
        <v>8062.31</v>
      </c>
      <c r="P1349" s="28" t="str">
        <f t="array" ref="P1349">_xlfn.XLOOKUP($A1349, 'Hospitalisation Details'!$A:$A, 'Hospitalisation Details'!H:H, "No Data")</f>
        <v>tier - 2</v>
      </c>
    </row>
    <row r="1350">
      <c r="A1350" s="25" t="s">
        <v>4317</v>
      </c>
      <c r="B1350" s="28" t="str">
        <f t="array" ref="B1350">_xlfn.XLOOKUP($A1350, 'Customer Names'!$A:$A, 'Customer Names'!B:B, "No Data")</f>
        <v>D'Addario</v>
      </c>
      <c r="C1350" s="28">
        <f t="array" ref="C1350">_xlfn.XLOOKUP($A1350, 'Medical Examinations'!$A:$A, 'Medical Examinations'!B:B, "No Data")</f>
        <v>28.69</v>
      </c>
      <c r="D1350" s="28">
        <f t="array" ref="D1350">_xlfn.XLOOKUP($A1350, 'Medical Examinations'!$A:$A, 'Medical Examinations'!C:C, "No Data")</f>
        <v>5.4</v>
      </c>
      <c r="E1350" s="28" t="str">
        <f t="array" ref="E1350">_xlfn.XLOOKUP($A1350, 'Medical Examinations'!$A:$A, 'Medical Examinations'!D:D, "No Data")</f>
        <v>No</v>
      </c>
      <c r="F1350" s="28" t="str">
        <f t="array" ref="F1350">_xlfn.XLOOKUP($A1350, 'Medical Examinations'!$A:$A, 'Medical Examinations'!E:E, "No Data")</f>
        <v>No</v>
      </c>
      <c r="G1350" s="28" t="str">
        <f t="array" ref="G1350">_xlfn.XLOOKUP($A1350, 'Medical Examinations'!$A:$A, 'Medical Examinations'!F:F, "No Data")</f>
        <v>No</v>
      </c>
      <c r="H1350" s="28">
        <f t="array" ref="H1350">_xlfn.XLOOKUP($A1350, 'Medical Examinations'!$A:$A, 'Medical Examinations'!G:G, "No Data")</f>
        <v>0</v>
      </c>
      <c r="I1350" s="28" t="str">
        <f t="array" ref="I1350">_xlfn.XLOOKUP($A1350, 'Medical Examinations'!$A:$A, 'Medical Examinations'!H:H, "No Data")</f>
        <v>No</v>
      </c>
      <c r="J1350" s="28" t="str">
        <f t="array" ref="J1350">_xlfn.XLOOKUP($A1350, 'Medical Examinations'!$A:$A, 'Medical Examinations'!I:I, "No Data")</f>
        <v>Overweight</v>
      </c>
      <c r="K1350" s="28" t="str">
        <f t="array" ref="K1350">_xlfn.XLOOKUP($A1350, 'Hospitalisation Details'!$A:$A, 'Hospitalisation Details'!I:I, "No Data")</f>
        <v>tier - 3</v>
      </c>
      <c r="L1350" s="28" t="str">
        <f t="array" ref="L1350">_xlfn.XLOOKUP($A1350, 'Hospitalisation Details'!$A:$A, 'Hospitalisation Details'!J:J, "No Data")</f>
        <v>R1012</v>
      </c>
      <c r="M1350" s="28" t="str">
        <f t="array" ref="M1350">_xlfn.XLOOKUP($A1350, 'Hospitalisation Details'!$A:$A, 'Hospitalisation Details'!E:E, "No Data")</f>
        <v>27/12/82</v>
      </c>
      <c r="N1350" s="28">
        <f t="array" ref="N1350">_xlfn.XLOOKUP($A1350, 'Hospitalisation Details'!$A:$A, 'Hospitalisation Details'!K:K, "No Data")</f>
        <v>40</v>
      </c>
      <c r="O1350" s="33">
        <f t="array" ref="O1350">_xlfn.XLOOKUP($A1350, 'Hospitalisation Details'!$A:$A, 'Hospitalisation Details'!G:G, "No Data")</f>
        <v>8059.68</v>
      </c>
      <c r="P1350" s="28" t="str">
        <f t="array" ref="P1350">_xlfn.XLOOKUP($A1350, 'Hospitalisation Details'!$A:$A, 'Hospitalisation Details'!H:H, "No Data")</f>
        <v>tier - 2</v>
      </c>
    </row>
    <row r="1351">
      <c r="A1351" s="25" t="s">
        <v>4319</v>
      </c>
      <c r="B1351" s="28" t="str">
        <f t="array" ref="B1351">_xlfn.XLOOKUP($A1351, 'Customer Names'!$A:$A, 'Customer Names'!B:B, "No Data")</f>
        <v>Buchanan</v>
      </c>
      <c r="C1351" s="28">
        <f t="array" ref="C1351">_xlfn.XLOOKUP($A1351, 'Medical Examinations'!$A:$A, 'Medical Examinations'!B:B, "No Data")</f>
        <v>28.16</v>
      </c>
      <c r="D1351" s="28">
        <f t="array" ref="D1351">_xlfn.XLOOKUP($A1351, 'Medical Examinations'!$A:$A, 'Medical Examinations'!C:C, "No Data")</f>
        <v>5.58</v>
      </c>
      <c r="E1351" s="28" t="str">
        <f t="array" ref="E1351">_xlfn.XLOOKUP($A1351, 'Medical Examinations'!$A:$A, 'Medical Examinations'!D:D, "No Data")</f>
        <v>yes</v>
      </c>
      <c r="F1351" s="28" t="str">
        <f t="array" ref="F1351">_xlfn.XLOOKUP($A1351, 'Medical Examinations'!$A:$A, 'Medical Examinations'!E:E, "No Data")</f>
        <v>No</v>
      </c>
      <c r="G1351" s="28" t="str">
        <f t="array" ref="G1351">_xlfn.XLOOKUP($A1351, 'Medical Examinations'!$A:$A, 'Medical Examinations'!F:F, "No Data")</f>
        <v>No</v>
      </c>
      <c r="H1351" s="28">
        <f t="array" ref="H1351">_xlfn.XLOOKUP($A1351, 'Medical Examinations'!$A:$A, 'Medical Examinations'!G:G, "No Data")</f>
        <v>0</v>
      </c>
      <c r="I1351" s="28" t="str">
        <f t="array" ref="I1351">_xlfn.XLOOKUP($A1351, 'Medical Examinations'!$A:$A, 'Medical Examinations'!H:H, "No Data")</f>
        <v>No</v>
      </c>
      <c r="J1351" s="28" t="str">
        <f t="array" ref="J1351">_xlfn.XLOOKUP($A1351, 'Medical Examinations'!$A:$A, 'Medical Examinations'!I:I, "No Data")</f>
        <v>Overweight</v>
      </c>
      <c r="K1351" s="28" t="str">
        <f t="array" ref="K1351">_xlfn.XLOOKUP($A1351, 'Hospitalisation Details'!$A:$A, 'Hospitalisation Details'!I:I, "No Data")</f>
        <v>tier - 3</v>
      </c>
      <c r="L1351" s="28" t="str">
        <f t="array" ref="L1351">_xlfn.XLOOKUP($A1351, 'Hospitalisation Details'!$A:$A, 'Hospitalisation Details'!J:J, "No Data")</f>
        <v>R1012</v>
      </c>
      <c r="M1351" s="28" t="str">
        <f t="array" ref="M1351">_xlfn.XLOOKUP($A1351, 'Hospitalisation Details'!$A:$A, 'Hospitalisation Details'!E:E, "No Data")</f>
        <v>28/11/85</v>
      </c>
      <c r="N1351" s="28">
        <f t="array" ref="N1351">_xlfn.XLOOKUP($A1351, 'Hospitalisation Details'!$A:$A, 'Hospitalisation Details'!K:K, "No Data")</f>
        <v>37</v>
      </c>
      <c r="O1351" s="33">
        <f t="array" ref="O1351">_xlfn.XLOOKUP($A1351, 'Hospitalisation Details'!$A:$A, 'Hospitalisation Details'!G:G, "No Data")</f>
        <v>8059.06</v>
      </c>
      <c r="P1351" s="28" t="str">
        <f t="array" ref="P1351">_xlfn.XLOOKUP($A1351, 'Hospitalisation Details'!$A:$A, 'Hospitalisation Details'!H:H, "No Data")</f>
        <v>tier - 2</v>
      </c>
    </row>
    <row r="1352">
      <c r="A1352" s="25" t="s">
        <v>4323</v>
      </c>
      <c r="B1352" s="28" t="str">
        <f t="array" ref="B1352">_xlfn.XLOOKUP($A1352, 'Customer Names'!$A:$A, 'Customer Names'!B:B, "No Data")</f>
        <v>Clark</v>
      </c>
      <c r="C1352" s="28">
        <f t="array" ref="C1352">_xlfn.XLOOKUP($A1352, 'Medical Examinations'!$A:$A, 'Medical Examinations'!B:B, "No Data")</f>
        <v>45.54</v>
      </c>
      <c r="D1352" s="28">
        <f t="array" ref="D1352">_xlfn.XLOOKUP($A1352, 'Medical Examinations'!$A:$A, 'Medical Examinations'!C:C, "No Data")</f>
        <v>5.84</v>
      </c>
      <c r="E1352" s="28" t="str">
        <f t="array" ref="E1352">_xlfn.XLOOKUP($A1352, 'Medical Examinations'!$A:$A, 'Medical Examinations'!D:D, "No Data")</f>
        <v>No</v>
      </c>
      <c r="F1352" s="28" t="str">
        <f t="array" ref="F1352">_xlfn.XLOOKUP($A1352, 'Medical Examinations'!$A:$A, 'Medical Examinations'!E:E, "No Data")</f>
        <v>No</v>
      </c>
      <c r="G1352" s="28" t="str">
        <f t="array" ref="G1352">_xlfn.XLOOKUP($A1352, 'Medical Examinations'!$A:$A, 'Medical Examinations'!F:F, "No Data")</f>
        <v>Yes</v>
      </c>
      <c r="H1352" s="28">
        <f t="array" ref="H1352">_xlfn.XLOOKUP($A1352, 'Medical Examinations'!$A:$A, 'Medical Examinations'!G:G, "No Data")</f>
        <v>1</v>
      </c>
      <c r="I1352" s="28" t="str">
        <f t="array" ref="I1352">_xlfn.XLOOKUP($A1352, 'Medical Examinations'!$A:$A, 'Medical Examinations'!H:H, "No Data")</f>
        <v>No</v>
      </c>
      <c r="J1352" s="28" t="str">
        <f t="array" ref="J1352">_xlfn.XLOOKUP($A1352, 'Medical Examinations'!$A:$A, 'Medical Examinations'!I:I, "No Data")</f>
        <v>Obesity</v>
      </c>
      <c r="K1352" s="28" t="str">
        <f t="array" ref="K1352">_xlfn.XLOOKUP($A1352, 'Hospitalisation Details'!$A:$A, 'Hospitalisation Details'!I:I, "No Data")</f>
        <v>tier - 2</v>
      </c>
      <c r="L1352" s="28" t="str">
        <f t="array" ref="L1352">_xlfn.XLOOKUP($A1352, 'Hospitalisation Details'!$A:$A, 'Hospitalisation Details'!J:J, "No Data")</f>
        <v>R1012</v>
      </c>
      <c r="M1352" s="28" t="str">
        <f t="array" ref="M1352">_xlfn.XLOOKUP($A1352, 'Hospitalisation Details'!$A:$A, 'Hospitalisation Details'!E:E, "No Data")</f>
        <v>12/12/03</v>
      </c>
      <c r="N1352" s="28">
        <f t="array" ref="N1352">_xlfn.XLOOKUP($A1352, 'Hospitalisation Details'!$A:$A, 'Hospitalisation Details'!K:K, "No Data")</f>
        <v>19</v>
      </c>
      <c r="O1352" s="33">
        <f t="array" ref="O1352">_xlfn.XLOOKUP($A1352, 'Hospitalisation Details'!$A:$A, 'Hospitalisation Details'!G:G, "No Data")</f>
        <v>8035.64</v>
      </c>
      <c r="P1352" s="28" t="str">
        <f t="array" ref="P1352">_xlfn.XLOOKUP($A1352, 'Hospitalisation Details'!$A:$A, 'Hospitalisation Details'!H:H, "No Data")</f>
        <v>tier - 2</v>
      </c>
    </row>
    <row r="1353">
      <c r="A1353" s="25" t="s">
        <v>4326</v>
      </c>
      <c r="B1353" s="28" t="str">
        <f t="array" ref="B1353">_xlfn.XLOOKUP($A1353, 'Customer Names'!$A:$A, 'Customer Names'!B:B, "No Data")</f>
        <v>Waterson</v>
      </c>
      <c r="C1353" s="28">
        <f t="array" ref="C1353">_xlfn.XLOOKUP($A1353, 'Medical Examinations'!$A:$A, 'Medical Examinations'!B:B, "No Data")</f>
        <v>28.7</v>
      </c>
      <c r="D1353" s="28">
        <f t="array" ref="D1353">_xlfn.XLOOKUP($A1353, 'Medical Examinations'!$A:$A, 'Medical Examinations'!C:C, "No Data")</f>
        <v>4.2</v>
      </c>
      <c r="E1353" s="28" t="str">
        <f t="array" ref="E1353">_xlfn.XLOOKUP($A1353, 'Medical Examinations'!$A:$A, 'Medical Examinations'!D:D, "No Data")</f>
        <v>No</v>
      </c>
      <c r="F1353" s="28" t="str">
        <f t="array" ref="F1353">_xlfn.XLOOKUP($A1353, 'Medical Examinations'!$A:$A, 'Medical Examinations'!E:E, "No Data")</f>
        <v>No</v>
      </c>
      <c r="G1353" s="28" t="str">
        <f t="array" ref="G1353">_xlfn.XLOOKUP($A1353, 'Medical Examinations'!$A:$A, 'Medical Examinations'!F:F, "No Data")</f>
        <v>No</v>
      </c>
      <c r="H1353" s="28">
        <f t="array" ref="H1353">_xlfn.XLOOKUP($A1353, 'Medical Examinations'!$A:$A, 'Medical Examinations'!G:G, "No Data")</f>
        <v>0</v>
      </c>
      <c r="I1353" s="28" t="str">
        <f t="array" ref="I1353">_xlfn.XLOOKUP($A1353, 'Medical Examinations'!$A:$A, 'Medical Examinations'!H:H, "No Data")</f>
        <v>No</v>
      </c>
      <c r="J1353" s="28" t="str">
        <f t="array" ref="J1353">_xlfn.XLOOKUP($A1353, 'Medical Examinations'!$A:$A, 'Medical Examinations'!I:I, "No Data")</f>
        <v>Overweight</v>
      </c>
      <c r="K1353" s="28" t="str">
        <f t="array" ref="K1353">_xlfn.XLOOKUP($A1353, 'Hospitalisation Details'!$A:$A, 'Hospitalisation Details'!I:I, "No Data")</f>
        <v>tier - 2</v>
      </c>
      <c r="L1353" s="28" t="str">
        <f t="array" ref="L1353">_xlfn.XLOOKUP($A1353, 'Hospitalisation Details'!$A:$A, 'Hospitalisation Details'!J:J, "No Data")</f>
        <v>R1011</v>
      </c>
      <c r="M1353" s="28" t="str">
        <f t="array" ref="M1353">_xlfn.XLOOKUP($A1353, 'Hospitalisation Details'!$A:$A, 'Hospitalisation Details'!E:E, "No Data")</f>
        <v>06/11/77</v>
      </c>
      <c r="N1353" s="28">
        <f t="array" ref="N1353">_xlfn.XLOOKUP($A1353, 'Hospitalisation Details'!$A:$A, 'Hospitalisation Details'!K:K, "No Data")</f>
        <v>45</v>
      </c>
      <c r="O1353" s="33">
        <f t="array" ref="O1353">_xlfn.XLOOKUP($A1353, 'Hospitalisation Details'!$A:$A, 'Hospitalisation Details'!G:G, "No Data")</f>
        <v>8027.97</v>
      </c>
      <c r="P1353" s="28" t="str">
        <f t="array" ref="P1353">_xlfn.XLOOKUP($A1353, 'Hospitalisation Details'!$A:$A, 'Hospitalisation Details'!H:H, "No Data")</f>
        <v>tier - 3</v>
      </c>
    </row>
    <row r="1354">
      <c r="A1354" s="25" t="s">
        <v>4328</v>
      </c>
      <c r="B1354" s="28" t="str">
        <f t="array" ref="B1354">_xlfn.XLOOKUP($A1354, 'Customer Names'!$A:$A, 'Customer Names'!B:B, "No Data")</f>
        <v>Piras</v>
      </c>
      <c r="C1354" s="28">
        <f t="array" ref="C1354">_xlfn.XLOOKUP($A1354, 'Medical Examinations'!$A:$A, 'Medical Examinations'!B:B, "No Data")</f>
        <v>27.74</v>
      </c>
      <c r="D1354" s="28">
        <f t="array" ref="D1354">_xlfn.XLOOKUP($A1354, 'Medical Examinations'!$A:$A, 'Medical Examinations'!C:C, "No Data")</f>
        <v>6.06</v>
      </c>
      <c r="E1354" s="28" t="str">
        <f t="array" ref="E1354">_xlfn.XLOOKUP($A1354, 'Medical Examinations'!$A:$A, 'Medical Examinations'!D:D, "No Data")</f>
        <v>yes</v>
      </c>
      <c r="F1354" s="28" t="str">
        <f t="array" ref="F1354">_xlfn.XLOOKUP($A1354, 'Medical Examinations'!$A:$A, 'Medical Examinations'!E:E, "No Data")</f>
        <v>No</v>
      </c>
      <c r="G1354" s="28" t="str">
        <f t="array" ref="G1354">_xlfn.XLOOKUP($A1354, 'Medical Examinations'!$A:$A, 'Medical Examinations'!F:F, "No Data")</f>
        <v>No</v>
      </c>
      <c r="H1354" s="28">
        <f t="array" ref="H1354">_xlfn.XLOOKUP($A1354, 'Medical Examinations'!$A:$A, 'Medical Examinations'!G:G, "No Data")</f>
        <v>0</v>
      </c>
      <c r="I1354" s="28" t="str">
        <f t="array" ref="I1354">_xlfn.XLOOKUP($A1354, 'Medical Examinations'!$A:$A, 'Medical Examinations'!H:H, "No Data")</f>
        <v>No</v>
      </c>
      <c r="J1354" s="28" t="str">
        <f t="array" ref="J1354">_xlfn.XLOOKUP($A1354, 'Medical Examinations'!$A:$A, 'Medical Examinations'!I:I, "No Data")</f>
        <v>Overweight</v>
      </c>
      <c r="K1354" s="28" t="str">
        <f t="array" ref="K1354">_xlfn.XLOOKUP($A1354, 'Hospitalisation Details'!$A:$A, 'Hospitalisation Details'!I:I, "No Data")</f>
        <v>tier - 2</v>
      </c>
      <c r="L1354" s="28" t="str">
        <f t="array" ref="L1354">_xlfn.XLOOKUP($A1354, 'Hospitalisation Details'!$A:$A, 'Hospitalisation Details'!J:J, "No Data")</f>
        <v>R1012</v>
      </c>
      <c r="M1354" s="28" t="str">
        <f t="array" ref="M1354">_xlfn.XLOOKUP($A1354, 'Hospitalisation Details'!$A:$A, 'Hospitalisation Details'!E:E, "No Data")</f>
        <v>20/12/76</v>
      </c>
      <c r="N1354" s="28">
        <f t="array" ref="N1354">_xlfn.XLOOKUP($A1354, 'Hospitalisation Details'!$A:$A, 'Hospitalisation Details'!K:K, "No Data")</f>
        <v>46</v>
      </c>
      <c r="O1354" s="33">
        <f t="array" ref="O1354">_xlfn.XLOOKUP($A1354, 'Hospitalisation Details'!$A:$A, 'Hospitalisation Details'!G:G, "No Data")</f>
        <v>8026.67</v>
      </c>
      <c r="P1354" s="28" t="str">
        <f t="array" ref="P1354">_xlfn.XLOOKUP($A1354, 'Hospitalisation Details'!$A:$A, 'Hospitalisation Details'!H:H, "No Data")</f>
        <v>tier - 2</v>
      </c>
    </row>
    <row r="1355">
      <c r="A1355" s="25" t="s">
        <v>4332</v>
      </c>
      <c r="B1355" s="28" t="str">
        <f t="array" ref="B1355">_xlfn.XLOOKUP($A1355, 'Customer Names'!$A:$A, 'Customer Names'!B:B, "No Data")</f>
        <v>Olson</v>
      </c>
      <c r="C1355" s="28">
        <f t="array" ref="C1355">_xlfn.XLOOKUP($A1355, 'Medical Examinations'!$A:$A, 'Medical Examinations'!B:B, "No Data")</f>
        <v>36.955</v>
      </c>
      <c r="D1355" s="28">
        <f t="array" ref="D1355">_xlfn.XLOOKUP($A1355, 'Medical Examinations'!$A:$A, 'Medical Examinations'!C:C, "No Data")</f>
        <v>7.57</v>
      </c>
      <c r="E1355" s="28" t="str">
        <f t="array" ref="E1355">_xlfn.XLOOKUP($A1355, 'Medical Examinations'!$A:$A, 'Medical Examinations'!D:D, "No Data")</f>
        <v>No</v>
      </c>
      <c r="F1355" s="28" t="str">
        <f t="array" ref="F1355">_xlfn.XLOOKUP($A1355, 'Medical Examinations'!$A:$A, 'Medical Examinations'!E:E, "No Data")</f>
        <v>No</v>
      </c>
      <c r="G1355" s="28" t="str">
        <f t="array" ref="G1355">_xlfn.XLOOKUP($A1355, 'Medical Examinations'!$A:$A, 'Medical Examinations'!F:F, "No Data")</f>
        <v>No</v>
      </c>
      <c r="H1355" s="28">
        <f t="array" ref="H1355">_xlfn.XLOOKUP($A1355, 'Medical Examinations'!$A:$A, 'Medical Examinations'!G:G, "No Data")</f>
        <v>0</v>
      </c>
      <c r="I1355" s="28" t="str">
        <f t="array" ref="I1355">_xlfn.XLOOKUP($A1355, 'Medical Examinations'!$A:$A, 'Medical Examinations'!H:H, "No Data")</f>
        <v>No</v>
      </c>
      <c r="J1355" s="28" t="str">
        <f t="array" ref="J1355">_xlfn.XLOOKUP($A1355, 'Medical Examinations'!$A:$A, 'Medical Examinations'!I:I, "No Data")</f>
        <v>Obesity</v>
      </c>
      <c r="K1355" s="28" t="str">
        <f t="array" ref="K1355">_xlfn.XLOOKUP($A1355, 'Hospitalisation Details'!$A:$A, 'Hospitalisation Details'!I:I, "No Data")</f>
        <v>tier - 3</v>
      </c>
      <c r="L1355" s="28" t="str">
        <f t="array" ref="L1355">_xlfn.XLOOKUP($A1355, 'Hospitalisation Details'!$A:$A, 'Hospitalisation Details'!J:J, "No Data")</f>
        <v>R1012</v>
      </c>
      <c r="M1355" s="28" t="str">
        <f t="array" ref="M1355">_xlfn.XLOOKUP($A1355, 'Hospitalisation Details'!$A:$A, 'Hospitalisation Details'!E:E, "No Data")</f>
        <v>17/07/78</v>
      </c>
      <c r="N1355" s="28">
        <f t="array" ref="N1355">_xlfn.XLOOKUP($A1355, 'Hospitalisation Details'!$A:$A, 'Hospitalisation Details'!K:K, "No Data")</f>
        <v>44</v>
      </c>
      <c r="O1355" s="33">
        <f t="array" ref="O1355">_xlfn.XLOOKUP($A1355, 'Hospitalisation Details'!$A:$A, 'Hospitalisation Details'!G:G, "No Data")</f>
        <v>8023.14</v>
      </c>
      <c r="P1355" s="28" t="str">
        <f t="array" ref="P1355">_xlfn.XLOOKUP($A1355, 'Hospitalisation Details'!$A:$A, 'Hospitalisation Details'!H:H, "No Data")</f>
        <v>tier - 2</v>
      </c>
    </row>
    <row r="1356">
      <c r="A1356" s="25" t="s">
        <v>4335</v>
      </c>
      <c r="B1356" s="28" t="str">
        <f t="array" ref="B1356">_xlfn.XLOOKUP($A1356, 'Customer Names'!$A:$A, 'Customer Names'!B:B, "No Data")</f>
        <v>Manfredi</v>
      </c>
      <c r="C1356" s="28">
        <f t="array" ref="C1356">_xlfn.XLOOKUP($A1356, 'Medical Examinations'!$A:$A, 'Medical Examinations'!B:B, "No Data")</f>
        <v>30.69</v>
      </c>
      <c r="D1356" s="28">
        <f t="array" ref="D1356">_xlfn.XLOOKUP($A1356, 'Medical Examinations'!$A:$A, 'Medical Examinations'!C:C, "No Data")</f>
        <v>6.15</v>
      </c>
      <c r="E1356" s="28" t="str">
        <f t="array" ref="E1356">_xlfn.XLOOKUP($A1356, 'Medical Examinations'!$A:$A, 'Medical Examinations'!D:D, "No Data")</f>
        <v>No</v>
      </c>
      <c r="F1356" s="28" t="str">
        <f t="array" ref="F1356">_xlfn.XLOOKUP($A1356, 'Medical Examinations'!$A:$A, 'Medical Examinations'!E:E, "No Data")</f>
        <v>No</v>
      </c>
      <c r="G1356" s="28" t="str">
        <f t="array" ref="G1356">_xlfn.XLOOKUP($A1356, 'Medical Examinations'!$A:$A, 'Medical Examinations'!F:F, "No Data")</f>
        <v>No</v>
      </c>
      <c r="H1356" s="28">
        <f t="array" ref="H1356">_xlfn.XLOOKUP($A1356, 'Medical Examinations'!$A:$A, 'Medical Examinations'!G:G, "No Data")</f>
        <v>0</v>
      </c>
      <c r="I1356" s="28" t="str">
        <f t="array" ref="I1356">_xlfn.XLOOKUP($A1356, 'Medical Examinations'!$A:$A, 'Medical Examinations'!H:H, "No Data")</f>
        <v>No</v>
      </c>
      <c r="J1356" s="28" t="str">
        <f t="array" ref="J1356">_xlfn.XLOOKUP($A1356, 'Medical Examinations'!$A:$A, 'Medical Examinations'!I:I, "No Data")</f>
        <v>Obesity</v>
      </c>
      <c r="K1356" s="28" t="str">
        <f t="array" ref="K1356">_xlfn.XLOOKUP($A1356, 'Hospitalisation Details'!$A:$A, 'Hospitalisation Details'!I:I, "No Data")</f>
        <v>tier - 1</v>
      </c>
      <c r="L1356" s="28" t="str">
        <f t="array" ref="L1356">_xlfn.XLOOKUP($A1356, 'Hospitalisation Details'!$A:$A, 'Hospitalisation Details'!J:J, "No Data")</f>
        <v>R1012</v>
      </c>
      <c r="M1356" s="28" t="str">
        <f t="array" ref="M1356">_xlfn.XLOOKUP($A1356, 'Hospitalisation Details'!$A:$A, 'Hospitalisation Details'!E:E, "No Data")</f>
        <v>03/11/89</v>
      </c>
      <c r="N1356" s="28">
        <f t="array" ref="N1356">_xlfn.XLOOKUP($A1356, 'Hospitalisation Details'!$A:$A, 'Hospitalisation Details'!K:K, "No Data")</f>
        <v>33</v>
      </c>
      <c r="O1356" s="33">
        <f t="array" ref="O1356">_xlfn.XLOOKUP($A1356, 'Hospitalisation Details'!$A:$A, 'Hospitalisation Details'!G:G, "No Data")</f>
        <v>8021.11</v>
      </c>
      <c r="P1356" s="28" t="str">
        <f t="array" ref="P1356">_xlfn.XLOOKUP($A1356, 'Hospitalisation Details'!$A:$A, 'Hospitalisation Details'!H:H, "No Data")</f>
        <v>tier - 2</v>
      </c>
    </row>
    <row r="1357">
      <c r="A1357" s="25" t="s">
        <v>4338</v>
      </c>
      <c r="B1357" s="28" t="str">
        <f t="array" ref="B1357">_xlfn.XLOOKUP($A1357, 'Customer Names'!$A:$A, 'Customer Names'!B:B, "No Data")</f>
        <v>Landberg</v>
      </c>
      <c r="C1357" s="28">
        <f t="array" ref="C1357">_xlfn.XLOOKUP($A1357, 'Medical Examinations'!$A:$A, 'Medical Examinations'!B:B, "No Data")</f>
        <v>24.985</v>
      </c>
      <c r="D1357" s="28">
        <f t="array" ref="D1357">_xlfn.XLOOKUP($A1357, 'Medical Examinations'!$A:$A, 'Medical Examinations'!C:C, "No Data")</f>
        <v>4.56</v>
      </c>
      <c r="E1357" s="28" t="str">
        <f t="array" ref="E1357">_xlfn.XLOOKUP($A1357, 'Medical Examinations'!$A:$A, 'Medical Examinations'!D:D, "No Data")</f>
        <v>No</v>
      </c>
      <c r="F1357" s="28" t="str">
        <f t="array" ref="F1357">_xlfn.XLOOKUP($A1357, 'Medical Examinations'!$A:$A, 'Medical Examinations'!E:E, "No Data")</f>
        <v>No</v>
      </c>
      <c r="G1357" s="28" t="str">
        <f t="array" ref="G1357">_xlfn.XLOOKUP($A1357, 'Medical Examinations'!$A:$A, 'Medical Examinations'!F:F, "No Data")</f>
        <v>No</v>
      </c>
      <c r="H1357" s="28">
        <f t="array" ref="H1357">_xlfn.XLOOKUP($A1357, 'Medical Examinations'!$A:$A, 'Medical Examinations'!G:G, "No Data")</f>
        <v>0</v>
      </c>
      <c r="I1357" s="28" t="str">
        <f t="array" ref="I1357">_xlfn.XLOOKUP($A1357, 'Medical Examinations'!$A:$A, 'Medical Examinations'!H:H, "No Data")</f>
        <v>No</v>
      </c>
      <c r="J1357" s="28" t="str">
        <f t="array" ref="J1357">_xlfn.XLOOKUP($A1357, 'Medical Examinations'!$A:$A, 'Medical Examinations'!I:I, "No Data")</f>
        <v>Normal Weight</v>
      </c>
      <c r="K1357" s="28" t="str">
        <f t="array" ref="K1357">_xlfn.XLOOKUP($A1357, 'Hospitalisation Details'!$A:$A, 'Hospitalisation Details'!I:I, "No Data")</f>
        <v>tier - 2</v>
      </c>
      <c r="L1357" s="28" t="str">
        <f t="array" ref="L1357">_xlfn.XLOOKUP($A1357, 'Hospitalisation Details'!$A:$A, 'Hospitalisation Details'!J:J, "No Data")</f>
        <v>R1012</v>
      </c>
      <c r="M1357" s="28" t="str">
        <f t="array" ref="M1357">_xlfn.XLOOKUP($A1357, 'Hospitalisation Details'!$A:$A, 'Hospitalisation Details'!E:E, "No Data")</f>
        <v>08/11/80</v>
      </c>
      <c r="N1357" s="28">
        <f t="array" ref="N1357">_xlfn.XLOOKUP($A1357, 'Hospitalisation Details'!$A:$A, 'Hospitalisation Details'!K:K, "No Data")</f>
        <v>42</v>
      </c>
      <c r="O1357" s="33">
        <f t="array" ref="O1357">_xlfn.XLOOKUP($A1357, 'Hospitalisation Details'!$A:$A, 'Hospitalisation Details'!G:G, "No Data")</f>
        <v>8017.06</v>
      </c>
      <c r="P1357" s="28" t="str">
        <f t="array" ref="P1357">_xlfn.XLOOKUP($A1357, 'Hospitalisation Details'!$A:$A, 'Hospitalisation Details'!H:H, "No Data")</f>
        <v>tier - 2</v>
      </c>
    </row>
    <row r="1358">
      <c r="A1358" s="25" t="s">
        <v>4342</v>
      </c>
      <c r="B1358" s="28" t="str">
        <f t="array" ref="B1358">_xlfn.XLOOKUP($A1358, 'Customer Names'!$A:$A, 'Customer Names'!B:B, "No Data")</f>
        <v>Flynn</v>
      </c>
      <c r="C1358" s="28">
        <f t="array" ref="C1358">_xlfn.XLOOKUP($A1358, 'Medical Examinations'!$A:$A, 'Medical Examinations'!B:B, "No Data")</f>
        <v>39.42</v>
      </c>
      <c r="D1358" s="28">
        <f t="array" ref="D1358">_xlfn.XLOOKUP($A1358, 'Medical Examinations'!$A:$A, 'Medical Examinations'!C:C, "No Data")</f>
        <v>4.72</v>
      </c>
      <c r="E1358" s="28" t="str">
        <f t="array" ref="E1358">_xlfn.XLOOKUP($A1358, 'Medical Examinations'!$A:$A, 'Medical Examinations'!D:D, "No Data")</f>
        <v>yes</v>
      </c>
      <c r="F1358" s="28" t="str">
        <f t="array" ref="F1358">_xlfn.XLOOKUP($A1358, 'Medical Examinations'!$A:$A, 'Medical Examinations'!E:E, "No Data")</f>
        <v>No</v>
      </c>
      <c r="G1358" s="28" t="str">
        <f t="array" ref="G1358">_xlfn.XLOOKUP($A1358, 'Medical Examinations'!$A:$A, 'Medical Examinations'!F:F, "No Data")</f>
        <v>No</v>
      </c>
      <c r="H1358" s="28">
        <f t="array" ref="H1358">_xlfn.XLOOKUP($A1358, 'Medical Examinations'!$A:$A, 'Medical Examinations'!G:G, "No Data")</f>
        <v>1</v>
      </c>
      <c r="I1358" s="28" t="str">
        <f t="array" ref="I1358">_xlfn.XLOOKUP($A1358, 'Medical Examinations'!$A:$A, 'Medical Examinations'!H:H, "No Data")</f>
        <v>No</v>
      </c>
      <c r="J1358" s="28" t="str">
        <f t="array" ref="J1358">_xlfn.XLOOKUP($A1358, 'Medical Examinations'!$A:$A, 'Medical Examinations'!I:I, "No Data")</f>
        <v>Obesity</v>
      </c>
      <c r="K1358" s="28" t="str">
        <f t="array" ref="K1358">_xlfn.XLOOKUP($A1358, 'Hospitalisation Details'!$A:$A, 'Hospitalisation Details'!I:I, "No Data")</f>
        <v>tier - 3</v>
      </c>
      <c r="L1358" s="28" t="str">
        <f t="array" ref="L1358">_xlfn.XLOOKUP($A1358, 'Hospitalisation Details'!$A:$A, 'Hospitalisation Details'!J:J, "No Data")</f>
        <v>R1012</v>
      </c>
      <c r="M1358" s="28" t="str">
        <f t="array" ref="M1358">_xlfn.XLOOKUP($A1358, 'Hospitalisation Details'!$A:$A, 'Hospitalisation Details'!E:E, "No Data")</f>
        <v>18/09/95</v>
      </c>
      <c r="N1358" s="28">
        <f t="array" ref="N1358">_xlfn.XLOOKUP($A1358, 'Hospitalisation Details'!$A:$A, 'Hospitalisation Details'!K:K, "No Data")</f>
        <v>27</v>
      </c>
      <c r="O1358" s="33">
        <f t="array" ref="O1358">_xlfn.XLOOKUP($A1358, 'Hospitalisation Details'!$A:$A, 'Hospitalisation Details'!G:G, "No Data")</f>
        <v>8014.62</v>
      </c>
      <c r="P1358" s="28" t="str">
        <f t="array" ref="P1358">_xlfn.XLOOKUP($A1358, 'Hospitalisation Details'!$A:$A, 'Hospitalisation Details'!H:H, "No Data")</f>
        <v>tier - 2</v>
      </c>
    </row>
    <row r="1359">
      <c r="A1359" s="25" t="s">
        <v>4346</v>
      </c>
      <c r="B1359" s="28" t="str">
        <f t="array" ref="B1359">_xlfn.XLOOKUP($A1359, 'Customer Names'!$A:$A, 'Customer Names'!B:B, "No Data")</f>
        <v>Bishop</v>
      </c>
      <c r="C1359" s="28">
        <f t="array" ref="C1359">_xlfn.XLOOKUP($A1359, 'Medical Examinations'!$A:$A, 'Medical Examinations'!B:B, "No Data")</f>
        <v>16.8</v>
      </c>
      <c r="D1359" s="28">
        <f t="array" ref="D1359">_xlfn.XLOOKUP($A1359, 'Medical Examinations'!$A:$A, 'Medical Examinations'!C:C, "No Data")</f>
        <v>7.98</v>
      </c>
      <c r="E1359" s="28" t="str">
        <f t="array" ref="E1359">_xlfn.XLOOKUP($A1359, 'Medical Examinations'!$A:$A, 'Medical Examinations'!D:D, "No Data")</f>
        <v>No</v>
      </c>
      <c r="F1359" s="28" t="str">
        <f t="array" ref="F1359">_xlfn.XLOOKUP($A1359, 'Medical Examinations'!$A:$A, 'Medical Examinations'!E:E, "No Data")</f>
        <v>No</v>
      </c>
      <c r="G1359" s="28" t="str">
        <f t="array" ref="G1359">_xlfn.XLOOKUP($A1359, 'Medical Examinations'!$A:$A, 'Medical Examinations'!F:F, "No Data")</f>
        <v>No</v>
      </c>
      <c r="H1359" s="28">
        <f t="array" ref="H1359">_xlfn.XLOOKUP($A1359, 'Medical Examinations'!$A:$A, 'Medical Examinations'!G:G, "No Data")</f>
        <v>0</v>
      </c>
      <c r="I1359" s="28" t="str">
        <f t="array" ref="I1359">_xlfn.XLOOKUP($A1359, 'Medical Examinations'!$A:$A, 'Medical Examinations'!H:H, "No Data")</f>
        <v>No</v>
      </c>
      <c r="J1359" s="28" t="str">
        <f t="array" ref="J1359">_xlfn.XLOOKUP($A1359, 'Medical Examinations'!$A:$A, 'Medical Examinations'!I:I, "No Data")</f>
        <v>Underweight</v>
      </c>
      <c r="K1359" s="28" t="str">
        <f t="array" ref="K1359">_xlfn.XLOOKUP($A1359, 'Hospitalisation Details'!$A:$A, 'Hospitalisation Details'!I:I, "No Data")</f>
        <v>tier - 1</v>
      </c>
      <c r="L1359" s="28" t="str">
        <f t="array" ref="L1359">_xlfn.XLOOKUP($A1359, 'Hospitalisation Details'!$A:$A, 'Hospitalisation Details'!J:J, "No Data")</f>
        <v>R1013</v>
      </c>
      <c r="M1359" s="28" t="str">
        <f t="array" ref="M1359">_xlfn.XLOOKUP($A1359, 'Hospitalisation Details'!$A:$A, 'Hospitalisation Details'!E:E, "No Data")</f>
        <v>22/08/62</v>
      </c>
      <c r="N1359" s="28">
        <f t="array" ref="N1359">_xlfn.XLOOKUP($A1359, 'Hospitalisation Details'!$A:$A, 'Hospitalisation Details'!K:K, "No Data")</f>
        <v>60</v>
      </c>
      <c r="O1359" s="33">
        <f t="array" ref="O1359">_xlfn.XLOOKUP($A1359, 'Hospitalisation Details'!$A:$A, 'Hospitalisation Details'!G:G, "No Data")</f>
        <v>8004.96</v>
      </c>
      <c r="P1359" s="28" t="str">
        <f t="array" ref="P1359">_xlfn.XLOOKUP($A1359, 'Hospitalisation Details'!$A:$A, 'Hospitalisation Details'!H:H, "No Data")</f>
        <v>tier - 3</v>
      </c>
    </row>
    <row r="1360">
      <c r="A1360" s="25" t="s">
        <v>4348</v>
      </c>
      <c r="B1360" s="28" t="str">
        <f t="array" ref="B1360">_xlfn.XLOOKUP($A1360, 'Customer Names'!$A:$A, 'Customer Names'!B:B, "No Data")</f>
        <v>Devitt</v>
      </c>
      <c r="C1360" s="28">
        <f t="array" ref="C1360">_xlfn.XLOOKUP($A1360, 'Medical Examinations'!$A:$A, 'Medical Examinations'!B:B, "No Data")</f>
        <v>23.275</v>
      </c>
      <c r="D1360" s="28">
        <f t="array" ref="D1360">_xlfn.XLOOKUP($A1360, 'Medical Examinations'!$A:$A, 'Medical Examinations'!C:C, "No Data")</f>
        <v>6.26</v>
      </c>
      <c r="E1360" s="28" t="str">
        <f t="array" ref="E1360">_xlfn.XLOOKUP($A1360, 'Medical Examinations'!$A:$A, 'Medical Examinations'!D:D, "No Data")</f>
        <v>yes</v>
      </c>
      <c r="F1360" s="28" t="str">
        <f t="array" ref="F1360">_xlfn.XLOOKUP($A1360, 'Medical Examinations'!$A:$A, 'Medical Examinations'!E:E, "No Data")</f>
        <v>No</v>
      </c>
      <c r="G1360" s="28" t="str">
        <f t="array" ref="G1360">_xlfn.XLOOKUP($A1360, 'Medical Examinations'!$A:$A, 'Medical Examinations'!F:F, "No Data")</f>
        <v>Yes</v>
      </c>
      <c r="H1360" s="28">
        <f t="array" ref="H1360">_xlfn.XLOOKUP($A1360, 'Medical Examinations'!$A:$A, 'Medical Examinations'!G:G, "No Data")</f>
        <v>1</v>
      </c>
      <c r="I1360" s="28" t="str">
        <f t="array" ref="I1360">_xlfn.XLOOKUP($A1360, 'Medical Examinations'!$A:$A, 'Medical Examinations'!H:H, "No Data")</f>
        <v>No</v>
      </c>
      <c r="J1360" s="28" t="str">
        <f t="array" ref="J1360">_xlfn.XLOOKUP($A1360, 'Medical Examinations'!$A:$A, 'Medical Examinations'!I:I, "No Data")</f>
        <v>Normal Weight</v>
      </c>
      <c r="K1360" s="28" t="str">
        <f t="array" ref="K1360">_xlfn.XLOOKUP($A1360, 'Hospitalisation Details'!$A:$A, 'Hospitalisation Details'!I:I, "No Data")</f>
        <v>tier - 3</v>
      </c>
      <c r="L1360" s="28" t="str">
        <f t="array" ref="L1360">_xlfn.XLOOKUP($A1360, 'Hospitalisation Details'!$A:$A, 'Hospitalisation Details'!J:J, "No Data")</f>
        <v>R1024</v>
      </c>
      <c r="M1360" s="28" t="str">
        <f t="array" ref="M1360">_xlfn.XLOOKUP($A1360, 'Hospitalisation Details'!$A:$A, 'Hospitalisation Details'!E:E, "No Data")</f>
        <v>20/08/83</v>
      </c>
      <c r="N1360" s="28">
        <f t="array" ref="N1360">_xlfn.XLOOKUP($A1360, 'Hospitalisation Details'!$A:$A, 'Hospitalisation Details'!K:K, "No Data")</f>
        <v>39</v>
      </c>
      <c r="O1360" s="33">
        <f t="array" ref="O1360">_xlfn.XLOOKUP($A1360, 'Hospitalisation Details'!$A:$A, 'Hospitalisation Details'!G:G, "No Data")</f>
        <v>7986.48</v>
      </c>
      <c r="P1360" s="28" t="str">
        <f t="array" ref="P1360">_xlfn.XLOOKUP($A1360, 'Hospitalisation Details'!$A:$A, 'Hospitalisation Details'!H:H, "No Data")</f>
        <v>tier - 2</v>
      </c>
    </row>
    <row r="1361">
      <c r="A1361" s="25" t="s">
        <v>4352</v>
      </c>
      <c r="B1361" s="28" t="str">
        <f t="array" ref="B1361">_xlfn.XLOOKUP($A1361, 'Customer Names'!$A:$A, 'Customer Names'!B:B, "No Data")</f>
        <v>Lynch</v>
      </c>
      <c r="C1361" s="28">
        <f t="array" ref="C1361">_xlfn.XLOOKUP($A1361, 'Medical Examinations'!$A:$A, 'Medical Examinations'!B:B, "No Data")</f>
        <v>22.8</v>
      </c>
      <c r="D1361" s="28">
        <f t="array" ref="D1361">_xlfn.XLOOKUP($A1361, 'Medical Examinations'!$A:$A, 'Medical Examinations'!C:C, "No Data")</f>
        <v>4.29</v>
      </c>
      <c r="E1361" s="28" t="str">
        <f t="array" ref="E1361">_xlfn.XLOOKUP($A1361, 'Medical Examinations'!$A:$A, 'Medical Examinations'!D:D, "No Data")</f>
        <v>yes</v>
      </c>
      <c r="F1361" s="28" t="str">
        <f t="array" ref="F1361">_xlfn.XLOOKUP($A1361, 'Medical Examinations'!$A:$A, 'Medical Examinations'!E:E, "No Data")</f>
        <v>No</v>
      </c>
      <c r="G1361" s="28" t="str">
        <f t="array" ref="G1361">_xlfn.XLOOKUP($A1361, 'Medical Examinations'!$A:$A, 'Medical Examinations'!F:F, "No Data")</f>
        <v>Yes</v>
      </c>
      <c r="H1361" s="28">
        <f t="array" ref="H1361">_xlfn.XLOOKUP($A1361, 'Medical Examinations'!$A:$A, 'Medical Examinations'!G:G, "No Data")</f>
        <v>1</v>
      </c>
      <c r="I1361" s="28" t="str">
        <f t="array" ref="I1361">_xlfn.XLOOKUP($A1361, 'Medical Examinations'!$A:$A, 'Medical Examinations'!H:H, "No Data")</f>
        <v>No</v>
      </c>
      <c r="J1361" s="28" t="str">
        <f t="array" ref="J1361">_xlfn.XLOOKUP($A1361, 'Medical Examinations'!$A:$A, 'Medical Examinations'!I:I, "No Data")</f>
        <v>Normal Weight</v>
      </c>
      <c r="K1361" s="28" t="str">
        <f t="array" ref="K1361">_xlfn.XLOOKUP($A1361, 'Hospitalisation Details'!$A:$A, 'Hospitalisation Details'!I:I, "No Data")</f>
        <v>tier - 1</v>
      </c>
      <c r="L1361" s="28" t="str">
        <f t="array" ref="L1361">_xlfn.XLOOKUP($A1361, 'Hospitalisation Details'!$A:$A, 'Hospitalisation Details'!J:J, "No Data")</f>
        <v>R1024</v>
      </c>
      <c r="M1361" s="28" t="str">
        <f t="array" ref="M1361">_xlfn.XLOOKUP($A1361, 'Hospitalisation Details'!$A:$A, 'Hospitalisation Details'!E:E, "No Data")</f>
        <v>28/08/83</v>
      </c>
      <c r="N1361" s="28">
        <f t="array" ref="N1361">_xlfn.XLOOKUP($A1361, 'Hospitalisation Details'!$A:$A, 'Hospitalisation Details'!K:K, "No Data")</f>
        <v>39</v>
      </c>
      <c r="O1361" s="33">
        <f t="array" ref="O1361">_xlfn.XLOOKUP($A1361, 'Hospitalisation Details'!$A:$A, 'Hospitalisation Details'!G:G, "No Data")</f>
        <v>7985.82</v>
      </c>
      <c r="P1361" s="28" t="str">
        <f t="array" ref="P1361">_xlfn.XLOOKUP($A1361, 'Hospitalisation Details'!$A:$A, 'Hospitalisation Details'!H:H, "No Data")</f>
        <v>tier - 2</v>
      </c>
    </row>
    <row r="1362">
      <c r="A1362" s="25" t="s">
        <v>4355</v>
      </c>
      <c r="B1362" s="28" t="str">
        <f t="array" ref="B1362">_xlfn.XLOOKUP($A1362, 'Customer Names'!$A:$A, 'Customer Names'!B:B, "No Data")</f>
        <v>Tramontano</v>
      </c>
      <c r="C1362" s="28">
        <f t="array" ref="C1362">_xlfn.XLOOKUP($A1362, 'Medical Examinations'!$A:$A, 'Medical Examinations'!B:B, "No Data")</f>
        <v>24.3</v>
      </c>
      <c r="D1362" s="28">
        <f t="array" ref="D1362">_xlfn.XLOOKUP($A1362, 'Medical Examinations'!$A:$A, 'Medical Examinations'!C:C, "No Data")</f>
        <v>5.43</v>
      </c>
      <c r="E1362" s="28" t="str">
        <f t="array" ref="E1362">_xlfn.XLOOKUP($A1362, 'Medical Examinations'!$A:$A, 'Medical Examinations'!D:D, "No Data")</f>
        <v>No</v>
      </c>
      <c r="F1362" s="28" t="str">
        <f t="array" ref="F1362">_xlfn.XLOOKUP($A1362, 'Medical Examinations'!$A:$A, 'Medical Examinations'!E:E, "No Data")</f>
        <v>No</v>
      </c>
      <c r="G1362" s="28" t="str">
        <f t="array" ref="G1362">_xlfn.XLOOKUP($A1362, 'Medical Examinations'!$A:$A, 'Medical Examinations'!F:F, "No Data")</f>
        <v>No</v>
      </c>
      <c r="H1362" s="28">
        <f t="array" ref="H1362">_xlfn.XLOOKUP($A1362, 'Medical Examinations'!$A:$A, 'Medical Examinations'!G:G, "No Data")</f>
        <v>2</v>
      </c>
      <c r="I1362" s="28" t="str">
        <f t="array" ref="I1362">_xlfn.XLOOKUP($A1362, 'Medical Examinations'!$A:$A, 'Medical Examinations'!H:H, "No Data")</f>
        <v>No</v>
      </c>
      <c r="J1362" s="28" t="str">
        <f t="array" ref="J1362">_xlfn.XLOOKUP($A1362, 'Medical Examinations'!$A:$A, 'Medical Examinations'!I:I, "No Data")</f>
        <v>Normal Weight</v>
      </c>
      <c r="K1362" s="28" t="str">
        <f t="array" ref="K1362">_xlfn.XLOOKUP($A1362, 'Hospitalisation Details'!$A:$A, 'Hospitalisation Details'!I:I, "No Data")</f>
        <v>tier - 2</v>
      </c>
      <c r="L1362" s="28" t="str">
        <f t="array" ref="L1362">_xlfn.XLOOKUP($A1362, 'Hospitalisation Details'!$A:$A, 'Hospitalisation Details'!J:J, "No Data")</f>
        <v>R1013</v>
      </c>
      <c r="M1362" s="28" t="str">
        <f t="array" ref="M1362">_xlfn.XLOOKUP($A1362, 'Hospitalisation Details'!$A:$A, 'Hospitalisation Details'!E:E, "No Data")</f>
        <v>23/11/72</v>
      </c>
      <c r="N1362" s="28">
        <f t="array" ref="N1362">_xlfn.XLOOKUP($A1362, 'Hospitalisation Details'!$A:$A, 'Hospitalisation Details'!K:K, "No Data")</f>
        <v>50</v>
      </c>
      <c r="O1362" s="33">
        <f t="array" ref="O1362">_xlfn.XLOOKUP($A1362, 'Hospitalisation Details'!$A:$A, 'Hospitalisation Details'!G:G, "No Data")</f>
        <v>7980.34</v>
      </c>
      <c r="P1362" s="28" t="str">
        <f t="array" ref="P1362">_xlfn.XLOOKUP($A1362, 'Hospitalisation Details'!$A:$A, 'Hospitalisation Details'!H:H, "No Data")</f>
        <v>tier - 2</v>
      </c>
    </row>
    <row r="1363">
      <c r="A1363" s="25" t="s">
        <v>4359</v>
      </c>
      <c r="B1363" s="28" t="str">
        <f t="array" ref="B1363">_xlfn.XLOOKUP($A1363, 'Customer Names'!$A:$A, 'Customer Names'!B:B, "No Data")</f>
        <v>Davidson</v>
      </c>
      <c r="C1363" s="28">
        <f t="array" ref="C1363">_xlfn.XLOOKUP($A1363, 'Medical Examinations'!$A:$A, 'Medical Examinations'!B:B, "No Data")</f>
        <v>25.13</v>
      </c>
      <c r="D1363" s="28">
        <f t="array" ref="D1363">_xlfn.XLOOKUP($A1363, 'Medical Examinations'!$A:$A, 'Medical Examinations'!C:C, "No Data")</f>
        <v>8</v>
      </c>
      <c r="E1363" s="28" t="str">
        <f t="array" ref="E1363">_xlfn.XLOOKUP($A1363, 'Medical Examinations'!$A:$A, 'Medical Examinations'!D:D, "No Data")</f>
        <v>yes</v>
      </c>
      <c r="F1363" s="28" t="str">
        <f t="array" ref="F1363">_xlfn.XLOOKUP($A1363, 'Medical Examinations'!$A:$A, 'Medical Examinations'!E:E, "No Data")</f>
        <v>No</v>
      </c>
      <c r="G1363" s="28" t="str">
        <f t="array" ref="G1363">_xlfn.XLOOKUP($A1363, 'Medical Examinations'!$A:$A, 'Medical Examinations'!F:F, "No Data")</f>
        <v>No</v>
      </c>
      <c r="H1363" s="28">
        <f t="array" ref="H1363">_xlfn.XLOOKUP($A1363, 'Medical Examinations'!$A:$A, 'Medical Examinations'!G:G, "No Data")</f>
        <v>1</v>
      </c>
      <c r="I1363" s="28" t="str">
        <f t="array" ref="I1363">_xlfn.XLOOKUP($A1363, 'Medical Examinations'!$A:$A, 'Medical Examinations'!H:H, "No Data")</f>
        <v>No</v>
      </c>
      <c r="J1363" s="28" t="str">
        <f t="array" ref="J1363">_xlfn.XLOOKUP($A1363, 'Medical Examinations'!$A:$A, 'Medical Examinations'!I:I, "No Data")</f>
        <v>Overweight</v>
      </c>
      <c r="K1363" s="28" t="str">
        <f t="array" ref="K1363">_xlfn.XLOOKUP($A1363, 'Hospitalisation Details'!$A:$A, 'Hospitalisation Details'!I:I, "No Data")</f>
        <v>tier - 2</v>
      </c>
      <c r="L1363" s="28" t="str">
        <f t="array" ref="L1363">_xlfn.XLOOKUP($A1363, 'Hospitalisation Details'!$A:$A, 'Hospitalisation Details'!J:J, "No Data")</f>
        <v>R1013</v>
      </c>
      <c r="M1363" s="28" t="str">
        <f t="array" ref="M1363">_xlfn.XLOOKUP($A1363, 'Hospitalisation Details'!$A:$A, 'Hospitalisation Details'!E:E, "No Data")</f>
        <v>10/08/75</v>
      </c>
      <c r="N1363" s="28">
        <f t="array" ref="N1363">_xlfn.XLOOKUP($A1363, 'Hospitalisation Details'!$A:$A, 'Hospitalisation Details'!K:K, "No Data")</f>
        <v>47</v>
      </c>
      <c r="O1363" s="33">
        <f t="array" ref="O1363">_xlfn.XLOOKUP($A1363, 'Hospitalisation Details'!$A:$A, 'Hospitalisation Details'!G:G, "No Data")</f>
        <v>7966.81</v>
      </c>
      <c r="P1363" s="28" t="str">
        <f t="array" ref="P1363">_xlfn.XLOOKUP($A1363, 'Hospitalisation Details'!$A:$A, 'Hospitalisation Details'!H:H, "No Data")</f>
        <v>tier - 2</v>
      </c>
    </row>
    <row r="1364">
      <c r="A1364" s="25" t="s">
        <v>4362</v>
      </c>
      <c r="B1364" s="28" t="str">
        <f t="array" ref="B1364">_xlfn.XLOOKUP($A1364, 'Customer Names'!$A:$A, 'Customer Names'!B:B, "No Data")</f>
        <v>Burke</v>
      </c>
      <c r="C1364" s="28">
        <f t="array" ref="C1364">_xlfn.XLOOKUP($A1364, 'Medical Examinations'!$A:$A, 'Medical Examinations'!B:B, "No Data")</f>
        <v>22.72</v>
      </c>
      <c r="D1364" s="28">
        <f t="array" ref="D1364">_xlfn.XLOOKUP($A1364, 'Medical Examinations'!$A:$A, 'Medical Examinations'!C:C, "No Data")</f>
        <v>9.96</v>
      </c>
      <c r="E1364" s="28" t="str">
        <f t="array" ref="E1364">_xlfn.XLOOKUP($A1364, 'Medical Examinations'!$A:$A, 'Medical Examinations'!D:D, "No Data")</f>
        <v>yes</v>
      </c>
      <c r="F1364" s="28" t="str">
        <f t="array" ref="F1364">_xlfn.XLOOKUP($A1364, 'Medical Examinations'!$A:$A, 'Medical Examinations'!E:E, "No Data")</f>
        <v>No</v>
      </c>
      <c r="G1364" s="28" t="str">
        <f t="array" ref="G1364">_xlfn.XLOOKUP($A1364, 'Medical Examinations'!$A:$A, 'Medical Examinations'!F:F, "No Data")</f>
        <v>No</v>
      </c>
      <c r="H1364" s="28">
        <f t="array" ref="H1364">_xlfn.XLOOKUP($A1364, 'Medical Examinations'!$A:$A, 'Medical Examinations'!G:G, "No Data")</f>
        <v>2</v>
      </c>
      <c r="I1364" s="28" t="str">
        <f t="array" ref="I1364">_xlfn.XLOOKUP($A1364, 'Medical Examinations'!$A:$A, 'Medical Examinations'!H:H, "No Data")</f>
        <v>No</v>
      </c>
      <c r="J1364" s="28" t="str">
        <f t="array" ref="J1364">_xlfn.XLOOKUP($A1364, 'Medical Examinations'!$A:$A, 'Medical Examinations'!I:I, "No Data")</f>
        <v>Normal Weight</v>
      </c>
      <c r="K1364" s="28" t="str">
        <f t="array" ref="K1364">_xlfn.XLOOKUP($A1364, 'Hospitalisation Details'!$A:$A, 'Hospitalisation Details'!I:I, "No Data")</f>
        <v>tier - 2</v>
      </c>
      <c r="L1364" s="28" t="str">
        <f t="array" ref="L1364">_xlfn.XLOOKUP($A1364, 'Hospitalisation Details'!$A:$A, 'Hospitalisation Details'!J:J, "No Data")</f>
        <v>R1013</v>
      </c>
      <c r="M1364" s="28" t="str">
        <f t="array" ref="M1364">_xlfn.XLOOKUP($A1364, 'Hospitalisation Details'!$A:$A, 'Hospitalisation Details'!E:E, "No Data")</f>
        <v>19/06/70</v>
      </c>
      <c r="N1364" s="28">
        <f t="array" ref="N1364">_xlfn.XLOOKUP($A1364, 'Hospitalisation Details'!$A:$A, 'Hospitalisation Details'!K:K, "No Data")</f>
        <v>52</v>
      </c>
      <c r="O1364" s="33">
        <f t="array" ref="O1364">_xlfn.XLOOKUP($A1364, 'Hospitalisation Details'!$A:$A, 'Hospitalisation Details'!G:G, "No Data")</f>
        <v>7958.13</v>
      </c>
      <c r="P1364" s="28" t="str">
        <f t="array" ref="P1364">_xlfn.XLOOKUP($A1364, 'Hospitalisation Details'!$A:$A, 'Hospitalisation Details'!H:H, "No Data")</f>
        <v>tier - 2</v>
      </c>
    </row>
    <row r="1365">
      <c r="A1365" s="25" t="s">
        <v>4365</v>
      </c>
      <c r="B1365" s="28" t="str">
        <f t="array" ref="B1365">_xlfn.XLOOKUP($A1365, 'Customer Names'!$A:$A, 'Customer Names'!B:B, "No Data")</f>
        <v>McGraw</v>
      </c>
      <c r="C1365" s="28">
        <f t="array" ref="C1365">_xlfn.XLOOKUP($A1365, 'Medical Examinations'!$A:$A, 'Medical Examinations'!B:B, "No Data")</f>
        <v>32.6</v>
      </c>
      <c r="D1365" s="28">
        <f t="array" ref="D1365">_xlfn.XLOOKUP($A1365, 'Medical Examinations'!$A:$A, 'Medical Examinations'!C:C, "No Data")</f>
        <v>6.8</v>
      </c>
      <c r="E1365" s="28" t="str">
        <f t="array" ref="E1365">_xlfn.XLOOKUP($A1365, 'Medical Examinations'!$A:$A, 'Medical Examinations'!D:D, "No Data")</f>
        <v>yes</v>
      </c>
      <c r="F1365" s="28" t="str">
        <f t="array" ref="F1365">_xlfn.XLOOKUP($A1365, 'Medical Examinations'!$A:$A, 'Medical Examinations'!E:E, "No Data")</f>
        <v>No</v>
      </c>
      <c r="G1365" s="28" t="str">
        <f t="array" ref="G1365">_xlfn.XLOOKUP($A1365, 'Medical Examinations'!$A:$A, 'Medical Examinations'!F:F, "No Data")</f>
        <v>No</v>
      </c>
      <c r="H1365" s="28">
        <f t="array" ref="H1365">_xlfn.XLOOKUP($A1365, 'Medical Examinations'!$A:$A, 'Medical Examinations'!G:G, "No Data")</f>
        <v>0</v>
      </c>
      <c r="I1365" s="28" t="str">
        <f t="array" ref="I1365">_xlfn.XLOOKUP($A1365, 'Medical Examinations'!$A:$A, 'Medical Examinations'!H:H, "No Data")</f>
        <v>No</v>
      </c>
      <c r="J1365" s="28" t="str">
        <f t="array" ref="J1365">_xlfn.XLOOKUP($A1365, 'Medical Examinations'!$A:$A, 'Medical Examinations'!I:I, "No Data")</f>
        <v>Obesity</v>
      </c>
      <c r="K1365" s="28" t="str">
        <f t="array" ref="K1365">_xlfn.XLOOKUP($A1365, 'Hospitalisation Details'!$A:$A, 'Hospitalisation Details'!I:I, "No Data")</f>
        <v>tier - 2</v>
      </c>
      <c r="L1365" s="28" t="str">
        <f t="array" ref="L1365">_xlfn.XLOOKUP($A1365, 'Hospitalisation Details'!$A:$A, 'Hospitalisation Details'!J:J, "No Data")</f>
        <v>R1011</v>
      </c>
      <c r="M1365" s="28" t="str">
        <f t="array" ref="M1365">_xlfn.XLOOKUP($A1365, 'Hospitalisation Details'!$A:$A, 'Hospitalisation Details'!E:E, "No Data")</f>
        <v>28/12/81</v>
      </c>
      <c r="N1365" s="28">
        <f t="array" ref="N1365">_xlfn.XLOOKUP($A1365, 'Hospitalisation Details'!$A:$A, 'Hospitalisation Details'!K:K, "No Data")</f>
        <v>41</v>
      </c>
      <c r="O1365" s="33">
        <f t="array" ref="O1365">_xlfn.XLOOKUP($A1365, 'Hospitalisation Details'!$A:$A, 'Hospitalisation Details'!G:G, "No Data")</f>
        <v>7954.52</v>
      </c>
      <c r="P1365" s="28" t="str">
        <f t="array" ref="P1365">_xlfn.XLOOKUP($A1365, 'Hospitalisation Details'!$A:$A, 'Hospitalisation Details'!H:H, "No Data")</f>
        <v>tier - 2</v>
      </c>
    </row>
    <row r="1366">
      <c r="A1366" s="25" t="s">
        <v>4369</v>
      </c>
      <c r="B1366" s="28" t="str">
        <f t="array" ref="B1366">_xlfn.XLOOKUP($A1366, 'Customer Names'!$A:$A, 'Customer Names'!B:B, "No Data")</f>
        <v>Fellure</v>
      </c>
      <c r="C1366" s="28">
        <f t="array" ref="C1366">_xlfn.XLOOKUP($A1366, 'Medical Examinations'!$A:$A, 'Medical Examinations'!B:B, "No Data")</f>
        <v>17.28</v>
      </c>
      <c r="D1366" s="28">
        <f t="array" ref="D1366">_xlfn.XLOOKUP($A1366, 'Medical Examinations'!$A:$A, 'Medical Examinations'!C:C, "No Data")</f>
        <v>6.22</v>
      </c>
      <c r="E1366" s="28" t="str">
        <f t="array" ref="E1366">_xlfn.XLOOKUP($A1366, 'Medical Examinations'!$A:$A, 'Medical Examinations'!D:D, "No Data")</f>
        <v>yes</v>
      </c>
      <c r="F1366" s="28" t="str">
        <f t="array" ref="F1366">_xlfn.XLOOKUP($A1366, 'Medical Examinations'!$A:$A, 'Medical Examinations'!E:E, "No Data")</f>
        <v>No</v>
      </c>
      <c r="G1366" s="28" t="str">
        <f t="array" ref="G1366">_xlfn.XLOOKUP($A1366, 'Medical Examinations'!$A:$A, 'Medical Examinations'!F:F, "No Data")</f>
        <v>No</v>
      </c>
      <c r="H1366" s="28">
        <f t="array" ref="H1366">_xlfn.XLOOKUP($A1366, 'Medical Examinations'!$A:$A, 'Medical Examinations'!G:G, "No Data")</f>
        <v>2</v>
      </c>
      <c r="I1366" s="28" t="str">
        <f t="array" ref="I1366">_xlfn.XLOOKUP($A1366, 'Medical Examinations'!$A:$A, 'Medical Examinations'!H:H, "No Data")</f>
        <v>No</v>
      </c>
      <c r="J1366" s="28" t="str">
        <f t="array" ref="J1366">_xlfn.XLOOKUP($A1366, 'Medical Examinations'!$A:$A, 'Medical Examinations'!I:I, "No Data")</f>
        <v>Underweight</v>
      </c>
      <c r="K1366" s="28" t="str">
        <f t="array" ref="K1366">_xlfn.XLOOKUP($A1366, 'Hospitalisation Details'!$A:$A, 'Hospitalisation Details'!I:I, "No Data")</f>
        <v>tier - 3</v>
      </c>
      <c r="L1366" s="28" t="str">
        <f t="array" ref="L1366">_xlfn.XLOOKUP($A1366, 'Hospitalisation Details'!$A:$A, 'Hospitalisation Details'!J:J, "No Data")</f>
        <v>R1012</v>
      </c>
      <c r="M1366" s="28" t="str">
        <f t="array" ref="M1366">_xlfn.XLOOKUP($A1366, 'Hospitalisation Details'!$A:$A, 'Hospitalisation Details'!E:E, "No Data")</f>
        <v>09/07/66</v>
      </c>
      <c r="N1366" s="28">
        <f t="array" ref="N1366">_xlfn.XLOOKUP($A1366, 'Hospitalisation Details'!$A:$A, 'Hospitalisation Details'!K:K, "No Data")</f>
        <v>56</v>
      </c>
      <c r="O1366" s="33">
        <f t="array" ref="O1366">_xlfn.XLOOKUP($A1366, 'Hospitalisation Details'!$A:$A, 'Hospitalisation Details'!G:G, "No Data")</f>
        <v>7953.72</v>
      </c>
      <c r="P1366" s="28" t="str">
        <f t="array" ref="P1366">_xlfn.XLOOKUP($A1366, 'Hospitalisation Details'!$A:$A, 'Hospitalisation Details'!H:H, "No Data")</f>
        <v>tier - 3</v>
      </c>
    </row>
    <row r="1367">
      <c r="A1367" s="25" t="s">
        <v>4371</v>
      </c>
      <c r="B1367" s="28" t="str">
        <f t="array" ref="B1367">_xlfn.XLOOKUP($A1367, 'Customer Names'!$A:$A, 'Customer Names'!B:B, "No Data")</f>
        <v>Sanford</v>
      </c>
      <c r="C1367" s="28">
        <f t="array" ref="C1367">_xlfn.XLOOKUP($A1367, 'Medical Examinations'!$A:$A, 'Medical Examinations'!B:B, "No Data")</f>
        <v>27.92</v>
      </c>
      <c r="D1367" s="28">
        <f t="array" ref="D1367">_xlfn.XLOOKUP($A1367, 'Medical Examinations'!$A:$A, 'Medical Examinations'!C:C, "No Data")</f>
        <v>5.79</v>
      </c>
      <c r="E1367" s="28" t="str">
        <f t="array" ref="E1367">_xlfn.XLOOKUP($A1367, 'Medical Examinations'!$A:$A, 'Medical Examinations'!D:D, "No Data")</f>
        <v>No</v>
      </c>
      <c r="F1367" s="28" t="str">
        <f t="array" ref="F1367">_xlfn.XLOOKUP($A1367, 'Medical Examinations'!$A:$A, 'Medical Examinations'!E:E, "No Data")</f>
        <v>No</v>
      </c>
      <c r="G1367" s="28" t="str">
        <f t="array" ref="G1367">_xlfn.XLOOKUP($A1367, 'Medical Examinations'!$A:$A, 'Medical Examinations'!F:F, "No Data")</f>
        <v>No</v>
      </c>
      <c r="H1367" s="28">
        <f t="array" ref="H1367">_xlfn.XLOOKUP($A1367, 'Medical Examinations'!$A:$A, 'Medical Examinations'!G:G, "No Data")</f>
        <v>1</v>
      </c>
      <c r="I1367" s="28" t="str">
        <f t="array" ref="I1367">_xlfn.XLOOKUP($A1367, 'Medical Examinations'!$A:$A, 'Medical Examinations'!H:H, "No Data")</f>
        <v>No</v>
      </c>
      <c r="J1367" s="28" t="str">
        <f t="array" ref="J1367">_xlfn.XLOOKUP($A1367, 'Medical Examinations'!$A:$A, 'Medical Examinations'!I:I, "No Data")</f>
        <v>Overweight</v>
      </c>
      <c r="K1367" s="28" t="str">
        <f t="array" ref="K1367">_xlfn.XLOOKUP($A1367, 'Hospitalisation Details'!$A:$A, 'Hospitalisation Details'!I:I, "No Data")</f>
        <v>tier - 3</v>
      </c>
      <c r="L1367" s="28" t="str">
        <f t="array" ref="L1367">_xlfn.XLOOKUP($A1367, 'Hospitalisation Details'!$A:$A, 'Hospitalisation Details'!J:J, "No Data")</f>
        <v>R1025</v>
      </c>
      <c r="M1367" s="28" t="str">
        <f t="array" ref="M1367">_xlfn.XLOOKUP($A1367, 'Hospitalisation Details'!$A:$A, 'Hospitalisation Details'!E:E, "No Data")</f>
        <v>29/10/87</v>
      </c>
      <c r="N1367" s="28">
        <f t="array" ref="N1367">_xlfn.XLOOKUP($A1367, 'Hospitalisation Details'!$A:$A, 'Hospitalisation Details'!K:K, "No Data")</f>
        <v>35</v>
      </c>
      <c r="O1367" s="33">
        <f t="array" ref="O1367">_xlfn.XLOOKUP($A1367, 'Hospitalisation Details'!$A:$A, 'Hospitalisation Details'!G:G, "No Data")</f>
        <v>7948.22</v>
      </c>
      <c r="P1367" s="28" t="str">
        <f t="array" ref="P1367">_xlfn.XLOOKUP($A1367, 'Hospitalisation Details'!$A:$A, 'Hospitalisation Details'!H:H, "No Data")</f>
        <v>tier - 2</v>
      </c>
    </row>
    <row r="1368">
      <c r="A1368" s="25" t="s">
        <v>4375</v>
      </c>
      <c r="B1368" s="28" t="str">
        <f t="array" ref="B1368">_xlfn.XLOOKUP($A1368, 'Customer Names'!$A:$A, 'Customer Names'!B:B, "No Data")</f>
        <v>Wrenn</v>
      </c>
      <c r="C1368" s="28">
        <f t="array" ref="C1368">_xlfn.XLOOKUP($A1368, 'Medical Examinations'!$A:$A, 'Medical Examinations'!B:B, "No Data")</f>
        <v>38.285</v>
      </c>
      <c r="D1368" s="28">
        <f t="array" ref="D1368">_xlfn.XLOOKUP($A1368, 'Medical Examinations'!$A:$A, 'Medical Examinations'!C:C, "No Data")</f>
        <v>5.41</v>
      </c>
      <c r="E1368" s="28" t="str">
        <f t="array" ref="E1368">_xlfn.XLOOKUP($A1368, 'Medical Examinations'!$A:$A, 'Medical Examinations'!D:D, "No Data")</f>
        <v>No</v>
      </c>
      <c r="F1368" s="28" t="str">
        <f t="array" ref="F1368">_xlfn.XLOOKUP($A1368, 'Medical Examinations'!$A:$A, 'Medical Examinations'!E:E, "No Data")</f>
        <v>No</v>
      </c>
      <c r="G1368" s="28" t="str">
        <f t="array" ref="G1368">_xlfn.XLOOKUP($A1368, 'Medical Examinations'!$A:$A, 'Medical Examinations'!F:F, "No Data")</f>
        <v>No</v>
      </c>
      <c r="H1368" s="28">
        <f t="array" ref="H1368">_xlfn.XLOOKUP($A1368, 'Medical Examinations'!$A:$A, 'Medical Examinations'!G:G, "No Data")</f>
        <v>0</v>
      </c>
      <c r="I1368" s="28" t="str">
        <f t="array" ref="I1368">_xlfn.XLOOKUP($A1368, 'Medical Examinations'!$A:$A, 'Medical Examinations'!H:H, "No Data")</f>
        <v>No</v>
      </c>
      <c r="J1368" s="28" t="str">
        <f t="array" ref="J1368">_xlfn.XLOOKUP($A1368, 'Medical Examinations'!$A:$A, 'Medical Examinations'!I:I, "No Data")</f>
        <v>Obesity</v>
      </c>
      <c r="K1368" s="28" t="str">
        <f t="array" ref="K1368">_xlfn.XLOOKUP($A1368, 'Hospitalisation Details'!$A:$A, 'Hospitalisation Details'!I:I, "No Data")</f>
        <v>tier - 1</v>
      </c>
      <c r="L1368" s="28" t="str">
        <f t="array" ref="L1368">_xlfn.XLOOKUP($A1368, 'Hospitalisation Details'!$A:$A, 'Hospitalisation Details'!J:J, "No Data")</f>
        <v>R1024</v>
      </c>
      <c r="M1368" s="28" t="str">
        <f t="array" ref="M1368">_xlfn.XLOOKUP($A1368, 'Hospitalisation Details'!$A:$A, 'Hospitalisation Details'!E:E, "No Data")</f>
        <v>20/07/77</v>
      </c>
      <c r="N1368" s="28">
        <f t="array" ref="N1368">_xlfn.XLOOKUP($A1368, 'Hospitalisation Details'!$A:$A, 'Hospitalisation Details'!K:K, "No Data")</f>
        <v>45</v>
      </c>
      <c r="O1368" s="33">
        <f t="array" ref="O1368">_xlfn.XLOOKUP($A1368, 'Hospitalisation Details'!$A:$A, 'Hospitalisation Details'!G:G, "No Data")</f>
        <v>7935.29</v>
      </c>
      <c r="P1368" s="28" t="str">
        <f t="array" ref="P1368">_xlfn.XLOOKUP($A1368, 'Hospitalisation Details'!$A:$A, 'Hospitalisation Details'!H:H, "No Data")</f>
        <v>tier - 2</v>
      </c>
    </row>
    <row r="1369">
      <c r="A1369" s="25" t="s">
        <v>4378</v>
      </c>
      <c r="B1369" s="28" t="str">
        <f t="array" ref="B1369">_xlfn.XLOOKUP($A1369, 'Customer Names'!$A:$A, 'Customer Names'!B:B, "No Data")</f>
        <v>Lindsey</v>
      </c>
      <c r="C1369" s="28">
        <f t="array" ref="C1369">_xlfn.XLOOKUP($A1369, 'Medical Examinations'!$A:$A, 'Medical Examinations'!B:B, "No Data")</f>
        <v>16.48</v>
      </c>
      <c r="D1369" s="28">
        <f t="array" ref="D1369">_xlfn.XLOOKUP($A1369, 'Medical Examinations'!$A:$A, 'Medical Examinations'!C:C, "No Data")</f>
        <v>11.05</v>
      </c>
      <c r="E1369" s="28" t="str">
        <f t="array" ref="E1369">_xlfn.XLOOKUP($A1369, 'Medical Examinations'!$A:$A, 'Medical Examinations'!D:D, "No Data")</f>
        <v>No</v>
      </c>
      <c r="F1369" s="28" t="str">
        <f t="array" ref="F1369">_xlfn.XLOOKUP($A1369, 'Medical Examinations'!$A:$A, 'Medical Examinations'!E:E, "No Data")</f>
        <v>No</v>
      </c>
      <c r="G1369" s="28" t="str">
        <f t="array" ref="G1369">_xlfn.XLOOKUP($A1369, 'Medical Examinations'!$A:$A, 'Medical Examinations'!F:F, "No Data")</f>
        <v>No</v>
      </c>
      <c r="H1369" s="28">
        <f t="array" ref="H1369">_xlfn.XLOOKUP($A1369, 'Medical Examinations'!$A:$A, 'Medical Examinations'!G:G, "No Data")</f>
        <v>0</v>
      </c>
      <c r="I1369" s="28" t="str">
        <f t="array" ref="I1369">_xlfn.XLOOKUP($A1369, 'Medical Examinations'!$A:$A, 'Medical Examinations'!H:H, "No Data")</f>
        <v>No</v>
      </c>
      <c r="J1369" s="28" t="str">
        <f t="array" ref="J1369">_xlfn.XLOOKUP($A1369, 'Medical Examinations'!$A:$A, 'Medical Examinations'!I:I, "No Data")</f>
        <v>Underweight</v>
      </c>
      <c r="K1369" s="28" t="str">
        <f t="array" ref="K1369">_xlfn.XLOOKUP($A1369, 'Hospitalisation Details'!$A:$A, 'Hospitalisation Details'!I:I, "No Data")</f>
        <v>tier - 2</v>
      </c>
      <c r="L1369" s="28" t="str">
        <f t="array" ref="L1369">_xlfn.XLOOKUP($A1369, 'Hospitalisation Details'!$A:$A, 'Hospitalisation Details'!J:J, "No Data")</f>
        <v>R1013</v>
      </c>
      <c r="M1369" s="28" t="str">
        <f t="array" ref="M1369">_xlfn.XLOOKUP($A1369, 'Hospitalisation Details'!$A:$A, 'Hospitalisation Details'!E:E, "No Data")</f>
        <v>10/10/62</v>
      </c>
      <c r="N1369" s="28">
        <f t="array" ref="N1369">_xlfn.XLOOKUP($A1369, 'Hospitalisation Details'!$A:$A, 'Hospitalisation Details'!K:K, "No Data")</f>
        <v>60</v>
      </c>
      <c r="O1369" s="33">
        <f t="array" ref="O1369">_xlfn.XLOOKUP($A1369, 'Hospitalisation Details'!$A:$A, 'Hospitalisation Details'!G:G, "No Data")</f>
        <v>7896.41</v>
      </c>
      <c r="P1369" s="28" t="str">
        <f t="array" ref="P1369">_xlfn.XLOOKUP($A1369, 'Hospitalisation Details'!$A:$A, 'Hospitalisation Details'!H:H, "No Data")</f>
        <v>tier - 3</v>
      </c>
    </row>
    <row r="1370">
      <c r="A1370" s="25" t="s">
        <v>4380</v>
      </c>
      <c r="B1370" s="28" t="str">
        <f t="array" ref="B1370">_xlfn.XLOOKUP($A1370, 'Customer Names'!$A:$A, 'Customer Names'!B:B, "No Data")</f>
        <v>Krueger</v>
      </c>
      <c r="C1370" s="28">
        <f t="array" ref="C1370">_xlfn.XLOOKUP($A1370, 'Medical Examinations'!$A:$A, 'Medical Examinations'!B:B, "No Data")</f>
        <v>38.57</v>
      </c>
      <c r="D1370" s="28">
        <f t="array" ref="D1370">_xlfn.XLOOKUP($A1370, 'Medical Examinations'!$A:$A, 'Medical Examinations'!C:C, "No Data")</f>
        <v>6.27</v>
      </c>
      <c r="E1370" s="28" t="str">
        <f t="array" ref="E1370">_xlfn.XLOOKUP($A1370, 'Medical Examinations'!$A:$A, 'Medical Examinations'!D:D, "No Data")</f>
        <v>No</v>
      </c>
      <c r="F1370" s="28" t="str">
        <f t="array" ref="F1370">_xlfn.XLOOKUP($A1370, 'Medical Examinations'!$A:$A, 'Medical Examinations'!E:E, "No Data")</f>
        <v>No</v>
      </c>
      <c r="G1370" s="28" t="str">
        <f t="array" ref="G1370">_xlfn.XLOOKUP($A1370, 'Medical Examinations'!$A:$A, 'Medical Examinations'!F:F, "No Data")</f>
        <v>No</v>
      </c>
      <c r="H1370" s="28">
        <f t="array" ref="H1370">_xlfn.XLOOKUP($A1370, 'Medical Examinations'!$A:$A, 'Medical Examinations'!G:G, "No Data")</f>
        <v>0</v>
      </c>
      <c r="I1370" s="28" t="str">
        <f t="array" ref="I1370">_xlfn.XLOOKUP($A1370, 'Medical Examinations'!$A:$A, 'Medical Examinations'!H:H, "No Data")</f>
        <v>No</v>
      </c>
      <c r="J1370" s="28" t="str">
        <f t="array" ref="J1370">_xlfn.XLOOKUP($A1370, 'Medical Examinations'!$A:$A, 'Medical Examinations'!I:I, "No Data")</f>
        <v>Obesity</v>
      </c>
      <c r="K1370" s="28" t="str">
        <f t="array" ref="K1370">_xlfn.XLOOKUP($A1370, 'Hospitalisation Details'!$A:$A, 'Hospitalisation Details'!I:I, "No Data")</f>
        <v>tier - 3</v>
      </c>
      <c r="L1370" s="28" t="str">
        <f t="array" ref="L1370">_xlfn.XLOOKUP($A1370, 'Hospitalisation Details'!$A:$A, 'Hospitalisation Details'!J:J, "No Data")</f>
        <v>R1012</v>
      </c>
      <c r="M1370" s="28" t="str">
        <f t="array" ref="M1370">_xlfn.XLOOKUP($A1370, 'Hospitalisation Details'!$A:$A, 'Hospitalisation Details'!E:E, "No Data")</f>
        <v>17/11/94</v>
      </c>
      <c r="N1370" s="28">
        <f t="array" ref="N1370">_xlfn.XLOOKUP($A1370, 'Hospitalisation Details'!$A:$A, 'Hospitalisation Details'!K:K, "No Data")</f>
        <v>28</v>
      </c>
      <c r="O1370" s="33">
        <f t="array" ref="O1370">_xlfn.XLOOKUP($A1370, 'Hospitalisation Details'!$A:$A, 'Hospitalisation Details'!G:G, "No Data")</f>
        <v>7851.85</v>
      </c>
      <c r="P1370" s="28" t="str">
        <f t="array" ref="P1370">_xlfn.XLOOKUP($A1370, 'Hospitalisation Details'!$A:$A, 'Hospitalisation Details'!H:H, "No Data")</f>
        <v>tier - 2</v>
      </c>
    </row>
    <row r="1371">
      <c r="A1371" s="25" t="s">
        <v>4384</v>
      </c>
      <c r="B1371" s="28" t="str">
        <f t="array" ref="B1371">_xlfn.XLOOKUP($A1371, 'Customer Names'!$A:$A, 'Customer Names'!B:B, "No Data")</f>
        <v>Babler</v>
      </c>
      <c r="C1371" s="28">
        <f t="array" ref="C1371">_xlfn.XLOOKUP($A1371, 'Medical Examinations'!$A:$A, 'Medical Examinations'!B:B, "No Data")</f>
        <v>43.85</v>
      </c>
      <c r="D1371" s="28">
        <f t="array" ref="D1371">_xlfn.XLOOKUP($A1371, 'Medical Examinations'!$A:$A, 'Medical Examinations'!C:C, "No Data")</f>
        <v>4.77</v>
      </c>
      <c r="E1371" s="28" t="str">
        <f t="array" ref="E1371">_xlfn.XLOOKUP($A1371, 'Medical Examinations'!$A:$A, 'Medical Examinations'!D:D, "No Data")</f>
        <v>yes</v>
      </c>
      <c r="F1371" s="28" t="str">
        <f t="array" ref="F1371">_xlfn.XLOOKUP($A1371, 'Medical Examinations'!$A:$A, 'Medical Examinations'!E:E, "No Data")</f>
        <v>No</v>
      </c>
      <c r="G1371" s="28" t="str">
        <f t="array" ref="G1371">_xlfn.XLOOKUP($A1371, 'Medical Examinations'!$A:$A, 'Medical Examinations'!F:F, "No Data")</f>
        <v>No</v>
      </c>
      <c r="H1371" s="28">
        <f t="array" ref="H1371">_xlfn.XLOOKUP($A1371, 'Medical Examinations'!$A:$A, 'Medical Examinations'!G:G, "No Data")</f>
        <v>0</v>
      </c>
      <c r="I1371" s="28" t="str">
        <f t="array" ref="I1371">_xlfn.XLOOKUP($A1371, 'Medical Examinations'!$A:$A, 'Medical Examinations'!H:H, "No Data")</f>
        <v>No</v>
      </c>
      <c r="J1371" s="28" t="str">
        <f t="array" ref="J1371">_xlfn.XLOOKUP($A1371, 'Medical Examinations'!$A:$A, 'Medical Examinations'!I:I, "No Data")</f>
        <v>Obesity</v>
      </c>
      <c r="K1371" s="28" t="str">
        <f t="array" ref="K1371">_xlfn.XLOOKUP($A1371, 'Hospitalisation Details'!$A:$A, 'Hospitalisation Details'!I:I, "No Data")</f>
        <v>tier - 2</v>
      </c>
      <c r="L1371" s="28" t="str">
        <f t="array" ref="L1371">_xlfn.XLOOKUP($A1371, 'Hospitalisation Details'!$A:$A, 'Hospitalisation Details'!J:J, "No Data")</f>
        <v>R1012</v>
      </c>
      <c r="M1371" s="28" t="str">
        <f t="array" ref="M1371">_xlfn.XLOOKUP($A1371, 'Hospitalisation Details'!$A:$A, 'Hospitalisation Details'!E:E, "No Data")</f>
        <v>05/10/01</v>
      </c>
      <c r="N1371" s="28">
        <f t="array" ref="N1371">_xlfn.XLOOKUP($A1371, 'Hospitalisation Details'!$A:$A, 'Hospitalisation Details'!K:K, "No Data")</f>
        <v>21</v>
      </c>
      <c r="O1371" s="33">
        <f t="array" ref="O1371">_xlfn.XLOOKUP($A1371, 'Hospitalisation Details'!$A:$A, 'Hospitalisation Details'!G:G, "No Data")</f>
        <v>7844.8</v>
      </c>
      <c r="P1371" s="28" t="str">
        <f t="array" ref="P1371">_xlfn.XLOOKUP($A1371, 'Hospitalisation Details'!$A:$A, 'Hospitalisation Details'!H:H, "No Data")</f>
        <v>tier - 2</v>
      </c>
    </row>
    <row r="1372">
      <c r="A1372" s="25" t="s">
        <v>4388</v>
      </c>
      <c r="B1372" s="28" t="str">
        <f t="array" ref="B1372">_xlfn.XLOOKUP($A1372, 'Customer Names'!$A:$A, 'Customer Names'!B:B, "No Data")</f>
        <v>Brezenski</v>
      </c>
      <c r="C1372" s="28">
        <f t="array" ref="C1372">_xlfn.XLOOKUP($A1372, 'Medical Examinations'!$A:$A, 'Medical Examinations'!B:B, "No Data")</f>
        <v>30.11</v>
      </c>
      <c r="D1372" s="28">
        <f t="array" ref="D1372">_xlfn.XLOOKUP($A1372, 'Medical Examinations'!$A:$A, 'Medical Examinations'!C:C, "No Data")</f>
        <v>4.08</v>
      </c>
      <c r="E1372" s="28" t="str">
        <f t="array" ref="E1372">_xlfn.XLOOKUP($A1372, 'Medical Examinations'!$A:$A, 'Medical Examinations'!D:D, "No Data")</f>
        <v>No</v>
      </c>
      <c r="F1372" s="28" t="str">
        <f t="array" ref="F1372">_xlfn.XLOOKUP($A1372, 'Medical Examinations'!$A:$A, 'Medical Examinations'!E:E, "No Data")</f>
        <v>No</v>
      </c>
      <c r="G1372" s="28" t="str">
        <f t="array" ref="G1372">_xlfn.XLOOKUP($A1372, 'Medical Examinations'!$A:$A, 'Medical Examinations'!F:F, "No Data")</f>
        <v>No</v>
      </c>
      <c r="H1372" s="28">
        <f t="array" ref="H1372">_xlfn.XLOOKUP($A1372, 'Medical Examinations'!$A:$A, 'Medical Examinations'!G:G, "No Data")</f>
        <v>0</v>
      </c>
      <c r="I1372" s="28" t="str">
        <f t="array" ref="I1372">_xlfn.XLOOKUP($A1372, 'Medical Examinations'!$A:$A, 'Medical Examinations'!H:H, "No Data")</f>
        <v>No</v>
      </c>
      <c r="J1372" s="28" t="str">
        <f t="array" ref="J1372">_xlfn.XLOOKUP($A1372, 'Medical Examinations'!$A:$A, 'Medical Examinations'!I:I, "No Data")</f>
        <v>Obesity</v>
      </c>
      <c r="K1372" s="28" t="str">
        <f t="array" ref="K1372">_xlfn.XLOOKUP($A1372, 'Hospitalisation Details'!$A:$A, 'Hospitalisation Details'!I:I, "No Data")</f>
        <v>tier - 2</v>
      </c>
      <c r="L1372" s="28" t="str">
        <f t="array" ref="L1372">_xlfn.XLOOKUP($A1372, 'Hospitalisation Details'!$A:$A, 'Hospitalisation Details'!J:J, "No Data")</f>
        <v>R1012</v>
      </c>
      <c r="M1372" s="28" t="str">
        <f t="array" ref="M1372">_xlfn.XLOOKUP($A1372, 'Hospitalisation Details'!$A:$A, 'Hospitalisation Details'!E:E, "No Data")</f>
        <v>12/10/89</v>
      </c>
      <c r="N1372" s="28">
        <f t="array" ref="N1372">_xlfn.XLOOKUP($A1372, 'Hospitalisation Details'!$A:$A, 'Hospitalisation Details'!K:K, "No Data")</f>
        <v>33</v>
      </c>
      <c r="O1372" s="33">
        <f t="array" ref="O1372">_xlfn.XLOOKUP($A1372, 'Hospitalisation Details'!$A:$A, 'Hospitalisation Details'!G:G, "No Data")</f>
        <v>7824.37</v>
      </c>
      <c r="P1372" s="28" t="str">
        <f t="array" ref="P1372">_xlfn.XLOOKUP($A1372, 'Hospitalisation Details'!$A:$A, 'Hospitalisation Details'!H:H, "No Data")</f>
        <v>tier - 2</v>
      </c>
    </row>
    <row r="1373">
      <c r="A1373" s="25" t="s">
        <v>4391</v>
      </c>
      <c r="B1373" s="28" t="str">
        <f t="array" ref="B1373">_xlfn.XLOOKUP($A1373, 'Customer Names'!$A:$A, 'Customer Names'!B:B, "No Data")</f>
        <v>Marschner</v>
      </c>
      <c r="C1373" s="28">
        <f t="array" ref="C1373">_xlfn.XLOOKUP($A1373, 'Medical Examinations'!$A:$A, 'Medical Examinations'!B:B, "No Data")</f>
        <v>31.59</v>
      </c>
      <c r="D1373" s="28">
        <f t="array" ref="D1373">_xlfn.XLOOKUP($A1373, 'Medical Examinations'!$A:$A, 'Medical Examinations'!C:C, "No Data")</f>
        <v>6.01</v>
      </c>
      <c r="E1373" s="28" t="str">
        <f t="array" ref="E1373">_xlfn.XLOOKUP($A1373, 'Medical Examinations'!$A:$A, 'Medical Examinations'!D:D, "No Data")</f>
        <v>No</v>
      </c>
      <c r="F1373" s="28" t="str">
        <f t="array" ref="F1373">_xlfn.XLOOKUP($A1373, 'Medical Examinations'!$A:$A, 'Medical Examinations'!E:E, "No Data")</f>
        <v>No</v>
      </c>
      <c r="G1373" s="28" t="str">
        <f t="array" ref="G1373">_xlfn.XLOOKUP($A1373, 'Medical Examinations'!$A:$A, 'Medical Examinations'!F:F, "No Data")</f>
        <v>No</v>
      </c>
      <c r="H1373" s="28">
        <f t="array" ref="H1373">_xlfn.XLOOKUP($A1373, 'Medical Examinations'!$A:$A, 'Medical Examinations'!G:G, "No Data")</f>
        <v>0</v>
      </c>
      <c r="I1373" s="28" t="str">
        <f t="array" ref="I1373">_xlfn.XLOOKUP($A1373, 'Medical Examinations'!$A:$A, 'Medical Examinations'!H:H, "No Data")</f>
        <v>No</v>
      </c>
      <c r="J1373" s="28" t="str">
        <f t="array" ref="J1373">_xlfn.XLOOKUP($A1373, 'Medical Examinations'!$A:$A, 'Medical Examinations'!I:I, "No Data")</f>
        <v>Obesity</v>
      </c>
      <c r="K1373" s="28" t="str">
        <f t="array" ref="K1373">_xlfn.XLOOKUP($A1373, 'Hospitalisation Details'!$A:$A, 'Hospitalisation Details'!I:I, "No Data")</f>
        <v>tier - 1</v>
      </c>
      <c r="L1373" s="28" t="str">
        <f t="array" ref="L1373">_xlfn.XLOOKUP($A1373, 'Hospitalisation Details'!$A:$A, 'Hospitalisation Details'!J:J, "No Data")</f>
        <v>R1012</v>
      </c>
      <c r="M1373" s="28" t="str">
        <f t="array" ref="M1373">_xlfn.XLOOKUP($A1373, 'Hospitalisation Details'!$A:$A, 'Hospitalisation Details'!E:E, "No Data")</f>
        <v>21/12/91</v>
      </c>
      <c r="N1373" s="28">
        <f t="array" ref="N1373">_xlfn.XLOOKUP($A1373, 'Hospitalisation Details'!$A:$A, 'Hospitalisation Details'!K:K, "No Data")</f>
        <v>31</v>
      </c>
      <c r="O1373" s="33">
        <f t="array" ref="O1373">_xlfn.XLOOKUP($A1373, 'Hospitalisation Details'!$A:$A, 'Hospitalisation Details'!G:G, "No Data")</f>
        <v>7812.67</v>
      </c>
      <c r="P1373" s="28" t="str">
        <f t="array" ref="P1373">_xlfn.XLOOKUP($A1373, 'Hospitalisation Details'!$A:$A, 'Hospitalisation Details'!H:H, "No Data")</f>
        <v>tier - 2</v>
      </c>
    </row>
    <row r="1374">
      <c r="A1374" s="25" t="s">
        <v>4395</v>
      </c>
      <c r="B1374" s="28" t="str">
        <f t="array" ref="B1374">_xlfn.XLOOKUP($A1374, 'Customer Names'!$A:$A, 'Customer Names'!B:B, "No Data")</f>
        <v>King</v>
      </c>
      <c r="C1374" s="28">
        <f t="array" ref="C1374">_xlfn.XLOOKUP($A1374, 'Medical Examinations'!$A:$A, 'Medical Examinations'!B:B, "No Data")</f>
        <v>40.15</v>
      </c>
      <c r="D1374" s="28">
        <f t="array" ref="D1374">_xlfn.XLOOKUP($A1374, 'Medical Examinations'!$A:$A, 'Medical Examinations'!C:C, "No Data")</f>
        <v>11.84</v>
      </c>
      <c r="E1374" s="28" t="str">
        <f t="array" ref="E1374">_xlfn.XLOOKUP($A1374, 'Medical Examinations'!$A:$A, 'Medical Examinations'!D:D, "No Data")</f>
        <v>No</v>
      </c>
      <c r="F1374" s="28" t="str">
        <f t="array" ref="F1374">_xlfn.XLOOKUP($A1374, 'Medical Examinations'!$A:$A, 'Medical Examinations'!E:E, "No Data")</f>
        <v>No</v>
      </c>
      <c r="G1374" s="28" t="str">
        <f t="array" ref="G1374">_xlfn.XLOOKUP($A1374, 'Medical Examinations'!$A:$A, 'Medical Examinations'!F:F, "No Data")</f>
        <v>No</v>
      </c>
      <c r="H1374" s="28">
        <f t="array" ref="H1374">_xlfn.XLOOKUP($A1374, 'Medical Examinations'!$A:$A, 'Medical Examinations'!G:G, "No Data")</f>
        <v>0</v>
      </c>
      <c r="I1374" s="28" t="str">
        <f t="array" ref="I1374">_xlfn.XLOOKUP($A1374, 'Medical Examinations'!$A:$A, 'Medical Examinations'!H:H, "No Data")</f>
        <v>No</v>
      </c>
      <c r="J1374" s="28" t="str">
        <f t="array" ref="J1374">_xlfn.XLOOKUP($A1374, 'Medical Examinations'!$A:$A, 'Medical Examinations'!I:I, "No Data")</f>
        <v>Obesity</v>
      </c>
      <c r="K1374" s="28" t="str">
        <f t="array" ref="K1374">_xlfn.XLOOKUP($A1374, 'Hospitalisation Details'!$A:$A, 'Hospitalisation Details'!I:I, "No Data")</f>
        <v>tier - 3</v>
      </c>
      <c r="L1374" s="28" t="str">
        <f t="array" ref="L1374">_xlfn.XLOOKUP($A1374, 'Hospitalisation Details'!$A:$A, 'Hospitalisation Details'!J:J, "No Data")</f>
        <v>R1013</v>
      </c>
      <c r="M1374" s="28" t="str">
        <f t="array" ref="M1374">_xlfn.XLOOKUP($A1374, 'Hospitalisation Details'!$A:$A, 'Hospitalisation Details'!E:E, "No Data")</f>
        <v>09/11/74</v>
      </c>
      <c r="N1374" s="28">
        <f t="array" ref="N1374">_xlfn.XLOOKUP($A1374, 'Hospitalisation Details'!$A:$A, 'Hospitalisation Details'!K:K, "No Data")</f>
        <v>48</v>
      </c>
      <c r="O1374" s="33">
        <f t="array" ref="O1374">_xlfn.XLOOKUP($A1374, 'Hospitalisation Details'!$A:$A, 'Hospitalisation Details'!G:G, "No Data")</f>
        <v>7804.16</v>
      </c>
      <c r="P1374" s="28" t="str">
        <f t="array" ref="P1374">_xlfn.XLOOKUP($A1374, 'Hospitalisation Details'!$A:$A, 'Hospitalisation Details'!H:H, "No Data")</f>
        <v>tier - 2</v>
      </c>
    </row>
    <row r="1375">
      <c r="A1375" s="25" t="s">
        <v>4397</v>
      </c>
      <c r="B1375" s="28" t="str">
        <f t="array" ref="B1375">_xlfn.XLOOKUP($A1375, 'Customer Names'!$A:$A, 'Customer Names'!B:B, "No Data")</f>
        <v>Montez</v>
      </c>
      <c r="C1375" s="28">
        <f t="array" ref="C1375">_xlfn.XLOOKUP($A1375, 'Medical Examinations'!$A:$A, 'Medical Examinations'!B:B, "No Data")</f>
        <v>40.7</v>
      </c>
      <c r="D1375" s="28">
        <f t="array" ref="D1375">_xlfn.XLOOKUP($A1375, 'Medical Examinations'!$A:$A, 'Medical Examinations'!C:C, "No Data")</f>
        <v>6.27</v>
      </c>
      <c r="E1375" s="28" t="str">
        <f t="array" ref="E1375">_xlfn.XLOOKUP($A1375, 'Medical Examinations'!$A:$A, 'Medical Examinations'!D:D, "No Data")</f>
        <v>yes</v>
      </c>
      <c r="F1375" s="28" t="str">
        <f t="array" ref="F1375">_xlfn.XLOOKUP($A1375, 'Medical Examinations'!$A:$A, 'Medical Examinations'!E:E, "No Data")</f>
        <v>No</v>
      </c>
      <c r="G1375" s="28" t="str">
        <f t="array" ref="G1375">_xlfn.XLOOKUP($A1375, 'Medical Examinations'!$A:$A, 'Medical Examinations'!F:F, "No Data")</f>
        <v>Yes</v>
      </c>
      <c r="H1375" s="28">
        <f t="array" ref="H1375">_xlfn.XLOOKUP($A1375, 'Medical Examinations'!$A:$A, 'Medical Examinations'!G:G, "No Data")</f>
        <v>1</v>
      </c>
      <c r="I1375" s="28" t="str">
        <f t="array" ref="I1375">_xlfn.XLOOKUP($A1375, 'Medical Examinations'!$A:$A, 'Medical Examinations'!H:H, "No Data")</f>
        <v>No</v>
      </c>
      <c r="J1375" s="28" t="str">
        <f t="array" ref="J1375">_xlfn.XLOOKUP($A1375, 'Medical Examinations'!$A:$A, 'Medical Examinations'!I:I, "No Data")</f>
        <v>Obesity</v>
      </c>
      <c r="K1375" s="28" t="str">
        <f t="array" ref="K1375">_xlfn.XLOOKUP($A1375, 'Hospitalisation Details'!$A:$A, 'Hospitalisation Details'!I:I, "No Data")</f>
        <v>tier - 3</v>
      </c>
      <c r="L1375" s="28" t="str">
        <f t="array" ref="L1375">_xlfn.XLOOKUP($A1375, 'Hospitalisation Details'!$A:$A, 'Hospitalisation Details'!J:J, "No Data")</f>
        <v>R1012</v>
      </c>
      <c r="M1375" s="28" t="str">
        <f t="array" ref="M1375">_xlfn.XLOOKUP($A1375, 'Hospitalisation Details'!$A:$A, 'Hospitalisation Details'!E:E, "No Data")</f>
        <v>02/12/97</v>
      </c>
      <c r="N1375" s="28">
        <f t="array" ref="N1375">_xlfn.XLOOKUP($A1375, 'Hospitalisation Details'!$A:$A, 'Hospitalisation Details'!K:K, "No Data")</f>
        <v>25</v>
      </c>
      <c r="O1375" s="33">
        <f t="array" ref="O1375">_xlfn.XLOOKUP($A1375, 'Hospitalisation Details'!$A:$A, 'Hospitalisation Details'!G:G, "No Data")</f>
        <v>7803.77</v>
      </c>
      <c r="P1375" s="28" t="str">
        <f t="array" ref="P1375">_xlfn.XLOOKUP($A1375, 'Hospitalisation Details'!$A:$A, 'Hospitalisation Details'!H:H, "No Data")</f>
        <v>tier - 2</v>
      </c>
    </row>
    <row r="1376">
      <c r="A1376" s="25" t="s">
        <v>4401</v>
      </c>
      <c r="B1376" s="28" t="str">
        <f t="array" ref="B1376">_xlfn.XLOOKUP($A1376, 'Customer Names'!$A:$A, 'Customer Names'!B:B, "No Data")</f>
        <v>Campbell</v>
      </c>
      <c r="C1376" s="28">
        <f t="array" ref="C1376">_xlfn.XLOOKUP($A1376, 'Medical Examinations'!$A:$A, 'Medical Examinations'!B:B, "No Data")</f>
        <v>40.76</v>
      </c>
      <c r="D1376" s="28">
        <f t="array" ref="D1376">_xlfn.XLOOKUP($A1376, 'Medical Examinations'!$A:$A, 'Medical Examinations'!C:C, "No Data")</f>
        <v>5.28</v>
      </c>
      <c r="E1376" s="28" t="str">
        <f t="array" ref="E1376">_xlfn.XLOOKUP($A1376, 'Medical Examinations'!$A:$A, 'Medical Examinations'!D:D, "No Data")</f>
        <v>No</v>
      </c>
      <c r="F1376" s="28" t="str">
        <f t="array" ref="F1376">_xlfn.XLOOKUP($A1376, 'Medical Examinations'!$A:$A, 'Medical Examinations'!E:E, "No Data")</f>
        <v>No</v>
      </c>
      <c r="G1376" s="28" t="str">
        <f t="array" ref="G1376">_xlfn.XLOOKUP($A1376, 'Medical Examinations'!$A:$A, 'Medical Examinations'!F:F, "No Data")</f>
        <v>No</v>
      </c>
      <c r="H1376" s="28">
        <f t="array" ref="H1376">_xlfn.XLOOKUP($A1376, 'Medical Examinations'!$A:$A, 'Medical Examinations'!G:G, "No Data")</f>
        <v>0</v>
      </c>
      <c r="I1376" s="28" t="str">
        <f t="array" ref="I1376">_xlfn.XLOOKUP($A1376, 'Medical Examinations'!$A:$A, 'Medical Examinations'!H:H, "No Data")</f>
        <v>No</v>
      </c>
      <c r="J1376" s="28" t="str">
        <f t="array" ref="J1376">_xlfn.XLOOKUP($A1376, 'Medical Examinations'!$A:$A, 'Medical Examinations'!I:I, "No Data")</f>
        <v>Obesity</v>
      </c>
      <c r="K1376" s="28" t="str">
        <f t="array" ref="K1376">_xlfn.XLOOKUP($A1376, 'Hospitalisation Details'!$A:$A, 'Hospitalisation Details'!I:I, "No Data")</f>
        <v>tier - 2</v>
      </c>
      <c r="L1376" s="28" t="str">
        <f t="array" ref="L1376">_xlfn.XLOOKUP($A1376, 'Hospitalisation Details'!$A:$A, 'Hospitalisation Details'!J:J, "No Data")</f>
        <v>R1026</v>
      </c>
      <c r="M1376" s="28" t="str">
        <f t="array" ref="M1376">_xlfn.XLOOKUP($A1376, 'Hospitalisation Details'!$A:$A, 'Hospitalisation Details'!E:E, "No Data")</f>
        <v>25/12/99</v>
      </c>
      <c r="N1376" s="28">
        <f t="array" ref="N1376">_xlfn.XLOOKUP($A1376, 'Hospitalisation Details'!$A:$A, 'Hospitalisation Details'!K:K, "No Data")</f>
        <v>23</v>
      </c>
      <c r="O1376" s="33">
        <f t="array" ref="O1376">_xlfn.XLOOKUP($A1376, 'Hospitalisation Details'!$A:$A, 'Hospitalisation Details'!G:G, "No Data")</f>
        <v>7794.68</v>
      </c>
      <c r="P1376" s="28" t="str">
        <f t="array" ref="P1376">_xlfn.XLOOKUP($A1376, 'Hospitalisation Details'!$A:$A, 'Hospitalisation Details'!H:H, "No Data")</f>
        <v>tier - 2</v>
      </c>
    </row>
    <row r="1377">
      <c r="A1377" s="25" t="s">
        <v>4404</v>
      </c>
      <c r="B1377" s="28" t="str">
        <f t="array" ref="B1377">_xlfn.XLOOKUP($A1377, 'Customer Names'!$A:$A, 'Customer Names'!B:B, "No Data")</f>
        <v>Hurt</v>
      </c>
      <c r="C1377" s="28">
        <f t="array" ref="C1377">_xlfn.XLOOKUP($A1377, 'Medical Examinations'!$A:$A, 'Medical Examinations'!B:B, "No Data")</f>
        <v>29.7</v>
      </c>
      <c r="D1377" s="28">
        <f t="array" ref="D1377">_xlfn.XLOOKUP($A1377, 'Medical Examinations'!$A:$A, 'Medical Examinations'!C:C, "No Data")</f>
        <v>7.03</v>
      </c>
      <c r="E1377" s="28" t="str">
        <f t="array" ref="E1377">_xlfn.XLOOKUP($A1377, 'Medical Examinations'!$A:$A, 'Medical Examinations'!D:D, "No Data")</f>
        <v>No</v>
      </c>
      <c r="F1377" s="28" t="str">
        <f t="array" ref="F1377">_xlfn.XLOOKUP($A1377, 'Medical Examinations'!$A:$A, 'Medical Examinations'!E:E, "No Data")</f>
        <v>No</v>
      </c>
      <c r="G1377" s="28" t="str">
        <f t="array" ref="G1377">_xlfn.XLOOKUP($A1377, 'Medical Examinations'!$A:$A, 'Medical Examinations'!F:F, "No Data")</f>
        <v>No</v>
      </c>
      <c r="H1377" s="28">
        <f t="array" ref="H1377">_xlfn.XLOOKUP($A1377, 'Medical Examinations'!$A:$A, 'Medical Examinations'!G:G, "No Data")</f>
        <v>0</v>
      </c>
      <c r="I1377" s="28" t="str">
        <f t="array" ref="I1377">_xlfn.XLOOKUP($A1377, 'Medical Examinations'!$A:$A, 'Medical Examinations'!H:H, "No Data")</f>
        <v>No</v>
      </c>
      <c r="J1377" s="28" t="str">
        <f t="array" ref="J1377">_xlfn.XLOOKUP($A1377, 'Medical Examinations'!$A:$A, 'Medical Examinations'!I:I, "No Data")</f>
        <v>Overweight</v>
      </c>
      <c r="K1377" s="28" t="str">
        <f t="array" ref="K1377">_xlfn.XLOOKUP($A1377, 'Hospitalisation Details'!$A:$A, 'Hospitalisation Details'!I:I, "No Data")</f>
        <v>tier - 3</v>
      </c>
      <c r="L1377" s="28" t="str">
        <f t="array" ref="L1377">_xlfn.XLOOKUP($A1377, 'Hospitalisation Details'!$A:$A, 'Hospitalisation Details'!J:J, "No Data")</f>
        <v>R1013</v>
      </c>
      <c r="M1377" s="28" t="str">
        <f t="array" ref="M1377">_xlfn.XLOOKUP($A1377, 'Hospitalisation Details'!$A:$A, 'Hospitalisation Details'!E:E, "No Data")</f>
        <v>06/12/74</v>
      </c>
      <c r="N1377" s="28">
        <f t="array" ref="N1377">_xlfn.XLOOKUP($A1377, 'Hospitalisation Details'!$A:$A, 'Hospitalisation Details'!K:K, "No Data")</f>
        <v>48</v>
      </c>
      <c r="O1377" s="33">
        <f t="array" ref="O1377">_xlfn.XLOOKUP($A1377, 'Hospitalisation Details'!$A:$A, 'Hospitalisation Details'!G:G, "No Data")</f>
        <v>7789.64</v>
      </c>
      <c r="P1377" s="28" t="str">
        <f t="array" ref="P1377">_xlfn.XLOOKUP($A1377, 'Hospitalisation Details'!$A:$A, 'Hospitalisation Details'!H:H, "No Data")</f>
        <v>tier - 1</v>
      </c>
    </row>
    <row r="1378">
      <c r="A1378" s="25" t="s">
        <v>4408</v>
      </c>
      <c r="B1378" s="28" t="str">
        <f t="array" ref="B1378">_xlfn.XLOOKUP($A1378, 'Customer Names'!$A:$A, 'Customer Names'!B:B, "No Data")</f>
        <v>Garey</v>
      </c>
      <c r="C1378" s="28">
        <f t="array" ref="C1378">_xlfn.XLOOKUP($A1378, 'Medical Examinations'!$A:$A, 'Medical Examinations'!B:B, "No Data")</f>
        <v>40.58</v>
      </c>
      <c r="D1378" s="28">
        <f t="array" ref="D1378">_xlfn.XLOOKUP($A1378, 'Medical Examinations'!$A:$A, 'Medical Examinations'!C:C, "No Data")</f>
        <v>5.32</v>
      </c>
      <c r="E1378" s="28" t="str">
        <f t="array" ref="E1378">_xlfn.XLOOKUP($A1378, 'Medical Examinations'!$A:$A, 'Medical Examinations'!D:D, "No Data")</f>
        <v>yes</v>
      </c>
      <c r="F1378" s="28" t="str">
        <f t="array" ref="F1378">_xlfn.XLOOKUP($A1378, 'Medical Examinations'!$A:$A, 'Medical Examinations'!E:E, "No Data")</f>
        <v>No</v>
      </c>
      <c r="G1378" s="28" t="str">
        <f t="array" ref="G1378">_xlfn.XLOOKUP($A1378, 'Medical Examinations'!$A:$A, 'Medical Examinations'!F:F, "No Data")</f>
        <v>Yes</v>
      </c>
      <c r="H1378" s="28">
        <f t="array" ref="H1378">_xlfn.XLOOKUP($A1378, 'Medical Examinations'!$A:$A, 'Medical Examinations'!G:G, "No Data")</f>
        <v>1</v>
      </c>
      <c r="I1378" s="28" t="str">
        <f t="array" ref="I1378">_xlfn.XLOOKUP($A1378, 'Medical Examinations'!$A:$A, 'Medical Examinations'!H:H, "No Data")</f>
        <v>No</v>
      </c>
      <c r="J1378" s="28" t="str">
        <f t="array" ref="J1378">_xlfn.XLOOKUP($A1378, 'Medical Examinations'!$A:$A, 'Medical Examinations'!I:I, "No Data")</f>
        <v>Obesity</v>
      </c>
      <c r="K1378" s="28" t="str">
        <f t="array" ref="K1378">_xlfn.XLOOKUP($A1378, 'Hospitalisation Details'!$A:$A, 'Hospitalisation Details'!I:I, "No Data")</f>
        <v>tier - 1</v>
      </c>
      <c r="L1378" s="28" t="str">
        <f t="array" ref="L1378">_xlfn.XLOOKUP($A1378, 'Hospitalisation Details'!$A:$A, 'Hospitalisation Details'!J:J, "No Data")</f>
        <v>R1012</v>
      </c>
      <c r="M1378" s="28" t="str">
        <f t="array" ref="M1378">_xlfn.XLOOKUP($A1378, 'Hospitalisation Details'!$A:$A, 'Hospitalisation Details'!E:E, "No Data")</f>
        <v>21/12/97</v>
      </c>
      <c r="N1378" s="28">
        <f t="array" ref="N1378">_xlfn.XLOOKUP($A1378, 'Hospitalisation Details'!$A:$A, 'Hospitalisation Details'!K:K, "No Data")</f>
        <v>25</v>
      </c>
      <c r="O1378" s="33">
        <f t="array" ref="O1378">_xlfn.XLOOKUP($A1378, 'Hospitalisation Details'!$A:$A, 'Hospitalisation Details'!G:G, "No Data")</f>
        <v>7763.06</v>
      </c>
      <c r="P1378" s="28" t="str">
        <f t="array" ref="P1378">_xlfn.XLOOKUP($A1378, 'Hospitalisation Details'!$A:$A, 'Hospitalisation Details'!H:H, "No Data")</f>
        <v>tier - 2</v>
      </c>
    </row>
    <row r="1379">
      <c r="A1379" s="25" t="s">
        <v>4410</v>
      </c>
      <c r="B1379" s="28" t="str">
        <f t="array" ref="B1379">_xlfn.XLOOKUP($A1379, 'Customer Names'!$A:$A, 'Customer Names'!B:B, "No Data")</f>
        <v>Reddy</v>
      </c>
      <c r="C1379" s="28">
        <f t="array" ref="C1379">_xlfn.XLOOKUP($A1379, 'Medical Examinations'!$A:$A, 'Medical Examinations'!B:B, "No Data")</f>
        <v>33.06</v>
      </c>
      <c r="D1379" s="28">
        <f t="array" ref="D1379">_xlfn.XLOOKUP($A1379, 'Medical Examinations'!$A:$A, 'Medical Examinations'!C:C, "No Data")</f>
        <v>9.59</v>
      </c>
      <c r="E1379" s="28" t="str">
        <f t="array" ref="E1379">_xlfn.XLOOKUP($A1379, 'Medical Examinations'!$A:$A, 'Medical Examinations'!D:D, "No Data")</f>
        <v>yes</v>
      </c>
      <c r="F1379" s="28" t="str">
        <f t="array" ref="F1379">_xlfn.XLOOKUP($A1379, 'Medical Examinations'!$A:$A, 'Medical Examinations'!E:E, "No Data")</f>
        <v>No</v>
      </c>
      <c r="G1379" s="28" t="str">
        <f t="array" ref="G1379">_xlfn.XLOOKUP($A1379, 'Medical Examinations'!$A:$A, 'Medical Examinations'!F:F, "No Data")</f>
        <v>No</v>
      </c>
      <c r="H1379" s="28">
        <f t="array" ref="H1379">_xlfn.XLOOKUP($A1379, 'Medical Examinations'!$A:$A, 'Medical Examinations'!G:G, "No Data")</f>
        <v>0</v>
      </c>
      <c r="I1379" s="28" t="str">
        <f t="array" ref="I1379">_xlfn.XLOOKUP($A1379, 'Medical Examinations'!$A:$A, 'Medical Examinations'!H:H, "No Data")</f>
        <v>No</v>
      </c>
      <c r="J1379" s="28" t="str">
        <f t="array" ref="J1379">_xlfn.XLOOKUP($A1379, 'Medical Examinations'!$A:$A, 'Medical Examinations'!I:I, "No Data")</f>
        <v>Obesity</v>
      </c>
      <c r="K1379" s="28" t="str">
        <f t="array" ref="K1379">_xlfn.XLOOKUP($A1379, 'Hospitalisation Details'!$A:$A, 'Hospitalisation Details'!I:I, "No Data")</f>
        <v>tier - 1</v>
      </c>
      <c r="L1379" s="28" t="str">
        <f t="array" ref="L1379">_xlfn.XLOOKUP($A1379, 'Hospitalisation Details'!$A:$A, 'Hospitalisation Details'!J:J, "No Data")</f>
        <v>R1012</v>
      </c>
      <c r="M1379" s="28" t="str">
        <f t="array" ref="M1379">_xlfn.XLOOKUP($A1379, 'Hospitalisation Details'!$A:$A, 'Hospitalisation Details'!E:E, "No Data")</f>
        <v>30/06/81</v>
      </c>
      <c r="N1379" s="28">
        <f t="array" ref="N1379">_xlfn.XLOOKUP($A1379, 'Hospitalisation Details'!$A:$A, 'Hospitalisation Details'!K:K, "No Data")</f>
        <v>41</v>
      </c>
      <c r="O1379" s="33">
        <f t="array" ref="O1379">_xlfn.XLOOKUP($A1379, 'Hospitalisation Details'!$A:$A, 'Hospitalisation Details'!G:G, "No Data")</f>
        <v>7749.16</v>
      </c>
      <c r="P1379" s="28" t="str">
        <f t="array" ref="P1379">_xlfn.XLOOKUP($A1379, 'Hospitalisation Details'!$A:$A, 'Hospitalisation Details'!H:H, "No Data")</f>
        <v>tier - 2</v>
      </c>
    </row>
    <row r="1380">
      <c r="A1380" s="25" t="s">
        <v>4414</v>
      </c>
      <c r="B1380" s="28" t="str">
        <f t="array" ref="B1380">_xlfn.XLOOKUP($A1380, 'Customer Names'!$A:$A, 'Customer Names'!B:B, "No Data")</f>
        <v>Mueller</v>
      </c>
      <c r="C1380" s="28">
        <f t="array" ref="C1380">_xlfn.XLOOKUP($A1380, 'Medical Examinations'!$A:$A, 'Medical Examinations'!B:B, "No Data")</f>
        <v>26.62</v>
      </c>
      <c r="D1380" s="28">
        <f t="array" ref="D1380">_xlfn.XLOOKUP($A1380, 'Medical Examinations'!$A:$A, 'Medical Examinations'!C:C, "No Data")</f>
        <v>6.15</v>
      </c>
      <c r="E1380" s="28" t="str">
        <f t="array" ref="E1380">_xlfn.XLOOKUP($A1380, 'Medical Examinations'!$A:$A, 'Medical Examinations'!D:D, "No Data")</f>
        <v>yes</v>
      </c>
      <c r="F1380" s="28" t="str">
        <f t="array" ref="F1380">_xlfn.XLOOKUP($A1380, 'Medical Examinations'!$A:$A, 'Medical Examinations'!E:E, "No Data")</f>
        <v>No</v>
      </c>
      <c r="G1380" s="28" t="str">
        <f t="array" ref="G1380">_xlfn.XLOOKUP($A1380, 'Medical Examinations'!$A:$A, 'Medical Examinations'!F:F, "No Data")</f>
        <v>No</v>
      </c>
      <c r="H1380" s="28">
        <f t="array" ref="H1380">_xlfn.XLOOKUP($A1380, 'Medical Examinations'!$A:$A, 'Medical Examinations'!G:G, "No Data")</f>
        <v>0</v>
      </c>
      <c r="I1380" s="28" t="str">
        <f t="array" ref="I1380">_xlfn.XLOOKUP($A1380, 'Medical Examinations'!$A:$A, 'Medical Examinations'!H:H, "No Data")</f>
        <v>No</v>
      </c>
      <c r="J1380" s="28" t="str">
        <f t="array" ref="J1380">_xlfn.XLOOKUP($A1380, 'Medical Examinations'!$A:$A, 'Medical Examinations'!I:I, "No Data")</f>
        <v>Overweight</v>
      </c>
      <c r="K1380" s="28" t="str">
        <f t="array" ref="K1380">_xlfn.XLOOKUP($A1380, 'Hospitalisation Details'!$A:$A, 'Hospitalisation Details'!I:I, "No Data")</f>
        <v>tier - 2</v>
      </c>
      <c r="L1380" s="28" t="str">
        <f t="array" ref="L1380">_xlfn.XLOOKUP($A1380, 'Hospitalisation Details'!$A:$A, 'Hospitalisation Details'!J:J, "No Data")</f>
        <v>R1013</v>
      </c>
      <c r="M1380" s="28" t="str">
        <f t="array" ref="M1380">_xlfn.XLOOKUP($A1380, 'Hospitalisation Details'!$A:$A, 'Hospitalisation Details'!E:E, "No Data")</f>
        <v>12/12/76</v>
      </c>
      <c r="N1380" s="28">
        <f t="array" ref="N1380">_xlfn.XLOOKUP($A1380, 'Hospitalisation Details'!$A:$A, 'Hospitalisation Details'!K:K, "No Data")</f>
        <v>46</v>
      </c>
      <c r="O1380" s="33">
        <f t="array" ref="O1380">_xlfn.XLOOKUP($A1380, 'Hospitalisation Details'!$A:$A, 'Hospitalisation Details'!G:G, "No Data")</f>
        <v>7742.11</v>
      </c>
      <c r="P1380" s="28" t="str">
        <f t="array" ref="P1380">_xlfn.XLOOKUP($A1380, 'Hospitalisation Details'!$A:$A, 'Hospitalisation Details'!H:H, "No Data")</f>
        <v>tier - 3</v>
      </c>
    </row>
    <row r="1381">
      <c r="A1381" s="25" t="s">
        <v>4417</v>
      </c>
      <c r="B1381" s="28" t="str">
        <f t="array" ref="B1381">_xlfn.XLOOKUP($A1381, 'Customer Names'!$A:$A, 'Customer Names'!B:B, "No Data")</f>
        <v>Julia</v>
      </c>
      <c r="C1381" s="28">
        <f t="array" ref="C1381">_xlfn.XLOOKUP($A1381, 'Medical Examinations'!$A:$A, 'Medical Examinations'!B:B, "No Data")</f>
        <v>37.1</v>
      </c>
      <c r="D1381" s="28">
        <f t="array" ref="D1381">_xlfn.XLOOKUP($A1381, 'Medical Examinations'!$A:$A, 'Medical Examinations'!C:C, "No Data")</f>
        <v>11.08</v>
      </c>
      <c r="E1381" s="28" t="str">
        <f t="array" ref="E1381">_xlfn.XLOOKUP($A1381, 'Medical Examinations'!$A:$A, 'Medical Examinations'!D:D, "No Data")</f>
        <v>No</v>
      </c>
      <c r="F1381" s="28" t="str">
        <f t="array" ref="F1381">_xlfn.XLOOKUP($A1381, 'Medical Examinations'!$A:$A, 'Medical Examinations'!E:E, "No Data")</f>
        <v>No</v>
      </c>
      <c r="G1381" s="28" t="str">
        <f t="array" ref="G1381">_xlfn.XLOOKUP($A1381, 'Medical Examinations'!$A:$A, 'Medical Examinations'!F:F, "No Data")</f>
        <v>No</v>
      </c>
      <c r="H1381" s="28">
        <f t="array" ref="H1381">_xlfn.XLOOKUP($A1381, 'Medical Examinations'!$A:$A, 'Medical Examinations'!G:G, "No Data")</f>
        <v>0</v>
      </c>
      <c r="I1381" s="28" t="str">
        <f t="array" ref="I1381">_xlfn.XLOOKUP($A1381, 'Medical Examinations'!$A:$A, 'Medical Examinations'!H:H, "No Data")</f>
        <v>No</v>
      </c>
      <c r="J1381" s="28" t="str">
        <f t="array" ref="J1381">_xlfn.XLOOKUP($A1381, 'Medical Examinations'!$A:$A, 'Medical Examinations'!I:I, "No Data")</f>
        <v>Obesity</v>
      </c>
      <c r="K1381" s="28" t="str">
        <f t="array" ref="K1381">_xlfn.XLOOKUP($A1381, 'Hospitalisation Details'!$A:$A, 'Hospitalisation Details'!I:I, "No Data")</f>
        <v>tier - 1</v>
      </c>
      <c r="L1381" s="28" t="str">
        <f t="array" ref="L1381">_xlfn.XLOOKUP($A1381, 'Hospitalisation Details'!$A:$A, 'Hospitalisation Details'!J:J, "No Data")</f>
        <v>R1011</v>
      </c>
      <c r="M1381" s="28" t="str">
        <f t="array" ref="M1381">_xlfn.XLOOKUP($A1381, 'Hospitalisation Details'!$A:$A, 'Hospitalisation Details'!E:E, "No Data")</f>
        <v>04/09/78</v>
      </c>
      <c r="N1381" s="28">
        <f t="array" ref="N1381">_xlfn.XLOOKUP($A1381, 'Hospitalisation Details'!$A:$A, 'Hospitalisation Details'!K:K, "No Data")</f>
        <v>44</v>
      </c>
      <c r="O1381" s="33">
        <f t="array" ref="O1381">_xlfn.XLOOKUP($A1381, 'Hospitalisation Details'!$A:$A, 'Hospitalisation Details'!G:G, "No Data")</f>
        <v>7740.34</v>
      </c>
      <c r="P1381" s="28" t="str">
        <f t="array" ref="P1381">_xlfn.XLOOKUP($A1381, 'Hospitalisation Details'!$A:$A, 'Hospitalisation Details'!H:H, "No Data")</f>
        <v>tier - 1</v>
      </c>
    </row>
    <row r="1382">
      <c r="A1382" s="25" t="s">
        <v>4419</v>
      </c>
      <c r="B1382" s="28" t="str">
        <f t="array" ref="B1382">_xlfn.XLOOKUP($A1382, 'Customer Names'!$A:$A, 'Customer Names'!B:B, "No Data")</f>
        <v>Uribe</v>
      </c>
      <c r="C1382" s="28">
        <f t="array" ref="C1382">_xlfn.XLOOKUP($A1382, 'Medical Examinations'!$A:$A, 'Medical Examinations'!B:B, "No Data")</f>
        <v>18.28</v>
      </c>
      <c r="D1382" s="28">
        <f t="array" ref="D1382">_xlfn.XLOOKUP($A1382, 'Medical Examinations'!$A:$A, 'Medical Examinations'!C:C, "No Data")</f>
        <v>7.95</v>
      </c>
      <c r="E1382" s="28" t="str">
        <f t="array" ref="E1382">_xlfn.XLOOKUP($A1382, 'Medical Examinations'!$A:$A, 'Medical Examinations'!D:D, "No Data")</f>
        <v>No</v>
      </c>
      <c r="F1382" s="28" t="str">
        <f t="array" ref="F1382">_xlfn.XLOOKUP($A1382, 'Medical Examinations'!$A:$A, 'Medical Examinations'!E:E, "No Data")</f>
        <v>No</v>
      </c>
      <c r="G1382" s="28" t="str">
        <f t="array" ref="G1382">_xlfn.XLOOKUP($A1382, 'Medical Examinations'!$A:$A, 'Medical Examinations'!F:F, "No Data")</f>
        <v>No</v>
      </c>
      <c r="H1382" s="28">
        <f t="array" ref="H1382">_xlfn.XLOOKUP($A1382, 'Medical Examinations'!$A:$A, 'Medical Examinations'!G:G, "No Data")</f>
        <v>0</v>
      </c>
      <c r="I1382" s="28" t="str">
        <f t="array" ref="I1382">_xlfn.XLOOKUP($A1382, 'Medical Examinations'!$A:$A, 'Medical Examinations'!H:H, "No Data")</f>
        <v>No</v>
      </c>
      <c r="J1382" s="28" t="str">
        <f t="array" ref="J1382">_xlfn.XLOOKUP($A1382, 'Medical Examinations'!$A:$A, 'Medical Examinations'!I:I, "No Data")</f>
        <v>Underweight</v>
      </c>
      <c r="K1382" s="28" t="str">
        <f t="array" ref="K1382">_xlfn.XLOOKUP($A1382, 'Hospitalisation Details'!$A:$A, 'Hospitalisation Details'!I:I, "No Data")</f>
        <v>tier - 2</v>
      </c>
      <c r="L1382" s="28" t="str">
        <f t="array" ref="L1382">_xlfn.XLOOKUP($A1382, 'Hospitalisation Details'!$A:$A, 'Hospitalisation Details'!J:J, "No Data")</f>
        <v>R1013</v>
      </c>
      <c r="M1382" s="28" t="str">
        <f t="array" ref="M1382">_xlfn.XLOOKUP($A1382, 'Hospitalisation Details'!$A:$A, 'Hospitalisation Details'!E:E, "No Data")</f>
        <v>18/07/65</v>
      </c>
      <c r="N1382" s="28">
        <f t="array" ref="N1382">_xlfn.XLOOKUP($A1382, 'Hospitalisation Details'!$A:$A, 'Hospitalisation Details'!K:K, "No Data")</f>
        <v>57</v>
      </c>
      <c r="O1382" s="33">
        <f t="array" ref="O1382">_xlfn.XLOOKUP($A1382, 'Hospitalisation Details'!$A:$A, 'Hospitalisation Details'!G:G, "No Data")</f>
        <v>7736.39</v>
      </c>
      <c r="P1382" s="28" t="str">
        <f t="array" ref="P1382">_xlfn.XLOOKUP($A1382, 'Hospitalisation Details'!$A:$A, 'Hospitalisation Details'!H:H, "No Data")</f>
        <v>tier - 3</v>
      </c>
    </row>
    <row r="1383">
      <c r="A1383" s="25" t="s">
        <v>4423</v>
      </c>
      <c r="B1383" s="28" t="str">
        <f t="array" ref="B1383">_xlfn.XLOOKUP($A1383, 'Customer Names'!$A:$A, 'Customer Names'!B:B, "No Data")</f>
        <v>Hand</v>
      </c>
      <c r="C1383" s="28">
        <f t="array" ref="C1383">_xlfn.XLOOKUP($A1383, 'Medical Examinations'!$A:$A, 'Medical Examinations'!B:B, "No Data")</f>
        <v>35.815</v>
      </c>
      <c r="D1383" s="28">
        <f t="array" ref="D1383">_xlfn.XLOOKUP($A1383, 'Medical Examinations'!$A:$A, 'Medical Examinations'!C:C, "No Data")</f>
        <v>6.23</v>
      </c>
      <c r="E1383" s="28" t="str">
        <f t="array" ref="E1383">_xlfn.XLOOKUP($A1383, 'Medical Examinations'!$A:$A, 'Medical Examinations'!D:D, "No Data")</f>
        <v>No</v>
      </c>
      <c r="F1383" s="28" t="str">
        <f t="array" ref="F1383">_xlfn.XLOOKUP($A1383, 'Medical Examinations'!$A:$A, 'Medical Examinations'!E:E, "No Data")</f>
        <v>No</v>
      </c>
      <c r="G1383" s="28" t="str">
        <f t="array" ref="G1383">_xlfn.XLOOKUP($A1383, 'Medical Examinations'!$A:$A, 'Medical Examinations'!F:F, "No Data")</f>
        <v>No</v>
      </c>
      <c r="H1383" s="28">
        <f t="array" ref="H1383">_xlfn.XLOOKUP($A1383, 'Medical Examinations'!$A:$A, 'Medical Examinations'!G:G, "No Data")</f>
        <v>0</v>
      </c>
      <c r="I1383" s="28" t="str">
        <f t="array" ref="I1383">_xlfn.XLOOKUP($A1383, 'Medical Examinations'!$A:$A, 'Medical Examinations'!H:H, "No Data")</f>
        <v>No</v>
      </c>
      <c r="J1383" s="28" t="str">
        <f t="array" ref="J1383">_xlfn.XLOOKUP($A1383, 'Medical Examinations'!$A:$A, 'Medical Examinations'!I:I, "No Data")</f>
        <v>Obesity</v>
      </c>
      <c r="K1383" s="28" t="str">
        <f t="array" ref="K1383">_xlfn.XLOOKUP($A1383, 'Hospitalisation Details'!$A:$A, 'Hospitalisation Details'!I:I, "No Data")</f>
        <v>tier - 3</v>
      </c>
      <c r="L1383" s="28" t="str">
        <f t="array" ref="L1383">_xlfn.XLOOKUP($A1383, 'Hospitalisation Details'!$A:$A, 'Hospitalisation Details'!J:J, "No Data")</f>
        <v>R1012</v>
      </c>
      <c r="M1383" s="28" t="str">
        <f t="array" ref="M1383">_xlfn.XLOOKUP($A1383, 'Hospitalisation Details'!$A:$A, 'Hospitalisation Details'!E:E, "No Data")</f>
        <v>29/08/77</v>
      </c>
      <c r="N1383" s="28">
        <f t="array" ref="N1383">_xlfn.XLOOKUP($A1383, 'Hospitalisation Details'!$A:$A, 'Hospitalisation Details'!K:K, "No Data")</f>
        <v>45</v>
      </c>
      <c r="O1383" s="33">
        <f t="array" ref="O1383">_xlfn.XLOOKUP($A1383, 'Hospitalisation Details'!$A:$A, 'Hospitalisation Details'!G:G, "No Data")</f>
        <v>7731.86</v>
      </c>
      <c r="P1383" s="28" t="str">
        <f t="array" ref="P1383">_xlfn.XLOOKUP($A1383, 'Hospitalisation Details'!$A:$A, 'Hospitalisation Details'!H:H, "No Data")</f>
        <v>tier - 2</v>
      </c>
    </row>
    <row r="1384">
      <c r="A1384" s="25" t="s">
        <v>4426</v>
      </c>
      <c r="B1384" s="28" t="str">
        <f t="array" ref="B1384">_xlfn.XLOOKUP($A1384, 'Customer Names'!$A:$A, 'Customer Names'!B:B, "No Data")</f>
        <v>Petersen</v>
      </c>
      <c r="C1384" s="28">
        <f t="array" ref="C1384">_xlfn.XLOOKUP($A1384, 'Medical Examinations'!$A:$A, 'Medical Examinations'!B:B, "No Data")</f>
        <v>30.69</v>
      </c>
      <c r="D1384" s="28">
        <f t="array" ref="D1384">_xlfn.XLOOKUP($A1384, 'Medical Examinations'!$A:$A, 'Medical Examinations'!C:C, "No Data")</f>
        <v>6.5</v>
      </c>
      <c r="E1384" s="28" t="str">
        <f t="array" ref="E1384">_xlfn.XLOOKUP($A1384, 'Medical Examinations'!$A:$A, 'Medical Examinations'!D:D, "No Data")</f>
        <v>No</v>
      </c>
      <c r="F1384" s="28" t="str">
        <f t="array" ref="F1384">_xlfn.XLOOKUP($A1384, 'Medical Examinations'!$A:$A, 'Medical Examinations'!E:E, "No Data")</f>
        <v>No</v>
      </c>
      <c r="G1384" s="28" t="str">
        <f t="array" ref="G1384">_xlfn.XLOOKUP($A1384, 'Medical Examinations'!$A:$A, 'Medical Examinations'!F:F, "No Data")</f>
        <v>No</v>
      </c>
      <c r="H1384" s="28">
        <f t="array" ref="H1384">_xlfn.XLOOKUP($A1384, 'Medical Examinations'!$A:$A, 'Medical Examinations'!G:G, "No Data")</f>
        <v>0</v>
      </c>
      <c r="I1384" s="28" t="str">
        <f t="array" ref="I1384">_xlfn.XLOOKUP($A1384, 'Medical Examinations'!$A:$A, 'Medical Examinations'!H:H, "No Data")</f>
        <v>No</v>
      </c>
      <c r="J1384" s="28" t="str">
        <f t="array" ref="J1384">_xlfn.XLOOKUP($A1384, 'Medical Examinations'!$A:$A, 'Medical Examinations'!I:I, "No Data")</f>
        <v>Obesity</v>
      </c>
      <c r="K1384" s="28" t="str">
        <f t="array" ref="K1384">_xlfn.XLOOKUP($A1384, 'Hospitalisation Details'!$A:$A, 'Hospitalisation Details'!I:I, "No Data")</f>
        <v>tier - 2</v>
      </c>
      <c r="L1384" s="28" t="str">
        <f t="array" ref="L1384">_xlfn.XLOOKUP($A1384, 'Hospitalisation Details'!$A:$A, 'Hospitalisation Details'!J:J, "No Data")</f>
        <v>R1013</v>
      </c>
      <c r="M1384" s="28" t="str">
        <f t="array" ref="M1384">_xlfn.XLOOKUP($A1384, 'Hospitalisation Details'!$A:$A, 'Hospitalisation Details'!E:E, "No Data")</f>
        <v>04/12/78</v>
      </c>
      <c r="N1384" s="28">
        <f t="array" ref="N1384">_xlfn.XLOOKUP($A1384, 'Hospitalisation Details'!$A:$A, 'Hospitalisation Details'!K:K, "No Data")</f>
        <v>44</v>
      </c>
      <c r="O1384" s="33">
        <f t="array" ref="O1384">_xlfn.XLOOKUP($A1384, 'Hospitalisation Details'!$A:$A, 'Hospitalisation Details'!G:G, "No Data")</f>
        <v>7731.43</v>
      </c>
      <c r="P1384" s="28" t="str">
        <f t="array" ref="P1384">_xlfn.XLOOKUP($A1384, 'Hospitalisation Details'!$A:$A, 'Hospitalisation Details'!H:H, "No Data")</f>
        <v>tier - 3</v>
      </c>
    </row>
    <row r="1385">
      <c r="A1385" s="25" t="s">
        <v>4429</v>
      </c>
      <c r="B1385" s="28" t="str">
        <f t="array" ref="B1385">_xlfn.XLOOKUP($A1385, 'Customer Names'!$A:$A, 'Customer Names'!B:B, "No Data")</f>
        <v>Mac-Thiong</v>
      </c>
      <c r="C1385" s="28">
        <f t="array" ref="C1385">_xlfn.XLOOKUP($A1385, 'Medical Examinations'!$A:$A, 'Medical Examinations'!B:B, "No Data")</f>
        <v>26.125</v>
      </c>
      <c r="D1385" s="28">
        <f t="array" ref="D1385">_xlfn.XLOOKUP($A1385, 'Medical Examinations'!$A:$A, 'Medical Examinations'!C:C, "No Data")</f>
        <v>5.22</v>
      </c>
      <c r="E1385" s="28" t="str">
        <f t="array" ref="E1385">_xlfn.XLOOKUP($A1385, 'Medical Examinations'!$A:$A, 'Medical Examinations'!D:D, "No Data")</f>
        <v>No</v>
      </c>
      <c r="F1385" s="28" t="str">
        <f t="array" ref="F1385">_xlfn.XLOOKUP($A1385, 'Medical Examinations'!$A:$A, 'Medical Examinations'!E:E, "No Data")</f>
        <v>No</v>
      </c>
      <c r="G1385" s="28" t="str">
        <f t="array" ref="G1385">_xlfn.XLOOKUP($A1385, 'Medical Examinations'!$A:$A, 'Medical Examinations'!F:F, "No Data")</f>
        <v>No</v>
      </c>
      <c r="H1385" s="28">
        <f t="array" ref="H1385">_xlfn.XLOOKUP($A1385, 'Medical Examinations'!$A:$A, 'Medical Examinations'!G:G, "No Data")</f>
        <v>0</v>
      </c>
      <c r="I1385" s="28" t="str">
        <f t="array" ref="I1385">_xlfn.XLOOKUP($A1385, 'Medical Examinations'!$A:$A, 'Medical Examinations'!H:H, "No Data")</f>
        <v>No</v>
      </c>
      <c r="J1385" s="28" t="str">
        <f t="array" ref="J1385">_xlfn.XLOOKUP($A1385, 'Medical Examinations'!$A:$A, 'Medical Examinations'!I:I, "No Data")</f>
        <v>Overweight</v>
      </c>
      <c r="K1385" s="28" t="str">
        <f t="array" ref="K1385">_xlfn.XLOOKUP($A1385, 'Hospitalisation Details'!$A:$A, 'Hospitalisation Details'!I:I, "No Data")</f>
        <v>tier - 1</v>
      </c>
      <c r="L1385" s="28" t="str">
        <f t="array" ref="L1385">_xlfn.XLOOKUP($A1385, 'Hospitalisation Details'!$A:$A, 'Hospitalisation Details'!J:J, "No Data")</f>
        <v>R1016</v>
      </c>
      <c r="M1385" s="28" t="str">
        <f t="array" ref="M1385">_xlfn.XLOOKUP($A1385, 'Hospitalisation Details'!$A:$A, 'Hospitalisation Details'!E:E, "No Data")</f>
        <v>10/09/80</v>
      </c>
      <c r="N1385" s="28">
        <f t="array" ref="N1385">_xlfn.XLOOKUP($A1385, 'Hospitalisation Details'!$A:$A, 'Hospitalisation Details'!K:K, "No Data")</f>
        <v>42</v>
      </c>
      <c r="O1385" s="33">
        <f t="array" ref="O1385">_xlfn.XLOOKUP($A1385, 'Hospitalisation Details'!$A:$A, 'Hospitalisation Details'!G:G, "No Data")</f>
        <v>7729.65</v>
      </c>
      <c r="P1385" s="28" t="str">
        <f t="array" ref="P1385">_xlfn.XLOOKUP($A1385, 'Hospitalisation Details'!$A:$A, 'Hospitalisation Details'!H:H, "No Data")</f>
        <v>tier - 3</v>
      </c>
    </row>
    <row r="1386">
      <c r="A1386" s="25" t="s">
        <v>4432</v>
      </c>
      <c r="B1386" s="28" t="str">
        <f t="array" ref="B1386">_xlfn.XLOOKUP($A1386, 'Customer Names'!$A:$A, 'Customer Names'!B:B, "No Data")</f>
        <v>Walker</v>
      </c>
      <c r="C1386" s="28">
        <f t="array" ref="C1386">_xlfn.XLOOKUP($A1386, 'Medical Examinations'!$A:$A, 'Medical Examinations'!B:B, "No Data")</f>
        <v>34.58</v>
      </c>
      <c r="D1386" s="28">
        <f t="array" ref="D1386">_xlfn.XLOOKUP($A1386, 'Medical Examinations'!$A:$A, 'Medical Examinations'!C:C, "No Data")</f>
        <v>6.3</v>
      </c>
      <c r="E1386" s="28" t="str">
        <f t="array" ref="E1386">_xlfn.XLOOKUP($A1386, 'Medical Examinations'!$A:$A, 'Medical Examinations'!D:D, "No Data")</f>
        <v>No</v>
      </c>
      <c r="F1386" s="28" t="str">
        <f t="array" ref="F1386">_xlfn.XLOOKUP($A1386, 'Medical Examinations'!$A:$A, 'Medical Examinations'!E:E, "No Data")</f>
        <v>No</v>
      </c>
      <c r="G1386" s="28" t="str">
        <f t="array" ref="G1386">_xlfn.XLOOKUP($A1386, 'Medical Examinations'!$A:$A, 'Medical Examinations'!F:F, "No Data")</f>
        <v>Yes</v>
      </c>
      <c r="H1386" s="28">
        <f t="array" ref="H1386">_xlfn.XLOOKUP($A1386, 'Medical Examinations'!$A:$A, 'Medical Examinations'!G:G, "No Data")</f>
        <v>1</v>
      </c>
      <c r="I1386" s="28" t="str">
        <f t="array" ref="I1386">_xlfn.XLOOKUP($A1386, 'Medical Examinations'!$A:$A, 'Medical Examinations'!H:H, "No Data")</f>
        <v>No</v>
      </c>
      <c r="J1386" s="28" t="str">
        <f t="array" ref="J1386">_xlfn.XLOOKUP($A1386, 'Medical Examinations'!$A:$A, 'Medical Examinations'!I:I, "No Data")</f>
        <v>Obesity</v>
      </c>
      <c r="K1386" s="28" t="str">
        <f t="array" ref="K1386">_xlfn.XLOOKUP($A1386, 'Hospitalisation Details'!$A:$A, 'Hospitalisation Details'!I:I, "No Data")</f>
        <v>tier - 3</v>
      </c>
      <c r="L1386" s="28" t="str">
        <f t="array" ref="L1386">_xlfn.XLOOKUP($A1386, 'Hospitalisation Details'!$A:$A, 'Hospitalisation Details'!J:J, "No Data")</f>
        <v>R1012</v>
      </c>
      <c r="M1386" s="28" t="str">
        <f t="array" ref="M1386">_xlfn.XLOOKUP($A1386, 'Hospitalisation Details'!$A:$A, 'Hospitalisation Details'!E:E, "No Data")</f>
        <v>02/06/79</v>
      </c>
      <c r="N1386" s="28">
        <f t="array" ref="N1386">_xlfn.XLOOKUP($A1386, 'Hospitalisation Details'!$A:$A, 'Hospitalisation Details'!K:K, "No Data")</f>
        <v>44</v>
      </c>
      <c r="O1386" s="33">
        <f t="array" ref="O1386">_xlfn.XLOOKUP($A1386, 'Hospitalisation Details'!$A:$A, 'Hospitalisation Details'!G:G, "No Data")</f>
        <v>7727.25</v>
      </c>
      <c r="P1386" s="28" t="str">
        <f t="array" ref="P1386">_xlfn.XLOOKUP($A1386, 'Hospitalisation Details'!$A:$A, 'Hospitalisation Details'!H:H, "No Data")</f>
        <v>tier - 2</v>
      </c>
    </row>
    <row r="1387">
      <c r="A1387" s="25" t="s">
        <v>4435</v>
      </c>
      <c r="B1387" s="28" t="str">
        <f t="array" ref="B1387">_xlfn.XLOOKUP($A1387, 'Customer Names'!$A:$A, 'Customer Names'!B:B, "No Data")</f>
        <v>Steidl</v>
      </c>
      <c r="C1387" s="28">
        <f t="array" ref="C1387">_xlfn.XLOOKUP($A1387, 'Medical Examinations'!$A:$A, 'Medical Examinations'!B:B, "No Data")</f>
        <v>27.4</v>
      </c>
      <c r="D1387" s="28">
        <f t="array" ref="D1387">_xlfn.XLOOKUP($A1387, 'Medical Examinations'!$A:$A, 'Medical Examinations'!C:C, "No Data")</f>
        <v>8.84</v>
      </c>
      <c r="E1387" s="28" t="str">
        <f t="array" ref="E1387">_xlfn.XLOOKUP($A1387, 'Medical Examinations'!$A:$A, 'Medical Examinations'!D:D, "No Data")</f>
        <v>No</v>
      </c>
      <c r="F1387" s="28" t="str">
        <f t="array" ref="F1387">_xlfn.XLOOKUP($A1387, 'Medical Examinations'!$A:$A, 'Medical Examinations'!E:E, "No Data")</f>
        <v>No</v>
      </c>
      <c r="G1387" s="28" t="str">
        <f t="array" ref="G1387">_xlfn.XLOOKUP($A1387, 'Medical Examinations'!$A:$A, 'Medical Examinations'!F:F, "No Data")</f>
        <v>No</v>
      </c>
      <c r="H1387" s="28">
        <f t="array" ref="H1387">_xlfn.XLOOKUP($A1387, 'Medical Examinations'!$A:$A, 'Medical Examinations'!G:G, "No Data")</f>
        <v>0</v>
      </c>
      <c r="I1387" s="28" t="str">
        <f t="array" ref="I1387">_xlfn.XLOOKUP($A1387, 'Medical Examinations'!$A:$A, 'Medical Examinations'!H:H, "No Data")</f>
        <v>No</v>
      </c>
      <c r="J1387" s="28" t="str">
        <f t="array" ref="J1387">_xlfn.XLOOKUP($A1387, 'Medical Examinations'!$A:$A, 'Medical Examinations'!I:I, "No Data")</f>
        <v>Overweight</v>
      </c>
      <c r="K1387" s="28" t="str">
        <f t="array" ref="K1387">_xlfn.XLOOKUP($A1387, 'Hospitalisation Details'!$A:$A, 'Hospitalisation Details'!I:I, "No Data")</f>
        <v>tier - 2</v>
      </c>
      <c r="L1387" s="28" t="str">
        <f t="array" ref="L1387">_xlfn.XLOOKUP($A1387, 'Hospitalisation Details'!$A:$A, 'Hospitalisation Details'!J:J, "No Data")</f>
        <v>R1011</v>
      </c>
      <c r="M1387" s="28" t="str">
        <f t="array" ref="M1387">_xlfn.XLOOKUP($A1387, 'Hospitalisation Details'!$A:$A, 'Hospitalisation Details'!E:E, "No Data")</f>
        <v>29/12/78</v>
      </c>
      <c r="N1387" s="28">
        <f t="array" ref="N1387">_xlfn.XLOOKUP($A1387, 'Hospitalisation Details'!$A:$A, 'Hospitalisation Details'!K:K, "No Data")</f>
        <v>44</v>
      </c>
      <c r="O1387" s="33">
        <f t="array" ref="O1387">_xlfn.XLOOKUP($A1387, 'Hospitalisation Details'!$A:$A, 'Hospitalisation Details'!G:G, "No Data")</f>
        <v>7726.85</v>
      </c>
      <c r="P1387" s="28" t="str">
        <f t="array" ref="P1387">_xlfn.XLOOKUP($A1387, 'Hospitalisation Details'!$A:$A, 'Hospitalisation Details'!H:H, "No Data")</f>
        <v>tier - 1</v>
      </c>
    </row>
    <row r="1388">
      <c r="A1388" s="25" t="s">
        <v>4439</v>
      </c>
      <c r="B1388" s="28" t="str">
        <f t="array" ref="B1388">_xlfn.XLOOKUP($A1388, 'Customer Names'!$A:$A, 'Customer Names'!B:B, "No Data")</f>
        <v>Rose</v>
      </c>
      <c r="C1388" s="28">
        <f t="array" ref="C1388">_xlfn.XLOOKUP($A1388, 'Medical Examinations'!$A:$A, 'Medical Examinations'!B:B, "No Data")</f>
        <v>27.53</v>
      </c>
      <c r="D1388" s="28">
        <f t="array" ref="D1388">_xlfn.XLOOKUP($A1388, 'Medical Examinations'!$A:$A, 'Medical Examinations'!C:C, "No Data")</f>
        <v>4.11</v>
      </c>
      <c r="E1388" s="28" t="str">
        <f t="array" ref="E1388">_xlfn.XLOOKUP($A1388, 'Medical Examinations'!$A:$A, 'Medical Examinations'!D:D, "No Data")</f>
        <v>No</v>
      </c>
      <c r="F1388" s="28" t="str">
        <f t="array" ref="F1388">_xlfn.XLOOKUP($A1388, 'Medical Examinations'!$A:$A, 'Medical Examinations'!E:E, "No Data")</f>
        <v>No</v>
      </c>
      <c r="G1388" s="28" t="str">
        <f t="array" ref="G1388">_xlfn.XLOOKUP($A1388, 'Medical Examinations'!$A:$A, 'Medical Examinations'!F:F, "No Data")</f>
        <v>No</v>
      </c>
      <c r="H1388" s="28">
        <f t="array" ref="H1388">_xlfn.XLOOKUP($A1388, 'Medical Examinations'!$A:$A, 'Medical Examinations'!G:G, "No Data")</f>
        <v>1</v>
      </c>
      <c r="I1388" s="28" t="str">
        <f t="array" ref="I1388">_xlfn.XLOOKUP($A1388, 'Medical Examinations'!$A:$A, 'Medical Examinations'!H:H, "No Data")</f>
        <v>No</v>
      </c>
      <c r="J1388" s="28" t="str">
        <f t="array" ref="J1388">_xlfn.XLOOKUP($A1388, 'Medical Examinations'!$A:$A, 'Medical Examinations'!I:I, "No Data")</f>
        <v>Overweight</v>
      </c>
      <c r="K1388" s="28" t="str">
        <f t="array" ref="K1388">_xlfn.XLOOKUP($A1388, 'Hospitalisation Details'!$A:$A, 'Hospitalisation Details'!I:I, "No Data")</f>
        <v>tier - 3</v>
      </c>
      <c r="L1388" s="28" t="str">
        <f t="array" ref="L1388">_xlfn.XLOOKUP($A1388, 'Hospitalisation Details'!$A:$A, 'Hospitalisation Details'!J:J, "No Data")</f>
        <v>R1021</v>
      </c>
      <c r="M1388" s="28" t="str">
        <f t="array" ref="M1388">_xlfn.XLOOKUP($A1388, 'Hospitalisation Details'!$A:$A, 'Hospitalisation Details'!E:E, "No Data")</f>
        <v>12/07/87</v>
      </c>
      <c r="N1388" s="28">
        <f t="array" ref="N1388">_xlfn.XLOOKUP($A1388, 'Hospitalisation Details'!$A:$A, 'Hospitalisation Details'!K:K, "No Data")</f>
        <v>35</v>
      </c>
      <c r="O1388" s="33">
        <f t="array" ref="O1388">_xlfn.XLOOKUP($A1388, 'Hospitalisation Details'!$A:$A, 'Hospitalisation Details'!G:G, "No Data")</f>
        <v>7684.62</v>
      </c>
      <c r="P1388" s="28" t="str">
        <f t="array" ref="P1388">_xlfn.XLOOKUP($A1388, 'Hospitalisation Details'!$A:$A, 'Hospitalisation Details'!H:H, "No Data")</f>
        <v>tier - 2</v>
      </c>
    </row>
    <row r="1389">
      <c r="A1389" s="25" t="s">
        <v>4441</v>
      </c>
      <c r="B1389" s="28" t="str">
        <f t="array" ref="B1389">_xlfn.XLOOKUP($A1389, 'Customer Names'!$A:$A, 'Customer Names'!B:B, "No Data")</f>
        <v>Alderfer</v>
      </c>
      <c r="C1389" s="28">
        <f t="array" ref="C1389">_xlfn.XLOOKUP($A1389, 'Medical Examinations'!$A:$A, 'Medical Examinations'!B:B, "No Data")</f>
        <v>33</v>
      </c>
      <c r="D1389" s="28">
        <f t="array" ref="D1389">_xlfn.XLOOKUP($A1389, 'Medical Examinations'!$A:$A, 'Medical Examinations'!C:C, "No Data")</f>
        <v>4.57</v>
      </c>
      <c r="E1389" s="28" t="str">
        <f t="array" ref="E1389">_xlfn.XLOOKUP($A1389, 'Medical Examinations'!$A:$A, 'Medical Examinations'!D:D, "No Data")</f>
        <v>No</v>
      </c>
      <c r="F1389" s="28" t="str">
        <f t="array" ref="F1389">_xlfn.XLOOKUP($A1389, 'Medical Examinations'!$A:$A, 'Medical Examinations'!E:E, "No Data")</f>
        <v>No</v>
      </c>
      <c r="G1389" s="28" t="str">
        <f t="array" ref="G1389">_xlfn.XLOOKUP($A1389, 'Medical Examinations'!$A:$A, 'Medical Examinations'!F:F, "No Data")</f>
        <v>No</v>
      </c>
      <c r="H1389" s="28">
        <f t="array" ref="H1389">_xlfn.XLOOKUP($A1389, 'Medical Examinations'!$A:$A, 'Medical Examinations'!G:G, "No Data")</f>
        <v>0</v>
      </c>
      <c r="I1389" s="28" t="str">
        <f t="array" ref="I1389">_xlfn.XLOOKUP($A1389, 'Medical Examinations'!$A:$A, 'Medical Examinations'!H:H, "No Data")</f>
        <v>No</v>
      </c>
      <c r="J1389" s="28" t="str">
        <f t="array" ref="J1389">_xlfn.XLOOKUP($A1389, 'Medical Examinations'!$A:$A, 'Medical Examinations'!I:I, "No Data")</f>
        <v>Obesity</v>
      </c>
      <c r="K1389" s="28" t="str">
        <f t="array" ref="K1389">_xlfn.XLOOKUP($A1389, 'Hospitalisation Details'!$A:$A, 'Hospitalisation Details'!I:I, "No Data")</f>
        <v>tier - 1</v>
      </c>
      <c r="L1389" s="28" t="str">
        <f t="array" ref="L1389">_xlfn.XLOOKUP($A1389, 'Hospitalisation Details'!$A:$A, 'Hospitalisation Details'!J:J, "No Data")</f>
        <v>R1013</v>
      </c>
      <c r="M1389" s="28" t="str">
        <f t="array" ref="M1389">_xlfn.XLOOKUP($A1389, 'Hospitalisation Details'!$A:$A, 'Hospitalisation Details'!E:E, "No Data")</f>
        <v>18/12/82</v>
      </c>
      <c r="N1389" s="28">
        <f t="array" ref="N1389">_xlfn.XLOOKUP($A1389, 'Hospitalisation Details'!$A:$A, 'Hospitalisation Details'!K:K, "No Data")</f>
        <v>40</v>
      </c>
      <c r="O1389" s="33">
        <f t="array" ref="O1389">_xlfn.XLOOKUP($A1389, 'Hospitalisation Details'!$A:$A, 'Hospitalisation Details'!G:G, "No Data")</f>
        <v>7682.67</v>
      </c>
      <c r="P1389" s="28" t="str">
        <f t="array" ref="P1389">_xlfn.XLOOKUP($A1389, 'Hospitalisation Details'!$A:$A, 'Hospitalisation Details'!H:H, "No Data")</f>
        <v>tier - 2</v>
      </c>
    </row>
    <row r="1390">
      <c r="A1390" s="25" t="s">
        <v>4445</v>
      </c>
      <c r="B1390" s="28" t="str">
        <f t="array" ref="B1390">_xlfn.XLOOKUP($A1390, 'Customer Names'!$A:$A, 'Customer Names'!B:B, "No Data")</f>
        <v>Ryland</v>
      </c>
      <c r="C1390" s="28">
        <f t="array" ref="C1390">_xlfn.XLOOKUP($A1390, 'Medical Examinations'!$A:$A, 'Medical Examinations'!B:B, "No Data")</f>
        <v>25.78</v>
      </c>
      <c r="D1390" s="28">
        <f t="array" ref="D1390">_xlfn.XLOOKUP($A1390, 'Medical Examinations'!$A:$A, 'Medical Examinations'!C:C, "No Data")</f>
        <v>11.06</v>
      </c>
      <c r="E1390" s="28" t="str">
        <f t="array" ref="E1390">_xlfn.XLOOKUP($A1390, 'Medical Examinations'!$A:$A, 'Medical Examinations'!D:D, "No Data")</f>
        <v>yes</v>
      </c>
      <c r="F1390" s="28" t="str">
        <f t="array" ref="F1390">_xlfn.XLOOKUP($A1390, 'Medical Examinations'!$A:$A, 'Medical Examinations'!E:E, "No Data")</f>
        <v>No</v>
      </c>
      <c r="G1390" s="28" t="str">
        <f t="array" ref="G1390">_xlfn.XLOOKUP($A1390, 'Medical Examinations'!$A:$A, 'Medical Examinations'!F:F, "No Data")</f>
        <v>No</v>
      </c>
      <c r="H1390" s="28">
        <f t="array" ref="H1390">_xlfn.XLOOKUP($A1390, 'Medical Examinations'!$A:$A, 'Medical Examinations'!G:G, "No Data")</f>
        <v>0</v>
      </c>
      <c r="I1390" s="28" t="str">
        <f t="array" ref="I1390">_xlfn.XLOOKUP($A1390, 'Medical Examinations'!$A:$A, 'Medical Examinations'!H:H, "No Data")</f>
        <v>No</v>
      </c>
      <c r="J1390" s="28" t="str">
        <f t="array" ref="J1390">_xlfn.XLOOKUP($A1390, 'Medical Examinations'!$A:$A, 'Medical Examinations'!I:I, "No Data")</f>
        <v>Overweight</v>
      </c>
      <c r="K1390" s="28" t="str">
        <f t="array" ref="K1390">_xlfn.XLOOKUP($A1390, 'Hospitalisation Details'!$A:$A, 'Hospitalisation Details'!I:I, "No Data")</f>
        <v>tier - 2</v>
      </c>
      <c r="L1390" s="28" t="str">
        <f t="array" ref="L1390">_xlfn.XLOOKUP($A1390, 'Hospitalisation Details'!$A:$A, 'Hospitalisation Details'!J:J, "No Data")</f>
        <v>R1020</v>
      </c>
      <c r="M1390" s="28" t="str">
        <f t="array" ref="M1390">_xlfn.XLOOKUP($A1390, 'Hospitalisation Details'!$A:$A, 'Hospitalisation Details'!E:E, "No Data")</f>
        <v>19/12/81</v>
      </c>
      <c r="N1390" s="28">
        <f t="array" ref="N1390">_xlfn.XLOOKUP($A1390, 'Hospitalisation Details'!$A:$A, 'Hospitalisation Details'!K:K, "No Data")</f>
        <v>41</v>
      </c>
      <c r="O1390" s="33">
        <f t="array" ref="O1390">_xlfn.XLOOKUP($A1390, 'Hospitalisation Details'!$A:$A, 'Hospitalisation Details'!G:G, "No Data")</f>
        <v>7681.17</v>
      </c>
      <c r="P1390" s="28" t="str">
        <f t="array" ref="P1390">_xlfn.XLOOKUP($A1390, 'Hospitalisation Details'!$A:$A, 'Hospitalisation Details'!H:H, "No Data")</f>
        <v>tier - 2</v>
      </c>
    </row>
    <row r="1391">
      <c r="A1391" s="25" t="s">
        <v>4447</v>
      </c>
      <c r="B1391" s="28" t="str">
        <f t="array" ref="B1391">_xlfn.XLOOKUP($A1391, 'Customer Names'!$A:$A, 'Customer Names'!B:B, "No Data")</f>
        <v>Bethea</v>
      </c>
      <c r="C1391" s="28">
        <f t="array" ref="C1391">_xlfn.XLOOKUP($A1391, 'Medical Examinations'!$A:$A, 'Medical Examinations'!B:B, "No Data")</f>
        <v>22.66</v>
      </c>
      <c r="D1391" s="28">
        <f t="array" ref="D1391">_xlfn.XLOOKUP($A1391, 'Medical Examinations'!$A:$A, 'Medical Examinations'!C:C, "No Data")</f>
        <v>10.68</v>
      </c>
      <c r="E1391" s="28" t="str">
        <f t="array" ref="E1391">_xlfn.XLOOKUP($A1391, 'Medical Examinations'!$A:$A, 'Medical Examinations'!D:D, "No Data")</f>
        <v>No</v>
      </c>
      <c r="F1391" s="28" t="str">
        <f t="array" ref="F1391">_xlfn.XLOOKUP($A1391, 'Medical Examinations'!$A:$A, 'Medical Examinations'!E:E, "No Data")</f>
        <v>No</v>
      </c>
      <c r="G1391" s="28" t="str">
        <f t="array" ref="G1391">_xlfn.XLOOKUP($A1391, 'Medical Examinations'!$A:$A, 'Medical Examinations'!F:F, "No Data")</f>
        <v>No</v>
      </c>
      <c r="H1391" s="28">
        <f t="array" ref="H1391">_xlfn.XLOOKUP($A1391, 'Medical Examinations'!$A:$A, 'Medical Examinations'!G:G, "No Data")</f>
        <v>0</v>
      </c>
      <c r="I1391" s="28" t="str">
        <f t="array" ref="I1391">_xlfn.XLOOKUP($A1391, 'Medical Examinations'!$A:$A, 'Medical Examinations'!H:H, "No Data")</f>
        <v>No</v>
      </c>
      <c r="J1391" s="28" t="str">
        <f t="array" ref="J1391">_xlfn.XLOOKUP($A1391, 'Medical Examinations'!$A:$A, 'Medical Examinations'!I:I, "No Data")</f>
        <v>Normal Weight</v>
      </c>
      <c r="K1391" s="28" t="str">
        <f t="array" ref="K1391">_xlfn.XLOOKUP($A1391, 'Hospitalisation Details'!$A:$A, 'Hospitalisation Details'!I:I, "No Data")</f>
        <v>tier - 1</v>
      </c>
      <c r="L1391" s="28" t="str">
        <f t="array" ref="L1391">_xlfn.XLOOKUP($A1391, 'Hospitalisation Details'!$A:$A, 'Hospitalisation Details'!J:J, "No Data")</f>
        <v>R1013</v>
      </c>
      <c r="M1391" s="28" t="str">
        <f t="array" ref="M1391">_xlfn.XLOOKUP($A1391, 'Hospitalisation Details'!$A:$A, 'Hospitalisation Details'!E:E, "No Data")</f>
        <v>11/10/71</v>
      </c>
      <c r="N1391" s="28">
        <f t="array" ref="N1391">_xlfn.XLOOKUP($A1391, 'Hospitalisation Details'!$A:$A, 'Hospitalisation Details'!K:K, "No Data")</f>
        <v>51</v>
      </c>
      <c r="O1391" s="33">
        <f t="array" ref="O1391">_xlfn.XLOOKUP($A1391, 'Hospitalisation Details'!$A:$A, 'Hospitalisation Details'!G:G, "No Data")</f>
        <v>7680.92</v>
      </c>
      <c r="P1391" s="28" t="str">
        <f t="array" ref="P1391">_xlfn.XLOOKUP($A1391, 'Hospitalisation Details'!$A:$A, 'Hospitalisation Details'!H:H, "No Data")</f>
        <v>tier - 2</v>
      </c>
    </row>
    <row r="1392">
      <c r="A1392" s="25" t="s">
        <v>4450</v>
      </c>
      <c r="B1392" s="28" t="str">
        <f t="array" ref="B1392">_xlfn.XLOOKUP($A1392, 'Customer Names'!$A:$A, 'Customer Names'!B:B, "No Data")</f>
        <v>Kelly</v>
      </c>
      <c r="C1392" s="28">
        <f t="array" ref="C1392">_xlfn.XLOOKUP($A1392, 'Medical Examinations'!$A:$A, 'Medical Examinations'!B:B, "No Data")</f>
        <v>38.81</v>
      </c>
      <c r="D1392" s="28">
        <f t="array" ref="D1392">_xlfn.XLOOKUP($A1392, 'Medical Examinations'!$A:$A, 'Medical Examinations'!C:C, "No Data")</f>
        <v>6.14</v>
      </c>
      <c r="E1392" s="28" t="str">
        <f t="array" ref="E1392">_xlfn.XLOOKUP($A1392, 'Medical Examinations'!$A:$A, 'Medical Examinations'!D:D, "No Data")</f>
        <v>yes</v>
      </c>
      <c r="F1392" s="28" t="str">
        <f t="array" ref="F1392">_xlfn.XLOOKUP($A1392, 'Medical Examinations'!$A:$A, 'Medical Examinations'!E:E, "No Data")</f>
        <v>No</v>
      </c>
      <c r="G1392" s="28" t="str">
        <f t="array" ref="G1392">_xlfn.XLOOKUP($A1392, 'Medical Examinations'!$A:$A, 'Medical Examinations'!F:F, "No Data")</f>
        <v>No</v>
      </c>
      <c r="H1392" s="28">
        <f t="array" ref="H1392">_xlfn.XLOOKUP($A1392, 'Medical Examinations'!$A:$A, 'Medical Examinations'!G:G, "No Data")</f>
        <v>1</v>
      </c>
      <c r="I1392" s="28" t="str">
        <f t="array" ref="I1392">_xlfn.XLOOKUP($A1392, 'Medical Examinations'!$A:$A, 'Medical Examinations'!H:H, "No Data")</f>
        <v>No</v>
      </c>
      <c r="J1392" s="28" t="str">
        <f t="array" ref="J1392">_xlfn.XLOOKUP($A1392, 'Medical Examinations'!$A:$A, 'Medical Examinations'!I:I, "No Data")</f>
        <v>Obesity</v>
      </c>
      <c r="K1392" s="28" t="str">
        <f t="array" ref="K1392">_xlfn.XLOOKUP($A1392, 'Hospitalisation Details'!$A:$A, 'Hospitalisation Details'!I:I, "No Data")</f>
        <v>tier - 1</v>
      </c>
      <c r="L1392" s="28" t="str">
        <f t="array" ref="L1392">_xlfn.XLOOKUP($A1392, 'Hospitalisation Details'!$A:$A, 'Hospitalisation Details'!J:J, "No Data")</f>
        <v>R1012</v>
      </c>
      <c r="M1392" s="28" t="str">
        <f t="array" ref="M1392">_xlfn.XLOOKUP($A1392, 'Hospitalisation Details'!$A:$A, 'Hospitalisation Details'!E:E, "No Data")</f>
        <v>13/09/95</v>
      </c>
      <c r="N1392" s="28">
        <f t="array" ref="N1392">_xlfn.XLOOKUP($A1392, 'Hospitalisation Details'!$A:$A, 'Hospitalisation Details'!K:K, "No Data")</f>
        <v>27</v>
      </c>
      <c r="O1392" s="33">
        <f t="array" ref="O1392">_xlfn.XLOOKUP($A1392, 'Hospitalisation Details'!$A:$A, 'Hospitalisation Details'!G:G, "No Data")</f>
        <v>7676.4</v>
      </c>
      <c r="P1392" s="28" t="str">
        <f t="array" ref="P1392">_xlfn.XLOOKUP($A1392, 'Hospitalisation Details'!$A:$A, 'Hospitalisation Details'!H:H, "No Data")</f>
        <v>tier - 2</v>
      </c>
    </row>
    <row r="1393">
      <c r="A1393" s="25" t="s">
        <v>4452</v>
      </c>
      <c r="B1393" s="28" t="str">
        <f t="array" ref="B1393">_xlfn.XLOOKUP($A1393, 'Customer Names'!$A:$A, 'Customer Names'!B:B, "No Data")</f>
        <v>Blois</v>
      </c>
      <c r="C1393" s="28">
        <f t="array" ref="C1393">_xlfn.XLOOKUP($A1393, 'Medical Examinations'!$A:$A, 'Medical Examinations'!B:B, "No Data")</f>
        <v>38.51</v>
      </c>
      <c r="D1393" s="28">
        <f t="array" ref="D1393">_xlfn.XLOOKUP($A1393, 'Medical Examinations'!$A:$A, 'Medical Examinations'!C:C, "No Data")</f>
        <v>5.45</v>
      </c>
      <c r="E1393" s="28" t="str">
        <f t="array" ref="E1393">_xlfn.XLOOKUP($A1393, 'Medical Examinations'!$A:$A, 'Medical Examinations'!D:D, "No Data")</f>
        <v>yes</v>
      </c>
      <c r="F1393" s="28" t="str">
        <f t="array" ref="F1393">_xlfn.XLOOKUP($A1393, 'Medical Examinations'!$A:$A, 'Medical Examinations'!E:E, "No Data")</f>
        <v>No</v>
      </c>
      <c r="G1393" s="28" t="str">
        <f t="array" ref="G1393">_xlfn.XLOOKUP($A1393, 'Medical Examinations'!$A:$A, 'Medical Examinations'!F:F, "No Data")</f>
        <v>No</v>
      </c>
      <c r="H1393" s="28">
        <f t="array" ref="H1393">_xlfn.XLOOKUP($A1393, 'Medical Examinations'!$A:$A, 'Medical Examinations'!G:G, "No Data")</f>
        <v>0</v>
      </c>
      <c r="I1393" s="28" t="str">
        <f t="array" ref="I1393">_xlfn.XLOOKUP($A1393, 'Medical Examinations'!$A:$A, 'Medical Examinations'!H:H, "No Data")</f>
        <v>No</v>
      </c>
      <c r="J1393" s="28" t="str">
        <f t="array" ref="J1393">_xlfn.XLOOKUP($A1393, 'Medical Examinations'!$A:$A, 'Medical Examinations'!I:I, "No Data")</f>
        <v>Obesity</v>
      </c>
      <c r="K1393" s="28" t="str">
        <f t="array" ref="K1393">_xlfn.XLOOKUP($A1393, 'Hospitalisation Details'!$A:$A, 'Hospitalisation Details'!I:I, "No Data")</f>
        <v>tier - 2</v>
      </c>
      <c r="L1393" s="28" t="str">
        <f t="array" ref="L1393">_xlfn.XLOOKUP($A1393, 'Hospitalisation Details'!$A:$A, 'Hospitalisation Details'!J:J, "No Data")</f>
        <v>R1022</v>
      </c>
      <c r="M1393" s="28" t="str">
        <f t="array" ref="M1393">_xlfn.XLOOKUP($A1393, 'Hospitalisation Details'!$A:$A, 'Hospitalisation Details'!E:E, "No Data")</f>
        <v>24/11/96</v>
      </c>
      <c r="N1393" s="28">
        <f t="array" ref="N1393">_xlfn.XLOOKUP($A1393, 'Hospitalisation Details'!$A:$A, 'Hospitalisation Details'!K:K, "No Data")</f>
        <v>26</v>
      </c>
      <c r="O1393" s="33">
        <f t="array" ref="O1393">_xlfn.XLOOKUP($A1393, 'Hospitalisation Details'!$A:$A, 'Hospitalisation Details'!G:G, "No Data")</f>
        <v>7670.75</v>
      </c>
      <c r="P1393" s="28" t="str">
        <f t="array" ref="P1393">_xlfn.XLOOKUP($A1393, 'Hospitalisation Details'!$A:$A, 'Hospitalisation Details'!H:H, "No Data")</f>
        <v>tier - 2</v>
      </c>
    </row>
    <row r="1394">
      <c r="A1394" s="25" t="s">
        <v>4455</v>
      </c>
      <c r="B1394" s="28" t="str">
        <f t="array" ref="B1394">_xlfn.XLOOKUP($A1394, 'Customer Names'!$A:$A, 'Customer Names'!B:B, "No Data")</f>
        <v>Dayton</v>
      </c>
      <c r="C1394" s="28">
        <f t="array" ref="C1394">_xlfn.XLOOKUP($A1394, 'Medical Examinations'!$A:$A, 'Medical Examinations'!B:B, "No Data")</f>
        <v>22.98</v>
      </c>
      <c r="D1394" s="28">
        <f t="array" ref="D1394">_xlfn.XLOOKUP($A1394, 'Medical Examinations'!$A:$A, 'Medical Examinations'!C:C, "No Data")</f>
        <v>6.14</v>
      </c>
      <c r="E1394" s="28" t="str">
        <f t="array" ref="E1394">_xlfn.XLOOKUP($A1394, 'Medical Examinations'!$A:$A, 'Medical Examinations'!D:D, "No Data")</f>
        <v>yes</v>
      </c>
      <c r="F1394" s="28" t="str">
        <f t="array" ref="F1394">_xlfn.XLOOKUP($A1394, 'Medical Examinations'!$A:$A, 'Medical Examinations'!E:E, "No Data")</f>
        <v>No</v>
      </c>
      <c r="G1394" s="28" t="str">
        <f t="array" ref="G1394">_xlfn.XLOOKUP($A1394, 'Medical Examinations'!$A:$A, 'Medical Examinations'!F:F, "No Data")</f>
        <v>No</v>
      </c>
      <c r="H1394" s="28">
        <f t="array" ref="H1394">_xlfn.XLOOKUP($A1394, 'Medical Examinations'!$A:$A, 'Medical Examinations'!G:G, "No Data")</f>
        <v>0</v>
      </c>
      <c r="I1394" s="28" t="str">
        <f t="array" ref="I1394">_xlfn.XLOOKUP($A1394, 'Medical Examinations'!$A:$A, 'Medical Examinations'!H:H, "No Data")</f>
        <v>No</v>
      </c>
      <c r="J1394" s="28" t="str">
        <f t="array" ref="J1394">_xlfn.XLOOKUP($A1394, 'Medical Examinations'!$A:$A, 'Medical Examinations'!I:I, "No Data")</f>
        <v>Normal Weight</v>
      </c>
      <c r="K1394" s="28" t="str">
        <f t="array" ref="K1394">_xlfn.XLOOKUP($A1394, 'Hospitalisation Details'!$A:$A, 'Hospitalisation Details'!I:I, "No Data")</f>
        <v>tier - 1</v>
      </c>
      <c r="L1394" s="28" t="str">
        <f t="array" ref="L1394">_xlfn.XLOOKUP($A1394, 'Hospitalisation Details'!$A:$A, 'Hospitalisation Details'!J:J, "No Data")</f>
        <v>R1011</v>
      </c>
      <c r="M1394" s="28" t="str">
        <f t="array" ref="M1394">_xlfn.XLOOKUP($A1394, 'Hospitalisation Details'!$A:$A, 'Hospitalisation Details'!E:E, "No Data")</f>
        <v>09/10/76</v>
      </c>
      <c r="N1394" s="28">
        <f t="array" ref="N1394">_xlfn.XLOOKUP($A1394, 'Hospitalisation Details'!$A:$A, 'Hospitalisation Details'!K:K, "No Data")</f>
        <v>46</v>
      </c>
      <c r="O1394" s="33">
        <f t="array" ref="O1394">_xlfn.XLOOKUP($A1394, 'Hospitalisation Details'!$A:$A, 'Hospitalisation Details'!G:G, "No Data")</f>
        <v>7662.47</v>
      </c>
      <c r="P1394" s="28" t="str">
        <f t="array" ref="P1394">_xlfn.XLOOKUP($A1394, 'Hospitalisation Details'!$A:$A, 'Hospitalisation Details'!H:H, "No Data")</f>
        <v>tier - 2</v>
      </c>
    </row>
    <row r="1395">
      <c r="A1395" s="25" t="s">
        <v>4458</v>
      </c>
      <c r="B1395" s="28" t="str">
        <f t="array" ref="B1395">_xlfn.XLOOKUP($A1395, 'Customer Names'!$A:$A, 'Customer Names'!B:B, "No Data")</f>
        <v>Cloud</v>
      </c>
      <c r="C1395" s="28">
        <f t="array" ref="C1395">_xlfn.XLOOKUP($A1395, 'Medical Examinations'!$A:$A, 'Medical Examinations'!B:B, "No Data")</f>
        <v>15.65</v>
      </c>
      <c r="D1395" s="28">
        <f t="array" ref="D1395">_xlfn.XLOOKUP($A1395, 'Medical Examinations'!$A:$A, 'Medical Examinations'!C:C, "No Data")</f>
        <v>7.85</v>
      </c>
      <c r="E1395" s="28" t="str">
        <f t="array" ref="E1395">_xlfn.XLOOKUP($A1395, 'Medical Examinations'!$A:$A, 'Medical Examinations'!D:D, "No Data")</f>
        <v>No</v>
      </c>
      <c r="F1395" s="28" t="str">
        <f t="array" ref="F1395">_xlfn.XLOOKUP($A1395, 'Medical Examinations'!$A:$A, 'Medical Examinations'!E:E, "No Data")</f>
        <v>No</v>
      </c>
      <c r="G1395" s="28" t="str">
        <f t="array" ref="G1395">_xlfn.XLOOKUP($A1395, 'Medical Examinations'!$A:$A, 'Medical Examinations'!F:F, "No Data")</f>
        <v>No</v>
      </c>
      <c r="H1395" s="28">
        <f t="array" ref="H1395">_xlfn.XLOOKUP($A1395, 'Medical Examinations'!$A:$A, 'Medical Examinations'!G:G, "No Data")</f>
        <v>0</v>
      </c>
      <c r="I1395" s="28" t="str">
        <f t="array" ref="I1395">_xlfn.XLOOKUP($A1395, 'Medical Examinations'!$A:$A, 'Medical Examinations'!H:H, "No Data")</f>
        <v>No</v>
      </c>
      <c r="J1395" s="28" t="str">
        <f t="array" ref="J1395">_xlfn.XLOOKUP($A1395, 'Medical Examinations'!$A:$A, 'Medical Examinations'!I:I, "No Data")</f>
        <v>Underweight</v>
      </c>
      <c r="K1395" s="28" t="str">
        <f t="array" ref="K1395">_xlfn.XLOOKUP($A1395, 'Hospitalisation Details'!$A:$A, 'Hospitalisation Details'!I:I, "No Data")</f>
        <v>tier - 3</v>
      </c>
      <c r="L1395" s="28" t="str">
        <f t="array" ref="L1395">_xlfn.XLOOKUP($A1395, 'Hospitalisation Details'!$A:$A, 'Hospitalisation Details'!J:J, "No Data")</f>
        <v>R1012</v>
      </c>
      <c r="M1395" s="28" t="str">
        <f t="array" ref="M1395">_xlfn.XLOOKUP($A1395, 'Hospitalisation Details'!$A:$A, 'Hospitalisation Details'!E:E, "No Data")</f>
        <v>27/12/65</v>
      </c>
      <c r="N1395" s="28">
        <f t="array" ref="N1395">_xlfn.XLOOKUP($A1395, 'Hospitalisation Details'!$A:$A, 'Hospitalisation Details'!K:K, "No Data")</f>
        <v>57</v>
      </c>
      <c r="O1395" s="33">
        <f t="array" ref="O1395">_xlfn.XLOOKUP($A1395, 'Hospitalisation Details'!$A:$A, 'Hospitalisation Details'!G:G, "No Data")</f>
        <v>7657.69</v>
      </c>
      <c r="P1395" s="28" t="str">
        <f t="array" ref="P1395">_xlfn.XLOOKUP($A1395, 'Hospitalisation Details'!$A:$A, 'Hospitalisation Details'!H:H, "No Data")</f>
        <v>tier - 3</v>
      </c>
    </row>
    <row r="1396">
      <c r="A1396" s="25" t="s">
        <v>4462</v>
      </c>
      <c r="B1396" s="28" t="str">
        <f t="array" ref="B1396">_xlfn.XLOOKUP($A1396, 'Customer Names'!$A:$A, 'Customer Names'!B:B, "No Data")</f>
        <v>Betournay</v>
      </c>
      <c r="C1396" s="28">
        <f t="array" ref="C1396">_xlfn.XLOOKUP($A1396, 'Medical Examinations'!$A:$A, 'Medical Examinations'!B:B, "No Data")</f>
        <v>39.97</v>
      </c>
      <c r="D1396" s="28">
        <f t="array" ref="D1396">_xlfn.XLOOKUP($A1396, 'Medical Examinations'!$A:$A, 'Medical Examinations'!C:C, "No Data")</f>
        <v>4.09</v>
      </c>
      <c r="E1396" s="28" t="str">
        <f t="array" ref="E1396">_xlfn.XLOOKUP($A1396, 'Medical Examinations'!$A:$A, 'Medical Examinations'!D:D, "No Data")</f>
        <v>No</v>
      </c>
      <c r="F1396" s="28" t="str">
        <f t="array" ref="F1396">_xlfn.XLOOKUP($A1396, 'Medical Examinations'!$A:$A, 'Medical Examinations'!E:E, "No Data")</f>
        <v>No</v>
      </c>
      <c r="G1396" s="28" t="str">
        <f t="array" ref="G1396">_xlfn.XLOOKUP($A1396, 'Medical Examinations'!$A:$A, 'Medical Examinations'!F:F, "No Data")</f>
        <v>No</v>
      </c>
      <c r="H1396" s="28">
        <f t="array" ref="H1396">_xlfn.XLOOKUP($A1396, 'Medical Examinations'!$A:$A, 'Medical Examinations'!G:G, "No Data")</f>
        <v>1</v>
      </c>
      <c r="I1396" s="28" t="str">
        <f t="array" ref="I1396">_xlfn.XLOOKUP($A1396, 'Medical Examinations'!$A:$A, 'Medical Examinations'!H:H, "No Data")</f>
        <v>No</v>
      </c>
      <c r="J1396" s="28" t="str">
        <f t="array" ref="J1396">_xlfn.XLOOKUP($A1396, 'Medical Examinations'!$A:$A, 'Medical Examinations'!I:I, "No Data")</f>
        <v>Obesity</v>
      </c>
      <c r="K1396" s="28" t="str">
        <f t="array" ref="K1396">_xlfn.XLOOKUP($A1396, 'Hospitalisation Details'!$A:$A, 'Hospitalisation Details'!I:I, "No Data")</f>
        <v>tier - 3</v>
      </c>
      <c r="L1396" s="28" t="str">
        <f t="array" ref="L1396">_xlfn.XLOOKUP($A1396, 'Hospitalisation Details'!$A:$A, 'Hospitalisation Details'!J:J, "No Data")</f>
        <v>R1023</v>
      </c>
      <c r="M1396" s="28" t="str">
        <f t="array" ref="M1396">_xlfn.XLOOKUP($A1396, 'Hospitalisation Details'!$A:$A, 'Hospitalisation Details'!E:E, "No Data")</f>
        <v>30/09/98</v>
      </c>
      <c r="N1396" s="28">
        <f t="array" ref="N1396">_xlfn.XLOOKUP($A1396, 'Hospitalisation Details'!$A:$A, 'Hospitalisation Details'!K:K, "No Data")</f>
        <v>24</v>
      </c>
      <c r="O1396" s="33">
        <f t="array" ref="O1396">_xlfn.XLOOKUP($A1396, 'Hospitalisation Details'!$A:$A, 'Hospitalisation Details'!G:G, "No Data")</f>
        <v>7652.26</v>
      </c>
      <c r="P1396" s="28" t="str">
        <f t="array" ref="P1396">_xlfn.XLOOKUP($A1396, 'Hospitalisation Details'!$A:$A, 'Hospitalisation Details'!H:H, "No Data")</f>
        <v>tier - 2</v>
      </c>
    </row>
    <row r="1397">
      <c r="A1397" s="25" t="s">
        <v>4465</v>
      </c>
      <c r="B1397" s="28" t="str">
        <f t="array" ref="B1397">_xlfn.XLOOKUP($A1397, 'Customer Names'!$A:$A, 'Customer Names'!B:B, "No Data")</f>
        <v>Temple</v>
      </c>
      <c r="C1397" s="28">
        <f t="array" ref="C1397">_xlfn.XLOOKUP($A1397, 'Medical Examinations'!$A:$A, 'Medical Examinations'!B:B, "No Data")</f>
        <v>37.22</v>
      </c>
      <c r="D1397" s="28">
        <f t="array" ref="D1397">_xlfn.XLOOKUP($A1397, 'Medical Examinations'!$A:$A, 'Medical Examinations'!C:C, "No Data")</f>
        <v>4.62</v>
      </c>
      <c r="E1397" s="28" t="str">
        <f t="array" ref="E1397">_xlfn.XLOOKUP($A1397, 'Medical Examinations'!$A:$A, 'Medical Examinations'!D:D, "No Data")</f>
        <v>No</v>
      </c>
      <c r="F1397" s="28" t="str">
        <f t="array" ref="F1397">_xlfn.XLOOKUP($A1397, 'Medical Examinations'!$A:$A, 'Medical Examinations'!E:E, "No Data")</f>
        <v>No</v>
      </c>
      <c r="G1397" s="28" t="str">
        <f t="array" ref="G1397">_xlfn.XLOOKUP($A1397, 'Medical Examinations'!$A:$A, 'Medical Examinations'!F:F, "No Data")</f>
        <v>Yes</v>
      </c>
      <c r="H1397" s="28">
        <f t="array" ref="H1397">_xlfn.XLOOKUP($A1397, 'Medical Examinations'!$A:$A, 'Medical Examinations'!G:G, "No Data")</f>
        <v>1</v>
      </c>
      <c r="I1397" s="28" t="str">
        <f t="array" ref="I1397">_xlfn.XLOOKUP($A1397, 'Medical Examinations'!$A:$A, 'Medical Examinations'!H:H, "No Data")</f>
        <v>No</v>
      </c>
      <c r="J1397" s="28" t="str">
        <f t="array" ref="J1397">_xlfn.XLOOKUP($A1397, 'Medical Examinations'!$A:$A, 'Medical Examinations'!I:I, "No Data")</f>
        <v>Obesity</v>
      </c>
      <c r="K1397" s="28" t="str">
        <f t="array" ref="K1397">_xlfn.XLOOKUP($A1397, 'Hospitalisation Details'!$A:$A, 'Hospitalisation Details'!I:I, "No Data")</f>
        <v>tier - 2</v>
      </c>
      <c r="L1397" s="28" t="str">
        <f t="array" ref="L1397">_xlfn.XLOOKUP($A1397, 'Hospitalisation Details'!$A:$A, 'Hospitalisation Details'!J:J, "No Data")</f>
        <v>R1012</v>
      </c>
      <c r="M1397" s="28" t="str">
        <f t="array" ref="M1397">_xlfn.XLOOKUP($A1397, 'Hospitalisation Details'!$A:$A, 'Hospitalisation Details'!E:E, "No Data")</f>
        <v>10/08/93</v>
      </c>
      <c r="N1397" s="28">
        <f t="array" ref="N1397">_xlfn.XLOOKUP($A1397, 'Hospitalisation Details'!$A:$A, 'Hospitalisation Details'!K:K, "No Data")</f>
        <v>29</v>
      </c>
      <c r="O1397" s="33">
        <f t="array" ref="O1397">_xlfn.XLOOKUP($A1397, 'Hospitalisation Details'!$A:$A, 'Hospitalisation Details'!G:G, "No Data")</f>
        <v>7650.8</v>
      </c>
      <c r="P1397" s="28" t="str">
        <f t="array" ref="P1397">_xlfn.XLOOKUP($A1397, 'Hospitalisation Details'!$A:$A, 'Hospitalisation Details'!H:H, "No Data")</f>
        <v>tier - 2</v>
      </c>
    </row>
    <row r="1398">
      <c r="A1398" s="25" t="s">
        <v>4468</v>
      </c>
      <c r="B1398" s="28" t="str">
        <f t="array" ref="B1398">_xlfn.XLOOKUP($A1398, 'Customer Names'!$A:$A, 'Customer Names'!B:B, "No Data")</f>
        <v>Rollie</v>
      </c>
      <c r="C1398" s="28">
        <f t="array" ref="C1398">_xlfn.XLOOKUP($A1398, 'Medical Examinations'!$A:$A, 'Medical Examinations'!B:B, "No Data")</f>
        <v>41.325</v>
      </c>
      <c r="D1398" s="28">
        <f t="array" ref="D1398">_xlfn.XLOOKUP($A1398, 'Medical Examinations'!$A:$A, 'Medical Examinations'!C:C, "No Data")</f>
        <v>5.77</v>
      </c>
      <c r="E1398" s="28" t="str">
        <f t="array" ref="E1398">_xlfn.XLOOKUP($A1398, 'Medical Examinations'!$A:$A, 'Medical Examinations'!D:D, "No Data")</f>
        <v>No</v>
      </c>
      <c r="F1398" s="28" t="str">
        <f t="array" ref="F1398">_xlfn.XLOOKUP($A1398, 'Medical Examinations'!$A:$A, 'Medical Examinations'!E:E, "No Data")</f>
        <v>No</v>
      </c>
      <c r="G1398" s="28" t="str">
        <f t="array" ref="G1398">_xlfn.XLOOKUP($A1398, 'Medical Examinations'!$A:$A, 'Medical Examinations'!F:F, "No Data")</f>
        <v>No</v>
      </c>
      <c r="H1398" s="28">
        <f t="array" ref="H1398">_xlfn.XLOOKUP($A1398, 'Medical Examinations'!$A:$A, 'Medical Examinations'!G:G, "No Data")</f>
        <v>0</v>
      </c>
      <c r="I1398" s="28" t="str">
        <f t="array" ref="I1398">_xlfn.XLOOKUP($A1398, 'Medical Examinations'!$A:$A, 'Medical Examinations'!H:H, "No Data")</f>
        <v>No</v>
      </c>
      <c r="J1398" s="28" t="str">
        <f t="array" ref="J1398">_xlfn.XLOOKUP($A1398, 'Medical Examinations'!$A:$A, 'Medical Examinations'!I:I, "No Data")</f>
        <v>Obesity</v>
      </c>
      <c r="K1398" s="28" t="str">
        <f t="array" ref="K1398">_xlfn.XLOOKUP($A1398, 'Hospitalisation Details'!$A:$A, 'Hospitalisation Details'!I:I, "No Data")</f>
        <v>tier - 2</v>
      </c>
      <c r="L1398" s="28" t="str">
        <f t="array" ref="L1398">_xlfn.XLOOKUP($A1398, 'Hospitalisation Details'!$A:$A, 'Hospitalisation Details'!J:J, "No Data")</f>
        <v>R1024</v>
      </c>
      <c r="M1398" s="28" t="str">
        <f t="array" ref="M1398">_xlfn.XLOOKUP($A1398, 'Hospitalisation Details'!$A:$A, 'Hospitalisation Details'!E:E, "No Data")</f>
        <v>16/10/80</v>
      </c>
      <c r="N1398" s="28">
        <f t="array" ref="N1398">_xlfn.XLOOKUP($A1398, 'Hospitalisation Details'!$A:$A, 'Hospitalisation Details'!K:K, "No Data")</f>
        <v>42</v>
      </c>
      <c r="O1398" s="33">
        <f t="array" ref="O1398">_xlfn.XLOOKUP($A1398, 'Hospitalisation Details'!$A:$A, 'Hospitalisation Details'!G:G, "No Data")</f>
        <v>7650.77</v>
      </c>
      <c r="P1398" s="28" t="str">
        <f t="array" ref="P1398">_xlfn.XLOOKUP($A1398, 'Hospitalisation Details'!$A:$A, 'Hospitalisation Details'!H:H, "No Data")</f>
        <v>tier - 2</v>
      </c>
    </row>
    <row r="1399">
      <c r="A1399" s="25" t="s">
        <v>4471</v>
      </c>
      <c r="B1399" s="28" t="str">
        <f t="array" ref="B1399">_xlfn.XLOOKUP($A1399, 'Customer Names'!$A:$A, 'Customer Names'!B:B, "No Data")</f>
        <v>Roybal</v>
      </c>
      <c r="C1399" s="28">
        <f t="array" ref="C1399">_xlfn.XLOOKUP($A1399, 'Medical Examinations'!$A:$A, 'Medical Examinations'!B:B, "No Data")</f>
        <v>40.31</v>
      </c>
      <c r="D1399" s="28">
        <f t="array" ref="D1399">_xlfn.XLOOKUP($A1399, 'Medical Examinations'!$A:$A, 'Medical Examinations'!C:C, "No Data")</f>
        <v>5.84</v>
      </c>
      <c r="E1399" s="28" t="str">
        <f t="array" ref="E1399">_xlfn.XLOOKUP($A1399, 'Medical Examinations'!$A:$A, 'Medical Examinations'!D:D, "No Data")</f>
        <v>No</v>
      </c>
      <c r="F1399" s="28" t="str">
        <f t="array" ref="F1399">_xlfn.XLOOKUP($A1399, 'Medical Examinations'!$A:$A, 'Medical Examinations'!E:E, "No Data")</f>
        <v>No</v>
      </c>
      <c r="G1399" s="28" t="str">
        <f t="array" ref="G1399">_xlfn.XLOOKUP($A1399, 'Medical Examinations'!$A:$A, 'Medical Examinations'!F:F, "No Data")</f>
        <v>No</v>
      </c>
      <c r="H1399" s="28">
        <f t="array" ref="H1399">_xlfn.XLOOKUP($A1399, 'Medical Examinations'!$A:$A, 'Medical Examinations'!G:G, "No Data")</f>
        <v>0</v>
      </c>
      <c r="I1399" s="28" t="str">
        <f t="array" ref="I1399">_xlfn.XLOOKUP($A1399, 'Medical Examinations'!$A:$A, 'Medical Examinations'!H:H, "No Data")</f>
        <v>No</v>
      </c>
      <c r="J1399" s="28" t="str">
        <f t="array" ref="J1399">_xlfn.XLOOKUP($A1399, 'Medical Examinations'!$A:$A, 'Medical Examinations'!I:I, "No Data")</f>
        <v>Obesity</v>
      </c>
      <c r="K1399" s="28" t="str">
        <f t="array" ref="K1399">_xlfn.XLOOKUP($A1399, 'Hospitalisation Details'!$A:$A, 'Hospitalisation Details'!I:I, "No Data")</f>
        <v>tier - 2</v>
      </c>
      <c r="L1399" s="28" t="str">
        <f t="array" ref="L1399">_xlfn.XLOOKUP($A1399, 'Hospitalisation Details'!$A:$A, 'Hospitalisation Details'!J:J, "No Data")</f>
        <v>R1026</v>
      </c>
      <c r="M1399" s="28" t="str">
        <f t="array" ref="M1399">_xlfn.XLOOKUP($A1399, 'Hospitalisation Details'!$A:$A, 'Hospitalisation Details'!E:E, "No Data")</f>
        <v>15/06/99</v>
      </c>
      <c r="N1399" s="28">
        <f t="array" ref="N1399">_xlfn.XLOOKUP($A1399, 'Hospitalisation Details'!$A:$A, 'Hospitalisation Details'!K:K, "No Data")</f>
        <v>23</v>
      </c>
      <c r="O1399" s="33">
        <f t="array" ref="O1399">_xlfn.XLOOKUP($A1399, 'Hospitalisation Details'!$A:$A, 'Hospitalisation Details'!G:G, "No Data")</f>
        <v>7642.05</v>
      </c>
      <c r="P1399" s="28" t="str">
        <f t="array" ref="P1399">_xlfn.XLOOKUP($A1399, 'Hospitalisation Details'!$A:$A, 'Hospitalisation Details'!H:H, "No Data")</f>
        <v>tier - 2</v>
      </c>
    </row>
    <row r="1400">
      <c r="A1400" s="25" t="s">
        <v>4475</v>
      </c>
      <c r="B1400" s="28" t="str">
        <f t="array" ref="B1400">_xlfn.XLOOKUP($A1400, 'Customer Names'!$A:$A, 'Customer Names'!B:B, "No Data")</f>
        <v>Turgeon</v>
      </c>
      <c r="C1400" s="28">
        <f t="array" ref="C1400">_xlfn.XLOOKUP($A1400, 'Medical Examinations'!$A:$A, 'Medical Examinations'!B:B, "No Data")</f>
        <v>29.48</v>
      </c>
      <c r="D1400" s="28">
        <f t="array" ref="D1400">_xlfn.XLOOKUP($A1400, 'Medical Examinations'!$A:$A, 'Medical Examinations'!C:C, "No Data")</f>
        <v>4.91</v>
      </c>
      <c r="E1400" s="28" t="str">
        <f t="array" ref="E1400">_xlfn.XLOOKUP($A1400, 'Medical Examinations'!$A:$A, 'Medical Examinations'!D:D, "No Data")</f>
        <v>No</v>
      </c>
      <c r="F1400" s="28" t="str">
        <f t="array" ref="F1400">_xlfn.XLOOKUP($A1400, 'Medical Examinations'!$A:$A, 'Medical Examinations'!E:E, "No Data")</f>
        <v>No</v>
      </c>
      <c r="G1400" s="28" t="str">
        <f t="array" ref="G1400">_xlfn.XLOOKUP($A1400, 'Medical Examinations'!$A:$A, 'Medical Examinations'!F:F, "No Data")</f>
        <v>No</v>
      </c>
      <c r="H1400" s="28">
        <f t="array" ref="H1400">_xlfn.XLOOKUP($A1400, 'Medical Examinations'!$A:$A, 'Medical Examinations'!G:G, "No Data")</f>
        <v>0</v>
      </c>
      <c r="I1400" s="28" t="str">
        <f t="array" ref="I1400">_xlfn.XLOOKUP($A1400, 'Medical Examinations'!$A:$A, 'Medical Examinations'!H:H, "No Data")</f>
        <v>No</v>
      </c>
      <c r="J1400" s="28" t="str">
        <f t="array" ref="J1400">_xlfn.XLOOKUP($A1400, 'Medical Examinations'!$A:$A, 'Medical Examinations'!I:I, "No Data")</f>
        <v>Overweight</v>
      </c>
      <c r="K1400" s="28" t="str">
        <f t="array" ref="K1400">_xlfn.XLOOKUP($A1400, 'Hospitalisation Details'!$A:$A, 'Hospitalisation Details'!I:I, "No Data")</f>
        <v>tier - 1</v>
      </c>
      <c r="L1400" s="28" t="str">
        <f t="array" ref="L1400">_xlfn.XLOOKUP($A1400, 'Hospitalisation Details'!$A:$A, 'Hospitalisation Details'!J:J, "No Data")</f>
        <v>R1013</v>
      </c>
      <c r="M1400" s="28" t="str">
        <f t="array" ref="M1400">_xlfn.XLOOKUP($A1400, 'Hospitalisation Details'!$A:$A, 'Hospitalisation Details'!E:E, "No Data")</f>
        <v>24/07/80</v>
      </c>
      <c r="N1400" s="28">
        <f t="array" ref="N1400">_xlfn.XLOOKUP($A1400, 'Hospitalisation Details'!$A:$A, 'Hospitalisation Details'!K:K, "No Data")</f>
        <v>42</v>
      </c>
      <c r="O1400" s="33">
        <f t="array" ref="O1400">_xlfn.XLOOKUP($A1400, 'Hospitalisation Details'!$A:$A, 'Hospitalisation Details'!G:G, "No Data")</f>
        <v>7640.31</v>
      </c>
      <c r="P1400" s="28" t="str">
        <f t="array" ref="P1400">_xlfn.XLOOKUP($A1400, 'Hospitalisation Details'!$A:$A, 'Hospitalisation Details'!H:H, "No Data")</f>
        <v>tier - 2</v>
      </c>
    </row>
    <row r="1401">
      <c r="A1401" s="25" t="s">
        <v>4478</v>
      </c>
      <c r="B1401" s="28" t="str">
        <f t="array" ref="B1401">_xlfn.XLOOKUP($A1401, 'Customer Names'!$A:$A, 'Customer Names'!B:B, "No Data")</f>
        <v>Deingenis</v>
      </c>
      <c r="C1401" s="28">
        <f t="array" ref="C1401">_xlfn.XLOOKUP($A1401, 'Medical Examinations'!$A:$A, 'Medical Examinations'!B:B, "No Data")</f>
        <v>33.155</v>
      </c>
      <c r="D1401" s="28">
        <f t="array" ref="D1401">_xlfn.XLOOKUP($A1401, 'Medical Examinations'!$A:$A, 'Medical Examinations'!C:C, "No Data")</f>
        <v>5.07</v>
      </c>
      <c r="E1401" s="28" t="str">
        <f t="array" ref="E1401">_xlfn.XLOOKUP($A1401, 'Medical Examinations'!$A:$A, 'Medical Examinations'!D:D, "No Data")</f>
        <v>No</v>
      </c>
      <c r="F1401" s="28" t="str">
        <f t="array" ref="F1401">_xlfn.XLOOKUP($A1401, 'Medical Examinations'!$A:$A, 'Medical Examinations'!E:E, "No Data")</f>
        <v>No</v>
      </c>
      <c r="G1401" s="28" t="str">
        <f t="array" ref="G1401">_xlfn.XLOOKUP($A1401, 'Medical Examinations'!$A:$A, 'Medical Examinations'!F:F, "No Data")</f>
        <v>No</v>
      </c>
      <c r="H1401" s="28">
        <f t="array" ref="H1401">_xlfn.XLOOKUP($A1401, 'Medical Examinations'!$A:$A, 'Medical Examinations'!G:G, "No Data")</f>
        <v>0</v>
      </c>
      <c r="I1401" s="28" t="str">
        <f t="array" ref="I1401">_xlfn.XLOOKUP($A1401, 'Medical Examinations'!$A:$A, 'Medical Examinations'!H:H, "No Data")</f>
        <v>No</v>
      </c>
      <c r="J1401" s="28" t="str">
        <f t="array" ref="J1401">_xlfn.XLOOKUP($A1401, 'Medical Examinations'!$A:$A, 'Medical Examinations'!I:I, "No Data")</f>
        <v>Obesity</v>
      </c>
      <c r="K1401" s="28" t="str">
        <f t="array" ref="K1401">_xlfn.XLOOKUP($A1401, 'Hospitalisation Details'!$A:$A, 'Hospitalisation Details'!I:I, "No Data")</f>
        <v>tier - 2</v>
      </c>
      <c r="L1401" s="28" t="str">
        <f t="array" ref="L1401">_xlfn.XLOOKUP($A1401, 'Hospitalisation Details'!$A:$A, 'Hospitalisation Details'!J:J, "No Data")</f>
        <v>R1024</v>
      </c>
      <c r="M1401" s="28" t="str">
        <f t="array" ref="M1401">_xlfn.XLOOKUP($A1401, 'Hospitalisation Details'!$A:$A, 'Hospitalisation Details'!E:E, "No Data")</f>
        <v>20/06/80</v>
      </c>
      <c r="N1401" s="28">
        <f t="array" ref="N1401">_xlfn.XLOOKUP($A1401, 'Hospitalisation Details'!$A:$A, 'Hospitalisation Details'!K:K, "No Data")</f>
        <v>42</v>
      </c>
      <c r="O1401" s="33">
        <f t="array" ref="O1401">_xlfn.XLOOKUP($A1401, 'Hospitalisation Details'!$A:$A, 'Hospitalisation Details'!G:G, "No Data")</f>
        <v>7639.42</v>
      </c>
      <c r="P1401" s="28" t="str">
        <f t="array" ref="P1401">_xlfn.XLOOKUP($A1401, 'Hospitalisation Details'!$A:$A, 'Hospitalisation Details'!H:H, "No Data")</f>
        <v>tier - 2</v>
      </c>
    </row>
    <row r="1402">
      <c r="A1402" s="25" t="s">
        <v>4480</v>
      </c>
      <c r="B1402" s="28" t="str">
        <f t="array" ref="B1402">_xlfn.XLOOKUP($A1402, 'Customer Names'!$A:$A, 'Customer Names'!B:B, "No Data")</f>
        <v>Hodge</v>
      </c>
      <c r="C1402" s="28">
        <f t="array" ref="C1402">_xlfn.XLOOKUP($A1402, 'Medical Examinations'!$A:$A, 'Medical Examinations'!B:B, "No Data")</f>
        <v>42.85</v>
      </c>
      <c r="D1402" s="28">
        <f t="array" ref="D1402">_xlfn.XLOOKUP($A1402, 'Medical Examinations'!$A:$A, 'Medical Examinations'!C:C, "No Data")</f>
        <v>5.81</v>
      </c>
      <c r="E1402" s="28" t="str">
        <f t="array" ref="E1402">_xlfn.XLOOKUP($A1402, 'Medical Examinations'!$A:$A, 'Medical Examinations'!D:D, "No Data")</f>
        <v>yes</v>
      </c>
      <c r="F1402" s="28" t="str">
        <f t="array" ref="F1402">_xlfn.XLOOKUP($A1402, 'Medical Examinations'!$A:$A, 'Medical Examinations'!E:E, "No Data")</f>
        <v>No</v>
      </c>
      <c r="G1402" s="28" t="str">
        <f t="array" ref="G1402">_xlfn.XLOOKUP($A1402, 'Medical Examinations'!$A:$A, 'Medical Examinations'!F:F, "No Data")</f>
        <v>No</v>
      </c>
      <c r="H1402" s="28">
        <f t="array" ref="H1402">_xlfn.XLOOKUP($A1402, 'Medical Examinations'!$A:$A, 'Medical Examinations'!G:G, "No Data")</f>
        <v>0</v>
      </c>
      <c r="I1402" s="28" t="str">
        <f t="array" ref="I1402">_xlfn.XLOOKUP($A1402, 'Medical Examinations'!$A:$A, 'Medical Examinations'!H:H, "No Data")</f>
        <v>No</v>
      </c>
      <c r="J1402" s="28" t="str">
        <f t="array" ref="J1402">_xlfn.XLOOKUP($A1402, 'Medical Examinations'!$A:$A, 'Medical Examinations'!I:I, "No Data")</f>
        <v>Obesity</v>
      </c>
      <c r="K1402" s="28" t="str">
        <f t="array" ref="K1402">_xlfn.XLOOKUP($A1402, 'Hospitalisation Details'!$A:$A, 'Hospitalisation Details'!I:I, "No Data")</f>
        <v>tier - 3</v>
      </c>
      <c r="L1402" s="28" t="str">
        <f t="array" ref="L1402">_xlfn.XLOOKUP($A1402, 'Hospitalisation Details'!$A:$A, 'Hospitalisation Details'!J:J, "No Data")</f>
        <v>R1012</v>
      </c>
      <c r="M1402" s="28" t="str">
        <f t="array" ref="M1402">_xlfn.XLOOKUP($A1402, 'Hospitalisation Details'!$A:$A, 'Hospitalisation Details'!E:E, "No Data")</f>
        <v>13/12/01</v>
      </c>
      <c r="N1402" s="28">
        <f t="array" ref="N1402">_xlfn.XLOOKUP($A1402, 'Hospitalisation Details'!$A:$A, 'Hospitalisation Details'!K:K, "No Data")</f>
        <v>21</v>
      </c>
      <c r="O1402" s="33">
        <f t="array" ref="O1402">_xlfn.XLOOKUP($A1402, 'Hospitalisation Details'!$A:$A, 'Hospitalisation Details'!G:G, "No Data")</f>
        <v>7636.92</v>
      </c>
      <c r="P1402" s="28" t="str">
        <f t="array" ref="P1402">_xlfn.XLOOKUP($A1402, 'Hospitalisation Details'!$A:$A, 'Hospitalisation Details'!H:H, "No Data")</f>
        <v>tier - 2</v>
      </c>
    </row>
    <row r="1403">
      <c r="A1403" s="25" t="s">
        <v>4483</v>
      </c>
      <c r="B1403" s="28" t="str">
        <f t="array" ref="B1403">_xlfn.XLOOKUP($A1403, 'Customer Names'!$A:$A, 'Customer Names'!B:B, "No Data")</f>
        <v>Gibbs</v>
      </c>
      <c r="C1403" s="28">
        <f t="array" ref="C1403">_xlfn.XLOOKUP($A1403, 'Medical Examinations'!$A:$A, 'Medical Examinations'!B:B, "No Data")</f>
        <v>32.34</v>
      </c>
      <c r="D1403" s="28">
        <f t="array" ref="D1403">_xlfn.XLOOKUP($A1403, 'Medical Examinations'!$A:$A, 'Medical Examinations'!C:C, "No Data")</f>
        <v>11.2</v>
      </c>
      <c r="E1403" s="28" t="str">
        <f t="array" ref="E1403">_xlfn.XLOOKUP($A1403, 'Medical Examinations'!$A:$A, 'Medical Examinations'!D:D, "No Data")</f>
        <v>No</v>
      </c>
      <c r="F1403" s="28" t="str">
        <f t="array" ref="F1403">_xlfn.XLOOKUP($A1403, 'Medical Examinations'!$A:$A, 'Medical Examinations'!E:E, "No Data")</f>
        <v>No</v>
      </c>
      <c r="G1403" s="28" t="str">
        <f t="array" ref="G1403">_xlfn.XLOOKUP($A1403, 'Medical Examinations'!$A:$A, 'Medical Examinations'!F:F, "No Data")</f>
        <v>No</v>
      </c>
      <c r="H1403" s="28">
        <f t="array" ref="H1403">_xlfn.XLOOKUP($A1403, 'Medical Examinations'!$A:$A, 'Medical Examinations'!G:G, "No Data")</f>
        <v>0</v>
      </c>
      <c r="I1403" s="28" t="str">
        <f t="array" ref="I1403">_xlfn.XLOOKUP($A1403, 'Medical Examinations'!$A:$A, 'Medical Examinations'!H:H, "No Data")</f>
        <v>No</v>
      </c>
      <c r="J1403" s="28" t="str">
        <f t="array" ref="J1403">_xlfn.XLOOKUP($A1403, 'Medical Examinations'!$A:$A, 'Medical Examinations'!I:I, "No Data")</f>
        <v>Obesity</v>
      </c>
      <c r="K1403" s="28" t="str">
        <f t="array" ref="K1403">_xlfn.XLOOKUP($A1403, 'Hospitalisation Details'!$A:$A, 'Hospitalisation Details'!I:I, "No Data")</f>
        <v>tier - 1</v>
      </c>
      <c r="L1403" s="28" t="str">
        <f t="array" ref="L1403">_xlfn.XLOOKUP($A1403, 'Hospitalisation Details'!$A:$A, 'Hospitalisation Details'!J:J, "No Data")</f>
        <v>R1013</v>
      </c>
      <c r="M1403" s="28" t="str">
        <f t="array" ref="M1403">_xlfn.XLOOKUP($A1403, 'Hospitalisation Details'!$A:$A, 'Hospitalisation Details'!E:E, "No Data")</f>
        <v>24/08/78</v>
      </c>
      <c r="N1403" s="28">
        <f t="array" ref="N1403">_xlfn.XLOOKUP($A1403, 'Hospitalisation Details'!$A:$A, 'Hospitalisation Details'!K:K, "No Data")</f>
        <v>44</v>
      </c>
      <c r="O1403" s="33">
        <f t="array" ref="O1403">_xlfn.XLOOKUP($A1403, 'Hospitalisation Details'!$A:$A, 'Hospitalisation Details'!G:G, "No Data")</f>
        <v>7633.72</v>
      </c>
      <c r="P1403" s="28" t="str">
        <f t="array" ref="P1403">_xlfn.XLOOKUP($A1403, 'Hospitalisation Details'!$A:$A, 'Hospitalisation Details'!H:H, "No Data")</f>
        <v>tier - 2</v>
      </c>
    </row>
    <row r="1404">
      <c r="A1404" s="25" t="s">
        <v>4486</v>
      </c>
      <c r="B1404" s="28" t="str">
        <f t="array" ref="B1404">_xlfn.XLOOKUP($A1404, 'Customer Names'!$A:$A, 'Customer Names'!B:B, "No Data")</f>
        <v>Trom</v>
      </c>
      <c r="C1404" s="28">
        <f t="array" ref="C1404">_xlfn.XLOOKUP($A1404, 'Medical Examinations'!$A:$A, 'Medical Examinations'!B:B, "No Data")</f>
        <v>27.5</v>
      </c>
      <c r="D1404" s="28">
        <f t="array" ref="D1404">_xlfn.XLOOKUP($A1404, 'Medical Examinations'!$A:$A, 'Medical Examinations'!C:C, "No Data")</f>
        <v>10.75</v>
      </c>
      <c r="E1404" s="28" t="str">
        <f t="array" ref="E1404">_xlfn.XLOOKUP($A1404, 'Medical Examinations'!$A:$A, 'Medical Examinations'!D:D, "No Data")</f>
        <v>No</v>
      </c>
      <c r="F1404" s="28" t="str">
        <f t="array" ref="F1404">_xlfn.XLOOKUP($A1404, 'Medical Examinations'!$A:$A, 'Medical Examinations'!E:E, "No Data")</f>
        <v>No</v>
      </c>
      <c r="G1404" s="28" t="str">
        <f t="array" ref="G1404">_xlfn.XLOOKUP($A1404, 'Medical Examinations'!$A:$A, 'Medical Examinations'!F:F, "No Data")</f>
        <v>No</v>
      </c>
      <c r="H1404" s="28">
        <f t="array" ref="H1404">_xlfn.XLOOKUP($A1404, 'Medical Examinations'!$A:$A, 'Medical Examinations'!G:G, "No Data")</f>
        <v>0</v>
      </c>
      <c r="I1404" s="28" t="str">
        <f t="array" ref="I1404">_xlfn.XLOOKUP($A1404, 'Medical Examinations'!$A:$A, 'Medical Examinations'!H:H, "No Data")</f>
        <v>No</v>
      </c>
      <c r="J1404" s="28" t="str">
        <f t="array" ref="J1404">_xlfn.XLOOKUP($A1404, 'Medical Examinations'!$A:$A, 'Medical Examinations'!I:I, "No Data")</f>
        <v>Overweight</v>
      </c>
      <c r="K1404" s="28" t="str">
        <f t="array" ref="K1404">_xlfn.XLOOKUP($A1404, 'Hospitalisation Details'!$A:$A, 'Hospitalisation Details'!I:I, "No Data")</f>
        <v>tier - 2</v>
      </c>
      <c r="L1404" s="28" t="str">
        <f t="array" ref="L1404">_xlfn.XLOOKUP($A1404, 'Hospitalisation Details'!$A:$A, 'Hospitalisation Details'!J:J, "No Data")</f>
        <v>R1011</v>
      </c>
      <c r="M1404" s="28" t="str">
        <f t="array" ref="M1404">_xlfn.XLOOKUP($A1404, 'Hospitalisation Details'!$A:$A, 'Hospitalisation Details'!E:E, "No Data")</f>
        <v>29/11/78</v>
      </c>
      <c r="N1404" s="28">
        <f t="array" ref="N1404">_xlfn.XLOOKUP($A1404, 'Hospitalisation Details'!$A:$A, 'Hospitalisation Details'!K:K, "No Data")</f>
        <v>44</v>
      </c>
      <c r="O1404" s="33">
        <f t="array" ref="O1404">_xlfn.XLOOKUP($A1404, 'Hospitalisation Details'!$A:$A, 'Hospitalisation Details'!G:G, "No Data")</f>
        <v>7626.99</v>
      </c>
      <c r="P1404" s="28" t="str">
        <f t="array" ref="P1404">_xlfn.XLOOKUP($A1404, 'Hospitalisation Details'!$A:$A, 'Hospitalisation Details'!H:H, "No Data")</f>
        <v>tier - 2</v>
      </c>
    </row>
    <row r="1405">
      <c r="A1405" s="25" t="s">
        <v>4489</v>
      </c>
      <c r="B1405" s="28" t="str">
        <f t="array" ref="B1405">_xlfn.XLOOKUP($A1405, 'Customer Names'!$A:$A, 'Customer Names'!B:B, "No Data")</f>
        <v>Sizer</v>
      </c>
      <c r="C1405" s="28">
        <f t="array" ref="C1405">_xlfn.XLOOKUP($A1405, 'Medical Examinations'!$A:$A, 'Medical Examinations'!B:B, "No Data")</f>
        <v>25.8</v>
      </c>
      <c r="D1405" s="28">
        <f t="array" ref="D1405">_xlfn.XLOOKUP($A1405, 'Medical Examinations'!$A:$A, 'Medical Examinations'!C:C, "No Data")</f>
        <v>7.8</v>
      </c>
      <c r="E1405" s="28" t="str">
        <f t="array" ref="E1405">_xlfn.XLOOKUP($A1405, 'Medical Examinations'!$A:$A, 'Medical Examinations'!D:D, "No Data")</f>
        <v>No</v>
      </c>
      <c r="F1405" s="28" t="str">
        <f t="array" ref="F1405">_xlfn.XLOOKUP($A1405, 'Medical Examinations'!$A:$A, 'Medical Examinations'!E:E, "No Data")</f>
        <v>No</v>
      </c>
      <c r="G1405" s="28" t="str">
        <f t="array" ref="G1405">_xlfn.XLOOKUP($A1405, 'Medical Examinations'!$A:$A, 'Medical Examinations'!F:F, "No Data")</f>
        <v>No</v>
      </c>
      <c r="H1405" s="28">
        <f t="array" ref="H1405">_xlfn.XLOOKUP($A1405, 'Medical Examinations'!$A:$A, 'Medical Examinations'!G:G, "No Data")</f>
        <v>0</v>
      </c>
      <c r="I1405" s="28" t="str">
        <f t="array" ref="I1405">_xlfn.XLOOKUP($A1405, 'Medical Examinations'!$A:$A, 'Medical Examinations'!H:H, "No Data")</f>
        <v>No</v>
      </c>
      <c r="J1405" s="28" t="str">
        <f t="array" ref="J1405">_xlfn.XLOOKUP($A1405, 'Medical Examinations'!$A:$A, 'Medical Examinations'!I:I, "No Data")</f>
        <v>Overweight</v>
      </c>
      <c r="K1405" s="28" t="str">
        <f t="array" ref="K1405">_xlfn.XLOOKUP($A1405, 'Hospitalisation Details'!$A:$A, 'Hospitalisation Details'!I:I, "No Data")</f>
        <v>tier - 1</v>
      </c>
      <c r="L1405" s="28" t="str">
        <f t="array" ref="L1405">_xlfn.XLOOKUP($A1405, 'Hospitalisation Details'!$A:$A, 'Hospitalisation Details'!J:J, "No Data")</f>
        <v>R1011</v>
      </c>
      <c r="M1405" s="28" t="str">
        <f t="array" ref="M1405">_xlfn.XLOOKUP($A1405, 'Hospitalisation Details'!$A:$A, 'Hospitalisation Details'!E:E, "No Data")</f>
        <v>06/11/78</v>
      </c>
      <c r="N1405" s="28">
        <f t="array" ref="N1405">_xlfn.XLOOKUP($A1405, 'Hospitalisation Details'!$A:$A, 'Hospitalisation Details'!K:K, "No Data")</f>
        <v>44</v>
      </c>
      <c r="O1405" s="33">
        <f t="array" ref="O1405">_xlfn.XLOOKUP($A1405, 'Hospitalisation Details'!$A:$A, 'Hospitalisation Details'!G:G, "No Data")</f>
        <v>7624.63</v>
      </c>
      <c r="P1405" s="28" t="str">
        <f t="array" ref="P1405">_xlfn.XLOOKUP($A1405, 'Hospitalisation Details'!$A:$A, 'Hospitalisation Details'!H:H, "No Data")</f>
        <v>tier - 2</v>
      </c>
    </row>
    <row r="1406">
      <c r="A1406" s="25" t="s">
        <v>4492</v>
      </c>
      <c r="B1406" s="28" t="str">
        <f t="array" ref="B1406">_xlfn.XLOOKUP($A1406, 'Customer Names'!$A:$A, 'Customer Names'!B:B, "No Data")</f>
        <v>Ellison</v>
      </c>
      <c r="C1406" s="28">
        <f t="array" ref="C1406">_xlfn.XLOOKUP($A1406, 'Medical Examinations'!$A:$A, 'Medical Examinations'!B:B, "No Data")</f>
        <v>25</v>
      </c>
      <c r="D1406" s="28">
        <f t="array" ref="D1406">_xlfn.XLOOKUP($A1406, 'Medical Examinations'!$A:$A, 'Medical Examinations'!C:C, "No Data")</f>
        <v>7.04</v>
      </c>
      <c r="E1406" s="28" t="str">
        <f t="array" ref="E1406">_xlfn.XLOOKUP($A1406, 'Medical Examinations'!$A:$A, 'Medical Examinations'!D:D, "No Data")</f>
        <v>No</v>
      </c>
      <c r="F1406" s="28" t="str">
        <f t="array" ref="F1406">_xlfn.XLOOKUP($A1406, 'Medical Examinations'!$A:$A, 'Medical Examinations'!E:E, "No Data")</f>
        <v>No</v>
      </c>
      <c r="G1406" s="28" t="str">
        <f t="array" ref="G1406">_xlfn.XLOOKUP($A1406, 'Medical Examinations'!$A:$A, 'Medical Examinations'!F:F, "No Data")</f>
        <v>No</v>
      </c>
      <c r="H1406" s="28">
        <f t="array" ref="H1406">_xlfn.XLOOKUP($A1406, 'Medical Examinations'!$A:$A, 'Medical Examinations'!G:G, "No Data")</f>
        <v>0</v>
      </c>
      <c r="I1406" s="28" t="str">
        <f t="array" ref="I1406">_xlfn.XLOOKUP($A1406, 'Medical Examinations'!$A:$A, 'Medical Examinations'!H:H, "No Data")</f>
        <v>No</v>
      </c>
      <c r="J1406" s="28" t="str">
        <f t="array" ref="J1406">_xlfn.XLOOKUP($A1406, 'Medical Examinations'!$A:$A, 'Medical Examinations'!I:I, "No Data")</f>
        <v>Overweight</v>
      </c>
      <c r="K1406" s="28" t="str">
        <f t="array" ref="K1406">_xlfn.XLOOKUP($A1406, 'Hospitalisation Details'!$A:$A, 'Hospitalisation Details'!I:I, "No Data")</f>
        <v>tier - 1</v>
      </c>
      <c r="L1406" s="28" t="str">
        <f t="array" ref="L1406">_xlfn.XLOOKUP($A1406, 'Hospitalisation Details'!$A:$A, 'Hospitalisation Details'!J:J, "No Data")</f>
        <v>R1011</v>
      </c>
      <c r="M1406" s="28" t="str">
        <f t="array" ref="M1406">_xlfn.XLOOKUP($A1406, 'Hospitalisation Details'!$A:$A, 'Hospitalisation Details'!E:E, "No Data")</f>
        <v>28/11/78</v>
      </c>
      <c r="N1406" s="28">
        <f t="array" ref="N1406">_xlfn.XLOOKUP($A1406, 'Hospitalisation Details'!$A:$A, 'Hospitalisation Details'!K:K, "No Data")</f>
        <v>44</v>
      </c>
      <c r="O1406" s="33">
        <f t="array" ref="O1406">_xlfn.XLOOKUP($A1406, 'Hospitalisation Details'!$A:$A, 'Hospitalisation Details'!G:G, "No Data")</f>
        <v>7623.52</v>
      </c>
      <c r="P1406" s="28" t="str">
        <f t="array" ref="P1406">_xlfn.XLOOKUP($A1406, 'Hospitalisation Details'!$A:$A, 'Hospitalisation Details'!H:H, "No Data")</f>
        <v>tier - 2</v>
      </c>
    </row>
    <row r="1407">
      <c r="A1407" s="25" t="s">
        <v>4496</v>
      </c>
      <c r="B1407" s="28" t="str">
        <f t="array" ref="B1407">_xlfn.XLOOKUP($A1407, 'Customer Names'!$A:$A, 'Customer Names'!B:B, "No Data")</f>
        <v>Sulkowski</v>
      </c>
      <c r="C1407" s="28">
        <f t="array" ref="C1407">_xlfn.XLOOKUP($A1407, 'Medical Examinations'!$A:$A, 'Medical Examinations'!B:B, "No Data")</f>
        <v>41.2</v>
      </c>
      <c r="D1407" s="28">
        <f t="array" ref="D1407">_xlfn.XLOOKUP($A1407, 'Medical Examinations'!$A:$A, 'Medical Examinations'!C:C, "No Data")</f>
        <v>4.18</v>
      </c>
      <c r="E1407" s="28" t="str">
        <f t="array" ref="E1407">_xlfn.XLOOKUP($A1407, 'Medical Examinations'!$A:$A, 'Medical Examinations'!D:D, "No Data")</f>
        <v>yes</v>
      </c>
      <c r="F1407" s="28" t="str">
        <f t="array" ref="F1407">_xlfn.XLOOKUP($A1407, 'Medical Examinations'!$A:$A, 'Medical Examinations'!E:E, "No Data")</f>
        <v>No</v>
      </c>
      <c r="G1407" s="28" t="str">
        <f t="array" ref="G1407">_xlfn.XLOOKUP($A1407, 'Medical Examinations'!$A:$A, 'Medical Examinations'!F:F, "No Data")</f>
        <v>No</v>
      </c>
      <c r="H1407" s="28">
        <f t="array" ref="H1407">_xlfn.XLOOKUP($A1407, 'Medical Examinations'!$A:$A, 'Medical Examinations'!G:G, "No Data")</f>
        <v>0</v>
      </c>
      <c r="I1407" s="28" t="str">
        <f t="array" ref="I1407">_xlfn.XLOOKUP($A1407, 'Medical Examinations'!$A:$A, 'Medical Examinations'!H:H, "No Data")</f>
        <v>No</v>
      </c>
      <c r="J1407" s="28" t="str">
        <f t="array" ref="J1407">_xlfn.XLOOKUP($A1407, 'Medical Examinations'!$A:$A, 'Medical Examinations'!I:I, "No Data")</f>
        <v>Obesity</v>
      </c>
      <c r="K1407" s="28" t="str">
        <f t="array" ref="K1407">_xlfn.XLOOKUP($A1407, 'Hospitalisation Details'!$A:$A, 'Hospitalisation Details'!I:I, "No Data")</f>
        <v>tier - 3</v>
      </c>
      <c r="L1407" s="28" t="str">
        <f t="array" ref="L1407">_xlfn.XLOOKUP($A1407, 'Hospitalisation Details'!$A:$A, 'Hospitalisation Details'!J:J, "No Data")</f>
        <v>R1011</v>
      </c>
      <c r="M1407" s="28" t="str">
        <f t="array" ref="M1407">_xlfn.XLOOKUP($A1407, 'Hospitalisation Details'!$A:$A, 'Hospitalisation Details'!E:E, "No Data")</f>
        <v>17/09/96</v>
      </c>
      <c r="N1407" s="28">
        <f t="array" ref="N1407">_xlfn.XLOOKUP($A1407, 'Hospitalisation Details'!$A:$A, 'Hospitalisation Details'!K:K, "No Data")</f>
        <v>26</v>
      </c>
      <c r="O1407" s="33">
        <f t="array" ref="O1407">_xlfn.XLOOKUP($A1407, 'Hospitalisation Details'!$A:$A, 'Hospitalisation Details'!G:G, "No Data")</f>
        <v>7623.13</v>
      </c>
      <c r="P1407" s="28" t="str">
        <f t="array" ref="P1407">_xlfn.XLOOKUP($A1407, 'Hospitalisation Details'!$A:$A, 'Hospitalisation Details'!H:H, "No Data")</f>
        <v>tier - 2</v>
      </c>
    </row>
    <row r="1408">
      <c r="A1408" s="25" t="s">
        <v>4499</v>
      </c>
      <c r="B1408" s="28" t="str">
        <f t="array" ref="B1408">_xlfn.XLOOKUP($A1408, 'Customer Names'!$A:$A, 'Customer Names'!B:B, "No Data")</f>
        <v>Maringo</v>
      </c>
      <c r="C1408" s="28">
        <f t="array" ref="C1408">_xlfn.XLOOKUP($A1408, 'Medical Examinations'!$A:$A, 'Medical Examinations'!B:B, "No Data")</f>
        <v>17.78</v>
      </c>
      <c r="D1408" s="28">
        <f t="array" ref="D1408">_xlfn.XLOOKUP($A1408, 'Medical Examinations'!$A:$A, 'Medical Examinations'!C:C, "No Data")</f>
        <v>8.19</v>
      </c>
      <c r="E1408" s="28" t="str">
        <f t="array" ref="E1408">_xlfn.XLOOKUP($A1408, 'Medical Examinations'!$A:$A, 'Medical Examinations'!D:D, "No Data")</f>
        <v>No</v>
      </c>
      <c r="F1408" s="28" t="str">
        <f t="array" ref="F1408">_xlfn.XLOOKUP($A1408, 'Medical Examinations'!$A:$A, 'Medical Examinations'!E:E, "No Data")</f>
        <v>No</v>
      </c>
      <c r="G1408" s="28" t="str">
        <f t="array" ref="G1408">_xlfn.XLOOKUP($A1408, 'Medical Examinations'!$A:$A, 'Medical Examinations'!F:F, "No Data")</f>
        <v>No</v>
      </c>
      <c r="H1408" s="28">
        <f t="array" ref="H1408">_xlfn.XLOOKUP($A1408, 'Medical Examinations'!$A:$A, 'Medical Examinations'!G:G, "No Data")</f>
        <v>0</v>
      </c>
      <c r="I1408" s="28" t="str">
        <f t="array" ref="I1408">_xlfn.XLOOKUP($A1408, 'Medical Examinations'!$A:$A, 'Medical Examinations'!H:H, "No Data")</f>
        <v>No</v>
      </c>
      <c r="J1408" s="28" t="str">
        <f t="array" ref="J1408">_xlfn.XLOOKUP($A1408, 'Medical Examinations'!$A:$A, 'Medical Examinations'!I:I, "No Data")</f>
        <v>Underweight</v>
      </c>
      <c r="K1408" s="28" t="str">
        <f t="array" ref="K1408">_xlfn.XLOOKUP($A1408, 'Hospitalisation Details'!$A:$A, 'Hospitalisation Details'!I:I, "No Data")</f>
        <v>tier - 2</v>
      </c>
      <c r="L1408" s="28" t="str">
        <f t="array" ref="L1408">_xlfn.XLOOKUP($A1408, 'Hospitalisation Details'!$A:$A, 'Hospitalisation Details'!J:J, "No Data")</f>
        <v>R1012</v>
      </c>
      <c r="M1408" s="28" t="str">
        <f t="array" ref="M1408">_xlfn.XLOOKUP($A1408, 'Hospitalisation Details'!$A:$A, 'Hospitalisation Details'!E:E, "No Data")</f>
        <v>03/07/68</v>
      </c>
      <c r="N1408" s="28">
        <f t="array" ref="N1408">_xlfn.XLOOKUP($A1408, 'Hospitalisation Details'!$A:$A, 'Hospitalisation Details'!K:K, "No Data")</f>
        <v>54</v>
      </c>
      <c r="O1408" s="33">
        <f t="array" ref="O1408">_xlfn.XLOOKUP($A1408, 'Hospitalisation Details'!$A:$A, 'Hospitalisation Details'!G:G, "No Data")</f>
        <v>7609.6</v>
      </c>
      <c r="P1408" s="28" t="str">
        <f t="array" ref="P1408">_xlfn.XLOOKUP($A1408, 'Hospitalisation Details'!$A:$A, 'Hospitalisation Details'!H:H, "No Data")</f>
        <v>tier - 3</v>
      </c>
    </row>
    <row r="1409">
      <c r="A1409" s="25" t="s">
        <v>4502</v>
      </c>
      <c r="B1409" s="28" t="str">
        <f t="array" ref="B1409">_xlfn.XLOOKUP($A1409, 'Customer Names'!$A:$A, 'Customer Names'!B:B, "No Data")</f>
        <v>Lattin</v>
      </c>
      <c r="C1409" s="28">
        <f t="array" ref="C1409">_xlfn.XLOOKUP($A1409, 'Medical Examinations'!$A:$A, 'Medical Examinations'!B:B, "No Data")</f>
        <v>40.12</v>
      </c>
      <c r="D1409" s="28">
        <f t="array" ref="D1409">_xlfn.XLOOKUP($A1409, 'Medical Examinations'!$A:$A, 'Medical Examinations'!C:C, "No Data")</f>
        <v>6.22</v>
      </c>
      <c r="E1409" s="28" t="str">
        <f t="array" ref="E1409">_xlfn.XLOOKUP($A1409, 'Medical Examinations'!$A:$A, 'Medical Examinations'!D:D, "No Data")</f>
        <v>yes</v>
      </c>
      <c r="F1409" s="28" t="str">
        <f t="array" ref="F1409">_xlfn.XLOOKUP($A1409, 'Medical Examinations'!$A:$A, 'Medical Examinations'!E:E, "No Data")</f>
        <v>No</v>
      </c>
      <c r="G1409" s="28" t="str">
        <f t="array" ref="G1409">_xlfn.XLOOKUP($A1409, 'Medical Examinations'!$A:$A, 'Medical Examinations'!F:F, "No Data")</f>
        <v>Yes</v>
      </c>
      <c r="H1409" s="28">
        <f t="array" ref="H1409">_xlfn.XLOOKUP($A1409, 'Medical Examinations'!$A:$A, 'Medical Examinations'!G:G, "No Data")</f>
        <v>1</v>
      </c>
      <c r="I1409" s="28" t="str">
        <f t="array" ref="I1409">_xlfn.XLOOKUP($A1409, 'Medical Examinations'!$A:$A, 'Medical Examinations'!H:H, "No Data")</f>
        <v>No</v>
      </c>
      <c r="J1409" s="28" t="str">
        <f t="array" ref="J1409">_xlfn.XLOOKUP($A1409, 'Medical Examinations'!$A:$A, 'Medical Examinations'!I:I, "No Data")</f>
        <v>Obesity</v>
      </c>
      <c r="K1409" s="28" t="str">
        <f t="array" ref="K1409">_xlfn.XLOOKUP($A1409, 'Hospitalisation Details'!$A:$A, 'Hospitalisation Details'!I:I, "No Data")</f>
        <v>tier - 2</v>
      </c>
      <c r="L1409" s="28" t="str">
        <f t="array" ref="L1409">_xlfn.XLOOKUP($A1409, 'Hospitalisation Details'!$A:$A, 'Hospitalisation Details'!J:J, "No Data")</f>
        <v>R1012</v>
      </c>
      <c r="M1409" s="28" t="str">
        <f t="array" ref="M1409">_xlfn.XLOOKUP($A1409, 'Hospitalisation Details'!$A:$A, 'Hospitalisation Details'!E:E, "No Data")</f>
        <v>30/09/97</v>
      </c>
      <c r="N1409" s="28">
        <f t="array" ref="N1409">_xlfn.XLOOKUP($A1409, 'Hospitalisation Details'!$A:$A, 'Hospitalisation Details'!K:K, "No Data")</f>
        <v>25</v>
      </c>
      <c r="O1409" s="33">
        <f t="array" ref="O1409">_xlfn.XLOOKUP($A1409, 'Hospitalisation Details'!$A:$A, 'Hospitalisation Details'!G:G, "No Data")</f>
        <v>7607.03</v>
      </c>
      <c r="P1409" s="28" t="str">
        <f t="array" ref="P1409">_xlfn.XLOOKUP($A1409, 'Hospitalisation Details'!$A:$A, 'Hospitalisation Details'!H:H, "No Data")</f>
        <v>tier - 2</v>
      </c>
    </row>
    <row r="1410">
      <c r="A1410" s="25" t="s">
        <v>4504</v>
      </c>
      <c r="B1410" s="28" t="str">
        <f t="array" ref="B1410">_xlfn.XLOOKUP($A1410, 'Customer Names'!$A:$A, 'Customer Names'!B:B, "No Data")</f>
        <v>Deblander</v>
      </c>
      <c r="C1410" s="28">
        <f t="array" ref="C1410">_xlfn.XLOOKUP($A1410, 'Medical Examinations'!$A:$A, 'Medical Examinations'!B:B, "No Data")</f>
        <v>19.35</v>
      </c>
      <c r="D1410" s="28">
        <f t="array" ref="D1410">_xlfn.XLOOKUP($A1410, 'Medical Examinations'!$A:$A, 'Medical Examinations'!C:C, "No Data")</f>
        <v>8.22</v>
      </c>
      <c r="E1410" s="28" t="str">
        <f t="array" ref="E1410">_xlfn.XLOOKUP($A1410, 'Medical Examinations'!$A:$A, 'Medical Examinations'!D:D, "No Data")</f>
        <v>yes</v>
      </c>
      <c r="F1410" s="28" t="str">
        <f t="array" ref="F1410">_xlfn.XLOOKUP($A1410, 'Medical Examinations'!$A:$A, 'Medical Examinations'!E:E, "No Data")</f>
        <v>No</v>
      </c>
      <c r="G1410" s="28" t="str">
        <f t="array" ref="G1410">_xlfn.XLOOKUP($A1410, 'Medical Examinations'!$A:$A, 'Medical Examinations'!F:F, "No Data")</f>
        <v>No</v>
      </c>
      <c r="H1410" s="28">
        <f t="array" ref="H1410">_xlfn.XLOOKUP($A1410, 'Medical Examinations'!$A:$A, 'Medical Examinations'!G:G, "No Data")</f>
        <v>0</v>
      </c>
      <c r="I1410" s="28" t="str">
        <f t="array" ref="I1410">_xlfn.XLOOKUP($A1410, 'Medical Examinations'!$A:$A, 'Medical Examinations'!H:H, "No Data")</f>
        <v>No</v>
      </c>
      <c r="J1410" s="28" t="str">
        <f t="array" ref="J1410">_xlfn.XLOOKUP($A1410, 'Medical Examinations'!$A:$A, 'Medical Examinations'!I:I, "No Data")</f>
        <v>Normal Weight</v>
      </c>
      <c r="K1410" s="28" t="str">
        <f t="array" ref="K1410">_xlfn.XLOOKUP($A1410, 'Hospitalisation Details'!$A:$A, 'Hospitalisation Details'!I:I, "No Data")</f>
        <v>tier - 2</v>
      </c>
      <c r="L1410" s="28" t="str">
        <f t="array" ref="L1410">_xlfn.XLOOKUP($A1410, 'Hospitalisation Details'!$A:$A, 'Hospitalisation Details'!J:J, "No Data")</f>
        <v>R1013</v>
      </c>
      <c r="M1410" s="28" t="str">
        <f t="array" ref="M1410">_xlfn.XLOOKUP($A1410, 'Hospitalisation Details'!$A:$A, 'Hospitalisation Details'!E:E, "No Data")</f>
        <v>17/07/67</v>
      </c>
      <c r="N1410" s="28">
        <f t="array" ref="N1410">_xlfn.XLOOKUP($A1410, 'Hospitalisation Details'!$A:$A, 'Hospitalisation Details'!K:K, "No Data")</f>
        <v>55</v>
      </c>
      <c r="O1410" s="33">
        <f t="array" ref="O1410">_xlfn.XLOOKUP($A1410, 'Hospitalisation Details'!$A:$A, 'Hospitalisation Details'!G:G, "No Data")</f>
        <v>7585.62</v>
      </c>
      <c r="P1410" s="28" t="str">
        <f t="array" ref="P1410">_xlfn.XLOOKUP($A1410, 'Hospitalisation Details'!$A:$A, 'Hospitalisation Details'!H:H, "No Data")</f>
        <v>tier - 3</v>
      </c>
    </row>
    <row r="1411">
      <c r="A1411" s="25" t="s">
        <v>4507</v>
      </c>
      <c r="B1411" s="28" t="str">
        <f t="array" ref="B1411">_xlfn.XLOOKUP($A1411, 'Customer Names'!$A:$A, 'Customer Names'!B:B, "No Data")</f>
        <v>O'Neill</v>
      </c>
      <c r="C1411" s="28">
        <f t="array" ref="C1411">_xlfn.XLOOKUP($A1411, 'Medical Examinations'!$A:$A, 'Medical Examinations'!B:B, "No Data")</f>
        <v>36.69</v>
      </c>
      <c r="D1411" s="28">
        <f t="array" ref="D1411">_xlfn.XLOOKUP($A1411, 'Medical Examinations'!$A:$A, 'Medical Examinations'!C:C, "No Data")</f>
        <v>6.15</v>
      </c>
      <c r="E1411" s="28" t="str">
        <f t="array" ref="E1411">_xlfn.XLOOKUP($A1411, 'Medical Examinations'!$A:$A, 'Medical Examinations'!D:D, "No Data")</f>
        <v>No</v>
      </c>
      <c r="F1411" s="28" t="str">
        <f t="array" ref="F1411">_xlfn.XLOOKUP($A1411, 'Medical Examinations'!$A:$A, 'Medical Examinations'!E:E, "No Data")</f>
        <v>No</v>
      </c>
      <c r="G1411" s="28" t="str">
        <f t="array" ref="G1411">_xlfn.XLOOKUP($A1411, 'Medical Examinations'!$A:$A, 'Medical Examinations'!F:F, "No Data")</f>
        <v>No</v>
      </c>
      <c r="H1411" s="28">
        <f t="array" ref="H1411">_xlfn.XLOOKUP($A1411, 'Medical Examinations'!$A:$A, 'Medical Examinations'!G:G, "No Data")</f>
        <v>0</v>
      </c>
      <c r="I1411" s="28" t="str">
        <f t="array" ref="I1411">_xlfn.XLOOKUP($A1411, 'Medical Examinations'!$A:$A, 'Medical Examinations'!H:H, "No Data")</f>
        <v>No</v>
      </c>
      <c r="J1411" s="28" t="str">
        <f t="array" ref="J1411">_xlfn.XLOOKUP($A1411, 'Medical Examinations'!$A:$A, 'Medical Examinations'!I:I, "No Data")</f>
        <v>Obesity</v>
      </c>
      <c r="K1411" s="28" t="str">
        <f t="array" ref="K1411">_xlfn.XLOOKUP($A1411, 'Hospitalisation Details'!$A:$A, 'Hospitalisation Details'!I:I, "No Data")</f>
        <v>tier - 2</v>
      </c>
      <c r="L1411" s="28" t="str">
        <f t="array" ref="L1411">_xlfn.XLOOKUP($A1411, 'Hospitalisation Details'!$A:$A, 'Hospitalisation Details'!J:J, "No Data")</f>
        <v>R1021</v>
      </c>
      <c r="M1411" s="28" t="str">
        <f t="array" ref="M1411">_xlfn.XLOOKUP($A1411, 'Hospitalisation Details'!$A:$A, 'Hospitalisation Details'!E:E, "No Data")</f>
        <v>14/08/94</v>
      </c>
      <c r="N1411" s="28">
        <f t="array" ref="N1411">_xlfn.XLOOKUP($A1411, 'Hospitalisation Details'!$A:$A, 'Hospitalisation Details'!K:K, "No Data")</f>
        <v>28</v>
      </c>
      <c r="O1411" s="33">
        <f t="array" ref="O1411">_xlfn.XLOOKUP($A1411, 'Hospitalisation Details'!$A:$A, 'Hospitalisation Details'!G:G, "No Data")</f>
        <v>7567.13</v>
      </c>
      <c r="P1411" s="28" t="str">
        <f t="array" ref="P1411">_xlfn.XLOOKUP($A1411, 'Hospitalisation Details'!$A:$A, 'Hospitalisation Details'!H:H, "No Data")</f>
        <v>tier - 2</v>
      </c>
    </row>
    <row r="1412">
      <c r="A1412" s="25" t="s">
        <v>4511</v>
      </c>
      <c r="B1412" s="28" t="str">
        <f t="array" ref="B1412">_xlfn.XLOOKUP($A1412, 'Customer Names'!$A:$A, 'Customer Names'!B:B, "No Data")</f>
        <v>Davis</v>
      </c>
      <c r="C1412" s="28">
        <f t="array" ref="C1412">_xlfn.XLOOKUP($A1412, 'Medical Examinations'!$A:$A, 'Medical Examinations'!B:B, "No Data")</f>
        <v>28.51</v>
      </c>
      <c r="D1412" s="28">
        <f t="array" ref="D1412">_xlfn.XLOOKUP($A1412, 'Medical Examinations'!$A:$A, 'Medical Examinations'!C:C, "No Data")</f>
        <v>5.65</v>
      </c>
      <c r="E1412" s="28" t="str">
        <f t="array" ref="E1412">_xlfn.XLOOKUP($A1412, 'Medical Examinations'!$A:$A, 'Medical Examinations'!D:D, "No Data")</f>
        <v>yes</v>
      </c>
      <c r="F1412" s="28" t="str">
        <f t="array" ref="F1412">_xlfn.XLOOKUP($A1412, 'Medical Examinations'!$A:$A, 'Medical Examinations'!E:E, "No Data")</f>
        <v>No</v>
      </c>
      <c r="G1412" s="28" t="str">
        <f t="array" ref="G1412">_xlfn.XLOOKUP($A1412, 'Medical Examinations'!$A:$A, 'Medical Examinations'!F:F, "No Data")</f>
        <v>No</v>
      </c>
      <c r="H1412" s="28">
        <f t="array" ref="H1412">_xlfn.XLOOKUP($A1412, 'Medical Examinations'!$A:$A, 'Medical Examinations'!G:G, "No Data")</f>
        <v>1</v>
      </c>
      <c r="I1412" s="28" t="str">
        <f t="array" ref="I1412">_xlfn.XLOOKUP($A1412, 'Medical Examinations'!$A:$A, 'Medical Examinations'!H:H, "No Data")</f>
        <v>No</v>
      </c>
      <c r="J1412" s="28" t="str">
        <f t="array" ref="J1412">_xlfn.XLOOKUP($A1412, 'Medical Examinations'!$A:$A, 'Medical Examinations'!I:I, "No Data")</f>
        <v>Overweight</v>
      </c>
      <c r="K1412" s="28" t="str">
        <f t="array" ref="K1412">_xlfn.XLOOKUP($A1412, 'Hospitalisation Details'!$A:$A, 'Hospitalisation Details'!I:I, "No Data")</f>
        <v>tier - 2</v>
      </c>
      <c r="L1412" s="28" t="str">
        <f t="array" ref="L1412">_xlfn.XLOOKUP($A1412, 'Hospitalisation Details'!$A:$A, 'Hospitalisation Details'!J:J, "No Data")</f>
        <v>R1012</v>
      </c>
      <c r="M1412" s="28" t="str">
        <f t="array" ref="M1412">_xlfn.XLOOKUP($A1412, 'Hospitalisation Details'!$A:$A, 'Hospitalisation Details'!E:E, "No Data")</f>
        <v>15/12/88</v>
      </c>
      <c r="N1412" s="28">
        <f t="array" ref="N1412">_xlfn.XLOOKUP($A1412, 'Hospitalisation Details'!$A:$A, 'Hospitalisation Details'!K:K, "No Data")</f>
        <v>34</v>
      </c>
      <c r="O1412" s="33">
        <f t="array" ref="O1412">_xlfn.XLOOKUP($A1412, 'Hospitalisation Details'!$A:$A, 'Hospitalisation Details'!G:G, "No Data")</f>
        <v>7538.52</v>
      </c>
      <c r="P1412" s="28" t="str">
        <f t="array" ref="P1412">_xlfn.XLOOKUP($A1412, 'Hospitalisation Details'!$A:$A, 'Hospitalisation Details'!H:H, "No Data")</f>
        <v>tier - 2</v>
      </c>
    </row>
    <row r="1413">
      <c r="A1413" s="25" t="s">
        <v>4514</v>
      </c>
      <c r="B1413" s="28" t="str">
        <f t="array" ref="B1413">_xlfn.XLOOKUP($A1413, 'Customer Names'!$A:$A, 'Customer Names'!B:B, "No Data")</f>
        <v>Stanek</v>
      </c>
      <c r="C1413" s="28">
        <f t="array" ref="C1413">_xlfn.XLOOKUP($A1413, 'Medical Examinations'!$A:$A, 'Medical Examinations'!B:B, "No Data")</f>
        <v>30.21</v>
      </c>
      <c r="D1413" s="28">
        <f t="array" ref="D1413">_xlfn.XLOOKUP($A1413, 'Medical Examinations'!$A:$A, 'Medical Examinations'!C:C, "No Data")</f>
        <v>5.5</v>
      </c>
      <c r="E1413" s="28" t="str">
        <f t="array" ref="E1413">_xlfn.XLOOKUP($A1413, 'Medical Examinations'!$A:$A, 'Medical Examinations'!D:D, "No Data")</f>
        <v>No</v>
      </c>
      <c r="F1413" s="28" t="str">
        <f t="array" ref="F1413">_xlfn.XLOOKUP($A1413, 'Medical Examinations'!$A:$A, 'Medical Examinations'!E:E, "No Data")</f>
        <v>No</v>
      </c>
      <c r="G1413" s="28" t="str">
        <f t="array" ref="G1413">_xlfn.XLOOKUP($A1413, 'Medical Examinations'!$A:$A, 'Medical Examinations'!F:F, "No Data")</f>
        <v>No</v>
      </c>
      <c r="H1413" s="28">
        <f t="array" ref="H1413">_xlfn.XLOOKUP($A1413, 'Medical Examinations'!$A:$A, 'Medical Examinations'!G:G, "No Data")</f>
        <v>1</v>
      </c>
      <c r="I1413" s="28" t="str">
        <f t="array" ref="I1413">_xlfn.XLOOKUP($A1413, 'Medical Examinations'!$A:$A, 'Medical Examinations'!H:H, "No Data")</f>
        <v>No</v>
      </c>
      <c r="J1413" s="28" t="str">
        <f t="array" ref="J1413">_xlfn.XLOOKUP($A1413, 'Medical Examinations'!$A:$A, 'Medical Examinations'!I:I, "No Data")</f>
        <v>Obesity</v>
      </c>
      <c r="K1413" s="28" t="str">
        <f t="array" ref="K1413">_xlfn.XLOOKUP($A1413, 'Hospitalisation Details'!$A:$A, 'Hospitalisation Details'!I:I, "No Data")</f>
        <v>tier - 2</v>
      </c>
      <c r="L1413" s="28" t="str">
        <f t="array" ref="L1413">_xlfn.XLOOKUP($A1413, 'Hospitalisation Details'!$A:$A, 'Hospitalisation Details'!J:J, "No Data")</f>
        <v>R1012</v>
      </c>
      <c r="M1413" s="28" t="str">
        <f t="array" ref="M1413">_xlfn.XLOOKUP($A1413, 'Hospitalisation Details'!$A:$A, 'Hospitalisation Details'!E:E, "No Data")</f>
        <v>22/08/84</v>
      </c>
      <c r="N1413" s="28">
        <f t="array" ref="N1413">_xlfn.XLOOKUP($A1413, 'Hospitalisation Details'!$A:$A, 'Hospitalisation Details'!K:K, "No Data")</f>
        <v>38</v>
      </c>
      <c r="O1413" s="33">
        <f t="array" ref="O1413">_xlfn.XLOOKUP($A1413, 'Hospitalisation Details'!$A:$A, 'Hospitalisation Details'!G:G, "No Data")</f>
        <v>7537.16</v>
      </c>
      <c r="P1413" s="28" t="str">
        <f t="array" ref="P1413">_xlfn.XLOOKUP($A1413, 'Hospitalisation Details'!$A:$A, 'Hospitalisation Details'!H:H, "No Data")</f>
        <v>tier - 2</v>
      </c>
    </row>
    <row r="1414">
      <c r="A1414" s="25" t="s">
        <v>4518</v>
      </c>
      <c r="B1414" s="28" t="str">
        <f t="array" ref="B1414">_xlfn.XLOOKUP($A1414, 'Customer Names'!$A:$A, 'Customer Names'!B:B, "No Data")</f>
        <v>Harris</v>
      </c>
      <c r="C1414" s="28">
        <f t="array" ref="C1414">_xlfn.XLOOKUP($A1414, 'Medical Examinations'!$A:$A, 'Medical Examinations'!B:B, "No Data")</f>
        <v>24.33</v>
      </c>
      <c r="D1414" s="28">
        <f t="array" ref="D1414">_xlfn.XLOOKUP($A1414, 'Medical Examinations'!$A:$A, 'Medical Examinations'!C:C, "No Data")</f>
        <v>8</v>
      </c>
      <c r="E1414" s="28" t="str">
        <f t="array" ref="E1414">_xlfn.XLOOKUP($A1414, 'Medical Examinations'!$A:$A, 'Medical Examinations'!D:D, "No Data")</f>
        <v>No</v>
      </c>
      <c r="F1414" s="28" t="str">
        <f t="array" ref="F1414">_xlfn.XLOOKUP($A1414, 'Medical Examinations'!$A:$A, 'Medical Examinations'!E:E, "No Data")</f>
        <v>No</v>
      </c>
      <c r="G1414" s="28" t="str">
        <f t="array" ref="G1414">_xlfn.XLOOKUP($A1414, 'Medical Examinations'!$A:$A, 'Medical Examinations'!F:F, "No Data")</f>
        <v>No</v>
      </c>
      <c r="H1414" s="28">
        <f t="array" ref="H1414">_xlfn.XLOOKUP($A1414, 'Medical Examinations'!$A:$A, 'Medical Examinations'!G:G, "No Data")</f>
        <v>0</v>
      </c>
      <c r="I1414" s="28" t="str">
        <f t="array" ref="I1414">_xlfn.XLOOKUP($A1414, 'Medical Examinations'!$A:$A, 'Medical Examinations'!H:H, "No Data")</f>
        <v>No</v>
      </c>
      <c r="J1414" s="28" t="str">
        <f t="array" ref="J1414">_xlfn.XLOOKUP($A1414, 'Medical Examinations'!$A:$A, 'Medical Examinations'!I:I, "No Data")</f>
        <v>Normal Weight</v>
      </c>
      <c r="K1414" s="28" t="str">
        <f t="array" ref="K1414">_xlfn.XLOOKUP($A1414, 'Hospitalisation Details'!$A:$A, 'Hospitalisation Details'!I:I, "No Data")</f>
        <v>tier - 1</v>
      </c>
      <c r="L1414" s="28" t="str">
        <f t="array" ref="L1414">_xlfn.XLOOKUP($A1414, 'Hospitalisation Details'!$A:$A, 'Hospitalisation Details'!J:J, "No Data")</f>
        <v>R1013</v>
      </c>
      <c r="M1414" s="28" t="str">
        <f t="array" ref="M1414">_xlfn.XLOOKUP($A1414, 'Hospitalisation Details'!$A:$A, 'Hospitalisation Details'!E:E, "No Data")</f>
        <v>14/12/78</v>
      </c>
      <c r="N1414" s="28">
        <f t="array" ref="N1414">_xlfn.XLOOKUP($A1414, 'Hospitalisation Details'!$A:$A, 'Hospitalisation Details'!K:K, "No Data")</f>
        <v>44</v>
      </c>
      <c r="O1414" s="33">
        <f t="array" ref="O1414">_xlfn.XLOOKUP($A1414, 'Hospitalisation Details'!$A:$A, 'Hospitalisation Details'!G:G, "No Data")</f>
        <v>7531.7</v>
      </c>
      <c r="P1414" s="28" t="str">
        <f t="array" ref="P1414">_xlfn.XLOOKUP($A1414, 'Hospitalisation Details'!$A:$A, 'Hospitalisation Details'!H:H, "No Data")</f>
        <v>tier - 2</v>
      </c>
    </row>
    <row r="1415">
      <c r="A1415" s="25" t="s">
        <v>4521</v>
      </c>
      <c r="B1415" s="28" t="str">
        <f t="array" ref="B1415">_xlfn.XLOOKUP($A1415, 'Customer Names'!$A:$A, 'Customer Names'!B:B, "No Data")</f>
        <v>Manning</v>
      </c>
      <c r="C1415" s="28">
        <f t="array" ref="C1415">_xlfn.XLOOKUP($A1415, 'Medical Examinations'!$A:$A, 'Medical Examinations'!B:B, "No Data")</f>
        <v>19.855</v>
      </c>
      <c r="D1415" s="28">
        <f t="array" ref="D1415">_xlfn.XLOOKUP($A1415, 'Medical Examinations'!$A:$A, 'Medical Examinations'!C:C, "No Data")</f>
        <v>5.71</v>
      </c>
      <c r="E1415" s="28" t="str">
        <f t="array" ref="E1415">_xlfn.XLOOKUP($A1415, 'Medical Examinations'!$A:$A, 'Medical Examinations'!D:D, "No Data")</f>
        <v>yes</v>
      </c>
      <c r="F1415" s="28" t="str">
        <f t="array" ref="F1415">_xlfn.XLOOKUP($A1415, 'Medical Examinations'!$A:$A, 'Medical Examinations'!E:E, "No Data")</f>
        <v>No</v>
      </c>
      <c r="G1415" s="28" t="str">
        <f t="array" ref="G1415">_xlfn.XLOOKUP($A1415, 'Medical Examinations'!$A:$A, 'Medical Examinations'!F:F, "No Data")</f>
        <v>No</v>
      </c>
      <c r="H1415" s="28">
        <f t="array" ref="H1415">_xlfn.XLOOKUP($A1415, 'Medical Examinations'!$A:$A, 'Medical Examinations'!G:G, "No Data")</f>
        <v>0</v>
      </c>
      <c r="I1415" s="28" t="str">
        <f t="array" ref="I1415">_xlfn.XLOOKUP($A1415, 'Medical Examinations'!$A:$A, 'Medical Examinations'!H:H, "No Data")</f>
        <v>No</v>
      </c>
      <c r="J1415" s="28" t="str">
        <f t="array" ref="J1415">_xlfn.XLOOKUP($A1415, 'Medical Examinations'!$A:$A, 'Medical Examinations'!I:I, "No Data")</f>
        <v>Normal Weight</v>
      </c>
      <c r="K1415" s="28" t="str">
        <f t="array" ref="K1415">_xlfn.XLOOKUP($A1415, 'Hospitalisation Details'!$A:$A, 'Hospitalisation Details'!I:I, "No Data")</f>
        <v>tier - 1</v>
      </c>
      <c r="L1415" s="28" t="str">
        <f t="array" ref="L1415">_xlfn.XLOOKUP($A1415, 'Hospitalisation Details'!$A:$A, 'Hospitalisation Details'!J:J, "No Data")</f>
        <v>R1012</v>
      </c>
      <c r="M1415" s="28" t="str">
        <f t="array" ref="M1415">_xlfn.XLOOKUP($A1415, 'Hospitalisation Details'!$A:$A, 'Hospitalisation Details'!E:E, "No Data")</f>
        <v>10/10/76</v>
      </c>
      <c r="N1415" s="28">
        <f t="array" ref="N1415">_xlfn.XLOOKUP($A1415, 'Hospitalisation Details'!$A:$A, 'Hospitalisation Details'!K:K, "No Data")</f>
        <v>46</v>
      </c>
      <c r="O1415" s="33">
        <f t="array" ref="O1415">_xlfn.XLOOKUP($A1415, 'Hospitalisation Details'!$A:$A, 'Hospitalisation Details'!G:G, "No Data")</f>
        <v>7526.71</v>
      </c>
      <c r="P1415" s="28" t="str">
        <f t="array" ref="P1415">_xlfn.XLOOKUP($A1415, 'Hospitalisation Details'!$A:$A, 'Hospitalisation Details'!H:H, "No Data")</f>
        <v>tier - 3</v>
      </c>
    </row>
    <row r="1416">
      <c r="A1416" s="25" t="s">
        <v>4523</v>
      </c>
      <c r="B1416" s="28" t="str">
        <f t="array" ref="B1416">_xlfn.XLOOKUP($A1416, 'Customer Names'!$A:$A, 'Customer Names'!B:B, "No Data")</f>
        <v>Barrera Munoz</v>
      </c>
      <c r="C1416" s="28">
        <f t="array" ref="C1416">_xlfn.XLOOKUP($A1416, 'Medical Examinations'!$A:$A, 'Medical Examinations'!B:B, "No Data")</f>
        <v>25.365</v>
      </c>
      <c r="D1416" s="28">
        <f t="array" ref="D1416">_xlfn.XLOOKUP($A1416, 'Medical Examinations'!$A:$A, 'Medical Examinations'!C:C, "No Data")</f>
        <v>11.71</v>
      </c>
      <c r="E1416" s="28" t="str">
        <f t="array" ref="E1416">_xlfn.XLOOKUP($A1416, 'Medical Examinations'!$A:$A, 'Medical Examinations'!D:D, "No Data")</f>
        <v>No</v>
      </c>
      <c r="F1416" s="28" t="str">
        <f t="array" ref="F1416">_xlfn.XLOOKUP($A1416, 'Medical Examinations'!$A:$A, 'Medical Examinations'!E:E, "No Data")</f>
        <v>No</v>
      </c>
      <c r="G1416" s="28" t="str">
        <f t="array" ref="G1416">_xlfn.XLOOKUP($A1416, 'Medical Examinations'!$A:$A, 'Medical Examinations'!F:F, "No Data")</f>
        <v>No</v>
      </c>
      <c r="H1416" s="28">
        <f t="array" ref="H1416">_xlfn.XLOOKUP($A1416, 'Medical Examinations'!$A:$A, 'Medical Examinations'!G:G, "No Data")</f>
        <v>0</v>
      </c>
      <c r="I1416" s="28" t="str">
        <f t="array" ref="I1416">_xlfn.XLOOKUP($A1416, 'Medical Examinations'!$A:$A, 'Medical Examinations'!H:H, "No Data")</f>
        <v>No</v>
      </c>
      <c r="J1416" s="28" t="str">
        <f t="array" ref="J1416">_xlfn.XLOOKUP($A1416, 'Medical Examinations'!$A:$A, 'Medical Examinations'!I:I, "No Data")</f>
        <v>Overweight</v>
      </c>
      <c r="K1416" s="28" t="str">
        <f t="array" ref="K1416">_xlfn.XLOOKUP($A1416, 'Hospitalisation Details'!$A:$A, 'Hospitalisation Details'!I:I, "No Data")</f>
        <v>tier - 3</v>
      </c>
      <c r="L1416" s="28" t="str">
        <f t="array" ref="L1416">_xlfn.XLOOKUP($A1416, 'Hospitalisation Details'!$A:$A, 'Hospitalisation Details'!J:J, "No Data")</f>
        <v>R1012</v>
      </c>
      <c r="M1416" s="28" t="str">
        <f t="array" ref="M1416">_xlfn.XLOOKUP($A1416, 'Hospitalisation Details'!$A:$A, 'Hospitalisation Details'!E:E, "No Data")</f>
        <v>18/10/78</v>
      </c>
      <c r="N1416" s="28">
        <f t="array" ref="N1416">_xlfn.XLOOKUP($A1416, 'Hospitalisation Details'!$A:$A, 'Hospitalisation Details'!K:K, "No Data")</f>
        <v>44</v>
      </c>
      <c r="O1416" s="33">
        <f t="array" ref="O1416">_xlfn.XLOOKUP($A1416, 'Hospitalisation Details'!$A:$A, 'Hospitalisation Details'!G:G, "No Data")</f>
        <v>7518.03</v>
      </c>
      <c r="P1416" s="28" t="str">
        <f t="array" ref="P1416">_xlfn.XLOOKUP($A1416, 'Hospitalisation Details'!$A:$A, 'Hospitalisation Details'!H:H, "No Data")</f>
        <v>tier - 2</v>
      </c>
    </row>
    <row r="1417">
      <c r="A1417" s="25" t="s">
        <v>4527</v>
      </c>
      <c r="B1417" s="28" t="str">
        <f t="array" ref="B1417">_xlfn.XLOOKUP($A1417, 'Customer Names'!$A:$A, 'Customer Names'!B:B, "No Data")</f>
        <v>Schauwaers</v>
      </c>
      <c r="C1417" s="28">
        <f t="array" ref="C1417">_xlfn.XLOOKUP($A1417, 'Medical Examinations'!$A:$A, 'Medical Examinations'!B:B, "No Data")</f>
        <v>29.6</v>
      </c>
      <c r="D1417" s="28">
        <f t="array" ref="D1417">_xlfn.XLOOKUP($A1417, 'Medical Examinations'!$A:$A, 'Medical Examinations'!C:C, "No Data")</f>
        <v>6.17</v>
      </c>
      <c r="E1417" s="28" t="str">
        <f t="array" ref="E1417">_xlfn.XLOOKUP($A1417, 'Medical Examinations'!$A:$A, 'Medical Examinations'!D:D, "No Data")</f>
        <v>yes</v>
      </c>
      <c r="F1417" s="28" t="str">
        <f t="array" ref="F1417">_xlfn.XLOOKUP($A1417, 'Medical Examinations'!$A:$A, 'Medical Examinations'!E:E, "No Data")</f>
        <v>No</v>
      </c>
      <c r="G1417" s="28" t="str">
        <f t="array" ref="G1417">_xlfn.XLOOKUP($A1417, 'Medical Examinations'!$A:$A, 'Medical Examinations'!F:F, "No Data")</f>
        <v>Yes</v>
      </c>
      <c r="H1417" s="28">
        <f t="array" ref="H1417">_xlfn.XLOOKUP($A1417, 'Medical Examinations'!$A:$A, 'Medical Examinations'!G:G, "No Data")</f>
        <v>1</v>
      </c>
      <c r="I1417" s="28" t="str">
        <f t="array" ref="I1417">_xlfn.XLOOKUP($A1417, 'Medical Examinations'!$A:$A, 'Medical Examinations'!H:H, "No Data")</f>
        <v>No</v>
      </c>
      <c r="J1417" s="28" t="str">
        <f t="array" ref="J1417">_xlfn.XLOOKUP($A1417, 'Medical Examinations'!$A:$A, 'Medical Examinations'!I:I, "No Data")</f>
        <v>Overweight</v>
      </c>
      <c r="K1417" s="28" t="str">
        <f t="array" ref="K1417">_xlfn.XLOOKUP($A1417, 'Hospitalisation Details'!$A:$A, 'Hospitalisation Details'!I:I, "No Data")</f>
        <v>tier - 2</v>
      </c>
      <c r="L1417" s="28" t="str">
        <f t="array" ref="L1417">_xlfn.XLOOKUP($A1417, 'Hospitalisation Details'!$A:$A, 'Hospitalisation Details'!J:J, "No Data")</f>
        <v>R1011</v>
      </c>
      <c r="M1417" s="28" t="str">
        <f t="array" ref="M1417">_xlfn.XLOOKUP($A1417, 'Hospitalisation Details'!$A:$A, 'Hospitalisation Details'!E:E, "No Data")</f>
        <v>10/07/83</v>
      </c>
      <c r="N1417" s="28">
        <f t="array" ref="N1417">_xlfn.XLOOKUP($A1417, 'Hospitalisation Details'!$A:$A, 'Hospitalisation Details'!K:K, "No Data")</f>
        <v>39</v>
      </c>
      <c r="O1417" s="33">
        <f t="array" ref="O1417">_xlfn.XLOOKUP($A1417, 'Hospitalisation Details'!$A:$A, 'Hospitalisation Details'!G:G, "No Data")</f>
        <v>7512.27</v>
      </c>
      <c r="P1417" s="28" t="str">
        <f t="array" ref="P1417">_xlfn.XLOOKUP($A1417, 'Hospitalisation Details'!$A:$A, 'Hospitalisation Details'!H:H, "No Data")</f>
        <v>tier - 3</v>
      </c>
    </row>
    <row r="1418">
      <c r="A1418" s="25" t="s">
        <v>4529</v>
      </c>
      <c r="B1418" s="28" t="str">
        <f t="array" ref="B1418">_xlfn.XLOOKUP($A1418, 'Customer Names'!$A:$A, 'Customer Names'!B:B, "No Data")</f>
        <v>Hartman</v>
      </c>
      <c r="C1418" s="28">
        <f t="array" ref="C1418">_xlfn.XLOOKUP($A1418, 'Medical Examinations'!$A:$A, 'Medical Examinations'!B:B, "No Data")</f>
        <v>39.43</v>
      </c>
      <c r="D1418" s="28">
        <f t="array" ref="D1418">_xlfn.XLOOKUP($A1418, 'Medical Examinations'!$A:$A, 'Medical Examinations'!C:C, "No Data")</f>
        <v>6.1</v>
      </c>
      <c r="E1418" s="28" t="str">
        <f t="array" ref="E1418">_xlfn.XLOOKUP($A1418, 'Medical Examinations'!$A:$A, 'Medical Examinations'!D:D, "No Data")</f>
        <v>yes</v>
      </c>
      <c r="F1418" s="28" t="str">
        <f t="array" ref="F1418">_xlfn.XLOOKUP($A1418, 'Medical Examinations'!$A:$A, 'Medical Examinations'!E:E, "No Data")</f>
        <v>No</v>
      </c>
      <c r="G1418" s="28" t="str">
        <f t="array" ref="G1418">_xlfn.XLOOKUP($A1418, 'Medical Examinations'!$A:$A, 'Medical Examinations'!F:F, "No Data")</f>
        <v>Yes</v>
      </c>
      <c r="H1418" s="28">
        <f t="array" ref="H1418">_xlfn.XLOOKUP($A1418, 'Medical Examinations'!$A:$A, 'Medical Examinations'!G:G, "No Data")</f>
        <v>1</v>
      </c>
      <c r="I1418" s="28" t="str">
        <f t="array" ref="I1418">_xlfn.XLOOKUP($A1418, 'Medical Examinations'!$A:$A, 'Medical Examinations'!H:H, "No Data")</f>
        <v>No</v>
      </c>
      <c r="J1418" s="28" t="str">
        <f t="array" ref="J1418">_xlfn.XLOOKUP($A1418, 'Medical Examinations'!$A:$A, 'Medical Examinations'!I:I, "No Data")</f>
        <v>Obesity</v>
      </c>
      <c r="K1418" s="28" t="str">
        <f t="array" ref="K1418">_xlfn.XLOOKUP($A1418, 'Hospitalisation Details'!$A:$A, 'Hospitalisation Details'!I:I, "No Data")</f>
        <v>tier - 1</v>
      </c>
      <c r="L1418" s="28" t="str">
        <f t="array" ref="L1418">_xlfn.XLOOKUP($A1418, 'Hospitalisation Details'!$A:$A, 'Hospitalisation Details'!J:J, "No Data")</f>
        <v>R1012</v>
      </c>
      <c r="M1418" s="28" t="str">
        <f t="array" ref="M1418">_xlfn.XLOOKUP($A1418, 'Hospitalisation Details'!$A:$A, 'Hospitalisation Details'!E:E, "No Data")</f>
        <v>28/10/97</v>
      </c>
      <c r="N1418" s="28">
        <f t="array" ref="N1418">_xlfn.XLOOKUP($A1418, 'Hospitalisation Details'!$A:$A, 'Hospitalisation Details'!K:K, "No Data")</f>
        <v>25</v>
      </c>
      <c r="O1418" s="33">
        <f t="array" ref="O1418">_xlfn.XLOOKUP($A1418, 'Hospitalisation Details'!$A:$A, 'Hospitalisation Details'!G:G, "No Data")</f>
        <v>7504.3</v>
      </c>
      <c r="P1418" s="28" t="str">
        <f t="array" ref="P1418">_xlfn.XLOOKUP($A1418, 'Hospitalisation Details'!$A:$A, 'Hospitalisation Details'!H:H, "No Data")</f>
        <v>tier - 2</v>
      </c>
    </row>
    <row r="1419">
      <c r="A1419" s="25" t="s">
        <v>4533</v>
      </c>
      <c r="B1419" s="28" t="str">
        <f t="array" ref="B1419">_xlfn.XLOOKUP($A1419, 'Customer Names'!$A:$A, 'Customer Names'!B:B, "No Data")</f>
        <v>Fire</v>
      </c>
      <c r="C1419" s="28">
        <f t="array" ref="C1419">_xlfn.XLOOKUP($A1419, 'Medical Examinations'!$A:$A, 'Medical Examinations'!B:B, "No Data")</f>
        <v>27.34</v>
      </c>
      <c r="D1419" s="28">
        <f t="array" ref="D1419">_xlfn.XLOOKUP($A1419, 'Medical Examinations'!$A:$A, 'Medical Examinations'!C:C, "No Data")</f>
        <v>5.19</v>
      </c>
      <c r="E1419" s="28" t="str">
        <f t="array" ref="E1419">_xlfn.XLOOKUP($A1419, 'Medical Examinations'!$A:$A, 'Medical Examinations'!D:D, "No Data")</f>
        <v>yes</v>
      </c>
      <c r="F1419" s="28" t="str">
        <f t="array" ref="F1419">_xlfn.XLOOKUP($A1419, 'Medical Examinations'!$A:$A, 'Medical Examinations'!E:E, "No Data")</f>
        <v>No</v>
      </c>
      <c r="G1419" s="28" t="str">
        <f t="array" ref="G1419">_xlfn.XLOOKUP($A1419, 'Medical Examinations'!$A:$A, 'Medical Examinations'!F:F, "No Data")</f>
        <v>No</v>
      </c>
      <c r="H1419" s="28">
        <f t="array" ref="H1419">_xlfn.XLOOKUP($A1419, 'Medical Examinations'!$A:$A, 'Medical Examinations'!G:G, "No Data")</f>
        <v>1</v>
      </c>
      <c r="I1419" s="28" t="str">
        <f t="array" ref="I1419">_xlfn.XLOOKUP($A1419, 'Medical Examinations'!$A:$A, 'Medical Examinations'!H:H, "No Data")</f>
        <v>No</v>
      </c>
      <c r="J1419" s="28" t="str">
        <f t="array" ref="J1419">_xlfn.XLOOKUP($A1419, 'Medical Examinations'!$A:$A, 'Medical Examinations'!I:I, "No Data")</f>
        <v>Overweight</v>
      </c>
      <c r="K1419" s="28" t="str">
        <f t="array" ref="K1419">_xlfn.XLOOKUP($A1419, 'Hospitalisation Details'!$A:$A, 'Hospitalisation Details'!I:I, "No Data")</f>
        <v>tier - 3</v>
      </c>
      <c r="L1419" s="28" t="str">
        <f t="array" ref="L1419">_xlfn.XLOOKUP($A1419, 'Hospitalisation Details'!$A:$A, 'Hospitalisation Details'!J:J, "No Data")</f>
        <v>R1025</v>
      </c>
      <c r="M1419" s="28" t="str">
        <f t="array" ref="M1419">_xlfn.XLOOKUP($A1419, 'Hospitalisation Details'!$A:$A, 'Hospitalisation Details'!E:E, "No Data")</f>
        <v>15/12/88</v>
      </c>
      <c r="N1419" s="28">
        <f t="array" ref="N1419">_xlfn.XLOOKUP($A1419, 'Hospitalisation Details'!$A:$A, 'Hospitalisation Details'!K:K, "No Data")</f>
        <v>34</v>
      </c>
      <c r="O1419" s="33">
        <f t="array" ref="O1419">_xlfn.XLOOKUP($A1419, 'Hospitalisation Details'!$A:$A, 'Hospitalisation Details'!G:G, "No Data")</f>
        <v>7494.63</v>
      </c>
      <c r="P1419" s="28" t="str">
        <f t="array" ref="P1419">_xlfn.XLOOKUP($A1419, 'Hospitalisation Details'!$A:$A, 'Hospitalisation Details'!H:H, "No Data")</f>
        <v>tier - 2</v>
      </c>
    </row>
    <row r="1420">
      <c r="A1420" s="25" t="s">
        <v>4535</v>
      </c>
      <c r="B1420" s="28" t="str">
        <f t="array" ref="B1420">_xlfn.XLOOKUP($A1420, 'Customer Names'!$A:$A, 'Customer Names'!B:B, "No Data")</f>
        <v>Waliaula</v>
      </c>
      <c r="C1420" s="28">
        <f t="array" ref="C1420">_xlfn.XLOOKUP($A1420, 'Medical Examinations'!$A:$A, 'Medical Examinations'!B:B, "No Data")</f>
        <v>39.01</v>
      </c>
      <c r="D1420" s="28">
        <f t="array" ref="D1420">_xlfn.XLOOKUP($A1420, 'Medical Examinations'!$A:$A, 'Medical Examinations'!C:C, "No Data")</f>
        <v>5.37</v>
      </c>
      <c r="E1420" s="28" t="str">
        <f t="array" ref="E1420">_xlfn.XLOOKUP($A1420, 'Medical Examinations'!$A:$A, 'Medical Examinations'!D:D, "No Data")</f>
        <v>yes</v>
      </c>
      <c r="F1420" s="28" t="str">
        <f t="array" ref="F1420">_xlfn.XLOOKUP($A1420, 'Medical Examinations'!$A:$A, 'Medical Examinations'!E:E, "No Data")</f>
        <v>No</v>
      </c>
      <c r="G1420" s="28" t="str">
        <f t="array" ref="G1420">_xlfn.XLOOKUP($A1420, 'Medical Examinations'!$A:$A, 'Medical Examinations'!F:F, "No Data")</f>
        <v>No</v>
      </c>
      <c r="H1420" s="28">
        <f t="array" ref="H1420">_xlfn.XLOOKUP($A1420, 'Medical Examinations'!$A:$A, 'Medical Examinations'!G:G, "No Data")</f>
        <v>0</v>
      </c>
      <c r="I1420" s="28" t="str">
        <f t="array" ref="I1420">_xlfn.XLOOKUP($A1420, 'Medical Examinations'!$A:$A, 'Medical Examinations'!H:H, "No Data")</f>
        <v>No</v>
      </c>
      <c r="J1420" s="28" t="str">
        <f t="array" ref="J1420">_xlfn.XLOOKUP($A1420, 'Medical Examinations'!$A:$A, 'Medical Examinations'!I:I, "No Data")</f>
        <v>Obesity</v>
      </c>
      <c r="K1420" s="28" t="str">
        <f t="array" ref="K1420">_xlfn.XLOOKUP($A1420, 'Hospitalisation Details'!$A:$A, 'Hospitalisation Details'!I:I, "No Data")</f>
        <v>tier - 3</v>
      </c>
      <c r="L1420" s="28" t="str">
        <f t="array" ref="L1420">_xlfn.XLOOKUP($A1420, 'Hospitalisation Details'!$A:$A, 'Hospitalisation Details'!J:J, "No Data")</f>
        <v>R1012</v>
      </c>
      <c r="M1420" s="28" t="str">
        <f t="array" ref="M1420">_xlfn.XLOOKUP($A1420, 'Hospitalisation Details'!$A:$A, 'Hospitalisation Details'!E:E, "No Data")</f>
        <v>14/06/96</v>
      </c>
      <c r="N1420" s="28">
        <f t="array" ref="N1420">_xlfn.XLOOKUP($A1420, 'Hospitalisation Details'!$A:$A, 'Hospitalisation Details'!K:K, "No Data")</f>
        <v>26</v>
      </c>
      <c r="O1420" s="33">
        <f t="array" ref="O1420">_xlfn.XLOOKUP($A1420, 'Hospitalisation Details'!$A:$A, 'Hospitalisation Details'!G:G, "No Data")</f>
        <v>7487.38</v>
      </c>
      <c r="P1420" s="28" t="str">
        <f t="array" ref="P1420">_xlfn.XLOOKUP($A1420, 'Hospitalisation Details'!$A:$A, 'Hospitalisation Details'!H:H, "No Data")</f>
        <v>tier - 2</v>
      </c>
    </row>
    <row r="1421">
      <c r="A1421" s="25" t="s">
        <v>4538</v>
      </c>
      <c r="B1421" s="28" t="str">
        <f t="array" ref="B1421">_xlfn.XLOOKUP($A1421, 'Customer Names'!$A:$A, 'Customer Names'!B:B, "No Data")</f>
        <v>Blackshear</v>
      </c>
      <c r="C1421" s="28">
        <f t="array" ref="C1421">_xlfn.XLOOKUP($A1421, 'Medical Examinations'!$A:$A, 'Medical Examinations'!B:B, "No Data")</f>
        <v>18.99</v>
      </c>
      <c r="D1421" s="28">
        <f t="array" ref="D1421">_xlfn.XLOOKUP($A1421, 'Medical Examinations'!$A:$A, 'Medical Examinations'!C:C, "No Data")</f>
        <v>10.82</v>
      </c>
      <c r="E1421" s="28" t="str">
        <f t="array" ref="E1421">_xlfn.XLOOKUP($A1421, 'Medical Examinations'!$A:$A, 'Medical Examinations'!D:D, "No Data")</f>
        <v>yes</v>
      </c>
      <c r="F1421" s="28" t="str">
        <f t="array" ref="F1421">_xlfn.XLOOKUP($A1421, 'Medical Examinations'!$A:$A, 'Medical Examinations'!E:E, "No Data")</f>
        <v>No</v>
      </c>
      <c r="G1421" s="28" t="str">
        <f t="array" ref="G1421">_xlfn.XLOOKUP($A1421, 'Medical Examinations'!$A:$A, 'Medical Examinations'!F:F, "No Data")</f>
        <v>No</v>
      </c>
      <c r="H1421" s="28">
        <f t="array" ref="H1421">_xlfn.XLOOKUP($A1421, 'Medical Examinations'!$A:$A, 'Medical Examinations'!G:G, "No Data")</f>
        <v>0</v>
      </c>
      <c r="I1421" s="28" t="str">
        <f t="array" ref="I1421">_xlfn.XLOOKUP($A1421, 'Medical Examinations'!$A:$A, 'Medical Examinations'!H:H, "No Data")</f>
        <v>No</v>
      </c>
      <c r="J1421" s="28" t="str">
        <f t="array" ref="J1421">_xlfn.XLOOKUP($A1421, 'Medical Examinations'!$A:$A, 'Medical Examinations'!I:I, "No Data")</f>
        <v>Normal Weight</v>
      </c>
      <c r="K1421" s="28" t="str">
        <f t="array" ref="K1421">_xlfn.XLOOKUP($A1421, 'Hospitalisation Details'!$A:$A, 'Hospitalisation Details'!I:I, "No Data")</f>
        <v>tier - 3</v>
      </c>
      <c r="L1421" s="28" t="str">
        <f t="array" ref="L1421">_xlfn.XLOOKUP($A1421, 'Hospitalisation Details'!$A:$A, 'Hospitalisation Details'!J:J, "No Data")</f>
        <v>R1013</v>
      </c>
      <c r="M1421" s="28" t="str">
        <f t="array" ref="M1421">_xlfn.XLOOKUP($A1421, 'Hospitalisation Details'!$A:$A, 'Hospitalisation Details'!E:E, "No Data")</f>
        <v>04/08/67</v>
      </c>
      <c r="N1421" s="28">
        <f t="array" ref="N1421">_xlfn.XLOOKUP($A1421, 'Hospitalisation Details'!$A:$A, 'Hospitalisation Details'!K:K, "No Data")</f>
        <v>55</v>
      </c>
      <c r="O1421" s="33">
        <f t="array" ref="O1421">_xlfn.XLOOKUP($A1421, 'Hospitalisation Details'!$A:$A, 'Hospitalisation Details'!G:G, "No Data")</f>
        <v>7463.51</v>
      </c>
      <c r="P1421" s="28" t="str">
        <f t="array" ref="P1421">_xlfn.XLOOKUP($A1421, 'Hospitalisation Details'!$A:$A, 'Hospitalisation Details'!H:H, "No Data")</f>
        <v>tier - 3</v>
      </c>
    </row>
    <row r="1422">
      <c r="A1422" s="25" t="s">
        <v>4542</v>
      </c>
      <c r="B1422" s="28" t="str">
        <f t="array" ref="B1422">_xlfn.XLOOKUP($A1422, 'Customer Names'!$A:$A, 'Customer Names'!B:B, "No Data")</f>
        <v>Nettik</v>
      </c>
      <c r="C1422" s="28">
        <f t="array" ref="C1422">_xlfn.XLOOKUP($A1422, 'Medical Examinations'!$A:$A, 'Medical Examinations'!B:B, "No Data")</f>
        <v>42.3</v>
      </c>
      <c r="D1422" s="28">
        <f t="array" ref="D1422">_xlfn.XLOOKUP($A1422, 'Medical Examinations'!$A:$A, 'Medical Examinations'!C:C, "No Data")</f>
        <v>6.06</v>
      </c>
      <c r="E1422" s="28" t="str">
        <f t="array" ref="E1422">_xlfn.XLOOKUP($A1422, 'Medical Examinations'!$A:$A, 'Medical Examinations'!D:D, "No Data")</f>
        <v>yes</v>
      </c>
      <c r="F1422" s="28" t="str">
        <f t="array" ref="F1422">_xlfn.XLOOKUP($A1422, 'Medical Examinations'!$A:$A, 'Medical Examinations'!E:E, "No Data")</f>
        <v>No</v>
      </c>
      <c r="G1422" s="28" t="str">
        <f t="array" ref="G1422">_xlfn.XLOOKUP($A1422, 'Medical Examinations'!$A:$A, 'Medical Examinations'!F:F, "No Data")</f>
        <v>No</v>
      </c>
      <c r="H1422" s="28">
        <f t="array" ref="H1422">_xlfn.XLOOKUP($A1422, 'Medical Examinations'!$A:$A, 'Medical Examinations'!G:G, "No Data")</f>
        <v>0</v>
      </c>
      <c r="I1422" s="28" t="str">
        <f t="array" ref="I1422">_xlfn.XLOOKUP($A1422, 'Medical Examinations'!$A:$A, 'Medical Examinations'!H:H, "No Data")</f>
        <v>No</v>
      </c>
      <c r="J1422" s="28" t="str">
        <f t="array" ref="J1422">_xlfn.XLOOKUP($A1422, 'Medical Examinations'!$A:$A, 'Medical Examinations'!I:I, "No Data")</f>
        <v>Obesity</v>
      </c>
      <c r="K1422" s="28" t="str">
        <f t="array" ref="K1422">_xlfn.XLOOKUP($A1422, 'Hospitalisation Details'!$A:$A, 'Hospitalisation Details'!I:I, "No Data")</f>
        <v>tier - 2</v>
      </c>
      <c r="L1422" s="28" t="str">
        <f t="array" ref="L1422">_xlfn.XLOOKUP($A1422, 'Hospitalisation Details'!$A:$A, 'Hospitalisation Details'!J:J, "No Data")</f>
        <v>R1012</v>
      </c>
      <c r="M1422" s="28" t="str">
        <f t="array" ref="M1422">_xlfn.XLOOKUP($A1422, 'Hospitalisation Details'!$A:$A, 'Hospitalisation Details'!E:E, "No Data")</f>
        <v>01/06/01</v>
      </c>
      <c r="N1422" s="28">
        <f t="array" ref="N1422">_xlfn.XLOOKUP($A1422, 'Hospitalisation Details'!$A:$A, 'Hospitalisation Details'!K:K, "No Data")</f>
        <v>22</v>
      </c>
      <c r="O1422" s="33">
        <f t="array" ref="O1422">_xlfn.XLOOKUP($A1422, 'Hospitalisation Details'!$A:$A, 'Hospitalisation Details'!G:G, "No Data")</f>
        <v>7450.36</v>
      </c>
      <c r="P1422" s="28" t="str">
        <f t="array" ref="P1422">_xlfn.XLOOKUP($A1422, 'Hospitalisation Details'!$A:$A, 'Hospitalisation Details'!H:H, "No Data")</f>
        <v>tier - 2</v>
      </c>
    </row>
    <row r="1423">
      <c r="A1423" s="25" t="s">
        <v>4546</v>
      </c>
      <c r="B1423" s="28" t="str">
        <f t="array" ref="B1423">_xlfn.XLOOKUP($A1423, 'Customer Names'!$A:$A, 'Customer Names'!B:B, "No Data")</f>
        <v>Novales</v>
      </c>
      <c r="C1423" s="28">
        <f t="array" ref="C1423">_xlfn.XLOOKUP($A1423, 'Medical Examinations'!$A:$A, 'Medical Examinations'!B:B, "No Data")</f>
        <v>39.805</v>
      </c>
      <c r="D1423" s="28">
        <f t="array" ref="D1423">_xlfn.XLOOKUP($A1423, 'Medical Examinations'!$A:$A, 'Medical Examinations'!C:C, "No Data")</f>
        <v>5.91</v>
      </c>
      <c r="E1423" s="28" t="str">
        <f t="array" ref="E1423">_xlfn.XLOOKUP($A1423, 'Medical Examinations'!$A:$A, 'Medical Examinations'!D:D, "No Data")</f>
        <v>No</v>
      </c>
      <c r="F1423" s="28" t="str">
        <f t="array" ref="F1423">_xlfn.XLOOKUP($A1423, 'Medical Examinations'!$A:$A, 'Medical Examinations'!E:E, "No Data")</f>
        <v>No</v>
      </c>
      <c r="G1423" s="28" t="str">
        <f t="array" ref="G1423">_xlfn.XLOOKUP($A1423, 'Medical Examinations'!$A:$A, 'Medical Examinations'!F:F, "No Data")</f>
        <v>No</v>
      </c>
      <c r="H1423" s="28">
        <f t="array" ref="H1423">_xlfn.XLOOKUP($A1423, 'Medical Examinations'!$A:$A, 'Medical Examinations'!G:G, "No Data")</f>
        <v>0</v>
      </c>
      <c r="I1423" s="28" t="str">
        <f t="array" ref="I1423">_xlfn.XLOOKUP($A1423, 'Medical Examinations'!$A:$A, 'Medical Examinations'!H:H, "No Data")</f>
        <v>No</v>
      </c>
      <c r="J1423" s="28" t="str">
        <f t="array" ref="J1423">_xlfn.XLOOKUP($A1423, 'Medical Examinations'!$A:$A, 'Medical Examinations'!I:I, "No Data")</f>
        <v>Obesity</v>
      </c>
      <c r="K1423" s="28" t="str">
        <f t="array" ref="K1423">_xlfn.XLOOKUP($A1423, 'Hospitalisation Details'!$A:$A, 'Hospitalisation Details'!I:I, "No Data")</f>
        <v>tier - 3</v>
      </c>
      <c r="L1423" s="28" t="str">
        <f t="array" ref="L1423">_xlfn.XLOOKUP($A1423, 'Hospitalisation Details'!$A:$A, 'Hospitalisation Details'!J:J, "No Data")</f>
        <v>R1017</v>
      </c>
      <c r="M1423" s="28" t="str">
        <f t="array" ref="M1423">_xlfn.XLOOKUP($A1423, 'Hospitalisation Details'!$A:$A, 'Hospitalisation Details'!E:E, "No Data")</f>
        <v>30/09/77</v>
      </c>
      <c r="N1423" s="28">
        <f t="array" ref="N1423">_xlfn.XLOOKUP($A1423, 'Hospitalisation Details'!$A:$A, 'Hospitalisation Details'!K:K, "No Data")</f>
        <v>45</v>
      </c>
      <c r="O1423" s="33">
        <f t="array" ref="O1423">_xlfn.XLOOKUP($A1423, 'Hospitalisation Details'!$A:$A, 'Hospitalisation Details'!G:G, "No Data")</f>
        <v>7448.4</v>
      </c>
      <c r="P1423" s="28" t="str">
        <f t="array" ref="P1423">_xlfn.XLOOKUP($A1423, 'Hospitalisation Details'!$A:$A, 'Hospitalisation Details'!H:H, "No Data")</f>
        <v>tier - 3</v>
      </c>
    </row>
    <row r="1424">
      <c r="A1424" s="25" t="s">
        <v>4549</v>
      </c>
      <c r="B1424" s="28" t="str">
        <f t="array" ref="B1424">_xlfn.XLOOKUP($A1424, 'Customer Names'!$A:$A, 'Customer Names'!B:B, "No Data")</f>
        <v>Rosauer</v>
      </c>
      <c r="C1424" s="28">
        <f t="array" ref="C1424">_xlfn.XLOOKUP($A1424, 'Medical Examinations'!$A:$A, 'Medical Examinations'!B:B, "No Data")</f>
        <v>33.7</v>
      </c>
      <c r="D1424" s="28">
        <f t="array" ref="D1424">_xlfn.XLOOKUP($A1424, 'Medical Examinations'!$A:$A, 'Medical Examinations'!C:C, "No Data")</f>
        <v>5.87</v>
      </c>
      <c r="E1424" s="28" t="str">
        <f t="array" ref="E1424">_xlfn.XLOOKUP($A1424, 'Medical Examinations'!$A:$A, 'Medical Examinations'!D:D, "No Data")</f>
        <v>No</v>
      </c>
      <c r="F1424" s="28" t="str">
        <f t="array" ref="F1424">_xlfn.XLOOKUP($A1424, 'Medical Examinations'!$A:$A, 'Medical Examinations'!E:E, "No Data")</f>
        <v>No</v>
      </c>
      <c r="G1424" s="28" t="str">
        <f t="array" ref="G1424">_xlfn.XLOOKUP($A1424, 'Medical Examinations'!$A:$A, 'Medical Examinations'!F:F, "No Data")</f>
        <v>No</v>
      </c>
      <c r="H1424" s="28">
        <f t="array" ref="H1424">_xlfn.XLOOKUP($A1424, 'Medical Examinations'!$A:$A, 'Medical Examinations'!G:G, "No Data")</f>
        <v>0</v>
      </c>
      <c r="I1424" s="28" t="str">
        <f t="array" ref="I1424">_xlfn.XLOOKUP($A1424, 'Medical Examinations'!$A:$A, 'Medical Examinations'!H:H, "No Data")</f>
        <v>No</v>
      </c>
      <c r="J1424" s="28" t="str">
        <f t="array" ref="J1424">_xlfn.XLOOKUP($A1424, 'Medical Examinations'!$A:$A, 'Medical Examinations'!I:I, "No Data")</f>
        <v>Obesity</v>
      </c>
      <c r="K1424" s="28" t="str">
        <f t="array" ref="K1424">_xlfn.XLOOKUP($A1424, 'Hospitalisation Details'!$A:$A, 'Hospitalisation Details'!I:I, "No Data")</f>
        <v>tier - 1</v>
      </c>
      <c r="L1424" s="28" t="str">
        <f t="array" ref="L1424">_xlfn.XLOOKUP($A1424, 'Hospitalisation Details'!$A:$A, 'Hospitalisation Details'!J:J, "No Data")</f>
        <v>R1011</v>
      </c>
      <c r="M1424" s="28" t="str">
        <f t="array" ref="M1424">_xlfn.XLOOKUP($A1424, 'Hospitalisation Details'!$A:$A, 'Hospitalisation Details'!E:E, "No Data")</f>
        <v>25/09/77</v>
      </c>
      <c r="N1424" s="28">
        <f t="array" ref="N1424">_xlfn.XLOOKUP($A1424, 'Hospitalisation Details'!$A:$A, 'Hospitalisation Details'!K:K, "No Data")</f>
        <v>45</v>
      </c>
      <c r="O1424" s="33">
        <f t="array" ref="O1424">_xlfn.XLOOKUP($A1424, 'Hospitalisation Details'!$A:$A, 'Hospitalisation Details'!G:G, "No Data")</f>
        <v>7445.92</v>
      </c>
      <c r="P1424" s="28" t="str">
        <f t="array" ref="P1424">_xlfn.XLOOKUP($A1424, 'Hospitalisation Details'!$A:$A, 'Hospitalisation Details'!H:H, "No Data")</f>
        <v>tier - 3</v>
      </c>
    </row>
    <row r="1425">
      <c r="A1425" s="25" t="s">
        <v>4553</v>
      </c>
      <c r="B1425" s="28" t="str">
        <f t="array" ref="B1425">_xlfn.XLOOKUP($A1425, 'Customer Names'!$A:$A, 'Customer Names'!B:B, "No Data")</f>
        <v>Ryder</v>
      </c>
      <c r="C1425" s="28">
        <f t="array" ref="C1425">_xlfn.XLOOKUP($A1425, 'Medical Examinations'!$A:$A, 'Medical Examinations'!B:B, "No Data")</f>
        <v>36.195</v>
      </c>
      <c r="D1425" s="28">
        <f t="array" ref="D1425">_xlfn.XLOOKUP($A1425, 'Medical Examinations'!$A:$A, 'Medical Examinations'!C:C, "No Data")</f>
        <v>6.22</v>
      </c>
      <c r="E1425" s="28" t="str">
        <f t="array" ref="E1425">_xlfn.XLOOKUP($A1425, 'Medical Examinations'!$A:$A, 'Medical Examinations'!D:D, "No Data")</f>
        <v>No</v>
      </c>
      <c r="F1425" s="28" t="str">
        <f t="array" ref="F1425">_xlfn.XLOOKUP($A1425, 'Medical Examinations'!$A:$A, 'Medical Examinations'!E:E, "No Data")</f>
        <v>No</v>
      </c>
      <c r="G1425" s="28" t="str">
        <f t="array" ref="G1425">_xlfn.XLOOKUP($A1425, 'Medical Examinations'!$A:$A, 'Medical Examinations'!F:F, "No Data")</f>
        <v>No</v>
      </c>
      <c r="H1425" s="28">
        <f t="array" ref="H1425">_xlfn.XLOOKUP($A1425, 'Medical Examinations'!$A:$A, 'Medical Examinations'!G:G, "No Data")</f>
        <v>0</v>
      </c>
      <c r="I1425" s="28" t="str">
        <f t="array" ref="I1425">_xlfn.XLOOKUP($A1425, 'Medical Examinations'!$A:$A, 'Medical Examinations'!H:H, "No Data")</f>
        <v>No</v>
      </c>
      <c r="J1425" s="28" t="str">
        <f t="array" ref="J1425">_xlfn.XLOOKUP($A1425, 'Medical Examinations'!$A:$A, 'Medical Examinations'!I:I, "No Data")</f>
        <v>Obesity</v>
      </c>
      <c r="K1425" s="28" t="str">
        <f t="array" ref="K1425">_xlfn.XLOOKUP($A1425, 'Hospitalisation Details'!$A:$A, 'Hospitalisation Details'!I:I, "No Data")</f>
        <v>tier - 3</v>
      </c>
      <c r="L1425" s="28" t="str">
        <f t="array" ref="L1425">_xlfn.XLOOKUP($A1425, 'Hospitalisation Details'!$A:$A, 'Hospitalisation Details'!J:J, "No Data")</f>
        <v>R1012</v>
      </c>
      <c r="M1425" s="28" t="str">
        <f t="array" ref="M1425">_xlfn.XLOOKUP($A1425, 'Hospitalisation Details'!$A:$A, 'Hospitalisation Details'!E:E, "No Data")</f>
        <v>07/07/80</v>
      </c>
      <c r="N1425" s="28">
        <f t="array" ref="N1425">_xlfn.XLOOKUP($A1425, 'Hospitalisation Details'!$A:$A, 'Hospitalisation Details'!K:K, "No Data")</f>
        <v>42</v>
      </c>
      <c r="O1425" s="33">
        <f t="array" ref="O1425">_xlfn.XLOOKUP($A1425, 'Hospitalisation Details'!$A:$A, 'Hospitalisation Details'!G:G, "No Data")</f>
        <v>7443.64</v>
      </c>
      <c r="P1425" s="28" t="str">
        <f t="array" ref="P1425">_xlfn.XLOOKUP($A1425, 'Hospitalisation Details'!$A:$A, 'Hospitalisation Details'!H:H, "No Data")</f>
        <v>tier - 2</v>
      </c>
    </row>
    <row r="1426">
      <c r="A1426" s="25" t="s">
        <v>4557</v>
      </c>
      <c r="B1426" s="28" t="str">
        <f t="array" ref="B1426">_xlfn.XLOOKUP($A1426, 'Customer Names'!$A:$A, 'Customer Names'!B:B, "No Data")</f>
        <v>Larsen</v>
      </c>
      <c r="C1426" s="28">
        <f t="array" ref="C1426">_xlfn.XLOOKUP($A1426, 'Medical Examinations'!$A:$A, 'Medical Examinations'!B:B, "No Data")</f>
        <v>32.6</v>
      </c>
      <c r="D1426" s="28">
        <f t="array" ref="D1426">_xlfn.XLOOKUP($A1426, 'Medical Examinations'!$A:$A, 'Medical Examinations'!C:C, "No Data")</f>
        <v>5.73</v>
      </c>
      <c r="E1426" s="28" t="str">
        <f t="array" ref="E1426">_xlfn.XLOOKUP($A1426, 'Medical Examinations'!$A:$A, 'Medical Examinations'!D:D, "No Data")</f>
        <v>No</v>
      </c>
      <c r="F1426" s="28" t="str">
        <f t="array" ref="F1426">_xlfn.XLOOKUP($A1426, 'Medical Examinations'!$A:$A, 'Medical Examinations'!E:E, "No Data")</f>
        <v>No</v>
      </c>
      <c r="G1426" s="28" t="str">
        <f t="array" ref="G1426">_xlfn.XLOOKUP($A1426, 'Medical Examinations'!$A:$A, 'Medical Examinations'!F:F, "No Data")</f>
        <v>Yes</v>
      </c>
      <c r="H1426" s="28">
        <f t="array" ref="H1426">_xlfn.XLOOKUP($A1426, 'Medical Examinations'!$A:$A, 'Medical Examinations'!G:G, "No Data")</f>
        <v>1</v>
      </c>
      <c r="I1426" s="28" t="str">
        <f t="array" ref="I1426">_xlfn.XLOOKUP($A1426, 'Medical Examinations'!$A:$A, 'Medical Examinations'!H:H, "No Data")</f>
        <v>No</v>
      </c>
      <c r="J1426" s="28" t="str">
        <f t="array" ref="J1426">_xlfn.XLOOKUP($A1426, 'Medical Examinations'!$A:$A, 'Medical Examinations'!I:I, "No Data")</f>
        <v>Obesity</v>
      </c>
      <c r="K1426" s="28" t="str">
        <f t="array" ref="K1426">_xlfn.XLOOKUP($A1426, 'Hospitalisation Details'!$A:$A, 'Hospitalisation Details'!I:I, "No Data")</f>
        <v>tier - 2</v>
      </c>
      <c r="L1426" s="28" t="str">
        <f t="array" ref="L1426">_xlfn.XLOOKUP($A1426, 'Hospitalisation Details'!$A:$A, 'Hospitalisation Details'!J:J, "No Data")</f>
        <v>R1011</v>
      </c>
      <c r="M1426" s="28" t="str">
        <f t="array" ref="M1426">_xlfn.XLOOKUP($A1426, 'Hospitalisation Details'!$A:$A, 'Hospitalisation Details'!E:E, "No Data")</f>
        <v>01/09/79</v>
      </c>
      <c r="N1426" s="28">
        <f t="array" ref="N1426">_xlfn.XLOOKUP($A1426, 'Hospitalisation Details'!$A:$A, 'Hospitalisation Details'!K:K, "No Data")</f>
        <v>43</v>
      </c>
      <c r="O1426" s="33">
        <f t="array" ref="O1426">_xlfn.XLOOKUP($A1426, 'Hospitalisation Details'!$A:$A, 'Hospitalisation Details'!G:G, "No Data")</f>
        <v>7441.5</v>
      </c>
      <c r="P1426" s="28" t="str">
        <f t="array" ref="P1426">_xlfn.XLOOKUP($A1426, 'Hospitalisation Details'!$A:$A, 'Hospitalisation Details'!H:H, "No Data")</f>
        <v>tier - 3</v>
      </c>
    </row>
    <row r="1427">
      <c r="A1427" s="25" t="s">
        <v>4561</v>
      </c>
      <c r="B1427" s="28" t="str">
        <f t="array" ref="B1427">_xlfn.XLOOKUP($A1427, 'Customer Names'!$A:$A, 'Customer Names'!B:B, "No Data")</f>
        <v>Keate</v>
      </c>
      <c r="C1427" s="28">
        <f t="array" ref="C1427">_xlfn.XLOOKUP($A1427, 'Medical Examinations'!$A:$A, 'Medical Examinations'!B:B, "No Data")</f>
        <v>30.2</v>
      </c>
      <c r="D1427" s="28">
        <f t="array" ref="D1427">_xlfn.XLOOKUP($A1427, 'Medical Examinations'!$A:$A, 'Medical Examinations'!C:C, "No Data")</f>
        <v>5.7</v>
      </c>
      <c r="E1427" s="28" t="str">
        <f t="array" ref="E1427">_xlfn.XLOOKUP($A1427, 'Medical Examinations'!$A:$A, 'Medical Examinations'!D:D, "No Data")</f>
        <v>No</v>
      </c>
      <c r="F1427" s="28" t="str">
        <f t="array" ref="F1427">_xlfn.XLOOKUP($A1427, 'Medical Examinations'!$A:$A, 'Medical Examinations'!E:E, "No Data")</f>
        <v>No</v>
      </c>
      <c r="G1427" s="28" t="str">
        <f t="array" ref="G1427">_xlfn.XLOOKUP($A1427, 'Medical Examinations'!$A:$A, 'Medical Examinations'!F:F, "No Data")</f>
        <v>No</v>
      </c>
      <c r="H1427" s="28">
        <f t="array" ref="H1427">_xlfn.XLOOKUP($A1427, 'Medical Examinations'!$A:$A, 'Medical Examinations'!G:G, "No Data")</f>
        <v>0</v>
      </c>
      <c r="I1427" s="28" t="str">
        <f t="array" ref="I1427">_xlfn.XLOOKUP($A1427, 'Medical Examinations'!$A:$A, 'Medical Examinations'!H:H, "No Data")</f>
        <v>No</v>
      </c>
      <c r="J1427" s="28" t="str">
        <f t="array" ref="J1427">_xlfn.XLOOKUP($A1427, 'Medical Examinations'!$A:$A, 'Medical Examinations'!I:I, "No Data")</f>
        <v>Obesity</v>
      </c>
      <c r="K1427" s="28" t="str">
        <f t="array" ref="K1427">_xlfn.XLOOKUP($A1427, 'Hospitalisation Details'!$A:$A, 'Hospitalisation Details'!I:I, "No Data")</f>
        <v>tier - 2</v>
      </c>
      <c r="L1427" s="28" t="str">
        <f t="array" ref="L1427">_xlfn.XLOOKUP($A1427, 'Hospitalisation Details'!$A:$A, 'Hospitalisation Details'!J:J, "No Data")</f>
        <v>R1011</v>
      </c>
      <c r="M1427" s="28" t="str">
        <f t="array" ref="M1427">_xlfn.XLOOKUP($A1427, 'Hospitalisation Details'!$A:$A, 'Hospitalisation Details'!E:E, "No Data")</f>
        <v>25/08/77</v>
      </c>
      <c r="N1427" s="28">
        <f t="array" ref="N1427">_xlfn.XLOOKUP($A1427, 'Hospitalisation Details'!$A:$A, 'Hospitalisation Details'!K:K, "No Data")</f>
        <v>45</v>
      </c>
      <c r="O1427" s="33">
        <f t="array" ref="O1427">_xlfn.XLOOKUP($A1427, 'Hospitalisation Details'!$A:$A, 'Hospitalisation Details'!G:G, "No Data")</f>
        <v>7441.05</v>
      </c>
      <c r="P1427" s="28" t="str">
        <f t="array" ref="P1427">_xlfn.XLOOKUP($A1427, 'Hospitalisation Details'!$A:$A, 'Hospitalisation Details'!H:H, "No Data")</f>
        <v>tier - 3</v>
      </c>
    </row>
    <row r="1428">
      <c r="A1428" s="25" t="s">
        <v>4564</v>
      </c>
      <c r="B1428" s="28" t="str">
        <f t="array" ref="B1428">_xlfn.XLOOKUP($A1428, 'Customer Names'!$A:$A, 'Customer Names'!B:B, "No Data")</f>
        <v>Williams</v>
      </c>
      <c r="C1428" s="28">
        <f t="array" ref="C1428">_xlfn.XLOOKUP($A1428, 'Medical Examinations'!$A:$A, 'Medical Examinations'!B:B, "No Data")</f>
        <v>27.645</v>
      </c>
      <c r="D1428" s="28">
        <f t="array" ref="D1428">_xlfn.XLOOKUP($A1428, 'Medical Examinations'!$A:$A, 'Medical Examinations'!C:C, "No Data")</f>
        <v>9.91</v>
      </c>
      <c r="E1428" s="28" t="str">
        <f t="array" ref="E1428">_xlfn.XLOOKUP($A1428, 'Medical Examinations'!$A:$A, 'Medical Examinations'!D:D, "No Data")</f>
        <v>No</v>
      </c>
      <c r="F1428" s="28" t="str">
        <f t="array" ref="F1428">_xlfn.XLOOKUP($A1428, 'Medical Examinations'!$A:$A, 'Medical Examinations'!E:E, "No Data")</f>
        <v>No</v>
      </c>
      <c r="G1428" s="28" t="str">
        <f t="array" ref="G1428">_xlfn.XLOOKUP($A1428, 'Medical Examinations'!$A:$A, 'Medical Examinations'!F:F, "No Data")</f>
        <v>No</v>
      </c>
      <c r="H1428" s="28">
        <f t="array" ref="H1428">_xlfn.XLOOKUP($A1428, 'Medical Examinations'!$A:$A, 'Medical Examinations'!G:G, "No Data")</f>
        <v>0</v>
      </c>
      <c r="I1428" s="28" t="str">
        <f t="array" ref="I1428">_xlfn.XLOOKUP($A1428, 'Medical Examinations'!$A:$A, 'Medical Examinations'!H:H, "No Data")</f>
        <v>No</v>
      </c>
      <c r="J1428" s="28" t="str">
        <f t="array" ref="J1428">_xlfn.XLOOKUP($A1428, 'Medical Examinations'!$A:$A, 'Medical Examinations'!I:I, "No Data")</f>
        <v>Overweight</v>
      </c>
      <c r="K1428" s="28" t="str">
        <f t="array" ref="K1428">_xlfn.XLOOKUP($A1428, 'Hospitalisation Details'!$A:$A, 'Hospitalisation Details'!I:I, "No Data")</f>
        <v>tier - 3</v>
      </c>
      <c r="L1428" s="28" t="str">
        <f t="array" ref="L1428">_xlfn.XLOOKUP($A1428, 'Hospitalisation Details'!$A:$A, 'Hospitalisation Details'!J:J, "No Data")</f>
        <v>R1012</v>
      </c>
      <c r="M1428" s="28" t="str">
        <f t="array" ref="M1428">_xlfn.XLOOKUP($A1428, 'Hospitalisation Details'!$A:$A, 'Hospitalisation Details'!E:E, "No Data")</f>
        <v>02/12/78</v>
      </c>
      <c r="N1428" s="28">
        <f t="array" ref="N1428">_xlfn.XLOOKUP($A1428, 'Hospitalisation Details'!$A:$A, 'Hospitalisation Details'!K:K, "No Data")</f>
        <v>44</v>
      </c>
      <c r="O1428" s="33">
        <f t="array" ref="O1428">_xlfn.XLOOKUP($A1428, 'Hospitalisation Details'!$A:$A, 'Hospitalisation Details'!G:G, "No Data")</f>
        <v>7421.19</v>
      </c>
      <c r="P1428" s="28" t="str">
        <f t="array" ref="P1428">_xlfn.XLOOKUP($A1428, 'Hospitalisation Details'!$A:$A, 'Hospitalisation Details'!H:H, "No Data")</f>
        <v>tier - 2</v>
      </c>
    </row>
    <row r="1429">
      <c r="A1429" s="25" t="s">
        <v>4567</v>
      </c>
      <c r="B1429" s="28" t="str">
        <f t="array" ref="B1429">_xlfn.XLOOKUP($A1429, 'Customer Names'!$A:$A, 'Customer Names'!B:B, "No Data")</f>
        <v>Starosciak</v>
      </c>
      <c r="C1429" s="28">
        <f t="array" ref="C1429">_xlfn.XLOOKUP($A1429, 'Medical Examinations'!$A:$A, 'Medical Examinations'!B:B, "No Data")</f>
        <v>26.41</v>
      </c>
      <c r="D1429" s="28">
        <f t="array" ref="D1429">_xlfn.XLOOKUP($A1429, 'Medical Examinations'!$A:$A, 'Medical Examinations'!C:C, "No Data")</f>
        <v>11.4</v>
      </c>
      <c r="E1429" s="28" t="str">
        <f t="array" ref="E1429">_xlfn.XLOOKUP($A1429, 'Medical Examinations'!$A:$A, 'Medical Examinations'!D:D, "No Data")</f>
        <v>No</v>
      </c>
      <c r="F1429" s="28" t="str">
        <f t="array" ref="F1429">_xlfn.XLOOKUP($A1429, 'Medical Examinations'!$A:$A, 'Medical Examinations'!E:E, "No Data")</f>
        <v>No</v>
      </c>
      <c r="G1429" s="28" t="str">
        <f t="array" ref="G1429">_xlfn.XLOOKUP($A1429, 'Medical Examinations'!$A:$A, 'Medical Examinations'!F:F, "No Data")</f>
        <v>No</v>
      </c>
      <c r="H1429" s="28">
        <f t="array" ref="H1429">_xlfn.XLOOKUP($A1429, 'Medical Examinations'!$A:$A, 'Medical Examinations'!G:G, "No Data")</f>
        <v>0</v>
      </c>
      <c r="I1429" s="28" t="str">
        <f t="array" ref="I1429">_xlfn.XLOOKUP($A1429, 'Medical Examinations'!$A:$A, 'Medical Examinations'!H:H, "No Data")</f>
        <v>No</v>
      </c>
      <c r="J1429" s="28" t="str">
        <f t="array" ref="J1429">_xlfn.XLOOKUP($A1429, 'Medical Examinations'!$A:$A, 'Medical Examinations'!I:I, "No Data")</f>
        <v>Overweight</v>
      </c>
      <c r="K1429" s="28" t="str">
        <f t="array" ref="K1429">_xlfn.XLOOKUP($A1429, 'Hospitalisation Details'!$A:$A, 'Hospitalisation Details'!I:I, "No Data")</f>
        <v>tier - 2</v>
      </c>
      <c r="L1429" s="28" t="str">
        <f t="array" ref="L1429">_xlfn.XLOOKUP($A1429, 'Hospitalisation Details'!$A:$A, 'Hospitalisation Details'!J:J, "No Data")</f>
        <v>R1012</v>
      </c>
      <c r="M1429" s="28" t="str">
        <f t="array" ref="M1429">_xlfn.XLOOKUP($A1429, 'Hospitalisation Details'!$A:$A, 'Hospitalisation Details'!E:E, "No Data")</f>
        <v>12/11/78</v>
      </c>
      <c r="N1429" s="28">
        <f t="array" ref="N1429">_xlfn.XLOOKUP($A1429, 'Hospitalisation Details'!$A:$A, 'Hospitalisation Details'!K:K, "No Data")</f>
        <v>44</v>
      </c>
      <c r="O1429" s="33">
        <f t="array" ref="O1429">_xlfn.XLOOKUP($A1429, 'Hospitalisation Details'!$A:$A, 'Hospitalisation Details'!G:G, "No Data")</f>
        <v>7419.48</v>
      </c>
      <c r="P1429" s="28" t="str">
        <f t="array" ref="P1429">_xlfn.XLOOKUP($A1429, 'Hospitalisation Details'!$A:$A, 'Hospitalisation Details'!H:H, "No Data")</f>
        <v>tier - 2</v>
      </c>
    </row>
    <row r="1430">
      <c r="A1430" s="25" t="s">
        <v>4571</v>
      </c>
      <c r="B1430" s="28" t="str">
        <f t="array" ref="B1430">_xlfn.XLOOKUP($A1430, 'Customer Names'!$A:$A, 'Customer Names'!B:B, "No Data")</f>
        <v>Smith</v>
      </c>
      <c r="C1430" s="28">
        <f t="array" ref="C1430">_xlfn.XLOOKUP($A1430, 'Medical Examinations'!$A:$A, 'Medical Examinations'!B:B, "No Data")</f>
        <v>34.1</v>
      </c>
      <c r="D1430" s="28">
        <f t="array" ref="D1430">_xlfn.XLOOKUP($A1430, 'Medical Examinations'!$A:$A, 'Medical Examinations'!C:C, "No Data")</f>
        <v>6.29</v>
      </c>
      <c r="E1430" s="28" t="str">
        <f t="array" ref="E1430">_xlfn.XLOOKUP($A1430, 'Medical Examinations'!$A:$A, 'Medical Examinations'!D:D, "No Data")</f>
        <v>yes</v>
      </c>
      <c r="F1430" s="28" t="str">
        <f t="array" ref="F1430">_xlfn.XLOOKUP($A1430, 'Medical Examinations'!$A:$A, 'Medical Examinations'!E:E, "No Data")</f>
        <v>No</v>
      </c>
      <c r="G1430" s="28" t="str">
        <f t="array" ref="G1430">_xlfn.XLOOKUP($A1430, 'Medical Examinations'!$A:$A, 'Medical Examinations'!F:F, "No Data")</f>
        <v>Yes</v>
      </c>
      <c r="H1430" s="28">
        <f t="array" ref="H1430">_xlfn.XLOOKUP($A1430, 'Medical Examinations'!$A:$A, 'Medical Examinations'!G:G, "No Data")</f>
        <v>1</v>
      </c>
      <c r="I1430" s="28" t="str">
        <f t="array" ref="I1430">_xlfn.XLOOKUP($A1430, 'Medical Examinations'!$A:$A, 'Medical Examinations'!H:H, "No Data")</f>
        <v>No</v>
      </c>
      <c r="J1430" s="28" t="str">
        <f t="array" ref="J1430">_xlfn.XLOOKUP($A1430, 'Medical Examinations'!$A:$A, 'Medical Examinations'!I:I, "No Data")</f>
        <v>Obesity</v>
      </c>
      <c r="K1430" s="28" t="str">
        <f t="array" ref="K1430">_xlfn.XLOOKUP($A1430, 'Hospitalisation Details'!$A:$A, 'Hospitalisation Details'!I:I, "No Data")</f>
        <v>tier - 2</v>
      </c>
      <c r="L1430" s="28" t="str">
        <f t="array" ref="L1430">_xlfn.XLOOKUP($A1430, 'Hospitalisation Details'!$A:$A, 'Hospitalisation Details'!J:J, "No Data")</f>
        <v>R1011</v>
      </c>
      <c r="M1430" s="28" t="str">
        <f t="array" ref="M1430">_xlfn.XLOOKUP($A1430, 'Hospitalisation Details'!$A:$A, 'Hospitalisation Details'!E:E, "No Data")</f>
        <v>19/09/83</v>
      </c>
      <c r="N1430" s="28">
        <f t="array" ref="N1430">_xlfn.XLOOKUP($A1430, 'Hospitalisation Details'!$A:$A, 'Hospitalisation Details'!K:K, "No Data")</f>
        <v>39</v>
      </c>
      <c r="O1430" s="33">
        <f t="array" ref="O1430">_xlfn.XLOOKUP($A1430, 'Hospitalisation Details'!$A:$A, 'Hospitalisation Details'!G:G, "No Data")</f>
        <v>7418.52</v>
      </c>
      <c r="P1430" s="28" t="str">
        <f t="array" ref="P1430">_xlfn.XLOOKUP($A1430, 'Hospitalisation Details'!$A:$A, 'Hospitalisation Details'!H:H, "No Data")</f>
        <v>tier - 2</v>
      </c>
    </row>
    <row r="1431">
      <c r="A1431" s="25" t="s">
        <v>4572</v>
      </c>
      <c r="B1431" s="28" t="str">
        <f t="array" ref="B1431">_xlfn.XLOOKUP($A1431, 'Customer Names'!$A:$A, 'Customer Names'!B:B, "No Data")</f>
        <v>Henderson</v>
      </c>
      <c r="C1431" s="28">
        <f t="array" ref="C1431">_xlfn.XLOOKUP($A1431, 'Medical Examinations'!$A:$A, 'Medical Examinations'!B:B, "No Data")</f>
        <v>17.3</v>
      </c>
      <c r="D1431" s="28">
        <f t="array" ref="D1431">_xlfn.XLOOKUP($A1431, 'Medical Examinations'!$A:$A, 'Medical Examinations'!C:C, "No Data")</f>
        <v>9.28</v>
      </c>
      <c r="E1431" s="28" t="str">
        <f t="array" ref="E1431">_xlfn.XLOOKUP($A1431, 'Medical Examinations'!$A:$A, 'Medical Examinations'!D:D, "No Data")</f>
        <v>No</v>
      </c>
      <c r="F1431" s="28" t="str">
        <f t="array" ref="F1431">_xlfn.XLOOKUP($A1431, 'Medical Examinations'!$A:$A, 'Medical Examinations'!E:E, "No Data")</f>
        <v>No</v>
      </c>
      <c r="G1431" s="28" t="str">
        <f t="array" ref="G1431">_xlfn.XLOOKUP($A1431, 'Medical Examinations'!$A:$A, 'Medical Examinations'!F:F, "No Data")</f>
        <v>No</v>
      </c>
      <c r="H1431" s="28">
        <f t="array" ref="H1431">_xlfn.XLOOKUP($A1431, 'Medical Examinations'!$A:$A, 'Medical Examinations'!G:G, "No Data")</f>
        <v>0</v>
      </c>
      <c r="I1431" s="28" t="str">
        <f t="array" ref="I1431">_xlfn.XLOOKUP($A1431, 'Medical Examinations'!$A:$A, 'Medical Examinations'!H:H, "No Data")</f>
        <v>No</v>
      </c>
      <c r="J1431" s="28" t="str">
        <f t="array" ref="J1431">_xlfn.XLOOKUP($A1431, 'Medical Examinations'!$A:$A, 'Medical Examinations'!I:I, "No Data")</f>
        <v>Underweight</v>
      </c>
      <c r="K1431" s="28" t="str">
        <f t="array" ref="K1431">_xlfn.XLOOKUP($A1431, 'Hospitalisation Details'!$A:$A, 'Hospitalisation Details'!I:I, "No Data")</f>
        <v>tier - 2</v>
      </c>
      <c r="L1431" s="28" t="str">
        <f t="array" ref="L1431">_xlfn.XLOOKUP($A1431, 'Hospitalisation Details'!$A:$A, 'Hospitalisation Details'!J:J, "No Data")</f>
        <v>R1013</v>
      </c>
      <c r="M1431" s="28" t="str">
        <f t="array" ref="M1431">_xlfn.XLOOKUP($A1431, 'Hospitalisation Details'!$A:$A, 'Hospitalisation Details'!E:E, "No Data")</f>
        <v>05/12/65</v>
      </c>
      <c r="N1431" s="28">
        <f t="array" ref="N1431">_xlfn.XLOOKUP($A1431, 'Hospitalisation Details'!$A:$A, 'Hospitalisation Details'!K:K, "No Data")</f>
        <v>57</v>
      </c>
      <c r="O1431" s="33">
        <f t="array" ref="O1431">_xlfn.XLOOKUP($A1431, 'Hospitalisation Details'!$A:$A, 'Hospitalisation Details'!G:G, "No Data")</f>
        <v>7403.98</v>
      </c>
      <c r="P1431" s="28" t="str">
        <f t="array" ref="P1431">_xlfn.XLOOKUP($A1431, 'Hospitalisation Details'!$A:$A, 'Hospitalisation Details'!H:H, "No Data")</f>
        <v>tier - 3</v>
      </c>
    </row>
    <row r="1432">
      <c r="A1432" s="25" t="s">
        <v>4576</v>
      </c>
      <c r="B1432" s="28" t="str">
        <f t="array" ref="B1432">_xlfn.XLOOKUP($A1432, 'Customer Names'!$A:$A, 'Customer Names'!B:B, "No Data")</f>
        <v>Winkelman</v>
      </c>
      <c r="C1432" s="28">
        <f t="array" ref="C1432">_xlfn.XLOOKUP($A1432, 'Medical Examinations'!$A:$A, 'Medical Examinations'!B:B, "No Data")</f>
        <v>35.02</v>
      </c>
      <c r="D1432" s="28">
        <f t="array" ref="D1432">_xlfn.XLOOKUP($A1432, 'Medical Examinations'!$A:$A, 'Medical Examinations'!C:C, "No Data")</f>
        <v>4.78</v>
      </c>
      <c r="E1432" s="28" t="str">
        <f t="array" ref="E1432">_xlfn.XLOOKUP($A1432, 'Medical Examinations'!$A:$A, 'Medical Examinations'!D:D, "No Data")</f>
        <v>No</v>
      </c>
      <c r="F1432" s="28" t="str">
        <f t="array" ref="F1432">_xlfn.XLOOKUP($A1432, 'Medical Examinations'!$A:$A, 'Medical Examinations'!E:E, "No Data")</f>
        <v>No</v>
      </c>
      <c r="G1432" s="28" t="str">
        <f t="array" ref="G1432">_xlfn.XLOOKUP($A1432, 'Medical Examinations'!$A:$A, 'Medical Examinations'!F:F, "No Data")</f>
        <v>Yes</v>
      </c>
      <c r="H1432" s="28">
        <f t="array" ref="H1432">_xlfn.XLOOKUP($A1432, 'Medical Examinations'!$A:$A, 'Medical Examinations'!G:G, "No Data")</f>
        <v>1</v>
      </c>
      <c r="I1432" s="28" t="str">
        <f t="array" ref="I1432">_xlfn.XLOOKUP($A1432, 'Medical Examinations'!$A:$A, 'Medical Examinations'!H:H, "No Data")</f>
        <v>No</v>
      </c>
      <c r="J1432" s="28" t="str">
        <f t="array" ref="J1432">_xlfn.XLOOKUP($A1432, 'Medical Examinations'!$A:$A, 'Medical Examinations'!I:I, "No Data")</f>
        <v>Obesity</v>
      </c>
      <c r="K1432" s="28" t="str">
        <f t="array" ref="K1432">_xlfn.XLOOKUP($A1432, 'Hospitalisation Details'!$A:$A, 'Hospitalisation Details'!I:I, "No Data")</f>
        <v>tier - 2</v>
      </c>
      <c r="L1432" s="28" t="str">
        <f t="array" ref="L1432">_xlfn.XLOOKUP($A1432, 'Hospitalisation Details'!$A:$A, 'Hospitalisation Details'!J:J, "No Data")</f>
        <v>R1026</v>
      </c>
      <c r="M1432" s="28" t="str">
        <f t="array" ref="M1432">_xlfn.XLOOKUP($A1432, 'Hospitalisation Details'!$A:$A, 'Hospitalisation Details'!E:E, "No Data")</f>
        <v>22/07/93</v>
      </c>
      <c r="N1432" s="28">
        <f t="array" ref="N1432">_xlfn.XLOOKUP($A1432, 'Hospitalisation Details'!$A:$A, 'Hospitalisation Details'!K:K, "No Data")</f>
        <v>29</v>
      </c>
      <c r="O1432" s="33">
        <f t="array" ref="O1432">_xlfn.XLOOKUP($A1432, 'Hospitalisation Details'!$A:$A, 'Hospitalisation Details'!G:G, "No Data")</f>
        <v>7388.85</v>
      </c>
      <c r="P1432" s="28" t="str">
        <f t="array" ref="P1432">_xlfn.XLOOKUP($A1432, 'Hospitalisation Details'!$A:$A, 'Hospitalisation Details'!H:H, "No Data")</f>
        <v>tier - 2</v>
      </c>
    </row>
    <row r="1433">
      <c r="A1433" s="25" t="s">
        <v>4580</v>
      </c>
      <c r="B1433" s="28" t="str">
        <f t="array" ref="B1433">_xlfn.XLOOKUP($A1433, 'Customer Names'!$A:$A, 'Customer Names'!B:B, "No Data")</f>
        <v>Monette</v>
      </c>
      <c r="C1433" s="28">
        <f t="array" ref="C1433">_xlfn.XLOOKUP($A1433, 'Medical Examinations'!$A:$A, 'Medical Examinations'!B:B, "No Data")</f>
        <v>37.1</v>
      </c>
      <c r="D1433" s="28">
        <f t="array" ref="D1433">_xlfn.XLOOKUP($A1433, 'Medical Examinations'!$A:$A, 'Medical Examinations'!C:C, "No Data")</f>
        <v>8.87</v>
      </c>
      <c r="E1433" s="28" t="str">
        <f t="array" ref="E1433">_xlfn.XLOOKUP($A1433, 'Medical Examinations'!$A:$A, 'Medical Examinations'!D:D, "No Data")</f>
        <v>yes</v>
      </c>
      <c r="F1433" s="28" t="str">
        <f t="array" ref="F1433">_xlfn.XLOOKUP($A1433, 'Medical Examinations'!$A:$A, 'Medical Examinations'!E:E, "No Data")</f>
        <v>No</v>
      </c>
      <c r="G1433" s="28" t="str">
        <f t="array" ref="G1433">_xlfn.XLOOKUP($A1433, 'Medical Examinations'!$A:$A, 'Medical Examinations'!F:F, "No Data")</f>
        <v>No</v>
      </c>
      <c r="H1433" s="28">
        <f t="array" ref="H1433">_xlfn.XLOOKUP($A1433, 'Medical Examinations'!$A:$A, 'Medical Examinations'!G:G, "No Data")</f>
        <v>0</v>
      </c>
      <c r="I1433" s="28" t="str">
        <f t="array" ref="I1433">_xlfn.XLOOKUP($A1433, 'Medical Examinations'!$A:$A, 'Medical Examinations'!H:H, "No Data")</f>
        <v>No</v>
      </c>
      <c r="J1433" s="28" t="str">
        <f t="array" ref="J1433">_xlfn.XLOOKUP($A1433, 'Medical Examinations'!$A:$A, 'Medical Examinations'!I:I, "No Data")</f>
        <v>Obesity</v>
      </c>
      <c r="K1433" s="28" t="str">
        <f t="array" ref="K1433">_xlfn.XLOOKUP($A1433, 'Hospitalisation Details'!$A:$A, 'Hospitalisation Details'!I:I, "No Data")</f>
        <v>tier - 1</v>
      </c>
      <c r="L1433" s="28" t="str">
        <f t="array" ref="L1433">_xlfn.XLOOKUP($A1433, 'Hospitalisation Details'!$A:$A, 'Hospitalisation Details'!J:J, "No Data")</f>
        <v>R1011</v>
      </c>
      <c r="M1433" s="28" t="str">
        <f t="array" ref="M1433">_xlfn.XLOOKUP($A1433, 'Hospitalisation Details'!$A:$A, 'Hospitalisation Details'!E:E, "No Data")</f>
        <v>24/11/81</v>
      </c>
      <c r="N1433" s="28">
        <f t="array" ref="N1433">_xlfn.XLOOKUP($A1433, 'Hospitalisation Details'!$A:$A, 'Hospitalisation Details'!K:K, "No Data")</f>
        <v>41</v>
      </c>
      <c r="O1433" s="33">
        <f t="array" ref="O1433">_xlfn.XLOOKUP($A1433, 'Hospitalisation Details'!$A:$A, 'Hospitalisation Details'!G:G, "No Data")</f>
        <v>7371.77</v>
      </c>
      <c r="P1433" s="28" t="str">
        <f t="array" ref="P1433">_xlfn.XLOOKUP($A1433, 'Hospitalisation Details'!$A:$A, 'Hospitalisation Details'!H:H, "No Data")</f>
        <v>tier - 2</v>
      </c>
    </row>
    <row r="1434">
      <c r="A1434" s="25" t="s">
        <v>4583</v>
      </c>
      <c r="B1434" s="28" t="str">
        <f t="array" ref="B1434">_xlfn.XLOOKUP($A1434, 'Customer Names'!$A:$A, 'Customer Names'!B:B, "No Data")</f>
        <v>Kramer</v>
      </c>
      <c r="C1434" s="28">
        <f t="array" ref="C1434">_xlfn.XLOOKUP($A1434, 'Medical Examinations'!$A:$A, 'Medical Examinations'!B:B, "No Data")</f>
        <v>16.79</v>
      </c>
      <c r="D1434" s="28">
        <f t="array" ref="D1434">_xlfn.XLOOKUP($A1434, 'Medical Examinations'!$A:$A, 'Medical Examinations'!C:C, "No Data")</f>
        <v>11.4</v>
      </c>
      <c r="E1434" s="28" t="str">
        <f t="array" ref="E1434">_xlfn.XLOOKUP($A1434, 'Medical Examinations'!$A:$A, 'Medical Examinations'!D:D, "No Data")</f>
        <v>No</v>
      </c>
      <c r="F1434" s="28" t="str">
        <f t="array" ref="F1434">_xlfn.XLOOKUP($A1434, 'Medical Examinations'!$A:$A, 'Medical Examinations'!E:E, "No Data")</f>
        <v>No</v>
      </c>
      <c r="G1434" s="28" t="str">
        <f t="array" ref="G1434">_xlfn.XLOOKUP($A1434, 'Medical Examinations'!$A:$A, 'Medical Examinations'!F:F, "No Data")</f>
        <v>No</v>
      </c>
      <c r="H1434" s="28">
        <f t="array" ref="H1434">_xlfn.XLOOKUP($A1434, 'Medical Examinations'!$A:$A, 'Medical Examinations'!G:G, "No Data")</f>
        <v>0</v>
      </c>
      <c r="I1434" s="28" t="str">
        <f t="array" ref="I1434">_xlfn.XLOOKUP($A1434, 'Medical Examinations'!$A:$A, 'Medical Examinations'!H:H, "No Data")</f>
        <v>No</v>
      </c>
      <c r="J1434" s="28" t="str">
        <f t="array" ref="J1434">_xlfn.XLOOKUP($A1434, 'Medical Examinations'!$A:$A, 'Medical Examinations'!I:I, "No Data")</f>
        <v>Underweight</v>
      </c>
      <c r="K1434" s="28" t="str">
        <f t="array" ref="K1434">_xlfn.XLOOKUP($A1434, 'Hospitalisation Details'!$A:$A, 'Hospitalisation Details'!I:I, "No Data")</f>
        <v>tier - 3</v>
      </c>
      <c r="L1434" s="28" t="str">
        <f t="array" ref="L1434">_xlfn.XLOOKUP($A1434, 'Hospitalisation Details'!$A:$A, 'Hospitalisation Details'!J:J, "No Data")</f>
        <v>R1013</v>
      </c>
      <c r="M1434" s="28" t="str">
        <f t="array" ref="M1434">_xlfn.XLOOKUP($A1434, 'Hospitalisation Details'!$A:$A, 'Hospitalisation Details'!E:E, "No Data")</f>
        <v>09/12/65</v>
      </c>
      <c r="N1434" s="28">
        <f t="array" ref="N1434">_xlfn.XLOOKUP($A1434, 'Hospitalisation Details'!$A:$A, 'Hospitalisation Details'!K:K, "No Data")</f>
        <v>57</v>
      </c>
      <c r="O1434" s="33">
        <f t="array" ref="O1434">_xlfn.XLOOKUP($A1434, 'Hospitalisation Details'!$A:$A, 'Hospitalisation Details'!G:G, "No Data")</f>
        <v>7362.31</v>
      </c>
      <c r="P1434" s="28" t="str">
        <f t="array" ref="P1434">_xlfn.XLOOKUP($A1434, 'Hospitalisation Details'!$A:$A, 'Hospitalisation Details'!H:H, "No Data")</f>
        <v>tier - 3</v>
      </c>
    </row>
    <row r="1435">
      <c r="A1435" s="25" t="s">
        <v>4587</v>
      </c>
      <c r="B1435" s="28" t="str">
        <f t="array" ref="B1435">_xlfn.XLOOKUP($A1435, 'Customer Names'!$A:$A, 'Customer Names'!B:B, "No Data")</f>
        <v>Goldstein</v>
      </c>
      <c r="C1435" s="28">
        <f t="array" ref="C1435">_xlfn.XLOOKUP($A1435, 'Medical Examinations'!$A:$A, 'Medical Examinations'!B:B, "No Data")</f>
        <v>31.635</v>
      </c>
      <c r="D1435" s="28">
        <f t="array" ref="D1435">_xlfn.XLOOKUP($A1435, 'Medical Examinations'!$A:$A, 'Medical Examinations'!C:C, "No Data")</f>
        <v>9.13</v>
      </c>
      <c r="E1435" s="28" t="str">
        <f t="array" ref="E1435">_xlfn.XLOOKUP($A1435, 'Medical Examinations'!$A:$A, 'Medical Examinations'!D:D, "No Data")</f>
        <v>yes</v>
      </c>
      <c r="F1435" s="28" t="str">
        <f t="array" ref="F1435">_xlfn.XLOOKUP($A1435, 'Medical Examinations'!$A:$A, 'Medical Examinations'!E:E, "No Data")</f>
        <v>No</v>
      </c>
      <c r="G1435" s="28" t="str">
        <f t="array" ref="G1435">_xlfn.XLOOKUP($A1435, 'Medical Examinations'!$A:$A, 'Medical Examinations'!F:F, "No Data")</f>
        <v>No</v>
      </c>
      <c r="H1435" s="28">
        <f t="array" ref="H1435">_xlfn.XLOOKUP($A1435, 'Medical Examinations'!$A:$A, 'Medical Examinations'!G:G, "No Data")</f>
        <v>0</v>
      </c>
      <c r="I1435" s="28" t="str">
        <f t="array" ref="I1435">_xlfn.XLOOKUP($A1435, 'Medical Examinations'!$A:$A, 'Medical Examinations'!H:H, "No Data")</f>
        <v>No</v>
      </c>
      <c r="J1435" s="28" t="str">
        <f t="array" ref="J1435">_xlfn.XLOOKUP($A1435, 'Medical Examinations'!$A:$A, 'Medical Examinations'!I:I, "No Data")</f>
        <v>Obesity</v>
      </c>
      <c r="K1435" s="28" t="str">
        <f t="array" ref="K1435">_xlfn.XLOOKUP($A1435, 'Hospitalisation Details'!$A:$A, 'Hospitalisation Details'!I:I, "No Data")</f>
        <v>tier - 3</v>
      </c>
      <c r="L1435" s="28" t="str">
        <f t="array" ref="L1435">_xlfn.XLOOKUP($A1435, 'Hospitalisation Details'!$A:$A, 'Hospitalisation Details'!J:J, "No Data")</f>
        <v>R1024</v>
      </c>
      <c r="M1435" s="28" t="str">
        <f t="array" ref="M1435">_xlfn.XLOOKUP($A1435, 'Hospitalisation Details'!$A:$A, 'Hospitalisation Details'!E:E, "No Data")</f>
        <v>16/07/81</v>
      </c>
      <c r="N1435" s="28">
        <f t="array" ref="N1435">_xlfn.XLOOKUP($A1435, 'Hospitalisation Details'!$A:$A, 'Hospitalisation Details'!K:K, "No Data")</f>
        <v>41</v>
      </c>
      <c r="O1435" s="33">
        <f t="array" ref="O1435">_xlfn.XLOOKUP($A1435, 'Hospitalisation Details'!$A:$A, 'Hospitalisation Details'!G:G, "No Data")</f>
        <v>7358.18</v>
      </c>
      <c r="P1435" s="28" t="str">
        <f t="array" ref="P1435">_xlfn.XLOOKUP($A1435, 'Hospitalisation Details'!$A:$A, 'Hospitalisation Details'!H:H, "No Data")</f>
        <v>tier - 2</v>
      </c>
    </row>
    <row r="1436">
      <c r="A1436" s="25" t="s">
        <v>4590</v>
      </c>
      <c r="B1436" s="28" t="str">
        <f t="array" ref="B1436">_xlfn.XLOOKUP($A1436, 'Customer Names'!$A:$A, 'Customer Names'!B:B, "No Data")</f>
        <v>Gonzalez</v>
      </c>
      <c r="C1436" s="28">
        <f t="array" ref="C1436">_xlfn.XLOOKUP($A1436, 'Medical Examinations'!$A:$A, 'Medical Examinations'!B:B, "No Data")</f>
        <v>24.19</v>
      </c>
      <c r="D1436" s="28">
        <f t="array" ref="D1436">_xlfn.XLOOKUP($A1436, 'Medical Examinations'!$A:$A, 'Medical Examinations'!C:C, "No Data")</f>
        <v>6.22</v>
      </c>
      <c r="E1436" s="28" t="str">
        <f t="array" ref="E1436">_xlfn.XLOOKUP($A1436, 'Medical Examinations'!$A:$A, 'Medical Examinations'!D:D, "No Data")</f>
        <v>yes</v>
      </c>
      <c r="F1436" s="28" t="str">
        <f t="array" ref="F1436">_xlfn.XLOOKUP($A1436, 'Medical Examinations'!$A:$A, 'Medical Examinations'!E:E, "No Data")</f>
        <v>No</v>
      </c>
      <c r="G1436" s="28" t="str">
        <f t="array" ref="G1436">_xlfn.XLOOKUP($A1436, 'Medical Examinations'!$A:$A, 'Medical Examinations'!F:F, "No Data")</f>
        <v>Yes</v>
      </c>
      <c r="H1436" s="28">
        <f t="array" ref="H1436">_xlfn.XLOOKUP($A1436, 'Medical Examinations'!$A:$A, 'Medical Examinations'!G:G, "No Data")</f>
        <v>1</v>
      </c>
      <c r="I1436" s="28" t="str">
        <f t="array" ref="I1436">_xlfn.XLOOKUP($A1436, 'Medical Examinations'!$A:$A, 'Medical Examinations'!H:H, "No Data")</f>
        <v>No</v>
      </c>
      <c r="J1436" s="28" t="str">
        <f t="array" ref="J1436">_xlfn.XLOOKUP($A1436, 'Medical Examinations'!$A:$A, 'Medical Examinations'!I:I, "No Data")</f>
        <v>Normal Weight</v>
      </c>
      <c r="K1436" s="28" t="str">
        <f t="array" ref="K1436">_xlfn.XLOOKUP($A1436, 'Hospitalisation Details'!$A:$A, 'Hospitalisation Details'!I:I, "No Data")</f>
        <v>tier - 2</v>
      </c>
      <c r="L1436" s="28" t="str">
        <f t="array" ref="L1436">_xlfn.XLOOKUP($A1436, 'Hospitalisation Details'!$A:$A, 'Hospitalisation Details'!J:J, "No Data")</f>
        <v>R1012</v>
      </c>
      <c r="M1436" s="28" t="str">
        <f t="array" ref="M1436">_xlfn.XLOOKUP($A1436, 'Hospitalisation Details'!$A:$A, 'Hospitalisation Details'!E:E, "No Data")</f>
        <v>21/06/83</v>
      </c>
      <c r="N1436" s="28">
        <f t="array" ref="N1436">_xlfn.XLOOKUP($A1436, 'Hospitalisation Details'!$A:$A, 'Hospitalisation Details'!K:K, "No Data")</f>
        <v>39</v>
      </c>
      <c r="O1436" s="33">
        <f t="array" ref="O1436">_xlfn.XLOOKUP($A1436, 'Hospitalisation Details'!$A:$A, 'Hospitalisation Details'!G:G, "No Data")</f>
        <v>7357.49</v>
      </c>
      <c r="P1436" s="28" t="str">
        <f t="array" ref="P1436">_xlfn.XLOOKUP($A1436, 'Hospitalisation Details'!$A:$A, 'Hospitalisation Details'!H:H, "No Data")</f>
        <v>tier - 2</v>
      </c>
    </row>
    <row r="1437">
      <c r="A1437" s="25" t="s">
        <v>4592</v>
      </c>
      <c r="B1437" s="28" t="str">
        <f t="array" ref="B1437">_xlfn.XLOOKUP($A1437, 'Customer Names'!$A:$A, 'Customer Names'!B:B, "No Data")</f>
        <v>Barrett</v>
      </c>
      <c r="C1437" s="28">
        <f t="array" ref="C1437">_xlfn.XLOOKUP($A1437, 'Medical Examinations'!$A:$A, 'Medical Examinations'!B:B, "No Data")</f>
        <v>35.29</v>
      </c>
      <c r="D1437" s="28">
        <f t="array" ref="D1437">_xlfn.XLOOKUP($A1437, 'Medical Examinations'!$A:$A, 'Medical Examinations'!C:C, "No Data")</f>
        <v>5.9</v>
      </c>
      <c r="E1437" s="28" t="str">
        <f t="array" ref="E1437">_xlfn.XLOOKUP($A1437, 'Medical Examinations'!$A:$A, 'Medical Examinations'!D:D, "No Data")</f>
        <v>No</v>
      </c>
      <c r="F1437" s="28" t="str">
        <f t="array" ref="F1437">_xlfn.XLOOKUP($A1437, 'Medical Examinations'!$A:$A, 'Medical Examinations'!E:E, "No Data")</f>
        <v>No</v>
      </c>
      <c r="G1437" s="28" t="str">
        <f t="array" ref="G1437">_xlfn.XLOOKUP($A1437, 'Medical Examinations'!$A:$A, 'Medical Examinations'!F:F, "No Data")</f>
        <v>Yes</v>
      </c>
      <c r="H1437" s="28">
        <f t="array" ref="H1437">_xlfn.XLOOKUP($A1437, 'Medical Examinations'!$A:$A, 'Medical Examinations'!G:G, "No Data")</f>
        <v>1</v>
      </c>
      <c r="I1437" s="28" t="str">
        <f t="array" ref="I1437">_xlfn.XLOOKUP($A1437, 'Medical Examinations'!$A:$A, 'Medical Examinations'!H:H, "No Data")</f>
        <v>No</v>
      </c>
      <c r="J1437" s="28" t="str">
        <f t="array" ref="J1437">_xlfn.XLOOKUP($A1437, 'Medical Examinations'!$A:$A, 'Medical Examinations'!I:I, "No Data")</f>
        <v>Obesity</v>
      </c>
      <c r="K1437" s="28" t="str">
        <f t="array" ref="K1437">_xlfn.XLOOKUP($A1437, 'Hospitalisation Details'!$A:$A, 'Hospitalisation Details'!I:I, "No Data")</f>
        <v>tier - 2</v>
      </c>
      <c r="L1437" s="28" t="str">
        <f t="array" ref="L1437">_xlfn.XLOOKUP($A1437, 'Hospitalisation Details'!$A:$A, 'Hospitalisation Details'!J:J, "No Data")</f>
        <v>R1021</v>
      </c>
      <c r="M1437" s="28" t="str">
        <f t="array" ref="M1437">_xlfn.XLOOKUP($A1437, 'Hospitalisation Details'!$A:$A, 'Hospitalisation Details'!E:E, "No Data")</f>
        <v>05/10/93</v>
      </c>
      <c r="N1437" s="28">
        <f t="array" ref="N1437">_xlfn.XLOOKUP($A1437, 'Hospitalisation Details'!$A:$A, 'Hospitalisation Details'!K:K, "No Data")</f>
        <v>29</v>
      </c>
      <c r="O1437" s="33">
        <f t="array" ref="O1437">_xlfn.XLOOKUP($A1437, 'Hospitalisation Details'!$A:$A, 'Hospitalisation Details'!G:G, "No Data")</f>
        <v>7349.12</v>
      </c>
      <c r="P1437" s="28" t="str">
        <f t="array" ref="P1437">_xlfn.XLOOKUP($A1437, 'Hospitalisation Details'!$A:$A, 'Hospitalisation Details'!H:H, "No Data")</f>
        <v>tier - 2</v>
      </c>
    </row>
    <row r="1438">
      <c r="A1438" s="25" t="s">
        <v>4596</v>
      </c>
      <c r="B1438" s="28" t="str">
        <f t="array" ref="B1438">_xlfn.XLOOKUP($A1438, 'Customer Names'!$A:$A, 'Customer Names'!B:B, "No Data")</f>
        <v>Irwin</v>
      </c>
      <c r="C1438" s="28">
        <f t="array" ref="C1438">_xlfn.XLOOKUP($A1438, 'Medical Examinations'!$A:$A, 'Medical Examinations'!B:B, "No Data")</f>
        <v>35.3</v>
      </c>
      <c r="D1438" s="28">
        <f t="array" ref="D1438">_xlfn.XLOOKUP($A1438, 'Medical Examinations'!$A:$A, 'Medical Examinations'!C:C, "No Data")</f>
        <v>4.45</v>
      </c>
      <c r="E1438" s="28" t="str">
        <f t="array" ref="E1438">_xlfn.XLOOKUP($A1438, 'Medical Examinations'!$A:$A, 'Medical Examinations'!D:D, "No Data")</f>
        <v>No</v>
      </c>
      <c r="F1438" s="28" t="str">
        <f t="array" ref="F1438">_xlfn.XLOOKUP($A1438, 'Medical Examinations'!$A:$A, 'Medical Examinations'!E:E, "No Data")</f>
        <v>No</v>
      </c>
      <c r="G1438" s="28" t="str">
        <f t="array" ref="G1438">_xlfn.XLOOKUP($A1438, 'Medical Examinations'!$A:$A, 'Medical Examinations'!F:F, "No Data")</f>
        <v>No</v>
      </c>
      <c r="H1438" s="28">
        <f t="array" ref="H1438">_xlfn.XLOOKUP($A1438, 'Medical Examinations'!$A:$A, 'Medical Examinations'!G:G, "No Data")</f>
        <v>0</v>
      </c>
      <c r="I1438" s="28" t="str">
        <f t="array" ref="I1438">_xlfn.XLOOKUP($A1438, 'Medical Examinations'!$A:$A, 'Medical Examinations'!H:H, "No Data")</f>
        <v>No</v>
      </c>
      <c r="J1438" s="28" t="str">
        <f t="array" ref="J1438">_xlfn.XLOOKUP($A1438, 'Medical Examinations'!$A:$A, 'Medical Examinations'!I:I, "No Data")</f>
        <v>Obesity</v>
      </c>
      <c r="K1438" s="28" t="str">
        <f t="array" ref="K1438">_xlfn.XLOOKUP($A1438, 'Hospitalisation Details'!$A:$A, 'Hospitalisation Details'!I:I, "No Data")</f>
        <v>tier - 1</v>
      </c>
      <c r="L1438" s="28" t="str">
        <f t="array" ref="L1438">_xlfn.XLOOKUP($A1438, 'Hospitalisation Details'!$A:$A, 'Hospitalisation Details'!J:J, "No Data")</f>
        <v>R1011</v>
      </c>
      <c r="M1438" s="28" t="str">
        <f t="array" ref="M1438">_xlfn.XLOOKUP($A1438, 'Hospitalisation Details'!$A:$A, 'Hospitalisation Details'!E:E, "No Data")</f>
        <v>01/12/77</v>
      </c>
      <c r="N1438" s="28">
        <f t="array" ref="N1438">_xlfn.XLOOKUP($A1438, 'Hospitalisation Details'!$A:$A, 'Hospitalisation Details'!K:K, "No Data")</f>
        <v>45</v>
      </c>
      <c r="O1438" s="33">
        <f t="array" ref="O1438">_xlfn.XLOOKUP($A1438, 'Hospitalisation Details'!$A:$A, 'Hospitalisation Details'!G:G, "No Data")</f>
        <v>7348.14</v>
      </c>
      <c r="P1438" s="28" t="str">
        <f t="array" ref="P1438">_xlfn.XLOOKUP($A1438, 'Hospitalisation Details'!$A:$A, 'Hospitalisation Details'!H:H, "No Data")</f>
        <v>tier - 2</v>
      </c>
    </row>
    <row r="1439">
      <c r="A1439" s="25" t="s">
        <v>4599</v>
      </c>
      <c r="B1439" s="28" t="str">
        <f t="array" ref="B1439">_xlfn.XLOOKUP($A1439, 'Customer Names'!$A:$A, 'Customer Names'!B:B, "No Data")</f>
        <v>Glenn</v>
      </c>
      <c r="C1439" s="28">
        <f t="array" ref="C1439">_xlfn.XLOOKUP($A1439, 'Medical Examinations'!$A:$A, 'Medical Examinations'!B:B, "No Data")</f>
        <v>35.64</v>
      </c>
      <c r="D1439" s="28">
        <f t="array" ref="D1439">_xlfn.XLOOKUP($A1439, 'Medical Examinations'!$A:$A, 'Medical Examinations'!C:C, "No Data")</f>
        <v>6.17</v>
      </c>
      <c r="E1439" s="28" t="str">
        <f t="array" ref="E1439">_xlfn.XLOOKUP($A1439, 'Medical Examinations'!$A:$A, 'Medical Examinations'!D:D, "No Data")</f>
        <v>No</v>
      </c>
      <c r="F1439" s="28" t="str">
        <f t="array" ref="F1439">_xlfn.XLOOKUP($A1439, 'Medical Examinations'!$A:$A, 'Medical Examinations'!E:E, "No Data")</f>
        <v>No</v>
      </c>
      <c r="G1439" s="28" t="str">
        <f t="array" ref="G1439">_xlfn.XLOOKUP($A1439, 'Medical Examinations'!$A:$A, 'Medical Examinations'!F:F, "No Data")</f>
        <v>Yes</v>
      </c>
      <c r="H1439" s="28">
        <f t="array" ref="H1439">_xlfn.XLOOKUP($A1439, 'Medical Examinations'!$A:$A, 'Medical Examinations'!G:G, "No Data")</f>
        <v>1</v>
      </c>
      <c r="I1439" s="28" t="str">
        <f t="array" ref="I1439">_xlfn.XLOOKUP($A1439, 'Medical Examinations'!$A:$A, 'Medical Examinations'!H:H, "No Data")</f>
        <v>No</v>
      </c>
      <c r="J1439" s="28" t="str">
        <f t="array" ref="J1439">_xlfn.XLOOKUP($A1439, 'Medical Examinations'!$A:$A, 'Medical Examinations'!I:I, "No Data")</f>
        <v>Obesity</v>
      </c>
      <c r="K1439" s="28" t="str">
        <f t="array" ref="K1439">_xlfn.XLOOKUP($A1439, 'Hospitalisation Details'!$A:$A, 'Hospitalisation Details'!I:I, "No Data")</f>
        <v>tier - 1</v>
      </c>
      <c r="L1439" s="28" t="str">
        <f t="array" ref="L1439">_xlfn.XLOOKUP($A1439, 'Hospitalisation Details'!$A:$A, 'Hospitalisation Details'!J:J, "No Data")</f>
        <v>R1013</v>
      </c>
      <c r="M1439" s="28" t="str">
        <f t="array" ref="M1439">_xlfn.XLOOKUP($A1439, 'Hospitalisation Details'!$A:$A, 'Hospitalisation Details'!E:E, "No Data")</f>
        <v>26/06/79</v>
      </c>
      <c r="N1439" s="28">
        <f t="array" ref="N1439">_xlfn.XLOOKUP($A1439, 'Hospitalisation Details'!$A:$A, 'Hospitalisation Details'!K:K, "No Data")</f>
        <v>43</v>
      </c>
      <c r="O1439" s="33">
        <f t="array" ref="O1439">_xlfn.XLOOKUP($A1439, 'Hospitalisation Details'!$A:$A, 'Hospitalisation Details'!G:G, "No Data")</f>
        <v>7345.73</v>
      </c>
      <c r="P1439" s="28" t="str">
        <f t="array" ref="P1439">_xlfn.XLOOKUP($A1439, 'Hospitalisation Details'!$A:$A, 'Hospitalisation Details'!H:H, "No Data")</f>
        <v>tier - 2</v>
      </c>
    </row>
    <row r="1440">
      <c r="A1440" s="25" t="s">
        <v>4602</v>
      </c>
      <c r="B1440" s="28" t="str">
        <f t="array" ref="B1440">_xlfn.XLOOKUP($A1440, 'Customer Names'!$A:$A, 'Customer Names'!B:B, "No Data")</f>
        <v>O'Meara</v>
      </c>
      <c r="C1440" s="28">
        <f t="array" ref="C1440">_xlfn.XLOOKUP($A1440, 'Medical Examinations'!$A:$A, 'Medical Examinations'!B:B, "No Data")</f>
        <v>33.1</v>
      </c>
      <c r="D1440" s="28">
        <f t="array" ref="D1440">_xlfn.XLOOKUP($A1440, 'Medical Examinations'!$A:$A, 'Medical Examinations'!C:C, "No Data")</f>
        <v>4.93</v>
      </c>
      <c r="E1440" s="28" t="str">
        <f t="array" ref="E1440">_xlfn.XLOOKUP($A1440, 'Medical Examinations'!$A:$A, 'Medical Examinations'!D:D, "No Data")</f>
        <v>No</v>
      </c>
      <c r="F1440" s="28" t="str">
        <f t="array" ref="F1440">_xlfn.XLOOKUP($A1440, 'Medical Examinations'!$A:$A, 'Medical Examinations'!E:E, "No Data")</f>
        <v>No</v>
      </c>
      <c r="G1440" s="28" t="str">
        <f t="array" ref="G1440">_xlfn.XLOOKUP($A1440, 'Medical Examinations'!$A:$A, 'Medical Examinations'!F:F, "No Data")</f>
        <v>No</v>
      </c>
      <c r="H1440" s="28">
        <f t="array" ref="H1440">_xlfn.XLOOKUP($A1440, 'Medical Examinations'!$A:$A, 'Medical Examinations'!G:G, "No Data")</f>
        <v>0</v>
      </c>
      <c r="I1440" s="28" t="str">
        <f t="array" ref="I1440">_xlfn.XLOOKUP($A1440, 'Medical Examinations'!$A:$A, 'Medical Examinations'!H:H, "No Data")</f>
        <v>No</v>
      </c>
      <c r="J1440" s="28" t="str">
        <f t="array" ref="J1440">_xlfn.XLOOKUP($A1440, 'Medical Examinations'!$A:$A, 'Medical Examinations'!I:I, "No Data")</f>
        <v>Obesity</v>
      </c>
      <c r="K1440" s="28" t="str">
        <f t="array" ref="K1440">_xlfn.XLOOKUP($A1440, 'Hospitalisation Details'!$A:$A, 'Hospitalisation Details'!I:I, "No Data")</f>
        <v>tier - 1</v>
      </c>
      <c r="L1440" s="28" t="str">
        <f t="array" ref="L1440">_xlfn.XLOOKUP($A1440, 'Hospitalisation Details'!$A:$A, 'Hospitalisation Details'!J:J, "No Data")</f>
        <v>R1011</v>
      </c>
      <c r="M1440" s="28" t="str">
        <f t="array" ref="M1440">_xlfn.XLOOKUP($A1440, 'Hospitalisation Details'!$A:$A, 'Hospitalisation Details'!E:E, "No Data")</f>
        <v>18/12/77</v>
      </c>
      <c r="N1440" s="28">
        <f t="array" ref="N1440">_xlfn.XLOOKUP($A1440, 'Hospitalisation Details'!$A:$A, 'Hospitalisation Details'!K:K, "No Data")</f>
        <v>45</v>
      </c>
      <c r="O1440" s="33">
        <f t="array" ref="O1440">_xlfn.XLOOKUP($A1440, 'Hospitalisation Details'!$A:$A, 'Hospitalisation Details'!G:G, "No Data")</f>
        <v>7345.08</v>
      </c>
      <c r="P1440" s="28" t="str">
        <f t="array" ref="P1440">_xlfn.XLOOKUP($A1440, 'Hospitalisation Details'!$A:$A, 'Hospitalisation Details'!H:H, "No Data")</f>
        <v>tier - 2</v>
      </c>
    </row>
    <row r="1441">
      <c r="A1441" s="25" t="s">
        <v>4605</v>
      </c>
      <c r="B1441" s="28" t="str">
        <f t="array" ref="B1441">_xlfn.XLOOKUP($A1441, 'Customer Names'!$A:$A, 'Customer Names'!B:B, "No Data")</f>
        <v>Budrow</v>
      </c>
      <c r="C1441" s="28">
        <f t="array" ref="C1441">_xlfn.XLOOKUP($A1441, 'Medical Examinations'!$A:$A, 'Medical Examinations'!B:B, "No Data")</f>
        <v>26.41</v>
      </c>
      <c r="D1441" s="28">
        <f t="array" ref="D1441">_xlfn.XLOOKUP($A1441, 'Medical Examinations'!$A:$A, 'Medical Examinations'!C:C, "No Data")</f>
        <v>7.32</v>
      </c>
      <c r="E1441" s="28" t="str">
        <f t="array" ref="E1441">_xlfn.XLOOKUP($A1441, 'Medical Examinations'!$A:$A, 'Medical Examinations'!D:D, "No Data")</f>
        <v>yes</v>
      </c>
      <c r="F1441" s="28" t="str">
        <f t="array" ref="F1441">_xlfn.XLOOKUP($A1441, 'Medical Examinations'!$A:$A, 'Medical Examinations'!E:E, "No Data")</f>
        <v>No</v>
      </c>
      <c r="G1441" s="28" t="str">
        <f t="array" ref="G1441">_xlfn.XLOOKUP($A1441, 'Medical Examinations'!$A:$A, 'Medical Examinations'!F:F, "No Data")</f>
        <v>No</v>
      </c>
      <c r="H1441" s="28">
        <f t="array" ref="H1441">_xlfn.XLOOKUP($A1441, 'Medical Examinations'!$A:$A, 'Medical Examinations'!G:G, "No Data")</f>
        <v>1</v>
      </c>
      <c r="I1441" s="28" t="str">
        <f t="array" ref="I1441">_xlfn.XLOOKUP($A1441, 'Medical Examinations'!$A:$A, 'Medical Examinations'!H:H, "No Data")</f>
        <v>No</v>
      </c>
      <c r="J1441" s="28" t="str">
        <f t="array" ref="J1441">_xlfn.XLOOKUP($A1441, 'Medical Examinations'!$A:$A, 'Medical Examinations'!I:I, "No Data")</f>
        <v>Overweight</v>
      </c>
      <c r="K1441" s="28" t="str">
        <f t="array" ref="K1441">_xlfn.XLOOKUP($A1441, 'Hospitalisation Details'!$A:$A, 'Hospitalisation Details'!I:I, "No Data")</f>
        <v>tier - 2</v>
      </c>
      <c r="L1441" s="28" t="str">
        <f t="array" ref="L1441">_xlfn.XLOOKUP($A1441, 'Hospitalisation Details'!$A:$A, 'Hospitalisation Details'!J:J, "No Data")</f>
        <v>R1012</v>
      </c>
      <c r="M1441" s="28" t="str">
        <f t="array" ref="M1441">_xlfn.XLOOKUP($A1441, 'Hospitalisation Details'!$A:$A, 'Hospitalisation Details'!E:E, "No Data")</f>
        <v>15/06/86</v>
      </c>
      <c r="N1441" s="28">
        <f t="array" ref="N1441">_xlfn.XLOOKUP($A1441, 'Hospitalisation Details'!$A:$A, 'Hospitalisation Details'!K:K, "No Data")</f>
        <v>36</v>
      </c>
      <c r="O1441" s="33">
        <f t="array" ref="O1441">_xlfn.XLOOKUP($A1441, 'Hospitalisation Details'!$A:$A, 'Hospitalisation Details'!G:G, "No Data")</f>
        <v>7339.93</v>
      </c>
      <c r="P1441" s="28" t="str">
        <f t="array" ref="P1441">_xlfn.XLOOKUP($A1441, 'Hospitalisation Details'!$A:$A, 'Hospitalisation Details'!H:H, "No Data")</f>
        <v>tier - 2</v>
      </c>
    </row>
    <row r="1442">
      <c r="A1442" s="25" t="s">
        <v>4609</v>
      </c>
      <c r="B1442" s="28" t="str">
        <f t="array" ref="B1442">_xlfn.XLOOKUP($A1442, 'Customer Names'!$A:$A, 'Customer Names'!B:B, "No Data")</f>
        <v>Anderson</v>
      </c>
      <c r="C1442" s="28">
        <f t="array" ref="C1442">_xlfn.XLOOKUP($A1442, 'Medical Examinations'!$A:$A, 'Medical Examinations'!B:B, "No Data")</f>
        <v>29.9</v>
      </c>
      <c r="D1442" s="28">
        <f t="array" ref="D1442">_xlfn.XLOOKUP($A1442, 'Medical Examinations'!$A:$A, 'Medical Examinations'!C:C, "No Data")</f>
        <v>5.27</v>
      </c>
      <c r="E1442" s="28" t="str">
        <f t="array" ref="E1442">_xlfn.XLOOKUP($A1442, 'Medical Examinations'!$A:$A, 'Medical Examinations'!D:D, "No Data")</f>
        <v>No</v>
      </c>
      <c r="F1442" s="28" t="str">
        <f t="array" ref="F1442">_xlfn.XLOOKUP($A1442, 'Medical Examinations'!$A:$A, 'Medical Examinations'!E:E, "No Data")</f>
        <v>No</v>
      </c>
      <c r="G1442" s="28" t="str">
        <f t="array" ref="G1442">_xlfn.XLOOKUP($A1442, 'Medical Examinations'!$A:$A, 'Medical Examinations'!F:F, "No Data")</f>
        <v>Yes</v>
      </c>
      <c r="H1442" s="28">
        <f t="array" ref="H1442">_xlfn.XLOOKUP($A1442, 'Medical Examinations'!$A:$A, 'Medical Examinations'!G:G, "No Data")</f>
        <v>1</v>
      </c>
      <c r="I1442" s="28" t="str">
        <f t="array" ref="I1442">_xlfn.XLOOKUP($A1442, 'Medical Examinations'!$A:$A, 'Medical Examinations'!H:H, "No Data")</f>
        <v>No</v>
      </c>
      <c r="J1442" s="28" t="str">
        <f t="array" ref="J1442">_xlfn.XLOOKUP($A1442, 'Medical Examinations'!$A:$A, 'Medical Examinations'!I:I, "No Data")</f>
        <v>Overweight</v>
      </c>
      <c r="K1442" s="28" t="str">
        <f t="array" ref="K1442">_xlfn.XLOOKUP($A1442, 'Hospitalisation Details'!$A:$A, 'Hospitalisation Details'!I:I, "No Data")</f>
        <v>tier - 3</v>
      </c>
      <c r="L1442" s="28" t="str">
        <f t="array" ref="L1442">_xlfn.XLOOKUP($A1442, 'Hospitalisation Details'!$A:$A, 'Hospitalisation Details'!J:J, "No Data")</f>
        <v>R1011</v>
      </c>
      <c r="M1442" s="28" t="str">
        <f t="array" ref="M1442">_xlfn.XLOOKUP($A1442, 'Hospitalisation Details'!$A:$A, 'Hospitalisation Details'!E:E, "No Data")</f>
        <v>19/09/79</v>
      </c>
      <c r="N1442" s="28">
        <f t="array" ref="N1442">_xlfn.XLOOKUP($A1442, 'Hospitalisation Details'!$A:$A, 'Hospitalisation Details'!K:K, "No Data")</f>
        <v>43</v>
      </c>
      <c r="O1442" s="33">
        <f t="array" ref="O1442">_xlfn.XLOOKUP($A1442, 'Hospitalisation Details'!$A:$A, 'Hospitalisation Details'!G:G, "No Data")</f>
        <v>7337.75</v>
      </c>
      <c r="P1442" s="28" t="str">
        <f t="array" ref="P1442">_xlfn.XLOOKUP($A1442, 'Hospitalisation Details'!$A:$A, 'Hospitalisation Details'!H:H, "No Data")</f>
        <v>tier - 2</v>
      </c>
    </row>
    <row r="1443">
      <c r="A1443" s="25" t="s">
        <v>4612</v>
      </c>
      <c r="B1443" s="28" t="str">
        <f t="array" ref="B1443">_xlfn.XLOOKUP($A1443, 'Customer Names'!$A:$A, 'Customer Names'!B:B, "No Data")</f>
        <v>Douglas</v>
      </c>
      <c r="C1443" s="28">
        <f t="array" ref="C1443">_xlfn.XLOOKUP($A1443, 'Medical Examinations'!$A:$A, 'Medical Examinations'!B:B, "No Data")</f>
        <v>25.24</v>
      </c>
      <c r="D1443" s="28">
        <f t="array" ref="D1443">_xlfn.XLOOKUP($A1443, 'Medical Examinations'!$A:$A, 'Medical Examinations'!C:C, "No Data")</f>
        <v>5.82</v>
      </c>
      <c r="E1443" s="28" t="str">
        <f t="array" ref="E1443">_xlfn.XLOOKUP($A1443, 'Medical Examinations'!$A:$A, 'Medical Examinations'!D:D, "No Data")</f>
        <v>No</v>
      </c>
      <c r="F1443" s="28" t="str">
        <f t="array" ref="F1443">_xlfn.XLOOKUP($A1443, 'Medical Examinations'!$A:$A, 'Medical Examinations'!E:E, "No Data")</f>
        <v>No</v>
      </c>
      <c r="G1443" s="28" t="str">
        <f t="array" ref="G1443">_xlfn.XLOOKUP($A1443, 'Medical Examinations'!$A:$A, 'Medical Examinations'!F:F, "No Data")</f>
        <v>No</v>
      </c>
      <c r="H1443" s="28">
        <f t="array" ref="H1443">_xlfn.XLOOKUP($A1443, 'Medical Examinations'!$A:$A, 'Medical Examinations'!G:G, "No Data")</f>
        <v>1</v>
      </c>
      <c r="I1443" s="28" t="str">
        <f t="array" ref="I1443">_xlfn.XLOOKUP($A1443, 'Medical Examinations'!$A:$A, 'Medical Examinations'!H:H, "No Data")</f>
        <v>No</v>
      </c>
      <c r="J1443" s="28" t="str">
        <f t="array" ref="J1443">_xlfn.XLOOKUP($A1443, 'Medical Examinations'!$A:$A, 'Medical Examinations'!I:I, "No Data")</f>
        <v>Overweight</v>
      </c>
      <c r="K1443" s="28" t="str">
        <f t="array" ref="K1443">_xlfn.XLOOKUP($A1443, 'Hospitalisation Details'!$A:$A, 'Hospitalisation Details'!I:I, "No Data")</f>
        <v>tier - 1</v>
      </c>
      <c r="L1443" s="28" t="str">
        <f t="array" ref="L1443">_xlfn.XLOOKUP($A1443, 'Hospitalisation Details'!$A:$A, 'Hospitalisation Details'!J:J, "No Data")</f>
        <v>R1012</v>
      </c>
      <c r="M1443" s="28" t="str">
        <f t="array" ref="M1443">_xlfn.XLOOKUP($A1443, 'Hospitalisation Details'!$A:$A, 'Hospitalisation Details'!E:E, "No Data")</f>
        <v>25/07/84</v>
      </c>
      <c r="N1443" s="28">
        <f t="array" ref="N1443">_xlfn.XLOOKUP($A1443, 'Hospitalisation Details'!$A:$A, 'Hospitalisation Details'!K:K, "No Data")</f>
        <v>38</v>
      </c>
      <c r="O1443" s="33">
        <f t="array" ref="O1443">_xlfn.XLOOKUP($A1443, 'Hospitalisation Details'!$A:$A, 'Hospitalisation Details'!G:G, "No Data")</f>
        <v>7325.47</v>
      </c>
      <c r="P1443" s="28" t="str">
        <f t="array" ref="P1443">_xlfn.XLOOKUP($A1443, 'Hospitalisation Details'!$A:$A, 'Hospitalisation Details'!H:H, "No Data")</f>
        <v>tier - 2</v>
      </c>
    </row>
    <row r="1444">
      <c r="A1444" s="25" t="s">
        <v>4613</v>
      </c>
      <c r="B1444" s="28" t="str">
        <f t="array" ref="B1444">_xlfn.XLOOKUP($A1444, 'Customer Names'!$A:$A, 'Customer Names'!B:B, "No Data")</f>
        <v>Tecklenburg</v>
      </c>
      <c r="C1444" s="28">
        <f t="array" ref="C1444">_xlfn.XLOOKUP($A1444, 'Medical Examinations'!$A:$A, 'Medical Examinations'!B:B, "No Data")</f>
        <v>25.08</v>
      </c>
      <c r="D1444" s="28">
        <f t="array" ref="D1444">_xlfn.XLOOKUP($A1444, 'Medical Examinations'!$A:$A, 'Medical Examinations'!C:C, "No Data")</f>
        <v>5.8</v>
      </c>
      <c r="E1444" s="28" t="str">
        <f t="array" ref="E1444">_xlfn.XLOOKUP($A1444, 'Medical Examinations'!$A:$A, 'Medical Examinations'!D:D, "No Data")</f>
        <v>No</v>
      </c>
      <c r="F1444" s="28" t="str">
        <f t="array" ref="F1444">_xlfn.XLOOKUP($A1444, 'Medical Examinations'!$A:$A, 'Medical Examinations'!E:E, "No Data")</f>
        <v>No</v>
      </c>
      <c r="G1444" s="28" t="str">
        <f t="array" ref="G1444">_xlfn.XLOOKUP($A1444, 'Medical Examinations'!$A:$A, 'Medical Examinations'!F:F, "No Data")</f>
        <v>Yes</v>
      </c>
      <c r="H1444" s="28">
        <f t="array" ref="H1444">_xlfn.XLOOKUP($A1444, 'Medical Examinations'!$A:$A, 'Medical Examinations'!G:G, "No Data")</f>
        <v>1</v>
      </c>
      <c r="I1444" s="28" t="str">
        <f t="array" ref="I1444">_xlfn.XLOOKUP($A1444, 'Medical Examinations'!$A:$A, 'Medical Examinations'!H:H, "No Data")</f>
        <v>No</v>
      </c>
      <c r="J1444" s="28" t="str">
        <f t="array" ref="J1444">_xlfn.XLOOKUP($A1444, 'Medical Examinations'!$A:$A, 'Medical Examinations'!I:I, "No Data")</f>
        <v>Overweight</v>
      </c>
      <c r="K1444" s="28" t="str">
        <f t="array" ref="K1444">_xlfn.XLOOKUP($A1444, 'Hospitalisation Details'!$A:$A, 'Hospitalisation Details'!I:I, "No Data")</f>
        <v>tier - 3</v>
      </c>
      <c r="L1444" s="28" t="str">
        <f t="array" ref="L1444">_xlfn.XLOOKUP($A1444, 'Hospitalisation Details'!$A:$A, 'Hospitalisation Details'!J:J, "No Data")</f>
        <v>R1024</v>
      </c>
      <c r="M1444" s="28" t="str">
        <f t="array" ref="M1444">_xlfn.XLOOKUP($A1444, 'Hospitalisation Details'!$A:$A, 'Hospitalisation Details'!E:E, "No Data")</f>
        <v>19/06/79</v>
      </c>
      <c r="N1444" s="28">
        <f t="array" ref="N1444">_xlfn.XLOOKUP($A1444, 'Hospitalisation Details'!$A:$A, 'Hospitalisation Details'!K:K, "No Data")</f>
        <v>43</v>
      </c>
      <c r="O1444" s="33">
        <f t="array" ref="O1444">_xlfn.XLOOKUP($A1444, 'Hospitalisation Details'!$A:$A, 'Hospitalisation Details'!G:G, "No Data")</f>
        <v>7325.05</v>
      </c>
      <c r="P1444" s="28" t="str">
        <f t="array" ref="P1444">_xlfn.XLOOKUP($A1444, 'Hospitalisation Details'!$A:$A, 'Hospitalisation Details'!H:H, "No Data")</f>
        <v>tier - 2</v>
      </c>
    </row>
    <row r="1445">
      <c r="A1445" s="25" t="s">
        <v>4616</v>
      </c>
      <c r="B1445" s="28" t="str">
        <f t="array" ref="B1445">_xlfn.XLOOKUP($A1445, 'Customer Names'!$A:$A, 'Customer Names'!B:B, "No Data")</f>
        <v>Baker</v>
      </c>
      <c r="C1445" s="28">
        <f t="array" ref="C1445">_xlfn.XLOOKUP($A1445, 'Medical Examinations'!$A:$A, 'Medical Examinations'!B:B, "No Data")</f>
        <v>29.165</v>
      </c>
      <c r="D1445" s="28">
        <f t="array" ref="D1445">_xlfn.XLOOKUP($A1445, 'Medical Examinations'!$A:$A, 'Medical Examinations'!C:C, "No Data")</f>
        <v>4.87</v>
      </c>
      <c r="E1445" s="28" t="str">
        <f t="array" ref="E1445">_xlfn.XLOOKUP($A1445, 'Medical Examinations'!$A:$A, 'Medical Examinations'!D:D, "No Data")</f>
        <v>No</v>
      </c>
      <c r="F1445" s="28" t="str">
        <f t="array" ref="F1445">_xlfn.XLOOKUP($A1445, 'Medical Examinations'!$A:$A, 'Medical Examinations'!E:E, "No Data")</f>
        <v>yes</v>
      </c>
      <c r="G1445" s="28" t="str">
        <f t="array" ref="G1445">_xlfn.XLOOKUP($A1445, 'Medical Examinations'!$A:$A, 'Medical Examinations'!F:F, "No Data")</f>
        <v>No</v>
      </c>
      <c r="H1445" s="28">
        <f t="array" ref="H1445">_xlfn.XLOOKUP($A1445, 'Medical Examinations'!$A:$A, 'Medical Examinations'!G:G, "No Data")</f>
        <v>1</v>
      </c>
      <c r="I1445" s="28" t="str">
        <f t="array" ref="I1445">_xlfn.XLOOKUP($A1445, 'Medical Examinations'!$A:$A, 'Medical Examinations'!H:H, "No Data")</f>
        <v>No</v>
      </c>
      <c r="J1445" s="28" t="str">
        <f t="array" ref="J1445">_xlfn.XLOOKUP($A1445, 'Medical Examinations'!$A:$A, 'Medical Examinations'!I:I, "No Data")</f>
        <v>Overweight</v>
      </c>
      <c r="K1445" s="28" t="str">
        <f t="array" ref="K1445">_xlfn.XLOOKUP($A1445, 'Hospitalisation Details'!$A:$A, 'Hospitalisation Details'!I:I, "No Data")</f>
        <v>tier - 2</v>
      </c>
      <c r="L1445" s="28" t="str">
        <f t="array" ref="L1445">_xlfn.XLOOKUP($A1445, 'Hospitalisation Details'!$A:$A, 'Hospitalisation Details'!J:J, "No Data")</f>
        <v>R1024</v>
      </c>
      <c r="M1445" s="28" t="str">
        <f t="array" ref="M1445">_xlfn.XLOOKUP($A1445, 'Hospitalisation Details'!$A:$A, 'Hospitalisation Details'!E:E, "No Data")</f>
        <v>15/11/04</v>
      </c>
      <c r="N1445" s="28">
        <f t="array" ref="N1445">_xlfn.XLOOKUP($A1445, 'Hospitalisation Details'!$A:$A, 'Hospitalisation Details'!K:K, "No Data")</f>
        <v>18</v>
      </c>
      <c r="O1445" s="33">
        <f t="array" ref="O1445">_xlfn.XLOOKUP($A1445, 'Hospitalisation Details'!$A:$A, 'Hospitalisation Details'!G:G, "No Data")</f>
        <v>7323.73</v>
      </c>
      <c r="P1445" s="28" t="str">
        <f t="array" ref="P1445">_xlfn.XLOOKUP($A1445, 'Hospitalisation Details'!$A:$A, 'Hospitalisation Details'!H:H, "No Data")</f>
        <v>tier - 2</v>
      </c>
    </row>
    <row r="1446">
      <c r="A1446" s="25" t="s">
        <v>4619</v>
      </c>
      <c r="B1446" s="28" t="str">
        <f t="array" ref="B1446">_xlfn.XLOOKUP($A1446, 'Customer Names'!$A:$A, 'Customer Names'!B:B, "No Data")</f>
        <v>Schenck</v>
      </c>
      <c r="C1446" s="28">
        <f t="array" ref="C1446">_xlfn.XLOOKUP($A1446, 'Medical Examinations'!$A:$A, 'Medical Examinations'!B:B, "No Data")</f>
        <v>15.05</v>
      </c>
      <c r="D1446" s="28">
        <f t="array" ref="D1446">_xlfn.XLOOKUP($A1446, 'Medical Examinations'!$A:$A, 'Medical Examinations'!C:C, "No Data")</f>
        <v>8.12</v>
      </c>
      <c r="E1446" s="28" t="str">
        <f t="array" ref="E1446">_xlfn.XLOOKUP($A1446, 'Medical Examinations'!$A:$A, 'Medical Examinations'!D:D, "No Data")</f>
        <v>No</v>
      </c>
      <c r="F1446" s="28" t="str">
        <f t="array" ref="F1446">_xlfn.XLOOKUP($A1446, 'Medical Examinations'!$A:$A, 'Medical Examinations'!E:E, "No Data")</f>
        <v>No</v>
      </c>
      <c r="G1446" s="28" t="str">
        <f t="array" ref="G1446">_xlfn.XLOOKUP($A1446, 'Medical Examinations'!$A:$A, 'Medical Examinations'!F:F, "No Data")</f>
        <v>No</v>
      </c>
      <c r="H1446" s="28">
        <f t="array" ref="H1446">_xlfn.XLOOKUP($A1446, 'Medical Examinations'!$A:$A, 'Medical Examinations'!G:G, "No Data")</f>
        <v>0</v>
      </c>
      <c r="I1446" s="28" t="str">
        <f t="array" ref="I1446">_xlfn.XLOOKUP($A1446, 'Medical Examinations'!$A:$A, 'Medical Examinations'!H:H, "No Data")</f>
        <v>No</v>
      </c>
      <c r="J1446" s="28" t="str">
        <f t="array" ref="J1446">_xlfn.XLOOKUP($A1446, 'Medical Examinations'!$A:$A, 'Medical Examinations'!I:I, "No Data")</f>
        <v>Underweight</v>
      </c>
      <c r="K1446" s="28" t="str">
        <f t="array" ref="K1446">_xlfn.XLOOKUP($A1446, 'Hospitalisation Details'!$A:$A, 'Hospitalisation Details'!I:I, "No Data")</f>
        <v>tier - 3</v>
      </c>
      <c r="L1446" s="28" t="str">
        <f t="array" ref="L1446">_xlfn.XLOOKUP($A1446, 'Hospitalisation Details'!$A:$A, 'Hospitalisation Details'!J:J, "No Data")</f>
        <v>R1012</v>
      </c>
      <c r="M1446" s="28" t="str">
        <f t="array" ref="M1446">_xlfn.XLOOKUP($A1446, 'Hospitalisation Details'!$A:$A, 'Hospitalisation Details'!E:E, "No Data")</f>
        <v>11/07/65</v>
      </c>
      <c r="N1446" s="28">
        <f t="array" ref="N1446">_xlfn.XLOOKUP($A1446, 'Hospitalisation Details'!$A:$A, 'Hospitalisation Details'!K:K, "No Data")</f>
        <v>57</v>
      </c>
      <c r="O1446" s="33">
        <f t="array" ref="O1446">_xlfn.XLOOKUP($A1446, 'Hospitalisation Details'!$A:$A, 'Hospitalisation Details'!G:G, "No Data")</f>
        <v>7322.86</v>
      </c>
      <c r="P1446" s="28" t="str">
        <f t="array" ref="P1446">_xlfn.XLOOKUP($A1446, 'Hospitalisation Details'!$A:$A, 'Hospitalisation Details'!H:H, "No Data")</f>
        <v>tier - 3</v>
      </c>
    </row>
    <row r="1447">
      <c r="A1447" s="25" t="s">
        <v>4623</v>
      </c>
      <c r="B1447" s="28" t="str">
        <f t="array" ref="B1447">_xlfn.XLOOKUP($A1447, 'Customer Names'!$A:$A, 'Customer Names'!B:B, "No Data")</f>
        <v>Johnson</v>
      </c>
      <c r="C1447" s="28">
        <f t="array" ref="C1447">_xlfn.XLOOKUP($A1447, 'Medical Examinations'!$A:$A, 'Medical Examinations'!B:B, "No Data")</f>
        <v>19.95</v>
      </c>
      <c r="D1447" s="28">
        <f t="array" ref="D1447">_xlfn.XLOOKUP($A1447, 'Medical Examinations'!$A:$A, 'Medical Examinations'!C:C, "No Data")</f>
        <v>4.36</v>
      </c>
      <c r="E1447" s="28" t="str">
        <f t="array" ref="E1447">_xlfn.XLOOKUP($A1447, 'Medical Examinations'!$A:$A, 'Medical Examinations'!D:D, "No Data")</f>
        <v>No</v>
      </c>
      <c r="F1447" s="28" t="str">
        <f t="array" ref="F1447">_xlfn.XLOOKUP($A1447, 'Medical Examinations'!$A:$A, 'Medical Examinations'!E:E, "No Data")</f>
        <v>No</v>
      </c>
      <c r="G1447" s="28" t="str">
        <f t="array" ref="G1447">_xlfn.XLOOKUP($A1447, 'Medical Examinations'!$A:$A, 'Medical Examinations'!F:F, "No Data")</f>
        <v>No</v>
      </c>
      <c r="H1447" s="28">
        <f t="array" ref="H1447">_xlfn.XLOOKUP($A1447, 'Medical Examinations'!$A:$A, 'Medical Examinations'!G:G, "No Data")</f>
        <v>2</v>
      </c>
      <c r="I1447" s="28" t="str">
        <f t="array" ref="I1447">_xlfn.XLOOKUP($A1447, 'Medical Examinations'!$A:$A, 'Medical Examinations'!H:H, "No Data")</f>
        <v>No</v>
      </c>
      <c r="J1447" s="28" t="str">
        <f t="array" ref="J1447">_xlfn.XLOOKUP($A1447, 'Medical Examinations'!$A:$A, 'Medical Examinations'!I:I, "No Data")</f>
        <v>Normal Weight</v>
      </c>
      <c r="K1447" s="28" t="str">
        <f t="array" ref="K1447">_xlfn.XLOOKUP($A1447, 'Hospitalisation Details'!$A:$A, 'Hospitalisation Details'!I:I, "No Data")</f>
        <v>tier - 3</v>
      </c>
      <c r="L1447" s="28" t="str">
        <f t="array" ref="L1447">_xlfn.XLOOKUP($A1447, 'Hospitalisation Details'!$A:$A, 'Hospitalisation Details'!J:J, "No Data")</f>
        <v>R1012</v>
      </c>
      <c r="M1447" s="28" t="str">
        <f t="array" ref="M1447">_xlfn.XLOOKUP($A1447, 'Hospitalisation Details'!$A:$A, 'Hospitalisation Details'!E:E, "No Data")</f>
        <v>11/08/72</v>
      </c>
      <c r="N1447" s="28">
        <f t="array" ref="N1447">_xlfn.XLOOKUP($A1447, 'Hospitalisation Details'!$A:$A, 'Hospitalisation Details'!K:K, "No Data")</f>
        <v>50</v>
      </c>
      <c r="O1447" s="33">
        <f t="array" ref="O1447">_xlfn.XLOOKUP($A1447, 'Hospitalisation Details'!$A:$A, 'Hospitalisation Details'!G:G, "No Data")</f>
        <v>7318.22</v>
      </c>
      <c r="P1447" s="28" t="str">
        <f t="array" ref="P1447">_xlfn.XLOOKUP($A1447, 'Hospitalisation Details'!$A:$A, 'Hospitalisation Details'!H:H, "No Data")</f>
        <v>tier - 2</v>
      </c>
    </row>
    <row r="1448">
      <c r="A1448" s="25" t="s">
        <v>4632</v>
      </c>
      <c r="B1448" s="28" t="str">
        <f t="array" ref="B1448">_xlfn.XLOOKUP($A1448, 'Customer Names'!$A:$A, 'Customer Names'!B:B, "No Data")</f>
        <v>Blendell</v>
      </c>
      <c r="C1448" s="28">
        <f t="array" ref="C1448">_xlfn.XLOOKUP($A1448, 'Medical Examinations'!$A:$A, 'Medical Examinations'!B:B, "No Data")</f>
        <v>16.66</v>
      </c>
      <c r="D1448" s="28">
        <f t="array" ref="D1448">_xlfn.XLOOKUP($A1448, 'Medical Examinations'!$A:$A, 'Medical Examinations'!C:C, "No Data")</f>
        <v>9.16</v>
      </c>
      <c r="E1448" s="28" t="str">
        <f t="array" ref="E1448">_xlfn.XLOOKUP($A1448, 'Medical Examinations'!$A:$A, 'Medical Examinations'!D:D, "No Data")</f>
        <v>No</v>
      </c>
      <c r="F1448" s="28" t="str">
        <f t="array" ref="F1448">_xlfn.XLOOKUP($A1448, 'Medical Examinations'!$A:$A, 'Medical Examinations'!E:E, "No Data")</f>
        <v>No</v>
      </c>
      <c r="G1448" s="28" t="str">
        <f t="array" ref="G1448">_xlfn.XLOOKUP($A1448, 'Medical Examinations'!$A:$A, 'Medical Examinations'!F:F, "No Data")</f>
        <v>No</v>
      </c>
      <c r="H1448" s="28">
        <f t="array" ref="H1448">_xlfn.XLOOKUP($A1448, 'Medical Examinations'!$A:$A, 'Medical Examinations'!G:G, "No Data")</f>
        <v>0</v>
      </c>
      <c r="I1448" s="28" t="str">
        <f t="array" ref="I1448">_xlfn.XLOOKUP($A1448, 'Medical Examinations'!$A:$A, 'Medical Examinations'!H:H, "No Data")</f>
        <v>No</v>
      </c>
      <c r="J1448" s="28" t="str">
        <f t="array" ref="J1448">_xlfn.XLOOKUP($A1448, 'Medical Examinations'!$A:$A, 'Medical Examinations'!I:I, "No Data")</f>
        <v>Underweight</v>
      </c>
      <c r="K1448" s="28" t="str">
        <f t="array" ref="K1448">_xlfn.XLOOKUP($A1448, 'Hospitalisation Details'!$A:$A, 'Hospitalisation Details'!I:I, "No Data")</f>
        <v>tier - 1</v>
      </c>
      <c r="L1448" s="28" t="str">
        <f t="array" ref="L1448">_xlfn.XLOOKUP($A1448, 'Hospitalisation Details'!$A:$A, 'Hospitalisation Details'!J:J, "No Data")</f>
        <v>R1013</v>
      </c>
      <c r="M1448" s="28" t="str">
        <f t="array" ref="M1448">_xlfn.XLOOKUP($A1448, 'Hospitalisation Details'!$A:$A, 'Hospitalisation Details'!E:E, "No Data")</f>
        <v>25/06/65</v>
      </c>
      <c r="N1448" s="28">
        <f t="array" ref="N1448">_xlfn.XLOOKUP($A1448, 'Hospitalisation Details'!$A:$A, 'Hospitalisation Details'!K:K, "No Data")</f>
        <v>57</v>
      </c>
      <c r="O1448" s="33">
        <f t="array" ref="O1448">_xlfn.XLOOKUP($A1448, 'Hospitalisation Details'!$A:$A, 'Hospitalisation Details'!G:G, "No Data")</f>
        <v>7318.21</v>
      </c>
      <c r="P1448" s="28" t="str">
        <f t="array" ref="P1448">_xlfn.XLOOKUP($A1448, 'Hospitalisation Details'!$A:$A, 'Hospitalisation Details'!H:H, "No Data")</f>
        <v>tier - 3</v>
      </c>
    </row>
    <row r="1449">
      <c r="A1449" s="25" t="s">
        <v>4635</v>
      </c>
      <c r="B1449" s="28" t="str">
        <f t="array" ref="B1449">_xlfn.XLOOKUP($A1449, 'Customer Names'!$A:$A, 'Customer Names'!B:B, "No Data")</f>
        <v>Parodi</v>
      </c>
      <c r="C1449" s="28">
        <f t="array" ref="C1449">_xlfn.XLOOKUP($A1449, 'Medical Examinations'!$A:$A, 'Medical Examinations'!B:B, "No Data")</f>
        <v>16.62</v>
      </c>
      <c r="D1449" s="28">
        <f t="array" ref="D1449">_xlfn.XLOOKUP($A1449, 'Medical Examinations'!$A:$A, 'Medical Examinations'!C:C, "No Data")</f>
        <v>9.14</v>
      </c>
      <c r="E1449" s="28" t="str">
        <f t="array" ref="E1449">_xlfn.XLOOKUP($A1449, 'Medical Examinations'!$A:$A, 'Medical Examinations'!D:D, "No Data")</f>
        <v>No</v>
      </c>
      <c r="F1449" s="28" t="str">
        <f t="array" ref="F1449">_xlfn.XLOOKUP($A1449, 'Medical Examinations'!$A:$A, 'Medical Examinations'!E:E, "No Data")</f>
        <v>No</v>
      </c>
      <c r="G1449" s="28" t="str">
        <f t="array" ref="G1449">_xlfn.XLOOKUP($A1449, 'Medical Examinations'!$A:$A, 'Medical Examinations'!F:F, "No Data")</f>
        <v>No</v>
      </c>
      <c r="H1449" s="28">
        <f t="array" ref="H1449">_xlfn.XLOOKUP($A1449, 'Medical Examinations'!$A:$A, 'Medical Examinations'!G:G, "No Data")</f>
        <v>0</v>
      </c>
      <c r="I1449" s="28" t="str">
        <f t="array" ref="I1449">_xlfn.XLOOKUP($A1449, 'Medical Examinations'!$A:$A, 'Medical Examinations'!H:H, "No Data")</f>
        <v>No</v>
      </c>
      <c r="J1449" s="28" t="str">
        <f t="array" ref="J1449">_xlfn.XLOOKUP($A1449, 'Medical Examinations'!$A:$A, 'Medical Examinations'!I:I, "No Data")</f>
        <v>Underweight</v>
      </c>
      <c r="K1449" s="28" t="str">
        <f t="array" ref="K1449">_xlfn.XLOOKUP($A1449, 'Hospitalisation Details'!$A:$A, 'Hospitalisation Details'!I:I, "No Data")</f>
        <v>tier - 3</v>
      </c>
      <c r="L1449" s="28" t="str">
        <f t="array" ref="L1449">_xlfn.XLOOKUP($A1449, 'Hospitalisation Details'!$A:$A, 'Hospitalisation Details'!J:J, "No Data")</f>
        <v>R1013</v>
      </c>
      <c r="M1449" s="28" t="str">
        <f t="array" ref="M1449">_xlfn.XLOOKUP($A1449, 'Hospitalisation Details'!$A:$A, 'Hospitalisation Details'!E:E, "No Data")</f>
        <v>06/06/65</v>
      </c>
      <c r="N1449" s="28">
        <f t="array" ref="N1449">_xlfn.XLOOKUP($A1449, 'Hospitalisation Details'!$A:$A, 'Hospitalisation Details'!K:K, "No Data")</f>
        <v>58</v>
      </c>
      <c r="O1449" s="33">
        <f t="array" ref="O1449">_xlfn.XLOOKUP($A1449, 'Hospitalisation Details'!$A:$A, 'Hospitalisation Details'!G:G, "No Data")</f>
        <v>7304.65</v>
      </c>
      <c r="P1449" s="28" t="str">
        <f t="array" ref="P1449">_xlfn.XLOOKUP($A1449, 'Hospitalisation Details'!$A:$A, 'Hospitalisation Details'!H:H, "No Data")</f>
        <v>tier - 3</v>
      </c>
    </row>
    <row r="1450">
      <c r="A1450" s="25" t="s">
        <v>4639</v>
      </c>
      <c r="B1450" s="28" t="str">
        <f t="array" ref="B1450">_xlfn.XLOOKUP($A1450, 'Customer Names'!$A:$A, 'Customer Names'!B:B, "No Data")</f>
        <v>Morgan</v>
      </c>
      <c r="C1450" s="28">
        <f t="array" ref="C1450">_xlfn.XLOOKUP($A1450, 'Medical Examinations'!$A:$A, 'Medical Examinations'!B:B, "No Data")</f>
        <v>15.36</v>
      </c>
      <c r="D1450" s="28">
        <f t="array" ref="D1450">_xlfn.XLOOKUP($A1450, 'Medical Examinations'!$A:$A, 'Medical Examinations'!C:C, "No Data")</f>
        <v>5.49</v>
      </c>
      <c r="E1450" s="28" t="str">
        <f t="array" ref="E1450">_xlfn.XLOOKUP($A1450, 'Medical Examinations'!$A:$A, 'Medical Examinations'!D:D, "No Data")</f>
        <v>yes</v>
      </c>
      <c r="F1450" s="28" t="str">
        <f t="array" ref="F1450">_xlfn.XLOOKUP($A1450, 'Medical Examinations'!$A:$A, 'Medical Examinations'!E:E, "No Data")</f>
        <v>No</v>
      </c>
      <c r="G1450" s="28" t="str">
        <f t="array" ref="G1450">_xlfn.XLOOKUP($A1450, 'Medical Examinations'!$A:$A, 'Medical Examinations'!F:F, "No Data")</f>
        <v>No</v>
      </c>
      <c r="H1450" s="28">
        <f t="array" ref="H1450">_xlfn.XLOOKUP($A1450, 'Medical Examinations'!$A:$A, 'Medical Examinations'!G:G, "No Data")</f>
        <v>2</v>
      </c>
      <c r="I1450" s="28" t="str">
        <f t="array" ref="I1450">_xlfn.XLOOKUP($A1450, 'Medical Examinations'!$A:$A, 'Medical Examinations'!H:H, "No Data")</f>
        <v>No</v>
      </c>
      <c r="J1450" s="28" t="str">
        <f t="array" ref="J1450">_xlfn.XLOOKUP($A1450, 'Medical Examinations'!$A:$A, 'Medical Examinations'!I:I, "No Data")</f>
        <v>Underweight</v>
      </c>
      <c r="K1450" s="28" t="str">
        <f t="array" ref="K1450">_xlfn.XLOOKUP($A1450, 'Hospitalisation Details'!$A:$A, 'Hospitalisation Details'!I:I, "No Data")</f>
        <v>tier - 1</v>
      </c>
      <c r="L1450" s="28" t="str">
        <f t="array" ref="L1450">_xlfn.XLOOKUP($A1450, 'Hospitalisation Details'!$A:$A, 'Hospitalisation Details'!J:J, "No Data")</f>
        <v>R1012</v>
      </c>
      <c r="M1450" s="28" t="str">
        <f t="array" ref="M1450">_xlfn.XLOOKUP($A1450, 'Hospitalisation Details'!$A:$A, 'Hospitalisation Details'!E:E, "No Data")</f>
        <v>26/12/66</v>
      </c>
      <c r="N1450" s="28">
        <f t="array" ref="N1450">_xlfn.XLOOKUP($A1450, 'Hospitalisation Details'!$A:$A, 'Hospitalisation Details'!K:K, "No Data")</f>
        <v>56</v>
      </c>
      <c r="O1450" s="33">
        <f t="array" ref="O1450">_xlfn.XLOOKUP($A1450, 'Hospitalisation Details'!$A:$A, 'Hospitalisation Details'!G:G, "No Data")</f>
        <v>7302.46</v>
      </c>
      <c r="P1450" s="28" t="str">
        <f t="array" ref="P1450">_xlfn.XLOOKUP($A1450, 'Hospitalisation Details'!$A:$A, 'Hospitalisation Details'!H:H, "No Data")</f>
        <v>tier - 3</v>
      </c>
    </row>
    <row r="1451">
      <c r="A1451" s="25" t="s">
        <v>4642</v>
      </c>
      <c r="B1451" s="28" t="str">
        <f t="array" ref="B1451">_xlfn.XLOOKUP($A1451, 'Customer Names'!$A:$A, 'Customer Names'!B:B, "No Data")</f>
        <v>Linden</v>
      </c>
      <c r="C1451" s="28">
        <f t="array" ref="C1451">_xlfn.XLOOKUP($A1451, 'Medical Examinations'!$A:$A, 'Medical Examinations'!B:B, "No Data")</f>
        <v>27.74</v>
      </c>
      <c r="D1451" s="28">
        <f t="array" ref="D1451">_xlfn.XLOOKUP($A1451, 'Medical Examinations'!$A:$A, 'Medical Examinations'!C:C, "No Data")</f>
        <v>5.96</v>
      </c>
      <c r="E1451" s="28" t="str">
        <f t="array" ref="E1451">_xlfn.XLOOKUP($A1451, 'Medical Examinations'!$A:$A, 'Medical Examinations'!D:D, "No Data")</f>
        <v>yes</v>
      </c>
      <c r="F1451" s="28" t="str">
        <f t="array" ref="F1451">_xlfn.XLOOKUP($A1451, 'Medical Examinations'!$A:$A, 'Medical Examinations'!E:E, "No Data")</f>
        <v>No</v>
      </c>
      <c r="G1451" s="28" t="str">
        <f t="array" ref="G1451">_xlfn.XLOOKUP($A1451, 'Medical Examinations'!$A:$A, 'Medical Examinations'!F:F, "No Data")</f>
        <v>No</v>
      </c>
      <c r="H1451" s="28">
        <f t="array" ref="H1451">_xlfn.XLOOKUP($A1451, 'Medical Examinations'!$A:$A, 'Medical Examinations'!G:G, "No Data")</f>
        <v>0</v>
      </c>
      <c r="I1451" s="28" t="str">
        <f t="array" ref="I1451">_xlfn.XLOOKUP($A1451, 'Medical Examinations'!$A:$A, 'Medical Examinations'!H:H, "No Data")</f>
        <v>No</v>
      </c>
      <c r="J1451" s="28" t="str">
        <f t="array" ref="J1451">_xlfn.XLOOKUP($A1451, 'Medical Examinations'!$A:$A, 'Medical Examinations'!I:I, "No Data")</f>
        <v>Overweight</v>
      </c>
      <c r="K1451" s="28" t="str">
        <f t="array" ref="K1451">_xlfn.XLOOKUP($A1451, 'Hospitalisation Details'!$A:$A, 'Hospitalisation Details'!I:I, "No Data")</f>
        <v>tier - 1</v>
      </c>
      <c r="L1451" s="28" t="str">
        <f t="array" ref="L1451">_xlfn.XLOOKUP($A1451, 'Hospitalisation Details'!$A:$A, 'Hospitalisation Details'!J:J, "No Data")</f>
        <v>R1012</v>
      </c>
      <c r="M1451" s="28" t="str">
        <f t="array" ref="M1451">_xlfn.XLOOKUP($A1451, 'Hospitalisation Details'!$A:$A, 'Hospitalisation Details'!E:E, "No Data")</f>
        <v>02/11/85</v>
      </c>
      <c r="N1451" s="28">
        <f t="array" ref="N1451">_xlfn.XLOOKUP($A1451, 'Hospitalisation Details'!$A:$A, 'Hospitalisation Details'!K:K, "No Data")</f>
        <v>37</v>
      </c>
      <c r="O1451" s="33">
        <f t="array" ref="O1451">_xlfn.XLOOKUP($A1451, 'Hospitalisation Details'!$A:$A, 'Hospitalisation Details'!G:G, "No Data")</f>
        <v>7281.51</v>
      </c>
      <c r="P1451" s="28" t="str">
        <f t="array" ref="P1451">_xlfn.XLOOKUP($A1451, 'Hospitalisation Details'!$A:$A, 'Hospitalisation Details'!H:H, "No Data")</f>
        <v>tier - 2</v>
      </c>
    </row>
    <row r="1452">
      <c r="A1452" s="25" t="s">
        <v>4646</v>
      </c>
      <c r="B1452" s="28" t="str">
        <f t="array" ref="B1452">_xlfn.XLOOKUP($A1452, 'Customer Names'!$A:$A, 'Customer Names'!B:B, "No Data")</f>
        <v>Horning</v>
      </c>
      <c r="C1452" s="28">
        <f t="array" ref="C1452">_xlfn.XLOOKUP($A1452, 'Medical Examinations'!$A:$A, 'Medical Examinations'!B:B, "No Data")</f>
        <v>22.44</v>
      </c>
      <c r="D1452" s="28">
        <f t="array" ref="D1452">_xlfn.XLOOKUP($A1452, 'Medical Examinations'!$A:$A, 'Medical Examinations'!C:C, "No Data")</f>
        <v>4.62</v>
      </c>
      <c r="E1452" s="28" t="str">
        <f t="array" ref="E1452">_xlfn.XLOOKUP($A1452, 'Medical Examinations'!$A:$A, 'Medical Examinations'!D:D, "No Data")</f>
        <v>yes</v>
      </c>
      <c r="F1452" s="28" t="str">
        <f t="array" ref="F1452">_xlfn.XLOOKUP($A1452, 'Medical Examinations'!$A:$A, 'Medical Examinations'!E:E, "No Data")</f>
        <v>No</v>
      </c>
      <c r="G1452" s="28" t="str">
        <f t="array" ref="G1452">_xlfn.XLOOKUP($A1452, 'Medical Examinations'!$A:$A, 'Medical Examinations'!F:F, "No Data")</f>
        <v>No</v>
      </c>
      <c r="H1452" s="28">
        <f t="array" ref="H1452">_xlfn.XLOOKUP($A1452, 'Medical Examinations'!$A:$A, 'Medical Examinations'!G:G, "No Data")</f>
        <v>0</v>
      </c>
      <c r="I1452" s="28" t="str">
        <f t="array" ref="I1452">_xlfn.XLOOKUP($A1452, 'Medical Examinations'!$A:$A, 'Medical Examinations'!H:H, "No Data")</f>
        <v>No</v>
      </c>
      <c r="J1452" s="28" t="str">
        <f t="array" ref="J1452">_xlfn.XLOOKUP($A1452, 'Medical Examinations'!$A:$A, 'Medical Examinations'!I:I, "No Data")</f>
        <v>Normal Weight</v>
      </c>
      <c r="K1452" s="28" t="str">
        <f t="array" ref="K1452">_xlfn.XLOOKUP($A1452, 'Hospitalisation Details'!$A:$A, 'Hospitalisation Details'!I:I, "No Data")</f>
        <v>tier - 1</v>
      </c>
      <c r="L1452" s="28" t="str">
        <f t="array" ref="L1452">_xlfn.XLOOKUP($A1452, 'Hospitalisation Details'!$A:$A, 'Hospitalisation Details'!J:J, "No Data")</f>
        <v>R1013</v>
      </c>
      <c r="M1452" s="28" t="str">
        <f t="array" ref="M1452">_xlfn.XLOOKUP($A1452, 'Hospitalisation Details'!$A:$A, 'Hospitalisation Details'!E:E, "No Data")</f>
        <v>18/12/76</v>
      </c>
      <c r="N1452" s="28">
        <f t="array" ref="N1452">_xlfn.XLOOKUP($A1452, 'Hospitalisation Details'!$A:$A, 'Hospitalisation Details'!K:K, "No Data")</f>
        <v>46</v>
      </c>
      <c r="O1452" s="33">
        <f t="array" ref="O1452">_xlfn.XLOOKUP($A1452, 'Hospitalisation Details'!$A:$A, 'Hospitalisation Details'!G:G, "No Data")</f>
        <v>7273.02</v>
      </c>
      <c r="P1452" s="28" t="str">
        <f t="array" ref="P1452">_xlfn.XLOOKUP($A1452, 'Hospitalisation Details'!$A:$A, 'Hospitalisation Details'!H:H, "No Data")</f>
        <v>tier - 2</v>
      </c>
    </row>
    <row r="1453">
      <c r="A1453" s="25" t="s">
        <v>4650</v>
      </c>
      <c r="B1453" s="28" t="str">
        <f t="array" ref="B1453">_xlfn.XLOOKUP($A1453, 'Customer Names'!$A:$A, 'Customer Names'!B:B, "No Data")</f>
        <v>Goode</v>
      </c>
      <c r="C1453" s="28">
        <f t="array" ref="C1453">_xlfn.XLOOKUP($A1453, 'Medical Examinations'!$A:$A, 'Medical Examinations'!B:B, "No Data")</f>
        <v>37.05</v>
      </c>
      <c r="D1453" s="28">
        <f t="array" ref="D1453">_xlfn.XLOOKUP($A1453, 'Medical Examinations'!$A:$A, 'Medical Examinations'!C:C, "No Data")</f>
        <v>9.96</v>
      </c>
      <c r="E1453" s="28" t="str">
        <f t="array" ref="E1453">_xlfn.XLOOKUP($A1453, 'Medical Examinations'!$A:$A, 'Medical Examinations'!D:D, "No Data")</f>
        <v>yes</v>
      </c>
      <c r="F1453" s="28" t="str">
        <f t="array" ref="F1453">_xlfn.XLOOKUP($A1453, 'Medical Examinations'!$A:$A, 'Medical Examinations'!E:E, "No Data")</f>
        <v>No</v>
      </c>
      <c r="G1453" s="28" t="str">
        <f t="array" ref="G1453">_xlfn.XLOOKUP($A1453, 'Medical Examinations'!$A:$A, 'Medical Examinations'!F:F, "No Data")</f>
        <v>No</v>
      </c>
      <c r="H1453" s="28">
        <f t="array" ref="H1453">_xlfn.XLOOKUP($A1453, 'Medical Examinations'!$A:$A, 'Medical Examinations'!G:G, "No Data")</f>
        <v>0</v>
      </c>
      <c r="I1453" s="28" t="str">
        <f t="array" ref="I1453">_xlfn.XLOOKUP($A1453, 'Medical Examinations'!$A:$A, 'Medical Examinations'!H:H, "No Data")</f>
        <v>No</v>
      </c>
      <c r="J1453" s="28" t="str">
        <f t="array" ref="J1453">_xlfn.XLOOKUP($A1453, 'Medical Examinations'!$A:$A, 'Medical Examinations'!I:I, "No Data")</f>
        <v>Obesity</v>
      </c>
      <c r="K1453" s="28" t="str">
        <f t="array" ref="K1453">_xlfn.XLOOKUP($A1453, 'Hospitalisation Details'!$A:$A, 'Hospitalisation Details'!I:I, "No Data")</f>
        <v>tier - 3</v>
      </c>
      <c r="L1453" s="28" t="str">
        <f t="array" ref="L1453">_xlfn.XLOOKUP($A1453, 'Hospitalisation Details'!$A:$A, 'Hospitalisation Details'!J:J, "No Data")</f>
        <v>R1012</v>
      </c>
      <c r="M1453" s="28" t="str">
        <f t="array" ref="M1453">_xlfn.XLOOKUP($A1453, 'Hospitalisation Details'!$A:$A, 'Hospitalisation Details'!E:E, "No Data")</f>
        <v>04/08/81</v>
      </c>
      <c r="N1453" s="28">
        <f t="array" ref="N1453">_xlfn.XLOOKUP($A1453, 'Hospitalisation Details'!$A:$A, 'Hospitalisation Details'!K:K, "No Data")</f>
        <v>41</v>
      </c>
      <c r="O1453" s="33">
        <f t="array" ref="O1453">_xlfn.XLOOKUP($A1453, 'Hospitalisation Details'!$A:$A, 'Hospitalisation Details'!G:G, "No Data")</f>
        <v>7265.7</v>
      </c>
      <c r="P1453" s="28" t="str">
        <f t="array" ref="P1453">_xlfn.XLOOKUP($A1453, 'Hospitalisation Details'!$A:$A, 'Hospitalisation Details'!H:H, "No Data")</f>
        <v>tier - 3</v>
      </c>
    </row>
    <row r="1454">
      <c r="A1454" s="25" t="s">
        <v>4653</v>
      </c>
      <c r="B1454" s="28" t="str">
        <f t="array" ref="B1454">_xlfn.XLOOKUP($A1454, 'Customer Names'!$A:$A, 'Customer Names'!B:B, "No Data")</f>
        <v>Doden</v>
      </c>
      <c r="C1454" s="28">
        <f t="array" ref="C1454">_xlfn.XLOOKUP($A1454, 'Medical Examinations'!$A:$A, 'Medical Examinations'!B:B, "No Data")</f>
        <v>22.95</v>
      </c>
      <c r="D1454" s="28">
        <f t="array" ref="D1454">_xlfn.XLOOKUP($A1454, 'Medical Examinations'!$A:$A, 'Medical Examinations'!C:C, "No Data")</f>
        <v>10.53</v>
      </c>
      <c r="E1454" s="28" t="str">
        <f t="array" ref="E1454">_xlfn.XLOOKUP($A1454, 'Medical Examinations'!$A:$A, 'Medical Examinations'!D:D, "No Data")</f>
        <v>No</v>
      </c>
      <c r="F1454" s="28" t="str">
        <f t="array" ref="F1454">_xlfn.XLOOKUP($A1454, 'Medical Examinations'!$A:$A, 'Medical Examinations'!E:E, "No Data")</f>
        <v>No</v>
      </c>
      <c r="G1454" s="28" t="str">
        <f t="array" ref="G1454">_xlfn.XLOOKUP($A1454, 'Medical Examinations'!$A:$A, 'Medical Examinations'!F:F, "No Data")</f>
        <v>No</v>
      </c>
      <c r="H1454" s="28">
        <f t="array" ref="H1454">_xlfn.XLOOKUP($A1454, 'Medical Examinations'!$A:$A, 'Medical Examinations'!G:G, "No Data")</f>
        <v>2</v>
      </c>
      <c r="I1454" s="28" t="str">
        <f t="array" ref="I1454">_xlfn.XLOOKUP($A1454, 'Medical Examinations'!$A:$A, 'Medical Examinations'!H:H, "No Data")</f>
        <v>No</v>
      </c>
      <c r="J1454" s="28" t="str">
        <f t="array" ref="J1454">_xlfn.XLOOKUP($A1454, 'Medical Examinations'!$A:$A, 'Medical Examinations'!I:I, "No Data")</f>
        <v>Normal Weight</v>
      </c>
      <c r="K1454" s="28" t="str">
        <f t="array" ref="K1454">_xlfn.XLOOKUP($A1454, 'Hospitalisation Details'!$A:$A, 'Hospitalisation Details'!I:I, "No Data")</f>
        <v>tier - 2</v>
      </c>
      <c r="L1454" s="28" t="str">
        <f t="array" ref="L1454">_xlfn.XLOOKUP($A1454, 'Hospitalisation Details'!$A:$A, 'Hospitalisation Details'!J:J, "No Data")</f>
        <v>R1013</v>
      </c>
      <c r="M1454" s="28" t="str">
        <f t="array" ref="M1454">_xlfn.XLOOKUP($A1454, 'Hospitalisation Details'!$A:$A, 'Hospitalisation Details'!E:E, "No Data")</f>
        <v>25/10/73</v>
      </c>
      <c r="N1454" s="28">
        <f t="array" ref="N1454">_xlfn.XLOOKUP($A1454, 'Hospitalisation Details'!$A:$A, 'Hospitalisation Details'!K:K, "No Data")</f>
        <v>49</v>
      </c>
      <c r="O1454" s="33">
        <f t="array" ref="O1454">_xlfn.XLOOKUP($A1454, 'Hospitalisation Details'!$A:$A, 'Hospitalisation Details'!G:G, "No Data")</f>
        <v>7265.58</v>
      </c>
      <c r="P1454" s="28" t="str">
        <f t="array" ref="P1454">_xlfn.XLOOKUP($A1454, 'Hospitalisation Details'!$A:$A, 'Hospitalisation Details'!H:H, "No Data")</f>
        <v>tier - 2</v>
      </c>
    </row>
    <row r="1455">
      <c r="A1455" s="25" t="s">
        <v>4657</v>
      </c>
      <c r="B1455" s="28" t="str">
        <f t="array" ref="B1455">_xlfn.XLOOKUP($A1455, 'Customer Names'!$A:$A, 'Customer Names'!B:B, "No Data")</f>
        <v>Groff</v>
      </c>
      <c r="C1455" s="28">
        <f t="array" ref="C1455">_xlfn.XLOOKUP($A1455, 'Medical Examinations'!$A:$A, 'Medical Examinations'!B:B, "No Data")</f>
        <v>34.2</v>
      </c>
      <c r="D1455" s="28">
        <f t="array" ref="D1455">_xlfn.XLOOKUP($A1455, 'Medical Examinations'!$A:$A, 'Medical Examinations'!C:C, "No Data")</f>
        <v>6.69</v>
      </c>
      <c r="E1455" s="28" t="str">
        <f t="array" ref="E1455">_xlfn.XLOOKUP($A1455, 'Medical Examinations'!$A:$A, 'Medical Examinations'!D:D, "No Data")</f>
        <v>yes</v>
      </c>
      <c r="F1455" s="28" t="str">
        <f t="array" ref="F1455">_xlfn.XLOOKUP($A1455, 'Medical Examinations'!$A:$A, 'Medical Examinations'!E:E, "No Data")</f>
        <v>No</v>
      </c>
      <c r="G1455" s="28" t="str">
        <f t="array" ref="G1455">_xlfn.XLOOKUP($A1455, 'Medical Examinations'!$A:$A, 'Medical Examinations'!F:F, "No Data")</f>
        <v>No</v>
      </c>
      <c r="H1455" s="28">
        <f t="array" ref="H1455">_xlfn.XLOOKUP($A1455, 'Medical Examinations'!$A:$A, 'Medical Examinations'!G:G, "No Data")</f>
        <v>0</v>
      </c>
      <c r="I1455" s="28" t="str">
        <f t="array" ref="I1455">_xlfn.XLOOKUP($A1455, 'Medical Examinations'!$A:$A, 'Medical Examinations'!H:H, "No Data")</f>
        <v>No</v>
      </c>
      <c r="J1455" s="28" t="str">
        <f t="array" ref="J1455">_xlfn.XLOOKUP($A1455, 'Medical Examinations'!$A:$A, 'Medical Examinations'!I:I, "No Data")</f>
        <v>Obesity</v>
      </c>
      <c r="K1455" s="28" t="str">
        <f t="array" ref="K1455">_xlfn.XLOOKUP($A1455, 'Hospitalisation Details'!$A:$A, 'Hospitalisation Details'!I:I, "No Data")</f>
        <v>tier - 3</v>
      </c>
      <c r="L1455" s="28" t="str">
        <f t="array" ref="L1455">_xlfn.XLOOKUP($A1455, 'Hospitalisation Details'!$A:$A, 'Hospitalisation Details'!J:J, "No Data")</f>
        <v>R1012</v>
      </c>
      <c r="M1455" s="28" t="str">
        <f t="array" ref="M1455">_xlfn.XLOOKUP($A1455, 'Hospitalisation Details'!$A:$A, 'Hospitalisation Details'!E:E, "No Data")</f>
        <v>13/06/81</v>
      </c>
      <c r="N1455" s="28">
        <f t="array" ref="N1455">_xlfn.XLOOKUP($A1455, 'Hospitalisation Details'!$A:$A, 'Hospitalisation Details'!K:K, "No Data")</f>
        <v>41</v>
      </c>
      <c r="O1455" s="33">
        <f t="array" ref="O1455">_xlfn.XLOOKUP($A1455, 'Hospitalisation Details'!$A:$A, 'Hospitalisation Details'!G:G, "No Data")</f>
        <v>7261.74</v>
      </c>
      <c r="P1455" s="28" t="str">
        <f t="array" ref="P1455">_xlfn.XLOOKUP($A1455, 'Hospitalisation Details'!$A:$A, 'Hospitalisation Details'!H:H, "No Data")</f>
        <v>tier - 3</v>
      </c>
    </row>
    <row r="1456">
      <c r="A1456" s="25" t="s">
        <v>4661</v>
      </c>
      <c r="B1456" s="28" t="str">
        <f t="array" ref="B1456">_xlfn.XLOOKUP($A1456, 'Customer Names'!$A:$A, 'Customer Names'!B:B, "No Data")</f>
        <v>Kuehler</v>
      </c>
      <c r="C1456" s="28">
        <f t="array" ref="C1456">_xlfn.XLOOKUP($A1456, 'Medical Examinations'!$A:$A, 'Medical Examinations'!B:B, "No Data")</f>
        <v>30.59</v>
      </c>
      <c r="D1456" s="28">
        <f t="array" ref="D1456">_xlfn.XLOOKUP($A1456, 'Medical Examinations'!$A:$A, 'Medical Examinations'!C:C, "No Data")</f>
        <v>9.55</v>
      </c>
      <c r="E1456" s="28" t="str">
        <f t="array" ref="E1456">_xlfn.XLOOKUP($A1456, 'Medical Examinations'!$A:$A, 'Medical Examinations'!D:D, "No Data")</f>
        <v>yes</v>
      </c>
      <c r="F1456" s="28" t="str">
        <f t="array" ref="F1456">_xlfn.XLOOKUP($A1456, 'Medical Examinations'!$A:$A, 'Medical Examinations'!E:E, "No Data")</f>
        <v>No</v>
      </c>
      <c r="G1456" s="28" t="str">
        <f t="array" ref="G1456">_xlfn.XLOOKUP($A1456, 'Medical Examinations'!$A:$A, 'Medical Examinations'!F:F, "No Data")</f>
        <v>No</v>
      </c>
      <c r="H1456" s="28">
        <f t="array" ref="H1456">_xlfn.XLOOKUP($A1456, 'Medical Examinations'!$A:$A, 'Medical Examinations'!G:G, "No Data")</f>
        <v>0</v>
      </c>
      <c r="I1456" s="28" t="str">
        <f t="array" ref="I1456">_xlfn.XLOOKUP($A1456, 'Medical Examinations'!$A:$A, 'Medical Examinations'!H:H, "No Data")</f>
        <v>No</v>
      </c>
      <c r="J1456" s="28" t="str">
        <f t="array" ref="J1456">_xlfn.XLOOKUP($A1456, 'Medical Examinations'!$A:$A, 'Medical Examinations'!I:I, "No Data")</f>
        <v>Obesity</v>
      </c>
      <c r="K1456" s="28" t="str">
        <f t="array" ref="K1456">_xlfn.XLOOKUP($A1456, 'Hospitalisation Details'!$A:$A, 'Hospitalisation Details'!I:I, "No Data")</f>
        <v>tier - 2</v>
      </c>
      <c r="L1456" s="28" t="str">
        <f t="array" ref="L1456">_xlfn.XLOOKUP($A1456, 'Hospitalisation Details'!$A:$A, 'Hospitalisation Details'!J:J, "No Data")</f>
        <v>R1012</v>
      </c>
      <c r="M1456" s="28" t="str">
        <f t="array" ref="M1456">_xlfn.XLOOKUP($A1456, 'Hospitalisation Details'!$A:$A, 'Hospitalisation Details'!E:E, "No Data")</f>
        <v>14/08/81</v>
      </c>
      <c r="N1456" s="28">
        <f t="array" ref="N1456">_xlfn.XLOOKUP($A1456, 'Hospitalisation Details'!$A:$A, 'Hospitalisation Details'!K:K, "No Data")</f>
        <v>41</v>
      </c>
      <c r="O1456" s="33">
        <f t="array" ref="O1456">_xlfn.XLOOKUP($A1456, 'Hospitalisation Details'!$A:$A, 'Hospitalisation Details'!G:G, "No Data")</f>
        <v>7256.72</v>
      </c>
      <c r="P1456" s="28" t="str">
        <f t="array" ref="P1456">_xlfn.XLOOKUP($A1456, 'Hospitalisation Details'!$A:$A, 'Hospitalisation Details'!H:H, "No Data")</f>
        <v>tier - 3</v>
      </c>
    </row>
    <row r="1457">
      <c r="A1457" s="25" t="s">
        <v>4664</v>
      </c>
      <c r="B1457" s="28" t="str">
        <f t="array" ref="B1457">_xlfn.XLOOKUP($A1457, 'Customer Names'!$A:$A, 'Customer Names'!B:B, "No Data")</f>
        <v>Daniels</v>
      </c>
      <c r="C1457" s="28">
        <f t="array" ref="C1457">_xlfn.XLOOKUP($A1457, 'Medical Examinations'!$A:$A, 'Medical Examinations'!B:B, "No Data")</f>
        <v>25.51</v>
      </c>
      <c r="D1457" s="28">
        <f t="array" ref="D1457">_xlfn.XLOOKUP($A1457, 'Medical Examinations'!$A:$A, 'Medical Examinations'!C:C, "No Data")</f>
        <v>6.05</v>
      </c>
      <c r="E1457" s="28" t="str">
        <f t="array" ref="E1457">_xlfn.XLOOKUP($A1457, 'Medical Examinations'!$A:$A, 'Medical Examinations'!D:D, "No Data")</f>
        <v>No</v>
      </c>
      <c r="F1457" s="28" t="str">
        <f t="array" ref="F1457">_xlfn.XLOOKUP($A1457, 'Medical Examinations'!$A:$A, 'Medical Examinations'!E:E, "No Data")</f>
        <v>No</v>
      </c>
      <c r="G1457" s="28" t="str">
        <f t="array" ref="G1457">_xlfn.XLOOKUP($A1457, 'Medical Examinations'!$A:$A, 'Medical Examinations'!F:F, "No Data")</f>
        <v>No</v>
      </c>
      <c r="H1457" s="28">
        <f t="array" ref="H1457">_xlfn.XLOOKUP($A1457, 'Medical Examinations'!$A:$A, 'Medical Examinations'!G:G, "No Data")</f>
        <v>0</v>
      </c>
      <c r="I1457" s="28" t="str">
        <f t="array" ref="I1457">_xlfn.XLOOKUP($A1457, 'Medical Examinations'!$A:$A, 'Medical Examinations'!H:H, "No Data")</f>
        <v>No</v>
      </c>
      <c r="J1457" s="28" t="str">
        <f t="array" ref="J1457">_xlfn.XLOOKUP($A1457, 'Medical Examinations'!$A:$A, 'Medical Examinations'!I:I, "No Data")</f>
        <v>Overweight</v>
      </c>
      <c r="K1457" s="28" t="str">
        <f t="array" ref="K1457">_xlfn.XLOOKUP($A1457, 'Hospitalisation Details'!$A:$A, 'Hospitalisation Details'!I:I, "No Data")</f>
        <v>tier - 1</v>
      </c>
      <c r="L1457" s="28" t="str">
        <f t="array" ref="L1457">_xlfn.XLOOKUP($A1457, 'Hospitalisation Details'!$A:$A, 'Hospitalisation Details'!J:J, "No Data")</f>
        <v>R1013</v>
      </c>
      <c r="M1457" s="28" t="str">
        <f t="array" ref="M1457">_xlfn.XLOOKUP($A1457, 'Hospitalisation Details'!$A:$A, 'Hospitalisation Details'!E:E, "No Data")</f>
        <v>24/07/82</v>
      </c>
      <c r="N1457" s="28">
        <f t="array" ref="N1457">_xlfn.XLOOKUP($A1457, 'Hospitalisation Details'!$A:$A, 'Hospitalisation Details'!K:K, "No Data")</f>
        <v>40</v>
      </c>
      <c r="O1457" s="33">
        <f t="array" ref="O1457">_xlfn.XLOOKUP($A1457, 'Hospitalisation Details'!$A:$A, 'Hospitalisation Details'!G:G, "No Data")</f>
        <v>7248.71</v>
      </c>
      <c r="P1457" s="28" t="str">
        <f t="array" ref="P1457">_xlfn.XLOOKUP($A1457, 'Hospitalisation Details'!$A:$A, 'Hospitalisation Details'!H:H, "No Data")</f>
        <v>tier - 2</v>
      </c>
    </row>
    <row r="1458">
      <c r="A1458" s="25" t="s">
        <v>4667</v>
      </c>
      <c r="B1458" s="28" t="str">
        <f t="array" ref="B1458">_xlfn.XLOOKUP($A1458, 'Customer Names'!$A:$A, 'Customer Names'!B:B, "No Data")</f>
        <v>Gibby</v>
      </c>
      <c r="C1458" s="28">
        <f t="array" ref="C1458">_xlfn.XLOOKUP($A1458, 'Medical Examinations'!$A:$A, 'Medical Examinations'!B:B, "No Data")</f>
        <v>29.04</v>
      </c>
      <c r="D1458" s="28">
        <f t="array" ref="D1458">_xlfn.XLOOKUP($A1458, 'Medical Examinations'!$A:$A, 'Medical Examinations'!C:C, "No Data")</f>
        <v>10.56</v>
      </c>
      <c r="E1458" s="28" t="str">
        <f t="array" ref="E1458">_xlfn.XLOOKUP($A1458, 'Medical Examinations'!$A:$A, 'Medical Examinations'!D:D, "No Data")</f>
        <v>yes</v>
      </c>
      <c r="F1458" s="28" t="str">
        <f t="array" ref="F1458">_xlfn.XLOOKUP($A1458, 'Medical Examinations'!$A:$A, 'Medical Examinations'!E:E, "No Data")</f>
        <v>No</v>
      </c>
      <c r="G1458" s="28" t="str">
        <f t="array" ref="G1458">_xlfn.XLOOKUP($A1458, 'Medical Examinations'!$A:$A, 'Medical Examinations'!F:F, "No Data")</f>
        <v>No</v>
      </c>
      <c r="H1458" s="28">
        <f t="array" ref="H1458">_xlfn.XLOOKUP($A1458, 'Medical Examinations'!$A:$A, 'Medical Examinations'!G:G, "No Data")</f>
        <v>1</v>
      </c>
      <c r="I1458" s="28" t="str">
        <f t="array" ref="I1458">_xlfn.XLOOKUP($A1458, 'Medical Examinations'!$A:$A, 'Medical Examinations'!H:H, "No Data")</f>
        <v>No</v>
      </c>
      <c r="J1458" s="28" t="str">
        <f t="array" ref="J1458">_xlfn.XLOOKUP($A1458, 'Medical Examinations'!$A:$A, 'Medical Examinations'!I:I, "No Data")</f>
        <v>Overweight</v>
      </c>
      <c r="K1458" s="28" t="str">
        <f t="array" ref="K1458">_xlfn.XLOOKUP($A1458, 'Hospitalisation Details'!$A:$A, 'Hospitalisation Details'!I:I, "No Data")</f>
        <v>tier - 3</v>
      </c>
      <c r="L1458" s="28" t="str">
        <f t="array" ref="L1458">_xlfn.XLOOKUP($A1458, 'Hospitalisation Details'!$A:$A, 'Hospitalisation Details'!J:J, "No Data")</f>
        <v>R1013</v>
      </c>
      <c r="M1458" s="28" t="str">
        <f t="array" ref="M1458">_xlfn.XLOOKUP($A1458, 'Hospitalisation Details'!$A:$A, 'Hospitalisation Details'!E:E, "No Data")</f>
        <v>02/09/86</v>
      </c>
      <c r="N1458" s="28">
        <f t="array" ref="N1458">_xlfn.XLOOKUP($A1458, 'Hospitalisation Details'!$A:$A, 'Hospitalisation Details'!K:K, "No Data")</f>
        <v>36</v>
      </c>
      <c r="O1458" s="33">
        <f t="array" ref="O1458">_xlfn.XLOOKUP($A1458, 'Hospitalisation Details'!$A:$A, 'Hospitalisation Details'!G:G, "No Data")</f>
        <v>7243.81</v>
      </c>
      <c r="P1458" s="28" t="str">
        <f t="array" ref="P1458">_xlfn.XLOOKUP($A1458, 'Hospitalisation Details'!$A:$A, 'Hospitalisation Details'!H:H, "No Data")</f>
        <v>tier - 2</v>
      </c>
    </row>
    <row r="1459">
      <c r="A1459" s="25" t="s">
        <v>4671</v>
      </c>
      <c r="B1459" s="28" t="str">
        <f t="array" ref="B1459">_xlfn.XLOOKUP($A1459, 'Customer Names'!$A:$A, 'Customer Names'!B:B, "No Data")</f>
        <v>Busa</v>
      </c>
      <c r="C1459" s="28">
        <f t="array" ref="C1459">_xlfn.XLOOKUP($A1459, 'Medical Examinations'!$A:$A, 'Medical Examinations'!B:B, "No Data")</f>
        <v>22.135</v>
      </c>
      <c r="D1459" s="28">
        <f t="array" ref="D1459">_xlfn.XLOOKUP($A1459, 'Medical Examinations'!$A:$A, 'Medical Examinations'!C:C, "No Data")</f>
        <v>10.81</v>
      </c>
      <c r="E1459" s="28" t="str">
        <f t="array" ref="E1459">_xlfn.XLOOKUP($A1459, 'Medical Examinations'!$A:$A, 'Medical Examinations'!D:D, "No Data")</f>
        <v>yes</v>
      </c>
      <c r="F1459" s="28" t="str">
        <f t="array" ref="F1459">_xlfn.XLOOKUP($A1459, 'Medical Examinations'!$A:$A, 'Medical Examinations'!E:E, "No Data")</f>
        <v>No</v>
      </c>
      <c r="G1459" s="28" t="str">
        <f t="array" ref="G1459">_xlfn.XLOOKUP($A1459, 'Medical Examinations'!$A:$A, 'Medical Examinations'!F:F, "No Data")</f>
        <v>No</v>
      </c>
      <c r="H1459" s="28">
        <f t="array" ref="H1459">_xlfn.XLOOKUP($A1459, 'Medical Examinations'!$A:$A, 'Medical Examinations'!G:G, "No Data")</f>
        <v>1</v>
      </c>
      <c r="I1459" s="28" t="str">
        <f t="array" ref="I1459">_xlfn.XLOOKUP($A1459, 'Medical Examinations'!$A:$A, 'Medical Examinations'!H:H, "No Data")</f>
        <v>No</v>
      </c>
      <c r="J1459" s="28" t="str">
        <f t="array" ref="J1459">_xlfn.XLOOKUP($A1459, 'Medical Examinations'!$A:$A, 'Medical Examinations'!I:I, "No Data")</f>
        <v>Normal Weight</v>
      </c>
      <c r="K1459" s="28" t="str">
        <f t="array" ref="K1459">_xlfn.XLOOKUP($A1459, 'Hospitalisation Details'!$A:$A, 'Hospitalisation Details'!I:I, "No Data")</f>
        <v>tier - 1</v>
      </c>
      <c r="L1459" s="28" t="str">
        <f t="array" ref="L1459">_xlfn.XLOOKUP($A1459, 'Hospitalisation Details'!$A:$A, 'Hospitalisation Details'!J:J, "No Data")</f>
        <v>R1024</v>
      </c>
      <c r="M1459" s="28" t="str">
        <f t="array" ref="M1459">_xlfn.XLOOKUP($A1459, 'Hospitalisation Details'!$A:$A, 'Hospitalisation Details'!E:E, "No Data")</f>
        <v>13/07/86</v>
      </c>
      <c r="N1459" s="28">
        <f t="array" ref="N1459">_xlfn.XLOOKUP($A1459, 'Hospitalisation Details'!$A:$A, 'Hospitalisation Details'!K:K, "No Data")</f>
        <v>36</v>
      </c>
      <c r="O1459" s="33">
        <f t="array" ref="O1459">_xlfn.XLOOKUP($A1459, 'Hospitalisation Details'!$A:$A, 'Hospitalisation Details'!G:G, "No Data")</f>
        <v>7228.22</v>
      </c>
      <c r="P1459" s="28" t="str">
        <f t="array" ref="P1459">_xlfn.XLOOKUP($A1459, 'Hospitalisation Details'!$A:$A, 'Hospitalisation Details'!H:H, "No Data")</f>
        <v>tier - 2</v>
      </c>
    </row>
    <row r="1460">
      <c r="A1460" s="25" t="s">
        <v>4674</v>
      </c>
      <c r="B1460" s="28" t="str">
        <f t="array" ref="B1460">_xlfn.XLOOKUP($A1460, 'Customer Names'!$A:$A, 'Customer Names'!B:B, "No Data")</f>
        <v>Moyo</v>
      </c>
      <c r="C1460" s="28">
        <f t="array" ref="C1460">_xlfn.XLOOKUP($A1460, 'Medical Examinations'!$A:$A, 'Medical Examinations'!B:B, "No Data")</f>
        <v>21.375</v>
      </c>
      <c r="D1460" s="28">
        <f t="array" ref="D1460">_xlfn.XLOOKUP($A1460, 'Medical Examinations'!$A:$A, 'Medical Examinations'!C:C, "No Data")</f>
        <v>4.32</v>
      </c>
      <c r="E1460" s="28" t="str">
        <f t="array" ref="E1460">_xlfn.XLOOKUP($A1460, 'Medical Examinations'!$A:$A, 'Medical Examinations'!D:D, "No Data")</f>
        <v>No</v>
      </c>
      <c r="F1460" s="28" t="str">
        <f t="array" ref="F1460">_xlfn.XLOOKUP($A1460, 'Medical Examinations'!$A:$A, 'Medical Examinations'!E:E, "No Data")</f>
        <v>No</v>
      </c>
      <c r="G1460" s="28" t="str">
        <f t="array" ref="G1460">_xlfn.XLOOKUP($A1460, 'Medical Examinations'!$A:$A, 'Medical Examinations'!F:F, "No Data")</f>
        <v>No</v>
      </c>
      <c r="H1460" s="28">
        <f t="array" ref="H1460">_xlfn.XLOOKUP($A1460, 'Medical Examinations'!$A:$A, 'Medical Examinations'!G:G, "No Data")</f>
        <v>0</v>
      </c>
      <c r="I1460" s="28" t="str">
        <f t="array" ref="I1460">_xlfn.XLOOKUP($A1460, 'Medical Examinations'!$A:$A, 'Medical Examinations'!H:H, "No Data")</f>
        <v>No</v>
      </c>
      <c r="J1460" s="28" t="str">
        <f t="array" ref="J1460">_xlfn.XLOOKUP($A1460, 'Medical Examinations'!$A:$A, 'Medical Examinations'!I:I, "No Data")</f>
        <v>Normal Weight</v>
      </c>
      <c r="K1460" s="28" t="str">
        <f t="array" ref="K1460">_xlfn.XLOOKUP($A1460, 'Hospitalisation Details'!$A:$A, 'Hospitalisation Details'!I:I, "No Data")</f>
        <v>tier - 3</v>
      </c>
      <c r="L1460" s="28" t="str">
        <f t="array" ref="L1460">_xlfn.XLOOKUP($A1460, 'Hospitalisation Details'!$A:$A, 'Hospitalisation Details'!J:J, "No Data")</f>
        <v>R1012</v>
      </c>
      <c r="M1460" s="28" t="str">
        <f t="array" ref="M1460">_xlfn.XLOOKUP($A1460, 'Hospitalisation Details'!$A:$A, 'Hospitalisation Details'!E:E, "No Data")</f>
        <v>15/09/77</v>
      </c>
      <c r="N1460" s="28">
        <f t="array" ref="N1460">_xlfn.XLOOKUP($A1460, 'Hospitalisation Details'!$A:$A, 'Hospitalisation Details'!K:K, "No Data")</f>
        <v>45</v>
      </c>
      <c r="O1460" s="33">
        <f t="array" ref="O1460">_xlfn.XLOOKUP($A1460, 'Hospitalisation Details'!$A:$A, 'Hospitalisation Details'!G:G, "No Data")</f>
        <v>7222.79</v>
      </c>
      <c r="P1460" s="28" t="str">
        <f t="array" ref="P1460">_xlfn.XLOOKUP($A1460, 'Hospitalisation Details'!$A:$A, 'Hospitalisation Details'!H:H, "No Data")</f>
        <v>tier - 3</v>
      </c>
    </row>
    <row r="1461">
      <c r="A1461" s="25" t="s">
        <v>4678</v>
      </c>
      <c r="B1461" s="28" t="str">
        <f t="array" ref="B1461">_xlfn.XLOOKUP($A1461, 'Customer Names'!$A:$A, 'Customer Names'!B:B, "No Data")</f>
        <v>Horn</v>
      </c>
      <c r="C1461" s="28">
        <f t="array" ref="C1461">_xlfn.XLOOKUP($A1461, 'Medical Examinations'!$A:$A, 'Medical Examinations'!B:B, "No Data")</f>
        <v>29.19</v>
      </c>
      <c r="D1461" s="28">
        <f t="array" ref="D1461">_xlfn.XLOOKUP($A1461, 'Medical Examinations'!$A:$A, 'Medical Examinations'!C:C, "No Data")</f>
        <v>4.37</v>
      </c>
      <c r="E1461" s="28" t="str">
        <f t="array" ref="E1461">_xlfn.XLOOKUP($A1461, 'Medical Examinations'!$A:$A, 'Medical Examinations'!D:D, "No Data")</f>
        <v>No</v>
      </c>
      <c r="F1461" s="28" t="str">
        <f t="array" ref="F1461">_xlfn.XLOOKUP($A1461, 'Medical Examinations'!$A:$A, 'Medical Examinations'!E:E, "No Data")</f>
        <v>No</v>
      </c>
      <c r="G1461" s="28" t="str">
        <f t="array" ref="G1461">_xlfn.XLOOKUP($A1461, 'Medical Examinations'!$A:$A, 'Medical Examinations'!F:F, "No Data")</f>
        <v>No</v>
      </c>
      <c r="H1461" s="28">
        <f t="array" ref="H1461">_xlfn.XLOOKUP($A1461, 'Medical Examinations'!$A:$A, 'Medical Examinations'!G:G, "No Data")</f>
        <v>0</v>
      </c>
      <c r="I1461" s="28" t="str">
        <f t="array" ref="I1461">_xlfn.XLOOKUP($A1461, 'Medical Examinations'!$A:$A, 'Medical Examinations'!H:H, "No Data")</f>
        <v>No</v>
      </c>
      <c r="J1461" s="28" t="str">
        <f t="array" ref="J1461">_xlfn.XLOOKUP($A1461, 'Medical Examinations'!$A:$A, 'Medical Examinations'!I:I, "No Data")</f>
        <v>Overweight</v>
      </c>
      <c r="K1461" s="28" t="str">
        <f t="array" ref="K1461">_xlfn.XLOOKUP($A1461, 'Hospitalisation Details'!$A:$A, 'Hospitalisation Details'!I:I, "No Data")</f>
        <v>tier - 2</v>
      </c>
      <c r="L1461" s="28" t="str">
        <f t="array" ref="L1461">_xlfn.XLOOKUP($A1461, 'Hospitalisation Details'!$A:$A, 'Hospitalisation Details'!J:J, "No Data")</f>
        <v>R1021</v>
      </c>
      <c r="M1461" s="28" t="str">
        <f t="array" ref="M1461">_xlfn.XLOOKUP($A1461, 'Hospitalisation Details'!$A:$A, 'Hospitalisation Details'!E:E, "No Data")</f>
        <v>28/06/91</v>
      </c>
      <c r="N1461" s="28">
        <f t="array" ref="N1461">_xlfn.XLOOKUP($A1461, 'Hospitalisation Details'!$A:$A, 'Hospitalisation Details'!K:K, "No Data")</f>
        <v>31</v>
      </c>
      <c r="O1461" s="33">
        <f t="array" ref="O1461">_xlfn.XLOOKUP($A1461, 'Hospitalisation Details'!$A:$A, 'Hospitalisation Details'!G:G, "No Data")</f>
        <v>7220.25</v>
      </c>
      <c r="P1461" s="28" t="str">
        <f t="array" ref="P1461">_xlfn.XLOOKUP($A1461, 'Hospitalisation Details'!$A:$A, 'Hospitalisation Details'!H:H, "No Data")</f>
        <v>tier - 2</v>
      </c>
    </row>
    <row r="1462">
      <c r="A1462" s="25" t="s">
        <v>4681</v>
      </c>
      <c r="B1462" s="28" t="str">
        <f t="array" ref="B1462">_xlfn.XLOOKUP($A1462, 'Customer Names'!$A:$A, 'Customer Names'!B:B, "No Data")</f>
        <v>Bien</v>
      </c>
      <c r="C1462" s="28">
        <f t="array" ref="C1462">_xlfn.XLOOKUP($A1462, 'Medical Examinations'!$A:$A, 'Medical Examinations'!B:B, "No Data")</f>
        <v>31.92</v>
      </c>
      <c r="D1462" s="28">
        <f t="array" ref="D1462">_xlfn.XLOOKUP($A1462, 'Medical Examinations'!$A:$A, 'Medical Examinations'!C:C, "No Data")</f>
        <v>4.81</v>
      </c>
      <c r="E1462" s="28" t="str">
        <f t="array" ref="E1462">_xlfn.XLOOKUP($A1462, 'Medical Examinations'!$A:$A, 'Medical Examinations'!D:D, "No Data")</f>
        <v>yes</v>
      </c>
      <c r="F1462" s="28" t="str">
        <f t="array" ref="F1462">_xlfn.XLOOKUP($A1462, 'Medical Examinations'!$A:$A, 'Medical Examinations'!E:E, "No Data")</f>
        <v>No</v>
      </c>
      <c r="G1462" s="28" t="str">
        <f t="array" ref="G1462">_xlfn.XLOOKUP($A1462, 'Medical Examinations'!$A:$A, 'Medical Examinations'!F:F, "No Data")</f>
        <v>Yes</v>
      </c>
      <c r="H1462" s="28">
        <f t="array" ref="H1462">_xlfn.XLOOKUP($A1462, 'Medical Examinations'!$A:$A, 'Medical Examinations'!G:G, "No Data")</f>
        <v>1</v>
      </c>
      <c r="I1462" s="28" t="str">
        <f t="array" ref="I1462">_xlfn.XLOOKUP($A1462, 'Medical Examinations'!$A:$A, 'Medical Examinations'!H:H, "No Data")</f>
        <v>No</v>
      </c>
      <c r="J1462" s="28" t="str">
        <f t="array" ref="J1462">_xlfn.XLOOKUP($A1462, 'Medical Examinations'!$A:$A, 'Medical Examinations'!I:I, "No Data")</f>
        <v>Obesity</v>
      </c>
      <c r="K1462" s="28" t="str">
        <f t="array" ref="K1462">_xlfn.XLOOKUP($A1462, 'Hospitalisation Details'!$A:$A, 'Hospitalisation Details'!I:I, "No Data")</f>
        <v>tier - 3</v>
      </c>
      <c r="L1462" s="28" t="str">
        <f t="array" ref="L1462">_xlfn.XLOOKUP($A1462, 'Hospitalisation Details'!$A:$A, 'Hospitalisation Details'!J:J, "No Data")</f>
        <v>R1012</v>
      </c>
      <c r="M1462" s="28" t="str">
        <f t="array" ref="M1462">_xlfn.XLOOKUP($A1462, 'Hospitalisation Details'!$A:$A, 'Hospitalisation Details'!E:E, "No Data")</f>
        <v>21/11/83</v>
      </c>
      <c r="N1462" s="28">
        <f t="array" ref="N1462">_xlfn.XLOOKUP($A1462, 'Hospitalisation Details'!$A:$A, 'Hospitalisation Details'!K:K, "No Data")</f>
        <v>39</v>
      </c>
      <c r="O1462" s="33">
        <f t="array" ref="O1462">_xlfn.XLOOKUP($A1462, 'Hospitalisation Details'!$A:$A, 'Hospitalisation Details'!G:G, "No Data")</f>
        <v>7209.49</v>
      </c>
      <c r="P1462" s="28" t="str">
        <f t="array" ref="P1462">_xlfn.XLOOKUP($A1462, 'Hospitalisation Details'!$A:$A, 'Hospitalisation Details'!H:H, "No Data")</f>
        <v>tier - 2</v>
      </c>
    </row>
    <row r="1463">
      <c r="A1463" s="25" t="s">
        <v>4683</v>
      </c>
      <c r="B1463" s="28" t="str">
        <f t="array" ref="B1463">_xlfn.XLOOKUP($A1463, 'Customer Names'!$A:$A, 'Customer Names'!B:B, "No Data")</f>
        <v>O'Connor</v>
      </c>
      <c r="C1463" s="28">
        <f t="array" ref="C1463">_xlfn.XLOOKUP($A1463, 'Medical Examinations'!$A:$A, 'Medical Examinations'!B:B, "No Data")</f>
        <v>26.315</v>
      </c>
      <c r="D1463" s="28">
        <f t="array" ref="D1463">_xlfn.XLOOKUP($A1463, 'Medical Examinations'!$A:$A, 'Medical Examinations'!C:C, "No Data")</f>
        <v>4.56</v>
      </c>
      <c r="E1463" s="28" t="str">
        <f t="array" ref="E1463">_xlfn.XLOOKUP($A1463, 'Medical Examinations'!$A:$A, 'Medical Examinations'!D:D, "No Data")</f>
        <v>yes</v>
      </c>
      <c r="F1463" s="28" t="str">
        <f t="array" ref="F1463">_xlfn.XLOOKUP($A1463, 'Medical Examinations'!$A:$A, 'Medical Examinations'!E:E, "No Data")</f>
        <v>No</v>
      </c>
      <c r="G1463" s="28" t="str">
        <f t="array" ref="G1463">_xlfn.XLOOKUP($A1463, 'Medical Examinations'!$A:$A, 'Medical Examinations'!F:F, "No Data")</f>
        <v>Yes</v>
      </c>
      <c r="H1463" s="28">
        <f t="array" ref="H1463">_xlfn.XLOOKUP($A1463, 'Medical Examinations'!$A:$A, 'Medical Examinations'!G:G, "No Data")</f>
        <v>1</v>
      </c>
      <c r="I1463" s="28" t="str">
        <f t="array" ref="I1463">_xlfn.XLOOKUP($A1463, 'Medical Examinations'!$A:$A, 'Medical Examinations'!H:H, "No Data")</f>
        <v>No</v>
      </c>
      <c r="J1463" s="28" t="str">
        <f t="array" ref="J1463">_xlfn.XLOOKUP($A1463, 'Medical Examinations'!$A:$A, 'Medical Examinations'!I:I, "No Data")</f>
        <v>Overweight</v>
      </c>
      <c r="K1463" s="28" t="str">
        <f t="array" ref="K1463">_xlfn.XLOOKUP($A1463, 'Hospitalisation Details'!$A:$A, 'Hospitalisation Details'!I:I, "No Data")</f>
        <v>tier - 3</v>
      </c>
      <c r="L1463" s="28" t="str">
        <f t="array" ref="L1463">_xlfn.XLOOKUP($A1463, 'Hospitalisation Details'!$A:$A, 'Hospitalisation Details'!J:J, "No Data")</f>
        <v>R1012</v>
      </c>
      <c r="M1463" s="28" t="str">
        <f t="array" ref="M1463">_xlfn.XLOOKUP($A1463, 'Hospitalisation Details'!$A:$A, 'Hospitalisation Details'!E:E, "No Data")</f>
        <v>11/08/83</v>
      </c>
      <c r="N1463" s="28">
        <f t="array" ref="N1463">_xlfn.XLOOKUP($A1463, 'Hospitalisation Details'!$A:$A, 'Hospitalisation Details'!K:K, "No Data")</f>
        <v>39</v>
      </c>
      <c r="O1463" s="33">
        <f t="array" ref="O1463">_xlfn.XLOOKUP($A1463, 'Hospitalisation Details'!$A:$A, 'Hospitalisation Details'!G:G, "No Data")</f>
        <v>7201.7</v>
      </c>
      <c r="P1463" s="28" t="str">
        <f t="array" ref="P1463">_xlfn.XLOOKUP($A1463, 'Hospitalisation Details'!$A:$A, 'Hospitalisation Details'!H:H, "No Data")</f>
        <v>tier - 2</v>
      </c>
    </row>
    <row r="1464">
      <c r="A1464" s="25" t="s">
        <v>4685</v>
      </c>
      <c r="B1464" s="28" t="str">
        <f t="array" ref="B1464">_xlfn.XLOOKUP($A1464, 'Customer Names'!$A:$A, 'Customer Names'!B:B, "No Data")</f>
        <v>Ash</v>
      </c>
      <c r="C1464" s="28">
        <f t="array" ref="C1464">_xlfn.XLOOKUP($A1464, 'Medical Examinations'!$A:$A, 'Medical Examinations'!B:B, "No Data")</f>
        <v>35.3</v>
      </c>
      <c r="D1464" s="28">
        <f t="array" ref="D1464">_xlfn.XLOOKUP($A1464, 'Medical Examinations'!$A:$A, 'Medical Examinations'!C:C, "No Data")</f>
        <v>4.39</v>
      </c>
      <c r="E1464" s="28" t="str">
        <f t="array" ref="E1464">_xlfn.XLOOKUP($A1464, 'Medical Examinations'!$A:$A, 'Medical Examinations'!D:D, "No Data")</f>
        <v>No</v>
      </c>
      <c r="F1464" s="28" t="str">
        <f t="array" ref="F1464">_xlfn.XLOOKUP($A1464, 'Medical Examinations'!$A:$A, 'Medical Examinations'!E:E, "No Data")</f>
        <v>No</v>
      </c>
      <c r="G1464" s="28" t="str">
        <f t="array" ref="G1464">_xlfn.XLOOKUP($A1464, 'Medical Examinations'!$A:$A, 'Medical Examinations'!F:F, "No Data")</f>
        <v>No</v>
      </c>
      <c r="H1464" s="28">
        <f t="array" ref="H1464">_xlfn.XLOOKUP($A1464, 'Medical Examinations'!$A:$A, 'Medical Examinations'!G:G, "No Data")</f>
        <v>0</v>
      </c>
      <c r="I1464" s="28" t="str">
        <f t="array" ref="I1464">_xlfn.XLOOKUP($A1464, 'Medical Examinations'!$A:$A, 'Medical Examinations'!H:H, "No Data")</f>
        <v>No</v>
      </c>
      <c r="J1464" s="28" t="str">
        <f t="array" ref="J1464">_xlfn.XLOOKUP($A1464, 'Medical Examinations'!$A:$A, 'Medical Examinations'!I:I, "No Data")</f>
        <v>Obesity</v>
      </c>
      <c r="K1464" s="28" t="str">
        <f t="array" ref="K1464">_xlfn.XLOOKUP($A1464, 'Hospitalisation Details'!$A:$A, 'Hospitalisation Details'!I:I, "No Data")</f>
        <v>tier - 2</v>
      </c>
      <c r="L1464" s="28" t="str">
        <f t="array" ref="L1464">_xlfn.XLOOKUP($A1464, 'Hospitalisation Details'!$A:$A, 'Hospitalisation Details'!J:J, "No Data")</f>
        <v>R1011</v>
      </c>
      <c r="M1464" s="28" t="str">
        <f t="array" ref="M1464">_xlfn.XLOOKUP($A1464, 'Hospitalisation Details'!$A:$A, 'Hospitalisation Details'!E:E, "No Data")</f>
        <v>14/09/82</v>
      </c>
      <c r="N1464" s="28">
        <f t="array" ref="N1464">_xlfn.XLOOKUP($A1464, 'Hospitalisation Details'!$A:$A, 'Hospitalisation Details'!K:K, "No Data")</f>
        <v>40</v>
      </c>
      <c r="O1464" s="33">
        <f t="array" ref="O1464">_xlfn.XLOOKUP($A1464, 'Hospitalisation Details'!$A:$A, 'Hospitalisation Details'!G:G, "No Data")</f>
        <v>7196.87</v>
      </c>
      <c r="P1464" s="28" t="str">
        <f t="array" ref="P1464">_xlfn.XLOOKUP($A1464, 'Hospitalisation Details'!$A:$A, 'Hospitalisation Details'!H:H, "No Data")</f>
        <v>tier - 3</v>
      </c>
    </row>
    <row r="1465">
      <c r="A1465" s="25" t="s">
        <v>4688</v>
      </c>
      <c r="B1465" s="28" t="str">
        <f t="array" ref="B1465">_xlfn.XLOOKUP($A1465, 'Customer Names'!$A:$A, 'Customer Names'!B:B, "No Data")</f>
        <v>Do Prado</v>
      </c>
      <c r="C1465" s="28">
        <f t="array" ref="C1465">_xlfn.XLOOKUP($A1465, 'Medical Examinations'!$A:$A, 'Medical Examinations'!B:B, "No Data")</f>
        <v>18.91</v>
      </c>
      <c r="D1465" s="28">
        <f t="array" ref="D1465">_xlfn.XLOOKUP($A1465, 'Medical Examinations'!$A:$A, 'Medical Examinations'!C:C, "No Data")</f>
        <v>11.44</v>
      </c>
      <c r="E1465" s="28" t="str">
        <f t="array" ref="E1465">_xlfn.XLOOKUP($A1465, 'Medical Examinations'!$A:$A, 'Medical Examinations'!D:D, "No Data")</f>
        <v>No</v>
      </c>
      <c r="F1465" s="28" t="str">
        <f t="array" ref="F1465">_xlfn.XLOOKUP($A1465, 'Medical Examinations'!$A:$A, 'Medical Examinations'!E:E, "No Data")</f>
        <v>No</v>
      </c>
      <c r="G1465" s="28" t="str">
        <f t="array" ref="G1465">_xlfn.XLOOKUP($A1465, 'Medical Examinations'!$A:$A, 'Medical Examinations'!F:F, "No Data")</f>
        <v>No</v>
      </c>
      <c r="H1465" s="28">
        <f t="array" ref="H1465">_xlfn.XLOOKUP($A1465, 'Medical Examinations'!$A:$A, 'Medical Examinations'!G:G, "No Data")</f>
        <v>0</v>
      </c>
      <c r="I1465" s="28" t="str">
        <f t="array" ref="I1465">_xlfn.XLOOKUP($A1465, 'Medical Examinations'!$A:$A, 'Medical Examinations'!H:H, "No Data")</f>
        <v>No</v>
      </c>
      <c r="J1465" s="28" t="str">
        <f t="array" ref="J1465">_xlfn.XLOOKUP($A1465, 'Medical Examinations'!$A:$A, 'Medical Examinations'!I:I, "No Data")</f>
        <v>Normal Weight</v>
      </c>
      <c r="K1465" s="28" t="str">
        <f t="array" ref="K1465">_xlfn.XLOOKUP($A1465, 'Hospitalisation Details'!$A:$A, 'Hospitalisation Details'!I:I, "No Data")</f>
        <v>tier - 3</v>
      </c>
      <c r="L1465" s="28" t="str">
        <f t="array" ref="L1465">_xlfn.XLOOKUP($A1465, 'Hospitalisation Details'!$A:$A, 'Hospitalisation Details'!J:J, "No Data")</f>
        <v>R1013</v>
      </c>
      <c r="M1465" s="28" t="str">
        <f t="array" ref="M1465">_xlfn.XLOOKUP($A1465, 'Hospitalisation Details'!$A:$A, 'Hospitalisation Details'!E:E, "No Data")</f>
        <v>26/08/68</v>
      </c>
      <c r="N1465" s="28">
        <f t="array" ref="N1465">_xlfn.XLOOKUP($A1465, 'Hospitalisation Details'!$A:$A, 'Hospitalisation Details'!K:K, "No Data")</f>
        <v>54</v>
      </c>
      <c r="O1465" s="33">
        <f t="array" ref="O1465">_xlfn.XLOOKUP($A1465, 'Hospitalisation Details'!$A:$A, 'Hospitalisation Details'!G:G, "No Data")</f>
        <v>7179.52</v>
      </c>
      <c r="P1465" s="28" t="str">
        <f t="array" ref="P1465">_xlfn.XLOOKUP($A1465, 'Hospitalisation Details'!$A:$A, 'Hospitalisation Details'!H:H, "No Data")</f>
        <v>tier - 3</v>
      </c>
    </row>
    <row r="1466">
      <c r="A1466" s="25" t="s">
        <v>4692</v>
      </c>
      <c r="B1466" s="28" t="str">
        <f t="array" ref="B1466">_xlfn.XLOOKUP($A1466, 'Customer Names'!$A:$A, 'Customer Names'!B:B, "No Data")</f>
        <v>Phillips</v>
      </c>
      <c r="C1466" s="28">
        <f t="array" ref="C1466">_xlfn.XLOOKUP($A1466, 'Medical Examinations'!$A:$A, 'Medical Examinations'!B:B, "No Data")</f>
        <v>22.41</v>
      </c>
      <c r="D1466" s="28">
        <f t="array" ref="D1466">_xlfn.XLOOKUP($A1466, 'Medical Examinations'!$A:$A, 'Medical Examinations'!C:C, "No Data")</f>
        <v>11.37</v>
      </c>
      <c r="E1466" s="28" t="str">
        <f t="array" ref="E1466">_xlfn.XLOOKUP($A1466, 'Medical Examinations'!$A:$A, 'Medical Examinations'!D:D, "No Data")</f>
        <v>yes</v>
      </c>
      <c r="F1466" s="28" t="str">
        <f t="array" ref="F1466">_xlfn.XLOOKUP($A1466, 'Medical Examinations'!$A:$A, 'Medical Examinations'!E:E, "No Data")</f>
        <v>No</v>
      </c>
      <c r="G1466" s="28" t="str">
        <f t="array" ref="G1466">_xlfn.XLOOKUP($A1466, 'Medical Examinations'!$A:$A, 'Medical Examinations'!F:F, "No Data")</f>
        <v>No</v>
      </c>
      <c r="H1466" s="28">
        <f t="array" ref="H1466">_xlfn.XLOOKUP($A1466, 'Medical Examinations'!$A:$A, 'Medical Examinations'!G:G, "No Data")</f>
        <v>1</v>
      </c>
      <c r="I1466" s="28" t="str">
        <f t="array" ref="I1466">_xlfn.XLOOKUP($A1466, 'Medical Examinations'!$A:$A, 'Medical Examinations'!H:H, "No Data")</f>
        <v>No</v>
      </c>
      <c r="J1466" s="28" t="str">
        <f t="array" ref="J1466">_xlfn.XLOOKUP($A1466, 'Medical Examinations'!$A:$A, 'Medical Examinations'!I:I, "No Data")</f>
        <v>Normal Weight</v>
      </c>
      <c r="K1466" s="28" t="str">
        <f t="array" ref="K1466">_xlfn.XLOOKUP($A1466, 'Hospitalisation Details'!$A:$A, 'Hospitalisation Details'!I:I, "No Data")</f>
        <v>tier - 3</v>
      </c>
      <c r="L1466" s="28" t="str">
        <f t="array" ref="L1466">_xlfn.XLOOKUP($A1466, 'Hospitalisation Details'!$A:$A, 'Hospitalisation Details'!J:J, "No Data")</f>
        <v>R1013</v>
      </c>
      <c r="M1466" s="28" t="str">
        <f t="array" ref="M1466">_xlfn.XLOOKUP($A1466, 'Hospitalisation Details'!$A:$A, 'Hospitalisation Details'!E:E, "No Data")</f>
        <v>19/07/75</v>
      </c>
      <c r="N1466" s="28">
        <f t="array" ref="N1466">_xlfn.XLOOKUP($A1466, 'Hospitalisation Details'!$A:$A, 'Hospitalisation Details'!K:K, "No Data")</f>
        <v>47</v>
      </c>
      <c r="O1466" s="33">
        <f t="array" ref="O1466">_xlfn.XLOOKUP($A1466, 'Hospitalisation Details'!$A:$A, 'Hospitalisation Details'!G:G, "No Data")</f>
        <v>7175.51</v>
      </c>
      <c r="P1466" s="28" t="str">
        <f t="array" ref="P1466">_xlfn.XLOOKUP($A1466, 'Hospitalisation Details'!$A:$A, 'Hospitalisation Details'!H:H, "No Data")</f>
        <v>tier - 2</v>
      </c>
    </row>
    <row r="1467">
      <c r="A1467" s="25" t="s">
        <v>4695</v>
      </c>
      <c r="B1467" s="28" t="str">
        <f t="array" ref="B1467">_xlfn.XLOOKUP($A1467, 'Customer Names'!$A:$A, 'Customer Names'!B:B, "No Data")</f>
        <v>Kelly</v>
      </c>
      <c r="C1467" s="28">
        <f t="array" ref="C1467">_xlfn.XLOOKUP($A1467, 'Medical Examinations'!$A:$A, 'Medical Examinations'!B:B, "No Data")</f>
        <v>22.705</v>
      </c>
      <c r="D1467" s="28">
        <f t="array" ref="D1467">_xlfn.XLOOKUP($A1467, 'Medical Examinations'!$A:$A, 'Medical Examinations'!C:C, "No Data")</f>
        <v>6.14</v>
      </c>
      <c r="E1467" s="28" t="str">
        <f t="array" ref="E1467">_xlfn.XLOOKUP($A1467, 'Medical Examinations'!$A:$A, 'Medical Examinations'!D:D, "No Data")</f>
        <v>No</v>
      </c>
      <c r="F1467" s="28" t="str">
        <f t="array" ref="F1467">_xlfn.XLOOKUP($A1467, 'Medical Examinations'!$A:$A, 'Medical Examinations'!E:E, "No Data")</f>
        <v>No</v>
      </c>
      <c r="G1467" s="28" t="str">
        <f t="array" ref="G1467">_xlfn.XLOOKUP($A1467, 'Medical Examinations'!$A:$A, 'Medical Examinations'!F:F, "No Data")</f>
        <v>No</v>
      </c>
      <c r="H1467" s="28">
        <f t="array" ref="H1467">_xlfn.XLOOKUP($A1467, 'Medical Examinations'!$A:$A, 'Medical Examinations'!G:G, "No Data")</f>
        <v>0</v>
      </c>
      <c r="I1467" s="28" t="str">
        <f t="array" ref="I1467">_xlfn.XLOOKUP($A1467, 'Medical Examinations'!$A:$A, 'Medical Examinations'!H:H, "No Data")</f>
        <v>No</v>
      </c>
      <c r="J1467" s="28" t="str">
        <f t="array" ref="J1467">_xlfn.XLOOKUP($A1467, 'Medical Examinations'!$A:$A, 'Medical Examinations'!I:I, "No Data")</f>
        <v>Normal Weight</v>
      </c>
      <c r="K1467" s="28" t="str">
        <f t="array" ref="K1467">_xlfn.XLOOKUP($A1467, 'Hospitalisation Details'!$A:$A, 'Hospitalisation Details'!I:I, "No Data")</f>
        <v>tier - 2</v>
      </c>
      <c r="L1467" s="28" t="str">
        <f t="array" ref="L1467">_xlfn.XLOOKUP($A1467, 'Hospitalisation Details'!$A:$A, 'Hospitalisation Details'!J:J, "No Data")</f>
        <v>R1016</v>
      </c>
      <c r="M1467" s="28" t="str">
        <f t="array" ref="M1467">_xlfn.XLOOKUP($A1467, 'Hospitalisation Details'!$A:$A, 'Hospitalisation Details'!E:E, "No Data")</f>
        <v>16/08/82</v>
      </c>
      <c r="N1467" s="28">
        <f t="array" ref="N1467">_xlfn.XLOOKUP($A1467, 'Hospitalisation Details'!$A:$A, 'Hospitalisation Details'!K:K, "No Data")</f>
        <v>40</v>
      </c>
      <c r="O1467" s="33">
        <f t="array" ref="O1467">_xlfn.XLOOKUP($A1467, 'Hospitalisation Details'!$A:$A, 'Hospitalisation Details'!G:G, "No Data")</f>
        <v>7173.36</v>
      </c>
      <c r="P1467" s="28" t="str">
        <f t="array" ref="P1467">_xlfn.XLOOKUP($A1467, 'Hospitalisation Details'!$A:$A, 'Hospitalisation Details'!H:H, "No Data")</f>
        <v>tier - 3</v>
      </c>
    </row>
    <row r="1468">
      <c r="A1468" s="25" t="s">
        <v>4698</v>
      </c>
      <c r="B1468" s="28" t="str">
        <f t="array" ref="B1468">_xlfn.XLOOKUP($A1468, 'Customer Names'!$A:$A, 'Customer Names'!B:B, "No Data")</f>
        <v>Dever</v>
      </c>
      <c r="C1468" s="28">
        <f t="array" ref="C1468">_xlfn.XLOOKUP($A1468, 'Medical Examinations'!$A:$A, 'Medical Examinations'!B:B, "No Data")</f>
        <v>37.18</v>
      </c>
      <c r="D1468" s="28">
        <f t="array" ref="D1468">_xlfn.XLOOKUP($A1468, 'Medical Examinations'!$A:$A, 'Medical Examinations'!C:C, "No Data")</f>
        <v>4.89</v>
      </c>
      <c r="E1468" s="28" t="str">
        <f t="array" ref="E1468">_xlfn.XLOOKUP($A1468, 'Medical Examinations'!$A:$A, 'Medical Examinations'!D:D, "No Data")</f>
        <v>No</v>
      </c>
      <c r="F1468" s="28" t="str">
        <f t="array" ref="F1468">_xlfn.XLOOKUP($A1468, 'Medical Examinations'!$A:$A, 'Medical Examinations'!E:E, "No Data")</f>
        <v>No</v>
      </c>
      <c r="G1468" s="28" t="str">
        <f t="array" ref="G1468">_xlfn.XLOOKUP($A1468, 'Medical Examinations'!$A:$A, 'Medical Examinations'!F:F, "No Data")</f>
        <v>No</v>
      </c>
      <c r="H1468" s="28">
        <f t="array" ref="H1468">_xlfn.XLOOKUP($A1468, 'Medical Examinations'!$A:$A, 'Medical Examinations'!G:G, "No Data")</f>
        <v>0</v>
      </c>
      <c r="I1468" s="28" t="str">
        <f t="array" ref="I1468">_xlfn.XLOOKUP($A1468, 'Medical Examinations'!$A:$A, 'Medical Examinations'!H:H, "No Data")</f>
        <v>No</v>
      </c>
      <c r="J1468" s="28" t="str">
        <f t="array" ref="J1468">_xlfn.XLOOKUP($A1468, 'Medical Examinations'!$A:$A, 'Medical Examinations'!I:I, "No Data")</f>
        <v>Obesity</v>
      </c>
      <c r="K1468" s="28" t="str">
        <f t="array" ref="K1468">_xlfn.XLOOKUP($A1468, 'Hospitalisation Details'!$A:$A, 'Hospitalisation Details'!I:I, "No Data")</f>
        <v>tier - 3</v>
      </c>
      <c r="L1468" s="28" t="str">
        <f t="array" ref="L1468">_xlfn.XLOOKUP($A1468, 'Hospitalisation Details'!$A:$A, 'Hospitalisation Details'!J:J, "No Data")</f>
        <v>R1013</v>
      </c>
      <c r="M1468" s="28" t="str">
        <f t="array" ref="M1468">_xlfn.XLOOKUP($A1468, 'Hospitalisation Details'!$A:$A, 'Hospitalisation Details'!E:E, "No Data")</f>
        <v>30/09/80</v>
      </c>
      <c r="N1468" s="28">
        <f t="array" ref="N1468">_xlfn.XLOOKUP($A1468, 'Hospitalisation Details'!$A:$A, 'Hospitalisation Details'!K:K, "No Data")</f>
        <v>42</v>
      </c>
      <c r="O1468" s="33">
        <f t="array" ref="O1468">_xlfn.XLOOKUP($A1468, 'Hospitalisation Details'!$A:$A, 'Hospitalisation Details'!G:G, "No Data")</f>
        <v>7162.01</v>
      </c>
      <c r="P1468" s="28" t="str">
        <f t="array" ref="P1468">_xlfn.XLOOKUP($A1468, 'Hospitalisation Details'!$A:$A, 'Hospitalisation Details'!H:H, "No Data")</f>
        <v>tier - 2</v>
      </c>
    </row>
    <row r="1469">
      <c r="A1469" s="25" t="s">
        <v>4701</v>
      </c>
      <c r="B1469" s="28" t="str">
        <f t="array" ref="B1469">_xlfn.XLOOKUP($A1469, 'Customer Names'!$A:$A, 'Customer Names'!B:B, "No Data")</f>
        <v>Horvath</v>
      </c>
      <c r="C1469" s="28">
        <f t="array" ref="C1469">_xlfn.XLOOKUP($A1469, 'Medical Examinations'!$A:$A, 'Medical Examinations'!B:B, "No Data")</f>
        <v>35.97</v>
      </c>
      <c r="D1469" s="28">
        <f t="array" ref="D1469">_xlfn.XLOOKUP($A1469, 'Medical Examinations'!$A:$A, 'Medical Examinations'!C:C, "No Data")</f>
        <v>4.6</v>
      </c>
      <c r="E1469" s="28" t="str">
        <f t="array" ref="E1469">_xlfn.XLOOKUP($A1469, 'Medical Examinations'!$A:$A, 'Medical Examinations'!D:D, "No Data")</f>
        <v>No</v>
      </c>
      <c r="F1469" s="28" t="str">
        <f t="array" ref="F1469">_xlfn.XLOOKUP($A1469, 'Medical Examinations'!$A:$A, 'Medical Examinations'!E:E, "No Data")</f>
        <v>No</v>
      </c>
      <c r="G1469" s="28" t="str">
        <f t="array" ref="G1469">_xlfn.XLOOKUP($A1469, 'Medical Examinations'!$A:$A, 'Medical Examinations'!F:F, "No Data")</f>
        <v>No</v>
      </c>
      <c r="H1469" s="28">
        <f t="array" ref="H1469">_xlfn.XLOOKUP($A1469, 'Medical Examinations'!$A:$A, 'Medical Examinations'!G:G, "No Data")</f>
        <v>0</v>
      </c>
      <c r="I1469" s="28" t="str">
        <f t="array" ref="I1469">_xlfn.XLOOKUP($A1469, 'Medical Examinations'!$A:$A, 'Medical Examinations'!H:H, "No Data")</f>
        <v>No</v>
      </c>
      <c r="J1469" s="28" t="str">
        <f t="array" ref="J1469">_xlfn.XLOOKUP($A1469, 'Medical Examinations'!$A:$A, 'Medical Examinations'!I:I, "No Data")</f>
        <v>Obesity</v>
      </c>
      <c r="K1469" s="28" t="str">
        <f t="array" ref="K1469">_xlfn.XLOOKUP($A1469, 'Hospitalisation Details'!$A:$A, 'Hospitalisation Details'!I:I, "No Data")</f>
        <v>tier - 1</v>
      </c>
      <c r="L1469" s="28" t="str">
        <f t="array" ref="L1469">_xlfn.XLOOKUP($A1469, 'Hospitalisation Details'!$A:$A, 'Hospitalisation Details'!J:J, "No Data")</f>
        <v>R1013</v>
      </c>
      <c r="M1469" s="28" t="str">
        <f t="array" ref="M1469">_xlfn.XLOOKUP($A1469, 'Hospitalisation Details'!$A:$A, 'Hospitalisation Details'!E:E, "No Data")</f>
        <v>07/10/80</v>
      </c>
      <c r="N1469" s="28">
        <f t="array" ref="N1469">_xlfn.XLOOKUP($A1469, 'Hospitalisation Details'!$A:$A, 'Hospitalisation Details'!K:K, "No Data")</f>
        <v>42</v>
      </c>
      <c r="O1469" s="33">
        <f t="array" ref="O1469">_xlfn.XLOOKUP($A1469, 'Hospitalisation Details'!$A:$A, 'Hospitalisation Details'!G:G, "No Data")</f>
        <v>7160.33</v>
      </c>
      <c r="P1469" s="28" t="str">
        <f t="array" ref="P1469">_xlfn.XLOOKUP($A1469, 'Hospitalisation Details'!$A:$A, 'Hospitalisation Details'!H:H, "No Data")</f>
        <v>tier - 2</v>
      </c>
    </row>
    <row r="1470">
      <c r="A1470" s="25" t="s">
        <v>4706</v>
      </c>
      <c r="B1470" s="28" t="str">
        <f t="array" ref="B1470">_xlfn.XLOOKUP($A1470, 'Customer Names'!$A:$A, 'Customer Names'!B:B, "No Data")</f>
        <v>Danner</v>
      </c>
      <c r="C1470" s="28">
        <f t="array" ref="C1470">_xlfn.XLOOKUP($A1470, 'Medical Examinations'!$A:$A, 'Medical Examinations'!B:B, "No Data")</f>
        <v>35.8</v>
      </c>
      <c r="D1470" s="28">
        <f t="array" ref="D1470">_xlfn.XLOOKUP($A1470, 'Medical Examinations'!$A:$A, 'Medical Examinations'!C:C, "No Data")</f>
        <v>4.42</v>
      </c>
      <c r="E1470" s="28" t="str">
        <f t="array" ref="E1470">_xlfn.XLOOKUP($A1470, 'Medical Examinations'!$A:$A, 'Medical Examinations'!D:D, "No Data")</f>
        <v>No</v>
      </c>
      <c r="F1470" s="28" t="str">
        <f t="array" ref="F1470">_xlfn.XLOOKUP($A1470, 'Medical Examinations'!$A:$A, 'Medical Examinations'!E:E, "No Data")</f>
        <v>No</v>
      </c>
      <c r="G1470" s="28" t="str">
        <f t="array" ref="G1470">_xlfn.XLOOKUP($A1470, 'Medical Examinations'!$A:$A, 'Medical Examinations'!F:F, "No Data")</f>
        <v>No</v>
      </c>
      <c r="H1470" s="28">
        <f t="array" ref="H1470">_xlfn.XLOOKUP($A1470, 'Medical Examinations'!$A:$A, 'Medical Examinations'!G:G, "No Data")</f>
        <v>0</v>
      </c>
      <c r="I1470" s="28" t="str">
        <f t="array" ref="I1470">_xlfn.XLOOKUP($A1470, 'Medical Examinations'!$A:$A, 'Medical Examinations'!H:H, "No Data")</f>
        <v>No</v>
      </c>
      <c r="J1470" s="28" t="str">
        <f t="array" ref="J1470">_xlfn.XLOOKUP($A1470, 'Medical Examinations'!$A:$A, 'Medical Examinations'!I:I, "No Data")</f>
        <v>Obesity</v>
      </c>
      <c r="K1470" s="28" t="str">
        <f t="array" ref="K1470">_xlfn.XLOOKUP($A1470, 'Hospitalisation Details'!$A:$A, 'Hospitalisation Details'!I:I, "No Data")</f>
        <v>tier - 2</v>
      </c>
      <c r="L1470" s="28" t="str">
        <f t="array" ref="L1470">_xlfn.XLOOKUP($A1470, 'Hospitalisation Details'!$A:$A, 'Hospitalisation Details'!J:J, "No Data")</f>
        <v>R1011</v>
      </c>
      <c r="M1470" s="28" t="str">
        <f t="array" ref="M1470">_xlfn.XLOOKUP($A1470, 'Hospitalisation Details'!$A:$A, 'Hospitalisation Details'!E:E, "No Data")</f>
        <v>22/06/80</v>
      </c>
      <c r="N1470" s="28">
        <f t="array" ref="N1470">_xlfn.XLOOKUP($A1470, 'Hospitalisation Details'!$A:$A, 'Hospitalisation Details'!K:K, "No Data")</f>
        <v>42</v>
      </c>
      <c r="O1470" s="33">
        <f t="array" ref="O1470">_xlfn.XLOOKUP($A1470, 'Hospitalisation Details'!$A:$A, 'Hospitalisation Details'!G:G, "No Data")</f>
        <v>7160.09</v>
      </c>
      <c r="P1470" s="28" t="str">
        <f t="array" ref="P1470">_xlfn.XLOOKUP($A1470, 'Hospitalisation Details'!$A:$A, 'Hospitalisation Details'!H:H, "No Data")</f>
        <v>tier - 2</v>
      </c>
    </row>
    <row r="1471">
      <c r="A1471" s="25" t="s">
        <v>4709</v>
      </c>
      <c r="B1471" s="28" t="str">
        <f t="array" ref="B1471">_xlfn.XLOOKUP($A1471, 'Customer Names'!$A:$A, 'Customer Names'!B:B, "No Data")</f>
        <v>Weiss</v>
      </c>
      <c r="C1471" s="28">
        <f t="array" ref="C1471">_xlfn.XLOOKUP($A1471, 'Medical Examinations'!$A:$A, 'Medical Examinations'!B:B, "No Data")</f>
        <v>28.31</v>
      </c>
      <c r="D1471" s="28">
        <f t="array" ref="D1471">_xlfn.XLOOKUP($A1471, 'Medical Examinations'!$A:$A, 'Medical Examinations'!C:C, "No Data")</f>
        <v>7.48</v>
      </c>
      <c r="E1471" s="28" t="str">
        <f t="array" ref="E1471">_xlfn.XLOOKUP($A1471, 'Medical Examinations'!$A:$A, 'Medical Examinations'!D:D, "No Data")</f>
        <v>yes</v>
      </c>
      <c r="F1471" s="28" t="str">
        <f t="array" ref="F1471">_xlfn.XLOOKUP($A1471, 'Medical Examinations'!$A:$A, 'Medical Examinations'!E:E, "No Data")</f>
        <v>No</v>
      </c>
      <c r="G1471" s="28" t="str">
        <f t="array" ref="G1471">_xlfn.XLOOKUP($A1471, 'Medical Examinations'!$A:$A, 'Medical Examinations'!F:F, "No Data")</f>
        <v>No</v>
      </c>
      <c r="H1471" s="28">
        <f t="array" ref="H1471">_xlfn.XLOOKUP($A1471, 'Medical Examinations'!$A:$A, 'Medical Examinations'!G:G, "No Data")</f>
        <v>0</v>
      </c>
      <c r="I1471" s="28" t="str">
        <f t="array" ref="I1471">_xlfn.XLOOKUP($A1471, 'Medical Examinations'!$A:$A, 'Medical Examinations'!H:H, "No Data")</f>
        <v>No</v>
      </c>
      <c r="J1471" s="28" t="str">
        <f t="array" ref="J1471">_xlfn.XLOOKUP($A1471, 'Medical Examinations'!$A:$A, 'Medical Examinations'!I:I, "No Data")</f>
        <v>Overweight</v>
      </c>
      <c r="K1471" s="28" t="str">
        <f t="array" ref="K1471">_xlfn.XLOOKUP($A1471, 'Hospitalisation Details'!$A:$A, 'Hospitalisation Details'!I:I, "No Data")</f>
        <v>tier - 1</v>
      </c>
      <c r="L1471" s="28" t="str">
        <f t="array" ref="L1471">_xlfn.XLOOKUP($A1471, 'Hospitalisation Details'!$A:$A, 'Hospitalisation Details'!J:J, "No Data")</f>
        <v>R1012</v>
      </c>
      <c r="M1471" s="28" t="str">
        <f t="array" ref="M1471">_xlfn.XLOOKUP($A1471, 'Hospitalisation Details'!$A:$A, 'Hospitalisation Details'!E:E, "No Data")</f>
        <v>17/07/81</v>
      </c>
      <c r="N1471" s="28">
        <f t="array" ref="N1471">_xlfn.XLOOKUP($A1471, 'Hospitalisation Details'!$A:$A, 'Hospitalisation Details'!K:K, "No Data")</f>
        <v>41</v>
      </c>
      <c r="O1471" s="33">
        <f t="array" ref="O1471">_xlfn.XLOOKUP($A1471, 'Hospitalisation Details'!$A:$A, 'Hospitalisation Details'!G:G, "No Data")</f>
        <v>7153.55</v>
      </c>
      <c r="P1471" s="28" t="str">
        <f t="array" ref="P1471">_xlfn.XLOOKUP($A1471, 'Hospitalisation Details'!$A:$A, 'Hospitalisation Details'!H:H, "No Data")</f>
        <v>tier - 2</v>
      </c>
    </row>
    <row r="1472">
      <c r="A1472" s="25" t="s">
        <v>4712</v>
      </c>
      <c r="B1472" s="28" t="str">
        <f t="array" ref="B1472">_xlfn.XLOOKUP($A1472, 'Customer Names'!$A:$A, 'Customer Names'!B:B, "No Data")</f>
        <v>D'Andrea</v>
      </c>
      <c r="C1472" s="28">
        <f t="array" ref="C1472">_xlfn.XLOOKUP($A1472, 'Medical Examinations'!$A:$A, 'Medical Examinations'!B:B, "No Data")</f>
        <v>38.06</v>
      </c>
      <c r="D1472" s="28">
        <f t="array" ref="D1472">_xlfn.XLOOKUP($A1472, 'Medical Examinations'!$A:$A, 'Medical Examinations'!C:C, "No Data")</f>
        <v>10.74</v>
      </c>
      <c r="E1472" s="28" t="str">
        <f t="array" ref="E1472">_xlfn.XLOOKUP($A1472, 'Medical Examinations'!$A:$A, 'Medical Examinations'!D:D, "No Data")</f>
        <v>No</v>
      </c>
      <c r="F1472" s="28" t="str">
        <f t="array" ref="F1472">_xlfn.XLOOKUP($A1472, 'Medical Examinations'!$A:$A, 'Medical Examinations'!E:E, "No Data")</f>
        <v>No</v>
      </c>
      <c r="G1472" s="28" t="str">
        <f t="array" ref="G1472">_xlfn.XLOOKUP($A1472, 'Medical Examinations'!$A:$A, 'Medical Examinations'!F:F, "No Data")</f>
        <v>No</v>
      </c>
      <c r="H1472" s="28">
        <f t="array" ref="H1472">_xlfn.XLOOKUP($A1472, 'Medical Examinations'!$A:$A, 'Medical Examinations'!G:G, "No Data")</f>
        <v>0</v>
      </c>
      <c r="I1472" s="28" t="str">
        <f t="array" ref="I1472">_xlfn.XLOOKUP($A1472, 'Medical Examinations'!$A:$A, 'Medical Examinations'!H:H, "No Data")</f>
        <v>No</v>
      </c>
      <c r="J1472" s="28" t="str">
        <f t="array" ref="J1472">_xlfn.XLOOKUP($A1472, 'Medical Examinations'!$A:$A, 'Medical Examinations'!I:I, "No Data")</f>
        <v>Obesity</v>
      </c>
      <c r="K1472" s="28" t="str">
        <f t="array" ref="K1472">_xlfn.XLOOKUP($A1472, 'Hospitalisation Details'!$A:$A, 'Hospitalisation Details'!I:I, "No Data")</f>
        <v>tier - 2</v>
      </c>
      <c r="L1472" s="28" t="str">
        <f t="array" ref="L1472">_xlfn.XLOOKUP($A1472, 'Hospitalisation Details'!$A:$A, 'Hospitalisation Details'!J:J, "No Data")</f>
        <v>R1013</v>
      </c>
      <c r="M1472" s="28" t="str">
        <f t="array" ref="M1472">_xlfn.XLOOKUP($A1472, 'Hospitalisation Details'!$A:$A, 'Hospitalisation Details'!E:E, "No Data")</f>
        <v>06/09/78</v>
      </c>
      <c r="N1472" s="28">
        <f t="array" ref="N1472">_xlfn.XLOOKUP($A1472, 'Hospitalisation Details'!$A:$A, 'Hospitalisation Details'!K:K, "No Data")</f>
        <v>44</v>
      </c>
      <c r="O1472" s="33">
        <f t="array" ref="O1472">_xlfn.XLOOKUP($A1472, 'Hospitalisation Details'!$A:$A, 'Hospitalisation Details'!G:G, "No Data")</f>
        <v>7152.67</v>
      </c>
      <c r="P1472" s="28" t="str">
        <f t="array" ref="P1472">_xlfn.XLOOKUP($A1472, 'Hospitalisation Details'!$A:$A, 'Hospitalisation Details'!H:H, "No Data")</f>
        <v>tier - 3</v>
      </c>
    </row>
    <row r="1473">
      <c r="A1473" s="25" t="s">
        <v>4716</v>
      </c>
      <c r="B1473" s="28" t="str">
        <f t="array" ref="B1473">_xlfn.XLOOKUP($A1473, 'Customer Names'!$A:$A, 'Customer Names'!B:B, "No Data")</f>
        <v>Olesky</v>
      </c>
      <c r="C1473" s="28">
        <f t="array" ref="C1473">_xlfn.XLOOKUP($A1473, 'Medical Examinations'!$A:$A, 'Medical Examinations'!B:B, "No Data")</f>
        <v>28</v>
      </c>
      <c r="D1473" s="28">
        <f t="array" ref="D1473">_xlfn.XLOOKUP($A1473, 'Medical Examinations'!$A:$A, 'Medical Examinations'!C:C, "No Data")</f>
        <v>5.19</v>
      </c>
      <c r="E1473" s="28" t="str">
        <f t="array" ref="E1473">_xlfn.XLOOKUP($A1473, 'Medical Examinations'!$A:$A, 'Medical Examinations'!D:D, "No Data")</f>
        <v>No</v>
      </c>
      <c r="F1473" s="28" t="str">
        <f t="array" ref="F1473">_xlfn.XLOOKUP($A1473, 'Medical Examinations'!$A:$A, 'Medical Examinations'!E:E, "No Data")</f>
        <v>No</v>
      </c>
      <c r="G1473" s="28" t="str">
        <f t="array" ref="G1473">_xlfn.XLOOKUP($A1473, 'Medical Examinations'!$A:$A, 'Medical Examinations'!F:F, "No Data")</f>
        <v>No</v>
      </c>
      <c r="H1473" s="28">
        <f t="array" ref="H1473">_xlfn.XLOOKUP($A1473, 'Medical Examinations'!$A:$A, 'Medical Examinations'!G:G, "No Data")</f>
        <v>1</v>
      </c>
      <c r="I1473" s="28" t="str">
        <f t="array" ref="I1473">_xlfn.XLOOKUP($A1473, 'Medical Examinations'!$A:$A, 'Medical Examinations'!H:H, "No Data")</f>
        <v>No</v>
      </c>
      <c r="J1473" s="28" t="str">
        <f t="array" ref="J1473">_xlfn.XLOOKUP($A1473, 'Medical Examinations'!$A:$A, 'Medical Examinations'!I:I, "No Data")</f>
        <v>Overweight</v>
      </c>
      <c r="K1473" s="28" t="str">
        <f t="array" ref="K1473">_xlfn.XLOOKUP($A1473, 'Hospitalisation Details'!$A:$A, 'Hospitalisation Details'!I:I, "No Data")</f>
        <v>tier - 2</v>
      </c>
      <c r="L1473" s="28" t="str">
        <f t="array" ref="L1473">_xlfn.XLOOKUP($A1473, 'Hospitalisation Details'!$A:$A, 'Hospitalisation Details'!J:J, "No Data")</f>
        <v>R1011</v>
      </c>
      <c r="M1473" s="28" t="str">
        <f t="array" ref="M1473">_xlfn.XLOOKUP($A1473, 'Hospitalisation Details'!$A:$A, 'Hospitalisation Details'!E:E, "No Data")</f>
        <v>29/06/84</v>
      </c>
      <c r="N1473" s="28">
        <f t="array" ref="N1473">_xlfn.XLOOKUP($A1473, 'Hospitalisation Details'!$A:$A, 'Hospitalisation Details'!K:K, "No Data")</f>
        <v>38</v>
      </c>
      <c r="O1473" s="33">
        <f t="array" ref="O1473">_xlfn.XLOOKUP($A1473, 'Hospitalisation Details'!$A:$A, 'Hospitalisation Details'!G:G, "No Data")</f>
        <v>7151.09</v>
      </c>
      <c r="P1473" s="28" t="str">
        <f t="array" ref="P1473">_xlfn.XLOOKUP($A1473, 'Hospitalisation Details'!$A:$A, 'Hospitalisation Details'!H:H, "No Data")</f>
        <v>tier - 2</v>
      </c>
    </row>
    <row r="1474">
      <c r="A1474" s="25" t="s">
        <v>4719</v>
      </c>
      <c r="B1474" s="28" t="str">
        <f t="array" ref="B1474">_xlfn.XLOOKUP($A1474, 'Customer Names'!$A:$A, 'Customer Names'!B:B, "No Data")</f>
        <v>Whitcraft</v>
      </c>
      <c r="C1474" s="28">
        <f t="array" ref="C1474">_xlfn.XLOOKUP($A1474, 'Medical Examinations'!$A:$A, 'Medical Examinations'!B:B, "No Data")</f>
        <v>34.32</v>
      </c>
      <c r="D1474" s="28">
        <f t="array" ref="D1474">_xlfn.XLOOKUP($A1474, 'Medical Examinations'!$A:$A, 'Medical Examinations'!C:C, "No Data")</f>
        <v>9.17</v>
      </c>
      <c r="E1474" s="28" t="str">
        <f t="array" ref="E1474">_xlfn.XLOOKUP($A1474, 'Medical Examinations'!$A:$A, 'Medical Examinations'!D:D, "No Data")</f>
        <v>No</v>
      </c>
      <c r="F1474" s="28" t="str">
        <f t="array" ref="F1474">_xlfn.XLOOKUP($A1474, 'Medical Examinations'!$A:$A, 'Medical Examinations'!E:E, "No Data")</f>
        <v>No</v>
      </c>
      <c r="G1474" s="28" t="str">
        <f t="array" ref="G1474">_xlfn.XLOOKUP($A1474, 'Medical Examinations'!$A:$A, 'Medical Examinations'!F:F, "No Data")</f>
        <v>No</v>
      </c>
      <c r="H1474" s="28">
        <f t="array" ref="H1474">_xlfn.XLOOKUP($A1474, 'Medical Examinations'!$A:$A, 'Medical Examinations'!G:G, "No Data")</f>
        <v>0</v>
      </c>
      <c r="I1474" s="28" t="str">
        <f t="array" ref="I1474">_xlfn.XLOOKUP($A1474, 'Medical Examinations'!$A:$A, 'Medical Examinations'!H:H, "No Data")</f>
        <v>No</v>
      </c>
      <c r="J1474" s="28" t="str">
        <f t="array" ref="J1474">_xlfn.XLOOKUP($A1474, 'Medical Examinations'!$A:$A, 'Medical Examinations'!I:I, "No Data")</f>
        <v>Obesity</v>
      </c>
      <c r="K1474" s="28" t="str">
        <f t="array" ref="K1474">_xlfn.XLOOKUP($A1474, 'Hospitalisation Details'!$A:$A, 'Hospitalisation Details'!I:I, "No Data")</f>
        <v>tier - 3</v>
      </c>
      <c r="L1474" s="28" t="str">
        <f t="array" ref="L1474">_xlfn.XLOOKUP($A1474, 'Hospitalisation Details'!$A:$A, 'Hospitalisation Details'!J:J, "No Data")</f>
        <v>R1013</v>
      </c>
      <c r="M1474" s="28" t="str">
        <f t="array" ref="M1474">_xlfn.XLOOKUP($A1474, 'Hospitalisation Details'!$A:$A, 'Hospitalisation Details'!E:E, "No Data")</f>
        <v>30/07/78</v>
      </c>
      <c r="N1474" s="28">
        <f t="array" ref="N1474">_xlfn.XLOOKUP($A1474, 'Hospitalisation Details'!$A:$A, 'Hospitalisation Details'!K:K, "No Data")</f>
        <v>44</v>
      </c>
      <c r="O1474" s="33">
        <f t="array" ref="O1474">_xlfn.XLOOKUP($A1474, 'Hospitalisation Details'!$A:$A, 'Hospitalisation Details'!G:G, "No Data")</f>
        <v>7147.47</v>
      </c>
      <c r="P1474" s="28" t="str">
        <f t="array" ref="P1474">_xlfn.XLOOKUP($A1474, 'Hospitalisation Details'!$A:$A, 'Hospitalisation Details'!H:H, "No Data")</f>
        <v>tier - 2</v>
      </c>
    </row>
    <row r="1475">
      <c r="A1475" s="25" t="s">
        <v>4721</v>
      </c>
      <c r="B1475" s="28" t="str">
        <f t="array" ref="B1475">_xlfn.XLOOKUP($A1475, 'Customer Names'!$A:$A, 'Customer Names'!B:B, "No Data")</f>
        <v>Salazar</v>
      </c>
      <c r="C1475" s="28">
        <f t="array" ref="C1475">_xlfn.XLOOKUP($A1475, 'Medical Examinations'!$A:$A, 'Medical Examinations'!B:B, "No Data")</f>
        <v>22.3</v>
      </c>
      <c r="D1475" s="28">
        <f t="array" ref="D1475">_xlfn.XLOOKUP($A1475, 'Medical Examinations'!$A:$A, 'Medical Examinations'!C:C, "No Data")</f>
        <v>4.95</v>
      </c>
      <c r="E1475" s="28" t="str">
        <f t="array" ref="E1475">_xlfn.XLOOKUP($A1475, 'Medical Examinations'!$A:$A, 'Medical Examinations'!D:D, "No Data")</f>
        <v>yes</v>
      </c>
      <c r="F1475" s="28" t="str">
        <f t="array" ref="F1475">_xlfn.XLOOKUP($A1475, 'Medical Examinations'!$A:$A, 'Medical Examinations'!E:E, "No Data")</f>
        <v>No</v>
      </c>
      <c r="G1475" s="28" t="str">
        <f t="array" ref="G1475">_xlfn.XLOOKUP($A1475, 'Medical Examinations'!$A:$A, 'Medical Examinations'!F:F, "No Data")</f>
        <v>No</v>
      </c>
      <c r="H1475" s="28">
        <f t="array" ref="H1475">_xlfn.XLOOKUP($A1475, 'Medical Examinations'!$A:$A, 'Medical Examinations'!G:G, "No Data")</f>
        <v>0</v>
      </c>
      <c r="I1475" s="28" t="str">
        <f t="array" ref="I1475">_xlfn.XLOOKUP($A1475, 'Medical Examinations'!$A:$A, 'Medical Examinations'!H:H, "No Data")</f>
        <v>No</v>
      </c>
      <c r="J1475" s="28" t="str">
        <f t="array" ref="J1475">_xlfn.XLOOKUP($A1475, 'Medical Examinations'!$A:$A, 'Medical Examinations'!I:I, "No Data")</f>
        <v>Normal Weight</v>
      </c>
      <c r="K1475" s="28" t="str">
        <f t="array" ref="K1475">_xlfn.XLOOKUP($A1475, 'Hospitalisation Details'!$A:$A, 'Hospitalisation Details'!I:I, "No Data")</f>
        <v>tier - 2</v>
      </c>
      <c r="L1475" s="28" t="str">
        <f t="array" ref="L1475">_xlfn.XLOOKUP($A1475, 'Hospitalisation Details'!$A:$A, 'Hospitalisation Details'!J:J, "No Data")</f>
        <v>R1011</v>
      </c>
      <c r="M1475" s="28" t="str">
        <f t="array" ref="M1475">_xlfn.XLOOKUP($A1475, 'Hospitalisation Details'!$A:$A, 'Hospitalisation Details'!E:E, "No Data")</f>
        <v>24/06/76</v>
      </c>
      <c r="N1475" s="28">
        <f t="array" ref="N1475">_xlfn.XLOOKUP($A1475, 'Hospitalisation Details'!$A:$A, 'Hospitalisation Details'!K:K, "No Data")</f>
        <v>46</v>
      </c>
      <c r="O1475" s="33">
        <f t="array" ref="O1475">_xlfn.XLOOKUP($A1475, 'Hospitalisation Details'!$A:$A, 'Hospitalisation Details'!G:G, "No Data")</f>
        <v>7147.11</v>
      </c>
      <c r="P1475" s="28" t="str">
        <f t="array" ref="P1475">_xlfn.XLOOKUP($A1475, 'Hospitalisation Details'!$A:$A, 'Hospitalisation Details'!H:H, "No Data")</f>
        <v>tier - 3</v>
      </c>
    </row>
    <row r="1476">
      <c r="A1476" s="25" t="s">
        <v>4725</v>
      </c>
      <c r="B1476" s="28" t="str">
        <f t="array" ref="B1476">_xlfn.XLOOKUP($A1476, 'Customer Names'!$A:$A, 'Customer Names'!B:B, "No Data")</f>
        <v>Todd</v>
      </c>
      <c r="C1476" s="28">
        <f t="array" ref="C1476">_xlfn.XLOOKUP($A1476, 'Medical Examinations'!$A:$A, 'Medical Examinations'!B:B, "No Data")</f>
        <v>27.835</v>
      </c>
      <c r="D1476" s="28">
        <f t="array" ref="D1476">_xlfn.XLOOKUP($A1476, 'Medical Examinations'!$A:$A, 'Medical Examinations'!C:C, "No Data")</f>
        <v>6.03</v>
      </c>
      <c r="E1476" s="28" t="str">
        <f t="array" ref="E1476">_xlfn.XLOOKUP($A1476, 'Medical Examinations'!$A:$A, 'Medical Examinations'!D:D, "No Data")</f>
        <v>No</v>
      </c>
      <c r="F1476" s="28" t="str">
        <f t="array" ref="F1476">_xlfn.XLOOKUP($A1476, 'Medical Examinations'!$A:$A, 'Medical Examinations'!E:E, "No Data")</f>
        <v>No</v>
      </c>
      <c r="G1476" s="28" t="str">
        <f t="array" ref="G1476">_xlfn.XLOOKUP($A1476, 'Medical Examinations'!$A:$A, 'Medical Examinations'!F:F, "No Data")</f>
        <v>No</v>
      </c>
      <c r="H1476" s="28">
        <f t="array" ref="H1476">_xlfn.XLOOKUP($A1476, 'Medical Examinations'!$A:$A, 'Medical Examinations'!G:G, "No Data")</f>
        <v>1</v>
      </c>
      <c r="I1476" s="28" t="str">
        <f t="array" ref="I1476">_xlfn.XLOOKUP($A1476, 'Medical Examinations'!$A:$A, 'Medical Examinations'!H:H, "No Data")</f>
        <v>No</v>
      </c>
      <c r="J1476" s="28" t="str">
        <f t="array" ref="J1476">_xlfn.XLOOKUP($A1476, 'Medical Examinations'!$A:$A, 'Medical Examinations'!I:I, "No Data")</f>
        <v>Overweight</v>
      </c>
      <c r="K1476" s="28" t="str">
        <f t="array" ref="K1476">_xlfn.XLOOKUP($A1476, 'Hospitalisation Details'!$A:$A, 'Hospitalisation Details'!I:I, "No Data")</f>
        <v>tier - 2</v>
      </c>
      <c r="L1476" s="28" t="str">
        <f t="array" ref="L1476">_xlfn.XLOOKUP($A1476, 'Hospitalisation Details'!$A:$A, 'Hospitalisation Details'!J:J, "No Data")</f>
        <v>R1024</v>
      </c>
      <c r="M1476" s="28" t="str">
        <f t="array" ref="M1476">_xlfn.XLOOKUP($A1476, 'Hospitalisation Details'!$A:$A, 'Hospitalisation Details'!E:E, "No Data")</f>
        <v>21/11/84</v>
      </c>
      <c r="N1476" s="28">
        <f t="array" ref="N1476">_xlfn.XLOOKUP($A1476, 'Hospitalisation Details'!$A:$A, 'Hospitalisation Details'!K:K, "No Data")</f>
        <v>38</v>
      </c>
      <c r="O1476" s="33">
        <f t="array" ref="O1476">_xlfn.XLOOKUP($A1476, 'Hospitalisation Details'!$A:$A, 'Hospitalisation Details'!G:G, "No Data")</f>
        <v>7144.86</v>
      </c>
      <c r="P1476" s="28" t="str">
        <f t="array" ref="P1476">_xlfn.XLOOKUP($A1476, 'Hospitalisation Details'!$A:$A, 'Hospitalisation Details'!H:H, "No Data")</f>
        <v>tier - 2</v>
      </c>
    </row>
    <row r="1477">
      <c r="A1477" s="25" t="s">
        <v>4728</v>
      </c>
      <c r="B1477" s="28" t="str">
        <f t="array" ref="B1477">_xlfn.XLOOKUP($A1477, 'Customer Names'!$A:$A, 'Customer Names'!B:B, "No Data")</f>
        <v>Pond</v>
      </c>
      <c r="C1477" s="28">
        <f t="array" ref="C1477">_xlfn.XLOOKUP($A1477, 'Medical Examinations'!$A:$A, 'Medical Examinations'!B:B, "No Data")</f>
        <v>39.23</v>
      </c>
      <c r="D1477" s="28">
        <f t="array" ref="D1477">_xlfn.XLOOKUP($A1477, 'Medical Examinations'!$A:$A, 'Medical Examinations'!C:C, "No Data")</f>
        <v>5.36</v>
      </c>
      <c r="E1477" s="28" t="str">
        <f t="array" ref="E1477">_xlfn.XLOOKUP($A1477, 'Medical Examinations'!$A:$A, 'Medical Examinations'!D:D, "No Data")</f>
        <v>No</v>
      </c>
      <c r="F1477" s="28" t="str">
        <f t="array" ref="F1477">_xlfn.XLOOKUP($A1477, 'Medical Examinations'!$A:$A, 'Medical Examinations'!E:E, "No Data")</f>
        <v>No</v>
      </c>
      <c r="G1477" s="28" t="str">
        <f t="array" ref="G1477">_xlfn.XLOOKUP($A1477, 'Medical Examinations'!$A:$A, 'Medical Examinations'!F:F, "No Data")</f>
        <v>No</v>
      </c>
      <c r="H1477" s="28">
        <f t="array" ref="H1477">_xlfn.XLOOKUP($A1477, 'Medical Examinations'!$A:$A, 'Medical Examinations'!G:G, "No Data")</f>
        <v>0</v>
      </c>
      <c r="I1477" s="28" t="str">
        <f t="array" ref="I1477">_xlfn.XLOOKUP($A1477, 'Medical Examinations'!$A:$A, 'Medical Examinations'!H:H, "No Data")</f>
        <v>No</v>
      </c>
      <c r="J1477" s="28" t="str">
        <f t="array" ref="J1477">_xlfn.XLOOKUP($A1477, 'Medical Examinations'!$A:$A, 'Medical Examinations'!I:I, "No Data")</f>
        <v>Obesity</v>
      </c>
      <c r="K1477" s="28" t="str">
        <f t="array" ref="K1477">_xlfn.XLOOKUP($A1477, 'Hospitalisation Details'!$A:$A, 'Hospitalisation Details'!I:I, "No Data")</f>
        <v>tier - 1</v>
      </c>
      <c r="L1477" s="28" t="str">
        <f t="array" ref="L1477">_xlfn.XLOOKUP($A1477, 'Hospitalisation Details'!$A:$A, 'Hospitalisation Details'!J:J, "No Data")</f>
        <v>R1022</v>
      </c>
      <c r="M1477" s="28" t="str">
        <f t="array" ref="M1477">_xlfn.XLOOKUP($A1477, 'Hospitalisation Details'!$A:$A, 'Hospitalisation Details'!E:E, "No Data")</f>
        <v>08/08/99</v>
      </c>
      <c r="N1477" s="28">
        <f t="array" ref="N1477">_xlfn.XLOOKUP($A1477, 'Hospitalisation Details'!$A:$A, 'Hospitalisation Details'!K:K, "No Data")</f>
        <v>23</v>
      </c>
      <c r="O1477" s="33">
        <f t="array" ref="O1477">_xlfn.XLOOKUP($A1477, 'Hospitalisation Details'!$A:$A, 'Hospitalisation Details'!G:G, "No Data")</f>
        <v>7144.4</v>
      </c>
      <c r="P1477" s="28" t="str">
        <f t="array" ref="P1477">_xlfn.XLOOKUP($A1477, 'Hospitalisation Details'!$A:$A, 'Hospitalisation Details'!H:H, "No Data")</f>
        <v>tier - 2</v>
      </c>
    </row>
    <row r="1478">
      <c r="A1478" s="25" t="s">
        <v>4732</v>
      </c>
      <c r="B1478" s="28" t="str">
        <f t="array" ref="B1478">_xlfn.XLOOKUP($A1478, 'Customer Names'!$A:$A, 'Customer Names'!B:B, "No Data")</f>
        <v>Egan</v>
      </c>
      <c r="C1478" s="28">
        <f t="array" ref="C1478">_xlfn.XLOOKUP($A1478, 'Medical Examinations'!$A:$A, 'Medical Examinations'!B:B, "No Data")</f>
        <v>19.95</v>
      </c>
      <c r="D1478" s="28">
        <f t="array" ref="D1478">_xlfn.XLOOKUP($A1478, 'Medical Examinations'!$A:$A, 'Medical Examinations'!C:C, "No Data")</f>
        <v>6.11</v>
      </c>
      <c r="E1478" s="28" t="str">
        <f t="array" ref="E1478">_xlfn.XLOOKUP($A1478, 'Medical Examinations'!$A:$A, 'Medical Examinations'!D:D, "No Data")</f>
        <v>No</v>
      </c>
      <c r="F1478" s="28" t="str">
        <f t="array" ref="F1478">_xlfn.XLOOKUP($A1478, 'Medical Examinations'!$A:$A, 'Medical Examinations'!E:E, "No Data")</f>
        <v>No</v>
      </c>
      <c r="G1478" s="28" t="str">
        <f t="array" ref="G1478">_xlfn.XLOOKUP($A1478, 'Medical Examinations'!$A:$A, 'Medical Examinations'!F:F, "No Data")</f>
        <v>No</v>
      </c>
      <c r="H1478" s="28">
        <f t="array" ref="H1478">_xlfn.XLOOKUP($A1478, 'Medical Examinations'!$A:$A, 'Medical Examinations'!G:G, "No Data")</f>
        <v>1</v>
      </c>
      <c r="I1478" s="28" t="str">
        <f t="array" ref="I1478">_xlfn.XLOOKUP($A1478, 'Medical Examinations'!$A:$A, 'Medical Examinations'!H:H, "No Data")</f>
        <v>No</v>
      </c>
      <c r="J1478" s="28" t="str">
        <f t="array" ref="J1478">_xlfn.XLOOKUP($A1478, 'Medical Examinations'!$A:$A, 'Medical Examinations'!I:I, "No Data")</f>
        <v>Normal Weight</v>
      </c>
      <c r="K1478" s="28" t="str">
        <f t="array" ref="K1478">_xlfn.XLOOKUP($A1478, 'Hospitalisation Details'!$A:$A, 'Hospitalisation Details'!I:I, "No Data")</f>
        <v>tier - 1</v>
      </c>
      <c r="L1478" s="28" t="str">
        <f t="array" ref="L1478">_xlfn.XLOOKUP($A1478, 'Hospitalisation Details'!$A:$A, 'Hospitalisation Details'!J:J, "No Data")</f>
        <v>R1024</v>
      </c>
      <c r="M1478" s="28" t="str">
        <f t="array" ref="M1478">_xlfn.XLOOKUP($A1478, 'Hospitalisation Details'!$A:$A, 'Hospitalisation Details'!E:E, "No Data")</f>
        <v>07/07/84</v>
      </c>
      <c r="N1478" s="28">
        <f t="array" ref="N1478">_xlfn.XLOOKUP($A1478, 'Hospitalisation Details'!$A:$A, 'Hospitalisation Details'!K:K, "No Data")</f>
        <v>38</v>
      </c>
      <c r="O1478" s="33">
        <f t="array" ref="O1478">_xlfn.XLOOKUP($A1478, 'Hospitalisation Details'!$A:$A, 'Hospitalisation Details'!G:G, "No Data")</f>
        <v>7133.9</v>
      </c>
      <c r="P1478" s="28" t="str">
        <f t="array" ref="P1478">_xlfn.XLOOKUP($A1478, 'Hospitalisation Details'!$A:$A, 'Hospitalisation Details'!H:H, "No Data")</f>
        <v>tier - 2</v>
      </c>
    </row>
    <row r="1479">
      <c r="A1479" s="25" t="s">
        <v>4735</v>
      </c>
      <c r="B1479" s="28" t="str">
        <f t="array" ref="B1479">_xlfn.XLOOKUP($A1479, 'Customer Names'!$A:$A, 'Customer Names'!B:B, "No Data")</f>
        <v>Bersani</v>
      </c>
      <c r="C1479" s="28">
        <f t="array" ref="C1479">_xlfn.XLOOKUP($A1479, 'Medical Examinations'!$A:$A, 'Medical Examinations'!B:B, "No Data")</f>
        <v>34.64</v>
      </c>
      <c r="D1479" s="28">
        <f t="array" ref="D1479">_xlfn.XLOOKUP($A1479, 'Medical Examinations'!$A:$A, 'Medical Examinations'!C:C, "No Data")</f>
        <v>4.88</v>
      </c>
      <c r="E1479" s="28" t="str">
        <f t="array" ref="E1479">_xlfn.XLOOKUP($A1479, 'Medical Examinations'!$A:$A, 'Medical Examinations'!D:D, "No Data")</f>
        <v>No</v>
      </c>
      <c r="F1479" s="28" t="str">
        <f t="array" ref="F1479">_xlfn.XLOOKUP($A1479, 'Medical Examinations'!$A:$A, 'Medical Examinations'!E:E, "No Data")</f>
        <v>No</v>
      </c>
      <c r="G1479" s="28" t="str">
        <f t="array" ref="G1479">_xlfn.XLOOKUP($A1479, 'Medical Examinations'!$A:$A, 'Medical Examinations'!F:F, "No Data")</f>
        <v>Yes</v>
      </c>
      <c r="H1479" s="28">
        <f t="array" ref="H1479">_xlfn.XLOOKUP($A1479, 'Medical Examinations'!$A:$A, 'Medical Examinations'!G:G, "No Data")</f>
        <v>1</v>
      </c>
      <c r="I1479" s="28" t="str">
        <f t="array" ref="I1479">_xlfn.XLOOKUP($A1479, 'Medical Examinations'!$A:$A, 'Medical Examinations'!H:H, "No Data")</f>
        <v>No</v>
      </c>
      <c r="J1479" s="28" t="str">
        <f t="array" ref="J1479">_xlfn.XLOOKUP($A1479, 'Medical Examinations'!$A:$A, 'Medical Examinations'!I:I, "No Data")</f>
        <v>Obesity</v>
      </c>
      <c r="K1479" s="28" t="str">
        <f t="array" ref="K1479">_xlfn.XLOOKUP($A1479, 'Hospitalisation Details'!$A:$A, 'Hospitalisation Details'!I:I, "No Data")</f>
        <v>tier - 2</v>
      </c>
      <c r="L1479" s="28" t="str">
        <f t="array" ref="L1479">_xlfn.XLOOKUP($A1479, 'Hospitalisation Details'!$A:$A, 'Hospitalisation Details'!J:J, "No Data")</f>
        <v>R1021</v>
      </c>
      <c r="M1479" s="28" t="str">
        <f t="array" ref="M1479">_xlfn.XLOOKUP($A1479, 'Hospitalisation Details'!$A:$A, 'Hospitalisation Details'!E:E, "No Data")</f>
        <v>01/08/93</v>
      </c>
      <c r="N1479" s="28">
        <f t="array" ref="N1479">_xlfn.XLOOKUP($A1479, 'Hospitalisation Details'!$A:$A, 'Hospitalisation Details'!K:K, "No Data")</f>
        <v>29</v>
      </c>
      <c r="O1479" s="33">
        <f t="array" ref="O1479">_xlfn.XLOOKUP($A1479, 'Hospitalisation Details'!$A:$A, 'Hospitalisation Details'!G:G, "No Data")</f>
        <v>7128.64</v>
      </c>
      <c r="P1479" s="28" t="str">
        <f t="array" ref="P1479">_xlfn.XLOOKUP($A1479, 'Hospitalisation Details'!$A:$A, 'Hospitalisation Details'!H:H, "No Data")</f>
        <v>tier - 2</v>
      </c>
    </row>
    <row r="1480">
      <c r="A1480" s="25" t="s">
        <v>4739</v>
      </c>
      <c r="B1480" s="28" t="str">
        <f t="array" ref="B1480">_xlfn.XLOOKUP($A1480, 'Customer Names'!$A:$A, 'Customer Names'!B:B, "No Data")</f>
        <v>Creech</v>
      </c>
      <c r="C1480" s="28">
        <f t="array" ref="C1480">_xlfn.XLOOKUP($A1480, 'Medical Examinations'!$A:$A, 'Medical Examinations'!B:B, "No Data")</f>
        <v>18.75</v>
      </c>
      <c r="D1480" s="28">
        <f t="array" ref="D1480">_xlfn.XLOOKUP($A1480, 'Medical Examinations'!$A:$A, 'Medical Examinations'!C:C, "No Data")</f>
        <v>6.72</v>
      </c>
      <c r="E1480" s="28" t="str">
        <f t="array" ref="E1480">_xlfn.XLOOKUP($A1480, 'Medical Examinations'!$A:$A, 'Medical Examinations'!D:D, "No Data")</f>
        <v>No</v>
      </c>
      <c r="F1480" s="28" t="str">
        <f t="array" ref="F1480">_xlfn.XLOOKUP($A1480, 'Medical Examinations'!$A:$A, 'Medical Examinations'!E:E, "No Data")</f>
        <v>No</v>
      </c>
      <c r="G1480" s="28" t="str">
        <f t="array" ref="G1480">_xlfn.XLOOKUP($A1480, 'Medical Examinations'!$A:$A, 'Medical Examinations'!F:F, "No Data")</f>
        <v>No</v>
      </c>
      <c r="H1480" s="28">
        <f t="array" ref="H1480">_xlfn.XLOOKUP($A1480, 'Medical Examinations'!$A:$A, 'Medical Examinations'!G:G, "No Data")</f>
        <v>0</v>
      </c>
      <c r="I1480" s="28" t="str">
        <f t="array" ref="I1480">_xlfn.XLOOKUP($A1480, 'Medical Examinations'!$A:$A, 'Medical Examinations'!H:H, "No Data")</f>
        <v>No</v>
      </c>
      <c r="J1480" s="28" t="str">
        <f t="array" ref="J1480">_xlfn.XLOOKUP($A1480, 'Medical Examinations'!$A:$A, 'Medical Examinations'!I:I, "No Data")</f>
        <v>Normal Weight</v>
      </c>
      <c r="K1480" s="28" t="str">
        <f t="array" ref="K1480">_xlfn.XLOOKUP($A1480, 'Hospitalisation Details'!$A:$A, 'Hospitalisation Details'!I:I, "No Data")</f>
        <v>tier - 2</v>
      </c>
      <c r="L1480" s="28" t="str">
        <f t="array" ref="L1480">_xlfn.XLOOKUP($A1480, 'Hospitalisation Details'!$A:$A, 'Hospitalisation Details'!J:J, "No Data")</f>
        <v>R1013</v>
      </c>
      <c r="M1480" s="28" t="str">
        <f t="array" ref="M1480">_xlfn.XLOOKUP($A1480, 'Hospitalisation Details'!$A:$A, 'Hospitalisation Details'!E:E, "No Data")</f>
        <v>29/06/68</v>
      </c>
      <c r="N1480" s="28">
        <f t="array" ref="N1480">_xlfn.XLOOKUP($A1480, 'Hospitalisation Details'!$A:$A, 'Hospitalisation Details'!K:K, "No Data")</f>
        <v>54</v>
      </c>
      <c r="O1480" s="33">
        <f t="array" ref="O1480">_xlfn.XLOOKUP($A1480, 'Hospitalisation Details'!$A:$A, 'Hospitalisation Details'!G:G, "No Data")</f>
        <v>7125.25</v>
      </c>
      <c r="P1480" s="28" t="str">
        <f t="array" ref="P1480">_xlfn.XLOOKUP($A1480, 'Hospitalisation Details'!$A:$A, 'Hospitalisation Details'!H:H, "No Data")</f>
        <v>tier - 3</v>
      </c>
    </row>
    <row r="1481">
      <c r="A1481" s="25" t="s">
        <v>4743</v>
      </c>
      <c r="B1481" s="28" t="str">
        <f t="array" ref="B1481">_xlfn.XLOOKUP($A1481, 'Customer Names'!$A:$A, 'Customer Names'!B:B, "No Data")</f>
        <v>Sudres</v>
      </c>
      <c r="C1481" s="28">
        <f t="array" ref="C1481">_xlfn.XLOOKUP($A1481, 'Medical Examinations'!$A:$A, 'Medical Examinations'!B:B, "No Data")</f>
        <v>26.48</v>
      </c>
      <c r="D1481" s="28">
        <f t="array" ref="D1481">_xlfn.XLOOKUP($A1481, 'Medical Examinations'!$A:$A, 'Medical Examinations'!C:C, "No Data")</f>
        <v>4.2</v>
      </c>
      <c r="E1481" s="28" t="str">
        <f t="array" ref="E1481">_xlfn.XLOOKUP($A1481, 'Medical Examinations'!$A:$A, 'Medical Examinations'!D:D, "No Data")</f>
        <v>No</v>
      </c>
      <c r="F1481" s="28" t="str">
        <f t="array" ref="F1481">_xlfn.XLOOKUP($A1481, 'Medical Examinations'!$A:$A, 'Medical Examinations'!E:E, "No Data")</f>
        <v>No</v>
      </c>
      <c r="G1481" s="28" t="str">
        <f t="array" ref="G1481">_xlfn.XLOOKUP($A1481, 'Medical Examinations'!$A:$A, 'Medical Examinations'!F:F, "No Data")</f>
        <v>No</v>
      </c>
      <c r="H1481" s="28">
        <f t="array" ref="H1481">_xlfn.XLOOKUP($A1481, 'Medical Examinations'!$A:$A, 'Medical Examinations'!G:G, "No Data")</f>
        <v>1</v>
      </c>
      <c r="I1481" s="28" t="str">
        <f t="array" ref="I1481">_xlfn.XLOOKUP($A1481, 'Medical Examinations'!$A:$A, 'Medical Examinations'!H:H, "No Data")</f>
        <v>No</v>
      </c>
      <c r="J1481" s="28" t="str">
        <f t="array" ref="J1481">_xlfn.XLOOKUP($A1481, 'Medical Examinations'!$A:$A, 'Medical Examinations'!I:I, "No Data")</f>
        <v>Overweight</v>
      </c>
      <c r="K1481" s="28" t="str">
        <f t="array" ref="K1481">_xlfn.XLOOKUP($A1481, 'Hospitalisation Details'!$A:$A, 'Hospitalisation Details'!I:I, "No Data")</f>
        <v>tier - 1</v>
      </c>
      <c r="L1481" s="28" t="str">
        <f t="array" ref="L1481">_xlfn.XLOOKUP($A1481, 'Hospitalisation Details'!$A:$A, 'Hospitalisation Details'!J:J, "No Data")</f>
        <v>R1012</v>
      </c>
      <c r="M1481" s="28" t="str">
        <f t="array" ref="M1481">_xlfn.XLOOKUP($A1481, 'Hospitalisation Details'!$A:$A, 'Hospitalisation Details'!E:E, "No Data")</f>
        <v>11/08/87</v>
      </c>
      <c r="N1481" s="28">
        <f t="array" ref="N1481">_xlfn.XLOOKUP($A1481, 'Hospitalisation Details'!$A:$A, 'Hospitalisation Details'!K:K, "No Data")</f>
        <v>35</v>
      </c>
      <c r="O1481" s="33">
        <f t="array" ref="O1481">_xlfn.XLOOKUP($A1481, 'Hospitalisation Details'!$A:$A, 'Hospitalisation Details'!G:G, "No Data")</f>
        <v>7106.81</v>
      </c>
      <c r="P1481" s="28" t="str">
        <f t="array" ref="P1481">_xlfn.XLOOKUP($A1481, 'Hospitalisation Details'!$A:$A, 'Hospitalisation Details'!H:H, "No Data")</f>
        <v>tier - 2</v>
      </c>
    </row>
    <row r="1482">
      <c r="A1482" s="25" t="s">
        <v>4747</v>
      </c>
      <c r="B1482" s="28" t="str">
        <f t="array" ref="B1482">_xlfn.XLOOKUP($A1482, 'Customer Names'!$A:$A, 'Customer Names'!B:B, "No Data")</f>
        <v>Couture</v>
      </c>
      <c r="C1482" s="28">
        <f t="array" ref="C1482">_xlfn.XLOOKUP($A1482, 'Medical Examinations'!$A:$A, 'Medical Examinations'!B:B, "No Data")</f>
        <v>34.83</v>
      </c>
      <c r="D1482" s="28">
        <f t="array" ref="D1482">_xlfn.XLOOKUP($A1482, 'Medical Examinations'!$A:$A, 'Medical Examinations'!C:C, "No Data")</f>
        <v>5.79</v>
      </c>
      <c r="E1482" s="28" t="str">
        <f t="array" ref="E1482">_xlfn.XLOOKUP($A1482, 'Medical Examinations'!$A:$A, 'Medical Examinations'!D:D, "No Data")</f>
        <v>No</v>
      </c>
      <c r="F1482" s="28" t="str">
        <f t="array" ref="F1482">_xlfn.XLOOKUP($A1482, 'Medical Examinations'!$A:$A, 'Medical Examinations'!E:E, "No Data")</f>
        <v>No</v>
      </c>
      <c r="G1482" s="28" t="str">
        <f t="array" ref="G1482">_xlfn.XLOOKUP($A1482, 'Medical Examinations'!$A:$A, 'Medical Examinations'!F:F, "No Data")</f>
        <v>No</v>
      </c>
      <c r="H1482" s="28">
        <f t="array" ref="H1482">_xlfn.XLOOKUP($A1482, 'Medical Examinations'!$A:$A, 'Medical Examinations'!G:G, "No Data")</f>
        <v>1</v>
      </c>
      <c r="I1482" s="28" t="str">
        <f t="array" ref="I1482">_xlfn.XLOOKUP($A1482, 'Medical Examinations'!$A:$A, 'Medical Examinations'!H:H, "No Data")</f>
        <v>No</v>
      </c>
      <c r="J1482" s="28" t="str">
        <f t="array" ref="J1482">_xlfn.XLOOKUP($A1482, 'Medical Examinations'!$A:$A, 'Medical Examinations'!I:I, "No Data")</f>
        <v>Obesity</v>
      </c>
      <c r="K1482" s="28" t="str">
        <f t="array" ref="K1482">_xlfn.XLOOKUP($A1482, 'Hospitalisation Details'!$A:$A, 'Hospitalisation Details'!I:I, "No Data")</f>
        <v>tier - 2</v>
      </c>
      <c r="L1482" s="28" t="str">
        <f t="array" ref="L1482">_xlfn.XLOOKUP($A1482, 'Hospitalisation Details'!$A:$A, 'Hospitalisation Details'!J:J, "No Data")</f>
        <v>R1012</v>
      </c>
      <c r="M1482" s="28" t="str">
        <f t="array" ref="M1482">_xlfn.XLOOKUP($A1482, 'Hospitalisation Details'!$A:$A, 'Hospitalisation Details'!E:E, "No Data")</f>
        <v>18/06/92</v>
      </c>
      <c r="N1482" s="28">
        <f t="array" ref="N1482">_xlfn.XLOOKUP($A1482, 'Hospitalisation Details'!$A:$A, 'Hospitalisation Details'!K:K, "No Data")</f>
        <v>30</v>
      </c>
      <c r="O1482" s="33">
        <f t="array" ref="O1482">_xlfn.XLOOKUP($A1482, 'Hospitalisation Details'!$A:$A, 'Hospitalisation Details'!G:G, "No Data")</f>
        <v>7096.98</v>
      </c>
      <c r="P1482" s="28" t="str">
        <f t="array" ref="P1482">_xlfn.XLOOKUP($A1482, 'Hospitalisation Details'!$A:$A, 'Hospitalisation Details'!H:H, "No Data")</f>
        <v>tier - 2</v>
      </c>
    </row>
    <row r="1483">
      <c r="A1483" s="25" t="s">
        <v>4750</v>
      </c>
      <c r="B1483" s="28" t="str">
        <f t="array" ref="B1483">_xlfn.XLOOKUP($A1483, 'Customer Names'!$A:$A, 'Customer Names'!B:B, "No Data")</f>
        <v>Willard</v>
      </c>
      <c r="C1483" s="28">
        <f t="array" ref="C1483">_xlfn.XLOOKUP($A1483, 'Medical Examinations'!$A:$A, 'Medical Examinations'!B:B, "No Data")</f>
        <v>25.46</v>
      </c>
      <c r="D1483" s="28">
        <f t="array" ref="D1483">_xlfn.XLOOKUP($A1483, 'Medical Examinations'!$A:$A, 'Medical Examinations'!C:C, "No Data")</f>
        <v>4.29</v>
      </c>
      <c r="E1483" s="28" t="str">
        <f t="array" ref="E1483">_xlfn.XLOOKUP($A1483, 'Medical Examinations'!$A:$A, 'Medical Examinations'!D:D, "No Data")</f>
        <v>No</v>
      </c>
      <c r="F1483" s="28" t="str">
        <f t="array" ref="F1483">_xlfn.XLOOKUP($A1483, 'Medical Examinations'!$A:$A, 'Medical Examinations'!E:E, "No Data")</f>
        <v>No</v>
      </c>
      <c r="G1483" s="28" t="str">
        <f t="array" ref="G1483">_xlfn.XLOOKUP($A1483, 'Medical Examinations'!$A:$A, 'Medical Examinations'!F:F, "No Data")</f>
        <v>No</v>
      </c>
      <c r="H1483" s="28">
        <f t="array" ref="H1483">_xlfn.XLOOKUP($A1483, 'Medical Examinations'!$A:$A, 'Medical Examinations'!G:G, "No Data")</f>
        <v>0</v>
      </c>
      <c r="I1483" s="28" t="str">
        <f t="array" ref="I1483">_xlfn.XLOOKUP($A1483, 'Medical Examinations'!$A:$A, 'Medical Examinations'!H:H, "No Data")</f>
        <v>No</v>
      </c>
      <c r="J1483" s="28" t="str">
        <f t="array" ref="J1483">_xlfn.XLOOKUP($A1483, 'Medical Examinations'!$A:$A, 'Medical Examinations'!I:I, "No Data")</f>
        <v>Overweight</v>
      </c>
      <c r="K1483" s="28" t="str">
        <f t="array" ref="K1483">_xlfn.XLOOKUP($A1483, 'Hospitalisation Details'!$A:$A, 'Hospitalisation Details'!I:I, "No Data")</f>
        <v>tier - 3</v>
      </c>
      <c r="L1483" s="28" t="str">
        <f t="array" ref="L1483">_xlfn.XLOOKUP($A1483, 'Hospitalisation Details'!$A:$A, 'Hospitalisation Details'!J:J, "No Data")</f>
        <v>R1024</v>
      </c>
      <c r="M1483" s="28" t="str">
        <f t="array" ref="M1483">_xlfn.XLOOKUP($A1483, 'Hospitalisation Details'!$A:$A, 'Hospitalisation Details'!E:E, "No Data")</f>
        <v>06/10/82</v>
      </c>
      <c r="N1483" s="28">
        <f t="array" ref="N1483">_xlfn.XLOOKUP($A1483, 'Hospitalisation Details'!$A:$A, 'Hospitalisation Details'!K:K, "No Data")</f>
        <v>40</v>
      </c>
      <c r="O1483" s="33">
        <f t="array" ref="O1483">_xlfn.XLOOKUP($A1483, 'Hospitalisation Details'!$A:$A, 'Hospitalisation Details'!G:G, "No Data")</f>
        <v>7077.19</v>
      </c>
      <c r="P1483" s="28" t="str">
        <f t="array" ref="P1483">_xlfn.XLOOKUP($A1483, 'Hospitalisation Details'!$A:$A, 'Hospitalisation Details'!H:H, "No Data")</f>
        <v>tier - 2</v>
      </c>
    </row>
    <row r="1484">
      <c r="A1484" s="25" t="s">
        <v>4753</v>
      </c>
      <c r="B1484" s="28" t="str">
        <f t="array" ref="B1484">_xlfn.XLOOKUP($A1484, 'Customer Names'!$A:$A, 'Customer Names'!B:B, "No Data")</f>
        <v>Patronick</v>
      </c>
      <c r="C1484" s="28">
        <f t="array" ref="C1484">_xlfn.XLOOKUP($A1484, 'Medical Examinations'!$A:$A, 'Medical Examinations'!B:B, "No Data")</f>
        <v>23.31</v>
      </c>
      <c r="D1484" s="28">
        <f t="array" ref="D1484">_xlfn.XLOOKUP($A1484, 'Medical Examinations'!$A:$A, 'Medical Examinations'!C:C, "No Data")</f>
        <v>8.27</v>
      </c>
      <c r="E1484" s="28" t="str">
        <f t="array" ref="E1484">_xlfn.XLOOKUP($A1484, 'Medical Examinations'!$A:$A, 'Medical Examinations'!D:D, "No Data")</f>
        <v>No</v>
      </c>
      <c r="F1484" s="28" t="str">
        <f t="array" ref="F1484">_xlfn.XLOOKUP($A1484, 'Medical Examinations'!$A:$A, 'Medical Examinations'!E:E, "No Data")</f>
        <v>No</v>
      </c>
      <c r="G1484" s="28" t="str">
        <f t="array" ref="G1484">_xlfn.XLOOKUP($A1484, 'Medical Examinations'!$A:$A, 'Medical Examinations'!F:F, "No Data")</f>
        <v>No</v>
      </c>
      <c r="H1484" s="28">
        <f t="array" ref="H1484">_xlfn.XLOOKUP($A1484, 'Medical Examinations'!$A:$A, 'Medical Examinations'!G:G, "No Data")</f>
        <v>0</v>
      </c>
      <c r="I1484" s="28" t="str">
        <f t="array" ref="I1484">_xlfn.XLOOKUP($A1484, 'Medical Examinations'!$A:$A, 'Medical Examinations'!H:H, "No Data")</f>
        <v>No</v>
      </c>
      <c r="J1484" s="28" t="str">
        <f t="array" ref="J1484">_xlfn.XLOOKUP($A1484, 'Medical Examinations'!$A:$A, 'Medical Examinations'!I:I, "No Data")</f>
        <v>Normal Weight</v>
      </c>
      <c r="K1484" s="28" t="str">
        <f t="array" ref="K1484">_xlfn.XLOOKUP($A1484, 'Hospitalisation Details'!$A:$A, 'Hospitalisation Details'!I:I, "No Data")</f>
        <v>tier - 2</v>
      </c>
      <c r="L1484" s="28" t="str">
        <f t="array" ref="L1484">_xlfn.XLOOKUP($A1484, 'Hospitalisation Details'!$A:$A, 'Hospitalisation Details'!J:J, "No Data")</f>
        <v>R1013</v>
      </c>
      <c r="M1484" s="28" t="str">
        <f t="array" ref="M1484">_xlfn.XLOOKUP($A1484, 'Hospitalisation Details'!$A:$A, 'Hospitalisation Details'!E:E, "No Data")</f>
        <v>24/06/78</v>
      </c>
      <c r="N1484" s="28">
        <f t="array" ref="N1484">_xlfn.XLOOKUP($A1484, 'Hospitalisation Details'!$A:$A, 'Hospitalisation Details'!K:K, "No Data")</f>
        <v>44</v>
      </c>
      <c r="O1484" s="33">
        <f t="array" ref="O1484">_xlfn.XLOOKUP($A1484, 'Hospitalisation Details'!$A:$A, 'Hospitalisation Details'!G:G, "No Data")</f>
        <v>7054.41</v>
      </c>
      <c r="P1484" s="28" t="str">
        <f t="array" ref="P1484">_xlfn.XLOOKUP($A1484, 'Hospitalisation Details'!$A:$A, 'Hospitalisation Details'!H:H, "No Data")</f>
        <v>tier - 2</v>
      </c>
    </row>
    <row r="1485">
      <c r="A1485" s="25" t="s">
        <v>4756</v>
      </c>
      <c r="B1485" s="28" t="str">
        <f t="array" ref="B1485">_xlfn.XLOOKUP($A1485, 'Customer Names'!$A:$A, 'Customer Names'!B:B, "No Data")</f>
        <v>Depasquale</v>
      </c>
      <c r="C1485" s="28">
        <f t="array" ref="C1485">_xlfn.XLOOKUP($A1485, 'Medical Examinations'!$A:$A, 'Medical Examinations'!B:B, "No Data")</f>
        <v>29</v>
      </c>
      <c r="D1485" s="28">
        <f t="array" ref="D1485">_xlfn.XLOOKUP($A1485, 'Medical Examinations'!$A:$A, 'Medical Examinations'!C:C, "No Data")</f>
        <v>4.56</v>
      </c>
      <c r="E1485" s="28" t="str">
        <f t="array" ref="E1485">_xlfn.XLOOKUP($A1485, 'Medical Examinations'!$A:$A, 'Medical Examinations'!D:D, "No Data")</f>
        <v>No</v>
      </c>
      <c r="F1485" s="28" t="str">
        <f t="array" ref="F1485">_xlfn.XLOOKUP($A1485, 'Medical Examinations'!$A:$A, 'Medical Examinations'!E:E, "No Data")</f>
        <v>No</v>
      </c>
      <c r="G1485" s="28" t="str">
        <f t="array" ref="G1485">_xlfn.XLOOKUP($A1485, 'Medical Examinations'!$A:$A, 'Medical Examinations'!F:F, "No Data")</f>
        <v>No</v>
      </c>
      <c r="H1485" s="28">
        <f t="array" ref="H1485">_xlfn.XLOOKUP($A1485, 'Medical Examinations'!$A:$A, 'Medical Examinations'!G:G, "No Data")</f>
        <v>0</v>
      </c>
      <c r="I1485" s="28" t="str">
        <f t="array" ref="I1485">_xlfn.XLOOKUP($A1485, 'Medical Examinations'!$A:$A, 'Medical Examinations'!H:H, "No Data")</f>
        <v>No</v>
      </c>
      <c r="J1485" s="28" t="str">
        <f t="array" ref="J1485">_xlfn.XLOOKUP($A1485, 'Medical Examinations'!$A:$A, 'Medical Examinations'!I:I, "No Data")</f>
        <v>Overweight</v>
      </c>
      <c r="K1485" s="28" t="str">
        <f t="array" ref="K1485">_xlfn.XLOOKUP($A1485, 'Hospitalisation Details'!$A:$A, 'Hospitalisation Details'!I:I, "No Data")</f>
        <v>tier - 3</v>
      </c>
      <c r="L1485" s="28" t="str">
        <f t="array" ref="L1485">_xlfn.XLOOKUP($A1485, 'Hospitalisation Details'!$A:$A, 'Hospitalisation Details'!J:J, "No Data")</f>
        <v>R1011</v>
      </c>
      <c r="M1485" s="28" t="str">
        <f t="array" ref="M1485">_xlfn.XLOOKUP($A1485, 'Hospitalisation Details'!$A:$A, 'Hospitalisation Details'!E:E, "No Data")</f>
        <v>28/06/80</v>
      </c>
      <c r="N1485" s="28">
        <f t="array" ref="N1485">_xlfn.XLOOKUP($A1485, 'Hospitalisation Details'!$A:$A, 'Hospitalisation Details'!K:K, "No Data")</f>
        <v>42</v>
      </c>
      <c r="O1485" s="33">
        <f t="array" ref="O1485">_xlfn.XLOOKUP($A1485, 'Hospitalisation Details'!$A:$A, 'Hospitalisation Details'!G:G, "No Data")</f>
        <v>7050.64</v>
      </c>
      <c r="P1485" s="28" t="str">
        <f t="array" ref="P1485">_xlfn.XLOOKUP($A1485, 'Hospitalisation Details'!$A:$A, 'Hospitalisation Details'!H:H, "No Data")</f>
        <v>tier - 2</v>
      </c>
    </row>
    <row r="1486">
      <c r="A1486" s="25" t="s">
        <v>4759</v>
      </c>
      <c r="B1486" s="28" t="str">
        <f t="array" ref="B1486">_xlfn.XLOOKUP($A1486, 'Customer Names'!$A:$A, 'Customer Names'!B:B, "No Data")</f>
        <v>Lavergne</v>
      </c>
      <c r="C1486" s="28">
        <f t="array" ref="C1486">_xlfn.XLOOKUP($A1486, 'Medical Examinations'!$A:$A, 'Medical Examinations'!B:B, "No Data")</f>
        <v>32.87</v>
      </c>
      <c r="D1486" s="28">
        <f t="array" ref="D1486">_xlfn.XLOOKUP($A1486, 'Medical Examinations'!$A:$A, 'Medical Examinations'!C:C, "No Data")</f>
        <v>5.33</v>
      </c>
      <c r="E1486" s="28" t="str">
        <f t="array" ref="E1486">_xlfn.XLOOKUP($A1486, 'Medical Examinations'!$A:$A, 'Medical Examinations'!D:D, "No Data")</f>
        <v>No</v>
      </c>
      <c r="F1486" s="28" t="str">
        <f t="array" ref="F1486">_xlfn.XLOOKUP($A1486, 'Medical Examinations'!$A:$A, 'Medical Examinations'!E:E, "No Data")</f>
        <v>No</v>
      </c>
      <c r="G1486" s="28" t="str">
        <f t="array" ref="G1486">_xlfn.XLOOKUP($A1486, 'Medical Examinations'!$A:$A, 'Medical Examinations'!F:F, "No Data")</f>
        <v>No</v>
      </c>
      <c r="H1486" s="28">
        <f t="array" ref="H1486">_xlfn.XLOOKUP($A1486, 'Medical Examinations'!$A:$A, 'Medical Examinations'!G:G, "No Data")</f>
        <v>0</v>
      </c>
      <c r="I1486" s="28" t="str">
        <f t="array" ref="I1486">_xlfn.XLOOKUP($A1486, 'Medical Examinations'!$A:$A, 'Medical Examinations'!H:H, "No Data")</f>
        <v>No</v>
      </c>
      <c r="J1486" s="28" t="str">
        <f t="array" ref="J1486">_xlfn.XLOOKUP($A1486, 'Medical Examinations'!$A:$A, 'Medical Examinations'!I:I, "No Data")</f>
        <v>Obesity</v>
      </c>
      <c r="K1486" s="28" t="str">
        <f t="array" ref="K1486">_xlfn.XLOOKUP($A1486, 'Hospitalisation Details'!$A:$A, 'Hospitalisation Details'!I:I, "No Data")</f>
        <v>tier - 1</v>
      </c>
      <c r="L1486" s="28" t="str">
        <f t="array" ref="L1486">_xlfn.XLOOKUP($A1486, 'Hospitalisation Details'!$A:$A, 'Hospitalisation Details'!J:J, "No Data")</f>
        <v>R1024</v>
      </c>
      <c r="M1486" s="28" t="str">
        <f t="array" ref="M1486">_xlfn.XLOOKUP($A1486, 'Hospitalisation Details'!$A:$A, 'Hospitalisation Details'!E:E, "No Data")</f>
        <v>21/07/80</v>
      </c>
      <c r="N1486" s="28">
        <f t="array" ref="N1486">_xlfn.XLOOKUP($A1486, 'Hospitalisation Details'!$A:$A, 'Hospitalisation Details'!K:K, "No Data")</f>
        <v>42</v>
      </c>
      <c r="O1486" s="33">
        <f t="array" ref="O1486">_xlfn.XLOOKUP($A1486, 'Hospitalisation Details'!$A:$A, 'Hospitalisation Details'!G:G, "No Data")</f>
        <v>7050.02</v>
      </c>
      <c r="P1486" s="28" t="str">
        <f t="array" ref="P1486">_xlfn.XLOOKUP($A1486, 'Hospitalisation Details'!$A:$A, 'Hospitalisation Details'!H:H, "No Data")</f>
        <v>tier - 2</v>
      </c>
    </row>
    <row r="1487">
      <c r="A1487" s="25" t="s">
        <v>4762</v>
      </c>
      <c r="B1487" s="28" t="str">
        <f t="array" ref="B1487">_xlfn.XLOOKUP($A1487, 'Customer Names'!$A:$A, 'Customer Names'!B:B, "No Data")</f>
        <v>Kawakami</v>
      </c>
      <c r="C1487" s="28">
        <f t="array" ref="C1487">_xlfn.XLOOKUP($A1487, 'Medical Examinations'!$A:$A, 'Medical Examinations'!B:B, "No Data")</f>
        <v>26.18</v>
      </c>
      <c r="D1487" s="28">
        <f t="array" ref="D1487">_xlfn.XLOOKUP($A1487, 'Medical Examinations'!$A:$A, 'Medical Examinations'!C:C, "No Data")</f>
        <v>5.63</v>
      </c>
      <c r="E1487" s="28" t="str">
        <f t="array" ref="E1487">_xlfn.XLOOKUP($A1487, 'Medical Examinations'!$A:$A, 'Medical Examinations'!D:D, "No Data")</f>
        <v>No</v>
      </c>
      <c r="F1487" s="28" t="str">
        <f t="array" ref="F1487">_xlfn.XLOOKUP($A1487, 'Medical Examinations'!$A:$A, 'Medical Examinations'!E:E, "No Data")</f>
        <v>No</v>
      </c>
      <c r="G1487" s="28" t="str">
        <f t="array" ref="G1487">_xlfn.XLOOKUP($A1487, 'Medical Examinations'!$A:$A, 'Medical Examinations'!F:F, "No Data")</f>
        <v>No</v>
      </c>
      <c r="H1487" s="28">
        <f t="array" ref="H1487">_xlfn.XLOOKUP($A1487, 'Medical Examinations'!$A:$A, 'Medical Examinations'!G:G, "No Data")</f>
        <v>0</v>
      </c>
      <c r="I1487" s="28" t="str">
        <f t="array" ref="I1487">_xlfn.XLOOKUP($A1487, 'Medical Examinations'!$A:$A, 'Medical Examinations'!H:H, "No Data")</f>
        <v>No</v>
      </c>
      <c r="J1487" s="28" t="str">
        <f t="array" ref="J1487">_xlfn.XLOOKUP($A1487, 'Medical Examinations'!$A:$A, 'Medical Examinations'!I:I, "No Data")</f>
        <v>Overweight</v>
      </c>
      <c r="K1487" s="28" t="str">
        <f t="array" ref="K1487">_xlfn.XLOOKUP($A1487, 'Hospitalisation Details'!$A:$A, 'Hospitalisation Details'!I:I, "No Data")</f>
        <v>tier - 3</v>
      </c>
      <c r="L1487" s="28" t="str">
        <f t="array" ref="L1487">_xlfn.XLOOKUP($A1487, 'Hospitalisation Details'!$A:$A, 'Hospitalisation Details'!J:J, "No Data")</f>
        <v>R1013</v>
      </c>
      <c r="M1487" s="28" t="str">
        <f t="array" ref="M1487">_xlfn.XLOOKUP($A1487, 'Hospitalisation Details'!$A:$A, 'Hospitalisation Details'!E:E, "No Data")</f>
        <v>22/10/80</v>
      </c>
      <c r="N1487" s="28">
        <f t="array" ref="N1487">_xlfn.XLOOKUP($A1487, 'Hospitalisation Details'!$A:$A, 'Hospitalisation Details'!K:K, "No Data")</f>
        <v>42</v>
      </c>
      <c r="O1487" s="33">
        <f t="array" ref="O1487">_xlfn.XLOOKUP($A1487, 'Hospitalisation Details'!$A:$A, 'Hospitalisation Details'!G:G, "No Data")</f>
        <v>7046.72</v>
      </c>
      <c r="P1487" s="28" t="str">
        <f t="array" ref="P1487">_xlfn.XLOOKUP($A1487, 'Hospitalisation Details'!$A:$A, 'Hospitalisation Details'!H:H, "No Data")</f>
        <v>tier - 2</v>
      </c>
    </row>
    <row r="1488">
      <c r="A1488" s="25" t="s">
        <v>4766</v>
      </c>
      <c r="B1488" s="28" t="str">
        <f t="array" ref="B1488">_xlfn.XLOOKUP($A1488, 'Customer Names'!$A:$A, 'Customer Names'!B:B, "No Data")</f>
        <v>Gonsalves</v>
      </c>
      <c r="C1488" s="28">
        <f t="array" ref="C1488">_xlfn.XLOOKUP($A1488, 'Medical Examinations'!$A:$A, 'Medical Examinations'!B:B, "No Data")</f>
        <v>25.3</v>
      </c>
      <c r="D1488" s="28">
        <f t="array" ref="D1488">_xlfn.XLOOKUP($A1488, 'Medical Examinations'!$A:$A, 'Medical Examinations'!C:C, "No Data")</f>
        <v>5.12</v>
      </c>
      <c r="E1488" s="28" t="str">
        <f t="array" ref="E1488">_xlfn.XLOOKUP($A1488, 'Medical Examinations'!$A:$A, 'Medical Examinations'!D:D, "No Data")</f>
        <v>No</v>
      </c>
      <c r="F1488" s="28" t="str">
        <f t="array" ref="F1488">_xlfn.XLOOKUP($A1488, 'Medical Examinations'!$A:$A, 'Medical Examinations'!E:E, "No Data")</f>
        <v>No</v>
      </c>
      <c r="G1488" s="28" t="str">
        <f t="array" ref="G1488">_xlfn.XLOOKUP($A1488, 'Medical Examinations'!$A:$A, 'Medical Examinations'!F:F, "No Data")</f>
        <v>No</v>
      </c>
      <c r="H1488" s="28">
        <f t="array" ref="H1488">_xlfn.XLOOKUP($A1488, 'Medical Examinations'!$A:$A, 'Medical Examinations'!G:G, "No Data")</f>
        <v>0</v>
      </c>
      <c r="I1488" s="28" t="str">
        <f t="array" ref="I1488">_xlfn.XLOOKUP($A1488, 'Medical Examinations'!$A:$A, 'Medical Examinations'!H:H, "No Data")</f>
        <v>No</v>
      </c>
      <c r="J1488" s="28" t="str">
        <f t="array" ref="J1488">_xlfn.XLOOKUP($A1488, 'Medical Examinations'!$A:$A, 'Medical Examinations'!I:I, "No Data")</f>
        <v>Overweight</v>
      </c>
      <c r="K1488" s="28" t="str">
        <f t="array" ref="K1488">_xlfn.XLOOKUP($A1488, 'Hospitalisation Details'!$A:$A, 'Hospitalisation Details'!I:I, "No Data")</f>
        <v>tier - 1</v>
      </c>
      <c r="L1488" s="28" t="str">
        <f t="array" ref="L1488">_xlfn.XLOOKUP($A1488, 'Hospitalisation Details'!$A:$A, 'Hospitalisation Details'!J:J, "No Data")</f>
        <v>R1011</v>
      </c>
      <c r="M1488" s="28" t="str">
        <f t="array" ref="M1488">_xlfn.XLOOKUP($A1488, 'Hospitalisation Details'!$A:$A, 'Hospitalisation Details'!E:E, "No Data")</f>
        <v>26/07/80</v>
      </c>
      <c r="N1488" s="28">
        <f t="array" ref="N1488">_xlfn.XLOOKUP($A1488, 'Hospitalisation Details'!$A:$A, 'Hospitalisation Details'!K:K, "No Data")</f>
        <v>42</v>
      </c>
      <c r="O1488" s="33">
        <f t="array" ref="O1488">_xlfn.XLOOKUP($A1488, 'Hospitalisation Details'!$A:$A, 'Hospitalisation Details'!G:G, "No Data")</f>
        <v>7045.5</v>
      </c>
      <c r="P1488" s="28" t="str">
        <f t="array" ref="P1488">_xlfn.XLOOKUP($A1488, 'Hospitalisation Details'!$A:$A, 'Hospitalisation Details'!H:H, "No Data")</f>
        <v>tier - 2</v>
      </c>
    </row>
    <row r="1489">
      <c r="A1489" s="25" t="s">
        <v>4770</v>
      </c>
      <c r="B1489" s="28" t="str">
        <f t="array" ref="B1489">_xlfn.XLOOKUP($A1489, 'Customer Names'!$A:$A, 'Customer Names'!B:B, "No Data")</f>
        <v>Peck</v>
      </c>
      <c r="C1489" s="28">
        <f t="array" ref="C1489">_xlfn.XLOOKUP($A1489, 'Medical Examinations'!$A:$A, 'Medical Examinations'!B:B, "No Data")</f>
        <v>36.94</v>
      </c>
      <c r="D1489" s="28">
        <f t="array" ref="D1489">_xlfn.XLOOKUP($A1489, 'Medical Examinations'!$A:$A, 'Medical Examinations'!C:C, "No Data")</f>
        <v>5.15</v>
      </c>
      <c r="E1489" s="28" t="str">
        <f t="array" ref="E1489">_xlfn.XLOOKUP($A1489, 'Medical Examinations'!$A:$A, 'Medical Examinations'!D:D, "No Data")</f>
        <v>yes</v>
      </c>
      <c r="F1489" s="28" t="str">
        <f t="array" ref="F1489">_xlfn.XLOOKUP($A1489, 'Medical Examinations'!$A:$A, 'Medical Examinations'!E:E, "No Data")</f>
        <v>No</v>
      </c>
      <c r="G1489" s="28" t="str">
        <f t="array" ref="G1489">_xlfn.XLOOKUP($A1489, 'Medical Examinations'!$A:$A, 'Medical Examinations'!F:F, "No Data")</f>
        <v>No</v>
      </c>
      <c r="H1489" s="28">
        <f t="array" ref="H1489">_xlfn.XLOOKUP($A1489, 'Medical Examinations'!$A:$A, 'Medical Examinations'!G:G, "No Data")</f>
        <v>1</v>
      </c>
      <c r="I1489" s="28" t="str">
        <f t="array" ref="I1489">_xlfn.XLOOKUP($A1489, 'Medical Examinations'!$A:$A, 'Medical Examinations'!H:H, "No Data")</f>
        <v>No</v>
      </c>
      <c r="J1489" s="28" t="str">
        <f t="array" ref="J1489">_xlfn.XLOOKUP($A1489, 'Medical Examinations'!$A:$A, 'Medical Examinations'!I:I, "No Data")</f>
        <v>Obesity</v>
      </c>
      <c r="K1489" s="28" t="str">
        <f t="array" ref="K1489">_xlfn.XLOOKUP($A1489, 'Hospitalisation Details'!$A:$A, 'Hospitalisation Details'!I:I, "No Data")</f>
        <v>tier - 3</v>
      </c>
      <c r="L1489" s="28" t="str">
        <f t="array" ref="L1489">_xlfn.XLOOKUP($A1489, 'Hospitalisation Details'!$A:$A, 'Hospitalisation Details'!J:J, "No Data")</f>
        <v>R1012</v>
      </c>
      <c r="M1489" s="28" t="str">
        <f t="array" ref="M1489">_xlfn.XLOOKUP($A1489, 'Hospitalisation Details'!$A:$A, 'Hospitalisation Details'!E:E, "No Data")</f>
        <v>29/10/95</v>
      </c>
      <c r="N1489" s="28">
        <f t="array" ref="N1489">_xlfn.XLOOKUP($A1489, 'Hospitalisation Details'!$A:$A, 'Hospitalisation Details'!K:K, "No Data")</f>
        <v>27</v>
      </c>
      <c r="O1489" s="33">
        <f t="array" ref="O1489">_xlfn.XLOOKUP($A1489, 'Hospitalisation Details'!$A:$A, 'Hospitalisation Details'!G:G, "No Data")</f>
        <v>7042.11</v>
      </c>
      <c r="P1489" s="28" t="str">
        <f t="array" ref="P1489">_xlfn.XLOOKUP($A1489, 'Hospitalisation Details'!$A:$A, 'Hospitalisation Details'!H:H, "No Data")</f>
        <v>tier - 2</v>
      </c>
    </row>
    <row r="1490">
      <c r="A1490" s="25" t="s">
        <v>4773</v>
      </c>
      <c r="B1490" s="28" t="str">
        <f t="array" ref="B1490">_xlfn.XLOOKUP($A1490, 'Customer Names'!$A:$A, 'Customer Names'!B:B, "No Data")</f>
        <v>Aure</v>
      </c>
      <c r="C1490" s="28">
        <f t="array" ref="C1490">_xlfn.XLOOKUP($A1490, 'Medical Examinations'!$A:$A, 'Medical Examinations'!B:B, "No Data")</f>
        <v>22.86</v>
      </c>
      <c r="D1490" s="28">
        <f t="array" ref="D1490">_xlfn.XLOOKUP($A1490, 'Medical Examinations'!$A:$A, 'Medical Examinations'!C:C, "No Data")</f>
        <v>7.5</v>
      </c>
      <c r="E1490" s="28" t="str">
        <f t="array" ref="E1490">_xlfn.XLOOKUP($A1490, 'Medical Examinations'!$A:$A, 'Medical Examinations'!D:D, "No Data")</f>
        <v>No</v>
      </c>
      <c r="F1490" s="28" t="str">
        <f t="array" ref="F1490">_xlfn.XLOOKUP($A1490, 'Medical Examinations'!$A:$A, 'Medical Examinations'!E:E, "No Data")</f>
        <v>No</v>
      </c>
      <c r="G1490" s="28" t="str">
        <f t="array" ref="G1490">_xlfn.XLOOKUP($A1490, 'Medical Examinations'!$A:$A, 'Medical Examinations'!F:F, "No Data")</f>
        <v>No</v>
      </c>
      <c r="H1490" s="28">
        <f t="array" ref="H1490">_xlfn.XLOOKUP($A1490, 'Medical Examinations'!$A:$A, 'Medical Examinations'!G:G, "No Data")</f>
        <v>0</v>
      </c>
      <c r="I1490" s="28" t="str">
        <f t="array" ref="I1490">_xlfn.XLOOKUP($A1490, 'Medical Examinations'!$A:$A, 'Medical Examinations'!H:H, "No Data")</f>
        <v>No</v>
      </c>
      <c r="J1490" s="28" t="str">
        <f t="array" ref="J1490">_xlfn.XLOOKUP($A1490, 'Medical Examinations'!$A:$A, 'Medical Examinations'!I:I, "No Data")</f>
        <v>Normal Weight</v>
      </c>
      <c r="K1490" s="28" t="str">
        <f t="array" ref="K1490">_xlfn.XLOOKUP($A1490, 'Hospitalisation Details'!$A:$A, 'Hospitalisation Details'!I:I, "No Data")</f>
        <v>tier - 2</v>
      </c>
      <c r="L1490" s="28" t="str">
        <f t="array" ref="L1490">_xlfn.XLOOKUP($A1490, 'Hospitalisation Details'!$A:$A, 'Hospitalisation Details'!J:J, "No Data")</f>
        <v>R1013</v>
      </c>
      <c r="M1490" s="28" t="str">
        <f t="array" ref="M1490">_xlfn.XLOOKUP($A1490, 'Hospitalisation Details'!$A:$A, 'Hospitalisation Details'!E:E, "No Data")</f>
        <v>02/06/78</v>
      </c>
      <c r="N1490" s="28">
        <f t="array" ref="N1490">_xlfn.XLOOKUP($A1490, 'Hospitalisation Details'!$A:$A, 'Hospitalisation Details'!K:K, "No Data")</f>
        <v>45</v>
      </c>
      <c r="O1490" s="33">
        <f t="array" ref="O1490">_xlfn.XLOOKUP($A1490, 'Hospitalisation Details'!$A:$A, 'Hospitalisation Details'!G:G, "No Data")</f>
        <v>7033.08</v>
      </c>
      <c r="P1490" s="28" t="str">
        <f t="array" ref="P1490">_xlfn.XLOOKUP($A1490, 'Hospitalisation Details'!$A:$A, 'Hospitalisation Details'!H:H, "No Data")</f>
        <v>tier - 2</v>
      </c>
    </row>
    <row r="1491">
      <c r="A1491" s="25" t="s">
        <v>4777</v>
      </c>
      <c r="B1491" s="28" t="str">
        <f t="array" ref="B1491">_xlfn.XLOOKUP($A1491, 'Customer Names'!$A:$A, 'Customer Names'!B:B, "No Data")</f>
        <v>Mattingly</v>
      </c>
      <c r="C1491" s="28">
        <f t="array" ref="C1491">_xlfn.XLOOKUP($A1491, 'Medical Examinations'!$A:$A, 'Medical Examinations'!B:B, "No Data")</f>
        <v>18.76</v>
      </c>
      <c r="D1491" s="28">
        <f t="array" ref="D1491">_xlfn.XLOOKUP($A1491, 'Medical Examinations'!$A:$A, 'Medical Examinations'!C:C, "No Data")</f>
        <v>4.88</v>
      </c>
      <c r="E1491" s="28" t="str">
        <f t="array" ref="E1491">_xlfn.XLOOKUP($A1491, 'Medical Examinations'!$A:$A, 'Medical Examinations'!D:D, "No Data")</f>
        <v>yes</v>
      </c>
      <c r="F1491" s="28" t="str">
        <f t="array" ref="F1491">_xlfn.XLOOKUP($A1491, 'Medical Examinations'!$A:$A, 'Medical Examinations'!E:E, "No Data")</f>
        <v>No</v>
      </c>
      <c r="G1491" s="28" t="str">
        <f t="array" ref="G1491">_xlfn.XLOOKUP($A1491, 'Medical Examinations'!$A:$A, 'Medical Examinations'!F:F, "No Data")</f>
        <v>Yes</v>
      </c>
      <c r="H1491" s="28">
        <f t="array" ref="H1491">_xlfn.XLOOKUP($A1491, 'Medical Examinations'!$A:$A, 'Medical Examinations'!G:G, "No Data")</f>
        <v>1</v>
      </c>
      <c r="I1491" s="28" t="str">
        <f t="array" ref="I1491">_xlfn.XLOOKUP($A1491, 'Medical Examinations'!$A:$A, 'Medical Examinations'!H:H, "No Data")</f>
        <v>No</v>
      </c>
      <c r="J1491" s="28" t="str">
        <f t="array" ref="J1491">_xlfn.XLOOKUP($A1491, 'Medical Examinations'!$A:$A, 'Medical Examinations'!I:I, "No Data")</f>
        <v>Normal Weight</v>
      </c>
      <c r="K1491" s="28" t="str">
        <f t="array" ref="K1491">_xlfn.XLOOKUP($A1491, 'Hospitalisation Details'!$A:$A, 'Hospitalisation Details'!I:I, "No Data")</f>
        <v>tier - 3</v>
      </c>
      <c r="L1491" s="28" t="str">
        <f t="array" ref="L1491">_xlfn.XLOOKUP($A1491, 'Hospitalisation Details'!$A:$A, 'Hospitalisation Details'!J:J, "No Data")</f>
        <v>R1013</v>
      </c>
      <c r="M1491" s="28" t="str">
        <f t="array" ref="M1491">_xlfn.XLOOKUP($A1491, 'Hospitalisation Details'!$A:$A, 'Hospitalisation Details'!E:E, "No Data")</f>
        <v>06/07/69</v>
      </c>
      <c r="N1491" s="28">
        <f t="array" ref="N1491">_xlfn.XLOOKUP($A1491, 'Hospitalisation Details'!$A:$A, 'Hospitalisation Details'!K:K, "No Data")</f>
        <v>53</v>
      </c>
      <c r="O1491" s="33">
        <f t="array" ref="O1491">_xlfn.XLOOKUP($A1491, 'Hospitalisation Details'!$A:$A, 'Hospitalisation Details'!G:G, "No Data")</f>
        <v>7003.1</v>
      </c>
      <c r="P1491" s="28" t="str">
        <f t="array" ref="P1491">_xlfn.XLOOKUP($A1491, 'Hospitalisation Details'!$A:$A, 'Hospitalisation Details'!H:H, "No Data")</f>
        <v>tier - 2</v>
      </c>
    </row>
    <row r="1492">
      <c r="A1492" s="25" t="s">
        <v>4781</v>
      </c>
      <c r="B1492" s="28" t="str">
        <f t="array" ref="B1492">_xlfn.XLOOKUP($A1492, 'Customer Names'!$A:$A, 'Customer Names'!B:B, "No Data")</f>
        <v>Stelpflug</v>
      </c>
      <c r="C1492" s="28">
        <f t="array" ref="C1492">_xlfn.XLOOKUP($A1492, 'Medical Examinations'!$A:$A, 'Medical Examinations'!B:B, "No Data")</f>
        <v>24.36</v>
      </c>
      <c r="D1492" s="28">
        <f t="array" ref="D1492">_xlfn.XLOOKUP($A1492, 'Medical Examinations'!$A:$A, 'Medical Examinations'!C:C, "No Data")</f>
        <v>5.57</v>
      </c>
      <c r="E1492" s="28" t="str">
        <f t="array" ref="E1492">_xlfn.XLOOKUP($A1492, 'Medical Examinations'!$A:$A, 'Medical Examinations'!D:D, "No Data")</f>
        <v>No</v>
      </c>
      <c r="F1492" s="28" t="str">
        <f t="array" ref="F1492">_xlfn.XLOOKUP($A1492, 'Medical Examinations'!$A:$A, 'Medical Examinations'!E:E, "No Data")</f>
        <v>No</v>
      </c>
      <c r="G1492" s="28" t="str">
        <f t="array" ref="G1492">_xlfn.XLOOKUP($A1492, 'Medical Examinations'!$A:$A, 'Medical Examinations'!F:F, "No Data")</f>
        <v>No</v>
      </c>
      <c r="H1492" s="28">
        <f t="array" ref="H1492">_xlfn.XLOOKUP($A1492, 'Medical Examinations'!$A:$A, 'Medical Examinations'!G:G, "No Data")</f>
        <v>0</v>
      </c>
      <c r="I1492" s="28" t="str">
        <f t="array" ref="I1492">_xlfn.XLOOKUP($A1492, 'Medical Examinations'!$A:$A, 'Medical Examinations'!H:H, "No Data")</f>
        <v>No</v>
      </c>
      <c r="J1492" s="28" t="str">
        <f t="array" ref="J1492">_xlfn.XLOOKUP($A1492, 'Medical Examinations'!$A:$A, 'Medical Examinations'!I:I, "No Data")</f>
        <v>Normal Weight</v>
      </c>
      <c r="K1492" s="28" t="str">
        <f t="array" ref="K1492">_xlfn.XLOOKUP($A1492, 'Hospitalisation Details'!$A:$A, 'Hospitalisation Details'!I:I, "No Data")</f>
        <v>tier - 1</v>
      </c>
      <c r="L1492" s="28" t="str">
        <f t="array" ref="L1492">_xlfn.XLOOKUP($A1492, 'Hospitalisation Details'!$A:$A, 'Hospitalisation Details'!J:J, "No Data")</f>
        <v>R1013</v>
      </c>
      <c r="M1492" s="28" t="str">
        <f t="array" ref="M1492">_xlfn.XLOOKUP($A1492, 'Hospitalisation Details'!$A:$A, 'Hospitalisation Details'!E:E, "No Data")</f>
        <v>01/09/82</v>
      </c>
      <c r="N1492" s="28">
        <f t="array" ref="N1492">_xlfn.XLOOKUP($A1492, 'Hospitalisation Details'!$A:$A, 'Hospitalisation Details'!K:K, "No Data")</f>
        <v>40</v>
      </c>
      <c r="O1492" s="33">
        <f t="array" ref="O1492">_xlfn.XLOOKUP($A1492, 'Hospitalisation Details'!$A:$A, 'Hospitalisation Details'!G:G, "No Data")</f>
        <v>6989.95</v>
      </c>
      <c r="P1492" s="28" t="str">
        <f t="array" ref="P1492">_xlfn.XLOOKUP($A1492, 'Hospitalisation Details'!$A:$A, 'Hospitalisation Details'!H:H, "No Data")</f>
        <v>tier - 2</v>
      </c>
    </row>
    <row r="1493">
      <c r="A1493" s="25" t="s">
        <v>4785</v>
      </c>
      <c r="B1493" s="28" t="str">
        <f t="array" ref="B1493">_xlfn.XLOOKUP($A1493, 'Customer Names'!$A:$A, 'Customer Names'!B:B, "No Data")</f>
        <v>Sanchez Antognini</v>
      </c>
      <c r="C1493" s="28">
        <f t="array" ref="C1493">_xlfn.XLOOKUP($A1493, 'Medical Examinations'!$A:$A, 'Medical Examinations'!B:B, "No Data")</f>
        <v>32.3</v>
      </c>
      <c r="D1493" s="28">
        <f t="array" ref="D1493">_xlfn.XLOOKUP($A1493, 'Medical Examinations'!$A:$A, 'Medical Examinations'!C:C, "No Data")</f>
        <v>5.31</v>
      </c>
      <c r="E1493" s="28" t="str">
        <f t="array" ref="E1493">_xlfn.XLOOKUP($A1493, 'Medical Examinations'!$A:$A, 'Medical Examinations'!D:D, "No Data")</f>
        <v>No</v>
      </c>
      <c r="F1493" s="28" t="str">
        <f t="array" ref="F1493">_xlfn.XLOOKUP($A1493, 'Medical Examinations'!$A:$A, 'Medical Examinations'!E:E, "No Data")</f>
        <v>No</v>
      </c>
      <c r="G1493" s="28" t="str">
        <f t="array" ref="G1493">_xlfn.XLOOKUP($A1493, 'Medical Examinations'!$A:$A, 'Medical Examinations'!F:F, "No Data")</f>
        <v>No</v>
      </c>
      <c r="H1493" s="28">
        <f t="array" ref="H1493">_xlfn.XLOOKUP($A1493, 'Medical Examinations'!$A:$A, 'Medical Examinations'!G:G, "No Data")</f>
        <v>0</v>
      </c>
      <c r="I1493" s="28" t="str">
        <f t="array" ref="I1493">_xlfn.XLOOKUP($A1493, 'Medical Examinations'!$A:$A, 'Medical Examinations'!H:H, "No Data")</f>
        <v>No</v>
      </c>
      <c r="J1493" s="28" t="str">
        <f t="array" ref="J1493">_xlfn.XLOOKUP($A1493, 'Medical Examinations'!$A:$A, 'Medical Examinations'!I:I, "No Data")</f>
        <v>Obesity</v>
      </c>
      <c r="K1493" s="28" t="str">
        <f t="array" ref="K1493">_xlfn.XLOOKUP($A1493, 'Hospitalisation Details'!$A:$A, 'Hospitalisation Details'!I:I, "No Data")</f>
        <v>tier - 1</v>
      </c>
      <c r="L1493" s="28" t="str">
        <f t="array" ref="L1493">_xlfn.XLOOKUP($A1493, 'Hospitalisation Details'!$A:$A, 'Hospitalisation Details'!J:J, "No Data")</f>
        <v>R1012</v>
      </c>
      <c r="M1493" s="28" t="str">
        <f t="array" ref="M1493">_xlfn.XLOOKUP($A1493, 'Hospitalisation Details'!$A:$A, 'Hospitalisation Details'!E:E, "No Data")</f>
        <v>18/10/82</v>
      </c>
      <c r="N1493" s="28">
        <f t="array" ref="N1493">_xlfn.XLOOKUP($A1493, 'Hospitalisation Details'!$A:$A, 'Hospitalisation Details'!K:K, "No Data")</f>
        <v>40</v>
      </c>
      <c r="O1493" s="33">
        <f t="array" ref="O1493">_xlfn.XLOOKUP($A1493, 'Hospitalisation Details'!$A:$A, 'Hospitalisation Details'!G:G, "No Data")</f>
        <v>6986.7</v>
      </c>
      <c r="P1493" s="28" t="str">
        <f t="array" ref="P1493">_xlfn.XLOOKUP($A1493, 'Hospitalisation Details'!$A:$A, 'Hospitalisation Details'!H:H, "No Data")</f>
        <v>tier - 3</v>
      </c>
    </row>
    <row r="1494">
      <c r="A1494" s="25" t="s">
        <v>4789</v>
      </c>
      <c r="B1494" s="28" t="str">
        <f t="array" ref="B1494">_xlfn.XLOOKUP($A1494, 'Customer Names'!$A:$A, 'Customer Names'!B:B, "No Data")</f>
        <v>Condon</v>
      </c>
      <c r="C1494" s="28">
        <f t="array" ref="C1494">_xlfn.XLOOKUP($A1494, 'Medical Examinations'!$A:$A, 'Medical Examinations'!B:B, "No Data")</f>
        <v>22.705</v>
      </c>
      <c r="D1494" s="28">
        <f t="array" ref="D1494">_xlfn.XLOOKUP($A1494, 'Medical Examinations'!$A:$A, 'Medical Examinations'!C:C, "No Data")</f>
        <v>4.57</v>
      </c>
      <c r="E1494" s="28" t="str">
        <f t="array" ref="E1494">_xlfn.XLOOKUP($A1494, 'Medical Examinations'!$A:$A, 'Medical Examinations'!D:D, "No Data")</f>
        <v>yes</v>
      </c>
      <c r="F1494" s="28" t="str">
        <f t="array" ref="F1494">_xlfn.XLOOKUP($A1494, 'Medical Examinations'!$A:$A, 'Medical Examinations'!E:E, "No Data")</f>
        <v>No</v>
      </c>
      <c r="G1494" s="28" t="str">
        <f t="array" ref="G1494">_xlfn.XLOOKUP($A1494, 'Medical Examinations'!$A:$A, 'Medical Examinations'!F:F, "No Data")</f>
        <v>No</v>
      </c>
      <c r="H1494" s="28">
        <f t="array" ref="H1494">_xlfn.XLOOKUP($A1494, 'Medical Examinations'!$A:$A, 'Medical Examinations'!G:G, "No Data")</f>
        <v>0</v>
      </c>
      <c r="I1494" s="28" t="str">
        <f t="array" ref="I1494">_xlfn.XLOOKUP($A1494, 'Medical Examinations'!$A:$A, 'Medical Examinations'!H:H, "No Data")</f>
        <v>No</v>
      </c>
      <c r="J1494" s="28" t="str">
        <f t="array" ref="J1494">_xlfn.XLOOKUP($A1494, 'Medical Examinations'!$A:$A, 'Medical Examinations'!I:I, "No Data")</f>
        <v>Normal Weight</v>
      </c>
      <c r="K1494" s="28" t="str">
        <f t="array" ref="K1494">_xlfn.XLOOKUP($A1494, 'Hospitalisation Details'!$A:$A, 'Hospitalisation Details'!I:I, "No Data")</f>
        <v>tier - 2</v>
      </c>
      <c r="L1494" s="28" t="str">
        <f t="array" ref="L1494">_xlfn.XLOOKUP($A1494, 'Hospitalisation Details'!$A:$A, 'Hospitalisation Details'!J:J, "No Data")</f>
        <v>R1019</v>
      </c>
      <c r="M1494" s="28" t="str">
        <f t="array" ref="M1494">_xlfn.XLOOKUP($A1494, 'Hospitalisation Details'!$A:$A, 'Hospitalisation Details'!E:E, "No Data")</f>
        <v>10/12/85</v>
      </c>
      <c r="N1494" s="28">
        <f t="array" ref="N1494">_xlfn.XLOOKUP($A1494, 'Hospitalisation Details'!$A:$A, 'Hospitalisation Details'!K:K, "No Data")</f>
        <v>37</v>
      </c>
      <c r="O1494" s="33">
        <f t="array" ref="O1494">_xlfn.XLOOKUP($A1494, 'Hospitalisation Details'!$A:$A, 'Hospitalisation Details'!G:G, "No Data")</f>
        <v>6985.51</v>
      </c>
      <c r="P1494" s="28" t="str">
        <f t="array" ref="P1494">_xlfn.XLOOKUP($A1494, 'Hospitalisation Details'!$A:$A, 'Hospitalisation Details'!H:H, "No Data")</f>
        <v>tier - 2</v>
      </c>
    </row>
    <row r="1495">
      <c r="A1495" s="25" t="s">
        <v>4793</v>
      </c>
      <c r="B1495" s="28" t="str">
        <f t="array" ref="B1495">_xlfn.XLOOKUP($A1495, 'Customer Names'!$A:$A, 'Customer Names'!B:B, "No Data")</f>
        <v>Magato</v>
      </c>
      <c r="C1495" s="28">
        <f t="array" ref="C1495">_xlfn.XLOOKUP($A1495, 'Medical Examinations'!$A:$A, 'Medical Examinations'!B:B, "No Data")</f>
        <v>21.79</v>
      </c>
      <c r="D1495" s="28">
        <f t="array" ref="D1495">_xlfn.XLOOKUP($A1495, 'Medical Examinations'!$A:$A, 'Medical Examinations'!C:C, "No Data")</f>
        <v>8.7</v>
      </c>
      <c r="E1495" s="28" t="str">
        <f t="array" ref="E1495">_xlfn.XLOOKUP($A1495, 'Medical Examinations'!$A:$A, 'Medical Examinations'!D:D, "No Data")</f>
        <v>yes</v>
      </c>
      <c r="F1495" s="28" t="str">
        <f t="array" ref="F1495">_xlfn.XLOOKUP($A1495, 'Medical Examinations'!$A:$A, 'Medical Examinations'!E:E, "No Data")</f>
        <v>No</v>
      </c>
      <c r="G1495" s="28" t="str">
        <f t="array" ref="G1495">_xlfn.XLOOKUP($A1495, 'Medical Examinations'!$A:$A, 'Medical Examinations'!F:F, "No Data")</f>
        <v>No</v>
      </c>
      <c r="H1495" s="28">
        <f t="array" ref="H1495">_xlfn.XLOOKUP($A1495, 'Medical Examinations'!$A:$A, 'Medical Examinations'!G:G, "No Data")</f>
        <v>1</v>
      </c>
      <c r="I1495" s="28" t="str">
        <f t="array" ref="I1495">_xlfn.XLOOKUP($A1495, 'Medical Examinations'!$A:$A, 'Medical Examinations'!H:H, "No Data")</f>
        <v>No</v>
      </c>
      <c r="J1495" s="28" t="str">
        <f t="array" ref="J1495">_xlfn.XLOOKUP($A1495, 'Medical Examinations'!$A:$A, 'Medical Examinations'!I:I, "No Data")</f>
        <v>Normal Weight</v>
      </c>
      <c r="K1495" s="28" t="str">
        <f t="array" ref="K1495">_xlfn.XLOOKUP($A1495, 'Hospitalisation Details'!$A:$A, 'Hospitalisation Details'!I:I, "No Data")</f>
        <v>tier - 3</v>
      </c>
      <c r="L1495" s="28" t="str">
        <f t="array" ref="L1495">_xlfn.XLOOKUP($A1495, 'Hospitalisation Details'!$A:$A, 'Hospitalisation Details'!J:J, "No Data")</f>
        <v>R1013</v>
      </c>
      <c r="M1495" s="28" t="str">
        <f t="array" ref="M1495">_xlfn.XLOOKUP($A1495, 'Hospitalisation Details'!$A:$A, 'Hospitalisation Details'!E:E, "No Data")</f>
        <v>03/06/75</v>
      </c>
      <c r="N1495" s="28">
        <f t="array" ref="N1495">_xlfn.XLOOKUP($A1495, 'Hospitalisation Details'!$A:$A, 'Hospitalisation Details'!K:K, "No Data")</f>
        <v>48</v>
      </c>
      <c r="O1495" s="33">
        <f t="array" ref="O1495">_xlfn.XLOOKUP($A1495, 'Hospitalisation Details'!$A:$A, 'Hospitalisation Details'!G:G, "No Data")</f>
        <v>6965.21</v>
      </c>
      <c r="P1495" s="28" t="str">
        <f t="array" ref="P1495">_xlfn.XLOOKUP($A1495, 'Hospitalisation Details'!$A:$A, 'Hospitalisation Details'!H:H, "No Data")</f>
        <v>tier - 2</v>
      </c>
    </row>
    <row r="1496">
      <c r="A1496" s="25" t="s">
        <v>4795</v>
      </c>
      <c r="B1496" s="28" t="str">
        <f t="array" ref="B1496">_xlfn.XLOOKUP($A1496, 'Customer Names'!$A:$A, 'Customer Names'!B:B, "No Data")</f>
        <v>Dombrowski</v>
      </c>
      <c r="C1496" s="28">
        <f t="array" ref="C1496">_xlfn.XLOOKUP($A1496, 'Medical Examinations'!$A:$A, 'Medical Examinations'!B:B, "No Data")</f>
        <v>24.52</v>
      </c>
      <c r="D1496" s="28">
        <f t="array" ref="D1496">_xlfn.XLOOKUP($A1496, 'Medical Examinations'!$A:$A, 'Medical Examinations'!C:C, "No Data")</f>
        <v>4.76</v>
      </c>
      <c r="E1496" s="28" t="str">
        <f t="array" ref="E1496">_xlfn.XLOOKUP($A1496, 'Medical Examinations'!$A:$A, 'Medical Examinations'!D:D, "No Data")</f>
        <v>No</v>
      </c>
      <c r="F1496" s="28" t="str">
        <f t="array" ref="F1496">_xlfn.XLOOKUP($A1496, 'Medical Examinations'!$A:$A, 'Medical Examinations'!E:E, "No Data")</f>
        <v>No</v>
      </c>
      <c r="G1496" s="28" t="str">
        <f t="array" ref="G1496">_xlfn.XLOOKUP($A1496, 'Medical Examinations'!$A:$A, 'Medical Examinations'!F:F, "No Data")</f>
        <v>No</v>
      </c>
      <c r="H1496" s="28">
        <f t="array" ref="H1496">_xlfn.XLOOKUP($A1496, 'Medical Examinations'!$A:$A, 'Medical Examinations'!G:G, "No Data")</f>
        <v>0</v>
      </c>
      <c r="I1496" s="28" t="str">
        <f t="array" ref="I1496">_xlfn.XLOOKUP($A1496, 'Medical Examinations'!$A:$A, 'Medical Examinations'!H:H, "No Data")</f>
        <v>No</v>
      </c>
      <c r="J1496" s="28" t="str">
        <f t="array" ref="J1496">_xlfn.XLOOKUP($A1496, 'Medical Examinations'!$A:$A, 'Medical Examinations'!I:I, "No Data")</f>
        <v>Normal Weight</v>
      </c>
      <c r="K1496" s="28" t="str">
        <f t="array" ref="K1496">_xlfn.XLOOKUP($A1496, 'Hospitalisation Details'!$A:$A, 'Hospitalisation Details'!I:I, "No Data")</f>
        <v>tier - 2</v>
      </c>
      <c r="L1496" s="28" t="str">
        <f t="array" ref="L1496">_xlfn.XLOOKUP($A1496, 'Hospitalisation Details'!$A:$A, 'Hospitalisation Details'!J:J, "No Data")</f>
        <v>R1013</v>
      </c>
      <c r="M1496" s="28" t="str">
        <f t="array" ref="M1496">_xlfn.XLOOKUP($A1496, 'Hospitalisation Details'!$A:$A, 'Hospitalisation Details'!E:E, "No Data")</f>
        <v>18/08/80</v>
      </c>
      <c r="N1496" s="28">
        <f t="array" ref="N1496">_xlfn.XLOOKUP($A1496, 'Hospitalisation Details'!$A:$A, 'Hospitalisation Details'!K:K, "No Data")</f>
        <v>42</v>
      </c>
      <c r="O1496" s="33">
        <f t="array" ref="O1496">_xlfn.XLOOKUP($A1496, 'Hospitalisation Details'!$A:$A, 'Hospitalisation Details'!G:G, "No Data")</f>
        <v>6951.12</v>
      </c>
      <c r="P1496" s="28" t="str">
        <f t="array" ref="P1496">_xlfn.XLOOKUP($A1496, 'Hospitalisation Details'!$A:$A, 'Hospitalisation Details'!H:H, "No Data")</f>
        <v>tier - 2</v>
      </c>
    </row>
    <row r="1497">
      <c r="A1497" s="25" t="s">
        <v>4799</v>
      </c>
      <c r="B1497" s="28" t="str">
        <f t="array" ref="B1497">_xlfn.XLOOKUP($A1497, 'Customer Names'!$A:$A, 'Customer Names'!B:B, "No Data")</f>
        <v>Ohara</v>
      </c>
      <c r="C1497" s="28">
        <f t="array" ref="C1497">_xlfn.XLOOKUP($A1497, 'Medical Examinations'!$A:$A, 'Medical Examinations'!B:B, "No Data")</f>
        <v>39.52</v>
      </c>
      <c r="D1497" s="28">
        <f t="array" ref="D1497">_xlfn.XLOOKUP($A1497, 'Medical Examinations'!$A:$A, 'Medical Examinations'!C:C, "No Data")</f>
        <v>11.81</v>
      </c>
      <c r="E1497" s="28" t="str">
        <f t="array" ref="E1497">_xlfn.XLOOKUP($A1497, 'Medical Examinations'!$A:$A, 'Medical Examinations'!D:D, "No Data")</f>
        <v>No</v>
      </c>
      <c r="F1497" s="28" t="str">
        <f t="array" ref="F1497">_xlfn.XLOOKUP($A1497, 'Medical Examinations'!$A:$A, 'Medical Examinations'!E:E, "No Data")</f>
        <v>No</v>
      </c>
      <c r="G1497" s="28" t="str">
        <f t="array" ref="G1497">_xlfn.XLOOKUP($A1497, 'Medical Examinations'!$A:$A, 'Medical Examinations'!F:F, "No Data")</f>
        <v>No</v>
      </c>
      <c r="H1497" s="28">
        <f t="array" ref="H1497">_xlfn.XLOOKUP($A1497, 'Medical Examinations'!$A:$A, 'Medical Examinations'!G:G, "No Data")</f>
        <v>0</v>
      </c>
      <c r="I1497" s="28" t="str">
        <f t="array" ref="I1497">_xlfn.XLOOKUP($A1497, 'Medical Examinations'!$A:$A, 'Medical Examinations'!H:H, "No Data")</f>
        <v>No</v>
      </c>
      <c r="J1497" s="28" t="str">
        <f t="array" ref="J1497">_xlfn.XLOOKUP($A1497, 'Medical Examinations'!$A:$A, 'Medical Examinations'!I:I, "No Data")</f>
        <v>Obesity</v>
      </c>
      <c r="K1497" s="28" t="str">
        <f t="array" ref="K1497">_xlfn.XLOOKUP($A1497, 'Hospitalisation Details'!$A:$A, 'Hospitalisation Details'!I:I, "No Data")</f>
        <v>tier - 2</v>
      </c>
      <c r="L1497" s="28" t="str">
        <f t="array" ref="L1497">_xlfn.XLOOKUP($A1497, 'Hospitalisation Details'!$A:$A, 'Hospitalisation Details'!J:J, "No Data")</f>
        <v>R1012</v>
      </c>
      <c r="M1497" s="28" t="str">
        <f t="array" ref="M1497">_xlfn.XLOOKUP($A1497, 'Hospitalisation Details'!$A:$A, 'Hospitalisation Details'!E:E, "No Data")</f>
        <v>15/12/78</v>
      </c>
      <c r="N1497" s="28">
        <f t="array" ref="N1497">_xlfn.XLOOKUP($A1497, 'Hospitalisation Details'!$A:$A, 'Hospitalisation Details'!K:K, "No Data")</f>
        <v>44</v>
      </c>
      <c r="O1497" s="33">
        <f t="array" ref="O1497">_xlfn.XLOOKUP($A1497, 'Hospitalisation Details'!$A:$A, 'Hospitalisation Details'!G:G, "No Data")</f>
        <v>6948.7</v>
      </c>
      <c r="P1497" s="28" t="str">
        <f t="array" ref="P1497">_xlfn.XLOOKUP($A1497, 'Hospitalisation Details'!$A:$A, 'Hospitalisation Details'!H:H, "No Data")</f>
        <v>tier - 1</v>
      </c>
    </row>
    <row r="1498">
      <c r="A1498" s="25" t="s">
        <v>4803</v>
      </c>
      <c r="B1498" s="28" t="str">
        <f t="array" ref="B1498">_xlfn.XLOOKUP($A1498, 'Customer Names'!$A:$A, 'Customer Names'!B:B, "No Data")</f>
        <v>Cifuentes Fetiva</v>
      </c>
      <c r="C1498" s="28">
        <f t="array" ref="C1498">_xlfn.XLOOKUP($A1498, 'Medical Examinations'!$A:$A, 'Medical Examinations'!B:B, "No Data")</f>
        <v>24.49</v>
      </c>
      <c r="D1498" s="28">
        <f t="array" ref="D1498">_xlfn.XLOOKUP($A1498, 'Medical Examinations'!$A:$A, 'Medical Examinations'!C:C, "No Data")</f>
        <v>4.67</v>
      </c>
      <c r="E1498" s="28" t="str">
        <f t="array" ref="E1498">_xlfn.XLOOKUP($A1498, 'Medical Examinations'!$A:$A, 'Medical Examinations'!D:D, "No Data")</f>
        <v>No</v>
      </c>
      <c r="F1498" s="28" t="str">
        <f t="array" ref="F1498">_xlfn.XLOOKUP($A1498, 'Medical Examinations'!$A:$A, 'Medical Examinations'!E:E, "No Data")</f>
        <v>No</v>
      </c>
      <c r="G1498" s="28" t="str">
        <f t="array" ref="G1498">_xlfn.XLOOKUP($A1498, 'Medical Examinations'!$A:$A, 'Medical Examinations'!F:F, "No Data")</f>
        <v>No</v>
      </c>
      <c r="H1498" s="28">
        <f t="array" ref="H1498">_xlfn.XLOOKUP($A1498, 'Medical Examinations'!$A:$A, 'Medical Examinations'!G:G, "No Data")</f>
        <v>0</v>
      </c>
      <c r="I1498" s="28" t="str">
        <f t="array" ref="I1498">_xlfn.XLOOKUP($A1498, 'Medical Examinations'!$A:$A, 'Medical Examinations'!H:H, "No Data")</f>
        <v>No</v>
      </c>
      <c r="J1498" s="28" t="str">
        <f t="array" ref="J1498">_xlfn.XLOOKUP($A1498, 'Medical Examinations'!$A:$A, 'Medical Examinations'!I:I, "No Data")</f>
        <v>Normal Weight</v>
      </c>
      <c r="K1498" s="28" t="str">
        <f t="array" ref="K1498">_xlfn.XLOOKUP($A1498, 'Hospitalisation Details'!$A:$A, 'Hospitalisation Details'!I:I, "No Data")</f>
        <v>tier - 3</v>
      </c>
      <c r="L1498" s="28" t="str">
        <f t="array" ref="L1498">_xlfn.XLOOKUP($A1498, 'Hospitalisation Details'!$A:$A, 'Hospitalisation Details'!J:J, "No Data")</f>
        <v>R1013</v>
      </c>
      <c r="M1498" s="28" t="str">
        <f t="array" ref="M1498">_xlfn.XLOOKUP($A1498, 'Hospitalisation Details'!$A:$A, 'Hospitalisation Details'!E:E, "No Data")</f>
        <v>05/10/80</v>
      </c>
      <c r="N1498" s="28">
        <f t="array" ref="N1498">_xlfn.XLOOKUP($A1498, 'Hospitalisation Details'!$A:$A, 'Hospitalisation Details'!K:K, "No Data")</f>
        <v>42</v>
      </c>
      <c r="O1498" s="33">
        <f t="array" ref="O1498">_xlfn.XLOOKUP($A1498, 'Hospitalisation Details'!$A:$A, 'Hospitalisation Details'!G:G, "No Data")</f>
        <v>6940.94</v>
      </c>
      <c r="P1498" s="28" t="str">
        <f t="array" ref="P1498">_xlfn.XLOOKUP($A1498, 'Hospitalisation Details'!$A:$A, 'Hospitalisation Details'!H:H, "No Data")</f>
        <v>tier - 2</v>
      </c>
    </row>
    <row r="1499">
      <c r="A1499" s="25" t="s">
        <v>4807</v>
      </c>
      <c r="B1499" s="28" t="str">
        <f t="array" ref="B1499">_xlfn.XLOOKUP($A1499, 'Customer Names'!$A:$A, 'Customer Names'!B:B, "No Data")</f>
        <v>Keno</v>
      </c>
      <c r="C1499" s="28">
        <f t="array" ref="C1499">_xlfn.XLOOKUP($A1499, 'Medical Examinations'!$A:$A, 'Medical Examinations'!B:B, "No Data")</f>
        <v>26.315</v>
      </c>
      <c r="D1499" s="28">
        <f t="array" ref="D1499">_xlfn.XLOOKUP($A1499, 'Medical Examinations'!$A:$A, 'Medical Examinations'!C:C, "No Data")</f>
        <v>6.02</v>
      </c>
      <c r="E1499" s="28" t="str">
        <f t="array" ref="E1499">_xlfn.XLOOKUP($A1499, 'Medical Examinations'!$A:$A, 'Medical Examinations'!D:D, "No Data")</f>
        <v>No</v>
      </c>
      <c r="F1499" s="28" t="str">
        <f t="array" ref="F1499">_xlfn.XLOOKUP($A1499, 'Medical Examinations'!$A:$A, 'Medical Examinations'!E:E, "No Data")</f>
        <v>No</v>
      </c>
      <c r="G1499" s="28" t="str">
        <f t="array" ref="G1499">_xlfn.XLOOKUP($A1499, 'Medical Examinations'!$A:$A, 'Medical Examinations'!F:F, "No Data")</f>
        <v>No</v>
      </c>
      <c r="H1499" s="28">
        <f t="array" ref="H1499">_xlfn.XLOOKUP($A1499, 'Medical Examinations'!$A:$A, 'Medical Examinations'!G:G, "No Data")</f>
        <v>0</v>
      </c>
      <c r="I1499" s="28" t="str">
        <f t="array" ref="I1499">_xlfn.XLOOKUP($A1499, 'Medical Examinations'!$A:$A, 'Medical Examinations'!H:H, "No Data")</f>
        <v>No</v>
      </c>
      <c r="J1499" s="28" t="str">
        <f t="array" ref="J1499">_xlfn.XLOOKUP($A1499, 'Medical Examinations'!$A:$A, 'Medical Examinations'!I:I, "No Data")</f>
        <v>Overweight</v>
      </c>
      <c r="K1499" s="28" t="str">
        <f t="array" ref="K1499">_xlfn.XLOOKUP($A1499, 'Hospitalisation Details'!$A:$A, 'Hospitalisation Details'!I:I, "No Data")</f>
        <v>tier - 2</v>
      </c>
      <c r="L1499" s="28" t="str">
        <f t="array" ref="L1499">_xlfn.XLOOKUP($A1499, 'Hospitalisation Details'!$A:$A, 'Hospitalisation Details'!J:J, "No Data")</f>
        <v>R1012</v>
      </c>
      <c r="M1499" s="28" t="str">
        <f t="array" ref="M1499">_xlfn.XLOOKUP($A1499, 'Hospitalisation Details'!$A:$A, 'Hospitalisation Details'!E:E, "No Data")</f>
        <v>30/08/80</v>
      </c>
      <c r="N1499" s="28">
        <f t="array" ref="N1499">_xlfn.XLOOKUP($A1499, 'Hospitalisation Details'!$A:$A, 'Hospitalisation Details'!K:K, "No Data")</f>
        <v>42</v>
      </c>
      <c r="O1499" s="33">
        <f t="array" ref="O1499">_xlfn.XLOOKUP($A1499, 'Hospitalisation Details'!$A:$A, 'Hospitalisation Details'!G:G, "No Data")</f>
        <v>6940.91</v>
      </c>
      <c r="P1499" s="28" t="str">
        <f t="array" ref="P1499">_xlfn.XLOOKUP($A1499, 'Hospitalisation Details'!$A:$A, 'Hospitalisation Details'!H:H, "No Data")</f>
        <v>tier - 2</v>
      </c>
    </row>
    <row r="1500">
      <c r="A1500" s="25" t="s">
        <v>4810</v>
      </c>
      <c r="B1500" s="28" t="str">
        <f t="array" ref="B1500">_xlfn.XLOOKUP($A1500, 'Customer Names'!$A:$A, 'Customer Names'!B:B, "No Data")</f>
        <v>Bruce</v>
      </c>
      <c r="C1500" s="28">
        <f t="array" ref="C1500">_xlfn.XLOOKUP($A1500, 'Medical Examinations'!$A:$A, 'Medical Examinations'!B:B, "No Data")</f>
        <v>22.58</v>
      </c>
      <c r="D1500" s="28">
        <f t="array" ref="D1500">_xlfn.XLOOKUP($A1500, 'Medical Examinations'!$A:$A, 'Medical Examinations'!C:C, "No Data")</f>
        <v>7.46</v>
      </c>
      <c r="E1500" s="28" t="str">
        <f t="array" ref="E1500">_xlfn.XLOOKUP($A1500, 'Medical Examinations'!$A:$A, 'Medical Examinations'!D:D, "No Data")</f>
        <v>No</v>
      </c>
      <c r="F1500" s="28" t="str">
        <f t="array" ref="F1500">_xlfn.XLOOKUP($A1500, 'Medical Examinations'!$A:$A, 'Medical Examinations'!E:E, "No Data")</f>
        <v>No</v>
      </c>
      <c r="G1500" s="28" t="str">
        <f t="array" ref="G1500">_xlfn.XLOOKUP($A1500, 'Medical Examinations'!$A:$A, 'Medical Examinations'!F:F, "No Data")</f>
        <v>No</v>
      </c>
      <c r="H1500" s="28">
        <f t="array" ref="H1500">_xlfn.XLOOKUP($A1500, 'Medical Examinations'!$A:$A, 'Medical Examinations'!G:G, "No Data")</f>
        <v>0</v>
      </c>
      <c r="I1500" s="28" t="str">
        <f t="array" ref="I1500">_xlfn.XLOOKUP($A1500, 'Medical Examinations'!$A:$A, 'Medical Examinations'!H:H, "No Data")</f>
        <v>No</v>
      </c>
      <c r="J1500" s="28" t="str">
        <f t="array" ref="J1500">_xlfn.XLOOKUP($A1500, 'Medical Examinations'!$A:$A, 'Medical Examinations'!I:I, "No Data")</f>
        <v>Normal Weight</v>
      </c>
      <c r="K1500" s="28" t="str">
        <f t="array" ref="K1500">_xlfn.XLOOKUP($A1500, 'Hospitalisation Details'!$A:$A, 'Hospitalisation Details'!I:I, "No Data")</f>
        <v>tier - 2</v>
      </c>
      <c r="L1500" s="28" t="str">
        <f t="array" ref="L1500">_xlfn.XLOOKUP($A1500, 'Hospitalisation Details'!$A:$A, 'Hospitalisation Details'!J:J, "No Data")</f>
        <v>R1013</v>
      </c>
      <c r="M1500" s="28" t="str">
        <f t="array" ref="M1500">_xlfn.XLOOKUP($A1500, 'Hospitalisation Details'!$A:$A, 'Hospitalisation Details'!E:E, "No Data")</f>
        <v>29/11/78</v>
      </c>
      <c r="N1500" s="28">
        <f t="array" ref="N1500">_xlfn.XLOOKUP($A1500, 'Hospitalisation Details'!$A:$A, 'Hospitalisation Details'!K:K, "No Data")</f>
        <v>44</v>
      </c>
      <c r="O1500" s="33">
        <f t="array" ref="O1500">_xlfn.XLOOKUP($A1500, 'Hospitalisation Details'!$A:$A, 'Hospitalisation Details'!G:G, "No Data")</f>
        <v>6938.11</v>
      </c>
      <c r="P1500" s="28" t="str">
        <f t="array" ref="P1500">_xlfn.XLOOKUP($A1500, 'Hospitalisation Details'!$A:$A, 'Hospitalisation Details'!H:H, "No Data")</f>
        <v>tier - 2</v>
      </c>
    </row>
    <row r="1501">
      <c r="A1501" s="25" t="s">
        <v>4813</v>
      </c>
      <c r="B1501" s="28" t="str">
        <f t="array" ref="B1501">_xlfn.XLOOKUP($A1501, 'Customer Names'!$A:$A, 'Customer Names'!B:B, "No Data")</f>
        <v>Lorch</v>
      </c>
      <c r="C1501" s="28">
        <f t="array" ref="C1501">_xlfn.XLOOKUP($A1501, 'Medical Examinations'!$A:$A, 'Medical Examinations'!B:B, "No Data")</f>
        <v>19.475</v>
      </c>
      <c r="D1501" s="28">
        <f t="array" ref="D1501">_xlfn.XLOOKUP($A1501, 'Medical Examinations'!$A:$A, 'Medical Examinations'!C:C, "No Data")</f>
        <v>4.74</v>
      </c>
      <c r="E1501" s="28" t="str">
        <f t="array" ref="E1501">_xlfn.XLOOKUP($A1501, 'Medical Examinations'!$A:$A, 'Medical Examinations'!D:D, "No Data")</f>
        <v>No</v>
      </c>
      <c r="F1501" s="28" t="str">
        <f t="array" ref="F1501">_xlfn.XLOOKUP($A1501, 'Medical Examinations'!$A:$A, 'Medical Examinations'!E:E, "No Data")</f>
        <v>No</v>
      </c>
      <c r="G1501" s="28" t="str">
        <f t="array" ref="G1501">_xlfn.XLOOKUP($A1501, 'Medical Examinations'!$A:$A, 'Medical Examinations'!F:F, "No Data")</f>
        <v>No</v>
      </c>
      <c r="H1501" s="28">
        <f t="array" ref="H1501">_xlfn.XLOOKUP($A1501, 'Medical Examinations'!$A:$A, 'Medical Examinations'!G:G, "No Data")</f>
        <v>1</v>
      </c>
      <c r="I1501" s="28" t="str">
        <f t="array" ref="I1501">_xlfn.XLOOKUP($A1501, 'Medical Examinations'!$A:$A, 'Medical Examinations'!H:H, "No Data")</f>
        <v>No</v>
      </c>
      <c r="J1501" s="28" t="str">
        <f t="array" ref="J1501">_xlfn.XLOOKUP($A1501, 'Medical Examinations'!$A:$A, 'Medical Examinations'!I:I, "No Data")</f>
        <v>Normal Weight</v>
      </c>
      <c r="K1501" s="28" t="str">
        <f t="array" ref="K1501">_xlfn.XLOOKUP($A1501, 'Hospitalisation Details'!$A:$A, 'Hospitalisation Details'!I:I, "No Data")</f>
        <v>tier - 3</v>
      </c>
      <c r="L1501" s="28" t="str">
        <f t="array" ref="L1501">_xlfn.XLOOKUP($A1501, 'Hospitalisation Details'!$A:$A, 'Hospitalisation Details'!J:J, "No Data")</f>
        <v>R1012</v>
      </c>
      <c r="M1501" s="28" t="str">
        <f t="array" ref="M1501">_xlfn.XLOOKUP($A1501, 'Hospitalisation Details'!$A:$A, 'Hospitalisation Details'!E:E, "No Data")</f>
        <v>05/09/84</v>
      </c>
      <c r="N1501" s="28">
        <f t="array" ref="N1501">_xlfn.XLOOKUP($A1501, 'Hospitalisation Details'!$A:$A, 'Hospitalisation Details'!K:K, "No Data")</f>
        <v>38</v>
      </c>
      <c r="O1501" s="33">
        <f t="array" ref="O1501">_xlfn.XLOOKUP($A1501, 'Hospitalisation Details'!$A:$A, 'Hospitalisation Details'!G:G, "No Data")</f>
        <v>6933.24</v>
      </c>
      <c r="P1501" s="28" t="str">
        <f t="array" ref="P1501">_xlfn.XLOOKUP($A1501, 'Hospitalisation Details'!$A:$A, 'Hospitalisation Details'!H:H, "No Data")</f>
        <v>tier - 2</v>
      </c>
    </row>
    <row r="1502">
      <c r="A1502" s="25" t="s">
        <v>4816</v>
      </c>
      <c r="B1502" s="28" t="str">
        <f t="array" ref="B1502">_xlfn.XLOOKUP($A1502, 'Customer Names'!$A:$A, 'Customer Names'!B:B, "No Data")</f>
        <v>Sullivan</v>
      </c>
      <c r="C1502" s="28">
        <f t="array" ref="C1502">_xlfn.XLOOKUP($A1502, 'Medical Examinations'!$A:$A, 'Medical Examinations'!B:B, "No Data")</f>
        <v>26.33</v>
      </c>
      <c r="D1502" s="28">
        <f t="array" ref="D1502">_xlfn.XLOOKUP($A1502, 'Medical Examinations'!$A:$A, 'Medical Examinations'!C:C, "No Data")</f>
        <v>4.79</v>
      </c>
      <c r="E1502" s="28" t="str">
        <f t="array" ref="E1502">_xlfn.XLOOKUP($A1502, 'Medical Examinations'!$A:$A, 'Medical Examinations'!D:D, "No Data")</f>
        <v>No</v>
      </c>
      <c r="F1502" s="28" t="str">
        <f t="array" ref="F1502">_xlfn.XLOOKUP($A1502, 'Medical Examinations'!$A:$A, 'Medical Examinations'!E:E, "No Data")</f>
        <v>No</v>
      </c>
      <c r="G1502" s="28" t="str">
        <f t="array" ref="G1502">_xlfn.XLOOKUP($A1502, 'Medical Examinations'!$A:$A, 'Medical Examinations'!F:F, "No Data")</f>
        <v>No</v>
      </c>
      <c r="H1502" s="28">
        <f t="array" ref="H1502">_xlfn.XLOOKUP($A1502, 'Medical Examinations'!$A:$A, 'Medical Examinations'!G:G, "No Data")</f>
        <v>0</v>
      </c>
      <c r="I1502" s="28" t="str">
        <f t="array" ref="I1502">_xlfn.XLOOKUP($A1502, 'Medical Examinations'!$A:$A, 'Medical Examinations'!H:H, "No Data")</f>
        <v>No</v>
      </c>
      <c r="J1502" s="28" t="str">
        <f t="array" ref="J1502">_xlfn.XLOOKUP($A1502, 'Medical Examinations'!$A:$A, 'Medical Examinations'!I:I, "No Data")</f>
        <v>Overweight</v>
      </c>
      <c r="K1502" s="28" t="str">
        <f t="array" ref="K1502">_xlfn.XLOOKUP($A1502, 'Hospitalisation Details'!$A:$A, 'Hospitalisation Details'!I:I, "No Data")</f>
        <v>tier - 3</v>
      </c>
      <c r="L1502" s="28" t="str">
        <f t="array" ref="L1502">_xlfn.XLOOKUP($A1502, 'Hospitalisation Details'!$A:$A, 'Hospitalisation Details'!J:J, "No Data")</f>
        <v>R1024</v>
      </c>
      <c r="M1502" s="28" t="str">
        <f t="array" ref="M1502">_xlfn.XLOOKUP($A1502, 'Hospitalisation Details'!$A:$A, 'Hospitalisation Details'!E:E, "No Data")</f>
        <v>21/12/89</v>
      </c>
      <c r="N1502" s="28">
        <f t="array" ref="N1502">_xlfn.XLOOKUP($A1502, 'Hospitalisation Details'!$A:$A, 'Hospitalisation Details'!K:K, "No Data")</f>
        <v>33</v>
      </c>
      <c r="O1502" s="33">
        <f t="array" ref="O1502">_xlfn.XLOOKUP($A1502, 'Hospitalisation Details'!$A:$A, 'Hospitalisation Details'!G:G, "No Data")</f>
        <v>6895.19</v>
      </c>
      <c r="P1502" s="28" t="str">
        <f t="array" ref="P1502">_xlfn.XLOOKUP($A1502, 'Hospitalisation Details'!$A:$A, 'Hospitalisation Details'!H:H, "No Data")</f>
        <v>tier - 2</v>
      </c>
    </row>
    <row r="1503">
      <c r="A1503" s="25" t="s">
        <v>4820</v>
      </c>
      <c r="B1503" s="28" t="str">
        <f t="array" ref="B1503">_xlfn.XLOOKUP($A1503, 'Customer Names'!$A:$A, 'Customer Names'!B:B, "No Data")</f>
        <v>Cave</v>
      </c>
      <c r="C1503" s="28">
        <f t="array" ref="C1503">_xlfn.XLOOKUP($A1503, 'Medical Examinations'!$A:$A, 'Medical Examinations'!B:B, "No Data")</f>
        <v>17.29</v>
      </c>
      <c r="D1503" s="28">
        <f t="array" ref="D1503">_xlfn.XLOOKUP($A1503, 'Medical Examinations'!$A:$A, 'Medical Examinations'!C:C, "No Data")</f>
        <v>5.35</v>
      </c>
      <c r="E1503" s="28" t="str">
        <f t="array" ref="E1503">_xlfn.XLOOKUP($A1503, 'Medical Examinations'!$A:$A, 'Medical Examinations'!D:D, "No Data")</f>
        <v>yes</v>
      </c>
      <c r="F1503" s="28" t="str">
        <f t="array" ref="F1503">_xlfn.XLOOKUP($A1503, 'Medical Examinations'!$A:$A, 'Medical Examinations'!E:E, "No Data")</f>
        <v>No</v>
      </c>
      <c r="G1503" s="28" t="str">
        <f t="array" ref="G1503">_xlfn.XLOOKUP($A1503, 'Medical Examinations'!$A:$A, 'Medical Examinations'!F:F, "No Data")</f>
        <v>No</v>
      </c>
      <c r="H1503" s="28">
        <f t="array" ref="H1503">_xlfn.XLOOKUP($A1503, 'Medical Examinations'!$A:$A, 'Medical Examinations'!G:G, "No Data")</f>
        <v>0</v>
      </c>
      <c r="I1503" s="28" t="str">
        <f t="array" ref="I1503">_xlfn.XLOOKUP($A1503, 'Medical Examinations'!$A:$A, 'Medical Examinations'!H:H, "No Data")</f>
        <v>No</v>
      </c>
      <c r="J1503" s="28" t="str">
        <f t="array" ref="J1503">_xlfn.XLOOKUP($A1503, 'Medical Examinations'!$A:$A, 'Medical Examinations'!I:I, "No Data")</f>
        <v>Underweight</v>
      </c>
      <c r="K1503" s="28" t="str">
        <f t="array" ref="K1503">_xlfn.XLOOKUP($A1503, 'Hospitalisation Details'!$A:$A, 'Hospitalisation Details'!I:I, "No Data")</f>
        <v>tier - 1</v>
      </c>
      <c r="L1503" s="28" t="str">
        <f t="array" ref="L1503">_xlfn.XLOOKUP($A1503, 'Hospitalisation Details'!$A:$A, 'Hospitalisation Details'!J:J, "No Data")</f>
        <v>R1024</v>
      </c>
      <c r="M1503" s="28" t="str">
        <f t="array" ref="M1503">_xlfn.XLOOKUP($A1503, 'Hospitalisation Details'!$A:$A, 'Hospitalisation Details'!E:E, "No Data")</f>
        <v>10/09/85</v>
      </c>
      <c r="N1503" s="28">
        <f t="array" ref="N1503">_xlfn.XLOOKUP($A1503, 'Hospitalisation Details'!$A:$A, 'Hospitalisation Details'!K:K, "No Data")</f>
        <v>37</v>
      </c>
      <c r="O1503" s="33">
        <f t="array" ref="O1503">_xlfn.XLOOKUP($A1503, 'Hospitalisation Details'!$A:$A, 'Hospitalisation Details'!G:G, "No Data")</f>
        <v>6877.98</v>
      </c>
      <c r="P1503" s="28" t="str">
        <f t="array" ref="P1503">_xlfn.XLOOKUP($A1503, 'Hospitalisation Details'!$A:$A, 'Hospitalisation Details'!H:H, "No Data")</f>
        <v>tier - 2</v>
      </c>
    </row>
    <row r="1504">
      <c r="A1504" s="25" t="s">
        <v>4823</v>
      </c>
      <c r="B1504" s="28" t="str">
        <f t="array" ref="B1504">_xlfn.XLOOKUP($A1504, 'Customer Names'!$A:$A, 'Customer Names'!B:B, "No Data")</f>
        <v>Gudenkauf</v>
      </c>
      <c r="C1504" s="28">
        <f t="array" ref="C1504">_xlfn.XLOOKUP($A1504, 'Medical Examinations'!$A:$A, 'Medical Examinations'!B:B, "No Data")</f>
        <v>42.88</v>
      </c>
      <c r="D1504" s="28">
        <f t="array" ref="D1504">_xlfn.XLOOKUP($A1504, 'Medical Examinations'!$A:$A, 'Medical Examinations'!C:C, "No Data")</f>
        <v>4.87</v>
      </c>
      <c r="E1504" s="28" t="str">
        <f t="array" ref="E1504">_xlfn.XLOOKUP($A1504, 'Medical Examinations'!$A:$A, 'Medical Examinations'!D:D, "No Data")</f>
        <v>No</v>
      </c>
      <c r="F1504" s="28" t="str">
        <f t="array" ref="F1504">_xlfn.XLOOKUP($A1504, 'Medical Examinations'!$A:$A, 'Medical Examinations'!E:E, "No Data")</f>
        <v>yes</v>
      </c>
      <c r="G1504" s="28" t="str">
        <f t="array" ref="G1504">_xlfn.XLOOKUP($A1504, 'Medical Examinations'!$A:$A, 'Medical Examinations'!F:F, "No Data")</f>
        <v>No</v>
      </c>
      <c r="H1504" s="28">
        <f t="array" ref="H1504">_xlfn.XLOOKUP($A1504, 'Medical Examinations'!$A:$A, 'Medical Examinations'!G:G, "No Data")</f>
        <v>1</v>
      </c>
      <c r="I1504" s="28" t="str">
        <f t="array" ref="I1504">_xlfn.XLOOKUP($A1504, 'Medical Examinations'!$A:$A, 'Medical Examinations'!H:H, "No Data")</f>
        <v>No</v>
      </c>
      <c r="J1504" s="28" t="str">
        <f t="array" ref="J1504">_xlfn.XLOOKUP($A1504, 'Medical Examinations'!$A:$A, 'Medical Examinations'!I:I, "No Data")</f>
        <v>Obesity</v>
      </c>
      <c r="K1504" s="28" t="str">
        <f t="array" ref="K1504">_xlfn.XLOOKUP($A1504, 'Hospitalisation Details'!$A:$A, 'Hospitalisation Details'!I:I, "No Data")</f>
        <v>tier - 1</v>
      </c>
      <c r="L1504" s="28" t="str">
        <f t="array" ref="L1504">_xlfn.XLOOKUP($A1504, 'Hospitalisation Details'!$A:$A, 'Hospitalisation Details'!J:J, "No Data")</f>
        <v>R1012</v>
      </c>
      <c r="M1504" s="28" t="str">
        <f t="array" ref="M1504">_xlfn.XLOOKUP($A1504, 'Hospitalisation Details'!$A:$A, 'Hospitalisation Details'!E:E, "No Data")</f>
        <v>24/12/04</v>
      </c>
      <c r="N1504" s="28">
        <f t="array" ref="N1504">_xlfn.XLOOKUP($A1504, 'Hospitalisation Details'!$A:$A, 'Hospitalisation Details'!K:K, "No Data")</f>
        <v>18</v>
      </c>
      <c r="O1504" s="33">
        <f t="array" ref="O1504">_xlfn.XLOOKUP($A1504, 'Hospitalisation Details'!$A:$A, 'Hospitalisation Details'!G:G, "No Data")</f>
        <v>6876.53</v>
      </c>
      <c r="P1504" s="28" t="str">
        <f t="array" ref="P1504">_xlfn.XLOOKUP($A1504, 'Hospitalisation Details'!$A:$A, 'Hospitalisation Details'!H:H, "No Data")</f>
        <v>tier - 2</v>
      </c>
    </row>
    <row r="1505">
      <c r="A1505" s="25" t="s">
        <v>4826</v>
      </c>
      <c r="B1505" s="28" t="str">
        <f t="array" ref="B1505">_xlfn.XLOOKUP($A1505, 'Customer Names'!$A:$A, 'Customer Names'!B:B, "No Data")</f>
        <v>Thomas</v>
      </c>
      <c r="C1505" s="28">
        <f t="array" ref="C1505">_xlfn.XLOOKUP($A1505, 'Medical Examinations'!$A:$A, 'Medical Examinations'!B:B, "No Data")</f>
        <v>32.2</v>
      </c>
      <c r="D1505" s="28">
        <f t="array" ref="D1505">_xlfn.XLOOKUP($A1505, 'Medical Examinations'!$A:$A, 'Medical Examinations'!C:C, "No Data")</f>
        <v>10.09</v>
      </c>
      <c r="E1505" s="28" t="str">
        <f t="array" ref="E1505">_xlfn.XLOOKUP($A1505, 'Medical Examinations'!$A:$A, 'Medical Examinations'!D:D, "No Data")</f>
        <v>yes</v>
      </c>
      <c r="F1505" s="28" t="str">
        <f t="array" ref="F1505">_xlfn.XLOOKUP($A1505, 'Medical Examinations'!$A:$A, 'Medical Examinations'!E:E, "No Data")</f>
        <v>No</v>
      </c>
      <c r="G1505" s="28" t="str">
        <f t="array" ref="G1505">_xlfn.XLOOKUP($A1505, 'Medical Examinations'!$A:$A, 'Medical Examinations'!F:F, "No Data")</f>
        <v>No</v>
      </c>
      <c r="H1505" s="28">
        <f t="array" ref="H1505">_xlfn.XLOOKUP($A1505, 'Medical Examinations'!$A:$A, 'Medical Examinations'!G:G, "No Data")</f>
        <v>0</v>
      </c>
      <c r="I1505" s="28" t="str">
        <f t="array" ref="I1505">_xlfn.XLOOKUP($A1505, 'Medical Examinations'!$A:$A, 'Medical Examinations'!H:H, "No Data")</f>
        <v>No</v>
      </c>
      <c r="J1505" s="28" t="str">
        <f t="array" ref="J1505">_xlfn.XLOOKUP($A1505, 'Medical Examinations'!$A:$A, 'Medical Examinations'!I:I, "No Data")</f>
        <v>Obesity</v>
      </c>
      <c r="K1505" s="28" t="str">
        <f t="array" ref="K1505">_xlfn.XLOOKUP($A1505, 'Hospitalisation Details'!$A:$A, 'Hospitalisation Details'!I:I, "No Data")</f>
        <v>tier - 2</v>
      </c>
      <c r="L1505" s="28" t="str">
        <f t="array" ref="L1505">_xlfn.XLOOKUP($A1505, 'Hospitalisation Details'!$A:$A, 'Hospitalisation Details'!J:J, "No Data")</f>
        <v>R1011</v>
      </c>
      <c r="M1505" s="28" t="str">
        <f t="array" ref="M1505">_xlfn.XLOOKUP($A1505, 'Hospitalisation Details'!$A:$A, 'Hospitalisation Details'!E:E, "No Data")</f>
        <v>23/06/81</v>
      </c>
      <c r="N1505" s="28">
        <f t="array" ref="N1505">_xlfn.XLOOKUP($A1505, 'Hospitalisation Details'!$A:$A, 'Hospitalisation Details'!K:K, "No Data")</f>
        <v>41</v>
      </c>
      <c r="O1505" s="33">
        <f t="array" ref="O1505">_xlfn.XLOOKUP($A1505, 'Hospitalisation Details'!$A:$A, 'Hospitalisation Details'!G:G, "No Data")</f>
        <v>6875.96</v>
      </c>
      <c r="P1505" s="28" t="str">
        <f t="array" ref="P1505">_xlfn.XLOOKUP($A1505, 'Hospitalisation Details'!$A:$A, 'Hospitalisation Details'!H:H, "No Data")</f>
        <v>tier - 2</v>
      </c>
    </row>
    <row r="1506">
      <c r="A1506" s="25" t="s">
        <v>4829</v>
      </c>
      <c r="B1506" s="28" t="str">
        <f t="array" ref="B1506">_xlfn.XLOOKUP($A1506, 'Customer Names'!$A:$A, 'Customer Names'!B:B, "No Data")</f>
        <v>Holley</v>
      </c>
      <c r="C1506" s="28">
        <f t="array" ref="C1506">_xlfn.XLOOKUP($A1506, 'Medical Examinations'!$A:$A, 'Medical Examinations'!B:B, "No Data")</f>
        <v>18.75</v>
      </c>
      <c r="D1506" s="28">
        <f t="array" ref="D1506">_xlfn.XLOOKUP($A1506, 'Medical Examinations'!$A:$A, 'Medical Examinations'!C:C, "No Data")</f>
        <v>5.47</v>
      </c>
      <c r="E1506" s="28" t="str">
        <f t="array" ref="E1506">_xlfn.XLOOKUP($A1506, 'Medical Examinations'!$A:$A, 'Medical Examinations'!D:D, "No Data")</f>
        <v>yes</v>
      </c>
      <c r="F1506" s="28" t="str">
        <f t="array" ref="F1506">_xlfn.XLOOKUP($A1506, 'Medical Examinations'!$A:$A, 'Medical Examinations'!E:E, "No Data")</f>
        <v>No</v>
      </c>
      <c r="G1506" s="28" t="str">
        <f t="array" ref="G1506">_xlfn.XLOOKUP($A1506, 'Medical Examinations'!$A:$A, 'Medical Examinations'!F:F, "No Data")</f>
        <v>Yes</v>
      </c>
      <c r="H1506" s="28">
        <f t="array" ref="H1506">_xlfn.XLOOKUP($A1506, 'Medical Examinations'!$A:$A, 'Medical Examinations'!G:G, "No Data")</f>
        <v>1</v>
      </c>
      <c r="I1506" s="28" t="str">
        <f t="array" ref="I1506">_xlfn.XLOOKUP($A1506, 'Medical Examinations'!$A:$A, 'Medical Examinations'!H:H, "No Data")</f>
        <v>No</v>
      </c>
      <c r="J1506" s="28" t="str">
        <f t="array" ref="J1506">_xlfn.XLOOKUP($A1506, 'Medical Examinations'!$A:$A, 'Medical Examinations'!I:I, "No Data")</f>
        <v>Normal Weight</v>
      </c>
      <c r="K1506" s="28" t="str">
        <f t="array" ref="K1506">_xlfn.XLOOKUP($A1506, 'Hospitalisation Details'!$A:$A, 'Hospitalisation Details'!I:I, "No Data")</f>
        <v>tier - 2</v>
      </c>
      <c r="L1506" s="28" t="str">
        <f t="array" ref="L1506">_xlfn.XLOOKUP($A1506, 'Hospitalisation Details'!$A:$A, 'Hospitalisation Details'!J:J, "No Data")</f>
        <v>R1013</v>
      </c>
      <c r="M1506" s="28" t="str">
        <f t="array" ref="M1506">_xlfn.XLOOKUP($A1506, 'Hospitalisation Details'!$A:$A, 'Hospitalisation Details'!E:E, "No Data")</f>
        <v>23/10/69</v>
      </c>
      <c r="N1506" s="28">
        <f t="array" ref="N1506">_xlfn.XLOOKUP($A1506, 'Hospitalisation Details'!$A:$A, 'Hospitalisation Details'!K:K, "No Data")</f>
        <v>53</v>
      </c>
      <c r="O1506" s="33">
        <f t="array" ref="O1506">_xlfn.XLOOKUP($A1506, 'Hospitalisation Details'!$A:$A, 'Hospitalisation Details'!G:G, "No Data")</f>
        <v>6868.39</v>
      </c>
      <c r="P1506" s="28" t="str">
        <f t="array" ref="P1506">_xlfn.XLOOKUP($A1506, 'Hospitalisation Details'!$A:$A, 'Hospitalisation Details'!H:H, "No Data")</f>
        <v>tier - 2</v>
      </c>
    </row>
    <row r="1507">
      <c r="A1507" s="25" t="s">
        <v>4832</v>
      </c>
      <c r="B1507" s="28" t="str">
        <f t="array" ref="B1507">_xlfn.XLOOKUP($A1507, 'Customer Names'!$A:$A, 'Customer Names'!B:B, "No Data")</f>
        <v>Kemble</v>
      </c>
      <c r="C1507" s="28">
        <f t="array" ref="C1507">_xlfn.XLOOKUP($A1507, 'Medical Examinations'!$A:$A, 'Medical Examinations'!B:B, "No Data")</f>
        <v>22.36</v>
      </c>
      <c r="D1507" s="28">
        <f t="array" ref="D1507">_xlfn.XLOOKUP($A1507, 'Medical Examinations'!$A:$A, 'Medical Examinations'!C:C, "No Data")</f>
        <v>8.6</v>
      </c>
      <c r="E1507" s="28" t="str">
        <f t="array" ref="E1507">_xlfn.XLOOKUP($A1507, 'Medical Examinations'!$A:$A, 'Medical Examinations'!D:D, "No Data")</f>
        <v>No</v>
      </c>
      <c r="F1507" s="28" t="str">
        <f t="array" ref="F1507">_xlfn.XLOOKUP($A1507, 'Medical Examinations'!$A:$A, 'Medical Examinations'!E:E, "No Data")</f>
        <v>No</v>
      </c>
      <c r="G1507" s="28" t="str">
        <f t="array" ref="G1507">_xlfn.XLOOKUP($A1507, 'Medical Examinations'!$A:$A, 'Medical Examinations'!F:F, "No Data")</f>
        <v>No</v>
      </c>
      <c r="H1507" s="28">
        <f t="array" ref="H1507">_xlfn.XLOOKUP($A1507, 'Medical Examinations'!$A:$A, 'Medical Examinations'!G:G, "No Data")</f>
        <v>0</v>
      </c>
      <c r="I1507" s="28" t="str">
        <f t="array" ref="I1507">_xlfn.XLOOKUP($A1507, 'Medical Examinations'!$A:$A, 'Medical Examinations'!H:H, "No Data")</f>
        <v>No</v>
      </c>
      <c r="J1507" s="28" t="str">
        <f t="array" ref="J1507">_xlfn.XLOOKUP($A1507, 'Medical Examinations'!$A:$A, 'Medical Examinations'!I:I, "No Data")</f>
        <v>Normal Weight</v>
      </c>
      <c r="K1507" s="28" t="str">
        <f t="array" ref="K1507">_xlfn.XLOOKUP($A1507, 'Hospitalisation Details'!$A:$A, 'Hospitalisation Details'!I:I, "No Data")</f>
        <v>tier - 1</v>
      </c>
      <c r="L1507" s="28" t="str">
        <f t="array" ref="L1507">_xlfn.XLOOKUP($A1507, 'Hospitalisation Details'!$A:$A, 'Hospitalisation Details'!J:J, "No Data")</f>
        <v>R1013</v>
      </c>
      <c r="M1507" s="28" t="str">
        <f t="array" ref="M1507">_xlfn.XLOOKUP($A1507, 'Hospitalisation Details'!$A:$A, 'Hospitalisation Details'!E:E, "No Data")</f>
        <v>05/08/78</v>
      </c>
      <c r="N1507" s="28">
        <f t="array" ref="N1507">_xlfn.XLOOKUP($A1507, 'Hospitalisation Details'!$A:$A, 'Hospitalisation Details'!K:K, "No Data")</f>
        <v>44</v>
      </c>
      <c r="O1507" s="33">
        <f t="array" ref="O1507">_xlfn.XLOOKUP($A1507, 'Hospitalisation Details'!$A:$A, 'Hospitalisation Details'!G:G, "No Data")</f>
        <v>6863.49</v>
      </c>
      <c r="P1507" s="28" t="str">
        <f t="array" ref="P1507">_xlfn.XLOOKUP($A1507, 'Hospitalisation Details'!$A:$A, 'Hospitalisation Details'!H:H, "No Data")</f>
        <v>tier - 2</v>
      </c>
    </row>
    <row r="1508">
      <c r="A1508" s="25" t="s">
        <v>4836</v>
      </c>
      <c r="B1508" s="28" t="str">
        <f t="array" ref="B1508">_xlfn.XLOOKUP($A1508, 'Customer Names'!$A:$A, 'Customer Names'!B:B, "No Data")</f>
        <v>Bentley</v>
      </c>
      <c r="C1508" s="28">
        <f t="array" ref="C1508">_xlfn.XLOOKUP($A1508, 'Medical Examinations'!$A:$A, 'Medical Examinations'!B:B, "No Data")</f>
        <v>23.94</v>
      </c>
      <c r="D1508" s="28">
        <f t="array" ref="D1508">_xlfn.XLOOKUP($A1508, 'Medical Examinations'!$A:$A, 'Medical Examinations'!C:C, "No Data")</f>
        <v>10.74</v>
      </c>
      <c r="E1508" s="28" t="str">
        <f t="array" ref="E1508">_xlfn.XLOOKUP($A1508, 'Medical Examinations'!$A:$A, 'Medical Examinations'!D:D, "No Data")</f>
        <v>yes</v>
      </c>
      <c r="F1508" s="28" t="str">
        <f t="array" ref="F1508">_xlfn.XLOOKUP($A1508, 'Medical Examinations'!$A:$A, 'Medical Examinations'!E:E, "No Data")</f>
        <v>No</v>
      </c>
      <c r="G1508" s="28" t="str">
        <f t="array" ref="G1508">_xlfn.XLOOKUP($A1508, 'Medical Examinations'!$A:$A, 'Medical Examinations'!F:F, "No Data")</f>
        <v>No</v>
      </c>
      <c r="H1508" s="28">
        <f t="array" ref="H1508">_xlfn.XLOOKUP($A1508, 'Medical Examinations'!$A:$A, 'Medical Examinations'!G:G, "No Data")</f>
        <v>0</v>
      </c>
      <c r="I1508" s="28" t="str">
        <f t="array" ref="I1508">_xlfn.XLOOKUP($A1508, 'Medical Examinations'!$A:$A, 'Medical Examinations'!H:H, "No Data")</f>
        <v>No</v>
      </c>
      <c r="J1508" s="28" t="str">
        <f t="array" ref="J1508">_xlfn.XLOOKUP($A1508, 'Medical Examinations'!$A:$A, 'Medical Examinations'!I:I, "No Data")</f>
        <v>Normal Weight</v>
      </c>
      <c r="K1508" s="28" t="str">
        <f t="array" ref="K1508">_xlfn.XLOOKUP($A1508, 'Hospitalisation Details'!$A:$A, 'Hospitalisation Details'!I:I, "No Data")</f>
        <v>tier - 2</v>
      </c>
      <c r="L1508" s="28" t="str">
        <f t="array" ref="L1508">_xlfn.XLOOKUP($A1508, 'Hospitalisation Details'!$A:$A, 'Hospitalisation Details'!J:J, "No Data")</f>
        <v>R1019</v>
      </c>
      <c r="M1508" s="28" t="str">
        <f t="array" ref="M1508">_xlfn.XLOOKUP($A1508, 'Hospitalisation Details'!$A:$A, 'Hospitalisation Details'!E:E, "No Data")</f>
        <v>19/06/81</v>
      </c>
      <c r="N1508" s="28">
        <f t="array" ref="N1508">_xlfn.XLOOKUP($A1508, 'Hospitalisation Details'!$A:$A, 'Hospitalisation Details'!K:K, "No Data")</f>
        <v>41</v>
      </c>
      <c r="O1508" s="33">
        <f t="array" ref="O1508">_xlfn.XLOOKUP($A1508, 'Hospitalisation Details'!$A:$A, 'Hospitalisation Details'!G:G, "No Data")</f>
        <v>6858.48</v>
      </c>
      <c r="P1508" s="28" t="str">
        <f t="array" ref="P1508">_xlfn.XLOOKUP($A1508, 'Hospitalisation Details'!$A:$A, 'Hospitalisation Details'!H:H, "No Data")</f>
        <v>tier - 2</v>
      </c>
    </row>
    <row r="1509">
      <c r="A1509" s="25" t="s">
        <v>4839</v>
      </c>
      <c r="B1509" s="28" t="str">
        <f t="array" ref="B1509">_xlfn.XLOOKUP($A1509, 'Customer Names'!$A:$A, 'Customer Names'!B:B, "No Data")</f>
        <v>Jones</v>
      </c>
      <c r="C1509" s="28">
        <f t="array" ref="C1509">_xlfn.XLOOKUP($A1509, 'Medical Examinations'!$A:$A, 'Medical Examinations'!B:B, "No Data")</f>
        <v>30.1</v>
      </c>
      <c r="D1509" s="28">
        <f t="array" ref="D1509">_xlfn.XLOOKUP($A1509, 'Medical Examinations'!$A:$A, 'Medical Examinations'!C:C, "No Data")</f>
        <v>4.39</v>
      </c>
      <c r="E1509" s="28" t="str">
        <f t="array" ref="E1509">_xlfn.XLOOKUP($A1509, 'Medical Examinations'!$A:$A, 'Medical Examinations'!D:D, "No Data")</f>
        <v>No</v>
      </c>
      <c r="F1509" s="28" t="str">
        <f t="array" ref="F1509">_xlfn.XLOOKUP($A1509, 'Medical Examinations'!$A:$A, 'Medical Examinations'!E:E, "No Data")</f>
        <v>No</v>
      </c>
      <c r="G1509" s="28" t="str">
        <f t="array" ref="G1509">_xlfn.XLOOKUP($A1509, 'Medical Examinations'!$A:$A, 'Medical Examinations'!F:F, "No Data")</f>
        <v>Yes</v>
      </c>
      <c r="H1509" s="28">
        <f t="array" ref="H1509">_xlfn.XLOOKUP($A1509, 'Medical Examinations'!$A:$A, 'Medical Examinations'!G:G, "No Data")</f>
        <v>1</v>
      </c>
      <c r="I1509" s="28" t="str">
        <f t="array" ref="I1509">_xlfn.XLOOKUP($A1509, 'Medical Examinations'!$A:$A, 'Medical Examinations'!H:H, "No Data")</f>
        <v>No</v>
      </c>
      <c r="J1509" s="28" t="str">
        <f t="array" ref="J1509">_xlfn.XLOOKUP($A1509, 'Medical Examinations'!$A:$A, 'Medical Examinations'!I:I, "No Data")</f>
        <v>Obesity</v>
      </c>
      <c r="K1509" s="28" t="str">
        <f t="array" ref="K1509">_xlfn.XLOOKUP($A1509, 'Hospitalisation Details'!$A:$A, 'Hospitalisation Details'!I:I, "No Data")</f>
        <v>tier - 2</v>
      </c>
      <c r="L1509" s="28" t="str">
        <f t="array" ref="L1509">_xlfn.XLOOKUP($A1509, 'Hospitalisation Details'!$A:$A, 'Hospitalisation Details'!J:J, "No Data")</f>
        <v>R1011</v>
      </c>
      <c r="M1509" s="28" t="str">
        <f t="array" ref="M1509">_xlfn.XLOOKUP($A1509, 'Hospitalisation Details'!$A:$A, 'Hospitalisation Details'!E:E, "No Data")</f>
        <v>04/11/79</v>
      </c>
      <c r="N1509" s="28">
        <f t="array" ref="N1509">_xlfn.XLOOKUP($A1509, 'Hospitalisation Details'!$A:$A, 'Hospitalisation Details'!K:K, "No Data")</f>
        <v>43</v>
      </c>
      <c r="O1509" s="33">
        <f t="array" ref="O1509">_xlfn.XLOOKUP($A1509, 'Hospitalisation Details'!$A:$A, 'Hospitalisation Details'!G:G, "No Data")</f>
        <v>6849.03</v>
      </c>
      <c r="P1509" s="28" t="str">
        <f t="array" ref="P1509">_xlfn.XLOOKUP($A1509, 'Hospitalisation Details'!$A:$A, 'Hospitalisation Details'!H:H, "No Data")</f>
        <v>tier - 2</v>
      </c>
    </row>
    <row r="1510">
      <c r="A1510" s="25" t="s">
        <v>4842</v>
      </c>
      <c r="B1510" s="28" t="str">
        <f t="array" ref="B1510">_xlfn.XLOOKUP($A1510, 'Customer Names'!$A:$A, 'Customer Names'!B:B, "No Data")</f>
        <v>Tremblay</v>
      </c>
      <c r="C1510" s="28">
        <f t="array" ref="C1510">_xlfn.XLOOKUP($A1510, 'Medical Examinations'!$A:$A, 'Medical Examinations'!B:B, "No Data")</f>
        <v>21.93</v>
      </c>
      <c r="D1510" s="28">
        <f t="array" ref="D1510">_xlfn.XLOOKUP($A1510, 'Medical Examinations'!$A:$A, 'Medical Examinations'!C:C, "No Data")</f>
        <v>6.3</v>
      </c>
      <c r="E1510" s="28" t="str">
        <f t="array" ref="E1510">_xlfn.XLOOKUP($A1510, 'Medical Examinations'!$A:$A, 'Medical Examinations'!D:D, "No Data")</f>
        <v>No</v>
      </c>
      <c r="F1510" s="28" t="str">
        <f t="array" ref="F1510">_xlfn.XLOOKUP($A1510, 'Medical Examinations'!$A:$A, 'Medical Examinations'!E:E, "No Data")</f>
        <v>No</v>
      </c>
      <c r="G1510" s="28" t="str">
        <f t="array" ref="G1510">_xlfn.XLOOKUP($A1510, 'Medical Examinations'!$A:$A, 'Medical Examinations'!F:F, "No Data")</f>
        <v>No</v>
      </c>
      <c r="H1510" s="28">
        <f t="array" ref="H1510">_xlfn.XLOOKUP($A1510, 'Medical Examinations'!$A:$A, 'Medical Examinations'!G:G, "No Data")</f>
        <v>0</v>
      </c>
      <c r="I1510" s="28" t="str">
        <f t="array" ref="I1510">_xlfn.XLOOKUP($A1510, 'Medical Examinations'!$A:$A, 'Medical Examinations'!H:H, "No Data")</f>
        <v>No</v>
      </c>
      <c r="J1510" s="28" t="str">
        <f t="array" ref="J1510">_xlfn.XLOOKUP($A1510, 'Medical Examinations'!$A:$A, 'Medical Examinations'!I:I, "No Data")</f>
        <v>Normal Weight</v>
      </c>
      <c r="K1510" s="28" t="str">
        <f t="array" ref="K1510">_xlfn.XLOOKUP($A1510, 'Hospitalisation Details'!$A:$A, 'Hospitalisation Details'!I:I, "No Data")</f>
        <v>tier - 1</v>
      </c>
      <c r="L1510" s="28" t="str">
        <f t="array" ref="L1510">_xlfn.XLOOKUP($A1510, 'Hospitalisation Details'!$A:$A, 'Hospitalisation Details'!J:J, "No Data")</f>
        <v>R1013</v>
      </c>
      <c r="M1510" s="28" t="str">
        <f t="array" ref="M1510">_xlfn.XLOOKUP($A1510, 'Hospitalisation Details'!$A:$A, 'Hospitalisation Details'!E:E, "No Data")</f>
        <v>15/06/77</v>
      </c>
      <c r="N1510" s="28">
        <f t="array" ref="N1510">_xlfn.XLOOKUP($A1510, 'Hospitalisation Details'!$A:$A, 'Hospitalisation Details'!K:K, "No Data")</f>
        <v>45</v>
      </c>
      <c r="O1510" s="33">
        <f t="array" ref="O1510">_xlfn.XLOOKUP($A1510, 'Hospitalisation Details'!$A:$A, 'Hospitalisation Details'!G:G, "No Data")</f>
        <v>6843.17</v>
      </c>
      <c r="P1510" s="28" t="str">
        <f t="array" ref="P1510">_xlfn.XLOOKUP($A1510, 'Hospitalisation Details'!$A:$A, 'Hospitalisation Details'!H:H, "No Data")</f>
        <v>tier - 2</v>
      </c>
    </row>
    <row r="1511">
      <c r="A1511" s="25" t="s">
        <v>4845</v>
      </c>
      <c r="B1511" s="28" t="str">
        <f t="array" ref="B1511">_xlfn.XLOOKUP($A1511, 'Customer Names'!$A:$A, 'Customer Names'!B:B, "No Data")</f>
        <v>Bellucci</v>
      </c>
      <c r="C1511" s="28">
        <f t="array" ref="C1511">_xlfn.XLOOKUP($A1511, 'Medical Examinations'!$A:$A, 'Medical Examinations'!B:B, "No Data")</f>
        <v>39.75</v>
      </c>
      <c r="D1511" s="28">
        <f t="array" ref="D1511">_xlfn.XLOOKUP($A1511, 'Medical Examinations'!$A:$A, 'Medical Examinations'!C:C, "No Data")</f>
        <v>5.41</v>
      </c>
      <c r="E1511" s="28" t="str">
        <f t="array" ref="E1511">_xlfn.XLOOKUP($A1511, 'Medical Examinations'!$A:$A, 'Medical Examinations'!D:D, "No Data")</f>
        <v>No</v>
      </c>
      <c r="F1511" s="28" t="str">
        <f t="array" ref="F1511">_xlfn.XLOOKUP($A1511, 'Medical Examinations'!$A:$A, 'Medical Examinations'!E:E, "No Data")</f>
        <v>yes</v>
      </c>
      <c r="G1511" s="28" t="str">
        <f t="array" ref="G1511">_xlfn.XLOOKUP($A1511, 'Medical Examinations'!$A:$A, 'Medical Examinations'!F:F, "No Data")</f>
        <v>No</v>
      </c>
      <c r="H1511" s="28">
        <f t="array" ref="H1511">_xlfn.XLOOKUP($A1511, 'Medical Examinations'!$A:$A, 'Medical Examinations'!G:G, "No Data")</f>
        <v>1</v>
      </c>
      <c r="I1511" s="28" t="str">
        <f t="array" ref="I1511">_xlfn.XLOOKUP($A1511, 'Medical Examinations'!$A:$A, 'Medical Examinations'!H:H, "No Data")</f>
        <v>No</v>
      </c>
      <c r="J1511" s="28" t="str">
        <f t="array" ref="J1511">_xlfn.XLOOKUP($A1511, 'Medical Examinations'!$A:$A, 'Medical Examinations'!I:I, "No Data")</f>
        <v>Obesity</v>
      </c>
      <c r="K1511" s="28" t="str">
        <f t="array" ref="K1511">_xlfn.XLOOKUP($A1511, 'Hospitalisation Details'!$A:$A, 'Hospitalisation Details'!I:I, "No Data")</f>
        <v>tier - 1</v>
      </c>
      <c r="L1511" s="28" t="str">
        <f t="array" ref="L1511">_xlfn.XLOOKUP($A1511, 'Hospitalisation Details'!$A:$A, 'Hospitalisation Details'!J:J, "No Data")</f>
        <v>R1012</v>
      </c>
      <c r="M1511" s="28" t="str">
        <f t="array" ref="M1511">_xlfn.XLOOKUP($A1511, 'Hospitalisation Details'!$A:$A, 'Hospitalisation Details'!E:E, "No Data")</f>
        <v>30/11/00</v>
      </c>
      <c r="N1511" s="28">
        <f t="array" ref="N1511">_xlfn.XLOOKUP($A1511, 'Hospitalisation Details'!$A:$A, 'Hospitalisation Details'!K:K, "No Data")</f>
        <v>22</v>
      </c>
      <c r="O1511" s="33">
        <f t="array" ref="O1511">_xlfn.XLOOKUP($A1511, 'Hospitalisation Details'!$A:$A, 'Hospitalisation Details'!G:G, "No Data")</f>
        <v>6842.28</v>
      </c>
      <c r="P1511" s="28" t="str">
        <f t="array" ref="P1511">_xlfn.XLOOKUP($A1511, 'Hospitalisation Details'!$A:$A, 'Hospitalisation Details'!H:H, "No Data")</f>
        <v>tier - 2</v>
      </c>
    </row>
    <row r="1512">
      <c r="A1512" s="25" t="s">
        <v>4849</v>
      </c>
      <c r="B1512" s="28" t="str">
        <f t="array" ref="B1512">_xlfn.XLOOKUP($A1512, 'Customer Names'!$A:$A, 'Customer Names'!B:B, "No Data")</f>
        <v>Collins</v>
      </c>
      <c r="C1512" s="28">
        <f t="array" ref="C1512">_xlfn.XLOOKUP($A1512, 'Medical Examinations'!$A:$A, 'Medical Examinations'!B:B, "No Data")</f>
        <v>26.03</v>
      </c>
      <c r="D1512" s="28">
        <f t="array" ref="D1512">_xlfn.XLOOKUP($A1512, 'Medical Examinations'!$A:$A, 'Medical Examinations'!C:C, "No Data")</f>
        <v>4.47</v>
      </c>
      <c r="E1512" s="28" t="str">
        <f t="array" ref="E1512">_xlfn.XLOOKUP($A1512, 'Medical Examinations'!$A:$A, 'Medical Examinations'!D:D, "No Data")</f>
        <v>No</v>
      </c>
      <c r="F1512" s="28" t="str">
        <f t="array" ref="F1512">_xlfn.XLOOKUP($A1512, 'Medical Examinations'!$A:$A, 'Medical Examinations'!E:E, "No Data")</f>
        <v>No</v>
      </c>
      <c r="G1512" s="28" t="str">
        <f t="array" ref="G1512">_xlfn.XLOOKUP($A1512, 'Medical Examinations'!$A:$A, 'Medical Examinations'!F:F, "No Data")</f>
        <v>Yes</v>
      </c>
      <c r="H1512" s="28">
        <f t="array" ref="H1512">_xlfn.XLOOKUP($A1512, 'Medical Examinations'!$A:$A, 'Medical Examinations'!G:G, "No Data")</f>
        <v>1</v>
      </c>
      <c r="I1512" s="28" t="str">
        <f t="array" ref="I1512">_xlfn.XLOOKUP($A1512, 'Medical Examinations'!$A:$A, 'Medical Examinations'!H:H, "No Data")</f>
        <v>No</v>
      </c>
      <c r="J1512" s="28" t="str">
        <f t="array" ref="J1512">_xlfn.XLOOKUP($A1512, 'Medical Examinations'!$A:$A, 'Medical Examinations'!I:I, "No Data")</f>
        <v>Overweight</v>
      </c>
      <c r="K1512" s="28" t="str">
        <f t="array" ref="K1512">_xlfn.XLOOKUP($A1512, 'Hospitalisation Details'!$A:$A, 'Hospitalisation Details'!I:I, "No Data")</f>
        <v>tier - 1</v>
      </c>
      <c r="L1512" s="28" t="str">
        <f t="array" ref="L1512">_xlfn.XLOOKUP($A1512, 'Hospitalisation Details'!$A:$A, 'Hospitalisation Details'!J:J, "No Data")</f>
        <v>R1016</v>
      </c>
      <c r="M1512" s="28" t="str">
        <f t="array" ref="M1512">_xlfn.XLOOKUP($A1512, 'Hospitalisation Details'!$A:$A, 'Hospitalisation Details'!E:E, "No Data")</f>
        <v>15/07/79</v>
      </c>
      <c r="N1512" s="28">
        <f t="array" ref="N1512">_xlfn.XLOOKUP($A1512, 'Hospitalisation Details'!$A:$A, 'Hospitalisation Details'!K:K, "No Data")</f>
        <v>43</v>
      </c>
      <c r="O1512" s="33">
        <f t="array" ref="O1512">_xlfn.XLOOKUP($A1512, 'Hospitalisation Details'!$A:$A, 'Hospitalisation Details'!G:G, "No Data")</f>
        <v>6837.37</v>
      </c>
      <c r="P1512" s="28" t="str">
        <f t="array" ref="P1512">_xlfn.XLOOKUP($A1512, 'Hospitalisation Details'!$A:$A, 'Hospitalisation Details'!H:H, "No Data")</f>
        <v>tier - 3</v>
      </c>
    </row>
    <row r="1513">
      <c r="A1513" s="25" t="s">
        <v>4852</v>
      </c>
      <c r="B1513" s="28" t="str">
        <f t="array" ref="B1513">_xlfn.XLOOKUP($A1513, 'Customer Names'!$A:$A, 'Customer Names'!B:B, "No Data")</f>
        <v>Gillman</v>
      </c>
      <c r="C1513" s="28">
        <f t="array" ref="C1513">_xlfn.XLOOKUP($A1513, 'Medical Examinations'!$A:$A, 'Medical Examinations'!B:B, "No Data")</f>
        <v>34.51</v>
      </c>
      <c r="D1513" s="28">
        <f t="array" ref="D1513">_xlfn.XLOOKUP($A1513, 'Medical Examinations'!$A:$A, 'Medical Examinations'!C:C, "No Data")</f>
        <v>6.26</v>
      </c>
      <c r="E1513" s="28" t="str">
        <f t="array" ref="E1513">_xlfn.XLOOKUP($A1513, 'Medical Examinations'!$A:$A, 'Medical Examinations'!D:D, "No Data")</f>
        <v>No</v>
      </c>
      <c r="F1513" s="28" t="str">
        <f t="array" ref="F1513">_xlfn.XLOOKUP($A1513, 'Medical Examinations'!$A:$A, 'Medical Examinations'!E:E, "No Data")</f>
        <v>No</v>
      </c>
      <c r="G1513" s="28" t="str">
        <f t="array" ref="G1513">_xlfn.XLOOKUP($A1513, 'Medical Examinations'!$A:$A, 'Medical Examinations'!F:F, "No Data")</f>
        <v>No</v>
      </c>
      <c r="H1513" s="28">
        <f t="array" ref="H1513">_xlfn.XLOOKUP($A1513, 'Medical Examinations'!$A:$A, 'Medical Examinations'!G:G, "No Data")</f>
        <v>0</v>
      </c>
      <c r="I1513" s="28" t="str">
        <f t="array" ref="I1513">_xlfn.XLOOKUP($A1513, 'Medical Examinations'!$A:$A, 'Medical Examinations'!H:H, "No Data")</f>
        <v>No</v>
      </c>
      <c r="J1513" s="28" t="str">
        <f t="array" ref="J1513">_xlfn.XLOOKUP($A1513, 'Medical Examinations'!$A:$A, 'Medical Examinations'!I:I, "No Data")</f>
        <v>Obesity</v>
      </c>
      <c r="K1513" s="28" t="str">
        <f t="array" ref="K1513">_xlfn.XLOOKUP($A1513, 'Hospitalisation Details'!$A:$A, 'Hospitalisation Details'!I:I, "No Data")</f>
        <v>tier - 2</v>
      </c>
      <c r="L1513" s="28" t="str">
        <f t="array" ref="L1513">_xlfn.XLOOKUP($A1513, 'Hospitalisation Details'!$A:$A, 'Hospitalisation Details'!J:J, "No Data")</f>
        <v>R1021</v>
      </c>
      <c r="M1513" s="28" t="str">
        <f t="array" ref="M1513">_xlfn.XLOOKUP($A1513, 'Hospitalisation Details'!$A:$A, 'Hospitalisation Details'!E:E, "No Data")</f>
        <v>08/07/94</v>
      </c>
      <c r="N1513" s="28">
        <f t="array" ref="N1513">_xlfn.XLOOKUP($A1513, 'Hospitalisation Details'!$A:$A, 'Hospitalisation Details'!K:K, "No Data")</f>
        <v>28</v>
      </c>
      <c r="O1513" s="33">
        <f t="array" ref="O1513">_xlfn.XLOOKUP($A1513, 'Hospitalisation Details'!$A:$A, 'Hospitalisation Details'!G:G, "No Data")</f>
        <v>6827.69</v>
      </c>
      <c r="P1513" s="28" t="str">
        <f t="array" ref="P1513">_xlfn.XLOOKUP($A1513, 'Hospitalisation Details'!$A:$A, 'Hospitalisation Details'!H:H, "No Data")</f>
        <v>tier - 2</v>
      </c>
    </row>
    <row r="1514">
      <c r="A1514" s="25" t="s">
        <v>4856</v>
      </c>
      <c r="B1514" s="28" t="str">
        <f t="array" ref="B1514">_xlfn.XLOOKUP($A1514, 'Customer Names'!$A:$A, 'Customer Names'!B:B, "No Data")</f>
        <v>West</v>
      </c>
      <c r="C1514" s="28">
        <f t="array" ref="C1514">_xlfn.XLOOKUP($A1514, 'Medical Examinations'!$A:$A, 'Medical Examinations'!B:B, "No Data")</f>
        <v>19.32</v>
      </c>
      <c r="D1514" s="28">
        <f t="array" ref="D1514">_xlfn.XLOOKUP($A1514, 'Medical Examinations'!$A:$A, 'Medical Examinations'!C:C, "No Data")</f>
        <v>11.58</v>
      </c>
      <c r="E1514" s="28" t="str">
        <f t="array" ref="E1514">_xlfn.XLOOKUP($A1514, 'Medical Examinations'!$A:$A, 'Medical Examinations'!D:D, "No Data")</f>
        <v>yes</v>
      </c>
      <c r="F1514" s="28" t="str">
        <f t="array" ref="F1514">_xlfn.XLOOKUP($A1514, 'Medical Examinations'!$A:$A, 'Medical Examinations'!E:E, "No Data")</f>
        <v>No</v>
      </c>
      <c r="G1514" s="28" t="str">
        <f t="array" ref="G1514">_xlfn.XLOOKUP($A1514, 'Medical Examinations'!$A:$A, 'Medical Examinations'!F:F, "No Data")</f>
        <v>No</v>
      </c>
      <c r="H1514" s="28">
        <f t="array" ref="H1514">_xlfn.XLOOKUP($A1514, 'Medical Examinations'!$A:$A, 'Medical Examinations'!G:G, "No Data")</f>
        <v>1</v>
      </c>
      <c r="I1514" s="28" t="str">
        <f t="array" ref="I1514">_xlfn.XLOOKUP($A1514, 'Medical Examinations'!$A:$A, 'Medical Examinations'!H:H, "No Data")</f>
        <v>No</v>
      </c>
      <c r="J1514" s="28" t="str">
        <f t="array" ref="J1514">_xlfn.XLOOKUP($A1514, 'Medical Examinations'!$A:$A, 'Medical Examinations'!I:I, "No Data")</f>
        <v>Normal Weight</v>
      </c>
      <c r="K1514" s="28" t="str">
        <f t="array" ref="K1514">_xlfn.XLOOKUP($A1514, 'Hospitalisation Details'!$A:$A, 'Hospitalisation Details'!I:I, "No Data")</f>
        <v>tier - 1</v>
      </c>
      <c r="L1514" s="28" t="str">
        <f t="array" ref="L1514">_xlfn.XLOOKUP($A1514, 'Hospitalisation Details'!$A:$A, 'Hospitalisation Details'!J:J, "No Data")</f>
        <v>R1012</v>
      </c>
      <c r="M1514" s="28" t="str">
        <f t="array" ref="M1514">_xlfn.XLOOKUP($A1514, 'Hospitalisation Details'!$A:$A, 'Hospitalisation Details'!E:E, "No Data")</f>
        <v>17/08/75</v>
      </c>
      <c r="N1514" s="28">
        <f t="array" ref="N1514">_xlfn.XLOOKUP($A1514, 'Hospitalisation Details'!$A:$A, 'Hospitalisation Details'!K:K, "No Data")</f>
        <v>47</v>
      </c>
      <c r="O1514" s="33">
        <f t="array" ref="O1514">_xlfn.XLOOKUP($A1514, 'Hospitalisation Details'!$A:$A, 'Hospitalisation Details'!G:G, "No Data")</f>
        <v>6809.46</v>
      </c>
      <c r="P1514" s="28" t="str">
        <f t="array" ref="P1514">_xlfn.XLOOKUP($A1514, 'Hospitalisation Details'!$A:$A, 'Hospitalisation Details'!H:H, "No Data")</f>
        <v>tier - 2</v>
      </c>
    </row>
    <row r="1515">
      <c r="A1515" s="25" t="s">
        <v>4859</v>
      </c>
      <c r="B1515" s="28" t="str">
        <f t="array" ref="B1515">_xlfn.XLOOKUP($A1515, 'Customer Names'!$A:$A, 'Customer Names'!B:B, "No Data")</f>
        <v>Chida</v>
      </c>
      <c r="C1515" s="28">
        <f t="array" ref="C1515">_xlfn.XLOOKUP($A1515, 'Medical Examinations'!$A:$A, 'Medical Examinations'!B:B, "No Data")</f>
        <v>28.5</v>
      </c>
      <c r="D1515" s="28">
        <f t="array" ref="D1515">_xlfn.XLOOKUP($A1515, 'Medical Examinations'!$A:$A, 'Medical Examinations'!C:C, "No Data")</f>
        <v>4.36</v>
      </c>
      <c r="E1515" s="28" t="str">
        <f t="array" ref="E1515">_xlfn.XLOOKUP($A1515, 'Medical Examinations'!$A:$A, 'Medical Examinations'!D:D, "No Data")</f>
        <v>No</v>
      </c>
      <c r="F1515" s="28" t="str">
        <f t="array" ref="F1515">_xlfn.XLOOKUP($A1515, 'Medical Examinations'!$A:$A, 'Medical Examinations'!E:E, "No Data")</f>
        <v>No</v>
      </c>
      <c r="G1515" s="28" t="str">
        <f t="array" ref="G1515">_xlfn.XLOOKUP($A1515, 'Medical Examinations'!$A:$A, 'Medical Examinations'!F:F, "No Data")</f>
        <v>No</v>
      </c>
      <c r="H1515" s="28">
        <f t="array" ref="H1515">_xlfn.XLOOKUP($A1515, 'Medical Examinations'!$A:$A, 'Medical Examinations'!G:G, "No Data")</f>
        <v>0</v>
      </c>
      <c r="I1515" s="28" t="str">
        <f t="array" ref="I1515">_xlfn.XLOOKUP($A1515, 'Medical Examinations'!$A:$A, 'Medical Examinations'!H:H, "No Data")</f>
        <v>No</v>
      </c>
      <c r="J1515" s="28" t="str">
        <f t="array" ref="J1515">_xlfn.XLOOKUP($A1515, 'Medical Examinations'!$A:$A, 'Medical Examinations'!I:I, "No Data")</f>
        <v>Overweight</v>
      </c>
      <c r="K1515" s="28" t="str">
        <f t="array" ref="K1515">_xlfn.XLOOKUP($A1515, 'Hospitalisation Details'!$A:$A, 'Hospitalisation Details'!I:I, "No Data")</f>
        <v>tier - 2</v>
      </c>
      <c r="L1515" s="28" t="str">
        <f t="array" ref="L1515">_xlfn.XLOOKUP($A1515, 'Hospitalisation Details'!$A:$A, 'Hospitalisation Details'!J:J, "No Data")</f>
        <v>R1014</v>
      </c>
      <c r="M1515" s="28" t="str">
        <f t="array" ref="M1515">_xlfn.XLOOKUP($A1515, 'Hospitalisation Details'!$A:$A, 'Hospitalisation Details'!E:E, "No Data")</f>
        <v>29/06/91</v>
      </c>
      <c r="N1515" s="28">
        <f t="array" ref="N1515">_xlfn.XLOOKUP($A1515, 'Hospitalisation Details'!$A:$A, 'Hospitalisation Details'!K:K, "No Data")</f>
        <v>31</v>
      </c>
      <c r="O1515" s="33">
        <f t="array" ref="O1515">_xlfn.XLOOKUP($A1515, 'Hospitalisation Details'!$A:$A, 'Hospitalisation Details'!G:G, "No Data")</f>
        <v>6799.46</v>
      </c>
      <c r="P1515" s="28" t="str">
        <f t="array" ref="P1515">_xlfn.XLOOKUP($A1515, 'Hospitalisation Details'!$A:$A, 'Hospitalisation Details'!H:H, "No Data")</f>
        <v>tier - 1</v>
      </c>
    </row>
    <row r="1516">
      <c r="A1516" s="25" t="s">
        <v>4863</v>
      </c>
      <c r="B1516" s="28" t="str">
        <f t="array" ref="B1516">_xlfn.XLOOKUP($A1516, 'Customer Names'!$A:$A, 'Customer Names'!B:B, "No Data")</f>
        <v>Reisenauer</v>
      </c>
      <c r="C1516" s="28">
        <f t="array" ref="C1516">_xlfn.XLOOKUP($A1516, 'Medical Examinations'!$A:$A, 'Medical Examinations'!B:B, "No Data")</f>
        <v>30.875</v>
      </c>
      <c r="D1516" s="28">
        <f t="array" ref="D1516">_xlfn.XLOOKUP($A1516, 'Medical Examinations'!$A:$A, 'Medical Examinations'!C:C, "No Data")</f>
        <v>4.14</v>
      </c>
      <c r="E1516" s="28" t="str">
        <f t="array" ref="E1516">_xlfn.XLOOKUP($A1516, 'Medical Examinations'!$A:$A, 'Medical Examinations'!D:D, "No Data")</f>
        <v>yes</v>
      </c>
      <c r="F1516" s="28" t="str">
        <f t="array" ref="F1516">_xlfn.XLOOKUP($A1516, 'Medical Examinations'!$A:$A, 'Medical Examinations'!E:E, "No Data")</f>
        <v>No</v>
      </c>
      <c r="G1516" s="28" t="str">
        <f t="array" ref="G1516">_xlfn.XLOOKUP($A1516, 'Medical Examinations'!$A:$A, 'Medical Examinations'!F:F, "No Data")</f>
        <v>No</v>
      </c>
      <c r="H1516" s="28">
        <f t="array" ref="H1516">_xlfn.XLOOKUP($A1516, 'Medical Examinations'!$A:$A, 'Medical Examinations'!G:G, "No Data")</f>
        <v>0</v>
      </c>
      <c r="I1516" s="28" t="str">
        <f t="array" ref="I1516">_xlfn.XLOOKUP($A1516, 'Medical Examinations'!$A:$A, 'Medical Examinations'!H:H, "No Data")</f>
        <v>No</v>
      </c>
      <c r="J1516" s="28" t="str">
        <f t="array" ref="J1516">_xlfn.XLOOKUP($A1516, 'Medical Examinations'!$A:$A, 'Medical Examinations'!I:I, "No Data")</f>
        <v>Obesity</v>
      </c>
      <c r="K1516" s="28" t="str">
        <f t="array" ref="K1516">_xlfn.XLOOKUP($A1516, 'Hospitalisation Details'!$A:$A, 'Hospitalisation Details'!I:I, "No Data")</f>
        <v>tier - 3</v>
      </c>
      <c r="L1516" s="28" t="str">
        <f t="array" ref="L1516">_xlfn.XLOOKUP($A1516, 'Hospitalisation Details'!$A:$A, 'Hospitalisation Details'!J:J, "No Data")</f>
        <v>R1012</v>
      </c>
      <c r="M1516" s="28" t="str">
        <f t="array" ref="M1516">_xlfn.XLOOKUP($A1516, 'Hospitalisation Details'!$A:$A, 'Hospitalisation Details'!E:E, "No Data")</f>
        <v>24/12/85</v>
      </c>
      <c r="N1516" s="28">
        <f t="array" ref="N1516">_xlfn.XLOOKUP($A1516, 'Hospitalisation Details'!$A:$A, 'Hospitalisation Details'!K:K, "No Data")</f>
        <v>37</v>
      </c>
      <c r="O1516" s="33">
        <f t="array" ref="O1516">_xlfn.XLOOKUP($A1516, 'Hospitalisation Details'!$A:$A, 'Hospitalisation Details'!G:G, "No Data")</f>
        <v>6796.86</v>
      </c>
      <c r="P1516" s="28" t="str">
        <f t="array" ref="P1516">_xlfn.XLOOKUP($A1516, 'Hospitalisation Details'!$A:$A, 'Hospitalisation Details'!H:H, "No Data")</f>
        <v>tier - 3</v>
      </c>
    </row>
    <row r="1517">
      <c r="A1517" s="25" t="s">
        <v>4866</v>
      </c>
      <c r="B1517" s="28" t="str">
        <f t="array" ref="B1517">_xlfn.XLOOKUP($A1517, 'Customer Names'!$A:$A, 'Customer Names'!B:B, "No Data")</f>
        <v>Rosenberg-Wohl</v>
      </c>
      <c r="C1517" s="28">
        <f t="array" ref="C1517">_xlfn.XLOOKUP($A1517, 'Medical Examinations'!$A:$A, 'Medical Examinations'!B:B, "No Data")</f>
        <v>24.02</v>
      </c>
      <c r="D1517" s="28">
        <f t="array" ref="D1517">_xlfn.XLOOKUP($A1517, 'Medical Examinations'!$A:$A, 'Medical Examinations'!C:C, "No Data")</f>
        <v>4.38</v>
      </c>
      <c r="E1517" s="28" t="str">
        <f t="array" ref="E1517">_xlfn.XLOOKUP($A1517, 'Medical Examinations'!$A:$A, 'Medical Examinations'!D:D, "No Data")</f>
        <v>No</v>
      </c>
      <c r="F1517" s="28" t="str">
        <f t="array" ref="F1517">_xlfn.XLOOKUP($A1517, 'Medical Examinations'!$A:$A, 'Medical Examinations'!E:E, "No Data")</f>
        <v>No</v>
      </c>
      <c r="G1517" s="28" t="str">
        <f t="array" ref="G1517">_xlfn.XLOOKUP($A1517, 'Medical Examinations'!$A:$A, 'Medical Examinations'!F:F, "No Data")</f>
        <v>No</v>
      </c>
      <c r="H1517" s="28">
        <f t="array" ref="H1517">_xlfn.XLOOKUP($A1517, 'Medical Examinations'!$A:$A, 'Medical Examinations'!G:G, "No Data")</f>
        <v>0</v>
      </c>
      <c r="I1517" s="28" t="str">
        <f t="array" ref="I1517">_xlfn.XLOOKUP($A1517, 'Medical Examinations'!$A:$A, 'Medical Examinations'!H:H, "No Data")</f>
        <v>No</v>
      </c>
      <c r="J1517" s="28" t="str">
        <f t="array" ref="J1517">_xlfn.XLOOKUP($A1517, 'Medical Examinations'!$A:$A, 'Medical Examinations'!I:I, "No Data")</f>
        <v>Normal Weight</v>
      </c>
      <c r="K1517" s="28" t="str">
        <f t="array" ref="K1517">_xlfn.XLOOKUP($A1517, 'Hospitalisation Details'!$A:$A, 'Hospitalisation Details'!I:I, "No Data")</f>
        <v>tier - 2</v>
      </c>
      <c r="L1517" s="28" t="str">
        <f t="array" ref="L1517">_xlfn.XLOOKUP($A1517, 'Hospitalisation Details'!$A:$A, 'Hospitalisation Details'!J:J, "No Data")</f>
        <v>R1013</v>
      </c>
      <c r="M1517" s="28" t="str">
        <f t="array" ref="M1517">_xlfn.XLOOKUP($A1517, 'Hospitalisation Details'!$A:$A, 'Hospitalisation Details'!E:E, "No Data")</f>
        <v>23/11/80</v>
      </c>
      <c r="N1517" s="28">
        <f t="array" ref="N1517">_xlfn.XLOOKUP($A1517, 'Hospitalisation Details'!$A:$A, 'Hospitalisation Details'!K:K, "No Data")</f>
        <v>42</v>
      </c>
      <c r="O1517" s="33">
        <f t="array" ref="O1517">_xlfn.XLOOKUP($A1517, 'Hospitalisation Details'!$A:$A, 'Hospitalisation Details'!G:G, "No Data")</f>
        <v>6781.52</v>
      </c>
      <c r="P1517" s="28" t="str">
        <f t="array" ref="P1517">_xlfn.XLOOKUP($A1517, 'Hospitalisation Details'!$A:$A, 'Hospitalisation Details'!H:H, "No Data")</f>
        <v>tier - 2</v>
      </c>
    </row>
    <row r="1518">
      <c r="A1518" s="25" t="s">
        <v>4870</v>
      </c>
      <c r="B1518" s="28" t="str">
        <f t="array" ref="B1518">_xlfn.XLOOKUP($A1518, 'Customer Names'!$A:$A, 'Customer Names'!B:B, "No Data")</f>
        <v>Theriault</v>
      </c>
      <c r="C1518" s="28">
        <f t="array" ref="C1518">_xlfn.XLOOKUP($A1518, 'Medical Examinations'!$A:$A, 'Medical Examinations'!B:B, "No Data")</f>
        <v>36.08</v>
      </c>
      <c r="D1518" s="28">
        <f t="array" ref="D1518">_xlfn.XLOOKUP($A1518, 'Medical Examinations'!$A:$A, 'Medical Examinations'!C:C, "No Data")</f>
        <v>11.61</v>
      </c>
      <c r="E1518" s="28" t="str">
        <f t="array" ref="E1518">_xlfn.XLOOKUP($A1518, 'Medical Examinations'!$A:$A, 'Medical Examinations'!D:D, "No Data")</f>
        <v>yes</v>
      </c>
      <c r="F1518" s="28" t="str">
        <f t="array" ref="F1518">_xlfn.XLOOKUP($A1518, 'Medical Examinations'!$A:$A, 'Medical Examinations'!E:E, "No Data")</f>
        <v>No</v>
      </c>
      <c r="G1518" s="28" t="str">
        <f t="array" ref="G1518">_xlfn.XLOOKUP($A1518, 'Medical Examinations'!$A:$A, 'Medical Examinations'!F:F, "No Data")</f>
        <v>No</v>
      </c>
      <c r="H1518" s="28">
        <f t="array" ref="H1518">_xlfn.XLOOKUP($A1518, 'Medical Examinations'!$A:$A, 'Medical Examinations'!G:G, "No Data")</f>
        <v>0</v>
      </c>
      <c r="I1518" s="28" t="str">
        <f t="array" ref="I1518">_xlfn.XLOOKUP($A1518, 'Medical Examinations'!$A:$A, 'Medical Examinations'!H:H, "No Data")</f>
        <v>No</v>
      </c>
      <c r="J1518" s="28" t="str">
        <f t="array" ref="J1518">_xlfn.XLOOKUP($A1518, 'Medical Examinations'!$A:$A, 'Medical Examinations'!I:I, "No Data")</f>
        <v>Obesity</v>
      </c>
      <c r="K1518" s="28" t="str">
        <f t="array" ref="K1518">_xlfn.XLOOKUP($A1518, 'Hospitalisation Details'!$A:$A, 'Hospitalisation Details'!I:I, "No Data")</f>
        <v>tier - 1</v>
      </c>
      <c r="L1518" s="28" t="str">
        <f t="array" ref="L1518">_xlfn.XLOOKUP($A1518, 'Hospitalisation Details'!$A:$A, 'Hospitalisation Details'!J:J, "No Data")</f>
        <v>R1013</v>
      </c>
      <c r="M1518" s="28" t="str">
        <f t="array" ref="M1518">_xlfn.XLOOKUP($A1518, 'Hospitalisation Details'!$A:$A, 'Hospitalisation Details'!E:E, "No Data")</f>
        <v>08/10/81</v>
      </c>
      <c r="N1518" s="28">
        <f t="array" ref="N1518">_xlfn.XLOOKUP($A1518, 'Hospitalisation Details'!$A:$A, 'Hospitalisation Details'!K:K, "No Data")</f>
        <v>41</v>
      </c>
      <c r="O1518" s="33">
        <f t="array" ref="O1518">_xlfn.XLOOKUP($A1518, 'Hospitalisation Details'!$A:$A, 'Hospitalisation Details'!G:G, "No Data")</f>
        <v>6781.35</v>
      </c>
      <c r="P1518" s="28" t="str">
        <f t="array" ref="P1518">_xlfn.XLOOKUP($A1518, 'Hospitalisation Details'!$A:$A, 'Hospitalisation Details'!H:H, "No Data")</f>
        <v>tier - 2</v>
      </c>
    </row>
    <row r="1519">
      <c r="A1519" s="25" t="s">
        <v>4874</v>
      </c>
      <c r="B1519" s="28" t="str">
        <f t="array" ref="B1519">_xlfn.XLOOKUP($A1519, 'Customer Names'!$A:$A, 'Customer Names'!B:B, "No Data")</f>
        <v>Manuel</v>
      </c>
      <c r="C1519" s="28">
        <f t="array" ref="C1519">_xlfn.XLOOKUP($A1519, 'Medical Examinations'!$A:$A, 'Medical Examinations'!B:B, "No Data")</f>
        <v>32.2</v>
      </c>
      <c r="D1519" s="28">
        <f t="array" ref="D1519">_xlfn.XLOOKUP($A1519, 'Medical Examinations'!$A:$A, 'Medical Examinations'!C:C, "No Data")</f>
        <v>10.59</v>
      </c>
      <c r="E1519" s="28" t="str">
        <f t="array" ref="E1519">_xlfn.XLOOKUP($A1519, 'Medical Examinations'!$A:$A, 'Medical Examinations'!D:D, "No Data")</f>
        <v>yes</v>
      </c>
      <c r="F1519" s="28" t="str">
        <f t="array" ref="F1519">_xlfn.XLOOKUP($A1519, 'Medical Examinations'!$A:$A, 'Medical Examinations'!E:E, "No Data")</f>
        <v>No</v>
      </c>
      <c r="G1519" s="28" t="str">
        <f t="array" ref="G1519">_xlfn.XLOOKUP($A1519, 'Medical Examinations'!$A:$A, 'Medical Examinations'!F:F, "No Data")</f>
        <v>No</v>
      </c>
      <c r="H1519" s="28">
        <f t="array" ref="H1519">_xlfn.XLOOKUP($A1519, 'Medical Examinations'!$A:$A, 'Medical Examinations'!G:G, "No Data")</f>
        <v>0</v>
      </c>
      <c r="I1519" s="28" t="str">
        <f t="array" ref="I1519">_xlfn.XLOOKUP($A1519, 'Medical Examinations'!$A:$A, 'Medical Examinations'!H:H, "No Data")</f>
        <v>No</v>
      </c>
      <c r="J1519" s="28" t="str">
        <f t="array" ref="J1519">_xlfn.XLOOKUP($A1519, 'Medical Examinations'!$A:$A, 'Medical Examinations'!I:I, "No Data")</f>
        <v>Obesity</v>
      </c>
      <c r="K1519" s="28" t="str">
        <f t="array" ref="K1519">_xlfn.XLOOKUP($A1519, 'Hospitalisation Details'!$A:$A, 'Hospitalisation Details'!I:I, "No Data")</f>
        <v>tier - 3</v>
      </c>
      <c r="L1519" s="28" t="str">
        <f t="array" ref="L1519">_xlfn.XLOOKUP($A1519, 'Hospitalisation Details'!$A:$A, 'Hospitalisation Details'!J:J, "No Data")</f>
        <v>R1011</v>
      </c>
      <c r="M1519" s="28" t="str">
        <f t="array" ref="M1519">_xlfn.XLOOKUP($A1519, 'Hospitalisation Details'!$A:$A, 'Hospitalisation Details'!E:E, "No Data")</f>
        <v>03/09/81</v>
      </c>
      <c r="N1519" s="28">
        <f t="array" ref="N1519">_xlfn.XLOOKUP($A1519, 'Hospitalisation Details'!$A:$A, 'Hospitalisation Details'!K:K, "No Data")</f>
        <v>41</v>
      </c>
      <c r="O1519" s="33">
        <f t="array" ref="O1519">_xlfn.XLOOKUP($A1519, 'Hospitalisation Details'!$A:$A, 'Hospitalisation Details'!G:G, "No Data")</f>
        <v>6775.96</v>
      </c>
      <c r="P1519" s="28" t="str">
        <f t="array" ref="P1519">_xlfn.XLOOKUP($A1519, 'Hospitalisation Details'!$A:$A, 'Hospitalisation Details'!H:H, "No Data")</f>
        <v>tier - 2</v>
      </c>
    </row>
    <row r="1520">
      <c r="A1520" s="25" t="s">
        <v>4876</v>
      </c>
      <c r="B1520" s="28" t="str">
        <f t="array" ref="B1520">_xlfn.XLOOKUP($A1520, 'Customer Names'!$A:$A, 'Customer Names'!B:B, "No Data")</f>
        <v>Demko</v>
      </c>
      <c r="C1520" s="28">
        <f t="array" ref="C1520">_xlfn.XLOOKUP($A1520, 'Medical Examinations'!$A:$A, 'Medical Examinations'!B:B, "No Data")</f>
        <v>28.05</v>
      </c>
      <c r="D1520" s="28">
        <f t="array" ref="D1520">_xlfn.XLOOKUP($A1520, 'Medical Examinations'!$A:$A, 'Medical Examinations'!C:C, "No Data")</f>
        <v>11.85</v>
      </c>
      <c r="E1520" s="28" t="str">
        <f t="array" ref="E1520">_xlfn.XLOOKUP($A1520, 'Medical Examinations'!$A:$A, 'Medical Examinations'!D:D, "No Data")</f>
        <v>yes</v>
      </c>
      <c r="F1520" s="28" t="str">
        <f t="array" ref="F1520">_xlfn.XLOOKUP($A1520, 'Medical Examinations'!$A:$A, 'Medical Examinations'!E:E, "No Data")</f>
        <v>No</v>
      </c>
      <c r="G1520" s="28" t="str">
        <f t="array" ref="G1520">_xlfn.XLOOKUP($A1520, 'Medical Examinations'!$A:$A, 'Medical Examinations'!F:F, "No Data")</f>
        <v>No</v>
      </c>
      <c r="H1520" s="28">
        <f t="array" ref="H1520">_xlfn.XLOOKUP($A1520, 'Medical Examinations'!$A:$A, 'Medical Examinations'!G:G, "No Data")</f>
        <v>0</v>
      </c>
      <c r="I1520" s="28" t="str">
        <f t="array" ref="I1520">_xlfn.XLOOKUP($A1520, 'Medical Examinations'!$A:$A, 'Medical Examinations'!H:H, "No Data")</f>
        <v>No</v>
      </c>
      <c r="J1520" s="28" t="str">
        <f t="array" ref="J1520">_xlfn.XLOOKUP($A1520, 'Medical Examinations'!$A:$A, 'Medical Examinations'!I:I, "No Data")</f>
        <v>Overweight</v>
      </c>
      <c r="K1520" s="28" t="str">
        <f t="array" ref="K1520">_xlfn.XLOOKUP($A1520, 'Hospitalisation Details'!$A:$A, 'Hospitalisation Details'!I:I, "No Data")</f>
        <v>tier - 3</v>
      </c>
      <c r="L1520" s="28" t="str">
        <f t="array" ref="L1520">_xlfn.XLOOKUP($A1520, 'Hospitalisation Details'!$A:$A, 'Hospitalisation Details'!J:J, "No Data")</f>
        <v>R1013</v>
      </c>
      <c r="M1520" s="28" t="str">
        <f t="array" ref="M1520">_xlfn.XLOOKUP($A1520, 'Hospitalisation Details'!$A:$A, 'Hospitalisation Details'!E:E, "No Data")</f>
        <v>21/09/81</v>
      </c>
      <c r="N1520" s="28">
        <f t="array" ref="N1520">_xlfn.XLOOKUP($A1520, 'Hospitalisation Details'!$A:$A, 'Hospitalisation Details'!K:K, "No Data")</f>
        <v>41</v>
      </c>
      <c r="O1520" s="33">
        <f t="array" ref="O1520">_xlfn.XLOOKUP($A1520, 'Hospitalisation Details'!$A:$A, 'Hospitalisation Details'!G:G, "No Data")</f>
        <v>6770.19</v>
      </c>
      <c r="P1520" s="28" t="str">
        <f t="array" ref="P1520">_xlfn.XLOOKUP($A1520, 'Hospitalisation Details'!$A:$A, 'Hospitalisation Details'!H:H, "No Data")</f>
        <v>tier - 2</v>
      </c>
    </row>
    <row r="1521">
      <c r="A1521" s="25" t="s">
        <v>4880</v>
      </c>
      <c r="B1521" s="28" t="str">
        <f t="array" ref="B1521">_xlfn.XLOOKUP($A1521, 'Customer Names'!$A:$A, 'Customer Names'!B:B, "No Data")</f>
        <v>Battaglia</v>
      </c>
      <c r="C1521" s="28">
        <f t="array" ref="C1521">_xlfn.XLOOKUP($A1521, 'Medical Examinations'!$A:$A, 'Medical Examinations'!B:B, "No Data")</f>
        <v>19</v>
      </c>
      <c r="D1521" s="28">
        <f t="array" ref="D1521">_xlfn.XLOOKUP($A1521, 'Medical Examinations'!$A:$A, 'Medical Examinations'!C:C, "No Data")</f>
        <v>5.46</v>
      </c>
      <c r="E1521" s="28" t="str">
        <f t="array" ref="E1521">_xlfn.XLOOKUP($A1521, 'Medical Examinations'!$A:$A, 'Medical Examinations'!D:D, "No Data")</f>
        <v>yes</v>
      </c>
      <c r="F1521" s="28" t="str">
        <f t="array" ref="F1521">_xlfn.XLOOKUP($A1521, 'Medical Examinations'!$A:$A, 'Medical Examinations'!E:E, "No Data")</f>
        <v>No</v>
      </c>
      <c r="G1521" s="28" t="str">
        <f t="array" ref="G1521">_xlfn.XLOOKUP($A1521, 'Medical Examinations'!$A:$A, 'Medical Examinations'!F:F, "No Data")</f>
        <v>No</v>
      </c>
      <c r="H1521" s="28">
        <f t="array" ref="H1521">_xlfn.XLOOKUP($A1521, 'Medical Examinations'!$A:$A, 'Medical Examinations'!G:G, "No Data")</f>
        <v>1</v>
      </c>
      <c r="I1521" s="28" t="str">
        <f t="array" ref="I1521">_xlfn.XLOOKUP($A1521, 'Medical Examinations'!$A:$A, 'Medical Examinations'!H:H, "No Data")</f>
        <v>No</v>
      </c>
      <c r="J1521" s="28" t="str">
        <f t="array" ref="J1521">_xlfn.XLOOKUP($A1521, 'Medical Examinations'!$A:$A, 'Medical Examinations'!I:I, "No Data")</f>
        <v>Normal Weight</v>
      </c>
      <c r="K1521" s="28" t="str">
        <f t="array" ref="K1521">_xlfn.XLOOKUP($A1521, 'Hospitalisation Details'!$A:$A, 'Hospitalisation Details'!I:I, "No Data")</f>
        <v>tier - 2</v>
      </c>
      <c r="L1521" s="28" t="str">
        <f t="array" ref="L1521">_xlfn.XLOOKUP($A1521, 'Hospitalisation Details'!$A:$A, 'Hospitalisation Details'!J:J, "No Data")</f>
        <v>R1024</v>
      </c>
      <c r="M1521" s="28" t="str">
        <f t="array" ref="M1521">_xlfn.XLOOKUP($A1521, 'Hospitalisation Details'!$A:$A, 'Hospitalisation Details'!E:E, "No Data")</f>
        <v>10/10/88</v>
      </c>
      <c r="N1521" s="28">
        <f t="array" ref="N1521">_xlfn.XLOOKUP($A1521, 'Hospitalisation Details'!$A:$A, 'Hospitalisation Details'!K:K, "No Data")</f>
        <v>34</v>
      </c>
      <c r="O1521" s="33">
        <f t="array" ref="O1521">_xlfn.XLOOKUP($A1521, 'Hospitalisation Details'!$A:$A, 'Hospitalisation Details'!G:G, "No Data")</f>
        <v>6753.04</v>
      </c>
      <c r="P1521" s="28" t="str">
        <f t="array" ref="P1521">_xlfn.XLOOKUP($A1521, 'Hospitalisation Details'!$A:$A, 'Hospitalisation Details'!H:H, "No Data")</f>
        <v>tier - 2</v>
      </c>
    </row>
    <row r="1522">
      <c r="A1522" s="25" t="s">
        <v>4884</v>
      </c>
      <c r="B1522" s="28" t="str">
        <f t="array" ref="B1522">_xlfn.XLOOKUP($A1522, 'Customer Names'!$A:$A, 'Customer Names'!B:B, "No Data")</f>
        <v>Follo</v>
      </c>
      <c r="C1522" s="28">
        <f t="array" ref="C1522">_xlfn.XLOOKUP($A1522, 'Medical Examinations'!$A:$A, 'Medical Examinations'!B:B, "No Data")</f>
        <v>16.13</v>
      </c>
      <c r="D1522" s="28">
        <f t="array" ref="D1522">_xlfn.XLOOKUP($A1522, 'Medical Examinations'!$A:$A, 'Medical Examinations'!C:C, "No Data")</f>
        <v>4.54</v>
      </c>
      <c r="E1522" s="28" t="str">
        <f t="array" ref="E1522">_xlfn.XLOOKUP($A1522, 'Medical Examinations'!$A:$A, 'Medical Examinations'!D:D, "No Data")</f>
        <v>yes</v>
      </c>
      <c r="F1522" s="28" t="str">
        <f t="array" ref="F1522">_xlfn.XLOOKUP($A1522, 'Medical Examinations'!$A:$A, 'Medical Examinations'!E:E, "No Data")</f>
        <v>No</v>
      </c>
      <c r="G1522" s="28" t="str">
        <f t="array" ref="G1522">_xlfn.XLOOKUP($A1522, 'Medical Examinations'!$A:$A, 'Medical Examinations'!F:F, "No Data")</f>
        <v>No</v>
      </c>
      <c r="H1522" s="28">
        <f t="array" ref="H1522">_xlfn.XLOOKUP($A1522, 'Medical Examinations'!$A:$A, 'Medical Examinations'!G:G, "No Data")</f>
        <v>2</v>
      </c>
      <c r="I1522" s="28" t="str">
        <f t="array" ref="I1522">_xlfn.XLOOKUP($A1522, 'Medical Examinations'!$A:$A, 'Medical Examinations'!H:H, "No Data")</f>
        <v>No</v>
      </c>
      <c r="J1522" s="28" t="str">
        <f t="array" ref="J1522">_xlfn.XLOOKUP($A1522, 'Medical Examinations'!$A:$A, 'Medical Examinations'!I:I, "No Data")</f>
        <v>Underweight</v>
      </c>
      <c r="K1522" s="28" t="str">
        <f t="array" ref="K1522">_xlfn.XLOOKUP($A1522, 'Hospitalisation Details'!$A:$A, 'Hospitalisation Details'!I:I, "No Data")</f>
        <v>tier - 2</v>
      </c>
      <c r="L1522" s="28" t="str">
        <f t="array" ref="L1522">_xlfn.XLOOKUP($A1522, 'Hospitalisation Details'!$A:$A, 'Hospitalisation Details'!J:J, "No Data")</f>
        <v>R1013</v>
      </c>
      <c r="M1522" s="28" t="str">
        <f t="array" ref="M1522">_xlfn.XLOOKUP($A1522, 'Hospitalisation Details'!$A:$A, 'Hospitalisation Details'!E:E, "No Data")</f>
        <v>09/12/66</v>
      </c>
      <c r="N1522" s="28">
        <f t="array" ref="N1522">_xlfn.XLOOKUP($A1522, 'Hospitalisation Details'!$A:$A, 'Hospitalisation Details'!K:K, "No Data")</f>
        <v>56</v>
      </c>
      <c r="O1522" s="33">
        <f t="array" ref="O1522">_xlfn.XLOOKUP($A1522, 'Hospitalisation Details'!$A:$A, 'Hospitalisation Details'!G:G, "No Data")</f>
        <v>6750.27</v>
      </c>
      <c r="P1522" s="28" t="str">
        <f t="array" ref="P1522">_xlfn.XLOOKUP($A1522, 'Hospitalisation Details'!$A:$A, 'Hospitalisation Details'!H:H, "No Data")</f>
        <v>tier - 3</v>
      </c>
    </row>
    <row r="1523">
      <c r="A1523" s="25" t="s">
        <v>4888</v>
      </c>
      <c r="B1523" s="28" t="str">
        <f t="array" ref="B1523">_xlfn.XLOOKUP($A1523, 'Customer Names'!$A:$A, 'Customer Names'!B:B, "No Data")</f>
        <v>Barana</v>
      </c>
      <c r="C1523" s="28">
        <f t="array" ref="C1523">_xlfn.XLOOKUP($A1523, 'Medical Examinations'!$A:$A, 'Medical Examinations'!B:B, "No Data")</f>
        <v>18.77</v>
      </c>
      <c r="D1523" s="28">
        <f t="array" ref="D1523">_xlfn.XLOOKUP($A1523, 'Medical Examinations'!$A:$A, 'Medical Examinations'!C:C, "No Data")</f>
        <v>11.98</v>
      </c>
      <c r="E1523" s="28" t="str">
        <f t="array" ref="E1523">_xlfn.XLOOKUP($A1523, 'Medical Examinations'!$A:$A, 'Medical Examinations'!D:D, "No Data")</f>
        <v>yes</v>
      </c>
      <c r="F1523" s="28" t="str">
        <f t="array" ref="F1523">_xlfn.XLOOKUP($A1523, 'Medical Examinations'!$A:$A, 'Medical Examinations'!E:E, "No Data")</f>
        <v>No</v>
      </c>
      <c r="G1523" s="28" t="str">
        <f t="array" ref="G1523">_xlfn.XLOOKUP($A1523, 'Medical Examinations'!$A:$A, 'Medical Examinations'!F:F, "No Data")</f>
        <v>No</v>
      </c>
      <c r="H1523" s="28">
        <f t="array" ref="H1523">_xlfn.XLOOKUP($A1523, 'Medical Examinations'!$A:$A, 'Medical Examinations'!G:G, "No Data")</f>
        <v>2</v>
      </c>
      <c r="I1523" s="28" t="str">
        <f t="array" ref="I1523">_xlfn.XLOOKUP($A1523, 'Medical Examinations'!$A:$A, 'Medical Examinations'!H:H, "No Data")</f>
        <v>No</v>
      </c>
      <c r="J1523" s="28" t="str">
        <f t="array" ref="J1523">_xlfn.XLOOKUP($A1523, 'Medical Examinations'!$A:$A, 'Medical Examinations'!I:I, "No Data")</f>
        <v>Normal Weight</v>
      </c>
      <c r="K1523" s="28" t="str">
        <f t="array" ref="K1523">_xlfn.XLOOKUP($A1523, 'Hospitalisation Details'!$A:$A, 'Hospitalisation Details'!I:I, "No Data")</f>
        <v>tier - 1</v>
      </c>
      <c r="L1523" s="28" t="str">
        <f t="array" ref="L1523">_xlfn.XLOOKUP($A1523, 'Hospitalisation Details'!$A:$A, 'Hospitalisation Details'!J:J, "No Data")</f>
        <v>R1013</v>
      </c>
      <c r="M1523" s="28" t="str">
        <f t="array" ref="M1523">_xlfn.XLOOKUP($A1523, 'Hospitalisation Details'!$A:$A, 'Hospitalisation Details'!E:E, "No Data")</f>
        <v>17/06/70</v>
      </c>
      <c r="N1523" s="28">
        <f t="array" ref="N1523">_xlfn.XLOOKUP($A1523, 'Hospitalisation Details'!$A:$A, 'Hospitalisation Details'!K:K, "No Data")</f>
        <v>52</v>
      </c>
      <c r="O1523" s="33">
        <f t="array" ref="O1523">_xlfn.XLOOKUP($A1523, 'Hospitalisation Details'!$A:$A, 'Hospitalisation Details'!G:G, "No Data")</f>
        <v>6749.63</v>
      </c>
      <c r="P1523" s="28" t="str">
        <f t="array" ref="P1523">_xlfn.XLOOKUP($A1523, 'Hospitalisation Details'!$A:$A, 'Hospitalisation Details'!H:H, "No Data")</f>
        <v>tier - 2</v>
      </c>
    </row>
    <row r="1524">
      <c r="A1524" s="25" t="s">
        <v>4891</v>
      </c>
      <c r="B1524" s="28" t="str">
        <f t="array" ref="B1524">_xlfn.XLOOKUP($A1524, 'Customer Names'!$A:$A, 'Customer Names'!B:B, "No Data")</f>
        <v>Lysaght</v>
      </c>
      <c r="C1524" s="28">
        <f t="array" ref="C1524">_xlfn.XLOOKUP($A1524, 'Medical Examinations'!$A:$A, 'Medical Examinations'!B:B, "No Data")</f>
        <v>28.88</v>
      </c>
      <c r="D1524" s="28">
        <f t="array" ref="D1524">_xlfn.XLOOKUP($A1524, 'Medical Examinations'!$A:$A, 'Medical Examinations'!C:C, "No Data")</f>
        <v>6.59</v>
      </c>
      <c r="E1524" s="28" t="str">
        <f t="array" ref="E1524">_xlfn.XLOOKUP($A1524, 'Medical Examinations'!$A:$A, 'Medical Examinations'!D:D, "No Data")</f>
        <v>yes</v>
      </c>
      <c r="F1524" s="28" t="str">
        <f t="array" ref="F1524">_xlfn.XLOOKUP($A1524, 'Medical Examinations'!$A:$A, 'Medical Examinations'!E:E, "No Data")</f>
        <v>No</v>
      </c>
      <c r="G1524" s="28" t="str">
        <f t="array" ref="G1524">_xlfn.XLOOKUP($A1524, 'Medical Examinations'!$A:$A, 'Medical Examinations'!F:F, "No Data")</f>
        <v>No</v>
      </c>
      <c r="H1524" s="28">
        <f t="array" ref="H1524">_xlfn.XLOOKUP($A1524, 'Medical Examinations'!$A:$A, 'Medical Examinations'!G:G, "No Data")</f>
        <v>1</v>
      </c>
      <c r="I1524" s="28" t="str">
        <f t="array" ref="I1524">_xlfn.XLOOKUP($A1524, 'Medical Examinations'!$A:$A, 'Medical Examinations'!H:H, "No Data")</f>
        <v>No</v>
      </c>
      <c r="J1524" s="28" t="str">
        <f t="array" ref="J1524">_xlfn.XLOOKUP($A1524, 'Medical Examinations'!$A:$A, 'Medical Examinations'!I:I, "No Data")</f>
        <v>Overweight</v>
      </c>
      <c r="K1524" s="28" t="str">
        <f t="array" ref="K1524">_xlfn.XLOOKUP($A1524, 'Hospitalisation Details'!$A:$A, 'Hospitalisation Details'!I:I, "No Data")</f>
        <v>tier - 1</v>
      </c>
      <c r="L1524" s="28" t="str">
        <f t="array" ref="L1524">_xlfn.XLOOKUP($A1524, 'Hospitalisation Details'!$A:$A, 'Hospitalisation Details'!J:J, "No Data")</f>
        <v>R1016</v>
      </c>
      <c r="M1524" s="28" t="str">
        <f t="array" ref="M1524">_xlfn.XLOOKUP($A1524, 'Hospitalisation Details'!$A:$A, 'Hospitalisation Details'!E:E, "No Data")</f>
        <v>05/06/86</v>
      </c>
      <c r="N1524" s="28">
        <f t="array" ref="N1524">_xlfn.XLOOKUP($A1524, 'Hospitalisation Details'!$A:$A, 'Hospitalisation Details'!K:K, "No Data")</f>
        <v>37</v>
      </c>
      <c r="O1524" s="33">
        <f t="array" ref="O1524">_xlfn.XLOOKUP($A1524, 'Hospitalisation Details'!$A:$A, 'Hospitalisation Details'!G:G, "No Data")</f>
        <v>6748.59</v>
      </c>
      <c r="P1524" s="28" t="str">
        <f t="array" ref="P1524">_xlfn.XLOOKUP($A1524, 'Hospitalisation Details'!$A:$A, 'Hospitalisation Details'!H:H, "No Data")</f>
        <v>tier - 3</v>
      </c>
    </row>
    <row r="1525">
      <c r="A1525" s="25" t="s">
        <v>4894</v>
      </c>
      <c r="B1525" s="28" t="str">
        <f t="array" ref="B1525">_xlfn.XLOOKUP($A1525, 'Customer Names'!$A:$A, 'Customer Names'!B:B, "No Data")</f>
        <v>Chalmers</v>
      </c>
      <c r="C1525" s="28">
        <f t="array" ref="C1525">_xlfn.XLOOKUP($A1525, 'Medical Examinations'!$A:$A, 'Medical Examinations'!B:B, "No Data")</f>
        <v>27.55</v>
      </c>
      <c r="D1525" s="28">
        <f t="array" ref="D1525">_xlfn.XLOOKUP($A1525, 'Medical Examinations'!$A:$A, 'Medical Examinations'!C:C, "No Data")</f>
        <v>10.83</v>
      </c>
      <c r="E1525" s="28" t="str">
        <f t="array" ref="E1525">_xlfn.XLOOKUP($A1525, 'Medical Examinations'!$A:$A, 'Medical Examinations'!D:D, "No Data")</f>
        <v>yes</v>
      </c>
      <c r="F1525" s="28" t="str">
        <f t="array" ref="F1525">_xlfn.XLOOKUP($A1525, 'Medical Examinations'!$A:$A, 'Medical Examinations'!E:E, "No Data")</f>
        <v>No</v>
      </c>
      <c r="G1525" s="28" t="str">
        <f t="array" ref="G1525">_xlfn.XLOOKUP($A1525, 'Medical Examinations'!$A:$A, 'Medical Examinations'!F:F, "No Data")</f>
        <v>No</v>
      </c>
      <c r="H1525" s="28">
        <f t="array" ref="H1525">_xlfn.XLOOKUP($A1525, 'Medical Examinations'!$A:$A, 'Medical Examinations'!G:G, "No Data")</f>
        <v>1</v>
      </c>
      <c r="I1525" s="28" t="str">
        <f t="array" ref="I1525">_xlfn.XLOOKUP($A1525, 'Medical Examinations'!$A:$A, 'Medical Examinations'!H:H, "No Data")</f>
        <v>No</v>
      </c>
      <c r="J1525" s="28" t="str">
        <f t="array" ref="J1525">_xlfn.XLOOKUP($A1525, 'Medical Examinations'!$A:$A, 'Medical Examinations'!I:I, "No Data")</f>
        <v>Overweight</v>
      </c>
      <c r="K1525" s="28" t="str">
        <f t="array" ref="K1525">_xlfn.XLOOKUP($A1525, 'Hospitalisation Details'!$A:$A, 'Hospitalisation Details'!I:I, "No Data")</f>
        <v>tier - 2</v>
      </c>
      <c r="L1525" s="28" t="str">
        <f t="array" ref="L1525">_xlfn.XLOOKUP($A1525, 'Hospitalisation Details'!$A:$A, 'Hospitalisation Details'!J:J, "No Data")</f>
        <v>R1016</v>
      </c>
      <c r="M1525" s="28" t="str">
        <f t="array" ref="M1525">_xlfn.XLOOKUP($A1525, 'Hospitalisation Details'!$A:$A, 'Hospitalisation Details'!E:E, "No Data")</f>
        <v>07/08/86</v>
      </c>
      <c r="N1525" s="28">
        <f t="array" ref="N1525">_xlfn.XLOOKUP($A1525, 'Hospitalisation Details'!$A:$A, 'Hospitalisation Details'!K:K, "No Data")</f>
        <v>36</v>
      </c>
      <c r="O1525" s="33">
        <f t="array" ref="O1525">_xlfn.XLOOKUP($A1525, 'Hospitalisation Details'!$A:$A, 'Hospitalisation Details'!G:G, "No Data")</f>
        <v>6746.74</v>
      </c>
      <c r="P1525" s="28" t="str">
        <f t="array" ref="P1525">_xlfn.XLOOKUP($A1525, 'Hospitalisation Details'!$A:$A, 'Hospitalisation Details'!H:H, "No Data")</f>
        <v>tier - 3</v>
      </c>
    </row>
    <row r="1526">
      <c r="A1526" s="25" t="s">
        <v>4897</v>
      </c>
      <c r="B1526" s="28" t="str">
        <f t="array" ref="B1526">_xlfn.XLOOKUP($A1526, 'Customer Names'!$A:$A, 'Customer Names'!B:B, "No Data")</f>
        <v>Phillippi</v>
      </c>
      <c r="C1526" s="28">
        <f t="array" ref="C1526">_xlfn.XLOOKUP($A1526, 'Medical Examinations'!$A:$A, 'Medical Examinations'!B:B, "No Data")</f>
        <v>15.6</v>
      </c>
      <c r="D1526" s="28">
        <f t="array" ref="D1526">_xlfn.XLOOKUP($A1526, 'Medical Examinations'!$A:$A, 'Medical Examinations'!C:C, "No Data")</f>
        <v>8.6</v>
      </c>
      <c r="E1526" s="28" t="str">
        <f t="array" ref="E1526">_xlfn.XLOOKUP($A1526, 'Medical Examinations'!$A:$A, 'Medical Examinations'!D:D, "No Data")</f>
        <v>No</v>
      </c>
      <c r="F1526" s="28" t="str">
        <f t="array" ref="F1526">_xlfn.XLOOKUP($A1526, 'Medical Examinations'!$A:$A, 'Medical Examinations'!E:E, "No Data")</f>
        <v>No</v>
      </c>
      <c r="G1526" s="28" t="str">
        <f t="array" ref="G1526">_xlfn.XLOOKUP($A1526, 'Medical Examinations'!$A:$A, 'Medical Examinations'!F:F, "No Data")</f>
        <v>No</v>
      </c>
      <c r="H1526" s="28">
        <f t="array" ref="H1526">_xlfn.XLOOKUP($A1526, 'Medical Examinations'!$A:$A, 'Medical Examinations'!G:G, "No Data")</f>
        <v>0</v>
      </c>
      <c r="I1526" s="28" t="str">
        <f t="array" ref="I1526">_xlfn.XLOOKUP($A1526, 'Medical Examinations'!$A:$A, 'Medical Examinations'!H:H, "No Data")</f>
        <v>No</v>
      </c>
      <c r="J1526" s="28" t="str">
        <f t="array" ref="J1526">_xlfn.XLOOKUP($A1526, 'Medical Examinations'!$A:$A, 'Medical Examinations'!I:I, "No Data")</f>
        <v>Underweight</v>
      </c>
      <c r="K1526" s="28" t="str">
        <f t="array" ref="K1526">_xlfn.XLOOKUP($A1526, 'Hospitalisation Details'!$A:$A, 'Hospitalisation Details'!I:I, "No Data")</f>
        <v>tier - 1</v>
      </c>
      <c r="L1526" s="28" t="str">
        <f t="array" ref="L1526">_xlfn.XLOOKUP($A1526, 'Hospitalisation Details'!$A:$A, 'Hospitalisation Details'!J:J, "No Data")</f>
        <v>R1012</v>
      </c>
      <c r="M1526" s="28" t="str">
        <f t="array" ref="M1526">_xlfn.XLOOKUP($A1526, 'Hospitalisation Details'!$A:$A, 'Hospitalisation Details'!E:E, "No Data")</f>
        <v>18/07/68</v>
      </c>
      <c r="N1526" s="28">
        <f t="array" ref="N1526">_xlfn.XLOOKUP($A1526, 'Hospitalisation Details'!$A:$A, 'Hospitalisation Details'!K:K, "No Data")</f>
        <v>54</v>
      </c>
      <c r="O1526" s="33">
        <f t="array" ref="O1526">_xlfn.XLOOKUP($A1526, 'Hospitalisation Details'!$A:$A, 'Hospitalisation Details'!G:G, "No Data")</f>
        <v>6738.84</v>
      </c>
      <c r="P1526" s="28" t="str">
        <f t="array" ref="P1526">_xlfn.XLOOKUP($A1526, 'Hospitalisation Details'!$A:$A, 'Hospitalisation Details'!H:H, "No Data")</f>
        <v>tier - 3</v>
      </c>
    </row>
    <row r="1527">
      <c r="A1527" s="25" t="s">
        <v>4896</v>
      </c>
      <c r="B1527" s="28" t="str">
        <f t="array" ref="B1527">_xlfn.XLOOKUP($A1527, 'Customer Names'!$A:$A, 'Customer Names'!B:B, "No Data")</f>
        <v>MacPherson</v>
      </c>
      <c r="C1527" s="28">
        <f t="array" ref="C1527">_xlfn.XLOOKUP($A1527, 'Medical Examinations'!$A:$A, 'Medical Examinations'!B:B, "No Data")</f>
        <v>21.99</v>
      </c>
      <c r="D1527" s="28">
        <f t="array" ref="D1527">_xlfn.XLOOKUP($A1527, 'Medical Examinations'!$A:$A, 'Medical Examinations'!C:C, "No Data")</f>
        <v>11.17</v>
      </c>
      <c r="E1527" s="28" t="str">
        <f t="array" ref="E1527">_xlfn.XLOOKUP($A1527, 'Medical Examinations'!$A:$A, 'Medical Examinations'!D:D, "No Data")</f>
        <v>No</v>
      </c>
      <c r="F1527" s="28" t="str">
        <f t="array" ref="F1527">_xlfn.XLOOKUP($A1527, 'Medical Examinations'!$A:$A, 'Medical Examinations'!E:E, "No Data")</f>
        <v>No</v>
      </c>
      <c r="G1527" s="28" t="str">
        <f t="array" ref="G1527">_xlfn.XLOOKUP($A1527, 'Medical Examinations'!$A:$A, 'Medical Examinations'!F:F, "No Data")</f>
        <v>No</v>
      </c>
      <c r="H1527" s="28">
        <f t="array" ref="H1527">_xlfn.XLOOKUP($A1527, 'Medical Examinations'!$A:$A, 'Medical Examinations'!G:G, "No Data")</f>
        <v>0</v>
      </c>
      <c r="I1527" s="28" t="str">
        <f t="array" ref="I1527">_xlfn.XLOOKUP($A1527, 'Medical Examinations'!$A:$A, 'Medical Examinations'!H:H, "No Data")</f>
        <v>No</v>
      </c>
      <c r="J1527" s="28" t="str">
        <f t="array" ref="J1527">_xlfn.XLOOKUP($A1527, 'Medical Examinations'!$A:$A, 'Medical Examinations'!I:I, "No Data")</f>
        <v>Normal Weight</v>
      </c>
      <c r="K1527" s="28" t="str">
        <f t="array" ref="K1527">_xlfn.XLOOKUP($A1527, 'Hospitalisation Details'!$A:$A, 'Hospitalisation Details'!I:I, "No Data")</f>
        <v>tier - 3</v>
      </c>
      <c r="L1527" s="28" t="str">
        <f t="array" ref="L1527">_xlfn.XLOOKUP($A1527, 'Hospitalisation Details'!$A:$A, 'Hospitalisation Details'!J:J, "No Data")</f>
        <v>R1013</v>
      </c>
      <c r="M1527" s="28" t="str">
        <f t="array" ref="M1527">_xlfn.XLOOKUP($A1527, 'Hospitalisation Details'!$A:$A, 'Hospitalisation Details'!E:E, "No Data")</f>
        <v>21/10/78</v>
      </c>
      <c r="N1527" s="28">
        <f t="array" ref="N1527">_xlfn.XLOOKUP($A1527, 'Hospitalisation Details'!$A:$A, 'Hospitalisation Details'!K:K, "No Data")</f>
        <v>44</v>
      </c>
      <c r="O1527" s="33">
        <f t="array" ref="O1527">_xlfn.XLOOKUP($A1527, 'Hospitalisation Details'!$A:$A, 'Hospitalisation Details'!G:G, "No Data")</f>
        <v>6737.98</v>
      </c>
      <c r="P1527" s="28" t="str">
        <f t="array" ref="P1527">_xlfn.XLOOKUP($A1527, 'Hospitalisation Details'!$A:$A, 'Hospitalisation Details'!H:H, "No Data")</f>
        <v>tier - 2</v>
      </c>
    </row>
    <row r="1528">
      <c r="A1528" s="25" t="s">
        <v>4890</v>
      </c>
      <c r="B1528" s="28" t="str">
        <f t="array" ref="B1528">_xlfn.XLOOKUP($A1528, 'Customer Names'!$A:$A, 'Customer Names'!B:B, "No Data")</f>
        <v>Delfidio</v>
      </c>
      <c r="C1528" s="28">
        <f t="array" ref="C1528">_xlfn.XLOOKUP($A1528, 'Medical Examinations'!$A:$A, 'Medical Examinations'!B:B, "No Data")</f>
        <v>34.85</v>
      </c>
      <c r="D1528" s="28">
        <f t="array" ref="D1528">_xlfn.XLOOKUP($A1528, 'Medical Examinations'!$A:$A, 'Medical Examinations'!C:C, "No Data")</f>
        <v>5.75</v>
      </c>
      <c r="E1528" s="28" t="str">
        <f t="array" ref="E1528">_xlfn.XLOOKUP($A1528, 'Medical Examinations'!$A:$A, 'Medical Examinations'!D:D, "No Data")</f>
        <v>No</v>
      </c>
      <c r="F1528" s="28" t="str">
        <f t="array" ref="F1528">_xlfn.XLOOKUP($A1528, 'Medical Examinations'!$A:$A, 'Medical Examinations'!E:E, "No Data")</f>
        <v>No</v>
      </c>
      <c r="G1528" s="28" t="str">
        <f t="array" ref="G1528">_xlfn.XLOOKUP($A1528, 'Medical Examinations'!$A:$A, 'Medical Examinations'!F:F, "No Data")</f>
        <v>No</v>
      </c>
      <c r="H1528" s="28">
        <f t="array" ref="H1528">_xlfn.XLOOKUP($A1528, 'Medical Examinations'!$A:$A, 'Medical Examinations'!G:G, "No Data")</f>
        <v>0</v>
      </c>
      <c r="I1528" s="28" t="str">
        <f t="array" ref="I1528">_xlfn.XLOOKUP($A1528, 'Medical Examinations'!$A:$A, 'Medical Examinations'!H:H, "No Data")</f>
        <v>No</v>
      </c>
      <c r="J1528" s="28" t="str">
        <f t="array" ref="J1528">_xlfn.XLOOKUP($A1528, 'Medical Examinations'!$A:$A, 'Medical Examinations'!I:I, "No Data")</f>
        <v>Obesity</v>
      </c>
      <c r="K1528" s="28" t="str">
        <f t="array" ref="K1528">_xlfn.XLOOKUP($A1528, 'Hospitalisation Details'!$A:$A, 'Hospitalisation Details'!I:I, "No Data")</f>
        <v>tier - 1</v>
      </c>
      <c r="L1528" s="28" t="str">
        <f t="array" ref="L1528">_xlfn.XLOOKUP($A1528, 'Hospitalisation Details'!$A:$A, 'Hospitalisation Details'!J:J, "No Data")</f>
        <v>R1012</v>
      </c>
      <c r="M1528" s="28" t="str">
        <f t="array" ref="M1528">_xlfn.XLOOKUP($A1528, 'Hospitalisation Details'!$A:$A, 'Hospitalisation Details'!E:E, "No Data")</f>
        <v>13/06/94</v>
      </c>
      <c r="N1528" s="28">
        <f t="array" ref="N1528">_xlfn.XLOOKUP($A1528, 'Hospitalisation Details'!$A:$A, 'Hospitalisation Details'!K:K, "No Data")</f>
        <v>28</v>
      </c>
      <c r="O1528" s="33">
        <f t="array" ref="O1528">_xlfn.XLOOKUP($A1528, 'Hospitalisation Details'!$A:$A, 'Hospitalisation Details'!G:G, "No Data")</f>
        <v>6721.37</v>
      </c>
      <c r="P1528" s="28" t="str">
        <f t="array" ref="P1528">_xlfn.XLOOKUP($A1528, 'Hospitalisation Details'!$A:$A, 'Hospitalisation Details'!H:H, "No Data")</f>
        <v>tier - 2</v>
      </c>
    </row>
    <row r="1529">
      <c r="A1529" s="25" t="s">
        <v>4885</v>
      </c>
      <c r="B1529" s="28" t="str">
        <f t="array" ref="B1529">_xlfn.XLOOKUP($A1529, 'Customer Names'!$A:$A, 'Customer Names'!B:B, "No Data")</f>
        <v>Cummings</v>
      </c>
      <c r="C1529" s="28">
        <f t="array" ref="C1529">_xlfn.XLOOKUP($A1529, 'Medical Examinations'!$A:$A, 'Medical Examinations'!B:B, "No Data")</f>
        <v>24.51</v>
      </c>
      <c r="D1529" s="28">
        <f t="array" ref="D1529">_xlfn.XLOOKUP($A1529, 'Medical Examinations'!$A:$A, 'Medical Examinations'!C:C, "No Data")</f>
        <v>4.83</v>
      </c>
      <c r="E1529" s="28" t="str">
        <f t="array" ref="E1529">_xlfn.XLOOKUP($A1529, 'Medical Examinations'!$A:$A, 'Medical Examinations'!D:D, "No Data")</f>
        <v>yes</v>
      </c>
      <c r="F1529" s="28" t="str">
        <f t="array" ref="F1529">_xlfn.XLOOKUP($A1529, 'Medical Examinations'!$A:$A, 'Medical Examinations'!E:E, "No Data")</f>
        <v>No</v>
      </c>
      <c r="G1529" s="28" t="str">
        <f t="array" ref="G1529">_xlfn.XLOOKUP($A1529, 'Medical Examinations'!$A:$A, 'Medical Examinations'!F:F, "No Data")</f>
        <v>Yes</v>
      </c>
      <c r="H1529" s="28">
        <f t="array" ref="H1529">_xlfn.XLOOKUP($A1529, 'Medical Examinations'!$A:$A, 'Medical Examinations'!G:G, "No Data")</f>
        <v>1</v>
      </c>
      <c r="I1529" s="28" t="str">
        <f t="array" ref="I1529">_xlfn.XLOOKUP($A1529, 'Medical Examinations'!$A:$A, 'Medical Examinations'!H:H, "No Data")</f>
        <v>No</v>
      </c>
      <c r="J1529" s="28" t="str">
        <f t="array" ref="J1529">_xlfn.XLOOKUP($A1529, 'Medical Examinations'!$A:$A, 'Medical Examinations'!I:I, "No Data")</f>
        <v>Normal Weight</v>
      </c>
      <c r="K1529" s="28" t="str">
        <f t="array" ref="K1529">_xlfn.XLOOKUP($A1529, 'Hospitalisation Details'!$A:$A, 'Hospitalisation Details'!I:I, "No Data")</f>
        <v>tier - 3</v>
      </c>
      <c r="L1529" s="28" t="str">
        <f t="array" ref="L1529">_xlfn.XLOOKUP($A1529, 'Hospitalisation Details'!$A:$A, 'Hospitalisation Details'!J:J, "No Data")</f>
        <v>R1012</v>
      </c>
      <c r="M1529" s="28" t="str">
        <f t="array" ref="M1529">_xlfn.XLOOKUP($A1529, 'Hospitalisation Details'!$A:$A, 'Hospitalisation Details'!E:E, "No Data")</f>
        <v>12/06/83</v>
      </c>
      <c r="N1529" s="28">
        <f t="array" ref="N1529">_xlfn.XLOOKUP($A1529, 'Hospitalisation Details'!$A:$A, 'Hospitalisation Details'!K:K, "No Data")</f>
        <v>39</v>
      </c>
      <c r="O1529" s="33">
        <f t="array" ref="O1529">_xlfn.XLOOKUP($A1529, 'Hospitalisation Details'!$A:$A, 'Hospitalisation Details'!G:G, "No Data")</f>
        <v>6710.19</v>
      </c>
      <c r="P1529" s="28" t="str">
        <f t="array" ref="P1529">_xlfn.XLOOKUP($A1529, 'Hospitalisation Details'!$A:$A, 'Hospitalisation Details'!H:H, "No Data")</f>
        <v>tier - 3</v>
      </c>
    </row>
    <row r="1530">
      <c r="A1530" s="25" t="s">
        <v>4882</v>
      </c>
      <c r="B1530" s="28" t="str">
        <f t="array" ref="B1530">_xlfn.XLOOKUP($A1530, 'Customer Names'!$A:$A, 'Customer Names'!B:B, "No Data")</f>
        <v>Schroegel</v>
      </c>
      <c r="C1530" s="28">
        <f t="array" ref="C1530">_xlfn.XLOOKUP($A1530, 'Medical Examinations'!$A:$A, 'Medical Examinations'!B:B, "No Data")</f>
        <v>19.4</v>
      </c>
      <c r="D1530" s="28">
        <f t="array" ref="D1530">_xlfn.XLOOKUP($A1530, 'Medical Examinations'!$A:$A, 'Medical Examinations'!C:C, "No Data")</f>
        <v>11.93</v>
      </c>
      <c r="E1530" s="28" t="str">
        <f t="array" ref="E1530">_xlfn.XLOOKUP($A1530, 'Medical Examinations'!$A:$A, 'Medical Examinations'!D:D, "No Data")</f>
        <v>No</v>
      </c>
      <c r="F1530" s="28" t="str">
        <f t="array" ref="F1530">_xlfn.XLOOKUP($A1530, 'Medical Examinations'!$A:$A, 'Medical Examinations'!E:E, "No Data")</f>
        <v>No</v>
      </c>
      <c r="G1530" s="28" t="str">
        <f t="array" ref="G1530">_xlfn.XLOOKUP($A1530, 'Medical Examinations'!$A:$A, 'Medical Examinations'!F:F, "No Data")</f>
        <v>No</v>
      </c>
      <c r="H1530" s="28">
        <f t="array" ref="H1530">_xlfn.XLOOKUP($A1530, 'Medical Examinations'!$A:$A, 'Medical Examinations'!G:G, "No Data")</f>
        <v>0</v>
      </c>
      <c r="I1530" s="28" t="str">
        <f t="array" ref="I1530">_xlfn.XLOOKUP($A1530, 'Medical Examinations'!$A:$A, 'Medical Examinations'!H:H, "No Data")</f>
        <v>No</v>
      </c>
      <c r="J1530" s="28" t="str">
        <f t="array" ref="J1530">_xlfn.XLOOKUP($A1530, 'Medical Examinations'!$A:$A, 'Medical Examinations'!I:I, "No Data")</f>
        <v>Normal Weight</v>
      </c>
      <c r="K1530" s="28" t="str">
        <f t="array" ref="K1530">_xlfn.XLOOKUP($A1530, 'Hospitalisation Details'!$A:$A, 'Hospitalisation Details'!I:I, "No Data")</f>
        <v>tier - 1</v>
      </c>
      <c r="L1530" s="28" t="str">
        <f t="array" ref="L1530">_xlfn.XLOOKUP($A1530, 'Hospitalisation Details'!$A:$A, 'Hospitalisation Details'!J:J, "No Data")</f>
        <v>R1013</v>
      </c>
      <c r="M1530" s="28" t="str">
        <f t="array" ref="M1530">_xlfn.XLOOKUP($A1530, 'Hospitalisation Details'!$A:$A, 'Hospitalisation Details'!E:E, "No Data")</f>
        <v>12/12/71</v>
      </c>
      <c r="N1530" s="28">
        <f t="array" ref="N1530">_xlfn.XLOOKUP($A1530, 'Hospitalisation Details'!$A:$A, 'Hospitalisation Details'!K:K, "No Data")</f>
        <v>51</v>
      </c>
      <c r="O1530" s="33">
        <f t="array" ref="O1530">_xlfn.XLOOKUP($A1530, 'Hospitalisation Details'!$A:$A, 'Hospitalisation Details'!G:G, "No Data")</f>
        <v>6706.47</v>
      </c>
      <c r="P1530" s="28" t="str">
        <f t="array" ref="P1530">_xlfn.XLOOKUP($A1530, 'Hospitalisation Details'!$A:$A, 'Hospitalisation Details'!H:H, "No Data")</f>
        <v>tier - 2</v>
      </c>
    </row>
    <row r="1531">
      <c r="A1531" s="25" t="s">
        <v>4878</v>
      </c>
      <c r="B1531" s="28" t="str">
        <f t="array" ref="B1531">_xlfn.XLOOKUP($A1531, 'Customer Names'!$A:$A, 'Customer Names'!B:B, "No Data")</f>
        <v>Williams</v>
      </c>
      <c r="C1531" s="28">
        <f t="array" ref="C1531">_xlfn.XLOOKUP($A1531, 'Medical Examinations'!$A:$A, 'Medical Examinations'!B:B, "No Data")</f>
        <v>15.1</v>
      </c>
      <c r="D1531" s="28">
        <f t="array" ref="D1531">_xlfn.XLOOKUP($A1531, 'Medical Examinations'!$A:$A, 'Medical Examinations'!C:C, "No Data")</f>
        <v>8.41</v>
      </c>
      <c r="E1531" s="28" t="str">
        <f t="array" ref="E1531">_xlfn.XLOOKUP($A1531, 'Medical Examinations'!$A:$A, 'Medical Examinations'!D:D, "No Data")</f>
        <v>No</v>
      </c>
      <c r="F1531" s="28" t="str">
        <f t="array" ref="F1531">_xlfn.XLOOKUP($A1531, 'Medical Examinations'!$A:$A, 'Medical Examinations'!E:E, "No Data")</f>
        <v>No</v>
      </c>
      <c r="G1531" s="28" t="str">
        <f t="array" ref="G1531">_xlfn.XLOOKUP($A1531, 'Medical Examinations'!$A:$A, 'Medical Examinations'!F:F, "No Data")</f>
        <v>No</v>
      </c>
      <c r="H1531" s="28">
        <f t="array" ref="H1531">_xlfn.XLOOKUP($A1531, 'Medical Examinations'!$A:$A, 'Medical Examinations'!G:G, "No Data")</f>
        <v>0</v>
      </c>
      <c r="I1531" s="28" t="str">
        <f t="array" ref="I1531">_xlfn.XLOOKUP($A1531, 'Medical Examinations'!$A:$A, 'Medical Examinations'!H:H, "No Data")</f>
        <v>No</v>
      </c>
      <c r="J1531" s="28" t="str">
        <f t="array" ref="J1531">_xlfn.XLOOKUP($A1531, 'Medical Examinations'!$A:$A, 'Medical Examinations'!I:I, "No Data")</f>
        <v>Underweight</v>
      </c>
      <c r="K1531" s="28" t="str">
        <f t="array" ref="K1531">_xlfn.XLOOKUP($A1531, 'Hospitalisation Details'!$A:$A, 'Hospitalisation Details'!I:I, "No Data")</f>
        <v>tier - 1</v>
      </c>
      <c r="L1531" s="28" t="str">
        <f t="array" ref="L1531">_xlfn.XLOOKUP($A1531, 'Hospitalisation Details'!$A:$A, 'Hospitalisation Details'!J:J, "No Data")</f>
        <v>R1012</v>
      </c>
      <c r="M1531" s="28" t="str">
        <f t="array" ref="M1531">_xlfn.XLOOKUP($A1531, 'Hospitalisation Details'!$A:$A, 'Hospitalisation Details'!E:E, "No Data")</f>
        <v>13/07/68</v>
      </c>
      <c r="N1531" s="28">
        <f t="array" ref="N1531">_xlfn.XLOOKUP($A1531, 'Hospitalisation Details'!$A:$A, 'Hospitalisation Details'!K:K, "No Data")</f>
        <v>54</v>
      </c>
      <c r="O1531" s="33">
        <f t="array" ref="O1531">_xlfn.XLOOKUP($A1531, 'Hospitalisation Details'!$A:$A, 'Hospitalisation Details'!G:G, "No Data")</f>
        <v>6700.56</v>
      </c>
      <c r="P1531" s="28" t="str">
        <f t="array" ref="P1531">_xlfn.XLOOKUP($A1531, 'Hospitalisation Details'!$A:$A, 'Hospitalisation Details'!H:H, "No Data")</f>
        <v>tier - 3</v>
      </c>
    </row>
    <row r="1532">
      <c r="A1532" s="25" t="s">
        <v>4873</v>
      </c>
      <c r="B1532" s="28" t="str">
        <f t="array" ref="B1532">_xlfn.XLOOKUP($A1532, 'Customer Names'!$A:$A, 'Customer Names'!B:B, "No Data")</f>
        <v>Casey</v>
      </c>
      <c r="C1532" s="28">
        <f t="array" ref="C1532">_xlfn.XLOOKUP($A1532, 'Medical Examinations'!$A:$A, 'Medical Examinations'!B:B, "No Data")</f>
        <v>23.37</v>
      </c>
      <c r="D1532" s="28">
        <f t="array" ref="D1532">_xlfn.XLOOKUP($A1532, 'Medical Examinations'!$A:$A, 'Medical Examinations'!C:C, "No Data")</f>
        <v>5.59</v>
      </c>
      <c r="E1532" s="28" t="str">
        <f t="array" ref="E1532">_xlfn.XLOOKUP($A1532, 'Medical Examinations'!$A:$A, 'Medical Examinations'!D:D, "No Data")</f>
        <v>yes</v>
      </c>
      <c r="F1532" s="28" t="str">
        <f t="array" ref="F1532">_xlfn.XLOOKUP($A1532, 'Medical Examinations'!$A:$A, 'Medical Examinations'!E:E, "No Data")</f>
        <v>No</v>
      </c>
      <c r="G1532" s="28" t="str">
        <f t="array" ref="G1532">_xlfn.XLOOKUP($A1532, 'Medical Examinations'!$A:$A, 'Medical Examinations'!F:F, "No Data")</f>
        <v>No</v>
      </c>
      <c r="H1532" s="28">
        <f t="array" ref="H1532">_xlfn.XLOOKUP($A1532, 'Medical Examinations'!$A:$A, 'Medical Examinations'!G:G, "No Data")</f>
        <v>0</v>
      </c>
      <c r="I1532" s="28" t="str">
        <f t="array" ref="I1532">_xlfn.XLOOKUP($A1532, 'Medical Examinations'!$A:$A, 'Medical Examinations'!H:H, "No Data")</f>
        <v>No</v>
      </c>
      <c r="J1532" s="28" t="str">
        <f t="array" ref="J1532">_xlfn.XLOOKUP($A1532, 'Medical Examinations'!$A:$A, 'Medical Examinations'!I:I, "No Data")</f>
        <v>Normal Weight</v>
      </c>
      <c r="K1532" s="28" t="str">
        <f t="array" ref="K1532">_xlfn.XLOOKUP($A1532, 'Hospitalisation Details'!$A:$A, 'Hospitalisation Details'!I:I, "No Data")</f>
        <v>tier - 3</v>
      </c>
      <c r="L1532" s="28" t="str">
        <f t="array" ref="L1532">_xlfn.XLOOKUP($A1532, 'Hospitalisation Details'!$A:$A, 'Hospitalisation Details'!J:J, "No Data")</f>
        <v>R1012</v>
      </c>
      <c r="M1532" s="28" t="str">
        <f t="array" ref="M1532">_xlfn.XLOOKUP($A1532, 'Hospitalisation Details'!$A:$A, 'Hospitalisation Details'!E:E, "No Data")</f>
        <v>09/07/85</v>
      </c>
      <c r="N1532" s="28">
        <f t="array" ref="N1532">_xlfn.XLOOKUP($A1532, 'Hospitalisation Details'!$A:$A, 'Hospitalisation Details'!K:K, "No Data")</f>
        <v>37</v>
      </c>
      <c r="O1532" s="33">
        <f t="array" ref="O1532">_xlfn.XLOOKUP($A1532, 'Hospitalisation Details'!$A:$A, 'Hospitalisation Details'!G:G, "No Data")</f>
        <v>6686.43</v>
      </c>
      <c r="P1532" s="28" t="str">
        <f t="array" ref="P1532">_xlfn.XLOOKUP($A1532, 'Hospitalisation Details'!$A:$A, 'Hospitalisation Details'!H:H, "No Data")</f>
        <v>tier - 2</v>
      </c>
    </row>
    <row r="1533">
      <c r="A1533" s="25" t="s">
        <v>4869</v>
      </c>
      <c r="B1533" s="28" t="str">
        <f t="array" ref="B1533">_xlfn.XLOOKUP($A1533, 'Customer Names'!$A:$A, 'Customer Names'!B:B, "No Data")</f>
        <v>Randall</v>
      </c>
      <c r="C1533" s="28">
        <f t="array" ref="C1533">_xlfn.XLOOKUP($A1533, 'Medical Examinations'!$A:$A, 'Medical Examinations'!B:B, "No Data")</f>
        <v>42.4</v>
      </c>
      <c r="D1533" s="28">
        <f t="array" ref="D1533">_xlfn.XLOOKUP($A1533, 'Medical Examinations'!$A:$A, 'Medical Examinations'!C:C, "No Data")</f>
        <v>4.06</v>
      </c>
      <c r="E1533" s="28" t="str">
        <f t="array" ref="E1533">_xlfn.XLOOKUP($A1533, 'Medical Examinations'!$A:$A, 'Medical Examinations'!D:D, "No Data")</f>
        <v>No</v>
      </c>
      <c r="F1533" s="28" t="str">
        <f t="array" ref="F1533">_xlfn.XLOOKUP($A1533, 'Medical Examinations'!$A:$A, 'Medical Examinations'!E:E, "No Data")</f>
        <v>No</v>
      </c>
      <c r="G1533" s="28" t="str">
        <f t="array" ref="G1533">_xlfn.XLOOKUP($A1533, 'Medical Examinations'!$A:$A, 'Medical Examinations'!F:F, "No Data")</f>
        <v>No</v>
      </c>
      <c r="H1533" s="28">
        <f t="array" ref="H1533">_xlfn.XLOOKUP($A1533, 'Medical Examinations'!$A:$A, 'Medical Examinations'!G:G, "No Data")</f>
        <v>0</v>
      </c>
      <c r="I1533" s="28" t="str">
        <f t="array" ref="I1533">_xlfn.XLOOKUP($A1533, 'Medical Examinations'!$A:$A, 'Medical Examinations'!H:H, "No Data")</f>
        <v>No</v>
      </c>
      <c r="J1533" s="28" t="str">
        <f t="array" ref="J1533">_xlfn.XLOOKUP($A1533, 'Medical Examinations'!$A:$A, 'Medical Examinations'!I:I, "No Data")</f>
        <v>Obesity</v>
      </c>
      <c r="K1533" s="28" t="str">
        <f t="array" ref="K1533">_xlfn.XLOOKUP($A1533, 'Hospitalisation Details'!$A:$A, 'Hospitalisation Details'!I:I, "No Data")</f>
        <v>tier - 1</v>
      </c>
      <c r="L1533" s="28" t="str">
        <f t="array" ref="L1533">_xlfn.XLOOKUP($A1533, 'Hospitalisation Details'!$A:$A, 'Hospitalisation Details'!J:J, "No Data")</f>
        <v>R1011</v>
      </c>
      <c r="M1533" s="28" t="str">
        <f t="array" ref="M1533">_xlfn.XLOOKUP($A1533, 'Hospitalisation Details'!$A:$A, 'Hospitalisation Details'!E:E, "No Data")</f>
        <v>20/10/89</v>
      </c>
      <c r="N1533" s="28">
        <f t="array" ref="N1533">_xlfn.XLOOKUP($A1533, 'Hospitalisation Details'!$A:$A, 'Hospitalisation Details'!K:K, "No Data")</f>
        <v>33</v>
      </c>
      <c r="O1533" s="33">
        <f t="array" ref="O1533">_xlfn.XLOOKUP($A1533, 'Hospitalisation Details'!$A:$A, 'Hospitalisation Details'!G:G, "No Data")</f>
        <v>6666.24</v>
      </c>
      <c r="P1533" s="28" t="str">
        <f t="array" ref="P1533">_xlfn.XLOOKUP($A1533, 'Hospitalisation Details'!$A:$A, 'Hospitalisation Details'!H:H, "No Data")</f>
        <v>tier - 3</v>
      </c>
    </row>
    <row r="1534">
      <c r="A1534" s="25" t="s">
        <v>4867</v>
      </c>
      <c r="B1534" s="28" t="str">
        <f t="array" ref="B1534">_xlfn.XLOOKUP($A1534, 'Customer Names'!$A:$A, 'Customer Names'!B:B, "No Data")</f>
        <v>Doyon</v>
      </c>
      <c r="C1534" s="28">
        <f t="array" ref="C1534">_xlfn.XLOOKUP($A1534, 'Medical Examinations'!$A:$A, 'Medical Examinations'!B:B, "No Data")</f>
        <v>28.405</v>
      </c>
      <c r="D1534" s="28">
        <f t="array" ref="D1534">_xlfn.XLOOKUP($A1534, 'Medical Examinations'!$A:$A, 'Medical Examinations'!C:C, "No Data")</f>
        <v>7.02</v>
      </c>
      <c r="E1534" s="28" t="str">
        <f t="array" ref="E1534">_xlfn.XLOOKUP($A1534, 'Medical Examinations'!$A:$A, 'Medical Examinations'!D:D, "No Data")</f>
        <v>yes</v>
      </c>
      <c r="F1534" s="28" t="str">
        <f t="array" ref="F1534">_xlfn.XLOOKUP($A1534, 'Medical Examinations'!$A:$A, 'Medical Examinations'!E:E, "No Data")</f>
        <v>No</v>
      </c>
      <c r="G1534" s="28" t="str">
        <f t="array" ref="G1534">_xlfn.XLOOKUP($A1534, 'Medical Examinations'!$A:$A, 'Medical Examinations'!F:F, "No Data")</f>
        <v>No</v>
      </c>
      <c r="H1534" s="28">
        <f t="array" ref="H1534">_xlfn.XLOOKUP($A1534, 'Medical Examinations'!$A:$A, 'Medical Examinations'!G:G, "No Data")</f>
        <v>0</v>
      </c>
      <c r="I1534" s="28" t="str">
        <f t="array" ref="I1534">_xlfn.XLOOKUP($A1534, 'Medical Examinations'!$A:$A, 'Medical Examinations'!H:H, "No Data")</f>
        <v>No</v>
      </c>
      <c r="J1534" s="28" t="str">
        <f t="array" ref="J1534">_xlfn.XLOOKUP($A1534, 'Medical Examinations'!$A:$A, 'Medical Examinations'!I:I, "No Data")</f>
        <v>Overweight</v>
      </c>
      <c r="K1534" s="28" t="str">
        <f t="array" ref="K1534">_xlfn.XLOOKUP($A1534, 'Hospitalisation Details'!$A:$A, 'Hospitalisation Details'!I:I, "No Data")</f>
        <v>tier - 1</v>
      </c>
      <c r="L1534" s="28" t="str">
        <f t="array" ref="L1534">_xlfn.XLOOKUP($A1534, 'Hospitalisation Details'!$A:$A, 'Hospitalisation Details'!J:J, "No Data")</f>
        <v>R1012</v>
      </c>
      <c r="M1534" s="28" t="str">
        <f t="array" ref="M1534">_xlfn.XLOOKUP($A1534, 'Hospitalisation Details'!$A:$A, 'Hospitalisation Details'!E:E, "No Data")</f>
        <v>17/09/81</v>
      </c>
      <c r="N1534" s="28">
        <f t="array" ref="N1534">_xlfn.XLOOKUP($A1534, 'Hospitalisation Details'!$A:$A, 'Hospitalisation Details'!K:K, "No Data")</f>
        <v>41</v>
      </c>
      <c r="O1534" s="33">
        <f t="array" ref="O1534">_xlfn.XLOOKUP($A1534, 'Hospitalisation Details'!$A:$A, 'Hospitalisation Details'!G:G, "No Data")</f>
        <v>6664.69</v>
      </c>
      <c r="P1534" s="28" t="str">
        <f t="array" ref="P1534">_xlfn.XLOOKUP($A1534, 'Hospitalisation Details'!$A:$A, 'Hospitalisation Details'!H:H, "No Data")</f>
        <v>tier - 3</v>
      </c>
    </row>
    <row r="1535">
      <c r="A1535" s="25" t="s">
        <v>4864</v>
      </c>
      <c r="B1535" s="28" t="str">
        <f t="array" ref="B1535">_xlfn.XLOOKUP($A1535, 'Customer Names'!$A:$A, 'Customer Names'!B:B, "No Data")</f>
        <v>Sankey</v>
      </c>
      <c r="C1535" s="28">
        <f t="array" ref="C1535">_xlfn.XLOOKUP($A1535, 'Medical Examinations'!$A:$A, 'Medical Examinations'!B:B, "No Data")</f>
        <v>23.4</v>
      </c>
      <c r="D1535" s="28">
        <f t="array" ref="D1535">_xlfn.XLOOKUP($A1535, 'Medical Examinations'!$A:$A, 'Medical Examinations'!C:C, "No Data")</f>
        <v>4.47</v>
      </c>
      <c r="E1535" s="28" t="str">
        <f t="array" ref="E1535">_xlfn.XLOOKUP($A1535, 'Medical Examinations'!$A:$A, 'Medical Examinations'!D:D, "No Data")</f>
        <v>No</v>
      </c>
      <c r="F1535" s="28" t="str">
        <f t="array" ref="F1535">_xlfn.XLOOKUP($A1535, 'Medical Examinations'!$A:$A, 'Medical Examinations'!E:E, "No Data")</f>
        <v>No</v>
      </c>
      <c r="G1535" s="28" t="str">
        <f t="array" ref="G1535">_xlfn.XLOOKUP($A1535, 'Medical Examinations'!$A:$A, 'Medical Examinations'!F:F, "No Data")</f>
        <v>No</v>
      </c>
      <c r="H1535" s="28">
        <f t="array" ref="H1535">_xlfn.XLOOKUP($A1535, 'Medical Examinations'!$A:$A, 'Medical Examinations'!G:G, "No Data")</f>
        <v>0</v>
      </c>
      <c r="I1535" s="28" t="str">
        <f t="array" ref="I1535">_xlfn.XLOOKUP($A1535, 'Medical Examinations'!$A:$A, 'Medical Examinations'!H:H, "No Data")</f>
        <v>No</v>
      </c>
      <c r="J1535" s="28" t="str">
        <f t="array" ref="J1535">_xlfn.XLOOKUP($A1535, 'Medical Examinations'!$A:$A, 'Medical Examinations'!I:I, "No Data")</f>
        <v>Normal Weight</v>
      </c>
      <c r="K1535" s="28" t="str">
        <f t="array" ref="K1535">_xlfn.XLOOKUP($A1535, 'Hospitalisation Details'!$A:$A, 'Hospitalisation Details'!I:I, "No Data")</f>
        <v>tier - 2</v>
      </c>
      <c r="L1535" s="28" t="str">
        <f t="array" ref="L1535">_xlfn.XLOOKUP($A1535, 'Hospitalisation Details'!$A:$A, 'Hospitalisation Details'!J:J, "No Data")</f>
        <v>R1013</v>
      </c>
      <c r="M1535" s="28" t="str">
        <f t="array" ref="M1535">_xlfn.XLOOKUP($A1535, 'Hospitalisation Details'!$A:$A, 'Hospitalisation Details'!E:E, "No Data")</f>
        <v>27/09/82</v>
      </c>
      <c r="N1535" s="28">
        <f t="array" ref="N1535">_xlfn.XLOOKUP($A1535, 'Hospitalisation Details'!$A:$A, 'Hospitalisation Details'!K:K, "No Data")</f>
        <v>40</v>
      </c>
      <c r="O1535" s="33">
        <f t="array" ref="O1535">_xlfn.XLOOKUP($A1535, 'Hospitalisation Details'!$A:$A, 'Hospitalisation Details'!G:G, "No Data")</f>
        <v>6664.32</v>
      </c>
      <c r="P1535" s="28" t="str">
        <f t="array" ref="P1535">_xlfn.XLOOKUP($A1535, 'Hospitalisation Details'!$A:$A, 'Hospitalisation Details'!H:H, "No Data")</f>
        <v>tier - 2</v>
      </c>
    </row>
    <row r="1536">
      <c r="A1536" s="25" t="s">
        <v>4860</v>
      </c>
      <c r="B1536" s="28" t="str">
        <f t="array" ref="B1536">_xlfn.XLOOKUP($A1536, 'Customer Names'!$A:$A, 'Customer Names'!B:B, "No Data")</f>
        <v>Stilgenbauer</v>
      </c>
      <c r="C1536" s="28">
        <f t="array" ref="C1536">_xlfn.XLOOKUP($A1536, 'Medical Examinations'!$A:$A, 'Medical Examinations'!B:B, "No Data")</f>
        <v>33.44</v>
      </c>
      <c r="D1536" s="28">
        <f t="array" ref="D1536">_xlfn.XLOOKUP($A1536, 'Medical Examinations'!$A:$A, 'Medical Examinations'!C:C, "No Data")</f>
        <v>4.54</v>
      </c>
      <c r="E1536" s="28" t="str">
        <f t="array" ref="E1536">_xlfn.XLOOKUP($A1536, 'Medical Examinations'!$A:$A, 'Medical Examinations'!D:D, "No Data")</f>
        <v>No</v>
      </c>
      <c r="F1536" s="28" t="str">
        <f t="array" ref="F1536">_xlfn.XLOOKUP($A1536, 'Medical Examinations'!$A:$A, 'Medical Examinations'!E:E, "No Data")</f>
        <v>No</v>
      </c>
      <c r="G1536" s="28" t="str">
        <f t="array" ref="G1536">_xlfn.XLOOKUP($A1536, 'Medical Examinations'!$A:$A, 'Medical Examinations'!F:F, "No Data")</f>
        <v>No</v>
      </c>
      <c r="H1536" s="28">
        <f t="array" ref="H1536">_xlfn.XLOOKUP($A1536, 'Medical Examinations'!$A:$A, 'Medical Examinations'!G:G, "No Data")</f>
        <v>0</v>
      </c>
      <c r="I1536" s="28" t="str">
        <f t="array" ref="I1536">_xlfn.XLOOKUP($A1536, 'Medical Examinations'!$A:$A, 'Medical Examinations'!H:H, "No Data")</f>
        <v>No</v>
      </c>
      <c r="J1536" s="28" t="str">
        <f t="array" ref="J1536">_xlfn.XLOOKUP($A1536, 'Medical Examinations'!$A:$A, 'Medical Examinations'!I:I, "No Data")</f>
        <v>Obesity</v>
      </c>
      <c r="K1536" s="28" t="str">
        <f t="array" ref="K1536">_xlfn.XLOOKUP($A1536, 'Hospitalisation Details'!$A:$A, 'Hospitalisation Details'!I:I, "No Data")</f>
        <v>tier - 1</v>
      </c>
      <c r="L1536" s="28" t="str">
        <f t="array" ref="L1536">_xlfn.XLOOKUP($A1536, 'Hospitalisation Details'!$A:$A, 'Hospitalisation Details'!J:J, "No Data")</f>
        <v>R1013</v>
      </c>
      <c r="M1536" s="28" t="str">
        <f t="array" ref="M1536">_xlfn.XLOOKUP($A1536, 'Hospitalisation Details'!$A:$A, 'Hospitalisation Details'!E:E, "No Data")</f>
        <v>19/11/89</v>
      </c>
      <c r="N1536" s="28">
        <f t="array" ref="N1536">_xlfn.XLOOKUP($A1536, 'Hospitalisation Details'!$A:$A, 'Hospitalisation Details'!K:K, "No Data")</f>
        <v>33</v>
      </c>
      <c r="O1536" s="33">
        <f t="array" ref="O1536">_xlfn.XLOOKUP($A1536, 'Hospitalisation Details'!$A:$A, 'Hospitalisation Details'!G:G, "No Data")</f>
        <v>6653.79</v>
      </c>
      <c r="P1536" s="28" t="str">
        <f t="array" ref="P1536">_xlfn.XLOOKUP($A1536, 'Hospitalisation Details'!$A:$A, 'Hospitalisation Details'!H:H, "No Data")</f>
        <v>tier - 2</v>
      </c>
    </row>
    <row r="1537">
      <c r="A1537" s="25" t="s">
        <v>4855</v>
      </c>
      <c r="B1537" s="28" t="str">
        <f t="array" ref="B1537">_xlfn.XLOOKUP($A1537, 'Customer Names'!$A:$A, 'Customer Names'!B:B, "No Data")</f>
        <v>Jaskiewicz</v>
      </c>
      <c r="C1537" s="28">
        <f t="array" ref="C1537">_xlfn.XLOOKUP($A1537, 'Medical Examinations'!$A:$A, 'Medical Examinations'!B:B, "No Data")</f>
        <v>21.12</v>
      </c>
      <c r="D1537" s="28">
        <f t="array" ref="D1537">_xlfn.XLOOKUP($A1537, 'Medical Examinations'!$A:$A, 'Medical Examinations'!C:C, "No Data")</f>
        <v>4.99</v>
      </c>
      <c r="E1537" s="28" t="str">
        <f t="array" ref="E1537">_xlfn.XLOOKUP($A1537, 'Medical Examinations'!$A:$A, 'Medical Examinations'!D:D, "No Data")</f>
        <v>No</v>
      </c>
      <c r="F1537" s="28" t="str">
        <f t="array" ref="F1537">_xlfn.XLOOKUP($A1537, 'Medical Examinations'!$A:$A, 'Medical Examinations'!E:E, "No Data")</f>
        <v>No</v>
      </c>
      <c r="G1537" s="28" t="str">
        <f t="array" ref="G1537">_xlfn.XLOOKUP($A1537, 'Medical Examinations'!$A:$A, 'Medical Examinations'!F:F, "No Data")</f>
        <v>No</v>
      </c>
      <c r="H1537" s="28">
        <f t="array" ref="H1537">_xlfn.XLOOKUP($A1537, 'Medical Examinations'!$A:$A, 'Medical Examinations'!G:G, "No Data")</f>
        <v>1</v>
      </c>
      <c r="I1537" s="28" t="str">
        <f t="array" ref="I1537">_xlfn.XLOOKUP($A1537, 'Medical Examinations'!$A:$A, 'Medical Examinations'!H:H, "No Data")</f>
        <v>No</v>
      </c>
      <c r="J1537" s="28" t="str">
        <f t="array" ref="J1537">_xlfn.XLOOKUP($A1537, 'Medical Examinations'!$A:$A, 'Medical Examinations'!I:I, "No Data")</f>
        <v>Normal Weight</v>
      </c>
      <c r="K1537" s="28" t="str">
        <f t="array" ref="K1537">_xlfn.XLOOKUP($A1537, 'Hospitalisation Details'!$A:$A, 'Hospitalisation Details'!I:I, "No Data")</f>
        <v>tier - 2</v>
      </c>
      <c r="L1537" s="28" t="str">
        <f t="array" ref="L1537">_xlfn.XLOOKUP($A1537, 'Hospitalisation Details'!$A:$A, 'Hospitalisation Details'!J:J, "No Data")</f>
        <v>R1013</v>
      </c>
      <c r="M1537" s="28" t="str">
        <f t="array" ref="M1537">_xlfn.XLOOKUP($A1537, 'Hospitalisation Details'!$A:$A, 'Hospitalisation Details'!E:E, "No Data")</f>
        <v>01/07/84</v>
      </c>
      <c r="N1537" s="28">
        <f t="array" ref="N1537">_xlfn.XLOOKUP($A1537, 'Hospitalisation Details'!$A:$A, 'Hospitalisation Details'!K:K, "No Data")</f>
        <v>38</v>
      </c>
      <c r="O1537" s="33">
        <f t="array" ref="O1537">_xlfn.XLOOKUP($A1537, 'Hospitalisation Details'!$A:$A, 'Hospitalisation Details'!G:G, "No Data")</f>
        <v>6652.53</v>
      </c>
      <c r="P1537" s="28" t="str">
        <f t="array" ref="P1537">_xlfn.XLOOKUP($A1537, 'Hospitalisation Details'!$A:$A, 'Hospitalisation Details'!H:H, "No Data")</f>
        <v>tier - 3</v>
      </c>
    </row>
    <row r="1538">
      <c r="A1538" s="25" t="s">
        <v>4851</v>
      </c>
      <c r="B1538" s="28" t="str">
        <f t="array" ref="B1538">_xlfn.XLOOKUP($A1538, 'Customer Names'!$A:$A, 'Customer Names'!B:B, "No Data")</f>
        <v>Deppen</v>
      </c>
      <c r="C1538" s="28">
        <f t="array" ref="C1538">_xlfn.XLOOKUP($A1538, 'Medical Examinations'!$A:$A, 'Medical Examinations'!B:B, "No Data")</f>
        <v>18.48</v>
      </c>
      <c r="D1538" s="28">
        <f t="array" ref="D1538">_xlfn.XLOOKUP($A1538, 'Medical Examinations'!$A:$A, 'Medical Examinations'!C:C, "No Data")</f>
        <v>10.84</v>
      </c>
      <c r="E1538" s="28" t="str">
        <f t="array" ref="E1538">_xlfn.XLOOKUP($A1538, 'Medical Examinations'!$A:$A, 'Medical Examinations'!D:D, "No Data")</f>
        <v>yes</v>
      </c>
      <c r="F1538" s="28" t="str">
        <f t="array" ref="F1538">_xlfn.XLOOKUP($A1538, 'Medical Examinations'!$A:$A, 'Medical Examinations'!E:E, "No Data")</f>
        <v>No</v>
      </c>
      <c r="G1538" s="28" t="str">
        <f t="array" ref="G1538">_xlfn.XLOOKUP($A1538, 'Medical Examinations'!$A:$A, 'Medical Examinations'!F:F, "No Data")</f>
        <v>No</v>
      </c>
      <c r="H1538" s="28">
        <f t="array" ref="H1538">_xlfn.XLOOKUP($A1538, 'Medical Examinations'!$A:$A, 'Medical Examinations'!G:G, "No Data")</f>
        <v>2</v>
      </c>
      <c r="I1538" s="28" t="str">
        <f t="array" ref="I1538">_xlfn.XLOOKUP($A1538, 'Medical Examinations'!$A:$A, 'Medical Examinations'!H:H, "No Data")</f>
        <v>No</v>
      </c>
      <c r="J1538" s="28" t="str">
        <f t="array" ref="J1538">_xlfn.XLOOKUP($A1538, 'Medical Examinations'!$A:$A, 'Medical Examinations'!I:I, "No Data")</f>
        <v>Underweight</v>
      </c>
      <c r="K1538" s="28" t="str">
        <f t="array" ref="K1538">_xlfn.XLOOKUP($A1538, 'Hospitalisation Details'!$A:$A, 'Hospitalisation Details'!I:I, "No Data")</f>
        <v>tier - 3</v>
      </c>
      <c r="L1538" s="28" t="str">
        <f t="array" ref="L1538">_xlfn.XLOOKUP($A1538, 'Hospitalisation Details'!$A:$A, 'Hospitalisation Details'!J:J, "No Data")</f>
        <v>R1013</v>
      </c>
      <c r="M1538" s="28" t="str">
        <f t="array" ref="M1538">_xlfn.XLOOKUP($A1538, 'Hospitalisation Details'!$A:$A, 'Hospitalisation Details'!E:E, "No Data")</f>
        <v>08/11/70</v>
      </c>
      <c r="N1538" s="28">
        <f t="array" ref="N1538">_xlfn.XLOOKUP($A1538, 'Hospitalisation Details'!$A:$A, 'Hospitalisation Details'!K:K, "No Data")</f>
        <v>52</v>
      </c>
      <c r="O1538" s="33">
        <f t="array" ref="O1538">_xlfn.XLOOKUP($A1538, 'Hospitalisation Details'!$A:$A, 'Hospitalisation Details'!G:G, "No Data")</f>
        <v>6651.26</v>
      </c>
      <c r="P1538" s="28" t="str">
        <f t="array" ref="P1538">_xlfn.XLOOKUP($A1538, 'Hospitalisation Details'!$A:$A, 'Hospitalisation Details'!H:H, "No Data")</f>
        <v>tier - 2</v>
      </c>
    </row>
    <row r="1539">
      <c r="A1539" s="25" t="s">
        <v>4848</v>
      </c>
      <c r="B1539" s="28" t="str">
        <f t="array" ref="B1539">_xlfn.XLOOKUP($A1539, 'Customer Names'!$A:$A, 'Customer Names'!B:B, "No Data")</f>
        <v>Hine</v>
      </c>
      <c r="C1539" s="28">
        <f t="array" ref="C1539">_xlfn.XLOOKUP($A1539, 'Medical Examinations'!$A:$A, 'Medical Examinations'!B:B, "No Data")</f>
        <v>16.815</v>
      </c>
      <c r="D1539" s="28">
        <f t="array" ref="D1539">_xlfn.XLOOKUP($A1539, 'Medical Examinations'!$A:$A, 'Medical Examinations'!C:C, "No Data")</f>
        <v>5.63</v>
      </c>
      <c r="E1539" s="28" t="str">
        <f t="array" ref="E1539">_xlfn.XLOOKUP($A1539, 'Medical Examinations'!$A:$A, 'Medical Examinations'!D:D, "No Data")</f>
        <v>No</v>
      </c>
      <c r="F1539" s="28" t="str">
        <f t="array" ref="F1539">_xlfn.XLOOKUP($A1539, 'Medical Examinations'!$A:$A, 'Medical Examinations'!E:E, "No Data")</f>
        <v>No</v>
      </c>
      <c r="G1539" s="28" t="str">
        <f t="array" ref="G1539">_xlfn.XLOOKUP($A1539, 'Medical Examinations'!$A:$A, 'Medical Examinations'!F:F, "No Data")</f>
        <v>No</v>
      </c>
      <c r="H1539" s="28">
        <f t="array" ref="H1539">_xlfn.XLOOKUP($A1539, 'Medical Examinations'!$A:$A, 'Medical Examinations'!G:G, "No Data")</f>
        <v>1</v>
      </c>
      <c r="I1539" s="28" t="str">
        <f t="array" ref="I1539">_xlfn.XLOOKUP($A1539, 'Medical Examinations'!$A:$A, 'Medical Examinations'!H:H, "No Data")</f>
        <v>No</v>
      </c>
      <c r="J1539" s="28" t="str">
        <f t="array" ref="J1539">_xlfn.XLOOKUP($A1539, 'Medical Examinations'!$A:$A, 'Medical Examinations'!I:I, "No Data")</f>
        <v>Underweight</v>
      </c>
      <c r="K1539" s="28" t="str">
        <f t="array" ref="K1539">_xlfn.XLOOKUP($A1539, 'Hospitalisation Details'!$A:$A, 'Hospitalisation Details'!I:I, "No Data")</f>
        <v>tier - 3</v>
      </c>
      <c r="L1539" s="28" t="str">
        <f t="array" ref="L1539">_xlfn.XLOOKUP($A1539, 'Hospitalisation Details'!$A:$A, 'Hospitalisation Details'!J:J, "No Data")</f>
        <v>R1019</v>
      </c>
      <c r="M1539" s="28" t="str">
        <f t="array" ref="M1539">_xlfn.XLOOKUP($A1539, 'Hospitalisation Details'!$A:$A, 'Hospitalisation Details'!E:E, "No Data")</f>
        <v>08/12/84</v>
      </c>
      <c r="N1539" s="28">
        <f t="array" ref="N1539">_xlfn.XLOOKUP($A1539, 'Hospitalisation Details'!$A:$A, 'Hospitalisation Details'!K:K, "No Data")</f>
        <v>38</v>
      </c>
      <c r="O1539" s="33">
        <f t="array" ref="O1539">_xlfn.XLOOKUP($A1539, 'Hospitalisation Details'!$A:$A, 'Hospitalisation Details'!G:G, "No Data")</f>
        <v>6640.54</v>
      </c>
      <c r="P1539" s="28" t="str">
        <f t="array" ref="P1539">_xlfn.XLOOKUP($A1539, 'Hospitalisation Details'!$A:$A, 'Hospitalisation Details'!H:H, "No Data")</f>
        <v>tier - 2</v>
      </c>
    </row>
    <row r="1540">
      <c r="A1540" s="25" t="s">
        <v>4844</v>
      </c>
      <c r="B1540" s="28" t="str">
        <f t="array" ref="B1540">_xlfn.XLOOKUP($A1540, 'Customer Names'!$A:$A, 'Customer Names'!B:B, "No Data")</f>
        <v>Mathews</v>
      </c>
      <c r="C1540" s="28">
        <f t="array" ref="C1540">_xlfn.XLOOKUP($A1540, 'Medical Examinations'!$A:$A, 'Medical Examinations'!B:B, "No Data")</f>
        <v>26.72</v>
      </c>
      <c r="D1540" s="28">
        <f t="array" ref="D1540">_xlfn.XLOOKUP($A1540, 'Medical Examinations'!$A:$A, 'Medical Examinations'!C:C, "No Data")</f>
        <v>4.14</v>
      </c>
      <c r="E1540" s="28" t="str">
        <f t="array" ref="E1540">_xlfn.XLOOKUP($A1540, 'Medical Examinations'!$A:$A, 'Medical Examinations'!D:D, "No Data")</f>
        <v>No</v>
      </c>
      <c r="F1540" s="28" t="str">
        <f t="array" ref="F1540">_xlfn.XLOOKUP($A1540, 'Medical Examinations'!$A:$A, 'Medical Examinations'!E:E, "No Data")</f>
        <v>No</v>
      </c>
      <c r="G1540" s="28" t="str">
        <f t="array" ref="G1540">_xlfn.XLOOKUP($A1540, 'Medical Examinations'!$A:$A, 'Medical Examinations'!F:F, "No Data")</f>
        <v>No</v>
      </c>
      <c r="H1540" s="28">
        <f t="array" ref="H1540">_xlfn.XLOOKUP($A1540, 'Medical Examinations'!$A:$A, 'Medical Examinations'!G:G, "No Data")</f>
        <v>0</v>
      </c>
      <c r="I1540" s="28" t="str">
        <f t="array" ref="I1540">_xlfn.XLOOKUP($A1540, 'Medical Examinations'!$A:$A, 'Medical Examinations'!H:H, "No Data")</f>
        <v>No</v>
      </c>
      <c r="J1540" s="28" t="str">
        <f t="array" ref="J1540">_xlfn.XLOOKUP($A1540, 'Medical Examinations'!$A:$A, 'Medical Examinations'!I:I, "No Data")</f>
        <v>Overweight</v>
      </c>
      <c r="K1540" s="28" t="str">
        <f t="array" ref="K1540">_xlfn.XLOOKUP($A1540, 'Hospitalisation Details'!$A:$A, 'Hospitalisation Details'!I:I, "No Data")</f>
        <v>tier - 2</v>
      </c>
      <c r="L1540" s="28" t="str">
        <f t="array" ref="L1540">_xlfn.XLOOKUP($A1540, 'Hospitalisation Details'!$A:$A, 'Hospitalisation Details'!J:J, "No Data")</f>
        <v>R1021</v>
      </c>
      <c r="M1540" s="28" t="str">
        <f t="array" ref="M1540">_xlfn.XLOOKUP($A1540, 'Hospitalisation Details'!$A:$A, 'Hospitalisation Details'!E:E, "No Data")</f>
        <v>06/06/90</v>
      </c>
      <c r="N1540" s="28">
        <f t="array" ref="N1540">_xlfn.XLOOKUP($A1540, 'Hospitalisation Details'!$A:$A, 'Hospitalisation Details'!K:K, "No Data")</f>
        <v>33</v>
      </c>
      <c r="O1540" s="33">
        <f t="array" ref="O1540">_xlfn.XLOOKUP($A1540, 'Hospitalisation Details'!$A:$A, 'Hospitalisation Details'!G:G, "No Data")</f>
        <v>6639.3</v>
      </c>
      <c r="P1540" s="28" t="str">
        <f t="array" ref="P1540">_xlfn.XLOOKUP($A1540, 'Hospitalisation Details'!$A:$A, 'Hospitalisation Details'!H:H, "No Data")</f>
        <v>tier - 2</v>
      </c>
    </row>
    <row r="1541">
      <c r="A1541" s="25" t="s">
        <v>4843</v>
      </c>
      <c r="B1541" s="28" t="str">
        <f t="array" ref="B1541">_xlfn.XLOOKUP($A1541, 'Customer Names'!$A:$A, 'Customer Names'!B:B, "No Data")</f>
        <v>Yabu</v>
      </c>
      <c r="C1541" s="28">
        <f t="array" ref="C1541">_xlfn.XLOOKUP($A1541, 'Medical Examinations'!$A:$A, 'Medical Examinations'!B:B, "No Data")</f>
        <v>41.42</v>
      </c>
      <c r="D1541" s="28">
        <f t="array" ref="D1541">_xlfn.XLOOKUP($A1541, 'Medical Examinations'!$A:$A, 'Medical Examinations'!C:C, "No Data")</f>
        <v>5.17</v>
      </c>
      <c r="E1541" s="28" t="str">
        <f t="array" ref="E1541">_xlfn.XLOOKUP($A1541, 'Medical Examinations'!$A:$A, 'Medical Examinations'!D:D, "No Data")</f>
        <v>No</v>
      </c>
      <c r="F1541" s="28" t="str">
        <f t="array" ref="F1541">_xlfn.XLOOKUP($A1541, 'Medical Examinations'!$A:$A, 'Medical Examinations'!E:E, "No Data")</f>
        <v>No</v>
      </c>
      <c r="G1541" s="28" t="str">
        <f t="array" ref="G1541">_xlfn.XLOOKUP($A1541, 'Medical Examinations'!$A:$A, 'Medical Examinations'!F:F, "No Data")</f>
        <v>Yes</v>
      </c>
      <c r="H1541" s="28">
        <f t="array" ref="H1541">_xlfn.XLOOKUP($A1541, 'Medical Examinations'!$A:$A, 'Medical Examinations'!G:G, "No Data")</f>
        <v>1</v>
      </c>
      <c r="I1541" s="28" t="str">
        <f t="array" ref="I1541">_xlfn.XLOOKUP($A1541, 'Medical Examinations'!$A:$A, 'Medical Examinations'!H:H, "No Data")</f>
        <v>No</v>
      </c>
      <c r="J1541" s="28" t="str">
        <f t="array" ref="J1541">_xlfn.XLOOKUP($A1541, 'Medical Examinations'!$A:$A, 'Medical Examinations'!I:I, "No Data")</f>
        <v>Obesity</v>
      </c>
      <c r="K1541" s="28" t="str">
        <f t="array" ref="K1541">_xlfn.XLOOKUP($A1541, 'Hospitalisation Details'!$A:$A, 'Hospitalisation Details'!I:I, "No Data")</f>
        <v>tier - 1</v>
      </c>
      <c r="L1541" s="28" t="str">
        <f t="array" ref="L1541">_xlfn.XLOOKUP($A1541, 'Hospitalisation Details'!$A:$A, 'Hospitalisation Details'!J:J, "No Data")</f>
        <v>R1012</v>
      </c>
      <c r="M1541" s="28" t="str">
        <f t="array" ref="M1541">_xlfn.XLOOKUP($A1541, 'Hospitalisation Details'!$A:$A, 'Hospitalisation Details'!E:E, "No Data")</f>
        <v>04/09/03</v>
      </c>
      <c r="N1541" s="28">
        <f t="array" ref="N1541">_xlfn.XLOOKUP($A1541, 'Hospitalisation Details'!$A:$A, 'Hospitalisation Details'!K:K, "No Data")</f>
        <v>19</v>
      </c>
      <c r="O1541" s="33">
        <f t="array" ref="O1541">_xlfn.XLOOKUP($A1541, 'Hospitalisation Details'!$A:$A, 'Hospitalisation Details'!G:G, "No Data")</f>
        <v>6638.16</v>
      </c>
      <c r="P1541" s="28" t="str">
        <f t="array" ref="P1541">_xlfn.XLOOKUP($A1541, 'Hospitalisation Details'!$A:$A, 'Hospitalisation Details'!H:H, "No Data")</f>
        <v>tier - 2</v>
      </c>
    </row>
    <row r="1542">
      <c r="A1542" s="25" t="s">
        <v>4840</v>
      </c>
      <c r="B1542" s="28" t="str">
        <f t="array" ref="B1542">_xlfn.XLOOKUP($A1542, 'Customer Names'!$A:$A, 'Customer Names'!B:B, "No Data")</f>
        <v>Strang</v>
      </c>
      <c r="C1542" s="28">
        <f t="array" ref="C1542">_xlfn.XLOOKUP($A1542, 'Medical Examinations'!$A:$A, 'Medical Examinations'!B:B, "No Data")</f>
        <v>20.69</v>
      </c>
      <c r="D1542" s="28">
        <f t="array" ref="D1542">_xlfn.XLOOKUP($A1542, 'Medical Examinations'!$A:$A, 'Medical Examinations'!C:C, "No Data")</f>
        <v>6.93</v>
      </c>
      <c r="E1542" s="28" t="str">
        <f t="array" ref="E1542">_xlfn.XLOOKUP($A1542, 'Medical Examinations'!$A:$A, 'Medical Examinations'!D:D, "No Data")</f>
        <v>No</v>
      </c>
      <c r="F1542" s="28" t="str">
        <f t="array" ref="F1542">_xlfn.XLOOKUP($A1542, 'Medical Examinations'!$A:$A, 'Medical Examinations'!E:E, "No Data")</f>
        <v>No</v>
      </c>
      <c r="G1542" s="28" t="str">
        <f t="array" ref="G1542">_xlfn.XLOOKUP($A1542, 'Medical Examinations'!$A:$A, 'Medical Examinations'!F:F, "No Data")</f>
        <v>No</v>
      </c>
      <c r="H1542" s="28">
        <f t="array" ref="H1542">_xlfn.XLOOKUP($A1542, 'Medical Examinations'!$A:$A, 'Medical Examinations'!G:G, "No Data")</f>
        <v>2</v>
      </c>
      <c r="I1542" s="28" t="str">
        <f t="array" ref="I1542">_xlfn.XLOOKUP($A1542, 'Medical Examinations'!$A:$A, 'Medical Examinations'!H:H, "No Data")</f>
        <v>No</v>
      </c>
      <c r="J1542" s="28" t="str">
        <f t="array" ref="J1542">_xlfn.XLOOKUP($A1542, 'Medical Examinations'!$A:$A, 'Medical Examinations'!I:I, "No Data")</f>
        <v>Normal Weight</v>
      </c>
      <c r="K1542" s="28" t="str">
        <f t="array" ref="K1542">_xlfn.XLOOKUP($A1542, 'Hospitalisation Details'!$A:$A, 'Hospitalisation Details'!I:I, "No Data")</f>
        <v>tier - 1</v>
      </c>
      <c r="L1542" s="28" t="str">
        <f t="array" ref="L1542">_xlfn.XLOOKUP($A1542, 'Hospitalisation Details'!$A:$A, 'Hospitalisation Details'!J:J, "No Data")</f>
        <v>R1013</v>
      </c>
      <c r="M1542" s="28" t="str">
        <f t="array" ref="M1542">_xlfn.XLOOKUP($A1542, 'Hospitalisation Details'!$A:$A, 'Hospitalisation Details'!E:E, "No Data")</f>
        <v>29/08/73</v>
      </c>
      <c r="N1542" s="28">
        <f t="array" ref="N1542">_xlfn.XLOOKUP($A1542, 'Hospitalisation Details'!$A:$A, 'Hospitalisation Details'!K:K, "No Data")</f>
        <v>49</v>
      </c>
      <c r="O1542" s="33">
        <f t="array" ref="O1542">_xlfn.XLOOKUP($A1542, 'Hospitalisation Details'!$A:$A, 'Hospitalisation Details'!G:G, "No Data")</f>
        <v>6630.31</v>
      </c>
      <c r="P1542" s="28" t="str">
        <f t="array" ref="P1542">_xlfn.XLOOKUP($A1542, 'Hospitalisation Details'!$A:$A, 'Hospitalisation Details'!H:H, "No Data")</f>
        <v>tier - 2</v>
      </c>
    </row>
    <row r="1543">
      <c r="A1543" s="25" t="s">
        <v>4838</v>
      </c>
      <c r="B1543" s="28" t="str">
        <f t="array" ref="B1543">_xlfn.XLOOKUP($A1543, 'Customer Names'!$A:$A, 'Customer Names'!B:B, "No Data")</f>
        <v>Frank</v>
      </c>
      <c r="C1543" s="28">
        <f t="array" ref="C1543">_xlfn.XLOOKUP($A1543, 'Medical Examinations'!$A:$A, 'Medical Examinations'!B:B, "No Data")</f>
        <v>41.23</v>
      </c>
      <c r="D1543" s="28">
        <f t="array" ref="D1543">_xlfn.XLOOKUP($A1543, 'Medical Examinations'!$A:$A, 'Medical Examinations'!C:C, "No Data")</f>
        <v>4.24</v>
      </c>
      <c r="E1543" s="28" t="str">
        <f t="array" ref="E1543">_xlfn.XLOOKUP($A1543, 'Medical Examinations'!$A:$A, 'Medical Examinations'!D:D, "No Data")</f>
        <v>No</v>
      </c>
      <c r="F1543" s="28" t="str">
        <f t="array" ref="F1543">_xlfn.XLOOKUP($A1543, 'Medical Examinations'!$A:$A, 'Medical Examinations'!E:E, "No Data")</f>
        <v>No</v>
      </c>
      <c r="G1543" s="28" t="str">
        <f t="array" ref="G1543">_xlfn.XLOOKUP($A1543, 'Medical Examinations'!$A:$A, 'Medical Examinations'!F:F, "No Data")</f>
        <v>No</v>
      </c>
      <c r="H1543" s="28">
        <f t="array" ref="H1543">_xlfn.XLOOKUP($A1543, 'Medical Examinations'!$A:$A, 'Medical Examinations'!G:G, "No Data")</f>
        <v>0</v>
      </c>
      <c r="I1543" s="28" t="str">
        <f t="array" ref="I1543">_xlfn.XLOOKUP($A1543, 'Medical Examinations'!$A:$A, 'Medical Examinations'!H:H, "No Data")</f>
        <v>No</v>
      </c>
      <c r="J1543" s="28" t="str">
        <f t="array" ref="J1543">_xlfn.XLOOKUP($A1543, 'Medical Examinations'!$A:$A, 'Medical Examinations'!I:I, "No Data")</f>
        <v>Obesity</v>
      </c>
      <c r="K1543" s="28" t="str">
        <f t="array" ref="K1543">_xlfn.XLOOKUP($A1543, 'Hospitalisation Details'!$A:$A, 'Hospitalisation Details'!I:I, "No Data")</f>
        <v>tier - 2</v>
      </c>
      <c r="L1543" s="28" t="str">
        <f t="array" ref="L1543">_xlfn.XLOOKUP($A1543, 'Hospitalisation Details'!$A:$A, 'Hospitalisation Details'!J:J, "No Data")</f>
        <v>R1015</v>
      </c>
      <c r="M1543" s="28" t="str">
        <f t="array" ref="M1543">_xlfn.XLOOKUP($A1543, 'Hospitalisation Details'!$A:$A, 'Hospitalisation Details'!E:E, "No Data")</f>
        <v>28/08/82</v>
      </c>
      <c r="N1543" s="28">
        <f t="array" ref="N1543">_xlfn.XLOOKUP($A1543, 'Hospitalisation Details'!$A:$A, 'Hospitalisation Details'!K:K, "No Data")</f>
        <v>40</v>
      </c>
      <c r="O1543" s="33">
        <f t="array" ref="O1543">_xlfn.XLOOKUP($A1543, 'Hospitalisation Details'!$A:$A, 'Hospitalisation Details'!G:G, "No Data")</f>
        <v>6610.11</v>
      </c>
      <c r="P1543" s="28" t="str">
        <f t="array" ref="P1543">_xlfn.XLOOKUP($A1543, 'Hospitalisation Details'!$A:$A, 'Hospitalisation Details'!H:H, "No Data")</f>
        <v>tier - 3</v>
      </c>
    </row>
    <row r="1544">
      <c r="A1544" s="25" t="s">
        <v>4833</v>
      </c>
      <c r="B1544" s="28" t="str">
        <f t="array" ref="B1544">_xlfn.XLOOKUP($A1544, 'Customer Names'!$A:$A, 'Customer Names'!B:B, "No Data")</f>
        <v>Shanley</v>
      </c>
      <c r="C1544" s="28">
        <f t="array" ref="C1544">_xlfn.XLOOKUP($A1544, 'Medical Examinations'!$A:$A, 'Medical Examinations'!B:B, "No Data")</f>
        <v>29.9</v>
      </c>
      <c r="D1544" s="28">
        <f t="array" ref="D1544">_xlfn.XLOOKUP($A1544, 'Medical Examinations'!$A:$A, 'Medical Examinations'!C:C, "No Data")</f>
        <v>5.91</v>
      </c>
      <c r="E1544" s="28" t="str">
        <f t="array" ref="E1544">_xlfn.XLOOKUP($A1544, 'Medical Examinations'!$A:$A, 'Medical Examinations'!D:D, "No Data")</f>
        <v>No</v>
      </c>
      <c r="F1544" s="28" t="str">
        <f t="array" ref="F1544">_xlfn.XLOOKUP($A1544, 'Medical Examinations'!$A:$A, 'Medical Examinations'!E:E, "No Data")</f>
        <v>No</v>
      </c>
      <c r="G1544" s="28" t="str">
        <f t="array" ref="G1544">_xlfn.XLOOKUP($A1544, 'Medical Examinations'!$A:$A, 'Medical Examinations'!F:F, "No Data")</f>
        <v>No</v>
      </c>
      <c r="H1544" s="28">
        <f t="array" ref="H1544">_xlfn.XLOOKUP($A1544, 'Medical Examinations'!$A:$A, 'Medical Examinations'!G:G, "No Data")</f>
        <v>0</v>
      </c>
      <c r="I1544" s="28" t="str">
        <f t="array" ref="I1544">_xlfn.XLOOKUP($A1544, 'Medical Examinations'!$A:$A, 'Medical Examinations'!H:H, "No Data")</f>
        <v>No</v>
      </c>
      <c r="J1544" s="28" t="str">
        <f t="array" ref="J1544">_xlfn.XLOOKUP($A1544, 'Medical Examinations'!$A:$A, 'Medical Examinations'!I:I, "No Data")</f>
        <v>Overweight</v>
      </c>
      <c r="K1544" s="28" t="str">
        <f t="array" ref="K1544">_xlfn.XLOOKUP($A1544, 'Hospitalisation Details'!$A:$A, 'Hospitalisation Details'!I:I, "No Data")</f>
        <v>tier - 3</v>
      </c>
      <c r="L1544" s="28" t="str">
        <f t="array" ref="L1544">_xlfn.XLOOKUP($A1544, 'Hospitalisation Details'!$A:$A, 'Hospitalisation Details'!J:J, "No Data")</f>
        <v>R1011</v>
      </c>
      <c r="M1544" s="28" t="str">
        <f t="array" ref="M1544">_xlfn.XLOOKUP($A1544, 'Hospitalisation Details'!$A:$A, 'Hospitalisation Details'!E:E, "No Data")</f>
        <v>07/11/82</v>
      </c>
      <c r="N1544" s="28">
        <f t="array" ref="N1544">_xlfn.XLOOKUP($A1544, 'Hospitalisation Details'!$A:$A, 'Hospitalisation Details'!K:K, "No Data")</f>
        <v>40</v>
      </c>
      <c r="O1544" s="33">
        <f t="array" ref="O1544">_xlfn.XLOOKUP($A1544, 'Hospitalisation Details'!$A:$A, 'Hospitalisation Details'!G:G, "No Data")</f>
        <v>6600.36</v>
      </c>
      <c r="P1544" s="28" t="str">
        <f t="array" ref="P1544">_xlfn.XLOOKUP($A1544, 'Hospitalisation Details'!$A:$A, 'Hospitalisation Details'!H:H, "No Data")</f>
        <v>tier - 2</v>
      </c>
    </row>
    <row r="1545">
      <c r="A1545" s="25" t="s">
        <v>4828</v>
      </c>
      <c r="B1545" s="28" t="str">
        <f t="array" ref="B1545">_xlfn.XLOOKUP($A1545, 'Customer Names'!$A:$A, 'Customer Names'!B:B, "No Data")</f>
        <v>Mancebo Garcia</v>
      </c>
      <c r="C1545" s="28">
        <f t="array" ref="C1545">_xlfn.XLOOKUP($A1545, 'Medical Examinations'!$A:$A, 'Medical Examinations'!B:B, "No Data")</f>
        <v>34.105</v>
      </c>
      <c r="D1545" s="28">
        <f t="array" ref="D1545">_xlfn.XLOOKUP($A1545, 'Medical Examinations'!$A:$A, 'Medical Examinations'!C:C, "No Data")</f>
        <v>5.93</v>
      </c>
      <c r="E1545" s="28" t="str">
        <f t="array" ref="E1545">_xlfn.XLOOKUP($A1545, 'Medical Examinations'!$A:$A, 'Medical Examinations'!D:D, "No Data")</f>
        <v>No</v>
      </c>
      <c r="F1545" s="28" t="str">
        <f t="array" ref="F1545">_xlfn.XLOOKUP($A1545, 'Medical Examinations'!$A:$A, 'Medical Examinations'!E:E, "No Data")</f>
        <v>No</v>
      </c>
      <c r="G1545" s="28" t="str">
        <f t="array" ref="G1545">_xlfn.XLOOKUP($A1545, 'Medical Examinations'!$A:$A, 'Medical Examinations'!F:F, "No Data")</f>
        <v>No</v>
      </c>
      <c r="H1545" s="28">
        <f t="array" ref="H1545">_xlfn.XLOOKUP($A1545, 'Medical Examinations'!$A:$A, 'Medical Examinations'!G:G, "No Data")</f>
        <v>0</v>
      </c>
      <c r="I1545" s="28" t="str">
        <f t="array" ref="I1545">_xlfn.XLOOKUP($A1545, 'Medical Examinations'!$A:$A, 'Medical Examinations'!H:H, "No Data")</f>
        <v>No</v>
      </c>
      <c r="J1545" s="28" t="str">
        <f t="array" ref="J1545">_xlfn.XLOOKUP($A1545, 'Medical Examinations'!$A:$A, 'Medical Examinations'!I:I, "No Data")</f>
        <v>Obesity</v>
      </c>
      <c r="K1545" s="28" t="str">
        <f t="array" ref="K1545">_xlfn.XLOOKUP($A1545, 'Hospitalisation Details'!$A:$A, 'Hospitalisation Details'!I:I, "No Data")</f>
        <v>tier - 2</v>
      </c>
      <c r="L1545" s="28" t="str">
        <f t="array" ref="L1545">_xlfn.XLOOKUP($A1545, 'Hospitalisation Details'!$A:$A, 'Hospitalisation Details'!J:J, "No Data")</f>
        <v>R1016</v>
      </c>
      <c r="M1545" s="28" t="str">
        <f t="array" ref="M1545">_xlfn.XLOOKUP($A1545, 'Hospitalisation Details'!$A:$A, 'Hospitalisation Details'!E:E, "No Data")</f>
        <v>29/12/82</v>
      </c>
      <c r="N1545" s="28">
        <f t="array" ref="N1545">_xlfn.XLOOKUP($A1545, 'Hospitalisation Details'!$A:$A, 'Hospitalisation Details'!K:K, "No Data")</f>
        <v>40</v>
      </c>
      <c r="O1545" s="33">
        <f t="array" ref="O1545">_xlfn.XLOOKUP($A1545, 'Hospitalisation Details'!$A:$A, 'Hospitalisation Details'!G:G, "No Data")</f>
        <v>6600.21</v>
      </c>
      <c r="P1545" s="28" t="str">
        <f t="array" ref="P1545">_xlfn.XLOOKUP($A1545, 'Hospitalisation Details'!$A:$A, 'Hospitalisation Details'!H:H, "No Data")</f>
        <v>tier - 3</v>
      </c>
    </row>
    <row r="1546">
      <c r="A1546" s="25" t="s">
        <v>4822</v>
      </c>
      <c r="B1546" s="28" t="str">
        <f t="array" ref="B1546">_xlfn.XLOOKUP($A1546, 'Customer Names'!$A:$A, 'Customer Names'!B:B, "No Data")</f>
        <v>Keehan</v>
      </c>
      <c r="C1546" s="28">
        <f t="array" ref="C1546">_xlfn.XLOOKUP($A1546, 'Medical Examinations'!$A:$A, 'Medical Examinations'!B:B, "No Data")</f>
        <v>24.97</v>
      </c>
      <c r="D1546" s="28">
        <f t="array" ref="D1546">_xlfn.XLOOKUP($A1546, 'Medical Examinations'!$A:$A, 'Medical Examinations'!C:C, "No Data")</f>
        <v>5.66</v>
      </c>
      <c r="E1546" s="28" t="str">
        <f t="array" ref="E1546">_xlfn.XLOOKUP($A1546, 'Medical Examinations'!$A:$A, 'Medical Examinations'!D:D, "No Data")</f>
        <v>No</v>
      </c>
      <c r="F1546" s="28" t="str">
        <f t="array" ref="F1546">_xlfn.XLOOKUP($A1546, 'Medical Examinations'!$A:$A, 'Medical Examinations'!E:E, "No Data")</f>
        <v>No</v>
      </c>
      <c r="G1546" s="28" t="str">
        <f t="array" ref="G1546">_xlfn.XLOOKUP($A1546, 'Medical Examinations'!$A:$A, 'Medical Examinations'!F:F, "No Data")</f>
        <v>No</v>
      </c>
      <c r="H1546" s="28">
        <f t="array" ref="H1546">_xlfn.XLOOKUP($A1546, 'Medical Examinations'!$A:$A, 'Medical Examinations'!G:G, "No Data")</f>
        <v>0</v>
      </c>
      <c r="I1546" s="28" t="str">
        <f t="array" ref="I1546">_xlfn.XLOOKUP($A1546, 'Medical Examinations'!$A:$A, 'Medical Examinations'!H:H, "No Data")</f>
        <v>No</v>
      </c>
      <c r="J1546" s="28" t="str">
        <f t="array" ref="J1546">_xlfn.XLOOKUP($A1546, 'Medical Examinations'!$A:$A, 'Medical Examinations'!I:I, "No Data")</f>
        <v>Normal Weight</v>
      </c>
      <c r="K1546" s="28" t="str">
        <f t="array" ref="K1546">_xlfn.XLOOKUP($A1546, 'Hospitalisation Details'!$A:$A, 'Hospitalisation Details'!I:I, "No Data")</f>
        <v>tier - 1</v>
      </c>
      <c r="L1546" s="28" t="str">
        <f t="array" ref="L1546">_xlfn.XLOOKUP($A1546, 'Hospitalisation Details'!$A:$A, 'Hospitalisation Details'!J:J, "No Data")</f>
        <v>R1013</v>
      </c>
      <c r="M1546" s="28" t="str">
        <f t="array" ref="M1546">_xlfn.XLOOKUP($A1546, 'Hospitalisation Details'!$A:$A, 'Hospitalisation Details'!E:E, "No Data")</f>
        <v>22/11/82</v>
      </c>
      <c r="N1546" s="28">
        <f t="array" ref="N1546">_xlfn.XLOOKUP($A1546, 'Hospitalisation Details'!$A:$A, 'Hospitalisation Details'!K:K, "No Data")</f>
        <v>40</v>
      </c>
      <c r="O1546" s="33">
        <f t="array" ref="O1546">_xlfn.XLOOKUP($A1546, 'Hospitalisation Details'!$A:$A, 'Hospitalisation Details'!G:G, "No Data")</f>
        <v>6593.51</v>
      </c>
      <c r="P1546" s="28" t="str">
        <f t="array" ref="P1546">_xlfn.XLOOKUP($A1546, 'Hospitalisation Details'!$A:$A, 'Hospitalisation Details'!H:H, "No Data")</f>
        <v>tier - 2</v>
      </c>
    </row>
    <row r="1547">
      <c r="A1547" s="25" t="s">
        <v>4819</v>
      </c>
      <c r="B1547" s="28" t="str">
        <f t="array" ref="B1547">_xlfn.XLOOKUP($A1547, 'Customer Names'!$A:$A, 'Customer Names'!B:B, "No Data")</f>
        <v>Mahaney</v>
      </c>
      <c r="C1547" s="28">
        <f t="array" ref="C1547">_xlfn.XLOOKUP($A1547, 'Medical Examinations'!$A:$A, 'Medical Examinations'!B:B, "No Data")</f>
        <v>34.8</v>
      </c>
      <c r="D1547" s="28">
        <f t="array" ref="D1547">_xlfn.XLOOKUP($A1547, 'Medical Examinations'!$A:$A, 'Medical Examinations'!C:C, "No Data")</f>
        <v>4.19</v>
      </c>
      <c r="E1547" s="28" t="str">
        <f t="array" ref="E1547">_xlfn.XLOOKUP($A1547, 'Medical Examinations'!$A:$A, 'Medical Examinations'!D:D, "No Data")</f>
        <v>No</v>
      </c>
      <c r="F1547" s="28" t="str">
        <f t="array" ref="F1547">_xlfn.XLOOKUP($A1547, 'Medical Examinations'!$A:$A, 'Medical Examinations'!E:E, "No Data")</f>
        <v>No</v>
      </c>
      <c r="G1547" s="28" t="str">
        <f t="array" ref="G1547">_xlfn.XLOOKUP($A1547, 'Medical Examinations'!$A:$A, 'Medical Examinations'!F:F, "No Data")</f>
        <v>No</v>
      </c>
      <c r="H1547" s="28">
        <f t="array" ref="H1547">_xlfn.XLOOKUP($A1547, 'Medical Examinations'!$A:$A, 'Medical Examinations'!G:G, "No Data")</f>
        <v>1</v>
      </c>
      <c r="I1547" s="28" t="str">
        <f t="array" ref="I1547">_xlfn.XLOOKUP($A1547, 'Medical Examinations'!$A:$A, 'Medical Examinations'!H:H, "No Data")</f>
        <v>No</v>
      </c>
      <c r="J1547" s="28" t="str">
        <f t="array" ref="J1547">_xlfn.XLOOKUP($A1547, 'Medical Examinations'!$A:$A, 'Medical Examinations'!I:I, "No Data")</f>
        <v>Obesity</v>
      </c>
      <c r="K1547" s="28" t="str">
        <f t="array" ref="K1547">_xlfn.XLOOKUP($A1547, 'Hospitalisation Details'!$A:$A, 'Hospitalisation Details'!I:I, "No Data")</f>
        <v>tier - 3</v>
      </c>
      <c r="L1547" s="28" t="str">
        <f t="array" ref="L1547">_xlfn.XLOOKUP($A1547, 'Hospitalisation Details'!$A:$A, 'Hospitalisation Details'!J:J, "No Data")</f>
        <v>R1011</v>
      </c>
      <c r="M1547" s="28" t="str">
        <f t="array" ref="M1547">_xlfn.XLOOKUP($A1547, 'Hospitalisation Details'!$A:$A, 'Hospitalisation Details'!E:E, "No Data")</f>
        <v>05/10/84</v>
      </c>
      <c r="N1547" s="28">
        <f t="array" ref="N1547">_xlfn.XLOOKUP($A1547, 'Hospitalisation Details'!$A:$A, 'Hospitalisation Details'!K:K, "No Data")</f>
        <v>38</v>
      </c>
      <c r="O1547" s="33">
        <f t="array" ref="O1547">_xlfn.XLOOKUP($A1547, 'Hospitalisation Details'!$A:$A, 'Hospitalisation Details'!G:G, "No Data")</f>
        <v>6571.54</v>
      </c>
      <c r="P1547" s="28" t="str">
        <f t="array" ref="P1547">_xlfn.XLOOKUP($A1547, 'Hospitalisation Details'!$A:$A, 'Hospitalisation Details'!H:H, "No Data")</f>
        <v>tier - 2</v>
      </c>
    </row>
    <row r="1548">
      <c r="A1548" s="25" t="s">
        <v>4815</v>
      </c>
      <c r="B1548" s="28" t="str">
        <f t="array" ref="B1548">_xlfn.XLOOKUP($A1548, 'Customer Names'!$A:$A, 'Customer Names'!B:B, "No Data")</f>
        <v>Nolan</v>
      </c>
      <c r="C1548" s="28">
        <f t="array" ref="C1548">_xlfn.XLOOKUP($A1548, 'Medical Examinations'!$A:$A, 'Medical Examinations'!B:B, "No Data")</f>
        <v>32.965</v>
      </c>
      <c r="D1548" s="28">
        <f t="array" ref="D1548">_xlfn.XLOOKUP($A1548, 'Medical Examinations'!$A:$A, 'Medical Examinations'!C:C, "No Data")</f>
        <v>9.21</v>
      </c>
      <c r="E1548" s="28" t="str">
        <f t="array" ref="E1548">_xlfn.XLOOKUP($A1548, 'Medical Examinations'!$A:$A, 'Medical Examinations'!D:D, "No Data")</f>
        <v>yes</v>
      </c>
      <c r="F1548" s="28" t="str">
        <f t="array" ref="F1548">_xlfn.XLOOKUP($A1548, 'Medical Examinations'!$A:$A, 'Medical Examinations'!E:E, "No Data")</f>
        <v>No</v>
      </c>
      <c r="G1548" s="28" t="str">
        <f t="array" ref="G1548">_xlfn.XLOOKUP($A1548, 'Medical Examinations'!$A:$A, 'Medical Examinations'!F:F, "No Data")</f>
        <v>No</v>
      </c>
      <c r="H1548" s="28">
        <f t="array" ref="H1548">_xlfn.XLOOKUP($A1548, 'Medical Examinations'!$A:$A, 'Medical Examinations'!G:G, "No Data")</f>
        <v>0</v>
      </c>
      <c r="I1548" s="28" t="str">
        <f t="array" ref="I1548">_xlfn.XLOOKUP($A1548, 'Medical Examinations'!$A:$A, 'Medical Examinations'!H:H, "No Data")</f>
        <v>No</v>
      </c>
      <c r="J1548" s="28" t="str">
        <f t="array" ref="J1548">_xlfn.XLOOKUP($A1548, 'Medical Examinations'!$A:$A, 'Medical Examinations'!I:I, "No Data")</f>
        <v>Obesity</v>
      </c>
      <c r="K1548" s="28" t="str">
        <f t="array" ref="K1548">_xlfn.XLOOKUP($A1548, 'Hospitalisation Details'!$A:$A, 'Hospitalisation Details'!I:I, "No Data")</f>
        <v>tier - 1</v>
      </c>
      <c r="L1548" s="28" t="str">
        <f t="array" ref="L1548">_xlfn.XLOOKUP($A1548, 'Hospitalisation Details'!$A:$A, 'Hospitalisation Details'!J:J, "No Data")</f>
        <v>R1012</v>
      </c>
      <c r="M1548" s="28" t="str">
        <f t="array" ref="M1548">_xlfn.XLOOKUP($A1548, 'Hospitalisation Details'!$A:$A, 'Hospitalisation Details'!E:E, "No Data")</f>
        <v>20/07/81</v>
      </c>
      <c r="N1548" s="28">
        <f t="array" ref="N1548">_xlfn.XLOOKUP($A1548, 'Hospitalisation Details'!$A:$A, 'Hospitalisation Details'!K:K, "No Data")</f>
        <v>41</v>
      </c>
      <c r="O1548" s="33">
        <f t="array" ref="O1548">_xlfn.XLOOKUP($A1548, 'Hospitalisation Details'!$A:$A, 'Hospitalisation Details'!G:G, "No Data")</f>
        <v>6571.02</v>
      </c>
      <c r="P1548" s="28" t="str">
        <f t="array" ref="P1548">_xlfn.XLOOKUP($A1548, 'Hospitalisation Details'!$A:$A, 'Hospitalisation Details'!H:H, "No Data")</f>
        <v>tier - 2</v>
      </c>
    </row>
    <row r="1549">
      <c r="A1549" s="25" t="s">
        <v>4812</v>
      </c>
      <c r="B1549" s="28" t="str">
        <f t="array" ref="B1549">_xlfn.XLOOKUP($A1549, 'Customer Names'!$A:$A, 'Customer Names'!B:B, "No Data")</f>
        <v>Sobrino</v>
      </c>
      <c r="C1549" s="28">
        <f t="array" ref="C1549">_xlfn.XLOOKUP($A1549, 'Medical Examinations'!$A:$A, 'Medical Examinations'!B:B, "No Data")</f>
        <v>27.265</v>
      </c>
      <c r="D1549" s="28">
        <f t="array" ref="D1549">_xlfn.XLOOKUP($A1549, 'Medical Examinations'!$A:$A, 'Medical Examinations'!C:C, "No Data")</f>
        <v>5.51</v>
      </c>
      <c r="E1549" s="28" t="str">
        <f t="array" ref="E1549">_xlfn.XLOOKUP($A1549, 'Medical Examinations'!$A:$A, 'Medical Examinations'!D:D, "No Data")</f>
        <v>No</v>
      </c>
      <c r="F1549" s="28" t="str">
        <f t="array" ref="F1549">_xlfn.XLOOKUP($A1549, 'Medical Examinations'!$A:$A, 'Medical Examinations'!E:E, "No Data")</f>
        <v>No</v>
      </c>
      <c r="G1549" s="28" t="str">
        <f t="array" ref="G1549">_xlfn.XLOOKUP($A1549, 'Medical Examinations'!$A:$A, 'Medical Examinations'!F:F, "No Data")</f>
        <v>No</v>
      </c>
      <c r="H1549" s="28">
        <f t="array" ref="H1549">_xlfn.XLOOKUP($A1549, 'Medical Examinations'!$A:$A, 'Medical Examinations'!G:G, "No Data")</f>
        <v>1</v>
      </c>
      <c r="I1549" s="28" t="str">
        <f t="array" ref="I1549">_xlfn.XLOOKUP($A1549, 'Medical Examinations'!$A:$A, 'Medical Examinations'!H:H, "No Data")</f>
        <v>No</v>
      </c>
      <c r="J1549" s="28" t="str">
        <f t="array" ref="J1549">_xlfn.XLOOKUP($A1549, 'Medical Examinations'!$A:$A, 'Medical Examinations'!I:I, "No Data")</f>
        <v>Overweight</v>
      </c>
      <c r="K1549" s="28" t="str">
        <f t="array" ref="K1549">_xlfn.XLOOKUP($A1549, 'Hospitalisation Details'!$A:$A, 'Hospitalisation Details'!I:I, "No Data")</f>
        <v>tier - 2</v>
      </c>
      <c r="L1549" s="28" t="str">
        <f t="array" ref="L1549">_xlfn.XLOOKUP($A1549, 'Hospitalisation Details'!$A:$A, 'Hospitalisation Details'!J:J, "No Data")</f>
        <v>R1024</v>
      </c>
      <c r="M1549" s="28" t="str">
        <f t="array" ref="M1549">_xlfn.XLOOKUP($A1549, 'Hospitalisation Details'!$A:$A, 'Hospitalisation Details'!E:E, "No Data")</f>
        <v>20/09/84</v>
      </c>
      <c r="N1549" s="28">
        <f t="array" ref="N1549">_xlfn.XLOOKUP($A1549, 'Hospitalisation Details'!$A:$A, 'Hospitalisation Details'!K:K, "No Data")</f>
        <v>38</v>
      </c>
      <c r="O1549" s="33">
        <f t="array" ref="O1549">_xlfn.XLOOKUP($A1549, 'Hospitalisation Details'!$A:$A, 'Hospitalisation Details'!G:G, "No Data")</f>
        <v>6555.07</v>
      </c>
      <c r="P1549" s="28" t="str">
        <f t="array" ref="P1549">_xlfn.XLOOKUP($A1549, 'Hospitalisation Details'!$A:$A, 'Hospitalisation Details'!H:H, "No Data")</f>
        <v>tier - 2</v>
      </c>
    </row>
    <row r="1550">
      <c r="A1550" s="25" t="s">
        <v>4809</v>
      </c>
      <c r="B1550" s="28" t="str">
        <f t="array" ref="B1550">_xlfn.XLOOKUP($A1550, 'Customer Names'!$A:$A, 'Customer Names'!B:B, "No Data")</f>
        <v>Gennaro</v>
      </c>
      <c r="C1550" s="28">
        <f t="array" ref="C1550">_xlfn.XLOOKUP($A1550, 'Medical Examinations'!$A:$A, 'Medical Examinations'!B:B, "No Data")</f>
        <v>17.06</v>
      </c>
      <c r="D1550" s="28">
        <f t="array" ref="D1550">_xlfn.XLOOKUP($A1550, 'Medical Examinations'!$A:$A, 'Medical Examinations'!C:C, "No Data")</f>
        <v>8.5</v>
      </c>
      <c r="E1550" s="28" t="str">
        <f t="array" ref="E1550">_xlfn.XLOOKUP($A1550, 'Medical Examinations'!$A:$A, 'Medical Examinations'!D:D, "No Data")</f>
        <v>No</v>
      </c>
      <c r="F1550" s="28" t="str">
        <f t="array" ref="F1550">_xlfn.XLOOKUP($A1550, 'Medical Examinations'!$A:$A, 'Medical Examinations'!E:E, "No Data")</f>
        <v>No</v>
      </c>
      <c r="G1550" s="28" t="str">
        <f t="array" ref="G1550">_xlfn.XLOOKUP($A1550, 'Medical Examinations'!$A:$A, 'Medical Examinations'!F:F, "No Data")</f>
        <v>No</v>
      </c>
      <c r="H1550" s="28">
        <f t="array" ref="H1550">_xlfn.XLOOKUP($A1550, 'Medical Examinations'!$A:$A, 'Medical Examinations'!G:G, "No Data")</f>
        <v>0</v>
      </c>
      <c r="I1550" s="28" t="str">
        <f t="array" ref="I1550">_xlfn.XLOOKUP($A1550, 'Medical Examinations'!$A:$A, 'Medical Examinations'!H:H, "No Data")</f>
        <v>No</v>
      </c>
      <c r="J1550" s="28" t="str">
        <f t="array" ref="J1550">_xlfn.XLOOKUP($A1550, 'Medical Examinations'!$A:$A, 'Medical Examinations'!I:I, "No Data")</f>
        <v>Underweight</v>
      </c>
      <c r="K1550" s="28" t="str">
        <f t="array" ref="K1550">_xlfn.XLOOKUP($A1550, 'Hospitalisation Details'!$A:$A, 'Hospitalisation Details'!I:I, "No Data")</f>
        <v>tier - 2</v>
      </c>
      <c r="L1550" s="28" t="str">
        <f t="array" ref="L1550">_xlfn.XLOOKUP($A1550, 'Hospitalisation Details'!$A:$A, 'Hospitalisation Details'!J:J, "No Data")</f>
        <v>R1013</v>
      </c>
      <c r="M1550" s="28" t="str">
        <f t="array" ref="M1550">_xlfn.XLOOKUP($A1550, 'Hospitalisation Details'!$A:$A, 'Hospitalisation Details'!E:E, "No Data")</f>
        <v>11/12/68</v>
      </c>
      <c r="N1550" s="28">
        <f t="array" ref="N1550">_xlfn.XLOOKUP($A1550, 'Hospitalisation Details'!$A:$A, 'Hospitalisation Details'!K:K, "No Data")</f>
        <v>54</v>
      </c>
      <c r="O1550" s="33">
        <f t="array" ref="O1550">_xlfn.XLOOKUP($A1550, 'Hospitalisation Details'!$A:$A, 'Hospitalisation Details'!G:G, "No Data")</f>
        <v>6552.01</v>
      </c>
      <c r="P1550" s="28" t="str">
        <f t="array" ref="P1550">_xlfn.XLOOKUP($A1550, 'Hospitalisation Details'!$A:$A, 'Hospitalisation Details'!H:H, "No Data")</f>
        <v>tier - 3</v>
      </c>
    </row>
    <row r="1551">
      <c r="A1551" s="25" t="s">
        <v>4806</v>
      </c>
      <c r="B1551" s="28" t="str">
        <f t="array" ref="B1551">_xlfn.XLOOKUP($A1551, 'Customer Names'!$A:$A, 'Customer Names'!B:B, "No Data")</f>
        <v>Mayer</v>
      </c>
      <c r="C1551" s="28">
        <f t="array" ref="C1551">_xlfn.XLOOKUP($A1551, 'Medical Examinations'!$A:$A, 'Medical Examinations'!B:B, "No Data")</f>
        <v>36.29</v>
      </c>
      <c r="D1551" s="28">
        <f t="array" ref="D1551">_xlfn.XLOOKUP($A1551, 'Medical Examinations'!$A:$A, 'Medical Examinations'!C:C, "No Data")</f>
        <v>6.23</v>
      </c>
      <c r="E1551" s="28" t="str">
        <f t="array" ref="E1551">_xlfn.XLOOKUP($A1551, 'Medical Examinations'!$A:$A, 'Medical Examinations'!D:D, "No Data")</f>
        <v>No</v>
      </c>
      <c r="F1551" s="28" t="str">
        <f t="array" ref="F1551">_xlfn.XLOOKUP($A1551, 'Medical Examinations'!$A:$A, 'Medical Examinations'!E:E, "No Data")</f>
        <v>No</v>
      </c>
      <c r="G1551" s="28" t="str">
        <f t="array" ref="G1551">_xlfn.XLOOKUP($A1551, 'Medical Examinations'!$A:$A, 'Medical Examinations'!F:F, "No Data")</f>
        <v>No</v>
      </c>
      <c r="H1551" s="28">
        <f t="array" ref="H1551">_xlfn.XLOOKUP($A1551, 'Medical Examinations'!$A:$A, 'Medical Examinations'!G:G, "No Data")</f>
        <v>0</v>
      </c>
      <c r="I1551" s="28" t="str">
        <f t="array" ref="I1551">_xlfn.XLOOKUP($A1551, 'Medical Examinations'!$A:$A, 'Medical Examinations'!H:H, "No Data")</f>
        <v>No</v>
      </c>
      <c r="J1551" s="28" t="str">
        <f t="array" ref="J1551">_xlfn.XLOOKUP($A1551, 'Medical Examinations'!$A:$A, 'Medical Examinations'!I:I, "No Data")</f>
        <v>Obesity</v>
      </c>
      <c r="K1551" s="28" t="str">
        <f t="array" ref="K1551">_xlfn.XLOOKUP($A1551, 'Hospitalisation Details'!$A:$A, 'Hospitalisation Details'!I:I, "No Data")</f>
        <v>tier - 2</v>
      </c>
      <c r="L1551" s="28" t="str">
        <f t="array" ref="L1551">_xlfn.XLOOKUP($A1551, 'Hospitalisation Details'!$A:$A, 'Hospitalisation Details'!J:J, "No Data")</f>
        <v>R1024</v>
      </c>
      <c r="M1551" s="28" t="str">
        <f t="array" ref="M1551">_xlfn.XLOOKUP($A1551, 'Hospitalisation Details'!$A:$A, 'Hospitalisation Details'!E:E, "No Data")</f>
        <v>06/08/89</v>
      </c>
      <c r="N1551" s="28">
        <f t="array" ref="N1551">_xlfn.XLOOKUP($A1551, 'Hospitalisation Details'!$A:$A, 'Hospitalisation Details'!K:K, "No Data")</f>
        <v>33</v>
      </c>
      <c r="O1551" s="33">
        <f t="array" ref="O1551">_xlfn.XLOOKUP($A1551, 'Hospitalisation Details'!$A:$A, 'Hospitalisation Details'!G:G, "No Data")</f>
        <v>6551.75</v>
      </c>
      <c r="P1551" s="28" t="str">
        <f t="array" ref="P1551">_xlfn.XLOOKUP($A1551, 'Hospitalisation Details'!$A:$A, 'Hospitalisation Details'!H:H, "No Data")</f>
        <v>tier - 2</v>
      </c>
    </row>
    <row r="1552">
      <c r="A1552" s="25" t="s">
        <v>4802</v>
      </c>
      <c r="B1552" s="28" t="str">
        <f t="array" ref="B1552">_xlfn.XLOOKUP($A1552, 'Customer Names'!$A:$A, 'Customer Names'!B:B, "No Data")</f>
        <v>Becker</v>
      </c>
      <c r="C1552" s="28">
        <f t="array" ref="C1552">_xlfn.XLOOKUP($A1552, 'Medical Examinations'!$A:$A, 'Medical Examinations'!B:B, "No Data")</f>
        <v>28.595</v>
      </c>
      <c r="D1552" s="28">
        <f t="array" ref="D1552">_xlfn.XLOOKUP($A1552, 'Medical Examinations'!$A:$A, 'Medical Examinations'!C:C, "No Data")</f>
        <v>8.53</v>
      </c>
      <c r="E1552" s="28" t="str">
        <f t="array" ref="E1552">_xlfn.XLOOKUP($A1552, 'Medical Examinations'!$A:$A, 'Medical Examinations'!D:D, "No Data")</f>
        <v>yes</v>
      </c>
      <c r="F1552" s="28" t="str">
        <f t="array" ref="F1552">_xlfn.XLOOKUP($A1552, 'Medical Examinations'!$A:$A, 'Medical Examinations'!E:E, "No Data")</f>
        <v>No</v>
      </c>
      <c r="G1552" s="28" t="str">
        <f t="array" ref="G1552">_xlfn.XLOOKUP($A1552, 'Medical Examinations'!$A:$A, 'Medical Examinations'!F:F, "No Data")</f>
        <v>No</v>
      </c>
      <c r="H1552" s="28">
        <f t="array" ref="H1552">_xlfn.XLOOKUP($A1552, 'Medical Examinations'!$A:$A, 'Medical Examinations'!G:G, "No Data")</f>
        <v>1</v>
      </c>
      <c r="I1552" s="28" t="str">
        <f t="array" ref="I1552">_xlfn.XLOOKUP($A1552, 'Medical Examinations'!$A:$A, 'Medical Examinations'!H:H, "No Data")</f>
        <v>No</v>
      </c>
      <c r="J1552" s="28" t="str">
        <f t="array" ref="J1552">_xlfn.XLOOKUP($A1552, 'Medical Examinations'!$A:$A, 'Medical Examinations'!I:I, "No Data")</f>
        <v>Overweight</v>
      </c>
      <c r="K1552" s="28" t="str">
        <f t="array" ref="K1552">_xlfn.XLOOKUP($A1552, 'Hospitalisation Details'!$A:$A, 'Hospitalisation Details'!I:I, "No Data")</f>
        <v>tier - 3</v>
      </c>
      <c r="L1552" s="28" t="str">
        <f t="array" ref="L1552">_xlfn.XLOOKUP($A1552, 'Hospitalisation Details'!$A:$A, 'Hospitalisation Details'!J:J, "No Data")</f>
        <v>R1012</v>
      </c>
      <c r="M1552" s="28" t="str">
        <f t="array" ref="M1552">_xlfn.XLOOKUP($A1552, 'Hospitalisation Details'!$A:$A, 'Hospitalisation Details'!E:E, "No Data")</f>
        <v>18/12/86</v>
      </c>
      <c r="N1552" s="28">
        <f t="array" ref="N1552">_xlfn.XLOOKUP($A1552, 'Hospitalisation Details'!$A:$A, 'Hospitalisation Details'!K:K, "No Data")</f>
        <v>36</v>
      </c>
      <c r="O1552" s="33">
        <f t="array" ref="O1552">_xlfn.XLOOKUP($A1552, 'Hospitalisation Details'!$A:$A, 'Hospitalisation Details'!G:G, "No Data")</f>
        <v>6548.2</v>
      </c>
      <c r="P1552" s="28" t="str">
        <f t="array" ref="P1552">_xlfn.XLOOKUP($A1552, 'Hospitalisation Details'!$A:$A, 'Hospitalisation Details'!H:H, "No Data")</f>
        <v>tier - 2</v>
      </c>
    </row>
    <row r="1553">
      <c r="A1553" s="25" t="s">
        <v>4796</v>
      </c>
      <c r="B1553" s="28" t="str">
        <f t="array" ref="B1553">_xlfn.XLOOKUP($A1553, 'Customer Names'!$A:$A, 'Customer Names'!B:B, "No Data")</f>
        <v>Moore</v>
      </c>
      <c r="C1553" s="28">
        <f t="array" ref="C1553">_xlfn.XLOOKUP($A1553, 'Medical Examinations'!$A:$A, 'Medical Examinations'!B:B, "No Data")</f>
        <v>17.8</v>
      </c>
      <c r="D1553" s="28">
        <f t="array" ref="D1553">_xlfn.XLOOKUP($A1553, 'Medical Examinations'!$A:$A, 'Medical Examinations'!C:C, "No Data")</f>
        <v>5.75</v>
      </c>
      <c r="E1553" s="28" t="str">
        <f t="array" ref="E1553">_xlfn.XLOOKUP($A1553, 'Medical Examinations'!$A:$A, 'Medical Examinations'!D:D, "No Data")</f>
        <v>yes</v>
      </c>
      <c r="F1553" s="28" t="str">
        <f t="array" ref="F1553">_xlfn.XLOOKUP($A1553, 'Medical Examinations'!$A:$A, 'Medical Examinations'!E:E, "No Data")</f>
        <v>No</v>
      </c>
      <c r="G1553" s="28" t="str">
        <f t="array" ref="G1553">_xlfn.XLOOKUP($A1553, 'Medical Examinations'!$A:$A, 'Medical Examinations'!F:F, "No Data")</f>
        <v>Yes</v>
      </c>
      <c r="H1553" s="28">
        <f t="array" ref="H1553">_xlfn.XLOOKUP($A1553, 'Medical Examinations'!$A:$A, 'Medical Examinations'!G:G, "No Data")</f>
        <v>1</v>
      </c>
      <c r="I1553" s="28" t="str">
        <f t="array" ref="I1553">_xlfn.XLOOKUP($A1553, 'Medical Examinations'!$A:$A, 'Medical Examinations'!H:H, "No Data")</f>
        <v>No</v>
      </c>
      <c r="J1553" s="28" t="str">
        <f t="array" ref="J1553">_xlfn.XLOOKUP($A1553, 'Medical Examinations'!$A:$A, 'Medical Examinations'!I:I, "No Data")</f>
        <v>Underweight</v>
      </c>
      <c r="K1553" s="28" t="str">
        <f t="array" ref="K1553">_xlfn.XLOOKUP($A1553, 'Hospitalisation Details'!$A:$A, 'Hospitalisation Details'!I:I, "No Data")</f>
        <v>tier - 3</v>
      </c>
      <c r="L1553" s="28" t="str">
        <f t="array" ref="L1553">_xlfn.XLOOKUP($A1553, 'Hospitalisation Details'!$A:$A, 'Hospitalisation Details'!J:J, "No Data")</f>
        <v>R1013</v>
      </c>
      <c r="M1553" s="28" t="str">
        <f t="array" ref="M1553">_xlfn.XLOOKUP($A1553, 'Hospitalisation Details'!$A:$A, 'Hospitalisation Details'!E:E, "No Data")</f>
        <v>03/12/69</v>
      </c>
      <c r="N1553" s="28">
        <f t="array" ref="N1553">_xlfn.XLOOKUP($A1553, 'Hospitalisation Details'!$A:$A, 'Hospitalisation Details'!K:K, "No Data")</f>
        <v>53</v>
      </c>
      <c r="O1553" s="33">
        <f t="array" ref="O1553">_xlfn.XLOOKUP($A1553, 'Hospitalisation Details'!$A:$A, 'Hospitalisation Details'!G:G, "No Data")</f>
        <v>6546.16</v>
      </c>
      <c r="P1553" s="28" t="str">
        <f t="array" ref="P1553">_xlfn.XLOOKUP($A1553, 'Hospitalisation Details'!$A:$A, 'Hospitalisation Details'!H:H, "No Data")</f>
        <v>tier - 2</v>
      </c>
    </row>
    <row r="1554">
      <c r="A1554" s="25" t="s">
        <v>4792</v>
      </c>
      <c r="B1554" s="28" t="str">
        <f t="array" ref="B1554">_xlfn.XLOOKUP($A1554, 'Customer Names'!$A:$A, 'Customer Names'!B:B, "No Data")</f>
        <v>Platt</v>
      </c>
      <c r="C1554" s="28">
        <f t="array" ref="C1554">_xlfn.XLOOKUP($A1554, 'Medical Examinations'!$A:$A, 'Medical Examinations'!B:B, "No Data")</f>
        <v>21.4</v>
      </c>
      <c r="D1554" s="28">
        <f t="array" ref="D1554">_xlfn.XLOOKUP($A1554, 'Medical Examinations'!$A:$A, 'Medical Examinations'!C:C, "No Data")</f>
        <v>5.6</v>
      </c>
      <c r="E1554" s="28" t="str">
        <f t="array" ref="E1554">_xlfn.XLOOKUP($A1554, 'Medical Examinations'!$A:$A, 'Medical Examinations'!D:D, "No Data")</f>
        <v>No</v>
      </c>
      <c r="F1554" s="28" t="str">
        <f t="array" ref="F1554">_xlfn.XLOOKUP($A1554, 'Medical Examinations'!$A:$A, 'Medical Examinations'!E:E, "No Data")</f>
        <v>No</v>
      </c>
      <c r="G1554" s="28" t="str">
        <f t="array" ref="G1554">_xlfn.XLOOKUP($A1554, 'Medical Examinations'!$A:$A, 'Medical Examinations'!F:F, "No Data")</f>
        <v>No</v>
      </c>
      <c r="H1554" s="28">
        <f t="array" ref="H1554">_xlfn.XLOOKUP($A1554, 'Medical Examinations'!$A:$A, 'Medical Examinations'!G:G, "No Data")</f>
        <v>0</v>
      </c>
      <c r="I1554" s="28" t="str">
        <f t="array" ref="I1554">_xlfn.XLOOKUP($A1554, 'Medical Examinations'!$A:$A, 'Medical Examinations'!H:H, "No Data")</f>
        <v>No</v>
      </c>
      <c r="J1554" s="28" t="str">
        <f t="array" ref="J1554">_xlfn.XLOOKUP($A1554, 'Medical Examinations'!$A:$A, 'Medical Examinations'!I:I, "No Data")</f>
        <v>Normal Weight</v>
      </c>
      <c r="K1554" s="28" t="str">
        <f t="array" ref="K1554">_xlfn.XLOOKUP($A1554, 'Hospitalisation Details'!$A:$A, 'Hospitalisation Details'!I:I, "No Data")</f>
        <v>tier - 2</v>
      </c>
      <c r="L1554" s="28" t="str">
        <f t="array" ref="L1554">_xlfn.XLOOKUP($A1554, 'Hospitalisation Details'!$A:$A, 'Hospitalisation Details'!J:J, "No Data")</f>
        <v>R1012</v>
      </c>
      <c r="M1554" s="28" t="str">
        <f t="array" ref="M1554">_xlfn.XLOOKUP($A1554, 'Hospitalisation Details'!$A:$A, 'Hospitalisation Details'!E:E, "No Data")</f>
        <v>02/10/82</v>
      </c>
      <c r="N1554" s="28">
        <f t="array" ref="N1554">_xlfn.XLOOKUP($A1554, 'Hospitalisation Details'!$A:$A, 'Hospitalisation Details'!K:K, "No Data")</f>
        <v>40</v>
      </c>
      <c r="O1554" s="33">
        <f t="array" ref="O1554">_xlfn.XLOOKUP($A1554, 'Hospitalisation Details'!$A:$A, 'Hospitalisation Details'!G:G, "No Data")</f>
        <v>6536.68</v>
      </c>
      <c r="P1554" s="28" t="str">
        <f t="array" ref="P1554">_xlfn.XLOOKUP($A1554, 'Hospitalisation Details'!$A:$A, 'Hospitalisation Details'!H:H, "No Data")</f>
        <v>tier - 2</v>
      </c>
    </row>
    <row r="1555">
      <c r="A1555" s="25" t="s">
        <v>4788</v>
      </c>
      <c r="B1555" s="28" t="str">
        <f t="array" ref="B1555">_xlfn.XLOOKUP($A1555, 'Customer Names'!$A:$A, 'Customer Names'!B:B, "No Data")</f>
        <v>Brodeur</v>
      </c>
      <c r="C1555" s="28">
        <f t="array" ref="C1555">_xlfn.XLOOKUP($A1555, 'Medical Examinations'!$A:$A, 'Medical Examinations'!B:B, "No Data")</f>
        <v>23.01</v>
      </c>
      <c r="D1555" s="28">
        <f t="array" ref="D1555">_xlfn.XLOOKUP($A1555, 'Medical Examinations'!$A:$A, 'Medical Examinations'!C:C, "No Data")</f>
        <v>4.68</v>
      </c>
      <c r="E1555" s="28" t="str">
        <f t="array" ref="E1555">_xlfn.XLOOKUP($A1555, 'Medical Examinations'!$A:$A, 'Medical Examinations'!D:D, "No Data")</f>
        <v>No</v>
      </c>
      <c r="F1555" s="28" t="str">
        <f t="array" ref="F1555">_xlfn.XLOOKUP($A1555, 'Medical Examinations'!$A:$A, 'Medical Examinations'!E:E, "No Data")</f>
        <v>No</v>
      </c>
      <c r="G1555" s="28" t="str">
        <f t="array" ref="G1555">_xlfn.XLOOKUP($A1555, 'Medical Examinations'!$A:$A, 'Medical Examinations'!F:F, "No Data")</f>
        <v>No</v>
      </c>
      <c r="H1555" s="28">
        <f t="array" ref="H1555">_xlfn.XLOOKUP($A1555, 'Medical Examinations'!$A:$A, 'Medical Examinations'!G:G, "No Data")</f>
        <v>0</v>
      </c>
      <c r="I1555" s="28" t="str">
        <f t="array" ref="I1555">_xlfn.XLOOKUP($A1555, 'Medical Examinations'!$A:$A, 'Medical Examinations'!H:H, "No Data")</f>
        <v>No</v>
      </c>
      <c r="J1555" s="28" t="str">
        <f t="array" ref="J1555">_xlfn.XLOOKUP($A1555, 'Medical Examinations'!$A:$A, 'Medical Examinations'!I:I, "No Data")</f>
        <v>Normal Weight</v>
      </c>
      <c r="K1555" s="28" t="str">
        <f t="array" ref="K1555">_xlfn.XLOOKUP($A1555, 'Hospitalisation Details'!$A:$A, 'Hospitalisation Details'!I:I, "No Data")</f>
        <v>tier - 1</v>
      </c>
      <c r="L1555" s="28" t="str">
        <f t="array" ref="L1555">_xlfn.XLOOKUP($A1555, 'Hospitalisation Details'!$A:$A, 'Hospitalisation Details'!J:J, "No Data")</f>
        <v>R1013</v>
      </c>
      <c r="M1555" s="28" t="str">
        <f t="array" ref="M1555">_xlfn.XLOOKUP($A1555, 'Hospitalisation Details'!$A:$A, 'Hospitalisation Details'!E:E, "No Data")</f>
        <v>12/08/82</v>
      </c>
      <c r="N1555" s="28">
        <f t="array" ref="N1555">_xlfn.XLOOKUP($A1555, 'Hospitalisation Details'!$A:$A, 'Hospitalisation Details'!K:K, "No Data")</f>
        <v>40</v>
      </c>
      <c r="O1555" s="33">
        <f t="array" ref="O1555">_xlfn.XLOOKUP($A1555, 'Hospitalisation Details'!$A:$A, 'Hospitalisation Details'!G:G, "No Data")</f>
        <v>6532.04</v>
      </c>
      <c r="P1555" s="28" t="str">
        <f t="array" ref="P1555">_xlfn.XLOOKUP($A1555, 'Hospitalisation Details'!$A:$A, 'Hospitalisation Details'!H:H, "No Data")</f>
        <v>tier - 2</v>
      </c>
    </row>
    <row r="1556">
      <c r="A1556" s="25" t="s">
        <v>4783</v>
      </c>
      <c r="B1556" s="28" t="str">
        <f t="array" ref="B1556">_xlfn.XLOOKUP($A1556, 'Customer Names'!$A:$A, 'Customer Names'!B:B, "No Data")</f>
        <v>Knight Pech</v>
      </c>
      <c r="C1556" s="28">
        <f t="array" ref="C1556">_xlfn.XLOOKUP($A1556, 'Medical Examinations'!$A:$A, 'Medical Examinations'!B:B, "No Data")</f>
        <v>19.86</v>
      </c>
      <c r="D1556" s="28">
        <f t="array" ref="D1556">_xlfn.XLOOKUP($A1556, 'Medical Examinations'!$A:$A, 'Medical Examinations'!C:C, "No Data")</f>
        <v>5.62</v>
      </c>
      <c r="E1556" s="28" t="str">
        <f t="array" ref="E1556">_xlfn.XLOOKUP($A1556, 'Medical Examinations'!$A:$A, 'Medical Examinations'!D:D, "No Data")</f>
        <v>yes</v>
      </c>
      <c r="F1556" s="28" t="str">
        <f t="array" ref="F1556">_xlfn.XLOOKUP($A1556, 'Medical Examinations'!$A:$A, 'Medical Examinations'!E:E, "No Data")</f>
        <v>No</v>
      </c>
      <c r="G1556" s="28" t="str">
        <f t="array" ref="G1556">_xlfn.XLOOKUP($A1556, 'Medical Examinations'!$A:$A, 'Medical Examinations'!F:F, "No Data")</f>
        <v>No</v>
      </c>
      <c r="H1556" s="28">
        <f t="array" ref="H1556">_xlfn.XLOOKUP($A1556, 'Medical Examinations'!$A:$A, 'Medical Examinations'!G:G, "No Data")</f>
        <v>0</v>
      </c>
      <c r="I1556" s="28" t="str">
        <f t="array" ref="I1556">_xlfn.XLOOKUP($A1556, 'Medical Examinations'!$A:$A, 'Medical Examinations'!H:H, "No Data")</f>
        <v>No</v>
      </c>
      <c r="J1556" s="28" t="str">
        <f t="array" ref="J1556">_xlfn.XLOOKUP($A1556, 'Medical Examinations'!$A:$A, 'Medical Examinations'!I:I, "No Data")</f>
        <v>Normal Weight</v>
      </c>
      <c r="K1556" s="28" t="str">
        <f t="array" ref="K1556">_xlfn.XLOOKUP($A1556, 'Hospitalisation Details'!$A:$A, 'Hospitalisation Details'!I:I, "No Data")</f>
        <v>tier - 1</v>
      </c>
      <c r="L1556" s="28" t="str">
        <f t="array" ref="L1556">_xlfn.XLOOKUP($A1556, 'Hospitalisation Details'!$A:$A, 'Hospitalisation Details'!J:J, "No Data")</f>
        <v>R1013</v>
      </c>
      <c r="M1556" s="28" t="str">
        <f t="array" ref="M1556">_xlfn.XLOOKUP($A1556, 'Hospitalisation Details'!$A:$A, 'Hospitalisation Details'!E:E, "No Data")</f>
        <v>23/10/76</v>
      </c>
      <c r="N1556" s="28">
        <f t="array" ref="N1556">_xlfn.XLOOKUP($A1556, 'Hospitalisation Details'!$A:$A, 'Hospitalisation Details'!K:K, "No Data")</f>
        <v>46</v>
      </c>
      <c r="O1556" s="33">
        <f t="array" ref="O1556">_xlfn.XLOOKUP($A1556, 'Hospitalisation Details'!$A:$A, 'Hospitalisation Details'!G:G, "No Data")</f>
        <v>6529.21</v>
      </c>
      <c r="P1556" s="28" t="str">
        <f t="array" ref="P1556">_xlfn.XLOOKUP($A1556, 'Hospitalisation Details'!$A:$A, 'Hospitalisation Details'!H:H, "No Data")</f>
        <v>tier - 2</v>
      </c>
    </row>
    <row r="1557">
      <c r="A1557" s="25" t="s">
        <v>4779</v>
      </c>
      <c r="B1557" s="28" t="str">
        <f t="array" ref="B1557">_xlfn.XLOOKUP($A1557, 'Customer Names'!$A:$A, 'Customer Names'!B:B, "No Data")</f>
        <v>Richter</v>
      </c>
      <c r="C1557" s="28">
        <f t="array" ref="C1557">_xlfn.XLOOKUP($A1557, 'Medical Examinations'!$A:$A, 'Medical Examinations'!B:B, "No Data")</f>
        <v>33.58</v>
      </c>
      <c r="D1557" s="28">
        <f t="array" ref="D1557">_xlfn.XLOOKUP($A1557, 'Medical Examinations'!$A:$A, 'Medical Examinations'!C:C, "No Data")</f>
        <v>5.08</v>
      </c>
      <c r="E1557" s="28" t="str">
        <f t="array" ref="E1557">_xlfn.XLOOKUP($A1557, 'Medical Examinations'!$A:$A, 'Medical Examinations'!D:D, "No Data")</f>
        <v>No</v>
      </c>
      <c r="F1557" s="28" t="str">
        <f t="array" ref="F1557">_xlfn.XLOOKUP($A1557, 'Medical Examinations'!$A:$A, 'Medical Examinations'!E:E, "No Data")</f>
        <v>No</v>
      </c>
      <c r="G1557" s="28" t="str">
        <f t="array" ref="G1557">_xlfn.XLOOKUP($A1557, 'Medical Examinations'!$A:$A, 'Medical Examinations'!F:F, "No Data")</f>
        <v>No</v>
      </c>
      <c r="H1557" s="28">
        <f t="array" ref="H1557">_xlfn.XLOOKUP($A1557, 'Medical Examinations'!$A:$A, 'Medical Examinations'!G:G, "No Data")</f>
        <v>0</v>
      </c>
      <c r="I1557" s="28" t="str">
        <f t="array" ref="I1557">_xlfn.XLOOKUP($A1557, 'Medical Examinations'!$A:$A, 'Medical Examinations'!H:H, "No Data")</f>
        <v>No</v>
      </c>
      <c r="J1557" s="28" t="str">
        <f t="array" ref="J1557">_xlfn.XLOOKUP($A1557, 'Medical Examinations'!$A:$A, 'Medical Examinations'!I:I, "No Data")</f>
        <v>Obesity</v>
      </c>
      <c r="K1557" s="28" t="str">
        <f t="array" ref="K1557">_xlfn.XLOOKUP($A1557, 'Hospitalisation Details'!$A:$A, 'Hospitalisation Details'!I:I, "No Data")</f>
        <v>tier - 1</v>
      </c>
      <c r="L1557" s="28" t="str">
        <f t="array" ref="L1557">_xlfn.XLOOKUP($A1557, 'Hospitalisation Details'!$A:$A, 'Hospitalisation Details'!J:J, "No Data")</f>
        <v>R1021</v>
      </c>
      <c r="M1557" s="28" t="str">
        <f t="array" ref="M1557">_xlfn.XLOOKUP($A1557, 'Hospitalisation Details'!$A:$A, 'Hospitalisation Details'!E:E, "No Data")</f>
        <v>07/07/94</v>
      </c>
      <c r="N1557" s="28">
        <f t="array" ref="N1557">_xlfn.XLOOKUP($A1557, 'Hospitalisation Details'!$A:$A, 'Hospitalisation Details'!K:K, "No Data")</f>
        <v>28</v>
      </c>
      <c r="O1557" s="33">
        <f t="array" ref="O1557">_xlfn.XLOOKUP($A1557, 'Hospitalisation Details'!$A:$A, 'Hospitalisation Details'!G:G, "No Data")</f>
        <v>6512.24</v>
      </c>
      <c r="P1557" s="28" t="str">
        <f t="array" ref="P1557">_xlfn.XLOOKUP($A1557, 'Hospitalisation Details'!$A:$A, 'Hospitalisation Details'!H:H, "No Data")</f>
        <v>tier - 2</v>
      </c>
    </row>
    <row r="1558">
      <c r="A1558" s="25" t="s">
        <v>4774</v>
      </c>
      <c r="B1558" s="28" t="str">
        <f t="array" ref="B1558">_xlfn.XLOOKUP($A1558, 'Customer Names'!$A:$A, 'Customer Names'!B:B, "No Data")</f>
        <v>Jubinski</v>
      </c>
      <c r="C1558" s="28">
        <f t="array" ref="C1558">_xlfn.XLOOKUP($A1558, 'Medical Examinations'!$A:$A, 'Medical Examinations'!B:B, "No Data")</f>
        <v>29.81</v>
      </c>
      <c r="D1558" s="28">
        <f t="array" ref="D1558">_xlfn.XLOOKUP($A1558, 'Medical Examinations'!$A:$A, 'Medical Examinations'!C:C, "No Data")</f>
        <v>5.28</v>
      </c>
      <c r="E1558" s="28" t="str">
        <f t="array" ref="E1558">_xlfn.XLOOKUP($A1558, 'Medical Examinations'!$A:$A, 'Medical Examinations'!D:D, "No Data")</f>
        <v>No</v>
      </c>
      <c r="F1558" s="28" t="str">
        <f t="array" ref="F1558">_xlfn.XLOOKUP($A1558, 'Medical Examinations'!$A:$A, 'Medical Examinations'!E:E, "No Data")</f>
        <v>No</v>
      </c>
      <c r="G1558" s="28" t="str">
        <f t="array" ref="G1558">_xlfn.XLOOKUP($A1558, 'Medical Examinations'!$A:$A, 'Medical Examinations'!F:F, "No Data")</f>
        <v>No</v>
      </c>
      <c r="H1558" s="28">
        <f t="array" ref="H1558">_xlfn.XLOOKUP($A1558, 'Medical Examinations'!$A:$A, 'Medical Examinations'!G:G, "No Data")</f>
        <v>0</v>
      </c>
      <c r="I1558" s="28" t="str">
        <f t="array" ref="I1558">_xlfn.XLOOKUP($A1558, 'Medical Examinations'!$A:$A, 'Medical Examinations'!H:H, "No Data")</f>
        <v>No</v>
      </c>
      <c r="J1558" s="28" t="str">
        <f t="array" ref="J1558">_xlfn.XLOOKUP($A1558, 'Medical Examinations'!$A:$A, 'Medical Examinations'!I:I, "No Data")</f>
        <v>Overweight</v>
      </c>
      <c r="K1558" s="28" t="str">
        <f t="array" ref="K1558">_xlfn.XLOOKUP($A1558, 'Hospitalisation Details'!$A:$A, 'Hospitalisation Details'!I:I, "No Data")</f>
        <v>tier - 2</v>
      </c>
      <c r="L1558" s="28" t="str">
        <f t="array" ref="L1558">_xlfn.XLOOKUP($A1558, 'Hospitalisation Details'!$A:$A, 'Hospitalisation Details'!J:J, "No Data")</f>
        <v>R1013</v>
      </c>
      <c r="M1558" s="28" t="str">
        <f t="array" ref="M1558">_xlfn.XLOOKUP($A1558, 'Hospitalisation Details'!$A:$A, 'Hospitalisation Details'!E:E, "No Data")</f>
        <v>28/08/82</v>
      </c>
      <c r="N1558" s="28">
        <f t="array" ref="N1558">_xlfn.XLOOKUP($A1558, 'Hospitalisation Details'!$A:$A, 'Hospitalisation Details'!K:K, "No Data")</f>
        <v>40</v>
      </c>
      <c r="O1558" s="33">
        <f t="array" ref="O1558">_xlfn.XLOOKUP($A1558, 'Hospitalisation Details'!$A:$A, 'Hospitalisation Details'!G:G, "No Data")</f>
        <v>6500.24</v>
      </c>
      <c r="P1558" s="28" t="str">
        <f t="array" ref="P1558">_xlfn.XLOOKUP($A1558, 'Hospitalisation Details'!$A:$A, 'Hospitalisation Details'!H:H, "No Data")</f>
        <v>tier - 2</v>
      </c>
    </row>
    <row r="1559">
      <c r="A1559" s="25" t="s">
        <v>4771</v>
      </c>
      <c r="B1559" s="28" t="str">
        <f t="array" ref="B1559">_xlfn.XLOOKUP($A1559, 'Customer Names'!$A:$A, 'Customer Names'!B:B, "No Data")</f>
        <v>Wall</v>
      </c>
      <c r="C1559" s="28">
        <f t="array" ref="C1559">_xlfn.XLOOKUP($A1559, 'Medical Examinations'!$A:$A, 'Medical Examinations'!B:B, "No Data")</f>
        <v>27.4</v>
      </c>
      <c r="D1559" s="28">
        <f t="array" ref="D1559">_xlfn.XLOOKUP($A1559, 'Medical Examinations'!$A:$A, 'Medical Examinations'!C:C, "No Data")</f>
        <v>4.61</v>
      </c>
      <c r="E1559" s="28" t="str">
        <f t="array" ref="E1559">_xlfn.XLOOKUP($A1559, 'Medical Examinations'!$A:$A, 'Medical Examinations'!D:D, "No Data")</f>
        <v>No</v>
      </c>
      <c r="F1559" s="28" t="str">
        <f t="array" ref="F1559">_xlfn.XLOOKUP($A1559, 'Medical Examinations'!$A:$A, 'Medical Examinations'!E:E, "No Data")</f>
        <v>No</v>
      </c>
      <c r="G1559" s="28" t="str">
        <f t="array" ref="G1559">_xlfn.XLOOKUP($A1559, 'Medical Examinations'!$A:$A, 'Medical Examinations'!F:F, "No Data")</f>
        <v>No</v>
      </c>
      <c r="H1559" s="28">
        <f t="array" ref="H1559">_xlfn.XLOOKUP($A1559, 'Medical Examinations'!$A:$A, 'Medical Examinations'!G:G, "No Data")</f>
        <v>0</v>
      </c>
      <c r="I1559" s="28" t="str">
        <f t="array" ref="I1559">_xlfn.XLOOKUP($A1559, 'Medical Examinations'!$A:$A, 'Medical Examinations'!H:H, "No Data")</f>
        <v>No</v>
      </c>
      <c r="J1559" s="28" t="str">
        <f t="array" ref="J1559">_xlfn.XLOOKUP($A1559, 'Medical Examinations'!$A:$A, 'Medical Examinations'!I:I, "No Data")</f>
        <v>Overweight</v>
      </c>
      <c r="K1559" s="28" t="str">
        <f t="array" ref="K1559">_xlfn.XLOOKUP($A1559, 'Hospitalisation Details'!$A:$A, 'Hospitalisation Details'!I:I, "No Data")</f>
        <v>tier - 3</v>
      </c>
      <c r="L1559" s="28" t="str">
        <f t="array" ref="L1559">_xlfn.XLOOKUP($A1559, 'Hospitalisation Details'!$A:$A, 'Hospitalisation Details'!J:J, "No Data")</f>
        <v>R1011</v>
      </c>
      <c r="M1559" s="28" t="str">
        <f t="array" ref="M1559">_xlfn.XLOOKUP($A1559, 'Hospitalisation Details'!$A:$A, 'Hospitalisation Details'!E:E, "No Data")</f>
        <v>09/10/82</v>
      </c>
      <c r="N1559" s="28">
        <f t="array" ref="N1559">_xlfn.XLOOKUP($A1559, 'Hospitalisation Details'!$A:$A, 'Hospitalisation Details'!K:K, "No Data")</f>
        <v>40</v>
      </c>
      <c r="O1559" s="33">
        <f t="array" ref="O1559">_xlfn.XLOOKUP($A1559, 'Hospitalisation Details'!$A:$A, 'Hospitalisation Details'!G:G, "No Data")</f>
        <v>6496.89</v>
      </c>
      <c r="P1559" s="28" t="str">
        <f t="array" ref="P1559">_xlfn.XLOOKUP($A1559, 'Hospitalisation Details'!$A:$A, 'Hospitalisation Details'!H:H, "No Data")</f>
        <v>tier - 2</v>
      </c>
    </row>
    <row r="1560">
      <c r="A1560" s="25" t="s">
        <v>4768</v>
      </c>
      <c r="B1560" s="28" t="str">
        <f t="array" ref="B1560">_xlfn.XLOOKUP($A1560, 'Customer Names'!$A:$A, 'Customer Names'!B:B, "No Data")</f>
        <v>McKay</v>
      </c>
      <c r="C1560" s="28">
        <f t="array" ref="C1560">_xlfn.XLOOKUP($A1560, 'Medical Examinations'!$A:$A, 'Medical Examinations'!B:B, "No Data")</f>
        <v>17.98</v>
      </c>
      <c r="D1560" s="28">
        <f t="array" ref="D1560">_xlfn.XLOOKUP($A1560, 'Medical Examinations'!$A:$A, 'Medical Examinations'!C:C, "No Data")</f>
        <v>6.57</v>
      </c>
      <c r="E1560" s="28" t="str">
        <f t="array" ref="E1560">_xlfn.XLOOKUP($A1560, 'Medical Examinations'!$A:$A, 'Medical Examinations'!D:D, "No Data")</f>
        <v>yes</v>
      </c>
      <c r="F1560" s="28" t="str">
        <f t="array" ref="F1560">_xlfn.XLOOKUP($A1560, 'Medical Examinations'!$A:$A, 'Medical Examinations'!E:E, "No Data")</f>
        <v>No</v>
      </c>
      <c r="G1560" s="28" t="str">
        <f t="array" ref="G1560">_xlfn.XLOOKUP($A1560, 'Medical Examinations'!$A:$A, 'Medical Examinations'!F:F, "No Data")</f>
        <v>No</v>
      </c>
      <c r="H1560" s="28">
        <f t="array" ref="H1560">_xlfn.XLOOKUP($A1560, 'Medical Examinations'!$A:$A, 'Medical Examinations'!G:G, "No Data")</f>
        <v>2</v>
      </c>
      <c r="I1560" s="28" t="str">
        <f t="array" ref="I1560">_xlfn.XLOOKUP($A1560, 'Medical Examinations'!$A:$A, 'Medical Examinations'!H:H, "No Data")</f>
        <v>No</v>
      </c>
      <c r="J1560" s="28" t="str">
        <f t="array" ref="J1560">_xlfn.XLOOKUP($A1560, 'Medical Examinations'!$A:$A, 'Medical Examinations'!I:I, "No Data")</f>
        <v>Underweight</v>
      </c>
      <c r="K1560" s="28" t="str">
        <f t="array" ref="K1560">_xlfn.XLOOKUP($A1560, 'Hospitalisation Details'!$A:$A, 'Hospitalisation Details'!I:I, "No Data")</f>
        <v>tier - 2</v>
      </c>
      <c r="L1560" s="28" t="str">
        <f t="array" ref="L1560">_xlfn.XLOOKUP($A1560, 'Hospitalisation Details'!$A:$A, 'Hospitalisation Details'!J:J, "No Data")</f>
        <v>R1013</v>
      </c>
      <c r="M1560" s="28" t="str">
        <f t="array" ref="M1560">_xlfn.XLOOKUP($A1560, 'Hospitalisation Details'!$A:$A, 'Hospitalisation Details'!E:E, "No Data")</f>
        <v>01/12/70</v>
      </c>
      <c r="N1560" s="28">
        <f t="array" ref="N1560">_xlfn.XLOOKUP($A1560, 'Hospitalisation Details'!$A:$A, 'Hospitalisation Details'!K:K, "No Data")</f>
        <v>52</v>
      </c>
      <c r="O1560" s="33">
        <f t="array" ref="O1560">_xlfn.XLOOKUP($A1560, 'Hospitalisation Details'!$A:$A, 'Hospitalisation Details'!G:G, "No Data")</f>
        <v>6481.67</v>
      </c>
      <c r="P1560" s="28" t="str">
        <f t="array" ref="P1560">_xlfn.XLOOKUP($A1560, 'Hospitalisation Details'!$A:$A, 'Hospitalisation Details'!H:H, "No Data")</f>
        <v>tier - 2</v>
      </c>
    </row>
    <row r="1561">
      <c r="A1561" s="25" t="s">
        <v>4764</v>
      </c>
      <c r="B1561" s="28" t="str">
        <f t="array" ref="B1561">_xlfn.XLOOKUP($A1561, 'Customer Names'!$A:$A, 'Customer Names'!B:B, "No Data")</f>
        <v>Oh</v>
      </c>
      <c r="C1561" s="28">
        <f t="array" ref="C1561">_xlfn.XLOOKUP($A1561, 'Medical Examinations'!$A:$A, 'Medical Examinations'!B:B, "No Data")</f>
        <v>37.9</v>
      </c>
      <c r="D1561" s="28">
        <f t="array" ref="D1561">_xlfn.XLOOKUP($A1561, 'Medical Examinations'!$A:$A, 'Medical Examinations'!C:C, "No Data")</f>
        <v>5.83</v>
      </c>
      <c r="E1561" s="28" t="str">
        <f t="array" ref="E1561">_xlfn.XLOOKUP($A1561, 'Medical Examinations'!$A:$A, 'Medical Examinations'!D:D, "No Data")</f>
        <v>No</v>
      </c>
      <c r="F1561" s="28" t="str">
        <f t="array" ref="F1561">_xlfn.XLOOKUP($A1561, 'Medical Examinations'!$A:$A, 'Medical Examinations'!E:E, "No Data")</f>
        <v>No</v>
      </c>
      <c r="G1561" s="28" t="str">
        <f t="array" ref="G1561">_xlfn.XLOOKUP($A1561, 'Medical Examinations'!$A:$A, 'Medical Examinations'!F:F, "No Data")</f>
        <v>No</v>
      </c>
      <c r="H1561" s="28">
        <f t="array" ref="H1561">_xlfn.XLOOKUP($A1561, 'Medical Examinations'!$A:$A, 'Medical Examinations'!G:G, "No Data")</f>
        <v>0</v>
      </c>
      <c r="I1561" s="28" t="str">
        <f t="array" ref="I1561">_xlfn.XLOOKUP($A1561, 'Medical Examinations'!$A:$A, 'Medical Examinations'!H:H, "No Data")</f>
        <v>No</v>
      </c>
      <c r="J1561" s="28" t="str">
        <f t="array" ref="J1561">_xlfn.XLOOKUP($A1561, 'Medical Examinations'!$A:$A, 'Medical Examinations'!I:I, "No Data")</f>
        <v>Obesity</v>
      </c>
      <c r="K1561" s="28" t="str">
        <f t="array" ref="K1561">_xlfn.XLOOKUP($A1561, 'Hospitalisation Details'!$A:$A, 'Hospitalisation Details'!I:I, "No Data")</f>
        <v>tier - 3</v>
      </c>
      <c r="L1561" s="28" t="str">
        <f t="array" ref="L1561">_xlfn.XLOOKUP($A1561, 'Hospitalisation Details'!$A:$A, 'Hospitalisation Details'!J:J, "No Data")</f>
        <v>R1011</v>
      </c>
      <c r="M1561" s="28" t="str">
        <f t="array" ref="M1561">_xlfn.XLOOKUP($A1561, 'Hospitalisation Details'!$A:$A, 'Hospitalisation Details'!E:E, "No Data")</f>
        <v>08/06/80</v>
      </c>
      <c r="N1561" s="28">
        <f t="array" ref="N1561">_xlfn.XLOOKUP($A1561, 'Hospitalisation Details'!$A:$A, 'Hospitalisation Details'!K:K, "No Data")</f>
        <v>43</v>
      </c>
      <c r="O1561" s="33">
        <f t="array" ref="O1561">_xlfn.XLOOKUP($A1561, 'Hospitalisation Details'!$A:$A, 'Hospitalisation Details'!G:G, "No Data")</f>
        <v>6474.01</v>
      </c>
      <c r="P1561" s="28" t="str">
        <f t="array" ref="P1561">_xlfn.XLOOKUP($A1561, 'Hospitalisation Details'!$A:$A, 'Hospitalisation Details'!H:H, "No Data")</f>
        <v>tier - 2</v>
      </c>
    </row>
    <row r="1562">
      <c r="A1562" s="25" t="s">
        <v>4761</v>
      </c>
      <c r="B1562" s="28" t="str">
        <f t="array" ref="B1562">_xlfn.XLOOKUP($A1562, 'Customer Names'!$A:$A, 'Customer Names'!B:B, "No Data")</f>
        <v>Kessell</v>
      </c>
      <c r="C1562" s="28">
        <f t="array" ref="C1562">_xlfn.XLOOKUP($A1562, 'Medical Examinations'!$A:$A, 'Medical Examinations'!B:B, "No Data")</f>
        <v>25.27</v>
      </c>
      <c r="D1562" s="28">
        <f t="array" ref="D1562">_xlfn.XLOOKUP($A1562, 'Medical Examinations'!$A:$A, 'Medical Examinations'!C:C, "No Data")</f>
        <v>6.98</v>
      </c>
      <c r="E1562" s="28" t="str">
        <f t="array" ref="E1562">_xlfn.XLOOKUP($A1562, 'Medical Examinations'!$A:$A, 'Medical Examinations'!D:D, "No Data")</f>
        <v>yes</v>
      </c>
      <c r="F1562" s="28" t="str">
        <f t="array" ref="F1562">_xlfn.XLOOKUP($A1562, 'Medical Examinations'!$A:$A, 'Medical Examinations'!E:E, "No Data")</f>
        <v>No</v>
      </c>
      <c r="G1562" s="28" t="str">
        <f t="array" ref="G1562">_xlfn.XLOOKUP($A1562, 'Medical Examinations'!$A:$A, 'Medical Examinations'!F:F, "No Data")</f>
        <v>No</v>
      </c>
      <c r="H1562" s="28">
        <f t="array" ref="H1562">_xlfn.XLOOKUP($A1562, 'Medical Examinations'!$A:$A, 'Medical Examinations'!G:G, "No Data")</f>
        <v>0</v>
      </c>
      <c r="I1562" s="28" t="str">
        <f t="array" ref="I1562">_xlfn.XLOOKUP($A1562, 'Medical Examinations'!$A:$A, 'Medical Examinations'!H:H, "No Data")</f>
        <v>No</v>
      </c>
      <c r="J1562" s="28" t="str">
        <f t="array" ref="J1562">_xlfn.XLOOKUP($A1562, 'Medical Examinations'!$A:$A, 'Medical Examinations'!I:I, "No Data")</f>
        <v>Overweight</v>
      </c>
      <c r="K1562" s="28" t="str">
        <f t="array" ref="K1562">_xlfn.XLOOKUP($A1562, 'Hospitalisation Details'!$A:$A, 'Hospitalisation Details'!I:I, "No Data")</f>
        <v>tier - 2</v>
      </c>
      <c r="L1562" s="28" t="str">
        <f t="array" ref="L1562">_xlfn.XLOOKUP($A1562, 'Hospitalisation Details'!$A:$A, 'Hospitalisation Details'!J:J, "No Data")</f>
        <v>R1013</v>
      </c>
      <c r="M1562" s="28" t="str">
        <f t="array" ref="M1562">_xlfn.XLOOKUP($A1562, 'Hospitalisation Details'!$A:$A, 'Hospitalisation Details'!E:E, "No Data")</f>
        <v>27/07/81</v>
      </c>
      <c r="N1562" s="28">
        <f t="array" ref="N1562">_xlfn.XLOOKUP($A1562, 'Hospitalisation Details'!$A:$A, 'Hospitalisation Details'!K:K, "No Data")</f>
        <v>41</v>
      </c>
      <c r="O1562" s="33">
        <f t="array" ref="O1562">_xlfn.XLOOKUP($A1562, 'Hospitalisation Details'!$A:$A, 'Hospitalisation Details'!G:G, "No Data")</f>
        <v>6473.15</v>
      </c>
      <c r="P1562" s="28" t="str">
        <f t="array" ref="P1562">_xlfn.XLOOKUP($A1562, 'Hospitalisation Details'!$A:$A, 'Hospitalisation Details'!H:H, "No Data")</f>
        <v>tier - 2</v>
      </c>
    </row>
    <row r="1563">
      <c r="A1563" s="25" t="s">
        <v>4757</v>
      </c>
      <c r="B1563" s="28" t="str">
        <f t="array" ref="B1563">_xlfn.XLOOKUP($A1563, 'Customer Names'!$A:$A, 'Customer Names'!B:B, "No Data")</f>
        <v>Hidalgo Zambrano</v>
      </c>
      <c r="C1563" s="28">
        <f t="array" ref="C1563">_xlfn.XLOOKUP($A1563, 'Medical Examinations'!$A:$A, 'Medical Examinations'!B:B, "No Data")</f>
        <v>29.26</v>
      </c>
      <c r="D1563" s="28">
        <f t="array" ref="D1563">_xlfn.XLOOKUP($A1563, 'Medical Examinations'!$A:$A, 'Medical Examinations'!C:C, "No Data")</f>
        <v>4.03</v>
      </c>
      <c r="E1563" s="28" t="str">
        <f t="array" ref="E1563">_xlfn.XLOOKUP($A1563, 'Medical Examinations'!$A:$A, 'Medical Examinations'!D:D, "No Data")</f>
        <v>No</v>
      </c>
      <c r="F1563" s="28" t="str">
        <f t="array" ref="F1563">_xlfn.XLOOKUP($A1563, 'Medical Examinations'!$A:$A, 'Medical Examinations'!E:E, "No Data")</f>
        <v>No</v>
      </c>
      <c r="G1563" s="28" t="str">
        <f t="array" ref="G1563">_xlfn.XLOOKUP($A1563, 'Medical Examinations'!$A:$A, 'Medical Examinations'!F:F, "No Data")</f>
        <v>No</v>
      </c>
      <c r="H1563" s="28">
        <f t="array" ref="H1563">_xlfn.XLOOKUP($A1563, 'Medical Examinations'!$A:$A, 'Medical Examinations'!G:G, "No Data")</f>
        <v>1</v>
      </c>
      <c r="I1563" s="28" t="str">
        <f t="array" ref="I1563">_xlfn.XLOOKUP($A1563, 'Medical Examinations'!$A:$A, 'Medical Examinations'!H:H, "No Data")</f>
        <v>No</v>
      </c>
      <c r="J1563" s="28" t="str">
        <f t="array" ref="J1563">_xlfn.XLOOKUP($A1563, 'Medical Examinations'!$A:$A, 'Medical Examinations'!I:I, "No Data")</f>
        <v>Overweight</v>
      </c>
      <c r="K1563" s="28" t="str">
        <f t="array" ref="K1563">_xlfn.XLOOKUP($A1563, 'Hospitalisation Details'!$A:$A, 'Hospitalisation Details'!I:I, "No Data")</f>
        <v>tier - 3</v>
      </c>
      <c r="L1563" s="28" t="str">
        <f t="array" ref="L1563">_xlfn.XLOOKUP($A1563, 'Hospitalisation Details'!$A:$A, 'Hospitalisation Details'!J:J, "No Data")</f>
        <v>R1012</v>
      </c>
      <c r="M1563" s="28" t="str">
        <f t="array" ref="M1563">_xlfn.XLOOKUP($A1563, 'Hospitalisation Details'!$A:$A, 'Hospitalisation Details'!E:E, "No Data")</f>
        <v>01/11/84</v>
      </c>
      <c r="N1563" s="28">
        <f t="array" ref="N1563">_xlfn.XLOOKUP($A1563, 'Hospitalisation Details'!$A:$A, 'Hospitalisation Details'!K:K, "No Data")</f>
        <v>38</v>
      </c>
      <c r="O1563" s="33">
        <f t="array" ref="O1563">_xlfn.XLOOKUP($A1563, 'Hospitalisation Details'!$A:$A, 'Hospitalisation Details'!G:G, "No Data")</f>
        <v>6457.84</v>
      </c>
      <c r="P1563" s="28" t="str">
        <f t="array" ref="P1563">_xlfn.XLOOKUP($A1563, 'Hospitalisation Details'!$A:$A, 'Hospitalisation Details'!H:H, "No Data")</f>
        <v>tier - 2</v>
      </c>
    </row>
    <row r="1564">
      <c r="A1564" s="25" t="s">
        <v>4752</v>
      </c>
      <c r="B1564" s="28" t="str">
        <f t="array" ref="B1564">_xlfn.XLOOKUP($A1564, 'Customer Names'!$A:$A, 'Customer Names'!B:B, "No Data")</f>
        <v>Caprario</v>
      </c>
      <c r="C1564" s="28">
        <f t="array" ref="C1564">_xlfn.XLOOKUP($A1564, 'Medical Examinations'!$A:$A, 'Medical Examinations'!B:B, "No Data")</f>
        <v>27.835</v>
      </c>
      <c r="D1564" s="28">
        <f t="array" ref="D1564">_xlfn.XLOOKUP($A1564, 'Medical Examinations'!$A:$A, 'Medical Examinations'!C:C, "No Data")</f>
        <v>4.56</v>
      </c>
      <c r="E1564" s="28" t="str">
        <f t="array" ref="E1564">_xlfn.XLOOKUP($A1564, 'Medical Examinations'!$A:$A, 'Medical Examinations'!D:D, "No Data")</f>
        <v>No</v>
      </c>
      <c r="F1564" s="28" t="str">
        <f t="array" ref="F1564">_xlfn.XLOOKUP($A1564, 'Medical Examinations'!$A:$A, 'Medical Examinations'!E:E, "No Data")</f>
        <v>No</v>
      </c>
      <c r="G1564" s="28" t="str">
        <f t="array" ref="G1564">_xlfn.XLOOKUP($A1564, 'Medical Examinations'!$A:$A, 'Medical Examinations'!F:F, "No Data")</f>
        <v>No</v>
      </c>
      <c r="H1564" s="28">
        <f t="array" ref="H1564">_xlfn.XLOOKUP($A1564, 'Medical Examinations'!$A:$A, 'Medical Examinations'!G:G, "No Data")</f>
        <v>1</v>
      </c>
      <c r="I1564" s="28" t="str">
        <f t="array" ref="I1564">_xlfn.XLOOKUP($A1564, 'Medical Examinations'!$A:$A, 'Medical Examinations'!H:H, "No Data")</f>
        <v>No</v>
      </c>
      <c r="J1564" s="28" t="str">
        <f t="array" ref="J1564">_xlfn.XLOOKUP($A1564, 'Medical Examinations'!$A:$A, 'Medical Examinations'!I:I, "No Data")</f>
        <v>Overweight</v>
      </c>
      <c r="K1564" s="28" t="str">
        <f t="array" ref="K1564">_xlfn.XLOOKUP($A1564, 'Hospitalisation Details'!$A:$A, 'Hospitalisation Details'!I:I, "No Data")</f>
        <v>tier - 3</v>
      </c>
      <c r="L1564" s="28" t="str">
        <f t="array" ref="L1564">_xlfn.XLOOKUP($A1564, 'Hospitalisation Details'!$A:$A, 'Hospitalisation Details'!J:J, "No Data")</f>
        <v>R1012</v>
      </c>
      <c r="M1564" s="28" t="str">
        <f t="array" ref="M1564">_xlfn.XLOOKUP($A1564, 'Hospitalisation Details'!$A:$A, 'Hospitalisation Details'!E:E, "No Data")</f>
        <v>26/08/84</v>
      </c>
      <c r="N1564" s="28">
        <f t="array" ref="N1564">_xlfn.XLOOKUP($A1564, 'Hospitalisation Details'!$A:$A, 'Hospitalisation Details'!K:K, "No Data")</f>
        <v>38</v>
      </c>
      <c r="O1564" s="33">
        <f t="array" ref="O1564">_xlfn.XLOOKUP($A1564, 'Hospitalisation Details'!$A:$A, 'Hospitalisation Details'!G:G, "No Data")</f>
        <v>6455.86</v>
      </c>
      <c r="P1564" s="28" t="str">
        <f t="array" ref="P1564">_xlfn.XLOOKUP($A1564, 'Hospitalisation Details'!$A:$A, 'Hospitalisation Details'!H:H, "No Data")</f>
        <v>tier - 3</v>
      </c>
    </row>
    <row r="1565">
      <c r="A1565" s="25" t="s">
        <v>4749</v>
      </c>
      <c r="B1565" s="28" t="str">
        <f t="array" ref="B1565">_xlfn.XLOOKUP($A1565, 'Customer Names'!$A:$A, 'Customer Names'!B:B, "No Data")</f>
        <v>Ryan</v>
      </c>
      <c r="C1565" s="28">
        <f t="array" ref="C1565">_xlfn.XLOOKUP($A1565, 'Medical Examinations'!$A:$A, 'Medical Examinations'!B:B, "No Data")</f>
        <v>46.53</v>
      </c>
      <c r="D1565" s="28">
        <f t="array" ref="D1565">_xlfn.XLOOKUP($A1565, 'Medical Examinations'!$A:$A, 'Medical Examinations'!C:C, "No Data")</f>
        <v>5.38</v>
      </c>
      <c r="E1565" s="28" t="str">
        <f t="array" ref="E1565">_xlfn.XLOOKUP($A1565, 'Medical Examinations'!$A:$A, 'Medical Examinations'!D:D, "No Data")</f>
        <v>yes</v>
      </c>
      <c r="F1565" s="28" t="str">
        <f t="array" ref="F1565">_xlfn.XLOOKUP($A1565, 'Medical Examinations'!$A:$A, 'Medical Examinations'!E:E, "No Data")</f>
        <v>No</v>
      </c>
      <c r="G1565" s="28" t="str">
        <f t="array" ref="G1565">_xlfn.XLOOKUP($A1565, 'Medical Examinations'!$A:$A, 'Medical Examinations'!F:F, "No Data")</f>
        <v>No</v>
      </c>
      <c r="H1565" s="28">
        <f t="array" ref="H1565">_xlfn.XLOOKUP($A1565, 'Medical Examinations'!$A:$A, 'Medical Examinations'!G:G, "No Data")</f>
        <v>0</v>
      </c>
      <c r="I1565" s="28" t="str">
        <f t="array" ref="I1565">_xlfn.XLOOKUP($A1565, 'Medical Examinations'!$A:$A, 'Medical Examinations'!H:H, "No Data")</f>
        <v>No</v>
      </c>
      <c r="J1565" s="28" t="str">
        <f t="array" ref="J1565">_xlfn.XLOOKUP($A1565, 'Medical Examinations'!$A:$A, 'Medical Examinations'!I:I, "No Data")</f>
        <v>Obesity</v>
      </c>
      <c r="K1565" s="28" t="str">
        <f t="array" ref="K1565">_xlfn.XLOOKUP($A1565, 'Hospitalisation Details'!$A:$A, 'Hospitalisation Details'!I:I, "No Data")</f>
        <v>tier - 2</v>
      </c>
      <c r="L1565" s="28" t="str">
        <f t="array" ref="L1565">_xlfn.XLOOKUP($A1565, 'Hospitalisation Details'!$A:$A, 'Hospitalisation Details'!J:J, "No Data")</f>
        <v>R1013</v>
      </c>
      <c r="M1565" s="28" t="str">
        <f t="array" ref="M1565">_xlfn.XLOOKUP($A1565, 'Hospitalisation Details'!$A:$A, 'Hospitalisation Details'!E:E, "No Data")</f>
        <v>22/07/85</v>
      </c>
      <c r="N1565" s="28">
        <f t="array" ref="N1565">_xlfn.XLOOKUP($A1565, 'Hospitalisation Details'!$A:$A, 'Hospitalisation Details'!K:K, "No Data")</f>
        <v>37</v>
      </c>
      <c r="O1565" s="33">
        <f t="array" ref="O1565">_xlfn.XLOOKUP($A1565, 'Hospitalisation Details'!$A:$A, 'Hospitalisation Details'!G:G, "No Data")</f>
        <v>6435.62</v>
      </c>
      <c r="P1565" s="28" t="str">
        <f t="array" ref="P1565">_xlfn.XLOOKUP($A1565, 'Hospitalisation Details'!$A:$A, 'Hospitalisation Details'!H:H, "No Data")</f>
        <v>tier - 3</v>
      </c>
    </row>
    <row r="1566">
      <c r="A1566" s="25" t="s">
        <v>4746</v>
      </c>
      <c r="B1566" s="28" t="str">
        <f t="array" ref="B1566">_xlfn.XLOOKUP($A1566, 'Customer Names'!$A:$A, 'Customer Names'!B:B, "No Data")</f>
        <v>Hoffman</v>
      </c>
      <c r="C1566" s="28">
        <f t="array" ref="C1566">_xlfn.XLOOKUP($A1566, 'Medical Examinations'!$A:$A, 'Medical Examinations'!B:B, "No Data")</f>
        <v>20.58</v>
      </c>
      <c r="D1566" s="28">
        <f t="array" ref="D1566">_xlfn.XLOOKUP($A1566, 'Medical Examinations'!$A:$A, 'Medical Examinations'!C:C, "No Data")</f>
        <v>11.04</v>
      </c>
      <c r="E1566" s="28" t="str">
        <f t="array" ref="E1566">_xlfn.XLOOKUP($A1566, 'Medical Examinations'!$A:$A, 'Medical Examinations'!D:D, "No Data")</f>
        <v>yes</v>
      </c>
      <c r="F1566" s="28" t="str">
        <f t="array" ref="F1566">_xlfn.XLOOKUP($A1566, 'Medical Examinations'!$A:$A, 'Medical Examinations'!E:E, "No Data")</f>
        <v>No</v>
      </c>
      <c r="G1566" s="28" t="str">
        <f t="array" ref="G1566">_xlfn.XLOOKUP($A1566, 'Medical Examinations'!$A:$A, 'Medical Examinations'!F:F, "No Data")</f>
        <v>No</v>
      </c>
      <c r="H1566" s="28">
        <f t="array" ref="H1566">_xlfn.XLOOKUP($A1566, 'Medical Examinations'!$A:$A, 'Medical Examinations'!G:G, "No Data")</f>
        <v>1</v>
      </c>
      <c r="I1566" s="28" t="str">
        <f t="array" ref="I1566">_xlfn.XLOOKUP($A1566, 'Medical Examinations'!$A:$A, 'Medical Examinations'!H:H, "No Data")</f>
        <v>No</v>
      </c>
      <c r="J1566" s="28" t="str">
        <f t="array" ref="J1566">_xlfn.XLOOKUP($A1566, 'Medical Examinations'!$A:$A, 'Medical Examinations'!I:I, "No Data")</f>
        <v>Normal Weight</v>
      </c>
      <c r="K1566" s="28" t="str">
        <f t="array" ref="K1566">_xlfn.XLOOKUP($A1566, 'Hospitalisation Details'!$A:$A, 'Hospitalisation Details'!I:I, "No Data")</f>
        <v>tier - 3</v>
      </c>
      <c r="L1566" s="28" t="str">
        <f t="array" ref="L1566">_xlfn.XLOOKUP($A1566, 'Hospitalisation Details'!$A:$A, 'Hospitalisation Details'!J:J, "No Data")</f>
        <v>R1013</v>
      </c>
      <c r="M1566" s="28" t="str">
        <f t="array" ref="M1566">_xlfn.XLOOKUP($A1566, 'Hospitalisation Details'!$A:$A, 'Hospitalisation Details'!E:E, "No Data")</f>
        <v>05/08/75</v>
      </c>
      <c r="N1566" s="28">
        <f t="array" ref="N1566">_xlfn.XLOOKUP($A1566, 'Hospitalisation Details'!$A:$A, 'Hospitalisation Details'!K:K, "No Data")</f>
        <v>47</v>
      </c>
      <c r="O1566" s="33">
        <f t="array" ref="O1566">_xlfn.XLOOKUP($A1566, 'Hospitalisation Details'!$A:$A, 'Hospitalisation Details'!G:G, "No Data")</f>
        <v>6423.48</v>
      </c>
      <c r="P1566" s="28" t="str">
        <f t="array" ref="P1566">_xlfn.XLOOKUP($A1566, 'Hospitalisation Details'!$A:$A, 'Hospitalisation Details'!H:H, "No Data")</f>
        <v>tier - 2</v>
      </c>
    </row>
    <row r="1567">
      <c r="A1567" s="25" t="s">
        <v>4741</v>
      </c>
      <c r="B1567" s="28" t="str">
        <f t="array" ref="B1567">_xlfn.XLOOKUP($A1567, 'Customer Names'!$A:$A, 'Customer Names'!B:B, "No Data")</f>
        <v>Wong</v>
      </c>
      <c r="C1567" s="28">
        <f t="array" ref="C1567">_xlfn.XLOOKUP($A1567, 'Medical Examinations'!$A:$A, 'Medical Examinations'!B:B, "No Data")</f>
        <v>19.53</v>
      </c>
      <c r="D1567" s="28">
        <f t="array" ref="D1567">_xlfn.XLOOKUP($A1567, 'Medical Examinations'!$A:$A, 'Medical Examinations'!C:C, "No Data")</f>
        <v>6.09</v>
      </c>
      <c r="E1567" s="28" t="str">
        <f t="array" ref="E1567">_xlfn.XLOOKUP($A1567, 'Medical Examinations'!$A:$A, 'Medical Examinations'!D:D, "No Data")</f>
        <v>yes</v>
      </c>
      <c r="F1567" s="28" t="str">
        <f t="array" ref="F1567">_xlfn.XLOOKUP($A1567, 'Medical Examinations'!$A:$A, 'Medical Examinations'!E:E, "No Data")</f>
        <v>No</v>
      </c>
      <c r="G1567" s="28" t="str">
        <f t="array" ref="G1567">_xlfn.XLOOKUP($A1567, 'Medical Examinations'!$A:$A, 'Medical Examinations'!F:F, "No Data")</f>
        <v>No</v>
      </c>
      <c r="H1567" s="28">
        <f t="array" ref="H1567">_xlfn.XLOOKUP($A1567, 'Medical Examinations'!$A:$A, 'Medical Examinations'!G:G, "No Data")</f>
        <v>0</v>
      </c>
      <c r="I1567" s="28" t="str">
        <f t="array" ref="I1567">_xlfn.XLOOKUP($A1567, 'Medical Examinations'!$A:$A, 'Medical Examinations'!H:H, "No Data")</f>
        <v>No</v>
      </c>
      <c r="J1567" s="28" t="str">
        <f t="array" ref="J1567">_xlfn.XLOOKUP($A1567, 'Medical Examinations'!$A:$A, 'Medical Examinations'!I:I, "No Data")</f>
        <v>Normal Weight</v>
      </c>
      <c r="K1567" s="28" t="str">
        <f t="array" ref="K1567">_xlfn.XLOOKUP($A1567, 'Hospitalisation Details'!$A:$A, 'Hospitalisation Details'!I:I, "No Data")</f>
        <v>tier - 3</v>
      </c>
      <c r="L1567" s="28" t="str">
        <f t="array" ref="L1567">_xlfn.XLOOKUP($A1567, 'Hospitalisation Details'!$A:$A, 'Hospitalisation Details'!J:J, "No Data")</f>
        <v>R1013</v>
      </c>
      <c r="M1567" s="28" t="str">
        <f t="array" ref="M1567">_xlfn.XLOOKUP($A1567, 'Hospitalisation Details'!$A:$A, 'Hospitalisation Details'!E:E, "No Data")</f>
        <v>30/12/76</v>
      </c>
      <c r="N1567" s="28">
        <f t="array" ref="N1567">_xlfn.XLOOKUP($A1567, 'Hospitalisation Details'!$A:$A, 'Hospitalisation Details'!K:K, "No Data")</f>
        <v>46</v>
      </c>
      <c r="O1567" s="33">
        <f t="array" ref="O1567">_xlfn.XLOOKUP($A1567, 'Hospitalisation Details'!$A:$A, 'Hospitalisation Details'!G:G, "No Data")</f>
        <v>6417.28</v>
      </c>
      <c r="P1567" s="28" t="str">
        <f t="array" ref="P1567">_xlfn.XLOOKUP($A1567, 'Hospitalisation Details'!$A:$A, 'Hospitalisation Details'!H:H, "No Data")</f>
        <v>tier - 2</v>
      </c>
    </row>
    <row r="1568">
      <c r="A1568" s="25" t="s">
        <v>4737</v>
      </c>
      <c r="B1568" s="28" t="str">
        <f t="array" ref="B1568">_xlfn.XLOOKUP($A1568, 'Customer Names'!$A:$A, 'Customer Names'!B:B, "No Data")</f>
        <v>Lea</v>
      </c>
      <c r="C1568" s="28">
        <f t="array" ref="C1568">_xlfn.XLOOKUP($A1568, 'Medical Examinations'!$A:$A, 'Medical Examinations'!B:B, "No Data")</f>
        <v>27.7</v>
      </c>
      <c r="D1568" s="28">
        <f t="array" ref="D1568">_xlfn.XLOOKUP($A1568, 'Medical Examinations'!$A:$A, 'Medical Examinations'!C:C, "No Data")</f>
        <v>4.71</v>
      </c>
      <c r="E1568" s="28" t="str">
        <f t="array" ref="E1568">_xlfn.XLOOKUP($A1568, 'Medical Examinations'!$A:$A, 'Medical Examinations'!D:D, "No Data")</f>
        <v>No</v>
      </c>
      <c r="F1568" s="28" t="str">
        <f t="array" ref="F1568">_xlfn.XLOOKUP($A1568, 'Medical Examinations'!$A:$A, 'Medical Examinations'!E:E, "No Data")</f>
        <v>No</v>
      </c>
      <c r="G1568" s="28" t="str">
        <f t="array" ref="G1568">_xlfn.XLOOKUP($A1568, 'Medical Examinations'!$A:$A, 'Medical Examinations'!F:F, "No Data")</f>
        <v>No</v>
      </c>
      <c r="H1568" s="28">
        <f t="array" ref="H1568">_xlfn.XLOOKUP($A1568, 'Medical Examinations'!$A:$A, 'Medical Examinations'!G:G, "No Data")</f>
        <v>1</v>
      </c>
      <c r="I1568" s="28" t="str">
        <f t="array" ref="I1568">_xlfn.XLOOKUP($A1568, 'Medical Examinations'!$A:$A, 'Medical Examinations'!H:H, "No Data")</f>
        <v>No</v>
      </c>
      <c r="J1568" s="28" t="str">
        <f t="array" ref="J1568">_xlfn.XLOOKUP($A1568, 'Medical Examinations'!$A:$A, 'Medical Examinations'!I:I, "No Data")</f>
        <v>Overweight</v>
      </c>
      <c r="K1568" s="28" t="str">
        <f t="array" ref="K1568">_xlfn.XLOOKUP($A1568, 'Hospitalisation Details'!$A:$A, 'Hospitalisation Details'!I:I, "No Data")</f>
        <v>tier - 2</v>
      </c>
      <c r="L1568" s="28" t="str">
        <f t="array" ref="L1568">_xlfn.XLOOKUP($A1568, 'Hospitalisation Details'!$A:$A, 'Hospitalisation Details'!J:J, "No Data")</f>
        <v>R1011</v>
      </c>
      <c r="M1568" s="28" t="str">
        <f t="array" ref="M1568">_xlfn.XLOOKUP($A1568, 'Hospitalisation Details'!$A:$A, 'Hospitalisation Details'!E:E, "No Data")</f>
        <v>04/09/87</v>
      </c>
      <c r="N1568" s="28">
        <f t="array" ref="N1568">_xlfn.XLOOKUP($A1568, 'Hospitalisation Details'!$A:$A, 'Hospitalisation Details'!K:K, "No Data")</f>
        <v>35</v>
      </c>
      <c r="O1568" s="33">
        <f t="array" ref="O1568">_xlfn.XLOOKUP($A1568, 'Hospitalisation Details'!$A:$A, 'Hospitalisation Details'!G:G, "No Data")</f>
        <v>6414.18</v>
      </c>
      <c r="P1568" s="28" t="str">
        <f t="array" ref="P1568">_xlfn.XLOOKUP($A1568, 'Hospitalisation Details'!$A:$A, 'Hospitalisation Details'!H:H, "No Data")</f>
        <v>tier - 2</v>
      </c>
    </row>
    <row r="1569">
      <c r="A1569" s="25" t="s">
        <v>4734</v>
      </c>
      <c r="B1569" s="28" t="str">
        <f t="array" ref="B1569">_xlfn.XLOOKUP($A1569, 'Customer Names'!$A:$A, 'Customer Names'!B:B, "No Data")</f>
        <v>Patterson</v>
      </c>
      <c r="C1569" s="28">
        <f t="array" ref="C1569">_xlfn.XLOOKUP($A1569, 'Medical Examinations'!$A:$A, 'Medical Examinations'!B:B, "No Data")</f>
        <v>18.92</v>
      </c>
      <c r="D1569" s="28">
        <f t="array" ref="D1569">_xlfn.XLOOKUP($A1569, 'Medical Examinations'!$A:$A, 'Medical Examinations'!C:C, "No Data")</f>
        <v>8.18</v>
      </c>
      <c r="E1569" s="28" t="str">
        <f t="array" ref="E1569">_xlfn.XLOOKUP($A1569, 'Medical Examinations'!$A:$A, 'Medical Examinations'!D:D, "No Data")</f>
        <v>No</v>
      </c>
      <c r="F1569" s="28" t="str">
        <f t="array" ref="F1569">_xlfn.XLOOKUP($A1569, 'Medical Examinations'!$A:$A, 'Medical Examinations'!E:E, "No Data")</f>
        <v>No</v>
      </c>
      <c r="G1569" s="28" t="str">
        <f t="array" ref="G1569">_xlfn.XLOOKUP($A1569, 'Medical Examinations'!$A:$A, 'Medical Examinations'!F:F, "No Data")</f>
        <v>No</v>
      </c>
      <c r="H1569" s="28">
        <f t="array" ref="H1569">_xlfn.XLOOKUP($A1569, 'Medical Examinations'!$A:$A, 'Medical Examinations'!G:G, "No Data")</f>
        <v>0</v>
      </c>
      <c r="I1569" s="28" t="str">
        <f t="array" ref="I1569">_xlfn.XLOOKUP($A1569, 'Medical Examinations'!$A:$A, 'Medical Examinations'!H:H, "No Data")</f>
        <v>No</v>
      </c>
      <c r="J1569" s="28" t="str">
        <f t="array" ref="J1569">_xlfn.XLOOKUP($A1569, 'Medical Examinations'!$A:$A, 'Medical Examinations'!I:I, "No Data")</f>
        <v>Normal Weight</v>
      </c>
      <c r="K1569" s="28" t="str">
        <f t="array" ref="K1569">_xlfn.XLOOKUP($A1569, 'Hospitalisation Details'!$A:$A, 'Hospitalisation Details'!I:I, "No Data")</f>
        <v>tier - 3</v>
      </c>
      <c r="L1569" s="28" t="str">
        <f t="array" ref="L1569">_xlfn.XLOOKUP($A1569, 'Hospitalisation Details'!$A:$A, 'Hospitalisation Details'!J:J, "No Data")</f>
        <v>R1013</v>
      </c>
      <c r="M1569" s="28" t="str">
        <f t="array" ref="M1569">_xlfn.XLOOKUP($A1569, 'Hospitalisation Details'!$A:$A, 'Hospitalisation Details'!E:E, "No Data")</f>
        <v>22/08/71</v>
      </c>
      <c r="N1569" s="28">
        <f t="array" ref="N1569">_xlfn.XLOOKUP($A1569, 'Hospitalisation Details'!$A:$A, 'Hospitalisation Details'!K:K, "No Data")</f>
        <v>51</v>
      </c>
      <c r="O1569" s="33">
        <f t="array" ref="O1569">_xlfn.XLOOKUP($A1569, 'Hospitalisation Details'!$A:$A, 'Hospitalisation Details'!G:G, "No Data")</f>
        <v>6412.34</v>
      </c>
      <c r="P1569" s="28" t="str">
        <f t="array" ref="P1569">_xlfn.XLOOKUP($A1569, 'Hospitalisation Details'!$A:$A, 'Hospitalisation Details'!H:H, "No Data")</f>
        <v>tier - 2</v>
      </c>
    </row>
    <row r="1570">
      <c r="A1570" s="25" t="s">
        <v>4730</v>
      </c>
      <c r="B1570" s="28" t="str">
        <f t="array" ref="B1570">_xlfn.XLOOKUP($A1570, 'Customer Names'!$A:$A, 'Customer Names'!B:B, "No Data")</f>
        <v>Quigley</v>
      </c>
      <c r="C1570" s="28">
        <f t="array" ref="C1570">_xlfn.XLOOKUP($A1570, 'Medical Examinations'!$A:$A, 'Medical Examinations'!B:B, "No Data")</f>
        <v>17.76</v>
      </c>
      <c r="D1570" s="28">
        <f t="array" ref="D1570">_xlfn.XLOOKUP($A1570, 'Medical Examinations'!$A:$A, 'Medical Examinations'!C:C, "No Data")</f>
        <v>11.18</v>
      </c>
      <c r="E1570" s="28" t="str">
        <f t="array" ref="E1570">_xlfn.XLOOKUP($A1570, 'Medical Examinations'!$A:$A, 'Medical Examinations'!D:D, "No Data")</f>
        <v>yes</v>
      </c>
      <c r="F1570" s="28" t="str">
        <f t="array" ref="F1570">_xlfn.XLOOKUP($A1570, 'Medical Examinations'!$A:$A, 'Medical Examinations'!E:E, "No Data")</f>
        <v>No</v>
      </c>
      <c r="G1570" s="28" t="str">
        <f t="array" ref="G1570">_xlfn.XLOOKUP($A1570, 'Medical Examinations'!$A:$A, 'Medical Examinations'!F:F, "No Data")</f>
        <v>No</v>
      </c>
      <c r="H1570" s="28">
        <f t="array" ref="H1570">_xlfn.XLOOKUP($A1570, 'Medical Examinations'!$A:$A, 'Medical Examinations'!G:G, "No Data")</f>
        <v>2</v>
      </c>
      <c r="I1570" s="28" t="str">
        <f t="array" ref="I1570">_xlfn.XLOOKUP($A1570, 'Medical Examinations'!$A:$A, 'Medical Examinations'!H:H, "No Data")</f>
        <v>No</v>
      </c>
      <c r="J1570" s="28" t="str">
        <f t="array" ref="J1570">_xlfn.XLOOKUP($A1570, 'Medical Examinations'!$A:$A, 'Medical Examinations'!I:I, "No Data")</f>
        <v>Underweight</v>
      </c>
      <c r="K1570" s="28" t="str">
        <f t="array" ref="K1570">_xlfn.XLOOKUP($A1570, 'Hospitalisation Details'!$A:$A, 'Hospitalisation Details'!I:I, "No Data")</f>
        <v>tier - 1</v>
      </c>
      <c r="L1570" s="28" t="str">
        <f t="array" ref="L1570">_xlfn.XLOOKUP($A1570, 'Hospitalisation Details'!$A:$A, 'Hospitalisation Details'!J:J, "No Data")</f>
        <v>R1013</v>
      </c>
      <c r="M1570" s="28" t="str">
        <f t="array" ref="M1570">_xlfn.XLOOKUP($A1570, 'Hospitalisation Details'!$A:$A, 'Hospitalisation Details'!E:E, "No Data")</f>
        <v>20/08/70</v>
      </c>
      <c r="N1570" s="28">
        <f t="array" ref="N1570">_xlfn.XLOOKUP($A1570, 'Hospitalisation Details'!$A:$A, 'Hospitalisation Details'!K:K, "No Data")</f>
        <v>52</v>
      </c>
      <c r="O1570" s="33">
        <f t="array" ref="O1570">_xlfn.XLOOKUP($A1570, 'Hospitalisation Details'!$A:$A, 'Hospitalisation Details'!G:G, "No Data")</f>
        <v>6407.05</v>
      </c>
      <c r="P1570" s="28" t="str">
        <f t="array" ref="P1570">_xlfn.XLOOKUP($A1570, 'Hospitalisation Details'!$A:$A, 'Hospitalisation Details'!H:H, "No Data")</f>
        <v>tier - 2</v>
      </c>
    </row>
    <row r="1571">
      <c r="A1571" s="25" t="s">
        <v>4724</v>
      </c>
      <c r="B1571" s="28" t="str">
        <f t="array" ref="B1571">_xlfn.XLOOKUP($A1571, 'Customer Names'!$A:$A, 'Customer Names'!B:B, "No Data")</f>
        <v>Korir</v>
      </c>
      <c r="C1571" s="28">
        <f t="array" ref="C1571">_xlfn.XLOOKUP($A1571, 'Medical Examinations'!$A:$A, 'Medical Examinations'!B:B, "No Data")</f>
        <v>29.83</v>
      </c>
      <c r="D1571" s="28">
        <f t="array" ref="D1571">_xlfn.XLOOKUP($A1571, 'Medical Examinations'!$A:$A, 'Medical Examinations'!C:C, "No Data")</f>
        <v>5.03</v>
      </c>
      <c r="E1571" s="28" t="str">
        <f t="array" ref="E1571">_xlfn.XLOOKUP($A1571, 'Medical Examinations'!$A:$A, 'Medical Examinations'!D:D, "No Data")</f>
        <v>yes</v>
      </c>
      <c r="F1571" s="28" t="str">
        <f t="array" ref="F1571">_xlfn.XLOOKUP($A1571, 'Medical Examinations'!$A:$A, 'Medical Examinations'!E:E, "No Data")</f>
        <v>No</v>
      </c>
      <c r="G1571" s="28" t="str">
        <f t="array" ref="G1571">_xlfn.XLOOKUP($A1571, 'Medical Examinations'!$A:$A, 'Medical Examinations'!F:F, "No Data")</f>
        <v>No</v>
      </c>
      <c r="H1571" s="28">
        <f t="array" ref="H1571">_xlfn.XLOOKUP($A1571, 'Medical Examinations'!$A:$A, 'Medical Examinations'!G:G, "No Data")</f>
        <v>0</v>
      </c>
      <c r="I1571" s="28" t="str">
        <f t="array" ref="I1571">_xlfn.XLOOKUP($A1571, 'Medical Examinations'!$A:$A, 'Medical Examinations'!H:H, "No Data")</f>
        <v>No</v>
      </c>
      <c r="J1571" s="28" t="str">
        <f t="array" ref="J1571">_xlfn.XLOOKUP($A1571, 'Medical Examinations'!$A:$A, 'Medical Examinations'!I:I, "No Data")</f>
        <v>Overweight</v>
      </c>
      <c r="K1571" s="28" t="str">
        <f t="array" ref="K1571">_xlfn.XLOOKUP($A1571, 'Hospitalisation Details'!$A:$A, 'Hospitalisation Details'!I:I, "No Data")</f>
        <v>tier - 3</v>
      </c>
      <c r="L1571" s="28" t="str">
        <f t="array" ref="L1571">_xlfn.XLOOKUP($A1571, 'Hospitalisation Details'!$A:$A, 'Hospitalisation Details'!J:J, "No Data")</f>
        <v>R1014</v>
      </c>
      <c r="M1571" s="28" t="str">
        <f t="array" ref="M1571">_xlfn.XLOOKUP($A1571, 'Hospitalisation Details'!$A:$A, 'Hospitalisation Details'!E:E, "No Data")</f>
        <v>10/12/85</v>
      </c>
      <c r="N1571" s="28">
        <f t="array" ref="N1571">_xlfn.XLOOKUP($A1571, 'Hospitalisation Details'!$A:$A, 'Hospitalisation Details'!K:K, "No Data")</f>
        <v>37</v>
      </c>
      <c r="O1571" s="33">
        <f t="array" ref="O1571">_xlfn.XLOOKUP($A1571, 'Hospitalisation Details'!$A:$A, 'Hospitalisation Details'!G:G, "No Data")</f>
        <v>6406.41</v>
      </c>
      <c r="P1571" s="28" t="str">
        <f t="array" ref="P1571">_xlfn.XLOOKUP($A1571, 'Hospitalisation Details'!$A:$A, 'Hospitalisation Details'!H:H, "No Data")</f>
        <v>tier - 1</v>
      </c>
    </row>
    <row r="1572">
      <c r="A1572" s="25" t="s">
        <v>4718</v>
      </c>
      <c r="B1572" s="28" t="str">
        <f t="array" ref="B1572">_xlfn.XLOOKUP($A1572, 'Customer Names'!$A:$A, 'Customer Names'!B:B, "No Data")</f>
        <v>Downs</v>
      </c>
      <c r="C1572" s="28">
        <f t="array" ref="C1572">_xlfn.XLOOKUP($A1572, 'Medical Examinations'!$A:$A, 'Medical Examinations'!B:B, "No Data")</f>
        <v>23.465</v>
      </c>
      <c r="D1572" s="28">
        <f t="array" ref="D1572">_xlfn.XLOOKUP($A1572, 'Medical Examinations'!$A:$A, 'Medical Examinations'!C:C, "No Data")</f>
        <v>5.56</v>
      </c>
      <c r="E1572" s="28" t="str">
        <f t="array" ref="E1572">_xlfn.XLOOKUP($A1572, 'Medical Examinations'!$A:$A, 'Medical Examinations'!D:D, "No Data")</f>
        <v>No</v>
      </c>
      <c r="F1572" s="28" t="str">
        <f t="array" ref="F1572">_xlfn.XLOOKUP($A1572, 'Medical Examinations'!$A:$A, 'Medical Examinations'!E:E, "No Data")</f>
        <v>No</v>
      </c>
      <c r="G1572" s="28" t="str">
        <f t="array" ref="G1572">_xlfn.XLOOKUP($A1572, 'Medical Examinations'!$A:$A, 'Medical Examinations'!F:F, "No Data")</f>
        <v>No</v>
      </c>
      <c r="H1572" s="28">
        <f t="array" ref="H1572">_xlfn.XLOOKUP($A1572, 'Medical Examinations'!$A:$A, 'Medical Examinations'!G:G, "No Data")</f>
        <v>1</v>
      </c>
      <c r="I1572" s="28" t="str">
        <f t="array" ref="I1572">_xlfn.XLOOKUP($A1572, 'Medical Examinations'!$A:$A, 'Medical Examinations'!H:H, "No Data")</f>
        <v>No</v>
      </c>
      <c r="J1572" s="28" t="str">
        <f t="array" ref="J1572">_xlfn.XLOOKUP($A1572, 'Medical Examinations'!$A:$A, 'Medical Examinations'!I:I, "No Data")</f>
        <v>Normal Weight</v>
      </c>
      <c r="K1572" s="28" t="str">
        <f t="array" ref="K1572">_xlfn.XLOOKUP($A1572, 'Hospitalisation Details'!$A:$A, 'Hospitalisation Details'!I:I, "No Data")</f>
        <v>tier - 3</v>
      </c>
      <c r="L1572" s="28" t="str">
        <f t="array" ref="L1572">_xlfn.XLOOKUP($A1572, 'Hospitalisation Details'!$A:$A, 'Hospitalisation Details'!J:J, "No Data")</f>
        <v>R1024</v>
      </c>
      <c r="M1572" s="28" t="str">
        <f t="array" ref="M1572">_xlfn.XLOOKUP($A1572, 'Hospitalisation Details'!$A:$A, 'Hospitalisation Details'!E:E, "No Data")</f>
        <v>09/09/87</v>
      </c>
      <c r="N1572" s="28">
        <f t="array" ref="N1572">_xlfn.XLOOKUP($A1572, 'Hospitalisation Details'!$A:$A, 'Hospitalisation Details'!K:K, "No Data")</f>
        <v>35</v>
      </c>
      <c r="O1572" s="33">
        <f t="array" ref="O1572">_xlfn.XLOOKUP($A1572, 'Hospitalisation Details'!$A:$A, 'Hospitalisation Details'!G:G, "No Data")</f>
        <v>6402.29</v>
      </c>
      <c r="P1572" s="28" t="str">
        <f t="array" ref="P1572">_xlfn.XLOOKUP($A1572, 'Hospitalisation Details'!$A:$A, 'Hospitalisation Details'!H:H, "No Data")</f>
        <v>tier - 2</v>
      </c>
    </row>
    <row r="1573">
      <c r="A1573" s="25" t="s">
        <v>4713</v>
      </c>
      <c r="B1573" s="28" t="str">
        <f t="array" ref="B1573">_xlfn.XLOOKUP($A1573, 'Customer Names'!$A:$A, 'Customer Names'!B:B, "No Data")</f>
        <v>Young</v>
      </c>
      <c r="C1573" s="28">
        <f t="array" ref="C1573">_xlfn.XLOOKUP($A1573, 'Medical Examinations'!$A:$A, 'Medical Examinations'!B:B, "No Data")</f>
        <v>29.355</v>
      </c>
      <c r="D1573" s="28">
        <f t="array" ref="D1573">_xlfn.XLOOKUP($A1573, 'Medical Examinations'!$A:$A, 'Medical Examinations'!C:C, "No Data")</f>
        <v>4.33</v>
      </c>
      <c r="E1573" s="28" t="str">
        <f t="array" ref="E1573">_xlfn.XLOOKUP($A1573, 'Medical Examinations'!$A:$A, 'Medical Examinations'!D:D, "No Data")</f>
        <v>No</v>
      </c>
      <c r="F1573" s="28" t="str">
        <f t="array" ref="F1573">_xlfn.XLOOKUP($A1573, 'Medical Examinations'!$A:$A, 'Medical Examinations'!E:E, "No Data")</f>
        <v>No</v>
      </c>
      <c r="G1573" s="28" t="str">
        <f t="array" ref="G1573">_xlfn.XLOOKUP($A1573, 'Medical Examinations'!$A:$A, 'Medical Examinations'!F:F, "No Data")</f>
        <v>No</v>
      </c>
      <c r="H1573" s="28">
        <f t="array" ref="H1573">_xlfn.XLOOKUP($A1573, 'Medical Examinations'!$A:$A, 'Medical Examinations'!G:G, "No Data")</f>
        <v>0</v>
      </c>
      <c r="I1573" s="28" t="str">
        <f t="array" ref="I1573">_xlfn.XLOOKUP($A1573, 'Medical Examinations'!$A:$A, 'Medical Examinations'!H:H, "No Data")</f>
        <v>No</v>
      </c>
      <c r="J1573" s="28" t="str">
        <f t="array" ref="J1573">_xlfn.XLOOKUP($A1573, 'Medical Examinations'!$A:$A, 'Medical Examinations'!I:I, "No Data")</f>
        <v>Overweight</v>
      </c>
      <c r="K1573" s="28" t="str">
        <f t="array" ref="K1573">_xlfn.XLOOKUP($A1573, 'Hospitalisation Details'!$A:$A, 'Hospitalisation Details'!I:I, "No Data")</f>
        <v>tier - 1</v>
      </c>
      <c r="L1573" s="28" t="str">
        <f t="array" ref="L1573">_xlfn.XLOOKUP($A1573, 'Hospitalisation Details'!$A:$A, 'Hospitalisation Details'!J:J, "No Data")</f>
        <v>R1012</v>
      </c>
      <c r="M1573" s="28" t="str">
        <f t="array" ref="M1573">_xlfn.XLOOKUP($A1573, 'Hospitalisation Details'!$A:$A, 'Hospitalisation Details'!E:E, "No Data")</f>
        <v>28/10/82</v>
      </c>
      <c r="N1573" s="28">
        <f t="array" ref="N1573">_xlfn.XLOOKUP($A1573, 'Hospitalisation Details'!$A:$A, 'Hospitalisation Details'!K:K, "No Data")</f>
        <v>40</v>
      </c>
      <c r="O1573" s="33">
        <f t="array" ref="O1573">_xlfn.XLOOKUP($A1573, 'Hospitalisation Details'!$A:$A, 'Hospitalisation Details'!G:G, "No Data")</f>
        <v>6393.6</v>
      </c>
      <c r="P1573" s="28" t="str">
        <f t="array" ref="P1573">_xlfn.XLOOKUP($A1573, 'Hospitalisation Details'!$A:$A, 'Hospitalisation Details'!H:H, "No Data")</f>
        <v>tier - 2</v>
      </c>
    </row>
    <row r="1574">
      <c r="A1574" s="25" t="s">
        <v>4708</v>
      </c>
      <c r="B1574" s="28" t="str">
        <f t="array" ref="B1574">_xlfn.XLOOKUP($A1574, 'Customer Names'!$A:$A, 'Customer Names'!B:B, "No Data")</f>
        <v>Zywek</v>
      </c>
      <c r="C1574" s="28">
        <f t="array" ref="C1574">_xlfn.XLOOKUP($A1574, 'Medical Examinations'!$A:$A, 'Medical Examinations'!B:B, "No Data")</f>
        <v>35.49</v>
      </c>
      <c r="D1574" s="28">
        <f t="array" ref="D1574">_xlfn.XLOOKUP($A1574, 'Medical Examinations'!$A:$A, 'Medical Examinations'!C:C, "No Data")</f>
        <v>5.21</v>
      </c>
      <c r="E1574" s="28" t="str">
        <f t="array" ref="E1574">_xlfn.XLOOKUP($A1574, 'Medical Examinations'!$A:$A, 'Medical Examinations'!D:D, "No Data")</f>
        <v>yes</v>
      </c>
      <c r="F1574" s="28" t="str">
        <f t="array" ref="F1574">_xlfn.XLOOKUP($A1574, 'Medical Examinations'!$A:$A, 'Medical Examinations'!E:E, "No Data")</f>
        <v>No</v>
      </c>
      <c r="G1574" s="28" t="str">
        <f t="array" ref="G1574">_xlfn.XLOOKUP($A1574, 'Medical Examinations'!$A:$A, 'Medical Examinations'!F:F, "No Data")</f>
        <v>Yes</v>
      </c>
      <c r="H1574" s="28">
        <f t="array" ref="H1574">_xlfn.XLOOKUP($A1574, 'Medical Examinations'!$A:$A, 'Medical Examinations'!G:G, "No Data")</f>
        <v>1</v>
      </c>
      <c r="I1574" s="28" t="str">
        <f t="array" ref="I1574">_xlfn.XLOOKUP($A1574, 'Medical Examinations'!$A:$A, 'Medical Examinations'!H:H, "No Data")</f>
        <v>No</v>
      </c>
      <c r="J1574" s="28" t="str">
        <f t="array" ref="J1574">_xlfn.XLOOKUP($A1574, 'Medical Examinations'!$A:$A, 'Medical Examinations'!I:I, "No Data")</f>
        <v>Obesity</v>
      </c>
      <c r="K1574" s="28" t="str">
        <f t="array" ref="K1574">_xlfn.XLOOKUP($A1574, 'Hospitalisation Details'!$A:$A, 'Hospitalisation Details'!I:I, "No Data")</f>
        <v>tier - 2</v>
      </c>
      <c r="L1574" s="28" t="str">
        <f t="array" ref="L1574">_xlfn.XLOOKUP($A1574, 'Hospitalisation Details'!$A:$A, 'Hospitalisation Details'!J:J, "No Data")</f>
        <v>R1021</v>
      </c>
      <c r="M1574" s="28" t="str">
        <f t="array" ref="M1574">_xlfn.XLOOKUP($A1574, 'Hospitalisation Details'!$A:$A, 'Hospitalisation Details'!E:E, "No Data")</f>
        <v>16/08/97</v>
      </c>
      <c r="N1574" s="28">
        <f t="array" ref="N1574">_xlfn.XLOOKUP($A1574, 'Hospitalisation Details'!$A:$A, 'Hospitalisation Details'!K:K, "No Data")</f>
        <v>25</v>
      </c>
      <c r="O1574" s="33">
        <f t="array" ref="O1574">_xlfn.XLOOKUP($A1574, 'Hospitalisation Details'!$A:$A, 'Hospitalisation Details'!G:G, "No Data")</f>
        <v>6389.53</v>
      </c>
      <c r="P1574" s="28" t="str">
        <f t="array" ref="P1574">_xlfn.XLOOKUP($A1574, 'Hospitalisation Details'!$A:$A, 'Hospitalisation Details'!H:H, "No Data")</f>
        <v>tier - 2</v>
      </c>
    </row>
    <row r="1575">
      <c r="A1575" s="25" t="s">
        <v>4705</v>
      </c>
      <c r="B1575" s="28" t="str">
        <f t="array" ref="B1575">_xlfn.XLOOKUP($A1575, 'Customer Names'!$A:$A, 'Customer Names'!B:B, "No Data")</f>
        <v>Faulkner</v>
      </c>
      <c r="C1575" s="28">
        <f t="array" ref="C1575">_xlfn.XLOOKUP($A1575, 'Medical Examinations'!$A:$A, 'Medical Examinations'!B:B, "No Data")</f>
        <v>26.315</v>
      </c>
      <c r="D1575" s="28">
        <f t="array" ref="D1575">_xlfn.XLOOKUP($A1575, 'Medical Examinations'!$A:$A, 'Medical Examinations'!C:C, "No Data")</f>
        <v>5.89</v>
      </c>
      <c r="E1575" s="28" t="str">
        <f t="array" ref="E1575">_xlfn.XLOOKUP($A1575, 'Medical Examinations'!$A:$A, 'Medical Examinations'!D:D, "No Data")</f>
        <v>No</v>
      </c>
      <c r="F1575" s="28" t="str">
        <f t="array" ref="F1575">_xlfn.XLOOKUP($A1575, 'Medical Examinations'!$A:$A, 'Medical Examinations'!E:E, "No Data")</f>
        <v>No</v>
      </c>
      <c r="G1575" s="28" t="str">
        <f t="array" ref="G1575">_xlfn.XLOOKUP($A1575, 'Medical Examinations'!$A:$A, 'Medical Examinations'!F:F, "No Data")</f>
        <v>No</v>
      </c>
      <c r="H1575" s="28">
        <f t="array" ref="H1575">_xlfn.XLOOKUP($A1575, 'Medical Examinations'!$A:$A, 'Medical Examinations'!G:G, "No Data")</f>
        <v>0</v>
      </c>
      <c r="I1575" s="28" t="str">
        <f t="array" ref="I1575">_xlfn.XLOOKUP($A1575, 'Medical Examinations'!$A:$A, 'Medical Examinations'!H:H, "No Data")</f>
        <v>No</v>
      </c>
      <c r="J1575" s="28" t="str">
        <f t="array" ref="J1575">_xlfn.XLOOKUP($A1575, 'Medical Examinations'!$A:$A, 'Medical Examinations'!I:I, "No Data")</f>
        <v>Overweight</v>
      </c>
      <c r="K1575" s="28" t="str">
        <f t="array" ref="K1575">_xlfn.XLOOKUP($A1575, 'Hospitalisation Details'!$A:$A, 'Hospitalisation Details'!I:I, "No Data")</f>
        <v>tier - 2</v>
      </c>
      <c r="L1575" s="28" t="str">
        <f t="array" ref="L1575">_xlfn.XLOOKUP($A1575, 'Hospitalisation Details'!$A:$A, 'Hospitalisation Details'!J:J, "No Data")</f>
        <v>R1012</v>
      </c>
      <c r="M1575" s="28" t="str">
        <f t="array" ref="M1575">_xlfn.XLOOKUP($A1575, 'Hospitalisation Details'!$A:$A, 'Hospitalisation Details'!E:E, "No Data")</f>
        <v>06/08/82</v>
      </c>
      <c r="N1575" s="28">
        <f t="array" ref="N1575">_xlfn.XLOOKUP($A1575, 'Hospitalisation Details'!$A:$A, 'Hospitalisation Details'!K:K, "No Data")</f>
        <v>40</v>
      </c>
      <c r="O1575" s="33">
        <f t="array" ref="O1575">_xlfn.XLOOKUP($A1575, 'Hospitalisation Details'!$A:$A, 'Hospitalisation Details'!G:G, "No Data")</f>
        <v>6389.38</v>
      </c>
      <c r="P1575" s="28" t="str">
        <f t="array" ref="P1575">_xlfn.XLOOKUP($A1575, 'Hospitalisation Details'!$A:$A, 'Hospitalisation Details'!H:H, "No Data")</f>
        <v>tier - 1</v>
      </c>
    </row>
    <row r="1576">
      <c r="A1576" s="25" t="s">
        <v>4702</v>
      </c>
      <c r="B1576" s="28" t="str">
        <f t="array" ref="B1576">_xlfn.XLOOKUP($A1576, 'Customer Names'!$A:$A, 'Customer Names'!B:B, "No Data")</f>
        <v>Erspamer</v>
      </c>
      <c r="C1576" s="28">
        <f t="array" ref="C1576">_xlfn.XLOOKUP($A1576, 'Medical Examinations'!$A:$A, 'Medical Examinations'!B:B, "No Data")</f>
        <v>19.79</v>
      </c>
      <c r="D1576" s="28">
        <f t="array" ref="D1576">_xlfn.XLOOKUP($A1576, 'Medical Examinations'!$A:$A, 'Medical Examinations'!C:C, "No Data")</f>
        <v>4.81</v>
      </c>
      <c r="E1576" s="28" t="str">
        <f t="array" ref="E1576">_xlfn.XLOOKUP($A1576, 'Medical Examinations'!$A:$A, 'Medical Examinations'!D:D, "No Data")</f>
        <v>yes</v>
      </c>
      <c r="F1576" s="28" t="str">
        <f t="array" ref="F1576">_xlfn.XLOOKUP($A1576, 'Medical Examinations'!$A:$A, 'Medical Examinations'!E:E, "No Data")</f>
        <v>No</v>
      </c>
      <c r="G1576" s="28" t="str">
        <f t="array" ref="G1576">_xlfn.XLOOKUP($A1576, 'Medical Examinations'!$A:$A, 'Medical Examinations'!F:F, "No Data")</f>
        <v>No</v>
      </c>
      <c r="H1576" s="28">
        <f t="array" ref="H1576">_xlfn.XLOOKUP($A1576, 'Medical Examinations'!$A:$A, 'Medical Examinations'!G:G, "No Data")</f>
        <v>0</v>
      </c>
      <c r="I1576" s="28" t="str">
        <f t="array" ref="I1576">_xlfn.XLOOKUP($A1576, 'Medical Examinations'!$A:$A, 'Medical Examinations'!H:H, "No Data")</f>
        <v>No</v>
      </c>
      <c r="J1576" s="28" t="str">
        <f t="array" ref="J1576">_xlfn.XLOOKUP($A1576, 'Medical Examinations'!$A:$A, 'Medical Examinations'!I:I, "No Data")</f>
        <v>Normal Weight</v>
      </c>
      <c r="K1576" s="28" t="str">
        <f t="array" ref="K1576">_xlfn.XLOOKUP($A1576, 'Hospitalisation Details'!$A:$A, 'Hospitalisation Details'!I:I, "No Data")</f>
        <v>tier - 2</v>
      </c>
      <c r="L1576" s="28" t="str">
        <f t="array" ref="L1576">_xlfn.XLOOKUP($A1576, 'Hospitalisation Details'!$A:$A, 'Hospitalisation Details'!J:J, "No Data")</f>
        <v>R1013</v>
      </c>
      <c r="M1576" s="28" t="str">
        <f t="array" ref="M1576">_xlfn.XLOOKUP($A1576, 'Hospitalisation Details'!$A:$A, 'Hospitalisation Details'!E:E, "No Data")</f>
        <v>18/11/76</v>
      </c>
      <c r="N1576" s="28">
        <f t="array" ref="N1576">_xlfn.XLOOKUP($A1576, 'Hospitalisation Details'!$A:$A, 'Hospitalisation Details'!K:K, "No Data")</f>
        <v>46</v>
      </c>
      <c r="O1576" s="33">
        <f t="array" ref="O1576">_xlfn.XLOOKUP($A1576, 'Hospitalisation Details'!$A:$A, 'Hospitalisation Details'!G:G, "No Data")</f>
        <v>6374.16</v>
      </c>
      <c r="P1576" s="28" t="str">
        <f t="array" ref="P1576">_xlfn.XLOOKUP($A1576, 'Hospitalisation Details'!$A:$A, 'Hospitalisation Details'!H:H, "No Data")</f>
        <v>tier - 2</v>
      </c>
    </row>
    <row r="1577">
      <c r="A1577" s="25" t="s">
        <v>4697</v>
      </c>
      <c r="B1577" s="28" t="str">
        <f t="array" ref="B1577">_xlfn.XLOOKUP($A1577, 'Customer Names'!$A:$A, 'Customer Names'!B:B, "No Data")</f>
        <v>Campbell</v>
      </c>
      <c r="C1577" s="28">
        <f t="array" ref="C1577">_xlfn.XLOOKUP($A1577, 'Medical Examinations'!$A:$A, 'Medical Examinations'!B:B, "No Data")</f>
        <v>40.565</v>
      </c>
      <c r="D1577" s="28">
        <f t="array" ref="D1577">_xlfn.XLOOKUP($A1577, 'Medical Examinations'!$A:$A, 'Medical Examinations'!C:C, "No Data")</f>
        <v>5.66</v>
      </c>
      <c r="E1577" s="28" t="str">
        <f t="array" ref="E1577">_xlfn.XLOOKUP($A1577, 'Medical Examinations'!$A:$A, 'Medical Examinations'!D:D, "No Data")</f>
        <v>No</v>
      </c>
      <c r="F1577" s="28" t="str">
        <f t="array" ref="F1577">_xlfn.XLOOKUP($A1577, 'Medical Examinations'!$A:$A, 'Medical Examinations'!E:E, "No Data")</f>
        <v>No</v>
      </c>
      <c r="G1577" s="28" t="str">
        <f t="array" ref="G1577">_xlfn.XLOOKUP($A1577, 'Medical Examinations'!$A:$A, 'Medical Examinations'!F:F, "No Data")</f>
        <v>No</v>
      </c>
      <c r="H1577" s="28">
        <f t="array" ref="H1577">_xlfn.XLOOKUP($A1577, 'Medical Examinations'!$A:$A, 'Medical Examinations'!G:G, "No Data")</f>
        <v>1</v>
      </c>
      <c r="I1577" s="28" t="str">
        <f t="array" ref="I1577">_xlfn.XLOOKUP($A1577, 'Medical Examinations'!$A:$A, 'Medical Examinations'!H:H, "No Data")</f>
        <v>No</v>
      </c>
      <c r="J1577" s="28" t="str">
        <f t="array" ref="J1577">_xlfn.XLOOKUP($A1577, 'Medical Examinations'!$A:$A, 'Medical Examinations'!I:I, "No Data")</f>
        <v>Obesity</v>
      </c>
      <c r="K1577" s="28" t="str">
        <f t="array" ref="K1577">_xlfn.XLOOKUP($A1577, 'Hospitalisation Details'!$A:$A, 'Hospitalisation Details'!I:I, "No Data")</f>
        <v>tier - 1</v>
      </c>
      <c r="L1577" s="28" t="str">
        <f t="array" ref="L1577">_xlfn.XLOOKUP($A1577, 'Hospitalisation Details'!$A:$A, 'Hospitalisation Details'!J:J, "No Data")</f>
        <v>R1012</v>
      </c>
      <c r="M1577" s="28" t="str">
        <f t="array" ref="M1577">_xlfn.XLOOKUP($A1577, 'Hospitalisation Details'!$A:$A, 'Hospitalisation Details'!E:E, "No Data")</f>
        <v>13/08/84</v>
      </c>
      <c r="N1577" s="28">
        <f t="array" ref="N1577">_xlfn.XLOOKUP($A1577, 'Hospitalisation Details'!$A:$A, 'Hospitalisation Details'!K:K, "No Data")</f>
        <v>38</v>
      </c>
      <c r="O1577" s="33">
        <f t="array" ref="O1577">_xlfn.XLOOKUP($A1577, 'Hospitalisation Details'!$A:$A, 'Hospitalisation Details'!G:G, "No Data")</f>
        <v>6373.56</v>
      </c>
      <c r="P1577" s="28" t="str">
        <f t="array" ref="P1577">_xlfn.XLOOKUP($A1577, 'Hospitalisation Details'!$A:$A, 'Hospitalisation Details'!H:H, "No Data")</f>
        <v>tier - 2</v>
      </c>
    </row>
    <row r="1578">
      <c r="A1578" s="25" t="s">
        <v>4693</v>
      </c>
      <c r="B1578" s="28" t="str">
        <f t="array" ref="B1578">_xlfn.XLOOKUP($A1578, 'Customer Names'!$A:$A, 'Customer Names'!B:B, "No Data")</f>
        <v>Addison</v>
      </c>
      <c r="C1578" s="28">
        <f t="array" ref="C1578">_xlfn.XLOOKUP($A1578, 'Medical Examinations'!$A:$A, 'Medical Examinations'!B:B, "No Data")</f>
        <v>18.03</v>
      </c>
      <c r="D1578" s="28">
        <f t="array" ref="D1578">_xlfn.XLOOKUP($A1578, 'Medical Examinations'!$A:$A, 'Medical Examinations'!C:C, "No Data")</f>
        <v>10.66</v>
      </c>
      <c r="E1578" s="28" t="str">
        <f t="array" ref="E1578">_xlfn.XLOOKUP($A1578, 'Medical Examinations'!$A:$A, 'Medical Examinations'!D:D, "No Data")</f>
        <v>yes</v>
      </c>
      <c r="F1578" s="28" t="str">
        <f t="array" ref="F1578">_xlfn.XLOOKUP($A1578, 'Medical Examinations'!$A:$A, 'Medical Examinations'!E:E, "No Data")</f>
        <v>No</v>
      </c>
      <c r="G1578" s="28" t="str">
        <f t="array" ref="G1578">_xlfn.XLOOKUP($A1578, 'Medical Examinations'!$A:$A, 'Medical Examinations'!F:F, "No Data")</f>
        <v>No</v>
      </c>
      <c r="H1578" s="28">
        <f t="array" ref="H1578">_xlfn.XLOOKUP($A1578, 'Medical Examinations'!$A:$A, 'Medical Examinations'!G:G, "No Data")</f>
        <v>2</v>
      </c>
      <c r="I1578" s="28" t="str">
        <f t="array" ref="I1578">_xlfn.XLOOKUP($A1578, 'Medical Examinations'!$A:$A, 'Medical Examinations'!H:H, "No Data")</f>
        <v>No</v>
      </c>
      <c r="J1578" s="28" t="str">
        <f t="array" ref="J1578">_xlfn.XLOOKUP($A1578, 'Medical Examinations'!$A:$A, 'Medical Examinations'!I:I, "No Data")</f>
        <v>Underweight</v>
      </c>
      <c r="K1578" s="28" t="str">
        <f t="array" ref="K1578">_xlfn.XLOOKUP($A1578, 'Hospitalisation Details'!$A:$A, 'Hospitalisation Details'!I:I, "No Data")</f>
        <v>tier - 1</v>
      </c>
      <c r="L1578" s="28" t="str">
        <f t="array" ref="L1578">_xlfn.XLOOKUP($A1578, 'Hospitalisation Details'!$A:$A, 'Hospitalisation Details'!J:J, "No Data")</f>
        <v>R1013</v>
      </c>
      <c r="M1578" s="28" t="str">
        <f t="array" ref="M1578">_xlfn.XLOOKUP($A1578, 'Hospitalisation Details'!$A:$A, 'Hospitalisation Details'!E:E, "No Data")</f>
        <v>09/11/70</v>
      </c>
      <c r="N1578" s="28">
        <f t="array" ref="N1578">_xlfn.XLOOKUP($A1578, 'Hospitalisation Details'!$A:$A, 'Hospitalisation Details'!K:K, "No Data")</f>
        <v>52</v>
      </c>
      <c r="O1578" s="33">
        <f t="array" ref="O1578">_xlfn.XLOOKUP($A1578, 'Hospitalisation Details'!$A:$A, 'Hospitalisation Details'!G:G, "No Data")</f>
        <v>6367.31</v>
      </c>
      <c r="P1578" s="28" t="str">
        <f t="array" ref="P1578">_xlfn.XLOOKUP($A1578, 'Hospitalisation Details'!$A:$A, 'Hospitalisation Details'!H:H, "No Data")</f>
        <v>tier - 2</v>
      </c>
    </row>
    <row r="1579">
      <c r="A1579" s="25" t="s">
        <v>4689</v>
      </c>
      <c r="B1579" s="28" t="str">
        <f t="array" ref="B1579">_xlfn.XLOOKUP($A1579, 'Customer Names'!$A:$A, 'Customer Names'!B:B, "No Data")</f>
        <v>Wu</v>
      </c>
      <c r="C1579" s="28">
        <f t="array" ref="C1579">_xlfn.XLOOKUP($A1579, 'Medical Examinations'!$A:$A, 'Medical Examinations'!B:B, "No Data")</f>
        <v>34.65</v>
      </c>
      <c r="D1579" s="28">
        <f t="array" ref="D1579">_xlfn.XLOOKUP($A1579, 'Medical Examinations'!$A:$A, 'Medical Examinations'!C:C, "No Data")</f>
        <v>5.98</v>
      </c>
      <c r="E1579" s="28" t="str">
        <f t="array" ref="E1579">_xlfn.XLOOKUP($A1579, 'Medical Examinations'!$A:$A, 'Medical Examinations'!D:D, "No Data")</f>
        <v>yes</v>
      </c>
      <c r="F1579" s="28" t="str">
        <f t="array" ref="F1579">_xlfn.XLOOKUP($A1579, 'Medical Examinations'!$A:$A, 'Medical Examinations'!E:E, "No Data")</f>
        <v>No</v>
      </c>
      <c r="G1579" s="28" t="str">
        <f t="array" ref="G1579">_xlfn.XLOOKUP($A1579, 'Medical Examinations'!$A:$A, 'Medical Examinations'!F:F, "No Data")</f>
        <v>No</v>
      </c>
      <c r="H1579" s="28">
        <f t="array" ref="H1579">_xlfn.XLOOKUP($A1579, 'Medical Examinations'!$A:$A, 'Medical Examinations'!G:G, "No Data")</f>
        <v>0</v>
      </c>
      <c r="I1579" s="28" t="str">
        <f t="array" ref="I1579">_xlfn.XLOOKUP($A1579, 'Medical Examinations'!$A:$A, 'Medical Examinations'!H:H, "No Data")</f>
        <v>No</v>
      </c>
      <c r="J1579" s="28" t="str">
        <f t="array" ref="J1579">_xlfn.XLOOKUP($A1579, 'Medical Examinations'!$A:$A, 'Medical Examinations'!I:I, "No Data")</f>
        <v>Obesity</v>
      </c>
      <c r="K1579" s="28" t="str">
        <f t="array" ref="K1579">_xlfn.XLOOKUP($A1579, 'Hospitalisation Details'!$A:$A, 'Hospitalisation Details'!I:I, "No Data")</f>
        <v>tier - 3</v>
      </c>
      <c r="L1579" s="28" t="str">
        <f t="array" ref="L1579">_xlfn.XLOOKUP($A1579, 'Hospitalisation Details'!$A:$A, 'Hospitalisation Details'!J:J, "No Data")</f>
        <v>R1021</v>
      </c>
      <c r="M1579" s="28" t="str">
        <f t="array" ref="M1579">_xlfn.XLOOKUP($A1579, 'Hospitalisation Details'!$A:$A, 'Hospitalisation Details'!E:E, "No Data")</f>
        <v>07/07/96</v>
      </c>
      <c r="N1579" s="28">
        <f t="array" ref="N1579">_xlfn.XLOOKUP($A1579, 'Hospitalisation Details'!$A:$A, 'Hospitalisation Details'!K:K, "No Data")</f>
        <v>26</v>
      </c>
      <c r="O1579" s="33">
        <f t="array" ref="O1579">_xlfn.XLOOKUP($A1579, 'Hospitalisation Details'!$A:$A, 'Hospitalisation Details'!G:G, "No Data")</f>
        <v>6361.47</v>
      </c>
      <c r="P1579" s="28" t="str">
        <f t="array" ref="P1579">_xlfn.XLOOKUP($A1579, 'Hospitalisation Details'!$A:$A, 'Hospitalisation Details'!H:H, "No Data")</f>
        <v>tier - 2</v>
      </c>
    </row>
    <row r="1580">
      <c r="A1580" s="25" t="s">
        <v>4686</v>
      </c>
      <c r="B1580" s="28" t="str">
        <f t="array" ref="B1580">_xlfn.XLOOKUP($A1580, 'Customer Names'!$A:$A, 'Customer Names'!B:B, "No Data")</f>
        <v>Millett</v>
      </c>
      <c r="C1580" s="28">
        <f t="array" ref="C1580">_xlfn.XLOOKUP($A1580, 'Medical Examinations'!$A:$A, 'Medical Examinations'!B:B, "No Data")</f>
        <v>42.94</v>
      </c>
      <c r="D1580" s="28">
        <f t="array" ref="D1580">_xlfn.XLOOKUP($A1580, 'Medical Examinations'!$A:$A, 'Medical Examinations'!C:C, "No Data")</f>
        <v>4.34</v>
      </c>
      <c r="E1580" s="28" t="str">
        <f t="array" ref="E1580">_xlfn.XLOOKUP($A1580, 'Medical Examinations'!$A:$A, 'Medical Examinations'!D:D, "No Data")</f>
        <v>No</v>
      </c>
      <c r="F1580" s="28" t="str">
        <f t="array" ref="F1580">_xlfn.XLOOKUP($A1580, 'Medical Examinations'!$A:$A, 'Medical Examinations'!E:E, "No Data")</f>
        <v>No</v>
      </c>
      <c r="G1580" s="28" t="str">
        <f t="array" ref="G1580">_xlfn.XLOOKUP($A1580, 'Medical Examinations'!$A:$A, 'Medical Examinations'!F:F, "No Data")</f>
        <v>No</v>
      </c>
      <c r="H1580" s="28">
        <f t="array" ref="H1580">_xlfn.XLOOKUP($A1580, 'Medical Examinations'!$A:$A, 'Medical Examinations'!G:G, "No Data")</f>
        <v>0</v>
      </c>
      <c r="I1580" s="28" t="str">
        <f t="array" ref="I1580">_xlfn.XLOOKUP($A1580, 'Medical Examinations'!$A:$A, 'Medical Examinations'!H:H, "No Data")</f>
        <v>No</v>
      </c>
      <c r="J1580" s="28" t="str">
        <f t="array" ref="J1580">_xlfn.XLOOKUP($A1580, 'Medical Examinations'!$A:$A, 'Medical Examinations'!I:I, "No Data")</f>
        <v>Obesity</v>
      </c>
      <c r="K1580" s="28" t="str">
        <f t="array" ref="K1580">_xlfn.XLOOKUP($A1580, 'Hospitalisation Details'!$A:$A, 'Hospitalisation Details'!I:I, "No Data")</f>
        <v>tier - 2</v>
      </c>
      <c r="L1580" s="28" t="str">
        <f t="array" ref="L1580">_xlfn.XLOOKUP($A1580, 'Hospitalisation Details'!$A:$A, 'Hospitalisation Details'!J:J, "No Data")</f>
        <v>R1012</v>
      </c>
      <c r="M1580" s="28" t="str">
        <f t="array" ref="M1580">_xlfn.XLOOKUP($A1580, 'Hospitalisation Details'!$A:$A, 'Hospitalisation Details'!E:E, "No Data")</f>
        <v>24/06/89</v>
      </c>
      <c r="N1580" s="28">
        <f t="array" ref="N1580">_xlfn.XLOOKUP($A1580, 'Hospitalisation Details'!$A:$A, 'Hospitalisation Details'!K:K, "No Data")</f>
        <v>33</v>
      </c>
      <c r="O1580" s="33">
        <f t="array" ref="O1580">_xlfn.XLOOKUP($A1580, 'Hospitalisation Details'!$A:$A, 'Hospitalisation Details'!G:G, "No Data")</f>
        <v>6360.99</v>
      </c>
      <c r="P1580" s="28" t="str">
        <f t="array" ref="P1580">_xlfn.XLOOKUP($A1580, 'Hospitalisation Details'!$A:$A, 'Hospitalisation Details'!H:H, "No Data")</f>
        <v>tier - 2</v>
      </c>
    </row>
    <row r="1581">
      <c r="A1581" s="25" t="s">
        <v>4682</v>
      </c>
      <c r="B1581" s="28" t="str">
        <f t="array" ref="B1581">_xlfn.XLOOKUP($A1581, 'Customer Names'!$A:$A, 'Customer Names'!B:B, "No Data")</f>
        <v>Bosl</v>
      </c>
      <c r="C1581" s="28">
        <f t="array" ref="C1581">_xlfn.XLOOKUP($A1581, 'Medical Examinations'!$A:$A, 'Medical Examinations'!B:B, "No Data")</f>
        <v>31.255</v>
      </c>
      <c r="D1581" s="28">
        <f t="array" ref="D1581">_xlfn.XLOOKUP($A1581, 'Medical Examinations'!$A:$A, 'Medical Examinations'!C:C, "No Data")</f>
        <v>5.17</v>
      </c>
      <c r="E1581" s="28" t="str">
        <f t="array" ref="E1581">_xlfn.XLOOKUP($A1581, 'Medical Examinations'!$A:$A, 'Medical Examinations'!D:D, "No Data")</f>
        <v>No</v>
      </c>
      <c r="F1581" s="28" t="str">
        <f t="array" ref="F1581">_xlfn.XLOOKUP($A1581, 'Medical Examinations'!$A:$A, 'Medical Examinations'!E:E, "No Data")</f>
        <v>No</v>
      </c>
      <c r="G1581" s="28" t="str">
        <f t="array" ref="G1581">_xlfn.XLOOKUP($A1581, 'Medical Examinations'!$A:$A, 'Medical Examinations'!F:F, "No Data")</f>
        <v>No</v>
      </c>
      <c r="H1581" s="28">
        <f t="array" ref="H1581">_xlfn.XLOOKUP($A1581, 'Medical Examinations'!$A:$A, 'Medical Examinations'!G:G, "No Data")</f>
        <v>0</v>
      </c>
      <c r="I1581" s="28" t="str">
        <f t="array" ref="I1581">_xlfn.XLOOKUP($A1581, 'Medical Examinations'!$A:$A, 'Medical Examinations'!H:H, "No Data")</f>
        <v>No</v>
      </c>
      <c r="J1581" s="28" t="str">
        <f t="array" ref="J1581">_xlfn.XLOOKUP($A1581, 'Medical Examinations'!$A:$A, 'Medical Examinations'!I:I, "No Data")</f>
        <v>Obesity</v>
      </c>
      <c r="K1581" s="28" t="str">
        <f t="array" ref="K1581">_xlfn.XLOOKUP($A1581, 'Hospitalisation Details'!$A:$A, 'Hospitalisation Details'!I:I, "No Data")</f>
        <v>tier - 1</v>
      </c>
      <c r="L1581" s="28" t="str">
        <f t="array" ref="L1581">_xlfn.XLOOKUP($A1581, 'Hospitalisation Details'!$A:$A, 'Hospitalisation Details'!J:J, "No Data")</f>
        <v>R1012</v>
      </c>
      <c r="M1581" s="28" t="str">
        <f t="array" ref="M1581">_xlfn.XLOOKUP($A1581, 'Hospitalisation Details'!$A:$A, 'Hospitalisation Details'!E:E, "No Data")</f>
        <v>30/10/80</v>
      </c>
      <c r="N1581" s="28">
        <f t="array" ref="N1581">_xlfn.XLOOKUP($A1581, 'Hospitalisation Details'!$A:$A, 'Hospitalisation Details'!K:K, "No Data")</f>
        <v>42</v>
      </c>
      <c r="O1581" s="33">
        <f t="array" ref="O1581">_xlfn.XLOOKUP($A1581, 'Hospitalisation Details'!$A:$A, 'Hospitalisation Details'!G:G, "No Data")</f>
        <v>6358.78</v>
      </c>
      <c r="P1581" s="28" t="str">
        <f t="array" ref="P1581">_xlfn.XLOOKUP($A1581, 'Hospitalisation Details'!$A:$A, 'Hospitalisation Details'!H:H, "No Data")</f>
        <v>tier - 2</v>
      </c>
    </row>
    <row r="1582">
      <c r="A1582" s="25" t="s">
        <v>4680</v>
      </c>
      <c r="B1582" s="28" t="str">
        <f t="array" ref="B1582">_xlfn.XLOOKUP($A1582, 'Customer Names'!$A:$A, 'Customer Names'!B:B, "No Data")</f>
        <v>Goldberg</v>
      </c>
      <c r="C1582" s="28">
        <f t="array" ref="C1582">_xlfn.XLOOKUP($A1582, 'Medical Examinations'!$A:$A, 'Medical Examinations'!B:B, "No Data")</f>
        <v>45.43</v>
      </c>
      <c r="D1582" s="28">
        <f t="array" ref="D1582">_xlfn.XLOOKUP($A1582, 'Medical Examinations'!$A:$A, 'Medical Examinations'!C:C, "No Data")</f>
        <v>4.23</v>
      </c>
      <c r="E1582" s="28" t="str">
        <f t="array" ref="E1582">_xlfn.XLOOKUP($A1582, 'Medical Examinations'!$A:$A, 'Medical Examinations'!D:D, "No Data")</f>
        <v>yes</v>
      </c>
      <c r="F1582" s="28" t="str">
        <f t="array" ref="F1582">_xlfn.XLOOKUP($A1582, 'Medical Examinations'!$A:$A, 'Medical Examinations'!E:E, "No Data")</f>
        <v>No</v>
      </c>
      <c r="G1582" s="28" t="str">
        <f t="array" ref="G1582">_xlfn.XLOOKUP($A1582, 'Medical Examinations'!$A:$A, 'Medical Examinations'!F:F, "No Data")</f>
        <v>Yes</v>
      </c>
      <c r="H1582" s="28">
        <f t="array" ref="H1582">_xlfn.XLOOKUP($A1582, 'Medical Examinations'!$A:$A, 'Medical Examinations'!G:G, "No Data")</f>
        <v>1</v>
      </c>
      <c r="I1582" s="28" t="str">
        <f t="array" ref="I1582">_xlfn.XLOOKUP($A1582, 'Medical Examinations'!$A:$A, 'Medical Examinations'!H:H, "No Data")</f>
        <v>No</v>
      </c>
      <c r="J1582" s="28" t="str">
        <f t="array" ref="J1582">_xlfn.XLOOKUP($A1582, 'Medical Examinations'!$A:$A, 'Medical Examinations'!I:I, "No Data")</f>
        <v>Obesity</v>
      </c>
      <c r="K1582" s="28" t="str">
        <f t="array" ref="K1582">_xlfn.XLOOKUP($A1582, 'Hospitalisation Details'!$A:$A, 'Hospitalisation Details'!I:I, "No Data")</f>
        <v>tier - 2</v>
      </c>
      <c r="L1582" s="28" t="str">
        <f t="array" ref="L1582">_xlfn.XLOOKUP($A1582, 'Hospitalisation Details'!$A:$A, 'Hospitalisation Details'!J:J, "No Data")</f>
        <v>R1013</v>
      </c>
      <c r="M1582" s="28" t="str">
        <f t="array" ref="M1582">_xlfn.XLOOKUP($A1582, 'Hospitalisation Details'!$A:$A, 'Hospitalisation Details'!E:E, "No Data")</f>
        <v>19/08/83</v>
      </c>
      <c r="N1582" s="28">
        <f t="array" ref="N1582">_xlfn.XLOOKUP($A1582, 'Hospitalisation Details'!$A:$A, 'Hospitalisation Details'!K:K, "No Data")</f>
        <v>39</v>
      </c>
      <c r="O1582" s="33">
        <f t="array" ref="O1582">_xlfn.XLOOKUP($A1582, 'Hospitalisation Details'!$A:$A, 'Hospitalisation Details'!G:G, "No Data")</f>
        <v>6356.27</v>
      </c>
      <c r="P1582" s="28" t="str">
        <f t="array" ref="P1582">_xlfn.XLOOKUP($A1582, 'Hospitalisation Details'!$A:$A, 'Hospitalisation Details'!H:H, "No Data")</f>
        <v>tier - 3</v>
      </c>
    </row>
    <row r="1583">
      <c r="A1583" s="25" t="s">
        <v>4677</v>
      </c>
      <c r="B1583" s="28" t="str">
        <f t="array" ref="B1583">_xlfn.XLOOKUP($A1583, 'Customer Names'!$A:$A, 'Customer Names'!B:B, "No Data")</f>
        <v>Kelley</v>
      </c>
      <c r="C1583" s="28">
        <f t="array" ref="C1583">_xlfn.XLOOKUP($A1583, 'Medical Examinations'!$A:$A, 'Medical Examinations'!B:B, "No Data")</f>
        <v>32.34</v>
      </c>
      <c r="D1583" s="28">
        <f t="array" ref="D1583">_xlfn.XLOOKUP($A1583, 'Medical Examinations'!$A:$A, 'Medical Examinations'!C:C, "No Data")</f>
        <v>4.88</v>
      </c>
      <c r="E1583" s="28" t="str">
        <f t="array" ref="E1583">_xlfn.XLOOKUP($A1583, 'Medical Examinations'!$A:$A, 'Medical Examinations'!D:D, "No Data")</f>
        <v>yes</v>
      </c>
      <c r="F1583" s="28" t="str">
        <f t="array" ref="F1583">_xlfn.XLOOKUP($A1583, 'Medical Examinations'!$A:$A, 'Medical Examinations'!E:E, "No Data")</f>
        <v>No</v>
      </c>
      <c r="G1583" s="28" t="str">
        <f t="array" ref="G1583">_xlfn.XLOOKUP($A1583, 'Medical Examinations'!$A:$A, 'Medical Examinations'!F:F, "No Data")</f>
        <v>Yes</v>
      </c>
      <c r="H1583" s="28">
        <f t="array" ref="H1583">_xlfn.XLOOKUP($A1583, 'Medical Examinations'!$A:$A, 'Medical Examinations'!G:G, "No Data")</f>
        <v>1</v>
      </c>
      <c r="I1583" s="28" t="str">
        <f t="array" ref="I1583">_xlfn.XLOOKUP($A1583, 'Medical Examinations'!$A:$A, 'Medical Examinations'!H:H, "No Data")</f>
        <v>No</v>
      </c>
      <c r="J1583" s="28" t="str">
        <f t="array" ref="J1583">_xlfn.XLOOKUP($A1583, 'Medical Examinations'!$A:$A, 'Medical Examinations'!I:I, "No Data")</f>
        <v>Obesity</v>
      </c>
      <c r="K1583" s="28" t="str">
        <f t="array" ref="K1583">_xlfn.XLOOKUP($A1583, 'Hospitalisation Details'!$A:$A, 'Hospitalisation Details'!I:I, "No Data")</f>
        <v>tier - 1</v>
      </c>
      <c r="L1583" s="28" t="str">
        <f t="array" ref="L1583">_xlfn.XLOOKUP($A1583, 'Hospitalisation Details'!$A:$A, 'Hospitalisation Details'!J:J, "No Data")</f>
        <v>R1013</v>
      </c>
      <c r="M1583" s="28" t="str">
        <f t="array" ref="M1583">_xlfn.XLOOKUP($A1583, 'Hospitalisation Details'!$A:$A, 'Hospitalisation Details'!E:E, "No Data")</f>
        <v>21/10/83</v>
      </c>
      <c r="N1583" s="28">
        <f t="array" ref="N1583">_xlfn.XLOOKUP($A1583, 'Hospitalisation Details'!$A:$A, 'Hospitalisation Details'!K:K, "No Data")</f>
        <v>39</v>
      </c>
      <c r="O1583" s="33">
        <f t="array" ref="O1583">_xlfn.XLOOKUP($A1583, 'Hospitalisation Details'!$A:$A, 'Hospitalisation Details'!G:G, "No Data")</f>
        <v>6338.08</v>
      </c>
      <c r="P1583" s="28" t="str">
        <f t="array" ref="P1583">_xlfn.XLOOKUP($A1583, 'Hospitalisation Details'!$A:$A, 'Hospitalisation Details'!H:H, "No Data")</f>
        <v>tier - 2</v>
      </c>
    </row>
    <row r="1584">
      <c r="A1584" s="25" t="s">
        <v>4672</v>
      </c>
      <c r="B1584" s="28" t="str">
        <f t="array" ref="B1584">_xlfn.XLOOKUP($A1584, 'Customer Names'!$A:$A, 'Customer Names'!B:B, "No Data")</f>
        <v>Johnston</v>
      </c>
      <c r="C1584" s="28">
        <f t="array" ref="C1584">_xlfn.XLOOKUP($A1584, 'Medical Examinations'!$A:$A, 'Medical Examinations'!B:B, "No Data")</f>
        <v>25.46</v>
      </c>
      <c r="D1584" s="28">
        <f t="array" ref="D1584">_xlfn.XLOOKUP($A1584, 'Medical Examinations'!$A:$A, 'Medical Examinations'!C:C, "No Data")</f>
        <v>9.71</v>
      </c>
      <c r="E1584" s="28" t="str">
        <f t="array" ref="E1584">_xlfn.XLOOKUP($A1584, 'Medical Examinations'!$A:$A, 'Medical Examinations'!D:D, "No Data")</f>
        <v>yes</v>
      </c>
      <c r="F1584" s="28" t="str">
        <f t="array" ref="F1584">_xlfn.XLOOKUP($A1584, 'Medical Examinations'!$A:$A, 'Medical Examinations'!E:E, "No Data")</f>
        <v>No</v>
      </c>
      <c r="G1584" s="28" t="str">
        <f t="array" ref="G1584">_xlfn.XLOOKUP($A1584, 'Medical Examinations'!$A:$A, 'Medical Examinations'!F:F, "No Data")</f>
        <v>No</v>
      </c>
      <c r="H1584" s="28">
        <f t="array" ref="H1584">_xlfn.XLOOKUP($A1584, 'Medical Examinations'!$A:$A, 'Medical Examinations'!G:G, "No Data")</f>
        <v>1</v>
      </c>
      <c r="I1584" s="28" t="str">
        <f t="array" ref="I1584">_xlfn.XLOOKUP($A1584, 'Medical Examinations'!$A:$A, 'Medical Examinations'!H:H, "No Data")</f>
        <v>No</v>
      </c>
      <c r="J1584" s="28" t="str">
        <f t="array" ref="J1584">_xlfn.XLOOKUP($A1584, 'Medical Examinations'!$A:$A, 'Medical Examinations'!I:I, "No Data")</f>
        <v>Overweight</v>
      </c>
      <c r="K1584" s="28" t="str">
        <f t="array" ref="K1584">_xlfn.XLOOKUP($A1584, 'Hospitalisation Details'!$A:$A, 'Hospitalisation Details'!I:I, "No Data")</f>
        <v>tier - 2</v>
      </c>
      <c r="L1584" s="28" t="str">
        <f t="array" ref="L1584">_xlfn.XLOOKUP($A1584, 'Hospitalisation Details'!$A:$A, 'Hospitalisation Details'!J:J, "No Data")</f>
        <v>R1013</v>
      </c>
      <c r="M1584" s="28" t="str">
        <f t="array" ref="M1584">_xlfn.XLOOKUP($A1584, 'Hospitalisation Details'!$A:$A, 'Hospitalisation Details'!E:E, "No Data")</f>
        <v>25/09/86</v>
      </c>
      <c r="N1584" s="28">
        <f t="array" ref="N1584">_xlfn.XLOOKUP($A1584, 'Hospitalisation Details'!$A:$A, 'Hospitalisation Details'!K:K, "No Data")</f>
        <v>36</v>
      </c>
      <c r="O1584" s="33">
        <f t="array" ref="O1584">_xlfn.XLOOKUP($A1584, 'Hospitalisation Details'!$A:$A, 'Hospitalisation Details'!G:G, "No Data")</f>
        <v>6335.64</v>
      </c>
      <c r="P1584" s="28" t="str">
        <f t="array" ref="P1584">_xlfn.XLOOKUP($A1584, 'Hospitalisation Details'!$A:$A, 'Hospitalisation Details'!H:H, "No Data")</f>
        <v>tier - 2</v>
      </c>
    </row>
    <row r="1585">
      <c r="A1585" s="25" t="s">
        <v>4668</v>
      </c>
      <c r="B1585" s="28" t="str">
        <f t="array" ref="B1585">_xlfn.XLOOKUP($A1585, 'Customer Names'!$A:$A, 'Customer Names'!B:B, "No Data")</f>
        <v>Keating</v>
      </c>
      <c r="C1585" s="28">
        <f t="array" ref="C1585">_xlfn.XLOOKUP($A1585, 'Medical Examinations'!$A:$A, 'Medical Examinations'!B:B, "No Data")</f>
        <v>37.145</v>
      </c>
      <c r="D1585" s="28">
        <f t="array" ref="D1585">_xlfn.XLOOKUP($A1585, 'Medical Examinations'!$A:$A, 'Medical Examinations'!C:C, "No Data")</f>
        <v>5.32</v>
      </c>
      <c r="E1585" s="28" t="str">
        <f t="array" ref="E1585">_xlfn.XLOOKUP($A1585, 'Medical Examinations'!$A:$A, 'Medical Examinations'!D:D, "No Data")</f>
        <v>No</v>
      </c>
      <c r="F1585" s="28" t="str">
        <f t="array" ref="F1585">_xlfn.XLOOKUP($A1585, 'Medical Examinations'!$A:$A, 'Medical Examinations'!E:E, "No Data")</f>
        <v>No</v>
      </c>
      <c r="G1585" s="28" t="str">
        <f t="array" ref="G1585">_xlfn.XLOOKUP($A1585, 'Medical Examinations'!$A:$A, 'Medical Examinations'!F:F, "No Data")</f>
        <v>No</v>
      </c>
      <c r="H1585" s="28">
        <f t="array" ref="H1585">_xlfn.XLOOKUP($A1585, 'Medical Examinations'!$A:$A, 'Medical Examinations'!G:G, "No Data")</f>
        <v>0</v>
      </c>
      <c r="I1585" s="28" t="str">
        <f t="array" ref="I1585">_xlfn.XLOOKUP($A1585, 'Medical Examinations'!$A:$A, 'Medical Examinations'!H:H, "No Data")</f>
        <v>No</v>
      </c>
      <c r="J1585" s="28" t="str">
        <f t="array" ref="J1585">_xlfn.XLOOKUP($A1585, 'Medical Examinations'!$A:$A, 'Medical Examinations'!I:I, "No Data")</f>
        <v>Obesity</v>
      </c>
      <c r="K1585" s="28" t="str">
        <f t="array" ref="K1585">_xlfn.XLOOKUP($A1585, 'Hospitalisation Details'!$A:$A, 'Hospitalisation Details'!I:I, "No Data")</f>
        <v>tier - 2</v>
      </c>
      <c r="L1585" s="28" t="str">
        <f t="array" ref="L1585">_xlfn.XLOOKUP($A1585, 'Hospitalisation Details'!$A:$A, 'Hospitalisation Details'!J:J, "No Data")</f>
        <v>R1024</v>
      </c>
      <c r="M1585" s="28" t="str">
        <f t="array" ref="M1585">_xlfn.XLOOKUP($A1585, 'Hospitalisation Details'!$A:$A, 'Hospitalisation Details'!E:E, "No Data")</f>
        <v>13/08/90</v>
      </c>
      <c r="N1585" s="28">
        <f t="array" ref="N1585">_xlfn.XLOOKUP($A1585, 'Hospitalisation Details'!$A:$A, 'Hospitalisation Details'!K:K, "No Data")</f>
        <v>32</v>
      </c>
      <c r="O1585" s="33">
        <f t="array" ref="O1585">_xlfn.XLOOKUP($A1585, 'Hospitalisation Details'!$A:$A, 'Hospitalisation Details'!G:G, "No Data")</f>
        <v>6334.34</v>
      </c>
      <c r="P1585" s="28" t="str">
        <f t="array" ref="P1585">_xlfn.XLOOKUP($A1585, 'Hospitalisation Details'!$A:$A, 'Hospitalisation Details'!H:H, "No Data")</f>
        <v>tier - 2</v>
      </c>
    </row>
    <row r="1586">
      <c r="A1586" s="25" t="s">
        <v>4665</v>
      </c>
      <c r="B1586" s="28" t="str">
        <f t="array" ref="B1586">_xlfn.XLOOKUP($A1586, 'Customer Names'!$A:$A, 'Customer Names'!B:B, "No Data")</f>
        <v>Duhon</v>
      </c>
      <c r="C1586" s="28">
        <f t="array" ref="C1586">_xlfn.XLOOKUP($A1586, 'Medical Examinations'!$A:$A, 'Medical Examinations'!B:B, "No Data")</f>
        <v>30.8</v>
      </c>
      <c r="D1586" s="28">
        <f t="array" ref="D1586">_xlfn.XLOOKUP($A1586, 'Medical Examinations'!$A:$A, 'Medical Examinations'!C:C, "No Data")</f>
        <v>5.83</v>
      </c>
      <c r="E1586" s="28" t="str">
        <f t="array" ref="E1586">_xlfn.XLOOKUP($A1586, 'Medical Examinations'!$A:$A, 'Medical Examinations'!D:D, "No Data")</f>
        <v>yes</v>
      </c>
      <c r="F1586" s="28" t="str">
        <f t="array" ref="F1586">_xlfn.XLOOKUP($A1586, 'Medical Examinations'!$A:$A, 'Medical Examinations'!E:E, "No Data")</f>
        <v>No</v>
      </c>
      <c r="G1586" s="28" t="str">
        <f t="array" ref="G1586">_xlfn.XLOOKUP($A1586, 'Medical Examinations'!$A:$A, 'Medical Examinations'!F:F, "No Data")</f>
        <v>No</v>
      </c>
      <c r="H1586" s="28">
        <f t="array" ref="H1586">_xlfn.XLOOKUP($A1586, 'Medical Examinations'!$A:$A, 'Medical Examinations'!G:G, "No Data")</f>
        <v>0</v>
      </c>
      <c r="I1586" s="28" t="str">
        <f t="array" ref="I1586">_xlfn.XLOOKUP($A1586, 'Medical Examinations'!$A:$A, 'Medical Examinations'!H:H, "No Data")</f>
        <v>No</v>
      </c>
      <c r="J1586" s="28" t="str">
        <f t="array" ref="J1586">_xlfn.XLOOKUP($A1586, 'Medical Examinations'!$A:$A, 'Medical Examinations'!I:I, "No Data")</f>
        <v>Obesity</v>
      </c>
      <c r="K1586" s="28" t="str">
        <f t="array" ref="K1586">_xlfn.XLOOKUP($A1586, 'Hospitalisation Details'!$A:$A, 'Hospitalisation Details'!I:I, "No Data")</f>
        <v>tier - 1</v>
      </c>
      <c r="L1586" s="28" t="str">
        <f t="array" ref="L1586">_xlfn.XLOOKUP($A1586, 'Hospitalisation Details'!$A:$A, 'Hospitalisation Details'!J:J, "No Data")</f>
        <v>R1013</v>
      </c>
      <c r="M1586" s="28" t="str">
        <f t="array" ref="M1586">_xlfn.XLOOKUP($A1586, 'Hospitalisation Details'!$A:$A, 'Hospitalisation Details'!E:E, "No Data")</f>
        <v>15/12/85</v>
      </c>
      <c r="N1586" s="28">
        <f t="array" ref="N1586">_xlfn.XLOOKUP($A1586, 'Hospitalisation Details'!$A:$A, 'Hospitalisation Details'!K:K, "No Data")</f>
        <v>37</v>
      </c>
      <c r="O1586" s="33">
        <f t="array" ref="O1586">_xlfn.XLOOKUP($A1586, 'Hospitalisation Details'!$A:$A, 'Hospitalisation Details'!G:G, "No Data")</f>
        <v>6313.76</v>
      </c>
      <c r="P1586" s="28" t="str">
        <f t="array" ref="P1586">_xlfn.XLOOKUP($A1586, 'Hospitalisation Details'!$A:$A, 'Hospitalisation Details'!H:H, "No Data")</f>
        <v>tier - 2</v>
      </c>
    </row>
    <row r="1587">
      <c r="A1587" s="25" t="s">
        <v>4660</v>
      </c>
      <c r="B1587" s="28" t="str">
        <f t="array" ref="B1587">_xlfn.XLOOKUP($A1587, 'Customer Names'!$A:$A, 'Customer Names'!B:B, "No Data")</f>
        <v>Briseno</v>
      </c>
      <c r="C1587" s="28">
        <f t="array" ref="C1587">_xlfn.XLOOKUP($A1587, 'Medical Examinations'!$A:$A, 'Medical Examinations'!B:B, "No Data")</f>
        <v>29.5</v>
      </c>
      <c r="D1587" s="28">
        <f t="array" ref="D1587">_xlfn.XLOOKUP($A1587, 'Medical Examinations'!$A:$A, 'Medical Examinations'!C:C, "No Data")</f>
        <v>5.54</v>
      </c>
      <c r="E1587" s="28" t="str">
        <f t="array" ref="E1587">_xlfn.XLOOKUP($A1587, 'Medical Examinations'!$A:$A, 'Medical Examinations'!D:D, "No Data")</f>
        <v>yes</v>
      </c>
      <c r="F1587" s="28" t="str">
        <f t="array" ref="F1587">_xlfn.XLOOKUP($A1587, 'Medical Examinations'!$A:$A, 'Medical Examinations'!E:E, "No Data")</f>
        <v>No</v>
      </c>
      <c r="G1587" s="28" t="str">
        <f t="array" ref="G1587">_xlfn.XLOOKUP($A1587, 'Medical Examinations'!$A:$A, 'Medical Examinations'!F:F, "No Data")</f>
        <v>No</v>
      </c>
      <c r="H1587" s="28">
        <f t="array" ref="H1587">_xlfn.XLOOKUP($A1587, 'Medical Examinations'!$A:$A, 'Medical Examinations'!G:G, "No Data")</f>
        <v>0</v>
      </c>
      <c r="I1587" s="28" t="str">
        <f t="array" ref="I1587">_xlfn.XLOOKUP($A1587, 'Medical Examinations'!$A:$A, 'Medical Examinations'!H:H, "No Data")</f>
        <v>No</v>
      </c>
      <c r="J1587" s="28" t="str">
        <f t="array" ref="J1587">_xlfn.XLOOKUP($A1587, 'Medical Examinations'!$A:$A, 'Medical Examinations'!I:I, "No Data")</f>
        <v>Overweight</v>
      </c>
      <c r="K1587" s="28" t="str">
        <f t="array" ref="K1587">_xlfn.XLOOKUP($A1587, 'Hospitalisation Details'!$A:$A, 'Hospitalisation Details'!I:I, "No Data")</f>
        <v>tier - 1</v>
      </c>
      <c r="L1587" s="28" t="str">
        <f t="array" ref="L1587">_xlfn.XLOOKUP($A1587, 'Hospitalisation Details'!$A:$A, 'Hospitalisation Details'!J:J, "No Data")</f>
        <v>R1011</v>
      </c>
      <c r="M1587" s="28" t="str">
        <f t="array" ref="M1587">_xlfn.XLOOKUP($A1587, 'Hospitalisation Details'!$A:$A, 'Hospitalisation Details'!E:E, "No Data")</f>
        <v>19/11/85</v>
      </c>
      <c r="N1587" s="28">
        <f t="array" ref="N1587">_xlfn.XLOOKUP($A1587, 'Hospitalisation Details'!$A:$A, 'Hospitalisation Details'!K:K, "No Data")</f>
        <v>37</v>
      </c>
      <c r="O1587" s="33">
        <f t="array" ref="O1587">_xlfn.XLOOKUP($A1587, 'Hospitalisation Details'!$A:$A, 'Hospitalisation Details'!G:G, "No Data")</f>
        <v>6311.95</v>
      </c>
      <c r="P1587" s="28" t="str">
        <f t="array" ref="P1587">_xlfn.XLOOKUP($A1587, 'Hospitalisation Details'!$A:$A, 'Hospitalisation Details'!H:H, "No Data")</f>
        <v>tier - 2</v>
      </c>
    </row>
    <row r="1588">
      <c r="A1588" s="25" t="s">
        <v>4656</v>
      </c>
      <c r="B1588" s="28" t="str">
        <f t="array" ref="B1588">_xlfn.XLOOKUP($A1588, 'Customer Names'!$A:$A, 'Customer Names'!B:B, "No Data")</f>
        <v>Besse</v>
      </c>
      <c r="C1588" s="28">
        <f t="array" ref="C1588">_xlfn.XLOOKUP($A1588, 'Medical Examinations'!$A:$A, 'Medical Examinations'!B:B, "No Data")</f>
        <v>43.39</v>
      </c>
      <c r="D1588" s="28">
        <f t="array" ref="D1588">_xlfn.XLOOKUP($A1588, 'Medical Examinations'!$A:$A, 'Medical Examinations'!C:C, "No Data")</f>
        <v>5.85</v>
      </c>
      <c r="E1588" s="28" t="str">
        <f t="array" ref="E1588">_xlfn.XLOOKUP($A1588, 'Medical Examinations'!$A:$A, 'Medical Examinations'!D:D, "No Data")</f>
        <v>No</v>
      </c>
      <c r="F1588" s="28" t="str">
        <f t="array" ref="F1588">_xlfn.XLOOKUP($A1588, 'Medical Examinations'!$A:$A, 'Medical Examinations'!E:E, "No Data")</f>
        <v>yes</v>
      </c>
      <c r="G1588" s="28" t="str">
        <f t="array" ref="G1588">_xlfn.XLOOKUP($A1588, 'Medical Examinations'!$A:$A, 'Medical Examinations'!F:F, "No Data")</f>
        <v>No</v>
      </c>
      <c r="H1588" s="28">
        <f t="array" ref="H1588">_xlfn.XLOOKUP($A1588, 'Medical Examinations'!$A:$A, 'Medical Examinations'!G:G, "No Data")</f>
        <v>1</v>
      </c>
      <c r="I1588" s="28" t="str">
        <f t="array" ref="I1588">_xlfn.XLOOKUP($A1588, 'Medical Examinations'!$A:$A, 'Medical Examinations'!H:H, "No Data")</f>
        <v>No</v>
      </c>
      <c r="J1588" s="28" t="str">
        <f t="array" ref="J1588">_xlfn.XLOOKUP($A1588, 'Medical Examinations'!$A:$A, 'Medical Examinations'!I:I, "No Data")</f>
        <v>Obesity</v>
      </c>
      <c r="K1588" s="28" t="str">
        <f t="array" ref="K1588">_xlfn.XLOOKUP($A1588, 'Hospitalisation Details'!$A:$A, 'Hospitalisation Details'!I:I, "No Data")</f>
        <v>tier - 2</v>
      </c>
      <c r="L1588" s="28" t="str">
        <f t="array" ref="L1588">_xlfn.XLOOKUP($A1588, 'Hospitalisation Details'!$A:$A, 'Hospitalisation Details'!J:J, "No Data")</f>
        <v>R1011</v>
      </c>
      <c r="M1588" s="28" t="str">
        <f t="array" ref="M1588">_xlfn.XLOOKUP($A1588, 'Hospitalisation Details'!$A:$A, 'Hospitalisation Details'!E:E, "No Data")</f>
        <v>27/07/04</v>
      </c>
      <c r="N1588" s="28">
        <f t="array" ref="N1588">_xlfn.XLOOKUP($A1588, 'Hospitalisation Details'!$A:$A, 'Hospitalisation Details'!K:K, "No Data")</f>
        <v>18</v>
      </c>
      <c r="O1588" s="33">
        <f t="array" ref="O1588">_xlfn.XLOOKUP($A1588, 'Hospitalisation Details'!$A:$A, 'Hospitalisation Details'!G:G, "No Data")</f>
        <v>6311.11</v>
      </c>
      <c r="P1588" s="28" t="str">
        <f t="array" ref="P1588">_xlfn.XLOOKUP($A1588, 'Hospitalisation Details'!$A:$A, 'Hospitalisation Details'!H:H, "No Data")</f>
        <v>tier - 2</v>
      </c>
    </row>
    <row r="1589">
      <c r="A1589" s="25" t="s">
        <v>4655</v>
      </c>
      <c r="B1589" s="28" t="str">
        <f t="array" ref="B1589">_xlfn.XLOOKUP($A1589, 'Customer Names'!$A:$A, 'Customer Names'!B:B, "No Data")</f>
        <v>Shillings</v>
      </c>
      <c r="C1589" s="28">
        <f t="array" ref="C1589">_xlfn.XLOOKUP($A1589, 'Medical Examinations'!$A:$A, 'Medical Examinations'!B:B, "No Data")</f>
        <v>15.08</v>
      </c>
      <c r="D1589" s="28">
        <f t="array" ref="D1589">_xlfn.XLOOKUP($A1589, 'Medical Examinations'!$A:$A, 'Medical Examinations'!C:C, "No Data")</f>
        <v>4.85</v>
      </c>
      <c r="E1589" s="28" t="str">
        <f t="array" ref="E1589">_xlfn.XLOOKUP($A1589, 'Medical Examinations'!$A:$A, 'Medical Examinations'!D:D, "No Data")</f>
        <v>yes</v>
      </c>
      <c r="F1589" s="28" t="str">
        <f t="array" ref="F1589">_xlfn.XLOOKUP($A1589, 'Medical Examinations'!$A:$A, 'Medical Examinations'!E:E, "No Data")</f>
        <v>No</v>
      </c>
      <c r="G1589" s="28" t="str">
        <f t="array" ref="G1589">_xlfn.XLOOKUP($A1589, 'Medical Examinations'!$A:$A, 'Medical Examinations'!F:F, "No Data")</f>
        <v>Yes</v>
      </c>
      <c r="H1589" s="28">
        <f t="array" ref="H1589">_xlfn.XLOOKUP($A1589, 'Medical Examinations'!$A:$A, 'Medical Examinations'!G:G, "No Data")</f>
        <v>1</v>
      </c>
      <c r="I1589" s="28" t="str">
        <f t="array" ref="I1589">_xlfn.XLOOKUP($A1589, 'Medical Examinations'!$A:$A, 'Medical Examinations'!H:H, "No Data")</f>
        <v>No</v>
      </c>
      <c r="J1589" s="28" t="str">
        <f t="array" ref="J1589">_xlfn.XLOOKUP($A1589, 'Medical Examinations'!$A:$A, 'Medical Examinations'!I:I, "No Data")</f>
        <v>Underweight</v>
      </c>
      <c r="K1589" s="28" t="str">
        <f t="array" ref="K1589">_xlfn.XLOOKUP($A1589, 'Hospitalisation Details'!$A:$A, 'Hospitalisation Details'!I:I, "No Data")</f>
        <v>tier - 2</v>
      </c>
      <c r="L1589" s="28" t="str">
        <f t="array" ref="L1589">_xlfn.XLOOKUP($A1589, 'Hospitalisation Details'!$A:$A, 'Hospitalisation Details'!J:J, "No Data")</f>
        <v>R1012</v>
      </c>
      <c r="M1589" s="28" t="str">
        <f t="array" ref="M1589">_xlfn.XLOOKUP($A1589, 'Hospitalisation Details'!$A:$A, 'Hospitalisation Details'!E:E, "No Data")</f>
        <v>04/09/69</v>
      </c>
      <c r="N1589" s="28">
        <f t="array" ref="N1589">_xlfn.XLOOKUP($A1589, 'Hospitalisation Details'!$A:$A, 'Hospitalisation Details'!K:K, "No Data")</f>
        <v>53</v>
      </c>
      <c r="O1589" s="33">
        <f t="array" ref="O1589">_xlfn.XLOOKUP($A1589, 'Hospitalisation Details'!$A:$A, 'Hospitalisation Details'!G:G, "No Data")</f>
        <v>6305.61</v>
      </c>
      <c r="P1589" s="28" t="str">
        <f t="array" ref="P1589">_xlfn.XLOOKUP($A1589, 'Hospitalisation Details'!$A:$A, 'Hospitalisation Details'!H:H, "No Data")</f>
        <v>tier - 2</v>
      </c>
    </row>
    <row r="1590">
      <c r="A1590" s="25" t="s">
        <v>4652</v>
      </c>
      <c r="B1590" s="28" t="str">
        <f t="array" ref="B1590">_xlfn.XLOOKUP($A1590, 'Customer Names'!$A:$A, 'Customer Names'!B:B, "No Data")</f>
        <v>Tate</v>
      </c>
      <c r="C1590" s="28">
        <f t="array" ref="C1590">_xlfn.XLOOKUP($A1590, 'Medical Examinations'!$A:$A, 'Medical Examinations'!B:B, "No Data")</f>
        <v>20.48</v>
      </c>
      <c r="D1590" s="28">
        <f t="array" ref="D1590">_xlfn.XLOOKUP($A1590, 'Medical Examinations'!$A:$A, 'Medical Examinations'!C:C, "No Data")</f>
        <v>11.09</v>
      </c>
      <c r="E1590" s="28" t="str">
        <f t="array" ref="E1590">_xlfn.XLOOKUP($A1590, 'Medical Examinations'!$A:$A, 'Medical Examinations'!D:D, "No Data")</f>
        <v>No</v>
      </c>
      <c r="F1590" s="28" t="str">
        <f t="array" ref="F1590">_xlfn.XLOOKUP($A1590, 'Medical Examinations'!$A:$A, 'Medical Examinations'!E:E, "No Data")</f>
        <v>No</v>
      </c>
      <c r="G1590" s="28" t="str">
        <f t="array" ref="G1590">_xlfn.XLOOKUP($A1590, 'Medical Examinations'!$A:$A, 'Medical Examinations'!F:F, "No Data")</f>
        <v>No</v>
      </c>
      <c r="H1590" s="28">
        <f t="array" ref="H1590">_xlfn.XLOOKUP($A1590, 'Medical Examinations'!$A:$A, 'Medical Examinations'!G:G, "No Data")</f>
        <v>0</v>
      </c>
      <c r="I1590" s="28" t="str">
        <f t="array" ref="I1590">_xlfn.XLOOKUP($A1590, 'Medical Examinations'!$A:$A, 'Medical Examinations'!H:H, "No Data")</f>
        <v>No</v>
      </c>
      <c r="J1590" s="28" t="str">
        <f t="array" ref="J1590">_xlfn.XLOOKUP($A1590, 'Medical Examinations'!$A:$A, 'Medical Examinations'!I:I, "No Data")</f>
        <v>Normal Weight</v>
      </c>
      <c r="K1590" s="28" t="str">
        <f t="array" ref="K1590">_xlfn.XLOOKUP($A1590, 'Hospitalisation Details'!$A:$A, 'Hospitalisation Details'!I:I, "No Data")</f>
        <v>tier - 1</v>
      </c>
      <c r="L1590" s="28" t="str">
        <f t="array" ref="L1590">_xlfn.XLOOKUP($A1590, 'Hospitalisation Details'!$A:$A, 'Hospitalisation Details'!J:J, "No Data")</f>
        <v>R1013</v>
      </c>
      <c r="M1590" s="28" t="str">
        <f t="array" ref="M1590">_xlfn.XLOOKUP($A1590, 'Hospitalisation Details'!$A:$A, 'Hospitalisation Details'!E:E, "No Data")</f>
        <v>17/09/74</v>
      </c>
      <c r="N1590" s="28">
        <f t="array" ref="N1590">_xlfn.XLOOKUP($A1590, 'Hospitalisation Details'!$A:$A, 'Hospitalisation Details'!K:K, "No Data")</f>
        <v>48</v>
      </c>
      <c r="O1590" s="33">
        <f t="array" ref="O1590">_xlfn.XLOOKUP($A1590, 'Hospitalisation Details'!$A:$A, 'Hospitalisation Details'!G:G, "No Data")</f>
        <v>6302.23</v>
      </c>
      <c r="P1590" s="28" t="str">
        <f t="array" ref="P1590">_xlfn.XLOOKUP($A1590, 'Hospitalisation Details'!$A:$A, 'Hospitalisation Details'!H:H, "No Data")</f>
        <v>tier - 2</v>
      </c>
    </row>
    <row r="1591">
      <c r="A1591" s="25" t="s">
        <v>4647</v>
      </c>
      <c r="B1591" s="28" t="str">
        <f t="array" ref="B1591">_xlfn.XLOOKUP($A1591, 'Customer Names'!$A:$A, 'Customer Names'!B:B, "No Data")</f>
        <v>Arsenault</v>
      </c>
      <c r="C1591" s="28">
        <f t="array" ref="C1591">_xlfn.XLOOKUP($A1591, 'Medical Examinations'!$A:$A, 'Medical Examinations'!B:B, "No Data")</f>
        <v>34.45</v>
      </c>
      <c r="D1591" s="28">
        <f t="array" ref="D1591">_xlfn.XLOOKUP($A1591, 'Medical Examinations'!$A:$A, 'Medical Examinations'!C:C, "No Data")</f>
        <v>5.58</v>
      </c>
      <c r="E1591" s="28" t="str">
        <f t="array" ref="E1591">_xlfn.XLOOKUP($A1591, 'Medical Examinations'!$A:$A, 'Medical Examinations'!D:D, "No Data")</f>
        <v>yes</v>
      </c>
      <c r="F1591" s="28" t="str">
        <f t="array" ref="F1591">_xlfn.XLOOKUP($A1591, 'Medical Examinations'!$A:$A, 'Medical Examinations'!E:E, "No Data")</f>
        <v>No</v>
      </c>
      <c r="G1591" s="28" t="str">
        <f t="array" ref="G1591">_xlfn.XLOOKUP($A1591, 'Medical Examinations'!$A:$A, 'Medical Examinations'!F:F, "No Data")</f>
        <v>No</v>
      </c>
      <c r="H1591" s="28">
        <f t="array" ref="H1591">_xlfn.XLOOKUP($A1591, 'Medical Examinations'!$A:$A, 'Medical Examinations'!G:G, "No Data")</f>
        <v>0</v>
      </c>
      <c r="I1591" s="28" t="str">
        <f t="array" ref="I1591">_xlfn.XLOOKUP($A1591, 'Medical Examinations'!$A:$A, 'Medical Examinations'!H:H, "No Data")</f>
        <v>No</v>
      </c>
      <c r="J1591" s="28" t="str">
        <f t="array" ref="J1591">_xlfn.XLOOKUP($A1591, 'Medical Examinations'!$A:$A, 'Medical Examinations'!I:I, "No Data")</f>
        <v>Obesity</v>
      </c>
      <c r="K1591" s="28" t="str">
        <f t="array" ref="K1591">_xlfn.XLOOKUP($A1591, 'Hospitalisation Details'!$A:$A, 'Hospitalisation Details'!I:I, "No Data")</f>
        <v>tier - 3</v>
      </c>
      <c r="L1591" s="28" t="str">
        <f t="array" ref="L1591">_xlfn.XLOOKUP($A1591, 'Hospitalisation Details'!$A:$A, 'Hospitalisation Details'!J:J, "No Data")</f>
        <v>R1021</v>
      </c>
      <c r="M1591" s="28" t="str">
        <f t="array" ref="M1591">_xlfn.XLOOKUP($A1591, 'Hospitalisation Details'!$A:$A, 'Hospitalisation Details'!E:E, "No Data")</f>
        <v>04/07/96</v>
      </c>
      <c r="N1591" s="28">
        <f t="array" ref="N1591">_xlfn.XLOOKUP($A1591, 'Hospitalisation Details'!$A:$A, 'Hospitalisation Details'!K:K, "No Data")</f>
        <v>26</v>
      </c>
      <c r="O1591" s="33">
        <f t="array" ref="O1591">_xlfn.XLOOKUP($A1591, 'Hospitalisation Details'!$A:$A, 'Hospitalisation Details'!G:G, "No Data")</f>
        <v>6293.63</v>
      </c>
      <c r="P1591" s="28" t="str">
        <f t="array" ref="P1591">_xlfn.XLOOKUP($A1591, 'Hospitalisation Details'!$A:$A, 'Hospitalisation Details'!H:H, "No Data")</f>
        <v>tier - 2</v>
      </c>
    </row>
    <row r="1592">
      <c r="A1592" s="25" t="s">
        <v>4643</v>
      </c>
      <c r="B1592" s="28" t="str">
        <f t="array" ref="B1592">_xlfn.XLOOKUP($A1592, 'Customer Names'!$A:$A, 'Customer Names'!B:B, "No Data")</f>
        <v>Hengoed</v>
      </c>
      <c r="C1592" s="28">
        <f t="array" ref="C1592">_xlfn.XLOOKUP($A1592, 'Medical Examinations'!$A:$A, 'Medical Examinations'!B:B, "No Data")</f>
        <v>34.21</v>
      </c>
      <c r="D1592" s="28">
        <f t="array" ref="D1592">_xlfn.XLOOKUP($A1592, 'Medical Examinations'!$A:$A, 'Medical Examinations'!C:C, "No Data")</f>
        <v>9.72</v>
      </c>
      <c r="E1592" s="28" t="str">
        <f t="array" ref="E1592">_xlfn.XLOOKUP($A1592, 'Medical Examinations'!$A:$A, 'Medical Examinations'!D:D, "No Data")</f>
        <v>yes</v>
      </c>
      <c r="F1592" s="28" t="str">
        <f t="array" ref="F1592">_xlfn.XLOOKUP($A1592, 'Medical Examinations'!$A:$A, 'Medical Examinations'!E:E, "No Data")</f>
        <v>No</v>
      </c>
      <c r="G1592" s="28" t="str">
        <f t="array" ref="G1592">_xlfn.XLOOKUP($A1592, 'Medical Examinations'!$A:$A, 'Medical Examinations'!F:F, "No Data")</f>
        <v>No</v>
      </c>
      <c r="H1592" s="28">
        <f t="array" ref="H1592">_xlfn.XLOOKUP($A1592, 'Medical Examinations'!$A:$A, 'Medical Examinations'!G:G, "No Data")</f>
        <v>0</v>
      </c>
      <c r="I1592" s="28" t="str">
        <f t="array" ref="I1592">_xlfn.XLOOKUP($A1592, 'Medical Examinations'!$A:$A, 'Medical Examinations'!H:H, "No Data")</f>
        <v>No</v>
      </c>
      <c r="J1592" s="28" t="str">
        <f t="array" ref="J1592">_xlfn.XLOOKUP($A1592, 'Medical Examinations'!$A:$A, 'Medical Examinations'!I:I, "No Data")</f>
        <v>Obesity</v>
      </c>
      <c r="K1592" s="28" t="str">
        <f t="array" ref="K1592">_xlfn.XLOOKUP($A1592, 'Hospitalisation Details'!$A:$A, 'Hospitalisation Details'!I:I, "No Data")</f>
        <v>tier - 3</v>
      </c>
      <c r="L1592" s="28" t="str">
        <f t="array" ref="L1592">_xlfn.XLOOKUP($A1592, 'Hospitalisation Details'!$A:$A, 'Hospitalisation Details'!J:J, "No Data")</f>
        <v>R1013</v>
      </c>
      <c r="M1592" s="28" t="str">
        <f t="array" ref="M1592">_xlfn.XLOOKUP($A1592, 'Hospitalisation Details'!$A:$A, 'Hospitalisation Details'!E:E, "No Data")</f>
        <v>26/08/81</v>
      </c>
      <c r="N1592" s="28">
        <f t="array" ref="N1592">_xlfn.XLOOKUP($A1592, 'Hospitalisation Details'!$A:$A, 'Hospitalisation Details'!K:K, "No Data")</f>
        <v>41</v>
      </c>
      <c r="O1592" s="33">
        <f t="array" ref="O1592">_xlfn.XLOOKUP($A1592, 'Hospitalisation Details'!$A:$A, 'Hospitalisation Details'!G:G, "No Data")</f>
        <v>6289.75</v>
      </c>
      <c r="P1592" s="28" t="str">
        <f t="array" ref="P1592">_xlfn.XLOOKUP($A1592, 'Hospitalisation Details'!$A:$A, 'Hospitalisation Details'!H:H, "No Data")</f>
        <v>tier - 2</v>
      </c>
    </row>
    <row r="1593">
      <c r="A1593" s="25" t="s">
        <v>4638</v>
      </c>
      <c r="B1593" s="28" t="str">
        <f t="array" ref="B1593">_xlfn.XLOOKUP($A1593, 'Customer Names'!$A:$A, 'Customer Names'!B:B, "No Data")</f>
        <v>Aller</v>
      </c>
      <c r="C1593" s="28">
        <f t="array" ref="C1593">_xlfn.XLOOKUP($A1593, 'Medical Examinations'!$A:$A, 'Medical Examinations'!B:B, "No Data")</f>
        <v>28.8</v>
      </c>
      <c r="D1593" s="28">
        <f t="array" ref="D1593">_xlfn.XLOOKUP($A1593, 'Medical Examinations'!$A:$A, 'Medical Examinations'!C:C, "No Data")</f>
        <v>11.41</v>
      </c>
      <c r="E1593" s="28" t="str">
        <f t="array" ref="E1593">_xlfn.XLOOKUP($A1593, 'Medical Examinations'!$A:$A, 'Medical Examinations'!D:D, "No Data")</f>
        <v>yes</v>
      </c>
      <c r="F1593" s="28" t="str">
        <f t="array" ref="F1593">_xlfn.XLOOKUP($A1593, 'Medical Examinations'!$A:$A, 'Medical Examinations'!E:E, "No Data")</f>
        <v>No</v>
      </c>
      <c r="G1593" s="28" t="str">
        <f t="array" ref="G1593">_xlfn.XLOOKUP($A1593, 'Medical Examinations'!$A:$A, 'Medical Examinations'!F:F, "No Data")</f>
        <v>No</v>
      </c>
      <c r="H1593" s="28">
        <f t="array" ref="H1593">_xlfn.XLOOKUP($A1593, 'Medical Examinations'!$A:$A, 'Medical Examinations'!G:G, "No Data")</f>
        <v>0</v>
      </c>
      <c r="I1593" s="28" t="str">
        <f t="array" ref="I1593">_xlfn.XLOOKUP($A1593, 'Medical Examinations'!$A:$A, 'Medical Examinations'!H:H, "No Data")</f>
        <v>No</v>
      </c>
      <c r="J1593" s="28" t="str">
        <f t="array" ref="J1593">_xlfn.XLOOKUP($A1593, 'Medical Examinations'!$A:$A, 'Medical Examinations'!I:I, "No Data")</f>
        <v>Overweight</v>
      </c>
      <c r="K1593" s="28" t="str">
        <f t="array" ref="K1593">_xlfn.XLOOKUP($A1593, 'Hospitalisation Details'!$A:$A, 'Hospitalisation Details'!I:I, "No Data")</f>
        <v>tier - 1</v>
      </c>
      <c r="L1593" s="28" t="str">
        <f t="array" ref="L1593">_xlfn.XLOOKUP($A1593, 'Hospitalisation Details'!$A:$A, 'Hospitalisation Details'!J:J, "No Data")</f>
        <v>R1011</v>
      </c>
      <c r="M1593" s="28" t="str">
        <f t="array" ref="M1593">_xlfn.XLOOKUP($A1593, 'Hospitalisation Details'!$A:$A, 'Hospitalisation Details'!E:E, "No Data")</f>
        <v>24/11/81</v>
      </c>
      <c r="N1593" s="28">
        <f t="array" ref="N1593">_xlfn.XLOOKUP($A1593, 'Hospitalisation Details'!$A:$A, 'Hospitalisation Details'!K:K, "No Data")</f>
        <v>41</v>
      </c>
      <c r="O1593" s="33">
        <f t="array" ref="O1593">_xlfn.XLOOKUP($A1593, 'Hospitalisation Details'!$A:$A, 'Hospitalisation Details'!G:G, "No Data")</f>
        <v>6282.24</v>
      </c>
      <c r="P1593" s="28" t="str">
        <f t="array" ref="P1593">_xlfn.XLOOKUP($A1593, 'Hospitalisation Details'!$A:$A, 'Hospitalisation Details'!H:H, "No Data")</f>
        <v>tier - 2</v>
      </c>
    </row>
    <row r="1594">
      <c r="A1594" s="25" t="s">
        <v>4634</v>
      </c>
      <c r="B1594" s="28" t="str">
        <f t="array" ref="B1594">_xlfn.XLOOKUP($A1594, 'Customer Names'!$A:$A, 'Customer Names'!B:B, "No Data")</f>
        <v>Pisano</v>
      </c>
      <c r="C1594" s="28">
        <f t="array" ref="C1594">_xlfn.XLOOKUP($A1594, 'Medical Examinations'!$A:$A, 'Medical Examinations'!B:B, "No Data")</f>
        <v>31.74</v>
      </c>
      <c r="D1594" s="28">
        <f t="array" ref="D1594">_xlfn.XLOOKUP($A1594, 'Medical Examinations'!$A:$A, 'Medical Examinations'!C:C, "No Data")</f>
        <v>4.46</v>
      </c>
      <c r="E1594" s="28" t="str">
        <f t="array" ref="E1594">_xlfn.XLOOKUP($A1594, 'Medical Examinations'!$A:$A, 'Medical Examinations'!D:D, "No Data")</f>
        <v>No</v>
      </c>
      <c r="F1594" s="28" t="str">
        <f t="array" ref="F1594">_xlfn.XLOOKUP($A1594, 'Medical Examinations'!$A:$A, 'Medical Examinations'!E:E, "No Data")</f>
        <v>No</v>
      </c>
      <c r="G1594" s="28" t="str">
        <f t="array" ref="G1594">_xlfn.XLOOKUP($A1594, 'Medical Examinations'!$A:$A, 'Medical Examinations'!F:F, "No Data")</f>
        <v>Yes</v>
      </c>
      <c r="H1594" s="28">
        <f t="array" ref="H1594">_xlfn.XLOOKUP($A1594, 'Medical Examinations'!$A:$A, 'Medical Examinations'!G:G, "No Data")</f>
        <v>1</v>
      </c>
      <c r="I1594" s="28" t="str">
        <f t="array" ref="I1594">_xlfn.XLOOKUP($A1594, 'Medical Examinations'!$A:$A, 'Medical Examinations'!H:H, "No Data")</f>
        <v>No</v>
      </c>
      <c r="J1594" s="28" t="str">
        <f t="array" ref="J1594">_xlfn.XLOOKUP($A1594, 'Medical Examinations'!$A:$A, 'Medical Examinations'!I:I, "No Data")</f>
        <v>Obesity</v>
      </c>
      <c r="K1594" s="28" t="str">
        <f t="array" ref="K1594">_xlfn.XLOOKUP($A1594, 'Hospitalisation Details'!$A:$A, 'Hospitalisation Details'!I:I, "No Data")</f>
        <v>tier - 1</v>
      </c>
      <c r="L1594" s="28" t="str">
        <f t="array" ref="L1594">_xlfn.XLOOKUP($A1594, 'Hospitalisation Details'!$A:$A, 'Hospitalisation Details'!J:J, "No Data")</f>
        <v>R1025</v>
      </c>
      <c r="M1594" s="28" t="str">
        <f t="array" ref="M1594">_xlfn.XLOOKUP($A1594, 'Hospitalisation Details'!$A:$A, 'Hospitalisation Details'!E:E, "No Data")</f>
        <v>16/10/93</v>
      </c>
      <c r="N1594" s="28">
        <f t="array" ref="N1594">_xlfn.XLOOKUP($A1594, 'Hospitalisation Details'!$A:$A, 'Hospitalisation Details'!K:K, "No Data")</f>
        <v>29</v>
      </c>
      <c r="O1594" s="33">
        <f t="array" ref="O1594">_xlfn.XLOOKUP($A1594, 'Hospitalisation Details'!$A:$A, 'Hospitalisation Details'!G:G, "No Data")</f>
        <v>6276.3</v>
      </c>
      <c r="P1594" s="28" t="str">
        <f t="array" ref="P1594">_xlfn.XLOOKUP($A1594, 'Hospitalisation Details'!$A:$A, 'Hospitalisation Details'!H:H, "No Data")</f>
        <v>tier - 2</v>
      </c>
    </row>
    <row r="1595">
      <c r="A1595" s="25" t="s">
        <v>4631</v>
      </c>
      <c r="B1595" s="28" t="str">
        <f t="array" ref="B1595">_xlfn.XLOOKUP($A1595, 'Customer Names'!$A:$A, 'Customer Names'!B:B, "No Data")</f>
        <v>Sanca</v>
      </c>
      <c r="C1595" s="28">
        <f t="array" ref="C1595">_xlfn.XLOOKUP($A1595, 'Medical Examinations'!$A:$A, 'Medical Examinations'!B:B, "No Data")</f>
        <v>21.78</v>
      </c>
      <c r="D1595" s="28">
        <f t="array" ref="D1595">_xlfn.XLOOKUP($A1595, 'Medical Examinations'!$A:$A, 'Medical Examinations'!C:C, "No Data")</f>
        <v>9.31</v>
      </c>
      <c r="E1595" s="28" t="str">
        <f t="array" ref="E1595">_xlfn.XLOOKUP($A1595, 'Medical Examinations'!$A:$A, 'Medical Examinations'!D:D, "No Data")</f>
        <v>yes</v>
      </c>
      <c r="F1595" s="28" t="str">
        <f t="array" ref="F1595">_xlfn.XLOOKUP($A1595, 'Medical Examinations'!$A:$A, 'Medical Examinations'!E:E, "No Data")</f>
        <v>No</v>
      </c>
      <c r="G1595" s="28" t="str">
        <f t="array" ref="G1595">_xlfn.XLOOKUP($A1595, 'Medical Examinations'!$A:$A, 'Medical Examinations'!F:F, "No Data")</f>
        <v>No</v>
      </c>
      <c r="H1595" s="28">
        <f t="array" ref="H1595">_xlfn.XLOOKUP($A1595, 'Medical Examinations'!$A:$A, 'Medical Examinations'!G:G, "No Data")</f>
        <v>0</v>
      </c>
      <c r="I1595" s="28" t="str">
        <f t="array" ref="I1595">_xlfn.XLOOKUP($A1595, 'Medical Examinations'!$A:$A, 'Medical Examinations'!H:H, "No Data")</f>
        <v>No</v>
      </c>
      <c r="J1595" s="28" t="str">
        <f t="array" ref="J1595">_xlfn.XLOOKUP($A1595, 'Medical Examinations'!$A:$A, 'Medical Examinations'!I:I, "No Data")</f>
        <v>Normal Weight</v>
      </c>
      <c r="K1595" s="28" t="str">
        <f t="array" ref="K1595">_xlfn.XLOOKUP($A1595, 'Hospitalisation Details'!$A:$A, 'Hospitalisation Details'!I:I, "No Data")</f>
        <v>tier - 3</v>
      </c>
      <c r="L1595" s="28" t="str">
        <f t="array" ref="L1595">_xlfn.XLOOKUP($A1595, 'Hospitalisation Details'!$A:$A, 'Hospitalisation Details'!J:J, "No Data")</f>
        <v>R1013</v>
      </c>
      <c r="M1595" s="28" t="str">
        <f t="array" ref="M1595">_xlfn.XLOOKUP($A1595, 'Hospitalisation Details'!$A:$A, 'Hospitalisation Details'!E:E, "No Data")</f>
        <v>30/06/81</v>
      </c>
      <c r="N1595" s="28">
        <f t="array" ref="N1595">_xlfn.XLOOKUP($A1595, 'Hospitalisation Details'!$A:$A, 'Hospitalisation Details'!K:K, "No Data")</f>
        <v>41</v>
      </c>
      <c r="O1595" s="33">
        <f t="array" ref="O1595">_xlfn.XLOOKUP($A1595, 'Hospitalisation Details'!$A:$A, 'Hospitalisation Details'!G:G, "No Data")</f>
        <v>6272.48</v>
      </c>
      <c r="P1595" s="28" t="str">
        <f t="array" ref="P1595">_xlfn.XLOOKUP($A1595, 'Hospitalisation Details'!$A:$A, 'Hospitalisation Details'!H:H, "No Data")</f>
        <v>tier - 1</v>
      </c>
    </row>
    <row r="1596">
      <c r="A1596" s="25" t="s">
        <v>4630</v>
      </c>
      <c r="B1596" s="28" t="str">
        <f t="array" ref="B1596">_xlfn.XLOOKUP($A1596, 'Customer Names'!$A:$A, 'Customer Names'!B:B, "No Data")</f>
        <v>Bond</v>
      </c>
      <c r="C1596" s="28">
        <f t="array" ref="C1596">_xlfn.XLOOKUP($A1596, 'Medical Examinations'!$A:$A, 'Medical Examinations'!B:B, "No Data")</f>
        <v>23.75</v>
      </c>
      <c r="D1596" s="28">
        <f t="array" ref="D1596">_xlfn.XLOOKUP($A1596, 'Medical Examinations'!$A:$A, 'Medical Examinations'!C:C, "No Data")</f>
        <v>5.03</v>
      </c>
      <c r="E1596" s="28" t="str">
        <f t="array" ref="E1596">_xlfn.XLOOKUP($A1596, 'Medical Examinations'!$A:$A, 'Medical Examinations'!D:D, "No Data")</f>
        <v>No</v>
      </c>
      <c r="F1596" s="28" t="str">
        <f t="array" ref="F1596">_xlfn.XLOOKUP($A1596, 'Medical Examinations'!$A:$A, 'Medical Examinations'!E:E, "No Data")</f>
        <v>No</v>
      </c>
      <c r="G1596" s="28" t="str">
        <f t="array" ref="G1596">_xlfn.XLOOKUP($A1596, 'Medical Examinations'!$A:$A, 'Medical Examinations'!F:F, "No Data")</f>
        <v>No</v>
      </c>
      <c r="H1596" s="28">
        <f t="array" ref="H1596">_xlfn.XLOOKUP($A1596, 'Medical Examinations'!$A:$A, 'Medical Examinations'!G:G, "No Data")</f>
        <v>1</v>
      </c>
      <c r="I1596" s="28" t="str">
        <f t="array" ref="I1596">_xlfn.XLOOKUP($A1596, 'Medical Examinations'!$A:$A, 'Medical Examinations'!H:H, "No Data")</f>
        <v>No</v>
      </c>
      <c r="J1596" s="28" t="str">
        <f t="array" ref="J1596">_xlfn.XLOOKUP($A1596, 'Medical Examinations'!$A:$A, 'Medical Examinations'!I:I, "No Data")</f>
        <v>Normal Weight</v>
      </c>
      <c r="K1596" s="28" t="str">
        <f t="array" ref="K1596">_xlfn.XLOOKUP($A1596, 'Hospitalisation Details'!$A:$A, 'Hospitalisation Details'!I:I, "No Data")</f>
        <v>tier - 1</v>
      </c>
      <c r="L1596" s="28" t="str">
        <f t="array" ref="L1596">_xlfn.XLOOKUP($A1596, 'Hospitalisation Details'!$A:$A, 'Hospitalisation Details'!J:J, "No Data")</f>
        <v>R1013</v>
      </c>
      <c r="M1596" s="28" t="str">
        <f t="array" ref="M1596">_xlfn.XLOOKUP($A1596, 'Hospitalisation Details'!$A:$A, 'Hospitalisation Details'!E:E, "No Data")</f>
        <v>25/09/84</v>
      </c>
      <c r="N1596" s="28">
        <f t="array" ref="N1596">_xlfn.XLOOKUP($A1596, 'Hospitalisation Details'!$A:$A, 'Hospitalisation Details'!K:K, "No Data")</f>
        <v>38</v>
      </c>
      <c r="O1596" s="33">
        <f t="array" ref="O1596">_xlfn.XLOOKUP($A1596, 'Hospitalisation Details'!$A:$A, 'Hospitalisation Details'!G:G, "No Data")</f>
        <v>6269.33</v>
      </c>
      <c r="P1596" s="28" t="str">
        <f t="array" ref="P1596">_xlfn.XLOOKUP($A1596, 'Hospitalisation Details'!$A:$A, 'Hospitalisation Details'!H:H, "No Data")</f>
        <v>tier - 2</v>
      </c>
    </row>
    <row r="1597">
      <c r="A1597" s="25" t="s">
        <v>4629</v>
      </c>
      <c r="B1597" s="28" t="str">
        <f t="array" ref="B1597">_xlfn.XLOOKUP($A1597, 'Customer Names'!$A:$A, 'Customer Names'!B:B, "No Data")</f>
        <v>Carron</v>
      </c>
      <c r="C1597" s="28">
        <f t="array" ref="C1597">_xlfn.XLOOKUP($A1597, 'Medical Examinations'!$A:$A, 'Medical Examinations'!B:B, "No Data")</f>
        <v>33.21</v>
      </c>
      <c r="D1597" s="28">
        <f t="array" ref="D1597">_xlfn.XLOOKUP($A1597, 'Medical Examinations'!$A:$A, 'Medical Examinations'!C:C, "No Data")</f>
        <v>5.07</v>
      </c>
      <c r="E1597" s="28" t="str">
        <f t="array" ref="E1597">_xlfn.XLOOKUP($A1597, 'Medical Examinations'!$A:$A, 'Medical Examinations'!D:D, "No Data")</f>
        <v>yes</v>
      </c>
      <c r="F1597" s="28" t="str">
        <f t="array" ref="F1597">_xlfn.XLOOKUP($A1597, 'Medical Examinations'!$A:$A, 'Medical Examinations'!E:E, "No Data")</f>
        <v>No</v>
      </c>
      <c r="G1597" s="28" t="str">
        <f t="array" ref="G1597">_xlfn.XLOOKUP($A1597, 'Medical Examinations'!$A:$A, 'Medical Examinations'!F:F, "No Data")</f>
        <v>No</v>
      </c>
      <c r="H1597" s="28">
        <f t="array" ref="H1597">_xlfn.XLOOKUP($A1597, 'Medical Examinations'!$A:$A, 'Medical Examinations'!G:G, "No Data")</f>
        <v>1</v>
      </c>
      <c r="I1597" s="28" t="str">
        <f t="array" ref="I1597">_xlfn.XLOOKUP($A1597, 'Medical Examinations'!$A:$A, 'Medical Examinations'!H:H, "No Data")</f>
        <v>No</v>
      </c>
      <c r="J1597" s="28" t="str">
        <f t="array" ref="J1597">_xlfn.XLOOKUP($A1597, 'Medical Examinations'!$A:$A, 'Medical Examinations'!I:I, "No Data")</f>
        <v>Obesity</v>
      </c>
      <c r="K1597" s="28" t="str">
        <f t="array" ref="K1597">_xlfn.XLOOKUP($A1597, 'Hospitalisation Details'!$A:$A, 'Hospitalisation Details'!I:I, "No Data")</f>
        <v>tier - 1</v>
      </c>
      <c r="L1597" s="28" t="str">
        <f t="array" ref="L1597">_xlfn.XLOOKUP($A1597, 'Hospitalisation Details'!$A:$A, 'Hospitalisation Details'!J:J, "No Data")</f>
        <v>R1026</v>
      </c>
      <c r="M1597" s="28" t="str">
        <f t="array" ref="M1597">_xlfn.XLOOKUP($A1597, 'Hospitalisation Details'!$A:$A, 'Hospitalisation Details'!E:E, "No Data")</f>
        <v>17/10/95</v>
      </c>
      <c r="N1597" s="28">
        <f t="array" ref="N1597">_xlfn.XLOOKUP($A1597, 'Hospitalisation Details'!$A:$A, 'Hospitalisation Details'!K:K, "No Data")</f>
        <v>27</v>
      </c>
      <c r="O1597" s="33">
        <f t="array" ref="O1597">_xlfn.XLOOKUP($A1597, 'Hospitalisation Details'!$A:$A, 'Hospitalisation Details'!G:G, "No Data")</f>
        <v>6261.2</v>
      </c>
      <c r="P1597" s="28" t="str">
        <f t="array" ref="P1597">_xlfn.XLOOKUP($A1597, 'Hospitalisation Details'!$A:$A, 'Hospitalisation Details'!H:H, "No Data")</f>
        <v>tier - 2</v>
      </c>
    </row>
    <row r="1598">
      <c r="A1598" s="25" t="s">
        <v>4628</v>
      </c>
      <c r="B1598" s="28" t="str">
        <f t="array" ref="B1598">_xlfn.XLOOKUP($A1598, 'Customer Names'!$A:$A, 'Customer Names'!B:B, "No Data")</f>
        <v>Ellwanger</v>
      </c>
      <c r="C1598" s="28">
        <f t="array" ref="C1598">_xlfn.XLOOKUP($A1598, 'Medical Examinations'!$A:$A, 'Medical Examinations'!B:B, "No Data")</f>
        <v>17.7</v>
      </c>
      <c r="D1598" s="28">
        <f t="array" ref="D1598">_xlfn.XLOOKUP($A1598, 'Medical Examinations'!$A:$A, 'Medical Examinations'!C:C, "No Data")</f>
        <v>10.42</v>
      </c>
      <c r="E1598" s="28" t="str">
        <f t="array" ref="E1598">_xlfn.XLOOKUP($A1598, 'Medical Examinations'!$A:$A, 'Medical Examinations'!D:D, "No Data")</f>
        <v>yes</v>
      </c>
      <c r="F1598" s="28" t="str">
        <f t="array" ref="F1598">_xlfn.XLOOKUP($A1598, 'Medical Examinations'!$A:$A, 'Medical Examinations'!E:E, "No Data")</f>
        <v>No</v>
      </c>
      <c r="G1598" s="28" t="str">
        <f t="array" ref="G1598">_xlfn.XLOOKUP($A1598, 'Medical Examinations'!$A:$A, 'Medical Examinations'!F:F, "No Data")</f>
        <v>No</v>
      </c>
      <c r="H1598" s="28">
        <f t="array" ref="H1598">_xlfn.XLOOKUP($A1598, 'Medical Examinations'!$A:$A, 'Medical Examinations'!G:G, "No Data")</f>
        <v>2</v>
      </c>
      <c r="I1598" s="28" t="str">
        <f t="array" ref="I1598">_xlfn.XLOOKUP($A1598, 'Medical Examinations'!$A:$A, 'Medical Examinations'!H:H, "No Data")</f>
        <v>No</v>
      </c>
      <c r="J1598" s="28" t="str">
        <f t="array" ref="J1598">_xlfn.XLOOKUP($A1598, 'Medical Examinations'!$A:$A, 'Medical Examinations'!I:I, "No Data")</f>
        <v>Underweight</v>
      </c>
      <c r="K1598" s="28" t="str">
        <f t="array" ref="K1598">_xlfn.XLOOKUP($A1598, 'Hospitalisation Details'!$A:$A, 'Hospitalisation Details'!I:I, "No Data")</f>
        <v>tier - 2</v>
      </c>
      <c r="L1598" s="28" t="str">
        <f t="array" ref="L1598">_xlfn.XLOOKUP($A1598, 'Hospitalisation Details'!$A:$A, 'Hospitalisation Details'!J:J, "No Data")</f>
        <v>R1013</v>
      </c>
      <c r="M1598" s="28" t="str">
        <f t="array" ref="M1598">_xlfn.XLOOKUP($A1598, 'Hospitalisation Details'!$A:$A, 'Hospitalisation Details'!E:E, "No Data")</f>
        <v>11/10/70</v>
      </c>
      <c r="N1598" s="28">
        <f t="array" ref="N1598">_xlfn.XLOOKUP($A1598, 'Hospitalisation Details'!$A:$A, 'Hospitalisation Details'!K:K, "No Data")</f>
        <v>52</v>
      </c>
      <c r="O1598" s="33">
        <f t="array" ref="O1598">_xlfn.XLOOKUP($A1598, 'Hospitalisation Details'!$A:$A, 'Hospitalisation Details'!G:G, "No Data")</f>
        <v>6255.38</v>
      </c>
      <c r="P1598" s="28" t="str">
        <f t="array" ref="P1598">_xlfn.XLOOKUP($A1598, 'Hospitalisation Details'!$A:$A, 'Hospitalisation Details'!H:H, "No Data")</f>
        <v>tier - 2</v>
      </c>
    </row>
    <row r="1599">
      <c r="A1599" s="25" t="s">
        <v>4627</v>
      </c>
      <c r="B1599" s="28" t="str">
        <f t="array" ref="B1599">_xlfn.XLOOKUP($A1599, 'Customer Names'!$A:$A, 'Customer Names'!B:B, "No Data")</f>
        <v>Hanson</v>
      </c>
      <c r="C1599" s="28">
        <f t="array" ref="C1599">_xlfn.XLOOKUP($A1599, 'Medical Examinations'!$A:$A, 'Medical Examinations'!B:B, "No Data")</f>
        <v>17.2</v>
      </c>
      <c r="D1599" s="28">
        <f t="array" ref="D1599">_xlfn.XLOOKUP($A1599, 'Medical Examinations'!$A:$A, 'Medical Examinations'!C:C, "No Data")</f>
        <v>6.45</v>
      </c>
      <c r="E1599" s="28" t="str">
        <f t="array" ref="E1599">_xlfn.XLOOKUP($A1599, 'Medical Examinations'!$A:$A, 'Medical Examinations'!D:D, "No Data")</f>
        <v>No</v>
      </c>
      <c r="F1599" s="28" t="str">
        <f t="array" ref="F1599">_xlfn.XLOOKUP($A1599, 'Medical Examinations'!$A:$A, 'Medical Examinations'!E:E, "No Data")</f>
        <v>No</v>
      </c>
      <c r="G1599" s="28" t="str">
        <f t="array" ref="G1599">_xlfn.XLOOKUP($A1599, 'Medical Examinations'!$A:$A, 'Medical Examinations'!F:F, "No Data")</f>
        <v>No</v>
      </c>
      <c r="H1599" s="28">
        <f t="array" ref="H1599">_xlfn.XLOOKUP($A1599, 'Medical Examinations'!$A:$A, 'Medical Examinations'!G:G, "No Data")</f>
        <v>2</v>
      </c>
      <c r="I1599" s="28" t="str">
        <f t="array" ref="I1599">_xlfn.XLOOKUP($A1599, 'Medical Examinations'!$A:$A, 'Medical Examinations'!H:H, "No Data")</f>
        <v>No</v>
      </c>
      <c r="J1599" s="28" t="str">
        <f t="array" ref="J1599">_xlfn.XLOOKUP($A1599, 'Medical Examinations'!$A:$A, 'Medical Examinations'!I:I, "No Data")</f>
        <v>Underweight</v>
      </c>
      <c r="K1599" s="28" t="str">
        <f t="array" ref="K1599">_xlfn.XLOOKUP($A1599, 'Hospitalisation Details'!$A:$A, 'Hospitalisation Details'!I:I, "No Data")</f>
        <v>tier - 2</v>
      </c>
      <c r="L1599" s="28" t="str">
        <f t="array" ref="L1599">_xlfn.XLOOKUP($A1599, 'Hospitalisation Details'!$A:$A, 'Hospitalisation Details'!J:J, "No Data")</f>
        <v>R1012</v>
      </c>
      <c r="M1599" s="28" t="str">
        <f t="array" ref="M1599">_xlfn.XLOOKUP($A1599, 'Hospitalisation Details'!$A:$A, 'Hospitalisation Details'!E:E, "No Data")</f>
        <v>08/09/72</v>
      </c>
      <c r="N1599" s="28">
        <f t="array" ref="N1599">_xlfn.XLOOKUP($A1599, 'Hospitalisation Details'!$A:$A, 'Hospitalisation Details'!K:K, "No Data")</f>
        <v>50</v>
      </c>
      <c r="O1599" s="33">
        <f t="array" ref="O1599">_xlfn.XLOOKUP($A1599, 'Hospitalisation Details'!$A:$A, 'Hospitalisation Details'!G:G, "No Data")</f>
        <v>6254.13</v>
      </c>
      <c r="P1599" s="28" t="str">
        <f t="array" ref="P1599">_xlfn.XLOOKUP($A1599, 'Hospitalisation Details'!$A:$A, 'Hospitalisation Details'!H:H, "No Data")</f>
        <v>tier - 2</v>
      </c>
    </row>
    <row r="1600">
      <c r="A1600" s="25" t="s">
        <v>4626</v>
      </c>
      <c r="B1600" s="28" t="str">
        <f t="array" ref="B1600">_xlfn.XLOOKUP($A1600, 'Customer Names'!$A:$A, 'Customer Names'!B:B, "No Data")</f>
        <v>Tucker</v>
      </c>
      <c r="C1600" s="28">
        <f t="array" ref="C1600">_xlfn.XLOOKUP($A1600, 'Medical Examinations'!$A:$A, 'Medical Examinations'!B:B, "No Data")</f>
        <v>19.21</v>
      </c>
      <c r="D1600" s="28">
        <f t="array" ref="D1600">_xlfn.XLOOKUP($A1600, 'Medical Examinations'!$A:$A, 'Medical Examinations'!C:C, "No Data")</f>
        <v>5.52</v>
      </c>
      <c r="E1600" s="28" t="str">
        <f t="array" ref="E1600">_xlfn.XLOOKUP($A1600, 'Medical Examinations'!$A:$A, 'Medical Examinations'!D:D, "No Data")</f>
        <v>No</v>
      </c>
      <c r="F1600" s="28" t="str">
        <f t="array" ref="F1600">_xlfn.XLOOKUP($A1600, 'Medical Examinations'!$A:$A, 'Medical Examinations'!E:E, "No Data")</f>
        <v>No</v>
      </c>
      <c r="G1600" s="28" t="str">
        <f t="array" ref="G1600">_xlfn.XLOOKUP($A1600, 'Medical Examinations'!$A:$A, 'Medical Examinations'!F:F, "No Data")</f>
        <v>No</v>
      </c>
      <c r="H1600" s="28">
        <f t="array" ref="H1600">_xlfn.XLOOKUP($A1600, 'Medical Examinations'!$A:$A, 'Medical Examinations'!G:G, "No Data")</f>
        <v>2</v>
      </c>
      <c r="I1600" s="28" t="str">
        <f t="array" ref="I1600">_xlfn.XLOOKUP($A1600, 'Medical Examinations'!$A:$A, 'Medical Examinations'!H:H, "No Data")</f>
        <v>No</v>
      </c>
      <c r="J1600" s="28" t="str">
        <f t="array" ref="J1600">_xlfn.XLOOKUP($A1600, 'Medical Examinations'!$A:$A, 'Medical Examinations'!I:I, "No Data")</f>
        <v>Normal Weight</v>
      </c>
      <c r="K1600" s="28" t="str">
        <f t="array" ref="K1600">_xlfn.XLOOKUP($A1600, 'Hospitalisation Details'!$A:$A, 'Hospitalisation Details'!I:I, "No Data")</f>
        <v>tier - 2</v>
      </c>
      <c r="L1600" s="28" t="str">
        <f t="array" ref="L1600">_xlfn.XLOOKUP($A1600, 'Hospitalisation Details'!$A:$A, 'Hospitalisation Details'!J:J, "No Data")</f>
        <v>R1013</v>
      </c>
      <c r="M1600" s="28" t="str">
        <f t="array" ref="M1600">_xlfn.XLOOKUP($A1600, 'Hospitalisation Details'!$A:$A, 'Hospitalisation Details'!E:E, "No Data")</f>
        <v>11/11/72</v>
      </c>
      <c r="N1600" s="28">
        <f t="array" ref="N1600">_xlfn.XLOOKUP($A1600, 'Hospitalisation Details'!$A:$A, 'Hospitalisation Details'!K:K, "No Data")</f>
        <v>50</v>
      </c>
      <c r="O1600" s="33">
        <f t="array" ref="O1600">_xlfn.XLOOKUP($A1600, 'Hospitalisation Details'!$A:$A, 'Hospitalisation Details'!G:G, "No Data")</f>
        <v>6253.85</v>
      </c>
      <c r="P1600" s="28" t="str">
        <f t="array" ref="P1600">_xlfn.XLOOKUP($A1600, 'Hospitalisation Details'!$A:$A, 'Hospitalisation Details'!H:H, "No Data")</f>
        <v>tier - 2</v>
      </c>
    </row>
    <row r="1601">
      <c r="A1601" s="25" t="s">
        <v>4624</v>
      </c>
      <c r="B1601" s="28" t="str">
        <f t="array" ref="B1601">_xlfn.XLOOKUP($A1601, 'Customer Names'!$A:$A, 'Customer Names'!B:B, "No Data")</f>
        <v>Counts</v>
      </c>
      <c r="C1601" s="28">
        <f t="array" ref="C1601">_xlfn.XLOOKUP($A1601, 'Medical Examinations'!$A:$A, 'Medical Examinations'!B:B, "No Data")</f>
        <v>23.2</v>
      </c>
      <c r="D1601" s="28">
        <f t="array" ref="D1601">_xlfn.XLOOKUP($A1601, 'Medical Examinations'!$A:$A, 'Medical Examinations'!C:C, "No Data")</f>
        <v>4.41</v>
      </c>
      <c r="E1601" s="28" t="str">
        <f t="array" ref="E1601">_xlfn.XLOOKUP($A1601, 'Medical Examinations'!$A:$A, 'Medical Examinations'!D:D, "No Data")</f>
        <v>No</v>
      </c>
      <c r="F1601" s="28" t="str">
        <f t="array" ref="F1601">_xlfn.XLOOKUP($A1601, 'Medical Examinations'!$A:$A, 'Medical Examinations'!E:E, "No Data")</f>
        <v>No</v>
      </c>
      <c r="G1601" s="28" t="str">
        <f t="array" ref="G1601">_xlfn.XLOOKUP($A1601, 'Medical Examinations'!$A:$A, 'Medical Examinations'!F:F, "No Data")</f>
        <v>Yes</v>
      </c>
      <c r="H1601" s="28">
        <f t="array" ref="H1601">_xlfn.XLOOKUP($A1601, 'Medical Examinations'!$A:$A, 'Medical Examinations'!G:G, "No Data")</f>
        <v>1</v>
      </c>
      <c r="I1601" s="28" t="str">
        <f t="array" ref="I1601">_xlfn.XLOOKUP($A1601, 'Medical Examinations'!$A:$A, 'Medical Examinations'!H:H, "No Data")</f>
        <v>No</v>
      </c>
      <c r="J1601" s="28" t="str">
        <f t="array" ref="J1601">_xlfn.XLOOKUP($A1601, 'Medical Examinations'!$A:$A, 'Medical Examinations'!I:I, "No Data")</f>
        <v>Normal Weight</v>
      </c>
      <c r="K1601" s="28" t="str">
        <f t="array" ref="K1601">_xlfn.XLOOKUP($A1601, 'Hospitalisation Details'!$A:$A, 'Hospitalisation Details'!I:I, "No Data")</f>
        <v>tier - 1</v>
      </c>
      <c r="L1601" s="28" t="str">
        <f t="array" ref="L1601">_xlfn.XLOOKUP($A1601, 'Hospitalisation Details'!$A:$A, 'Hospitalisation Details'!J:J, "No Data")</f>
        <v>R1011</v>
      </c>
      <c r="M1601" s="28" t="str">
        <f t="array" ref="M1601">_xlfn.XLOOKUP($A1601, 'Hospitalisation Details'!$A:$A, 'Hospitalisation Details'!E:E, "No Data")</f>
        <v>10/10/79</v>
      </c>
      <c r="N1601" s="28">
        <f t="array" ref="N1601">_xlfn.XLOOKUP($A1601, 'Hospitalisation Details'!$A:$A, 'Hospitalisation Details'!K:K, "No Data")</f>
        <v>43</v>
      </c>
      <c r="O1601" s="33">
        <f t="array" ref="O1601">_xlfn.XLOOKUP($A1601, 'Hospitalisation Details'!$A:$A, 'Hospitalisation Details'!G:G, "No Data")</f>
        <v>6250.44</v>
      </c>
      <c r="P1601" s="28" t="str">
        <f t="array" ref="P1601">_xlfn.XLOOKUP($A1601, 'Hospitalisation Details'!$A:$A, 'Hospitalisation Details'!H:H, "No Data")</f>
        <v>tier - 2</v>
      </c>
    </row>
    <row r="1602">
      <c r="A1602" s="25" t="s">
        <v>4621</v>
      </c>
      <c r="B1602" s="28" t="str">
        <f t="array" ref="B1602">_xlfn.XLOOKUP($A1602, 'Customer Names'!$A:$A, 'Customer Names'!B:B, "No Data")</f>
        <v>Carson</v>
      </c>
      <c r="C1602" s="28">
        <f t="array" ref="C1602">_xlfn.XLOOKUP($A1602, 'Medical Examinations'!$A:$A, 'Medical Examinations'!B:B, "No Data")</f>
        <v>32.5</v>
      </c>
      <c r="D1602" s="28">
        <f t="array" ref="D1602">_xlfn.XLOOKUP($A1602, 'Medical Examinations'!$A:$A, 'Medical Examinations'!C:C, "No Data")</f>
        <v>4.69</v>
      </c>
      <c r="E1602" s="28" t="str">
        <f t="array" ref="E1602">_xlfn.XLOOKUP($A1602, 'Medical Examinations'!$A:$A, 'Medical Examinations'!D:D, "No Data")</f>
        <v>yes</v>
      </c>
      <c r="F1602" s="28" t="str">
        <f t="array" ref="F1602">_xlfn.XLOOKUP($A1602, 'Medical Examinations'!$A:$A, 'Medical Examinations'!E:E, "No Data")</f>
        <v>No</v>
      </c>
      <c r="G1602" s="28" t="str">
        <f t="array" ref="G1602">_xlfn.XLOOKUP($A1602, 'Medical Examinations'!$A:$A, 'Medical Examinations'!F:F, "No Data")</f>
        <v>Yes</v>
      </c>
      <c r="H1602" s="28">
        <f t="array" ref="H1602">_xlfn.XLOOKUP($A1602, 'Medical Examinations'!$A:$A, 'Medical Examinations'!G:G, "No Data")</f>
        <v>1</v>
      </c>
      <c r="I1602" s="28" t="str">
        <f t="array" ref="I1602">_xlfn.XLOOKUP($A1602, 'Medical Examinations'!$A:$A, 'Medical Examinations'!H:H, "No Data")</f>
        <v>No</v>
      </c>
      <c r="J1602" s="28" t="str">
        <f t="array" ref="J1602">_xlfn.XLOOKUP($A1602, 'Medical Examinations'!$A:$A, 'Medical Examinations'!I:I, "No Data")</f>
        <v>Obesity</v>
      </c>
      <c r="K1602" s="28" t="str">
        <f t="array" ref="K1602">_xlfn.XLOOKUP($A1602, 'Hospitalisation Details'!$A:$A, 'Hospitalisation Details'!I:I, "No Data")</f>
        <v>tier - 1</v>
      </c>
      <c r="L1602" s="28" t="str">
        <f t="array" ref="L1602">_xlfn.XLOOKUP($A1602, 'Hospitalisation Details'!$A:$A, 'Hospitalisation Details'!J:J, "No Data")</f>
        <v>R1011</v>
      </c>
      <c r="M1602" s="28" t="str">
        <f t="array" ref="M1602">_xlfn.XLOOKUP($A1602, 'Hospitalisation Details'!$A:$A, 'Hospitalisation Details'!E:E, "No Data")</f>
        <v>11/08/83</v>
      </c>
      <c r="N1602" s="28">
        <f t="array" ref="N1602">_xlfn.XLOOKUP($A1602, 'Hospitalisation Details'!$A:$A, 'Hospitalisation Details'!K:K, "No Data")</f>
        <v>39</v>
      </c>
      <c r="O1602" s="33">
        <f t="array" ref="O1602">_xlfn.XLOOKUP($A1602, 'Hospitalisation Details'!$A:$A, 'Hospitalisation Details'!G:G, "No Data")</f>
        <v>6238.3</v>
      </c>
      <c r="P1602" s="28" t="str">
        <f t="array" ref="P1602">_xlfn.XLOOKUP($A1602, 'Hospitalisation Details'!$A:$A, 'Hospitalisation Details'!H:H, "No Data")</f>
        <v>tier - 2</v>
      </c>
    </row>
    <row r="1603">
      <c r="A1603" s="25" t="s">
        <v>4617</v>
      </c>
      <c r="B1603" s="28" t="str">
        <f t="array" ref="B1603">_xlfn.XLOOKUP($A1603, 'Customer Names'!$A:$A, 'Customer Names'!B:B, "No Data")</f>
        <v>Haines</v>
      </c>
      <c r="C1603" s="28">
        <f t="array" ref="C1603">_xlfn.XLOOKUP($A1603, 'Medical Examinations'!$A:$A, 'Medical Examinations'!B:B, "No Data")</f>
        <v>20.9</v>
      </c>
      <c r="D1603" s="28">
        <f t="array" ref="D1603">_xlfn.XLOOKUP($A1603, 'Medical Examinations'!$A:$A, 'Medical Examinations'!C:C, "No Data")</f>
        <v>6.94</v>
      </c>
      <c r="E1603" s="28" t="str">
        <f t="array" ref="E1603">_xlfn.XLOOKUP($A1603, 'Medical Examinations'!$A:$A, 'Medical Examinations'!D:D, "No Data")</f>
        <v>No</v>
      </c>
      <c r="F1603" s="28" t="str">
        <f t="array" ref="F1603">_xlfn.XLOOKUP($A1603, 'Medical Examinations'!$A:$A, 'Medical Examinations'!E:E, "No Data")</f>
        <v>No</v>
      </c>
      <c r="G1603" s="28" t="str">
        <f t="array" ref="G1603">_xlfn.XLOOKUP($A1603, 'Medical Examinations'!$A:$A, 'Medical Examinations'!F:F, "No Data")</f>
        <v>No</v>
      </c>
      <c r="H1603" s="28">
        <f t="array" ref="H1603">_xlfn.XLOOKUP($A1603, 'Medical Examinations'!$A:$A, 'Medical Examinations'!G:G, "No Data")</f>
        <v>0</v>
      </c>
      <c r="I1603" s="28" t="str">
        <f t="array" ref="I1603">_xlfn.XLOOKUP($A1603, 'Medical Examinations'!$A:$A, 'Medical Examinations'!H:H, "No Data")</f>
        <v>No</v>
      </c>
      <c r="J1603" s="28" t="str">
        <f t="array" ref="J1603">_xlfn.XLOOKUP($A1603, 'Medical Examinations'!$A:$A, 'Medical Examinations'!I:I, "No Data")</f>
        <v>Normal Weight</v>
      </c>
      <c r="K1603" s="28" t="str">
        <f t="array" ref="K1603">_xlfn.XLOOKUP($A1603, 'Hospitalisation Details'!$A:$A, 'Hospitalisation Details'!I:I, "No Data")</f>
        <v>tier - 2</v>
      </c>
      <c r="L1603" s="28" t="str">
        <f t="array" ref="L1603">_xlfn.XLOOKUP($A1603, 'Hospitalisation Details'!$A:$A, 'Hospitalisation Details'!J:J, "No Data")</f>
        <v>R1013</v>
      </c>
      <c r="M1603" s="28" t="str">
        <f t="array" ref="M1603">_xlfn.XLOOKUP($A1603, 'Hospitalisation Details'!$A:$A, 'Hospitalisation Details'!E:E, "No Data")</f>
        <v>19/09/78</v>
      </c>
      <c r="N1603" s="28">
        <f t="array" ref="N1603">_xlfn.XLOOKUP($A1603, 'Hospitalisation Details'!$A:$A, 'Hospitalisation Details'!K:K, "No Data")</f>
        <v>44</v>
      </c>
      <c r="O1603" s="33">
        <f t="array" ref="O1603">_xlfn.XLOOKUP($A1603, 'Hospitalisation Details'!$A:$A, 'Hospitalisation Details'!G:G, "No Data")</f>
        <v>6236.95</v>
      </c>
      <c r="P1603" s="28" t="str">
        <f t="array" ref="P1603">_xlfn.XLOOKUP($A1603, 'Hospitalisation Details'!$A:$A, 'Hospitalisation Details'!H:H, "No Data")</f>
        <v>tier - 2</v>
      </c>
    </row>
    <row r="1604">
      <c r="A1604" s="25" t="s">
        <v>4614</v>
      </c>
      <c r="B1604" s="28" t="str">
        <f t="array" ref="B1604">_xlfn.XLOOKUP($A1604, 'Customer Names'!$A:$A, 'Customer Names'!B:B, "No Data")</f>
        <v>Schnabel</v>
      </c>
      <c r="C1604" s="28">
        <f t="array" ref="C1604">_xlfn.XLOOKUP($A1604, 'Medical Examinations'!$A:$A, 'Medical Examinations'!B:B, "No Data")</f>
        <v>19.11</v>
      </c>
      <c r="D1604" s="28">
        <f t="array" ref="D1604">_xlfn.XLOOKUP($A1604, 'Medical Examinations'!$A:$A, 'Medical Examinations'!C:C, "No Data")</f>
        <v>4.35</v>
      </c>
      <c r="E1604" s="28" t="str">
        <f t="array" ref="E1604">_xlfn.XLOOKUP($A1604, 'Medical Examinations'!$A:$A, 'Medical Examinations'!D:D, "No Data")</f>
        <v>No</v>
      </c>
      <c r="F1604" s="28" t="str">
        <f t="array" ref="F1604">_xlfn.XLOOKUP($A1604, 'Medical Examinations'!$A:$A, 'Medical Examinations'!E:E, "No Data")</f>
        <v>No</v>
      </c>
      <c r="G1604" s="28" t="str">
        <f t="array" ref="G1604">_xlfn.XLOOKUP($A1604, 'Medical Examinations'!$A:$A, 'Medical Examinations'!F:F, "No Data")</f>
        <v>No</v>
      </c>
      <c r="H1604" s="28">
        <f t="array" ref="H1604">_xlfn.XLOOKUP($A1604, 'Medical Examinations'!$A:$A, 'Medical Examinations'!G:G, "No Data")</f>
        <v>2</v>
      </c>
      <c r="I1604" s="28" t="str">
        <f t="array" ref="I1604">_xlfn.XLOOKUP($A1604, 'Medical Examinations'!$A:$A, 'Medical Examinations'!H:H, "No Data")</f>
        <v>No</v>
      </c>
      <c r="J1604" s="28" t="str">
        <f t="array" ref="J1604">_xlfn.XLOOKUP($A1604, 'Medical Examinations'!$A:$A, 'Medical Examinations'!I:I, "No Data")</f>
        <v>Normal Weight</v>
      </c>
      <c r="K1604" s="28" t="str">
        <f t="array" ref="K1604">_xlfn.XLOOKUP($A1604, 'Hospitalisation Details'!$A:$A, 'Hospitalisation Details'!I:I, "No Data")</f>
        <v>tier - 2</v>
      </c>
      <c r="L1604" s="28" t="str">
        <f t="array" ref="L1604">_xlfn.XLOOKUP($A1604, 'Hospitalisation Details'!$A:$A, 'Hospitalisation Details'!J:J, "No Data")</f>
        <v>R1013</v>
      </c>
      <c r="M1604" s="28" t="str">
        <f t="array" ref="M1604">_xlfn.XLOOKUP($A1604, 'Hospitalisation Details'!$A:$A, 'Hospitalisation Details'!E:E, "No Data")</f>
        <v>29/06/72</v>
      </c>
      <c r="N1604" s="28">
        <f t="array" ref="N1604">_xlfn.XLOOKUP($A1604, 'Hospitalisation Details'!$A:$A, 'Hospitalisation Details'!K:K, "No Data")</f>
        <v>50</v>
      </c>
      <c r="O1604" s="33">
        <f t="array" ref="O1604">_xlfn.XLOOKUP($A1604, 'Hospitalisation Details'!$A:$A, 'Hospitalisation Details'!G:G, "No Data")</f>
        <v>6219.93</v>
      </c>
      <c r="P1604" s="28" t="str">
        <f t="array" ref="P1604">_xlfn.XLOOKUP($A1604, 'Hospitalisation Details'!$A:$A, 'Hospitalisation Details'!H:H, "No Data")</f>
        <v>tier - 2</v>
      </c>
    </row>
    <row r="1605">
      <c r="A1605" s="25" t="s">
        <v>4611</v>
      </c>
      <c r="B1605" s="28" t="str">
        <f t="array" ref="B1605">_xlfn.XLOOKUP($A1605, 'Customer Names'!$A:$A, 'Customer Names'!B:B, "No Data")</f>
        <v>Thind</v>
      </c>
      <c r="C1605" s="28">
        <f t="array" ref="C1605">_xlfn.XLOOKUP($A1605, 'Medical Examinations'!$A:$A, 'Medical Examinations'!B:B, "No Data")</f>
        <v>31.17</v>
      </c>
      <c r="D1605" s="28">
        <f t="array" ref="D1605">_xlfn.XLOOKUP($A1605, 'Medical Examinations'!$A:$A, 'Medical Examinations'!C:C, "No Data")</f>
        <v>5.28</v>
      </c>
      <c r="E1605" s="28" t="str">
        <f t="array" ref="E1605">_xlfn.XLOOKUP($A1605, 'Medical Examinations'!$A:$A, 'Medical Examinations'!D:D, "No Data")</f>
        <v>No</v>
      </c>
      <c r="F1605" s="28" t="str">
        <f t="array" ref="F1605">_xlfn.XLOOKUP($A1605, 'Medical Examinations'!$A:$A, 'Medical Examinations'!E:E, "No Data")</f>
        <v>No</v>
      </c>
      <c r="G1605" s="28" t="str">
        <f t="array" ref="G1605">_xlfn.XLOOKUP($A1605, 'Medical Examinations'!$A:$A, 'Medical Examinations'!F:F, "No Data")</f>
        <v>No</v>
      </c>
      <c r="H1605" s="28">
        <f t="array" ref="H1605">_xlfn.XLOOKUP($A1605, 'Medical Examinations'!$A:$A, 'Medical Examinations'!G:G, "No Data")</f>
        <v>1</v>
      </c>
      <c r="I1605" s="28" t="str">
        <f t="array" ref="I1605">_xlfn.XLOOKUP($A1605, 'Medical Examinations'!$A:$A, 'Medical Examinations'!H:H, "No Data")</f>
        <v>No</v>
      </c>
      <c r="J1605" s="28" t="str">
        <f t="array" ref="J1605">_xlfn.XLOOKUP($A1605, 'Medical Examinations'!$A:$A, 'Medical Examinations'!I:I, "No Data")</f>
        <v>Obesity</v>
      </c>
      <c r="K1605" s="28" t="str">
        <f t="array" ref="K1605">_xlfn.XLOOKUP($A1605, 'Hospitalisation Details'!$A:$A, 'Hospitalisation Details'!I:I, "No Data")</f>
        <v>tier - 1</v>
      </c>
      <c r="L1605" s="28" t="str">
        <f t="array" ref="L1605">_xlfn.XLOOKUP($A1605, 'Hospitalisation Details'!$A:$A, 'Hospitalisation Details'!J:J, "No Data")</f>
        <v>R1021</v>
      </c>
      <c r="M1605" s="28" t="str">
        <f t="array" ref="M1605">_xlfn.XLOOKUP($A1605, 'Hospitalisation Details'!$A:$A, 'Hospitalisation Details'!E:E, "No Data")</f>
        <v>12/08/92</v>
      </c>
      <c r="N1605" s="28">
        <f t="array" ref="N1605">_xlfn.XLOOKUP($A1605, 'Hospitalisation Details'!$A:$A, 'Hospitalisation Details'!K:K, "No Data")</f>
        <v>30</v>
      </c>
      <c r="O1605" s="33">
        <f t="array" ref="O1605">_xlfn.XLOOKUP($A1605, 'Hospitalisation Details'!$A:$A, 'Hospitalisation Details'!G:G, "No Data")</f>
        <v>6208.5</v>
      </c>
      <c r="P1605" s="28" t="str">
        <f t="array" ref="P1605">_xlfn.XLOOKUP($A1605, 'Hospitalisation Details'!$A:$A, 'Hospitalisation Details'!H:H, "No Data")</f>
        <v>tier - 2</v>
      </c>
    </row>
    <row r="1606">
      <c r="A1606" s="25" t="s">
        <v>4607</v>
      </c>
      <c r="B1606" s="28" t="str">
        <f t="array" ref="B1606">_xlfn.XLOOKUP($A1606, 'Customer Names'!$A:$A, 'Customer Names'!B:B, "No Data")</f>
        <v>Simon</v>
      </c>
      <c r="C1606" s="28">
        <f t="array" ref="C1606">_xlfn.XLOOKUP($A1606, 'Medical Examinations'!$A:$A, 'Medical Examinations'!B:B, "No Data")</f>
        <v>36.08</v>
      </c>
      <c r="D1606" s="28">
        <f t="array" ref="D1606">_xlfn.XLOOKUP($A1606, 'Medical Examinations'!$A:$A, 'Medical Examinations'!C:C, "No Data")</f>
        <v>4.29</v>
      </c>
      <c r="E1606" s="28" t="str">
        <f t="array" ref="E1606">_xlfn.XLOOKUP($A1606, 'Medical Examinations'!$A:$A, 'Medical Examinations'!D:D, "No Data")</f>
        <v>No</v>
      </c>
      <c r="F1606" s="28" t="str">
        <f t="array" ref="F1606">_xlfn.XLOOKUP($A1606, 'Medical Examinations'!$A:$A, 'Medical Examinations'!E:E, "No Data")</f>
        <v>No</v>
      </c>
      <c r="G1606" s="28" t="str">
        <f t="array" ref="G1606">_xlfn.XLOOKUP($A1606, 'Medical Examinations'!$A:$A, 'Medical Examinations'!F:F, "No Data")</f>
        <v>No</v>
      </c>
      <c r="H1606" s="28">
        <f t="array" ref="H1606">_xlfn.XLOOKUP($A1606, 'Medical Examinations'!$A:$A, 'Medical Examinations'!G:G, "No Data")</f>
        <v>0</v>
      </c>
      <c r="I1606" s="28" t="str">
        <f t="array" ref="I1606">_xlfn.XLOOKUP($A1606, 'Medical Examinations'!$A:$A, 'Medical Examinations'!H:H, "No Data")</f>
        <v>No</v>
      </c>
      <c r="J1606" s="28" t="str">
        <f t="array" ref="J1606">_xlfn.XLOOKUP($A1606, 'Medical Examinations'!$A:$A, 'Medical Examinations'!I:I, "No Data")</f>
        <v>Obesity</v>
      </c>
      <c r="K1606" s="28" t="str">
        <f t="array" ref="K1606">_xlfn.XLOOKUP($A1606, 'Hospitalisation Details'!$A:$A, 'Hospitalisation Details'!I:I, "No Data")</f>
        <v>tier - 2</v>
      </c>
      <c r="L1606" s="28" t="str">
        <f t="array" ref="L1606">_xlfn.XLOOKUP($A1606, 'Hospitalisation Details'!$A:$A, 'Hospitalisation Details'!J:J, "No Data")</f>
        <v>R1026</v>
      </c>
      <c r="M1606" s="28" t="str">
        <f t="array" ref="M1606">_xlfn.XLOOKUP($A1606, 'Hospitalisation Details'!$A:$A, 'Hospitalisation Details'!E:E, "No Data")</f>
        <v>10/09/99</v>
      </c>
      <c r="N1606" s="28">
        <f t="array" ref="N1606">_xlfn.XLOOKUP($A1606, 'Hospitalisation Details'!$A:$A, 'Hospitalisation Details'!K:K, "No Data")</f>
        <v>23</v>
      </c>
      <c r="O1606" s="33">
        <f t="array" ref="O1606">_xlfn.XLOOKUP($A1606, 'Hospitalisation Details'!$A:$A, 'Hospitalisation Details'!G:G, "No Data")</f>
        <v>6207.26</v>
      </c>
      <c r="P1606" s="28" t="str">
        <f t="array" ref="P1606">_xlfn.XLOOKUP($A1606, 'Hospitalisation Details'!$A:$A, 'Hospitalisation Details'!H:H, "No Data")</f>
        <v>tier - 2</v>
      </c>
    </row>
    <row r="1607">
      <c r="A1607" s="25" t="s">
        <v>4604</v>
      </c>
      <c r="B1607" s="28" t="str">
        <f t="array" ref="B1607">_xlfn.XLOOKUP($A1607, 'Customer Names'!$A:$A, 'Customer Names'!B:B, "No Data")</f>
        <v>Arciniaga</v>
      </c>
      <c r="C1607" s="28">
        <f t="array" ref="C1607">_xlfn.XLOOKUP($A1607, 'Medical Examinations'!$A:$A, 'Medical Examinations'!B:B, "No Data")</f>
        <v>28.025</v>
      </c>
      <c r="D1607" s="28">
        <f t="array" ref="D1607">_xlfn.XLOOKUP($A1607, 'Medical Examinations'!$A:$A, 'Medical Examinations'!C:C, "No Data")</f>
        <v>5.69</v>
      </c>
      <c r="E1607" s="28" t="str">
        <f t="array" ref="E1607">_xlfn.XLOOKUP($A1607, 'Medical Examinations'!$A:$A, 'Medical Examinations'!D:D, "No Data")</f>
        <v>yes</v>
      </c>
      <c r="F1607" s="28" t="str">
        <f t="array" ref="F1607">_xlfn.XLOOKUP($A1607, 'Medical Examinations'!$A:$A, 'Medical Examinations'!E:E, "No Data")</f>
        <v>No</v>
      </c>
      <c r="G1607" s="28" t="str">
        <f t="array" ref="G1607">_xlfn.XLOOKUP($A1607, 'Medical Examinations'!$A:$A, 'Medical Examinations'!F:F, "No Data")</f>
        <v>No</v>
      </c>
      <c r="H1607" s="28">
        <f t="array" ref="H1607">_xlfn.XLOOKUP($A1607, 'Medical Examinations'!$A:$A, 'Medical Examinations'!G:G, "No Data")</f>
        <v>0</v>
      </c>
      <c r="I1607" s="28" t="str">
        <f t="array" ref="I1607">_xlfn.XLOOKUP($A1607, 'Medical Examinations'!$A:$A, 'Medical Examinations'!H:H, "No Data")</f>
        <v>No</v>
      </c>
      <c r="J1607" s="28" t="str">
        <f t="array" ref="J1607">_xlfn.XLOOKUP($A1607, 'Medical Examinations'!$A:$A, 'Medical Examinations'!I:I, "No Data")</f>
        <v>Overweight</v>
      </c>
      <c r="K1607" s="28" t="str">
        <f t="array" ref="K1607">_xlfn.XLOOKUP($A1607, 'Hospitalisation Details'!$A:$A, 'Hospitalisation Details'!I:I, "No Data")</f>
        <v>tier - 2</v>
      </c>
      <c r="L1607" s="28" t="str">
        <f t="array" ref="L1607">_xlfn.XLOOKUP($A1607, 'Hospitalisation Details'!$A:$A, 'Hospitalisation Details'!J:J, "No Data")</f>
        <v>R1012</v>
      </c>
      <c r="M1607" s="28" t="str">
        <f t="array" ref="M1607">_xlfn.XLOOKUP($A1607, 'Hospitalisation Details'!$A:$A, 'Hospitalisation Details'!E:E, "No Data")</f>
        <v>22/09/85</v>
      </c>
      <c r="N1607" s="28">
        <f t="array" ref="N1607">_xlfn.XLOOKUP($A1607, 'Hospitalisation Details'!$A:$A, 'Hospitalisation Details'!K:K, "No Data")</f>
        <v>37</v>
      </c>
      <c r="O1607" s="33">
        <f t="array" ref="O1607">_xlfn.XLOOKUP($A1607, 'Hospitalisation Details'!$A:$A, 'Hospitalisation Details'!G:G, "No Data")</f>
        <v>6203.9</v>
      </c>
      <c r="P1607" s="28" t="str">
        <f t="array" ref="P1607">_xlfn.XLOOKUP($A1607, 'Hospitalisation Details'!$A:$A, 'Hospitalisation Details'!H:H, "No Data")</f>
        <v>tier - 2</v>
      </c>
    </row>
    <row r="1608">
      <c r="A1608" s="25" t="s">
        <v>4598</v>
      </c>
      <c r="B1608" s="28" t="str">
        <f t="array" ref="B1608">_xlfn.XLOOKUP($A1608, 'Customer Names'!$A:$A, 'Customer Names'!B:B, "No Data")</f>
        <v>Ryan</v>
      </c>
      <c r="C1608" s="28">
        <f t="array" ref="C1608">_xlfn.XLOOKUP($A1608, 'Medical Examinations'!$A:$A, 'Medical Examinations'!B:B, "No Data")</f>
        <v>24.32</v>
      </c>
      <c r="D1608" s="28">
        <f t="array" ref="D1608">_xlfn.XLOOKUP($A1608, 'Medical Examinations'!$A:$A, 'Medical Examinations'!C:C, "No Data")</f>
        <v>5.56</v>
      </c>
      <c r="E1608" s="28" t="str">
        <f t="array" ref="E1608">_xlfn.XLOOKUP($A1608, 'Medical Examinations'!$A:$A, 'Medical Examinations'!D:D, "No Data")</f>
        <v>yes</v>
      </c>
      <c r="F1608" s="28" t="str">
        <f t="array" ref="F1608">_xlfn.XLOOKUP($A1608, 'Medical Examinations'!$A:$A, 'Medical Examinations'!E:E, "No Data")</f>
        <v>No</v>
      </c>
      <c r="G1608" s="28" t="str">
        <f t="array" ref="G1608">_xlfn.XLOOKUP($A1608, 'Medical Examinations'!$A:$A, 'Medical Examinations'!F:F, "No Data")</f>
        <v>No</v>
      </c>
      <c r="H1608" s="28">
        <f t="array" ref="H1608">_xlfn.XLOOKUP($A1608, 'Medical Examinations'!$A:$A, 'Medical Examinations'!G:G, "No Data")</f>
        <v>0</v>
      </c>
      <c r="I1608" s="28" t="str">
        <f t="array" ref="I1608">_xlfn.XLOOKUP($A1608, 'Medical Examinations'!$A:$A, 'Medical Examinations'!H:H, "No Data")</f>
        <v>No</v>
      </c>
      <c r="J1608" s="28" t="str">
        <f t="array" ref="J1608">_xlfn.XLOOKUP($A1608, 'Medical Examinations'!$A:$A, 'Medical Examinations'!I:I, "No Data")</f>
        <v>Normal Weight</v>
      </c>
      <c r="K1608" s="28" t="str">
        <f t="array" ref="K1608">_xlfn.XLOOKUP($A1608, 'Hospitalisation Details'!$A:$A, 'Hospitalisation Details'!I:I, "No Data")</f>
        <v>tier - 1</v>
      </c>
      <c r="L1608" s="28" t="str">
        <f t="array" ref="L1608">_xlfn.XLOOKUP($A1608, 'Hospitalisation Details'!$A:$A, 'Hospitalisation Details'!J:J, "No Data")</f>
        <v>R1012</v>
      </c>
      <c r="M1608" s="28" t="str">
        <f t="array" ref="M1608">_xlfn.XLOOKUP($A1608, 'Hospitalisation Details'!$A:$A, 'Hospitalisation Details'!E:E, "No Data")</f>
        <v>22/07/85</v>
      </c>
      <c r="N1608" s="28">
        <f t="array" ref="N1608">_xlfn.XLOOKUP($A1608, 'Hospitalisation Details'!$A:$A, 'Hospitalisation Details'!K:K, "No Data")</f>
        <v>37</v>
      </c>
      <c r="O1608" s="33">
        <f t="array" ref="O1608">_xlfn.XLOOKUP($A1608, 'Hospitalisation Details'!$A:$A, 'Hospitalisation Details'!G:G, "No Data")</f>
        <v>6198.75</v>
      </c>
      <c r="P1608" s="28" t="str">
        <f t="array" ref="P1608">_xlfn.XLOOKUP($A1608, 'Hospitalisation Details'!$A:$A, 'Hospitalisation Details'!H:H, "No Data")</f>
        <v>tier - 2</v>
      </c>
    </row>
    <row r="1609">
      <c r="A1609" s="25" t="s">
        <v>4593</v>
      </c>
      <c r="B1609" s="28" t="str">
        <f t="array" ref="B1609">_xlfn.XLOOKUP($A1609, 'Customer Names'!$A:$A, 'Customer Names'!B:B, "No Data")</f>
        <v>Lizak</v>
      </c>
      <c r="C1609" s="28">
        <f t="array" ref="C1609">_xlfn.XLOOKUP($A1609, 'Medical Examinations'!$A:$A, 'Medical Examinations'!B:B, "No Data")</f>
        <v>38</v>
      </c>
      <c r="D1609" s="28">
        <f t="array" ref="D1609">_xlfn.XLOOKUP($A1609, 'Medical Examinations'!$A:$A, 'Medical Examinations'!C:C, "No Data")</f>
        <v>5.41</v>
      </c>
      <c r="E1609" s="28" t="str">
        <f t="array" ref="E1609">_xlfn.XLOOKUP($A1609, 'Medical Examinations'!$A:$A, 'Medical Examinations'!D:D, "No Data")</f>
        <v>yes</v>
      </c>
      <c r="F1609" s="28" t="str">
        <f t="array" ref="F1609">_xlfn.XLOOKUP($A1609, 'Medical Examinations'!$A:$A, 'Medical Examinations'!E:E, "No Data")</f>
        <v>No</v>
      </c>
      <c r="G1609" s="28" t="str">
        <f t="array" ref="G1609">_xlfn.XLOOKUP($A1609, 'Medical Examinations'!$A:$A, 'Medical Examinations'!F:F, "No Data")</f>
        <v>No</v>
      </c>
      <c r="H1609" s="28">
        <f t="array" ref="H1609">_xlfn.XLOOKUP($A1609, 'Medical Examinations'!$A:$A, 'Medical Examinations'!G:G, "No Data")</f>
        <v>1</v>
      </c>
      <c r="I1609" s="28" t="str">
        <f t="array" ref="I1609">_xlfn.XLOOKUP($A1609, 'Medical Examinations'!$A:$A, 'Medical Examinations'!H:H, "No Data")</f>
        <v>No</v>
      </c>
      <c r="J1609" s="28" t="str">
        <f t="array" ref="J1609">_xlfn.XLOOKUP($A1609, 'Medical Examinations'!$A:$A, 'Medical Examinations'!I:I, "No Data")</f>
        <v>Obesity</v>
      </c>
      <c r="K1609" s="28" t="str">
        <f t="array" ref="K1609">_xlfn.XLOOKUP($A1609, 'Hospitalisation Details'!$A:$A, 'Hospitalisation Details'!I:I, "No Data")</f>
        <v>tier - 1</v>
      </c>
      <c r="L1609" s="28" t="str">
        <f t="array" ref="L1609">_xlfn.XLOOKUP($A1609, 'Hospitalisation Details'!$A:$A, 'Hospitalisation Details'!J:J, "No Data")</f>
        <v>R1011</v>
      </c>
      <c r="M1609" s="28" t="str">
        <f t="array" ref="M1609">_xlfn.XLOOKUP($A1609, 'Hospitalisation Details'!$A:$A, 'Hospitalisation Details'!E:E, "No Data")</f>
        <v>23/10/88</v>
      </c>
      <c r="N1609" s="28">
        <f t="array" ref="N1609">_xlfn.XLOOKUP($A1609, 'Hospitalisation Details'!$A:$A, 'Hospitalisation Details'!K:K, "No Data")</f>
        <v>34</v>
      </c>
      <c r="O1609" s="33">
        <f t="array" ref="O1609">_xlfn.XLOOKUP($A1609, 'Hospitalisation Details'!$A:$A, 'Hospitalisation Details'!G:G, "No Data")</f>
        <v>6196.45</v>
      </c>
      <c r="P1609" s="28" t="str">
        <f t="array" ref="P1609">_xlfn.XLOOKUP($A1609, 'Hospitalisation Details'!$A:$A, 'Hospitalisation Details'!H:H, "No Data")</f>
        <v>tier - 2</v>
      </c>
    </row>
    <row r="1610">
      <c r="A1610" s="25" t="s">
        <v>4589</v>
      </c>
      <c r="B1610" s="28" t="str">
        <f t="array" ref="B1610">_xlfn.XLOOKUP($A1610, 'Customer Names'!$A:$A, 'Customer Names'!B:B, "No Data")</f>
        <v>Howery</v>
      </c>
      <c r="C1610" s="28">
        <f t="array" ref="C1610">_xlfn.XLOOKUP($A1610, 'Medical Examinations'!$A:$A, 'Medical Examinations'!B:B, "No Data")</f>
        <v>31.6</v>
      </c>
      <c r="D1610" s="28">
        <f t="array" ref="D1610">_xlfn.XLOOKUP($A1610, 'Medical Examinations'!$A:$A, 'Medical Examinations'!C:C, "No Data")</f>
        <v>10.85</v>
      </c>
      <c r="E1610" s="28" t="str">
        <f t="array" ref="E1610">_xlfn.XLOOKUP($A1610, 'Medical Examinations'!$A:$A, 'Medical Examinations'!D:D, "No Data")</f>
        <v>yes</v>
      </c>
      <c r="F1610" s="28" t="str">
        <f t="array" ref="F1610">_xlfn.XLOOKUP($A1610, 'Medical Examinations'!$A:$A, 'Medical Examinations'!E:E, "No Data")</f>
        <v>No</v>
      </c>
      <c r="G1610" s="28" t="str">
        <f t="array" ref="G1610">_xlfn.XLOOKUP($A1610, 'Medical Examinations'!$A:$A, 'Medical Examinations'!F:F, "No Data")</f>
        <v>No</v>
      </c>
      <c r="H1610" s="28">
        <f t="array" ref="H1610">_xlfn.XLOOKUP($A1610, 'Medical Examinations'!$A:$A, 'Medical Examinations'!G:G, "No Data")</f>
        <v>0</v>
      </c>
      <c r="I1610" s="28" t="str">
        <f t="array" ref="I1610">_xlfn.XLOOKUP($A1610, 'Medical Examinations'!$A:$A, 'Medical Examinations'!H:H, "No Data")</f>
        <v>No</v>
      </c>
      <c r="J1610" s="28" t="str">
        <f t="array" ref="J1610">_xlfn.XLOOKUP($A1610, 'Medical Examinations'!$A:$A, 'Medical Examinations'!I:I, "No Data")</f>
        <v>Obesity</v>
      </c>
      <c r="K1610" s="28" t="str">
        <f t="array" ref="K1610">_xlfn.XLOOKUP($A1610, 'Hospitalisation Details'!$A:$A, 'Hospitalisation Details'!I:I, "No Data")</f>
        <v>tier - 3</v>
      </c>
      <c r="L1610" s="28" t="str">
        <f t="array" ref="L1610">_xlfn.XLOOKUP($A1610, 'Hospitalisation Details'!$A:$A, 'Hospitalisation Details'!J:J, "No Data")</f>
        <v>R1011</v>
      </c>
      <c r="M1610" s="28" t="str">
        <f t="array" ref="M1610">_xlfn.XLOOKUP($A1610, 'Hospitalisation Details'!$A:$A, 'Hospitalisation Details'!E:E, "No Data")</f>
        <v>01/10/81</v>
      </c>
      <c r="N1610" s="28">
        <f t="array" ref="N1610">_xlfn.XLOOKUP($A1610, 'Hospitalisation Details'!$A:$A, 'Hospitalisation Details'!K:K, "No Data")</f>
        <v>41</v>
      </c>
      <c r="O1610" s="33">
        <f t="array" ref="O1610">_xlfn.XLOOKUP($A1610, 'Hospitalisation Details'!$A:$A, 'Hospitalisation Details'!G:G, "No Data")</f>
        <v>6186.13</v>
      </c>
      <c r="P1610" s="28" t="str">
        <f t="array" ref="P1610">_xlfn.XLOOKUP($A1610, 'Hospitalisation Details'!$A:$A, 'Hospitalisation Details'!H:H, "No Data")</f>
        <v>tier - 2</v>
      </c>
    </row>
    <row r="1611">
      <c r="A1611" s="25" t="s">
        <v>4586</v>
      </c>
      <c r="B1611" s="28" t="str">
        <f t="array" ref="B1611">_xlfn.XLOOKUP($A1611, 'Customer Names'!$A:$A, 'Customer Names'!B:B, "No Data")</f>
        <v>Crain</v>
      </c>
      <c r="C1611" s="28">
        <f t="array" ref="C1611">_xlfn.XLOOKUP($A1611, 'Medical Examinations'!$A:$A, 'Medical Examinations'!B:B, "No Data")</f>
        <v>31.02</v>
      </c>
      <c r="D1611" s="28">
        <f t="array" ref="D1611">_xlfn.XLOOKUP($A1611, 'Medical Examinations'!$A:$A, 'Medical Examinations'!C:C, "No Data")</f>
        <v>11.63</v>
      </c>
      <c r="E1611" s="28" t="str">
        <f t="array" ref="E1611">_xlfn.XLOOKUP($A1611, 'Medical Examinations'!$A:$A, 'Medical Examinations'!D:D, "No Data")</f>
        <v>yes</v>
      </c>
      <c r="F1611" s="28" t="str">
        <f t="array" ref="F1611">_xlfn.XLOOKUP($A1611, 'Medical Examinations'!$A:$A, 'Medical Examinations'!E:E, "No Data")</f>
        <v>No</v>
      </c>
      <c r="G1611" s="28" t="str">
        <f t="array" ref="G1611">_xlfn.XLOOKUP($A1611, 'Medical Examinations'!$A:$A, 'Medical Examinations'!F:F, "No Data")</f>
        <v>No</v>
      </c>
      <c r="H1611" s="28">
        <f t="array" ref="H1611">_xlfn.XLOOKUP($A1611, 'Medical Examinations'!$A:$A, 'Medical Examinations'!G:G, "No Data")</f>
        <v>0</v>
      </c>
      <c r="I1611" s="28" t="str">
        <f t="array" ref="I1611">_xlfn.XLOOKUP($A1611, 'Medical Examinations'!$A:$A, 'Medical Examinations'!H:H, "No Data")</f>
        <v>No</v>
      </c>
      <c r="J1611" s="28" t="str">
        <f t="array" ref="J1611">_xlfn.XLOOKUP($A1611, 'Medical Examinations'!$A:$A, 'Medical Examinations'!I:I, "No Data")</f>
        <v>Obesity</v>
      </c>
      <c r="K1611" s="28" t="str">
        <f t="array" ref="K1611">_xlfn.XLOOKUP($A1611, 'Hospitalisation Details'!$A:$A, 'Hospitalisation Details'!I:I, "No Data")</f>
        <v>tier - 1</v>
      </c>
      <c r="L1611" s="28" t="str">
        <f t="array" ref="L1611">_xlfn.XLOOKUP($A1611, 'Hospitalisation Details'!$A:$A, 'Hospitalisation Details'!J:J, "No Data")</f>
        <v>R1013</v>
      </c>
      <c r="M1611" s="28" t="str">
        <f t="array" ref="M1611">_xlfn.XLOOKUP($A1611, 'Hospitalisation Details'!$A:$A, 'Hospitalisation Details'!E:E, "No Data")</f>
        <v>22/11/81</v>
      </c>
      <c r="N1611" s="28">
        <f t="array" ref="N1611">_xlfn.XLOOKUP($A1611, 'Hospitalisation Details'!$A:$A, 'Hospitalisation Details'!K:K, "No Data")</f>
        <v>41</v>
      </c>
      <c r="O1611" s="33">
        <f t="array" ref="O1611">_xlfn.XLOOKUP($A1611, 'Hospitalisation Details'!$A:$A, 'Hospitalisation Details'!G:G, "No Data")</f>
        <v>6185.32</v>
      </c>
      <c r="P1611" s="28" t="str">
        <f t="array" ref="P1611">_xlfn.XLOOKUP($A1611, 'Hospitalisation Details'!$A:$A, 'Hospitalisation Details'!H:H, "No Data")</f>
        <v>tier - 2</v>
      </c>
    </row>
    <row r="1612">
      <c r="A1612" s="25" t="s">
        <v>4582</v>
      </c>
      <c r="B1612" s="28" t="str">
        <f t="array" ref="B1612">_xlfn.XLOOKUP($A1612, 'Customer Names'!$A:$A, 'Customer Names'!B:B, "No Data")</f>
        <v>Hotze</v>
      </c>
      <c r="C1612" s="28">
        <f t="array" ref="C1612">_xlfn.XLOOKUP($A1612, 'Medical Examinations'!$A:$A, 'Medical Examinations'!B:B, "No Data")</f>
        <v>29.26</v>
      </c>
      <c r="D1612" s="28">
        <f t="array" ref="D1612">_xlfn.XLOOKUP($A1612, 'Medical Examinations'!$A:$A, 'Medical Examinations'!C:C, "No Data")</f>
        <v>5.68</v>
      </c>
      <c r="E1612" s="28" t="str">
        <f t="array" ref="E1612">_xlfn.XLOOKUP($A1612, 'Medical Examinations'!$A:$A, 'Medical Examinations'!D:D, "No Data")</f>
        <v>yes</v>
      </c>
      <c r="F1612" s="28" t="str">
        <f t="array" ref="F1612">_xlfn.XLOOKUP($A1612, 'Medical Examinations'!$A:$A, 'Medical Examinations'!E:E, "No Data")</f>
        <v>No</v>
      </c>
      <c r="G1612" s="28" t="str">
        <f t="array" ref="G1612">_xlfn.XLOOKUP($A1612, 'Medical Examinations'!$A:$A, 'Medical Examinations'!F:F, "No Data")</f>
        <v>No</v>
      </c>
      <c r="H1612" s="28">
        <f t="array" ref="H1612">_xlfn.XLOOKUP($A1612, 'Medical Examinations'!$A:$A, 'Medical Examinations'!G:G, "No Data")</f>
        <v>1</v>
      </c>
      <c r="I1612" s="28" t="str">
        <f t="array" ref="I1612">_xlfn.XLOOKUP($A1612, 'Medical Examinations'!$A:$A, 'Medical Examinations'!H:H, "No Data")</f>
        <v>No</v>
      </c>
      <c r="J1612" s="28" t="str">
        <f t="array" ref="J1612">_xlfn.XLOOKUP($A1612, 'Medical Examinations'!$A:$A, 'Medical Examinations'!I:I, "No Data")</f>
        <v>Overweight</v>
      </c>
      <c r="K1612" s="28" t="str">
        <f t="array" ref="K1612">_xlfn.XLOOKUP($A1612, 'Hospitalisation Details'!$A:$A, 'Hospitalisation Details'!I:I, "No Data")</f>
        <v>tier - 3</v>
      </c>
      <c r="L1612" s="28" t="str">
        <f t="array" ref="L1612">_xlfn.XLOOKUP($A1612, 'Hospitalisation Details'!$A:$A, 'Hospitalisation Details'!J:J, "No Data")</f>
        <v>R1013</v>
      </c>
      <c r="M1612" s="28" t="str">
        <f t="array" ref="M1612">_xlfn.XLOOKUP($A1612, 'Hospitalisation Details'!$A:$A, 'Hospitalisation Details'!E:E, "No Data")</f>
        <v>01/11/88</v>
      </c>
      <c r="N1612" s="28">
        <f t="array" ref="N1612">_xlfn.XLOOKUP($A1612, 'Hospitalisation Details'!$A:$A, 'Hospitalisation Details'!K:K, "No Data")</f>
        <v>34</v>
      </c>
      <c r="O1612" s="33">
        <f t="array" ref="O1612">_xlfn.XLOOKUP($A1612, 'Hospitalisation Details'!$A:$A, 'Hospitalisation Details'!G:G, "No Data")</f>
        <v>6184.3</v>
      </c>
      <c r="P1612" s="28" t="str">
        <f t="array" ref="P1612">_xlfn.XLOOKUP($A1612, 'Hospitalisation Details'!$A:$A, 'Hospitalisation Details'!H:H, "No Data")</f>
        <v>tier - 2</v>
      </c>
    </row>
    <row r="1613">
      <c r="A1613" s="25" t="s">
        <v>4577</v>
      </c>
      <c r="B1613" s="28" t="str">
        <f t="array" ref="B1613">_xlfn.XLOOKUP($A1613, 'Customer Names'!$A:$A, 'Customer Names'!B:B, "No Data")</f>
        <v>Chauhan</v>
      </c>
      <c r="C1613" s="28">
        <f t="array" ref="C1613">_xlfn.XLOOKUP($A1613, 'Medical Examinations'!$A:$A, 'Medical Examinations'!B:B, "No Data")</f>
        <v>15.09</v>
      </c>
      <c r="D1613" s="28">
        <f t="array" ref="D1613">_xlfn.XLOOKUP($A1613, 'Medical Examinations'!$A:$A, 'Medical Examinations'!C:C, "No Data")</f>
        <v>7.59</v>
      </c>
      <c r="E1613" s="28" t="str">
        <f t="array" ref="E1613">_xlfn.XLOOKUP($A1613, 'Medical Examinations'!$A:$A, 'Medical Examinations'!D:D, "No Data")</f>
        <v>yes</v>
      </c>
      <c r="F1613" s="28" t="str">
        <f t="array" ref="F1613">_xlfn.XLOOKUP($A1613, 'Medical Examinations'!$A:$A, 'Medical Examinations'!E:E, "No Data")</f>
        <v>No</v>
      </c>
      <c r="G1613" s="28" t="str">
        <f t="array" ref="G1613">_xlfn.XLOOKUP($A1613, 'Medical Examinations'!$A:$A, 'Medical Examinations'!F:F, "No Data")</f>
        <v>No</v>
      </c>
      <c r="H1613" s="28">
        <f t="array" ref="H1613">_xlfn.XLOOKUP($A1613, 'Medical Examinations'!$A:$A, 'Medical Examinations'!G:G, "No Data")</f>
        <v>2</v>
      </c>
      <c r="I1613" s="28" t="str">
        <f t="array" ref="I1613">_xlfn.XLOOKUP($A1613, 'Medical Examinations'!$A:$A, 'Medical Examinations'!H:H, "No Data")</f>
        <v>No</v>
      </c>
      <c r="J1613" s="28" t="str">
        <f t="array" ref="J1613">_xlfn.XLOOKUP($A1613, 'Medical Examinations'!$A:$A, 'Medical Examinations'!I:I, "No Data")</f>
        <v>Underweight</v>
      </c>
      <c r="K1613" s="28" t="str">
        <f t="array" ref="K1613">_xlfn.XLOOKUP($A1613, 'Hospitalisation Details'!$A:$A, 'Hospitalisation Details'!I:I, "No Data")</f>
        <v>tier - 2</v>
      </c>
      <c r="L1613" s="28" t="str">
        <f t="array" ref="L1613">_xlfn.XLOOKUP($A1613, 'Hospitalisation Details'!$A:$A, 'Hospitalisation Details'!J:J, "No Data")</f>
        <v>R1012</v>
      </c>
      <c r="M1613" s="28" t="str">
        <f t="array" ref="M1613">_xlfn.XLOOKUP($A1613, 'Hospitalisation Details'!$A:$A, 'Hospitalisation Details'!E:E, "No Data")</f>
        <v>05/10/70</v>
      </c>
      <c r="N1613" s="28">
        <f t="array" ref="N1613">_xlfn.XLOOKUP($A1613, 'Hospitalisation Details'!$A:$A, 'Hospitalisation Details'!K:K, "No Data")</f>
        <v>52</v>
      </c>
      <c r="O1613" s="33">
        <f t="array" ref="O1613">_xlfn.XLOOKUP($A1613, 'Hospitalisation Details'!$A:$A, 'Hospitalisation Details'!G:G, "No Data")</f>
        <v>6183.46</v>
      </c>
      <c r="P1613" s="28" t="str">
        <f t="array" ref="P1613">_xlfn.XLOOKUP($A1613, 'Hospitalisation Details'!$A:$A, 'Hospitalisation Details'!H:H, "No Data")</f>
        <v>tier - 2</v>
      </c>
    </row>
    <row r="1614">
      <c r="A1614" s="25" t="s">
        <v>4573</v>
      </c>
      <c r="B1614" s="28" t="str">
        <f t="array" ref="B1614">_xlfn.XLOOKUP($A1614, 'Customer Names'!$A:$A, 'Customer Names'!B:B, "No Data")</f>
        <v>Raab</v>
      </c>
      <c r="C1614" s="28">
        <f t="array" ref="C1614">_xlfn.XLOOKUP($A1614, 'Medical Examinations'!$A:$A, 'Medical Examinations'!B:B, "No Data")</f>
        <v>22.63</v>
      </c>
      <c r="D1614" s="28">
        <f t="array" ref="D1614">_xlfn.XLOOKUP($A1614, 'Medical Examinations'!$A:$A, 'Medical Examinations'!C:C, "No Data")</f>
        <v>5.09</v>
      </c>
      <c r="E1614" s="28" t="str">
        <f t="array" ref="E1614">_xlfn.XLOOKUP($A1614, 'Medical Examinations'!$A:$A, 'Medical Examinations'!D:D, "No Data")</f>
        <v>yes</v>
      </c>
      <c r="F1614" s="28" t="str">
        <f t="array" ref="F1614">_xlfn.XLOOKUP($A1614, 'Medical Examinations'!$A:$A, 'Medical Examinations'!E:E, "No Data")</f>
        <v>No</v>
      </c>
      <c r="G1614" s="28" t="str">
        <f t="array" ref="G1614">_xlfn.XLOOKUP($A1614, 'Medical Examinations'!$A:$A, 'Medical Examinations'!F:F, "No Data")</f>
        <v>No</v>
      </c>
      <c r="H1614" s="28">
        <f t="array" ref="H1614">_xlfn.XLOOKUP($A1614, 'Medical Examinations'!$A:$A, 'Medical Examinations'!G:G, "No Data")</f>
        <v>0</v>
      </c>
      <c r="I1614" s="28" t="str">
        <f t="array" ref="I1614">_xlfn.XLOOKUP($A1614, 'Medical Examinations'!$A:$A, 'Medical Examinations'!H:H, "No Data")</f>
        <v>No</v>
      </c>
      <c r="J1614" s="28" t="str">
        <f t="array" ref="J1614">_xlfn.XLOOKUP($A1614, 'Medical Examinations'!$A:$A, 'Medical Examinations'!I:I, "No Data")</f>
        <v>Normal Weight</v>
      </c>
      <c r="K1614" s="28" t="str">
        <f t="array" ref="K1614">_xlfn.XLOOKUP($A1614, 'Hospitalisation Details'!$A:$A, 'Hospitalisation Details'!I:I, "No Data")</f>
        <v>tier - 2</v>
      </c>
      <c r="L1614" s="28" t="str">
        <f t="array" ref="L1614">_xlfn.XLOOKUP($A1614, 'Hospitalisation Details'!$A:$A, 'Hospitalisation Details'!J:J, "No Data")</f>
        <v>R1012</v>
      </c>
      <c r="M1614" s="28" t="str">
        <f t="array" ref="M1614">_xlfn.XLOOKUP($A1614, 'Hospitalisation Details'!$A:$A, 'Hospitalisation Details'!E:E, "No Data")</f>
        <v>09/08/85</v>
      </c>
      <c r="N1614" s="28">
        <f t="array" ref="N1614">_xlfn.XLOOKUP($A1614, 'Hospitalisation Details'!$A:$A, 'Hospitalisation Details'!K:K, "No Data")</f>
        <v>37</v>
      </c>
      <c r="O1614" s="33">
        <f t="array" ref="O1614">_xlfn.XLOOKUP($A1614, 'Hospitalisation Details'!$A:$A, 'Hospitalisation Details'!G:G, "No Data")</f>
        <v>6183.32</v>
      </c>
      <c r="P1614" s="28" t="str">
        <f t="array" ref="P1614">_xlfn.XLOOKUP($A1614, 'Hospitalisation Details'!$A:$A, 'Hospitalisation Details'!H:H, "No Data")</f>
        <v>tier - 2</v>
      </c>
    </row>
    <row r="1615">
      <c r="A1615" s="25" t="s">
        <v>4570</v>
      </c>
      <c r="B1615" s="28" t="str">
        <f t="array" ref="B1615">_xlfn.XLOOKUP($A1615, 'Customer Names'!$A:$A, 'Customer Names'!B:B, "No Data")</f>
        <v>McKown</v>
      </c>
      <c r="C1615" s="28">
        <f t="array" ref="C1615">_xlfn.XLOOKUP($A1615, 'Medical Examinations'!$A:$A, 'Medical Examinations'!B:B, "No Data")</f>
        <v>23.46</v>
      </c>
      <c r="D1615" s="28">
        <f t="array" ref="D1615">_xlfn.XLOOKUP($A1615, 'Medical Examinations'!$A:$A, 'Medical Examinations'!C:C, "No Data")</f>
        <v>4.21</v>
      </c>
      <c r="E1615" s="28" t="str">
        <f t="array" ref="E1615">_xlfn.XLOOKUP($A1615, 'Medical Examinations'!$A:$A, 'Medical Examinations'!D:D, "No Data")</f>
        <v>No</v>
      </c>
      <c r="F1615" s="28" t="str">
        <f t="array" ref="F1615">_xlfn.XLOOKUP($A1615, 'Medical Examinations'!$A:$A, 'Medical Examinations'!E:E, "No Data")</f>
        <v>No</v>
      </c>
      <c r="G1615" s="28" t="str">
        <f t="array" ref="G1615">_xlfn.XLOOKUP($A1615, 'Medical Examinations'!$A:$A, 'Medical Examinations'!F:F, "No Data")</f>
        <v>No</v>
      </c>
      <c r="H1615" s="28">
        <f t="array" ref="H1615">_xlfn.XLOOKUP($A1615, 'Medical Examinations'!$A:$A, 'Medical Examinations'!G:G, "No Data")</f>
        <v>1</v>
      </c>
      <c r="I1615" s="28" t="str">
        <f t="array" ref="I1615">_xlfn.XLOOKUP($A1615, 'Medical Examinations'!$A:$A, 'Medical Examinations'!H:H, "No Data")</f>
        <v>No</v>
      </c>
      <c r="J1615" s="28" t="str">
        <f t="array" ref="J1615">_xlfn.XLOOKUP($A1615, 'Medical Examinations'!$A:$A, 'Medical Examinations'!I:I, "No Data")</f>
        <v>Normal Weight</v>
      </c>
      <c r="K1615" s="28" t="str">
        <f t="array" ref="K1615">_xlfn.XLOOKUP($A1615, 'Hospitalisation Details'!$A:$A, 'Hospitalisation Details'!I:I, "No Data")</f>
        <v>tier - 1</v>
      </c>
      <c r="L1615" s="28" t="str">
        <f t="array" ref="L1615">_xlfn.XLOOKUP($A1615, 'Hospitalisation Details'!$A:$A, 'Hospitalisation Details'!J:J, "No Data")</f>
        <v>R1013</v>
      </c>
      <c r="M1615" s="28" t="str">
        <f t="array" ref="M1615">_xlfn.XLOOKUP($A1615, 'Hospitalisation Details'!$A:$A, 'Hospitalisation Details'!E:E, "No Data")</f>
        <v>06/10/84</v>
      </c>
      <c r="N1615" s="28">
        <f t="array" ref="N1615">_xlfn.XLOOKUP($A1615, 'Hospitalisation Details'!$A:$A, 'Hospitalisation Details'!K:K, "No Data")</f>
        <v>38</v>
      </c>
      <c r="O1615" s="33">
        <f t="array" ref="O1615">_xlfn.XLOOKUP($A1615, 'Hospitalisation Details'!$A:$A, 'Hospitalisation Details'!G:G, "No Data")</f>
        <v>6170.96</v>
      </c>
      <c r="P1615" s="28" t="str">
        <f t="array" ref="P1615">_xlfn.XLOOKUP($A1615, 'Hospitalisation Details'!$A:$A, 'Hospitalisation Details'!H:H, "No Data")</f>
        <v>tier - 2</v>
      </c>
    </row>
    <row r="1616">
      <c r="A1616" s="25" t="s">
        <v>4566</v>
      </c>
      <c r="B1616" s="28" t="str">
        <f t="array" ref="B1616">_xlfn.XLOOKUP($A1616, 'Customer Names'!$A:$A, 'Customer Names'!B:B, "No Data")</f>
        <v>Schiemann</v>
      </c>
      <c r="C1616" s="28">
        <f t="array" ref="C1616">_xlfn.XLOOKUP($A1616, 'Medical Examinations'!$A:$A, 'Medical Examinations'!B:B, "No Data")</f>
        <v>22.56</v>
      </c>
      <c r="D1616" s="28">
        <f t="array" ref="D1616">_xlfn.XLOOKUP($A1616, 'Medical Examinations'!$A:$A, 'Medical Examinations'!C:C, "No Data")</f>
        <v>4.34</v>
      </c>
      <c r="E1616" s="28" t="str">
        <f t="array" ref="E1616">_xlfn.XLOOKUP($A1616, 'Medical Examinations'!$A:$A, 'Medical Examinations'!D:D, "No Data")</f>
        <v>yes</v>
      </c>
      <c r="F1616" s="28" t="str">
        <f t="array" ref="F1616">_xlfn.XLOOKUP($A1616, 'Medical Examinations'!$A:$A, 'Medical Examinations'!E:E, "No Data")</f>
        <v>No</v>
      </c>
      <c r="G1616" s="28" t="str">
        <f t="array" ref="G1616">_xlfn.XLOOKUP($A1616, 'Medical Examinations'!$A:$A, 'Medical Examinations'!F:F, "No Data")</f>
        <v>No</v>
      </c>
      <c r="H1616" s="28">
        <f t="array" ref="H1616">_xlfn.XLOOKUP($A1616, 'Medical Examinations'!$A:$A, 'Medical Examinations'!G:G, "No Data")</f>
        <v>0</v>
      </c>
      <c r="I1616" s="28" t="str">
        <f t="array" ref="I1616">_xlfn.XLOOKUP($A1616, 'Medical Examinations'!$A:$A, 'Medical Examinations'!H:H, "No Data")</f>
        <v>No</v>
      </c>
      <c r="J1616" s="28" t="str">
        <f t="array" ref="J1616">_xlfn.XLOOKUP($A1616, 'Medical Examinations'!$A:$A, 'Medical Examinations'!I:I, "No Data")</f>
        <v>Normal Weight</v>
      </c>
      <c r="K1616" s="28" t="str">
        <f t="array" ref="K1616">_xlfn.XLOOKUP($A1616, 'Hospitalisation Details'!$A:$A, 'Hospitalisation Details'!I:I, "No Data")</f>
        <v>tier - 1</v>
      </c>
      <c r="L1616" s="28" t="str">
        <f t="array" ref="L1616">_xlfn.XLOOKUP($A1616, 'Hospitalisation Details'!$A:$A, 'Hospitalisation Details'!J:J, "No Data")</f>
        <v>R1012</v>
      </c>
      <c r="M1616" s="28" t="str">
        <f t="array" ref="M1616">_xlfn.XLOOKUP($A1616, 'Hospitalisation Details'!$A:$A, 'Hospitalisation Details'!E:E, "No Data")</f>
        <v>15/10/85</v>
      </c>
      <c r="N1616" s="28">
        <f t="array" ref="N1616">_xlfn.XLOOKUP($A1616, 'Hospitalisation Details'!$A:$A, 'Hospitalisation Details'!K:K, "No Data")</f>
        <v>37</v>
      </c>
      <c r="O1616" s="33">
        <f t="array" ref="O1616">_xlfn.XLOOKUP($A1616, 'Hospitalisation Details'!$A:$A, 'Hospitalisation Details'!G:G, "No Data")</f>
        <v>6159.57</v>
      </c>
      <c r="P1616" s="28" t="str">
        <f t="array" ref="P1616">_xlfn.XLOOKUP($A1616, 'Hospitalisation Details'!$A:$A, 'Hospitalisation Details'!H:H, "No Data")</f>
        <v>tier - 2</v>
      </c>
    </row>
    <row r="1617">
      <c r="A1617" s="25" t="s">
        <v>4563</v>
      </c>
      <c r="B1617" s="28" t="str">
        <f t="array" ref="B1617">_xlfn.XLOOKUP($A1617, 'Customer Names'!$A:$A, 'Customer Names'!B:B, "No Data")</f>
        <v>Cress</v>
      </c>
      <c r="C1617" s="28">
        <f t="array" ref="C1617">_xlfn.XLOOKUP($A1617, 'Medical Examinations'!$A:$A, 'Medical Examinations'!B:B, "No Data")</f>
        <v>19.28</v>
      </c>
      <c r="D1617" s="28">
        <f t="array" ref="D1617">_xlfn.XLOOKUP($A1617, 'Medical Examinations'!$A:$A, 'Medical Examinations'!C:C, "No Data")</f>
        <v>11.85</v>
      </c>
      <c r="E1617" s="28" t="str">
        <f t="array" ref="E1617">_xlfn.XLOOKUP($A1617, 'Medical Examinations'!$A:$A, 'Medical Examinations'!D:D, "No Data")</f>
        <v>No</v>
      </c>
      <c r="F1617" s="28" t="str">
        <f t="array" ref="F1617">_xlfn.XLOOKUP($A1617, 'Medical Examinations'!$A:$A, 'Medical Examinations'!E:E, "No Data")</f>
        <v>No</v>
      </c>
      <c r="G1617" s="28" t="str">
        <f t="array" ref="G1617">_xlfn.XLOOKUP($A1617, 'Medical Examinations'!$A:$A, 'Medical Examinations'!F:F, "No Data")</f>
        <v>No</v>
      </c>
      <c r="H1617" s="28">
        <f t="array" ref="H1617">_xlfn.XLOOKUP($A1617, 'Medical Examinations'!$A:$A, 'Medical Examinations'!G:G, "No Data")</f>
        <v>2</v>
      </c>
      <c r="I1617" s="28" t="str">
        <f t="array" ref="I1617">_xlfn.XLOOKUP($A1617, 'Medical Examinations'!$A:$A, 'Medical Examinations'!H:H, "No Data")</f>
        <v>No</v>
      </c>
      <c r="J1617" s="28" t="str">
        <f t="array" ref="J1617">_xlfn.XLOOKUP($A1617, 'Medical Examinations'!$A:$A, 'Medical Examinations'!I:I, "No Data")</f>
        <v>Normal Weight</v>
      </c>
      <c r="K1617" s="28" t="str">
        <f t="array" ref="K1617">_xlfn.XLOOKUP($A1617, 'Hospitalisation Details'!$A:$A, 'Hospitalisation Details'!I:I, "No Data")</f>
        <v>tier - 3</v>
      </c>
      <c r="L1617" s="28" t="str">
        <f t="array" ref="L1617">_xlfn.XLOOKUP($A1617, 'Hospitalisation Details'!$A:$A, 'Hospitalisation Details'!J:J, "No Data")</f>
        <v>R1013</v>
      </c>
      <c r="M1617" s="28" t="str">
        <f t="array" ref="M1617">_xlfn.XLOOKUP($A1617, 'Hospitalisation Details'!$A:$A, 'Hospitalisation Details'!E:E, "No Data")</f>
        <v>06/11/73</v>
      </c>
      <c r="N1617" s="28">
        <f t="array" ref="N1617">_xlfn.XLOOKUP($A1617, 'Hospitalisation Details'!$A:$A, 'Hospitalisation Details'!K:K, "No Data")</f>
        <v>49</v>
      </c>
      <c r="O1617" s="33">
        <f t="array" ref="O1617">_xlfn.XLOOKUP($A1617, 'Hospitalisation Details'!$A:$A, 'Hospitalisation Details'!G:G, "No Data")</f>
        <v>6152.05</v>
      </c>
      <c r="P1617" s="28" t="str">
        <f t="array" ref="P1617">_xlfn.XLOOKUP($A1617, 'Hospitalisation Details'!$A:$A, 'Hospitalisation Details'!H:H, "No Data")</f>
        <v>tier - 2</v>
      </c>
    </row>
    <row r="1618">
      <c r="A1618" s="25" t="s">
        <v>4559</v>
      </c>
      <c r="B1618" s="28" t="str">
        <f t="array" ref="B1618">_xlfn.XLOOKUP($A1618, 'Customer Names'!$A:$A, 'Customer Names'!B:B, "No Data")</f>
        <v>Mawson</v>
      </c>
      <c r="C1618" s="28">
        <f t="array" ref="C1618">_xlfn.XLOOKUP($A1618, 'Medical Examinations'!$A:$A, 'Medical Examinations'!B:B, "No Data")</f>
        <v>15.37</v>
      </c>
      <c r="D1618" s="28">
        <f t="array" ref="D1618">_xlfn.XLOOKUP($A1618, 'Medical Examinations'!$A:$A, 'Medical Examinations'!C:C, "No Data")</f>
        <v>9.61</v>
      </c>
      <c r="E1618" s="28" t="str">
        <f t="array" ref="E1618">_xlfn.XLOOKUP($A1618, 'Medical Examinations'!$A:$A, 'Medical Examinations'!D:D, "No Data")</f>
        <v>yes</v>
      </c>
      <c r="F1618" s="28" t="str">
        <f t="array" ref="F1618">_xlfn.XLOOKUP($A1618, 'Medical Examinations'!$A:$A, 'Medical Examinations'!E:E, "No Data")</f>
        <v>No</v>
      </c>
      <c r="G1618" s="28" t="str">
        <f t="array" ref="G1618">_xlfn.XLOOKUP($A1618, 'Medical Examinations'!$A:$A, 'Medical Examinations'!F:F, "No Data")</f>
        <v>No</v>
      </c>
      <c r="H1618" s="28">
        <f t="array" ref="H1618">_xlfn.XLOOKUP($A1618, 'Medical Examinations'!$A:$A, 'Medical Examinations'!G:G, "No Data")</f>
        <v>2</v>
      </c>
      <c r="I1618" s="28" t="str">
        <f t="array" ref="I1618">_xlfn.XLOOKUP($A1618, 'Medical Examinations'!$A:$A, 'Medical Examinations'!H:H, "No Data")</f>
        <v>No</v>
      </c>
      <c r="J1618" s="28" t="str">
        <f t="array" ref="J1618">_xlfn.XLOOKUP($A1618, 'Medical Examinations'!$A:$A, 'Medical Examinations'!I:I, "No Data")</f>
        <v>Underweight</v>
      </c>
      <c r="K1618" s="28" t="str">
        <f t="array" ref="K1618">_xlfn.XLOOKUP($A1618, 'Hospitalisation Details'!$A:$A, 'Hospitalisation Details'!I:I, "No Data")</f>
        <v>tier - 3</v>
      </c>
      <c r="L1618" s="28" t="str">
        <f t="array" ref="L1618">_xlfn.XLOOKUP($A1618, 'Hospitalisation Details'!$A:$A, 'Hospitalisation Details'!J:J, "No Data")</f>
        <v>R1012</v>
      </c>
      <c r="M1618" s="28" t="str">
        <f t="array" ref="M1618">_xlfn.XLOOKUP($A1618, 'Hospitalisation Details'!$A:$A, 'Hospitalisation Details'!E:E, "No Data")</f>
        <v>14/10/70</v>
      </c>
      <c r="N1618" s="28">
        <f t="array" ref="N1618">_xlfn.XLOOKUP($A1618, 'Hospitalisation Details'!$A:$A, 'Hospitalisation Details'!K:K, "No Data")</f>
        <v>52</v>
      </c>
      <c r="O1618" s="33">
        <f t="array" ref="O1618">_xlfn.XLOOKUP($A1618, 'Hospitalisation Details'!$A:$A, 'Hospitalisation Details'!G:G, "No Data")</f>
        <v>6147.12</v>
      </c>
      <c r="P1618" s="28" t="str">
        <f t="array" ref="P1618">_xlfn.XLOOKUP($A1618, 'Hospitalisation Details'!$A:$A, 'Hospitalisation Details'!H:H, "No Data")</f>
        <v>tier - 2</v>
      </c>
    </row>
    <row r="1619">
      <c r="A1619" s="25" t="s">
        <v>4555</v>
      </c>
      <c r="B1619" s="28" t="str">
        <f t="array" ref="B1619">_xlfn.XLOOKUP($A1619, 'Customer Names'!$A:$A, 'Customer Names'!B:B, "No Data")</f>
        <v>Wigginton</v>
      </c>
      <c r="C1619" s="28">
        <f t="array" ref="C1619">_xlfn.XLOOKUP($A1619, 'Medical Examinations'!$A:$A, 'Medical Examinations'!B:B, "No Data")</f>
        <v>18.71</v>
      </c>
      <c r="D1619" s="28">
        <f t="array" ref="D1619">_xlfn.XLOOKUP($A1619, 'Medical Examinations'!$A:$A, 'Medical Examinations'!C:C, "No Data")</f>
        <v>5.29</v>
      </c>
      <c r="E1619" s="28" t="str">
        <f t="array" ref="E1619">_xlfn.XLOOKUP($A1619, 'Medical Examinations'!$A:$A, 'Medical Examinations'!D:D, "No Data")</f>
        <v>yes</v>
      </c>
      <c r="F1619" s="28" t="str">
        <f t="array" ref="F1619">_xlfn.XLOOKUP($A1619, 'Medical Examinations'!$A:$A, 'Medical Examinations'!E:E, "No Data")</f>
        <v>No</v>
      </c>
      <c r="G1619" s="28" t="str">
        <f t="array" ref="G1619">_xlfn.XLOOKUP($A1619, 'Medical Examinations'!$A:$A, 'Medical Examinations'!F:F, "No Data")</f>
        <v>No</v>
      </c>
      <c r="H1619" s="28">
        <f t="array" ref="H1619">_xlfn.XLOOKUP($A1619, 'Medical Examinations'!$A:$A, 'Medical Examinations'!G:G, "No Data")</f>
        <v>0</v>
      </c>
      <c r="I1619" s="28" t="str">
        <f t="array" ref="I1619">_xlfn.XLOOKUP($A1619, 'Medical Examinations'!$A:$A, 'Medical Examinations'!H:H, "No Data")</f>
        <v>No</v>
      </c>
      <c r="J1619" s="28" t="str">
        <f t="array" ref="J1619">_xlfn.XLOOKUP($A1619, 'Medical Examinations'!$A:$A, 'Medical Examinations'!I:I, "No Data")</f>
        <v>Normal Weight</v>
      </c>
      <c r="K1619" s="28" t="str">
        <f t="array" ref="K1619">_xlfn.XLOOKUP($A1619, 'Hospitalisation Details'!$A:$A, 'Hospitalisation Details'!I:I, "No Data")</f>
        <v>tier - 3</v>
      </c>
      <c r="L1619" s="28" t="str">
        <f t="array" ref="L1619">_xlfn.XLOOKUP($A1619, 'Hospitalisation Details'!$A:$A, 'Hospitalisation Details'!J:J, "No Data")</f>
        <v>R1013</v>
      </c>
      <c r="M1619" s="28" t="str">
        <f t="array" ref="M1619">_xlfn.XLOOKUP($A1619, 'Hospitalisation Details'!$A:$A, 'Hospitalisation Details'!E:E, "No Data")</f>
        <v>12/12/76</v>
      </c>
      <c r="N1619" s="28">
        <f t="array" ref="N1619">_xlfn.XLOOKUP($A1619, 'Hospitalisation Details'!$A:$A, 'Hospitalisation Details'!K:K, "No Data")</f>
        <v>46</v>
      </c>
      <c r="O1619" s="33">
        <f t="array" ref="O1619">_xlfn.XLOOKUP($A1619, 'Hospitalisation Details'!$A:$A, 'Hospitalisation Details'!G:G, "No Data")</f>
        <v>6139.14</v>
      </c>
      <c r="P1619" s="28" t="str">
        <f t="array" ref="P1619">_xlfn.XLOOKUP($A1619, 'Hospitalisation Details'!$A:$A, 'Hospitalisation Details'!H:H, "No Data")</f>
        <v>tier - 2</v>
      </c>
    </row>
    <row r="1620">
      <c r="A1620" s="25" t="s">
        <v>4551</v>
      </c>
      <c r="B1620" s="28" t="str">
        <f t="array" ref="B1620">_xlfn.XLOOKUP($A1620, 'Customer Names'!$A:$A, 'Customer Names'!B:B, "No Data")</f>
        <v>Wang</v>
      </c>
      <c r="C1620" s="28">
        <f t="array" ref="C1620">_xlfn.XLOOKUP($A1620, 'Medical Examinations'!$A:$A, 'Medical Examinations'!B:B, "No Data")</f>
        <v>20.61</v>
      </c>
      <c r="D1620" s="28">
        <f t="array" ref="D1620">_xlfn.XLOOKUP($A1620, 'Medical Examinations'!$A:$A, 'Medical Examinations'!C:C, "No Data")</f>
        <v>6.89</v>
      </c>
      <c r="E1620" s="28" t="str">
        <f t="array" ref="E1620">_xlfn.XLOOKUP($A1620, 'Medical Examinations'!$A:$A, 'Medical Examinations'!D:D, "No Data")</f>
        <v>No</v>
      </c>
      <c r="F1620" s="28" t="str">
        <f t="array" ref="F1620">_xlfn.XLOOKUP($A1620, 'Medical Examinations'!$A:$A, 'Medical Examinations'!E:E, "No Data")</f>
        <v>No</v>
      </c>
      <c r="G1620" s="28" t="str">
        <f t="array" ref="G1620">_xlfn.XLOOKUP($A1620, 'Medical Examinations'!$A:$A, 'Medical Examinations'!F:F, "No Data")</f>
        <v>No</v>
      </c>
      <c r="H1620" s="28">
        <f t="array" ref="H1620">_xlfn.XLOOKUP($A1620, 'Medical Examinations'!$A:$A, 'Medical Examinations'!G:G, "No Data")</f>
        <v>0</v>
      </c>
      <c r="I1620" s="28" t="str">
        <f t="array" ref="I1620">_xlfn.XLOOKUP($A1620, 'Medical Examinations'!$A:$A, 'Medical Examinations'!H:H, "No Data")</f>
        <v>No</v>
      </c>
      <c r="J1620" s="28" t="str">
        <f t="array" ref="J1620">_xlfn.XLOOKUP($A1620, 'Medical Examinations'!$A:$A, 'Medical Examinations'!I:I, "No Data")</f>
        <v>Normal Weight</v>
      </c>
      <c r="K1620" s="28" t="str">
        <f t="array" ref="K1620">_xlfn.XLOOKUP($A1620, 'Hospitalisation Details'!$A:$A, 'Hospitalisation Details'!I:I, "No Data")</f>
        <v>tier - 1</v>
      </c>
      <c r="L1620" s="28" t="str">
        <f t="array" ref="L1620">_xlfn.XLOOKUP($A1620, 'Hospitalisation Details'!$A:$A, 'Hospitalisation Details'!J:J, "No Data")</f>
        <v>R1013</v>
      </c>
      <c r="M1620" s="28" t="str">
        <f t="array" ref="M1620">_xlfn.XLOOKUP($A1620, 'Hospitalisation Details'!$A:$A, 'Hospitalisation Details'!E:E, "No Data")</f>
        <v>05/09/78</v>
      </c>
      <c r="N1620" s="28">
        <f t="array" ref="N1620">_xlfn.XLOOKUP($A1620, 'Hospitalisation Details'!$A:$A, 'Hospitalisation Details'!K:K, "No Data")</f>
        <v>44</v>
      </c>
      <c r="O1620" s="33">
        <f t="array" ref="O1620">_xlfn.XLOOKUP($A1620, 'Hospitalisation Details'!$A:$A, 'Hospitalisation Details'!G:G, "No Data")</f>
        <v>6138.58</v>
      </c>
      <c r="P1620" s="28" t="str">
        <f t="array" ref="P1620">_xlfn.XLOOKUP($A1620, 'Hospitalisation Details'!$A:$A, 'Hospitalisation Details'!H:H, "No Data")</f>
        <v>tier - 2</v>
      </c>
    </row>
    <row r="1621">
      <c r="A1621" s="25" t="s">
        <v>4545</v>
      </c>
      <c r="B1621" s="28" t="str">
        <f t="array" ref="B1621">_xlfn.XLOOKUP($A1621, 'Customer Names'!$A:$A, 'Customer Names'!B:B, "No Data")</f>
        <v>Schroeder</v>
      </c>
      <c r="C1621" s="28">
        <f t="array" ref="C1621">_xlfn.XLOOKUP($A1621, 'Medical Examinations'!$A:$A, 'Medical Examinations'!B:B, "No Data")</f>
        <v>15.99</v>
      </c>
      <c r="D1621" s="28">
        <f t="array" ref="D1621">_xlfn.XLOOKUP($A1621, 'Medical Examinations'!$A:$A, 'Medical Examinations'!C:C, "No Data")</f>
        <v>4.57</v>
      </c>
      <c r="E1621" s="28" t="str">
        <f t="array" ref="E1621">_xlfn.XLOOKUP($A1621, 'Medical Examinations'!$A:$A, 'Medical Examinations'!D:D, "No Data")</f>
        <v>yes</v>
      </c>
      <c r="F1621" s="28" t="str">
        <f t="array" ref="F1621">_xlfn.XLOOKUP($A1621, 'Medical Examinations'!$A:$A, 'Medical Examinations'!E:E, "No Data")</f>
        <v>No</v>
      </c>
      <c r="G1621" s="28" t="str">
        <f t="array" ref="G1621">_xlfn.XLOOKUP($A1621, 'Medical Examinations'!$A:$A, 'Medical Examinations'!F:F, "No Data")</f>
        <v>Yes</v>
      </c>
      <c r="H1621" s="28">
        <f t="array" ref="H1621">_xlfn.XLOOKUP($A1621, 'Medical Examinations'!$A:$A, 'Medical Examinations'!G:G, "No Data")</f>
        <v>1</v>
      </c>
      <c r="I1621" s="28" t="str">
        <f t="array" ref="I1621">_xlfn.XLOOKUP($A1621, 'Medical Examinations'!$A:$A, 'Medical Examinations'!H:H, "No Data")</f>
        <v>No</v>
      </c>
      <c r="J1621" s="28" t="str">
        <f t="array" ref="J1621">_xlfn.XLOOKUP($A1621, 'Medical Examinations'!$A:$A, 'Medical Examinations'!I:I, "No Data")</f>
        <v>Underweight</v>
      </c>
      <c r="K1621" s="28" t="str">
        <f t="array" ref="K1621">_xlfn.XLOOKUP($A1621, 'Hospitalisation Details'!$A:$A, 'Hospitalisation Details'!I:I, "No Data")</f>
        <v>tier - 2</v>
      </c>
      <c r="L1621" s="28" t="str">
        <f t="array" ref="L1621">_xlfn.XLOOKUP($A1621, 'Hospitalisation Details'!$A:$A, 'Hospitalisation Details'!J:J, "No Data")</f>
        <v>R1011</v>
      </c>
      <c r="M1621" s="28" t="str">
        <f t="array" ref="M1621">_xlfn.XLOOKUP($A1621, 'Hospitalisation Details'!$A:$A, 'Hospitalisation Details'!E:E, "No Data")</f>
        <v>09/11/69</v>
      </c>
      <c r="N1621" s="28">
        <f t="array" ref="N1621">_xlfn.XLOOKUP($A1621, 'Hospitalisation Details'!$A:$A, 'Hospitalisation Details'!K:K, "No Data")</f>
        <v>53</v>
      </c>
      <c r="O1621" s="33">
        <f t="array" ref="O1621">_xlfn.XLOOKUP($A1621, 'Hospitalisation Details'!$A:$A, 'Hospitalisation Details'!G:G, "No Data")</f>
        <v>6138.5</v>
      </c>
      <c r="P1621" s="28" t="str">
        <f t="array" ref="P1621">_xlfn.XLOOKUP($A1621, 'Hospitalisation Details'!$A:$A, 'Hospitalisation Details'!H:H, "No Data")</f>
        <v>tier - 2</v>
      </c>
    </row>
    <row r="1622">
      <c r="A1622" s="25" t="s">
        <v>4541</v>
      </c>
      <c r="B1622" s="28" t="str">
        <f t="array" ref="B1622">_xlfn.XLOOKUP($A1622, 'Customer Names'!$A:$A, 'Customer Names'!B:B, "No Data")</f>
        <v>Leonard</v>
      </c>
      <c r="C1622" s="28">
        <f t="array" ref="C1622">_xlfn.XLOOKUP($A1622, 'Medical Examinations'!$A:$A, 'Medical Examinations'!B:B, "No Data")</f>
        <v>33.155</v>
      </c>
      <c r="D1622" s="28">
        <f t="array" ref="D1622">_xlfn.XLOOKUP($A1622, 'Medical Examinations'!$A:$A, 'Medical Examinations'!C:C, "No Data")</f>
        <v>4.32</v>
      </c>
      <c r="E1622" s="28" t="str">
        <f t="array" ref="E1622">_xlfn.XLOOKUP($A1622, 'Medical Examinations'!$A:$A, 'Medical Examinations'!D:D, "No Data")</f>
        <v>No</v>
      </c>
      <c r="F1622" s="28" t="str">
        <f t="array" ref="F1622">_xlfn.XLOOKUP($A1622, 'Medical Examinations'!$A:$A, 'Medical Examinations'!E:E, "No Data")</f>
        <v>No</v>
      </c>
      <c r="G1622" s="28" t="str">
        <f t="array" ref="G1622">_xlfn.XLOOKUP($A1622, 'Medical Examinations'!$A:$A, 'Medical Examinations'!F:F, "No Data")</f>
        <v>No</v>
      </c>
      <c r="H1622" s="28">
        <f t="array" ref="H1622">_xlfn.XLOOKUP($A1622, 'Medical Examinations'!$A:$A, 'Medical Examinations'!G:G, "No Data")</f>
        <v>0</v>
      </c>
      <c r="I1622" s="28" t="str">
        <f t="array" ref="I1622">_xlfn.XLOOKUP($A1622, 'Medical Examinations'!$A:$A, 'Medical Examinations'!H:H, "No Data")</f>
        <v>No</v>
      </c>
      <c r="J1622" s="28" t="str">
        <f t="array" ref="J1622">_xlfn.XLOOKUP($A1622, 'Medical Examinations'!$A:$A, 'Medical Examinations'!I:I, "No Data")</f>
        <v>Obesity</v>
      </c>
      <c r="K1622" s="28" t="str">
        <f t="array" ref="K1622">_xlfn.XLOOKUP($A1622, 'Hospitalisation Details'!$A:$A, 'Hospitalisation Details'!I:I, "No Data")</f>
        <v>tier - 3</v>
      </c>
      <c r="L1622" s="28" t="str">
        <f t="array" ref="L1622">_xlfn.XLOOKUP($A1622, 'Hospitalisation Details'!$A:$A, 'Hospitalisation Details'!J:J, "No Data")</f>
        <v>R1012</v>
      </c>
      <c r="M1622" s="28" t="str">
        <f t="array" ref="M1622">_xlfn.XLOOKUP($A1622, 'Hospitalisation Details'!$A:$A, 'Hospitalisation Details'!E:E, "No Data")</f>
        <v>18/08/90</v>
      </c>
      <c r="N1622" s="28">
        <f t="array" ref="N1622">_xlfn.XLOOKUP($A1622, 'Hospitalisation Details'!$A:$A, 'Hospitalisation Details'!K:K, "No Data")</f>
        <v>32</v>
      </c>
      <c r="O1622" s="33">
        <f t="array" ref="O1622">_xlfn.XLOOKUP($A1622, 'Hospitalisation Details'!$A:$A, 'Hospitalisation Details'!G:G, "No Data")</f>
        <v>6128.8</v>
      </c>
      <c r="P1622" s="28" t="str">
        <f t="array" ref="P1622">_xlfn.XLOOKUP($A1622, 'Hospitalisation Details'!$A:$A, 'Hospitalisation Details'!H:H, "No Data")</f>
        <v>tier - 2</v>
      </c>
    </row>
    <row r="1623">
      <c r="A1623" s="25" t="s">
        <v>4537</v>
      </c>
      <c r="B1623" s="28" t="str">
        <f t="array" ref="B1623">_xlfn.XLOOKUP($A1623, 'Customer Names'!$A:$A, 'Customer Names'!B:B, "No Data")</f>
        <v>Tissue</v>
      </c>
      <c r="C1623" s="28">
        <f t="array" ref="C1623">_xlfn.XLOOKUP($A1623, 'Medical Examinations'!$A:$A, 'Medical Examinations'!B:B, "No Data")</f>
        <v>26.22</v>
      </c>
      <c r="D1623" s="28">
        <f t="array" ref="D1623">_xlfn.XLOOKUP($A1623, 'Medical Examinations'!$A:$A, 'Medical Examinations'!C:C, "No Data")</f>
        <v>5.57</v>
      </c>
      <c r="E1623" s="28" t="str">
        <f t="array" ref="E1623">_xlfn.XLOOKUP($A1623, 'Medical Examinations'!$A:$A, 'Medical Examinations'!D:D, "No Data")</f>
        <v>yes</v>
      </c>
      <c r="F1623" s="28" t="str">
        <f t="array" ref="F1623">_xlfn.XLOOKUP($A1623, 'Medical Examinations'!$A:$A, 'Medical Examinations'!E:E, "No Data")</f>
        <v>No</v>
      </c>
      <c r="G1623" s="28" t="str">
        <f t="array" ref="G1623">_xlfn.XLOOKUP($A1623, 'Medical Examinations'!$A:$A, 'Medical Examinations'!F:F, "No Data")</f>
        <v>Yes</v>
      </c>
      <c r="H1623" s="28">
        <f t="array" ref="H1623">_xlfn.XLOOKUP($A1623, 'Medical Examinations'!$A:$A, 'Medical Examinations'!G:G, "No Data")</f>
        <v>1</v>
      </c>
      <c r="I1623" s="28" t="str">
        <f t="array" ref="I1623">_xlfn.XLOOKUP($A1623, 'Medical Examinations'!$A:$A, 'Medical Examinations'!H:H, "No Data")</f>
        <v>No</v>
      </c>
      <c r="J1623" s="28" t="str">
        <f t="array" ref="J1623">_xlfn.XLOOKUP($A1623, 'Medical Examinations'!$A:$A, 'Medical Examinations'!I:I, "No Data")</f>
        <v>Overweight</v>
      </c>
      <c r="K1623" s="28" t="str">
        <f t="array" ref="K1623">_xlfn.XLOOKUP($A1623, 'Hospitalisation Details'!$A:$A, 'Hospitalisation Details'!I:I, "No Data")</f>
        <v>tier - 2</v>
      </c>
      <c r="L1623" s="28" t="str">
        <f t="array" ref="L1623">_xlfn.XLOOKUP($A1623, 'Hospitalisation Details'!$A:$A, 'Hospitalisation Details'!J:J, "No Data")</f>
        <v>R1012</v>
      </c>
      <c r="M1623" s="28" t="str">
        <f t="array" ref="M1623">_xlfn.XLOOKUP($A1623, 'Hospitalisation Details'!$A:$A, 'Hospitalisation Details'!E:E, "No Data")</f>
        <v>16/11/83</v>
      </c>
      <c r="N1623" s="28">
        <f t="array" ref="N1623">_xlfn.XLOOKUP($A1623, 'Hospitalisation Details'!$A:$A, 'Hospitalisation Details'!K:K, "No Data")</f>
        <v>39</v>
      </c>
      <c r="O1623" s="33">
        <f t="array" ref="O1623">_xlfn.XLOOKUP($A1623, 'Hospitalisation Details'!$A:$A, 'Hospitalisation Details'!G:G, "No Data")</f>
        <v>6123.57</v>
      </c>
      <c r="P1623" s="28" t="str">
        <f t="array" ref="P1623">_xlfn.XLOOKUP($A1623, 'Hospitalisation Details'!$A:$A, 'Hospitalisation Details'!H:H, "No Data")</f>
        <v>tier - 3</v>
      </c>
    </row>
    <row r="1624">
      <c r="A1624" s="25" t="s">
        <v>4530</v>
      </c>
      <c r="B1624" s="28" t="str">
        <f t="array" ref="B1624">_xlfn.XLOOKUP($A1624, 'Customer Names'!$A:$A, 'Customer Names'!B:B, "No Data")</f>
        <v>Wood</v>
      </c>
      <c r="C1624" s="28">
        <f t="array" ref="C1624">_xlfn.XLOOKUP($A1624, 'Medical Examinations'!$A:$A, 'Medical Examinations'!B:B, "No Data")</f>
        <v>21.85</v>
      </c>
      <c r="D1624" s="28">
        <f t="array" ref="D1624">_xlfn.XLOOKUP($A1624, 'Medical Examinations'!$A:$A, 'Medical Examinations'!C:C, "No Data")</f>
        <v>5.26</v>
      </c>
      <c r="E1624" s="28" t="str">
        <f t="array" ref="E1624">_xlfn.XLOOKUP($A1624, 'Medical Examinations'!$A:$A, 'Medical Examinations'!D:D, "No Data")</f>
        <v>yes</v>
      </c>
      <c r="F1624" s="28" t="str">
        <f t="array" ref="F1624">_xlfn.XLOOKUP($A1624, 'Medical Examinations'!$A:$A, 'Medical Examinations'!E:E, "No Data")</f>
        <v>No</v>
      </c>
      <c r="G1624" s="28" t="str">
        <f t="array" ref="G1624">_xlfn.XLOOKUP($A1624, 'Medical Examinations'!$A:$A, 'Medical Examinations'!F:F, "No Data")</f>
        <v>Yes</v>
      </c>
      <c r="H1624" s="28">
        <f t="array" ref="H1624">_xlfn.XLOOKUP($A1624, 'Medical Examinations'!$A:$A, 'Medical Examinations'!G:G, "No Data")</f>
        <v>1</v>
      </c>
      <c r="I1624" s="28" t="str">
        <f t="array" ref="I1624">_xlfn.XLOOKUP($A1624, 'Medical Examinations'!$A:$A, 'Medical Examinations'!H:H, "No Data")</f>
        <v>No</v>
      </c>
      <c r="J1624" s="28" t="str">
        <f t="array" ref="J1624">_xlfn.XLOOKUP($A1624, 'Medical Examinations'!$A:$A, 'Medical Examinations'!I:I, "No Data")</f>
        <v>Normal Weight</v>
      </c>
      <c r="K1624" s="28" t="str">
        <f t="array" ref="K1624">_xlfn.XLOOKUP($A1624, 'Hospitalisation Details'!$A:$A, 'Hospitalisation Details'!I:I, "No Data")</f>
        <v>tier - 3</v>
      </c>
      <c r="L1624" s="28" t="str">
        <f t="array" ref="L1624">_xlfn.XLOOKUP($A1624, 'Hospitalisation Details'!$A:$A, 'Hospitalisation Details'!J:J, "No Data")</f>
        <v>R1012</v>
      </c>
      <c r="M1624" s="28" t="str">
        <f t="array" ref="M1624">_xlfn.XLOOKUP($A1624, 'Hospitalisation Details'!$A:$A, 'Hospitalisation Details'!E:E, "No Data")</f>
        <v>11/08/83</v>
      </c>
      <c r="N1624" s="28">
        <f t="array" ref="N1624">_xlfn.XLOOKUP($A1624, 'Hospitalisation Details'!$A:$A, 'Hospitalisation Details'!K:K, "No Data")</f>
        <v>39</v>
      </c>
      <c r="O1624" s="33">
        <f t="array" ref="O1624">_xlfn.XLOOKUP($A1624, 'Hospitalisation Details'!$A:$A, 'Hospitalisation Details'!G:G, "No Data")</f>
        <v>6117.49</v>
      </c>
      <c r="P1624" s="28" t="str">
        <f t="array" ref="P1624">_xlfn.XLOOKUP($A1624, 'Hospitalisation Details'!$A:$A, 'Hospitalisation Details'!H:H, "No Data")</f>
        <v>tier - 2</v>
      </c>
    </row>
    <row r="1625">
      <c r="A1625" s="25" t="s">
        <v>4525</v>
      </c>
      <c r="B1625" s="28" t="str">
        <f t="array" ref="B1625">_xlfn.XLOOKUP($A1625, 'Customer Names'!$A:$A, 'Customer Names'!B:B, "No Data")</f>
        <v>Denny</v>
      </c>
      <c r="C1625" s="28">
        <f t="array" ref="C1625">_xlfn.XLOOKUP($A1625, 'Medical Examinations'!$A:$A, 'Medical Examinations'!B:B, "No Data")</f>
        <v>30.495</v>
      </c>
      <c r="D1625" s="28">
        <f t="array" ref="D1625">_xlfn.XLOOKUP($A1625, 'Medical Examinations'!$A:$A, 'Medical Examinations'!C:C, "No Data")</f>
        <v>6.25</v>
      </c>
      <c r="E1625" s="28" t="str">
        <f t="array" ref="E1625">_xlfn.XLOOKUP($A1625, 'Medical Examinations'!$A:$A, 'Medical Examinations'!D:D, "No Data")</f>
        <v>No</v>
      </c>
      <c r="F1625" s="28" t="str">
        <f t="array" ref="F1625">_xlfn.XLOOKUP($A1625, 'Medical Examinations'!$A:$A, 'Medical Examinations'!E:E, "No Data")</f>
        <v>No</v>
      </c>
      <c r="G1625" s="28" t="str">
        <f t="array" ref="G1625">_xlfn.XLOOKUP($A1625, 'Medical Examinations'!$A:$A, 'Medical Examinations'!F:F, "No Data")</f>
        <v>No</v>
      </c>
      <c r="H1625" s="28">
        <f t="array" ref="H1625">_xlfn.XLOOKUP($A1625, 'Medical Examinations'!$A:$A, 'Medical Examinations'!G:G, "No Data")</f>
        <v>0</v>
      </c>
      <c r="I1625" s="28" t="str">
        <f t="array" ref="I1625">_xlfn.XLOOKUP($A1625, 'Medical Examinations'!$A:$A, 'Medical Examinations'!H:H, "No Data")</f>
        <v>No</v>
      </c>
      <c r="J1625" s="28" t="str">
        <f t="array" ref="J1625">_xlfn.XLOOKUP($A1625, 'Medical Examinations'!$A:$A, 'Medical Examinations'!I:I, "No Data")</f>
        <v>Obesity</v>
      </c>
      <c r="K1625" s="28" t="str">
        <f t="array" ref="K1625">_xlfn.XLOOKUP($A1625, 'Hospitalisation Details'!$A:$A, 'Hospitalisation Details'!I:I, "No Data")</f>
        <v>tier - 2</v>
      </c>
      <c r="L1625" s="28" t="str">
        <f t="array" ref="L1625">_xlfn.XLOOKUP($A1625, 'Hospitalisation Details'!$A:$A, 'Hospitalisation Details'!J:J, "No Data")</f>
        <v>R1024</v>
      </c>
      <c r="M1625" s="28" t="str">
        <f t="array" ref="M1625">_xlfn.XLOOKUP($A1625, 'Hospitalisation Details'!$A:$A, 'Hospitalisation Details'!E:E, "No Data")</f>
        <v>25/07/91</v>
      </c>
      <c r="N1625" s="28">
        <f t="array" ref="N1625">_xlfn.XLOOKUP($A1625, 'Hospitalisation Details'!$A:$A, 'Hospitalisation Details'!K:K, "No Data")</f>
        <v>31</v>
      </c>
      <c r="O1625" s="33">
        <f t="array" ref="O1625">_xlfn.XLOOKUP($A1625, 'Hospitalisation Details'!$A:$A, 'Hospitalisation Details'!G:G, "No Data")</f>
        <v>6113.23</v>
      </c>
      <c r="P1625" s="28" t="str">
        <f t="array" ref="P1625">_xlfn.XLOOKUP($A1625, 'Hospitalisation Details'!$A:$A, 'Hospitalisation Details'!H:H, "No Data")</f>
        <v>tier - 2</v>
      </c>
    </row>
    <row r="1626">
      <c r="A1626" s="25" t="s">
        <v>4520</v>
      </c>
      <c r="B1626" s="28" t="str">
        <f t="array" ref="B1626">_xlfn.XLOOKUP($A1626, 'Customer Names'!$A:$A, 'Customer Names'!B:B, "No Data")</f>
        <v>Testa</v>
      </c>
      <c r="C1626" s="28">
        <f t="array" ref="C1626">_xlfn.XLOOKUP($A1626, 'Medical Examinations'!$A:$A, 'Medical Examinations'!B:B, "No Data")</f>
        <v>34.105</v>
      </c>
      <c r="D1626" s="28">
        <f t="array" ref="D1626">_xlfn.XLOOKUP($A1626, 'Medical Examinations'!$A:$A, 'Medical Examinations'!C:C, "No Data")</f>
        <v>5.67</v>
      </c>
      <c r="E1626" s="28" t="str">
        <f t="array" ref="E1626">_xlfn.XLOOKUP($A1626, 'Medical Examinations'!$A:$A, 'Medical Examinations'!D:D, "No Data")</f>
        <v>yes</v>
      </c>
      <c r="F1626" s="28" t="str">
        <f t="array" ref="F1626">_xlfn.XLOOKUP($A1626, 'Medical Examinations'!$A:$A, 'Medical Examinations'!E:E, "No Data")</f>
        <v>No</v>
      </c>
      <c r="G1626" s="28" t="str">
        <f t="array" ref="G1626">_xlfn.XLOOKUP($A1626, 'Medical Examinations'!$A:$A, 'Medical Examinations'!F:F, "No Data")</f>
        <v>No</v>
      </c>
      <c r="H1626" s="28">
        <f t="array" ref="H1626">_xlfn.XLOOKUP($A1626, 'Medical Examinations'!$A:$A, 'Medical Examinations'!G:G, "No Data")</f>
        <v>0</v>
      </c>
      <c r="I1626" s="28" t="str">
        <f t="array" ref="I1626">_xlfn.XLOOKUP($A1626, 'Medical Examinations'!$A:$A, 'Medical Examinations'!H:H, "No Data")</f>
        <v>No</v>
      </c>
      <c r="J1626" s="28" t="str">
        <f t="array" ref="J1626">_xlfn.XLOOKUP($A1626, 'Medical Examinations'!$A:$A, 'Medical Examinations'!I:I, "No Data")</f>
        <v>Obesity</v>
      </c>
      <c r="K1626" s="28" t="str">
        <f t="array" ref="K1626">_xlfn.XLOOKUP($A1626, 'Hospitalisation Details'!$A:$A, 'Hospitalisation Details'!I:I, "No Data")</f>
        <v>tier - 1</v>
      </c>
      <c r="L1626" s="28" t="str">
        <f t="array" ref="L1626">_xlfn.XLOOKUP($A1626, 'Hospitalisation Details'!$A:$A, 'Hospitalisation Details'!J:J, "No Data")</f>
        <v>R1012</v>
      </c>
      <c r="M1626" s="28" t="str">
        <f t="array" ref="M1626">_xlfn.XLOOKUP($A1626, 'Hospitalisation Details'!$A:$A, 'Hospitalisation Details'!E:E, "No Data")</f>
        <v>21/07/85</v>
      </c>
      <c r="N1626" s="28">
        <f t="array" ref="N1626">_xlfn.XLOOKUP($A1626, 'Hospitalisation Details'!$A:$A, 'Hospitalisation Details'!K:K, "No Data")</f>
        <v>37</v>
      </c>
      <c r="O1626" s="33">
        <f t="array" ref="O1626">_xlfn.XLOOKUP($A1626, 'Hospitalisation Details'!$A:$A, 'Hospitalisation Details'!G:G, "No Data")</f>
        <v>6112.35</v>
      </c>
      <c r="P1626" s="28" t="str">
        <f t="array" ref="P1626">_xlfn.XLOOKUP($A1626, 'Hospitalisation Details'!$A:$A, 'Hospitalisation Details'!H:H, "No Data")</f>
        <v>tier - 2</v>
      </c>
    </row>
    <row r="1627">
      <c r="A1627" s="25" t="s">
        <v>4517</v>
      </c>
      <c r="B1627" s="28" t="str">
        <f t="array" ref="B1627">_xlfn.XLOOKUP($A1627, 'Customer Names'!$A:$A, 'Customer Names'!B:B, "No Data")</f>
        <v>Mooney</v>
      </c>
      <c r="C1627" s="28">
        <f t="array" ref="C1627">_xlfn.XLOOKUP($A1627, 'Medical Examinations'!$A:$A, 'Medical Examinations'!B:B, "No Data")</f>
        <v>32.77</v>
      </c>
      <c r="D1627" s="28">
        <f t="array" ref="D1627">_xlfn.XLOOKUP($A1627, 'Medical Examinations'!$A:$A, 'Medical Examinations'!C:C, "No Data")</f>
        <v>4.42</v>
      </c>
      <c r="E1627" s="28" t="str">
        <f t="array" ref="E1627">_xlfn.XLOOKUP($A1627, 'Medical Examinations'!$A:$A, 'Medical Examinations'!D:D, "No Data")</f>
        <v>yes</v>
      </c>
      <c r="F1627" s="28" t="str">
        <f t="array" ref="F1627">_xlfn.XLOOKUP($A1627, 'Medical Examinations'!$A:$A, 'Medical Examinations'!E:E, "No Data")</f>
        <v>No</v>
      </c>
      <c r="G1627" s="28" t="str">
        <f t="array" ref="G1627">_xlfn.XLOOKUP($A1627, 'Medical Examinations'!$A:$A, 'Medical Examinations'!F:F, "No Data")</f>
        <v>No</v>
      </c>
      <c r="H1627" s="28">
        <f t="array" ref="H1627">_xlfn.XLOOKUP($A1627, 'Medical Examinations'!$A:$A, 'Medical Examinations'!G:G, "No Data")</f>
        <v>1</v>
      </c>
      <c r="I1627" s="28" t="str">
        <f t="array" ref="I1627">_xlfn.XLOOKUP($A1627, 'Medical Examinations'!$A:$A, 'Medical Examinations'!H:H, "No Data")</f>
        <v>No</v>
      </c>
      <c r="J1627" s="28" t="str">
        <f t="array" ref="J1627">_xlfn.XLOOKUP($A1627, 'Medical Examinations'!$A:$A, 'Medical Examinations'!I:I, "No Data")</f>
        <v>Obesity</v>
      </c>
      <c r="K1627" s="28" t="str">
        <f t="array" ref="K1627">_xlfn.XLOOKUP($A1627, 'Hospitalisation Details'!$A:$A, 'Hospitalisation Details'!I:I, "No Data")</f>
        <v>tier - 3</v>
      </c>
      <c r="L1627" s="28" t="str">
        <f t="array" ref="L1627">_xlfn.XLOOKUP($A1627, 'Hospitalisation Details'!$A:$A, 'Hospitalisation Details'!J:J, "No Data")</f>
        <v>R1026</v>
      </c>
      <c r="M1627" s="28" t="str">
        <f t="array" ref="M1627">_xlfn.XLOOKUP($A1627, 'Hospitalisation Details'!$A:$A, 'Hospitalisation Details'!E:E, "No Data")</f>
        <v>09/09/95</v>
      </c>
      <c r="N1627" s="28">
        <f t="array" ref="N1627">_xlfn.XLOOKUP($A1627, 'Hospitalisation Details'!$A:$A, 'Hospitalisation Details'!K:K, "No Data")</f>
        <v>27</v>
      </c>
      <c r="O1627" s="33">
        <f t="array" ref="O1627">_xlfn.XLOOKUP($A1627, 'Hospitalisation Details'!$A:$A, 'Hospitalisation Details'!G:G, "No Data")</f>
        <v>6111.95</v>
      </c>
      <c r="P1627" s="28" t="str">
        <f t="array" ref="P1627">_xlfn.XLOOKUP($A1627, 'Hospitalisation Details'!$A:$A, 'Hospitalisation Details'!H:H, "No Data")</f>
        <v>tier - 2</v>
      </c>
    </row>
    <row r="1628">
      <c r="A1628" s="25" t="s">
        <v>4512</v>
      </c>
      <c r="B1628" s="28" t="str">
        <f t="array" ref="B1628">_xlfn.XLOOKUP($A1628, 'Customer Names'!$A:$A, 'Customer Names'!B:B, "No Data")</f>
        <v>Buchholtz</v>
      </c>
      <c r="C1628" s="28">
        <f t="array" ref="C1628">_xlfn.XLOOKUP($A1628, 'Medical Examinations'!$A:$A, 'Medical Examinations'!B:B, "No Data")</f>
        <v>16.85</v>
      </c>
      <c r="D1628" s="28">
        <f t="array" ref="D1628">_xlfn.XLOOKUP($A1628, 'Medical Examinations'!$A:$A, 'Medical Examinations'!C:C, "No Data")</f>
        <v>11.75</v>
      </c>
      <c r="E1628" s="28" t="str">
        <f t="array" ref="E1628">_xlfn.XLOOKUP($A1628, 'Medical Examinations'!$A:$A, 'Medical Examinations'!D:D, "No Data")</f>
        <v>yes</v>
      </c>
      <c r="F1628" s="28" t="str">
        <f t="array" ref="F1628">_xlfn.XLOOKUP($A1628, 'Medical Examinations'!$A:$A, 'Medical Examinations'!E:E, "No Data")</f>
        <v>No</v>
      </c>
      <c r="G1628" s="28" t="str">
        <f t="array" ref="G1628">_xlfn.XLOOKUP($A1628, 'Medical Examinations'!$A:$A, 'Medical Examinations'!F:F, "No Data")</f>
        <v>No</v>
      </c>
      <c r="H1628" s="28">
        <f t="array" ref="H1628">_xlfn.XLOOKUP($A1628, 'Medical Examinations'!$A:$A, 'Medical Examinations'!G:G, "No Data")</f>
        <v>2</v>
      </c>
      <c r="I1628" s="28" t="str">
        <f t="array" ref="I1628">_xlfn.XLOOKUP($A1628, 'Medical Examinations'!$A:$A, 'Medical Examinations'!H:H, "No Data")</f>
        <v>No</v>
      </c>
      <c r="J1628" s="28" t="str">
        <f t="array" ref="J1628">_xlfn.XLOOKUP($A1628, 'Medical Examinations'!$A:$A, 'Medical Examinations'!I:I, "No Data")</f>
        <v>Underweight</v>
      </c>
      <c r="K1628" s="28" t="str">
        <f t="array" ref="K1628">_xlfn.XLOOKUP($A1628, 'Hospitalisation Details'!$A:$A, 'Hospitalisation Details'!I:I, "No Data")</f>
        <v>tier - 2</v>
      </c>
      <c r="L1628" s="28" t="str">
        <f t="array" ref="L1628">_xlfn.XLOOKUP($A1628, 'Hospitalisation Details'!$A:$A, 'Hospitalisation Details'!J:J, "No Data")</f>
        <v>R1013</v>
      </c>
      <c r="M1628" s="28" t="str">
        <f t="array" ref="M1628">_xlfn.XLOOKUP($A1628, 'Hospitalisation Details'!$A:$A, 'Hospitalisation Details'!E:E, "No Data")</f>
        <v>09/06/70</v>
      </c>
      <c r="N1628" s="28">
        <f t="array" ref="N1628">_xlfn.XLOOKUP($A1628, 'Hospitalisation Details'!$A:$A, 'Hospitalisation Details'!K:K, "No Data")</f>
        <v>52</v>
      </c>
      <c r="O1628" s="33">
        <f t="array" ref="O1628">_xlfn.XLOOKUP($A1628, 'Hospitalisation Details'!$A:$A, 'Hospitalisation Details'!G:G, "No Data")</f>
        <v>6098.38</v>
      </c>
      <c r="P1628" s="28" t="str">
        <f t="array" ref="P1628">_xlfn.XLOOKUP($A1628, 'Hospitalisation Details'!$A:$A, 'Hospitalisation Details'!H:H, "No Data")</f>
        <v>tier - 2</v>
      </c>
    </row>
    <row r="1629">
      <c r="A1629" s="25" t="s">
        <v>4508</v>
      </c>
      <c r="B1629" s="28" t="str">
        <f t="array" ref="B1629">_xlfn.XLOOKUP($A1629, 'Customer Names'!$A:$A, 'Customer Names'!B:B, "No Data")</f>
        <v>Hoyt</v>
      </c>
      <c r="C1629" s="28">
        <f t="array" ref="C1629">_xlfn.XLOOKUP($A1629, 'Medical Examinations'!$A:$A, 'Medical Examinations'!B:B, "No Data")</f>
        <v>34.7</v>
      </c>
      <c r="D1629" s="28">
        <f t="array" ref="D1629">_xlfn.XLOOKUP($A1629, 'Medical Examinations'!$A:$A, 'Medical Examinations'!C:C, "No Data")</f>
        <v>6.06</v>
      </c>
      <c r="E1629" s="28" t="str">
        <f t="array" ref="E1629">_xlfn.XLOOKUP($A1629, 'Medical Examinations'!$A:$A, 'Medical Examinations'!D:D, "No Data")</f>
        <v>No</v>
      </c>
      <c r="F1629" s="28" t="str">
        <f t="array" ref="F1629">_xlfn.XLOOKUP($A1629, 'Medical Examinations'!$A:$A, 'Medical Examinations'!E:E, "No Data")</f>
        <v>No</v>
      </c>
      <c r="G1629" s="28" t="str">
        <f t="array" ref="G1629">_xlfn.XLOOKUP($A1629, 'Medical Examinations'!$A:$A, 'Medical Examinations'!F:F, "No Data")</f>
        <v>No</v>
      </c>
      <c r="H1629" s="28">
        <f t="array" ref="H1629">_xlfn.XLOOKUP($A1629, 'Medical Examinations'!$A:$A, 'Medical Examinations'!G:G, "No Data")</f>
        <v>1</v>
      </c>
      <c r="I1629" s="28" t="str">
        <f t="array" ref="I1629">_xlfn.XLOOKUP($A1629, 'Medical Examinations'!$A:$A, 'Medical Examinations'!H:H, "No Data")</f>
        <v>No</v>
      </c>
      <c r="J1629" s="28" t="str">
        <f t="array" ref="J1629">_xlfn.XLOOKUP($A1629, 'Medical Examinations'!$A:$A, 'Medical Examinations'!I:I, "No Data")</f>
        <v>Obesity</v>
      </c>
      <c r="K1629" s="28" t="str">
        <f t="array" ref="K1629">_xlfn.XLOOKUP($A1629, 'Hospitalisation Details'!$A:$A, 'Hospitalisation Details'!I:I, "No Data")</f>
        <v>tier - 2</v>
      </c>
      <c r="L1629" s="28" t="str">
        <f t="array" ref="L1629">_xlfn.XLOOKUP($A1629, 'Hospitalisation Details'!$A:$A, 'Hospitalisation Details'!J:J, "No Data")</f>
        <v>R1011</v>
      </c>
      <c r="M1629" s="28" t="str">
        <f t="array" ref="M1629">_xlfn.XLOOKUP($A1629, 'Hospitalisation Details'!$A:$A, 'Hospitalisation Details'!E:E, "No Data")</f>
        <v>25/07/84</v>
      </c>
      <c r="N1629" s="28">
        <f t="array" ref="N1629">_xlfn.XLOOKUP($A1629, 'Hospitalisation Details'!$A:$A, 'Hospitalisation Details'!K:K, "No Data")</f>
        <v>38</v>
      </c>
      <c r="O1629" s="33">
        <f t="array" ref="O1629">_xlfn.XLOOKUP($A1629, 'Hospitalisation Details'!$A:$A, 'Hospitalisation Details'!G:G, "No Data")</f>
        <v>6082.41</v>
      </c>
      <c r="P1629" s="28" t="str">
        <f t="array" ref="P1629">_xlfn.XLOOKUP($A1629, 'Hospitalisation Details'!$A:$A, 'Hospitalisation Details'!H:H, "No Data")</f>
        <v>tier - 1</v>
      </c>
    </row>
    <row r="1630">
      <c r="A1630" s="25" t="s">
        <v>4505</v>
      </c>
      <c r="B1630" s="28" t="str">
        <f t="array" ref="B1630">_xlfn.XLOOKUP($A1630, 'Customer Names'!$A:$A, 'Customer Names'!B:B, "No Data")</f>
        <v>Cabada</v>
      </c>
      <c r="C1630" s="28">
        <f t="array" ref="C1630">_xlfn.XLOOKUP($A1630, 'Medical Examinations'!$A:$A, 'Medical Examinations'!B:B, "No Data")</f>
        <v>37.05</v>
      </c>
      <c r="D1630" s="28">
        <f t="array" ref="D1630">_xlfn.XLOOKUP($A1630, 'Medical Examinations'!$A:$A, 'Medical Examinations'!C:C, "No Data")</f>
        <v>5.48</v>
      </c>
      <c r="E1630" s="28" t="str">
        <f t="array" ref="E1630">_xlfn.XLOOKUP($A1630, 'Medical Examinations'!$A:$A, 'Medical Examinations'!D:D, "No Data")</f>
        <v>No</v>
      </c>
      <c r="F1630" s="28" t="str">
        <f t="array" ref="F1630">_xlfn.XLOOKUP($A1630, 'Medical Examinations'!$A:$A, 'Medical Examinations'!E:E, "No Data")</f>
        <v>No</v>
      </c>
      <c r="G1630" s="28" t="str">
        <f t="array" ref="G1630">_xlfn.XLOOKUP($A1630, 'Medical Examinations'!$A:$A, 'Medical Examinations'!F:F, "No Data")</f>
        <v>No</v>
      </c>
      <c r="H1630" s="28">
        <f t="array" ref="H1630">_xlfn.XLOOKUP($A1630, 'Medical Examinations'!$A:$A, 'Medical Examinations'!G:G, "No Data")</f>
        <v>1</v>
      </c>
      <c r="I1630" s="28" t="str">
        <f t="array" ref="I1630">_xlfn.XLOOKUP($A1630, 'Medical Examinations'!$A:$A, 'Medical Examinations'!H:H, "No Data")</f>
        <v>No</v>
      </c>
      <c r="J1630" s="28" t="str">
        <f t="array" ref="J1630">_xlfn.XLOOKUP($A1630, 'Medical Examinations'!$A:$A, 'Medical Examinations'!I:I, "No Data")</f>
        <v>Obesity</v>
      </c>
      <c r="K1630" s="28" t="str">
        <f t="array" ref="K1630">_xlfn.XLOOKUP($A1630, 'Hospitalisation Details'!$A:$A, 'Hospitalisation Details'!I:I, "No Data")</f>
        <v>tier - 1</v>
      </c>
      <c r="L1630" s="28" t="str">
        <f t="array" ref="L1630">_xlfn.XLOOKUP($A1630, 'Hospitalisation Details'!$A:$A, 'Hospitalisation Details'!J:J, "No Data")</f>
        <v>R1014</v>
      </c>
      <c r="M1630" s="28" t="str">
        <f t="array" ref="M1630">_xlfn.XLOOKUP($A1630, 'Hospitalisation Details'!$A:$A, 'Hospitalisation Details'!E:E, "No Data")</f>
        <v>14/10/84</v>
      </c>
      <c r="N1630" s="28">
        <f t="array" ref="N1630">_xlfn.XLOOKUP($A1630, 'Hospitalisation Details'!$A:$A, 'Hospitalisation Details'!K:K, "No Data")</f>
        <v>38</v>
      </c>
      <c r="O1630" s="33">
        <f t="array" ref="O1630">_xlfn.XLOOKUP($A1630, 'Hospitalisation Details'!$A:$A, 'Hospitalisation Details'!G:G, "No Data")</f>
        <v>6079.67</v>
      </c>
      <c r="P1630" s="28" t="str">
        <f t="array" ref="P1630">_xlfn.XLOOKUP($A1630, 'Hospitalisation Details'!$A:$A, 'Hospitalisation Details'!H:H, "No Data")</f>
        <v>tier - 1</v>
      </c>
    </row>
    <row r="1631">
      <c r="A1631" s="25" t="s">
        <v>4501</v>
      </c>
      <c r="B1631" s="28" t="str">
        <f t="array" ref="B1631">_xlfn.XLOOKUP($A1631, 'Customer Names'!$A:$A, 'Customer Names'!B:B, "No Data")</f>
        <v>Lobaciute</v>
      </c>
      <c r="C1631" s="28">
        <f t="array" ref="C1631">_xlfn.XLOOKUP($A1631, 'Medical Examinations'!$A:$A, 'Medical Examinations'!B:B, "No Data")</f>
        <v>18.78</v>
      </c>
      <c r="D1631" s="28">
        <f t="array" ref="D1631">_xlfn.XLOOKUP($A1631, 'Medical Examinations'!$A:$A, 'Medical Examinations'!C:C, "No Data")</f>
        <v>4.45</v>
      </c>
      <c r="E1631" s="28" t="str">
        <f t="array" ref="E1631">_xlfn.XLOOKUP($A1631, 'Medical Examinations'!$A:$A, 'Medical Examinations'!D:D, "No Data")</f>
        <v>No</v>
      </c>
      <c r="F1631" s="28" t="str">
        <f t="array" ref="F1631">_xlfn.XLOOKUP($A1631, 'Medical Examinations'!$A:$A, 'Medical Examinations'!E:E, "No Data")</f>
        <v>No</v>
      </c>
      <c r="G1631" s="28" t="str">
        <f t="array" ref="G1631">_xlfn.XLOOKUP($A1631, 'Medical Examinations'!$A:$A, 'Medical Examinations'!F:F, "No Data")</f>
        <v>Yes</v>
      </c>
      <c r="H1631" s="28">
        <f t="array" ref="H1631">_xlfn.XLOOKUP($A1631, 'Medical Examinations'!$A:$A, 'Medical Examinations'!G:G, "No Data")</f>
        <v>1</v>
      </c>
      <c r="I1631" s="28" t="str">
        <f t="array" ref="I1631">_xlfn.XLOOKUP($A1631, 'Medical Examinations'!$A:$A, 'Medical Examinations'!H:H, "No Data")</f>
        <v>No</v>
      </c>
      <c r="J1631" s="28" t="str">
        <f t="array" ref="J1631">_xlfn.XLOOKUP($A1631, 'Medical Examinations'!$A:$A, 'Medical Examinations'!I:I, "No Data")</f>
        <v>Normal Weight</v>
      </c>
      <c r="K1631" s="28" t="str">
        <f t="array" ref="K1631">_xlfn.XLOOKUP($A1631, 'Hospitalisation Details'!$A:$A, 'Hospitalisation Details'!I:I, "No Data")</f>
        <v>tier - 2</v>
      </c>
      <c r="L1631" s="28" t="str">
        <f t="array" ref="L1631">_xlfn.XLOOKUP($A1631, 'Hospitalisation Details'!$A:$A, 'Hospitalisation Details'!J:J, "No Data")</f>
        <v>R1012</v>
      </c>
      <c r="M1631" s="28" t="str">
        <f t="array" ref="M1631">_xlfn.XLOOKUP($A1631, 'Hospitalisation Details'!$A:$A, 'Hospitalisation Details'!E:E, "No Data")</f>
        <v>08/08/79</v>
      </c>
      <c r="N1631" s="28">
        <f t="array" ref="N1631">_xlfn.XLOOKUP($A1631, 'Hospitalisation Details'!$A:$A, 'Hospitalisation Details'!K:K, "No Data")</f>
        <v>43</v>
      </c>
      <c r="O1631" s="33">
        <f t="array" ref="O1631">_xlfn.XLOOKUP($A1631, 'Hospitalisation Details'!$A:$A, 'Hospitalisation Details'!G:G, "No Data")</f>
        <v>6074.37</v>
      </c>
      <c r="P1631" s="28" t="str">
        <f t="array" ref="P1631">_xlfn.XLOOKUP($A1631, 'Hospitalisation Details'!$A:$A, 'Hospitalisation Details'!H:H, "No Data")</f>
        <v>tier - 2</v>
      </c>
    </row>
    <row r="1632">
      <c r="A1632" s="25" t="s">
        <v>4497</v>
      </c>
      <c r="B1632" s="28" t="str">
        <f t="array" ref="B1632">_xlfn.XLOOKUP($A1632, 'Customer Names'!$A:$A, 'Customer Names'!B:B, "No Data")</f>
        <v>Dawes</v>
      </c>
      <c r="C1632" s="28">
        <f t="array" ref="C1632">_xlfn.XLOOKUP($A1632, 'Medical Examinations'!$A:$A, 'Medical Examinations'!B:B, "No Data")</f>
        <v>28.025</v>
      </c>
      <c r="D1632" s="28">
        <f t="array" ref="D1632">_xlfn.XLOOKUP($A1632, 'Medical Examinations'!$A:$A, 'Medical Examinations'!C:C, "No Data")</f>
        <v>5</v>
      </c>
      <c r="E1632" s="28" t="str">
        <f t="array" ref="E1632">_xlfn.XLOOKUP($A1632, 'Medical Examinations'!$A:$A, 'Medical Examinations'!D:D, "No Data")</f>
        <v>No</v>
      </c>
      <c r="F1632" s="28" t="str">
        <f t="array" ref="F1632">_xlfn.XLOOKUP($A1632, 'Medical Examinations'!$A:$A, 'Medical Examinations'!E:E, "No Data")</f>
        <v>No</v>
      </c>
      <c r="G1632" s="28" t="str">
        <f t="array" ref="G1632">_xlfn.XLOOKUP($A1632, 'Medical Examinations'!$A:$A, 'Medical Examinations'!F:F, "No Data")</f>
        <v>No</v>
      </c>
      <c r="H1632" s="28">
        <f t="array" ref="H1632">_xlfn.XLOOKUP($A1632, 'Medical Examinations'!$A:$A, 'Medical Examinations'!G:G, "No Data")</f>
        <v>1</v>
      </c>
      <c r="I1632" s="28" t="str">
        <f t="array" ref="I1632">_xlfn.XLOOKUP($A1632, 'Medical Examinations'!$A:$A, 'Medical Examinations'!H:H, "No Data")</f>
        <v>No</v>
      </c>
      <c r="J1632" s="28" t="str">
        <f t="array" ref="J1632">_xlfn.XLOOKUP($A1632, 'Medical Examinations'!$A:$A, 'Medical Examinations'!I:I, "No Data")</f>
        <v>Overweight</v>
      </c>
      <c r="K1632" s="28" t="str">
        <f t="array" ref="K1632">_xlfn.XLOOKUP($A1632, 'Hospitalisation Details'!$A:$A, 'Hospitalisation Details'!I:I, "No Data")</f>
        <v>tier - 1</v>
      </c>
      <c r="L1632" s="28" t="str">
        <f t="array" ref="L1632">_xlfn.XLOOKUP($A1632, 'Hospitalisation Details'!$A:$A, 'Hospitalisation Details'!J:J, "No Data")</f>
        <v>R1016</v>
      </c>
      <c r="M1632" s="28" t="str">
        <f t="array" ref="M1632">_xlfn.XLOOKUP($A1632, 'Hospitalisation Details'!$A:$A, 'Hospitalisation Details'!E:E, "No Data")</f>
        <v>21/09/84</v>
      </c>
      <c r="N1632" s="28">
        <f t="array" ref="N1632">_xlfn.XLOOKUP($A1632, 'Hospitalisation Details'!$A:$A, 'Hospitalisation Details'!K:K, "No Data")</f>
        <v>38</v>
      </c>
      <c r="O1632" s="33">
        <f t="array" ref="O1632">_xlfn.XLOOKUP($A1632, 'Hospitalisation Details'!$A:$A, 'Hospitalisation Details'!G:G, "No Data")</f>
        <v>6067.13</v>
      </c>
      <c r="P1632" s="28" t="str">
        <f t="array" ref="P1632">_xlfn.XLOOKUP($A1632, 'Hospitalisation Details'!$A:$A, 'Hospitalisation Details'!H:H, "No Data")</f>
        <v>tier - 3</v>
      </c>
    </row>
    <row r="1633">
      <c r="A1633" s="25" t="s">
        <v>4493</v>
      </c>
      <c r="B1633" s="28" t="str">
        <f t="array" ref="B1633">_xlfn.XLOOKUP($A1633, 'Customer Names'!$A:$A, 'Customer Names'!B:B, "No Data")</f>
        <v>Deppen</v>
      </c>
      <c r="C1633" s="28">
        <f t="array" ref="C1633">_xlfn.XLOOKUP($A1633, 'Medical Examinations'!$A:$A, 'Medical Examinations'!B:B, "No Data")</f>
        <v>35.09</v>
      </c>
      <c r="D1633" s="28">
        <f t="array" ref="D1633">_xlfn.XLOOKUP($A1633, 'Medical Examinations'!$A:$A, 'Medical Examinations'!C:C, "No Data")</f>
        <v>5.84</v>
      </c>
      <c r="E1633" s="28" t="str">
        <f t="array" ref="E1633">_xlfn.XLOOKUP($A1633, 'Medical Examinations'!$A:$A, 'Medical Examinations'!D:D, "No Data")</f>
        <v>No</v>
      </c>
      <c r="F1633" s="28" t="str">
        <f t="array" ref="F1633">_xlfn.XLOOKUP($A1633, 'Medical Examinations'!$A:$A, 'Medical Examinations'!E:E, "No Data")</f>
        <v>No</v>
      </c>
      <c r="G1633" s="28" t="str">
        <f t="array" ref="G1633">_xlfn.XLOOKUP($A1633, 'Medical Examinations'!$A:$A, 'Medical Examinations'!F:F, "No Data")</f>
        <v>No</v>
      </c>
      <c r="H1633" s="28">
        <f t="array" ref="H1633">_xlfn.XLOOKUP($A1633, 'Medical Examinations'!$A:$A, 'Medical Examinations'!G:G, "No Data")</f>
        <v>0</v>
      </c>
      <c r="I1633" s="28" t="str">
        <f t="array" ref="I1633">_xlfn.XLOOKUP($A1633, 'Medical Examinations'!$A:$A, 'Medical Examinations'!H:H, "No Data")</f>
        <v>No</v>
      </c>
      <c r="J1633" s="28" t="str">
        <f t="array" ref="J1633">_xlfn.XLOOKUP($A1633, 'Medical Examinations'!$A:$A, 'Medical Examinations'!I:I, "No Data")</f>
        <v>Obesity</v>
      </c>
      <c r="K1633" s="28" t="str">
        <f t="array" ref="K1633">_xlfn.XLOOKUP($A1633, 'Hospitalisation Details'!$A:$A, 'Hospitalisation Details'!I:I, "No Data")</f>
        <v>tier - 2</v>
      </c>
      <c r="L1633" s="28" t="str">
        <f t="array" ref="L1633">_xlfn.XLOOKUP($A1633, 'Hospitalisation Details'!$A:$A, 'Hospitalisation Details'!J:J, "No Data")</f>
        <v>R1011</v>
      </c>
      <c r="M1633" s="28" t="str">
        <f t="array" ref="M1633">_xlfn.XLOOKUP($A1633, 'Hospitalisation Details'!$A:$A, 'Hospitalisation Details'!E:E, "No Data")</f>
        <v>08/11/94</v>
      </c>
      <c r="N1633" s="28">
        <f t="array" ref="N1633">_xlfn.XLOOKUP($A1633, 'Hospitalisation Details'!$A:$A, 'Hospitalisation Details'!K:K, "No Data")</f>
        <v>28</v>
      </c>
      <c r="O1633" s="33">
        <f t="array" ref="O1633">_xlfn.XLOOKUP($A1633, 'Hospitalisation Details'!$A:$A, 'Hospitalisation Details'!G:G, "No Data")</f>
        <v>6064.37</v>
      </c>
      <c r="P1633" s="28" t="str">
        <f t="array" ref="P1633">_xlfn.XLOOKUP($A1633, 'Hospitalisation Details'!$A:$A, 'Hospitalisation Details'!H:H, "No Data")</f>
        <v>tier - 2</v>
      </c>
    </row>
    <row r="1634">
      <c r="A1634" s="25" t="s">
        <v>4485</v>
      </c>
      <c r="B1634" s="28" t="str">
        <f t="array" ref="B1634">_xlfn.XLOOKUP($A1634, 'Customer Names'!$A:$A, 'Customer Names'!B:B, "No Data")</f>
        <v>Oberndorfer</v>
      </c>
      <c r="C1634" s="28">
        <f t="array" ref="C1634">_xlfn.XLOOKUP($A1634, 'Medical Examinations'!$A:$A, 'Medical Examinations'!B:B, "No Data")</f>
        <v>34.42</v>
      </c>
      <c r="D1634" s="28">
        <f t="array" ref="D1634">_xlfn.XLOOKUP($A1634, 'Medical Examinations'!$A:$A, 'Medical Examinations'!C:C, "No Data")</f>
        <v>5.21</v>
      </c>
      <c r="E1634" s="28" t="str">
        <f t="array" ref="E1634">_xlfn.XLOOKUP($A1634, 'Medical Examinations'!$A:$A, 'Medical Examinations'!D:D, "No Data")</f>
        <v>yes</v>
      </c>
      <c r="F1634" s="28" t="str">
        <f t="array" ref="F1634">_xlfn.XLOOKUP($A1634, 'Medical Examinations'!$A:$A, 'Medical Examinations'!E:E, "No Data")</f>
        <v>No</v>
      </c>
      <c r="G1634" s="28" t="str">
        <f t="array" ref="G1634">_xlfn.XLOOKUP($A1634, 'Medical Examinations'!$A:$A, 'Medical Examinations'!F:F, "No Data")</f>
        <v>No</v>
      </c>
      <c r="H1634" s="28">
        <f t="array" ref="H1634">_xlfn.XLOOKUP($A1634, 'Medical Examinations'!$A:$A, 'Medical Examinations'!G:G, "No Data")</f>
        <v>0</v>
      </c>
      <c r="I1634" s="28" t="str">
        <f t="array" ref="I1634">_xlfn.XLOOKUP($A1634, 'Medical Examinations'!$A:$A, 'Medical Examinations'!H:H, "No Data")</f>
        <v>No</v>
      </c>
      <c r="J1634" s="28" t="str">
        <f t="array" ref="J1634">_xlfn.XLOOKUP($A1634, 'Medical Examinations'!$A:$A, 'Medical Examinations'!I:I, "No Data")</f>
        <v>Obesity</v>
      </c>
      <c r="K1634" s="28" t="str">
        <f t="array" ref="K1634">_xlfn.XLOOKUP($A1634, 'Hospitalisation Details'!$A:$A, 'Hospitalisation Details'!I:I, "No Data")</f>
        <v>tier - 3</v>
      </c>
      <c r="L1634" s="28" t="str">
        <f t="array" ref="L1634">_xlfn.XLOOKUP($A1634, 'Hospitalisation Details'!$A:$A, 'Hospitalisation Details'!J:J, "No Data")</f>
        <v>R1012</v>
      </c>
      <c r="M1634" s="28" t="str">
        <f t="array" ref="M1634">_xlfn.XLOOKUP($A1634, 'Hospitalisation Details'!$A:$A, 'Hospitalisation Details'!E:E, "No Data")</f>
        <v>28/07/96</v>
      </c>
      <c r="N1634" s="28">
        <f t="array" ref="N1634">_xlfn.XLOOKUP($A1634, 'Hospitalisation Details'!$A:$A, 'Hospitalisation Details'!K:K, "No Data")</f>
        <v>26</v>
      </c>
      <c r="O1634" s="33">
        <f t="array" ref="O1634">_xlfn.XLOOKUP($A1634, 'Hospitalisation Details'!$A:$A, 'Hospitalisation Details'!G:G, "No Data")</f>
        <v>6061.8</v>
      </c>
      <c r="P1634" s="28" t="str">
        <f t="array" ref="P1634">_xlfn.XLOOKUP($A1634, 'Hospitalisation Details'!$A:$A, 'Hospitalisation Details'!H:H, "No Data")</f>
        <v>tier - 2</v>
      </c>
    </row>
    <row r="1635">
      <c r="A1635" s="25" t="s">
        <v>4481</v>
      </c>
      <c r="B1635" s="28" t="str">
        <f t="array" ref="B1635">_xlfn.XLOOKUP($A1635, 'Customer Names'!$A:$A, 'Customer Names'!B:B, "No Data")</f>
        <v>Hetherington</v>
      </c>
      <c r="C1635" s="28">
        <f t="array" ref="C1635">_xlfn.XLOOKUP($A1635, 'Medical Examinations'!$A:$A, 'Medical Examinations'!B:B, "No Data")</f>
        <v>29.4</v>
      </c>
      <c r="D1635" s="28">
        <f t="array" ref="D1635">_xlfn.XLOOKUP($A1635, 'Medical Examinations'!$A:$A, 'Medical Examinations'!C:C, "No Data")</f>
        <v>4.26</v>
      </c>
      <c r="E1635" s="28" t="str">
        <f t="array" ref="E1635">_xlfn.XLOOKUP($A1635, 'Medical Examinations'!$A:$A, 'Medical Examinations'!D:D, "No Data")</f>
        <v>No</v>
      </c>
      <c r="F1635" s="28" t="str">
        <f t="array" ref="F1635">_xlfn.XLOOKUP($A1635, 'Medical Examinations'!$A:$A, 'Medical Examinations'!E:E, "No Data")</f>
        <v>No</v>
      </c>
      <c r="G1635" s="28" t="str">
        <f t="array" ref="G1635">_xlfn.XLOOKUP($A1635, 'Medical Examinations'!$A:$A, 'Medical Examinations'!F:F, "No Data")</f>
        <v>No</v>
      </c>
      <c r="H1635" s="28">
        <f t="array" ref="H1635">_xlfn.XLOOKUP($A1635, 'Medical Examinations'!$A:$A, 'Medical Examinations'!G:G, "No Data")</f>
        <v>0</v>
      </c>
      <c r="I1635" s="28" t="str">
        <f t="array" ref="I1635">_xlfn.XLOOKUP($A1635, 'Medical Examinations'!$A:$A, 'Medical Examinations'!H:H, "No Data")</f>
        <v>No</v>
      </c>
      <c r="J1635" s="28" t="str">
        <f t="array" ref="J1635">_xlfn.XLOOKUP($A1635, 'Medical Examinations'!$A:$A, 'Medical Examinations'!I:I, "No Data")</f>
        <v>Overweight</v>
      </c>
      <c r="K1635" s="28" t="str">
        <f t="array" ref="K1635">_xlfn.XLOOKUP($A1635, 'Hospitalisation Details'!$A:$A, 'Hospitalisation Details'!I:I, "No Data")</f>
        <v>tier - 1</v>
      </c>
      <c r="L1635" s="28" t="str">
        <f t="array" ref="L1635">_xlfn.XLOOKUP($A1635, 'Hospitalisation Details'!$A:$A, 'Hospitalisation Details'!J:J, "No Data")</f>
        <v>R1011</v>
      </c>
      <c r="M1635" s="28" t="str">
        <f t="array" ref="M1635">_xlfn.XLOOKUP($A1635, 'Hospitalisation Details'!$A:$A, 'Hospitalisation Details'!E:E, "No Data")</f>
        <v>16/08/89</v>
      </c>
      <c r="N1635" s="28">
        <f t="array" ref="N1635">_xlfn.XLOOKUP($A1635, 'Hospitalisation Details'!$A:$A, 'Hospitalisation Details'!K:K, "No Data")</f>
        <v>33</v>
      </c>
      <c r="O1635" s="33">
        <f t="array" ref="O1635">_xlfn.XLOOKUP($A1635, 'Hospitalisation Details'!$A:$A, 'Hospitalisation Details'!G:G, "No Data")</f>
        <v>6059.17</v>
      </c>
      <c r="P1635" s="28" t="str">
        <f t="array" ref="P1635">_xlfn.XLOOKUP($A1635, 'Hospitalisation Details'!$A:$A, 'Hospitalisation Details'!H:H, "No Data")</f>
        <v>tier - 2</v>
      </c>
    </row>
    <row r="1636">
      <c r="A1636" s="25" t="s">
        <v>4477</v>
      </c>
      <c r="B1636" s="28" t="str">
        <f t="array" ref="B1636">_xlfn.XLOOKUP($A1636, 'Customer Names'!$A:$A, 'Customer Names'!B:B, "No Data")</f>
        <v>Murray</v>
      </c>
      <c r="C1636" s="28">
        <f t="array" ref="C1636">_xlfn.XLOOKUP($A1636, 'Medical Examinations'!$A:$A, 'Medical Examinations'!B:B, "No Data")</f>
        <v>21.31</v>
      </c>
      <c r="D1636" s="28">
        <f t="array" ref="D1636">_xlfn.XLOOKUP($A1636, 'Medical Examinations'!$A:$A, 'Medical Examinations'!C:C, "No Data")</f>
        <v>4.17</v>
      </c>
      <c r="E1636" s="28" t="str">
        <f t="array" ref="E1636">_xlfn.XLOOKUP($A1636, 'Medical Examinations'!$A:$A, 'Medical Examinations'!D:D, "No Data")</f>
        <v>No</v>
      </c>
      <c r="F1636" s="28" t="str">
        <f t="array" ref="F1636">_xlfn.XLOOKUP($A1636, 'Medical Examinations'!$A:$A, 'Medical Examinations'!E:E, "No Data")</f>
        <v>No</v>
      </c>
      <c r="G1636" s="28" t="str">
        <f t="array" ref="G1636">_xlfn.XLOOKUP($A1636, 'Medical Examinations'!$A:$A, 'Medical Examinations'!F:F, "No Data")</f>
        <v>No</v>
      </c>
      <c r="H1636" s="28">
        <f t="array" ref="H1636">_xlfn.XLOOKUP($A1636, 'Medical Examinations'!$A:$A, 'Medical Examinations'!G:G, "No Data")</f>
        <v>0</v>
      </c>
      <c r="I1636" s="28" t="str">
        <f t="array" ref="I1636">_xlfn.XLOOKUP($A1636, 'Medical Examinations'!$A:$A, 'Medical Examinations'!H:H, "No Data")</f>
        <v>No</v>
      </c>
      <c r="J1636" s="28" t="str">
        <f t="array" ref="J1636">_xlfn.XLOOKUP($A1636, 'Medical Examinations'!$A:$A, 'Medical Examinations'!I:I, "No Data")</f>
        <v>Normal Weight</v>
      </c>
      <c r="K1636" s="28" t="str">
        <f t="array" ref="K1636">_xlfn.XLOOKUP($A1636, 'Hospitalisation Details'!$A:$A, 'Hospitalisation Details'!I:I, "No Data")</f>
        <v>tier - 3</v>
      </c>
      <c r="L1636" s="28" t="str">
        <f t="array" ref="L1636">_xlfn.XLOOKUP($A1636, 'Hospitalisation Details'!$A:$A, 'Hospitalisation Details'!J:J, "No Data")</f>
        <v>R1013</v>
      </c>
      <c r="M1636" s="28" t="str">
        <f t="array" ref="M1636">_xlfn.XLOOKUP($A1636, 'Hospitalisation Details'!$A:$A, 'Hospitalisation Details'!E:E, "No Data")</f>
        <v>08/08/80</v>
      </c>
      <c r="N1636" s="28">
        <f t="array" ref="N1636">_xlfn.XLOOKUP($A1636, 'Hospitalisation Details'!$A:$A, 'Hospitalisation Details'!K:K, "No Data")</f>
        <v>42</v>
      </c>
      <c r="O1636" s="33">
        <f t="array" ref="O1636">_xlfn.XLOOKUP($A1636, 'Hospitalisation Details'!$A:$A, 'Hospitalisation Details'!G:G, "No Data")</f>
        <v>5993.62</v>
      </c>
      <c r="P1636" s="28" t="str">
        <f t="array" ref="P1636">_xlfn.XLOOKUP($A1636, 'Hospitalisation Details'!$A:$A, 'Hospitalisation Details'!H:H, "No Data")</f>
        <v>tier - 2</v>
      </c>
    </row>
    <row r="1637">
      <c r="A1637" s="25" t="s">
        <v>4473</v>
      </c>
      <c r="B1637" s="28" t="str">
        <f t="array" ref="B1637">_xlfn.XLOOKUP($A1637, 'Customer Names'!$A:$A, 'Customer Names'!B:B, "No Data")</f>
        <v>Higden</v>
      </c>
      <c r="C1637" s="28">
        <f t="array" ref="C1637">_xlfn.XLOOKUP($A1637, 'Medical Examinations'!$A:$A, 'Medical Examinations'!B:B, "No Data")</f>
        <v>19.56</v>
      </c>
      <c r="D1637" s="28">
        <f t="array" ref="D1637">_xlfn.XLOOKUP($A1637, 'Medical Examinations'!$A:$A, 'Medical Examinations'!C:C, "No Data")</f>
        <v>11.96</v>
      </c>
      <c r="E1637" s="28" t="str">
        <f t="array" ref="E1637">_xlfn.XLOOKUP($A1637, 'Medical Examinations'!$A:$A, 'Medical Examinations'!D:D, "No Data")</f>
        <v>No</v>
      </c>
      <c r="F1637" s="28" t="str">
        <f t="array" ref="F1637">_xlfn.XLOOKUP($A1637, 'Medical Examinations'!$A:$A, 'Medical Examinations'!E:E, "No Data")</f>
        <v>No</v>
      </c>
      <c r="G1637" s="28" t="str">
        <f t="array" ref="G1637">_xlfn.XLOOKUP($A1637, 'Medical Examinations'!$A:$A, 'Medical Examinations'!F:F, "No Data")</f>
        <v>No</v>
      </c>
      <c r="H1637" s="28">
        <f t="array" ref="H1637">_xlfn.XLOOKUP($A1637, 'Medical Examinations'!$A:$A, 'Medical Examinations'!G:G, "No Data")</f>
        <v>0</v>
      </c>
      <c r="I1637" s="28" t="str">
        <f t="array" ref="I1637">_xlfn.XLOOKUP($A1637, 'Medical Examinations'!$A:$A, 'Medical Examinations'!H:H, "No Data")</f>
        <v>No</v>
      </c>
      <c r="J1637" s="28" t="str">
        <f t="array" ref="J1637">_xlfn.XLOOKUP($A1637, 'Medical Examinations'!$A:$A, 'Medical Examinations'!I:I, "No Data")</f>
        <v>Normal Weight</v>
      </c>
      <c r="K1637" s="28" t="str">
        <f t="array" ref="K1637">_xlfn.XLOOKUP($A1637, 'Hospitalisation Details'!$A:$A, 'Hospitalisation Details'!I:I, "No Data")</f>
        <v>tier - 2</v>
      </c>
      <c r="L1637" s="28" t="str">
        <f t="array" ref="L1637">_xlfn.XLOOKUP($A1637, 'Hospitalisation Details'!$A:$A, 'Hospitalisation Details'!J:J, "No Data")</f>
        <v>R1013</v>
      </c>
      <c r="M1637" s="28" t="str">
        <f t="array" ref="M1637">_xlfn.XLOOKUP($A1637, 'Hospitalisation Details'!$A:$A, 'Hospitalisation Details'!E:E, "No Data")</f>
        <v>17/08/74</v>
      </c>
      <c r="N1637" s="28">
        <f t="array" ref="N1637">_xlfn.XLOOKUP($A1637, 'Hospitalisation Details'!$A:$A, 'Hospitalisation Details'!K:K, "No Data")</f>
        <v>48</v>
      </c>
      <c r="O1637" s="33">
        <f t="array" ref="O1637">_xlfn.XLOOKUP($A1637, 'Hospitalisation Details'!$A:$A, 'Hospitalisation Details'!G:G, "No Data")</f>
        <v>5990.17</v>
      </c>
      <c r="P1637" s="28" t="str">
        <f t="array" ref="P1637">_xlfn.XLOOKUP($A1637, 'Hospitalisation Details'!$A:$A, 'Hospitalisation Details'!H:H, "No Data")</f>
        <v>tier - 2</v>
      </c>
    </row>
    <row r="1638">
      <c r="A1638" s="25" t="s">
        <v>4467</v>
      </c>
      <c r="B1638" s="28" t="str">
        <f t="array" ref="B1638">_xlfn.XLOOKUP($A1638, 'Customer Names'!$A:$A, 'Customer Names'!B:B, "No Data")</f>
        <v>Rediger</v>
      </c>
      <c r="C1638" s="28">
        <f t="array" ref="C1638">_xlfn.XLOOKUP($A1638, 'Medical Examinations'!$A:$A, 'Medical Examinations'!B:B, "No Data")</f>
        <v>37.335</v>
      </c>
      <c r="D1638" s="28">
        <f t="array" ref="D1638">_xlfn.XLOOKUP($A1638, 'Medical Examinations'!$A:$A, 'Medical Examinations'!C:C, "No Data")</f>
        <v>6.26</v>
      </c>
      <c r="E1638" s="28" t="str">
        <f t="array" ref="E1638">_xlfn.XLOOKUP($A1638, 'Medical Examinations'!$A:$A, 'Medical Examinations'!D:D, "No Data")</f>
        <v>yes</v>
      </c>
      <c r="F1638" s="28" t="str">
        <f t="array" ref="F1638">_xlfn.XLOOKUP($A1638, 'Medical Examinations'!$A:$A, 'Medical Examinations'!E:E, "No Data")</f>
        <v>No</v>
      </c>
      <c r="G1638" s="28" t="str">
        <f t="array" ref="G1638">_xlfn.XLOOKUP($A1638, 'Medical Examinations'!$A:$A, 'Medical Examinations'!F:F, "No Data")</f>
        <v>No</v>
      </c>
      <c r="H1638" s="28">
        <f t="array" ref="H1638">_xlfn.XLOOKUP($A1638, 'Medical Examinations'!$A:$A, 'Medical Examinations'!G:G, "No Data")</f>
        <v>1</v>
      </c>
      <c r="I1638" s="28" t="str">
        <f t="array" ref="I1638">_xlfn.XLOOKUP($A1638, 'Medical Examinations'!$A:$A, 'Medical Examinations'!H:H, "No Data")</f>
        <v>No</v>
      </c>
      <c r="J1638" s="28" t="str">
        <f t="array" ref="J1638">_xlfn.XLOOKUP($A1638, 'Medical Examinations'!$A:$A, 'Medical Examinations'!I:I, "No Data")</f>
        <v>Obesity</v>
      </c>
      <c r="K1638" s="28" t="str">
        <f t="array" ref="K1638">_xlfn.XLOOKUP($A1638, 'Hospitalisation Details'!$A:$A, 'Hospitalisation Details'!I:I, "No Data")</f>
        <v>tier - 1</v>
      </c>
      <c r="L1638" s="28" t="str">
        <f t="array" ref="L1638">_xlfn.XLOOKUP($A1638, 'Hospitalisation Details'!$A:$A, 'Hospitalisation Details'!J:J, "No Data")</f>
        <v>R1012</v>
      </c>
      <c r="M1638" s="28" t="str">
        <f t="array" ref="M1638">_xlfn.XLOOKUP($A1638, 'Hospitalisation Details'!$A:$A, 'Hospitalisation Details'!E:E, "No Data")</f>
        <v>10/06/88</v>
      </c>
      <c r="N1638" s="28">
        <f t="array" ref="N1638">_xlfn.XLOOKUP($A1638, 'Hospitalisation Details'!$A:$A, 'Hospitalisation Details'!K:K, "No Data")</f>
        <v>34</v>
      </c>
      <c r="O1638" s="33">
        <f t="array" ref="O1638">_xlfn.XLOOKUP($A1638, 'Hospitalisation Details'!$A:$A, 'Hospitalisation Details'!G:G, "No Data")</f>
        <v>5989.52</v>
      </c>
      <c r="P1638" s="28" t="str">
        <f t="array" ref="P1638">_xlfn.XLOOKUP($A1638, 'Hospitalisation Details'!$A:$A, 'Hospitalisation Details'!H:H, "No Data")</f>
        <v>tier - 2</v>
      </c>
    </row>
    <row r="1639">
      <c r="A1639" s="25" t="s">
        <v>4464</v>
      </c>
      <c r="B1639" s="28" t="str">
        <f t="array" ref="B1639">_xlfn.XLOOKUP($A1639, 'Customer Names'!$A:$A, 'Customer Names'!B:B, "No Data")</f>
        <v>Huff</v>
      </c>
      <c r="C1639" s="28">
        <f t="array" ref="C1639">_xlfn.XLOOKUP($A1639, 'Medical Examinations'!$A:$A, 'Medical Examinations'!B:B, "No Data")</f>
        <v>19.53</v>
      </c>
      <c r="D1639" s="28">
        <f t="array" ref="D1639">_xlfn.XLOOKUP($A1639, 'Medical Examinations'!$A:$A, 'Medical Examinations'!C:C, "No Data")</f>
        <v>11.68</v>
      </c>
      <c r="E1639" s="28" t="str">
        <f t="array" ref="E1639">_xlfn.XLOOKUP($A1639, 'Medical Examinations'!$A:$A, 'Medical Examinations'!D:D, "No Data")</f>
        <v>No</v>
      </c>
      <c r="F1639" s="28" t="str">
        <f t="array" ref="F1639">_xlfn.XLOOKUP($A1639, 'Medical Examinations'!$A:$A, 'Medical Examinations'!E:E, "No Data")</f>
        <v>No</v>
      </c>
      <c r="G1639" s="28" t="str">
        <f t="array" ref="G1639">_xlfn.XLOOKUP($A1639, 'Medical Examinations'!$A:$A, 'Medical Examinations'!F:F, "No Data")</f>
        <v>No</v>
      </c>
      <c r="H1639" s="28">
        <f t="array" ref="H1639">_xlfn.XLOOKUP($A1639, 'Medical Examinations'!$A:$A, 'Medical Examinations'!G:G, "No Data")</f>
        <v>0</v>
      </c>
      <c r="I1639" s="28" t="str">
        <f t="array" ref="I1639">_xlfn.XLOOKUP($A1639, 'Medical Examinations'!$A:$A, 'Medical Examinations'!H:H, "No Data")</f>
        <v>No</v>
      </c>
      <c r="J1639" s="28" t="str">
        <f t="array" ref="J1639">_xlfn.XLOOKUP($A1639, 'Medical Examinations'!$A:$A, 'Medical Examinations'!I:I, "No Data")</f>
        <v>Normal Weight</v>
      </c>
      <c r="K1639" s="28" t="str">
        <f t="array" ref="K1639">_xlfn.XLOOKUP($A1639, 'Hospitalisation Details'!$A:$A, 'Hospitalisation Details'!I:I, "No Data")</f>
        <v>tier - 3</v>
      </c>
      <c r="L1639" s="28" t="str">
        <f t="array" ref="L1639">_xlfn.XLOOKUP($A1639, 'Hospitalisation Details'!$A:$A, 'Hospitalisation Details'!J:J, "No Data")</f>
        <v>R1013</v>
      </c>
      <c r="M1639" s="28" t="str">
        <f t="array" ref="M1639">_xlfn.XLOOKUP($A1639, 'Hospitalisation Details'!$A:$A, 'Hospitalisation Details'!E:E, "No Data")</f>
        <v>11/10/74</v>
      </c>
      <c r="N1639" s="28">
        <f t="array" ref="N1639">_xlfn.XLOOKUP($A1639, 'Hospitalisation Details'!$A:$A, 'Hospitalisation Details'!K:K, "No Data")</f>
        <v>48</v>
      </c>
      <c r="O1639" s="33">
        <f t="array" ref="O1639">_xlfn.XLOOKUP($A1639, 'Hospitalisation Details'!$A:$A, 'Hospitalisation Details'!G:G, "No Data")</f>
        <v>5979.99</v>
      </c>
      <c r="P1639" s="28" t="str">
        <f t="array" ref="P1639">_xlfn.XLOOKUP($A1639, 'Hospitalisation Details'!$A:$A, 'Hospitalisation Details'!H:H, "No Data")</f>
        <v>tier - 2</v>
      </c>
    </row>
    <row r="1640">
      <c r="A1640" s="25" t="s">
        <v>4460</v>
      </c>
      <c r="B1640" s="28" t="str">
        <f t="array" ref="B1640">_xlfn.XLOOKUP($A1640, 'Customer Names'!$A:$A, 'Customer Names'!B:B, "No Data")</f>
        <v>Hall</v>
      </c>
      <c r="C1640" s="28">
        <f t="array" ref="C1640">_xlfn.XLOOKUP($A1640, 'Medical Examinations'!$A:$A, 'Medical Examinations'!B:B, "No Data")</f>
        <v>34.1</v>
      </c>
      <c r="D1640" s="28">
        <f t="array" ref="D1640">_xlfn.XLOOKUP($A1640, 'Medical Examinations'!$A:$A, 'Medical Examinations'!C:C, "No Data")</f>
        <v>5.16</v>
      </c>
      <c r="E1640" s="28" t="str">
        <f t="array" ref="E1640">_xlfn.XLOOKUP($A1640, 'Medical Examinations'!$A:$A, 'Medical Examinations'!D:D, "No Data")</f>
        <v>No</v>
      </c>
      <c r="F1640" s="28" t="str">
        <f t="array" ref="F1640">_xlfn.XLOOKUP($A1640, 'Medical Examinations'!$A:$A, 'Medical Examinations'!E:E, "No Data")</f>
        <v>No</v>
      </c>
      <c r="G1640" s="28" t="str">
        <f t="array" ref="G1640">_xlfn.XLOOKUP($A1640, 'Medical Examinations'!$A:$A, 'Medical Examinations'!F:F, "No Data")</f>
        <v>No</v>
      </c>
      <c r="H1640" s="28">
        <f t="array" ref="H1640">_xlfn.XLOOKUP($A1640, 'Medical Examinations'!$A:$A, 'Medical Examinations'!G:G, "No Data")</f>
        <v>0</v>
      </c>
      <c r="I1640" s="28" t="str">
        <f t="array" ref="I1640">_xlfn.XLOOKUP($A1640, 'Medical Examinations'!$A:$A, 'Medical Examinations'!H:H, "No Data")</f>
        <v>No</v>
      </c>
      <c r="J1640" s="28" t="str">
        <f t="array" ref="J1640">_xlfn.XLOOKUP($A1640, 'Medical Examinations'!$A:$A, 'Medical Examinations'!I:I, "No Data")</f>
        <v>Obesity</v>
      </c>
      <c r="K1640" s="28" t="str">
        <f t="array" ref="K1640">_xlfn.XLOOKUP($A1640, 'Hospitalisation Details'!$A:$A, 'Hospitalisation Details'!I:I, "No Data")</f>
        <v>tier - 2</v>
      </c>
      <c r="L1640" s="28" t="str">
        <f t="array" ref="L1640">_xlfn.XLOOKUP($A1640, 'Hospitalisation Details'!$A:$A, 'Hospitalisation Details'!J:J, "No Data")</f>
        <v>R1011</v>
      </c>
      <c r="M1640" s="28" t="str">
        <f t="array" ref="M1640">_xlfn.XLOOKUP($A1640, 'Hospitalisation Details'!$A:$A, 'Hospitalisation Details'!E:E, "No Data")</f>
        <v>10/10/80</v>
      </c>
      <c r="N1640" s="28">
        <f t="array" ref="N1640">_xlfn.XLOOKUP($A1640, 'Hospitalisation Details'!$A:$A, 'Hospitalisation Details'!K:K, "No Data")</f>
        <v>42</v>
      </c>
      <c r="O1640" s="33">
        <f t="array" ref="O1640">_xlfn.XLOOKUP($A1640, 'Hospitalisation Details'!$A:$A, 'Hospitalisation Details'!G:G, "No Data")</f>
        <v>5979.73</v>
      </c>
      <c r="P1640" s="28" t="str">
        <f t="array" ref="P1640">_xlfn.XLOOKUP($A1640, 'Hospitalisation Details'!$A:$A, 'Hospitalisation Details'!H:H, "No Data")</f>
        <v>tier - 2</v>
      </c>
    </row>
    <row r="1641">
      <c r="A1641" s="25" t="s">
        <v>4454</v>
      </c>
      <c r="B1641" s="28" t="str">
        <f t="array" ref="B1641">_xlfn.XLOOKUP($A1641, 'Customer Names'!$A:$A, 'Customer Names'!B:B, "No Data")</f>
        <v>Grise</v>
      </c>
      <c r="C1641" s="28">
        <f t="array" ref="C1641">_xlfn.XLOOKUP($A1641, 'Medical Examinations'!$A:$A, 'Medical Examinations'!B:B, "No Data")</f>
        <v>16.5</v>
      </c>
      <c r="D1641" s="28">
        <f t="array" ref="D1641">_xlfn.XLOOKUP($A1641, 'Medical Examinations'!$A:$A, 'Medical Examinations'!C:C, "No Data")</f>
        <v>6.9</v>
      </c>
      <c r="E1641" s="28" t="str">
        <f t="array" ref="E1641">_xlfn.XLOOKUP($A1641, 'Medical Examinations'!$A:$A, 'Medical Examinations'!D:D, "No Data")</f>
        <v>yes</v>
      </c>
      <c r="F1641" s="28" t="str">
        <f t="array" ref="F1641">_xlfn.XLOOKUP($A1641, 'Medical Examinations'!$A:$A, 'Medical Examinations'!E:E, "No Data")</f>
        <v>No</v>
      </c>
      <c r="G1641" s="28" t="str">
        <f t="array" ref="G1641">_xlfn.XLOOKUP($A1641, 'Medical Examinations'!$A:$A, 'Medical Examinations'!F:F, "No Data")</f>
        <v>No</v>
      </c>
      <c r="H1641" s="28">
        <f t="array" ref="H1641">_xlfn.XLOOKUP($A1641, 'Medical Examinations'!$A:$A, 'Medical Examinations'!G:G, "No Data")</f>
        <v>2</v>
      </c>
      <c r="I1641" s="28" t="str">
        <f t="array" ref="I1641">_xlfn.XLOOKUP($A1641, 'Medical Examinations'!$A:$A, 'Medical Examinations'!H:H, "No Data")</f>
        <v>No</v>
      </c>
      <c r="J1641" s="28" t="str">
        <f t="array" ref="J1641">_xlfn.XLOOKUP($A1641, 'Medical Examinations'!$A:$A, 'Medical Examinations'!I:I, "No Data")</f>
        <v>Underweight</v>
      </c>
      <c r="K1641" s="28" t="str">
        <f t="array" ref="K1641">_xlfn.XLOOKUP($A1641, 'Hospitalisation Details'!$A:$A, 'Hospitalisation Details'!I:I, "No Data")</f>
        <v>tier - 3</v>
      </c>
      <c r="L1641" s="28" t="str">
        <f t="array" ref="L1641">_xlfn.XLOOKUP($A1641, 'Hospitalisation Details'!$A:$A, 'Hospitalisation Details'!J:J, "No Data")</f>
        <v>R1013</v>
      </c>
      <c r="M1641" s="28" t="str">
        <f t="array" ref="M1641">_xlfn.XLOOKUP($A1641, 'Hospitalisation Details'!$A:$A, 'Hospitalisation Details'!E:E, "No Data")</f>
        <v>25/06/70</v>
      </c>
      <c r="N1641" s="28">
        <f t="array" ref="N1641">_xlfn.XLOOKUP($A1641, 'Hospitalisation Details'!$A:$A, 'Hospitalisation Details'!K:K, "No Data")</f>
        <v>52</v>
      </c>
      <c r="O1641" s="33">
        <f t="array" ref="O1641">_xlfn.XLOOKUP($A1641, 'Hospitalisation Details'!$A:$A, 'Hospitalisation Details'!G:G, "No Data")</f>
        <v>5979.66</v>
      </c>
      <c r="P1641" s="28" t="str">
        <f t="array" ref="P1641">_xlfn.XLOOKUP($A1641, 'Hospitalisation Details'!$A:$A, 'Hospitalisation Details'!H:H, "No Data")</f>
        <v>tier - 2</v>
      </c>
    </row>
    <row r="1642">
      <c r="A1642" s="25" t="s">
        <v>4449</v>
      </c>
      <c r="B1642" s="28" t="str">
        <f t="array" ref="B1642">_xlfn.XLOOKUP($A1642, 'Customer Names'!$A:$A, 'Customer Names'!B:B, "No Data")</f>
        <v>Skildum</v>
      </c>
      <c r="C1642" s="28">
        <f t="array" ref="C1642">_xlfn.XLOOKUP($A1642, 'Medical Examinations'!$A:$A, 'Medical Examinations'!B:B, "No Data")</f>
        <v>30.69</v>
      </c>
      <c r="D1642" s="28">
        <f t="array" ref="D1642">_xlfn.XLOOKUP($A1642, 'Medical Examinations'!$A:$A, 'Medical Examinations'!C:C, "No Data")</f>
        <v>4.83</v>
      </c>
      <c r="E1642" s="28" t="str">
        <f t="array" ref="E1642">_xlfn.XLOOKUP($A1642, 'Medical Examinations'!$A:$A, 'Medical Examinations'!D:D, "No Data")</f>
        <v>No</v>
      </c>
      <c r="F1642" s="28" t="str">
        <f t="array" ref="F1642">_xlfn.XLOOKUP($A1642, 'Medical Examinations'!$A:$A, 'Medical Examinations'!E:E, "No Data")</f>
        <v>No</v>
      </c>
      <c r="G1642" s="28" t="str">
        <f t="array" ref="G1642">_xlfn.XLOOKUP($A1642, 'Medical Examinations'!$A:$A, 'Medical Examinations'!F:F, "No Data")</f>
        <v>No</v>
      </c>
      <c r="H1642" s="28">
        <f t="array" ref="H1642">_xlfn.XLOOKUP($A1642, 'Medical Examinations'!$A:$A, 'Medical Examinations'!G:G, "No Data")</f>
        <v>1</v>
      </c>
      <c r="I1642" s="28" t="str">
        <f t="array" ref="I1642">_xlfn.XLOOKUP($A1642, 'Medical Examinations'!$A:$A, 'Medical Examinations'!H:H, "No Data")</f>
        <v>No</v>
      </c>
      <c r="J1642" s="28" t="str">
        <f t="array" ref="J1642">_xlfn.XLOOKUP($A1642, 'Medical Examinations'!$A:$A, 'Medical Examinations'!I:I, "No Data")</f>
        <v>Obesity</v>
      </c>
      <c r="K1642" s="28" t="str">
        <f t="array" ref="K1642">_xlfn.XLOOKUP($A1642, 'Hospitalisation Details'!$A:$A, 'Hospitalisation Details'!I:I, "No Data")</f>
        <v>tier - 2</v>
      </c>
      <c r="L1642" s="28" t="str">
        <f t="array" ref="L1642">_xlfn.XLOOKUP($A1642, 'Hospitalisation Details'!$A:$A, 'Hospitalisation Details'!J:J, "No Data")</f>
        <v>R1013</v>
      </c>
      <c r="M1642" s="28" t="str">
        <f t="array" ref="M1642">_xlfn.XLOOKUP($A1642, 'Hospitalisation Details'!$A:$A, 'Hospitalisation Details'!E:E, "No Data")</f>
        <v>11/11/84</v>
      </c>
      <c r="N1642" s="28">
        <f t="array" ref="N1642">_xlfn.XLOOKUP($A1642, 'Hospitalisation Details'!$A:$A, 'Hospitalisation Details'!K:K, "No Data")</f>
        <v>38</v>
      </c>
      <c r="O1642" s="33">
        <f t="array" ref="O1642">_xlfn.XLOOKUP($A1642, 'Hospitalisation Details'!$A:$A, 'Hospitalisation Details'!G:G, "No Data")</f>
        <v>5976.83</v>
      </c>
      <c r="P1642" s="28" t="str">
        <f t="array" ref="P1642">_xlfn.XLOOKUP($A1642, 'Hospitalisation Details'!$A:$A, 'Hospitalisation Details'!H:H, "No Data")</f>
        <v>tier - 2</v>
      </c>
    </row>
    <row r="1643">
      <c r="A1643" s="25" t="s">
        <v>4443</v>
      </c>
      <c r="B1643" s="28" t="str">
        <f t="array" ref="B1643">_xlfn.XLOOKUP($A1643, 'Customer Names'!$A:$A, 'Customer Names'!B:B, "No Data")</f>
        <v>Yang</v>
      </c>
      <c r="C1643" s="28">
        <f t="array" ref="C1643">_xlfn.XLOOKUP($A1643, 'Medical Examinations'!$A:$A, 'Medical Examinations'!B:B, "No Data")</f>
        <v>28.93</v>
      </c>
      <c r="D1643" s="28">
        <f t="array" ref="D1643">_xlfn.XLOOKUP($A1643, 'Medical Examinations'!$A:$A, 'Medical Examinations'!C:C, "No Data")</f>
        <v>4.87</v>
      </c>
      <c r="E1643" s="28" t="str">
        <f t="array" ref="E1643">_xlfn.XLOOKUP($A1643, 'Medical Examinations'!$A:$A, 'Medical Examinations'!D:D, "No Data")</f>
        <v>No</v>
      </c>
      <c r="F1643" s="28" t="str">
        <f t="array" ref="F1643">_xlfn.XLOOKUP($A1643, 'Medical Examinations'!$A:$A, 'Medical Examinations'!E:E, "No Data")</f>
        <v>No</v>
      </c>
      <c r="G1643" s="28" t="str">
        <f t="array" ref="G1643">_xlfn.XLOOKUP($A1643, 'Medical Examinations'!$A:$A, 'Medical Examinations'!F:F, "No Data")</f>
        <v>No</v>
      </c>
      <c r="H1643" s="28">
        <f t="array" ref="H1643">_xlfn.XLOOKUP($A1643, 'Medical Examinations'!$A:$A, 'Medical Examinations'!G:G, "No Data")</f>
        <v>1</v>
      </c>
      <c r="I1643" s="28" t="str">
        <f t="array" ref="I1643">_xlfn.XLOOKUP($A1643, 'Medical Examinations'!$A:$A, 'Medical Examinations'!H:H, "No Data")</f>
        <v>No</v>
      </c>
      <c r="J1643" s="28" t="str">
        <f t="array" ref="J1643">_xlfn.XLOOKUP($A1643, 'Medical Examinations'!$A:$A, 'Medical Examinations'!I:I, "No Data")</f>
        <v>Overweight</v>
      </c>
      <c r="K1643" s="28" t="str">
        <f t="array" ref="K1643">_xlfn.XLOOKUP($A1643, 'Hospitalisation Details'!$A:$A, 'Hospitalisation Details'!I:I, "No Data")</f>
        <v>tier - 3</v>
      </c>
      <c r="L1643" s="28" t="str">
        <f t="array" ref="L1643">_xlfn.XLOOKUP($A1643, 'Hospitalisation Details'!$A:$A, 'Hospitalisation Details'!J:J, "No Data")</f>
        <v>R1013</v>
      </c>
      <c r="M1643" s="28" t="str">
        <f t="array" ref="M1643">_xlfn.XLOOKUP($A1643, 'Hospitalisation Details'!$A:$A, 'Hospitalisation Details'!E:E, "No Data")</f>
        <v>19/09/84</v>
      </c>
      <c r="N1643" s="28">
        <f t="array" ref="N1643">_xlfn.XLOOKUP($A1643, 'Hospitalisation Details'!$A:$A, 'Hospitalisation Details'!K:K, "No Data")</f>
        <v>38</v>
      </c>
      <c r="O1643" s="33">
        <f t="array" ref="O1643">_xlfn.XLOOKUP($A1643, 'Hospitalisation Details'!$A:$A, 'Hospitalisation Details'!G:G, "No Data")</f>
        <v>5974.38</v>
      </c>
      <c r="P1643" s="28" t="str">
        <f t="array" ref="P1643">_xlfn.XLOOKUP($A1643, 'Hospitalisation Details'!$A:$A, 'Hospitalisation Details'!H:H, "No Data")</f>
        <v>tier - 2</v>
      </c>
    </row>
    <row r="1644">
      <c r="A1644" s="25" t="s">
        <v>4438</v>
      </c>
      <c r="B1644" s="28" t="str">
        <f t="array" ref="B1644">_xlfn.XLOOKUP($A1644, 'Customer Names'!$A:$A, 'Customer Names'!B:B, "No Data")</f>
        <v>Fischer-Daly</v>
      </c>
      <c r="C1644" s="28">
        <f t="array" ref="C1644">_xlfn.XLOOKUP($A1644, 'Medical Examinations'!$A:$A, 'Medical Examinations'!B:B, "No Data")</f>
        <v>38.9</v>
      </c>
      <c r="D1644" s="28">
        <f t="array" ref="D1644">_xlfn.XLOOKUP($A1644, 'Medical Examinations'!$A:$A, 'Medical Examinations'!C:C, "No Data")</f>
        <v>4.28</v>
      </c>
      <c r="E1644" s="28" t="str">
        <f t="array" ref="E1644">_xlfn.XLOOKUP($A1644, 'Medical Examinations'!$A:$A, 'Medical Examinations'!D:D, "No Data")</f>
        <v>No</v>
      </c>
      <c r="F1644" s="28" t="str">
        <f t="array" ref="F1644">_xlfn.XLOOKUP($A1644, 'Medical Examinations'!$A:$A, 'Medical Examinations'!E:E, "No Data")</f>
        <v>No</v>
      </c>
      <c r="G1644" s="28" t="str">
        <f t="array" ref="G1644">_xlfn.XLOOKUP($A1644, 'Medical Examinations'!$A:$A, 'Medical Examinations'!F:F, "No Data")</f>
        <v>No</v>
      </c>
      <c r="H1644" s="28">
        <f t="array" ref="H1644">_xlfn.XLOOKUP($A1644, 'Medical Examinations'!$A:$A, 'Medical Examinations'!G:G, "No Data")</f>
        <v>0</v>
      </c>
      <c r="I1644" s="28" t="str">
        <f t="array" ref="I1644">_xlfn.XLOOKUP($A1644, 'Medical Examinations'!$A:$A, 'Medical Examinations'!H:H, "No Data")</f>
        <v>No</v>
      </c>
      <c r="J1644" s="28" t="str">
        <f t="array" ref="J1644">_xlfn.XLOOKUP($A1644, 'Medical Examinations'!$A:$A, 'Medical Examinations'!I:I, "No Data")</f>
        <v>Obesity</v>
      </c>
      <c r="K1644" s="28" t="str">
        <f t="array" ref="K1644">_xlfn.XLOOKUP($A1644, 'Hospitalisation Details'!$A:$A, 'Hospitalisation Details'!I:I, "No Data")</f>
        <v>tier - 2</v>
      </c>
      <c r="L1644" s="28" t="str">
        <f t="array" ref="L1644">_xlfn.XLOOKUP($A1644, 'Hospitalisation Details'!$A:$A, 'Hospitalisation Details'!J:J, "No Data")</f>
        <v>R1011</v>
      </c>
      <c r="M1644" s="28" t="str">
        <f t="array" ref="M1644">_xlfn.XLOOKUP($A1644, 'Hospitalisation Details'!$A:$A, 'Hospitalisation Details'!E:E, "No Data")</f>
        <v>22/07/89</v>
      </c>
      <c r="N1644" s="28">
        <f t="array" ref="N1644">_xlfn.XLOOKUP($A1644, 'Hospitalisation Details'!$A:$A, 'Hospitalisation Details'!K:K, "No Data")</f>
        <v>33</v>
      </c>
      <c r="O1644" s="33">
        <f t="array" ref="O1644">_xlfn.XLOOKUP($A1644, 'Hospitalisation Details'!$A:$A, 'Hospitalisation Details'!G:G, "No Data")</f>
        <v>5972.38</v>
      </c>
      <c r="P1644" s="28" t="str">
        <f t="array" ref="P1644">_xlfn.XLOOKUP($A1644, 'Hospitalisation Details'!$A:$A, 'Hospitalisation Details'!H:H, "No Data")</f>
        <v>tier - 2</v>
      </c>
    </row>
    <row r="1645">
      <c r="A1645" s="25" t="s">
        <v>4433</v>
      </c>
      <c r="B1645" s="28" t="str">
        <f t="array" ref="B1645">_xlfn.XLOOKUP($A1645, 'Customer Names'!$A:$A, 'Customer Names'!B:B, "No Data")</f>
        <v>Asher</v>
      </c>
      <c r="C1645" s="28">
        <f t="array" ref="C1645">_xlfn.XLOOKUP($A1645, 'Medical Examinations'!$A:$A, 'Medical Examinations'!B:B, "No Data")</f>
        <v>26.9</v>
      </c>
      <c r="D1645" s="28">
        <f t="array" ref="D1645">_xlfn.XLOOKUP($A1645, 'Medical Examinations'!$A:$A, 'Medical Examinations'!C:C, "No Data")</f>
        <v>4.07</v>
      </c>
      <c r="E1645" s="28" t="str">
        <f t="array" ref="E1645">_xlfn.XLOOKUP($A1645, 'Medical Examinations'!$A:$A, 'Medical Examinations'!D:D, "No Data")</f>
        <v>No</v>
      </c>
      <c r="F1645" s="28" t="str">
        <f t="array" ref="F1645">_xlfn.XLOOKUP($A1645, 'Medical Examinations'!$A:$A, 'Medical Examinations'!E:E, "No Data")</f>
        <v>No</v>
      </c>
      <c r="G1645" s="28" t="str">
        <f t="array" ref="G1645">_xlfn.XLOOKUP($A1645, 'Medical Examinations'!$A:$A, 'Medical Examinations'!F:F, "No Data")</f>
        <v>No</v>
      </c>
      <c r="H1645" s="28">
        <f t="array" ref="H1645">_xlfn.XLOOKUP($A1645, 'Medical Examinations'!$A:$A, 'Medical Examinations'!G:G, "No Data")</f>
        <v>0</v>
      </c>
      <c r="I1645" s="28" t="str">
        <f t="array" ref="I1645">_xlfn.XLOOKUP($A1645, 'Medical Examinations'!$A:$A, 'Medical Examinations'!H:H, "No Data")</f>
        <v>No</v>
      </c>
      <c r="J1645" s="28" t="str">
        <f t="array" ref="J1645">_xlfn.XLOOKUP($A1645, 'Medical Examinations'!$A:$A, 'Medical Examinations'!I:I, "No Data")</f>
        <v>Overweight</v>
      </c>
      <c r="K1645" s="28" t="str">
        <f t="array" ref="K1645">_xlfn.XLOOKUP($A1645, 'Hospitalisation Details'!$A:$A, 'Hospitalisation Details'!I:I, "No Data")</f>
        <v>tier - 3</v>
      </c>
      <c r="L1645" s="28" t="str">
        <f t="array" ref="L1645">_xlfn.XLOOKUP($A1645, 'Hospitalisation Details'!$A:$A, 'Hospitalisation Details'!J:J, "No Data")</f>
        <v>R1011</v>
      </c>
      <c r="M1645" s="28" t="str">
        <f t="array" ref="M1645">_xlfn.XLOOKUP($A1645, 'Hospitalisation Details'!$A:$A, 'Hospitalisation Details'!E:E, "No Data")</f>
        <v>21/07/80</v>
      </c>
      <c r="N1645" s="28">
        <f t="array" ref="N1645">_xlfn.XLOOKUP($A1645, 'Hospitalisation Details'!$A:$A, 'Hospitalisation Details'!K:K, "No Data")</f>
        <v>42</v>
      </c>
      <c r="O1645" s="33">
        <f t="array" ref="O1645">_xlfn.XLOOKUP($A1645, 'Hospitalisation Details'!$A:$A, 'Hospitalisation Details'!G:G, "No Data")</f>
        <v>5969.72</v>
      </c>
      <c r="P1645" s="28" t="str">
        <f t="array" ref="P1645">_xlfn.XLOOKUP($A1645, 'Hospitalisation Details'!$A:$A, 'Hospitalisation Details'!H:H, "No Data")</f>
        <v>tier - 3</v>
      </c>
    </row>
    <row r="1646">
      <c r="A1646" s="25" t="s">
        <v>4428</v>
      </c>
      <c r="B1646" s="28" t="str">
        <f t="array" ref="B1646">_xlfn.XLOOKUP($A1646, 'Customer Names'!$A:$A, 'Customer Names'!B:B, "No Data")</f>
        <v>Zhou</v>
      </c>
      <c r="C1646" s="28">
        <f t="array" ref="C1646">_xlfn.XLOOKUP($A1646, 'Medical Examinations'!$A:$A, 'Medical Examinations'!B:B, "No Data")</f>
        <v>24.86</v>
      </c>
      <c r="D1646" s="28">
        <f t="array" ref="D1646">_xlfn.XLOOKUP($A1646, 'Medical Examinations'!$A:$A, 'Medical Examinations'!C:C, "No Data")</f>
        <v>6.23</v>
      </c>
      <c r="E1646" s="28" t="str">
        <f t="array" ref="E1646">_xlfn.XLOOKUP($A1646, 'Medical Examinations'!$A:$A, 'Medical Examinations'!D:D, "No Data")</f>
        <v>No</v>
      </c>
      <c r="F1646" s="28" t="str">
        <f t="array" ref="F1646">_xlfn.XLOOKUP($A1646, 'Medical Examinations'!$A:$A, 'Medical Examinations'!E:E, "No Data")</f>
        <v>No</v>
      </c>
      <c r="G1646" s="28" t="str">
        <f t="array" ref="G1646">_xlfn.XLOOKUP($A1646, 'Medical Examinations'!$A:$A, 'Medical Examinations'!F:F, "No Data")</f>
        <v>No</v>
      </c>
      <c r="H1646" s="28">
        <f t="array" ref="H1646">_xlfn.XLOOKUP($A1646, 'Medical Examinations'!$A:$A, 'Medical Examinations'!G:G, "No Data")</f>
        <v>0</v>
      </c>
      <c r="I1646" s="28" t="str">
        <f t="array" ref="I1646">_xlfn.XLOOKUP($A1646, 'Medical Examinations'!$A:$A, 'Medical Examinations'!H:H, "No Data")</f>
        <v>No</v>
      </c>
      <c r="J1646" s="28" t="str">
        <f t="array" ref="J1646">_xlfn.XLOOKUP($A1646, 'Medical Examinations'!$A:$A, 'Medical Examinations'!I:I, "No Data")</f>
        <v>Normal Weight</v>
      </c>
      <c r="K1646" s="28" t="str">
        <f t="array" ref="K1646">_xlfn.XLOOKUP($A1646, 'Hospitalisation Details'!$A:$A, 'Hospitalisation Details'!I:I, "No Data")</f>
        <v>tier - 3</v>
      </c>
      <c r="L1646" s="28" t="str">
        <f t="array" ref="L1646">_xlfn.XLOOKUP($A1646, 'Hospitalisation Details'!$A:$A, 'Hospitalisation Details'!J:J, "No Data")</f>
        <v>R1013</v>
      </c>
      <c r="M1646" s="28" t="str">
        <f t="array" ref="M1646">_xlfn.XLOOKUP($A1646, 'Hospitalisation Details'!$A:$A, 'Hospitalisation Details'!E:E, "No Data")</f>
        <v>05/08/80</v>
      </c>
      <c r="N1646" s="28">
        <f t="array" ref="N1646">_xlfn.XLOOKUP($A1646, 'Hospitalisation Details'!$A:$A, 'Hospitalisation Details'!K:K, "No Data")</f>
        <v>42</v>
      </c>
      <c r="O1646" s="33">
        <f t="array" ref="O1646">_xlfn.XLOOKUP($A1646, 'Hospitalisation Details'!$A:$A, 'Hospitalisation Details'!G:G, "No Data")</f>
        <v>5966.89</v>
      </c>
      <c r="P1646" s="28" t="str">
        <f t="array" ref="P1646">_xlfn.XLOOKUP($A1646, 'Hospitalisation Details'!$A:$A, 'Hospitalisation Details'!H:H, "No Data")</f>
        <v>tier - 2</v>
      </c>
    </row>
    <row r="1647">
      <c r="A1647" s="25" t="s">
        <v>4424</v>
      </c>
      <c r="B1647" s="28" t="str">
        <f t="array" ref="B1647">_xlfn.XLOOKUP($A1647, 'Customer Names'!$A:$A, 'Customer Names'!B:B, "No Data")</f>
        <v>Rudder</v>
      </c>
      <c r="C1647" s="28">
        <f t="array" ref="C1647">_xlfn.XLOOKUP($A1647, 'Medical Examinations'!$A:$A, 'Medical Examinations'!B:B, "No Data")</f>
        <v>39.14</v>
      </c>
      <c r="D1647" s="28">
        <f t="array" ref="D1647">_xlfn.XLOOKUP($A1647, 'Medical Examinations'!$A:$A, 'Medical Examinations'!C:C, "No Data")</f>
        <v>6.24</v>
      </c>
      <c r="E1647" s="28" t="str">
        <f t="array" ref="E1647">_xlfn.XLOOKUP($A1647, 'Medical Examinations'!$A:$A, 'Medical Examinations'!D:D, "No Data")</f>
        <v>No</v>
      </c>
      <c r="F1647" s="28" t="str">
        <f t="array" ref="F1647">_xlfn.XLOOKUP($A1647, 'Medical Examinations'!$A:$A, 'Medical Examinations'!E:E, "No Data")</f>
        <v>yes</v>
      </c>
      <c r="G1647" s="28" t="str">
        <f t="array" ref="G1647">_xlfn.XLOOKUP($A1647, 'Medical Examinations'!$A:$A, 'Medical Examinations'!F:F, "No Data")</f>
        <v>No</v>
      </c>
      <c r="H1647" s="28">
        <f t="array" ref="H1647">_xlfn.XLOOKUP($A1647, 'Medical Examinations'!$A:$A, 'Medical Examinations'!G:G, "No Data")</f>
        <v>1</v>
      </c>
      <c r="I1647" s="28" t="str">
        <f t="array" ref="I1647">_xlfn.XLOOKUP($A1647, 'Medical Examinations'!$A:$A, 'Medical Examinations'!H:H, "No Data")</f>
        <v>No</v>
      </c>
      <c r="J1647" s="28" t="str">
        <f t="array" ref="J1647">_xlfn.XLOOKUP($A1647, 'Medical Examinations'!$A:$A, 'Medical Examinations'!I:I, "No Data")</f>
        <v>Obesity</v>
      </c>
      <c r="K1647" s="28" t="str">
        <f t="array" ref="K1647">_xlfn.XLOOKUP($A1647, 'Hospitalisation Details'!$A:$A, 'Hospitalisation Details'!I:I, "No Data")</f>
        <v>tier - 1</v>
      </c>
      <c r="L1647" s="28" t="str">
        <f t="array" ref="L1647">_xlfn.XLOOKUP($A1647, 'Hospitalisation Details'!$A:$A, 'Hospitalisation Details'!J:J, "No Data")</f>
        <v>R1026</v>
      </c>
      <c r="M1647" s="28" t="str">
        <f t="array" ref="M1647">_xlfn.XLOOKUP($A1647, 'Hospitalisation Details'!$A:$A, 'Hospitalisation Details'!E:E, "No Data")</f>
        <v>15/07/04</v>
      </c>
      <c r="N1647" s="28">
        <f t="array" ref="N1647">_xlfn.XLOOKUP($A1647, 'Hospitalisation Details'!$A:$A, 'Hospitalisation Details'!K:K, "No Data")</f>
        <v>18</v>
      </c>
      <c r="O1647" s="33">
        <f t="array" ref="O1647">_xlfn.XLOOKUP($A1647, 'Hospitalisation Details'!$A:$A, 'Hospitalisation Details'!G:G, "No Data")</f>
        <v>5960.91</v>
      </c>
      <c r="P1647" s="28" t="str">
        <f t="array" ref="P1647">_xlfn.XLOOKUP($A1647, 'Hospitalisation Details'!$A:$A, 'Hospitalisation Details'!H:H, "No Data")</f>
        <v>tier - 2</v>
      </c>
    </row>
    <row r="1648">
      <c r="A1648" s="25" t="s">
        <v>4421</v>
      </c>
      <c r="B1648" s="28" t="str">
        <f t="array" ref="B1648">_xlfn.XLOOKUP($A1648, 'Customer Names'!$A:$A, 'Customer Names'!B:B, "No Data")</f>
        <v>Cartmell</v>
      </c>
      <c r="C1648" s="28">
        <f t="array" ref="C1648">_xlfn.XLOOKUP($A1648, 'Medical Examinations'!$A:$A, 'Medical Examinations'!B:B, "No Data")</f>
        <v>39.8</v>
      </c>
      <c r="D1648" s="28">
        <f t="array" ref="D1648">_xlfn.XLOOKUP($A1648, 'Medical Examinations'!$A:$A, 'Medical Examinations'!C:C, "No Data")</f>
        <v>6.17</v>
      </c>
      <c r="E1648" s="28" t="str">
        <f t="array" ref="E1648">_xlfn.XLOOKUP($A1648, 'Medical Examinations'!$A:$A, 'Medical Examinations'!D:D, "No Data")</f>
        <v>No</v>
      </c>
      <c r="F1648" s="28" t="str">
        <f t="array" ref="F1648">_xlfn.XLOOKUP($A1648, 'Medical Examinations'!$A:$A, 'Medical Examinations'!E:E, "No Data")</f>
        <v>No</v>
      </c>
      <c r="G1648" s="28" t="str">
        <f t="array" ref="G1648">_xlfn.XLOOKUP($A1648, 'Medical Examinations'!$A:$A, 'Medical Examinations'!F:F, "No Data")</f>
        <v>Yes</v>
      </c>
      <c r="H1648" s="28">
        <f t="array" ref="H1648">_xlfn.XLOOKUP($A1648, 'Medical Examinations'!$A:$A, 'Medical Examinations'!G:G, "No Data")</f>
        <v>1</v>
      </c>
      <c r="I1648" s="28" t="str">
        <f t="array" ref="I1648">_xlfn.XLOOKUP($A1648, 'Medical Examinations'!$A:$A, 'Medical Examinations'!H:H, "No Data")</f>
        <v>No</v>
      </c>
      <c r="J1648" s="28" t="str">
        <f t="array" ref="J1648">_xlfn.XLOOKUP($A1648, 'Medical Examinations'!$A:$A, 'Medical Examinations'!I:I, "No Data")</f>
        <v>Obesity</v>
      </c>
      <c r="K1648" s="28" t="str">
        <f t="array" ref="K1648">_xlfn.XLOOKUP($A1648, 'Hospitalisation Details'!$A:$A, 'Hospitalisation Details'!I:I, "No Data")</f>
        <v>tier - 2</v>
      </c>
      <c r="L1648" s="28" t="str">
        <f t="array" ref="L1648">_xlfn.XLOOKUP($A1648, 'Hospitalisation Details'!$A:$A, 'Hospitalisation Details'!J:J, "No Data")</f>
        <v>R1012</v>
      </c>
      <c r="M1648" s="28" t="str">
        <f t="array" ref="M1648">_xlfn.XLOOKUP($A1648, 'Hospitalisation Details'!$A:$A, 'Hospitalisation Details'!E:E, "No Data")</f>
        <v>13/08/03</v>
      </c>
      <c r="N1648" s="28">
        <f t="array" ref="N1648">_xlfn.XLOOKUP($A1648, 'Hospitalisation Details'!$A:$A, 'Hospitalisation Details'!K:K, "No Data")</f>
        <v>19</v>
      </c>
      <c r="O1648" s="33">
        <f t="array" ref="O1648">_xlfn.XLOOKUP($A1648, 'Hospitalisation Details'!$A:$A, 'Hospitalisation Details'!G:G, "No Data")</f>
        <v>5957.35</v>
      </c>
      <c r="P1648" s="28" t="str">
        <f t="array" ref="P1648">_xlfn.XLOOKUP($A1648, 'Hospitalisation Details'!$A:$A, 'Hospitalisation Details'!H:H, "No Data")</f>
        <v>tier - 2</v>
      </c>
    </row>
    <row r="1649">
      <c r="A1649" s="25" t="s">
        <v>4418</v>
      </c>
      <c r="B1649" s="28" t="str">
        <f t="array" ref="B1649">_xlfn.XLOOKUP($A1649, 'Customer Names'!$A:$A, 'Customer Names'!B:B, "No Data")</f>
        <v>Troland</v>
      </c>
      <c r="C1649" s="28">
        <f t="array" ref="C1649">_xlfn.XLOOKUP($A1649, 'Medical Examinations'!$A:$A, 'Medical Examinations'!B:B, "No Data")</f>
        <v>34.32</v>
      </c>
      <c r="D1649" s="28">
        <f t="array" ref="D1649">_xlfn.XLOOKUP($A1649, 'Medical Examinations'!$A:$A, 'Medical Examinations'!C:C, "No Data")</f>
        <v>5.16</v>
      </c>
      <c r="E1649" s="28" t="str">
        <f t="array" ref="E1649">_xlfn.XLOOKUP($A1649, 'Medical Examinations'!$A:$A, 'Medical Examinations'!D:D, "No Data")</f>
        <v>No</v>
      </c>
      <c r="F1649" s="28" t="str">
        <f t="array" ref="F1649">_xlfn.XLOOKUP($A1649, 'Medical Examinations'!$A:$A, 'Medical Examinations'!E:E, "No Data")</f>
        <v>No</v>
      </c>
      <c r="G1649" s="28" t="str">
        <f t="array" ref="G1649">_xlfn.XLOOKUP($A1649, 'Medical Examinations'!$A:$A, 'Medical Examinations'!F:F, "No Data")</f>
        <v>No</v>
      </c>
      <c r="H1649" s="28">
        <f t="array" ref="H1649">_xlfn.XLOOKUP($A1649, 'Medical Examinations'!$A:$A, 'Medical Examinations'!G:G, "No Data")</f>
        <v>1</v>
      </c>
      <c r="I1649" s="28" t="str">
        <f t="array" ref="I1649">_xlfn.XLOOKUP($A1649, 'Medical Examinations'!$A:$A, 'Medical Examinations'!H:H, "No Data")</f>
        <v>No</v>
      </c>
      <c r="J1649" s="28" t="str">
        <f t="array" ref="J1649">_xlfn.XLOOKUP($A1649, 'Medical Examinations'!$A:$A, 'Medical Examinations'!I:I, "No Data")</f>
        <v>Obesity</v>
      </c>
      <c r="K1649" s="28" t="str">
        <f t="array" ref="K1649">_xlfn.XLOOKUP($A1649, 'Hospitalisation Details'!$A:$A, 'Hospitalisation Details'!I:I, "No Data")</f>
        <v>tier - 2</v>
      </c>
      <c r="L1649" s="28" t="str">
        <f t="array" ref="L1649">_xlfn.XLOOKUP($A1649, 'Hospitalisation Details'!$A:$A, 'Hospitalisation Details'!J:J, "No Data")</f>
        <v>R1013</v>
      </c>
      <c r="M1649" s="28" t="str">
        <f t="array" ref="M1649">_xlfn.XLOOKUP($A1649, 'Hospitalisation Details'!$A:$A, 'Hospitalisation Details'!E:E, "No Data")</f>
        <v>14/07/87</v>
      </c>
      <c r="N1649" s="28">
        <f t="array" ref="N1649">_xlfn.XLOOKUP($A1649, 'Hospitalisation Details'!$A:$A, 'Hospitalisation Details'!K:K, "No Data")</f>
        <v>35</v>
      </c>
      <c r="O1649" s="33">
        <f t="array" ref="O1649">_xlfn.XLOOKUP($A1649, 'Hospitalisation Details'!$A:$A, 'Hospitalisation Details'!G:G, "No Data")</f>
        <v>5934.38</v>
      </c>
      <c r="P1649" s="28" t="str">
        <f t="array" ref="P1649">_xlfn.XLOOKUP($A1649, 'Hospitalisation Details'!$A:$A, 'Hospitalisation Details'!H:H, "No Data")</f>
        <v>tier - 3</v>
      </c>
    </row>
    <row r="1650">
      <c r="A1650" s="25" t="s">
        <v>4416</v>
      </c>
      <c r="B1650" s="28" t="str">
        <f t="array" ref="B1650">_xlfn.XLOOKUP($A1650, 'Customer Names'!$A:$A, 'Customer Names'!B:B, "No Data")</f>
        <v>Hall</v>
      </c>
      <c r="C1650" s="28">
        <f t="array" ref="C1650">_xlfn.XLOOKUP($A1650, 'Medical Examinations'!$A:$A, 'Medical Examinations'!B:B, "No Data")</f>
        <v>32.51</v>
      </c>
      <c r="D1650" s="28">
        <f t="array" ref="D1650">_xlfn.XLOOKUP($A1650, 'Medical Examinations'!$A:$A, 'Medical Examinations'!C:C, "No Data")</f>
        <v>4.3</v>
      </c>
      <c r="E1650" s="28" t="str">
        <f t="array" ref="E1650">_xlfn.XLOOKUP($A1650, 'Medical Examinations'!$A:$A, 'Medical Examinations'!D:D, "No Data")</f>
        <v>No</v>
      </c>
      <c r="F1650" s="28" t="str">
        <f t="array" ref="F1650">_xlfn.XLOOKUP($A1650, 'Medical Examinations'!$A:$A, 'Medical Examinations'!E:E, "No Data")</f>
        <v>No</v>
      </c>
      <c r="G1650" s="28" t="str">
        <f t="array" ref="G1650">_xlfn.XLOOKUP($A1650, 'Medical Examinations'!$A:$A, 'Medical Examinations'!F:F, "No Data")</f>
        <v>No</v>
      </c>
      <c r="H1650" s="28">
        <f t="array" ref="H1650">_xlfn.XLOOKUP($A1650, 'Medical Examinations'!$A:$A, 'Medical Examinations'!G:G, "No Data")</f>
        <v>0</v>
      </c>
      <c r="I1650" s="28" t="str">
        <f t="array" ref="I1650">_xlfn.XLOOKUP($A1650, 'Medical Examinations'!$A:$A, 'Medical Examinations'!H:H, "No Data")</f>
        <v>No</v>
      </c>
      <c r="J1650" s="28" t="str">
        <f t="array" ref="J1650">_xlfn.XLOOKUP($A1650, 'Medical Examinations'!$A:$A, 'Medical Examinations'!I:I, "No Data")</f>
        <v>Obesity</v>
      </c>
      <c r="K1650" s="28" t="str">
        <f t="array" ref="K1650">_xlfn.XLOOKUP($A1650, 'Hospitalisation Details'!$A:$A, 'Hospitalisation Details'!I:I, "No Data")</f>
        <v>tier - 1</v>
      </c>
      <c r="L1650" s="28" t="str">
        <f t="array" ref="L1650">_xlfn.XLOOKUP($A1650, 'Hospitalisation Details'!$A:$A, 'Hospitalisation Details'!J:J, "No Data")</f>
        <v>R1012</v>
      </c>
      <c r="M1650" s="28" t="str">
        <f t="array" ref="M1650">_xlfn.XLOOKUP($A1650, 'Hospitalisation Details'!$A:$A, 'Hospitalisation Details'!E:E, "No Data")</f>
        <v>30/07/94</v>
      </c>
      <c r="N1650" s="28">
        <f t="array" ref="N1650">_xlfn.XLOOKUP($A1650, 'Hospitalisation Details'!$A:$A, 'Hospitalisation Details'!K:K, "No Data")</f>
        <v>28</v>
      </c>
      <c r="O1650" s="33">
        <f t="array" ref="O1650">_xlfn.XLOOKUP($A1650, 'Hospitalisation Details'!$A:$A, 'Hospitalisation Details'!G:G, "No Data")</f>
        <v>5927.65</v>
      </c>
      <c r="P1650" s="28" t="str">
        <f t="array" ref="P1650">_xlfn.XLOOKUP($A1650, 'Hospitalisation Details'!$A:$A, 'Hospitalisation Details'!H:H, "No Data")</f>
        <v>tier - 2</v>
      </c>
    </row>
    <row r="1651">
      <c r="A1651" s="25" t="s">
        <v>4411</v>
      </c>
      <c r="B1651" s="28" t="str">
        <f t="array" ref="B1651">_xlfn.XLOOKUP($A1651, 'Customer Names'!$A:$A, 'Customer Names'!B:B, "No Data")</f>
        <v>Berg</v>
      </c>
      <c r="C1651" s="28">
        <f t="array" ref="C1651">_xlfn.XLOOKUP($A1651, 'Medical Examinations'!$A:$A, 'Medical Examinations'!B:B, "No Data")</f>
        <v>30.71</v>
      </c>
      <c r="D1651" s="28">
        <f t="array" ref="D1651">_xlfn.XLOOKUP($A1651, 'Medical Examinations'!$A:$A, 'Medical Examinations'!C:C, "No Data")</f>
        <v>6.14</v>
      </c>
      <c r="E1651" s="28" t="str">
        <f t="array" ref="E1651">_xlfn.XLOOKUP($A1651, 'Medical Examinations'!$A:$A, 'Medical Examinations'!D:D, "No Data")</f>
        <v>No</v>
      </c>
      <c r="F1651" s="28" t="str">
        <f t="array" ref="F1651">_xlfn.XLOOKUP($A1651, 'Medical Examinations'!$A:$A, 'Medical Examinations'!E:E, "No Data")</f>
        <v>No</v>
      </c>
      <c r="G1651" s="28" t="str">
        <f t="array" ref="G1651">_xlfn.XLOOKUP($A1651, 'Medical Examinations'!$A:$A, 'Medical Examinations'!F:F, "No Data")</f>
        <v>Yes</v>
      </c>
      <c r="H1651" s="28">
        <f t="array" ref="H1651">_xlfn.XLOOKUP($A1651, 'Medical Examinations'!$A:$A, 'Medical Examinations'!G:G, "No Data")</f>
        <v>1</v>
      </c>
      <c r="I1651" s="28" t="str">
        <f t="array" ref="I1651">_xlfn.XLOOKUP($A1651, 'Medical Examinations'!$A:$A, 'Medical Examinations'!H:H, "No Data")</f>
        <v>No</v>
      </c>
      <c r="J1651" s="28" t="str">
        <f t="array" ref="J1651">_xlfn.XLOOKUP($A1651, 'Medical Examinations'!$A:$A, 'Medical Examinations'!I:I, "No Data")</f>
        <v>Obesity</v>
      </c>
      <c r="K1651" s="28" t="str">
        <f t="array" ref="K1651">_xlfn.XLOOKUP($A1651, 'Hospitalisation Details'!$A:$A, 'Hospitalisation Details'!I:I, "No Data")</f>
        <v>tier - 2</v>
      </c>
      <c r="L1651" s="28" t="str">
        <f t="array" ref="L1651">_xlfn.XLOOKUP($A1651, 'Hospitalisation Details'!$A:$A, 'Hospitalisation Details'!J:J, "No Data")</f>
        <v>R1025</v>
      </c>
      <c r="M1651" s="28" t="str">
        <f t="array" ref="M1651">_xlfn.XLOOKUP($A1651, 'Hospitalisation Details'!$A:$A, 'Hospitalisation Details'!E:E, "No Data")</f>
        <v>13/08/93</v>
      </c>
      <c r="N1651" s="28">
        <f t="array" ref="N1651">_xlfn.XLOOKUP($A1651, 'Hospitalisation Details'!$A:$A, 'Hospitalisation Details'!K:K, "No Data")</f>
        <v>29</v>
      </c>
      <c r="O1651" s="33">
        <f t="array" ref="O1651">_xlfn.XLOOKUP($A1651, 'Hospitalisation Details'!$A:$A, 'Hospitalisation Details'!G:G, "No Data")</f>
        <v>5926.93</v>
      </c>
      <c r="P1651" s="28" t="str">
        <f t="array" ref="P1651">_xlfn.XLOOKUP($A1651, 'Hospitalisation Details'!$A:$A, 'Hospitalisation Details'!H:H, "No Data")</f>
        <v>tier - 2</v>
      </c>
    </row>
    <row r="1652">
      <c r="A1652" s="25" t="s">
        <v>4407</v>
      </c>
      <c r="B1652" s="28" t="str">
        <f t="array" ref="B1652">_xlfn.XLOOKUP($A1652, 'Customer Names'!$A:$A, 'Customer Names'!B:B, "No Data")</f>
        <v>Engtrakul</v>
      </c>
      <c r="C1652" s="28">
        <f t="array" ref="C1652">_xlfn.XLOOKUP($A1652, 'Medical Examinations'!$A:$A, 'Medical Examinations'!B:B, "No Data")</f>
        <v>28.9</v>
      </c>
      <c r="D1652" s="28">
        <f t="array" ref="D1652">_xlfn.XLOOKUP($A1652, 'Medical Examinations'!$A:$A, 'Medical Examinations'!C:C, "No Data")</f>
        <v>5.36</v>
      </c>
      <c r="E1652" s="28" t="str">
        <f t="array" ref="E1652">_xlfn.XLOOKUP($A1652, 'Medical Examinations'!$A:$A, 'Medical Examinations'!D:D, "No Data")</f>
        <v>No</v>
      </c>
      <c r="F1652" s="28" t="str">
        <f t="array" ref="F1652">_xlfn.XLOOKUP($A1652, 'Medical Examinations'!$A:$A, 'Medical Examinations'!E:E, "No Data")</f>
        <v>No</v>
      </c>
      <c r="G1652" s="28" t="str">
        <f t="array" ref="G1652">_xlfn.XLOOKUP($A1652, 'Medical Examinations'!$A:$A, 'Medical Examinations'!F:F, "No Data")</f>
        <v>No</v>
      </c>
      <c r="H1652" s="28">
        <f t="array" ref="H1652">_xlfn.XLOOKUP($A1652, 'Medical Examinations'!$A:$A, 'Medical Examinations'!G:G, "No Data")</f>
        <v>1</v>
      </c>
      <c r="I1652" s="28" t="str">
        <f t="array" ref="I1652">_xlfn.XLOOKUP($A1652, 'Medical Examinations'!$A:$A, 'Medical Examinations'!H:H, "No Data")</f>
        <v>No</v>
      </c>
      <c r="J1652" s="28" t="str">
        <f t="array" ref="J1652">_xlfn.XLOOKUP($A1652, 'Medical Examinations'!$A:$A, 'Medical Examinations'!I:I, "No Data")</f>
        <v>Overweight</v>
      </c>
      <c r="K1652" s="28" t="str">
        <f t="array" ref="K1652">_xlfn.XLOOKUP($A1652, 'Hospitalisation Details'!$A:$A, 'Hospitalisation Details'!I:I, "No Data")</f>
        <v>tier - 3</v>
      </c>
      <c r="L1652" s="28" t="str">
        <f t="array" ref="L1652">_xlfn.XLOOKUP($A1652, 'Hospitalisation Details'!$A:$A, 'Hospitalisation Details'!J:J, "No Data")</f>
        <v>R1011</v>
      </c>
      <c r="M1652" s="28" t="str">
        <f t="array" ref="M1652">_xlfn.XLOOKUP($A1652, 'Hospitalisation Details'!$A:$A, 'Hospitalisation Details'!E:E, "No Data")</f>
        <v>29/07/87</v>
      </c>
      <c r="N1652" s="28">
        <f t="array" ref="N1652">_xlfn.XLOOKUP($A1652, 'Hospitalisation Details'!$A:$A, 'Hospitalisation Details'!K:K, "No Data")</f>
        <v>35</v>
      </c>
      <c r="O1652" s="33">
        <f t="array" ref="O1652">_xlfn.XLOOKUP($A1652, 'Hospitalisation Details'!$A:$A, 'Hospitalisation Details'!G:G, "No Data")</f>
        <v>5926.85</v>
      </c>
      <c r="P1652" s="28" t="str">
        <f t="array" ref="P1652">_xlfn.XLOOKUP($A1652, 'Hospitalisation Details'!$A:$A, 'Hospitalisation Details'!H:H, "No Data")</f>
        <v>tier - 3</v>
      </c>
    </row>
    <row r="1653">
      <c r="A1653" s="25" t="s">
        <v>4402</v>
      </c>
      <c r="B1653" s="28" t="str">
        <f t="array" ref="B1653">_xlfn.XLOOKUP($A1653, 'Customer Names'!$A:$A, 'Customer Names'!B:B, "No Data")</f>
        <v>Leonhardt</v>
      </c>
      <c r="C1653" s="28">
        <f t="array" ref="C1653">_xlfn.XLOOKUP($A1653, 'Medical Examinations'!$A:$A, 'Medical Examinations'!B:B, "No Data")</f>
        <v>36.19</v>
      </c>
      <c r="D1653" s="28">
        <f t="array" ref="D1653">_xlfn.XLOOKUP($A1653, 'Medical Examinations'!$A:$A, 'Medical Examinations'!C:C, "No Data")</f>
        <v>4.3</v>
      </c>
      <c r="E1653" s="28" t="str">
        <f t="array" ref="E1653">_xlfn.XLOOKUP($A1653, 'Medical Examinations'!$A:$A, 'Medical Examinations'!D:D, "No Data")</f>
        <v>No</v>
      </c>
      <c r="F1653" s="28" t="str">
        <f t="array" ref="F1653">_xlfn.XLOOKUP($A1653, 'Medical Examinations'!$A:$A, 'Medical Examinations'!E:E, "No Data")</f>
        <v>No</v>
      </c>
      <c r="G1653" s="28" t="str">
        <f t="array" ref="G1653">_xlfn.XLOOKUP($A1653, 'Medical Examinations'!$A:$A, 'Medical Examinations'!F:F, "No Data")</f>
        <v>No</v>
      </c>
      <c r="H1653" s="28">
        <f t="array" ref="H1653">_xlfn.XLOOKUP($A1653, 'Medical Examinations'!$A:$A, 'Medical Examinations'!G:G, "No Data")</f>
        <v>0</v>
      </c>
      <c r="I1653" s="28" t="str">
        <f t="array" ref="I1653">_xlfn.XLOOKUP($A1653, 'Medical Examinations'!$A:$A, 'Medical Examinations'!H:H, "No Data")</f>
        <v>No</v>
      </c>
      <c r="J1653" s="28" t="str">
        <f t="array" ref="J1653">_xlfn.XLOOKUP($A1653, 'Medical Examinations'!$A:$A, 'Medical Examinations'!I:I, "No Data")</f>
        <v>Obesity</v>
      </c>
      <c r="K1653" s="28" t="str">
        <f t="array" ref="K1653">_xlfn.XLOOKUP($A1653, 'Hospitalisation Details'!$A:$A, 'Hospitalisation Details'!I:I, "No Data")</f>
        <v>tier - 1</v>
      </c>
      <c r="L1653" s="28" t="str">
        <f t="array" ref="L1653">_xlfn.XLOOKUP($A1653, 'Hospitalisation Details'!$A:$A, 'Hospitalisation Details'!J:J, "No Data")</f>
        <v>R1013</v>
      </c>
      <c r="M1653" s="28" t="str">
        <f t="array" ref="M1653">_xlfn.XLOOKUP($A1653, 'Hospitalisation Details'!$A:$A, 'Hospitalisation Details'!E:E, "No Data")</f>
        <v>21/12/82</v>
      </c>
      <c r="N1653" s="28">
        <f t="array" ref="N1653">_xlfn.XLOOKUP($A1653, 'Hospitalisation Details'!$A:$A, 'Hospitalisation Details'!K:K, "No Data")</f>
        <v>40</v>
      </c>
      <c r="O1653" s="33">
        <f t="array" ref="O1653">_xlfn.XLOOKUP($A1653, 'Hospitalisation Details'!$A:$A, 'Hospitalisation Details'!G:G, "No Data")</f>
        <v>5920.1</v>
      </c>
      <c r="P1653" s="28" t="str">
        <f t="array" ref="P1653">_xlfn.XLOOKUP($A1653, 'Hospitalisation Details'!$A:$A, 'Hospitalisation Details'!H:H, "No Data")</f>
        <v>tier - 2</v>
      </c>
    </row>
    <row r="1654">
      <c r="A1654" s="25" t="s">
        <v>4398</v>
      </c>
      <c r="B1654" s="28" t="str">
        <f t="array" ref="B1654">_xlfn.XLOOKUP($A1654, 'Customer Names'!$A:$A, 'Customer Names'!B:B, "No Data")</f>
        <v>Goetz</v>
      </c>
      <c r="C1654" s="28">
        <f t="array" ref="C1654">_xlfn.XLOOKUP($A1654, 'Medical Examinations'!$A:$A, 'Medical Examinations'!B:B, "No Data")</f>
        <v>29.6</v>
      </c>
      <c r="D1654" s="28">
        <f t="array" ref="D1654">_xlfn.XLOOKUP($A1654, 'Medical Examinations'!$A:$A, 'Medical Examinations'!C:C, "No Data")</f>
        <v>4.09</v>
      </c>
      <c r="E1654" s="28" t="str">
        <f t="array" ref="E1654">_xlfn.XLOOKUP($A1654, 'Medical Examinations'!$A:$A, 'Medical Examinations'!D:D, "No Data")</f>
        <v>No</v>
      </c>
      <c r="F1654" s="28" t="str">
        <f t="array" ref="F1654">_xlfn.XLOOKUP($A1654, 'Medical Examinations'!$A:$A, 'Medical Examinations'!E:E, "No Data")</f>
        <v>No</v>
      </c>
      <c r="G1654" s="28" t="str">
        <f t="array" ref="G1654">_xlfn.XLOOKUP($A1654, 'Medical Examinations'!$A:$A, 'Medical Examinations'!F:F, "No Data")</f>
        <v>No</v>
      </c>
      <c r="H1654" s="28">
        <f t="array" ref="H1654">_xlfn.XLOOKUP($A1654, 'Medical Examinations'!$A:$A, 'Medical Examinations'!G:G, "No Data")</f>
        <v>0</v>
      </c>
      <c r="I1654" s="28" t="str">
        <f t="array" ref="I1654">_xlfn.XLOOKUP($A1654, 'Medical Examinations'!$A:$A, 'Medical Examinations'!H:H, "No Data")</f>
        <v>No</v>
      </c>
      <c r="J1654" s="28" t="str">
        <f t="array" ref="J1654">_xlfn.XLOOKUP($A1654, 'Medical Examinations'!$A:$A, 'Medical Examinations'!I:I, "No Data")</f>
        <v>Overweight</v>
      </c>
      <c r="K1654" s="28" t="str">
        <f t="array" ref="K1654">_xlfn.XLOOKUP($A1654, 'Hospitalisation Details'!$A:$A, 'Hospitalisation Details'!I:I, "No Data")</f>
        <v>tier - 1</v>
      </c>
      <c r="L1654" s="28" t="str">
        <f t="array" ref="L1654">_xlfn.XLOOKUP($A1654, 'Hospitalisation Details'!$A:$A, 'Hospitalisation Details'!J:J, "No Data")</f>
        <v>R1011</v>
      </c>
      <c r="M1654" s="28" t="str">
        <f t="array" ref="M1654">_xlfn.XLOOKUP($A1654, 'Hospitalisation Details'!$A:$A, 'Hospitalisation Details'!E:E, "No Data")</f>
        <v>08/07/82</v>
      </c>
      <c r="N1654" s="28">
        <f t="array" ref="N1654">_xlfn.XLOOKUP($A1654, 'Hospitalisation Details'!$A:$A, 'Hospitalisation Details'!K:K, "No Data")</f>
        <v>40</v>
      </c>
      <c r="O1654" s="33">
        <f t="array" ref="O1654">_xlfn.XLOOKUP($A1654, 'Hospitalisation Details'!$A:$A, 'Hospitalisation Details'!G:G, "No Data")</f>
        <v>5910.94</v>
      </c>
      <c r="P1654" s="28" t="str">
        <f t="array" ref="P1654">_xlfn.XLOOKUP($A1654, 'Hospitalisation Details'!$A:$A, 'Hospitalisation Details'!H:H, "No Data")</f>
        <v>tier - 2</v>
      </c>
    </row>
    <row r="1655">
      <c r="A1655" s="25" t="s">
        <v>4394</v>
      </c>
      <c r="B1655" s="28" t="str">
        <f t="array" ref="B1655">_xlfn.XLOOKUP($A1655, 'Customer Names'!$A:$A, 'Customer Names'!B:B, "No Data")</f>
        <v>Cacharelis</v>
      </c>
      <c r="C1655" s="28">
        <f t="array" ref="C1655">_xlfn.XLOOKUP($A1655, 'Medical Examinations'!$A:$A, 'Medical Examinations'!B:B, "No Data")</f>
        <v>30.95</v>
      </c>
      <c r="D1655" s="28">
        <f t="array" ref="D1655">_xlfn.XLOOKUP($A1655, 'Medical Examinations'!$A:$A, 'Medical Examinations'!C:C, "No Data")</f>
        <v>6.27</v>
      </c>
      <c r="E1655" s="28" t="str">
        <f t="array" ref="E1655">_xlfn.XLOOKUP($A1655, 'Medical Examinations'!$A:$A, 'Medical Examinations'!D:D, "No Data")</f>
        <v>No</v>
      </c>
      <c r="F1655" s="28" t="str">
        <f t="array" ref="F1655">_xlfn.XLOOKUP($A1655, 'Medical Examinations'!$A:$A, 'Medical Examinations'!E:E, "No Data")</f>
        <v>No</v>
      </c>
      <c r="G1655" s="28" t="str">
        <f t="array" ref="G1655">_xlfn.XLOOKUP($A1655, 'Medical Examinations'!$A:$A, 'Medical Examinations'!F:F, "No Data")</f>
        <v>Yes</v>
      </c>
      <c r="H1655" s="28">
        <f t="array" ref="H1655">_xlfn.XLOOKUP($A1655, 'Medical Examinations'!$A:$A, 'Medical Examinations'!G:G, "No Data")</f>
        <v>1</v>
      </c>
      <c r="I1655" s="28" t="str">
        <f t="array" ref="I1655">_xlfn.XLOOKUP($A1655, 'Medical Examinations'!$A:$A, 'Medical Examinations'!H:H, "No Data")</f>
        <v>No</v>
      </c>
      <c r="J1655" s="28" t="str">
        <f t="array" ref="J1655">_xlfn.XLOOKUP($A1655, 'Medical Examinations'!$A:$A, 'Medical Examinations'!I:I, "No Data")</f>
        <v>Obesity</v>
      </c>
      <c r="K1655" s="28" t="str">
        <f t="array" ref="K1655">_xlfn.XLOOKUP($A1655, 'Hospitalisation Details'!$A:$A, 'Hospitalisation Details'!I:I, "No Data")</f>
        <v>tier - 2</v>
      </c>
      <c r="L1655" s="28" t="str">
        <f t="array" ref="L1655">_xlfn.XLOOKUP($A1655, 'Hospitalisation Details'!$A:$A, 'Hospitalisation Details'!J:J, "No Data")</f>
        <v>R1021</v>
      </c>
      <c r="M1655" s="28" t="str">
        <f t="array" ref="M1655">_xlfn.XLOOKUP($A1655, 'Hospitalisation Details'!$A:$A, 'Hospitalisation Details'!E:E, "No Data")</f>
        <v>19/10/93</v>
      </c>
      <c r="N1655" s="28">
        <f t="array" ref="N1655">_xlfn.XLOOKUP($A1655, 'Hospitalisation Details'!$A:$A, 'Hospitalisation Details'!K:K, "No Data")</f>
        <v>29</v>
      </c>
      <c r="O1655" s="33">
        <f t="array" ref="O1655">_xlfn.XLOOKUP($A1655, 'Hospitalisation Details'!$A:$A, 'Hospitalisation Details'!G:G, "No Data")</f>
        <v>5877.02</v>
      </c>
      <c r="P1655" s="28" t="str">
        <f t="array" ref="P1655">_xlfn.XLOOKUP($A1655, 'Hospitalisation Details'!$A:$A, 'Hospitalisation Details'!H:H, "No Data")</f>
        <v>tier - 2</v>
      </c>
    </row>
    <row r="1656">
      <c r="A1656" s="25" t="s">
        <v>4387</v>
      </c>
      <c r="B1656" s="28" t="str">
        <f t="array" ref="B1656">_xlfn.XLOOKUP($A1656, 'Customer Names'!$A:$A, 'Customer Names'!B:B, "No Data")</f>
        <v>Kariolis</v>
      </c>
      <c r="C1656" s="28">
        <f t="array" ref="C1656">_xlfn.XLOOKUP($A1656, 'Medical Examinations'!$A:$A, 'Medical Examinations'!B:B, "No Data")</f>
        <v>19.95</v>
      </c>
      <c r="D1656" s="28">
        <f t="array" ref="D1656">_xlfn.XLOOKUP($A1656, 'Medical Examinations'!$A:$A, 'Medical Examinations'!C:C, "No Data")</f>
        <v>5.39</v>
      </c>
      <c r="E1656" s="28" t="str">
        <f t="array" ref="E1656">_xlfn.XLOOKUP($A1656, 'Medical Examinations'!$A:$A, 'Medical Examinations'!D:D, "No Data")</f>
        <v>No</v>
      </c>
      <c r="F1656" s="28" t="str">
        <f t="array" ref="F1656">_xlfn.XLOOKUP($A1656, 'Medical Examinations'!$A:$A, 'Medical Examinations'!E:E, "No Data")</f>
        <v>No</v>
      </c>
      <c r="G1656" s="28" t="str">
        <f t="array" ref="G1656">_xlfn.XLOOKUP($A1656, 'Medical Examinations'!$A:$A, 'Medical Examinations'!F:F, "No Data")</f>
        <v>No</v>
      </c>
      <c r="H1656" s="28">
        <f t="array" ref="H1656">_xlfn.XLOOKUP($A1656, 'Medical Examinations'!$A:$A, 'Medical Examinations'!G:G, "No Data")</f>
        <v>1</v>
      </c>
      <c r="I1656" s="28" t="str">
        <f t="array" ref="I1656">_xlfn.XLOOKUP($A1656, 'Medical Examinations'!$A:$A, 'Medical Examinations'!H:H, "No Data")</f>
        <v>No</v>
      </c>
      <c r="J1656" s="28" t="str">
        <f t="array" ref="J1656">_xlfn.XLOOKUP($A1656, 'Medical Examinations'!$A:$A, 'Medical Examinations'!I:I, "No Data")</f>
        <v>Normal Weight</v>
      </c>
      <c r="K1656" s="28" t="str">
        <f t="array" ref="K1656">_xlfn.XLOOKUP($A1656, 'Hospitalisation Details'!$A:$A, 'Hospitalisation Details'!I:I, "No Data")</f>
        <v>tier - 3</v>
      </c>
      <c r="L1656" s="28" t="str">
        <f t="array" ref="L1656">_xlfn.XLOOKUP($A1656, 'Hospitalisation Details'!$A:$A, 'Hospitalisation Details'!J:J, "No Data")</f>
        <v>R1012</v>
      </c>
      <c r="M1656" s="28" t="str">
        <f t="array" ref="M1656">_xlfn.XLOOKUP($A1656, 'Hospitalisation Details'!$A:$A, 'Hospitalisation Details'!E:E, "No Data")</f>
        <v>22/11/84</v>
      </c>
      <c r="N1656" s="28">
        <f t="array" ref="N1656">_xlfn.XLOOKUP($A1656, 'Hospitalisation Details'!$A:$A, 'Hospitalisation Details'!K:K, "No Data")</f>
        <v>38</v>
      </c>
      <c r="O1656" s="33">
        <f t="array" ref="O1656">_xlfn.XLOOKUP($A1656, 'Hospitalisation Details'!$A:$A, 'Hospitalisation Details'!G:G, "No Data")</f>
        <v>5855.9</v>
      </c>
      <c r="P1656" s="28" t="str">
        <f t="array" ref="P1656">_xlfn.XLOOKUP($A1656, 'Hospitalisation Details'!$A:$A, 'Hospitalisation Details'!H:H, "No Data")</f>
        <v>tier - 2</v>
      </c>
    </row>
    <row r="1657">
      <c r="A1657" s="25" t="s">
        <v>4382</v>
      </c>
      <c r="B1657" s="28" t="str">
        <f t="array" ref="B1657">_xlfn.XLOOKUP($A1657, 'Customer Names'!$A:$A, 'Customer Names'!B:B, "No Data")</f>
        <v>Zelwin</v>
      </c>
      <c r="C1657" s="28">
        <f t="array" ref="C1657">_xlfn.XLOOKUP($A1657, 'Medical Examinations'!$A:$A, 'Medical Examinations'!B:B, "No Data")</f>
        <v>23.65</v>
      </c>
      <c r="D1657" s="28">
        <f t="array" ref="D1657">_xlfn.XLOOKUP($A1657, 'Medical Examinations'!$A:$A, 'Medical Examinations'!C:C, "No Data")</f>
        <v>5.75</v>
      </c>
      <c r="E1657" s="28" t="str">
        <f t="array" ref="E1657">_xlfn.XLOOKUP($A1657, 'Medical Examinations'!$A:$A, 'Medical Examinations'!D:D, "No Data")</f>
        <v>yes</v>
      </c>
      <c r="F1657" s="28" t="str">
        <f t="array" ref="F1657">_xlfn.XLOOKUP($A1657, 'Medical Examinations'!$A:$A, 'Medical Examinations'!E:E, "No Data")</f>
        <v>No</v>
      </c>
      <c r="G1657" s="28" t="str">
        <f t="array" ref="G1657">_xlfn.XLOOKUP($A1657, 'Medical Examinations'!$A:$A, 'Medical Examinations'!F:F, "No Data")</f>
        <v>No</v>
      </c>
      <c r="H1657" s="28">
        <f t="array" ref="H1657">_xlfn.XLOOKUP($A1657, 'Medical Examinations'!$A:$A, 'Medical Examinations'!G:G, "No Data")</f>
        <v>0</v>
      </c>
      <c r="I1657" s="28" t="str">
        <f t="array" ref="I1657">_xlfn.XLOOKUP($A1657, 'Medical Examinations'!$A:$A, 'Medical Examinations'!H:H, "No Data")</f>
        <v>No</v>
      </c>
      <c r="J1657" s="28" t="str">
        <f t="array" ref="J1657">_xlfn.XLOOKUP($A1657, 'Medical Examinations'!$A:$A, 'Medical Examinations'!I:I, "No Data")</f>
        <v>Normal Weight</v>
      </c>
      <c r="K1657" s="28" t="str">
        <f t="array" ref="K1657">_xlfn.XLOOKUP($A1657, 'Hospitalisation Details'!$A:$A, 'Hospitalisation Details'!I:I, "No Data")</f>
        <v>tier - 1</v>
      </c>
      <c r="L1657" s="28" t="str">
        <f t="array" ref="L1657">_xlfn.XLOOKUP($A1657, 'Hospitalisation Details'!$A:$A, 'Hospitalisation Details'!J:J, "No Data")</f>
        <v>R1013</v>
      </c>
      <c r="M1657" s="28" t="str">
        <f t="array" ref="M1657">_xlfn.XLOOKUP($A1657, 'Hospitalisation Details'!$A:$A, 'Hospitalisation Details'!E:E, "No Data")</f>
        <v>18/06/85</v>
      </c>
      <c r="N1657" s="28">
        <f t="array" ref="N1657">_xlfn.XLOOKUP($A1657, 'Hospitalisation Details'!$A:$A, 'Hospitalisation Details'!K:K, "No Data")</f>
        <v>37</v>
      </c>
      <c r="O1657" s="33">
        <f t="array" ref="O1657">_xlfn.XLOOKUP($A1657, 'Hospitalisation Details'!$A:$A, 'Hospitalisation Details'!G:G, "No Data")</f>
        <v>5847.24</v>
      </c>
      <c r="P1657" s="28" t="str">
        <f t="array" ref="P1657">_xlfn.XLOOKUP($A1657, 'Hospitalisation Details'!$A:$A, 'Hospitalisation Details'!H:H, "No Data")</f>
        <v>tier - 2</v>
      </c>
    </row>
    <row r="1658">
      <c r="A1658" s="25" t="s">
        <v>4379</v>
      </c>
      <c r="B1658" s="28" t="str">
        <f t="array" ref="B1658">_xlfn.XLOOKUP($A1658, 'Customer Names'!$A:$A, 'Customer Names'!B:B, "No Data")</f>
        <v>Barry</v>
      </c>
      <c r="C1658" s="28">
        <f t="array" ref="C1658">_xlfn.XLOOKUP($A1658, 'Medical Examinations'!$A:$A, 'Medical Examinations'!B:B, "No Data")</f>
        <v>43.34</v>
      </c>
      <c r="D1658" s="28">
        <f t="array" ref="D1658">_xlfn.XLOOKUP($A1658, 'Medical Examinations'!$A:$A, 'Medical Examinations'!C:C, "No Data")</f>
        <v>4.91</v>
      </c>
      <c r="E1658" s="28" t="str">
        <f t="array" ref="E1658">_xlfn.XLOOKUP($A1658, 'Medical Examinations'!$A:$A, 'Medical Examinations'!D:D, "No Data")</f>
        <v>No</v>
      </c>
      <c r="F1658" s="28" t="str">
        <f t="array" ref="F1658">_xlfn.XLOOKUP($A1658, 'Medical Examinations'!$A:$A, 'Medical Examinations'!E:E, "No Data")</f>
        <v>No</v>
      </c>
      <c r="G1658" s="28" t="str">
        <f t="array" ref="G1658">_xlfn.XLOOKUP($A1658, 'Medical Examinations'!$A:$A, 'Medical Examinations'!F:F, "No Data")</f>
        <v>No</v>
      </c>
      <c r="H1658" s="28">
        <f t="array" ref="H1658">_xlfn.XLOOKUP($A1658, 'Medical Examinations'!$A:$A, 'Medical Examinations'!G:G, "No Data")</f>
        <v>1</v>
      </c>
      <c r="I1658" s="28" t="str">
        <f t="array" ref="I1658">_xlfn.XLOOKUP($A1658, 'Medical Examinations'!$A:$A, 'Medical Examinations'!H:H, "No Data")</f>
        <v>No</v>
      </c>
      <c r="J1658" s="28" t="str">
        <f t="array" ref="J1658">_xlfn.XLOOKUP($A1658, 'Medical Examinations'!$A:$A, 'Medical Examinations'!I:I, "No Data")</f>
        <v>Obesity</v>
      </c>
      <c r="K1658" s="28" t="str">
        <f t="array" ref="K1658">_xlfn.XLOOKUP($A1658, 'Hospitalisation Details'!$A:$A, 'Hospitalisation Details'!I:I, "No Data")</f>
        <v>tier - 2</v>
      </c>
      <c r="L1658" s="28" t="str">
        <f t="array" ref="L1658">_xlfn.XLOOKUP($A1658, 'Hospitalisation Details'!$A:$A, 'Hospitalisation Details'!J:J, "No Data")</f>
        <v>R1013</v>
      </c>
      <c r="M1658" s="28" t="str">
        <f t="array" ref="M1658">_xlfn.XLOOKUP($A1658, 'Hospitalisation Details'!$A:$A, 'Hospitalisation Details'!E:E, "No Data")</f>
        <v>30/09/87</v>
      </c>
      <c r="N1658" s="28">
        <f t="array" ref="N1658">_xlfn.XLOOKUP($A1658, 'Hospitalisation Details'!$A:$A, 'Hospitalisation Details'!K:K, "No Data")</f>
        <v>35</v>
      </c>
      <c r="O1658" s="33">
        <f t="array" ref="O1658">_xlfn.XLOOKUP($A1658, 'Hospitalisation Details'!$A:$A, 'Hospitalisation Details'!G:G, "No Data")</f>
        <v>5846.92</v>
      </c>
      <c r="P1658" s="28" t="str">
        <f t="array" ref="P1658">_xlfn.XLOOKUP($A1658, 'Hospitalisation Details'!$A:$A, 'Hospitalisation Details'!H:H, "No Data")</f>
        <v>tier - 2</v>
      </c>
    </row>
    <row r="1659">
      <c r="A1659" s="25" t="s">
        <v>4374</v>
      </c>
      <c r="B1659" s="28" t="str">
        <f t="array" ref="B1659">_xlfn.XLOOKUP($A1659, 'Customer Names'!$A:$A, 'Customer Names'!B:B, "No Data")</f>
        <v>Bannon</v>
      </c>
      <c r="C1659" s="28">
        <f t="array" ref="C1659">_xlfn.XLOOKUP($A1659, 'Medical Examinations'!$A:$A, 'Medical Examinations'!B:B, "No Data")</f>
        <v>31.98</v>
      </c>
      <c r="D1659" s="28">
        <f t="array" ref="D1659">_xlfn.XLOOKUP($A1659, 'Medical Examinations'!$A:$A, 'Medical Examinations'!C:C, "No Data")</f>
        <v>4.46</v>
      </c>
      <c r="E1659" s="28" t="str">
        <f t="array" ref="E1659">_xlfn.XLOOKUP($A1659, 'Medical Examinations'!$A:$A, 'Medical Examinations'!D:D, "No Data")</f>
        <v>yes</v>
      </c>
      <c r="F1659" s="28" t="str">
        <f t="array" ref="F1659">_xlfn.XLOOKUP($A1659, 'Medical Examinations'!$A:$A, 'Medical Examinations'!E:E, "No Data")</f>
        <v>No</v>
      </c>
      <c r="G1659" s="28" t="str">
        <f t="array" ref="G1659">_xlfn.XLOOKUP($A1659, 'Medical Examinations'!$A:$A, 'Medical Examinations'!F:F, "No Data")</f>
        <v>No</v>
      </c>
      <c r="H1659" s="28">
        <f t="array" ref="H1659">_xlfn.XLOOKUP($A1659, 'Medical Examinations'!$A:$A, 'Medical Examinations'!G:G, "No Data")</f>
        <v>1</v>
      </c>
      <c r="I1659" s="28" t="str">
        <f t="array" ref="I1659">_xlfn.XLOOKUP($A1659, 'Medical Examinations'!$A:$A, 'Medical Examinations'!H:H, "No Data")</f>
        <v>No</v>
      </c>
      <c r="J1659" s="28" t="str">
        <f t="array" ref="J1659">_xlfn.XLOOKUP($A1659, 'Medical Examinations'!$A:$A, 'Medical Examinations'!I:I, "No Data")</f>
        <v>Obesity</v>
      </c>
      <c r="K1659" s="28" t="str">
        <f t="array" ref="K1659">_xlfn.XLOOKUP($A1659, 'Hospitalisation Details'!$A:$A, 'Hospitalisation Details'!I:I, "No Data")</f>
        <v>tier - 2</v>
      </c>
      <c r="L1659" s="28" t="str">
        <f t="array" ref="L1659">_xlfn.XLOOKUP($A1659, 'Hospitalisation Details'!$A:$A, 'Hospitalisation Details'!J:J, "No Data")</f>
        <v>R1025</v>
      </c>
      <c r="M1659" s="28" t="str">
        <f t="array" ref="M1659">_xlfn.XLOOKUP($A1659, 'Hospitalisation Details'!$A:$A, 'Hospitalisation Details'!E:E, "No Data")</f>
        <v>20/08/95</v>
      </c>
      <c r="N1659" s="28">
        <f t="array" ref="N1659">_xlfn.XLOOKUP($A1659, 'Hospitalisation Details'!$A:$A, 'Hospitalisation Details'!K:K, "No Data")</f>
        <v>27</v>
      </c>
      <c r="O1659" s="33">
        <f t="array" ref="O1659">_xlfn.XLOOKUP($A1659, 'Hospitalisation Details'!$A:$A, 'Hospitalisation Details'!G:G, "No Data")</f>
        <v>5843.99</v>
      </c>
      <c r="P1659" s="28" t="str">
        <f t="array" ref="P1659">_xlfn.XLOOKUP($A1659, 'Hospitalisation Details'!$A:$A, 'Hospitalisation Details'!H:H, "No Data")</f>
        <v>tier - 2</v>
      </c>
    </row>
    <row r="1660">
      <c r="A1660" s="25" t="s">
        <v>4368</v>
      </c>
      <c r="B1660" s="28" t="str">
        <f t="array" ref="B1660">_xlfn.XLOOKUP($A1660, 'Customer Names'!$A:$A, 'Customer Names'!B:B, "No Data")</f>
        <v>Chang</v>
      </c>
      <c r="C1660" s="28">
        <f t="array" ref="C1660">_xlfn.XLOOKUP($A1660, 'Medical Examinations'!$A:$A, 'Medical Examinations'!B:B, "No Data")</f>
        <v>35.86</v>
      </c>
      <c r="D1660" s="28">
        <f t="array" ref="D1660">_xlfn.XLOOKUP($A1660, 'Medical Examinations'!$A:$A, 'Medical Examinations'!C:C, "No Data")</f>
        <v>6.22</v>
      </c>
      <c r="E1660" s="28" t="str">
        <f t="array" ref="E1660">_xlfn.XLOOKUP($A1660, 'Medical Examinations'!$A:$A, 'Medical Examinations'!D:D, "No Data")</f>
        <v>No</v>
      </c>
      <c r="F1660" s="28" t="str">
        <f t="array" ref="F1660">_xlfn.XLOOKUP($A1660, 'Medical Examinations'!$A:$A, 'Medical Examinations'!E:E, "No Data")</f>
        <v>No</v>
      </c>
      <c r="G1660" s="28" t="str">
        <f t="array" ref="G1660">_xlfn.XLOOKUP($A1660, 'Medical Examinations'!$A:$A, 'Medical Examinations'!F:F, "No Data")</f>
        <v>No</v>
      </c>
      <c r="H1660" s="28">
        <f t="array" ref="H1660">_xlfn.XLOOKUP($A1660, 'Medical Examinations'!$A:$A, 'Medical Examinations'!G:G, "No Data")</f>
        <v>1</v>
      </c>
      <c r="I1660" s="28" t="str">
        <f t="array" ref="I1660">_xlfn.XLOOKUP($A1660, 'Medical Examinations'!$A:$A, 'Medical Examinations'!H:H, "No Data")</f>
        <v>No</v>
      </c>
      <c r="J1660" s="28" t="str">
        <f t="array" ref="J1660">_xlfn.XLOOKUP($A1660, 'Medical Examinations'!$A:$A, 'Medical Examinations'!I:I, "No Data")</f>
        <v>Obesity</v>
      </c>
      <c r="K1660" s="28" t="str">
        <f t="array" ref="K1660">_xlfn.XLOOKUP($A1660, 'Hospitalisation Details'!$A:$A, 'Hospitalisation Details'!I:I, "No Data")</f>
        <v>tier - 3</v>
      </c>
      <c r="L1660" s="28" t="str">
        <f t="array" ref="L1660">_xlfn.XLOOKUP($A1660, 'Hospitalisation Details'!$A:$A, 'Hospitalisation Details'!J:J, "No Data")</f>
        <v>R1013</v>
      </c>
      <c r="M1660" s="28" t="str">
        <f t="array" ref="M1660">_xlfn.XLOOKUP($A1660, 'Hospitalisation Details'!$A:$A, 'Hospitalisation Details'!E:E, "No Data")</f>
        <v>27/07/87</v>
      </c>
      <c r="N1660" s="28">
        <f t="array" ref="N1660">_xlfn.XLOOKUP($A1660, 'Hospitalisation Details'!$A:$A, 'Hospitalisation Details'!K:K, "No Data")</f>
        <v>35</v>
      </c>
      <c r="O1660" s="33">
        <f t="array" ref="O1660">_xlfn.XLOOKUP($A1660, 'Hospitalisation Details'!$A:$A, 'Hospitalisation Details'!G:G, "No Data")</f>
        <v>5836.52</v>
      </c>
      <c r="P1660" s="28" t="str">
        <f t="array" ref="P1660">_xlfn.XLOOKUP($A1660, 'Hospitalisation Details'!$A:$A, 'Hospitalisation Details'!H:H, "No Data")</f>
        <v>tier - 2</v>
      </c>
    </row>
    <row r="1661">
      <c r="A1661" s="25" t="s">
        <v>4364</v>
      </c>
      <c r="B1661" s="28" t="str">
        <f t="array" ref="B1661">_xlfn.XLOOKUP($A1661, 'Customer Names'!$A:$A, 'Customer Names'!B:B, "No Data")</f>
        <v>Vetter</v>
      </c>
      <c r="C1661" s="28">
        <f t="array" ref="C1661">_xlfn.XLOOKUP($A1661, 'Medical Examinations'!$A:$A, 'Medical Examinations'!B:B, "No Data")</f>
        <v>15.2</v>
      </c>
      <c r="D1661" s="28">
        <f t="array" ref="D1661">_xlfn.XLOOKUP($A1661, 'Medical Examinations'!$A:$A, 'Medical Examinations'!C:C, "No Data")</f>
        <v>8.82</v>
      </c>
      <c r="E1661" s="28" t="str">
        <f t="array" ref="E1661">_xlfn.XLOOKUP($A1661, 'Medical Examinations'!$A:$A, 'Medical Examinations'!D:D, "No Data")</f>
        <v>No</v>
      </c>
      <c r="F1661" s="28" t="str">
        <f t="array" ref="F1661">_xlfn.XLOOKUP($A1661, 'Medical Examinations'!$A:$A, 'Medical Examinations'!E:E, "No Data")</f>
        <v>No</v>
      </c>
      <c r="G1661" s="28" t="str">
        <f t="array" ref="G1661">_xlfn.XLOOKUP($A1661, 'Medical Examinations'!$A:$A, 'Medical Examinations'!F:F, "No Data")</f>
        <v>No</v>
      </c>
      <c r="H1661" s="28">
        <f t="array" ref="H1661">_xlfn.XLOOKUP($A1661, 'Medical Examinations'!$A:$A, 'Medical Examinations'!G:G, "No Data")</f>
        <v>0</v>
      </c>
      <c r="I1661" s="28" t="str">
        <f t="array" ref="I1661">_xlfn.XLOOKUP($A1661, 'Medical Examinations'!$A:$A, 'Medical Examinations'!H:H, "No Data")</f>
        <v>No</v>
      </c>
      <c r="J1661" s="28" t="str">
        <f t="array" ref="J1661">_xlfn.XLOOKUP($A1661, 'Medical Examinations'!$A:$A, 'Medical Examinations'!I:I, "No Data")</f>
        <v>Underweight</v>
      </c>
      <c r="K1661" s="28" t="str">
        <f t="array" ref="K1661">_xlfn.XLOOKUP($A1661, 'Hospitalisation Details'!$A:$A, 'Hospitalisation Details'!I:I, "No Data")</f>
        <v>tier - 3</v>
      </c>
      <c r="L1661" s="28" t="str">
        <f t="array" ref="L1661">_xlfn.XLOOKUP($A1661, 'Hospitalisation Details'!$A:$A, 'Hospitalisation Details'!J:J, "No Data")</f>
        <v>R1012</v>
      </c>
      <c r="M1661" s="28" t="str">
        <f t="array" ref="M1661">_xlfn.XLOOKUP($A1661, 'Hospitalisation Details'!$A:$A, 'Hospitalisation Details'!E:E, "No Data")</f>
        <v>27/09/71</v>
      </c>
      <c r="N1661" s="28">
        <f t="array" ref="N1661">_xlfn.XLOOKUP($A1661, 'Hospitalisation Details'!$A:$A, 'Hospitalisation Details'!K:K, "No Data")</f>
        <v>51</v>
      </c>
      <c r="O1661" s="33">
        <f t="array" ref="O1661">_xlfn.XLOOKUP($A1661, 'Hospitalisation Details'!$A:$A, 'Hospitalisation Details'!G:G, "No Data")</f>
        <v>5832.6</v>
      </c>
      <c r="P1661" s="28" t="str">
        <f t="array" ref="P1661">_xlfn.XLOOKUP($A1661, 'Hospitalisation Details'!$A:$A, 'Hospitalisation Details'!H:H, "No Data")</f>
        <v>tier - 2</v>
      </c>
    </row>
    <row r="1662">
      <c r="A1662" s="25" t="s">
        <v>4358</v>
      </c>
      <c r="B1662" s="28" t="str">
        <f t="array" ref="B1662">_xlfn.XLOOKUP($A1662, 'Customer Names'!$A:$A, 'Customer Names'!B:B, "No Data")</f>
        <v>Jablonski</v>
      </c>
      <c r="C1662" s="28">
        <f t="array" ref="C1662">_xlfn.XLOOKUP($A1662, 'Medical Examinations'!$A:$A, 'Medical Examinations'!B:B, "No Data")</f>
        <v>37.2</v>
      </c>
      <c r="D1662" s="28">
        <f t="array" ref="D1662">_xlfn.XLOOKUP($A1662, 'Medical Examinations'!$A:$A, 'Medical Examinations'!C:C, "No Data")</f>
        <v>10.14</v>
      </c>
      <c r="E1662" s="28" t="str">
        <f t="array" ref="E1662">_xlfn.XLOOKUP($A1662, 'Medical Examinations'!$A:$A, 'Medical Examinations'!D:D, "No Data")</f>
        <v>No</v>
      </c>
      <c r="F1662" s="28" t="str">
        <f t="array" ref="F1662">_xlfn.XLOOKUP($A1662, 'Medical Examinations'!$A:$A, 'Medical Examinations'!E:E, "No Data")</f>
        <v>No</v>
      </c>
      <c r="G1662" s="28" t="str">
        <f t="array" ref="G1662">_xlfn.XLOOKUP($A1662, 'Medical Examinations'!$A:$A, 'Medical Examinations'!F:F, "No Data")</f>
        <v>No</v>
      </c>
      <c r="H1662" s="28">
        <f t="array" ref="H1662">_xlfn.XLOOKUP($A1662, 'Medical Examinations'!$A:$A, 'Medical Examinations'!G:G, "No Data")</f>
        <v>0</v>
      </c>
      <c r="I1662" s="28" t="str">
        <f t="array" ref="I1662">_xlfn.XLOOKUP($A1662, 'Medical Examinations'!$A:$A, 'Medical Examinations'!H:H, "No Data")</f>
        <v>No</v>
      </c>
      <c r="J1662" s="28" t="str">
        <f t="array" ref="J1662">_xlfn.XLOOKUP($A1662, 'Medical Examinations'!$A:$A, 'Medical Examinations'!I:I, "No Data")</f>
        <v>Obesity</v>
      </c>
      <c r="K1662" s="28" t="str">
        <f t="array" ref="K1662">_xlfn.XLOOKUP($A1662, 'Hospitalisation Details'!$A:$A, 'Hospitalisation Details'!I:I, "No Data")</f>
        <v>tier - 2</v>
      </c>
      <c r="L1662" s="28" t="str">
        <f t="array" ref="L1662">_xlfn.XLOOKUP($A1662, 'Hospitalisation Details'!$A:$A, 'Hospitalisation Details'!J:J, "No Data")</f>
        <v>R1026</v>
      </c>
      <c r="M1662" s="28" t="str">
        <f t="array" ref="M1662">_xlfn.XLOOKUP($A1662, 'Hospitalisation Details'!$A:$A, 'Hospitalisation Details'!E:E, "No Data")</f>
        <v>22/07/02</v>
      </c>
      <c r="N1662" s="28">
        <f t="array" ref="N1662">_xlfn.XLOOKUP($A1662, 'Hospitalisation Details'!$A:$A, 'Hospitalisation Details'!K:K, "No Data")</f>
        <v>20</v>
      </c>
      <c r="O1662" s="33">
        <f t="array" ref="O1662">_xlfn.XLOOKUP($A1662, 'Hospitalisation Details'!$A:$A, 'Hospitalisation Details'!G:G, "No Data")</f>
        <v>5816.58</v>
      </c>
      <c r="P1662" s="28" t="str">
        <f t="array" ref="P1662">_xlfn.XLOOKUP($A1662, 'Hospitalisation Details'!$A:$A, 'Hospitalisation Details'!H:H, "No Data")</f>
        <v>tier - 2</v>
      </c>
    </row>
    <row r="1663">
      <c r="A1663" s="25" t="s">
        <v>4353</v>
      </c>
      <c r="B1663" s="28" t="str">
        <f t="array" ref="B1663">_xlfn.XLOOKUP($A1663, 'Customer Names'!$A:$A, 'Customer Names'!B:B, "No Data")</f>
        <v>Jakubowitch</v>
      </c>
      <c r="C1663" s="28">
        <f t="array" ref="C1663">_xlfn.XLOOKUP($A1663, 'Medical Examinations'!$A:$A, 'Medical Examinations'!B:B, "No Data")</f>
        <v>17.91</v>
      </c>
      <c r="D1663" s="28">
        <f t="array" ref="D1663">_xlfn.XLOOKUP($A1663, 'Medical Examinations'!$A:$A, 'Medical Examinations'!C:C, "No Data")</f>
        <v>4.66</v>
      </c>
      <c r="E1663" s="28" t="str">
        <f t="array" ref="E1663">_xlfn.XLOOKUP($A1663, 'Medical Examinations'!$A:$A, 'Medical Examinations'!D:D, "No Data")</f>
        <v>No</v>
      </c>
      <c r="F1663" s="28" t="str">
        <f t="array" ref="F1663">_xlfn.XLOOKUP($A1663, 'Medical Examinations'!$A:$A, 'Medical Examinations'!E:E, "No Data")</f>
        <v>No</v>
      </c>
      <c r="G1663" s="28" t="str">
        <f t="array" ref="G1663">_xlfn.XLOOKUP($A1663, 'Medical Examinations'!$A:$A, 'Medical Examinations'!F:F, "No Data")</f>
        <v>No</v>
      </c>
      <c r="H1663" s="28">
        <f t="array" ref="H1663">_xlfn.XLOOKUP($A1663, 'Medical Examinations'!$A:$A, 'Medical Examinations'!G:G, "No Data")</f>
        <v>2</v>
      </c>
      <c r="I1663" s="28" t="str">
        <f t="array" ref="I1663">_xlfn.XLOOKUP($A1663, 'Medical Examinations'!$A:$A, 'Medical Examinations'!H:H, "No Data")</f>
        <v>No</v>
      </c>
      <c r="J1663" s="28" t="str">
        <f t="array" ref="J1663">_xlfn.XLOOKUP($A1663, 'Medical Examinations'!$A:$A, 'Medical Examinations'!I:I, "No Data")</f>
        <v>Underweight</v>
      </c>
      <c r="K1663" s="28" t="str">
        <f t="array" ref="K1663">_xlfn.XLOOKUP($A1663, 'Hospitalisation Details'!$A:$A, 'Hospitalisation Details'!I:I, "No Data")</f>
        <v>tier - 2</v>
      </c>
      <c r="L1663" s="28" t="str">
        <f t="array" ref="L1663">_xlfn.XLOOKUP($A1663, 'Hospitalisation Details'!$A:$A, 'Hospitalisation Details'!J:J, "No Data")</f>
        <v>R1013</v>
      </c>
      <c r="M1663" s="28" t="str">
        <f t="array" ref="M1663">_xlfn.XLOOKUP($A1663, 'Hospitalisation Details'!$A:$A, 'Hospitalisation Details'!E:E, "No Data")</f>
        <v>02/11/72</v>
      </c>
      <c r="N1663" s="28">
        <f t="array" ref="N1663">_xlfn.XLOOKUP($A1663, 'Hospitalisation Details'!$A:$A, 'Hospitalisation Details'!K:K, "No Data")</f>
        <v>50</v>
      </c>
      <c r="O1663" s="33">
        <f t="array" ref="O1663">_xlfn.XLOOKUP($A1663, 'Hospitalisation Details'!$A:$A, 'Hospitalisation Details'!G:G, "No Data")</f>
        <v>5812.9</v>
      </c>
      <c r="P1663" s="28" t="str">
        <f t="array" ref="P1663">_xlfn.XLOOKUP($A1663, 'Hospitalisation Details'!$A:$A, 'Hospitalisation Details'!H:H, "No Data")</f>
        <v>tier - 2</v>
      </c>
    </row>
    <row r="1664">
      <c r="A1664" s="25" t="s">
        <v>4349</v>
      </c>
      <c r="B1664" s="28" t="str">
        <f t="array" ref="B1664">_xlfn.XLOOKUP($A1664, 'Customer Names'!$A:$A, 'Customer Names'!B:B, "No Data")</f>
        <v>Altshuler</v>
      </c>
      <c r="C1664" s="28">
        <f t="array" ref="C1664">_xlfn.XLOOKUP($A1664, 'Medical Examinations'!$A:$A, 'Medical Examinations'!B:B, "No Data")</f>
        <v>20.76</v>
      </c>
      <c r="D1664" s="28">
        <f t="array" ref="D1664">_xlfn.XLOOKUP($A1664, 'Medical Examinations'!$A:$A, 'Medical Examinations'!C:C, "No Data")</f>
        <v>6.26</v>
      </c>
      <c r="E1664" s="28" t="str">
        <f t="array" ref="E1664">_xlfn.XLOOKUP($A1664, 'Medical Examinations'!$A:$A, 'Medical Examinations'!D:D, "No Data")</f>
        <v>No</v>
      </c>
      <c r="F1664" s="28" t="str">
        <f t="array" ref="F1664">_xlfn.XLOOKUP($A1664, 'Medical Examinations'!$A:$A, 'Medical Examinations'!E:E, "No Data")</f>
        <v>No</v>
      </c>
      <c r="G1664" s="28" t="str">
        <f t="array" ref="G1664">_xlfn.XLOOKUP($A1664, 'Medical Examinations'!$A:$A, 'Medical Examinations'!F:F, "No Data")</f>
        <v>No</v>
      </c>
      <c r="H1664" s="28">
        <f t="array" ref="H1664">_xlfn.XLOOKUP($A1664, 'Medical Examinations'!$A:$A, 'Medical Examinations'!G:G, "No Data")</f>
        <v>0</v>
      </c>
      <c r="I1664" s="28" t="str">
        <f t="array" ref="I1664">_xlfn.XLOOKUP($A1664, 'Medical Examinations'!$A:$A, 'Medical Examinations'!H:H, "No Data")</f>
        <v>No</v>
      </c>
      <c r="J1664" s="28" t="str">
        <f t="array" ref="J1664">_xlfn.XLOOKUP($A1664, 'Medical Examinations'!$A:$A, 'Medical Examinations'!I:I, "No Data")</f>
        <v>Normal Weight</v>
      </c>
      <c r="K1664" s="28" t="str">
        <f t="array" ref="K1664">_xlfn.XLOOKUP($A1664, 'Hospitalisation Details'!$A:$A, 'Hospitalisation Details'!I:I, "No Data")</f>
        <v>tier - 3</v>
      </c>
      <c r="L1664" s="28" t="str">
        <f t="array" ref="L1664">_xlfn.XLOOKUP($A1664, 'Hospitalisation Details'!$A:$A, 'Hospitalisation Details'!J:J, "No Data")</f>
        <v>R1013</v>
      </c>
      <c r="M1664" s="28" t="str">
        <f t="array" ref="M1664">_xlfn.XLOOKUP($A1664, 'Hospitalisation Details'!$A:$A, 'Hospitalisation Details'!E:E, "No Data")</f>
        <v>18/09/80</v>
      </c>
      <c r="N1664" s="28">
        <f t="array" ref="N1664">_xlfn.XLOOKUP($A1664, 'Hospitalisation Details'!$A:$A, 'Hospitalisation Details'!K:K, "No Data")</f>
        <v>42</v>
      </c>
      <c r="O1664" s="33">
        <f t="array" ref="O1664">_xlfn.XLOOKUP($A1664, 'Hospitalisation Details'!$A:$A, 'Hospitalisation Details'!G:G, "No Data")</f>
        <v>5807.06</v>
      </c>
      <c r="P1664" s="28" t="str">
        <f t="array" ref="P1664">_xlfn.XLOOKUP($A1664, 'Hospitalisation Details'!$A:$A, 'Hospitalisation Details'!H:H, "No Data")</f>
        <v>tier - 2</v>
      </c>
    </row>
    <row r="1665">
      <c r="A1665" s="25" t="s">
        <v>4345</v>
      </c>
      <c r="B1665" s="28" t="str">
        <f t="array" ref="B1665">_xlfn.XLOOKUP($A1665, 'Customer Names'!$A:$A, 'Customer Names'!B:B, "No Data")</f>
        <v>Ugarte</v>
      </c>
      <c r="C1665" s="28">
        <f t="array" ref="C1665">_xlfn.XLOOKUP($A1665, 'Medical Examinations'!$A:$A, 'Medical Examinations'!B:B, "No Data")</f>
        <v>38.99</v>
      </c>
      <c r="D1665" s="28">
        <f t="array" ref="D1665">_xlfn.XLOOKUP($A1665, 'Medical Examinations'!$A:$A, 'Medical Examinations'!C:C, "No Data")</f>
        <v>5.21</v>
      </c>
      <c r="E1665" s="28" t="str">
        <f t="array" ref="E1665">_xlfn.XLOOKUP($A1665, 'Medical Examinations'!$A:$A, 'Medical Examinations'!D:D, "No Data")</f>
        <v>No</v>
      </c>
      <c r="F1665" s="28" t="str">
        <f t="array" ref="F1665">_xlfn.XLOOKUP($A1665, 'Medical Examinations'!$A:$A, 'Medical Examinations'!E:E, "No Data")</f>
        <v>yes</v>
      </c>
      <c r="G1665" s="28" t="str">
        <f t="array" ref="G1665">_xlfn.XLOOKUP($A1665, 'Medical Examinations'!$A:$A, 'Medical Examinations'!F:F, "No Data")</f>
        <v>No</v>
      </c>
      <c r="H1665" s="28">
        <f t="array" ref="H1665">_xlfn.XLOOKUP($A1665, 'Medical Examinations'!$A:$A, 'Medical Examinations'!G:G, "No Data")</f>
        <v>1</v>
      </c>
      <c r="I1665" s="28" t="str">
        <f t="array" ref="I1665">_xlfn.XLOOKUP($A1665, 'Medical Examinations'!$A:$A, 'Medical Examinations'!H:H, "No Data")</f>
        <v>No</v>
      </c>
      <c r="J1665" s="28" t="str">
        <f t="array" ref="J1665">_xlfn.XLOOKUP($A1665, 'Medical Examinations'!$A:$A, 'Medical Examinations'!I:I, "No Data")</f>
        <v>Obesity</v>
      </c>
      <c r="K1665" s="28" t="str">
        <f t="array" ref="K1665">_xlfn.XLOOKUP($A1665, 'Hospitalisation Details'!$A:$A, 'Hospitalisation Details'!I:I, "No Data")</f>
        <v>tier - 3</v>
      </c>
      <c r="L1665" s="28" t="str">
        <f t="array" ref="L1665">_xlfn.XLOOKUP($A1665, 'Hospitalisation Details'!$A:$A, 'Hospitalisation Details'!J:J, "No Data")</f>
        <v>R1022</v>
      </c>
      <c r="M1665" s="28" t="str">
        <f t="array" ref="M1665">_xlfn.XLOOKUP($A1665, 'Hospitalisation Details'!$A:$A, 'Hospitalisation Details'!E:E, "No Data")</f>
        <v>01/11/04</v>
      </c>
      <c r="N1665" s="28">
        <f t="array" ref="N1665">_xlfn.XLOOKUP($A1665, 'Hospitalisation Details'!$A:$A, 'Hospitalisation Details'!K:K, "No Data")</f>
        <v>18</v>
      </c>
      <c r="O1665" s="33">
        <f t="array" ref="O1665">_xlfn.XLOOKUP($A1665, 'Hospitalisation Details'!$A:$A, 'Hospitalisation Details'!G:G, "No Data")</f>
        <v>5778.71</v>
      </c>
      <c r="P1665" s="28" t="str">
        <f t="array" ref="P1665">_xlfn.XLOOKUP($A1665, 'Hospitalisation Details'!$A:$A, 'Hospitalisation Details'!H:H, "No Data")</f>
        <v>tier - 2</v>
      </c>
    </row>
    <row r="1666">
      <c r="A1666" s="25" t="s">
        <v>4341</v>
      </c>
      <c r="B1666" s="28" t="str">
        <f t="array" ref="B1666">_xlfn.XLOOKUP($A1666, 'Customer Names'!$A:$A, 'Customer Names'!B:B, "No Data")</f>
        <v>Tusso</v>
      </c>
      <c r="C1666" s="28">
        <f t="array" ref="C1666">_xlfn.XLOOKUP($A1666, 'Medical Examinations'!$A:$A, 'Medical Examinations'!B:B, "No Data")</f>
        <v>42.655</v>
      </c>
      <c r="D1666" s="28">
        <f t="array" ref="D1666">_xlfn.XLOOKUP($A1666, 'Medical Examinations'!$A:$A, 'Medical Examinations'!C:C, "No Data")</f>
        <v>5.94</v>
      </c>
      <c r="E1666" s="28" t="str">
        <f t="array" ref="E1666">_xlfn.XLOOKUP($A1666, 'Medical Examinations'!$A:$A, 'Medical Examinations'!D:D, "No Data")</f>
        <v>yes</v>
      </c>
      <c r="F1666" s="28" t="str">
        <f t="array" ref="F1666">_xlfn.XLOOKUP($A1666, 'Medical Examinations'!$A:$A, 'Medical Examinations'!E:E, "No Data")</f>
        <v>No</v>
      </c>
      <c r="G1666" s="28" t="str">
        <f t="array" ref="G1666">_xlfn.XLOOKUP($A1666, 'Medical Examinations'!$A:$A, 'Medical Examinations'!F:F, "No Data")</f>
        <v>Yes</v>
      </c>
      <c r="H1666" s="28">
        <f t="array" ref="H1666">_xlfn.XLOOKUP($A1666, 'Medical Examinations'!$A:$A, 'Medical Examinations'!G:G, "No Data")</f>
        <v>1</v>
      </c>
      <c r="I1666" s="28" t="str">
        <f t="array" ref="I1666">_xlfn.XLOOKUP($A1666, 'Medical Examinations'!$A:$A, 'Medical Examinations'!H:H, "No Data")</f>
        <v>No</v>
      </c>
      <c r="J1666" s="28" t="str">
        <f t="array" ref="J1666">_xlfn.XLOOKUP($A1666, 'Medical Examinations'!$A:$A, 'Medical Examinations'!I:I, "No Data")</f>
        <v>Obesity</v>
      </c>
      <c r="K1666" s="28" t="str">
        <f t="array" ref="K1666">_xlfn.XLOOKUP($A1666, 'Hospitalisation Details'!$A:$A, 'Hospitalisation Details'!I:I, "No Data")</f>
        <v>tier - 3</v>
      </c>
      <c r="L1666" s="28" t="str">
        <f t="array" ref="L1666">_xlfn.XLOOKUP($A1666, 'Hospitalisation Details'!$A:$A, 'Hospitalisation Details'!J:J, "No Data")</f>
        <v>R1019</v>
      </c>
      <c r="M1666" s="28" t="str">
        <f t="array" ref="M1666">_xlfn.XLOOKUP($A1666, 'Hospitalisation Details'!$A:$A, 'Hospitalisation Details'!E:E, "No Data")</f>
        <v>30/08/83</v>
      </c>
      <c r="N1666" s="28">
        <f t="array" ref="N1666">_xlfn.XLOOKUP($A1666, 'Hospitalisation Details'!$A:$A, 'Hospitalisation Details'!K:K, "No Data")</f>
        <v>39</v>
      </c>
      <c r="O1666" s="33">
        <f t="array" ref="O1666">_xlfn.XLOOKUP($A1666, 'Hospitalisation Details'!$A:$A, 'Hospitalisation Details'!G:G, "No Data")</f>
        <v>5757.41</v>
      </c>
      <c r="P1666" s="28" t="str">
        <f t="array" ref="P1666">_xlfn.XLOOKUP($A1666, 'Hospitalisation Details'!$A:$A, 'Hospitalisation Details'!H:H, "No Data")</f>
        <v>tier - 2</v>
      </c>
    </row>
    <row r="1667">
      <c r="A1667" s="25" t="s">
        <v>4337</v>
      </c>
      <c r="B1667" s="28" t="str">
        <f t="array" ref="B1667">_xlfn.XLOOKUP($A1667, 'Customer Names'!$A:$A, 'Customer Names'!B:B, "No Data")</f>
        <v>Johnson</v>
      </c>
      <c r="C1667" s="28">
        <f t="array" ref="C1667">_xlfn.XLOOKUP($A1667, 'Medical Examinations'!$A:$A, 'Medical Examinations'!B:B, "No Data")</f>
        <v>30.57</v>
      </c>
      <c r="D1667" s="28">
        <f t="array" ref="D1667">_xlfn.XLOOKUP($A1667, 'Medical Examinations'!$A:$A, 'Medical Examinations'!C:C, "No Data")</f>
        <v>5.34</v>
      </c>
      <c r="E1667" s="28" t="str">
        <f t="array" ref="E1667">_xlfn.XLOOKUP($A1667, 'Medical Examinations'!$A:$A, 'Medical Examinations'!D:D, "No Data")</f>
        <v>No</v>
      </c>
      <c r="F1667" s="28" t="str">
        <f t="array" ref="F1667">_xlfn.XLOOKUP($A1667, 'Medical Examinations'!$A:$A, 'Medical Examinations'!E:E, "No Data")</f>
        <v>No</v>
      </c>
      <c r="G1667" s="28" t="str">
        <f t="array" ref="G1667">_xlfn.XLOOKUP($A1667, 'Medical Examinations'!$A:$A, 'Medical Examinations'!F:F, "No Data")</f>
        <v>Yes</v>
      </c>
      <c r="H1667" s="28">
        <f t="array" ref="H1667">_xlfn.XLOOKUP($A1667, 'Medical Examinations'!$A:$A, 'Medical Examinations'!G:G, "No Data")</f>
        <v>1</v>
      </c>
      <c r="I1667" s="28" t="str">
        <f t="array" ref="I1667">_xlfn.XLOOKUP($A1667, 'Medical Examinations'!$A:$A, 'Medical Examinations'!H:H, "No Data")</f>
        <v>No</v>
      </c>
      <c r="J1667" s="28" t="str">
        <f t="array" ref="J1667">_xlfn.XLOOKUP($A1667, 'Medical Examinations'!$A:$A, 'Medical Examinations'!I:I, "No Data")</f>
        <v>Obesity</v>
      </c>
      <c r="K1667" s="28" t="str">
        <f t="array" ref="K1667">_xlfn.XLOOKUP($A1667, 'Hospitalisation Details'!$A:$A, 'Hospitalisation Details'!I:I, "No Data")</f>
        <v>tier - 1</v>
      </c>
      <c r="L1667" s="28" t="str">
        <f t="array" ref="L1667">_xlfn.XLOOKUP($A1667, 'Hospitalisation Details'!$A:$A, 'Hospitalisation Details'!J:J, "No Data")</f>
        <v>R1021</v>
      </c>
      <c r="M1667" s="28" t="str">
        <f t="array" ref="M1667">_xlfn.XLOOKUP($A1667, 'Hospitalisation Details'!$A:$A, 'Hospitalisation Details'!E:E, "No Data")</f>
        <v>10/06/93</v>
      </c>
      <c r="N1667" s="28">
        <f t="array" ref="N1667">_xlfn.XLOOKUP($A1667, 'Hospitalisation Details'!$A:$A, 'Hospitalisation Details'!K:K, "No Data")</f>
        <v>29</v>
      </c>
      <c r="O1667" s="33">
        <f t="array" ref="O1667">_xlfn.XLOOKUP($A1667, 'Hospitalisation Details'!$A:$A, 'Hospitalisation Details'!G:G, "No Data")</f>
        <v>5748.13</v>
      </c>
      <c r="P1667" s="28" t="str">
        <f t="array" ref="P1667">_xlfn.XLOOKUP($A1667, 'Hospitalisation Details'!$A:$A, 'Hospitalisation Details'!H:H, "No Data")</f>
        <v>tier - 2</v>
      </c>
    </row>
    <row r="1668">
      <c r="A1668" s="25" t="s">
        <v>4334</v>
      </c>
      <c r="B1668" s="28" t="str">
        <f t="array" ref="B1668">_xlfn.XLOOKUP($A1668, 'Customer Names'!$A:$A, 'Customer Names'!B:B, "No Data")</f>
        <v>Landry</v>
      </c>
      <c r="C1668" s="28">
        <f t="array" ref="C1668">_xlfn.XLOOKUP($A1668, 'Medical Examinations'!$A:$A, 'Medical Examinations'!B:B, "No Data")</f>
        <v>17.7</v>
      </c>
      <c r="D1668" s="28">
        <f t="array" ref="D1668">_xlfn.XLOOKUP($A1668, 'Medical Examinations'!$A:$A, 'Medical Examinations'!C:C, "No Data")</f>
        <v>6.38</v>
      </c>
      <c r="E1668" s="28" t="str">
        <f t="array" ref="E1668">_xlfn.XLOOKUP($A1668, 'Medical Examinations'!$A:$A, 'Medical Examinations'!D:D, "No Data")</f>
        <v>No</v>
      </c>
      <c r="F1668" s="28" t="str">
        <f t="array" ref="F1668">_xlfn.XLOOKUP($A1668, 'Medical Examinations'!$A:$A, 'Medical Examinations'!E:E, "No Data")</f>
        <v>No</v>
      </c>
      <c r="G1668" s="28" t="str">
        <f t="array" ref="G1668">_xlfn.XLOOKUP($A1668, 'Medical Examinations'!$A:$A, 'Medical Examinations'!F:F, "No Data")</f>
        <v>No</v>
      </c>
      <c r="H1668" s="28">
        <f t="array" ref="H1668">_xlfn.XLOOKUP($A1668, 'Medical Examinations'!$A:$A, 'Medical Examinations'!G:G, "No Data")</f>
        <v>2</v>
      </c>
      <c r="I1668" s="28" t="str">
        <f t="array" ref="I1668">_xlfn.XLOOKUP($A1668, 'Medical Examinations'!$A:$A, 'Medical Examinations'!H:H, "No Data")</f>
        <v>No</v>
      </c>
      <c r="J1668" s="28" t="str">
        <f t="array" ref="J1668">_xlfn.XLOOKUP($A1668, 'Medical Examinations'!$A:$A, 'Medical Examinations'!I:I, "No Data")</f>
        <v>Underweight</v>
      </c>
      <c r="K1668" s="28" t="str">
        <f t="array" ref="K1668">_xlfn.XLOOKUP($A1668, 'Hospitalisation Details'!$A:$A, 'Hospitalisation Details'!I:I, "No Data")</f>
        <v>tier - 3</v>
      </c>
      <c r="L1668" s="28" t="str">
        <f t="array" ref="L1668">_xlfn.XLOOKUP($A1668, 'Hospitalisation Details'!$A:$A, 'Hospitalisation Details'!J:J, "No Data")</f>
        <v>R1013</v>
      </c>
      <c r="M1668" s="28" t="str">
        <f t="array" ref="M1668">_xlfn.XLOOKUP($A1668, 'Hospitalisation Details'!$A:$A, 'Hospitalisation Details'!E:E, "No Data")</f>
        <v>21/08/72</v>
      </c>
      <c r="N1668" s="28">
        <f t="array" ref="N1668">_xlfn.XLOOKUP($A1668, 'Hospitalisation Details'!$A:$A, 'Hospitalisation Details'!K:K, "No Data")</f>
        <v>50</v>
      </c>
      <c r="O1668" s="33">
        <f t="array" ref="O1668">_xlfn.XLOOKUP($A1668, 'Hospitalisation Details'!$A:$A, 'Hospitalisation Details'!G:G, "No Data")</f>
        <v>5741.67</v>
      </c>
      <c r="P1668" s="28" t="str">
        <f t="array" ref="P1668">_xlfn.XLOOKUP($A1668, 'Hospitalisation Details'!$A:$A, 'Hospitalisation Details'!H:H, "No Data")</f>
        <v>tier - 2</v>
      </c>
    </row>
    <row r="1669">
      <c r="A1669" s="25" t="s">
        <v>4330</v>
      </c>
      <c r="B1669" s="28" t="str">
        <f t="array" ref="B1669">_xlfn.XLOOKUP($A1669, 'Customer Names'!$A:$A, 'Customer Names'!B:B, "No Data")</f>
        <v>McDonald</v>
      </c>
      <c r="C1669" s="28">
        <f t="array" ref="C1669">_xlfn.XLOOKUP($A1669, 'Medical Examinations'!$A:$A, 'Medical Examinations'!B:B, "No Data")</f>
        <v>34.77</v>
      </c>
      <c r="D1669" s="28">
        <f t="array" ref="D1669">_xlfn.XLOOKUP($A1669, 'Medical Examinations'!$A:$A, 'Medical Examinations'!C:C, "No Data")</f>
        <v>4.47</v>
      </c>
      <c r="E1669" s="28" t="str">
        <f t="array" ref="E1669">_xlfn.XLOOKUP($A1669, 'Medical Examinations'!$A:$A, 'Medical Examinations'!D:D, "No Data")</f>
        <v>No</v>
      </c>
      <c r="F1669" s="28" t="str">
        <f t="array" ref="F1669">_xlfn.XLOOKUP($A1669, 'Medical Examinations'!$A:$A, 'Medical Examinations'!E:E, "No Data")</f>
        <v>No</v>
      </c>
      <c r="G1669" s="28" t="str">
        <f t="array" ref="G1669">_xlfn.XLOOKUP($A1669, 'Medical Examinations'!$A:$A, 'Medical Examinations'!F:F, "No Data")</f>
        <v>No</v>
      </c>
      <c r="H1669" s="28">
        <f t="array" ref="H1669">_xlfn.XLOOKUP($A1669, 'Medical Examinations'!$A:$A, 'Medical Examinations'!G:G, "No Data")</f>
        <v>1</v>
      </c>
      <c r="I1669" s="28" t="str">
        <f t="array" ref="I1669">_xlfn.XLOOKUP($A1669, 'Medical Examinations'!$A:$A, 'Medical Examinations'!H:H, "No Data")</f>
        <v>No</v>
      </c>
      <c r="J1669" s="28" t="str">
        <f t="array" ref="J1669">_xlfn.XLOOKUP($A1669, 'Medical Examinations'!$A:$A, 'Medical Examinations'!I:I, "No Data")</f>
        <v>Obesity</v>
      </c>
      <c r="K1669" s="28" t="str">
        <f t="array" ref="K1669">_xlfn.XLOOKUP($A1669, 'Hospitalisation Details'!$A:$A, 'Hospitalisation Details'!I:I, "No Data")</f>
        <v>tier - 2</v>
      </c>
      <c r="L1669" s="28" t="str">
        <f t="array" ref="L1669">_xlfn.XLOOKUP($A1669, 'Hospitalisation Details'!$A:$A, 'Hospitalisation Details'!J:J, "No Data")</f>
        <v>R1012</v>
      </c>
      <c r="M1669" s="28" t="str">
        <f t="array" ref="M1669">_xlfn.XLOOKUP($A1669, 'Hospitalisation Details'!$A:$A, 'Hospitalisation Details'!E:E, "No Data")</f>
        <v>19/10/87</v>
      </c>
      <c r="N1669" s="28">
        <f t="array" ref="N1669">_xlfn.XLOOKUP($A1669, 'Hospitalisation Details'!$A:$A, 'Hospitalisation Details'!K:K, "No Data")</f>
        <v>35</v>
      </c>
      <c r="O1669" s="33">
        <f t="array" ref="O1669">_xlfn.XLOOKUP($A1669, 'Hospitalisation Details'!$A:$A, 'Hospitalisation Details'!G:G, "No Data")</f>
        <v>5729.01</v>
      </c>
      <c r="P1669" s="28" t="str">
        <f t="array" ref="P1669">_xlfn.XLOOKUP($A1669, 'Hospitalisation Details'!$A:$A, 'Hospitalisation Details'!H:H, "No Data")</f>
        <v>tier - 1</v>
      </c>
    </row>
    <row r="1670">
      <c r="A1670" s="25" t="s">
        <v>4325</v>
      </c>
      <c r="B1670" s="28" t="str">
        <f t="array" ref="B1670">_xlfn.XLOOKUP($A1670, 'Customer Names'!$A:$A, 'Customer Names'!B:B, "No Data")</f>
        <v>Dunlap</v>
      </c>
      <c r="C1670" s="28">
        <f t="array" ref="C1670">_xlfn.XLOOKUP($A1670, 'Medical Examinations'!$A:$A, 'Medical Examinations'!B:B, "No Data")</f>
        <v>16.88</v>
      </c>
      <c r="D1670" s="28">
        <f t="array" ref="D1670">_xlfn.XLOOKUP($A1670, 'Medical Examinations'!$A:$A, 'Medical Examinations'!C:C, "No Data")</f>
        <v>9.96</v>
      </c>
      <c r="E1670" s="28" t="str">
        <f t="array" ref="E1670">_xlfn.XLOOKUP($A1670, 'Medical Examinations'!$A:$A, 'Medical Examinations'!D:D, "No Data")</f>
        <v>No</v>
      </c>
      <c r="F1670" s="28" t="str">
        <f t="array" ref="F1670">_xlfn.XLOOKUP($A1670, 'Medical Examinations'!$A:$A, 'Medical Examinations'!E:E, "No Data")</f>
        <v>No</v>
      </c>
      <c r="G1670" s="28" t="str">
        <f t="array" ref="G1670">_xlfn.XLOOKUP($A1670, 'Medical Examinations'!$A:$A, 'Medical Examinations'!F:F, "No Data")</f>
        <v>No</v>
      </c>
      <c r="H1670" s="28">
        <f t="array" ref="H1670">_xlfn.XLOOKUP($A1670, 'Medical Examinations'!$A:$A, 'Medical Examinations'!G:G, "No Data")</f>
        <v>0</v>
      </c>
      <c r="I1670" s="28" t="str">
        <f t="array" ref="I1670">_xlfn.XLOOKUP($A1670, 'Medical Examinations'!$A:$A, 'Medical Examinations'!H:H, "No Data")</f>
        <v>No</v>
      </c>
      <c r="J1670" s="28" t="str">
        <f t="array" ref="J1670">_xlfn.XLOOKUP($A1670, 'Medical Examinations'!$A:$A, 'Medical Examinations'!I:I, "No Data")</f>
        <v>Underweight</v>
      </c>
      <c r="K1670" s="28" t="str">
        <f t="array" ref="K1670">_xlfn.XLOOKUP($A1670, 'Hospitalisation Details'!$A:$A, 'Hospitalisation Details'!I:I, "No Data")</f>
        <v>tier - 1</v>
      </c>
      <c r="L1670" s="28" t="str">
        <f t="array" ref="L1670">_xlfn.XLOOKUP($A1670, 'Hospitalisation Details'!$A:$A, 'Hospitalisation Details'!J:J, "No Data")</f>
        <v>R1013</v>
      </c>
      <c r="M1670" s="28" t="str">
        <f t="array" ref="M1670">_xlfn.XLOOKUP($A1670, 'Hospitalisation Details'!$A:$A, 'Hospitalisation Details'!E:E, "No Data")</f>
        <v>18/12/71</v>
      </c>
      <c r="N1670" s="28">
        <f t="array" ref="N1670">_xlfn.XLOOKUP($A1670, 'Hospitalisation Details'!$A:$A, 'Hospitalisation Details'!K:K, "No Data")</f>
        <v>51</v>
      </c>
      <c r="O1670" s="33">
        <f t="array" ref="O1670">_xlfn.XLOOKUP($A1670, 'Hospitalisation Details'!$A:$A, 'Hospitalisation Details'!G:G, "No Data")</f>
        <v>5720.38</v>
      </c>
      <c r="P1670" s="28" t="str">
        <f t="array" ref="P1670">_xlfn.XLOOKUP($A1670, 'Hospitalisation Details'!$A:$A, 'Hospitalisation Details'!H:H, "No Data")</f>
        <v>tier - 2</v>
      </c>
    </row>
    <row r="1671">
      <c r="A1671" s="25" t="s">
        <v>4320</v>
      </c>
      <c r="B1671" s="28" t="str">
        <f t="array" ref="B1671">_xlfn.XLOOKUP($A1671, 'Customer Names'!$A:$A, 'Customer Names'!B:B, "No Data")</f>
        <v>Larue</v>
      </c>
      <c r="C1671" s="28">
        <f t="array" ref="C1671">_xlfn.XLOOKUP($A1671, 'Medical Examinations'!$A:$A, 'Medical Examinations'!B:B, "No Data")</f>
        <v>40.26</v>
      </c>
      <c r="D1671" s="28">
        <f t="array" ref="D1671">_xlfn.XLOOKUP($A1671, 'Medical Examinations'!$A:$A, 'Medical Examinations'!C:C, "No Data")</f>
        <v>9.92</v>
      </c>
      <c r="E1671" s="28" t="str">
        <f t="array" ref="E1671">_xlfn.XLOOKUP($A1671, 'Medical Examinations'!$A:$A, 'Medical Examinations'!D:D, "No Data")</f>
        <v>yes</v>
      </c>
      <c r="F1671" s="28" t="str">
        <f t="array" ref="F1671">_xlfn.XLOOKUP($A1671, 'Medical Examinations'!$A:$A, 'Medical Examinations'!E:E, "No Data")</f>
        <v>No</v>
      </c>
      <c r="G1671" s="28" t="str">
        <f t="array" ref="G1671">_xlfn.XLOOKUP($A1671, 'Medical Examinations'!$A:$A, 'Medical Examinations'!F:F, "No Data")</f>
        <v>No</v>
      </c>
      <c r="H1671" s="28">
        <f t="array" ref="H1671">_xlfn.XLOOKUP($A1671, 'Medical Examinations'!$A:$A, 'Medical Examinations'!G:G, "No Data")</f>
        <v>0</v>
      </c>
      <c r="I1671" s="28" t="str">
        <f t="array" ref="I1671">_xlfn.XLOOKUP($A1671, 'Medical Examinations'!$A:$A, 'Medical Examinations'!H:H, "No Data")</f>
        <v>No</v>
      </c>
      <c r="J1671" s="28" t="str">
        <f t="array" ref="J1671">_xlfn.XLOOKUP($A1671, 'Medical Examinations'!$A:$A, 'Medical Examinations'!I:I, "No Data")</f>
        <v>Obesity</v>
      </c>
      <c r="K1671" s="28" t="str">
        <f t="array" ref="K1671">_xlfn.XLOOKUP($A1671, 'Hospitalisation Details'!$A:$A, 'Hospitalisation Details'!I:I, "No Data")</f>
        <v>tier - 3</v>
      </c>
      <c r="L1671" s="28" t="str">
        <f t="array" ref="L1671">_xlfn.XLOOKUP($A1671, 'Hospitalisation Details'!$A:$A, 'Hospitalisation Details'!J:J, "No Data")</f>
        <v>R1013</v>
      </c>
      <c r="M1671" s="28" t="str">
        <f t="array" ref="M1671">_xlfn.XLOOKUP($A1671, 'Hospitalisation Details'!$A:$A, 'Hospitalisation Details'!E:E, "No Data")</f>
        <v>30/08/81</v>
      </c>
      <c r="N1671" s="28">
        <f t="array" ref="N1671">_xlfn.XLOOKUP($A1671, 'Hospitalisation Details'!$A:$A, 'Hospitalisation Details'!K:K, "No Data")</f>
        <v>41</v>
      </c>
      <c r="O1671" s="33">
        <f t="array" ref="O1671">_xlfn.XLOOKUP($A1671, 'Hospitalisation Details'!$A:$A, 'Hospitalisation Details'!G:G, "No Data")</f>
        <v>5709.16</v>
      </c>
      <c r="P1671" s="28" t="str">
        <f t="array" ref="P1671">_xlfn.XLOOKUP($A1671, 'Hospitalisation Details'!$A:$A, 'Hospitalisation Details'!H:H, "No Data")</f>
        <v>tier - 3</v>
      </c>
    </row>
    <row r="1672">
      <c r="A1672" s="25" t="s">
        <v>4315</v>
      </c>
      <c r="B1672" s="28" t="str">
        <f t="array" ref="B1672">_xlfn.XLOOKUP($A1672, 'Customer Names'!$A:$A, 'Customer Names'!B:B, "No Data")</f>
        <v>Hodge</v>
      </c>
      <c r="C1672" s="28">
        <f t="array" ref="C1672">_xlfn.XLOOKUP($A1672, 'Medical Examinations'!$A:$A, 'Medical Examinations'!B:B, "No Data")</f>
        <v>25.6</v>
      </c>
      <c r="D1672" s="28">
        <f t="array" ref="D1672">_xlfn.XLOOKUP($A1672, 'Medical Examinations'!$A:$A, 'Medical Examinations'!C:C, "No Data")</f>
        <v>6.03</v>
      </c>
      <c r="E1672" s="28" t="str">
        <f t="array" ref="E1672">_xlfn.XLOOKUP($A1672, 'Medical Examinations'!$A:$A, 'Medical Examinations'!D:D, "No Data")</f>
        <v>No</v>
      </c>
      <c r="F1672" s="28" t="str">
        <f t="array" ref="F1672">_xlfn.XLOOKUP($A1672, 'Medical Examinations'!$A:$A, 'Medical Examinations'!E:E, "No Data")</f>
        <v>No</v>
      </c>
      <c r="G1672" s="28" t="str">
        <f t="array" ref="G1672">_xlfn.XLOOKUP($A1672, 'Medical Examinations'!$A:$A, 'Medical Examinations'!F:F, "No Data")</f>
        <v>Yes</v>
      </c>
      <c r="H1672" s="28">
        <f t="array" ref="H1672">_xlfn.XLOOKUP($A1672, 'Medical Examinations'!$A:$A, 'Medical Examinations'!G:G, "No Data")</f>
        <v>1</v>
      </c>
      <c r="I1672" s="28" t="str">
        <f t="array" ref="I1672">_xlfn.XLOOKUP($A1672, 'Medical Examinations'!$A:$A, 'Medical Examinations'!H:H, "No Data")</f>
        <v>No</v>
      </c>
      <c r="J1672" s="28" t="str">
        <f t="array" ref="J1672">_xlfn.XLOOKUP($A1672, 'Medical Examinations'!$A:$A, 'Medical Examinations'!I:I, "No Data")</f>
        <v>Overweight</v>
      </c>
      <c r="K1672" s="28" t="str">
        <f t="array" ref="K1672">_xlfn.XLOOKUP($A1672, 'Hospitalisation Details'!$A:$A, 'Hospitalisation Details'!I:I, "No Data")</f>
        <v>tier - 1</v>
      </c>
      <c r="L1672" s="28" t="str">
        <f t="array" ref="L1672">_xlfn.XLOOKUP($A1672, 'Hospitalisation Details'!$A:$A, 'Hospitalisation Details'!J:J, "No Data")</f>
        <v>R1011</v>
      </c>
      <c r="M1672" s="28" t="str">
        <f t="array" ref="M1672">_xlfn.XLOOKUP($A1672, 'Hospitalisation Details'!$A:$A, 'Hospitalisation Details'!E:E, "No Data")</f>
        <v>03/11/93</v>
      </c>
      <c r="N1672" s="28">
        <f t="array" ref="N1672">_xlfn.XLOOKUP($A1672, 'Hospitalisation Details'!$A:$A, 'Hospitalisation Details'!K:K, "No Data")</f>
        <v>29</v>
      </c>
      <c r="O1672" s="33">
        <f t="array" ref="O1672">_xlfn.XLOOKUP($A1672, 'Hospitalisation Details'!$A:$A, 'Hospitalisation Details'!G:G, "No Data")</f>
        <v>5708.87</v>
      </c>
      <c r="P1672" s="28" t="str">
        <f t="array" ref="P1672">_xlfn.XLOOKUP($A1672, 'Hospitalisation Details'!$A:$A, 'Hospitalisation Details'!H:H, "No Data")</f>
        <v>tier - 2</v>
      </c>
    </row>
    <row r="1673">
      <c r="A1673" s="25" t="s">
        <v>4310</v>
      </c>
      <c r="B1673" s="28" t="str">
        <f t="array" ref="B1673">_xlfn.XLOOKUP($A1673, 'Customer Names'!$A:$A, 'Customer Names'!B:B, "No Data")</f>
        <v>Marcus</v>
      </c>
      <c r="C1673" s="28">
        <f t="array" ref="C1673">_xlfn.XLOOKUP($A1673, 'Medical Examinations'!$A:$A, 'Medical Examinations'!B:B, "No Data")</f>
        <v>33.55</v>
      </c>
      <c r="D1673" s="28">
        <f t="array" ref="D1673">_xlfn.XLOOKUP($A1673, 'Medical Examinations'!$A:$A, 'Medical Examinations'!C:C, "No Data")</f>
        <v>10.9</v>
      </c>
      <c r="E1673" s="28" t="str">
        <f t="array" ref="E1673">_xlfn.XLOOKUP($A1673, 'Medical Examinations'!$A:$A, 'Medical Examinations'!D:D, "No Data")</f>
        <v>yes</v>
      </c>
      <c r="F1673" s="28" t="str">
        <f t="array" ref="F1673">_xlfn.XLOOKUP($A1673, 'Medical Examinations'!$A:$A, 'Medical Examinations'!E:E, "No Data")</f>
        <v>No</v>
      </c>
      <c r="G1673" s="28" t="str">
        <f t="array" ref="G1673">_xlfn.XLOOKUP($A1673, 'Medical Examinations'!$A:$A, 'Medical Examinations'!F:F, "No Data")</f>
        <v>No</v>
      </c>
      <c r="H1673" s="28">
        <f t="array" ref="H1673">_xlfn.XLOOKUP($A1673, 'Medical Examinations'!$A:$A, 'Medical Examinations'!G:G, "No Data")</f>
        <v>0</v>
      </c>
      <c r="I1673" s="28" t="str">
        <f t="array" ref="I1673">_xlfn.XLOOKUP($A1673, 'Medical Examinations'!$A:$A, 'Medical Examinations'!H:H, "No Data")</f>
        <v>No</v>
      </c>
      <c r="J1673" s="28" t="str">
        <f t="array" ref="J1673">_xlfn.XLOOKUP($A1673, 'Medical Examinations'!$A:$A, 'Medical Examinations'!I:I, "No Data")</f>
        <v>Obesity</v>
      </c>
      <c r="K1673" s="28" t="str">
        <f t="array" ref="K1673">_xlfn.XLOOKUP($A1673, 'Hospitalisation Details'!$A:$A, 'Hospitalisation Details'!I:I, "No Data")</f>
        <v>tier - 3</v>
      </c>
      <c r="L1673" s="28" t="str">
        <f t="array" ref="L1673">_xlfn.XLOOKUP($A1673, 'Hospitalisation Details'!$A:$A, 'Hospitalisation Details'!J:J, "No Data")</f>
        <v>R1013</v>
      </c>
      <c r="M1673" s="28" t="str">
        <f t="array" ref="M1673">_xlfn.XLOOKUP($A1673, 'Hospitalisation Details'!$A:$A, 'Hospitalisation Details'!E:E, "No Data")</f>
        <v>15/06/81</v>
      </c>
      <c r="N1673" s="28">
        <f t="array" ref="N1673">_xlfn.XLOOKUP($A1673, 'Hospitalisation Details'!$A:$A, 'Hospitalisation Details'!K:K, "No Data")</f>
        <v>41</v>
      </c>
      <c r="O1673" s="33">
        <f t="array" ref="O1673">_xlfn.XLOOKUP($A1673, 'Hospitalisation Details'!$A:$A, 'Hospitalisation Details'!G:G, "No Data")</f>
        <v>5699.84</v>
      </c>
      <c r="P1673" s="28" t="str">
        <f t="array" ref="P1673">_xlfn.XLOOKUP($A1673, 'Hospitalisation Details'!$A:$A, 'Hospitalisation Details'!H:H, "No Data")</f>
        <v>tier - 2</v>
      </c>
    </row>
    <row r="1674">
      <c r="A1674" s="25" t="s">
        <v>4306</v>
      </c>
      <c r="B1674" s="28" t="str">
        <f t="array" ref="B1674">_xlfn.XLOOKUP($A1674, 'Customer Names'!$A:$A, 'Customer Names'!B:B, "No Data")</f>
        <v>Daubert</v>
      </c>
      <c r="C1674" s="28">
        <f t="array" ref="C1674">_xlfn.XLOOKUP($A1674, 'Medical Examinations'!$A:$A, 'Medical Examinations'!B:B, "No Data")</f>
        <v>16.69</v>
      </c>
      <c r="D1674" s="28">
        <f t="array" ref="D1674">_xlfn.XLOOKUP($A1674, 'Medical Examinations'!$A:$A, 'Medical Examinations'!C:C, "No Data")</f>
        <v>10.66</v>
      </c>
      <c r="E1674" s="28" t="str">
        <f t="array" ref="E1674">_xlfn.XLOOKUP($A1674, 'Medical Examinations'!$A:$A, 'Medical Examinations'!D:D, "No Data")</f>
        <v>No</v>
      </c>
      <c r="F1674" s="28" t="str">
        <f t="array" ref="F1674">_xlfn.XLOOKUP($A1674, 'Medical Examinations'!$A:$A, 'Medical Examinations'!E:E, "No Data")</f>
        <v>No</v>
      </c>
      <c r="G1674" s="28" t="str">
        <f t="array" ref="G1674">_xlfn.XLOOKUP($A1674, 'Medical Examinations'!$A:$A, 'Medical Examinations'!F:F, "No Data")</f>
        <v>No</v>
      </c>
      <c r="H1674" s="28">
        <f t="array" ref="H1674">_xlfn.XLOOKUP($A1674, 'Medical Examinations'!$A:$A, 'Medical Examinations'!G:G, "No Data")</f>
        <v>0</v>
      </c>
      <c r="I1674" s="28" t="str">
        <f t="array" ref="I1674">_xlfn.XLOOKUP($A1674, 'Medical Examinations'!$A:$A, 'Medical Examinations'!H:H, "No Data")</f>
        <v>No</v>
      </c>
      <c r="J1674" s="28" t="str">
        <f t="array" ref="J1674">_xlfn.XLOOKUP($A1674, 'Medical Examinations'!$A:$A, 'Medical Examinations'!I:I, "No Data")</f>
        <v>Underweight</v>
      </c>
      <c r="K1674" s="28" t="str">
        <f t="array" ref="K1674">_xlfn.XLOOKUP($A1674, 'Hospitalisation Details'!$A:$A, 'Hospitalisation Details'!I:I, "No Data")</f>
        <v>tier - 2</v>
      </c>
      <c r="L1674" s="28" t="str">
        <f t="array" ref="L1674">_xlfn.XLOOKUP($A1674, 'Hospitalisation Details'!$A:$A, 'Hospitalisation Details'!J:J, "No Data")</f>
        <v>R1012</v>
      </c>
      <c r="M1674" s="28" t="str">
        <f t="array" ref="M1674">_xlfn.XLOOKUP($A1674, 'Hospitalisation Details'!$A:$A, 'Hospitalisation Details'!E:E, "No Data")</f>
        <v>06/07/74</v>
      </c>
      <c r="N1674" s="28">
        <f t="array" ref="N1674">_xlfn.XLOOKUP($A1674, 'Hospitalisation Details'!$A:$A, 'Hospitalisation Details'!K:K, "No Data")</f>
        <v>48</v>
      </c>
      <c r="O1674" s="33">
        <f t="array" ref="O1674">_xlfn.XLOOKUP($A1674, 'Hospitalisation Details'!$A:$A, 'Hospitalisation Details'!G:G, "No Data")</f>
        <v>5698.74</v>
      </c>
      <c r="P1674" s="28" t="str">
        <f t="array" ref="P1674">_xlfn.XLOOKUP($A1674, 'Hospitalisation Details'!$A:$A, 'Hospitalisation Details'!H:H, "No Data")</f>
        <v>tier - 2</v>
      </c>
    </row>
    <row r="1675">
      <c r="A1675" s="25" t="s">
        <v>4301</v>
      </c>
      <c r="B1675" s="28" t="str">
        <f t="array" ref="B1675">_xlfn.XLOOKUP($A1675, 'Customer Names'!$A:$A, 'Customer Names'!B:B, "No Data")</f>
        <v>Close</v>
      </c>
      <c r="C1675" s="28">
        <f t="array" ref="C1675">_xlfn.XLOOKUP($A1675, 'Medical Examinations'!$A:$A, 'Medical Examinations'!B:B, "No Data")</f>
        <v>19.95</v>
      </c>
      <c r="D1675" s="28">
        <f t="array" ref="D1675">_xlfn.XLOOKUP($A1675, 'Medical Examinations'!$A:$A, 'Medical Examinations'!C:C, "No Data")</f>
        <v>4.05</v>
      </c>
      <c r="E1675" s="28" t="str">
        <f t="array" ref="E1675">_xlfn.XLOOKUP($A1675, 'Medical Examinations'!$A:$A, 'Medical Examinations'!D:D, "No Data")</f>
        <v>No</v>
      </c>
      <c r="F1675" s="28" t="str">
        <f t="array" ref="F1675">_xlfn.XLOOKUP($A1675, 'Medical Examinations'!$A:$A, 'Medical Examinations'!E:E, "No Data")</f>
        <v>No</v>
      </c>
      <c r="G1675" s="28" t="str">
        <f t="array" ref="G1675">_xlfn.XLOOKUP($A1675, 'Medical Examinations'!$A:$A, 'Medical Examinations'!F:F, "No Data")</f>
        <v>No</v>
      </c>
      <c r="H1675" s="28">
        <f t="array" ref="H1675">_xlfn.XLOOKUP($A1675, 'Medical Examinations'!$A:$A, 'Medical Examinations'!G:G, "No Data")</f>
        <v>1</v>
      </c>
      <c r="I1675" s="28" t="str">
        <f t="array" ref="I1675">_xlfn.XLOOKUP($A1675, 'Medical Examinations'!$A:$A, 'Medical Examinations'!H:H, "No Data")</f>
        <v>No</v>
      </c>
      <c r="J1675" s="28" t="str">
        <f t="array" ref="J1675">_xlfn.XLOOKUP($A1675, 'Medical Examinations'!$A:$A, 'Medical Examinations'!I:I, "No Data")</f>
        <v>Normal Weight</v>
      </c>
      <c r="K1675" s="28" t="str">
        <f t="array" ref="K1675">_xlfn.XLOOKUP($A1675, 'Hospitalisation Details'!$A:$A, 'Hospitalisation Details'!I:I, "No Data")</f>
        <v>tier - 3</v>
      </c>
      <c r="L1675" s="28" t="str">
        <f t="array" ref="L1675">_xlfn.XLOOKUP($A1675, 'Hospitalisation Details'!$A:$A, 'Hospitalisation Details'!J:J, "No Data")</f>
        <v>R1012</v>
      </c>
      <c r="M1675" s="28" t="str">
        <f t="array" ref="M1675">_xlfn.XLOOKUP($A1675, 'Hospitalisation Details'!$A:$A, 'Hospitalisation Details'!E:E, "No Data")</f>
        <v>03/11/92</v>
      </c>
      <c r="N1675" s="28">
        <f t="array" ref="N1675">_xlfn.XLOOKUP($A1675, 'Hospitalisation Details'!$A:$A, 'Hospitalisation Details'!K:K, "No Data")</f>
        <v>30</v>
      </c>
      <c r="O1675" s="33">
        <f t="array" ref="O1675">_xlfn.XLOOKUP($A1675, 'Hospitalisation Details'!$A:$A, 'Hospitalisation Details'!G:G, "No Data")</f>
        <v>5693.43</v>
      </c>
      <c r="P1675" s="28" t="str">
        <f t="array" ref="P1675">_xlfn.XLOOKUP($A1675, 'Hospitalisation Details'!$A:$A, 'Hospitalisation Details'!H:H, "No Data")</f>
        <v>tier - 2</v>
      </c>
    </row>
    <row r="1676">
      <c r="A1676" s="25" t="s">
        <v>4297</v>
      </c>
      <c r="B1676" s="28" t="str">
        <f t="array" ref="B1676">_xlfn.XLOOKUP($A1676, 'Customer Names'!$A:$A, 'Customer Names'!B:B, "No Data")</f>
        <v>Roels</v>
      </c>
      <c r="C1676" s="28">
        <f t="array" ref="C1676">_xlfn.XLOOKUP($A1676, 'Medical Examinations'!$A:$A, 'Medical Examinations'!B:B, "No Data")</f>
        <v>17.55</v>
      </c>
      <c r="D1676" s="28">
        <f t="array" ref="D1676">_xlfn.XLOOKUP($A1676, 'Medical Examinations'!$A:$A, 'Medical Examinations'!C:C, "No Data")</f>
        <v>4.23</v>
      </c>
      <c r="E1676" s="28" t="str">
        <f t="array" ref="E1676">_xlfn.XLOOKUP($A1676, 'Medical Examinations'!$A:$A, 'Medical Examinations'!D:D, "No Data")</f>
        <v>No</v>
      </c>
      <c r="F1676" s="28" t="str">
        <f t="array" ref="F1676">_xlfn.XLOOKUP($A1676, 'Medical Examinations'!$A:$A, 'Medical Examinations'!E:E, "No Data")</f>
        <v>No</v>
      </c>
      <c r="G1676" s="28" t="str">
        <f t="array" ref="G1676">_xlfn.XLOOKUP($A1676, 'Medical Examinations'!$A:$A, 'Medical Examinations'!F:F, "No Data")</f>
        <v>No</v>
      </c>
      <c r="H1676" s="28">
        <f t="array" ref="H1676">_xlfn.XLOOKUP($A1676, 'Medical Examinations'!$A:$A, 'Medical Examinations'!G:G, "No Data")</f>
        <v>2</v>
      </c>
      <c r="I1676" s="28" t="str">
        <f t="array" ref="I1676">_xlfn.XLOOKUP($A1676, 'Medical Examinations'!$A:$A, 'Medical Examinations'!H:H, "No Data")</f>
        <v>No</v>
      </c>
      <c r="J1676" s="28" t="str">
        <f t="array" ref="J1676">_xlfn.XLOOKUP($A1676, 'Medical Examinations'!$A:$A, 'Medical Examinations'!I:I, "No Data")</f>
        <v>Underweight</v>
      </c>
      <c r="K1676" s="28" t="str">
        <f t="array" ref="K1676">_xlfn.XLOOKUP($A1676, 'Hospitalisation Details'!$A:$A, 'Hospitalisation Details'!I:I, "No Data")</f>
        <v>tier - 1</v>
      </c>
      <c r="L1676" s="28" t="str">
        <f t="array" ref="L1676">_xlfn.XLOOKUP($A1676, 'Hospitalisation Details'!$A:$A, 'Hospitalisation Details'!J:J, "No Data")</f>
        <v>R1013</v>
      </c>
      <c r="M1676" s="28" t="str">
        <f t="array" ref="M1676">_xlfn.XLOOKUP($A1676, 'Hospitalisation Details'!$A:$A, 'Hospitalisation Details'!E:E, "No Data")</f>
        <v>28/10/72</v>
      </c>
      <c r="N1676" s="28">
        <f t="array" ref="N1676">_xlfn.XLOOKUP($A1676, 'Hospitalisation Details'!$A:$A, 'Hospitalisation Details'!K:K, "No Data")</f>
        <v>50</v>
      </c>
      <c r="O1676" s="33">
        <f t="array" ref="O1676">_xlfn.XLOOKUP($A1676, 'Hospitalisation Details'!$A:$A, 'Hospitalisation Details'!G:G, "No Data")</f>
        <v>5690.79</v>
      </c>
      <c r="P1676" s="28" t="str">
        <f t="array" ref="P1676">_xlfn.XLOOKUP($A1676, 'Hospitalisation Details'!$A:$A, 'Hospitalisation Details'!H:H, "No Data")</f>
        <v>tier - 2</v>
      </c>
    </row>
    <row r="1677">
      <c r="A1677" s="25" t="s">
        <v>4294</v>
      </c>
      <c r="B1677" s="28" t="str">
        <f t="array" ref="B1677">_xlfn.XLOOKUP($A1677, 'Customer Names'!$A:$A, 'Customer Names'!B:B, "No Data")</f>
        <v>Venosky</v>
      </c>
      <c r="C1677" s="28">
        <f t="array" ref="C1677">_xlfn.XLOOKUP($A1677, 'Medical Examinations'!$A:$A, 'Medical Examinations'!B:B, "No Data")</f>
        <v>22.01</v>
      </c>
      <c r="D1677" s="28">
        <f t="array" ref="D1677">_xlfn.XLOOKUP($A1677, 'Medical Examinations'!$A:$A, 'Medical Examinations'!C:C, "No Data")</f>
        <v>5.01</v>
      </c>
      <c r="E1677" s="28" t="str">
        <f t="array" ref="E1677">_xlfn.XLOOKUP($A1677, 'Medical Examinations'!$A:$A, 'Medical Examinations'!D:D, "No Data")</f>
        <v>No</v>
      </c>
      <c r="F1677" s="28" t="str">
        <f t="array" ref="F1677">_xlfn.XLOOKUP($A1677, 'Medical Examinations'!$A:$A, 'Medical Examinations'!E:E, "No Data")</f>
        <v>No</v>
      </c>
      <c r="G1677" s="28" t="str">
        <f t="array" ref="G1677">_xlfn.XLOOKUP($A1677, 'Medical Examinations'!$A:$A, 'Medical Examinations'!F:F, "No Data")</f>
        <v>No</v>
      </c>
      <c r="H1677" s="28">
        <f t="array" ref="H1677">_xlfn.XLOOKUP($A1677, 'Medical Examinations'!$A:$A, 'Medical Examinations'!G:G, "No Data")</f>
        <v>1</v>
      </c>
      <c r="I1677" s="28" t="str">
        <f t="array" ref="I1677">_xlfn.XLOOKUP($A1677, 'Medical Examinations'!$A:$A, 'Medical Examinations'!H:H, "No Data")</f>
        <v>No</v>
      </c>
      <c r="J1677" s="28" t="str">
        <f t="array" ref="J1677">_xlfn.XLOOKUP($A1677, 'Medical Examinations'!$A:$A, 'Medical Examinations'!I:I, "No Data")</f>
        <v>Normal Weight</v>
      </c>
      <c r="K1677" s="28" t="str">
        <f t="array" ref="K1677">_xlfn.XLOOKUP($A1677, 'Hospitalisation Details'!$A:$A, 'Hospitalisation Details'!I:I, "No Data")</f>
        <v>tier - 2</v>
      </c>
      <c r="L1677" s="28" t="str">
        <f t="array" ref="L1677">_xlfn.XLOOKUP($A1677, 'Hospitalisation Details'!$A:$A, 'Hospitalisation Details'!J:J, "No Data")</f>
        <v>R1013</v>
      </c>
      <c r="M1677" s="28" t="str">
        <f t="array" ref="M1677">_xlfn.XLOOKUP($A1677, 'Hospitalisation Details'!$A:$A, 'Hospitalisation Details'!E:E, "No Data")</f>
        <v>12/08/84</v>
      </c>
      <c r="N1677" s="28">
        <f t="array" ref="N1677">_xlfn.XLOOKUP($A1677, 'Hospitalisation Details'!$A:$A, 'Hospitalisation Details'!K:K, "No Data")</f>
        <v>38</v>
      </c>
      <c r="O1677" s="33">
        <f t="array" ref="O1677">_xlfn.XLOOKUP($A1677, 'Hospitalisation Details'!$A:$A, 'Hospitalisation Details'!G:G, "No Data")</f>
        <v>5679.13</v>
      </c>
      <c r="P1677" s="28" t="str">
        <f t="array" ref="P1677">_xlfn.XLOOKUP($A1677, 'Hospitalisation Details'!$A:$A, 'Hospitalisation Details'!H:H, "No Data")</f>
        <v>tier - 2</v>
      </c>
    </row>
    <row r="1678">
      <c r="A1678" s="25" t="s">
        <v>4289</v>
      </c>
      <c r="B1678" s="28" t="str">
        <f t="array" ref="B1678">_xlfn.XLOOKUP($A1678, 'Customer Names'!$A:$A, 'Customer Names'!B:B, "No Data")</f>
        <v>Gosnell</v>
      </c>
      <c r="C1678" s="28">
        <f t="array" ref="C1678">_xlfn.XLOOKUP($A1678, 'Medical Examinations'!$A:$A, 'Medical Examinations'!B:B, "No Data")</f>
        <v>41.8</v>
      </c>
      <c r="D1678" s="28">
        <f t="array" ref="D1678">_xlfn.XLOOKUP($A1678, 'Medical Examinations'!$A:$A, 'Medical Examinations'!C:C, "No Data")</f>
        <v>5.82</v>
      </c>
      <c r="E1678" s="28" t="str">
        <f t="array" ref="E1678">_xlfn.XLOOKUP($A1678, 'Medical Examinations'!$A:$A, 'Medical Examinations'!D:D, "No Data")</f>
        <v>yes</v>
      </c>
      <c r="F1678" s="28" t="str">
        <f t="array" ref="F1678">_xlfn.XLOOKUP($A1678, 'Medical Examinations'!$A:$A, 'Medical Examinations'!E:E, "No Data")</f>
        <v>No</v>
      </c>
      <c r="G1678" s="28" t="str">
        <f t="array" ref="G1678">_xlfn.XLOOKUP($A1678, 'Medical Examinations'!$A:$A, 'Medical Examinations'!F:F, "No Data")</f>
        <v>Yes</v>
      </c>
      <c r="H1678" s="28">
        <f t="array" ref="H1678">_xlfn.XLOOKUP($A1678, 'Medical Examinations'!$A:$A, 'Medical Examinations'!G:G, "No Data")</f>
        <v>1</v>
      </c>
      <c r="I1678" s="28" t="str">
        <f t="array" ref="I1678">_xlfn.XLOOKUP($A1678, 'Medical Examinations'!$A:$A, 'Medical Examinations'!H:H, "No Data")</f>
        <v>No</v>
      </c>
      <c r="J1678" s="28" t="str">
        <f t="array" ref="J1678">_xlfn.XLOOKUP($A1678, 'Medical Examinations'!$A:$A, 'Medical Examinations'!I:I, "No Data")</f>
        <v>Obesity</v>
      </c>
      <c r="K1678" s="28" t="str">
        <f t="array" ref="K1678">_xlfn.XLOOKUP($A1678, 'Hospitalisation Details'!$A:$A, 'Hospitalisation Details'!I:I, "No Data")</f>
        <v>tier - 1</v>
      </c>
      <c r="L1678" s="28" t="str">
        <f t="array" ref="L1678">_xlfn.XLOOKUP($A1678, 'Hospitalisation Details'!$A:$A, 'Hospitalisation Details'!J:J, "No Data")</f>
        <v>R1013</v>
      </c>
      <c r="M1678" s="28" t="str">
        <f t="array" ref="M1678">_xlfn.XLOOKUP($A1678, 'Hospitalisation Details'!$A:$A, 'Hospitalisation Details'!E:E, "No Data")</f>
        <v>03/09/83</v>
      </c>
      <c r="N1678" s="28">
        <f t="array" ref="N1678">_xlfn.XLOOKUP($A1678, 'Hospitalisation Details'!$A:$A, 'Hospitalisation Details'!K:K, "No Data")</f>
        <v>39</v>
      </c>
      <c r="O1678" s="33">
        <f t="array" ref="O1678">_xlfn.XLOOKUP($A1678, 'Hospitalisation Details'!$A:$A, 'Hospitalisation Details'!G:G, "No Data")</f>
        <v>5662.23</v>
      </c>
      <c r="P1678" s="28" t="str">
        <f t="array" ref="P1678">_xlfn.XLOOKUP($A1678, 'Hospitalisation Details'!$A:$A, 'Hospitalisation Details'!H:H, "No Data")</f>
        <v>tier - 2</v>
      </c>
    </row>
    <row r="1679">
      <c r="A1679" s="25" t="s">
        <v>4285</v>
      </c>
      <c r="B1679" s="28" t="str">
        <f t="array" ref="B1679">_xlfn.XLOOKUP($A1679, 'Customer Names'!$A:$A, 'Customer Names'!B:B, "No Data")</f>
        <v>Chewning-Kulick</v>
      </c>
      <c r="C1679" s="28">
        <f t="array" ref="C1679">_xlfn.XLOOKUP($A1679, 'Medical Examinations'!$A:$A, 'Medical Examinations'!B:B, "No Data")</f>
        <v>19.17</v>
      </c>
      <c r="D1679" s="28">
        <f t="array" ref="D1679">_xlfn.XLOOKUP($A1679, 'Medical Examinations'!$A:$A, 'Medical Examinations'!C:C, "No Data")</f>
        <v>7.94</v>
      </c>
      <c r="E1679" s="28" t="str">
        <f t="array" ref="E1679">_xlfn.XLOOKUP($A1679, 'Medical Examinations'!$A:$A, 'Medical Examinations'!D:D, "No Data")</f>
        <v>No</v>
      </c>
      <c r="F1679" s="28" t="str">
        <f t="array" ref="F1679">_xlfn.XLOOKUP($A1679, 'Medical Examinations'!$A:$A, 'Medical Examinations'!E:E, "No Data")</f>
        <v>No</v>
      </c>
      <c r="G1679" s="28" t="str">
        <f t="array" ref="G1679">_xlfn.XLOOKUP($A1679, 'Medical Examinations'!$A:$A, 'Medical Examinations'!F:F, "No Data")</f>
        <v>No</v>
      </c>
      <c r="H1679" s="28">
        <f t="array" ref="H1679">_xlfn.XLOOKUP($A1679, 'Medical Examinations'!$A:$A, 'Medical Examinations'!G:G, "No Data")</f>
        <v>0</v>
      </c>
      <c r="I1679" s="28" t="str">
        <f t="array" ref="I1679">_xlfn.XLOOKUP($A1679, 'Medical Examinations'!$A:$A, 'Medical Examinations'!H:H, "No Data")</f>
        <v>No</v>
      </c>
      <c r="J1679" s="28" t="str">
        <f t="array" ref="J1679">_xlfn.XLOOKUP($A1679, 'Medical Examinations'!$A:$A, 'Medical Examinations'!I:I, "No Data")</f>
        <v>Normal Weight</v>
      </c>
      <c r="K1679" s="28" t="str">
        <f t="array" ref="K1679">_xlfn.XLOOKUP($A1679, 'Hospitalisation Details'!$A:$A, 'Hospitalisation Details'!I:I, "No Data")</f>
        <v>tier - 1</v>
      </c>
      <c r="L1679" s="28" t="str">
        <f t="array" ref="L1679">_xlfn.XLOOKUP($A1679, 'Hospitalisation Details'!$A:$A, 'Hospitalisation Details'!J:J, "No Data")</f>
        <v>R1013</v>
      </c>
      <c r="M1679" s="28" t="str">
        <f t="array" ref="M1679">_xlfn.XLOOKUP($A1679, 'Hospitalisation Details'!$A:$A, 'Hospitalisation Details'!E:E, "No Data")</f>
        <v>27/09/78</v>
      </c>
      <c r="N1679" s="28">
        <f t="array" ref="N1679">_xlfn.XLOOKUP($A1679, 'Hospitalisation Details'!$A:$A, 'Hospitalisation Details'!K:K, "No Data")</f>
        <v>44</v>
      </c>
      <c r="O1679" s="33">
        <f t="array" ref="O1679">_xlfn.XLOOKUP($A1679, 'Hospitalisation Details'!$A:$A, 'Hospitalisation Details'!G:G, "No Data")</f>
        <v>5650.14</v>
      </c>
      <c r="P1679" s="28" t="str">
        <f t="array" ref="P1679">_xlfn.XLOOKUP($A1679, 'Hospitalisation Details'!$A:$A, 'Hospitalisation Details'!H:H, "No Data")</f>
        <v>tier - 2</v>
      </c>
    </row>
    <row r="1680">
      <c r="A1680" s="25" t="s">
        <v>4282</v>
      </c>
      <c r="B1680" s="28" t="str">
        <f t="array" ref="B1680">_xlfn.XLOOKUP($A1680, 'Customer Names'!$A:$A, 'Customer Names'!B:B, "No Data")</f>
        <v>McCarron</v>
      </c>
      <c r="C1680" s="28">
        <f t="array" ref="C1680">_xlfn.XLOOKUP($A1680, 'Medical Examinations'!$A:$A, 'Medical Examinations'!B:B, "No Data")</f>
        <v>32.8</v>
      </c>
      <c r="D1680" s="28">
        <f t="array" ref="D1680">_xlfn.XLOOKUP($A1680, 'Medical Examinations'!$A:$A, 'Medical Examinations'!C:C, "No Data")</f>
        <v>6.16</v>
      </c>
      <c r="E1680" s="28" t="str">
        <f t="array" ref="E1680">_xlfn.XLOOKUP($A1680, 'Medical Examinations'!$A:$A, 'Medical Examinations'!D:D, "No Data")</f>
        <v>yes</v>
      </c>
      <c r="F1680" s="28" t="str">
        <f t="array" ref="F1680">_xlfn.XLOOKUP($A1680, 'Medical Examinations'!$A:$A, 'Medical Examinations'!E:E, "No Data")</f>
        <v>No</v>
      </c>
      <c r="G1680" s="28" t="str">
        <f t="array" ref="G1680">_xlfn.XLOOKUP($A1680, 'Medical Examinations'!$A:$A, 'Medical Examinations'!F:F, "No Data")</f>
        <v>Yes</v>
      </c>
      <c r="H1680" s="28">
        <f t="array" ref="H1680">_xlfn.XLOOKUP($A1680, 'Medical Examinations'!$A:$A, 'Medical Examinations'!G:G, "No Data")</f>
        <v>1</v>
      </c>
      <c r="I1680" s="28" t="str">
        <f t="array" ref="I1680">_xlfn.XLOOKUP($A1680, 'Medical Examinations'!$A:$A, 'Medical Examinations'!H:H, "No Data")</f>
        <v>No</v>
      </c>
      <c r="J1680" s="28" t="str">
        <f t="array" ref="J1680">_xlfn.XLOOKUP($A1680, 'Medical Examinations'!$A:$A, 'Medical Examinations'!I:I, "No Data")</f>
        <v>Obesity</v>
      </c>
      <c r="K1680" s="28" t="str">
        <f t="array" ref="K1680">_xlfn.XLOOKUP($A1680, 'Hospitalisation Details'!$A:$A, 'Hospitalisation Details'!I:I, "No Data")</f>
        <v>tier - 3</v>
      </c>
      <c r="L1680" s="28" t="str">
        <f t="array" ref="L1680">_xlfn.XLOOKUP($A1680, 'Hospitalisation Details'!$A:$A, 'Hospitalisation Details'!J:J, "No Data")</f>
        <v>R1011</v>
      </c>
      <c r="M1680" s="28" t="str">
        <f t="array" ref="M1680">_xlfn.XLOOKUP($A1680, 'Hospitalisation Details'!$A:$A, 'Hospitalisation Details'!E:E, "No Data")</f>
        <v>08/06/83</v>
      </c>
      <c r="N1680" s="28">
        <f t="array" ref="N1680">_xlfn.XLOOKUP($A1680, 'Hospitalisation Details'!$A:$A, 'Hospitalisation Details'!K:K, "No Data")</f>
        <v>40</v>
      </c>
      <c r="O1680" s="33">
        <f t="array" ref="O1680">_xlfn.XLOOKUP($A1680, 'Hospitalisation Details'!$A:$A, 'Hospitalisation Details'!G:G, "No Data")</f>
        <v>5649.72</v>
      </c>
      <c r="P1680" s="28" t="str">
        <f t="array" ref="P1680">_xlfn.XLOOKUP($A1680, 'Hospitalisation Details'!$A:$A, 'Hospitalisation Details'!H:H, "No Data")</f>
        <v>tier - 2</v>
      </c>
    </row>
    <row r="1681">
      <c r="A1681" s="25" t="s">
        <v>4277</v>
      </c>
      <c r="B1681" s="28" t="str">
        <f t="array" ref="B1681">_xlfn.XLOOKUP($A1681, 'Customer Names'!$A:$A, 'Customer Names'!B:B, "No Data")</f>
        <v>Manion</v>
      </c>
      <c r="C1681" s="28">
        <f t="array" ref="C1681">_xlfn.XLOOKUP($A1681, 'Medical Examinations'!$A:$A, 'Medical Examinations'!B:B, "No Data")</f>
        <v>35.815</v>
      </c>
      <c r="D1681" s="28">
        <f t="array" ref="D1681">_xlfn.XLOOKUP($A1681, 'Medical Examinations'!$A:$A, 'Medical Examinations'!C:C, "No Data")</f>
        <v>4.15</v>
      </c>
      <c r="E1681" s="28" t="str">
        <f t="array" ref="E1681">_xlfn.XLOOKUP($A1681, 'Medical Examinations'!$A:$A, 'Medical Examinations'!D:D, "No Data")</f>
        <v>No</v>
      </c>
      <c r="F1681" s="28" t="str">
        <f t="array" ref="F1681">_xlfn.XLOOKUP($A1681, 'Medical Examinations'!$A:$A, 'Medical Examinations'!E:E, "No Data")</f>
        <v>No</v>
      </c>
      <c r="G1681" s="28" t="str">
        <f t="array" ref="G1681">_xlfn.XLOOKUP($A1681, 'Medical Examinations'!$A:$A, 'Medical Examinations'!F:F, "No Data")</f>
        <v>No</v>
      </c>
      <c r="H1681" s="28">
        <f t="array" ref="H1681">_xlfn.XLOOKUP($A1681, 'Medical Examinations'!$A:$A, 'Medical Examinations'!G:G, "No Data")</f>
        <v>1</v>
      </c>
      <c r="I1681" s="28" t="str">
        <f t="array" ref="I1681">_xlfn.XLOOKUP($A1681, 'Medical Examinations'!$A:$A, 'Medical Examinations'!H:H, "No Data")</f>
        <v>No</v>
      </c>
      <c r="J1681" s="28" t="str">
        <f t="array" ref="J1681">_xlfn.XLOOKUP($A1681, 'Medical Examinations'!$A:$A, 'Medical Examinations'!I:I, "No Data")</f>
        <v>Obesity</v>
      </c>
      <c r="K1681" s="28" t="str">
        <f t="array" ref="K1681">_xlfn.XLOOKUP($A1681, 'Hospitalisation Details'!$A:$A, 'Hospitalisation Details'!I:I, "No Data")</f>
        <v>tier - 3</v>
      </c>
      <c r="L1681" s="28" t="str">
        <f t="array" ref="L1681">_xlfn.XLOOKUP($A1681, 'Hospitalisation Details'!$A:$A, 'Hospitalisation Details'!J:J, "No Data")</f>
        <v>R1012</v>
      </c>
      <c r="M1681" s="28" t="str">
        <f t="array" ref="M1681">_xlfn.XLOOKUP($A1681, 'Hospitalisation Details'!$A:$A, 'Hospitalisation Details'!E:E, "No Data")</f>
        <v>09/12/87</v>
      </c>
      <c r="N1681" s="28">
        <f t="array" ref="N1681">_xlfn.XLOOKUP($A1681, 'Hospitalisation Details'!$A:$A, 'Hospitalisation Details'!K:K, "No Data")</f>
        <v>35</v>
      </c>
      <c r="O1681" s="33">
        <f t="array" ref="O1681">_xlfn.XLOOKUP($A1681, 'Hospitalisation Details'!$A:$A, 'Hospitalisation Details'!G:G, "No Data")</f>
        <v>5630.46</v>
      </c>
      <c r="P1681" s="28" t="str">
        <f t="array" ref="P1681">_xlfn.XLOOKUP($A1681, 'Hospitalisation Details'!$A:$A, 'Hospitalisation Details'!H:H, "No Data")</f>
        <v>tier - 2</v>
      </c>
    </row>
    <row r="1682">
      <c r="A1682" s="25" t="s">
        <v>4272</v>
      </c>
      <c r="B1682" s="28" t="str">
        <f t="array" ref="B1682">_xlfn.XLOOKUP($A1682, 'Customer Names'!$A:$A, 'Customer Names'!B:B, "No Data")</f>
        <v>Strong</v>
      </c>
      <c r="C1682" s="28">
        <f t="array" ref="C1682">_xlfn.XLOOKUP($A1682, 'Medical Examinations'!$A:$A, 'Medical Examinations'!B:B, "No Data")</f>
        <v>24.3</v>
      </c>
      <c r="D1682" s="28">
        <f t="array" ref="D1682">_xlfn.XLOOKUP($A1682, 'Medical Examinations'!$A:$A, 'Medical Examinations'!C:C, "No Data")</f>
        <v>6.23</v>
      </c>
      <c r="E1682" s="28" t="str">
        <f t="array" ref="E1682">_xlfn.XLOOKUP($A1682, 'Medical Examinations'!$A:$A, 'Medical Examinations'!D:D, "No Data")</f>
        <v>No</v>
      </c>
      <c r="F1682" s="28" t="str">
        <f t="array" ref="F1682">_xlfn.XLOOKUP($A1682, 'Medical Examinations'!$A:$A, 'Medical Examinations'!E:E, "No Data")</f>
        <v>No</v>
      </c>
      <c r="G1682" s="28" t="str">
        <f t="array" ref="G1682">_xlfn.XLOOKUP($A1682, 'Medical Examinations'!$A:$A, 'Medical Examinations'!F:F, "No Data")</f>
        <v>No</v>
      </c>
      <c r="H1682" s="28">
        <f t="array" ref="H1682">_xlfn.XLOOKUP($A1682, 'Medical Examinations'!$A:$A, 'Medical Examinations'!G:G, "No Data")</f>
        <v>0</v>
      </c>
      <c r="I1682" s="28" t="str">
        <f t="array" ref="I1682">_xlfn.XLOOKUP($A1682, 'Medical Examinations'!$A:$A, 'Medical Examinations'!H:H, "No Data")</f>
        <v>No</v>
      </c>
      <c r="J1682" s="28" t="str">
        <f t="array" ref="J1682">_xlfn.XLOOKUP($A1682, 'Medical Examinations'!$A:$A, 'Medical Examinations'!I:I, "No Data")</f>
        <v>Normal Weight</v>
      </c>
      <c r="K1682" s="28" t="str">
        <f t="array" ref="K1682">_xlfn.XLOOKUP($A1682, 'Hospitalisation Details'!$A:$A, 'Hospitalisation Details'!I:I, "No Data")</f>
        <v>tier - 3</v>
      </c>
      <c r="L1682" s="28" t="str">
        <f t="array" ref="L1682">_xlfn.XLOOKUP($A1682, 'Hospitalisation Details'!$A:$A, 'Hospitalisation Details'!J:J, "No Data")</f>
        <v>R1011</v>
      </c>
      <c r="M1682" s="28" t="str">
        <f t="array" ref="M1682">_xlfn.XLOOKUP($A1682, 'Hospitalisation Details'!$A:$A, 'Hospitalisation Details'!E:E, "No Data")</f>
        <v>15/11/94</v>
      </c>
      <c r="N1682" s="28">
        <f t="array" ref="N1682">_xlfn.XLOOKUP($A1682, 'Hospitalisation Details'!$A:$A, 'Hospitalisation Details'!K:K, "No Data")</f>
        <v>28</v>
      </c>
      <c r="O1682" s="33">
        <f t="array" ref="O1682">_xlfn.XLOOKUP($A1682, 'Hospitalisation Details'!$A:$A, 'Hospitalisation Details'!G:G, "No Data")</f>
        <v>5615.37</v>
      </c>
      <c r="P1682" s="28" t="str">
        <f t="array" ref="P1682">_xlfn.XLOOKUP($A1682, 'Hospitalisation Details'!$A:$A, 'Hospitalisation Details'!H:H, "No Data")</f>
        <v>tier - 2</v>
      </c>
    </row>
    <row r="1683">
      <c r="A1683" s="25" t="s">
        <v>4264</v>
      </c>
      <c r="B1683" s="28" t="str">
        <f t="array" ref="B1683">_xlfn.XLOOKUP($A1683, 'Customer Names'!$A:$A, 'Customer Names'!B:B, "No Data")</f>
        <v>Leblanc</v>
      </c>
      <c r="C1683" s="28">
        <f t="array" ref="C1683">_xlfn.XLOOKUP($A1683, 'Medical Examinations'!$A:$A, 'Medical Examinations'!B:B, "No Data")</f>
        <v>19.06</v>
      </c>
      <c r="D1683" s="28">
        <f t="array" ref="D1683">_xlfn.XLOOKUP($A1683, 'Medical Examinations'!$A:$A, 'Medical Examinations'!C:C, "No Data")</f>
        <v>7.41</v>
      </c>
      <c r="E1683" s="28" t="str">
        <f t="array" ref="E1683">_xlfn.XLOOKUP($A1683, 'Medical Examinations'!$A:$A, 'Medical Examinations'!D:D, "No Data")</f>
        <v>No</v>
      </c>
      <c r="F1683" s="28" t="str">
        <f t="array" ref="F1683">_xlfn.XLOOKUP($A1683, 'Medical Examinations'!$A:$A, 'Medical Examinations'!E:E, "No Data")</f>
        <v>No</v>
      </c>
      <c r="G1683" s="28" t="str">
        <f t="array" ref="G1683">_xlfn.XLOOKUP($A1683, 'Medical Examinations'!$A:$A, 'Medical Examinations'!F:F, "No Data")</f>
        <v>No</v>
      </c>
      <c r="H1683" s="28">
        <f t="array" ref="H1683">_xlfn.XLOOKUP($A1683, 'Medical Examinations'!$A:$A, 'Medical Examinations'!G:G, "No Data")</f>
        <v>0</v>
      </c>
      <c r="I1683" s="28" t="str">
        <f t="array" ref="I1683">_xlfn.XLOOKUP($A1683, 'Medical Examinations'!$A:$A, 'Medical Examinations'!H:H, "No Data")</f>
        <v>No</v>
      </c>
      <c r="J1683" s="28" t="str">
        <f t="array" ref="J1683">_xlfn.XLOOKUP($A1683, 'Medical Examinations'!$A:$A, 'Medical Examinations'!I:I, "No Data")</f>
        <v>Normal Weight</v>
      </c>
      <c r="K1683" s="28" t="str">
        <f t="array" ref="K1683">_xlfn.XLOOKUP($A1683, 'Hospitalisation Details'!$A:$A, 'Hospitalisation Details'!I:I, "No Data")</f>
        <v>tier - 3</v>
      </c>
      <c r="L1683" s="28" t="str">
        <f t="array" ref="L1683">_xlfn.XLOOKUP($A1683, 'Hospitalisation Details'!$A:$A, 'Hospitalisation Details'!J:J, "No Data")</f>
        <v>R1013</v>
      </c>
      <c r="M1683" s="28" t="str">
        <f t="array" ref="M1683">_xlfn.XLOOKUP($A1683, 'Hospitalisation Details'!$A:$A, 'Hospitalisation Details'!E:E, "No Data")</f>
        <v>11/09/78</v>
      </c>
      <c r="N1683" s="28">
        <f t="array" ref="N1683">_xlfn.XLOOKUP($A1683, 'Hospitalisation Details'!$A:$A, 'Hospitalisation Details'!K:K, "No Data")</f>
        <v>44</v>
      </c>
      <c r="O1683" s="33">
        <f t="array" ref="O1683">_xlfn.XLOOKUP($A1683, 'Hospitalisation Details'!$A:$A, 'Hospitalisation Details'!G:G, "No Data")</f>
        <v>5612.83</v>
      </c>
      <c r="P1683" s="28" t="str">
        <f t="array" ref="P1683">_xlfn.XLOOKUP($A1683, 'Hospitalisation Details'!$A:$A, 'Hospitalisation Details'!H:H, "No Data")</f>
        <v>tier - 2</v>
      </c>
    </row>
    <row r="1684">
      <c r="A1684" s="25" t="s">
        <v>4258</v>
      </c>
      <c r="B1684" s="28" t="str">
        <f t="array" ref="B1684">_xlfn.XLOOKUP($A1684, 'Customer Names'!$A:$A, 'Customer Names'!B:B, "No Data")</f>
        <v>Palmer</v>
      </c>
      <c r="C1684" s="28">
        <f t="array" ref="C1684">_xlfn.XLOOKUP($A1684, 'Medical Examinations'!$A:$A, 'Medical Examinations'!B:B, "No Data")</f>
        <v>33.25</v>
      </c>
      <c r="D1684" s="28">
        <f t="array" ref="D1684">_xlfn.XLOOKUP($A1684, 'Medical Examinations'!$A:$A, 'Medical Examinations'!C:C, "No Data")</f>
        <v>5.62</v>
      </c>
      <c r="E1684" s="28" t="str">
        <f t="array" ref="E1684">_xlfn.XLOOKUP($A1684, 'Medical Examinations'!$A:$A, 'Medical Examinations'!D:D, "No Data")</f>
        <v>yes</v>
      </c>
      <c r="F1684" s="28" t="str">
        <f t="array" ref="F1684">_xlfn.XLOOKUP($A1684, 'Medical Examinations'!$A:$A, 'Medical Examinations'!E:E, "No Data")</f>
        <v>No</v>
      </c>
      <c r="G1684" s="28" t="str">
        <f t="array" ref="G1684">_xlfn.XLOOKUP($A1684, 'Medical Examinations'!$A:$A, 'Medical Examinations'!F:F, "No Data")</f>
        <v>No</v>
      </c>
      <c r="H1684" s="28">
        <f t="array" ref="H1684">_xlfn.XLOOKUP($A1684, 'Medical Examinations'!$A:$A, 'Medical Examinations'!G:G, "No Data")</f>
        <v>1</v>
      </c>
      <c r="I1684" s="28" t="str">
        <f t="array" ref="I1684">_xlfn.XLOOKUP($A1684, 'Medical Examinations'!$A:$A, 'Medical Examinations'!H:H, "No Data")</f>
        <v>No</v>
      </c>
      <c r="J1684" s="28" t="str">
        <f t="array" ref="J1684">_xlfn.XLOOKUP($A1684, 'Medical Examinations'!$A:$A, 'Medical Examinations'!I:I, "No Data")</f>
        <v>Obesity</v>
      </c>
      <c r="K1684" s="28" t="str">
        <f t="array" ref="K1684">_xlfn.XLOOKUP($A1684, 'Hospitalisation Details'!$A:$A, 'Hospitalisation Details'!I:I, "No Data")</f>
        <v>tier - 3</v>
      </c>
      <c r="L1684" s="28" t="str">
        <f t="array" ref="L1684">_xlfn.XLOOKUP($A1684, 'Hospitalisation Details'!$A:$A, 'Hospitalisation Details'!J:J, "No Data")</f>
        <v>R1024</v>
      </c>
      <c r="M1684" s="28" t="str">
        <f t="array" ref="M1684">_xlfn.XLOOKUP($A1684, 'Hospitalisation Details'!$A:$A, 'Hospitalisation Details'!E:E, "No Data")</f>
        <v>18/11/88</v>
      </c>
      <c r="N1684" s="28">
        <f t="array" ref="N1684">_xlfn.XLOOKUP($A1684, 'Hospitalisation Details'!$A:$A, 'Hospitalisation Details'!K:K, "No Data")</f>
        <v>34</v>
      </c>
      <c r="O1684" s="33">
        <f t="array" ref="O1684">_xlfn.XLOOKUP($A1684, 'Hospitalisation Details'!$A:$A, 'Hospitalisation Details'!G:G, "No Data")</f>
        <v>5594.85</v>
      </c>
      <c r="P1684" s="28" t="str">
        <f t="array" ref="P1684">_xlfn.XLOOKUP($A1684, 'Hospitalisation Details'!$A:$A, 'Hospitalisation Details'!H:H, "No Data")</f>
        <v>tier - 2</v>
      </c>
    </row>
    <row r="1685">
      <c r="A1685" s="25" t="s">
        <v>4253</v>
      </c>
      <c r="B1685" s="28" t="str">
        <f t="array" ref="B1685">_xlfn.XLOOKUP($A1685, 'Customer Names'!$A:$A, 'Customer Names'!B:B, "No Data")</f>
        <v>Shen</v>
      </c>
      <c r="C1685" s="28">
        <f t="array" ref="C1685">_xlfn.XLOOKUP($A1685, 'Medical Examinations'!$A:$A, 'Medical Examinations'!B:B, "No Data")</f>
        <v>21.37</v>
      </c>
      <c r="D1685" s="28">
        <f t="array" ref="D1685">_xlfn.XLOOKUP($A1685, 'Medical Examinations'!$A:$A, 'Medical Examinations'!C:C, "No Data")</f>
        <v>4.54</v>
      </c>
      <c r="E1685" s="28" t="str">
        <f t="array" ref="E1685">_xlfn.XLOOKUP($A1685, 'Medical Examinations'!$A:$A, 'Medical Examinations'!D:D, "No Data")</f>
        <v>yes</v>
      </c>
      <c r="F1685" s="28" t="str">
        <f t="array" ref="F1685">_xlfn.XLOOKUP($A1685, 'Medical Examinations'!$A:$A, 'Medical Examinations'!E:E, "No Data")</f>
        <v>No</v>
      </c>
      <c r="G1685" s="28" t="str">
        <f t="array" ref="G1685">_xlfn.XLOOKUP($A1685, 'Medical Examinations'!$A:$A, 'Medical Examinations'!F:F, "No Data")</f>
        <v>Yes</v>
      </c>
      <c r="H1685" s="28">
        <f t="array" ref="H1685">_xlfn.XLOOKUP($A1685, 'Medical Examinations'!$A:$A, 'Medical Examinations'!G:G, "No Data")</f>
        <v>1</v>
      </c>
      <c r="I1685" s="28" t="str">
        <f t="array" ref="I1685">_xlfn.XLOOKUP($A1685, 'Medical Examinations'!$A:$A, 'Medical Examinations'!H:H, "No Data")</f>
        <v>No</v>
      </c>
      <c r="J1685" s="28" t="str">
        <f t="array" ref="J1685">_xlfn.XLOOKUP($A1685, 'Medical Examinations'!$A:$A, 'Medical Examinations'!I:I, "No Data")</f>
        <v>Normal Weight</v>
      </c>
      <c r="K1685" s="28" t="str">
        <f t="array" ref="K1685">_xlfn.XLOOKUP($A1685, 'Hospitalisation Details'!$A:$A, 'Hospitalisation Details'!I:I, "No Data")</f>
        <v>tier - 1</v>
      </c>
      <c r="L1685" s="28" t="str">
        <f t="array" ref="L1685">_xlfn.XLOOKUP($A1685, 'Hospitalisation Details'!$A:$A, 'Hospitalisation Details'!J:J, "No Data")</f>
        <v>R1013</v>
      </c>
      <c r="M1685" s="28" t="str">
        <f t="array" ref="M1685">_xlfn.XLOOKUP($A1685, 'Hospitalisation Details'!$A:$A, 'Hospitalisation Details'!E:E, "No Data")</f>
        <v>03/10/83</v>
      </c>
      <c r="N1685" s="28">
        <f t="array" ref="N1685">_xlfn.XLOOKUP($A1685, 'Hospitalisation Details'!$A:$A, 'Hospitalisation Details'!K:K, "No Data")</f>
        <v>39</v>
      </c>
      <c r="O1685" s="33">
        <f t="array" ref="O1685">_xlfn.XLOOKUP($A1685, 'Hospitalisation Details'!$A:$A, 'Hospitalisation Details'!G:G, "No Data")</f>
        <v>5587.59</v>
      </c>
      <c r="P1685" s="28" t="str">
        <f t="array" ref="P1685">_xlfn.XLOOKUP($A1685, 'Hospitalisation Details'!$A:$A, 'Hospitalisation Details'!H:H, "No Data")</f>
        <v>tier - 2</v>
      </c>
    </row>
    <row r="1686">
      <c r="A1686" s="25" t="s">
        <v>4246</v>
      </c>
      <c r="B1686" s="28" t="str">
        <f t="array" ref="B1686">_xlfn.XLOOKUP($A1686, 'Customer Names'!$A:$A, 'Customer Names'!B:B, "No Data")</f>
        <v>Goldsby</v>
      </c>
      <c r="C1686" s="28">
        <f t="array" ref="C1686">_xlfn.XLOOKUP($A1686, 'Medical Examinations'!$A:$A, 'Medical Examinations'!B:B, "No Data")</f>
        <v>34.43</v>
      </c>
      <c r="D1686" s="28">
        <f t="array" ref="D1686">_xlfn.XLOOKUP($A1686, 'Medical Examinations'!$A:$A, 'Medical Examinations'!C:C, "No Data")</f>
        <v>8.62</v>
      </c>
      <c r="E1686" s="28" t="str">
        <f t="array" ref="E1686">_xlfn.XLOOKUP($A1686, 'Medical Examinations'!$A:$A, 'Medical Examinations'!D:D, "No Data")</f>
        <v>yes</v>
      </c>
      <c r="F1686" s="28" t="str">
        <f t="array" ref="F1686">_xlfn.XLOOKUP($A1686, 'Medical Examinations'!$A:$A, 'Medical Examinations'!E:E, "No Data")</f>
        <v>No</v>
      </c>
      <c r="G1686" s="28" t="str">
        <f t="array" ref="G1686">_xlfn.XLOOKUP($A1686, 'Medical Examinations'!$A:$A, 'Medical Examinations'!F:F, "No Data")</f>
        <v>No</v>
      </c>
      <c r="H1686" s="28">
        <f t="array" ref="H1686">_xlfn.XLOOKUP($A1686, 'Medical Examinations'!$A:$A, 'Medical Examinations'!G:G, "No Data")</f>
        <v>1</v>
      </c>
      <c r="I1686" s="28" t="str">
        <f t="array" ref="I1686">_xlfn.XLOOKUP($A1686, 'Medical Examinations'!$A:$A, 'Medical Examinations'!H:H, "No Data")</f>
        <v>No</v>
      </c>
      <c r="J1686" s="28" t="str">
        <f t="array" ref="J1686">_xlfn.XLOOKUP($A1686, 'Medical Examinations'!$A:$A, 'Medical Examinations'!I:I, "No Data")</f>
        <v>Obesity</v>
      </c>
      <c r="K1686" s="28" t="str">
        <f t="array" ref="K1686">_xlfn.XLOOKUP($A1686, 'Hospitalisation Details'!$A:$A, 'Hospitalisation Details'!I:I, "No Data")</f>
        <v>tier - 1</v>
      </c>
      <c r="L1686" s="28" t="str">
        <f t="array" ref="L1686">_xlfn.XLOOKUP($A1686, 'Hospitalisation Details'!$A:$A, 'Hospitalisation Details'!J:J, "No Data")</f>
        <v>R1013</v>
      </c>
      <c r="M1686" s="28" t="str">
        <f t="array" ref="M1686">_xlfn.XLOOKUP($A1686, 'Hospitalisation Details'!$A:$A, 'Hospitalisation Details'!E:E, "No Data")</f>
        <v>21/11/86</v>
      </c>
      <c r="N1686" s="28">
        <f t="array" ref="N1686">_xlfn.XLOOKUP($A1686, 'Hospitalisation Details'!$A:$A, 'Hospitalisation Details'!K:K, "No Data")</f>
        <v>36</v>
      </c>
      <c r="O1686" s="33">
        <f t="array" ref="O1686">_xlfn.XLOOKUP($A1686, 'Hospitalisation Details'!$A:$A, 'Hospitalisation Details'!G:G, "No Data")</f>
        <v>5584.31</v>
      </c>
      <c r="P1686" s="28" t="str">
        <f t="array" ref="P1686">_xlfn.XLOOKUP($A1686, 'Hospitalisation Details'!$A:$A, 'Hospitalisation Details'!H:H, "No Data")</f>
        <v>tier - 3</v>
      </c>
    </row>
    <row r="1687">
      <c r="A1687" s="25" t="s">
        <v>4240</v>
      </c>
      <c r="B1687" s="28" t="str">
        <f t="array" ref="B1687">_xlfn.XLOOKUP($A1687, 'Customer Names'!$A:$A, 'Customer Names'!B:B, "No Data")</f>
        <v>Whitney</v>
      </c>
      <c r="C1687" s="28">
        <f t="array" ref="C1687">_xlfn.XLOOKUP($A1687, 'Medical Examinations'!$A:$A, 'Medical Examinations'!B:B, "No Data")</f>
        <v>20.86</v>
      </c>
      <c r="D1687" s="28">
        <f t="array" ref="D1687">_xlfn.XLOOKUP($A1687, 'Medical Examinations'!$A:$A, 'Medical Examinations'!C:C, "No Data")</f>
        <v>4.36</v>
      </c>
      <c r="E1687" s="28" t="str">
        <f t="array" ref="E1687">_xlfn.XLOOKUP($A1687, 'Medical Examinations'!$A:$A, 'Medical Examinations'!D:D, "No Data")</f>
        <v>yes</v>
      </c>
      <c r="F1687" s="28" t="str">
        <f t="array" ref="F1687">_xlfn.XLOOKUP($A1687, 'Medical Examinations'!$A:$A, 'Medical Examinations'!E:E, "No Data")</f>
        <v>No</v>
      </c>
      <c r="G1687" s="28" t="str">
        <f t="array" ref="G1687">_xlfn.XLOOKUP($A1687, 'Medical Examinations'!$A:$A, 'Medical Examinations'!F:F, "No Data")</f>
        <v>No</v>
      </c>
      <c r="H1687" s="28">
        <f t="array" ref="H1687">_xlfn.XLOOKUP($A1687, 'Medical Examinations'!$A:$A, 'Medical Examinations'!G:G, "No Data")</f>
        <v>0</v>
      </c>
      <c r="I1687" s="28" t="str">
        <f t="array" ref="I1687">_xlfn.XLOOKUP($A1687, 'Medical Examinations'!$A:$A, 'Medical Examinations'!H:H, "No Data")</f>
        <v>No</v>
      </c>
      <c r="J1687" s="28" t="str">
        <f t="array" ref="J1687">_xlfn.XLOOKUP($A1687, 'Medical Examinations'!$A:$A, 'Medical Examinations'!I:I, "No Data")</f>
        <v>Normal Weight</v>
      </c>
      <c r="K1687" s="28" t="str">
        <f t="array" ref="K1687">_xlfn.XLOOKUP($A1687, 'Hospitalisation Details'!$A:$A, 'Hospitalisation Details'!I:I, "No Data")</f>
        <v>tier - 1</v>
      </c>
      <c r="L1687" s="28" t="str">
        <f t="array" ref="L1687">_xlfn.XLOOKUP($A1687, 'Hospitalisation Details'!$A:$A, 'Hospitalisation Details'!J:J, "No Data")</f>
        <v>R1012</v>
      </c>
      <c r="M1687" s="28" t="str">
        <f t="array" ref="M1687">_xlfn.XLOOKUP($A1687, 'Hospitalisation Details'!$A:$A, 'Hospitalisation Details'!E:E, "No Data")</f>
        <v>05/09/85</v>
      </c>
      <c r="N1687" s="28">
        <f t="array" ref="N1687">_xlfn.XLOOKUP($A1687, 'Hospitalisation Details'!$A:$A, 'Hospitalisation Details'!K:K, "No Data")</f>
        <v>37</v>
      </c>
      <c r="O1687" s="33">
        <f t="array" ref="O1687">_xlfn.XLOOKUP($A1687, 'Hospitalisation Details'!$A:$A, 'Hospitalisation Details'!G:G, "No Data")</f>
        <v>5582.95</v>
      </c>
      <c r="P1687" s="28" t="str">
        <f t="array" ref="P1687">_xlfn.XLOOKUP($A1687, 'Hospitalisation Details'!$A:$A, 'Hospitalisation Details'!H:H, "No Data")</f>
        <v>tier - 2</v>
      </c>
    </row>
    <row r="1688">
      <c r="A1688" s="25" t="s">
        <v>4233</v>
      </c>
      <c r="B1688" s="28" t="str">
        <f t="array" ref="B1688">_xlfn.XLOOKUP($A1688, 'Customer Names'!$A:$A, 'Customer Names'!B:B, "No Data")</f>
        <v>Mahoney</v>
      </c>
      <c r="C1688" s="28">
        <f t="array" ref="C1688">_xlfn.XLOOKUP($A1688, 'Medical Examinations'!$A:$A, 'Medical Examinations'!B:B, "No Data")</f>
        <v>18.34</v>
      </c>
      <c r="D1688" s="28">
        <f t="array" ref="D1688">_xlfn.XLOOKUP($A1688, 'Medical Examinations'!$A:$A, 'Medical Examinations'!C:C, "No Data")</f>
        <v>10.01</v>
      </c>
      <c r="E1688" s="28" t="str">
        <f t="array" ref="E1688">_xlfn.XLOOKUP($A1688, 'Medical Examinations'!$A:$A, 'Medical Examinations'!D:D, "No Data")</f>
        <v>No</v>
      </c>
      <c r="F1688" s="28" t="str">
        <f t="array" ref="F1688">_xlfn.XLOOKUP($A1688, 'Medical Examinations'!$A:$A, 'Medical Examinations'!E:E, "No Data")</f>
        <v>No</v>
      </c>
      <c r="G1688" s="28" t="str">
        <f t="array" ref="G1688">_xlfn.XLOOKUP($A1688, 'Medical Examinations'!$A:$A, 'Medical Examinations'!F:F, "No Data")</f>
        <v>No</v>
      </c>
      <c r="H1688" s="28">
        <f t="array" ref="H1688">_xlfn.XLOOKUP($A1688, 'Medical Examinations'!$A:$A, 'Medical Examinations'!G:G, "No Data")</f>
        <v>0</v>
      </c>
      <c r="I1688" s="28" t="str">
        <f t="array" ref="I1688">_xlfn.XLOOKUP($A1688, 'Medical Examinations'!$A:$A, 'Medical Examinations'!H:H, "No Data")</f>
        <v>No</v>
      </c>
      <c r="J1688" s="28" t="str">
        <f t="array" ref="J1688">_xlfn.XLOOKUP($A1688, 'Medical Examinations'!$A:$A, 'Medical Examinations'!I:I, "No Data")</f>
        <v>Underweight</v>
      </c>
      <c r="K1688" s="28" t="str">
        <f t="array" ref="K1688">_xlfn.XLOOKUP($A1688, 'Hospitalisation Details'!$A:$A, 'Hospitalisation Details'!I:I, "No Data")</f>
        <v>tier - 3</v>
      </c>
      <c r="L1688" s="28" t="str">
        <f t="array" ref="L1688">_xlfn.XLOOKUP($A1688, 'Hospitalisation Details'!$A:$A, 'Hospitalisation Details'!J:J, "No Data")</f>
        <v>R1013</v>
      </c>
      <c r="M1688" s="28" t="str">
        <f t="array" ref="M1688">_xlfn.XLOOKUP($A1688, 'Hospitalisation Details'!$A:$A, 'Hospitalisation Details'!E:E, "No Data")</f>
        <v>18/09/74</v>
      </c>
      <c r="N1688" s="28">
        <f t="array" ref="N1688">_xlfn.XLOOKUP($A1688, 'Hospitalisation Details'!$A:$A, 'Hospitalisation Details'!K:K, "No Data")</f>
        <v>48</v>
      </c>
      <c r="O1688" s="33">
        <f t="array" ref="O1688">_xlfn.XLOOKUP($A1688, 'Hospitalisation Details'!$A:$A, 'Hospitalisation Details'!G:G, "No Data")</f>
        <v>5576.35</v>
      </c>
      <c r="P1688" s="28" t="str">
        <f t="array" ref="P1688">_xlfn.XLOOKUP($A1688, 'Hospitalisation Details'!$A:$A, 'Hospitalisation Details'!H:H, "No Data")</f>
        <v>tier - 2</v>
      </c>
    </row>
    <row r="1689">
      <c r="A1689" s="25" t="s">
        <v>4228</v>
      </c>
      <c r="B1689" s="28" t="str">
        <f t="array" ref="B1689">_xlfn.XLOOKUP($A1689, 'Customer Names'!$A:$A, 'Customer Names'!B:B, "No Data")</f>
        <v>McCracken</v>
      </c>
      <c r="C1689" s="28">
        <f t="array" ref="C1689">_xlfn.XLOOKUP($A1689, 'Medical Examinations'!$A:$A, 'Medical Examinations'!B:B, "No Data")</f>
        <v>34.15</v>
      </c>
      <c r="D1689" s="28">
        <f t="array" ref="D1689">_xlfn.XLOOKUP($A1689, 'Medical Examinations'!$A:$A, 'Medical Examinations'!C:C, "No Data")</f>
        <v>5.42</v>
      </c>
      <c r="E1689" s="28" t="str">
        <f t="array" ref="E1689">_xlfn.XLOOKUP($A1689, 'Medical Examinations'!$A:$A, 'Medical Examinations'!D:D, "No Data")</f>
        <v>No</v>
      </c>
      <c r="F1689" s="28" t="str">
        <f t="array" ref="F1689">_xlfn.XLOOKUP($A1689, 'Medical Examinations'!$A:$A, 'Medical Examinations'!E:E, "No Data")</f>
        <v>No</v>
      </c>
      <c r="G1689" s="28" t="str">
        <f t="array" ref="G1689">_xlfn.XLOOKUP($A1689, 'Medical Examinations'!$A:$A, 'Medical Examinations'!F:F, "No Data")</f>
        <v>No</v>
      </c>
      <c r="H1689" s="28">
        <f t="array" ref="H1689">_xlfn.XLOOKUP($A1689, 'Medical Examinations'!$A:$A, 'Medical Examinations'!G:G, "No Data")</f>
        <v>0</v>
      </c>
      <c r="I1689" s="28" t="str">
        <f t="array" ref="I1689">_xlfn.XLOOKUP($A1689, 'Medical Examinations'!$A:$A, 'Medical Examinations'!H:H, "No Data")</f>
        <v>No</v>
      </c>
      <c r="J1689" s="28" t="str">
        <f t="array" ref="J1689">_xlfn.XLOOKUP($A1689, 'Medical Examinations'!$A:$A, 'Medical Examinations'!I:I, "No Data")</f>
        <v>Obesity</v>
      </c>
      <c r="K1689" s="28" t="str">
        <f t="array" ref="K1689">_xlfn.XLOOKUP($A1689, 'Hospitalisation Details'!$A:$A, 'Hospitalisation Details'!I:I, "No Data")</f>
        <v>tier - 3</v>
      </c>
      <c r="L1689" s="28" t="str">
        <f t="array" ref="L1689">_xlfn.XLOOKUP($A1689, 'Hospitalisation Details'!$A:$A, 'Hospitalisation Details'!J:J, "No Data")</f>
        <v>R1026</v>
      </c>
      <c r="M1689" s="28" t="str">
        <f t="array" ref="M1689">_xlfn.XLOOKUP($A1689, 'Hospitalisation Details'!$A:$A, 'Hospitalisation Details'!E:E, "No Data")</f>
        <v>22/09/99</v>
      </c>
      <c r="N1689" s="28">
        <f t="array" ref="N1689">_xlfn.XLOOKUP($A1689, 'Hospitalisation Details'!$A:$A, 'Hospitalisation Details'!K:K, "No Data")</f>
        <v>23</v>
      </c>
      <c r="O1689" s="33">
        <f t="array" ref="O1689">_xlfn.XLOOKUP($A1689, 'Hospitalisation Details'!$A:$A, 'Hospitalisation Details'!G:G, "No Data")</f>
        <v>5552.61</v>
      </c>
      <c r="P1689" s="28" t="str">
        <f t="array" ref="P1689">_xlfn.XLOOKUP($A1689, 'Hospitalisation Details'!$A:$A, 'Hospitalisation Details'!H:H, "No Data")</f>
        <v>tier - 2</v>
      </c>
    </row>
    <row r="1690">
      <c r="A1690" s="25" t="s">
        <v>4225</v>
      </c>
      <c r="B1690" s="28" t="str">
        <f t="array" ref="B1690">_xlfn.XLOOKUP($A1690, 'Customer Names'!$A:$A, 'Customer Names'!B:B, "No Data")</f>
        <v>Spewak</v>
      </c>
      <c r="C1690" s="28">
        <f t="array" ref="C1690">_xlfn.XLOOKUP($A1690, 'Medical Examinations'!$A:$A, 'Medical Examinations'!B:B, "No Data")</f>
        <v>18.35</v>
      </c>
      <c r="D1690" s="28">
        <f t="array" ref="D1690">_xlfn.XLOOKUP($A1690, 'Medical Examinations'!$A:$A, 'Medical Examinations'!C:C, "No Data")</f>
        <v>5.12</v>
      </c>
      <c r="E1690" s="28" t="str">
        <f t="array" ref="E1690">_xlfn.XLOOKUP($A1690, 'Medical Examinations'!$A:$A, 'Medical Examinations'!D:D, "No Data")</f>
        <v>No</v>
      </c>
      <c r="F1690" s="28" t="str">
        <f t="array" ref="F1690">_xlfn.XLOOKUP($A1690, 'Medical Examinations'!$A:$A, 'Medical Examinations'!E:E, "No Data")</f>
        <v>No</v>
      </c>
      <c r="G1690" s="28" t="str">
        <f t="array" ref="G1690">_xlfn.XLOOKUP($A1690, 'Medical Examinations'!$A:$A, 'Medical Examinations'!F:F, "No Data")</f>
        <v>No</v>
      </c>
      <c r="H1690" s="28">
        <f t="array" ref="H1690">_xlfn.XLOOKUP($A1690, 'Medical Examinations'!$A:$A, 'Medical Examinations'!G:G, "No Data")</f>
        <v>0</v>
      </c>
      <c r="I1690" s="28" t="str">
        <f t="array" ref="I1690">_xlfn.XLOOKUP($A1690, 'Medical Examinations'!$A:$A, 'Medical Examinations'!H:H, "No Data")</f>
        <v>No</v>
      </c>
      <c r="J1690" s="28" t="str">
        <f t="array" ref="J1690">_xlfn.XLOOKUP($A1690, 'Medical Examinations'!$A:$A, 'Medical Examinations'!I:I, "No Data")</f>
        <v>Underweight</v>
      </c>
      <c r="K1690" s="28" t="str">
        <f t="array" ref="K1690">_xlfn.XLOOKUP($A1690, 'Hospitalisation Details'!$A:$A, 'Hospitalisation Details'!I:I, "No Data")</f>
        <v>tier - 2</v>
      </c>
      <c r="L1690" s="28" t="str">
        <f t="array" ref="L1690">_xlfn.XLOOKUP($A1690, 'Hospitalisation Details'!$A:$A, 'Hospitalisation Details'!J:J, "No Data")</f>
        <v>R1012</v>
      </c>
      <c r="M1690" s="28" t="str">
        <f t="array" ref="M1690">_xlfn.XLOOKUP($A1690, 'Hospitalisation Details'!$A:$A, 'Hospitalisation Details'!E:E, "No Data")</f>
        <v>07/12/80</v>
      </c>
      <c r="N1690" s="28">
        <f t="array" ref="N1690">_xlfn.XLOOKUP($A1690, 'Hospitalisation Details'!$A:$A, 'Hospitalisation Details'!K:K, "No Data")</f>
        <v>42</v>
      </c>
      <c r="O1690" s="33">
        <f t="array" ref="O1690">_xlfn.XLOOKUP($A1690, 'Hospitalisation Details'!$A:$A, 'Hospitalisation Details'!G:G, "No Data")</f>
        <v>5540.35</v>
      </c>
      <c r="P1690" s="28" t="str">
        <f t="array" ref="P1690">_xlfn.XLOOKUP($A1690, 'Hospitalisation Details'!$A:$A, 'Hospitalisation Details'!H:H, "No Data")</f>
        <v>tier - 2</v>
      </c>
    </row>
    <row r="1691">
      <c r="A1691" s="25" t="s">
        <v>4221</v>
      </c>
      <c r="B1691" s="28" t="str">
        <f t="array" ref="B1691">_xlfn.XLOOKUP($A1691, 'Customer Names'!$A:$A, 'Customer Names'!B:B, "No Data")</f>
        <v>Cottini</v>
      </c>
      <c r="C1691" s="28">
        <f t="array" ref="C1691">_xlfn.XLOOKUP($A1691, 'Medical Examinations'!$A:$A, 'Medical Examinations'!B:B, "No Data")</f>
        <v>22.13</v>
      </c>
      <c r="D1691" s="28">
        <f t="array" ref="D1691">_xlfn.XLOOKUP($A1691, 'Medical Examinations'!$A:$A, 'Medical Examinations'!C:C, "No Data")</f>
        <v>9.2</v>
      </c>
      <c r="E1691" s="28" t="str">
        <f t="array" ref="E1691">_xlfn.XLOOKUP($A1691, 'Medical Examinations'!$A:$A, 'Medical Examinations'!D:D, "No Data")</f>
        <v>yes</v>
      </c>
      <c r="F1691" s="28" t="str">
        <f t="array" ref="F1691">_xlfn.XLOOKUP($A1691, 'Medical Examinations'!$A:$A, 'Medical Examinations'!E:E, "No Data")</f>
        <v>No</v>
      </c>
      <c r="G1691" s="28" t="str">
        <f t="array" ref="G1691">_xlfn.XLOOKUP($A1691, 'Medical Examinations'!$A:$A, 'Medical Examinations'!F:F, "No Data")</f>
        <v>No</v>
      </c>
      <c r="H1691" s="28">
        <f t="array" ref="H1691">_xlfn.XLOOKUP($A1691, 'Medical Examinations'!$A:$A, 'Medical Examinations'!G:G, "No Data")</f>
        <v>0</v>
      </c>
      <c r="I1691" s="28" t="str">
        <f t="array" ref="I1691">_xlfn.XLOOKUP($A1691, 'Medical Examinations'!$A:$A, 'Medical Examinations'!H:H, "No Data")</f>
        <v>No</v>
      </c>
      <c r="J1691" s="28" t="str">
        <f t="array" ref="J1691">_xlfn.XLOOKUP($A1691, 'Medical Examinations'!$A:$A, 'Medical Examinations'!I:I, "No Data")</f>
        <v>Normal Weight</v>
      </c>
      <c r="K1691" s="28" t="str">
        <f t="array" ref="K1691">_xlfn.XLOOKUP($A1691, 'Hospitalisation Details'!$A:$A, 'Hospitalisation Details'!I:I, "No Data")</f>
        <v>tier - 2</v>
      </c>
      <c r="L1691" s="28" t="str">
        <f t="array" ref="L1691">_xlfn.XLOOKUP($A1691, 'Hospitalisation Details'!$A:$A, 'Hospitalisation Details'!J:J, "No Data")</f>
        <v>R1013</v>
      </c>
      <c r="M1691" s="28" t="str">
        <f t="array" ref="M1691">_xlfn.XLOOKUP($A1691, 'Hospitalisation Details'!$A:$A, 'Hospitalisation Details'!E:E, "No Data")</f>
        <v>07/11/81</v>
      </c>
      <c r="N1691" s="28">
        <f t="array" ref="N1691">_xlfn.XLOOKUP($A1691, 'Hospitalisation Details'!$A:$A, 'Hospitalisation Details'!K:K, "No Data")</f>
        <v>41</v>
      </c>
      <c r="O1691" s="33">
        <f t="array" ref="O1691">_xlfn.XLOOKUP($A1691, 'Hospitalisation Details'!$A:$A, 'Hospitalisation Details'!G:G, "No Data")</f>
        <v>5539.4</v>
      </c>
      <c r="P1691" s="28" t="str">
        <f t="array" ref="P1691">_xlfn.XLOOKUP($A1691, 'Hospitalisation Details'!$A:$A, 'Hospitalisation Details'!H:H, "No Data")</f>
        <v>tier - 2</v>
      </c>
    </row>
    <row r="1692">
      <c r="A1692" s="25" t="s">
        <v>4215</v>
      </c>
      <c r="B1692" s="28" t="str">
        <f t="array" ref="B1692">_xlfn.XLOOKUP($A1692, 'Customer Names'!$A:$A, 'Customer Names'!B:B, "No Data")</f>
        <v>Findlay</v>
      </c>
      <c r="C1692" s="28">
        <f t="array" ref="C1692">_xlfn.XLOOKUP($A1692, 'Medical Examinations'!$A:$A, 'Medical Examinations'!B:B, "No Data")</f>
        <v>22.51</v>
      </c>
      <c r="D1692" s="28">
        <f t="array" ref="D1692">_xlfn.XLOOKUP($A1692, 'Medical Examinations'!$A:$A, 'Medical Examinations'!C:C, "No Data")</f>
        <v>6.08</v>
      </c>
      <c r="E1692" s="28" t="str">
        <f t="array" ref="E1692">_xlfn.XLOOKUP($A1692, 'Medical Examinations'!$A:$A, 'Medical Examinations'!D:D, "No Data")</f>
        <v>yes</v>
      </c>
      <c r="F1692" s="28" t="str">
        <f t="array" ref="F1692">_xlfn.XLOOKUP($A1692, 'Medical Examinations'!$A:$A, 'Medical Examinations'!E:E, "No Data")</f>
        <v>No</v>
      </c>
      <c r="G1692" s="28" t="str">
        <f t="array" ref="G1692">_xlfn.XLOOKUP($A1692, 'Medical Examinations'!$A:$A, 'Medical Examinations'!F:F, "No Data")</f>
        <v>No</v>
      </c>
      <c r="H1692" s="28">
        <f t="array" ref="H1692">_xlfn.XLOOKUP($A1692, 'Medical Examinations'!$A:$A, 'Medical Examinations'!G:G, "No Data")</f>
        <v>1</v>
      </c>
      <c r="I1692" s="28" t="str">
        <f t="array" ref="I1692">_xlfn.XLOOKUP($A1692, 'Medical Examinations'!$A:$A, 'Medical Examinations'!H:H, "No Data")</f>
        <v>No</v>
      </c>
      <c r="J1692" s="28" t="str">
        <f t="array" ref="J1692">_xlfn.XLOOKUP($A1692, 'Medical Examinations'!$A:$A, 'Medical Examinations'!I:I, "No Data")</f>
        <v>Normal Weight</v>
      </c>
      <c r="K1692" s="28" t="str">
        <f t="array" ref="K1692">_xlfn.XLOOKUP($A1692, 'Hospitalisation Details'!$A:$A, 'Hospitalisation Details'!I:I, "No Data")</f>
        <v>tier - 2</v>
      </c>
      <c r="L1692" s="28" t="str">
        <f t="array" ref="L1692">_xlfn.XLOOKUP($A1692, 'Hospitalisation Details'!$A:$A, 'Hospitalisation Details'!J:J, "No Data")</f>
        <v>R1012</v>
      </c>
      <c r="M1692" s="28" t="str">
        <f t="array" ref="M1692">_xlfn.XLOOKUP($A1692, 'Hospitalisation Details'!$A:$A, 'Hospitalisation Details'!E:E, "No Data")</f>
        <v>29/07/88</v>
      </c>
      <c r="N1692" s="28">
        <f t="array" ref="N1692">_xlfn.XLOOKUP($A1692, 'Hospitalisation Details'!$A:$A, 'Hospitalisation Details'!K:K, "No Data")</f>
        <v>34</v>
      </c>
      <c r="O1692" s="33">
        <f t="array" ref="O1692">_xlfn.XLOOKUP($A1692, 'Hospitalisation Details'!$A:$A, 'Hospitalisation Details'!G:G, "No Data")</f>
        <v>5503.36</v>
      </c>
      <c r="P1692" s="28" t="str">
        <f t="array" ref="P1692">_xlfn.XLOOKUP($A1692, 'Hospitalisation Details'!$A:$A, 'Hospitalisation Details'!H:H, "No Data")</f>
        <v>tier - 2</v>
      </c>
    </row>
    <row r="1693">
      <c r="A1693" s="25" t="s">
        <v>4210</v>
      </c>
      <c r="B1693" s="28" t="str">
        <f t="array" ref="B1693">_xlfn.XLOOKUP($A1693, 'Customer Names'!$A:$A, 'Customer Names'!B:B, "No Data")</f>
        <v>Strasburg</v>
      </c>
      <c r="C1693" s="28">
        <f t="array" ref="C1693">_xlfn.XLOOKUP($A1693, 'Medical Examinations'!$A:$A, 'Medical Examinations'!B:B, "No Data")</f>
        <v>31</v>
      </c>
      <c r="D1693" s="28">
        <f t="array" ref="D1693">_xlfn.XLOOKUP($A1693, 'Medical Examinations'!$A:$A, 'Medical Examinations'!C:C, "No Data")</f>
        <v>4.77</v>
      </c>
      <c r="E1693" s="28" t="str">
        <f t="array" ref="E1693">_xlfn.XLOOKUP($A1693, 'Medical Examinations'!$A:$A, 'Medical Examinations'!D:D, "No Data")</f>
        <v>No</v>
      </c>
      <c r="F1693" s="28" t="str">
        <f t="array" ref="F1693">_xlfn.XLOOKUP($A1693, 'Medical Examinations'!$A:$A, 'Medical Examinations'!E:E, "No Data")</f>
        <v>No</v>
      </c>
      <c r="G1693" s="28" t="str">
        <f t="array" ref="G1693">_xlfn.XLOOKUP($A1693, 'Medical Examinations'!$A:$A, 'Medical Examinations'!F:F, "No Data")</f>
        <v>No</v>
      </c>
      <c r="H1693" s="28">
        <f t="array" ref="H1693">_xlfn.XLOOKUP($A1693, 'Medical Examinations'!$A:$A, 'Medical Examinations'!G:G, "No Data")</f>
        <v>1</v>
      </c>
      <c r="I1693" s="28" t="str">
        <f t="array" ref="I1693">_xlfn.XLOOKUP($A1693, 'Medical Examinations'!$A:$A, 'Medical Examinations'!H:H, "No Data")</f>
        <v>No</v>
      </c>
      <c r="J1693" s="28" t="str">
        <f t="array" ref="J1693">_xlfn.XLOOKUP($A1693, 'Medical Examinations'!$A:$A, 'Medical Examinations'!I:I, "No Data")</f>
        <v>Obesity</v>
      </c>
      <c r="K1693" s="28" t="str">
        <f t="array" ref="K1693">_xlfn.XLOOKUP($A1693, 'Hospitalisation Details'!$A:$A, 'Hospitalisation Details'!I:I, "No Data")</f>
        <v>tier - 3</v>
      </c>
      <c r="L1693" s="28" t="str">
        <f t="array" ref="L1693">_xlfn.XLOOKUP($A1693, 'Hospitalisation Details'!$A:$A, 'Hospitalisation Details'!J:J, "No Data")</f>
        <v>R1011</v>
      </c>
      <c r="M1693" s="28" t="str">
        <f t="array" ref="M1693">_xlfn.XLOOKUP($A1693, 'Hospitalisation Details'!$A:$A, 'Hospitalisation Details'!E:E, "No Data")</f>
        <v>17/08/84</v>
      </c>
      <c r="N1693" s="28">
        <f t="array" ref="N1693">_xlfn.XLOOKUP($A1693, 'Hospitalisation Details'!$A:$A, 'Hospitalisation Details'!K:K, "No Data")</f>
        <v>38</v>
      </c>
      <c r="O1693" s="33">
        <f t="array" ref="O1693">_xlfn.XLOOKUP($A1693, 'Hospitalisation Details'!$A:$A, 'Hospitalisation Details'!G:G, "No Data")</f>
        <v>5488.26</v>
      </c>
      <c r="P1693" s="28" t="str">
        <f t="array" ref="P1693">_xlfn.XLOOKUP($A1693, 'Hospitalisation Details'!$A:$A, 'Hospitalisation Details'!H:H, "No Data")</f>
        <v>tier - 2</v>
      </c>
    </row>
    <row r="1694">
      <c r="A1694" s="25" t="s">
        <v>4206</v>
      </c>
      <c r="B1694" s="28" t="str">
        <f t="array" ref="B1694">_xlfn.XLOOKUP($A1694, 'Customer Names'!$A:$A, 'Customer Names'!B:B, "No Data")</f>
        <v>Adams</v>
      </c>
      <c r="C1694" s="28">
        <f t="array" ref="C1694">_xlfn.XLOOKUP($A1694, 'Medical Examinations'!$A:$A, 'Medical Examinations'!B:B, "No Data")</f>
        <v>28.27</v>
      </c>
      <c r="D1694" s="28">
        <f t="array" ref="D1694">_xlfn.XLOOKUP($A1694, 'Medical Examinations'!$A:$A, 'Medical Examinations'!C:C, "No Data")</f>
        <v>4.62</v>
      </c>
      <c r="E1694" s="28" t="str">
        <f t="array" ref="E1694">_xlfn.XLOOKUP($A1694, 'Medical Examinations'!$A:$A, 'Medical Examinations'!D:D, "No Data")</f>
        <v>No</v>
      </c>
      <c r="F1694" s="28" t="str">
        <f t="array" ref="F1694">_xlfn.XLOOKUP($A1694, 'Medical Examinations'!$A:$A, 'Medical Examinations'!E:E, "No Data")</f>
        <v>No</v>
      </c>
      <c r="G1694" s="28" t="str">
        <f t="array" ref="G1694">_xlfn.XLOOKUP($A1694, 'Medical Examinations'!$A:$A, 'Medical Examinations'!F:F, "No Data")</f>
        <v>No</v>
      </c>
      <c r="H1694" s="28">
        <f t="array" ref="H1694">_xlfn.XLOOKUP($A1694, 'Medical Examinations'!$A:$A, 'Medical Examinations'!G:G, "No Data")</f>
        <v>1</v>
      </c>
      <c r="I1694" s="28" t="str">
        <f t="array" ref="I1694">_xlfn.XLOOKUP($A1694, 'Medical Examinations'!$A:$A, 'Medical Examinations'!H:H, "No Data")</f>
        <v>No</v>
      </c>
      <c r="J1694" s="28" t="str">
        <f t="array" ref="J1694">_xlfn.XLOOKUP($A1694, 'Medical Examinations'!$A:$A, 'Medical Examinations'!I:I, "No Data")</f>
        <v>Overweight</v>
      </c>
      <c r="K1694" s="28" t="str">
        <f t="array" ref="K1694">_xlfn.XLOOKUP($A1694, 'Hospitalisation Details'!$A:$A, 'Hospitalisation Details'!I:I, "No Data")</f>
        <v>tier - 2</v>
      </c>
      <c r="L1694" s="28" t="str">
        <f t="array" ref="L1694">_xlfn.XLOOKUP($A1694, 'Hospitalisation Details'!$A:$A, 'Hospitalisation Details'!J:J, "No Data")</f>
        <v>R1013</v>
      </c>
      <c r="M1694" s="28" t="str">
        <f t="array" ref="M1694">_xlfn.XLOOKUP($A1694, 'Hospitalisation Details'!$A:$A, 'Hospitalisation Details'!E:E, "No Data")</f>
        <v>26/08/84</v>
      </c>
      <c r="N1694" s="28">
        <f t="array" ref="N1694">_xlfn.XLOOKUP($A1694, 'Hospitalisation Details'!$A:$A, 'Hospitalisation Details'!K:K, "No Data")</f>
        <v>38</v>
      </c>
      <c r="O1694" s="33">
        <f t="array" ref="O1694">_xlfn.XLOOKUP($A1694, 'Hospitalisation Details'!$A:$A, 'Hospitalisation Details'!G:G, "No Data")</f>
        <v>5484.47</v>
      </c>
      <c r="P1694" s="28" t="str">
        <f t="array" ref="P1694">_xlfn.XLOOKUP($A1694, 'Hospitalisation Details'!$A:$A, 'Hospitalisation Details'!H:H, "No Data")</f>
        <v>tier - 2</v>
      </c>
    </row>
    <row r="1695">
      <c r="A1695" s="25" t="s">
        <v>4199</v>
      </c>
      <c r="B1695" s="28" t="str">
        <f t="array" ref="B1695">_xlfn.XLOOKUP($A1695, 'Customer Names'!$A:$A, 'Customer Names'!B:B, "No Data")</f>
        <v>Deeter</v>
      </c>
      <c r="C1695" s="28">
        <f t="array" ref="C1695">_xlfn.XLOOKUP($A1695, 'Medical Examinations'!$A:$A, 'Medical Examinations'!B:B, "No Data")</f>
        <v>29.92</v>
      </c>
      <c r="D1695" s="28">
        <f t="array" ref="D1695">_xlfn.XLOOKUP($A1695, 'Medical Examinations'!$A:$A, 'Medical Examinations'!C:C, "No Data")</f>
        <v>9.07</v>
      </c>
      <c r="E1695" s="28" t="str">
        <f t="array" ref="E1695">_xlfn.XLOOKUP($A1695, 'Medical Examinations'!$A:$A, 'Medical Examinations'!D:D, "No Data")</f>
        <v>yes</v>
      </c>
      <c r="F1695" s="28" t="str">
        <f t="array" ref="F1695">_xlfn.XLOOKUP($A1695, 'Medical Examinations'!$A:$A, 'Medical Examinations'!E:E, "No Data")</f>
        <v>No</v>
      </c>
      <c r="G1695" s="28" t="str">
        <f t="array" ref="G1695">_xlfn.XLOOKUP($A1695, 'Medical Examinations'!$A:$A, 'Medical Examinations'!F:F, "No Data")</f>
        <v>No</v>
      </c>
      <c r="H1695" s="28">
        <f t="array" ref="H1695">_xlfn.XLOOKUP($A1695, 'Medical Examinations'!$A:$A, 'Medical Examinations'!G:G, "No Data")</f>
        <v>1</v>
      </c>
      <c r="I1695" s="28" t="str">
        <f t="array" ref="I1695">_xlfn.XLOOKUP($A1695, 'Medical Examinations'!$A:$A, 'Medical Examinations'!H:H, "No Data")</f>
        <v>No</v>
      </c>
      <c r="J1695" s="28" t="str">
        <f t="array" ref="J1695">_xlfn.XLOOKUP($A1695, 'Medical Examinations'!$A:$A, 'Medical Examinations'!I:I, "No Data")</f>
        <v>Overweight</v>
      </c>
      <c r="K1695" s="28" t="str">
        <f t="array" ref="K1695">_xlfn.XLOOKUP($A1695, 'Hospitalisation Details'!$A:$A, 'Hospitalisation Details'!I:I, "No Data")</f>
        <v>tier - 3</v>
      </c>
      <c r="L1695" s="28" t="str">
        <f t="array" ref="L1695">_xlfn.XLOOKUP($A1695, 'Hospitalisation Details'!$A:$A, 'Hospitalisation Details'!J:J, "No Data")</f>
        <v>R1013</v>
      </c>
      <c r="M1695" s="28" t="str">
        <f t="array" ref="M1695">_xlfn.XLOOKUP($A1695, 'Hospitalisation Details'!$A:$A, 'Hospitalisation Details'!E:E, "No Data")</f>
        <v>30/09/86</v>
      </c>
      <c r="N1695" s="28">
        <f t="array" ref="N1695">_xlfn.XLOOKUP($A1695, 'Hospitalisation Details'!$A:$A, 'Hospitalisation Details'!K:K, "No Data")</f>
        <v>36</v>
      </c>
      <c r="O1695" s="33">
        <f t="array" ref="O1695">_xlfn.XLOOKUP($A1695, 'Hospitalisation Details'!$A:$A, 'Hospitalisation Details'!G:G, "No Data")</f>
        <v>5478.04</v>
      </c>
      <c r="P1695" s="28" t="str">
        <f t="array" ref="P1695">_xlfn.XLOOKUP($A1695, 'Hospitalisation Details'!$A:$A, 'Hospitalisation Details'!H:H, "No Data")</f>
        <v>tier - 2</v>
      </c>
    </row>
    <row r="1696">
      <c r="A1696" s="25" t="s">
        <v>4191</v>
      </c>
      <c r="B1696" s="28" t="str">
        <f t="array" ref="B1696">_xlfn.XLOOKUP($A1696, 'Customer Names'!$A:$A, 'Customer Names'!B:B, "No Data")</f>
        <v>Arpin</v>
      </c>
      <c r="C1696" s="28">
        <f t="array" ref="C1696">_xlfn.XLOOKUP($A1696, 'Medical Examinations'!$A:$A, 'Medical Examinations'!B:B, "No Data")</f>
        <v>25.9</v>
      </c>
      <c r="D1696" s="28">
        <f t="array" ref="D1696">_xlfn.XLOOKUP($A1696, 'Medical Examinations'!$A:$A, 'Medical Examinations'!C:C, "No Data")</f>
        <v>9.12</v>
      </c>
      <c r="E1696" s="28" t="str">
        <f t="array" ref="E1696">_xlfn.XLOOKUP($A1696, 'Medical Examinations'!$A:$A, 'Medical Examinations'!D:D, "No Data")</f>
        <v>yes</v>
      </c>
      <c r="F1696" s="28" t="str">
        <f t="array" ref="F1696">_xlfn.XLOOKUP($A1696, 'Medical Examinations'!$A:$A, 'Medical Examinations'!E:E, "No Data")</f>
        <v>No</v>
      </c>
      <c r="G1696" s="28" t="str">
        <f t="array" ref="G1696">_xlfn.XLOOKUP($A1696, 'Medical Examinations'!$A:$A, 'Medical Examinations'!F:F, "No Data")</f>
        <v>No</v>
      </c>
      <c r="H1696" s="28">
        <f t="array" ref="H1696">_xlfn.XLOOKUP($A1696, 'Medical Examinations'!$A:$A, 'Medical Examinations'!G:G, "No Data")</f>
        <v>1</v>
      </c>
      <c r="I1696" s="28" t="str">
        <f t="array" ref="I1696">_xlfn.XLOOKUP($A1696, 'Medical Examinations'!$A:$A, 'Medical Examinations'!H:H, "No Data")</f>
        <v>No</v>
      </c>
      <c r="J1696" s="28" t="str">
        <f t="array" ref="J1696">_xlfn.XLOOKUP($A1696, 'Medical Examinations'!$A:$A, 'Medical Examinations'!I:I, "No Data")</f>
        <v>Overweight</v>
      </c>
      <c r="K1696" s="28" t="str">
        <f t="array" ref="K1696">_xlfn.XLOOKUP($A1696, 'Hospitalisation Details'!$A:$A, 'Hospitalisation Details'!I:I, "No Data")</f>
        <v>tier - 3</v>
      </c>
      <c r="L1696" s="28" t="str">
        <f t="array" ref="L1696">_xlfn.XLOOKUP($A1696, 'Hospitalisation Details'!$A:$A, 'Hospitalisation Details'!J:J, "No Data")</f>
        <v>R1011</v>
      </c>
      <c r="M1696" s="28" t="str">
        <f t="array" ref="M1696">_xlfn.XLOOKUP($A1696, 'Hospitalisation Details'!$A:$A, 'Hospitalisation Details'!E:E, "No Data")</f>
        <v>12/07/86</v>
      </c>
      <c r="N1696" s="28">
        <f t="array" ref="N1696">_xlfn.XLOOKUP($A1696, 'Hospitalisation Details'!$A:$A, 'Hospitalisation Details'!K:K, "No Data")</f>
        <v>36</v>
      </c>
      <c r="O1696" s="33">
        <f t="array" ref="O1696">_xlfn.XLOOKUP($A1696, 'Hospitalisation Details'!$A:$A, 'Hospitalisation Details'!G:G, "No Data")</f>
        <v>5472.45</v>
      </c>
      <c r="P1696" s="28" t="str">
        <f t="array" ref="P1696">_xlfn.XLOOKUP($A1696, 'Hospitalisation Details'!$A:$A, 'Hospitalisation Details'!H:H, "No Data")</f>
        <v>tier - 2</v>
      </c>
    </row>
    <row r="1697">
      <c r="A1697" s="25" t="s">
        <v>4185</v>
      </c>
      <c r="B1697" s="28" t="str">
        <f t="array" ref="B1697">_xlfn.XLOOKUP($A1697, 'Customer Names'!$A:$A, 'Customer Names'!B:B, "No Data")</f>
        <v>Schoeneck</v>
      </c>
      <c r="C1697" s="28">
        <f t="array" ref="C1697">_xlfn.XLOOKUP($A1697, 'Medical Examinations'!$A:$A, 'Medical Examinations'!B:B, "No Data")</f>
        <v>27.74</v>
      </c>
      <c r="D1697" s="28">
        <f t="array" ref="D1697">_xlfn.XLOOKUP($A1697, 'Medical Examinations'!$A:$A, 'Medical Examinations'!C:C, "No Data")</f>
        <v>7.32</v>
      </c>
      <c r="E1697" s="28" t="str">
        <f t="array" ref="E1697">_xlfn.XLOOKUP($A1697, 'Medical Examinations'!$A:$A, 'Medical Examinations'!D:D, "No Data")</f>
        <v>yes</v>
      </c>
      <c r="F1697" s="28" t="str">
        <f t="array" ref="F1697">_xlfn.XLOOKUP($A1697, 'Medical Examinations'!$A:$A, 'Medical Examinations'!E:E, "No Data")</f>
        <v>No</v>
      </c>
      <c r="G1697" s="28" t="str">
        <f t="array" ref="G1697">_xlfn.XLOOKUP($A1697, 'Medical Examinations'!$A:$A, 'Medical Examinations'!F:F, "No Data")</f>
        <v>No</v>
      </c>
      <c r="H1697" s="28">
        <f t="array" ref="H1697">_xlfn.XLOOKUP($A1697, 'Medical Examinations'!$A:$A, 'Medical Examinations'!G:G, "No Data")</f>
        <v>1</v>
      </c>
      <c r="I1697" s="28" t="str">
        <f t="array" ref="I1697">_xlfn.XLOOKUP($A1697, 'Medical Examinations'!$A:$A, 'Medical Examinations'!H:H, "No Data")</f>
        <v>No</v>
      </c>
      <c r="J1697" s="28" t="str">
        <f t="array" ref="J1697">_xlfn.XLOOKUP($A1697, 'Medical Examinations'!$A:$A, 'Medical Examinations'!I:I, "No Data")</f>
        <v>Overweight</v>
      </c>
      <c r="K1697" s="28" t="str">
        <f t="array" ref="K1697">_xlfn.XLOOKUP($A1697, 'Hospitalisation Details'!$A:$A, 'Hospitalisation Details'!I:I, "No Data")</f>
        <v>tier - 2</v>
      </c>
      <c r="L1697" s="28" t="str">
        <f t="array" ref="L1697">_xlfn.XLOOKUP($A1697, 'Hospitalisation Details'!$A:$A, 'Hospitalisation Details'!J:J, "No Data")</f>
        <v>R1024</v>
      </c>
      <c r="M1697" s="28" t="str">
        <f t="array" ref="M1697">_xlfn.XLOOKUP($A1697, 'Hospitalisation Details'!$A:$A, 'Hospitalisation Details'!E:E, "No Data")</f>
        <v>02/12/86</v>
      </c>
      <c r="N1697" s="28">
        <f t="array" ref="N1697">_xlfn.XLOOKUP($A1697, 'Hospitalisation Details'!$A:$A, 'Hospitalisation Details'!K:K, "No Data")</f>
        <v>36</v>
      </c>
      <c r="O1697" s="33">
        <f t="array" ref="O1697">_xlfn.XLOOKUP($A1697, 'Hospitalisation Details'!$A:$A, 'Hospitalisation Details'!G:G, "No Data")</f>
        <v>5469.01</v>
      </c>
      <c r="P1697" s="28" t="str">
        <f t="array" ref="P1697">_xlfn.XLOOKUP($A1697, 'Hospitalisation Details'!$A:$A, 'Hospitalisation Details'!H:H, "No Data")</f>
        <v>tier - 2</v>
      </c>
    </row>
    <row r="1698">
      <c r="A1698" s="25" t="s">
        <v>4180</v>
      </c>
      <c r="B1698" s="28" t="str">
        <f t="array" ref="B1698">_xlfn.XLOOKUP($A1698, 'Customer Names'!$A:$A, 'Customer Names'!B:B, "No Data")</f>
        <v>Mueller</v>
      </c>
      <c r="C1698" s="28">
        <f t="array" ref="C1698">_xlfn.XLOOKUP($A1698, 'Medical Examinations'!$A:$A, 'Medical Examinations'!B:B, "No Data")</f>
        <v>17.26</v>
      </c>
      <c r="D1698" s="28">
        <f t="array" ref="D1698">_xlfn.XLOOKUP($A1698, 'Medical Examinations'!$A:$A, 'Medical Examinations'!C:C, "No Data")</f>
        <v>11.73</v>
      </c>
      <c r="E1698" s="28" t="str">
        <f t="array" ref="E1698">_xlfn.XLOOKUP($A1698, 'Medical Examinations'!$A:$A, 'Medical Examinations'!D:D, "No Data")</f>
        <v>No</v>
      </c>
      <c r="F1698" s="28" t="str">
        <f t="array" ref="F1698">_xlfn.XLOOKUP($A1698, 'Medical Examinations'!$A:$A, 'Medical Examinations'!E:E, "No Data")</f>
        <v>No</v>
      </c>
      <c r="G1698" s="28" t="str">
        <f t="array" ref="G1698">_xlfn.XLOOKUP($A1698, 'Medical Examinations'!$A:$A, 'Medical Examinations'!F:F, "No Data")</f>
        <v>No</v>
      </c>
      <c r="H1698" s="28">
        <f t="array" ref="H1698">_xlfn.XLOOKUP($A1698, 'Medical Examinations'!$A:$A, 'Medical Examinations'!G:G, "No Data")</f>
        <v>2</v>
      </c>
      <c r="I1698" s="28" t="str">
        <f t="array" ref="I1698">_xlfn.XLOOKUP($A1698, 'Medical Examinations'!$A:$A, 'Medical Examinations'!H:H, "No Data")</f>
        <v>No</v>
      </c>
      <c r="J1698" s="28" t="str">
        <f t="array" ref="J1698">_xlfn.XLOOKUP($A1698, 'Medical Examinations'!$A:$A, 'Medical Examinations'!I:I, "No Data")</f>
        <v>Underweight</v>
      </c>
      <c r="K1698" s="28" t="str">
        <f t="array" ref="K1698">_xlfn.XLOOKUP($A1698, 'Hospitalisation Details'!$A:$A, 'Hospitalisation Details'!I:I, "No Data")</f>
        <v>tier - 2</v>
      </c>
      <c r="L1698" s="28" t="str">
        <f t="array" ref="L1698">_xlfn.XLOOKUP($A1698, 'Hospitalisation Details'!$A:$A, 'Hospitalisation Details'!J:J, "No Data")</f>
        <v>R1013</v>
      </c>
      <c r="M1698" s="28" t="str">
        <f t="array" ref="M1698">_xlfn.XLOOKUP($A1698, 'Hospitalisation Details'!$A:$A, 'Hospitalisation Details'!E:E, "No Data")</f>
        <v>24/10/73</v>
      </c>
      <c r="N1698" s="28">
        <f t="array" ref="N1698">_xlfn.XLOOKUP($A1698, 'Hospitalisation Details'!$A:$A, 'Hospitalisation Details'!K:K, "No Data")</f>
        <v>49</v>
      </c>
      <c r="O1698" s="33">
        <f t="array" ref="O1698">_xlfn.XLOOKUP($A1698, 'Hospitalisation Details'!$A:$A, 'Hospitalisation Details'!G:G, "No Data")</f>
        <v>5466.88</v>
      </c>
      <c r="P1698" s="28" t="str">
        <f t="array" ref="P1698">_xlfn.XLOOKUP($A1698, 'Hospitalisation Details'!$A:$A, 'Hospitalisation Details'!H:H, "No Data")</f>
        <v>tier - 2</v>
      </c>
    </row>
    <row r="1699">
      <c r="A1699" s="25" t="s">
        <v>4173</v>
      </c>
      <c r="B1699" s="28" t="str">
        <f t="array" ref="B1699">_xlfn.XLOOKUP($A1699, 'Customer Names'!$A:$A, 'Customer Names'!B:B, "No Data")</f>
        <v>Willits</v>
      </c>
      <c r="C1699" s="28">
        <f t="array" ref="C1699">_xlfn.XLOOKUP($A1699, 'Medical Examinations'!$A:$A, 'Medical Examinations'!B:B, "No Data")</f>
        <v>19.855</v>
      </c>
      <c r="D1699" s="28">
        <f t="array" ref="D1699">_xlfn.XLOOKUP($A1699, 'Medical Examinations'!$A:$A, 'Medical Examinations'!C:C, "No Data")</f>
        <v>6.64</v>
      </c>
      <c r="E1699" s="28" t="str">
        <f t="array" ref="E1699">_xlfn.XLOOKUP($A1699, 'Medical Examinations'!$A:$A, 'Medical Examinations'!D:D, "No Data")</f>
        <v>yes</v>
      </c>
      <c r="F1699" s="28" t="str">
        <f t="array" ref="F1699">_xlfn.XLOOKUP($A1699, 'Medical Examinations'!$A:$A, 'Medical Examinations'!E:E, "No Data")</f>
        <v>No</v>
      </c>
      <c r="G1699" s="28" t="str">
        <f t="array" ref="G1699">_xlfn.XLOOKUP($A1699, 'Medical Examinations'!$A:$A, 'Medical Examinations'!F:F, "No Data")</f>
        <v>No</v>
      </c>
      <c r="H1699" s="28">
        <f t="array" ref="H1699">_xlfn.XLOOKUP($A1699, 'Medical Examinations'!$A:$A, 'Medical Examinations'!G:G, "No Data")</f>
        <v>1</v>
      </c>
      <c r="I1699" s="28" t="str">
        <f t="array" ref="I1699">_xlfn.XLOOKUP($A1699, 'Medical Examinations'!$A:$A, 'Medical Examinations'!H:H, "No Data")</f>
        <v>No</v>
      </c>
      <c r="J1699" s="28" t="str">
        <f t="array" ref="J1699">_xlfn.XLOOKUP($A1699, 'Medical Examinations'!$A:$A, 'Medical Examinations'!I:I, "No Data")</f>
        <v>Normal Weight</v>
      </c>
      <c r="K1699" s="28" t="str">
        <f t="array" ref="K1699">_xlfn.XLOOKUP($A1699, 'Hospitalisation Details'!$A:$A, 'Hospitalisation Details'!I:I, "No Data")</f>
        <v>tier - 2</v>
      </c>
      <c r="L1699" s="28" t="str">
        <f t="array" ref="L1699">_xlfn.XLOOKUP($A1699, 'Hospitalisation Details'!$A:$A, 'Hospitalisation Details'!J:J, "No Data")</f>
        <v>R1024</v>
      </c>
      <c r="M1699" s="28" t="str">
        <f t="array" ref="M1699">_xlfn.XLOOKUP($A1699, 'Hospitalisation Details'!$A:$A, 'Hospitalisation Details'!E:E, "No Data")</f>
        <v>25/12/86</v>
      </c>
      <c r="N1699" s="28">
        <f t="array" ref="N1699">_xlfn.XLOOKUP($A1699, 'Hospitalisation Details'!$A:$A, 'Hospitalisation Details'!K:K, "No Data")</f>
        <v>36</v>
      </c>
      <c r="O1699" s="33">
        <f t="array" ref="O1699">_xlfn.XLOOKUP($A1699, 'Hospitalisation Details'!$A:$A, 'Hospitalisation Details'!G:G, "No Data")</f>
        <v>5458.05</v>
      </c>
      <c r="P1699" s="28" t="str">
        <f t="array" ref="P1699">_xlfn.XLOOKUP($A1699, 'Hospitalisation Details'!$A:$A, 'Hospitalisation Details'!H:H, "No Data")</f>
        <v>tier - 2</v>
      </c>
    </row>
    <row r="1700">
      <c r="A1700" s="25" t="s">
        <v>4165</v>
      </c>
      <c r="B1700" s="28" t="str">
        <f t="array" ref="B1700">_xlfn.XLOOKUP($A1700, 'Customer Names'!$A:$A, 'Customer Names'!B:B, "No Data")</f>
        <v>Syring</v>
      </c>
      <c r="C1700" s="28">
        <f t="array" ref="C1700">_xlfn.XLOOKUP($A1700, 'Medical Examinations'!$A:$A, 'Medical Examinations'!B:B, "No Data")</f>
        <v>41.69</v>
      </c>
      <c r="D1700" s="28">
        <f t="array" ref="D1700">_xlfn.XLOOKUP($A1700, 'Medical Examinations'!$A:$A, 'Medical Examinations'!C:C, "No Data")</f>
        <v>5.78</v>
      </c>
      <c r="E1700" s="28" t="str">
        <f t="array" ref="E1700">_xlfn.XLOOKUP($A1700, 'Medical Examinations'!$A:$A, 'Medical Examinations'!D:D, "No Data")</f>
        <v>No</v>
      </c>
      <c r="F1700" s="28" t="str">
        <f t="array" ref="F1700">_xlfn.XLOOKUP($A1700, 'Medical Examinations'!$A:$A, 'Medical Examinations'!E:E, "No Data")</f>
        <v>No</v>
      </c>
      <c r="G1700" s="28" t="str">
        <f t="array" ref="G1700">_xlfn.XLOOKUP($A1700, 'Medical Examinations'!$A:$A, 'Medical Examinations'!F:F, "No Data")</f>
        <v>No</v>
      </c>
      <c r="H1700" s="28">
        <f t="array" ref="H1700">_xlfn.XLOOKUP($A1700, 'Medical Examinations'!$A:$A, 'Medical Examinations'!G:G, "No Data")</f>
        <v>0</v>
      </c>
      <c r="I1700" s="28" t="str">
        <f t="array" ref="I1700">_xlfn.XLOOKUP($A1700, 'Medical Examinations'!$A:$A, 'Medical Examinations'!H:H, "No Data")</f>
        <v>No</v>
      </c>
      <c r="J1700" s="28" t="str">
        <f t="array" ref="J1700">_xlfn.XLOOKUP($A1700, 'Medical Examinations'!$A:$A, 'Medical Examinations'!I:I, "No Data")</f>
        <v>Obesity</v>
      </c>
      <c r="K1700" s="28" t="str">
        <f t="array" ref="K1700">_xlfn.XLOOKUP($A1700, 'Hospitalisation Details'!$A:$A, 'Hospitalisation Details'!I:I, "No Data")</f>
        <v>tier - 2</v>
      </c>
      <c r="L1700" s="28" t="str">
        <f t="array" ref="L1700">_xlfn.XLOOKUP($A1700, 'Hospitalisation Details'!$A:$A, 'Hospitalisation Details'!J:J, "No Data")</f>
        <v>R1013</v>
      </c>
      <c r="M1700" s="28" t="str">
        <f t="array" ref="M1700">_xlfn.XLOOKUP($A1700, 'Hospitalisation Details'!$A:$A, 'Hospitalisation Details'!E:E, "No Data")</f>
        <v>25/08/82</v>
      </c>
      <c r="N1700" s="28">
        <f t="array" ref="N1700">_xlfn.XLOOKUP($A1700, 'Hospitalisation Details'!$A:$A, 'Hospitalisation Details'!K:K, "No Data")</f>
        <v>40</v>
      </c>
      <c r="O1700" s="33">
        <f t="array" ref="O1700">_xlfn.XLOOKUP($A1700, 'Hospitalisation Details'!$A:$A, 'Hospitalisation Details'!G:G, "No Data")</f>
        <v>5438.75</v>
      </c>
      <c r="P1700" s="28" t="str">
        <f t="array" ref="P1700">_xlfn.XLOOKUP($A1700, 'Hospitalisation Details'!$A:$A, 'Hospitalisation Details'!H:H, "No Data")</f>
        <v>tier - 3</v>
      </c>
    </row>
    <row r="1701">
      <c r="A1701" s="25" t="s">
        <v>4160</v>
      </c>
      <c r="B1701" s="28" t="str">
        <f t="array" ref="B1701">_xlfn.XLOOKUP($A1701, 'Customer Names'!$A:$A, 'Customer Names'!B:B, "No Data")</f>
        <v>Strike</v>
      </c>
      <c r="C1701" s="28">
        <f t="array" ref="C1701">_xlfn.XLOOKUP($A1701, 'Medical Examinations'!$A:$A, 'Medical Examinations'!B:B, "No Data")</f>
        <v>16.12</v>
      </c>
      <c r="D1701" s="28">
        <f t="array" ref="D1701">_xlfn.XLOOKUP($A1701, 'Medical Examinations'!$A:$A, 'Medical Examinations'!C:C, "No Data")</f>
        <v>10.45</v>
      </c>
      <c r="E1701" s="28" t="str">
        <f t="array" ref="E1701">_xlfn.XLOOKUP($A1701, 'Medical Examinations'!$A:$A, 'Medical Examinations'!D:D, "No Data")</f>
        <v>No</v>
      </c>
      <c r="F1701" s="28" t="str">
        <f t="array" ref="F1701">_xlfn.XLOOKUP($A1701, 'Medical Examinations'!$A:$A, 'Medical Examinations'!E:E, "No Data")</f>
        <v>No</v>
      </c>
      <c r="G1701" s="28" t="str">
        <f t="array" ref="G1701">_xlfn.XLOOKUP($A1701, 'Medical Examinations'!$A:$A, 'Medical Examinations'!F:F, "No Data")</f>
        <v>No</v>
      </c>
      <c r="H1701" s="28">
        <f t="array" ref="H1701">_xlfn.XLOOKUP($A1701, 'Medical Examinations'!$A:$A, 'Medical Examinations'!G:G, "No Data")</f>
        <v>0</v>
      </c>
      <c r="I1701" s="28" t="str">
        <f t="array" ref="I1701">_xlfn.XLOOKUP($A1701, 'Medical Examinations'!$A:$A, 'Medical Examinations'!H:H, "No Data")</f>
        <v>No</v>
      </c>
      <c r="J1701" s="28" t="str">
        <f t="array" ref="J1701">_xlfn.XLOOKUP($A1701, 'Medical Examinations'!$A:$A, 'Medical Examinations'!I:I, "No Data")</f>
        <v>Underweight</v>
      </c>
      <c r="K1701" s="28" t="str">
        <f t="array" ref="K1701">_xlfn.XLOOKUP($A1701, 'Hospitalisation Details'!$A:$A, 'Hospitalisation Details'!I:I, "No Data")</f>
        <v>tier - 2</v>
      </c>
      <c r="L1701" s="28" t="str">
        <f t="array" ref="L1701">_xlfn.XLOOKUP($A1701, 'Hospitalisation Details'!$A:$A, 'Hospitalisation Details'!J:J, "No Data")</f>
        <v>R1012</v>
      </c>
      <c r="M1701" s="28" t="str">
        <f t="array" ref="M1701">_xlfn.XLOOKUP($A1701, 'Hospitalisation Details'!$A:$A, 'Hospitalisation Details'!E:E, "No Data")</f>
        <v>08/06/78</v>
      </c>
      <c r="N1701" s="28">
        <f t="array" ref="N1701">_xlfn.XLOOKUP($A1701, 'Hospitalisation Details'!$A:$A, 'Hospitalisation Details'!K:K, "No Data")</f>
        <v>45</v>
      </c>
      <c r="O1701" s="33">
        <f t="array" ref="O1701">_xlfn.XLOOKUP($A1701, 'Hospitalisation Details'!$A:$A, 'Hospitalisation Details'!G:G, "No Data")</f>
        <v>5428.98</v>
      </c>
      <c r="P1701" s="28" t="str">
        <f t="array" ref="P1701">_xlfn.XLOOKUP($A1701, 'Hospitalisation Details'!$A:$A, 'Hospitalisation Details'!H:H, "No Data")</f>
        <v>tier - 2</v>
      </c>
    </row>
    <row r="1702">
      <c r="A1702" s="25" t="s">
        <v>4156</v>
      </c>
      <c r="B1702" s="28" t="str">
        <f t="array" ref="B1702">_xlfn.XLOOKUP($A1702, 'Customer Names'!$A:$A, 'Customer Names'!B:B, "No Data")</f>
        <v>Hennigar</v>
      </c>
      <c r="C1702" s="28">
        <f t="array" ref="C1702">_xlfn.XLOOKUP($A1702, 'Medical Examinations'!$A:$A, 'Medical Examinations'!B:B, "No Data")</f>
        <v>37.43</v>
      </c>
      <c r="D1702" s="28">
        <f t="array" ref="D1702">_xlfn.XLOOKUP($A1702, 'Medical Examinations'!$A:$A, 'Medical Examinations'!C:C, "No Data")</f>
        <v>4.52</v>
      </c>
      <c r="E1702" s="28" t="str">
        <f t="array" ref="E1702">_xlfn.XLOOKUP($A1702, 'Medical Examinations'!$A:$A, 'Medical Examinations'!D:D, "No Data")</f>
        <v>No</v>
      </c>
      <c r="F1702" s="28" t="str">
        <f t="array" ref="F1702">_xlfn.XLOOKUP($A1702, 'Medical Examinations'!$A:$A, 'Medical Examinations'!E:E, "No Data")</f>
        <v>No</v>
      </c>
      <c r="G1702" s="28" t="str">
        <f t="array" ref="G1702">_xlfn.XLOOKUP($A1702, 'Medical Examinations'!$A:$A, 'Medical Examinations'!F:F, "No Data")</f>
        <v>No</v>
      </c>
      <c r="H1702" s="28">
        <f t="array" ref="H1702">_xlfn.XLOOKUP($A1702, 'Medical Examinations'!$A:$A, 'Medical Examinations'!G:G, "No Data")</f>
        <v>1</v>
      </c>
      <c r="I1702" s="28" t="str">
        <f t="array" ref="I1702">_xlfn.XLOOKUP($A1702, 'Medical Examinations'!$A:$A, 'Medical Examinations'!H:H, "No Data")</f>
        <v>No</v>
      </c>
      <c r="J1702" s="28" t="str">
        <f t="array" ref="J1702">_xlfn.XLOOKUP($A1702, 'Medical Examinations'!$A:$A, 'Medical Examinations'!I:I, "No Data")</f>
        <v>Obesity</v>
      </c>
      <c r="K1702" s="28" t="str">
        <f t="array" ref="K1702">_xlfn.XLOOKUP($A1702, 'Hospitalisation Details'!$A:$A, 'Hospitalisation Details'!I:I, "No Data")</f>
        <v>tier - 1</v>
      </c>
      <c r="L1702" s="28" t="str">
        <f t="array" ref="L1702">_xlfn.XLOOKUP($A1702, 'Hospitalisation Details'!$A:$A, 'Hospitalisation Details'!J:J, "No Data")</f>
        <v>R1017</v>
      </c>
      <c r="M1702" s="28" t="str">
        <f t="array" ref="M1702">_xlfn.XLOOKUP($A1702, 'Hospitalisation Details'!$A:$A, 'Hospitalisation Details'!E:E, "No Data")</f>
        <v>17/09/92</v>
      </c>
      <c r="N1702" s="28">
        <f t="array" ref="N1702">_xlfn.XLOOKUP($A1702, 'Hospitalisation Details'!$A:$A, 'Hospitalisation Details'!K:K, "No Data")</f>
        <v>30</v>
      </c>
      <c r="O1702" s="33">
        <f t="array" ref="O1702">_xlfn.XLOOKUP($A1702, 'Hospitalisation Details'!$A:$A, 'Hospitalisation Details'!G:G, "No Data")</f>
        <v>5428.73</v>
      </c>
      <c r="P1702" s="28" t="str">
        <f t="array" ref="P1702">_xlfn.XLOOKUP($A1702, 'Hospitalisation Details'!$A:$A, 'Hospitalisation Details'!H:H, "No Data")</f>
        <v>tier - 3</v>
      </c>
    </row>
    <row r="1703">
      <c r="A1703" s="25" t="s">
        <v>4153</v>
      </c>
      <c r="B1703" s="28" t="str">
        <f t="array" ref="B1703">_xlfn.XLOOKUP($A1703, 'Customer Names'!$A:$A, 'Customer Names'!B:B, "No Data")</f>
        <v>May</v>
      </c>
      <c r="C1703" s="28">
        <f t="array" ref="C1703">_xlfn.XLOOKUP($A1703, 'Medical Examinations'!$A:$A, 'Medical Examinations'!B:B, "No Data")</f>
        <v>31.065</v>
      </c>
      <c r="D1703" s="28">
        <f t="array" ref="D1703">_xlfn.XLOOKUP($A1703, 'Medical Examinations'!$A:$A, 'Medical Examinations'!C:C, "No Data")</f>
        <v>5.71</v>
      </c>
      <c r="E1703" s="28" t="str">
        <f t="array" ref="E1703">_xlfn.XLOOKUP($A1703, 'Medical Examinations'!$A:$A, 'Medical Examinations'!D:D, "No Data")</f>
        <v>No</v>
      </c>
      <c r="F1703" s="28" t="str">
        <f t="array" ref="F1703">_xlfn.XLOOKUP($A1703, 'Medical Examinations'!$A:$A, 'Medical Examinations'!E:E, "No Data")</f>
        <v>No</v>
      </c>
      <c r="G1703" s="28" t="str">
        <f t="array" ref="G1703">_xlfn.XLOOKUP($A1703, 'Medical Examinations'!$A:$A, 'Medical Examinations'!F:F, "No Data")</f>
        <v>No</v>
      </c>
      <c r="H1703" s="28">
        <f t="array" ref="H1703">_xlfn.XLOOKUP($A1703, 'Medical Examinations'!$A:$A, 'Medical Examinations'!G:G, "No Data")</f>
        <v>0</v>
      </c>
      <c r="I1703" s="28" t="str">
        <f t="array" ref="I1703">_xlfn.XLOOKUP($A1703, 'Medical Examinations'!$A:$A, 'Medical Examinations'!H:H, "No Data")</f>
        <v>No</v>
      </c>
      <c r="J1703" s="28" t="str">
        <f t="array" ref="J1703">_xlfn.XLOOKUP($A1703, 'Medical Examinations'!$A:$A, 'Medical Examinations'!I:I, "No Data")</f>
        <v>Obesity</v>
      </c>
      <c r="K1703" s="28" t="str">
        <f t="array" ref="K1703">_xlfn.XLOOKUP($A1703, 'Hospitalisation Details'!$A:$A, 'Hospitalisation Details'!I:I, "No Data")</f>
        <v>tier - 1</v>
      </c>
      <c r="L1703" s="28" t="str">
        <f t="array" ref="L1703">_xlfn.XLOOKUP($A1703, 'Hospitalisation Details'!$A:$A, 'Hospitalisation Details'!J:J, "No Data")</f>
        <v>R1012</v>
      </c>
      <c r="M1703" s="28" t="str">
        <f t="array" ref="M1703">_xlfn.XLOOKUP($A1703, 'Hospitalisation Details'!$A:$A, 'Hospitalisation Details'!E:E, "No Data")</f>
        <v>06/07/91</v>
      </c>
      <c r="N1703" s="28">
        <f t="array" ref="N1703">_xlfn.XLOOKUP($A1703, 'Hospitalisation Details'!$A:$A, 'Hospitalisation Details'!K:K, "No Data")</f>
        <v>31</v>
      </c>
      <c r="O1703" s="33">
        <f t="array" ref="O1703">_xlfn.XLOOKUP($A1703, 'Hospitalisation Details'!$A:$A, 'Hospitalisation Details'!G:G, "No Data")</f>
        <v>5425.02</v>
      </c>
      <c r="P1703" s="28" t="str">
        <f t="array" ref="P1703">_xlfn.XLOOKUP($A1703, 'Hospitalisation Details'!$A:$A, 'Hospitalisation Details'!H:H, "No Data")</f>
        <v>tier - 2</v>
      </c>
    </row>
    <row r="1704">
      <c r="A1704" s="25" t="s">
        <v>4146</v>
      </c>
      <c r="B1704" s="28" t="str">
        <f t="array" ref="B1704">_xlfn.XLOOKUP($A1704, 'Customer Names'!$A:$A, 'Customer Names'!B:B, "No Data")</f>
        <v>Metcalf</v>
      </c>
      <c r="C1704" s="28">
        <f t="array" ref="C1704">_xlfn.XLOOKUP($A1704, 'Medical Examinations'!$A:$A, 'Medical Examinations'!B:B, "No Data")</f>
        <v>25.08</v>
      </c>
      <c r="D1704" s="28">
        <f t="array" ref="D1704">_xlfn.XLOOKUP($A1704, 'Medical Examinations'!$A:$A, 'Medical Examinations'!C:C, "No Data")</f>
        <v>4.77</v>
      </c>
      <c r="E1704" s="28" t="str">
        <f t="array" ref="E1704">_xlfn.XLOOKUP($A1704, 'Medical Examinations'!$A:$A, 'Medical Examinations'!D:D, "No Data")</f>
        <v>No</v>
      </c>
      <c r="F1704" s="28" t="str">
        <f t="array" ref="F1704">_xlfn.XLOOKUP($A1704, 'Medical Examinations'!$A:$A, 'Medical Examinations'!E:E, "No Data")</f>
        <v>No</v>
      </c>
      <c r="G1704" s="28" t="str">
        <f t="array" ref="G1704">_xlfn.XLOOKUP($A1704, 'Medical Examinations'!$A:$A, 'Medical Examinations'!F:F, "No Data")</f>
        <v>No</v>
      </c>
      <c r="H1704" s="28">
        <f t="array" ref="H1704">_xlfn.XLOOKUP($A1704, 'Medical Examinations'!$A:$A, 'Medical Examinations'!G:G, "No Data")</f>
        <v>0</v>
      </c>
      <c r="I1704" s="28" t="str">
        <f t="array" ref="I1704">_xlfn.XLOOKUP($A1704, 'Medical Examinations'!$A:$A, 'Medical Examinations'!H:H, "No Data")</f>
        <v>No</v>
      </c>
      <c r="J1704" s="28" t="str">
        <f t="array" ref="J1704">_xlfn.XLOOKUP($A1704, 'Medical Examinations'!$A:$A, 'Medical Examinations'!I:I, "No Data")</f>
        <v>Overweight</v>
      </c>
      <c r="K1704" s="28" t="str">
        <f t="array" ref="K1704">_xlfn.XLOOKUP($A1704, 'Hospitalisation Details'!$A:$A, 'Hospitalisation Details'!I:I, "No Data")</f>
        <v>tier - 3</v>
      </c>
      <c r="L1704" s="28" t="str">
        <f t="array" ref="L1704">_xlfn.XLOOKUP($A1704, 'Hospitalisation Details'!$A:$A, 'Hospitalisation Details'!J:J, "No Data")</f>
        <v>R1013</v>
      </c>
      <c r="M1704" s="28" t="str">
        <f t="array" ref="M1704">_xlfn.XLOOKUP($A1704, 'Hospitalisation Details'!$A:$A, 'Hospitalisation Details'!E:E, "No Data")</f>
        <v>27/09/82</v>
      </c>
      <c r="N1704" s="28">
        <f t="array" ref="N1704">_xlfn.XLOOKUP($A1704, 'Hospitalisation Details'!$A:$A, 'Hospitalisation Details'!K:K, "No Data")</f>
        <v>40</v>
      </c>
      <c r="O1704" s="33">
        <f t="array" ref="O1704">_xlfn.XLOOKUP($A1704, 'Hospitalisation Details'!$A:$A, 'Hospitalisation Details'!G:G, "No Data")</f>
        <v>5415.66</v>
      </c>
      <c r="P1704" s="28" t="str">
        <f t="array" ref="P1704">_xlfn.XLOOKUP($A1704, 'Hospitalisation Details'!$A:$A, 'Hospitalisation Details'!H:H, "No Data")</f>
        <v>tier - 2</v>
      </c>
    </row>
    <row r="1705">
      <c r="A1705" s="25" t="s">
        <v>4140</v>
      </c>
      <c r="B1705" s="28" t="str">
        <f t="array" ref="B1705">_xlfn.XLOOKUP($A1705, 'Customer Names'!$A:$A, 'Customer Names'!B:B, "No Data")</f>
        <v>Tiska</v>
      </c>
      <c r="C1705" s="28">
        <f t="array" ref="C1705">_xlfn.XLOOKUP($A1705, 'Medical Examinations'!$A:$A, 'Medical Examinations'!B:B, "No Data")</f>
        <v>15.2</v>
      </c>
      <c r="D1705" s="28">
        <f t="array" ref="D1705">_xlfn.XLOOKUP($A1705, 'Medical Examinations'!$A:$A, 'Medical Examinations'!C:C, "No Data")</f>
        <v>7.81</v>
      </c>
      <c r="E1705" s="28" t="str">
        <f t="array" ref="E1705">_xlfn.XLOOKUP($A1705, 'Medical Examinations'!$A:$A, 'Medical Examinations'!D:D, "No Data")</f>
        <v>yes</v>
      </c>
      <c r="F1705" s="28" t="str">
        <f t="array" ref="F1705">_xlfn.XLOOKUP($A1705, 'Medical Examinations'!$A:$A, 'Medical Examinations'!E:E, "No Data")</f>
        <v>No</v>
      </c>
      <c r="G1705" s="28" t="str">
        <f t="array" ref="G1705">_xlfn.XLOOKUP($A1705, 'Medical Examinations'!$A:$A, 'Medical Examinations'!F:F, "No Data")</f>
        <v>No</v>
      </c>
      <c r="H1705" s="28">
        <f t="array" ref="H1705">_xlfn.XLOOKUP($A1705, 'Medical Examinations'!$A:$A, 'Medical Examinations'!G:G, "No Data")</f>
        <v>1</v>
      </c>
      <c r="I1705" s="28" t="str">
        <f t="array" ref="I1705">_xlfn.XLOOKUP($A1705, 'Medical Examinations'!$A:$A, 'Medical Examinations'!H:H, "No Data")</f>
        <v>No</v>
      </c>
      <c r="J1705" s="28" t="str">
        <f t="array" ref="J1705">_xlfn.XLOOKUP($A1705, 'Medical Examinations'!$A:$A, 'Medical Examinations'!I:I, "No Data")</f>
        <v>Underweight</v>
      </c>
      <c r="K1705" s="28" t="str">
        <f t="array" ref="K1705">_xlfn.XLOOKUP($A1705, 'Hospitalisation Details'!$A:$A, 'Hospitalisation Details'!I:I, "No Data")</f>
        <v>tier - 3</v>
      </c>
      <c r="L1705" s="28" t="str">
        <f t="array" ref="L1705">_xlfn.XLOOKUP($A1705, 'Hospitalisation Details'!$A:$A, 'Hospitalisation Details'!J:J, "No Data")</f>
        <v>R1012</v>
      </c>
      <c r="M1705" s="28" t="str">
        <f t="array" ref="M1705">_xlfn.XLOOKUP($A1705, 'Hospitalisation Details'!$A:$A, 'Hospitalisation Details'!E:E, "No Data")</f>
        <v>27/09/75</v>
      </c>
      <c r="N1705" s="28">
        <f t="array" ref="N1705">_xlfn.XLOOKUP($A1705, 'Hospitalisation Details'!$A:$A, 'Hospitalisation Details'!K:K, "No Data")</f>
        <v>47</v>
      </c>
      <c r="O1705" s="33">
        <f t="array" ref="O1705">_xlfn.XLOOKUP($A1705, 'Hospitalisation Details'!$A:$A, 'Hospitalisation Details'!G:G, "No Data")</f>
        <v>5411.99</v>
      </c>
      <c r="P1705" s="28" t="str">
        <f t="array" ref="P1705">_xlfn.XLOOKUP($A1705, 'Hospitalisation Details'!$A:$A, 'Hospitalisation Details'!H:H, "No Data")</f>
        <v>tier - 2</v>
      </c>
    </row>
    <row r="1706">
      <c r="A1706" s="25" t="s">
        <v>4135</v>
      </c>
      <c r="B1706" s="28" t="str">
        <f t="array" ref="B1706">_xlfn.XLOOKUP($A1706, 'Customer Names'!$A:$A, 'Customer Names'!B:B, "No Data")</f>
        <v>McDonough</v>
      </c>
      <c r="C1706" s="28">
        <f t="array" ref="C1706">_xlfn.XLOOKUP($A1706, 'Medical Examinations'!$A:$A, 'Medical Examinations'!B:B, "No Data")</f>
        <v>22.34</v>
      </c>
      <c r="D1706" s="28">
        <f t="array" ref="D1706">_xlfn.XLOOKUP($A1706, 'Medical Examinations'!$A:$A, 'Medical Examinations'!C:C, "No Data")</f>
        <v>5.19</v>
      </c>
      <c r="E1706" s="28" t="str">
        <f t="array" ref="E1706">_xlfn.XLOOKUP($A1706, 'Medical Examinations'!$A:$A, 'Medical Examinations'!D:D, "No Data")</f>
        <v>yes</v>
      </c>
      <c r="F1706" s="28" t="str">
        <f t="array" ref="F1706">_xlfn.XLOOKUP($A1706, 'Medical Examinations'!$A:$A, 'Medical Examinations'!E:E, "No Data")</f>
        <v>No</v>
      </c>
      <c r="G1706" s="28" t="str">
        <f t="array" ref="G1706">_xlfn.XLOOKUP($A1706, 'Medical Examinations'!$A:$A, 'Medical Examinations'!F:F, "No Data")</f>
        <v>No</v>
      </c>
      <c r="H1706" s="28">
        <f t="array" ref="H1706">_xlfn.XLOOKUP($A1706, 'Medical Examinations'!$A:$A, 'Medical Examinations'!G:G, "No Data")</f>
        <v>0</v>
      </c>
      <c r="I1706" s="28" t="str">
        <f t="array" ref="I1706">_xlfn.XLOOKUP($A1706, 'Medical Examinations'!$A:$A, 'Medical Examinations'!H:H, "No Data")</f>
        <v>No</v>
      </c>
      <c r="J1706" s="28" t="str">
        <f t="array" ref="J1706">_xlfn.XLOOKUP($A1706, 'Medical Examinations'!$A:$A, 'Medical Examinations'!I:I, "No Data")</f>
        <v>Normal Weight</v>
      </c>
      <c r="K1706" s="28" t="str">
        <f t="array" ref="K1706">_xlfn.XLOOKUP($A1706, 'Hospitalisation Details'!$A:$A, 'Hospitalisation Details'!I:I, "No Data")</f>
        <v>tier - 1</v>
      </c>
      <c r="L1706" s="28" t="str">
        <f t="array" ref="L1706">_xlfn.XLOOKUP($A1706, 'Hospitalisation Details'!$A:$A, 'Hospitalisation Details'!J:J, "No Data")</f>
        <v>R1013</v>
      </c>
      <c r="M1706" s="28" t="str">
        <f t="array" ref="M1706">_xlfn.XLOOKUP($A1706, 'Hospitalisation Details'!$A:$A, 'Hospitalisation Details'!E:E, "No Data")</f>
        <v>23/12/85</v>
      </c>
      <c r="N1706" s="28">
        <f t="array" ref="N1706">_xlfn.XLOOKUP($A1706, 'Hospitalisation Details'!$A:$A, 'Hospitalisation Details'!K:K, "No Data")</f>
        <v>37</v>
      </c>
      <c r="O1706" s="33">
        <f t="array" ref="O1706">_xlfn.XLOOKUP($A1706, 'Hospitalisation Details'!$A:$A, 'Hospitalisation Details'!G:G, "No Data")</f>
        <v>5402.89</v>
      </c>
      <c r="P1706" s="28" t="str">
        <f t="array" ref="P1706">_xlfn.XLOOKUP($A1706, 'Hospitalisation Details'!$A:$A, 'Hospitalisation Details'!H:H, "No Data")</f>
        <v>tier - 2</v>
      </c>
    </row>
    <row r="1707">
      <c r="A1707" s="25" t="s">
        <v>4129</v>
      </c>
      <c r="B1707" s="28" t="str">
        <f t="array" ref="B1707">_xlfn.XLOOKUP($A1707, 'Customer Names'!$A:$A, 'Customer Names'!B:B, "No Data")</f>
        <v>Fairley</v>
      </c>
      <c r="C1707" s="28">
        <f t="array" ref="C1707">_xlfn.XLOOKUP($A1707, 'Medical Examinations'!$A:$A, 'Medical Examinations'!B:B, "No Data")</f>
        <v>40.15</v>
      </c>
      <c r="D1707" s="28">
        <f t="array" ref="D1707">_xlfn.XLOOKUP($A1707, 'Medical Examinations'!$A:$A, 'Medical Examinations'!C:C, "No Data")</f>
        <v>5.93</v>
      </c>
      <c r="E1707" s="28" t="str">
        <f t="array" ref="E1707">_xlfn.XLOOKUP($A1707, 'Medical Examinations'!$A:$A, 'Medical Examinations'!D:D, "No Data")</f>
        <v>No</v>
      </c>
      <c r="F1707" s="28" t="str">
        <f t="array" ref="F1707">_xlfn.XLOOKUP($A1707, 'Medical Examinations'!$A:$A, 'Medical Examinations'!E:E, "No Data")</f>
        <v>No</v>
      </c>
      <c r="G1707" s="28" t="str">
        <f t="array" ref="G1707">_xlfn.XLOOKUP($A1707, 'Medical Examinations'!$A:$A, 'Medical Examinations'!F:F, "No Data")</f>
        <v>No</v>
      </c>
      <c r="H1707" s="28">
        <f t="array" ref="H1707">_xlfn.XLOOKUP($A1707, 'Medical Examinations'!$A:$A, 'Medical Examinations'!G:G, "No Data")</f>
        <v>1</v>
      </c>
      <c r="I1707" s="28" t="str">
        <f t="array" ref="I1707">_xlfn.XLOOKUP($A1707, 'Medical Examinations'!$A:$A, 'Medical Examinations'!H:H, "No Data")</f>
        <v>No</v>
      </c>
      <c r="J1707" s="28" t="str">
        <f t="array" ref="J1707">_xlfn.XLOOKUP($A1707, 'Medical Examinations'!$A:$A, 'Medical Examinations'!I:I, "No Data")</f>
        <v>Obesity</v>
      </c>
      <c r="K1707" s="28" t="str">
        <f t="array" ref="K1707">_xlfn.XLOOKUP($A1707, 'Hospitalisation Details'!$A:$A, 'Hospitalisation Details'!I:I, "No Data")</f>
        <v>tier - 2</v>
      </c>
      <c r="L1707" s="28" t="str">
        <f t="array" ref="L1707">_xlfn.XLOOKUP($A1707, 'Hospitalisation Details'!$A:$A, 'Hospitalisation Details'!J:J, "No Data")</f>
        <v>R1013</v>
      </c>
      <c r="M1707" s="28" t="str">
        <f t="array" ref="M1707">_xlfn.XLOOKUP($A1707, 'Hospitalisation Details'!$A:$A, 'Hospitalisation Details'!E:E, "No Data")</f>
        <v>01/08/84</v>
      </c>
      <c r="N1707" s="28">
        <f t="array" ref="N1707">_xlfn.XLOOKUP($A1707, 'Hospitalisation Details'!$A:$A, 'Hospitalisation Details'!K:K, "No Data")</f>
        <v>38</v>
      </c>
      <c r="O1707" s="33">
        <f t="array" ref="O1707">_xlfn.XLOOKUP($A1707, 'Hospitalisation Details'!$A:$A, 'Hospitalisation Details'!G:G, "No Data")</f>
        <v>5400.98</v>
      </c>
      <c r="P1707" s="28" t="str">
        <f t="array" ref="P1707">_xlfn.XLOOKUP($A1707, 'Hospitalisation Details'!$A:$A, 'Hospitalisation Details'!H:H, "No Data")</f>
        <v>tier - 2</v>
      </c>
    </row>
    <row r="1708">
      <c r="A1708" s="25" t="s">
        <v>4124</v>
      </c>
      <c r="B1708" s="28" t="str">
        <f t="array" ref="B1708">_xlfn.XLOOKUP($A1708, 'Customer Names'!$A:$A, 'Customer Names'!B:B, "No Data")</f>
        <v>Barnett</v>
      </c>
      <c r="C1708" s="28">
        <f t="array" ref="C1708">_xlfn.XLOOKUP($A1708, 'Medical Examinations'!$A:$A, 'Medical Examinations'!B:B, "No Data")</f>
        <v>37.73</v>
      </c>
      <c r="D1708" s="28">
        <f t="array" ref="D1708">_xlfn.XLOOKUP($A1708, 'Medical Examinations'!$A:$A, 'Medical Examinations'!C:C, "No Data")</f>
        <v>6.29</v>
      </c>
      <c r="E1708" s="28" t="str">
        <f t="array" ref="E1708">_xlfn.XLOOKUP($A1708, 'Medical Examinations'!$A:$A, 'Medical Examinations'!D:D, "No Data")</f>
        <v>No</v>
      </c>
      <c r="F1708" s="28" t="str">
        <f t="array" ref="F1708">_xlfn.XLOOKUP($A1708, 'Medical Examinations'!$A:$A, 'Medical Examinations'!E:E, "No Data")</f>
        <v>No</v>
      </c>
      <c r="G1708" s="28" t="str">
        <f t="array" ref="G1708">_xlfn.XLOOKUP($A1708, 'Medical Examinations'!$A:$A, 'Medical Examinations'!F:F, "No Data")</f>
        <v>No</v>
      </c>
      <c r="H1708" s="28">
        <f t="array" ref="H1708">_xlfn.XLOOKUP($A1708, 'Medical Examinations'!$A:$A, 'Medical Examinations'!G:G, "No Data")</f>
        <v>1</v>
      </c>
      <c r="I1708" s="28" t="str">
        <f t="array" ref="I1708">_xlfn.XLOOKUP($A1708, 'Medical Examinations'!$A:$A, 'Medical Examinations'!H:H, "No Data")</f>
        <v>No</v>
      </c>
      <c r="J1708" s="28" t="str">
        <f t="array" ref="J1708">_xlfn.XLOOKUP($A1708, 'Medical Examinations'!$A:$A, 'Medical Examinations'!I:I, "No Data")</f>
        <v>Obesity</v>
      </c>
      <c r="K1708" s="28" t="str">
        <f t="array" ref="K1708">_xlfn.XLOOKUP($A1708, 'Hospitalisation Details'!$A:$A, 'Hospitalisation Details'!I:I, "No Data")</f>
        <v>tier - 2</v>
      </c>
      <c r="L1708" s="28" t="str">
        <f t="array" ref="L1708">_xlfn.XLOOKUP($A1708, 'Hospitalisation Details'!$A:$A, 'Hospitalisation Details'!J:J, "No Data")</f>
        <v>R1013</v>
      </c>
      <c r="M1708" s="28" t="str">
        <f t="array" ref="M1708">_xlfn.XLOOKUP($A1708, 'Hospitalisation Details'!$A:$A, 'Hospitalisation Details'!E:E, "No Data")</f>
        <v>03/09/84</v>
      </c>
      <c r="N1708" s="28">
        <f t="array" ref="N1708">_xlfn.XLOOKUP($A1708, 'Hospitalisation Details'!$A:$A, 'Hospitalisation Details'!K:K, "No Data")</f>
        <v>38</v>
      </c>
      <c r="O1708" s="33">
        <f t="array" ref="O1708">_xlfn.XLOOKUP($A1708, 'Hospitalisation Details'!$A:$A, 'Hospitalisation Details'!G:G, "No Data")</f>
        <v>5397.62</v>
      </c>
      <c r="P1708" s="28" t="str">
        <f t="array" ref="P1708">_xlfn.XLOOKUP($A1708, 'Hospitalisation Details'!$A:$A, 'Hospitalisation Details'!H:H, "No Data")</f>
        <v>tier - 2</v>
      </c>
    </row>
    <row r="1709">
      <c r="A1709" s="25" t="s">
        <v>4118</v>
      </c>
      <c r="B1709" s="28" t="str">
        <f t="array" ref="B1709">_xlfn.XLOOKUP($A1709, 'Customer Names'!$A:$A, 'Customer Names'!B:B, "No Data")</f>
        <v>Piasta</v>
      </c>
      <c r="C1709" s="28">
        <f t="array" ref="C1709">_xlfn.XLOOKUP($A1709, 'Medical Examinations'!$A:$A, 'Medical Examinations'!B:B, "No Data")</f>
        <v>25.35</v>
      </c>
      <c r="D1709" s="28">
        <f t="array" ref="D1709">_xlfn.XLOOKUP($A1709, 'Medical Examinations'!$A:$A, 'Medical Examinations'!C:C, "No Data")</f>
        <v>4.9</v>
      </c>
      <c r="E1709" s="28" t="str">
        <f t="array" ref="E1709">_xlfn.XLOOKUP($A1709, 'Medical Examinations'!$A:$A, 'Medical Examinations'!D:D, "No Data")</f>
        <v>No</v>
      </c>
      <c r="F1709" s="28" t="str">
        <f t="array" ref="F1709">_xlfn.XLOOKUP($A1709, 'Medical Examinations'!$A:$A, 'Medical Examinations'!E:E, "No Data")</f>
        <v>No</v>
      </c>
      <c r="G1709" s="28" t="str">
        <f t="array" ref="G1709">_xlfn.XLOOKUP($A1709, 'Medical Examinations'!$A:$A, 'Medical Examinations'!F:F, "No Data")</f>
        <v>No</v>
      </c>
      <c r="H1709" s="28">
        <f t="array" ref="H1709">_xlfn.XLOOKUP($A1709, 'Medical Examinations'!$A:$A, 'Medical Examinations'!G:G, "No Data")</f>
        <v>0</v>
      </c>
      <c r="I1709" s="28" t="str">
        <f t="array" ref="I1709">_xlfn.XLOOKUP($A1709, 'Medical Examinations'!$A:$A, 'Medical Examinations'!H:H, "No Data")</f>
        <v>No</v>
      </c>
      <c r="J1709" s="28" t="str">
        <f t="array" ref="J1709">_xlfn.XLOOKUP($A1709, 'Medical Examinations'!$A:$A, 'Medical Examinations'!I:I, "No Data")</f>
        <v>Overweight</v>
      </c>
      <c r="K1709" s="28" t="str">
        <f t="array" ref="K1709">_xlfn.XLOOKUP($A1709, 'Hospitalisation Details'!$A:$A, 'Hospitalisation Details'!I:I, "No Data")</f>
        <v>tier - 3</v>
      </c>
      <c r="L1709" s="28" t="str">
        <f t="array" ref="L1709">_xlfn.XLOOKUP($A1709, 'Hospitalisation Details'!$A:$A, 'Hospitalisation Details'!J:J, "No Data")</f>
        <v>R1013</v>
      </c>
      <c r="M1709" s="28" t="str">
        <f t="array" ref="M1709">_xlfn.XLOOKUP($A1709, 'Hospitalisation Details'!$A:$A, 'Hospitalisation Details'!E:E, "No Data")</f>
        <v>06/11/89</v>
      </c>
      <c r="N1709" s="28">
        <f t="array" ref="N1709">_xlfn.XLOOKUP($A1709, 'Hospitalisation Details'!$A:$A, 'Hospitalisation Details'!K:K, "No Data")</f>
        <v>33</v>
      </c>
      <c r="O1709" s="33">
        <f t="array" ref="O1709">_xlfn.XLOOKUP($A1709, 'Hospitalisation Details'!$A:$A, 'Hospitalisation Details'!G:G, "No Data")</f>
        <v>5396.44</v>
      </c>
      <c r="P1709" s="28" t="str">
        <f t="array" ref="P1709">_xlfn.XLOOKUP($A1709, 'Hospitalisation Details'!$A:$A, 'Hospitalisation Details'!H:H, "No Data")</f>
        <v>tier - 2</v>
      </c>
    </row>
    <row r="1710">
      <c r="A1710" s="25" t="s">
        <v>4112</v>
      </c>
      <c r="B1710" s="28" t="str">
        <f t="array" ref="B1710">_xlfn.XLOOKUP($A1710, 'Customer Names'!$A:$A, 'Customer Names'!B:B, "No Data")</f>
        <v>Mueller</v>
      </c>
      <c r="C1710" s="28">
        <f t="array" ref="C1710">_xlfn.XLOOKUP($A1710, 'Medical Examinations'!$A:$A, 'Medical Examinations'!B:B, "No Data")</f>
        <v>26.41</v>
      </c>
      <c r="D1710" s="28">
        <f t="array" ref="D1710">_xlfn.XLOOKUP($A1710, 'Medical Examinations'!$A:$A, 'Medical Examinations'!C:C, "No Data")</f>
        <v>5.07</v>
      </c>
      <c r="E1710" s="28" t="str">
        <f t="array" ref="E1710">_xlfn.XLOOKUP($A1710, 'Medical Examinations'!$A:$A, 'Medical Examinations'!D:D, "No Data")</f>
        <v>yes</v>
      </c>
      <c r="F1710" s="28" t="str">
        <f t="array" ref="F1710">_xlfn.XLOOKUP($A1710, 'Medical Examinations'!$A:$A, 'Medical Examinations'!E:E, "No Data")</f>
        <v>No</v>
      </c>
      <c r="G1710" s="28" t="str">
        <f t="array" ref="G1710">_xlfn.XLOOKUP($A1710, 'Medical Examinations'!$A:$A, 'Medical Examinations'!F:F, "No Data")</f>
        <v>No</v>
      </c>
      <c r="H1710" s="28">
        <f t="array" ref="H1710">_xlfn.XLOOKUP($A1710, 'Medical Examinations'!$A:$A, 'Medical Examinations'!G:G, "No Data")</f>
        <v>1</v>
      </c>
      <c r="I1710" s="28" t="str">
        <f t="array" ref="I1710">_xlfn.XLOOKUP($A1710, 'Medical Examinations'!$A:$A, 'Medical Examinations'!H:H, "No Data")</f>
        <v>No</v>
      </c>
      <c r="J1710" s="28" t="str">
        <f t="array" ref="J1710">_xlfn.XLOOKUP($A1710, 'Medical Examinations'!$A:$A, 'Medical Examinations'!I:I, "No Data")</f>
        <v>Overweight</v>
      </c>
      <c r="K1710" s="28" t="str">
        <f t="array" ref="K1710">_xlfn.XLOOKUP($A1710, 'Hospitalisation Details'!$A:$A, 'Hospitalisation Details'!I:I, "No Data")</f>
        <v>tier - 3</v>
      </c>
      <c r="L1710" s="28" t="str">
        <f t="array" ref="L1710">_xlfn.XLOOKUP($A1710, 'Hospitalisation Details'!$A:$A, 'Hospitalisation Details'!J:J, "No Data")</f>
        <v>R1012</v>
      </c>
      <c r="M1710" s="28" t="str">
        <f t="array" ref="M1710">_xlfn.XLOOKUP($A1710, 'Hospitalisation Details'!$A:$A, 'Hospitalisation Details'!E:E, "No Data")</f>
        <v>08/08/88</v>
      </c>
      <c r="N1710" s="28">
        <f t="array" ref="N1710">_xlfn.XLOOKUP($A1710, 'Hospitalisation Details'!$A:$A, 'Hospitalisation Details'!K:K, "No Data")</f>
        <v>34</v>
      </c>
      <c r="O1710" s="33">
        <f t="array" ref="O1710">_xlfn.XLOOKUP($A1710, 'Hospitalisation Details'!$A:$A, 'Hospitalisation Details'!G:G, "No Data")</f>
        <v>5385.34</v>
      </c>
      <c r="P1710" s="28" t="str">
        <f t="array" ref="P1710">_xlfn.XLOOKUP($A1710, 'Hospitalisation Details'!$A:$A, 'Hospitalisation Details'!H:H, "No Data")</f>
        <v>tier - 2</v>
      </c>
    </row>
    <row r="1711">
      <c r="A1711" s="25" t="s">
        <v>4108</v>
      </c>
      <c r="B1711" s="28" t="str">
        <f t="array" ref="B1711">_xlfn.XLOOKUP($A1711, 'Customer Names'!$A:$A, 'Customer Names'!B:B, "No Data")</f>
        <v>Olsen</v>
      </c>
      <c r="C1711" s="28">
        <f t="array" ref="C1711">_xlfn.XLOOKUP($A1711, 'Medical Examinations'!$A:$A, 'Medical Examinations'!B:B, "No Data")</f>
        <v>27.6</v>
      </c>
      <c r="D1711" s="28">
        <f t="array" ref="D1711">_xlfn.XLOOKUP($A1711, 'Medical Examinations'!$A:$A, 'Medical Examinations'!C:C, "No Data")</f>
        <v>5.33</v>
      </c>
      <c r="E1711" s="28" t="str">
        <f t="array" ref="E1711">_xlfn.XLOOKUP($A1711, 'Medical Examinations'!$A:$A, 'Medical Examinations'!D:D, "No Data")</f>
        <v>No</v>
      </c>
      <c r="F1711" s="28" t="str">
        <f t="array" ref="F1711">_xlfn.XLOOKUP($A1711, 'Medical Examinations'!$A:$A, 'Medical Examinations'!E:E, "No Data")</f>
        <v>No</v>
      </c>
      <c r="G1711" s="28" t="str">
        <f t="array" ref="G1711">_xlfn.XLOOKUP($A1711, 'Medical Examinations'!$A:$A, 'Medical Examinations'!F:F, "No Data")</f>
        <v>No</v>
      </c>
      <c r="H1711" s="28">
        <f t="array" ref="H1711">_xlfn.XLOOKUP($A1711, 'Medical Examinations'!$A:$A, 'Medical Examinations'!G:G, "No Data")</f>
        <v>1</v>
      </c>
      <c r="I1711" s="28" t="str">
        <f t="array" ref="I1711">_xlfn.XLOOKUP($A1711, 'Medical Examinations'!$A:$A, 'Medical Examinations'!H:H, "No Data")</f>
        <v>No</v>
      </c>
      <c r="J1711" s="28" t="str">
        <f t="array" ref="J1711">_xlfn.XLOOKUP($A1711, 'Medical Examinations'!$A:$A, 'Medical Examinations'!I:I, "No Data")</f>
        <v>Overweight</v>
      </c>
      <c r="K1711" s="28" t="str">
        <f t="array" ref="K1711">_xlfn.XLOOKUP($A1711, 'Hospitalisation Details'!$A:$A, 'Hospitalisation Details'!I:I, "No Data")</f>
        <v>tier - 3</v>
      </c>
      <c r="L1711" s="28" t="str">
        <f t="array" ref="L1711">_xlfn.XLOOKUP($A1711, 'Hospitalisation Details'!$A:$A, 'Hospitalisation Details'!J:J, "No Data")</f>
        <v>R1011</v>
      </c>
      <c r="M1711" s="28" t="str">
        <f t="array" ref="M1711">_xlfn.XLOOKUP($A1711, 'Hospitalisation Details'!$A:$A, 'Hospitalisation Details'!E:E, "No Data")</f>
        <v>01/06/84</v>
      </c>
      <c r="N1711" s="28">
        <f t="array" ref="N1711">_xlfn.XLOOKUP($A1711, 'Hospitalisation Details'!$A:$A, 'Hospitalisation Details'!K:K, "No Data")</f>
        <v>39</v>
      </c>
      <c r="O1711" s="33">
        <f t="array" ref="O1711">_xlfn.XLOOKUP($A1711, 'Hospitalisation Details'!$A:$A, 'Hospitalisation Details'!G:G, "No Data")</f>
        <v>5383.54</v>
      </c>
      <c r="P1711" s="28" t="str">
        <f t="array" ref="P1711">_xlfn.XLOOKUP($A1711, 'Hospitalisation Details'!$A:$A, 'Hospitalisation Details'!H:H, "No Data")</f>
        <v>tier - 2</v>
      </c>
    </row>
    <row r="1712">
      <c r="A1712" s="25" t="s">
        <v>4103</v>
      </c>
      <c r="B1712" s="28" t="str">
        <f t="array" ref="B1712">_xlfn.XLOOKUP($A1712, 'Customer Names'!$A:$A, 'Customer Names'!B:B, "No Data")</f>
        <v>De Jesus</v>
      </c>
      <c r="C1712" s="28">
        <f t="array" ref="C1712">_xlfn.XLOOKUP($A1712, 'Medical Examinations'!$A:$A, 'Medical Examinations'!B:B, "No Data")</f>
        <v>33.82</v>
      </c>
      <c r="D1712" s="28">
        <f t="array" ref="D1712">_xlfn.XLOOKUP($A1712, 'Medical Examinations'!$A:$A, 'Medical Examinations'!C:C, "No Data")</f>
        <v>8.93</v>
      </c>
      <c r="E1712" s="28" t="str">
        <f t="array" ref="E1712">_xlfn.XLOOKUP($A1712, 'Medical Examinations'!$A:$A, 'Medical Examinations'!D:D, "No Data")</f>
        <v>yes</v>
      </c>
      <c r="F1712" s="28" t="str">
        <f t="array" ref="F1712">_xlfn.XLOOKUP($A1712, 'Medical Examinations'!$A:$A, 'Medical Examinations'!E:E, "No Data")</f>
        <v>No</v>
      </c>
      <c r="G1712" s="28" t="str">
        <f t="array" ref="G1712">_xlfn.XLOOKUP($A1712, 'Medical Examinations'!$A:$A, 'Medical Examinations'!F:F, "No Data")</f>
        <v>No</v>
      </c>
      <c r="H1712" s="28">
        <f t="array" ref="H1712">_xlfn.XLOOKUP($A1712, 'Medical Examinations'!$A:$A, 'Medical Examinations'!G:G, "No Data")</f>
        <v>1</v>
      </c>
      <c r="I1712" s="28" t="str">
        <f t="array" ref="I1712">_xlfn.XLOOKUP($A1712, 'Medical Examinations'!$A:$A, 'Medical Examinations'!H:H, "No Data")</f>
        <v>No</v>
      </c>
      <c r="J1712" s="28" t="str">
        <f t="array" ref="J1712">_xlfn.XLOOKUP($A1712, 'Medical Examinations'!$A:$A, 'Medical Examinations'!I:I, "No Data")</f>
        <v>Obesity</v>
      </c>
      <c r="K1712" s="28" t="str">
        <f t="array" ref="K1712">_xlfn.XLOOKUP($A1712, 'Hospitalisation Details'!$A:$A, 'Hospitalisation Details'!I:I, "No Data")</f>
        <v>tier - 3</v>
      </c>
      <c r="L1712" s="28" t="str">
        <f t="array" ref="L1712">_xlfn.XLOOKUP($A1712, 'Hospitalisation Details'!$A:$A, 'Hospitalisation Details'!J:J, "No Data")</f>
        <v>R1012</v>
      </c>
      <c r="M1712" s="28" t="str">
        <f t="array" ref="M1712">_xlfn.XLOOKUP($A1712, 'Hospitalisation Details'!$A:$A, 'Hospitalisation Details'!E:E, "No Data")</f>
        <v>22/07/86</v>
      </c>
      <c r="N1712" s="28">
        <f t="array" ref="N1712">_xlfn.XLOOKUP($A1712, 'Hospitalisation Details'!$A:$A, 'Hospitalisation Details'!K:K, "No Data")</f>
        <v>36</v>
      </c>
      <c r="O1712" s="33">
        <f t="array" ref="O1712">_xlfn.XLOOKUP($A1712, 'Hospitalisation Details'!$A:$A, 'Hospitalisation Details'!G:G, "No Data")</f>
        <v>5377.46</v>
      </c>
      <c r="P1712" s="28" t="str">
        <f t="array" ref="P1712">_xlfn.XLOOKUP($A1712, 'Hospitalisation Details'!$A:$A, 'Hospitalisation Details'!H:H, "No Data")</f>
        <v>tier - 2</v>
      </c>
    </row>
    <row r="1713">
      <c r="A1713" s="25" t="s">
        <v>4098</v>
      </c>
      <c r="B1713" s="28" t="str">
        <f t="array" ref="B1713">_xlfn.XLOOKUP($A1713, 'Customer Names'!$A:$A, 'Customer Names'!B:B, "No Data")</f>
        <v>Bartus</v>
      </c>
      <c r="C1713" s="28">
        <f t="array" ref="C1713">_xlfn.XLOOKUP($A1713, 'Medical Examinations'!$A:$A, 'Medical Examinations'!B:B, "No Data")</f>
        <v>32.9</v>
      </c>
      <c r="D1713" s="28">
        <f t="array" ref="D1713">_xlfn.XLOOKUP($A1713, 'Medical Examinations'!$A:$A, 'Medical Examinations'!C:C, "No Data")</f>
        <v>4.35</v>
      </c>
      <c r="E1713" s="28" t="str">
        <f t="array" ref="E1713">_xlfn.XLOOKUP($A1713, 'Medical Examinations'!$A:$A, 'Medical Examinations'!D:D, "No Data")</f>
        <v>No</v>
      </c>
      <c r="F1713" s="28" t="str">
        <f t="array" ref="F1713">_xlfn.XLOOKUP($A1713, 'Medical Examinations'!$A:$A, 'Medical Examinations'!E:E, "No Data")</f>
        <v>No</v>
      </c>
      <c r="G1713" s="28" t="str">
        <f t="array" ref="G1713">_xlfn.XLOOKUP($A1713, 'Medical Examinations'!$A:$A, 'Medical Examinations'!F:F, "No Data")</f>
        <v>No</v>
      </c>
      <c r="H1713" s="28">
        <f t="array" ref="H1713">_xlfn.XLOOKUP($A1713, 'Medical Examinations'!$A:$A, 'Medical Examinations'!G:G, "No Data")</f>
        <v>0</v>
      </c>
      <c r="I1713" s="28" t="str">
        <f t="array" ref="I1713">_xlfn.XLOOKUP($A1713, 'Medical Examinations'!$A:$A, 'Medical Examinations'!H:H, "No Data")</f>
        <v>No</v>
      </c>
      <c r="J1713" s="28" t="str">
        <f t="array" ref="J1713">_xlfn.XLOOKUP($A1713, 'Medical Examinations'!$A:$A, 'Medical Examinations'!I:I, "No Data")</f>
        <v>Obesity</v>
      </c>
      <c r="K1713" s="28" t="str">
        <f t="array" ref="K1713">_xlfn.XLOOKUP($A1713, 'Hospitalisation Details'!$A:$A, 'Hospitalisation Details'!I:I, "No Data")</f>
        <v>tier - 1</v>
      </c>
      <c r="L1713" s="28" t="str">
        <f t="array" ref="L1713">_xlfn.XLOOKUP($A1713, 'Hospitalisation Details'!$A:$A, 'Hospitalisation Details'!J:J, "No Data")</f>
        <v>R1011</v>
      </c>
      <c r="M1713" s="28" t="str">
        <f t="array" ref="M1713">_xlfn.XLOOKUP($A1713, 'Hospitalisation Details'!$A:$A, 'Hospitalisation Details'!E:E, "No Data")</f>
        <v>18/11/89</v>
      </c>
      <c r="N1713" s="28">
        <f t="array" ref="N1713">_xlfn.XLOOKUP($A1713, 'Hospitalisation Details'!$A:$A, 'Hospitalisation Details'!K:K, "No Data")</f>
        <v>33</v>
      </c>
      <c r="O1713" s="33">
        <f t="array" ref="O1713">_xlfn.XLOOKUP($A1713, 'Hospitalisation Details'!$A:$A, 'Hospitalisation Details'!G:G, "No Data")</f>
        <v>5375.04</v>
      </c>
      <c r="P1713" s="28" t="str">
        <f t="array" ref="P1713">_xlfn.XLOOKUP($A1713, 'Hospitalisation Details'!$A:$A, 'Hospitalisation Details'!H:H, "No Data")</f>
        <v>tier - 2</v>
      </c>
    </row>
    <row r="1714">
      <c r="A1714" s="25" t="s">
        <v>4095</v>
      </c>
      <c r="B1714" s="28" t="str">
        <f t="array" ref="B1714">_xlfn.XLOOKUP($A1714, 'Customer Names'!$A:$A, 'Customer Names'!B:B, "No Data")</f>
        <v>Stevens</v>
      </c>
      <c r="C1714" s="28">
        <f t="array" ref="C1714">_xlfn.XLOOKUP($A1714, 'Medical Examinations'!$A:$A, 'Medical Examinations'!B:B, "No Data")</f>
        <v>30.875</v>
      </c>
      <c r="D1714" s="28">
        <f t="array" ref="D1714">_xlfn.XLOOKUP($A1714, 'Medical Examinations'!$A:$A, 'Medical Examinations'!C:C, "No Data")</f>
        <v>9.54</v>
      </c>
      <c r="E1714" s="28" t="str">
        <f t="array" ref="E1714">_xlfn.XLOOKUP($A1714, 'Medical Examinations'!$A:$A, 'Medical Examinations'!D:D, "No Data")</f>
        <v>yes</v>
      </c>
      <c r="F1714" s="28" t="str">
        <f t="array" ref="F1714">_xlfn.XLOOKUP($A1714, 'Medical Examinations'!$A:$A, 'Medical Examinations'!E:E, "No Data")</f>
        <v>No</v>
      </c>
      <c r="G1714" s="28" t="str">
        <f t="array" ref="G1714">_xlfn.XLOOKUP($A1714, 'Medical Examinations'!$A:$A, 'Medical Examinations'!F:F, "No Data")</f>
        <v>No</v>
      </c>
      <c r="H1714" s="28">
        <f t="array" ref="H1714">_xlfn.XLOOKUP($A1714, 'Medical Examinations'!$A:$A, 'Medical Examinations'!G:G, "No Data")</f>
        <v>1</v>
      </c>
      <c r="I1714" s="28" t="str">
        <f t="array" ref="I1714">_xlfn.XLOOKUP($A1714, 'Medical Examinations'!$A:$A, 'Medical Examinations'!H:H, "No Data")</f>
        <v>No</v>
      </c>
      <c r="J1714" s="28" t="str">
        <f t="array" ref="J1714">_xlfn.XLOOKUP($A1714, 'Medical Examinations'!$A:$A, 'Medical Examinations'!I:I, "No Data")</f>
        <v>Obesity</v>
      </c>
      <c r="K1714" s="28" t="str">
        <f t="array" ref="K1714">_xlfn.XLOOKUP($A1714, 'Hospitalisation Details'!$A:$A, 'Hospitalisation Details'!I:I, "No Data")</f>
        <v>tier - 2</v>
      </c>
      <c r="L1714" s="28" t="str">
        <f t="array" ref="L1714">_xlfn.XLOOKUP($A1714, 'Hospitalisation Details'!$A:$A, 'Hospitalisation Details'!J:J, "No Data")</f>
        <v>R1012</v>
      </c>
      <c r="M1714" s="28" t="str">
        <f t="array" ref="M1714">_xlfn.XLOOKUP($A1714, 'Hospitalisation Details'!$A:$A, 'Hospitalisation Details'!E:E, "No Data")</f>
        <v>01/06/86</v>
      </c>
      <c r="N1714" s="28">
        <f t="array" ref="N1714">_xlfn.XLOOKUP($A1714, 'Hospitalisation Details'!$A:$A, 'Hospitalisation Details'!K:K, "No Data")</f>
        <v>37</v>
      </c>
      <c r="O1714" s="33">
        <f t="array" ref="O1714">_xlfn.XLOOKUP($A1714, 'Hospitalisation Details'!$A:$A, 'Hospitalisation Details'!G:G, "No Data")</f>
        <v>5373.36</v>
      </c>
      <c r="P1714" s="28" t="str">
        <f t="array" ref="P1714">_xlfn.XLOOKUP($A1714, 'Hospitalisation Details'!$A:$A, 'Hospitalisation Details'!H:H, "No Data")</f>
        <v>tier - 2</v>
      </c>
    </row>
    <row r="1715">
      <c r="A1715" s="25" t="s">
        <v>4093</v>
      </c>
      <c r="B1715" s="28" t="str">
        <f t="array" ref="B1715">_xlfn.XLOOKUP($A1715, 'Customer Names'!$A:$A, 'Customer Names'!B:B, "No Data")</f>
        <v>Rich</v>
      </c>
      <c r="C1715" s="28">
        <f t="array" ref="C1715">_xlfn.XLOOKUP($A1715, 'Medical Examinations'!$A:$A, 'Medical Examinations'!B:B, "No Data")</f>
        <v>32.64</v>
      </c>
      <c r="D1715" s="28">
        <f t="array" ref="D1715">_xlfn.XLOOKUP($A1715, 'Medical Examinations'!$A:$A, 'Medical Examinations'!C:C, "No Data")</f>
        <v>5.91</v>
      </c>
      <c r="E1715" s="28" t="str">
        <f t="array" ref="E1715">_xlfn.XLOOKUP($A1715, 'Medical Examinations'!$A:$A, 'Medical Examinations'!D:D, "No Data")</f>
        <v>No</v>
      </c>
      <c r="F1715" s="28" t="str">
        <f t="array" ref="F1715">_xlfn.XLOOKUP($A1715, 'Medical Examinations'!$A:$A, 'Medical Examinations'!E:E, "No Data")</f>
        <v>No</v>
      </c>
      <c r="G1715" s="28" t="str">
        <f t="array" ref="G1715">_xlfn.XLOOKUP($A1715, 'Medical Examinations'!$A:$A, 'Medical Examinations'!F:F, "No Data")</f>
        <v>No</v>
      </c>
      <c r="H1715" s="28">
        <f t="array" ref="H1715">_xlfn.XLOOKUP($A1715, 'Medical Examinations'!$A:$A, 'Medical Examinations'!G:G, "No Data")</f>
        <v>0</v>
      </c>
      <c r="I1715" s="28" t="str">
        <f t="array" ref="I1715">_xlfn.XLOOKUP($A1715, 'Medical Examinations'!$A:$A, 'Medical Examinations'!H:H, "No Data")</f>
        <v>No</v>
      </c>
      <c r="J1715" s="28" t="str">
        <f t="array" ref="J1715">_xlfn.XLOOKUP($A1715, 'Medical Examinations'!$A:$A, 'Medical Examinations'!I:I, "No Data")</f>
        <v>Obesity</v>
      </c>
      <c r="K1715" s="28" t="str">
        <f t="array" ref="K1715">_xlfn.XLOOKUP($A1715, 'Hospitalisation Details'!$A:$A, 'Hospitalisation Details'!I:I, "No Data")</f>
        <v>tier - 1</v>
      </c>
      <c r="L1715" s="28" t="str">
        <f t="array" ref="L1715">_xlfn.XLOOKUP($A1715, 'Hospitalisation Details'!$A:$A, 'Hospitalisation Details'!J:J, "No Data")</f>
        <v>R1011</v>
      </c>
      <c r="M1715" s="28" t="str">
        <f t="array" ref="M1715">_xlfn.XLOOKUP($A1715, 'Hospitalisation Details'!$A:$A, 'Hospitalisation Details'!E:E, "No Data")</f>
        <v>07/12/94</v>
      </c>
      <c r="N1715" s="28">
        <f t="array" ref="N1715">_xlfn.XLOOKUP($A1715, 'Hospitalisation Details'!$A:$A, 'Hospitalisation Details'!K:K, "No Data")</f>
        <v>28</v>
      </c>
      <c r="O1715" s="33">
        <f t="array" ref="O1715">_xlfn.XLOOKUP($A1715, 'Hospitalisation Details'!$A:$A, 'Hospitalisation Details'!G:G, "No Data")</f>
        <v>5364.66</v>
      </c>
      <c r="P1715" s="28" t="str">
        <f t="array" ref="P1715">_xlfn.XLOOKUP($A1715, 'Hospitalisation Details'!$A:$A, 'Hospitalisation Details'!H:H, "No Data")</f>
        <v>tier - 2</v>
      </c>
    </row>
    <row r="1716">
      <c r="A1716" s="25" t="s">
        <v>4089</v>
      </c>
      <c r="B1716" s="28" t="str">
        <f t="array" ref="B1716">_xlfn.XLOOKUP($A1716, 'Customer Names'!$A:$A, 'Customer Names'!B:B, "No Data")</f>
        <v>Fayter</v>
      </c>
      <c r="C1716" s="28">
        <f t="array" ref="C1716">_xlfn.XLOOKUP($A1716, 'Medical Examinations'!$A:$A, 'Medical Examinations'!B:B, "No Data")</f>
        <v>22.135</v>
      </c>
      <c r="D1716" s="28">
        <f t="array" ref="D1716">_xlfn.XLOOKUP($A1716, 'Medical Examinations'!$A:$A, 'Medical Examinations'!C:C, "No Data")</f>
        <v>5.1</v>
      </c>
      <c r="E1716" s="28" t="str">
        <f t="array" ref="E1716">_xlfn.XLOOKUP($A1716, 'Medical Examinations'!$A:$A, 'Medical Examinations'!D:D, "No Data")</f>
        <v>No</v>
      </c>
      <c r="F1716" s="28" t="str">
        <f t="array" ref="F1716">_xlfn.XLOOKUP($A1716, 'Medical Examinations'!$A:$A, 'Medical Examinations'!E:E, "No Data")</f>
        <v>No</v>
      </c>
      <c r="G1716" s="28" t="str">
        <f t="array" ref="G1716">_xlfn.XLOOKUP($A1716, 'Medical Examinations'!$A:$A, 'Medical Examinations'!F:F, "No Data")</f>
        <v>No</v>
      </c>
      <c r="H1716" s="28">
        <f t="array" ref="H1716">_xlfn.XLOOKUP($A1716, 'Medical Examinations'!$A:$A, 'Medical Examinations'!G:G, "No Data")</f>
        <v>0</v>
      </c>
      <c r="I1716" s="28" t="str">
        <f t="array" ref="I1716">_xlfn.XLOOKUP($A1716, 'Medical Examinations'!$A:$A, 'Medical Examinations'!H:H, "No Data")</f>
        <v>No</v>
      </c>
      <c r="J1716" s="28" t="str">
        <f t="array" ref="J1716">_xlfn.XLOOKUP($A1716, 'Medical Examinations'!$A:$A, 'Medical Examinations'!I:I, "No Data")</f>
        <v>Normal Weight</v>
      </c>
      <c r="K1716" s="28" t="str">
        <f t="array" ref="K1716">_xlfn.XLOOKUP($A1716, 'Hospitalisation Details'!$A:$A, 'Hospitalisation Details'!I:I, "No Data")</f>
        <v>tier - 3</v>
      </c>
      <c r="L1716" s="28" t="str">
        <f t="array" ref="L1716">_xlfn.XLOOKUP($A1716, 'Hospitalisation Details'!$A:$A, 'Hospitalisation Details'!J:J, "No Data")</f>
        <v>R1024</v>
      </c>
      <c r="M1716" s="28" t="str">
        <f t="array" ref="M1716">_xlfn.XLOOKUP($A1716, 'Hospitalisation Details'!$A:$A, 'Hospitalisation Details'!E:E, "No Data")</f>
        <v>07/11/89</v>
      </c>
      <c r="N1716" s="28">
        <f t="array" ref="N1716">_xlfn.XLOOKUP($A1716, 'Hospitalisation Details'!$A:$A, 'Hospitalisation Details'!K:K, "No Data")</f>
        <v>33</v>
      </c>
      <c r="O1716" s="33">
        <f t="array" ref="O1716">_xlfn.XLOOKUP($A1716, 'Hospitalisation Details'!$A:$A, 'Hospitalisation Details'!G:G, "No Data")</f>
        <v>5354.07</v>
      </c>
      <c r="P1716" s="28" t="str">
        <f t="array" ref="P1716">_xlfn.XLOOKUP($A1716, 'Hospitalisation Details'!$A:$A, 'Hospitalisation Details'!H:H, "No Data")</f>
        <v>tier - 2</v>
      </c>
    </row>
    <row r="1717">
      <c r="A1717" s="25" t="s">
        <v>4074</v>
      </c>
      <c r="B1717" s="28" t="str">
        <f t="array" ref="B1717">_xlfn.XLOOKUP($A1717, 'Customer Names'!$A:$A, 'Customer Names'!B:B, "No Data")</f>
        <v>Parise</v>
      </c>
      <c r="C1717" s="28">
        <f t="array" ref="C1717">_xlfn.XLOOKUP($A1717, 'Medical Examinations'!$A:$A, 'Medical Examinations'!B:B, "No Data")</f>
        <v>16.53</v>
      </c>
      <c r="D1717" s="28">
        <f t="array" ref="D1717">_xlfn.XLOOKUP($A1717, 'Medical Examinations'!$A:$A, 'Medical Examinations'!C:C, "No Data")</f>
        <v>5.08</v>
      </c>
      <c r="E1717" s="28" t="str">
        <f t="array" ref="E1717">_xlfn.XLOOKUP($A1717, 'Medical Examinations'!$A:$A, 'Medical Examinations'!D:D, "No Data")</f>
        <v>No</v>
      </c>
      <c r="F1717" s="28" t="str">
        <f t="array" ref="F1717">_xlfn.XLOOKUP($A1717, 'Medical Examinations'!$A:$A, 'Medical Examinations'!E:E, "No Data")</f>
        <v>No</v>
      </c>
      <c r="G1717" s="28" t="str">
        <f t="array" ref="G1717">_xlfn.XLOOKUP($A1717, 'Medical Examinations'!$A:$A, 'Medical Examinations'!F:F, "No Data")</f>
        <v>No</v>
      </c>
      <c r="H1717" s="28">
        <f t="array" ref="H1717">_xlfn.XLOOKUP($A1717, 'Medical Examinations'!$A:$A, 'Medical Examinations'!G:G, "No Data")</f>
        <v>2</v>
      </c>
      <c r="I1717" s="28" t="str">
        <f t="array" ref="I1717">_xlfn.XLOOKUP($A1717, 'Medical Examinations'!$A:$A, 'Medical Examinations'!H:H, "No Data")</f>
        <v>No</v>
      </c>
      <c r="J1717" s="28" t="str">
        <f t="array" ref="J1717">_xlfn.XLOOKUP($A1717, 'Medical Examinations'!$A:$A, 'Medical Examinations'!I:I, "No Data")</f>
        <v>Underweight</v>
      </c>
      <c r="K1717" s="28" t="str">
        <f t="array" ref="K1717">_xlfn.XLOOKUP($A1717, 'Hospitalisation Details'!$A:$A, 'Hospitalisation Details'!I:I, "No Data")</f>
        <v>tier - 3</v>
      </c>
      <c r="L1717" s="28" t="str">
        <f t="array" ref="L1717">_xlfn.XLOOKUP($A1717, 'Hospitalisation Details'!$A:$A, 'Hospitalisation Details'!J:J, "No Data")</f>
        <v>R1013</v>
      </c>
      <c r="M1717" s="28" t="str">
        <f t="array" ref="M1717">_xlfn.XLOOKUP($A1717, 'Hospitalisation Details'!$A:$A, 'Hospitalisation Details'!E:E, "No Data")</f>
        <v>15/12/72</v>
      </c>
      <c r="N1717" s="28">
        <f t="array" ref="N1717">_xlfn.XLOOKUP($A1717, 'Hospitalisation Details'!$A:$A, 'Hospitalisation Details'!K:K, "No Data")</f>
        <v>50</v>
      </c>
      <c r="O1717" s="33">
        <f t="array" ref="O1717">_xlfn.XLOOKUP($A1717, 'Hospitalisation Details'!$A:$A, 'Hospitalisation Details'!G:G, "No Data")</f>
        <v>5344.81</v>
      </c>
      <c r="P1717" s="28" t="str">
        <f t="array" ref="P1717">_xlfn.XLOOKUP($A1717, 'Hospitalisation Details'!$A:$A, 'Hospitalisation Details'!H:H, "No Data")</f>
        <v>tier - 2</v>
      </c>
    </row>
    <row r="1718">
      <c r="A1718" s="25" t="s">
        <v>4069</v>
      </c>
      <c r="B1718" s="28" t="str">
        <f t="array" ref="B1718">_xlfn.XLOOKUP($A1718, 'Customer Names'!$A:$A, 'Customer Names'!B:B, "No Data")</f>
        <v>Andrew</v>
      </c>
      <c r="C1718" s="28">
        <f t="array" ref="C1718">_xlfn.XLOOKUP($A1718, 'Medical Examinations'!$A:$A, 'Medical Examinations'!B:B, "No Data")</f>
        <v>32.775</v>
      </c>
      <c r="D1718" s="28">
        <f t="array" ref="D1718">_xlfn.XLOOKUP($A1718, 'Medical Examinations'!$A:$A, 'Medical Examinations'!C:C, "No Data")</f>
        <v>4.75</v>
      </c>
      <c r="E1718" s="28" t="str">
        <f t="array" ref="E1718">_xlfn.XLOOKUP($A1718, 'Medical Examinations'!$A:$A, 'Medical Examinations'!D:D, "No Data")</f>
        <v>No</v>
      </c>
      <c r="F1718" s="28" t="str">
        <f t="array" ref="F1718">_xlfn.XLOOKUP($A1718, 'Medical Examinations'!$A:$A, 'Medical Examinations'!E:E, "No Data")</f>
        <v>No</v>
      </c>
      <c r="G1718" s="28" t="str">
        <f t="array" ref="G1718">_xlfn.XLOOKUP($A1718, 'Medical Examinations'!$A:$A, 'Medical Examinations'!F:F, "No Data")</f>
        <v>No</v>
      </c>
      <c r="H1718" s="28">
        <f t="array" ref="H1718">_xlfn.XLOOKUP($A1718, 'Medical Examinations'!$A:$A, 'Medical Examinations'!G:G, "No Data")</f>
        <v>0</v>
      </c>
      <c r="I1718" s="28" t="str">
        <f t="array" ref="I1718">_xlfn.XLOOKUP($A1718, 'Medical Examinations'!$A:$A, 'Medical Examinations'!H:H, "No Data")</f>
        <v>No</v>
      </c>
      <c r="J1718" s="28" t="str">
        <f t="array" ref="J1718">_xlfn.XLOOKUP($A1718, 'Medical Examinations'!$A:$A, 'Medical Examinations'!I:I, "No Data")</f>
        <v>Obesity</v>
      </c>
      <c r="K1718" s="28" t="str">
        <f t="array" ref="K1718">_xlfn.XLOOKUP($A1718, 'Hospitalisation Details'!$A:$A, 'Hospitalisation Details'!I:I, "No Data")</f>
        <v>tier - 1</v>
      </c>
      <c r="L1718" s="28" t="str">
        <f t="array" ref="L1718">_xlfn.XLOOKUP($A1718, 'Hospitalisation Details'!$A:$A, 'Hospitalisation Details'!J:J, "No Data")</f>
        <v>R1012</v>
      </c>
      <c r="M1718" s="28" t="str">
        <f t="array" ref="M1718">_xlfn.XLOOKUP($A1718, 'Hospitalisation Details'!$A:$A, 'Hospitalisation Details'!E:E, "No Data")</f>
        <v>28/08/91</v>
      </c>
      <c r="N1718" s="28">
        <f t="array" ref="N1718">_xlfn.XLOOKUP($A1718, 'Hospitalisation Details'!$A:$A, 'Hospitalisation Details'!K:K, "No Data")</f>
        <v>31</v>
      </c>
      <c r="O1718" s="33">
        <f t="array" ref="O1718">_xlfn.XLOOKUP($A1718, 'Hospitalisation Details'!$A:$A, 'Hospitalisation Details'!G:G, "No Data")</f>
        <v>5327.4</v>
      </c>
      <c r="P1718" s="28" t="str">
        <f t="array" ref="P1718">_xlfn.XLOOKUP($A1718, 'Hospitalisation Details'!$A:$A, 'Hospitalisation Details'!H:H, "No Data")</f>
        <v>tier - 2</v>
      </c>
    </row>
    <row r="1719">
      <c r="A1719" s="25" t="s">
        <v>4064</v>
      </c>
      <c r="B1719" s="28" t="str">
        <f t="array" ref="B1719">_xlfn.XLOOKUP($A1719, 'Customer Names'!$A:$A, 'Customer Names'!B:B, "No Data")</f>
        <v>Gryniewicz</v>
      </c>
      <c r="C1719" s="28">
        <f t="array" ref="C1719">_xlfn.XLOOKUP($A1719, 'Medical Examinations'!$A:$A, 'Medical Examinations'!B:B, "No Data")</f>
        <v>30.9</v>
      </c>
      <c r="D1719" s="28">
        <f t="array" ref="D1719">_xlfn.XLOOKUP($A1719, 'Medical Examinations'!$A:$A, 'Medical Examinations'!C:C, "No Data")</f>
        <v>6.05</v>
      </c>
      <c r="E1719" s="28" t="str">
        <f t="array" ref="E1719">_xlfn.XLOOKUP($A1719, 'Medical Examinations'!$A:$A, 'Medical Examinations'!D:D, "No Data")</f>
        <v>No</v>
      </c>
      <c r="F1719" s="28" t="str">
        <f t="array" ref="F1719">_xlfn.XLOOKUP($A1719, 'Medical Examinations'!$A:$A, 'Medical Examinations'!E:E, "No Data")</f>
        <v>No</v>
      </c>
      <c r="G1719" s="28" t="str">
        <f t="array" ref="G1719">_xlfn.XLOOKUP($A1719, 'Medical Examinations'!$A:$A, 'Medical Examinations'!F:F, "No Data")</f>
        <v>No</v>
      </c>
      <c r="H1719" s="28">
        <f t="array" ref="H1719">_xlfn.XLOOKUP($A1719, 'Medical Examinations'!$A:$A, 'Medical Examinations'!G:G, "No Data")</f>
        <v>1</v>
      </c>
      <c r="I1719" s="28" t="str">
        <f t="array" ref="I1719">_xlfn.XLOOKUP($A1719, 'Medical Examinations'!$A:$A, 'Medical Examinations'!H:H, "No Data")</f>
        <v>No</v>
      </c>
      <c r="J1719" s="28" t="str">
        <f t="array" ref="J1719">_xlfn.XLOOKUP($A1719, 'Medical Examinations'!$A:$A, 'Medical Examinations'!I:I, "No Data")</f>
        <v>Obesity</v>
      </c>
      <c r="K1719" s="28" t="str">
        <f t="array" ref="K1719">_xlfn.XLOOKUP($A1719, 'Hospitalisation Details'!$A:$A, 'Hospitalisation Details'!I:I, "No Data")</f>
        <v>tier - 1</v>
      </c>
      <c r="L1719" s="28" t="str">
        <f t="array" ref="L1719">_xlfn.XLOOKUP($A1719, 'Hospitalisation Details'!$A:$A, 'Hospitalisation Details'!J:J, "No Data")</f>
        <v>R1011</v>
      </c>
      <c r="M1719" s="28" t="str">
        <f t="array" ref="M1719">_xlfn.XLOOKUP($A1719, 'Hospitalisation Details'!$A:$A, 'Hospitalisation Details'!E:E, "No Data")</f>
        <v>18/06/92</v>
      </c>
      <c r="N1719" s="28">
        <f t="array" ref="N1719">_xlfn.XLOOKUP($A1719, 'Hospitalisation Details'!$A:$A, 'Hospitalisation Details'!K:K, "No Data")</f>
        <v>30</v>
      </c>
      <c r="O1719" s="33">
        <f t="array" ref="O1719">_xlfn.XLOOKUP($A1719, 'Hospitalisation Details'!$A:$A, 'Hospitalisation Details'!G:G, "No Data")</f>
        <v>5325.65</v>
      </c>
      <c r="P1719" s="28" t="str">
        <f t="array" ref="P1719">_xlfn.XLOOKUP($A1719, 'Hospitalisation Details'!$A:$A, 'Hospitalisation Details'!H:H, "No Data")</f>
        <v>tier - 2</v>
      </c>
    </row>
    <row r="1720">
      <c r="A1720" s="25" t="s">
        <v>4059</v>
      </c>
      <c r="B1720" s="28" t="str">
        <f t="array" ref="B1720">_xlfn.XLOOKUP($A1720, 'Customer Names'!$A:$A, 'Customer Names'!B:B, "No Data")</f>
        <v>Panora</v>
      </c>
      <c r="C1720" s="28">
        <f t="array" ref="C1720">_xlfn.XLOOKUP($A1720, 'Medical Examinations'!$A:$A, 'Medical Examinations'!B:B, "No Data")</f>
        <v>15.58</v>
      </c>
      <c r="D1720" s="28">
        <f t="array" ref="D1720">_xlfn.XLOOKUP($A1720, 'Medical Examinations'!$A:$A, 'Medical Examinations'!C:C, "No Data")</f>
        <v>11.56</v>
      </c>
      <c r="E1720" s="28" t="str">
        <f t="array" ref="E1720">_xlfn.XLOOKUP($A1720, 'Medical Examinations'!$A:$A, 'Medical Examinations'!D:D, "No Data")</f>
        <v>No</v>
      </c>
      <c r="F1720" s="28" t="str">
        <f t="array" ref="F1720">_xlfn.XLOOKUP($A1720, 'Medical Examinations'!$A:$A, 'Medical Examinations'!E:E, "No Data")</f>
        <v>No</v>
      </c>
      <c r="G1720" s="28" t="str">
        <f t="array" ref="G1720">_xlfn.XLOOKUP($A1720, 'Medical Examinations'!$A:$A, 'Medical Examinations'!F:F, "No Data")</f>
        <v>No</v>
      </c>
      <c r="H1720" s="28">
        <f t="array" ref="H1720">_xlfn.XLOOKUP($A1720, 'Medical Examinations'!$A:$A, 'Medical Examinations'!G:G, "No Data")</f>
        <v>0</v>
      </c>
      <c r="I1720" s="28" t="str">
        <f t="array" ref="I1720">_xlfn.XLOOKUP($A1720, 'Medical Examinations'!$A:$A, 'Medical Examinations'!H:H, "No Data")</f>
        <v>No</v>
      </c>
      <c r="J1720" s="28" t="str">
        <f t="array" ref="J1720">_xlfn.XLOOKUP($A1720, 'Medical Examinations'!$A:$A, 'Medical Examinations'!I:I, "No Data")</f>
        <v>Underweight</v>
      </c>
      <c r="K1720" s="28" t="str">
        <f t="array" ref="K1720">_xlfn.XLOOKUP($A1720, 'Hospitalisation Details'!$A:$A, 'Hospitalisation Details'!I:I, "No Data")</f>
        <v>tier - 1</v>
      </c>
      <c r="L1720" s="28" t="str">
        <f t="array" ref="L1720">_xlfn.XLOOKUP($A1720, 'Hospitalisation Details'!$A:$A, 'Hospitalisation Details'!J:J, "No Data")</f>
        <v>R1012</v>
      </c>
      <c r="M1720" s="28" t="str">
        <f t="array" ref="M1720">_xlfn.XLOOKUP($A1720, 'Hospitalisation Details'!$A:$A, 'Hospitalisation Details'!E:E, "No Data")</f>
        <v>02/09/74</v>
      </c>
      <c r="N1720" s="28">
        <f t="array" ref="N1720">_xlfn.XLOOKUP($A1720, 'Hospitalisation Details'!$A:$A, 'Hospitalisation Details'!K:K, "No Data")</f>
        <v>48</v>
      </c>
      <c r="O1720" s="33">
        <f t="array" ref="O1720">_xlfn.XLOOKUP($A1720, 'Hospitalisation Details'!$A:$A, 'Hospitalisation Details'!G:G, "No Data")</f>
        <v>5322.24</v>
      </c>
      <c r="P1720" s="28" t="str">
        <f t="array" ref="P1720">_xlfn.XLOOKUP($A1720, 'Hospitalisation Details'!$A:$A, 'Hospitalisation Details'!H:H, "No Data")</f>
        <v>tier - 2</v>
      </c>
    </row>
    <row r="1721">
      <c r="A1721" s="25" t="s">
        <v>4054</v>
      </c>
      <c r="B1721" s="28" t="str">
        <f t="array" ref="B1721">_xlfn.XLOOKUP($A1721, 'Customer Names'!$A:$A, 'Customer Names'!B:B, "No Data")</f>
        <v>Woodward</v>
      </c>
      <c r="C1721" s="28">
        <f t="array" ref="C1721">_xlfn.XLOOKUP($A1721, 'Medical Examinations'!$A:$A, 'Medical Examinations'!B:B, "No Data")</f>
        <v>26.315</v>
      </c>
      <c r="D1721" s="28">
        <f t="array" ref="D1721">_xlfn.XLOOKUP($A1721, 'Medical Examinations'!$A:$A, 'Medical Examinations'!C:C, "No Data")</f>
        <v>5.76</v>
      </c>
      <c r="E1721" s="28" t="str">
        <f t="array" ref="E1721">_xlfn.XLOOKUP($A1721, 'Medical Examinations'!$A:$A, 'Medical Examinations'!D:D, "No Data")</f>
        <v>No</v>
      </c>
      <c r="F1721" s="28" t="str">
        <f t="array" ref="F1721">_xlfn.XLOOKUP($A1721, 'Medical Examinations'!$A:$A, 'Medical Examinations'!E:E, "No Data")</f>
        <v>No</v>
      </c>
      <c r="G1721" s="28" t="str">
        <f t="array" ref="G1721">_xlfn.XLOOKUP($A1721, 'Medical Examinations'!$A:$A, 'Medical Examinations'!F:F, "No Data")</f>
        <v>No</v>
      </c>
      <c r="H1721" s="28">
        <f t="array" ref="H1721">_xlfn.XLOOKUP($A1721, 'Medical Examinations'!$A:$A, 'Medical Examinations'!G:G, "No Data")</f>
        <v>0</v>
      </c>
      <c r="I1721" s="28" t="str">
        <f t="array" ref="I1721">_xlfn.XLOOKUP($A1721, 'Medical Examinations'!$A:$A, 'Medical Examinations'!H:H, "No Data")</f>
        <v>No</v>
      </c>
      <c r="J1721" s="28" t="str">
        <f t="array" ref="J1721">_xlfn.XLOOKUP($A1721, 'Medical Examinations'!$A:$A, 'Medical Examinations'!I:I, "No Data")</f>
        <v>Overweight</v>
      </c>
      <c r="K1721" s="28" t="str">
        <f t="array" ref="K1721">_xlfn.XLOOKUP($A1721, 'Hospitalisation Details'!$A:$A, 'Hospitalisation Details'!I:I, "No Data")</f>
        <v>tier - 2</v>
      </c>
      <c r="L1721" s="28" t="str">
        <f t="array" ref="L1721">_xlfn.XLOOKUP($A1721, 'Hospitalisation Details'!$A:$A, 'Hospitalisation Details'!J:J, "No Data")</f>
        <v>R1012</v>
      </c>
      <c r="M1721" s="28" t="str">
        <f t="array" ref="M1721">_xlfn.XLOOKUP($A1721, 'Hospitalisation Details'!$A:$A, 'Hospitalisation Details'!E:E, "No Data")</f>
        <v>13/11/94</v>
      </c>
      <c r="N1721" s="28">
        <f t="array" ref="N1721">_xlfn.XLOOKUP($A1721, 'Hospitalisation Details'!$A:$A, 'Hospitalisation Details'!K:K, "No Data")</f>
        <v>28</v>
      </c>
      <c r="O1721" s="33">
        <f t="array" ref="O1721">_xlfn.XLOOKUP($A1721, 'Hospitalisation Details'!$A:$A, 'Hospitalisation Details'!G:G, "No Data")</f>
        <v>5312.17</v>
      </c>
      <c r="P1721" s="28" t="str">
        <f t="array" ref="P1721">_xlfn.XLOOKUP($A1721, 'Hospitalisation Details'!$A:$A, 'Hospitalisation Details'!H:H, "No Data")</f>
        <v>tier - 2</v>
      </c>
    </row>
    <row r="1722">
      <c r="A1722" s="25" t="s">
        <v>4053</v>
      </c>
      <c r="B1722" s="28" t="str">
        <f t="array" ref="B1722">_xlfn.XLOOKUP($A1722, 'Customer Names'!$A:$A, 'Customer Names'!B:B, "No Data")</f>
        <v>Lambe</v>
      </c>
      <c r="C1722" s="28">
        <f t="array" ref="C1722">_xlfn.XLOOKUP($A1722, 'Medical Examinations'!$A:$A, 'Medical Examinations'!B:B, "No Data")</f>
        <v>35.61</v>
      </c>
      <c r="D1722" s="28">
        <f t="array" ref="D1722">_xlfn.XLOOKUP($A1722, 'Medical Examinations'!$A:$A, 'Medical Examinations'!C:C, "No Data")</f>
        <v>5.65</v>
      </c>
      <c r="E1722" s="28" t="str">
        <f t="array" ref="E1722">_xlfn.XLOOKUP($A1722, 'Medical Examinations'!$A:$A, 'Medical Examinations'!D:D, "No Data")</f>
        <v>No</v>
      </c>
      <c r="F1722" s="28" t="str">
        <f t="array" ref="F1722">_xlfn.XLOOKUP($A1722, 'Medical Examinations'!$A:$A, 'Medical Examinations'!E:E, "No Data")</f>
        <v>yes</v>
      </c>
      <c r="G1722" s="28" t="str">
        <f t="array" ref="G1722">_xlfn.XLOOKUP($A1722, 'Medical Examinations'!$A:$A, 'Medical Examinations'!F:F, "No Data")</f>
        <v>No</v>
      </c>
      <c r="H1722" s="28">
        <f t="array" ref="H1722">_xlfn.XLOOKUP($A1722, 'Medical Examinations'!$A:$A, 'Medical Examinations'!G:G, "No Data")</f>
        <v>1</v>
      </c>
      <c r="I1722" s="28" t="str">
        <f t="array" ref="I1722">_xlfn.XLOOKUP($A1722, 'Medical Examinations'!$A:$A, 'Medical Examinations'!H:H, "No Data")</f>
        <v>No</v>
      </c>
      <c r="J1722" s="28" t="str">
        <f t="array" ref="J1722">_xlfn.XLOOKUP($A1722, 'Medical Examinations'!$A:$A, 'Medical Examinations'!I:I, "No Data")</f>
        <v>Obesity</v>
      </c>
      <c r="K1722" s="28" t="str">
        <f t="array" ref="K1722">_xlfn.XLOOKUP($A1722, 'Hospitalisation Details'!$A:$A, 'Hospitalisation Details'!I:I, "No Data")</f>
        <v>tier - 3</v>
      </c>
      <c r="L1722" s="28" t="str">
        <f t="array" ref="L1722">_xlfn.XLOOKUP($A1722, 'Hospitalisation Details'!$A:$A, 'Hospitalisation Details'!J:J, "No Data")</f>
        <v>R1012</v>
      </c>
      <c r="M1722" s="28" t="str">
        <f t="array" ref="M1722">_xlfn.XLOOKUP($A1722, 'Hospitalisation Details'!$A:$A, 'Hospitalisation Details'!E:E, "No Data")</f>
        <v>09/09/00</v>
      </c>
      <c r="N1722" s="28">
        <f t="array" ref="N1722">_xlfn.XLOOKUP($A1722, 'Hospitalisation Details'!$A:$A, 'Hospitalisation Details'!K:K, "No Data")</f>
        <v>22</v>
      </c>
      <c r="O1722" s="33">
        <f t="array" ref="O1722">_xlfn.XLOOKUP($A1722, 'Hospitalisation Details'!$A:$A, 'Hospitalisation Details'!G:G, "No Data")</f>
        <v>5306.7</v>
      </c>
      <c r="P1722" s="28" t="str">
        <f t="array" ref="P1722">_xlfn.XLOOKUP($A1722, 'Hospitalisation Details'!$A:$A, 'Hospitalisation Details'!H:H, "No Data")</f>
        <v>tier - 2</v>
      </c>
    </row>
    <row r="1723">
      <c r="A1723" s="25" t="s">
        <v>4049</v>
      </c>
      <c r="B1723" s="28" t="str">
        <f t="array" ref="B1723">_xlfn.XLOOKUP($A1723, 'Customer Names'!$A:$A, 'Customer Names'!B:B, "No Data")</f>
        <v>Casto</v>
      </c>
      <c r="C1723" s="28">
        <f t="array" ref="C1723">_xlfn.XLOOKUP($A1723, 'Medical Examinations'!$A:$A, 'Medical Examinations'!B:B, "No Data")</f>
        <v>37.56</v>
      </c>
      <c r="D1723" s="28">
        <f t="array" ref="D1723">_xlfn.XLOOKUP($A1723, 'Medical Examinations'!$A:$A, 'Medical Examinations'!C:C, "No Data")</f>
        <v>5.88</v>
      </c>
      <c r="E1723" s="28" t="str">
        <f t="array" ref="E1723">_xlfn.XLOOKUP($A1723, 'Medical Examinations'!$A:$A, 'Medical Examinations'!D:D, "No Data")</f>
        <v>No</v>
      </c>
      <c r="F1723" s="28" t="str">
        <f t="array" ref="F1723">_xlfn.XLOOKUP($A1723, 'Medical Examinations'!$A:$A, 'Medical Examinations'!E:E, "No Data")</f>
        <v>yes</v>
      </c>
      <c r="G1723" s="28" t="str">
        <f t="array" ref="G1723">_xlfn.XLOOKUP($A1723, 'Medical Examinations'!$A:$A, 'Medical Examinations'!F:F, "No Data")</f>
        <v>No</v>
      </c>
      <c r="H1723" s="28">
        <f t="array" ref="H1723">_xlfn.XLOOKUP($A1723, 'Medical Examinations'!$A:$A, 'Medical Examinations'!G:G, "No Data")</f>
        <v>1</v>
      </c>
      <c r="I1723" s="28" t="str">
        <f t="array" ref="I1723">_xlfn.XLOOKUP($A1723, 'Medical Examinations'!$A:$A, 'Medical Examinations'!H:H, "No Data")</f>
        <v>No</v>
      </c>
      <c r="J1723" s="28" t="str">
        <f t="array" ref="J1723">_xlfn.XLOOKUP($A1723, 'Medical Examinations'!$A:$A, 'Medical Examinations'!I:I, "No Data")</f>
        <v>Obesity</v>
      </c>
      <c r="K1723" s="28" t="str">
        <f t="array" ref="K1723">_xlfn.XLOOKUP($A1723, 'Hospitalisation Details'!$A:$A, 'Hospitalisation Details'!I:I, "No Data")</f>
        <v>tier - 2</v>
      </c>
      <c r="L1723" s="28" t="str">
        <f t="array" ref="L1723">_xlfn.XLOOKUP($A1723, 'Hospitalisation Details'!$A:$A, 'Hospitalisation Details'!J:J, "No Data")</f>
        <v>R1022</v>
      </c>
      <c r="M1723" s="28" t="str">
        <f t="array" ref="M1723">_xlfn.XLOOKUP($A1723, 'Hospitalisation Details'!$A:$A, 'Hospitalisation Details'!E:E, "No Data")</f>
        <v>22/08/04</v>
      </c>
      <c r="N1723" s="28">
        <f t="array" ref="N1723">_xlfn.XLOOKUP($A1723, 'Hospitalisation Details'!$A:$A, 'Hospitalisation Details'!K:K, "No Data")</f>
        <v>18</v>
      </c>
      <c r="O1723" s="33">
        <f t="array" ref="O1723">_xlfn.XLOOKUP($A1723, 'Hospitalisation Details'!$A:$A, 'Hospitalisation Details'!G:G, "No Data")</f>
        <v>5293.67</v>
      </c>
      <c r="P1723" s="28" t="str">
        <f t="array" ref="P1723">_xlfn.XLOOKUP($A1723, 'Hospitalisation Details'!$A:$A, 'Hospitalisation Details'!H:H, "No Data")</f>
        <v>tier - 2</v>
      </c>
    </row>
    <row r="1724">
      <c r="A1724" s="25" t="s">
        <v>4044</v>
      </c>
      <c r="B1724" s="28" t="str">
        <f t="array" ref="B1724">_xlfn.XLOOKUP($A1724, 'Customer Names'!$A:$A, 'Customer Names'!B:B, "No Data")</f>
        <v>Martelli</v>
      </c>
      <c r="C1724" s="28">
        <f t="array" ref="C1724">_xlfn.XLOOKUP($A1724, 'Medical Examinations'!$A:$A, 'Medical Examinations'!B:B, "No Data")</f>
        <v>15.49</v>
      </c>
      <c r="D1724" s="28">
        <f t="array" ref="D1724">_xlfn.XLOOKUP($A1724, 'Medical Examinations'!$A:$A, 'Medical Examinations'!C:C, "No Data")</f>
        <v>9.6</v>
      </c>
      <c r="E1724" s="28" t="str">
        <f t="array" ref="E1724">_xlfn.XLOOKUP($A1724, 'Medical Examinations'!$A:$A, 'Medical Examinations'!D:D, "No Data")</f>
        <v>No</v>
      </c>
      <c r="F1724" s="28" t="str">
        <f t="array" ref="F1724">_xlfn.XLOOKUP($A1724, 'Medical Examinations'!$A:$A, 'Medical Examinations'!E:E, "No Data")</f>
        <v>No</v>
      </c>
      <c r="G1724" s="28" t="str">
        <f t="array" ref="G1724">_xlfn.XLOOKUP($A1724, 'Medical Examinations'!$A:$A, 'Medical Examinations'!F:F, "No Data")</f>
        <v>No</v>
      </c>
      <c r="H1724" s="28">
        <f t="array" ref="H1724">_xlfn.XLOOKUP($A1724, 'Medical Examinations'!$A:$A, 'Medical Examinations'!G:G, "No Data")</f>
        <v>0</v>
      </c>
      <c r="I1724" s="28" t="str">
        <f t="array" ref="I1724">_xlfn.XLOOKUP($A1724, 'Medical Examinations'!$A:$A, 'Medical Examinations'!H:H, "No Data")</f>
        <v>No</v>
      </c>
      <c r="J1724" s="28" t="str">
        <f t="array" ref="J1724">_xlfn.XLOOKUP($A1724, 'Medical Examinations'!$A:$A, 'Medical Examinations'!I:I, "No Data")</f>
        <v>Underweight</v>
      </c>
      <c r="K1724" s="28" t="str">
        <f t="array" ref="K1724">_xlfn.XLOOKUP($A1724, 'Hospitalisation Details'!$A:$A, 'Hospitalisation Details'!I:I, "No Data")</f>
        <v>tier - 2</v>
      </c>
      <c r="L1724" s="28" t="str">
        <f t="array" ref="L1724">_xlfn.XLOOKUP($A1724, 'Hospitalisation Details'!$A:$A, 'Hospitalisation Details'!J:J, "No Data")</f>
        <v>R1012</v>
      </c>
      <c r="M1724" s="28" t="str">
        <f t="array" ref="M1724">_xlfn.XLOOKUP($A1724, 'Hospitalisation Details'!$A:$A, 'Hospitalisation Details'!E:E, "No Data")</f>
        <v>12/11/74</v>
      </c>
      <c r="N1724" s="28">
        <f t="array" ref="N1724">_xlfn.XLOOKUP($A1724, 'Hospitalisation Details'!$A:$A, 'Hospitalisation Details'!K:K, "No Data")</f>
        <v>48</v>
      </c>
      <c r="O1724" s="33">
        <f t="array" ref="O1724">_xlfn.XLOOKUP($A1724, 'Hospitalisation Details'!$A:$A, 'Hospitalisation Details'!G:G, "No Data")</f>
        <v>5291.71</v>
      </c>
      <c r="P1724" s="28" t="str">
        <f t="array" ref="P1724">_xlfn.XLOOKUP($A1724, 'Hospitalisation Details'!$A:$A, 'Hospitalisation Details'!H:H, "No Data")</f>
        <v>tier - 2</v>
      </c>
    </row>
    <row r="1725">
      <c r="A1725" s="25" t="s">
        <v>4039</v>
      </c>
      <c r="B1725" s="28" t="str">
        <f t="array" ref="B1725">_xlfn.XLOOKUP($A1725, 'Customer Names'!$A:$A, 'Customer Names'!B:B, "No Data")</f>
        <v>Naskret</v>
      </c>
      <c r="C1725" s="28">
        <f t="array" ref="C1725">_xlfn.XLOOKUP($A1725, 'Medical Examinations'!$A:$A, 'Medical Examinations'!B:B, "No Data")</f>
        <v>23.48</v>
      </c>
      <c r="D1725" s="28">
        <f t="array" ref="D1725">_xlfn.XLOOKUP($A1725, 'Medical Examinations'!$A:$A, 'Medical Examinations'!C:C, "No Data")</f>
        <v>6.24</v>
      </c>
      <c r="E1725" s="28" t="str">
        <f t="array" ref="E1725">_xlfn.XLOOKUP($A1725, 'Medical Examinations'!$A:$A, 'Medical Examinations'!D:D, "No Data")</f>
        <v>No</v>
      </c>
      <c r="F1725" s="28" t="str">
        <f t="array" ref="F1725">_xlfn.XLOOKUP($A1725, 'Medical Examinations'!$A:$A, 'Medical Examinations'!E:E, "No Data")</f>
        <v>No</v>
      </c>
      <c r="G1725" s="28" t="str">
        <f t="array" ref="G1725">_xlfn.XLOOKUP($A1725, 'Medical Examinations'!$A:$A, 'Medical Examinations'!F:F, "No Data")</f>
        <v>No</v>
      </c>
      <c r="H1725" s="28">
        <f t="array" ref="H1725">_xlfn.XLOOKUP($A1725, 'Medical Examinations'!$A:$A, 'Medical Examinations'!G:G, "No Data")</f>
        <v>1</v>
      </c>
      <c r="I1725" s="28" t="str">
        <f t="array" ref="I1725">_xlfn.XLOOKUP($A1725, 'Medical Examinations'!$A:$A, 'Medical Examinations'!H:H, "No Data")</f>
        <v>No</v>
      </c>
      <c r="J1725" s="28" t="str">
        <f t="array" ref="J1725">_xlfn.XLOOKUP($A1725, 'Medical Examinations'!$A:$A, 'Medical Examinations'!I:I, "No Data")</f>
        <v>Normal Weight</v>
      </c>
      <c r="K1725" s="28" t="str">
        <f t="array" ref="K1725">_xlfn.XLOOKUP($A1725, 'Hospitalisation Details'!$A:$A, 'Hospitalisation Details'!I:I, "No Data")</f>
        <v>tier - 2</v>
      </c>
      <c r="L1725" s="28" t="str">
        <f t="array" ref="L1725">_xlfn.XLOOKUP($A1725, 'Hospitalisation Details'!$A:$A, 'Hospitalisation Details'!J:J, "No Data")</f>
        <v>R1013</v>
      </c>
      <c r="M1725" s="28" t="str">
        <f t="array" ref="M1725">_xlfn.XLOOKUP($A1725, 'Hospitalisation Details'!$A:$A, 'Hospitalisation Details'!E:E, "No Data")</f>
        <v>01/09/87</v>
      </c>
      <c r="N1725" s="28">
        <f t="array" ref="N1725">_xlfn.XLOOKUP($A1725, 'Hospitalisation Details'!$A:$A, 'Hospitalisation Details'!K:K, "No Data")</f>
        <v>35</v>
      </c>
      <c r="O1725" s="33">
        <f t="array" ref="O1725">_xlfn.XLOOKUP($A1725, 'Hospitalisation Details'!$A:$A, 'Hospitalisation Details'!G:G, "No Data")</f>
        <v>5275.86</v>
      </c>
      <c r="P1725" s="28" t="str">
        <f t="array" ref="P1725">_xlfn.XLOOKUP($A1725, 'Hospitalisation Details'!$A:$A, 'Hospitalisation Details'!H:H, "No Data")</f>
        <v>tier - 2</v>
      </c>
    </row>
    <row r="1726">
      <c r="A1726" s="25" t="s">
        <v>4037</v>
      </c>
      <c r="B1726" s="28" t="str">
        <f t="array" ref="B1726">_xlfn.XLOOKUP($A1726, 'Customer Names'!$A:$A, 'Customer Names'!B:B, "No Data")</f>
        <v>Morgan</v>
      </c>
      <c r="C1726" s="28">
        <f t="array" ref="C1726">_xlfn.XLOOKUP($A1726, 'Medical Examinations'!$A:$A, 'Medical Examinations'!B:B, "No Data")</f>
        <v>30.02</v>
      </c>
      <c r="D1726" s="28">
        <f t="array" ref="D1726">_xlfn.XLOOKUP($A1726, 'Medical Examinations'!$A:$A, 'Medical Examinations'!C:C, "No Data")</f>
        <v>7.63</v>
      </c>
      <c r="E1726" s="28" t="str">
        <f t="array" ref="E1726">_xlfn.XLOOKUP($A1726, 'Medical Examinations'!$A:$A, 'Medical Examinations'!D:D, "No Data")</f>
        <v>yes</v>
      </c>
      <c r="F1726" s="28" t="str">
        <f t="array" ref="F1726">_xlfn.XLOOKUP($A1726, 'Medical Examinations'!$A:$A, 'Medical Examinations'!E:E, "No Data")</f>
        <v>No</v>
      </c>
      <c r="G1726" s="28" t="str">
        <f t="array" ref="G1726">_xlfn.XLOOKUP($A1726, 'Medical Examinations'!$A:$A, 'Medical Examinations'!F:F, "No Data")</f>
        <v>No</v>
      </c>
      <c r="H1726" s="28">
        <f t="array" ref="H1726">_xlfn.XLOOKUP($A1726, 'Medical Examinations'!$A:$A, 'Medical Examinations'!G:G, "No Data")</f>
        <v>1</v>
      </c>
      <c r="I1726" s="28" t="str">
        <f t="array" ref="I1726">_xlfn.XLOOKUP($A1726, 'Medical Examinations'!$A:$A, 'Medical Examinations'!H:H, "No Data")</f>
        <v>No</v>
      </c>
      <c r="J1726" s="28" t="str">
        <f t="array" ref="J1726">_xlfn.XLOOKUP($A1726, 'Medical Examinations'!$A:$A, 'Medical Examinations'!I:I, "No Data")</f>
        <v>Obesity</v>
      </c>
      <c r="K1726" s="28" t="str">
        <f t="array" ref="K1726">_xlfn.XLOOKUP($A1726, 'Hospitalisation Details'!$A:$A, 'Hospitalisation Details'!I:I, "No Data")</f>
        <v>tier - 3</v>
      </c>
      <c r="L1726" s="28" t="str">
        <f t="array" ref="L1726">_xlfn.XLOOKUP($A1726, 'Hospitalisation Details'!$A:$A, 'Hospitalisation Details'!J:J, "No Data")</f>
        <v>R1012</v>
      </c>
      <c r="M1726" s="28" t="str">
        <f t="array" ref="M1726">_xlfn.XLOOKUP($A1726, 'Hospitalisation Details'!$A:$A, 'Hospitalisation Details'!E:E, "No Data")</f>
        <v>20/10/86</v>
      </c>
      <c r="N1726" s="28">
        <f t="array" ref="N1726">_xlfn.XLOOKUP($A1726, 'Hospitalisation Details'!$A:$A, 'Hospitalisation Details'!K:K, "No Data")</f>
        <v>36</v>
      </c>
      <c r="O1726" s="33">
        <f t="array" ref="O1726">_xlfn.XLOOKUP($A1726, 'Hospitalisation Details'!$A:$A, 'Hospitalisation Details'!G:G, "No Data")</f>
        <v>5272.18</v>
      </c>
      <c r="P1726" s="28" t="str">
        <f t="array" ref="P1726">_xlfn.XLOOKUP($A1726, 'Hospitalisation Details'!$A:$A, 'Hospitalisation Details'!H:H, "No Data")</f>
        <v>tier - 2</v>
      </c>
    </row>
    <row r="1727">
      <c r="A1727" s="25" t="s">
        <v>4033</v>
      </c>
      <c r="B1727" s="28" t="str">
        <f t="array" ref="B1727">_xlfn.XLOOKUP($A1727, 'Customer Names'!$A:$A, 'Customer Names'!B:B, "No Data")</f>
        <v>Maloney</v>
      </c>
      <c r="C1727" s="28">
        <f t="array" ref="C1727">_xlfn.XLOOKUP($A1727, 'Medical Examinations'!$A:$A, 'Medical Examinations'!B:B, "No Data")</f>
        <v>26.885</v>
      </c>
      <c r="D1727" s="28">
        <f t="array" ref="D1727">_xlfn.XLOOKUP($A1727, 'Medical Examinations'!$A:$A, 'Medical Examinations'!C:C, "No Data")</f>
        <v>8.66</v>
      </c>
      <c r="E1727" s="28" t="str">
        <f t="array" ref="E1727">_xlfn.XLOOKUP($A1727, 'Medical Examinations'!$A:$A, 'Medical Examinations'!D:D, "No Data")</f>
        <v>yes</v>
      </c>
      <c r="F1727" s="28" t="str">
        <f t="array" ref="F1727">_xlfn.XLOOKUP($A1727, 'Medical Examinations'!$A:$A, 'Medical Examinations'!E:E, "No Data")</f>
        <v>No</v>
      </c>
      <c r="G1727" s="28" t="str">
        <f t="array" ref="G1727">_xlfn.XLOOKUP($A1727, 'Medical Examinations'!$A:$A, 'Medical Examinations'!F:F, "No Data")</f>
        <v>No</v>
      </c>
      <c r="H1727" s="28">
        <f t="array" ref="H1727">_xlfn.XLOOKUP($A1727, 'Medical Examinations'!$A:$A, 'Medical Examinations'!G:G, "No Data")</f>
        <v>1</v>
      </c>
      <c r="I1727" s="28" t="str">
        <f t="array" ref="I1727">_xlfn.XLOOKUP($A1727, 'Medical Examinations'!$A:$A, 'Medical Examinations'!H:H, "No Data")</f>
        <v>No</v>
      </c>
      <c r="J1727" s="28" t="str">
        <f t="array" ref="J1727">_xlfn.XLOOKUP($A1727, 'Medical Examinations'!$A:$A, 'Medical Examinations'!I:I, "No Data")</f>
        <v>Overweight</v>
      </c>
      <c r="K1727" s="28" t="str">
        <f t="array" ref="K1727">_xlfn.XLOOKUP($A1727, 'Hospitalisation Details'!$A:$A, 'Hospitalisation Details'!I:I, "No Data")</f>
        <v>tier - 2</v>
      </c>
      <c r="L1727" s="28" t="str">
        <f t="array" ref="L1727">_xlfn.XLOOKUP($A1727, 'Hospitalisation Details'!$A:$A, 'Hospitalisation Details'!J:J, "No Data")</f>
        <v>R1012</v>
      </c>
      <c r="M1727" s="28" t="str">
        <f t="array" ref="M1727">_xlfn.XLOOKUP($A1727, 'Hospitalisation Details'!$A:$A, 'Hospitalisation Details'!E:E, "No Data")</f>
        <v>20/09/86</v>
      </c>
      <c r="N1727" s="28">
        <f t="array" ref="N1727">_xlfn.XLOOKUP($A1727, 'Hospitalisation Details'!$A:$A, 'Hospitalisation Details'!K:K, "No Data")</f>
        <v>36</v>
      </c>
      <c r="O1727" s="33">
        <f t="array" ref="O1727">_xlfn.XLOOKUP($A1727, 'Hospitalisation Details'!$A:$A, 'Hospitalisation Details'!G:G, "No Data")</f>
        <v>5267.82</v>
      </c>
      <c r="P1727" s="28" t="str">
        <f t="array" ref="P1727">_xlfn.XLOOKUP($A1727, 'Hospitalisation Details'!$A:$A, 'Hospitalisation Details'!H:H, "No Data")</f>
        <v>tier - 2</v>
      </c>
    </row>
    <row r="1728">
      <c r="A1728" s="25" t="s">
        <v>4029</v>
      </c>
      <c r="B1728" s="28" t="str">
        <f t="array" ref="B1728">_xlfn.XLOOKUP($A1728, 'Customer Names'!$A:$A, 'Customer Names'!B:B, "No Data")</f>
        <v>Amherst</v>
      </c>
      <c r="C1728" s="28">
        <f t="array" ref="C1728">_xlfn.XLOOKUP($A1728, 'Medical Examinations'!$A:$A, 'Medical Examinations'!B:B, "No Data")</f>
        <v>25.84</v>
      </c>
      <c r="D1728" s="28">
        <f t="array" ref="D1728">_xlfn.XLOOKUP($A1728, 'Medical Examinations'!$A:$A, 'Medical Examinations'!C:C, "No Data")</f>
        <v>8.55</v>
      </c>
      <c r="E1728" s="28" t="str">
        <f t="array" ref="E1728">_xlfn.XLOOKUP($A1728, 'Medical Examinations'!$A:$A, 'Medical Examinations'!D:D, "No Data")</f>
        <v>yes</v>
      </c>
      <c r="F1728" s="28" t="str">
        <f t="array" ref="F1728">_xlfn.XLOOKUP($A1728, 'Medical Examinations'!$A:$A, 'Medical Examinations'!E:E, "No Data")</f>
        <v>No</v>
      </c>
      <c r="G1728" s="28" t="str">
        <f t="array" ref="G1728">_xlfn.XLOOKUP($A1728, 'Medical Examinations'!$A:$A, 'Medical Examinations'!F:F, "No Data")</f>
        <v>No</v>
      </c>
      <c r="H1728" s="28">
        <f t="array" ref="H1728">_xlfn.XLOOKUP($A1728, 'Medical Examinations'!$A:$A, 'Medical Examinations'!G:G, "No Data")</f>
        <v>1</v>
      </c>
      <c r="I1728" s="28" t="str">
        <f t="array" ref="I1728">_xlfn.XLOOKUP($A1728, 'Medical Examinations'!$A:$A, 'Medical Examinations'!H:H, "No Data")</f>
        <v>No</v>
      </c>
      <c r="J1728" s="28" t="str">
        <f t="array" ref="J1728">_xlfn.XLOOKUP($A1728, 'Medical Examinations'!$A:$A, 'Medical Examinations'!I:I, "No Data")</f>
        <v>Overweight</v>
      </c>
      <c r="K1728" s="28" t="str">
        <f t="array" ref="K1728">_xlfn.XLOOKUP($A1728, 'Hospitalisation Details'!$A:$A, 'Hospitalisation Details'!I:I, "No Data")</f>
        <v>tier - 2</v>
      </c>
      <c r="L1728" s="28" t="str">
        <f t="array" ref="L1728">_xlfn.XLOOKUP($A1728, 'Hospitalisation Details'!$A:$A, 'Hospitalisation Details'!J:J, "No Data")</f>
        <v>R1012</v>
      </c>
      <c r="M1728" s="28" t="str">
        <f t="array" ref="M1728">_xlfn.XLOOKUP($A1728, 'Hospitalisation Details'!$A:$A, 'Hospitalisation Details'!E:E, "No Data")</f>
        <v>25/10/86</v>
      </c>
      <c r="N1728" s="28">
        <f t="array" ref="N1728">_xlfn.XLOOKUP($A1728, 'Hospitalisation Details'!$A:$A, 'Hospitalisation Details'!K:K, "No Data")</f>
        <v>36</v>
      </c>
      <c r="O1728" s="33">
        <f t="array" ref="O1728">_xlfn.XLOOKUP($A1728, 'Hospitalisation Details'!$A:$A, 'Hospitalisation Details'!G:G, "No Data")</f>
        <v>5266.37</v>
      </c>
      <c r="P1728" s="28" t="str">
        <f t="array" ref="P1728">_xlfn.XLOOKUP($A1728, 'Hospitalisation Details'!$A:$A, 'Hospitalisation Details'!H:H, "No Data")</f>
        <v>tier - 2</v>
      </c>
    </row>
    <row r="1729">
      <c r="A1729" s="25" t="s">
        <v>4024</v>
      </c>
      <c r="B1729" s="28" t="str">
        <f t="array" ref="B1729">_xlfn.XLOOKUP($A1729, 'Customer Names'!$A:$A, 'Customer Names'!B:B, "No Data")</f>
        <v>Davenport</v>
      </c>
      <c r="C1729" s="28">
        <f t="array" ref="C1729">_xlfn.XLOOKUP($A1729, 'Medical Examinations'!$A:$A, 'Medical Examinations'!B:B, "No Data")</f>
        <v>27.455</v>
      </c>
      <c r="D1729" s="28">
        <f t="array" ref="D1729">_xlfn.XLOOKUP($A1729, 'Medical Examinations'!$A:$A, 'Medical Examinations'!C:C, "No Data")</f>
        <v>4.54</v>
      </c>
      <c r="E1729" s="28" t="str">
        <f t="array" ref="E1729">_xlfn.XLOOKUP($A1729, 'Medical Examinations'!$A:$A, 'Medical Examinations'!D:D, "No Data")</f>
        <v>No</v>
      </c>
      <c r="F1729" s="28" t="str">
        <f t="array" ref="F1729">_xlfn.XLOOKUP($A1729, 'Medical Examinations'!$A:$A, 'Medical Examinations'!E:E, "No Data")</f>
        <v>No</v>
      </c>
      <c r="G1729" s="28" t="str">
        <f t="array" ref="G1729">_xlfn.XLOOKUP($A1729, 'Medical Examinations'!$A:$A, 'Medical Examinations'!F:F, "No Data")</f>
        <v>No</v>
      </c>
      <c r="H1729" s="28">
        <f t="array" ref="H1729">_xlfn.XLOOKUP($A1729, 'Medical Examinations'!$A:$A, 'Medical Examinations'!G:G, "No Data")</f>
        <v>0</v>
      </c>
      <c r="I1729" s="28" t="str">
        <f t="array" ref="I1729">_xlfn.XLOOKUP($A1729, 'Medical Examinations'!$A:$A, 'Medical Examinations'!H:H, "No Data")</f>
        <v>No</v>
      </c>
      <c r="J1729" s="28" t="str">
        <f t="array" ref="J1729">_xlfn.XLOOKUP($A1729, 'Medical Examinations'!$A:$A, 'Medical Examinations'!I:I, "No Data")</f>
        <v>Overweight</v>
      </c>
      <c r="K1729" s="28" t="str">
        <f t="array" ref="K1729">_xlfn.XLOOKUP($A1729, 'Hospitalisation Details'!$A:$A, 'Hospitalisation Details'!I:I, "No Data")</f>
        <v>tier - 2</v>
      </c>
      <c r="L1729" s="28" t="str">
        <f t="array" ref="L1729">_xlfn.XLOOKUP($A1729, 'Hospitalisation Details'!$A:$A, 'Hospitalisation Details'!J:J, "No Data")</f>
        <v>R1012</v>
      </c>
      <c r="M1729" s="28" t="str">
        <f t="array" ref="M1729">_xlfn.XLOOKUP($A1729, 'Hospitalisation Details'!$A:$A, 'Hospitalisation Details'!E:E, "No Data")</f>
        <v>19/07/89</v>
      </c>
      <c r="N1729" s="28">
        <f t="array" ref="N1729">_xlfn.XLOOKUP($A1729, 'Hospitalisation Details'!$A:$A, 'Hospitalisation Details'!K:K, "No Data")</f>
        <v>33</v>
      </c>
      <c r="O1729" s="33">
        <f t="array" ref="O1729">_xlfn.XLOOKUP($A1729, 'Hospitalisation Details'!$A:$A, 'Hospitalisation Details'!G:G, "No Data")</f>
        <v>5261.47</v>
      </c>
      <c r="P1729" s="28" t="str">
        <f t="array" ref="P1729">_xlfn.XLOOKUP($A1729, 'Hospitalisation Details'!$A:$A, 'Hospitalisation Details'!H:H, "No Data")</f>
        <v>tier - 2</v>
      </c>
    </row>
    <row r="1730">
      <c r="A1730" s="25" t="s">
        <v>4015</v>
      </c>
      <c r="B1730" s="28" t="str">
        <f t="array" ref="B1730">_xlfn.XLOOKUP($A1730, 'Customer Names'!$A:$A, 'Customer Names'!B:B, "No Data")</f>
        <v>Johansen</v>
      </c>
      <c r="C1730" s="28">
        <f t="array" ref="C1730">_xlfn.XLOOKUP($A1730, 'Medical Examinations'!$A:$A, 'Medical Examinations'!B:B, "No Data")</f>
        <v>24.605</v>
      </c>
      <c r="D1730" s="28">
        <f t="array" ref="D1730">_xlfn.XLOOKUP($A1730, 'Medical Examinations'!$A:$A, 'Medical Examinations'!C:C, "No Data")</f>
        <v>5.7</v>
      </c>
      <c r="E1730" s="28" t="str">
        <f t="array" ref="E1730">_xlfn.XLOOKUP($A1730, 'Medical Examinations'!$A:$A, 'Medical Examinations'!D:D, "No Data")</f>
        <v>No</v>
      </c>
      <c r="F1730" s="28" t="str">
        <f t="array" ref="F1730">_xlfn.XLOOKUP($A1730, 'Medical Examinations'!$A:$A, 'Medical Examinations'!E:E, "No Data")</f>
        <v>No</v>
      </c>
      <c r="G1730" s="28" t="str">
        <f t="array" ref="G1730">_xlfn.XLOOKUP($A1730, 'Medical Examinations'!$A:$A, 'Medical Examinations'!F:F, "No Data")</f>
        <v>No</v>
      </c>
      <c r="H1730" s="28">
        <f t="array" ref="H1730">_xlfn.XLOOKUP($A1730, 'Medical Examinations'!$A:$A, 'Medical Examinations'!G:G, "No Data")</f>
        <v>0</v>
      </c>
      <c r="I1730" s="28" t="str">
        <f t="array" ref="I1730">_xlfn.XLOOKUP($A1730, 'Medical Examinations'!$A:$A, 'Medical Examinations'!H:H, "No Data")</f>
        <v>No</v>
      </c>
      <c r="J1730" s="28" t="str">
        <f t="array" ref="J1730">_xlfn.XLOOKUP($A1730, 'Medical Examinations'!$A:$A, 'Medical Examinations'!I:I, "No Data")</f>
        <v>Normal Weight</v>
      </c>
      <c r="K1730" s="28" t="str">
        <f t="array" ref="K1730">_xlfn.XLOOKUP($A1730, 'Hospitalisation Details'!$A:$A, 'Hospitalisation Details'!I:I, "No Data")</f>
        <v>tier - 2</v>
      </c>
      <c r="L1730" s="28" t="str">
        <f t="array" ref="L1730">_xlfn.XLOOKUP($A1730, 'Hospitalisation Details'!$A:$A, 'Hospitalisation Details'!J:J, "No Data")</f>
        <v>R1012</v>
      </c>
      <c r="M1730" s="28" t="str">
        <f t="array" ref="M1730">_xlfn.XLOOKUP($A1730, 'Hospitalisation Details'!$A:$A, 'Hospitalisation Details'!E:E, "No Data")</f>
        <v>25/11/89</v>
      </c>
      <c r="N1730" s="28">
        <f t="array" ref="N1730">_xlfn.XLOOKUP($A1730, 'Hospitalisation Details'!$A:$A, 'Hospitalisation Details'!K:K, "No Data")</f>
        <v>33</v>
      </c>
      <c r="O1730" s="33">
        <f t="array" ref="O1730">_xlfn.XLOOKUP($A1730, 'Hospitalisation Details'!$A:$A, 'Hospitalisation Details'!G:G, "No Data")</f>
        <v>5257.51</v>
      </c>
      <c r="P1730" s="28" t="str">
        <f t="array" ref="P1730">_xlfn.XLOOKUP($A1730, 'Hospitalisation Details'!$A:$A, 'Hospitalisation Details'!H:H, "No Data")</f>
        <v>tier - 2</v>
      </c>
    </row>
    <row r="1731">
      <c r="A1731" s="25" t="s">
        <v>4011</v>
      </c>
      <c r="B1731" s="28" t="str">
        <f t="array" ref="B1731">_xlfn.XLOOKUP($A1731, 'Customer Names'!$A:$A, 'Customer Names'!B:B, "No Data")</f>
        <v>Bond</v>
      </c>
      <c r="C1731" s="28">
        <f t="array" ref="C1731">_xlfn.XLOOKUP($A1731, 'Medical Examinations'!$A:$A, 'Medical Examinations'!B:B, "No Data")</f>
        <v>30.8</v>
      </c>
      <c r="D1731" s="28">
        <f t="array" ref="D1731">_xlfn.XLOOKUP($A1731, 'Medical Examinations'!$A:$A, 'Medical Examinations'!C:C, "No Data")</f>
        <v>5.07</v>
      </c>
      <c r="E1731" s="28" t="str">
        <f t="array" ref="E1731">_xlfn.XLOOKUP($A1731, 'Medical Examinations'!$A:$A, 'Medical Examinations'!D:D, "No Data")</f>
        <v>No</v>
      </c>
      <c r="F1731" s="28" t="str">
        <f t="array" ref="F1731">_xlfn.XLOOKUP($A1731, 'Medical Examinations'!$A:$A, 'Medical Examinations'!E:E, "No Data")</f>
        <v>No</v>
      </c>
      <c r="G1731" s="28" t="str">
        <f t="array" ref="G1731">_xlfn.XLOOKUP($A1731, 'Medical Examinations'!$A:$A, 'Medical Examinations'!F:F, "No Data")</f>
        <v>No</v>
      </c>
      <c r="H1731" s="28">
        <f t="array" ref="H1731">_xlfn.XLOOKUP($A1731, 'Medical Examinations'!$A:$A, 'Medical Examinations'!G:G, "No Data")</f>
        <v>0</v>
      </c>
      <c r="I1731" s="28" t="str">
        <f t="array" ref="I1731">_xlfn.XLOOKUP($A1731, 'Medical Examinations'!$A:$A, 'Medical Examinations'!H:H, "No Data")</f>
        <v>No</v>
      </c>
      <c r="J1731" s="28" t="str">
        <f t="array" ref="J1731">_xlfn.XLOOKUP($A1731, 'Medical Examinations'!$A:$A, 'Medical Examinations'!I:I, "No Data")</f>
        <v>Obesity</v>
      </c>
      <c r="K1731" s="28" t="str">
        <f t="array" ref="K1731">_xlfn.XLOOKUP($A1731, 'Hospitalisation Details'!$A:$A, 'Hospitalisation Details'!I:I, "No Data")</f>
        <v>tier - 3</v>
      </c>
      <c r="L1731" s="28" t="str">
        <f t="array" ref="L1731">_xlfn.XLOOKUP($A1731, 'Hospitalisation Details'!$A:$A, 'Hospitalisation Details'!J:J, "No Data")</f>
        <v>R1011</v>
      </c>
      <c r="M1731" s="28" t="str">
        <f t="array" ref="M1731">_xlfn.XLOOKUP($A1731, 'Hospitalisation Details'!$A:$A, 'Hospitalisation Details'!E:E, "No Data")</f>
        <v>06/07/90</v>
      </c>
      <c r="N1731" s="28">
        <f t="array" ref="N1731">_xlfn.XLOOKUP($A1731, 'Hospitalisation Details'!$A:$A, 'Hospitalisation Details'!K:K, "No Data")</f>
        <v>32</v>
      </c>
      <c r="O1731" s="33">
        <f t="array" ref="O1731">_xlfn.XLOOKUP($A1731, 'Hospitalisation Details'!$A:$A, 'Hospitalisation Details'!G:G, "No Data")</f>
        <v>5253.52</v>
      </c>
      <c r="P1731" s="28" t="str">
        <f t="array" ref="P1731">_xlfn.XLOOKUP($A1731, 'Hospitalisation Details'!$A:$A, 'Hospitalisation Details'!H:H, "No Data")</f>
        <v>tier - 3</v>
      </c>
    </row>
    <row r="1732">
      <c r="A1732" s="25" t="s">
        <v>4006</v>
      </c>
      <c r="B1732" s="28" t="str">
        <f t="array" ref="B1732">_xlfn.XLOOKUP($A1732, 'Customer Names'!$A:$A, 'Customer Names'!B:B, "No Data")</f>
        <v>Reilly</v>
      </c>
      <c r="C1732" s="28">
        <f t="array" ref="C1732">_xlfn.XLOOKUP($A1732, 'Medical Examinations'!$A:$A, 'Medical Examinations'!B:B, "No Data")</f>
        <v>34.8</v>
      </c>
      <c r="D1732" s="28">
        <f t="array" ref="D1732">_xlfn.XLOOKUP($A1732, 'Medical Examinations'!$A:$A, 'Medical Examinations'!C:C, "No Data")</f>
        <v>4.38</v>
      </c>
      <c r="E1732" s="28" t="str">
        <f t="array" ref="E1732">_xlfn.XLOOKUP($A1732, 'Medical Examinations'!$A:$A, 'Medical Examinations'!D:D, "No Data")</f>
        <v>No</v>
      </c>
      <c r="F1732" s="28" t="str">
        <f t="array" ref="F1732">_xlfn.XLOOKUP($A1732, 'Medical Examinations'!$A:$A, 'Medical Examinations'!E:E, "No Data")</f>
        <v>No</v>
      </c>
      <c r="G1732" s="28" t="str">
        <f t="array" ref="G1732">_xlfn.XLOOKUP($A1732, 'Medical Examinations'!$A:$A, 'Medical Examinations'!F:F, "No Data")</f>
        <v>No</v>
      </c>
      <c r="H1732" s="28">
        <f t="array" ref="H1732">_xlfn.XLOOKUP($A1732, 'Medical Examinations'!$A:$A, 'Medical Examinations'!G:G, "No Data")</f>
        <v>1</v>
      </c>
      <c r="I1732" s="28" t="str">
        <f t="array" ref="I1732">_xlfn.XLOOKUP($A1732, 'Medical Examinations'!$A:$A, 'Medical Examinations'!H:H, "No Data")</f>
        <v>No</v>
      </c>
      <c r="J1732" s="28" t="str">
        <f t="array" ref="J1732">_xlfn.XLOOKUP($A1732, 'Medical Examinations'!$A:$A, 'Medical Examinations'!I:I, "No Data")</f>
        <v>Obesity</v>
      </c>
      <c r="K1732" s="28" t="str">
        <f t="array" ref="K1732">_xlfn.XLOOKUP($A1732, 'Hospitalisation Details'!$A:$A, 'Hospitalisation Details'!I:I, "No Data")</f>
        <v>tier - 3</v>
      </c>
      <c r="L1732" s="28" t="str">
        <f t="array" ref="L1732">_xlfn.XLOOKUP($A1732, 'Hospitalisation Details'!$A:$A, 'Hospitalisation Details'!J:J, "No Data")</f>
        <v>R1011</v>
      </c>
      <c r="M1732" s="28" t="str">
        <f t="array" ref="M1732">_xlfn.XLOOKUP($A1732, 'Hospitalisation Details'!$A:$A, 'Hospitalisation Details'!E:E, "No Data")</f>
        <v>09/09/87</v>
      </c>
      <c r="N1732" s="28">
        <f t="array" ref="N1732">_xlfn.XLOOKUP($A1732, 'Hospitalisation Details'!$A:$A, 'Hospitalisation Details'!K:K, "No Data")</f>
        <v>35</v>
      </c>
      <c r="O1732" s="33">
        <f t="array" ref="O1732">_xlfn.XLOOKUP($A1732, 'Hospitalisation Details'!$A:$A, 'Hospitalisation Details'!G:G, "No Data")</f>
        <v>5246.05</v>
      </c>
      <c r="P1732" s="28" t="str">
        <f t="array" ref="P1732">_xlfn.XLOOKUP($A1732, 'Hospitalisation Details'!$A:$A, 'Hospitalisation Details'!H:H, "No Data")</f>
        <v>tier - 2</v>
      </c>
    </row>
    <row r="1733">
      <c r="A1733" s="25" t="s">
        <v>4001</v>
      </c>
      <c r="B1733" s="28" t="str">
        <f t="array" ref="B1733">_xlfn.XLOOKUP($A1733, 'Customer Names'!$A:$A, 'Customer Names'!B:B, "No Data")</f>
        <v>Chandler</v>
      </c>
      <c r="C1733" s="28">
        <f t="array" ref="C1733">_xlfn.XLOOKUP($A1733, 'Medical Examinations'!$A:$A, 'Medical Examinations'!B:B, "No Data")</f>
        <v>34.21</v>
      </c>
      <c r="D1733" s="28">
        <f t="array" ref="D1733">_xlfn.XLOOKUP($A1733, 'Medical Examinations'!$A:$A, 'Medical Examinations'!C:C, "No Data")</f>
        <v>4.54</v>
      </c>
      <c r="E1733" s="28" t="str">
        <f t="array" ref="E1733">_xlfn.XLOOKUP($A1733, 'Medical Examinations'!$A:$A, 'Medical Examinations'!D:D, "No Data")</f>
        <v>No</v>
      </c>
      <c r="F1733" s="28" t="str">
        <f t="array" ref="F1733">_xlfn.XLOOKUP($A1733, 'Medical Examinations'!$A:$A, 'Medical Examinations'!E:E, "No Data")</f>
        <v>No</v>
      </c>
      <c r="G1733" s="28" t="str">
        <f t="array" ref="G1733">_xlfn.XLOOKUP($A1733, 'Medical Examinations'!$A:$A, 'Medical Examinations'!F:F, "No Data")</f>
        <v>No</v>
      </c>
      <c r="H1733" s="28">
        <f t="array" ref="H1733">_xlfn.XLOOKUP($A1733, 'Medical Examinations'!$A:$A, 'Medical Examinations'!G:G, "No Data")</f>
        <v>1</v>
      </c>
      <c r="I1733" s="28" t="str">
        <f t="array" ref="I1733">_xlfn.XLOOKUP($A1733, 'Medical Examinations'!$A:$A, 'Medical Examinations'!H:H, "No Data")</f>
        <v>No</v>
      </c>
      <c r="J1733" s="28" t="str">
        <f t="array" ref="J1733">_xlfn.XLOOKUP($A1733, 'Medical Examinations'!$A:$A, 'Medical Examinations'!I:I, "No Data")</f>
        <v>Obesity</v>
      </c>
      <c r="K1733" s="28" t="str">
        <f t="array" ref="K1733">_xlfn.XLOOKUP($A1733, 'Hospitalisation Details'!$A:$A, 'Hospitalisation Details'!I:I, "No Data")</f>
        <v>tier - 2</v>
      </c>
      <c r="L1733" s="28" t="str">
        <f t="array" ref="L1733">_xlfn.XLOOKUP($A1733, 'Hospitalisation Details'!$A:$A, 'Hospitalisation Details'!J:J, "No Data")</f>
        <v>R1013</v>
      </c>
      <c r="M1733" s="28" t="str">
        <f t="array" ref="M1733">_xlfn.XLOOKUP($A1733, 'Hospitalisation Details'!$A:$A, 'Hospitalisation Details'!E:E, "No Data")</f>
        <v>05/07/87</v>
      </c>
      <c r="N1733" s="28">
        <f t="array" ref="N1733">_xlfn.XLOOKUP($A1733, 'Hospitalisation Details'!$A:$A, 'Hospitalisation Details'!K:K, "No Data")</f>
        <v>35</v>
      </c>
      <c r="O1733" s="33">
        <f t="array" ref="O1733">_xlfn.XLOOKUP($A1733, 'Hospitalisation Details'!$A:$A, 'Hospitalisation Details'!G:G, "No Data")</f>
        <v>5245.23</v>
      </c>
      <c r="P1733" s="28" t="str">
        <f t="array" ref="P1733">_xlfn.XLOOKUP($A1733, 'Hospitalisation Details'!$A:$A, 'Hospitalisation Details'!H:H, "No Data")</f>
        <v>tier - 2</v>
      </c>
    </row>
    <row r="1734">
      <c r="A1734" s="25" t="s">
        <v>3999</v>
      </c>
      <c r="B1734" s="28" t="str">
        <f t="array" ref="B1734">_xlfn.XLOOKUP($A1734, 'Customer Names'!$A:$A, 'Customer Names'!B:B, "No Data")</f>
        <v>Kaufmann</v>
      </c>
      <c r="C1734" s="28">
        <f t="array" ref="C1734">_xlfn.XLOOKUP($A1734, 'Medical Examinations'!$A:$A, 'Medical Examinations'!B:B, "No Data")</f>
        <v>31</v>
      </c>
      <c r="D1734" s="28">
        <f t="array" ref="D1734">_xlfn.XLOOKUP($A1734, 'Medical Examinations'!$A:$A, 'Medical Examinations'!C:C, "No Data")</f>
        <v>5.38</v>
      </c>
      <c r="E1734" s="28" t="str">
        <f t="array" ref="E1734">_xlfn.XLOOKUP($A1734, 'Medical Examinations'!$A:$A, 'Medical Examinations'!D:D, "No Data")</f>
        <v>No</v>
      </c>
      <c r="F1734" s="28" t="str">
        <f t="array" ref="F1734">_xlfn.XLOOKUP($A1734, 'Medical Examinations'!$A:$A, 'Medical Examinations'!E:E, "No Data")</f>
        <v>No</v>
      </c>
      <c r="G1734" s="28" t="str">
        <f t="array" ref="G1734">_xlfn.XLOOKUP($A1734, 'Medical Examinations'!$A:$A, 'Medical Examinations'!F:F, "No Data")</f>
        <v>No</v>
      </c>
      <c r="H1734" s="28">
        <f t="array" ref="H1734">_xlfn.XLOOKUP($A1734, 'Medical Examinations'!$A:$A, 'Medical Examinations'!G:G, "No Data")</f>
        <v>1</v>
      </c>
      <c r="I1734" s="28" t="str">
        <f t="array" ref="I1734">_xlfn.XLOOKUP($A1734, 'Medical Examinations'!$A:$A, 'Medical Examinations'!H:H, "No Data")</f>
        <v>No</v>
      </c>
      <c r="J1734" s="28" t="str">
        <f t="array" ref="J1734">_xlfn.XLOOKUP($A1734, 'Medical Examinations'!$A:$A, 'Medical Examinations'!I:I, "No Data")</f>
        <v>Obesity</v>
      </c>
      <c r="K1734" s="28" t="str">
        <f t="array" ref="K1734">_xlfn.XLOOKUP($A1734, 'Hospitalisation Details'!$A:$A, 'Hospitalisation Details'!I:I, "No Data")</f>
        <v>tier - 2</v>
      </c>
      <c r="L1734" s="28" t="str">
        <f t="array" ref="L1734">_xlfn.XLOOKUP($A1734, 'Hospitalisation Details'!$A:$A, 'Hospitalisation Details'!J:J, "No Data")</f>
        <v>R1011</v>
      </c>
      <c r="M1734" s="28" t="str">
        <f t="array" ref="M1734">_xlfn.XLOOKUP($A1734, 'Hospitalisation Details'!$A:$A, 'Hospitalisation Details'!E:E, "No Data")</f>
        <v>26/12/87</v>
      </c>
      <c r="N1734" s="28">
        <f t="array" ref="N1734">_xlfn.XLOOKUP($A1734, 'Hospitalisation Details'!$A:$A, 'Hospitalisation Details'!K:K, "No Data")</f>
        <v>35</v>
      </c>
      <c r="O1734" s="33">
        <f t="array" ref="O1734">_xlfn.XLOOKUP($A1734, 'Hospitalisation Details'!$A:$A, 'Hospitalisation Details'!G:G, "No Data")</f>
        <v>5240.77</v>
      </c>
      <c r="P1734" s="28" t="str">
        <f t="array" ref="P1734">_xlfn.XLOOKUP($A1734, 'Hospitalisation Details'!$A:$A, 'Hospitalisation Details'!H:H, "No Data")</f>
        <v>tier - 2</v>
      </c>
    </row>
    <row r="1735">
      <c r="A1735" s="25" t="s">
        <v>3995</v>
      </c>
      <c r="B1735" s="28" t="str">
        <f t="array" ref="B1735">_xlfn.XLOOKUP($A1735, 'Customer Names'!$A:$A, 'Customer Names'!B:B, "No Data")</f>
        <v>Barnes-Zurkinden</v>
      </c>
      <c r="C1735" s="28">
        <f t="array" ref="C1735">_xlfn.XLOOKUP($A1735, 'Medical Examinations'!$A:$A, 'Medical Examinations'!B:B, "No Data")</f>
        <v>26.125</v>
      </c>
      <c r="D1735" s="28">
        <f t="array" ref="D1735">_xlfn.XLOOKUP($A1735, 'Medical Examinations'!$A:$A, 'Medical Examinations'!C:C, "No Data")</f>
        <v>5.55</v>
      </c>
      <c r="E1735" s="28" t="str">
        <f t="array" ref="E1735">_xlfn.XLOOKUP($A1735, 'Medical Examinations'!$A:$A, 'Medical Examinations'!D:D, "No Data")</f>
        <v>No</v>
      </c>
      <c r="F1735" s="28" t="str">
        <f t="array" ref="F1735">_xlfn.XLOOKUP($A1735, 'Medical Examinations'!$A:$A, 'Medical Examinations'!E:E, "No Data")</f>
        <v>No</v>
      </c>
      <c r="G1735" s="28" t="str">
        <f t="array" ref="G1735">_xlfn.XLOOKUP($A1735, 'Medical Examinations'!$A:$A, 'Medical Examinations'!F:F, "No Data")</f>
        <v>No</v>
      </c>
      <c r="H1735" s="28">
        <f t="array" ref="H1735">_xlfn.XLOOKUP($A1735, 'Medical Examinations'!$A:$A, 'Medical Examinations'!G:G, "No Data")</f>
        <v>1</v>
      </c>
      <c r="I1735" s="28" t="str">
        <f t="array" ref="I1735">_xlfn.XLOOKUP($A1735, 'Medical Examinations'!$A:$A, 'Medical Examinations'!H:H, "No Data")</f>
        <v>No</v>
      </c>
      <c r="J1735" s="28" t="str">
        <f t="array" ref="J1735">_xlfn.XLOOKUP($A1735, 'Medical Examinations'!$A:$A, 'Medical Examinations'!I:I, "No Data")</f>
        <v>Overweight</v>
      </c>
      <c r="K1735" s="28" t="str">
        <f t="array" ref="K1735">_xlfn.XLOOKUP($A1735, 'Hospitalisation Details'!$A:$A, 'Hospitalisation Details'!I:I, "No Data")</f>
        <v>tier - 1</v>
      </c>
      <c r="L1735" s="28" t="str">
        <f t="array" ref="L1735">_xlfn.XLOOKUP($A1735, 'Hospitalisation Details'!$A:$A, 'Hospitalisation Details'!J:J, "No Data")</f>
        <v>R1024</v>
      </c>
      <c r="M1735" s="28" t="str">
        <f t="array" ref="M1735">_xlfn.XLOOKUP($A1735, 'Hospitalisation Details'!$A:$A, 'Hospitalisation Details'!E:E, "No Data")</f>
        <v>29/06/87</v>
      </c>
      <c r="N1735" s="28">
        <f t="array" ref="N1735">_xlfn.XLOOKUP($A1735, 'Hospitalisation Details'!$A:$A, 'Hospitalisation Details'!K:K, "No Data")</f>
        <v>35</v>
      </c>
      <c r="O1735" s="33">
        <f t="array" ref="O1735">_xlfn.XLOOKUP($A1735, 'Hospitalisation Details'!$A:$A, 'Hospitalisation Details'!G:G, "No Data")</f>
        <v>5227.99</v>
      </c>
      <c r="P1735" s="28" t="str">
        <f t="array" ref="P1735">_xlfn.XLOOKUP($A1735, 'Hospitalisation Details'!$A:$A, 'Hospitalisation Details'!H:H, "No Data")</f>
        <v>tier - 2</v>
      </c>
    </row>
    <row r="1736">
      <c r="A1736" s="25" t="s">
        <v>3992</v>
      </c>
      <c r="B1736" s="28" t="str">
        <f t="array" ref="B1736">_xlfn.XLOOKUP($A1736, 'Customer Names'!$A:$A, 'Customer Names'!B:B, "No Data")</f>
        <v>Wolter</v>
      </c>
      <c r="C1736" s="28">
        <f t="array" ref="C1736">_xlfn.XLOOKUP($A1736, 'Medical Examinations'!$A:$A, 'Medical Examinations'!B:B, "No Data")</f>
        <v>30.13</v>
      </c>
      <c r="D1736" s="28">
        <f t="array" ref="D1736">_xlfn.XLOOKUP($A1736, 'Medical Examinations'!$A:$A, 'Medical Examinations'!C:C, "No Data")</f>
        <v>4.03</v>
      </c>
      <c r="E1736" s="28" t="str">
        <f t="array" ref="E1736">_xlfn.XLOOKUP($A1736, 'Medical Examinations'!$A:$A, 'Medical Examinations'!D:D, "No Data")</f>
        <v>yes</v>
      </c>
      <c r="F1736" s="28" t="str">
        <f t="array" ref="F1736">_xlfn.XLOOKUP($A1736, 'Medical Examinations'!$A:$A, 'Medical Examinations'!E:E, "No Data")</f>
        <v>No</v>
      </c>
      <c r="G1736" s="28" t="str">
        <f t="array" ref="G1736">_xlfn.XLOOKUP($A1736, 'Medical Examinations'!$A:$A, 'Medical Examinations'!F:F, "No Data")</f>
        <v>No</v>
      </c>
      <c r="H1736" s="28">
        <f t="array" ref="H1736">_xlfn.XLOOKUP($A1736, 'Medical Examinations'!$A:$A, 'Medical Examinations'!G:G, "No Data")</f>
        <v>1</v>
      </c>
      <c r="I1736" s="28" t="str">
        <f t="array" ref="I1736">_xlfn.XLOOKUP($A1736, 'Medical Examinations'!$A:$A, 'Medical Examinations'!H:H, "No Data")</f>
        <v>No</v>
      </c>
      <c r="J1736" s="28" t="str">
        <f t="array" ref="J1736">_xlfn.XLOOKUP($A1736, 'Medical Examinations'!$A:$A, 'Medical Examinations'!I:I, "No Data")</f>
        <v>Obesity</v>
      </c>
      <c r="K1736" s="28" t="str">
        <f t="array" ref="K1736">_xlfn.XLOOKUP($A1736, 'Hospitalisation Details'!$A:$A, 'Hospitalisation Details'!I:I, "No Data")</f>
        <v>tier - 2</v>
      </c>
      <c r="L1736" s="28" t="str">
        <f t="array" ref="L1736">_xlfn.XLOOKUP($A1736, 'Hospitalisation Details'!$A:$A, 'Hospitalisation Details'!J:J, "No Data")</f>
        <v>R1025</v>
      </c>
      <c r="M1736" s="28" t="str">
        <f t="array" ref="M1736">_xlfn.XLOOKUP($A1736, 'Hospitalisation Details'!$A:$A, 'Hospitalisation Details'!E:E, "No Data")</f>
        <v>06/06/95</v>
      </c>
      <c r="N1736" s="28">
        <f t="array" ref="N1736">_xlfn.XLOOKUP($A1736, 'Hospitalisation Details'!$A:$A, 'Hospitalisation Details'!K:K, "No Data")</f>
        <v>28</v>
      </c>
      <c r="O1736" s="33">
        <f t="array" ref="O1736">_xlfn.XLOOKUP($A1736, 'Hospitalisation Details'!$A:$A, 'Hospitalisation Details'!G:G, "No Data")</f>
        <v>5216.48</v>
      </c>
      <c r="P1736" s="28" t="str">
        <f t="array" ref="P1736">_xlfn.XLOOKUP($A1736, 'Hospitalisation Details'!$A:$A, 'Hospitalisation Details'!H:H, "No Data")</f>
        <v>tier - 2</v>
      </c>
    </row>
    <row r="1737">
      <c r="A1737" s="25" t="s">
        <v>3988</v>
      </c>
      <c r="B1737" s="28" t="str">
        <f t="array" ref="B1737">_xlfn.XLOOKUP($A1737, 'Customer Names'!$A:$A, 'Customer Names'!B:B, "No Data")</f>
        <v>Pearson</v>
      </c>
      <c r="C1737" s="28">
        <f t="array" ref="C1737">_xlfn.XLOOKUP($A1737, 'Medical Examinations'!$A:$A, 'Medical Examinations'!B:B, "No Data")</f>
        <v>34.19</v>
      </c>
      <c r="D1737" s="28">
        <f t="array" ref="D1737">_xlfn.XLOOKUP($A1737, 'Medical Examinations'!$A:$A, 'Medical Examinations'!C:C, "No Data")</f>
        <v>4.19</v>
      </c>
      <c r="E1737" s="28" t="str">
        <f t="array" ref="E1737">_xlfn.XLOOKUP($A1737, 'Medical Examinations'!$A:$A, 'Medical Examinations'!D:D, "No Data")</f>
        <v>No</v>
      </c>
      <c r="F1737" s="28" t="str">
        <f t="array" ref="F1737">_xlfn.XLOOKUP($A1737, 'Medical Examinations'!$A:$A, 'Medical Examinations'!E:E, "No Data")</f>
        <v>No</v>
      </c>
      <c r="G1737" s="28" t="str">
        <f t="array" ref="G1737">_xlfn.XLOOKUP($A1737, 'Medical Examinations'!$A:$A, 'Medical Examinations'!F:F, "No Data")</f>
        <v>No</v>
      </c>
      <c r="H1737" s="28">
        <f t="array" ref="H1737">_xlfn.XLOOKUP($A1737, 'Medical Examinations'!$A:$A, 'Medical Examinations'!G:G, "No Data")</f>
        <v>0</v>
      </c>
      <c r="I1737" s="28" t="str">
        <f t="array" ref="I1737">_xlfn.XLOOKUP($A1737, 'Medical Examinations'!$A:$A, 'Medical Examinations'!H:H, "No Data")</f>
        <v>No</v>
      </c>
      <c r="J1737" s="28" t="str">
        <f t="array" ref="J1737">_xlfn.XLOOKUP($A1737, 'Medical Examinations'!$A:$A, 'Medical Examinations'!I:I, "No Data")</f>
        <v>Obesity</v>
      </c>
      <c r="K1737" s="28" t="str">
        <f t="array" ref="K1737">_xlfn.XLOOKUP($A1737, 'Hospitalisation Details'!$A:$A, 'Hospitalisation Details'!I:I, "No Data")</f>
        <v>tier - 1</v>
      </c>
      <c r="L1737" s="28" t="str">
        <f t="array" ref="L1737">_xlfn.XLOOKUP($A1737, 'Hospitalisation Details'!$A:$A, 'Hospitalisation Details'!J:J, "No Data")</f>
        <v>R1012</v>
      </c>
      <c r="M1737" s="28" t="str">
        <f t="array" ref="M1737">_xlfn.XLOOKUP($A1737, 'Hospitalisation Details'!$A:$A, 'Hospitalisation Details'!E:E, "No Data")</f>
        <v>01/12/99</v>
      </c>
      <c r="N1737" s="28">
        <f t="array" ref="N1737">_xlfn.XLOOKUP($A1737, 'Hospitalisation Details'!$A:$A, 'Hospitalisation Details'!K:K, "No Data")</f>
        <v>23</v>
      </c>
      <c r="O1737" s="33">
        <f t="array" ref="O1737">_xlfn.XLOOKUP($A1737, 'Hospitalisation Details'!$A:$A, 'Hospitalisation Details'!G:G, "No Data")</f>
        <v>5213.22</v>
      </c>
      <c r="P1737" s="28" t="str">
        <f t="array" ref="P1737">_xlfn.XLOOKUP($A1737, 'Hospitalisation Details'!$A:$A, 'Hospitalisation Details'!H:H, "No Data")</f>
        <v>tier - 2</v>
      </c>
    </row>
    <row r="1738">
      <c r="A1738" s="25" t="s">
        <v>3983</v>
      </c>
      <c r="B1738" s="28" t="str">
        <f t="array" ref="B1738">_xlfn.XLOOKUP($A1738, 'Customer Names'!$A:$A, 'Customer Names'!B:B, "No Data")</f>
        <v>Thomas</v>
      </c>
      <c r="C1738" s="28">
        <f t="array" ref="C1738">_xlfn.XLOOKUP($A1738, 'Medical Examinations'!$A:$A, 'Medical Examinations'!B:B, "No Data")</f>
        <v>22.515</v>
      </c>
      <c r="D1738" s="28">
        <f t="array" ref="D1738">_xlfn.XLOOKUP($A1738, 'Medical Examinations'!$A:$A, 'Medical Examinations'!C:C, "No Data")</f>
        <v>4.37</v>
      </c>
      <c r="E1738" s="28" t="str">
        <f t="array" ref="E1738">_xlfn.XLOOKUP($A1738, 'Medical Examinations'!$A:$A, 'Medical Examinations'!D:D, "No Data")</f>
        <v>No</v>
      </c>
      <c r="F1738" s="28" t="str">
        <f t="array" ref="F1738">_xlfn.XLOOKUP($A1738, 'Medical Examinations'!$A:$A, 'Medical Examinations'!E:E, "No Data")</f>
        <v>No</v>
      </c>
      <c r="G1738" s="28" t="str">
        <f t="array" ref="G1738">_xlfn.XLOOKUP($A1738, 'Medical Examinations'!$A:$A, 'Medical Examinations'!F:F, "No Data")</f>
        <v>Yes</v>
      </c>
      <c r="H1738" s="28">
        <f t="array" ref="H1738">_xlfn.XLOOKUP($A1738, 'Medical Examinations'!$A:$A, 'Medical Examinations'!G:G, "No Data")</f>
        <v>1</v>
      </c>
      <c r="I1738" s="28" t="str">
        <f t="array" ref="I1738">_xlfn.XLOOKUP($A1738, 'Medical Examinations'!$A:$A, 'Medical Examinations'!H:H, "No Data")</f>
        <v>No</v>
      </c>
      <c r="J1738" s="28" t="str">
        <f t="array" ref="J1738">_xlfn.XLOOKUP($A1738, 'Medical Examinations'!$A:$A, 'Medical Examinations'!I:I, "No Data")</f>
        <v>Normal Weight</v>
      </c>
      <c r="K1738" s="28" t="str">
        <f t="array" ref="K1738">_xlfn.XLOOKUP($A1738, 'Hospitalisation Details'!$A:$A, 'Hospitalisation Details'!I:I, "No Data")</f>
        <v>tier - 3</v>
      </c>
      <c r="L1738" s="28" t="str">
        <f t="array" ref="L1738">_xlfn.XLOOKUP($A1738, 'Hospitalisation Details'!$A:$A, 'Hospitalisation Details'!J:J, "No Data")</f>
        <v>R1017</v>
      </c>
      <c r="M1738" s="28" t="str">
        <f t="array" ref="M1738">_xlfn.XLOOKUP($A1738, 'Hospitalisation Details'!$A:$A, 'Hospitalisation Details'!E:E, "No Data")</f>
        <v>17/06/93</v>
      </c>
      <c r="N1738" s="28">
        <f t="array" ref="N1738">_xlfn.XLOOKUP($A1738, 'Hospitalisation Details'!$A:$A, 'Hospitalisation Details'!K:K, "No Data")</f>
        <v>29</v>
      </c>
      <c r="O1738" s="33">
        <f t="array" ref="O1738">_xlfn.XLOOKUP($A1738, 'Hospitalisation Details'!$A:$A, 'Hospitalisation Details'!G:G, "No Data")</f>
        <v>5209.58</v>
      </c>
      <c r="P1738" s="28" t="str">
        <f t="array" ref="P1738">_xlfn.XLOOKUP($A1738, 'Hospitalisation Details'!$A:$A, 'Hospitalisation Details'!H:H, "No Data")</f>
        <v>tier - 3</v>
      </c>
    </row>
    <row r="1739">
      <c r="A1739" s="25" t="s">
        <v>3981</v>
      </c>
      <c r="B1739" s="28" t="str">
        <f t="array" ref="B1739">_xlfn.XLOOKUP($A1739, 'Customer Names'!$A:$A, 'Customer Names'!B:B, "No Data")</f>
        <v>Leon</v>
      </c>
      <c r="C1739" s="28">
        <f t="array" ref="C1739">_xlfn.XLOOKUP($A1739, 'Medical Examinations'!$A:$A, 'Medical Examinations'!B:B, "No Data")</f>
        <v>18.24</v>
      </c>
      <c r="D1739" s="28">
        <f t="array" ref="D1739">_xlfn.XLOOKUP($A1739, 'Medical Examinations'!$A:$A, 'Medical Examinations'!C:C, "No Data")</f>
        <v>5.31</v>
      </c>
      <c r="E1739" s="28" t="str">
        <f t="array" ref="E1739">_xlfn.XLOOKUP($A1739, 'Medical Examinations'!$A:$A, 'Medical Examinations'!D:D, "No Data")</f>
        <v>yes</v>
      </c>
      <c r="F1739" s="28" t="str">
        <f t="array" ref="F1739">_xlfn.XLOOKUP($A1739, 'Medical Examinations'!$A:$A, 'Medical Examinations'!E:E, "No Data")</f>
        <v>No</v>
      </c>
      <c r="G1739" s="28" t="str">
        <f t="array" ref="G1739">_xlfn.XLOOKUP($A1739, 'Medical Examinations'!$A:$A, 'Medical Examinations'!F:F, "No Data")</f>
        <v>Yes</v>
      </c>
      <c r="H1739" s="28">
        <f t="array" ref="H1739">_xlfn.XLOOKUP($A1739, 'Medical Examinations'!$A:$A, 'Medical Examinations'!G:G, "No Data")</f>
        <v>1</v>
      </c>
      <c r="I1739" s="28" t="str">
        <f t="array" ref="I1739">_xlfn.XLOOKUP($A1739, 'Medical Examinations'!$A:$A, 'Medical Examinations'!H:H, "No Data")</f>
        <v>No</v>
      </c>
      <c r="J1739" s="28" t="str">
        <f t="array" ref="J1739">_xlfn.XLOOKUP($A1739, 'Medical Examinations'!$A:$A, 'Medical Examinations'!I:I, "No Data")</f>
        <v>Underweight</v>
      </c>
      <c r="K1739" s="28" t="str">
        <f t="array" ref="K1739">_xlfn.XLOOKUP($A1739, 'Hospitalisation Details'!$A:$A, 'Hospitalisation Details'!I:I, "No Data")</f>
        <v>tier - 2</v>
      </c>
      <c r="L1739" s="28" t="str">
        <f t="array" ref="L1739">_xlfn.XLOOKUP($A1739, 'Hospitalisation Details'!$A:$A, 'Hospitalisation Details'!J:J, "No Data")</f>
        <v>R1012</v>
      </c>
      <c r="M1739" s="28" t="str">
        <f t="array" ref="M1739">_xlfn.XLOOKUP($A1739, 'Hospitalisation Details'!$A:$A, 'Hospitalisation Details'!E:E, "No Data")</f>
        <v>24/10/83</v>
      </c>
      <c r="N1739" s="28">
        <f t="array" ref="N1739">_xlfn.XLOOKUP($A1739, 'Hospitalisation Details'!$A:$A, 'Hospitalisation Details'!K:K, "No Data")</f>
        <v>39</v>
      </c>
      <c r="O1739" s="33">
        <f t="array" ref="O1739">_xlfn.XLOOKUP($A1739, 'Hospitalisation Details'!$A:$A, 'Hospitalisation Details'!G:G, "No Data")</f>
        <v>5207.97</v>
      </c>
      <c r="P1739" s="28" t="str">
        <f t="array" ref="P1739">_xlfn.XLOOKUP($A1739, 'Hospitalisation Details'!$A:$A, 'Hospitalisation Details'!H:H, "No Data")</f>
        <v>tier - 2</v>
      </c>
    </row>
    <row r="1740">
      <c r="A1740" s="25" t="s">
        <v>3975</v>
      </c>
      <c r="B1740" s="28" t="str">
        <f t="array" ref="B1740">_xlfn.XLOOKUP($A1740, 'Customer Names'!$A:$A, 'Customer Names'!B:B, "No Data")</f>
        <v>Marriott</v>
      </c>
      <c r="C1740" s="28">
        <f t="array" ref="C1740">_xlfn.XLOOKUP($A1740, 'Medical Examinations'!$A:$A, 'Medical Examinations'!B:B, "No Data")</f>
        <v>37.28</v>
      </c>
      <c r="D1740" s="28">
        <f t="array" ref="D1740">_xlfn.XLOOKUP($A1740, 'Medical Examinations'!$A:$A, 'Medical Examinations'!C:C, "No Data")</f>
        <v>4.66</v>
      </c>
      <c r="E1740" s="28" t="str">
        <f t="array" ref="E1740">_xlfn.XLOOKUP($A1740, 'Medical Examinations'!$A:$A, 'Medical Examinations'!D:D, "No Data")</f>
        <v>No</v>
      </c>
      <c r="F1740" s="28" t="str">
        <f t="array" ref="F1740">_xlfn.XLOOKUP($A1740, 'Medical Examinations'!$A:$A, 'Medical Examinations'!E:E, "No Data")</f>
        <v>yes</v>
      </c>
      <c r="G1740" s="28" t="str">
        <f t="array" ref="G1740">_xlfn.XLOOKUP($A1740, 'Medical Examinations'!$A:$A, 'Medical Examinations'!F:F, "No Data")</f>
        <v>No</v>
      </c>
      <c r="H1740" s="28">
        <f t="array" ref="H1740">_xlfn.XLOOKUP($A1740, 'Medical Examinations'!$A:$A, 'Medical Examinations'!G:G, "No Data")</f>
        <v>1</v>
      </c>
      <c r="I1740" s="28" t="str">
        <f t="array" ref="I1740">_xlfn.XLOOKUP($A1740, 'Medical Examinations'!$A:$A, 'Medical Examinations'!H:H, "No Data")</f>
        <v>No</v>
      </c>
      <c r="J1740" s="28" t="str">
        <f t="array" ref="J1740">_xlfn.XLOOKUP($A1740, 'Medical Examinations'!$A:$A, 'Medical Examinations'!I:I, "No Data")</f>
        <v>Obesity</v>
      </c>
      <c r="K1740" s="28" t="str">
        <f t="array" ref="K1740">_xlfn.XLOOKUP($A1740, 'Hospitalisation Details'!$A:$A, 'Hospitalisation Details'!I:I, "No Data")</f>
        <v>tier - 2</v>
      </c>
      <c r="L1740" s="28" t="str">
        <f t="array" ref="L1740">_xlfn.XLOOKUP($A1740, 'Hospitalisation Details'!$A:$A, 'Hospitalisation Details'!J:J, "No Data")</f>
        <v>R1022</v>
      </c>
      <c r="M1740" s="28" t="str">
        <f t="array" ref="M1740">_xlfn.XLOOKUP($A1740, 'Hospitalisation Details'!$A:$A, 'Hospitalisation Details'!E:E, "No Data")</f>
        <v>06/06/04</v>
      </c>
      <c r="N1740" s="28">
        <f t="array" ref="N1740">_xlfn.XLOOKUP($A1740, 'Hospitalisation Details'!$A:$A, 'Hospitalisation Details'!K:K, "No Data")</f>
        <v>19</v>
      </c>
      <c r="O1740" s="33">
        <f t="array" ref="O1740">_xlfn.XLOOKUP($A1740, 'Hospitalisation Details'!$A:$A, 'Hospitalisation Details'!G:G, "No Data")</f>
        <v>5198.69</v>
      </c>
      <c r="P1740" s="28" t="str">
        <f t="array" ref="P1740">_xlfn.XLOOKUP($A1740, 'Hospitalisation Details'!$A:$A, 'Hospitalisation Details'!H:H, "No Data")</f>
        <v>tier - 2</v>
      </c>
    </row>
    <row r="1741">
      <c r="A1741" s="25" t="s">
        <v>3972</v>
      </c>
      <c r="B1741" s="28" t="str">
        <f t="array" ref="B1741">_xlfn.XLOOKUP($A1741, 'Customer Names'!$A:$A, 'Customer Names'!B:B, "No Data")</f>
        <v>Wilkins</v>
      </c>
      <c r="C1741" s="28">
        <f t="array" ref="C1741">_xlfn.XLOOKUP($A1741, 'Medical Examinations'!$A:$A, 'Medical Examinations'!B:B, "No Data")</f>
        <v>18.2</v>
      </c>
      <c r="D1741" s="28">
        <f t="array" ref="D1741">_xlfn.XLOOKUP($A1741, 'Medical Examinations'!$A:$A, 'Medical Examinations'!C:C, "No Data")</f>
        <v>6.19</v>
      </c>
      <c r="E1741" s="28" t="str">
        <f t="array" ref="E1741">_xlfn.XLOOKUP($A1741, 'Medical Examinations'!$A:$A, 'Medical Examinations'!D:D, "No Data")</f>
        <v>No</v>
      </c>
      <c r="F1741" s="28" t="str">
        <f t="array" ref="F1741">_xlfn.XLOOKUP($A1741, 'Medical Examinations'!$A:$A, 'Medical Examinations'!E:E, "No Data")</f>
        <v>No</v>
      </c>
      <c r="G1741" s="28" t="str">
        <f t="array" ref="G1741">_xlfn.XLOOKUP($A1741, 'Medical Examinations'!$A:$A, 'Medical Examinations'!F:F, "No Data")</f>
        <v>Yes</v>
      </c>
      <c r="H1741" s="28">
        <f t="array" ref="H1741">_xlfn.XLOOKUP($A1741, 'Medical Examinations'!$A:$A, 'Medical Examinations'!G:G, "No Data")</f>
        <v>1</v>
      </c>
      <c r="I1741" s="28" t="str">
        <f t="array" ref="I1741">_xlfn.XLOOKUP($A1741, 'Medical Examinations'!$A:$A, 'Medical Examinations'!H:H, "No Data")</f>
        <v>No</v>
      </c>
      <c r="J1741" s="28" t="str">
        <f t="array" ref="J1741">_xlfn.XLOOKUP($A1741, 'Medical Examinations'!$A:$A, 'Medical Examinations'!I:I, "No Data")</f>
        <v>Underweight</v>
      </c>
      <c r="K1741" s="28" t="str">
        <f t="array" ref="K1741">_xlfn.XLOOKUP($A1741, 'Hospitalisation Details'!$A:$A, 'Hospitalisation Details'!I:I, "No Data")</f>
        <v>tier - 2</v>
      </c>
      <c r="L1741" s="28" t="str">
        <f t="array" ref="L1741">_xlfn.XLOOKUP($A1741, 'Hospitalisation Details'!$A:$A, 'Hospitalisation Details'!J:J, "No Data")</f>
        <v>R1013</v>
      </c>
      <c r="M1741" s="28" t="str">
        <f t="array" ref="M1741">_xlfn.XLOOKUP($A1741, 'Hospitalisation Details'!$A:$A, 'Hospitalisation Details'!E:E, "No Data")</f>
        <v>12/09/79</v>
      </c>
      <c r="N1741" s="28">
        <f t="array" ref="N1741">_xlfn.XLOOKUP($A1741, 'Hospitalisation Details'!$A:$A, 'Hospitalisation Details'!K:K, "No Data")</f>
        <v>43</v>
      </c>
      <c r="O1741" s="33">
        <f t="array" ref="O1741">_xlfn.XLOOKUP($A1741, 'Hospitalisation Details'!$A:$A, 'Hospitalisation Details'!G:G, "No Data")</f>
        <v>5195.58</v>
      </c>
      <c r="P1741" s="28" t="str">
        <f t="array" ref="P1741">_xlfn.XLOOKUP($A1741, 'Hospitalisation Details'!$A:$A, 'Hospitalisation Details'!H:H, "No Data")</f>
        <v>tier - 2</v>
      </c>
    </row>
    <row r="1742">
      <c r="A1742" s="25" t="s">
        <v>3969</v>
      </c>
      <c r="B1742" s="28" t="str">
        <f t="array" ref="B1742">_xlfn.XLOOKUP($A1742, 'Customer Names'!$A:$A, 'Customer Names'!B:B, "No Data")</f>
        <v>Saiter</v>
      </c>
      <c r="C1742" s="28">
        <f t="array" ref="C1742">_xlfn.XLOOKUP($A1742, 'Medical Examinations'!$A:$A, 'Medical Examinations'!B:B, "No Data")</f>
        <v>20.53</v>
      </c>
      <c r="D1742" s="28">
        <f t="array" ref="D1742">_xlfn.XLOOKUP($A1742, 'Medical Examinations'!$A:$A, 'Medical Examinations'!C:C, "No Data")</f>
        <v>4.86</v>
      </c>
      <c r="E1742" s="28" t="str">
        <f t="array" ref="E1742">_xlfn.XLOOKUP($A1742, 'Medical Examinations'!$A:$A, 'Medical Examinations'!D:D, "No Data")</f>
        <v>No</v>
      </c>
      <c r="F1742" s="28" t="str">
        <f t="array" ref="F1742">_xlfn.XLOOKUP($A1742, 'Medical Examinations'!$A:$A, 'Medical Examinations'!E:E, "No Data")</f>
        <v>No</v>
      </c>
      <c r="G1742" s="28" t="str">
        <f t="array" ref="G1742">_xlfn.XLOOKUP($A1742, 'Medical Examinations'!$A:$A, 'Medical Examinations'!F:F, "No Data")</f>
        <v>No</v>
      </c>
      <c r="H1742" s="28">
        <f t="array" ref="H1742">_xlfn.XLOOKUP($A1742, 'Medical Examinations'!$A:$A, 'Medical Examinations'!G:G, "No Data")</f>
        <v>1</v>
      </c>
      <c r="I1742" s="28" t="str">
        <f t="array" ref="I1742">_xlfn.XLOOKUP($A1742, 'Medical Examinations'!$A:$A, 'Medical Examinations'!H:H, "No Data")</f>
        <v>No</v>
      </c>
      <c r="J1742" s="28" t="str">
        <f t="array" ref="J1742">_xlfn.XLOOKUP($A1742, 'Medical Examinations'!$A:$A, 'Medical Examinations'!I:I, "No Data")</f>
        <v>Normal Weight</v>
      </c>
      <c r="K1742" s="28" t="str">
        <f t="array" ref="K1742">_xlfn.XLOOKUP($A1742, 'Hospitalisation Details'!$A:$A, 'Hospitalisation Details'!I:I, "No Data")</f>
        <v>tier - 1</v>
      </c>
      <c r="L1742" s="28" t="str">
        <f t="array" ref="L1742">_xlfn.XLOOKUP($A1742, 'Hospitalisation Details'!$A:$A, 'Hospitalisation Details'!J:J, "No Data")</f>
        <v>R1013</v>
      </c>
      <c r="M1742" s="28" t="str">
        <f t="array" ref="M1742">_xlfn.XLOOKUP($A1742, 'Hospitalisation Details'!$A:$A, 'Hospitalisation Details'!E:E, "No Data")</f>
        <v>16/10/84</v>
      </c>
      <c r="N1742" s="28">
        <f t="array" ref="N1742">_xlfn.XLOOKUP($A1742, 'Hospitalisation Details'!$A:$A, 'Hospitalisation Details'!K:K, "No Data")</f>
        <v>38</v>
      </c>
      <c r="O1742" s="33">
        <f t="array" ref="O1742">_xlfn.XLOOKUP($A1742, 'Hospitalisation Details'!$A:$A, 'Hospitalisation Details'!G:G, "No Data")</f>
        <v>5177.12</v>
      </c>
      <c r="P1742" s="28" t="str">
        <f t="array" ref="P1742">_xlfn.XLOOKUP($A1742, 'Hospitalisation Details'!$A:$A, 'Hospitalisation Details'!H:H, "No Data")</f>
        <v>tier - 2</v>
      </c>
    </row>
    <row r="1743">
      <c r="A1743" s="25" t="s">
        <v>3963</v>
      </c>
      <c r="B1743" s="28" t="str">
        <f t="array" ref="B1743">_xlfn.XLOOKUP($A1743, 'Customer Names'!$A:$A, 'Customer Names'!B:B, "No Data")</f>
        <v>Winrow</v>
      </c>
      <c r="C1743" s="28">
        <f t="array" ref="C1743">_xlfn.XLOOKUP($A1743, 'Medical Examinations'!$A:$A, 'Medical Examinations'!B:B, "No Data")</f>
        <v>23.79</v>
      </c>
      <c r="D1743" s="28">
        <f t="array" ref="D1743">_xlfn.XLOOKUP($A1743, 'Medical Examinations'!$A:$A, 'Medical Examinations'!C:C, "No Data")</f>
        <v>4.74</v>
      </c>
      <c r="E1743" s="28" t="str">
        <f t="array" ref="E1743">_xlfn.XLOOKUP($A1743, 'Medical Examinations'!$A:$A, 'Medical Examinations'!D:D, "No Data")</f>
        <v>No</v>
      </c>
      <c r="F1743" s="28" t="str">
        <f t="array" ref="F1743">_xlfn.XLOOKUP($A1743, 'Medical Examinations'!$A:$A, 'Medical Examinations'!E:E, "No Data")</f>
        <v>No</v>
      </c>
      <c r="G1743" s="28" t="str">
        <f t="array" ref="G1743">_xlfn.XLOOKUP($A1743, 'Medical Examinations'!$A:$A, 'Medical Examinations'!F:F, "No Data")</f>
        <v>No</v>
      </c>
      <c r="H1743" s="28">
        <f t="array" ref="H1743">_xlfn.XLOOKUP($A1743, 'Medical Examinations'!$A:$A, 'Medical Examinations'!G:G, "No Data")</f>
        <v>0</v>
      </c>
      <c r="I1743" s="28" t="str">
        <f t="array" ref="I1743">_xlfn.XLOOKUP($A1743, 'Medical Examinations'!$A:$A, 'Medical Examinations'!H:H, "No Data")</f>
        <v>No</v>
      </c>
      <c r="J1743" s="28" t="str">
        <f t="array" ref="J1743">_xlfn.XLOOKUP($A1743, 'Medical Examinations'!$A:$A, 'Medical Examinations'!I:I, "No Data")</f>
        <v>Normal Weight</v>
      </c>
      <c r="K1743" s="28" t="str">
        <f t="array" ref="K1743">_xlfn.XLOOKUP($A1743, 'Hospitalisation Details'!$A:$A, 'Hospitalisation Details'!I:I, "No Data")</f>
        <v>tier - 2</v>
      </c>
      <c r="L1743" s="28" t="str">
        <f t="array" ref="L1743">_xlfn.XLOOKUP($A1743, 'Hospitalisation Details'!$A:$A, 'Hospitalisation Details'!J:J, "No Data")</f>
        <v>R1012</v>
      </c>
      <c r="M1743" s="28" t="str">
        <f t="array" ref="M1743">_xlfn.XLOOKUP($A1743, 'Hospitalisation Details'!$A:$A, 'Hospitalisation Details'!E:E, "No Data")</f>
        <v>29/08/91</v>
      </c>
      <c r="N1743" s="28">
        <f t="array" ref="N1743">_xlfn.XLOOKUP($A1743, 'Hospitalisation Details'!$A:$A, 'Hospitalisation Details'!K:K, "No Data")</f>
        <v>31</v>
      </c>
      <c r="O1743" s="33">
        <f t="array" ref="O1743">_xlfn.XLOOKUP($A1743, 'Hospitalisation Details'!$A:$A, 'Hospitalisation Details'!G:G, "No Data")</f>
        <v>5166.96</v>
      </c>
      <c r="P1743" s="28" t="str">
        <f t="array" ref="P1743">_xlfn.XLOOKUP($A1743, 'Hospitalisation Details'!$A:$A, 'Hospitalisation Details'!H:H, "No Data")</f>
        <v>tier - 2</v>
      </c>
    </row>
    <row r="1744">
      <c r="A1744" s="25" t="s">
        <v>3959</v>
      </c>
      <c r="B1744" s="28" t="str">
        <f t="array" ref="B1744">_xlfn.XLOOKUP($A1744, 'Customer Names'!$A:$A, 'Customer Names'!B:B, "No Data")</f>
        <v>Gries</v>
      </c>
      <c r="C1744" s="28">
        <f t="array" ref="C1744">_xlfn.XLOOKUP($A1744, 'Medical Examinations'!$A:$A, 'Medical Examinations'!B:B, "No Data")</f>
        <v>29.8</v>
      </c>
      <c r="D1744" s="28">
        <f t="array" ref="D1744">_xlfn.XLOOKUP($A1744, 'Medical Examinations'!$A:$A, 'Medical Examinations'!C:C, "No Data")</f>
        <v>6.03</v>
      </c>
      <c r="E1744" s="28" t="str">
        <f t="array" ref="E1744">_xlfn.XLOOKUP($A1744, 'Medical Examinations'!$A:$A, 'Medical Examinations'!D:D, "No Data")</f>
        <v>No</v>
      </c>
      <c r="F1744" s="28" t="str">
        <f t="array" ref="F1744">_xlfn.XLOOKUP($A1744, 'Medical Examinations'!$A:$A, 'Medical Examinations'!E:E, "No Data")</f>
        <v>No</v>
      </c>
      <c r="G1744" s="28" t="str">
        <f t="array" ref="G1744">_xlfn.XLOOKUP($A1744, 'Medical Examinations'!$A:$A, 'Medical Examinations'!F:F, "No Data")</f>
        <v>No</v>
      </c>
      <c r="H1744" s="28">
        <f t="array" ref="H1744">_xlfn.XLOOKUP($A1744, 'Medical Examinations'!$A:$A, 'Medical Examinations'!G:G, "No Data")</f>
        <v>0</v>
      </c>
      <c r="I1744" s="28" t="str">
        <f t="array" ref="I1744">_xlfn.XLOOKUP($A1744, 'Medical Examinations'!$A:$A, 'Medical Examinations'!H:H, "No Data")</f>
        <v>No</v>
      </c>
      <c r="J1744" s="28" t="str">
        <f t="array" ref="J1744">_xlfn.XLOOKUP($A1744, 'Medical Examinations'!$A:$A, 'Medical Examinations'!I:I, "No Data")</f>
        <v>Overweight</v>
      </c>
      <c r="K1744" s="28" t="str">
        <f t="array" ref="K1744">_xlfn.XLOOKUP($A1744, 'Hospitalisation Details'!$A:$A, 'Hospitalisation Details'!I:I, "No Data")</f>
        <v>tier - 2</v>
      </c>
      <c r="L1744" s="28" t="str">
        <f t="array" ref="L1744">_xlfn.XLOOKUP($A1744, 'Hospitalisation Details'!$A:$A, 'Hospitalisation Details'!J:J, "No Data")</f>
        <v>R1011</v>
      </c>
      <c r="M1744" s="28" t="str">
        <f t="array" ref="M1744">_xlfn.XLOOKUP($A1744, 'Hospitalisation Details'!$A:$A, 'Hospitalisation Details'!E:E, "No Data")</f>
        <v>09/10/90</v>
      </c>
      <c r="N1744" s="28">
        <f t="array" ref="N1744">_xlfn.XLOOKUP($A1744, 'Hospitalisation Details'!$A:$A, 'Hospitalisation Details'!K:K, "No Data")</f>
        <v>32</v>
      </c>
      <c r="O1744" s="33">
        <f t="array" ref="O1744">_xlfn.XLOOKUP($A1744, 'Hospitalisation Details'!$A:$A, 'Hospitalisation Details'!G:G, "No Data")</f>
        <v>5152.13</v>
      </c>
      <c r="P1744" s="28" t="str">
        <f t="array" ref="P1744">_xlfn.XLOOKUP($A1744, 'Hospitalisation Details'!$A:$A, 'Hospitalisation Details'!H:H, "No Data")</f>
        <v>tier - 2</v>
      </c>
    </row>
    <row r="1745">
      <c r="A1745" s="25" t="s">
        <v>3955</v>
      </c>
      <c r="B1745" s="28" t="str">
        <f t="array" ref="B1745">_xlfn.XLOOKUP($A1745, 'Customer Names'!$A:$A, 'Customer Names'!B:B, "No Data")</f>
        <v>Strohschein</v>
      </c>
      <c r="C1745" s="28">
        <f t="array" ref="C1745">_xlfn.XLOOKUP($A1745, 'Medical Examinations'!$A:$A, 'Medical Examinations'!B:B, "No Data")</f>
        <v>31.54</v>
      </c>
      <c r="D1745" s="28">
        <f t="array" ref="D1745">_xlfn.XLOOKUP($A1745, 'Medical Examinations'!$A:$A, 'Medical Examinations'!C:C, "No Data")</f>
        <v>4.71</v>
      </c>
      <c r="E1745" s="28" t="str">
        <f t="array" ref="E1745">_xlfn.XLOOKUP($A1745, 'Medical Examinations'!$A:$A, 'Medical Examinations'!D:D, "No Data")</f>
        <v>No</v>
      </c>
      <c r="F1745" s="28" t="str">
        <f t="array" ref="F1745">_xlfn.XLOOKUP($A1745, 'Medical Examinations'!$A:$A, 'Medical Examinations'!E:E, "No Data")</f>
        <v>No</v>
      </c>
      <c r="G1745" s="28" t="str">
        <f t="array" ref="G1745">_xlfn.XLOOKUP($A1745, 'Medical Examinations'!$A:$A, 'Medical Examinations'!F:F, "No Data")</f>
        <v>No</v>
      </c>
      <c r="H1745" s="28">
        <f t="array" ref="H1745">_xlfn.XLOOKUP($A1745, 'Medical Examinations'!$A:$A, 'Medical Examinations'!G:G, "No Data")</f>
        <v>0</v>
      </c>
      <c r="I1745" s="28" t="str">
        <f t="array" ref="I1745">_xlfn.XLOOKUP($A1745, 'Medical Examinations'!$A:$A, 'Medical Examinations'!H:H, "No Data")</f>
        <v>No</v>
      </c>
      <c r="J1745" s="28" t="str">
        <f t="array" ref="J1745">_xlfn.XLOOKUP($A1745, 'Medical Examinations'!$A:$A, 'Medical Examinations'!I:I, "No Data")</f>
        <v>Obesity</v>
      </c>
      <c r="K1745" s="28" t="str">
        <f t="array" ref="K1745">_xlfn.XLOOKUP($A1745, 'Hospitalisation Details'!$A:$A, 'Hospitalisation Details'!I:I, "No Data")</f>
        <v>tier - 2</v>
      </c>
      <c r="L1745" s="28" t="str">
        <f t="array" ref="L1745">_xlfn.XLOOKUP($A1745, 'Hospitalisation Details'!$A:$A, 'Hospitalisation Details'!J:J, "No Data")</f>
        <v>R1024</v>
      </c>
      <c r="M1745" s="28" t="str">
        <f t="array" ref="M1745">_xlfn.XLOOKUP($A1745, 'Hospitalisation Details'!$A:$A, 'Hospitalisation Details'!E:E, "No Data")</f>
        <v>22/08/90</v>
      </c>
      <c r="N1745" s="28">
        <f t="array" ref="N1745">_xlfn.XLOOKUP($A1745, 'Hospitalisation Details'!$A:$A, 'Hospitalisation Details'!K:K, "No Data")</f>
        <v>32</v>
      </c>
      <c r="O1745" s="33">
        <f t="array" ref="O1745">_xlfn.XLOOKUP($A1745, 'Hospitalisation Details'!$A:$A, 'Hospitalisation Details'!G:G, "No Data")</f>
        <v>5148.55</v>
      </c>
      <c r="P1745" s="28" t="str">
        <f t="array" ref="P1745">_xlfn.XLOOKUP($A1745, 'Hospitalisation Details'!$A:$A, 'Hospitalisation Details'!H:H, "No Data")</f>
        <v>tier - 2</v>
      </c>
    </row>
    <row r="1746">
      <c r="A1746" s="25" t="s">
        <v>3950</v>
      </c>
      <c r="B1746" s="28" t="str">
        <f t="array" ref="B1746">_xlfn.XLOOKUP($A1746, 'Customer Names'!$A:$A, 'Customer Names'!B:B, "No Data")</f>
        <v>Berger</v>
      </c>
      <c r="C1746" s="28">
        <f t="array" ref="C1746">_xlfn.XLOOKUP($A1746, 'Medical Examinations'!$A:$A, 'Medical Examinations'!B:B, "No Data")</f>
        <v>20.82</v>
      </c>
      <c r="D1746" s="28">
        <f t="array" ref="D1746">_xlfn.XLOOKUP($A1746, 'Medical Examinations'!$A:$A, 'Medical Examinations'!C:C, "No Data")</f>
        <v>5.55</v>
      </c>
      <c r="E1746" s="28" t="str">
        <f t="array" ref="E1746">_xlfn.XLOOKUP($A1746, 'Medical Examinations'!$A:$A, 'Medical Examinations'!D:D, "No Data")</f>
        <v>No</v>
      </c>
      <c r="F1746" s="28" t="str">
        <f t="array" ref="F1746">_xlfn.XLOOKUP($A1746, 'Medical Examinations'!$A:$A, 'Medical Examinations'!E:E, "No Data")</f>
        <v>No</v>
      </c>
      <c r="G1746" s="28" t="str">
        <f t="array" ref="G1746">_xlfn.XLOOKUP($A1746, 'Medical Examinations'!$A:$A, 'Medical Examinations'!F:F, "No Data")</f>
        <v>No</v>
      </c>
      <c r="H1746" s="28">
        <f t="array" ref="H1746">_xlfn.XLOOKUP($A1746, 'Medical Examinations'!$A:$A, 'Medical Examinations'!G:G, "No Data")</f>
        <v>1</v>
      </c>
      <c r="I1746" s="28" t="str">
        <f t="array" ref="I1746">_xlfn.XLOOKUP($A1746, 'Medical Examinations'!$A:$A, 'Medical Examinations'!H:H, "No Data")</f>
        <v>No</v>
      </c>
      <c r="J1746" s="28" t="str">
        <f t="array" ref="J1746">_xlfn.XLOOKUP($A1746, 'Medical Examinations'!$A:$A, 'Medical Examinations'!I:I, "No Data")</f>
        <v>Normal Weight</v>
      </c>
      <c r="K1746" s="28" t="str">
        <f t="array" ref="K1746">_xlfn.XLOOKUP($A1746, 'Hospitalisation Details'!$A:$A, 'Hospitalisation Details'!I:I, "No Data")</f>
        <v>tier - 1</v>
      </c>
      <c r="L1746" s="28" t="str">
        <f t="array" ref="L1746">_xlfn.XLOOKUP($A1746, 'Hospitalisation Details'!$A:$A, 'Hospitalisation Details'!J:J, "No Data")</f>
        <v>R1013</v>
      </c>
      <c r="M1746" s="28" t="str">
        <f t="array" ref="M1746">_xlfn.XLOOKUP($A1746, 'Hospitalisation Details'!$A:$A, 'Hospitalisation Details'!E:E, "No Data")</f>
        <v>22/08/84</v>
      </c>
      <c r="N1746" s="28">
        <f t="array" ref="N1746">_xlfn.XLOOKUP($A1746, 'Hospitalisation Details'!$A:$A, 'Hospitalisation Details'!K:K, "No Data")</f>
        <v>38</v>
      </c>
      <c r="O1746" s="33">
        <f t="array" ref="O1746">_xlfn.XLOOKUP($A1746, 'Hospitalisation Details'!$A:$A, 'Hospitalisation Details'!G:G, "No Data")</f>
        <v>5144.18</v>
      </c>
      <c r="P1746" s="28" t="str">
        <f t="array" ref="P1746">_xlfn.XLOOKUP($A1746, 'Hospitalisation Details'!$A:$A, 'Hospitalisation Details'!H:H, "No Data")</f>
        <v>tier - 2</v>
      </c>
    </row>
    <row r="1747">
      <c r="A1747" s="25" t="s">
        <v>3946</v>
      </c>
      <c r="B1747" s="28" t="str">
        <f t="array" ref="B1747">_xlfn.XLOOKUP($A1747, 'Customer Names'!$A:$A, 'Customer Names'!B:B, "No Data")</f>
        <v>Coogan</v>
      </c>
      <c r="C1747" s="28">
        <f t="array" ref="C1747">_xlfn.XLOOKUP($A1747, 'Medical Examinations'!$A:$A, 'Medical Examinations'!B:B, "No Data")</f>
        <v>38.83</v>
      </c>
      <c r="D1747" s="28">
        <f t="array" ref="D1747">_xlfn.XLOOKUP($A1747, 'Medical Examinations'!$A:$A, 'Medical Examinations'!C:C, "No Data")</f>
        <v>4.78</v>
      </c>
      <c r="E1747" s="28" t="str">
        <f t="array" ref="E1747">_xlfn.XLOOKUP($A1747, 'Medical Examinations'!$A:$A, 'Medical Examinations'!D:D, "No Data")</f>
        <v>No</v>
      </c>
      <c r="F1747" s="28" t="str">
        <f t="array" ref="F1747">_xlfn.XLOOKUP($A1747, 'Medical Examinations'!$A:$A, 'Medical Examinations'!E:E, "No Data")</f>
        <v>No</v>
      </c>
      <c r="G1747" s="28" t="str">
        <f t="array" ref="G1747">_xlfn.XLOOKUP($A1747, 'Medical Examinations'!$A:$A, 'Medical Examinations'!F:F, "No Data")</f>
        <v>Yes</v>
      </c>
      <c r="H1747" s="28">
        <f t="array" ref="H1747">_xlfn.XLOOKUP($A1747, 'Medical Examinations'!$A:$A, 'Medical Examinations'!G:G, "No Data")</f>
        <v>1</v>
      </c>
      <c r="I1747" s="28" t="str">
        <f t="array" ref="I1747">_xlfn.XLOOKUP($A1747, 'Medical Examinations'!$A:$A, 'Medical Examinations'!H:H, "No Data")</f>
        <v>No</v>
      </c>
      <c r="J1747" s="28" t="str">
        <f t="array" ref="J1747">_xlfn.XLOOKUP($A1747, 'Medical Examinations'!$A:$A, 'Medical Examinations'!I:I, "No Data")</f>
        <v>Obesity</v>
      </c>
      <c r="K1747" s="28" t="str">
        <f t="array" ref="K1747">_xlfn.XLOOKUP($A1747, 'Hospitalisation Details'!$A:$A, 'Hospitalisation Details'!I:I, "No Data")</f>
        <v>tier - 2</v>
      </c>
      <c r="L1747" s="28" t="str">
        <f t="array" ref="L1747">_xlfn.XLOOKUP($A1747, 'Hospitalisation Details'!$A:$A, 'Hospitalisation Details'!J:J, "No Data")</f>
        <v>R1013</v>
      </c>
      <c r="M1747" s="28" t="str">
        <f t="array" ref="M1747">_xlfn.XLOOKUP($A1747, 'Hospitalisation Details'!$A:$A, 'Hospitalisation Details'!E:E, "No Data")</f>
        <v>10/12/93</v>
      </c>
      <c r="N1747" s="28">
        <f t="array" ref="N1747">_xlfn.XLOOKUP($A1747, 'Hospitalisation Details'!$A:$A, 'Hospitalisation Details'!K:K, "No Data")</f>
        <v>29</v>
      </c>
      <c r="O1747" s="33">
        <f t="array" ref="O1747">_xlfn.XLOOKUP($A1747, 'Hospitalisation Details'!$A:$A, 'Hospitalisation Details'!G:G, "No Data")</f>
        <v>5138.26</v>
      </c>
      <c r="P1747" s="28" t="str">
        <f t="array" ref="P1747">_xlfn.XLOOKUP($A1747, 'Hospitalisation Details'!$A:$A, 'Hospitalisation Details'!H:H, "No Data")</f>
        <v>tier - 2</v>
      </c>
    </row>
    <row r="1748">
      <c r="A1748" s="25" t="s">
        <v>3942</v>
      </c>
      <c r="B1748" s="28" t="str">
        <f t="array" ref="B1748">_xlfn.XLOOKUP($A1748, 'Customer Names'!$A:$A, 'Customer Names'!B:B, "No Data")</f>
        <v>Gagnon</v>
      </c>
      <c r="C1748" s="28">
        <f t="array" ref="C1748">_xlfn.XLOOKUP($A1748, 'Medical Examinations'!$A:$A, 'Medical Examinations'!B:B, "No Data")</f>
        <v>23.44</v>
      </c>
      <c r="D1748" s="28">
        <f t="array" ref="D1748">_xlfn.XLOOKUP($A1748, 'Medical Examinations'!$A:$A, 'Medical Examinations'!C:C, "No Data")</f>
        <v>4.65</v>
      </c>
      <c r="E1748" s="28" t="str">
        <f t="array" ref="E1748">_xlfn.XLOOKUP($A1748, 'Medical Examinations'!$A:$A, 'Medical Examinations'!D:D, "No Data")</f>
        <v>yes</v>
      </c>
      <c r="F1748" s="28" t="str">
        <f t="array" ref="F1748">_xlfn.XLOOKUP($A1748, 'Medical Examinations'!$A:$A, 'Medical Examinations'!E:E, "No Data")</f>
        <v>No</v>
      </c>
      <c r="G1748" s="28" t="str">
        <f t="array" ref="G1748">_xlfn.XLOOKUP($A1748, 'Medical Examinations'!$A:$A, 'Medical Examinations'!F:F, "No Data")</f>
        <v>No</v>
      </c>
      <c r="H1748" s="28">
        <f t="array" ref="H1748">_xlfn.XLOOKUP($A1748, 'Medical Examinations'!$A:$A, 'Medical Examinations'!G:G, "No Data")</f>
        <v>1</v>
      </c>
      <c r="I1748" s="28" t="str">
        <f t="array" ref="I1748">_xlfn.XLOOKUP($A1748, 'Medical Examinations'!$A:$A, 'Medical Examinations'!H:H, "No Data")</f>
        <v>No</v>
      </c>
      <c r="J1748" s="28" t="str">
        <f t="array" ref="J1748">_xlfn.XLOOKUP($A1748, 'Medical Examinations'!$A:$A, 'Medical Examinations'!I:I, "No Data")</f>
        <v>Normal Weight</v>
      </c>
      <c r="K1748" s="28" t="str">
        <f t="array" ref="K1748">_xlfn.XLOOKUP($A1748, 'Hospitalisation Details'!$A:$A, 'Hospitalisation Details'!I:I, "No Data")</f>
        <v>tier - 1</v>
      </c>
      <c r="L1748" s="28" t="str">
        <f t="array" ref="L1748">_xlfn.XLOOKUP($A1748, 'Hospitalisation Details'!$A:$A, 'Hospitalisation Details'!J:J, "No Data")</f>
        <v>R1013</v>
      </c>
      <c r="M1748" s="28" t="str">
        <f t="array" ref="M1748">_xlfn.XLOOKUP($A1748, 'Hospitalisation Details'!$A:$A, 'Hospitalisation Details'!E:E, "No Data")</f>
        <v>15/09/88</v>
      </c>
      <c r="N1748" s="28">
        <f t="array" ref="N1748">_xlfn.XLOOKUP($A1748, 'Hospitalisation Details'!$A:$A, 'Hospitalisation Details'!K:K, "No Data")</f>
        <v>34</v>
      </c>
      <c r="O1748" s="33">
        <f t="array" ref="O1748">_xlfn.XLOOKUP($A1748, 'Hospitalisation Details'!$A:$A, 'Hospitalisation Details'!G:G, "No Data")</f>
        <v>5136.75</v>
      </c>
      <c r="P1748" s="28" t="str">
        <f t="array" ref="P1748">_xlfn.XLOOKUP($A1748, 'Hospitalisation Details'!$A:$A, 'Hospitalisation Details'!H:H, "No Data")</f>
        <v>tier - 2</v>
      </c>
    </row>
    <row r="1749">
      <c r="A1749" s="25" t="s">
        <v>3938</v>
      </c>
      <c r="B1749" s="28" t="str">
        <f t="array" ref="B1749">_xlfn.XLOOKUP($A1749, 'Customer Names'!$A:$A, 'Customer Names'!B:B, "No Data")</f>
        <v>Pearson</v>
      </c>
      <c r="C1749" s="28">
        <f t="array" ref="C1749">_xlfn.XLOOKUP($A1749, 'Medical Examinations'!$A:$A, 'Medical Examinations'!B:B, "No Data")</f>
        <v>24.13</v>
      </c>
      <c r="D1749" s="28">
        <f t="array" ref="D1749">_xlfn.XLOOKUP($A1749, 'Medical Examinations'!$A:$A, 'Medical Examinations'!C:C, "No Data")</f>
        <v>5.2</v>
      </c>
      <c r="E1749" s="28" t="str">
        <f t="array" ref="E1749">_xlfn.XLOOKUP($A1749, 'Medical Examinations'!$A:$A, 'Medical Examinations'!D:D, "No Data")</f>
        <v>No</v>
      </c>
      <c r="F1749" s="28" t="str">
        <f t="array" ref="F1749">_xlfn.XLOOKUP($A1749, 'Medical Examinations'!$A:$A, 'Medical Examinations'!E:E, "No Data")</f>
        <v>No</v>
      </c>
      <c r="G1749" s="28" t="str">
        <f t="array" ref="G1749">_xlfn.XLOOKUP($A1749, 'Medical Examinations'!$A:$A, 'Medical Examinations'!F:F, "No Data")</f>
        <v>No</v>
      </c>
      <c r="H1749" s="28">
        <f t="array" ref="H1749">_xlfn.XLOOKUP($A1749, 'Medical Examinations'!$A:$A, 'Medical Examinations'!G:G, "No Data")</f>
        <v>1</v>
      </c>
      <c r="I1749" s="28" t="str">
        <f t="array" ref="I1749">_xlfn.XLOOKUP($A1749, 'Medical Examinations'!$A:$A, 'Medical Examinations'!H:H, "No Data")</f>
        <v>No</v>
      </c>
      <c r="J1749" s="28" t="str">
        <f t="array" ref="J1749">_xlfn.XLOOKUP($A1749, 'Medical Examinations'!$A:$A, 'Medical Examinations'!I:I, "No Data")</f>
        <v>Normal Weight</v>
      </c>
      <c r="K1749" s="28" t="str">
        <f t="array" ref="K1749">_xlfn.XLOOKUP($A1749, 'Hospitalisation Details'!$A:$A, 'Hospitalisation Details'!I:I, "No Data")</f>
        <v>tier - 2</v>
      </c>
      <c r="L1749" s="28" t="str">
        <f t="array" ref="L1749">_xlfn.XLOOKUP($A1749, 'Hospitalisation Details'!$A:$A, 'Hospitalisation Details'!J:J, "No Data")</f>
        <v>R1012</v>
      </c>
      <c r="M1749" s="28" t="str">
        <f t="array" ref="M1749">_xlfn.XLOOKUP($A1749, 'Hospitalisation Details'!$A:$A, 'Hospitalisation Details'!E:E, "No Data")</f>
        <v>13/09/87</v>
      </c>
      <c r="N1749" s="28">
        <f t="array" ref="N1749">_xlfn.XLOOKUP($A1749, 'Hospitalisation Details'!$A:$A, 'Hospitalisation Details'!K:K, "No Data")</f>
        <v>35</v>
      </c>
      <c r="O1749" s="33">
        <f t="array" ref="O1749">_xlfn.XLOOKUP($A1749, 'Hospitalisation Details'!$A:$A, 'Hospitalisation Details'!G:G, "No Data")</f>
        <v>5125.22</v>
      </c>
      <c r="P1749" s="28" t="str">
        <f t="array" ref="P1749">_xlfn.XLOOKUP($A1749, 'Hospitalisation Details'!$A:$A, 'Hospitalisation Details'!H:H, "No Data")</f>
        <v>tier - 1</v>
      </c>
    </row>
    <row r="1750">
      <c r="A1750" s="25" t="s">
        <v>3931</v>
      </c>
      <c r="B1750" s="28" t="str">
        <f t="array" ref="B1750">_xlfn.XLOOKUP($A1750, 'Customer Names'!$A:$A, 'Customer Names'!B:B, "No Data")</f>
        <v>Brian</v>
      </c>
      <c r="C1750" s="28">
        <f t="array" ref="C1750">_xlfn.XLOOKUP($A1750, 'Medical Examinations'!$A:$A, 'Medical Examinations'!B:B, "No Data")</f>
        <v>42.13</v>
      </c>
      <c r="D1750" s="28">
        <f t="array" ref="D1750">_xlfn.XLOOKUP($A1750, 'Medical Examinations'!$A:$A, 'Medical Examinations'!C:C, "No Data")</f>
        <v>4.54</v>
      </c>
      <c r="E1750" s="28" t="str">
        <f t="array" ref="E1750">_xlfn.XLOOKUP($A1750, 'Medical Examinations'!$A:$A, 'Medical Examinations'!D:D, "No Data")</f>
        <v>yes</v>
      </c>
      <c r="F1750" s="28" t="str">
        <f t="array" ref="F1750">_xlfn.XLOOKUP($A1750, 'Medical Examinations'!$A:$A, 'Medical Examinations'!E:E, "No Data")</f>
        <v>No</v>
      </c>
      <c r="G1750" s="28" t="str">
        <f t="array" ref="G1750">_xlfn.XLOOKUP($A1750, 'Medical Examinations'!$A:$A, 'Medical Examinations'!F:F, "No Data")</f>
        <v>No</v>
      </c>
      <c r="H1750" s="28">
        <f t="array" ref="H1750">_xlfn.XLOOKUP($A1750, 'Medical Examinations'!$A:$A, 'Medical Examinations'!G:G, "No Data")</f>
        <v>1</v>
      </c>
      <c r="I1750" s="28" t="str">
        <f t="array" ref="I1750">_xlfn.XLOOKUP($A1750, 'Medical Examinations'!$A:$A, 'Medical Examinations'!H:H, "No Data")</f>
        <v>No</v>
      </c>
      <c r="J1750" s="28" t="str">
        <f t="array" ref="J1750">_xlfn.XLOOKUP($A1750, 'Medical Examinations'!$A:$A, 'Medical Examinations'!I:I, "No Data")</f>
        <v>Obesity</v>
      </c>
      <c r="K1750" s="28" t="str">
        <f t="array" ref="K1750">_xlfn.XLOOKUP($A1750, 'Hospitalisation Details'!$A:$A, 'Hospitalisation Details'!I:I, "No Data")</f>
        <v>tier - 3</v>
      </c>
      <c r="L1750" s="28" t="str">
        <f t="array" ref="L1750">_xlfn.XLOOKUP($A1750, 'Hospitalisation Details'!$A:$A, 'Hospitalisation Details'!J:J, "No Data")</f>
        <v>R1013</v>
      </c>
      <c r="M1750" s="28" t="str">
        <f t="array" ref="M1750">_xlfn.XLOOKUP($A1750, 'Hospitalisation Details'!$A:$A, 'Hospitalisation Details'!E:E, "No Data")</f>
        <v>01/11/88</v>
      </c>
      <c r="N1750" s="28">
        <f t="array" ref="N1750">_xlfn.XLOOKUP($A1750, 'Hospitalisation Details'!$A:$A, 'Hospitalisation Details'!K:K, "No Data")</f>
        <v>34</v>
      </c>
      <c r="O1750" s="33">
        <f t="array" ref="O1750">_xlfn.XLOOKUP($A1750, 'Hospitalisation Details'!$A:$A, 'Hospitalisation Details'!G:G, "No Data")</f>
        <v>5124.19</v>
      </c>
      <c r="P1750" s="28" t="str">
        <f t="array" ref="P1750">_xlfn.XLOOKUP($A1750, 'Hospitalisation Details'!$A:$A, 'Hospitalisation Details'!H:H, "No Data")</f>
        <v>tier - 2</v>
      </c>
    </row>
    <row r="1751">
      <c r="A1751" s="25" t="s">
        <v>3925</v>
      </c>
      <c r="B1751" s="28" t="str">
        <f t="array" ref="B1751">_xlfn.XLOOKUP($A1751, 'Customer Names'!$A:$A, 'Customer Names'!B:B, "No Data")</f>
        <v>Brown</v>
      </c>
      <c r="C1751" s="28">
        <f t="array" ref="C1751">_xlfn.XLOOKUP($A1751, 'Medical Examinations'!$A:$A, 'Medical Examinations'!B:B, "No Data")</f>
        <v>17.86</v>
      </c>
      <c r="D1751" s="28">
        <f t="array" ref="D1751">_xlfn.XLOOKUP($A1751, 'Medical Examinations'!$A:$A, 'Medical Examinations'!C:C, "No Data")</f>
        <v>4.11</v>
      </c>
      <c r="E1751" s="28" t="str">
        <f t="array" ref="E1751">_xlfn.XLOOKUP($A1751, 'Medical Examinations'!$A:$A, 'Medical Examinations'!D:D, "No Data")</f>
        <v>No</v>
      </c>
      <c r="F1751" s="28" t="str">
        <f t="array" ref="F1751">_xlfn.XLOOKUP($A1751, 'Medical Examinations'!$A:$A, 'Medical Examinations'!E:E, "No Data")</f>
        <v>No</v>
      </c>
      <c r="G1751" s="28" t="str">
        <f t="array" ref="G1751">_xlfn.XLOOKUP($A1751, 'Medical Examinations'!$A:$A, 'Medical Examinations'!F:F, "No Data")</f>
        <v>No</v>
      </c>
      <c r="H1751" s="28">
        <f t="array" ref="H1751">_xlfn.XLOOKUP($A1751, 'Medical Examinations'!$A:$A, 'Medical Examinations'!G:G, "No Data")</f>
        <v>1</v>
      </c>
      <c r="I1751" s="28" t="str">
        <f t="array" ref="I1751">_xlfn.XLOOKUP($A1751, 'Medical Examinations'!$A:$A, 'Medical Examinations'!H:H, "No Data")</f>
        <v>No</v>
      </c>
      <c r="J1751" s="28" t="str">
        <f t="array" ref="J1751">_xlfn.XLOOKUP($A1751, 'Medical Examinations'!$A:$A, 'Medical Examinations'!I:I, "No Data")</f>
        <v>Underweight</v>
      </c>
      <c r="K1751" s="28" t="str">
        <f t="array" ref="K1751">_xlfn.XLOOKUP($A1751, 'Hospitalisation Details'!$A:$A, 'Hospitalisation Details'!I:I, "No Data")</f>
        <v>tier - 2</v>
      </c>
      <c r="L1751" s="28" t="str">
        <f t="array" ref="L1751">_xlfn.XLOOKUP($A1751, 'Hospitalisation Details'!$A:$A, 'Hospitalisation Details'!J:J, "No Data")</f>
        <v>R1012</v>
      </c>
      <c r="M1751" s="28" t="str">
        <f t="array" ref="M1751">_xlfn.XLOOKUP($A1751, 'Hospitalisation Details'!$A:$A, 'Hospitalisation Details'!E:E, "No Data")</f>
        <v>18/11/87</v>
      </c>
      <c r="N1751" s="28">
        <f t="array" ref="N1751">_xlfn.XLOOKUP($A1751, 'Hospitalisation Details'!$A:$A, 'Hospitalisation Details'!K:K, "No Data")</f>
        <v>35</v>
      </c>
      <c r="O1751" s="33">
        <f t="array" ref="O1751">_xlfn.XLOOKUP($A1751, 'Hospitalisation Details'!$A:$A, 'Hospitalisation Details'!G:G, "No Data")</f>
        <v>5116.5</v>
      </c>
      <c r="P1751" s="28" t="str">
        <f t="array" ref="P1751">_xlfn.XLOOKUP($A1751, 'Hospitalisation Details'!$A:$A, 'Hospitalisation Details'!H:H, "No Data")</f>
        <v>tier - 2</v>
      </c>
    </row>
    <row r="1752">
      <c r="A1752" s="25" t="s">
        <v>3918</v>
      </c>
      <c r="B1752" s="28" t="str">
        <f t="array" ref="B1752">_xlfn.XLOOKUP($A1752, 'Customer Names'!$A:$A, 'Customer Names'!B:B, "No Data")</f>
        <v>Fox</v>
      </c>
      <c r="C1752" s="28">
        <f t="array" ref="C1752">_xlfn.XLOOKUP($A1752, 'Medical Examinations'!$A:$A, 'Medical Examinations'!B:B, "No Data")</f>
        <v>32.78</v>
      </c>
      <c r="D1752" s="28">
        <f t="array" ref="D1752">_xlfn.XLOOKUP($A1752, 'Medical Examinations'!$A:$A, 'Medical Examinations'!C:C, "No Data")</f>
        <v>4.63</v>
      </c>
      <c r="E1752" s="28" t="str">
        <f t="array" ref="E1752">_xlfn.XLOOKUP($A1752, 'Medical Examinations'!$A:$A, 'Medical Examinations'!D:D, "No Data")</f>
        <v>No</v>
      </c>
      <c r="F1752" s="28" t="str">
        <f t="array" ref="F1752">_xlfn.XLOOKUP($A1752, 'Medical Examinations'!$A:$A, 'Medical Examinations'!E:E, "No Data")</f>
        <v>No</v>
      </c>
      <c r="G1752" s="28" t="str">
        <f t="array" ref="G1752">_xlfn.XLOOKUP($A1752, 'Medical Examinations'!$A:$A, 'Medical Examinations'!F:F, "No Data")</f>
        <v>No</v>
      </c>
      <c r="H1752" s="28">
        <f t="array" ref="H1752">_xlfn.XLOOKUP($A1752, 'Medical Examinations'!$A:$A, 'Medical Examinations'!G:G, "No Data")</f>
        <v>0</v>
      </c>
      <c r="I1752" s="28" t="str">
        <f t="array" ref="I1752">_xlfn.XLOOKUP($A1752, 'Medical Examinations'!$A:$A, 'Medical Examinations'!H:H, "No Data")</f>
        <v>No</v>
      </c>
      <c r="J1752" s="28" t="str">
        <f t="array" ref="J1752">_xlfn.XLOOKUP($A1752, 'Medical Examinations'!$A:$A, 'Medical Examinations'!I:I, "No Data")</f>
        <v>Obesity</v>
      </c>
      <c r="K1752" s="28" t="str">
        <f t="array" ref="K1752">_xlfn.XLOOKUP($A1752, 'Hospitalisation Details'!$A:$A, 'Hospitalisation Details'!I:I, "No Data")</f>
        <v>tier - 2</v>
      </c>
      <c r="L1752" s="28" t="str">
        <f t="array" ref="L1752">_xlfn.XLOOKUP($A1752, 'Hospitalisation Details'!$A:$A, 'Hospitalisation Details'!J:J, "No Data")</f>
        <v>R1026</v>
      </c>
      <c r="M1752" s="28" t="str">
        <f t="array" ref="M1752">_xlfn.XLOOKUP($A1752, 'Hospitalisation Details'!$A:$A, 'Hospitalisation Details'!E:E, "No Data")</f>
        <v>19/06/99</v>
      </c>
      <c r="N1752" s="28">
        <f t="array" ref="N1752">_xlfn.XLOOKUP($A1752, 'Hospitalisation Details'!$A:$A, 'Hospitalisation Details'!K:K, "No Data")</f>
        <v>23</v>
      </c>
      <c r="O1752" s="33">
        <f t="array" ref="O1752">_xlfn.XLOOKUP($A1752, 'Hospitalisation Details'!$A:$A, 'Hospitalisation Details'!G:G, "No Data")</f>
        <v>5087.92</v>
      </c>
      <c r="P1752" s="28" t="str">
        <f t="array" ref="P1752">_xlfn.XLOOKUP($A1752, 'Hospitalisation Details'!$A:$A, 'Hospitalisation Details'!H:H, "No Data")</f>
        <v>tier - 2</v>
      </c>
    </row>
    <row r="1753">
      <c r="A1753" s="25" t="s">
        <v>3912</v>
      </c>
      <c r="B1753" s="28" t="str">
        <f t="array" ref="B1753">_xlfn.XLOOKUP($A1753, 'Customer Names'!$A:$A, 'Customer Names'!B:B, "No Data")</f>
        <v>Traver</v>
      </c>
      <c r="C1753" s="28">
        <f t="array" ref="C1753">_xlfn.XLOOKUP($A1753, 'Medical Examinations'!$A:$A, 'Medical Examinations'!B:B, "No Data")</f>
        <v>23.9</v>
      </c>
      <c r="D1753" s="28">
        <f t="array" ref="D1753">_xlfn.XLOOKUP($A1753, 'Medical Examinations'!$A:$A, 'Medical Examinations'!C:C, "No Data")</f>
        <v>6.06</v>
      </c>
      <c r="E1753" s="28" t="str">
        <f t="array" ref="E1753">_xlfn.XLOOKUP($A1753, 'Medical Examinations'!$A:$A, 'Medical Examinations'!D:D, "No Data")</f>
        <v>yes</v>
      </c>
      <c r="F1753" s="28" t="str">
        <f t="array" ref="F1753">_xlfn.XLOOKUP($A1753, 'Medical Examinations'!$A:$A, 'Medical Examinations'!E:E, "No Data")</f>
        <v>No</v>
      </c>
      <c r="G1753" s="28" t="str">
        <f t="array" ref="G1753">_xlfn.XLOOKUP($A1753, 'Medical Examinations'!$A:$A, 'Medical Examinations'!F:F, "No Data")</f>
        <v>Yes</v>
      </c>
      <c r="H1753" s="28">
        <f t="array" ref="H1753">_xlfn.XLOOKUP($A1753, 'Medical Examinations'!$A:$A, 'Medical Examinations'!G:G, "No Data")</f>
        <v>1</v>
      </c>
      <c r="I1753" s="28" t="str">
        <f t="array" ref="I1753">_xlfn.XLOOKUP($A1753, 'Medical Examinations'!$A:$A, 'Medical Examinations'!H:H, "No Data")</f>
        <v>No</v>
      </c>
      <c r="J1753" s="28" t="str">
        <f t="array" ref="J1753">_xlfn.XLOOKUP($A1753, 'Medical Examinations'!$A:$A, 'Medical Examinations'!I:I, "No Data")</f>
        <v>Normal Weight</v>
      </c>
      <c r="K1753" s="28" t="str">
        <f t="array" ref="K1753">_xlfn.XLOOKUP($A1753, 'Hospitalisation Details'!$A:$A, 'Hospitalisation Details'!I:I, "No Data")</f>
        <v>tier - 2</v>
      </c>
      <c r="L1753" s="28" t="str">
        <f t="array" ref="L1753">_xlfn.XLOOKUP($A1753, 'Hospitalisation Details'!$A:$A, 'Hospitalisation Details'!J:J, "No Data")</f>
        <v>R1011</v>
      </c>
      <c r="M1753" s="28" t="str">
        <f t="array" ref="M1753">_xlfn.XLOOKUP($A1753, 'Hospitalisation Details'!$A:$A, 'Hospitalisation Details'!E:E, "No Data")</f>
        <v>14/07/97</v>
      </c>
      <c r="N1753" s="28">
        <f t="array" ref="N1753">_xlfn.XLOOKUP($A1753, 'Hospitalisation Details'!$A:$A, 'Hospitalisation Details'!K:K, "No Data")</f>
        <v>25</v>
      </c>
      <c r="O1753" s="33">
        <f t="array" ref="O1753">_xlfn.XLOOKUP($A1753, 'Hospitalisation Details'!$A:$A, 'Hospitalisation Details'!G:G, "No Data")</f>
        <v>5080.1</v>
      </c>
      <c r="P1753" s="28" t="str">
        <f t="array" ref="P1753">_xlfn.XLOOKUP($A1753, 'Hospitalisation Details'!$A:$A, 'Hospitalisation Details'!H:H, "No Data")</f>
        <v>tier - 3</v>
      </c>
    </row>
    <row r="1754">
      <c r="A1754" s="25" t="s">
        <v>3909</v>
      </c>
      <c r="B1754" s="28" t="str">
        <f t="array" ref="B1754">_xlfn.XLOOKUP($A1754, 'Customer Names'!$A:$A, 'Customer Names'!B:B, "No Data")</f>
        <v>Quick</v>
      </c>
      <c r="C1754" s="28">
        <f t="array" ref="C1754">_xlfn.XLOOKUP($A1754, 'Medical Examinations'!$A:$A, 'Medical Examinations'!B:B, "No Data")</f>
        <v>15.47</v>
      </c>
      <c r="D1754" s="28">
        <f t="array" ref="D1754">_xlfn.XLOOKUP($A1754, 'Medical Examinations'!$A:$A, 'Medical Examinations'!C:C, "No Data")</f>
        <v>8.43</v>
      </c>
      <c r="E1754" s="28" t="str">
        <f t="array" ref="E1754">_xlfn.XLOOKUP($A1754, 'Medical Examinations'!$A:$A, 'Medical Examinations'!D:D, "No Data")</f>
        <v>No</v>
      </c>
      <c r="F1754" s="28" t="str">
        <f t="array" ref="F1754">_xlfn.XLOOKUP($A1754, 'Medical Examinations'!$A:$A, 'Medical Examinations'!E:E, "No Data")</f>
        <v>No</v>
      </c>
      <c r="G1754" s="28" t="str">
        <f t="array" ref="G1754">_xlfn.XLOOKUP($A1754, 'Medical Examinations'!$A:$A, 'Medical Examinations'!F:F, "No Data")</f>
        <v>No</v>
      </c>
      <c r="H1754" s="28">
        <f t="array" ref="H1754">_xlfn.XLOOKUP($A1754, 'Medical Examinations'!$A:$A, 'Medical Examinations'!G:G, "No Data")</f>
        <v>0</v>
      </c>
      <c r="I1754" s="28" t="str">
        <f t="array" ref="I1754">_xlfn.XLOOKUP($A1754, 'Medical Examinations'!$A:$A, 'Medical Examinations'!H:H, "No Data")</f>
        <v>No</v>
      </c>
      <c r="J1754" s="28" t="str">
        <f t="array" ref="J1754">_xlfn.XLOOKUP($A1754, 'Medical Examinations'!$A:$A, 'Medical Examinations'!I:I, "No Data")</f>
        <v>Underweight</v>
      </c>
      <c r="K1754" s="28" t="str">
        <f t="array" ref="K1754">_xlfn.XLOOKUP($A1754, 'Hospitalisation Details'!$A:$A, 'Hospitalisation Details'!I:I, "No Data")</f>
        <v>tier - 3</v>
      </c>
      <c r="L1754" s="28" t="str">
        <f t="array" ref="L1754">_xlfn.XLOOKUP($A1754, 'Hospitalisation Details'!$A:$A, 'Hospitalisation Details'!J:J, "No Data")</f>
        <v>R1012</v>
      </c>
      <c r="M1754" s="28" t="str">
        <f t="array" ref="M1754">_xlfn.XLOOKUP($A1754, 'Hospitalisation Details'!$A:$A, 'Hospitalisation Details'!E:E, "No Data")</f>
        <v>22/11/78</v>
      </c>
      <c r="N1754" s="28">
        <f t="array" ref="N1754">_xlfn.XLOOKUP($A1754, 'Hospitalisation Details'!$A:$A, 'Hospitalisation Details'!K:K, "No Data")</f>
        <v>44</v>
      </c>
      <c r="O1754" s="33">
        <f t="array" ref="O1754">_xlfn.XLOOKUP($A1754, 'Hospitalisation Details'!$A:$A, 'Hospitalisation Details'!G:G, "No Data")</f>
        <v>5077.19</v>
      </c>
      <c r="P1754" s="28" t="str">
        <f t="array" ref="P1754">_xlfn.XLOOKUP($A1754, 'Hospitalisation Details'!$A:$A, 'Hospitalisation Details'!H:H, "No Data")</f>
        <v>tier - 2</v>
      </c>
    </row>
    <row r="1755">
      <c r="A1755" s="25" t="s">
        <v>3903</v>
      </c>
      <c r="B1755" s="28" t="str">
        <f t="array" ref="B1755">_xlfn.XLOOKUP($A1755, 'Customer Names'!$A:$A, 'Customer Names'!B:B, "No Data")</f>
        <v>Scott</v>
      </c>
      <c r="C1755" s="28">
        <f t="array" ref="C1755">_xlfn.XLOOKUP($A1755, 'Medical Examinations'!$A:$A, 'Medical Examinations'!B:B, "No Data")</f>
        <v>28.54</v>
      </c>
      <c r="D1755" s="28">
        <f t="array" ref="D1755">_xlfn.XLOOKUP($A1755, 'Medical Examinations'!$A:$A, 'Medical Examinations'!C:C, "No Data")</f>
        <v>5.51</v>
      </c>
      <c r="E1755" s="28" t="str">
        <f t="array" ref="E1755">_xlfn.XLOOKUP($A1755, 'Medical Examinations'!$A:$A, 'Medical Examinations'!D:D, "No Data")</f>
        <v>No</v>
      </c>
      <c r="F1755" s="28" t="str">
        <f t="array" ref="F1755">_xlfn.XLOOKUP($A1755, 'Medical Examinations'!$A:$A, 'Medical Examinations'!E:E, "No Data")</f>
        <v>No</v>
      </c>
      <c r="G1755" s="28" t="str">
        <f t="array" ref="G1755">_xlfn.XLOOKUP($A1755, 'Medical Examinations'!$A:$A, 'Medical Examinations'!F:F, "No Data")</f>
        <v>Yes</v>
      </c>
      <c r="H1755" s="28">
        <f t="array" ref="H1755">_xlfn.XLOOKUP($A1755, 'Medical Examinations'!$A:$A, 'Medical Examinations'!G:G, "No Data")</f>
        <v>1</v>
      </c>
      <c r="I1755" s="28" t="str">
        <f t="array" ref="I1755">_xlfn.XLOOKUP($A1755, 'Medical Examinations'!$A:$A, 'Medical Examinations'!H:H, "No Data")</f>
        <v>No</v>
      </c>
      <c r="J1755" s="28" t="str">
        <f t="array" ref="J1755">_xlfn.XLOOKUP($A1755, 'Medical Examinations'!$A:$A, 'Medical Examinations'!I:I, "No Data")</f>
        <v>Overweight</v>
      </c>
      <c r="K1755" s="28" t="str">
        <f t="array" ref="K1755">_xlfn.XLOOKUP($A1755, 'Hospitalisation Details'!$A:$A, 'Hospitalisation Details'!I:I, "No Data")</f>
        <v>tier - 1</v>
      </c>
      <c r="L1755" s="28" t="str">
        <f t="array" ref="L1755">_xlfn.XLOOKUP($A1755, 'Hospitalisation Details'!$A:$A, 'Hospitalisation Details'!J:J, "No Data")</f>
        <v>R1021</v>
      </c>
      <c r="M1755" s="28" t="str">
        <f t="array" ref="M1755">_xlfn.XLOOKUP($A1755, 'Hospitalisation Details'!$A:$A, 'Hospitalisation Details'!E:E, "No Data")</f>
        <v>11/06/93</v>
      </c>
      <c r="N1755" s="28">
        <f t="array" ref="N1755">_xlfn.XLOOKUP($A1755, 'Hospitalisation Details'!$A:$A, 'Hospitalisation Details'!K:K, "No Data")</f>
        <v>29</v>
      </c>
      <c r="O1755" s="33">
        <f t="array" ref="O1755">_xlfn.XLOOKUP($A1755, 'Hospitalisation Details'!$A:$A, 'Hospitalisation Details'!G:G, "No Data")</f>
        <v>5059.56</v>
      </c>
      <c r="P1755" s="28" t="str">
        <f t="array" ref="P1755">_xlfn.XLOOKUP($A1755, 'Hospitalisation Details'!$A:$A, 'Hospitalisation Details'!H:H, "No Data")</f>
        <v>tier - 2</v>
      </c>
    </row>
    <row r="1756">
      <c r="A1756" s="25" t="s">
        <v>3899</v>
      </c>
      <c r="B1756" s="28" t="str">
        <f t="array" ref="B1756">_xlfn.XLOOKUP($A1756, 'Customer Names'!$A:$A, 'Customer Names'!B:B, "No Data")</f>
        <v>Theriot</v>
      </c>
      <c r="C1756" s="28">
        <f t="array" ref="C1756">_xlfn.XLOOKUP($A1756, 'Medical Examinations'!$A:$A, 'Medical Examinations'!B:B, "No Data")</f>
        <v>18.54</v>
      </c>
      <c r="D1756" s="28">
        <f t="array" ref="D1756">_xlfn.XLOOKUP($A1756, 'Medical Examinations'!$A:$A, 'Medical Examinations'!C:C, "No Data")</f>
        <v>4.95</v>
      </c>
      <c r="E1756" s="28" t="str">
        <f t="array" ref="E1756">_xlfn.XLOOKUP($A1756, 'Medical Examinations'!$A:$A, 'Medical Examinations'!D:D, "No Data")</f>
        <v>No</v>
      </c>
      <c r="F1756" s="28" t="str">
        <f t="array" ref="F1756">_xlfn.XLOOKUP($A1756, 'Medical Examinations'!$A:$A, 'Medical Examinations'!E:E, "No Data")</f>
        <v>No</v>
      </c>
      <c r="G1756" s="28" t="str">
        <f t="array" ref="G1756">_xlfn.XLOOKUP($A1756, 'Medical Examinations'!$A:$A, 'Medical Examinations'!F:F, "No Data")</f>
        <v>No</v>
      </c>
      <c r="H1756" s="28">
        <f t="array" ref="H1756">_xlfn.XLOOKUP($A1756, 'Medical Examinations'!$A:$A, 'Medical Examinations'!G:G, "No Data")</f>
        <v>0</v>
      </c>
      <c r="I1756" s="28" t="str">
        <f t="array" ref="I1756">_xlfn.XLOOKUP($A1756, 'Medical Examinations'!$A:$A, 'Medical Examinations'!H:H, "No Data")</f>
        <v>No</v>
      </c>
      <c r="J1756" s="28" t="str">
        <f t="array" ref="J1756">_xlfn.XLOOKUP($A1756, 'Medical Examinations'!$A:$A, 'Medical Examinations'!I:I, "No Data")</f>
        <v>Normal Weight</v>
      </c>
      <c r="K1756" s="28" t="str">
        <f t="array" ref="K1756">_xlfn.XLOOKUP($A1756, 'Hospitalisation Details'!$A:$A, 'Hospitalisation Details'!I:I, "No Data")</f>
        <v>tier - 2</v>
      </c>
      <c r="L1756" s="28" t="str">
        <f t="array" ref="L1756">_xlfn.XLOOKUP($A1756, 'Hospitalisation Details'!$A:$A, 'Hospitalisation Details'!J:J, "No Data")</f>
        <v>R1013</v>
      </c>
      <c r="M1756" s="28" t="str">
        <f t="array" ref="M1756">_xlfn.XLOOKUP($A1756, 'Hospitalisation Details'!$A:$A, 'Hospitalisation Details'!E:E, "No Data")</f>
        <v>07/09/80</v>
      </c>
      <c r="N1756" s="28">
        <f t="array" ref="N1756">_xlfn.XLOOKUP($A1756, 'Hospitalisation Details'!$A:$A, 'Hospitalisation Details'!K:K, "No Data")</f>
        <v>42</v>
      </c>
      <c r="O1756" s="33">
        <f t="array" ref="O1756">_xlfn.XLOOKUP($A1756, 'Hospitalisation Details'!$A:$A, 'Hospitalisation Details'!G:G, "No Data")</f>
        <v>5054.05</v>
      </c>
      <c r="P1756" s="28" t="str">
        <f t="array" ref="P1756">_xlfn.XLOOKUP($A1756, 'Hospitalisation Details'!$A:$A, 'Hospitalisation Details'!H:H, "No Data")</f>
        <v>tier - 2</v>
      </c>
    </row>
    <row r="1757">
      <c r="A1757" s="25" t="s">
        <v>3895</v>
      </c>
      <c r="B1757" s="28" t="str">
        <f t="array" ref="B1757">_xlfn.XLOOKUP($A1757, 'Customer Names'!$A:$A, 'Customer Names'!B:B, "No Data")</f>
        <v>Michalis</v>
      </c>
      <c r="C1757" s="28">
        <f t="array" ref="C1757">_xlfn.XLOOKUP($A1757, 'Medical Examinations'!$A:$A, 'Medical Examinations'!B:B, "No Data")</f>
        <v>32.18</v>
      </c>
      <c r="D1757" s="28">
        <f t="array" ref="D1757">_xlfn.XLOOKUP($A1757, 'Medical Examinations'!$A:$A, 'Medical Examinations'!C:C, "No Data")</f>
        <v>6.44</v>
      </c>
      <c r="E1757" s="28" t="str">
        <f t="array" ref="E1757">_xlfn.XLOOKUP($A1757, 'Medical Examinations'!$A:$A, 'Medical Examinations'!D:D, "No Data")</f>
        <v>yes</v>
      </c>
      <c r="F1757" s="28" t="str">
        <f t="array" ref="F1757">_xlfn.XLOOKUP($A1757, 'Medical Examinations'!$A:$A, 'Medical Examinations'!E:E, "No Data")</f>
        <v>No</v>
      </c>
      <c r="G1757" s="28" t="str">
        <f t="array" ref="G1757">_xlfn.XLOOKUP($A1757, 'Medical Examinations'!$A:$A, 'Medical Examinations'!F:F, "No Data")</f>
        <v>Yes</v>
      </c>
      <c r="H1757" s="28">
        <f t="array" ref="H1757">_xlfn.XLOOKUP($A1757, 'Medical Examinations'!$A:$A, 'Medical Examinations'!G:G, "No Data")</f>
        <v>1</v>
      </c>
      <c r="I1757" s="28" t="str">
        <f t="array" ref="I1757">_xlfn.XLOOKUP($A1757, 'Medical Examinations'!$A:$A, 'Medical Examinations'!H:H, "No Data")</f>
        <v>No</v>
      </c>
      <c r="J1757" s="28" t="str">
        <f t="array" ref="J1757">_xlfn.XLOOKUP($A1757, 'Medical Examinations'!$A:$A, 'Medical Examinations'!I:I, "No Data")</f>
        <v>Obesity</v>
      </c>
      <c r="K1757" s="28" t="str">
        <f t="array" ref="K1757">_xlfn.XLOOKUP($A1757, 'Hospitalisation Details'!$A:$A, 'Hospitalisation Details'!I:I, "No Data")</f>
        <v>tier - 2</v>
      </c>
      <c r="L1757" s="28" t="str">
        <f t="array" ref="L1757">_xlfn.XLOOKUP($A1757, 'Hospitalisation Details'!$A:$A, 'Hospitalisation Details'!J:J, "No Data")</f>
        <v>R1012</v>
      </c>
      <c r="M1757" s="28" t="str">
        <f t="array" ref="M1757">_xlfn.XLOOKUP($A1757, 'Hospitalisation Details'!$A:$A, 'Hospitalisation Details'!E:E, "No Data")</f>
        <v>29/07/97</v>
      </c>
      <c r="N1757" s="28">
        <f t="array" ref="N1757">_xlfn.XLOOKUP($A1757, 'Hospitalisation Details'!$A:$A, 'Hospitalisation Details'!K:K, "No Data")</f>
        <v>25</v>
      </c>
      <c r="O1757" s="33">
        <f t="array" ref="O1757">_xlfn.XLOOKUP($A1757, 'Hospitalisation Details'!$A:$A, 'Hospitalisation Details'!G:G, "No Data")</f>
        <v>5045.15</v>
      </c>
      <c r="P1757" s="28" t="str">
        <f t="array" ref="P1757">_xlfn.XLOOKUP($A1757, 'Hospitalisation Details'!$A:$A, 'Hospitalisation Details'!H:H, "No Data")</f>
        <v>tier - 2</v>
      </c>
    </row>
    <row r="1758">
      <c r="A1758" s="25" t="s">
        <v>3892</v>
      </c>
      <c r="B1758" s="28" t="str">
        <f t="array" ref="B1758">_xlfn.XLOOKUP($A1758, 'Customer Names'!$A:$A, 'Customer Names'!B:B, "No Data")</f>
        <v>Hall</v>
      </c>
      <c r="C1758" s="28">
        <f t="array" ref="C1758">_xlfn.XLOOKUP($A1758, 'Medical Examinations'!$A:$A, 'Medical Examinations'!B:B, "No Data")</f>
        <v>37.38</v>
      </c>
      <c r="D1758" s="28">
        <f t="array" ref="D1758">_xlfn.XLOOKUP($A1758, 'Medical Examinations'!$A:$A, 'Medical Examinations'!C:C, "No Data")</f>
        <v>6.05</v>
      </c>
      <c r="E1758" s="28" t="str">
        <f t="array" ref="E1758">_xlfn.XLOOKUP($A1758, 'Medical Examinations'!$A:$A, 'Medical Examinations'!D:D, "No Data")</f>
        <v>yes</v>
      </c>
      <c r="F1758" s="28" t="str">
        <f t="array" ref="F1758">_xlfn.XLOOKUP($A1758, 'Medical Examinations'!$A:$A, 'Medical Examinations'!E:E, "No Data")</f>
        <v>No</v>
      </c>
      <c r="G1758" s="28" t="str">
        <f t="array" ref="G1758">_xlfn.XLOOKUP($A1758, 'Medical Examinations'!$A:$A, 'Medical Examinations'!F:F, "No Data")</f>
        <v>No</v>
      </c>
      <c r="H1758" s="28">
        <f t="array" ref="H1758">_xlfn.XLOOKUP($A1758, 'Medical Examinations'!$A:$A, 'Medical Examinations'!G:G, "No Data")</f>
        <v>0</v>
      </c>
      <c r="I1758" s="28" t="str">
        <f t="array" ref="I1758">_xlfn.XLOOKUP($A1758, 'Medical Examinations'!$A:$A, 'Medical Examinations'!H:H, "No Data")</f>
        <v>No</v>
      </c>
      <c r="J1758" s="28" t="str">
        <f t="array" ref="J1758">_xlfn.XLOOKUP($A1758, 'Medical Examinations'!$A:$A, 'Medical Examinations'!I:I, "No Data")</f>
        <v>Obesity</v>
      </c>
      <c r="K1758" s="28" t="str">
        <f t="array" ref="K1758">_xlfn.XLOOKUP($A1758, 'Hospitalisation Details'!$A:$A, 'Hospitalisation Details'!I:I, "No Data")</f>
        <v>tier - 3</v>
      </c>
      <c r="L1758" s="28" t="str">
        <f t="array" ref="L1758">_xlfn.XLOOKUP($A1758, 'Hospitalisation Details'!$A:$A, 'Hospitalisation Details'!J:J, "No Data")</f>
        <v>R1011</v>
      </c>
      <c r="M1758" s="28" t="str">
        <f t="array" ref="M1758">_xlfn.XLOOKUP($A1758, 'Hospitalisation Details'!$A:$A, 'Hospitalisation Details'!E:E, "No Data")</f>
        <v>16/10/01</v>
      </c>
      <c r="N1758" s="28">
        <f t="array" ref="N1758">_xlfn.XLOOKUP($A1758, 'Hospitalisation Details'!$A:$A, 'Hospitalisation Details'!K:K, "No Data")</f>
        <v>21</v>
      </c>
      <c r="O1758" s="33">
        <f t="array" ref="O1758">_xlfn.XLOOKUP($A1758, 'Hospitalisation Details'!$A:$A, 'Hospitalisation Details'!G:G, "No Data")</f>
        <v>5043.13</v>
      </c>
      <c r="P1758" s="28" t="str">
        <f t="array" ref="P1758">_xlfn.XLOOKUP($A1758, 'Hospitalisation Details'!$A:$A, 'Hospitalisation Details'!H:H, "No Data")</f>
        <v>tier - 2</v>
      </c>
    </row>
    <row r="1759">
      <c r="A1759" s="25" t="s">
        <v>3890</v>
      </c>
      <c r="B1759" s="28" t="str">
        <f t="array" ref="B1759">_xlfn.XLOOKUP($A1759, 'Customer Names'!$A:$A, 'Customer Names'!B:B, "No Data")</f>
        <v>Tjong Clemons</v>
      </c>
      <c r="C1759" s="28">
        <f t="array" ref="C1759">_xlfn.XLOOKUP($A1759, 'Medical Examinations'!$A:$A, 'Medical Examinations'!B:B, "No Data")</f>
        <v>31.12</v>
      </c>
      <c r="D1759" s="28">
        <f t="array" ref="D1759">_xlfn.XLOOKUP($A1759, 'Medical Examinations'!$A:$A, 'Medical Examinations'!C:C, "No Data")</f>
        <v>4.76</v>
      </c>
      <c r="E1759" s="28" t="str">
        <f t="array" ref="E1759">_xlfn.XLOOKUP($A1759, 'Medical Examinations'!$A:$A, 'Medical Examinations'!D:D, "No Data")</f>
        <v>yes</v>
      </c>
      <c r="F1759" s="28" t="str">
        <f t="array" ref="F1759">_xlfn.XLOOKUP($A1759, 'Medical Examinations'!$A:$A, 'Medical Examinations'!E:E, "No Data")</f>
        <v>No</v>
      </c>
      <c r="G1759" s="28" t="str">
        <f t="array" ref="G1759">_xlfn.XLOOKUP($A1759, 'Medical Examinations'!$A:$A, 'Medical Examinations'!F:F, "No Data")</f>
        <v>Yes</v>
      </c>
      <c r="H1759" s="28">
        <f t="array" ref="H1759">_xlfn.XLOOKUP($A1759, 'Medical Examinations'!$A:$A, 'Medical Examinations'!G:G, "No Data")</f>
        <v>1</v>
      </c>
      <c r="I1759" s="28" t="str">
        <f t="array" ref="I1759">_xlfn.XLOOKUP($A1759, 'Medical Examinations'!$A:$A, 'Medical Examinations'!H:H, "No Data")</f>
        <v>No</v>
      </c>
      <c r="J1759" s="28" t="str">
        <f t="array" ref="J1759">_xlfn.XLOOKUP($A1759, 'Medical Examinations'!$A:$A, 'Medical Examinations'!I:I, "No Data")</f>
        <v>Obesity</v>
      </c>
      <c r="K1759" s="28" t="str">
        <f t="array" ref="K1759">_xlfn.XLOOKUP($A1759, 'Hospitalisation Details'!$A:$A, 'Hospitalisation Details'!I:I, "No Data")</f>
        <v>tier - 2</v>
      </c>
      <c r="L1759" s="28" t="str">
        <f t="array" ref="L1759">_xlfn.XLOOKUP($A1759, 'Hospitalisation Details'!$A:$A, 'Hospitalisation Details'!J:J, "No Data")</f>
        <v>R1025</v>
      </c>
      <c r="M1759" s="28" t="str">
        <f t="array" ref="M1759">_xlfn.XLOOKUP($A1759, 'Hospitalisation Details'!$A:$A, 'Hospitalisation Details'!E:E, "No Data")</f>
        <v>04/12/97</v>
      </c>
      <c r="N1759" s="28">
        <f t="array" ref="N1759">_xlfn.XLOOKUP($A1759, 'Hospitalisation Details'!$A:$A, 'Hospitalisation Details'!K:K, "No Data")</f>
        <v>25</v>
      </c>
      <c r="O1759" s="33">
        <f t="array" ref="O1759">_xlfn.XLOOKUP($A1759, 'Hospitalisation Details'!$A:$A, 'Hospitalisation Details'!G:G, "No Data")</f>
        <v>5038.57</v>
      </c>
      <c r="P1759" s="28" t="str">
        <f t="array" ref="P1759">_xlfn.XLOOKUP($A1759, 'Hospitalisation Details'!$A:$A, 'Hospitalisation Details'!H:H, "No Data")</f>
        <v>tier - 2</v>
      </c>
    </row>
    <row r="1760">
      <c r="A1760" s="25" t="s">
        <v>3887</v>
      </c>
      <c r="B1760" s="28" t="str">
        <f t="array" ref="B1760">_xlfn.XLOOKUP($A1760, 'Customer Names'!$A:$A, 'Customer Names'!B:B, "No Data")</f>
        <v>Palma</v>
      </c>
      <c r="C1760" s="28">
        <f t="array" ref="C1760">_xlfn.XLOOKUP($A1760, 'Medical Examinations'!$A:$A, 'Medical Examinations'!B:B, "No Data")</f>
        <v>22.01</v>
      </c>
      <c r="D1760" s="28">
        <f t="array" ref="D1760">_xlfn.XLOOKUP($A1760, 'Medical Examinations'!$A:$A, 'Medical Examinations'!C:C, "No Data")</f>
        <v>6.72</v>
      </c>
      <c r="E1760" s="28" t="str">
        <f t="array" ref="E1760">_xlfn.XLOOKUP($A1760, 'Medical Examinations'!$A:$A, 'Medical Examinations'!D:D, "No Data")</f>
        <v>yes</v>
      </c>
      <c r="F1760" s="28" t="str">
        <f t="array" ref="F1760">_xlfn.XLOOKUP($A1760, 'Medical Examinations'!$A:$A, 'Medical Examinations'!E:E, "No Data")</f>
        <v>No</v>
      </c>
      <c r="G1760" s="28" t="str">
        <f t="array" ref="G1760">_xlfn.XLOOKUP($A1760, 'Medical Examinations'!$A:$A, 'Medical Examinations'!F:F, "No Data")</f>
        <v>No</v>
      </c>
      <c r="H1760" s="28">
        <f t="array" ref="H1760">_xlfn.XLOOKUP($A1760, 'Medical Examinations'!$A:$A, 'Medical Examinations'!G:G, "No Data")</f>
        <v>1</v>
      </c>
      <c r="I1760" s="28" t="str">
        <f t="array" ref="I1760">_xlfn.XLOOKUP($A1760, 'Medical Examinations'!$A:$A, 'Medical Examinations'!H:H, "No Data")</f>
        <v>No</v>
      </c>
      <c r="J1760" s="28" t="str">
        <f t="array" ref="J1760">_xlfn.XLOOKUP($A1760, 'Medical Examinations'!$A:$A, 'Medical Examinations'!I:I, "No Data")</f>
        <v>Normal Weight</v>
      </c>
      <c r="K1760" s="28" t="str">
        <f t="array" ref="K1760">_xlfn.XLOOKUP($A1760, 'Hospitalisation Details'!$A:$A, 'Hospitalisation Details'!I:I, "No Data")</f>
        <v>tier - 2</v>
      </c>
      <c r="L1760" s="28" t="str">
        <f t="array" ref="L1760">_xlfn.XLOOKUP($A1760, 'Hospitalisation Details'!$A:$A, 'Hospitalisation Details'!J:J, "No Data")</f>
        <v>R1013</v>
      </c>
      <c r="M1760" s="28" t="str">
        <f t="array" ref="M1760">_xlfn.XLOOKUP($A1760, 'Hospitalisation Details'!$A:$A, 'Hospitalisation Details'!E:E, "No Data")</f>
        <v>29/06/86</v>
      </c>
      <c r="N1760" s="28">
        <f t="array" ref="N1760">_xlfn.XLOOKUP($A1760, 'Hospitalisation Details'!$A:$A, 'Hospitalisation Details'!K:K, "No Data")</f>
        <v>36</v>
      </c>
      <c r="O1760" s="33">
        <f t="array" ref="O1760">_xlfn.XLOOKUP($A1760, 'Hospitalisation Details'!$A:$A, 'Hospitalisation Details'!G:G, "No Data")</f>
        <v>5034.1</v>
      </c>
      <c r="P1760" s="28" t="str">
        <f t="array" ref="P1760">_xlfn.XLOOKUP($A1760, 'Hospitalisation Details'!$A:$A, 'Hospitalisation Details'!H:H, "No Data")</f>
        <v>tier - 2</v>
      </c>
    </row>
    <row r="1761">
      <c r="A1761" s="25" t="s">
        <v>3884</v>
      </c>
      <c r="B1761" s="28" t="str">
        <f t="array" ref="B1761">_xlfn.XLOOKUP($A1761, 'Customer Names'!$A:$A, 'Customer Names'!B:B, "No Data")</f>
        <v>Takaoka</v>
      </c>
      <c r="C1761" s="28">
        <f t="array" ref="C1761">_xlfn.XLOOKUP($A1761, 'Medical Examinations'!$A:$A, 'Medical Examinations'!B:B, "No Data")</f>
        <v>27.645</v>
      </c>
      <c r="D1761" s="28">
        <f t="array" ref="D1761">_xlfn.XLOOKUP($A1761, 'Medical Examinations'!$A:$A, 'Medical Examinations'!C:C, "No Data")</f>
        <v>5.7</v>
      </c>
      <c r="E1761" s="28" t="str">
        <f t="array" ref="E1761">_xlfn.XLOOKUP($A1761, 'Medical Examinations'!$A:$A, 'Medical Examinations'!D:D, "No Data")</f>
        <v>No</v>
      </c>
      <c r="F1761" s="28" t="str">
        <f t="array" ref="F1761">_xlfn.XLOOKUP($A1761, 'Medical Examinations'!$A:$A, 'Medical Examinations'!E:E, "No Data")</f>
        <v>No</v>
      </c>
      <c r="G1761" s="28" t="str">
        <f t="array" ref="G1761">_xlfn.XLOOKUP($A1761, 'Medical Examinations'!$A:$A, 'Medical Examinations'!F:F, "No Data")</f>
        <v>No</v>
      </c>
      <c r="H1761" s="28">
        <f t="array" ref="H1761">_xlfn.XLOOKUP($A1761, 'Medical Examinations'!$A:$A, 'Medical Examinations'!G:G, "No Data")</f>
        <v>0</v>
      </c>
      <c r="I1761" s="28" t="str">
        <f t="array" ref="I1761">_xlfn.XLOOKUP($A1761, 'Medical Examinations'!$A:$A, 'Medical Examinations'!H:H, "No Data")</f>
        <v>No</v>
      </c>
      <c r="J1761" s="28" t="str">
        <f t="array" ref="J1761">_xlfn.XLOOKUP($A1761, 'Medical Examinations'!$A:$A, 'Medical Examinations'!I:I, "No Data")</f>
        <v>Overweight</v>
      </c>
      <c r="K1761" s="28" t="str">
        <f t="array" ref="K1761">_xlfn.XLOOKUP($A1761, 'Hospitalisation Details'!$A:$A, 'Hospitalisation Details'!I:I, "No Data")</f>
        <v>tier - 1</v>
      </c>
      <c r="L1761" s="28" t="str">
        <f t="array" ref="L1761">_xlfn.XLOOKUP($A1761, 'Hospitalisation Details'!$A:$A, 'Hospitalisation Details'!J:J, "No Data")</f>
        <v>R1016</v>
      </c>
      <c r="M1761" s="28" t="str">
        <f t="array" ref="M1761">_xlfn.XLOOKUP($A1761, 'Hospitalisation Details'!$A:$A, 'Hospitalisation Details'!E:E, "No Data")</f>
        <v>10/09/91</v>
      </c>
      <c r="N1761" s="28">
        <f t="array" ref="N1761">_xlfn.XLOOKUP($A1761, 'Hospitalisation Details'!$A:$A, 'Hospitalisation Details'!K:K, "No Data")</f>
        <v>31</v>
      </c>
      <c r="O1761" s="33">
        <f t="array" ref="O1761">_xlfn.XLOOKUP($A1761, 'Hospitalisation Details'!$A:$A, 'Hospitalisation Details'!G:G, "No Data")</f>
        <v>5031.27</v>
      </c>
      <c r="P1761" s="28" t="str">
        <f t="array" ref="P1761">_xlfn.XLOOKUP($A1761, 'Hospitalisation Details'!$A:$A, 'Hospitalisation Details'!H:H, "No Data")</f>
        <v>tier - 3</v>
      </c>
    </row>
    <row r="1762">
      <c r="A1762" s="25" t="s">
        <v>3880</v>
      </c>
      <c r="B1762" s="28" t="str">
        <f t="array" ref="B1762">_xlfn.XLOOKUP($A1762, 'Customer Names'!$A:$A, 'Customer Names'!B:B, "No Data")</f>
        <v>Sherman</v>
      </c>
      <c r="C1762" s="28">
        <f t="array" ref="C1762">_xlfn.XLOOKUP($A1762, 'Medical Examinations'!$A:$A, 'Medical Examinations'!B:B, "No Data")</f>
        <v>29.64</v>
      </c>
      <c r="D1762" s="28">
        <f t="array" ref="D1762">_xlfn.XLOOKUP($A1762, 'Medical Examinations'!$A:$A, 'Medical Examinations'!C:C, "No Data")</f>
        <v>5.31</v>
      </c>
      <c r="E1762" s="28" t="str">
        <f t="array" ref="E1762">_xlfn.XLOOKUP($A1762, 'Medical Examinations'!$A:$A, 'Medical Examinations'!D:D, "No Data")</f>
        <v>yes</v>
      </c>
      <c r="F1762" s="28" t="str">
        <f t="array" ref="F1762">_xlfn.XLOOKUP($A1762, 'Medical Examinations'!$A:$A, 'Medical Examinations'!E:E, "No Data")</f>
        <v>No</v>
      </c>
      <c r="G1762" s="28" t="str">
        <f t="array" ref="G1762">_xlfn.XLOOKUP($A1762, 'Medical Examinations'!$A:$A, 'Medical Examinations'!F:F, "No Data")</f>
        <v>No</v>
      </c>
      <c r="H1762" s="28">
        <f t="array" ref="H1762">_xlfn.XLOOKUP($A1762, 'Medical Examinations'!$A:$A, 'Medical Examinations'!G:G, "No Data")</f>
        <v>0</v>
      </c>
      <c r="I1762" s="28" t="str">
        <f t="array" ref="I1762">_xlfn.XLOOKUP($A1762, 'Medical Examinations'!$A:$A, 'Medical Examinations'!H:H, "No Data")</f>
        <v>No</v>
      </c>
      <c r="J1762" s="28" t="str">
        <f t="array" ref="J1762">_xlfn.XLOOKUP($A1762, 'Medical Examinations'!$A:$A, 'Medical Examinations'!I:I, "No Data")</f>
        <v>Overweight</v>
      </c>
      <c r="K1762" s="28" t="str">
        <f t="array" ref="K1762">_xlfn.XLOOKUP($A1762, 'Hospitalisation Details'!$A:$A, 'Hospitalisation Details'!I:I, "No Data")</f>
        <v>tier - 2</v>
      </c>
      <c r="L1762" s="28" t="str">
        <f t="array" ref="L1762">_xlfn.XLOOKUP($A1762, 'Hospitalisation Details'!$A:$A, 'Hospitalisation Details'!J:J, "No Data")</f>
        <v>R1012</v>
      </c>
      <c r="M1762" s="28" t="str">
        <f t="array" ref="M1762">_xlfn.XLOOKUP($A1762, 'Hospitalisation Details'!$A:$A, 'Hospitalisation Details'!E:E, "No Data")</f>
        <v>28/12/85</v>
      </c>
      <c r="N1762" s="28">
        <f t="array" ref="N1762">_xlfn.XLOOKUP($A1762, 'Hospitalisation Details'!$A:$A, 'Hospitalisation Details'!K:K, "No Data")</f>
        <v>37</v>
      </c>
      <c r="O1762" s="33">
        <f t="array" ref="O1762">_xlfn.XLOOKUP($A1762, 'Hospitalisation Details'!$A:$A, 'Hospitalisation Details'!G:G, "No Data")</f>
        <v>5028.15</v>
      </c>
      <c r="P1762" s="28" t="str">
        <f t="array" ref="P1762">_xlfn.XLOOKUP($A1762, 'Hospitalisation Details'!$A:$A, 'Hospitalisation Details'!H:H, "No Data")</f>
        <v>tier - 1</v>
      </c>
    </row>
    <row r="1763">
      <c r="A1763" s="25" t="s">
        <v>3876</v>
      </c>
      <c r="B1763" s="28" t="str">
        <f t="array" ref="B1763">_xlfn.XLOOKUP($A1763, 'Customer Names'!$A:$A, 'Customer Names'!B:B, "No Data")</f>
        <v>Andre</v>
      </c>
      <c r="C1763" s="28">
        <f t="array" ref="C1763">_xlfn.XLOOKUP($A1763, 'Medical Examinations'!$A:$A, 'Medical Examinations'!B:B, "No Data")</f>
        <v>33.7</v>
      </c>
      <c r="D1763" s="28">
        <f t="array" ref="D1763">_xlfn.XLOOKUP($A1763, 'Medical Examinations'!$A:$A, 'Medical Examinations'!C:C, "No Data")</f>
        <v>4.32</v>
      </c>
      <c r="E1763" s="28" t="str">
        <f t="array" ref="E1763">_xlfn.XLOOKUP($A1763, 'Medical Examinations'!$A:$A, 'Medical Examinations'!D:D, "No Data")</f>
        <v>yes</v>
      </c>
      <c r="F1763" s="28" t="str">
        <f t="array" ref="F1763">_xlfn.XLOOKUP($A1763, 'Medical Examinations'!$A:$A, 'Medical Examinations'!E:E, "No Data")</f>
        <v>No</v>
      </c>
      <c r="G1763" s="28" t="str">
        <f t="array" ref="G1763">_xlfn.XLOOKUP($A1763, 'Medical Examinations'!$A:$A, 'Medical Examinations'!F:F, "No Data")</f>
        <v>No</v>
      </c>
      <c r="H1763" s="28">
        <f t="array" ref="H1763">_xlfn.XLOOKUP($A1763, 'Medical Examinations'!$A:$A, 'Medical Examinations'!G:G, "No Data")</f>
        <v>1</v>
      </c>
      <c r="I1763" s="28" t="str">
        <f t="array" ref="I1763">_xlfn.XLOOKUP($A1763, 'Medical Examinations'!$A:$A, 'Medical Examinations'!H:H, "No Data")</f>
        <v>No</v>
      </c>
      <c r="J1763" s="28" t="str">
        <f t="array" ref="J1763">_xlfn.XLOOKUP($A1763, 'Medical Examinations'!$A:$A, 'Medical Examinations'!I:I, "No Data")</f>
        <v>Obesity</v>
      </c>
      <c r="K1763" s="28" t="str">
        <f t="array" ref="K1763">_xlfn.XLOOKUP($A1763, 'Hospitalisation Details'!$A:$A, 'Hospitalisation Details'!I:I, "No Data")</f>
        <v>tier - 3</v>
      </c>
      <c r="L1763" s="28" t="str">
        <f t="array" ref="L1763">_xlfn.XLOOKUP($A1763, 'Hospitalisation Details'!$A:$A, 'Hospitalisation Details'!J:J, "No Data")</f>
        <v>R1011</v>
      </c>
      <c r="M1763" s="28" t="str">
        <f t="array" ref="M1763">_xlfn.XLOOKUP($A1763, 'Hospitalisation Details'!$A:$A, 'Hospitalisation Details'!E:E, "No Data")</f>
        <v>09/11/88</v>
      </c>
      <c r="N1763" s="28">
        <f t="array" ref="N1763">_xlfn.XLOOKUP($A1763, 'Hospitalisation Details'!$A:$A, 'Hospitalisation Details'!K:K, "No Data")</f>
        <v>34</v>
      </c>
      <c r="O1763" s="33">
        <f t="array" ref="O1763">_xlfn.XLOOKUP($A1763, 'Hospitalisation Details'!$A:$A, 'Hospitalisation Details'!G:G, "No Data")</f>
        <v>5012.47</v>
      </c>
      <c r="P1763" s="28" t="str">
        <f t="array" ref="P1763">_xlfn.XLOOKUP($A1763, 'Hospitalisation Details'!$A:$A, 'Hospitalisation Details'!H:H, "No Data")</f>
        <v>tier - 2</v>
      </c>
    </row>
    <row r="1764">
      <c r="A1764" s="25" t="s">
        <v>3872</v>
      </c>
      <c r="B1764" s="28" t="str">
        <f t="array" ref="B1764">_xlfn.XLOOKUP($A1764, 'Customer Names'!$A:$A, 'Customer Names'!B:B, "No Data")</f>
        <v>Switt</v>
      </c>
      <c r="C1764" s="28">
        <f t="array" ref="C1764">_xlfn.XLOOKUP($A1764, 'Medical Examinations'!$A:$A, 'Medical Examinations'!B:B, "No Data")</f>
        <v>27.5</v>
      </c>
      <c r="D1764" s="28">
        <f t="array" ref="D1764">_xlfn.XLOOKUP($A1764, 'Medical Examinations'!$A:$A, 'Medical Examinations'!C:C, "No Data")</f>
        <v>4.23</v>
      </c>
      <c r="E1764" s="28" t="str">
        <f t="array" ref="E1764">_xlfn.XLOOKUP($A1764, 'Medical Examinations'!$A:$A, 'Medical Examinations'!D:D, "No Data")</f>
        <v>yes</v>
      </c>
      <c r="F1764" s="28" t="str">
        <f t="array" ref="F1764">_xlfn.XLOOKUP($A1764, 'Medical Examinations'!$A:$A, 'Medical Examinations'!E:E, "No Data")</f>
        <v>No</v>
      </c>
      <c r="G1764" s="28" t="str">
        <f t="array" ref="G1764">_xlfn.XLOOKUP($A1764, 'Medical Examinations'!$A:$A, 'Medical Examinations'!F:F, "No Data")</f>
        <v>No</v>
      </c>
      <c r="H1764" s="28">
        <f t="array" ref="H1764">_xlfn.XLOOKUP($A1764, 'Medical Examinations'!$A:$A, 'Medical Examinations'!G:G, "No Data")</f>
        <v>1</v>
      </c>
      <c r="I1764" s="28" t="str">
        <f t="array" ref="I1764">_xlfn.XLOOKUP($A1764, 'Medical Examinations'!$A:$A, 'Medical Examinations'!H:H, "No Data")</f>
        <v>No</v>
      </c>
      <c r="J1764" s="28" t="str">
        <f t="array" ref="J1764">_xlfn.XLOOKUP($A1764, 'Medical Examinations'!$A:$A, 'Medical Examinations'!I:I, "No Data")</f>
        <v>Overweight</v>
      </c>
      <c r="K1764" s="28" t="str">
        <f t="array" ref="K1764">_xlfn.XLOOKUP($A1764, 'Hospitalisation Details'!$A:$A, 'Hospitalisation Details'!I:I, "No Data")</f>
        <v>tier - 3</v>
      </c>
      <c r="L1764" s="28" t="str">
        <f t="array" ref="L1764">_xlfn.XLOOKUP($A1764, 'Hospitalisation Details'!$A:$A, 'Hospitalisation Details'!J:J, "No Data")</f>
        <v>R1011</v>
      </c>
      <c r="M1764" s="28" t="str">
        <f t="array" ref="M1764">_xlfn.XLOOKUP($A1764, 'Hospitalisation Details'!$A:$A, 'Hospitalisation Details'!E:E, "No Data")</f>
        <v>08/07/88</v>
      </c>
      <c r="N1764" s="28">
        <f t="array" ref="N1764">_xlfn.XLOOKUP($A1764, 'Hospitalisation Details'!$A:$A, 'Hospitalisation Details'!K:K, "No Data")</f>
        <v>34</v>
      </c>
      <c r="O1764" s="33">
        <f t="array" ref="O1764">_xlfn.XLOOKUP($A1764, 'Hospitalisation Details'!$A:$A, 'Hospitalisation Details'!G:G, "No Data")</f>
        <v>5003.85</v>
      </c>
      <c r="P1764" s="28" t="str">
        <f t="array" ref="P1764">_xlfn.XLOOKUP($A1764, 'Hospitalisation Details'!$A:$A, 'Hospitalisation Details'!H:H, "No Data")</f>
        <v>tier - 2</v>
      </c>
    </row>
    <row r="1765">
      <c r="A1765" s="25" t="s">
        <v>3869</v>
      </c>
      <c r="B1765" s="28" t="str">
        <f t="array" ref="B1765">_xlfn.XLOOKUP($A1765, 'Customer Names'!$A:$A, 'Customer Names'!B:B, "No Data")</f>
        <v>Erickson</v>
      </c>
      <c r="C1765" s="28">
        <f t="array" ref="C1765">_xlfn.XLOOKUP($A1765, 'Medical Examinations'!$A:$A, 'Medical Examinations'!B:B, "No Data")</f>
        <v>16.12</v>
      </c>
      <c r="D1765" s="28">
        <f t="array" ref="D1765">_xlfn.XLOOKUP($A1765, 'Medical Examinations'!$A:$A, 'Medical Examinations'!C:C, "No Data")</f>
        <v>6.09</v>
      </c>
      <c r="E1765" s="28" t="str">
        <f t="array" ref="E1765">_xlfn.XLOOKUP($A1765, 'Medical Examinations'!$A:$A, 'Medical Examinations'!D:D, "No Data")</f>
        <v>No</v>
      </c>
      <c r="F1765" s="28" t="str">
        <f t="array" ref="F1765">_xlfn.XLOOKUP($A1765, 'Medical Examinations'!$A:$A, 'Medical Examinations'!E:E, "No Data")</f>
        <v>No</v>
      </c>
      <c r="G1765" s="28" t="str">
        <f t="array" ref="G1765">_xlfn.XLOOKUP($A1765, 'Medical Examinations'!$A:$A, 'Medical Examinations'!F:F, "No Data")</f>
        <v>No</v>
      </c>
      <c r="H1765" s="28">
        <f t="array" ref="H1765">_xlfn.XLOOKUP($A1765, 'Medical Examinations'!$A:$A, 'Medical Examinations'!G:G, "No Data")</f>
        <v>0</v>
      </c>
      <c r="I1765" s="28" t="str">
        <f t="array" ref="I1765">_xlfn.XLOOKUP($A1765, 'Medical Examinations'!$A:$A, 'Medical Examinations'!H:H, "No Data")</f>
        <v>No</v>
      </c>
      <c r="J1765" s="28" t="str">
        <f t="array" ref="J1765">_xlfn.XLOOKUP($A1765, 'Medical Examinations'!$A:$A, 'Medical Examinations'!I:I, "No Data")</f>
        <v>Underweight</v>
      </c>
      <c r="K1765" s="28" t="str">
        <f t="array" ref="K1765">_xlfn.XLOOKUP($A1765, 'Hospitalisation Details'!$A:$A, 'Hospitalisation Details'!I:I, "No Data")</f>
        <v>tier - 3</v>
      </c>
      <c r="L1765" s="28" t="str">
        <f t="array" ref="L1765">_xlfn.XLOOKUP($A1765, 'Hospitalisation Details'!$A:$A, 'Hospitalisation Details'!J:J, "No Data")</f>
        <v>R1013</v>
      </c>
      <c r="M1765" s="28" t="str">
        <f t="array" ref="M1765">_xlfn.XLOOKUP($A1765, 'Hospitalisation Details'!$A:$A, 'Hospitalisation Details'!E:E, "No Data")</f>
        <v>09/06/77</v>
      </c>
      <c r="N1765" s="28">
        <f t="array" ref="N1765">_xlfn.XLOOKUP($A1765, 'Hospitalisation Details'!$A:$A, 'Hospitalisation Details'!K:K, "No Data")</f>
        <v>45</v>
      </c>
      <c r="O1765" s="33">
        <f t="array" ref="O1765">_xlfn.XLOOKUP($A1765, 'Hospitalisation Details'!$A:$A, 'Hospitalisation Details'!G:G, "No Data")</f>
        <v>5003.77</v>
      </c>
      <c r="P1765" s="28" t="str">
        <f t="array" ref="P1765">_xlfn.XLOOKUP($A1765, 'Hospitalisation Details'!$A:$A, 'Hospitalisation Details'!H:H, "No Data")</f>
        <v>tier - 2</v>
      </c>
    </row>
    <row r="1766">
      <c r="A1766" s="25" t="s">
        <v>3865</v>
      </c>
      <c r="B1766" s="28" t="str">
        <f t="array" ref="B1766">_xlfn.XLOOKUP($A1766, 'Customer Names'!$A:$A, 'Customer Names'!B:B, "No Data")</f>
        <v>Miller</v>
      </c>
      <c r="C1766" s="28">
        <f t="array" ref="C1766">_xlfn.XLOOKUP($A1766, 'Medical Examinations'!$A:$A, 'Medical Examinations'!B:B, "No Data")</f>
        <v>26.73</v>
      </c>
      <c r="D1766" s="28">
        <f t="array" ref="D1766">_xlfn.XLOOKUP($A1766, 'Medical Examinations'!$A:$A, 'Medical Examinations'!C:C, "No Data")</f>
        <v>4.74</v>
      </c>
      <c r="E1766" s="28" t="str">
        <f t="array" ref="E1766">_xlfn.XLOOKUP($A1766, 'Medical Examinations'!$A:$A, 'Medical Examinations'!D:D, "No Data")</f>
        <v>yes</v>
      </c>
      <c r="F1766" s="28" t="str">
        <f t="array" ref="F1766">_xlfn.XLOOKUP($A1766, 'Medical Examinations'!$A:$A, 'Medical Examinations'!E:E, "No Data")</f>
        <v>No</v>
      </c>
      <c r="G1766" s="28" t="str">
        <f t="array" ref="G1766">_xlfn.XLOOKUP($A1766, 'Medical Examinations'!$A:$A, 'Medical Examinations'!F:F, "No Data")</f>
        <v>No</v>
      </c>
      <c r="H1766" s="28">
        <f t="array" ref="H1766">_xlfn.XLOOKUP($A1766, 'Medical Examinations'!$A:$A, 'Medical Examinations'!G:G, "No Data")</f>
        <v>1</v>
      </c>
      <c r="I1766" s="28" t="str">
        <f t="array" ref="I1766">_xlfn.XLOOKUP($A1766, 'Medical Examinations'!$A:$A, 'Medical Examinations'!H:H, "No Data")</f>
        <v>No</v>
      </c>
      <c r="J1766" s="28" t="str">
        <f t="array" ref="J1766">_xlfn.XLOOKUP($A1766, 'Medical Examinations'!$A:$A, 'Medical Examinations'!I:I, "No Data")</f>
        <v>Overweight</v>
      </c>
      <c r="K1766" s="28" t="str">
        <f t="array" ref="K1766">_xlfn.XLOOKUP($A1766, 'Hospitalisation Details'!$A:$A, 'Hospitalisation Details'!I:I, "No Data")</f>
        <v>tier - 2</v>
      </c>
      <c r="L1766" s="28" t="str">
        <f t="array" ref="L1766">_xlfn.XLOOKUP($A1766, 'Hospitalisation Details'!$A:$A, 'Hospitalisation Details'!J:J, "No Data")</f>
        <v>R1013</v>
      </c>
      <c r="M1766" s="28" t="str">
        <f t="array" ref="M1766">_xlfn.XLOOKUP($A1766, 'Hospitalisation Details'!$A:$A, 'Hospitalisation Details'!E:E, "No Data")</f>
        <v>04/09/88</v>
      </c>
      <c r="N1766" s="28">
        <f t="array" ref="N1766">_xlfn.XLOOKUP($A1766, 'Hospitalisation Details'!$A:$A, 'Hospitalisation Details'!K:K, "No Data")</f>
        <v>34</v>
      </c>
      <c r="O1766" s="33">
        <f t="array" ref="O1766">_xlfn.XLOOKUP($A1766, 'Hospitalisation Details'!$A:$A, 'Hospitalisation Details'!G:G, "No Data")</f>
        <v>5002.78</v>
      </c>
      <c r="P1766" s="28" t="str">
        <f t="array" ref="P1766">_xlfn.XLOOKUP($A1766, 'Hospitalisation Details'!$A:$A, 'Hospitalisation Details'!H:H, "No Data")</f>
        <v>tier - 2</v>
      </c>
    </row>
    <row r="1767">
      <c r="A1767" s="25" t="s">
        <v>3860</v>
      </c>
      <c r="B1767" s="28" t="str">
        <f t="array" ref="B1767">_xlfn.XLOOKUP($A1767, 'Customer Names'!$A:$A, 'Customer Names'!B:B, "No Data")</f>
        <v>Whitbeck</v>
      </c>
      <c r="C1767" s="28">
        <f t="array" ref="C1767">_xlfn.XLOOKUP($A1767, 'Medical Examinations'!$A:$A, 'Medical Examinations'!B:B, "No Data")</f>
        <v>37.25</v>
      </c>
      <c r="D1767" s="28">
        <f t="array" ref="D1767">_xlfn.XLOOKUP($A1767, 'Medical Examinations'!$A:$A, 'Medical Examinations'!C:C, "No Data")</f>
        <v>6.23</v>
      </c>
      <c r="E1767" s="28" t="str">
        <f t="array" ref="E1767">_xlfn.XLOOKUP($A1767, 'Medical Examinations'!$A:$A, 'Medical Examinations'!D:D, "No Data")</f>
        <v>yes</v>
      </c>
      <c r="F1767" s="28" t="str">
        <f t="array" ref="F1767">_xlfn.XLOOKUP($A1767, 'Medical Examinations'!$A:$A, 'Medical Examinations'!E:E, "No Data")</f>
        <v>No</v>
      </c>
      <c r="G1767" s="28" t="str">
        <f t="array" ref="G1767">_xlfn.XLOOKUP($A1767, 'Medical Examinations'!$A:$A, 'Medical Examinations'!F:F, "No Data")</f>
        <v>No</v>
      </c>
      <c r="H1767" s="28">
        <f t="array" ref="H1767">_xlfn.XLOOKUP($A1767, 'Medical Examinations'!$A:$A, 'Medical Examinations'!G:G, "No Data")</f>
        <v>0</v>
      </c>
      <c r="I1767" s="28" t="str">
        <f t="array" ref="I1767">_xlfn.XLOOKUP($A1767, 'Medical Examinations'!$A:$A, 'Medical Examinations'!H:H, "No Data")</f>
        <v>No</v>
      </c>
      <c r="J1767" s="28" t="str">
        <f t="array" ref="J1767">_xlfn.XLOOKUP($A1767, 'Medical Examinations'!$A:$A, 'Medical Examinations'!I:I, "No Data")</f>
        <v>Obesity</v>
      </c>
      <c r="K1767" s="28" t="str">
        <f t="array" ref="K1767">_xlfn.XLOOKUP($A1767, 'Hospitalisation Details'!$A:$A, 'Hospitalisation Details'!I:I, "No Data")</f>
        <v>tier - 2</v>
      </c>
      <c r="L1767" s="28" t="str">
        <f t="array" ref="L1767">_xlfn.XLOOKUP($A1767, 'Hospitalisation Details'!$A:$A, 'Hospitalisation Details'!J:J, "No Data")</f>
        <v>R1011</v>
      </c>
      <c r="M1767" s="28" t="str">
        <f t="array" ref="M1767">_xlfn.XLOOKUP($A1767, 'Hospitalisation Details'!$A:$A, 'Hospitalisation Details'!E:E, "No Data")</f>
        <v>05/10/01</v>
      </c>
      <c r="N1767" s="28">
        <f t="array" ref="N1767">_xlfn.XLOOKUP($A1767, 'Hospitalisation Details'!$A:$A, 'Hospitalisation Details'!K:K, "No Data")</f>
        <v>21</v>
      </c>
      <c r="O1767" s="33">
        <f t="array" ref="O1767">_xlfn.XLOOKUP($A1767, 'Hospitalisation Details'!$A:$A, 'Hospitalisation Details'!G:G, "No Data")</f>
        <v>4999.04</v>
      </c>
      <c r="P1767" s="28" t="str">
        <f t="array" ref="P1767">_xlfn.XLOOKUP($A1767, 'Hospitalisation Details'!$A:$A, 'Hospitalisation Details'!H:H, "No Data")</f>
        <v>tier - 2</v>
      </c>
    </row>
    <row r="1768">
      <c r="A1768" s="25" t="s">
        <v>3856</v>
      </c>
      <c r="B1768" s="28" t="str">
        <f t="array" ref="B1768">_xlfn.XLOOKUP($A1768, 'Customer Names'!$A:$A, 'Customer Names'!B:B, "No Data")</f>
        <v>Auer</v>
      </c>
      <c r="C1768" s="28">
        <f t="array" ref="C1768">_xlfn.XLOOKUP($A1768, 'Medical Examinations'!$A:$A, 'Medical Examinations'!B:B, "No Data")</f>
        <v>23.56</v>
      </c>
      <c r="D1768" s="28">
        <f t="array" ref="D1768">_xlfn.XLOOKUP($A1768, 'Medical Examinations'!$A:$A, 'Medical Examinations'!C:C, "No Data")</f>
        <v>5.45</v>
      </c>
      <c r="E1768" s="28" t="str">
        <f t="array" ref="E1768">_xlfn.XLOOKUP($A1768, 'Medical Examinations'!$A:$A, 'Medical Examinations'!D:D, "No Data")</f>
        <v>yes</v>
      </c>
      <c r="F1768" s="28" t="str">
        <f t="array" ref="F1768">_xlfn.XLOOKUP($A1768, 'Medical Examinations'!$A:$A, 'Medical Examinations'!E:E, "No Data")</f>
        <v>No</v>
      </c>
      <c r="G1768" s="28" t="str">
        <f t="array" ref="G1768">_xlfn.XLOOKUP($A1768, 'Medical Examinations'!$A:$A, 'Medical Examinations'!F:F, "No Data")</f>
        <v>No</v>
      </c>
      <c r="H1768" s="28">
        <f t="array" ref="H1768">_xlfn.XLOOKUP($A1768, 'Medical Examinations'!$A:$A, 'Medical Examinations'!G:G, "No Data")</f>
        <v>1</v>
      </c>
      <c r="I1768" s="28" t="str">
        <f t="array" ref="I1768">_xlfn.XLOOKUP($A1768, 'Medical Examinations'!$A:$A, 'Medical Examinations'!H:H, "No Data")</f>
        <v>No</v>
      </c>
      <c r="J1768" s="28" t="str">
        <f t="array" ref="J1768">_xlfn.XLOOKUP($A1768, 'Medical Examinations'!$A:$A, 'Medical Examinations'!I:I, "No Data")</f>
        <v>Normal Weight</v>
      </c>
      <c r="K1768" s="28" t="str">
        <f t="array" ref="K1768">_xlfn.XLOOKUP($A1768, 'Hospitalisation Details'!$A:$A, 'Hospitalisation Details'!I:I, "No Data")</f>
        <v>tier - 3</v>
      </c>
      <c r="L1768" s="28" t="str">
        <f t="array" ref="L1768">_xlfn.XLOOKUP($A1768, 'Hospitalisation Details'!$A:$A, 'Hospitalisation Details'!J:J, "No Data")</f>
        <v>R1024</v>
      </c>
      <c r="M1768" s="28" t="str">
        <f t="array" ref="M1768">_xlfn.XLOOKUP($A1768, 'Hospitalisation Details'!$A:$A, 'Hospitalisation Details'!E:E, "No Data")</f>
        <v>24/06/88</v>
      </c>
      <c r="N1768" s="28">
        <f t="array" ref="N1768">_xlfn.XLOOKUP($A1768, 'Hospitalisation Details'!$A:$A, 'Hospitalisation Details'!K:K, "No Data")</f>
        <v>34</v>
      </c>
      <c r="O1768" s="33">
        <f t="array" ref="O1768">_xlfn.XLOOKUP($A1768, 'Hospitalisation Details'!$A:$A, 'Hospitalisation Details'!G:G, "No Data")</f>
        <v>4992.38</v>
      </c>
      <c r="P1768" s="28" t="str">
        <f t="array" ref="P1768">_xlfn.XLOOKUP($A1768, 'Hospitalisation Details'!$A:$A, 'Hospitalisation Details'!H:H, "No Data")</f>
        <v>tier - 2</v>
      </c>
    </row>
    <row r="1769">
      <c r="A1769" s="25" t="s">
        <v>3851</v>
      </c>
      <c r="B1769" s="28" t="str">
        <f t="array" ref="B1769">_xlfn.XLOOKUP($A1769, 'Customer Names'!$A:$A, 'Customer Names'!B:B, "No Data")</f>
        <v>Attar</v>
      </c>
      <c r="C1769" s="28">
        <f t="array" ref="C1769">_xlfn.XLOOKUP($A1769, 'Medical Examinations'!$A:$A, 'Medical Examinations'!B:B, "No Data")</f>
        <v>15.84</v>
      </c>
      <c r="D1769" s="28">
        <f t="array" ref="D1769">_xlfn.XLOOKUP($A1769, 'Medical Examinations'!$A:$A, 'Medical Examinations'!C:C, "No Data")</f>
        <v>10.34</v>
      </c>
      <c r="E1769" s="28" t="str">
        <f t="array" ref="E1769">_xlfn.XLOOKUP($A1769, 'Medical Examinations'!$A:$A, 'Medical Examinations'!D:D, "No Data")</f>
        <v>No</v>
      </c>
      <c r="F1769" s="28" t="str">
        <f t="array" ref="F1769">_xlfn.XLOOKUP($A1769, 'Medical Examinations'!$A:$A, 'Medical Examinations'!E:E, "No Data")</f>
        <v>No</v>
      </c>
      <c r="G1769" s="28" t="str">
        <f t="array" ref="G1769">_xlfn.XLOOKUP($A1769, 'Medical Examinations'!$A:$A, 'Medical Examinations'!F:F, "No Data")</f>
        <v>No</v>
      </c>
      <c r="H1769" s="28">
        <f t="array" ref="H1769">_xlfn.XLOOKUP($A1769, 'Medical Examinations'!$A:$A, 'Medical Examinations'!G:G, "No Data")</f>
        <v>2</v>
      </c>
      <c r="I1769" s="28" t="str">
        <f t="array" ref="I1769">_xlfn.XLOOKUP($A1769, 'Medical Examinations'!$A:$A, 'Medical Examinations'!H:H, "No Data")</f>
        <v>No</v>
      </c>
      <c r="J1769" s="28" t="str">
        <f t="array" ref="J1769">_xlfn.XLOOKUP($A1769, 'Medical Examinations'!$A:$A, 'Medical Examinations'!I:I, "No Data")</f>
        <v>Underweight</v>
      </c>
      <c r="K1769" s="28" t="str">
        <f t="array" ref="K1769">_xlfn.XLOOKUP($A1769, 'Hospitalisation Details'!$A:$A, 'Hospitalisation Details'!I:I, "No Data")</f>
        <v>tier - 3</v>
      </c>
      <c r="L1769" s="28" t="str">
        <f t="array" ref="L1769">_xlfn.XLOOKUP($A1769, 'Hospitalisation Details'!$A:$A, 'Hospitalisation Details'!J:J, "No Data")</f>
        <v>R1013</v>
      </c>
      <c r="M1769" s="28" t="str">
        <f t="array" ref="M1769">_xlfn.XLOOKUP($A1769, 'Hospitalisation Details'!$A:$A, 'Hospitalisation Details'!E:E, "No Data")</f>
        <v>07/11/73</v>
      </c>
      <c r="N1769" s="28">
        <f t="array" ref="N1769">_xlfn.XLOOKUP($A1769, 'Hospitalisation Details'!$A:$A, 'Hospitalisation Details'!K:K, "No Data")</f>
        <v>49</v>
      </c>
      <c r="O1769" s="33">
        <f t="array" ref="O1769">_xlfn.XLOOKUP($A1769, 'Hospitalisation Details'!$A:$A, 'Hospitalisation Details'!G:G, "No Data")</f>
        <v>4985.22</v>
      </c>
      <c r="P1769" s="28" t="str">
        <f t="array" ref="P1769">_xlfn.XLOOKUP($A1769, 'Hospitalisation Details'!$A:$A, 'Hospitalisation Details'!H:H, "No Data")</f>
        <v>tier - 2</v>
      </c>
    </row>
    <row r="1770">
      <c r="A1770" s="25" t="s">
        <v>3847</v>
      </c>
      <c r="B1770" s="28" t="str">
        <f t="array" ref="B1770">_xlfn.XLOOKUP($A1770, 'Customer Names'!$A:$A, 'Customer Names'!B:B, "No Data")</f>
        <v>Misuraca</v>
      </c>
      <c r="C1770" s="28">
        <f t="array" ref="C1770">_xlfn.XLOOKUP($A1770, 'Medical Examinations'!$A:$A, 'Medical Examinations'!B:B, "No Data")</f>
        <v>36.63</v>
      </c>
      <c r="D1770" s="28">
        <f t="array" ref="D1770">_xlfn.XLOOKUP($A1770, 'Medical Examinations'!$A:$A, 'Medical Examinations'!C:C, "No Data")</f>
        <v>5.15</v>
      </c>
      <c r="E1770" s="28" t="str">
        <f t="array" ref="E1770">_xlfn.XLOOKUP($A1770, 'Medical Examinations'!$A:$A, 'Medical Examinations'!D:D, "No Data")</f>
        <v>No</v>
      </c>
      <c r="F1770" s="28" t="str">
        <f t="array" ref="F1770">_xlfn.XLOOKUP($A1770, 'Medical Examinations'!$A:$A, 'Medical Examinations'!E:E, "No Data")</f>
        <v>No</v>
      </c>
      <c r="G1770" s="28" t="str">
        <f t="array" ref="G1770">_xlfn.XLOOKUP($A1770, 'Medical Examinations'!$A:$A, 'Medical Examinations'!F:F, "No Data")</f>
        <v>No</v>
      </c>
      <c r="H1770" s="28">
        <f t="array" ref="H1770">_xlfn.XLOOKUP($A1770, 'Medical Examinations'!$A:$A, 'Medical Examinations'!G:G, "No Data")</f>
        <v>0</v>
      </c>
      <c r="I1770" s="28" t="str">
        <f t="array" ref="I1770">_xlfn.XLOOKUP($A1770, 'Medical Examinations'!$A:$A, 'Medical Examinations'!H:H, "No Data")</f>
        <v>No</v>
      </c>
      <c r="J1770" s="28" t="str">
        <f t="array" ref="J1770">_xlfn.XLOOKUP($A1770, 'Medical Examinations'!$A:$A, 'Medical Examinations'!I:I, "No Data")</f>
        <v>Obesity</v>
      </c>
      <c r="K1770" s="28" t="str">
        <f t="array" ref="K1770">_xlfn.XLOOKUP($A1770, 'Hospitalisation Details'!$A:$A, 'Hospitalisation Details'!I:I, "No Data")</f>
        <v>tier - 1</v>
      </c>
      <c r="L1770" s="28" t="str">
        <f t="array" ref="L1770">_xlfn.XLOOKUP($A1770, 'Hospitalisation Details'!$A:$A, 'Hospitalisation Details'!J:J, "No Data")</f>
        <v>R1013</v>
      </c>
      <c r="M1770" s="28" t="str">
        <f t="array" ref="M1770">_xlfn.XLOOKUP($A1770, 'Hospitalisation Details'!$A:$A, 'Hospitalisation Details'!E:E, "No Data")</f>
        <v>30/08/91</v>
      </c>
      <c r="N1770" s="28">
        <f t="array" ref="N1770">_xlfn.XLOOKUP($A1770, 'Hospitalisation Details'!$A:$A, 'Hospitalisation Details'!K:K, "No Data")</f>
        <v>31</v>
      </c>
      <c r="O1770" s="33">
        <f t="array" ref="O1770">_xlfn.XLOOKUP($A1770, 'Hospitalisation Details'!$A:$A, 'Hospitalisation Details'!G:G, "No Data")</f>
        <v>4949.76</v>
      </c>
      <c r="P1770" s="28" t="str">
        <f t="array" ref="P1770">_xlfn.XLOOKUP($A1770, 'Hospitalisation Details'!$A:$A, 'Hospitalisation Details'!H:H, "No Data")</f>
        <v>tier - 2</v>
      </c>
    </row>
    <row r="1771">
      <c r="A1771" s="25" t="s">
        <v>3843</v>
      </c>
      <c r="B1771" s="28" t="str">
        <f t="array" ref="B1771">_xlfn.XLOOKUP($A1771, 'Customer Names'!$A:$A, 'Customer Names'!B:B, "No Data")</f>
        <v>Spannaus</v>
      </c>
      <c r="C1771" s="28">
        <f t="array" ref="C1771">_xlfn.XLOOKUP($A1771, 'Medical Examinations'!$A:$A, 'Medical Examinations'!B:B, "No Data")</f>
        <v>16.47</v>
      </c>
      <c r="D1771" s="28">
        <f t="array" ref="D1771">_xlfn.XLOOKUP($A1771, 'Medical Examinations'!$A:$A, 'Medical Examinations'!C:C, "No Data")</f>
        <v>11.72</v>
      </c>
      <c r="E1771" s="28" t="str">
        <f t="array" ref="E1771">_xlfn.XLOOKUP($A1771, 'Medical Examinations'!$A:$A, 'Medical Examinations'!D:D, "No Data")</f>
        <v>No</v>
      </c>
      <c r="F1771" s="28" t="str">
        <f t="array" ref="F1771">_xlfn.XLOOKUP($A1771, 'Medical Examinations'!$A:$A, 'Medical Examinations'!E:E, "No Data")</f>
        <v>No</v>
      </c>
      <c r="G1771" s="28" t="str">
        <f t="array" ref="G1771">_xlfn.XLOOKUP($A1771, 'Medical Examinations'!$A:$A, 'Medical Examinations'!F:F, "No Data")</f>
        <v>No</v>
      </c>
      <c r="H1771" s="28">
        <f t="array" ref="H1771">_xlfn.XLOOKUP($A1771, 'Medical Examinations'!$A:$A, 'Medical Examinations'!G:G, "No Data")</f>
        <v>0</v>
      </c>
      <c r="I1771" s="28" t="str">
        <f t="array" ref="I1771">_xlfn.XLOOKUP($A1771, 'Medical Examinations'!$A:$A, 'Medical Examinations'!H:H, "No Data")</f>
        <v>No</v>
      </c>
      <c r="J1771" s="28" t="str">
        <f t="array" ref="J1771">_xlfn.XLOOKUP($A1771, 'Medical Examinations'!$A:$A, 'Medical Examinations'!I:I, "No Data")</f>
        <v>Underweight</v>
      </c>
      <c r="K1771" s="28" t="str">
        <f t="array" ref="K1771">_xlfn.XLOOKUP($A1771, 'Hospitalisation Details'!$A:$A, 'Hospitalisation Details'!I:I, "No Data")</f>
        <v>tier - 2</v>
      </c>
      <c r="L1771" s="28" t="str">
        <f t="array" ref="L1771">_xlfn.XLOOKUP($A1771, 'Hospitalisation Details'!$A:$A, 'Hospitalisation Details'!J:J, "No Data")</f>
        <v>R1013</v>
      </c>
      <c r="M1771" s="28" t="str">
        <f t="array" ref="M1771">_xlfn.XLOOKUP($A1771, 'Hospitalisation Details'!$A:$A, 'Hospitalisation Details'!E:E, "No Data")</f>
        <v>26/06/74</v>
      </c>
      <c r="N1771" s="28">
        <f t="array" ref="N1771">_xlfn.XLOOKUP($A1771, 'Hospitalisation Details'!$A:$A, 'Hospitalisation Details'!K:K, "No Data")</f>
        <v>48</v>
      </c>
      <c r="O1771" s="33">
        <f t="array" ref="O1771">_xlfn.XLOOKUP($A1771, 'Hospitalisation Details'!$A:$A, 'Hospitalisation Details'!G:G, "No Data")</f>
        <v>4942.06</v>
      </c>
      <c r="P1771" s="28" t="str">
        <f t="array" ref="P1771">_xlfn.XLOOKUP($A1771, 'Hospitalisation Details'!$A:$A, 'Hospitalisation Details'!H:H, "No Data")</f>
        <v>tier - 2</v>
      </c>
    </row>
    <row r="1772">
      <c r="A1772" s="25" t="s">
        <v>3838</v>
      </c>
      <c r="B1772" s="28" t="str">
        <f t="array" ref="B1772">_xlfn.XLOOKUP($A1772, 'Customer Names'!$A:$A, 'Customer Names'!B:B, "No Data")</f>
        <v>Tarbiat</v>
      </c>
      <c r="C1772" s="28">
        <f t="array" ref="C1772">_xlfn.XLOOKUP($A1772, 'Medical Examinations'!$A:$A, 'Medical Examinations'!B:B, "No Data")</f>
        <v>25.8</v>
      </c>
      <c r="D1772" s="28">
        <f t="array" ref="D1772">_xlfn.XLOOKUP($A1772, 'Medical Examinations'!$A:$A, 'Medical Examinations'!C:C, "No Data")</f>
        <v>5.29</v>
      </c>
      <c r="E1772" s="28" t="str">
        <f t="array" ref="E1772">_xlfn.XLOOKUP($A1772, 'Medical Examinations'!$A:$A, 'Medical Examinations'!D:D, "No Data")</f>
        <v>No</v>
      </c>
      <c r="F1772" s="28" t="str">
        <f t="array" ref="F1772">_xlfn.XLOOKUP($A1772, 'Medical Examinations'!$A:$A, 'Medical Examinations'!E:E, "No Data")</f>
        <v>No</v>
      </c>
      <c r="G1772" s="28" t="str">
        <f t="array" ref="G1772">_xlfn.XLOOKUP($A1772, 'Medical Examinations'!$A:$A, 'Medical Examinations'!F:F, "No Data")</f>
        <v>No</v>
      </c>
      <c r="H1772" s="28">
        <f t="array" ref="H1772">_xlfn.XLOOKUP($A1772, 'Medical Examinations'!$A:$A, 'Medical Examinations'!G:G, "No Data")</f>
        <v>0</v>
      </c>
      <c r="I1772" s="28" t="str">
        <f t="array" ref="I1772">_xlfn.XLOOKUP($A1772, 'Medical Examinations'!$A:$A, 'Medical Examinations'!H:H, "No Data")</f>
        <v>No</v>
      </c>
      <c r="J1772" s="28" t="str">
        <f t="array" ref="J1772">_xlfn.XLOOKUP($A1772, 'Medical Examinations'!$A:$A, 'Medical Examinations'!I:I, "No Data")</f>
        <v>Overweight</v>
      </c>
      <c r="K1772" s="28" t="str">
        <f t="array" ref="K1772">_xlfn.XLOOKUP($A1772, 'Hospitalisation Details'!$A:$A, 'Hospitalisation Details'!I:I, "No Data")</f>
        <v>tier - 3</v>
      </c>
      <c r="L1772" s="28" t="str">
        <f t="array" ref="L1772">_xlfn.XLOOKUP($A1772, 'Hospitalisation Details'!$A:$A, 'Hospitalisation Details'!J:J, "No Data")</f>
        <v>R1011</v>
      </c>
      <c r="M1772" s="28" t="str">
        <f t="array" ref="M1772">_xlfn.XLOOKUP($A1772, 'Hospitalisation Details'!$A:$A, 'Hospitalisation Details'!E:E, "No Data")</f>
        <v>27/11/91</v>
      </c>
      <c r="N1772" s="28">
        <f t="array" ref="N1772">_xlfn.XLOOKUP($A1772, 'Hospitalisation Details'!$A:$A, 'Hospitalisation Details'!K:K, "No Data")</f>
        <v>31</v>
      </c>
      <c r="O1772" s="33">
        <f t="array" ref="O1772">_xlfn.XLOOKUP($A1772, 'Hospitalisation Details'!$A:$A, 'Hospitalisation Details'!G:G, "No Data")</f>
        <v>4934.71</v>
      </c>
      <c r="P1772" s="28" t="str">
        <f t="array" ref="P1772">_xlfn.XLOOKUP($A1772, 'Hospitalisation Details'!$A:$A, 'Hospitalisation Details'!H:H, "No Data")</f>
        <v>tier - 2</v>
      </c>
    </row>
    <row r="1773">
      <c r="A1773" s="25" t="s">
        <v>3835</v>
      </c>
      <c r="B1773" s="28" t="str">
        <f t="array" ref="B1773">_xlfn.XLOOKUP($A1773, 'Customer Names'!$A:$A, 'Customer Names'!B:B, "No Data")</f>
        <v>Pulkkinen</v>
      </c>
      <c r="C1773" s="28">
        <f t="array" ref="C1773">_xlfn.XLOOKUP($A1773, 'Medical Examinations'!$A:$A, 'Medical Examinations'!B:B, "No Data")</f>
        <v>23.6</v>
      </c>
      <c r="D1773" s="28">
        <f t="array" ref="D1773">_xlfn.XLOOKUP($A1773, 'Medical Examinations'!$A:$A, 'Medical Examinations'!C:C, "No Data")</f>
        <v>4.33</v>
      </c>
      <c r="E1773" s="28" t="str">
        <f t="array" ref="E1773">_xlfn.XLOOKUP($A1773, 'Medical Examinations'!$A:$A, 'Medical Examinations'!D:D, "No Data")</f>
        <v>No</v>
      </c>
      <c r="F1773" s="28" t="str">
        <f t="array" ref="F1773">_xlfn.XLOOKUP($A1773, 'Medical Examinations'!$A:$A, 'Medical Examinations'!E:E, "No Data")</f>
        <v>No</v>
      </c>
      <c r="G1773" s="28" t="str">
        <f t="array" ref="G1773">_xlfn.XLOOKUP($A1773, 'Medical Examinations'!$A:$A, 'Medical Examinations'!F:F, "No Data")</f>
        <v>No</v>
      </c>
      <c r="H1773" s="28">
        <f t="array" ref="H1773">_xlfn.XLOOKUP($A1773, 'Medical Examinations'!$A:$A, 'Medical Examinations'!G:G, "No Data")</f>
        <v>0</v>
      </c>
      <c r="I1773" s="28" t="str">
        <f t="array" ref="I1773">_xlfn.XLOOKUP($A1773, 'Medical Examinations'!$A:$A, 'Medical Examinations'!H:H, "No Data")</f>
        <v>No</v>
      </c>
      <c r="J1773" s="28" t="str">
        <f t="array" ref="J1773">_xlfn.XLOOKUP($A1773, 'Medical Examinations'!$A:$A, 'Medical Examinations'!I:I, "No Data")</f>
        <v>Normal Weight</v>
      </c>
      <c r="K1773" s="28" t="str">
        <f t="array" ref="K1773">_xlfn.XLOOKUP($A1773, 'Hospitalisation Details'!$A:$A, 'Hospitalisation Details'!I:I, "No Data")</f>
        <v>tier - 3</v>
      </c>
      <c r="L1773" s="28" t="str">
        <f t="array" ref="L1773">_xlfn.XLOOKUP($A1773, 'Hospitalisation Details'!$A:$A, 'Hospitalisation Details'!J:J, "No Data")</f>
        <v>R1011</v>
      </c>
      <c r="M1773" s="28" t="str">
        <f t="array" ref="M1773">_xlfn.XLOOKUP($A1773, 'Hospitalisation Details'!$A:$A, 'Hospitalisation Details'!E:E, "No Data")</f>
        <v>23/08/91</v>
      </c>
      <c r="N1773" s="28">
        <f t="array" ref="N1773">_xlfn.XLOOKUP($A1773, 'Hospitalisation Details'!$A:$A, 'Hospitalisation Details'!K:K, "No Data")</f>
        <v>31</v>
      </c>
      <c r="O1773" s="33">
        <f t="array" ref="O1773">_xlfn.XLOOKUP($A1773, 'Hospitalisation Details'!$A:$A, 'Hospitalisation Details'!G:G, "No Data")</f>
        <v>4931.65</v>
      </c>
      <c r="P1773" s="28" t="str">
        <f t="array" ref="P1773">_xlfn.XLOOKUP($A1773, 'Hospitalisation Details'!$A:$A, 'Hospitalisation Details'!H:H, "No Data")</f>
        <v>tier - 2</v>
      </c>
    </row>
    <row r="1774">
      <c r="A1774" s="25" t="s">
        <v>3832</v>
      </c>
      <c r="B1774" s="28" t="str">
        <f t="array" ref="B1774">_xlfn.XLOOKUP($A1774, 'Customer Names'!$A:$A, 'Customer Names'!B:B, "No Data")</f>
        <v>Trnovcova</v>
      </c>
      <c r="C1774" s="28">
        <f t="array" ref="C1774">_xlfn.XLOOKUP($A1774, 'Medical Examinations'!$A:$A, 'Medical Examinations'!B:B, "No Data")</f>
        <v>32.11</v>
      </c>
      <c r="D1774" s="28">
        <f t="array" ref="D1774">_xlfn.XLOOKUP($A1774, 'Medical Examinations'!$A:$A, 'Medical Examinations'!C:C, "No Data")</f>
        <v>6.24</v>
      </c>
      <c r="E1774" s="28" t="str">
        <f t="array" ref="E1774">_xlfn.XLOOKUP($A1774, 'Medical Examinations'!$A:$A, 'Medical Examinations'!D:D, "No Data")</f>
        <v>No</v>
      </c>
      <c r="F1774" s="28" t="str">
        <f t="array" ref="F1774">_xlfn.XLOOKUP($A1774, 'Medical Examinations'!$A:$A, 'Medical Examinations'!E:E, "No Data")</f>
        <v>No</v>
      </c>
      <c r="G1774" s="28" t="str">
        <f t="array" ref="G1774">_xlfn.XLOOKUP($A1774, 'Medical Examinations'!$A:$A, 'Medical Examinations'!F:F, "No Data")</f>
        <v>Yes</v>
      </c>
      <c r="H1774" s="28">
        <f t="array" ref="H1774">_xlfn.XLOOKUP($A1774, 'Medical Examinations'!$A:$A, 'Medical Examinations'!G:G, "No Data")</f>
        <v>1</v>
      </c>
      <c r="I1774" s="28" t="str">
        <f t="array" ref="I1774">_xlfn.XLOOKUP($A1774, 'Medical Examinations'!$A:$A, 'Medical Examinations'!H:H, "No Data")</f>
        <v>No</v>
      </c>
      <c r="J1774" s="28" t="str">
        <f t="array" ref="J1774">_xlfn.XLOOKUP($A1774, 'Medical Examinations'!$A:$A, 'Medical Examinations'!I:I, "No Data")</f>
        <v>Obesity</v>
      </c>
      <c r="K1774" s="28" t="str">
        <f t="array" ref="K1774">_xlfn.XLOOKUP($A1774, 'Hospitalisation Details'!$A:$A, 'Hospitalisation Details'!I:I, "No Data")</f>
        <v>tier - 2</v>
      </c>
      <c r="L1774" s="28" t="str">
        <f t="array" ref="L1774">_xlfn.XLOOKUP($A1774, 'Hospitalisation Details'!$A:$A, 'Hospitalisation Details'!J:J, "No Data")</f>
        <v>R1012</v>
      </c>
      <c r="M1774" s="28" t="str">
        <f t="array" ref="M1774">_xlfn.XLOOKUP($A1774, 'Hospitalisation Details'!$A:$A, 'Hospitalisation Details'!E:E, "No Data")</f>
        <v>10/08/93</v>
      </c>
      <c r="N1774" s="28">
        <f t="array" ref="N1774">_xlfn.XLOOKUP($A1774, 'Hospitalisation Details'!$A:$A, 'Hospitalisation Details'!K:K, "No Data")</f>
        <v>29</v>
      </c>
      <c r="O1774" s="33">
        <f t="array" ref="O1774">_xlfn.XLOOKUP($A1774, 'Hospitalisation Details'!$A:$A, 'Hospitalisation Details'!G:G, "No Data")</f>
        <v>4922.92</v>
      </c>
      <c r="P1774" s="28" t="str">
        <f t="array" ref="P1774">_xlfn.XLOOKUP($A1774, 'Hospitalisation Details'!$A:$A, 'Hospitalisation Details'!H:H, "No Data")</f>
        <v>tier - 2</v>
      </c>
    </row>
    <row r="1775">
      <c r="A1775" s="25" t="s">
        <v>3825</v>
      </c>
      <c r="B1775" s="28" t="str">
        <f t="array" ref="B1775">_xlfn.XLOOKUP($A1775, 'Customer Names'!$A:$A, 'Customer Names'!B:B, "No Data")</f>
        <v>Anthony</v>
      </c>
      <c r="C1775" s="28">
        <f t="array" ref="C1775">_xlfn.XLOOKUP($A1775, 'Medical Examinations'!$A:$A, 'Medical Examinations'!B:B, "No Data")</f>
        <v>30.115</v>
      </c>
      <c r="D1775" s="28">
        <f t="array" ref="D1775">_xlfn.XLOOKUP($A1775, 'Medical Examinations'!$A:$A, 'Medical Examinations'!C:C, "No Data")</f>
        <v>11.61</v>
      </c>
      <c r="E1775" s="28" t="str">
        <f t="array" ref="E1775">_xlfn.XLOOKUP($A1775, 'Medical Examinations'!$A:$A, 'Medical Examinations'!D:D, "No Data")</f>
        <v>No</v>
      </c>
      <c r="F1775" s="28" t="str">
        <f t="array" ref="F1775">_xlfn.XLOOKUP($A1775, 'Medical Examinations'!$A:$A, 'Medical Examinations'!E:E, "No Data")</f>
        <v>No</v>
      </c>
      <c r="G1775" s="28" t="str">
        <f t="array" ref="G1775">_xlfn.XLOOKUP($A1775, 'Medical Examinations'!$A:$A, 'Medical Examinations'!F:F, "No Data")</f>
        <v>No</v>
      </c>
      <c r="H1775" s="28">
        <f t="array" ref="H1775">_xlfn.XLOOKUP($A1775, 'Medical Examinations'!$A:$A, 'Medical Examinations'!G:G, "No Data")</f>
        <v>0</v>
      </c>
      <c r="I1775" s="28" t="str">
        <f t="array" ref="I1775">_xlfn.XLOOKUP($A1775, 'Medical Examinations'!$A:$A, 'Medical Examinations'!H:H, "No Data")</f>
        <v>No</v>
      </c>
      <c r="J1775" s="28" t="str">
        <f t="array" ref="J1775">_xlfn.XLOOKUP($A1775, 'Medical Examinations'!$A:$A, 'Medical Examinations'!I:I, "No Data")</f>
        <v>Obesity</v>
      </c>
      <c r="K1775" s="28" t="str">
        <f t="array" ref="K1775">_xlfn.XLOOKUP($A1775, 'Hospitalisation Details'!$A:$A, 'Hospitalisation Details'!I:I, "No Data")</f>
        <v>tier - 1</v>
      </c>
      <c r="L1775" s="28" t="str">
        <f t="array" ref="L1775">_xlfn.XLOOKUP($A1775, 'Hospitalisation Details'!$A:$A, 'Hospitalisation Details'!J:J, "No Data")</f>
        <v>R1017</v>
      </c>
      <c r="M1775" s="28" t="str">
        <f t="array" ref="M1775">_xlfn.XLOOKUP($A1775, 'Hospitalisation Details'!$A:$A, 'Hospitalisation Details'!E:E, "No Data")</f>
        <v>21/08/02</v>
      </c>
      <c r="N1775" s="28">
        <f t="array" ref="N1775">_xlfn.XLOOKUP($A1775, 'Hospitalisation Details'!$A:$A, 'Hospitalisation Details'!K:K, "No Data")</f>
        <v>20</v>
      </c>
      <c r="O1775" s="33">
        <f t="array" ref="O1775">_xlfn.XLOOKUP($A1775, 'Hospitalisation Details'!$A:$A, 'Hospitalisation Details'!G:G, "No Data")</f>
        <v>4915.06</v>
      </c>
      <c r="P1775" s="28" t="str">
        <f t="array" ref="P1775">_xlfn.XLOOKUP($A1775, 'Hospitalisation Details'!$A:$A, 'Hospitalisation Details'!H:H, "No Data")</f>
        <v>tier - 2</v>
      </c>
    </row>
    <row r="1776">
      <c r="A1776" s="25" t="s">
        <v>3819</v>
      </c>
      <c r="B1776" s="28" t="str">
        <f t="array" ref="B1776">_xlfn.XLOOKUP($A1776, 'Customer Names'!$A:$A, 'Customer Names'!B:B, "No Data")</f>
        <v>Hetrick</v>
      </c>
      <c r="C1776" s="28">
        <f t="array" ref="C1776">_xlfn.XLOOKUP($A1776, 'Medical Examinations'!$A:$A, 'Medical Examinations'!B:B, "No Data")</f>
        <v>20.28</v>
      </c>
      <c r="D1776" s="28">
        <f t="array" ref="D1776">_xlfn.XLOOKUP($A1776, 'Medical Examinations'!$A:$A, 'Medical Examinations'!C:C, "No Data")</f>
        <v>11.07</v>
      </c>
      <c r="E1776" s="28" t="str">
        <f t="array" ref="E1776">_xlfn.XLOOKUP($A1776, 'Medical Examinations'!$A:$A, 'Medical Examinations'!D:D, "No Data")</f>
        <v>yes</v>
      </c>
      <c r="F1776" s="28" t="str">
        <f t="array" ref="F1776">_xlfn.XLOOKUP($A1776, 'Medical Examinations'!$A:$A, 'Medical Examinations'!E:E, "No Data")</f>
        <v>No</v>
      </c>
      <c r="G1776" s="28" t="str">
        <f t="array" ref="G1776">_xlfn.XLOOKUP($A1776, 'Medical Examinations'!$A:$A, 'Medical Examinations'!F:F, "No Data")</f>
        <v>No</v>
      </c>
      <c r="H1776" s="28">
        <f t="array" ref="H1776">_xlfn.XLOOKUP($A1776, 'Medical Examinations'!$A:$A, 'Medical Examinations'!G:G, "No Data")</f>
        <v>0</v>
      </c>
      <c r="I1776" s="28" t="str">
        <f t="array" ref="I1776">_xlfn.XLOOKUP($A1776, 'Medical Examinations'!$A:$A, 'Medical Examinations'!H:H, "No Data")</f>
        <v>No</v>
      </c>
      <c r="J1776" s="28" t="str">
        <f t="array" ref="J1776">_xlfn.XLOOKUP($A1776, 'Medical Examinations'!$A:$A, 'Medical Examinations'!I:I, "No Data")</f>
        <v>Normal Weight</v>
      </c>
      <c r="K1776" s="28" t="str">
        <f t="array" ref="K1776">_xlfn.XLOOKUP($A1776, 'Hospitalisation Details'!$A:$A, 'Hospitalisation Details'!I:I, "No Data")</f>
        <v>tier - 3</v>
      </c>
      <c r="L1776" s="28" t="str">
        <f t="array" ref="L1776">_xlfn.XLOOKUP($A1776, 'Hospitalisation Details'!$A:$A, 'Hospitalisation Details'!J:J, "No Data")</f>
        <v>R1013</v>
      </c>
      <c r="M1776" s="28" t="str">
        <f t="array" ref="M1776">_xlfn.XLOOKUP($A1776, 'Hospitalisation Details'!$A:$A, 'Hospitalisation Details'!E:E, "No Data")</f>
        <v>18/10/81</v>
      </c>
      <c r="N1776" s="28">
        <f t="array" ref="N1776">_xlfn.XLOOKUP($A1776, 'Hospitalisation Details'!$A:$A, 'Hospitalisation Details'!K:K, "No Data")</f>
        <v>41</v>
      </c>
      <c r="O1776" s="33">
        <f t="array" ref="O1776">_xlfn.XLOOKUP($A1776, 'Hospitalisation Details'!$A:$A, 'Hospitalisation Details'!G:G, "No Data")</f>
        <v>4911.89</v>
      </c>
      <c r="P1776" s="28" t="str">
        <f t="array" ref="P1776">_xlfn.XLOOKUP($A1776, 'Hospitalisation Details'!$A:$A, 'Hospitalisation Details'!H:H, "No Data")</f>
        <v>tier - 2</v>
      </c>
    </row>
    <row r="1777">
      <c r="A1777" s="25" t="s">
        <v>3813</v>
      </c>
      <c r="B1777" s="28" t="str">
        <f t="array" ref="B1777">_xlfn.XLOOKUP($A1777, 'Customer Names'!$A:$A, 'Customer Names'!B:B, "No Data")</f>
        <v>Stern</v>
      </c>
      <c r="C1777" s="28">
        <f t="array" ref="C1777">_xlfn.XLOOKUP($A1777, 'Medical Examinations'!$A:$A, 'Medical Examinations'!B:B, "No Data")</f>
        <v>20.235</v>
      </c>
      <c r="D1777" s="28">
        <f t="array" ref="D1777">_xlfn.XLOOKUP($A1777, 'Medical Examinations'!$A:$A, 'Medical Examinations'!C:C, "No Data")</f>
        <v>5.19</v>
      </c>
      <c r="E1777" s="28" t="str">
        <f t="array" ref="E1777">_xlfn.XLOOKUP($A1777, 'Medical Examinations'!$A:$A, 'Medical Examinations'!D:D, "No Data")</f>
        <v>No</v>
      </c>
      <c r="F1777" s="28" t="str">
        <f t="array" ref="F1777">_xlfn.XLOOKUP($A1777, 'Medical Examinations'!$A:$A, 'Medical Examinations'!E:E, "No Data")</f>
        <v>No</v>
      </c>
      <c r="G1777" s="28" t="str">
        <f t="array" ref="G1777">_xlfn.XLOOKUP($A1777, 'Medical Examinations'!$A:$A, 'Medical Examinations'!F:F, "No Data")</f>
        <v>Yes</v>
      </c>
      <c r="H1777" s="28">
        <f t="array" ref="H1777">_xlfn.XLOOKUP($A1777, 'Medical Examinations'!$A:$A, 'Medical Examinations'!G:G, "No Data")</f>
        <v>1</v>
      </c>
      <c r="I1777" s="28" t="str">
        <f t="array" ref="I1777">_xlfn.XLOOKUP($A1777, 'Medical Examinations'!$A:$A, 'Medical Examinations'!H:H, "No Data")</f>
        <v>No</v>
      </c>
      <c r="J1777" s="28" t="str">
        <f t="array" ref="J1777">_xlfn.XLOOKUP($A1777, 'Medical Examinations'!$A:$A, 'Medical Examinations'!I:I, "No Data")</f>
        <v>Normal Weight</v>
      </c>
      <c r="K1777" s="28" t="str">
        <f t="array" ref="K1777">_xlfn.XLOOKUP($A1777, 'Hospitalisation Details'!$A:$A, 'Hospitalisation Details'!I:I, "No Data")</f>
        <v>tier - 1</v>
      </c>
      <c r="L1777" s="28" t="str">
        <f t="array" ref="L1777">_xlfn.XLOOKUP($A1777, 'Hospitalisation Details'!$A:$A, 'Hospitalisation Details'!J:J, "No Data")</f>
        <v>R1012</v>
      </c>
      <c r="M1777" s="28" t="str">
        <f t="array" ref="M1777">_xlfn.XLOOKUP($A1777, 'Hospitalisation Details'!$A:$A, 'Hospitalisation Details'!E:E, "No Data")</f>
        <v>10/07/93</v>
      </c>
      <c r="N1777" s="28">
        <f t="array" ref="N1777">_xlfn.XLOOKUP($A1777, 'Hospitalisation Details'!$A:$A, 'Hospitalisation Details'!K:K, "No Data")</f>
        <v>29</v>
      </c>
      <c r="O1777" s="33">
        <f t="array" ref="O1777">_xlfn.XLOOKUP($A1777, 'Hospitalisation Details'!$A:$A, 'Hospitalisation Details'!G:G, "No Data")</f>
        <v>4906.41</v>
      </c>
      <c r="P1777" s="28" t="str">
        <f t="array" ref="P1777">_xlfn.XLOOKUP($A1777, 'Hospitalisation Details'!$A:$A, 'Hospitalisation Details'!H:H, "No Data")</f>
        <v>tier - 2</v>
      </c>
    </row>
    <row r="1778">
      <c r="A1778" s="25" t="s">
        <v>3810</v>
      </c>
      <c r="B1778" s="28" t="str">
        <f t="array" ref="B1778">_xlfn.XLOOKUP($A1778, 'Customer Names'!$A:$A, 'Customer Names'!B:B, "No Data")</f>
        <v>Newman</v>
      </c>
      <c r="C1778" s="28">
        <f t="array" ref="C1778">_xlfn.XLOOKUP($A1778, 'Medical Examinations'!$A:$A, 'Medical Examinations'!B:B, "No Data")</f>
        <v>25.27</v>
      </c>
      <c r="D1778" s="28">
        <f t="array" ref="D1778">_xlfn.XLOOKUP($A1778, 'Medical Examinations'!$A:$A, 'Medical Examinations'!C:C, "No Data")</f>
        <v>5.7</v>
      </c>
      <c r="E1778" s="28" t="str">
        <f t="array" ref="E1778">_xlfn.XLOOKUP($A1778, 'Medical Examinations'!$A:$A, 'Medical Examinations'!D:D, "No Data")</f>
        <v>yes</v>
      </c>
      <c r="F1778" s="28" t="str">
        <f t="array" ref="F1778">_xlfn.XLOOKUP($A1778, 'Medical Examinations'!$A:$A, 'Medical Examinations'!E:E, "No Data")</f>
        <v>No</v>
      </c>
      <c r="G1778" s="28" t="str">
        <f t="array" ref="G1778">_xlfn.XLOOKUP($A1778, 'Medical Examinations'!$A:$A, 'Medical Examinations'!F:F, "No Data")</f>
        <v>No</v>
      </c>
      <c r="H1778" s="28">
        <f t="array" ref="H1778">_xlfn.XLOOKUP($A1778, 'Medical Examinations'!$A:$A, 'Medical Examinations'!G:G, "No Data")</f>
        <v>1</v>
      </c>
      <c r="I1778" s="28" t="str">
        <f t="array" ref="I1778">_xlfn.XLOOKUP($A1778, 'Medical Examinations'!$A:$A, 'Medical Examinations'!H:H, "No Data")</f>
        <v>No</v>
      </c>
      <c r="J1778" s="28" t="str">
        <f t="array" ref="J1778">_xlfn.XLOOKUP($A1778, 'Medical Examinations'!$A:$A, 'Medical Examinations'!I:I, "No Data")</f>
        <v>Overweight</v>
      </c>
      <c r="K1778" s="28" t="str">
        <f t="array" ref="K1778">_xlfn.XLOOKUP($A1778, 'Hospitalisation Details'!$A:$A, 'Hospitalisation Details'!I:I, "No Data")</f>
        <v>tier - 3</v>
      </c>
      <c r="L1778" s="28" t="str">
        <f t="array" ref="L1778">_xlfn.XLOOKUP($A1778, 'Hospitalisation Details'!$A:$A, 'Hospitalisation Details'!J:J, "No Data")</f>
        <v>R1012</v>
      </c>
      <c r="M1778" s="28" t="str">
        <f t="array" ref="M1778">_xlfn.XLOOKUP($A1778, 'Hospitalisation Details'!$A:$A, 'Hospitalisation Details'!E:E, "No Data")</f>
        <v>23/09/88</v>
      </c>
      <c r="N1778" s="28">
        <f t="array" ref="N1778">_xlfn.XLOOKUP($A1778, 'Hospitalisation Details'!$A:$A, 'Hospitalisation Details'!K:K, "No Data")</f>
        <v>34</v>
      </c>
      <c r="O1778" s="33">
        <f t="array" ref="O1778">_xlfn.XLOOKUP($A1778, 'Hospitalisation Details'!$A:$A, 'Hospitalisation Details'!G:G, "No Data")</f>
        <v>4894.75</v>
      </c>
      <c r="P1778" s="28" t="str">
        <f t="array" ref="P1778">_xlfn.XLOOKUP($A1778, 'Hospitalisation Details'!$A:$A, 'Hospitalisation Details'!H:H, "No Data")</f>
        <v>tier - 3</v>
      </c>
    </row>
    <row r="1779">
      <c r="A1779" s="25" t="s">
        <v>3806</v>
      </c>
      <c r="B1779" s="28" t="str">
        <f t="array" ref="B1779">_xlfn.XLOOKUP($A1779, 'Customer Names'!$A:$A, 'Customer Names'!B:B, "No Data")</f>
        <v>Reasoner</v>
      </c>
      <c r="C1779" s="28">
        <f t="array" ref="C1779">_xlfn.XLOOKUP($A1779, 'Medical Examinations'!$A:$A, 'Medical Examinations'!B:B, "No Data")</f>
        <v>24.24</v>
      </c>
      <c r="D1779" s="28">
        <f t="array" ref="D1779">_xlfn.XLOOKUP($A1779, 'Medical Examinations'!$A:$A, 'Medical Examinations'!C:C, "No Data")</f>
        <v>6.15</v>
      </c>
      <c r="E1779" s="28" t="str">
        <f t="array" ref="E1779">_xlfn.XLOOKUP($A1779, 'Medical Examinations'!$A:$A, 'Medical Examinations'!D:D, "No Data")</f>
        <v>No</v>
      </c>
      <c r="F1779" s="28" t="str">
        <f t="array" ref="F1779">_xlfn.XLOOKUP($A1779, 'Medical Examinations'!$A:$A, 'Medical Examinations'!E:E, "No Data")</f>
        <v>No</v>
      </c>
      <c r="G1779" s="28" t="str">
        <f t="array" ref="G1779">_xlfn.XLOOKUP($A1779, 'Medical Examinations'!$A:$A, 'Medical Examinations'!F:F, "No Data")</f>
        <v>No</v>
      </c>
      <c r="H1779" s="28">
        <f t="array" ref="H1779">_xlfn.XLOOKUP($A1779, 'Medical Examinations'!$A:$A, 'Medical Examinations'!G:G, "No Data")</f>
        <v>0</v>
      </c>
      <c r="I1779" s="28" t="str">
        <f t="array" ref="I1779">_xlfn.XLOOKUP($A1779, 'Medical Examinations'!$A:$A, 'Medical Examinations'!H:H, "No Data")</f>
        <v>No</v>
      </c>
      <c r="J1779" s="28" t="str">
        <f t="array" ref="J1779">_xlfn.XLOOKUP($A1779, 'Medical Examinations'!$A:$A, 'Medical Examinations'!I:I, "No Data")</f>
        <v>Normal Weight</v>
      </c>
      <c r="K1779" s="28" t="str">
        <f t="array" ref="K1779">_xlfn.XLOOKUP($A1779, 'Hospitalisation Details'!$A:$A, 'Hospitalisation Details'!I:I, "No Data")</f>
        <v>tier - 3</v>
      </c>
      <c r="L1779" s="28" t="str">
        <f t="array" ref="L1779">_xlfn.XLOOKUP($A1779, 'Hospitalisation Details'!$A:$A, 'Hospitalisation Details'!J:J, "No Data")</f>
        <v>R1013</v>
      </c>
      <c r="M1779" s="28" t="str">
        <f t="array" ref="M1779">_xlfn.XLOOKUP($A1779, 'Hospitalisation Details'!$A:$A, 'Hospitalisation Details'!E:E, "No Data")</f>
        <v>28/11/90</v>
      </c>
      <c r="N1779" s="28">
        <f t="array" ref="N1779">_xlfn.XLOOKUP($A1779, 'Hospitalisation Details'!$A:$A, 'Hospitalisation Details'!K:K, "No Data")</f>
        <v>32</v>
      </c>
      <c r="O1779" s="33">
        <f t="array" ref="O1779">_xlfn.XLOOKUP($A1779, 'Hospitalisation Details'!$A:$A, 'Hospitalisation Details'!G:G, "No Data")</f>
        <v>4894.39</v>
      </c>
      <c r="P1779" s="28" t="str">
        <f t="array" ref="P1779">_xlfn.XLOOKUP($A1779, 'Hospitalisation Details'!$A:$A, 'Hospitalisation Details'!H:H, "No Data")</f>
        <v>tier - 2</v>
      </c>
    </row>
    <row r="1780">
      <c r="A1780" s="25" t="s">
        <v>3802</v>
      </c>
      <c r="B1780" s="28" t="str">
        <f t="array" ref="B1780">_xlfn.XLOOKUP($A1780, 'Customer Names'!$A:$A, 'Customer Names'!B:B, "No Data")</f>
        <v>Mone</v>
      </c>
      <c r="C1780" s="28">
        <f t="array" ref="C1780">_xlfn.XLOOKUP($A1780, 'Medical Examinations'!$A:$A, 'Medical Examinations'!B:B, "No Data")</f>
        <v>35.75</v>
      </c>
      <c r="D1780" s="28">
        <f t="array" ref="D1780">_xlfn.XLOOKUP($A1780, 'Medical Examinations'!$A:$A, 'Medical Examinations'!C:C, "No Data")</f>
        <v>5.07</v>
      </c>
      <c r="E1780" s="28" t="str">
        <f t="array" ref="E1780">_xlfn.XLOOKUP($A1780, 'Medical Examinations'!$A:$A, 'Medical Examinations'!D:D, "No Data")</f>
        <v>No</v>
      </c>
      <c r="F1780" s="28" t="str">
        <f t="array" ref="F1780">_xlfn.XLOOKUP($A1780, 'Medical Examinations'!$A:$A, 'Medical Examinations'!E:E, "No Data")</f>
        <v>No</v>
      </c>
      <c r="G1780" s="28" t="str">
        <f t="array" ref="G1780">_xlfn.XLOOKUP($A1780, 'Medical Examinations'!$A:$A, 'Medical Examinations'!F:F, "No Data")</f>
        <v>No</v>
      </c>
      <c r="H1780" s="28">
        <f t="array" ref="H1780">_xlfn.XLOOKUP($A1780, 'Medical Examinations'!$A:$A, 'Medical Examinations'!G:G, "No Data")</f>
        <v>0</v>
      </c>
      <c r="I1780" s="28" t="str">
        <f t="array" ref="I1780">_xlfn.XLOOKUP($A1780, 'Medical Examinations'!$A:$A, 'Medical Examinations'!H:H, "No Data")</f>
        <v>No</v>
      </c>
      <c r="J1780" s="28" t="str">
        <f t="array" ref="J1780">_xlfn.XLOOKUP($A1780, 'Medical Examinations'!$A:$A, 'Medical Examinations'!I:I, "No Data")</f>
        <v>Obesity</v>
      </c>
      <c r="K1780" s="28" t="str">
        <f t="array" ref="K1780">_xlfn.XLOOKUP($A1780, 'Hospitalisation Details'!$A:$A, 'Hospitalisation Details'!I:I, "No Data")</f>
        <v>tier - 2</v>
      </c>
      <c r="L1780" s="28" t="str">
        <f t="array" ref="L1780">_xlfn.XLOOKUP($A1780, 'Hospitalisation Details'!$A:$A, 'Hospitalisation Details'!J:J, "No Data")</f>
        <v>R1013</v>
      </c>
      <c r="M1780" s="28" t="str">
        <f t="array" ref="M1780">_xlfn.XLOOKUP($A1780, 'Hospitalisation Details'!$A:$A, 'Hospitalisation Details'!E:E, "No Data")</f>
        <v>10/07/89</v>
      </c>
      <c r="N1780" s="28">
        <f t="array" ref="N1780">_xlfn.XLOOKUP($A1780, 'Hospitalisation Details'!$A:$A, 'Hospitalisation Details'!K:K, "No Data")</f>
        <v>33</v>
      </c>
      <c r="O1780" s="33">
        <f t="array" ref="O1780">_xlfn.XLOOKUP($A1780, 'Hospitalisation Details'!$A:$A, 'Hospitalisation Details'!G:G, "No Data")</f>
        <v>4890</v>
      </c>
      <c r="P1780" s="28" t="str">
        <f t="array" ref="P1780">_xlfn.XLOOKUP($A1780, 'Hospitalisation Details'!$A:$A, 'Hospitalisation Details'!H:H, "No Data")</f>
        <v>tier - 3</v>
      </c>
    </row>
    <row r="1781">
      <c r="A1781" s="25" t="s">
        <v>3797</v>
      </c>
      <c r="B1781" s="28" t="str">
        <f t="array" ref="B1781">_xlfn.XLOOKUP($A1781, 'Customer Names'!$A:$A, 'Customer Names'!B:B, "No Data")</f>
        <v>Powers</v>
      </c>
      <c r="C1781" s="28">
        <f t="array" ref="C1781">_xlfn.XLOOKUP($A1781, 'Medical Examinations'!$A:$A, 'Medical Examinations'!B:B, "No Data")</f>
        <v>29.92</v>
      </c>
      <c r="D1781" s="28">
        <f t="array" ref="D1781">_xlfn.XLOOKUP($A1781, 'Medical Examinations'!$A:$A, 'Medical Examinations'!C:C, "No Data")</f>
        <v>10.97</v>
      </c>
      <c r="E1781" s="28" t="str">
        <f t="array" ref="E1781">_xlfn.XLOOKUP($A1781, 'Medical Examinations'!$A:$A, 'Medical Examinations'!D:D, "No Data")</f>
        <v>yes</v>
      </c>
      <c r="F1781" s="28" t="str">
        <f t="array" ref="F1781">_xlfn.XLOOKUP($A1781, 'Medical Examinations'!$A:$A, 'Medical Examinations'!E:E, "No Data")</f>
        <v>No</v>
      </c>
      <c r="G1781" s="28" t="str">
        <f t="array" ref="G1781">_xlfn.XLOOKUP($A1781, 'Medical Examinations'!$A:$A, 'Medical Examinations'!F:F, "No Data")</f>
        <v>No</v>
      </c>
      <c r="H1781" s="28">
        <f t="array" ref="H1781">_xlfn.XLOOKUP($A1781, 'Medical Examinations'!$A:$A, 'Medical Examinations'!G:G, "No Data")</f>
        <v>1</v>
      </c>
      <c r="I1781" s="28" t="str">
        <f t="array" ref="I1781">_xlfn.XLOOKUP($A1781, 'Medical Examinations'!$A:$A, 'Medical Examinations'!H:H, "No Data")</f>
        <v>No</v>
      </c>
      <c r="J1781" s="28" t="str">
        <f t="array" ref="J1781">_xlfn.XLOOKUP($A1781, 'Medical Examinations'!$A:$A, 'Medical Examinations'!I:I, "No Data")</f>
        <v>Overweight</v>
      </c>
      <c r="K1781" s="28" t="str">
        <f t="array" ref="K1781">_xlfn.XLOOKUP($A1781, 'Hospitalisation Details'!$A:$A, 'Hospitalisation Details'!I:I, "No Data")</f>
        <v>tier - 1</v>
      </c>
      <c r="L1781" s="28" t="str">
        <f t="array" ref="L1781">_xlfn.XLOOKUP($A1781, 'Hospitalisation Details'!$A:$A, 'Hospitalisation Details'!J:J, "No Data")</f>
        <v>R1013</v>
      </c>
      <c r="M1781" s="28" t="str">
        <f t="array" ref="M1781">_xlfn.XLOOKUP($A1781, 'Hospitalisation Details'!$A:$A, 'Hospitalisation Details'!E:E, "No Data")</f>
        <v>27/10/86</v>
      </c>
      <c r="N1781" s="28">
        <f t="array" ref="N1781">_xlfn.XLOOKUP($A1781, 'Hospitalisation Details'!$A:$A, 'Hospitalisation Details'!K:K, "No Data")</f>
        <v>36</v>
      </c>
      <c r="O1781" s="33">
        <f t="array" ref="O1781">_xlfn.XLOOKUP($A1781, 'Hospitalisation Details'!$A:$A, 'Hospitalisation Details'!G:G, "No Data")</f>
        <v>4889.04</v>
      </c>
      <c r="P1781" s="28" t="str">
        <f t="array" ref="P1781">_xlfn.XLOOKUP($A1781, 'Hospitalisation Details'!$A:$A, 'Hospitalisation Details'!H:H, "No Data")</f>
        <v>tier - 2</v>
      </c>
    </row>
    <row r="1782">
      <c r="A1782" s="25" t="s">
        <v>3793</v>
      </c>
      <c r="B1782" s="28" t="str">
        <f t="array" ref="B1782">_xlfn.XLOOKUP($A1782, 'Customer Names'!$A:$A, 'Customer Names'!B:B, "No Data")</f>
        <v>Ulery</v>
      </c>
      <c r="C1782" s="28">
        <f t="array" ref="C1782">_xlfn.XLOOKUP($A1782, 'Medical Examinations'!$A:$A, 'Medical Examinations'!B:B, "No Data")</f>
        <v>26.2</v>
      </c>
      <c r="D1782" s="28">
        <f t="array" ref="D1782">_xlfn.XLOOKUP($A1782, 'Medical Examinations'!$A:$A, 'Medical Examinations'!C:C, "No Data")</f>
        <v>10.93</v>
      </c>
      <c r="E1782" s="28" t="str">
        <f t="array" ref="E1782">_xlfn.XLOOKUP($A1782, 'Medical Examinations'!$A:$A, 'Medical Examinations'!D:D, "No Data")</f>
        <v>yes</v>
      </c>
      <c r="F1782" s="28" t="str">
        <f t="array" ref="F1782">_xlfn.XLOOKUP($A1782, 'Medical Examinations'!$A:$A, 'Medical Examinations'!E:E, "No Data")</f>
        <v>No</v>
      </c>
      <c r="G1782" s="28" t="str">
        <f t="array" ref="G1782">_xlfn.XLOOKUP($A1782, 'Medical Examinations'!$A:$A, 'Medical Examinations'!F:F, "No Data")</f>
        <v>No</v>
      </c>
      <c r="H1782" s="28">
        <f t="array" ref="H1782">_xlfn.XLOOKUP($A1782, 'Medical Examinations'!$A:$A, 'Medical Examinations'!G:G, "No Data")</f>
        <v>1</v>
      </c>
      <c r="I1782" s="28" t="str">
        <f t="array" ref="I1782">_xlfn.XLOOKUP($A1782, 'Medical Examinations'!$A:$A, 'Medical Examinations'!H:H, "No Data")</f>
        <v>No</v>
      </c>
      <c r="J1782" s="28" t="str">
        <f t="array" ref="J1782">_xlfn.XLOOKUP($A1782, 'Medical Examinations'!$A:$A, 'Medical Examinations'!I:I, "No Data")</f>
        <v>Overweight</v>
      </c>
      <c r="K1782" s="28" t="str">
        <f t="array" ref="K1782">_xlfn.XLOOKUP($A1782, 'Hospitalisation Details'!$A:$A, 'Hospitalisation Details'!I:I, "No Data")</f>
        <v>tier - 1</v>
      </c>
      <c r="L1782" s="28" t="str">
        <f t="array" ref="L1782">_xlfn.XLOOKUP($A1782, 'Hospitalisation Details'!$A:$A, 'Hospitalisation Details'!J:J, "No Data")</f>
        <v>R1011</v>
      </c>
      <c r="M1782" s="28" t="str">
        <f t="array" ref="M1782">_xlfn.XLOOKUP($A1782, 'Hospitalisation Details'!$A:$A, 'Hospitalisation Details'!E:E, "No Data")</f>
        <v>23/12/86</v>
      </c>
      <c r="N1782" s="28">
        <f t="array" ref="N1782">_xlfn.XLOOKUP($A1782, 'Hospitalisation Details'!$A:$A, 'Hospitalisation Details'!K:K, "No Data")</f>
        <v>36</v>
      </c>
      <c r="O1782" s="33">
        <f t="array" ref="O1782">_xlfn.XLOOKUP($A1782, 'Hospitalisation Details'!$A:$A, 'Hospitalisation Details'!G:G, "No Data")</f>
        <v>4883.87</v>
      </c>
      <c r="P1782" s="28" t="str">
        <f t="array" ref="P1782">_xlfn.XLOOKUP($A1782, 'Hospitalisation Details'!$A:$A, 'Hospitalisation Details'!H:H, "No Data")</f>
        <v>tier - 2</v>
      </c>
    </row>
    <row r="1783">
      <c r="A1783" s="25" t="s">
        <v>3790</v>
      </c>
      <c r="B1783" s="28" t="str">
        <f t="array" ref="B1783">_xlfn.XLOOKUP($A1783, 'Customer Names'!$A:$A, 'Customer Names'!B:B, "No Data")</f>
        <v>Haines</v>
      </c>
      <c r="C1783" s="28">
        <f t="array" ref="C1783">_xlfn.XLOOKUP($A1783, 'Medical Examinations'!$A:$A, 'Medical Examinations'!B:B, "No Data")</f>
        <v>26.695</v>
      </c>
      <c r="D1783" s="28">
        <f t="array" ref="D1783">_xlfn.XLOOKUP($A1783, 'Medical Examinations'!$A:$A, 'Medical Examinations'!C:C, "No Data")</f>
        <v>4.21</v>
      </c>
      <c r="E1783" s="28" t="str">
        <f t="array" ref="E1783">_xlfn.XLOOKUP($A1783, 'Medical Examinations'!$A:$A, 'Medical Examinations'!D:D, "No Data")</f>
        <v>yes</v>
      </c>
      <c r="F1783" s="28" t="str">
        <f t="array" ref="F1783">_xlfn.XLOOKUP($A1783, 'Medical Examinations'!$A:$A, 'Medical Examinations'!E:E, "No Data")</f>
        <v>No</v>
      </c>
      <c r="G1783" s="28" t="str">
        <f t="array" ref="G1783">_xlfn.XLOOKUP($A1783, 'Medical Examinations'!$A:$A, 'Medical Examinations'!F:F, "No Data")</f>
        <v>Yes</v>
      </c>
      <c r="H1783" s="28">
        <f t="array" ref="H1783">_xlfn.XLOOKUP($A1783, 'Medical Examinations'!$A:$A, 'Medical Examinations'!G:G, "No Data")</f>
        <v>1</v>
      </c>
      <c r="I1783" s="28" t="str">
        <f t="array" ref="I1783">_xlfn.XLOOKUP($A1783, 'Medical Examinations'!$A:$A, 'Medical Examinations'!H:H, "No Data")</f>
        <v>No</v>
      </c>
      <c r="J1783" s="28" t="str">
        <f t="array" ref="J1783">_xlfn.XLOOKUP($A1783, 'Medical Examinations'!$A:$A, 'Medical Examinations'!I:I, "No Data")</f>
        <v>Overweight</v>
      </c>
      <c r="K1783" s="28" t="str">
        <f t="array" ref="K1783">_xlfn.XLOOKUP($A1783, 'Hospitalisation Details'!$A:$A, 'Hospitalisation Details'!I:I, "No Data")</f>
        <v>tier - 3</v>
      </c>
      <c r="L1783" s="28" t="str">
        <f t="array" ref="L1783">_xlfn.XLOOKUP($A1783, 'Hospitalisation Details'!$A:$A, 'Hospitalisation Details'!J:J, "No Data")</f>
        <v>R1012</v>
      </c>
      <c r="M1783" s="28" t="str">
        <f t="array" ref="M1783">_xlfn.XLOOKUP($A1783, 'Hospitalisation Details'!$A:$A, 'Hospitalisation Details'!E:E, "No Data")</f>
        <v>29/09/97</v>
      </c>
      <c r="N1783" s="28">
        <f t="array" ref="N1783">_xlfn.XLOOKUP($A1783, 'Hospitalisation Details'!$A:$A, 'Hospitalisation Details'!K:K, "No Data")</f>
        <v>25</v>
      </c>
      <c r="O1783" s="33">
        <f t="array" ref="O1783">_xlfn.XLOOKUP($A1783, 'Hospitalisation Details'!$A:$A, 'Hospitalisation Details'!G:G, "No Data")</f>
        <v>4877.98</v>
      </c>
      <c r="P1783" s="28" t="str">
        <f t="array" ref="P1783">_xlfn.XLOOKUP($A1783, 'Hospitalisation Details'!$A:$A, 'Hospitalisation Details'!H:H, "No Data")</f>
        <v>tier - 2</v>
      </c>
    </row>
    <row r="1784">
      <c r="A1784" s="25" t="s">
        <v>3786</v>
      </c>
      <c r="B1784" s="28" t="str">
        <f t="array" ref="B1784">_xlfn.XLOOKUP($A1784, 'Customer Names'!$A:$A, 'Customer Names'!B:B, "No Data")</f>
        <v>Airoldi</v>
      </c>
      <c r="C1784" s="28">
        <f t="array" ref="C1784">_xlfn.XLOOKUP($A1784, 'Medical Examinations'!$A:$A, 'Medical Examinations'!B:B, "No Data")</f>
        <v>23.16</v>
      </c>
      <c r="D1784" s="28">
        <f t="array" ref="D1784">_xlfn.XLOOKUP($A1784, 'Medical Examinations'!$A:$A, 'Medical Examinations'!C:C, "No Data")</f>
        <v>5.5</v>
      </c>
      <c r="E1784" s="28" t="str">
        <f t="array" ref="E1784">_xlfn.XLOOKUP($A1784, 'Medical Examinations'!$A:$A, 'Medical Examinations'!D:D, "No Data")</f>
        <v>No</v>
      </c>
      <c r="F1784" s="28" t="str">
        <f t="array" ref="F1784">_xlfn.XLOOKUP($A1784, 'Medical Examinations'!$A:$A, 'Medical Examinations'!E:E, "No Data")</f>
        <v>No</v>
      </c>
      <c r="G1784" s="28" t="str">
        <f t="array" ref="G1784">_xlfn.XLOOKUP($A1784, 'Medical Examinations'!$A:$A, 'Medical Examinations'!F:F, "No Data")</f>
        <v>No</v>
      </c>
      <c r="H1784" s="28">
        <f t="array" ref="H1784">_xlfn.XLOOKUP($A1784, 'Medical Examinations'!$A:$A, 'Medical Examinations'!G:G, "No Data")</f>
        <v>0</v>
      </c>
      <c r="I1784" s="28" t="str">
        <f t="array" ref="I1784">_xlfn.XLOOKUP($A1784, 'Medical Examinations'!$A:$A, 'Medical Examinations'!H:H, "No Data")</f>
        <v>No</v>
      </c>
      <c r="J1784" s="28" t="str">
        <f t="array" ref="J1784">_xlfn.XLOOKUP($A1784, 'Medical Examinations'!$A:$A, 'Medical Examinations'!I:I, "No Data")</f>
        <v>Normal Weight</v>
      </c>
      <c r="K1784" s="28" t="str">
        <f t="array" ref="K1784">_xlfn.XLOOKUP($A1784, 'Hospitalisation Details'!$A:$A, 'Hospitalisation Details'!I:I, "No Data")</f>
        <v>tier - 3</v>
      </c>
      <c r="L1784" s="28" t="str">
        <f t="array" ref="L1784">_xlfn.XLOOKUP($A1784, 'Hospitalisation Details'!$A:$A, 'Hospitalisation Details'!J:J, "No Data")</f>
        <v>R1011</v>
      </c>
      <c r="M1784" s="28" t="str">
        <f t="array" ref="M1784">_xlfn.XLOOKUP($A1784, 'Hospitalisation Details'!$A:$A, 'Hospitalisation Details'!E:E, "No Data")</f>
        <v>01/09/89</v>
      </c>
      <c r="N1784" s="28">
        <f t="array" ref="N1784">_xlfn.XLOOKUP($A1784, 'Hospitalisation Details'!$A:$A, 'Hospitalisation Details'!K:K, "No Data")</f>
        <v>33</v>
      </c>
      <c r="O1784" s="33">
        <f t="array" ref="O1784">_xlfn.XLOOKUP($A1784, 'Hospitalisation Details'!$A:$A, 'Hospitalisation Details'!G:G, "No Data")</f>
        <v>4859.89</v>
      </c>
      <c r="P1784" s="28" t="str">
        <f t="array" ref="P1784">_xlfn.XLOOKUP($A1784, 'Hospitalisation Details'!$A:$A, 'Hospitalisation Details'!H:H, "No Data")</f>
        <v>tier - 2</v>
      </c>
    </row>
    <row r="1785">
      <c r="A1785" s="25" t="s">
        <v>3782</v>
      </c>
      <c r="B1785" s="28" t="str">
        <f t="array" ref="B1785">_xlfn.XLOOKUP($A1785, 'Customer Names'!$A:$A, 'Customer Names'!B:B, "No Data")</f>
        <v>Mattis</v>
      </c>
      <c r="C1785" s="28">
        <f t="array" ref="C1785">_xlfn.XLOOKUP($A1785, 'Medical Examinations'!$A:$A, 'Medical Examinations'!B:B, "No Data")</f>
        <v>32.585</v>
      </c>
      <c r="D1785" s="28">
        <f t="array" ref="D1785">_xlfn.XLOOKUP($A1785, 'Medical Examinations'!$A:$A, 'Medical Examinations'!C:C, "No Data")</f>
        <v>4.93</v>
      </c>
      <c r="E1785" s="28" t="str">
        <f t="array" ref="E1785">_xlfn.XLOOKUP($A1785, 'Medical Examinations'!$A:$A, 'Medical Examinations'!D:D, "No Data")</f>
        <v>yes</v>
      </c>
      <c r="F1785" s="28" t="str">
        <f t="array" ref="F1785">_xlfn.XLOOKUP($A1785, 'Medical Examinations'!$A:$A, 'Medical Examinations'!E:E, "No Data")</f>
        <v>No</v>
      </c>
      <c r="G1785" s="28" t="str">
        <f t="array" ref="G1785">_xlfn.XLOOKUP($A1785, 'Medical Examinations'!$A:$A, 'Medical Examinations'!F:F, "No Data")</f>
        <v>No</v>
      </c>
      <c r="H1785" s="28">
        <f t="array" ref="H1785">_xlfn.XLOOKUP($A1785, 'Medical Examinations'!$A:$A, 'Medical Examinations'!G:G, "No Data")</f>
        <v>1</v>
      </c>
      <c r="I1785" s="28" t="str">
        <f t="array" ref="I1785">_xlfn.XLOOKUP($A1785, 'Medical Examinations'!$A:$A, 'Medical Examinations'!H:H, "No Data")</f>
        <v>No</v>
      </c>
      <c r="J1785" s="28" t="str">
        <f t="array" ref="J1785">_xlfn.XLOOKUP($A1785, 'Medical Examinations'!$A:$A, 'Medical Examinations'!I:I, "No Data")</f>
        <v>Obesity</v>
      </c>
      <c r="K1785" s="28" t="str">
        <f t="array" ref="K1785">_xlfn.XLOOKUP($A1785, 'Hospitalisation Details'!$A:$A, 'Hospitalisation Details'!I:I, "No Data")</f>
        <v>tier - 3</v>
      </c>
      <c r="L1785" s="28" t="str">
        <f t="array" ref="L1785">_xlfn.XLOOKUP($A1785, 'Hospitalisation Details'!$A:$A, 'Hospitalisation Details'!J:J, "No Data")</f>
        <v>R1017</v>
      </c>
      <c r="M1785" s="28" t="str">
        <f t="array" ref="M1785">_xlfn.XLOOKUP($A1785, 'Hospitalisation Details'!$A:$A, 'Hospitalisation Details'!E:E, "No Data")</f>
        <v>27/12/95</v>
      </c>
      <c r="N1785" s="28">
        <f t="array" ref="N1785">_xlfn.XLOOKUP($A1785, 'Hospitalisation Details'!$A:$A, 'Hospitalisation Details'!K:K, "No Data")</f>
        <v>27</v>
      </c>
      <c r="O1785" s="33">
        <f t="array" ref="O1785">_xlfn.XLOOKUP($A1785, 'Hospitalisation Details'!$A:$A, 'Hospitalisation Details'!G:G, "No Data")</f>
        <v>4846.92</v>
      </c>
      <c r="P1785" s="28" t="str">
        <f t="array" ref="P1785">_xlfn.XLOOKUP($A1785, 'Hospitalisation Details'!$A:$A, 'Hospitalisation Details'!H:H, "No Data")</f>
        <v>tier - 2</v>
      </c>
    </row>
    <row r="1786">
      <c r="A1786" s="25" t="s">
        <v>3778</v>
      </c>
      <c r="B1786" s="28" t="str">
        <f t="array" ref="B1786">_xlfn.XLOOKUP($A1786, 'Customer Names'!$A:$A, 'Customer Names'!B:B, "No Data")</f>
        <v>Cho</v>
      </c>
      <c r="C1786" s="28">
        <f t="array" ref="C1786">_xlfn.XLOOKUP($A1786, 'Medical Examinations'!$A:$A, 'Medical Examinations'!B:B, "No Data")</f>
        <v>33.97</v>
      </c>
      <c r="D1786" s="28">
        <f t="array" ref="D1786">_xlfn.XLOOKUP($A1786, 'Medical Examinations'!$A:$A, 'Medical Examinations'!C:C, "No Data")</f>
        <v>5.6</v>
      </c>
      <c r="E1786" s="28" t="str">
        <f t="array" ref="E1786">_xlfn.XLOOKUP($A1786, 'Medical Examinations'!$A:$A, 'Medical Examinations'!D:D, "No Data")</f>
        <v>yes</v>
      </c>
      <c r="F1786" s="28" t="str">
        <f t="array" ref="F1786">_xlfn.XLOOKUP($A1786, 'Medical Examinations'!$A:$A, 'Medical Examinations'!E:E, "No Data")</f>
        <v>No</v>
      </c>
      <c r="G1786" s="28" t="str">
        <f t="array" ref="G1786">_xlfn.XLOOKUP($A1786, 'Medical Examinations'!$A:$A, 'Medical Examinations'!F:F, "No Data")</f>
        <v>No</v>
      </c>
      <c r="H1786" s="28">
        <f t="array" ref="H1786">_xlfn.XLOOKUP($A1786, 'Medical Examinations'!$A:$A, 'Medical Examinations'!G:G, "No Data")</f>
        <v>0</v>
      </c>
      <c r="I1786" s="28" t="str">
        <f t="array" ref="I1786">_xlfn.XLOOKUP($A1786, 'Medical Examinations'!$A:$A, 'Medical Examinations'!H:H, "No Data")</f>
        <v>No</v>
      </c>
      <c r="J1786" s="28" t="str">
        <f t="array" ref="J1786">_xlfn.XLOOKUP($A1786, 'Medical Examinations'!$A:$A, 'Medical Examinations'!I:I, "No Data")</f>
        <v>Obesity</v>
      </c>
      <c r="K1786" s="28" t="str">
        <f t="array" ref="K1786">_xlfn.XLOOKUP($A1786, 'Hospitalisation Details'!$A:$A, 'Hospitalisation Details'!I:I, "No Data")</f>
        <v>tier - 3</v>
      </c>
      <c r="L1786" s="28" t="str">
        <f t="array" ref="L1786">_xlfn.XLOOKUP($A1786, 'Hospitalisation Details'!$A:$A, 'Hospitalisation Details'!J:J, "No Data")</f>
        <v>R1021</v>
      </c>
      <c r="M1786" s="28" t="str">
        <f t="array" ref="M1786">_xlfn.XLOOKUP($A1786, 'Hospitalisation Details'!$A:$A, 'Hospitalisation Details'!E:E, "No Data")</f>
        <v>07/06/01</v>
      </c>
      <c r="N1786" s="28">
        <f t="array" ref="N1786">_xlfn.XLOOKUP($A1786, 'Hospitalisation Details'!$A:$A, 'Hospitalisation Details'!K:K, "No Data")</f>
        <v>22</v>
      </c>
      <c r="O1786" s="33">
        <f t="array" ref="O1786">_xlfn.XLOOKUP($A1786, 'Hospitalisation Details'!$A:$A, 'Hospitalisation Details'!G:G, "No Data")</f>
        <v>4846.53</v>
      </c>
      <c r="P1786" s="28" t="str">
        <f t="array" ref="P1786">_xlfn.XLOOKUP($A1786, 'Hospitalisation Details'!$A:$A, 'Hospitalisation Details'!H:H, "No Data")</f>
        <v>tier - 2</v>
      </c>
    </row>
    <row r="1787">
      <c r="A1787" s="25" t="s">
        <v>3774</v>
      </c>
      <c r="B1787" s="28" t="str">
        <f t="array" ref="B1787">_xlfn.XLOOKUP($A1787, 'Customer Names'!$A:$A, 'Customer Names'!B:B, "No Data")</f>
        <v>Reumann</v>
      </c>
      <c r="C1787" s="28">
        <f t="array" ref="C1787">_xlfn.XLOOKUP($A1787, 'Medical Examinations'!$A:$A, 'Medical Examinations'!B:B, "No Data")</f>
        <v>16.57</v>
      </c>
      <c r="D1787" s="28">
        <f t="array" ref="D1787">_xlfn.XLOOKUP($A1787, 'Medical Examinations'!$A:$A, 'Medical Examinations'!C:C, "No Data")</f>
        <v>9.99</v>
      </c>
      <c r="E1787" s="28" t="str">
        <f t="array" ref="E1787">_xlfn.XLOOKUP($A1787, 'Medical Examinations'!$A:$A, 'Medical Examinations'!D:D, "No Data")</f>
        <v>No</v>
      </c>
      <c r="F1787" s="28" t="str">
        <f t="array" ref="F1787">_xlfn.XLOOKUP($A1787, 'Medical Examinations'!$A:$A, 'Medical Examinations'!E:E, "No Data")</f>
        <v>No</v>
      </c>
      <c r="G1787" s="28" t="str">
        <f t="array" ref="G1787">_xlfn.XLOOKUP($A1787, 'Medical Examinations'!$A:$A, 'Medical Examinations'!F:F, "No Data")</f>
        <v>No</v>
      </c>
      <c r="H1787" s="28">
        <f t="array" ref="H1787">_xlfn.XLOOKUP($A1787, 'Medical Examinations'!$A:$A, 'Medical Examinations'!G:G, "No Data")</f>
        <v>0</v>
      </c>
      <c r="I1787" s="28" t="str">
        <f t="array" ref="I1787">_xlfn.XLOOKUP($A1787, 'Medical Examinations'!$A:$A, 'Medical Examinations'!H:H, "No Data")</f>
        <v>No</v>
      </c>
      <c r="J1787" s="28" t="str">
        <f t="array" ref="J1787">_xlfn.XLOOKUP($A1787, 'Medical Examinations'!$A:$A, 'Medical Examinations'!I:I, "No Data")</f>
        <v>Underweight</v>
      </c>
      <c r="K1787" s="28" t="str">
        <f t="array" ref="K1787">_xlfn.XLOOKUP($A1787, 'Hospitalisation Details'!$A:$A, 'Hospitalisation Details'!I:I, "No Data")</f>
        <v>tier - 2</v>
      </c>
      <c r="L1787" s="28" t="str">
        <f t="array" ref="L1787">_xlfn.XLOOKUP($A1787, 'Hospitalisation Details'!$A:$A, 'Hospitalisation Details'!J:J, "No Data")</f>
        <v>R1013</v>
      </c>
      <c r="M1787" s="28" t="str">
        <f t="array" ref="M1787">_xlfn.XLOOKUP($A1787, 'Hospitalisation Details'!$A:$A, 'Hospitalisation Details'!E:E, "No Data")</f>
        <v>11/09/74</v>
      </c>
      <c r="N1787" s="28">
        <f t="array" ref="N1787">_xlfn.XLOOKUP($A1787, 'Hospitalisation Details'!$A:$A, 'Hospitalisation Details'!K:K, "No Data")</f>
        <v>48</v>
      </c>
      <c r="O1787" s="33">
        <f t="array" ref="O1787">_xlfn.XLOOKUP($A1787, 'Hospitalisation Details'!$A:$A, 'Hospitalisation Details'!G:G, "No Data")</f>
        <v>4844.67</v>
      </c>
      <c r="P1787" s="28" t="str">
        <f t="array" ref="P1787">_xlfn.XLOOKUP($A1787, 'Hospitalisation Details'!$A:$A, 'Hospitalisation Details'!H:H, "No Data")</f>
        <v>tier - 2</v>
      </c>
    </row>
    <row r="1788">
      <c r="A1788" s="25" t="s">
        <v>3772</v>
      </c>
      <c r="B1788" s="28" t="str">
        <f t="array" ref="B1788">_xlfn.XLOOKUP($A1788, 'Customer Names'!$A:$A, 'Customer Names'!B:B, "No Data")</f>
        <v>Cooper</v>
      </c>
      <c r="C1788" s="28">
        <f t="array" ref="C1788">_xlfn.XLOOKUP($A1788, 'Medical Examinations'!$A:$A, 'Medical Examinations'!B:B, "No Data")</f>
        <v>17.55</v>
      </c>
      <c r="D1788" s="28">
        <f t="array" ref="D1788">_xlfn.XLOOKUP($A1788, 'Medical Examinations'!$A:$A, 'Medical Examinations'!C:C, "No Data")</f>
        <v>5.93</v>
      </c>
      <c r="E1788" s="28" t="str">
        <f t="array" ref="E1788">_xlfn.XLOOKUP($A1788, 'Medical Examinations'!$A:$A, 'Medical Examinations'!D:D, "No Data")</f>
        <v>No</v>
      </c>
      <c r="F1788" s="28" t="str">
        <f t="array" ref="F1788">_xlfn.XLOOKUP($A1788, 'Medical Examinations'!$A:$A, 'Medical Examinations'!E:E, "No Data")</f>
        <v>No</v>
      </c>
      <c r="G1788" s="28" t="str">
        <f t="array" ref="G1788">_xlfn.XLOOKUP($A1788, 'Medical Examinations'!$A:$A, 'Medical Examinations'!F:F, "No Data")</f>
        <v>Yes</v>
      </c>
      <c r="H1788" s="28">
        <f t="array" ref="H1788">_xlfn.XLOOKUP($A1788, 'Medical Examinations'!$A:$A, 'Medical Examinations'!G:G, "No Data")</f>
        <v>1</v>
      </c>
      <c r="I1788" s="28" t="str">
        <f t="array" ref="I1788">_xlfn.XLOOKUP($A1788, 'Medical Examinations'!$A:$A, 'Medical Examinations'!H:H, "No Data")</f>
        <v>No</v>
      </c>
      <c r="J1788" s="28" t="str">
        <f t="array" ref="J1788">_xlfn.XLOOKUP($A1788, 'Medical Examinations'!$A:$A, 'Medical Examinations'!I:I, "No Data")</f>
        <v>Underweight</v>
      </c>
      <c r="K1788" s="28" t="str">
        <f t="array" ref="K1788">_xlfn.XLOOKUP($A1788, 'Hospitalisation Details'!$A:$A, 'Hospitalisation Details'!I:I, "No Data")</f>
        <v>tier - 3</v>
      </c>
      <c r="L1788" s="28" t="str">
        <f t="array" ref="L1788">_xlfn.XLOOKUP($A1788, 'Hospitalisation Details'!$A:$A, 'Hospitalisation Details'!J:J, "No Data")</f>
        <v>R1013</v>
      </c>
      <c r="M1788" s="28" t="str">
        <f t="array" ref="M1788">_xlfn.XLOOKUP($A1788, 'Hospitalisation Details'!$A:$A, 'Hospitalisation Details'!E:E, "No Data")</f>
        <v>13/12/79</v>
      </c>
      <c r="N1788" s="28">
        <f t="array" ref="N1788">_xlfn.XLOOKUP($A1788, 'Hospitalisation Details'!$A:$A, 'Hospitalisation Details'!K:K, "No Data")</f>
        <v>43</v>
      </c>
      <c r="O1788" s="33">
        <f t="array" ref="O1788">_xlfn.XLOOKUP($A1788, 'Hospitalisation Details'!$A:$A, 'Hospitalisation Details'!G:G, "No Data")</f>
        <v>4843.79</v>
      </c>
      <c r="P1788" s="28" t="str">
        <f t="array" ref="P1788">_xlfn.XLOOKUP($A1788, 'Hospitalisation Details'!$A:$A, 'Hospitalisation Details'!H:H, "No Data")</f>
        <v>tier - 2</v>
      </c>
    </row>
    <row r="1789">
      <c r="A1789" s="25" t="s">
        <v>3768</v>
      </c>
      <c r="B1789" s="28" t="str">
        <f t="array" ref="B1789">_xlfn.XLOOKUP($A1789, 'Customer Names'!$A:$A, 'Customer Names'!B:B, "No Data")</f>
        <v>Kennedy</v>
      </c>
      <c r="C1789" s="28">
        <f t="array" ref="C1789">_xlfn.XLOOKUP($A1789, 'Medical Examinations'!$A:$A, 'Medical Examinations'!B:B, "No Data")</f>
        <v>29.41</v>
      </c>
      <c r="D1789" s="28">
        <f t="array" ref="D1789">_xlfn.XLOOKUP($A1789, 'Medical Examinations'!$A:$A, 'Medical Examinations'!C:C, "No Data")</f>
        <v>6.29</v>
      </c>
      <c r="E1789" s="28" t="str">
        <f t="array" ref="E1789">_xlfn.XLOOKUP($A1789, 'Medical Examinations'!$A:$A, 'Medical Examinations'!D:D, "No Data")</f>
        <v>yes</v>
      </c>
      <c r="F1789" s="28" t="str">
        <f t="array" ref="F1789">_xlfn.XLOOKUP($A1789, 'Medical Examinations'!$A:$A, 'Medical Examinations'!E:E, "No Data")</f>
        <v>No</v>
      </c>
      <c r="G1789" s="28" t="str">
        <f t="array" ref="G1789">_xlfn.XLOOKUP($A1789, 'Medical Examinations'!$A:$A, 'Medical Examinations'!F:F, "No Data")</f>
        <v>No</v>
      </c>
      <c r="H1789" s="28">
        <f t="array" ref="H1789">_xlfn.XLOOKUP($A1789, 'Medical Examinations'!$A:$A, 'Medical Examinations'!G:G, "No Data")</f>
        <v>1</v>
      </c>
      <c r="I1789" s="28" t="str">
        <f t="array" ref="I1789">_xlfn.XLOOKUP($A1789, 'Medical Examinations'!$A:$A, 'Medical Examinations'!H:H, "No Data")</f>
        <v>No</v>
      </c>
      <c r="J1789" s="28" t="str">
        <f t="array" ref="J1789">_xlfn.XLOOKUP($A1789, 'Medical Examinations'!$A:$A, 'Medical Examinations'!I:I, "No Data")</f>
        <v>Overweight</v>
      </c>
      <c r="K1789" s="28" t="str">
        <f t="array" ref="K1789">_xlfn.XLOOKUP($A1789, 'Hospitalisation Details'!$A:$A, 'Hospitalisation Details'!I:I, "No Data")</f>
        <v>tier - 1</v>
      </c>
      <c r="L1789" s="28" t="str">
        <f t="array" ref="L1789">_xlfn.XLOOKUP($A1789, 'Hospitalisation Details'!$A:$A, 'Hospitalisation Details'!J:J, "No Data")</f>
        <v>R1021</v>
      </c>
      <c r="M1789" s="28" t="str">
        <f t="array" ref="M1789">_xlfn.XLOOKUP($A1789, 'Hospitalisation Details'!$A:$A, 'Hospitalisation Details'!E:E, "No Data")</f>
        <v>29/09/95</v>
      </c>
      <c r="N1789" s="28">
        <f t="array" ref="N1789">_xlfn.XLOOKUP($A1789, 'Hospitalisation Details'!$A:$A, 'Hospitalisation Details'!K:K, "No Data")</f>
        <v>27</v>
      </c>
      <c r="O1789" s="33">
        <f t="array" ref="O1789">_xlfn.XLOOKUP($A1789, 'Hospitalisation Details'!$A:$A, 'Hospitalisation Details'!G:G, "No Data")</f>
        <v>4840.95</v>
      </c>
      <c r="P1789" s="28" t="str">
        <f t="array" ref="P1789">_xlfn.XLOOKUP($A1789, 'Hospitalisation Details'!$A:$A, 'Hospitalisation Details'!H:H, "No Data")</f>
        <v>tier - 2</v>
      </c>
    </row>
    <row r="1790">
      <c r="A1790" s="25" t="s">
        <v>3765</v>
      </c>
      <c r="B1790" s="28" t="str">
        <f t="array" ref="B1790">_xlfn.XLOOKUP($A1790, 'Customer Names'!$A:$A, 'Customer Names'!B:B, "No Data")</f>
        <v>Cichon</v>
      </c>
      <c r="C1790" s="28">
        <f t="array" ref="C1790">_xlfn.XLOOKUP($A1790, 'Medical Examinations'!$A:$A, 'Medical Examinations'!B:B, "No Data")</f>
        <v>17.91</v>
      </c>
      <c r="D1790" s="28">
        <f t="array" ref="D1790">_xlfn.XLOOKUP($A1790, 'Medical Examinations'!$A:$A, 'Medical Examinations'!C:C, "No Data")</f>
        <v>5.65</v>
      </c>
      <c r="E1790" s="28" t="str">
        <f t="array" ref="E1790">_xlfn.XLOOKUP($A1790, 'Medical Examinations'!$A:$A, 'Medical Examinations'!D:D, "No Data")</f>
        <v>No</v>
      </c>
      <c r="F1790" s="28" t="str">
        <f t="array" ref="F1790">_xlfn.XLOOKUP($A1790, 'Medical Examinations'!$A:$A, 'Medical Examinations'!E:E, "No Data")</f>
        <v>No</v>
      </c>
      <c r="G1790" s="28" t="str">
        <f t="array" ref="G1790">_xlfn.XLOOKUP($A1790, 'Medical Examinations'!$A:$A, 'Medical Examinations'!F:F, "No Data")</f>
        <v>No</v>
      </c>
      <c r="H1790" s="28">
        <f t="array" ref="H1790">_xlfn.XLOOKUP($A1790, 'Medical Examinations'!$A:$A, 'Medical Examinations'!G:G, "No Data")</f>
        <v>1</v>
      </c>
      <c r="I1790" s="28" t="str">
        <f t="array" ref="I1790">_xlfn.XLOOKUP($A1790, 'Medical Examinations'!$A:$A, 'Medical Examinations'!H:H, "No Data")</f>
        <v>No</v>
      </c>
      <c r="J1790" s="28" t="str">
        <f t="array" ref="J1790">_xlfn.XLOOKUP($A1790, 'Medical Examinations'!$A:$A, 'Medical Examinations'!I:I, "No Data")</f>
        <v>Underweight</v>
      </c>
      <c r="K1790" s="28" t="str">
        <f t="array" ref="K1790">_xlfn.XLOOKUP($A1790, 'Hospitalisation Details'!$A:$A, 'Hospitalisation Details'!I:I, "No Data")</f>
        <v>tier - 1</v>
      </c>
      <c r="L1790" s="28" t="str">
        <f t="array" ref="L1790">_xlfn.XLOOKUP($A1790, 'Hospitalisation Details'!$A:$A, 'Hospitalisation Details'!J:J, "No Data")</f>
        <v>R1012</v>
      </c>
      <c r="M1790" s="28" t="str">
        <f t="array" ref="M1790">_xlfn.XLOOKUP($A1790, 'Hospitalisation Details'!$A:$A, 'Hospitalisation Details'!E:E, "No Data")</f>
        <v>15/10/84</v>
      </c>
      <c r="N1790" s="28">
        <f t="array" ref="N1790">_xlfn.XLOOKUP($A1790, 'Hospitalisation Details'!$A:$A, 'Hospitalisation Details'!K:K, "No Data")</f>
        <v>38</v>
      </c>
      <c r="O1790" s="33">
        <f t="array" ref="O1790">_xlfn.XLOOKUP($A1790, 'Hospitalisation Details'!$A:$A, 'Hospitalisation Details'!G:G, "No Data")</f>
        <v>4839.18</v>
      </c>
      <c r="P1790" s="28" t="str">
        <f t="array" ref="P1790">_xlfn.XLOOKUP($A1790, 'Hospitalisation Details'!$A:$A, 'Hospitalisation Details'!H:H, "No Data")</f>
        <v>tier - 2</v>
      </c>
    </row>
    <row r="1791">
      <c r="A1791" s="25" t="s">
        <v>3762</v>
      </c>
      <c r="B1791" s="28" t="str">
        <f t="array" ref="B1791">_xlfn.XLOOKUP($A1791, 'Customer Names'!$A:$A, 'Customer Names'!B:B, "No Data")</f>
        <v>Maroevic</v>
      </c>
      <c r="C1791" s="28">
        <f t="array" ref="C1791">_xlfn.XLOOKUP($A1791, 'Medical Examinations'!$A:$A, 'Medical Examinations'!B:B, "No Data")</f>
        <v>31.57</v>
      </c>
      <c r="D1791" s="28">
        <f t="array" ref="D1791">_xlfn.XLOOKUP($A1791, 'Medical Examinations'!$A:$A, 'Medical Examinations'!C:C, "No Data")</f>
        <v>6.15</v>
      </c>
      <c r="E1791" s="28" t="str">
        <f t="array" ref="E1791">_xlfn.XLOOKUP($A1791, 'Medical Examinations'!$A:$A, 'Medical Examinations'!D:D, "No Data")</f>
        <v>No</v>
      </c>
      <c r="F1791" s="28" t="str">
        <f t="array" ref="F1791">_xlfn.XLOOKUP($A1791, 'Medical Examinations'!$A:$A, 'Medical Examinations'!E:E, "No Data")</f>
        <v>No</v>
      </c>
      <c r="G1791" s="28" t="str">
        <f t="array" ref="G1791">_xlfn.XLOOKUP($A1791, 'Medical Examinations'!$A:$A, 'Medical Examinations'!F:F, "No Data")</f>
        <v>No</v>
      </c>
      <c r="H1791" s="28">
        <f t="array" ref="H1791">_xlfn.XLOOKUP($A1791, 'Medical Examinations'!$A:$A, 'Medical Examinations'!G:G, "No Data")</f>
        <v>1</v>
      </c>
      <c r="I1791" s="28" t="str">
        <f t="array" ref="I1791">_xlfn.XLOOKUP($A1791, 'Medical Examinations'!$A:$A, 'Medical Examinations'!H:H, "No Data")</f>
        <v>No</v>
      </c>
      <c r="J1791" s="28" t="str">
        <f t="array" ref="J1791">_xlfn.XLOOKUP($A1791, 'Medical Examinations'!$A:$A, 'Medical Examinations'!I:I, "No Data")</f>
        <v>Obesity</v>
      </c>
      <c r="K1791" s="28" t="str">
        <f t="array" ref="K1791">_xlfn.XLOOKUP($A1791, 'Hospitalisation Details'!$A:$A, 'Hospitalisation Details'!I:I, "No Data")</f>
        <v>tier - 2</v>
      </c>
      <c r="L1791" s="28" t="str">
        <f t="array" ref="L1791">_xlfn.XLOOKUP($A1791, 'Hospitalisation Details'!$A:$A, 'Hospitalisation Details'!J:J, "No Data")</f>
        <v>R1013</v>
      </c>
      <c r="M1791" s="28" t="str">
        <f t="array" ref="M1791">_xlfn.XLOOKUP($A1791, 'Hospitalisation Details'!$A:$A, 'Hospitalisation Details'!E:E, "No Data")</f>
        <v>10/09/92</v>
      </c>
      <c r="N1791" s="28">
        <f t="array" ref="N1791">_xlfn.XLOOKUP($A1791, 'Hospitalisation Details'!$A:$A, 'Hospitalisation Details'!K:K, "No Data")</f>
        <v>30</v>
      </c>
      <c r="O1791" s="33">
        <f t="array" ref="O1791">_xlfn.XLOOKUP($A1791, 'Hospitalisation Details'!$A:$A, 'Hospitalisation Details'!G:G, "No Data")</f>
        <v>4837.58</v>
      </c>
      <c r="P1791" s="28" t="str">
        <f t="array" ref="P1791">_xlfn.XLOOKUP($A1791, 'Hospitalisation Details'!$A:$A, 'Hospitalisation Details'!H:H, "No Data")</f>
        <v>tier - 3</v>
      </c>
    </row>
    <row r="1792">
      <c r="A1792" s="25" t="s">
        <v>3758</v>
      </c>
      <c r="B1792" s="28" t="str">
        <f t="array" ref="B1792">_xlfn.XLOOKUP($A1792, 'Customer Names'!$A:$A, 'Customer Names'!B:B, "No Data")</f>
        <v>Martin</v>
      </c>
      <c r="C1792" s="28">
        <f t="array" ref="C1792">_xlfn.XLOOKUP($A1792, 'Medical Examinations'!$A:$A, 'Medical Examinations'!B:B, "No Data")</f>
        <v>33.18</v>
      </c>
      <c r="D1792" s="28">
        <f t="array" ref="D1792">_xlfn.XLOOKUP($A1792, 'Medical Examinations'!$A:$A, 'Medical Examinations'!C:C, "No Data")</f>
        <v>5.22</v>
      </c>
      <c r="E1792" s="28" t="str">
        <f t="array" ref="E1792">_xlfn.XLOOKUP($A1792, 'Medical Examinations'!$A:$A, 'Medical Examinations'!D:D, "No Data")</f>
        <v>No</v>
      </c>
      <c r="F1792" s="28" t="str">
        <f t="array" ref="F1792">_xlfn.XLOOKUP($A1792, 'Medical Examinations'!$A:$A, 'Medical Examinations'!E:E, "No Data")</f>
        <v>yes</v>
      </c>
      <c r="G1792" s="28" t="str">
        <f t="array" ref="G1792">_xlfn.XLOOKUP($A1792, 'Medical Examinations'!$A:$A, 'Medical Examinations'!F:F, "No Data")</f>
        <v>No</v>
      </c>
      <c r="H1792" s="28">
        <f t="array" ref="H1792">_xlfn.XLOOKUP($A1792, 'Medical Examinations'!$A:$A, 'Medical Examinations'!G:G, "No Data")</f>
        <v>1</v>
      </c>
      <c r="I1792" s="28" t="str">
        <f t="array" ref="I1792">_xlfn.XLOOKUP($A1792, 'Medical Examinations'!$A:$A, 'Medical Examinations'!H:H, "No Data")</f>
        <v>No</v>
      </c>
      <c r="J1792" s="28" t="str">
        <f t="array" ref="J1792">_xlfn.XLOOKUP($A1792, 'Medical Examinations'!$A:$A, 'Medical Examinations'!I:I, "No Data")</f>
        <v>Obesity</v>
      </c>
      <c r="K1792" s="28" t="str">
        <f t="array" ref="K1792">_xlfn.XLOOKUP($A1792, 'Hospitalisation Details'!$A:$A, 'Hospitalisation Details'!I:I, "No Data")</f>
        <v>tier - 2</v>
      </c>
      <c r="L1792" s="28" t="str">
        <f t="array" ref="L1792">_xlfn.XLOOKUP($A1792, 'Hospitalisation Details'!$A:$A, 'Hospitalisation Details'!J:J, "No Data")</f>
        <v>R1021</v>
      </c>
      <c r="M1792" s="28" t="str">
        <f t="array" ref="M1792">_xlfn.XLOOKUP($A1792, 'Hospitalisation Details'!$A:$A, 'Hospitalisation Details'!E:E, "No Data")</f>
        <v>11/12/00</v>
      </c>
      <c r="N1792" s="28">
        <f t="array" ref="N1792">_xlfn.XLOOKUP($A1792, 'Hospitalisation Details'!$A:$A, 'Hospitalisation Details'!K:K, "No Data")</f>
        <v>22</v>
      </c>
      <c r="O1792" s="33">
        <f t="array" ref="O1792">_xlfn.XLOOKUP($A1792, 'Hospitalisation Details'!$A:$A, 'Hospitalisation Details'!G:G, "No Data")</f>
        <v>4835.43</v>
      </c>
      <c r="P1792" s="28" t="str">
        <f t="array" ref="P1792">_xlfn.XLOOKUP($A1792, 'Hospitalisation Details'!$A:$A, 'Hospitalisation Details'!H:H, "No Data")</f>
        <v>tier - 2</v>
      </c>
    </row>
    <row r="1793">
      <c r="A1793" s="25" t="s">
        <v>3753</v>
      </c>
      <c r="B1793" s="28" t="str">
        <f t="array" ref="B1793">_xlfn.XLOOKUP($A1793, 'Customer Names'!$A:$A, 'Customer Names'!B:B, "No Data")</f>
        <v>Schulz</v>
      </c>
      <c r="C1793" s="28">
        <f t="array" ref="C1793">_xlfn.XLOOKUP($A1793, 'Medical Examinations'!$A:$A, 'Medical Examinations'!B:B, "No Data")</f>
        <v>37</v>
      </c>
      <c r="D1793" s="28">
        <f t="array" ref="D1793">_xlfn.XLOOKUP($A1793, 'Medical Examinations'!$A:$A, 'Medical Examinations'!C:C, "No Data")</f>
        <v>11.66</v>
      </c>
      <c r="E1793" s="28" t="str">
        <f t="array" ref="E1793">_xlfn.XLOOKUP($A1793, 'Medical Examinations'!$A:$A, 'Medical Examinations'!D:D, "No Data")</f>
        <v>No</v>
      </c>
      <c r="F1793" s="28" t="str">
        <f t="array" ref="F1793">_xlfn.XLOOKUP($A1793, 'Medical Examinations'!$A:$A, 'Medical Examinations'!E:E, "No Data")</f>
        <v>No</v>
      </c>
      <c r="G1793" s="28" t="str">
        <f t="array" ref="G1793">_xlfn.XLOOKUP($A1793, 'Medical Examinations'!$A:$A, 'Medical Examinations'!F:F, "No Data")</f>
        <v>No</v>
      </c>
      <c r="H1793" s="28">
        <f t="array" ref="H1793">_xlfn.XLOOKUP($A1793, 'Medical Examinations'!$A:$A, 'Medical Examinations'!G:G, "No Data")</f>
        <v>0</v>
      </c>
      <c r="I1793" s="28" t="str">
        <f t="array" ref="I1793">_xlfn.XLOOKUP($A1793, 'Medical Examinations'!$A:$A, 'Medical Examinations'!H:H, "No Data")</f>
        <v>No</v>
      </c>
      <c r="J1793" s="28" t="str">
        <f t="array" ref="J1793">_xlfn.XLOOKUP($A1793, 'Medical Examinations'!$A:$A, 'Medical Examinations'!I:I, "No Data")</f>
        <v>Obesity</v>
      </c>
      <c r="K1793" s="28" t="str">
        <f t="array" ref="K1793">_xlfn.XLOOKUP($A1793, 'Hospitalisation Details'!$A:$A, 'Hospitalisation Details'!I:I, "No Data")</f>
        <v>tier - 1</v>
      </c>
      <c r="L1793" s="28" t="str">
        <f t="array" ref="L1793">_xlfn.XLOOKUP($A1793, 'Hospitalisation Details'!$A:$A, 'Hospitalisation Details'!J:J, "No Data")</f>
        <v>R1011</v>
      </c>
      <c r="M1793" s="28" t="str">
        <f t="array" ref="M1793">_xlfn.XLOOKUP($A1793, 'Hospitalisation Details'!$A:$A, 'Hospitalisation Details'!E:E, "No Data")</f>
        <v>27/06/02</v>
      </c>
      <c r="N1793" s="28">
        <f t="array" ref="N1793">_xlfn.XLOOKUP($A1793, 'Hospitalisation Details'!$A:$A, 'Hospitalisation Details'!K:K, "No Data")</f>
        <v>20</v>
      </c>
      <c r="O1793" s="33">
        <f t="array" ref="O1793">_xlfn.XLOOKUP($A1793, 'Hospitalisation Details'!$A:$A, 'Hospitalisation Details'!G:G, "No Data")</f>
        <v>4830.63</v>
      </c>
      <c r="P1793" s="28" t="str">
        <f t="array" ref="P1793">_xlfn.XLOOKUP($A1793, 'Hospitalisation Details'!$A:$A, 'Hospitalisation Details'!H:H, "No Data")</f>
        <v>tier - 2</v>
      </c>
    </row>
    <row r="1794">
      <c r="A1794" s="25" t="s">
        <v>3747</v>
      </c>
      <c r="B1794" s="28" t="str">
        <f t="array" ref="B1794">_xlfn.XLOOKUP($A1794, 'Customer Names'!$A:$A, 'Customer Names'!B:B, "No Data")</f>
        <v>Capriolo</v>
      </c>
      <c r="C1794" s="28">
        <f t="array" ref="C1794">_xlfn.XLOOKUP($A1794, 'Medical Examinations'!$A:$A, 'Medical Examinations'!B:B, "No Data")</f>
        <v>18.905</v>
      </c>
      <c r="D1794" s="28">
        <f t="array" ref="D1794">_xlfn.XLOOKUP($A1794, 'Medical Examinations'!$A:$A, 'Medical Examinations'!C:C, "No Data")</f>
        <v>4.91</v>
      </c>
      <c r="E1794" s="28" t="str">
        <f t="array" ref="E1794">_xlfn.XLOOKUP($A1794, 'Medical Examinations'!$A:$A, 'Medical Examinations'!D:D, "No Data")</f>
        <v>yes</v>
      </c>
      <c r="F1794" s="28" t="str">
        <f t="array" ref="F1794">_xlfn.XLOOKUP($A1794, 'Medical Examinations'!$A:$A, 'Medical Examinations'!E:E, "No Data")</f>
        <v>No</v>
      </c>
      <c r="G1794" s="28" t="str">
        <f t="array" ref="G1794">_xlfn.XLOOKUP($A1794, 'Medical Examinations'!$A:$A, 'Medical Examinations'!F:F, "No Data")</f>
        <v>No</v>
      </c>
      <c r="H1794" s="28">
        <f t="array" ref="H1794">_xlfn.XLOOKUP($A1794, 'Medical Examinations'!$A:$A, 'Medical Examinations'!G:G, "No Data")</f>
        <v>1</v>
      </c>
      <c r="I1794" s="28" t="str">
        <f t="array" ref="I1794">_xlfn.XLOOKUP($A1794, 'Medical Examinations'!$A:$A, 'Medical Examinations'!H:H, "No Data")</f>
        <v>No</v>
      </c>
      <c r="J1794" s="28" t="str">
        <f t="array" ref="J1794">_xlfn.XLOOKUP($A1794, 'Medical Examinations'!$A:$A, 'Medical Examinations'!I:I, "No Data")</f>
        <v>Normal Weight</v>
      </c>
      <c r="K1794" s="28" t="str">
        <f t="array" ref="K1794">_xlfn.XLOOKUP($A1794, 'Hospitalisation Details'!$A:$A, 'Hospitalisation Details'!I:I, "No Data")</f>
        <v>tier - 2</v>
      </c>
      <c r="L1794" s="28">
        <f t="array" ref="L1794">_xlfn.XLOOKUP($A1794, 'Hospitalisation Details'!$A:$A, 'Hospitalisation Details'!J:J, "No Data")</f>
        <v>0</v>
      </c>
      <c r="M1794" s="28" t="str">
        <f t="array" ref="M1794">_xlfn.XLOOKUP($A1794, 'Hospitalisation Details'!$A:$A, 'Hospitalisation Details'!E:E, "No Data")</f>
        <v>01/12/95</v>
      </c>
      <c r="N1794" s="28">
        <f t="array" ref="N1794">_xlfn.XLOOKUP($A1794, 'Hospitalisation Details'!$A:$A, 'Hospitalisation Details'!K:K, "No Data")</f>
        <v>27</v>
      </c>
      <c r="O1794" s="33">
        <f t="array" ref="O1794">_xlfn.XLOOKUP($A1794, 'Hospitalisation Details'!$A:$A, 'Hospitalisation Details'!G:G, "No Data")</f>
        <v>4827.9</v>
      </c>
      <c r="P1794" s="28" t="str">
        <f t="array" ref="P1794">_xlfn.XLOOKUP($A1794, 'Hospitalisation Details'!$A:$A, 'Hospitalisation Details'!H:H, "No Data")</f>
        <v>tier - 1</v>
      </c>
    </row>
    <row r="1795">
      <c r="A1795" s="25" t="s">
        <v>3742</v>
      </c>
      <c r="B1795" s="28" t="str">
        <f t="array" ref="B1795">_xlfn.XLOOKUP($A1795, 'Customer Names'!$A:$A, 'Customer Names'!B:B, "No Data")</f>
        <v>Borleis</v>
      </c>
      <c r="C1795" s="28">
        <f t="array" ref="C1795">_xlfn.XLOOKUP($A1795, 'Medical Examinations'!$A:$A, 'Medical Examinations'!B:B, "No Data")</f>
        <v>20.03</v>
      </c>
      <c r="D1795" s="28">
        <f t="array" ref="D1795">_xlfn.XLOOKUP($A1795, 'Medical Examinations'!$A:$A, 'Medical Examinations'!C:C, "No Data")</f>
        <v>9.25</v>
      </c>
      <c r="E1795" s="28" t="str">
        <f t="array" ref="E1795">_xlfn.XLOOKUP($A1795, 'Medical Examinations'!$A:$A, 'Medical Examinations'!D:D, "No Data")</f>
        <v>yes</v>
      </c>
      <c r="F1795" s="28" t="str">
        <f t="array" ref="F1795">_xlfn.XLOOKUP($A1795, 'Medical Examinations'!$A:$A, 'Medical Examinations'!E:E, "No Data")</f>
        <v>No</v>
      </c>
      <c r="G1795" s="28" t="str">
        <f t="array" ref="G1795">_xlfn.XLOOKUP($A1795, 'Medical Examinations'!$A:$A, 'Medical Examinations'!F:F, "No Data")</f>
        <v>No</v>
      </c>
      <c r="H1795" s="28">
        <f t="array" ref="H1795">_xlfn.XLOOKUP($A1795, 'Medical Examinations'!$A:$A, 'Medical Examinations'!G:G, "No Data")</f>
        <v>0</v>
      </c>
      <c r="I1795" s="28" t="str">
        <f t="array" ref="I1795">_xlfn.XLOOKUP($A1795, 'Medical Examinations'!$A:$A, 'Medical Examinations'!H:H, "No Data")</f>
        <v>No</v>
      </c>
      <c r="J1795" s="28" t="str">
        <f t="array" ref="J1795">_xlfn.XLOOKUP($A1795, 'Medical Examinations'!$A:$A, 'Medical Examinations'!I:I, "No Data")</f>
        <v>Normal Weight</v>
      </c>
      <c r="K1795" s="28" t="str">
        <f t="array" ref="K1795">_xlfn.XLOOKUP($A1795, 'Hospitalisation Details'!$A:$A, 'Hospitalisation Details'!I:I, "No Data")</f>
        <v>tier - 1</v>
      </c>
      <c r="L1795" s="28" t="str">
        <f t="array" ref="L1795">_xlfn.XLOOKUP($A1795, 'Hospitalisation Details'!$A:$A, 'Hospitalisation Details'!J:J, "No Data")</f>
        <v>R1013</v>
      </c>
      <c r="M1795" s="28" t="str">
        <f t="array" ref="M1795">_xlfn.XLOOKUP($A1795, 'Hospitalisation Details'!$A:$A, 'Hospitalisation Details'!E:E, "No Data")</f>
        <v>03/07/81</v>
      </c>
      <c r="N1795" s="28">
        <f t="array" ref="N1795">_xlfn.XLOOKUP($A1795, 'Hospitalisation Details'!$A:$A, 'Hospitalisation Details'!K:K, "No Data")</f>
        <v>41</v>
      </c>
      <c r="O1795" s="33">
        <f t="array" ref="O1795">_xlfn.XLOOKUP($A1795, 'Hospitalisation Details'!$A:$A, 'Hospitalisation Details'!G:G, "No Data")</f>
        <v>4827.1</v>
      </c>
      <c r="P1795" s="28" t="str">
        <f t="array" ref="P1795">_xlfn.XLOOKUP($A1795, 'Hospitalisation Details'!$A:$A, 'Hospitalisation Details'!H:H, "No Data")</f>
        <v>tier - 2</v>
      </c>
    </row>
    <row r="1796">
      <c r="A1796" s="25" t="s">
        <v>3739</v>
      </c>
      <c r="B1796" s="28" t="str">
        <f t="array" ref="B1796">_xlfn.XLOOKUP($A1796, 'Customer Names'!$A:$A, 'Customer Names'!B:B, "No Data")</f>
        <v>Kramer</v>
      </c>
      <c r="C1796" s="28">
        <f t="array" ref="C1796">_xlfn.XLOOKUP($A1796, 'Medical Examinations'!$A:$A, 'Medical Examinations'!B:B, "No Data")</f>
        <v>16.7</v>
      </c>
      <c r="D1796" s="28">
        <f t="array" ref="D1796">_xlfn.XLOOKUP($A1796, 'Medical Examinations'!$A:$A, 'Medical Examinations'!C:C, "No Data")</f>
        <v>11.48</v>
      </c>
      <c r="E1796" s="28" t="str">
        <f t="array" ref="E1796">_xlfn.XLOOKUP($A1796, 'Medical Examinations'!$A:$A, 'Medical Examinations'!D:D, "No Data")</f>
        <v>No</v>
      </c>
      <c r="F1796" s="28" t="str">
        <f t="array" ref="F1796">_xlfn.XLOOKUP($A1796, 'Medical Examinations'!$A:$A, 'Medical Examinations'!E:E, "No Data")</f>
        <v>No</v>
      </c>
      <c r="G1796" s="28" t="str">
        <f t="array" ref="G1796">_xlfn.XLOOKUP($A1796, 'Medical Examinations'!$A:$A, 'Medical Examinations'!F:F, "No Data")</f>
        <v>No</v>
      </c>
      <c r="H1796" s="28">
        <f t="array" ref="H1796">_xlfn.XLOOKUP($A1796, 'Medical Examinations'!$A:$A, 'Medical Examinations'!G:G, "No Data")</f>
        <v>0</v>
      </c>
      <c r="I1796" s="28" t="str">
        <f t="array" ref="I1796">_xlfn.XLOOKUP($A1796, 'Medical Examinations'!$A:$A, 'Medical Examinations'!H:H, "No Data")</f>
        <v>No</v>
      </c>
      <c r="J1796" s="28" t="str">
        <f t="array" ref="J1796">_xlfn.XLOOKUP($A1796, 'Medical Examinations'!$A:$A, 'Medical Examinations'!I:I, "No Data")</f>
        <v>Underweight</v>
      </c>
      <c r="K1796" s="28" t="str">
        <f t="array" ref="K1796">_xlfn.XLOOKUP($A1796, 'Hospitalisation Details'!$A:$A, 'Hospitalisation Details'!I:I, "No Data")</f>
        <v>tier - 3</v>
      </c>
      <c r="L1796" s="28" t="str">
        <f t="array" ref="L1796">_xlfn.XLOOKUP($A1796, 'Hospitalisation Details'!$A:$A, 'Hospitalisation Details'!J:J, "No Data")</f>
        <v>R1013</v>
      </c>
      <c r="M1796" s="28" t="str">
        <f t="array" ref="M1796">_xlfn.XLOOKUP($A1796, 'Hospitalisation Details'!$A:$A, 'Hospitalisation Details'!E:E, "No Data")</f>
        <v>03/10/78</v>
      </c>
      <c r="N1796" s="28">
        <f t="array" ref="N1796">_xlfn.XLOOKUP($A1796, 'Hospitalisation Details'!$A:$A, 'Hospitalisation Details'!K:K, "No Data")</f>
        <v>44</v>
      </c>
      <c r="O1796" s="33">
        <f t="array" ref="O1796">_xlfn.XLOOKUP($A1796, 'Hospitalisation Details'!$A:$A, 'Hospitalisation Details'!G:G, "No Data")</f>
        <v>4812.34</v>
      </c>
      <c r="P1796" s="28" t="str">
        <f t="array" ref="P1796">_xlfn.XLOOKUP($A1796, 'Hospitalisation Details'!$A:$A, 'Hospitalisation Details'!H:H, "No Data")</f>
        <v>tier - 2</v>
      </c>
    </row>
    <row r="1797">
      <c r="A1797" s="25" t="s">
        <v>3734</v>
      </c>
      <c r="B1797" s="28" t="str">
        <f t="array" ref="B1797">_xlfn.XLOOKUP($A1797, 'Customer Names'!$A:$A, 'Customer Names'!B:B, "No Data")</f>
        <v>Conrad</v>
      </c>
      <c r="C1797" s="28">
        <f t="array" ref="C1797">_xlfn.XLOOKUP($A1797, 'Medical Examinations'!$A:$A, 'Medical Examinations'!B:B, "No Data")</f>
        <v>39.82</v>
      </c>
      <c r="D1797" s="28">
        <f t="array" ref="D1797">_xlfn.XLOOKUP($A1797, 'Medical Examinations'!$A:$A, 'Medical Examinations'!C:C, "No Data")</f>
        <v>6.06</v>
      </c>
      <c r="E1797" s="28" t="str">
        <f t="array" ref="E1797">_xlfn.XLOOKUP($A1797, 'Medical Examinations'!$A:$A, 'Medical Examinations'!D:D, "No Data")</f>
        <v>No</v>
      </c>
      <c r="F1797" s="28" t="str">
        <f t="array" ref="F1797">_xlfn.XLOOKUP($A1797, 'Medical Examinations'!$A:$A, 'Medical Examinations'!E:E, "No Data")</f>
        <v>No</v>
      </c>
      <c r="G1797" s="28" t="str">
        <f t="array" ref="G1797">_xlfn.XLOOKUP($A1797, 'Medical Examinations'!$A:$A, 'Medical Examinations'!F:F, "No Data")</f>
        <v>No</v>
      </c>
      <c r="H1797" s="28">
        <f t="array" ref="H1797">_xlfn.XLOOKUP($A1797, 'Medical Examinations'!$A:$A, 'Medical Examinations'!G:G, "No Data")</f>
        <v>0</v>
      </c>
      <c r="I1797" s="28" t="str">
        <f t="array" ref="I1797">_xlfn.XLOOKUP($A1797, 'Medical Examinations'!$A:$A, 'Medical Examinations'!H:H, "No Data")</f>
        <v>No</v>
      </c>
      <c r="J1797" s="28" t="str">
        <f t="array" ref="J1797">_xlfn.XLOOKUP($A1797, 'Medical Examinations'!$A:$A, 'Medical Examinations'!I:I, "No Data")</f>
        <v>Obesity</v>
      </c>
      <c r="K1797" s="28" t="str">
        <f t="array" ref="K1797">_xlfn.XLOOKUP($A1797, 'Hospitalisation Details'!$A:$A, 'Hospitalisation Details'!I:I, "No Data")</f>
        <v>tier - 1</v>
      </c>
      <c r="L1797" s="28" t="str">
        <f t="array" ref="L1797">_xlfn.XLOOKUP($A1797, 'Hospitalisation Details'!$A:$A, 'Hospitalisation Details'!J:J, "No Data")</f>
        <v>R1013</v>
      </c>
      <c r="M1797" s="28" t="str">
        <f t="array" ref="M1797">_xlfn.XLOOKUP($A1797, 'Hospitalisation Details'!$A:$A, 'Hospitalisation Details'!E:E, "No Data")</f>
        <v>16/12/89</v>
      </c>
      <c r="N1797" s="28">
        <f t="array" ref="N1797">_xlfn.XLOOKUP($A1797, 'Hospitalisation Details'!$A:$A, 'Hospitalisation Details'!K:K, "No Data")</f>
        <v>33</v>
      </c>
      <c r="O1797" s="33">
        <f t="array" ref="O1797">_xlfn.XLOOKUP($A1797, 'Hospitalisation Details'!$A:$A, 'Hospitalisation Details'!G:G, "No Data")</f>
        <v>4795.66</v>
      </c>
      <c r="P1797" s="28" t="str">
        <f t="array" ref="P1797">_xlfn.XLOOKUP($A1797, 'Hospitalisation Details'!$A:$A, 'Hospitalisation Details'!H:H, "No Data")</f>
        <v>tier - 2</v>
      </c>
    </row>
    <row r="1798">
      <c r="A1798" s="25" t="s">
        <v>3732</v>
      </c>
      <c r="B1798" s="28" t="str">
        <f t="array" ref="B1798">_xlfn.XLOOKUP($A1798, 'Customer Names'!$A:$A, 'Customer Names'!B:B, "No Data")</f>
        <v>Karakoyunlu</v>
      </c>
      <c r="C1798" s="28">
        <f t="array" ref="C1798">_xlfn.XLOOKUP($A1798, 'Medical Examinations'!$A:$A, 'Medical Examinations'!B:B, "No Data")</f>
        <v>22.04</v>
      </c>
      <c r="D1798" s="28">
        <f t="array" ref="D1798">_xlfn.XLOOKUP($A1798, 'Medical Examinations'!$A:$A, 'Medical Examinations'!C:C, "No Data")</f>
        <v>5.86</v>
      </c>
      <c r="E1798" s="28" t="str">
        <f t="array" ref="E1798">_xlfn.XLOOKUP($A1798, 'Medical Examinations'!$A:$A, 'Medical Examinations'!D:D, "No Data")</f>
        <v>No</v>
      </c>
      <c r="F1798" s="28" t="str">
        <f t="array" ref="F1798">_xlfn.XLOOKUP($A1798, 'Medical Examinations'!$A:$A, 'Medical Examinations'!E:E, "No Data")</f>
        <v>No</v>
      </c>
      <c r="G1798" s="28" t="str">
        <f t="array" ref="G1798">_xlfn.XLOOKUP($A1798, 'Medical Examinations'!$A:$A, 'Medical Examinations'!F:F, "No Data")</f>
        <v>No</v>
      </c>
      <c r="H1798" s="28">
        <f t="array" ref="H1798">_xlfn.XLOOKUP($A1798, 'Medical Examinations'!$A:$A, 'Medical Examinations'!G:G, "No Data")</f>
        <v>1</v>
      </c>
      <c r="I1798" s="28" t="str">
        <f t="array" ref="I1798">_xlfn.XLOOKUP($A1798, 'Medical Examinations'!$A:$A, 'Medical Examinations'!H:H, "No Data")</f>
        <v>No</v>
      </c>
      <c r="J1798" s="28" t="str">
        <f t="array" ref="J1798">_xlfn.XLOOKUP($A1798, 'Medical Examinations'!$A:$A, 'Medical Examinations'!I:I, "No Data")</f>
        <v>Normal Weight</v>
      </c>
      <c r="K1798" s="28" t="str">
        <f t="array" ref="K1798">_xlfn.XLOOKUP($A1798, 'Hospitalisation Details'!$A:$A, 'Hospitalisation Details'!I:I, "No Data")</f>
        <v>tier - 3</v>
      </c>
      <c r="L1798" s="28" t="str">
        <f t="array" ref="L1798">_xlfn.XLOOKUP($A1798, 'Hospitalisation Details'!$A:$A, 'Hospitalisation Details'!J:J, "No Data")</f>
        <v>R1013</v>
      </c>
      <c r="M1798" s="28" t="str">
        <f t="array" ref="M1798">_xlfn.XLOOKUP($A1798, 'Hospitalisation Details'!$A:$A, 'Hospitalisation Details'!E:E, "No Data")</f>
        <v>22/06/87</v>
      </c>
      <c r="N1798" s="28">
        <f t="array" ref="N1798">_xlfn.XLOOKUP($A1798, 'Hospitalisation Details'!$A:$A, 'Hospitalisation Details'!K:K, "No Data")</f>
        <v>35</v>
      </c>
      <c r="O1798" s="33">
        <f t="array" ref="O1798">_xlfn.XLOOKUP($A1798, 'Hospitalisation Details'!$A:$A, 'Hospitalisation Details'!G:G, "No Data")</f>
        <v>4787.42</v>
      </c>
      <c r="P1798" s="28" t="str">
        <f t="array" ref="P1798">_xlfn.XLOOKUP($A1798, 'Hospitalisation Details'!$A:$A, 'Hospitalisation Details'!H:H, "No Data")</f>
        <v>tier - 2</v>
      </c>
    </row>
    <row r="1799">
      <c r="A1799" s="25" t="s">
        <v>3728</v>
      </c>
      <c r="B1799" s="28" t="str">
        <f t="array" ref="B1799">_xlfn.XLOOKUP($A1799, 'Customer Names'!$A:$A, 'Customer Names'!B:B, "No Data")</f>
        <v>Desrosiers</v>
      </c>
      <c r="C1799" s="28">
        <f t="array" ref="C1799">_xlfn.XLOOKUP($A1799, 'Medical Examinations'!$A:$A, 'Medical Examinations'!B:B, "No Data")</f>
        <v>28.27</v>
      </c>
      <c r="D1799" s="28">
        <f t="array" ref="D1799">_xlfn.XLOOKUP($A1799, 'Medical Examinations'!$A:$A, 'Medical Examinations'!C:C, "No Data")</f>
        <v>5.33</v>
      </c>
      <c r="E1799" s="28" t="str">
        <f t="array" ref="E1799">_xlfn.XLOOKUP($A1799, 'Medical Examinations'!$A:$A, 'Medical Examinations'!D:D, "No Data")</f>
        <v>No</v>
      </c>
      <c r="F1799" s="28" t="str">
        <f t="array" ref="F1799">_xlfn.XLOOKUP($A1799, 'Medical Examinations'!$A:$A, 'Medical Examinations'!E:E, "No Data")</f>
        <v>No</v>
      </c>
      <c r="G1799" s="28" t="str">
        <f t="array" ref="G1799">_xlfn.XLOOKUP($A1799, 'Medical Examinations'!$A:$A, 'Medical Examinations'!F:F, "No Data")</f>
        <v>No</v>
      </c>
      <c r="H1799" s="28">
        <f t="array" ref="H1799">_xlfn.XLOOKUP($A1799, 'Medical Examinations'!$A:$A, 'Medical Examinations'!G:G, "No Data")</f>
        <v>0</v>
      </c>
      <c r="I1799" s="28" t="str">
        <f t="array" ref="I1799">_xlfn.XLOOKUP($A1799, 'Medical Examinations'!$A:$A, 'Medical Examinations'!H:H, "No Data")</f>
        <v>No</v>
      </c>
      <c r="J1799" s="28" t="str">
        <f t="array" ref="J1799">_xlfn.XLOOKUP($A1799, 'Medical Examinations'!$A:$A, 'Medical Examinations'!I:I, "No Data")</f>
        <v>Overweight</v>
      </c>
      <c r="K1799" s="28" t="str">
        <f t="array" ref="K1799">_xlfn.XLOOKUP($A1799, 'Hospitalisation Details'!$A:$A, 'Hospitalisation Details'!I:I, "No Data")</f>
        <v>tier - 3</v>
      </c>
      <c r="L1799" s="28" t="str">
        <f t="array" ref="L1799">_xlfn.XLOOKUP($A1799, 'Hospitalisation Details'!$A:$A, 'Hospitalisation Details'!J:J, "No Data")</f>
        <v>R1013</v>
      </c>
      <c r="M1799" s="28" t="str">
        <f t="array" ref="M1799">_xlfn.XLOOKUP($A1799, 'Hospitalisation Details'!$A:$A, 'Hospitalisation Details'!E:E, "No Data")</f>
        <v>09/12/89</v>
      </c>
      <c r="N1799" s="28">
        <f t="array" ref="N1799">_xlfn.XLOOKUP($A1799, 'Hospitalisation Details'!$A:$A, 'Hospitalisation Details'!K:K, "No Data")</f>
        <v>33</v>
      </c>
      <c r="O1799" s="33">
        <f t="array" ref="O1799">_xlfn.XLOOKUP($A1799, 'Hospitalisation Details'!$A:$A, 'Hospitalisation Details'!G:G, "No Data")</f>
        <v>4779.6</v>
      </c>
      <c r="P1799" s="28" t="str">
        <f t="array" ref="P1799">_xlfn.XLOOKUP($A1799, 'Hospitalisation Details'!$A:$A, 'Hospitalisation Details'!H:H, "No Data")</f>
        <v>tier - 2</v>
      </c>
    </row>
    <row r="1800">
      <c r="A1800" s="25" t="s">
        <v>3726</v>
      </c>
      <c r="B1800" s="28" t="str">
        <f t="array" ref="B1800">_xlfn.XLOOKUP($A1800, 'Customer Names'!$A:$A, 'Customer Names'!B:B, "No Data")</f>
        <v>O'Mara</v>
      </c>
      <c r="C1800" s="28">
        <f t="array" ref="C1800">_xlfn.XLOOKUP($A1800, 'Medical Examinations'!$A:$A, 'Medical Examinations'!B:B, "No Data")</f>
        <v>18.5</v>
      </c>
      <c r="D1800" s="28">
        <f t="array" ref="D1800">_xlfn.XLOOKUP($A1800, 'Medical Examinations'!$A:$A, 'Medical Examinations'!C:C, "No Data")</f>
        <v>5.33</v>
      </c>
      <c r="E1800" s="28" t="str">
        <f t="array" ref="E1800">_xlfn.XLOOKUP($A1800, 'Medical Examinations'!$A:$A, 'Medical Examinations'!D:D, "No Data")</f>
        <v>No</v>
      </c>
      <c r="F1800" s="28" t="str">
        <f t="array" ref="F1800">_xlfn.XLOOKUP($A1800, 'Medical Examinations'!$A:$A, 'Medical Examinations'!E:E, "No Data")</f>
        <v>No</v>
      </c>
      <c r="G1800" s="28" t="str">
        <f t="array" ref="G1800">_xlfn.XLOOKUP($A1800, 'Medical Examinations'!$A:$A, 'Medical Examinations'!F:F, "No Data")</f>
        <v>No</v>
      </c>
      <c r="H1800" s="28">
        <f t="array" ref="H1800">_xlfn.XLOOKUP($A1800, 'Medical Examinations'!$A:$A, 'Medical Examinations'!G:G, "No Data")</f>
        <v>0</v>
      </c>
      <c r="I1800" s="28" t="str">
        <f t="array" ref="I1800">_xlfn.XLOOKUP($A1800, 'Medical Examinations'!$A:$A, 'Medical Examinations'!H:H, "No Data")</f>
        <v>No</v>
      </c>
      <c r="J1800" s="28" t="str">
        <f t="array" ref="J1800">_xlfn.XLOOKUP($A1800, 'Medical Examinations'!$A:$A, 'Medical Examinations'!I:I, "No Data")</f>
        <v>Normal Weight</v>
      </c>
      <c r="K1800" s="28" t="str">
        <f t="array" ref="K1800">_xlfn.XLOOKUP($A1800, 'Hospitalisation Details'!$A:$A, 'Hospitalisation Details'!I:I, "No Data")</f>
        <v>tier - 3</v>
      </c>
      <c r="L1800" s="28" t="str">
        <f t="array" ref="L1800">_xlfn.XLOOKUP($A1800, 'Hospitalisation Details'!$A:$A, 'Hospitalisation Details'!J:J, "No Data")</f>
        <v>R1011</v>
      </c>
      <c r="M1800" s="28" t="str">
        <f t="array" ref="M1800">_xlfn.XLOOKUP($A1800, 'Hospitalisation Details'!$A:$A, 'Hospitalisation Details'!E:E, "No Data")</f>
        <v>01/08/89</v>
      </c>
      <c r="N1800" s="28">
        <f t="array" ref="N1800">_xlfn.XLOOKUP($A1800, 'Hospitalisation Details'!$A:$A, 'Hospitalisation Details'!K:K, "No Data")</f>
        <v>33</v>
      </c>
      <c r="O1800" s="33">
        <f t="array" ref="O1800">_xlfn.XLOOKUP($A1800, 'Hospitalisation Details'!$A:$A, 'Hospitalisation Details'!G:G, "No Data")</f>
        <v>4766.02</v>
      </c>
      <c r="P1800" s="28" t="str">
        <f t="array" ref="P1800">_xlfn.XLOOKUP($A1800, 'Hospitalisation Details'!$A:$A, 'Hospitalisation Details'!H:H, "No Data")</f>
        <v>tier - 2</v>
      </c>
    </row>
    <row r="1801">
      <c r="A1801" s="25" t="s">
        <v>3723</v>
      </c>
      <c r="B1801" s="28" t="str">
        <f t="array" ref="B1801">_xlfn.XLOOKUP($A1801, 'Customer Names'!$A:$A, 'Customer Names'!B:B, "No Data")</f>
        <v>Shabot Marcos</v>
      </c>
      <c r="C1801" s="28">
        <f t="array" ref="C1801">_xlfn.XLOOKUP($A1801, 'Medical Examinations'!$A:$A, 'Medical Examinations'!B:B, "No Data")</f>
        <v>38.6</v>
      </c>
      <c r="D1801" s="28">
        <f t="array" ref="D1801">_xlfn.XLOOKUP($A1801, 'Medical Examinations'!$A:$A, 'Medical Examinations'!C:C, "No Data")</f>
        <v>6.02</v>
      </c>
      <c r="E1801" s="28" t="str">
        <f t="array" ref="E1801">_xlfn.XLOOKUP($A1801, 'Medical Examinations'!$A:$A, 'Medical Examinations'!D:D, "No Data")</f>
        <v>No</v>
      </c>
      <c r="F1801" s="28" t="str">
        <f t="array" ref="F1801">_xlfn.XLOOKUP($A1801, 'Medical Examinations'!$A:$A, 'Medical Examinations'!E:E, "No Data")</f>
        <v>No</v>
      </c>
      <c r="G1801" s="28" t="str">
        <f t="array" ref="G1801">_xlfn.XLOOKUP($A1801, 'Medical Examinations'!$A:$A, 'Medical Examinations'!F:F, "No Data")</f>
        <v>No</v>
      </c>
      <c r="H1801" s="28">
        <f t="array" ref="H1801">_xlfn.XLOOKUP($A1801, 'Medical Examinations'!$A:$A, 'Medical Examinations'!G:G, "No Data")</f>
        <v>1</v>
      </c>
      <c r="I1801" s="28" t="str">
        <f t="array" ref="I1801">_xlfn.XLOOKUP($A1801, 'Medical Examinations'!$A:$A, 'Medical Examinations'!H:H, "No Data")</f>
        <v>No</v>
      </c>
      <c r="J1801" s="28" t="str">
        <f t="array" ref="J1801">_xlfn.XLOOKUP($A1801, 'Medical Examinations'!$A:$A, 'Medical Examinations'!I:I, "No Data")</f>
        <v>Obesity</v>
      </c>
      <c r="K1801" s="28" t="str">
        <f t="array" ref="K1801">_xlfn.XLOOKUP($A1801, 'Hospitalisation Details'!$A:$A, 'Hospitalisation Details'!I:I, "No Data")</f>
        <v>tier - 3</v>
      </c>
      <c r="L1801" s="28" t="str">
        <f t="array" ref="L1801">_xlfn.XLOOKUP($A1801, 'Hospitalisation Details'!$A:$A, 'Hospitalisation Details'!J:J, "No Data")</f>
        <v>R1011</v>
      </c>
      <c r="M1801" s="28" t="str">
        <f t="array" ref="M1801">_xlfn.XLOOKUP($A1801, 'Hospitalisation Details'!$A:$A, 'Hospitalisation Details'!E:E, "No Data")</f>
        <v>27/09/87</v>
      </c>
      <c r="N1801" s="28">
        <f t="array" ref="N1801">_xlfn.XLOOKUP($A1801, 'Hospitalisation Details'!$A:$A, 'Hospitalisation Details'!K:K, "No Data")</f>
        <v>35</v>
      </c>
      <c r="O1801" s="33">
        <f t="array" ref="O1801">_xlfn.XLOOKUP($A1801, 'Hospitalisation Details'!$A:$A, 'Hospitalisation Details'!G:G, "No Data")</f>
        <v>4762.33</v>
      </c>
      <c r="P1801" s="28" t="str">
        <f t="array" ref="P1801">_xlfn.XLOOKUP($A1801, 'Hospitalisation Details'!$A:$A, 'Hospitalisation Details'!H:H, "No Data")</f>
        <v>tier - 3</v>
      </c>
    </row>
    <row r="1802">
      <c r="A1802" s="25" t="s">
        <v>3719</v>
      </c>
      <c r="B1802" s="28" t="str">
        <f t="array" ref="B1802">_xlfn.XLOOKUP($A1802, 'Customer Names'!$A:$A, 'Customer Names'!B:B, "No Data")</f>
        <v>Comment</v>
      </c>
      <c r="C1802" s="28">
        <f t="array" ref="C1802">_xlfn.XLOOKUP($A1802, 'Medical Examinations'!$A:$A, 'Medical Examinations'!B:B, "No Data")</f>
        <v>43.12</v>
      </c>
      <c r="D1802" s="28">
        <f t="array" ref="D1802">_xlfn.XLOOKUP($A1802, 'Medical Examinations'!$A:$A, 'Medical Examinations'!C:C, "No Data")</f>
        <v>6.25</v>
      </c>
      <c r="E1802" s="28" t="str">
        <f t="array" ref="E1802">_xlfn.XLOOKUP($A1802, 'Medical Examinations'!$A:$A, 'Medical Examinations'!D:D, "No Data")</f>
        <v>No</v>
      </c>
      <c r="F1802" s="28" t="str">
        <f t="array" ref="F1802">_xlfn.XLOOKUP($A1802, 'Medical Examinations'!$A:$A, 'Medical Examinations'!E:E, "No Data")</f>
        <v>No</v>
      </c>
      <c r="G1802" s="28" t="str">
        <f t="array" ref="G1802">_xlfn.XLOOKUP($A1802, 'Medical Examinations'!$A:$A, 'Medical Examinations'!F:F, "No Data")</f>
        <v>No</v>
      </c>
      <c r="H1802" s="28">
        <f t="array" ref="H1802">_xlfn.XLOOKUP($A1802, 'Medical Examinations'!$A:$A, 'Medical Examinations'!G:G, "No Data")</f>
        <v>1</v>
      </c>
      <c r="I1802" s="28" t="str">
        <f t="array" ref="I1802">_xlfn.XLOOKUP($A1802, 'Medical Examinations'!$A:$A, 'Medical Examinations'!H:H, "No Data")</f>
        <v>No</v>
      </c>
      <c r="J1802" s="28" t="str">
        <f t="array" ref="J1802">_xlfn.XLOOKUP($A1802, 'Medical Examinations'!$A:$A, 'Medical Examinations'!I:I, "No Data")</f>
        <v>Obesity</v>
      </c>
      <c r="K1802" s="28" t="str">
        <f t="array" ref="K1802">_xlfn.XLOOKUP($A1802, 'Hospitalisation Details'!$A:$A, 'Hospitalisation Details'!I:I, "No Data")</f>
        <v>tier - 3</v>
      </c>
      <c r="L1802" s="28" t="str">
        <f t="array" ref="L1802">_xlfn.XLOOKUP($A1802, 'Hospitalisation Details'!$A:$A, 'Hospitalisation Details'!J:J, "No Data")</f>
        <v>R1013</v>
      </c>
      <c r="M1802" s="28" t="str">
        <f t="array" ref="M1802">_xlfn.XLOOKUP($A1802, 'Hospitalisation Details'!$A:$A, 'Hospitalisation Details'!E:E, "No Data")</f>
        <v>16/08/92</v>
      </c>
      <c r="N1802" s="28">
        <f t="array" ref="N1802">_xlfn.XLOOKUP($A1802, 'Hospitalisation Details'!$A:$A, 'Hospitalisation Details'!K:K, "No Data")</f>
        <v>30</v>
      </c>
      <c r="O1802" s="33">
        <f t="array" ref="O1802">_xlfn.XLOOKUP($A1802, 'Hospitalisation Details'!$A:$A, 'Hospitalisation Details'!G:G, "No Data")</f>
        <v>4753.64</v>
      </c>
      <c r="P1802" s="28" t="str">
        <f t="array" ref="P1802">_xlfn.XLOOKUP($A1802, 'Hospitalisation Details'!$A:$A, 'Hospitalisation Details'!H:H, "No Data")</f>
        <v>tier - 2</v>
      </c>
    </row>
    <row r="1803">
      <c r="A1803" s="25" t="s">
        <v>3715</v>
      </c>
      <c r="B1803" s="28" t="str">
        <f t="array" ref="B1803">_xlfn.XLOOKUP($A1803, 'Customer Names'!$A:$A, 'Customer Names'!B:B, "No Data")</f>
        <v>Moss</v>
      </c>
      <c r="C1803" s="28">
        <f t="array" ref="C1803">_xlfn.XLOOKUP($A1803, 'Medical Examinations'!$A:$A, 'Medical Examinations'!B:B, "No Data")</f>
        <v>30.5</v>
      </c>
      <c r="D1803" s="28">
        <f t="array" ref="D1803">_xlfn.XLOOKUP($A1803, 'Medical Examinations'!$A:$A, 'Medical Examinations'!C:C, "No Data")</f>
        <v>4.81</v>
      </c>
      <c r="E1803" s="28" t="str">
        <f t="array" ref="E1803">_xlfn.XLOOKUP($A1803, 'Medical Examinations'!$A:$A, 'Medical Examinations'!D:D, "No Data")</f>
        <v>No</v>
      </c>
      <c r="F1803" s="28" t="str">
        <f t="array" ref="F1803">_xlfn.XLOOKUP($A1803, 'Medical Examinations'!$A:$A, 'Medical Examinations'!E:E, "No Data")</f>
        <v>No</v>
      </c>
      <c r="G1803" s="28" t="str">
        <f t="array" ref="G1803">_xlfn.XLOOKUP($A1803, 'Medical Examinations'!$A:$A, 'Medical Examinations'!F:F, "No Data")</f>
        <v>No</v>
      </c>
      <c r="H1803" s="28">
        <f t="array" ref="H1803">_xlfn.XLOOKUP($A1803, 'Medical Examinations'!$A:$A, 'Medical Examinations'!G:G, "No Data")</f>
        <v>1</v>
      </c>
      <c r="I1803" s="28" t="str">
        <f t="array" ref="I1803">_xlfn.XLOOKUP($A1803, 'Medical Examinations'!$A:$A, 'Medical Examinations'!H:H, "No Data")</f>
        <v>No</v>
      </c>
      <c r="J1803" s="28" t="str">
        <f t="array" ref="J1803">_xlfn.XLOOKUP($A1803, 'Medical Examinations'!$A:$A, 'Medical Examinations'!I:I, "No Data")</f>
        <v>Obesity</v>
      </c>
      <c r="K1803" s="28" t="str">
        <f t="array" ref="K1803">_xlfn.XLOOKUP($A1803, 'Hospitalisation Details'!$A:$A, 'Hospitalisation Details'!I:I, "No Data")</f>
        <v>tier - 1</v>
      </c>
      <c r="L1803" s="28" t="str">
        <f t="array" ref="L1803">_xlfn.XLOOKUP($A1803, 'Hospitalisation Details'!$A:$A, 'Hospitalisation Details'!J:J, "No Data")</f>
        <v>R1011</v>
      </c>
      <c r="M1803" s="28" t="str">
        <f t="array" ref="M1803">_xlfn.XLOOKUP($A1803, 'Hospitalisation Details'!$A:$A, 'Hospitalisation Details'!E:E, "No Data")</f>
        <v>22/11/87</v>
      </c>
      <c r="N1803" s="28">
        <f t="array" ref="N1803">_xlfn.XLOOKUP($A1803, 'Hospitalisation Details'!$A:$A, 'Hospitalisation Details'!K:K, "No Data")</f>
        <v>35</v>
      </c>
      <c r="O1803" s="33">
        <f t="array" ref="O1803">_xlfn.XLOOKUP($A1803, 'Hospitalisation Details'!$A:$A, 'Hospitalisation Details'!G:G, "No Data")</f>
        <v>4751.07</v>
      </c>
      <c r="P1803" s="28" t="str">
        <f t="array" ref="P1803">_xlfn.XLOOKUP($A1803, 'Hospitalisation Details'!$A:$A, 'Hospitalisation Details'!H:H, "No Data")</f>
        <v>tier - 3</v>
      </c>
    </row>
    <row r="1804">
      <c r="A1804" s="25" t="s">
        <v>3714</v>
      </c>
      <c r="B1804" s="28" t="str">
        <f t="array" ref="B1804">_xlfn.XLOOKUP($A1804, 'Customer Names'!$A:$A, 'Customer Names'!B:B, "No Data")</f>
        <v>Guzman</v>
      </c>
      <c r="C1804" s="28">
        <f t="array" ref="C1804">_xlfn.XLOOKUP($A1804, 'Medical Examinations'!$A:$A, 'Medical Examinations'!B:B, "No Data")</f>
        <v>27.61</v>
      </c>
      <c r="D1804" s="28">
        <f t="array" ref="D1804">_xlfn.XLOOKUP($A1804, 'Medical Examinations'!$A:$A, 'Medical Examinations'!C:C, "No Data")</f>
        <v>4.6</v>
      </c>
      <c r="E1804" s="28" t="str">
        <f t="array" ref="E1804">_xlfn.XLOOKUP($A1804, 'Medical Examinations'!$A:$A, 'Medical Examinations'!D:D, "No Data")</f>
        <v>No</v>
      </c>
      <c r="F1804" s="28" t="str">
        <f t="array" ref="F1804">_xlfn.XLOOKUP($A1804, 'Medical Examinations'!$A:$A, 'Medical Examinations'!E:E, "No Data")</f>
        <v>No</v>
      </c>
      <c r="G1804" s="28" t="str">
        <f t="array" ref="G1804">_xlfn.XLOOKUP($A1804, 'Medical Examinations'!$A:$A, 'Medical Examinations'!F:F, "No Data")</f>
        <v>No</v>
      </c>
      <c r="H1804" s="28">
        <f t="array" ref="H1804">_xlfn.XLOOKUP($A1804, 'Medical Examinations'!$A:$A, 'Medical Examinations'!G:G, "No Data")</f>
        <v>1</v>
      </c>
      <c r="I1804" s="28" t="str">
        <f t="array" ref="I1804">_xlfn.XLOOKUP($A1804, 'Medical Examinations'!$A:$A, 'Medical Examinations'!H:H, "No Data")</f>
        <v>No</v>
      </c>
      <c r="J1804" s="28" t="str">
        <f t="array" ref="J1804">_xlfn.XLOOKUP($A1804, 'Medical Examinations'!$A:$A, 'Medical Examinations'!I:I, "No Data")</f>
        <v>Overweight</v>
      </c>
      <c r="K1804" s="28" t="str">
        <f t="array" ref="K1804">_xlfn.XLOOKUP($A1804, 'Hospitalisation Details'!$A:$A, 'Hospitalisation Details'!I:I, "No Data")</f>
        <v>tier - 2</v>
      </c>
      <c r="L1804" s="28" t="str">
        <f t="array" ref="L1804">_xlfn.XLOOKUP($A1804, 'Hospitalisation Details'!$A:$A, 'Hospitalisation Details'!J:J, "No Data")</f>
        <v>R1013</v>
      </c>
      <c r="M1804" s="28" t="str">
        <f t="array" ref="M1804">_xlfn.XLOOKUP($A1804, 'Hospitalisation Details'!$A:$A, 'Hospitalisation Details'!E:E, "No Data")</f>
        <v>02/09/87</v>
      </c>
      <c r="N1804" s="28">
        <f t="array" ref="N1804">_xlfn.XLOOKUP($A1804, 'Hospitalisation Details'!$A:$A, 'Hospitalisation Details'!K:K, "No Data")</f>
        <v>35</v>
      </c>
      <c r="O1804" s="33">
        <f t="array" ref="O1804">_xlfn.XLOOKUP($A1804, 'Hospitalisation Details'!$A:$A, 'Hospitalisation Details'!G:G, "No Data")</f>
        <v>4747.05</v>
      </c>
      <c r="P1804" s="28" t="str">
        <f t="array" ref="P1804">_xlfn.XLOOKUP($A1804, 'Hospitalisation Details'!$A:$A, 'Hospitalisation Details'!H:H, "No Data")</f>
        <v>tier - 2</v>
      </c>
    </row>
    <row r="1805">
      <c r="A1805" s="25" t="s">
        <v>3712</v>
      </c>
      <c r="B1805" s="28" t="str">
        <f t="array" ref="B1805">_xlfn.XLOOKUP($A1805, 'Customer Names'!$A:$A, 'Customer Names'!B:B, "No Data")</f>
        <v>Cox</v>
      </c>
      <c r="C1805" s="28">
        <f t="array" ref="C1805">_xlfn.XLOOKUP($A1805, 'Medical Examinations'!$A:$A, 'Medical Examinations'!B:B, "No Data")</f>
        <v>27.1</v>
      </c>
      <c r="D1805" s="28">
        <f t="array" ref="D1805">_xlfn.XLOOKUP($A1805, 'Medical Examinations'!$A:$A, 'Medical Examinations'!C:C, "No Data")</f>
        <v>5.08</v>
      </c>
      <c r="E1805" s="28" t="str">
        <f t="array" ref="E1805">_xlfn.XLOOKUP($A1805, 'Medical Examinations'!$A:$A, 'Medical Examinations'!D:D, "No Data")</f>
        <v>No</v>
      </c>
      <c r="F1805" s="28" t="str">
        <f t="array" ref="F1805">_xlfn.XLOOKUP($A1805, 'Medical Examinations'!$A:$A, 'Medical Examinations'!E:E, "No Data")</f>
        <v>No</v>
      </c>
      <c r="G1805" s="28" t="str">
        <f t="array" ref="G1805">_xlfn.XLOOKUP($A1805, 'Medical Examinations'!$A:$A, 'Medical Examinations'!F:F, "No Data")</f>
        <v>No</v>
      </c>
      <c r="H1805" s="28">
        <f t="array" ref="H1805">_xlfn.XLOOKUP($A1805, 'Medical Examinations'!$A:$A, 'Medical Examinations'!G:G, "No Data")</f>
        <v>1</v>
      </c>
      <c r="I1805" s="28" t="str">
        <f t="array" ref="I1805">_xlfn.XLOOKUP($A1805, 'Medical Examinations'!$A:$A, 'Medical Examinations'!H:H, "No Data")</f>
        <v>No</v>
      </c>
      <c r="J1805" s="28" t="str">
        <f t="array" ref="J1805">_xlfn.XLOOKUP($A1805, 'Medical Examinations'!$A:$A, 'Medical Examinations'!I:I, "No Data")</f>
        <v>Overweight</v>
      </c>
      <c r="K1805" s="28" t="str">
        <f t="array" ref="K1805">_xlfn.XLOOKUP($A1805, 'Hospitalisation Details'!$A:$A, 'Hospitalisation Details'!I:I, "No Data")</f>
        <v>tier - 2</v>
      </c>
      <c r="L1805" s="28" t="str">
        <f t="array" ref="L1805">_xlfn.XLOOKUP($A1805, 'Hospitalisation Details'!$A:$A, 'Hospitalisation Details'!J:J, "No Data")</f>
        <v>R1011</v>
      </c>
      <c r="M1805" s="28" t="str">
        <f t="array" ref="M1805">_xlfn.XLOOKUP($A1805, 'Hospitalisation Details'!$A:$A, 'Hospitalisation Details'!E:E, "No Data")</f>
        <v>05/06/87</v>
      </c>
      <c r="N1805" s="28">
        <f t="array" ref="N1805">_xlfn.XLOOKUP($A1805, 'Hospitalisation Details'!$A:$A, 'Hospitalisation Details'!K:K, "No Data")</f>
        <v>36</v>
      </c>
      <c r="O1805" s="33">
        <f t="array" ref="O1805">_xlfn.XLOOKUP($A1805, 'Hospitalisation Details'!$A:$A, 'Hospitalisation Details'!G:G, "No Data")</f>
        <v>4746.34</v>
      </c>
      <c r="P1805" s="28" t="str">
        <f t="array" ref="P1805">_xlfn.XLOOKUP($A1805, 'Hospitalisation Details'!$A:$A, 'Hospitalisation Details'!H:H, "No Data")</f>
        <v>tier - 2</v>
      </c>
    </row>
    <row r="1806">
      <c r="A1806" s="25" t="s">
        <v>3708</v>
      </c>
      <c r="B1806" s="28" t="str">
        <f t="array" ref="B1806">_xlfn.XLOOKUP($A1806, 'Customer Names'!$A:$A, 'Customer Names'!B:B, "No Data")</f>
        <v>Clash</v>
      </c>
      <c r="C1806" s="28">
        <f t="array" ref="C1806">_xlfn.XLOOKUP($A1806, 'Medical Examinations'!$A:$A, 'Medical Examinations'!B:B, "No Data")</f>
        <v>35.93</v>
      </c>
      <c r="D1806" s="28">
        <f t="array" ref="D1806">_xlfn.XLOOKUP($A1806, 'Medical Examinations'!$A:$A, 'Medical Examinations'!C:C, "No Data")</f>
        <v>5.43</v>
      </c>
      <c r="E1806" s="28" t="str">
        <f t="array" ref="E1806">_xlfn.XLOOKUP($A1806, 'Medical Examinations'!$A:$A, 'Medical Examinations'!D:D, "No Data")</f>
        <v>No</v>
      </c>
      <c r="F1806" s="28" t="str">
        <f t="array" ref="F1806">_xlfn.XLOOKUP($A1806, 'Medical Examinations'!$A:$A, 'Medical Examinations'!E:E, "No Data")</f>
        <v>yes</v>
      </c>
      <c r="G1806" s="28" t="str">
        <f t="array" ref="G1806">_xlfn.XLOOKUP($A1806, 'Medical Examinations'!$A:$A, 'Medical Examinations'!F:F, "No Data")</f>
        <v>No</v>
      </c>
      <c r="H1806" s="28">
        <f t="array" ref="H1806">_xlfn.XLOOKUP($A1806, 'Medical Examinations'!$A:$A, 'Medical Examinations'!G:G, "No Data")</f>
        <v>1</v>
      </c>
      <c r="I1806" s="28" t="str">
        <f t="array" ref="I1806">_xlfn.XLOOKUP($A1806, 'Medical Examinations'!$A:$A, 'Medical Examinations'!H:H, "No Data")</f>
        <v>No</v>
      </c>
      <c r="J1806" s="28" t="str">
        <f t="array" ref="J1806">_xlfn.XLOOKUP($A1806, 'Medical Examinations'!$A:$A, 'Medical Examinations'!I:I, "No Data")</f>
        <v>Obesity</v>
      </c>
      <c r="K1806" s="28" t="str">
        <f t="array" ref="K1806">_xlfn.XLOOKUP($A1806, 'Hospitalisation Details'!$A:$A, 'Hospitalisation Details'!I:I, "No Data")</f>
        <v>tier - 3</v>
      </c>
      <c r="L1806" s="28" t="str">
        <f t="array" ref="L1806">_xlfn.XLOOKUP($A1806, 'Hospitalisation Details'!$A:$A, 'Hospitalisation Details'!J:J, "No Data")</f>
        <v>R1021</v>
      </c>
      <c r="M1806" s="28" t="str">
        <f t="array" ref="M1806">_xlfn.XLOOKUP($A1806, 'Hospitalisation Details'!$A:$A, 'Hospitalisation Details'!E:E, "No Data")</f>
        <v>24/11/04</v>
      </c>
      <c r="N1806" s="28">
        <f t="array" ref="N1806">_xlfn.XLOOKUP($A1806, 'Hospitalisation Details'!$A:$A, 'Hospitalisation Details'!K:K, "No Data")</f>
        <v>18</v>
      </c>
      <c r="O1806" s="33">
        <f t="array" ref="O1806">_xlfn.XLOOKUP($A1806, 'Hospitalisation Details'!$A:$A, 'Hospitalisation Details'!G:G, "No Data")</f>
        <v>4740.78</v>
      </c>
      <c r="P1806" s="28" t="str">
        <f t="array" ref="P1806">_xlfn.XLOOKUP($A1806, 'Hospitalisation Details'!$A:$A, 'Hospitalisation Details'!H:H, "No Data")</f>
        <v>tier - 2</v>
      </c>
    </row>
    <row r="1807">
      <c r="A1807" s="25" t="s">
        <v>3704</v>
      </c>
      <c r="B1807" s="28" t="str">
        <f t="array" ref="B1807">_xlfn.XLOOKUP($A1807, 'Customer Names'!$A:$A, 'Customer Names'!B:B, "No Data")</f>
        <v>Blankenship</v>
      </c>
      <c r="C1807" s="28">
        <f t="array" ref="C1807">_xlfn.XLOOKUP($A1807, 'Medical Examinations'!$A:$A, 'Medical Examinations'!B:B, "No Data")</f>
        <v>32.68</v>
      </c>
      <c r="D1807" s="28">
        <f t="array" ref="D1807">_xlfn.XLOOKUP($A1807, 'Medical Examinations'!$A:$A, 'Medical Examinations'!C:C, "No Data")</f>
        <v>5.44</v>
      </c>
      <c r="E1807" s="28" t="str">
        <f t="array" ref="E1807">_xlfn.XLOOKUP($A1807, 'Medical Examinations'!$A:$A, 'Medical Examinations'!D:D, "No Data")</f>
        <v>No</v>
      </c>
      <c r="F1807" s="28" t="str">
        <f t="array" ref="F1807">_xlfn.XLOOKUP($A1807, 'Medical Examinations'!$A:$A, 'Medical Examinations'!E:E, "No Data")</f>
        <v>No</v>
      </c>
      <c r="G1807" s="28" t="str">
        <f t="array" ref="G1807">_xlfn.XLOOKUP($A1807, 'Medical Examinations'!$A:$A, 'Medical Examinations'!F:F, "No Data")</f>
        <v>No</v>
      </c>
      <c r="H1807" s="28">
        <f t="array" ref="H1807">_xlfn.XLOOKUP($A1807, 'Medical Examinations'!$A:$A, 'Medical Examinations'!G:G, "No Data")</f>
        <v>0</v>
      </c>
      <c r="I1807" s="28" t="str">
        <f t="array" ref="I1807">_xlfn.XLOOKUP($A1807, 'Medical Examinations'!$A:$A, 'Medical Examinations'!H:H, "No Data")</f>
        <v>No</v>
      </c>
      <c r="J1807" s="28" t="str">
        <f t="array" ref="J1807">_xlfn.XLOOKUP($A1807, 'Medical Examinations'!$A:$A, 'Medical Examinations'!I:I, "No Data")</f>
        <v>Obesity</v>
      </c>
      <c r="K1807" s="28" t="str">
        <f t="array" ref="K1807">_xlfn.XLOOKUP($A1807, 'Hospitalisation Details'!$A:$A, 'Hospitalisation Details'!I:I, "No Data")</f>
        <v>tier - 3</v>
      </c>
      <c r="L1807" s="28" t="str">
        <f t="array" ref="L1807">_xlfn.XLOOKUP($A1807, 'Hospitalisation Details'!$A:$A, 'Hospitalisation Details'!J:J, "No Data")</f>
        <v>R1012</v>
      </c>
      <c r="M1807" s="28" t="str">
        <f t="array" ref="M1807">_xlfn.XLOOKUP($A1807, 'Hospitalisation Details'!$A:$A, 'Hospitalisation Details'!E:E, "No Data")</f>
        <v>12/10/91</v>
      </c>
      <c r="N1807" s="28">
        <f t="array" ref="N1807">_xlfn.XLOOKUP($A1807, 'Hospitalisation Details'!$A:$A, 'Hospitalisation Details'!K:K, "No Data")</f>
        <v>31</v>
      </c>
      <c r="O1807" s="33">
        <f t="array" ref="O1807">_xlfn.XLOOKUP($A1807, 'Hospitalisation Details'!$A:$A, 'Hospitalisation Details'!G:G, "No Data")</f>
        <v>4738.27</v>
      </c>
      <c r="P1807" s="28" t="str">
        <f t="array" ref="P1807">_xlfn.XLOOKUP($A1807, 'Hospitalisation Details'!$A:$A, 'Hospitalisation Details'!H:H, "No Data")</f>
        <v>tier - 2</v>
      </c>
    </row>
    <row r="1808">
      <c r="A1808" s="25" t="s">
        <v>3699</v>
      </c>
      <c r="B1808" s="28" t="str">
        <f t="array" ref="B1808">_xlfn.XLOOKUP($A1808, 'Customer Names'!$A:$A, 'Customer Names'!B:B, "No Data")</f>
        <v>Lloyd</v>
      </c>
      <c r="C1808" s="28">
        <f t="array" ref="C1808">_xlfn.XLOOKUP($A1808, 'Medical Examinations'!$A:$A, 'Medical Examinations'!B:B, "No Data")</f>
        <v>20.74</v>
      </c>
      <c r="D1808" s="28">
        <f t="array" ref="D1808">_xlfn.XLOOKUP($A1808, 'Medical Examinations'!$A:$A, 'Medical Examinations'!C:C, "No Data")</f>
        <v>11.69</v>
      </c>
      <c r="E1808" s="28" t="str">
        <f t="array" ref="E1808">_xlfn.XLOOKUP($A1808, 'Medical Examinations'!$A:$A, 'Medical Examinations'!D:D, "No Data")</f>
        <v>yes</v>
      </c>
      <c r="F1808" s="28" t="str">
        <f t="array" ref="F1808">_xlfn.XLOOKUP($A1808, 'Medical Examinations'!$A:$A, 'Medical Examinations'!E:E, "No Data")</f>
        <v>No</v>
      </c>
      <c r="G1808" s="28" t="str">
        <f t="array" ref="G1808">_xlfn.XLOOKUP($A1808, 'Medical Examinations'!$A:$A, 'Medical Examinations'!F:F, "No Data")</f>
        <v>No</v>
      </c>
      <c r="H1808" s="28">
        <f t="array" ref="H1808">_xlfn.XLOOKUP($A1808, 'Medical Examinations'!$A:$A, 'Medical Examinations'!G:G, "No Data")</f>
        <v>1</v>
      </c>
      <c r="I1808" s="28" t="str">
        <f t="array" ref="I1808">_xlfn.XLOOKUP($A1808, 'Medical Examinations'!$A:$A, 'Medical Examinations'!H:H, "No Data")</f>
        <v>No</v>
      </c>
      <c r="J1808" s="28" t="str">
        <f t="array" ref="J1808">_xlfn.XLOOKUP($A1808, 'Medical Examinations'!$A:$A, 'Medical Examinations'!I:I, "No Data")</f>
        <v>Normal Weight</v>
      </c>
      <c r="K1808" s="28" t="str">
        <f t="array" ref="K1808">_xlfn.XLOOKUP($A1808, 'Hospitalisation Details'!$A:$A, 'Hospitalisation Details'!I:I, "No Data")</f>
        <v>tier - 1</v>
      </c>
      <c r="L1808" s="28" t="str">
        <f t="array" ref="L1808">_xlfn.XLOOKUP($A1808, 'Hospitalisation Details'!$A:$A, 'Hospitalisation Details'!J:J, "No Data")</f>
        <v>R1013</v>
      </c>
      <c r="M1808" s="28" t="str">
        <f t="array" ref="M1808">_xlfn.XLOOKUP($A1808, 'Hospitalisation Details'!$A:$A, 'Hospitalisation Details'!E:E, "No Data")</f>
        <v>05/09/86</v>
      </c>
      <c r="N1808" s="28">
        <f t="array" ref="N1808">_xlfn.XLOOKUP($A1808, 'Hospitalisation Details'!$A:$A, 'Hospitalisation Details'!K:K, "No Data")</f>
        <v>36</v>
      </c>
      <c r="O1808" s="33">
        <f t="array" ref="O1808">_xlfn.XLOOKUP($A1808, 'Hospitalisation Details'!$A:$A, 'Hospitalisation Details'!G:G, "No Data")</f>
        <v>4734.64</v>
      </c>
      <c r="P1808" s="28" t="str">
        <f t="array" ref="P1808">_xlfn.XLOOKUP($A1808, 'Hospitalisation Details'!$A:$A, 'Hospitalisation Details'!H:H, "No Data")</f>
        <v>tier - 2</v>
      </c>
    </row>
    <row r="1809">
      <c r="A1809" s="25" t="s">
        <v>3694</v>
      </c>
      <c r="B1809" s="28" t="str">
        <f t="array" ref="B1809">_xlfn.XLOOKUP($A1809, 'Customer Names'!$A:$A, 'Customer Names'!B:B, "No Data")</f>
        <v>Kong</v>
      </c>
      <c r="C1809" s="28">
        <f t="array" ref="C1809">_xlfn.XLOOKUP($A1809, 'Medical Examinations'!$A:$A, 'Medical Examinations'!B:B, "No Data")</f>
        <v>15.57</v>
      </c>
      <c r="D1809" s="28">
        <f t="array" ref="D1809">_xlfn.XLOOKUP($A1809, 'Medical Examinations'!$A:$A, 'Medical Examinations'!C:C, "No Data")</f>
        <v>6.07</v>
      </c>
      <c r="E1809" s="28" t="str">
        <f t="array" ref="E1809">_xlfn.XLOOKUP($A1809, 'Medical Examinations'!$A:$A, 'Medical Examinations'!D:D, "No Data")</f>
        <v>No</v>
      </c>
      <c r="F1809" s="28" t="str">
        <f t="array" ref="F1809">_xlfn.XLOOKUP($A1809, 'Medical Examinations'!$A:$A, 'Medical Examinations'!E:E, "No Data")</f>
        <v>No</v>
      </c>
      <c r="G1809" s="28" t="str">
        <f t="array" ref="G1809">_xlfn.XLOOKUP($A1809, 'Medical Examinations'!$A:$A, 'Medical Examinations'!F:F, "No Data")</f>
        <v>No</v>
      </c>
      <c r="H1809" s="28">
        <f t="array" ref="H1809">_xlfn.XLOOKUP($A1809, 'Medical Examinations'!$A:$A, 'Medical Examinations'!G:G, "No Data")</f>
        <v>0</v>
      </c>
      <c r="I1809" s="28" t="str">
        <f t="array" ref="I1809">_xlfn.XLOOKUP($A1809, 'Medical Examinations'!$A:$A, 'Medical Examinations'!H:H, "No Data")</f>
        <v>No</v>
      </c>
      <c r="J1809" s="28" t="str">
        <f t="array" ref="J1809">_xlfn.XLOOKUP($A1809, 'Medical Examinations'!$A:$A, 'Medical Examinations'!I:I, "No Data")</f>
        <v>Underweight</v>
      </c>
      <c r="K1809" s="28" t="str">
        <f t="array" ref="K1809">_xlfn.XLOOKUP($A1809, 'Hospitalisation Details'!$A:$A, 'Hospitalisation Details'!I:I, "No Data")</f>
        <v>tier - 3</v>
      </c>
      <c r="L1809" s="28" t="str">
        <f t="array" ref="L1809">_xlfn.XLOOKUP($A1809, 'Hospitalisation Details'!$A:$A, 'Hospitalisation Details'!J:J, "No Data")</f>
        <v>R1012</v>
      </c>
      <c r="M1809" s="28" t="str">
        <f t="array" ref="M1809">_xlfn.XLOOKUP($A1809, 'Hospitalisation Details'!$A:$A, 'Hospitalisation Details'!E:E, "No Data")</f>
        <v>02/07/80</v>
      </c>
      <c r="N1809" s="28">
        <f t="array" ref="N1809">_xlfn.XLOOKUP($A1809, 'Hospitalisation Details'!$A:$A, 'Hospitalisation Details'!K:K, "No Data")</f>
        <v>42</v>
      </c>
      <c r="O1809" s="33">
        <f t="array" ref="O1809">_xlfn.XLOOKUP($A1809, 'Hospitalisation Details'!$A:$A, 'Hospitalisation Details'!G:G, "No Data")</f>
        <v>4728.71</v>
      </c>
      <c r="P1809" s="28" t="str">
        <f t="array" ref="P1809">_xlfn.XLOOKUP($A1809, 'Hospitalisation Details'!$A:$A, 'Hospitalisation Details'!H:H, "No Data")</f>
        <v>tier - 2</v>
      </c>
    </row>
    <row r="1810">
      <c r="A1810" s="25" t="s">
        <v>3690</v>
      </c>
      <c r="B1810" s="28" t="str">
        <f t="array" ref="B1810">_xlfn.XLOOKUP($A1810, 'Customer Names'!$A:$A, 'Customer Names'!B:B, "No Data")</f>
        <v>Benson</v>
      </c>
      <c r="C1810" s="28">
        <f t="array" ref="C1810">_xlfn.XLOOKUP($A1810, 'Medical Examinations'!$A:$A, 'Medical Examinations'!B:B, "No Data")</f>
        <v>23.845</v>
      </c>
      <c r="D1810" s="28">
        <f t="array" ref="D1810">_xlfn.XLOOKUP($A1810, 'Medical Examinations'!$A:$A, 'Medical Examinations'!C:C, "No Data")</f>
        <v>4.36</v>
      </c>
      <c r="E1810" s="28" t="str">
        <f t="array" ref="E1810">_xlfn.XLOOKUP($A1810, 'Medical Examinations'!$A:$A, 'Medical Examinations'!D:D, "No Data")</f>
        <v>No</v>
      </c>
      <c r="F1810" s="28" t="str">
        <f t="array" ref="F1810">_xlfn.XLOOKUP($A1810, 'Medical Examinations'!$A:$A, 'Medical Examinations'!E:E, "No Data")</f>
        <v>No</v>
      </c>
      <c r="G1810" s="28" t="str">
        <f t="array" ref="G1810">_xlfn.XLOOKUP($A1810, 'Medical Examinations'!$A:$A, 'Medical Examinations'!F:F, "No Data")</f>
        <v>No</v>
      </c>
      <c r="H1810" s="28">
        <f t="array" ref="H1810">_xlfn.XLOOKUP($A1810, 'Medical Examinations'!$A:$A, 'Medical Examinations'!G:G, "No Data")</f>
        <v>0</v>
      </c>
      <c r="I1810" s="28" t="str">
        <f t="array" ref="I1810">_xlfn.XLOOKUP($A1810, 'Medical Examinations'!$A:$A, 'Medical Examinations'!H:H, "No Data")</f>
        <v>No</v>
      </c>
      <c r="J1810" s="28" t="str">
        <f t="array" ref="J1810">_xlfn.XLOOKUP($A1810, 'Medical Examinations'!$A:$A, 'Medical Examinations'!I:I, "No Data")</f>
        <v>Normal Weight</v>
      </c>
      <c r="K1810" s="28" t="str">
        <f t="array" ref="K1810">_xlfn.XLOOKUP($A1810, 'Hospitalisation Details'!$A:$A, 'Hospitalisation Details'!I:I, "No Data")</f>
        <v>tier - 1</v>
      </c>
      <c r="L1810" s="28" t="str">
        <f t="array" ref="L1810">_xlfn.XLOOKUP($A1810, 'Hospitalisation Details'!$A:$A, 'Hospitalisation Details'!J:J, "No Data")</f>
        <v>R1012</v>
      </c>
      <c r="M1810" s="28" t="str">
        <f t="array" ref="M1810">_xlfn.XLOOKUP($A1810, 'Hospitalisation Details'!$A:$A, 'Hospitalisation Details'!E:E, "No Data")</f>
        <v>12/08/94</v>
      </c>
      <c r="N1810" s="28">
        <f t="array" ref="N1810">_xlfn.XLOOKUP($A1810, 'Hospitalisation Details'!$A:$A, 'Hospitalisation Details'!K:K, "No Data")</f>
        <v>28</v>
      </c>
      <c r="O1810" s="33">
        <f t="array" ref="O1810">_xlfn.XLOOKUP($A1810, 'Hospitalisation Details'!$A:$A, 'Hospitalisation Details'!G:G, "No Data")</f>
        <v>4719.74</v>
      </c>
      <c r="P1810" s="28" t="str">
        <f t="array" ref="P1810">_xlfn.XLOOKUP($A1810, 'Hospitalisation Details'!$A:$A, 'Hospitalisation Details'!H:H, "No Data")</f>
        <v>tier - 2</v>
      </c>
    </row>
    <row r="1811">
      <c r="A1811" s="25" t="s">
        <v>3685</v>
      </c>
      <c r="B1811" s="28" t="str">
        <f t="array" ref="B1811">_xlfn.XLOOKUP($A1811, 'Customer Names'!$A:$A, 'Customer Names'!B:B, "No Data")</f>
        <v>Huntington</v>
      </c>
      <c r="C1811" s="28">
        <f t="array" ref="C1811">_xlfn.XLOOKUP($A1811, 'Medical Examinations'!$A:$A, 'Medical Examinations'!B:B, "No Data")</f>
        <v>22.895</v>
      </c>
      <c r="D1811" s="28">
        <f t="array" ref="D1811">_xlfn.XLOOKUP($A1811, 'Medical Examinations'!$A:$A, 'Medical Examinations'!C:C, "No Data")</f>
        <v>5.24</v>
      </c>
      <c r="E1811" s="28" t="str">
        <f t="array" ref="E1811">_xlfn.XLOOKUP($A1811, 'Medical Examinations'!$A:$A, 'Medical Examinations'!D:D, "No Data")</f>
        <v>No</v>
      </c>
      <c r="F1811" s="28" t="str">
        <f t="array" ref="F1811">_xlfn.XLOOKUP($A1811, 'Medical Examinations'!$A:$A, 'Medical Examinations'!E:E, "No Data")</f>
        <v>No</v>
      </c>
      <c r="G1811" s="28" t="str">
        <f t="array" ref="G1811">_xlfn.XLOOKUP($A1811, 'Medical Examinations'!$A:$A, 'Medical Examinations'!F:F, "No Data")</f>
        <v>No</v>
      </c>
      <c r="H1811" s="28">
        <f t="array" ref="H1811">_xlfn.XLOOKUP($A1811, 'Medical Examinations'!$A:$A, 'Medical Examinations'!G:G, "No Data")</f>
        <v>1</v>
      </c>
      <c r="I1811" s="28" t="str">
        <f t="array" ref="I1811">_xlfn.XLOOKUP($A1811, 'Medical Examinations'!$A:$A, 'Medical Examinations'!H:H, "No Data")</f>
        <v>No</v>
      </c>
      <c r="J1811" s="28" t="str">
        <f t="array" ref="J1811">_xlfn.XLOOKUP($A1811, 'Medical Examinations'!$A:$A, 'Medical Examinations'!I:I, "No Data")</f>
        <v>Normal Weight</v>
      </c>
      <c r="K1811" s="28" t="str">
        <f t="array" ref="K1811">_xlfn.XLOOKUP($A1811, 'Hospitalisation Details'!$A:$A, 'Hospitalisation Details'!I:I, "No Data")</f>
        <v>tier - 2</v>
      </c>
      <c r="L1811" s="28" t="str">
        <f t="array" ref="L1811">_xlfn.XLOOKUP($A1811, 'Hospitalisation Details'!$A:$A, 'Hospitalisation Details'!J:J, "No Data")</f>
        <v>R1024</v>
      </c>
      <c r="M1811" s="28" t="str">
        <f t="array" ref="M1811">_xlfn.XLOOKUP($A1811, 'Hospitalisation Details'!$A:$A, 'Hospitalisation Details'!E:E, "No Data")</f>
        <v>28/09/92</v>
      </c>
      <c r="N1811" s="28">
        <f t="array" ref="N1811">_xlfn.XLOOKUP($A1811, 'Hospitalisation Details'!$A:$A, 'Hospitalisation Details'!K:K, "No Data")</f>
        <v>30</v>
      </c>
      <c r="O1811" s="33">
        <f t="array" ref="O1811">_xlfn.XLOOKUP($A1811, 'Hospitalisation Details'!$A:$A, 'Hospitalisation Details'!G:G, "No Data")</f>
        <v>4719.52</v>
      </c>
      <c r="P1811" s="28" t="str">
        <f t="array" ref="P1811">_xlfn.XLOOKUP($A1811, 'Hospitalisation Details'!$A:$A, 'Hospitalisation Details'!H:H, "No Data")</f>
        <v>tier - 2</v>
      </c>
    </row>
    <row r="1812">
      <c r="A1812" s="25" t="s">
        <v>3680</v>
      </c>
      <c r="B1812" s="28" t="str">
        <f t="array" ref="B1812">_xlfn.XLOOKUP($A1812, 'Customer Names'!$A:$A, 'Customer Names'!B:B, "No Data")</f>
        <v>Kendall</v>
      </c>
      <c r="C1812" s="28">
        <f t="array" ref="C1812">_xlfn.XLOOKUP($A1812, 'Medical Examinations'!$A:$A, 'Medical Examinations'!B:B, "No Data")</f>
        <v>21.945</v>
      </c>
      <c r="D1812" s="28">
        <f t="array" ref="D1812">_xlfn.XLOOKUP($A1812, 'Medical Examinations'!$A:$A, 'Medical Examinations'!C:C, "No Data")</f>
        <v>5.37</v>
      </c>
      <c r="E1812" s="28" t="str">
        <f t="array" ref="E1812">_xlfn.XLOOKUP($A1812, 'Medical Examinations'!$A:$A, 'Medical Examinations'!D:D, "No Data")</f>
        <v>No</v>
      </c>
      <c r="F1812" s="28" t="str">
        <f t="array" ref="F1812">_xlfn.XLOOKUP($A1812, 'Medical Examinations'!$A:$A, 'Medical Examinations'!E:E, "No Data")</f>
        <v>No</v>
      </c>
      <c r="G1812" s="28" t="str">
        <f t="array" ref="G1812">_xlfn.XLOOKUP($A1812, 'Medical Examinations'!$A:$A, 'Medical Examinations'!F:F, "No Data")</f>
        <v>No</v>
      </c>
      <c r="H1812" s="28">
        <f t="array" ref="H1812">_xlfn.XLOOKUP($A1812, 'Medical Examinations'!$A:$A, 'Medical Examinations'!G:G, "No Data")</f>
        <v>1</v>
      </c>
      <c r="I1812" s="28" t="str">
        <f t="array" ref="I1812">_xlfn.XLOOKUP($A1812, 'Medical Examinations'!$A:$A, 'Medical Examinations'!H:H, "No Data")</f>
        <v>No</v>
      </c>
      <c r="J1812" s="28" t="str">
        <f t="array" ref="J1812">_xlfn.XLOOKUP($A1812, 'Medical Examinations'!$A:$A, 'Medical Examinations'!I:I, "No Data")</f>
        <v>Normal Weight</v>
      </c>
      <c r="K1812" s="28" t="str">
        <f t="array" ref="K1812">_xlfn.XLOOKUP($A1812, 'Hospitalisation Details'!$A:$A, 'Hospitalisation Details'!I:I, "No Data")</f>
        <v>tier - 3</v>
      </c>
      <c r="L1812" s="28" t="str">
        <f t="array" ref="L1812">_xlfn.XLOOKUP($A1812, 'Hospitalisation Details'!$A:$A, 'Hospitalisation Details'!J:J, "No Data")</f>
        <v>R1024</v>
      </c>
      <c r="M1812" s="28" t="str">
        <f t="array" ref="M1812">_xlfn.XLOOKUP($A1812, 'Hospitalisation Details'!$A:$A, 'Hospitalisation Details'!E:E, "No Data")</f>
        <v>09/10/92</v>
      </c>
      <c r="N1812" s="28">
        <f t="array" ref="N1812">_xlfn.XLOOKUP($A1812, 'Hospitalisation Details'!$A:$A, 'Hospitalisation Details'!K:K, "No Data")</f>
        <v>30</v>
      </c>
      <c r="O1812" s="33">
        <f t="array" ref="O1812">_xlfn.XLOOKUP($A1812, 'Hospitalisation Details'!$A:$A, 'Hospitalisation Details'!G:G, "No Data")</f>
        <v>4718.2</v>
      </c>
      <c r="P1812" s="28" t="str">
        <f t="array" ref="P1812">_xlfn.XLOOKUP($A1812, 'Hospitalisation Details'!$A:$A, 'Hospitalisation Details'!H:H, "No Data")</f>
        <v>tier - 2</v>
      </c>
    </row>
    <row r="1813">
      <c r="A1813" s="25" t="s">
        <v>3675</v>
      </c>
      <c r="B1813" s="28" t="str">
        <f t="array" ref="B1813">_xlfn.XLOOKUP($A1813, 'Customer Names'!$A:$A, 'Customer Names'!B:B, "No Data")</f>
        <v>Gast</v>
      </c>
      <c r="C1813" s="28">
        <f t="array" ref="C1813">_xlfn.XLOOKUP($A1813, 'Medical Examinations'!$A:$A, 'Medical Examinations'!B:B, "No Data")</f>
        <v>19.47</v>
      </c>
      <c r="D1813" s="28">
        <f t="array" ref="D1813">_xlfn.XLOOKUP($A1813, 'Medical Examinations'!$A:$A, 'Medical Examinations'!C:C, "No Data")</f>
        <v>6.6</v>
      </c>
      <c r="E1813" s="28" t="str">
        <f t="array" ref="E1813">_xlfn.XLOOKUP($A1813, 'Medical Examinations'!$A:$A, 'Medical Examinations'!D:D, "No Data")</f>
        <v>yes</v>
      </c>
      <c r="F1813" s="28" t="str">
        <f t="array" ref="F1813">_xlfn.XLOOKUP($A1813, 'Medical Examinations'!$A:$A, 'Medical Examinations'!E:E, "No Data")</f>
        <v>No</v>
      </c>
      <c r="G1813" s="28" t="str">
        <f t="array" ref="G1813">_xlfn.XLOOKUP($A1813, 'Medical Examinations'!$A:$A, 'Medical Examinations'!F:F, "No Data")</f>
        <v>No</v>
      </c>
      <c r="H1813" s="28">
        <f t="array" ref="H1813">_xlfn.XLOOKUP($A1813, 'Medical Examinations'!$A:$A, 'Medical Examinations'!G:G, "No Data")</f>
        <v>0</v>
      </c>
      <c r="I1813" s="28" t="str">
        <f t="array" ref="I1813">_xlfn.XLOOKUP($A1813, 'Medical Examinations'!$A:$A, 'Medical Examinations'!H:H, "No Data")</f>
        <v>No</v>
      </c>
      <c r="J1813" s="28" t="str">
        <f t="array" ref="J1813">_xlfn.XLOOKUP($A1813, 'Medical Examinations'!$A:$A, 'Medical Examinations'!I:I, "No Data")</f>
        <v>Normal Weight</v>
      </c>
      <c r="K1813" s="28" t="str">
        <f t="array" ref="K1813">_xlfn.XLOOKUP($A1813, 'Hospitalisation Details'!$A:$A, 'Hospitalisation Details'!I:I, "No Data")</f>
        <v>tier - 3</v>
      </c>
      <c r="L1813" s="28" t="str">
        <f t="array" ref="L1813">_xlfn.XLOOKUP($A1813, 'Hospitalisation Details'!$A:$A, 'Hospitalisation Details'!J:J, "No Data")</f>
        <v>R1011</v>
      </c>
      <c r="M1813" s="28" t="str">
        <f t="array" ref="M1813">_xlfn.XLOOKUP($A1813, 'Hospitalisation Details'!$A:$A, 'Hospitalisation Details'!E:E, "No Data")</f>
        <v>12/08/81</v>
      </c>
      <c r="N1813" s="28">
        <f t="array" ref="N1813">_xlfn.XLOOKUP($A1813, 'Hospitalisation Details'!$A:$A, 'Hospitalisation Details'!K:K, "No Data")</f>
        <v>41</v>
      </c>
      <c r="O1813" s="33">
        <f t="array" ref="O1813">_xlfn.XLOOKUP($A1813, 'Hospitalisation Details'!$A:$A, 'Hospitalisation Details'!G:G, "No Data")</f>
        <v>4712.12</v>
      </c>
      <c r="P1813" s="28" t="str">
        <f t="array" ref="P1813">_xlfn.XLOOKUP($A1813, 'Hospitalisation Details'!$A:$A, 'Hospitalisation Details'!H:H, "No Data")</f>
        <v>tier - 2</v>
      </c>
    </row>
    <row r="1814">
      <c r="A1814" s="25" t="s">
        <v>3668</v>
      </c>
      <c r="B1814" s="28" t="str">
        <f t="array" ref="B1814">_xlfn.XLOOKUP($A1814, 'Customer Names'!$A:$A, 'Customer Names'!B:B, "No Data")</f>
        <v>Scanlin</v>
      </c>
      <c r="C1814" s="28">
        <f t="array" ref="C1814">_xlfn.XLOOKUP($A1814, 'Medical Examinations'!$A:$A, 'Medical Examinations'!B:B, "No Data")</f>
        <v>15.61</v>
      </c>
      <c r="D1814" s="28">
        <f t="array" ref="D1814">_xlfn.XLOOKUP($A1814, 'Medical Examinations'!$A:$A, 'Medical Examinations'!C:C, "No Data")</f>
        <v>5.77</v>
      </c>
      <c r="E1814" s="28" t="str">
        <f t="array" ref="E1814">_xlfn.XLOOKUP($A1814, 'Medical Examinations'!$A:$A, 'Medical Examinations'!D:D, "No Data")</f>
        <v>No</v>
      </c>
      <c r="F1814" s="28" t="str">
        <f t="array" ref="F1814">_xlfn.XLOOKUP($A1814, 'Medical Examinations'!$A:$A, 'Medical Examinations'!E:E, "No Data")</f>
        <v>No</v>
      </c>
      <c r="G1814" s="28" t="str">
        <f t="array" ref="G1814">_xlfn.XLOOKUP($A1814, 'Medical Examinations'!$A:$A, 'Medical Examinations'!F:F, "No Data")</f>
        <v>No</v>
      </c>
      <c r="H1814" s="28">
        <f t="array" ref="H1814">_xlfn.XLOOKUP($A1814, 'Medical Examinations'!$A:$A, 'Medical Examinations'!G:G, "No Data")</f>
        <v>0</v>
      </c>
      <c r="I1814" s="28" t="str">
        <f t="array" ref="I1814">_xlfn.XLOOKUP($A1814, 'Medical Examinations'!$A:$A, 'Medical Examinations'!H:H, "No Data")</f>
        <v>No</v>
      </c>
      <c r="J1814" s="28" t="str">
        <f t="array" ref="J1814">_xlfn.XLOOKUP($A1814, 'Medical Examinations'!$A:$A, 'Medical Examinations'!I:I, "No Data")</f>
        <v>Underweight</v>
      </c>
      <c r="K1814" s="28" t="str">
        <f t="array" ref="K1814">_xlfn.XLOOKUP($A1814, 'Hospitalisation Details'!$A:$A, 'Hospitalisation Details'!I:I, "No Data")</f>
        <v>tier - 3</v>
      </c>
      <c r="L1814" s="28" t="str">
        <f t="array" ref="L1814">_xlfn.XLOOKUP($A1814, 'Hospitalisation Details'!$A:$A, 'Hospitalisation Details'!J:J, "No Data")</f>
        <v>R1013</v>
      </c>
      <c r="M1814" s="28" t="str">
        <f t="array" ref="M1814">_xlfn.XLOOKUP($A1814, 'Hospitalisation Details'!$A:$A, 'Hospitalisation Details'!E:E, "No Data")</f>
        <v>04/12/77</v>
      </c>
      <c r="N1814" s="28">
        <f t="array" ref="N1814">_xlfn.XLOOKUP($A1814, 'Hospitalisation Details'!$A:$A, 'Hospitalisation Details'!K:K, "No Data")</f>
        <v>45</v>
      </c>
      <c r="O1814" s="33">
        <f t="array" ref="O1814">_xlfn.XLOOKUP($A1814, 'Hospitalisation Details'!$A:$A, 'Hospitalisation Details'!G:G, "No Data")</f>
        <v>4699.47</v>
      </c>
      <c r="P1814" s="28" t="str">
        <f t="array" ref="P1814">_xlfn.XLOOKUP($A1814, 'Hospitalisation Details'!$A:$A, 'Hospitalisation Details'!H:H, "No Data")</f>
        <v>tier - 2</v>
      </c>
    </row>
    <row r="1815">
      <c r="A1815" s="25" t="s">
        <v>3662</v>
      </c>
      <c r="B1815" s="28" t="str">
        <f t="array" ref="B1815">_xlfn.XLOOKUP($A1815, 'Customer Names'!$A:$A, 'Customer Names'!B:B, "No Data")</f>
        <v>Philbrook</v>
      </c>
      <c r="C1815" s="28">
        <f t="array" ref="C1815">_xlfn.XLOOKUP($A1815, 'Medical Examinations'!$A:$A, 'Medical Examinations'!B:B, "No Data")</f>
        <v>28.6</v>
      </c>
      <c r="D1815" s="28">
        <f t="array" ref="D1815">_xlfn.XLOOKUP($A1815, 'Medical Examinations'!$A:$A, 'Medical Examinations'!C:C, "No Data")</f>
        <v>6.08</v>
      </c>
      <c r="E1815" s="28" t="str">
        <f t="array" ref="E1815">_xlfn.XLOOKUP($A1815, 'Medical Examinations'!$A:$A, 'Medical Examinations'!D:D, "No Data")</f>
        <v>No</v>
      </c>
      <c r="F1815" s="28" t="str">
        <f t="array" ref="F1815">_xlfn.XLOOKUP($A1815, 'Medical Examinations'!$A:$A, 'Medical Examinations'!E:E, "No Data")</f>
        <v>No</v>
      </c>
      <c r="G1815" s="28" t="str">
        <f t="array" ref="G1815">_xlfn.XLOOKUP($A1815, 'Medical Examinations'!$A:$A, 'Medical Examinations'!F:F, "No Data")</f>
        <v>Yes</v>
      </c>
      <c r="H1815" s="28">
        <f t="array" ref="H1815">_xlfn.XLOOKUP($A1815, 'Medical Examinations'!$A:$A, 'Medical Examinations'!G:G, "No Data")</f>
        <v>1</v>
      </c>
      <c r="I1815" s="28" t="str">
        <f t="array" ref="I1815">_xlfn.XLOOKUP($A1815, 'Medical Examinations'!$A:$A, 'Medical Examinations'!H:H, "No Data")</f>
        <v>No</v>
      </c>
      <c r="J1815" s="28" t="str">
        <f t="array" ref="J1815">_xlfn.XLOOKUP($A1815, 'Medical Examinations'!$A:$A, 'Medical Examinations'!I:I, "No Data")</f>
        <v>Overweight</v>
      </c>
      <c r="K1815" s="28" t="str">
        <f t="array" ref="K1815">_xlfn.XLOOKUP($A1815, 'Hospitalisation Details'!$A:$A, 'Hospitalisation Details'!I:I, "No Data")</f>
        <v>tier - 3</v>
      </c>
      <c r="L1815" s="28" t="str">
        <f t="array" ref="L1815">_xlfn.XLOOKUP($A1815, 'Hospitalisation Details'!$A:$A, 'Hospitalisation Details'!J:J, "No Data")</f>
        <v>R1011</v>
      </c>
      <c r="M1815" s="28" t="str">
        <f t="array" ref="M1815">_xlfn.XLOOKUP($A1815, 'Hospitalisation Details'!$A:$A, 'Hospitalisation Details'!E:E, "No Data")</f>
        <v>22/06/03</v>
      </c>
      <c r="N1815" s="28">
        <f t="array" ref="N1815">_xlfn.XLOOKUP($A1815, 'Hospitalisation Details'!$A:$A, 'Hospitalisation Details'!K:K, "No Data")</f>
        <v>19</v>
      </c>
      <c r="O1815" s="33">
        <f t="array" ref="O1815">_xlfn.XLOOKUP($A1815, 'Hospitalisation Details'!$A:$A, 'Hospitalisation Details'!G:G, "No Data")</f>
        <v>4687.8</v>
      </c>
      <c r="P1815" s="28" t="str">
        <f t="array" ref="P1815">_xlfn.XLOOKUP($A1815, 'Hospitalisation Details'!$A:$A, 'Hospitalisation Details'!H:H, "No Data")</f>
        <v>tier - 2</v>
      </c>
    </row>
    <row r="1816">
      <c r="A1816" s="25" t="s">
        <v>3656</v>
      </c>
      <c r="B1816" s="28" t="str">
        <f t="array" ref="B1816">_xlfn.XLOOKUP($A1816, 'Customer Names'!$A:$A, 'Customer Names'!B:B, "No Data")</f>
        <v>Cowan</v>
      </c>
      <c r="C1816" s="28">
        <f t="array" ref="C1816">_xlfn.XLOOKUP($A1816, 'Medical Examinations'!$A:$A, 'Medical Examinations'!B:B, "No Data")</f>
        <v>46.53</v>
      </c>
      <c r="D1816" s="28">
        <f t="array" ref="D1816">_xlfn.XLOOKUP($A1816, 'Medical Examinations'!$A:$A, 'Medical Examinations'!C:C, "No Data")</f>
        <v>4.16</v>
      </c>
      <c r="E1816" s="28" t="str">
        <f t="array" ref="E1816">_xlfn.XLOOKUP($A1816, 'Medical Examinations'!$A:$A, 'Medical Examinations'!D:D, "No Data")</f>
        <v>No</v>
      </c>
      <c r="F1816" s="28" t="str">
        <f t="array" ref="F1816">_xlfn.XLOOKUP($A1816, 'Medical Examinations'!$A:$A, 'Medical Examinations'!E:E, "No Data")</f>
        <v>No</v>
      </c>
      <c r="G1816" s="28" t="str">
        <f t="array" ref="G1816">_xlfn.XLOOKUP($A1816, 'Medical Examinations'!$A:$A, 'Medical Examinations'!F:F, "No Data")</f>
        <v>No</v>
      </c>
      <c r="H1816" s="28">
        <f t="array" ref="H1816">_xlfn.XLOOKUP($A1816, 'Medical Examinations'!$A:$A, 'Medical Examinations'!G:G, "No Data")</f>
        <v>0</v>
      </c>
      <c r="I1816" s="28" t="str">
        <f t="array" ref="I1816">_xlfn.XLOOKUP($A1816, 'Medical Examinations'!$A:$A, 'Medical Examinations'!H:H, "No Data")</f>
        <v>No</v>
      </c>
      <c r="J1816" s="28" t="str">
        <f t="array" ref="J1816">_xlfn.XLOOKUP($A1816, 'Medical Examinations'!$A:$A, 'Medical Examinations'!I:I, "No Data")</f>
        <v>Obesity</v>
      </c>
      <c r="K1816" s="28" t="str">
        <f t="array" ref="K1816">_xlfn.XLOOKUP($A1816, 'Hospitalisation Details'!$A:$A, 'Hospitalisation Details'!I:I, "No Data")</f>
        <v>tier - 3</v>
      </c>
      <c r="L1816" s="28" t="str">
        <f t="array" ref="L1816">_xlfn.XLOOKUP($A1816, 'Hospitalisation Details'!$A:$A, 'Hospitalisation Details'!J:J, "No Data")</f>
        <v>R1013</v>
      </c>
      <c r="M1816" s="28" t="str">
        <f t="array" ref="M1816">_xlfn.XLOOKUP($A1816, 'Hospitalisation Details'!$A:$A, 'Hospitalisation Details'!E:E, "No Data")</f>
        <v>04/09/90</v>
      </c>
      <c r="N1816" s="28">
        <f t="array" ref="N1816">_xlfn.XLOOKUP($A1816, 'Hospitalisation Details'!$A:$A, 'Hospitalisation Details'!K:K, "No Data")</f>
        <v>32</v>
      </c>
      <c r="O1816" s="33">
        <f t="array" ref="O1816">_xlfn.XLOOKUP($A1816, 'Hospitalisation Details'!$A:$A, 'Hospitalisation Details'!G:G, "No Data")</f>
        <v>4686.39</v>
      </c>
      <c r="P1816" s="28" t="str">
        <f t="array" ref="P1816">_xlfn.XLOOKUP($A1816, 'Hospitalisation Details'!$A:$A, 'Hospitalisation Details'!H:H, "No Data")</f>
        <v>tier - 3</v>
      </c>
    </row>
    <row r="1817">
      <c r="A1817" s="25" t="s">
        <v>3649</v>
      </c>
      <c r="B1817" s="28" t="str">
        <f t="array" ref="B1817">_xlfn.XLOOKUP($A1817, 'Customer Names'!$A:$A, 'Customer Names'!B:B, "No Data")</f>
        <v>Sousa</v>
      </c>
      <c r="C1817" s="28">
        <f t="array" ref="C1817">_xlfn.XLOOKUP($A1817, 'Medical Examinations'!$A:$A, 'Medical Examinations'!B:B, "No Data")</f>
        <v>34.99</v>
      </c>
      <c r="D1817" s="28">
        <f t="array" ref="D1817">_xlfn.XLOOKUP($A1817, 'Medical Examinations'!$A:$A, 'Medical Examinations'!C:C, "No Data")</f>
        <v>5.1</v>
      </c>
      <c r="E1817" s="28" t="str">
        <f t="array" ref="E1817">_xlfn.XLOOKUP($A1817, 'Medical Examinations'!$A:$A, 'Medical Examinations'!D:D, "No Data")</f>
        <v>No</v>
      </c>
      <c r="F1817" s="28" t="str">
        <f t="array" ref="F1817">_xlfn.XLOOKUP($A1817, 'Medical Examinations'!$A:$A, 'Medical Examinations'!E:E, "No Data")</f>
        <v>No</v>
      </c>
      <c r="G1817" s="28" t="str">
        <f t="array" ref="G1817">_xlfn.XLOOKUP($A1817, 'Medical Examinations'!$A:$A, 'Medical Examinations'!F:F, "No Data")</f>
        <v>Yes</v>
      </c>
      <c r="H1817" s="28">
        <f t="array" ref="H1817">_xlfn.XLOOKUP($A1817, 'Medical Examinations'!$A:$A, 'Medical Examinations'!G:G, "No Data")</f>
        <v>1</v>
      </c>
      <c r="I1817" s="28" t="str">
        <f t="array" ref="I1817">_xlfn.XLOOKUP($A1817, 'Medical Examinations'!$A:$A, 'Medical Examinations'!H:H, "No Data")</f>
        <v>No</v>
      </c>
      <c r="J1817" s="28" t="str">
        <f t="array" ref="J1817">_xlfn.XLOOKUP($A1817, 'Medical Examinations'!$A:$A, 'Medical Examinations'!I:I, "No Data")</f>
        <v>Obesity</v>
      </c>
      <c r="K1817" s="28" t="str">
        <f t="array" ref="K1817">_xlfn.XLOOKUP($A1817, 'Hospitalisation Details'!$A:$A, 'Hospitalisation Details'!I:I, "No Data")</f>
        <v>tier - 1</v>
      </c>
      <c r="L1817" s="28" t="str">
        <f t="array" ref="L1817">_xlfn.XLOOKUP($A1817, 'Hospitalisation Details'!$A:$A, 'Hospitalisation Details'!J:J, "No Data")</f>
        <v>R1021</v>
      </c>
      <c r="M1817" s="28" t="str">
        <f t="array" ref="M1817">_xlfn.XLOOKUP($A1817, 'Hospitalisation Details'!$A:$A, 'Hospitalisation Details'!E:E, "No Data")</f>
        <v>04/10/03</v>
      </c>
      <c r="N1817" s="28">
        <f t="array" ref="N1817">_xlfn.XLOOKUP($A1817, 'Hospitalisation Details'!$A:$A, 'Hospitalisation Details'!K:K, "No Data")</f>
        <v>19</v>
      </c>
      <c r="O1817" s="33">
        <f t="array" ref="O1817">_xlfn.XLOOKUP($A1817, 'Hospitalisation Details'!$A:$A, 'Hospitalisation Details'!G:G, "No Data")</f>
        <v>4678.8</v>
      </c>
      <c r="P1817" s="28" t="str">
        <f t="array" ref="P1817">_xlfn.XLOOKUP($A1817, 'Hospitalisation Details'!$A:$A, 'Hospitalisation Details'!H:H, "No Data")</f>
        <v>tier - 2</v>
      </c>
    </row>
    <row r="1818">
      <c r="A1818" s="25" t="s">
        <v>3644</v>
      </c>
      <c r="B1818" s="28" t="str">
        <f t="array" ref="B1818">_xlfn.XLOOKUP($A1818, 'Customer Names'!$A:$A, 'Customer Names'!B:B, "No Data")</f>
        <v>Stanton</v>
      </c>
      <c r="C1818" s="28">
        <f t="array" ref="C1818">_xlfn.XLOOKUP($A1818, 'Medical Examinations'!$A:$A, 'Medical Examinations'!B:B, "No Data")</f>
        <v>17.05</v>
      </c>
      <c r="D1818" s="28">
        <f t="array" ref="D1818">_xlfn.XLOOKUP($A1818, 'Medical Examinations'!$A:$A, 'Medical Examinations'!C:C, "No Data")</f>
        <v>5.3</v>
      </c>
      <c r="E1818" s="28" t="str">
        <f t="array" ref="E1818">_xlfn.XLOOKUP($A1818, 'Medical Examinations'!$A:$A, 'Medical Examinations'!D:D, "No Data")</f>
        <v>No</v>
      </c>
      <c r="F1818" s="28" t="str">
        <f t="array" ref="F1818">_xlfn.XLOOKUP($A1818, 'Medical Examinations'!$A:$A, 'Medical Examinations'!E:E, "No Data")</f>
        <v>No</v>
      </c>
      <c r="G1818" s="28" t="str">
        <f t="array" ref="G1818">_xlfn.XLOOKUP($A1818, 'Medical Examinations'!$A:$A, 'Medical Examinations'!F:F, "No Data")</f>
        <v>Yes</v>
      </c>
      <c r="H1818" s="28">
        <f t="array" ref="H1818">_xlfn.XLOOKUP($A1818, 'Medical Examinations'!$A:$A, 'Medical Examinations'!G:G, "No Data")</f>
        <v>1</v>
      </c>
      <c r="I1818" s="28" t="str">
        <f t="array" ref="I1818">_xlfn.XLOOKUP($A1818, 'Medical Examinations'!$A:$A, 'Medical Examinations'!H:H, "No Data")</f>
        <v>No</v>
      </c>
      <c r="J1818" s="28" t="str">
        <f t="array" ref="J1818">_xlfn.XLOOKUP($A1818, 'Medical Examinations'!$A:$A, 'Medical Examinations'!I:I, "No Data")</f>
        <v>Underweight</v>
      </c>
      <c r="K1818" s="28" t="str">
        <f t="array" ref="K1818">_xlfn.XLOOKUP($A1818, 'Hospitalisation Details'!$A:$A, 'Hospitalisation Details'!I:I, "No Data")</f>
        <v>tier - 1</v>
      </c>
      <c r="L1818" s="28" t="str">
        <f t="array" ref="L1818">_xlfn.XLOOKUP($A1818, 'Hospitalisation Details'!$A:$A, 'Hospitalisation Details'!J:J, "No Data")</f>
        <v>R1013</v>
      </c>
      <c r="M1818" s="28" t="str">
        <f t="array" ref="M1818">_xlfn.XLOOKUP($A1818, 'Hospitalisation Details'!$A:$A, 'Hospitalisation Details'!E:E, "No Data")</f>
        <v>18/10/79</v>
      </c>
      <c r="N1818" s="28">
        <f t="array" ref="N1818">_xlfn.XLOOKUP($A1818, 'Hospitalisation Details'!$A:$A, 'Hospitalisation Details'!K:K, "No Data")</f>
        <v>43</v>
      </c>
      <c r="O1818" s="33">
        <f t="array" ref="O1818">_xlfn.XLOOKUP($A1818, 'Hospitalisation Details'!$A:$A, 'Hospitalisation Details'!G:G, "No Data")</f>
        <v>4674.2</v>
      </c>
      <c r="P1818" s="28" t="str">
        <f t="array" ref="P1818">_xlfn.XLOOKUP($A1818, 'Hospitalisation Details'!$A:$A, 'Hospitalisation Details'!H:H, "No Data")</f>
        <v>tier - 2</v>
      </c>
    </row>
    <row r="1819">
      <c r="A1819" s="25" t="s">
        <v>3638</v>
      </c>
      <c r="B1819" s="28" t="str">
        <f t="array" ref="B1819">_xlfn.XLOOKUP($A1819, 'Customer Names'!$A:$A, 'Customer Names'!B:B, "No Data")</f>
        <v>Mollak</v>
      </c>
      <c r="C1819" s="28">
        <f t="array" ref="C1819">_xlfn.XLOOKUP($A1819, 'Medical Examinations'!$A:$A, 'Medical Examinations'!B:B, "No Data")</f>
        <v>37.18</v>
      </c>
      <c r="D1819" s="28">
        <f t="array" ref="D1819">_xlfn.XLOOKUP($A1819, 'Medical Examinations'!$A:$A, 'Medical Examinations'!C:C, "No Data")</f>
        <v>4.9</v>
      </c>
      <c r="E1819" s="28" t="str">
        <f t="array" ref="E1819">_xlfn.XLOOKUP($A1819, 'Medical Examinations'!$A:$A, 'Medical Examinations'!D:D, "No Data")</f>
        <v>No</v>
      </c>
      <c r="F1819" s="28" t="str">
        <f t="array" ref="F1819">_xlfn.XLOOKUP($A1819, 'Medical Examinations'!$A:$A, 'Medical Examinations'!E:E, "No Data")</f>
        <v>No</v>
      </c>
      <c r="G1819" s="28" t="str">
        <f t="array" ref="G1819">_xlfn.XLOOKUP($A1819, 'Medical Examinations'!$A:$A, 'Medical Examinations'!F:F, "No Data")</f>
        <v>No</v>
      </c>
      <c r="H1819" s="28">
        <f t="array" ref="H1819">_xlfn.XLOOKUP($A1819, 'Medical Examinations'!$A:$A, 'Medical Examinations'!G:G, "No Data")</f>
        <v>0</v>
      </c>
      <c r="I1819" s="28" t="str">
        <f t="array" ref="I1819">_xlfn.XLOOKUP($A1819, 'Medical Examinations'!$A:$A, 'Medical Examinations'!H:H, "No Data")</f>
        <v>No</v>
      </c>
      <c r="J1819" s="28" t="str">
        <f t="array" ref="J1819">_xlfn.XLOOKUP($A1819, 'Medical Examinations'!$A:$A, 'Medical Examinations'!I:I, "No Data")</f>
        <v>Obesity</v>
      </c>
      <c r="K1819" s="28" t="str">
        <f t="array" ref="K1819">_xlfn.XLOOKUP($A1819, 'Hospitalisation Details'!$A:$A, 'Hospitalisation Details'!I:I, "No Data")</f>
        <v>tier - 1</v>
      </c>
      <c r="L1819" s="28" t="str">
        <f t="array" ref="L1819">_xlfn.XLOOKUP($A1819, 'Hospitalisation Details'!$A:$A, 'Hospitalisation Details'!J:J, "No Data")</f>
        <v>R1013</v>
      </c>
      <c r="M1819" s="28" t="str">
        <f t="array" ref="M1819">_xlfn.XLOOKUP($A1819, 'Hospitalisation Details'!$A:$A, 'Hospitalisation Details'!E:E, "No Data")</f>
        <v>13/07/90</v>
      </c>
      <c r="N1819" s="28">
        <f t="array" ref="N1819">_xlfn.XLOOKUP($A1819, 'Hospitalisation Details'!$A:$A, 'Hospitalisation Details'!K:K, "No Data")</f>
        <v>32</v>
      </c>
      <c r="O1819" s="33">
        <f t="array" ref="O1819">_xlfn.XLOOKUP($A1819, 'Hospitalisation Details'!$A:$A, 'Hospitalisation Details'!G:G, "No Data")</f>
        <v>4673.39</v>
      </c>
      <c r="P1819" s="28" t="str">
        <f t="array" ref="P1819">_xlfn.XLOOKUP($A1819, 'Hospitalisation Details'!$A:$A, 'Hospitalisation Details'!H:H, "No Data")</f>
        <v>tier - 2</v>
      </c>
    </row>
    <row r="1820">
      <c r="A1820" s="25" t="s">
        <v>3635</v>
      </c>
      <c r="B1820" s="28" t="str">
        <f t="array" ref="B1820">_xlfn.XLOOKUP($A1820, 'Customer Names'!$A:$A, 'Customer Names'!B:B, "No Data")</f>
        <v>Bell</v>
      </c>
      <c r="C1820" s="28">
        <f t="array" ref="C1820">_xlfn.XLOOKUP($A1820, 'Medical Examinations'!$A:$A, 'Medical Examinations'!B:B, "No Data")</f>
        <v>35.2</v>
      </c>
      <c r="D1820" s="28">
        <f t="array" ref="D1820">_xlfn.XLOOKUP($A1820, 'Medical Examinations'!$A:$A, 'Medical Examinations'!C:C, "No Data")</f>
        <v>5.55</v>
      </c>
      <c r="E1820" s="28" t="str">
        <f t="array" ref="E1820">_xlfn.XLOOKUP($A1820, 'Medical Examinations'!$A:$A, 'Medical Examinations'!D:D, "No Data")</f>
        <v>No</v>
      </c>
      <c r="F1820" s="28" t="str">
        <f t="array" ref="F1820">_xlfn.XLOOKUP($A1820, 'Medical Examinations'!$A:$A, 'Medical Examinations'!E:E, "No Data")</f>
        <v>No</v>
      </c>
      <c r="G1820" s="28" t="str">
        <f t="array" ref="G1820">_xlfn.XLOOKUP($A1820, 'Medical Examinations'!$A:$A, 'Medical Examinations'!F:F, "No Data")</f>
        <v>No</v>
      </c>
      <c r="H1820" s="28">
        <f t="array" ref="H1820">_xlfn.XLOOKUP($A1820, 'Medical Examinations'!$A:$A, 'Medical Examinations'!G:G, "No Data")</f>
        <v>0</v>
      </c>
      <c r="I1820" s="28" t="str">
        <f t="array" ref="I1820">_xlfn.XLOOKUP($A1820, 'Medical Examinations'!$A:$A, 'Medical Examinations'!H:H, "No Data")</f>
        <v>No</v>
      </c>
      <c r="J1820" s="28" t="str">
        <f t="array" ref="J1820">_xlfn.XLOOKUP($A1820, 'Medical Examinations'!$A:$A, 'Medical Examinations'!I:I, "No Data")</f>
        <v>Obesity</v>
      </c>
      <c r="K1820" s="28" t="str">
        <f t="array" ref="K1820">_xlfn.XLOOKUP($A1820, 'Hospitalisation Details'!$A:$A, 'Hospitalisation Details'!I:I, "No Data")</f>
        <v>tier - 2</v>
      </c>
      <c r="L1820" s="28" t="str">
        <f t="array" ref="L1820">_xlfn.XLOOKUP($A1820, 'Hospitalisation Details'!$A:$A, 'Hospitalisation Details'!J:J, "No Data")</f>
        <v>R1011</v>
      </c>
      <c r="M1820" s="28" t="str">
        <f t="array" ref="M1820">_xlfn.XLOOKUP($A1820, 'Hospitalisation Details'!$A:$A, 'Hospitalisation Details'!E:E, "No Data")</f>
        <v>26/09/90</v>
      </c>
      <c r="N1820" s="28">
        <f t="array" ref="N1820">_xlfn.XLOOKUP($A1820, 'Hospitalisation Details'!$A:$A, 'Hospitalisation Details'!K:K, "No Data")</f>
        <v>32</v>
      </c>
      <c r="O1820" s="33">
        <f t="array" ref="O1820">_xlfn.XLOOKUP($A1820, 'Hospitalisation Details'!$A:$A, 'Hospitalisation Details'!G:G, "No Data")</f>
        <v>4670.64</v>
      </c>
      <c r="P1820" s="28" t="str">
        <f t="array" ref="P1820">_xlfn.XLOOKUP($A1820, 'Hospitalisation Details'!$A:$A, 'Hospitalisation Details'!H:H, "No Data")</f>
        <v>tier - 2</v>
      </c>
    </row>
    <row r="1821">
      <c r="A1821" s="25" t="s">
        <v>3631</v>
      </c>
      <c r="B1821" s="28" t="str">
        <f t="array" ref="B1821">_xlfn.XLOOKUP($A1821, 'Customer Names'!$A:$A, 'Customer Names'!B:B, "No Data")</f>
        <v>Weston</v>
      </c>
      <c r="C1821" s="28">
        <f t="array" ref="C1821">_xlfn.XLOOKUP($A1821, 'Medical Examinations'!$A:$A, 'Medical Examinations'!B:B, "No Data")</f>
        <v>37.335</v>
      </c>
      <c r="D1821" s="28">
        <f t="array" ref="D1821">_xlfn.XLOOKUP($A1821, 'Medical Examinations'!$A:$A, 'Medical Examinations'!C:C, "No Data")</f>
        <v>4.95</v>
      </c>
      <c r="E1821" s="28" t="str">
        <f t="array" ref="E1821">_xlfn.XLOOKUP($A1821, 'Medical Examinations'!$A:$A, 'Medical Examinations'!D:D, "No Data")</f>
        <v>No</v>
      </c>
      <c r="F1821" s="28" t="str">
        <f t="array" ref="F1821">_xlfn.XLOOKUP($A1821, 'Medical Examinations'!$A:$A, 'Medical Examinations'!E:E, "No Data")</f>
        <v>No</v>
      </c>
      <c r="G1821" s="28" t="str">
        <f t="array" ref="G1821">_xlfn.XLOOKUP($A1821, 'Medical Examinations'!$A:$A, 'Medical Examinations'!F:F, "No Data")</f>
        <v>No</v>
      </c>
      <c r="H1821" s="28">
        <f t="array" ref="H1821">_xlfn.XLOOKUP($A1821, 'Medical Examinations'!$A:$A, 'Medical Examinations'!G:G, "No Data")</f>
        <v>0</v>
      </c>
      <c r="I1821" s="28" t="str">
        <f t="array" ref="I1821">_xlfn.XLOOKUP($A1821, 'Medical Examinations'!$A:$A, 'Medical Examinations'!H:H, "No Data")</f>
        <v>No</v>
      </c>
      <c r="J1821" s="28" t="str">
        <f t="array" ref="J1821">_xlfn.XLOOKUP($A1821, 'Medical Examinations'!$A:$A, 'Medical Examinations'!I:I, "No Data")</f>
        <v>Obesity</v>
      </c>
      <c r="K1821" s="28" t="str">
        <f t="array" ref="K1821">_xlfn.XLOOKUP($A1821, 'Hospitalisation Details'!$A:$A, 'Hospitalisation Details'!I:I, "No Data")</f>
        <v>tier - 3</v>
      </c>
      <c r="L1821" s="28" t="str">
        <f t="array" ref="L1821">_xlfn.XLOOKUP($A1821, 'Hospitalisation Details'!$A:$A, 'Hospitalisation Details'!J:J, "No Data")</f>
        <v>R1016</v>
      </c>
      <c r="M1821" s="28" t="str">
        <f t="array" ref="M1821">_xlfn.XLOOKUP($A1821, 'Hospitalisation Details'!$A:$A, 'Hospitalisation Details'!E:E, "No Data")</f>
        <v>05/08/90</v>
      </c>
      <c r="N1821" s="28">
        <f t="array" ref="N1821">_xlfn.XLOOKUP($A1821, 'Hospitalisation Details'!$A:$A, 'Hospitalisation Details'!K:K, "No Data")</f>
        <v>32</v>
      </c>
      <c r="O1821" s="33">
        <f t="array" ref="O1821">_xlfn.XLOOKUP($A1821, 'Hospitalisation Details'!$A:$A, 'Hospitalisation Details'!G:G, "No Data")</f>
        <v>4667.61</v>
      </c>
      <c r="P1821" s="28" t="str">
        <f t="array" ref="P1821">_xlfn.XLOOKUP($A1821, 'Hospitalisation Details'!$A:$A, 'Hospitalisation Details'!H:H, "No Data")</f>
        <v>tier - 3</v>
      </c>
    </row>
    <row r="1822">
      <c r="A1822" s="25" t="s">
        <v>3622</v>
      </c>
      <c r="B1822" s="28" t="str">
        <f t="array" ref="B1822">_xlfn.XLOOKUP($A1822, 'Customer Names'!$A:$A, 'Customer Names'!B:B, "No Data")</f>
        <v>Rabuzzi</v>
      </c>
      <c r="C1822" s="28">
        <f t="array" ref="C1822">_xlfn.XLOOKUP($A1822, 'Medical Examinations'!$A:$A, 'Medical Examinations'!B:B, "No Data")</f>
        <v>27.265</v>
      </c>
      <c r="D1822" s="28">
        <f t="array" ref="D1822">_xlfn.XLOOKUP($A1822, 'Medical Examinations'!$A:$A, 'Medical Examinations'!C:C, "No Data")</f>
        <v>6.46</v>
      </c>
      <c r="E1822" s="28" t="str">
        <f t="array" ref="E1822">_xlfn.XLOOKUP($A1822, 'Medical Examinations'!$A:$A, 'Medical Examinations'!D:D, "No Data")</f>
        <v>yes</v>
      </c>
      <c r="F1822" s="28" t="str">
        <f t="array" ref="F1822">_xlfn.XLOOKUP($A1822, 'Medical Examinations'!$A:$A, 'Medical Examinations'!E:E, "No Data")</f>
        <v>No</v>
      </c>
      <c r="G1822" s="28" t="str">
        <f t="array" ref="G1822">_xlfn.XLOOKUP($A1822, 'Medical Examinations'!$A:$A, 'Medical Examinations'!F:F, "No Data")</f>
        <v>No</v>
      </c>
      <c r="H1822" s="28">
        <f t="array" ref="H1822">_xlfn.XLOOKUP($A1822, 'Medical Examinations'!$A:$A, 'Medical Examinations'!G:G, "No Data")</f>
        <v>0</v>
      </c>
      <c r="I1822" s="28" t="str">
        <f t="array" ref="I1822">_xlfn.XLOOKUP($A1822, 'Medical Examinations'!$A:$A, 'Medical Examinations'!H:H, "No Data")</f>
        <v>No</v>
      </c>
      <c r="J1822" s="28" t="str">
        <f t="array" ref="J1822">_xlfn.XLOOKUP($A1822, 'Medical Examinations'!$A:$A, 'Medical Examinations'!I:I, "No Data")</f>
        <v>Overweight</v>
      </c>
      <c r="K1822" s="28" t="str">
        <f t="array" ref="K1822">_xlfn.XLOOKUP($A1822, 'Hospitalisation Details'!$A:$A, 'Hospitalisation Details'!I:I, "No Data")</f>
        <v>tier - 1</v>
      </c>
      <c r="L1822" s="28" t="str">
        <f t="array" ref="L1822">_xlfn.XLOOKUP($A1822, 'Hospitalisation Details'!$A:$A, 'Hospitalisation Details'!J:J, "No Data")</f>
        <v>R1017</v>
      </c>
      <c r="M1822" s="28" t="str">
        <f t="array" ref="M1822">_xlfn.XLOOKUP($A1822, 'Hospitalisation Details'!$A:$A, 'Hospitalisation Details'!E:E, "No Data")</f>
        <v>25/10/96</v>
      </c>
      <c r="N1822" s="28">
        <f t="array" ref="N1822">_xlfn.XLOOKUP($A1822, 'Hospitalisation Details'!$A:$A, 'Hospitalisation Details'!K:K, "No Data")</f>
        <v>26</v>
      </c>
      <c r="O1822" s="33">
        <f t="array" ref="O1822">_xlfn.XLOOKUP($A1822, 'Hospitalisation Details'!$A:$A, 'Hospitalisation Details'!G:G, "No Data")</f>
        <v>4661.29</v>
      </c>
      <c r="P1822" s="28" t="str">
        <f t="array" ref="P1822">_xlfn.XLOOKUP($A1822, 'Hospitalisation Details'!$A:$A, 'Hospitalisation Details'!H:H, "No Data")</f>
        <v>tier - 2</v>
      </c>
    </row>
    <row r="1823">
      <c r="A1823" s="25" t="s">
        <v>3617</v>
      </c>
      <c r="B1823" s="28" t="str">
        <f t="array" ref="B1823">_xlfn.XLOOKUP($A1823, 'Customer Names'!$A:$A, 'Customer Names'!B:B, "No Data")</f>
        <v>Hendrix</v>
      </c>
      <c r="C1823" s="28">
        <f t="array" ref="C1823">_xlfn.XLOOKUP($A1823, 'Medical Examinations'!$A:$A, 'Medical Examinations'!B:B, "No Data")</f>
        <v>30.8</v>
      </c>
      <c r="D1823" s="28">
        <f t="array" ref="D1823">_xlfn.XLOOKUP($A1823, 'Medical Examinations'!$A:$A, 'Medical Examinations'!C:C, "No Data")</f>
        <v>4.9</v>
      </c>
      <c r="E1823" s="28" t="str">
        <f t="array" ref="E1823">_xlfn.XLOOKUP($A1823, 'Medical Examinations'!$A:$A, 'Medical Examinations'!D:D, "No Data")</f>
        <v>yes</v>
      </c>
      <c r="F1823" s="28" t="str">
        <f t="array" ref="F1823">_xlfn.XLOOKUP($A1823, 'Medical Examinations'!$A:$A, 'Medical Examinations'!E:E, "No Data")</f>
        <v>No</v>
      </c>
      <c r="G1823" s="28" t="str">
        <f t="array" ref="G1823">_xlfn.XLOOKUP($A1823, 'Medical Examinations'!$A:$A, 'Medical Examinations'!F:F, "No Data")</f>
        <v>No</v>
      </c>
      <c r="H1823" s="28">
        <f t="array" ref="H1823">_xlfn.XLOOKUP($A1823, 'Medical Examinations'!$A:$A, 'Medical Examinations'!G:G, "No Data")</f>
        <v>0</v>
      </c>
      <c r="I1823" s="28" t="str">
        <f t="array" ref="I1823">_xlfn.XLOOKUP($A1823, 'Medical Examinations'!$A:$A, 'Medical Examinations'!H:H, "No Data")</f>
        <v>No</v>
      </c>
      <c r="J1823" s="28" t="str">
        <f t="array" ref="J1823">_xlfn.XLOOKUP($A1823, 'Medical Examinations'!$A:$A, 'Medical Examinations'!I:I, "No Data")</f>
        <v>Obesity</v>
      </c>
      <c r="K1823" s="28" t="str">
        <f t="array" ref="K1823">_xlfn.XLOOKUP($A1823, 'Hospitalisation Details'!$A:$A, 'Hospitalisation Details'!I:I, "No Data")</f>
        <v>tier - 1</v>
      </c>
      <c r="L1823" s="28" t="str">
        <f t="array" ref="L1823">_xlfn.XLOOKUP($A1823, 'Hospitalisation Details'!$A:$A, 'Hospitalisation Details'!J:J, "No Data")</f>
        <v>R1011</v>
      </c>
      <c r="M1823" s="28" t="str">
        <f t="array" ref="M1823">_xlfn.XLOOKUP($A1823, 'Hospitalisation Details'!$A:$A, 'Hospitalisation Details'!E:E, "No Data")</f>
        <v>22/06/85</v>
      </c>
      <c r="N1823" s="28">
        <f t="array" ref="N1823">_xlfn.XLOOKUP($A1823, 'Hospitalisation Details'!$A:$A, 'Hospitalisation Details'!K:K, "No Data")</f>
        <v>37</v>
      </c>
      <c r="O1823" s="33">
        <f t="array" ref="O1823">_xlfn.XLOOKUP($A1823, 'Hospitalisation Details'!$A:$A, 'Hospitalisation Details'!G:G, "No Data")</f>
        <v>4646.76</v>
      </c>
      <c r="P1823" s="28" t="str">
        <f t="array" ref="P1823">_xlfn.XLOOKUP($A1823, 'Hospitalisation Details'!$A:$A, 'Hospitalisation Details'!H:H, "No Data")</f>
        <v>tier - 1</v>
      </c>
    </row>
    <row r="1824">
      <c r="A1824" s="25" t="s">
        <v>3613</v>
      </c>
      <c r="B1824" s="28" t="str">
        <f t="array" ref="B1824">_xlfn.XLOOKUP($A1824, 'Customer Names'!$A:$A, 'Customer Names'!B:B, "No Data")</f>
        <v>Van Nielen</v>
      </c>
      <c r="C1824" s="28">
        <f t="array" ref="C1824">_xlfn.XLOOKUP($A1824, 'Medical Examinations'!$A:$A, 'Medical Examinations'!B:B, "No Data")</f>
        <v>30.21</v>
      </c>
      <c r="D1824" s="28">
        <f t="array" ref="D1824">_xlfn.XLOOKUP($A1824, 'Medical Examinations'!$A:$A, 'Medical Examinations'!C:C, "No Data")</f>
        <v>5.21</v>
      </c>
      <c r="E1824" s="28" t="str">
        <f t="array" ref="E1824">_xlfn.XLOOKUP($A1824, 'Medical Examinations'!$A:$A, 'Medical Examinations'!D:D, "No Data")</f>
        <v>No</v>
      </c>
      <c r="F1824" s="28" t="str">
        <f t="array" ref="F1824">_xlfn.XLOOKUP($A1824, 'Medical Examinations'!$A:$A, 'Medical Examinations'!E:E, "No Data")</f>
        <v>No</v>
      </c>
      <c r="G1824" s="28" t="str">
        <f t="array" ref="G1824">_xlfn.XLOOKUP($A1824, 'Medical Examinations'!$A:$A, 'Medical Examinations'!F:F, "No Data")</f>
        <v>No</v>
      </c>
      <c r="H1824" s="28">
        <f t="array" ref="H1824">_xlfn.XLOOKUP($A1824, 'Medical Examinations'!$A:$A, 'Medical Examinations'!G:G, "No Data")</f>
        <v>1</v>
      </c>
      <c r="I1824" s="28" t="str">
        <f t="array" ref="I1824">_xlfn.XLOOKUP($A1824, 'Medical Examinations'!$A:$A, 'Medical Examinations'!H:H, "No Data")</f>
        <v>No</v>
      </c>
      <c r="J1824" s="28" t="str">
        <f t="array" ref="J1824">_xlfn.XLOOKUP($A1824, 'Medical Examinations'!$A:$A, 'Medical Examinations'!I:I, "No Data")</f>
        <v>Obesity</v>
      </c>
      <c r="K1824" s="28" t="str">
        <f t="array" ref="K1824">_xlfn.XLOOKUP($A1824, 'Hospitalisation Details'!$A:$A, 'Hospitalisation Details'!I:I, "No Data")</f>
        <v>tier - 1</v>
      </c>
      <c r="L1824" s="28" t="str">
        <f t="array" ref="L1824">_xlfn.XLOOKUP($A1824, 'Hospitalisation Details'!$A:$A, 'Hospitalisation Details'!J:J, "No Data")</f>
        <v>R1012</v>
      </c>
      <c r="M1824" s="28" t="str">
        <f t="array" ref="M1824">_xlfn.XLOOKUP($A1824, 'Hospitalisation Details'!$A:$A, 'Hospitalisation Details'!E:E, "No Data")</f>
        <v>29/06/98</v>
      </c>
      <c r="N1824" s="28">
        <f t="array" ref="N1824">_xlfn.XLOOKUP($A1824, 'Hospitalisation Details'!$A:$A, 'Hospitalisation Details'!K:K, "No Data")</f>
        <v>24</v>
      </c>
      <c r="O1824" s="33">
        <f t="array" ref="O1824">_xlfn.XLOOKUP($A1824, 'Hospitalisation Details'!$A:$A, 'Hospitalisation Details'!G:G, "No Data")</f>
        <v>4618.08</v>
      </c>
      <c r="P1824" s="28" t="str">
        <f t="array" ref="P1824">_xlfn.XLOOKUP($A1824, 'Hospitalisation Details'!$A:$A, 'Hospitalisation Details'!H:H, "No Data")</f>
        <v>tier - 2</v>
      </c>
    </row>
    <row r="1825">
      <c r="A1825" s="25" t="s">
        <v>3608</v>
      </c>
      <c r="B1825" s="28" t="str">
        <f t="array" ref="B1825">_xlfn.XLOOKUP($A1825, 'Customer Names'!$A:$A, 'Customer Names'!B:B, "No Data")</f>
        <v>Blanton</v>
      </c>
      <c r="C1825" s="28">
        <f t="array" ref="C1825">_xlfn.XLOOKUP($A1825, 'Medical Examinations'!$A:$A, 'Medical Examinations'!B:B, "No Data")</f>
        <v>35.34</v>
      </c>
      <c r="D1825" s="28">
        <f t="array" ref="D1825">_xlfn.XLOOKUP($A1825, 'Medical Examinations'!$A:$A, 'Medical Examinations'!C:C, "No Data")</f>
        <v>4.13</v>
      </c>
      <c r="E1825" s="28" t="str">
        <f t="array" ref="E1825">_xlfn.XLOOKUP($A1825, 'Medical Examinations'!$A:$A, 'Medical Examinations'!D:D, "No Data")</f>
        <v>No</v>
      </c>
      <c r="F1825" s="28" t="str">
        <f t="array" ref="F1825">_xlfn.XLOOKUP($A1825, 'Medical Examinations'!$A:$A, 'Medical Examinations'!E:E, "No Data")</f>
        <v>yes</v>
      </c>
      <c r="G1825" s="28" t="str">
        <f t="array" ref="G1825">_xlfn.XLOOKUP($A1825, 'Medical Examinations'!$A:$A, 'Medical Examinations'!F:F, "No Data")</f>
        <v>No</v>
      </c>
      <c r="H1825" s="28">
        <f t="array" ref="H1825">_xlfn.XLOOKUP($A1825, 'Medical Examinations'!$A:$A, 'Medical Examinations'!G:G, "No Data")</f>
        <v>1</v>
      </c>
      <c r="I1825" s="28" t="str">
        <f t="array" ref="I1825">_xlfn.XLOOKUP($A1825, 'Medical Examinations'!$A:$A, 'Medical Examinations'!H:H, "No Data")</f>
        <v>No</v>
      </c>
      <c r="J1825" s="28" t="str">
        <f t="array" ref="J1825">_xlfn.XLOOKUP($A1825, 'Medical Examinations'!$A:$A, 'Medical Examinations'!I:I, "No Data")</f>
        <v>Obesity</v>
      </c>
      <c r="K1825" s="28" t="str">
        <f t="array" ref="K1825">_xlfn.XLOOKUP($A1825, 'Hospitalisation Details'!$A:$A, 'Hospitalisation Details'!I:I, "No Data")</f>
        <v>tier - 3</v>
      </c>
      <c r="L1825" s="28" t="str">
        <f t="array" ref="L1825">_xlfn.XLOOKUP($A1825, 'Hospitalisation Details'!$A:$A, 'Hospitalisation Details'!J:J, "No Data")</f>
        <v>R1011</v>
      </c>
      <c r="M1825" s="28" t="str">
        <f t="array" ref="M1825">_xlfn.XLOOKUP($A1825, 'Hospitalisation Details'!$A:$A, 'Hospitalisation Details'!E:E, "No Data")</f>
        <v>02/07/00</v>
      </c>
      <c r="N1825" s="28">
        <f t="array" ref="N1825">_xlfn.XLOOKUP($A1825, 'Hospitalisation Details'!$A:$A, 'Hospitalisation Details'!K:K, "No Data")</f>
        <v>22</v>
      </c>
      <c r="O1825" s="33">
        <f t="array" ref="O1825">_xlfn.XLOOKUP($A1825, 'Hospitalisation Details'!$A:$A, 'Hospitalisation Details'!G:G, "No Data")</f>
        <v>4608.03</v>
      </c>
      <c r="P1825" s="28" t="str">
        <f t="array" ref="P1825">_xlfn.XLOOKUP($A1825, 'Hospitalisation Details'!$A:$A, 'Hospitalisation Details'!H:H, "No Data")</f>
        <v>tier - 2</v>
      </c>
    </row>
    <row r="1826">
      <c r="A1826" s="25" t="s">
        <v>3603</v>
      </c>
      <c r="B1826" s="28" t="str">
        <f t="array" ref="B1826">_xlfn.XLOOKUP($A1826, 'Customer Names'!$A:$A, 'Customer Names'!B:B, "No Data")</f>
        <v>Schout</v>
      </c>
      <c r="C1826" s="28">
        <f t="array" ref="C1826">_xlfn.XLOOKUP($A1826, 'Medical Examinations'!$A:$A, 'Medical Examinations'!B:B, "No Data")</f>
        <v>26.695</v>
      </c>
      <c r="D1826" s="28">
        <f t="array" ref="D1826">_xlfn.XLOOKUP($A1826, 'Medical Examinations'!$A:$A, 'Medical Examinations'!C:C, "No Data")</f>
        <v>5.28</v>
      </c>
      <c r="E1826" s="28" t="str">
        <f t="array" ref="E1826">_xlfn.XLOOKUP($A1826, 'Medical Examinations'!$A:$A, 'Medical Examinations'!D:D, "No Data")</f>
        <v>No</v>
      </c>
      <c r="F1826" s="28" t="str">
        <f t="array" ref="F1826">_xlfn.XLOOKUP($A1826, 'Medical Examinations'!$A:$A, 'Medical Examinations'!E:E, "No Data")</f>
        <v>No</v>
      </c>
      <c r="G1826" s="28" t="str">
        <f t="array" ref="G1826">_xlfn.XLOOKUP($A1826, 'Medical Examinations'!$A:$A, 'Medical Examinations'!F:F, "No Data")</f>
        <v>No</v>
      </c>
      <c r="H1826" s="28">
        <f t="array" ref="H1826">_xlfn.XLOOKUP($A1826, 'Medical Examinations'!$A:$A, 'Medical Examinations'!G:G, "No Data")</f>
        <v>0</v>
      </c>
      <c r="I1826" s="28" t="str">
        <f t="array" ref="I1826">_xlfn.XLOOKUP($A1826, 'Medical Examinations'!$A:$A, 'Medical Examinations'!H:H, "No Data")</f>
        <v>No</v>
      </c>
      <c r="J1826" s="28" t="str">
        <f t="array" ref="J1826">_xlfn.XLOOKUP($A1826, 'Medical Examinations'!$A:$A, 'Medical Examinations'!I:I, "No Data")</f>
        <v>Overweight</v>
      </c>
      <c r="K1826" s="28" t="str">
        <f t="array" ref="K1826">_xlfn.XLOOKUP($A1826, 'Hospitalisation Details'!$A:$A, 'Hospitalisation Details'!I:I, "No Data")</f>
        <v>tier - 2</v>
      </c>
      <c r="L1826" s="28" t="str">
        <f t="array" ref="L1826">_xlfn.XLOOKUP($A1826, 'Hospitalisation Details'!$A:$A, 'Hospitalisation Details'!J:J, "No Data")</f>
        <v>R1012</v>
      </c>
      <c r="M1826" s="28" t="str">
        <f t="array" ref="M1826">_xlfn.XLOOKUP($A1826, 'Hospitalisation Details'!$A:$A, 'Hospitalisation Details'!E:E, "No Data")</f>
        <v>18/09/89</v>
      </c>
      <c r="N1826" s="28">
        <f t="array" ref="N1826">_xlfn.XLOOKUP($A1826, 'Hospitalisation Details'!$A:$A, 'Hospitalisation Details'!K:K, "No Data")</f>
        <v>33</v>
      </c>
      <c r="O1826" s="33">
        <f t="array" ref="O1826">_xlfn.XLOOKUP($A1826, 'Hospitalisation Details'!$A:$A, 'Hospitalisation Details'!G:G, "No Data")</f>
        <v>4571.41</v>
      </c>
      <c r="P1826" s="28" t="str">
        <f t="array" ref="P1826">_xlfn.XLOOKUP($A1826, 'Hospitalisation Details'!$A:$A, 'Hospitalisation Details'!H:H, "No Data")</f>
        <v>tier - 2</v>
      </c>
    </row>
    <row r="1827">
      <c r="A1827" s="25" t="s">
        <v>3598</v>
      </c>
      <c r="B1827" s="28" t="str">
        <f t="array" ref="B1827">_xlfn.XLOOKUP($A1827, 'Customer Names'!$A:$A, 'Customer Names'!B:B, "No Data")</f>
        <v>Schmaltz</v>
      </c>
      <c r="C1827" s="28">
        <f t="array" ref="C1827">_xlfn.XLOOKUP($A1827, 'Medical Examinations'!$A:$A, 'Medical Examinations'!B:B, "No Data")</f>
        <v>29.355</v>
      </c>
      <c r="D1827" s="28">
        <f t="array" ref="D1827">_xlfn.XLOOKUP($A1827, 'Medical Examinations'!$A:$A, 'Medical Examinations'!C:C, "No Data")</f>
        <v>4.68</v>
      </c>
      <c r="E1827" s="28" t="str">
        <f t="array" ref="E1827">_xlfn.XLOOKUP($A1827, 'Medical Examinations'!$A:$A, 'Medical Examinations'!D:D, "No Data")</f>
        <v>yes</v>
      </c>
      <c r="F1827" s="28" t="str">
        <f t="array" ref="F1827">_xlfn.XLOOKUP($A1827, 'Medical Examinations'!$A:$A, 'Medical Examinations'!E:E, "No Data")</f>
        <v>No</v>
      </c>
      <c r="G1827" s="28" t="str">
        <f t="array" ref="G1827">_xlfn.XLOOKUP($A1827, 'Medical Examinations'!$A:$A, 'Medical Examinations'!F:F, "No Data")</f>
        <v>No</v>
      </c>
      <c r="H1827" s="28">
        <f t="array" ref="H1827">_xlfn.XLOOKUP($A1827, 'Medical Examinations'!$A:$A, 'Medical Examinations'!G:G, "No Data")</f>
        <v>0</v>
      </c>
      <c r="I1827" s="28" t="str">
        <f t="array" ref="I1827">_xlfn.XLOOKUP($A1827, 'Medical Examinations'!$A:$A, 'Medical Examinations'!H:H, "No Data")</f>
        <v>No</v>
      </c>
      <c r="J1827" s="28" t="str">
        <f t="array" ref="J1827">_xlfn.XLOOKUP($A1827, 'Medical Examinations'!$A:$A, 'Medical Examinations'!I:I, "No Data")</f>
        <v>Overweight</v>
      </c>
      <c r="K1827" s="28" t="str">
        <f t="array" ref="K1827">_xlfn.XLOOKUP($A1827, 'Hospitalisation Details'!$A:$A, 'Hospitalisation Details'!I:I, "No Data")</f>
        <v>tier - 2</v>
      </c>
      <c r="L1827" s="28" t="str">
        <f t="array" ref="L1827">_xlfn.XLOOKUP($A1827, 'Hospitalisation Details'!$A:$A, 'Hospitalisation Details'!J:J, "No Data")</f>
        <v>R1024</v>
      </c>
      <c r="M1827" s="28" t="str">
        <f t="array" ref="M1827">_xlfn.XLOOKUP($A1827, 'Hospitalisation Details'!$A:$A, 'Hospitalisation Details'!E:E, "No Data")</f>
        <v>25/12/96</v>
      </c>
      <c r="N1827" s="28">
        <f t="array" ref="N1827">_xlfn.XLOOKUP($A1827, 'Hospitalisation Details'!$A:$A, 'Hospitalisation Details'!K:K, "No Data")</f>
        <v>26</v>
      </c>
      <c r="O1827" s="33">
        <f t="array" ref="O1827">_xlfn.XLOOKUP($A1827, 'Hospitalisation Details'!$A:$A, 'Hospitalisation Details'!G:G, "No Data")</f>
        <v>4564.19</v>
      </c>
      <c r="P1827" s="28" t="str">
        <f t="array" ref="P1827">_xlfn.XLOOKUP($A1827, 'Hospitalisation Details'!$A:$A, 'Hospitalisation Details'!H:H, "No Data")</f>
        <v>tier - 2</v>
      </c>
    </row>
    <row r="1828">
      <c r="A1828" s="25" t="s">
        <v>3595</v>
      </c>
      <c r="B1828" s="28" t="str">
        <f t="array" ref="B1828">_xlfn.XLOOKUP($A1828, 'Customer Names'!$A:$A, 'Customer Names'!B:B, "No Data")</f>
        <v>Eagen</v>
      </c>
      <c r="C1828" s="28">
        <f t="array" ref="C1828">_xlfn.XLOOKUP($A1828, 'Medical Examinations'!$A:$A, 'Medical Examinations'!B:B, "No Data")</f>
        <v>29.59</v>
      </c>
      <c r="D1828" s="28">
        <f t="array" ref="D1828">_xlfn.XLOOKUP($A1828, 'Medical Examinations'!$A:$A, 'Medical Examinations'!C:C, "No Data")</f>
        <v>4.06</v>
      </c>
      <c r="E1828" s="28" t="str">
        <f t="array" ref="E1828">_xlfn.XLOOKUP($A1828, 'Medical Examinations'!$A:$A, 'Medical Examinations'!D:D, "No Data")</f>
        <v>No</v>
      </c>
      <c r="F1828" s="28" t="str">
        <f t="array" ref="F1828">_xlfn.XLOOKUP($A1828, 'Medical Examinations'!$A:$A, 'Medical Examinations'!E:E, "No Data")</f>
        <v>No</v>
      </c>
      <c r="G1828" s="28" t="str">
        <f t="array" ref="G1828">_xlfn.XLOOKUP($A1828, 'Medical Examinations'!$A:$A, 'Medical Examinations'!F:F, "No Data")</f>
        <v>No</v>
      </c>
      <c r="H1828" s="28">
        <f t="array" ref="H1828">_xlfn.XLOOKUP($A1828, 'Medical Examinations'!$A:$A, 'Medical Examinations'!G:G, "No Data")</f>
        <v>0</v>
      </c>
      <c r="I1828" s="28" t="str">
        <f t="array" ref="I1828">_xlfn.XLOOKUP($A1828, 'Medical Examinations'!$A:$A, 'Medical Examinations'!H:H, "No Data")</f>
        <v>No</v>
      </c>
      <c r="J1828" s="28" t="str">
        <f t="array" ref="J1828">_xlfn.XLOOKUP($A1828, 'Medical Examinations'!$A:$A, 'Medical Examinations'!I:I, "No Data")</f>
        <v>Overweight</v>
      </c>
      <c r="K1828" s="28" t="str">
        <f t="array" ref="K1828">_xlfn.XLOOKUP($A1828, 'Hospitalisation Details'!$A:$A, 'Hospitalisation Details'!I:I, "No Data")</f>
        <v>tier - 2</v>
      </c>
      <c r="L1828" s="28" t="str">
        <f t="array" ref="L1828">_xlfn.XLOOKUP($A1828, 'Hospitalisation Details'!$A:$A, 'Hospitalisation Details'!J:J, "No Data")</f>
        <v>R1013</v>
      </c>
      <c r="M1828" s="28" t="str">
        <f t="array" ref="M1828">_xlfn.XLOOKUP($A1828, 'Hospitalisation Details'!$A:$A, 'Hospitalisation Details'!E:E, "No Data")</f>
        <v>20/09/90</v>
      </c>
      <c r="N1828" s="28">
        <f t="array" ref="N1828">_xlfn.XLOOKUP($A1828, 'Hospitalisation Details'!$A:$A, 'Hospitalisation Details'!K:K, "No Data")</f>
        <v>32</v>
      </c>
      <c r="O1828" s="33">
        <f t="array" ref="O1828">_xlfn.XLOOKUP($A1828, 'Hospitalisation Details'!$A:$A, 'Hospitalisation Details'!G:G, "No Data")</f>
        <v>4562.84</v>
      </c>
      <c r="P1828" s="28" t="str">
        <f t="array" ref="P1828">_xlfn.XLOOKUP($A1828, 'Hospitalisation Details'!$A:$A, 'Hospitalisation Details'!H:H, "No Data")</f>
        <v>tier - 2</v>
      </c>
    </row>
    <row r="1829">
      <c r="A1829" s="25" t="s">
        <v>3591</v>
      </c>
      <c r="B1829" s="28" t="str">
        <f t="array" ref="B1829">_xlfn.XLOOKUP($A1829, 'Customer Names'!$A:$A, 'Customer Names'!B:B, "No Data")</f>
        <v>Rotramel</v>
      </c>
      <c r="C1829" s="28">
        <f t="array" ref="C1829">_xlfn.XLOOKUP($A1829, 'Medical Examinations'!$A:$A, 'Medical Examinations'!B:B, "No Data")</f>
        <v>31.35</v>
      </c>
      <c r="D1829" s="28">
        <f t="array" ref="D1829">_xlfn.XLOOKUP($A1829, 'Medical Examinations'!$A:$A, 'Medical Examinations'!C:C, "No Data")</f>
        <v>4.2</v>
      </c>
      <c r="E1829" s="28" t="str">
        <f t="array" ref="E1829">_xlfn.XLOOKUP($A1829, 'Medical Examinations'!$A:$A, 'Medical Examinations'!D:D, "No Data")</f>
        <v>No</v>
      </c>
      <c r="F1829" s="28" t="str">
        <f t="array" ref="F1829">_xlfn.XLOOKUP($A1829, 'Medical Examinations'!$A:$A, 'Medical Examinations'!E:E, "No Data")</f>
        <v>yes</v>
      </c>
      <c r="G1829" s="28" t="str">
        <f t="array" ref="G1829">_xlfn.XLOOKUP($A1829, 'Medical Examinations'!$A:$A, 'Medical Examinations'!F:F, "No Data")</f>
        <v>No</v>
      </c>
      <c r="H1829" s="28">
        <f t="array" ref="H1829">_xlfn.XLOOKUP($A1829, 'Medical Examinations'!$A:$A, 'Medical Examinations'!G:G, "No Data")</f>
        <v>1</v>
      </c>
      <c r="I1829" s="28" t="str">
        <f t="array" ref="I1829">_xlfn.XLOOKUP($A1829, 'Medical Examinations'!$A:$A, 'Medical Examinations'!H:H, "No Data")</f>
        <v>No</v>
      </c>
      <c r="J1829" s="28" t="str">
        <f t="array" ref="J1829">_xlfn.XLOOKUP($A1829, 'Medical Examinations'!$A:$A, 'Medical Examinations'!I:I, "No Data")</f>
        <v>Obesity</v>
      </c>
      <c r="K1829" s="28" t="str">
        <f t="array" ref="K1829">_xlfn.XLOOKUP($A1829, 'Hospitalisation Details'!$A:$A, 'Hospitalisation Details'!I:I, "No Data")</f>
        <v>tier - 2</v>
      </c>
      <c r="L1829" s="28" t="str">
        <f t="array" ref="L1829">_xlfn.XLOOKUP($A1829, 'Hospitalisation Details'!$A:$A, 'Hospitalisation Details'!J:J, "No Data")</f>
        <v>R1024</v>
      </c>
      <c r="M1829" s="28" t="str">
        <f t="array" ref="M1829">_xlfn.XLOOKUP($A1829, 'Hospitalisation Details'!$A:$A, 'Hospitalisation Details'!E:E, "No Data")</f>
        <v>22/12/04</v>
      </c>
      <c r="N1829" s="28">
        <f t="array" ref="N1829">_xlfn.XLOOKUP($A1829, 'Hospitalisation Details'!$A:$A, 'Hospitalisation Details'!K:K, "No Data")</f>
        <v>18</v>
      </c>
      <c r="O1829" s="33">
        <f t="array" ref="O1829">_xlfn.XLOOKUP($A1829, 'Hospitalisation Details'!$A:$A, 'Hospitalisation Details'!G:G, "No Data")</f>
        <v>4561.19</v>
      </c>
      <c r="P1829" s="28" t="str">
        <f t="array" ref="P1829">_xlfn.XLOOKUP($A1829, 'Hospitalisation Details'!$A:$A, 'Hospitalisation Details'!H:H, "No Data")</f>
        <v>tier - 2</v>
      </c>
    </row>
    <row r="1830">
      <c r="A1830" s="25" t="s">
        <v>3587</v>
      </c>
      <c r="B1830" s="28" t="str">
        <f t="array" ref="B1830">_xlfn.XLOOKUP($A1830, 'Customer Names'!$A:$A, 'Customer Names'!B:B, "No Data")</f>
        <v>Prevost</v>
      </c>
      <c r="C1830" s="28">
        <f t="array" ref="C1830">_xlfn.XLOOKUP($A1830, 'Medical Examinations'!$A:$A, 'Medical Examinations'!B:B, "No Data")</f>
        <v>20.52</v>
      </c>
      <c r="D1830" s="28">
        <f t="array" ref="D1830">_xlfn.XLOOKUP($A1830, 'Medical Examinations'!$A:$A, 'Medical Examinations'!C:C, "No Data")</f>
        <v>4.83</v>
      </c>
      <c r="E1830" s="28" t="str">
        <f t="array" ref="E1830">_xlfn.XLOOKUP($A1830, 'Medical Examinations'!$A:$A, 'Medical Examinations'!D:D, "No Data")</f>
        <v>No</v>
      </c>
      <c r="F1830" s="28" t="str">
        <f t="array" ref="F1830">_xlfn.XLOOKUP($A1830, 'Medical Examinations'!$A:$A, 'Medical Examinations'!E:E, "No Data")</f>
        <v>No</v>
      </c>
      <c r="G1830" s="28" t="str">
        <f t="array" ref="G1830">_xlfn.XLOOKUP($A1830, 'Medical Examinations'!$A:$A, 'Medical Examinations'!F:F, "No Data")</f>
        <v>No</v>
      </c>
      <c r="H1830" s="28">
        <f t="array" ref="H1830">_xlfn.XLOOKUP($A1830, 'Medical Examinations'!$A:$A, 'Medical Examinations'!G:G, "No Data")</f>
        <v>0</v>
      </c>
      <c r="I1830" s="28" t="str">
        <f t="array" ref="I1830">_xlfn.XLOOKUP($A1830, 'Medical Examinations'!$A:$A, 'Medical Examinations'!H:H, "No Data")</f>
        <v>No</v>
      </c>
      <c r="J1830" s="28" t="str">
        <f t="array" ref="J1830">_xlfn.XLOOKUP($A1830, 'Medical Examinations'!$A:$A, 'Medical Examinations'!I:I, "No Data")</f>
        <v>Normal Weight</v>
      </c>
      <c r="K1830" s="28" t="str">
        <f t="array" ref="K1830">_xlfn.XLOOKUP($A1830, 'Hospitalisation Details'!$A:$A, 'Hospitalisation Details'!I:I, "No Data")</f>
        <v>tier - 1</v>
      </c>
      <c r="L1830" s="28" t="str">
        <f t="array" ref="L1830">_xlfn.XLOOKUP($A1830, 'Hospitalisation Details'!$A:$A, 'Hospitalisation Details'!J:J, "No Data")</f>
        <v>R1024</v>
      </c>
      <c r="M1830" s="28" t="str">
        <f t="array" ref="M1830">_xlfn.XLOOKUP($A1830, 'Hospitalisation Details'!$A:$A, 'Hospitalisation Details'!E:E, "No Data")</f>
        <v>17/11/90</v>
      </c>
      <c r="N1830" s="28">
        <f t="array" ref="N1830">_xlfn.XLOOKUP($A1830, 'Hospitalisation Details'!$A:$A, 'Hospitalisation Details'!K:K, "No Data")</f>
        <v>32</v>
      </c>
      <c r="O1830" s="33">
        <f t="array" ref="O1830">_xlfn.XLOOKUP($A1830, 'Hospitalisation Details'!$A:$A, 'Hospitalisation Details'!G:G, "No Data")</f>
        <v>4544.23</v>
      </c>
      <c r="P1830" s="28" t="str">
        <f t="array" ref="P1830">_xlfn.XLOOKUP($A1830, 'Hospitalisation Details'!$A:$A, 'Hospitalisation Details'!H:H, "No Data")</f>
        <v>tier - 2</v>
      </c>
    </row>
    <row r="1831">
      <c r="A1831" s="25" t="s">
        <v>3582</v>
      </c>
      <c r="B1831" s="28" t="str">
        <f t="array" ref="B1831">_xlfn.XLOOKUP($A1831, 'Customer Names'!$A:$A, 'Customer Names'!B:B, "No Data")</f>
        <v>Boyd</v>
      </c>
      <c r="C1831" s="28">
        <f t="array" ref="C1831">_xlfn.XLOOKUP($A1831, 'Medical Examinations'!$A:$A, 'Medical Examinations'!B:B, "No Data")</f>
        <v>42.9</v>
      </c>
      <c r="D1831" s="28">
        <f t="array" ref="D1831">_xlfn.XLOOKUP($A1831, 'Medical Examinations'!$A:$A, 'Medical Examinations'!C:C, "No Data")</f>
        <v>4.87</v>
      </c>
      <c r="E1831" s="28" t="str">
        <f t="array" ref="E1831">_xlfn.XLOOKUP($A1831, 'Medical Examinations'!$A:$A, 'Medical Examinations'!D:D, "No Data")</f>
        <v>yes</v>
      </c>
      <c r="F1831" s="28" t="str">
        <f t="array" ref="F1831">_xlfn.XLOOKUP($A1831, 'Medical Examinations'!$A:$A, 'Medical Examinations'!E:E, "No Data")</f>
        <v>No</v>
      </c>
      <c r="G1831" s="28" t="str">
        <f t="array" ref="G1831">_xlfn.XLOOKUP($A1831, 'Medical Examinations'!$A:$A, 'Medical Examinations'!F:F, "No Data")</f>
        <v>No</v>
      </c>
      <c r="H1831" s="28">
        <f t="array" ref="H1831">_xlfn.XLOOKUP($A1831, 'Medical Examinations'!$A:$A, 'Medical Examinations'!G:G, "No Data")</f>
        <v>1</v>
      </c>
      <c r="I1831" s="28" t="str">
        <f t="array" ref="I1831">_xlfn.XLOOKUP($A1831, 'Medical Examinations'!$A:$A, 'Medical Examinations'!H:H, "No Data")</f>
        <v>No</v>
      </c>
      <c r="J1831" s="28" t="str">
        <f t="array" ref="J1831">_xlfn.XLOOKUP($A1831, 'Medical Examinations'!$A:$A, 'Medical Examinations'!I:I, "No Data")</f>
        <v>Obesity</v>
      </c>
      <c r="K1831" s="28" t="str">
        <f t="array" ref="K1831">_xlfn.XLOOKUP($A1831, 'Hospitalisation Details'!$A:$A, 'Hospitalisation Details'!I:I, "No Data")</f>
        <v>tier - 2</v>
      </c>
      <c r="L1831" s="28" t="str">
        <f t="array" ref="L1831">_xlfn.XLOOKUP($A1831, 'Hospitalisation Details'!$A:$A, 'Hospitalisation Details'!J:J, "No Data")</f>
        <v>R1011</v>
      </c>
      <c r="M1831" s="28" t="str">
        <f t="array" ref="M1831">_xlfn.XLOOKUP($A1831, 'Hospitalisation Details'!$A:$A, 'Hospitalisation Details'!E:E, "No Data")</f>
        <v>13/06/88</v>
      </c>
      <c r="N1831" s="28">
        <f t="array" ref="N1831">_xlfn.XLOOKUP($A1831, 'Hospitalisation Details'!$A:$A, 'Hospitalisation Details'!K:K, "No Data")</f>
        <v>34</v>
      </c>
      <c r="O1831" s="33">
        <f t="array" ref="O1831">_xlfn.XLOOKUP($A1831, 'Hospitalisation Details'!$A:$A, 'Hospitalisation Details'!G:G, "No Data")</f>
        <v>4536.26</v>
      </c>
      <c r="P1831" s="28" t="str">
        <f t="array" ref="P1831">_xlfn.XLOOKUP($A1831, 'Hospitalisation Details'!$A:$A, 'Hospitalisation Details'!H:H, "No Data")</f>
        <v>tier - 2</v>
      </c>
    </row>
    <row r="1832">
      <c r="A1832" s="25" t="s">
        <v>3578</v>
      </c>
      <c r="B1832" s="28" t="str">
        <f t="array" ref="B1832">_xlfn.XLOOKUP($A1832, 'Customer Names'!$A:$A, 'Customer Names'!B:B, "No Data")</f>
        <v>Dawes</v>
      </c>
      <c r="C1832" s="28">
        <f t="array" ref="C1832">_xlfn.XLOOKUP($A1832, 'Medical Examinations'!$A:$A, 'Medical Examinations'!B:B, "No Data")</f>
        <v>24.6</v>
      </c>
      <c r="D1832" s="28">
        <f t="array" ref="D1832">_xlfn.XLOOKUP($A1832, 'Medical Examinations'!$A:$A, 'Medical Examinations'!C:C, "No Data")</f>
        <v>5.86</v>
      </c>
      <c r="E1832" s="28" t="str">
        <f t="array" ref="E1832">_xlfn.XLOOKUP($A1832, 'Medical Examinations'!$A:$A, 'Medical Examinations'!D:D, "No Data")</f>
        <v>No</v>
      </c>
      <c r="F1832" s="28" t="str">
        <f t="array" ref="F1832">_xlfn.XLOOKUP($A1832, 'Medical Examinations'!$A:$A, 'Medical Examinations'!E:E, "No Data")</f>
        <v>No</v>
      </c>
      <c r="G1832" s="28" t="str">
        <f t="array" ref="G1832">_xlfn.XLOOKUP($A1832, 'Medical Examinations'!$A:$A, 'Medical Examinations'!F:F, "No Data")</f>
        <v>Yes</v>
      </c>
      <c r="H1832" s="28">
        <f t="array" ref="H1832">_xlfn.XLOOKUP($A1832, 'Medical Examinations'!$A:$A, 'Medical Examinations'!G:G, "No Data")</f>
        <v>1</v>
      </c>
      <c r="I1832" s="28" t="str">
        <f t="array" ref="I1832">_xlfn.XLOOKUP($A1832, 'Medical Examinations'!$A:$A, 'Medical Examinations'!H:H, "No Data")</f>
        <v>No</v>
      </c>
      <c r="J1832" s="28" t="str">
        <f t="array" ref="J1832">_xlfn.XLOOKUP($A1832, 'Medical Examinations'!$A:$A, 'Medical Examinations'!I:I, "No Data")</f>
        <v>Normal Weight</v>
      </c>
      <c r="K1832" s="28" t="str">
        <f t="array" ref="K1832">_xlfn.XLOOKUP($A1832, 'Hospitalisation Details'!$A:$A, 'Hospitalisation Details'!I:I, "No Data")</f>
        <v>tier - 1</v>
      </c>
      <c r="L1832" s="28" t="str">
        <f t="array" ref="L1832">_xlfn.XLOOKUP($A1832, 'Hospitalisation Details'!$A:$A, 'Hospitalisation Details'!J:J, "No Data")</f>
        <v>R1011</v>
      </c>
      <c r="M1832" s="28" t="str">
        <f t="array" ref="M1832">_xlfn.XLOOKUP($A1832, 'Hospitalisation Details'!$A:$A, 'Hospitalisation Details'!E:E, "No Data")</f>
        <v>29/06/93</v>
      </c>
      <c r="N1832" s="28">
        <f t="array" ref="N1832">_xlfn.XLOOKUP($A1832, 'Hospitalisation Details'!$A:$A, 'Hospitalisation Details'!K:K, "No Data")</f>
        <v>29</v>
      </c>
      <c r="O1832" s="33">
        <f t="array" ref="O1832">_xlfn.XLOOKUP($A1832, 'Hospitalisation Details'!$A:$A, 'Hospitalisation Details'!G:G, "No Data")</f>
        <v>4529.48</v>
      </c>
      <c r="P1832" s="28" t="str">
        <f t="array" ref="P1832">_xlfn.XLOOKUP($A1832, 'Hospitalisation Details'!$A:$A, 'Hospitalisation Details'!H:H, "No Data")</f>
        <v>tier - 2</v>
      </c>
    </row>
    <row r="1833">
      <c r="A1833" s="25" t="s">
        <v>3573</v>
      </c>
      <c r="B1833" s="28" t="str">
        <f t="array" ref="B1833">_xlfn.XLOOKUP($A1833, 'Customer Names'!$A:$A, 'Customer Names'!B:B, "No Data")</f>
        <v>Jennings</v>
      </c>
      <c r="C1833" s="28">
        <f t="array" ref="C1833">_xlfn.XLOOKUP($A1833, 'Medical Examinations'!$A:$A, 'Medical Examinations'!B:B, "No Data")</f>
        <v>28.405</v>
      </c>
      <c r="D1833" s="28">
        <f t="array" ref="D1833">_xlfn.XLOOKUP($A1833, 'Medical Examinations'!$A:$A, 'Medical Examinations'!C:C, "No Data")</f>
        <v>4.12</v>
      </c>
      <c r="E1833" s="28" t="str">
        <f t="array" ref="E1833">_xlfn.XLOOKUP($A1833, 'Medical Examinations'!$A:$A, 'Medical Examinations'!D:D, "No Data")</f>
        <v>No</v>
      </c>
      <c r="F1833" s="28" t="str">
        <f t="array" ref="F1833">_xlfn.XLOOKUP($A1833, 'Medical Examinations'!$A:$A, 'Medical Examinations'!E:E, "No Data")</f>
        <v>No</v>
      </c>
      <c r="G1833" s="28" t="str">
        <f t="array" ref="G1833">_xlfn.XLOOKUP($A1833, 'Medical Examinations'!$A:$A, 'Medical Examinations'!F:F, "No Data")</f>
        <v>No</v>
      </c>
      <c r="H1833" s="28">
        <f t="array" ref="H1833">_xlfn.XLOOKUP($A1833, 'Medical Examinations'!$A:$A, 'Medical Examinations'!G:G, "No Data")</f>
        <v>1</v>
      </c>
      <c r="I1833" s="28" t="str">
        <f t="array" ref="I1833">_xlfn.XLOOKUP($A1833, 'Medical Examinations'!$A:$A, 'Medical Examinations'!H:H, "No Data")</f>
        <v>No</v>
      </c>
      <c r="J1833" s="28" t="str">
        <f t="array" ref="J1833">_xlfn.XLOOKUP($A1833, 'Medical Examinations'!$A:$A, 'Medical Examinations'!I:I, "No Data")</f>
        <v>Overweight</v>
      </c>
      <c r="K1833" s="28" t="str">
        <f t="array" ref="K1833">_xlfn.XLOOKUP($A1833, 'Hospitalisation Details'!$A:$A, 'Hospitalisation Details'!I:I, "No Data")</f>
        <v>tier - 2</v>
      </c>
      <c r="L1833" s="28" t="str">
        <f t="array" ref="L1833">_xlfn.XLOOKUP($A1833, 'Hospitalisation Details'!$A:$A, 'Hospitalisation Details'!J:J, "No Data")</f>
        <v>R1012</v>
      </c>
      <c r="M1833" s="28" t="str">
        <f t="array" ref="M1833">_xlfn.XLOOKUP($A1833, 'Hospitalisation Details'!$A:$A, 'Hospitalisation Details'!E:E, "No Data")</f>
        <v>13/08/92</v>
      </c>
      <c r="N1833" s="28">
        <f t="array" ref="N1833">_xlfn.XLOOKUP($A1833, 'Hospitalisation Details'!$A:$A, 'Hospitalisation Details'!K:K, "No Data")</f>
        <v>30</v>
      </c>
      <c r="O1833" s="33">
        <f t="array" ref="O1833">_xlfn.XLOOKUP($A1833, 'Hospitalisation Details'!$A:$A, 'Hospitalisation Details'!G:G, "No Data")</f>
        <v>4527.18</v>
      </c>
      <c r="P1833" s="28" t="str">
        <f t="array" ref="P1833">_xlfn.XLOOKUP($A1833, 'Hospitalisation Details'!$A:$A, 'Hospitalisation Details'!H:H, "No Data")</f>
        <v>tier - 2</v>
      </c>
    </row>
    <row r="1834">
      <c r="A1834" s="25" t="s">
        <v>3567</v>
      </c>
      <c r="B1834" s="28" t="str">
        <f t="array" ref="B1834">_xlfn.XLOOKUP($A1834, 'Customer Names'!$A:$A, 'Customer Names'!B:B, "No Data")</f>
        <v>Nyambaso</v>
      </c>
      <c r="C1834" s="28">
        <f t="array" ref="C1834">_xlfn.XLOOKUP($A1834, 'Medical Examinations'!$A:$A, 'Medical Examinations'!B:B, "No Data")</f>
        <v>34.675</v>
      </c>
      <c r="D1834" s="28">
        <f t="array" ref="D1834">_xlfn.XLOOKUP($A1834, 'Medical Examinations'!$A:$A, 'Medical Examinations'!C:C, "No Data")</f>
        <v>5.71</v>
      </c>
      <c r="E1834" s="28" t="str">
        <f t="array" ref="E1834">_xlfn.XLOOKUP($A1834, 'Medical Examinations'!$A:$A, 'Medical Examinations'!D:D, "No Data")</f>
        <v>yes</v>
      </c>
      <c r="F1834" s="28" t="str">
        <f t="array" ref="F1834">_xlfn.XLOOKUP($A1834, 'Medical Examinations'!$A:$A, 'Medical Examinations'!E:E, "No Data")</f>
        <v>No</v>
      </c>
      <c r="G1834" s="28" t="str">
        <f t="array" ref="G1834">_xlfn.XLOOKUP($A1834, 'Medical Examinations'!$A:$A, 'Medical Examinations'!F:F, "No Data")</f>
        <v>No</v>
      </c>
      <c r="H1834" s="28">
        <f t="array" ref="H1834">_xlfn.XLOOKUP($A1834, 'Medical Examinations'!$A:$A, 'Medical Examinations'!G:G, "No Data")</f>
        <v>1</v>
      </c>
      <c r="I1834" s="28" t="str">
        <f t="array" ref="I1834">_xlfn.XLOOKUP($A1834, 'Medical Examinations'!$A:$A, 'Medical Examinations'!H:H, "No Data")</f>
        <v>No</v>
      </c>
      <c r="J1834" s="28" t="str">
        <f t="array" ref="J1834">_xlfn.XLOOKUP($A1834, 'Medical Examinations'!$A:$A, 'Medical Examinations'!I:I, "No Data")</f>
        <v>Obesity</v>
      </c>
      <c r="K1834" s="28" t="str">
        <f t="array" ref="K1834">_xlfn.XLOOKUP($A1834, 'Hospitalisation Details'!$A:$A, 'Hospitalisation Details'!I:I, "No Data")</f>
        <v>tier - 2</v>
      </c>
      <c r="L1834" s="28" t="str">
        <f t="array" ref="L1834">_xlfn.XLOOKUP($A1834, 'Hospitalisation Details'!$A:$A, 'Hospitalisation Details'!J:J, "No Data")</f>
        <v>R1017</v>
      </c>
      <c r="M1834" s="28" t="str">
        <f t="array" ref="M1834">_xlfn.XLOOKUP($A1834, 'Hospitalisation Details'!$A:$A, 'Hospitalisation Details'!E:E, "No Data")</f>
        <v>21/12/88</v>
      </c>
      <c r="N1834" s="28">
        <f t="array" ref="N1834">_xlfn.XLOOKUP($A1834, 'Hospitalisation Details'!$A:$A, 'Hospitalisation Details'!K:K, "No Data")</f>
        <v>34</v>
      </c>
      <c r="O1834" s="33">
        <f t="array" ref="O1834">_xlfn.XLOOKUP($A1834, 'Hospitalisation Details'!$A:$A, 'Hospitalisation Details'!G:G, "No Data")</f>
        <v>4518.83</v>
      </c>
      <c r="P1834" s="28" t="str">
        <f t="array" ref="P1834">_xlfn.XLOOKUP($A1834, 'Hospitalisation Details'!$A:$A, 'Hospitalisation Details'!H:H, "No Data")</f>
        <v>tier - 2</v>
      </c>
    </row>
    <row r="1835">
      <c r="A1835" s="25" t="s">
        <v>3561</v>
      </c>
      <c r="B1835" s="28" t="str">
        <f t="array" ref="B1835">_xlfn.XLOOKUP($A1835, 'Customer Names'!$A:$A, 'Customer Names'!B:B, "No Data")</f>
        <v>Shaffer</v>
      </c>
      <c r="C1835" s="28">
        <f t="array" ref="C1835">_xlfn.XLOOKUP($A1835, 'Medical Examinations'!$A:$A, 'Medical Examinations'!B:B, "No Data")</f>
        <v>18.85</v>
      </c>
      <c r="D1835" s="28">
        <f t="array" ref="D1835">_xlfn.XLOOKUP($A1835, 'Medical Examinations'!$A:$A, 'Medical Examinations'!C:C, "No Data")</f>
        <v>6.03</v>
      </c>
      <c r="E1835" s="28" t="str">
        <f t="array" ref="E1835">_xlfn.XLOOKUP($A1835, 'Medical Examinations'!$A:$A, 'Medical Examinations'!D:D, "No Data")</f>
        <v>No</v>
      </c>
      <c r="F1835" s="28" t="str">
        <f t="array" ref="F1835">_xlfn.XLOOKUP($A1835, 'Medical Examinations'!$A:$A, 'Medical Examinations'!E:E, "No Data")</f>
        <v>No</v>
      </c>
      <c r="G1835" s="28" t="str">
        <f t="array" ref="G1835">_xlfn.XLOOKUP($A1835, 'Medical Examinations'!$A:$A, 'Medical Examinations'!F:F, "No Data")</f>
        <v>No</v>
      </c>
      <c r="H1835" s="28">
        <f t="array" ref="H1835">_xlfn.XLOOKUP($A1835, 'Medical Examinations'!$A:$A, 'Medical Examinations'!G:G, "No Data")</f>
        <v>1</v>
      </c>
      <c r="I1835" s="28" t="str">
        <f t="array" ref="I1835">_xlfn.XLOOKUP($A1835, 'Medical Examinations'!$A:$A, 'Medical Examinations'!H:H, "No Data")</f>
        <v>No</v>
      </c>
      <c r="J1835" s="28" t="str">
        <f t="array" ref="J1835">_xlfn.XLOOKUP($A1835, 'Medical Examinations'!$A:$A, 'Medical Examinations'!I:I, "No Data")</f>
        <v>Normal Weight</v>
      </c>
      <c r="K1835" s="28" t="str">
        <f t="array" ref="K1835">_xlfn.XLOOKUP($A1835, 'Hospitalisation Details'!$A:$A, 'Hospitalisation Details'!I:I, "No Data")</f>
        <v>tier - 3</v>
      </c>
      <c r="L1835" s="28" t="str">
        <f t="array" ref="L1835">_xlfn.XLOOKUP($A1835, 'Hospitalisation Details'!$A:$A, 'Hospitalisation Details'!J:J, "No Data")</f>
        <v>R1012</v>
      </c>
      <c r="M1835" s="28" t="str">
        <f t="array" ref="M1835">_xlfn.XLOOKUP($A1835, 'Hospitalisation Details'!$A:$A, 'Hospitalisation Details'!E:E, "No Data")</f>
        <v>05/12/87</v>
      </c>
      <c r="N1835" s="28">
        <f t="array" ref="N1835">_xlfn.XLOOKUP($A1835, 'Hospitalisation Details'!$A:$A, 'Hospitalisation Details'!K:K, "No Data")</f>
        <v>35</v>
      </c>
      <c r="O1835" s="33">
        <f t="array" ref="O1835">_xlfn.XLOOKUP($A1835, 'Hospitalisation Details'!$A:$A, 'Hospitalisation Details'!G:G, "No Data")</f>
        <v>4518.77</v>
      </c>
      <c r="P1835" s="28" t="str">
        <f t="array" ref="P1835">_xlfn.XLOOKUP($A1835, 'Hospitalisation Details'!$A:$A, 'Hospitalisation Details'!H:H, "No Data")</f>
        <v>tier - 2</v>
      </c>
    </row>
    <row r="1836">
      <c r="A1836" s="25" t="s">
        <v>3556</v>
      </c>
      <c r="B1836" s="28" t="str">
        <f t="array" ref="B1836">_xlfn.XLOOKUP($A1836, 'Customer Names'!$A:$A, 'Customer Names'!B:B, "No Data")</f>
        <v>Corkum</v>
      </c>
      <c r="C1836" s="28">
        <f t="array" ref="C1836">_xlfn.XLOOKUP($A1836, 'Medical Examinations'!$A:$A, 'Medical Examinations'!B:B, "No Data")</f>
        <v>34.13</v>
      </c>
      <c r="D1836" s="28">
        <f t="array" ref="D1836">_xlfn.XLOOKUP($A1836, 'Medical Examinations'!$A:$A, 'Medical Examinations'!C:C, "No Data")</f>
        <v>5.65</v>
      </c>
      <c r="E1836" s="28" t="str">
        <f t="array" ref="E1836">_xlfn.XLOOKUP($A1836, 'Medical Examinations'!$A:$A, 'Medical Examinations'!D:D, "No Data")</f>
        <v>No</v>
      </c>
      <c r="F1836" s="28" t="str">
        <f t="array" ref="F1836">_xlfn.XLOOKUP($A1836, 'Medical Examinations'!$A:$A, 'Medical Examinations'!E:E, "No Data")</f>
        <v>No</v>
      </c>
      <c r="G1836" s="28" t="str">
        <f t="array" ref="G1836">_xlfn.XLOOKUP($A1836, 'Medical Examinations'!$A:$A, 'Medical Examinations'!F:F, "No Data")</f>
        <v>Yes</v>
      </c>
      <c r="H1836" s="28">
        <f t="array" ref="H1836">_xlfn.XLOOKUP($A1836, 'Medical Examinations'!$A:$A, 'Medical Examinations'!G:G, "No Data")</f>
        <v>1</v>
      </c>
      <c r="I1836" s="28" t="str">
        <f t="array" ref="I1836">_xlfn.XLOOKUP($A1836, 'Medical Examinations'!$A:$A, 'Medical Examinations'!H:H, "No Data")</f>
        <v>No</v>
      </c>
      <c r="J1836" s="28" t="str">
        <f t="array" ref="J1836">_xlfn.XLOOKUP($A1836, 'Medical Examinations'!$A:$A, 'Medical Examinations'!I:I, "No Data")</f>
        <v>Obesity</v>
      </c>
      <c r="K1836" s="28" t="str">
        <f t="array" ref="K1836">_xlfn.XLOOKUP($A1836, 'Hospitalisation Details'!$A:$A, 'Hospitalisation Details'!I:I, "No Data")</f>
        <v>tier - 3</v>
      </c>
      <c r="L1836" s="28" t="str">
        <f t="array" ref="L1836">_xlfn.XLOOKUP($A1836, 'Hospitalisation Details'!$A:$A, 'Hospitalisation Details'!J:J, "No Data")</f>
        <v>R1026</v>
      </c>
      <c r="M1836" s="28" t="str">
        <f t="array" ref="M1836">_xlfn.XLOOKUP($A1836, 'Hospitalisation Details'!$A:$A, 'Hospitalisation Details'!E:E, "No Data")</f>
        <v>02/10/03</v>
      </c>
      <c r="N1836" s="28">
        <f t="array" ref="N1836">_xlfn.XLOOKUP($A1836, 'Hospitalisation Details'!$A:$A, 'Hospitalisation Details'!K:K, "No Data")</f>
        <v>19</v>
      </c>
      <c r="O1836" s="33">
        <f t="array" ref="O1836">_xlfn.XLOOKUP($A1836, 'Hospitalisation Details'!$A:$A, 'Hospitalisation Details'!G:G, "No Data")</f>
        <v>4518.4</v>
      </c>
      <c r="P1836" s="28" t="str">
        <f t="array" ref="P1836">_xlfn.XLOOKUP($A1836, 'Hospitalisation Details'!$A:$A, 'Hospitalisation Details'!H:H, "No Data")</f>
        <v>tier - 2</v>
      </c>
    </row>
    <row r="1837">
      <c r="A1837" s="25" t="s">
        <v>3552</v>
      </c>
      <c r="B1837" s="28" t="str">
        <f t="array" ref="B1837">_xlfn.XLOOKUP($A1837, 'Customer Names'!$A:$A, 'Customer Names'!B:B, "No Data")</f>
        <v>Pedersen</v>
      </c>
      <c r="C1837" s="28">
        <f t="array" ref="C1837">_xlfn.XLOOKUP($A1837, 'Medical Examinations'!$A:$A, 'Medical Examinations'!B:B, "No Data")</f>
        <v>17.34</v>
      </c>
      <c r="D1837" s="28">
        <f t="array" ref="D1837">_xlfn.XLOOKUP($A1837, 'Medical Examinations'!$A:$A, 'Medical Examinations'!C:C, "No Data")</f>
        <v>5.05</v>
      </c>
      <c r="E1837" s="28" t="str">
        <f t="array" ref="E1837">_xlfn.XLOOKUP($A1837, 'Medical Examinations'!$A:$A, 'Medical Examinations'!D:D, "No Data")</f>
        <v>No</v>
      </c>
      <c r="F1837" s="28" t="str">
        <f t="array" ref="F1837">_xlfn.XLOOKUP($A1837, 'Medical Examinations'!$A:$A, 'Medical Examinations'!E:E, "No Data")</f>
        <v>No</v>
      </c>
      <c r="G1837" s="28" t="str">
        <f t="array" ref="G1837">_xlfn.XLOOKUP($A1837, 'Medical Examinations'!$A:$A, 'Medical Examinations'!F:F, "No Data")</f>
        <v>No</v>
      </c>
      <c r="H1837" s="28">
        <f t="array" ref="H1837">_xlfn.XLOOKUP($A1837, 'Medical Examinations'!$A:$A, 'Medical Examinations'!G:G, "No Data")</f>
        <v>0</v>
      </c>
      <c r="I1837" s="28" t="str">
        <f t="array" ref="I1837">_xlfn.XLOOKUP($A1837, 'Medical Examinations'!$A:$A, 'Medical Examinations'!H:H, "No Data")</f>
        <v>No</v>
      </c>
      <c r="J1837" s="28" t="str">
        <f t="array" ref="J1837">_xlfn.XLOOKUP($A1837, 'Medical Examinations'!$A:$A, 'Medical Examinations'!I:I, "No Data")</f>
        <v>Underweight</v>
      </c>
      <c r="K1837" s="28" t="str">
        <f t="array" ref="K1837">_xlfn.XLOOKUP($A1837, 'Hospitalisation Details'!$A:$A, 'Hospitalisation Details'!I:I, "No Data")</f>
        <v>tier - 3</v>
      </c>
      <c r="L1837" s="28" t="str">
        <f t="array" ref="L1837">_xlfn.XLOOKUP($A1837, 'Hospitalisation Details'!$A:$A, 'Hospitalisation Details'!J:J, "No Data")</f>
        <v>R1013</v>
      </c>
      <c r="M1837" s="28" t="str">
        <f t="array" ref="M1837">_xlfn.XLOOKUP($A1837, 'Hospitalisation Details'!$A:$A, 'Hospitalisation Details'!E:E, "No Data")</f>
        <v>16/06/80</v>
      </c>
      <c r="N1837" s="28">
        <f t="array" ref="N1837">_xlfn.XLOOKUP($A1837, 'Hospitalisation Details'!$A:$A, 'Hospitalisation Details'!K:K, "No Data")</f>
        <v>42</v>
      </c>
      <c r="O1837" s="33">
        <f t="array" ref="O1837">_xlfn.XLOOKUP($A1837, 'Hospitalisation Details'!$A:$A, 'Hospitalisation Details'!G:G, "No Data")</f>
        <v>4515.71</v>
      </c>
      <c r="P1837" s="28" t="str">
        <f t="array" ref="P1837">_xlfn.XLOOKUP($A1837, 'Hospitalisation Details'!$A:$A, 'Hospitalisation Details'!H:H, "No Data")</f>
        <v>tier - 2</v>
      </c>
    </row>
    <row r="1838">
      <c r="A1838" s="25" t="s">
        <v>3545</v>
      </c>
      <c r="B1838" s="28" t="str">
        <f t="array" ref="B1838">_xlfn.XLOOKUP($A1838, 'Customer Names'!$A:$A, 'Customer Names'!B:B, "No Data")</f>
        <v>Melo</v>
      </c>
      <c r="C1838" s="28">
        <f t="array" ref="C1838">_xlfn.XLOOKUP($A1838, 'Medical Examinations'!$A:$A, 'Medical Examinations'!B:B, "No Data")</f>
        <v>17.44</v>
      </c>
      <c r="D1838" s="28">
        <f t="array" ref="D1838">_xlfn.XLOOKUP($A1838, 'Medical Examinations'!$A:$A, 'Medical Examinations'!C:C, "No Data")</f>
        <v>6.26</v>
      </c>
      <c r="E1838" s="28" t="str">
        <f t="array" ref="E1838">_xlfn.XLOOKUP($A1838, 'Medical Examinations'!$A:$A, 'Medical Examinations'!D:D, "No Data")</f>
        <v>No</v>
      </c>
      <c r="F1838" s="28" t="str">
        <f t="array" ref="F1838">_xlfn.XLOOKUP($A1838, 'Medical Examinations'!$A:$A, 'Medical Examinations'!E:E, "No Data")</f>
        <v>No</v>
      </c>
      <c r="G1838" s="28" t="str">
        <f t="array" ref="G1838">_xlfn.XLOOKUP($A1838, 'Medical Examinations'!$A:$A, 'Medical Examinations'!F:F, "No Data")</f>
        <v>No</v>
      </c>
      <c r="H1838" s="28">
        <f t="array" ref="H1838">_xlfn.XLOOKUP($A1838, 'Medical Examinations'!$A:$A, 'Medical Examinations'!G:G, "No Data")</f>
        <v>0</v>
      </c>
      <c r="I1838" s="28" t="str">
        <f t="array" ref="I1838">_xlfn.XLOOKUP($A1838, 'Medical Examinations'!$A:$A, 'Medical Examinations'!H:H, "No Data")</f>
        <v>No</v>
      </c>
      <c r="J1838" s="28" t="str">
        <f t="array" ref="J1838">_xlfn.XLOOKUP($A1838, 'Medical Examinations'!$A:$A, 'Medical Examinations'!I:I, "No Data")</f>
        <v>Underweight</v>
      </c>
      <c r="K1838" s="28" t="str">
        <f t="array" ref="K1838">_xlfn.XLOOKUP($A1838, 'Hospitalisation Details'!$A:$A, 'Hospitalisation Details'!I:I, "No Data")</f>
        <v>tier - 3</v>
      </c>
      <c r="L1838" s="28" t="str">
        <f t="array" ref="L1838">_xlfn.XLOOKUP($A1838, 'Hospitalisation Details'!$A:$A, 'Hospitalisation Details'!J:J, "No Data")</f>
        <v>R1013</v>
      </c>
      <c r="M1838" s="28" t="str">
        <f t="array" ref="M1838">_xlfn.XLOOKUP($A1838, 'Hospitalisation Details'!$A:$A, 'Hospitalisation Details'!E:E, "No Data")</f>
        <v>27/09/82</v>
      </c>
      <c r="N1838" s="28">
        <f t="array" ref="N1838">_xlfn.XLOOKUP($A1838, 'Hospitalisation Details'!$A:$A, 'Hospitalisation Details'!K:K, "No Data")</f>
        <v>40</v>
      </c>
      <c r="O1838" s="33">
        <f t="array" ref="O1838">_xlfn.XLOOKUP($A1838, 'Hospitalisation Details'!$A:$A, 'Hospitalisation Details'!G:G, "No Data")</f>
        <v>4511.41</v>
      </c>
      <c r="P1838" s="28" t="str">
        <f t="array" ref="P1838">_xlfn.XLOOKUP($A1838, 'Hospitalisation Details'!$A:$A, 'Hospitalisation Details'!H:H, "No Data")</f>
        <v>tier - 2</v>
      </c>
    </row>
    <row r="1839">
      <c r="A1839" s="25" t="s">
        <v>3538</v>
      </c>
      <c r="B1839" s="28" t="str">
        <f t="array" ref="B1839">_xlfn.XLOOKUP($A1839, 'Customer Names'!$A:$A, 'Customer Names'!B:B, "No Data")</f>
        <v>Sakamoto</v>
      </c>
      <c r="C1839" s="28">
        <f t="array" ref="C1839">_xlfn.XLOOKUP($A1839, 'Medical Examinations'!$A:$A, 'Medical Examinations'!B:B, "No Data")</f>
        <v>33.66</v>
      </c>
      <c r="D1839" s="28">
        <f t="array" ref="D1839">_xlfn.XLOOKUP($A1839, 'Medical Examinations'!$A:$A, 'Medical Examinations'!C:C, "No Data")</f>
        <v>4.08</v>
      </c>
      <c r="E1839" s="28" t="str">
        <f t="array" ref="E1839">_xlfn.XLOOKUP($A1839, 'Medical Examinations'!$A:$A, 'Medical Examinations'!D:D, "No Data")</f>
        <v>yes</v>
      </c>
      <c r="F1839" s="28" t="str">
        <f t="array" ref="F1839">_xlfn.XLOOKUP($A1839, 'Medical Examinations'!$A:$A, 'Medical Examinations'!E:E, "No Data")</f>
        <v>No</v>
      </c>
      <c r="G1839" s="28" t="str">
        <f t="array" ref="G1839">_xlfn.XLOOKUP($A1839, 'Medical Examinations'!$A:$A, 'Medical Examinations'!F:F, "No Data")</f>
        <v>Yes</v>
      </c>
      <c r="H1839" s="28">
        <f t="array" ref="H1839">_xlfn.XLOOKUP($A1839, 'Medical Examinations'!$A:$A, 'Medical Examinations'!G:G, "No Data")</f>
        <v>1</v>
      </c>
      <c r="I1839" s="28" t="str">
        <f t="array" ref="I1839">_xlfn.XLOOKUP($A1839, 'Medical Examinations'!$A:$A, 'Medical Examinations'!H:H, "No Data")</f>
        <v>No</v>
      </c>
      <c r="J1839" s="28" t="str">
        <f t="array" ref="J1839">_xlfn.XLOOKUP($A1839, 'Medical Examinations'!$A:$A, 'Medical Examinations'!I:I, "No Data")</f>
        <v>Obesity</v>
      </c>
      <c r="K1839" s="28" t="str">
        <f t="array" ref="K1839">_xlfn.XLOOKUP($A1839, 'Hospitalisation Details'!$A:$A, 'Hospitalisation Details'!I:I, "No Data")</f>
        <v>tier - 2</v>
      </c>
      <c r="L1839" s="28" t="str">
        <f t="array" ref="L1839">_xlfn.XLOOKUP($A1839, 'Hospitalisation Details'!$A:$A, 'Hospitalisation Details'!J:J, "No Data")</f>
        <v>R1013</v>
      </c>
      <c r="M1839" s="28" t="str">
        <f t="array" ref="M1839">_xlfn.XLOOKUP($A1839, 'Hospitalisation Details'!$A:$A, 'Hospitalisation Details'!E:E, "No Data")</f>
        <v>13/10/97</v>
      </c>
      <c r="N1839" s="28">
        <f t="array" ref="N1839">_xlfn.XLOOKUP($A1839, 'Hospitalisation Details'!$A:$A, 'Hospitalisation Details'!K:K, "No Data")</f>
        <v>25</v>
      </c>
      <c r="O1839" s="33">
        <f t="array" ref="O1839">_xlfn.XLOOKUP($A1839, 'Hospitalisation Details'!$A:$A, 'Hospitalisation Details'!G:G, "No Data")</f>
        <v>4504.66</v>
      </c>
      <c r="P1839" s="28" t="str">
        <f t="array" ref="P1839">_xlfn.XLOOKUP($A1839, 'Hospitalisation Details'!$A:$A, 'Hospitalisation Details'!H:H, "No Data")</f>
        <v>tier - 1</v>
      </c>
    </row>
    <row r="1840">
      <c r="A1840" s="25" t="s">
        <v>3532</v>
      </c>
      <c r="B1840" s="28" t="str">
        <f t="array" ref="B1840">_xlfn.XLOOKUP($A1840, 'Customer Names'!$A:$A, 'Customer Names'!B:B, "No Data")</f>
        <v>McMahon</v>
      </c>
      <c r="C1840" s="28">
        <f t="array" ref="C1840">_xlfn.XLOOKUP($A1840, 'Medical Examinations'!$A:$A, 'Medical Examinations'!B:B, "No Data")</f>
        <v>21.375</v>
      </c>
      <c r="D1840" s="28">
        <f t="array" ref="D1840">_xlfn.XLOOKUP($A1840, 'Medical Examinations'!$A:$A, 'Medical Examinations'!C:C, "No Data")</f>
        <v>6.19</v>
      </c>
      <c r="E1840" s="28" t="str">
        <f t="array" ref="E1840">_xlfn.XLOOKUP($A1840, 'Medical Examinations'!$A:$A, 'Medical Examinations'!D:D, "No Data")</f>
        <v>yes</v>
      </c>
      <c r="F1840" s="28" t="str">
        <f t="array" ref="F1840">_xlfn.XLOOKUP($A1840, 'Medical Examinations'!$A:$A, 'Medical Examinations'!E:E, "No Data")</f>
        <v>No</v>
      </c>
      <c r="G1840" s="28" t="str">
        <f t="array" ref="G1840">_xlfn.XLOOKUP($A1840, 'Medical Examinations'!$A:$A, 'Medical Examinations'!F:F, "No Data")</f>
        <v>No</v>
      </c>
      <c r="H1840" s="28">
        <f t="array" ref="H1840">_xlfn.XLOOKUP($A1840, 'Medical Examinations'!$A:$A, 'Medical Examinations'!G:G, "No Data")</f>
        <v>1</v>
      </c>
      <c r="I1840" s="28" t="str">
        <f t="array" ref="I1840">_xlfn.XLOOKUP($A1840, 'Medical Examinations'!$A:$A, 'Medical Examinations'!H:H, "No Data")</f>
        <v>No</v>
      </c>
      <c r="J1840" s="28" t="str">
        <f t="array" ref="J1840">_xlfn.XLOOKUP($A1840, 'Medical Examinations'!$A:$A, 'Medical Examinations'!I:I, "No Data")</f>
        <v>Normal Weight</v>
      </c>
      <c r="K1840" s="28" t="str">
        <f t="array" ref="K1840">_xlfn.XLOOKUP($A1840, 'Hospitalisation Details'!$A:$A, 'Hospitalisation Details'!I:I, "No Data")</f>
        <v>tier - 1</v>
      </c>
      <c r="L1840" s="28" t="str">
        <f t="array" ref="L1840">_xlfn.XLOOKUP($A1840, 'Hospitalisation Details'!$A:$A, 'Hospitalisation Details'!J:J, "No Data")</f>
        <v>R1017</v>
      </c>
      <c r="M1840" s="28" t="str">
        <f t="array" ref="M1840">_xlfn.XLOOKUP($A1840, 'Hospitalisation Details'!$A:$A, 'Hospitalisation Details'!E:E, "No Data")</f>
        <v>26/06/88</v>
      </c>
      <c r="N1840" s="28">
        <f t="array" ref="N1840">_xlfn.XLOOKUP($A1840, 'Hospitalisation Details'!$A:$A, 'Hospitalisation Details'!K:K, "No Data")</f>
        <v>34</v>
      </c>
      <c r="O1840" s="33">
        <f t="array" ref="O1840">_xlfn.XLOOKUP($A1840, 'Hospitalisation Details'!$A:$A, 'Hospitalisation Details'!G:G, "No Data")</f>
        <v>4500.34</v>
      </c>
      <c r="P1840" s="28" t="str">
        <f t="array" ref="P1840">_xlfn.XLOOKUP($A1840, 'Hospitalisation Details'!$A:$A, 'Hospitalisation Details'!H:H, "No Data")</f>
        <v>tier - 2</v>
      </c>
    </row>
    <row r="1841">
      <c r="A1841" s="25" t="s">
        <v>3527</v>
      </c>
      <c r="B1841" s="28" t="str">
        <f t="array" ref="B1841">_xlfn.XLOOKUP($A1841, 'Customer Names'!$A:$A, 'Customer Names'!B:B, "No Data")</f>
        <v>Harris</v>
      </c>
      <c r="C1841" s="28">
        <f t="array" ref="C1841">_xlfn.XLOOKUP($A1841, 'Medical Examinations'!$A:$A, 'Medical Examinations'!B:B, "No Data")</f>
        <v>27.14</v>
      </c>
      <c r="D1841" s="28">
        <f t="array" ref="D1841">_xlfn.XLOOKUP($A1841, 'Medical Examinations'!$A:$A, 'Medical Examinations'!C:C, "No Data")</f>
        <v>6.01</v>
      </c>
      <c r="E1841" s="28" t="str">
        <f t="array" ref="E1841">_xlfn.XLOOKUP($A1841, 'Medical Examinations'!$A:$A, 'Medical Examinations'!D:D, "No Data")</f>
        <v>No</v>
      </c>
      <c r="F1841" s="28" t="str">
        <f t="array" ref="F1841">_xlfn.XLOOKUP($A1841, 'Medical Examinations'!$A:$A, 'Medical Examinations'!E:E, "No Data")</f>
        <v>No</v>
      </c>
      <c r="G1841" s="28" t="str">
        <f t="array" ref="G1841">_xlfn.XLOOKUP($A1841, 'Medical Examinations'!$A:$A, 'Medical Examinations'!F:F, "No Data")</f>
        <v>No</v>
      </c>
      <c r="H1841" s="28">
        <f t="array" ref="H1841">_xlfn.XLOOKUP($A1841, 'Medical Examinations'!$A:$A, 'Medical Examinations'!G:G, "No Data")</f>
        <v>1</v>
      </c>
      <c r="I1841" s="28" t="str">
        <f t="array" ref="I1841">_xlfn.XLOOKUP($A1841, 'Medical Examinations'!$A:$A, 'Medical Examinations'!H:H, "No Data")</f>
        <v>No</v>
      </c>
      <c r="J1841" s="28" t="str">
        <f t="array" ref="J1841">_xlfn.XLOOKUP($A1841, 'Medical Examinations'!$A:$A, 'Medical Examinations'!I:I, "No Data")</f>
        <v>Overweight</v>
      </c>
      <c r="K1841" s="28" t="str">
        <f t="array" ref="K1841">_xlfn.XLOOKUP($A1841, 'Hospitalisation Details'!$A:$A, 'Hospitalisation Details'!I:I, "No Data")</f>
        <v>tier - 3</v>
      </c>
      <c r="L1841" s="28" t="str">
        <f t="array" ref="L1841">_xlfn.XLOOKUP($A1841, 'Hospitalisation Details'!$A:$A, 'Hospitalisation Details'!J:J, "No Data")</f>
        <v>R1012</v>
      </c>
      <c r="M1841" s="28" t="str">
        <f t="array" ref="M1841">_xlfn.XLOOKUP($A1841, 'Hospitalisation Details'!$A:$A, 'Hospitalisation Details'!E:E, "No Data")</f>
        <v>12/07/92</v>
      </c>
      <c r="N1841" s="28">
        <f t="array" ref="N1841">_xlfn.XLOOKUP($A1841, 'Hospitalisation Details'!$A:$A, 'Hospitalisation Details'!K:K, "No Data")</f>
        <v>30</v>
      </c>
      <c r="O1841" s="33">
        <f t="array" ref="O1841">_xlfn.XLOOKUP($A1841, 'Hospitalisation Details'!$A:$A, 'Hospitalisation Details'!G:G, "No Data")</f>
        <v>4488.58</v>
      </c>
      <c r="P1841" s="28" t="str">
        <f t="array" ref="P1841">_xlfn.XLOOKUP($A1841, 'Hospitalisation Details'!$A:$A, 'Hospitalisation Details'!H:H, "No Data")</f>
        <v>tier - 2</v>
      </c>
    </row>
    <row r="1842">
      <c r="A1842" s="25" t="s">
        <v>3520</v>
      </c>
      <c r="B1842" s="28" t="str">
        <f t="array" ref="B1842">_xlfn.XLOOKUP($A1842, 'Customer Names'!$A:$A, 'Customer Names'!B:B, "No Data")</f>
        <v>Lombardo</v>
      </c>
      <c r="C1842" s="28">
        <f t="array" ref="C1842">_xlfn.XLOOKUP($A1842, 'Medical Examinations'!$A:$A, 'Medical Examinations'!B:B, "No Data")</f>
        <v>35.78</v>
      </c>
      <c r="D1842" s="28">
        <f t="array" ref="D1842">_xlfn.XLOOKUP($A1842, 'Medical Examinations'!$A:$A, 'Medical Examinations'!C:C, "No Data")</f>
        <v>6.07</v>
      </c>
      <c r="E1842" s="28" t="str">
        <f t="array" ref="E1842">_xlfn.XLOOKUP($A1842, 'Medical Examinations'!$A:$A, 'Medical Examinations'!D:D, "No Data")</f>
        <v>No</v>
      </c>
      <c r="F1842" s="28" t="str">
        <f t="array" ref="F1842">_xlfn.XLOOKUP($A1842, 'Medical Examinations'!$A:$A, 'Medical Examinations'!E:E, "No Data")</f>
        <v>yes</v>
      </c>
      <c r="G1842" s="28" t="str">
        <f t="array" ref="G1842">_xlfn.XLOOKUP($A1842, 'Medical Examinations'!$A:$A, 'Medical Examinations'!F:F, "No Data")</f>
        <v>No</v>
      </c>
      <c r="H1842" s="28">
        <f t="array" ref="H1842">_xlfn.XLOOKUP($A1842, 'Medical Examinations'!$A:$A, 'Medical Examinations'!G:G, "No Data")</f>
        <v>1</v>
      </c>
      <c r="I1842" s="28" t="str">
        <f t="array" ref="I1842">_xlfn.XLOOKUP($A1842, 'Medical Examinations'!$A:$A, 'Medical Examinations'!H:H, "No Data")</f>
        <v>No</v>
      </c>
      <c r="J1842" s="28" t="str">
        <f t="array" ref="J1842">_xlfn.XLOOKUP($A1842, 'Medical Examinations'!$A:$A, 'Medical Examinations'!I:I, "No Data")</f>
        <v>Obesity</v>
      </c>
      <c r="K1842" s="28" t="str">
        <f t="array" ref="K1842">_xlfn.XLOOKUP($A1842, 'Hospitalisation Details'!$A:$A, 'Hospitalisation Details'!I:I, "No Data")</f>
        <v>tier - 2</v>
      </c>
      <c r="L1842" s="28" t="str">
        <f t="array" ref="L1842">_xlfn.XLOOKUP($A1842, 'Hospitalisation Details'!$A:$A, 'Hospitalisation Details'!J:J, "No Data")</f>
        <v>R1012</v>
      </c>
      <c r="M1842" s="28" t="str">
        <f t="array" ref="M1842">_xlfn.XLOOKUP($A1842, 'Hospitalisation Details'!$A:$A, 'Hospitalisation Details'!E:E, "No Data")</f>
        <v>18/07/04</v>
      </c>
      <c r="N1842" s="28">
        <f t="array" ref="N1842">_xlfn.XLOOKUP($A1842, 'Hospitalisation Details'!$A:$A, 'Hospitalisation Details'!K:K, "No Data")</f>
        <v>18</v>
      </c>
      <c r="O1842" s="33">
        <f t="array" ref="O1842">_xlfn.XLOOKUP($A1842, 'Hospitalisation Details'!$A:$A, 'Hospitalisation Details'!G:G, "No Data")</f>
        <v>4468.25</v>
      </c>
      <c r="P1842" s="28" t="str">
        <f t="array" ref="P1842">_xlfn.XLOOKUP($A1842, 'Hospitalisation Details'!$A:$A, 'Hospitalisation Details'!H:H, "No Data")</f>
        <v>tier - 2</v>
      </c>
    </row>
    <row r="1843">
      <c r="A1843" s="25" t="s">
        <v>3516</v>
      </c>
      <c r="B1843" s="28" t="str">
        <f t="array" ref="B1843">_xlfn.XLOOKUP($A1843, 'Customer Names'!$A:$A, 'Customer Names'!B:B, "No Data")</f>
        <v>Bode</v>
      </c>
      <c r="C1843" s="28">
        <f t="array" ref="C1843">_xlfn.XLOOKUP($A1843, 'Medical Examinations'!$A:$A, 'Medical Examinations'!B:B, "No Data")</f>
        <v>34.96</v>
      </c>
      <c r="D1843" s="28">
        <f t="array" ref="D1843">_xlfn.XLOOKUP($A1843, 'Medical Examinations'!$A:$A, 'Medical Examinations'!C:C, "No Data")</f>
        <v>5.63</v>
      </c>
      <c r="E1843" s="28" t="str">
        <f t="array" ref="E1843">_xlfn.XLOOKUP($A1843, 'Medical Examinations'!$A:$A, 'Medical Examinations'!D:D, "No Data")</f>
        <v>No</v>
      </c>
      <c r="F1843" s="28" t="str">
        <f t="array" ref="F1843">_xlfn.XLOOKUP($A1843, 'Medical Examinations'!$A:$A, 'Medical Examinations'!E:E, "No Data")</f>
        <v>No</v>
      </c>
      <c r="G1843" s="28" t="str">
        <f t="array" ref="G1843">_xlfn.XLOOKUP($A1843, 'Medical Examinations'!$A:$A, 'Medical Examinations'!F:F, "No Data")</f>
        <v>No</v>
      </c>
      <c r="H1843" s="28">
        <f t="array" ref="H1843">_xlfn.XLOOKUP($A1843, 'Medical Examinations'!$A:$A, 'Medical Examinations'!G:G, "No Data")</f>
        <v>0</v>
      </c>
      <c r="I1843" s="28" t="str">
        <f t="array" ref="I1843">_xlfn.XLOOKUP($A1843, 'Medical Examinations'!$A:$A, 'Medical Examinations'!H:H, "No Data")</f>
        <v>No</v>
      </c>
      <c r="J1843" s="28" t="str">
        <f t="array" ref="J1843">_xlfn.XLOOKUP($A1843, 'Medical Examinations'!$A:$A, 'Medical Examinations'!I:I, "No Data")</f>
        <v>Obesity</v>
      </c>
      <c r="K1843" s="28" t="str">
        <f t="array" ref="K1843">_xlfn.XLOOKUP($A1843, 'Hospitalisation Details'!$A:$A, 'Hospitalisation Details'!I:I, "No Data")</f>
        <v>tier - 2</v>
      </c>
      <c r="L1843" s="28" t="str">
        <f t="array" ref="L1843">_xlfn.XLOOKUP($A1843, 'Hospitalisation Details'!$A:$A, 'Hospitalisation Details'!J:J, "No Data")</f>
        <v>R1012</v>
      </c>
      <c r="M1843" s="28" t="str">
        <f t="array" ref="M1843">_xlfn.XLOOKUP($A1843, 'Hospitalisation Details'!$A:$A, 'Hospitalisation Details'!E:E, "No Data")</f>
        <v>20/11/99</v>
      </c>
      <c r="N1843" s="28">
        <f t="array" ref="N1843">_xlfn.XLOOKUP($A1843, 'Hospitalisation Details'!$A:$A, 'Hospitalisation Details'!K:K, "No Data")</f>
        <v>23</v>
      </c>
      <c r="O1843" s="33">
        <f t="array" ref="O1843">_xlfn.XLOOKUP($A1843, 'Hospitalisation Details'!$A:$A, 'Hospitalisation Details'!G:G, "No Data")</f>
        <v>4466.62</v>
      </c>
      <c r="P1843" s="28" t="str">
        <f t="array" ref="P1843">_xlfn.XLOOKUP($A1843, 'Hospitalisation Details'!$A:$A, 'Hospitalisation Details'!H:H, "No Data")</f>
        <v>tier - 2</v>
      </c>
    </row>
    <row r="1844">
      <c r="A1844" s="25" t="s">
        <v>3510</v>
      </c>
      <c r="B1844" s="28" t="str">
        <f t="array" ref="B1844">_xlfn.XLOOKUP($A1844, 'Customer Names'!$A:$A, 'Customer Names'!B:B, "No Data")</f>
        <v>Johnson</v>
      </c>
      <c r="C1844" s="28">
        <f t="array" ref="C1844">_xlfn.XLOOKUP($A1844, 'Medical Examinations'!$A:$A, 'Medical Examinations'!B:B, "No Data")</f>
        <v>38.39</v>
      </c>
      <c r="D1844" s="28">
        <f t="array" ref="D1844">_xlfn.XLOOKUP($A1844, 'Medical Examinations'!$A:$A, 'Medical Examinations'!C:C, "No Data")</f>
        <v>6.05</v>
      </c>
      <c r="E1844" s="28" t="str">
        <f t="array" ref="E1844">_xlfn.XLOOKUP($A1844, 'Medical Examinations'!$A:$A, 'Medical Examinations'!D:D, "No Data")</f>
        <v>No</v>
      </c>
      <c r="F1844" s="28" t="str">
        <f t="array" ref="F1844">_xlfn.XLOOKUP($A1844, 'Medical Examinations'!$A:$A, 'Medical Examinations'!E:E, "No Data")</f>
        <v>No</v>
      </c>
      <c r="G1844" s="28" t="str">
        <f t="array" ref="G1844">_xlfn.XLOOKUP($A1844, 'Medical Examinations'!$A:$A, 'Medical Examinations'!F:F, "No Data")</f>
        <v>No</v>
      </c>
      <c r="H1844" s="28">
        <f t="array" ref="H1844">_xlfn.XLOOKUP($A1844, 'Medical Examinations'!$A:$A, 'Medical Examinations'!G:G, "No Data")</f>
        <v>0</v>
      </c>
      <c r="I1844" s="28" t="str">
        <f t="array" ref="I1844">_xlfn.XLOOKUP($A1844, 'Medical Examinations'!$A:$A, 'Medical Examinations'!H:H, "No Data")</f>
        <v>No</v>
      </c>
      <c r="J1844" s="28" t="str">
        <f t="array" ref="J1844">_xlfn.XLOOKUP($A1844, 'Medical Examinations'!$A:$A, 'Medical Examinations'!I:I, "No Data")</f>
        <v>Obesity</v>
      </c>
      <c r="K1844" s="28" t="str">
        <f t="array" ref="K1844">_xlfn.XLOOKUP($A1844, 'Hospitalisation Details'!$A:$A, 'Hospitalisation Details'!I:I, "No Data")</f>
        <v>tier - 3</v>
      </c>
      <c r="L1844" s="28" t="str">
        <f t="array" ref="L1844">_xlfn.XLOOKUP($A1844, 'Hospitalisation Details'!$A:$A, 'Hospitalisation Details'!J:J, "No Data")</f>
        <v>R1013</v>
      </c>
      <c r="M1844" s="28" t="str">
        <f t="array" ref="M1844">_xlfn.XLOOKUP($A1844, 'Hospitalisation Details'!$A:$A, 'Hospitalisation Details'!E:E, "No Data")</f>
        <v>04/07/91</v>
      </c>
      <c r="N1844" s="28">
        <f t="array" ref="N1844">_xlfn.XLOOKUP($A1844, 'Hospitalisation Details'!$A:$A, 'Hospitalisation Details'!K:K, "No Data")</f>
        <v>31</v>
      </c>
      <c r="O1844" s="33">
        <f t="array" ref="O1844">_xlfn.XLOOKUP($A1844, 'Hospitalisation Details'!$A:$A, 'Hospitalisation Details'!G:G, "No Data")</f>
        <v>4463.21</v>
      </c>
      <c r="P1844" s="28" t="str">
        <f t="array" ref="P1844">_xlfn.XLOOKUP($A1844, 'Hospitalisation Details'!$A:$A, 'Hospitalisation Details'!H:H, "No Data")</f>
        <v>tier - 3</v>
      </c>
    </row>
    <row r="1845">
      <c r="A1845" s="25" t="s">
        <v>3504</v>
      </c>
      <c r="B1845" s="28" t="str">
        <f t="array" ref="B1845">_xlfn.XLOOKUP($A1845, 'Customer Names'!$A:$A, 'Customer Names'!B:B, "No Data")</f>
        <v>Norcross</v>
      </c>
      <c r="C1845" s="28">
        <f t="array" ref="C1845">_xlfn.XLOOKUP($A1845, 'Medical Examinations'!$A:$A, 'Medical Examinations'!B:B, "No Data")</f>
        <v>33.82</v>
      </c>
      <c r="D1845" s="28">
        <f t="array" ref="D1845">_xlfn.XLOOKUP($A1845, 'Medical Examinations'!$A:$A, 'Medical Examinations'!C:C, "No Data")</f>
        <v>4.65</v>
      </c>
      <c r="E1845" s="28" t="str">
        <f t="array" ref="E1845">_xlfn.XLOOKUP($A1845, 'Medical Examinations'!$A:$A, 'Medical Examinations'!D:D, "No Data")</f>
        <v>No</v>
      </c>
      <c r="F1845" s="28" t="str">
        <f t="array" ref="F1845">_xlfn.XLOOKUP($A1845, 'Medical Examinations'!$A:$A, 'Medical Examinations'!E:E, "No Data")</f>
        <v>No</v>
      </c>
      <c r="G1845" s="28" t="str">
        <f t="array" ref="G1845">_xlfn.XLOOKUP($A1845, 'Medical Examinations'!$A:$A, 'Medical Examinations'!F:F, "No Data")</f>
        <v>No</v>
      </c>
      <c r="H1845" s="28">
        <f t="array" ref="H1845">_xlfn.XLOOKUP($A1845, 'Medical Examinations'!$A:$A, 'Medical Examinations'!G:G, "No Data")</f>
        <v>0</v>
      </c>
      <c r="I1845" s="28" t="str">
        <f t="array" ref="I1845">_xlfn.XLOOKUP($A1845, 'Medical Examinations'!$A:$A, 'Medical Examinations'!H:H, "No Data")</f>
        <v>No</v>
      </c>
      <c r="J1845" s="28" t="str">
        <f t="array" ref="J1845">_xlfn.XLOOKUP($A1845, 'Medical Examinations'!$A:$A, 'Medical Examinations'!I:I, "No Data")</f>
        <v>Obesity</v>
      </c>
      <c r="K1845" s="28" t="str">
        <f t="array" ref="K1845">_xlfn.XLOOKUP($A1845, 'Hospitalisation Details'!$A:$A, 'Hospitalisation Details'!I:I, "No Data")</f>
        <v>tier - 3</v>
      </c>
      <c r="L1845" s="28" t="str">
        <f t="array" ref="L1845">_xlfn.XLOOKUP($A1845, 'Hospitalisation Details'!$A:$A, 'Hospitalisation Details'!J:J, "No Data")</f>
        <v>R1012</v>
      </c>
      <c r="M1845" s="28" t="str">
        <f t="array" ref="M1845">_xlfn.XLOOKUP($A1845, 'Hospitalisation Details'!$A:$A, 'Hospitalisation Details'!E:E, "No Data")</f>
        <v>15/07/90</v>
      </c>
      <c r="N1845" s="28">
        <f t="array" ref="N1845">_xlfn.XLOOKUP($A1845, 'Hospitalisation Details'!$A:$A, 'Hospitalisation Details'!K:K, "No Data")</f>
        <v>32</v>
      </c>
      <c r="O1845" s="33">
        <f t="array" ref="O1845">_xlfn.XLOOKUP($A1845, 'Hospitalisation Details'!$A:$A, 'Hospitalisation Details'!G:G, "No Data")</f>
        <v>4462.72</v>
      </c>
      <c r="P1845" s="28" t="str">
        <f t="array" ref="P1845">_xlfn.XLOOKUP($A1845, 'Hospitalisation Details'!$A:$A, 'Hospitalisation Details'!H:H, "No Data")</f>
        <v>tier - 2</v>
      </c>
    </row>
    <row r="1846">
      <c r="A1846" s="25" t="s">
        <v>3495</v>
      </c>
      <c r="B1846" s="28" t="str">
        <f t="array" ref="B1846">_xlfn.XLOOKUP($A1846, 'Customer Names'!$A:$A, 'Customer Names'!B:B, "No Data")</f>
        <v>Lazrus</v>
      </c>
      <c r="C1846" s="28">
        <f t="array" ref="C1846">_xlfn.XLOOKUP($A1846, 'Medical Examinations'!$A:$A, 'Medical Examinations'!B:B, "No Data")</f>
        <v>27.835</v>
      </c>
      <c r="D1846" s="28">
        <f t="array" ref="D1846">_xlfn.XLOOKUP($A1846, 'Medical Examinations'!$A:$A, 'Medical Examinations'!C:C, "No Data")</f>
        <v>5.37</v>
      </c>
      <c r="E1846" s="28" t="str">
        <f t="array" ref="E1846">_xlfn.XLOOKUP($A1846, 'Medical Examinations'!$A:$A, 'Medical Examinations'!D:D, "No Data")</f>
        <v>No</v>
      </c>
      <c r="F1846" s="28" t="str">
        <f t="array" ref="F1846">_xlfn.XLOOKUP($A1846, 'Medical Examinations'!$A:$A, 'Medical Examinations'!E:E, "No Data")</f>
        <v>No</v>
      </c>
      <c r="G1846" s="28" t="str">
        <f t="array" ref="G1846">_xlfn.XLOOKUP($A1846, 'Medical Examinations'!$A:$A, 'Medical Examinations'!F:F, "No Data")</f>
        <v>No</v>
      </c>
      <c r="H1846" s="28">
        <f t="array" ref="H1846">_xlfn.XLOOKUP($A1846, 'Medical Examinations'!$A:$A, 'Medical Examinations'!G:G, "No Data")</f>
        <v>0</v>
      </c>
      <c r="I1846" s="28" t="str">
        <f t="array" ref="I1846">_xlfn.XLOOKUP($A1846, 'Medical Examinations'!$A:$A, 'Medical Examinations'!H:H, "No Data")</f>
        <v>No</v>
      </c>
      <c r="J1846" s="28" t="str">
        <f t="array" ref="J1846">_xlfn.XLOOKUP($A1846, 'Medical Examinations'!$A:$A, 'Medical Examinations'!I:I, "No Data")</f>
        <v>Overweight</v>
      </c>
      <c r="K1846" s="28" t="str">
        <f t="array" ref="K1846">_xlfn.XLOOKUP($A1846, 'Hospitalisation Details'!$A:$A, 'Hospitalisation Details'!I:I, "No Data")</f>
        <v>tier - 3</v>
      </c>
      <c r="L1846" s="28" t="str">
        <f t="array" ref="L1846">_xlfn.XLOOKUP($A1846, 'Hospitalisation Details'!$A:$A, 'Hospitalisation Details'!J:J, "No Data")</f>
        <v>R1012</v>
      </c>
      <c r="M1846" s="28" t="str">
        <f t="array" ref="M1846">_xlfn.XLOOKUP($A1846, 'Hospitalisation Details'!$A:$A, 'Hospitalisation Details'!E:E, "No Data")</f>
        <v>08/08/90</v>
      </c>
      <c r="N1846" s="28">
        <f t="array" ref="N1846">_xlfn.XLOOKUP($A1846, 'Hospitalisation Details'!$A:$A, 'Hospitalisation Details'!K:K, "No Data")</f>
        <v>32</v>
      </c>
      <c r="O1846" s="33">
        <f t="array" ref="O1846">_xlfn.XLOOKUP($A1846, 'Hospitalisation Details'!$A:$A, 'Hospitalisation Details'!G:G, "No Data")</f>
        <v>4454.4</v>
      </c>
      <c r="P1846" s="28" t="str">
        <f t="array" ref="P1846">_xlfn.XLOOKUP($A1846, 'Hospitalisation Details'!$A:$A, 'Hospitalisation Details'!H:H, "No Data")</f>
        <v>tier - 2</v>
      </c>
    </row>
    <row r="1847">
      <c r="A1847" s="25" t="s">
        <v>3486</v>
      </c>
      <c r="B1847" s="28" t="str">
        <f t="array" ref="B1847">_xlfn.XLOOKUP($A1847, 'Customer Names'!$A:$A, 'Customer Names'!B:B, "No Data")</f>
        <v>Tsegay</v>
      </c>
      <c r="C1847" s="28">
        <f t="array" ref="C1847">_xlfn.XLOOKUP($A1847, 'Medical Examinations'!$A:$A, 'Medical Examinations'!B:B, "No Data")</f>
        <v>33</v>
      </c>
      <c r="D1847" s="28">
        <f t="array" ref="D1847">_xlfn.XLOOKUP($A1847, 'Medical Examinations'!$A:$A, 'Medical Examinations'!C:C, "No Data")</f>
        <v>5.39</v>
      </c>
      <c r="E1847" s="28" t="str">
        <f t="array" ref="E1847">_xlfn.XLOOKUP($A1847, 'Medical Examinations'!$A:$A, 'Medical Examinations'!D:D, "No Data")</f>
        <v>No</v>
      </c>
      <c r="F1847" s="28" t="str">
        <f t="array" ref="F1847">_xlfn.XLOOKUP($A1847, 'Medical Examinations'!$A:$A, 'Medical Examinations'!E:E, "No Data")</f>
        <v>No</v>
      </c>
      <c r="G1847" s="28" t="str">
        <f t="array" ref="G1847">_xlfn.XLOOKUP($A1847, 'Medical Examinations'!$A:$A, 'Medical Examinations'!F:F, "No Data")</f>
        <v>No</v>
      </c>
      <c r="H1847" s="28">
        <f t="array" ref="H1847">_xlfn.XLOOKUP($A1847, 'Medical Examinations'!$A:$A, 'Medical Examinations'!G:G, "No Data")</f>
        <v>0</v>
      </c>
      <c r="I1847" s="28" t="str">
        <f t="array" ref="I1847">_xlfn.XLOOKUP($A1847, 'Medical Examinations'!$A:$A, 'Medical Examinations'!H:H, "No Data")</f>
        <v>No</v>
      </c>
      <c r="J1847" s="28" t="str">
        <f t="array" ref="J1847">_xlfn.XLOOKUP($A1847, 'Medical Examinations'!$A:$A, 'Medical Examinations'!I:I, "No Data")</f>
        <v>Obesity</v>
      </c>
      <c r="K1847" s="28" t="str">
        <f t="array" ref="K1847">_xlfn.XLOOKUP($A1847, 'Hospitalisation Details'!$A:$A, 'Hospitalisation Details'!I:I, "No Data")</f>
        <v>tier - 2</v>
      </c>
      <c r="L1847" s="28" t="str">
        <f t="array" ref="L1847">_xlfn.XLOOKUP($A1847, 'Hospitalisation Details'!$A:$A, 'Hospitalisation Details'!J:J, "No Data")</f>
        <v>R1013</v>
      </c>
      <c r="M1847" s="28" t="str">
        <f t="array" ref="M1847">_xlfn.XLOOKUP($A1847, 'Hospitalisation Details'!$A:$A, 'Hospitalisation Details'!E:E, "No Data")</f>
        <v>28/06/94</v>
      </c>
      <c r="N1847" s="28">
        <f t="array" ref="N1847">_xlfn.XLOOKUP($A1847, 'Hospitalisation Details'!$A:$A, 'Hospitalisation Details'!K:K, "No Data")</f>
        <v>28</v>
      </c>
      <c r="O1847" s="33">
        <f t="array" ref="O1847">_xlfn.XLOOKUP($A1847, 'Hospitalisation Details'!$A:$A, 'Hospitalisation Details'!G:G, "No Data")</f>
        <v>4449.46</v>
      </c>
      <c r="P1847" s="28" t="str">
        <f t="array" ref="P1847">_xlfn.XLOOKUP($A1847, 'Hospitalisation Details'!$A:$A, 'Hospitalisation Details'!H:H, "No Data")</f>
        <v>tier - 1</v>
      </c>
    </row>
    <row r="1848">
      <c r="A1848" s="25" t="s">
        <v>3477</v>
      </c>
      <c r="B1848" s="28" t="str">
        <f t="array" ref="B1848">_xlfn.XLOOKUP($A1848, 'Customer Names'!$A:$A, 'Customer Names'!B:B, "No Data")</f>
        <v>Schneider</v>
      </c>
      <c r="C1848" s="28">
        <f t="array" ref="C1848">_xlfn.XLOOKUP($A1848, 'Medical Examinations'!$A:$A, 'Medical Examinations'!B:B, "No Data")</f>
        <v>26.885</v>
      </c>
      <c r="D1848" s="28">
        <f t="array" ref="D1848">_xlfn.XLOOKUP($A1848, 'Medical Examinations'!$A:$A, 'Medical Examinations'!C:C, "No Data")</f>
        <v>5.86</v>
      </c>
      <c r="E1848" s="28" t="str">
        <f t="array" ref="E1848">_xlfn.XLOOKUP($A1848, 'Medical Examinations'!$A:$A, 'Medical Examinations'!D:D, "No Data")</f>
        <v>No</v>
      </c>
      <c r="F1848" s="28" t="str">
        <f t="array" ref="F1848">_xlfn.XLOOKUP($A1848, 'Medical Examinations'!$A:$A, 'Medical Examinations'!E:E, "No Data")</f>
        <v>No</v>
      </c>
      <c r="G1848" s="28" t="str">
        <f t="array" ref="G1848">_xlfn.XLOOKUP($A1848, 'Medical Examinations'!$A:$A, 'Medical Examinations'!F:F, "No Data")</f>
        <v>No</v>
      </c>
      <c r="H1848" s="28">
        <f t="array" ref="H1848">_xlfn.XLOOKUP($A1848, 'Medical Examinations'!$A:$A, 'Medical Examinations'!G:G, "No Data")</f>
        <v>0</v>
      </c>
      <c r="I1848" s="28" t="str">
        <f t="array" ref="I1848">_xlfn.XLOOKUP($A1848, 'Medical Examinations'!$A:$A, 'Medical Examinations'!H:H, "No Data")</f>
        <v>No</v>
      </c>
      <c r="J1848" s="28" t="str">
        <f t="array" ref="J1848">_xlfn.XLOOKUP($A1848, 'Medical Examinations'!$A:$A, 'Medical Examinations'!I:I, "No Data")</f>
        <v>Overweight</v>
      </c>
      <c r="K1848" s="28" t="str">
        <f t="array" ref="K1848">_xlfn.XLOOKUP($A1848, 'Hospitalisation Details'!$A:$A, 'Hospitalisation Details'!I:I, "No Data")</f>
        <v>tier - 2</v>
      </c>
      <c r="L1848" s="28" t="str">
        <f t="array" ref="L1848">_xlfn.XLOOKUP($A1848, 'Hospitalisation Details'!$A:$A, 'Hospitalisation Details'!J:J, "No Data")</f>
        <v>R1014</v>
      </c>
      <c r="M1848" s="28" t="str">
        <f t="array" ref="M1848">_xlfn.XLOOKUP($A1848, 'Hospitalisation Details'!$A:$A, 'Hospitalisation Details'!E:E, "No Data")</f>
        <v>03/09/91</v>
      </c>
      <c r="N1848" s="28">
        <f t="array" ref="N1848">_xlfn.XLOOKUP($A1848, 'Hospitalisation Details'!$A:$A, 'Hospitalisation Details'!K:K, "No Data")</f>
        <v>31</v>
      </c>
      <c r="O1848" s="33">
        <f t="array" ref="O1848">_xlfn.XLOOKUP($A1848, 'Hospitalisation Details'!$A:$A, 'Hospitalisation Details'!G:G, "No Data")</f>
        <v>4441.21</v>
      </c>
      <c r="P1848" s="28" t="str">
        <f t="array" ref="P1848">_xlfn.XLOOKUP($A1848, 'Hospitalisation Details'!$A:$A, 'Hospitalisation Details'!H:H, "No Data")</f>
        <v>tier - 1</v>
      </c>
    </row>
    <row r="1849">
      <c r="A1849" s="25" t="s">
        <v>3468</v>
      </c>
      <c r="B1849" s="28" t="str">
        <f t="array" ref="B1849">_xlfn.XLOOKUP($A1849, 'Customer Names'!$A:$A, 'Customer Names'!B:B, "No Data")</f>
        <v>Loreto</v>
      </c>
      <c r="C1849" s="28">
        <f t="array" ref="C1849">_xlfn.XLOOKUP($A1849, 'Medical Examinations'!$A:$A, 'Medical Examinations'!B:B, "No Data")</f>
        <v>29.26</v>
      </c>
      <c r="D1849" s="28">
        <f t="array" ref="D1849">_xlfn.XLOOKUP($A1849, 'Medical Examinations'!$A:$A, 'Medical Examinations'!C:C, "No Data")</f>
        <v>4.44</v>
      </c>
      <c r="E1849" s="28" t="str">
        <f t="array" ref="E1849">_xlfn.XLOOKUP($A1849, 'Medical Examinations'!$A:$A, 'Medical Examinations'!D:D, "No Data")</f>
        <v>No</v>
      </c>
      <c r="F1849" s="28" t="str">
        <f t="array" ref="F1849">_xlfn.XLOOKUP($A1849, 'Medical Examinations'!$A:$A, 'Medical Examinations'!E:E, "No Data")</f>
        <v>No</v>
      </c>
      <c r="G1849" s="28" t="str">
        <f t="array" ref="G1849">_xlfn.XLOOKUP($A1849, 'Medical Examinations'!$A:$A, 'Medical Examinations'!F:F, "No Data")</f>
        <v>No</v>
      </c>
      <c r="H1849" s="28">
        <f t="array" ref="H1849">_xlfn.XLOOKUP($A1849, 'Medical Examinations'!$A:$A, 'Medical Examinations'!G:G, "No Data")</f>
        <v>0</v>
      </c>
      <c r="I1849" s="28" t="str">
        <f t="array" ref="I1849">_xlfn.XLOOKUP($A1849, 'Medical Examinations'!$A:$A, 'Medical Examinations'!H:H, "No Data")</f>
        <v>No</v>
      </c>
      <c r="J1849" s="28" t="str">
        <f t="array" ref="J1849">_xlfn.XLOOKUP($A1849, 'Medical Examinations'!$A:$A, 'Medical Examinations'!I:I, "No Data")</f>
        <v>Overweight</v>
      </c>
      <c r="K1849" s="28" t="str">
        <f t="array" ref="K1849">_xlfn.XLOOKUP($A1849, 'Hospitalisation Details'!$A:$A, 'Hospitalisation Details'!I:I, "No Data")</f>
        <v>tier - 3</v>
      </c>
      <c r="L1849" s="28" t="str">
        <f t="array" ref="L1849">_xlfn.XLOOKUP($A1849, 'Hospitalisation Details'!$A:$A, 'Hospitalisation Details'!J:J, "No Data")</f>
        <v>R1017</v>
      </c>
      <c r="M1849" s="28" t="str">
        <f t="array" ref="M1849">_xlfn.XLOOKUP($A1849, 'Hospitalisation Details'!$A:$A, 'Hospitalisation Details'!E:E, "No Data")</f>
        <v>24/10/94</v>
      </c>
      <c r="N1849" s="28">
        <f t="array" ref="N1849">_xlfn.XLOOKUP($A1849, 'Hospitalisation Details'!$A:$A, 'Hospitalisation Details'!K:K, "No Data")</f>
        <v>28</v>
      </c>
      <c r="O1849" s="33">
        <f t="array" ref="O1849">_xlfn.XLOOKUP($A1849, 'Hospitalisation Details'!$A:$A, 'Hospitalisation Details'!G:G, "No Data")</f>
        <v>4438.26</v>
      </c>
      <c r="P1849" s="28" t="str">
        <f t="array" ref="P1849">_xlfn.XLOOKUP($A1849, 'Hospitalisation Details'!$A:$A, 'Hospitalisation Details'!H:H, "No Data")</f>
        <v>tier - 2</v>
      </c>
    </row>
    <row r="1850">
      <c r="A1850" s="25" t="s">
        <v>3461</v>
      </c>
      <c r="B1850" s="28" t="str">
        <f t="array" ref="B1850">_xlfn.XLOOKUP($A1850, 'Customer Names'!$A:$A, 'Customer Names'!B:B, "No Data")</f>
        <v>Callahan</v>
      </c>
      <c r="C1850" s="28">
        <f t="array" ref="C1850">_xlfn.XLOOKUP($A1850, 'Medical Examinations'!$A:$A, 'Medical Examinations'!B:B, "No Data")</f>
        <v>26.98</v>
      </c>
      <c r="D1850" s="28">
        <f t="array" ref="D1850">_xlfn.XLOOKUP($A1850, 'Medical Examinations'!$A:$A, 'Medical Examinations'!C:C, "No Data")</f>
        <v>4.41</v>
      </c>
      <c r="E1850" s="28" t="str">
        <f t="array" ref="E1850">_xlfn.XLOOKUP($A1850, 'Medical Examinations'!$A:$A, 'Medical Examinations'!D:D, "No Data")</f>
        <v>No</v>
      </c>
      <c r="F1850" s="28" t="str">
        <f t="array" ref="F1850">_xlfn.XLOOKUP($A1850, 'Medical Examinations'!$A:$A, 'Medical Examinations'!E:E, "No Data")</f>
        <v>No</v>
      </c>
      <c r="G1850" s="28" t="str">
        <f t="array" ref="G1850">_xlfn.XLOOKUP($A1850, 'Medical Examinations'!$A:$A, 'Medical Examinations'!F:F, "No Data")</f>
        <v>No</v>
      </c>
      <c r="H1850" s="28">
        <f t="array" ref="H1850">_xlfn.XLOOKUP($A1850, 'Medical Examinations'!$A:$A, 'Medical Examinations'!G:G, "No Data")</f>
        <v>0</v>
      </c>
      <c r="I1850" s="28" t="str">
        <f t="array" ref="I1850">_xlfn.XLOOKUP($A1850, 'Medical Examinations'!$A:$A, 'Medical Examinations'!H:H, "No Data")</f>
        <v>No</v>
      </c>
      <c r="J1850" s="28" t="str">
        <f t="array" ref="J1850">_xlfn.XLOOKUP($A1850, 'Medical Examinations'!$A:$A, 'Medical Examinations'!I:I, "No Data")</f>
        <v>Overweight</v>
      </c>
      <c r="K1850" s="28" t="str">
        <f t="array" ref="K1850">_xlfn.XLOOKUP($A1850, 'Hospitalisation Details'!$A:$A, 'Hospitalisation Details'!I:I, "No Data")</f>
        <v>tier - 2</v>
      </c>
      <c r="L1850" s="28" t="str">
        <f t="array" ref="L1850">_xlfn.XLOOKUP($A1850, 'Hospitalisation Details'!$A:$A, 'Hospitalisation Details'!J:J, "No Data")</f>
        <v>R1016</v>
      </c>
      <c r="M1850" s="28" t="str">
        <f t="array" ref="M1850">_xlfn.XLOOKUP($A1850, 'Hospitalisation Details'!$A:$A, 'Hospitalisation Details'!E:E, "No Data")</f>
        <v>08/10/94</v>
      </c>
      <c r="N1850" s="28">
        <f t="array" ref="N1850">_xlfn.XLOOKUP($A1850, 'Hospitalisation Details'!$A:$A, 'Hospitalisation Details'!K:K, "No Data")</f>
        <v>28</v>
      </c>
      <c r="O1850" s="33">
        <f t="array" ref="O1850">_xlfn.XLOOKUP($A1850, 'Hospitalisation Details'!$A:$A, 'Hospitalisation Details'!G:G, "No Data")</f>
        <v>4435.09</v>
      </c>
      <c r="P1850" s="28" t="str">
        <f t="array" ref="P1850">_xlfn.XLOOKUP($A1850, 'Hospitalisation Details'!$A:$A, 'Hospitalisation Details'!H:H, "No Data")</f>
        <v>tier - 3</v>
      </c>
    </row>
    <row r="1851">
      <c r="A1851" s="25" t="s">
        <v>3453</v>
      </c>
      <c r="B1851" s="28" t="str">
        <f t="array" ref="B1851">_xlfn.XLOOKUP($A1851, 'Customer Names'!$A:$A, 'Customer Names'!B:B, "No Data")</f>
        <v>Timko</v>
      </c>
      <c r="C1851" s="28">
        <f t="array" ref="C1851">_xlfn.XLOOKUP($A1851, 'Medical Examinations'!$A:$A, 'Medical Examinations'!B:B, "No Data")</f>
        <v>32.11</v>
      </c>
      <c r="D1851" s="28">
        <f t="array" ref="D1851">_xlfn.XLOOKUP($A1851, 'Medical Examinations'!$A:$A, 'Medical Examinations'!C:C, "No Data")</f>
        <v>5.19</v>
      </c>
      <c r="E1851" s="28" t="str">
        <f t="array" ref="E1851">_xlfn.XLOOKUP($A1851, 'Medical Examinations'!$A:$A, 'Medical Examinations'!D:D, "No Data")</f>
        <v>No</v>
      </c>
      <c r="F1851" s="28" t="str">
        <f t="array" ref="F1851">_xlfn.XLOOKUP($A1851, 'Medical Examinations'!$A:$A, 'Medical Examinations'!E:E, "No Data")</f>
        <v>No</v>
      </c>
      <c r="G1851" s="28" t="str">
        <f t="array" ref="G1851">_xlfn.XLOOKUP($A1851, 'Medical Examinations'!$A:$A, 'Medical Examinations'!F:F, "No Data")</f>
        <v>Yes</v>
      </c>
      <c r="H1851" s="28">
        <f t="array" ref="H1851">_xlfn.XLOOKUP($A1851, 'Medical Examinations'!$A:$A, 'Medical Examinations'!G:G, "No Data")</f>
        <v>1</v>
      </c>
      <c r="I1851" s="28" t="str">
        <f t="array" ref="I1851">_xlfn.XLOOKUP($A1851, 'Medical Examinations'!$A:$A, 'Medical Examinations'!H:H, "No Data")</f>
        <v>No</v>
      </c>
      <c r="J1851" s="28" t="str">
        <f t="array" ref="J1851">_xlfn.XLOOKUP($A1851, 'Medical Examinations'!$A:$A, 'Medical Examinations'!I:I, "No Data")</f>
        <v>Obesity</v>
      </c>
      <c r="K1851" s="28" t="str">
        <f t="array" ref="K1851">_xlfn.XLOOKUP($A1851, 'Hospitalisation Details'!$A:$A, 'Hospitalisation Details'!I:I, "No Data")</f>
        <v>tier - 2</v>
      </c>
      <c r="L1851" s="28" t="str">
        <f t="array" ref="L1851">_xlfn.XLOOKUP($A1851, 'Hospitalisation Details'!$A:$A, 'Hospitalisation Details'!J:J, "No Data")</f>
        <v>R1012</v>
      </c>
      <c r="M1851" s="28" t="str">
        <f t="array" ref="M1851">_xlfn.XLOOKUP($A1851, 'Hospitalisation Details'!$A:$A, 'Hospitalisation Details'!E:E, "No Data")</f>
        <v>23/12/93</v>
      </c>
      <c r="N1851" s="28">
        <f t="array" ref="N1851">_xlfn.XLOOKUP($A1851, 'Hospitalisation Details'!$A:$A, 'Hospitalisation Details'!K:K, "No Data")</f>
        <v>29</v>
      </c>
      <c r="O1851" s="33">
        <f t="array" ref="O1851">_xlfn.XLOOKUP($A1851, 'Hospitalisation Details'!$A:$A, 'Hospitalisation Details'!G:G, "No Data")</f>
        <v>4433.92</v>
      </c>
      <c r="P1851" s="28" t="str">
        <f t="array" ref="P1851">_xlfn.XLOOKUP($A1851, 'Hospitalisation Details'!$A:$A, 'Hospitalisation Details'!H:H, "No Data")</f>
        <v>tier - 2</v>
      </c>
    </row>
    <row r="1852">
      <c r="A1852" s="25" t="s">
        <v>3446</v>
      </c>
      <c r="B1852" s="28" t="str">
        <f t="array" ref="B1852">_xlfn.XLOOKUP($A1852, 'Customer Names'!$A:$A, 'Customer Names'!B:B, "No Data")</f>
        <v>Achatz</v>
      </c>
      <c r="C1852" s="28">
        <f t="array" ref="C1852">_xlfn.XLOOKUP($A1852, 'Medical Examinations'!$A:$A, 'Medical Examinations'!B:B, "No Data")</f>
        <v>31.73</v>
      </c>
      <c r="D1852" s="28">
        <f t="array" ref="D1852">_xlfn.XLOOKUP($A1852, 'Medical Examinations'!$A:$A, 'Medical Examinations'!C:C, "No Data")</f>
        <v>5.16</v>
      </c>
      <c r="E1852" s="28" t="str">
        <f t="array" ref="E1852">_xlfn.XLOOKUP($A1852, 'Medical Examinations'!$A:$A, 'Medical Examinations'!D:D, "No Data")</f>
        <v>No</v>
      </c>
      <c r="F1852" s="28" t="str">
        <f t="array" ref="F1852">_xlfn.XLOOKUP($A1852, 'Medical Examinations'!$A:$A, 'Medical Examinations'!E:E, "No Data")</f>
        <v>No</v>
      </c>
      <c r="G1852" s="28" t="str">
        <f t="array" ref="G1852">_xlfn.XLOOKUP($A1852, 'Medical Examinations'!$A:$A, 'Medical Examinations'!F:F, "No Data")</f>
        <v>Yes</v>
      </c>
      <c r="H1852" s="28">
        <f t="array" ref="H1852">_xlfn.XLOOKUP($A1852, 'Medical Examinations'!$A:$A, 'Medical Examinations'!G:G, "No Data")</f>
        <v>1</v>
      </c>
      <c r="I1852" s="28" t="str">
        <f t="array" ref="I1852">_xlfn.XLOOKUP($A1852, 'Medical Examinations'!$A:$A, 'Medical Examinations'!H:H, "No Data")</f>
        <v>No</v>
      </c>
      <c r="J1852" s="28" t="str">
        <f t="array" ref="J1852">_xlfn.XLOOKUP($A1852, 'Medical Examinations'!$A:$A, 'Medical Examinations'!I:I, "No Data")</f>
        <v>Obesity</v>
      </c>
      <c r="K1852" s="28" t="str">
        <f t="array" ref="K1852">_xlfn.XLOOKUP($A1852, 'Hospitalisation Details'!$A:$A, 'Hospitalisation Details'!I:I, "No Data")</f>
        <v>tier - 3</v>
      </c>
      <c r="L1852" s="28" t="str">
        <f t="array" ref="L1852">_xlfn.XLOOKUP($A1852, 'Hospitalisation Details'!$A:$A, 'Hospitalisation Details'!J:J, "No Data")</f>
        <v>R1012</v>
      </c>
      <c r="M1852" s="28" t="str">
        <f t="array" ref="M1852">_xlfn.XLOOKUP($A1852, 'Hospitalisation Details'!$A:$A, 'Hospitalisation Details'!E:E, "No Data")</f>
        <v>04/09/93</v>
      </c>
      <c r="N1852" s="28">
        <f t="array" ref="N1852">_xlfn.XLOOKUP($A1852, 'Hospitalisation Details'!$A:$A, 'Hospitalisation Details'!K:K, "No Data")</f>
        <v>29</v>
      </c>
      <c r="O1852" s="33">
        <f t="array" ref="O1852">_xlfn.XLOOKUP($A1852, 'Hospitalisation Details'!$A:$A, 'Hospitalisation Details'!G:G, "No Data")</f>
        <v>4433.39</v>
      </c>
      <c r="P1852" s="28" t="str">
        <f t="array" ref="P1852">_xlfn.XLOOKUP($A1852, 'Hospitalisation Details'!$A:$A, 'Hospitalisation Details'!H:H, "No Data")</f>
        <v>tier - 2</v>
      </c>
    </row>
    <row r="1853">
      <c r="A1853" s="25" t="s">
        <v>3444</v>
      </c>
      <c r="B1853" s="28" t="str">
        <f t="array" ref="B1853">_xlfn.XLOOKUP($A1853, 'Customer Names'!$A:$A, 'Customer Names'!B:B, "No Data")</f>
        <v>Horwitz</v>
      </c>
      <c r="C1853" s="28">
        <f t="array" ref="C1853">_xlfn.XLOOKUP($A1853, 'Medical Examinations'!$A:$A, 'Medical Examinations'!B:B, "No Data")</f>
        <v>22.515</v>
      </c>
      <c r="D1853" s="28">
        <f t="array" ref="D1853">_xlfn.XLOOKUP($A1853, 'Medical Examinations'!$A:$A, 'Medical Examinations'!C:C, "No Data")</f>
        <v>4.24</v>
      </c>
      <c r="E1853" s="28" t="str">
        <f t="array" ref="E1853">_xlfn.XLOOKUP($A1853, 'Medical Examinations'!$A:$A, 'Medical Examinations'!D:D, "No Data")</f>
        <v>No</v>
      </c>
      <c r="F1853" s="28" t="str">
        <f t="array" ref="F1853">_xlfn.XLOOKUP($A1853, 'Medical Examinations'!$A:$A, 'Medical Examinations'!E:E, "No Data")</f>
        <v>No</v>
      </c>
      <c r="G1853" s="28" t="str">
        <f t="array" ref="G1853">_xlfn.XLOOKUP($A1853, 'Medical Examinations'!$A:$A, 'Medical Examinations'!F:F, "No Data")</f>
        <v>No</v>
      </c>
      <c r="H1853" s="28">
        <f t="array" ref="H1853">_xlfn.XLOOKUP($A1853, 'Medical Examinations'!$A:$A, 'Medical Examinations'!G:G, "No Data")</f>
        <v>0</v>
      </c>
      <c r="I1853" s="28" t="str">
        <f t="array" ref="I1853">_xlfn.XLOOKUP($A1853, 'Medical Examinations'!$A:$A, 'Medical Examinations'!H:H, "No Data")</f>
        <v>No</v>
      </c>
      <c r="J1853" s="28" t="str">
        <f t="array" ref="J1853">_xlfn.XLOOKUP($A1853, 'Medical Examinations'!$A:$A, 'Medical Examinations'!I:I, "No Data")</f>
        <v>Normal Weight</v>
      </c>
      <c r="K1853" s="28" t="str">
        <f t="array" ref="K1853">_xlfn.XLOOKUP($A1853, 'Hospitalisation Details'!$A:$A, 'Hospitalisation Details'!I:I, "No Data")</f>
        <v>tier - 1</v>
      </c>
      <c r="L1853" s="28" t="str">
        <f t="array" ref="L1853">_xlfn.XLOOKUP($A1853, 'Hospitalisation Details'!$A:$A, 'Hospitalisation Details'!J:J, "No Data")</f>
        <v>R1017</v>
      </c>
      <c r="M1853" s="28" t="str">
        <f t="array" ref="M1853">_xlfn.XLOOKUP($A1853, 'Hospitalisation Details'!$A:$A, 'Hospitalisation Details'!E:E, "No Data")</f>
        <v>29/12/94</v>
      </c>
      <c r="N1853" s="28">
        <f t="array" ref="N1853">_xlfn.XLOOKUP($A1853, 'Hospitalisation Details'!$A:$A, 'Hospitalisation Details'!K:K, "No Data")</f>
        <v>28</v>
      </c>
      <c r="O1853" s="33">
        <f t="array" ref="O1853">_xlfn.XLOOKUP($A1853, 'Hospitalisation Details'!$A:$A, 'Hospitalisation Details'!G:G, "No Data")</f>
        <v>4428.89</v>
      </c>
      <c r="P1853" s="28" t="str">
        <f t="array" ref="P1853">_xlfn.XLOOKUP($A1853, 'Hospitalisation Details'!$A:$A, 'Hospitalisation Details'!H:H, "No Data")</f>
        <v>tier - 3</v>
      </c>
    </row>
    <row r="1854">
      <c r="A1854" s="25" t="s">
        <v>3442</v>
      </c>
      <c r="B1854" s="28" t="str">
        <f t="array" ref="B1854">_xlfn.XLOOKUP($A1854, 'Customer Names'!$A:$A, 'Customer Names'!B:B, "No Data")</f>
        <v>Gordyan</v>
      </c>
      <c r="C1854" s="28">
        <f t="array" ref="C1854">_xlfn.XLOOKUP($A1854, 'Medical Examinations'!$A:$A, 'Medical Examinations'!B:B, "No Data")</f>
        <v>25.9</v>
      </c>
      <c r="D1854" s="28">
        <f t="array" ref="D1854">_xlfn.XLOOKUP($A1854, 'Medical Examinations'!$A:$A, 'Medical Examinations'!C:C, "No Data")</f>
        <v>5.45</v>
      </c>
      <c r="E1854" s="28" t="str">
        <f t="array" ref="E1854">_xlfn.XLOOKUP($A1854, 'Medical Examinations'!$A:$A, 'Medical Examinations'!D:D, "No Data")</f>
        <v>No</v>
      </c>
      <c r="F1854" s="28" t="str">
        <f t="array" ref="F1854">_xlfn.XLOOKUP($A1854, 'Medical Examinations'!$A:$A, 'Medical Examinations'!E:E, "No Data")</f>
        <v>No</v>
      </c>
      <c r="G1854" s="28" t="str">
        <f t="array" ref="G1854">_xlfn.XLOOKUP($A1854, 'Medical Examinations'!$A:$A, 'Medical Examinations'!F:F, "No Data")</f>
        <v>No</v>
      </c>
      <c r="H1854" s="28">
        <f t="array" ref="H1854">_xlfn.XLOOKUP($A1854, 'Medical Examinations'!$A:$A, 'Medical Examinations'!G:G, "No Data")</f>
        <v>1</v>
      </c>
      <c r="I1854" s="28" t="str">
        <f t="array" ref="I1854">_xlfn.XLOOKUP($A1854, 'Medical Examinations'!$A:$A, 'Medical Examinations'!H:H, "No Data")</f>
        <v>No</v>
      </c>
      <c r="J1854" s="28" t="str">
        <f t="array" ref="J1854">_xlfn.XLOOKUP($A1854, 'Medical Examinations'!$A:$A, 'Medical Examinations'!I:I, "No Data")</f>
        <v>Overweight</v>
      </c>
      <c r="K1854" s="28" t="str">
        <f t="array" ref="K1854">_xlfn.XLOOKUP($A1854, 'Hospitalisation Details'!$A:$A, 'Hospitalisation Details'!I:I, "No Data")</f>
        <v>tier - 3</v>
      </c>
      <c r="L1854" s="28" t="str">
        <f t="array" ref="L1854">_xlfn.XLOOKUP($A1854, 'Hospitalisation Details'!$A:$A, 'Hospitalisation Details'!J:J, "No Data")</f>
        <v>R1020</v>
      </c>
      <c r="M1854" s="28" t="str">
        <f t="array" ref="M1854">_xlfn.XLOOKUP($A1854, 'Hospitalisation Details'!$A:$A, 'Hospitalisation Details'!E:E, "No Data")</f>
        <v>15/08/92</v>
      </c>
      <c r="N1854" s="28">
        <f t="array" ref="N1854">_xlfn.XLOOKUP($A1854, 'Hospitalisation Details'!$A:$A, 'Hospitalisation Details'!K:K, "No Data")</f>
        <v>30</v>
      </c>
      <c r="O1854" s="33">
        <f t="array" ref="O1854">_xlfn.XLOOKUP($A1854, 'Hospitalisation Details'!$A:$A, 'Hospitalisation Details'!G:G, "No Data")</f>
        <v>4420.95</v>
      </c>
      <c r="P1854" s="28" t="str">
        <f t="array" ref="P1854">_xlfn.XLOOKUP($A1854, 'Hospitalisation Details'!$A:$A, 'Hospitalisation Details'!H:H, "No Data")</f>
        <v>tier - 2</v>
      </c>
    </row>
    <row r="1855">
      <c r="A1855" s="25" t="s">
        <v>3433</v>
      </c>
      <c r="B1855" s="28" t="str">
        <f t="array" ref="B1855">_xlfn.XLOOKUP($A1855, 'Customer Names'!$A:$A, 'Customer Names'!B:B, "No Data")</f>
        <v>Hetherington</v>
      </c>
      <c r="C1855" s="28">
        <f t="array" ref="C1855">_xlfn.XLOOKUP($A1855, 'Medical Examinations'!$A:$A, 'Medical Examinations'!B:B, "No Data")</f>
        <v>27.72</v>
      </c>
      <c r="D1855" s="28">
        <f t="array" ref="D1855">_xlfn.XLOOKUP($A1855, 'Medical Examinations'!$A:$A, 'Medical Examinations'!C:C, "No Data")</f>
        <v>5.03</v>
      </c>
      <c r="E1855" s="28" t="str">
        <f t="array" ref="E1855">_xlfn.XLOOKUP($A1855, 'Medical Examinations'!$A:$A, 'Medical Examinations'!D:D, "No Data")</f>
        <v>yes</v>
      </c>
      <c r="F1855" s="28" t="str">
        <f t="array" ref="F1855">_xlfn.XLOOKUP($A1855, 'Medical Examinations'!$A:$A, 'Medical Examinations'!E:E, "No Data")</f>
        <v>No</v>
      </c>
      <c r="G1855" s="28" t="str">
        <f t="array" ref="G1855">_xlfn.XLOOKUP($A1855, 'Medical Examinations'!$A:$A, 'Medical Examinations'!F:F, "No Data")</f>
        <v>No</v>
      </c>
      <c r="H1855" s="28">
        <f t="array" ref="H1855">_xlfn.XLOOKUP($A1855, 'Medical Examinations'!$A:$A, 'Medical Examinations'!G:G, "No Data")</f>
        <v>1</v>
      </c>
      <c r="I1855" s="28" t="str">
        <f t="array" ref="I1855">_xlfn.XLOOKUP($A1855, 'Medical Examinations'!$A:$A, 'Medical Examinations'!H:H, "No Data")</f>
        <v>No</v>
      </c>
      <c r="J1855" s="28" t="str">
        <f t="array" ref="J1855">_xlfn.XLOOKUP($A1855, 'Medical Examinations'!$A:$A, 'Medical Examinations'!I:I, "No Data")</f>
        <v>Overweight</v>
      </c>
      <c r="K1855" s="28" t="str">
        <f t="array" ref="K1855">_xlfn.XLOOKUP($A1855, 'Hospitalisation Details'!$A:$A, 'Hospitalisation Details'!I:I, "No Data")</f>
        <v>tier - 1</v>
      </c>
      <c r="L1855" s="28" t="str">
        <f t="array" ref="L1855">_xlfn.XLOOKUP($A1855, 'Hospitalisation Details'!$A:$A, 'Hospitalisation Details'!J:J, "No Data")</f>
        <v>R1013</v>
      </c>
      <c r="M1855" s="28" t="str">
        <f t="array" ref="M1855">_xlfn.XLOOKUP($A1855, 'Hospitalisation Details'!$A:$A, 'Hospitalisation Details'!E:E, "No Data")</f>
        <v>16/09/88</v>
      </c>
      <c r="N1855" s="28">
        <f t="array" ref="N1855">_xlfn.XLOOKUP($A1855, 'Hospitalisation Details'!$A:$A, 'Hospitalisation Details'!K:K, "No Data")</f>
        <v>34</v>
      </c>
      <c r="O1855" s="33">
        <f t="array" ref="O1855">_xlfn.XLOOKUP($A1855, 'Hospitalisation Details'!$A:$A, 'Hospitalisation Details'!G:G, "No Data")</f>
        <v>4415.16</v>
      </c>
      <c r="P1855" s="28" t="str">
        <f t="array" ref="P1855">_xlfn.XLOOKUP($A1855, 'Hospitalisation Details'!$A:$A, 'Hospitalisation Details'!H:H, "No Data")</f>
        <v>tier - 2</v>
      </c>
    </row>
    <row r="1856">
      <c r="A1856" s="25" t="s">
        <v>3429</v>
      </c>
      <c r="B1856" s="28" t="str">
        <f t="array" ref="B1856">_xlfn.XLOOKUP($A1856, 'Customer Names'!$A:$A, 'Customer Names'!B:B, "No Data")</f>
        <v>Thompson</v>
      </c>
      <c r="C1856" s="28">
        <f t="array" ref="C1856">_xlfn.XLOOKUP($A1856, 'Medical Examinations'!$A:$A, 'Medical Examinations'!B:B, "No Data")</f>
        <v>31.5</v>
      </c>
      <c r="D1856" s="28">
        <f t="array" ref="D1856">_xlfn.XLOOKUP($A1856, 'Medical Examinations'!$A:$A, 'Medical Examinations'!C:C, "No Data")</f>
        <v>9.62</v>
      </c>
      <c r="E1856" s="28" t="str">
        <f t="array" ref="E1856">_xlfn.XLOOKUP($A1856, 'Medical Examinations'!$A:$A, 'Medical Examinations'!D:D, "No Data")</f>
        <v>yes</v>
      </c>
      <c r="F1856" s="28" t="str">
        <f t="array" ref="F1856">_xlfn.XLOOKUP($A1856, 'Medical Examinations'!$A:$A, 'Medical Examinations'!E:E, "No Data")</f>
        <v>No</v>
      </c>
      <c r="G1856" s="28" t="str">
        <f t="array" ref="G1856">_xlfn.XLOOKUP($A1856, 'Medical Examinations'!$A:$A, 'Medical Examinations'!F:F, "No Data")</f>
        <v>No</v>
      </c>
      <c r="H1856" s="28">
        <f t="array" ref="H1856">_xlfn.XLOOKUP($A1856, 'Medical Examinations'!$A:$A, 'Medical Examinations'!G:G, "No Data")</f>
        <v>1</v>
      </c>
      <c r="I1856" s="28" t="str">
        <f t="array" ref="I1856">_xlfn.XLOOKUP($A1856, 'Medical Examinations'!$A:$A, 'Medical Examinations'!H:H, "No Data")</f>
        <v>No</v>
      </c>
      <c r="J1856" s="28" t="str">
        <f t="array" ref="J1856">_xlfn.XLOOKUP($A1856, 'Medical Examinations'!$A:$A, 'Medical Examinations'!I:I, "No Data")</f>
        <v>Obesity</v>
      </c>
      <c r="K1856" s="28" t="str">
        <f t="array" ref="K1856">_xlfn.XLOOKUP($A1856, 'Hospitalisation Details'!$A:$A, 'Hospitalisation Details'!I:I, "No Data")</f>
        <v>tier - 2</v>
      </c>
      <c r="L1856" s="28" t="str">
        <f t="array" ref="L1856">_xlfn.XLOOKUP($A1856, 'Hospitalisation Details'!$A:$A, 'Hospitalisation Details'!J:J, "No Data")</f>
        <v>R1011</v>
      </c>
      <c r="M1856" s="28" t="str">
        <f t="array" ref="M1856">_xlfn.XLOOKUP($A1856, 'Hospitalisation Details'!$A:$A, 'Hospitalisation Details'!E:E, "No Data")</f>
        <v>13/07/86</v>
      </c>
      <c r="N1856" s="28">
        <f t="array" ref="N1856">_xlfn.XLOOKUP($A1856, 'Hospitalisation Details'!$A:$A, 'Hospitalisation Details'!K:K, "No Data")</f>
        <v>36</v>
      </c>
      <c r="O1856" s="33">
        <f t="array" ref="O1856">_xlfn.XLOOKUP($A1856, 'Hospitalisation Details'!$A:$A, 'Hospitalisation Details'!G:G, "No Data")</f>
        <v>4402.23</v>
      </c>
      <c r="P1856" s="28" t="str">
        <f t="array" ref="P1856">_xlfn.XLOOKUP($A1856, 'Hospitalisation Details'!$A:$A, 'Hospitalisation Details'!H:H, "No Data")</f>
        <v>tier - 2</v>
      </c>
    </row>
    <row r="1857">
      <c r="A1857" s="25" t="s">
        <v>3424</v>
      </c>
      <c r="B1857" s="28" t="str">
        <f t="array" ref="B1857">_xlfn.XLOOKUP($A1857, 'Customer Names'!$A:$A, 'Customer Names'!B:B, "No Data")</f>
        <v>Battoo</v>
      </c>
      <c r="C1857" s="28">
        <f t="array" ref="C1857">_xlfn.XLOOKUP($A1857, 'Medical Examinations'!$A:$A, 'Medical Examinations'!B:B, "No Data")</f>
        <v>29.7</v>
      </c>
      <c r="D1857" s="28">
        <f t="array" ref="D1857">_xlfn.XLOOKUP($A1857, 'Medical Examinations'!$A:$A, 'Medical Examinations'!C:C, "No Data")</f>
        <v>6.77</v>
      </c>
      <c r="E1857" s="28" t="str">
        <f t="array" ref="E1857">_xlfn.XLOOKUP($A1857, 'Medical Examinations'!$A:$A, 'Medical Examinations'!D:D, "No Data")</f>
        <v>yes</v>
      </c>
      <c r="F1857" s="28" t="str">
        <f t="array" ref="F1857">_xlfn.XLOOKUP($A1857, 'Medical Examinations'!$A:$A, 'Medical Examinations'!E:E, "No Data")</f>
        <v>No</v>
      </c>
      <c r="G1857" s="28" t="str">
        <f t="array" ref="G1857">_xlfn.XLOOKUP($A1857, 'Medical Examinations'!$A:$A, 'Medical Examinations'!F:F, "No Data")</f>
        <v>No</v>
      </c>
      <c r="H1857" s="28">
        <f t="array" ref="H1857">_xlfn.XLOOKUP($A1857, 'Medical Examinations'!$A:$A, 'Medical Examinations'!G:G, "No Data")</f>
        <v>1</v>
      </c>
      <c r="I1857" s="28" t="str">
        <f t="array" ref="I1857">_xlfn.XLOOKUP($A1857, 'Medical Examinations'!$A:$A, 'Medical Examinations'!H:H, "No Data")</f>
        <v>No</v>
      </c>
      <c r="J1857" s="28" t="str">
        <f t="array" ref="J1857">_xlfn.XLOOKUP($A1857, 'Medical Examinations'!$A:$A, 'Medical Examinations'!I:I, "No Data")</f>
        <v>Overweight</v>
      </c>
      <c r="K1857" s="28" t="str">
        <f t="array" ref="K1857">_xlfn.XLOOKUP($A1857, 'Hospitalisation Details'!$A:$A, 'Hospitalisation Details'!I:I, "No Data")</f>
        <v>tier - 2</v>
      </c>
      <c r="L1857" s="28" t="str">
        <f t="array" ref="L1857">_xlfn.XLOOKUP($A1857, 'Hospitalisation Details'!$A:$A, 'Hospitalisation Details'!J:J, "No Data")</f>
        <v>R1013</v>
      </c>
      <c r="M1857" s="28" t="str">
        <f t="array" ref="M1857">_xlfn.XLOOKUP($A1857, 'Hospitalisation Details'!$A:$A, 'Hospitalisation Details'!E:E, "No Data")</f>
        <v>11/08/86</v>
      </c>
      <c r="N1857" s="28">
        <f t="array" ref="N1857">_xlfn.XLOOKUP($A1857, 'Hospitalisation Details'!$A:$A, 'Hospitalisation Details'!K:K, "No Data")</f>
        <v>36</v>
      </c>
      <c r="O1857" s="33">
        <f t="array" ref="O1857">_xlfn.XLOOKUP($A1857, 'Hospitalisation Details'!$A:$A, 'Hospitalisation Details'!G:G, "No Data")</f>
        <v>4399.73</v>
      </c>
      <c r="P1857" s="28" t="str">
        <f t="array" ref="P1857">_xlfn.XLOOKUP($A1857, 'Hospitalisation Details'!$A:$A, 'Hospitalisation Details'!H:H, "No Data")</f>
        <v>tier - 3</v>
      </c>
    </row>
    <row r="1858">
      <c r="A1858" s="25" t="s">
        <v>3420</v>
      </c>
      <c r="B1858" s="28" t="str">
        <f t="array" ref="B1858">_xlfn.XLOOKUP($A1858, 'Customer Names'!$A:$A, 'Customer Names'!B:B, "No Data")</f>
        <v>Barker</v>
      </c>
      <c r="C1858" s="28">
        <f t="array" ref="C1858">_xlfn.XLOOKUP($A1858, 'Medical Examinations'!$A:$A, 'Medical Examinations'!B:B, "No Data")</f>
        <v>21.26</v>
      </c>
      <c r="D1858" s="28">
        <f t="array" ref="D1858">_xlfn.XLOOKUP($A1858, 'Medical Examinations'!$A:$A, 'Medical Examinations'!C:C, "No Data")</f>
        <v>5.36</v>
      </c>
      <c r="E1858" s="28" t="str">
        <f t="array" ref="E1858">_xlfn.XLOOKUP($A1858, 'Medical Examinations'!$A:$A, 'Medical Examinations'!D:D, "No Data")</f>
        <v>yes</v>
      </c>
      <c r="F1858" s="28" t="str">
        <f t="array" ref="F1858">_xlfn.XLOOKUP($A1858, 'Medical Examinations'!$A:$A, 'Medical Examinations'!E:E, "No Data")</f>
        <v>No</v>
      </c>
      <c r="G1858" s="28" t="str">
        <f t="array" ref="G1858">_xlfn.XLOOKUP($A1858, 'Medical Examinations'!$A:$A, 'Medical Examinations'!F:F, "No Data")</f>
        <v>No</v>
      </c>
      <c r="H1858" s="28">
        <f t="array" ref="H1858">_xlfn.XLOOKUP($A1858, 'Medical Examinations'!$A:$A, 'Medical Examinations'!G:G, "No Data")</f>
        <v>1</v>
      </c>
      <c r="I1858" s="28" t="str">
        <f t="array" ref="I1858">_xlfn.XLOOKUP($A1858, 'Medical Examinations'!$A:$A, 'Medical Examinations'!H:H, "No Data")</f>
        <v>No</v>
      </c>
      <c r="J1858" s="28" t="str">
        <f t="array" ref="J1858">_xlfn.XLOOKUP($A1858, 'Medical Examinations'!$A:$A, 'Medical Examinations'!I:I, "No Data")</f>
        <v>Normal Weight</v>
      </c>
      <c r="K1858" s="28" t="str">
        <f t="array" ref="K1858">_xlfn.XLOOKUP($A1858, 'Hospitalisation Details'!$A:$A, 'Hospitalisation Details'!I:I, "No Data")</f>
        <v>tier - 2</v>
      </c>
      <c r="L1858" s="28" t="str">
        <f t="array" ref="L1858">_xlfn.XLOOKUP($A1858, 'Hospitalisation Details'!$A:$A, 'Hospitalisation Details'!J:J, "No Data")</f>
        <v>R1013</v>
      </c>
      <c r="M1858" s="28" t="str">
        <f t="array" ref="M1858">_xlfn.XLOOKUP($A1858, 'Hospitalisation Details'!$A:$A, 'Hospitalisation Details'!E:E, "No Data")</f>
        <v>18/07/88</v>
      </c>
      <c r="N1858" s="28">
        <f t="array" ref="N1858">_xlfn.XLOOKUP($A1858, 'Hospitalisation Details'!$A:$A, 'Hospitalisation Details'!K:K, "No Data")</f>
        <v>34</v>
      </c>
      <c r="O1858" s="33">
        <f t="array" ref="O1858">_xlfn.XLOOKUP($A1858, 'Hospitalisation Details'!$A:$A, 'Hospitalisation Details'!G:G, "No Data")</f>
        <v>4397.31</v>
      </c>
      <c r="P1858" s="28" t="str">
        <f t="array" ref="P1858">_xlfn.XLOOKUP($A1858, 'Hospitalisation Details'!$A:$A, 'Hospitalisation Details'!H:H, "No Data")</f>
        <v>tier - 2</v>
      </c>
    </row>
    <row r="1859">
      <c r="A1859" s="25" t="s">
        <v>3414</v>
      </c>
      <c r="B1859" s="28" t="str">
        <f t="array" ref="B1859">_xlfn.XLOOKUP($A1859, 'Customer Names'!$A:$A, 'Customer Names'!B:B, "No Data")</f>
        <v>Saarnilehto</v>
      </c>
      <c r="C1859" s="28">
        <f t="array" ref="C1859">_xlfn.XLOOKUP($A1859, 'Medical Examinations'!$A:$A, 'Medical Examinations'!B:B, "No Data")</f>
        <v>17.09</v>
      </c>
      <c r="D1859" s="28">
        <f t="array" ref="D1859">_xlfn.XLOOKUP($A1859, 'Medical Examinations'!$A:$A, 'Medical Examinations'!C:C, "No Data")</f>
        <v>5.69</v>
      </c>
      <c r="E1859" s="28" t="str">
        <f t="array" ref="E1859">_xlfn.XLOOKUP($A1859, 'Medical Examinations'!$A:$A, 'Medical Examinations'!D:D, "No Data")</f>
        <v>No</v>
      </c>
      <c r="F1859" s="28" t="str">
        <f t="array" ref="F1859">_xlfn.XLOOKUP($A1859, 'Medical Examinations'!$A:$A, 'Medical Examinations'!E:E, "No Data")</f>
        <v>No</v>
      </c>
      <c r="G1859" s="28" t="str">
        <f t="array" ref="G1859">_xlfn.XLOOKUP($A1859, 'Medical Examinations'!$A:$A, 'Medical Examinations'!F:F, "No Data")</f>
        <v>No</v>
      </c>
      <c r="H1859" s="28">
        <f t="array" ref="H1859">_xlfn.XLOOKUP($A1859, 'Medical Examinations'!$A:$A, 'Medical Examinations'!G:G, "No Data")</f>
        <v>0</v>
      </c>
      <c r="I1859" s="28" t="str">
        <f t="array" ref="I1859">_xlfn.XLOOKUP($A1859, 'Medical Examinations'!$A:$A, 'Medical Examinations'!H:H, "No Data")</f>
        <v>No</v>
      </c>
      <c r="J1859" s="28" t="str">
        <f t="array" ref="J1859">_xlfn.XLOOKUP($A1859, 'Medical Examinations'!$A:$A, 'Medical Examinations'!I:I, "No Data")</f>
        <v>Underweight</v>
      </c>
      <c r="K1859" s="28" t="str">
        <f t="array" ref="K1859">_xlfn.XLOOKUP($A1859, 'Hospitalisation Details'!$A:$A, 'Hospitalisation Details'!I:I, "No Data")</f>
        <v>tier - 2</v>
      </c>
      <c r="L1859" s="28" t="str">
        <f t="array" ref="L1859">_xlfn.XLOOKUP($A1859, 'Hospitalisation Details'!$A:$A, 'Hospitalisation Details'!J:J, "No Data")</f>
        <v>R1013</v>
      </c>
      <c r="M1859" s="28" t="str">
        <f t="array" ref="M1859">_xlfn.XLOOKUP($A1859, 'Hospitalisation Details'!$A:$A, 'Hospitalisation Details'!E:E, "No Data")</f>
        <v>29/06/82</v>
      </c>
      <c r="N1859" s="28">
        <f t="array" ref="N1859">_xlfn.XLOOKUP($A1859, 'Hospitalisation Details'!$A:$A, 'Hospitalisation Details'!K:K, "No Data")</f>
        <v>40</v>
      </c>
      <c r="O1859" s="33">
        <f t="array" ref="O1859">_xlfn.XLOOKUP($A1859, 'Hospitalisation Details'!$A:$A, 'Hospitalisation Details'!G:G, "No Data")</f>
        <v>4392.7</v>
      </c>
      <c r="P1859" s="28" t="str">
        <f t="array" ref="P1859">_xlfn.XLOOKUP($A1859, 'Hospitalisation Details'!$A:$A, 'Hospitalisation Details'!H:H, "No Data")</f>
        <v>tier - 2</v>
      </c>
    </row>
    <row r="1860">
      <c r="A1860" s="25" t="s">
        <v>3409</v>
      </c>
      <c r="B1860" s="28" t="str">
        <f t="array" ref="B1860">_xlfn.XLOOKUP($A1860, 'Customer Names'!$A:$A, 'Customer Names'!B:B, "No Data")</f>
        <v>Morton</v>
      </c>
      <c r="C1860" s="28">
        <f t="array" ref="C1860">_xlfn.XLOOKUP($A1860, 'Medical Examinations'!$A:$A, 'Medical Examinations'!B:B, "No Data")</f>
        <v>24.3</v>
      </c>
      <c r="D1860" s="28">
        <f t="array" ref="D1860">_xlfn.XLOOKUP($A1860, 'Medical Examinations'!$A:$A, 'Medical Examinations'!C:C, "No Data")</f>
        <v>4.9</v>
      </c>
      <c r="E1860" s="28" t="str">
        <f t="array" ref="E1860">_xlfn.XLOOKUP($A1860, 'Medical Examinations'!$A:$A, 'Medical Examinations'!D:D, "No Data")</f>
        <v>yes</v>
      </c>
      <c r="F1860" s="28" t="str">
        <f t="array" ref="F1860">_xlfn.XLOOKUP($A1860, 'Medical Examinations'!$A:$A, 'Medical Examinations'!E:E, "No Data")</f>
        <v>No</v>
      </c>
      <c r="G1860" s="28" t="str">
        <f t="array" ref="G1860">_xlfn.XLOOKUP($A1860, 'Medical Examinations'!$A:$A, 'Medical Examinations'!F:F, "No Data")</f>
        <v>Yes</v>
      </c>
      <c r="H1860" s="28">
        <f t="array" ref="H1860">_xlfn.XLOOKUP($A1860, 'Medical Examinations'!$A:$A, 'Medical Examinations'!G:G, "No Data")</f>
        <v>1</v>
      </c>
      <c r="I1860" s="28" t="str">
        <f t="array" ref="I1860">_xlfn.XLOOKUP($A1860, 'Medical Examinations'!$A:$A, 'Medical Examinations'!H:H, "No Data")</f>
        <v>No</v>
      </c>
      <c r="J1860" s="28" t="str">
        <f t="array" ref="J1860">_xlfn.XLOOKUP($A1860, 'Medical Examinations'!$A:$A, 'Medical Examinations'!I:I, "No Data")</f>
        <v>Normal Weight</v>
      </c>
      <c r="K1860" s="28" t="str">
        <f t="array" ref="K1860">_xlfn.XLOOKUP($A1860, 'Hospitalisation Details'!$A:$A, 'Hospitalisation Details'!I:I, "No Data")</f>
        <v>tier - 2</v>
      </c>
      <c r="L1860" s="28" t="str">
        <f t="array" ref="L1860">_xlfn.XLOOKUP($A1860, 'Hospitalisation Details'!$A:$A, 'Hospitalisation Details'!J:J, "No Data")</f>
        <v>R1011</v>
      </c>
      <c r="M1860" s="28" t="str">
        <f t="array" ref="M1860">_xlfn.XLOOKUP($A1860, 'Hospitalisation Details'!$A:$A, 'Hospitalisation Details'!E:E, "No Data")</f>
        <v>29/11/97</v>
      </c>
      <c r="N1860" s="28">
        <f t="array" ref="N1860">_xlfn.XLOOKUP($A1860, 'Hospitalisation Details'!$A:$A, 'Hospitalisation Details'!K:K, "No Data")</f>
        <v>25</v>
      </c>
      <c r="O1860" s="33">
        <f t="array" ref="O1860">_xlfn.XLOOKUP($A1860, 'Hospitalisation Details'!$A:$A, 'Hospitalisation Details'!G:G, "No Data")</f>
        <v>4391.65</v>
      </c>
      <c r="P1860" s="28" t="str">
        <f t="array" ref="P1860">_xlfn.XLOOKUP($A1860, 'Hospitalisation Details'!$A:$A, 'Hospitalisation Details'!H:H, "No Data")</f>
        <v>tier - 2</v>
      </c>
    </row>
    <row r="1861">
      <c r="A1861" s="25" t="s">
        <v>3403</v>
      </c>
      <c r="B1861" s="28" t="str">
        <f t="array" ref="B1861">_xlfn.XLOOKUP($A1861, 'Customer Names'!$A:$A, 'Customer Names'!B:B, "No Data")</f>
        <v>Thomas</v>
      </c>
      <c r="C1861" s="28">
        <f t="array" ref="C1861">_xlfn.XLOOKUP($A1861, 'Medical Examinations'!$A:$A, 'Medical Examinations'!B:B, "No Data")</f>
        <v>29.735</v>
      </c>
      <c r="D1861" s="28">
        <f t="array" ref="D1861">_xlfn.XLOOKUP($A1861, 'Medical Examinations'!$A:$A, 'Medical Examinations'!C:C, "No Data")</f>
        <v>5.78</v>
      </c>
      <c r="E1861" s="28" t="str">
        <f t="array" ref="E1861">_xlfn.XLOOKUP($A1861, 'Medical Examinations'!$A:$A, 'Medical Examinations'!D:D, "No Data")</f>
        <v>No</v>
      </c>
      <c r="F1861" s="28" t="str">
        <f t="array" ref="F1861">_xlfn.XLOOKUP($A1861, 'Medical Examinations'!$A:$A, 'Medical Examinations'!E:E, "No Data")</f>
        <v>No</v>
      </c>
      <c r="G1861" s="28" t="str">
        <f t="array" ref="G1861">_xlfn.XLOOKUP($A1861, 'Medical Examinations'!$A:$A, 'Medical Examinations'!F:F, "No Data")</f>
        <v>No</v>
      </c>
      <c r="H1861" s="28">
        <f t="array" ref="H1861">_xlfn.XLOOKUP($A1861, 'Medical Examinations'!$A:$A, 'Medical Examinations'!G:G, "No Data")</f>
        <v>0</v>
      </c>
      <c r="I1861" s="28" t="str">
        <f t="array" ref="I1861">_xlfn.XLOOKUP($A1861, 'Medical Examinations'!$A:$A, 'Medical Examinations'!H:H, "No Data")</f>
        <v>No</v>
      </c>
      <c r="J1861" s="28" t="str">
        <f t="array" ref="J1861">_xlfn.XLOOKUP($A1861, 'Medical Examinations'!$A:$A, 'Medical Examinations'!I:I, "No Data")</f>
        <v>Overweight</v>
      </c>
      <c r="K1861" s="28" t="str">
        <f t="array" ref="K1861">_xlfn.XLOOKUP($A1861, 'Hospitalisation Details'!$A:$A, 'Hospitalisation Details'!I:I, "No Data")</f>
        <v>tier - 3</v>
      </c>
      <c r="L1861" s="28" t="str">
        <f t="array" ref="L1861">_xlfn.XLOOKUP($A1861, 'Hospitalisation Details'!$A:$A, 'Hospitalisation Details'!J:J, "No Data")</f>
        <v>R1012</v>
      </c>
      <c r="M1861" s="28" t="str">
        <f t="array" ref="M1861">_xlfn.XLOOKUP($A1861, 'Hospitalisation Details'!$A:$A, 'Hospitalisation Details'!E:E, "No Data")</f>
        <v>28/08/90</v>
      </c>
      <c r="N1861" s="28">
        <f t="array" ref="N1861">_xlfn.XLOOKUP($A1861, 'Hospitalisation Details'!$A:$A, 'Hospitalisation Details'!K:K, "No Data")</f>
        <v>32</v>
      </c>
      <c r="O1861" s="33">
        <f t="array" ref="O1861">_xlfn.XLOOKUP($A1861, 'Hospitalisation Details'!$A:$A, 'Hospitalisation Details'!G:G, "No Data")</f>
        <v>4357.04</v>
      </c>
      <c r="P1861" s="28" t="str">
        <f t="array" ref="P1861">_xlfn.XLOOKUP($A1861, 'Hospitalisation Details'!$A:$A, 'Hospitalisation Details'!H:H, "No Data")</f>
        <v>tier - 2</v>
      </c>
    </row>
    <row r="1862">
      <c r="A1862" s="25" t="s">
        <v>3399</v>
      </c>
      <c r="B1862" s="28" t="str">
        <f t="array" ref="B1862">_xlfn.XLOOKUP($A1862, 'Customer Names'!$A:$A, 'Customer Names'!B:B, "No Data")</f>
        <v>Hillman</v>
      </c>
      <c r="C1862" s="28">
        <f t="array" ref="C1862">_xlfn.XLOOKUP($A1862, 'Medical Examinations'!$A:$A, 'Medical Examinations'!B:B, "No Data")</f>
        <v>29.26</v>
      </c>
      <c r="D1862" s="28">
        <f t="array" ref="D1862">_xlfn.XLOOKUP($A1862, 'Medical Examinations'!$A:$A, 'Medical Examinations'!C:C, "No Data")</f>
        <v>4.7</v>
      </c>
      <c r="E1862" s="28" t="str">
        <f t="array" ref="E1862">_xlfn.XLOOKUP($A1862, 'Medical Examinations'!$A:$A, 'Medical Examinations'!D:D, "No Data")</f>
        <v>No</v>
      </c>
      <c r="F1862" s="28" t="str">
        <f t="array" ref="F1862">_xlfn.XLOOKUP($A1862, 'Medical Examinations'!$A:$A, 'Medical Examinations'!E:E, "No Data")</f>
        <v>No</v>
      </c>
      <c r="G1862" s="28" t="str">
        <f t="array" ref="G1862">_xlfn.XLOOKUP($A1862, 'Medical Examinations'!$A:$A, 'Medical Examinations'!F:F, "No Data")</f>
        <v>No</v>
      </c>
      <c r="H1862" s="28">
        <f t="array" ref="H1862">_xlfn.XLOOKUP($A1862, 'Medical Examinations'!$A:$A, 'Medical Examinations'!G:G, "No Data")</f>
        <v>0</v>
      </c>
      <c r="I1862" s="28" t="str">
        <f t="array" ref="I1862">_xlfn.XLOOKUP($A1862, 'Medical Examinations'!$A:$A, 'Medical Examinations'!H:H, "No Data")</f>
        <v>No</v>
      </c>
      <c r="J1862" s="28" t="str">
        <f t="array" ref="J1862">_xlfn.XLOOKUP($A1862, 'Medical Examinations'!$A:$A, 'Medical Examinations'!I:I, "No Data")</f>
        <v>Overweight</v>
      </c>
      <c r="K1862" s="28" t="str">
        <f t="array" ref="K1862">_xlfn.XLOOKUP($A1862, 'Hospitalisation Details'!$A:$A, 'Hospitalisation Details'!I:I, "No Data")</f>
        <v>tier - 2</v>
      </c>
      <c r="L1862" s="28" t="str">
        <f t="array" ref="L1862">_xlfn.XLOOKUP($A1862, 'Hospitalisation Details'!$A:$A, 'Hospitalisation Details'!J:J, "No Data")</f>
        <v>R1013</v>
      </c>
      <c r="M1862" s="28" t="str">
        <f t="array" ref="M1862">_xlfn.XLOOKUP($A1862, 'Hospitalisation Details'!$A:$A, 'Hospitalisation Details'!E:E, "No Data")</f>
        <v>13/09/91</v>
      </c>
      <c r="N1862" s="28">
        <f t="array" ref="N1862">_xlfn.XLOOKUP($A1862, 'Hospitalisation Details'!$A:$A, 'Hospitalisation Details'!K:K, "No Data")</f>
        <v>31</v>
      </c>
      <c r="O1862" s="33">
        <f t="array" ref="O1862">_xlfn.XLOOKUP($A1862, 'Hospitalisation Details'!$A:$A, 'Hospitalisation Details'!G:G, "No Data")</f>
        <v>4350.51</v>
      </c>
      <c r="P1862" s="28" t="str">
        <f t="array" ref="P1862">_xlfn.XLOOKUP($A1862, 'Hospitalisation Details'!$A:$A, 'Hospitalisation Details'!H:H, "No Data")</f>
        <v>tier - 2</v>
      </c>
    </row>
    <row r="1863">
      <c r="A1863" s="25" t="s">
        <v>3393</v>
      </c>
      <c r="B1863" s="28" t="str">
        <f t="array" ref="B1863">_xlfn.XLOOKUP($A1863, 'Customer Names'!$A:$A, 'Customer Names'!B:B, "No Data")</f>
        <v>Edwards</v>
      </c>
      <c r="C1863" s="28">
        <f t="array" ref="C1863">_xlfn.XLOOKUP($A1863, 'Medical Examinations'!$A:$A, 'Medical Examinations'!B:B, "No Data")</f>
        <v>33</v>
      </c>
      <c r="D1863" s="28">
        <f t="array" ref="D1863">_xlfn.XLOOKUP($A1863, 'Medical Examinations'!$A:$A, 'Medical Examinations'!C:C, "No Data")</f>
        <v>6.28</v>
      </c>
      <c r="E1863" s="28" t="str">
        <f t="array" ref="E1863">_xlfn.XLOOKUP($A1863, 'Medical Examinations'!$A:$A, 'Medical Examinations'!D:D, "No Data")</f>
        <v>No</v>
      </c>
      <c r="F1863" s="28" t="str">
        <f t="array" ref="F1863">_xlfn.XLOOKUP($A1863, 'Medical Examinations'!$A:$A, 'Medical Examinations'!E:E, "No Data")</f>
        <v>No</v>
      </c>
      <c r="G1863" s="28" t="str">
        <f t="array" ref="G1863">_xlfn.XLOOKUP($A1863, 'Medical Examinations'!$A:$A, 'Medical Examinations'!F:F, "No Data")</f>
        <v>No</v>
      </c>
      <c r="H1863" s="28">
        <f t="array" ref="H1863">_xlfn.XLOOKUP($A1863, 'Medical Examinations'!$A:$A, 'Medical Examinations'!G:G, "No Data")</f>
        <v>0</v>
      </c>
      <c r="I1863" s="28" t="str">
        <f t="array" ref="I1863">_xlfn.XLOOKUP($A1863, 'Medical Examinations'!$A:$A, 'Medical Examinations'!H:H, "No Data")</f>
        <v>No</v>
      </c>
      <c r="J1863" s="28" t="str">
        <f t="array" ref="J1863">_xlfn.XLOOKUP($A1863, 'Medical Examinations'!$A:$A, 'Medical Examinations'!I:I, "No Data")</f>
        <v>Obesity</v>
      </c>
      <c r="K1863" s="28" t="str">
        <f t="array" ref="K1863">_xlfn.XLOOKUP($A1863, 'Hospitalisation Details'!$A:$A, 'Hospitalisation Details'!I:I, "No Data")</f>
        <v>tier - 2</v>
      </c>
      <c r="L1863" s="28" t="str">
        <f t="array" ref="L1863">_xlfn.XLOOKUP($A1863, 'Hospitalisation Details'!$A:$A, 'Hospitalisation Details'!J:J, "No Data")</f>
        <v>R1013</v>
      </c>
      <c r="M1863" s="28" t="str">
        <f t="array" ref="M1863">_xlfn.XLOOKUP($A1863, 'Hospitalisation Details'!$A:$A, 'Hospitalisation Details'!E:E, "No Data")</f>
        <v>01/11/94</v>
      </c>
      <c r="N1863" s="28">
        <f t="array" ref="N1863">_xlfn.XLOOKUP($A1863, 'Hospitalisation Details'!$A:$A, 'Hospitalisation Details'!K:K, "No Data")</f>
        <v>28</v>
      </c>
      <c r="O1863" s="33">
        <f t="array" ref="O1863">_xlfn.XLOOKUP($A1863, 'Hospitalisation Details'!$A:$A, 'Hospitalisation Details'!G:G, "No Data")</f>
        <v>4349.46</v>
      </c>
      <c r="P1863" s="28" t="str">
        <f t="array" ref="P1863">_xlfn.XLOOKUP($A1863, 'Hospitalisation Details'!$A:$A, 'Hospitalisation Details'!H:H, "No Data")</f>
        <v>tier - 2</v>
      </c>
    </row>
    <row r="1864">
      <c r="A1864" s="25" t="s">
        <v>3386</v>
      </c>
      <c r="B1864" s="28" t="str">
        <f t="array" ref="B1864">_xlfn.XLOOKUP($A1864, 'Customer Names'!$A:$A, 'Customer Names'!B:B, "No Data")</f>
        <v>Bartel</v>
      </c>
      <c r="C1864" s="28">
        <f t="array" ref="C1864">_xlfn.XLOOKUP($A1864, 'Medical Examinations'!$A:$A, 'Medical Examinations'!B:B, "No Data")</f>
        <v>31.065</v>
      </c>
      <c r="D1864" s="28">
        <f t="array" ref="D1864">_xlfn.XLOOKUP($A1864, 'Medical Examinations'!$A:$A, 'Medical Examinations'!C:C, "No Data")</f>
        <v>4.23</v>
      </c>
      <c r="E1864" s="28" t="str">
        <f t="array" ref="E1864">_xlfn.XLOOKUP($A1864, 'Medical Examinations'!$A:$A, 'Medical Examinations'!D:D, "No Data")</f>
        <v>No</v>
      </c>
      <c r="F1864" s="28" t="str">
        <f t="array" ref="F1864">_xlfn.XLOOKUP($A1864, 'Medical Examinations'!$A:$A, 'Medical Examinations'!E:E, "No Data")</f>
        <v>No</v>
      </c>
      <c r="G1864" s="28" t="str">
        <f t="array" ref="G1864">_xlfn.XLOOKUP($A1864, 'Medical Examinations'!$A:$A, 'Medical Examinations'!F:F, "No Data")</f>
        <v>No</v>
      </c>
      <c r="H1864" s="28">
        <f t="array" ref="H1864">_xlfn.XLOOKUP($A1864, 'Medical Examinations'!$A:$A, 'Medical Examinations'!G:G, "No Data")</f>
        <v>0</v>
      </c>
      <c r="I1864" s="28" t="str">
        <f t="array" ref="I1864">_xlfn.XLOOKUP($A1864, 'Medical Examinations'!$A:$A, 'Medical Examinations'!H:H, "No Data")</f>
        <v>No</v>
      </c>
      <c r="J1864" s="28" t="str">
        <f t="array" ref="J1864">_xlfn.XLOOKUP($A1864, 'Medical Examinations'!$A:$A, 'Medical Examinations'!I:I, "No Data")</f>
        <v>Obesity</v>
      </c>
      <c r="K1864" s="28" t="str">
        <f t="array" ref="K1864">_xlfn.XLOOKUP($A1864, 'Hospitalisation Details'!$A:$A, 'Hospitalisation Details'!I:I, "No Data")</f>
        <v>tier - 1</v>
      </c>
      <c r="L1864" s="28" t="str">
        <f t="array" ref="L1864">_xlfn.XLOOKUP($A1864, 'Hospitalisation Details'!$A:$A, 'Hospitalisation Details'!J:J, "No Data")</f>
        <v>R1024</v>
      </c>
      <c r="M1864" s="28" t="str">
        <f t="array" ref="M1864">_xlfn.XLOOKUP($A1864, 'Hospitalisation Details'!$A:$A, 'Hospitalisation Details'!E:E, "No Data")</f>
        <v>01/06/91</v>
      </c>
      <c r="N1864" s="28">
        <f t="array" ref="N1864">_xlfn.XLOOKUP($A1864, 'Hospitalisation Details'!$A:$A, 'Hospitalisation Details'!K:K, "No Data")</f>
        <v>32</v>
      </c>
      <c r="O1864" s="33">
        <f t="array" ref="O1864">_xlfn.XLOOKUP($A1864, 'Hospitalisation Details'!$A:$A, 'Hospitalisation Details'!G:G, "No Data")</f>
        <v>4347.02</v>
      </c>
      <c r="P1864" s="28" t="str">
        <f t="array" ref="P1864">_xlfn.XLOOKUP($A1864, 'Hospitalisation Details'!$A:$A, 'Hospitalisation Details'!H:H, "No Data")</f>
        <v>tier - 2</v>
      </c>
    </row>
    <row r="1865">
      <c r="A1865" s="25" t="s">
        <v>3380</v>
      </c>
      <c r="B1865" s="28" t="str">
        <f t="array" ref="B1865">_xlfn.XLOOKUP($A1865, 'Customer Names'!$A:$A, 'Customer Names'!B:B, "No Data")</f>
        <v>Potekhina</v>
      </c>
      <c r="C1865" s="28">
        <f t="array" ref="C1865">_xlfn.XLOOKUP($A1865, 'Medical Examinations'!$A:$A, 'Medical Examinations'!B:B, "No Data")</f>
        <v>26.51</v>
      </c>
      <c r="D1865" s="28">
        <f t="array" ref="D1865">_xlfn.XLOOKUP($A1865, 'Medical Examinations'!$A:$A, 'Medical Examinations'!C:C, "No Data")</f>
        <v>6.17</v>
      </c>
      <c r="E1865" s="28" t="str">
        <f t="array" ref="E1865">_xlfn.XLOOKUP($A1865, 'Medical Examinations'!$A:$A, 'Medical Examinations'!D:D, "No Data")</f>
        <v>No</v>
      </c>
      <c r="F1865" s="28" t="str">
        <f t="array" ref="F1865">_xlfn.XLOOKUP($A1865, 'Medical Examinations'!$A:$A, 'Medical Examinations'!E:E, "No Data")</f>
        <v>No</v>
      </c>
      <c r="G1865" s="28" t="str">
        <f t="array" ref="G1865">_xlfn.XLOOKUP($A1865, 'Medical Examinations'!$A:$A, 'Medical Examinations'!F:F, "No Data")</f>
        <v>No</v>
      </c>
      <c r="H1865" s="28">
        <f t="array" ref="H1865">_xlfn.XLOOKUP($A1865, 'Medical Examinations'!$A:$A, 'Medical Examinations'!G:G, "No Data")</f>
        <v>0</v>
      </c>
      <c r="I1865" s="28" t="str">
        <f t="array" ref="I1865">_xlfn.XLOOKUP($A1865, 'Medical Examinations'!$A:$A, 'Medical Examinations'!H:H, "No Data")</f>
        <v>No</v>
      </c>
      <c r="J1865" s="28" t="str">
        <f t="array" ref="J1865">_xlfn.XLOOKUP($A1865, 'Medical Examinations'!$A:$A, 'Medical Examinations'!I:I, "No Data")</f>
        <v>Overweight</v>
      </c>
      <c r="K1865" s="28" t="str">
        <f t="array" ref="K1865">_xlfn.XLOOKUP($A1865, 'Hospitalisation Details'!$A:$A, 'Hospitalisation Details'!I:I, "No Data")</f>
        <v>tier - 1</v>
      </c>
      <c r="L1865" s="28" t="str">
        <f t="array" ref="L1865">_xlfn.XLOOKUP($A1865, 'Hospitalisation Details'!$A:$A, 'Hospitalisation Details'!J:J, "No Data")</f>
        <v>R1013</v>
      </c>
      <c r="M1865" s="28" t="str">
        <f t="array" ref="M1865">_xlfn.XLOOKUP($A1865, 'Hospitalisation Details'!$A:$A, 'Hospitalisation Details'!E:E, "No Data")</f>
        <v>26/10/94</v>
      </c>
      <c r="N1865" s="28">
        <f t="array" ref="N1865">_xlfn.XLOOKUP($A1865, 'Hospitalisation Details'!$A:$A, 'Hospitalisation Details'!K:K, "No Data")</f>
        <v>28</v>
      </c>
      <c r="O1865" s="33">
        <f t="array" ref="O1865">_xlfn.XLOOKUP($A1865, 'Hospitalisation Details'!$A:$A, 'Hospitalisation Details'!G:G, "No Data")</f>
        <v>4340.44</v>
      </c>
      <c r="P1865" s="28" t="str">
        <f t="array" ref="P1865">_xlfn.XLOOKUP($A1865, 'Hospitalisation Details'!$A:$A, 'Hospitalisation Details'!H:H, "No Data")</f>
        <v>tier - 2</v>
      </c>
    </row>
    <row r="1866">
      <c r="A1866" s="25" t="s">
        <v>3374</v>
      </c>
      <c r="B1866" s="28" t="str">
        <f t="array" ref="B1866">_xlfn.XLOOKUP($A1866, 'Customer Names'!$A:$A, 'Customer Names'!B:B, "No Data")</f>
        <v>Kelly</v>
      </c>
      <c r="C1866" s="28">
        <f t="array" ref="C1866">_xlfn.XLOOKUP($A1866, 'Medical Examinations'!$A:$A, 'Medical Examinations'!B:B, "No Data")</f>
        <v>28.88</v>
      </c>
      <c r="D1866" s="28">
        <f t="array" ref="D1866">_xlfn.XLOOKUP($A1866, 'Medical Examinations'!$A:$A, 'Medical Examinations'!C:C, "No Data")</f>
        <v>4.96</v>
      </c>
      <c r="E1866" s="28" t="str">
        <f t="array" ref="E1866">_xlfn.XLOOKUP($A1866, 'Medical Examinations'!$A:$A, 'Medical Examinations'!D:D, "No Data")</f>
        <v>No</v>
      </c>
      <c r="F1866" s="28" t="str">
        <f t="array" ref="F1866">_xlfn.XLOOKUP($A1866, 'Medical Examinations'!$A:$A, 'Medical Examinations'!E:E, "No Data")</f>
        <v>No</v>
      </c>
      <c r="G1866" s="28" t="str">
        <f t="array" ref="G1866">_xlfn.XLOOKUP($A1866, 'Medical Examinations'!$A:$A, 'Medical Examinations'!F:F, "No Data")</f>
        <v>No</v>
      </c>
      <c r="H1866" s="28">
        <f t="array" ref="H1866">_xlfn.XLOOKUP($A1866, 'Medical Examinations'!$A:$A, 'Medical Examinations'!G:G, "No Data")</f>
        <v>0</v>
      </c>
      <c r="I1866" s="28" t="str">
        <f t="array" ref="I1866">_xlfn.XLOOKUP($A1866, 'Medical Examinations'!$A:$A, 'Medical Examinations'!H:H, "No Data")</f>
        <v>No</v>
      </c>
      <c r="J1866" s="28" t="str">
        <f t="array" ref="J1866">_xlfn.XLOOKUP($A1866, 'Medical Examinations'!$A:$A, 'Medical Examinations'!I:I, "No Data")</f>
        <v>Overweight</v>
      </c>
      <c r="K1866" s="28" t="str">
        <f t="array" ref="K1866">_xlfn.XLOOKUP($A1866, 'Hospitalisation Details'!$A:$A, 'Hospitalisation Details'!I:I, "No Data")</f>
        <v>tier - 1</v>
      </c>
      <c r="L1866" s="28" t="str">
        <f t="array" ref="L1866">_xlfn.XLOOKUP($A1866, 'Hospitalisation Details'!$A:$A, 'Hospitalisation Details'!J:J, "No Data")</f>
        <v>R1024</v>
      </c>
      <c r="M1866" s="28" t="str">
        <f t="array" ref="M1866">_xlfn.XLOOKUP($A1866, 'Hospitalisation Details'!$A:$A, 'Hospitalisation Details'!E:E, "No Data")</f>
        <v>02/11/94</v>
      </c>
      <c r="N1866" s="28">
        <f t="array" ref="N1866">_xlfn.XLOOKUP($A1866, 'Hospitalisation Details'!$A:$A, 'Hospitalisation Details'!K:K, "No Data")</f>
        <v>28</v>
      </c>
      <c r="O1866" s="33">
        <f t="array" ref="O1866">_xlfn.XLOOKUP($A1866, 'Hospitalisation Details'!$A:$A, 'Hospitalisation Details'!G:G, "No Data")</f>
        <v>4337.74</v>
      </c>
      <c r="P1866" s="28" t="str">
        <f t="array" ref="P1866">_xlfn.XLOOKUP($A1866, 'Hospitalisation Details'!$A:$A, 'Hospitalisation Details'!H:H, "No Data")</f>
        <v>tier - 2</v>
      </c>
    </row>
    <row r="1867">
      <c r="A1867" s="25" t="s">
        <v>3370</v>
      </c>
      <c r="B1867" s="28" t="str">
        <f t="array" ref="B1867">_xlfn.XLOOKUP($A1867, 'Customer Names'!$A:$A, 'Customer Names'!B:B, "No Data")</f>
        <v>Lapp</v>
      </c>
      <c r="C1867" s="28">
        <f t="array" ref="C1867">_xlfn.XLOOKUP($A1867, 'Medical Examinations'!$A:$A, 'Medical Examinations'!B:B, "No Data")</f>
        <v>35.815</v>
      </c>
      <c r="D1867" s="28">
        <f t="array" ref="D1867">_xlfn.XLOOKUP($A1867, 'Medical Examinations'!$A:$A, 'Medical Examinations'!C:C, "No Data")</f>
        <v>5.11</v>
      </c>
      <c r="E1867" s="28" t="str">
        <f t="array" ref="E1867">_xlfn.XLOOKUP($A1867, 'Medical Examinations'!$A:$A, 'Medical Examinations'!D:D, "No Data")</f>
        <v>yes</v>
      </c>
      <c r="F1867" s="28" t="str">
        <f t="array" ref="F1867">_xlfn.XLOOKUP($A1867, 'Medical Examinations'!$A:$A, 'Medical Examinations'!E:E, "No Data")</f>
        <v>No</v>
      </c>
      <c r="G1867" s="28" t="str">
        <f t="array" ref="G1867">_xlfn.XLOOKUP($A1867, 'Medical Examinations'!$A:$A, 'Medical Examinations'!F:F, "No Data")</f>
        <v>No</v>
      </c>
      <c r="H1867" s="28">
        <f t="array" ref="H1867">_xlfn.XLOOKUP($A1867, 'Medical Examinations'!$A:$A, 'Medical Examinations'!G:G, "No Data")</f>
        <v>1</v>
      </c>
      <c r="I1867" s="28" t="str">
        <f t="array" ref="I1867">_xlfn.XLOOKUP($A1867, 'Medical Examinations'!$A:$A, 'Medical Examinations'!H:H, "No Data")</f>
        <v>No</v>
      </c>
      <c r="J1867" s="28" t="str">
        <f t="array" ref="J1867">_xlfn.XLOOKUP($A1867, 'Medical Examinations'!$A:$A, 'Medical Examinations'!I:I, "No Data")</f>
        <v>Obesity</v>
      </c>
      <c r="K1867" s="28" t="str">
        <f t="array" ref="K1867">_xlfn.XLOOKUP($A1867, 'Hospitalisation Details'!$A:$A, 'Hospitalisation Details'!I:I, "No Data")</f>
        <v>tier - 1</v>
      </c>
      <c r="L1867" s="28" t="str">
        <f t="array" ref="L1867">_xlfn.XLOOKUP($A1867, 'Hospitalisation Details'!$A:$A, 'Hospitalisation Details'!J:J, "No Data")</f>
        <v>R1012</v>
      </c>
      <c r="M1867" s="28" t="str">
        <f t="array" ref="M1867">_xlfn.XLOOKUP($A1867, 'Hospitalisation Details'!$A:$A, 'Hospitalisation Details'!E:E, "No Data")</f>
        <v>19/12/88</v>
      </c>
      <c r="N1867" s="28">
        <f t="array" ref="N1867">_xlfn.XLOOKUP($A1867, 'Hospitalisation Details'!$A:$A, 'Hospitalisation Details'!K:K, "No Data")</f>
        <v>34</v>
      </c>
      <c r="O1867" s="33">
        <f t="array" ref="O1867">_xlfn.XLOOKUP($A1867, 'Hospitalisation Details'!$A:$A, 'Hospitalisation Details'!G:G, "No Data")</f>
        <v>4320.41</v>
      </c>
      <c r="P1867" s="28" t="str">
        <f t="array" ref="P1867">_xlfn.XLOOKUP($A1867, 'Hospitalisation Details'!$A:$A, 'Hospitalisation Details'!H:H, "No Data")</f>
        <v>tier - 2</v>
      </c>
    </row>
    <row r="1868">
      <c r="A1868" s="25" t="s">
        <v>3365</v>
      </c>
      <c r="B1868" s="28" t="str">
        <f t="array" ref="B1868">_xlfn.XLOOKUP($A1868, 'Customer Names'!$A:$A, 'Customer Names'!B:B, "No Data")</f>
        <v>Burke</v>
      </c>
      <c r="C1868" s="28">
        <f t="array" ref="C1868">_xlfn.XLOOKUP($A1868, 'Medical Examinations'!$A:$A, 'Medical Examinations'!B:B, "No Data")</f>
        <v>21.28</v>
      </c>
      <c r="D1868" s="28">
        <f t="array" ref="D1868">_xlfn.XLOOKUP($A1868, 'Medical Examinations'!$A:$A, 'Medical Examinations'!C:C, "No Data")</f>
        <v>4.05</v>
      </c>
      <c r="E1868" s="28" t="str">
        <f t="array" ref="E1868">_xlfn.XLOOKUP($A1868, 'Medical Examinations'!$A:$A, 'Medical Examinations'!D:D, "No Data")</f>
        <v>No</v>
      </c>
      <c r="F1868" s="28" t="str">
        <f t="array" ref="F1868">_xlfn.XLOOKUP($A1868, 'Medical Examinations'!$A:$A, 'Medical Examinations'!E:E, "No Data")</f>
        <v>yes</v>
      </c>
      <c r="G1868" s="28" t="str">
        <f t="array" ref="G1868">_xlfn.XLOOKUP($A1868, 'Medical Examinations'!$A:$A, 'Medical Examinations'!F:F, "No Data")</f>
        <v>No</v>
      </c>
      <c r="H1868" s="28">
        <f t="array" ref="H1868">_xlfn.XLOOKUP($A1868, 'Medical Examinations'!$A:$A, 'Medical Examinations'!G:G, "No Data")</f>
        <v>1</v>
      </c>
      <c r="I1868" s="28" t="str">
        <f t="array" ref="I1868">_xlfn.XLOOKUP($A1868, 'Medical Examinations'!$A:$A, 'Medical Examinations'!H:H, "No Data")</f>
        <v>No</v>
      </c>
      <c r="J1868" s="28" t="str">
        <f t="array" ref="J1868">_xlfn.XLOOKUP($A1868, 'Medical Examinations'!$A:$A, 'Medical Examinations'!I:I, "No Data")</f>
        <v>Normal Weight</v>
      </c>
      <c r="K1868" s="28" t="str">
        <f t="array" ref="K1868">_xlfn.XLOOKUP($A1868, 'Hospitalisation Details'!$A:$A, 'Hospitalisation Details'!I:I, "No Data")</f>
        <v>tier - 3</v>
      </c>
      <c r="L1868" s="28" t="str">
        <f t="array" ref="L1868">_xlfn.XLOOKUP($A1868, 'Hospitalisation Details'!$A:$A, 'Hospitalisation Details'!J:J, "No Data")</f>
        <v>R1012</v>
      </c>
      <c r="M1868" s="28" t="str">
        <f t="array" ref="M1868">_xlfn.XLOOKUP($A1868, 'Hospitalisation Details'!$A:$A, 'Hospitalisation Details'!E:E, "No Data")</f>
        <v>25/11/00</v>
      </c>
      <c r="N1868" s="28">
        <f t="array" ref="N1868">_xlfn.XLOOKUP($A1868, 'Hospitalisation Details'!$A:$A, 'Hospitalisation Details'!K:K, "No Data")</f>
        <v>22</v>
      </c>
      <c r="O1868" s="33">
        <f t="array" ref="O1868">_xlfn.XLOOKUP($A1868, 'Hospitalisation Details'!$A:$A, 'Hospitalisation Details'!G:G, "No Data")</f>
        <v>4296.27</v>
      </c>
      <c r="P1868" s="28" t="str">
        <f t="array" ref="P1868">_xlfn.XLOOKUP($A1868, 'Hospitalisation Details'!$A:$A, 'Hospitalisation Details'!H:H, "No Data")</f>
        <v>tier - 2</v>
      </c>
    </row>
    <row r="1869">
      <c r="A1869" s="25" t="s">
        <v>3359</v>
      </c>
      <c r="B1869" s="28" t="str">
        <f t="array" ref="B1869">_xlfn.XLOOKUP($A1869, 'Customer Names'!$A:$A, 'Customer Names'!B:B, "No Data")</f>
        <v>Barry</v>
      </c>
      <c r="C1869" s="28">
        <f t="array" ref="C1869">_xlfn.XLOOKUP($A1869, 'Medical Examinations'!$A:$A, 'Medical Examinations'!B:B, "No Data")</f>
        <v>33.81</v>
      </c>
      <c r="D1869" s="28">
        <f t="array" ref="D1869">_xlfn.XLOOKUP($A1869, 'Medical Examinations'!$A:$A, 'Medical Examinations'!C:C, "No Data")</f>
        <v>6.49</v>
      </c>
      <c r="E1869" s="28" t="str">
        <f t="array" ref="E1869">_xlfn.XLOOKUP($A1869, 'Medical Examinations'!$A:$A, 'Medical Examinations'!D:D, "No Data")</f>
        <v>No</v>
      </c>
      <c r="F1869" s="28" t="str">
        <f t="array" ref="F1869">_xlfn.XLOOKUP($A1869, 'Medical Examinations'!$A:$A, 'Medical Examinations'!E:E, "No Data")</f>
        <v>No</v>
      </c>
      <c r="G1869" s="28" t="str">
        <f t="array" ref="G1869">_xlfn.XLOOKUP($A1869, 'Medical Examinations'!$A:$A, 'Medical Examinations'!F:F, "No Data")</f>
        <v>Yes</v>
      </c>
      <c r="H1869" s="28">
        <f t="array" ref="H1869">_xlfn.XLOOKUP($A1869, 'Medical Examinations'!$A:$A, 'Medical Examinations'!G:G, "No Data")</f>
        <v>1</v>
      </c>
      <c r="I1869" s="28" t="str">
        <f t="array" ref="I1869">_xlfn.XLOOKUP($A1869, 'Medical Examinations'!$A:$A, 'Medical Examinations'!H:H, "No Data")</f>
        <v>No</v>
      </c>
      <c r="J1869" s="28" t="str">
        <f t="array" ref="J1869">_xlfn.XLOOKUP($A1869, 'Medical Examinations'!$A:$A, 'Medical Examinations'!I:I, "No Data")</f>
        <v>Obesity</v>
      </c>
      <c r="K1869" s="28" t="str">
        <f t="array" ref="K1869">_xlfn.XLOOKUP($A1869, 'Hospitalisation Details'!$A:$A, 'Hospitalisation Details'!I:I, "No Data")</f>
        <v>tier - 1</v>
      </c>
      <c r="L1869" s="28" t="str">
        <f t="array" ref="L1869">_xlfn.XLOOKUP($A1869, 'Hospitalisation Details'!$A:$A, 'Hospitalisation Details'!J:J, "No Data")</f>
        <v>R1021</v>
      </c>
      <c r="M1869" s="28" t="str">
        <f t="array" ref="M1869">_xlfn.XLOOKUP($A1869, 'Hospitalisation Details'!$A:$A, 'Hospitalisation Details'!E:E, "No Data")</f>
        <v>08/06/03</v>
      </c>
      <c r="N1869" s="28">
        <f t="array" ref="N1869">_xlfn.XLOOKUP($A1869, 'Hospitalisation Details'!$A:$A, 'Hospitalisation Details'!K:K, "No Data")</f>
        <v>20</v>
      </c>
      <c r="O1869" s="33">
        <f t="array" ref="O1869">_xlfn.XLOOKUP($A1869, 'Hospitalisation Details'!$A:$A, 'Hospitalisation Details'!G:G, "No Data")</f>
        <v>4278.55</v>
      </c>
      <c r="P1869" s="28" t="str">
        <f t="array" ref="P1869">_xlfn.XLOOKUP($A1869, 'Hospitalisation Details'!$A:$A, 'Hospitalisation Details'!H:H, "No Data")</f>
        <v>tier - 2</v>
      </c>
    </row>
    <row r="1870">
      <c r="A1870" s="25" t="s">
        <v>3354</v>
      </c>
      <c r="B1870" s="28" t="str">
        <f t="array" ref="B1870">_xlfn.XLOOKUP($A1870, 'Customer Names'!$A:$A, 'Customer Names'!B:B, "No Data")</f>
        <v>McCormick</v>
      </c>
      <c r="C1870" s="28">
        <f t="array" ref="C1870">_xlfn.XLOOKUP($A1870, 'Medical Examinations'!$A:$A, 'Medical Examinations'!B:B, "No Data")</f>
        <v>44.22</v>
      </c>
      <c r="D1870" s="28">
        <f t="array" ref="D1870">_xlfn.XLOOKUP($A1870, 'Medical Examinations'!$A:$A, 'Medical Examinations'!C:C, "No Data")</f>
        <v>4.19</v>
      </c>
      <c r="E1870" s="28" t="str">
        <f t="array" ref="E1870">_xlfn.XLOOKUP($A1870, 'Medical Examinations'!$A:$A, 'Medical Examinations'!D:D, "No Data")</f>
        <v>No</v>
      </c>
      <c r="F1870" s="28" t="str">
        <f t="array" ref="F1870">_xlfn.XLOOKUP($A1870, 'Medical Examinations'!$A:$A, 'Medical Examinations'!E:E, "No Data")</f>
        <v>No</v>
      </c>
      <c r="G1870" s="28" t="str">
        <f t="array" ref="G1870">_xlfn.XLOOKUP($A1870, 'Medical Examinations'!$A:$A, 'Medical Examinations'!F:F, "No Data")</f>
        <v>No</v>
      </c>
      <c r="H1870" s="28">
        <f t="array" ref="H1870">_xlfn.XLOOKUP($A1870, 'Medical Examinations'!$A:$A, 'Medical Examinations'!G:G, "No Data")</f>
        <v>1</v>
      </c>
      <c r="I1870" s="28" t="str">
        <f t="array" ref="I1870">_xlfn.XLOOKUP($A1870, 'Medical Examinations'!$A:$A, 'Medical Examinations'!H:H, "No Data")</f>
        <v>No</v>
      </c>
      <c r="J1870" s="28" t="str">
        <f t="array" ref="J1870">_xlfn.XLOOKUP($A1870, 'Medical Examinations'!$A:$A, 'Medical Examinations'!I:I, "No Data")</f>
        <v>Obesity</v>
      </c>
      <c r="K1870" s="28" t="str">
        <f t="array" ref="K1870">_xlfn.XLOOKUP($A1870, 'Hospitalisation Details'!$A:$A, 'Hospitalisation Details'!I:I, "No Data")</f>
        <v>tier - 2</v>
      </c>
      <c r="L1870" s="28" t="str">
        <f t="array" ref="L1870">_xlfn.XLOOKUP($A1870, 'Hospitalisation Details'!$A:$A, 'Hospitalisation Details'!J:J, "No Data")</f>
        <v>R1013</v>
      </c>
      <c r="M1870" s="28" t="str">
        <f t="array" ref="M1870">_xlfn.XLOOKUP($A1870, 'Hospitalisation Details'!$A:$A, 'Hospitalisation Details'!E:E, "No Data")</f>
        <v>18/06/92</v>
      </c>
      <c r="N1870" s="28">
        <f t="array" ref="N1870">_xlfn.XLOOKUP($A1870, 'Hospitalisation Details'!$A:$A, 'Hospitalisation Details'!K:K, "No Data")</f>
        <v>30</v>
      </c>
      <c r="O1870" s="33">
        <f t="array" ref="O1870">_xlfn.XLOOKUP($A1870, 'Hospitalisation Details'!$A:$A, 'Hospitalisation Details'!G:G, "No Data")</f>
        <v>4266.17</v>
      </c>
      <c r="P1870" s="28" t="str">
        <f t="array" ref="P1870">_xlfn.XLOOKUP($A1870, 'Hospitalisation Details'!$A:$A, 'Hospitalisation Details'!H:H, "No Data")</f>
        <v>tier - 3</v>
      </c>
    </row>
    <row r="1871">
      <c r="A1871" s="25" t="s">
        <v>3348</v>
      </c>
      <c r="B1871" s="28" t="str">
        <f t="array" ref="B1871">_xlfn.XLOOKUP($A1871, 'Customer Names'!$A:$A, 'Customer Names'!B:B, "No Data")</f>
        <v>McElroy</v>
      </c>
      <c r="C1871" s="28">
        <f t="array" ref="C1871">_xlfn.XLOOKUP($A1871, 'Medical Examinations'!$A:$A, 'Medical Examinations'!B:B, "No Data")</f>
        <v>15.46</v>
      </c>
      <c r="D1871" s="28">
        <f t="array" ref="D1871">_xlfn.XLOOKUP($A1871, 'Medical Examinations'!$A:$A, 'Medical Examinations'!C:C, "No Data")</f>
        <v>4.99</v>
      </c>
      <c r="E1871" s="28" t="str">
        <f t="array" ref="E1871">_xlfn.XLOOKUP($A1871, 'Medical Examinations'!$A:$A, 'Medical Examinations'!D:D, "No Data")</f>
        <v>yes</v>
      </c>
      <c r="F1871" s="28" t="str">
        <f t="array" ref="F1871">_xlfn.XLOOKUP($A1871, 'Medical Examinations'!$A:$A, 'Medical Examinations'!E:E, "No Data")</f>
        <v>No</v>
      </c>
      <c r="G1871" s="28" t="str">
        <f t="array" ref="G1871">_xlfn.XLOOKUP($A1871, 'Medical Examinations'!$A:$A, 'Medical Examinations'!F:F, "No Data")</f>
        <v>Yes</v>
      </c>
      <c r="H1871" s="28">
        <f t="array" ref="H1871">_xlfn.XLOOKUP($A1871, 'Medical Examinations'!$A:$A, 'Medical Examinations'!G:G, "No Data")</f>
        <v>1</v>
      </c>
      <c r="I1871" s="28" t="str">
        <f t="array" ref="I1871">_xlfn.XLOOKUP($A1871, 'Medical Examinations'!$A:$A, 'Medical Examinations'!H:H, "No Data")</f>
        <v>No</v>
      </c>
      <c r="J1871" s="28" t="str">
        <f t="array" ref="J1871">_xlfn.XLOOKUP($A1871, 'Medical Examinations'!$A:$A, 'Medical Examinations'!I:I, "No Data")</f>
        <v>Underweight</v>
      </c>
      <c r="K1871" s="28" t="str">
        <f t="array" ref="K1871">_xlfn.XLOOKUP($A1871, 'Hospitalisation Details'!$A:$A, 'Hospitalisation Details'!I:I, "No Data")</f>
        <v>tier - 1</v>
      </c>
      <c r="L1871" s="28" t="str">
        <f t="array" ref="L1871">_xlfn.XLOOKUP($A1871, 'Hospitalisation Details'!$A:$A, 'Hospitalisation Details'!J:J, "No Data")</f>
        <v>R1012</v>
      </c>
      <c r="M1871" s="28" t="str">
        <f t="array" ref="M1871">_xlfn.XLOOKUP($A1871, 'Hospitalisation Details'!$A:$A, 'Hospitalisation Details'!E:E, "No Data")</f>
        <v>20/11/83</v>
      </c>
      <c r="N1871" s="28">
        <f t="array" ref="N1871">_xlfn.XLOOKUP($A1871, 'Hospitalisation Details'!$A:$A, 'Hospitalisation Details'!K:K, "No Data")</f>
        <v>39</v>
      </c>
      <c r="O1871" s="33">
        <f t="array" ref="O1871">_xlfn.XLOOKUP($A1871, 'Hospitalisation Details'!$A:$A, 'Hospitalisation Details'!G:G, "No Data")</f>
        <v>4265.01</v>
      </c>
      <c r="P1871" s="28" t="str">
        <f t="array" ref="P1871">_xlfn.XLOOKUP($A1871, 'Hospitalisation Details'!$A:$A, 'Hospitalisation Details'!H:H, "No Data")</f>
        <v>tier - 2</v>
      </c>
    </row>
    <row r="1872">
      <c r="A1872" s="25" t="s">
        <v>3342</v>
      </c>
      <c r="B1872" s="28" t="str">
        <f t="array" ref="B1872">_xlfn.XLOOKUP($A1872, 'Customer Names'!$A:$A, 'Customer Names'!B:B, "No Data")</f>
        <v>Coffed</v>
      </c>
      <c r="C1872" s="28">
        <f t="array" ref="C1872">_xlfn.XLOOKUP($A1872, 'Medical Examinations'!$A:$A, 'Medical Examinations'!B:B, "No Data")</f>
        <v>30.3</v>
      </c>
      <c r="D1872" s="28">
        <f t="array" ref="D1872">_xlfn.XLOOKUP($A1872, 'Medical Examinations'!$A:$A, 'Medical Examinations'!C:C, "No Data")</f>
        <v>4.77</v>
      </c>
      <c r="E1872" s="28" t="str">
        <f t="array" ref="E1872">_xlfn.XLOOKUP($A1872, 'Medical Examinations'!$A:$A, 'Medical Examinations'!D:D, "No Data")</f>
        <v>yes</v>
      </c>
      <c r="F1872" s="28" t="str">
        <f t="array" ref="F1872">_xlfn.XLOOKUP($A1872, 'Medical Examinations'!$A:$A, 'Medical Examinations'!E:E, "No Data")</f>
        <v>No</v>
      </c>
      <c r="G1872" s="28" t="str">
        <f t="array" ref="G1872">_xlfn.XLOOKUP($A1872, 'Medical Examinations'!$A:$A, 'Medical Examinations'!F:F, "No Data")</f>
        <v>No</v>
      </c>
      <c r="H1872" s="28">
        <f t="array" ref="H1872">_xlfn.XLOOKUP($A1872, 'Medical Examinations'!$A:$A, 'Medical Examinations'!G:G, "No Data")</f>
        <v>1</v>
      </c>
      <c r="I1872" s="28" t="str">
        <f t="array" ref="I1872">_xlfn.XLOOKUP($A1872, 'Medical Examinations'!$A:$A, 'Medical Examinations'!H:H, "No Data")</f>
        <v>No</v>
      </c>
      <c r="J1872" s="28" t="str">
        <f t="array" ref="J1872">_xlfn.XLOOKUP($A1872, 'Medical Examinations'!$A:$A, 'Medical Examinations'!I:I, "No Data")</f>
        <v>Obesity</v>
      </c>
      <c r="K1872" s="28" t="str">
        <f t="array" ref="K1872">_xlfn.XLOOKUP($A1872, 'Hospitalisation Details'!$A:$A, 'Hospitalisation Details'!I:I, "No Data")</f>
        <v>tier - 2</v>
      </c>
      <c r="L1872" s="28" t="str">
        <f t="array" ref="L1872">_xlfn.XLOOKUP($A1872, 'Hospitalisation Details'!$A:$A, 'Hospitalisation Details'!J:J, "No Data")</f>
        <v>R1011</v>
      </c>
      <c r="M1872" s="28" t="str">
        <f t="array" ref="M1872">_xlfn.XLOOKUP($A1872, 'Hospitalisation Details'!$A:$A, 'Hospitalisation Details'!E:E, "No Data")</f>
        <v>14/10/95</v>
      </c>
      <c r="N1872" s="28">
        <f t="array" ref="N1872">_xlfn.XLOOKUP($A1872, 'Hospitalisation Details'!$A:$A, 'Hospitalisation Details'!K:K, "No Data")</f>
        <v>27</v>
      </c>
      <c r="O1872" s="33">
        <f t="array" ref="O1872">_xlfn.XLOOKUP($A1872, 'Hospitalisation Details'!$A:$A, 'Hospitalisation Details'!G:G, "No Data")</f>
        <v>4260.74</v>
      </c>
      <c r="P1872" s="28" t="str">
        <f t="array" ref="P1872">_xlfn.XLOOKUP($A1872, 'Hospitalisation Details'!$A:$A, 'Hospitalisation Details'!H:H, "No Data")</f>
        <v>tier - 3</v>
      </c>
    </row>
    <row r="1873">
      <c r="A1873" s="25" t="s">
        <v>3336</v>
      </c>
      <c r="B1873" s="28" t="str">
        <f t="array" ref="B1873">_xlfn.XLOOKUP($A1873, 'Customer Names'!$A:$A, 'Customer Names'!B:B, "No Data")</f>
        <v>Estes</v>
      </c>
      <c r="C1873" s="28">
        <f t="array" ref="C1873">_xlfn.XLOOKUP($A1873, 'Medical Examinations'!$A:$A, 'Medical Examinations'!B:B, "No Data")</f>
        <v>16.67</v>
      </c>
      <c r="D1873" s="28">
        <f t="array" ref="D1873">_xlfn.XLOOKUP($A1873, 'Medical Examinations'!$A:$A, 'Medical Examinations'!C:C, "No Data")</f>
        <v>5.46</v>
      </c>
      <c r="E1873" s="28" t="str">
        <f t="array" ref="E1873">_xlfn.XLOOKUP($A1873, 'Medical Examinations'!$A:$A, 'Medical Examinations'!D:D, "No Data")</f>
        <v>No</v>
      </c>
      <c r="F1873" s="28" t="str">
        <f t="array" ref="F1873">_xlfn.XLOOKUP($A1873, 'Medical Examinations'!$A:$A, 'Medical Examinations'!E:E, "No Data")</f>
        <v>No</v>
      </c>
      <c r="G1873" s="28" t="str">
        <f t="array" ref="G1873">_xlfn.XLOOKUP($A1873, 'Medical Examinations'!$A:$A, 'Medical Examinations'!F:F, "No Data")</f>
        <v>No</v>
      </c>
      <c r="H1873" s="28">
        <f t="array" ref="H1873">_xlfn.XLOOKUP($A1873, 'Medical Examinations'!$A:$A, 'Medical Examinations'!G:G, "No Data")</f>
        <v>0</v>
      </c>
      <c r="I1873" s="28" t="str">
        <f t="array" ref="I1873">_xlfn.XLOOKUP($A1873, 'Medical Examinations'!$A:$A, 'Medical Examinations'!H:H, "No Data")</f>
        <v>No</v>
      </c>
      <c r="J1873" s="28" t="str">
        <f t="array" ref="J1873">_xlfn.XLOOKUP($A1873, 'Medical Examinations'!$A:$A, 'Medical Examinations'!I:I, "No Data")</f>
        <v>Underweight</v>
      </c>
      <c r="K1873" s="28" t="str">
        <f t="array" ref="K1873">_xlfn.XLOOKUP($A1873, 'Hospitalisation Details'!$A:$A, 'Hospitalisation Details'!I:I, "No Data")</f>
        <v>tier - 3</v>
      </c>
      <c r="L1873" s="28" t="str">
        <f t="array" ref="L1873">_xlfn.XLOOKUP($A1873, 'Hospitalisation Details'!$A:$A, 'Hospitalisation Details'!J:J, "No Data")</f>
        <v>R1013</v>
      </c>
      <c r="M1873" s="28" t="str">
        <f t="array" ref="M1873">_xlfn.XLOOKUP($A1873, 'Hospitalisation Details'!$A:$A, 'Hospitalisation Details'!E:E, "No Data")</f>
        <v>16/06/82</v>
      </c>
      <c r="N1873" s="28">
        <f t="array" ref="N1873">_xlfn.XLOOKUP($A1873, 'Hospitalisation Details'!$A:$A, 'Hospitalisation Details'!K:K, "No Data")</f>
        <v>40</v>
      </c>
      <c r="O1873" s="33">
        <f t="array" ref="O1873">_xlfn.XLOOKUP($A1873, 'Hospitalisation Details'!$A:$A, 'Hospitalisation Details'!G:G, "No Data")</f>
        <v>4250.24</v>
      </c>
      <c r="P1873" s="28" t="str">
        <f t="array" ref="P1873">_xlfn.XLOOKUP($A1873, 'Hospitalisation Details'!$A:$A, 'Hospitalisation Details'!H:H, "No Data")</f>
        <v>tier - 2</v>
      </c>
    </row>
    <row r="1874">
      <c r="A1874" s="25" t="s">
        <v>3331</v>
      </c>
      <c r="B1874" s="28" t="str">
        <f t="array" ref="B1874">_xlfn.XLOOKUP($A1874, 'Customer Names'!$A:$A, 'Customer Names'!B:B, "No Data")</f>
        <v>Miles</v>
      </c>
      <c r="C1874" s="28">
        <f t="array" ref="C1874">_xlfn.XLOOKUP($A1874, 'Medical Examinations'!$A:$A, 'Medical Examinations'!B:B, "No Data")</f>
        <v>28.595</v>
      </c>
      <c r="D1874" s="28">
        <f t="array" ref="D1874">_xlfn.XLOOKUP($A1874, 'Medical Examinations'!$A:$A, 'Medical Examinations'!C:C, "No Data")</f>
        <v>5.43</v>
      </c>
      <c r="E1874" s="28" t="str">
        <f t="array" ref="E1874">_xlfn.XLOOKUP($A1874, 'Medical Examinations'!$A:$A, 'Medical Examinations'!D:D, "No Data")</f>
        <v>No</v>
      </c>
      <c r="F1874" s="28" t="str">
        <f t="array" ref="F1874">_xlfn.XLOOKUP($A1874, 'Medical Examinations'!$A:$A, 'Medical Examinations'!E:E, "No Data")</f>
        <v>No</v>
      </c>
      <c r="G1874" s="28" t="str">
        <f t="array" ref="G1874">_xlfn.XLOOKUP($A1874, 'Medical Examinations'!$A:$A, 'Medical Examinations'!F:F, "No Data")</f>
        <v>No</v>
      </c>
      <c r="H1874" s="28">
        <f t="array" ref="H1874">_xlfn.XLOOKUP($A1874, 'Medical Examinations'!$A:$A, 'Medical Examinations'!G:G, "No Data")</f>
        <v>0</v>
      </c>
      <c r="I1874" s="28" t="str">
        <f t="array" ref="I1874">_xlfn.XLOOKUP($A1874, 'Medical Examinations'!$A:$A, 'Medical Examinations'!H:H, "No Data")</f>
        <v>No</v>
      </c>
      <c r="J1874" s="28" t="str">
        <f t="array" ref="J1874">_xlfn.XLOOKUP($A1874, 'Medical Examinations'!$A:$A, 'Medical Examinations'!I:I, "No Data")</f>
        <v>Overweight</v>
      </c>
      <c r="K1874" s="28" t="str">
        <f t="array" ref="K1874">_xlfn.XLOOKUP($A1874, 'Hospitalisation Details'!$A:$A, 'Hospitalisation Details'!I:I, "No Data")</f>
        <v>tier - 1</v>
      </c>
      <c r="L1874" s="28" t="str">
        <f t="array" ref="L1874">_xlfn.XLOOKUP($A1874, 'Hospitalisation Details'!$A:$A, 'Hospitalisation Details'!J:J, "No Data")</f>
        <v>R1012</v>
      </c>
      <c r="M1874" s="28" t="str">
        <f t="array" ref="M1874">_xlfn.XLOOKUP($A1874, 'Hospitalisation Details'!$A:$A, 'Hospitalisation Details'!E:E, "No Data")</f>
        <v>01/12/91</v>
      </c>
      <c r="N1874" s="28">
        <f t="array" ref="N1874">_xlfn.XLOOKUP($A1874, 'Hospitalisation Details'!$A:$A, 'Hospitalisation Details'!K:K, "No Data")</f>
        <v>31</v>
      </c>
      <c r="O1874" s="33">
        <f t="array" ref="O1874">_xlfn.XLOOKUP($A1874, 'Hospitalisation Details'!$A:$A, 'Hospitalisation Details'!G:G, "No Data")</f>
        <v>4243.59</v>
      </c>
      <c r="P1874" s="28" t="str">
        <f t="array" ref="P1874">_xlfn.XLOOKUP($A1874, 'Hospitalisation Details'!$A:$A, 'Hospitalisation Details'!H:H, "No Data")</f>
        <v>tier - 3</v>
      </c>
    </row>
    <row r="1875">
      <c r="A1875" s="25" t="s">
        <v>3325</v>
      </c>
      <c r="B1875" s="28" t="str">
        <f t="array" ref="B1875">_xlfn.XLOOKUP($A1875, 'Customer Names'!$A:$A, 'Customer Names'!B:B, "No Data")</f>
        <v>Zamore</v>
      </c>
      <c r="C1875" s="28">
        <f t="array" ref="C1875">_xlfn.XLOOKUP($A1875, 'Medical Examinations'!$A:$A, 'Medical Examinations'!B:B, "No Data")</f>
        <v>25.935</v>
      </c>
      <c r="D1875" s="28">
        <f t="array" ref="D1875">_xlfn.XLOOKUP($A1875, 'Medical Examinations'!$A:$A, 'Medical Examinations'!C:C, "No Data")</f>
        <v>4.29</v>
      </c>
      <c r="E1875" s="28" t="str">
        <f t="array" ref="E1875">_xlfn.XLOOKUP($A1875, 'Medical Examinations'!$A:$A, 'Medical Examinations'!D:D, "No Data")</f>
        <v>No</v>
      </c>
      <c r="F1875" s="28" t="str">
        <f t="array" ref="F1875">_xlfn.XLOOKUP($A1875, 'Medical Examinations'!$A:$A, 'Medical Examinations'!E:E, "No Data")</f>
        <v>No</v>
      </c>
      <c r="G1875" s="28" t="str">
        <f t="array" ref="G1875">_xlfn.XLOOKUP($A1875, 'Medical Examinations'!$A:$A, 'Medical Examinations'!F:F, "No Data")</f>
        <v>No</v>
      </c>
      <c r="H1875" s="28">
        <f t="array" ref="H1875">_xlfn.XLOOKUP($A1875, 'Medical Examinations'!$A:$A, 'Medical Examinations'!G:G, "No Data")</f>
        <v>0</v>
      </c>
      <c r="I1875" s="28" t="str">
        <f t="array" ref="I1875">_xlfn.XLOOKUP($A1875, 'Medical Examinations'!$A:$A, 'Medical Examinations'!H:H, "No Data")</f>
        <v>No</v>
      </c>
      <c r="J1875" s="28" t="str">
        <f t="array" ref="J1875">_xlfn.XLOOKUP($A1875, 'Medical Examinations'!$A:$A, 'Medical Examinations'!I:I, "No Data")</f>
        <v>Overweight</v>
      </c>
      <c r="K1875" s="28" t="str">
        <f t="array" ref="K1875">_xlfn.XLOOKUP($A1875, 'Hospitalisation Details'!$A:$A, 'Hospitalisation Details'!I:I, "No Data")</f>
        <v>tier - 2</v>
      </c>
      <c r="L1875" s="28" t="str">
        <f t="array" ref="L1875">_xlfn.XLOOKUP($A1875, 'Hospitalisation Details'!$A:$A, 'Hospitalisation Details'!J:J, "No Data")</f>
        <v>R1012</v>
      </c>
      <c r="M1875" s="28" t="str">
        <f t="array" ref="M1875">_xlfn.XLOOKUP($A1875, 'Hospitalisation Details'!$A:$A, 'Hospitalisation Details'!E:E, "No Data")</f>
        <v>03/11/91</v>
      </c>
      <c r="N1875" s="28">
        <f t="array" ref="N1875">_xlfn.XLOOKUP($A1875, 'Hospitalisation Details'!$A:$A, 'Hospitalisation Details'!K:K, "No Data")</f>
        <v>31</v>
      </c>
      <c r="O1875" s="33">
        <f t="array" ref="O1875">_xlfn.XLOOKUP($A1875, 'Hospitalisation Details'!$A:$A, 'Hospitalisation Details'!G:G, "No Data")</f>
        <v>4239.89</v>
      </c>
      <c r="P1875" s="28" t="str">
        <f t="array" ref="P1875">_xlfn.XLOOKUP($A1875, 'Hospitalisation Details'!$A:$A, 'Hospitalisation Details'!H:H, "No Data")</f>
        <v>tier - 2</v>
      </c>
    </row>
    <row r="1876">
      <c r="A1876" s="25" t="s">
        <v>3320</v>
      </c>
      <c r="B1876" s="28" t="str">
        <f t="array" ref="B1876">_xlfn.XLOOKUP($A1876, 'Customer Names'!$A:$A, 'Customer Names'!B:B, "No Data")</f>
        <v>Donaghy</v>
      </c>
      <c r="C1876" s="28">
        <f t="array" ref="C1876">_xlfn.XLOOKUP($A1876, 'Medical Examinations'!$A:$A, 'Medical Examinations'!B:B, "No Data")</f>
        <v>27.645</v>
      </c>
      <c r="D1876" s="28">
        <f t="array" ref="D1876">_xlfn.XLOOKUP($A1876, 'Medical Examinations'!$A:$A, 'Medical Examinations'!C:C, "No Data")</f>
        <v>5.25</v>
      </c>
      <c r="E1876" s="28" t="str">
        <f t="array" ref="E1876">_xlfn.XLOOKUP($A1876, 'Medical Examinations'!$A:$A, 'Medical Examinations'!D:D, "No Data")</f>
        <v>No</v>
      </c>
      <c r="F1876" s="28" t="str">
        <f t="array" ref="F1876">_xlfn.XLOOKUP($A1876, 'Medical Examinations'!$A:$A, 'Medical Examinations'!E:E, "No Data")</f>
        <v>No</v>
      </c>
      <c r="G1876" s="28" t="str">
        <f t="array" ref="G1876">_xlfn.XLOOKUP($A1876, 'Medical Examinations'!$A:$A, 'Medical Examinations'!F:F, "No Data")</f>
        <v>No</v>
      </c>
      <c r="H1876" s="28">
        <f t="array" ref="H1876">_xlfn.XLOOKUP($A1876, 'Medical Examinations'!$A:$A, 'Medical Examinations'!G:G, "No Data")</f>
        <v>1</v>
      </c>
      <c r="I1876" s="28" t="str">
        <f t="array" ref="I1876">_xlfn.XLOOKUP($A1876, 'Medical Examinations'!$A:$A, 'Medical Examinations'!H:H, "No Data")</f>
        <v>No</v>
      </c>
      <c r="J1876" s="28" t="str">
        <f t="array" ref="J1876">_xlfn.XLOOKUP($A1876, 'Medical Examinations'!$A:$A, 'Medical Examinations'!I:I, "No Data")</f>
        <v>Overweight</v>
      </c>
      <c r="K1876" s="28" t="str">
        <f t="array" ref="K1876">_xlfn.XLOOKUP($A1876, 'Hospitalisation Details'!$A:$A, 'Hospitalisation Details'!I:I, "No Data")</f>
        <v>tier - 1</v>
      </c>
      <c r="L1876" s="28" t="str">
        <f t="array" ref="L1876">_xlfn.XLOOKUP($A1876, 'Hospitalisation Details'!$A:$A, 'Hospitalisation Details'!J:J, "No Data")</f>
        <v>R1016</v>
      </c>
      <c r="M1876" s="28" t="str">
        <f t="array" ref="M1876">_xlfn.XLOOKUP($A1876, 'Hospitalisation Details'!$A:$A, 'Hospitalisation Details'!E:E, "No Data")</f>
        <v>27/06/92</v>
      </c>
      <c r="N1876" s="28">
        <f t="array" ref="N1876">_xlfn.XLOOKUP($A1876, 'Hospitalisation Details'!$A:$A, 'Hospitalisation Details'!K:K, "No Data")</f>
        <v>30</v>
      </c>
      <c r="O1876" s="33">
        <f t="array" ref="O1876">_xlfn.XLOOKUP($A1876, 'Hospitalisation Details'!$A:$A, 'Hospitalisation Details'!G:G, "No Data")</f>
        <v>4237.13</v>
      </c>
      <c r="P1876" s="28" t="str">
        <f t="array" ref="P1876">_xlfn.XLOOKUP($A1876, 'Hospitalisation Details'!$A:$A, 'Hospitalisation Details'!H:H, "No Data")</f>
        <v>tier - 3</v>
      </c>
    </row>
    <row r="1877">
      <c r="A1877" s="25" t="s">
        <v>3314</v>
      </c>
      <c r="B1877" s="28" t="str">
        <f t="array" ref="B1877">_xlfn.XLOOKUP($A1877, 'Customer Names'!$A:$A, 'Customer Names'!B:B, "No Data")</f>
        <v>Kennedy</v>
      </c>
      <c r="C1877" s="28">
        <f t="array" ref="C1877">_xlfn.XLOOKUP($A1877, 'Medical Examinations'!$A:$A, 'Medical Examinations'!B:B, "No Data")</f>
        <v>30.1</v>
      </c>
      <c r="D1877" s="28">
        <f t="array" ref="D1877">_xlfn.XLOOKUP($A1877, 'Medical Examinations'!$A:$A, 'Medical Examinations'!C:C, "No Data")</f>
        <v>4.04</v>
      </c>
      <c r="E1877" s="28" t="str">
        <f t="array" ref="E1877">_xlfn.XLOOKUP($A1877, 'Medical Examinations'!$A:$A, 'Medical Examinations'!D:D, "No Data")</f>
        <v>No</v>
      </c>
      <c r="F1877" s="28" t="str">
        <f t="array" ref="F1877">_xlfn.XLOOKUP($A1877, 'Medical Examinations'!$A:$A, 'Medical Examinations'!E:E, "No Data")</f>
        <v>No</v>
      </c>
      <c r="G1877" s="28" t="str">
        <f t="array" ref="G1877">_xlfn.XLOOKUP($A1877, 'Medical Examinations'!$A:$A, 'Medical Examinations'!F:F, "No Data")</f>
        <v>No</v>
      </c>
      <c r="H1877" s="28">
        <f t="array" ref="H1877">_xlfn.XLOOKUP($A1877, 'Medical Examinations'!$A:$A, 'Medical Examinations'!G:G, "No Data")</f>
        <v>1</v>
      </c>
      <c r="I1877" s="28" t="str">
        <f t="array" ref="I1877">_xlfn.XLOOKUP($A1877, 'Medical Examinations'!$A:$A, 'Medical Examinations'!H:H, "No Data")</f>
        <v>No</v>
      </c>
      <c r="J1877" s="28" t="str">
        <f t="array" ref="J1877">_xlfn.XLOOKUP($A1877, 'Medical Examinations'!$A:$A, 'Medical Examinations'!I:I, "No Data")</f>
        <v>Obesity</v>
      </c>
      <c r="K1877" s="28" t="str">
        <f t="array" ref="K1877">_xlfn.XLOOKUP($A1877, 'Hospitalisation Details'!$A:$A, 'Hospitalisation Details'!I:I, "No Data")</f>
        <v>tier - 1</v>
      </c>
      <c r="L1877" s="28" t="str">
        <f t="array" ref="L1877">_xlfn.XLOOKUP($A1877, 'Hospitalisation Details'!$A:$A, 'Hospitalisation Details'!J:J, "No Data")</f>
        <v>R1011</v>
      </c>
      <c r="M1877" s="28" t="str">
        <f t="array" ref="M1877">_xlfn.XLOOKUP($A1877, 'Hospitalisation Details'!$A:$A, 'Hospitalisation Details'!E:E, "No Data")</f>
        <v>14/12/98</v>
      </c>
      <c r="N1877" s="28">
        <f t="array" ref="N1877">_xlfn.XLOOKUP($A1877, 'Hospitalisation Details'!$A:$A, 'Hospitalisation Details'!K:K, "No Data")</f>
        <v>24</v>
      </c>
      <c r="O1877" s="33">
        <f t="array" ref="O1877">_xlfn.XLOOKUP($A1877, 'Hospitalisation Details'!$A:$A, 'Hospitalisation Details'!G:G, "No Data")</f>
        <v>4234.93</v>
      </c>
      <c r="P1877" s="28" t="str">
        <f t="array" ref="P1877">_xlfn.XLOOKUP($A1877, 'Hospitalisation Details'!$A:$A, 'Hospitalisation Details'!H:H, "No Data")</f>
        <v>tier - 2</v>
      </c>
    </row>
    <row r="1878">
      <c r="A1878" s="25" t="s">
        <v>3309</v>
      </c>
      <c r="B1878" s="28" t="str">
        <f t="array" ref="B1878">_xlfn.XLOOKUP($A1878, 'Customer Names'!$A:$A, 'Customer Names'!B:B, "No Data")</f>
        <v>Fiorini</v>
      </c>
      <c r="C1878" s="28">
        <f t="array" ref="C1878">_xlfn.XLOOKUP($A1878, 'Medical Examinations'!$A:$A, 'Medical Examinations'!B:B, "No Data")</f>
        <v>26.79</v>
      </c>
      <c r="D1878" s="28">
        <f t="array" ref="D1878">_xlfn.XLOOKUP($A1878, 'Medical Examinations'!$A:$A, 'Medical Examinations'!C:C, "No Data")</f>
        <v>5</v>
      </c>
      <c r="E1878" s="28" t="str">
        <f t="array" ref="E1878">_xlfn.XLOOKUP($A1878, 'Medical Examinations'!$A:$A, 'Medical Examinations'!D:D, "No Data")</f>
        <v>yes</v>
      </c>
      <c r="F1878" s="28" t="str">
        <f t="array" ref="F1878">_xlfn.XLOOKUP($A1878, 'Medical Examinations'!$A:$A, 'Medical Examinations'!E:E, "No Data")</f>
        <v>No</v>
      </c>
      <c r="G1878" s="28" t="str">
        <f t="array" ref="G1878">_xlfn.XLOOKUP($A1878, 'Medical Examinations'!$A:$A, 'Medical Examinations'!F:F, "No Data")</f>
        <v>Yes</v>
      </c>
      <c r="H1878" s="28">
        <f t="array" ref="H1878">_xlfn.XLOOKUP($A1878, 'Medical Examinations'!$A:$A, 'Medical Examinations'!G:G, "No Data")</f>
        <v>1</v>
      </c>
      <c r="I1878" s="28" t="str">
        <f t="array" ref="I1878">_xlfn.XLOOKUP($A1878, 'Medical Examinations'!$A:$A, 'Medical Examinations'!H:H, "No Data")</f>
        <v>No</v>
      </c>
      <c r="J1878" s="28" t="str">
        <f t="array" ref="J1878">_xlfn.XLOOKUP($A1878, 'Medical Examinations'!$A:$A, 'Medical Examinations'!I:I, "No Data")</f>
        <v>Overweight</v>
      </c>
      <c r="K1878" s="28" t="str">
        <f t="array" ref="K1878">_xlfn.XLOOKUP($A1878, 'Hospitalisation Details'!$A:$A, 'Hospitalisation Details'!I:I, "No Data")</f>
        <v>tier - 2</v>
      </c>
      <c r="L1878" s="28" t="str">
        <f t="array" ref="L1878">_xlfn.XLOOKUP($A1878, 'Hospitalisation Details'!$A:$A, 'Hospitalisation Details'!J:J, "No Data")</f>
        <v>R1012</v>
      </c>
      <c r="M1878" s="28" t="str">
        <f t="array" ref="M1878">_xlfn.XLOOKUP($A1878, 'Hospitalisation Details'!$A:$A, 'Hospitalisation Details'!E:E, "No Data")</f>
        <v>06/09/97</v>
      </c>
      <c r="N1878" s="28">
        <f t="array" ref="N1878">_xlfn.XLOOKUP($A1878, 'Hospitalisation Details'!$A:$A, 'Hospitalisation Details'!K:K, "No Data")</f>
        <v>25</v>
      </c>
      <c r="O1878" s="33">
        <f t="array" ref="O1878">_xlfn.XLOOKUP($A1878, 'Hospitalisation Details'!$A:$A, 'Hospitalisation Details'!G:G, "No Data")</f>
        <v>4189.11</v>
      </c>
      <c r="P1878" s="28" t="str">
        <f t="array" ref="P1878">_xlfn.XLOOKUP($A1878, 'Hospitalisation Details'!$A:$A, 'Hospitalisation Details'!H:H, "No Data")</f>
        <v>tier - 2</v>
      </c>
    </row>
    <row r="1879">
      <c r="A1879" s="25" t="s">
        <v>3303</v>
      </c>
      <c r="B1879" s="28" t="str">
        <f t="array" ref="B1879">_xlfn.XLOOKUP($A1879, 'Customer Names'!$A:$A, 'Customer Names'!B:B, "No Data")</f>
        <v>Alexander</v>
      </c>
      <c r="C1879" s="28">
        <f t="array" ref="C1879">_xlfn.XLOOKUP($A1879, 'Medical Examinations'!$A:$A, 'Medical Examinations'!B:B, "No Data")</f>
        <v>27.1</v>
      </c>
      <c r="D1879" s="28">
        <f t="array" ref="D1879">_xlfn.XLOOKUP($A1879, 'Medical Examinations'!$A:$A, 'Medical Examinations'!C:C, "No Data")</f>
        <v>4.01</v>
      </c>
      <c r="E1879" s="28" t="str">
        <f t="array" ref="E1879">_xlfn.XLOOKUP($A1879, 'Medical Examinations'!$A:$A, 'Medical Examinations'!D:D, "No Data")</f>
        <v>yes</v>
      </c>
      <c r="F1879" s="28" t="str">
        <f t="array" ref="F1879">_xlfn.XLOOKUP($A1879, 'Medical Examinations'!$A:$A, 'Medical Examinations'!E:E, "No Data")</f>
        <v>No</v>
      </c>
      <c r="G1879" s="28" t="str">
        <f t="array" ref="G1879">_xlfn.XLOOKUP($A1879, 'Medical Examinations'!$A:$A, 'Medical Examinations'!F:F, "No Data")</f>
        <v>No</v>
      </c>
      <c r="H1879" s="28">
        <f t="array" ref="H1879">_xlfn.XLOOKUP($A1879, 'Medical Examinations'!$A:$A, 'Medical Examinations'!G:G, "No Data")</f>
        <v>1</v>
      </c>
      <c r="I1879" s="28" t="str">
        <f t="array" ref="I1879">_xlfn.XLOOKUP($A1879, 'Medical Examinations'!$A:$A, 'Medical Examinations'!H:H, "No Data")</f>
        <v>No</v>
      </c>
      <c r="J1879" s="28" t="str">
        <f t="array" ref="J1879">_xlfn.XLOOKUP($A1879, 'Medical Examinations'!$A:$A, 'Medical Examinations'!I:I, "No Data")</f>
        <v>Overweight</v>
      </c>
      <c r="K1879" s="28" t="str">
        <f t="array" ref="K1879">_xlfn.XLOOKUP($A1879, 'Hospitalisation Details'!$A:$A, 'Hospitalisation Details'!I:I, "No Data")</f>
        <v>tier - 2</v>
      </c>
      <c r="L1879" s="28" t="str">
        <f t="array" ref="L1879">_xlfn.XLOOKUP($A1879, 'Hospitalisation Details'!$A:$A, 'Hospitalisation Details'!J:J, "No Data")</f>
        <v>R1025</v>
      </c>
      <c r="M1879" s="28" t="str">
        <f t="array" ref="M1879">_xlfn.XLOOKUP($A1879, 'Hospitalisation Details'!$A:$A, 'Hospitalisation Details'!E:E, "No Data")</f>
        <v>03/10/95</v>
      </c>
      <c r="N1879" s="28">
        <f t="array" ref="N1879">_xlfn.XLOOKUP($A1879, 'Hospitalisation Details'!$A:$A, 'Hospitalisation Details'!K:K, "No Data")</f>
        <v>27</v>
      </c>
      <c r="O1879" s="33">
        <f t="array" ref="O1879">_xlfn.XLOOKUP($A1879, 'Hospitalisation Details'!$A:$A, 'Hospitalisation Details'!G:G, "No Data")</f>
        <v>4188.73</v>
      </c>
      <c r="P1879" s="28" t="str">
        <f t="array" ref="P1879">_xlfn.XLOOKUP($A1879, 'Hospitalisation Details'!$A:$A, 'Hospitalisation Details'!H:H, "No Data")</f>
        <v>tier - 2</v>
      </c>
    </row>
    <row r="1880">
      <c r="A1880" s="25" t="s">
        <v>3299</v>
      </c>
      <c r="B1880" s="28" t="str">
        <f t="array" ref="B1880">_xlfn.XLOOKUP($A1880, 'Customer Names'!$A:$A, 'Customer Names'!B:B, "No Data")</f>
        <v>Watkins</v>
      </c>
      <c r="C1880" s="28">
        <f t="array" ref="C1880">_xlfn.XLOOKUP($A1880, 'Medical Examinations'!$A:$A, 'Medical Examinations'!B:B, "No Data")</f>
        <v>24.31</v>
      </c>
      <c r="D1880" s="28">
        <f t="array" ref="D1880">_xlfn.XLOOKUP($A1880, 'Medical Examinations'!$A:$A, 'Medical Examinations'!C:C, "No Data")</f>
        <v>5.4</v>
      </c>
      <c r="E1880" s="28" t="str">
        <f t="array" ref="E1880">_xlfn.XLOOKUP($A1880, 'Medical Examinations'!$A:$A, 'Medical Examinations'!D:D, "No Data")</f>
        <v>No</v>
      </c>
      <c r="F1880" s="28" t="str">
        <f t="array" ref="F1880">_xlfn.XLOOKUP($A1880, 'Medical Examinations'!$A:$A, 'Medical Examinations'!E:E, "No Data")</f>
        <v>No</v>
      </c>
      <c r="G1880" s="28" t="str">
        <f t="array" ref="G1880">_xlfn.XLOOKUP($A1880, 'Medical Examinations'!$A:$A, 'Medical Examinations'!F:F, "No Data")</f>
        <v>No</v>
      </c>
      <c r="H1880" s="28">
        <f t="array" ref="H1880">_xlfn.XLOOKUP($A1880, 'Medical Examinations'!$A:$A, 'Medical Examinations'!G:G, "No Data")</f>
        <v>0</v>
      </c>
      <c r="I1880" s="28" t="str">
        <f t="array" ref="I1880">_xlfn.XLOOKUP($A1880, 'Medical Examinations'!$A:$A, 'Medical Examinations'!H:H, "No Data")</f>
        <v>No</v>
      </c>
      <c r="J1880" s="28" t="str">
        <f t="array" ref="J1880">_xlfn.XLOOKUP($A1880, 'Medical Examinations'!$A:$A, 'Medical Examinations'!I:I, "No Data")</f>
        <v>Normal Weight</v>
      </c>
      <c r="K1880" s="28" t="str">
        <f t="array" ref="K1880">_xlfn.XLOOKUP($A1880, 'Hospitalisation Details'!$A:$A, 'Hospitalisation Details'!I:I, "No Data")</f>
        <v>tier - 3</v>
      </c>
      <c r="L1880" s="28" t="str">
        <f t="array" ref="L1880">_xlfn.XLOOKUP($A1880, 'Hospitalisation Details'!$A:$A, 'Hospitalisation Details'!J:J, "No Data")</f>
        <v>R1013</v>
      </c>
      <c r="M1880" s="28" t="str">
        <f t="array" ref="M1880">_xlfn.XLOOKUP($A1880, 'Hospitalisation Details'!$A:$A, 'Hospitalisation Details'!E:E, "No Data")</f>
        <v>25/06/89</v>
      </c>
      <c r="N1880" s="28">
        <f t="array" ref="N1880">_xlfn.XLOOKUP($A1880, 'Hospitalisation Details'!$A:$A, 'Hospitalisation Details'!K:K, "No Data")</f>
        <v>33</v>
      </c>
      <c r="O1880" s="33">
        <f t="array" ref="O1880">_xlfn.XLOOKUP($A1880, 'Hospitalisation Details'!$A:$A, 'Hospitalisation Details'!G:G, "No Data")</f>
        <v>4185.1</v>
      </c>
      <c r="P1880" s="28" t="str">
        <f t="array" ref="P1880">_xlfn.XLOOKUP($A1880, 'Hospitalisation Details'!$A:$A, 'Hospitalisation Details'!H:H, "No Data")</f>
        <v>tier - 2</v>
      </c>
    </row>
    <row r="1881">
      <c r="A1881" s="25" t="s">
        <v>3293</v>
      </c>
      <c r="B1881" s="28" t="str">
        <f t="array" ref="B1881">_xlfn.XLOOKUP($A1881, 'Customer Names'!$A:$A, 'Customer Names'!B:B, "No Data")</f>
        <v>Cassel</v>
      </c>
      <c r="C1881" s="28">
        <f t="array" ref="C1881">_xlfn.XLOOKUP($A1881, 'Medical Examinations'!$A:$A, 'Medical Examinations'!B:B, "No Data")</f>
        <v>15.53</v>
      </c>
      <c r="D1881" s="28">
        <f t="array" ref="D1881">_xlfn.XLOOKUP($A1881, 'Medical Examinations'!$A:$A, 'Medical Examinations'!C:C, "No Data")</f>
        <v>5.81</v>
      </c>
      <c r="E1881" s="28" t="str">
        <f t="array" ref="E1881">_xlfn.XLOOKUP($A1881, 'Medical Examinations'!$A:$A, 'Medical Examinations'!D:D, "No Data")</f>
        <v>No</v>
      </c>
      <c r="F1881" s="28" t="str">
        <f t="array" ref="F1881">_xlfn.XLOOKUP($A1881, 'Medical Examinations'!$A:$A, 'Medical Examinations'!E:E, "No Data")</f>
        <v>No</v>
      </c>
      <c r="G1881" s="28" t="str">
        <f t="array" ref="G1881">_xlfn.XLOOKUP($A1881, 'Medical Examinations'!$A:$A, 'Medical Examinations'!F:F, "No Data")</f>
        <v>No</v>
      </c>
      <c r="H1881" s="28">
        <f t="array" ref="H1881">_xlfn.XLOOKUP($A1881, 'Medical Examinations'!$A:$A, 'Medical Examinations'!G:G, "No Data")</f>
        <v>1</v>
      </c>
      <c r="I1881" s="28" t="str">
        <f t="array" ref="I1881">_xlfn.XLOOKUP($A1881, 'Medical Examinations'!$A:$A, 'Medical Examinations'!H:H, "No Data")</f>
        <v>No</v>
      </c>
      <c r="J1881" s="28" t="str">
        <f t="array" ref="J1881">_xlfn.XLOOKUP($A1881, 'Medical Examinations'!$A:$A, 'Medical Examinations'!I:I, "No Data")</f>
        <v>Underweight</v>
      </c>
      <c r="K1881" s="28" t="str">
        <f t="array" ref="K1881">_xlfn.XLOOKUP($A1881, 'Hospitalisation Details'!$A:$A, 'Hospitalisation Details'!I:I, "No Data")</f>
        <v>tier - 2</v>
      </c>
      <c r="L1881" s="28" t="str">
        <f t="array" ref="L1881">_xlfn.XLOOKUP($A1881, 'Hospitalisation Details'!$A:$A, 'Hospitalisation Details'!J:J, "No Data")</f>
        <v>R1012</v>
      </c>
      <c r="M1881" s="28" t="str">
        <f t="array" ref="M1881">_xlfn.XLOOKUP($A1881, 'Hospitalisation Details'!$A:$A, 'Hospitalisation Details'!E:E, "No Data")</f>
        <v>16/09/84</v>
      </c>
      <c r="N1881" s="28">
        <f t="array" ref="N1881">_xlfn.XLOOKUP($A1881, 'Hospitalisation Details'!$A:$A, 'Hospitalisation Details'!K:K, "No Data")</f>
        <v>38</v>
      </c>
      <c r="O1881" s="33">
        <f t="array" ref="O1881">_xlfn.XLOOKUP($A1881, 'Hospitalisation Details'!$A:$A, 'Hospitalisation Details'!G:G, "No Data")</f>
        <v>4163.21</v>
      </c>
      <c r="P1881" s="28" t="str">
        <f t="array" ref="P1881">_xlfn.XLOOKUP($A1881, 'Hospitalisation Details'!$A:$A, 'Hospitalisation Details'!H:H, "No Data")</f>
        <v>tier - 2</v>
      </c>
    </row>
    <row r="1882">
      <c r="A1882" s="25" t="s">
        <v>3289</v>
      </c>
      <c r="B1882" s="28" t="str">
        <f t="array" ref="B1882">_xlfn.XLOOKUP($A1882, 'Customer Names'!$A:$A, 'Customer Names'!B:B, "No Data")</f>
        <v>Ferguson</v>
      </c>
      <c r="C1882" s="28">
        <f t="array" ref="C1882">_xlfn.XLOOKUP($A1882, 'Medical Examinations'!$A:$A, 'Medical Examinations'!B:B, "No Data")</f>
        <v>30.7</v>
      </c>
      <c r="D1882" s="28">
        <f t="array" ref="D1882">_xlfn.XLOOKUP($A1882, 'Medical Examinations'!$A:$A, 'Medical Examinations'!C:C, "No Data")</f>
        <v>5.82</v>
      </c>
      <c r="E1882" s="28" t="str">
        <f t="array" ref="E1882">_xlfn.XLOOKUP($A1882, 'Medical Examinations'!$A:$A, 'Medical Examinations'!D:D, "No Data")</f>
        <v>No</v>
      </c>
      <c r="F1882" s="28" t="str">
        <f t="array" ref="F1882">_xlfn.XLOOKUP($A1882, 'Medical Examinations'!$A:$A, 'Medical Examinations'!E:E, "No Data")</f>
        <v>No</v>
      </c>
      <c r="G1882" s="28" t="str">
        <f t="array" ref="G1882">_xlfn.XLOOKUP($A1882, 'Medical Examinations'!$A:$A, 'Medical Examinations'!F:F, "No Data")</f>
        <v>No</v>
      </c>
      <c r="H1882" s="28">
        <f t="array" ref="H1882">_xlfn.XLOOKUP($A1882, 'Medical Examinations'!$A:$A, 'Medical Examinations'!G:G, "No Data")</f>
        <v>1</v>
      </c>
      <c r="I1882" s="28" t="str">
        <f t="array" ref="I1882">_xlfn.XLOOKUP($A1882, 'Medical Examinations'!$A:$A, 'Medical Examinations'!H:H, "No Data")</f>
        <v>No</v>
      </c>
      <c r="J1882" s="28" t="str">
        <f t="array" ref="J1882">_xlfn.XLOOKUP($A1882, 'Medical Examinations'!$A:$A, 'Medical Examinations'!I:I, "No Data")</f>
        <v>Obesity</v>
      </c>
      <c r="K1882" s="28" t="str">
        <f t="array" ref="K1882">_xlfn.XLOOKUP($A1882, 'Hospitalisation Details'!$A:$A, 'Hospitalisation Details'!I:I, "No Data")</f>
        <v>tier - 1</v>
      </c>
      <c r="L1882" s="28" t="str">
        <f t="array" ref="L1882">_xlfn.XLOOKUP($A1882, 'Hospitalisation Details'!$A:$A, 'Hospitalisation Details'!J:J, "No Data")</f>
        <v>R1012</v>
      </c>
      <c r="M1882" s="28" t="str">
        <f t="array" ref="M1882">_xlfn.XLOOKUP($A1882, 'Hospitalisation Details'!$A:$A, 'Hospitalisation Details'!E:E, "No Data")</f>
        <v>26/11/98</v>
      </c>
      <c r="N1882" s="28">
        <f t="array" ref="N1882">_xlfn.XLOOKUP($A1882, 'Hospitalisation Details'!$A:$A, 'Hospitalisation Details'!K:K, "No Data")</f>
        <v>24</v>
      </c>
      <c r="O1882" s="33">
        <f t="array" ref="O1882">_xlfn.XLOOKUP($A1882, 'Hospitalisation Details'!$A:$A, 'Hospitalisation Details'!G:G, "No Data")</f>
        <v>4154.97</v>
      </c>
      <c r="P1882" s="28" t="str">
        <f t="array" ref="P1882">_xlfn.XLOOKUP($A1882, 'Hospitalisation Details'!$A:$A, 'Hospitalisation Details'!H:H, "No Data")</f>
        <v>tier - 2</v>
      </c>
    </row>
    <row r="1883">
      <c r="A1883" s="25" t="s">
        <v>3284</v>
      </c>
      <c r="B1883" s="28" t="str">
        <f t="array" ref="B1883">_xlfn.XLOOKUP($A1883, 'Customer Names'!$A:$A, 'Customer Names'!B:B, "No Data")</f>
        <v>O'Sullivan</v>
      </c>
      <c r="C1883" s="28">
        <f t="array" ref="C1883">_xlfn.XLOOKUP($A1883, 'Medical Examinations'!$A:$A, 'Medical Examinations'!B:B, "No Data")</f>
        <v>33.33</v>
      </c>
      <c r="D1883" s="28">
        <f t="array" ref="D1883">_xlfn.XLOOKUP($A1883, 'Medical Examinations'!$A:$A, 'Medical Examinations'!C:C, "No Data")</f>
        <v>4.82</v>
      </c>
      <c r="E1883" s="28" t="str">
        <f t="array" ref="E1883">_xlfn.XLOOKUP($A1883, 'Medical Examinations'!$A:$A, 'Medical Examinations'!D:D, "No Data")</f>
        <v>No</v>
      </c>
      <c r="F1883" s="28" t="str">
        <f t="array" ref="F1883">_xlfn.XLOOKUP($A1883, 'Medical Examinations'!$A:$A, 'Medical Examinations'!E:E, "No Data")</f>
        <v>No</v>
      </c>
      <c r="G1883" s="28" t="str">
        <f t="array" ref="G1883">_xlfn.XLOOKUP($A1883, 'Medical Examinations'!$A:$A, 'Medical Examinations'!F:F, "No Data")</f>
        <v>No</v>
      </c>
      <c r="H1883" s="28">
        <f t="array" ref="H1883">_xlfn.XLOOKUP($A1883, 'Medical Examinations'!$A:$A, 'Medical Examinations'!G:G, "No Data")</f>
        <v>1</v>
      </c>
      <c r="I1883" s="28" t="str">
        <f t="array" ref="I1883">_xlfn.XLOOKUP($A1883, 'Medical Examinations'!$A:$A, 'Medical Examinations'!H:H, "No Data")</f>
        <v>No</v>
      </c>
      <c r="J1883" s="28" t="str">
        <f t="array" ref="J1883">_xlfn.XLOOKUP($A1883, 'Medical Examinations'!$A:$A, 'Medical Examinations'!I:I, "No Data")</f>
        <v>Obesity</v>
      </c>
      <c r="K1883" s="28" t="str">
        <f t="array" ref="K1883">_xlfn.XLOOKUP($A1883, 'Hospitalisation Details'!$A:$A, 'Hospitalisation Details'!I:I, "No Data")</f>
        <v>tier - 2</v>
      </c>
      <c r="L1883" s="28" t="str">
        <f t="array" ref="L1883">_xlfn.XLOOKUP($A1883, 'Hospitalisation Details'!$A:$A, 'Hospitalisation Details'!J:J, "No Data")</f>
        <v>R1013</v>
      </c>
      <c r="M1883" s="28" t="str">
        <f t="array" ref="M1883">_xlfn.XLOOKUP($A1883, 'Hospitalisation Details'!$A:$A, 'Hospitalisation Details'!E:E, "No Data")</f>
        <v>04/08/92</v>
      </c>
      <c r="N1883" s="28">
        <f t="array" ref="N1883">_xlfn.XLOOKUP($A1883, 'Hospitalisation Details'!$A:$A, 'Hospitalisation Details'!K:K, "No Data")</f>
        <v>30</v>
      </c>
      <c r="O1883" s="33">
        <f t="array" ref="O1883">_xlfn.XLOOKUP($A1883, 'Hospitalisation Details'!$A:$A, 'Hospitalisation Details'!G:G, "No Data")</f>
        <v>4151.03</v>
      </c>
      <c r="P1883" s="28" t="str">
        <f t="array" ref="P1883">_xlfn.XLOOKUP($A1883, 'Hospitalisation Details'!$A:$A, 'Hospitalisation Details'!H:H, "No Data")</f>
        <v>tier - 2</v>
      </c>
    </row>
    <row r="1884">
      <c r="A1884" s="25" t="s">
        <v>3277</v>
      </c>
      <c r="B1884" s="28" t="str">
        <f t="array" ref="B1884">_xlfn.XLOOKUP($A1884, 'Customer Names'!$A:$A, 'Customer Names'!B:B, "No Data")</f>
        <v>Chepkirui</v>
      </c>
      <c r="C1884" s="28">
        <f t="array" ref="C1884">_xlfn.XLOOKUP($A1884, 'Medical Examinations'!$A:$A, 'Medical Examinations'!B:B, "No Data")</f>
        <v>32.4</v>
      </c>
      <c r="D1884" s="28">
        <f t="array" ref="D1884">_xlfn.XLOOKUP($A1884, 'Medical Examinations'!$A:$A, 'Medical Examinations'!C:C, "No Data")</f>
        <v>5.08</v>
      </c>
      <c r="E1884" s="28" t="str">
        <f t="array" ref="E1884">_xlfn.XLOOKUP($A1884, 'Medical Examinations'!$A:$A, 'Medical Examinations'!D:D, "No Data")</f>
        <v>No</v>
      </c>
      <c r="F1884" s="28" t="str">
        <f t="array" ref="F1884">_xlfn.XLOOKUP($A1884, 'Medical Examinations'!$A:$A, 'Medical Examinations'!E:E, "No Data")</f>
        <v>No</v>
      </c>
      <c r="G1884" s="28" t="str">
        <f t="array" ref="G1884">_xlfn.XLOOKUP($A1884, 'Medical Examinations'!$A:$A, 'Medical Examinations'!F:F, "No Data")</f>
        <v>No</v>
      </c>
      <c r="H1884" s="28">
        <f t="array" ref="H1884">_xlfn.XLOOKUP($A1884, 'Medical Examinations'!$A:$A, 'Medical Examinations'!G:G, "No Data")</f>
        <v>1</v>
      </c>
      <c r="I1884" s="28" t="str">
        <f t="array" ref="I1884">_xlfn.XLOOKUP($A1884, 'Medical Examinations'!$A:$A, 'Medical Examinations'!H:H, "No Data")</f>
        <v>No</v>
      </c>
      <c r="J1884" s="28" t="str">
        <f t="array" ref="J1884">_xlfn.XLOOKUP($A1884, 'Medical Examinations'!$A:$A, 'Medical Examinations'!I:I, "No Data")</f>
        <v>Obesity</v>
      </c>
      <c r="K1884" s="28" t="str">
        <f t="array" ref="K1884">_xlfn.XLOOKUP($A1884, 'Hospitalisation Details'!$A:$A, 'Hospitalisation Details'!I:I, "No Data")</f>
        <v>tier - 1</v>
      </c>
      <c r="L1884" s="28" t="str">
        <f t="array" ref="L1884">_xlfn.XLOOKUP($A1884, 'Hospitalisation Details'!$A:$A, 'Hospitalisation Details'!J:J, "No Data")</f>
        <v>R1011</v>
      </c>
      <c r="M1884" s="28" t="str">
        <f t="array" ref="M1884">_xlfn.XLOOKUP($A1884, 'Hospitalisation Details'!$A:$A, 'Hospitalisation Details'!E:E, "No Data")</f>
        <v>28/06/92</v>
      </c>
      <c r="N1884" s="28">
        <f t="array" ref="N1884">_xlfn.XLOOKUP($A1884, 'Hospitalisation Details'!$A:$A, 'Hospitalisation Details'!K:K, "No Data")</f>
        <v>30</v>
      </c>
      <c r="O1884" s="33">
        <f t="array" ref="O1884">_xlfn.XLOOKUP($A1884, 'Hospitalisation Details'!$A:$A, 'Hospitalisation Details'!G:G, "No Data")</f>
        <v>4149.74</v>
      </c>
      <c r="P1884" s="28" t="str">
        <f t="array" ref="P1884">_xlfn.XLOOKUP($A1884, 'Hospitalisation Details'!$A:$A, 'Hospitalisation Details'!H:H, "No Data")</f>
        <v>tier - 2</v>
      </c>
    </row>
    <row r="1885">
      <c r="A1885" s="25" t="s">
        <v>3273</v>
      </c>
      <c r="B1885" s="28" t="str">
        <f t="array" ref="B1885">_xlfn.XLOOKUP($A1885, 'Customer Names'!$A:$A, 'Customer Names'!B:B, "No Data")</f>
        <v>Gurney</v>
      </c>
      <c r="C1885" s="28">
        <f t="array" ref="C1885">_xlfn.XLOOKUP($A1885, 'Medical Examinations'!$A:$A, 'Medical Examinations'!B:B, "No Data")</f>
        <v>27.93</v>
      </c>
      <c r="D1885" s="28">
        <f t="array" ref="D1885">_xlfn.XLOOKUP($A1885, 'Medical Examinations'!$A:$A, 'Medical Examinations'!C:C, "No Data")</f>
        <v>5.59</v>
      </c>
      <c r="E1885" s="28" t="str">
        <f t="array" ref="E1885">_xlfn.XLOOKUP($A1885, 'Medical Examinations'!$A:$A, 'Medical Examinations'!D:D, "No Data")</f>
        <v>No</v>
      </c>
      <c r="F1885" s="28" t="str">
        <f t="array" ref="F1885">_xlfn.XLOOKUP($A1885, 'Medical Examinations'!$A:$A, 'Medical Examinations'!E:E, "No Data")</f>
        <v>No</v>
      </c>
      <c r="G1885" s="28" t="str">
        <f t="array" ref="G1885">_xlfn.XLOOKUP($A1885, 'Medical Examinations'!$A:$A, 'Medical Examinations'!F:F, "No Data")</f>
        <v>No</v>
      </c>
      <c r="H1885" s="28">
        <f t="array" ref="H1885">_xlfn.XLOOKUP($A1885, 'Medical Examinations'!$A:$A, 'Medical Examinations'!G:G, "No Data")</f>
        <v>1</v>
      </c>
      <c r="I1885" s="28" t="str">
        <f t="array" ref="I1885">_xlfn.XLOOKUP($A1885, 'Medical Examinations'!$A:$A, 'Medical Examinations'!H:H, "No Data")</f>
        <v>No</v>
      </c>
      <c r="J1885" s="28" t="str">
        <f t="array" ref="J1885">_xlfn.XLOOKUP($A1885, 'Medical Examinations'!$A:$A, 'Medical Examinations'!I:I, "No Data")</f>
        <v>Overweight</v>
      </c>
      <c r="K1885" s="28" t="str">
        <f t="array" ref="K1885">_xlfn.XLOOKUP($A1885, 'Hospitalisation Details'!$A:$A, 'Hospitalisation Details'!I:I, "No Data")</f>
        <v>tier - 3</v>
      </c>
      <c r="L1885" s="28" t="str">
        <f t="array" ref="L1885">_xlfn.XLOOKUP($A1885, 'Hospitalisation Details'!$A:$A, 'Hospitalisation Details'!J:J, "No Data")</f>
        <v>R1024</v>
      </c>
      <c r="M1885" s="28" t="str">
        <f t="array" ref="M1885">_xlfn.XLOOKUP($A1885, 'Hospitalisation Details'!$A:$A, 'Hospitalisation Details'!E:E, "No Data")</f>
        <v>18/06/92</v>
      </c>
      <c r="N1885" s="28">
        <f t="array" ref="N1885">_xlfn.XLOOKUP($A1885, 'Hospitalisation Details'!$A:$A, 'Hospitalisation Details'!K:K, "No Data")</f>
        <v>30</v>
      </c>
      <c r="O1885" s="33">
        <f t="array" ref="O1885">_xlfn.XLOOKUP($A1885, 'Hospitalisation Details'!$A:$A, 'Hospitalisation Details'!G:G, "No Data")</f>
        <v>4137.52</v>
      </c>
      <c r="P1885" s="28" t="str">
        <f t="array" ref="P1885">_xlfn.XLOOKUP($A1885, 'Hospitalisation Details'!$A:$A, 'Hospitalisation Details'!H:H, "No Data")</f>
        <v>tier - 2</v>
      </c>
    </row>
    <row r="1886">
      <c r="A1886" s="25" t="s">
        <v>3266</v>
      </c>
      <c r="B1886" s="28" t="str">
        <f t="array" ref="B1886">_xlfn.XLOOKUP($A1886, 'Customer Names'!$A:$A, 'Customer Names'!B:B, "No Data")</f>
        <v>Francis</v>
      </c>
      <c r="C1886" s="28">
        <f t="array" ref="C1886">_xlfn.XLOOKUP($A1886, 'Medical Examinations'!$A:$A, 'Medical Examinations'!B:B, "No Data")</f>
        <v>21.755</v>
      </c>
      <c r="D1886" s="28">
        <f t="array" ref="D1886">_xlfn.XLOOKUP($A1886, 'Medical Examinations'!$A:$A, 'Medical Examinations'!C:C, "No Data")</f>
        <v>5.12</v>
      </c>
      <c r="E1886" s="28" t="str">
        <f t="array" ref="E1886">_xlfn.XLOOKUP($A1886, 'Medical Examinations'!$A:$A, 'Medical Examinations'!D:D, "No Data")</f>
        <v>No</v>
      </c>
      <c r="F1886" s="28" t="str">
        <f t="array" ref="F1886">_xlfn.XLOOKUP($A1886, 'Medical Examinations'!$A:$A, 'Medical Examinations'!E:E, "No Data")</f>
        <v>No</v>
      </c>
      <c r="G1886" s="28" t="str">
        <f t="array" ref="G1886">_xlfn.XLOOKUP($A1886, 'Medical Examinations'!$A:$A, 'Medical Examinations'!F:F, "No Data")</f>
        <v>No</v>
      </c>
      <c r="H1886" s="28">
        <f t="array" ref="H1886">_xlfn.XLOOKUP($A1886, 'Medical Examinations'!$A:$A, 'Medical Examinations'!G:G, "No Data")</f>
        <v>0</v>
      </c>
      <c r="I1886" s="28" t="str">
        <f t="array" ref="I1886">_xlfn.XLOOKUP($A1886, 'Medical Examinations'!$A:$A, 'Medical Examinations'!H:H, "No Data")</f>
        <v>No</v>
      </c>
      <c r="J1886" s="28" t="str">
        <f t="array" ref="J1886">_xlfn.XLOOKUP($A1886, 'Medical Examinations'!$A:$A, 'Medical Examinations'!I:I, "No Data")</f>
        <v>Normal Weight</v>
      </c>
      <c r="K1886" s="28" t="str">
        <f t="array" ref="K1886">_xlfn.XLOOKUP($A1886, 'Hospitalisation Details'!$A:$A, 'Hospitalisation Details'!I:I, "No Data")</f>
        <v>tier - 1</v>
      </c>
      <c r="L1886" s="28" t="str">
        <f t="array" ref="L1886">_xlfn.XLOOKUP($A1886, 'Hospitalisation Details'!$A:$A, 'Hospitalisation Details'!J:J, "No Data")</f>
        <v>R1012</v>
      </c>
      <c r="M1886" s="28" t="str">
        <f t="array" ref="M1886">_xlfn.XLOOKUP($A1886, 'Hospitalisation Details'!$A:$A, 'Hospitalisation Details'!E:E, "No Data")</f>
        <v>06/08/91</v>
      </c>
      <c r="N1886" s="28">
        <f t="array" ref="N1886">_xlfn.XLOOKUP($A1886, 'Hospitalisation Details'!$A:$A, 'Hospitalisation Details'!K:K, "No Data")</f>
        <v>31</v>
      </c>
      <c r="O1886" s="33">
        <f t="array" ref="O1886">_xlfn.XLOOKUP($A1886, 'Hospitalisation Details'!$A:$A, 'Hospitalisation Details'!G:G, "No Data")</f>
        <v>4134.08</v>
      </c>
      <c r="P1886" s="28" t="str">
        <f t="array" ref="P1886">_xlfn.XLOOKUP($A1886, 'Hospitalisation Details'!$A:$A, 'Hospitalisation Details'!H:H, "No Data")</f>
        <v>tier - 2</v>
      </c>
    </row>
    <row r="1887">
      <c r="A1887" s="25" t="s">
        <v>3257</v>
      </c>
      <c r="B1887" s="28" t="str">
        <f t="array" ref="B1887">_xlfn.XLOOKUP($A1887, 'Customer Names'!$A:$A, 'Customer Names'!B:B, "No Data")</f>
        <v>Gruca</v>
      </c>
      <c r="C1887" s="28">
        <f t="array" ref="C1887">_xlfn.XLOOKUP($A1887, 'Medical Examinations'!$A:$A, 'Medical Examinations'!B:B, "No Data")</f>
        <v>25.935</v>
      </c>
      <c r="D1887" s="28">
        <f t="array" ref="D1887">_xlfn.XLOOKUP($A1887, 'Medical Examinations'!$A:$A, 'Medical Examinations'!C:C, "No Data")</f>
        <v>4.95</v>
      </c>
      <c r="E1887" s="28" t="str">
        <f t="array" ref="E1887">_xlfn.XLOOKUP($A1887, 'Medical Examinations'!$A:$A, 'Medical Examinations'!D:D, "No Data")</f>
        <v>No</v>
      </c>
      <c r="F1887" s="28" t="str">
        <f t="array" ref="F1887">_xlfn.XLOOKUP($A1887, 'Medical Examinations'!$A:$A, 'Medical Examinations'!E:E, "No Data")</f>
        <v>No</v>
      </c>
      <c r="G1887" s="28" t="str">
        <f t="array" ref="G1887">_xlfn.XLOOKUP($A1887, 'Medical Examinations'!$A:$A, 'Medical Examinations'!F:F, "No Data")</f>
        <v>No</v>
      </c>
      <c r="H1887" s="28">
        <f t="array" ref="H1887">_xlfn.XLOOKUP($A1887, 'Medical Examinations'!$A:$A, 'Medical Examinations'!G:G, "No Data")</f>
        <v>0</v>
      </c>
      <c r="I1887" s="28" t="str">
        <f t="array" ref="I1887">_xlfn.XLOOKUP($A1887, 'Medical Examinations'!$A:$A, 'Medical Examinations'!H:H, "No Data")</f>
        <v>No</v>
      </c>
      <c r="J1887" s="28" t="str">
        <f t="array" ref="J1887">_xlfn.XLOOKUP($A1887, 'Medical Examinations'!$A:$A, 'Medical Examinations'!I:I, "No Data")</f>
        <v>Overweight</v>
      </c>
      <c r="K1887" s="28" t="str">
        <f t="array" ref="K1887">_xlfn.XLOOKUP($A1887, 'Hospitalisation Details'!$A:$A, 'Hospitalisation Details'!I:I, "No Data")</f>
        <v>tier - 3</v>
      </c>
      <c r="L1887" s="28" t="str">
        <f t="array" ref="L1887">_xlfn.XLOOKUP($A1887, 'Hospitalisation Details'!$A:$A, 'Hospitalisation Details'!J:J, "No Data")</f>
        <v>R1012</v>
      </c>
      <c r="M1887" s="28" t="str">
        <f t="array" ref="M1887">_xlfn.XLOOKUP($A1887, 'Hospitalisation Details'!$A:$A, 'Hospitalisation Details'!E:E, "No Data")</f>
        <v>21/08/94</v>
      </c>
      <c r="N1887" s="28">
        <f t="array" ref="N1887">_xlfn.XLOOKUP($A1887, 'Hospitalisation Details'!$A:$A, 'Hospitalisation Details'!K:K, "No Data")</f>
        <v>28</v>
      </c>
      <c r="O1887" s="33">
        <f t="array" ref="O1887">_xlfn.XLOOKUP($A1887, 'Hospitalisation Details'!$A:$A, 'Hospitalisation Details'!G:G, "No Data")</f>
        <v>4133.64</v>
      </c>
      <c r="P1887" s="28" t="str">
        <f t="array" ref="P1887">_xlfn.XLOOKUP($A1887, 'Hospitalisation Details'!$A:$A, 'Hospitalisation Details'!H:H, "No Data")</f>
        <v>tier - 2</v>
      </c>
    </row>
    <row r="1888">
      <c r="A1888" s="25" t="s">
        <v>3251</v>
      </c>
      <c r="B1888" s="28" t="str">
        <f t="array" ref="B1888">_xlfn.XLOOKUP($A1888, 'Customer Names'!$A:$A, 'Customer Names'!B:B, "No Data")</f>
        <v>Rojas Alvarez</v>
      </c>
      <c r="C1888" s="28">
        <f t="array" ref="C1888">_xlfn.XLOOKUP($A1888, 'Medical Examinations'!$A:$A, 'Medical Examinations'!B:B, "No Data")</f>
        <v>31.5</v>
      </c>
      <c r="D1888" s="28">
        <f t="array" ref="D1888">_xlfn.XLOOKUP($A1888, 'Medical Examinations'!$A:$A, 'Medical Examinations'!C:C, "No Data")</f>
        <v>6.16</v>
      </c>
      <c r="E1888" s="28" t="str">
        <f t="array" ref="E1888">_xlfn.XLOOKUP($A1888, 'Medical Examinations'!$A:$A, 'Medical Examinations'!D:D, "No Data")</f>
        <v>No</v>
      </c>
      <c r="F1888" s="28" t="str">
        <f t="array" ref="F1888">_xlfn.XLOOKUP($A1888, 'Medical Examinations'!$A:$A, 'Medical Examinations'!E:E, "No Data")</f>
        <v>No</v>
      </c>
      <c r="G1888" s="28" t="str">
        <f t="array" ref="G1888">_xlfn.XLOOKUP($A1888, 'Medical Examinations'!$A:$A, 'Medical Examinations'!F:F, "No Data")</f>
        <v>No</v>
      </c>
      <c r="H1888" s="28">
        <f t="array" ref="H1888">_xlfn.XLOOKUP($A1888, 'Medical Examinations'!$A:$A, 'Medical Examinations'!G:G, "No Data")</f>
        <v>0</v>
      </c>
      <c r="I1888" s="28" t="str">
        <f t="array" ref="I1888">_xlfn.XLOOKUP($A1888, 'Medical Examinations'!$A:$A, 'Medical Examinations'!H:H, "No Data")</f>
        <v>No</v>
      </c>
      <c r="J1888" s="28" t="str">
        <f t="array" ref="J1888">_xlfn.XLOOKUP($A1888, 'Medical Examinations'!$A:$A, 'Medical Examinations'!I:I, "No Data")</f>
        <v>Obesity</v>
      </c>
      <c r="K1888" s="28" t="str">
        <f t="array" ref="K1888">_xlfn.XLOOKUP($A1888, 'Hospitalisation Details'!$A:$A, 'Hospitalisation Details'!I:I, "No Data")</f>
        <v>tier - 3</v>
      </c>
      <c r="L1888" s="28" t="str">
        <f t="array" ref="L1888">_xlfn.XLOOKUP($A1888, 'Hospitalisation Details'!$A:$A, 'Hospitalisation Details'!J:J, "No Data")</f>
        <v>R1011</v>
      </c>
      <c r="M1888" s="28" t="str">
        <f t="array" ref="M1888">_xlfn.XLOOKUP($A1888, 'Hospitalisation Details'!$A:$A, 'Hospitalisation Details'!E:E, "No Data")</f>
        <v>14/12/90</v>
      </c>
      <c r="N1888" s="28">
        <f t="array" ref="N1888">_xlfn.XLOOKUP($A1888, 'Hospitalisation Details'!$A:$A, 'Hospitalisation Details'!K:K, "No Data")</f>
        <v>32</v>
      </c>
      <c r="O1888" s="33">
        <f t="array" ref="O1888">_xlfn.XLOOKUP($A1888, 'Hospitalisation Details'!$A:$A, 'Hospitalisation Details'!G:G, "No Data")</f>
        <v>4076.5</v>
      </c>
      <c r="P1888" s="28" t="str">
        <f t="array" ref="P1888">_xlfn.XLOOKUP($A1888, 'Hospitalisation Details'!$A:$A, 'Hospitalisation Details'!H:H, "No Data")</f>
        <v>tier - 2</v>
      </c>
    </row>
    <row r="1889">
      <c r="A1889" s="25" t="s">
        <v>3243</v>
      </c>
      <c r="B1889" s="28" t="str">
        <f t="array" ref="B1889">_xlfn.XLOOKUP($A1889, 'Customer Names'!$A:$A, 'Customer Names'!B:B, "No Data")</f>
        <v>Denton</v>
      </c>
      <c r="C1889" s="28">
        <f t="array" ref="C1889">_xlfn.XLOOKUP($A1889, 'Medical Examinations'!$A:$A, 'Medical Examinations'!B:B, "No Data")</f>
        <v>30.03</v>
      </c>
      <c r="D1889" s="28">
        <f t="array" ref="D1889">_xlfn.XLOOKUP($A1889, 'Medical Examinations'!$A:$A, 'Medical Examinations'!C:C, "No Data")</f>
        <v>6.41</v>
      </c>
      <c r="E1889" s="28" t="str">
        <f t="array" ref="E1889">_xlfn.XLOOKUP($A1889, 'Medical Examinations'!$A:$A, 'Medical Examinations'!D:D, "No Data")</f>
        <v>No</v>
      </c>
      <c r="F1889" s="28" t="str">
        <f t="array" ref="F1889">_xlfn.XLOOKUP($A1889, 'Medical Examinations'!$A:$A, 'Medical Examinations'!E:E, "No Data")</f>
        <v>No</v>
      </c>
      <c r="G1889" s="28" t="str">
        <f t="array" ref="G1889">_xlfn.XLOOKUP($A1889, 'Medical Examinations'!$A:$A, 'Medical Examinations'!F:F, "No Data")</f>
        <v>No</v>
      </c>
      <c r="H1889" s="28">
        <f t="array" ref="H1889">_xlfn.XLOOKUP($A1889, 'Medical Examinations'!$A:$A, 'Medical Examinations'!G:G, "No Data")</f>
        <v>0</v>
      </c>
      <c r="I1889" s="28" t="str">
        <f t="array" ref="I1889">_xlfn.XLOOKUP($A1889, 'Medical Examinations'!$A:$A, 'Medical Examinations'!H:H, "No Data")</f>
        <v>No</v>
      </c>
      <c r="J1889" s="28" t="str">
        <f t="array" ref="J1889">_xlfn.XLOOKUP($A1889, 'Medical Examinations'!$A:$A, 'Medical Examinations'!I:I, "No Data")</f>
        <v>Obesity</v>
      </c>
      <c r="K1889" s="28" t="str">
        <f t="array" ref="K1889">_xlfn.XLOOKUP($A1889, 'Hospitalisation Details'!$A:$A, 'Hospitalisation Details'!I:I, "No Data")</f>
        <v>tier - 2</v>
      </c>
      <c r="L1889" s="28" t="str">
        <f t="array" ref="L1889">_xlfn.XLOOKUP($A1889, 'Hospitalisation Details'!$A:$A, 'Hospitalisation Details'!J:J, "No Data")</f>
        <v>R1013</v>
      </c>
      <c r="M1889" s="28" t="str">
        <f t="array" ref="M1889">_xlfn.XLOOKUP($A1889, 'Hospitalisation Details'!$A:$A, 'Hospitalisation Details'!E:E, "No Data")</f>
        <v>01/12/90</v>
      </c>
      <c r="N1889" s="28">
        <f t="array" ref="N1889">_xlfn.XLOOKUP($A1889, 'Hospitalisation Details'!$A:$A, 'Hospitalisation Details'!K:K, "No Data")</f>
        <v>32</v>
      </c>
      <c r="O1889" s="33">
        <f t="array" ref="O1889">_xlfn.XLOOKUP($A1889, 'Hospitalisation Details'!$A:$A, 'Hospitalisation Details'!G:G, "No Data")</f>
        <v>4074.45</v>
      </c>
      <c r="P1889" s="28" t="str">
        <f t="array" ref="P1889">_xlfn.XLOOKUP($A1889, 'Hospitalisation Details'!$A:$A, 'Hospitalisation Details'!H:H, "No Data")</f>
        <v>tier - 3</v>
      </c>
    </row>
    <row r="1890">
      <c r="A1890" s="25" t="s">
        <v>3236</v>
      </c>
      <c r="B1890" s="28" t="str">
        <f t="array" ref="B1890">_xlfn.XLOOKUP($A1890, 'Customer Names'!$A:$A, 'Customer Names'!B:B, "No Data")</f>
        <v>Mason</v>
      </c>
      <c r="C1890" s="28">
        <f t="array" ref="C1890">_xlfn.XLOOKUP($A1890, 'Medical Examinations'!$A:$A, 'Medical Examinations'!B:B, "No Data")</f>
        <v>33.48</v>
      </c>
      <c r="D1890" s="28">
        <f t="array" ref="D1890">_xlfn.XLOOKUP($A1890, 'Medical Examinations'!$A:$A, 'Medical Examinations'!C:C, "No Data")</f>
        <v>8.94</v>
      </c>
      <c r="E1890" s="28" t="str">
        <f t="array" ref="E1890">_xlfn.XLOOKUP($A1890, 'Medical Examinations'!$A:$A, 'Medical Examinations'!D:D, "No Data")</f>
        <v>No</v>
      </c>
      <c r="F1890" s="28" t="str">
        <f t="array" ref="F1890">_xlfn.XLOOKUP($A1890, 'Medical Examinations'!$A:$A, 'Medical Examinations'!E:E, "No Data")</f>
        <v>No</v>
      </c>
      <c r="G1890" s="28" t="str">
        <f t="array" ref="G1890">_xlfn.XLOOKUP($A1890, 'Medical Examinations'!$A:$A, 'Medical Examinations'!F:F, "No Data")</f>
        <v>No</v>
      </c>
      <c r="H1890" s="28">
        <f t="array" ref="H1890">_xlfn.XLOOKUP($A1890, 'Medical Examinations'!$A:$A, 'Medical Examinations'!G:G, "No Data")</f>
        <v>0</v>
      </c>
      <c r="I1890" s="28" t="str">
        <f t="array" ref="I1890">_xlfn.XLOOKUP($A1890, 'Medical Examinations'!$A:$A, 'Medical Examinations'!H:H, "No Data")</f>
        <v>No</v>
      </c>
      <c r="J1890" s="28" t="str">
        <f t="array" ref="J1890">_xlfn.XLOOKUP($A1890, 'Medical Examinations'!$A:$A, 'Medical Examinations'!I:I, "No Data")</f>
        <v>Obesity</v>
      </c>
      <c r="K1890" s="28" t="str">
        <f t="array" ref="K1890">_xlfn.XLOOKUP($A1890, 'Hospitalisation Details'!$A:$A, 'Hospitalisation Details'!I:I, "No Data")</f>
        <v>tier - 1</v>
      </c>
      <c r="L1890" s="28" t="str">
        <f t="array" ref="L1890">_xlfn.XLOOKUP($A1890, 'Hospitalisation Details'!$A:$A, 'Hospitalisation Details'!J:J, "No Data")</f>
        <v>R1012</v>
      </c>
      <c r="M1890" s="28" t="str">
        <f t="array" ref="M1890">_xlfn.XLOOKUP($A1890, 'Hospitalisation Details'!$A:$A, 'Hospitalisation Details'!E:E, "No Data")</f>
        <v>18/10/02</v>
      </c>
      <c r="N1890" s="28">
        <f t="array" ref="N1890">_xlfn.XLOOKUP($A1890, 'Hospitalisation Details'!$A:$A, 'Hospitalisation Details'!K:K, "No Data")</f>
        <v>20</v>
      </c>
      <c r="O1890" s="33">
        <f t="array" ref="O1890">_xlfn.XLOOKUP($A1890, 'Hospitalisation Details'!$A:$A, 'Hospitalisation Details'!G:G, "No Data")</f>
        <v>4070.51</v>
      </c>
      <c r="P1890" s="28" t="str">
        <f t="array" ref="P1890">_xlfn.XLOOKUP($A1890, 'Hospitalisation Details'!$A:$A, 'Hospitalisation Details'!H:H, "No Data")</f>
        <v>tier - 2</v>
      </c>
    </row>
    <row r="1891">
      <c r="A1891" s="25" t="s">
        <v>3230</v>
      </c>
      <c r="B1891" s="28" t="str">
        <f t="array" ref="B1891">_xlfn.XLOOKUP($A1891, 'Customer Names'!$A:$A, 'Customer Names'!B:B, "No Data")</f>
        <v>Trout</v>
      </c>
      <c r="C1891" s="28">
        <f t="array" ref="C1891">_xlfn.XLOOKUP($A1891, 'Medical Examinations'!$A:$A, 'Medical Examinations'!B:B, "No Data")</f>
        <v>16.51</v>
      </c>
      <c r="D1891" s="28">
        <f t="array" ref="D1891">_xlfn.XLOOKUP($A1891, 'Medical Examinations'!$A:$A, 'Medical Examinations'!C:C, "No Data")</f>
        <v>4.42</v>
      </c>
      <c r="E1891" s="28" t="str">
        <f t="array" ref="E1891">_xlfn.XLOOKUP($A1891, 'Medical Examinations'!$A:$A, 'Medical Examinations'!D:D, "No Data")</f>
        <v>yes</v>
      </c>
      <c r="F1891" s="28" t="str">
        <f t="array" ref="F1891">_xlfn.XLOOKUP($A1891, 'Medical Examinations'!$A:$A, 'Medical Examinations'!E:E, "No Data")</f>
        <v>No</v>
      </c>
      <c r="G1891" s="28" t="str">
        <f t="array" ref="G1891">_xlfn.XLOOKUP($A1891, 'Medical Examinations'!$A:$A, 'Medical Examinations'!F:F, "No Data")</f>
        <v>Yes</v>
      </c>
      <c r="H1891" s="28">
        <f t="array" ref="H1891">_xlfn.XLOOKUP($A1891, 'Medical Examinations'!$A:$A, 'Medical Examinations'!G:G, "No Data")</f>
        <v>1</v>
      </c>
      <c r="I1891" s="28" t="str">
        <f t="array" ref="I1891">_xlfn.XLOOKUP($A1891, 'Medical Examinations'!$A:$A, 'Medical Examinations'!H:H, "No Data")</f>
        <v>No</v>
      </c>
      <c r="J1891" s="28" t="str">
        <f t="array" ref="J1891">_xlfn.XLOOKUP($A1891, 'Medical Examinations'!$A:$A, 'Medical Examinations'!I:I, "No Data")</f>
        <v>Underweight</v>
      </c>
      <c r="K1891" s="28" t="str">
        <f t="array" ref="K1891">_xlfn.XLOOKUP($A1891, 'Hospitalisation Details'!$A:$A, 'Hospitalisation Details'!I:I, "No Data")</f>
        <v>tier - 1</v>
      </c>
      <c r="L1891" s="28" t="str">
        <f t="array" ref="L1891">_xlfn.XLOOKUP($A1891, 'Hospitalisation Details'!$A:$A, 'Hospitalisation Details'!J:J, "No Data")</f>
        <v>R1013</v>
      </c>
      <c r="M1891" s="28" t="str">
        <f t="array" ref="M1891">_xlfn.XLOOKUP($A1891, 'Hospitalisation Details'!$A:$A, 'Hospitalisation Details'!E:E, "No Data")</f>
        <v>16/09/83</v>
      </c>
      <c r="N1891" s="28">
        <f t="array" ref="N1891">_xlfn.XLOOKUP($A1891, 'Hospitalisation Details'!$A:$A, 'Hospitalisation Details'!K:K, "No Data")</f>
        <v>39</v>
      </c>
      <c r="O1891" s="33">
        <f t="array" ref="O1891">_xlfn.XLOOKUP($A1891, 'Hospitalisation Details'!$A:$A, 'Hospitalisation Details'!G:G, "No Data")</f>
        <v>4070.42</v>
      </c>
      <c r="P1891" s="28" t="str">
        <f t="array" ref="P1891">_xlfn.XLOOKUP($A1891, 'Hospitalisation Details'!$A:$A, 'Hospitalisation Details'!H:H, "No Data")</f>
        <v>tier - 2</v>
      </c>
    </row>
    <row r="1892">
      <c r="A1892" s="25" t="s">
        <v>3223</v>
      </c>
      <c r="B1892" s="28" t="str">
        <f t="array" ref="B1892">_xlfn.XLOOKUP($A1892, 'Customer Names'!$A:$A, 'Customer Names'!B:B, "No Data")</f>
        <v>Gilbert</v>
      </c>
      <c r="C1892" s="28">
        <f t="array" ref="C1892">_xlfn.XLOOKUP($A1892, 'Medical Examinations'!$A:$A, 'Medical Examinations'!B:B, "No Data")</f>
        <v>33.155</v>
      </c>
      <c r="D1892" s="28">
        <f t="array" ref="D1892">_xlfn.XLOOKUP($A1892, 'Medical Examinations'!$A:$A, 'Medical Examinations'!C:C, "No Data")</f>
        <v>5.3</v>
      </c>
      <c r="E1892" s="28" t="str">
        <f t="array" ref="E1892">_xlfn.XLOOKUP($A1892, 'Medical Examinations'!$A:$A, 'Medical Examinations'!D:D, "No Data")</f>
        <v>yes</v>
      </c>
      <c r="F1892" s="28" t="str">
        <f t="array" ref="F1892">_xlfn.XLOOKUP($A1892, 'Medical Examinations'!$A:$A, 'Medical Examinations'!E:E, "No Data")</f>
        <v>No</v>
      </c>
      <c r="G1892" s="28" t="str">
        <f t="array" ref="G1892">_xlfn.XLOOKUP($A1892, 'Medical Examinations'!$A:$A, 'Medical Examinations'!F:F, "No Data")</f>
        <v>No</v>
      </c>
      <c r="H1892" s="28">
        <f t="array" ref="H1892">_xlfn.XLOOKUP($A1892, 'Medical Examinations'!$A:$A, 'Medical Examinations'!G:G, "No Data")</f>
        <v>1</v>
      </c>
      <c r="I1892" s="28" t="str">
        <f t="array" ref="I1892">_xlfn.XLOOKUP($A1892, 'Medical Examinations'!$A:$A, 'Medical Examinations'!H:H, "No Data")</f>
        <v>No</v>
      </c>
      <c r="J1892" s="28" t="str">
        <f t="array" ref="J1892">_xlfn.XLOOKUP($A1892, 'Medical Examinations'!$A:$A, 'Medical Examinations'!I:I, "No Data")</f>
        <v>Obesity</v>
      </c>
      <c r="K1892" s="28" t="str">
        <f t="array" ref="K1892">_xlfn.XLOOKUP($A1892, 'Hospitalisation Details'!$A:$A, 'Hospitalisation Details'!I:I, "No Data")</f>
        <v>tier - 3</v>
      </c>
      <c r="L1892" s="28" t="str">
        <f t="array" ref="L1892">_xlfn.XLOOKUP($A1892, 'Hospitalisation Details'!$A:$A, 'Hospitalisation Details'!J:J, "No Data")</f>
        <v>R1012</v>
      </c>
      <c r="M1892" s="28" t="str">
        <f t="array" ref="M1892">_xlfn.XLOOKUP($A1892, 'Hospitalisation Details'!$A:$A, 'Hospitalisation Details'!E:E, "No Data")</f>
        <v>14/09/95</v>
      </c>
      <c r="N1892" s="28">
        <f t="array" ref="N1892">_xlfn.XLOOKUP($A1892, 'Hospitalisation Details'!$A:$A, 'Hospitalisation Details'!K:K, "No Data")</f>
        <v>27</v>
      </c>
      <c r="O1892" s="33">
        <f t="array" ref="O1892">_xlfn.XLOOKUP($A1892, 'Hospitalisation Details'!$A:$A, 'Hospitalisation Details'!G:G, "No Data")</f>
        <v>4058.71</v>
      </c>
      <c r="P1892" s="28" t="str">
        <f t="array" ref="P1892">_xlfn.XLOOKUP($A1892, 'Hospitalisation Details'!$A:$A, 'Hospitalisation Details'!H:H, "No Data")</f>
        <v>tier - 3</v>
      </c>
    </row>
    <row r="1893">
      <c r="A1893" s="25" t="s">
        <v>3216</v>
      </c>
      <c r="B1893" s="28" t="str">
        <f t="array" ref="B1893">_xlfn.XLOOKUP($A1893, 'Customer Names'!$A:$A, 'Customer Names'!B:B, "No Data")</f>
        <v>Chong</v>
      </c>
      <c r="C1893" s="28">
        <f t="array" ref="C1893">_xlfn.XLOOKUP($A1893, 'Medical Examinations'!$A:$A, 'Medical Examinations'!B:B, "No Data")</f>
        <v>37.29</v>
      </c>
      <c r="D1893" s="28">
        <f t="array" ref="D1893">_xlfn.XLOOKUP($A1893, 'Medical Examinations'!$A:$A, 'Medical Examinations'!C:C, "No Data")</f>
        <v>4.64</v>
      </c>
      <c r="E1893" s="28" t="str">
        <f t="array" ref="E1893">_xlfn.XLOOKUP($A1893, 'Medical Examinations'!$A:$A, 'Medical Examinations'!D:D, "No Data")</f>
        <v>No</v>
      </c>
      <c r="F1893" s="28" t="str">
        <f t="array" ref="F1893">_xlfn.XLOOKUP($A1893, 'Medical Examinations'!$A:$A, 'Medical Examinations'!E:E, "No Data")</f>
        <v>No</v>
      </c>
      <c r="G1893" s="28" t="str">
        <f t="array" ref="G1893">_xlfn.XLOOKUP($A1893, 'Medical Examinations'!$A:$A, 'Medical Examinations'!F:F, "No Data")</f>
        <v>Yes</v>
      </c>
      <c r="H1893" s="28">
        <f t="array" ref="H1893">_xlfn.XLOOKUP($A1893, 'Medical Examinations'!$A:$A, 'Medical Examinations'!G:G, "No Data")</f>
        <v>1</v>
      </c>
      <c r="I1893" s="28" t="str">
        <f t="array" ref="I1893">_xlfn.XLOOKUP($A1893, 'Medical Examinations'!$A:$A, 'Medical Examinations'!H:H, "No Data")</f>
        <v>No</v>
      </c>
      <c r="J1893" s="28" t="str">
        <f t="array" ref="J1893">_xlfn.XLOOKUP($A1893, 'Medical Examinations'!$A:$A, 'Medical Examinations'!I:I, "No Data")</f>
        <v>Obesity</v>
      </c>
      <c r="K1893" s="28" t="str">
        <f t="array" ref="K1893">_xlfn.XLOOKUP($A1893, 'Hospitalisation Details'!$A:$A, 'Hospitalisation Details'!I:I, "No Data")</f>
        <v>tier - 1</v>
      </c>
      <c r="L1893" s="28" t="str">
        <f t="array" ref="L1893">_xlfn.XLOOKUP($A1893, 'Hospitalisation Details'!$A:$A, 'Hospitalisation Details'!J:J, "No Data")</f>
        <v>R1013</v>
      </c>
      <c r="M1893" s="28" t="str">
        <f t="array" ref="M1893">_xlfn.XLOOKUP($A1893, 'Hospitalisation Details'!$A:$A, 'Hospitalisation Details'!E:E, "No Data")</f>
        <v>13/08/93</v>
      </c>
      <c r="N1893" s="28">
        <f t="array" ref="N1893">_xlfn.XLOOKUP($A1893, 'Hospitalisation Details'!$A:$A, 'Hospitalisation Details'!K:K, "No Data")</f>
        <v>29</v>
      </c>
      <c r="O1893" s="33">
        <f t="array" ref="O1893">_xlfn.XLOOKUP($A1893, 'Hospitalisation Details'!$A:$A, 'Hospitalisation Details'!G:G, "No Data")</f>
        <v>4058.12</v>
      </c>
      <c r="P1893" s="28" t="str">
        <f t="array" ref="P1893">_xlfn.XLOOKUP($A1893, 'Hospitalisation Details'!$A:$A, 'Hospitalisation Details'!H:H, "No Data")</f>
        <v>tier - 2</v>
      </c>
    </row>
    <row r="1894">
      <c r="A1894" s="25" t="s">
        <v>3209</v>
      </c>
      <c r="B1894" s="28" t="str">
        <f t="array" ref="B1894">_xlfn.XLOOKUP($A1894, 'Customer Names'!$A:$A, 'Customer Names'!B:B, "No Data")</f>
        <v>Henry</v>
      </c>
      <c r="C1894" s="28">
        <f t="array" ref="C1894">_xlfn.XLOOKUP($A1894, 'Medical Examinations'!$A:$A, 'Medical Examinations'!B:B, "No Data")</f>
        <v>20.23</v>
      </c>
      <c r="D1894" s="28">
        <f t="array" ref="D1894">_xlfn.XLOOKUP($A1894, 'Medical Examinations'!$A:$A, 'Medical Examinations'!C:C, "No Data")</f>
        <v>6.16</v>
      </c>
      <c r="E1894" s="28" t="str">
        <f t="array" ref="E1894">_xlfn.XLOOKUP($A1894, 'Medical Examinations'!$A:$A, 'Medical Examinations'!D:D, "No Data")</f>
        <v>yes</v>
      </c>
      <c r="F1894" s="28" t="str">
        <f t="array" ref="F1894">_xlfn.XLOOKUP($A1894, 'Medical Examinations'!$A:$A, 'Medical Examinations'!E:E, "No Data")</f>
        <v>No</v>
      </c>
      <c r="G1894" s="28" t="str">
        <f t="array" ref="G1894">_xlfn.XLOOKUP($A1894, 'Medical Examinations'!$A:$A, 'Medical Examinations'!F:F, "No Data")</f>
        <v>No</v>
      </c>
      <c r="H1894" s="28">
        <f t="array" ref="H1894">_xlfn.XLOOKUP($A1894, 'Medical Examinations'!$A:$A, 'Medical Examinations'!G:G, "No Data")</f>
        <v>1</v>
      </c>
      <c r="I1894" s="28" t="str">
        <f t="array" ref="I1894">_xlfn.XLOOKUP($A1894, 'Medical Examinations'!$A:$A, 'Medical Examinations'!H:H, "No Data")</f>
        <v>No</v>
      </c>
      <c r="J1894" s="28" t="str">
        <f t="array" ref="J1894">_xlfn.XLOOKUP($A1894, 'Medical Examinations'!$A:$A, 'Medical Examinations'!I:I, "No Data")</f>
        <v>Normal Weight</v>
      </c>
      <c r="K1894" s="28" t="str">
        <f t="array" ref="K1894">_xlfn.XLOOKUP($A1894, 'Hospitalisation Details'!$A:$A, 'Hospitalisation Details'!I:I, "No Data")</f>
        <v>tier - 1</v>
      </c>
      <c r="L1894" s="28" t="str">
        <f t="array" ref="L1894">_xlfn.XLOOKUP($A1894, 'Hospitalisation Details'!$A:$A, 'Hospitalisation Details'!J:J, "No Data")</f>
        <v>R1013</v>
      </c>
      <c r="M1894" s="28" t="str">
        <f t="array" ref="M1894">_xlfn.XLOOKUP($A1894, 'Hospitalisation Details'!$A:$A, 'Hospitalisation Details'!E:E, "No Data")</f>
        <v>30/11/88</v>
      </c>
      <c r="N1894" s="28">
        <f t="array" ref="N1894">_xlfn.XLOOKUP($A1894, 'Hospitalisation Details'!$A:$A, 'Hospitalisation Details'!K:K, "No Data")</f>
        <v>34</v>
      </c>
      <c r="O1894" s="33">
        <f t="array" ref="O1894">_xlfn.XLOOKUP($A1894, 'Hospitalisation Details'!$A:$A, 'Hospitalisation Details'!G:G, "No Data")</f>
        <v>4047.94</v>
      </c>
      <c r="P1894" s="28" t="str">
        <f t="array" ref="P1894">_xlfn.XLOOKUP($A1894, 'Hospitalisation Details'!$A:$A, 'Hospitalisation Details'!H:H, "No Data")</f>
        <v>tier - 2</v>
      </c>
    </row>
    <row r="1895">
      <c r="A1895" s="25" t="s">
        <v>3203</v>
      </c>
      <c r="B1895" s="28" t="str">
        <f t="array" ref="B1895">_xlfn.XLOOKUP($A1895, 'Customer Names'!$A:$A, 'Customer Names'!B:B, "No Data")</f>
        <v>Brenneman</v>
      </c>
      <c r="C1895" s="28">
        <f t="array" ref="C1895">_xlfn.XLOOKUP($A1895, 'Medical Examinations'!$A:$A, 'Medical Examinations'!B:B, "No Data")</f>
        <v>28.975</v>
      </c>
      <c r="D1895" s="28">
        <f t="array" ref="D1895">_xlfn.XLOOKUP($A1895, 'Medical Examinations'!$A:$A, 'Medical Examinations'!C:C, "No Data")</f>
        <v>4.12</v>
      </c>
      <c r="E1895" s="28" t="str">
        <f t="array" ref="E1895">_xlfn.XLOOKUP($A1895, 'Medical Examinations'!$A:$A, 'Medical Examinations'!D:D, "No Data")</f>
        <v>No</v>
      </c>
      <c r="F1895" s="28" t="str">
        <f t="array" ref="F1895">_xlfn.XLOOKUP($A1895, 'Medical Examinations'!$A:$A, 'Medical Examinations'!E:E, "No Data")</f>
        <v>No</v>
      </c>
      <c r="G1895" s="28" t="str">
        <f t="array" ref="G1895">_xlfn.XLOOKUP($A1895, 'Medical Examinations'!$A:$A, 'Medical Examinations'!F:F, "No Data")</f>
        <v>Yes</v>
      </c>
      <c r="H1895" s="28">
        <f t="array" ref="H1895">_xlfn.XLOOKUP($A1895, 'Medical Examinations'!$A:$A, 'Medical Examinations'!G:G, "No Data")</f>
        <v>1</v>
      </c>
      <c r="I1895" s="28" t="str">
        <f t="array" ref="I1895">_xlfn.XLOOKUP($A1895, 'Medical Examinations'!$A:$A, 'Medical Examinations'!H:H, "No Data")</f>
        <v>No</v>
      </c>
      <c r="J1895" s="28" t="str">
        <f t="array" ref="J1895">_xlfn.XLOOKUP($A1895, 'Medical Examinations'!$A:$A, 'Medical Examinations'!I:I, "No Data")</f>
        <v>Overweight</v>
      </c>
      <c r="K1895" s="28" t="str">
        <f t="array" ref="K1895">_xlfn.XLOOKUP($A1895, 'Hospitalisation Details'!$A:$A, 'Hospitalisation Details'!I:I, "No Data")</f>
        <v>tier - 3</v>
      </c>
      <c r="L1895" s="28" t="str">
        <f t="array" ref="L1895">_xlfn.XLOOKUP($A1895, 'Hospitalisation Details'!$A:$A, 'Hospitalisation Details'!J:J, "No Data")</f>
        <v>R1015</v>
      </c>
      <c r="M1895" s="28" t="str">
        <f t="array" ref="M1895">_xlfn.XLOOKUP($A1895, 'Hospitalisation Details'!$A:$A, 'Hospitalisation Details'!E:E, "No Data")</f>
        <v>26/12/93</v>
      </c>
      <c r="N1895" s="28">
        <f t="array" ref="N1895">_xlfn.XLOOKUP($A1895, 'Hospitalisation Details'!$A:$A, 'Hospitalisation Details'!K:K, "No Data")</f>
        <v>29</v>
      </c>
      <c r="O1895" s="33">
        <f t="array" ref="O1895">_xlfn.XLOOKUP($A1895, 'Hospitalisation Details'!$A:$A, 'Hospitalisation Details'!G:G, "No Data")</f>
        <v>4040.56</v>
      </c>
      <c r="P1895" s="28" t="str">
        <f t="array" ref="P1895">_xlfn.XLOOKUP($A1895, 'Hospitalisation Details'!$A:$A, 'Hospitalisation Details'!H:H, "No Data")</f>
        <v>tier - 3</v>
      </c>
    </row>
    <row r="1896">
      <c r="A1896" s="25" t="s">
        <v>3194</v>
      </c>
      <c r="B1896" s="28" t="str">
        <f t="array" ref="B1896">_xlfn.XLOOKUP($A1896, 'Customer Names'!$A:$A, 'Customer Names'!B:B, "No Data")</f>
        <v>Kemp</v>
      </c>
      <c r="C1896" s="28">
        <f t="array" ref="C1896">_xlfn.XLOOKUP($A1896, 'Medical Examinations'!$A:$A, 'Medical Examinations'!B:B, "No Data")</f>
        <v>16.42</v>
      </c>
      <c r="D1896" s="28">
        <f t="array" ref="D1896">_xlfn.XLOOKUP($A1896, 'Medical Examinations'!$A:$A, 'Medical Examinations'!C:C, "No Data")</f>
        <v>5.77</v>
      </c>
      <c r="E1896" s="28" t="str">
        <f t="array" ref="E1896">_xlfn.XLOOKUP($A1896, 'Medical Examinations'!$A:$A, 'Medical Examinations'!D:D, "No Data")</f>
        <v>yes</v>
      </c>
      <c r="F1896" s="28" t="str">
        <f t="array" ref="F1896">_xlfn.XLOOKUP($A1896, 'Medical Examinations'!$A:$A, 'Medical Examinations'!E:E, "No Data")</f>
        <v>No</v>
      </c>
      <c r="G1896" s="28" t="str">
        <f t="array" ref="G1896">_xlfn.XLOOKUP($A1896, 'Medical Examinations'!$A:$A, 'Medical Examinations'!F:F, "No Data")</f>
        <v>Yes</v>
      </c>
      <c r="H1896" s="28">
        <f t="array" ref="H1896">_xlfn.XLOOKUP($A1896, 'Medical Examinations'!$A:$A, 'Medical Examinations'!G:G, "No Data")</f>
        <v>1</v>
      </c>
      <c r="I1896" s="28" t="str">
        <f t="array" ref="I1896">_xlfn.XLOOKUP($A1896, 'Medical Examinations'!$A:$A, 'Medical Examinations'!H:H, "No Data")</f>
        <v>No</v>
      </c>
      <c r="J1896" s="28" t="str">
        <f t="array" ref="J1896">_xlfn.XLOOKUP($A1896, 'Medical Examinations'!$A:$A, 'Medical Examinations'!I:I, "No Data")</f>
        <v>Underweight</v>
      </c>
      <c r="K1896" s="28" t="str">
        <f t="array" ref="K1896">_xlfn.XLOOKUP($A1896, 'Hospitalisation Details'!$A:$A, 'Hospitalisation Details'!I:I, "No Data")</f>
        <v>tier - 1</v>
      </c>
      <c r="L1896" s="28" t="str">
        <f t="array" ref="L1896">_xlfn.XLOOKUP($A1896, 'Hospitalisation Details'!$A:$A, 'Hospitalisation Details'!J:J, "No Data")</f>
        <v>R1013</v>
      </c>
      <c r="M1896" s="28" t="str">
        <f t="array" ref="M1896">_xlfn.XLOOKUP($A1896, 'Hospitalisation Details'!$A:$A, 'Hospitalisation Details'!E:E, "No Data")</f>
        <v>10/11/83</v>
      </c>
      <c r="N1896" s="28">
        <f t="array" ref="N1896">_xlfn.XLOOKUP($A1896, 'Hospitalisation Details'!$A:$A, 'Hospitalisation Details'!K:K, "No Data")</f>
        <v>39</v>
      </c>
      <c r="O1896" s="33">
        <f t="array" ref="O1896">_xlfn.XLOOKUP($A1896, 'Hospitalisation Details'!$A:$A, 'Hospitalisation Details'!G:G, "No Data")</f>
        <v>4039.9</v>
      </c>
      <c r="P1896" s="28" t="str">
        <f t="array" ref="P1896">_xlfn.XLOOKUP($A1896, 'Hospitalisation Details'!$A:$A, 'Hospitalisation Details'!H:H, "No Data")</f>
        <v>tier - 2</v>
      </c>
    </row>
    <row r="1897">
      <c r="A1897" s="25" t="s">
        <v>3187</v>
      </c>
      <c r="B1897" s="28" t="str">
        <f t="array" ref="B1897">_xlfn.XLOOKUP($A1897, 'Customer Names'!$A:$A, 'Customer Names'!B:B, "No Data")</f>
        <v>Wilson</v>
      </c>
      <c r="C1897" s="28">
        <f t="array" ref="C1897">_xlfn.XLOOKUP($A1897, 'Medical Examinations'!$A:$A, 'Medical Examinations'!B:B, "No Data")</f>
        <v>17.56</v>
      </c>
      <c r="D1897" s="28">
        <f t="array" ref="D1897">_xlfn.XLOOKUP($A1897, 'Medical Examinations'!$A:$A, 'Medical Examinations'!C:C, "No Data")</f>
        <v>6.2</v>
      </c>
      <c r="E1897" s="28" t="str">
        <f t="array" ref="E1897">_xlfn.XLOOKUP($A1897, 'Medical Examinations'!$A:$A, 'Medical Examinations'!D:D, "No Data")</f>
        <v>No</v>
      </c>
      <c r="F1897" s="28" t="str">
        <f t="array" ref="F1897">_xlfn.XLOOKUP($A1897, 'Medical Examinations'!$A:$A, 'Medical Examinations'!E:E, "No Data")</f>
        <v>No</v>
      </c>
      <c r="G1897" s="28" t="str">
        <f t="array" ref="G1897">_xlfn.XLOOKUP($A1897, 'Medical Examinations'!$A:$A, 'Medical Examinations'!F:F, "No Data")</f>
        <v>No</v>
      </c>
      <c r="H1897" s="28">
        <f t="array" ref="H1897">_xlfn.XLOOKUP($A1897, 'Medical Examinations'!$A:$A, 'Medical Examinations'!G:G, "No Data")</f>
        <v>1</v>
      </c>
      <c r="I1897" s="28" t="str">
        <f t="array" ref="I1897">_xlfn.XLOOKUP($A1897, 'Medical Examinations'!$A:$A, 'Medical Examinations'!H:H, "No Data")</f>
        <v>No</v>
      </c>
      <c r="J1897" s="28" t="str">
        <f t="array" ref="J1897">_xlfn.XLOOKUP($A1897, 'Medical Examinations'!$A:$A, 'Medical Examinations'!I:I, "No Data")</f>
        <v>Underweight</v>
      </c>
      <c r="K1897" s="28" t="str">
        <f t="array" ref="K1897">_xlfn.XLOOKUP($A1897, 'Hospitalisation Details'!$A:$A, 'Hospitalisation Details'!I:I, "No Data")</f>
        <v>tier - 1</v>
      </c>
      <c r="L1897" s="28" t="str">
        <f t="array" ref="L1897">_xlfn.XLOOKUP($A1897, 'Hospitalisation Details'!$A:$A, 'Hospitalisation Details'!J:J, "No Data")</f>
        <v>R1013</v>
      </c>
      <c r="M1897" s="28" t="str">
        <f t="array" ref="M1897">_xlfn.XLOOKUP($A1897, 'Hospitalisation Details'!$A:$A, 'Hospitalisation Details'!E:E, "No Data")</f>
        <v>07/07/84</v>
      </c>
      <c r="N1897" s="28">
        <f t="array" ref="N1897">_xlfn.XLOOKUP($A1897, 'Hospitalisation Details'!$A:$A, 'Hospitalisation Details'!K:K, "No Data")</f>
        <v>38</v>
      </c>
      <c r="O1897" s="33">
        <f t="array" ref="O1897">_xlfn.XLOOKUP($A1897, 'Hospitalisation Details'!$A:$A, 'Hospitalisation Details'!G:G, "No Data")</f>
        <v>4038.41</v>
      </c>
      <c r="P1897" s="28" t="str">
        <f t="array" ref="P1897">_xlfn.XLOOKUP($A1897, 'Hospitalisation Details'!$A:$A, 'Hospitalisation Details'!H:H, "No Data")</f>
        <v>tier - 2</v>
      </c>
    </row>
    <row r="1898">
      <c r="A1898" s="25" t="s">
        <v>3182</v>
      </c>
      <c r="B1898" s="28" t="str">
        <f t="array" ref="B1898">_xlfn.XLOOKUP($A1898, 'Customer Names'!$A:$A, 'Customer Names'!B:B, "No Data")</f>
        <v>Hillyard</v>
      </c>
      <c r="C1898" s="28">
        <f t="array" ref="C1898">_xlfn.XLOOKUP($A1898, 'Medical Examinations'!$A:$A, 'Medical Examinations'!B:B, "No Data")</f>
        <v>24.13</v>
      </c>
      <c r="D1898" s="28">
        <f t="array" ref="D1898">_xlfn.XLOOKUP($A1898, 'Medical Examinations'!$A:$A, 'Medical Examinations'!C:C, "No Data")</f>
        <v>4.39</v>
      </c>
      <c r="E1898" s="28" t="str">
        <f t="array" ref="E1898">_xlfn.XLOOKUP($A1898, 'Medical Examinations'!$A:$A, 'Medical Examinations'!D:D, "No Data")</f>
        <v>No</v>
      </c>
      <c r="F1898" s="28" t="str">
        <f t="array" ref="F1898">_xlfn.XLOOKUP($A1898, 'Medical Examinations'!$A:$A, 'Medical Examinations'!E:E, "No Data")</f>
        <v>No</v>
      </c>
      <c r="G1898" s="28" t="str">
        <f t="array" ref="G1898">_xlfn.XLOOKUP($A1898, 'Medical Examinations'!$A:$A, 'Medical Examinations'!F:F, "No Data")</f>
        <v>No</v>
      </c>
      <c r="H1898" s="28">
        <f t="array" ref="H1898">_xlfn.XLOOKUP($A1898, 'Medical Examinations'!$A:$A, 'Medical Examinations'!G:G, "No Data")</f>
        <v>1</v>
      </c>
      <c r="I1898" s="28" t="str">
        <f t="array" ref="I1898">_xlfn.XLOOKUP($A1898, 'Medical Examinations'!$A:$A, 'Medical Examinations'!H:H, "No Data")</f>
        <v>No</v>
      </c>
      <c r="J1898" s="28" t="str">
        <f t="array" ref="J1898">_xlfn.XLOOKUP($A1898, 'Medical Examinations'!$A:$A, 'Medical Examinations'!I:I, "No Data")</f>
        <v>Normal Weight</v>
      </c>
      <c r="K1898" s="28" t="str">
        <f t="array" ref="K1898">_xlfn.XLOOKUP($A1898, 'Hospitalisation Details'!$A:$A, 'Hospitalisation Details'!I:I, "No Data")</f>
        <v>tier - 3</v>
      </c>
      <c r="L1898" s="28" t="str">
        <f t="array" ref="L1898">_xlfn.XLOOKUP($A1898, 'Hospitalisation Details'!$A:$A, 'Hospitalisation Details'!J:J, "No Data")</f>
        <v>R1012</v>
      </c>
      <c r="M1898" s="28" t="str">
        <f t="array" ref="M1898">_xlfn.XLOOKUP($A1898, 'Hospitalisation Details'!$A:$A, 'Hospitalisation Details'!E:E, "No Data")</f>
        <v>11/10/92</v>
      </c>
      <c r="N1898" s="28">
        <f t="array" ref="N1898">_xlfn.XLOOKUP($A1898, 'Hospitalisation Details'!$A:$A, 'Hospitalisation Details'!K:K, "No Data")</f>
        <v>30</v>
      </c>
      <c r="O1898" s="33">
        <f t="array" ref="O1898">_xlfn.XLOOKUP($A1898, 'Hospitalisation Details'!$A:$A, 'Hospitalisation Details'!G:G, "No Data")</f>
        <v>4032.24</v>
      </c>
      <c r="P1898" s="28" t="str">
        <f t="array" ref="P1898">_xlfn.XLOOKUP($A1898, 'Hospitalisation Details'!$A:$A, 'Hospitalisation Details'!H:H, "No Data")</f>
        <v>tier - 3</v>
      </c>
    </row>
    <row r="1899">
      <c r="A1899" s="25" t="s">
        <v>3176</v>
      </c>
      <c r="B1899" s="28" t="str">
        <f t="array" ref="B1899">_xlfn.XLOOKUP($A1899, 'Customer Names'!$A:$A, 'Customer Names'!B:B, "No Data")</f>
        <v>Turner</v>
      </c>
      <c r="C1899" s="28">
        <f t="array" ref="C1899">_xlfn.XLOOKUP($A1899, 'Medical Examinations'!$A:$A, 'Medical Examinations'!B:B, "No Data")</f>
        <v>19.95</v>
      </c>
      <c r="D1899" s="28">
        <f t="array" ref="D1899">_xlfn.XLOOKUP($A1899, 'Medical Examinations'!$A:$A, 'Medical Examinations'!C:C, "No Data")</f>
        <v>5.13</v>
      </c>
      <c r="E1899" s="28" t="str">
        <f t="array" ref="E1899">_xlfn.XLOOKUP($A1899, 'Medical Examinations'!$A:$A, 'Medical Examinations'!D:D, "No Data")</f>
        <v>No</v>
      </c>
      <c r="F1899" s="28" t="str">
        <f t="array" ref="F1899">_xlfn.XLOOKUP($A1899, 'Medical Examinations'!$A:$A, 'Medical Examinations'!E:E, "No Data")</f>
        <v>yes</v>
      </c>
      <c r="G1899" s="28" t="str">
        <f t="array" ref="G1899">_xlfn.XLOOKUP($A1899, 'Medical Examinations'!$A:$A, 'Medical Examinations'!F:F, "No Data")</f>
        <v>No</v>
      </c>
      <c r="H1899" s="28">
        <f t="array" ref="H1899">_xlfn.XLOOKUP($A1899, 'Medical Examinations'!$A:$A, 'Medical Examinations'!G:G, "No Data")</f>
        <v>2</v>
      </c>
      <c r="I1899" s="28" t="str">
        <f t="array" ref="I1899">_xlfn.XLOOKUP($A1899, 'Medical Examinations'!$A:$A, 'Medical Examinations'!H:H, "No Data")</f>
        <v>No</v>
      </c>
      <c r="J1899" s="28" t="str">
        <f t="array" ref="J1899">_xlfn.XLOOKUP($A1899, 'Medical Examinations'!$A:$A, 'Medical Examinations'!I:I, "No Data")</f>
        <v>Normal Weight</v>
      </c>
      <c r="K1899" s="28" t="str">
        <f t="array" ref="K1899">_xlfn.XLOOKUP($A1899, 'Hospitalisation Details'!$A:$A, 'Hospitalisation Details'!I:I, "No Data")</f>
        <v>tier - 1</v>
      </c>
      <c r="L1899" s="28" t="str">
        <f t="array" ref="L1899">_xlfn.XLOOKUP($A1899, 'Hospitalisation Details'!$A:$A, 'Hospitalisation Details'!J:J, "No Data")</f>
        <v>R1015</v>
      </c>
      <c r="M1899" s="28" t="str">
        <f t="array" ref="M1899">_xlfn.XLOOKUP($A1899, 'Hospitalisation Details'!$A:$A, 'Hospitalisation Details'!E:E, "No Data")</f>
        <v>13/09/00</v>
      </c>
      <c r="N1899" s="28">
        <f t="array" ref="N1899">_xlfn.XLOOKUP($A1899, 'Hospitalisation Details'!$A:$A, 'Hospitalisation Details'!K:K, "No Data")</f>
        <v>22</v>
      </c>
      <c r="O1899" s="33">
        <f t="array" ref="O1899">_xlfn.XLOOKUP($A1899, 'Hospitalisation Details'!$A:$A, 'Hospitalisation Details'!G:G, "No Data")</f>
        <v>4005.42</v>
      </c>
      <c r="P1899" s="28" t="str">
        <f t="array" ref="P1899">_xlfn.XLOOKUP($A1899, 'Hospitalisation Details'!$A:$A, 'Hospitalisation Details'!H:H, "No Data")</f>
        <v>tier - 2</v>
      </c>
    </row>
    <row r="1900">
      <c r="A1900" s="25" t="s">
        <v>3168</v>
      </c>
      <c r="B1900" s="28" t="str">
        <f t="array" ref="B1900">_xlfn.XLOOKUP($A1900, 'Customer Names'!$A:$A, 'Customer Names'!B:B, "No Data")</f>
        <v>Benestad</v>
      </c>
      <c r="C1900" s="28">
        <f t="array" ref="C1900">_xlfn.XLOOKUP($A1900, 'Medical Examinations'!$A:$A, 'Medical Examinations'!B:B, "No Data")</f>
        <v>21.24</v>
      </c>
      <c r="D1900" s="28">
        <f t="array" ref="D1900">_xlfn.XLOOKUP($A1900, 'Medical Examinations'!$A:$A, 'Medical Examinations'!C:C, "No Data")</f>
        <v>4.49</v>
      </c>
      <c r="E1900" s="28" t="str">
        <f t="array" ref="E1900">_xlfn.XLOOKUP($A1900, 'Medical Examinations'!$A:$A, 'Medical Examinations'!D:D, "No Data")</f>
        <v>No</v>
      </c>
      <c r="F1900" s="28" t="str">
        <f t="array" ref="F1900">_xlfn.XLOOKUP($A1900, 'Medical Examinations'!$A:$A, 'Medical Examinations'!E:E, "No Data")</f>
        <v>No</v>
      </c>
      <c r="G1900" s="28" t="str">
        <f t="array" ref="G1900">_xlfn.XLOOKUP($A1900, 'Medical Examinations'!$A:$A, 'Medical Examinations'!F:F, "No Data")</f>
        <v>No</v>
      </c>
      <c r="H1900" s="28">
        <f t="array" ref="H1900">_xlfn.XLOOKUP($A1900, 'Medical Examinations'!$A:$A, 'Medical Examinations'!G:G, "No Data")</f>
        <v>0</v>
      </c>
      <c r="I1900" s="28" t="str">
        <f t="array" ref="I1900">_xlfn.XLOOKUP($A1900, 'Medical Examinations'!$A:$A, 'Medical Examinations'!H:H, "No Data")</f>
        <v>No</v>
      </c>
      <c r="J1900" s="28" t="str">
        <f t="array" ref="J1900">_xlfn.XLOOKUP($A1900, 'Medical Examinations'!$A:$A, 'Medical Examinations'!I:I, "No Data")</f>
        <v>Normal Weight</v>
      </c>
      <c r="K1900" s="28" t="str">
        <f t="array" ref="K1900">_xlfn.XLOOKUP($A1900, 'Hospitalisation Details'!$A:$A, 'Hospitalisation Details'!I:I, "No Data")</f>
        <v>tier - 1</v>
      </c>
      <c r="L1900" s="28" t="str">
        <f t="array" ref="L1900">_xlfn.XLOOKUP($A1900, 'Hospitalisation Details'!$A:$A, 'Hospitalisation Details'!J:J, "No Data")</f>
        <v>R1013</v>
      </c>
      <c r="M1900" s="28" t="str">
        <f t="array" ref="M1900">_xlfn.XLOOKUP($A1900, 'Hospitalisation Details'!$A:$A, 'Hospitalisation Details'!E:E, "No Data")</f>
        <v>10/07/89</v>
      </c>
      <c r="N1900" s="28">
        <f t="array" ref="N1900">_xlfn.XLOOKUP($A1900, 'Hospitalisation Details'!$A:$A, 'Hospitalisation Details'!K:K, "No Data")</f>
        <v>33</v>
      </c>
      <c r="O1900" s="33">
        <f t="array" ref="O1900">_xlfn.XLOOKUP($A1900, 'Hospitalisation Details'!$A:$A, 'Hospitalisation Details'!G:G, "No Data")</f>
        <v>4002.36</v>
      </c>
      <c r="P1900" s="28" t="str">
        <f t="array" ref="P1900">_xlfn.XLOOKUP($A1900, 'Hospitalisation Details'!$A:$A, 'Hospitalisation Details'!H:H, "No Data")</f>
        <v>tier - 2</v>
      </c>
    </row>
    <row r="1901">
      <c r="A1901" s="25" t="s">
        <v>3162</v>
      </c>
      <c r="B1901" s="28" t="str">
        <f t="array" ref="B1901">_xlfn.XLOOKUP($A1901, 'Customer Names'!$A:$A, 'Customer Names'!B:B, "No Data")</f>
        <v>Gonzales</v>
      </c>
      <c r="C1901" s="28">
        <f t="array" ref="C1901">_xlfn.XLOOKUP($A1901, 'Medical Examinations'!$A:$A, 'Medical Examinations'!B:B, "No Data")</f>
        <v>44.22</v>
      </c>
      <c r="D1901" s="28">
        <f t="array" ref="D1901">_xlfn.XLOOKUP($A1901, 'Medical Examinations'!$A:$A, 'Medical Examinations'!C:C, "No Data")</f>
        <v>6.35</v>
      </c>
      <c r="E1901" s="28" t="str">
        <f t="array" ref="E1901">_xlfn.XLOOKUP($A1901, 'Medical Examinations'!$A:$A, 'Medical Examinations'!D:D, "No Data")</f>
        <v>No</v>
      </c>
      <c r="F1901" s="28" t="str">
        <f t="array" ref="F1901">_xlfn.XLOOKUP($A1901, 'Medical Examinations'!$A:$A, 'Medical Examinations'!E:E, "No Data")</f>
        <v>No</v>
      </c>
      <c r="G1901" s="28" t="str">
        <f t="array" ref="G1901">_xlfn.XLOOKUP($A1901, 'Medical Examinations'!$A:$A, 'Medical Examinations'!F:F, "No Data")</f>
        <v>No</v>
      </c>
      <c r="H1901" s="28">
        <f t="array" ref="H1901">_xlfn.XLOOKUP($A1901, 'Medical Examinations'!$A:$A, 'Medical Examinations'!G:G, "No Data")</f>
        <v>0</v>
      </c>
      <c r="I1901" s="28" t="str">
        <f t="array" ref="I1901">_xlfn.XLOOKUP($A1901, 'Medical Examinations'!$A:$A, 'Medical Examinations'!H:H, "No Data")</f>
        <v>No</v>
      </c>
      <c r="J1901" s="28" t="str">
        <f t="array" ref="J1901">_xlfn.XLOOKUP($A1901, 'Medical Examinations'!$A:$A, 'Medical Examinations'!I:I, "No Data")</f>
        <v>Obesity</v>
      </c>
      <c r="K1901" s="28" t="str">
        <f t="array" ref="K1901">_xlfn.XLOOKUP($A1901, 'Hospitalisation Details'!$A:$A, 'Hospitalisation Details'!I:I, "No Data")</f>
        <v>tier - 2</v>
      </c>
      <c r="L1901" s="28" t="str">
        <f t="array" ref="L1901">_xlfn.XLOOKUP($A1901, 'Hospitalisation Details'!$A:$A, 'Hospitalisation Details'!J:J, "No Data")</f>
        <v>R1013</v>
      </c>
      <c r="M1901" s="28" t="str">
        <f t="array" ref="M1901">_xlfn.XLOOKUP($A1901, 'Hospitalisation Details'!$A:$A, 'Hospitalisation Details'!E:E, "No Data")</f>
        <v>01/11/90</v>
      </c>
      <c r="N1901" s="28">
        <f t="array" ref="N1901">_xlfn.XLOOKUP($A1901, 'Hospitalisation Details'!$A:$A, 'Hospitalisation Details'!K:K, "No Data")</f>
        <v>32</v>
      </c>
      <c r="O1901" s="33">
        <f t="array" ref="O1901">_xlfn.XLOOKUP($A1901, 'Hospitalisation Details'!$A:$A, 'Hospitalisation Details'!G:G, "No Data")</f>
        <v>3994.18</v>
      </c>
      <c r="P1901" s="28" t="str">
        <f t="array" ref="P1901">_xlfn.XLOOKUP($A1901, 'Hospitalisation Details'!$A:$A, 'Hospitalisation Details'!H:H, "No Data")</f>
        <v>tier - 2</v>
      </c>
    </row>
    <row r="1902">
      <c r="A1902" s="25" t="s">
        <v>3155</v>
      </c>
      <c r="B1902" s="28" t="str">
        <f t="array" ref="B1902">_xlfn.XLOOKUP($A1902, 'Customer Names'!$A:$A, 'Customer Names'!B:B, "No Data")</f>
        <v>Newman</v>
      </c>
      <c r="C1902" s="28">
        <f t="array" ref="C1902">_xlfn.XLOOKUP($A1902, 'Medical Examinations'!$A:$A, 'Medical Examinations'!B:B, "No Data")</f>
        <v>41.1</v>
      </c>
      <c r="D1902" s="28">
        <f t="array" ref="D1902">_xlfn.XLOOKUP($A1902, 'Medical Examinations'!$A:$A, 'Medical Examinations'!C:C, "No Data")</f>
        <v>5.79</v>
      </c>
      <c r="E1902" s="28" t="str">
        <f t="array" ref="E1902">_xlfn.XLOOKUP($A1902, 'Medical Examinations'!$A:$A, 'Medical Examinations'!D:D, "No Data")</f>
        <v>No</v>
      </c>
      <c r="F1902" s="28" t="str">
        <f t="array" ref="F1902">_xlfn.XLOOKUP($A1902, 'Medical Examinations'!$A:$A, 'Medical Examinations'!E:E, "No Data")</f>
        <v>No</v>
      </c>
      <c r="G1902" s="28" t="str">
        <f t="array" ref="G1902">_xlfn.XLOOKUP($A1902, 'Medical Examinations'!$A:$A, 'Medical Examinations'!F:F, "No Data")</f>
        <v>No</v>
      </c>
      <c r="H1902" s="28">
        <f t="array" ref="H1902">_xlfn.XLOOKUP($A1902, 'Medical Examinations'!$A:$A, 'Medical Examinations'!G:G, "No Data")</f>
        <v>0</v>
      </c>
      <c r="I1902" s="28" t="str">
        <f t="array" ref="I1902">_xlfn.XLOOKUP($A1902, 'Medical Examinations'!$A:$A, 'Medical Examinations'!H:H, "No Data")</f>
        <v>No</v>
      </c>
      <c r="J1902" s="28" t="str">
        <f t="array" ref="J1902">_xlfn.XLOOKUP($A1902, 'Medical Examinations'!$A:$A, 'Medical Examinations'!I:I, "No Data")</f>
        <v>Obesity</v>
      </c>
      <c r="K1902" s="28" t="str">
        <f t="array" ref="K1902">_xlfn.XLOOKUP($A1902, 'Hospitalisation Details'!$A:$A, 'Hospitalisation Details'!I:I, "No Data")</f>
        <v>tier - 2</v>
      </c>
      <c r="L1902" s="28" t="str">
        <f t="array" ref="L1902">_xlfn.XLOOKUP($A1902, 'Hospitalisation Details'!$A:$A, 'Hospitalisation Details'!J:J, "No Data")</f>
        <v>R1011</v>
      </c>
      <c r="M1902" s="28" t="str">
        <f t="array" ref="M1902">_xlfn.XLOOKUP($A1902, 'Hospitalisation Details'!$A:$A, 'Hospitalisation Details'!E:E, "No Data")</f>
        <v>22/11/90</v>
      </c>
      <c r="N1902" s="28">
        <f t="array" ref="N1902">_xlfn.XLOOKUP($A1902, 'Hospitalisation Details'!$A:$A, 'Hospitalisation Details'!K:K, "No Data")</f>
        <v>32</v>
      </c>
      <c r="O1902" s="33">
        <f t="array" ref="O1902">_xlfn.XLOOKUP($A1902, 'Hospitalisation Details'!$A:$A, 'Hospitalisation Details'!G:G, "No Data")</f>
        <v>3989.84</v>
      </c>
      <c r="P1902" s="28" t="str">
        <f t="array" ref="P1902">_xlfn.XLOOKUP($A1902, 'Hospitalisation Details'!$A:$A, 'Hospitalisation Details'!H:H, "No Data")</f>
        <v>tier - 2</v>
      </c>
    </row>
    <row r="1903">
      <c r="A1903" s="25" t="s">
        <v>3150</v>
      </c>
      <c r="B1903" s="28" t="str">
        <f t="array" ref="B1903">_xlfn.XLOOKUP($A1903, 'Customer Names'!$A:$A, 'Customer Names'!B:B, "No Data")</f>
        <v>Sayre</v>
      </c>
      <c r="C1903" s="28">
        <f t="array" ref="C1903">_xlfn.XLOOKUP($A1903, 'Medical Examinations'!$A:$A, 'Medical Examinations'!B:B, "No Data")</f>
        <v>34.2</v>
      </c>
      <c r="D1903" s="28">
        <f t="array" ref="D1903">_xlfn.XLOOKUP($A1903, 'Medical Examinations'!$A:$A, 'Medical Examinations'!C:C, "No Data")</f>
        <v>4.78</v>
      </c>
      <c r="E1903" s="28" t="str">
        <f t="array" ref="E1903">_xlfn.XLOOKUP($A1903, 'Medical Examinations'!$A:$A, 'Medical Examinations'!D:D, "No Data")</f>
        <v>yes</v>
      </c>
      <c r="F1903" s="28" t="str">
        <f t="array" ref="F1903">_xlfn.XLOOKUP($A1903, 'Medical Examinations'!$A:$A, 'Medical Examinations'!E:E, "No Data")</f>
        <v>No</v>
      </c>
      <c r="G1903" s="28" t="str">
        <f t="array" ref="G1903">_xlfn.XLOOKUP($A1903, 'Medical Examinations'!$A:$A, 'Medical Examinations'!F:F, "No Data")</f>
        <v>No</v>
      </c>
      <c r="H1903" s="28">
        <f t="array" ref="H1903">_xlfn.XLOOKUP($A1903, 'Medical Examinations'!$A:$A, 'Medical Examinations'!G:G, "No Data")</f>
        <v>0</v>
      </c>
      <c r="I1903" s="28" t="str">
        <f t="array" ref="I1903">_xlfn.XLOOKUP($A1903, 'Medical Examinations'!$A:$A, 'Medical Examinations'!H:H, "No Data")</f>
        <v>No</v>
      </c>
      <c r="J1903" s="28" t="str">
        <f t="array" ref="J1903">_xlfn.XLOOKUP($A1903, 'Medical Examinations'!$A:$A, 'Medical Examinations'!I:I, "No Data")</f>
        <v>Obesity</v>
      </c>
      <c r="K1903" s="28" t="str">
        <f t="array" ref="K1903">_xlfn.XLOOKUP($A1903, 'Hospitalisation Details'!$A:$A, 'Hospitalisation Details'!I:I, "No Data")</f>
        <v>tier - 2</v>
      </c>
      <c r="L1903" s="28" t="str">
        <f t="array" ref="L1903">_xlfn.XLOOKUP($A1903, 'Hospitalisation Details'!$A:$A, 'Hospitalisation Details'!J:J, "No Data")</f>
        <v>R1011</v>
      </c>
      <c r="M1903" s="28" t="str">
        <f t="array" ref="M1903">_xlfn.XLOOKUP($A1903, 'Hospitalisation Details'!$A:$A, 'Hospitalisation Details'!E:E, "No Data")</f>
        <v>08/09/96</v>
      </c>
      <c r="N1903" s="28">
        <f t="array" ref="N1903">_xlfn.XLOOKUP($A1903, 'Hospitalisation Details'!$A:$A, 'Hospitalisation Details'!K:K, "No Data")</f>
        <v>26</v>
      </c>
      <c r="O1903" s="33">
        <f t="array" ref="O1903">_xlfn.XLOOKUP($A1903, 'Hospitalisation Details'!$A:$A, 'Hospitalisation Details'!G:G, "No Data")</f>
        <v>3987.93</v>
      </c>
      <c r="P1903" s="28" t="str">
        <f t="array" ref="P1903">_xlfn.XLOOKUP($A1903, 'Hospitalisation Details'!$A:$A, 'Hospitalisation Details'!H:H, "No Data")</f>
        <v>tier - 2</v>
      </c>
    </row>
    <row r="1904">
      <c r="A1904" s="25" t="s">
        <v>3141</v>
      </c>
      <c r="B1904" s="28" t="str">
        <f t="array" ref="B1904">_xlfn.XLOOKUP($A1904, 'Customer Names'!$A:$A, 'Customer Names'!B:B, "No Data")</f>
        <v>Panke</v>
      </c>
      <c r="C1904" s="28">
        <f t="array" ref="C1904">_xlfn.XLOOKUP($A1904, 'Medical Examinations'!$A:$A, 'Medical Examinations'!B:B, "No Data")</f>
        <v>29.92</v>
      </c>
      <c r="D1904" s="28">
        <f t="array" ref="D1904">_xlfn.XLOOKUP($A1904, 'Medical Examinations'!$A:$A, 'Medical Examinations'!C:C, "No Data")</f>
        <v>6.02</v>
      </c>
      <c r="E1904" s="28" t="str">
        <f t="array" ref="E1904">_xlfn.XLOOKUP($A1904, 'Medical Examinations'!$A:$A, 'Medical Examinations'!D:D, "No Data")</f>
        <v>yes</v>
      </c>
      <c r="F1904" s="28" t="str">
        <f t="array" ref="F1904">_xlfn.XLOOKUP($A1904, 'Medical Examinations'!$A:$A, 'Medical Examinations'!E:E, "No Data")</f>
        <v>No</v>
      </c>
      <c r="G1904" s="28" t="str">
        <f t="array" ref="G1904">_xlfn.XLOOKUP($A1904, 'Medical Examinations'!$A:$A, 'Medical Examinations'!F:F, "No Data")</f>
        <v>No</v>
      </c>
      <c r="H1904" s="28">
        <f t="array" ref="H1904">_xlfn.XLOOKUP($A1904, 'Medical Examinations'!$A:$A, 'Medical Examinations'!G:G, "No Data")</f>
        <v>0</v>
      </c>
      <c r="I1904" s="28" t="str">
        <f t="array" ref="I1904">_xlfn.XLOOKUP($A1904, 'Medical Examinations'!$A:$A, 'Medical Examinations'!H:H, "No Data")</f>
        <v>No</v>
      </c>
      <c r="J1904" s="28" t="str">
        <f t="array" ref="J1904">_xlfn.XLOOKUP($A1904, 'Medical Examinations'!$A:$A, 'Medical Examinations'!I:I, "No Data")</f>
        <v>Overweight</v>
      </c>
      <c r="K1904" s="28" t="str">
        <f t="array" ref="K1904">_xlfn.XLOOKUP($A1904, 'Hospitalisation Details'!$A:$A, 'Hospitalisation Details'!I:I, "No Data")</f>
        <v>tier - 2</v>
      </c>
      <c r="L1904" s="28" t="str">
        <f t="array" ref="L1904">_xlfn.XLOOKUP($A1904, 'Hospitalisation Details'!$A:$A, 'Hospitalisation Details'!J:J, "No Data")</f>
        <v>R1013</v>
      </c>
      <c r="M1904" s="28" t="str">
        <f t="array" ref="M1904">_xlfn.XLOOKUP($A1904, 'Hospitalisation Details'!$A:$A, 'Hospitalisation Details'!E:E, "No Data")</f>
        <v>17/08/96</v>
      </c>
      <c r="N1904" s="28">
        <f t="array" ref="N1904">_xlfn.XLOOKUP($A1904, 'Hospitalisation Details'!$A:$A, 'Hospitalisation Details'!K:K, "No Data")</f>
        <v>26</v>
      </c>
      <c r="O1904" s="33">
        <f t="array" ref="O1904">_xlfn.XLOOKUP($A1904, 'Hospitalisation Details'!$A:$A, 'Hospitalisation Details'!G:G, "No Data")</f>
        <v>3981.98</v>
      </c>
      <c r="P1904" s="28" t="str">
        <f t="array" ref="P1904">_xlfn.XLOOKUP($A1904, 'Hospitalisation Details'!$A:$A, 'Hospitalisation Details'!H:H, "No Data")</f>
        <v>tier - 2</v>
      </c>
    </row>
    <row r="1905">
      <c r="A1905" s="25" t="s">
        <v>3133</v>
      </c>
      <c r="B1905" s="28" t="str">
        <f t="array" ref="B1905">_xlfn.XLOOKUP($A1905, 'Customer Names'!$A:$A, 'Customer Names'!B:B, "No Data")</f>
        <v>Brennan</v>
      </c>
      <c r="C1905" s="28">
        <f t="array" ref="C1905">_xlfn.XLOOKUP($A1905, 'Medical Examinations'!$A:$A, 'Medical Examinations'!B:B, "No Data")</f>
        <v>28.93</v>
      </c>
      <c r="D1905" s="28">
        <f t="array" ref="D1905">_xlfn.XLOOKUP($A1905, 'Medical Examinations'!$A:$A, 'Medical Examinations'!C:C, "No Data")</f>
        <v>4.44</v>
      </c>
      <c r="E1905" s="28" t="str">
        <f t="array" ref="E1905">_xlfn.XLOOKUP($A1905, 'Medical Examinations'!$A:$A, 'Medical Examinations'!D:D, "No Data")</f>
        <v>No</v>
      </c>
      <c r="F1905" s="28" t="str">
        <f t="array" ref="F1905">_xlfn.XLOOKUP($A1905, 'Medical Examinations'!$A:$A, 'Medical Examinations'!E:E, "No Data")</f>
        <v>No</v>
      </c>
      <c r="G1905" s="28" t="str">
        <f t="array" ref="G1905">_xlfn.XLOOKUP($A1905, 'Medical Examinations'!$A:$A, 'Medical Examinations'!F:F, "No Data")</f>
        <v>No</v>
      </c>
      <c r="H1905" s="28">
        <f t="array" ref="H1905">_xlfn.XLOOKUP($A1905, 'Medical Examinations'!$A:$A, 'Medical Examinations'!G:G, "No Data")</f>
        <v>0</v>
      </c>
      <c r="I1905" s="28" t="str">
        <f t="array" ref="I1905">_xlfn.XLOOKUP($A1905, 'Medical Examinations'!$A:$A, 'Medical Examinations'!H:H, "No Data")</f>
        <v>No</v>
      </c>
      <c r="J1905" s="28" t="str">
        <f t="array" ref="J1905">_xlfn.XLOOKUP($A1905, 'Medical Examinations'!$A:$A, 'Medical Examinations'!I:I, "No Data")</f>
        <v>Overweight</v>
      </c>
      <c r="K1905" s="28" t="str">
        <f t="array" ref="K1905">_xlfn.XLOOKUP($A1905, 'Hospitalisation Details'!$A:$A, 'Hospitalisation Details'!I:I, "No Data")</f>
        <v>tier - 3</v>
      </c>
      <c r="L1905" s="28" t="str">
        <f t="array" ref="L1905">_xlfn.XLOOKUP($A1905, 'Hospitalisation Details'!$A:$A, 'Hospitalisation Details'!J:J, "No Data")</f>
        <v>R1013</v>
      </c>
      <c r="M1905" s="28" t="str">
        <f t="array" ref="M1905">_xlfn.XLOOKUP($A1905, 'Hospitalisation Details'!$A:$A, 'Hospitalisation Details'!E:E, "No Data")</f>
        <v>29/07/90</v>
      </c>
      <c r="N1905" s="28">
        <f t="array" ref="N1905">_xlfn.XLOOKUP($A1905, 'Hospitalisation Details'!$A:$A, 'Hospitalisation Details'!K:K, "No Data")</f>
        <v>32</v>
      </c>
      <c r="O1905" s="33">
        <f t="array" ref="O1905">_xlfn.XLOOKUP($A1905, 'Hospitalisation Details'!$A:$A, 'Hospitalisation Details'!G:G, "No Data")</f>
        <v>3972.92</v>
      </c>
      <c r="P1905" s="28" t="str">
        <f t="array" ref="P1905">_xlfn.XLOOKUP($A1905, 'Hospitalisation Details'!$A:$A, 'Hospitalisation Details'!H:H, "No Data")</f>
        <v>tier - 2</v>
      </c>
    </row>
    <row r="1906">
      <c r="A1906" s="25" t="s">
        <v>3127</v>
      </c>
      <c r="B1906" s="28" t="str">
        <f t="array" ref="B1906">_xlfn.XLOOKUP($A1906, 'Customer Names'!$A:$A, 'Customer Names'!B:B, "No Data")</f>
        <v>Ngo</v>
      </c>
      <c r="C1906" s="28">
        <f t="array" ref="C1906">_xlfn.XLOOKUP($A1906, 'Medical Examinations'!$A:$A, 'Medical Examinations'!B:B, "No Data")</f>
        <v>31.255</v>
      </c>
      <c r="D1906" s="28">
        <f t="array" ref="D1906">_xlfn.XLOOKUP($A1906, 'Medical Examinations'!$A:$A, 'Medical Examinations'!C:C, "No Data")</f>
        <v>5.84</v>
      </c>
      <c r="E1906" s="28" t="str">
        <f t="array" ref="E1906">_xlfn.XLOOKUP($A1906, 'Medical Examinations'!$A:$A, 'Medical Examinations'!D:D, "No Data")</f>
        <v>yes</v>
      </c>
      <c r="F1906" s="28" t="str">
        <f t="array" ref="F1906">_xlfn.XLOOKUP($A1906, 'Medical Examinations'!$A:$A, 'Medical Examinations'!E:E, "No Data")</f>
        <v>No</v>
      </c>
      <c r="G1906" s="28" t="str">
        <f t="array" ref="G1906">_xlfn.XLOOKUP($A1906, 'Medical Examinations'!$A:$A, 'Medical Examinations'!F:F, "No Data")</f>
        <v>No</v>
      </c>
      <c r="H1906" s="28">
        <f t="array" ref="H1906">_xlfn.XLOOKUP($A1906, 'Medical Examinations'!$A:$A, 'Medical Examinations'!G:G, "No Data")</f>
        <v>1</v>
      </c>
      <c r="I1906" s="28" t="str">
        <f t="array" ref="I1906">_xlfn.XLOOKUP($A1906, 'Medical Examinations'!$A:$A, 'Medical Examinations'!H:H, "No Data")</f>
        <v>No</v>
      </c>
      <c r="J1906" s="28" t="str">
        <f t="array" ref="J1906">_xlfn.XLOOKUP($A1906, 'Medical Examinations'!$A:$A, 'Medical Examinations'!I:I, "No Data")</f>
        <v>Obesity</v>
      </c>
      <c r="K1906" s="28" t="str">
        <f t="array" ref="K1906">_xlfn.XLOOKUP($A1906, 'Hospitalisation Details'!$A:$A, 'Hospitalisation Details'!I:I, "No Data")</f>
        <v>tier - 2</v>
      </c>
      <c r="L1906" s="28" t="str">
        <f t="array" ref="L1906">_xlfn.XLOOKUP($A1906, 'Hospitalisation Details'!$A:$A, 'Hospitalisation Details'!J:J, "No Data")</f>
        <v>R1012</v>
      </c>
      <c r="M1906" s="28" t="str">
        <f t="array" ref="M1906">_xlfn.XLOOKUP($A1906, 'Hospitalisation Details'!$A:$A, 'Hospitalisation Details'!E:E, "No Data")</f>
        <v>11/07/95</v>
      </c>
      <c r="N1906" s="28">
        <f t="array" ref="N1906">_xlfn.XLOOKUP($A1906, 'Hospitalisation Details'!$A:$A, 'Hospitalisation Details'!K:K, "No Data")</f>
        <v>27</v>
      </c>
      <c r="O1906" s="33">
        <f t="array" ref="O1906">_xlfn.XLOOKUP($A1906, 'Hospitalisation Details'!$A:$A, 'Hospitalisation Details'!G:G, "No Data")</f>
        <v>3956.07</v>
      </c>
      <c r="P1906" s="28" t="str">
        <f t="array" ref="P1906">_xlfn.XLOOKUP($A1906, 'Hospitalisation Details'!$A:$A, 'Hospitalisation Details'!H:H, "No Data")</f>
        <v>tier - 2</v>
      </c>
    </row>
    <row r="1907">
      <c r="A1907" s="25" t="s">
        <v>3121</v>
      </c>
      <c r="B1907" s="28" t="str">
        <f t="array" ref="B1907">_xlfn.XLOOKUP($A1907, 'Customer Names'!$A:$A, 'Customer Names'!B:B, "No Data")</f>
        <v>Guerdan</v>
      </c>
      <c r="C1907" s="28">
        <f t="array" ref="C1907">_xlfn.XLOOKUP($A1907, 'Medical Examinations'!$A:$A, 'Medical Examinations'!B:B, "No Data")</f>
        <v>29.83</v>
      </c>
      <c r="D1907" s="28">
        <f t="array" ref="D1907">_xlfn.XLOOKUP($A1907, 'Medical Examinations'!$A:$A, 'Medical Examinations'!C:C, "No Data")</f>
        <v>5.39</v>
      </c>
      <c r="E1907" s="28" t="str">
        <f t="array" ref="E1907">_xlfn.XLOOKUP($A1907, 'Medical Examinations'!$A:$A, 'Medical Examinations'!D:D, "No Data")</f>
        <v>No</v>
      </c>
      <c r="F1907" s="28" t="str">
        <f t="array" ref="F1907">_xlfn.XLOOKUP($A1907, 'Medical Examinations'!$A:$A, 'Medical Examinations'!E:E, "No Data")</f>
        <v>No</v>
      </c>
      <c r="G1907" s="28" t="str">
        <f t="array" ref="G1907">_xlfn.XLOOKUP($A1907, 'Medical Examinations'!$A:$A, 'Medical Examinations'!F:F, "No Data")</f>
        <v>No</v>
      </c>
      <c r="H1907" s="28">
        <f t="array" ref="H1907">_xlfn.XLOOKUP($A1907, 'Medical Examinations'!$A:$A, 'Medical Examinations'!G:G, "No Data")</f>
        <v>0</v>
      </c>
      <c r="I1907" s="28" t="str">
        <f t="array" ref="I1907">_xlfn.XLOOKUP($A1907, 'Medical Examinations'!$A:$A, 'Medical Examinations'!H:H, "No Data")</f>
        <v>No</v>
      </c>
      <c r="J1907" s="28" t="str">
        <f t="array" ref="J1907">_xlfn.XLOOKUP($A1907, 'Medical Examinations'!$A:$A, 'Medical Examinations'!I:I, "No Data")</f>
        <v>Overweight</v>
      </c>
      <c r="K1907" s="28" t="str">
        <f t="array" ref="K1907">_xlfn.XLOOKUP($A1907, 'Hospitalisation Details'!$A:$A, 'Hospitalisation Details'!I:I, "No Data")</f>
        <v>tier - 3</v>
      </c>
      <c r="L1907" s="28" t="str">
        <f t="array" ref="L1907">_xlfn.XLOOKUP($A1907, 'Hospitalisation Details'!$A:$A, 'Hospitalisation Details'!J:J, "No Data")</f>
        <v>R1021</v>
      </c>
      <c r="M1907" s="28" t="str">
        <f t="array" ref="M1907">_xlfn.XLOOKUP($A1907, 'Hospitalisation Details'!$A:$A, 'Hospitalisation Details'!E:E, "No Data")</f>
        <v>10/07/99</v>
      </c>
      <c r="N1907" s="28">
        <f t="array" ref="N1907">_xlfn.XLOOKUP($A1907, 'Hospitalisation Details'!$A:$A, 'Hospitalisation Details'!K:K, "No Data")</f>
        <v>23</v>
      </c>
      <c r="O1907" s="33">
        <f t="array" ref="O1907">_xlfn.XLOOKUP($A1907, 'Hospitalisation Details'!$A:$A, 'Hospitalisation Details'!G:G, "No Data")</f>
        <v>3955.98</v>
      </c>
      <c r="P1907" s="28" t="str">
        <f t="array" ref="P1907">_xlfn.XLOOKUP($A1907, 'Hospitalisation Details'!$A:$A, 'Hospitalisation Details'!H:H, "No Data")</f>
        <v>tier - 2</v>
      </c>
    </row>
    <row r="1908">
      <c r="A1908" s="25" t="s">
        <v>3114</v>
      </c>
      <c r="B1908" s="28" t="str">
        <f t="array" ref="B1908">_xlfn.XLOOKUP($A1908, 'Customer Names'!$A:$A, 'Customer Names'!B:B, "No Data")</f>
        <v>Shaw</v>
      </c>
      <c r="C1908" s="28">
        <f t="array" ref="C1908">_xlfn.XLOOKUP($A1908, 'Medical Examinations'!$A:$A, 'Medical Examinations'!B:B, "No Data")</f>
        <v>29.59</v>
      </c>
      <c r="D1908" s="28">
        <f t="array" ref="D1908">_xlfn.XLOOKUP($A1908, 'Medical Examinations'!$A:$A, 'Medical Examinations'!C:C, "No Data")</f>
        <v>6.16</v>
      </c>
      <c r="E1908" s="28" t="str">
        <f t="array" ref="E1908">_xlfn.XLOOKUP($A1908, 'Medical Examinations'!$A:$A, 'Medical Examinations'!D:D, "No Data")</f>
        <v>No</v>
      </c>
      <c r="F1908" s="28" t="str">
        <f t="array" ref="F1908">_xlfn.XLOOKUP($A1908, 'Medical Examinations'!$A:$A, 'Medical Examinations'!E:E, "No Data")</f>
        <v>No</v>
      </c>
      <c r="G1908" s="28" t="str">
        <f t="array" ref="G1908">_xlfn.XLOOKUP($A1908, 'Medical Examinations'!$A:$A, 'Medical Examinations'!F:F, "No Data")</f>
        <v>Yes</v>
      </c>
      <c r="H1908" s="28">
        <f t="array" ref="H1908">_xlfn.XLOOKUP($A1908, 'Medical Examinations'!$A:$A, 'Medical Examinations'!G:G, "No Data")</f>
        <v>1</v>
      </c>
      <c r="I1908" s="28" t="str">
        <f t="array" ref="I1908">_xlfn.XLOOKUP($A1908, 'Medical Examinations'!$A:$A, 'Medical Examinations'!H:H, "No Data")</f>
        <v>No</v>
      </c>
      <c r="J1908" s="28" t="str">
        <f t="array" ref="J1908">_xlfn.XLOOKUP($A1908, 'Medical Examinations'!$A:$A, 'Medical Examinations'!I:I, "No Data")</f>
        <v>Overweight</v>
      </c>
      <c r="K1908" s="28" t="str">
        <f t="array" ref="K1908">_xlfn.XLOOKUP($A1908, 'Hospitalisation Details'!$A:$A, 'Hospitalisation Details'!I:I, "No Data")</f>
        <v>tier - 2</v>
      </c>
      <c r="L1908" s="28" t="str">
        <f t="array" ref="L1908">_xlfn.XLOOKUP($A1908, 'Hospitalisation Details'!$A:$A, 'Hospitalisation Details'!J:J, "No Data")</f>
        <v>R1013</v>
      </c>
      <c r="M1908" s="28" t="str">
        <f t="array" ref="M1908">_xlfn.XLOOKUP($A1908, 'Hospitalisation Details'!$A:$A, 'Hospitalisation Details'!E:E, "No Data")</f>
        <v>11/11/93</v>
      </c>
      <c r="N1908" s="28">
        <f t="array" ref="N1908">_xlfn.XLOOKUP($A1908, 'Hospitalisation Details'!$A:$A, 'Hospitalisation Details'!K:K, "No Data")</f>
        <v>29</v>
      </c>
      <c r="O1908" s="33">
        <f t="array" ref="O1908">_xlfn.XLOOKUP($A1908, 'Hospitalisation Details'!$A:$A, 'Hospitalisation Details'!G:G, "No Data")</f>
        <v>3947.41</v>
      </c>
      <c r="P1908" s="28" t="str">
        <f t="array" ref="P1908">_xlfn.XLOOKUP($A1908, 'Hospitalisation Details'!$A:$A, 'Hospitalisation Details'!H:H, "No Data")</f>
        <v>tier - 2</v>
      </c>
    </row>
    <row r="1909">
      <c r="A1909" s="25" t="s">
        <v>3108</v>
      </c>
      <c r="B1909" s="28" t="str">
        <f t="array" ref="B1909">_xlfn.XLOOKUP($A1909, 'Customer Names'!$A:$A, 'Customer Names'!B:B, "No Data")</f>
        <v>Mills-Honarvar</v>
      </c>
      <c r="C1909" s="28">
        <f t="array" ref="C1909">_xlfn.XLOOKUP($A1909, 'Medical Examinations'!$A:$A, 'Medical Examinations'!B:B, "No Data")</f>
        <v>31.16</v>
      </c>
      <c r="D1909" s="28">
        <f t="array" ref="D1909">_xlfn.XLOOKUP($A1909, 'Medical Examinations'!$A:$A, 'Medical Examinations'!C:C, "No Data")</f>
        <v>4.49</v>
      </c>
      <c r="E1909" s="28" t="str">
        <f t="array" ref="E1909">_xlfn.XLOOKUP($A1909, 'Medical Examinations'!$A:$A, 'Medical Examinations'!D:D, "No Data")</f>
        <v>No</v>
      </c>
      <c r="F1909" s="28" t="str">
        <f t="array" ref="F1909">_xlfn.XLOOKUP($A1909, 'Medical Examinations'!$A:$A, 'Medical Examinations'!E:E, "No Data")</f>
        <v>No</v>
      </c>
      <c r="G1909" s="28" t="str">
        <f t="array" ref="G1909">_xlfn.XLOOKUP($A1909, 'Medical Examinations'!$A:$A, 'Medical Examinations'!F:F, "No Data")</f>
        <v>Yes</v>
      </c>
      <c r="H1909" s="28">
        <f t="array" ref="H1909">_xlfn.XLOOKUP($A1909, 'Medical Examinations'!$A:$A, 'Medical Examinations'!G:G, "No Data")</f>
        <v>1</v>
      </c>
      <c r="I1909" s="28" t="str">
        <f t="array" ref="I1909">_xlfn.XLOOKUP($A1909, 'Medical Examinations'!$A:$A, 'Medical Examinations'!H:H, "No Data")</f>
        <v>No</v>
      </c>
      <c r="J1909" s="28" t="str">
        <f t="array" ref="J1909">_xlfn.XLOOKUP($A1909, 'Medical Examinations'!$A:$A, 'Medical Examinations'!I:I, "No Data")</f>
        <v>Obesity</v>
      </c>
      <c r="K1909" s="28" t="str">
        <f t="array" ref="K1909">_xlfn.XLOOKUP($A1909, 'Hospitalisation Details'!$A:$A, 'Hospitalisation Details'!I:I, "No Data")</f>
        <v>tier - 3</v>
      </c>
      <c r="L1909" s="28" t="str">
        <f t="array" ref="L1909">_xlfn.XLOOKUP($A1909, 'Hospitalisation Details'!$A:$A, 'Hospitalisation Details'!J:J, "No Data")</f>
        <v>R1024</v>
      </c>
      <c r="M1909" s="28" t="str">
        <f t="array" ref="M1909">_xlfn.XLOOKUP($A1909, 'Hospitalisation Details'!$A:$A, 'Hospitalisation Details'!E:E, "No Data")</f>
        <v>29/09/93</v>
      </c>
      <c r="N1909" s="28">
        <f t="array" ref="N1909">_xlfn.XLOOKUP($A1909, 'Hospitalisation Details'!$A:$A, 'Hospitalisation Details'!K:K, "No Data")</f>
        <v>29</v>
      </c>
      <c r="O1909" s="33">
        <f t="array" ref="O1909">_xlfn.XLOOKUP($A1909, 'Hospitalisation Details'!$A:$A, 'Hospitalisation Details'!G:G, "No Data")</f>
        <v>3943.6</v>
      </c>
      <c r="P1909" s="28" t="str">
        <f t="array" ref="P1909">_xlfn.XLOOKUP($A1909, 'Hospitalisation Details'!$A:$A, 'Hospitalisation Details'!H:H, "No Data")</f>
        <v>tier - 2</v>
      </c>
    </row>
    <row r="1910">
      <c r="A1910" s="25" t="s">
        <v>3100</v>
      </c>
      <c r="B1910" s="28" t="str">
        <f t="array" ref="B1910">_xlfn.XLOOKUP($A1910, 'Customer Names'!$A:$A, 'Customer Names'!B:B, "No Data")</f>
        <v>Farvard</v>
      </c>
      <c r="C1910" s="28">
        <f t="array" ref="C1910">_xlfn.XLOOKUP($A1910, 'Medical Examinations'!$A:$A, 'Medical Examinations'!B:B, "No Data")</f>
        <v>34.21</v>
      </c>
      <c r="D1910" s="28">
        <f t="array" ref="D1910">_xlfn.XLOOKUP($A1910, 'Medical Examinations'!$A:$A, 'Medical Examinations'!C:C, "No Data")</f>
        <v>4.48</v>
      </c>
      <c r="E1910" s="28" t="str">
        <f t="array" ref="E1910">_xlfn.XLOOKUP($A1910, 'Medical Examinations'!$A:$A, 'Medical Examinations'!D:D, "No Data")</f>
        <v>yes</v>
      </c>
      <c r="F1910" s="28" t="str">
        <f t="array" ref="F1910">_xlfn.XLOOKUP($A1910, 'Medical Examinations'!$A:$A, 'Medical Examinations'!E:E, "No Data")</f>
        <v>No</v>
      </c>
      <c r="G1910" s="28" t="str">
        <f t="array" ref="G1910">_xlfn.XLOOKUP($A1910, 'Medical Examinations'!$A:$A, 'Medical Examinations'!F:F, "No Data")</f>
        <v>No</v>
      </c>
      <c r="H1910" s="28">
        <f t="array" ref="H1910">_xlfn.XLOOKUP($A1910, 'Medical Examinations'!$A:$A, 'Medical Examinations'!G:G, "No Data")</f>
        <v>1</v>
      </c>
      <c r="I1910" s="28" t="str">
        <f t="array" ref="I1910">_xlfn.XLOOKUP($A1910, 'Medical Examinations'!$A:$A, 'Medical Examinations'!H:H, "No Data")</f>
        <v>No</v>
      </c>
      <c r="J1910" s="28" t="str">
        <f t="array" ref="J1910">_xlfn.XLOOKUP($A1910, 'Medical Examinations'!$A:$A, 'Medical Examinations'!I:I, "No Data")</f>
        <v>Obesity</v>
      </c>
      <c r="K1910" s="28" t="str">
        <f t="array" ref="K1910">_xlfn.XLOOKUP($A1910, 'Hospitalisation Details'!$A:$A, 'Hospitalisation Details'!I:I, "No Data")</f>
        <v>tier - 1</v>
      </c>
      <c r="L1910" s="28" t="str">
        <f t="array" ref="L1910">_xlfn.XLOOKUP($A1910, 'Hospitalisation Details'!$A:$A, 'Hospitalisation Details'!J:J, "No Data")</f>
        <v>R1013</v>
      </c>
      <c r="M1910" s="28" t="str">
        <f t="array" ref="M1910">_xlfn.XLOOKUP($A1910, 'Hospitalisation Details'!$A:$A, 'Hospitalisation Details'!E:E, "No Data")</f>
        <v>24/10/88</v>
      </c>
      <c r="N1910" s="28">
        <f t="array" ref="N1910">_xlfn.XLOOKUP($A1910, 'Hospitalisation Details'!$A:$A, 'Hospitalisation Details'!K:K, "No Data")</f>
        <v>34</v>
      </c>
      <c r="O1910" s="33">
        <f t="array" ref="O1910">_xlfn.XLOOKUP($A1910, 'Hospitalisation Details'!$A:$A, 'Hospitalisation Details'!G:G, "No Data")</f>
        <v>3935.18</v>
      </c>
      <c r="P1910" s="28" t="str">
        <f t="array" ref="P1910">_xlfn.XLOOKUP($A1910, 'Hospitalisation Details'!$A:$A, 'Hospitalisation Details'!H:H, "No Data")</f>
        <v>tier - 3</v>
      </c>
    </row>
    <row r="1911">
      <c r="A1911" s="25" t="s">
        <v>3095</v>
      </c>
      <c r="B1911" s="28" t="str">
        <f t="array" ref="B1911">_xlfn.XLOOKUP($A1911, 'Customer Names'!$A:$A, 'Customer Names'!B:B, "No Data")</f>
        <v>Kelly</v>
      </c>
      <c r="C1911" s="28">
        <f t="array" ref="C1911">_xlfn.XLOOKUP($A1911, 'Medical Examinations'!$A:$A, 'Medical Examinations'!B:B, "No Data")</f>
        <v>34.86</v>
      </c>
      <c r="D1911" s="28">
        <f t="array" ref="D1911">_xlfn.XLOOKUP($A1911, 'Medical Examinations'!$A:$A, 'Medical Examinations'!C:C, "No Data")</f>
        <v>10.97</v>
      </c>
      <c r="E1911" s="28" t="str">
        <f t="array" ref="E1911">_xlfn.XLOOKUP($A1911, 'Medical Examinations'!$A:$A, 'Medical Examinations'!D:D, "No Data")</f>
        <v>No</v>
      </c>
      <c r="F1911" s="28" t="str">
        <f t="array" ref="F1911">_xlfn.XLOOKUP($A1911, 'Medical Examinations'!$A:$A, 'Medical Examinations'!E:E, "No Data")</f>
        <v>No</v>
      </c>
      <c r="G1911" s="28" t="str">
        <f t="array" ref="G1911">_xlfn.XLOOKUP($A1911, 'Medical Examinations'!$A:$A, 'Medical Examinations'!F:F, "No Data")</f>
        <v>No</v>
      </c>
      <c r="H1911" s="28">
        <f t="array" ref="H1911">_xlfn.XLOOKUP($A1911, 'Medical Examinations'!$A:$A, 'Medical Examinations'!G:G, "No Data")</f>
        <v>0</v>
      </c>
      <c r="I1911" s="28" t="str">
        <f t="array" ref="I1911">_xlfn.XLOOKUP($A1911, 'Medical Examinations'!$A:$A, 'Medical Examinations'!H:H, "No Data")</f>
        <v>No</v>
      </c>
      <c r="J1911" s="28" t="str">
        <f t="array" ref="J1911">_xlfn.XLOOKUP($A1911, 'Medical Examinations'!$A:$A, 'Medical Examinations'!I:I, "No Data")</f>
        <v>Obesity</v>
      </c>
      <c r="K1911" s="28" t="str">
        <f t="array" ref="K1911">_xlfn.XLOOKUP($A1911, 'Hospitalisation Details'!$A:$A, 'Hospitalisation Details'!I:I, "No Data")</f>
        <v>tier - 3</v>
      </c>
      <c r="L1911" s="28" t="str">
        <f t="array" ref="L1911">_xlfn.XLOOKUP($A1911, 'Hospitalisation Details'!$A:$A, 'Hospitalisation Details'!J:J, "No Data")</f>
        <v>R1011</v>
      </c>
      <c r="M1911" s="28" t="str">
        <f t="array" ref="M1911">_xlfn.XLOOKUP($A1911, 'Hospitalisation Details'!$A:$A, 'Hospitalisation Details'!E:E, "No Data")</f>
        <v>15/06/02</v>
      </c>
      <c r="N1911" s="28">
        <f t="array" ref="N1911">_xlfn.XLOOKUP($A1911, 'Hospitalisation Details'!$A:$A, 'Hospitalisation Details'!K:K, "No Data")</f>
        <v>20</v>
      </c>
      <c r="O1911" s="33">
        <f t="array" ref="O1911">_xlfn.XLOOKUP($A1911, 'Hospitalisation Details'!$A:$A, 'Hospitalisation Details'!G:G, "No Data")</f>
        <v>3931.51</v>
      </c>
      <c r="P1911" s="28" t="str">
        <f t="array" ref="P1911">_xlfn.XLOOKUP($A1911, 'Hospitalisation Details'!$A:$A, 'Hospitalisation Details'!H:H, "No Data")</f>
        <v>tier - 2</v>
      </c>
    </row>
    <row r="1912">
      <c r="A1912" s="25" t="s">
        <v>3088</v>
      </c>
      <c r="B1912" s="28" t="str">
        <f t="array" ref="B1912">_xlfn.XLOOKUP($A1912, 'Customer Names'!$A:$A, 'Customer Names'!B:B, "No Data")</f>
        <v>Skinner</v>
      </c>
      <c r="C1912" s="28">
        <f t="array" ref="C1912">_xlfn.XLOOKUP($A1912, 'Medical Examinations'!$A:$A, 'Medical Examinations'!B:B, "No Data")</f>
        <v>34.58</v>
      </c>
      <c r="D1912" s="28">
        <f t="array" ref="D1912">_xlfn.XLOOKUP($A1912, 'Medical Examinations'!$A:$A, 'Medical Examinations'!C:C, "No Data")</f>
        <v>5.14</v>
      </c>
      <c r="E1912" s="28" t="str">
        <f t="array" ref="E1912">_xlfn.XLOOKUP($A1912, 'Medical Examinations'!$A:$A, 'Medical Examinations'!D:D, "No Data")</f>
        <v>No</v>
      </c>
      <c r="F1912" s="28" t="str">
        <f t="array" ref="F1912">_xlfn.XLOOKUP($A1912, 'Medical Examinations'!$A:$A, 'Medical Examinations'!E:E, "No Data")</f>
        <v>yes</v>
      </c>
      <c r="G1912" s="28" t="str">
        <f t="array" ref="G1912">_xlfn.XLOOKUP($A1912, 'Medical Examinations'!$A:$A, 'Medical Examinations'!F:F, "No Data")</f>
        <v>No</v>
      </c>
      <c r="H1912" s="28">
        <f t="array" ref="H1912">_xlfn.XLOOKUP($A1912, 'Medical Examinations'!$A:$A, 'Medical Examinations'!G:G, "No Data")</f>
        <v>2</v>
      </c>
      <c r="I1912" s="28" t="str">
        <f t="array" ref="I1912">_xlfn.XLOOKUP($A1912, 'Medical Examinations'!$A:$A, 'Medical Examinations'!H:H, "No Data")</f>
        <v>No</v>
      </c>
      <c r="J1912" s="28" t="str">
        <f t="array" ref="J1912">_xlfn.XLOOKUP($A1912, 'Medical Examinations'!$A:$A, 'Medical Examinations'!I:I, "No Data")</f>
        <v>Obesity</v>
      </c>
      <c r="K1912" s="28" t="str">
        <f t="array" ref="K1912">_xlfn.XLOOKUP($A1912, 'Hospitalisation Details'!$A:$A, 'Hospitalisation Details'!I:I, "No Data")</f>
        <v>tier - 2</v>
      </c>
      <c r="L1912" s="28" t="str">
        <f t="array" ref="L1912">_xlfn.XLOOKUP($A1912, 'Hospitalisation Details'!$A:$A, 'Hospitalisation Details'!J:J, "No Data")</f>
        <v>R1024</v>
      </c>
      <c r="M1912" s="28" t="str">
        <f t="array" ref="M1912">_xlfn.XLOOKUP($A1912, 'Hospitalisation Details'!$A:$A, 'Hospitalisation Details'!E:E, "No Data")</f>
        <v>10/07/00</v>
      </c>
      <c r="N1912" s="28">
        <f t="array" ref="N1912">_xlfn.XLOOKUP($A1912, 'Hospitalisation Details'!$A:$A, 'Hospitalisation Details'!K:K, "No Data")</f>
        <v>22</v>
      </c>
      <c r="O1912" s="33">
        <f t="array" ref="O1912">_xlfn.XLOOKUP($A1912, 'Hospitalisation Details'!$A:$A, 'Hospitalisation Details'!G:G, "No Data")</f>
        <v>3925.76</v>
      </c>
      <c r="P1912" s="28" t="str">
        <f t="array" ref="P1912">_xlfn.XLOOKUP($A1912, 'Hospitalisation Details'!$A:$A, 'Hospitalisation Details'!H:H, "No Data")</f>
        <v>tier - 2</v>
      </c>
    </row>
    <row r="1913">
      <c r="A1913" s="25" t="s">
        <v>3080</v>
      </c>
      <c r="B1913" s="28" t="str">
        <f t="array" ref="B1913">_xlfn.XLOOKUP($A1913, 'Customer Names'!$A:$A, 'Customer Names'!B:B, "No Data")</f>
        <v>Murphy</v>
      </c>
      <c r="C1913" s="28">
        <f t="array" ref="C1913">_xlfn.XLOOKUP($A1913, 'Medical Examinations'!$A:$A, 'Medical Examinations'!B:B, "No Data")</f>
        <v>17.94</v>
      </c>
      <c r="D1913" s="28">
        <f t="array" ref="D1913">_xlfn.XLOOKUP($A1913, 'Medical Examinations'!$A:$A, 'Medical Examinations'!C:C, "No Data")</f>
        <v>5.17</v>
      </c>
      <c r="E1913" s="28" t="str">
        <f t="array" ref="E1913">_xlfn.XLOOKUP($A1913, 'Medical Examinations'!$A:$A, 'Medical Examinations'!D:D, "No Data")</f>
        <v>yes</v>
      </c>
      <c r="F1913" s="28" t="str">
        <f t="array" ref="F1913">_xlfn.XLOOKUP($A1913, 'Medical Examinations'!$A:$A, 'Medical Examinations'!E:E, "No Data")</f>
        <v>No</v>
      </c>
      <c r="G1913" s="28" t="str">
        <f t="array" ref="G1913">_xlfn.XLOOKUP($A1913, 'Medical Examinations'!$A:$A, 'Medical Examinations'!F:F, "No Data")</f>
        <v>No</v>
      </c>
      <c r="H1913" s="28">
        <f t="array" ref="H1913">_xlfn.XLOOKUP($A1913, 'Medical Examinations'!$A:$A, 'Medical Examinations'!G:G, "No Data")</f>
        <v>0</v>
      </c>
      <c r="I1913" s="28" t="str">
        <f t="array" ref="I1913">_xlfn.XLOOKUP($A1913, 'Medical Examinations'!$A:$A, 'Medical Examinations'!H:H, "No Data")</f>
        <v>No</v>
      </c>
      <c r="J1913" s="28" t="str">
        <f t="array" ref="J1913">_xlfn.XLOOKUP($A1913, 'Medical Examinations'!$A:$A, 'Medical Examinations'!I:I, "No Data")</f>
        <v>Underweight</v>
      </c>
      <c r="K1913" s="28" t="str">
        <f t="array" ref="K1913">_xlfn.XLOOKUP($A1913, 'Hospitalisation Details'!$A:$A, 'Hospitalisation Details'!I:I, "No Data")</f>
        <v>tier - 2</v>
      </c>
      <c r="L1913" s="28" t="str">
        <f t="array" ref="L1913">_xlfn.XLOOKUP($A1913, 'Hospitalisation Details'!$A:$A, 'Hospitalisation Details'!J:J, "No Data")</f>
        <v>R1013</v>
      </c>
      <c r="M1913" s="28" t="str">
        <f t="array" ref="M1913">_xlfn.XLOOKUP($A1913, 'Hospitalisation Details'!$A:$A, 'Hospitalisation Details'!E:E, "No Data")</f>
        <v>05/07/85</v>
      </c>
      <c r="N1913" s="28">
        <f t="array" ref="N1913">_xlfn.XLOOKUP($A1913, 'Hospitalisation Details'!$A:$A, 'Hospitalisation Details'!K:K, "No Data")</f>
        <v>37</v>
      </c>
      <c r="O1913" s="33">
        <f t="array" ref="O1913">_xlfn.XLOOKUP($A1913, 'Hospitalisation Details'!$A:$A, 'Hospitalisation Details'!G:G, "No Data")</f>
        <v>3910.44</v>
      </c>
      <c r="P1913" s="28" t="str">
        <f t="array" ref="P1913">_xlfn.XLOOKUP($A1913, 'Hospitalisation Details'!$A:$A, 'Hospitalisation Details'!H:H, "No Data")</f>
        <v>tier - 2</v>
      </c>
    </row>
    <row r="1914">
      <c r="A1914" s="25" t="s">
        <v>3076</v>
      </c>
      <c r="B1914" s="28" t="str">
        <f t="array" ref="B1914">_xlfn.XLOOKUP($A1914, 'Customer Names'!$A:$A, 'Customer Names'!B:B, "No Data")</f>
        <v>Shue</v>
      </c>
      <c r="C1914" s="28">
        <f t="array" ref="C1914">_xlfn.XLOOKUP($A1914, 'Medical Examinations'!$A:$A, 'Medical Examinations'!B:B, "No Data")</f>
        <v>26.8</v>
      </c>
      <c r="D1914" s="28">
        <f t="array" ref="D1914">_xlfn.XLOOKUP($A1914, 'Medical Examinations'!$A:$A, 'Medical Examinations'!C:C, "No Data")</f>
        <v>6.18</v>
      </c>
      <c r="E1914" s="28" t="str">
        <f t="array" ref="E1914">_xlfn.XLOOKUP($A1914, 'Medical Examinations'!$A:$A, 'Medical Examinations'!D:D, "No Data")</f>
        <v>yes</v>
      </c>
      <c r="F1914" s="28" t="str">
        <f t="array" ref="F1914">_xlfn.XLOOKUP($A1914, 'Medical Examinations'!$A:$A, 'Medical Examinations'!E:E, "No Data")</f>
        <v>No</v>
      </c>
      <c r="G1914" s="28" t="str">
        <f t="array" ref="G1914">_xlfn.XLOOKUP($A1914, 'Medical Examinations'!$A:$A, 'Medical Examinations'!F:F, "No Data")</f>
        <v>Yes</v>
      </c>
      <c r="H1914" s="28">
        <f t="array" ref="H1914">_xlfn.XLOOKUP($A1914, 'Medical Examinations'!$A:$A, 'Medical Examinations'!G:G, "No Data")</f>
        <v>1</v>
      </c>
      <c r="I1914" s="28" t="str">
        <f t="array" ref="I1914">_xlfn.XLOOKUP($A1914, 'Medical Examinations'!$A:$A, 'Medical Examinations'!H:H, "No Data")</f>
        <v>No</v>
      </c>
      <c r="J1914" s="28" t="str">
        <f t="array" ref="J1914">_xlfn.XLOOKUP($A1914, 'Medical Examinations'!$A:$A, 'Medical Examinations'!I:I, "No Data")</f>
        <v>Overweight</v>
      </c>
      <c r="K1914" s="28" t="str">
        <f t="array" ref="K1914">_xlfn.XLOOKUP($A1914, 'Hospitalisation Details'!$A:$A, 'Hospitalisation Details'!I:I, "No Data")</f>
        <v>tier - 3</v>
      </c>
      <c r="L1914" s="28" t="str">
        <f t="array" ref="L1914">_xlfn.XLOOKUP($A1914, 'Hospitalisation Details'!$A:$A, 'Hospitalisation Details'!J:J, "No Data")</f>
        <v>R1011</v>
      </c>
      <c r="M1914" s="28" t="str">
        <f t="array" ref="M1914">_xlfn.XLOOKUP($A1914, 'Hospitalisation Details'!$A:$A, 'Hospitalisation Details'!E:E, "No Data")</f>
        <v>24/11/97</v>
      </c>
      <c r="N1914" s="28">
        <f t="array" ref="N1914">_xlfn.XLOOKUP($A1914, 'Hospitalisation Details'!$A:$A, 'Hospitalisation Details'!K:K, "No Data")</f>
        <v>25</v>
      </c>
      <c r="O1914" s="33">
        <f t="array" ref="O1914">_xlfn.XLOOKUP($A1914, 'Hospitalisation Details'!$A:$A, 'Hospitalisation Details'!G:G, "No Data")</f>
        <v>3906.13</v>
      </c>
      <c r="P1914" s="28" t="str">
        <f t="array" ref="P1914">_xlfn.XLOOKUP($A1914, 'Hospitalisation Details'!$A:$A, 'Hospitalisation Details'!H:H, "No Data")</f>
        <v>tier - 3</v>
      </c>
    </row>
    <row r="1915">
      <c r="A1915" s="25" t="s">
        <v>3074</v>
      </c>
      <c r="B1915" s="28" t="str">
        <f t="array" ref="B1915">_xlfn.XLOOKUP($A1915, 'Customer Names'!$A:$A, 'Customer Names'!B:B, "No Data")</f>
        <v>Reilly</v>
      </c>
      <c r="C1915" s="28">
        <f t="array" ref="C1915">_xlfn.XLOOKUP($A1915, 'Medical Examinations'!$A:$A, 'Medical Examinations'!B:B, "No Data")</f>
        <v>17.69</v>
      </c>
      <c r="D1915" s="28">
        <f t="array" ref="D1915">_xlfn.XLOOKUP($A1915, 'Medical Examinations'!$A:$A, 'Medical Examinations'!C:C, "No Data")</f>
        <v>9.07</v>
      </c>
      <c r="E1915" s="28" t="str">
        <f t="array" ref="E1915">_xlfn.XLOOKUP($A1915, 'Medical Examinations'!$A:$A, 'Medical Examinations'!D:D, "No Data")</f>
        <v>yes</v>
      </c>
      <c r="F1915" s="28" t="str">
        <f t="array" ref="F1915">_xlfn.XLOOKUP($A1915, 'Medical Examinations'!$A:$A, 'Medical Examinations'!E:E, "No Data")</f>
        <v>No</v>
      </c>
      <c r="G1915" s="28" t="str">
        <f t="array" ref="G1915">_xlfn.XLOOKUP($A1915, 'Medical Examinations'!$A:$A, 'Medical Examinations'!F:F, "No Data")</f>
        <v>No</v>
      </c>
      <c r="H1915" s="28">
        <f t="array" ref="H1915">_xlfn.XLOOKUP($A1915, 'Medical Examinations'!$A:$A, 'Medical Examinations'!G:G, "No Data")</f>
        <v>0</v>
      </c>
      <c r="I1915" s="28" t="str">
        <f t="array" ref="I1915">_xlfn.XLOOKUP($A1915, 'Medical Examinations'!$A:$A, 'Medical Examinations'!H:H, "No Data")</f>
        <v>No</v>
      </c>
      <c r="J1915" s="28" t="str">
        <f t="array" ref="J1915">_xlfn.XLOOKUP($A1915, 'Medical Examinations'!$A:$A, 'Medical Examinations'!I:I, "No Data")</f>
        <v>Underweight</v>
      </c>
      <c r="K1915" s="28" t="str">
        <f t="array" ref="K1915">_xlfn.XLOOKUP($A1915, 'Hospitalisation Details'!$A:$A, 'Hospitalisation Details'!I:I, "No Data")</f>
        <v>tier - 2</v>
      </c>
      <c r="L1915" s="28" t="str">
        <f t="array" ref="L1915">_xlfn.XLOOKUP($A1915, 'Hospitalisation Details'!$A:$A, 'Hospitalisation Details'!J:J, "No Data")</f>
        <v>R1013</v>
      </c>
      <c r="M1915" s="28" t="str">
        <f t="array" ref="M1915">_xlfn.XLOOKUP($A1915, 'Hospitalisation Details'!$A:$A, 'Hospitalisation Details'!E:E, "No Data")</f>
        <v>27/08/81</v>
      </c>
      <c r="N1915" s="28">
        <f t="array" ref="N1915">_xlfn.XLOOKUP($A1915, 'Hospitalisation Details'!$A:$A, 'Hospitalisation Details'!K:K, "No Data")</f>
        <v>41</v>
      </c>
      <c r="O1915" s="33">
        <f t="array" ref="O1915">_xlfn.XLOOKUP($A1915, 'Hospitalisation Details'!$A:$A, 'Hospitalisation Details'!G:G, "No Data")</f>
        <v>3902.07</v>
      </c>
      <c r="P1915" s="28" t="str">
        <f t="array" ref="P1915">_xlfn.XLOOKUP($A1915, 'Hospitalisation Details'!$A:$A, 'Hospitalisation Details'!H:H, "No Data")</f>
        <v>tier - 2</v>
      </c>
    </row>
    <row r="1916">
      <c r="A1916" s="25" t="s">
        <v>3073</v>
      </c>
      <c r="B1916" s="28" t="str">
        <f t="array" ref="B1916">_xlfn.XLOOKUP($A1916, 'Customer Names'!$A:$A, 'Customer Names'!B:B, "No Data")</f>
        <v>Blinn</v>
      </c>
      <c r="C1916" s="28">
        <f t="array" ref="C1916">_xlfn.XLOOKUP($A1916, 'Medical Examinations'!$A:$A, 'Medical Examinations'!B:B, "No Data")</f>
        <v>25.77</v>
      </c>
      <c r="D1916" s="28">
        <f t="array" ref="D1916">_xlfn.XLOOKUP($A1916, 'Medical Examinations'!$A:$A, 'Medical Examinations'!C:C, "No Data")</f>
        <v>4.43</v>
      </c>
      <c r="E1916" s="28" t="str">
        <f t="array" ref="E1916">_xlfn.XLOOKUP($A1916, 'Medical Examinations'!$A:$A, 'Medical Examinations'!D:D, "No Data")</f>
        <v>No</v>
      </c>
      <c r="F1916" s="28" t="str">
        <f t="array" ref="F1916">_xlfn.XLOOKUP($A1916, 'Medical Examinations'!$A:$A, 'Medical Examinations'!E:E, "No Data")</f>
        <v>No</v>
      </c>
      <c r="G1916" s="28" t="str">
        <f t="array" ref="G1916">_xlfn.XLOOKUP($A1916, 'Medical Examinations'!$A:$A, 'Medical Examinations'!F:F, "No Data")</f>
        <v>Yes</v>
      </c>
      <c r="H1916" s="28">
        <f t="array" ref="H1916">_xlfn.XLOOKUP($A1916, 'Medical Examinations'!$A:$A, 'Medical Examinations'!G:G, "No Data")</f>
        <v>1</v>
      </c>
      <c r="I1916" s="28" t="str">
        <f t="array" ref="I1916">_xlfn.XLOOKUP($A1916, 'Medical Examinations'!$A:$A, 'Medical Examinations'!H:H, "No Data")</f>
        <v>No</v>
      </c>
      <c r="J1916" s="28" t="str">
        <f t="array" ref="J1916">_xlfn.XLOOKUP($A1916, 'Medical Examinations'!$A:$A, 'Medical Examinations'!I:I, "No Data")</f>
        <v>Overweight</v>
      </c>
      <c r="K1916" s="28" t="str">
        <f t="array" ref="K1916">_xlfn.XLOOKUP($A1916, 'Hospitalisation Details'!$A:$A, 'Hospitalisation Details'!I:I, "No Data")</f>
        <v>tier - 2</v>
      </c>
      <c r="L1916" s="28" t="str">
        <f t="array" ref="L1916">_xlfn.XLOOKUP($A1916, 'Hospitalisation Details'!$A:$A, 'Hospitalisation Details'!J:J, "No Data")</f>
        <v>R1012</v>
      </c>
      <c r="M1916" s="28" t="str">
        <f t="array" ref="M1916">_xlfn.XLOOKUP($A1916, 'Hospitalisation Details'!$A:$A, 'Hospitalisation Details'!E:E, "No Data")</f>
        <v>14/09/93</v>
      </c>
      <c r="N1916" s="28">
        <f t="array" ref="N1916">_xlfn.XLOOKUP($A1916, 'Hospitalisation Details'!$A:$A, 'Hospitalisation Details'!K:K, "No Data")</f>
        <v>29</v>
      </c>
      <c r="O1916" s="33">
        <f t="array" ref="O1916">_xlfn.XLOOKUP($A1916, 'Hospitalisation Details'!$A:$A, 'Hospitalisation Details'!G:G, "No Data")</f>
        <v>3898.35</v>
      </c>
      <c r="P1916" s="28" t="str">
        <f t="array" ref="P1916">_xlfn.XLOOKUP($A1916, 'Hospitalisation Details'!$A:$A, 'Hospitalisation Details'!H:H, "No Data")</f>
        <v>tier - 2</v>
      </c>
    </row>
    <row r="1917">
      <c r="A1917" s="25" t="s">
        <v>3072</v>
      </c>
      <c r="B1917" s="28" t="str">
        <f t="array" ref="B1917">_xlfn.XLOOKUP($A1917, 'Customer Names'!$A:$A, 'Customer Names'!B:B, "No Data")</f>
        <v>Duyn</v>
      </c>
      <c r="C1917" s="28">
        <f t="array" ref="C1917">_xlfn.XLOOKUP($A1917, 'Medical Examinations'!$A:$A, 'Medical Examinations'!B:B, "No Data")</f>
        <v>34.46</v>
      </c>
      <c r="D1917" s="28">
        <f t="array" ref="D1917">_xlfn.XLOOKUP($A1917, 'Medical Examinations'!$A:$A, 'Medical Examinations'!C:C, "No Data")</f>
        <v>4.17</v>
      </c>
      <c r="E1917" s="28" t="str">
        <f t="array" ref="E1917">_xlfn.XLOOKUP($A1917, 'Medical Examinations'!$A:$A, 'Medical Examinations'!D:D, "No Data")</f>
        <v>No</v>
      </c>
      <c r="F1917" s="28" t="str">
        <f t="array" ref="F1917">_xlfn.XLOOKUP($A1917, 'Medical Examinations'!$A:$A, 'Medical Examinations'!E:E, "No Data")</f>
        <v>yes</v>
      </c>
      <c r="G1917" s="28" t="str">
        <f t="array" ref="G1917">_xlfn.XLOOKUP($A1917, 'Medical Examinations'!$A:$A, 'Medical Examinations'!F:F, "No Data")</f>
        <v>No</v>
      </c>
      <c r="H1917" s="28">
        <f t="array" ref="H1917">_xlfn.XLOOKUP($A1917, 'Medical Examinations'!$A:$A, 'Medical Examinations'!G:G, "No Data")</f>
        <v>1</v>
      </c>
      <c r="I1917" s="28" t="str">
        <f t="array" ref="I1917">_xlfn.XLOOKUP($A1917, 'Medical Examinations'!$A:$A, 'Medical Examinations'!H:H, "No Data")</f>
        <v>No</v>
      </c>
      <c r="J1917" s="28" t="str">
        <f t="array" ref="J1917">_xlfn.XLOOKUP($A1917, 'Medical Examinations'!$A:$A, 'Medical Examinations'!I:I, "No Data")</f>
        <v>Obesity</v>
      </c>
      <c r="K1917" s="28" t="str">
        <f t="array" ref="K1917">_xlfn.XLOOKUP($A1917, 'Hospitalisation Details'!$A:$A, 'Hospitalisation Details'!I:I, "No Data")</f>
        <v>tier - 2</v>
      </c>
      <c r="L1917" s="28" t="str">
        <f t="array" ref="L1917">_xlfn.XLOOKUP($A1917, 'Hospitalisation Details'!$A:$A, 'Hospitalisation Details'!J:J, "No Data")</f>
        <v>R1012</v>
      </c>
      <c r="M1917" s="28" t="str">
        <f t="array" ref="M1917">_xlfn.XLOOKUP($A1917, 'Hospitalisation Details'!$A:$A, 'Hospitalisation Details'!E:E, "No Data")</f>
        <v>13/07/04</v>
      </c>
      <c r="N1917" s="28">
        <f t="array" ref="N1917">_xlfn.XLOOKUP($A1917, 'Hospitalisation Details'!$A:$A, 'Hospitalisation Details'!K:K, "No Data")</f>
        <v>18</v>
      </c>
      <c r="O1917" s="33">
        <f t="array" ref="O1917">_xlfn.XLOOKUP($A1917, 'Hospitalisation Details'!$A:$A, 'Hospitalisation Details'!G:G, "No Data")</f>
        <v>3889.2</v>
      </c>
      <c r="P1917" s="28" t="str">
        <f t="array" ref="P1917">_xlfn.XLOOKUP($A1917, 'Hospitalisation Details'!$A:$A, 'Hospitalisation Details'!H:H, "No Data")</f>
        <v>tier - 2</v>
      </c>
    </row>
    <row r="1918">
      <c r="A1918" s="25" t="s">
        <v>3066</v>
      </c>
      <c r="B1918" s="28" t="str">
        <f t="array" ref="B1918">_xlfn.XLOOKUP($A1918, 'Customer Names'!$A:$A, 'Customer Names'!B:B, "No Data")</f>
        <v>Wardian</v>
      </c>
      <c r="C1918" s="28">
        <f t="array" ref="C1918">_xlfn.XLOOKUP($A1918, 'Medical Examinations'!$A:$A, 'Medical Examinations'!B:B, "No Data")</f>
        <v>30.875</v>
      </c>
      <c r="D1918" s="28">
        <f t="array" ref="D1918">_xlfn.XLOOKUP($A1918, 'Medical Examinations'!$A:$A, 'Medical Examinations'!C:C, "No Data")</f>
        <v>4.95</v>
      </c>
      <c r="E1918" s="28" t="str">
        <f t="array" ref="E1918">_xlfn.XLOOKUP($A1918, 'Medical Examinations'!$A:$A, 'Medical Examinations'!D:D, "No Data")</f>
        <v>yes</v>
      </c>
      <c r="F1918" s="28" t="str">
        <f t="array" ref="F1918">_xlfn.XLOOKUP($A1918, 'Medical Examinations'!$A:$A, 'Medical Examinations'!E:E, "No Data")</f>
        <v>No</v>
      </c>
      <c r="G1918" s="28" t="str">
        <f t="array" ref="G1918">_xlfn.XLOOKUP($A1918, 'Medical Examinations'!$A:$A, 'Medical Examinations'!F:F, "No Data")</f>
        <v>No</v>
      </c>
      <c r="H1918" s="28">
        <f t="array" ref="H1918">_xlfn.XLOOKUP($A1918, 'Medical Examinations'!$A:$A, 'Medical Examinations'!G:G, "No Data")</f>
        <v>0</v>
      </c>
      <c r="I1918" s="28" t="str">
        <f t="array" ref="I1918">_xlfn.XLOOKUP($A1918, 'Medical Examinations'!$A:$A, 'Medical Examinations'!H:H, "No Data")</f>
        <v>No</v>
      </c>
      <c r="J1918" s="28" t="str">
        <f t="array" ref="J1918">_xlfn.XLOOKUP($A1918, 'Medical Examinations'!$A:$A, 'Medical Examinations'!I:I, "No Data")</f>
        <v>Obesity</v>
      </c>
      <c r="K1918" s="28" t="str">
        <f t="array" ref="K1918">_xlfn.XLOOKUP($A1918, 'Hospitalisation Details'!$A:$A, 'Hospitalisation Details'!I:I, "No Data")</f>
        <v>tier - 3</v>
      </c>
      <c r="L1918" s="28" t="str">
        <f t="array" ref="L1918">_xlfn.XLOOKUP($A1918, 'Hospitalisation Details'!$A:$A, 'Hospitalisation Details'!J:J, "No Data")</f>
        <v>R1012</v>
      </c>
      <c r="M1918" s="28" t="str">
        <f t="array" ref="M1918">_xlfn.XLOOKUP($A1918, 'Hospitalisation Details'!$A:$A, 'Hospitalisation Details'!E:E, "No Data")</f>
        <v>23/10/96</v>
      </c>
      <c r="N1918" s="28">
        <f t="array" ref="N1918">_xlfn.XLOOKUP($A1918, 'Hospitalisation Details'!$A:$A, 'Hospitalisation Details'!K:K, "No Data")</f>
        <v>26</v>
      </c>
      <c r="O1918" s="33">
        <f t="array" ref="O1918">_xlfn.XLOOKUP($A1918, 'Hospitalisation Details'!$A:$A, 'Hospitalisation Details'!G:G, "No Data")</f>
        <v>3877.3</v>
      </c>
      <c r="P1918" s="28" t="str">
        <f t="array" ref="P1918">_xlfn.XLOOKUP($A1918, 'Hospitalisation Details'!$A:$A, 'Hospitalisation Details'!H:H, "No Data")</f>
        <v>tier - 1</v>
      </c>
    </row>
    <row r="1919">
      <c r="A1919" s="25" t="s">
        <v>3064</v>
      </c>
      <c r="B1919" s="28" t="str">
        <f t="array" ref="B1919">_xlfn.XLOOKUP($A1919, 'Customer Names'!$A:$A, 'Customer Names'!B:B, "No Data")</f>
        <v>Heuninck</v>
      </c>
      <c r="C1919" s="28">
        <f t="array" ref="C1919">_xlfn.XLOOKUP($A1919, 'Medical Examinations'!$A:$A, 'Medical Examinations'!B:B, "No Data")</f>
        <v>39.49</v>
      </c>
      <c r="D1919" s="28">
        <f t="array" ref="D1919">_xlfn.XLOOKUP($A1919, 'Medical Examinations'!$A:$A, 'Medical Examinations'!C:C, "No Data")</f>
        <v>5.13</v>
      </c>
      <c r="E1919" s="28" t="str">
        <f t="array" ref="E1919">_xlfn.XLOOKUP($A1919, 'Medical Examinations'!$A:$A, 'Medical Examinations'!D:D, "No Data")</f>
        <v>No</v>
      </c>
      <c r="F1919" s="28" t="str">
        <f t="array" ref="F1919">_xlfn.XLOOKUP($A1919, 'Medical Examinations'!$A:$A, 'Medical Examinations'!E:E, "No Data")</f>
        <v>No</v>
      </c>
      <c r="G1919" s="28" t="str">
        <f t="array" ref="G1919">_xlfn.XLOOKUP($A1919, 'Medical Examinations'!$A:$A, 'Medical Examinations'!F:F, "No Data")</f>
        <v>No</v>
      </c>
      <c r="H1919" s="28">
        <f t="array" ref="H1919">_xlfn.XLOOKUP($A1919, 'Medical Examinations'!$A:$A, 'Medical Examinations'!G:G, "No Data")</f>
        <v>0</v>
      </c>
      <c r="I1919" s="28" t="str">
        <f t="array" ref="I1919">_xlfn.XLOOKUP($A1919, 'Medical Examinations'!$A:$A, 'Medical Examinations'!H:H, "No Data")</f>
        <v>No</v>
      </c>
      <c r="J1919" s="28" t="str">
        <f t="array" ref="J1919">_xlfn.XLOOKUP($A1919, 'Medical Examinations'!$A:$A, 'Medical Examinations'!I:I, "No Data")</f>
        <v>Obesity</v>
      </c>
      <c r="K1919" s="28" t="str">
        <f t="array" ref="K1919">_xlfn.XLOOKUP($A1919, 'Hospitalisation Details'!$A:$A, 'Hospitalisation Details'!I:I, "No Data")</f>
        <v>tier - 3</v>
      </c>
      <c r="L1919" s="28" t="str">
        <f t="array" ref="L1919">_xlfn.XLOOKUP($A1919, 'Hospitalisation Details'!$A:$A, 'Hospitalisation Details'!J:J, "No Data")</f>
        <v>R1013</v>
      </c>
      <c r="M1919" s="28" t="str">
        <f t="array" ref="M1919">_xlfn.XLOOKUP($A1919, 'Hospitalisation Details'!$A:$A, 'Hospitalisation Details'!E:E, "No Data")</f>
        <v>25/07/91</v>
      </c>
      <c r="N1919" s="28">
        <f t="array" ref="N1919">_xlfn.XLOOKUP($A1919, 'Hospitalisation Details'!$A:$A, 'Hospitalisation Details'!K:K, "No Data")</f>
        <v>31</v>
      </c>
      <c r="O1919" s="33">
        <f t="array" ref="O1919">_xlfn.XLOOKUP($A1919, 'Hospitalisation Details'!$A:$A, 'Hospitalisation Details'!G:G, "No Data")</f>
        <v>3875.73</v>
      </c>
      <c r="P1919" s="28" t="str">
        <f t="array" ref="P1919">_xlfn.XLOOKUP($A1919, 'Hospitalisation Details'!$A:$A, 'Hospitalisation Details'!H:H, "No Data")</f>
        <v>tier - 2</v>
      </c>
    </row>
    <row r="1920">
      <c r="A1920" s="25" t="s">
        <v>3058</v>
      </c>
      <c r="B1920" s="28" t="str">
        <f t="array" ref="B1920">_xlfn.XLOOKUP($A1920, 'Customer Names'!$A:$A, 'Customer Names'!B:B, "No Data")</f>
        <v>Kipyego</v>
      </c>
      <c r="C1920" s="28">
        <f t="array" ref="C1920">_xlfn.XLOOKUP($A1920, 'Medical Examinations'!$A:$A, 'Medical Examinations'!B:B, "No Data")</f>
        <v>28.88</v>
      </c>
      <c r="D1920" s="28">
        <f t="array" ref="D1920">_xlfn.XLOOKUP($A1920, 'Medical Examinations'!$A:$A, 'Medical Examinations'!C:C, "No Data")</f>
        <v>4.1</v>
      </c>
      <c r="E1920" s="28" t="str">
        <f t="array" ref="E1920">_xlfn.XLOOKUP($A1920, 'Medical Examinations'!$A:$A, 'Medical Examinations'!D:D, "No Data")</f>
        <v>No</v>
      </c>
      <c r="F1920" s="28" t="str">
        <f t="array" ref="F1920">_xlfn.XLOOKUP($A1920, 'Medical Examinations'!$A:$A, 'Medical Examinations'!E:E, "No Data")</f>
        <v>No</v>
      </c>
      <c r="G1920" s="28" t="str">
        <f t="array" ref="G1920">_xlfn.XLOOKUP($A1920, 'Medical Examinations'!$A:$A, 'Medical Examinations'!F:F, "No Data")</f>
        <v>No</v>
      </c>
      <c r="H1920" s="28">
        <f t="array" ref="H1920">_xlfn.XLOOKUP($A1920, 'Medical Examinations'!$A:$A, 'Medical Examinations'!G:G, "No Data")</f>
        <v>0</v>
      </c>
      <c r="I1920" s="28" t="str">
        <f t="array" ref="I1920">_xlfn.XLOOKUP($A1920, 'Medical Examinations'!$A:$A, 'Medical Examinations'!H:H, "No Data")</f>
        <v>No</v>
      </c>
      <c r="J1920" s="28" t="str">
        <f t="array" ref="J1920">_xlfn.XLOOKUP($A1920, 'Medical Examinations'!$A:$A, 'Medical Examinations'!I:I, "No Data")</f>
        <v>Overweight</v>
      </c>
      <c r="K1920" s="28" t="str">
        <f t="array" ref="K1920">_xlfn.XLOOKUP($A1920, 'Hospitalisation Details'!$A:$A, 'Hospitalisation Details'!I:I, "No Data")</f>
        <v>tier - 1</v>
      </c>
      <c r="L1920" s="28" t="str">
        <f t="array" ref="L1920">_xlfn.XLOOKUP($A1920, 'Hospitalisation Details'!$A:$A, 'Hospitalisation Details'!J:J, "No Data")</f>
        <v>R1012</v>
      </c>
      <c r="M1920" s="28" t="str">
        <f t="array" ref="M1920">_xlfn.XLOOKUP($A1920, 'Hospitalisation Details'!$A:$A, 'Hospitalisation Details'!E:E, "No Data")</f>
        <v>24/06/90</v>
      </c>
      <c r="N1920" s="28">
        <f t="array" ref="N1920">_xlfn.XLOOKUP($A1920, 'Hospitalisation Details'!$A:$A, 'Hospitalisation Details'!K:K, "No Data")</f>
        <v>32</v>
      </c>
      <c r="O1920" s="33">
        <f t="array" ref="O1920">_xlfn.XLOOKUP($A1920, 'Hospitalisation Details'!$A:$A, 'Hospitalisation Details'!G:G, "No Data")</f>
        <v>3866.86</v>
      </c>
      <c r="P1920" s="28" t="str">
        <f t="array" ref="P1920">_xlfn.XLOOKUP($A1920, 'Hospitalisation Details'!$A:$A, 'Hospitalisation Details'!H:H, "No Data")</f>
        <v>tier - 1</v>
      </c>
    </row>
    <row r="1921">
      <c r="A1921" s="25" t="s">
        <v>3053</v>
      </c>
      <c r="B1921" s="28" t="str">
        <f t="array" ref="B1921">_xlfn.XLOOKUP($A1921, 'Customer Names'!$A:$A, 'Customer Names'!B:B, "No Data")</f>
        <v>Kuehl</v>
      </c>
      <c r="C1921" s="28">
        <f t="array" ref="C1921">_xlfn.XLOOKUP($A1921, 'Medical Examinations'!$A:$A, 'Medical Examinations'!B:B, "No Data")</f>
        <v>20.235</v>
      </c>
      <c r="D1921" s="28">
        <f t="array" ref="D1921">_xlfn.XLOOKUP($A1921, 'Medical Examinations'!$A:$A, 'Medical Examinations'!C:C, "No Data")</f>
        <v>5.01</v>
      </c>
      <c r="E1921" s="28" t="str">
        <f t="array" ref="E1921">_xlfn.XLOOKUP($A1921, 'Medical Examinations'!$A:$A, 'Medical Examinations'!D:D, "No Data")</f>
        <v>yes</v>
      </c>
      <c r="F1921" s="28" t="str">
        <f t="array" ref="F1921">_xlfn.XLOOKUP($A1921, 'Medical Examinations'!$A:$A, 'Medical Examinations'!E:E, "No Data")</f>
        <v>No</v>
      </c>
      <c r="G1921" s="28" t="str">
        <f t="array" ref="G1921">_xlfn.XLOOKUP($A1921, 'Medical Examinations'!$A:$A, 'Medical Examinations'!F:F, "No Data")</f>
        <v>No</v>
      </c>
      <c r="H1921" s="28">
        <f t="array" ref="H1921">_xlfn.XLOOKUP($A1921, 'Medical Examinations'!$A:$A, 'Medical Examinations'!G:G, "No Data")</f>
        <v>0</v>
      </c>
      <c r="I1921" s="28" t="str">
        <f t="array" ref="I1921">_xlfn.XLOOKUP($A1921, 'Medical Examinations'!$A:$A, 'Medical Examinations'!H:H, "No Data")</f>
        <v>No</v>
      </c>
      <c r="J1921" s="28" t="str">
        <f t="array" ref="J1921">_xlfn.XLOOKUP($A1921, 'Medical Examinations'!$A:$A, 'Medical Examinations'!I:I, "No Data")</f>
        <v>Normal Weight</v>
      </c>
      <c r="K1921" s="28" t="str">
        <f t="array" ref="K1921">_xlfn.XLOOKUP($A1921, 'Hospitalisation Details'!$A:$A, 'Hospitalisation Details'!I:I, "No Data")</f>
        <v>tier - 2</v>
      </c>
      <c r="L1921" s="28" t="str">
        <f t="array" ref="L1921">_xlfn.XLOOKUP($A1921, 'Hospitalisation Details'!$A:$A, 'Hospitalisation Details'!J:J, "No Data")</f>
        <v>R1016</v>
      </c>
      <c r="M1921" s="28" t="str">
        <f t="array" ref="M1921">_xlfn.XLOOKUP($A1921, 'Hospitalisation Details'!$A:$A, 'Hospitalisation Details'!E:E, "No Data")</f>
        <v>18/10/01</v>
      </c>
      <c r="N1921" s="28">
        <f t="array" ref="N1921">_xlfn.XLOOKUP($A1921, 'Hospitalisation Details'!$A:$A, 'Hospitalisation Details'!K:K, "No Data")</f>
        <v>21</v>
      </c>
      <c r="O1921" s="33">
        <f t="array" ref="O1921">_xlfn.XLOOKUP($A1921, 'Hospitalisation Details'!$A:$A, 'Hospitalisation Details'!G:G, "No Data")</f>
        <v>3861.21</v>
      </c>
      <c r="P1921" s="28" t="str">
        <f t="array" ref="P1921">_xlfn.XLOOKUP($A1921, 'Hospitalisation Details'!$A:$A, 'Hospitalisation Details'!H:H, "No Data")</f>
        <v>tier - 2</v>
      </c>
    </row>
    <row r="1922">
      <c r="A1922" s="25" t="s">
        <v>3048</v>
      </c>
      <c r="B1922" s="28" t="str">
        <f t="array" ref="B1922">_xlfn.XLOOKUP($A1922, 'Customer Names'!$A:$A, 'Customer Names'!B:B, "No Data")</f>
        <v>Burkholder</v>
      </c>
      <c r="C1922" s="28">
        <f t="array" ref="C1922">_xlfn.XLOOKUP($A1922, 'Medical Examinations'!$A:$A, 'Medical Examinations'!B:B, "No Data")</f>
        <v>30.67</v>
      </c>
      <c r="D1922" s="28">
        <f t="array" ref="D1922">_xlfn.XLOOKUP($A1922, 'Medical Examinations'!$A:$A, 'Medical Examinations'!C:C, "No Data")</f>
        <v>5.09</v>
      </c>
      <c r="E1922" s="28" t="str">
        <f t="array" ref="E1922">_xlfn.XLOOKUP($A1922, 'Medical Examinations'!$A:$A, 'Medical Examinations'!D:D, "No Data")</f>
        <v>yes</v>
      </c>
      <c r="F1922" s="28" t="str">
        <f t="array" ref="F1922">_xlfn.XLOOKUP($A1922, 'Medical Examinations'!$A:$A, 'Medical Examinations'!E:E, "No Data")</f>
        <v>No</v>
      </c>
      <c r="G1922" s="28" t="str">
        <f t="array" ref="G1922">_xlfn.XLOOKUP($A1922, 'Medical Examinations'!$A:$A, 'Medical Examinations'!F:F, "No Data")</f>
        <v>No</v>
      </c>
      <c r="H1922" s="28">
        <f t="array" ref="H1922">_xlfn.XLOOKUP($A1922, 'Medical Examinations'!$A:$A, 'Medical Examinations'!G:G, "No Data")</f>
        <v>0</v>
      </c>
      <c r="I1922" s="28" t="str">
        <f t="array" ref="I1922">_xlfn.XLOOKUP($A1922, 'Medical Examinations'!$A:$A, 'Medical Examinations'!H:H, "No Data")</f>
        <v>No</v>
      </c>
      <c r="J1922" s="28" t="str">
        <f t="array" ref="J1922">_xlfn.XLOOKUP($A1922, 'Medical Examinations'!$A:$A, 'Medical Examinations'!I:I, "No Data")</f>
        <v>Obesity</v>
      </c>
      <c r="K1922" s="28" t="str">
        <f t="array" ref="K1922">_xlfn.XLOOKUP($A1922, 'Hospitalisation Details'!$A:$A, 'Hospitalisation Details'!I:I, "No Data")</f>
        <v>tier - 3</v>
      </c>
      <c r="L1922" s="28" t="str">
        <f t="array" ref="L1922">_xlfn.XLOOKUP($A1922, 'Hospitalisation Details'!$A:$A, 'Hospitalisation Details'!J:J, "No Data")</f>
        <v>R1025</v>
      </c>
      <c r="M1922" s="28" t="str">
        <f t="array" ref="M1922">_xlfn.XLOOKUP($A1922, 'Hospitalisation Details'!$A:$A, 'Hospitalisation Details'!E:E, "No Data")</f>
        <v>06/06/01</v>
      </c>
      <c r="N1922" s="28">
        <f t="array" ref="N1922">_xlfn.XLOOKUP($A1922, 'Hospitalisation Details'!$A:$A, 'Hospitalisation Details'!K:K, "No Data")</f>
        <v>22</v>
      </c>
      <c r="O1922" s="33">
        <f t="array" ref="O1922">_xlfn.XLOOKUP($A1922, 'Hospitalisation Details'!$A:$A, 'Hospitalisation Details'!G:G, "No Data")</f>
        <v>3858.51</v>
      </c>
      <c r="P1922" s="28" t="str">
        <f t="array" ref="P1922">_xlfn.XLOOKUP($A1922, 'Hospitalisation Details'!$A:$A, 'Hospitalisation Details'!H:H, "No Data")</f>
        <v>tier - 2</v>
      </c>
    </row>
    <row r="1923">
      <c r="A1923" s="25" t="s">
        <v>3042</v>
      </c>
      <c r="B1923" s="28" t="str">
        <f t="array" ref="B1923">_xlfn.XLOOKUP($A1923, 'Customer Names'!$A:$A, 'Customer Names'!B:B, "No Data")</f>
        <v>Stadolnik</v>
      </c>
      <c r="C1923" s="28">
        <f t="array" ref="C1923">_xlfn.XLOOKUP($A1923, 'Medical Examinations'!$A:$A, 'Medical Examinations'!B:B, "No Data")</f>
        <v>30.875</v>
      </c>
      <c r="D1923" s="28">
        <f t="array" ref="D1923">_xlfn.XLOOKUP($A1923, 'Medical Examinations'!$A:$A, 'Medical Examinations'!C:C, "No Data")</f>
        <v>6.49</v>
      </c>
      <c r="E1923" s="28" t="str">
        <f t="array" ref="E1923">_xlfn.XLOOKUP($A1923, 'Medical Examinations'!$A:$A, 'Medical Examinations'!D:D, "No Data")</f>
        <v>No</v>
      </c>
      <c r="F1923" s="28" t="str">
        <f t="array" ref="F1923">_xlfn.XLOOKUP($A1923, 'Medical Examinations'!$A:$A, 'Medical Examinations'!E:E, "No Data")</f>
        <v>No</v>
      </c>
      <c r="G1923" s="28" t="str">
        <f t="array" ref="G1923">_xlfn.XLOOKUP($A1923, 'Medical Examinations'!$A:$A, 'Medical Examinations'!F:F, "No Data")</f>
        <v>No</v>
      </c>
      <c r="H1923" s="28">
        <f t="array" ref="H1923">_xlfn.XLOOKUP($A1923, 'Medical Examinations'!$A:$A, 'Medical Examinations'!G:G, "No Data")</f>
        <v>0</v>
      </c>
      <c r="I1923" s="28" t="str">
        <f t="array" ref="I1923">_xlfn.XLOOKUP($A1923, 'Medical Examinations'!$A:$A, 'Medical Examinations'!H:H, "No Data")</f>
        <v>No</v>
      </c>
      <c r="J1923" s="28" t="str">
        <f t="array" ref="J1923">_xlfn.XLOOKUP($A1923, 'Medical Examinations'!$A:$A, 'Medical Examinations'!I:I, "No Data")</f>
        <v>Obesity</v>
      </c>
      <c r="K1923" s="28" t="str">
        <f t="array" ref="K1923">_xlfn.XLOOKUP($A1923, 'Hospitalisation Details'!$A:$A, 'Hospitalisation Details'!I:I, "No Data")</f>
        <v>tier - 1</v>
      </c>
      <c r="L1923" s="28" t="str">
        <f t="array" ref="L1923">_xlfn.XLOOKUP($A1923, 'Hospitalisation Details'!$A:$A, 'Hospitalisation Details'!J:J, "No Data")</f>
        <v>R1016</v>
      </c>
      <c r="M1923" s="28" t="str">
        <f t="array" ref="M1923">_xlfn.XLOOKUP($A1923, 'Hospitalisation Details'!$A:$A, 'Hospitalisation Details'!E:E, "No Data")</f>
        <v>19/08/91</v>
      </c>
      <c r="N1923" s="28">
        <f t="array" ref="N1923">_xlfn.XLOOKUP($A1923, 'Hospitalisation Details'!$A:$A, 'Hospitalisation Details'!K:K, "No Data")</f>
        <v>31</v>
      </c>
      <c r="O1923" s="33">
        <f t="array" ref="O1923">_xlfn.XLOOKUP($A1923, 'Hospitalisation Details'!$A:$A, 'Hospitalisation Details'!G:G, "No Data")</f>
        <v>3857.76</v>
      </c>
      <c r="P1923" s="28" t="str">
        <f t="array" ref="P1923">_xlfn.XLOOKUP($A1923, 'Hospitalisation Details'!$A:$A, 'Hospitalisation Details'!H:H, "No Data")</f>
        <v>tier - 3</v>
      </c>
    </row>
    <row r="1924">
      <c r="A1924" s="25" t="s">
        <v>3038</v>
      </c>
      <c r="B1924" s="28" t="str">
        <f t="array" ref="B1924">_xlfn.XLOOKUP($A1924, 'Customer Names'!$A:$A, 'Customer Names'!B:B, "No Data")</f>
        <v>Shields</v>
      </c>
      <c r="C1924" s="28">
        <f t="array" ref="C1924">_xlfn.XLOOKUP($A1924, 'Medical Examinations'!$A:$A, 'Medical Examinations'!B:B, "No Data")</f>
        <v>23.8</v>
      </c>
      <c r="D1924" s="28">
        <f t="array" ref="D1924">_xlfn.XLOOKUP($A1924, 'Medical Examinations'!$A:$A, 'Medical Examinations'!C:C, "No Data")</f>
        <v>4.08</v>
      </c>
      <c r="E1924" s="28" t="str">
        <f t="array" ref="E1924">_xlfn.XLOOKUP($A1924, 'Medical Examinations'!$A:$A, 'Medical Examinations'!D:D, "No Data")</f>
        <v>No</v>
      </c>
      <c r="F1924" s="28" t="str">
        <f t="array" ref="F1924">_xlfn.XLOOKUP($A1924, 'Medical Examinations'!$A:$A, 'Medical Examinations'!E:E, "No Data")</f>
        <v>No</v>
      </c>
      <c r="G1924" s="28" t="str">
        <f t="array" ref="G1924">_xlfn.XLOOKUP($A1924, 'Medical Examinations'!$A:$A, 'Medical Examinations'!F:F, "No Data")</f>
        <v>No</v>
      </c>
      <c r="H1924" s="28">
        <f t="array" ref="H1924">_xlfn.XLOOKUP($A1924, 'Medical Examinations'!$A:$A, 'Medical Examinations'!G:G, "No Data")</f>
        <v>0</v>
      </c>
      <c r="I1924" s="28" t="str">
        <f t="array" ref="I1924">_xlfn.XLOOKUP($A1924, 'Medical Examinations'!$A:$A, 'Medical Examinations'!H:H, "No Data")</f>
        <v>No</v>
      </c>
      <c r="J1924" s="28" t="str">
        <f t="array" ref="J1924">_xlfn.XLOOKUP($A1924, 'Medical Examinations'!$A:$A, 'Medical Examinations'!I:I, "No Data")</f>
        <v>Normal Weight</v>
      </c>
      <c r="K1924" s="28" t="str">
        <f t="array" ref="K1924">_xlfn.XLOOKUP($A1924, 'Hospitalisation Details'!$A:$A, 'Hospitalisation Details'!I:I, "No Data")</f>
        <v>tier - 2</v>
      </c>
      <c r="L1924" s="28" t="str">
        <f t="array" ref="L1924">_xlfn.XLOOKUP($A1924, 'Hospitalisation Details'!$A:$A, 'Hospitalisation Details'!J:J, "No Data")</f>
        <v>R1011</v>
      </c>
      <c r="M1924" s="28" t="str">
        <f t="array" ref="M1924">_xlfn.XLOOKUP($A1924, 'Hospitalisation Details'!$A:$A, 'Hospitalisation Details'!E:E, "No Data")</f>
        <v>12/08/94</v>
      </c>
      <c r="N1924" s="28">
        <f t="array" ref="N1924">_xlfn.XLOOKUP($A1924, 'Hospitalisation Details'!$A:$A, 'Hospitalisation Details'!K:K, "No Data")</f>
        <v>28</v>
      </c>
      <c r="O1924" s="33">
        <f t="array" ref="O1924">_xlfn.XLOOKUP($A1924, 'Hospitalisation Details'!$A:$A, 'Hospitalisation Details'!G:G, "No Data")</f>
        <v>3847.67</v>
      </c>
      <c r="P1924" s="28" t="str">
        <f t="array" ref="P1924">_xlfn.XLOOKUP($A1924, 'Hospitalisation Details'!$A:$A, 'Hospitalisation Details'!H:H, "No Data")</f>
        <v>tier - 3</v>
      </c>
    </row>
    <row r="1925">
      <c r="A1925" s="25" t="s">
        <v>3034</v>
      </c>
      <c r="B1925" s="28" t="str">
        <f t="array" ref="B1925">_xlfn.XLOOKUP($A1925, 'Customer Names'!$A:$A, 'Customer Names'!B:B, "No Data")</f>
        <v>Margolis</v>
      </c>
      <c r="C1925" s="28">
        <f t="array" ref="C1925">_xlfn.XLOOKUP($A1925, 'Medical Examinations'!$A:$A, 'Medical Examinations'!B:B, "No Data")</f>
        <v>15.37</v>
      </c>
      <c r="D1925" s="28">
        <f t="array" ref="D1925">_xlfn.XLOOKUP($A1925, 'Medical Examinations'!$A:$A, 'Medical Examinations'!C:C, "No Data")</f>
        <v>8.63</v>
      </c>
      <c r="E1925" s="28" t="str">
        <f t="array" ref="E1925">_xlfn.XLOOKUP($A1925, 'Medical Examinations'!$A:$A, 'Medical Examinations'!D:D, "No Data")</f>
        <v>yes</v>
      </c>
      <c r="F1925" s="28" t="str">
        <f t="array" ref="F1925">_xlfn.XLOOKUP($A1925, 'Medical Examinations'!$A:$A, 'Medical Examinations'!E:E, "No Data")</f>
        <v>No</v>
      </c>
      <c r="G1925" s="28" t="str">
        <f t="array" ref="G1925">_xlfn.XLOOKUP($A1925, 'Medical Examinations'!$A:$A, 'Medical Examinations'!F:F, "No Data")</f>
        <v>No</v>
      </c>
      <c r="H1925" s="28">
        <f t="array" ref="H1925">_xlfn.XLOOKUP($A1925, 'Medical Examinations'!$A:$A, 'Medical Examinations'!G:G, "No Data")</f>
        <v>0</v>
      </c>
      <c r="I1925" s="28" t="str">
        <f t="array" ref="I1925">_xlfn.XLOOKUP($A1925, 'Medical Examinations'!$A:$A, 'Medical Examinations'!H:H, "No Data")</f>
        <v>No</v>
      </c>
      <c r="J1925" s="28" t="str">
        <f t="array" ref="J1925">_xlfn.XLOOKUP($A1925, 'Medical Examinations'!$A:$A, 'Medical Examinations'!I:I, "No Data")</f>
        <v>Underweight</v>
      </c>
      <c r="K1925" s="28" t="str">
        <f t="array" ref="K1925">_xlfn.XLOOKUP($A1925, 'Hospitalisation Details'!$A:$A, 'Hospitalisation Details'!I:I, "No Data")</f>
        <v>tier - 3</v>
      </c>
      <c r="L1925" s="28" t="str">
        <f t="array" ref="L1925">_xlfn.XLOOKUP($A1925, 'Hospitalisation Details'!$A:$A, 'Hospitalisation Details'!J:J, "No Data")</f>
        <v>R1012</v>
      </c>
      <c r="M1925" s="28" t="str">
        <f t="array" ref="M1925">_xlfn.XLOOKUP($A1925, 'Hospitalisation Details'!$A:$A, 'Hospitalisation Details'!E:E, "No Data")</f>
        <v>29/09/81</v>
      </c>
      <c r="N1925" s="28">
        <f t="array" ref="N1925">_xlfn.XLOOKUP($A1925, 'Hospitalisation Details'!$A:$A, 'Hospitalisation Details'!K:K, "No Data")</f>
        <v>41</v>
      </c>
      <c r="O1925" s="33">
        <f t="array" ref="O1925">_xlfn.XLOOKUP($A1925, 'Hospitalisation Details'!$A:$A, 'Hospitalisation Details'!G:G, "No Data")</f>
        <v>3797.2</v>
      </c>
      <c r="P1925" s="28" t="str">
        <f t="array" ref="P1925">_xlfn.XLOOKUP($A1925, 'Hospitalisation Details'!$A:$A, 'Hospitalisation Details'!H:H, "No Data")</f>
        <v>tier - 2</v>
      </c>
    </row>
    <row r="1926">
      <c r="A1926" s="25" t="s">
        <v>3030</v>
      </c>
      <c r="B1926" s="28" t="str">
        <f t="array" ref="B1926">_xlfn.XLOOKUP($A1926, 'Customer Names'!$A:$A, 'Customer Names'!B:B, "No Data")</f>
        <v>Uffenbeck</v>
      </c>
      <c r="C1926" s="28">
        <f t="array" ref="C1926">_xlfn.XLOOKUP($A1926, 'Medical Examinations'!$A:$A, 'Medical Examinations'!B:B, "No Data")</f>
        <v>30.4</v>
      </c>
      <c r="D1926" s="28">
        <f t="array" ref="D1926">_xlfn.XLOOKUP($A1926, 'Medical Examinations'!$A:$A, 'Medical Examinations'!C:C, "No Data")</f>
        <v>5.28</v>
      </c>
      <c r="E1926" s="28" t="str">
        <f t="array" ref="E1926">_xlfn.XLOOKUP($A1926, 'Medical Examinations'!$A:$A, 'Medical Examinations'!D:D, "No Data")</f>
        <v>No</v>
      </c>
      <c r="F1926" s="28" t="str">
        <f t="array" ref="F1926">_xlfn.XLOOKUP($A1926, 'Medical Examinations'!$A:$A, 'Medical Examinations'!E:E, "No Data")</f>
        <v>No</v>
      </c>
      <c r="G1926" s="28" t="str">
        <f t="array" ref="G1926">_xlfn.XLOOKUP($A1926, 'Medical Examinations'!$A:$A, 'Medical Examinations'!F:F, "No Data")</f>
        <v>No</v>
      </c>
      <c r="H1926" s="28">
        <f t="array" ref="H1926">_xlfn.XLOOKUP($A1926, 'Medical Examinations'!$A:$A, 'Medical Examinations'!G:G, "No Data")</f>
        <v>0</v>
      </c>
      <c r="I1926" s="28" t="str">
        <f t="array" ref="I1926">_xlfn.XLOOKUP($A1926, 'Medical Examinations'!$A:$A, 'Medical Examinations'!H:H, "No Data")</f>
        <v>No</v>
      </c>
      <c r="J1926" s="28" t="str">
        <f t="array" ref="J1926">_xlfn.XLOOKUP($A1926, 'Medical Examinations'!$A:$A, 'Medical Examinations'!I:I, "No Data")</f>
        <v>Obesity</v>
      </c>
      <c r="K1926" s="28" t="str">
        <f t="array" ref="K1926">_xlfn.XLOOKUP($A1926, 'Hospitalisation Details'!$A:$A, 'Hospitalisation Details'!I:I, "No Data")</f>
        <v>tier - 3</v>
      </c>
      <c r="L1926" s="28" t="str">
        <f t="array" ref="L1926">_xlfn.XLOOKUP($A1926, 'Hospitalisation Details'!$A:$A, 'Hospitalisation Details'!J:J, "No Data")</f>
        <v>R1012</v>
      </c>
      <c r="M1926" s="28" t="str">
        <f t="array" ref="M1926">_xlfn.XLOOKUP($A1926, 'Hospitalisation Details'!$A:$A, 'Hospitalisation Details'!E:E, "No Data")</f>
        <v>24/06/99</v>
      </c>
      <c r="N1926" s="28">
        <f t="array" ref="N1926">_xlfn.XLOOKUP($A1926, 'Hospitalisation Details'!$A:$A, 'Hospitalisation Details'!K:K, "No Data")</f>
        <v>23</v>
      </c>
      <c r="O1926" s="33">
        <f t="array" ref="O1926">_xlfn.XLOOKUP($A1926, 'Hospitalisation Details'!$A:$A, 'Hospitalisation Details'!G:G, "No Data")</f>
        <v>3796.36</v>
      </c>
      <c r="P1926" s="28" t="str">
        <f t="array" ref="P1926">_xlfn.XLOOKUP($A1926, 'Hospitalisation Details'!$A:$A, 'Hospitalisation Details'!H:H, "No Data")</f>
        <v>tier - 2</v>
      </c>
    </row>
    <row r="1927">
      <c r="A1927" s="25" t="s">
        <v>3027</v>
      </c>
      <c r="B1927" s="28" t="str">
        <f t="array" ref="B1927">_xlfn.XLOOKUP($A1927, 'Customer Names'!$A:$A, 'Customer Names'!B:B, "No Data")</f>
        <v>Brake</v>
      </c>
      <c r="C1927" s="28">
        <f t="array" ref="C1927">_xlfn.XLOOKUP($A1927, 'Medical Examinations'!$A:$A, 'Medical Examinations'!B:B, "No Data")</f>
        <v>19.48</v>
      </c>
      <c r="D1927" s="28">
        <f t="array" ref="D1927">_xlfn.XLOOKUP($A1927, 'Medical Examinations'!$A:$A, 'Medical Examinations'!C:C, "No Data")</f>
        <v>5.63</v>
      </c>
      <c r="E1927" s="28" t="str">
        <f t="array" ref="E1927">_xlfn.XLOOKUP($A1927, 'Medical Examinations'!$A:$A, 'Medical Examinations'!D:D, "No Data")</f>
        <v>yes</v>
      </c>
      <c r="F1927" s="28" t="str">
        <f t="array" ref="F1927">_xlfn.XLOOKUP($A1927, 'Medical Examinations'!$A:$A, 'Medical Examinations'!E:E, "No Data")</f>
        <v>No</v>
      </c>
      <c r="G1927" s="28" t="str">
        <f t="array" ref="G1927">_xlfn.XLOOKUP($A1927, 'Medical Examinations'!$A:$A, 'Medical Examinations'!F:F, "No Data")</f>
        <v>No</v>
      </c>
      <c r="H1927" s="28">
        <f t="array" ref="H1927">_xlfn.XLOOKUP($A1927, 'Medical Examinations'!$A:$A, 'Medical Examinations'!G:G, "No Data")</f>
        <v>1</v>
      </c>
      <c r="I1927" s="28" t="str">
        <f t="array" ref="I1927">_xlfn.XLOOKUP($A1927, 'Medical Examinations'!$A:$A, 'Medical Examinations'!H:H, "No Data")</f>
        <v>No</v>
      </c>
      <c r="J1927" s="28" t="str">
        <f t="array" ref="J1927">_xlfn.XLOOKUP($A1927, 'Medical Examinations'!$A:$A, 'Medical Examinations'!I:I, "No Data")</f>
        <v>Normal Weight</v>
      </c>
      <c r="K1927" s="28" t="str">
        <f t="array" ref="K1927">_xlfn.XLOOKUP($A1927, 'Hospitalisation Details'!$A:$A, 'Hospitalisation Details'!I:I, "No Data")</f>
        <v>tier - 3</v>
      </c>
      <c r="L1927" s="28" t="str">
        <f t="array" ref="L1927">_xlfn.XLOOKUP($A1927, 'Hospitalisation Details'!$A:$A, 'Hospitalisation Details'!J:J, "No Data")</f>
        <v>R1013</v>
      </c>
      <c r="M1927" s="28" t="str">
        <f t="array" ref="M1927">_xlfn.XLOOKUP($A1927, 'Hospitalisation Details'!$A:$A, 'Hospitalisation Details'!E:E, "No Data")</f>
        <v>28/08/88</v>
      </c>
      <c r="N1927" s="28">
        <f t="array" ref="N1927">_xlfn.XLOOKUP($A1927, 'Hospitalisation Details'!$A:$A, 'Hospitalisation Details'!K:K, "No Data")</f>
        <v>34</v>
      </c>
      <c r="O1927" s="33">
        <f t="array" ref="O1927">_xlfn.XLOOKUP($A1927, 'Hospitalisation Details'!$A:$A, 'Hospitalisation Details'!G:G, "No Data")</f>
        <v>3793.55</v>
      </c>
      <c r="P1927" s="28" t="str">
        <f t="array" ref="P1927">_xlfn.XLOOKUP($A1927, 'Hospitalisation Details'!$A:$A, 'Hospitalisation Details'!H:H, "No Data")</f>
        <v>tier - 2</v>
      </c>
    </row>
    <row r="1928">
      <c r="A1928" s="25" t="s">
        <v>3022</v>
      </c>
      <c r="B1928" s="28" t="str">
        <f t="array" ref="B1928">_xlfn.XLOOKUP($A1928, 'Customer Names'!$A:$A, 'Customer Names'!B:B, "No Data")</f>
        <v>Stepanova</v>
      </c>
      <c r="C1928" s="28">
        <f t="array" ref="C1928">_xlfn.XLOOKUP($A1928, 'Medical Examinations'!$A:$A, 'Medical Examinations'!B:B, "No Data")</f>
        <v>16.96</v>
      </c>
      <c r="D1928" s="28">
        <f t="array" ref="D1928">_xlfn.XLOOKUP($A1928, 'Medical Examinations'!$A:$A, 'Medical Examinations'!C:C, "No Data")</f>
        <v>11.47</v>
      </c>
      <c r="E1928" s="28" t="str">
        <f t="array" ref="E1928">_xlfn.XLOOKUP($A1928, 'Medical Examinations'!$A:$A, 'Medical Examinations'!D:D, "No Data")</f>
        <v>yes</v>
      </c>
      <c r="F1928" s="28" t="str">
        <f t="array" ref="F1928">_xlfn.XLOOKUP($A1928, 'Medical Examinations'!$A:$A, 'Medical Examinations'!E:E, "No Data")</f>
        <v>No</v>
      </c>
      <c r="G1928" s="28" t="str">
        <f t="array" ref="G1928">_xlfn.XLOOKUP($A1928, 'Medical Examinations'!$A:$A, 'Medical Examinations'!F:F, "No Data")</f>
        <v>No</v>
      </c>
      <c r="H1928" s="28">
        <f t="array" ref="H1928">_xlfn.XLOOKUP($A1928, 'Medical Examinations'!$A:$A, 'Medical Examinations'!G:G, "No Data")</f>
        <v>0</v>
      </c>
      <c r="I1928" s="28" t="str">
        <f t="array" ref="I1928">_xlfn.XLOOKUP($A1928, 'Medical Examinations'!$A:$A, 'Medical Examinations'!H:H, "No Data")</f>
        <v>No</v>
      </c>
      <c r="J1928" s="28" t="str">
        <f t="array" ref="J1928">_xlfn.XLOOKUP($A1928, 'Medical Examinations'!$A:$A, 'Medical Examinations'!I:I, "No Data")</f>
        <v>Underweight</v>
      </c>
      <c r="K1928" s="28" t="str">
        <f t="array" ref="K1928">_xlfn.XLOOKUP($A1928, 'Hospitalisation Details'!$A:$A, 'Hospitalisation Details'!I:I, "No Data")</f>
        <v>tier - 1</v>
      </c>
      <c r="L1928" s="28" t="str">
        <f t="array" ref="L1928">_xlfn.XLOOKUP($A1928, 'Hospitalisation Details'!$A:$A, 'Hospitalisation Details'!J:J, "No Data")</f>
        <v>R1013</v>
      </c>
      <c r="M1928" s="28" t="str">
        <f t="array" ref="M1928">_xlfn.XLOOKUP($A1928, 'Hospitalisation Details'!$A:$A, 'Hospitalisation Details'!E:E, "No Data")</f>
        <v>13/12/81</v>
      </c>
      <c r="N1928" s="28">
        <f t="array" ref="N1928">_xlfn.XLOOKUP($A1928, 'Hospitalisation Details'!$A:$A, 'Hospitalisation Details'!K:K, "No Data")</f>
        <v>41</v>
      </c>
      <c r="O1928" s="33">
        <f t="array" ref="O1928">_xlfn.XLOOKUP($A1928, 'Hospitalisation Details'!$A:$A, 'Hospitalisation Details'!G:G, "No Data")</f>
        <v>3785.77</v>
      </c>
      <c r="P1928" s="28" t="str">
        <f t="array" ref="P1928">_xlfn.XLOOKUP($A1928, 'Hospitalisation Details'!$A:$A, 'Hospitalisation Details'!H:H, "No Data")</f>
        <v>tier - 2</v>
      </c>
    </row>
    <row r="1929">
      <c r="A1929" s="25" t="s">
        <v>3017</v>
      </c>
      <c r="B1929" s="28" t="str">
        <f t="array" ref="B1929">_xlfn.XLOOKUP($A1929, 'Customer Names'!$A:$A, 'Customer Names'!B:B, "No Data")</f>
        <v>Verdi</v>
      </c>
      <c r="C1929" s="28">
        <f t="array" ref="C1929">_xlfn.XLOOKUP($A1929, 'Medical Examinations'!$A:$A, 'Medical Examinations'!B:B, "No Data")</f>
        <v>19.05</v>
      </c>
      <c r="D1929" s="28">
        <f t="array" ref="D1929">_xlfn.XLOOKUP($A1929, 'Medical Examinations'!$A:$A, 'Medical Examinations'!C:C, "No Data")</f>
        <v>4.92</v>
      </c>
      <c r="E1929" s="28" t="str">
        <f t="array" ref="E1929">_xlfn.XLOOKUP($A1929, 'Medical Examinations'!$A:$A, 'Medical Examinations'!D:D, "No Data")</f>
        <v>No</v>
      </c>
      <c r="F1929" s="28" t="str">
        <f t="array" ref="F1929">_xlfn.XLOOKUP($A1929, 'Medical Examinations'!$A:$A, 'Medical Examinations'!E:E, "No Data")</f>
        <v>No</v>
      </c>
      <c r="G1929" s="28" t="str">
        <f t="array" ref="G1929">_xlfn.XLOOKUP($A1929, 'Medical Examinations'!$A:$A, 'Medical Examinations'!F:F, "No Data")</f>
        <v>No</v>
      </c>
      <c r="H1929" s="28">
        <f t="array" ref="H1929">_xlfn.XLOOKUP($A1929, 'Medical Examinations'!$A:$A, 'Medical Examinations'!G:G, "No Data")</f>
        <v>1</v>
      </c>
      <c r="I1929" s="28" t="str">
        <f t="array" ref="I1929">_xlfn.XLOOKUP($A1929, 'Medical Examinations'!$A:$A, 'Medical Examinations'!H:H, "No Data")</f>
        <v>No</v>
      </c>
      <c r="J1929" s="28" t="str">
        <f t="array" ref="J1929">_xlfn.XLOOKUP($A1929, 'Medical Examinations'!$A:$A, 'Medical Examinations'!I:I, "No Data")</f>
        <v>Normal Weight</v>
      </c>
      <c r="K1929" s="28" t="str">
        <f t="array" ref="K1929">_xlfn.XLOOKUP($A1929, 'Hospitalisation Details'!$A:$A, 'Hospitalisation Details'!I:I, "No Data")</f>
        <v>tier - 3</v>
      </c>
      <c r="L1929" s="28" t="str">
        <f t="array" ref="L1929">_xlfn.XLOOKUP($A1929, 'Hospitalisation Details'!$A:$A, 'Hospitalisation Details'!J:J, "No Data")</f>
        <v>R1013</v>
      </c>
      <c r="M1929" s="28" t="str">
        <f t="array" ref="M1929">_xlfn.XLOOKUP($A1929, 'Hospitalisation Details'!$A:$A, 'Hospitalisation Details'!E:E, "No Data")</f>
        <v>24/10/87</v>
      </c>
      <c r="N1929" s="28">
        <f t="array" ref="N1929">_xlfn.XLOOKUP($A1929, 'Hospitalisation Details'!$A:$A, 'Hospitalisation Details'!K:K, "No Data")</f>
        <v>35</v>
      </c>
      <c r="O1929" s="33">
        <f t="array" ref="O1929">_xlfn.XLOOKUP($A1929, 'Hospitalisation Details'!$A:$A, 'Hospitalisation Details'!G:G, "No Data")</f>
        <v>3773.23</v>
      </c>
      <c r="P1929" s="28" t="str">
        <f t="array" ref="P1929">_xlfn.XLOOKUP($A1929, 'Hospitalisation Details'!$A:$A, 'Hospitalisation Details'!H:H, "No Data")</f>
        <v>tier - 2</v>
      </c>
    </row>
    <row r="1930">
      <c r="A1930" s="25" t="s">
        <v>3011</v>
      </c>
      <c r="B1930" s="28" t="str">
        <f t="array" ref="B1930">_xlfn.XLOOKUP($A1930, 'Customer Names'!$A:$A, 'Customer Names'!B:B, "No Data")</f>
        <v>McLean</v>
      </c>
      <c r="C1930" s="28">
        <f t="array" ref="C1930">_xlfn.XLOOKUP($A1930, 'Medical Examinations'!$A:$A, 'Medical Examinations'!B:B, "No Data")</f>
        <v>37.62</v>
      </c>
      <c r="D1930" s="28">
        <f t="array" ref="D1930">_xlfn.XLOOKUP($A1930, 'Medical Examinations'!$A:$A, 'Medical Examinations'!C:C, "No Data")</f>
        <v>4.18</v>
      </c>
      <c r="E1930" s="28" t="str">
        <f t="array" ref="E1930">_xlfn.XLOOKUP($A1930, 'Medical Examinations'!$A:$A, 'Medical Examinations'!D:D, "No Data")</f>
        <v>No</v>
      </c>
      <c r="F1930" s="28" t="str">
        <f t="array" ref="F1930">_xlfn.XLOOKUP($A1930, 'Medical Examinations'!$A:$A, 'Medical Examinations'!E:E, "No Data")</f>
        <v>No</v>
      </c>
      <c r="G1930" s="28" t="str">
        <f t="array" ref="G1930">_xlfn.XLOOKUP($A1930, 'Medical Examinations'!$A:$A, 'Medical Examinations'!F:F, "No Data")</f>
        <v>No</v>
      </c>
      <c r="H1930" s="28">
        <f t="array" ref="H1930">_xlfn.XLOOKUP($A1930, 'Medical Examinations'!$A:$A, 'Medical Examinations'!G:G, "No Data")</f>
        <v>0</v>
      </c>
      <c r="I1930" s="28" t="str">
        <f t="array" ref="I1930">_xlfn.XLOOKUP($A1930, 'Medical Examinations'!$A:$A, 'Medical Examinations'!H:H, "No Data")</f>
        <v>No</v>
      </c>
      <c r="J1930" s="28" t="str">
        <f t="array" ref="J1930">_xlfn.XLOOKUP($A1930, 'Medical Examinations'!$A:$A, 'Medical Examinations'!I:I, "No Data")</f>
        <v>Obesity</v>
      </c>
      <c r="K1930" s="28" t="str">
        <f t="array" ref="K1930">_xlfn.XLOOKUP($A1930, 'Hospitalisation Details'!$A:$A, 'Hospitalisation Details'!I:I, "No Data")</f>
        <v>tier - 1</v>
      </c>
      <c r="L1930" s="28" t="str">
        <f t="array" ref="L1930">_xlfn.XLOOKUP($A1930, 'Hospitalisation Details'!$A:$A, 'Hospitalisation Details'!J:J, "No Data")</f>
        <v>R1013</v>
      </c>
      <c r="M1930" s="28" t="str">
        <f t="array" ref="M1930">_xlfn.XLOOKUP($A1930, 'Hospitalisation Details'!$A:$A, 'Hospitalisation Details'!E:E, "No Data")</f>
        <v>21/11/94</v>
      </c>
      <c r="N1930" s="28">
        <f t="array" ref="N1930">_xlfn.XLOOKUP($A1930, 'Hospitalisation Details'!$A:$A, 'Hospitalisation Details'!K:K, "No Data")</f>
        <v>28</v>
      </c>
      <c r="O1930" s="33">
        <f t="array" ref="O1930">_xlfn.XLOOKUP($A1930, 'Hospitalisation Details'!$A:$A, 'Hospitalisation Details'!G:G, "No Data")</f>
        <v>3766.88</v>
      </c>
      <c r="P1930" s="28" t="str">
        <f t="array" ref="P1930">_xlfn.XLOOKUP($A1930, 'Hospitalisation Details'!$A:$A, 'Hospitalisation Details'!H:H, "No Data")</f>
        <v>tier - 2</v>
      </c>
    </row>
    <row r="1931">
      <c r="A1931" s="25" t="s">
        <v>3006</v>
      </c>
      <c r="B1931" s="28" t="str">
        <f t="array" ref="B1931">_xlfn.XLOOKUP($A1931, 'Customer Names'!$A:$A, 'Customer Names'!B:B, "No Data")</f>
        <v>Ryan</v>
      </c>
      <c r="C1931" s="28">
        <f t="array" ref="C1931">_xlfn.XLOOKUP($A1931, 'Medical Examinations'!$A:$A, 'Medical Examinations'!B:B, "No Data")</f>
        <v>29.1</v>
      </c>
      <c r="D1931" s="28">
        <f t="array" ref="D1931">_xlfn.XLOOKUP($A1931, 'Medical Examinations'!$A:$A, 'Medical Examinations'!C:C, "No Data")</f>
        <v>4.67</v>
      </c>
      <c r="E1931" s="28" t="str">
        <f t="array" ref="E1931">_xlfn.XLOOKUP($A1931, 'Medical Examinations'!$A:$A, 'Medical Examinations'!D:D, "No Data")</f>
        <v>No</v>
      </c>
      <c r="F1931" s="28" t="str">
        <f t="array" ref="F1931">_xlfn.XLOOKUP($A1931, 'Medical Examinations'!$A:$A, 'Medical Examinations'!E:E, "No Data")</f>
        <v>No</v>
      </c>
      <c r="G1931" s="28" t="str">
        <f t="array" ref="G1931">_xlfn.XLOOKUP($A1931, 'Medical Examinations'!$A:$A, 'Medical Examinations'!F:F, "No Data")</f>
        <v>No</v>
      </c>
      <c r="H1931" s="28">
        <f t="array" ref="H1931">_xlfn.XLOOKUP($A1931, 'Medical Examinations'!$A:$A, 'Medical Examinations'!G:G, "No Data")</f>
        <v>0</v>
      </c>
      <c r="I1931" s="28" t="str">
        <f t="array" ref="I1931">_xlfn.XLOOKUP($A1931, 'Medical Examinations'!$A:$A, 'Medical Examinations'!H:H, "No Data")</f>
        <v>No</v>
      </c>
      <c r="J1931" s="28" t="str">
        <f t="array" ref="J1931">_xlfn.XLOOKUP($A1931, 'Medical Examinations'!$A:$A, 'Medical Examinations'!I:I, "No Data")</f>
        <v>Overweight</v>
      </c>
      <c r="K1931" s="28" t="str">
        <f t="array" ref="K1931">_xlfn.XLOOKUP($A1931, 'Hospitalisation Details'!$A:$A, 'Hospitalisation Details'!I:I, "No Data")</f>
        <v>tier - 3</v>
      </c>
      <c r="L1931" s="28" t="str">
        <f t="array" ref="L1931">_xlfn.XLOOKUP($A1931, 'Hospitalisation Details'!$A:$A, 'Hospitalisation Details'!J:J, "No Data")</f>
        <v>R1011</v>
      </c>
      <c r="M1931" s="28" t="str">
        <f t="array" ref="M1931">_xlfn.XLOOKUP($A1931, 'Hospitalisation Details'!$A:$A, 'Hospitalisation Details'!E:E, "No Data")</f>
        <v>24/10/91</v>
      </c>
      <c r="N1931" s="28">
        <f t="array" ref="N1931">_xlfn.XLOOKUP($A1931, 'Hospitalisation Details'!$A:$A, 'Hospitalisation Details'!K:K, "No Data")</f>
        <v>31</v>
      </c>
      <c r="O1931" s="33">
        <f t="array" ref="O1931">_xlfn.XLOOKUP($A1931, 'Hospitalisation Details'!$A:$A, 'Hospitalisation Details'!G:G, "No Data")</f>
        <v>3761.29</v>
      </c>
      <c r="P1931" s="28" t="str">
        <f t="array" ref="P1931">_xlfn.XLOOKUP($A1931, 'Hospitalisation Details'!$A:$A, 'Hospitalisation Details'!H:H, "No Data")</f>
        <v>tier - 2</v>
      </c>
    </row>
    <row r="1932">
      <c r="A1932" s="25" t="s">
        <v>3003</v>
      </c>
      <c r="B1932" s="28" t="str">
        <f t="array" ref="B1932">_xlfn.XLOOKUP($A1932, 'Customer Names'!$A:$A, 'Customer Names'!B:B, "No Data")</f>
        <v>Mickelson</v>
      </c>
      <c r="C1932" s="28">
        <f t="array" ref="C1932">_xlfn.XLOOKUP($A1932, 'Medical Examinations'!$A:$A, 'Medical Examinations'!B:B, "No Data")</f>
        <v>26.62</v>
      </c>
      <c r="D1932" s="28">
        <f t="array" ref="D1932">_xlfn.XLOOKUP($A1932, 'Medical Examinations'!$A:$A, 'Medical Examinations'!C:C, "No Data")</f>
        <v>6.24</v>
      </c>
      <c r="E1932" s="28" t="str">
        <f t="array" ref="E1932">_xlfn.XLOOKUP($A1932, 'Medical Examinations'!$A:$A, 'Medical Examinations'!D:D, "No Data")</f>
        <v>No</v>
      </c>
      <c r="F1932" s="28" t="str">
        <f t="array" ref="F1932">_xlfn.XLOOKUP($A1932, 'Medical Examinations'!$A:$A, 'Medical Examinations'!E:E, "No Data")</f>
        <v>No</v>
      </c>
      <c r="G1932" s="28" t="str">
        <f t="array" ref="G1932">_xlfn.XLOOKUP($A1932, 'Medical Examinations'!$A:$A, 'Medical Examinations'!F:F, "No Data")</f>
        <v>No</v>
      </c>
      <c r="H1932" s="28">
        <f t="array" ref="H1932">_xlfn.XLOOKUP($A1932, 'Medical Examinations'!$A:$A, 'Medical Examinations'!G:G, "No Data")</f>
        <v>0</v>
      </c>
      <c r="I1932" s="28" t="str">
        <f t="array" ref="I1932">_xlfn.XLOOKUP($A1932, 'Medical Examinations'!$A:$A, 'Medical Examinations'!H:H, "No Data")</f>
        <v>No</v>
      </c>
      <c r="J1932" s="28" t="str">
        <f t="array" ref="J1932">_xlfn.XLOOKUP($A1932, 'Medical Examinations'!$A:$A, 'Medical Examinations'!I:I, "No Data")</f>
        <v>Overweight</v>
      </c>
      <c r="K1932" s="28" t="str">
        <f t="array" ref="K1932">_xlfn.XLOOKUP($A1932, 'Hospitalisation Details'!$A:$A, 'Hospitalisation Details'!I:I, "No Data")</f>
        <v>tier - 1</v>
      </c>
      <c r="L1932" s="28" t="str">
        <f t="array" ref="L1932">_xlfn.XLOOKUP($A1932, 'Hospitalisation Details'!$A:$A, 'Hospitalisation Details'!J:J, "No Data")</f>
        <v>R1013</v>
      </c>
      <c r="M1932" s="28" t="str">
        <f t="array" ref="M1932">_xlfn.XLOOKUP($A1932, 'Hospitalisation Details'!$A:$A, 'Hospitalisation Details'!E:E, "No Data")</f>
        <v>25/08/91</v>
      </c>
      <c r="N1932" s="28">
        <f t="array" ref="N1932">_xlfn.XLOOKUP($A1932, 'Hospitalisation Details'!$A:$A, 'Hospitalisation Details'!K:K, "No Data")</f>
        <v>31</v>
      </c>
      <c r="O1932" s="33">
        <f t="array" ref="O1932">_xlfn.XLOOKUP($A1932, 'Hospitalisation Details'!$A:$A, 'Hospitalisation Details'!G:G, "No Data")</f>
        <v>3757.84</v>
      </c>
      <c r="P1932" s="28" t="str">
        <f t="array" ref="P1932">_xlfn.XLOOKUP($A1932, 'Hospitalisation Details'!$A:$A, 'Hospitalisation Details'!H:H, "No Data")</f>
        <v>tier - 2</v>
      </c>
    </row>
    <row r="1933">
      <c r="A1933" s="25" t="s">
        <v>2995</v>
      </c>
      <c r="B1933" s="28" t="str">
        <f t="array" ref="B1933">_xlfn.XLOOKUP($A1933, 'Customer Names'!$A:$A, 'Customer Names'!B:B, "No Data")</f>
        <v>Dibaba</v>
      </c>
      <c r="C1933" s="28">
        <f t="array" ref="C1933">_xlfn.XLOOKUP($A1933, 'Medical Examinations'!$A:$A, 'Medical Examinations'!B:B, "No Data")</f>
        <v>25.74</v>
      </c>
      <c r="D1933" s="28">
        <f t="array" ref="D1933">_xlfn.XLOOKUP($A1933, 'Medical Examinations'!$A:$A, 'Medical Examinations'!C:C, "No Data")</f>
        <v>5.99</v>
      </c>
      <c r="E1933" s="28" t="str">
        <f t="array" ref="E1933">_xlfn.XLOOKUP($A1933, 'Medical Examinations'!$A:$A, 'Medical Examinations'!D:D, "No Data")</f>
        <v>No</v>
      </c>
      <c r="F1933" s="28" t="str">
        <f t="array" ref="F1933">_xlfn.XLOOKUP($A1933, 'Medical Examinations'!$A:$A, 'Medical Examinations'!E:E, "No Data")</f>
        <v>No</v>
      </c>
      <c r="G1933" s="28" t="str">
        <f t="array" ref="G1933">_xlfn.XLOOKUP($A1933, 'Medical Examinations'!$A:$A, 'Medical Examinations'!F:F, "No Data")</f>
        <v>No</v>
      </c>
      <c r="H1933" s="28">
        <f t="array" ref="H1933">_xlfn.XLOOKUP($A1933, 'Medical Examinations'!$A:$A, 'Medical Examinations'!G:G, "No Data")</f>
        <v>0</v>
      </c>
      <c r="I1933" s="28" t="str">
        <f t="array" ref="I1933">_xlfn.XLOOKUP($A1933, 'Medical Examinations'!$A:$A, 'Medical Examinations'!H:H, "No Data")</f>
        <v>No</v>
      </c>
      <c r="J1933" s="28" t="str">
        <f t="array" ref="J1933">_xlfn.XLOOKUP($A1933, 'Medical Examinations'!$A:$A, 'Medical Examinations'!I:I, "No Data")</f>
        <v>Overweight</v>
      </c>
      <c r="K1933" s="28" t="str">
        <f t="array" ref="K1933">_xlfn.XLOOKUP($A1933, 'Hospitalisation Details'!$A:$A, 'Hospitalisation Details'!I:I, "No Data")</f>
        <v>tier - 2</v>
      </c>
      <c r="L1933" s="28" t="str">
        <f t="array" ref="L1933">_xlfn.XLOOKUP($A1933, 'Hospitalisation Details'!$A:$A, 'Hospitalisation Details'!J:J, "No Data")</f>
        <v>R1013</v>
      </c>
      <c r="M1933" s="28" t="str">
        <f t="array" ref="M1933">_xlfn.XLOOKUP($A1933, 'Hospitalisation Details'!$A:$A, 'Hospitalisation Details'!E:E, "No Data")</f>
        <v>28/10/91</v>
      </c>
      <c r="N1933" s="28">
        <f t="array" ref="N1933">_xlfn.XLOOKUP($A1933, 'Hospitalisation Details'!$A:$A, 'Hospitalisation Details'!K:K, "No Data")</f>
        <v>31</v>
      </c>
      <c r="O1933" s="33">
        <f t="array" ref="O1933">_xlfn.XLOOKUP($A1933, 'Hospitalisation Details'!$A:$A, 'Hospitalisation Details'!G:G, "No Data")</f>
        <v>3756.62</v>
      </c>
      <c r="P1933" s="28" t="str">
        <f t="array" ref="P1933">_xlfn.XLOOKUP($A1933, 'Hospitalisation Details'!$A:$A, 'Hospitalisation Details'!H:H, "No Data")</f>
        <v>tier - 2</v>
      </c>
    </row>
    <row r="1934">
      <c r="A1934" s="25" t="s">
        <v>2990</v>
      </c>
      <c r="B1934" s="28" t="str">
        <f t="array" ref="B1934">_xlfn.XLOOKUP($A1934, 'Customer Names'!$A:$A, 'Customer Names'!B:B, "No Data")</f>
        <v>Shilling</v>
      </c>
      <c r="C1934" s="28">
        <f t="array" ref="C1934">_xlfn.XLOOKUP($A1934, 'Medical Examinations'!$A:$A, 'Medical Examinations'!B:B, "No Data")</f>
        <v>18.22</v>
      </c>
      <c r="D1934" s="28">
        <f t="array" ref="D1934">_xlfn.XLOOKUP($A1934, 'Medical Examinations'!$A:$A, 'Medical Examinations'!C:C, "No Data")</f>
        <v>10.27</v>
      </c>
      <c r="E1934" s="28" t="str">
        <f t="array" ref="E1934">_xlfn.XLOOKUP($A1934, 'Medical Examinations'!$A:$A, 'Medical Examinations'!D:D, "No Data")</f>
        <v>yes</v>
      </c>
      <c r="F1934" s="28" t="str">
        <f t="array" ref="F1934">_xlfn.XLOOKUP($A1934, 'Medical Examinations'!$A:$A, 'Medical Examinations'!E:E, "No Data")</f>
        <v>No</v>
      </c>
      <c r="G1934" s="28" t="str">
        <f t="array" ref="G1934">_xlfn.XLOOKUP($A1934, 'Medical Examinations'!$A:$A, 'Medical Examinations'!F:F, "No Data")</f>
        <v>No</v>
      </c>
      <c r="H1934" s="28">
        <f t="array" ref="H1934">_xlfn.XLOOKUP($A1934, 'Medical Examinations'!$A:$A, 'Medical Examinations'!G:G, "No Data")</f>
        <v>1</v>
      </c>
      <c r="I1934" s="28" t="str">
        <f t="array" ref="I1934">_xlfn.XLOOKUP($A1934, 'Medical Examinations'!$A:$A, 'Medical Examinations'!H:H, "No Data")</f>
        <v>No</v>
      </c>
      <c r="J1934" s="28" t="str">
        <f t="array" ref="J1934">_xlfn.XLOOKUP($A1934, 'Medical Examinations'!$A:$A, 'Medical Examinations'!I:I, "No Data")</f>
        <v>Underweight</v>
      </c>
      <c r="K1934" s="28" t="str">
        <f t="array" ref="K1934">_xlfn.XLOOKUP($A1934, 'Hospitalisation Details'!$A:$A, 'Hospitalisation Details'!I:I, "No Data")</f>
        <v>tier - 2</v>
      </c>
      <c r="L1934" s="28" t="str">
        <f t="array" ref="L1934">_xlfn.XLOOKUP($A1934, 'Hospitalisation Details'!$A:$A, 'Hospitalisation Details'!J:J, "No Data")</f>
        <v>R1013</v>
      </c>
      <c r="M1934" s="28" t="str">
        <f t="array" ref="M1934">_xlfn.XLOOKUP($A1934, 'Hospitalisation Details'!$A:$A, 'Hospitalisation Details'!E:E, "No Data")</f>
        <v>09/09/86</v>
      </c>
      <c r="N1934" s="28">
        <f t="array" ref="N1934">_xlfn.XLOOKUP($A1934, 'Hospitalisation Details'!$A:$A, 'Hospitalisation Details'!K:K, "No Data")</f>
        <v>36</v>
      </c>
      <c r="O1934" s="33">
        <f t="array" ref="O1934">_xlfn.XLOOKUP($A1934, 'Hospitalisation Details'!$A:$A, 'Hospitalisation Details'!G:G, "No Data")</f>
        <v>3748.56</v>
      </c>
      <c r="P1934" s="28" t="str">
        <f t="array" ref="P1934">_xlfn.XLOOKUP($A1934, 'Hospitalisation Details'!$A:$A, 'Hospitalisation Details'!H:H, "No Data")</f>
        <v>tier - 2</v>
      </c>
    </row>
    <row r="1935">
      <c r="A1935" s="25" t="s">
        <v>2984</v>
      </c>
      <c r="B1935" s="28" t="str">
        <f t="array" ref="B1935">_xlfn.XLOOKUP($A1935, 'Customer Names'!$A:$A, 'Customer Names'!B:B, "No Data")</f>
        <v>Bashaw</v>
      </c>
      <c r="C1935" s="28">
        <f t="array" ref="C1935">_xlfn.XLOOKUP($A1935, 'Medical Examinations'!$A:$A, 'Medical Examinations'!B:B, "No Data")</f>
        <v>26.03</v>
      </c>
      <c r="D1935" s="28">
        <f t="array" ref="D1935">_xlfn.XLOOKUP($A1935, 'Medical Examinations'!$A:$A, 'Medical Examinations'!C:C, "No Data")</f>
        <v>5.97</v>
      </c>
      <c r="E1935" s="28" t="str">
        <f t="array" ref="E1935">_xlfn.XLOOKUP($A1935, 'Medical Examinations'!$A:$A, 'Medical Examinations'!D:D, "No Data")</f>
        <v>No</v>
      </c>
      <c r="F1935" s="28" t="str">
        <f t="array" ref="F1935">_xlfn.XLOOKUP($A1935, 'Medical Examinations'!$A:$A, 'Medical Examinations'!E:E, "No Data")</f>
        <v>No</v>
      </c>
      <c r="G1935" s="28" t="str">
        <f t="array" ref="G1935">_xlfn.XLOOKUP($A1935, 'Medical Examinations'!$A:$A, 'Medical Examinations'!F:F, "No Data")</f>
        <v>Yes</v>
      </c>
      <c r="H1935" s="28">
        <f t="array" ref="H1935">_xlfn.XLOOKUP($A1935, 'Medical Examinations'!$A:$A, 'Medical Examinations'!G:G, "No Data")</f>
        <v>1</v>
      </c>
      <c r="I1935" s="28" t="str">
        <f t="array" ref="I1935">_xlfn.XLOOKUP($A1935, 'Medical Examinations'!$A:$A, 'Medical Examinations'!H:H, "No Data")</f>
        <v>No</v>
      </c>
      <c r="J1935" s="28" t="str">
        <f t="array" ref="J1935">_xlfn.XLOOKUP($A1935, 'Medical Examinations'!$A:$A, 'Medical Examinations'!I:I, "No Data")</f>
        <v>Overweight</v>
      </c>
      <c r="K1935" s="28" t="str">
        <f t="array" ref="K1935">_xlfn.XLOOKUP($A1935, 'Hospitalisation Details'!$A:$A, 'Hospitalisation Details'!I:I, "No Data")</f>
        <v>tier - 2</v>
      </c>
      <c r="L1935" s="28" t="str">
        <f t="array" ref="L1935">_xlfn.XLOOKUP($A1935, 'Hospitalisation Details'!$A:$A, 'Hospitalisation Details'!J:J, "No Data")</f>
        <v>R1012</v>
      </c>
      <c r="M1935" s="28" t="str">
        <f t="array" ref="M1935">_xlfn.XLOOKUP($A1935, 'Hospitalisation Details'!$A:$A, 'Hospitalisation Details'!E:E, "No Data")</f>
        <v>22/06/93</v>
      </c>
      <c r="N1935" s="28">
        <f t="array" ref="N1935">_xlfn.XLOOKUP($A1935, 'Hospitalisation Details'!$A:$A, 'Hospitalisation Details'!K:K, "No Data")</f>
        <v>29</v>
      </c>
      <c r="O1935" s="33">
        <f t="array" ref="O1935">_xlfn.XLOOKUP($A1935, 'Hospitalisation Details'!$A:$A, 'Hospitalisation Details'!G:G, "No Data")</f>
        <v>3736.46</v>
      </c>
      <c r="P1935" s="28" t="str">
        <f t="array" ref="P1935">_xlfn.XLOOKUP($A1935, 'Hospitalisation Details'!$A:$A, 'Hospitalisation Details'!H:H, "No Data")</f>
        <v>tier - 2</v>
      </c>
    </row>
    <row r="1936">
      <c r="A1936" s="25" t="s">
        <v>2980</v>
      </c>
      <c r="B1936" s="28" t="str">
        <f t="array" ref="B1936">_xlfn.XLOOKUP($A1936, 'Customer Names'!$A:$A, 'Customer Names'!B:B, "No Data")</f>
        <v>Jacob</v>
      </c>
      <c r="C1936" s="28">
        <f t="array" ref="C1936">_xlfn.XLOOKUP($A1936, 'Medical Examinations'!$A:$A, 'Medical Examinations'!B:B, "No Data")</f>
        <v>17.29</v>
      </c>
      <c r="D1936" s="28">
        <f t="array" ref="D1936">_xlfn.XLOOKUP($A1936, 'Medical Examinations'!$A:$A, 'Medical Examinations'!C:C, "No Data")</f>
        <v>4.98</v>
      </c>
      <c r="E1936" s="28" t="str">
        <f t="array" ref="E1936">_xlfn.XLOOKUP($A1936, 'Medical Examinations'!$A:$A, 'Medical Examinations'!D:D, "No Data")</f>
        <v>No</v>
      </c>
      <c r="F1936" s="28" t="str">
        <f t="array" ref="F1936">_xlfn.XLOOKUP($A1936, 'Medical Examinations'!$A:$A, 'Medical Examinations'!E:E, "No Data")</f>
        <v>No</v>
      </c>
      <c r="G1936" s="28" t="str">
        <f t="array" ref="G1936">_xlfn.XLOOKUP($A1936, 'Medical Examinations'!$A:$A, 'Medical Examinations'!F:F, "No Data")</f>
        <v>No</v>
      </c>
      <c r="H1936" s="28">
        <f t="array" ref="H1936">_xlfn.XLOOKUP($A1936, 'Medical Examinations'!$A:$A, 'Medical Examinations'!G:G, "No Data")</f>
        <v>0</v>
      </c>
      <c r="I1936" s="28" t="str">
        <f t="array" ref="I1936">_xlfn.XLOOKUP($A1936, 'Medical Examinations'!$A:$A, 'Medical Examinations'!H:H, "No Data")</f>
        <v>No</v>
      </c>
      <c r="J1936" s="28" t="str">
        <f t="array" ref="J1936">_xlfn.XLOOKUP($A1936, 'Medical Examinations'!$A:$A, 'Medical Examinations'!I:I, "No Data")</f>
        <v>Underweight</v>
      </c>
      <c r="K1936" s="28" t="str">
        <f t="array" ref="K1936">_xlfn.XLOOKUP($A1936, 'Hospitalisation Details'!$A:$A, 'Hospitalisation Details'!I:I, "No Data")</f>
        <v>tier - 3</v>
      </c>
      <c r="L1936" s="28" t="str">
        <f t="array" ref="L1936">_xlfn.XLOOKUP($A1936, 'Hospitalisation Details'!$A:$A, 'Hospitalisation Details'!J:J, "No Data")</f>
        <v>R1024</v>
      </c>
      <c r="M1936" s="28" t="str">
        <f t="array" ref="M1936">_xlfn.XLOOKUP($A1936, 'Hospitalisation Details'!$A:$A, 'Hospitalisation Details'!E:E, "No Data")</f>
        <v>22/08/94</v>
      </c>
      <c r="N1936" s="28">
        <f t="array" ref="N1936">_xlfn.XLOOKUP($A1936, 'Hospitalisation Details'!$A:$A, 'Hospitalisation Details'!K:K, "No Data")</f>
        <v>28</v>
      </c>
      <c r="O1936" s="33">
        <f t="array" ref="O1936">_xlfn.XLOOKUP($A1936, 'Hospitalisation Details'!$A:$A, 'Hospitalisation Details'!G:G, "No Data")</f>
        <v>3732.63</v>
      </c>
      <c r="P1936" s="28" t="str">
        <f t="array" ref="P1936">_xlfn.XLOOKUP($A1936, 'Hospitalisation Details'!$A:$A, 'Hospitalisation Details'!H:H, "No Data")</f>
        <v>tier - 2</v>
      </c>
    </row>
    <row r="1937">
      <c r="A1937" s="25" t="s">
        <v>2976</v>
      </c>
      <c r="B1937" s="28" t="str">
        <f t="array" ref="B1937">_xlfn.XLOOKUP($A1937, 'Customer Names'!$A:$A, 'Customer Names'!B:B, "No Data")</f>
        <v>McCutcheon</v>
      </c>
      <c r="C1937" s="28">
        <f t="array" ref="C1937">_xlfn.XLOOKUP($A1937, 'Medical Examinations'!$A:$A, 'Medical Examinations'!B:B, "No Data")</f>
        <v>18.17</v>
      </c>
      <c r="D1937" s="28">
        <f t="array" ref="D1937">_xlfn.XLOOKUP($A1937, 'Medical Examinations'!$A:$A, 'Medical Examinations'!C:C, "No Data")</f>
        <v>6.91</v>
      </c>
      <c r="E1937" s="28" t="str">
        <f t="array" ref="E1937">_xlfn.XLOOKUP($A1937, 'Medical Examinations'!$A:$A, 'Medical Examinations'!D:D, "No Data")</f>
        <v>yes</v>
      </c>
      <c r="F1937" s="28" t="str">
        <f t="array" ref="F1937">_xlfn.XLOOKUP($A1937, 'Medical Examinations'!$A:$A, 'Medical Examinations'!E:E, "No Data")</f>
        <v>No</v>
      </c>
      <c r="G1937" s="28" t="str">
        <f t="array" ref="G1937">_xlfn.XLOOKUP($A1937, 'Medical Examinations'!$A:$A, 'Medical Examinations'!F:F, "No Data")</f>
        <v>No</v>
      </c>
      <c r="H1937" s="28">
        <f t="array" ref="H1937">_xlfn.XLOOKUP($A1937, 'Medical Examinations'!$A:$A, 'Medical Examinations'!G:G, "No Data")</f>
        <v>1</v>
      </c>
      <c r="I1937" s="28" t="str">
        <f t="array" ref="I1937">_xlfn.XLOOKUP($A1937, 'Medical Examinations'!$A:$A, 'Medical Examinations'!H:H, "No Data")</f>
        <v>No</v>
      </c>
      <c r="J1937" s="28" t="str">
        <f t="array" ref="J1937">_xlfn.XLOOKUP($A1937, 'Medical Examinations'!$A:$A, 'Medical Examinations'!I:I, "No Data")</f>
        <v>Underweight</v>
      </c>
      <c r="K1937" s="28" t="str">
        <f t="array" ref="K1937">_xlfn.XLOOKUP($A1937, 'Hospitalisation Details'!$A:$A, 'Hospitalisation Details'!I:I, "No Data")</f>
        <v>tier - 2</v>
      </c>
      <c r="L1937" s="28" t="str">
        <f t="array" ref="L1937">_xlfn.XLOOKUP($A1937, 'Hospitalisation Details'!$A:$A, 'Hospitalisation Details'!J:J, "No Data")</f>
        <v>R1013</v>
      </c>
      <c r="M1937" s="28" t="str">
        <f t="array" ref="M1937">_xlfn.XLOOKUP($A1937, 'Hospitalisation Details'!$A:$A, 'Hospitalisation Details'!E:E, "No Data")</f>
        <v>01/12/86</v>
      </c>
      <c r="N1937" s="28">
        <f t="array" ref="N1937">_xlfn.XLOOKUP($A1937, 'Hospitalisation Details'!$A:$A, 'Hospitalisation Details'!K:K, "No Data")</f>
        <v>36</v>
      </c>
      <c r="O1937" s="33">
        <f t="array" ref="O1937">_xlfn.XLOOKUP($A1937, 'Hospitalisation Details'!$A:$A, 'Hospitalisation Details'!G:G, "No Data")</f>
        <v>3731.6</v>
      </c>
      <c r="P1937" s="28" t="str">
        <f t="array" ref="P1937">_xlfn.XLOOKUP($A1937, 'Hospitalisation Details'!$A:$A, 'Hospitalisation Details'!H:H, "No Data")</f>
        <v>tier - 2</v>
      </c>
    </row>
    <row r="1938">
      <c r="A1938" s="25" t="s">
        <v>2971</v>
      </c>
      <c r="B1938" s="28" t="str">
        <f t="array" ref="B1938">_xlfn.XLOOKUP($A1938, 'Customer Names'!$A:$A, 'Customer Names'!B:B, "No Data")</f>
        <v>Connor</v>
      </c>
      <c r="C1938" s="28">
        <f t="array" ref="C1938">_xlfn.XLOOKUP($A1938, 'Medical Examinations'!$A:$A, 'Medical Examinations'!B:B, "No Data")</f>
        <v>32.54</v>
      </c>
      <c r="D1938" s="28">
        <f t="array" ref="D1938">_xlfn.XLOOKUP($A1938, 'Medical Examinations'!$A:$A, 'Medical Examinations'!C:C, "No Data")</f>
        <v>6.38</v>
      </c>
      <c r="E1938" s="28" t="str">
        <f t="array" ref="E1938">_xlfn.XLOOKUP($A1938, 'Medical Examinations'!$A:$A, 'Medical Examinations'!D:D, "No Data")</f>
        <v>No</v>
      </c>
      <c r="F1938" s="28" t="str">
        <f t="array" ref="F1938">_xlfn.XLOOKUP($A1938, 'Medical Examinations'!$A:$A, 'Medical Examinations'!E:E, "No Data")</f>
        <v>yes</v>
      </c>
      <c r="G1938" s="28" t="str">
        <f t="array" ref="G1938">_xlfn.XLOOKUP($A1938, 'Medical Examinations'!$A:$A, 'Medical Examinations'!F:F, "No Data")</f>
        <v>No</v>
      </c>
      <c r="H1938" s="28">
        <f t="array" ref="H1938">_xlfn.XLOOKUP($A1938, 'Medical Examinations'!$A:$A, 'Medical Examinations'!G:G, "No Data")</f>
        <v>1</v>
      </c>
      <c r="I1938" s="28" t="str">
        <f t="array" ref="I1938">_xlfn.XLOOKUP($A1938, 'Medical Examinations'!$A:$A, 'Medical Examinations'!H:H, "No Data")</f>
        <v>No</v>
      </c>
      <c r="J1938" s="28" t="str">
        <f t="array" ref="J1938">_xlfn.XLOOKUP($A1938, 'Medical Examinations'!$A:$A, 'Medical Examinations'!I:I, "No Data")</f>
        <v>Obesity</v>
      </c>
      <c r="K1938" s="28" t="str">
        <f t="array" ref="K1938">_xlfn.XLOOKUP($A1938, 'Hospitalisation Details'!$A:$A, 'Hospitalisation Details'!I:I, "No Data")</f>
        <v>tier - 2</v>
      </c>
      <c r="L1938" s="28" t="str">
        <f t="array" ref="L1938">_xlfn.XLOOKUP($A1938, 'Hospitalisation Details'!$A:$A, 'Hospitalisation Details'!J:J, "No Data")</f>
        <v>R1025</v>
      </c>
      <c r="M1938" s="28" t="str">
        <f t="array" ref="M1938">_xlfn.XLOOKUP($A1938, 'Hospitalisation Details'!$A:$A, 'Hospitalisation Details'!E:E, "No Data")</f>
        <v>05/11/04</v>
      </c>
      <c r="N1938" s="28">
        <f t="array" ref="N1938">_xlfn.XLOOKUP($A1938, 'Hospitalisation Details'!$A:$A, 'Hospitalisation Details'!K:K, "No Data")</f>
        <v>18</v>
      </c>
      <c r="O1938" s="33">
        <f t="array" ref="O1938">_xlfn.XLOOKUP($A1938, 'Hospitalisation Details'!$A:$A, 'Hospitalisation Details'!G:G, "No Data")</f>
        <v>3722.23</v>
      </c>
      <c r="P1938" s="28" t="str">
        <f t="array" ref="P1938">_xlfn.XLOOKUP($A1938, 'Hospitalisation Details'!$A:$A, 'Hospitalisation Details'!H:H, "No Data")</f>
        <v>tier - 2</v>
      </c>
    </row>
    <row r="1939">
      <c r="A1939" s="25" t="s">
        <v>2965</v>
      </c>
      <c r="B1939" s="28" t="str">
        <f t="array" ref="B1939">_xlfn.XLOOKUP($A1939, 'Customer Names'!$A:$A, 'Customer Names'!B:B, "No Data")</f>
        <v>May</v>
      </c>
      <c r="C1939" s="28">
        <f t="array" ref="C1939">_xlfn.XLOOKUP($A1939, 'Medical Examinations'!$A:$A, 'Medical Examinations'!B:B, "No Data")</f>
        <v>30.25</v>
      </c>
      <c r="D1939" s="28">
        <f t="array" ref="D1939">_xlfn.XLOOKUP($A1939, 'Medical Examinations'!$A:$A, 'Medical Examinations'!C:C, "No Data")</f>
        <v>4.77</v>
      </c>
      <c r="E1939" s="28" t="str">
        <f t="array" ref="E1939">_xlfn.XLOOKUP($A1939, 'Medical Examinations'!$A:$A, 'Medical Examinations'!D:D, "No Data")</f>
        <v>No</v>
      </c>
      <c r="F1939" s="28" t="str">
        <f t="array" ref="F1939">_xlfn.XLOOKUP($A1939, 'Medical Examinations'!$A:$A, 'Medical Examinations'!E:E, "No Data")</f>
        <v>No</v>
      </c>
      <c r="G1939" s="28" t="str">
        <f t="array" ref="G1939">_xlfn.XLOOKUP($A1939, 'Medical Examinations'!$A:$A, 'Medical Examinations'!F:F, "No Data")</f>
        <v>No</v>
      </c>
      <c r="H1939" s="28">
        <f t="array" ref="H1939">_xlfn.XLOOKUP($A1939, 'Medical Examinations'!$A:$A, 'Medical Examinations'!G:G, "No Data")</f>
        <v>0</v>
      </c>
      <c r="I1939" s="28" t="str">
        <f t="array" ref="I1939">_xlfn.XLOOKUP($A1939, 'Medical Examinations'!$A:$A, 'Medical Examinations'!H:H, "No Data")</f>
        <v>No</v>
      </c>
      <c r="J1939" s="28" t="str">
        <f t="array" ref="J1939">_xlfn.XLOOKUP($A1939, 'Medical Examinations'!$A:$A, 'Medical Examinations'!I:I, "No Data")</f>
        <v>Obesity</v>
      </c>
      <c r="K1939" s="28" t="str">
        <f t="array" ref="K1939">_xlfn.XLOOKUP($A1939, 'Hospitalisation Details'!$A:$A, 'Hospitalisation Details'!I:I, "No Data")</f>
        <v>tier - 2</v>
      </c>
      <c r="L1939" s="28" t="str">
        <f t="array" ref="L1939">_xlfn.XLOOKUP($A1939, 'Hospitalisation Details'!$A:$A, 'Hospitalisation Details'!J:J, "No Data")</f>
        <v>R1013</v>
      </c>
      <c r="M1939" s="28" t="str">
        <f t="array" ref="M1939">_xlfn.XLOOKUP($A1939, 'Hospitalisation Details'!$A:$A, 'Hospitalisation Details'!E:E, "No Data")</f>
        <v>02/12/89</v>
      </c>
      <c r="N1939" s="28">
        <f t="array" ref="N1939">_xlfn.XLOOKUP($A1939, 'Hospitalisation Details'!$A:$A, 'Hospitalisation Details'!K:K, "No Data")</f>
        <v>33</v>
      </c>
      <c r="O1939" s="33">
        <f t="array" ref="O1939">_xlfn.XLOOKUP($A1939, 'Hospitalisation Details'!$A:$A, 'Hospitalisation Details'!G:G, "No Data")</f>
        <v>3704.35</v>
      </c>
      <c r="P1939" s="28" t="str">
        <f t="array" ref="P1939">_xlfn.XLOOKUP($A1939, 'Hospitalisation Details'!$A:$A, 'Hospitalisation Details'!H:H, "No Data")</f>
        <v>tier - 2</v>
      </c>
    </row>
    <row r="1940">
      <c r="A1940" s="25" t="s">
        <v>2959</v>
      </c>
      <c r="B1940" s="28" t="str">
        <f t="array" ref="B1940">_xlfn.XLOOKUP($A1940, 'Customer Names'!$A:$A, 'Customer Names'!B:B, "No Data")</f>
        <v>Geoghegan</v>
      </c>
      <c r="C1940" s="28">
        <f t="array" ref="C1940">_xlfn.XLOOKUP($A1940, 'Medical Examinations'!$A:$A, 'Medical Examinations'!B:B, "No Data")</f>
        <v>19.59</v>
      </c>
      <c r="D1940" s="28">
        <f t="array" ref="D1940">_xlfn.XLOOKUP($A1940, 'Medical Examinations'!$A:$A, 'Medical Examinations'!C:C, "No Data")</f>
        <v>6.04</v>
      </c>
      <c r="E1940" s="28" t="str">
        <f t="array" ref="E1940">_xlfn.XLOOKUP($A1940, 'Medical Examinations'!$A:$A, 'Medical Examinations'!D:D, "No Data")</f>
        <v>yes</v>
      </c>
      <c r="F1940" s="28" t="str">
        <f t="array" ref="F1940">_xlfn.XLOOKUP($A1940, 'Medical Examinations'!$A:$A, 'Medical Examinations'!E:E, "No Data")</f>
        <v>No</v>
      </c>
      <c r="G1940" s="28" t="str">
        <f t="array" ref="G1940">_xlfn.XLOOKUP($A1940, 'Medical Examinations'!$A:$A, 'Medical Examinations'!F:F, "No Data")</f>
        <v>No</v>
      </c>
      <c r="H1940" s="28">
        <f t="array" ref="H1940">_xlfn.XLOOKUP($A1940, 'Medical Examinations'!$A:$A, 'Medical Examinations'!G:G, "No Data")</f>
        <v>1</v>
      </c>
      <c r="I1940" s="28" t="str">
        <f t="array" ref="I1940">_xlfn.XLOOKUP($A1940, 'Medical Examinations'!$A:$A, 'Medical Examinations'!H:H, "No Data")</f>
        <v>No</v>
      </c>
      <c r="J1940" s="28" t="str">
        <f t="array" ref="J1940">_xlfn.XLOOKUP($A1940, 'Medical Examinations'!$A:$A, 'Medical Examinations'!I:I, "No Data")</f>
        <v>Normal Weight</v>
      </c>
      <c r="K1940" s="28" t="str">
        <f t="array" ref="K1940">_xlfn.XLOOKUP($A1940, 'Hospitalisation Details'!$A:$A, 'Hospitalisation Details'!I:I, "No Data")</f>
        <v>tier - 3</v>
      </c>
      <c r="L1940" s="28" t="str">
        <f t="array" ref="L1940">_xlfn.XLOOKUP($A1940, 'Hospitalisation Details'!$A:$A, 'Hospitalisation Details'!J:J, "No Data")</f>
        <v>R1013</v>
      </c>
      <c r="M1940" s="28" t="str">
        <f t="array" ref="M1940">_xlfn.XLOOKUP($A1940, 'Hospitalisation Details'!$A:$A, 'Hospitalisation Details'!E:E, "No Data")</f>
        <v>18/08/88</v>
      </c>
      <c r="N1940" s="28">
        <f t="array" ref="N1940">_xlfn.XLOOKUP($A1940, 'Hospitalisation Details'!$A:$A, 'Hospitalisation Details'!K:K, "No Data")</f>
        <v>34</v>
      </c>
      <c r="O1940" s="33">
        <f t="array" ref="O1940">_xlfn.XLOOKUP($A1940, 'Hospitalisation Details'!$A:$A, 'Hospitalisation Details'!G:G, "No Data")</f>
        <v>3699.54</v>
      </c>
      <c r="P1940" s="28" t="str">
        <f t="array" ref="P1940">_xlfn.XLOOKUP($A1940, 'Hospitalisation Details'!$A:$A, 'Hospitalisation Details'!H:H, "No Data")</f>
        <v>tier - 2</v>
      </c>
    </row>
    <row r="1941">
      <c r="A1941" s="25" t="s">
        <v>2954</v>
      </c>
      <c r="B1941" s="28" t="str">
        <f t="array" ref="B1941">_xlfn.XLOOKUP($A1941, 'Customer Names'!$A:$A, 'Customer Names'!B:B, "No Data")</f>
        <v>McGinn</v>
      </c>
      <c r="C1941" s="28">
        <f t="array" ref="C1941">_xlfn.XLOOKUP($A1941, 'Medical Examinations'!$A:$A, 'Medical Examinations'!B:B, "No Data")</f>
        <v>45.9</v>
      </c>
      <c r="D1941" s="28">
        <f t="array" ref="D1941">_xlfn.XLOOKUP($A1941, 'Medical Examinations'!$A:$A, 'Medical Examinations'!C:C, "No Data")</f>
        <v>4.3</v>
      </c>
      <c r="E1941" s="28" t="str">
        <f t="array" ref="E1941">_xlfn.XLOOKUP($A1941, 'Medical Examinations'!$A:$A, 'Medical Examinations'!D:D, "No Data")</f>
        <v>yes</v>
      </c>
      <c r="F1941" s="28" t="str">
        <f t="array" ref="F1941">_xlfn.XLOOKUP($A1941, 'Medical Examinations'!$A:$A, 'Medical Examinations'!E:E, "No Data")</f>
        <v>No</v>
      </c>
      <c r="G1941" s="28" t="str">
        <f t="array" ref="G1941">_xlfn.XLOOKUP($A1941, 'Medical Examinations'!$A:$A, 'Medical Examinations'!F:F, "No Data")</f>
        <v>No</v>
      </c>
      <c r="H1941" s="28">
        <f t="array" ref="H1941">_xlfn.XLOOKUP($A1941, 'Medical Examinations'!$A:$A, 'Medical Examinations'!G:G, "No Data")</f>
        <v>1</v>
      </c>
      <c r="I1941" s="28" t="str">
        <f t="array" ref="I1941">_xlfn.XLOOKUP($A1941, 'Medical Examinations'!$A:$A, 'Medical Examinations'!H:H, "No Data")</f>
        <v>No</v>
      </c>
      <c r="J1941" s="28" t="str">
        <f t="array" ref="J1941">_xlfn.XLOOKUP($A1941, 'Medical Examinations'!$A:$A, 'Medical Examinations'!I:I, "No Data")</f>
        <v>Obesity</v>
      </c>
      <c r="K1941" s="28" t="str">
        <f t="array" ref="K1941">_xlfn.XLOOKUP($A1941, 'Hospitalisation Details'!$A:$A, 'Hospitalisation Details'!I:I, "No Data")</f>
        <v>tier - 3</v>
      </c>
      <c r="L1941" s="28" t="str">
        <f t="array" ref="L1941">_xlfn.XLOOKUP($A1941, 'Hospitalisation Details'!$A:$A, 'Hospitalisation Details'!J:J, "No Data")</f>
        <v>R1011</v>
      </c>
      <c r="M1941" s="28" t="str">
        <f t="array" ref="M1941">_xlfn.XLOOKUP($A1941, 'Hospitalisation Details'!$A:$A, 'Hospitalisation Details'!E:E, "No Data")</f>
        <v>21/10/95</v>
      </c>
      <c r="N1941" s="28">
        <f t="array" ref="N1941">_xlfn.XLOOKUP($A1941, 'Hospitalisation Details'!$A:$A, 'Hospitalisation Details'!K:K, "No Data")</f>
        <v>27</v>
      </c>
      <c r="O1941" s="33">
        <f t="array" ref="O1941">_xlfn.XLOOKUP($A1941, 'Hospitalisation Details'!$A:$A, 'Hospitalisation Details'!G:G, "No Data")</f>
        <v>3693.43</v>
      </c>
      <c r="P1941" s="28" t="str">
        <f t="array" ref="P1941">_xlfn.XLOOKUP($A1941, 'Hospitalisation Details'!$A:$A, 'Hospitalisation Details'!H:H, "No Data")</f>
        <v>tier - 2</v>
      </c>
    </row>
    <row r="1942">
      <c r="A1942" s="25" t="s">
        <v>2948</v>
      </c>
      <c r="B1942" s="28" t="str">
        <f t="array" ref="B1942">_xlfn.XLOOKUP($A1942, 'Customer Names'!$A:$A, 'Customer Names'!B:B, "No Data")</f>
        <v>Jones</v>
      </c>
      <c r="C1942" s="28">
        <f t="array" ref="C1942">_xlfn.XLOOKUP($A1942, 'Medical Examinations'!$A:$A, 'Medical Examinations'!B:B, "No Data")</f>
        <v>17.06</v>
      </c>
      <c r="D1942" s="28">
        <f t="array" ref="D1942">_xlfn.XLOOKUP($A1942, 'Medical Examinations'!$A:$A, 'Medical Examinations'!C:C, "No Data")</f>
        <v>8.75</v>
      </c>
      <c r="E1942" s="28" t="str">
        <f t="array" ref="E1942">_xlfn.XLOOKUP($A1942, 'Medical Examinations'!$A:$A, 'Medical Examinations'!D:D, "No Data")</f>
        <v>yes</v>
      </c>
      <c r="F1942" s="28" t="str">
        <f t="array" ref="F1942">_xlfn.XLOOKUP($A1942, 'Medical Examinations'!$A:$A, 'Medical Examinations'!E:E, "No Data")</f>
        <v>No</v>
      </c>
      <c r="G1942" s="28" t="str">
        <f t="array" ref="G1942">_xlfn.XLOOKUP($A1942, 'Medical Examinations'!$A:$A, 'Medical Examinations'!F:F, "No Data")</f>
        <v>No</v>
      </c>
      <c r="H1942" s="28">
        <f t="array" ref="H1942">_xlfn.XLOOKUP($A1942, 'Medical Examinations'!$A:$A, 'Medical Examinations'!G:G, "No Data")</f>
        <v>0</v>
      </c>
      <c r="I1942" s="28" t="str">
        <f t="array" ref="I1942">_xlfn.XLOOKUP($A1942, 'Medical Examinations'!$A:$A, 'Medical Examinations'!H:H, "No Data")</f>
        <v>No</v>
      </c>
      <c r="J1942" s="28" t="str">
        <f t="array" ref="J1942">_xlfn.XLOOKUP($A1942, 'Medical Examinations'!$A:$A, 'Medical Examinations'!I:I, "No Data")</f>
        <v>Underweight</v>
      </c>
      <c r="K1942" s="28" t="str">
        <f t="array" ref="K1942">_xlfn.XLOOKUP($A1942, 'Hospitalisation Details'!$A:$A, 'Hospitalisation Details'!I:I, "No Data")</f>
        <v>tier - 2</v>
      </c>
      <c r="L1942" s="28" t="str">
        <f t="array" ref="L1942">_xlfn.XLOOKUP($A1942, 'Hospitalisation Details'!$A:$A, 'Hospitalisation Details'!J:J, "No Data")</f>
        <v>R1013</v>
      </c>
      <c r="M1942" s="28" t="str">
        <f t="array" ref="M1942">_xlfn.XLOOKUP($A1942, 'Hospitalisation Details'!$A:$A, 'Hospitalisation Details'!E:E, "No Data")</f>
        <v>14/12/81</v>
      </c>
      <c r="N1942" s="28">
        <f t="array" ref="N1942">_xlfn.XLOOKUP($A1942, 'Hospitalisation Details'!$A:$A, 'Hospitalisation Details'!K:K, "No Data")</f>
        <v>41</v>
      </c>
      <c r="O1942" s="33">
        <f t="array" ref="O1942">_xlfn.XLOOKUP($A1942, 'Hospitalisation Details'!$A:$A, 'Hospitalisation Details'!G:G, "No Data")</f>
        <v>3688.38</v>
      </c>
      <c r="P1942" s="28" t="str">
        <f t="array" ref="P1942">_xlfn.XLOOKUP($A1942, 'Hospitalisation Details'!$A:$A, 'Hospitalisation Details'!H:H, "No Data")</f>
        <v>tier - 2</v>
      </c>
    </row>
    <row r="1943">
      <c r="A1943" s="25" t="s">
        <v>2943</v>
      </c>
      <c r="B1943" s="28" t="str">
        <f t="array" ref="B1943">_xlfn.XLOOKUP($A1943, 'Customer Names'!$A:$A, 'Customer Names'!B:B, "No Data")</f>
        <v>Quinteros</v>
      </c>
      <c r="C1943" s="28">
        <f t="array" ref="C1943">_xlfn.XLOOKUP($A1943, 'Medical Examinations'!$A:$A, 'Medical Examinations'!B:B, "No Data")</f>
        <v>32.07</v>
      </c>
      <c r="D1943" s="28">
        <f t="array" ref="D1943">_xlfn.XLOOKUP($A1943, 'Medical Examinations'!$A:$A, 'Medical Examinations'!C:C, "No Data")</f>
        <v>5.25</v>
      </c>
      <c r="E1943" s="28" t="str">
        <f t="array" ref="E1943">_xlfn.XLOOKUP($A1943, 'Medical Examinations'!$A:$A, 'Medical Examinations'!D:D, "No Data")</f>
        <v>No</v>
      </c>
      <c r="F1943" s="28" t="str">
        <f t="array" ref="F1943">_xlfn.XLOOKUP($A1943, 'Medical Examinations'!$A:$A, 'Medical Examinations'!E:E, "No Data")</f>
        <v>No</v>
      </c>
      <c r="G1943" s="28" t="str">
        <f t="array" ref="G1943">_xlfn.XLOOKUP($A1943, 'Medical Examinations'!$A:$A, 'Medical Examinations'!F:F, "No Data")</f>
        <v>Yes</v>
      </c>
      <c r="H1943" s="28">
        <f t="array" ref="H1943">_xlfn.XLOOKUP($A1943, 'Medical Examinations'!$A:$A, 'Medical Examinations'!G:G, "No Data")</f>
        <v>1</v>
      </c>
      <c r="I1943" s="28" t="str">
        <f t="array" ref="I1943">_xlfn.XLOOKUP($A1943, 'Medical Examinations'!$A:$A, 'Medical Examinations'!H:H, "No Data")</f>
        <v>No</v>
      </c>
      <c r="J1943" s="28" t="str">
        <f t="array" ref="J1943">_xlfn.XLOOKUP($A1943, 'Medical Examinations'!$A:$A, 'Medical Examinations'!I:I, "No Data")</f>
        <v>Obesity</v>
      </c>
      <c r="K1943" s="28" t="str">
        <f t="array" ref="K1943">_xlfn.XLOOKUP($A1943, 'Hospitalisation Details'!$A:$A, 'Hospitalisation Details'!I:I, "No Data")</f>
        <v>tier - 2</v>
      </c>
      <c r="L1943" s="28" t="str">
        <f t="array" ref="L1943">_xlfn.XLOOKUP($A1943, 'Hospitalisation Details'!$A:$A, 'Hospitalisation Details'!J:J, "No Data")</f>
        <v>R1021</v>
      </c>
      <c r="M1943" s="28" t="str">
        <f t="array" ref="M1943">_xlfn.XLOOKUP($A1943, 'Hospitalisation Details'!$A:$A, 'Hospitalisation Details'!E:E, "No Data")</f>
        <v>10/07/03</v>
      </c>
      <c r="N1943" s="28">
        <f t="array" ref="N1943">_xlfn.XLOOKUP($A1943, 'Hospitalisation Details'!$A:$A, 'Hospitalisation Details'!K:K, "No Data")</f>
        <v>19</v>
      </c>
      <c r="O1943" s="33">
        <f t="array" ref="O1943">_xlfn.XLOOKUP($A1943, 'Hospitalisation Details'!$A:$A, 'Hospitalisation Details'!G:G, "No Data")</f>
        <v>3688.35</v>
      </c>
      <c r="P1943" s="28" t="str">
        <f t="array" ref="P1943">_xlfn.XLOOKUP($A1943, 'Hospitalisation Details'!$A:$A, 'Hospitalisation Details'!H:H, "No Data")</f>
        <v>tier - 2</v>
      </c>
    </row>
    <row r="1944">
      <c r="A1944" s="25" t="s">
        <v>2939</v>
      </c>
      <c r="B1944" s="28" t="str">
        <f t="array" ref="B1944">_xlfn.XLOOKUP($A1944, 'Customer Names'!$A:$A, 'Customer Names'!B:B, "No Data")</f>
        <v>Loenser</v>
      </c>
      <c r="C1944" s="28">
        <f t="array" ref="C1944">_xlfn.XLOOKUP($A1944, 'Medical Examinations'!$A:$A, 'Medical Examinations'!B:B, "No Data")</f>
        <v>16.5</v>
      </c>
      <c r="D1944" s="28">
        <f t="array" ref="D1944">_xlfn.XLOOKUP($A1944, 'Medical Examinations'!$A:$A, 'Medical Examinations'!C:C, "No Data")</f>
        <v>5.03</v>
      </c>
      <c r="E1944" s="28" t="str">
        <f t="array" ref="E1944">_xlfn.XLOOKUP($A1944, 'Medical Examinations'!$A:$A, 'Medical Examinations'!D:D, "No Data")</f>
        <v>No</v>
      </c>
      <c r="F1944" s="28" t="str">
        <f t="array" ref="F1944">_xlfn.XLOOKUP($A1944, 'Medical Examinations'!$A:$A, 'Medical Examinations'!E:E, "No Data")</f>
        <v>No</v>
      </c>
      <c r="G1944" s="28" t="str">
        <f t="array" ref="G1944">_xlfn.XLOOKUP($A1944, 'Medical Examinations'!$A:$A, 'Medical Examinations'!F:F, "No Data")</f>
        <v>No</v>
      </c>
      <c r="H1944" s="28">
        <f t="array" ref="H1944">_xlfn.XLOOKUP($A1944, 'Medical Examinations'!$A:$A, 'Medical Examinations'!G:G, "No Data")</f>
        <v>1</v>
      </c>
      <c r="I1944" s="28" t="str">
        <f t="array" ref="I1944">_xlfn.XLOOKUP($A1944, 'Medical Examinations'!$A:$A, 'Medical Examinations'!H:H, "No Data")</f>
        <v>No</v>
      </c>
      <c r="J1944" s="28" t="str">
        <f t="array" ref="J1944">_xlfn.XLOOKUP($A1944, 'Medical Examinations'!$A:$A, 'Medical Examinations'!I:I, "No Data")</f>
        <v>Underweight</v>
      </c>
      <c r="K1944" s="28" t="str">
        <f t="array" ref="K1944">_xlfn.XLOOKUP($A1944, 'Hospitalisation Details'!$A:$A, 'Hospitalisation Details'!I:I, "No Data")</f>
        <v>tier - 3</v>
      </c>
      <c r="L1944" s="28" t="str">
        <f t="array" ref="L1944">_xlfn.XLOOKUP($A1944, 'Hospitalisation Details'!$A:$A, 'Hospitalisation Details'!J:J, "No Data")</f>
        <v>R1013</v>
      </c>
      <c r="M1944" s="28" t="str">
        <f t="array" ref="M1944">_xlfn.XLOOKUP($A1944, 'Hospitalisation Details'!$A:$A, 'Hospitalisation Details'!E:E, "No Data")</f>
        <v>06/07/84</v>
      </c>
      <c r="N1944" s="28">
        <f t="array" ref="N1944">_xlfn.XLOOKUP($A1944, 'Hospitalisation Details'!$A:$A, 'Hospitalisation Details'!K:K, "No Data")</f>
        <v>38</v>
      </c>
      <c r="O1944" s="33">
        <f t="array" ref="O1944">_xlfn.XLOOKUP($A1944, 'Hospitalisation Details'!$A:$A, 'Hospitalisation Details'!G:G, "No Data")</f>
        <v>3678.86</v>
      </c>
      <c r="P1944" s="28" t="str">
        <f t="array" ref="P1944">_xlfn.XLOOKUP($A1944, 'Hospitalisation Details'!$A:$A, 'Hospitalisation Details'!H:H, "No Data")</f>
        <v>tier - 2</v>
      </c>
    </row>
    <row r="1945">
      <c r="A1945" s="25" t="s">
        <v>2936</v>
      </c>
      <c r="B1945" s="28" t="str">
        <f t="array" ref="B1945">_xlfn.XLOOKUP($A1945, 'Customer Names'!$A:$A, 'Customer Names'!B:B, "No Data")</f>
        <v>Aitken</v>
      </c>
      <c r="C1945" s="28">
        <f t="array" ref="C1945">_xlfn.XLOOKUP($A1945, 'Medical Examinations'!$A:$A, 'Medical Examinations'!B:B, "No Data")</f>
        <v>31.4</v>
      </c>
      <c r="D1945" s="28">
        <f t="array" ref="D1945">_xlfn.XLOOKUP($A1945, 'Medical Examinations'!$A:$A, 'Medical Examinations'!C:C, "No Data")</f>
        <v>5.88</v>
      </c>
      <c r="E1945" s="28" t="str">
        <f t="array" ref="E1945">_xlfn.XLOOKUP($A1945, 'Medical Examinations'!$A:$A, 'Medical Examinations'!D:D, "No Data")</f>
        <v>No</v>
      </c>
      <c r="F1945" s="28" t="str">
        <f t="array" ref="F1945">_xlfn.XLOOKUP($A1945, 'Medical Examinations'!$A:$A, 'Medical Examinations'!E:E, "No Data")</f>
        <v>No</v>
      </c>
      <c r="G1945" s="28" t="str">
        <f t="array" ref="G1945">_xlfn.XLOOKUP($A1945, 'Medical Examinations'!$A:$A, 'Medical Examinations'!F:F, "No Data")</f>
        <v>No</v>
      </c>
      <c r="H1945" s="28">
        <f t="array" ref="H1945">_xlfn.XLOOKUP($A1945, 'Medical Examinations'!$A:$A, 'Medical Examinations'!G:G, "No Data")</f>
        <v>1</v>
      </c>
      <c r="I1945" s="28" t="str">
        <f t="array" ref="I1945">_xlfn.XLOOKUP($A1945, 'Medical Examinations'!$A:$A, 'Medical Examinations'!H:H, "No Data")</f>
        <v>No</v>
      </c>
      <c r="J1945" s="28" t="str">
        <f t="array" ref="J1945">_xlfn.XLOOKUP($A1945, 'Medical Examinations'!$A:$A, 'Medical Examinations'!I:I, "No Data")</f>
        <v>Obesity</v>
      </c>
      <c r="K1945" s="28" t="str">
        <f t="array" ref="K1945">_xlfn.XLOOKUP($A1945, 'Hospitalisation Details'!$A:$A, 'Hospitalisation Details'!I:I, "No Data")</f>
        <v>tier - 1</v>
      </c>
      <c r="L1945" s="28" t="str">
        <f t="array" ref="L1945">_xlfn.XLOOKUP($A1945, 'Hospitalisation Details'!$A:$A, 'Hospitalisation Details'!J:J, "No Data")</f>
        <v>R1011</v>
      </c>
      <c r="M1945" s="28" t="str">
        <f t="array" ref="M1945">_xlfn.XLOOKUP($A1945, 'Hospitalisation Details'!$A:$A, 'Hospitalisation Details'!E:E, "No Data")</f>
        <v>14/09/92</v>
      </c>
      <c r="N1945" s="28">
        <f t="array" ref="N1945">_xlfn.XLOOKUP($A1945, 'Hospitalisation Details'!$A:$A, 'Hospitalisation Details'!K:K, "No Data")</f>
        <v>30</v>
      </c>
      <c r="O1945" s="33">
        <f t="array" ref="O1945">_xlfn.XLOOKUP($A1945, 'Hospitalisation Details'!$A:$A, 'Hospitalisation Details'!G:G, "No Data")</f>
        <v>3659.35</v>
      </c>
      <c r="P1945" s="28" t="str">
        <f t="array" ref="P1945">_xlfn.XLOOKUP($A1945, 'Hospitalisation Details'!$A:$A, 'Hospitalisation Details'!H:H, "No Data")</f>
        <v>tier - 3</v>
      </c>
    </row>
    <row r="1946">
      <c r="A1946" s="25" t="s">
        <v>2931</v>
      </c>
      <c r="B1946" s="28" t="str">
        <f t="array" ref="B1946">_xlfn.XLOOKUP($A1946, 'Customer Names'!$A:$A, 'Customer Names'!B:B, "No Data")</f>
        <v>Furrer</v>
      </c>
      <c r="C1946" s="28">
        <f t="array" ref="C1946">_xlfn.XLOOKUP($A1946, 'Medical Examinations'!$A:$A, 'Medical Examinations'!B:B, "No Data")</f>
        <v>20.36</v>
      </c>
      <c r="D1946" s="28">
        <f t="array" ref="D1946">_xlfn.XLOOKUP($A1946, 'Medical Examinations'!$A:$A, 'Medical Examinations'!C:C, "No Data")</f>
        <v>4.49</v>
      </c>
      <c r="E1946" s="28" t="str">
        <f t="array" ref="E1946">_xlfn.XLOOKUP($A1946, 'Medical Examinations'!$A:$A, 'Medical Examinations'!D:D, "No Data")</f>
        <v>No</v>
      </c>
      <c r="F1946" s="28" t="str">
        <f t="array" ref="F1946">_xlfn.XLOOKUP($A1946, 'Medical Examinations'!$A:$A, 'Medical Examinations'!E:E, "No Data")</f>
        <v>No</v>
      </c>
      <c r="G1946" s="28" t="str">
        <f t="array" ref="G1946">_xlfn.XLOOKUP($A1946, 'Medical Examinations'!$A:$A, 'Medical Examinations'!F:F, "No Data")</f>
        <v>No</v>
      </c>
      <c r="H1946" s="28">
        <f t="array" ref="H1946">_xlfn.XLOOKUP($A1946, 'Medical Examinations'!$A:$A, 'Medical Examinations'!G:G, "No Data")</f>
        <v>0</v>
      </c>
      <c r="I1946" s="28" t="str">
        <f t="array" ref="I1946">_xlfn.XLOOKUP($A1946, 'Medical Examinations'!$A:$A, 'Medical Examinations'!H:H, "No Data")</f>
        <v>No</v>
      </c>
      <c r="J1946" s="28" t="str">
        <f t="array" ref="J1946">_xlfn.XLOOKUP($A1946, 'Medical Examinations'!$A:$A, 'Medical Examinations'!I:I, "No Data")</f>
        <v>Normal Weight</v>
      </c>
      <c r="K1946" s="28" t="str">
        <f t="array" ref="K1946">_xlfn.XLOOKUP($A1946, 'Hospitalisation Details'!$A:$A, 'Hospitalisation Details'!I:I, "No Data")</f>
        <v>tier - 3</v>
      </c>
      <c r="L1946" s="28" t="str">
        <f t="array" ref="L1946">_xlfn.XLOOKUP($A1946, 'Hospitalisation Details'!$A:$A, 'Hospitalisation Details'!J:J, "No Data")</f>
        <v>R1011</v>
      </c>
      <c r="M1946" s="28" t="str">
        <f t="array" ref="M1946">_xlfn.XLOOKUP($A1946, 'Hospitalisation Details'!$A:$A, 'Hospitalisation Details'!E:E, "No Data")</f>
        <v>08/11/90</v>
      </c>
      <c r="N1946" s="28">
        <f t="array" ref="N1946">_xlfn.XLOOKUP($A1946, 'Hospitalisation Details'!$A:$A, 'Hospitalisation Details'!K:K, "No Data")</f>
        <v>32</v>
      </c>
      <c r="O1946" s="33">
        <f t="array" ref="O1946">_xlfn.XLOOKUP($A1946, 'Hospitalisation Details'!$A:$A, 'Hospitalisation Details'!G:G, "No Data")</f>
        <v>3653.29</v>
      </c>
      <c r="P1946" s="28" t="str">
        <f t="array" ref="P1946">_xlfn.XLOOKUP($A1946, 'Hospitalisation Details'!$A:$A, 'Hospitalisation Details'!H:H, "No Data")</f>
        <v>tier - 2</v>
      </c>
    </row>
    <row r="1947">
      <c r="A1947" s="25" t="s">
        <v>2926</v>
      </c>
      <c r="B1947" s="28" t="str">
        <f t="array" ref="B1947">_xlfn.XLOOKUP($A1947, 'Customer Names'!$A:$A, 'Customer Names'!B:B, "No Data")</f>
        <v>Konigs</v>
      </c>
      <c r="C1947" s="28">
        <f t="array" ref="C1947">_xlfn.XLOOKUP($A1947, 'Medical Examinations'!$A:$A, 'Medical Examinations'!B:B, "No Data")</f>
        <v>25.46</v>
      </c>
      <c r="D1947" s="28">
        <f t="array" ref="D1947">_xlfn.XLOOKUP($A1947, 'Medical Examinations'!$A:$A, 'Medical Examinations'!C:C, "No Data")</f>
        <v>4.14</v>
      </c>
      <c r="E1947" s="28" t="str">
        <f t="array" ref="E1947">_xlfn.XLOOKUP($A1947, 'Medical Examinations'!$A:$A, 'Medical Examinations'!D:D, "No Data")</f>
        <v>No</v>
      </c>
      <c r="F1947" s="28" t="str">
        <f t="array" ref="F1947">_xlfn.XLOOKUP($A1947, 'Medical Examinations'!$A:$A, 'Medical Examinations'!E:E, "No Data")</f>
        <v>No</v>
      </c>
      <c r="G1947" s="28" t="str">
        <f t="array" ref="G1947">_xlfn.XLOOKUP($A1947, 'Medical Examinations'!$A:$A, 'Medical Examinations'!F:F, "No Data")</f>
        <v>No</v>
      </c>
      <c r="H1947" s="28">
        <f t="array" ref="H1947">_xlfn.XLOOKUP($A1947, 'Medical Examinations'!$A:$A, 'Medical Examinations'!G:G, "No Data")</f>
        <v>1</v>
      </c>
      <c r="I1947" s="28" t="str">
        <f t="array" ref="I1947">_xlfn.XLOOKUP($A1947, 'Medical Examinations'!$A:$A, 'Medical Examinations'!H:H, "No Data")</f>
        <v>No</v>
      </c>
      <c r="J1947" s="28" t="str">
        <f t="array" ref="J1947">_xlfn.XLOOKUP($A1947, 'Medical Examinations'!$A:$A, 'Medical Examinations'!I:I, "No Data")</f>
        <v>Overweight</v>
      </c>
      <c r="K1947" s="28" t="str">
        <f t="array" ref="K1947">_xlfn.XLOOKUP($A1947, 'Hospitalisation Details'!$A:$A, 'Hospitalisation Details'!I:I, "No Data")</f>
        <v>tier - 2</v>
      </c>
      <c r="L1947" s="28" t="str">
        <f t="array" ref="L1947">_xlfn.XLOOKUP($A1947, 'Hospitalisation Details'!$A:$A, 'Hospitalisation Details'!J:J, "No Data")</f>
        <v>R1014</v>
      </c>
      <c r="M1947" s="28" t="str">
        <f t="array" ref="M1947">_xlfn.XLOOKUP($A1947, 'Hospitalisation Details'!$A:$A, 'Hospitalisation Details'!E:E, "No Data")</f>
        <v>17/11/92</v>
      </c>
      <c r="N1947" s="28">
        <f t="array" ref="N1947">_xlfn.XLOOKUP($A1947, 'Hospitalisation Details'!$A:$A, 'Hospitalisation Details'!K:K, "No Data")</f>
        <v>30</v>
      </c>
      <c r="O1947" s="33">
        <f t="array" ref="O1947">_xlfn.XLOOKUP($A1947, 'Hospitalisation Details'!$A:$A, 'Hospitalisation Details'!G:G, "No Data")</f>
        <v>3645.09</v>
      </c>
      <c r="P1947" s="28" t="str">
        <f t="array" ref="P1947">_xlfn.XLOOKUP($A1947, 'Hospitalisation Details'!$A:$A, 'Hospitalisation Details'!H:H, "No Data")</f>
        <v>tier - 1</v>
      </c>
    </row>
    <row r="1948">
      <c r="A1948" s="25" t="s">
        <v>2924</v>
      </c>
      <c r="B1948" s="28" t="str">
        <f t="array" ref="B1948">_xlfn.XLOOKUP($A1948, 'Customer Names'!$A:$A, 'Customer Names'!B:B, "No Data")</f>
        <v>Tesdahl</v>
      </c>
      <c r="C1948" s="28">
        <f t="array" ref="C1948">_xlfn.XLOOKUP($A1948, 'Medical Examinations'!$A:$A, 'Medical Examinations'!B:B, "No Data")</f>
        <v>17.09</v>
      </c>
      <c r="D1948" s="28">
        <f t="array" ref="D1948">_xlfn.XLOOKUP($A1948, 'Medical Examinations'!$A:$A, 'Medical Examinations'!C:C, "No Data")</f>
        <v>5.8</v>
      </c>
      <c r="E1948" s="28" t="str">
        <f t="array" ref="E1948">_xlfn.XLOOKUP($A1948, 'Medical Examinations'!$A:$A, 'Medical Examinations'!D:D, "No Data")</f>
        <v>yes</v>
      </c>
      <c r="F1948" s="28" t="str">
        <f t="array" ref="F1948">_xlfn.XLOOKUP($A1948, 'Medical Examinations'!$A:$A, 'Medical Examinations'!E:E, "No Data")</f>
        <v>No</v>
      </c>
      <c r="G1948" s="28" t="str">
        <f t="array" ref="G1948">_xlfn.XLOOKUP($A1948, 'Medical Examinations'!$A:$A, 'Medical Examinations'!F:F, "No Data")</f>
        <v>No</v>
      </c>
      <c r="H1948" s="28">
        <f t="array" ref="H1948">_xlfn.XLOOKUP($A1948, 'Medical Examinations'!$A:$A, 'Medical Examinations'!G:G, "No Data")</f>
        <v>0</v>
      </c>
      <c r="I1948" s="28" t="str">
        <f t="array" ref="I1948">_xlfn.XLOOKUP($A1948, 'Medical Examinations'!$A:$A, 'Medical Examinations'!H:H, "No Data")</f>
        <v>No</v>
      </c>
      <c r="J1948" s="28" t="str">
        <f t="array" ref="J1948">_xlfn.XLOOKUP($A1948, 'Medical Examinations'!$A:$A, 'Medical Examinations'!I:I, "No Data")</f>
        <v>Underweight</v>
      </c>
      <c r="K1948" s="28" t="str">
        <f t="array" ref="K1948">_xlfn.XLOOKUP($A1948, 'Hospitalisation Details'!$A:$A, 'Hospitalisation Details'!I:I, "No Data")</f>
        <v>tier - 1</v>
      </c>
      <c r="L1948" s="28" t="str">
        <f t="array" ref="L1948">_xlfn.XLOOKUP($A1948, 'Hospitalisation Details'!$A:$A, 'Hospitalisation Details'!J:J, "No Data")</f>
        <v>R1013</v>
      </c>
      <c r="M1948" s="28" t="str">
        <f t="array" ref="M1948">_xlfn.XLOOKUP($A1948, 'Hospitalisation Details'!$A:$A, 'Hospitalisation Details'!E:E, "No Data")</f>
        <v>14/06/85</v>
      </c>
      <c r="N1948" s="28">
        <f t="array" ref="N1948">_xlfn.XLOOKUP($A1948, 'Hospitalisation Details'!$A:$A, 'Hospitalisation Details'!K:K, "No Data")</f>
        <v>37</v>
      </c>
      <c r="O1948" s="33">
        <f t="array" ref="O1948">_xlfn.XLOOKUP($A1948, 'Hospitalisation Details'!$A:$A, 'Hospitalisation Details'!G:G, "No Data")</f>
        <v>3622.13</v>
      </c>
      <c r="P1948" s="28" t="str">
        <f t="array" ref="P1948">_xlfn.XLOOKUP($A1948, 'Hospitalisation Details'!$A:$A, 'Hospitalisation Details'!H:H, "No Data")</f>
        <v>tier - 2</v>
      </c>
    </row>
    <row r="1949">
      <c r="A1949" s="25" t="s">
        <v>2923</v>
      </c>
      <c r="B1949" s="28" t="str">
        <f t="array" ref="B1949">_xlfn.XLOOKUP($A1949, 'Customer Names'!$A:$A, 'Customer Names'!B:B, "No Data")</f>
        <v>Engel</v>
      </c>
      <c r="C1949" s="28">
        <f t="array" ref="C1949">_xlfn.XLOOKUP($A1949, 'Medical Examinations'!$A:$A, 'Medical Examinations'!B:B, "No Data")</f>
        <v>20.83</v>
      </c>
      <c r="D1949" s="28">
        <f t="array" ref="D1949">_xlfn.XLOOKUP($A1949, 'Medical Examinations'!$A:$A, 'Medical Examinations'!C:C, "No Data")</f>
        <v>5.12</v>
      </c>
      <c r="E1949" s="28" t="str">
        <f t="array" ref="E1949">_xlfn.XLOOKUP($A1949, 'Medical Examinations'!$A:$A, 'Medical Examinations'!D:D, "No Data")</f>
        <v>No</v>
      </c>
      <c r="F1949" s="28" t="str">
        <f t="array" ref="F1949">_xlfn.XLOOKUP($A1949, 'Medical Examinations'!$A:$A, 'Medical Examinations'!E:E, "No Data")</f>
        <v>No</v>
      </c>
      <c r="G1949" s="28" t="str">
        <f t="array" ref="G1949">_xlfn.XLOOKUP($A1949, 'Medical Examinations'!$A:$A, 'Medical Examinations'!F:F, "No Data")</f>
        <v>No</v>
      </c>
      <c r="H1949" s="28">
        <f t="array" ref="H1949">_xlfn.XLOOKUP($A1949, 'Medical Examinations'!$A:$A, 'Medical Examinations'!G:G, "No Data")</f>
        <v>0</v>
      </c>
      <c r="I1949" s="28" t="str">
        <f t="array" ref="I1949">_xlfn.XLOOKUP($A1949, 'Medical Examinations'!$A:$A, 'Medical Examinations'!H:H, "No Data")</f>
        <v>No</v>
      </c>
      <c r="J1949" s="28" t="str">
        <f t="array" ref="J1949">_xlfn.XLOOKUP($A1949, 'Medical Examinations'!$A:$A, 'Medical Examinations'!I:I, "No Data")</f>
        <v>Normal Weight</v>
      </c>
      <c r="K1949" s="28" t="str">
        <f t="array" ref="K1949">_xlfn.XLOOKUP($A1949, 'Hospitalisation Details'!$A:$A, 'Hospitalisation Details'!I:I, "No Data")</f>
        <v>tier - 1</v>
      </c>
      <c r="L1949" s="28" t="str">
        <f t="array" ref="L1949">_xlfn.XLOOKUP($A1949, 'Hospitalisation Details'!$A:$A, 'Hospitalisation Details'!J:J, "No Data")</f>
        <v>R1013</v>
      </c>
      <c r="M1949" s="28" t="str">
        <f t="array" ref="M1949">_xlfn.XLOOKUP($A1949, 'Hospitalisation Details'!$A:$A, 'Hospitalisation Details'!E:E, "No Data")</f>
        <v>11/10/90</v>
      </c>
      <c r="N1949" s="28">
        <f t="array" ref="N1949">_xlfn.XLOOKUP($A1949, 'Hospitalisation Details'!$A:$A, 'Hospitalisation Details'!K:K, "No Data")</f>
        <v>32</v>
      </c>
      <c r="O1949" s="33">
        <f t="array" ref="O1949">_xlfn.XLOOKUP($A1949, 'Hospitalisation Details'!$A:$A, 'Hospitalisation Details'!G:G, "No Data")</f>
        <v>3606.43</v>
      </c>
      <c r="P1949" s="28" t="str">
        <f t="array" ref="P1949">_xlfn.XLOOKUP($A1949, 'Hospitalisation Details'!$A:$A, 'Hospitalisation Details'!H:H, "No Data")</f>
        <v>tier - 2</v>
      </c>
    </row>
    <row r="1950">
      <c r="A1950" s="25" t="s">
        <v>2922</v>
      </c>
      <c r="B1950" s="28" t="str">
        <f t="array" ref="B1950">_xlfn.XLOOKUP($A1950, 'Customer Names'!$A:$A, 'Customer Names'!B:B, "No Data")</f>
        <v>Kuck</v>
      </c>
      <c r="C1950" s="28">
        <f t="array" ref="C1950">_xlfn.XLOOKUP($A1950, 'Medical Examinations'!$A:$A, 'Medical Examinations'!B:B, "No Data")</f>
        <v>18.92</v>
      </c>
      <c r="D1950" s="28">
        <f t="array" ref="D1950">_xlfn.XLOOKUP($A1950, 'Medical Examinations'!$A:$A, 'Medical Examinations'!C:C, "No Data")</f>
        <v>5.98</v>
      </c>
      <c r="E1950" s="28" t="str">
        <f t="array" ref="E1950">_xlfn.XLOOKUP($A1950, 'Medical Examinations'!$A:$A, 'Medical Examinations'!D:D, "No Data")</f>
        <v>yes</v>
      </c>
      <c r="F1950" s="28" t="str">
        <f t="array" ref="F1950">_xlfn.XLOOKUP($A1950, 'Medical Examinations'!$A:$A, 'Medical Examinations'!E:E, "No Data")</f>
        <v>No</v>
      </c>
      <c r="G1950" s="28" t="str">
        <f t="array" ref="G1950">_xlfn.XLOOKUP($A1950, 'Medical Examinations'!$A:$A, 'Medical Examinations'!F:F, "No Data")</f>
        <v>No</v>
      </c>
      <c r="H1950" s="28">
        <f t="array" ref="H1950">_xlfn.XLOOKUP($A1950, 'Medical Examinations'!$A:$A, 'Medical Examinations'!G:G, "No Data")</f>
        <v>1</v>
      </c>
      <c r="I1950" s="28" t="str">
        <f t="array" ref="I1950">_xlfn.XLOOKUP($A1950, 'Medical Examinations'!$A:$A, 'Medical Examinations'!H:H, "No Data")</f>
        <v>No</v>
      </c>
      <c r="J1950" s="28" t="str">
        <f t="array" ref="J1950">_xlfn.XLOOKUP($A1950, 'Medical Examinations'!$A:$A, 'Medical Examinations'!I:I, "No Data")</f>
        <v>Normal Weight</v>
      </c>
      <c r="K1950" s="28" t="str">
        <f t="array" ref="K1950">_xlfn.XLOOKUP($A1950, 'Hospitalisation Details'!$A:$A, 'Hospitalisation Details'!I:I, "No Data")</f>
        <v>tier - 1</v>
      </c>
      <c r="L1950" s="28" t="str">
        <f t="array" ref="L1950">_xlfn.XLOOKUP($A1950, 'Hospitalisation Details'!$A:$A, 'Hospitalisation Details'!J:J, "No Data")</f>
        <v>R1013</v>
      </c>
      <c r="M1950" s="28" t="str">
        <f t="array" ref="M1950">_xlfn.XLOOKUP($A1950, 'Hospitalisation Details'!$A:$A, 'Hospitalisation Details'!E:E, "No Data")</f>
        <v>04/11/88</v>
      </c>
      <c r="N1950" s="28">
        <f t="array" ref="N1950">_xlfn.XLOOKUP($A1950, 'Hospitalisation Details'!$A:$A, 'Hospitalisation Details'!K:K, "No Data")</f>
        <v>34</v>
      </c>
      <c r="O1950" s="33">
        <f t="array" ref="O1950">_xlfn.XLOOKUP($A1950, 'Hospitalisation Details'!$A:$A, 'Hospitalisation Details'!G:G, "No Data")</f>
        <v>3603.6</v>
      </c>
      <c r="P1950" s="28" t="str">
        <f t="array" ref="P1950">_xlfn.XLOOKUP($A1950, 'Hospitalisation Details'!$A:$A, 'Hospitalisation Details'!H:H, "No Data")</f>
        <v>tier - 2</v>
      </c>
    </row>
    <row r="1951">
      <c r="A1951" s="25" t="s">
        <v>2921</v>
      </c>
      <c r="B1951" s="28" t="str">
        <f t="array" ref="B1951">_xlfn.XLOOKUP($A1951, 'Customer Names'!$A:$A, 'Customer Names'!B:B, "No Data")</f>
        <v>Dillon</v>
      </c>
      <c r="C1951" s="28">
        <f t="array" ref="C1951">_xlfn.XLOOKUP($A1951, 'Medical Examinations'!$A:$A, 'Medical Examinations'!B:B, "No Data")</f>
        <v>37.1</v>
      </c>
      <c r="D1951" s="28">
        <f t="array" ref="D1951">_xlfn.XLOOKUP($A1951, 'Medical Examinations'!$A:$A, 'Medical Examinations'!C:C, "No Data")</f>
        <v>5.46</v>
      </c>
      <c r="E1951" s="28" t="str">
        <f t="array" ref="E1951">_xlfn.XLOOKUP($A1951, 'Medical Examinations'!$A:$A, 'Medical Examinations'!D:D, "No Data")</f>
        <v>No</v>
      </c>
      <c r="F1951" s="28" t="str">
        <f t="array" ref="F1951">_xlfn.XLOOKUP($A1951, 'Medical Examinations'!$A:$A, 'Medical Examinations'!E:E, "No Data")</f>
        <v>No</v>
      </c>
      <c r="G1951" s="28" t="str">
        <f t="array" ref="G1951">_xlfn.XLOOKUP($A1951, 'Medical Examinations'!$A:$A, 'Medical Examinations'!F:F, "No Data")</f>
        <v>No</v>
      </c>
      <c r="H1951" s="28">
        <f t="array" ref="H1951">_xlfn.XLOOKUP($A1951, 'Medical Examinations'!$A:$A, 'Medical Examinations'!G:G, "No Data")</f>
        <v>0</v>
      </c>
      <c r="I1951" s="28" t="str">
        <f t="array" ref="I1951">_xlfn.XLOOKUP($A1951, 'Medical Examinations'!$A:$A, 'Medical Examinations'!H:H, "No Data")</f>
        <v>No</v>
      </c>
      <c r="J1951" s="28" t="str">
        <f t="array" ref="J1951">_xlfn.XLOOKUP($A1951, 'Medical Examinations'!$A:$A, 'Medical Examinations'!I:I, "No Data")</f>
        <v>Obesity</v>
      </c>
      <c r="K1951" s="28" t="str">
        <f t="array" ref="K1951">_xlfn.XLOOKUP($A1951, 'Hospitalisation Details'!$A:$A, 'Hospitalisation Details'!I:I, "No Data")</f>
        <v>tier - 2</v>
      </c>
      <c r="L1951" s="28" t="str">
        <f t="array" ref="L1951">_xlfn.XLOOKUP($A1951, 'Hospitalisation Details'!$A:$A, 'Hospitalisation Details'!J:J, "No Data")</f>
        <v>R1011</v>
      </c>
      <c r="M1951" s="28" t="str">
        <f t="array" ref="M1951">_xlfn.XLOOKUP($A1951, 'Hospitalisation Details'!$A:$A, 'Hospitalisation Details'!E:E, "No Data")</f>
        <v>12/08/99</v>
      </c>
      <c r="N1951" s="28">
        <f t="array" ref="N1951">_xlfn.XLOOKUP($A1951, 'Hospitalisation Details'!$A:$A, 'Hospitalisation Details'!K:K, "No Data")</f>
        <v>23</v>
      </c>
      <c r="O1951" s="33">
        <f t="array" ref="O1951">_xlfn.XLOOKUP($A1951, 'Hospitalisation Details'!$A:$A, 'Hospitalisation Details'!G:G, "No Data")</f>
        <v>3597.6</v>
      </c>
      <c r="P1951" s="28" t="str">
        <f t="array" ref="P1951">_xlfn.XLOOKUP($A1951, 'Hospitalisation Details'!$A:$A, 'Hospitalisation Details'!H:H, "No Data")</f>
        <v>tier - 2</v>
      </c>
    </row>
    <row r="1952">
      <c r="A1952" s="25" t="s">
        <v>2920</v>
      </c>
      <c r="B1952" s="28" t="str">
        <f t="array" ref="B1952">_xlfn.XLOOKUP($A1952, 'Customer Names'!$A:$A, 'Customer Names'!B:B, "No Data")</f>
        <v>Neuschel</v>
      </c>
      <c r="C1952" s="28">
        <f t="array" ref="C1952">_xlfn.XLOOKUP($A1952, 'Medical Examinations'!$A:$A, 'Medical Examinations'!B:B, "No Data")</f>
        <v>22.515</v>
      </c>
      <c r="D1952" s="28">
        <f t="array" ref="D1952">_xlfn.XLOOKUP($A1952, 'Medical Examinations'!$A:$A, 'Medical Examinations'!C:C, "No Data")</f>
        <v>4.91</v>
      </c>
      <c r="E1952" s="28" t="str">
        <f t="array" ref="E1952">_xlfn.XLOOKUP($A1952, 'Medical Examinations'!$A:$A, 'Medical Examinations'!D:D, "No Data")</f>
        <v>yes</v>
      </c>
      <c r="F1952" s="28" t="str">
        <f t="array" ref="F1952">_xlfn.XLOOKUP($A1952, 'Medical Examinations'!$A:$A, 'Medical Examinations'!E:E, "No Data")</f>
        <v>No</v>
      </c>
      <c r="G1952" s="28" t="str">
        <f t="array" ref="G1952">_xlfn.XLOOKUP($A1952, 'Medical Examinations'!$A:$A, 'Medical Examinations'!F:F, "No Data")</f>
        <v>Yes</v>
      </c>
      <c r="H1952" s="28">
        <f t="array" ref="H1952">_xlfn.XLOOKUP($A1952, 'Medical Examinations'!$A:$A, 'Medical Examinations'!G:G, "No Data")</f>
        <v>1</v>
      </c>
      <c r="I1952" s="28" t="str">
        <f t="array" ref="I1952">_xlfn.XLOOKUP($A1952, 'Medical Examinations'!$A:$A, 'Medical Examinations'!H:H, "No Data")</f>
        <v>No</v>
      </c>
      <c r="J1952" s="28" t="str">
        <f t="array" ref="J1952">_xlfn.XLOOKUP($A1952, 'Medical Examinations'!$A:$A, 'Medical Examinations'!I:I, "No Data")</f>
        <v>Normal Weight</v>
      </c>
      <c r="K1952" s="28" t="str">
        <f t="array" ref="K1952">_xlfn.XLOOKUP($A1952, 'Hospitalisation Details'!$A:$A, 'Hospitalisation Details'!I:I, "No Data")</f>
        <v>tier - 2</v>
      </c>
      <c r="L1952" s="28" t="str">
        <f t="array" ref="L1952">_xlfn.XLOOKUP($A1952, 'Hospitalisation Details'!$A:$A, 'Hospitalisation Details'!J:J, "No Data")</f>
        <v>R1012</v>
      </c>
      <c r="M1952" s="28" t="str">
        <f t="array" ref="M1952">_xlfn.XLOOKUP($A1952, 'Hospitalisation Details'!$A:$A, 'Hospitalisation Details'!E:E, "No Data")</f>
        <v>04/11/97</v>
      </c>
      <c r="N1952" s="28">
        <f t="array" ref="N1952">_xlfn.XLOOKUP($A1952, 'Hospitalisation Details'!$A:$A, 'Hospitalisation Details'!K:K, "No Data")</f>
        <v>25</v>
      </c>
      <c r="O1952" s="33">
        <f t="array" ref="O1952">_xlfn.XLOOKUP($A1952, 'Hospitalisation Details'!$A:$A, 'Hospitalisation Details'!G:G, "No Data")</f>
        <v>3594.17</v>
      </c>
      <c r="P1952" s="28" t="str">
        <f t="array" ref="P1952">_xlfn.XLOOKUP($A1952, 'Hospitalisation Details'!$A:$A, 'Hospitalisation Details'!H:H, "No Data")</f>
        <v>tier - 2</v>
      </c>
    </row>
    <row r="1953">
      <c r="A1953" s="25" t="s">
        <v>2919</v>
      </c>
      <c r="B1953" s="28" t="str">
        <f t="array" ref="B1953">_xlfn.XLOOKUP($A1953, 'Customer Names'!$A:$A, 'Customer Names'!B:B, "No Data")</f>
        <v>Rosales Ramirez</v>
      </c>
      <c r="C1953" s="28">
        <f t="array" ref="C1953">_xlfn.XLOOKUP($A1953, 'Medical Examinations'!$A:$A, 'Medical Examinations'!B:B, "No Data")</f>
        <v>32.7</v>
      </c>
      <c r="D1953" s="28">
        <f t="array" ref="D1953">_xlfn.XLOOKUP($A1953, 'Medical Examinations'!$A:$A, 'Medical Examinations'!C:C, "No Data")</f>
        <v>4.66</v>
      </c>
      <c r="E1953" s="28" t="str">
        <f t="array" ref="E1953">_xlfn.XLOOKUP($A1953, 'Medical Examinations'!$A:$A, 'Medical Examinations'!D:D, "No Data")</f>
        <v>No</v>
      </c>
      <c r="F1953" s="28" t="str">
        <f t="array" ref="F1953">_xlfn.XLOOKUP($A1953, 'Medical Examinations'!$A:$A, 'Medical Examinations'!E:E, "No Data")</f>
        <v>No</v>
      </c>
      <c r="G1953" s="28" t="str">
        <f t="array" ref="G1953">_xlfn.XLOOKUP($A1953, 'Medical Examinations'!$A:$A, 'Medical Examinations'!F:F, "No Data")</f>
        <v>No</v>
      </c>
      <c r="H1953" s="28">
        <f t="array" ref="H1953">_xlfn.XLOOKUP($A1953, 'Medical Examinations'!$A:$A, 'Medical Examinations'!G:G, "No Data")</f>
        <v>0</v>
      </c>
      <c r="I1953" s="28" t="str">
        <f t="array" ref="I1953">_xlfn.XLOOKUP($A1953, 'Medical Examinations'!$A:$A, 'Medical Examinations'!H:H, "No Data")</f>
        <v>No</v>
      </c>
      <c r="J1953" s="28" t="str">
        <f t="array" ref="J1953">_xlfn.XLOOKUP($A1953, 'Medical Examinations'!$A:$A, 'Medical Examinations'!I:I, "No Data")</f>
        <v>Obesity</v>
      </c>
      <c r="K1953" s="28" t="str">
        <f t="array" ref="K1953">_xlfn.XLOOKUP($A1953, 'Hospitalisation Details'!$A:$A, 'Hospitalisation Details'!I:I, "No Data")</f>
        <v>tier - 3</v>
      </c>
      <c r="L1953" s="28" t="str">
        <f t="array" ref="L1953">_xlfn.XLOOKUP($A1953, 'Hospitalisation Details'!$A:$A, 'Hospitalisation Details'!J:J, "No Data")</f>
        <v>R1011</v>
      </c>
      <c r="M1953" s="28" t="str">
        <f t="array" ref="M1953">_xlfn.XLOOKUP($A1953, 'Hospitalisation Details'!$A:$A, 'Hospitalisation Details'!E:E, "No Data")</f>
        <v>06/06/99</v>
      </c>
      <c r="N1953" s="28">
        <f t="array" ref="N1953">_xlfn.XLOOKUP($A1953, 'Hospitalisation Details'!$A:$A, 'Hospitalisation Details'!K:K, "No Data")</f>
        <v>24</v>
      </c>
      <c r="O1953" s="33">
        <f t="array" ref="O1953">_xlfn.XLOOKUP($A1953, 'Hospitalisation Details'!$A:$A, 'Hospitalisation Details'!G:G, "No Data")</f>
        <v>3591.48</v>
      </c>
      <c r="P1953" s="28" t="str">
        <f t="array" ref="P1953">_xlfn.XLOOKUP($A1953, 'Hospitalisation Details'!$A:$A, 'Hospitalisation Details'!H:H, "No Data")</f>
        <v>tier - 2</v>
      </c>
    </row>
    <row r="1954">
      <c r="A1954" s="25" t="s">
        <v>2917</v>
      </c>
      <c r="B1954" s="28" t="str">
        <f t="array" ref="B1954">_xlfn.XLOOKUP($A1954, 'Customer Names'!$A:$A, 'Customer Names'!B:B, "No Data")</f>
        <v>Marquez</v>
      </c>
      <c r="C1954" s="28">
        <f t="array" ref="C1954">_xlfn.XLOOKUP($A1954, 'Medical Examinations'!$A:$A, 'Medical Examinations'!B:B, "No Data")</f>
        <v>17.75</v>
      </c>
      <c r="D1954" s="28">
        <f t="array" ref="D1954">_xlfn.XLOOKUP($A1954, 'Medical Examinations'!$A:$A, 'Medical Examinations'!C:C, "No Data")</f>
        <v>6.8</v>
      </c>
      <c r="E1954" s="28" t="str">
        <f t="array" ref="E1954">_xlfn.XLOOKUP($A1954, 'Medical Examinations'!$A:$A, 'Medical Examinations'!D:D, "No Data")</f>
        <v>yes</v>
      </c>
      <c r="F1954" s="28" t="str">
        <f t="array" ref="F1954">_xlfn.XLOOKUP($A1954, 'Medical Examinations'!$A:$A, 'Medical Examinations'!E:E, "No Data")</f>
        <v>No</v>
      </c>
      <c r="G1954" s="28" t="str">
        <f t="array" ref="G1954">_xlfn.XLOOKUP($A1954, 'Medical Examinations'!$A:$A, 'Medical Examinations'!F:F, "No Data")</f>
        <v>No</v>
      </c>
      <c r="H1954" s="28">
        <f t="array" ref="H1954">_xlfn.XLOOKUP($A1954, 'Medical Examinations'!$A:$A, 'Medical Examinations'!G:G, "No Data")</f>
        <v>1</v>
      </c>
      <c r="I1954" s="28" t="str">
        <f t="array" ref="I1954">_xlfn.XLOOKUP($A1954, 'Medical Examinations'!$A:$A, 'Medical Examinations'!H:H, "No Data")</f>
        <v>No</v>
      </c>
      <c r="J1954" s="28" t="str">
        <f t="array" ref="J1954">_xlfn.XLOOKUP($A1954, 'Medical Examinations'!$A:$A, 'Medical Examinations'!I:I, "No Data")</f>
        <v>Underweight</v>
      </c>
      <c r="K1954" s="28" t="str">
        <f t="array" ref="K1954">_xlfn.XLOOKUP($A1954, 'Hospitalisation Details'!$A:$A, 'Hospitalisation Details'!I:I, "No Data")</f>
        <v>tier - 2</v>
      </c>
      <c r="L1954" s="28" t="str">
        <f t="array" ref="L1954">_xlfn.XLOOKUP($A1954, 'Hospitalisation Details'!$A:$A, 'Hospitalisation Details'!J:J, "No Data")</f>
        <v>R1013</v>
      </c>
      <c r="M1954" s="28" t="str">
        <f t="array" ref="M1954">_xlfn.XLOOKUP($A1954, 'Hospitalisation Details'!$A:$A, 'Hospitalisation Details'!E:E, "No Data")</f>
        <v>27/12/86</v>
      </c>
      <c r="N1954" s="28">
        <f t="array" ref="N1954">_xlfn.XLOOKUP($A1954, 'Hospitalisation Details'!$A:$A, 'Hospitalisation Details'!K:K, "No Data")</f>
        <v>36</v>
      </c>
      <c r="O1954" s="33">
        <f t="array" ref="O1954">_xlfn.XLOOKUP($A1954, 'Hospitalisation Details'!$A:$A, 'Hospitalisation Details'!G:G, "No Data")</f>
        <v>3589.14</v>
      </c>
      <c r="P1954" s="28" t="str">
        <f t="array" ref="P1954">_xlfn.XLOOKUP($A1954, 'Hospitalisation Details'!$A:$A, 'Hospitalisation Details'!H:H, "No Data")</f>
        <v>tier - 2</v>
      </c>
    </row>
    <row r="1955">
      <c r="A1955" s="25" t="s">
        <v>2910</v>
      </c>
      <c r="B1955" s="28" t="str">
        <f t="array" ref="B1955">_xlfn.XLOOKUP($A1955, 'Customer Names'!$A:$A, 'Customer Names'!B:B, "No Data")</f>
        <v>Green</v>
      </c>
      <c r="C1955" s="28">
        <f t="array" ref="C1955">_xlfn.XLOOKUP($A1955, 'Medical Examinations'!$A:$A, 'Medical Examinations'!B:B, "No Data")</f>
        <v>33.63</v>
      </c>
      <c r="D1955" s="28">
        <f t="array" ref="D1955">_xlfn.XLOOKUP($A1955, 'Medical Examinations'!$A:$A, 'Medical Examinations'!C:C, "No Data")</f>
        <v>4.47</v>
      </c>
      <c r="E1955" s="28" t="str">
        <f t="array" ref="E1955">_xlfn.XLOOKUP($A1955, 'Medical Examinations'!$A:$A, 'Medical Examinations'!D:D, "No Data")</f>
        <v>yes</v>
      </c>
      <c r="F1955" s="28" t="str">
        <f t="array" ref="F1955">_xlfn.XLOOKUP($A1955, 'Medical Examinations'!$A:$A, 'Medical Examinations'!E:E, "No Data")</f>
        <v>No</v>
      </c>
      <c r="G1955" s="28" t="str">
        <f t="array" ref="G1955">_xlfn.XLOOKUP($A1955, 'Medical Examinations'!$A:$A, 'Medical Examinations'!F:F, "No Data")</f>
        <v>No</v>
      </c>
      <c r="H1955" s="28">
        <f t="array" ref="H1955">_xlfn.XLOOKUP($A1955, 'Medical Examinations'!$A:$A, 'Medical Examinations'!G:G, "No Data")</f>
        <v>0</v>
      </c>
      <c r="I1955" s="28" t="str">
        <f t="array" ref="I1955">_xlfn.XLOOKUP($A1955, 'Medical Examinations'!$A:$A, 'Medical Examinations'!H:H, "No Data")</f>
        <v>No</v>
      </c>
      <c r="J1955" s="28" t="str">
        <f t="array" ref="J1955">_xlfn.XLOOKUP($A1955, 'Medical Examinations'!$A:$A, 'Medical Examinations'!I:I, "No Data")</f>
        <v>Obesity</v>
      </c>
      <c r="K1955" s="28" t="str">
        <f t="array" ref="K1955">_xlfn.XLOOKUP($A1955, 'Hospitalisation Details'!$A:$A, 'Hospitalisation Details'!I:I, "No Data")</f>
        <v>tier - 2</v>
      </c>
      <c r="L1955" s="28" t="str">
        <f t="array" ref="L1955">_xlfn.XLOOKUP($A1955, 'Hospitalisation Details'!$A:$A, 'Hospitalisation Details'!J:J, "No Data")</f>
        <v>R1012</v>
      </c>
      <c r="M1955" s="28" t="str">
        <f t="array" ref="M1955">_xlfn.XLOOKUP($A1955, 'Hospitalisation Details'!$A:$A, 'Hospitalisation Details'!E:E, "No Data")</f>
        <v>11/11/01</v>
      </c>
      <c r="N1955" s="28">
        <f t="array" ref="N1955">_xlfn.XLOOKUP($A1955, 'Hospitalisation Details'!$A:$A, 'Hospitalisation Details'!K:K, "No Data")</f>
        <v>21</v>
      </c>
      <c r="O1955" s="33">
        <f t="array" ref="O1955">_xlfn.XLOOKUP($A1955, 'Hospitalisation Details'!$A:$A, 'Hospitalisation Details'!G:G, "No Data")</f>
        <v>3579.83</v>
      </c>
      <c r="P1955" s="28" t="str">
        <f t="array" ref="P1955">_xlfn.XLOOKUP($A1955, 'Hospitalisation Details'!$A:$A, 'Hospitalisation Details'!H:H, "No Data")</f>
        <v>tier - 2</v>
      </c>
    </row>
    <row r="1956">
      <c r="A1956" s="25" t="s">
        <v>2904</v>
      </c>
      <c r="B1956" s="28" t="str">
        <f t="array" ref="B1956">_xlfn.XLOOKUP($A1956, 'Customer Names'!$A:$A, 'Customer Names'!B:B, "No Data")</f>
        <v>Schubel</v>
      </c>
      <c r="C1956" s="28">
        <f t="array" ref="C1956">_xlfn.XLOOKUP($A1956, 'Medical Examinations'!$A:$A, 'Medical Examinations'!B:B, "No Data")</f>
        <v>34.8</v>
      </c>
      <c r="D1956" s="28">
        <f t="array" ref="D1956">_xlfn.XLOOKUP($A1956, 'Medical Examinations'!$A:$A, 'Medical Examinations'!C:C, "No Data")</f>
        <v>4.08</v>
      </c>
      <c r="E1956" s="28" t="str">
        <f t="array" ref="E1956">_xlfn.XLOOKUP($A1956, 'Medical Examinations'!$A:$A, 'Medical Examinations'!D:D, "No Data")</f>
        <v>yes</v>
      </c>
      <c r="F1956" s="28" t="str">
        <f t="array" ref="F1956">_xlfn.XLOOKUP($A1956, 'Medical Examinations'!$A:$A, 'Medical Examinations'!E:E, "No Data")</f>
        <v>No</v>
      </c>
      <c r="G1956" s="28" t="str">
        <f t="array" ref="G1956">_xlfn.XLOOKUP($A1956, 'Medical Examinations'!$A:$A, 'Medical Examinations'!F:F, "No Data")</f>
        <v>No</v>
      </c>
      <c r="H1956" s="28">
        <f t="array" ref="H1956">_xlfn.XLOOKUP($A1956, 'Medical Examinations'!$A:$A, 'Medical Examinations'!G:G, "No Data")</f>
        <v>1</v>
      </c>
      <c r="I1956" s="28" t="str">
        <f t="array" ref="I1956">_xlfn.XLOOKUP($A1956, 'Medical Examinations'!$A:$A, 'Medical Examinations'!H:H, "No Data")</f>
        <v>No</v>
      </c>
      <c r="J1956" s="28" t="str">
        <f t="array" ref="J1956">_xlfn.XLOOKUP($A1956, 'Medical Examinations'!$A:$A, 'Medical Examinations'!I:I, "No Data")</f>
        <v>Obesity</v>
      </c>
      <c r="K1956" s="28" t="str">
        <f t="array" ref="K1956">_xlfn.XLOOKUP($A1956, 'Hospitalisation Details'!$A:$A, 'Hospitalisation Details'!I:I, "No Data")</f>
        <v>tier - 3</v>
      </c>
      <c r="L1956" s="28" t="str">
        <f t="array" ref="L1956">_xlfn.XLOOKUP($A1956, 'Hospitalisation Details'!$A:$A, 'Hospitalisation Details'!J:J, "No Data")</f>
        <v>R1011</v>
      </c>
      <c r="M1956" s="28" t="str">
        <f t="array" ref="M1956">_xlfn.XLOOKUP($A1956, 'Hospitalisation Details'!$A:$A, 'Hospitalisation Details'!E:E, "No Data")</f>
        <v>23/08/95</v>
      </c>
      <c r="N1956" s="28">
        <f t="array" ref="N1956">_xlfn.XLOOKUP($A1956, 'Hospitalisation Details'!$A:$A, 'Hospitalisation Details'!K:K, "No Data")</f>
        <v>27</v>
      </c>
      <c r="O1956" s="33">
        <f t="array" ref="O1956">_xlfn.XLOOKUP($A1956, 'Hospitalisation Details'!$A:$A, 'Hospitalisation Details'!G:G, "No Data")</f>
        <v>3578</v>
      </c>
      <c r="P1956" s="28" t="str">
        <f t="array" ref="P1956">_xlfn.XLOOKUP($A1956, 'Hospitalisation Details'!$A:$A, 'Hospitalisation Details'!H:H, "No Data")</f>
        <v>tier - 2</v>
      </c>
    </row>
    <row r="1957">
      <c r="A1957" s="25" t="s">
        <v>2900</v>
      </c>
      <c r="B1957" s="28" t="str">
        <f t="array" ref="B1957">_xlfn.XLOOKUP($A1957, 'Customer Names'!$A:$A, 'Customer Names'!B:B, "No Data")</f>
        <v>Jimenez</v>
      </c>
      <c r="C1957" s="28">
        <f t="array" ref="C1957">_xlfn.XLOOKUP($A1957, 'Medical Examinations'!$A:$A, 'Medical Examinations'!B:B, "No Data")</f>
        <v>16.81</v>
      </c>
      <c r="D1957" s="28">
        <f t="array" ref="D1957">_xlfn.XLOOKUP($A1957, 'Medical Examinations'!$A:$A, 'Medical Examinations'!C:C, "No Data")</f>
        <v>5.51</v>
      </c>
      <c r="E1957" s="28" t="str">
        <f t="array" ref="E1957">_xlfn.XLOOKUP($A1957, 'Medical Examinations'!$A:$A, 'Medical Examinations'!D:D, "No Data")</f>
        <v>yes</v>
      </c>
      <c r="F1957" s="28" t="str">
        <f t="array" ref="F1957">_xlfn.XLOOKUP($A1957, 'Medical Examinations'!$A:$A, 'Medical Examinations'!E:E, "No Data")</f>
        <v>No</v>
      </c>
      <c r="G1957" s="28" t="str">
        <f t="array" ref="G1957">_xlfn.XLOOKUP($A1957, 'Medical Examinations'!$A:$A, 'Medical Examinations'!F:F, "No Data")</f>
        <v>No</v>
      </c>
      <c r="H1957" s="28">
        <f t="array" ref="H1957">_xlfn.XLOOKUP($A1957, 'Medical Examinations'!$A:$A, 'Medical Examinations'!G:G, "No Data")</f>
        <v>1</v>
      </c>
      <c r="I1957" s="28" t="str">
        <f t="array" ref="I1957">_xlfn.XLOOKUP($A1957, 'Medical Examinations'!$A:$A, 'Medical Examinations'!H:H, "No Data")</f>
        <v>No</v>
      </c>
      <c r="J1957" s="28" t="str">
        <f t="array" ref="J1957">_xlfn.XLOOKUP($A1957, 'Medical Examinations'!$A:$A, 'Medical Examinations'!I:I, "No Data")</f>
        <v>Underweight</v>
      </c>
      <c r="K1957" s="28" t="str">
        <f t="array" ref="K1957">_xlfn.XLOOKUP($A1957, 'Hospitalisation Details'!$A:$A, 'Hospitalisation Details'!I:I, "No Data")</f>
        <v>tier - 1</v>
      </c>
      <c r="L1957" s="28" t="str">
        <f t="array" ref="L1957">_xlfn.XLOOKUP($A1957, 'Hospitalisation Details'!$A:$A, 'Hospitalisation Details'!J:J, "No Data")</f>
        <v>R1012</v>
      </c>
      <c r="M1957" s="28" t="str">
        <f t="array" ref="M1957">_xlfn.XLOOKUP($A1957, 'Hospitalisation Details'!$A:$A, 'Hospitalisation Details'!E:E, "No Data")</f>
        <v>18/08/88</v>
      </c>
      <c r="N1957" s="28">
        <f t="array" ref="N1957">_xlfn.XLOOKUP($A1957, 'Hospitalisation Details'!$A:$A, 'Hospitalisation Details'!K:K, "No Data")</f>
        <v>34</v>
      </c>
      <c r="O1957" s="33">
        <f t="array" ref="O1957">_xlfn.XLOOKUP($A1957, 'Hospitalisation Details'!$A:$A, 'Hospitalisation Details'!G:G, "No Data")</f>
        <v>3569.96</v>
      </c>
      <c r="P1957" s="28" t="str">
        <f t="array" ref="P1957">_xlfn.XLOOKUP($A1957, 'Hospitalisation Details'!$A:$A, 'Hospitalisation Details'!H:H, "No Data")</f>
        <v>tier - 2</v>
      </c>
    </row>
    <row r="1958">
      <c r="A1958" s="25" t="s">
        <v>2894</v>
      </c>
      <c r="B1958" s="28" t="str">
        <f t="array" ref="B1958">_xlfn.XLOOKUP($A1958, 'Customer Names'!$A:$A, 'Customer Names'!B:B, "No Data")</f>
        <v>Zimny-Schmitt</v>
      </c>
      <c r="C1958" s="28">
        <f t="array" ref="C1958">_xlfn.XLOOKUP($A1958, 'Medical Examinations'!$A:$A, 'Medical Examinations'!B:B, "No Data")</f>
        <v>16.69</v>
      </c>
      <c r="D1958" s="28">
        <f t="array" ref="D1958">_xlfn.XLOOKUP($A1958, 'Medical Examinations'!$A:$A, 'Medical Examinations'!C:C, "No Data")</f>
        <v>8.4</v>
      </c>
      <c r="E1958" s="28" t="str">
        <f t="array" ref="E1958">_xlfn.XLOOKUP($A1958, 'Medical Examinations'!$A:$A, 'Medical Examinations'!D:D, "No Data")</f>
        <v>yes</v>
      </c>
      <c r="F1958" s="28" t="str">
        <f t="array" ref="F1958">_xlfn.XLOOKUP($A1958, 'Medical Examinations'!$A:$A, 'Medical Examinations'!E:E, "No Data")</f>
        <v>No</v>
      </c>
      <c r="G1958" s="28" t="str">
        <f t="array" ref="G1958">_xlfn.XLOOKUP($A1958, 'Medical Examinations'!$A:$A, 'Medical Examinations'!F:F, "No Data")</f>
        <v>No</v>
      </c>
      <c r="H1958" s="28">
        <f t="array" ref="H1958">_xlfn.XLOOKUP($A1958, 'Medical Examinations'!$A:$A, 'Medical Examinations'!G:G, "No Data")</f>
        <v>0</v>
      </c>
      <c r="I1958" s="28" t="str">
        <f t="array" ref="I1958">_xlfn.XLOOKUP($A1958, 'Medical Examinations'!$A:$A, 'Medical Examinations'!H:H, "No Data")</f>
        <v>No</v>
      </c>
      <c r="J1958" s="28" t="str">
        <f t="array" ref="J1958">_xlfn.XLOOKUP($A1958, 'Medical Examinations'!$A:$A, 'Medical Examinations'!I:I, "No Data")</f>
        <v>Underweight</v>
      </c>
      <c r="K1958" s="28" t="str">
        <f t="array" ref="K1958">_xlfn.XLOOKUP($A1958, 'Hospitalisation Details'!$A:$A, 'Hospitalisation Details'!I:I, "No Data")</f>
        <v>tier - 1</v>
      </c>
      <c r="L1958" s="28" t="str">
        <f t="array" ref="L1958">_xlfn.XLOOKUP($A1958, 'Hospitalisation Details'!$A:$A, 'Hospitalisation Details'!J:J, "No Data")</f>
        <v>R1013</v>
      </c>
      <c r="M1958" s="28" t="str">
        <f t="array" ref="M1958">_xlfn.XLOOKUP($A1958, 'Hospitalisation Details'!$A:$A, 'Hospitalisation Details'!E:E, "No Data")</f>
        <v>10/10/81</v>
      </c>
      <c r="N1958" s="28">
        <f t="array" ref="N1958">_xlfn.XLOOKUP($A1958, 'Hospitalisation Details'!$A:$A, 'Hospitalisation Details'!K:K, "No Data")</f>
        <v>41</v>
      </c>
      <c r="O1958" s="33">
        <f t="array" ref="O1958">_xlfn.XLOOKUP($A1958, 'Hospitalisation Details'!$A:$A, 'Hospitalisation Details'!G:G, "No Data")</f>
        <v>3562.87</v>
      </c>
      <c r="P1958" s="28" t="str">
        <f t="array" ref="P1958">_xlfn.XLOOKUP($A1958, 'Hospitalisation Details'!$A:$A, 'Hospitalisation Details'!H:H, "No Data")</f>
        <v>tier - 2</v>
      </c>
    </row>
    <row r="1959">
      <c r="A1959" s="25" t="s">
        <v>2889</v>
      </c>
      <c r="B1959" s="28" t="str">
        <f t="array" ref="B1959">_xlfn.XLOOKUP($A1959, 'Customer Names'!$A:$A, 'Customer Names'!B:B, "No Data")</f>
        <v>Hill</v>
      </c>
      <c r="C1959" s="28">
        <f t="array" ref="C1959">_xlfn.XLOOKUP($A1959, 'Medical Examinations'!$A:$A, 'Medical Examinations'!B:B, "No Data")</f>
        <v>23.21</v>
      </c>
      <c r="D1959" s="28">
        <f t="array" ref="D1959">_xlfn.XLOOKUP($A1959, 'Medical Examinations'!$A:$A, 'Medical Examinations'!C:C, "No Data")</f>
        <v>5.14</v>
      </c>
      <c r="E1959" s="28" t="str">
        <f t="array" ref="E1959">_xlfn.XLOOKUP($A1959, 'Medical Examinations'!$A:$A, 'Medical Examinations'!D:D, "No Data")</f>
        <v>yes</v>
      </c>
      <c r="F1959" s="28" t="str">
        <f t="array" ref="F1959">_xlfn.XLOOKUP($A1959, 'Medical Examinations'!$A:$A, 'Medical Examinations'!E:E, "No Data")</f>
        <v>No</v>
      </c>
      <c r="G1959" s="28" t="str">
        <f t="array" ref="G1959">_xlfn.XLOOKUP($A1959, 'Medical Examinations'!$A:$A, 'Medical Examinations'!F:F, "No Data")</f>
        <v>No</v>
      </c>
      <c r="H1959" s="28">
        <f t="array" ref="H1959">_xlfn.XLOOKUP($A1959, 'Medical Examinations'!$A:$A, 'Medical Examinations'!G:G, "No Data")</f>
        <v>1</v>
      </c>
      <c r="I1959" s="28" t="str">
        <f t="array" ref="I1959">_xlfn.XLOOKUP($A1959, 'Medical Examinations'!$A:$A, 'Medical Examinations'!H:H, "No Data")</f>
        <v>No</v>
      </c>
      <c r="J1959" s="28" t="str">
        <f t="array" ref="J1959">_xlfn.XLOOKUP($A1959, 'Medical Examinations'!$A:$A, 'Medical Examinations'!I:I, "No Data")</f>
        <v>Normal Weight</v>
      </c>
      <c r="K1959" s="28" t="str">
        <f t="array" ref="K1959">_xlfn.XLOOKUP($A1959, 'Hospitalisation Details'!$A:$A, 'Hospitalisation Details'!I:I, "No Data")</f>
        <v>tier - 1</v>
      </c>
      <c r="L1959" s="28" t="str">
        <f t="array" ref="L1959">_xlfn.XLOOKUP($A1959, 'Hospitalisation Details'!$A:$A, 'Hospitalisation Details'!J:J, "No Data")</f>
        <v>R1013</v>
      </c>
      <c r="M1959" s="28" t="str">
        <f t="array" ref="M1959">_xlfn.XLOOKUP($A1959, 'Hospitalisation Details'!$A:$A, 'Hospitalisation Details'!E:E, "No Data")</f>
        <v>16/06/95</v>
      </c>
      <c r="N1959" s="28">
        <f t="array" ref="N1959">_xlfn.XLOOKUP($A1959, 'Hospitalisation Details'!$A:$A, 'Hospitalisation Details'!K:K, "No Data")</f>
        <v>27</v>
      </c>
      <c r="O1959" s="33">
        <f t="array" ref="O1959">_xlfn.XLOOKUP($A1959, 'Hospitalisation Details'!$A:$A, 'Hospitalisation Details'!G:G, "No Data")</f>
        <v>3561.89</v>
      </c>
      <c r="P1959" s="28" t="str">
        <f t="array" ref="P1959">_xlfn.XLOOKUP($A1959, 'Hospitalisation Details'!$A:$A, 'Hospitalisation Details'!H:H, "No Data")</f>
        <v>tier - 2</v>
      </c>
    </row>
    <row r="1960">
      <c r="A1960" s="25" t="s">
        <v>2883</v>
      </c>
      <c r="B1960" s="28" t="str">
        <f t="array" ref="B1960">_xlfn.XLOOKUP($A1960, 'Customer Names'!$A:$A, 'Customer Names'!B:B, "No Data")</f>
        <v>Brohart</v>
      </c>
      <c r="C1960" s="28">
        <f t="array" ref="C1960">_xlfn.XLOOKUP($A1960, 'Medical Examinations'!$A:$A, 'Medical Examinations'!B:B, "No Data")</f>
        <v>25.175</v>
      </c>
      <c r="D1960" s="28">
        <f t="array" ref="D1960">_xlfn.XLOOKUP($A1960, 'Medical Examinations'!$A:$A, 'Medical Examinations'!C:C, "No Data")</f>
        <v>5.21</v>
      </c>
      <c r="E1960" s="28" t="str">
        <f t="array" ref="E1960">_xlfn.XLOOKUP($A1960, 'Medical Examinations'!$A:$A, 'Medical Examinations'!D:D, "No Data")</f>
        <v>yes</v>
      </c>
      <c r="F1960" s="28" t="str">
        <f t="array" ref="F1960">_xlfn.XLOOKUP($A1960, 'Medical Examinations'!$A:$A, 'Medical Examinations'!E:E, "No Data")</f>
        <v>No</v>
      </c>
      <c r="G1960" s="28" t="str">
        <f t="array" ref="G1960">_xlfn.XLOOKUP($A1960, 'Medical Examinations'!$A:$A, 'Medical Examinations'!F:F, "No Data")</f>
        <v>No</v>
      </c>
      <c r="H1960" s="28">
        <f t="array" ref="H1960">_xlfn.XLOOKUP($A1960, 'Medical Examinations'!$A:$A, 'Medical Examinations'!G:G, "No Data")</f>
        <v>1</v>
      </c>
      <c r="I1960" s="28" t="str">
        <f t="array" ref="I1960">_xlfn.XLOOKUP($A1960, 'Medical Examinations'!$A:$A, 'Medical Examinations'!H:H, "No Data")</f>
        <v>No</v>
      </c>
      <c r="J1960" s="28" t="str">
        <f t="array" ref="J1960">_xlfn.XLOOKUP($A1960, 'Medical Examinations'!$A:$A, 'Medical Examinations'!I:I, "No Data")</f>
        <v>Overweight</v>
      </c>
      <c r="K1960" s="28" t="str">
        <f t="array" ref="K1960">_xlfn.XLOOKUP($A1960, 'Hospitalisation Details'!$A:$A, 'Hospitalisation Details'!I:I, "No Data")</f>
        <v>tier - 3</v>
      </c>
      <c r="L1960" s="28" t="str">
        <f t="array" ref="L1960">_xlfn.XLOOKUP($A1960, 'Hospitalisation Details'!$A:$A, 'Hospitalisation Details'!J:J, "No Data")</f>
        <v>R1024</v>
      </c>
      <c r="M1960" s="28" t="str">
        <f t="array" ref="M1960">_xlfn.XLOOKUP($A1960, 'Hospitalisation Details'!$A:$A, 'Hospitalisation Details'!E:E, "No Data")</f>
        <v>09/10/95</v>
      </c>
      <c r="N1960" s="28">
        <f t="array" ref="N1960">_xlfn.XLOOKUP($A1960, 'Hospitalisation Details'!$A:$A, 'Hospitalisation Details'!K:K, "No Data")</f>
        <v>27</v>
      </c>
      <c r="O1960" s="33">
        <f t="array" ref="O1960">_xlfn.XLOOKUP($A1960, 'Hospitalisation Details'!$A:$A, 'Hospitalisation Details'!G:G, "No Data")</f>
        <v>3558.62</v>
      </c>
      <c r="P1960" s="28" t="str">
        <f t="array" ref="P1960">_xlfn.XLOOKUP($A1960, 'Hospitalisation Details'!$A:$A, 'Hospitalisation Details'!H:H, "No Data")</f>
        <v>tier - 2</v>
      </c>
    </row>
    <row r="1961">
      <c r="A1961" s="25" t="s">
        <v>2878</v>
      </c>
      <c r="B1961" s="28" t="str">
        <f t="array" ref="B1961">_xlfn.XLOOKUP($A1961, 'Customer Names'!$A:$A, 'Customer Names'!B:B, "No Data")</f>
        <v>Ryan</v>
      </c>
      <c r="C1961" s="28">
        <f t="array" ref="C1961">_xlfn.XLOOKUP($A1961, 'Medical Examinations'!$A:$A, 'Medical Examinations'!B:B, "No Data")</f>
        <v>34.77</v>
      </c>
      <c r="D1961" s="28">
        <f t="array" ref="D1961">_xlfn.XLOOKUP($A1961, 'Medical Examinations'!$A:$A, 'Medical Examinations'!C:C, "No Data")</f>
        <v>6.23</v>
      </c>
      <c r="E1961" s="28" t="str">
        <f t="array" ref="E1961">_xlfn.XLOOKUP($A1961, 'Medical Examinations'!$A:$A, 'Medical Examinations'!D:D, "No Data")</f>
        <v>No</v>
      </c>
      <c r="F1961" s="28" t="str">
        <f t="array" ref="F1961">_xlfn.XLOOKUP($A1961, 'Medical Examinations'!$A:$A, 'Medical Examinations'!E:E, "No Data")</f>
        <v>No</v>
      </c>
      <c r="G1961" s="28" t="str">
        <f t="array" ref="G1961">_xlfn.XLOOKUP($A1961, 'Medical Examinations'!$A:$A, 'Medical Examinations'!F:F, "No Data")</f>
        <v>No</v>
      </c>
      <c r="H1961" s="28">
        <f t="array" ref="H1961">_xlfn.XLOOKUP($A1961, 'Medical Examinations'!$A:$A, 'Medical Examinations'!G:G, "No Data")</f>
        <v>0</v>
      </c>
      <c r="I1961" s="28" t="str">
        <f t="array" ref="I1961">_xlfn.XLOOKUP($A1961, 'Medical Examinations'!$A:$A, 'Medical Examinations'!H:H, "No Data")</f>
        <v>No</v>
      </c>
      <c r="J1961" s="28" t="str">
        <f t="array" ref="J1961">_xlfn.XLOOKUP($A1961, 'Medical Examinations'!$A:$A, 'Medical Examinations'!I:I, "No Data")</f>
        <v>Obesity</v>
      </c>
      <c r="K1961" s="28" t="str">
        <f t="array" ref="K1961">_xlfn.XLOOKUP($A1961, 'Hospitalisation Details'!$A:$A, 'Hospitalisation Details'!I:I, "No Data")</f>
        <v>tier - 3</v>
      </c>
      <c r="L1961" s="28" t="str">
        <f t="array" ref="L1961">_xlfn.XLOOKUP($A1961, 'Hospitalisation Details'!$A:$A, 'Hospitalisation Details'!J:J, "No Data")</f>
        <v>R1012</v>
      </c>
      <c r="M1961" s="28" t="str">
        <f t="array" ref="M1961">_xlfn.XLOOKUP($A1961, 'Hospitalisation Details'!$A:$A, 'Hospitalisation Details'!E:E, "No Data")</f>
        <v>24/09/94</v>
      </c>
      <c r="N1961" s="28">
        <f t="array" ref="N1961">_xlfn.XLOOKUP($A1961, 'Hospitalisation Details'!$A:$A, 'Hospitalisation Details'!K:K, "No Data")</f>
        <v>28</v>
      </c>
      <c r="O1961" s="33">
        <f t="array" ref="O1961">_xlfn.XLOOKUP($A1961, 'Hospitalisation Details'!$A:$A, 'Hospitalisation Details'!G:G, "No Data")</f>
        <v>3556.92</v>
      </c>
      <c r="P1961" s="28" t="str">
        <f t="array" ref="P1961">_xlfn.XLOOKUP($A1961, 'Hospitalisation Details'!$A:$A, 'Hospitalisation Details'!H:H, "No Data")</f>
        <v>tier - 2</v>
      </c>
    </row>
    <row r="1962">
      <c r="A1962" s="25" t="s">
        <v>2872</v>
      </c>
      <c r="B1962" s="28" t="str">
        <f t="array" ref="B1962">_xlfn.XLOOKUP($A1962, 'Customer Names'!$A:$A, 'Customer Names'!B:B, "No Data")</f>
        <v>Oka</v>
      </c>
      <c r="C1962" s="28">
        <f t="array" ref="C1962">_xlfn.XLOOKUP($A1962, 'Medical Examinations'!$A:$A, 'Medical Examinations'!B:B, "No Data")</f>
        <v>27.7</v>
      </c>
      <c r="D1962" s="28">
        <f t="array" ref="D1962">_xlfn.XLOOKUP($A1962, 'Medical Examinations'!$A:$A, 'Medical Examinations'!C:C, "No Data")</f>
        <v>5.6</v>
      </c>
      <c r="E1962" s="28" t="str">
        <f t="array" ref="E1962">_xlfn.XLOOKUP($A1962, 'Medical Examinations'!$A:$A, 'Medical Examinations'!D:D, "No Data")</f>
        <v>No</v>
      </c>
      <c r="F1962" s="28" t="str">
        <f t="array" ref="F1962">_xlfn.XLOOKUP($A1962, 'Medical Examinations'!$A:$A, 'Medical Examinations'!E:E, "No Data")</f>
        <v>No</v>
      </c>
      <c r="G1962" s="28" t="str">
        <f t="array" ref="G1962">_xlfn.XLOOKUP($A1962, 'Medical Examinations'!$A:$A, 'Medical Examinations'!F:F, "No Data")</f>
        <v>No</v>
      </c>
      <c r="H1962" s="28">
        <f t="array" ref="H1962">_xlfn.XLOOKUP($A1962, 'Medical Examinations'!$A:$A, 'Medical Examinations'!G:G, "No Data")</f>
        <v>1</v>
      </c>
      <c r="I1962" s="28" t="str">
        <f t="array" ref="I1962">_xlfn.XLOOKUP($A1962, 'Medical Examinations'!$A:$A, 'Medical Examinations'!H:H, "No Data")</f>
        <v>No</v>
      </c>
      <c r="J1962" s="28" t="str">
        <f t="array" ref="J1962">_xlfn.XLOOKUP($A1962, 'Medical Examinations'!$A:$A, 'Medical Examinations'!I:I, "No Data")</f>
        <v>Overweight</v>
      </c>
      <c r="K1962" s="28" t="str">
        <f t="array" ref="K1962">_xlfn.XLOOKUP($A1962, 'Hospitalisation Details'!$A:$A, 'Hospitalisation Details'!I:I, "No Data")</f>
        <v>tier - 3</v>
      </c>
      <c r="L1962" s="28" t="str">
        <f t="array" ref="L1962">_xlfn.XLOOKUP($A1962, 'Hospitalisation Details'!$A:$A, 'Hospitalisation Details'!J:J, "No Data")</f>
        <v>R1011</v>
      </c>
      <c r="M1962" s="28" t="str">
        <f t="array" ref="M1962">_xlfn.XLOOKUP($A1962, 'Hospitalisation Details'!$A:$A, 'Hospitalisation Details'!E:E, "No Data")</f>
        <v>22/12/92</v>
      </c>
      <c r="N1962" s="28">
        <f t="array" ref="N1962">_xlfn.XLOOKUP($A1962, 'Hospitalisation Details'!$A:$A, 'Hospitalisation Details'!K:K, "No Data")</f>
        <v>30</v>
      </c>
      <c r="O1962" s="33">
        <f t="array" ref="O1962">_xlfn.XLOOKUP($A1962, 'Hospitalisation Details'!$A:$A, 'Hospitalisation Details'!G:G, "No Data")</f>
        <v>3554.2</v>
      </c>
      <c r="P1962" s="28" t="str">
        <f t="array" ref="P1962">_xlfn.XLOOKUP($A1962, 'Hospitalisation Details'!$A:$A, 'Hospitalisation Details'!H:H, "No Data")</f>
        <v>tier - 2</v>
      </c>
    </row>
    <row r="1963">
      <c r="A1963" s="25" t="s">
        <v>2869</v>
      </c>
      <c r="B1963" s="28" t="str">
        <f t="array" ref="B1963">_xlfn.XLOOKUP($A1963, 'Customer Names'!$A:$A, 'Customer Names'!B:B, "No Data")</f>
        <v>Newman</v>
      </c>
      <c r="C1963" s="28">
        <f t="array" ref="C1963">_xlfn.XLOOKUP($A1963, 'Medical Examinations'!$A:$A, 'Medical Examinations'!B:B, "No Data")</f>
        <v>19.12</v>
      </c>
      <c r="D1963" s="28">
        <f t="array" ref="D1963">_xlfn.XLOOKUP($A1963, 'Medical Examinations'!$A:$A, 'Medical Examinations'!C:C, "No Data")</f>
        <v>4.72</v>
      </c>
      <c r="E1963" s="28" t="str">
        <f t="array" ref="E1963">_xlfn.XLOOKUP($A1963, 'Medical Examinations'!$A:$A, 'Medical Examinations'!D:D, "No Data")</f>
        <v>yes</v>
      </c>
      <c r="F1963" s="28" t="str">
        <f t="array" ref="F1963">_xlfn.XLOOKUP($A1963, 'Medical Examinations'!$A:$A, 'Medical Examinations'!E:E, "No Data")</f>
        <v>No</v>
      </c>
      <c r="G1963" s="28" t="str">
        <f t="array" ref="G1963">_xlfn.XLOOKUP($A1963, 'Medical Examinations'!$A:$A, 'Medical Examinations'!F:F, "No Data")</f>
        <v>No</v>
      </c>
      <c r="H1963" s="28">
        <f t="array" ref="H1963">_xlfn.XLOOKUP($A1963, 'Medical Examinations'!$A:$A, 'Medical Examinations'!G:G, "No Data")</f>
        <v>1</v>
      </c>
      <c r="I1963" s="28" t="str">
        <f t="array" ref="I1963">_xlfn.XLOOKUP($A1963, 'Medical Examinations'!$A:$A, 'Medical Examinations'!H:H, "No Data")</f>
        <v>No</v>
      </c>
      <c r="J1963" s="28" t="str">
        <f t="array" ref="J1963">_xlfn.XLOOKUP($A1963, 'Medical Examinations'!$A:$A, 'Medical Examinations'!I:I, "No Data")</f>
        <v>Normal Weight</v>
      </c>
      <c r="K1963" s="28" t="str">
        <f t="array" ref="K1963">_xlfn.XLOOKUP($A1963, 'Hospitalisation Details'!$A:$A, 'Hospitalisation Details'!I:I, "No Data")</f>
        <v>tier - 1</v>
      </c>
      <c r="L1963" s="28" t="str">
        <f t="array" ref="L1963">_xlfn.XLOOKUP($A1963, 'Hospitalisation Details'!$A:$A, 'Hospitalisation Details'!J:J, "No Data")</f>
        <v>R1013</v>
      </c>
      <c r="M1963" s="28" t="str">
        <f t="array" ref="M1963">_xlfn.XLOOKUP($A1963, 'Hospitalisation Details'!$A:$A, 'Hospitalisation Details'!E:E, "No Data")</f>
        <v>15/10/88</v>
      </c>
      <c r="N1963" s="28">
        <f t="array" ref="N1963">_xlfn.XLOOKUP($A1963, 'Hospitalisation Details'!$A:$A, 'Hospitalisation Details'!K:K, "No Data")</f>
        <v>34</v>
      </c>
      <c r="O1963" s="33">
        <f t="array" ref="O1963">_xlfn.XLOOKUP($A1963, 'Hospitalisation Details'!$A:$A, 'Hospitalisation Details'!G:G, "No Data")</f>
        <v>3540.12</v>
      </c>
      <c r="P1963" s="28" t="str">
        <f t="array" ref="P1963">_xlfn.XLOOKUP($A1963, 'Hospitalisation Details'!$A:$A, 'Hospitalisation Details'!H:H, "No Data")</f>
        <v>tier - 2</v>
      </c>
    </row>
    <row r="1964">
      <c r="A1964" s="25" t="s">
        <v>2864</v>
      </c>
      <c r="B1964" s="28" t="str">
        <f t="array" ref="B1964">_xlfn.XLOOKUP($A1964, 'Customer Names'!$A:$A, 'Customer Names'!B:B, "No Data")</f>
        <v>Metzger</v>
      </c>
      <c r="C1964" s="28">
        <f t="array" ref="C1964">_xlfn.XLOOKUP($A1964, 'Medical Examinations'!$A:$A, 'Medical Examinations'!B:B, "No Data")</f>
        <v>32.67</v>
      </c>
      <c r="D1964" s="28">
        <f t="array" ref="D1964">_xlfn.XLOOKUP($A1964, 'Medical Examinations'!$A:$A, 'Medical Examinations'!C:C, "No Data")</f>
        <v>4.67</v>
      </c>
      <c r="E1964" s="28" t="str">
        <f t="array" ref="E1964">_xlfn.XLOOKUP($A1964, 'Medical Examinations'!$A:$A, 'Medical Examinations'!D:D, "No Data")</f>
        <v>No</v>
      </c>
      <c r="F1964" s="28" t="str">
        <f t="array" ref="F1964">_xlfn.XLOOKUP($A1964, 'Medical Examinations'!$A:$A, 'Medical Examinations'!E:E, "No Data")</f>
        <v>No</v>
      </c>
      <c r="G1964" s="28" t="str">
        <f t="array" ref="G1964">_xlfn.XLOOKUP($A1964, 'Medical Examinations'!$A:$A, 'Medical Examinations'!F:F, "No Data")</f>
        <v>Yes</v>
      </c>
      <c r="H1964" s="28">
        <f t="array" ref="H1964">_xlfn.XLOOKUP($A1964, 'Medical Examinations'!$A:$A, 'Medical Examinations'!G:G, "No Data")</f>
        <v>1</v>
      </c>
      <c r="I1964" s="28" t="str">
        <f t="array" ref="I1964">_xlfn.XLOOKUP($A1964, 'Medical Examinations'!$A:$A, 'Medical Examinations'!H:H, "No Data")</f>
        <v>No</v>
      </c>
      <c r="J1964" s="28" t="str">
        <f t="array" ref="J1964">_xlfn.XLOOKUP($A1964, 'Medical Examinations'!$A:$A, 'Medical Examinations'!I:I, "No Data")</f>
        <v>Obesity</v>
      </c>
      <c r="K1964" s="28" t="str">
        <f t="array" ref="K1964">_xlfn.XLOOKUP($A1964, 'Hospitalisation Details'!$A:$A, 'Hospitalisation Details'!I:I, "No Data")</f>
        <v>tier - 2</v>
      </c>
      <c r="L1964" s="28" t="str">
        <f t="array" ref="L1964">_xlfn.XLOOKUP($A1964, 'Hospitalisation Details'!$A:$A, 'Hospitalisation Details'!J:J, "No Data")</f>
        <v>R1012</v>
      </c>
      <c r="M1964" s="28" t="str">
        <f t="array" ref="M1964">_xlfn.XLOOKUP($A1964, 'Hospitalisation Details'!$A:$A, 'Hospitalisation Details'!E:E, "No Data")</f>
        <v>24/08/03</v>
      </c>
      <c r="N1964" s="28">
        <f t="array" ref="N1964">_xlfn.XLOOKUP($A1964, 'Hospitalisation Details'!$A:$A, 'Hospitalisation Details'!K:K, "No Data")</f>
        <v>19</v>
      </c>
      <c r="O1964" s="33">
        <f t="array" ref="O1964">_xlfn.XLOOKUP($A1964, 'Hospitalisation Details'!$A:$A, 'Hospitalisation Details'!G:G, "No Data")</f>
        <v>3538.9</v>
      </c>
      <c r="P1964" s="28" t="str">
        <f t="array" ref="P1964">_xlfn.XLOOKUP($A1964, 'Hospitalisation Details'!$A:$A, 'Hospitalisation Details'!H:H, "No Data")</f>
        <v>tier - 2</v>
      </c>
    </row>
    <row r="1965">
      <c r="A1965" s="25" t="s">
        <v>2859</v>
      </c>
      <c r="B1965" s="28" t="str">
        <f t="array" ref="B1965">_xlfn.XLOOKUP($A1965, 'Customer Names'!$A:$A, 'Customer Names'!B:B, "No Data")</f>
        <v>Gonzalez</v>
      </c>
      <c r="C1965" s="28">
        <f t="array" ref="C1965">_xlfn.XLOOKUP($A1965, 'Medical Examinations'!$A:$A, 'Medical Examinations'!B:B, "No Data")</f>
        <v>28.5</v>
      </c>
      <c r="D1965" s="28">
        <f t="array" ref="D1965">_xlfn.XLOOKUP($A1965, 'Medical Examinations'!$A:$A, 'Medical Examinations'!C:C, "No Data")</f>
        <v>6.11</v>
      </c>
      <c r="E1965" s="28" t="str">
        <f t="array" ref="E1965">_xlfn.XLOOKUP($A1965, 'Medical Examinations'!$A:$A, 'Medical Examinations'!D:D, "No Data")</f>
        <v>No</v>
      </c>
      <c r="F1965" s="28" t="str">
        <f t="array" ref="F1965">_xlfn.XLOOKUP($A1965, 'Medical Examinations'!$A:$A, 'Medical Examinations'!E:E, "No Data")</f>
        <v>No</v>
      </c>
      <c r="G1965" s="28" t="str">
        <f t="array" ref="G1965">_xlfn.XLOOKUP($A1965, 'Medical Examinations'!$A:$A, 'Medical Examinations'!F:F, "No Data")</f>
        <v>No</v>
      </c>
      <c r="H1965" s="28">
        <f t="array" ref="H1965">_xlfn.XLOOKUP($A1965, 'Medical Examinations'!$A:$A, 'Medical Examinations'!G:G, "No Data")</f>
        <v>1</v>
      </c>
      <c r="I1965" s="28" t="str">
        <f t="array" ref="I1965">_xlfn.XLOOKUP($A1965, 'Medical Examinations'!$A:$A, 'Medical Examinations'!H:H, "No Data")</f>
        <v>No</v>
      </c>
      <c r="J1965" s="28" t="str">
        <f t="array" ref="J1965">_xlfn.XLOOKUP($A1965, 'Medical Examinations'!$A:$A, 'Medical Examinations'!I:I, "No Data")</f>
        <v>Overweight</v>
      </c>
      <c r="K1965" s="28" t="str">
        <f t="array" ref="K1965">_xlfn.XLOOKUP($A1965, 'Hospitalisation Details'!$A:$A, 'Hospitalisation Details'!I:I, "No Data")</f>
        <v>tier - 3</v>
      </c>
      <c r="L1965" s="28" t="str">
        <f t="array" ref="L1965">_xlfn.XLOOKUP($A1965, 'Hospitalisation Details'!$A:$A, 'Hospitalisation Details'!J:J, "No Data")</f>
        <v>R1012</v>
      </c>
      <c r="M1965" s="28" t="str">
        <f t="array" ref="M1965">_xlfn.XLOOKUP($A1965, 'Hospitalisation Details'!$A:$A, 'Hospitalisation Details'!E:E, "No Data")</f>
        <v>16/09/98</v>
      </c>
      <c r="N1965" s="28">
        <f t="array" ref="N1965">_xlfn.XLOOKUP($A1965, 'Hospitalisation Details'!$A:$A, 'Hospitalisation Details'!K:K, "No Data")</f>
        <v>24</v>
      </c>
      <c r="O1965" s="33">
        <f t="array" ref="O1965">_xlfn.XLOOKUP($A1965, 'Hospitalisation Details'!$A:$A, 'Hospitalisation Details'!G:G, "No Data")</f>
        <v>3537.7</v>
      </c>
      <c r="P1965" s="28" t="str">
        <f t="array" ref="P1965">_xlfn.XLOOKUP($A1965, 'Hospitalisation Details'!$A:$A, 'Hospitalisation Details'!H:H, "No Data")</f>
        <v>tier - 3</v>
      </c>
    </row>
    <row r="1966">
      <c r="A1966" s="25" t="s">
        <v>2852</v>
      </c>
      <c r="B1966" s="28" t="str">
        <f t="array" ref="B1966">_xlfn.XLOOKUP($A1966, 'Customer Names'!$A:$A, 'Customer Names'!B:B, "No Data")</f>
        <v>Vaughn</v>
      </c>
      <c r="C1966" s="28">
        <f t="array" ref="C1966">_xlfn.XLOOKUP($A1966, 'Medical Examinations'!$A:$A, 'Medical Examinations'!B:B, "No Data")</f>
        <v>39.27</v>
      </c>
      <c r="D1966" s="28">
        <f t="array" ref="D1966">_xlfn.XLOOKUP($A1966, 'Medical Examinations'!$A:$A, 'Medical Examinations'!C:C, "No Data")</f>
        <v>6.25</v>
      </c>
      <c r="E1966" s="28" t="str">
        <f t="array" ref="E1966">_xlfn.XLOOKUP($A1966, 'Medical Examinations'!$A:$A, 'Medical Examinations'!D:D, "No Data")</f>
        <v>No</v>
      </c>
      <c r="F1966" s="28" t="str">
        <f t="array" ref="F1966">_xlfn.XLOOKUP($A1966, 'Medical Examinations'!$A:$A, 'Medical Examinations'!E:E, "No Data")</f>
        <v>No</v>
      </c>
      <c r="G1966" s="28" t="str">
        <f t="array" ref="G1966">_xlfn.XLOOKUP($A1966, 'Medical Examinations'!$A:$A, 'Medical Examinations'!F:F, "No Data")</f>
        <v>No</v>
      </c>
      <c r="H1966" s="28">
        <f t="array" ref="H1966">_xlfn.XLOOKUP($A1966, 'Medical Examinations'!$A:$A, 'Medical Examinations'!G:G, "No Data")</f>
        <v>0</v>
      </c>
      <c r="I1966" s="28" t="str">
        <f t="array" ref="I1966">_xlfn.XLOOKUP($A1966, 'Medical Examinations'!$A:$A, 'Medical Examinations'!H:H, "No Data")</f>
        <v>No</v>
      </c>
      <c r="J1966" s="28" t="str">
        <f t="array" ref="J1966">_xlfn.XLOOKUP($A1966, 'Medical Examinations'!$A:$A, 'Medical Examinations'!I:I, "No Data")</f>
        <v>Obesity</v>
      </c>
      <c r="K1966" s="28" t="str">
        <f t="array" ref="K1966">_xlfn.XLOOKUP($A1966, 'Hospitalisation Details'!$A:$A, 'Hospitalisation Details'!I:I, "No Data")</f>
        <v>tier - 2</v>
      </c>
      <c r="L1966" s="28" t="str">
        <f t="array" ref="L1966">_xlfn.XLOOKUP($A1966, 'Hospitalisation Details'!$A:$A, 'Hospitalisation Details'!J:J, "No Data")</f>
        <v>R1013</v>
      </c>
      <c r="M1966" s="28" t="str">
        <f t="array" ref="M1966">_xlfn.XLOOKUP($A1966, 'Hospitalisation Details'!$A:$A, 'Hospitalisation Details'!E:E, "No Data")</f>
        <v>22/09/99</v>
      </c>
      <c r="N1966" s="28">
        <f t="array" ref="N1966">_xlfn.XLOOKUP($A1966, 'Hospitalisation Details'!$A:$A, 'Hospitalisation Details'!K:K, "No Data")</f>
        <v>23</v>
      </c>
      <c r="O1966" s="33">
        <f t="array" ref="O1966">_xlfn.XLOOKUP($A1966, 'Hospitalisation Details'!$A:$A, 'Hospitalisation Details'!G:G, "No Data")</f>
        <v>3500.61</v>
      </c>
      <c r="P1966" s="28" t="str">
        <f t="array" ref="P1966">_xlfn.XLOOKUP($A1966, 'Hospitalisation Details'!$A:$A, 'Hospitalisation Details'!H:H, "No Data")</f>
        <v>tier - 2</v>
      </c>
    </row>
    <row r="1967">
      <c r="A1967" s="25" t="s">
        <v>2844</v>
      </c>
      <c r="B1967" s="28" t="str">
        <f t="array" ref="B1967">_xlfn.XLOOKUP($A1967, 'Customer Names'!$A:$A, 'Customer Names'!B:B, "No Data")</f>
        <v>Clifford</v>
      </c>
      <c r="C1967" s="28">
        <f t="array" ref="C1967">_xlfn.XLOOKUP($A1967, 'Medical Examinations'!$A:$A, 'Medical Examinations'!B:B, "No Data")</f>
        <v>32.49</v>
      </c>
      <c r="D1967" s="28">
        <f t="array" ref="D1967">_xlfn.XLOOKUP($A1967, 'Medical Examinations'!$A:$A, 'Medical Examinations'!C:C, "No Data")</f>
        <v>4</v>
      </c>
      <c r="E1967" s="28" t="str">
        <f t="array" ref="E1967">_xlfn.XLOOKUP($A1967, 'Medical Examinations'!$A:$A, 'Medical Examinations'!D:D, "No Data")</f>
        <v>yes</v>
      </c>
      <c r="F1967" s="28" t="str">
        <f t="array" ref="F1967">_xlfn.XLOOKUP($A1967, 'Medical Examinations'!$A:$A, 'Medical Examinations'!E:E, "No Data")</f>
        <v>No</v>
      </c>
      <c r="G1967" s="28" t="str">
        <f t="array" ref="G1967">_xlfn.XLOOKUP($A1967, 'Medical Examinations'!$A:$A, 'Medical Examinations'!F:F, "No Data")</f>
        <v>No</v>
      </c>
      <c r="H1967" s="28">
        <f t="array" ref="H1967">_xlfn.XLOOKUP($A1967, 'Medical Examinations'!$A:$A, 'Medical Examinations'!G:G, "No Data")</f>
        <v>0</v>
      </c>
      <c r="I1967" s="28" t="str">
        <f t="array" ref="I1967">_xlfn.XLOOKUP($A1967, 'Medical Examinations'!$A:$A, 'Medical Examinations'!H:H, "No Data")</f>
        <v>No</v>
      </c>
      <c r="J1967" s="28" t="str">
        <f t="array" ref="J1967">_xlfn.XLOOKUP($A1967, 'Medical Examinations'!$A:$A, 'Medical Examinations'!I:I, "No Data")</f>
        <v>Obesity</v>
      </c>
      <c r="K1967" s="28" t="str">
        <f t="array" ref="K1967">_xlfn.XLOOKUP($A1967, 'Hospitalisation Details'!$A:$A, 'Hospitalisation Details'!I:I, "No Data")</f>
        <v>tier - 2</v>
      </c>
      <c r="L1967" s="28" t="str">
        <f t="array" ref="L1967">_xlfn.XLOOKUP($A1967, 'Hospitalisation Details'!$A:$A, 'Hospitalisation Details'!J:J, "No Data")</f>
        <v>R1015</v>
      </c>
      <c r="M1967" s="28" t="str">
        <f t="array" ref="M1967">_xlfn.XLOOKUP($A1967, 'Hospitalisation Details'!$A:$A, 'Hospitalisation Details'!E:E, "No Data")</f>
        <v>18/09/96</v>
      </c>
      <c r="N1967" s="28">
        <f t="array" ref="N1967">_xlfn.XLOOKUP($A1967, 'Hospitalisation Details'!$A:$A, 'Hospitalisation Details'!K:K, "No Data")</f>
        <v>26</v>
      </c>
      <c r="O1967" s="33">
        <f t="array" ref="O1967">_xlfn.XLOOKUP($A1967, 'Hospitalisation Details'!$A:$A, 'Hospitalisation Details'!G:G, "No Data")</f>
        <v>3490.55</v>
      </c>
      <c r="P1967" s="28" t="str">
        <f t="array" ref="P1967">_xlfn.XLOOKUP($A1967, 'Hospitalisation Details'!$A:$A, 'Hospitalisation Details'!H:H, "No Data")</f>
        <v>tier - 1</v>
      </c>
    </row>
    <row r="1968">
      <c r="A1968" s="25" t="s">
        <v>2839</v>
      </c>
      <c r="B1968" s="28" t="str">
        <f t="array" ref="B1968">_xlfn.XLOOKUP($A1968, 'Customer Names'!$A:$A, 'Customer Names'!B:B, "No Data")</f>
        <v>Petty</v>
      </c>
      <c r="C1968" s="28">
        <f t="array" ref="C1968">_xlfn.XLOOKUP($A1968, 'Medical Examinations'!$A:$A, 'Medical Examinations'!B:B, "No Data")</f>
        <v>23.7</v>
      </c>
      <c r="D1968" s="28">
        <f t="array" ref="D1968">_xlfn.XLOOKUP($A1968, 'Medical Examinations'!$A:$A, 'Medical Examinations'!C:C, "No Data")</f>
        <v>5.55</v>
      </c>
      <c r="E1968" s="28" t="str">
        <f t="array" ref="E1968">_xlfn.XLOOKUP($A1968, 'Medical Examinations'!$A:$A, 'Medical Examinations'!D:D, "No Data")</f>
        <v>yes</v>
      </c>
      <c r="F1968" s="28" t="str">
        <f t="array" ref="F1968">_xlfn.XLOOKUP($A1968, 'Medical Examinations'!$A:$A, 'Medical Examinations'!E:E, "No Data")</f>
        <v>No</v>
      </c>
      <c r="G1968" s="28" t="str">
        <f t="array" ref="G1968">_xlfn.XLOOKUP($A1968, 'Medical Examinations'!$A:$A, 'Medical Examinations'!F:F, "No Data")</f>
        <v>No</v>
      </c>
      <c r="H1968" s="28">
        <f t="array" ref="H1968">_xlfn.XLOOKUP($A1968, 'Medical Examinations'!$A:$A, 'Medical Examinations'!G:G, "No Data")</f>
        <v>0</v>
      </c>
      <c r="I1968" s="28" t="str">
        <f t="array" ref="I1968">_xlfn.XLOOKUP($A1968, 'Medical Examinations'!$A:$A, 'Medical Examinations'!H:H, "No Data")</f>
        <v>No</v>
      </c>
      <c r="J1968" s="28" t="str">
        <f t="array" ref="J1968">_xlfn.XLOOKUP($A1968, 'Medical Examinations'!$A:$A, 'Medical Examinations'!I:I, "No Data")</f>
        <v>Normal Weight</v>
      </c>
      <c r="K1968" s="28" t="str">
        <f t="array" ref="K1968">_xlfn.XLOOKUP($A1968, 'Hospitalisation Details'!$A:$A, 'Hospitalisation Details'!I:I, "No Data")</f>
        <v>tier - 3</v>
      </c>
      <c r="L1968" s="28" t="str">
        <f t="array" ref="L1968">_xlfn.XLOOKUP($A1968, 'Hospitalisation Details'!$A:$A, 'Hospitalisation Details'!J:J, "No Data")</f>
        <v>R1011</v>
      </c>
      <c r="M1968" s="28" t="str">
        <f t="array" ref="M1968">_xlfn.XLOOKUP($A1968, 'Hospitalisation Details'!$A:$A, 'Hospitalisation Details'!E:E, "No Data")</f>
        <v>19/09/96</v>
      </c>
      <c r="N1968" s="28">
        <f t="array" ref="N1968">_xlfn.XLOOKUP($A1968, 'Hospitalisation Details'!$A:$A, 'Hospitalisation Details'!K:K, "No Data")</f>
        <v>26</v>
      </c>
      <c r="O1968" s="33">
        <f t="array" ref="O1968">_xlfn.XLOOKUP($A1968, 'Hospitalisation Details'!$A:$A, 'Hospitalisation Details'!G:G, "No Data")</f>
        <v>3484.33</v>
      </c>
      <c r="P1968" s="28" t="str">
        <f t="array" ref="P1968">_xlfn.XLOOKUP($A1968, 'Hospitalisation Details'!$A:$A, 'Hospitalisation Details'!H:H, "No Data")</f>
        <v>tier - 3</v>
      </c>
    </row>
    <row r="1969">
      <c r="A1969" s="25" t="s">
        <v>2834</v>
      </c>
      <c r="B1969" s="28" t="str">
        <f t="array" ref="B1969">_xlfn.XLOOKUP($A1969, 'Customer Names'!$A:$A, 'Customer Names'!B:B, "No Data")</f>
        <v>Sanford</v>
      </c>
      <c r="C1969" s="28">
        <f t="array" ref="C1969">_xlfn.XLOOKUP($A1969, 'Medical Examinations'!$A:$A, 'Medical Examinations'!B:B, "No Data")</f>
        <v>30.4</v>
      </c>
      <c r="D1969" s="28">
        <f t="array" ref="D1969">_xlfn.XLOOKUP($A1969, 'Medical Examinations'!$A:$A, 'Medical Examinations'!C:C, "No Data")</f>
        <v>5.95</v>
      </c>
      <c r="E1969" s="28" t="str">
        <f t="array" ref="E1969">_xlfn.XLOOKUP($A1969, 'Medical Examinations'!$A:$A, 'Medical Examinations'!D:D, "No Data")</f>
        <v>No</v>
      </c>
      <c r="F1969" s="28" t="str">
        <f t="array" ref="F1969">_xlfn.XLOOKUP($A1969, 'Medical Examinations'!$A:$A, 'Medical Examinations'!E:E, "No Data")</f>
        <v>yes</v>
      </c>
      <c r="G1969" s="28" t="str">
        <f t="array" ref="G1969">_xlfn.XLOOKUP($A1969, 'Medical Examinations'!$A:$A, 'Medical Examinations'!F:F, "No Data")</f>
        <v>No</v>
      </c>
      <c r="H1969" s="28">
        <f t="array" ref="H1969">_xlfn.XLOOKUP($A1969, 'Medical Examinations'!$A:$A, 'Medical Examinations'!G:G, "No Data")</f>
        <v>1</v>
      </c>
      <c r="I1969" s="28" t="str">
        <f t="array" ref="I1969">_xlfn.XLOOKUP($A1969, 'Medical Examinations'!$A:$A, 'Medical Examinations'!H:H, "No Data")</f>
        <v>No</v>
      </c>
      <c r="J1969" s="28" t="str">
        <f t="array" ref="J1969">_xlfn.XLOOKUP($A1969, 'Medical Examinations'!$A:$A, 'Medical Examinations'!I:I, "No Data")</f>
        <v>Obesity</v>
      </c>
      <c r="K1969" s="28" t="str">
        <f t="array" ref="K1969">_xlfn.XLOOKUP($A1969, 'Hospitalisation Details'!$A:$A, 'Hospitalisation Details'!I:I, "No Data")</f>
        <v>tier - 3</v>
      </c>
      <c r="L1969" s="28" t="str">
        <f t="array" ref="L1969">_xlfn.XLOOKUP($A1969, 'Hospitalisation Details'!$A:$A, 'Hospitalisation Details'!J:J, "No Data")</f>
        <v>R1016</v>
      </c>
      <c r="M1969" s="28" t="str">
        <f t="array" ref="M1969">_xlfn.XLOOKUP($A1969, 'Hospitalisation Details'!$A:$A, 'Hospitalisation Details'!E:E, "No Data")</f>
        <v>26/06/04</v>
      </c>
      <c r="N1969" s="28">
        <f t="array" ref="N1969">_xlfn.XLOOKUP($A1969, 'Hospitalisation Details'!$A:$A, 'Hospitalisation Details'!K:K, "No Data")</f>
        <v>18</v>
      </c>
      <c r="O1969" s="33">
        <f t="array" ref="O1969">_xlfn.XLOOKUP($A1969, 'Hospitalisation Details'!$A:$A, 'Hospitalisation Details'!G:G, "No Data")</f>
        <v>3481.87</v>
      </c>
      <c r="P1969" s="28" t="str">
        <f t="array" ref="P1969">_xlfn.XLOOKUP($A1969, 'Hospitalisation Details'!$A:$A, 'Hospitalisation Details'!H:H, "No Data")</f>
        <v>tier - 2</v>
      </c>
    </row>
    <row r="1970">
      <c r="A1970" s="25" t="s">
        <v>2828</v>
      </c>
      <c r="B1970" s="28" t="str">
        <f t="array" ref="B1970">_xlfn.XLOOKUP($A1970, 'Customer Names'!$A:$A, 'Customer Names'!B:B, "No Data")</f>
        <v>Sprague</v>
      </c>
      <c r="C1970" s="28">
        <f t="array" ref="C1970">_xlfn.XLOOKUP($A1970, 'Medical Examinations'!$A:$A, 'Medical Examinations'!B:B, "No Data")</f>
        <v>38.94</v>
      </c>
      <c r="D1970" s="28">
        <f t="array" ref="D1970">_xlfn.XLOOKUP($A1970, 'Medical Examinations'!$A:$A, 'Medical Examinations'!C:C, "No Data")</f>
        <v>4.36</v>
      </c>
      <c r="E1970" s="28" t="str">
        <f t="array" ref="E1970">_xlfn.XLOOKUP($A1970, 'Medical Examinations'!$A:$A, 'Medical Examinations'!D:D, "No Data")</f>
        <v>No</v>
      </c>
      <c r="F1970" s="28" t="str">
        <f t="array" ref="F1970">_xlfn.XLOOKUP($A1970, 'Medical Examinations'!$A:$A, 'Medical Examinations'!E:E, "No Data")</f>
        <v>No</v>
      </c>
      <c r="G1970" s="28" t="str">
        <f t="array" ref="G1970">_xlfn.XLOOKUP($A1970, 'Medical Examinations'!$A:$A, 'Medical Examinations'!F:F, "No Data")</f>
        <v>Yes</v>
      </c>
      <c r="H1970" s="28">
        <f t="array" ref="H1970">_xlfn.XLOOKUP($A1970, 'Medical Examinations'!$A:$A, 'Medical Examinations'!G:G, "No Data")</f>
        <v>1</v>
      </c>
      <c r="I1970" s="28" t="str">
        <f t="array" ref="I1970">_xlfn.XLOOKUP($A1970, 'Medical Examinations'!$A:$A, 'Medical Examinations'!H:H, "No Data")</f>
        <v>No</v>
      </c>
      <c r="J1970" s="28" t="str">
        <f t="array" ref="J1970">_xlfn.XLOOKUP($A1970, 'Medical Examinations'!$A:$A, 'Medical Examinations'!I:I, "No Data")</f>
        <v>Obesity</v>
      </c>
      <c r="K1970" s="28" t="str">
        <f t="array" ref="K1970">_xlfn.XLOOKUP($A1970, 'Hospitalisation Details'!$A:$A, 'Hospitalisation Details'!I:I, "No Data")</f>
        <v>tier - 2</v>
      </c>
      <c r="L1970" s="28" t="str">
        <f t="array" ref="L1970">_xlfn.XLOOKUP($A1970, 'Hospitalisation Details'!$A:$A, 'Hospitalisation Details'!J:J, "No Data")</f>
        <v>R1013</v>
      </c>
      <c r="M1970" s="28" t="str">
        <f t="array" ref="M1970">_xlfn.XLOOKUP($A1970, 'Hospitalisation Details'!$A:$A, 'Hospitalisation Details'!E:E, "No Data")</f>
        <v>12/10/93</v>
      </c>
      <c r="N1970" s="28">
        <f t="array" ref="N1970">_xlfn.XLOOKUP($A1970, 'Hospitalisation Details'!$A:$A, 'Hospitalisation Details'!K:K, "No Data")</f>
        <v>29</v>
      </c>
      <c r="O1970" s="33">
        <f t="array" ref="O1970">_xlfn.XLOOKUP($A1970, 'Hospitalisation Details'!$A:$A, 'Hospitalisation Details'!G:G, "No Data")</f>
        <v>3471.41</v>
      </c>
      <c r="P1970" s="28" t="str">
        <f t="array" ref="P1970">_xlfn.XLOOKUP($A1970, 'Hospitalisation Details'!$A:$A, 'Hospitalisation Details'!H:H, "No Data")</f>
        <v>tier - 2</v>
      </c>
    </row>
    <row r="1971">
      <c r="A1971" s="25" t="s">
        <v>2821</v>
      </c>
      <c r="B1971" s="28" t="str">
        <f t="array" ref="B1971">_xlfn.XLOOKUP($A1971, 'Customer Names'!$A:$A, 'Customer Names'!B:B, "No Data")</f>
        <v>Lasseron</v>
      </c>
      <c r="C1971" s="28">
        <f t="array" ref="C1971">_xlfn.XLOOKUP($A1971, 'Medical Examinations'!$A:$A, 'Medical Examinations'!B:B, "No Data")</f>
        <v>31.02</v>
      </c>
      <c r="D1971" s="28">
        <f t="array" ref="D1971">_xlfn.XLOOKUP($A1971, 'Medical Examinations'!$A:$A, 'Medical Examinations'!C:C, "No Data")</f>
        <v>4.84</v>
      </c>
      <c r="E1971" s="28" t="str">
        <f t="array" ref="E1971">_xlfn.XLOOKUP($A1971, 'Medical Examinations'!$A:$A, 'Medical Examinations'!D:D, "No Data")</f>
        <v>No</v>
      </c>
      <c r="F1971" s="28" t="str">
        <f t="array" ref="F1971">_xlfn.XLOOKUP($A1971, 'Medical Examinations'!$A:$A, 'Medical Examinations'!E:E, "No Data")</f>
        <v>No</v>
      </c>
      <c r="G1971" s="28" t="str">
        <f t="array" ref="G1971">_xlfn.XLOOKUP($A1971, 'Medical Examinations'!$A:$A, 'Medical Examinations'!F:F, "No Data")</f>
        <v>Yes</v>
      </c>
      <c r="H1971" s="28">
        <f t="array" ref="H1971">_xlfn.XLOOKUP($A1971, 'Medical Examinations'!$A:$A, 'Medical Examinations'!G:G, "No Data")</f>
        <v>1</v>
      </c>
      <c r="I1971" s="28" t="str">
        <f t="array" ref="I1971">_xlfn.XLOOKUP($A1971, 'Medical Examinations'!$A:$A, 'Medical Examinations'!H:H, "No Data")</f>
        <v>No</v>
      </c>
      <c r="J1971" s="28" t="str">
        <f t="array" ref="J1971">_xlfn.XLOOKUP($A1971, 'Medical Examinations'!$A:$A, 'Medical Examinations'!I:I, "No Data")</f>
        <v>Obesity</v>
      </c>
      <c r="K1971" s="28" t="str">
        <f t="array" ref="K1971">_xlfn.XLOOKUP($A1971, 'Hospitalisation Details'!$A:$A, 'Hospitalisation Details'!I:I, "No Data")</f>
        <v>tier - 1</v>
      </c>
      <c r="L1971" s="28" t="str">
        <f t="array" ref="L1971">_xlfn.XLOOKUP($A1971, 'Hospitalisation Details'!$A:$A, 'Hospitalisation Details'!J:J, "No Data")</f>
        <v>R1025</v>
      </c>
      <c r="M1971" s="28" t="str">
        <f t="array" ref="M1971">_xlfn.XLOOKUP($A1971, 'Hospitalisation Details'!$A:$A, 'Hospitalisation Details'!E:E, "No Data")</f>
        <v>29/07/03</v>
      </c>
      <c r="N1971" s="28">
        <f t="array" ref="N1971">_xlfn.XLOOKUP($A1971, 'Hospitalisation Details'!$A:$A, 'Hospitalisation Details'!K:K, "No Data")</f>
        <v>19</v>
      </c>
      <c r="O1971" s="33">
        <f t="array" ref="O1971">_xlfn.XLOOKUP($A1971, 'Hospitalisation Details'!$A:$A, 'Hospitalisation Details'!G:G, "No Data")</f>
        <v>3463.51</v>
      </c>
      <c r="P1971" s="28" t="str">
        <f t="array" ref="P1971">_xlfn.XLOOKUP($A1971, 'Hospitalisation Details'!$A:$A, 'Hospitalisation Details'!H:H, "No Data")</f>
        <v>tier - 2</v>
      </c>
    </row>
    <row r="1972">
      <c r="A1972" s="25" t="s">
        <v>2814</v>
      </c>
      <c r="B1972" s="28" t="str">
        <f t="array" ref="B1972">_xlfn.XLOOKUP($A1972, 'Customer Names'!$A:$A, 'Customer Names'!B:B, "No Data")</f>
        <v>Bushong</v>
      </c>
      <c r="C1972" s="28">
        <f t="array" ref="C1972">_xlfn.XLOOKUP($A1972, 'Medical Examinations'!$A:$A, 'Medical Examinations'!B:B, "No Data")</f>
        <v>17.5</v>
      </c>
      <c r="D1972" s="28">
        <f t="array" ref="D1972">_xlfn.XLOOKUP($A1972, 'Medical Examinations'!$A:$A, 'Medical Examinations'!C:C, "No Data")</f>
        <v>4.56</v>
      </c>
      <c r="E1972" s="28" t="str">
        <f t="array" ref="E1972">_xlfn.XLOOKUP($A1972, 'Medical Examinations'!$A:$A, 'Medical Examinations'!D:D, "No Data")</f>
        <v>No</v>
      </c>
      <c r="F1972" s="28" t="str">
        <f t="array" ref="F1972">_xlfn.XLOOKUP($A1972, 'Medical Examinations'!$A:$A, 'Medical Examinations'!E:E, "No Data")</f>
        <v>No</v>
      </c>
      <c r="G1972" s="28" t="str">
        <f t="array" ref="G1972">_xlfn.XLOOKUP($A1972, 'Medical Examinations'!$A:$A, 'Medical Examinations'!F:F, "No Data")</f>
        <v>No</v>
      </c>
      <c r="H1972" s="28">
        <f t="array" ref="H1972">_xlfn.XLOOKUP($A1972, 'Medical Examinations'!$A:$A, 'Medical Examinations'!G:G, "No Data")</f>
        <v>1</v>
      </c>
      <c r="I1972" s="28" t="str">
        <f t="array" ref="I1972">_xlfn.XLOOKUP($A1972, 'Medical Examinations'!$A:$A, 'Medical Examinations'!H:H, "No Data")</f>
        <v>No</v>
      </c>
      <c r="J1972" s="28" t="str">
        <f t="array" ref="J1972">_xlfn.XLOOKUP($A1972, 'Medical Examinations'!$A:$A, 'Medical Examinations'!I:I, "No Data")</f>
        <v>Underweight</v>
      </c>
      <c r="K1972" s="28" t="str">
        <f t="array" ref="K1972">_xlfn.XLOOKUP($A1972, 'Hospitalisation Details'!$A:$A, 'Hospitalisation Details'!I:I, "No Data")</f>
        <v>tier - 1</v>
      </c>
      <c r="L1972" s="28" t="str">
        <f t="array" ref="L1972">_xlfn.XLOOKUP($A1972, 'Hospitalisation Details'!$A:$A, 'Hospitalisation Details'!J:J, "No Data")</f>
        <v>R1011</v>
      </c>
      <c r="M1972" s="28" t="str">
        <f t="array" ref="M1972">_xlfn.XLOOKUP($A1972, 'Hospitalisation Details'!$A:$A, 'Hospitalisation Details'!E:E, "No Data")</f>
        <v>14/09/87</v>
      </c>
      <c r="N1972" s="28">
        <f t="array" ref="N1972">_xlfn.XLOOKUP($A1972, 'Hospitalisation Details'!$A:$A, 'Hospitalisation Details'!K:K, "No Data")</f>
        <v>35</v>
      </c>
      <c r="O1972" s="33">
        <f t="array" ref="O1972">_xlfn.XLOOKUP($A1972, 'Hospitalisation Details'!$A:$A, 'Hospitalisation Details'!G:G, "No Data")</f>
        <v>3453.77</v>
      </c>
      <c r="P1972" s="28" t="str">
        <f t="array" ref="P1972">_xlfn.XLOOKUP($A1972, 'Hospitalisation Details'!$A:$A, 'Hospitalisation Details'!H:H, "No Data")</f>
        <v>tier - 2</v>
      </c>
    </row>
    <row r="1973">
      <c r="A1973" s="25" t="s">
        <v>2806</v>
      </c>
      <c r="B1973" s="28" t="str">
        <f t="array" ref="B1973">_xlfn.XLOOKUP($A1973, 'Customer Names'!$A:$A, 'Customer Names'!B:B, "No Data")</f>
        <v>Dennison</v>
      </c>
      <c r="C1973" s="28">
        <f t="array" ref="C1973">_xlfn.XLOOKUP($A1973, 'Medical Examinations'!$A:$A, 'Medical Examinations'!B:B, "No Data")</f>
        <v>34.8</v>
      </c>
      <c r="D1973" s="28">
        <f t="array" ref="D1973">_xlfn.XLOOKUP($A1973, 'Medical Examinations'!$A:$A, 'Medical Examinations'!C:C, "No Data")</f>
        <v>4.42</v>
      </c>
      <c r="E1973" s="28" t="str">
        <f t="array" ref="E1973">_xlfn.XLOOKUP($A1973, 'Medical Examinations'!$A:$A, 'Medical Examinations'!D:D, "No Data")</f>
        <v>yes</v>
      </c>
      <c r="F1973" s="28" t="str">
        <f t="array" ref="F1973">_xlfn.XLOOKUP($A1973, 'Medical Examinations'!$A:$A, 'Medical Examinations'!E:E, "No Data")</f>
        <v>yes</v>
      </c>
      <c r="G1973" s="28" t="str">
        <f t="array" ref="G1973">_xlfn.XLOOKUP($A1973, 'Medical Examinations'!$A:$A, 'Medical Examinations'!F:F, "No Data")</f>
        <v>No</v>
      </c>
      <c r="H1973" s="28">
        <f t="array" ref="H1973">_xlfn.XLOOKUP($A1973, 'Medical Examinations'!$A:$A, 'Medical Examinations'!G:G, "No Data")</f>
        <v>2</v>
      </c>
      <c r="I1973" s="28" t="str">
        <f t="array" ref="I1973">_xlfn.XLOOKUP($A1973, 'Medical Examinations'!$A:$A, 'Medical Examinations'!H:H, "No Data")</f>
        <v>No</v>
      </c>
      <c r="J1973" s="28" t="str">
        <f t="array" ref="J1973">_xlfn.XLOOKUP($A1973, 'Medical Examinations'!$A:$A, 'Medical Examinations'!I:I, "No Data")</f>
        <v>Obesity</v>
      </c>
      <c r="K1973" s="28" t="str">
        <f t="array" ref="K1973">_xlfn.XLOOKUP($A1973, 'Hospitalisation Details'!$A:$A, 'Hospitalisation Details'!I:I, "No Data")</f>
        <v>tier - 1</v>
      </c>
      <c r="L1973" s="28" t="str">
        <f t="array" ref="L1973">_xlfn.XLOOKUP($A1973, 'Hospitalisation Details'!$A:$A, 'Hospitalisation Details'!J:J, "No Data")</f>
        <v>R1011</v>
      </c>
      <c r="M1973" s="28" t="str">
        <f t="array" ref="M1973">_xlfn.XLOOKUP($A1973, 'Hospitalisation Details'!$A:$A, 'Hospitalisation Details'!E:E, "No Data")</f>
        <v>20/06/00</v>
      </c>
      <c r="N1973" s="28">
        <f t="array" ref="N1973">_xlfn.XLOOKUP($A1973, 'Hospitalisation Details'!$A:$A, 'Hospitalisation Details'!K:K, "No Data")</f>
        <v>22</v>
      </c>
      <c r="O1973" s="33">
        <f t="array" ref="O1973">_xlfn.XLOOKUP($A1973, 'Hospitalisation Details'!$A:$A, 'Hospitalisation Details'!G:G, "No Data")</f>
        <v>3443.06</v>
      </c>
      <c r="P1973" s="28" t="str">
        <f t="array" ref="P1973">_xlfn.XLOOKUP($A1973, 'Hospitalisation Details'!$A:$A, 'Hospitalisation Details'!H:H, "No Data")</f>
        <v>tier - 2</v>
      </c>
    </row>
    <row r="1974">
      <c r="A1974" s="25" t="s">
        <v>2801</v>
      </c>
      <c r="B1974" s="28" t="str">
        <f t="array" ref="B1974">_xlfn.XLOOKUP($A1974, 'Customer Names'!$A:$A, 'Customer Names'!B:B, "No Data")</f>
        <v>Lira</v>
      </c>
      <c r="C1974" s="28">
        <f t="array" ref="C1974">_xlfn.XLOOKUP($A1974, 'Medical Examinations'!$A:$A, 'Medical Examinations'!B:B, "No Data")</f>
        <v>17.3</v>
      </c>
      <c r="D1974" s="28">
        <f t="array" ref="D1974">_xlfn.XLOOKUP($A1974, 'Medical Examinations'!$A:$A, 'Medical Examinations'!C:C, "No Data")</f>
        <v>7.66</v>
      </c>
      <c r="E1974" s="28" t="str">
        <f t="array" ref="E1974">_xlfn.XLOOKUP($A1974, 'Medical Examinations'!$A:$A, 'Medical Examinations'!D:D, "No Data")</f>
        <v>yes</v>
      </c>
      <c r="F1974" s="28" t="str">
        <f t="array" ref="F1974">_xlfn.XLOOKUP($A1974, 'Medical Examinations'!$A:$A, 'Medical Examinations'!E:E, "No Data")</f>
        <v>No</v>
      </c>
      <c r="G1974" s="28" t="str">
        <f t="array" ref="G1974">_xlfn.XLOOKUP($A1974, 'Medical Examinations'!$A:$A, 'Medical Examinations'!F:F, "No Data")</f>
        <v>No</v>
      </c>
      <c r="H1974" s="28">
        <f t="array" ref="H1974">_xlfn.XLOOKUP($A1974, 'Medical Examinations'!$A:$A, 'Medical Examinations'!G:G, "No Data")</f>
        <v>1</v>
      </c>
      <c r="I1974" s="28" t="str">
        <f t="array" ref="I1974">_xlfn.XLOOKUP($A1974, 'Medical Examinations'!$A:$A, 'Medical Examinations'!H:H, "No Data")</f>
        <v>No</v>
      </c>
      <c r="J1974" s="28" t="str">
        <f t="array" ref="J1974">_xlfn.XLOOKUP($A1974, 'Medical Examinations'!$A:$A, 'Medical Examinations'!I:I, "No Data")</f>
        <v>Underweight</v>
      </c>
      <c r="K1974" s="28" t="str">
        <f t="array" ref="K1974">_xlfn.XLOOKUP($A1974, 'Hospitalisation Details'!$A:$A, 'Hospitalisation Details'!I:I, "No Data")</f>
        <v>tier - 1</v>
      </c>
      <c r="L1974" s="28" t="str">
        <f t="array" ref="L1974">_xlfn.XLOOKUP($A1974, 'Hospitalisation Details'!$A:$A, 'Hospitalisation Details'!J:J, "No Data")</f>
        <v>R1013</v>
      </c>
      <c r="M1974" s="28" t="str">
        <f t="array" ref="M1974">_xlfn.XLOOKUP($A1974, 'Hospitalisation Details'!$A:$A, 'Hospitalisation Details'!E:E, "No Data")</f>
        <v>27/08/86</v>
      </c>
      <c r="N1974" s="28">
        <f t="array" ref="N1974">_xlfn.XLOOKUP($A1974, 'Hospitalisation Details'!$A:$A, 'Hospitalisation Details'!K:K, "No Data")</f>
        <v>36</v>
      </c>
      <c r="O1974" s="33">
        <f t="array" ref="O1974">_xlfn.XLOOKUP($A1974, 'Hospitalisation Details'!$A:$A, 'Hospitalisation Details'!G:G, "No Data")</f>
        <v>3436.5</v>
      </c>
      <c r="P1974" s="28" t="str">
        <f t="array" ref="P1974">_xlfn.XLOOKUP($A1974, 'Hospitalisation Details'!$A:$A, 'Hospitalisation Details'!H:H, "No Data")</f>
        <v>tier - 2</v>
      </c>
    </row>
    <row r="1975">
      <c r="A1975" s="25" t="s">
        <v>2797</v>
      </c>
      <c r="B1975" s="28" t="str">
        <f t="array" ref="B1975">_xlfn.XLOOKUP($A1975, 'Customer Names'!$A:$A, 'Customer Names'!B:B, "No Data")</f>
        <v>Nahigian</v>
      </c>
      <c r="C1975" s="28">
        <f t="array" ref="C1975">_xlfn.XLOOKUP($A1975, 'Medical Examinations'!$A:$A, 'Medical Examinations'!B:B, "No Data")</f>
        <v>32.25</v>
      </c>
      <c r="D1975" s="28">
        <f t="array" ref="D1975">_xlfn.XLOOKUP($A1975, 'Medical Examinations'!$A:$A, 'Medical Examinations'!C:C, "No Data")</f>
        <v>5.2</v>
      </c>
      <c r="E1975" s="28" t="str">
        <f t="array" ref="E1975">_xlfn.XLOOKUP($A1975, 'Medical Examinations'!$A:$A, 'Medical Examinations'!D:D, "No Data")</f>
        <v>yes</v>
      </c>
      <c r="F1975" s="28" t="str">
        <f t="array" ref="F1975">_xlfn.XLOOKUP($A1975, 'Medical Examinations'!$A:$A, 'Medical Examinations'!E:E, "No Data")</f>
        <v>No</v>
      </c>
      <c r="G1975" s="28" t="str">
        <f t="array" ref="G1975">_xlfn.XLOOKUP($A1975, 'Medical Examinations'!$A:$A, 'Medical Examinations'!F:F, "No Data")</f>
        <v>No</v>
      </c>
      <c r="H1975" s="28">
        <f t="array" ref="H1975">_xlfn.XLOOKUP($A1975, 'Medical Examinations'!$A:$A, 'Medical Examinations'!G:G, "No Data")</f>
        <v>0</v>
      </c>
      <c r="I1975" s="28" t="str">
        <f t="array" ref="I1975">_xlfn.XLOOKUP($A1975, 'Medical Examinations'!$A:$A, 'Medical Examinations'!H:H, "No Data")</f>
        <v>No</v>
      </c>
      <c r="J1975" s="28" t="str">
        <f t="array" ref="J1975">_xlfn.XLOOKUP($A1975, 'Medical Examinations'!$A:$A, 'Medical Examinations'!I:I, "No Data")</f>
        <v>Obesity</v>
      </c>
      <c r="K1975" s="28" t="str">
        <f t="array" ref="K1975">_xlfn.XLOOKUP($A1975, 'Hospitalisation Details'!$A:$A, 'Hospitalisation Details'!I:I, "No Data")</f>
        <v>tier - 2</v>
      </c>
      <c r="L1975" s="28" t="str">
        <f t="array" ref="L1975">_xlfn.XLOOKUP($A1975, 'Hospitalisation Details'!$A:$A, 'Hospitalisation Details'!J:J, "No Data")</f>
        <v>R1011</v>
      </c>
      <c r="M1975" s="28" t="str">
        <f t="array" ref="M1975">_xlfn.XLOOKUP($A1975, 'Hospitalisation Details'!$A:$A, 'Hospitalisation Details'!E:E, "No Data")</f>
        <v>26/12/01</v>
      </c>
      <c r="N1975" s="28">
        <f t="array" ref="N1975">_xlfn.XLOOKUP($A1975, 'Hospitalisation Details'!$A:$A, 'Hospitalisation Details'!K:K, "No Data")</f>
        <v>21</v>
      </c>
      <c r="O1975" s="33">
        <f t="array" ref="O1975">_xlfn.XLOOKUP($A1975, 'Hospitalisation Details'!$A:$A, 'Hospitalisation Details'!G:G, "No Data")</f>
        <v>3434.38</v>
      </c>
      <c r="P1975" s="28" t="str">
        <f t="array" ref="P1975">_xlfn.XLOOKUP($A1975, 'Hospitalisation Details'!$A:$A, 'Hospitalisation Details'!H:H, "No Data")</f>
        <v>tier - 2</v>
      </c>
    </row>
    <row r="1976">
      <c r="A1976" s="25" t="s">
        <v>2790</v>
      </c>
      <c r="B1976" s="28" t="str">
        <f t="array" ref="B1976">_xlfn.XLOOKUP($A1976, 'Customer Names'!$A:$A, 'Customer Names'!B:B, "No Data")</f>
        <v>Cackett</v>
      </c>
      <c r="C1976" s="28">
        <f t="array" ref="C1976">_xlfn.XLOOKUP($A1976, 'Medical Examinations'!$A:$A, 'Medical Examinations'!B:B, "No Data")</f>
        <v>42.4</v>
      </c>
      <c r="D1976" s="28">
        <f t="array" ref="D1976">_xlfn.XLOOKUP($A1976, 'Medical Examinations'!$A:$A, 'Medical Examinations'!C:C, "No Data")</f>
        <v>5.53</v>
      </c>
      <c r="E1976" s="28" t="str">
        <f t="array" ref="E1976">_xlfn.XLOOKUP($A1976, 'Medical Examinations'!$A:$A, 'Medical Examinations'!D:D, "No Data")</f>
        <v>yes</v>
      </c>
      <c r="F1976" s="28" t="str">
        <f t="array" ref="F1976">_xlfn.XLOOKUP($A1976, 'Medical Examinations'!$A:$A, 'Medical Examinations'!E:E, "No Data")</f>
        <v>No</v>
      </c>
      <c r="G1976" s="28" t="str">
        <f t="array" ref="G1976">_xlfn.XLOOKUP($A1976, 'Medical Examinations'!$A:$A, 'Medical Examinations'!F:F, "No Data")</f>
        <v>No</v>
      </c>
      <c r="H1976" s="28">
        <f t="array" ref="H1976">_xlfn.XLOOKUP($A1976, 'Medical Examinations'!$A:$A, 'Medical Examinations'!G:G, "No Data")</f>
        <v>0</v>
      </c>
      <c r="I1976" s="28" t="str">
        <f t="array" ref="I1976">_xlfn.XLOOKUP($A1976, 'Medical Examinations'!$A:$A, 'Medical Examinations'!H:H, "No Data")</f>
        <v>No</v>
      </c>
      <c r="J1976" s="28" t="str">
        <f t="array" ref="J1976">_xlfn.XLOOKUP($A1976, 'Medical Examinations'!$A:$A, 'Medical Examinations'!I:I, "No Data")</f>
        <v>Obesity</v>
      </c>
      <c r="K1976" s="28" t="str">
        <f t="array" ref="K1976">_xlfn.XLOOKUP($A1976, 'Hospitalisation Details'!$A:$A, 'Hospitalisation Details'!I:I, "No Data")</f>
        <v>tier - 2</v>
      </c>
      <c r="L1976" s="28" t="str">
        <f t="array" ref="L1976">_xlfn.XLOOKUP($A1976, 'Hospitalisation Details'!$A:$A, 'Hospitalisation Details'!J:J, "No Data")</f>
        <v>R1011</v>
      </c>
      <c r="M1976" s="28" t="str">
        <f t="array" ref="M1976">_xlfn.XLOOKUP($A1976, 'Hospitalisation Details'!$A:$A, 'Hospitalisation Details'!E:E, "No Data")</f>
        <v>19/12/96</v>
      </c>
      <c r="N1976" s="28">
        <f t="array" ref="N1976">_xlfn.XLOOKUP($A1976, 'Hospitalisation Details'!$A:$A, 'Hospitalisation Details'!K:K, "No Data")</f>
        <v>26</v>
      </c>
      <c r="O1976" s="33">
        <f t="array" ref="O1976">_xlfn.XLOOKUP($A1976, 'Hospitalisation Details'!$A:$A, 'Hospitalisation Details'!G:G, "No Data")</f>
        <v>3410.32</v>
      </c>
      <c r="P1976" s="28" t="str">
        <f t="array" ref="P1976">_xlfn.XLOOKUP($A1976, 'Hospitalisation Details'!$A:$A, 'Hospitalisation Details'!H:H, "No Data")</f>
        <v>tier - 2</v>
      </c>
    </row>
    <row r="1977">
      <c r="A1977" s="25" t="s">
        <v>2784</v>
      </c>
      <c r="B1977" s="28" t="str">
        <f t="array" ref="B1977">_xlfn.XLOOKUP($A1977, 'Customer Names'!$A:$A, 'Customer Names'!B:B, "No Data")</f>
        <v>Hunter-Galvan</v>
      </c>
      <c r="C1977" s="28">
        <f t="array" ref="C1977">_xlfn.XLOOKUP($A1977, 'Medical Examinations'!$A:$A, 'Medical Examinations'!B:B, "No Data")</f>
        <v>38.665</v>
      </c>
      <c r="D1977" s="28">
        <f t="array" ref="D1977">_xlfn.XLOOKUP($A1977, 'Medical Examinations'!$A:$A, 'Medical Examinations'!C:C, "No Data")</f>
        <v>4.86</v>
      </c>
      <c r="E1977" s="28" t="str">
        <f t="array" ref="E1977">_xlfn.XLOOKUP($A1977, 'Medical Examinations'!$A:$A, 'Medical Examinations'!D:D, "No Data")</f>
        <v>No</v>
      </c>
      <c r="F1977" s="28" t="str">
        <f t="array" ref="F1977">_xlfn.XLOOKUP($A1977, 'Medical Examinations'!$A:$A, 'Medical Examinations'!E:E, "No Data")</f>
        <v>yes</v>
      </c>
      <c r="G1977" s="28" t="str">
        <f t="array" ref="G1977">_xlfn.XLOOKUP($A1977, 'Medical Examinations'!$A:$A, 'Medical Examinations'!F:F, "No Data")</f>
        <v>No</v>
      </c>
      <c r="H1977" s="28">
        <f t="array" ref="H1977">_xlfn.XLOOKUP($A1977, 'Medical Examinations'!$A:$A, 'Medical Examinations'!G:G, "No Data")</f>
        <v>1</v>
      </c>
      <c r="I1977" s="28" t="str">
        <f t="array" ref="I1977">_xlfn.XLOOKUP($A1977, 'Medical Examinations'!$A:$A, 'Medical Examinations'!H:H, "No Data")</f>
        <v>No</v>
      </c>
      <c r="J1977" s="28" t="str">
        <f t="array" ref="J1977">_xlfn.XLOOKUP($A1977, 'Medical Examinations'!$A:$A, 'Medical Examinations'!I:I, "No Data")</f>
        <v>Obesity</v>
      </c>
      <c r="K1977" s="28" t="str">
        <f t="array" ref="K1977">_xlfn.XLOOKUP($A1977, 'Hospitalisation Details'!$A:$A, 'Hospitalisation Details'!I:I, "No Data")</f>
        <v>tier - 2</v>
      </c>
      <c r="L1977" s="28" t="str">
        <f t="array" ref="L1977">_xlfn.XLOOKUP($A1977, 'Hospitalisation Details'!$A:$A, 'Hospitalisation Details'!J:J, "No Data")</f>
        <v>R1023</v>
      </c>
      <c r="M1977" s="28" t="str">
        <f t="array" ref="M1977">_xlfn.XLOOKUP($A1977, 'Hospitalisation Details'!$A:$A, 'Hospitalisation Details'!E:E, "No Data")</f>
        <v>16/07/04</v>
      </c>
      <c r="N1977" s="28">
        <f t="array" ref="N1977">_xlfn.XLOOKUP($A1977, 'Hospitalisation Details'!$A:$A, 'Hospitalisation Details'!K:K, "No Data")</f>
        <v>18</v>
      </c>
      <c r="O1977" s="33">
        <f t="array" ref="O1977">_xlfn.XLOOKUP($A1977, 'Hospitalisation Details'!$A:$A, 'Hospitalisation Details'!G:G, "No Data")</f>
        <v>3393.36</v>
      </c>
      <c r="P1977" s="28" t="str">
        <f t="array" ref="P1977">_xlfn.XLOOKUP($A1977, 'Hospitalisation Details'!$A:$A, 'Hospitalisation Details'!H:H, "No Data")</f>
        <v>tier - 2</v>
      </c>
    </row>
    <row r="1978">
      <c r="A1978" s="25" t="s">
        <v>2778</v>
      </c>
      <c r="B1978" s="28" t="str">
        <f t="array" ref="B1978">_xlfn.XLOOKUP($A1978, 'Customer Names'!$A:$A, 'Customer Names'!B:B, "No Data")</f>
        <v>Pierret</v>
      </c>
      <c r="C1978" s="28">
        <f t="array" ref="C1978">_xlfn.XLOOKUP($A1978, 'Medical Examinations'!$A:$A, 'Medical Examinations'!B:B, "No Data")</f>
        <v>29.92</v>
      </c>
      <c r="D1978" s="28">
        <f t="array" ref="D1978">_xlfn.XLOOKUP($A1978, 'Medical Examinations'!$A:$A, 'Medical Examinations'!C:C, "No Data")</f>
        <v>5.49</v>
      </c>
      <c r="E1978" s="28" t="str">
        <f t="array" ref="E1978">_xlfn.XLOOKUP($A1978, 'Medical Examinations'!$A:$A, 'Medical Examinations'!D:D, "No Data")</f>
        <v>yes</v>
      </c>
      <c r="F1978" s="28" t="str">
        <f t="array" ref="F1978">_xlfn.XLOOKUP($A1978, 'Medical Examinations'!$A:$A, 'Medical Examinations'!E:E, "No Data")</f>
        <v>No</v>
      </c>
      <c r="G1978" s="28" t="str">
        <f t="array" ref="G1978">_xlfn.XLOOKUP($A1978, 'Medical Examinations'!$A:$A, 'Medical Examinations'!F:F, "No Data")</f>
        <v>No</v>
      </c>
      <c r="H1978" s="28">
        <f t="array" ref="H1978">_xlfn.XLOOKUP($A1978, 'Medical Examinations'!$A:$A, 'Medical Examinations'!G:G, "No Data")</f>
        <v>0</v>
      </c>
      <c r="I1978" s="28" t="str">
        <f t="array" ref="I1978">_xlfn.XLOOKUP($A1978, 'Medical Examinations'!$A:$A, 'Medical Examinations'!H:H, "No Data")</f>
        <v>No</v>
      </c>
      <c r="J1978" s="28" t="str">
        <f t="array" ref="J1978">_xlfn.XLOOKUP($A1978, 'Medical Examinations'!$A:$A, 'Medical Examinations'!I:I, "No Data")</f>
        <v>Overweight</v>
      </c>
      <c r="K1978" s="28" t="str">
        <f t="array" ref="K1978">_xlfn.XLOOKUP($A1978, 'Hospitalisation Details'!$A:$A, 'Hospitalisation Details'!I:I, "No Data")</f>
        <v>tier - 3</v>
      </c>
      <c r="L1978" s="28" t="str">
        <f t="array" ref="L1978">_xlfn.XLOOKUP($A1978, 'Hospitalisation Details'!$A:$A, 'Hospitalisation Details'!J:J, "No Data")</f>
        <v>R1013</v>
      </c>
      <c r="M1978" s="28" t="str">
        <f t="array" ref="M1978">_xlfn.XLOOKUP($A1978, 'Hospitalisation Details'!$A:$A, 'Hospitalisation Details'!E:E, "No Data")</f>
        <v>27/10/96</v>
      </c>
      <c r="N1978" s="28">
        <f t="array" ref="N1978">_xlfn.XLOOKUP($A1978, 'Hospitalisation Details'!$A:$A, 'Hospitalisation Details'!K:K, "No Data")</f>
        <v>26</v>
      </c>
      <c r="O1978" s="33">
        <f t="array" ref="O1978">_xlfn.XLOOKUP($A1978, 'Hospitalisation Details'!$A:$A, 'Hospitalisation Details'!G:G, "No Data")</f>
        <v>3392.98</v>
      </c>
      <c r="P1978" s="28" t="str">
        <f t="array" ref="P1978">_xlfn.XLOOKUP($A1978, 'Hospitalisation Details'!$A:$A, 'Hospitalisation Details'!H:H, "No Data")</f>
        <v>tier - 2</v>
      </c>
    </row>
    <row r="1979">
      <c r="A1979" s="25" t="s">
        <v>2773</v>
      </c>
      <c r="B1979" s="28" t="str">
        <f t="array" ref="B1979">_xlfn.XLOOKUP($A1979, 'Customer Names'!$A:$A, 'Customer Names'!B:B, "No Data")</f>
        <v>White</v>
      </c>
      <c r="C1979" s="28">
        <f t="array" ref="C1979">_xlfn.XLOOKUP($A1979, 'Medical Examinations'!$A:$A, 'Medical Examinations'!B:B, "No Data")</f>
        <v>29.48</v>
      </c>
      <c r="D1979" s="28">
        <f t="array" ref="D1979">_xlfn.XLOOKUP($A1979, 'Medical Examinations'!$A:$A, 'Medical Examinations'!C:C, "No Data")</f>
        <v>4.09</v>
      </c>
      <c r="E1979" s="28" t="str">
        <f t="array" ref="E1979">_xlfn.XLOOKUP($A1979, 'Medical Examinations'!$A:$A, 'Medical Examinations'!D:D, "No Data")</f>
        <v>yes</v>
      </c>
      <c r="F1979" s="28" t="str">
        <f t="array" ref="F1979">_xlfn.XLOOKUP($A1979, 'Medical Examinations'!$A:$A, 'Medical Examinations'!E:E, "No Data")</f>
        <v>No</v>
      </c>
      <c r="G1979" s="28" t="str">
        <f t="array" ref="G1979">_xlfn.XLOOKUP($A1979, 'Medical Examinations'!$A:$A, 'Medical Examinations'!F:F, "No Data")</f>
        <v>No</v>
      </c>
      <c r="H1979" s="28">
        <f t="array" ref="H1979">_xlfn.XLOOKUP($A1979, 'Medical Examinations'!$A:$A, 'Medical Examinations'!G:G, "No Data")</f>
        <v>0</v>
      </c>
      <c r="I1979" s="28" t="str">
        <f t="array" ref="I1979">_xlfn.XLOOKUP($A1979, 'Medical Examinations'!$A:$A, 'Medical Examinations'!H:H, "No Data")</f>
        <v>No</v>
      </c>
      <c r="J1979" s="28" t="str">
        <f t="array" ref="J1979">_xlfn.XLOOKUP($A1979, 'Medical Examinations'!$A:$A, 'Medical Examinations'!I:I, "No Data")</f>
        <v>Overweight</v>
      </c>
      <c r="K1979" s="28" t="str">
        <f t="array" ref="K1979">_xlfn.XLOOKUP($A1979, 'Hospitalisation Details'!$A:$A, 'Hospitalisation Details'!I:I, "No Data")</f>
        <v>tier - 3</v>
      </c>
      <c r="L1979" s="28" t="str">
        <f t="array" ref="L1979">_xlfn.XLOOKUP($A1979, 'Hospitalisation Details'!$A:$A, 'Hospitalisation Details'!J:J, "No Data")</f>
        <v>R1013</v>
      </c>
      <c r="M1979" s="28" t="str">
        <f t="array" ref="M1979">_xlfn.XLOOKUP($A1979, 'Hospitalisation Details'!$A:$A, 'Hospitalisation Details'!E:E, "No Data")</f>
        <v>10/08/96</v>
      </c>
      <c r="N1979" s="28">
        <f t="array" ref="N1979">_xlfn.XLOOKUP($A1979, 'Hospitalisation Details'!$A:$A, 'Hospitalisation Details'!K:K, "No Data")</f>
        <v>26</v>
      </c>
      <c r="O1979" s="33">
        <f t="array" ref="O1979">_xlfn.XLOOKUP($A1979, 'Hospitalisation Details'!$A:$A, 'Hospitalisation Details'!G:G, "No Data")</f>
        <v>3392.37</v>
      </c>
      <c r="P1979" s="28" t="str">
        <f t="array" ref="P1979">_xlfn.XLOOKUP($A1979, 'Hospitalisation Details'!$A:$A, 'Hospitalisation Details'!H:H, "No Data")</f>
        <v>tier - 2</v>
      </c>
    </row>
    <row r="1980">
      <c r="A1980" s="25" t="s">
        <v>2768</v>
      </c>
      <c r="B1980" s="28" t="str">
        <f t="array" ref="B1980">_xlfn.XLOOKUP($A1980, 'Customer Names'!$A:$A, 'Customer Names'!B:B, "No Data")</f>
        <v>O'Neil</v>
      </c>
      <c r="C1980" s="28">
        <f t="array" ref="C1980">_xlfn.XLOOKUP($A1980, 'Medical Examinations'!$A:$A, 'Medical Examinations'!B:B, "No Data")</f>
        <v>28.785</v>
      </c>
      <c r="D1980" s="28">
        <f t="array" ref="D1980">_xlfn.XLOOKUP($A1980, 'Medical Examinations'!$A:$A, 'Medical Examinations'!C:C, "No Data")</f>
        <v>4.31</v>
      </c>
      <c r="E1980" s="28" t="str">
        <f t="array" ref="E1980">_xlfn.XLOOKUP($A1980, 'Medical Examinations'!$A:$A, 'Medical Examinations'!D:D, "No Data")</f>
        <v>yes</v>
      </c>
      <c r="F1980" s="28" t="str">
        <f t="array" ref="F1980">_xlfn.XLOOKUP($A1980, 'Medical Examinations'!$A:$A, 'Medical Examinations'!E:E, "No Data")</f>
        <v>No</v>
      </c>
      <c r="G1980" s="28" t="str">
        <f t="array" ref="G1980">_xlfn.XLOOKUP($A1980, 'Medical Examinations'!$A:$A, 'Medical Examinations'!F:F, "No Data")</f>
        <v>No</v>
      </c>
      <c r="H1980" s="28">
        <f t="array" ref="H1980">_xlfn.XLOOKUP($A1980, 'Medical Examinations'!$A:$A, 'Medical Examinations'!G:G, "No Data")</f>
        <v>0</v>
      </c>
      <c r="I1980" s="28" t="str">
        <f t="array" ref="I1980">_xlfn.XLOOKUP($A1980, 'Medical Examinations'!$A:$A, 'Medical Examinations'!H:H, "No Data")</f>
        <v>No</v>
      </c>
      <c r="J1980" s="28" t="str">
        <f t="array" ref="J1980">_xlfn.XLOOKUP($A1980, 'Medical Examinations'!$A:$A, 'Medical Examinations'!I:I, "No Data")</f>
        <v>Overweight</v>
      </c>
      <c r="K1980" s="28" t="str">
        <f t="array" ref="K1980">_xlfn.XLOOKUP($A1980, 'Hospitalisation Details'!$A:$A, 'Hospitalisation Details'!I:I, "No Data")</f>
        <v>tier - 2</v>
      </c>
      <c r="L1980" s="28" t="str">
        <f t="array" ref="L1980">_xlfn.XLOOKUP($A1980, 'Hospitalisation Details'!$A:$A, 'Hospitalisation Details'!J:J, "No Data")</f>
        <v>R1024</v>
      </c>
      <c r="M1980" s="28" t="str">
        <f t="array" ref="M1980">_xlfn.XLOOKUP($A1980, 'Hospitalisation Details'!$A:$A, 'Hospitalisation Details'!E:E, "No Data")</f>
        <v>13/11/96</v>
      </c>
      <c r="N1980" s="28">
        <f t="array" ref="N1980">_xlfn.XLOOKUP($A1980, 'Hospitalisation Details'!$A:$A, 'Hospitalisation Details'!K:K, "No Data")</f>
        <v>26</v>
      </c>
      <c r="O1980" s="33">
        <f t="array" ref="O1980">_xlfn.XLOOKUP($A1980, 'Hospitalisation Details'!$A:$A, 'Hospitalisation Details'!G:G, "No Data")</f>
        <v>3385.4</v>
      </c>
      <c r="P1980" s="28" t="str">
        <f t="array" ref="P1980">_xlfn.XLOOKUP($A1980, 'Hospitalisation Details'!$A:$A, 'Hospitalisation Details'!H:H, "No Data")</f>
        <v>tier - 2</v>
      </c>
    </row>
    <row r="1981">
      <c r="A1981" s="25" t="s">
        <v>2761</v>
      </c>
      <c r="B1981" s="28" t="str">
        <f t="array" ref="B1981">_xlfn.XLOOKUP($A1981, 'Customer Names'!$A:$A, 'Customer Names'!B:B, "No Data")</f>
        <v>Leitz</v>
      </c>
      <c r="C1981" s="28">
        <f t="array" ref="C1981">_xlfn.XLOOKUP($A1981, 'Medical Examinations'!$A:$A, 'Medical Examinations'!B:B, "No Data")</f>
        <v>19.8</v>
      </c>
      <c r="D1981" s="28">
        <f t="array" ref="D1981">_xlfn.XLOOKUP($A1981, 'Medical Examinations'!$A:$A, 'Medical Examinations'!C:C, "No Data")</f>
        <v>4</v>
      </c>
      <c r="E1981" s="28" t="str">
        <f t="array" ref="E1981">_xlfn.XLOOKUP($A1981, 'Medical Examinations'!$A:$A, 'Medical Examinations'!D:D, "No Data")</f>
        <v>yes</v>
      </c>
      <c r="F1981" s="28" t="str">
        <f t="array" ref="F1981">_xlfn.XLOOKUP($A1981, 'Medical Examinations'!$A:$A, 'Medical Examinations'!E:E, "No Data")</f>
        <v>No</v>
      </c>
      <c r="G1981" s="28" t="str">
        <f t="array" ref="G1981">_xlfn.XLOOKUP($A1981, 'Medical Examinations'!$A:$A, 'Medical Examinations'!F:F, "No Data")</f>
        <v>No</v>
      </c>
      <c r="H1981" s="28">
        <f t="array" ref="H1981">_xlfn.XLOOKUP($A1981, 'Medical Examinations'!$A:$A, 'Medical Examinations'!G:G, "No Data")</f>
        <v>0</v>
      </c>
      <c r="I1981" s="28" t="str">
        <f t="array" ref="I1981">_xlfn.XLOOKUP($A1981, 'Medical Examinations'!$A:$A, 'Medical Examinations'!H:H, "No Data")</f>
        <v>No</v>
      </c>
      <c r="J1981" s="28" t="str">
        <f t="array" ref="J1981">_xlfn.XLOOKUP($A1981, 'Medical Examinations'!$A:$A, 'Medical Examinations'!I:I, "No Data")</f>
        <v>Normal Weight</v>
      </c>
      <c r="K1981" s="28" t="str">
        <f t="array" ref="K1981">_xlfn.XLOOKUP($A1981, 'Hospitalisation Details'!$A:$A, 'Hospitalisation Details'!I:I, "No Data")</f>
        <v>tier - 1</v>
      </c>
      <c r="L1981" s="28" t="str">
        <f t="array" ref="L1981">_xlfn.XLOOKUP($A1981, 'Hospitalisation Details'!$A:$A, 'Hospitalisation Details'!J:J, "No Data")</f>
        <v>R1011</v>
      </c>
      <c r="M1981" s="28" t="str">
        <f t="array" ref="M1981">_xlfn.XLOOKUP($A1981, 'Hospitalisation Details'!$A:$A, 'Hospitalisation Details'!E:E, "No Data")</f>
        <v>14/12/96</v>
      </c>
      <c r="N1981" s="28">
        <f t="array" ref="N1981">_xlfn.XLOOKUP($A1981, 'Hospitalisation Details'!$A:$A, 'Hospitalisation Details'!K:K, "No Data")</f>
        <v>26</v>
      </c>
      <c r="O1981" s="33">
        <f t="array" ref="O1981">_xlfn.XLOOKUP($A1981, 'Hospitalisation Details'!$A:$A, 'Hospitalisation Details'!G:G, "No Data")</f>
        <v>3378.91</v>
      </c>
      <c r="P1981" s="28" t="str">
        <f t="array" ref="P1981">_xlfn.XLOOKUP($A1981, 'Hospitalisation Details'!$A:$A, 'Hospitalisation Details'!H:H, "No Data")</f>
        <v>tier - 2</v>
      </c>
    </row>
    <row r="1982">
      <c r="A1982" s="25" t="s">
        <v>2756</v>
      </c>
      <c r="B1982" s="28" t="str">
        <f t="array" ref="B1982">_xlfn.XLOOKUP($A1982, 'Customer Names'!$A:$A, 'Customer Names'!B:B, "No Data")</f>
        <v>Durfee</v>
      </c>
      <c r="C1982" s="28">
        <f t="array" ref="C1982">_xlfn.XLOOKUP($A1982, 'Medical Examinations'!$A:$A, 'Medical Examinations'!B:B, "No Data")</f>
        <v>35.53</v>
      </c>
      <c r="D1982" s="28">
        <f t="array" ref="D1982">_xlfn.XLOOKUP($A1982, 'Medical Examinations'!$A:$A, 'Medical Examinations'!C:C, "No Data")</f>
        <v>4.68</v>
      </c>
      <c r="E1982" s="28" t="str">
        <f t="array" ref="E1982">_xlfn.XLOOKUP($A1982, 'Medical Examinations'!$A:$A, 'Medical Examinations'!D:D, "No Data")</f>
        <v>No</v>
      </c>
      <c r="F1982" s="28" t="str">
        <f t="array" ref="F1982">_xlfn.XLOOKUP($A1982, 'Medical Examinations'!$A:$A, 'Medical Examinations'!E:E, "No Data")</f>
        <v>No</v>
      </c>
      <c r="G1982" s="28" t="str">
        <f t="array" ref="G1982">_xlfn.XLOOKUP($A1982, 'Medical Examinations'!$A:$A, 'Medical Examinations'!F:F, "No Data")</f>
        <v>Yes</v>
      </c>
      <c r="H1982" s="28">
        <f t="array" ref="H1982">_xlfn.XLOOKUP($A1982, 'Medical Examinations'!$A:$A, 'Medical Examinations'!G:G, "No Data")</f>
        <v>1</v>
      </c>
      <c r="I1982" s="28" t="str">
        <f t="array" ref="I1982">_xlfn.XLOOKUP($A1982, 'Medical Examinations'!$A:$A, 'Medical Examinations'!H:H, "No Data")</f>
        <v>No</v>
      </c>
      <c r="J1982" s="28" t="str">
        <f t="array" ref="J1982">_xlfn.XLOOKUP($A1982, 'Medical Examinations'!$A:$A, 'Medical Examinations'!I:I, "No Data")</f>
        <v>Obesity</v>
      </c>
      <c r="K1982" s="28" t="str">
        <f t="array" ref="K1982">_xlfn.XLOOKUP($A1982, 'Hospitalisation Details'!$A:$A, 'Hospitalisation Details'!I:I, "No Data")</f>
        <v>tier - 2</v>
      </c>
      <c r="L1982" s="28" t="str">
        <f t="array" ref="L1982">_xlfn.XLOOKUP($A1982, 'Hospitalisation Details'!$A:$A, 'Hospitalisation Details'!J:J, "No Data")</f>
        <v>R1013</v>
      </c>
      <c r="M1982" s="28" t="str">
        <f t="array" ref="M1982">_xlfn.XLOOKUP($A1982, 'Hospitalisation Details'!$A:$A, 'Hospitalisation Details'!E:E, "No Data")</f>
        <v>07/10/93</v>
      </c>
      <c r="N1982" s="28">
        <f t="array" ref="N1982">_xlfn.XLOOKUP($A1982, 'Hospitalisation Details'!$A:$A, 'Hospitalisation Details'!K:K, "No Data")</f>
        <v>29</v>
      </c>
      <c r="O1982" s="33">
        <f t="array" ref="O1982">_xlfn.XLOOKUP($A1982, 'Hospitalisation Details'!$A:$A, 'Hospitalisation Details'!G:G, "No Data")</f>
        <v>3366.67</v>
      </c>
      <c r="P1982" s="28" t="str">
        <f t="array" ref="P1982">_xlfn.XLOOKUP($A1982, 'Hospitalisation Details'!$A:$A, 'Hospitalisation Details'!H:H, "No Data")</f>
        <v>tier - 2</v>
      </c>
    </row>
    <row r="1983">
      <c r="A1983" s="25" t="s">
        <v>2751</v>
      </c>
      <c r="B1983" s="28" t="str">
        <f t="array" ref="B1983">_xlfn.XLOOKUP($A1983, 'Customer Names'!$A:$A, 'Customer Names'!B:B, "No Data")</f>
        <v>Maylone</v>
      </c>
      <c r="C1983" s="28">
        <f t="array" ref="C1983">_xlfn.XLOOKUP($A1983, 'Medical Examinations'!$A:$A, 'Medical Examinations'!B:B, "No Data")</f>
        <v>21.47</v>
      </c>
      <c r="D1983" s="28">
        <f t="array" ref="D1983">_xlfn.XLOOKUP($A1983, 'Medical Examinations'!$A:$A, 'Medical Examinations'!C:C, "No Data")</f>
        <v>4.02</v>
      </c>
      <c r="E1983" s="28" t="str">
        <f t="array" ref="E1983">_xlfn.XLOOKUP($A1983, 'Medical Examinations'!$A:$A, 'Medical Examinations'!D:D, "No Data")</f>
        <v>yes</v>
      </c>
      <c r="F1983" s="28" t="str">
        <f t="array" ref="F1983">_xlfn.XLOOKUP($A1983, 'Medical Examinations'!$A:$A, 'Medical Examinations'!E:E, "No Data")</f>
        <v>No</v>
      </c>
      <c r="G1983" s="28" t="str">
        <f t="array" ref="G1983">_xlfn.XLOOKUP($A1983, 'Medical Examinations'!$A:$A, 'Medical Examinations'!F:F, "No Data")</f>
        <v>No</v>
      </c>
      <c r="H1983" s="28">
        <f t="array" ref="H1983">_xlfn.XLOOKUP($A1983, 'Medical Examinations'!$A:$A, 'Medical Examinations'!G:G, "No Data")</f>
        <v>1</v>
      </c>
      <c r="I1983" s="28" t="str">
        <f t="array" ref="I1983">_xlfn.XLOOKUP($A1983, 'Medical Examinations'!$A:$A, 'Medical Examinations'!H:H, "No Data")</f>
        <v>No</v>
      </c>
      <c r="J1983" s="28" t="str">
        <f t="array" ref="J1983">_xlfn.XLOOKUP($A1983, 'Medical Examinations'!$A:$A, 'Medical Examinations'!I:I, "No Data")</f>
        <v>Normal Weight</v>
      </c>
      <c r="K1983" s="28" t="str">
        <f t="array" ref="K1983">_xlfn.XLOOKUP($A1983, 'Hospitalisation Details'!$A:$A, 'Hospitalisation Details'!I:I, "No Data")</f>
        <v>tier - 3</v>
      </c>
      <c r="L1983" s="28" t="str">
        <f t="array" ref="L1983">_xlfn.XLOOKUP($A1983, 'Hospitalisation Details'!$A:$A, 'Hospitalisation Details'!J:J, "No Data")</f>
        <v>R1012</v>
      </c>
      <c r="M1983" s="28" t="str">
        <f t="array" ref="M1983">_xlfn.XLOOKUP($A1983, 'Hospitalisation Details'!$A:$A, 'Hospitalisation Details'!E:E, "No Data")</f>
        <v>23/06/95</v>
      </c>
      <c r="N1983" s="28">
        <f t="array" ref="N1983">_xlfn.XLOOKUP($A1983, 'Hospitalisation Details'!$A:$A, 'Hospitalisation Details'!K:K, "No Data")</f>
        <v>27</v>
      </c>
      <c r="O1983" s="33">
        <f t="array" ref="O1983">_xlfn.XLOOKUP($A1983, 'Hospitalisation Details'!$A:$A, 'Hospitalisation Details'!G:G, "No Data")</f>
        <v>3353.47</v>
      </c>
      <c r="P1983" s="28" t="str">
        <f t="array" ref="P1983">_xlfn.XLOOKUP($A1983, 'Hospitalisation Details'!$A:$A, 'Hospitalisation Details'!H:H, "No Data")</f>
        <v>tier - 2</v>
      </c>
    </row>
    <row r="1984">
      <c r="A1984" s="25" t="s">
        <v>2747</v>
      </c>
      <c r="B1984" s="28" t="str">
        <f t="array" ref="B1984">_xlfn.XLOOKUP($A1984, 'Customer Names'!$A:$A, 'Customer Names'!B:B, "No Data")</f>
        <v>Reiland</v>
      </c>
      <c r="C1984" s="28">
        <f t="array" ref="C1984">_xlfn.XLOOKUP($A1984, 'Medical Examinations'!$A:$A, 'Medical Examinations'!B:B, "No Data")</f>
        <v>25.9</v>
      </c>
      <c r="D1984" s="28">
        <f t="array" ref="D1984">_xlfn.XLOOKUP($A1984, 'Medical Examinations'!$A:$A, 'Medical Examinations'!C:C, "No Data")</f>
        <v>5.12</v>
      </c>
      <c r="E1984" s="28" t="str">
        <f t="array" ref="E1984">_xlfn.XLOOKUP($A1984, 'Medical Examinations'!$A:$A, 'Medical Examinations'!D:D, "No Data")</f>
        <v>No</v>
      </c>
      <c r="F1984" s="28" t="str">
        <f t="array" ref="F1984">_xlfn.XLOOKUP($A1984, 'Medical Examinations'!$A:$A, 'Medical Examinations'!E:E, "No Data")</f>
        <v>No</v>
      </c>
      <c r="G1984" s="28" t="str">
        <f t="array" ref="G1984">_xlfn.XLOOKUP($A1984, 'Medical Examinations'!$A:$A, 'Medical Examinations'!F:F, "No Data")</f>
        <v>Yes</v>
      </c>
      <c r="H1984" s="28">
        <f t="array" ref="H1984">_xlfn.XLOOKUP($A1984, 'Medical Examinations'!$A:$A, 'Medical Examinations'!G:G, "No Data")</f>
        <v>1</v>
      </c>
      <c r="I1984" s="28" t="str">
        <f t="array" ref="I1984">_xlfn.XLOOKUP($A1984, 'Medical Examinations'!$A:$A, 'Medical Examinations'!H:H, "No Data")</f>
        <v>No</v>
      </c>
      <c r="J1984" s="28" t="str">
        <f t="array" ref="J1984">_xlfn.XLOOKUP($A1984, 'Medical Examinations'!$A:$A, 'Medical Examinations'!I:I, "No Data")</f>
        <v>Overweight</v>
      </c>
      <c r="K1984" s="28" t="str">
        <f t="array" ref="K1984">_xlfn.XLOOKUP($A1984, 'Hospitalisation Details'!$A:$A, 'Hospitalisation Details'!I:I, "No Data")</f>
        <v>tier - 1</v>
      </c>
      <c r="L1984" s="28" t="str">
        <f t="array" ref="L1984">_xlfn.XLOOKUP($A1984, 'Hospitalisation Details'!$A:$A, 'Hospitalisation Details'!J:J, "No Data")</f>
        <v>R1011</v>
      </c>
      <c r="M1984" s="28" t="str">
        <f t="array" ref="M1984">_xlfn.XLOOKUP($A1984, 'Hospitalisation Details'!$A:$A, 'Hospitalisation Details'!E:E, "No Data")</f>
        <v>28/10/93</v>
      </c>
      <c r="N1984" s="28">
        <f t="array" ref="N1984">_xlfn.XLOOKUP($A1984, 'Hospitalisation Details'!$A:$A, 'Hospitalisation Details'!K:K, "No Data")</f>
        <v>29</v>
      </c>
      <c r="O1984" s="33">
        <f t="array" ref="O1984">_xlfn.XLOOKUP($A1984, 'Hospitalisation Details'!$A:$A, 'Hospitalisation Details'!G:G, "No Data")</f>
        <v>3353.28</v>
      </c>
      <c r="P1984" s="28" t="str">
        <f t="array" ref="P1984">_xlfn.XLOOKUP($A1984, 'Hospitalisation Details'!$A:$A, 'Hospitalisation Details'!H:H, "No Data")</f>
        <v>tier - 2</v>
      </c>
    </row>
    <row r="1985">
      <c r="A1985" s="25" t="s">
        <v>2742</v>
      </c>
      <c r="B1985" s="28" t="str">
        <f t="array" ref="B1985">_xlfn.XLOOKUP($A1985, 'Customer Names'!$A:$A, 'Customer Names'!B:B, "No Data")</f>
        <v>Hu</v>
      </c>
      <c r="C1985" s="28">
        <f t="array" ref="C1985">_xlfn.XLOOKUP($A1985, 'Medical Examinations'!$A:$A, 'Medical Examinations'!B:B, "No Data")</f>
        <v>20.81</v>
      </c>
      <c r="D1985" s="28">
        <f t="array" ref="D1985">_xlfn.XLOOKUP($A1985, 'Medical Examinations'!$A:$A, 'Medical Examinations'!C:C, "No Data")</f>
        <v>5.52</v>
      </c>
      <c r="E1985" s="28" t="str">
        <f t="array" ref="E1985">_xlfn.XLOOKUP($A1985, 'Medical Examinations'!$A:$A, 'Medical Examinations'!D:D, "No Data")</f>
        <v>No</v>
      </c>
      <c r="F1985" s="28" t="str">
        <f t="array" ref="F1985">_xlfn.XLOOKUP($A1985, 'Medical Examinations'!$A:$A, 'Medical Examinations'!E:E, "No Data")</f>
        <v>No</v>
      </c>
      <c r="G1985" s="28" t="str">
        <f t="array" ref="G1985">_xlfn.XLOOKUP($A1985, 'Medical Examinations'!$A:$A, 'Medical Examinations'!F:F, "No Data")</f>
        <v>No</v>
      </c>
      <c r="H1985" s="28">
        <f t="array" ref="H1985">_xlfn.XLOOKUP($A1985, 'Medical Examinations'!$A:$A, 'Medical Examinations'!G:G, "No Data")</f>
        <v>0</v>
      </c>
      <c r="I1985" s="28" t="str">
        <f t="array" ref="I1985">_xlfn.XLOOKUP($A1985, 'Medical Examinations'!$A:$A, 'Medical Examinations'!H:H, "No Data")</f>
        <v>No</v>
      </c>
      <c r="J1985" s="28" t="str">
        <f t="array" ref="J1985">_xlfn.XLOOKUP($A1985, 'Medical Examinations'!$A:$A, 'Medical Examinations'!I:I, "No Data")</f>
        <v>Normal Weight</v>
      </c>
      <c r="K1985" s="28" t="str">
        <f t="array" ref="K1985">_xlfn.XLOOKUP($A1985, 'Hospitalisation Details'!$A:$A, 'Hospitalisation Details'!I:I, "No Data")</f>
        <v>tier - 1</v>
      </c>
      <c r="L1985" s="28" t="str">
        <f t="array" ref="L1985">_xlfn.XLOOKUP($A1985, 'Hospitalisation Details'!$A:$A, 'Hospitalisation Details'!J:J, "No Data")</f>
        <v>R1013</v>
      </c>
      <c r="M1985" s="28" t="str">
        <f t="array" ref="M1985">_xlfn.XLOOKUP($A1985, 'Hospitalisation Details'!$A:$A, 'Hospitalisation Details'!E:E, "No Data")</f>
        <v>01/09/91</v>
      </c>
      <c r="N1985" s="28">
        <f t="array" ref="N1985">_xlfn.XLOOKUP($A1985, 'Hospitalisation Details'!$A:$A, 'Hospitalisation Details'!K:K, "No Data")</f>
        <v>31</v>
      </c>
      <c r="O1985" s="33">
        <f t="array" ref="O1985">_xlfn.XLOOKUP($A1985, 'Hospitalisation Details'!$A:$A, 'Hospitalisation Details'!G:G, "No Data")</f>
        <v>3342.79</v>
      </c>
      <c r="P1985" s="28" t="str">
        <f t="array" ref="P1985">_xlfn.XLOOKUP($A1985, 'Hospitalisation Details'!$A:$A, 'Hospitalisation Details'!H:H, "No Data")</f>
        <v>tier - 2</v>
      </c>
    </row>
    <row r="1986">
      <c r="A1986" s="25" t="s">
        <v>2736</v>
      </c>
      <c r="B1986" s="28" t="str">
        <f t="array" ref="B1986">_xlfn.XLOOKUP($A1986, 'Customer Names'!$A:$A, 'Customer Names'!B:B, "No Data")</f>
        <v>Lessek</v>
      </c>
      <c r="C1986" s="28">
        <f t="array" ref="C1986">_xlfn.XLOOKUP($A1986, 'Medical Examinations'!$A:$A, 'Medical Examinations'!B:B, "No Data")</f>
        <v>25.84</v>
      </c>
      <c r="D1986" s="28">
        <f t="array" ref="D1986">_xlfn.XLOOKUP($A1986, 'Medical Examinations'!$A:$A, 'Medical Examinations'!C:C, "No Data")</f>
        <v>5.81</v>
      </c>
      <c r="E1986" s="28" t="str">
        <f t="array" ref="E1986">_xlfn.XLOOKUP($A1986, 'Medical Examinations'!$A:$A, 'Medical Examinations'!D:D, "No Data")</f>
        <v>yes</v>
      </c>
      <c r="F1986" s="28" t="str">
        <f t="array" ref="F1986">_xlfn.XLOOKUP($A1986, 'Medical Examinations'!$A:$A, 'Medical Examinations'!E:E, "No Data")</f>
        <v>No</v>
      </c>
      <c r="G1986" s="28" t="str">
        <f t="array" ref="G1986">_xlfn.XLOOKUP($A1986, 'Medical Examinations'!$A:$A, 'Medical Examinations'!F:F, "No Data")</f>
        <v>Yes</v>
      </c>
      <c r="H1986" s="28">
        <f t="array" ref="H1986">_xlfn.XLOOKUP($A1986, 'Medical Examinations'!$A:$A, 'Medical Examinations'!G:G, "No Data")</f>
        <v>1</v>
      </c>
      <c r="I1986" s="28" t="str">
        <f t="array" ref="I1986">_xlfn.XLOOKUP($A1986, 'Medical Examinations'!$A:$A, 'Medical Examinations'!H:H, "No Data")</f>
        <v>No</v>
      </c>
      <c r="J1986" s="28" t="str">
        <f t="array" ref="J1986">_xlfn.XLOOKUP($A1986, 'Medical Examinations'!$A:$A, 'Medical Examinations'!I:I, "No Data")</f>
        <v>Overweight</v>
      </c>
      <c r="K1986" s="28" t="str">
        <f t="array" ref="K1986">_xlfn.XLOOKUP($A1986, 'Hospitalisation Details'!$A:$A, 'Hospitalisation Details'!I:I, "No Data")</f>
        <v>tier - 3</v>
      </c>
      <c r="L1986" s="28" t="str">
        <f t="array" ref="L1986">_xlfn.XLOOKUP($A1986, 'Hospitalisation Details'!$A:$A, 'Hospitalisation Details'!J:J, "No Data")</f>
        <v>R1017</v>
      </c>
      <c r="M1986" s="28" t="str">
        <f t="array" ref="M1986">_xlfn.XLOOKUP($A1986, 'Hospitalisation Details'!$A:$A, 'Hospitalisation Details'!E:E, "No Data")</f>
        <v>20/06/97</v>
      </c>
      <c r="N1986" s="28">
        <f t="array" ref="N1986">_xlfn.XLOOKUP($A1986, 'Hospitalisation Details'!$A:$A, 'Hospitalisation Details'!K:K, "No Data")</f>
        <v>25</v>
      </c>
      <c r="O1986" s="33">
        <f t="array" ref="O1986">_xlfn.XLOOKUP($A1986, 'Hospitalisation Details'!$A:$A, 'Hospitalisation Details'!G:G, "No Data")</f>
        <v>3309.79</v>
      </c>
      <c r="P1986" s="28" t="str">
        <f t="array" ref="P1986">_xlfn.XLOOKUP($A1986, 'Hospitalisation Details'!$A:$A, 'Hospitalisation Details'!H:H, "No Data")</f>
        <v>tier - 3</v>
      </c>
    </row>
    <row r="1987">
      <c r="A1987" s="25" t="s">
        <v>2730</v>
      </c>
      <c r="B1987" s="28" t="str">
        <f t="array" ref="B1987">_xlfn.XLOOKUP($A1987, 'Customer Names'!$A:$A, 'Customer Names'!B:B, "No Data")</f>
        <v>Colavincenzo</v>
      </c>
      <c r="C1987" s="28">
        <f t="array" ref="C1987">_xlfn.XLOOKUP($A1987, 'Medical Examinations'!$A:$A, 'Medical Examinations'!B:B, "No Data")</f>
        <v>30.95</v>
      </c>
      <c r="D1987" s="28">
        <f t="array" ref="D1987">_xlfn.XLOOKUP($A1987, 'Medical Examinations'!$A:$A, 'Medical Examinations'!C:C, "No Data")</f>
        <v>5.16</v>
      </c>
      <c r="E1987" s="28" t="str">
        <f t="array" ref="E1987">_xlfn.XLOOKUP($A1987, 'Medical Examinations'!$A:$A, 'Medical Examinations'!D:D, "No Data")</f>
        <v>No</v>
      </c>
      <c r="F1987" s="28" t="str">
        <f t="array" ref="F1987">_xlfn.XLOOKUP($A1987, 'Medical Examinations'!$A:$A, 'Medical Examinations'!E:E, "No Data")</f>
        <v>No</v>
      </c>
      <c r="G1987" s="28" t="str">
        <f t="array" ref="G1987">_xlfn.XLOOKUP($A1987, 'Medical Examinations'!$A:$A, 'Medical Examinations'!F:F, "No Data")</f>
        <v>Yes</v>
      </c>
      <c r="H1987" s="28">
        <f t="array" ref="H1987">_xlfn.XLOOKUP($A1987, 'Medical Examinations'!$A:$A, 'Medical Examinations'!G:G, "No Data")</f>
        <v>1</v>
      </c>
      <c r="I1987" s="28" t="str">
        <f t="array" ref="I1987">_xlfn.XLOOKUP($A1987, 'Medical Examinations'!$A:$A, 'Medical Examinations'!H:H, "No Data")</f>
        <v>No</v>
      </c>
      <c r="J1987" s="28" t="str">
        <f t="array" ref="J1987">_xlfn.XLOOKUP($A1987, 'Medical Examinations'!$A:$A, 'Medical Examinations'!I:I, "No Data")</f>
        <v>Obesity</v>
      </c>
      <c r="K1987" s="28" t="str">
        <f t="array" ref="K1987">_xlfn.XLOOKUP($A1987, 'Hospitalisation Details'!$A:$A, 'Hospitalisation Details'!I:I, "No Data")</f>
        <v>tier - 1</v>
      </c>
      <c r="L1987" s="28" t="str">
        <f t="array" ref="L1987">_xlfn.XLOOKUP($A1987, 'Hospitalisation Details'!$A:$A, 'Hospitalisation Details'!J:J, "No Data")</f>
        <v>R1021</v>
      </c>
      <c r="M1987" s="28" t="str">
        <f t="array" ref="M1987">_xlfn.XLOOKUP($A1987, 'Hospitalisation Details'!$A:$A, 'Hospitalisation Details'!E:E, "No Data")</f>
        <v>18/11/03</v>
      </c>
      <c r="N1987" s="28">
        <f t="array" ref="N1987">_xlfn.XLOOKUP($A1987, 'Hospitalisation Details'!$A:$A, 'Hospitalisation Details'!K:K, "No Data")</f>
        <v>19</v>
      </c>
      <c r="O1987" s="33">
        <f t="array" ref="O1987">_xlfn.XLOOKUP($A1987, 'Hospitalisation Details'!$A:$A, 'Hospitalisation Details'!G:G, "No Data")</f>
        <v>3308.46</v>
      </c>
      <c r="P1987" s="28" t="str">
        <f t="array" ref="P1987">_xlfn.XLOOKUP($A1987, 'Hospitalisation Details'!$A:$A, 'Hospitalisation Details'!H:H, "No Data")</f>
        <v>tier - 2</v>
      </c>
    </row>
    <row r="1988">
      <c r="A1988" s="25" t="s">
        <v>2724</v>
      </c>
      <c r="B1988" s="28" t="str">
        <f t="array" ref="B1988">_xlfn.XLOOKUP($A1988, 'Customer Names'!$A:$A, 'Customer Names'!B:B, "No Data")</f>
        <v>Mendez-Karr</v>
      </c>
      <c r="C1988" s="28">
        <f t="array" ref="C1988">_xlfn.XLOOKUP($A1988, 'Medical Examinations'!$A:$A, 'Medical Examinations'!B:B, "No Data")</f>
        <v>30.54</v>
      </c>
      <c r="D1988" s="28">
        <f t="array" ref="D1988">_xlfn.XLOOKUP($A1988, 'Medical Examinations'!$A:$A, 'Medical Examinations'!C:C, "No Data")</f>
        <v>5</v>
      </c>
      <c r="E1988" s="28" t="str">
        <f t="array" ref="E1988">_xlfn.XLOOKUP($A1988, 'Medical Examinations'!$A:$A, 'Medical Examinations'!D:D, "No Data")</f>
        <v>No</v>
      </c>
      <c r="F1988" s="28" t="str">
        <f t="array" ref="F1988">_xlfn.XLOOKUP($A1988, 'Medical Examinations'!$A:$A, 'Medical Examinations'!E:E, "No Data")</f>
        <v>No</v>
      </c>
      <c r="G1988" s="28" t="str">
        <f t="array" ref="G1988">_xlfn.XLOOKUP($A1988, 'Medical Examinations'!$A:$A, 'Medical Examinations'!F:F, "No Data")</f>
        <v>Yes</v>
      </c>
      <c r="H1988" s="28">
        <f t="array" ref="H1988">_xlfn.XLOOKUP($A1988, 'Medical Examinations'!$A:$A, 'Medical Examinations'!G:G, "No Data")</f>
        <v>1</v>
      </c>
      <c r="I1988" s="28" t="str">
        <f t="array" ref="I1988">_xlfn.XLOOKUP($A1988, 'Medical Examinations'!$A:$A, 'Medical Examinations'!H:H, "No Data")</f>
        <v>No</v>
      </c>
      <c r="J1988" s="28" t="str">
        <f t="array" ref="J1988">_xlfn.XLOOKUP($A1988, 'Medical Examinations'!$A:$A, 'Medical Examinations'!I:I, "No Data")</f>
        <v>Obesity</v>
      </c>
      <c r="K1988" s="28" t="str">
        <f t="array" ref="K1988">_xlfn.XLOOKUP($A1988, 'Hospitalisation Details'!$A:$A, 'Hospitalisation Details'!I:I, "No Data")</f>
        <v>tier - 2</v>
      </c>
      <c r="L1988" s="28" t="str">
        <f t="array" ref="L1988">_xlfn.XLOOKUP($A1988, 'Hospitalisation Details'!$A:$A, 'Hospitalisation Details'!J:J, "No Data")</f>
        <v>R1025</v>
      </c>
      <c r="M1988" s="28" t="str">
        <f t="array" ref="M1988">_xlfn.XLOOKUP($A1988, 'Hospitalisation Details'!$A:$A, 'Hospitalisation Details'!E:E, "No Data")</f>
        <v>05/12/03</v>
      </c>
      <c r="N1988" s="28">
        <f t="array" ref="N1988">_xlfn.XLOOKUP($A1988, 'Hospitalisation Details'!$A:$A, 'Hospitalisation Details'!K:K, "No Data")</f>
        <v>19</v>
      </c>
      <c r="O1988" s="33">
        <f t="array" ref="O1988">_xlfn.XLOOKUP($A1988, 'Hospitalisation Details'!$A:$A, 'Hospitalisation Details'!G:G, "No Data")</f>
        <v>3300.7</v>
      </c>
      <c r="P1988" s="28" t="str">
        <f t="array" ref="P1988">_xlfn.XLOOKUP($A1988, 'Hospitalisation Details'!$A:$A, 'Hospitalisation Details'!H:H, "No Data")</f>
        <v>tier - 2</v>
      </c>
    </row>
    <row r="1989">
      <c r="A1989" s="25" t="s">
        <v>2719</v>
      </c>
      <c r="B1989" s="28" t="str">
        <f t="array" ref="B1989">_xlfn.XLOOKUP($A1989, 'Customer Names'!$A:$A, 'Customer Names'!B:B, "No Data")</f>
        <v>Saulnier</v>
      </c>
      <c r="C1989" s="28">
        <f t="array" ref="C1989">_xlfn.XLOOKUP($A1989, 'Medical Examinations'!$A:$A, 'Medical Examinations'!B:B, "No Data")</f>
        <v>33.915</v>
      </c>
      <c r="D1989" s="28">
        <f t="array" ref="D1989">_xlfn.XLOOKUP($A1989, 'Medical Examinations'!$A:$A, 'Medical Examinations'!C:C, "No Data")</f>
        <v>5.84</v>
      </c>
      <c r="E1989" s="28" t="str">
        <f t="array" ref="E1989">_xlfn.XLOOKUP($A1989, 'Medical Examinations'!$A:$A, 'Medical Examinations'!D:D, "No Data")</f>
        <v>yes</v>
      </c>
      <c r="F1989" s="28" t="str">
        <f t="array" ref="F1989">_xlfn.XLOOKUP($A1989, 'Medical Examinations'!$A:$A, 'Medical Examinations'!E:E, "No Data")</f>
        <v>No</v>
      </c>
      <c r="G1989" s="28" t="str">
        <f t="array" ref="G1989">_xlfn.XLOOKUP($A1989, 'Medical Examinations'!$A:$A, 'Medical Examinations'!F:F, "No Data")</f>
        <v>No</v>
      </c>
      <c r="H1989" s="28">
        <f t="array" ref="H1989">_xlfn.XLOOKUP($A1989, 'Medical Examinations'!$A:$A, 'Medical Examinations'!G:G, "No Data")</f>
        <v>0</v>
      </c>
      <c r="I1989" s="28" t="str">
        <f t="array" ref="I1989">_xlfn.XLOOKUP($A1989, 'Medical Examinations'!$A:$A, 'Medical Examinations'!H:H, "No Data")</f>
        <v>No</v>
      </c>
      <c r="J1989" s="28" t="str">
        <f t="array" ref="J1989">_xlfn.XLOOKUP($A1989, 'Medical Examinations'!$A:$A, 'Medical Examinations'!I:I, "No Data")</f>
        <v>Obesity</v>
      </c>
      <c r="K1989" s="28" t="str">
        <f t="array" ref="K1989">_xlfn.XLOOKUP($A1989, 'Hospitalisation Details'!$A:$A, 'Hospitalisation Details'!I:I, "No Data")</f>
        <v>tier - 2</v>
      </c>
      <c r="L1989" s="28" t="str">
        <f t="array" ref="L1989">_xlfn.XLOOKUP($A1989, 'Hospitalisation Details'!$A:$A, 'Hospitalisation Details'!J:J, "No Data")</f>
        <v>R1012</v>
      </c>
      <c r="M1989" s="28" t="str">
        <f t="array" ref="M1989">_xlfn.XLOOKUP($A1989, 'Hospitalisation Details'!$A:$A, 'Hospitalisation Details'!E:E, "No Data")</f>
        <v>17/11/96</v>
      </c>
      <c r="N1989" s="28">
        <f t="array" ref="N1989">_xlfn.XLOOKUP($A1989, 'Hospitalisation Details'!$A:$A, 'Hospitalisation Details'!K:K, "No Data")</f>
        <v>26</v>
      </c>
      <c r="O1989" s="33">
        <f t="array" ref="O1989">_xlfn.XLOOKUP($A1989, 'Hospitalisation Details'!$A:$A, 'Hospitalisation Details'!G:G, "No Data")</f>
        <v>3292.53</v>
      </c>
      <c r="P1989" s="28" t="str">
        <f t="array" ref="P1989">_xlfn.XLOOKUP($A1989, 'Hospitalisation Details'!$A:$A, 'Hospitalisation Details'!H:H, "No Data")</f>
        <v>tier - 2</v>
      </c>
    </row>
    <row r="1990">
      <c r="A1990" s="25" t="s">
        <v>2714</v>
      </c>
      <c r="B1990" s="28" t="str">
        <f t="array" ref="B1990">_xlfn.XLOOKUP($A1990, 'Customer Names'!$A:$A, 'Customer Names'!B:B, "No Data")</f>
        <v>Schoonover</v>
      </c>
      <c r="C1990" s="28">
        <f t="array" ref="C1990">_xlfn.XLOOKUP($A1990, 'Medical Examinations'!$A:$A, 'Medical Examinations'!B:B, "No Data")</f>
        <v>33.31</v>
      </c>
      <c r="D1990" s="28">
        <f t="array" ref="D1990">_xlfn.XLOOKUP($A1990, 'Medical Examinations'!$A:$A, 'Medical Examinations'!C:C, "No Data")</f>
        <v>4.19</v>
      </c>
      <c r="E1990" s="28" t="str">
        <f t="array" ref="E1990">_xlfn.XLOOKUP($A1990, 'Medical Examinations'!$A:$A, 'Medical Examinations'!D:D, "No Data")</f>
        <v>No</v>
      </c>
      <c r="F1990" s="28" t="str">
        <f t="array" ref="F1990">_xlfn.XLOOKUP($A1990, 'Medical Examinations'!$A:$A, 'Medical Examinations'!E:E, "No Data")</f>
        <v>No</v>
      </c>
      <c r="G1990" s="28" t="str">
        <f t="array" ref="G1990">_xlfn.XLOOKUP($A1990, 'Medical Examinations'!$A:$A, 'Medical Examinations'!F:F, "No Data")</f>
        <v>Yes</v>
      </c>
      <c r="H1990" s="28">
        <f t="array" ref="H1990">_xlfn.XLOOKUP($A1990, 'Medical Examinations'!$A:$A, 'Medical Examinations'!G:G, "No Data")</f>
        <v>1</v>
      </c>
      <c r="I1990" s="28" t="str">
        <f t="array" ref="I1990">_xlfn.XLOOKUP($A1990, 'Medical Examinations'!$A:$A, 'Medical Examinations'!H:H, "No Data")</f>
        <v>No</v>
      </c>
      <c r="J1990" s="28" t="str">
        <f t="array" ref="J1990">_xlfn.XLOOKUP($A1990, 'Medical Examinations'!$A:$A, 'Medical Examinations'!I:I, "No Data")</f>
        <v>Obesity</v>
      </c>
      <c r="K1990" s="28" t="str">
        <f t="array" ref="K1990">_xlfn.XLOOKUP($A1990, 'Hospitalisation Details'!$A:$A, 'Hospitalisation Details'!I:I, "No Data")</f>
        <v>tier - 3</v>
      </c>
      <c r="L1990" s="28" t="str">
        <f t="array" ref="L1990">_xlfn.XLOOKUP($A1990, 'Hospitalisation Details'!$A:$A, 'Hospitalisation Details'!J:J, "No Data")</f>
        <v>R1011</v>
      </c>
      <c r="M1990" s="28" t="str">
        <f t="array" ref="M1990">_xlfn.XLOOKUP($A1990, 'Hospitalisation Details'!$A:$A, 'Hospitalisation Details'!E:E, "No Data")</f>
        <v>03/07/03</v>
      </c>
      <c r="N1990" s="28">
        <f t="array" ref="N1990">_xlfn.XLOOKUP($A1990, 'Hospitalisation Details'!$A:$A, 'Hospitalisation Details'!K:K, "No Data")</f>
        <v>19</v>
      </c>
      <c r="O1990" s="33">
        <f t="array" ref="O1990">_xlfn.XLOOKUP($A1990, 'Hospitalisation Details'!$A:$A, 'Hospitalisation Details'!G:G, "No Data")</f>
        <v>3280.22</v>
      </c>
      <c r="P1990" s="28" t="str">
        <f t="array" ref="P1990">_xlfn.XLOOKUP($A1990, 'Hospitalisation Details'!$A:$A, 'Hospitalisation Details'!H:H, "No Data")</f>
        <v>tier - 2</v>
      </c>
    </row>
    <row r="1991">
      <c r="A1991" s="25" t="s">
        <v>2710</v>
      </c>
      <c r="B1991" s="28" t="str">
        <f t="array" ref="B1991">_xlfn.XLOOKUP($A1991, 'Customer Names'!$A:$A, 'Customer Names'!B:B, "No Data")</f>
        <v>Hass</v>
      </c>
      <c r="C1991" s="28">
        <f t="array" ref="C1991">_xlfn.XLOOKUP($A1991, 'Medical Examinations'!$A:$A, 'Medical Examinations'!B:B, "No Data")</f>
        <v>25.745</v>
      </c>
      <c r="D1991" s="28">
        <f t="array" ref="D1991">_xlfn.XLOOKUP($A1991, 'Medical Examinations'!$A:$A, 'Medical Examinations'!C:C, "No Data")</f>
        <v>4.62</v>
      </c>
      <c r="E1991" s="28" t="str">
        <f t="array" ref="E1991">_xlfn.XLOOKUP($A1991, 'Medical Examinations'!$A:$A, 'Medical Examinations'!D:D, "No Data")</f>
        <v>yes</v>
      </c>
      <c r="F1991" s="28" t="str">
        <f t="array" ref="F1991">_xlfn.XLOOKUP($A1991, 'Medical Examinations'!$A:$A, 'Medical Examinations'!E:E, "No Data")</f>
        <v>No</v>
      </c>
      <c r="G1991" s="28" t="str">
        <f t="array" ref="G1991">_xlfn.XLOOKUP($A1991, 'Medical Examinations'!$A:$A, 'Medical Examinations'!F:F, "No Data")</f>
        <v>No</v>
      </c>
      <c r="H1991" s="28">
        <f t="array" ref="H1991">_xlfn.XLOOKUP($A1991, 'Medical Examinations'!$A:$A, 'Medical Examinations'!G:G, "No Data")</f>
        <v>0</v>
      </c>
      <c r="I1991" s="28" t="str">
        <f t="array" ref="I1991">_xlfn.XLOOKUP($A1991, 'Medical Examinations'!$A:$A, 'Medical Examinations'!H:H, "No Data")</f>
        <v>No</v>
      </c>
      <c r="J1991" s="28" t="str">
        <f t="array" ref="J1991">_xlfn.XLOOKUP($A1991, 'Medical Examinations'!$A:$A, 'Medical Examinations'!I:I, "No Data")</f>
        <v>Overweight</v>
      </c>
      <c r="K1991" s="28" t="str">
        <f t="array" ref="K1991">_xlfn.XLOOKUP($A1991, 'Hospitalisation Details'!$A:$A, 'Hospitalisation Details'!I:I, "No Data")</f>
        <v>tier - 1</v>
      </c>
      <c r="L1991" s="28" t="str">
        <f t="array" ref="L1991">_xlfn.XLOOKUP($A1991, 'Hospitalisation Details'!$A:$A, 'Hospitalisation Details'!J:J, "No Data")</f>
        <v>R1017</v>
      </c>
      <c r="M1991" s="28" t="str">
        <f t="array" ref="M1991">_xlfn.XLOOKUP($A1991, 'Hospitalisation Details'!$A:$A, 'Hospitalisation Details'!E:E, "No Data")</f>
        <v>06/10/01</v>
      </c>
      <c r="N1991" s="28">
        <f t="array" ref="N1991">_xlfn.XLOOKUP($A1991, 'Hospitalisation Details'!$A:$A, 'Hospitalisation Details'!K:K, "No Data")</f>
        <v>21</v>
      </c>
      <c r="O1991" s="33">
        <f t="array" ref="O1991">_xlfn.XLOOKUP($A1991, 'Hospitalisation Details'!$A:$A, 'Hospitalisation Details'!G:G, "No Data")</f>
        <v>3279.87</v>
      </c>
      <c r="P1991" s="28" t="str">
        <f t="array" ref="P1991">_xlfn.XLOOKUP($A1991, 'Hospitalisation Details'!$A:$A, 'Hospitalisation Details'!H:H, "No Data")</f>
        <v>tier - 2</v>
      </c>
    </row>
    <row r="1992">
      <c r="A1992" s="25" t="s">
        <v>2704</v>
      </c>
      <c r="B1992" s="28" t="str">
        <f t="array" ref="B1992">_xlfn.XLOOKUP($A1992, 'Customer Names'!$A:$A, 'Customer Names'!B:B, "No Data")</f>
        <v>Cadotte</v>
      </c>
      <c r="C1992" s="28">
        <f t="array" ref="C1992">_xlfn.XLOOKUP($A1992, 'Medical Examinations'!$A:$A, 'Medical Examinations'!B:B, "No Data")</f>
        <v>37.1</v>
      </c>
      <c r="D1992" s="28">
        <f t="array" ref="D1992">_xlfn.XLOOKUP($A1992, 'Medical Examinations'!$A:$A, 'Medical Examinations'!C:C, "No Data")</f>
        <v>6.24</v>
      </c>
      <c r="E1992" s="28" t="str">
        <f t="array" ref="E1992">_xlfn.XLOOKUP($A1992, 'Medical Examinations'!$A:$A, 'Medical Examinations'!D:D, "No Data")</f>
        <v>No</v>
      </c>
      <c r="F1992" s="28" t="str">
        <f t="array" ref="F1992">_xlfn.XLOOKUP($A1992, 'Medical Examinations'!$A:$A, 'Medical Examinations'!E:E, "No Data")</f>
        <v>No</v>
      </c>
      <c r="G1992" s="28" t="str">
        <f t="array" ref="G1992">_xlfn.XLOOKUP($A1992, 'Medical Examinations'!$A:$A, 'Medical Examinations'!F:F, "No Data")</f>
        <v>No</v>
      </c>
      <c r="H1992" s="28">
        <f t="array" ref="H1992">_xlfn.XLOOKUP($A1992, 'Medical Examinations'!$A:$A, 'Medical Examinations'!G:G, "No Data")</f>
        <v>0</v>
      </c>
      <c r="I1992" s="28" t="str">
        <f t="array" ref="I1992">_xlfn.XLOOKUP($A1992, 'Medical Examinations'!$A:$A, 'Medical Examinations'!H:H, "No Data")</f>
        <v>No</v>
      </c>
      <c r="J1992" s="28" t="str">
        <f t="array" ref="J1992">_xlfn.XLOOKUP($A1992, 'Medical Examinations'!$A:$A, 'Medical Examinations'!I:I, "No Data")</f>
        <v>Obesity</v>
      </c>
      <c r="K1992" s="28" t="str">
        <f t="array" ref="K1992">_xlfn.XLOOKUP($A1992, 'Hospitalisation Details'!$A:$A, 'Hospitalisation Details'!I:I, "No Data")</f>
        <v>tier - 3</v>
      </c>
      <c r="L1992" s="28" t="str">
        <f t="array" ref="L1992">_xlfn.XLOOKUP($A1992, 'Hospitalisation Details'!$A:$A, 'Hospitalisation Details'!J:J, "No Data")</f>
        <v>R1011</v>
      </c>
      <c r="M1992" s="28" t="str">
        <f t="array" ref="M1992">_xlfn.XLOOKUP($A1992, 'Hospitalisation Details'!$A:$A, 'Hospitalisation Details'!E:E, "No Data")</f>
        <v>01/07/94</v>
      </c>
      <c r="N1992" s="28">
        <f t="array" ref="N1992">_xlfn.XLOOKUP($A1992, 'Hospitalisation Details'!$A:$A, 'Hospitalisation Details'!K:K, "No Data")</f>
        <v>28</v>
      </c>
      <c r="O1992" s="33">
        <f t="array" ref="O1992">_xlfn.XLOOKUP($A1992, 'Hospitalisation Details'!$A:$A, 'Hospitalisation Details'!G:G, "No Data")</f>
        <v>3277.16</v>
      </c>
      <c r="P1992" s="28" t="str">
        <f t="array" ref="P1992">_xlfn.XLOOKUP($A1992, 'Hospitalisation Details'!$A:$A, 'Hospitalisation Details'!H:H, "No Data")</f>
        <v>tier - 2</v>
      </c>
    </row>
    <row r="1993">
      <c r="A1993" s="25" t="s">
        <v>2702</v>
      </c>
      <c r="B1993" s="28" t="str">
        <f t="array" ref="B1993">_xlfn.XLOOKUP($A1993, 'Customer Names'!$A:$A, 'Customer Names'!B:B, "No Data")</f>
        <v>Cacciapaglia</v>
      </c>
      <c r="C1993" s="28">
        <f t="array" ref="C1993">_xlfn.XLOOKUP($A1993, 'Medical Examinations'!$A:$A, 'Medical Examinations'!B:B, "No Data")</f>
        <v>35.435</v>
      </c>
      <c r="D1993" s="28">
        <f t="array" ref="D1993">_xlfn.XLOOKUP($A1993, 'Medical Examinations'!$A:$A, 'Medical Examinations'!C:C, "No Data")</f>
        <v>5.81</v>
      </c>
      <c r="E1993" s="28" t="str">
        <f t="array" ref="E1993">_xlfn.XLOOKUP($A1993, 'Medical Examinations'!$A:$A, 'Medical Examinations'!D:D, "No Data")</f>
        <v>No</v>
      </c>
      <c r="F1993" s="28" t="str">
        <f t="array" ref="F1993">_xlfn.XLOOKUP($A1993, 'Medical Examinations'!$A:$A, 'Medical Examinations'!E:E, "No Data")</f>
        <v>No</v>
      </c>
      <c r="G1993" s="28" t="str">
        <f t="array" ref="G1993">_xlfn.XLOOKUP($A1993, 'Medical Examinations'!$A:$A, 'Medical Examinations'!F:F, "No Data")</f>
        <v>No</v>
      </c>
      <c r="H1993" s="28">
        <f t="array" ref="H1993">_xlfn.XLOOKUP($A1993, 'Medical Examinations'!$A:$A, 'Medical Examinations'!G:G, "No Data")</f>
        <v>0</v>
      </c>
      <c r="I1993" s="28" t="str">
        <f t="array" ref="I1993">_xlfn.XLOOKUP($A1993, 'Medical Examinations'!$A:$A, 'Medical Examinations'!H:H, "No Data")</f>
        <v>No</v>
      </c>
      <c r="J1993" s="28" t="str">
        <f t="array" ref="J1993">_xlfn.XLOOKUP($A1993, 'Medical Examinations'!$A:$A, 'Medical Examinations'!I:I, "No Data")</f>
        <v>Obesity</v>
      </c>
      <c r="K1993" s="28" t="str">
        <f t="array" ref="K1993">_xlfn.XLOOKUP($A1993, 'Hospitalisation Details'!$A:$A, 'Hospitalisation Details'!I:I, "No Data")</f>
        <v>tier - 1</v>
      </c>
      <c r="L1993" s="28" t="str">
        <f t="array" ref="L1993">_xlfn.XLOOKUP($A1993, 'Hospitalisation Details'!$A:$A, 'Hospitalisation Details'!J:J, "No Data")</f>
        <v>R1016</v>
      </c>
      <c r="M1993" s="28" t="str">
        <f t="array" ref="M1993">_xlfn.XLOOKUP($A1993, 'Hospitalisation Details'!$A:$A, 'Hospitalisation Details'!E:E, "No Data")</f>
        <v>02/12/94</v>
      </c>
      <c r="N1993" s="28">
        <f t="array" ref="N1993">_xlfn.XLOOKUP($A1993, 'Hospitalisation Details'!$A:$A, 'Hospitalisation Details'!K:K, "No Data")</f>
        <v>28</v>
      </c>
      <c r="O1993" s="33">
        <f t="array" ref="O1993">_xlfn.XLOOKUP($A1993, 'Hospitalisation Details'!$A:$A, 'Hospitalisation Details'!G:G, "No Data")</f>
        <v>3268.85</v>
      </c>
      <c r="P1993" s="28" t="str">
        <f t="array" ref="P1993">_xlfn.XLOOKUP($A1993, 'Hospitalisation Details'!$A:$A, 'Hospitalisation Details'!H:H, "No Data")</f>
        <v>tier - 3</v>
      </c>
    </row>
    <row r="1994">
      <c r="A1994" s="25" t="s">
        <v>2701</v>
      </c>
      <c r="B1994" s="28" t="str">
        <f t="array" ref="B1994">_xlfn.XLOOKUP($A1994, 'Customer Names'!$A:$A, 'Customer Names'!B:B, "No Data")</f>
        <v>Mininger</v>
      </c>
      <c r="C1994" s="28">
        <f t="array" ref="C1994">_xlfn.XLOOKUP($A1994, 'Medical Examinations'!$A:$A, 'Medical Examinations'!B:B, "No Data")</f>
        <v>20.4</v>
      </c>
      <c r="D1994" s="28">
        <f t="array" ref="D1994">_xlfn.XLOOKUP($A1994, 'Medical Examinations'!$A:$A, 'Medical Examinations'!C:C, "No Data")</f>
        <v>4.83</v>
      </c>
      <c r="E1994" s="28" t="str">
        <f t="array" ref="E1994">_xlfn.XLOOKUP($A1994, 'Medical Examinations'!$A:$A, 'Medical Examinations'!D:D, "No Data")</f>
        <v>No</v>
      </c>
      <c r="F1994" s="28" t="str">
        <f t="array" ref="F1994">_xlfn.XLOOKUP($A1994, 'Medical Examinations'!$A:$A, 'Medical Examinations'!E:E, "No Data")</f>
        <v>No</v>
      </c>
      <c r="G1994" s="28" t="str">
        <f t="array" ref="G1994">_xlfn.XLOOKUP($A1994, 'Medical Examinations'!$A:$A, 'Medical Examinations'!F:F, "No Data")</f>
        <v>No</v>
      </c>
      <c r="H1994" s="28">
        <f t="array" ref="H1994">_xlfn.XLOOKUP($A1994, 'Medical Examinations'!$A:$A, 'Medical Examinations'!G:G, "No Data")</f>
        <v>0</v>
      </c>
      <c r="I1994" s="28" t="str">
        <f t="array" ref="I1994">_xlfn.XLOOKUP($A1994, 'Medical Examinations'!$A:$A, 'Medical Examinations'!H:H, "No Data")</f>
        <v>No</v>
      </c>
      <c r="J1994" s="28" t="str">
        <f t="array" ref="J1994">_xlfn.XLOOKUP($A1994, 'Medical Examinations'!$A:$A, 'Medical Examinations'!I:I, "No Data")</f>
        <v>Normal Weight</v>
      </c>
      <c r="K1994" s="28" t="str">
        <f t="array" ref="K1994">_xlfn.XLOOKUP($A1994, 'Hospitalisation Details'!$A:$A, 'Hospitalisation Details'!I:I, "No Data")</f>
        <v>tier - 2</v>
      </c>
      <c r="L1994" s="28" t="str">
        <f t="array" ref="L1994">_xlfn.XLOOKUP($A1994, 'Hospitalisation Details'!$A:$A, 'Hospitalisation Details'!J:J, "No Data")</f>
        <v>R1011</v>
      </c>
      <c r="M1994" s="28" t="str">
        <f t="array" ref="M1994">_xlfn.XLOOKUP($A1994, 'Hospitalisation Details'!$A:$A, 'Hospitalisation Details'!E:E, "No Data")</f>
        <v>13/11/91</v>
      </c>
      <c r="N1994" s="28">
        <f t="array" ref="N1994">_xlfn.XLOOKUP($A1994, 'Hospitalisation Details'!$A:$A, 'Hospitalisation Details'!K:K, "No Data")</f>
        <v>31</v>
      </c>
      <c r="O1994" s="33">
        <f t="array" ref="O1994">_xlfn.XLOOKUP($A1994, 'Hospitalisation Details'!$A:$A, 'Hospitalisation Details'!G:G, "No Data")</f>
        <v>3260.2</v>
      </c>
      <c r="P1994" s="28" t="str">
        <f t="array" ref="P1994">_xlfn.XLOOKUP($A1994, 'Hospitalisation Details'!$A:$A, 'Hospitalisation Details'!H:H, "No Data")</f>
        <v>tier - 3</v>
      </c>
    </row>
    <row r="1995">
      <c r="A1995" s="25" t="s">
        <v>2700</v>
      </c>
      <c r="B1995" s="28" t="str">
        <f t="array" ref="B1995">_xlfn.XLOOKUP($A1995, 'Customer Names'!$A:$A, 'Customer Names'!B:B, "No Data")</f>
        <v>Mayo</v>
      </c>
      <c r="C1995" s="28">
        <f t="array" ref="C1995">_xlfn.XLOOKUP($A1995, 'Medical Examinations'!$A:$A, 'Medical Examinations'!B:B, "No Data")</f>
        <v>42.13</v>
      </c>
      <c r="D1995" s="28">
        <f t="array" ref="D1995">_xlfn.XLOOKUP($A1995, 'Medical Examinations'!$A:$A, 'Medical Examinations'!C:C, "No Data")</f>
        <v>5.72</v>
      </c>
      <c r="E1995" s="28" t="str">
        <f t="array" ref="E1995">_xlfn.XLOOKUP($A1995, 'Medical Examinations'!$A:$A, 'Medical Examinations'!D:D, "No Data")</f>
        <v>yes</v>
      </c>
      <c r="F1995" s="28" t="str">
        <f t="array" ref="F1995">_xlfn.XLOOKUP($A1995, 'Medical Examinations'!$A:$A, 'Medical Examinations'!E:E, "No Data")</f>
        <v>No</v>
      </c>
      <c r="G1995" s="28" t="str">
        <f t="array" ref="G1995">_xlfn.XLOOKUP($A1995, 'Medical Examinations'!$A:$A, 'Medical Examinations'!F:F, "No Data")</f>
        <v>Yes</v>
      </c>
      <c r="H1995" s="28">
        <f t="array" ref="H1995">_xlfn.XLOOKUP($A1995, 'Medical Examinations'!$A:$A, 'Medical Examinations'!G:G, "No Data")</f>
        <v>1</v>
      </c>
      <c r="I1995" s="28" t="str">
        <f t="array" ref="I1995">_xlfn.XLOOKUP($A1995, 'Medical Examinations'!$A:$A, 'Medical Examinations'!H:H, "No Data")</f>
        <v>No</v>
      </c>
      <c r="J1995" s="28" t="str">
        <f t="array" ref="J1995">_xlfn.XLOOKUP($A1995, 'Medical Examinations'!$A:$A, 'Medical Examinations'!I:I, "No Data")</f>
        <v>Obesity</v>
      </c>
      <c r="K1995" s="28" t="str">
        <f t="array" ref="K1995">_xlfn.XLOOKUP($A1995, 'Hospitalisation Details'!$A:$A, 'Hospitalisation Details'!I:I, "No Data")</f>
        <v>tier - 3</v>
      </c>
      <c r="L1995" s="28" t="str">
        <f t="array" ref="L1995">_xlfn.XLOOKUP($A1995, 'Hospitalisation Details'!$A:$A, 'Hospitalisation Details'!J:J, "No Data")</f>
        <v>R1013</v>
      </c>
      <c r="M1995" s="28" t="str">
        <f t="array" ref="M1995">_xlfn.XLOOKUP($A1995, 'Hospitalisation Details'!$A:$A, 'Hospitalisation Details'!E:E, "No Data")</f>
        <v>02/09/97</v>
      </c>
      <c r="N1995" s="28">
        <f t="array" ref="N1995">_xlfn.XLOOKUP($A1995, 'Hospitalisation Details'!$A:$A, 'Hospitalisation Details'!K:K, "No Data")</f>
        <v>25</v>
      </c>
      <c r="O1995" s="33">
        <f t="array" ref="O1995">_xlfn.XLOOKUP($A1995, 'Hospitalisation Details'!$A:$A, 'Hospitalisation Details'!G:G, "No Data")</f>
        <v>3238.44</v>
      </c>
      <c r="P1995" s="28" t="str">
        <f t="array" ref="P1995">_xlfn.XLOOKUP($A1995, 'Hospitalisation Details'!$A:$A, 'Hospitalisation Details'!H:H, "No Data")</f>
        <v>tier - 2</v>
      </c>
    </row>
    <row r="1996">
      <c r="A1996" s="25" t="s">
        <v>2699</v>
      </c>
      <c r="B1996" s="28" t="str">
        <f t="array" ref="B1996">_xlfn.XLOOKUP($A1996, 'Customer Names'!$A:$A, 'Customer Names'!B:B, "No Data")</f>
        <v>Zicko</v>
      </c>
      <c r="C1996" s="28">
        <f t="array" ref="C1996">_xlfn.XLOOKUP($A1996, 'Medical Examinations'!$A:$A, 'Medical Examinations'!B:B, "No Data")</f>
        <v>33.99</v>
      </c>
      <c r="D1996" s="28">
        <f t="array" ref="D1996">_xlfn.XLOOKUP($A1996, 'Medical Examinations'!$A:$A, 'Medical Examinations'!C:C, "No Data")</f>
        <v>4.83</v>
      </c>
      <c r="E1996" s="28" t="str">
        <f t="array" ref="E1996">_xlfn.XLOOKUP($A1996, 'Medical Examinations'!$A:$A, 'Medical Examinations'!D:D, "No Data")</f>
        <v>yes</v>
      </c>
      <c r="F1996" s="28" t="str">
        <f t="array" ref="F1996">_xlfn.XLOOKUP($A1996, 'Medical Examinations'!$A:$A, 'Medical Examinations'!E:E, "No Data")</f>
        <v>No</v>
      </c>
      <c r="G1996" s="28" t="str">
        <f t="array" ref="G1996">_xlfn.XLOOKUP($A1996, 'Medical Examinations'!$A:$A, 'Medical Examinations'!F:F, "No Data")</f>
        <v>Yes</v>
      </c>
      <c r="H1996" s="28">
        <f t="array" ref="H1996">_xlfn.XLOOKUP($A1996, 'Medical Examinations'!$A:$A, 'Medical Examinations'!G:G, "No Data")</f>
        <v>1</v>
      </c>
      <c r="I1996" s="28" t="str">
        <f t="array" ref="I1996">_xlfn.XLOOKUP($A1996, 'Medical Examinations'!$A:$A, 'Medical Examinations'!H:H, "No Data")</f>
        <v>No</v>
      </c>
      <c r="J1996" s="28" t="str">
        <f t="array" ref="J1996">_xlfn.XLOOKUP($A1996, 'Medical Examinations'!$A:$A, 'Medical Examinations'!I:I, "No Data")</f>
        <v>Obesity</v>
      </c>
      <c r="K1996" s="28" t="str">
        <f t="array" ref="K1996">_xlfn.XLOOKUP($A1996, 'Hospitalisation Details'!$A:$A, 'Hospitalisation Details'!I:I, "No Data")</f>
        <v>tier - 3</v>
      </c>
      <c r="L1996" s="28" t="str">
        <f t="array" ref="L1996">_xlfn.XLOOKUP($A1996, 'Hospitalisation Details'!$A:$A, 'Hospitalisation Details'!J:J, "No Data")</f>
        <v>R1013</v>
      </c>
      <c r="M1996" s="28" t="str">
        <f t="array" ref="M1996">_xlfn.XLOOKUP($A1996, 'Hospitalisation Details'!$A:$A, 'Hospitalisation Details'!E:E, "No Data")</f>
        <v>02/08/97</v>
      </c>
      <c r="N1996" s="28">
        <f t="array" ref="N1996">_xlfn.XLOOKUP($A1996, 'Hospitalisation Details'!$A:$A, 'Hospitalisation Details'!K:K, "No Data")</f>
        <v>25</v>
      </c>
      <c r="O1996" s="33">
        <f t="array" ref="O1996">_xlfn.XLOOKUP($A1996, 'Hospitalisation Details'!$A:$A, 'Hospitalisation Details'!G:G, "No Data")</f>
        <v>3227.12</v>
      </c>
      <c r="P1996" s="28" t="str">
        <f t="array" ref="P1996">_xlfn.XLOOKUP($A1996, 'Hospitalisation Details'!$A:$A, 'Hospitalisation Details'!H:H, "No Data")</f>
        <v>tier - 2</v>
      </c>
    </row>
    <row r="1997">
      <c r="A1997" s="25" t="s">
        <v>2693</v>
      </c>
      <c r="B1997" s="28" t="str">
        <f t="array" ref="B1997">_xlfn.XLOOKUP($A1997, 'Customer Names'!$A:$A, 'Customer Names'!B:B, "No Data")</f>
        <v>Graham</v>
      </c>
      <c r="C1997" s="28">
        <f t="array" ref="C1997">_xlfn.XLOOKUP($A1997, 'Medical Examinations'!$A:$A, 'Medical Examinations'!B:B, "No Data")</f>
        <v>28.595</v>
      </c>
      <c r="D1997" s="28">
        <f t="array" ref="D1997">_xlfn.XLOOKUP($A1997, 'Medical Examinations'!$A:$A, 'Medical Examinations'!C:C, "No Data")</f>
        <v>4.14</v>
      </c>
      <c r="E1997" s="28" t="str">
        <f t="array" ref="E1997">_xlfn.XLOOKUP($A1997, 'Medical Examinations'!$A:$A, 'Medical Examinations'!D:D, "No Data")</f>
        <v>yes</v>
      </c>
      <c r="F1997" s="28" t="str">
        <f t="array" ref="F1997">_xlfn.XLOOKUP($A1997, 'Medical Examinations'!$A:$A, 'Medical Examinations'!E:E, "No Data")</f>
        <v>No</v>
      </c>
      <c r="G1997" s="28" t="str">
        <f t="array" ref="G1997">_xlfn.XLOOKUP($A1997, 'Medical Examinations'!$A:$A, 'Medical Examinations'!F:F, "No Data")</f>
        <v>Yes</v>
      </c>
      <c r="H1997" s="28">
        <f t="array" ref="H1997">_xlfn.XLOOKUP($A1997, 'Medical Examinations'!$A:$A, 'Medical Examinations'!G:G, "No Data")</f>
        <v>1</v>
      </c>
      <c r="I1997" s="28" t="str">
        <f t="array" ref="I1997">_xlfn.XLOOKUP($A1997, 'Medical Examinations'!$A:$A, 'Medical Examinations'!H:H, "No Data")</f>
        <v>No</v>
      </c>
      <c r="J1997" s="28" t="str">
        <f t="array" ref="J1997">_xlfn.XLOOKUP($A1997, 'Medical Examinations'!$A:$A, 'Medical Examinations'!I:I, "No Data")</f>
        <v>Overweight</v>
      </c>
      <c r="K1997" s="28" t="str">
        <f t="array" ref="K1997">_xlfn.XLOOKUP($A1997, 'Hospitalisation Details'!$A:$A, 'Hospitalisation Details'!I:I, "No Data")</f>
        <v>tier - 2</v>
      </c>
      <c r="L1997" s="28" t="str">
        <f t="array" ref="L1997">_xlfn.XLOOKUP($A1997, 'Hospitalisation Details'!$A:$A, 'Hospitalisation Details'!J:J, "No Data")</f>
        <v>R1024</v>
      </c>
      <c r="M1997" s="28" t="str">
        <f t="array" ref="M1997">_xlfn.XLOOKUP($A1997, 'Hospitalisation Details'!$A:$A, 'Hospitalisation Details'!E:E, "No Data")</f>
        <v>06/07/97</v>
      </c>
      <c r="N1997" s="28">
        <f t="array" ref="N1997">_xlfn.XLOOKUP($A1997, 'Hospitalisation Details'!$A:$A, 'Hospitalisation Details'!K:K, "No Data")</f>
        <v>25</v>
      </c>
      <c r="O1997" s="33">
        <f t="array" ref="O1997">_xlfn.XLOOKUP($A1997, 'Hospitalisation Details'!$A:$A, 'Hospitalisation Details'!G:G, "No Data")</f>
        <v>3213.62</v>
      </c>
      <c r="P1997" s="28" t="str">
        <f t="array" ref="P1997">_xlfn.XLOOKUP($A1997, 'Hospitalisation Details'!$A:$A, 'Hospitalisation Details'!H:H, "No Data")</f>
        <v>tier - 2</v>
      </c>
    </row>
    <row r="1998">
      <c r="A1998" s="25" t="s">
        <v>2688</v>
      </c>
      <c r="B1998" s="28" t="str">
        <f t="array" ref="B1998">_xlfn.XLOOKUP($A1998, 'Customer Names'!$A:$A, 'Customer Names'!B:B, "No Data")</f>
        <v>Boland</v>
      </c>
      <c r="C1998" s="28">
        <f t="array" ref="C1998">_xlfn.XLOOKUP($A1998, 'Medical Examinations'!$A:$A, 'Medical Examinations'!B:B, "No Data")</f>
        <v>20.8</v>
      </c>
      <c r="D1998" s="28">
        <f t="array" ref="D1998">_xlfn.XLOOKUP($A1998, 'Medical Examinations'!$A:$A, 'Medical Examinations'!C:C, "No Data")</f>
        <v>4.07</v>
      </c>
      <c r="E1998" s="28" t="str">
        <f t="array" ref="E1998">_xlfn.XLOOKUP($A1998, 'Medical Examinations'!$A:$A, 'Medical Examinations'!D:D, "No Data")</f>
        <v>yes</v>
      </c>
      <c r="F1998" s="28" t="str">
        <f t="array" ref="F1998">_xlfn.XLOOKUP($A1998, 'Medical Examinations'!$A:$A, 'Medical Examinations'!E:E, "No Data")</f>
        <v>No</v>
      </c>
      <c r="G1998" s="28" t="str">
        <f t="array" ref="G1998">_xlfn.XLOOKUP($A1998, 'Medical Examinations'!$A:$A, 'Medical Examinations'!F:F, "No Data")</f>
        <v>Yes</v>
      </c>
      <c r="H1998" s="28">
        <f t="array" ref="H1998">_xlfn.XLOOKUP($A1998, 'Medical Examinations'!$A:$A, 'Medical Examinations'!G:G, "No Data")</f>
        <v>1</v>
      </c>
      <c r="I1998" s="28" t="str">
        <f t="array" ref="I1998">_xlfn.XLOOKUP($A1998, 'Medical Examinations'!$A:$A, 'Medical Examinations'!H:H, "No Data")</f>
        <v>No</v>
      </c>
      <c r="J1998" s="28" t="str">
        <f t="array" ref="J1998">_xlfn.XLOOKUP($A1998, 'Medical Examinations'!$A:$A, 'Medical Examinations'!I:I, "No Data")</f>
        <v>Normal Weight</v>
      </c>
      <c r="K1998" s="28" t="str">
        <f t="array" ref="K1998">_xlfn.XLOOKUP($A1998, 'Hospitalisation Details'!$A:$A, 'Hospitalisation Details'!I:I, "No Data")</f>
        <v>tier - 3</v>
      </c>
      <c r="L1998" s="28" t="str">
        <f t="array" ref="L1998">_xlfn.XLOOKUP($A1998, 'Hospitalisation Details'!$A:$A, 'Hospitalisation Details'!J:J, "No Data")</f>
        <v>R1011</v>
      </c>
      <c r="M1998" s="28" t="str">
        <f t="array" ref="M1998">_xlfn.XLOOKUP($A1998, 'Hospitalisation Details'!$A:$A, 'Hospitalisation Details'!E:E, "No Data")</f>
        <v>22/12/97</v>
      </c>
      <c r="N1998" s="28">
        <f t="array" ref="N1998">_xlfn.XLOOKUP($A1998, 'Hospitalisation Details'!$A:$A, 'Hospitalisation Details'!K:K, "No Data")</f>
        <v>25</v>
      </c>
      <c r="O1998" s="33">
        <f t="array" ref="O1998">_xlfn.XLOOKUP($A1998, 'Hospitalisation Details'!$A:$A, 'Hospitalisation Details'!G:G, "No Data")</f>
        <v>3208.79</v>
      </c>
      <c r="P1998" s="28" t="str">
        <f t="array" ref="P1998">_xlfn.XLOOKUP($A1998, 'Hospitalisation Details'!$A:$A, 'Hospitalisation Details'!H:H, "No Data")</f>
        <v>tier - 2</v>
      </c>
    </row>
    <row r="1999">
      <c r="A1999" s="25" t="s">
        <v>2684</v>
      </c>
      <c r="B1999" s="28" t="str">
        <f t="array" ref="B1999">_xlfn.XLOOKUP($A1999, 'Customer Names'!$A:$A, 'Customer Names'!B:B, "No Data")</f>
        <v>Cupp</v>
      </c>
      <c r="C1999" s="28">
        <f t="array" ref="C1999">_xlfn.XLOOKUP($A1999, 'Medical Examinations'!$A:$A, 'Medical Examinations'!B:B, "No Data")</f>
        <v>23.465</v>
      </c>
      <c r="D1999" s="28">
        <f t="array" ref="D1999">_xlfn.XLOOKUP($A1999, 'Medical Examinations'!$A:$A, 'Medical Examinations'!C:C, "No Data")</f>
        <v>6.26</v>
      </c>
      <c r="E1999" s="28" t="str">
        <f t="array" ref="E1999">_xlfn.XLOOKUP($A1999, 'Medical Examinations'!$A:$A, 'Medical Examinations'!D:D, "No Data")</f>
        <v>yes</v>
      </c>
      <c r="F1999" s="28" t="str">
        <f t="array" ref="F1999">_xlfn.XLOOKUP($A1999, 'Medical Examinations'!$A:$A, 'Medical Examinations'!E:E, "No Data")</f>
        <v>No</v>
      </c>
      <c r="G1999" s="28" t="str">
        <f t="array" ref="G1999">_xlfn.XLOOKUP($A1999, 'Medical Examinations'!$A:$A, 'Medical Examinations'!F:F, "No Data")</f>
        <v>Yes</v>
      </c>
      <c r="H1999" s="28">
        <f t="array" ref="H1999">_xlfn.XLOOKUP($A1999, 'Medical Examinations'!$A:$A, 'Medical Examinations'!G:G, "No Data")</f>
        <v>1</v>
      </c>
      <c r="I1999" s="28" t="str">
        <f t="array" ref="I1999">_xlfn.XLOOKUP($A1999, 'Medical Examinations'!$A:$A, 'Medical Examinations'!H:H, "No Data")</f>
        <v>No</v>
      </c>
      <c r="J1999" s="28" t="str">
        <f t="array" ref="J1999">_xlfn.XLOOKUP($A1999, 'Medical Examinations'!$A:$A, 'Medical Examinations'!I:I, "No Data")</f>
        <v>Normal Weight</v>
      </c>
      <c r="K1999" s="28" t="str">
        <f t="array" ref="K1999">_xlfn.XLOOKUP($A1999, 'Hospitalisation Details'!$A:$A, 'Hospitalisation Details'!I:I, "No Data")</f>
        <v>tier - 3</v>
      </c>
      <c r="L1999" s="28" t="str">
        <f t="array" ref="L1999">_xlfn.XLOOKUP($A1999, 'Hospitalisation Details'!$A:$A, 'Hospitalisation Details'!J:J, "No Data")</f>
        <v>R1024</v>
      </c>
      <c r="M1999" s="28" t="str">
        <f t="array" ref="M1999">_xlfn.XLOOKUP($A1999, 'Hospitalisation Details'!$A:$A, 'Hospitalisation Details'!E:E, "No Data")</f>
        <v>05/07/97</v>
      </c>
      <c r="N1999" s="28">
        <f t="array" ref="N1999">_xlfn.XLOOKUP($A1999, 'Hospitalisation Details'!$A:$A, 'Hospitalisation Details'!K:K, "No Data")</f>
        <v>25</v>
      </c>
      <c r="O1999" s="33">
        <f t="array" ref="O1999">_xlfn.XLOOKUP($A1999, 'Hospitalisation Details'!$A:$A, 'Hospitalisation Details'!G:G, "No Data")</f>
        <v>3206.49</v>
      </c>
      <c r="P1999" s="28" t="str">
        <f t="array" ref="P1999">_xlfn.XLOOKUP($A1999, 'Hospitalisation Details'!$A:$A, 'Hospitalisation Details'!H:H, "No Data")</f>
        <v>tier - 2</v>
      </c>
    </row>
    <row r="2000">
      <c r="A2000" s="25" t="s">
        <v>2680</v>
      </c>
      <c r="B2000" s="28" t="str">
        <f t="array" ref="B2000">_xlfn.XLOOKUP($A2000, 'Customer Names'!$A:$A, 'Customer Names'!B:B, "No Data")</f>
        <v>Shaw</v>
      </c>
      <c r="C2000" s="28">
        <f t="array" ref="C2000">_xlfn.XLOOKUP($A2000, 'Medical Examinations'!$A:$A, 'Medical Examinations'!B:B, "No Data")</f>
        <v>40.185</v>
      </c>
      <c r="D2000" s="28">
        <f t="array" ref="D2000">_xlfn.XLOOKUP($A2000, 'Medical Examinations'!$A:$A, 'Medical Examinations'!C:C, "No Data")</f>
        <v>5.88</v>
      </c>
      <c r="E2000" s="28" t="str">
        <f t="array" ref="E2000">_xlfn.XLOOKUP($A2000, 'Medical Examinations'!$A:$A, 'Medical Examinations'!D:D, "No Data")</f>
        <v>yes</v>
      </c>
      <c r="F2000" s="28" t="str">
        <f t="array" ref="F2000">_xlfn.XLOOKUP($A2000, 'Medical Examinations'!$A:$A, 'Medical Examinations'!E:E, "No Data")</f>
        <v>No</v>
      </c>
      <c r="G2000" s="28" t="str">
        <f t="array" ref="G2000">_xlfn.XLOOKUP($A2000, 'Medical Examinations'!$A:$A, 'Medical Examinations'!F:F, "No Data")</f>
        <v>No</v>
      </c>
      <c r="H2000" s="28">
        <f t="array" ref="H2000">_xlfn.XLOOKUP($A2000, 'Medical Examinations'!$A:$A, 'Medical Examinations'!G:G, "No Data")</f>
        <v>0</v>
      </c>
      <c r="I2000" s="28" t="str">
        <f t="array" ref="I2000">_xlfn.XLOOKUP($A2000, 'Medical Examinations'!$A:$A, 'Medical Examinations'!H:H, "No Data")</f>
        <v>No</v>
      </c>
      <c r="J2000" s="28" t="str">
        <f t="array" ref="J2000">_xlfn.XLOOKUP($A2000, 'Medical Examinations'!$A:$A, 'Medical Examinations'!I:I, "No Data")</f>
        <v>Obesity</v>
      </c>
      <c r="K2000" s="28" t="str">
        <f t="array" ref="K2000">_xlfn.XLOOKUP($A2000, 'Hospitalisation Details'!$A:$A, 'Hospitalisation Details'!I:I, "No Data")</f>
        <v>tier - 3</v>
      </c>
      <c r="L2000" s="28" t="str">
        <f t="array" ref="L2000">_xlfn.XLOOKUP($A2000, 'Hospitalisation Details'!$A:$A, 'Hospitalisation Details'!J:J, "No Data")</f>
        <v>R1012</v>
      </c>
      <c r="M2000" s="28" t="str">
        <f t="array" ref="M2000">_xlfn.XLOOKUP($A2000, 'Hospitalisation Details'!$A:$A, 'Hospitalisation Details'!E:E, "No Data")</f>
        <v>11/10/96</v>
      </c>
      <c r="N2000" s="28">
        <f t="array" ref="N2000">_xlfn.XLOOKUP($A2000, 'Hospitalisation Details'!$A:$A, 'Hospitalisation Details'!K:K, "No Data")</f>
        <v>26</v>
      </c>
      <c r="O2000" s="33">
        <f t="array" ref="O2000">_xlfn.XLOOKUP($A2000, 'Hospitalisation Details'!$A:$A, 'Hospitalisation Details'!G:G, "No Data")</f>
        <v>3201.25</v>
      </c>
      <c r="P2000" s="28" t="str">
        <f t="array" ref="P2000">_xlfn.XLOOKUP($A2000, 'Hospitalisation Details'!$A:$A, 'Hospitalisation Details'!H:H, "No Data")</f>
        <v>tier - 2</v>
      </c>
    </row>
    <row r="2001">
      <c r="A2001" s="25" t="s">
        <v>2674</v>
      </c>
      <c r="B2001" s="28" t="str">
        <f t="array" ref="B2001">_xlfn.XLOOKUP($A2001, 'Customer Names'!$A:$A, 'Customer Names'!B:B, "No Data")</f>
        <v>Klassen</v>
      </c>
      <c r="C2001" s="28">
        <f t="array" ref="C2001">_xlfn.XLOOKUP($A2001, 'Medical Examinations'!$A:$A, 'Medical Examinations'!B:B, "No Data")</f>
        <v>21.89</v>
      </c>
      <c r="D2001" s="28">
        <f t="array" ref="D2001">_xlfn.XLOOKUP($A2001, 'Medical Examinations'!$A:$A, 'Medical Examinations'!C:C, "No Data")</f>
        <v>5.72</v>
      </c>
      <c r="E2001" s="28" t="str">
        <f t="array" ref="E2001">_xlfn.XLOOKUP($A2001, 'Medical Examinations'!$A:$A, 'Medical Examinations'!D:D, "No Data")</f>
        <v>yes</v>
      </c>
      <c r="F2001" s="28" t="str">
        <f t="array" ref="F2001">_xlfn.XLOOKUP($A2001, 'Medical Examinations'!$A:$A, 'Medical Examinations'!E:E, "No Data")</f>
        <v>No</v>
      </c>
      <c r="G2001" s="28" t="str">
        <f t="array" ref="G2001">_xlfn.XLOOKUP($A2001, 'Medical Examinations'!$A:$A, 'Medical Examinations'!F:F, "No Data")</f>
        <v>No</v>
      </c>
      <c r="H2001" s="28">
        <f t="array" ref="H2001">_xlfn.XLOOKUP($A2001, 'Medical Examinations'!$A:$A, 'Medical Examinations'!G:G, "No Data")</f>
        <v>0</v>
      </c>
      <c r="I2001" s="28" t="str">
        <f t="array" ref="I2001">_xlfn.XLOOKUP($A2001, 'Medical Examinations'!$A:$A, 'Medical Examinations'!H:H, "No Data")</f>
        <v>No</v>
      </c>
      <c r="J2001" s="28" t="str">
        <f t="array" ref="J2001">_xlfn.XLOOKUP($A2001, 'Medical Examinations'!$A:$A, 'Medical Examinations'!I:I, "No Data")</f>
        <v>Normal Weight</v>
      </c>
      <c r="K2001" s="28" t="str">
        <f t="array" ref="K2001">_xlfn.XLOOKUP($A2001, 'Hospitalisation Details'!$A:$A, 'Hospitalisation Details'!I:I, "No Data")</f>
        <v>tier - 2</v>
      </c>
      <c r="L2001" s="28" t="str">
        <f t="array" ref="L2001">_xlfn.XLOOKUP($A2001, 'Hospitalisation Details'!$A:$A, 'Hospitalisation Details'!J:J, "No Data")</f>
        <v>R1013</v>
      </c>
      <c r="M2001" s="28" t="str">
        <f t="array" ref="M2001">_xlfn.XLOOKUP($A2001, 'Hospitalisation Details'!$A:$A, 'Hospitalisation Details'!E:E, "No Data")</f>
        <v>02/09/01</v>
      </c>
      <c r="N2001" s="28">
        <f t="array" ref="N2001">_xlfn.XLOOKUP($A2001, 'Hospitalisation Details'!$A:$A, 'Hospitalisation Details'!K:K, "No Data")</f>
        <v>21</v>
      </c>
      <c r="O2001" s="33">
        <f t="array" ref="O2001">_xlfn.XLOOKUP($A2001, 'Hospitalisation Details'!$A:$A, 'Hospitalisation Details'!G:G, "No Data")</f>
        <v>3180.51</v>
      </c>
      <c r="P2001" s="28" t="str">
        <f t="array" ref="P2001">_xlfn.XLOOKUP($A2001, 'Hospitalisation Details'!$A:$A, 'Hospitalisation Details'!H:H, "No Data")</f>
        <v>tier - 2</v>
      </c>
    </row>
    <row r="2002">
      <c r="A2002" s="25" t="s">
        <v>2671</v>
      </c>
      <c r="B2002" s="28" t="str">
        <f t="array" ref="B2002">_xlfn.XLOOKUP($A2002, 'Customer Names'!$A:$A, 'Customer Names'!B:B, "No Data")</f>
        <v>Musal</v>
      </c>
      <c r="C2002" s="28">
        <f t="array" ref="C2002">_xlfn.XLOOKUP($A2002, 'Medical Examinations'!$A:$A, 'Medical Examinations'!B:B, "No Data")</f>
        <v>29.34</v>
      </c>
      <c r="D2002" s="28">
        <f t="array" ref="D2002">_xlfn.XLOOKUP($A2002, 'Medical Examinations'!$A:$A, 'Medical Examinations'!C:C, "No Data")</f>
        <v>6.09</v>
      </c>
      <c r="E2002" s="28" t="str">
        <f t="array" ref="E2002">_xlfn.XLOOKUP($A2002, 'Medical Examinations'!$A:$A, 'Medical Examinations'!D:D, "No Data")</f>
        <v>yes</v>
      </c>
      <c r="F2002" s="28" t="str">
        <f t="array" ref="F2002">_xlfn.XLOOKUP($A2002, 'Medical Examinations'!$A:$A, 'Medical Examinations'!E:E, "No Data")</f>
        <v>yes</v>
      </c>
      <c r="G2002" s="28" t="str">
        <f t="array" ref="G2002">_xlfn.XLOOKUP($A2002, 'Medical Examinations'!$A:$A, 'Medical Examinations'!F:F, "No Data")</f>
        <v>No</v>
      </c>
      <c r="H2002" s="28">
        <f t="array" ref="H2002">_xlfn.XLOOKUP($A2002, 'Medical Examinations'!$A:$A, 'Medical Examinations'!G:G, "No Data")</f>
        <v>2</v>
      </c>
      <c r="I2002" s="28" t="str">
        <f t="array" ref="I2002">_xlfn.XLOOKUP($A2002, 'Medical Examinations'!$A:$A, 'Medical Examinations'!H:H, "No Data")</f>
        <v>No</v>
      </c>
      <c r="J2002" s="28" t="str">
        <f t="array" ref="J2002">_xlfn.XLOOKUP($A2002, 'Medical Examinations'!$A:$A, 'Medical Examinations'!I:I, "No Data")</f>
        <v>Overweight</v>
      </c>
      <c r="K2002" s="28" t="str">
        <f t="array" ref="K2002">_xlfn.XLOOKUP($A2002, 'Hospitalisation Details'!$A:$A, 'Hospitalisation Details'!I:I, "No Data")</f>
        <v>tier - 2</v>
      </c>
      <c r="L2002" s="28" t="str">
        <f t="array" ref="L2002">_xlfn.XLOOKUP($A2002, 'Hospitalisation Details'!$A:$A, 'Hospitalisation Details'!J:J, "No Data")</f>
        <v>R1012</v>
      </c>
      <c r="M2002" s="28" t="str">
        <f t="array" ref="M2002">_xlfn.XLOOKUP($A2002, 'Hospitalisation Details'!$A:$A, 'Hospitalisation Details'!E:E, "No Data")</f>
        <v>23/09/00</v>
      </c>
      <c r="N2002" s="28">
        <f t="array" ref="N2002">_xlfn.XLOOKUP($A2002, 'Hospitalisation Details'!$A:$A, 'Hospitalisation Details'!K:K, "No Data")</f>
        <v>22</v>
      </c>
      <c r="O2002" s="33">
        <f t="array" ref="O2002">_xlfn.XLOOKUP($A2002, 'Hospitalisation Details'!$A:$A, 'Hospitalisation Details'!G:G, "No Data")</f>
        <v>3179.96</v>
      </c>
      <c r="P2002" s="28" t="str">
        <f t="array" ref="P2002">_xlfn.XLOOKUP($A2002, 'Hospitalisation Details'!$A:$A, 'Hospitalisation Details'!H:H, "No Data")</f>
        <v>tier - 2</v>
      </c>
    </row>
    <row r="2003">
      <c r="A2003" s="25" t="s">
        <v>2665</v>
      </c>
      <c r="B2003" s="28" t="str">
        <f t="array" ref="B2003">_xlfn.XLOOKUP($A2003, 'Customer Names'!$A:$A, 'Customer Names'!B:B, "No Data")</f>
        <v>Kitayama</v>
      </c>
      <c r="C2003" s="28">
        <f t="array" ref="C2003">_xlfn.XLOOKUP($A2003, 'Medical Examinations'!$A:$A, 'Medical Examinations'!B:B, "No Data")</f>
        <v>22.61</v>
      </c>
      <c r="D2003" s="28">
        <f t="array" ref="D2003">_xlfn.XLOOKUP($A2003, 'Medical Examinations'!$A:$A, 'Medical Examinations'!C:C, "No Data")</f>
        <v>4.25</v>
      </c>
      <c r="E2003" s="28" t="str">
        <f t="array" ref="E2003">_xlfn.XLOOKUP($A2003, 'Medical Examinations'!$A:$A, 'Medical Examinations'!D:D, "No Data")</f>
        <v>yes</v>
      </c>
      <c r="F2003" s="28" t="str">
        <f t="array" ref="F2003">_xlfn.XLOOKUP($A2003, 'Medical Examinations'!$A:$A, 'Medical Examinations'!E:E, "No Data")</f>
        <v>No</v>
      </c>
      <c r="G2003" s="28" t="str">
        <f t="array" ref="G2003">_xlfn.XLOOKUP($A2003, 'Medical Examinations'!$A:$A, 'Medical Examinations'!F:F, "No Data")</f>
        <v>No</v>
      </c>
      <c r="H2003" s="28">
        <f t="array" ref="H2003">_xlfn.XLOOKUP($A2003, 'Medical Examinations'!$A:$A, 'Medical Examinations'!G:G, "No Data")</f>
        <v>0</v>
      </c>
      <c r="I2003" s="28" t="str">
        <f t="array" ref="I2003">_xlfn.XLOOKUP($A2003, 'Medical Examinations'!$A:$A, 'Medical Examinations'!H:H, "No Data")</f>
        <v>No</v>
      </c>
      <c r="J2003" s="28" t="str">
        <f t="array" ref="J2003">_xlfn.XLOOKUP($A2003, 'Medical Examinations'!$A:$A, 'Medical Examinations'!I:I, "No Data")</f>
        <v>Normal Weight</v>
      </c>
      <c r="K2003" s="28" t="str">
        <f t="array" ref="K2003">_xlfn.XLOOKUP($A2003, 'Hospitalisation Details'!$A:$A, 'Hospitalisation Details'!I:I, "No Data")</f>
        <v>tier - 1</v>
      </c>
      <c r="L2003" s="28" t="str">
        <f t="array" ref="L2003">_xlfn.XLOOKUP($A2003, 'Hospitalisation Details'!$A:$A, 'Hospitalisation Details'!J:J, "No Data")</f>
        <v>R1012</v>
      </c>
      <c r="M2003" s="28" t="str">
        <f t="array" ref="M2003">_xlfn.XLOOKUP($A2003, 'Hospitalisation Details'!$A:$A, 'Hospitalisation Details'!E:E, "No Data")</f>
        <v>03/07/96</v>
      </c>
      <c r="N2003" s="28">
        <f t="array" ref="N2003">_xlfn.XLOOKUP($A2003, 'Hospitalisation Details'!$A:$A, 'Hospitalisation Details'!K:K, "No Data")</f>
        <v>26</v>
      </c>
      <c r="O2003" s="33">
        <f t="array" ref="O2003">_xlfn.XLOOKUP($A2003, 'Hospitalisation Details'!$A:$A, 'Hospitalisation Details'!G:G, "No Data")</f>
        <v>3176.82</v>
      </c>
      <c r="P2003" s="28" t="str">
        <f t="array" ref="P2003">_xlfn.XLOOKUP($A2003, 'Hospitalisation Details'!$A:$A, 'Hospitalisation Details'!H:H, "No Data")</f>
        <v>tier - 2</v>
      </c>
    </row>
    <row r="2004">
      <c r="A2004" s="25" t="s">
        <v>2659</v>
      </c>
      <c r="B2004" s="28" t="str">
        <f t="array" ref="B2004">_xlfn.XLOOKUP($A2004, 'Customer Names'!$A:$A, 'Customer Names'!B:B, "No Data")</f>
        <v>Altman</v>
      </c>
      <c r="C2004" s="28">
        <f t="array" ref="C2004">_xlfn.XLOOKUP($A2004, 'Medical Examinations'!$A:$A, 'Medical Examinations'!B:B, "No Data")</f>
        <v>22.23</v>
      </c>
      <c r="D2004" s="28">
        <f t="array" ref="D2004">_xlfn.XLOOKUP($A2004, 'Medical Examinations'!$A:$A, 'Medical Examinations'!C:C, "No Data")</f>
        <v>6.09</v>
      </c>
      <c r="E2004" s="28" t="str">
        <f t="array" ref="E2004">_xlfn.XLOOKUP($A2004, 'Medical Examinations'!$A:$A, 'Medical Examinations'!D:D, "No Data")</f>
        <v>yes</v>
      </c>
      <c r="F2004" s="28" t="str">
        <f t="array" ref="F2004">_xlfn.XLOOKUP($A2004, 'Medical Examinations'!$A:$A, 'Medical Examinations'!E:E, "No Data")</f>
        <v>No</v>
      </c>
      <c r="G2004" s="28" t="str">
        <f t="array" ref="G2004">_xlfn.XLOOKUP($A2004, 'Medical Examinations'!$A:$A, 'Medical Examinations'!F:F, "No Data")</f>
        <v>No</v>
      </c>
      <c r="H2004" s="28">
        <f t="array" ref="H2004">_xlfn.XLOOKUP($A2004, 'Medical Examinations'!$A:$A, 'Medical Examinations'!G:G, "No Data")</f>
        <v>0</v>
      </c>
      <c r="I2004" s="28" t="str">
        <f t="array" ref="I2004">_xlfn.XLOOKUP($A2004, 'Medical Examinations'!$A:$A, 'Medical Examinations'!H:H, "No Data")</f>
        <v>No</v>
      </c>
      <c r="J2004" s="28" t="str">
        <f t="array" ref="J2004">_xlfn.XLOOKUP($A2004, 'Medical Examinations'!$A:$A, 'Medical Examinations'!I:I, "No Data")</f>
        <v>Normal Weight</v>
      </c>
      <c r="K2004" s="28" t="str">
        <f t="array" ref="K2004">_xlfn.XLOOKUP($A2004, 'Hospitalisation Details'!$A:$A, 'Hospitalisation Details'!I:I, "No Data")</f>
        <v>tier - 2</v>
      </c>
      <c r="L2004" s="28" t="str">
        <f t="array" ref="L2004">_xlfn.XLOOKUP($A2004, 'Hospitalisation Details'!$A:$A, 'Hospitalisation Details'!J:J, "No Data")</f>
        <v>R1012</v>
      </c>
      <c r="M2004" s="28" t="str">
        <f t="array" ref="M2004">_xlfn.XLOOKUP($A2004, 'Hospitalisation Details'!$A:$A, 'Hospitalisation Details'!E:E, "No Data")</f>
        <v>14/08/96</v>
      </c>
      <c r="N2004" s="28">
        <f t="array" ref="N2004">_xlfn.XLOOKUP($A2004, 'Hospitalisation Details'!$A:$A, 'Hospitalisation Details'!K:K, "No Data")</f>
        <v>26</v>
      </c>
      <c r="O2004" s="33">
        <f t="array" ref="O2004">_xlfn.XLOOKUP($A2004, 'Hospitalisation Details'!$A:$A, 'Hospitalisation Details'!G:G, "No Data")</f>
        <v>3176.29</v>
      </c>
      <c r="P2004" s="28" t="str">
        <f t="array" ref="P2004">_xlfn.XLOOKUP($A2004, 'Hospitalisation Details'!$A:$A, 'Hospitalisation Details'!H:H, "No Data")</f>
        <v>tier - 2</v>
      </c>
    </row>
    <row r="2005">
      <c r="A2005" s="25" t="s">
        <v>2653</v>
      </c>
      <c r="B2005" s="28" t="str">
        <f t="array" ref="B2005">_xlfn.XLOOKUP($A2005, 'Customer Names'!$A:$A, 'Customer Names'!B:B, "No Data")</f>
        <v>Demchko</v>
      </c>
      <c r="C2005" s="28">
        <f t="array" ref="C2005">_xlfn.XLOOKUP($A2005, 'Medical Examinations'!$A:$A, 'Medical Examinations'!B:B, "No Data")</f>
        <v>33.4</v>
      </c>
      <c r="D2005" s="28">
        <f t="array" ref="D2005">_xlfn.XLOOKUP($A2005, 'Medical Examinations'!$A:$A, 'Medical Examinations'!C:C, "No Data")</f>
        <v>5.51</v>
      </c>
      <c r="E2005" s="28" t="str">
        <f t="array" ref="E2005">_xlfn.XLOOKUP($A2005, 'Medical Examinations'!$A:$A, 'Medical Examinations'!D:D, "No Data")</f>
        <v>No</v>
      </c>
      <c r="F2005" s="28" t="str">
        <f t="array" ref="F2005">_xlfn.XLOOKUP($A2005, 'Medical Examinations'!$A:$A, 'Medical Examinations'!E:E, "No Data")</f>
        <v>No</v>
      </c>
      <c r="G2005" s="28" t="str">
        <f t="array" ref="G2005">_xlfn.XLOOKUP($A2005, 'Medical Examinations'!$A:$A, 'Medical Examinations'!F:F, "No Data")</f>
        <v>No</v>
      </c>
      <c r="H2005" s="28">
        <f t="array" ref="H2005">_xlfn.XLOOKUP($A2005, 'Medical Examinations'!$A:$A, 'Medical Examinations'!G:G, "No Data")</f>
        <v>0</v>
      </c>
      <c r="I2005" s="28" t="str">
        <f t="array" ref="I2005">_xlfn.XLOOKUP($A2005, 'Medical Examinations'!$A:$A, 'Medical Examinations'!H:H, "No Data")</f>
        <v>No</v>
      </c>
      <c r="J2005" s="28" t="str">
        <f t="array" ref="J2005">_xlfn.XLOOKUP($A2005, 'Medical Examinations'!$A:$A, 'Medical Examinations'!I:I, "No Data")</f>
        <v>Obesity</v>
      </c>
      <c r="K2005" s="28" t="str">
        <f t="array" ref="K2005">_xlfn.XLOOKUP($A2005, 'Hospitalisation Details'!$A:$A, 'Hospitalisation Details'!I:I, "No Data")</f>
        <v>tier - 1</v>
      </c>
      <c r="L2005" s="28" t="str">
        <f t="array" ref="L2005">_xlfn.XLOOKUP($A2005, 'Hospitalisation Details'!$A:$A, 'Hospitalisation Details'!J:J, "No Data")</f>
        <v>R1011</v>
      </c>
      <c r="M2005" s="28" t="str">
        <f t="array" ref="M2005">_xlfn.XLOOKUP($A2005, 'Hospitalisation Details'!$A:$A, 'Hospitalisation Details'!E:E, "No Data")</f>
        <v>06/07/94</v>
      </c>
      <c r="N2005" s="28">
        <f t="array" ref="N2005">_xlfn.XLOOKUP($A2005, 'Hospitalisation Details'!$A:$A, 'Hospitalisation Details'!K:K, "No Data")</f>
        <v>28</v>
      </c>
      <c r="O2005" s="33">
        <f t="array" ref="O2005">_xlfn.XLOOKUP($A2005, 'Hospitalisation Details'!$A:$A, 'Hospitalisation Details'!G:G, "No Data")</f>
        <v>3172.02</v>
      </c>
      <c r="P2005" s="28" t="str">
        <f t="array" ref="P2005">_xlfn.XLOOKUP($A2005, 'Hospitalisation Details'!$A:$A, 'Hospitalisation Details'!H:H, "No Data")</f>
        <v>tier - 2</v>
      </c>
    </row>
    <row r="2006">
      <c r="A2006" s="25" t="s">
        <v>2648</v>
      </c>
      <c r="B2006" s="28" t="str">
        <f t="array" ref="B2006">_xlfn.XLOOKUP($A2006, 'Customer Names'!$A:$A, 'Customer Names'!B:B, "No Data")</f>
        <v>Wild</v>
      </c>
      <c r="C2006" s="28">
        <f t="array" ref="C2006">_xlfn.XLOOKUP($A2006, 'Medical Examinations'!$A:$A, 'Medical Examinations'!B:B, "No Data")</f>
        <v>33.11</v>
      </c>
      <c r="D2006" s="28">
        <f t="array" ref="D2006">_xlfn.XLOOKUP($A2006, 'Medical Examinations'!$A:$A, 'Medical Examinations'!C:C, "No Data")</f>
        <v>5.63</v>
      </c>
      <c r="E2006" s="28" t="str">
        <f t="array" ref="E2006">_xlfn.XLOOKUP($A2006, 'Medical Examinations'!$A:$A, 'Medical Examinations'!D:D, "No Data")</f>
        <v>No</v>
      </c>
      <c r="F2006" s="28" t="str">
        <f t="array" ref="F2006">_xlfn.XLOOKUP($A2006, 'Medical Examinations'!$A:$A, 'Medical Examinations'!E:E, "No Data")</f>
        <v>No</v>
      </c>
      <c r="G2006" s="28" t="str">
        <f t="array" ref="G2006">_xlfn.XLOOKUP($A2006, 'Medical Examinations'!$A:$A, 'Medical Examinations'!F:F, "No Data")</f>
        <v>No</v>
      </c>
      <c r="H2006" s="28">
        <f t="array" ref="H2006">_xlfn.XLOOKUP($A2006, 'Medical Examinations'!$A:$A, 'Medical Examinations'!G:G, "No Data")</f>
        <v>0</v>
      </c>
      <c r="I2006" s="28" t="str">
        <f t="array" ref="I2006">_xlfn.XLOOKUP($A2006, 'Medical Examinations'!$A:$A, 'Medical Examinations'!H:H, "No Data")</f>
        <v>No</v>
      </c>
      <c r="J2006" s="28" t="str">
        <f t="array" ref="J2006">_xlfn.XLOOKUP($A2006, 'Medical Examinations'!$A:$A, 'Medical Examinations'!I:I, "No Data")</f>
        <v>Obesity</v>
      </c>
      <c r="K2006" s="28" t="str">
        <f t="array" ref="K2006">_xlfn.XLOOKUP($A2006, 'Hospitalisation Details'!$A:$A, 'Hospitalisation Details'!I:I, "No Data")</f>
        <v>tier - 3</v>
      </c>
      <c r="L2006" s="28" t="str">
        <f t="array" ref="L2006">_xlfn.XLOOKUP($A2006, 'Hospitalisation Details'!$A:$A, 'Hospitalisation Details'!J:J, "No Data")</f>
        <v>R1013</v>
      </c>
      <c r="M2006" s="28" t="str">
        <f t="array" ref="M2006">_xlfn.XLOOKUP($A2006, 'Hospitalisation Details'!$A:$A, 'Hospitalisation Details'!E:E, "No Data")</f>
        <v>25/10/94</v>
      </c>
      <c r="N2006" s="28">
        <f t="array" ref="N2006">_xlfn.XLOOKUP($A2006, 'Hospitalisation Details'!$A:$A, 'Hospitalisation Details'!K:K, "No Data")</f>
        <v>28</v>
      </c>
      <c r="O2006" s="33">
        <f t="array" ref="O2006">_xlfn.XLOOKUP($A2006, 'Hospitalisation Details'!$A:$A, 'Hospitalisation Details'!G:G, "No Data")</f>
        <v>3171.61</v>
      </c>
      <c r="P2006" s="28" t="str">
        <f t="array" ref="P2006">_xlfn.XLOOKUP($A2006, 'Hospitalisation Details'!$A:$A, 'Hospitalisation Details'!H:H, "No Data")</f>
        <v>tier - 2</v>
      </c>
    </row>
    <row r="2007">
      <c r="A2007" s="25" t="s">
        <v>2643</v>
      </c>
      <c r="B2007" s="28" t="str">
        <f t="array" ref="B2007">_xlfn.XLOOKUP($A2007, 'Customer Names'!$A:$A, 'Customer Names'!B:B, "No Data")</f>
        <v>Betts</v>
      </c>
      <c r="C2007" s="28">
        <f t="array" ref="C2007">_xlfn.XLOOKUP($A2007, 'Medical Examinations'!$A:$A, 'Medical Examinations'!B:B, "No Data")</f>
        <v>16.815</v>
      </c>
      <c r="D2007" s="28">
        <f t="array" ref="D2007">_xlfn.XLOOKUP($A2007, 'Medical Examinations'!$A:$A, 'Medical Examinations'!C:C, "No Data")</f>
        <v>5.29</v>
      </c>
      <c r="E2007" s="28" t="str">
        <f t="array" ref="E2007">_xlfn.XLOOKUP($A2007, 'Medical Examinations'!$A:$A, 'Medical Examinations'!D:D, "No Data")</f>
        <v>yes</v>
      </c>
      <c r="F2007" s="28" t="str">
        <f t="array" ref="F2007">_xlfn.XLOOKUP($A2007, 'Medical Examinations'!$A:$A, 'Medical Examinations'!E:E, "No Data")</f>
        <v>No</v>
      </c>
      <c r="G2007" s="28" t="str">
        <f t="array" ref="G2007">_xlfn.XLOOKUP($A2007, 'Medical Examinations'!$A:$A, 'Medical Examinations'!F:F, "No Data")</f>
        <v>No</v>
      </c>
      <c r="H2007" s="28">
        <f t="array" ref="H2007">_xlfn.XLOOKUP($A2007, 'Medical Examinations'!$A:$A, 'Medical Examinations'!G:G, "No Data")</f>
        <v>0</v>
      </c>
      <c r="I2007" s="28" t="str">
        <f t="array" ref="I2007">_xlfn.XLOOKUP($A2007, 'Medical Examinations'!$A:$A, 'Medical Examinations'!H:H, "No Data")</f>
        <v>No</v>
      </c>
      <c r="J2007" s="28" t="str">
        <f t="array" ref="J2007">_xlfn.XLOOKUP($A2007, 'Medical Examinations'!$A:$A, 'Medical Examinations'!I:I, "No Data")</f>
        <v>Underweight</v>
      </c>
      <c r="K2007" s="28" t="str">
        <f t="array" ref="K2007">_xlfn.XLOOKUP($A2007, 'Hospitalisation Details'!$A:$A, 'Hospitalisation Details'!I:I, "No Data")</f>
        <v>tier - 3</v>
      </c>
      <c r="L2007" s="28" t="str">
        <f t="array" ref="L2007">_xlfn.XLOOKUP($A2007, 'Hospitalisation Details'!$A:$A, 'Hospitalisation Details'!J:J, "No Data")</f>
        <v>R1024</v>
      </c>
      <c r="M2007" s="28" t="str">
        <f t="array" ref="M2007">_xlfn.XLOOKUP($A2007, 'Hospitalisation Details'!$A:$A, 'Hospitalisation Details'!E:E, "No Data")</f>
        <v>29/08/01</v>
      </c>
      <c r="N2007" s="28">
        <f t="array" ref="N2007">_xlfn.XLOOKUP($A2007, 'Hospitalisation Details'!$A:$A, 'Hospitalisation Details'!K:K, "No Data")</f>
        <v>21</v>
      </c>
      <c r="O2007" s="33">
        <f t="array" ref="O2007">_xlfn.XLOOKUP($A2007, 'Hospitalisation Details'!$A:$A, 'Hospitalisation Details'!G:G, "No Data")</f>
        <v>3167.46</v>
      </c>
      <c r="P2007" s="28" t="str">
        <f t="array" ref="P2007">_xlfn.XLOOKUP($A2007, 'Hospitalisation Details'!$A:$A, 'Hospitalisation Details'!H:H, "No Data")</f>
        <v>tier - 2</v>
      </c>
    </row>
    <row r="2008">
      <c r="A2008" s="25" t="s">
        <v>2640</v>
      </c>
      <c r="B2008" s="28" t="str">
        <f t="array" ref="B2008">_xlfn.XLOOKUP($A2008, 'Customer Names'!$A:$A, 'Customer Names'!B:B, "No Data")</f>
        <v>Martin</v>
      </c>
      <c r="C2008" s="28">
        <f t="array" ref="C2008">_xlfn.XLOOKUP($A2008, 'Medical Examinations'!$A:$A, 'Medical Examinations'!B:B, "No Data")</f>
        <v>25.61</v>
      </c>
      <c r="D2008" s="28">
        <f t="array" ref="D2008">_xlfn.XLOOKUP($A2008, 'Medical Examinations'!$A:$A, 'Medical Examinations'!C:C, "No Data")</f>
        <v>4</v>
      </c>
      <c r="E2008" s="28" t="str">
        <f t="array" ref="E2008">_xlfn.XLOOKUP($A2008, 'Medical Examinations'!$A:$A, 'Medical Examinations'!D:D, "No Data")</f>
        <v>No</v>
      </c>
      <c r="F2008" s="28" t="str">
        <f t="array" ref="F2008">_xlfn.XLOOKUP($A2008, 'Medical Examinations'!$A:$A, 'Medical Examinations'!E:E, "No Data")</f>
        <v>No</v>
      </c>
      <c r="G2008" s="28" t="str">
        <f t="array" ref="G2008">_xlfn.XLOOKUP($A2008, 'Medical Examinations'!$A:$A, 'Medical Examinations'!F:F, "No Data")</f>
        <v>Yes</v>
      </c>
      <c r="H2008" s="28">
        <f t="array" ref="H2008">_xlfn.XLOOKUP($A2008, 'Medical Examinations'!$A:$A, 'Medical Examinations'!G:G, "No Data")</f>
        <v>1</v>
      </c>
      <c r="I2008" s="28" t="str">
        <f t="array" ref="I2008">_xlfn.XLOOKUP($A2008, 'Medical Examinations'!$A:$A, 'Medical Examinations'!H:H, "No Data")</f>
        <v>No</v>
      </c>
      <c r="J2008" s="28" t="str">
        <f t="array" ref="J2008">_xlfn.XLOOKUP($A2008, 'Medical Examinations'!$A:$A, 'Medical Examinations'!I:I, "No Data")</f>
        <v>Overweight</v>
      </c>
      <c r="K2008" s="28" t="str">
        <f t="array" ref="K2008">_xlfn.XLOOKUP($A2008, 'Hospitalisation Details'!$A:$A, 'Hospitalisation Details'!I:I, "No Data")</f>
        <v>tier - 3</v>
      </c>
      <c r="L2008" s="28" t="str">
        <f t="array" ref="L2008">_xlfn.XLOOKUP($A2008, 'Hospitalisation Details'!$A:$A, 'Hospitalisation Details'!J:J, "No Data")</f>
        <v>R1013</v>
      </c>
      <c r="M2008" s="28" t="str">
        <f t="array" ref="M2008">_xlfn.XLOOKUP($A2008, 'Hospitalisation Details'!$A:$A, 'Hospitalisation Details'!E:E, "No Data")</f>
        <v>25/09/93</v>
      </c>
      <c r="N2008" s="28">
        <f t="array" ref="N2008">_xlfn.XLOOKUP($A2008, 'Hospitalisation Details'!$A:$A, 'Hospitalisation Details'!K:K, "No Data")</f>
        <v>29</v>
      </c>
      <c r="O2008" s="33">
        <f t="array" ref="O2008">_xlfn.XLOOKUP($A2008, 'Hospitalisation Details'!$A:$A, 'Hospitalisation Details'!G:G, "No Data")</f>
        <v>3162.02</v>
      </c>
      <c r="P2008" s="28" t="str">
        <f t="array" ref="P2008">_xlfn.XLOOKUP($A2008, 'Hospitalisation Details'!$A:$A, 'Hospitalisation Details'!H:H, "No Data")</f>
        <v>tier - 2</v>
      </c>
    </row>
    <row r="2009">
      <c r="A2009" s="25" t="s">
        <v>2635</v>
      </c>
      <c r="B2009" s="28" t="str">
        <f t="array" ref="B2009">_xlfn.XLOOKUP($A2009, 'Customer Names'!$A:$A, 'Customer Names'!B:B, "No Data")</f>
        <v>Vandeventer</v>
      </c>
      <c r="C2009" s="28">
        <f t="array" ref="C2009">_xlfn.XLOOKUP($A2009, 'Medical Examinations'!$A:$A, 'Medical Examinations'!B:B, "No Data")</f>
        <v>25.8</v>
      </c>
      <c r="D2009" s="28">
        <f t="array" ref="D2009">_xlfn.XLOOKUP($A2009, 'Medical Examinations'!$A:$A, 'Medical Examinations'!C:C, "No Data")</f>
        <v>5.49</v>
      </c>
      <c r="E2009" s="28" t="str">
        <f t="array" ref="E2009">_xlfn.XLOOKUP($A2009, 'Medical Examinations'!$A:$A, 'Medical Examinations'!D:D, "No Data")</f>
        <v>No</v>
      </c>
      <c r="F2009" s="28" t="str">
        <f t="array" ref="F2009">_xlfn.XLOOKUP($A2009, 'Medical Examinations'!$A:$A, 'Medical Examinations'!E:E, "No Data")</f>
        <v>No</v>
      </c>
      <c r="G2009" s="28" t="str">
        <f t="array" ref="G2009">_xlfn.XLOOKUP($A2009, 'Medical Examinations'!$A:$A, 'Medical Examinations'!F:F, "No Data")</f>
        <v>No</v>
      </c>
      <c r="H2009" s="28">
        <f t="array" ref="H2009">_xlfn.XLOOKUP($A2009, 'Medical Examinations'!$A:$A, 'Medical Examinations'!G:G, "No Data")</f>
        <v>0</v>
      </c>
      <c r="I2009" s="28" t="str">
        <f t="array" ref="I2009">_xlfn.XLOOKUP($A2009, 'Medical Examinations'!$A:$A, 'Medical Examinations'!H:H, "No Data")</f>
        <v>No</v>
      </c>
      <c r="J2009" s="28" t="str">
        <f t="array" ref="J2009">_xlfn.XLOOKUP($A2009, 'Medical Examinations'!$A:$A, 'Medical Examinations'!I:I, "No Data")</f>
        <v>Overweight</v>
      </c>
      <c r="K2009" s="28" t="str">
        <f t="array" ref="K2009">_xlfn.XLOOKUP($A2009, 'Hospitalisation Details'!$A:$A, 'Hospitalisation Details'!I:I, "No Data")</f>
        <v>tier - 1</v>
      </c>
      <c r="L2009" s="28" t="str">
        <f t="array" ref="L2009">_xlfn.XLOOKUP($A2009, 'Hospitalisation Details'!$A:$A, 'Hospitalisation Details'!J:J, "No Data")</f>
        <v>R1011</v>
      </c>
      <c r="M2009" s="28" t="str">
        <f t="array" ref="M2009">_xlfn.XLOOKUP($A2009, 'Hospitalisation Details'!$A:$A, 'Hospitalisation Details'!E:E, "No Data")</f>
        <v>10/07/94</v>
      </c>
      <c r="N2009" s="28">
        <f t="array" ref="N2009">_xlfn.XLOOKUP($A2009, 'Hospitalisation Details'!$A:$A, 'Hospitalisation Details'!K:K, "No Data")</f>
        <v>28</v>
      </c>
      <c r="O2009" s="33">
        <f t="array" ref="O2009">_xlfn.XLOOKUP($A2009, 'Hospitalisation Details'!$A:$A, 'Hospitalisation Details'!G:G, "No Data")</f>
        <v>3161.45</v>
      </c>
      <c r="P2009" s="28" t="str">
        <f t="array" ref="P2009">_xlfn.XLOOKUP($A2009, 'Hospitalisation Details'!$A:$A, 'Hospitalisation Details'!H:H, "No Data")</f>
        <v>tier - 2</v>
      </c>
    </row>
    <row r="2010">
      <c r="A2010" s="25" t="s">
        <v>2629</v>
      </c>
      <c r="B2010" s="28" t="str">
        <f t="array" ref="B2010">_xlfn.XLOOKUP($A2010, 'Customer Names'!$A:$A, 'Customer Names'!B:B, "No Data")</f>
        <v>Hirano</v>
      </c>
      <c r="C2010" s="28">
        <f t="array" ref="C2010">_xlfn.XLOOKUP($A2010, 'Medical Examinations'!$A:$A, 'Medical Examinations'!B:B, "No Data")</f>
        <v>27.39</v>
      </c>
      <c r="D2010" s="28">
        <f t="array" ref="D2010">_xlfn.XLOOKUP($A2010, 'Medical Examinations'!$A:$A, 'Medical Examinations'!C:C, "No Data")</f>
        <v>5.34</v>
      </c>
      <c r="E2010" s="28" t="str">
        <f t="array" ref="E2010">_xlfn.XLOOKUP($A2010, 'Medical Examinations'!$A:$A, 'Medical Examinations'!D:D, "No Data")</f>
        <v>No</v>
      </c>
      <c r="F2010" s="28" t="str">
        <f t="array" ref="F2010">_xlfn.XLOOKUP($A2010, 'Medical Examinations'!$A:$A, 'Medical Examinations'!E:E, "No Data")</f>
        <v>No</v>
      </c>
      <c r="G2010" s="28" t="str">
        <f t="array" ref="G2010">_xlfn.XLOOKUP($A2010, 'Medical Examinations'!$A:$A, 'Medical Examinations'!F:F, "No Data")</f>
        <v>No</v>
      </c>
      <c r="H2010" s="28">
        <f t="array" ref="H2010">_xlfn.XLOOKUP($A2010, 'Medical Examinations'!$A:$A, 'Medical Examinations'!G:G, "No Data")</f>
        <v>0</v>
      </c>
      <c r="I2010" s="28" t="str">
        <f t="array" ref="I2010">_xlfn.XLOOKUP($A2010, 'Medical Examinations'!$A:$A, 'Medical Examinations'!H:H, "No Data")</f>
        <v>No</v>
      </c>
      <c r="J2010" s="28" t="str">
        <f t="array" ref="J2010">_xlfn.XLOOKUP($A2010, 'Medical Examinations'!$A:$A, 'Medical Examinations'!I:I, "No Data")</f>
        <v>Overweight</v>
      </c>
      <c r="K2010" s="28" t="str">
        <f t="array" ref="K2010">_xlfn.XLOOKUP($A2010, 'Hospitalisation Details'!$A:$A, 'Hospitalisation Details'!I:I, "No Data")</f>
        <v>tier - 3</v>
      </c>
      <c r="L2010" s="28" t="str">
        <f t="array" ref="L2010">_xlfn.XLOOKUP($A2010, 'Hospitalisation Details'!$A:$A, 'Hospitalisation Details'!J:J, "No Data")</f>
        <v>R1021</v>
      </c>
      <c r="M2010" s="28" t="str">
        <f t="array" ref="M2010">_xlfn.XLOOKUP($A2010, 'Hospitalisation Details'!$A:$A, 'Hospitalisation Details'!E:E, "No Data")</f>
        <v>25/06/99</v>
      </c>
      <c r="N2010" s="28">
        <f t="array" ref="N2010">_xlfn.XLOOKUP($A2010, 'Hospitalisation Details'!$A:$A, 'Hospitalisation Details'!K:K, "No Data")</f>
        <v>23</v>
      </c>
      <c r="O2010" s="33">
        <f t="array" ref="O2010">_xlfn.XLOOKUP($A2010, 'Hospitalisation Details'!$A:$A, 'Hospitalisation Details'!G:G, "No Data")</f>
        <v>3128.35</v>
      </c>
      <c r="P2010" s="28" t="str">
        <f t="array" ref="P2010">_xlfn.XLOOKUP($A2010, 'Hospitalisation Details'!$A:$A, 'Hospitalisation Details'!H:H, "No Data")</f>
        <v>tier - 2</v>
      </c>
    </row>
    <row r="2011">
      <c r="A2011" s="25" t="s">
        <v>2625</v>
      </c>
      <c r="B2011" s="28" t="str">
        <f t="array" ref="B2011">_xlfn.XLOOKUP($A2011, 'Customer Names'!$A:$A, 'Customer Names'!B:B, "No Data")</f>
        <v>Davi</v>
      </c>
      <c r="C2011" s="28">
        <f t="array" ref="C2011">_xlfn.XLOOKUP($A2011, 'Medical Examinations'!$A:$A, 'Medical Examinations'!B:B, "No Data")</f>
        <v>17.03</v>
      </c>
      <c r="D2011" s="28">
        <f t="array" ref="D2011">_xlfn.XLOOKUP($A2011, 'Medical Examinations'!$A:$A, 'Medical Examinations'!C:C, "No Data")</f>
        <v>4.12</v>
      </c>
      <c r="E2011" s="28" t="str">
        <f t="array" ref="E2011">_xlfn.XLOOKUP($A2011, 'Medical Examinations'!$A:$A, 'Medical Examinations'!D:D, "No Data")</f>
        <v>No</v>
      </c>
      <c r="F2011" s="28" t="str">
        <f t="array" ref="F2011">_xlfn.XLOOKUP($A2011, 'Medical Examinations'!$A:$A, 'Medical Examinations'!E:E, "No Data")</f>
        <v>No</v>
      </c>
      <c r="G2011" s="28" t="str">
        <f t="array" ref="G2011">_xlfn.XLOOKUP($A2011, 'Medical Examinations'!$A:$A, 'Medical Examinations'!F:F, "No Data")</f>
        <v>No</v>
      </c>
      <c r="H2011" s="28">
        <f t="array" ref="H2011">_xlfn.XLOOKUP($A2011, 'Medical Examinations'!$A:$A, 'Medical Examinations'!G:G, "No Data")</f>
        <v>1</v>
      </c>
      <c r="I2011" s="28" t="str">
        <f t="array" ref="I2011">_xlfn.XLOOKUP($A2011, 'Medical Examinations'!$A:$A, 'Medical Examinations'!H:H, "No Data")</f>
        <v>No</v>
      </c>
      <c r="J2011" s="28" t="str">
        <f t="array" ref="J2011">_xlfn.XLOOKUP($A2011, 'Medical Examinations'!$A:$A, 'Medical Examinations'!I:I, "No Data")</f>
        <v>Underweight</v>
      </c>
      <c r="K2011" s="28" t="str">
        <f t="array" ref="K2011">_xlfn.XLOOKUP($A2011, 'Hospitalisation Details'!$A:$A, 'Hospitalisation Details'!I:I, "No Data")</f>
        <v>tier - 2</v>
      </c>
      <c r="L2011" s="28" t="str">
        <f t="array" ref="L2011">_xlfn.XLOOKUP($A2011, 'Hospitalisation Details'!$A:$A, 'Hospitalisation Details'!J:J, "No Data")</f>
        <v>R1013</v>
      </c>
      <c r="M2011" s="28" t="str">
        <f t="array" ref="M2011">_xlfn.XLOOKUP($A2011, 'Hospitalisation Details'!$A:$A, 'Hospitalisation Details'!E:E, "No Data")</f>
        <v>01/08/87</v>
      </c>
      <c r="N2011" s="28">
        <f t="array" ref="N2011">_xlfn.XLOOKUP($A2011, 'Hospitalisation Details'!$A:$A, 'Hospitalisation Details'!K:K, "No Data")</f>
        <v>35</v>
      </c>
      <c r="O2011" s="33">
        <f t="array" ref="O2011">_xlfn.XLOOKUP($A2011, 'Hospitalisation Details'!$A:$A, 'Hospitalisation Details'!G:G, "No Data")</f>
        <v>3088.06</v>
      </c>
      <c r="P2011" s="28" t="str">
        <f t="array" ref="P2011">_xlfn.XLOOKUP($A2011, 'Hospitalisation Details'!$A:$A, 'Hospitalisation Details'!H:H, "No Data")</f>
        <v>tier - 2</v>
      </c>
    </row>
    <row r="2012">
      <c r="A2012" s="25" t="s">
        <v>2619</v>
      </c>
      <c r="B2012" s="28" t="str">
        <f t="array" ref="B2012">_xlfn.XLOOKUP($A2012, 'Customer Names'!$A:$A, 'Customer Names'!B:B, "No Data")</f>
        <v>Sloan</v>
      </c>
      <c r="C2012" s="28">
        <f t="array" ref="C2012">_xlfn.XLOOKUP($A2012, 'Medical Examinations'!$A:$A, 'Medical Examinations'!B:B, "No Data")</f>
        <v>23.75</v>
      </c>
      <c r="D2012" s="28">
        <f t="array" ref="D2012">_xlfn.XLOOKUP($A2012, 'Medical Examinations'!$A:$A, 'Medical Examinations'!C:C, "No Data")</f>
        <v>5.49</v>
      </c>
      <c r="E2012" s="28" t="str">
        <f t="array" ref="E2012">_xlfn.XLOOKUP($A2012, 'Medical Examinations'!$A:$A, 'Medical Examinations'!D:D, "No Data")</f>
        <v>yes</v>
      </c>
      <c r="F2012" s="28" t="str">
        <f t="array" ref="F2012">_xlfn.XLOOKUP($A2012, 'Medical Examinations'!$A:$A, 'Medical Examinations'!E:E, "No Data")</f>
        <v>No</v>
      </c>
      <c r="G2012" s="28" t="str">
        <f t="array" ref="G2012">_xlfn.XLOOKUP($A2012, 'Medical Examinations'!$A:$A, 'Medical Examinations'!F:F, "No Data")</f>
        <v>No</v>
      </c>
      <c r="H2012" s="28">
        <f t="array" ref="H2012">_xlfn.XLOOKUP($A2012, 'Medical Examinations'!$A:$A, 'Medical Examinations'!G:G, "No Data")</f>
        <v>0</v>
      </c>
      <c r="I2012" s="28" t="str">
        <f t="array" ref="I2012">_xlfn.XLOOKUP($A2012, 'Medical Examinations'!$A:$A, 'Medical Examinations'!H:H, "No Data")</f>
        <v>No</v>
      </c>
      <c r="J2012" s="28" t="str">
        <f t="array" ref="J2012">_xlfn.XLOOKUP($A2012, 'Medical Examinations'!$A:$A, 'Medical Examinations'!I:I, "No Data")</f>
        <v>Normal Weight</v>
      </c>
      <c r="K2012" s="28" t="str">
        <f t="array" ref="K2012">_xlfn.XLOOKUP($A2012, 'Hospitalisation Details'!$A:$A, 'Hospitalisation Details'!I:I, "No Data")</f>
        <v>tier - 1</v>
      </c>
      <c r="L2012" s="28" t="str">
        <f t="array" ref="L2012">_xlfn.XLOOKUP($A2012, 'Hospitalisation Details'!$A:$A, 'Hospitalisation Details'!J:J, "No Data")</f>
        <v>R1012</v>
      </c>
      <c r="M2012" s="28" t="str">
        <f t="array" ref="M2012">_xlfn.XLOOKUP($A2012, 'Hospitalisation Details'!$A:$A, 'Hospitalisation Details'!E:E, "No Data")</f>
        <v>13/10/01</v>
      </c>
      <c r="N2012" s="28">
        <f t="array" ref="N2012">_xlfn.XLOOKUP($A2012, 'Hospitalisation Details'!$A:$A, 'Hospitalisation Details'!K:K, "No Data")</f>
        <v>21</v>
      </c>
      <c r="O2012" s="33">
        <f t="array" ref="O2012">_xlfn.XLOOKUP($A2012, 'Hospitalisation Details'!$A:$A, 'Hospitalisation Details'!G:G, "No Data")</f>
        <v>3077.1</v>
      </c>
      <c r="P2012" s="28" t="str">
        <f t="array" ref="P2012">_xlfn.XLOOKUP($A2012, 'Hospitalisation Details'!$A:$A, 'Hospitalisation Details'!H:H, "No Data")</f>
        <v>tier - 2</v>
      </c>
    </row>
    <row r="2013">
      <c r="A2013" s="25" t="s">
        <v>2613</v>
      </c>
      <c r="B2013" s="28" t="str">
        <f t="array" ref="B2013">_xlfn.XLOOKUP($A2013, 'Customer Names'!$A:$A, 'Customer Names'!B:B, "No Data")</f>
        <v>Homich</v>
      </c>
      <c r="C2013" s="28">
        <f t="array" ref="C2013">_xlfn.XLOOKUP($A2013, 'Medical Examinations'!$A:$A, 'Medical Examinations'!B:B, "No Data")</f>
        <v>26.03</v>
      </c>
      <c r="D2013" s="28">
        <f t="array" ref="D2013">_xlfn.XLOOKUP($A2013, 'Medical Examinations'!$A:$A, 'Medical Examinations'!C:C, "No Data")</f>
        <v>5.11</v>
      </c>
      <c r="E2013" s="28" t="str">
        <f t="array" ref="E2013">_xlfn.XLOOKUP($A2013, 'Medical Examinations'!$A:$A, 'Medical Examinations'!D:D, "No Data")</f>
        <v>yes</v>
      </c>
      <c r="F2013" s="28" t="str">
        <f t="array" ref="F2013">_xlfn.XLOOKUP($A2013, 'Medical Examinations'!$A:$A, 'Medical Examinations'!E:E, "No Data")</f>
        <v>No</v>
      </c>
      <c r="G2013" s="28" t="str">
        <f t="array" ref="G2013">_xlfn.XLOOKUP($A2013, 'Medical Examinations'!$A:$A, 'Medical Examinations'!F:F, "No Data")</f>
        <v>No</v>
      </c>
      <c r="H2013" s="28">
        <f t="array" ref="H2013">_xlfn.XLOOKUP($A2013, 'Medical Examinations'!$A:$A, 'Medical Examinations'!G:G, "No Data")</f>
        <v>1</v>
      </c>
      <c r="I2013" s="28" t="str">
        <f t="array" ref="I2013">_xlfn.XLOOKUP($A2013, 'Medical Examinations'!$A:$A, 'Medical Examinations'!H:H, "No Data")</f>
        <v>No</v>
      </c>
      <c r="J2013" s="28" t="str">
        <f t="array" ref="J2013">_xlfn.XLOOKUP($A2013, 'Medical Examinations'!$A:$A, 'Medical Examinations'!I:I, "No Data")</f>
        <v>Overweight</v>
      </c>
      <c r="K2013" s="28" t="str">
        <f t="array" ref="K2013">_xlfn.XLOOKUP($A2013, 'Hospitalisation Details'!$A:$A, 'Hospitalisation Details'!I:I, "No Data")</f>
        <v>tier - 1</v>
      </c>
      <c r="L2013" s="28" t="str">
        <f t="array" ref="L2013">_xlfn.XLOOKUP($A2013, 'Hospitalisation Details'!$A:$A, 'Hospitalisation Details'!J:J, "No Data")</f>
        <v>R1017</v>
      </c>
      <c r="M2013" s="28" t="str">
        <f t="array" ref="M2013">_xlfn.XLOOKUP($A2013, 'Hospitalisation Details'!$A:$A, 'Hospitalisation Details'!E:E, "No Data")</f>
        <v>10/09/95</v>
      </c>
      <c r="N2013" s="28">
        <f t="array" ref="N2013">_xlfn.XLOOKUP($A2013, 'Hospitalisation Details'!$A:$A, 'Hospitalisation Details'!K:K, "No Data")</f>
        <v>27</v>
      </c>
      <c r="O2013" s="33">
        <f t="array" ref="O2013">_xlfn.XLOOKUP($A2013, 'Hospitalisation Details'!$A:$A, 'Hospitalisation Details'!G:G, "No Data")</f>
        <v>3070.81</v>
      </c>
      <c r="P2013" s="28" t="str">
        <f t="array" ref="P2013">_xlfn.XLOOKUP($A2013, 'Hospitalisation Details'!$A:$A, 'Hospitalisation Details'!H:H, "No Data")</f>
        <v>tier - 3</v>
      </c>
    </row>
    <row r="2014">
      <c r="A2014" s="25" t="s">
        <v>2608</v>
      </c>
      <c r="B2014" s="28" t="str">
        <f t="array" ref="B2014">_xlfn.XLOOKUP($A2014, 'Customer Names'!$A:$A, 'Customer Names'!B:B, "No Data")</f>
        <v>Bell</v>
      </c>
      <c r="C2014" s="28">
        <f t="array" ref="C2014">_xlfn.XLOOKUP($A2014, 'Medical Examinations'!$A:$A, 'Medical Examinations'!B:B, "No Data")</f>
        <v>16.08</v>
      </c>
      <c r="D2014" s="28">
        <f t="array" ref="D2014">_xlfn.XLOOKUP($A2014, 'Medical Examinations'!$A:$A, 'Medical Examinations'!C:C, "No Data")</f>
        <v>5.94</v>
      </c>
      <c r="E2014" s="28" t="str">
        <f t="array" ref="E2014">_xlfn.XLOOKUP($A2014, 'Medical Examinations'!$A:$A, 'Medical Examinations'!D:D, "No Data")</f>
        <v>No</v>
      </c>
      <c r="F2014" s="28" t="str">
        <f t="array" ref="F2014">_xlfn.XLOOKUP($A2014, 'Medical Examinations'!$A:$A, 'Medical Examinations'!E:E, "No Data")</f>
        <v>No</v>
      </c>
      <c r="G2014" s="28" t="str">
        <f t="array" ref="G2014">_xlfn.XLOOKUP($A2014, 'Medical Examinations'!$A:$A, 'Medical Examinations'!F:F, "No Data")</f>
        <v>No</v>
      </c>
      <c r="H2014" s="28">
        <f t="array" ref="H2014">_xlfn.XLOOKUP($A2014, 'Medical Examinations'!$A:$A, 'Medical Examinations'!G:G, "No Data")</f>
        <v>0</v>
      </c>
      <c r="I2014" s="28" t="str">
        <f t="array" ref="I2014">_xlfn.XLOOKUP($A2014, 'Medical Examinations'!$A:$A, 'Medical Examinations'!H:H, "No Data")</f>
        <v>No</v>
      </c>
      <c r="J2014" s="28" t="str">
        <f t="array" ref="J2014">_xlfn.XLOOKUP($A2014, 'Medical Examinations'!$A:$A, 'Medical Examinations'!I:I, "No Data")</f>
        <v>Underweight</v>
      </c>
      <c r="K2014" s="28" t="str">
        <f t="array" ref="K2014">_xlfn.XLOOKUP($A2014, 'Hospitalisation Details'!$A:$A, 'Hospitalisation Details'!I:I, "No Data")</f>
        <v>tier - 1</v>
      </c>
      <c r="L2014" s="28" t="str">
        <f t="array" ref="L2014">_xlfn.XLOOKUP($A2014, 'Hospitalisation Details'!$A:$A, 'Hospitalisation Details'!J:J, "No Data")</f>
        <v>R1012</v>
      </c>
      <c r="M2014" s="28" t="str">
        <f t="array" ref="M2014">_xlfn.XLOOKUP($A2014, 'Hospitalisation Details'!$A:$A, 'Hospitalisation Details'!E:E, "No Data")</f>
        <v>01/10/89</v>
      </c>
      <c r="N2014" s="28">
        <f t="array" ref="N2014">_xlfn.XLOOKUP($A2014, 'Hospitalisation Details'!$A:$A, 'Hospitalisation Details'!K:K, "No Data")</f>
        <v>33</v>
      </c>
      <c r="O2014" s="33">
        <f t="array" ref="O2014">_xlfn.XLOOKUP($A2014, 'Hospitalisation Details'!$A:$A, 'Hospitalisation Details'!G:G, "No Data")</f>
        <v>3065.49</v>
      </c>
      <c r="P2014" s="28" t="str">
        <f t="array" ref="P2014">_xlfn.XLOOKUP($A2014, 'Hospitalisation Details'!$A:$A, 'Hospitalisation Details'!H:H, "No Data")</f>
        <v>tier - 2</v>
      </c>
    </row>
    <row r="2015">
      <c r="A2015" s="25" t="s">
        <v>2604</v>
      </c>
      <c r="B2015" s="28" t="str">
        <f t="array" ref="B2015">_xlfn.XLOOKUP($A2015, 'Customer Names'!$A:$A, 'Customer Names'!B:B, "No Data")</f>
        <v>Kristjansson</v>
      </c>
      <c r="C2015" s="28">
        <f t="array" ref="C2015">_xlfn.XLOOKUP($A2015, 'Medical Examinations'!$A:$A, 'Medical Examinations'!B:B, "No Data")</f>
        <v>30.875</v>
      </c>
      <c r="D2015" s="28">
        <f t="array" ref="D2015">_xlfn.XLOOKUP($A2015, 'Medical Examinations'!$A:$A, 'Medical Examinations'!C:C, "No Data")</f>
        <v>5.54</v>
      </c>
      <c r="E2015" s="28" t="str">
        <f t="array" ref="E2015">_xlfn.XLOOKUP($A2015, 'Medical Examinations'!$A:$A, 'Medical Examinations'!D:D, "No Data")</f>
        <v>No</v>
      </c>
      <c r="F2015" s="28" t="str">
        <f t="array" ref="F2015">_xlfn.XLOOKUP($A2015, 'Medical Examinations'!$A:$A, 'Medical Examinations'!E:E, "No Data")</f>
        <v>No</v>
      </c>
      <c r="G2015" s="28" t="str">
        <f t="array" ref="G2015">_xlfn.XLOOKUP($A2015, 'Medical Examinations'!$A:$A, 'Medical Examinations'!F:F, "No Data")</f>
        <v>No</v>
      </c>
      <c r="H2015" s="28">
        <f t="array" ref="H2015">_xlfn.XLOOKUP($A2015, 'Medical Examinations'!$A:$A, 'Medical Examinations'!G:G, "No Data")</f>
        <v>0</v>
      </c>
      <c r="I2015" s="28" t="str">
        <f t="array" ref="I2015">_xlfn.XLOOKUP($A2015, 'Medical Examinations'!$A:$A, 'Medical Examinations'!H:H, "No Data")</f>
        <v>No</v>
      </c>
      <c r="J2015" s="28" t="str">
        <f t="array" ref="J2015">_xlfn.XLOOKUP($A2015, 'Medical Examinations'!$A:$A, 'Medical Examinations'!I:I, "No Data")</f>
        <v>Obesity</v>
      </c>
      <c r="K2015" s="28" t="str">
        <f t="array" ref="K2015">_xlfn.XLOOKUP($A2015, 'Hospitalisation Details'!$A:$A, 'Hospitalisation Details'!I:I, "No Data")</f>
        <v>tier - 1</v>
      </c>
      <c r="L2015" s="28" t="str">
        <f t="array" ref="L2015">_xlfn.XLOOKUP($A2015, 'Hospitalisation Details'!$A:$A, 'Hospitalisation Details'!J:J, "No Data")</f>
        <v>R1012</v>
      </c>
      <c r="M2015" s="28" t="str">
        <f t="array" ref="M2015">_xlfn.XLOOKUP($A2015, 'Hospitalisation Details'!$A:$A, 'Hospitalisation Details'!E:E, "No Data")</f>
        <v>26/09/94</v>
      </c>
      <c r="N2015" s="28">
        <f t="array" ref="N2015">_xlfn.XLOOKUP($A2015, 'Hospitalisation Details'!$A:$A, 'Hospitalisation Details'!K:K, "No Data")</f>
        <v>28</v>
      </c>
      <c r="O2015" s="33">
        <f t="array" ref="O2015">_xlfn.XLOOKUP($A2015, 'Hospitalisation Details'!$A:$A, 'Hospitalisation Details'!G:G, "No Data")</f>
        <v>3062.51</v>
      </c>
      <c r="P2015" s="28" t="str">
        <f t="array" ref="P2015">_xlfn.XLOOKUP($A2015, 'Hospitalisation Details'!$A:$A, 'Hospitalisation Details'!H:H, "No Data")</f>
        <v>tier - 3</v>
      </c>
    </row>
    <row r="2016">
      <c r="A2016" s="25" t="s">
        <v>2598</v>
      </c>
      <c r="B2016" s="28" t="str">
        <f t="array" ref="B2016">_xlfn.XLOOKUP($A2016, 'Customer Names'!$A:$A, 'Customer Names'!B:B, "No Data")</f>
        <v>Pitman</v>
      </c>
      <c r="C2016" s="28">
        <f t="array" ref="C2016">_xlfn.XLOOKUP($A2016, 'Medical Examinations'!$A:$A, 'Medical Examinations'!B:B, "No Data")</f>
        <v>31.79</v>
      </c>
      <c r="D2016" s="28">
        <f t="array" ref="D2016">_xlfn.XLOOKUP($A2016, 'Medical Examinations'!$A:$A, 'Medical Examinations'!C:C, "No Data")</f>
        <v>7.09</v>
      </c>
      <c r="E2016" s="28" t="str">
        <f t="array" ref="E2016">_xlfn.XLOOKUP($A2016, 'Medical Examinations'!$A:$A, 'Medical Examinations'!D:D, "No Data")</f>
        <v>No</v>
      </c>
      <c r="F2016" s="28" t="str">
        <f t="array" ref="F2016">_xlfn.XLOOKUP($A2016, 'Medical Examinations'!$A:$A, 'Medical Examinations'!E:E, "No Data")</f>
        <v>No</v>
      </c>
      <c r="G2016" s="28" t="str">
        <f t="array" ref="G2016">_xlfn.XLOOKUP($A2016, 'Medical Examinations'!$A:$A, 'Medical Examinations'!F:F, "No Data")</f>
        <v>No</v>
      </c>
      <c r="H2016" s="28">
        <f t="array" ref="H2016">_xlfn.XLOOKUP($A2016, 'Medical Examinations'!$A:$A, 'Medical Examinations'!G:G, "No Data")</f>
        <v>0</v>
      </c>
      <c r="I2016" s="28" t="str">
        <f t="array" ref="I2016">_xlfn.XLOOKUP($A2016, 'Medical Examinations'!$A:$A, 'Medical Examinations'!H:H, "No Data")</f>
        <v>No</v>
      </c>
      <c r="J2016" s="28" t="str">
        <f t="array" ref="J2016">_xlfn.XLOOKUP($A2016, 'Medical Examinations'!$A:$A, 'Medical Examinations'!I:I, "No Data")</f>
        <v>Obesity</v>
      </c>
      <c r="K2016" s="28" t="str">
        <f t="array" ref="K2016">_xlfn.XLOOKUP($A2016, 'Hospitalisation Details'!$A:$A, 'Hospitalisation Details'!I:I, "No Data")</f>
        <v>tier - 3</v>
      </c>
      <c r="L2016" s="28" t="str">
        <f t="array" ref="L2016">_xlfn.XLOOKUP($A2016, 'Hospitalisation Details'!$A:$A, 'Hospitalisation Details'!J:J, "No Data")</f>
        <v>R1013</v>
      </c>
      <c r="M2016" s="28" t="str">
        <f t="array" ref="M2016">_xlfn.XLOOKUP($A2016, 'Hospitalisation Details'!$A:$A, 'Hospitalisation Details'!E:E, "No Data")</f>
        <v>21/06/02</v>
      </c>
      <c r="N2016" s="28">
        <f t="array" ref="N2016">_xlfn.XLOOKUP($A2016, 'Hospitalisation Details'!$A:$A, 'Hospitalisation Details'!K:K, "No Data")</f>
        <v>20</v>
      </c>
      <c r="O2016" s="33">
        <f t="array" ref="O2016">_xlfn.XLOOKUP($A2016, 'Hospitalisation Details'!$A:$A, 'Hospitalisation Details'!G:G, "No Data")</f>
        <v>3056.39</v>
      </c>
      <c r="P2016" s="28" t="str">
        <f t="array" ref="P2016">_xlfn.XLOOKUP($A2016, 'Hospitalisation Details'!$A:$A, 'Hospitalisation Details'!H:H, "No Data")</f>
        <v>tier - 2</v>
      </c>
    </row>
    <row r="2017">
      <c r="A2017" s="25" t="s">
        <v>2593</v>
      </c>
      <c r="B2017" s="28" t="str">
        <f t="array" ref="B2017">_xlfn.XLOOKUP($A2017, 'Customer Names'!$A:$A, 'Customer Names'!B:B, "No Data")</f>
        <v>Curley</v>
      </c>
      <c r="C2017" s="28">
        <f t="array" ref="C2017">_xlfn.XLOOKUP($A2017, 'Medical Examinations'!$A:$A, 'Medical Examinations'!B:B, "No Data")</f>
        <v>28.48</v>
      </c>
      <c r="D2017" s="28">
        <f t="array" ref="D2017">_xlfn.XLOOKUP($A2017, 'Medical Examinations'!$A:$A, 'Medical Examinations'!C:C, "No Data")</f>
        <v>6.22</v>
      </c>
      <c r="E2017" s="28" t="str">
        <f t="array" ref="E2017">_xlfn.XLOOKUP($A2017, 'Medical Examinations'!$A:$A, 'Medical Examinations'!D:D, "No Data")</f>
        <v>yes</v>
      </c>
      <c r="F2017" s="28" t="str">
        <f t="array" ref="F2017">_xlfn.XLOOKUP($A2017, 'Medical Examinations'!$A:$A, 'Medical Examinations'!E:E, "No Data")</f>
        <v>No</v>
      </c>
      <c r="G2017" s="28" t="str">
        <f t="array" ref="G2017">_xlfn.XLOOKUP($A2017, 'Medical Examinations'!$A:$A, 'Medical Examinations'!F:F, "No Data")</f>
        <v>Yes</v>
      </c>
      <c r="H2017" s="28">
        <f t="array" ref="H2017">_xlfn.XLOOKUP($A2017, 'Medical Examinations'!$A:$A, 'Medical Examinations'!G:G, "No Data")</f>
        <v>1</v>
      </c>
      <c r="I2017" s="28" t="str">
        <f t="array" ref="I2017">_xlfn.XLOOKUP($A2017, 'Medical Examinations'!$A:$A, 'Medical Examinations'!H:H, "No Data")</f>
        <v>No</v>
      </c>
      <c r="J2017" s="28" t="str">
        <f t="array" ref="J2017">_xlfn.XLOOKUP($A2017, 'Medical Examinations'!$A:$A, 'Medical Examinations'!I:I, "No Data")</f>
        <v>Overweight</v>
      </c>
      <c r="K2017" s="28" t="str">
        <f t="array" ref="K2017">_xlfn.XLOOKUP($A2017, 'Hospitalisation Details'!$A:$A, 'Hospitalisation Details'!I:I, "No Data")</f>
        <v>tier - 2</v>
      </c>
      <c r="L2017" s="28" t="str">
        <f t="array" ref="L2017">_xlfn.XLOOKUP($A2017, 'Hospitalisation Details'!$A:$A, 'Hospitalisation Details'!J:J, "No Data")</f>
        <v>R1011</v>
      </c>
      <c r="M2017" s="28" t="str">
        <f t="array" ref="M2017">_xlfn.XLOOKUP($A2017, 'Hospitalisation Details'!$A:$A, 'Hospitalisation Details'!E:E, "No Data")</f>
        <v>22/12/97</v>
      </c>
      <c r="N2017" s="28">
        <f t="array" ref="N2017">_xlfn.XLOOKUP($A2017, 'Hospitalisation Details'!$A:$A, 'Hospitalisation Details'!K:K, "No Data")</f>
        <v>25</v>
      </c>
      <c r="O2017" s="33">
        <f t="array" ref="O2017">_xlfn.XLOOKUP($A2017, 'Hospitalisation Details'!$A:$A, 'Hospitalisation Details'!G:G, "No Data")</f>
        <v>3051.73</v>
      </c>
      <c r="P2017" s="28" t="str">
        <f t="array" ref="P2017">_xlfn.XLOOKUP($A2017, 'Hospitalisation Details'!$A:$A, 'Hospitalisation Details'!H:H, "No Data")</f>
        <v>tier - 2</v>
      </c>
    </row>
    <row r="2018">
      <c r="A2018" s="25" t="s">
        <v>2588</v>
      </c>
      <c r="B2018" s="28" t="str">
        <f t="array" ref="B2018">_xlfn.XLOOKUP($A2018, 'Customer Names'!$A:$A, 'Customer Names'!B:B, "No Data")</f>
        <v>Zimmer</v>
      </c>
      <c r="C2018" s="28">
        <f t="array" ref="C2018">_xlfn.XLOOKUP($A2018, 'Medical Examinations'!$A:$A, 'Medical Examinations'!B:B, "No Data")</f>
        <v>26.6</v>
      </c>
      <c r="D2018" s="28">
        <f t="array" ref="D2018">_xlfn.XLOOKUP($A2018, 'Medical Examinations'!$A:$A, 'Medical Examinations'!C:C, "No Data")</f>
        <v>4.33</v>
      </c>
      <c r="E2018" s="28" t="str">
        <f t="array" ref="E2018">_xlfn.XLOOKUP($A2018, 'Medical Examinations'!$A:$A, 'Medical Examinations'!D:D, "No Data")</f>
        <v>No</v>
      </c>
      <c r="F2018" s="28" t="str">
        <f t="array" ref="F2018">_xlfn.XLOOKUP($A2018, 'Medical Examinations'!$A:$A, 'Medical Examinations'!E:E, "No Data")</f>
        <v>No</v>
      </c>
      <c r="G2018" s="28" t="str">
        <f t="array" ref="G2018">_xlfn.XLOOKUP($A2018, 'Medical Examinations'!$A:$A, 'Medical Examinations'!F:F, "No Data")</f>
        <v>No</v>
      </c>
      <c r="H2018" s="28">
        <f t="array" ref="H2018">_xlfn.XLOOKUP($A2018, 'Medical Examinations'!$A:$A, 'Medical Examinations'!G:G, "No Data")</f>
        <v>1</v>
      </c>
      <c r="I2018" s="28" t="str">
        <f t="array" ref="I2018">_xlfn.XLOOKUP($A2018, 'Medical Examinations'!$A:$A, 'Medical Examinations'!H:H, "No Data")</f>
        <v>No</v>
      </c>
      <c r="J2018" s="28" t="str">
        <f t="array" ref="J2018">_xlfn.XLOOKUP($A2018, 'Medical Examinations'!$A:$A, 'Medical Examinations'!I:I, "No Data")</f>
        <v>Overweight</v>
      </c>
      <c r="K2018" s="28" t="str">
        <f t="array" ref="K2018">_xlfn.XLOOKUP($A2018, 'Hospitalisation Details'!$A:$A, 'Hospitalisation Details'!I:I, "No Data")</f>
        <v>tier - 1</v>
      </c>
      <c r="L2018" s="28" t="str">
        <f t="array" ref="L2018">_xlfn.XLOOKUP($A2018, 'Hospitalisation Details'!$A:$A, 'Hospitalisation Details'!J:J, "No Data")</f>
        <v>R1023</v>
      </c>
      <c r="M2018" s="28" t="str">
        <f t="array" ref="M2018">_xlfn.XLOOKUP($A2018, 'Hospitalisation Details'!$A:$A, 'Hospitalisation Details'!E:E, "No Data")</f>
        <v>09/08/98</v>
      </c>
      <c r="N2018" s="28">
        <f t="array" ref="N2018">_xlfn.XLOOKUP($A2018, 'Hospitalisation Details'!$A:$A, 'Hospitalisation Details'!K:K, "No Data")</f>
        <v>24</v>
      </c>
      <c r="O2018" s="33">
        <f t="array" ref="O2018">_xlfn.XLOOKUP($A2018, 'Hospitalisation Details'!$A:$A, 'Hospitalisation Details'!G:G, "No Data")</f>
        <v>3046.06</v>
      </c>
      <c r="P2018" s="28" t="str">
        <f t="array" ref="P2018">_xlfn.XLOOKUP($A2018, 'Hospitalisation Details'!$A:$A, 'Hospitalisation Details'!H:H, "No Data")</f>
        <v>tier - 2</v>
      </c>
    </row>
    <row r="2019">
      <c r="A2019" s="25" t="s">
        <v>2584</v>
      </c>
      <c r="B2019" s="28" t="str">
        <f t="array" ref="B2019">_xlfn.XLOOKUP($A2019, 'Customer Names'!$A:$A, 'Customer Names'!B:B, "No Data")</f>
        <v>Granski</v>
      </c>
      <c r="C2019" s="28">
        <f t="array" ref="C2019">_xlfn.XLOOKUP($A2019, 'Medical Examinations'!$A:$A, 'Medical Examinations'!B:B, "No Data")</f>
        <v>25.27</v>
      </c>
      <c r="D2019" s="28">
        <f t="array" ref="D2019">_xlfn.XLOOKUP($A2019, 'Medical Examinations'!$A:$A, 'Medical Examinations'!C:C, "No Data")</f>
        <v>5.83</v>
      </c>
      <c r="E2019" s="28" t="str">
        <f t="array" ref="E2019">_xlfn.XLOOKUP($A2019, 'Medical Examinations'!$A:$A, 'Medical Examinations'!D:D, "No Data")</f>
        <v>No</v>
      </c>
      <c r="F2019" s="28" t="str">
        <f t="array" ref="F2019">_xlfn.XLOOKUP($A2019, 'Medical Examinations'!$A:$A, 'Medical Examinations'!E:E, "No Data")</f>
        <v>No</v>
      </c>
      <c r="G2019" s="28" t="str">
        <f t="array" ref="G2019">_xlfn.XLOOKUP($A2019, 'Medical Examinations'!$A:$A, 'Medical Examinations'!F:F, "No Data")</f>
        <v>No</v>
      </c>
      <c r="H2019" s="28">
        <f t="array" ref="H2019">_xlfn.XLOOKUP($A2019, 'Medical Examinations'!$A:$A, 'Medical Examinations'!G:G, "No Data")</f>
        <v>1</v>
      </c>
      <c r="I2019" s="28" t="str">
        <f t="array" ref="I2019">_xlfn.XLOOKUP($A2019, 'Medical Examinations'!$A:$A, 'Medical Examinations'!H:H, "No Data")</f>
        <v>No</v>
      </c>
      <c r="J2019" s="28" t="str">
        <f t="array" ref="J2019">_xlfn.XLOOKUP($A2019, 'Medical Examinations'!$A:$A, 'Medical Examinations'!I:I, "No Data")</f>
        <v>Overweight</v>
      </c>
      <c r="K2019" s="28" t="str">
        <f t="array" ref="K2019">_xlfn.XLOOKUP($A2019, 'Hospitalisation Details'!$A:$A, 'Hospitalisation Details'!I:I, "No Data")</f>
        <v>tier - 3</v>
      </c>
      <c r="L2019" s="28" t="str">
        <f t="array" ref="L2019">_xlfn.XLOOKUP($A2019, 'Hospitalisation Details'!$A:$A, 'Hospitalisation Details'!J:J, "No Data")</f>
        <v>R1024</v>
      </c>
      <c r="M2019" s="28" t="str">
        <f t="array" ref="M2019">_xlfn.XLOOKUP($A2019, 'Hospitalisation Details'!$A:$A, 'Hospitalisation Details'!E:E, "No Data")</f>
        <v>15/09/98</v>
      </c>
      <c r="N2019" s="28">
        <f t="array" ref="N2019">_xlfn.XLOOKUP($A2019, 'Hospitalisation Details'!$A:$A, 'Hospitalisation Details'!K:K, "No Data")</f>
        <v>24</v>
      </c>
      <c r="O2019" s="33">
        <f t="array" ref="O2019">_xlfn.XLOOKUP($A2019, 'Hospitalisation Details'!$A:$A, 'Hospitalisation Details'!G:G, "No Data")</f>
        <v>3044.21</v>
      </c>
      <c r="P2019" s="28" t="str">
        <f t="array" ref="P2019">_xlfn.XLOOKUP($A2019, 'Hospitalisation Details'!$A:$A, 'Hospitalisation Details'!H:H, "No Data")</f>
        <v>tier - 2</v>
      </c>
    </row>
    <row r="2020">
      <c r="A2020" s="25" t="s">
        <v>2578</v>
      </c>
      <c r="B2020" s="28" t="str">
        <f t="array" ref="B2020">_xlfn.XLOOKUP($A2020, 'Customer Names'!$A:$A, 'Customer Names'!B:B, "No Data")</f>
        <v>Dunn</v>
      </c>
      <c r="C2020" s="28">
        <f t="array" ref="C2020">_xlfn.XLOOKUP($A2020, 'Medical Examinations'!$A:$A, 'Medical Examinations'!B:B, "No Data")</f>
        <v>34.485</v>
      </c>
      <c r="D2020" s="28">
        <f t="array" ref="D2020">_xlfn.XLOOKUP($A2020, 'Medical Examinations'!$A:$A, 'Medical Examinations'!C:C, "No Data")</f>
        <v>4.7</v>
      </c>
      <c r="E2020" s="28" t="str">
        <f t="array" ref="E2020">_xlfn.XLOOKUP($A2020, 'Medical Examinations'!$A:$A, 'Medical Examinations'!D:D, "No Data")</f>
        <v>yes</v>
      </c>
      <c r="F2020" s="28" t="str">
        <f t="array" ref="F2020">_xlfn.XLOOKUP($A2020, 'Medical Examinations'!$A:$A, 'Medical Examinations'!E:E, "No Data")</f>
        <v>No</v>
      </c>
      <c r="G2020" s="28" t="str">
        <f t="array" ref="G2020">_xlfn.XLOOKUP($A2020, 'Medical Examinations'!$A:$A, 'Medical Examinations'!F:F, "No Data")</f>
        <v>Yes</v>
      </c>
      <c r="H2020" s="28">
        <f t="array" ref="H2020">_xlfn.XLOOKUP($A2020, 'Medical Examinations'!$A:$A, 'Medical Examinations'!G:G, "No Data")</f>
        <v>1</v>
      </c>
      <c r="I2020" s="28" t="str">
        <f t="array" ref="I2020">_xlfn.XLOOKUP($A2020, 'Medical Examinations'!$A:$A, 'Medical Examinations'!H:H, "No Data")</f>
        <v>No</v>
      </c>
      <c r="J2020" s="28" t="str">
        <f t="array" ref="J2020">_xlfn.XLOOKUP($A2020, 'Medical Examinations'!$A:$A, 'Medical Examinations'!I:I, "No Data")</f>
        <v>Obesity</v>
      </c>
      <c r="K2020" s="28" t="str">
        <f t="array" ref="K2020">_xlfn.XLOOKUP($A2020, 'Hospitalisation Details'!$A:$A, 'Hospitalisation Details'!I:I, "No Data")</f>
        <v>tier - 3</v>
      </c>
      <c r="L2020" s="28" t="str">
        <f t="array" ref="L2020">_xlfn.XLOOKUP($A2020, 'Hospitalisation Details'!$A:$A, 'Hospitalisation Details'!J:J, "No Data")</f>
        <v>R1012</v>
      </c>
      <c r="M2020" s="28" t="str">
        <f t="array" ref="M2020">_xlfn.XLOOKUP($A2020, 'Hospitalisation Details'!$A:$A, 'Hospitalisation Details'!E:E, "No Data")</f>
        <v>19/12/97</v>
      </c>
      <c r="N2020" s="28">
        <f t="array" ref="N2020">_xlfn.XLOOKUP($A2020, 'Hospitalisation Details'!$A:$A, 'Hospitalisation Details'!K:K, "No Data")</f>
        <v>25</v>
      </c>
      <c r="O2020" s="33">
        <f t="array" ref="O2020">_xlfn.XLOOKUP($A2020, 'Hospitalisation Details'!$A:$A, 'Hospitalisation Details'!G:G, "No Data")</f>
        <v>3021.81</v>
      </c>
      <c r="P2020" s="28" t="str">
        <f t="array" ref="P2020">_xlfn.XLOOKUP($A2020, 'Hospitalisation Details'!$A:$A, 'Hospitalisation Details'!H:H, "No Data")</f>
        <v>tier - 2</v>
      </c>
    </row>
    <row r="2021">
      <c r="A2021" s="25" t="s">
        <v>2572</v>
      </c>
      <c r="B2021" s="28" t="str">
        <f t="array" ref="B2021">_xlfn.XLOOKUP($A2021, 'Customer Names'!$A:$A, 'Customer Names'!B:B, "No Data")</f>
        <v>Regina</v>
      </c>
      <c r="C2021" s="28">
        <f t="array" ref="C2021">_xlfn.XLOOKUP($A2021, 'Medical Examinations'!$A:$A, 'Medical Examinations'!B:B, "No Data")</f>
        <v>15.57</v>
      </c>
      <c r="D2021" s="28">
        <f t="array" ref="D2021">_xlfn.XLOOKUP($A2021, 'Medical Examinations'!$A:$A, 'Medical Examinations'!C:C, "No Data")</f>
        <v>4.07</v>
      </c>
      <c r="E2021" s="28" t="str">
        <f t="array" ref="E2021">_xlfn.XLOOKUP($A2021, 'Medical Examinations'!$A:$A, 'Medical Examinations'!D:D, "No Data")</f>
        <v>yes</v>
      </c>
      <c r="F2021" s="28" t="str">
        <f t="array" ref="F2021">_xlfn.XLOOKUP($A2021, 'Medical Examinations'!$A:$A, 'Medical Examinations'!E:E, "No Data")</f>
        <v>No</v>
      </c>
      <c r="G2021" s="28" t="str">
        <f t="array" ref="G2021">_xlfn.XLOOKUP($A2021, 'Medical Examinations'!$A:$A, 'Medical Examinations'!F:F, "No Data")</f>
        <v>No</v>
      </c>
      <c r="H2021" s="28">
        <f t="array" ref="H2021">_xlfn.XLOOKUP($A2021, 'Medical Examinations'!$A:$A, 'Medical Examinations'!G:G, "No Data")</f>
        <v>1</v>
      </c>
      <c r="I2021" s="28" t="str">
        <f t="array" ref="I2021">_xlfn.XLOOKUP($A2021, 'Medical Examinations'!$A:$A, 'Medical Examinations'!H:H, "No Data")</f>
        <v>No</v>
      </c>
      <c r="J2021" s="28" t="str">
        <f t="array" ref="J2021">_xlfn.XLOOKUP($A2021, 'Medical Examinations'!$A:$A, 'Medical Examinations'!I:I, "No Data")</f>
        <v>Underweight</v>
      </c>
      <c r="K2021" s="28" t="str">
        <f t="array" ref="K2021">_xlfn.XLOOKUP($A2021, 'Hospitalisation Details'!$A:$A, 'Hospitalisation Details'!I:I, "No Data")</f>
        <v>tier - 2</v>
      </c>
      <c r="L2021" s="28" t="str">
        <f t="array" ref="L2021">_xlfn.XLOOKUP($A2021, 'Hospitalisation Details'!$A:$A, 'Hospitalisation Details'!J:J, "No Data")</f>
        <v>R1012</v>
      </c>
      <c r="M2021" s="28" t="str">
        <f t="array" ref="M2021">_xlfn.XLOOKUP($A2021, 'Hospitalisation Details'!$A:$A, 'Hospitalisation Details'!E:E, "No Data")</f>
        <v>28/09/88</v>
      </c>
      <c r="N2021" s="28">
        <f t="array" ref="N2021">_xlfn.XLOOKUP($A2021, 'Hospitalisation Details'!$A:$A, 'Hospitalisation Details'!K:K, "No Data")</f>
        <v>34</v>
      </c>
      <c r="O2021" s="33">
        <f t="array" ref="O2021">_xlfn.XLOOKUP($A2021, 'Hospitalisation Details'!$A:$A, 'Hospitalisation Details'!G:G, "No Data")</f>
        <v>3018.04</v>
      </c>
      <c r="P2021" s="28" t="str">
        <f t="array" ref="P2021">_xlfn.XLOOKUP($A2021, 'Hospitalisation Details'!$A:$A, 'Hospitalisation Details'!H:H, "No Data")</f>
        <v>tier - 2</v>
      </c>
    </row>
    <row r="2022">
      <c r="A2022" s="25" t="s">
        <v>2567</v>
      </c>
      <c r="B2022" s="28" t="str">
        <f t="array" ref="B2022">_xlfn.XLOOKUP($A2022, 'Customer Names'!$A:$A, 'Customer Names'!B:B, "No Data")</f>
        <v>O'Connor</v>
      </c>
      <c r="C2022" s="28">
        <f t="array" ref="C2022">_xlfn.XLOOKUP($A2022, 'Medical Examinations'!$A:$A, 'Medical Examinations'!B:B, "No Data")</f>
        <v>30.36</v>
      </c>
      <c r="D2022" s="28">
        <f t="array" ref="D2022">_xlfn.XLOOKUP($A2022, 'Medical Examinations'!$A:$A, 'Medical Examinations'!C:C, "No Data")</f>
        <v>9.39</v>
      </c>
      <c r="E2022" s="28" t="str">
        <f t="array" ref="E2022">_xlfn.XLOOKUP($A2022, 'Medical Examinations'!$A:$A, 'Medical Examinations'!D:D, "No Data")</f>
        <v>No</v>
      </c>
      <c r="F2022" s="28" t="str">
        <f t="array" ref="F2022">_xlfn.XLOOKUP($A2022, 'Medical Examinations'!$A:$A, 'Medical Examinations'!E:E, "No Data")</f>
        <v>No</v>
      </c>
      <c r="G2022" s="28" t="str">
        <f t="array" ref="G2022">_xlfn.XLOOKUP($A2022, 'Medical Examinations'!$A:$A, 'Medical Examinations'!F:F, "No Data")</f>
        <v>No</v>
      </c>
      <c r="H2022" s="28">
        <f t="array" ref="H2022">_xlfn.XLOOKUP($A2022, 'Medical Examinations'!$A:$A, 'Medical Examinations'!G:G, "No Data")</f>
        <v>0</v>
      </c>
      <c r="I2022" s="28" t="str">
        <f t="array" ref="I2022">_xlfn.XLOOKUP($A2022, 'Medical Examinations'!$A:$A, 'Medical Examinations'!H:H, "No Data")</f>
        <v>No</v>
      </c>
      <c r="J2022" s="28" t="str">
        <f t="array" ref="J2022">_xlfn.XLOOKUP($A2022, 'Medical Examinations'!$A:$A, 'Medical Examinations'!I:I, "No Data")</f>
        <v>Obesity</v>
      </c>
      <c r="K2022" s="28" t="str">
        <f t="array" ref="K2022">_xlfn.XLOOKUP($A2022, 'Hospitalisation Details'!$A:$A, 'Hospitalisation Details'!I:I, "No Data")</f>
        <v>tier - 3</v>
      </c>
      <c r="L2022" s="28" t="str">
        <f t="array" ref="L2022">_xlfn.XLOOKUP($A2022, 'Hospitalisation Details'!$A:$A, 'Hospitalisation Details'!J:J, "No Data")</f>
        <v>R1012</v>
      </c>
      <c r="M2022" s="28" t="str">
        <f t="array" ref="M2022">_xlfn.XLOOKUP($A2022, 'Hospitalisation Details'!$A:$A, 'Hospitalisation Details'!E:E, "No Data")</f>
        <v>15/12/02</v>
      </c>
      <c r="N2022" s="28">
        <f t="array" ref="N2022">_xlfn.XLOOKUP($A2022, 'Hospitalisation Details'!$A:$A, 'Hospitalisation Details'!K:K, "No Data")</f>
        <v>20</v>
      </c>
      <c r="O2022" s="33">
        <f t="array" ref="O2022">_xlfn.XLOOKUP($A2022, 'Hospitalisation Details'!$A:$A, 'Hospitalisation Details'!G:G, "No Data")</f>
        <v>3012.22</v>
      </c>
      <c r="P2022" s="28" t="str">
        <f t="array" ref="P2022">_xlfn.XLOOKUP($A2022, 'Hospitalisation Details'!$A:$A, 'Hospitalisation Details'!H:H, "No Data")</f>
        <v>tier - 2</v>
      </c>
    </row>
    <row r="2023">
      <c r="A2023" s="25" t="s">
        <v>2563</v>
      </c>
      <c r="B2023" s="28" t="str">
        <f t="array" ref="B2023">_xlfn.XLOOKUP($A2023, 'Customer Names'!$A:$A, 'Customer Names'!B:B, "No Data")</f>
        <v>Howe</v>
      </c>
      <c r="C2023" s="28">
        <f t="array" ref="C2023">_xlfn.XLOOKUP($A2023, 'Medical Examinations'!$A:$A, 'Medical Examinations'!B:B, "No Data")</f>
        <v>19.37</v>
      </c>
      <c r="D2023" s="28">
        <f t="array" ref="D2023">_xlfn.XLOOKUP($A2023, 'Medical Examinations'!$A:$A, 'Medical Examinations'!C:C, "No Data")</f>
        <v>4.18</v>
      </c>
      <c r="E2023" s="28" t="str">
        <f t="array" ref="E2023">_xlfn.XLOOKUP($A2023, 'Medical Examinations'!$A:$A, 'Medical Examinations'!D:D, "No Data")</f>
        <v>No</v>
      </c>
      <c r="F2023" s="28" t="str">
        <f t="array" ref="F2023">_xlfn.XLOOKUP($A2023, 'Medical Examinations'!$A:$A, 'Medical Examinations'!E:E, "No Data")</f>
        <v>No</v>
      </c>
      <c r="G2023" s="28" t="str">
        <f t="array" ref="G2023">_xlfn.XLOOKUP($A2023, 'Medical Examinations'!$A:$A, 'Medical Examinations'!F:F, "No Data")</f>
        <v>No</v>
      </c>
      <c r="H2023" s="28">
        <f t="array" ref="H2023">_xlfn.XLOOKUP($A2023, 'Medical Examinations'!$A:$A, 'Medical Examinations'!G:G, "No Data")</f>
        <v>0</v>
      </c>
      <c r="I2023" s="28" t="str">
        <f t="array" ref="I2023">_xlfn.XLOOKUP($A2023, 'Medical Examinations'!$A:$A, 'Medical Examinations'!H:H, "No Data")</f>
        <v>No</v>
      </c>
      <c r="J2023" s="28" t="str">
        <f t="array" ref="J2023">_xlfn.XLOOKUP($A2023, 'Medical Examinations'!$A:$A, 'Medical Examinations'!I:I, "No Data")</f>
        <v>Normal Weight</v>
      </c>
      <c r="K2023" s="28" t="str">
        <f t="array" ref="K2023">_xlfn.XLOOKUP($A2023, 'Hospitalisation Details'!$A:$A, 'Hospitalisation Details'!I:I, "No Data")</f>
        <v>tier - 2</v>
      </c>
      <c r="L2023" s="28" t="str">
        <f t="array" ref="L2023">_xlfn.XLOOKUP($A2023, 'Hospitalisation Details'!$A:$A, 'Hospitalisation Details'!J:J, "No Data")</f>
        <v>R1013</v>
      </c>
      <c r="M2023" s="28" t="str">
        <f t="array" ref="M2023">_xlfn.XLOOKUP($A2023, 'Hospitalisation Details'!$A:$A, 'Hospitalisation Details'!E:E, "No Data")</f>
        <v>20/11/91</v>
      </c>
      <c r="N2023" s="28">
        <f t="array" ref="N2023">_xlfn.XLOOKUP($A2023, 'Hospitalisation Details'!$A:$A, 'Hospitalisation Details'!K:K, "No Data")</f>
        <v>31</v>
      </c>
      <c r="O2023" s="33">
        <f t="array" ref="O2023">_xlfn.XLOOKUP($A2023, 'Hospitalisation Details'!$A:$A, 'Hospitalisation Details'!G:G, "No Data")</f>
        <v>2985.67</v>
      </c>
      <c r="P2023" s="28" t="str">
        <f t="array" ref="P2023">_xlfn.XLOOKUP($A2023, 'Hospitalisation Details'!$A:$A, 'Hospitalisation Details'!H:H, "No Data")</f>
        <v>tier - 2</v>
      </c>
    </row>
    <row r="2024">
      <c r="A2024" s="25" t="s">
        <v>2559</v>
      </c>
      <c r="B2024" s="28" t="str">
        <f t="array" ref="B2024">_xlfn.XLOOKUP($A2024, 'Customer Names'!$A:$A, 'Customer Names'!B:B, "No Data")</f>
        <v>Atwater</v>
      </c>
      <c r="C2024" s="28">
        <f t="array" ref="C2024">_xlfn.XLOOKUP($A2024, 'Medical Examinations'!$A:$A, 'Medical Examinations'!B:B, "No Data")</f>
        <v>16.71</v>
      </c>
      <c r="D2024" s="28">
        <f t="array" ref="D2024">_xlfn.XLOOKUP($A2024, 'Medical Examinations'!$A:$A, 'Medical Examinations'!C:C, "No Data")</f>
        <v>4.18</v>
      </c>
      <c r="E2024" s="28" t="str">
        <f t="array" ref="E2024">_xlfn.XLOOKUP($A2024, 'Medical Examinations'!$A:$A, 'Medical Examinations'!D:D, "No Data")</f>
        <v>No</v>
      </c>
      <c r="F2024" s="28" t="str">
        <f t="array" ref="F2024">_xlfn.XLOOKUP($A2024, 'Medical Examinations'!$A:$A, 'Medical Examinations'!E:E, "No Data")</f>
        <v>No</v>
      </c>
      <c r="G2024" s="28" t="str">
        <f t="array" ref="G2024">_xlfn.XLOOKUP($A2024, 'Medical Examinations'!$A:$A, 'Medical Examinations'!F:F, "No Data")</f>
        <v>No</v>
      </c>
      <c r="H2024" s="28">
        <f t="array" ref="H2024">_xlfn.XLOOKUP($A2024, 'Medical Examinations'!$A:$A, 'Medical Examinations'!G:G, "No Data")</f>
        <v>1</v>
      </c>
      <c r="I2024" s="28" t="str">
        <f t="array" ref="I2024">_xlfn.XLOOKUP($A2024, 'Medical Examinations'!$A:$A, 'Medical Examinations'!H:H, "No Data")</f>
        <v>No</v>
      </c>
      <c r="J2024" s="28" t="str">
        <f t="array" ref="J2024">_xlfn.XLOOKUP($A2024, 'Medical Examinations'!$A:$A, 'Medical Examinations'!I:I, "No Data")</f>
        <v>Underweight</v>
      </c>
      <c r="K2024" s="28" t="str">
        <f t="array" ref="K2024">_xlfn.XLOOKUP($A2024, 'Hospitalisation Details'!$A:$A, 'Hospitalisation Details'!I:I, "No Data")</f>
        <v>tier - 3</v>
      </c>
      <c r="L2024" s="28" t="str">
        <f t="array" ref="L2024">_xlfn.XLOOKUP($A2024, 'Hospitalisation Details'!$A:$A, 'Hospitalisation Details'!J:J, "No Data")</f>
        <v>R1013</v>
      </c>
      <c r="M2024" s="28" t="str">
        <f t="array" ref="M2024">_xlfn.XLOOKUP($A2024, 'Hospitalisation Details'!$A:$A, 'Hospitalisation Details'!E:E, "No Data")</f>
        <v>18/06/87</v>
      </c>
      <c r="N2024" s="28">
        <f t="array" ref="N2024">_xlfn.XLOOKUP($A2024, 'Hospitalisation Details'!$A:$A, 'Hospitalisation Details'!K:K, "No Data")</f>
        <v>35</v>
      </c>
      <c r="O2024" s="33">
        <f t="array" ref="O2024">_xlfn.XLOOKUP($A2024, 'Hospitalisation Details'!$A:$A, 'Hospitalisation Details'!G:G, "No Data")</f>
        <v>2979.52</v>
      </c>
      <c r="P2024" s="28" t="str">
        <f t="array" ref="P2024">_xlfn.XLOOKUP($A2024, 'Hospitalisation Details'!$A:$A, 'Hospitalisation Details'!H:H, "No Data")</f>
        <v>tier - 2</v>
      </c>
    </row>
    <row r="2025">
      <c r="A2025" s="25" t="s">
        <v>2554</v>
      </c>
      <c r="B2025" s="28" t="str">
        <f t="array" ref="B2025">_xlfn.XLOOKUP($A2025, 'Customer Names'!$A:$A, 'Customer Names'!B:B, "No Data")</f>
        <v>Gurganus</v>
      </c>
      <c r="C2025" s="28">
        <f t="array" ref="C2025">_xlfn.XLOOKUP($A2025, 'Medical Examinations'!$A:$A, 'Medical Examinations'!B:B, "No Data")</f>
        <v>24.1</v>
      </c>
      <c r="D2025" s="28">
        <f t="array" ref="D2025">_xlfn.XLOOKUP($A2025, 'Medical Examinations'!$A:$A, 'Medical Examinations'!C:C, "No Data")</f>
        <v>4.4</v>
      </c>
      <c r="E2025" s="28" t="str">
        <f t="array" ref="E2025">_xlfn.XLOOKUP($A2025, 'Medical Examinations'!$A:$A, 'Medical Examinations'!D:D, "No Data")</f>
        <v>yes</v>
      </c>
      <c r="F2025" s="28" t="str">
        <f t="array" ref="F2025">_xlfn.XLOOKUP($A2025, 'Medical Examinations'!$A:$A, 'Medical Examinations'!E:E, "No Data")</f>
        <v>No</v>
      </c>
      <c r="G2025" s="28" t="str">
        <f t="array" ref="G2025">_xlfn.XLOOKUP($A2025, 'Medical Examinations'!$A:$A, 'Medical Examinations'!F:F, "No Data")</f>
        <v>No</v>
      </c>
      <c r="H2025" s="28">
        <f t="array" ref="H2025">_xlfn.XLOOKUP($A2025, 'Medical Examinations'!$A:$A, 'Medical Examinations'!G:G, "No Data")</f>
        <v>1</v>
      </c>
      <c r="I2025" s="28" t="str">
        <f t="array" ref="I2025">_xlfn.XLOOKUP($A2025, 'Medical Examinations'!$A:$A, 'Medical Examinations'!H:H, "No Data")</f>
        <v>No</v>
      </c>
      <c r="J2025" s="28" t="str">
        <f t="array" ref="J2025">_xlfn.XLOOKUP($A2025, 'Medical Examinations'!$A:$A, 'Medical Examinations'!I:I, "No Data")</f>
        <v>Normal Weight</v>
      </c>
      <c r="K2025" s="28" t="str">
        <f t="array" ref="K2025">_xlfn.XLOOKUP($A2025, 'Hospitalisation Details'!$A:$A, 'Hospitalisation Details'!I:I, "No Data")</f>
        <v>tier - 1</v>
      </c>
      <c r="L2025" s="28" t="str">
        <f t="array" ref="L2025">_xlfn.XLOOKUP($A2025, 'Hospitalisation Details'!$A:$A, 'Hospitalisation Details'!J:J, "No Data")</f>
        <v>R1011</v>
      </c>
      <c r="M2025" s="28" t="str">
        <f t="array" ref="M2025">_xlfn.XLOOKUP($A2025, 'Hospitalisation Details'!$A:$A, 'Hospitalisation Details'!E:E, "No Data")</f>
        <v>24/09/95</v>
      </c>
      <c r="N2025" s="28">
        <f t="array" ref="N2025">_xlfn.XLOOKUP($A2025, 'Hospitalisation Details'!$A:$A, 'Hospitalisation Details'!K:K, "No Data")</f>
        <v>27</v>
      </c>
      <c r="O2025" s="33">
        <f t="array" ref="O2025">_xlfn.XLOOKUP($A2025, 'Hospitalisation Details'!$A:$A, 'Hospitalisation Details'!G:G, "No Data")</f>
        <v>2974.13</v>
      </c>
      <c r="P2025" s="28" t="str">
        <f t="array" ref="P2025">_xlfn.XLOOKUP($A2025, 'Hospitalisation Details'!$A:$A, 'Hospitalisation Details'!H:H, "No Data")</f>
        <v>tier - 2</v>
      </c>
    </row>
    <row r="2026">
      <c r="A2026" s="25" t="s">
        <v>2549</v>
      </c>
      <c r="B2026" s="28" t="str">
        <f t="array" ref="B2026">_xlfn.XLOOKUP($A2026, 'Customer Names'!$A:$A, 'Customer Names'!B:B, "No Data")</f>
        <v>Holden</v>
      </c>
      <c r="C2026" s="28">
        <f t="array" ref="C2026">_xlfn.XLOOKUP($A2026, 'Medical Examinations'!$A:$A, 'Medical Examinations'!B:B, "No Data")</f>
        <v>29.77</v>
      </c>
      <c r="D2026" s="28">
        <f t="array" ref="D2026">_xlfn.XLOOKUP($A2026, 'Medical Examinations'!$A:$A, 'Medical Examinations'!C:C, "No Data")</f>
        <v>9.9</v>
      </c>
      <c r="E2026" s="28" t="str">
        <f t="array" ref="E2026">_xlfn.XLOOKUP($A2026, 'Medical Examinations'!$A:$A, 'Medical Examinations'!D:D, "No Data")</f>
        <v>No</v>
      </c>
      <c r="F2026" s="28" t="str">
        <f t="array" ref="F2026">_xlfn.XLOOKUP($A2026, 'Medical Examinations'!$A:$A, 'Medical Examinations'!E:E, "No Data")</f>
        <v>No</v>
      </c>
      <c r="G2026" s="28" t="str">
        <f t="array" ref="G2026">_xlfn.XLOOKUP($A2026, 'Medical Examinations'!$A:$A, 'Medical Examinations'!F:F, "No Data")</f>
        <v>No</v>
      </c>
      <c r="H2026" s="28">
        <f t="array" ref="H2026">_xlfn.XLOOKUP($A2026, 'Medical Examinations'!$A:$A, 'Medical Examinations'!G:G, "No Data")</f>
        <v>0</v>
      </c>
      <c r="I2026" s="28" t="str">
        <f t="array" ref="I2026">_xlfn.XLOOKUP($A2026, 'Medical Examinations'!$A:$A, 'Medical Examinations'!H:H, "No Data")</f>
        <v>No</v>
      </c>
      <c r="J2026" s="28" t="str">
        <f t="array" ref="J2026">_xlfn.XLOOKUP($A2026, 'Medical Examinations'!$A:$A, 'Medical Examinations'!I:I, "No Data")</f>
        <v>Overweight</v>
      </c>
      <c r="K2026" s="28" t="str">
        <f t="array" ref="K2026">_xlfn.XLOOKUP($A2026, 'Hospitalisation Details'!$A:$A, 'Hospitalisation Details'!I:I, "No Data")</f>
        <v>tier - 3</v>
      </c>
      <c r="L2026" s="28" t="str">
        <f t="array" ref="L2026">_xlfn.XLOOKUP($A2026, 'Hospitalisation Details'!$A:$A, 'Hospitalisation Details'!J:J, "No Data")</f>
        <v>R1012</v>
      </c>
      <c r="M2026" s="28" t="str">
        <f t="array" ref="M2026">_xlfn.XLOOKUP($A2026, 'Hospitalisation Details'!$A:$A, 'Hospitalisation Details'!E:E, "No Data")</f>
        <v>30/09/02</v>
      </c>
      <c r="N2026" s="28">
        <f t="array" ref="N2026">_xlfn.XLOOKUP($A2026, 'Hospitalisation Details'!$A:$A, 'Hospitalisation Details'!K:K, "No Data")</f>
        <v>20</v>
      </c>
      <c r="O2026" s="33">
        <f t="array" ref="O2026">_xlfn.XLOOKUP($A2026, 'Hospitalisation Details'!$A:$A, 'Hospitalisation Details'!G:G, "No Data")</f>
        <v>2943.41</v>
      </c>
      <c r="P2026" s="28" t="str">
        <f t="array" ref="P2026">_xlfn.XLOOKUP($A2026, 'Hospitalisation Details'!$A:$A, 'Hospitalisation Details'!H:H, "No Data")</f>
        <v>tier - 2</v>
      </c>
    </row>
    <row r="2027">
      <c r="A2027" s="25" t="s">
        <v>2548</v>
      </c>
      <c r="B2027" s="28" t="str">
        <f t="array" ref="B2027">_xlfn.XLOOKUP($A2027, 'Customer Names'!$A:$A, 'Customer Names'!B:B, "No Data")</f>
        <v>Parton</v>
      </c>
      <c r="C2027" s="28">
        <f t="array" ref="C2027">_xlfn.XLOOKUP($A2027, 'Medical Examinations'!$A:$A, 'Medical Examinations'!B:B, "No Data")</f>
        <v>46.53</v>
      </c>
      <c r="D2027" s="28">
        <f t="array" ref="D2027">_xlfn.XLOOKUP($A2027, 'Medical Examinations'!$A:$A, 'Medical Examinations'!C:C, "No Data")</f>
        <v>4.84</v>
      </c>
      <c r="E2027" s="28" t="str">
        <f t="array" ref="E2027">_xlfn.XLOOKUP($A2027, 'Medical Examinations'!$A:$A, 'Medical Examinations'!D:D, "No Data")</f>
        <v>yes</v>
      </c>
      <c r="F2027" s="28" t="str">
        <f t="array" ref="F2027">_xlfn.XLOOKUP($A2027, 'Medical Examinations'!$A:$A, 'Medical Examinations'!E:E, "No Data")</f>
        <v>No</v>
      </c>
      <c r="G2027" s="28" t="str">
        <f t="array" ref="G2027">_xlfn.XLOOKUP($A2027, 'Medical Examinations'!$A:$A, 'Medical Examinations'!F:F, "No Data")</f>
        <v>No</v>
      </c>
      <c r="H2027" s="28">
        <f t="array" ref="H2027">_xlfn.XLOOKUP($A2027, 'Medical Examinations'!$A:$A, 'Medical Examinations'!G:G, "No Data")</f>
        <v>0</v>
      </c>
      <c r="I2027" s="28" t="str">
        <f t="array" ref="I2027">_xlfn.XLOOKUP($A2027, 'Medical Examinations'!$A:$A, 'Medical Examinations'!H:H, "No Data")</f>
        <v>No</v>
      </c>
      <c r="J2027" s="28" t="str">
        <f t="array" ref="J2027">_xlfn.XLOOKUP($A2027, 'Medical Examinations'!$A:$A, 'Medical Examinations'!I:I, "No Data")</f>
        <v>Obesity</v>
      </c>
      <c r="K2027" s="28" t="str">
        <f t="array" ref="K2027">_xlfn.XLOOKUP($A2027, 'Hospitalisation Details'!$A:$A, 'Hospitalisation Details'!I:I, "No Data")</f>
        <v>tier - 2</v>
      </c>
      <c r="L2027" s="28" t="str">
        <f t="array" ref="L2027">_xlfn.XLOOKUP($A2027, 'Hospitalisation Details'!$A:$A, 'Hospitalisation Details'!J:J, "No Data")</f>
        <v>R1013</v>
      </c>
      <c r="M2027" s="28" t="str">
        <f t="array" ref="M2027">_xlfn.XLOOKUP($A2027, 'Hospitalisation Details'!$A:$A, 'Hospitalisation Details'!E:E, "No Data")</f>
        <v>30/06/96</v>
      </c>
      <c r="N2027" s="28">
        <f t="array" ref="N2027">_xlfn.XLOOKUP($A2027, 'Hospitalisation Details'!$A:$A, 'Hospitalisation Details'!K:K, "No Data")</f>
        <v>26</v>
      </c>
      <c r="O2027" s="33">
        <f t="array" ref="O2027">_xlfn.XLOOKUP($A2027, 'Hospitalisation Details'!$A:$A, 'Hospitalisation Details'!G:G, "No Data")</f>
        <v>2927.06</v>
      </c>
      <c r="P2027" s="28" t="str">
        <f t="array" ref="P2027">_xlfn.XLOOKUP($A2027, 'Hospitalisation Details'!$A:$A, 'Hospitalisation Details'!H:H, "No Data")</f>
        <v>tier - 2</v>
      </c>
    </row>
    <row r="2028">
      <c r="A2028" s="25" t="s">
        <v>2545</v>
      </c>
      <c r="B2028" s="28" t="str">
        <f t="array" ref="B2028">_xlfn.XLOOKUP($A2028, 'Customer Names'!$A:$A, 'Customer Names'!B:B, "No Data")</f>
        <v>Downs</v>
      </c>
      <c r="C2028" s="28">
        <f t="array" ref="C2028">_xlfn.XLOOKUP($A2028, 'Medical Examinations'!$A:$A, 'Medical Examinations'!B:B, "No Data")</f>
        <v>23.4</v>
      </c>
      <c r="D2028" s="28">
        <f t="array" ref="D2028">_xlfn.XLOOKUP($A2028, 'Medical Examinations'!$A:$A, 'Medical Examinations'!C:C, "No Data")</f>
        <v>5.53</v>
      </c>
      <c r="E2028" s="28" t="str">
        <f t="array" ref="E2028">_xlfn.XLOOKUP($A2028, 'Medical Examinations'!$A:$A, 'Medical Examinations'!D:D, "No Data")</f>
        <v>No</v>
      </c>
      <c r="F2028" s="28" t="str">
        <f t="array" ref="F2028">_xlfn.XLOOKUP($A2028, 'Medical Examinations'!$A:$A, 'Medical Examinations'!E:E, "No Data")</f>
        <v>No</v>
      </c>
      <c r="G2028" s="28" t="str">
        <f t="array" ref="G2028">_xlfn.XLOOKUP($A2028, 'Medical Examinations'!$A:$A, 'Medical Examinations'!F:F, "No Data")</f>
        <v>Yes</v>
      </c>
      <c r="H2028" s="28">
        <f t="array" ref="H2028">_xlfn.XLOOKUP($A2028, 'Medical Examinations'!$A:$A, 'Medical Examinations'!G:G, "No Data")</f>
        <v>1</v>
      </c>
      <c r="I2028" s="28" t="str">
        <f t="array" ref="I2028">_xlfn.XLOOKUP($A2028, 'Medical Examinations'!$A:$A, 'Medical Examinations'!H:H, "No Data")</f>
        <v>No</v>
      </c>
      <c r="J2028" s="28" t="str">
        <f t="array" ref="J2028">_xlfn.XLOOKUP($A2028, 'Medical Examinations'!$A:$A, 'Medical Examinations'!I:I, "No Data")</f>
        <v>Normal Weight</v>
      </c>
      <c r="K2028" s="28" t="str">
        <f t="array" ref="K2028">_xlfn.XLOOKUP($A2028, 'Hospitalisation Details'!$A:$A, 'Hospitalisation Details'!I:I, "No Data")</f>
        <v>tier - 2</v>
      </c>
      <c r="L2028" s="28" t="str">
        <f t="array" ref="L2028">_xlfn.XLOOKUP($A2028, 'Hospitalisation Details'!$A:$A, 'Hospitalisation Details'!J:J, "No Data")</f>
        <v>R1011</v>
      </c>
      <c r="M2028" s="28" t="str">
        <f t="array" ref="M2028">_xlfn.XLOOKUP($A2028, 'Hospitalisation Details'!$A:$A, 'Hospitalisation Details'!E:E, "No Data")</f>
        <v>05/06/03</v>
      </c>
      <c r="N2028" s="28">
        <f t="array" ref="N2028">_xlfn.XLOOKUP($A2028, 'Hospitalisation Details'!$A:$A, 'Hospitalisation Details'!K:K, "No Data")</f>
        <v>20</v>
      </c>
      <c r="O2028" s="33">
        <f t="array" ref="O2028">_xlfn.XLOOKUP($A2028, 'Hospitalisation Details'!$A:$A, 'Hospitalisation Details'!G:G, "No Data")</f>
        <v>2913.57</v>
      </c>
      <c r="P2028" s="28" t="str">
        <f t="array" ref="P2028">_xlfn.XLOOKUP($A2028, 'Hospitalisation Details'!$A:$A, 'Hospitalisation Details'!H:H, "No Data")</f>
        <v>tier - 2</v>
      </c>
    </row>
    <row r="2029">
      <c r="A2029" s="25" t="s">
        <v>2539</v>
      </c>
      <c r="B2029" s="28" t="str">
        <f t="array" ref="B2029">_xlfn.XLOOKUP($A2029, 'Customer Names'!$A:$A, 'Customer Names'!B:B, "No Data")</f>
        <v>Dent</v>
      </c>
      <c r="C2029" s="28">
        <f t="array" ref="C2029">_xlfn.XLOOKUP($A2029, 'Medical Examinations'!$A:$A, 'Medical Examinations'!B:B, "No Data")</f>
        <v>30</v>
      </c>
      <c r="D2029" s="28">
        <f t="array" ref="D2029">_xlfn.XLOOKUP($A2029, 'Medical Examinations'!$A:$A, 'Medical Examinations'!C:C, "No Data")</f>
        <v>4.33</v>
      </c>
      <c r="E2029" s="28" t="str">
        <f t="array" ref="E2029">_xlfn.XLOOKUP($A2029, 'Medical Examinations'!$A:$A, 'Medical Examinations'!D:D, "No Data")</f>
        <v>yes</v>
      </c>
      <c r="F2029" s="28" t="str">
        <f t="array" ref="F2029">_xlfn.XLOOKUP($A2029, 'Medical Examinations'!$A:$A, 'Medical Examinations'!E:E, "No Data")</f>
        <v>No</v>
      </c>
      <c r="G2029" s="28" t="str">
        <f t="array" ref="G2029">_xlfn.XLOOKUP($A2029, 'Medical Examinations'!$A:$A, 'Medical Examinations'!F:F, "No Data")</f>
        <v>No</v>
      </c>
      <c r="H2029" s="28">
        <f t="array" ref="H2029">_xlfn.XLOOKUP($A2029, 'Medical Examinations'!$A:$A, 'Medical Examinations'!G:G, "No Data")</f>
        <v>0</v>
      </c>
      <c r="I2029" s="28" t="str">
        <f t="array" ref="I2029">_xlfn.XLOOKUP($A2029, 'Medical Examinations'!$A:$A, 'Medical Examinations'!H:H, "No Data")</f>
        <v>No</v>
      </c>
      <c r="J2029" s="28" t="str">
        <f t="array" ref="J2029">_xlfn.XLOOKUP($A2029, 'Medical Examinations'!$A:$A, 'Medical Examinations'!I:I, "No Data")</f>
        <v>Obesity</v>
      </c>
      <c r="K2029" s="28" t="str">
        <f t="array" ref="K2029">_xlfn.XLOOKUP($A2029, 'Hospitalisation Details'!$A:$A, 'Hospitalisation Details'!I:I, "No Data")</f>
        <v>tier - 2</v>
      </c>
      <c r="L2029" s="28" t="str">
        <f t="array" ref="L2029">_xlfn.XLOOKUP($A2029, 'Hospitalisation Details'!$A:$A, 'Hospitalisation Details'!J:J, "No Data")</f>
        <v>R1011</v>
      </c>
      <c r="M2029" s="28" t="str">
        <f t="array" ref="M2029">_xlfn.XLOOKUP($A2029, 'Hospitalisation Details'!$A:$A, 'Hospitalisation Details'!E:E, "No Data")</f>
        <v>13/06/96</v>
      </c>
      <c r="N2029" s="28">
        <f t="array" ref="N2029">_xlfn.XLOOKUP($A2029, 'Hospitalisation Details'!$A:$A, 'Hospitalisation Details'!K:K, "No Data")</f>
        <v>26</v>
      </c>
      <c r="O2029" s="33">
        <f t="array" ref="O2029">_xlfn.XLOOKUP($A2029, 'Hospitalisation Details'!$A:$A, 'Hospitalisation Details'!G:G, "No Data")</f>
        <v>2904.09</v>
      </c>
      <c r="P2029" s="28" t="str">
        <f t="array" ref="P2029">_xlfn.XLOOKUP($A2029, 'Hospitalisation Details'!$A:$A, 'Hospitalisation Details'!H:H, "No Data")</f>
        <v>tier - 2</v>
      </c>
    </row>
    <row r="2030">
      <c r="A2030" s="25" t="s">
        <v>2533</v>
      </c>
      <c r="B2030" s="28" t="str">
        <f t="array" ref="B2030">_xlfn.XLOOKUP($A2030, 'Customer Names'!$A:$A, 'Customer Names'!B:B, "No Data")</f>
        <v>Ranti</v>
      </c>
      <c r="C2030" s="28">
        <f t="array" ref="C2030">_xlfn.XLOOKUP($A2030, 'Medical Examinations'!$A:$A, 'Medical Examinations'!B:B, "No Data")</f>
        <v>29.15</v>
      </c>
      <c r="D2030" s="28">
        <f t="array" ref="D2030">_xlfn.XLOOKUP($A2030, 'Medical Examinations'!$A:$A, 'Medical Examinations'!C:C, "No Data")</f>
        <v>4.91</v>
      </c>
      <c r="E2030" s="28" t="str">
        <f t="array" ref="E2030">_xlfn.XLOOKUP($A2030, 'Medical Examinations'!$A:$A, 'Medical Examinations'!D:D, "No Data")</f>
        <v>yes</v>
      </c>
      <c r="F2030" s="28" t="str">
        <f t="array" ref="F2030">_xlfn.XLOOKUP($A2030, 'Medical Examinations'!$A:$A, 'Medical Examinations'!E:E, "No Data")</f>
        <v>No</v>
      </c>
      <c r="G2030" s="28" t="str">
        <f t="array" ref="G2030">_xlfn.XLOOKUP($A2030, 'Medical Examinations'!$A:$A, 'Medical Examinations'!F:F, "No Data")</f>
        <v>No</v>
      </c>
      <c r="H2030" s="28">
        <f t="array" ref="H2030">_xlfn.XLOOKUP($A2030, 'Medical Examinations'!$A:$A, 'Medical Examinations'!G:G, "No Data")</f>
        <v>0</v>
      </c>
      <c r="I2030" s="28" t="str">
        <f t="array" ref="I2030">_xlfn.XLOOKUP($A2030, 'Medical Examinations'!$A:$A, 'Medical Examinations'!H:H, "No Data")</f>
        <v>No</v>
      </c>
      <c r="J2030" s="28" t="str">
        <f t="array" ref="J2030">_xlfn.XLOOKUP($A2030, 'Medical Examinations'!$A:$A, 'Medical Examinations'!I:I, "No Data")</f>
        <v>Overweight</v>
      </c>
      <c r="K2030" s="28" t="str">
        <f t="array" ref="K2030">_xlfn.XLOOKUP($A2030, 'Hospitalisation Details'!$A:$A, 'Hospitalisation Details'!I:I, "No Data")</f>
        <v>tier - 2</v>
      </c>
      <c r="L2030" s="28" t="str">
        <f t="array" ref="L2030">_xlfn.XLOOKUP($A2030, 'Hospitalisation Details'!$A:$A, 'Hospitalisation Details'!J:J, "No Data")</f>
        <v>R1013</v>
      </c>
      <c r="M2030" s="28" t="str">
        <f t="array" ref="M2030">_xlfn.XLOOKUP($A2030, 'Hospitalisation Details'!$A:$A, 'Hospitalisation Details'!E:E, "No Data")</f>
        <v>24/10/96</v>
      </c>
      <c r="N2030" s="28">
        <f t="array" ref="N2030">_xlfn.XLOOKUP($A2030, 'Hospitalisation Details'!$A:$A, 'Hospitalisation Details'!K:K, "No Data")</f>
        <v>26</v>
      </c>
      <c r="O2030" s="33">
        <f t="array" ref="O2030">_xlfn.XLOOKUP($A2030, 'Hospitalisation Details'!$A:$A, 'Hospitalisation Details'!G:G, "No Data")</f>
        <v>2902.91</v>
      </c>
      <c r="P2030" s="28" t="str">
        <f t="array" ref="P2030">_xlfn.XLOOKUP($A2030, 'Hospitalisation Details'!$A:$A, 'Hospitalisation Details'!H:H, "No Data")</f>
        <v>tier - 2</v>
      </c>
    </row>
    <row r="2031">
      <c r="A2031" s="25" t="s">
        <v>2530</v>
      </c>
      <c r="B2031" s="28" t="str">
        <f t="array" ref="B2031">_xlfn.XLOOKUP($A2031, 'Customer Names'!$A:$A, 'Customer Names'!B:B, "No Data")</f>
        <v>Ishaq</v>
      </c>
      <c r="C2031" s="28">
        <f t="array" ref="C2031">_xlfn.XLOOKUP($A2031, 'Medical Examinations'!$A:$A, 'Medical Examinations'!B:B, "No Data")</f>
        <v>34.865</v>
      </c>
      <c r="D2031" s="28">
        <f t="array" ref="D2031">_xlfn.XLOOKUP($A2031, 'Medical Examinations'!$A:$A, 'Medical Examinations'!C:C, "No Data")</f>
        <v>4.8</v>
      </c>
      <c r="E2031" s="28" t="str">
        <f t="array" ref="E2031">_xlfn.XLOOKUP($A2031, 'Medical Examinations'!$A:$A, 'Medical Examinations'!D:D, "No Data")</f>
        <v>No</v>
      </c>
      <c r="F2031" s="28" t="str">
        <f t="array" ref="F2031">_xlfn.XLOOKUP($A2031, 'Medical Examinations'!$A:$A, 'Medical Examinations'!E:E, "No Data")</f>
        <v>No</v>
      </c>
      <c r="G2031" s="28" t="str">
        <f t="array" ref="G2031">_xlfn.XLOOKUP($A2031, 'Medical Examinations'!$A:$A, 'Medical Examinations'!F:F, "No Data")</f>
        <v>No</v>
      </c>
      <c r="H2031" s="28">
        <f t="array" ref="H2031">_xlfn.XLOOKUP($A2031, 'Medical Examinations'!$A:$A, 'Medical Examinations'!G:G, "No Data")</f>
        <v>0</v>
      </c>
      <c r="I2031" s="28" t="str">
        <f t="array" ref="I2031">_xlfn.XLOOKUP($A2031, 'Medical Examinations'!$A:$A, 'Medical Examinations'!H:H, "No Data")</f>
        <v>No</v>
      </c>
      <c r="J2031" s="28" t="str">
        <f t="array" ref="J2031">_xlfn.XLOOKUP($A2031, 'Medical Examinations'!$A:$A, 'Medical Examinations'!I:I, "No Data")</f>
        <v>Obesity</v>
      </c>
      <c r="K2031" s="28" t="str">
        <f t="array" ref="K2031">_xlfn.XLOOKUP($A2031, 'Hospitalisation Details'!$A:$A, 'Hospitalisation Details'!I:I, "No Data")</f>
        <v>tier - 2</v>
      </c>
      <c r="L2031" s="28" t="str">
        <f t="array" ref="L2031">_xlfn.XLOOKUP($A2031, 'Hospitalisation Details'!$A:$A, 'Hospitalisation Details'!J:J, "No Data")</f>
        <v>R1024</v>
      </c>
      <c r="M2031" s="28" t="str">
        <f t="array" ref="M2031">_xlfn.XLOOKUP($A2031, 'Hospitalisation Details'!$A:$A, 'Hospitalisation Details'!E:E, "No Data")</f>
        <v>01/11/99</v>
      </c>
      <c r="N2031" s="28">
        <f t="array" ref="N2031">_xlfn.XLOOKUP($A2031, 'Hospitalisation Details'!$A:$A, 'Hospitalisation Details'!K:K, "No Data")</f>
        <v>23</v>
      </c>
      <c r="O2031" s="33">
        <f t="array" ref="O2031">_xlfn.XLOOKUP($A2031, 'Hospitalisation Details'!$A:$A, 'Hospitalisation Details'!G:G, "No Data")</f>
        <v>2899.49</v>
      </c>
      <c r="P2031" s="28" t="str">
        <f t="array" ref="P2031">_xlfn.XLOOKUP($A2031, 'Hospitalisation Details'!$A:$A, 'Hospitalisation Details'!H:H, "No Data")</f>
        <v>tier - 2</v>
      </c>
    </row>
    <row r="2032">
      <c r="A2032" s="25" t="s">
        <v>2525</v>
      </c>
      <c r="B2032" s="28" t="str">
        <f t="array" ref="B2032">_xlfn.XLOOKUP($A2032, 'Customer Names'!$A:$A, 'Customer Names'!B:B, "No Data")</f>
        <v>Wiles</v>
      </c>
      <c r="C2032" s="28">
        <f t="array" ref="C2032">_xlfn.XLOOKUP($A2032, 'Medical Examinations'!$A:$A, 'Medical Examinations'!B:B, "No Data")</f>
        <v>28.12</v>
      </c>
      <c r="D2032" s="28">
        <f t="array" ref="D2032">_xlfn.XLOOKUP($A2032, 'Medical Examinations'!$A:$A, 'Medical Examinations'!C:C, "No Data")</f>
        <v>5.55</v>
      </c>
      <c r="E2032" s="28" t="str">
        <f t="array" ref="E2032">_xlfn.XLOOKUP($A2032, 'Medical Examinations'!$A:$A, 'Medical Examinations'!D:D, "No Data")</f>
        <v>yes</v>
      </c>
      <c r="F2032" s="28" t="str">
        <f t="array" ref="F2032">_xlfn.XLOOKUP($A2032, 'Medical Examinations'!$A:$A, 'Medical Examinations'!E:E, "No Data")</f>
        <v>yes</v>
      </c>
      <c r="G2032" s="28" t="str">
        <f t="array" ref="G2032">_xlfn.XLOOKUP($A2032, 'Medical Examinations'!$A:$A, 'Medical Examinations'!F:F, "No Data")</f>
        <v>No</v>
      </c>
      <c r="H2032" s="28">
        <f t="array" ref="H2032">_xlfn.XLOOKUP($A2032, 'Medical Examinations'!$A:$A, 'Medical Examinations'!G:G, "No Data")</f>
        <v>2</v>
      </c>
      <c r="I2032" s="28" t="str">
        <f t="array" ref="I2032">_xlfn.XLOOKUP($A2032, 'Medical Examinations'!$A:$A, 'Medical Examinations'!H:H, "No Data")</f>
        <v>No</v>
      </c>
      <c r="J2032" s="28" t="str">
        <f t="array" ref="J2032">_xlfn.XLOOKUP($A2032, 'Medical Examinations'!$A:$A, 'Medical Examinations'!I:I, "No Data")</f>
        <v>Overweight</v>
      </c>
      <c r="K2032" s="28" t="str">
        <f t="array" ref="K2032">_xlfn.XLOOKUP($A2032, 'Hospitalisation Details'!$A:$A, 'Hospitalisation Details'!I:I, "No Data")</f>
        <v>tier - 1</v>
      </c>
      <c r="L2032" s="28" t="str">
        <f t="array" ref="L2032">_xlfn.XLOOKUP($A2032, 'Hospitalisation Details'!$A:$A, 'Hospitalisation Details'!J:J, "No Data")</f>
        <v>R1012</v>
      </c>
      <c r="M2032" s="28" t="str">
        <f t="array" ref="M2032">_xlfn.XLOOKUP($A2032, 'Hospitalisation Details'!$A:$A, 'Hospitalisation Details'!E:E, "No Data")</f>
        <v>14/07/00</v>
      </c>
      <c r="N2032" s="28">
        <f t="array" ref="N2032">_xlfn.XLOOKUP($A2032, 'Hospitalisation Details'!$A:$A, 'Hospitalisation Details'!K:K, "No Data")</f>
        <v>22</v>
      </c>
      <c r="O2032" s="33">
        <f t="array" ref="O2032">_xlfn.XLOOKUP($A2032, 'Hospitalisation Details'!$A:$A, 'Hospitalisation Details'!G:G, "No Data")</f>
        <v>2897.46</v>
      </c>
      <c r="P2032" s="28" t="str">
        <f t="array" ref="P2032">_xlfn.XLOOKUP($A2032, 'Hospitalisation Details'!$A:$A, 'Hospitalisation Details'!H:H, "No Data")</f>
        <v>tier - 2</v>
      </c>
    </row>
    <row r="2033">
      <c r="A2033" s="25" t="s">
        <v>2519</v>
      </c>
      <c r="B2033" s="28" t="str">
        <f t="array" ref="B2033">_xlfn.XLOOKUP($A2033, 'Customer Names'!$A:$A, 'Customer Names'!B:B, "No Data")</f>
        <v>Roberts</v>
      </c>
      <c r="C2033" s="28">
        <f t="array" ref="C2033">_xlfn.XLOOKUP($A2033, 'Medical Examinations'!$A:$A, 'Medical Examinations'!B:B, "No Data")</f>
        <v>29.45</v>
      </c>
      <c r="D2033" s="28">
        <f t="array" ref="D2033">_xlfn.XLOOKUP($A2033, 'Medical Examinations'!$A:$A, 'Medical Examinations'!C:C, "No Data")</f>
        <v>5.24</v>
      </c>
      <c r="E2033" s="28" t="str">
        <f t="array" ref="E2033">_xlfn.XLOOKUP($A2033, 'Medical Examinations'!$A:$A, 'Medical Examinations'!D:D, "No Data")</f>
        <v>yes</v>
      </c>
      <c r="F2033" s="28" t="str">
        <f t="array" ref="F2033">_xlfn.XLOOKUP($A2033, 'Medical Examinations'!$A:$A, 'Medical Examinations'!E:E, "No Data")</f>
        <v>No</v>
      </c>
      <c r="G2033" s="28" t="str">
        <f t="array" ref="G2033">_xlfn.XLOOKUP($A2033, 'Medical Examinations'!$A:$A, 'Medical Examinations'!F:F, "No Data")</f>
        <v>No</v>
      </c>
      <c r="H2033" s="28">
        <f t="array" ref="H2033">_xlfn.XLOOKUP($A2033, 'Medical Examinations'!$A:$A, 'Medical Examinations'!G:G, "No Data")</f>
        <v>0</v>
      </c>
      <c r="I2033" s="28" t="str">
        <f t="array" ref="I2033">_xlfn.XLOOKUP($A2033, 'Medical Examinations'!$A:$A, 'Medical Examinations'!H:H, "No Data")</f>
        <v>No</v>
      </c>
      <c r="J2033" s="28" t="str">
        <f t="array" ref="J2033">_xlfn.XLOOKUP($A2033, 'Medical Examinations'!$A:$A, 'Medical Examinations'!I:I, "No Data")</f>
        <v>Overweight</v>
      </c>
      <c r="K2033" s="28" t="str">
        <f t="array" ref="K2033">_xlfn.XLOOKUP($A2033, 'Hospitalisation Details'!$A:$A, 'Hospitalisation Details'!I:I, "No Data")</f>
        <v>tier - 3</v>
      </c>
      <c r="L2033" s="28" t="str">
        <f t="array" ref="L2033">_xlfn.XLOOKUP($A2033, 'Hospitalisation Details'!$A:$A, 'Hospitalisation Details'!J:J, "No Data")</f>
        <v>R1016</v>
      </c>
      <c r="M2033" s="28" t="str">
        <f t="array" ref="M2033">_xlfn.XLOOKUP($A2033, 'Hospitalisation Details'!$A:$A, 'Hospitalisation Details'!E:E, "No Data")</f>
        <v>21/06/96</v>
      </c>
      <c r="N2033" s="28">
        <f t="array" ref="N2033">_xlfn.XLOOKUP($A2033, 'Hospitalisation Details'!$A:$A, 'Hospitalisation Details'!K:K, "No Data")</f>
        <v>26</v>
      </c>
      <c r="O2033" s="33">
        <f t="array" ref="O2033">_xlfn.XLOOKUP($A2033, 'Hospitalisation Details'!$A:$A, 'Hospitalisation Details'!G:G, "No Data")</f>
        <v>2897.32</v>
      </c>
      <c r="P2033" s="28" t="str">
        <f t="array" ref="P2033">_xlfn.XLOOKUP($A2033, 'Hospitalisation Details'!$A:$A, 'Hospitalisation Details'!H:H, "No Data")</f>
        <v>tier - 3</v>
      </c>
    </row>
    <row r="2034">
      <c r="A2034" s="25" t="s">
        <v>2515</v>
      </c>
      <c r="B2034" s="28" t="str">
        <f t="array" ref="B2034">_xlfn.XLOOKUP($A2034, 'Customer Names'!$A:$A, 'Customer Names'!B:B, "No Data")</f>
        <v>Serafini</v>
      </c>
      <c r="C2034" s="28">
        <f t="array" ref="C2034">_xlfn.XLOOKUP($A2034, 'Medical Examinations'!$A:$A, 'Medical Examinations'!B:B, "No Data")</f>
        <v>27.94</v>
      </c>
      <c r="D2034" s="28">
        <f t="array" ref="D2034">_xlfn.XLOOKUP($A2034, 'Medical Examinations'!$A:$A, 'Medical Examinations'!C:C, "No Data")</f>
        <v>6.08</v>
      </c>
      <c r="E2034" s="28" t="str">
        <f t="array" ref="E2034">_xlfn.XLOOKUP($A2034, 'Medical Examinations'!$A:$A, 'Medical Examinations'!D:D, "No Data")</f>
        <v>No</v>
      </c>
      <c r="F2034" s="28" t="str">
        <f t="array" ref="F2034">_xlfn.XLOOKUP($A2034, 'Medical Examinations'!$A:$A, 'Medical Examinations'!E:E, "No Data")</f>
        <v>No</v>
      </c>
      <c r="G2034" s="28" t="str">
        <f t="array" ref="G2034">_xlfn.XLOOKUP($A2034, 'Medical Examinations'!$A:$A, 'Medical Examinations'!F:F, "No Data")</f>
        <v>Yes</v>
      </c>
      <c r="H2034" s="28">
        <f t="array" ref="H2034">_xlfn.XLOOKUP($A2034, 'Medical Examinations'!$A:$A, 'Medical Examinations'!G:G, "No Data")</f>
        <v>1</v>
      </c>
      <c r="I2034" s="28" t="str">
        <f t="array" ref="I2034">_xlfn.XLOOKUP($A2034, 'Medical Examinations'!$A:$A, 'Medical Examinations'!H:H, "No Data")</f>
        <v>No</v>
      </c>
      <c r="J2034" s="28" t="str">
        <f t="array" ref="J2034">_xlfn.XLOOKUP($A2034, 'Medical Examinations'!$A:$A, 'Medical Examinations'!I:I, "No Data")</f>
        <v>Overweight</v>
      </c>
      <c r="K2034" s="28" t="str">
        <f t="array" ref="K2034">_xlfn.XLOOKUP($A2034, 'Hospitalisation Details'!$A:$A, 'Hospitalisation Details'!I:I, "No Data")</f>
        <v>tier - 3</v>
      </c>
      <c r="L2034" s="28" t="str">
        <f t="array" ref="L2034">_xlfn.XLOOKUP($A2034, 'Hospitalisation Details'!$A:$A, 'Hospitalisation Details'!J:J, "No Data")</f>
        <v>R1013</v>
      </c>
      <c r="M2034" s="28" t="str">
        <f t="array" ref="M2034">_xlfn.XLOOKUP($A2034, 'Hospitalisation Details'!$A:$A, 'Hospitalisation Details'!E:E, "No Data")</f>
        <v>12/08/93</v>
      </c>
      <c r="N2034" s="28">
        <f t="array" ref="N2034">_xlfn.XLOOKUP($A2034, 'Hospitalisation Details'!$A:$A, 'Hospitalisation Details'!K:K, "No Data")</f>
        <v>29</v>
      </c>
      <c r="O2034" s="33">
        <f t="array" ref="O2034">_xlfn.XLOOKUP($A2034, 'Hospitalisation Details'!$A:$A, 'Hospitalisation Details'!G:G, "No Data")</f>
        <v>2867.12</v>
      </c>
      <c r="P2034" s="28" t="str">
        <f t="array" ref="P2034">_xlfn.XLOOKUP($A2034, 'Hospitalisation Details'!$A:$A, 'Hospitalisation Details'!H:H, "No Data")</f>
        <v>tier - 1</v>
      </c>
    </row>
    <row r="2035">
      <c r="A2035" s="25" t="s">
        <v>2509</v>
      </c>
      <c r="B2035" s="28" t="str">
        <f t="array" ref="B2035">_xlfn.XLOOKUP($A2035, 'Customer Names'!$A:$A, 'Customer Names'!B:B, "No Data")</f>
        <v>Button</v>
      </c>
      <c r="C2035" s="28">
        <f t="array" ref="C2035">_xlfn.XLOOKUP($A2035, 'Medical Examinations'!$A:$A, 'Medical Examinations'!B:B, "No Data")</f>
        <v>27.2</v>
      </c>
      <c r="D2035" s="28">
        <f t="array" ref="D2035">_xlfn.XLOOKUP($A2035, 'Medical Examinations'!$A:$A, 'Medical Examinations'!C:C, "No Data")</f>
        <v>5.83</v>
      </c>
      <c r="E2035" s="28" t="str">
        <f t="array" ref="E2035">_xlfn.XLOOKUP($A2035, 'Medical Examinations'!$A:$A, 'Medical Examinations'!D:D, "No Data")</f>
        <v>No</v>
      </c>
      <c r="F2035" s="28" t="str">
        <f t="array" ref="F2035">_xlfn.XLOOKUP($A2035, 'Medical Examinations'!$A:$A, 'Medical Examinations'!E:E, "No Data")</f>
        <v>No</v>
      </c>
      <c r="G2035" s="28" t="str">
        <f t="array" ref="G2035">_xlfn.XLOOKUP($A2035, 'Medical Examinations'!$A:$A, 'Medical Examinations'!F:F, "No Data")</f>
        <v>Yes</v>
      </c>
      <c r="H2035" s="28">
        <f t="array" ref="H2035">_xlfn.XLOOKUP($A2035, 'Medical Examinations'!$A:$A, 'Medical Examinations'!G:G, "No Data")</f>
        <v>1</v>
      </c>
      <c r="I2035" s="28" t="str">
        <f t="array" ref="I2035">_xlfn.XLOOKUP($A2035, 'Medical Examinations'!$A:$A, 'Medical Examinations'!H:H, "No Data")</f>
        <v>No</v>
      </c>
      <c r="J2035" s="28" t="str">
        <f t="array" ref="J2035">_xlfn.XLOOKUP($A2035, 'Medical Examinations'!$A:$A, 'Medical Examinations'!I:I, "No Data")</f>
        <v>Overweight</v>
      </c>
      <c r="K2035" s="28" t="str">
        <f t="array" ref="K2035">_xlfn.XLOOKUP($A2035, 'Hospitalisation Details'!$A:$A, 'Hospitalisation Details'!I:I, "No Data")</f>
        <v>tier - 3</v>
      </c>
      <c r="L2035" s="28" t="str">
        <f t="array" ref="L2035">_xlfn.XLOOKUP($A2035, 'Hospitalisation Details'!$A:$A, 'Hospitalisation Details'!J:J, "No Data")</f>
        <v>R1011</v>
      </c>
      <c r="M2035" s="28" t="str">
        <f t="array" ref="M2035">_xlfn.XLOOKUP($A2035, 'Hospitalisation Details'!$A:$A, 'Hospitalisation Details'!E:E, "No Data")</f>
        <v>01/11/93</v>
      </c>
      <c r="N2035" s="28">
        <f t="array" ref="N2035">_xlfn.XLOOKUP($A2035, 'Hospitalisation Details'!$A:$A, 'Hospitalisation Details'!K:K, "No Data")</f>
        <v>29</v>
      </c>
      <c r="O2035" s="33">
        <f t="array" ref="O2035">_xlfn.XLOOKUP($A2035, 'Hospitalisation Details'!$A:$A, 'Hospitalisation Details'!G:G, "No Data")</f>
        <v>2866.09</v>
      </c>
      <c r="P2035" s="28" t="str">
        <f t="array" ref="P2035">_xlfn.XLOOKUP($A2035, 'Hospitalisation Details'!$A:$A, 'Hospitalisation Details'!H:H, "No Data")</f>
        <v>tier - 3</v>
      </c>
    </row>
    <row r="2036">
      <c r="A2036" s="25" t="s">
        <v>2505</v>
      </c>
      <c r="B2036" s="28" t="str">
        <f t="array" ref="B2036">_xlfn.XLOOKUP($A2036, 'Customer Names'!$A:$A, 'Customer Names'!B:B, "No Data")</f>
        <v>Gaal</v>
      </c>
      <c r="C2036" s="28">
        <f t="array" ref="C2036">_xlfn.XLOOKUP($A2036, 'Medical Examinations'!$A:$A, 'Medical Examinations'!B:B, "No Data")</f>
        <v>33.345</v>
      </c>
      <c r="D2036" s="28">
        <f t="array" ref="D2036">_xlfn.XLOOKUP($A2036, 'Medical Examinations'!$A:$A, 'Medical Examinations'!C:C, "No Data")</f>
        <v>4.29</v>
      </c>
      <c r="E2036" s="28" t="str">
        <f t="array" ref="E2036">_xlfn.XLOOKUP($A2036, 'Medical Examinations'!$A:$A, 'Medical Examinations'!D:D, "No Data")</f>
        <v>No</v>
      </c>
      <c r="F2036" s="28" t="str">
        <f t="array" ref="F2036">_xlfn.XLOOKUP($A2036, 'Medical Examinations'!$A:$A, 'Medical Examinations'!E:E, "No Data")</f>
        <v>No</v>
      </c>
      <c r="G2036" s="28" t="str">
        <f t="array" ref="G2036">_xlfn.XLOOKUP($A2036, 'Medical Examinations'!$A:$A, 'Medical Examinations'!F:F, "No Data")</f>
        <v>No</v>
      </c>
      <c r="H2036" s="28">
        <f t="array" ref="H2036">_xlfn.XLOOKUP($A2036, 'Medical Examinations'!$A:$A, 'Medical Examinations'!G:G, "No Data")</f>
        <v>1</v>
      </c>
      <c r="I2036" s="28" t="str">
        <f t="array" ref="I2036">_xlfn.XLOOKUP($A2036, 'Medical Examinations'!$A:$A, 'Medical Examinations'!H:H, "No Data")</f>
        <v>No</v>
      </c>
      <c r="J2036" s="28" t="str">
        <f t="array" ref="J2036">_xlfn.XLOOKUP($A2036, 'Medical Examinations'!$A:$A, 'Medical Examinations'!I:I, "No Data")</f>
        <v>Obesity</v>
      </c>
      <c r="K2036" s="28" t="str">
        <f t="array" ref="K2036">_xlfn.XLOOKUP($A2036, 'Hospitalisation Details'!$A:$A, 'Hospitalisation Details'!I:I, "No Data")</f>
        <v>tier - 3</v>
      </c>
      <c r="L2036" s="28" t="str">
        <f t="array" ref="L2036">_xlfn.XLOOKUP($A2036, 'Hospitalisation Details'!$A:$A, 'Hospitalisation Details'!J:J, "No Data")</f>
        <v>R1012</v>
      </c>
      <c r="M2036" s="28" t="str">
        <f t="array" ref="M2036">_xlfn.XLOOKUP($A2036, 'Hospitalisation Details'!$A:$A, 'Hospitalisation Details'!E:E, "No Data")</f>
        <v>04/09/98</v>
      </c>
      <c r="N2036" s="28">
        <f t="array" ref="N2036">_xlfn.XLOOKUP($A2036, 'Hospitalisation Details'!$A:$A, 'Hospitalisation Details'!K:K, "No Data")</f>
        <v>24</v>
      </c>
      <c r="O2036" s="33">
        <f t="array" ref="O2036">_xlfn.XLOOKUP($A2036, 'Hospitalisation Details'!$A:$A, 'Hospitalisation Details'!G:G, "No Data")</f>
        <v>2855.44</v>
      </c>
      <c r="P2036" s="28" t="str">
        <f t="array" ref="P2036">_xlfn.XLOOKUP($A2036, 'Hospitalisation Details'!$A:$A, 'Hospitalisation Details'!H:H, "No Data")</f>
        <v>tier - 2</v>
      </c>
    </row>
    <row r="2037">
      <c r="A2037" s="25" t="s">
        <v>2499</v>
      </c>
      <c r="B2037" s="28" t="str">
        <f t="array" ref="B2037">_xlfn.XLOOKUP($A2037, 'Customer Names'!$A:$A, 'Customer Names'!B:B, "No Data")</f>
        <v>Liptak</v>
      </c>
      <c r="C2037" s="28">
        <f t="array" ref="C2037">_xlfn.XLOOKUP($A2037, 'Medical Examinations'!$A:$A, 'Medical Examinations'!B:B, "No Data")</f>
        <v>29.925</v>
      </c>
      <c r="D2037" s="28">
        <f t="array" ref="D2037">_xlfn.XLOOKUP($A2037, 'Medical Examinations'!$A:$A, 'Medical Examinations'!C:C, "No Data")</f>
        <v>5.3</v>
      </c>
      <c r="E2037" s="28" t="str">
        <f t="array" ref="E2037">_xlfn.XLOOKUP($A2037, 'Medical Examinations'!$A:$A, 'Medical Examinations'!D:D, "No Data")</f>
        <v>No</v>
      </c>
      <c r="F2037" s="28" t="str">
        <f t="array" ref="F2037">_xlfn.XLOOKUP($A2037, 'Medical Examinations'!$A:$A, 'Medical Examinations'!E:E, "No Data")</f>
        <v>No</v>
      </c>
      <c r="G2037" s="28" t="str">
        <f t="array" ref="G2037">_xlfn.XLOOKUP($A2037, 'Medical Examinations'!$A:$A, 'Medical Examinations'!F:F, "No Data")</f>
        <v>No</v>
      </c>
      <c r="H2037" s="28">
        <f t="array" ref="H2037">_xlfn.XLOOKUP($A2037, 'Medical Examinations'!$A:$A, 'Medical Examinations'!G:G, "No Data")</f>
        <v>1</v>
      </c>
      <c r="I2037" s="28" t="str">
        <f t="array" ref="I2037">_xlfn.XLOOKUP($A2037, 'Medical Examinations'!$A:$A, 'Medical Examinations'!H:H, "No Data")</f>
        <v>No</v>
      </c>
      <c r="J2037" s="28" t="str">
        <f t="array" ref="J2037">_xlfn.XLOOKUP($A2037, 'Medical Examinations'!$A:$A, 'Medical Examinations'!I:I, "No Data")</f>
        <v>Overweight</v>
      </c>
      <c r="K2037" s="28" t="str">
        <f t="array" ref="K2037">_xlfn.XLOOKUP($A2037, 'Hospitalisation Details'!$A:$A, 'Hospitalisation Details'!I:I, "No Data")</f>
        <v>tier - 3</v>
      </c>
      <c r="L2037" s="28" t="str">
        <f t="array" ref="L2037">_xlfn.XLOOKUP($A2037, 'Hospitalisation Details'!$A:$A, 'Hospitalisation Details'!J:J, "No Data")</f>
        <v>R1012</v>
      </c>
      <c r="M2037" s="28" t="str">
        <f t="array" ref="M2037">_xlfn.XLOOKUP($A2037, 'Hospitalisation Details'!$A:$A, 'Hospitalisation Details'!E:E, "No Data")</f>
        <v>17/06/98</v>
      </c>
      <c r="N2037" s="28">
        <f t="array" ref="N2037">_xlfn.XLOOKUP($A2037, 'Hospitalisation Details'!$A:$A, 'Hospitalisation Details'!K:K, "No Data")</f>
        <v>24</v>
      </c>
      <c r="O2037" s="33">
        <f t="array" ref="O2037">_xlfn.XLOOKUP($A2037, 'Hospitalisation Details'!$A:$A, 'Hospitalisation Details'!G:G, "No Data")</f>
        <v>2850.68</v>
      </c>
      <c r="P2037" s="28" t="str">
        <f t="array" ref="P2037">_xlfn.XLOOKUP($A2037, 'Hospitalisation Details'!$A:$A, 'Hospitalisation Details'!H:H, "No Data")</f>
        <v>tier - 2</v>
      </c>
    </row>
    <row r="2038">
      <c r="A2038" s="25" t="s">
        <v>2493</v>
      </c>
      <c r="B2038" s="28" t="str">
        <f t="array" ref="B2038">_xlfn.XLOOKUP($A2038, 'Customer Names'!$A:$A, 'Customer Names'!B:B, "No Data")</f>
        <v>Kellam</v>
      </c>
      <c r="C2038" s="28">
        <f t="array" ref="C2038">_xlfn.XLOOKUP($A2038, 'Medical Examinations'!$A:$A, 'Medical Examinations'!B:B, "No Data")</f>
        <v>24.225</v>
      </c>
      <c r="D2038" s="28">
        <f t="array" ref="D2038">_xlfn.XLOOKUP($A2038, 'Medical Examinations'!$A:$A, 'Medical Examinations'!C:C, "No Data")</f>
        <v>4.42</v>
      </c>
      <c r="E2038" s="28" t="str">
        <f t="array" ref="E2038">_xlfn.XLOOKUP($A2038, 'Medical Examinations'!$A:$A, 'Medical Examinations'!D:D, "No Data")</f>
        <v>No</v>
      </c>
      <c r="F2038" s="28" t="str">
        <f t="array" ref="F2038">_xlfn.XLOOKUP($A2038, 'Medical Examinations'!$A:$A, 'Medical Examinations'!E:E, "No Data")</f>
        <v>No</v>
      </c>
      <c r="G2038" s="28" t="str">
        <f t="array" ref="G2038">_xlfn.XLOOKUP($A2038, 'Medical Examinations'!$A:$A, 'Medical Examinations'!F:F, "No Data")</f>
        <v>No</v>
      </c>
      <c r="H2038" s="28">
        <f t="array" ref="H2038">_xlfn.XLOOKUP($A2038, 'Medical Examinations'!$A:$A, 'Medical Examinations'!G:G, "No Data")</f>
        <v>1</v>
      </c>
      <c r="I2038" s="28" t="str">
        <f t="array" ref="I2038">_xlfn.XLOOKUP($A2038, 'Medical Examinations'!$A:$A, 'Medical Examinations'!H:H, "No Data")</f>
        <v>No</v>
      </c>
      <c r="J2038" s="28" t="str">
        <f t="array" ref="J2038">_xlfn.XLOOKUP($A2038, 'Medical Examinations'!$A:$A, 'Medical Examinations'!I:I, "No Data")</f>
        <v>Normal Weight</v>
      </c>
      <c r="K2038" s="28" t="str">
        <f t="array" ref="K2038">_xlfn.XLOOKUP($A2038, 'Hospitalisation Details'!$A:$A, 'Hospitalisation Details'!I:I, "No Data")</f>
        <v>tier - 3</v>
      </c>
      <c r="L2038" s="28" t="str">
        <f t="array" ref="L2038">_xlfn.XLOOKUP($A2038, 'Hospitalisation Details'!$A:$A, 'Hospitalisation Details'!J:J, "No Data")</f>
        <v>R1012</v>
      </c>
      <c r="M2038" s="28" t="str">
        <f t="array" ref="M2038">_xlfn.XLOOKUP($A2038, 'Hospitalisation Details'!$A:$A, 'Hospitalisation Details'!E:E, "No Data")</f>
        <v>15/11/98</v>
      </c>
      <c r="N2038" s="28">
        <f t="array" ref="N2038">_xlfn.XLOOKUP($A2038, 'Hospitalisation Details'!$A:$A, 'Hospitalisation Details'!K:K, "No Data")</f>
        <v>24</v>
      </c>
      <c r="O2038" s="33">
        <f t="array" ref="O2038">_xlfn.XLOOKUP($A2038, 'Hospitalisation Details'!$A:$A, 'Hospitalisation Details'!G:G, "No Data")</f>
        <v>2842.76</v>
      </c>
      <c r="P2038" s="28" t="str">
        <f t="array" ref="P2038">_xlfn.XLOOKUP($A2038, 'Hospitalisation Details'!$A:$A, 'Hospitalisation Details'!H:H, "No Data")</f>
        <v>tier - 2</v>
      </c>
    </row>
    <row r="2039">
      <c r="A2039" s="25" t="s">
        <v>2487</v>
      </c>
      <c r="B2039" s="28" t="str">
        <f t="array" ref="B2039">_xlfn.XLOOKUP($A2039, 'Customer Names'!$A:$A, 'Customer Names'!B:B, "No Data")</f>
        <v>Gordon</v>
      </c>
      <c r="C2039" s="28">
        <f t="array" ref="C2039">_xlfn.XLOOKUP($A2039, 'Medical Examinations'!$A:$A, 'Medical Examinations'!B:B, "No Data")</f>
        <v>29.68</v>
      </c>
      <c r="D2039" s="28">
        <f t="array" ref="D2039">_xlfn.XLOOKUP($A2039, 'Medical Examinations'!$A:$A, 'Medical Examinations'!C:C, "No Data")</f>
        <v>5.68</v>
      </c>
      <c r="E2039" s="28" t="str">
        <f t="array" ref="E2039">_xlfn.XLOOKUP($A2039, 'Medical Examinations'!$A:$A, 'Medical Examinations'!D:D, "No Data")</f>
        <v>No</v>
      </c>
      <c r="F2039" s="28" t="str">
        <f t="array" ref="F2039">_xlfn.XLOOKUP($A2039, 'Medical Examinations'!$A:$A, 'Medical Examinations'!E:E, "No Data")</f>
        <v>yes</v>
      </c>
      <c r="G2039" s="28" t="str">
        <f t="array" ref="G2039">_xlfn.XLOOKUP($A2039, 'Medical Examinations'!$A:$A, 'Medical Examinations'!F:F, "No Data")</f>
        <v>No</v>
      </c>
      <c r="H2039" s="28">
        <f t="array" ref="H2039">_xlfn.XLOOKUP($A2039, 'Medical Examinations'!$A:$A, 'Medical Examinations'!G:G, "No Data")</f>
        <v>1</v>
      </c>
      <c r="I2039" s="28" t="str">
        <f t="array" ref="I2039">_xlfn.XLOOKUP($A2039, 'Medical Examinations'!$A:$A, 'Medical Examinations'!H:H, "No Data")</f>
        <v>No</v>
      </c>
      <c r="J2039" s="28" t="str">
        <f t="array" ref="J2039">_xlfn.XLOOKUP($A2039, 'Medical Examinations'!$A:$A, 'Medical Examinations'!I:I, "No Data")</f>
        <v>Overweight</v>
      </c>
      <c r="K2039" s="28" t="str">
        <f t="array" ref="K2039">_xlfn.XLOOKUP($A2039, 'Hospitalisation Details'!$A:$A, 'Hospitalisation Details'!I:I, "No Data")</f>
        <v>tier - 3</v>
      </c>
      <c r="L2039" s="28" t="str">
        <f t="array" ref="L2039">_xlfn.XLOOKUP($A2039, 'Hospitalisation Details'!$A:$A, 'Hospitalisation Details'!J:J, "No Data")</f>
        <v>R1011</v>
      </c>
      <c r="M2039" s="28" t="str">
        <f t="array" ref="M2039">_xlfn.XLOOKUP($A2039, 'Hospitalisation Details'!$A:$A, 'Hospitalisation Details'!E:E, "No Data")</f>
        <v>01/10/00</v>
      </c>
      <c r="N2039" s="28">
        <f t="array" ref="N2039">_xlfn.XLOOKUP($A2039, 'Hospitalisation Details'!$A:$A, 'Hospitalisation Details'!K:K, "No Data")</f>
        <v>22</v>
      </c>
      <c r="O2039" s="33">
        <f t="array" ref="O2039">_xlfn.XLOOKUP($A2039, 'Hospitalisation Details'!$A:$A, 'Hospitalisation Details'!G:G, "No Data")</f>
        <v>2819.51</v>
      </c>
      <c r="P2039" s="28" t="str">
        <f t="array" ref="P2039">_xlfn.XLOOKUP($A2039, 'Hospitalisation Details'!$A:$A, 'Hospitalisation Details'!H:H, "No Data")</f>
        <v>tier - 2</v>
      </c>
    </row>
    <row r="2040">
      <c r="A2040" s="25" t="s">
        <v>2482</v>
      </c>
      <c r="B2040" s="28" t="str">
        <f t="array" ref="B2040">_xlfn.XLOOKUP($A2040, 'Customer Names'!$A:$A, 'Customer Names'!B:B, "No Data")</f>
        <v>Hyland</v>
      </c>
      <c r="C2040" s="28">
        <f t="array" ref="C2040">_xlfn.XLOOKUP($A2040, 'Medical Examinations'!$A:$A, 'Medical Examinations'!B:B, "No Data")</f>
        <v>20.615</v>
      </c>
      <c r="D2040" s="28">
        <f t="array" ref="D2040">_xlfn.XLOOKUP($A2040, 'Medical Examinations'!$A:$A, 'Medical Examinations'!C:C, "No Data")</f>
        <v>6.05</v>
      </c>
      <c r="E2040" s="28" t="str">
        <f t="array" ref="E2040">_xlfn.XLOOKUP($A2040, 'Medical Examinations'!$A:$A, 'Medical Examinations'!D:D, "No Data")</f>
        <v>No</v>
      </c>
      <c r="F2040" s="28" t="str">
        <f t="array" ref="F2040">_xlfn.XLOOKUP($A2040, 'Medical Examinations'!$A:$A, 'Medical Examinations'!E:E, "No Data")</f>
        <v>No</v>
      </c>
      <c r="G2040" s="28" t="str">
        <f t="array" ref="G2040">_xlfn.XLOOKUP($A2040, 'Medical Examinations'!$A:$A, 'Medical Examinations'!F:F, "No Data")</f>
        <v>Yes</v>
      </c>
      <c r="H2040" s="28">
        <f t="array" ref="H2040">_xlfn.XLOOKUP($A2040, 'Medical Examinations'!$A:$A, 'Medical Examinations'!G:G, "No Data")</f>
        <v>1</v>
      </c>
      <c r="I2040" s="28" t="str">
        <f t="array" ref="I2040">_xlfn.XLOOKUP($A2040, 'Medical Examinations'!$A:$A, 'Medical Examinations'!H:H, "No Data")</f>
        <v>No</v>
      </c>
      <c r="J2040" s="28" t="str">
        <f t="array" ref="J2040">_xlfn.XLOOKUP($A2040, 'Medical Examinations'!$A:$A, 'Medical Examinations'!I:I, "No Data")</f>
        <v>Normal Weight</v>
      </c>
      <c r="K2040" s="28" t="str">
        <f t="array" ref="K2040">_xlfn.XLOOKUP($A2040, 'Hospitalisation Details'!$A:$A, 'Hospitalisation Details'!I:I, "No Data")</f>
        <v>tier - 1</v>
      </c>
      <c r="L2040" s="28" t="str">
        <f t="array" ref="L2040">_xlfn.XLOOKUP($A2040, 'Hospitalisation Details'!$A:$A, 'Hospitalisation Details'!J:J, "No Data")</f>
        <v>R1012</v>
      </c>
      <c r="M2040" s="28" t="str">
        <f t="array" ref="M2040">_xlfn.XLOOKUP($A2040, 'Hospitalisation Details'!$A:$A, 'Hospitalisation Details'!E:E, "No Data")</f>
        <v>23/09/03</v>
      </c>
      <c r="N2040" s="28">
        <f t="array" ref="N2040">_xlfn.XLOOKUP($A2040, 'Hospitalisation Details'!$A:$A, 'Hospitalisation Details'!K:K, "No Data")</f>
        <v>19</v>
      </c>
      <c r="O2040" s="33">
        <f t="array" ref="O2040">_xlfn.XLOOKUP($A2040, 'Hospitalisation Details'!$A:$A, 'Hospitalisation Details'!G:G, "No Data")</f>
        <v>2803.7</v>
      </c>
      <c r="P2040" s="28" t="str">
        <f t="array" ref="P2040">_xlfn.XLOOKUP($A2040, 'Hospitalisation Details'!$A:$A, 'Hospitalisation Details'!H:H, "No Data")</f>
        <v>tier - 2</v>
      </c>
    </row>
    <row r="2041">
      <c r="A2041" s="25" t="s">
        <v>2478</v>
      </c>
      <c r="B2041" s="28" t="str">
        <f t="array" ref="B2041">_xlfn.XLOOKUP($A2041, 'Customer Names'!$A:$A, 'Customer Names'!B:B, "No Data")</f>
        <v>Wagoner</v>
      </c>
      <c r="C2041" s="28">
        <f t="array" ref="C2041">_xlfn.XLOOKUP($A2041, 'Medical Examinations'!$A:$A, 'Medical Examinations'!B:B, "No Data")</f>
        <v>32.12</v>
      </c>
      <c r="D2041" s="28">
        <f t="array" ref="D2041">_xlfn.XLOOKUP($A2041, 'Medical Examinations'!$A:$A, 'Medical Examinations'!C:C, "No Data")</f>
        <v>5.33</v>
      </c>
      <c r="E2041" s="28" t="str">
        <f t="array" ref="E2041">_xlfn.XLOOKUP($A2041, 'Medical Examinations'!$A:$A, 'Medical Examinations'!D:D, "No Data")</f>
        <v>No</v>
      </c>
      <c r="F2041" s="28" t="str">
        <f t="array" ref="F2041">_xlfn.XLOOKUP($A2041, 'Medical Examinations'!$A:$A, 'Medical Examinations'!E:E, "No Data")</f>
        <v>yes</v>
      </c>
      <c r="G2041" s="28" t="str">
        <f t="array" ref="G2041">_xlfn.XLOOKUP($A2041, 'Medical Examinations'!$A:$A, 'Medical Examinations'!F:F, "No Data")</f>
        <v>No</v>
      </c>
      <c r="H2041" s="28">
        <f t="array" ref="H2041">_xlfn.XLOOKUP($A2041, 'Medical Examinations'!$A:$A, 'Medical Examinations'!G:G, "No Data")</f>
        <v>1</v>
      </c>
      <c r="I2041" s="28" t="str">
        <f t="array" ref="I2041">_xlfn.XLOOKUP($A2041, 'Medical Examinations'!$A:$A, 'Medical Examinations'!H:H, "No Data")</f>
        <v>No</v>
      </c>
      <c r="J2041" s="28" t="str">
        <f t="array" ref="J2041">_xlfn.XLOOKUP($A2041, 'Medical Examinations'!$A:$A, 'Medical Examinations'!I:I, "No Data")</f>
        <v>Obesity</v>
      </c>
      <c r="K2041" s="28" t="str">
        <f t="array" ref="K2041">_xlfn.XLOOKUP($A2041, 'Hospitalisation Details'!$A:$A, 'Hospitalisation Details'!I:I, "No Data")</f>
        <v>tier - 3</v>
      </c>
      <c r="L2041" s="28" t="str">
        <f t="array" ref="L2041">_xlfn.XLOOKUP($A2041, 'Hospitalisation Details'!$A:$A, 'Hospitalisation Details'!J:J, "No Data")</f>
        <v>R1013</v>
      </c>
      <c r="M2041" s="28" t="str">
        <f t="array" ref="M2041">_xlfn.XLOOKUP($A2041, 'Hospitalisation Details'!$A:$A, 'Hospitalisation Details'!E:E, "No Data")</f>
        <v>04/08/04</v>
      </c>
      <c r="N2041" s="28">
        <f t="array" ref="N2041">_xlfn.XLOOKUP($A2041, 'Hospitalisation Details'!$A:$A, 'Hospitalisation Details'!K:K, "No Data")</f>
        <v>18</v>
      </c>
      <c r="O2041" s="33">
        <f t="array" ref="O2041">_xlfn.XLOOKUP($A2041, 'Hospitalisation Details'!$A:$A, 'Hospitalisation Details'!G:G, "No Data")</f>
        <v>2801.26</v>
      </c>
      <c r="P2041" s="28" t="str">
        <f t="array" ref="P2041">_xlfn.XLOOKUP($A2041, 'Hospitalisation Details'!$A:$A, 'Hospitalisation Details'!H:H, "No Data")</f>
        <v>tier - 2</v>
      </c>
    </row>
    <row r="2042">
      <c r="A2042" s="25" t="s">
        <v>2474</v>
      </c>
      <c r="B2042" s="28" t="str">
        <f t="array" ref="B2042">_xlfn.XLOOKUP($A2042, 'Customer Names'!$A:$A, 'Customer Names'!B:B, "No Data")</f>
        <v>Thomas</v>
      </c>
      <c r="C2042" s="28">
        <f t="array" ref="C2042">_xlfn.XLOOKUP($A2042, 'Medical Examinations'!$A:$A, 'Medical Examinations'!B:B, "No Data")</f>
        <v>27.36</v>
      </c>
      <c r="D2042" s="28">
        <f t="array" ref="D2042">_xlfn.XLOOKUP($A2042, 'Medical Examinations'!$A:$A, 'Medical Examinations'!C:C, "No Data")</f>
        <v>6.22</v>
      </c>
      <c r="E2042" s="28" t="str">
        <f t="array" ref="E2042">_xlfn.XLOOKUP($A2042, 'Medical Examinations'!$A:$A, 'Medical Examinations'!D:D, "No Data")</f>
        <v>No</v>
      </c>
      <c r="F2042" s="28" t="str">
        <f t="array" ref="F2042">_xlfn.XLOOKUP($A2042, 'Medical Examinations'!$A:$A, 'Medical Examinations'!E:E, "No Data")</f>
        <v>No</v>
      </c>
      <c r="G2042" s="28" t="str">
        <f t="array" ref="G2042">_xlfn.XLOOKUP($A2042, 'Medical Examinations'!$A:$A, 'Medical Examinations'!F:F, "No Data")</f>
        <v>No</v>
      </c>
      <c r="H2042" s="28">
        <f t="array" ref="H2042">_xlfn.XLOOKUP($A2042, 'Medical Examinations'!$A:$A, 'Medical Examinations'!G:G, "No Data")</f>
        <v>0</v>
      </c>
      <c r="I2042" s="28" t="str">
        <f t="array" ref="I2042">_xlfn.XLOOKUP($A2042, 'Medical Examinations'!$A:$A, 'Medical Examinations'!H:H, "No Data")</f>
        <v>No</v>
      </c>
      <c r="J2042" s="28" t="str">
        <f t="array" ref="J2042">_xlfn.XLOOKUP($A2042, 'Medical Examinations'!$A:$A, 'Medical Examinations'!I:I, "No Data")</f>
        <v>Overweight</v>
      </c>
      <c r="K2042" s="28" t="str">
        <f t="array" ref="K2042">_xlfn.XLOOKUP($A2042, 'Hospitalisation Details'!$A:$A, 'Hospitalisation Details'!I:I, "No Data")</f>
        <v>tier - 3</v>
      </c>
      <c r="L2042" s="28" t="str">
        <f t="array" ref="L2042">_xlfn.XLOOKUP($A2042, 'Hospitalisation Details'!$A:$A, 'Hospitalisation Details'!J:J, "No Data")</f>
        <v>R1012</v>
      </c>
      <c r="M2042" s="28" t="str">
        <f t="array" ref="M2042">_xlfn.XLOOKUP($A2042, 'Hospitalisation Details'!$A:$A, 'Hospitalisation Details'!E:E, "No Data")</f>
        <v>24/12/99</v>
      </c>
      <c r="N2042" s="28">
        <f t="array" ref="N2042">_xlfn.XLOOKUP($A2042, 'Hospitalisation Details'!$A:$A, 'Hospitalisation Details'!K:K, "No Data")</f>
        <v>23</v>
      </c>
      <c r="O2042" s="33">
        <f t="array" ref="O2042">_xlfn.XLOOKUP($A2042, 'Hospitalisation Details'!$A:$A, 'Hospitalisation Details'!G:G, "No Data")</f>
        <v>2789.06</v>
      </c>
      <c r="P2042" s="28" t="str">
        <f t="array" ref="P2042">_xlfn.XLOOKUP($A2042, 'Hospitalisation Details'!$A:$A, 'Hospitalisation Details'!H:H, "No Data")</f>
        <v>tier - 2</v>
      </c>
    </row>
    <row r="2043">
      <c r="A2043" s="25" t="s">
        <v>2467</v>
      </c>
      <c r="B2043" s="28" t="str">
        <f t="array" ref="B2043">_xlfn.XLOOKUP($A2043, 'Customer Names'!$A:$A, 'Customer Names'!B:B, "No Data")</f>
        <v>Goffi</v>
      </c>
      <c r="C2043" s="28">
        <f t="array" ref="C2043">_xlfn.XLOOKUP($A2043, 'Medical Examinations'!$A:$A, 'Medical Examinations'!B:B, "No Data")</f>
        <v>17.385</v>
      </c>
      <c r="D2043" s="28">
        <f t="array" ref="D2043">_xlfn.XLOOKUP($A2043, 'Medical Examinations'!$A:$A, 'Medical Examinations'!C:C, "No Data")</f>
        <v>5.84</v>
      </c>
      <c r="E2043" s="28" t="str">
        <f t="array" ref="E2043">_xlfn.XLOOKUP($A2043, 'Medical Examinations'!$A:$A, 'Medical Examinations'!D:D, "No Data")</f>
        <v>No</v>
      </c>
      <c r="F2043" s="28" t="str">
        <f t="array" ref="F2043">_xlfn.XLOOKUP($A2043, 'Medical Examinations'!$A:$A, 'Medical Examinations'!E:E, "No Data")</f>
        <v>No</v>
      </c>
      <c r="G2043" s="28" t="str">
        <f t="array" ref="G2043">_xlfn.XLOOKUP($A2043, 'Medical Examinations'!$A:$A, 'Medical Examinations'!F:F, "No Data")</f>
        <v>No</v>
      </c>
      <c r="H2043" s="28">
        <f t="array" ref="H2043">_xlfn.XLOOKUP($A2043, 'Medical Examinations'!$A:$A, 'Medical Examinations'!G:G, "No Data")</f>
        <v>0</v>
      </c>
      <c r="I2043" s="28" t="str">
        <f t="array" ref="I2043">_xlfn.XLOOKUP($A2043, 'Medical Examinations'!$A:$A, 'Medical Examinations'!H:H, "No Data")</f>
        <v>No</v>
      </c>
      <c r="J2043" s="28" t="str">
        <f t="array" ref="J2043">_xlfn.XLOOKUP($A2043, 'Medical Examinations'!$A:$A, 'Medical Examinations'!I:I, "No Data")</f>
        <v>Underweight</v>
      </c>
      <c r="K2043" s="28" t="str">
        <f t="array" ref="K2043">_xlfn.XLOOKUP($A2043, 'Hospitalisation Details'!$A:$A, 'Hospitalisation Details'!I:I, "No Data")</f>
        <v>tier - 1</v>
      </c>
      <c r="L2043" s="28" t="str">
        <f t="array" ref="L2043">_xlfn.XLOOKUP($A2043, 'Hospitalisation Details'!$A:$A, 'Hospitalisation Details'!J:J, "No Data")</f>
        <v>R1012</v>
      </c>
      <c r="M2043" s="28" t="str">
        <f t="array" ref="M2043">_xlfn.XLOOKUP($A2043, 'Hospitalisation Details'!$A:$A, 'Hospitalisation Details'!E:E, "No Data")</f>
        <v>29/08/99</v>
      </c>
      <c r="N2043" s="28">
        <f t="array" ref="N2043">_xlfn.XLOOKUP($A2043, 'Hospitalisation Details'!$A:$A, 'Hospitalisation Details'!K:K, "No Data")</f>
        <v>23</v>
      </c>
      <c r="O2043" s="33">
        <f t="array" ref="O2043">_xlfn.XLOOKUP($A2043, 'Hospitalisation Details'!$A:$A, 'Hospitalisation Details'!G:G, "No Data")</f>
        <v>2775.19</v>
      </c>
      <c r="P2043" s="28" t="str">
        <f t="array" ref="P2043">_xlfn.XLOOKUP($A2043, 'Hospitalisation Details'!$A:$A, 'Hospitalisation Details'!H:H, "No Data")</f>
        <v>tier - 2</v>
      </c>
    </row>
    <row r="2044">
      <c r="A2044" s="25" t="s">
        <v>2458</v>
      </c>
      <c r="B2044" s="28" t="str">
        <f t="array" ref="B2044">_xlfn.XLOOKUP($A2044, 'Customer Names'!$A:$A, 'Customer Names'!B:B, "No Data")</f>
        <v>Salovaara</v>
      </c>
      <c r="C2044" s="28">
        <f t="array" ref="C2044">_xlfn.XLOOKUP($A2044, 'Medical Examinations'!$A:$A, 'Medical Examinations'!B:B, "No Data")</f>
        <v>30.13</v>
      </c>
      <c r="D2044" s="28">
        <f t="array" ref="D2044">_xlfn.XLOOKUP($A2044, 'Medical Examinations'!$A:$A, 'Medical Examinations'!C:C, "No Data")</f>
        <v>5.71</v>
      </c>
      <c r="E2044" s="28" t="str">
        <f t="array" ref="E2044">_xlfn.XLOOKUP($A2044, 'Medical Examinations'!$A:$A, 'Medical Examinations'!D:D, "No Data")</f>
        <v>No</v>
      </c>
      <c r="F2044" s="28" t="str">
        <f t="array" ref="F2044">_xlfn.XLOOKUP($A2044, 'Medical Examinations'!$A:$A, 'Medical Examinations'!E:E, "No Data")</f>
        <v>yes</v>
      </c>
      <c r="G2044" s="28" t="str">
        <f t="array" ref="G2044">_xlfn.XLOOKUP($A2044, 'Medical Examinations'!$A:$A, 'Medical Examinations'!F:F, "No Data")</f>
        <v>No</v>
      </c>
      <c r="H2044" s="28">
        <f t="array" ref="H2044">_xlfn.XLOOKUP($A2044, 'Medical Examinations'!$A:$A, 'Medical Examinations'!G:G, "No Data")</f>
        <v>1</v>
      </c>
      <c r="I2044" s="28" t="str">
        <f t="array" ref="I2044">_xlfn.XLOOKUP($A2044, 'Medical Examinations'!$A:$A, 'Medical Examinations'!H:H, "No Data")</f>
        <v>No</v>
      </c>
      <c r="J2044" s="28" t="str">
        <f t="array" ref="J2044">_xlfn.XLOOKUP($A2044, 'Medical Examinations'!$A:$A, 'Medical Examinations'!I:I, "No Data")</f>
        <v>Obesity</v>
      </c>
      <c r="K2044" s="28" t="str">
        <f t="array" ref="K2044">_xlfn.XLOOKUP($A2044, 'Hospitalisation Details'!$A:$A, 'Hospitalisation Details'!I:I, "No Data")</f>
        <v>tier - 1</v>
      </c>
      <c r="L2044" s="28" t="str">
        <f t="array" ref="L2044">_xlfn.XLOOKUP($A2044, 'Hospitalisation Details'!$A:$A, 'Hospitalisation Details'!J:J, "No Data")</f>
        <v>R1021</v>
      </c>
      <c r="M2044" s="28" t="str">
        <f t="array" ref="M2044">_xlfn.XLOOKUP($A2044, 'Hospitalisation Details'!$A:$A, 'Hospitalisation Details'!E:E, "No Data")</f>
        <v>14/11/04</v>
      </c>
      <c r="N2044" s="28">
        <f t="array" ref="N2044">_xlfn.XLOOKUP($A2044, 'Hospitalisation Details'!$A:$A, 'Hospitalisation Details'!K:K, "No Data")</f>
        <v>18</v>
      </c>
      <c r="O2044" s="33">
        <f t="array" ref="O2044">_xlfn.XLOOKUP($A2044, 'Hospitalisation Details'!$A:$A, 'Hospitalisation Details'!G:G, "No Data")</f>
        <v>2773.46</v>
      </c>
      <c r="P2044" s="28" t="str">
        <f t="array" ref="P2044">_xlfn.XLOOKUP($A2044, 'Hospitalisation Details'!$A:$A, 'Hospitalisation Details'!H:H, "No Data")</f>
        <v>tier - 2</v>
      </c>
    </row>
    <row r="2045">
      <c r="A2045" s="25" t="s">
        <v>2454</v>
      </c>
      <c r="B2045" s="28" t="str">
        <f t="array" ref="B2045">_xlfn.XLOOKUP($A2045, 'Customer Names'!$A:$A, 'Customer Names'!B:B, "No Data")</f>
        <v>Reid</v>
      </c>
      <c r="C2045" s="28">
        <f t="array" ref="C2045">_xlfn.XLOOKUP($A2045, 'Medical Examinations'!$A:$A, 'Medical Examinations'!B:B, "No Data")</f>
        <v>25.44</v>
      </c>
      <c r="D2045" s="28">
        <f t="array" ref="D2045">_xlfn.XLOOKUP($A2045, 'Medical Examinations'!$A:$A, 'Medical Examinations'!C:C, "No Data")</f>
        <v>6.04</v>
      </c>
      <c r="E2045" s="28" t="str">
        <f t="array" ref="E2045">_xlfn.XLOOKUP($A2045, 'Medical Examinations'!$A:$A, 'Medical Examinations'!D:D, "No Data")</f>
        <v>yes</v>
      </c>
      <c r="F2045" s="28" t="str">
        <f t="array" ref="F2045">_xlfn.XLOOKUP($A2045, 'Medical Examinations'!$A:$A, 'Medical Examinations'!E:E, "No Data")</f>
        <v>No</v>
      </c>
      <c r="G2045" s="28" t="str">
        <f t="array" ref="G2045">_xlfn.XLOOKUP($A2045, 'Medical Examinations'!$A:$A, 'Medical Examinations'!F:F, "No Data")</f>
        <v>Yes</v>
      </c>
      <c r="H2045" s="28">
        <f t="array" ref="H2045">_xlfn.XLOOKUP($A2045, 'Medical Examinations'!$A:$A, 'Medical Examinations'!G:G, "No Data")</f>
        <v>1</v>
      </c>
      <c r="I2045" s="28" t="str">
        <f t="array" ref="I2045">_xlfn.XLOOKUP($A2045, 'Medical Examinations'!$A:$A, 'Medical Examinations'!H:H, "No Data")</f>
        <v>No</v>
      </c>
      <c r="J2045" s="28" t="str">
        <f t="array" ref="J2045">_xlfn.XLOOKUP($A2045, 'Medical Examinations'!$A:$A, 'Medical Examinations'!I:I, "No Data")</f>
        <v>Overweight</v>
      </c>
      <c r="K2045" s="28" t="str">
        <f t="array" ref="K2045">_xlfn.XLOOKUP($A2045, 'Hospitalisation Details'!$A:$A, 'Hospitalisation Details'!I:I, "No Data")</f>
        <v>tier - 1</v>
      </c>
      <c r="L2045" s="28" t="str">
        <f t="array" ref="L2045">_xlfn.XLOOKUP($A2045, 'Hospitalisation Details'!$A:$A, 'Hospitalisation Details'!J:J, "No Data")</f>
        <v>R1012</v>
      </c>
      <c r="M2045" s="28" t="str">
        <f t="array" ref="M2045">_xlfn.XLOOKUP($A2045, 'Hospitalisation Details'!$A:$A, 'Hospitalisation Details'!E:E, "No Data")</f>
        <v>10/08/97</v>
      </c>
      <c r="N2045" s="28">
        <f t="array" ref="N2045">_xlfn.XLOOKUP($A2045, 'Hospitalisation Details'!$A:$A, 'Hospitalisation Details'!K:K, "No Data")</f>
        <v>25</v>
      </c>
      <c r="O2045" s="33">
        <f t="array" ref="O2045">_xlfn.XLOOKUP($A2045, 'Hospitalisation Details'!$A:$A, 'Hospitalisation Details'!G:G, "No Data")</f>
        <v>2758.99</v>
      </c>
      <c r="P2045" s="28" t="str">
        <f t="array" ref="P2045">_xlfn.XLOOKUP($A2045, 'Hospitalisation Details'!$A:$A, 'Hospitalisation Details'!H:H, "No Data")</f>
        <v>tier - 2</v>
      </c>
    </row>
    <row r="2046">
      <c r="A2046" s="25" t="s">
        <v>2449</v>
      </c>
      <c r="B2046" s="28" t="str">
        <f t="array" ref="B2046">_xlfn.XLOOKUP($A2046, 'Customer Names'!$A:$A, 'Customer Names'!B:B, "No Data")</f>
        <v>Allan</v>
      </c>
      <c r="C2046" s="28">
        <f t="array" ref="C2046">_xlfn.XLOOKUP($A2046, 'Medical Examinations'!$A:$A, 'Medical Examinations'!B:B, "No Data")</f>
        <v>39.805</v>
      </c>
      <c r="D2046" s="28">
        <f t="array" ref="D2046">_xlfn.XLOOKUP($A2046, 'Medical Examinations'!$A:$A, 'Medical Examinations'!C:C, "No Data")</f>
        <v>4.38</v>
      </c>
      <c r="E2046" s="28" t="str">
        <f t="array" ref="E2046">_xlfn.XLOOKUP($A2046, 'Medical Examinations'!$A:$A, 'Medical Examinations'!D:D, "No Data")</f>
        <v>No</v>
      </c>
      <c r="F2046" s="28" t="str">
        <f t="array" ref="F2046">_xlfn.XLOOKUP($A2046, 'Medical Examinations'!$A:$A, 'Medical Examinations'!E:E, "No Data")</f>
        <v>yes</v>
      </c>
      <c r="G2046" s="28" t="str">
        <f t="array" ref="G2046">_xlfn.XLOOKUP($A2046, 'Medical Examinations'!$A:$A, 'Medical Examinations'!F:F, "No Data")</f>
        <v>No</v>
      </c>
      <c r="H2046" s="28">
        <f t="array" ref="H2046">_xlfn.XLOOKUP($A2046, 'Medical Examinations'!$A:$A, 'Medical Examinations'!G:G, "No Data")</f>
        <v>1</v>
      </c>
      <c r="I2046" s="28" t="str">
        <f t="array" ref="I2046">_xlfn.XLOOKUP($A2046, 'Medical Examinations'!$A:$A, 'Medical Examinations'!H:H, "No Data")</f>
        <v>No</v>
      </c>
      <c r="J2046" s="28" t="str">
        <f t="array" ref="J2046">_xlfn.XLOOKUP($A2046, 'Medical Examinations'!$A:$A, 'Medical Examinations'!I:I, "No Data")</f>
        <v>Obesity</v>
      </c>
      <c r="K2046" s="28" t="str">
        <f t="array" ref="K2046">_xlfn.XLOOKUP($A2046, 'Hospitalisation Details'!$A:$A, 'Hospitalisation Details'!I:I, "No Data")</f>
        <v>tier - 1</v>
      </c>
      <c r="L2046" s="28" t="str">
        <f t="array" ref="L2046">_xlfn.XLOOKUP($A2046, 'Hospitalisation Details'!$A:$A, 'Hospitalisation Details'!J:J, "No Data")</f>
        <v>R1024</v>
      </c>
      <c r="M2046" s="28" t="str">
        <f t="array" ref="M2046">_xlfn.XLOOKUP($A2046, 'Hospitalisation Details'!$A:$A, 'Hospitalisation Details'!E:E, "No Data")</f>
        <v>11/10/00</v>
      </c>
      <c r="N2046" s="28">
        <f t="array" ref="N2046">_xlfn.XLOOKUP($A2046, 'Hospitalisation Details'!$A:$A, 'Hospitalisation Details'!K:K, "No Data")</f>
        <v>22</v>
      </c>
      <c r="O2046" s="33">
        <f t="array" ref="O2046">_xlfn.XLOOKUP($A2046, 'Hospitalisation Details'!$A:$A, 'Hospitalisation Details'!G:G, "No Data")</f>
        <v>2755.02</v>
      </c>
      <c r="P2046" s="28" t="str">
        <f t="array" ref="P2046">_xlfn.XLOOKUP($A2046, 'Hospitalisation Details'!$A:$A, 'Hospitalisation Details'!H:H, "No Data")</f>
        <v>tier - 2</v>
      </c>
    </row>
    <row r="2047">
      <c r="A2047" s="25" t="s">
        <v>2442</v>
      </c>
      <c r="B2047" s="28" t="str">
        <f t="array" ref="B2047">_xlfn.XLOOKUP($A2047, 'Customer Names'!$A:$A, 'Customer Names'!B:B, "No Data")</f>
        <v>McLaughlin</v>
      </c>
      <c r="C2047" s="28">
        <f t="array" ref="C2047">_xlfn.XLOOKUP($A2047, 'Medical Examinations'!$A:$A, 'Medical Examinations'!B:B, "No Data")</f>
        <v>30.4</v>
      </c>
      <c r="D2047" s="28">
        <f t="array" ref="D2047">_xlfn.XLOOKUP($A2047, 'Medical Examinations'!$A:$A, 'Medical Examinations'!C:C, "No Data")</f>
        <v>5.56</v>
      </c>
      <c r="E2047" s="28" t="str">
        <f t="array" ref="E2047">_xlfn.XLOOKUP($A2047, 'Medical Examinations'!$A:$A, 'Medical Examinations'!D:D, "No Data")</f>
        <v>yes</v>
      </c>
      <c r="F2047" s="28" t="str">
        <f t="array" ref="F2047">_xlfn.XLOOKUP($A2047, 'Medical Examinations'!$A:$A, 'Medical Examinations'!E:E, "No Data")</f>
        <v>yes</v>
      </c>
      <c r="G2047" s="28" t="str">
        <f t="array" ref="G2047">_xlfn.XLOOKUP($A2047, 'Medical Examinations'!$A:$A, 'Medical Examinations'!F:F, "No Data")</f>
        <v>No</v>
      </c>
      <c r="H2047" s="28">
        <f t="array" ref="H2047">_xlfn.XLOOKUP($A2047, 'Medical Examinations'!$A:$A, 'Medical Examinations'!G:G, "No Data")</f>
        <v>1</v>
      </c>
      <c r="I2047" s="28" t="str">
        <f t="array" ref="I2047">_xlfn.XLOOKUP($A2047, 'Medical Examinations'!$A:$A, 'Medical Examinations'!H:H, "No Data")</f>
        <v>No</v>
      </c>
      <c r="J2047" s="28" t="str">
        <f t="array" ref="J2047">_xlfn.XLOOKUP($A2047, 'Medical Examinations'!$A:$A, 'Medical Examinations'!I:I, "No Data")</f>
        <v>Obesity</v>
      </c>
      <c r="K2047" s="28" t="str">
        <f t="array" ref="K2047">_xlfn.XLOOKUP($A2047, 'Hospitalisation Details'!$A:$A, 'Hospitalisation Details'!I:I, "No Data")</f>
        <v>tier - 3</v>
      </c>
      <c r="L2047" s="28" t="str">
        <f t="array" ref="L2047">_xlfn.XLOOKUP($A2047, 'Hospitalisation Details'!$A:$A, 'Hospitalisation Details'!J:J, "No Data")</f>
        <v>R1024</v>
      </c>
      <c r="M2047" s="28" t="str">
        <f t="array" ref="M2047">_xlfn.XLOOKUP($A2047, 'Hospitalisation Details'!$A:$A, 'Hospitalisation Details'!E:E, "No Data")</f>
        <v>03/10/00</v>
      </c>
      <c r="N2047" s="28">
        <f t="array" ref="N2047">_xlfn.XLOOKUP($A2047, 'Hospitalisation Details'!$A:$A, 'Hospitalisation Details'!K:K, "No Data")</f>
        <v>22</v>
      </c>
      <c r="O2047" s="33">
        <f t="array" ref="O2047">_xlfn.XLOOKUP($A2047, 'Hospitalisation Details'!$A:$A, 'Hospitalisation Details'!G:G, "No Data")</f>
        <v>2741.95</v>
      </c>
      <c r="P2047" s="28" t="str">
        <f t="array" ref="P2047">_xlfn.XLOOKUP($A2047, 'Hospitalisation Details'!$A:$A, 'Hospitalisation Details'!H:H, "No Data")</f>
        <v>tier - 2</v>
      </c>
    </row>
    <row r="2048">
      <c r="A2048" s="25" t="s">
        <v>2434</v>
      </c>
      <c r="B2048" s="28" t="str">
        <f t="array" ref="B2048">_xlfn.XLOOKUP($A2048, 'Customer Names'!$A:$A, 'Customer Names'!B:B, "No Data")</f>
        <v>Lee</v>
      </c>
      <c r="C2048" s="28">
        <f t="array" ref="C2048">_xlfn.XLOOKUP($A2048, 'Medical Examinations'!$A:$A, 'Medical Examinations'!B:B, "No Data")</f>
        <v>23.18</v>
      </c>
      <c r="D2048" s="28">
        <f t="array" ref="D2048">_xlfn.XLOOKUP($A2048, 'Medical Examinations'!$A:$A, 'Medical Examinations'!C:C, "No Data")</f>
        <v>4.24</v>
      </c>
      <c r="E2048" s="28" t="str">
        <f t="array" ref="E2048">_xlfn.XLOOKUP($A2048, 'Medical Examinations'!$A:$A, 'Medical Examinations'!D:D, "No Data")</f>
        <v>No</v>
      </c>
      <c r="F2048" s="28" t="str">
        <f t="array" ref="F2048">_xlfn.XLOOKUP($A2048, 'Medical Examinations'!$A:$A, 'Medical Examinations'!E:E, "No Data")</f>
        <v>yes</v>
      </c>
      <c r="G2048" s="28" t="str">
        <f t="array" ref="G2048">_xlfn.XLOOKUP($A2048, 'Medical Examinations'!$A:$A, 'Medical Examinations'!F:F, "No Data")</f>
        <v>No</v>
      </c>
      <c r="H2048" s="28">
        <f t="array" ref="H2048">_xlfn.XLOOKUP($A2048, 'Medical Examinations'!$A:$A, 'Medical Examinations'!G:G, "No Data")</f>
        <v>1</v>
      </c>
      <c r="I2048" s="28" t="str">
        <f t="array" ref="I2048">_xlfn.XLOOKUP($A2048, 'Medical Examinations'!$A:$A, 'Medical Examinations'!H:H, "No Data")</f>
        <v>No</v>
      </c>
      <c r="J2048" s="28" t="str">
        <f t="array" ref="J2048">_xlfn.XLOOKUP($A2048, 'Medical Examinations'!$A:$A, 'Medical Examinations'!I:I, "No Data")</f>
        <v>Normal Weight</v>
      </c>
      <c r="K2048" s="28" t="str">
        <f t="array" ref="K2048">_xlfn.XLOOKUP($A2048, 'Hospitalisation Details'!$A:$A, 'Hospitalisation Details'!I:I, "No Data")</f>
        <v>tier - 3</v>
      </c>
      <c r="L2048" s="28" t="str">
        <f t="array" ref="L2048">_xlfn.XLOOKUP($A2048, 'Hospitalisation Details'!$A:$A, 'Hospitalisation Details'!J:J, "No Data")</f>
        <v>R1024</v>
      </c>
      <c r="M2048" s="28" t="str">
        <f t="array" ref="M2048">_xlfn.XLOOKUP($A2048, 'Hospitalisation Details'!$A:$A, 'Hospitalisation Details'!E:E, "No Data")</f>
        <v>17/12/00</v>
      </c>
      <c r="N2048" s="28">
        <f t="array" ref="N2048">_xlfn.XLOOKUP($A2048, 'Hospitalisation Details'!$A:$A, 'Hospitalisation Details'!K:K, "No Data")</f>
        <v>22</v>
      </c>
      <c r="O2048" s="33">
        <f t="array" ref="O2048">_xlfn.XLOOKUP($A2048, 'Hospitalisation Details'!$A:$A, 'Hospitalisation Details'!G:G, "No Data")</f>
        <v>2731.91</v>
      </c>
      <c r="P2048" s="28" t="str">
        <f t="array" ref="P2048">_xlfn.XLOOKUP($A2048, 'Hospitalisation Details'!$A:$A, 'Hospitalisation Details'!H:H, "No Data")</f>
        <v>tier - 2</v>
      </c>
    </row>
    <row r="2049">
      <c r="A2049" s="25" t="s">
        <v>2429</v>
      </c>
      <c r="B2049" s="28" t="str">
        <f t="array" ref="B2049">_xlfn.XLOOKUP($A2049, 'Customer Names'!$A:$A, 'Customer Names'!B:B, "No Data")</f>
        <v>Tang</v>
      </c>
      <c r="C2049" s="28">
        <f t="array" ref="C2049">_xlfn.XLOOKUP($A2049, 'Medical Examinations'!$A:$A, 'Medical Examinations'!B:B, "No Data")</f>
        <v>39.615</v>
      </c>
      <c r="D2049" s="28">
        <f t="array" ref="D2049">_xlfn.XLOOKUP($A2049, 'Medical Examinations'!$A:$A, 'Medical Examinations'!C:C, "No Data")</f>
        <v>6.32</v>
      </c>
      <c r="E2049" s="28" t="str">
        <f t="array" ref="E2049">_xlfn.XLOOKUP($A2049, 'Medical Examinations'!$A:$A, 'Medical Examinations'!D:D, "No Data")</f>
        <v>No</v>
      </c>
      <c r="F2049" s="28" t="str">
        <f t="array" ref="F2049">_xlfn.XLOOKUP($A2049, 'Medical Examinations'!$A:$A, 'Medical Examinations'!E:E, "No Data")</f>
        <v>No</v>
      </c>
      <c r="G2049" s="28" t="str">
        <f t="array" ref="G2049">_xlfn.XLOOKUP($A2049, 'Medical Examinations'!$A:$A, 'Medical Examinations'!F:F, "No Data")</f>
        <v>Yes</v>
      </c>
      <c r="H2049" s="28">
        <f t="array" ref="H2049">_xlfn.XLOOKUP($A2049, 'Medical Examinations'!$A:$A, 'Medical Examinations'!G:G, "No Data")</f>
        <v>1</v>
      </c>
      <c r="I2049" s="28" t="str">
        <f t="array" ref="I2049">_xlfn.XLOOKUP($A2049, 'Medical Examinations'!$A:$A, 'Medical Examinations'!H:H, "No Data")</f>
        <v>No</v>
      </c>
      <c r="J2049" s="28" t="str">
        <f t="array" ref="J2049">_xlfn.XLOOKUP($A2049, 'Medical Examinations'!$A:$A, 'Medical Examinations'!I:I, "No Data")</f>
        <v>Obesity</v>
      </c>
      <c r="K2049" s="28" t="str">
        <f t="array" ref="K2049">_xlfn.XLOOKUP($A2049, 'Hospitalisation Details'!$A:$A, 'Hospitalisation Details'!I:I, "No Data")</f>
        <v>tier - 3</v>
      </c>
      <c r="L2049" s="28" t="str">
        <f t="array" ref="L2049">_xlfn.XLOOKUP($A2049, 'Hospitalisation Details'!$A:$A, 'Hospitalisation Details'!J:J, "No Data")</f>
        <v>R1012</v>
      </c>
      <c r="M2049" s="28" t="str">
        <f t="array" ref="M2049">_xlfn.XLOOKUP($A2049, 'Hospitalisation Details'!$A:$A, 'Hospitalisation Details'!E:E, "No Data")</f>
        <v>03/12/03</v>
      </c>
      <c r="N2049" s="28">
        <f t="array" ref="N2049">_xlfn.XLOOKUP($A2049, 'Hospitalisation Details'!$A:$A, 'Hospitalisation Details'!K:K, "No Data")</f>
        <v>19</v>
      </c>
      <c r="O2049" s="33">
        <f t="array" ref="O2049">_xlfn.XLOOKUP($A2049, 'Hospitalisation Details'!$A:$A, 'Hospitalisation Details'!G:G, "No Data")</f>
        <v>2730.11</v>
      </c>
      <c r="P2049" s="28" t="str">
        <f t="array" ref="P2049">_xlfn.XLOOKUP($A2049, 'Hospitalisation Details'!$A:$A, 'Hospitalisation Details'!H:H, "No Data")</f>
        <v>tier - 2</v>
      </c>
    </row>
    <row r="2050">
      <c r="A2050" s="25" t="s">
        <v>2424</v>
      </c>
      <c r="B2050" s="28" t="str">
        <f t="array" ref="B2050">_xlfn.XLOOKUP($A2050, 'Customer Names'!$A:$A, 'Customer Names'!B:B, "No Data")</f>
        <v>Kennedy</v>
      </c>
      <c r="C2050" s="28">
        <f t="array" ref="C2050">_xlfn.XLOOKUP($A2050, 'Medical Examinations'!$A:$A, 'Medical Examinations'!B:B, "No Data")</f>
        <v>30.59</v>
      </c>
      <c r="D2050" s="28">
        <f t="array" ref="D2050">_xlfn.XLOOKUP($A2050, 'Medical Examinations'!$A:$A, 'Medical Examinations'!C:C, "No Data")</f>
        <v>6.3</v>
      </c>
      <c r="E2050" s="28" t="str">
        <f t="array" ref="E2050">_xlfn.XLOOKUP($A2050, 'Medical Examinations'!$A:$A, 'Medical Examinations'!D:D, "No Data")</f>
        <v>yes</v>
      </c>
      <c r="F2050" s="28" t="str">
        <f t="array" ref="F2050">_xlfn.XLOOKUP($A2050, 'Medical Examinations'!$A:$A, 'Medical Examinations'!E:E, "No Data")</f>
        <v>No</v>
      </c>
      <c r="G2050" s="28" t="str">
        <f t="array" ref="G2050">_xlfn.XLOOKUP($A2050, 'Medical Examinations'!$A:$A, 'Medical Examinations'!F:F, "No Data")</f>
        <v>Yes</v>
      </c>
      <c r="H2050" s="28">
        <f t="array" ref="H2050">_xlfn.XLOOKUP($A2050, 'Medical Examinations'!$A:$A, 'Medical Examinations'!G:G, "No Data")</f>
        <v>1</v>
      </c>
      <c r="I2050" s="28" t="str">
        <f t="array" ref="I2050">_xlfn.XLOOKUP($A2050, 'Medical Examinations'!$A:$A, 'Medical Examinations'!H:H, "No Data")</f>
        <v>No</v>
      </c>
      <c r="J2050" s="28" t="str">
        <f t="array" ref="J2050">_xlfn.XLOOKUP($A2050, 'Medical Examinations'!$A:$A, 'Medical Examinations'!I:I, "No Data")</f>
        <v>Obesity</v>
      </c>
      <c r="K2050" s="28" t="str">
        <f t="array" ref="K2050">_xlfn.XLOOKUP($A2050, 'Hospitalisation Details'!$A:$A, 'Hospitalisation Details'!I:I, "No Data")</f>
        <v>tier - 3</v>
      </c>
      <c r="L2050" s="28" t="str">
        <f t="array" ref="L2050">_xlfn.XLOOKUP($A2050, 'Hospitalisation Details'!$A:$A, 'Hospitalisation Details'!J:J, "No Data")</f>
        <v>R1016</v>
      </c>
      <c r="M2050" s="28" t="str">
        <f t="array" ref="M2050">_xlfn.XLOOKUP($A2050, 'Hospitalisation Details'!$A:$A, 'Hospitalisation Details'!E:E, "No Data")</f>
        <v>06/10/97</v>
      </c>
      <c r="N2050" s="28">
        <f t="array" ref="N2050">_xlfn.XLOOKUP($A2050, 'Hospitalisation Details'!$A:$A, 'Hospitalisation Details'!K:K, "No Data")</f>
        <v>25</v>
      </c>
      <c r="O2050" s="33">
        <f t="array" ref="O2050">_xlfn.XLOOKUP($A2050, 'Hospitalisation Details'!$A:$A, 'Hospitalisation Details'!G:G, "No Data")</f>
        <v>2727.4</v>
      </c>
      <c r="P2050" s="28" t="str">
        <f t="array" ref="P2050">_xlfn.XLOOKUP($A2050, 'Hospitalisation Details'!$A:$A, 'Hospitalisation Details'!H:H, "No Data")</f>
        <v>tier - 3</v>
      </c>
    </row>
    <row r="2051">
      <c r="A2051" s="25" t="s">
        <v>2417</v>
      </c>
      <c r="B2051" s="28" t="str">
        <f t="array" ref="B2051">_xlfn.XLOOKUP($A2051, 'Customer Names'!$A:$A, 'Customer Names'!B:B, "No Data")</f>
        <v>Condon</v>
      </c>
      <c r="C2051" s="28">
        <f t="array" ref="C2051">_xlfn.XLOOKUP($A2051, 'Medical Examinations'!$A:$A, 'Medical Examinations'!B:B, "No Data")</f>
        <v>16.72</v>
      </c>
      <c r="D2051" s="28">
        <f t="array" ref="D2051">_xlfn.XLOOKUP($A2051, 'Medical Examinations'!$A:$A, 'Medical Examinations'!C:C, "No Data")</f>
        <v>4.38</v>
      </c>
      <c r="E2051" s="28" t="str">
        <f t="array" ref="E2051">_xlfn.XLOOKUP($A2051, 'Medical Examinations'!$A:$A, 'Medical Examinations'!D:D, "No Data")</f>
        <v>yes</v>
      </c>
      <c r="F2051" s="28" t="str">
        <f t="array" ref="F2051">_xlfn.XLOOKUP($A2051, 'Medical Examinations'!$A:$A, 'Medical Examinations'!E:E, "No Data")</f>
        <v>No</v>
      </c>
      <c r="G2051" s="28" t="str">
        <f t="array" ref="G2051">_xlfn.XLOOKUP($A2051, 'Medical Examinations'!$A:$A, 'Medical Examinations'!F:F, "No Data")</f>
        <v>No</v>
      </c>
      <c r="H2051" s="28">
        <f t="array" ref="H2051">_xlfn.XLOOKUP($A2051, 'Medical Examinations'!$A:$A, 'Medical Examinations'!G:G, "No Data")</f>
        <v>1</v>
      </c>
      <c r="I2051" s="28" t="str">
        <f t="array" ref="I2051">_xlfn.XLOOKUP($A2051, 'Medical Examinations'!$A:$A, 'Medical Examinations'!H:H, "No Data")</f>
        <v>No</v>
      </c>
      <c r="J2051" s="28" t="str">
        <f t="array" ref="J2051">_xlfn.XLOOKUP($A2051, 'Medical Examinations'!$A:$A, 'Medical Examinations'!I:I, "No Data")</f>
        <v>Underweight</v>
      </c>
      <c r="K2051" s="28" t="str">
        <f t="array" ref="K2051">_xlfn.XLOOKUP($A2051, 'Hospitalisation Details'!$A:$A, 'Hospitalisation Details'!I:I, "No Data")</f>
        <v>tier - 2</v>
      </c>
      <c r="L2051" s="28" t="str">
        <f t="array" ref="L2051">_xlfn.XLOOKUP($A2051, 'Hospitalisation Details'!$A:$A, 'Hospitalisation Details'!J:J, "No Data")</f>
        <v>R1013</v>
      </c>
      <c r="M2051" s="28" t="str">
        <f t="array" ref="M2051">_xlfn.XLOOKUP($A2051, 'Hospitalisation Details'!$A:$A, 'Hospitalisation Details'!E:E, "No Data")</f>
        <v>20/08/88</v>
      </c>
      <c r="N2051" s="28">
        <f t="array" ref="N2051">_xlfn.XLOOKUP($A2051, 'Hospitalisation Details'!$A:$A, 'Hospitalisation Details'!K:K, "No Data")</f>
        <v>34</v>
      </c>
      <c r="O2051" s="33">
        <f t="array" ref="O2051">_xlfn.XLOOKUP($A2051, 'Hospitalisation Details'!$A:$A, 'Hospitalisation Details'!G:G, "No Data")</f>
        <v>2726.06</v>
      </c>
      <c r="P2051" s="28" t="str">
        <f t="array" ref="P2051">_xlfn.XLOOKUP($A2051, 'Hospitalisation Details'!$A:$A, 'Hospitalisation Details'!H:H, "No Data")</f>
        <v>tier - 2</v>
      </c>
    </row>
    <row r="2052">
      <c r="A2052" s="25" t="s">
        <v>2408</v>
      </c>
      <c r="B2052" s="28" t="str">
        <f t="array" ref="B2052">_xlfn.XLOOKUP($A2052, 'Customer Names'!$A:$A, 'Customer Names'!B:B, "No Data")</f>
        <v>Chepkwony</v>
      </c>
      <c r="C2052" s="28">
        <f t="array" ref="C2052">_xlfn.XLOOKUP($A2052, 'Medical Examinations'!$A:$A, 'Medical Examinations'!B:B, "No Data")</f>
        <v>26.22</v>
      </c>
      <c r="D2052" s="28">
        <f t="array" ref="D2052">_xlfn.XLOOKUP($A2052, 'Medical Examinations'!$A:$A, 'Medical Examinations'!C:C, "No Data")</f>
        <v>4.65</v>
      </c>
      <c r="E2052" s="28" t="str">
        <f t="array" ref="E2052">_xlfn.XLOOKUP($A2052, 'Medical Examinations'!$A:$A, 'Medical Examinations'!D:D, "No Data")</f>
        <v>yes</v>
      </c>
      <c r="F2052" s="28" t="str">
        <f t="array" ref="F2052">_xlfn.XLOOKUP($A2052, 'Medical Examinations'!$A:$A, 'Medical Examinations'!E:E, "No Data")</f>
        <v>No</v>
      </c>
      <c r="G2052" s="28" t="str">
        <f t="array" ref="G2052">_xlfn.XLOOKUP($A2052, 'Medical Examinations'!$A:$A, 'Medical Examinations'!F:F, "No Data")</f>
        <v>Yes</v>
      </c>
      <c r="H2052" s="28">
        <f t="array" ref="H2052">_xlfn.XLOOKUP($A2052, 'Medical Examinations'!$A:$A, 'Medical Examinations'!G:G, "No Data")</f>
        <v>1</v>
      </c>
      <c r="I2052" s="28" t="str">
        <f t="array" ref="I2052">_xlfn.XLOOKUP($A2052, 'Medical Examinations'!$A:$A, 'Medical Examinations'!H:H, "No Data")</f>
        <v>No</v>
      </c>
      <c r="J2052" s="28" t="str">
        <f t="array" ref="J2052">_xlfn.XLOOKUP($A2052, 'Medical Examinations'!$A:$A, 'Medical Examinations'!I:I, "No Data")</f>
        <v>Overweight</v>
      </c>
      <c r="K2052" s="28" t="str">
        <f t="array" ref="K2052">_xlfn.XLOOKUP($A2052, 'Hospitalisation Details'!$A:$A, 'Hospitalisation Details'!I:I, "No Data")</f>
        <v>tier - 3</v>
      </c>
      <c r="L2052" s="28" t="str">
        <f t="array" ref="L2052">_xlfn.XLOOKUP($A2052, 'Hospitalisation Details'!$A:$A, 'Hospitalisation Details'!J:J, "No Data")</f>
        <v>R1014</v>
      </c>
      <c r="M2052" s="28" t="str">
        <f t="array" ref="M2052">_xlfn.XLOOKUP($A2052, 'Hospitalisation Details'!$A:$A, 'Hospitalisation Details'!E:E, "No Data")</f>
        <v>30/10/97</v>
      </c>
      <c r="N2052" s="28">
        <f t="array" ref="N2052">_xlfn.XLOOKUP($A2052, 'Hospitalisation Details'!$A:$A, 'Hospitalisation Details'!K:K, "No Data")</f>
        <v>25</v>
      </c>
      <c r="O2052" s="33">
        <f t="array" ref="O2052">_xlfn.XLOOKUP($A2052, 'Hospitalisation Details'!$A:$A, 'Hospitalisation Details'!G:G, "No Data")</f>
        <v>2721.32</v>
      </c>
      <c r="P2052" s="28" t="str">
        <f t="array" ref="P2052">_xlfn.XLOOKUP($A2052, 'Hospitalisation Details'!$A:$A, 'Hospitalisation Details'!H:H, "No Data")</f>
        <v>tier - 1</v>
      </c>
    </row>
    <row r="2053">
      <c r="A2053" s="25" t="s">
        <v>2399</v>
      </c>
      <c r="B2053" s="28" t="str">
        <f t="array" ref="B2053">_xlfn.XLOOKUP($A2053, 'Customer Names'!$A:$A, 'Customer Names'!B:B, "No Data")</f>
        <v>Rodriguez</v>
      </c>
      <c r="C2053" s="28">
        <f t="array" ref="C2053">_xlfn.XLOOKUP($A2053, 'Medical Examinations'!$A:$A, 'Medical Examinations'!B:B, "No Data")</f>
        <v>31.825</v>
      </c>
      <c r="D2053" s="28">
        <f t="array" ref="D2053">_xlfn.XLOOKUP($A2053, 'Medical Examinations'!$A:$A, 'Medical Examinations'!C:C, "No Data")</f>
        <v>4.7</v>
      </c>
      <c r="E2053" s="28" t="str">
        <f t="array" ref="E2053">_xlfn.XLOOKUP($A2053, 'Medical Examinations'!$A:$A, 'Medical Examinations'!D:D, "No Data")</f>
        <v>No</v>
      </c>
      <c r="F2053" s="28" t="str">
        <f t="array" ref="F2053">_xlfn.XLOOKUP($A2053, 'Medical Examinations'!$A:$A, 'Medical Examinations'!E:E, "No Data")</f>
        <v>No</v>
      </c>
      <c r="G2053" s="28" t="str">
        <f t="array" ref="G2053">_xlfn.XLOOKUP($A2053, 'Medical Examinations'!$A:$A, 'Medical Examinations'!F:F, "No Data")</f>
        <v>Yes</v>
      </c>
      <c r="H2053" s="28">
        <f t="array" ref="H2053">_xlfn.XLOOKUP($A2053, 'Medical Examinations'!$A:$A, 'Medical Examinations'!G:G, "No Data")</f>
        <v>1</v>
      </c>
      <c r="I2053" s="28" t="str">
        <f t="array" ref="I2053">_xlfn.XLOOKUP($A2053, 'Medical Examinations'!$A:$A, 'Medical Examinations'!H:H, "No Data")</f>
        <v>No</v>
      </c>
      <c r="J2053" s="28" t="str">
        <f t="array" ref="J2053">_xlfn.XLOOKUP($A2053, 'Medical Examinations'!$A:$A, 'Medical Examinations'!I:I, "No Data")</f>
        <v>Obesity</v>
      </c>
      <c r="K2053" s="28" t="str">
        <f t="array" ref="K2053">_xlfn.XLOOKUP($A2053, 'Hospitalisation Details'!$A:$A, 'Hospitalisation Details'!I:I, "No Data")</f>
        <v>tier - 2</v>
      </c>
      <c r="L2053" s="28" t="str">
        <f t="array" ref="L2053">_xlfn.XLOOKUP($A2053, 'Hospitalisation Details'!$A:$A, 'Hospitalisation Details'!J:J, "No Data")</f>
        <v>R1012</v>
      </c>
      <c r="M2053" s="28" t="str">
        <f t="array" ref="M2053">_xlfn.XLOOKUP($A2053, 'Hospitalisation Details'!$A:$A, 'Hospitalisation Details'!E:E, "No Data")</f>
        <v>06/08/03</v>
      </c>
      <c r="N2053" s="28">
        <f t="array" ref="N2053">_xlfn.XLOOKUP($A2053, 'Hospitalisation Details'!$A:$A, 'Hospitalisation Details'!K:K, "No Data")</f>
        <v>19</v>
      </c>
      <c r="O2053" s="33">
        <f t="array" ref="O2053">_xlfn.XLOOKUP($A2053, 'Hospitalisation Details'!$A:$A, 'Hospitalisation Details'!G:G, "No Data")</f>
        <v>2719.28</v>
      </c>
      <c r="P2053" s="28" t="str">
        <f t="array" ref="P2053">_xlfn.XLOOKUP($A2053, 'Hospitalisation Details'!$A:$A, 'Hospitalisation Details'!H:H, "No Data")</f>
        <v>tier - 2</v>
      </c>
    </row>
    <row r="2054">
      <c r="A2054" s="25" t="s">
        <v>2395</v>
      </c>
      <c r="B2054" s="28" t="str">
        <f t="array" ref="B2054">_xlfn.XLOOKUP($A2054, 'Customer Names'!$A:$A, 'Customer Names'!B:B, "No Data")</f>
        <v>Szynkarczuk</v>
      </c>
      <c r="C2054" s="28">
        <f t="array" ref="C2054">_xlfn.XLOOKUP($A2054, 'Medical Examinations'!$A:$A, 'Medical Examinations'!B:B, "No Data")</f>
        <v>25.745</v>
      </c>
      <c r="D2054" s="28">
        <f t="array" ref="D2054">_xlfn.XLOOKUP($A2054, 'Medical Examinations'!$A:$A, 'Medical Examinations'!C:C, "No Data")</f>
        <v>4.34</v>
      </c>
      <c r="E2054" s="28" t="str">
        <f t="array" ref="E2054">_xlfn.XLOOKUP($A2054, 'Medical Examinations'!$A:$A, 'Medical Examinations'!D:D, "No Data")</f>
        <v>No</v>
      </c>
      <c r="F2054" s="28" t="str">
        <f t="array" ref="F2054">_xlfn.XLOOKUP($A2054, 'Medical Examinations'!$A:$A, 'Medical Examinations'!E:E, "No Data")</f>
        <v>No</v>
      </c>
      <c r="G2054" s="28" t="str">
        <f t="array" ref="G2054">_xlfn.XLOOKUP($A2054, 'Medical Examinations'!$A:$A, 'Medical Examinations'!F:F, "No Data")</f>
        <v>Yes</v>
      </c>
      <c r="H2054" s="28">
        <f t="array" ref="H2054">_xlfn.XLOOKUP($A2054, 'Medical Examinations'!$A:$A, 'Medical Examinations'!G:G, "No Data")</f>
        <v>1</v>
      </c>
      <c r="I2054" s="28" t="str">
        <f t="array" ref="I2054">_xlfn.XLOOKUP($A2054, 'Medical Examinations'!$A:$A, 'Medical Examinations'!H:H, "No Data")</f>
        <v>No</v>
      </c>
      <c r="J2054" s="28" t="str">
        <f t="array" ref="J2054">_xlfn.XLOOKUP($A2054, 'Medical Examinations'!$A:$A, 'Medical Examinations'!I:I, "No Data")</f>
        <v>Overweight</v>
      </c>
      <c r="K2054" s="28" t="str">
        <f t="array" ref="K2054">_xlfn.XLOOKUP($A2054, 'Hospitalisation Details'!$A:$A, 'Hospitalisation Details'!I:I, "No Data")</f>
        <v>tier - 3</v>
      </c>
      <c r="L2054" s="28" t="str">
        <f t="array" ref="L2054">_xlfn.XLOOKUP($A2054, 'Hospitalisation Details'!$A:$A, 'Hospitalisation Details'!J:J, "No Data")</f>
        <v>R1012</v>
      </c>
      <c r="M2054" s="28" t="str">
        <f t="array" ref="M2054">_xlfn.XLOOKUP($A2054, 'Hospitalisation Details'!$A:$A, 'Hospitalisation Details'!E:E, "No Data")</f>
        <v>01/12/03</v>
      </c>
      <c r="N2054" s="28">
        <f t="array" ref="N2054">_xlfn.XLOOKUP($A2054, 'Hospitalisation Details'!$A:$A, 'Hospitalisation Details'!K:K, "No Data")</f>
        <v>19</v>
      </c>
      <c r="O2054" s="33">
        <f t="array" ref="O2054">_xlfn.XLOOKUP($A2054, 'Hospitalisation Details'!$A:$A, 'Hospitalisation Details'!G:G, "No Data")</f>
        <v>2710.83</v>
      </c>
      <c r="P2054" s="28" t="str">
        <f t="array" ref="P2054">_xlfn.XLOOKUP($A2054, 'Hospitalisation Details'!$A:$A, 'Hospitalisation Details'!H:H, "No Data")</f>
        <v>tier - 2</v>
      </c>
    </row>
    <row r="2055">
      <c r="A2055" s="25" t="s">
        <v>2391</v>
      </c>
      <c r="B2055" s="28" t="str">
        <f t="array" ref="B2055">_xlfn.XLOOKUP($A2055, 'Customer Names'!$A:$A, 'Customer Names'!B:B, "No Data")</f>
        <v>Brill</v>
      </c>
      <c r="C2055" s="28">
        <f t="array" ref="C2055">_xlfn.XLOOKUP($A2055, 'Medical Examinations'!$A:$A, 'Medical Examinations'!B:B, "No Data")</f>
        <v>24.605</v>
      </c>
      <c r="D2055" s="28">
        <f t="array" ref="D2055">_xlfn.XLOOKUP($A2055, 'Medical Examinations'!$A:$A, 'Medical Examinations'!C:C, "No Data")</f>
        <v>5.62</v>
      </c>
      <c r="E2055" s="28" t="str">
        <f t="array" ref="E2055">_xlfn.XLOOKUP($A2055, 'Medical Examinations'!$A:$A, 'Medical Examinations'!D:D, "No Data")</f>
        <v>No</v>
      </c>
      <c r="F2055" s="28" t="str">
        <f t="array" ref="F2055">_xlfn.XLOOKUP($A2055, 'Medical Examinations'!$A:$A, 'Medical Examinations'!E:E, "No Data")</f>
        <v>No</v>
      </c>
      <c r="G2055" s="28" t="str">
        <f t="array" ref="G2055">_xlfn.XLOOKUP($A2055, 'Medical Examinations'!$A:$A, 'Medical Examinations'!F:F, "No Data")</f>
        <v>Yes</v>
      </c>
      <c r="H2055" s="28">
        <f t="array" ref="H2055">_xlfn.XLOOKUP($A2055, 'Medical Examinations'!$A:$A, 'Medical Examinations'!G:G, "No Data")</f>
        <v>1</v>
      </c>
      <c r="I2055" s="28" t="str">
        <f t="array" ref="I2055">_xlfn.XLOOKUP($A2055, 'Medical Examinations'!$A:$A, 'Medical Examinations'!H:H, "No Data")</f>
        <v>No</v>
      </c>
      <c r="J2055" s="28" t="str">
        <f t="array" ref="J2055">_xlfn.XLOOKUP($A2055, 'Medical Examinations'!$A:$A, 'Medical Examinations'!I:I, "No Data")</f>
        <v>Normal Weight</v>
      </c>
      <c r="K2055" s="28" t="str">
        <f t="array" ref="K2055">_xlfn.XLOOKUP($A2055, 'Hospitalisation Details'!$A:$A, 'Hospitalisation Details'!I:I, "No Data")</f>
        <v>tier - 2</v>
      </c>
      <c r="L2055" s="28" t="str">
        <f t="array" ref="L2055">_xlfn.XLOOKUP($A2055, 'Hospitalisation Details'!$A:$A, 'Hospitalisation Details'!J:J, "No Data")</f>
        <v>R1012</v>
      </c>
      <c r="M2055" s="28" t="str">
        <f t="array" ref="M2055">_xlfn.XLOOKUP($A2055, 'Hospitalisation Details'!$A:$A, 'Hospitalisation Details'!E:E, "No Data")</f>
        <v>21/11/03</v>
      </c>
      <c r="N2055" s="28">
        <f t="array" ref="N2055">_xlfn.XLOOKUP($A2055, 'Hospitalisation Details'!$A:$A, 'Hospitalisation Details'!K:K, "No Data")</f>
        <v>19</v>
      </c>
      <c r="O2055" s="33">
        <f t="array" ref="O2055">_xlfn.XLOOKUP($A2055, 'Hospitalisation Details'!$A:$A, 'Hospitalisation Details'!G:G, "No Data")</f>
        <v>2709.24</v>
      </c>
      <c r="P2055" s="28" t="str">
        <f t="array" ref="P2055">_xlfn.XLOOKUP($A2055, 'Hospitalisation Details'!$A:$A, 'Hospitalisation Details'!H:H, "No Data")</f>
        <v>tier - 2</v>
      </c>
    </row>
    <row r="2056">
      <c r="A2056" s="25" t="s">
        <v>2386</v>
      </c>
      <c r="B2056" s="28" t="str">
        <f t="array" ref="B2056">_xlfn.XLOOKUP($A2056, 'Customer Names'!$A:$A, 'Customer Names'!B:B, "No Data")</f>
        <v>Adams</v>
      </c>
      <c r="C2056" s="28">
        <f t="array" ref="C2056">_xlfn.XLOOKUP($A2056, 'Medical Examinations'!$A:$A, 'Medical Examinations'!B:B, "No Data")</f>
        <v>24.51</v>
      </c>
      <c r="D2056" s="28">
        <f t="array" ref="D2056">_xlfn.XLOOKUP($A2056, 'Medical Examinations'!$A:$A, 'Medical Examinations'!C:C, "No Data")</f>
        <v>4.24</v>
      </c>
      <c r="E2056" s="28" t="str">
        <f t="array" ref="E2056">_xlfn.XLOOKUP($A2056, 'Medical Examinations'!$A:$A, 'Medical Examinations'!D:D, "No Data")</f>
        <v>No</v>
      </c>
      <c r="F2056" s="28" t="str">
        <f t="array" ref="F2056">_xlfn.XLOOKUP($A2056, 'Medical Examinations'!$A:$A, 'Medical Examinations'!E:E, "No Data")</f>
        <v>No</v>
      </c>
      <c r="G2056" s="28" t="str">
        <f t="array" ref="G2056">_xlfn.XLOOKUP($A2056, 'Medical Examinations'!$A:$A, 'Medical Examinations'!F:F, "No Data")</f>
        <v>Yes</v>
      </c>
      <c r="H2056" s="28">
        <f t="array" ref="H2056">_xlfn.XLOOKUP($A2056, 'Medical Examinations'!$A:$A, 'Medical Examinations'!G:G, "No Data")</f>
        <v>1</v>
      </c>
      <c r="I2056" s="28" t="str">
        <f t="array" ref="I2056">_xlfn.XLOOKUP($A2056, 'Medical Examinations'!$A:$A, 'Medical Examinations'!H:H, "No Data")</f>
        <v>No</v>
      </c>
      <c r="J2056" s="28" t="str">
        <f t="array" ref="J2056">_xlfn.XLOOKUP($A2056, 'Medical Examinations'!$A:$A, 'Medical Examinations'!I:I, "No Data")</f>
        <v>Normal Weight</v>
      </c>
      <c r="K2056" s="28" t="str">
        <f t="array" ref="K2056">_xlfn.XLOOKUP($A2056, 'Hospitalisation Details'!$A:$A, 'Hospitalisation Details'!I:I, "No Data")</f>
        <v>tier - 2</v>
      </c>
      <c r="L2056" s="28" t="str">
        <f t="array" ref="L2056">_xlfn.XLOOKUP($A2056, 'Hospitalisation Details'!$A:$A, 'Hospitalisation Details'!J:J, "No Data")</f>
        <v>R1012</v>
      </c>
      <c r="M2056" s="28" t="str">
        <f t="array" ref="M2056">_xlfn.XLOOKUP($A2056, 'Hospitalisation Details'!$A:$A, 'Hospitalisation Details'!E:E, "No Data")</f>
        <v>17/07/03</v>
      </c>
      <c r="N2056" s="28">
        <f t="array" ref="N2056">_xlfn.XLOOKUP($A2056, 'Hospitalisation Details'!$A:$A, 'Hospitalisation Details'!K:K, "No Data")</f>
        <v>19</v>
      </c>
      <c r="O2056" s="33">
        <f t="array" ref="O2056">_xlfn.XLOOKUP($A2056, 'Hospitalisation Details'!$A:$A, 'Hospitalisation Details'!G:G, "No Data")</f>
        <v>2709.11</v>
      </c>
      <c r="P2056" s="28" t="str">
        <f t="array" ref="P2056">_xlfn.XLOOKUP($A2056, 'Hospitalisation Details'!$A:$A, 'Hospitalisation Details'!H:H, "No Data")</f>
        <v>tier - 2</v>
      </c>
    </row>
    <row r="2057">
      <c r="A2057" s="25" t="s">
        <v>2380</v>
      </c>
      <c r="B2057" s="28" t="str">
        <f t="array" ref="B2057">_xlfn.XLOOKUP($A2057, 'Customer Names'!$A:$A, 'Customer Names'!B:B, "No Data")</f>
        <v>Nunn</v>
      </c>
      <c r="C2057" s="28">
        <f t="array" ref="C2057">_xlfn.XLOOKUP($A2057, 'Medical Examinations'!$A:$A, 'Medical Examinations'!B:B, "No Data")</f>
        <v>31.065</v>
      </c>
      <c r="D2057" s="28">
        <f t="array" ref="D2057">_xlfn.XLOOKUP($A2057, 'Medical Examinations'!$A:$A, 'Medical Examinations'!C:C, "No Data")</f>
        <v>4.57</v>
      </c>
      <c r="E2057" s="28" t="str">
        <f t="array" ref="E2057">_xlfn.XLOOKUP($A2057, 'Medical Examinations'!$A:$A, 'Medical Examinations'!D:D, "No Data")</f>
        <v>yes</v>
      </c>
      <c r="F2057" s="28" t="str">
        <f t="array" ref="F2057">_xlfn.XLOOKUP($A2057, 'Medical Examinations'!$A:$A, 'Medical Examinations'!E:E, "No Data")</f>
        <v>No</v>
      </c>
      <c r="G2057" s="28" t="str">
        <f t="array" ref="G2057">_xlfn.XLOOKUP($A2057, 'Medical Examinations'!$A:$A, 'Medical Examinations'!F:F, "No Data")</f>
        <v>No</v>
      </c>
      <c r="H2057" s="28">
        <f t="array" ref="H2057">_xlfn.XLOOKUP($A2057, 'Medical Examinations'!$A:$A, 'Medical Examinations'!G:G, "No Data")</f>
        <v>0</v>
      </c>
      <c r="I2057" s="28" t="str">
        <f t="array" ref="I2057">_xlfn.XLOOKUP($A2057, 'Medical Examinations'!$A:$A, 'Medical Examinations'!H:H, "No Data")</f>
        <v>No</v>
      </c>
      <c r="J2057" s="28" t="str">
        <f t="array" ref="J2057">_xlfn.XLOOKUP($A2057, 'Medical Examinations'!$A:$A, 'Medical Examinations'!I:I, "No Data")</f>
        <v>Obesity</v>
      </c>
      <c r="K2057" s="28" t="str">
        <f t="array" ref="K2057">_xlfn.XLOOKUP($A2057, 'Hospitalisation Details'!$A:$A, 'Hospitalisation Details'!I:I, "No Data")</f>
        <v>tier - 1</v>
      </c>
      <c r="L2057" s="28" t="str">
        <f t="array" ref="L2057">_xlfn.XLOOKUP($A2057, 'Hospitalisation Details'!$A:$A, 'Hospitalisation Details'!J:J, "No Data")</f>
        <v>R1012</v>
      </c>
      <c r="M2057" s="28" t="str">
        <f t="array" ref="M2057">_xlfn.XLOOKUP($A2057, 'Hospitalisation Details'!$A:$A, 'Hospitalisation Details'!E:E, "No Data")</f>
        <v>13/06/96</v>
      </c>
      <c r="N2057" s="28">
        <f t="array" ref="N2057">_xlfn.XLOOKUP($A2057, 'Hospitalisation Details'!$A:$A, 'Hospitalisation Details'!K:K, "No Data")</f>
        <v>26</v>
      </c>
      <c r="O2057" s="33">
        <f t="array" ref="O2057">_xlfn.XLOOKUP($A2057, 'Hospitalisation Details'!$A:$A, 'Hospitalisation Details'!G:G, "No Data")</f>
        <v>2699.57</v>
      </c>
      <c r="P2057" s="28" t="str">
        <f t="array" ref="P2057">_xlfn.XLOOKUP($A2057, 'Hospitalisation Details'!$A:$A, 'Hospitalisation Details'!H:H, "No Data")</f>
        <v>tier - 2</v>
      </c>
    </row>
    <row r="2058">
      <c r="A2058" s="25" t="s">
        <v>2373</v>
      </c>
      <c r="B2058" s="28" t="str">
        <f t="array" ref="B2058">_xlfn.XLOOKUP($A2058, 'Customer Names'!$A:$A, 'Customer Names'!B:B, "No Data")</f>
        <v>Blair</v>
      </c>
      <c r="C2058" s="28">
        <f t="array" ref="C2058">_xlfn.XLOOKUP($A2058, 'Medical Examinations'!$A:$A, 'Medical Examinations'!B:B, "No Data")</f>
        <v>28.12</v>
      </c>
      <c r="D2058" s="28">
        <f t="array" ref="D2058">_xlfn.XLOOKUP($A2058, 'Medical Examinations'!$A:$A, 'Medical Examinations'!C:C, "No Data")</f>
        <v>5.05</v>
      </c>
      <c r="E2058" s="28" t="str">
        <f t="array" ref="E2058">_xlfn.XLOOKUP($A2058, 'Medical Examinations'!$A:$A, 'Medical Examinations'!D:D, "No Data")</f>
        <v>No</v>
      </c>
      <c r="F2058" s="28" t="str">
        <f t="array" ref="F2058">_xlfn.XLOOKUP($A2058, 'Medical Examinations'!$A:$A, 'Medical Examinations'!E:E, "No Data")</f>
        <v>No</v>
      </c>
      <c r="G2058" s="28" t="str">
        <f t="array" ref="G2058">_xlfn.XLOOKUP($A2058, 'Medical Examinations'!$A:$A, 'Medical Examinations'!F:F, "No Data")</f>
        <v>No</v>
      </c>
      <c r="H2058" s="28">
        <f t="array" ref="H2058">_xlfn.XLOOKUP($A2058, 'Medical Examinations'!$A:$A, 'Medical Examinations'!G:G, "No Data")</f>
        <v>0</v>
      </c>
      <c r="I2058" s="28" t="str">
        <f t="array" ref="I2058">_xlfn.XLOOKUP($A2058, 'Medical Examinations'!$A:$A, 'Medical Examinations'!H:H, "No Data")</f>
        <v>No</v>
      </c>
      <c r="J2058" s="28" t="str">
        <f t="array" ref="J2058">_xlfn.XLOOKUP($A2058, 'Medical Examinations'!$A:$A, 'Medical Examinations'!I:I, "No Data")</f>
        <v>Overweight</v>
      </c>
      <c r="K2058" s="28" t="str">
        <f t="array" ref="K2058">_xlfn.XLOOKUP($A2058, 'Hospitalisation Details'!$A:$A, 'Hospitalisation Details'!I:I, "No Data")</f>
        <v>tier - 2</v>
      </c>
      <c r="L2058" s="28" t="str">
        <f t="array" ref="L2058">_xlfn.XLOOKUP($A2058, 'Hospitalisation Details'!$A:$A, 'Hospitalisation Details'!J:J, "No Data")</f>
        <v>R1012</v>
      </c>
      <c r="M2058" s="28" t="str">
        <f t="array" ref="M2058">_xlfn.XLOOKUP($A2058, 'Hospitalisation Details'!$A:$A, 'Hospitalisation Details'!E:E, "No Data")</f>
        <v>11/06/99</v>
      </c>
      <c r="N2058" s="28">
        <f t="array" ref="N2058">_xlfn.XLOOKUP($A2058, 'Hospitalisation Details'!$A:$A, 'Hospitalisation Details'!K:K, "No Data")</f>
        <v>23</v>
      </c>
      <c r="O2058" s="33">
        <f t="array" ref="O2058">_xlfn.XLOOKUP($A2058, 'Hospitalisation Details'!$A:$A, 'Hospitalisation Details'!G:G, "No Data")</f>
        <v>2690.11</v>
      </c>
      <c r="P2058" s="28" t="str">
        <f t="array" ref="P2058">_xlfn.XLOOKUP($A2058, 'Hospitalisation Details'!$A:$A, 'Hospitalisation Details'!H:H, "No Data")</f>
        <v>tier - 2</v>
      </c>
    </row>
    <row r="2059">
      <c r="A2059" s="25" t="s">
        <v>2368</v>
      </c>
      <c r="B2059" s="28" t="str">
        <f t="array" ref="B2059">_xlfn.XLOOKUP($A2059, 'Customer Names'!$A:$A, 'Customer Names'!B:B, "No Data")</f>
        <v>Sharkey</v>
      </c>
      <c r="C2059" s="28">
        <f t="array" ref="C2059">_xlfn.XLOOKUP($A2059, 'Medical Examinations'!$A:$A, 'Medical Examinations'!B:B, "No Data")</f>
        <v>38.06</v>
      </c>
      <c r="D2059" s="28">
        <f t="array" ref="D2059">_xlfn.XLOOKUP($A2059, 'Medical Examinations'!$A:$A, 'Medical Examinations'!C:C, "No Data")</f>
        <v>6.16</v>
      </c>
      <c r="E2059" s="28" t="str">
        <f t="array" ref="E2059">_xlfn.XLOOKUP($A2059, 'Medical Examinations'!$A:$A, 'Medical Examinations'!D:D, "No Data")</f>
        <v>No</v>
      </c>
      <c r="F2059" s="28" t="str">
        <f t="array" ref="F2059">_xlfn.XLOOKUP($A2059, 'Medical Examinations'!$A:$A, 'Medical Examinations'!E:E, "No Data")</f>
        <v>No</v>
      </c>
      <c r="G2059" s="28" t="str">
        <f t="array" ref="G2059">_xlfn.XLOOKUP($A2059, 'Medical Examinations'!$A:$A, 'Medical Examinations'!F:F, "No Data")</f>
        <v>No</v>
      </c>
      <c r="H2059" s="28">
        <f t="array" ref="H2059">_xlfn.XLOOKUP($A2059, 'Medical Examinations'!$A:$A, 'Medical Examinations'!G:G, "No Data")</f>
        <v>0</v>
      </c>
      <c r="I2059" s="28" t="str">
        <f t="array" ref="I2059">_xlfn.XLOOKUP($A2059, 'Medical Examinations'!$A:$A, 'Medical Examinations'!H:H, "No Data")</f>
        <v>No</v>
      </c>
      <c r="J2059" s="28" t="str">
        <f t="array" ref="J2059">_xlfn.XLOOKUP($A2059, 'Medical Examinations'!$A:$A, 'Medical Examinations'!I:I, "No Data")</f>
        <v>Obesity</v>
      </c>
      <c r="K2059" s="28" t="str">
        <f t="array" ref="K2059">_xlfn.XLOOKUP($A2059, 'Hospitalisation Details'!$A:$A, 'Hospitalisation Details'!I:I, "No Data")</f>
        <v>tier - 2</v>
      </c>
      <c r="L2059" s="28" t="str">
        <f t="array" ref="L2059">_xlfn.XLOOKUP($A2059, 'Hospitalisation Details'!$A:$A, 'Hospitalisation Details'!J:J, "No Data")</f>
        <v>R1013</v>
      </c>
      <c r="M2059" s="28" t="str">
        <f t="array" ref="M2059">_xlfn.XLOOKUP($A2059, 'Hospitalisation Details'!$A:$A, 'Hospitalisation Details'!E:E, "No Data")</f>
        <v>02/10/94</v>
      </c>
      <c r="N2059" s="28">
        <f t="array" ref="N2059">_xlfn.XLOOKUP($A2059, 'Hospitalisation Details'!$A:$A, 'Hospitalisation Details'!K:K, "No Data")</f>
        <v>28</v>
      </c>
      <c r="O2059" s="33">
        <f t="array" ref="O2059">_xlfn.XLOOKUP($A2059, 'Hospitalisation Details'!$A:$A, 'Hospitalisation Details'!G:G, "No Data")</f>
        <v>2689.5</v>
      </c>
      <c r="P2059" s="28" t="str">
        <f t="array" ref="P2059">_xlfn.XLOOKUP($A2059, 'Hospitalisation Details'!$A:$A, 'Hospitalisation Details'!H:H, "No Data")</f>
        <v>tier - 3</v>
      </c>
    </row>
    <row r="2060">
      <c r="A2060" s="25" t="s">
        <v>2359</v>
      </c>
      <c r="B2060" s="28" t="str">
        <f t="array" ref="B2060">_xlfn.XLOOKUP($A2060, 'Customer Names'!$A:$A, 'Customer Names'!B:B, "No Data")</f>
        <v>Scalard</v>
      </c>
      <c r="C2060" s="28">
        <f t="array" ref="C2060">_xlfn.XLOOKUP($A2060, 'Medical Examinations'!$A:$A, 'Medical Examinations'!B:B, "No Data")</f>
        <v>24.96</v>
      </c>
      <c r="D2060" s="28">
        <f t="array" ref="D2060">_xlfn.XLOOKUP($A2060, 'Medical Examinations'!$A:$A, 'Medical Examinations'!C:C, "No Data")</f>
        <v>4.57</v>
      </c>
      <c r="E2060" s="28" t="str">
        <f t="array" ref="E2060">_xlfn.XLOOKUP($A2060, 'Medical Examinations'!$A:$A, 'Medical Examinations'!D:D, "No Data")</f>
        <v>No</v>
      </c>
      <c r="F2060" s="28" t="str">
        <f t="array" ref="F2060">_xlfn.XLOOKUP($A2060, 'Medical Examinations'!$A:$A, 'Medical Examinations'!E:E, "No Data")</f>
        <v>No</v>
      </c>
      <c r="G2060" s="28" t="str">
        <f t="array" ref="G2060">_xlfn.XLOOKUP($A2060, 'Medical Examinations'!$A:$A, 'Medical Examinations'!F:F, "No Data")</f>
        <v>No</v>
      </c>
      <c r="H2060" s="28">
        <f t="array" ref="H2060">_xlfn.XLOOKUP($A2060, 'Medical Examinations'!$A:$A, 'Medical Examinations'!G:G, "No Data")</f>
        <v>0</v>
      </c>
      <c r="I2060" s="28" t="str">
        <f t="array" ref="I2060">_xlfn.XLOOKUP($A2060, 'Medical Examinations'!$A:$A, 'Medical Examinations'!H:H, "No Data")</f>
        <v>No</v>
      </c>
      <c r="J2060" s="28" t="str">
        <f t="array" ref="J2060">_xlfn.XLOOKUP($A2060, 'Medical Examinations'!$A:$A, 'Medical Examinations'!I:I, "No Data")</f>
        <v>Normal Weight</v>
      </c>
      <c r="K2060" s="28" t="str">
        <f t="array" ref="K2060">_xlfn.XLOOKUP($A2060, 'Hospitalisation Details'!$A:$A, 'Hospitalisation Details'!I:I, "No Data")</f>
        <v>tier - 2</v>
      </c>
      <c r="L2060" s="28" t="str">
        <f t="array" ref="L2060">_xlfn.XLOOKUP($A2060, 'Hospitalisation Details'!$A:$A, 'Hospitalisation Details'!J:J, "No Data")</f>
        <v>R1013</v>
      </c>
      <c r="M2060" s="28" t="str">
        <f t="array" ref="M2060">_xlfn.XLOOKUP($A2060, 'Hospitalisation Details'!$A:$A, 'Hospitalisation Details'!E:E, "No Data")</f>
        <v>17/09/94</v>
      </c>
      <c r="N2060" s="28">
        <f t="array" ref="N2060">_xlfn.XLOOKUP($A2060, 'Hospitalisation Details'!$A:$A, 'Hospitalisation Details'!K:K, "No Data")</f>
        <v>28</v>
      </c>
      <c r="O2060" s="33">
        <f t="array" ref="O2060">_xlfn.XLOOKUP($A2060, 'Hospitalisation Details'!$A:$A, 'Hospitalisation Details'!G:G, "No Data")</f>
        <v>2684.69</v>
      </c>
      <c r="P2060" s="28" t="str">
        <f t="array" ref="P2060">_xlfn.XLOOKUP($A2060, 'Hospitalisation Details'!$A:$A, 'Hospitalisation Details'!H:H, "No Data")</f>
        <v>tier - 2</v>
      </c>
    </row>
    <row r="2061">
      <c r="A2061" s="25" t="s">
        <v>2352</v>
      </c>
      <c r="B2061" s="28" t="str">
        <f t="array" ref="B2061">_xlfn.XLOOKUP($A2061, 'Customer Names'!$A:$A, 'Customer Names'!B:B, "No Data")</f>
        <v>Burget</v>
      </c>
      <c r="C2061" s="28">
        <f t="array" ref="C2061">_xlfn.XLOOKUP($A2061, 'Medical Examinations'!$A:$A, 'Medical Examinations'!B:B, "No Data")</f>
        <v>17.67</v>
      </c>
      <c r="D2061" s="28">
        <f t="array" ref="D2061">_xlfn.XLOOKUP($A2061, 'Medical Examinations'!$A:$A, 'Medical Examinations'!C:C, "No Data")</f>
        <v>5.53</v>
      </c>
      <c r="E2061" s="28" t="str">
        <f t="array" ref="E2061">_xlfn.XLOOKUP($A2061, 'Medical Examinations'!$A:$A, 'Medical Examinations'!D:D, "No Data")</f>
        <v>yes</v>
      </c>
      <c r="F2061" s="28" t="str">
        <f t="array" ref="F2061">_xlfn.XLOOKUP($A2061, 'Medical Examinations'!$A:$A, 'Medical Examinations'!E:E, "No Data")</f>
        <v>No</v>
      </c>
      <c r="G2061" s="28" t="str">
        <f t="array" ref="G2061">_xlfn.XLOOKUP($A2061, 'Medical Examinations'!$A:$A, 'Medical Examinations'!F:F, "No Data")</f>
        <v>No</v>
      </c>
      <c r="H2061" s="28">
        <f t="array" ref="H2061">_xlfn.XLOOKUP($A2061, 'Medical Examinations'!$A:$A, 'Medical Examinations'!G:G, "No Data")</f>
        <v>0</v>
      </c>
      <c r="I2061" s="28" t="str">
        <f t="array" ref="I2061">_xlfn.XLOOKUP($A2061, 'Medical Examinations'!$A:$A, 'Medical Examinations'!H:H, "No Data")</f>
        <v>No</v>
      </c>
      <c r="J2061" s="28" t="str">
        <f t="array" ref="J2061">_xlfn.XLOOKUP($A2061, 'Medical Examinations'!$A:$A, 'Medical Examinations'!I:I, "No Data")</f>
        <v>Underweight</v>
      </c>
      <c r="K2061" s="28" t="str">
        <f t="array" ref="K2061">_xlfn.XLOOKUP($A2061, 'Hospitalisation Details'!$A:$A, 'Hospitalisation Details'!I:I, "No Data")</f>
        <v>tier - 2</v>
      </c>
      <c r="L2061" s="28" t="str">
        <f t="array" ref="L2061">_xlfn.XLOOKUP($A2061, 'Hospitalisation Details'!$A:$A, 'Hospitalisation Details'!J:J, "No Data")</f>
        <v>R1012</v>
      </c>
      <c r="M2061" s="28" t="str">
        <f t="array" ref="M2061">_xlfn.XLOOKUP($A2061, 'Hospitalisation Details'!$A:$A, 'Hospitalisation Details'!E:E, "No Data")</f>
        <v>05/08/96</v>
      </c>
      <c r="N2061" s="28">
        <f t="array" ref="N2061">_xlfn.XLOOKUP($A2061, 'Hospitalisation Details'!$A:$A, 'Hospitalisation Details'!K:K, "No Data")</f>
        <v>26</v>
      </c>
      <c r="O2061" s="33">
        <f t="array" ref="O2061">_xlfn.XLOOKUP($A2061, 'Hospitalisation Details'!$A:$A, 'Hospitalisation Details'!G:G, "No Data")</f>
        <v>2680.95</v>
      </c>
      <c r="P2061" s="28" t="str">
        <f t="array" ref="P2061">_xlfn.XLOOKUP($A2061, 'Hospitalisation Details'!$A:$A, 'Hospitalisation Details'!H:H, "No Data")</f>
        <v>tier - 3</v>
      </c>
    </row>
    <row r="2062">
      <c r="A2062" s="25" t="s">
        <v>2346</v>
      </c>
      <c r="B2062" s="28" t="str">
        <f t="array" ref="B2062">_xlfn.XLOOKUP($A2062, 'Customer Names'!$A:$A, 'Customer Names'!B:B, "No Data")</f>
        <v>English</v>
      </c>
      <c r="C2062" s="28">
        <f t="array" ref="C2062">_xlfn.XLOOKUP($A2062, 'Medical Examinations'!$A:$A, 'Medical Examinations'!B:B, "No Data")</f>
        <v>31.35</v>
      </c>
      <c r="D2062" s="28">
        <f t="array" ref="D2062">_xlfn.XLOOKUP($A2062, 'Medical Examinations'!$A:$A, 'Medical Examinations'!C:C, "No Data")</f>
        <v>5.84</v>
      </c>
      <c r="E2062" s="28" t="str">
        <f t="array" ref="E2062">_xlfn.XLOOKUP($A2062, 'Medical Examinations'!$A:$A, 'Medical Examinations'!D:D, "No Data")</f>
        <v>No</v>
      </c>
      <c r="F2062" s="28" t="str">
        <f t="array" ref="F2062">_xlfn.XLOOKUP($A2062, 'Medical Examinations'!$A:$A, 'Medical Examinations'!E:E, "No Data")</f>
        <v>yes</v>
      </c>
      <c r="G2062" s="28" t="str">
        <f t="array" ref="G2062">_xlfn.XLOOKUP($A2062, 'Medical Examinations'!$A:$A, 'Medical Examinations'!F:F, "No Data")</f>
        <v>No</v>
      </c>
      <c r="H2062" s="28">
        <f t="array" ref="H2062">_xlfn.XLOOKUP($A2062, 'Medical Examinations'!$A:$A, 'Medical Examinations'!G:G, "No Data")</f>
        <v>1</v>
      </c>
      <c r="I2062" s="28" t="str">
        <f t="array" ref="I2062">_xlfn.XLOOKUP($A2062, 'Medical Examinations'!$A:$A, 'Medical Examinations'!H:H, "No Data")</f>
        <v>No</v>
      </c>
      <c r="J2062" s="28" t="str">
        <f t="array" ref="J2062">_xlfn.XLOOKUP($A2062, 'Medical Examinations'!$A:$A, 'Medical Examinations'!I:I, "No Data")</f>
        <v>Obesity</v>
      </c>
      <c r="K2062" s="28" t="str">
        <f t="array" ref="K2062">_xlfn.XLOOKUP($A2062, 'Hospitalisation Details'!$A:$A, 'Hospitalisation Details'!I:I, "No Data")</f>
        <v>tier - 1</v>
      </c>
      <c r="L2062" s="28" t="str">
        <f t="array" ref="L2062">_xlfn.XLOOKUP($A2062, 'Hospitalisation Details'!$A:$A, 'Hospitalisation Details'!J:J, "No Data")</f>
        <v>R1012</v>
      </c>
      <c r="M2062" s="28" t="str">
        <f t="array" ref="M2062">_xlfn.XLOOKUP($A2062, 'Hospitalisation Details'!$A:$A, 'Hospitalisation Details'!E:E, "No Data")</f>
        <v>09/12/00</v>
      </c>
      <c r="N2062" s="28">
        <f t="array" ref="N2062">_xlfn.XLOOKUP($A2062, 'Hospitalisation Details'!$A:$A, 'Hospitalisation Details'!K:K, "No Data")</f>
        <v>22</v>
      </c>
      <c r="O2062" s="33">
        <f t="array" ref="O2062">_xlfn.XLOOKUP($A2062, 'Hospitalisation Details'!$A:$A, 'Hospitalisation Details'!G:G, "No Data")</f>
        <v>2643.27</v>
      </c>
      <c r="P2062" s="28" t="str">
        <f t="array" ref="P2062">_xlfn.XLOOKUP($A2062, 'Hospitalisation Details'!$A:$A, 'Hospitalisation Details'!H:H, "No Data")</f>
        <v>tier - 2</v>
      </c>
    </row>
    <row r="2063">
      <c r="A2063" s="25" t="s">
        <v>2341</v>
      </c>
      <c r="B2063" s="28" t="str">
        <f t="array" ref="B2063">_xlfn.XLOOKUP($A2063, 'Customer Names'!$A:$A, 'Customer Names'!B:B, "No Data")</f>
        <v>Hampton</v>
      </c>
      <c r="C2063" s="28">
        <f t="array" ref="C2063">_xlfn.XLOOKUP($A2063, 'Medical Examinations'!$A:$A, 'Medical Examinations'!B:B, "No Data")</f>
        <v>28.31</v>
      </c>
      <c r="D2063" s="28">
        <f t="array" ref="D2063">_xlfn.XLOOKUP($A2063, 'Medical Examinations'!$A:$A, 'Medical Examinations'!C:C, "No Data")</f>
        <v>6.41</v>
      </c>
      <c r="E2063" s="28" t="str">
        <f t="array" ref="E2063">_xlfn.XLOOKUP($A2063, 'Medical Examinations'!$A:$A, 'Medical Examinations'!D:D, "No Data")</f>
        <v>No</v>
      </c>
      <c r="F2063" s="28" t="str">
        <f t="array" ref="F2063">_xlfn.XLOOKUP($A2063, 'Medical Examinations'!$A:$A, 'Medical Examinations'!E:E, "No Data")</f>
        <v>yes</v>
      </c>
      <c r="G2063" s="28" t="str">
        <f t="array" ref="G2063">_xlfn.XLOOKUP($A2063, 'Medical Examinations'!$A:$A, 'Medical Examinations'!F:F, "No Data")</f>
        <v>No</v>
      </c>
      <c r="H2063" s="28">
        <f t="array" ref="H2063">_xlfn.XLOOKUP($A2063, 'Medical Examinations'!$A:$A, 'Medical Examinations'!G:G, "No Data")</f>
        <v>1</v>
      </c>
      <c r="I2063" s="28" t="str">
        <f t="array" ref="I2063">_xlfn.XLOOKUP($A2063, 'Medical Examinations'!$A:$A, 'Medical Examinations'!H:H, "No Data")</f>
        <v>No</v>
      </c>
      <c r="J2063" s="28" t="str">
        <f t="array" ref="J2063">_xlfn.XLOOKUP($A2063, 'Medical Examinations'!$A:$A, 'Medical Examinations'!I:I, "No Data")</f>
        <v>Overweight</v>
      </c>
      <c r="K2063" s="28" t="str">
        <f t="array" ref="K2063">_xlfn.XLOOKUP($A2063, 'Hospitalisation Details'!$A:$A, 'Hospitalisation Details'!I:I, "No Data")</f>
        <v>tier - 2</v>
      </c>
      <c r="L2063" s="28" t="str">
        <f t="array" ref="L2063">_xlfn.XLOOKUP($A2063, 'Hospitalisation Details'!$A:$A, 'Hospitalisation Details'!J:J, "No Data")</f>
        <v>R1012</v>
      </c>
      <c r="M2063" s="28" t="str">
        <f t="array" ref="M2063">_xlfn.XLOOKUP($A2063, 'Hospitalisation Details'!$A:$A, 'Hospitalisation Details'!E:E, "No Data")</f>
        <v>24/06/00</v>
      </c>
      <c r="N2063" s="28">
        <f t="array" ref="N2063">_xlfn.XLOOKUP($A2063, 'Hospitalisation Details'!$A:$A, 'Hospitalisation Details'!K:K, "No Data")</f>
        <v>22</v>
      </c>
      <c r="O2063" s="33">
        <f t="array" ref="O2063">_xlfn.XLOOKUP($A2063, 'Hospitalisation Details'!$A:$A, 'Hospitalisation Details'!G:G, "No Data")</f>
        <v>2639.04</v>
      </c>
      <c r="P2063" s="28" t="str">
        <f t="array" ref="P2063">_xlfn.XLOOKUP($A2063, 'Hospitalisation Details'!$A:$A, 'Hospitalisation Details'!H:H, "No Data")</f>
        <v>tier - 2</v>
      </c>
    </row>
    <row r="2064">
      <c r="A2064" s="25" t="s">
        <v>2334</v>
      </c>
      <c r="B2064" s="28" t="str">
        <f t="array" ref="B2064">_xlfn.XLOOKUP($A2064, 'Customer Names'!$A:$A, 'Customer Names'!B:B, "No Data")</f>
        <v>Flynn</v>
      </c>
      <c r="C2064" s="28">
        <f t="array" ref="C2064">_xlfn.XLOOKUP($A2064, 'Medical Examinations'!$A:$A, 'Medical Examinations'!B:B, "No Data")</f>
        <v>30.3</v>
      </c>
      <c r="D2064" s="28">
        <f t="array" ref="D2064">_xlfn.XLOOKUP($A2064, 'Medical Examinations'!$A:$A, 'Medical Examinations'!C:C, "No Data")</f>
        <v>4.73</v>
      </c>
      <c r="E2064" s="28" t="str">
        <f t="array" ref="E2064">_xlfn.XLOOKUP($A2064, 'Medical Examinations'!$A:$A, 'Medical Examinations'!D:D, "No Data")</f>
        <v>yes</v>
      </c>
      <c r="F2064" s="28" t="str">
        <f t="array" ref="F2064">_xlfn.XLOOKUP($A2064, 'Medical Examinations'!$A:$A, 'Medical Examinations'!E:E, "No Data")</f>
        <v>No</v>
      </c>
      <c r="G2064" s="28" t="str">
        <f t="array" ref="G2064">_xlfn.XLOOKUP($A2064, 'Medical Examinations'!$A:$A, 'Medical Examinations'!F:F, "No Data")</f>
        <v>Yes</v>
      </c>
      <c r="H2064" s="28">
        <f t="array" ref="H2064">_xlfn.XLOOKUP($A2064, 'Medical Examinations'!$A:$A, 'Medical Examinations'!G:G, "No Data")</f>
        <v>1</v>
      </c>
      <c r="I2064" s="28" t="str">
        <f t="array" ref="I2064">_xlfn.XLOOKUP($A2064, 'Medical Examinations'!$A:$A, 'Medical Examinations'!H:H, "No Data")</f>
        <v>No</v>
      </c>
      <c r="J2064" s="28" t="str">
        <f t="array" ref="J2064">_xlfn.XLOOKUP($A2064, 'Medical Examinations'!$A:$A, 'Medical Examinations'!I:I, "No Data")</f>
        <v>Obesity</v>
      </c>
      <c r="K2064" s="28" t="str">
        <f t="array" ref="K2064">_xlfn.XLOOKUP($A2064, 'Hospitalisation Details'!$A:$A, 'Hospitalisation Details'!I:I, "No Data")</f>
        <v>tier - 1</v>
      </c>
      <c r="L2064" s="28" t="str">
        <f t="array" ref="L2064">_xlfn.XLOOKUP($A2064, 'Hospitalisation Details'!$A:$A, 'Hospitalisation Details'!J:J, "No Data")</f>
        <v>R1011</v>
      </c>
      <c r="M2064" s="28" t="str">
        <f t="array" ref="M2064">_xlfn.XLOOKUP($A2064, 'Hospitalisation Details'!$A:$A, 'Hospitalisation Details'!E:E, "No Data")</f>
        <v>26/08/97</v>
      </c>
      <c r="N2064" s="28">
        <f t="array" ref="N2064">_xlfn.XLOOKUP($A2064, 'Hospitalisation Details'!$A:$A, 'Hospitalisation Details'!K:K, "No Data")</f>
        <v>25</v>
      </c>
      <c r="O2064" s="33">
        <f t="array" ref="O2064">_xlfn.XLOOKUP($A2064, 'Hospitalisation Details'!$A:$A, 'Hospitalisation Details'!G:G, "No Data")</f>
        <v>2632.99</v>
      </c>
      <c r="P2064" s="28" t="str">
        <f t="array" ref="P2064">_xlfn.XLOOKUP($A2064, 'Hospitalisation Details'!$A:$A, 'Hospitalisation Details'!H:H, "No Data")</f>
        <v>tier - 2</v>
      </c>
    </row>
    <row r="2065">
      <c r="A2065" s="25" t="s">
        <v>2329</v>
      </c>
      <c r="B2065" s="28" t="str">
        <f t="array" ref="B2065">_xlfn.XLOOKUP($A2065, 'Customer Names'!$A:$A, 'Customer Names'!B:B, "No Data")</f>
        <v>Knast</v>
      </c>
      <c r="C2065" s="28">
        <f t="array" ref="C2065">_xlfn.XLOOKUP($A2065, 'Medical Examinations'!$A:$A, 'Medical Examinations'!B:B, "No Data")</f>
        <v>26.4</v>
      </c>
      <c r="D2065" s="28">
        <f t="array" ref="D2065">_xlfn.XLOOKUP($A2065, 'Medical Examinations'!$A:$A, 'Medical Examinations'!C:C, "No Data")</f>
        <v>6.22</v>
      </c>
      <c r="E2065" s="28" t="str">
        <f t="array" ref="E2065">_xlfn.XLOOKUP($A2065, 'Medical Examinations'!$A:$A, 'Medical Examinations'!D:D, "No Data")</f>
        <v>yes</v>
      </c>
      <c r="F2065" s="28" t="str">
        <f t="array" ref="F2065">_xlfn.XLOOKUP($A2065, 'Medical Examinations'!$A:$A, 'Medical Examinations'!E:E, "No Data")</f>
        <v>No</v>
      </c>
      <c r="G2065" s="28" t="str">
        <f t="array" ref="G2065">_xlfn.XLOOKUP($A2065, 'Medical Examinations'!$A:$A, 'Medical Examinations'!F:F, "No Data")</f>
        <v>No</v>
      </c>
      <c r="H2065" s="28">
        <f t="array" ref="H2065">_xlfn.XLOOKUP($A2065, 'Medical Examinations'!$A:$A, 'Medical Examinations'!G:G, "No Data")</f>
        <v>0</v>
      </c>
      <c r="I2065" s="28" t="str">
        <f t="array" ref="I2065">_xlfn.XLOOKUP($A2065, 'Medical Examinations'!$A:$A, 'Medical Examinations'!H:H, "No Data")</f>
        <v>No</v>
      </c>
      <c r="J2065" s="28" t="str">
        <f t="array" ref="J2065">_xlfn.XLOOKUP($A2065, 'Medical Examinations'!$A:$A, 'Medical Examinations'!I:I, "No Data")</f>
        <v>Overweight</v>
      </c>
      <c r="K2065" s="28" t="str">
        <f t="array" ref="K2065">_xlfn.XLOOKUP($A2065, 'Hospitalisation Details'!$A:$A, 'Hospitalisation Details'!I:I, "No Data")</f>
        <v>tier - 1</v>
      </c>
      <c r="L2065" s="28" t="str">
        <f t="array" ref="L2065">_xlfn.XLOOKUP($A2065, 'Hospitalisation Details'!$A:$A, 'Hospitalisation Details'!J:J, "No Data")</f>
        <v>R1011</v>
      </c>
      <c r="M2065" s="28" t="str">
        <f t="array" ref="M2065">_xlfn.XLOOKUP($A2065, 'Hospitalisation Details'!$A:$A, 'Hospitalisation Details'!E:E, "No Data")</f>
        <v>26/08/01</v>
      </c>
      <c r="N2065" s="28">
        <f t="array" ref="N2065">_xlfn.XLOOKUP($A2065, 'Hospitalisation Details'!$A:$A, 'Hospitalisation Details'!K:K, "No Data")</f>
        <v>21</v>
      </c>
      <c r="O2065" s="33">
        <f t="array" ref="O2065">_xlfn.XLOOKUP($A2065, 'Hospitalisation Details'!$A:$A, 'Hospitalisation Details'!G:G, "No Data")</f>
        <v>2597.78</v>
      </c>
      <c r="P2065" s="28" t="str">
        <f t="array" ref="P2065">_xlfn.XLOOKUP($A2065, 'Hospitalisation Details'!$A:$A, 'Hospitalisation Details'!H:H, "No Data")</f>
        <v>tier - 2</v>
      </c>
    </row>
    <row r="2066">
      <c r="A2066" s="25" t="s">
        <v>2323</v>
      </c>
      <c r="B2066" s="28" t="str">
        <f t="array" ref="B2066">_xlfn.XLOOKUP($A2066, 'Customer Names'!$A:$A, 'Customer Names'!B:B, "No Data")</f>
        <v>Lucas</v>
      </c>
      <c r="C2066" s="28">
        <f t="array" ref="C2066">_xlfn.XLOOKUP($A2066, 'Medical Examinations'!$A:$A, 'Medical Examinations'!B:B, "No Data")</f>
        <v>22.135</v>
      </c>
      <c r="D2066" s="28">
        <f t="array" ref="D2066">_xlfn.XLOOKUP($A2066, 'Medical Examinations'!$A:$A, 'Medical Examinations'!C:C, "No Data")</f>
        <v>4.46</v>
      </c>
      <c r="E2066" s="28" t="str">
        <f t="array" ref="E2066">_xlfn.XLOOKUP($A2066, 'Medical Examinations'!$A:$A, 'Medical Examinations'!D:D, "No Data")</f>
        <v>yes</v>
      </c>
      <c r="F2066" s="28" t="str">
        <f t="array" ref="F2066">_xlfn.XLOOKUP($A2066, 'Medical Examinations'!$A:$A, 'Medical Examinations'!E:E, "No Data")</f>
        <v>No</v>
      </c>
      <c r="G2066" s="28" t="str">
        <f t="array" ref="G2066">_xlfn.XLOOKUP($A2066, 'Medical Examinations'!$A:$A, 'Medical Examinations'!F:F, "No Data")</f>
        <v>No</v>
      </c>
      <c r="H2066" s="28">
        <f t="array" ref="H2066">_xlfn.XLOOKUP($A2066, 'Medical Examinations'!$A:$A, 'Medical Examinations'!G:G, "No Data")</f>
        <v>0</v>
      </c>
      <c r="I2066" s="28" t="str">
        <f t="array" ref="I2066">_xlfn.XLOOKUP($A2066, 'Medical Examinations'!$A:$A, 'Medical Examinations'!H:H, "No Data")</f>
        <v>No</v>
      </c>
      <c r="J2066" s="28" t="str">
        <f t="array" ref="J2066">_xlfn.XLOOKUP($A2066, 'Medical Examinations'!$A:$A, 'Medical Examinations'!I:I, "No Data")</f>
        <v>Normal Weight</v>
      </c>
      <c r="K2066" s="28" t="str">
        <f t="array" ref="K2066">_xlfn.XLOOKUP($A2066, 'Hospitalisation Details'!$A:$A, 'Hospitalisation Details'!I:I, "No Data")</f>
        <v>tier - 2</v>
      </c>
      <c r="L2066" s="28" t="str">
        <f t="array" ref="L2066">_xlfn.XLOOKUP($A2066, 'Hospitalisation Details'!$A:$A, 'Hospitalisation Details'!J:J, "No Data")</f>
        <v>R1024</v>
      </c>
      <c r="M2066" s="28" t="str">
        <f t="array" ref="M2066">_xlfn.XLOOKUP($A2066, 'Hospitalisation Details'!$A:$A, 'Hospitalisation Details'!E:E, "No Data")</f>
        <v>28/07/01</v>
      </c>
      <c r="N2066" s="28">
        <f t="array" ref="N2066">_xlfn.XLOOKUP($A2066, 'Hospitalisation Details'!$A:$A, 'Hospitalisation Details'!K:K, "No Data")</f>
        <v>21</v>
      </c>
      <c r="O2066" s="33">
        <f t="array" ref="O2066">_xlfn.XLOOKUP($A2066, 'Hospitalisation Details'!$A:$A, 'Hospitalisation Details'!G:G, "No Data")</f>
        <v>2585.85</v>
      </c>
      <c r="P2066" s="28" t="str">
        <f t="array" ref="P2066">_xlfn.XLOOKUP($A2066, 'Hospitalisation Details'!$A:$A, 'Hospitalisation Details'!H:H, "No Data")</f>
        <v>tier - 2</v>
      </c>
    </row>
    <row r="2067">
      <c r="A2067" s="25" t="s">
        <v>2318</v>
      </c>
      <c r="B2067" s="28" t="str">
        <f t="array" ref="B2067">_xlfn.XLOOKUP($A2067, 'Customer Names'!$A:$A, 'Customer Names'!B:B, "No Data")</f>
        <v>Thomas</v>
      </c>
      <c r="C2067" s="28">
        <f t="array" ref="C2067">_xlfn.XLOOKUP($A2067, 'Medical Examinations'!$A:$A, 'Medical Examinations'!B:B, "No Data")</f>
        <v>17.4</v>
      </c>
      <c r="D2067" s="28">
        <f t="array" ref="D2067">_xlfn.XLOOKUP($A2067, 'Medical Examinations'!$A:$A, 'Medical Examinations'!C:C, "No Data")</f>
        <v>4.5</v>
      </c>
      <c r="E2067" s="28" t="str">
        <f t="array" ref="E2067">_xlfn.XLOOKUP($A2067, 'Medical Examinations'!$A:$A, 'Medical Examinations'!D:D, "No Data")</f>
        <v>yes</v>
      </c>
      <c r="F2067" s="28" t="str">
        <f t="array" ref="F2067">_xlfn.XLOOKUP($A2067, 'Medical Examinations'!$A:$A, 'Medical Examinations'!E:E, "No Data")</f>
        <v>No</v>
      </c>
      <c r="G2067" s="28" t="str">
        <f t="array" ref="G2067">_xlfn.XLOOKUP($A2067, 'Medical Examinations'!$A:$A, 'Medical Examinations'!F:F, "No Data")</f>
        <v>No</v>
      </c>
      <c r="H2067" s="28">
        <f t="array" ref="H2067">_xlfn.XLOOKUP($A2067, 'Medical Examinations'!$A:$A, 'Medical Examinations'!G:G, "No Data")</f>
        <v>0</v>
      </c>
      <c r="I2067" s="28" t="str">
        <f t="array" ref="I2067">_xlfn.XLOOKUP($A2067, 'Medical Examinations'!$A:$A, 'Medical Examinations'!H:H, "No Data")</f>
        <v>No</v>
      </c>
      <c r="J2067" s="28" t="str">
        <f t="array" ref="J2067">_xlfn.XLOOKUP($A2067, 'Medical Examinations'!$A:$A, 'Medical Examinations'!I:I, "No Data")</f>
        <v>Underweight</v>
      </c>
      <c r="K2067" s="28" t="str">
        <f t="array" ref="K2067">_xlfn.XLOOKUP($A2067, 'Hospitalisation Details'!$A:$A, 'Hospitalisation Details'!I:I, "No Data")</f>
        <v>tier - 3</v>
      </c>
      <c r="L2067" s="28" t="str">
        <f t="array" ref="L2067">_xlfn.XLOOKUP($A2067, 'Hospitalisation Details'!$A:$A, 'Hospitalisation Details'!J:J, "No Data")</f>
        <v>R1011</v>
      </c>
      <c r="M2067" s="28" t="str">
        <f t="array" ref="M2067">_xlfn.XLOOKUP($A2067, 'Hospitalisation Details'!$A:$A, 'Hospitalisation Details'!E:E, "No Data")</f>
        <v>15/10/01</v>
      </c>
      <c r="N2067" s="28">
        <f t="array" ref="N2067">_xlfn.XLOOKUP($A2067, 'Hospitalisation Details'!$A:$A, 'Hospitalisation Details'!K:K, "No Data")</f>
        <v>21</v>
      </c>
      <c r="O2067" s="33">
        <f t="array" ref="O2067">_xlfn.XLOOKUP($A2067, 'Hospitalisation Details'!$A:$A, 'Hospitalisation Details'!G:G, "No Data")</f>
        <v>2585.27</v>
      </c>
      <c r="P2067" s="28" t="str">
        <f t="array" ref="P2067">_xlfn.XLOOKUP($A2067, 'Hospitalisation Details'!$A:$A, 'Hospitalisation Details'!H:H, "No Data")</f>
        <v>tier - 2</v>
      </c>
    </row>
    <row r="2068">
      <c r="A2068" s="25" t="s">
        <v>2310</v>
      </c>
      <c r="B2068" s="28" t="str">
        <f t="array" ref="B2068">_xlfn.XLOOKUP($A2068, 'Customer Names'!$A:$A, 'Customer Names'!B:B, "No Data")</f>
        <v>Cherewatti</v>
      </c>
      <c r="C2068" s="28">
        <f t="array" ref="C2068">_xlfn.XLOOKUP($A2068, 'Medical Examinations'!$A:$A, 'Medical Examinations'!B:B, "No Data")</f>
        <v>28.06</v>
      </c>
      <c r="D2068" s="28">
        <f t="array" ref="D2068">_xlfn.XLOOKUP($A2068, 'Medical Examinations'!$A:$A, 'Medical Examinations'!C:C, "No Data")</f>
        <v>8.93</v>
      </c>
      <c r="E2068" s="28" t="str">
        <f t="array" ref="E2068">_xlfn.XLOOKUP($A2068, 'Medical Examinations'!$A:$A, 'Medical Examinations'!D:D, "No Data")</f>
        <v>No</v>
      </c>
      <c r="F2068" s="28" t="str">
        <f t="array" ref="F2068">_xlfn.XLOOKUP($A2068, 'Medical Examinations'!$A:$A, 'Medical Examinations'!E:E, "No Data")</f>
        <v>No</v>
      </c>
      <c r="G2068" s="28" t="str">
        <f t="array" ref="G2068">_xlfn.XLOOKUP($A2068, 'Medical Examinations'!$A:$A, 'Medical Examinations'!F:F, "No Data")</f>
        <v>No</v>
      </c>
      <c r="H2068" s="28">
        <f t="array" ref="H2068">_xlfn.XLOOKUP($A2068, 'Medical Examinations'!$A:$A, 'Medical Examinations'!G:G, "No Data")</f>
        <v>0</v>
      </c>
      <c r="I2068" s="28" t="str">
        <f t="array" ref="I2068">_xlfn.XLOOKUP($A2068, 'Medical Examinations'!$A:$A, 'Medical Examinations'!H:H, "No Data")</f>
        <v>No</v>
      </c>
      <c r="J2068" s="28" t="str">
        <f t="array" ref="J2068">_xlfn.XLOOKUP($A2068, 'Medical Examinations'!$A:$A, 'Medical Examinations'!I:I, "No Data")</f>
        <v>Overweight</v>
      </c>
      <c r="K2068" s="28" t="str">
        <f t="array" ref="K2068">_xlfn.XLOOKUP($A2068, 'Hospitalisation Details'!$A:$A, 'Hospitalisation Details'!I:I, "No Data")</f>
        <v>tier - 2</v>
      </c>
      <c r="L2068" s="28" t="str">
        <f t="array" ref="L2068">_xlfn.XLOOKUP($A2068, 'Hospitalisation Details'!$A:$A, 'Hospitalisation Details'!J:J, "No Data")</f>
        <v>R1021</v>
      </c>
      <c r="M2068" s="28" t="str">
        <f t="array" ref="M2068">_xlfn.XLOOKUP($A2068, 'Hospitalisation Details'!$A:$A, 'Hospitalisation Details'!E:E, "No Data")</f>
        <v>20/07/02</v>
      </c>
      <c r="N2068" s="28">
        <f t="array" ref="N2068">_xlfn.XLOOKUP($A2068, 'Hospitalisation Details'!$A:$A, 'Hospitalisation Details'!K:K, "No Data")</f>
        <v>20</v>
      </c>
      <c r="O2068" s="33">
        <f t="array" ref="O2068">_xlfn.XLOOKUP($A2068, 'Hospitalisation Details'!$A:$A, 'Hospitalisation Details'!G:G, "No Data")</f>
        <v>2585.04</v>
      </c>
      <c r="P2068" s="28" t="str">
        <f t="array" ref="P2068">_xlfn.XLOOKUP($A2068, 'Hospitalisation Details'!$A:$A, 'Hospitalisation Details'!H:H, "No Data")</f>
        <v>tier - 2</v>
      </c>
    </row>
    <row r="2069">
      <c r="A2069" s="25" t="s">
        <v>2302</v>
      </c>
      <c r="B2069" s="28" t="str">
        <f t="array" ref="B2069">_xlfn.XLOOKUP($A2069, 'Customer Names'!$A:$A, 'Customer Names'!B:B, "No Data")</f>
        <v>Olle</v>
      </c>
      <c r="C2069" s="28">
        <f t="array" ref="C2069">_xlfn.XLOOKUP($A2069, 'Medical Examinations'!$A:$A, 'Medical Examinations'!B:B, "No Data")</f>
        <v>31.13</v>
      </c>
      <c r="D2069" s="28">
        <f t="array" ref="D2069">_xlfn.XLOOKUP($A2069, 'Medical Examinations'!$A:$A, 'Medical Examinations'!C:C, "No Data")</f>
        <v>11.02</v>
      </c>
      <c r="E2069" s="28" t="str">
        <f t="array" ref="E2069">_xlfn.XLOOKUP($A2069, 'Medical Examinations'!$A:$A, 'Medical Examinations'!D:D, "No Data")</f>
        <v>No</v>
      </c>
      <c r="F2069" s="28" t="str">
        <f t="array" ref="F2069">_xlfn.XLOOKUP($A2069, 'Medical Examinations'!$A:$A, 'Medical Examinations'!E:E, "No Data")</f>
        <v>No</v>
      </c>
      <c r="G2069" s="28" t="str">
        <f t="array" ref="G2069">_xlfn.XLOOKUP($A2069, 'Medical Examinations'!$A:$A, 'Medical Examinations'!F:F, "No Data")</f>
        <v>No</v>
      </c>
      <c r="H2069" s="28">
        <f t="array" ref="H2069">_xlfn.XLOOKUP($A2069, 'Medical Examinations'!$A:$A, 'Medical Examinations'!G:G, "No Data")</f>
        <v>0</v>
      </c>
      <c r="I2069" s="28" t="str">
        <f t="array" ref="I2069">_xlfn.XLOOKUP($A2069, 'Medical Examinations'!$A:$A, 'Medical Examinations'!H:H, "No Data")</f>
        <v>No</v>
      </c>
      <c r="J2069" s="28" t="str">
        <f t="array" ref="J2069">_xlfn.XLOOKUP($A2069, 'Medical Examinations'!$A:$A, 'Medical Examinations'!I:I, "No Data")</f>
        <v>Obesity</v>
      </c>
      <c r="K2069" s="28" t="str">
        <f t="array" ref="K2069">_xlfn.XLOOKUP($A2069, 'Hospitalisation Details'!$A:$A, 'Hospitalisation Details'!I:I, "No Data")</f>
        <v>tier - 3</v>
      </c>
      <c r="L2069" s="28" t="str">
        <f t="array" ref="L2069">_xlfn.XLOOKUP($A2069, 'Hospitalisation Details'!$A:$A, 'Hospitalisation Details'!J:J, "No Data")</f>
        <v>R1013</v>
      </c>
      <c r="M2069" s="28" t="str">
        <f t="array" ref="M2069">_xlfn.XLOOKUP($A2069, 'Hospitalisation Details'!$A:$A, 'Hospitalisation Details'!E:E, "No Data")</f>
        <v>11/10/02</v>
      </c>
      <c r="N2069" s="28">
        <f t="array" ref="N2069">_xlfn.XLOOKUP($A2069, 'Hospitalisation Details'!$A:$A, 'Hospitalisation Details'!K:K, "No Data")</f>
        <v>20</v>
      </c>
      <c r="O2069" s="33">
        <f t="array" ref="O2069">_xlfn.XLOOKUP($A2069, 'Hospitalisation Details'!$A:$A, 'Hospitalisation Details'!G:G, "No Data")</f>
        <v>2566.47</v>
      </c>
      <c r="P2069" s="28" t="str">
        <f t="array" ref="P2069">_xlfn.XLOOKUP($A2069, 'Hospitalisation Details'!$A:$A, 'Hospitalisation Details'!H:H, "No Data")</f>
        <v>tier - 2</v>
      </c>
    </row>
    <row r="2070">
      <c r="A2070" s="25" t="s">
        <v>2298</v>
      </c>
      <c r="B2070" s="28" t="str">
        <f t="array" ref="B2070">_xlfn.XLOOKUP($A2070, 'Customer Names'!$A:$A, 'Customer Names'!B:B, "No Data")</f>
        <v>Hamsi</v>
      </c>
      <c r="C2070" s="28">
        <f t="array" ref="C2070">_xlfn.XLOOKUP($A2070, 'Medical Examinations'!$A:$A, 'Medical Examinations'!B:B, "No Data")</f>
        <v>18.46</v>
      </c>
      <c r="D2070" s="28">
        <f t="array" ref="D2070">_xlfn.XLOOKUP($A2070, 'Medical Examinations'!$A:$A, 'Medical Examinations'!C:C, "No Data")</f>
        <v>5.25</v>
      </c>
      <c r="E2070" s="28" t="str">
        <f t="array" ref="E2070">_xlfn.XLOOKUP($A2070, 'Medical Examinations'!$A:$A, 'Medical Examinations'!D:D, "No Data")</f>
        <v>No</v>
      </c>
      <c r="F2070" s="28" t="str">
        <f t="array" ref="F2070">_xlfn.XLOOKUP($A2070, 'Medical Examinations'!$A:$A, 'Medical Examinations'!E:E, "No Data")</f>
        <v>No</v>
      </c>
      <c r="G2070" s="28" t="str">
        <f t="array" ref="G2070">_xlfn.XLOOKUP($A2070, 'Medical Examinations'!$A:$A, 'Medical Examinations'!F:F, "No Data")</f>
        <v>No</v>
      </c>
      <c r="H2070" s="28">
        <f t="array" ref="H2070">_xlfn.XLOOKUP($A2070, 'Medical Examinations'!$A:$A, 'Medical Examinations'!G:G, "No Data")</f>
        <v>0</v>
      </c>
      <c r="I2070" s="28" t="str">
        <f t="array" ref="I2070">_xlfn.XLOOKUP($A2070, 'Medical Examinations'!$A:$A, 'Medical Examinations'!H:H, "No Data")</f>
        <v>No</v>
      </c>
      <c r="J2070" s="28" t="str">
        <f t="array" ref="J2070">_xlfn.XLOOKUP($A2070, 'Medical Examinations'!$A:$A, 'Medical Examinations'!I:I, "No Data")</f>
        <v>Underweight</v>
      </c>
      <c r="K2070" s="28" t="str">
        <f t="array" ref="K2070">_xlfn.XLOOKUP($A2070, 'Hospitalisation Details'!$A:$A, 'Hospitalisation Details'!I:I, "No Data")</f>
        <v>tier - 1</v>
      </c>
      <c r="L2070" s="28" t="str">
        <f t="array" ref="L2070">_xlfn.XLOOKUP($A2070, 'Hospitalisation Details'!$A:$A, 'Hospitalisation Details'!J:J, "No Data")</f>
        <v>R1013</v>
      </c>
      <c r="M2070" s="28" t="str">
        <f t="array" ref="M2070">_xlfn.XLOOKUP($A2070, 'Hospitalisation Details'!$A:$A, 'Hospitalisation Details'!E:E, "No Data")</f>
        <v>17/11/91</v>
      </c>
      <c r="N2070" s="28">
        <f t="array" ref="N2070">_xlfn.XLOOKUP($A2070, 'Hospitalisation Details'!$A:$A, 'Hospitalisation Details'!K:K, "No Data")</f>
        <v>31</v>
      </c>
      <c r="O2070" s="33">
        <f t="array" ref="O2070">_xlfn.XLOOKUP($A2070, 'Hospitalisation Details'!$A:$A, 'Hospitalisation Details'!G:G, "No Data")</f>
        <v>2545.68</v>
      </c>
      <c r="P2070" s="28" t="str">
        <f t="array" ref="P2070">_xlfn.XLOOKUP($A2070, 'Hospitalisation Details'!$A:$A, 'Hospitalisation Details'!H:H, "No Data")</f>
        <v>tier - 2</v>
      </c>
    </row>
    <row r="2071">
      <c r="A2071" s="25" t="s">
        <v>2291</v>
      </c>
      <c r="B2071" s="28" t="str">
        <f t="array" ref="B2071">_xlfn.XLOOKUP($A2071, 'Customer Names'!$A:$A, 'Customer Names'!B:B, "No Data")</f>
        <v>Finnegan</v>
      </c>
      <c r="C2071" s="28">
        <f t="array" ref="C2071">_xlfn.XLOOKUP($A2071, 'Medical Examinations'!$A:$A, 'Medical Examinations'!B:B, "No Data")</f>
        <v>17.3</v>
      </c>
      <c r="D2071" s="28">
        <f t="array" ref="D2071">_xlfn.XLOOKUP($A2071, 'Medical Examinations'!$A:$A, 'Medical Examinations'!C:C, "No Data")</f>
        <v>4.75</v>
      </c>
      <c r="E2071" s="28" t="str">
        <f t="array" ref="E2071">_xlfn.XLOOKUP($A2071, 'Medical Examinations'!$A:$A, 'Medical Examinations'!D:D, "No Data")</f>
        <v>No</v>
      </c>
      <c r="F2071" s="28" t="str">
        <f t="array" ref="F2071">_xlfn.XLOOKUP($A2071, 'Medical Examinations'!$A:$A, 'Medical Examinations'!E:E, "No Data")</f>
        <v>No</v>
      </c>
      <c r="G2071" s="28" t="str">
        <f t="array" ref="G2071">_xlfn.XLOOKUP($A2071, 'Medical Examinations'!$A:$A, 'Medical Examinations'!F:F, "No Data")</f>
        <v>No</v>
      </c>
      <c r="H2071" s="28">
        <f t="array" ref="H2071">_xlfn.XLOOKUP($A2071, 'Medical Examinations'!$A:$A, 'Medical Examinations'!G:G, "No Data")</f>
        <v>0</v>
      </c>
      <c r="I2071" s="28" t="str">
        <f t="array" ref="I2071">_xlfn.XLOOKUP($A2071, 'Medical Examinations'!$A:$A, 'Medical Examinations'!H:H, "No Data")</f>
        <v>No</v>
      </c>
      <c r="J2071" s="28" t="str">
        <f t="array" ref="J2071">_xlfn.XLOOKUP($A2071, 'Medical Examinations'!$A:$A, 'Medical Examinations'!I:I, "No Data")</f>
        <v>Underweight</v>
      </c>
      <c r="K2071" s="28" t="str">
        <f t="array" ref="K2071">_xlfn.XLOOKUP($A2071, 'Hospitalisation Details'!$A:$A, 'Hospitalisation Details'!I:I, "No Data")</f>
        <v>tier - 2</v>
      </c>
      <c r="L2071" s="28" t="str">
        <f t="array" ref="L2071">_xlfn.XLOOKUP($A2071, 'Hospitalisation Details'!$A:$A, 'Hospitalisation Details'!J:J, "No Data")</f>
        <v>R1013</v>
      </c>
      <c r="M2071" s="28" t="str">
        <f t="array" ref="M2071">_xlfn.XLOOKUP($A2071, 'Hospitalisation Details'!$A:$A, 'Hospitalisation Details'!E:E, "No Data")</f>
        <v>01/10/90</v>
      </c>
      <c r="N2071" s="28">
        <f t="array" ref="N2071">_xlfn.XLOOKUP($A2071, 'Hospitalisation Details'!$A:$A, 'Hospitalisation Details'!K:K, "No Data")</f>
        <v>32</v>
      </c>
      <c r="O2071" s="33">
        <f t="array" ref="O2071">_xlfn.XLOOKUP($A2071, 'Hospitalisation Details'!$A:$A, 'Hospitalisation Details'!G:G, "No Data")</f>
        <v>2540.39</v>
      </c>
      <c r="P2071" s="28" t="str">
        <f t="array" ref="P2071">_xlfn.XLOOKUP($A2071, 'Hospitalisation Details'!$A:$A, 'Hospitalisation Details'!H:H, "No Data")</f>
        <v>tier - 2</v>
      </c>
    </row>
    <row r="2072">
      <c r="A2072" s="25" t="s">
        <v>2287</v>
      </c>
      <c r="B2072" s="28" t="str">
        <f t="array" ref="B2072">_xlfn.XLOOKUP($A2072, 'Customer Names'!$A:$A, 'Customer Names'!B:B, "No Data")</f>
        <v>Walsh</v>
      </c>
      <c r="C2072" s="28">
        <f t="array" ref="C2072">_xlfn.XLOOKUP($A2072, 'Medical Examinations'!$A:$A, 'Medical Examinations'!B:B, "No Data")</f>
        <v>35.625</v>
      </c>
      <c r="D2072" s="28">
        <f t="array" ref="D2072">_xlfn.XLOOKUP($A2072, 'Medical Examinations'!$A:$A, 'Medical Examinations'!C:C, "No Data")</f>
        <v>4.68</v>
      </c>
      <c r="E2072" s="28" t="str">
        <f t="array" ref="E2072">_xlfn.XLOOKUP($A2072, 'Medical Examinations'!$A:$A, 'Medical Examinations'!D:D, "No Data")</f>
        <v>yes</v>
      </c>
      <c r="F2072" s="28" t="str">
        <f t="array" ref="F2072">_xlfn.XLOOKUP($A2072, 'Medical Examinations'!$A:$A, 'Medical Examinations'!E:E, "No Data")</f>
        <v>No</v>
      </c>
      <c r="G2072" s="28" t="str">
        <f t="array" ref="G2072">_xlfn.XLOOKUP($A2072, 'Medical Examinations'!$A:$A, 'Medical Examinations'!F:F, "No Data")</f>
        <v>Yes</v>
      </c>
      <c r="H2072" s="28">
        <f t="array" ref="H2072">_xlfn.XLOOKUP($A2072, 'Medical Examinations'!$A:$A, 'Medical Examinations'!G:G, "No Data")</f>
        <v>1</v>
      </c>
      <c r="I2072" s="28" t="str">
        <f t="array" ref="I2072">_xlfn.XLOOKUP($A2072, 'Medical Examinations'!$A:$A, 'Medical Examinations'!H:H, "No Data")</f>
        <v>No</v>
      </c>
      <c r="J2072" s="28" t="str">
        <f t="array" ref="J2072">_xlfn.XLOOKUP($A2072, 'Medical Examinations'!$A:$A, 'Medical Examinations'!I:I, "No Data")</f>
        <v>Obesity</v>
      </c>
      <c r="K2072" s="28" t="str">
        <f t="array" ref="K2072">_xlfn.XLOOKUP($A2072, 'Hospitalisation Details'!$A:$A, 'Hospitalisation Details'!I:I, "No Data")</f>
        <v>tier - 3</v>
      </c>
      <c r="L2072" s="28" t="str">
        <f t="array" ref="L2072">_xlfn.XLOOKUP($A2072, 'Hospitalisation Details'!$A:$A, 'Hospitalisation Details'!J:J, "No Data")</f>
        <v>R1012</v>
      </c>
      <c r="M2072" s="28" t="str">
        <f t="array" ref="M2072">_xlfn.XLOOKUP($A2072, 'Hospitalisation Details'!$A:$A, 'Hospitalisation Details'!E:E, "No Data")</f>
        <v>28/07/97</v>
      </c>
      <c r="N2072" s="28">
        <f t="array" ref="N2072">_xlfn.XLOOKUP($A2072, 'Hospitalisation Details'!$A:$A, 'Hospitalisation Details'!K:K, "No Data")</f>
        <v>25</v>
      </c>
      <c r="O2072" s="33">
        <f t="array" ref="O2072">_xlfn.XLOOKUP($A2072, 'Hospitalisation Details'!$A:$A, 'Hospitalisation Details'!G:G, "No Data")</f>
        <v>2534.39</v>
      </c>
      <c r="P2072" s="28" t="str">
        <f t="array" ref="P2072">_xlfn.XLOOKUP($A2072, 'Hospitalisation Details'!$A:$A, 'Hospitalisation Details'!H:H, "No Data")</f>
        <v>tier - 3</v>
      </c>
    </row>
    <row r="2073">
      <c r="A2073" s="25" t="s">
        <v>2282</v>
      </c>
      <c r="B2073" s="28" t="str">
        <f t="array" ref="B2073">_xlfn.XLOOKUP($A2073, 'Customer Names'!$A:$A, 'Customer Names'!B:B, "No Data")</f>
        <v>Villa</v>
      </c>
      <c r="C2073" s="28">
        <f t="array" ref="C2073">_xlfn.XLOOKUP($A2073, 'Medical Examinations'!$A:$A, 'Medical Examinations'!B:B, "No Data")</f>
        <v>20.235</v>
      </c>
      <c r="D2073" s="28">
        <f t="array" ref="D2073">_xlfn.XLOOKUP($A2073, 'Medical Examinations'!$A:$A, 'Medical Examinations'!C:C, "No Data")</f>
        <v>6.17</v>
      </c>
      <c r="E2073" s="28" t="str">
        <f t="array" ref="E2073">_xlfn.XLOOKUP($A2073, 'Medical Examinations'!$A:$A, 'Medical Examinations'!D:D, "No Data")</f>
        <v>yes</v>
      </c>
      <c r="F2073" s="28" t="str">
        <f t="array" ref="F2073">_xlfn.XLOOKUP($A2073, 'Medical Examinations'!$A:$A, 'Medical Examinations'!E:E, "No Data")</f>
        <v>yes</v>
      </c>
      <c r="G2073" s="28" t="str">
        <f t="array" ref="G2073">_xlfn.XLOOKUP($A2073, 'Medical Examinations'!$A:$A, 'Medical Examinations'!F:F, "No Data")</f>
        <v>No</v>
      </c>
      <c r="H2073" s="28">
        <f t="array" ref="H2073">_xlfn.XLOOKUP($A2073, 'Medical Examinations'!$A:$A, 'Medical Examinations'!G:G, "No Data")</f>
        <v>2</v>
      </c>
      <c r="I2073" s="28" t="str">
        <f t="array" ref="I2073">_xlfn.XLOOKUP($A2073, 'Medical Examinations'!$A:$A, 'Medical Examinations'!H:H, "No Data")</f>
        <v>No</v>
      </c>
      <c r="J2073" s="28" t="str">
        <f t="array" ref="J2073">_xlfn.XLOOKUP($A2073, 'Medical Examinations'!$A:$A, 'Medical Examinations'!I:I, "No Data")</f>
        <v>Normal Weight</v>
      </c>
      <c r="K2073" s="28" t="str">
        <f t="array" ref="K2073">_xlfn.XLOOKUP($A2073, 'Hospitalisation Details'!$A:$A, 'Hospitalisation Details'!I:I, "No Data")</f>
        <v>tier - 3</v>
      </c>
      <c r="L2073" s="28" t="str">
        <f t="array" ref="L2073">_xlfn.XLOOKUP($A2073, 'Hospitalisation Details'!$A:$A, 'Hospitalisation Details'!J:J, "No Data")</f>
        <v>R1012</v>
      </c>
      <c r="M2073" s="28" t="str">
        <f t="array" ref="M2073">_xlfn.XLOOKUP($A2073, 'Hospitalisation Details'!$A:$A, 'Hospitalisation Details'!E:E, "No Data")</f>
        <v>25/08/00</v>
      </c>
      <c r="N2073" s="28">
        <f t="array" ref="N2073">_xlfn.XLOOKUP($A2073, 'Hospitalisation Details'!$A:$A, 'Hospitalisation Details'!K:K, "No Data")</f>
        <v>22</v>
      </c>
      <c r="O2073" s="33">
        <f t="array" ref="O2073">_xlfn.XLOOKUP($A2073, 'Hospitalisation Details'!$A:$A, 'Hospitalisation Details'!G:G, "No Data")</f>
        <v>2527.82</v>
      </c>
      <c r="P2073" s="28" t="str">
        <f t="array" ref="P2073">_xlfn.XLOOKUP($A2073, 'Hospitalisation Details'!$A:$A, 'Hospitalisation Details'!H:H, "No Data")</f>
        <v>tier - 2</v>
      </c>
    </row>
    <row r="2074">
      <c r="A2074" s="25" t="s">
        <v>2279</v>
      </c>
      <c r="B2074" s="28" t="str">
        <f t="array" ref="B2074">_xlfn.XLOOKUP($A2074, 'Customer Names'!$A:$A, 'Customer Names'!B:B, "No Data")</f>
        <v>Cable</v>
      </c>
      <c r="C2074" s="28">
        <f t="array" ref="C2074">_xlfn.XLOOKUP($A2074, 'Medical Examinations'!$A:$A, 'Medical Examinations'!B:B, "No Data")</f>
        <v>27.55</v>
      </c>
      <c r="D2074" s="28">
        <f t="array" ref="D2074">_xlfn.XLOOKUP($A2074, 'Medical Examinations'!$A:$A, 'Medical Examinations'!C:C, "No Data")</f>
        <v>4.56</v>
      </c>
      <c r="E2074" s="28" t="str">
        <f t="array" ref="E2074">_xlfn.XLOOKUP($A2074, 'Medical Examinations'!$A:$A, 'Medical Examinations'!D:D, "No Data")</f>
        <v>yes</v>
      </c>
      <c r="F2074" s="28" t="str">
        <f t="array" ref="F2074">_xlfn.XLOOKUP($A2074, 'Medical Examinations'!$A:$A, 'Medical Examinations'!E:E, "No Data")</f>
        <v>No</v>
      </c>
      <c r="G2074" s="28" t="str">
        <f t="array" ref="G2074">_xlfn.XLOOKUP($A2074, 'Medical Examinations'!$A:$A, 'Medical Examinations'!F:F, "No Data")</f>
        <v>Yes</v>
      </c>
      <c r="H2074" s="28">
        <f t="array" ref="H2074">_xlfn.XLOOKUP($A2074, 'Medical Examinations'!$A:$A, 'Medical Examinations'!G:G, "No Data")</f>
        <v>1</v>
      </c>
      <c r="I2074" s="28" t="str">
        <f t="array" ref="I2074">_xlfn.XLOOKUP($A2074, 'Medical Examinations'!$A:$A, 'Medical Examinations'!H:H, "No Data")</f>
        <v>No</v>
      </c>
      <c r="J2074" s="28" t="str">
        <f t="array" ref="J2074">_xlfn.XLOOKUP($A2074, 'Medical Examinations'!$A:$A, 'Medical Examinations'!I:I, "No Data")</f>
        <v>Overweight</v>
      </c>
      <c r="K2074" s="28" t="str">
        <f t="array" ref="K2074">_xlfn.XLOOKUP($A2074, 'Hospitalisation Details'!$A:$A, 'Hospitalisation Details'!I:I, "No Data")</f>
        <v>tier - 1</v>
      </c>
      <c r="L2074" s="28" t="str">
        <f t="array" ref="L2074">_xlfn.XLOOKUP($A2074, 'Hospitalisation Details'!$A:$A, 'Hospitalisation Details'!J:J, "No Data")</f>
        <v>R1012</v>
      </c>
      <c r="M2074" s="28" t="str">
        <f t="array" ref="M2074">_xlfn.XLOOKUP($A2074, 'Hospitalisation Details'!$A:$A, 'Hospitalisation Details'!E:E, "No Data")</f>
        <v>02/11/97</v>
      </c>
      <c r="N2074" s="28">
        <f t="array" ref="N2074">_xlfn.XLOOKUP($A2074, 'Hospitalisation Details'!$A:$A, 'Hospitalisation Details'!K:K, "No Data")</f>
        <v>25</v>
      </c>
      <c r="O2074" s="33">
        <f t="array" ref="O2074">_xlfn.XLOOKUP($A2074, 'Hospitalisation Details'!$A:$A, 'Hospitalisation Details'!G:G, "No Data")</f>
        <v>2523.17</v>
      </c>
      <c r="P2074" s="28" t="str">
        <f t="array" ref="P2074">_xlfn.XLOOKUP($A2074, 'Hospitalisation Details'!$A:$A, 'Hospitalisation Details'!H:H, "No Data")</f>
        <v>tier - 3</v>
      </c>
    </row>
    <row r="2075">
      <c r="A2075" s="25" t="s">
        <v>2272</v>
      </c>
      <c r="B2075" s="28" t="str">
        <f t="array" ref="B2075">_xlfn.XLOOKUP($A2075, 'Customer Names'!$A:$A, 'Customer Names'!B:B, "No Data")</f>
        <v>Eiring</v>
      </c>
      <c r="C2075" s="28">
        <f t="array" ref="C2075">_xlfn.XLOOKUP($A2075, 'Medical Examinations'!$A:$A, 'Medical Examinations'!B:B, "No Data")</f>
        <v>17.97</v>
      </c>
      <c r="D2075" s="28">
        <f t="array" ref="D2075">_xlfn.XLOOKUP($A2075, 'Medical Examinations'!$A:$A, 'Medical Examinations'!C:C, "No Data")</f>
        <v>6.3</v>
      </c>
      <c r="E2075" s="28" t="str">
        <f t="array" ref="E2075">_xlfn.XLOOKUP($A2075, 'Medical Examinations'!$A:$A, 'Medical Examinations'!D:D, "No Data")</f>
        <v>No</v>
      </c>
      <c r="F2075" s="28" t="str">
        <f t="array" ref="F2075">_xlfn.XLOOKUP($A2075, 'Medical Examinations'!$A:$A, 'Medical Examinations'!E:E, "No Data")</f>
        <v>No</v>
      </c>
      <c r="G2075" s="28" t="str">
        <f t="array" ref="G2075">_xlfn.XLOOKUP($A2075, 'Medical Examinations'!$A:$A, 'Medical Examinations'!F:F, "No Data")</f>
        <v>No</v>
      </c>
      <c r="H2075" s="28">
        <f t="array" ref="H2075">_xlfn.XLOOKUP($A2075, 'Medical Examinations'!$A:$A, 'Medical Examinations'!G:G, "No Data")</f>
        <v>0</v>
      </c>
      <c r="I2075" s="28" t="str">
        <f t="array" ref="I2075">_xlfn.XLOOKUP($A2075, 'Medical Examinations'!$A:$A, 'Medical Examinations'!H:H, "No Data")</f>
        <v>No</v>
      </c>
      <c r="J2075" s="28" t="str">
        <f t="array" ref="J2075">_xlfn.XLOOKUP($A2075, 'Medical Examinations'!$A:$A, 'Medical Examinations'!I:I, "No Data")</f>
        <v>Underweight</v>
      </c>
      <c r="K2075" s="28" t="str">
        <f t="array" ref="K2075">_xlfn.XLOOKUP($A2075, 'Hospitalisation Details'!$A:$A, 'Hospitalisation Details'!I:I, "No Data")</f>
        <v>tier - 1</v>
      </c>
      <c r="L2075" s="28" t="str">
        <f t="array" ref="L2075">_xlfn.XLOOKUP($A2075, 'Hospitalisation Details'!$A:$A, 'Hospitalisation Details'!J:J, "No Data")</f>
        <v>R1013</v>
      </c>
      <c r="M2075" s="28" t="str">
        <f t="array" ref="M2075">_xlfn.XLOOKUP($A2075, 'Hospitalisation Details'!$A:$A, 'Hospitalisation Details'!E:E, "No Data")</f>
        <v>05/08/91</v>
      </c>
      <c r="N2075" s="28">
        <f t="array" ref="N2075">_xlfn.XLOOKUP($A2075, 'Hospitalisation Details'!$A:$A, 'Hospitalisation Details'!K:K, "No Data")</f>
        <v>31</v>
      </c>
      <c r="O2075" s="33">
        <f t="array" ref="O2075">_xlfn.XLOOKUP($A2075, 'Hospitalisation Details'!$A:$A, 'Hospitalisation Details'!G:G, "No Data")</f>
        <v>2510.79</v>
      </c>
      <c r="P2075" s="28" t="str">
        <f t="array" ref="P2075">_xlfn.XLOOKUP($A2075, 'Hospitalisation Details'!$A:$A, 'Hospitalisation Details'!H:H, "No Data")</f>
        <v>tier - 2</v>
      </c>
    </row>
    <row r="2076">
      <c r="A2076" s="25" t="s">
        <v>2267</v>
      </c>
      <c r="B2076" s="28" t="str">
        <f t="array" ref="B2076">_xlfn.XLOOKUP($A2076, 'Customer Names'!$A:$A, 'Customer Names'!B:B, "No Data")</f>
        <v>Connor</v>
      </c>
      <c r="C2076" s="28">
        <f t="array" ref="C2076">_xlfn.XLOOKUP($A2076, 'Medical Examinations'!$A:$A, 'Medical Examinations'!B:B, "No Data")</f>
        <v>29.98</v>
      </c>
      <c r="D2076" s="28">
        <f t="array" ref="D2076">_xlfn.XLOOKUP($A2076, 'Medical Examinations'!$A:$A, 'Medical Examinations'!C:C, "No Data")</f>
        <v>6.03</v>
      </c>
      <c r="E2076" s="28" t="str">
        <f t="array" ref="E2076">_xlfn.XLOOKUP($A2076, 'Medical Examinations'!$A:$A, 'Medical Examinations'!D:D, "No Data")</f>
        <v>No</v>
      </c>
      <c r="F2076" s="28" t="str">
        <f t="array" ref="F2076">_xlfn.XLOOKUP($A2076, 'Medical Examinations'!$A:$A, 'Medical Examinations'!E:E, "No Data")</f>
        <v>yes</v>
      </c>
      <c r="G2076" s="28" t="str">
        <f t="array" ref="G2076">_xlfn.XLOOKUP($A2076, 'Medical Examinations'!$A:$A, 'Medical Examinations'!F:F, "No Data")</f>
        <v>No</v>
      </c>
      <c r="H2076" s="28">
        <f t="array" ref="H2076">_xlfn.XLOOKUP($A2076, 'Medical Examinations'!$A:$A, 'Medical Examinations'!G:G, "No Data")</f>
        <v>1</v>
      </c>
      <c r="I2076" s="28" t="str">
        <f t="array" ref="I2076">_xlfn.XLOOKUP($A2076, 'Medical Examinations'!$A:$A, 'Medical Examinations'!H:H, "No Data")</f>
        <v>No</v>
      </c>
      <c r="J2076" s="28" t="str">
        <f t="array" ref="J2076">_xlfn.XLOOKUP($A2076, 'Medical Examinations'!$A:$A, 'Medical Examinations'!I:I, "No Data")</f>
        <v>Overweight</v>
      </c>
      <c r="K2076" s="28" t="str">
        <f t="array" ref="K2076">_xlfn.XLOOKUP($A2076, 'Hospitalisation Details'!$A:$A, 'Hospitalisation Details'!I:I, "No Data")</f>
        <v>tier - 2</v>
      </c>
      <c r="L2076" s="28" t="str">
        <f t="array" ref="L2076">_xlfn.XLOOKUP($A2076, 'Hospitalisation Details'!$A:$A, 'Hospitalisation Details'!J:J, "No Data")</f>
        <v>R1012</v>
      </c>
      <c r="M2076" s="28" t="str">
        <f t="array" ref="M2076">_xlfn.XLOOKUP($A2076, 'Hospitalisation Details'!$A:$A, 'Hospitalisation Details'!E:E, "No Data")</f>
        <v>06/09/04</v>
      </c>
      <c r="N2076" s="28">
        <f t="array" ref="N2076">_xlfn.XLOOKUP($A2076, 'Hospitalisation Details'!$A:$A, 'Hospitalisation Details'!K:K, "No Data")</f>
        <v>18</v>
      </c>
      <c r="O2076" s="33">
        <f t="array" ref="O2076">_xlfn.XLOOKUP($A2076, 'Hospitalisation Details'!$A:$A, 'Hospitalisation Details'!G:G, "No Data")</f>
        <v>2500.93</v>
      </c>
      <c r="P2076" s="28" t="str">
        <f t="array" ref="P2076">_xlfn.XLOOKUP($A2076, 'Hospitalisation Details'!$A:$A, 'Hospitalisation Details'!H:H, "No Data")</f>
        <v>tier - 2</v>
      </c>
    </row>
    <row r="2077">
      <c r="A2077" s="25" t="s">
        <v>2263</v>
      </c>
      <c r="B2077" s="28" t="str">
        <f t="array" ref="B2077">_xlfn.XLOOKUP($A2077, 'Customer Names'!$A:$A, 'Customer Names'!B:B, "No Data")</f>
        <v>Friedman</v>
      </c>
      <c r="C2077" s="28">
        <f t="array" ref="C2077">_xlfn.XLOOKUP($A2077, 'Medical Examinations'!$A:$A, 'Medical Examinations'!B:B, "No Data")</f>
        <v>33.66</v>
      </c>
      <c r="D2077" s="28">
        <f t="array" ref="D2077">_xlfn.XLOOKUP($A2077, 'Medical Examinations'!$A:$A, 'Medical Examinations'!C:C, "No Data")</f>
        <v>4.2</v>
      </c>
      <c r="E2077" s="28" t="str">
        <f t="array" ref="E2077">_xlfn.XLOOKUP($A2077, 'Medical Examinations'!$A:$A, 'Medical Examinations'!D:D, "No Data")</f>
        <v>yes</v>
      </c>
      <c r="F2077" s="28" t="str">
        <f t="array" ref="F2077">_xlfn.XLOOKUP($A2077, 'Medical Examinations'!$A:$A, 'Medical Examinations'!E:E, "No Data")</f>
        <v>No</v>
      </c>
      <c r="G2077" s="28" t="str">
        <f t="array" ref="G2077">_xlfn.XLOOKUP($A2077, 'Medical Examinations'!$A:$A, 'Medical Examinations'!F:F, "No Data")</f>
        <v>No</v>
      </c>
      <c r="H2077" s="28">
        <f t="array" ref="H2077">_xlfn.XLOOKUP($A2077, 'Medical Examinations'!$A:$A, 'Medical Examinations'!G:G, "No Data")</f>
        <v>1</v>
      </c>
      <c r="I2077" s="28" t="str">
        <f t="array" ref="I2077">_xlfn.XLOOKUP($A2077, 'Medical Examinations'!$A:$A, 'Medical Examinations'!H:H, "No Data")</f>
        <v>No</v>
      </c>
      <c r="J2077" s="28" t="str">
        <f t="array" ref="J2077">_xlfn.XLOOKUP($A2077, 'Medical Examinations'!$A:$A, 'Medical Examinations'!I:I, "No Data")</f>
        <v>Obesity</v>
      </c>
      <c r="K2077" s="28" t="str">
        <f t="array" ref="K2077">_xlfn.XLOOKUP($A2077, 'Hospitalisation Details'!$A:$A, 'Hospitalisation Details'!I:I, "No Data")</f>
        <v>tier - 3</v>
      </c>
      <c r="L2077" s="28" t="str">
        <f t="array" ref="L2077">_xlfn.XLOOKUP($A2077, 'Hospitalisation Details'!$A:$A, 'Hospitalisation Details'!J:J, "No Data")</f>
        <v>R1013</v>
      </c>
      <c r="M2077" s="28" t="str">
        <f t="array" ref="M2077">_xlfn.XLOOKUP($A2077, 'Hospitalisation Details'!$A:$A, 'Hospitalisation Details'!E:E, "No Data")</f>
        <v>15/10/95</v>
      </c>
      <c r="N2077" s="28">
        <f t="array" ref="N2077">_xlfn.XLOOKUP($A2077, 'Hospitalisation Details'!$A:$A, 'Hospitalisation Details'!K:K, "No Data")</f>
        <v>27</v>
      </c>
      <c r="O2077" s="33">
        <f t="array" ref="O2077">_xlfn.XLOOKUP($A2077, 'Hospitalisation Details'!$A:$A, 'Hospitalisation Details'!G:G, "No Data")</f>
        <v>2498.41</v>
      </c>
      <c r="P2077" s="28" t="str">
        <f t="array" ref="P2077">_xlfn.XLOOKUP($A2077, 'Hospitalisation Details'!$A:$A, 'Hospitalisation Details'!H:H, "No Data")</f>
        <v>tier - 3</v>
      </c>
    </row>
    <row r="2078">
      <c r="A2078" s="25" t="s">
        <v>2258</v>
      </c>
      <c r="B2078" s="28" t="str">
        <f t="array" ref="B2078">_xlfn.XLOOKUP($A2078, 'Customer Names'!$A:$A, 'Customer Names'!B:B, "No Data")</f>
        <v>Croker</v>
      </c>
      <c r="C2078" s="28">
        <f t="array" ref="C2078">_xlfn.XLOOKUP($A2078, 'Medical Examinations'!$A:$A, 'Medical Examinations'!B:B, "No Data")</f>
        <v>32.67</v>
      </c>
      <c r="D2078" s="28">
        <f t="array" ref="D2078">_xlfn.XLOOKUP($A2078, 'Medical Examinations'!$A:$A, 'Medical Examinations'!C:C, "No Data")</f>
        <v>5.61</v>
      </c>
      <c r="E2078" s="28" t="str">
        <f t="array" ref="E2078">_xlfn.XLOOKUP($A2078, 'Medical Examinations'!$A:$A, 'Medical Examinations'!D:D, "No Data")</f>
        <v>yes</v>
      </c>
      <c r="F2078" s="28" t="str">
        <f t="array" ref="F2078">_xlfn.XLOOKUP($A2078, 'Medical Examinations'!$A:$A, 'Medical Examinations'!E:E, "No Data")</f>
        <v>No</v>
      </c>
      <c r="G2078" s="28" t="str">
        <f t="array" ref="G2078">_xlfn.XLOOKUP($A2078, 'Medical Examinations'!$A:$A, 'Medical Examinations'!F:F, "No Data")</f>
        <v>No</v>
      </c>
      <c r="H2078" s="28">
        <f t="array" ref="H2078">_xlfn.XLOOKUP($A2078, 'Medical Examinations'!$A:$A, 'Medical Examinations'!G:G, "No Data")</f>
        <v>1</v>
      </c>
      <c r="I2078" s="28" t="str">
        <f t="array" ref="I2078">_xlfn.XLOOKUP($A2078, 'Medical Examinations'!$A:$A, 'Medical Examinations'!H:H, "No Data")</f>
        <v>No</v>
      </c>
      <c r="J2078" s="28" t="str">
        <f t="array" ref="J2078">_xlfn.XLOOKUP($A2078, 'Medical Examinations'!$A:$A, 'Medical Examinations'!I:I, "No Data")</f>
        <v>Obesity</v>
      </c>
      <c r="K2078" s="28" t="str">
        <f t="array" ref="K2078">_xlfn.XLOOKUP($A2078, 'Hospitalisation Details'!$A:$A, 'Hospitalisation Details'!I:I, "No Data")</f>
        <v>tier - 3</v>
      </c>
      <c r="L2078" s="28" t="str">
        <f t="array" ref="L2078">_xlfn.XLOOKUP($A2078, 'Hospitalisation Details'!$A:$A, 'Hospitalisation Details'!J:J, "No Data")</f>
        <v>R1013</v>
      </c>
      <c r="M2078" s="28" t="str">
        <f t="array" ref="M2078">_xlfn.XLOOKUP($A2078, 'Hospitalisation Details'!$A:$A, 'Hospitalisation Details'!E:E, "No Data")</f>
        <v>09/07/95</v>
      </c>
      <c r="N2078" s="28">
        <f t="array" ref="N2078">_xlfn.XLOOKUP($A2078, 'Hospitalisation Details'!$A:$A, 'Hospitalisation Details'!K:K, "No Data")</f>
        <v>27</v>
      </c>
      <c r="O2078" s="33">
        <f t="array" ref="O2078">_xlfn.XLOOKUP($A2078, 'Hospitalisation Details'!$A:$A, 'Hospitalisation Details'!G:G, "No Data")</f>
        <v>2497.04</v>
      </c>
      <c r="P2078" s="28" t="str">
        <f t="array" ref="P2078">_xlfn.XLOOKUP($A2078, 'Hospitalisation Details'!$A:$A, 'Hospitalisation Details'!H:H, "No Data")</f>
        <v>tier - 3</v>
      </c>
    </row>
    <row r="2079">
      <c r="A2079" s="25" t="s">
        <v>2254</v>
      </c>
      <c r="B2079" s="28" t="str">
        <f t="array" ref="B2079">_xlfn.XLOOKUP($A2079, 'Customer Names'!$A:$A, 'Customer Names'!B:B, "No Data")</f>
        <v>Beganics</v>
      </c>
      <c r="C2079" s="28">
        <f t="array" ref="C2079">_xlfn.XLOOKUP($A2079, 'Medical Examinations'!$A:$A, 'Medical Examinations'!B:B, "No Data")</f>
        <v>30.5</v>
      </c>
      <c r="D2079" s="28">
        <f t="array" ref="D2079">_xlfn.XLOOKUP($A2079, 'Medical Examinations'!$A:$A, 'Medical Examinations'!C:C, "No Data")</f>
        <v>5.88</v>
      </c>
      <c r="E2079" s="28" t="str">
        <f t="array" ref="E2079">_xlfn.XLOOKUP($A2079, 'Medical Examinations'!$A:$A, 'Medical Examinations'!D:D, "No Data")</f>
        <v>yes</v>
      </c>
      <c r="F2079" s="28" t="str">
        <f t="array" ref="F2079">_xlfn.XLOOKUP($A2079, 'Medical Examinations'!$A:$A, 'Medical Examinations'!E:E, "No Data")</f>
        <v>No</v>
      </c>
      <c r="G2079" s="28" t="str">
        <f t="array" ref="G2079">_xlfn.XLOOKUP($A2079, 'Medical Examinations'!$A:$A, 'Medical Examinations'!F:F, "No Data")</f>
        <v>No</v>
      </c>
      <c r="H2079" s="28">
        <f t="array" ref="H2079">_xlfn.XLOOKUP($A2079, 'Medical Examinations'!$A:$A, 'Medical Examinations'!G:G, "No Data")</f>
        <v>1</v>
      </c>
      <c r="I2079" s="28" t="str">
        <f t="array" ref="I2079">_xlfn.XLOOKUP($A2079, 'Medical Examinations'!$A:$A, 'Medical Examinations'!H:H, "No Data")</f>
        <v>No</v>
      </c>
      <c r="J2079" s="28" t="str">
        <f t="array" ref="J2079">_xlfn.XLOOKUP($A2079, 'Medical Examinations'!$A:$A, 'Medical Examinations'!I:I, "No Data")</f>
        <v>Obesity</v>
      </c>
      <c r="K2079" s="28" t="str">
        <f t="array" ref="K2079">_xlfn.XLOOKUP($A2079, 'Hospitalisation Details'!$A:$A, 'Hospitalisation Details'!I:I, "No Data")</f>
        <v>tier - 1</v>
      </c>
      <c r="L2079" s="28" t="str">
        <f t="array" ref="L2079">_xlfn.XLOOKUP($A2079, 'Hospitalisation Details'!$A:$A, 'Hospitalisation Details'!J:J, "No Data")</f>
        <v>R1011</v>
      </c>
      <c r="M2079" s="28" t="str">
        <f t="array" ref="M2079">_xlfn.XLOOKUP($A2079, 'Hospitalisation Details'!$A:$A, 'Hospitalisation Details'!E:E, "No Data")</f>
        <v>14/10/95</v>
      </c>
      <c r="N2079" s="28">
        <f t="array" ref="N2079">_xlfn.XLOOKUP($A2079, 'Hospitalisation Details'!$A:$A, 'Hospitalisation Details'!K:K, "No Data")</f>
        <v>27</v>
      </c>
      <c r="O2079" s="33">
        <f t="array" ref="O2079">_xlfn.XLOOKUP($A2079, 'Hospitalisation Details'!$A:$A, 'Hospitalisation Details'!G:G, "No Data")</f>
        <v>2494.02</v>
      </c>
      <c r="P2079" s="28" t="str">
        <f t="array" ref="P2079">_xlfn.XLOOKUP($A2079, 'Hospitalisation Details'!$A:$A, 'Hospitalisation Details'!H:H, "No Data")</f>
        <v>tier - 3</v>
      </c>
    </row>
    <row r="2080">
      <c r="A2080" s="25" t="s">
        <v>2248</v>
      </c>
      <c r="B2080" s="28" t="str">
        <f t="array" ref="B2080">_xlfn.XLOOKUP($A2080, 'Customer Names'!$A:$A, 'Customer Names'!B:B, "No Data")</f>
        <v>Huberty</v>
      </c>
      <c r="C2080" s="28">
        <f t="array" ref="C2080">_xlfn.XLOOKUP($A2080, 'Medical Examinations'!$A:$A, 'Medical Examinations'!B:B, "No Data")</f>
        <v>23.1</v>
      </c>
      <c r="D2080" s="28">
        <f t="array" ref="D2080">_xlfn.XLOOKUP($A2080, 'Medical Examinations'!$A:$A, 'Medical Examinations'!C:C, "No Data")</f>
        <v>5.92</v>
      </c>
      <c r="E2080" s="28" t="str">
        <f t="array" ref="E2080">_xlfn.XLOOKUP($A2080, 'Medical Examinations'!$A:$A, 'Medical Examinations'!D:D, "No Data")</f>
        <v>yes</v>
      </c>
      <c r="F2080" s="28" t="str">
        <f t="array" ref="F2080">_xlfn.XLOOKUP($A2080, 'Medical Examinations'!$A:$A, 'Medical Examinations'!E:E, "No Data")</f>
        <v>No</v>
      </c>
      <c r="G2080" s="28" t="str">
        <f t="array" ref="G2080">_xlfn.XLOOKUP($A2080, 'Medical Examinations'!$A:$A, 'Medical Examinations'!F:F, "No Data")</f>
        <v>No</v>
      </c>
      <c r="H2080" s="28">
        <f t="array" ref="H2080">_xlfn.XLOOKUP($A2080, 'Medical Examinations'!$A:$A, 'Medical Examinations'!G:G, "No Data")</f>
        <v>1</v>
      </c>
      <c r="I2080" s="28" t="str">
        <f t="array" ref="I2080">_xlfn.XLOOKUP($A2080, 'Medical Examinations'!$A:$A, 'Medical Examinations'!H:H, "No Data")</f>
        <v>No</v>
      </c>
      <c r="J2080" s="28" t="str">
        <f t="array" ref="J2080">_xlfn.XLOOKUP($A2080, 'Medical Examinations'!$A:$A, 'Medical Examinations'!I:I, "No Data")</f>
        <v>Normal Weight</v>
      </c>
      <c r="K2080" s="28" t="str">
        <f t="array" ref="K2080">_xlfn.XLOOKUP($A2080, 'Hospitalisation Details'!$A:$A, 'Hospitalisation Details'!I:I, "No Data")</f>
        <v>tier - 2</v>
      </c>
      <c r="L2080" s="28" t="str">
        <f t="array" ref="L2080">_xlfn.XLOOKUP($A2080, 'Hospitalisation Details'!$A:$A, 'Hospitalisation Details'!J:J, "No Data")</f>
        <v>R1013</v>
      </c>
      <c r="M2080" s="28" t="str">
        <f t="array" ref="M2080">_xlfn.XLOOKUP($A2080, 'Hospitalisation Details'!$A:$A, 'Hospitalisation Details'!E:E, "No Data")</f>
        <v>06/11/95</v>
      </c>
      <c r="N2080" s="28">
        <f t="array" ref="N2080">_xlfn.XLOOKUP($A2080, 'Hospitalisation Details'!$A:$A, 'Hospitalisation Details'!K:K, "No Data")</f>
        <v>27</v>
      </c>
      <c r="O2080" s="33">
        <f t="array" ref="O2080">_xlfn.XLOOKUP($A2080, 'Hospitalisation Details'!$A:$A, 'Hospitalisation Details'!G:G, "No Data")</f>
        <v>2483.74</v>
      </c>
      <c r="P2080" s="28" t="str">
        <f t="array" ref="P2080">_xlfn.XLOOKUP($A2080, 'Hospitalisation Details'!$A:$A, 'Hospitalisation Details'!H:H, "No Data")</f>
        <v>tier - 3</v>
      </c>
    </row>
    <row r="2081">
      <c r="A2081" s="25" t="s">
        <v>2244</v>
      </c>
      <c r="B2081" s="28" t="str">
        <f t="array" ref="B2081">_xlfn.XLOOKUP($A2081, 'Customer Names'!$A:$A, 'Customer Names'!B:B, "No Data")</f>
        <v>Jacobs</v>
      </c>
      <c r="C2081" s="28">
        <f t="array" ref="C2081">_xlfn.XLOOKUP($A2081, 'Medical Examinations'!$A:$A, 'Medical Examinations'!B:B, "No Data")</f>
        <v>39.49</v>
      </c>
      <c r="D2081" s="28">
        <f t="array" ref="D2081">_xlfn.XLOOKUP($A2081, 'Medical Examinations'!$A:$A, 'Medical Examinations'!C:C, "No Data")</f>
        <v>4.81</v>
      </c>
      <c r="E2081" s="28" t="str">
        <f t="array" ref="E2081">_xlfn.XLOOKUP($A2081, 'Medical Examinations'!$A:$A, 'Medical Examinations'!D:D, "No Data")</f>
        <v>No</v>
      </c>
      <c r="F2081" s="28" t="str">
        <f t="array" ref="F2081">_xlfn.XLOOKUP($A2081, 'Medical Examinations'!$A:$A, 'Medical Examinations'!E:E, "No Data")</f>
        <v>No</v>
      </c>
      <c r="G2081" s="28" t="str">
        <f t="array" ref="G2081">_xlfn.XLOOKUP($A2081, 'Medical Examinations'!$A:$A, 'Medical Examinations'!F:F, "No Data")</f>
        <v>No</v>
      </c>
      <c r="H2081" s="28">
        <f t="array" ref="H2081">_xlfn.XLOOKUP($A2081, 'Medical Examinations'!$A:$A, 'Medical Examinations'!G:G, "No Data")</f>
        <v>1</v>
      </c>
      <c r="I2081" s="28" t="str">
        <f t="array" ref="I2081">_xlfn.XLOOKUP($A2081, 'Medical Examinations'!$A:$A, 'Medical Examinations'!H:H, "No Data")</f>
        <v>No</v>
      </c>
      <c r="J2081" s="28" t="str">
        <f t="array" ref="J2081">_xlfn.XLOOKUP($A2081, 'Medical Examinations'!$A:$A, 'Medical Examinations'!I:I, "No Data")</f>
        <v>Obesity</v>
      </c>
      <c r="K2081" s="28" t="str">
        <f t="array" ref="K2081">_xlfn.XLOOKUP($A2081, 'Hospitalisation Details'!$A:$A, 'Hospitalisation Details'!I:I, "No Data")</f>
        <v>tier - 2</v>
      </c>
      <c r="L2081" s="28" t="str">
        <f t="array" ref="L2081">_xlfn.XLOOKUP($A2081, 'Hospitalisation Details'!$A:$A, 'Hospitalisation Details'!J:J, "No Data")</f>
        <v>R1013</v>
      </c>
      <c r="M2081" s="28" t="str">
        <f t="array" ref="M2081">_xlfn.XLOOKUP($A2081, 'Hospitalisation Details'!$A:$A, 'Hospitalisation Details'!E:E, "No Data")</f>
        <v>20/06/98</v>
      </c>
      <c r="N2081" s="28">
        <f t="array" ref="N2081">_xlfn.XLOOKUP($A2081, 'Hospitalisation Details'!$A:$A, 'Hospitalisation Details'!K:K, "No Data")</f>
        <v>24</v>
      </c>
      <c r="O2081" s="33">
        <f t="array" ref="O2081">_xlfn.XLOOKUP($A2081, 'Hospitalisation Details'!$A:$A, 'Hospitalisation Details'!G:G, "No Data")</f>
        <v>2480.98</v>
      </c>
      <c r="P2081" s="28" t="str">
        <f t="array" ref="P2081">_xlfn.XLOOKUP($A2081, 'Hospitalisation Details'!$A:$A, 'Hospitalisation Details'!H:H, "No Data")</f>
        <v>tier - 2</v>
      </c>
    </row>
    <row r="2082">
      <c r="A2082" s="25" t="s">
        <v>2237</v>
      </c>
      <c r="B2082" s="28" t="str">
        <f t="array" ref="B2082">_xlfn.XLOOKUP($A2082, 'Customer Names'!$A:$A, 'Customer Names'!B:B, "No Data")</f>
        <v>Hazlehurst</v>
      </c>
      <c r="C2082" s="28">
        <f t="array" ref="C2082">_xlfn.XLOOKUP($A2082, 'Medical Examinations'!$A:$A, 'Medical Examinations'!B:B, "No Data")</f>
        <v>33.99</v>
      </c>
      <c r="D2082" s="28">
        <f t="array" ref="D2082">_xlfn.XLOOKUP($A2082, 'Medical Examinations'!$A:$A, 'Medical Examinations'!C:C, "No Data")</f>
        <v>4.55</v>
      </c>
      <c r="E2082" s="28" t="str">
        <f t="array" ref="E2082">_xlfn.XLOOKUP($A2082, 'Medical Examinations'!$A:$A, 'Medical Examinations'!D:D, "No Data")</f>
        <v>No</v>
      </c>
      <c r="F2082" s="28" t="str">
        <f t="array" ref="F2082">_xlfn.XLOOKUP($A2082, 'Medical Examinations'!$A:$A, 'Medical Examinations'!E:E, "No Data")</f>
        <v>No</v>
      </c>
      <c r="G2082" s="28" t="str">
        <f t="array" ref="G2082">_xlfn.XLOOKUP($A2082, 'Medical Examinations'!$A:$A, 'Medical Examinations'!F:F, "No Data")</f>
        <v>No</v>
      </c>
      <c r="H2082" s="28">
        <f t="array" ref="H2082">_xlfn.XLOOKUP($A2082, 'Medical Examinations'!$A:$A, 'Medical Examinations'!G:G, "No Data")</f>
        <v>1</v>
      </c>
      <c r="I2082" s="28" t="str">
        <f t="array" ref="I2082">_xlfn.XLOOKUP($A2082, 'Medical Examinations'!$A:$A, 'Medical Examinations'!H:H, "No Data")</f>
        <v>No</v>
      </c>
      <c r="J2082" s="28" t="str">
        <f t="array" ref="J2082">_xlfn.XLOOKUP($A2082, 'Medical Examinations'!$A:$A, 'Medical Examinations'!I:I, "No Data")</f>
        <v>Obesity</v>
      </c>
      <c r="K2082" s="28" t="str">
        <f t="array" ref="K2082">_xlfn.XLOOKUP($A2082, 'Hospitalisation Details'!$A:$A, 'Hospitalisation Details'!I:I, "No Data")</f>
        <v>tier - 3</v>
      </c>
      <c r="L2082" s="28" t="str">
        <f t="array" ref="L2082">_xlfn.XLOOKUP($A2082, 'Hospitalisation Details'!$A:$A, 'Hospitalisation Details'!J:J, "No Data")</f>
        <v>R1013</v>
      </c>
      <c r="M2082" s="28" t="str">
        <f t="array" ref="M2082">_xlfn.XLOOKUP($A2082, 'Hospitalisation Details'!$A:$A, 'Hospitalisation Details'!E:E, "No Data")</f>
        <v>02/07/98</v>
      </c>
      <c r="N2082" s="28">
        <f t="array" ref="N2082">_xlfn.XLOOKUP($A2082, 'Hospitalisation Details'!$A:$A, 'Hospitalisation Details'!K:K, "No Data")</f>
        <v>24</v>
      </c>
      <c r="O2082" s="33">
        <f t="array" ref="O2082">_xlfn.XLOOKUP($A2082, 'Hospitalisation Details'!$A:$A, 'Hospitalisation Details'!G:G, "No Data")</f>
        <v>2473.33</v>
      </c>
      <c r="P2082" s="28" t="str">
        <f t="array" ref="P2082">_xlfn.XLOOKUP($A2082, 'Hospitalisation Details'!$A:$A, 'Hospitalisation Details'!H:H, "No Data")</f>
        <v>tier - 2</v>
      </c>
    </row>
    <row r="2083">
      <c r="A2083" s="25" t="s">
        <v>2232</v>
      </c>
      <c r="B2083" s="28" t="str">
        <f t="array" ref="B2083">_xlfn.XLOOKUP($A2083, 'Customer Names'!$A:$A, 'Customer Names'!B:B, "No Data")</f>
        <v>Marin</v>
      </c>
      <c r="C2083" s="28">
        <f t="array" ref="C2083">_xlfn.XLOOKUP($A2083, 'Medical Examinations'!$A:$A, 'Medical Examinations'!B:B, "No Data")</f>
        <v>27.72</v>
      </c>
      <c r="D2083" s="28">
        <f t="array" ref="D2083">_xlfn.XLOOKUP($A2083, 'Medical Examinations'!$A:$A, 'Medical Examinations'!C:C, "No Data")</f>
        <v>6.43</v>
      </c>
      <c r="E2083" s="28" t="str">
        <f t="array" ref="E2083">_xlfn.XLOOKUP($A2083, 'Medical Examinations'!$A:$A, 'Medical Examinations'!D:D, "No Data")</f>
        <v>No</v>
      </c>
      <c r="F2083" s="28" t="str">
        <f t="array" ref="F2083">_xlfn.XLOOKUP($A2083, 'Medical Examinations'!$A:$A, 'Medical Examinations'!E:E, "No Data")</f>
        <v>No</v>
      </c>
      <c r="G2083" s="28" t="str">
        <f t="array" ref="G2083">_xlfn.XLOOKUP($A2083, 'Medical Examinations'!$A:$A, 'Medical Examinations'!F:F, "No Data")</f>
        <v>No</v>
      </c>
      <c r="H2083" s="28">
        <f t="array" ref="H2083">_xlfn.XLOOKUP($A2083, 'Medical Examinations'!$A:$A, 'Medical Examinations'!G:G, "No Data")</f>
        <v>1</v>
      </c>
      <c r="I2083" s="28" t="str">
        <f t="array" ref="I2083">_xlfn.XLOOKUP($A2083, 'Medical Examinations'!$A:$A, 'Medical Examinations'!H:H, "No Data")</f>
        <v>No</v>
      </c>
      <c r="J2083" s="28" t="str">
        <f t="array" ref="J2083">_xlfn.XLOOKUP($A2083, 'Medical Examinations'!$A:$A, 'Medical Examinations'!I:I, "No Data")</f>
        <v>Overweight</v>
      </c>
      <c r="K2083" s="28" t="str">
        <f t="array" ref="K2083">_xlfn.XLOOKUP($A2083, 'Hospitalisation Details'!$A:$A, 'Hospitalisation Details'!I:I, "No Data")</f>
        <v>tier - 3</v>
      </c>
      <c r="L2083" s="28" t="str">
        <f t="array" ref="L2083">_xlfn.XLOOKUP($A2083, 'Hospitalisation Details'!$A:$A, 'Hospitalisation Details'!J:J, "No Data")</f>
        <v>R1013</v>
      </c>
      <c r="M2083" s="28" t="str">
        <f t="array" ref="M2083">_xlfn.XLOOKUP($A2083, 'Hospitalisation Details'!$A:$A, 'Hospitalisation Details'!E:E, "No Data")</f>
        <v>17/08/98</v>
      </c>
      <c r="N2083" s="28">
        <f t="array" ref="N2083">_xlfn.XLOOKUP($A2083, 'Hospitalisation Details'!$A:$A, 'Hospitalisation Details'!K:K, "No Data")</f>
        <v>24</v>
      </c>
      <c r="O2083" s="33">
        <f t="array" ref="O2083">_xlfn.XLOOKUP($A2083, 'Hospitalisation Details'!$A:$A, 'Hospitalisation Details'!G:G, "No Data")</f>
        <v>2464.62</v>
      </c>
      <c r="P2083" s="28" t="str">
        <f t="array" ref="P2083">_xlfn.XLOOKUP($A2083, 'Hospitalisation Details'!$A:$A, 'Hospitalisation Details'!H:H, "No Data")</f>
        <v>tier - 2</v>
      </c>
    </row>
    <row r="2084">
      <c r="A2084" s="25" t="s">
        <v>2227</v>
      </c>
      <c r="B2084" s="28" t="str">
        <f t="array" ref="B2084">_xlfn.XLOOKUP($A2084, 'Customer Names'!$A:$A, 'Customer Names'!B:B, "No Data")</f>
        <v>Dear</v>
      </c>
      <c r="C2084" s="28">
        <f t="array" ref="C2084">_xlfn.XLOOKUP($A2084, 'Medical Examinations'!$A:$A, 'Medical Examinations'!B:B, "No Data")</f>
        <v>30.59</v>
      </c>
      <c r="D2084" s="28">
        <f t="array" ref="D2084">_xlfn.XLOOKUP($A2084, 'Medical Examinations'!$A:$A, 'Medical Examinations'!C:C, "No Data")</f>
        <v>11.62</v>
      </c>
      <c r="E2084" s="28" t="str">
        <f t="array" ref="E2084">_xlfn.XLOOKUP($A2084, 'Medical Examinations'!$A:$A, 'Medical Examinations'!D:D, "No Data")</f>
        <v>No</v>
      </c>
      <c r="F2084" s="28" t="str">
        <f t="array" ref="F2084">_xlfn.XLOOKUP($A2084, 'Medical Examinations'!$A:$A, 'Medical Examinations'!E:E, "No Data")</f>
        <v>No</v>
      </c>
      <c r="G2084" s="28" t="str">
        <f t="array" ref="G2084">_xlfn.XLOOKUP($A2084, 'Medical Examinations'!$A:$A, 'Medical Examinations'!F:F, "No Data")</f>
        <v>No</v>
      </c>
      <c r="H2084" s="28">
        <f t="array" ref="H2084">_xlfn.XLOOKUP($A2084, 'Medical Examinations'!$A:$A, 'Medical Examinations'!G:G, "No Data")</f>
        <v>0</v>
      </c>
      <c r="I2084" s="28" t="str">
        <f t="array" ref="I2084">_xlfn.XLOOKUP($A2084, 'Medical Examinations'!$A:$A, 'Medical Examinations'!H:H, "No Data")</f>
        <v>No</v>
      </c>
      <c r="J2084" s="28" t="str">
        <f t="array" ref="J2084">_xlfn.XLOOKUP($A2084, 'Medical Examinations'!$A:$A, 'Medical Examinations'!I:I, "No Data")</f>
        <v>Obesity</v>
      </c>
      <c r="K2084" s="28" t="str">
        <f t="array" ref="K2084">_xlfn.XLOOKUP($A2084, 'Hospitalisation Details'!$A:$A, 'Hospitalisation Details'!I:I, "No Data")</f>
        <v>tier - 2</v>
      </c>
      <c r="L2084" s="28" t="str">
        <f t="array" ref="L2084">_xlfn.XLOOKUP($A2084, 'Hospitalisation Details'!$A:$A, 'Hospitalisation Details'!J:J, "No Data")</f>
        <v>R1024</v>
      </c>
      <c r="M2084" s="28" t="str">
        <f t="array" ref="M2084">_xlfn.XLOOKUP($A2084, 'Hospitalisation Details'!$A:$A, 'Hospitalisation Details'!E:E, "No Data")</f>
        <v>11/07/02</v>
      </c>
      <c r="N2084" s="28">
        <f t="array" ref="N2084">_xlfn.XLOOKUP($A2084, 'Hospitalisation Details'!$A:$A, 'Hospitalisation Details'!K:K, "No Data")</f>
        <v>20</v>
      </c>
      <c r="O2084" s="33">
        <f t="array" ref="O2084">_xlfn.XLOOKUP($A2084, 'Hospitalisation Details'!$A:$A, 'Hospitalisation Details'!G:G, "No Data")</f>
        <v>2459.72</v>
      </c>
      <c r="P2084" s="28" t="str">
        <f t="array" ref="P2084">_xlfn.XLOOKUP($A2084, 'Hospitalisation Details'!$A:$A, 'Hospitalisation Details'!H:H, "No Data")</f>
        <v>tier - 2</v>
      </c>
    </row>
    <row r="2085">
      <c r="A2085" s="25" t="s">
        <v>2223</v>
      </c>
      <c r="B2085" s="28" t="str">
        <f t="array" ref="B2085">_xlfn.XLOOKUP($A2085, 'Customer Names'!$A:$A, 'Customer Names'!B:B, "No Data")</f>
        <v>Lederer</v>
      </c>
      <c r="C2085" s="28">
        <f t="array" ref="C2085">_xlfn.XLOOKUP($A2085, 'Medical Examinations'!$A:$A, 'Medical Examinations'!B:B, "No Data")</f>
        <v>22.6</v>
      </c>
      <c r="D2085" s="28">
        <f t="array" ref="D2085">_xlfn.XLOOKUP($A2085, 'Medical Examinations'!$A:$A, 'Medical Examinations'!C:C, "No Data")</f>
        <v>6.04</v>
      </c>
      <c r="E2085" s="28" t="str">
        <f t="array" ref="E2085">_xlfn.XLOOKUP($A2085, 'Medical Examinations'!$A:$A, 'Medical Examinations'!D:D, "No Data")</f>
        <v>No</v>
      </c>
      <c r="F2085" s="28" t="str">
        <f t="array" ref="F2085">_xlfn.XLOOKUP($A2085, 'Medical Examinations'!$A:$A, 'Medical Examinations'!E:E, "No Data")</f>
        <v>No</v>
      </c>
      <c r="G2085" s="28" t="str">
        <f t="array" ref="G2085">_xlfn.XLOOKUP($A2085, 'Medical Examinations'!$A:$A, 'Medical Examinations'!F:F, "No Data")</f>
        <v>No</v>
      </c>
      <c r="H2085" s="28">
        <f t="array" ref="H2085">_xlfn.XLOOKUP($A2085, 'Medical Examinations'!$A:$A, 'Medical Examinations'!G:G, "No Data")</f>
        <v>1</v>
      </c>
      <c r="I2085" s="28" t="str">
        <f t="array" ref="I2085">_xlfn.XLOOKUP($A2085, 'Medical Examinations'!$A:$A, 'Medical Examinations'!H:H, "No Data")</f>
        <v>No</v>
      </c>
      <c r="J2085" s="28" t="str">
        <f t="array" ref="J2085">_xlfn.XLOOKUP($A2085, 'Medical Examinations'!$A:$A, 'Medical Examinations'!I:I, "No Data")</f>
        <v>Normal Weight</v>
      </c>
      <c r="K2085" s="28" t="str">
        <f t="array" ref="K2085">_xlfn.XLOOKUP($A2085, 'Hospitalisation Details'!$A:$A, 'Hospitalisation Details'!I:I, "No Data")</f>
        <v>tier - 1</v>
      </c>
      <c r="L2085" s="28" t="str">
        <f t="array" ref="L2085">_xlfn.XLOOKUP($A2085, 'Hospitalisation Details'!$A:$A, 'Hospitalisation Details'!J:J, "No Data")</f>
        <v>R1011</v>
      </c>
      <c r="M2085" s="28" t="str">
        <f t="array" ref="M2085">_xlfn.XLOOKUP($A2085, 'Hospitalisation Details'!$A:$A, 'Hospitalisation Details'!E:E, "No Data")</f>
        <v>19/11/98</v>
      </c>
      <c r="N2085" s="28">
        <f t="array" ref="N2085">_xlfn.XLOOKUP($A2085, 'Hospitalisation Details'!$A:$A, 'Hospitalisation Details'!K:K, "No Data")</f>
        <v>24</v>
      </c>
      <c r="O2085" s="33">
        <f t="array" ref="O2085">_xlfn.XLOOKUP($A2085, 'Hospitalisation Details'!$A:$A, 'Hospitalisation Details'!G:G, "No Data")</f>
        <v>2457.5</v>
      </c>
      <c r="P2085" s="28" t="str">
        <f t="array" ref="P2085">_xlfn.XLOOKUP($A2085, 'Hospitalisation Details'!$A:$A, 'Hospitalisation Details'!H:H, "No Data")</f>
        <v>tier - 2</v>
      </c>
    </row>
    <row r="2086">
      <c r="A2086" s="25" t="s">
        <v>2219</v>
      </c>
      <c r="B2086" s="28" t="str">
        <f t="array" ref="B2086">_xlfn.XLOOKUP($A2086, 'Customer Names'!$A:$A, 'Customer Names'!B:B, "No Data")</f>
        <v>Robson</v>
      </c>
      <c r="C2086" s="28">
        <f t="array" ref="C2086">_xlfn.XLOOKUP($A2086, 'Medical Examinations'!$A:$A, 'Medical Examinations'!B:B, "No Data")</f>
        <v>28.785</v>
      </c>
      <c r="D2086" s="28">
        <f t="array" ref="D2086">_xlfn.XLOOKUP($A2086, 'Medical Examinations'!$A:$A, 'Medical Examinations'!C:C, "No Data")</f>
        <v>8.82</v>
      </c>
      <c r="E2086" s="28" t="str">
        <f t="array" ref="E2086">_xlfn.XLOOKUP($A2086, 'Medical Examinations'!$A:$A, 'Medical Examinations'!D:D, "No Data")</f>
        <v>No</v>
      </c>
      <c r="F2086" s="28" t="str">
        <f t="array" ref="F2086">_xlfn.XLOOKUP($A2086, 'Medical Examinations'!$A:$A, 'Medical Examinations'!E:E, "No Data")</f>
        <v>No</v>
      </c>
      <c r="G2086" s="28" t="str">
        <f t="array" ref="G2086">_xlfn.XLOOKUP($A2086, 'Medical Examinations'!$A:$A, 'Medical Examinations'!F:F, "No Data")</f>
        <v>No</v>
      </c>
      <c r="H2086" s="28">
        <f t="array" ref="H2086">_xlfn.XLOOKUP($A2086, 'Medical Examinations'!$A:$A, 'Medical Examinations'!G:G, "No Data")</f>
        <v>0</v>
      </c>
      <c r="I2086" s="28" t="str">
        <f t="array" ref="I2086">_xlfn.XLOOKUP($A2086, 'Medical Examinations'!$A:$A, 'Medical Examinations'!H:H, "No Data")</f>
        <v>No</v>
      </c>
      <c r="J2086" s="28" t="str">
        <f t="array" ref="J2086">_xlfn.XLOOKUP($A2086, 'Medical Examinations'!$A:$A, 'Medical Examinations'!I:I, "No Data")</f>
        <v>Overweight</v>
      </c>
      <c r="K2086" s="28" t="str">
        <f t="array" ref="K2086">_xlfn.XLOOKUP($A2086, 'Hospitalisation Details'!$A:$A, 'Hospitalisation Details'!I:I, "No Data")</f>
        <v>tier - 1</v>
      </c>
      <c r="L2086" s="28" t="str">
        <f t="array" ref="L2086">_xlfn.XLOOKUP($A2086, 'Hospitalisation Details'!$A:$A, 'Hospitalisation Details'!J:J, "No Data")</f>
        <v>R1024</v>
      </c>
      <c r="M2086" s="28" t="str">
        <f t="array" ref="M2086">_xlfn.XLOOKUP($A2086, 'Hospitalisation Details'!$A:$A, 'Hospitalisation Details'!E:E, "No Data")</f>
        <v>29/07/02</v>
      </c>
      <c r="N2086" s="28">
        <f t="array" ref="N2086">_xlfn.XLOOKUP($A2086, 'Hospitalisation Details'!$A:$A, 'Hospitalisation Details'!K:K, "No Data")</f>
        <v>20</v>
      </c>
      <c r="O2086" s="33">
        <f t="array" ref="O2086">_xlfn.XLOOKUP($A2086, 'Hospitalisation Details'!$A:$A, 'Hospitalisation Details'!G:G, "No Data")</f>
        <v>2457.21</v>
      </c>
      <c r="P2086" s="28" t="str">
        <f t="array" ref="P2086">_xlfn.XLOOKUP($A2086, 'Hospitalisation Details'!$A:$A, 'Hospitalisation Details'!H:H, "No Data")</f>
        <v>tier - 2</v>
      </c>
    </row>
    <row r="2087">
      <c r="A2087" s="25" t="s">
        <v>2213</v>
      </c>
      <c r="B2087" s="28" t="str">
        <f t="array" ref="B2087">_xlfn.XLOOKUP($A2087, 'Customer Names'!$A:$A, 'Customer Names'!B:B, "No Data")</f>
        <v>Galvan</v>
      </c>
      <c r="C2087" s="28">
        <f t="array" ref="C2087">_xlfn.XLOOKUP($A2087, 'Medical Examinations'!$A:$A, 'Medical Examinations'!B:B, "No Data")</f>
        <v>50.38</v>
      </c>
      <c r="D2087" s="28">
        <f t="array" ref="D2087">_xlfn.XLOOKUP($A2087, 'Medical Examinations'!$A:$A, 'Medical Examinations'!C:C, "No Data")</f>
        <v>5.8</v>
      </c>
      <c r="E2087" s="28" t="str">
        <f t="array" ref="E2087">_xlfn.XLOOKUP($A2087, 'Medical Examinations'!$A:$A, 'Medical Examinations'!D:D, "No Data")</f>
        <v>No</v>
      </c>
      <c r="F2087" s="28" t="str">
        <f t="array" ref="F2087">_xlfn.XLOOKUP($A2087, 'Medical Examinations'!$A:$A, 'Medical Examinations'!E:E, "No Data")</f>
        <v>No</v>
      </c>
      <c r="G2087" s="28" t="str">
        <f t="array" ref="G2087">_xlfn.XLOOKUP($A2087, 'Medical Examinations'!$A:$A, 'Medical Examinations'!F:F, "No Data")</f>
        <v>No</v>
      </c>
      <c r="H2087" s="28">
        <f t="array" ref="H2087">_xlfn.XLOOKUP($A2087, 'Medical Examinations'!$A:$A, 'Medical Examinations'!G:G, "No Data")</f>
        <v>0</v>
      </c>
      <c r="I2087" s="28" t="str">
        <f t="array" ref="I2087">_xlfn.XLOOKUP($A2087, 'Medical Examinations'!$A:$A, 'Medical Examinations'!H:H, "No Data")</f>
        <v>No</v>
      </c>
      <c r="J2087" s="28" t="str">
        <f t="array" ref="J2087">_xlfn.XLOOKUP($A2087, 'Medical Examinations'!$A:$A, 'Medical Examinations'!I:I, "No Data")</f>
        <v>Obesity</v>
      </c>
      <c r="K2087" s="28" t="str">
        <f t="array" ref="K2087">_xlfn.XLOOKUP($A2087, 'Hospitalisation Details'!$A:$A, 'Hospitalisation Details'!I:I, "No Data")</f>
        <v>tier - 2</v>
      </c>
      <c r="L2087" s="28" t="str">
        <f t="array" ref="L2087">_xlfn.XLOOKUP($A2087, 'Hospitalisation Details'!$A:$A, 'Hospitalisation Details'!J:J, "No Data")</f>
        <v>R1013</v>
      </c>
      <c r="M2087" s="28" t="str">
        <f t="array" ref="M2087">_xlfn.XLOOKUP($A2087, 'Hospitalisation Details'!$A:$A, 'Hospitalisation Details'!E:E, "No Data")</f>
        <v>21/11/99</v>
      </c>
      <c r="N2087" s="28">
        <f t="array" ref="N2087">_xlfn.XLOOKUP($A2087, 'Hospitalisation Details'!$A:$A, 'Hospitalisation Details'!K:K, "No Data")</f>
        <v>23</v>
      </c>
      <c r="O2087" s="33">
        <f t="array" ref="O2087">_xlfn.XLOOKUP($A2087, 'Hospitalisation Details'!$A:$A, 'Hospitalisation Details'!G:G, "No Data")</f>
        <v>2438.06</v>
      </c>
      <c r="P2087" s="28" t="str">
        <f t="array" ref="P2087">_xlfn.XLOOKUP($A2087, 'Hospitalisation Details'!$A:$A, 'Hospitalisation Details'!H:H, "No Data")</f>
        <v>tier - 2</v>
      </c>
    </row>
    <row r="2088">
      <c r="A2088" s="25" t="s">
        <v>2207</v>
      </c>
      <c r="B2088" s="28" t="str">
        <f t="array" ref="B2088">_xlfn.XLOOKUP($A2088, 'Customer Names'!$A:$A, 'Customer Names'!B:B, "No Data")</f>
        <v>Walsh</v>
      </c>
      <c r="C2088" s="28">
        <f t="array" ref="C2088">_xlfn.XLOOKUP($A2088, 'Medical Examinations'!$A:$A, 'Medical Examinations'!B:B, "No Data")</f>
        <v>35.2</v>
      </c>
      <c r="D2088" s="28">
        <f t="array" ref="D2088">_xlfn.XLOOKUP($A2088, 'Medical Examinations'!$A:$A, 'Medical Examinations'!C:C, "No Data")</f>
        <v>4.28</v>
      </c>
      <c r="E2088" s="28" t="str">
        <f t="array" ref="E2088">_xlfn.XLOOKUP($A2088, 'Medical Examinations'!$A:$A, 'Medical Examinations'!D:D, "No Data")</f>
        <v>No</v>
      </c>
      <c r="F2088" s="28" t="str">
        <f t="array" ref="F2088">_xlfn.XLOOKUP($A2088, 'Medical Examinations'!$A:$A, 'Medical Examinations'!E:E, "No Data")</f>
        <v>No</v>
      </c>
      <c r="G2088" s="28" t="str">
        <f t="array" ref="G2088">_xlfn.XLOOKUP($A2088, 'Medical Examinations'!$A:$A, 'Medical Examinations'!F:F, "No Data")</f>
        <v>No</v>
      </c>
      <c r="H2088" s="28">
        <f t="array" ref="H2088">_xlfn.XLOOKUP($A2088, 'Medical Examinations'!$A:$A, 'Medical Examinations'!G:G, "No Data")</f>
        <v>0</v>
      </c>
      <c r="I2088" s="28" t="str">
        <f t="array" ref="I2088">_xlfn.XLOOKUP($A2088, 'Medical Examinations'!$A:$A, 'Medical Examinations'!H:H, "No Data")</f>
        <v>No</v>
      </c>
      <c r="J2088" s="28" t="str">
        <f t="array" ref="J2088">_xlfn.XLOOKUP($A2088, 'Medical Examinations'!$A:$A, 'Medical Examinations'!I:I, "No Data")</f>
        <v>Obesity</v>
      </c>
      <c r="K2088" s="28" t="str">
        <f t="array" ref="K2088">_xlfn.XLOOKUP($A2088, 'Hospitalisation Details'!$A:$A, 'Hospitalisation Details'!I:I, "No Data")</f>
        <v>tier - 2</v>
      </c>
      <c r="L2088" s="28" t="str">
        <f t="array" ref="L2088">_xlfn.XLOOKUP($A2088, 'Hospitalisation Details'!$A:$A, 'Hospitalisation Details'!J:J, "No Data")</f>
        <v>R1011</v>
      </c>
      <c r="M2088" s="28" t="str">
        <f t="array" ref="M2088">_xlfn.XLOOKUP($A2088, 'Hospitalisation Details'!$A:$A, 'Hospitalisation Details'!E:E, "No Data")</f>
        <v>12/11/99</v>
      </c>
      <c r="N2088" s="28">
        <f t="array" ref="N2088">_xlfn.XLOOKUP($A2088, 'Hospitalisation Details'!$A:$A, 'Hospitalisation Details'!K:K, "No Data")</f>
        <v>23</v>
      </c>
      <c r="O2088" s="33">
        <f t="array" ref="O2088">_xlfn.XLOOKUP($A2088, 'Hospitalisation Details'!$A:$A, 'Hospitalisation Details'!G:G, "No Data")</f>
        <v>2416.96</v>
      </c>
      <c r="P2088" s="28" t="str">
        <f t="array" ref="P2088">_xlfn.XLOOKUP($A2088, 'Hospitalisation Details'!$A:$A, 'Hospitalisation Details'!H:H, "No Data")</f>
        <v>tier - 2</v>
      </c>
    </row>
    <row r="2089">
      <c r="A2089" s="25" t="s">
        <v>2202</v>
      </c>
      <c r="B2089" s="28" t="str">
        <f t="array" ref="B2089">_xlfn.XLOOKUP($A2089, 'Customer Names'!$A:$A, 'Customer Names'!B:B, "No Data")</f>
        <v>Teeuwen</v>
      </c>
      <c r="C2089" s="28">
        <f t="array" ref="C2089">_xlfn.XLOOKUP($A2089, 'Medical Examinations'!$A:$A, 'Medical Examinations'!B:B, "No Data")</f>
        <v>35.72</v>
      </c>
      <c r="D2089" s="28">
        <f t="array" ref="D2089">_xlfn.XLOOKUP($A2089, 'Medical Examinations'!$A:$A, 'Medical Examinations'!C:C, "No Data")</f>
        <v>5.5</v>
      </c>
      <c r="E2089" s="28" t="str">
        <f t="array" ref="E2089">_xlfn.XLOOKUP($A2089, 'Medical Examinations'!$A:$A, 'Medical Examinations'!D:D, "No Data")</f>
        <v>yes</v>
      </c>
      <c r="F2089" s="28" t="str">
        <f t="array" ref="F2089">_xlfn.XLOOKUP($A2089, 'Medical Examinations'!$A:$A, 'Medical Examinations'!E:E, "No Data")</f>
        <v>No</v>
      </c>
      <c r="G2089" s="28" t="str">
        <f t="array" ref="G2089">_xlfn.XLOOKUP($A2089, 'Medical Examinations'!$A:$A, 'Medical Examinations'!F:F, "No Data")</f>
        <v>No</v>
      </c>
      <c r="H2089" s="28">
        <f t="array" ref="H2089">_xlfn.XLOOKUP($A2089, 'Medical Examinations'!$A:$A, 'Medical Examinations'!G:G, "No Data")</f>
        <v>0</v>
      </c>
      <c r="I2089" s="28" t="str">
        <f t="array" ref="I2089">_xlfn.XLOOKUP($A2089, 'Medical Examinations'!$A:$A, 'Medical Examinations'!H:H, "No Data")</f>
        <v>No</v>
      </c>
      <c r="J2089" s="28" t="str">
        <f t="array" ref="J2089">_xlfn.XLOOKUP($A2089, 'Medical Examinations'!$A:$A, 'Medical Examinations'!I:I, "No Data")</f>
        <v>Obesity</v>
      </c>
      <c r="K2089" s="28" t="str">
        <f t="array" ref="K2089">_xlfn.XLOOKUP($A2089, 'Hospitalisation Details'!$A:$A, 'Hospitalisation Details'!I:I, "No Data")</f>
        <v>tier - 3</v>
      </c>
      <c r="L2089" s="28" t="str">
        <f t="array" ref="L2089">_xlfn.XLOOKUP($A2089, 'Hospitalisation Details'!$A:$A, 'Hospitalisation Details'!J:J, "No Data")</f>
        <v>R1012</v>
      </c>
      <c r="M2089" s="28" t="str">
        <f t="array" ref="M2089">_xlfn.XLOOKUP($A2089, 'Hospitalisation Details'!$A:$A, 'Hospitalisation Details'!E:E, "No Data")</f>
        <v>03/06/01</v>
      </c>
      <c r="N2089" s="28">
        <f t="array" ref="N2089">_xlfn.XLOOKUP($A2089, 'Hospitalisation Details'!$A:$A, 'Hospitalisation Details'!K:K, "No Data")</f>
        <v>22</v>
      </c>
      <c r="O2089" s="33">
        <f t="array" ref="O2089">_xlfn.XLOOKUP($A2089, 'Hospitalisation Details'!$A:$A, 'Hospitalisation Details'!G:G, "No Data")</f>
        <v>2404.73</v>
      </c>
      <c r="P2089" s="28" t="str">
        <f t="array" ref="P2089">_xlfn.XLOOKUP($A2089, 'Hospitalisation Details'!$A:$A, 'Hospitalisation Details'!H:H, "No Data")</f>
        <v>tier - 2</v>
      </c>
    </row>
    <row r="2090">
      <c r="A2090" s="25" t="s">
        <v>2195</v>
      </c>
      <c r="B2090" s="28" t="str">
        <f t="array" ref="B2090">_xlfn.XLOOKUP($A2090, 'Customer Names'!$A:$A, 'Customer Names'!B:B, "No Data")</f>
        <v>List</v>
      </c>
      <c r="C2090" s="28">
        <f t="array" ref="C2090">_xlfn.XLOOKUP($A2090, 'Medical Examinations'!$A:$A, 'Medical Examinations'!B:B, "No Data")</f>
        <v>24.51</v>
      </c>
      <c r="D2090" s="28">
        <f t="array" ref="D2090">_xlfn.XLOOKUP($A2090, 'Medical Examinations'!$A:$A, 'Medical Examinations'!C:C, "No Data")</f>
        <v>4.69</v>
      </c>
      <c r="E2090" s="28" t="str">
        <f t="array" ref="E2090">_xlfn.XLOOKUP($A2090, 'Medical Examinations'!$A:$A, 'Medical Examinations'!D:D, "No Data")</f>
        <v>No</v>
      </c>
      <c r="F2090" s="28" t="str">
        <f t="array" ref="F2090">_xlfn.XLOOKUP($A2090, 'Medical Examinations'!$A:$A, 'Medical Examinations'!E:E, "No Data")</f>
        <v>No</v>
      </c>
      <c r="G2090" s="28" t="str">
        <f t="array" ref="G2090">_xlfn.XLOOKUP($A2090, 'Medical Examinations'!$A:$A, 'Medical Examinations'!F:F, "No Data")</f>
        <v>No</v>
      </c>
      <c r="H2090" s="28">
        <f t="array" ref="H2090">_xlfn.XLOOKUP($A2090, 'Medical Examinations'!$A:$A, 'Medical Examinations'!G:G, "No Data")</f>
        <v>0</v>
      </c>
      <c r="I2090" s="28" t="str">
        <f t="array" ref="I2090">_xlfn.XLOOKUP($A2090, 'Medical Examinations'!$A:$A, 'Medical Examinations'!H:H, "No Data")</f>
        <v>No</v>
      </c>
      <c r="J2090" s="28" t="str">
        <f t="array" ref="J2090">_xlfn.XLOOKUP($A2090, 'Medical Examinations'!$A:$A, 'Medical Examinations'!I:I, "No Data")</f>
        <v>Normal Weight</v>
      </c>
      <c r="K2090" s="28" t="str">
        <f t="array" ref="K2090">_xlfn.XLOOKUP($A2090, 'Hospitalisation Details'!$A:$A, 'Hospitalisation Details'!I:I, "No Data")</f>
        <v>tier - 1</v>
      </c>
      <c r="L2090" s="28" t="str">
        <f t="array" ref="L2090">_xlfn.XLOOKUP($A2090, 'Hospitalisation Details'!$A:$A, 'Hospitalisation Details'!J:J, "No Data")</f>
        <v>R1019</v>
      </c>
      <c r="M2090" s="28" t="str">
        <f t="array" ref="M2090">_xlfn.XLOOKUP($A2090, 'Hospitalisation Details'!$A:$A, 'Hospitalisation Details'!E:E, "No Data")</f>
        <v>10/08/99</v>
      </c>
      <c r="N2090" s="28">
        <f t="array" ref="N2090">_xlfn.XLOOKUP($A2090, 'Hospitalisation Details'!$A:$A, 'Hospitalisation Details'!K:K, "No Data")</f>
        <v>23</v>
      </c>
      <c r="O2090" s="33">
        <f t="array" ref="O2090">_xlfn.XLOOKUP($A2090, 'Hospitalisation Details'!$A:$A, 'Hospitalisation Details'!G:G, "No Data")</f>
        <v>2396.1</v>
      </c>
      <c r="P2090" s="28" t="str">
        <f t="array" ref="P2090">_xlfn.XLOOKUP($A2090, 'Hospitalisation Details'!$A:$A, 'Hospitalisation Details'!H:H, "No Data")</f>
        <v>tier - 2</v>
      </c>
    </row>
    <row r="2091">
      <c r="A2091" s="25" t="s">
        <v>2187</v>
      </c>
      <c r="B2091" s="28" t="str">
        <f t="array" ref="B2091">_xlfn.XLOOKUP($A2091, 'Customer Names'!$A:$A, 'Customer Names'!B:B, "No Data")</f>
        <v>Shafar</v>
      </c>
      <c r="C2091" s="28">
        <f t="array" ref="C2091">_xlfn.XLOOKUP($A2091, 'Medical Examinations'!$A:$A, 'Medical Examinations'!B:B, "No Data")</f>
        <v>23.845</v>
      </c>
      <c r="D2091" s="28">
        <f t="array" ref="D2091">_xlfn.XLOOKUP($A2091, 'Medical Examinations'!$A:$A, 'Medical Examinations'!C:C, "No Data")</f>
        <v>4.43</v>
      </c>
      <c r="E2091" s="28" t="str">
        <f t="array" ref="E2091">_xlfn.XLOOKUP($A2091, 'Medical Examinations'!$A:$A, 'Medical Examinations'!D:D, "No Data")</f>
        <v>No</v>
      </c>
      <c r="F2091" s="28" t="str">
        <f t="array" ref="F2091">_xlfn.XLOOKUP($A2091, 'Medical Examinations'!$A:$A, 'Medical Examinations'!E:E, "No Data")</f>
        <v>No</v>
      </c>
      <c r="G2091" s="28" t="str">
        <f t="array" ref="G2091">_xlfn.XLOOKUP($A2091, 'Medical Examinations'!$A:$A, 'Medical Examinations'!F:F, "No Data")</f>
        <v>No</v>
      </c>
      <c r="H2091" s="28">
        <f t="array" ref="H2091">_xlfn.XLOOKUP($A2091, 'Medical Examinations'!$A:$A, 'Medical Examinations'!G:G, "No Data")</f>
        <v>0</v>
      </c>
      <c r="I2091" s="28" t="str">
        <f t="array" ref="I2091">_xlfn.XLOOKUP($A2091, 'Medical Examinations'!$A:$A, 'Medical Examinations'!H:H, "No Data")</f>
        <v>No</v>
      </c>
      <c r="J2091" s="28" t="str">
        <f t="array" ref="J2091">_xlfn.XLOOKUP($A2091, 'Medical Examinations'!$A:$A, 'Medical Examinations'!I:I, "No Data")</f>
        <v>Normal Weight</v>
      </c>
      <c r="K2091" s="28" t="str">
        <f t="array" ref="K2091">_xlfn.XLOOKUP($A2091, 'Hospitalisation Details'!$A:$A, 'Hospitalisation Details'!I:I, "No Data")</f>
        <v>tier - 1</v>
      </c>
      <c r="L2091" s="28" t="str">
        <f t="array" ref="L2091">_xlfn.XLOOKUP($A2091, 'Hospitalisation Details'!$A:$A, 'Hospitalisation Details'!J:J, "No Data")</f>
        <v>R1014</v>
      </c>
      <c r="M2091" s="28" t="str">
        <f t="array" ref="M2091">_xlfn.XLOOKUP($A2091, 'Hospitalisation Details'!$A:$A, 'Hospitalisation Details'!E:E, "No Data")</f>
        <v>17/12/99</v>
      </c>
      <c r="N2091" s="28">
        <f t="array" ref="N2091">_xlfn.XLOOKUP($A2091, 'Hospitalisation Details'!$A:$A, 'Hospitalisation Details'!K:K, "No Data")</f>
        <v>23</v>
      </c>
      <c r="O2091" s="33">
        <f t="array" ref="O2091">_xlfn.XLOOKUP($A2091, 'Hospitalisation Details'!$A:$A, 'Hospitalisation Details'!G:G, "No Data")</f>
        <v>2395.17</v>
      </c>
      <c r="P2091" s="28" t="str">
        <f t="array" ref="P2091">_xlfn.XLOOKUP($A2091, 'Hospitalisation Details'!$A:$A, 'Hospitalisation Details'!H:H, "No Data")</f>
        <v>tier - 2</v>
      </c>
    </row>
    <row r="2092">
      <c r="A2092" s="25" t="s">
        <v>2180</v>
      </c>
      <c r="B2092" s="28" t="str">
        <f t="array" ref="B2092">_xlfn.XLOOKUP($A2092, 'Customer Names'!$A:$A, 'Customer Names'!B:B, "No Data")</f>
        <v>Copenhaver</v>
      </c>
      <c r="C2092" s="28">
        <f t="array" ref="C2092">_xlfn.XLOOKUP($A2092, 'Medical Examinations'!$A:$A, 'Medical Examinations'!B:B, "No Data")</f>
        <v>15.68</v>
      </c>
      <c r="D2092" s="28">
        <f t="array" ref="D2092">_xlfn.XLOOKUP($A2092, 'Medical Examinations'!$A:$A, 'Medical Examinations'!C:C, "No Data")</f>
        <v>6.16</v>
      </c>
      <c r="E2092" s="28" t="str">
        <f t="array" ref="E2092">_xlfn.XLOOKUP($A2092, 'Medical Examinations'!$A:$A, 'Medical Examinations'!D:D, "No Data")</f>
        <v>yes</v>
      </c>
      <c r="F2092" s="28" t="str">
        <f t="array" ref="F2092">_xlfn.XLOOKUP($A2092, 'Medical Examinations'!$A:$A, 'Medical Examinations'!E:E, "No Data")</f>
        <v>No</v>
      </c>
      <c r="G2092" s="28" t="str">
        <f t="array" ref="G2092">_xlfn.XLOOKUP($A2092, 'Medical Examinations'!$A:$A, 'Medical Examinations'!F:F, "No Data")</f>
        <v>No</v>
      </c>
      <c r="H2092" s="28">
        <f t="array" ref="H2092">_xlfn.XLOOKUP($A2092, 'Medical Examinations'!$A:$A, 'Medical Examinations'!G:G, "No Data")</f>
        <v>1</v>
      </c>
      <c r="I2092" s="28" t="str">
        <f t="array" ref="I2092">_xlfn.XLOOKUP($A2092, 'Medical Examinations'!$A:$A, 'Medical Examinations'!H:H, "No Data")</f>
        <v>No</v>
      </c>
      <c r="J2092" s="28" t="str">
        <f t="array" ref="J2092">_xlfn.XLOOKUP($A2092, 'Medical Examinations'!$A:$A, 'Medical Examinations'!I:I, "No Data")</f>
        <v>Underweight</v>
      </c>
      <c r="K2092" s="28" t="str">
        <f t="array" ref="K2092">_xlfn.XLOOKUP($A2092, 'Hospitalisation Details'!$A:$A, 'Hospitalisation Details'!I:I, "No Data")</f>
        <v>tier - 2</v>
      </c>
      <c r="L2092" s="28" t="str">
        <f t="array" ref="L2092">_xlfn.XLOOKUP($A2092, 'Hospitalisation Details'!$A:$A, 'Hospitalisation Details'!J:J, "No Data")</f>
        <v>R1013</v>
      </c>
      <c r="M2092" s="28" t="str">
        <f t="array" ref="M2092">_xlfn.XLOOKUP($A2092, 'Hospitalisation Details'!$A:$A, 'Hospitalisation Details'!E:E, "No Data")</f>
        <v>12/12/88</v>
      </c>
      <c r="N2092" s="28">
        <f t="array" ref="N2092">_xlfn.XLOOKUP($A2092, 'Hospitalisation Details'!$A:$A, 'Hospitalisation Details'!K:K, "No Data")</f>
        <v>34</v>
      </c>
      <c r="O2092" s="33">
        <f t="array" ref="O2092">_xlfn.XLOOKUP($A2092, 'Hospitalisation Details'!$A:$A, 'Hospitalisation Details'!G:G, "No Data")</f>
        <v>2373.3</v>
      </c>
      <c r="P2092" s="28" t="str">
        <f t="array" ref="P2092">_xlfn.XLOOKUP($A2092, 'Hospitalisation Details'!$A:$A, 'Hospitalisation Details'!H:H, "No Data")</f>
        <v>tier - 2</v>
      </c>
    </row>
    <row r="2093">
      <c r="A2093" s="25" t="s">
        <v>2175</v>
      </c>
      <c r="B2093" s="28" t="str">
        <f t="array" ref="B2093">_xlfn.XLOOKUP($A2093, 'Customer Names'!$A:$A, 'Customer Names'!B:B, "No Data")</f>
        <v>Stump</v>
      </c>
      <c r="C2093" s="28">
        <f t="array" ref="C2093">_xlfn.XLOOKUP($A2093, 'Medical Examinations'!$A:$A, 'Medical Examinations'!B:B, "No Data")</f>
        <v>32.395</v>
      </c>
      <c r="D2093" s="28">
        <f t="array" ref="D2093">_xlfn.XLOOKUP($A2093, 'Medical Examinations'!$A:$A, 'Medical Examinations'!C:C, "No Data")</f>
        <v>6.66</v>
      </c>
      <c r="E2093" s="28" t="str">
        <f t="array" ref="E2093">_xlfn.XLOOKUP($A2093, 'Medical Examinations'!$A:$A, 'Medical Examinations'!D:D, "No Data")</f>
        <v>No</v>
      </c>
      <c r="F2093" s="28" t="str">
        <f t="array" ref="F2093">_xlfn.XLOOKUP($A2093, 'Medical Examinations'!$A:$A, 'Medical Examinations'!E:E, "No Data")</f>
        <v>No</v>
      </c>
      <c r="G2093" s="28" t="str">
        <f t="array" ref="G2093">_xlfn.XLOOKUP($A2093, 'Medical Examinations'!$A:$A, 'Medical Examinations'!F:F, "No Data")</f>
        <v>No</v>
      </c>
      <c r="H2093" s="28">
        <f t="array" ref="H2093">_xlfn.XLOOKUP($A2093, 'Medical Examinations'!$A:$A, 'Medical Examinations'!G:G, "No Data")</f>
        <v>0</v>
      </c>
      <c r="I2093" s="28" t="str">
        <f t="array" ref="I2093">_xlfn.XLOOKUP($A2093, 'Medical Examinations'!$A:$A, 'Medical Examinations'!H:H, "No Data")</f>
        <v>No</v>
      </c>
      <c r="J2093" s="28" t="str">
        <f t="array" ref="J2093">_xlfn.XLOOKUP($A2093, 'Medical Examinations'!$A:$A, 'Medical Examinations'!I:I, "No Data")</f>
        <v>Obesity</v>
      </c>
      <c r="K2093" s="28" t="str">
        <f t="array" ref="K2093">_xlfn.XLOOKUP($A2093, 'Hospitalisation Details'!$A:$A, 'Hospitalisation Details'!I:I, "No Data")</f>
        <v>tier - 1</v>
      </c>
      <c r="L2093" s="28" t="str">
        <f t="array" ref="L2093">_xlfn.XLOOKUP($A2093, 'Hospitalisation Details'!$A:$A, 'Hospitalisation Details'!J:J, "No Data")</f>
        <v>R1012</v>
      </c>
      <c r="M2093" s="28" t="str">
        <f t="array" ref="M2093">_xlfn.XLOOKUP($A2093, 'Hospitalisation Details'!$A:$A, 'Hospitalisation Details'!E:E, "No Data")</f>
        <v>05/11/02</v>
      </c>
      <c r="N2093" s="28">
        <f t="array" ref="N2093">_xlfn.XLOOKUP($A2093, 'Hospitalisation Details'!$A:$A, 'Hospitalisation Details'!K:K, "No Data")</f>
        <v>20</v>
      </c>
      <c r="O2093" s="33">
        <f t="array" ref="O2093">_xlfn.XLOOKUP($A2093, 'Hospitalisation Details'!$A:$A, 'Hospitalisation Details'!G:G, "No Data")</f>
        <v>2362.23</v>
      </c>
      <c r="P2093" s="28" t="str">
        <f t="array" ref="P2093">_xlfn.XLOOKUP($A2093, 'Hospitalisation Details'!$A:$A, 'Hospitalisation Details'!H:H, "No Data")</f>
        <v>tier - 2</v>
      </c>
    </row>
    <row r="2094">
      <c r="A2094" s="25" t="s">
        <v>2170</v>
      </c>
      <c r="B2094" s="28" t="str">
        <f t="array" ref="B2094">_xlfn.XLOOKUP($A2094, 'Customer Names'!$A:$A, 'Customer Names'!B:B, "No Data")</f>
        <v>Wehrman</v>
      </c>
      <c r="C2094" s="28">
        <f t="array" ref="C2094">_xlfn.XLOOKUP($A2094, 'Medical Examinations'!$A:$A, 'Medical Examinations'!B:B, "No Data")</f>
        <v>23.655</v>
      </c>
      <c r="D2094" s="28">
        <f t="array" ref="D2094">_xlfn.XLOOKUP($A2094, 'Medical Examinations'!$A:$A, 'Medical Examinations'!C:C, "No Data")</f>
        <v>5.92</v>
      </c>
      <c r="E2094" s="28" t="str">
        <f t="array" ref="E2094">_xlfn.XLOOKUP($A2094, 'Medical Examinations'!$A:$A, 'Medical Examinations'!D:D, "No Data")</f>
        <v>No</v>
      </c>
      <c r="F2094" s="28" t="str">
        <f t="array" ref="F2094">_xlfn.XLOOKUP($A2094, 'Medical Examinations'!$A:$A, 'Medical Examinations'!E:E, "No Data")</f>
        <v>No</v>
      </c>
      <c r="G2094" s="28" t="str">
        <f t="array" ref="G2094">_xlfn.XLOOKUP($A2094, 'Medical Examinations'!$A:$A, 'Medical Examinations'!F:F, "No Data")</f>
        <v>No</v>
      </c>
      <c r="H2094" s="28">
        <f t="array" ref="H2094">_xlfn.XLOOKUP($A2094, 'Medical Examinations'!$A:$A, 'Medical Examinations'!G:G, "No Data")</f>
        <v>1</v>
      </c>
      <c r="I2094" s="28" t="str">
        <f t="array" ref="I2094">_xlfn.XLOOKUP($A2094, 'Medical Examinations'!$A:$A, 'Medical Examinations'!H:H, "No Data")</f>
        <v>No</v>
      </c>
      <c r="J2094" s="28" t="str">
        <f t="array" ref="J2094">_xlfn.XLOOKUP($A2094, 'Medical Examinations'!$A:$A, 'Medical Examinations'!I:I, "No Data")</f>
        <v>Normal Weight</v>
      </c>
      <c r="K2094" s="28" t="str">
        <f t="array" ref="K2094">_xlfn.XLOOKUP($A2094, 'Hospitalisation Details'!$A:$A, 'Hospitalisation Details'!I:I, "No Data")</f>
        <v>tier - 3</v>
      </c>
      <c r="L2094" s="28" t="str">
        <f t="array" ref="L2094">_xlfn.XLOOKUP($A2094, 'Hospitalisation Details'!$A:$A, 'Hospitalisation Details'!J:J, "No Data")</f>
        <v>R1012</v>
      </c>
      <c r="M2094" s="28" t="str">
        <f t="array" ref="M2094">_xlfn.XLOOKUP($A2094, 'Hospitalisation Details'!$A:$A, 'Hospitalisation Details'!E:E, "No Data")</f>
        <v>21/10/98</v>
      </c>
      <c r="N2094" s="28">
        <f t="array" ref="N2094">_xlfn.XLOOKUP($A2094, 'Hospitalisation Details'!$A:$A, 'Hospitalisation Details'!K:K, "No Data")</f>
        <v>24</v>
      </c>
      <c r="O2094" s="33">
        <f t="array" ref="O2094">_xlfn.XLOOKUP($A2094, 'Hospitalisation Details'!$A:$A, 'Hospitalisation Details'!G:G, "No Data")</f>
        <v>2352.97</v>
      </c>
      <c r="P2094" s="28" t="str">
        <f t="array" ref="P2094">_xlfn.XLOOKUP($A2094, 'Hospitalisation Details'!$A:$A, 'Hospitalisation Details'!H:H, "No Data")</f>
        <v>tier - 3</v>
      </c>
    </row>
    <row r="2095">
      <c r="A2095" s="25" t="s">
        <v>2165</v>
      </c>
      <c r="B2095" s="28" t="str">
        <f t="array" ref="B2095">_xlfn.XLOOKUP($A2095, 'Customer Names'!$A:$A, 'Customer Names'!B:B, "No Data")</f>
        <v>Sischo</v>
      </c>
      <c r="C2095" s="28">
        <f t="array" ref="C2095">_xlfn.XLOOKUP($A2095, 'Medical Examinations'!$A:$A, 'Medical Examinations'!B:B, "No Data")</f>
        <v>28.4</v>
      </c>
      <c r="D2095" s="28">
        <f t="array" ref="D2095">_xlfn.XLOOKUP($A2095, 'Medical Examinations'!$A:$A, 'Medical Examinations'!C:C, "No Data")</f>
        <v>5.97</v>
      </c>
      <c r="E2095" s="28" t="str">
        <f t="array" ref="E2095">_xlfn.XLOOKUP($A2095, 'Medical Examinations'!$A:$A, 'Medical Examinations'!D:D, "No Data")</f>
        <v>No</v>
      </c>
      <c r="F2095" s="28" t="str">
        <f t="array" ref="F2095">_xlfn.XLOOKUP($A2095, 'Medical Examinations'!$A:$A, 'Medical Examinations'!E:E, "No Data")</f>
        <v>No</v>
      </c>
      <c r="G2095" s="28" t="str">
        <f t="array" ref="G2095">_xlfn.XLOOKUP($A2095, 'Medical Examinations'!$A:$A, 'Medical Examinations'!F:F, "No Data")</f>
        <v>Yes</v>
      </c>
      <c r="H2095" s="28">
        <f t="array" ref="H2095">_xlfn.XLOOKUP($A2095, 'Medical Examinations'!$A:$A, 'Medical Examinations'!G:G, "No Data")</f>
        <v>1</v>
      </c>
      <c r="I2095" s="28" t="str">
        <f t="array" ref="I2095">_xlfn.XLOOKUP($A2095, 'Medical Examinations'!$A:$A, 'Medical Examinations'!H:H, "No Data")</f>
        <v>No</v>
      </c>
      <c r="J2095" s="28" t="str">
        <f t="array" ref="J2095">_xlfn.XLOOKUP($A2095, 'Medical Examinations'!$A:$A, 'Medical Examinations'!I:I, "No Data")</f>
        <v>Overweight</v>
      </c>
      <c r="K2095" s="28" t="str">
        <f t="array" ref="K2095">_xlfn.XLOOKUP($A2095, 'Hospitalisation Details'!$A:$A, 'Hospitalisation Details'!I:I, "No Data")</f>
        <v>tier - 3</v>
      </c>
      <c r="L2095" s="28" t="str">
        <f t="array" ref="L2095">_xlfn.XLOOKUP($A2095, 'Hospitalisation Details'!$A:$A, 'Hospitalisation Details'!J:J, "No Data")</f>
        <v>R1011</v>
      </c>
      <c r="M2095" s="28" t="str">
        <f t="array" ref="M2095">_xlfn.XLOOKUP($A2095, 'Hospitalisation Details'!$A:$A, 'Hospitalisation Details'!E:E, "No Data")</f>
        <v>18/11/03</v>
      </c>
      <c r="N2095" s="28">
        <f t="array" ref="N2095">_xlfn.XLOOKUP($A2095, 'Hospitalisation Details'!$A:$A, 'Hospitalisation Details'!K:K, "No Data")</f>
        <v>19</v>
      </c>
      <c r="O2095" s="33">
        <f t="array" ref="O2095">_xlfn.XLOOKUP($A2095, 'Hospitalisation Details'!$A:$A, 'Hospitalisation Details'!G:G, "No Data")</f>
        <v>2331.52</v>
      </c>
      <c r="P2095" s="28" t="str">
        <f t="array" ref="P2095">_xlfn.XLOOKUP($A2095, 'Hospitalisation Details'!$A:$A, 'Hospitalisation Details'!H:H, "No Data")</f>
        <v>tier - 2</v>
      </c>
    </row>
    <row r="2096">
      <c r="A2096" s="25" t="s">
        <v>2160</v>
      </c>
      <c r="B2096" s="28" t="str">
        <f t="array" ref="B2096">_xlfn.XLOOKUP($A2096, 'Customer Names'!$A:$A, 'Customer Names'!B:B, "No Data")</f>
        <v>Fonti</v>
      </c>
      <c r="C2096" s="28">
        <f t="array" ref="C2096">_xlfn.XLOOKUP($A2096, 'Medical Examinations'!$A:$A, 'Medical Examinations'!B:B, "No Data")</f>
        <v>35.42</v>
      </c>
      <c r="D2096" s="28">
        <f t="array" ref="D2096">_xlfn.XLOOKUP($A2096, 'Medical Examinations'!$A:$A, 'Medical Examinations'!C:C, "No Data")</f>
        <v>4.64</v>
      </c>
      <c r="E2096" s="28" t="str">
        <f t="array" ref="E2096">_xlfn.XLOOKUP($A2096, 'Medical Examinations'!$A:$A, 'Medical Examinations'!D:D, "No Data")</f>
        <v>yes</v>
      </c>
      <c r="F2096" s="28" t="str">
        <f t="array" ref="F2096">_xlfn.XLOOKUP($A2096, 'Medical Examinations'!$A:$A, 'Medical Examinations'!E:E, "No Data")</f>
        <v>No</v>
      </c>
      <c r="G2096" s="28" t="str">
        <f t="array" ref="G2096">_xlfn.XLOOKUP($A2096, 'Medical Examinations'!$A:$A, 'Medical Examinations'!F:F, "No Data")</f>
        <v>No</v>
      </c>
      <c r="H2096" s="28">
        <f t="array" ref="H2096">_xlfn.XLOOKUP($A2096, 'Medical Examinations'!$A:$A, 'Medical Examinations'!G:G, "No Data")</f>
        <v>0</v>
      </c>
      <c r="I2096" s="28" t="str">
        <f t="array" ref="I2096">_xlfn.XLOOKUP($A2096, 'Medical Examinations'!$A:$A, 'Medical Examinations'!H:H, "No Data")</f>
        <v>No</v>
      </c>
      <c r="J2096" s="28" t="str">
        <f t="array" ref="J2096">_xlfn.XLOOKUP($A2096, 'Medical Examinations'!$A:$A, 'Medical Examinations'!I:I, "No Data")</f>
        <v>Obesity</v>
      </c>
      <c r="K2096" s="28" t="str">
        <f t="array" ref="K2096">_xlfn.XLOOKUP($A2096, 'Hospitalisation Details'!$A:$A, 'Hospitalisation Details'!I:I, "No Data")</f>
        <v>tier - 1</v>
      </c>
      <c r="L2096" s="28" t="str">
        <f t="array" ref="L2096">_xlfn.XLOOKUP($A2096, 'Hospitalisation Details'!$A:$A, 'Hospitalisation Details'!J:J, "No Data")</f>
        <v>R1013</v>
      </c>
      <c r="M2096" s="28" t="str">
        <f t="array" ref="M2096">_xlfn.XLOOKUP($A2096, 'Hospitalisation Details'!$A:$A, 'Hospitalisation Details'!E:E, "No Data")</f>
        <v>17/12/96</v>
      </c>
      <c r="N2096" s="28">
        <f t="array" ref="N2096">_xlfn.XLOOKUP($A2096, 'Hospitalisation Details'!$A:$A, 'Hospitalisation Details'!K:K, "No Data")</f>
        <v>26</v>
      </c>
      <c r="O2096" s="33">
        <f t="array" ref="O2096">_xlfn.XLOOKUP($A2096, 'Hospitalisation Details'!$A:$A, 'Hospitalisation Details'!G:G, "No Data")</f>
        <v>2322.62</v>
      </c>
      <c r="P2096" s="28" t="str">
        <f t="array" ref="P2096">_xlfn.XLOOKUP($A2096, 'Hospitalisation Details'!$A:$A, 'Hospitalisation Details'!H:H, "No Data")</f>
        <v>tier - 2</v>
      </c>
    </row>
    <row r="2097">
      <c r="A2097" s="25" t="s">
        <v>2155</v>
      </c>
      <c r="B2097" s="28" t="str">
        <f t="array" ref="B2097">_xlfn.XLOOKUP($A2097, 'Customer Names'!$A:$A, 'Customer Names'!B:B, "No Data")</f>
        <v>Merlis</v>
      </c>
      <c r="C2097" s="28">
        <f t="array" ref="C2097">_xlfn.XLOOKUP($A2097, 'Medical Examinations'!$A:$A, 'Medical Examinations'!B:B, "No Data")</f>
        <v>26.18</v>
      </c>
      <c r="D2097" s="28">
        <f t="array" ref="D2097">_xlfn.XLOOKUP($A2097, 'Medical Examinations'!$A:$A, 'Medical Examinations'!C:C, "No Data")</f>
        <v>6.12</v>
      </c>
      <c r="E2097" s="28" t="str">
        <f t="array" ref="E2097">_xlfn.XLOOKUP($A2097, 'Medical Examinations'!$A:$A, 'Medical Examinations'!D:D, "No Data")</f>
        <v>No</v>
      </c>
      <c r="F2097" s="28" t="str">
        <f t="array" ref="F2097">_xlfn.XLOOKUP($A2097, 'Medical Examinations'!$A:$A, 'Medical Examinations'!E:E, "No Data")</f>
        <v>yes</v>
      </c>
      <c r="G2097" s="28" t="str">
        <f t="array" ref="G2097">_xlfn.XLOOKUP($A2097, 'Medical Examinations'!$A:$A, 'Medical Examinations'!F:F, "No Data")</f>
        <v>No</v>
      </c>
      <c r="H2097" s="28">
        <f t="array" ref="H2097">_xlfn.XLOOKUP($A2097, 'Medical Examinations'!$A:$A, 'Medical Examinations'!G:G, "No Data")</f>
        <v>1</v>
      </c>
      <c r="I2097" s="28" t="str">
        <f t="array" ref="I2097">_xlfn.XLOOKUP($A2097, 'Medical Examinations'!$A:$A, 'Medical Examinations'!H:H, "No Data")</f>
        <v>No</v>
      </c>
      <c r="J2097" s="28" t="str">
        <f t="array" ref="J2097">_xlfn.XLOOKUP($A2097, 'Medical Examinations'!$A:$A, 'Medical Examinations'!I:I, "No Data")</f>
        <v>Overweight</v>
      </c>
      <c r="K2097" s="28" t="str">
        <f t="array" ref="K2097">_xlfn.XLOOKUP($A2097, 'Hospitalisation Details'!$A:$A, 'Hospitalisation Details'!I:I, "No Data")</f>
        <v>tier - 3</v>
      </c>
      <c r="L2097" s="28" t="str">
        <f t="array" ref="L2097">_xlfn.XLOOKUP($A2097, 'Hospitalisation Details'!$A:$A, 'Hospitalisation Details'!J:J, "No Data")</f>
        <v>R1013</v>
      </c>
      <c r="M2097" s="28" t="str">
        <f t="array" ref="M2097">_xlfn.XLOOKUP($A2097, 'Hospitalisation Details'!$A:$A, 'Hospitalisation Details'!E:E, "No Data")</f>
        <v>06/09/04</v>
      </c>
      <c r="N2097" s="28">
        <f t="array" ref="N2097">_xlfn.XLOOKUP($A2097, 'Hospitalisation Details'!$A:$A, 'Hospitalisation Details'!K:K, "No Data")</f>
        <v>18</v>
      </c>
      <c r="O2097" s="33">
        <f t="array" ref="O2097">_xlfn.XLOOKUP($A2097, 'Hospitalisation Details'!$A:$A, 'Hospitalisation Details'!G:G, "No Data")</f>
        <v>2304</v>
      </c>
      <c r="P2097" s="28" t="str">
        <f t="array" ref="P2097">_xlfn.XLOOKUP($A2097, 'Hospitalisation Details'!$A:$A, 'Hospitalisation Details'!H:H, "No Data")</f>
        <v>tier - 2</v>
      </c>
    </row>
    <row r="2098">
      <c r="A2098" s="25" t="s">
        <v>2149</v>
      </c>
      <c r="B2098" s="28" t="str">
        <f t="array" ref="B2098">_xlfn.XLOOKUP($A2098, 'Customer Names'!$A:$A, 'Customer Names'!B:B, "No Data")</f>
        <v>Hasegawa</v>
      </c>
      <c r="C2098" s="28">
        <f t="array" ref="C2098">_xlfn.XLOOKUP($A2098, 'Medical Examinations'!$A:$A, 'Medical Examinations'!B:B, "No Data")</f>
        <v>20.8</v>
      </c>
      <c r="D2098" s="28">
        <f t="array" ref="D2098">_xlfn.XLOOKUP($A2098, 'Medical Examinations'!$A:$A, 'Medical Examinations'!C:C, "No Data")</f>
        <v>4.87</v>
      </c>
      <c r="E2098" s="28" t="str">
        <f t="array" ref="E2098">_xlfn.XLOOKUP($A2098, 'Medical Examinations'!$A:$A, 'Medical Examinations'!D:D, "No Data")</f>
        <v>yes</v>
      </c>
      <c r="F2098" s="28" t="str">
        <f t="array" ref="F2098">_xlfn.XLOOKUP($A2098, 'Medical Examinations'!$A:$A, 'Medical Examinations'!E:E, "No Data")</f>
        <v>No</v>
      </c>
      <c r="G2098" s="28" t="str">
        <f t="array" ref="G2098">_xlfn.XLOOKUP($A2098, 'Medical Examinations'!$A:$A, 'Medical Examinations'!F:F, "No Data")</f>
        <v>No</v>
      </c>
      <c r="H2098" s="28">
        <f t="array" ref="H2098">_xlfn.XLOOKUP($A2098, 'Medical Examinations'!$A:$A, 'Medical Examinations'!G:G, "No Data")</f>
        <v>0</v>
      </c>
      <c r="I2098" s="28" t="str">
        <f t="array" ref="I2098">_xlfn.XLOOKUP($A2098, 'Medical Examinations'!$A:$A, 'Medical Examinations'!H:H, "No Data")</f>
        <v>No</v>
      </c>
      <c r="J2098" s="28" t="str">
        <f t="array" ref="J2098">_xlfn.XLOOKUP($A2098, 'Medical Examinations'!$A:$A, 'Medical Examinations'!I:I, "No Data")</f>
        <v>Normal Weight</v>
      </c>
      <c r="K2098" s="28" t="str">
        <f t="array" ref="K2098">_xlfn.XLOOKUP($A2098, 'Hospitalisation Details'!$A:$A, 'Hospitalisation Details'!I:I, "No Data")</f>
        <v>tier - 2</v>
      </c>
      <c r="L2098" s="28" t="str">
        <f t="array" ref="L2098">_xlfn.XLOOKUP($A2098, 'Hospitalisation Details'!$A:$A, 'Hospitalisation Details'!J:J, "No Data")</f>
        <v>R1011</v>
      </c>
      <c r="M2098" s="28" t="str">
        <f t="array" ref="M2098">_xlfn.XLOOKUP($A2098, 'Hospitalisation Details'!$A:$A, 'Hospitalisation Details'!E:E, "No Data")</f>
        <v>28/11/96</v>
      </c>
      <c r="N2098" s="28">
        <f t="array" ref="N2098">_xlfn.XLOOKUP($A2098, 'Hospitalisation Details'!$A:$A, 'Hospitalisation Details'!K:K, "No Data")</f>
        <v>26</v>
      </c>
      <c r="O2098" s="33">
        <f t="array" ref="O2098">_xlfn.XLOOKUP($A2098, 'Hospitalisation Details'!$A:$A, 'Hospitalisation Details'!G:G, "No Data")</f>
        <v>2302.3</v>
      </c>
      <c r="P2098" s="28" t="str">
        <f t="array" ref="P2098">_xlfn.XLOOKUP($A2098, 'Hospitalisation Details'!$A:$A, 'Hospitalisation Details'!H:H, "No Data")</f>
        <v>tier - 1</v>
      </c>
    </row>
    <row r="2099">
      <c r="A2099" s="25" t="s">
        <v>2142</v>
      </c>
      <c r="B2099" s="28" t="str">
        <f t="array" ref="B2099">_xlfn.XLOOKUP($A2099, 'Customer Names'!$A:$A, 'Customer Names'!B:B, "No Data")</f>
        <v>Haselden</v>
      </c>
      <c r="C2099" s="28">
        <f t="array" ref="C2099">_xlfn.XLOOKUP($A2099, 'Medical Examinations'!$A:$A, 'Medical Examinations'!B:B, "No Data")</f>
        <v>15.82</v>
      </c>
      <c r="D2099" s="28">
        <f t="array" ref="D2099">_xlfn.XLOOKUP($A2099, 'Medical Examinations'!$A:$A, 'Medical Examinations'!C:C, "No Data")</f>
        <v>4.6</v>
      </c>
      <c r="E2099" s="28" t="str">
        <f t="array" ref="E2099">_xlfn.XLOOKUP($A2099, 'Medical Examinations'!$A:$A, 'Medical Examinations'!D:D, "No Data")</f>
        <v>No</v>
      </c>
      <c r="F2099" s="28" t="str">
        <f t="array" ref="F2099">_xlfn.XLOOKUP($A2099, 'Medical Examinations'!$A:$A, 'Medical Examinations'!E:E, "No Data")</f>
        <v>No</v>
      </c>
      <c r="G2099" s="28" t="str">
        <f t="array" ref="G2099">_xlfn.XLOOKUP($A2099, 'Medical Examinations'!$A:$A, 'Medical Examinations'!F:F, "No Data")</f>
        <v>No</v>
      </c>
      <c r="H2099" s="28">
        <f t="array" ref="H2099">_xlfn.XLOOKUP($A2099, 'Medical Examinations'!$A:$A, 'Medical Examinations'!G:G, "No Data")</f>
        <v>0</v>
      </c>
      <c r="I2099" s="28" t="str">
        <f t="array" ref="I2099">_xlfn.XLOOKUP($A2099, 'Medical Examinations'!$A:$A, 'Medical Examinations'!H:H, "No Data")</f>
        <v>No</v>
      </c>
      <c r="J2099" s="28" t="str">
        <f t="array" ref="J2099">_xlfn.XLOOKUP($A2099, 'Medical Examinations'!$A:$A, 'Medical Examinations'!I:I, "No Data")</f>
        <v>Underweight</v>
      </c>
      <c r="K2099" s="28" t="str">
        <f t="array" ref="K2099">_xlfn.XLOOKUP($A2099, 'Hospitalisation Details'!$A:$A, 'Hospitalisation Details'!I:I, "No Data")</f>
        <v>tier - 1</v>
      </c>
      <c r="L2099" s="28" t="str">
        <f t="array" ref="L2099">_xlfn.XLOOKUP($A2099, 'Hospitalisation Details'!$A:$A, 'Hospitalisation Details'!J:J, "No Data")</f>
        <v>R1013</v>
      </c>
      <c r="M2099" s="28" t="str">
        <f t="array" ref="M2099">_xlfn.XLOOKUP($A2099, 'Hospitalisation Details'!$A:$A, 'Hospitalisation Details'!E:E, "No Data")</f>
        <v>05/10/89</v>
      </c>
      <c r="N2099" s="28">
        <f t="array" ref="N2099">_xlfn.XLOOKUP($A2099, 'Hospitalisation Details'!$A:$A, 'Hospitalisation Details'!K:K, "No Data")</f>
        <v>33</v>
      </c>
      <c r="O2099" s="33">
        <f t="array" ref="O2099">_xlfn.XLOOKUP($A2099, 'Hospitalisation Details'!$A:$A, 'Hospitalisation Details'!G:G, "No Data")</f>
        <v>2295.24</v>
      </c>
      <c r="P2099" s="28" t="str">
        <f t="array" ref="P2099">_xlfn.XLOOKUP($A2099, 'Hospitalisation Details'!$A:$A, 'Hospitalisation Details'!H:H, "No Data")</f>
        <v>tier - 2</v>
      </c>
    </row>
    <row r="2100">
      <c r="A2100" s="25" t="s">
        <v>2137</v>
      </c>
      <c r="B2100" s="28" t="str">
        <f t="array" ref="B2100">_xlfn.XLOOKUP($A2100, 'Customer Names'!$A:$A, 'Customer Names'!B:B, "No Data")</f>
        <v>Simonson</v>
      </c>
      <c r="C2100" s="28">
        <f t="array" ref="C2100">_xlfn.XLOOKUP($A2100, 'Medical Examinations'!$A:$A, 'Medical Examinations'!B:B, "No Data")</f>
        <v>17.67</v>
      </c>
      <c r="D2100" s="28">
        <f t="array" ref="D2100">_xlfn.XLOOKUP($A2100, 'Medical Examinations'!$A:$A, 'Medical Examinations'!C:C, "No Data")</f>
        <v>4.78</v>
      </c>
      <c r="E2100" s="28" t="str">
        <f t="array" ref="E2100">_xlfn.XLOOKUP($A2100, 'Medical Examinations'!$A:$A, 'Medical Examinations'!D:D, "No Data")</f>
        <v>No</v>
      </c>
      <c r="F2100" s="28" t="str">
        <f t="array" ref="F2100">_xlfn.XLOOKUP($A2100, 'Medical Examinations'!$A:$A, 'Medical Examinations'!E:E, "No Data")</f>
        <v>No</v>
      </c>
      <c r="G2100" s="28" t="str">
        <f t="array" ref="G2100">_xlfn.XLOOKUP($A2100, 'Medical Examinations'!$A:$A, 'Medical Examinations'!F:F, "No Data")</f>
        <v>No</v>
      </c>
      <c r="H2100" s="28">
        <f t="array" ref="H2100">_xlfn.XLOOKUP($A2100, 'Medical Examinations'!$A:$A, 'Medical Examinations'!G:G, "No Data")</f>
        <v>0</v>
      </c>
      <c r="I2100" s="28" t="str">
        <f t="array" ref="I2100">_xlfn.XLOOKUP($A2100, 'Medical Examinations'!$A:$A, 'Medical Examinations'!H:H, "No Data")</f>
        <v>No</v>
      </c>
      <c r="J2100" s="28" t="str">
        <f t="array" ref="J2100">_xlfn.XLOOKUP($A2100, 'Medical Examinations'!$A:$A, 'Medical Examinations'!I:I, "No Data")</f>
        <v>Underweight</v>
      </c>
      <c r="K2100" s="28" t="str">
        <f t="array" ref="K2100">_xlfn.XLOOKUP($A2100, 'Hospitalisation Details'!$A:$A, 'Hospitalisation Details'!I:I, "No Data")</f>
        <v>tier - 1</v>
      </c>
      <c r="L2100" s="28" t="str">
        <f t="array" ref="L2100">_xlfn.XLOOKUP($A2100, 'Hospitalisation Details'!$A:$A, 'Hospitalisation Details'!J:J, "No Data")</f>
        <v>R1013</v>
      </c>
      <c r="M2100" s="28" t="str">
        <f t="array" ref="M2100">_xlfn.XLOOKUP($A2100, 'Hospitalisation Details'!$A:$A, 'Hospitalisation Details'!E:E, "No Data")</f>
        <v>16/06/91</v>
      </c>
      <c r="N2100" s="28">
        <f t="array" ref="N2100">_xlfn.XLOOKUP($A2100, 'Hospitalisation Details'!$A:$A, 'Hospitalisation Details'!K:K, "No Data")</f>
        <v>31</v>
      </c>
      <c r="O2100" s="33">
        <f t="array" ref="O2100">_xlfn.XLOOKUP($A2100, 'Hospitalisation Details'!$A:$A, 'Hospitalisation Details'!G:G, "No Data")</f>
        <v>2277.72</v>
      </c>
      <c r="P2100" s="28" t="str">
        <f t="array" ref="P2100">_xlfn.XLOOKUP($A2100, 'Hospitalisation Details'!$A:$A, 'Hospitalisation Details'!H:H, "No Data")</f>
        <v>tier - 2</v>
      </c>
    </row>
    <row r="2101">
      <c r="A2101" s="25" t="s">
        <v>2131</v>
      </c>
      <c r="B2101" s="28" t="str">
        <f t="array" ref="B2101">_xlfn.XLOOKUP($A2101, 'Customer Names'!$A:$A, 'Customer Names'!B:B, "No Data")</f>
        <v>Montag</v>
      </c>
      <c r="C2101" s="28">
        <f t="array" ref="C2101">_xlfn.XLOOKUP($A2101, 'Medical Examinations'!$A:$A, 'Medical Examinations'!B:B, "No Data")</f>
        <v>31.92</v>
      </c>
      <c r="D2101" s="28">
        <f t="array" ref="D2101">_xlfn.XLOOKUP($A2101, 'Medical Examinations'!$A:$A, 'Medical Examinations'!C:C, "No Data")</f>
        <v>11.05</v>
      </c>
      <c r="E2101" s="28" t="str">
        <f t="array" ref="E2101">_xlfn.XLOOKUP($A2101, 'Medical Examinations'!$A:$A, 'Medical Examinations'!D:D, "No Data")</f>
        <v>No</v>
      </c>
      <c r="F2101" s="28" t="str">
        <f t="array" ref="F2101">_xlfn.XLOOKUP($A2101, 'Medical Examinations'!$A:$A, 'Medical Examinations'!E:E, "No Data")</f>
        <v>No</v>
      </c>
      <c r="G2101" s="28" t="str">
        <f t="array" ref="G2101">_xlfn.XLOOKUP($A2101, 'Medical Examinations'!$A:$A, 'Medical Examinations'!F:F, "No Data")</f>
        <v>No</v>
      </c>
      <c r="H2101" s="28">
        <f t="array" ref="H2101">_xlfn.XLOOKUP($A2101, 'Medical Examinations'!$A:$A, 'Medical Examinations'!G:G, "No Data")</f>
        <v>0</v>
      </c>
      <c r="I2101" s="28" t="str">
        <f t="array" ref="I2101">_xlfn.XLOOKUP($A2101, 'Medical Examinations'!$A:$A, 'Medical Examinations'!H:H, "No Data")</f>
        <v>No</v>
      </c>
      <c r="J2101" s="28" t="str">
        <f t="array" ref="J2101">_xlfn.XLOOKUP($A2101, 'Medical Examinations'!$A:$A, 'Medical Examinations'!I:I, "No Data")</f>
        <v>Obesity</v>
      </c>
      <c r="K2101" s="28" t="str">
        <f t="array" ref="K2101">_xlfn.XLOOKUP($A2101, 'Hospitalisation Details'!$A:$A, 'Hospitalisation Details'!I:I, "No Data")</f>
        <v>tier - 1</v>
      </c>
      <c r="L2101" s="28" t="str">
        <f t="array" ref="L2101">_xlfn.XLOOKUP($A2101, 'Hospitalisation Details'!$A:$A, 'Hospitalisation Details'!J:J, "No Data")</f>
        <v>R1012</v>
      </c>
      <c r="M2101" s="28" t="str">
        <f t="array" ref="M2101">_xlfn.XLOOKUP($A2101, 'Hospitalisation Details'!$A:$A, 'Hospitalisation Details'!E:E, "No Data")</f>
        <v>12/11/02</v>
      </c>
      <c r="N2101" s="28">
        <f t="array" ref="N2101">_xlfn.XLOOKUP($A2101, 'Hospitalisation Details'!$A:$A, 'Hospitalisation Details'!K:K, "No Data")</f>
        <v>20</v>
      </c>
      <c r="O2101" s="33">
        <f t="array" ref="O2101">_xlfn.XLOOKUP($A2101, 'Hospitalisation Details'!$A:$A, 'Hospitalisation Details'!G:G, "No Data")</f>
        <v>2261.57</v>
      </c>
      <c r="P2101" s="28" t="str">
        <f t="array" ref="P2101">_xlfn.XLOOKUP($A2101, 'Hospitalisation Details'!$A:$A, 'Hospitalisation Details'!H:H, "No Data")</f>
        <v>tier - 2</v>
      </c>
    </row>
    <row r="2102">
      <c r="A2102" s="25" t="s">
        <v>2127</v>
      </c>
      <c r="B2102" s="28" t="str">
        <f t="array" ref="B2102">_xlfn.XLOOKUP($A2102, 'Customer Names'!$A:$A, 'Customer Names'!B:B, "No Data")</f>
        <v>Deroian</v>
      </c>
      <c r="C2102" s="28">
        <f t="array" ref="C2102">_xlfn.XLOOKUP($A2102, 'Medical Examinations'!$A:$A, 'Medical Examinations'!B:B, "No Data")</f>
        <v>28.975</v>
      </c>
      <c r="D2102" s="28">
        <f t="array" ref="D2102">_xlfn.XLOOKUP($A2102, 'Medical Examinations'!$A:$A, 'Medical Examinations'!C:C, "No Data")</f>
        <v>7.62</v>
      </c>
      <c r="E2102" s="28" t="str">
        <f t="array" ref="E2102">_xlfn.XLOOKUP($A2102, 'Medical Examinations'!$A:$A, 'Medical Examinations'!D:D, "No Data")</f>
        <v>No</v>
      </c>
      <c r="F2102" s="28" t="str">
        <f t="array" ref="F2102">_xlfn.XLOOKUP($A2102, 'Medical Examinations'!$A:$A, 'Medical Examinations'!E:E, "No Data")</f>
        <v>No</v>
      </c>
      <c r="G2102" s="28" t="str">
        <f t="array" ref="G2102">_xlfn.XLOOKUP($A2102, 'Medical Examinations'!$A:$A, 'Medical Examinations'!F:F, "No Data")</f>
        <v>No</v>
      </c>
      <c r="H2102" s="28">
        <f t="array" ref="H2102">_xlfn.XLOOKUP($A2102, 'Medical Examinations'!$A:$A, 'Medical Examinations'!G:G, "No Data")</f>
        <v>0</v>
      </c>
      <c r="I2102" s="28" t="str">
        <f t="array" ref="I2102">_xlfn.XLOOKUP($A2102, 'Medical Examinations'!$A:$A, 'Medical Examinations'!H:H, "No Data")</f>
        <v>No</v>
      </c>
      <c r="J2102" s="28" t="str">
        <f t="array" ref="J2102">_xlfn.XLOOKUP($A2102, 'Medical Examinations'!$A:$A, 'Medical Examinations'!I:I, "No Data")</f>
        <v>Overweight</v>
      </c>
      <c r="K2102" s="28" t="str">
        <f t="array" ref="K2102">_xlfn.XLOOKUP($A2102, 'Hospitalisation Details'!$A:$A, 'Hospitalisation Details'!I:I, "No Data")</f>
        <v>tier - 1</v>
      </c>
      <c r="L2102" s="28" t="str">
        <f t="array" ref="L2102">_xlfn.XLOOKUP($A2102, 'Hospitalisation Details'!$A:$A, 'Hospitalisation Details'!J:J, "No Data")</f>
        <v>R1012</v>
      </c>
      <c r="M2102" s="28" t="str">
        <f t="array" ref="M2102">_xlfn.XLOOKUP($A2102, 'Hospitalisation Details'!$A:$A, 'Hospitalisation Details'!E:E, "No Data")</f>
        <v>15/07/02</v>
      </c>
      <c r="N2102" s="28">
        <f t="array" ref="N2102">_xlfn.XLOOKUP($A2102, 'Hospitalisation Details'!$A:$A, 'Hospitalisation Details'!K:K, "No Data")</f>
        <v>20</v>
      </c>
      <c r="O2102" s="33">
        <f t="array" ref="O2102">_xlfn.XLOOKUP($A2102, 'Hospitalisation Details'!$A:$A, 'Hospitalisation Details'!G:G, "No Data")</f>
        <v>2257.48</v>
      </c>
      <c r="P2102" s="28" t="str">
        <f t="array" ref="P2102">_xlfn.XLOOKUP($A2102, 'Hospitalisation Details'!$A:$A, 'Hospitalisation Details'!H:H, "No Data")</f>
        <v>tier - 2</v>
      </c>
    </row>
    <row r="2103">
      <c r="A2103" s="25" t="s">
        <v>2123</v>
      </c>
      <c r="B2103" s="28" t="str">
        <f t="array" ref="B2103">_xlfn.XLOOKUP($A2103, 'Customer Names'!$A:$A, 'Customer Names'!B:B, "No Data")</f>
        <v>Goetz</v>
      </c>
      <c r="C2103" s="28">
        <f t="array" ref="C2103">_xlfn.XLOOKUP($A2103, 'Medical Examinations'!$A:$A, 'Medical Examinations'!B:B, "No Data")</f>
        <v>31.73</v>
      </c>
      <c r="D2103" s="28">
        <f t="array" ref="D2103">_xlfn.XLOOKUP($A2103, 'Medical Examinations'!$A:$A, 'Medical Examinations'!C:C, "No Data")</f>
        <v>4.78</v>
      </c>
      <c r="E2103" s="28" t="str">
        <f t="array" ref="E2103">_xlfn.XLOOKUP($A2103, 'Medical Examinations'!$A:$A, 'Medical Examinations'!D:D, "No Data")</f>
        <v>yes</v>
      </c>
      <c r="F2103" s="28" t="str">
        <f t="array" ref="F2103">_xlfn.XLOOKUP($A2103, 'Medical Examinations'!$A:$A, 'Medical Examinations'!E:E, "No Data")</f>
        <v>yes</v>
      </c>
      <c r="G2103" s="28" t="str">
        <f t="array" ref="G2103">_xlfn.XLOOKUP($A2103, 'Medical Examinations'!$A:$A, 'Medical Examinations'!F:F, "No Data")</f>
        <v>No</v>
      </c>
      <c r="H2103" s="28">
        <f t="array" ref="H2103">_xlfn.XLOOKUP($A2103, 'Medical Examinations'!$A:$A, 'Medical Examinations'!G:G, "No Data")</f>
        <v>2</v>
      </c>
      <c r="I2103" s="28" t="str">
        <f t="array" ref="I2103">_xlfn.XLOOKUP($A2103, 'Medical Examinations'!$A:$A, 'Medical Examinations'!H:H, "No Data")</f>
        <v>No</v>
      </c>
      <c r="J2103" s="28" t="str">
        <f t="array" ref="J2103">_xlfn.XLOOKUP($A2103, 'Medical Examinations'!$A:$A, 'Medical Examinations'!I:I, "No Data")</f>
        <v>Obesity</v>
      </c>
      <c r="K2103" s="28" t="str">
        <f t="array" ref="K2103">_xlfn.XLOOKUP($A2103, 'Hospitalisation Details'!$A:$A, 'Hospitalisation Details'!I:I, "No Data")</f>
        <v>tier - 3</v>
      </c>
      <c r="L2103" s="28" t="str">
        <f t="array" ref="L2103">_xlfn.XLOOKUP($A2103, 'Hospitalisation Details'!$A:$A, 'Hospitalisation Details'!J:J, "No Data")</f>
        <v>R1016</v>
      </c>
      <c r="M2103" s="28" t="str">
        <f t="array" ref="M2103">_xlfn.XLOOKUP($A2103, 'Hospitalisation Details'!$A:$A, 'Hospitalisation Details'!E:E, "No Data")</f>
        <v>11/12/00</v>
      </c>
      <c r="N2103" s="28">
        <f t="array" ref="N2103">_xlfn.XLOOKUP($A2103, 'Hospitalisation Details'!$A:$A, 'Hospitalisation Details'!K:K, "No Data")</f>
        <v>22</v>
      </c>
      <c r="O2103" s="33">
        <f t="array" ref="O2103">_xlfn.XLOOKUP($A2103, 'Hospitalisation Details'!$A:$A, 'Hospitalisation Details'!G:G, "No Data")</f>
        <v>2254.8</v>
      </c>
      <c r="P2103" s="28" t="str">
        <f t="array" ref="P2103">_xlfn.XLOOKUP($A2103, 'Hospitalisation Details'!$A:$A, 'Hospitalisation Details'!H:H, "No Data")</f>
        <v>tier - 2</v>
      </c>
    </row>
    <row r="2104">
      <c r="A2104" s="25" t="s">
        <v>2117</v>
      </c>
      <c r="B2104" s="28" t="str">
        <f t="array" ref="B2104">_xlfn.XLOOKUP($A2104, 'Customer Names'!$A:$A, 'Customer Names'!B:B, "No Data")</f>
        <v>Brady</v>
      </c>
      <c r="C2104" s="28">
        <f t="array" ref="C2104">_xlfn.XLOOKUP($A2104, 'Medical Examinations'!$A:$A, 'Medical Examinations'!B:B, "No Data")</f>
        <v>28.88</v>
      </c>
      <c r="D2104" s="28">
        <f t="array" ref="D2104">_xlfn.XLOOKUP($A2104, 'Medical Examinations'!$A:$A, 'Medical Examinations'!C:C, "No Data")</f>
        <v>6.09</v>
      </c>
      <c r="E2104" s="28" t="str">
        <f t="array" ref="E2104">_xlfn.XLOOKUP($A2104, 'Medical Examinations'!$A:$A, 'Medical Examinations'!D:D, "No Data")</f>
        <v>yes</v>
      </c>
      <c r="F2104" s="28" t="str">
        <f t="array" ref="F2104">_xlfn.XLOOKUP($A2104, 'Medical Examinations'!$A:$A, 'Medical Examinations'!E:E, "No Data")</f>
        <v>yes</v>
      </c>
      <c r="G2104" s="28" t="str">
        <f t="array" ref="G2104">_xlfn.XLOOKUP($A2104, 'Medical Examinations'!$A:$A, 'Medical Examinations'!F:F, "No Data")</f>
        <v>No</v>
      </c>
      <c r="H2104" s="28">
        <f t="array" ref="H2104">_xlfn.XLOOKUP($A2104, 'Medical Examinations'!$A:$A, 'Medical Examinations'!G:G, "No Data")</f>
        <v>2</v>
      </c>
      <c r="I2104" s="28" t="str">
        <f t="array" ref="I2104">_xlfn.XLOOKUP($A2104, 'Medical Examinations'!$A:$A, 'Medical Examinations'!H:H, "No Data")</f>
        <v>No</v>
      </c>
      <c r="J2104" s="28" t="str">
        <f t="array" ref="J2104">_xlfn.XLOOKUP($A2104, 'Medical Examinations'!$A:$A, 'Medical Examinations'!I:I, "No Data")</f>
        <v>Overweight</v>
      </c>
      <c r="K2104" s="28" t="str">
        <f t="array" ref="K2104">_xlfn.XLOOKUP($A2104, 'Hospitalisation Details'!$A:$A, 'Hospitalisation Details'!I:I, "No Data")</f>
        <v>tier - 2</v>
      </c>
      <c r="L2104" s="28" t="str">
        <f t="array" ref="L2104">_xlfn.XLOOKUP($A2104, 'Hospitalisation Details'!$A:$A, 'Hospitalisation Details'!J:J, "No Data")</f>
        <v>R1018</v>
      </c>
      <c r="M2104" s="28" t="str">
        <f t="array" ref="M2104">_xlfn.XLOOKUP($A2104, 'Hospitalisation Details'!$A:$A, 'Hospitalisation Details'!E:E, "No Data")</f>
        <v>30/06/00</v>
      </c>
      <c r="N2104" s="28">
        <f t="array" ref="N2104">_xlfn.XLOOKUP($A2104, 'Hospitalisation Details'!$A:$A, 'Hospitalisation Details'!K:K, "No Data")</f>
        <v>22</v>
      </c>
      <c r="O2104" s="33">
        <f t="array" ref="O2104">_xlfn.XLOOKUP($A2104, 'Hospitalisation Details'!$A:$A, 'Hospitalisation Details'!G:G, "No Data")</f>
        <v>2250.84</v>
      </c>
      <c r="P2104" s="28" t="str">
        <f t="array" ref="P2104">_xlfn.XLOOKUP($A2104, 'Hospitalisation Details'!$A:$A, 'Hospitalisation Details'!H:H, "No Data")</f>
        <v>tier - 2</v>
      </c>
    </row>
    <row r="2105">
      <c r="A2105" s="25" t="s">
        <v>2112</v>
      </c>
      <c r="B2105" s="28" t="str">
        <f t="array" ref="B2105">_xlfn.XLOOKUP($A2105, 'Customer Names'!$A:$A, 'Customer Names'!B:B, "No Data")</f>
        <v>Moran</v>
      </c>
      <c r="C2105" s="28">
        <f t="array" ref="C2105">_xlfn.XLOOKUP($A2105, 'Medical Examinations'!$A:$A, 'Medical Examinations'!B:B, "No Data")</f>
        <v>25.555</v>
      </c>
      <c r="D2105" s="28">
        <f t="array" ref="D2105">_xlfn.XLOOKUP($A2105, 'Medical Examinations'!$A:$A, 'Medical Examinations'!C:C, "No Data")</f>
        <v>5.11</v>
      </c>
      <c r="E2105" s="28" t="str">
        <f t="array" ref="E2105">_xlfn.XLOOKUP($A2105, 'Medical Examinations'!$A:$A, 'Medical Examinations'!D:D, "No Data")</f>
        <v>No</v>
      </c>
      <c r="F2105" s="28" t="str">
        <f t="array" ref="F2105">_xlfn.XLOOKUP($A2105, 'Medical Examinations'!$A:$A, 'Medical Examinations'!E:E, "No Data")</f>
        <v>No</v>
      </c>
      <c r="G2105" s="28" t="str">
        <f t="array" ref="G2105">_xlfn.XLOOKUP($A2105, 'Medical Examinations'!$A:$A, 'Medical Examinations'!F:F, "No Data")</f>
        <v>Yes</v>
      </c>
      <c r="H2105" s="28">
        <f t="array" ref="H2105">_xlfn.XLOOKUP($A2105, 'Medical Examinations'!$A:$A, 'Medical Examinations'!G:G, "No Data")</f>
        <v>1</v>
      </c>
      <c r="I2105" s="28" t="str">
        <f t="array" ref="I2105">_xlfn.XLOOKUP($A2105, 'Medical Examinations'!$A:$A, 'Medical Examinations'!H:H, "No Data")</f>
        <v>No</v>
      </c>
      <c r="J2105" s="28" t="str">
        <f t="array" ref="J2105">_xlfn.XLOOKUP($A2105, 'Medical Examinations'!$A:$A, 'Medical Examinations'!I:I, "No Data")</f>
        <v>Overweight</v>
      </c>
      <c r="K2105" s="28" t="str">
        <f t="array" ref="K2105">_xlfn.XLOOKUP($A2105, 'Hospitalisation Details'!$A:$A, 'Hospitalisation Details'!I:I, "No Data")</f>
        <v>tier - 3</v>
      </c>
      <c r="L2105" s="28" t="str">
        <f t="array" ref="L2105">_xlfn.XLOOKUP($A2105, 'Hospitalisation Details'!$A:$A, 'Hospitalisation Details'!J:J, "No Data")</f>
        <v>R1012</v>
      </c>
      <c r="M2105" s="28" t="str">
        <f t="array" ref="M2105">_xlfn.XLOOKUP($A2105, 'Hospitalisation Details'!$A:$A, 'Hospitalisation Details'!E:E, "No Data")</f>
        <v>10/12/03</v>
      </c>
      <c r="N2105" s="28">
        <f t="array" ref="N2105">_xlfn.XLOOKUP($A2105, 'Hospitalisation Details'!$A:$A, 'Hospitalisation Details'!K:K, "No Data")</f>
        <v>19</v>
      </c>
      <c r="O2105" s="33">
        <f t="array" ref="O2105">_xlfn.XLOOKUP($A2105, 'Hospitalisation Details'!$A:$A, 'Hospitalisation Details'!G:G, "No Data")</f>
        <v>2221.56</v>
      </c>
      <c r="P2105" s="28" t="str">
        <f t="array" ref="P2105">_xlfn.XLOOKUP($A2105, 'Hospitalisation Details'!$A:$A, 'Hospitalisation Details'!H:H, "No Data")</f>
        <v>tier - 2</v>
      </c>
    </row>
    <row r="2106">
      <c r="A2106" s="25" t="s">
        <v>2106</v>
      </c>
      <c r="B2106" s="28" t="str">
        <f t="array" ref="B2106">_xlfn.XLOOKUP($A2106, 'Customer Names'!$A:$A, 'Customer Names'!B:B, "No Data")</f>
        <v>Strickler</v>
      </c>
      <c r="C2106" s="28">
        <f t="array" ref="C2106">_xlfn.XLOOKUP($A2106, 'Medical Examinations'!$A:$A, 'Medical Examinations'!B:B, "No Data")</f>
        <v>37.29</v>
      </c>
      <c r="D2106" s="28">
        <f t="array" ref="D2106">_xlfn.XLOOKUP($A2106, 'Medical Examinations'!$A:$A, 'Medical Examinations'!C:C, "No Data")</f>
        <v>4.46</v>
      </c>
      <c r="E2106" s="28" t="str">
        <f t="array" ref="E2106">_xlfn.XLOOKUP($A2106, 'Medical Examinations'!$A:$A, 'Medical Examinations'!D:D, "No Data")</f>
        <v>No</v>
      </c>
      <c r="F2106" s="28" t="str">
        <f t="array" ref="F2106">_xlfn.XLOOKUP($A2106, 'Medical Examinations'!$A:$A, 'Medical Examinations'!E:E, "No Data")</f>
        <v>yes</v>
      </c>
      <c r="G2106" s="28" t="str">
        <f t="array" ref="G2106">_xlfn.XLOOKUP($A2106, 'Medical Examinations'!$A:$A, 'Medical Examinations'!F:F, "No Data")</f>
        <v>No</v>
      </c>
      <c r="H2106" s="28">
        <f t="array" ref="H2106">_xlfn.XLOOKUP($A2106, 'Medical Examinations'!$A:$A, 'Medical Examinations'!G:G, "No Data")</f>
        <v>1</v>
      </c>
      <c r="I2106" s="28" t="str">
        <f t="array" ref="I2106">_xlfn.XLOOKUP($A2106, 'Medical Examinations'!$A:$A, 'Medical Examinations'!H:H, "No Data")</f>
        <v>No</v>
      </c>
      <c r="J2106" s="28" t="str">
        <f t="array" ref="J2106">_xlfn.XLOOKUP($A2106, 'Medical Examinations'!$A:$A, 'Medical Examinations'!I:I, "No Data")</f>
        <v>Obesity</v>
      </c>
      <c r="K2106" s="28" t="str">
        <f t="array" ref="K2106">_xlfn.XLOOKUP($A2106, 'Hospitalisation Details'!$A:$A, 'Hospitalisation Details'!I:I, "No Data")</f>
        <v>tier - 1</v>
      </c>
      <c r="L2106" s="28" t="str">
        <f t="array" ref="L2106">_xlfn.XLOOKUP($A2106, 'Hospitalisation Details'!$A:$A, 'Hospitalisation Details'!J:J, "No Data")</f>
        <v>R1013</v>
      </c>
      <c r="M2106" s="28" t="str">
        <f t="array" ref="M2106">_xlfn.XLOOKUP($A2106, 'Hospitalisation Details'!$A:$A, 'Hospitalisation Details'!E:E, "No Data")</f>
        <v>12/12/04</v>
      </c>
      <c r="N2106" s="28">
        <f t="array" ref="N2106">_xlfn.XLOOKUP($A2106, 'Hospitalisation Details'!$A:$A, 'Hospitalisation Details'!K:K, "No Data")</f>
        <v>18</v>
      </c>
      <c r="O2106" s="33">
        <f t="array" ref="O2106">_xlfn.XLOOKUP($A2106, 'Hospitalisation Details'!$A:$A, 'Hospitalisation Details'!G:G, "No Data")</f>
        <v>2219.45</v>
      </c>
      <c r="P2106" s="28" t="str">
        <f t="array" ref="P2106">_xlfn.XLOOKUP($A2106, 'Hospitalisation Details'!$A:$A, 'Hospitalisation Details'!H:H, "No Data")</f>
        <v>tier - 2</v>
      </c>
    </row>
    <row r="2107">
      <c r="A2107" s="25" t="s">
        <v>2101</v>
      </c>
      <c r="B2107" s="28" t="str">
        <f t="array" ref="B2107">_xlfn.XLOOKUP($A2107, 'Customer Names'!$A:$A, 'Customer Names'!B:B, "No Data")</f>
        <v>Simone</v>
      </c>
      <c r="C2107" s="28">
        <f t="array" ref="C2107">_xlfn.XLOOKUP($A2107, 'Medical Examinations'!$A:$A, 'Medical Examinations'!B:B, "No Data")</f>
        <v>40.28</v>
      </c>
      <c r="D2107" s="28">
        <f t="array" ref="D2107">_xlfn.XLOOKUP($A2107, 'Medical Examinations'!$A:$A, 'Medical Examinations'!C:C, "No Data")</f>
        <v>6.11</v>
      </c>
      <c r="E2107" s="28" t="str">
        <f t="array" ref="E2107">_xlfn.XLOOKUP($A2107, 'Medical Examinations'!$A:$A, 'Medical Examinations'!D:D, "No Data")</f>
        <v>No</v>
      </c>
      <c r="F2107" s="28" t="str">
        <f t="array" ref="F2107">_xlfn.XLOOKUP($A2107, 'Medical Examinations'!$A:$A, 'Medical Examinations'!E:E, "No Data")</f>
        <v>yes</v>
      </c>
      <c r="G2107" s="28" t="str">
        <f t="array" ref="G2107">_xlfn.XLOOKUP($A2107, 'Medical Examinations'!$A:$A, 'Medical Examinations'!F:F, "No Data")</f>
        <v>No</v>
      </c>
      <c r="H2107" s="28">
        <f t="array" ref="H2107">_xlfn.XLOOKUP($A2107, 'Medical Examinations'!$A:$A, 'Medical Examinations'!G:G, "No Data")</f>
        <v>1</v>
      </c>
      <c r="I2107" s="28" t="str">
        <f t="array" ref="I2107">_xlfn.XLOOKUP($A2107, 'Medical Examinations'!$A:$A, 'Medical Examinations'!H:H, "No Data")</f>
        <v>No</v>
      </c>
      <c r="J2107" s="28" t="str">
        <f t="array" ref="J2107">_xlfn.XLOOKUP($A2107, 'Medical Examinations'!$A:$A, 'Medical Examinations'!I:I, "No Data")</f>
        <v>Obesity</v>
      </c>
      <c r="K2107" s="28" t="str">
        <f t="array" ref="K2107">_xlfn.XLOOKUP($A2107, 'Hospitalisation Details'!$A:$A, 'Hospitalisation Details'!I:I, "No Data")</f>
        <v>tier - 1</v>
      </c>
      <c r="L2107" s="28" t="str">
        <f t="array" ref="L2107">_xlfn.XLOOKUP($A2107, 'Hospitalisation Details'!$A:$A, 'Hospitalisation Details'!J:J, "No Data")</f>
        <v>R1024</v>
      </c>
      <c r="M2107" s="28" t="str">
        <f t="array" ref="M2107">_xlfn.XLOOKUP($A2107, 'Hospitalisation Details'!$A:$A, 'Hospitalisation Details'!E:E, "No Data")</f>
        <v>25/09/04</v>
      </c>
      <c r="N2107" s="28">
        <f t="array" ref="N2107">_xlfn.XLOOKUP($A2107, 'Hospitalisation Details'!$A:$A, 'Hospitalisation Details'!K:K, "No Data")</f>
        <v>18</v>
      </c>
      <c r="O2107" s="33">
        <f t="array" ref="O2107">_xlfn.XLOOKUP($A2107, 'Hospitalisation Details'!$A:$A, 'Hospitalisation Details'!G:G, "No Data")</f>
        <v>2217.6</v>
      </c>
      <c r="P2107" s="28" t="str">
        <f t="array" ref="P2107">_xlfn.XLOOKUP($A2107, 'Hospitalisation Details'!$A:$A, 'Hospitalisation Details'!H:H, "No Data")</f>
        <v>tier - 2</v>
      </c>
    </row>
    <row r="2108">
      <c r="A2108" s="25" t="s">
        <v>2092</v>
      </c>
      <c r="B2108" s="28" t="str">
        <f t="array" ref="B2108">_xlfn.XLOOKUP($A2108, 'Customer Names'!$A:$A, 'Customer Names'!B:B, "No Data")</f>
        <v>Von Rock</v>
      </c>
      <c r="C2108" s="28">
        <f t="array" ref="C2108">_xlfn.XLOOKUP($A2108, 'Medical Examinations'!$A:$A, 'Medical Examinations'!B:B, "No Data")</f>
        <v>40.185</v>
      </c>
      <c r="D2108" s="28">
        <f t="array" ref="D2108">_xlfn.XLOOKUP($A2108, 'Medical Examinations'!$A:$A, 'Medical Examinations'!C:C, "No Data")</f>
        <v>4.66</v>
      </c>
      <c r="E2108" s="28" t="str">
        <f t="array" ref="E2108">_xlfn.XLOOKUP($A2108, 'Medical Examinations'!$A:$A, 'Medical Examinations'!D:D, "No Data")</f>
        <v>No</v>
      </c>
      <c r="F2108" s="28" t="str">
        <f t="array" ref="F2108">_xlfn.XLOOKUP($A2108, 'Medical Examinations'!$A:$A, 'Medical Examinations'!E:E, "No Data")</f>
        <v>yes</v>
      </c>
      <c r="G2108" s="28" t="str">
        <f t="array" ref="G2108">_xlfn.XLOOKUP($A2108, 'Medical Examinations'!$A:$A, 'Medical Examinations'!F:F, "No Data")</f>
        <v>No</v>
      </c>
      <c r="H2108" s="28">
        <f t="array" ref="H2108">_xlfn.XLOOKUP($A2108, 'Medical Examinations'!$A:$A, 'Medical Examinations'!G:G, "No Data")</f>
        <v>1</v>
      </c>
      <c r="I2108" s="28" t="str">
        <f t="array" ref="I2108">_xlfn.XLOOKUP($A2108, 'Medical Examinations'!$A:$A, 'Medical Examinations'!H:H, "No Data")</f>
        <v>No</v>
      </c>
      <c r="J2108" s="28" t="str">
        <f t="array" ref="J2108">_xlfn.XLOOKUP($A2108, 'Medical Examinations'!$A:$A, 'Medical Examinations'!I:I, "No Data")</f>
        <v>Obesity</v>
      </c>
      <c r="K2108" s="28" t="str">
        <f t="array" ref="K2108">_xlfn.XLOOKUP($A2108, 'Hospitalisation Details'!$A:$A, 'Hospitalisation Details'!I:I, "No Data")</f>
        <v>tier - 1</v>
      </c>
      <c r="L2108" s="28" t="str">
        <f t="array" ref="L2108">_xlfn.XLOOKUP($A2108, 'Hospitalisation Details'!$A:$A, 'Hospitalisation Details'!J:J, "No Data")</f>
        <v>R1024</v>
      </c>
      <c r="M2108" s="28" t="str">
        <f t="array" ref="M2108">_xlfn.XLOOKUP($A2108, 'Hospitalisation Details'!$A:$A, 'Hospitalisation Details'!E:E, "No Data")</f>
        <v>13/06/04</v>
      </c>
      <c r="N2108" s="28">
        <f t="array" ref="N2108">_xlfn.XLOOKUP($A2108, 'Hospitalisation Details'!$A:$A, 'Hospitalisation Details'!K:K, "No Data")</f>
        <v>18</v>
      </c>
      <c r="O2108" s="33">
        <f t="array" ref="O2108">_xlfn.XLOOKUP($A2108, 'Hospitalisation Details'!$A:$A, 'Hospitalisation Details'!G:G, "No Data")</f>
        <v>2217.47</v>
      </c>
      <c r="P2108" s="28" t="str">
        <f t="array" ref="P2108">_xlfn.XLOOKUP($A2108, 'Hospitalisation Details'!$A:$A, 'Hospitalisation Details'!H:H, "No Data")</f>
        <v>tier - 2</v>
      </c>
    </row>
    <row r="2109">
      <c r="A2109" s="25" t="s">
        <v>2088</v>
      </c>
      <c r="B2109" s="28" t="str">
        <f t="array" ref="B2109">_xlfn.XLOOKUP($A2109, 'Customer Names'!$A:$A, 'Customer Names'!B:B, "No Data")</f>
        <v>Woodard</v>
      </c>
      <c r="C2109" s="28">
        <f t="array" ref="C2109">_xlfn.XLOOKUP($A2109, 'Medical Examinations'!$A:$A, 'Medical Examinations'!B:B, "No Data")</f>
        <v>23.57</v>
      </c>
      <c r="D2109" s="28">
        <f t="array" ref="D2109">_xlfn.XLOOKUP($A2109, 'Medical Examinations'!$A:$A, 'Medical Examinations'!C:C, "No Data")</f>
        <v>6.14</v>
      </c>
      <c r="E2109" s="28" t="str">
        <f t="array" ref="E2109">_xlfn.XLOOKUP($A2109, 'Medical Examinations'!$A:$A, 'Medical Examinations'!D:D, "No Data")</f>
        <v>No</v>
      </c>
      <c r="F2109" s="28" t="str">
        <f t="array" ref="F2109">_xlfn.XLOOKUP($A2109, 'Medical Examinations'!$A:$A, 'Medical Examinations'!E:E, "No Data")</f>
        <v>No</v>
      </c>
      <c r="G2109" s="28" t="str">
        <f t="array" ref="G2109">_xlfn.XLOOKUP($A2109, 'Medical Examinations'!$A:$A, 'Medical Examinations'!F:F, "No Data")</f>
        <v>No</v>
      </c>
      <c r="H2109" s="28">
        <f t="array" ref="H2109">_xlfn.XLOOKUP($A2109, 'Medical Examinations'!$A:$A, 'Medical Examinations'!G:G, "No Data")</f>
        <v>0</v>
      </c>
      <c r="I2109" s="28" t="str">
        <f t="array" ref="I2109">_xlfn.XLOOKUP($A2109, 'Medical Examinations'!$A:$A, 'Medical Examinations'!H:H, "No Data")</f>
        <v>No</v>
      </c>
      <c r="J2109" s="28" t="str">
        <f t="array" ref="J2109">_xlfn.XLOOKUP($A2109, 'Medical Examinations'!$A:$A, 'Medical Examinations'!I:I, "No Data")</f>
        <v>Normal Weight</v>
      </c>
      <c r="K2109" s="28" t="str">
        <f t="array" ref="K2109">_xlfn.XLOOKUP($A2109, 'Hospitalisation Details'!$A:$A, 'Hospitalisation Details'!I:I, "No Data")</f>
        <v>tier - 2</v>
      </c>
      <c r="L2109" s="28" t="str">
        <f t="array" ref="L2109">_xlfn.XLOOKUP($A2109, 'Hospitalisation Details'!$A:$A, 'Hospitalisation Details'!J:J, "No Data")</f>
        <v>R1013</v>
      </c>
      <c r="M2109" s="28" t="str">
        <f t="array" ref="M2109">_xlfn.XLOOKUP($A2109, 'Hospitalisation Details'!$A:$A, 'Hospitalisation Details'!E:E, "No Data")</f>
        <v>17/11/94</v>
      </c>
      <c r="N2109" s="28">
        <f t="array" ref="N2109">_xlfn.XLOOKUP($A2109, 'Hospitalisation Details'!$A:$A, 'Hospitalisation Details'!K:K, "No Data")</f>
        <v>28</v>
      </c>
      <c r="O2109" s="33">
        <f t="array" ref="O2109">_xlfn.XLOOKUP($A2109, 'Hospitalisation Details'!$A:$A, 'Hospitalisation Details'!G:G, "No Data")</f>
        <v>2213.21</v>
      </c>
      <c r="P2109" s="28" t="str">
        <f t="array" ref="P2109">_xlfn.XLOOKUP($A2109, 'Hospitalisation Details'!$A:$A, 'Hospitalisation Details'!H:H, "No Data")</f>
        <v>tier - 2</v>
      </c>
    </row>
    <row r="2110">
      <c r="A2110" s="25" t="s">
        <v>2083</v>
      </c>
      <c r="B2110" s="28" t="str">
        <f t="array" ref="B2110">_xlfn.XLOOKUP($A2110, 'Customer Names'!$A:$A, 'Customer Names'!B:B, "No Data")</f>
        <v>Li</v>
      </c>
      <c r="C2110" s="28">
        <f t="array" ref="C2110">_xlfn.XLOOKUP($A2110, 'Medical Examinations'!$A:$A, 'Medical Examinations'!B:B, "No Data")</f>
        <v>35.625</v>
      </c>
      <c r="D2110" s="28">
        <f t="array" ref="D2110">_xlfn.XLOOKUP($A2110, 'Medical Examinations'!$A:$A, 'Medical Examinations'!C:C, "No Data")</f>
        <v>6.21</v>
      </c>
      <c r="E2110" s="28" t="str">
        <f t="array" ref="E2110">_xlfn.XLOOKUP($A2110, 'Medical Examinations'!$A:$A, 'Medical Examinations'!D:D, "No Data")</f>
        <v>No</v>
      </c>
      <c r="F2110" s="28" t="str">
        <f t="array" ref="F2110">_xlfn.XLOOKUP($A2110, 'Medical Examinations'!$A:$A, 'Medical Examinations'!E:E, "No Data")</f>
        <v>yes</v>
      </c>
      <c r="G2110" s="28" t="str">
        <f t="array" ref="G2110">_xlfn.XLOOKUP($A2110, 'Medical Examinations'!$A:$A, 'Medical Examinations'!F:F, "No Data")</f>
        <v>No</v>
      </c>
      <c r="H2110" s="28">
        <f t="array" ref="H2110">_xlfn.XLOOKUP($A2110, 'Medical Examinations'!$A:$A, 'Medical Examinations'!G:G, "No Data")</f>
        <v>1</v>
      </c>
      <c r="I2110" s="28" t="str">
        <f t="array" ref="I2110">_xlfn.XLOOKUP($A2110, 'Medical Examinations'!$A:$A, 'Medical Examinations'!H:H, "No Data")</f>
        <v>No</v>
      </c>
      <c r="J2110" s="28" t="str">
        <f t="array" ref="J2110">_xlfn.XLOOKUP($A2110, 'Medical Examinations'!$A:$A, 'Medical Examinations'!I:I, "No Data")</f>
        <v>Obesity</v>
      </c>
      <c r="K2110" s="28" t="str">
        <f t="array" ref="K2110">_xlfn.XLOOKUP($A2110, 'Hospitalisation Details'!$A:$A, 'Hospitalisation Details'!I:I, "No Data")</f>
        <v>tier - 2</v>
      </c>
      <c r="L2110" s="28" t="str">
        <f t="array" ref="L2110">_xlfn.XLOOKUP($A2110, 'Hospitalisation Details'!$A:$A, 'Hospitalisation Details'!J:J, "No Data")</f>
        <v>R1024</v>
      </c>
      <c r="M2110" s="28" t="str">
        <f t="array" ref="M2110">_xlfn.XLOOKUP($A2110, 'Hospitalisation Details'!$A:$A, 'Hospitalisation Details'!E:E, "No Data")</f>
        <v>27/07/04</v>
      </c>
      <c r="N2110" s="28">
        <f t="array" ref="N2110">_xlfn.XLOOKUP($A2110, 'Hospitalisation Details'!$A:$A, 'Hospitalisation Details'!K:K, "No Data")</f>
        <v>18</v>
      </c>
      <c r="O2110" s="33">
        <f t="array" ref="O2110">_xlfn.XLOOKUP($A2110, 'Hospitalisation Details'!$A:$A, 'Hospitalisation Details'!G:G, "No Data")</f>
        <v>2211.13</v>
      </c>
      <c r="P2110" s="28" t="str">
        <f t="array" ref="P2110">_xlfn.XLOOKUP($A2110, 'Hospitalisation Details'!$A:$A, 'Hospitalisation Details'!H:H, "No Data")</f>
        <v>tier - 2</v>
      </c>
    </row>
    <row r="2111">
      <c r="A2111" s="25" t="s">
        <v>2076</v>
      </c>
      <c r="B2111" s="28" t="str">
        <f t="array" ref="B2111">_xlfn.XLOOKUP($A2111, 'Customer Names'!$A:$A, 'Customer Names'!B:B, "No Data")</f>
        <v>Sinda</v>
      </c>
      <c r="C2111" s="28">
        <f t="array" ref="C2111">_xlfn.XLOOKUP($A2111, 'Medical Examinations'!$A:$A, 'Medical Examinations'!B:B, "No Data")</f>
        <v>33.155</v>
      </c>
      <c r="D2111" s="28">
        <f t="array" ref="D2111">_xlfn.XLOOKUP($A2111, 'Medical Examinations'!$A:$A, 'Medical Examinations'!C:C, "No Data")</f>
        <v>4.6</v>
      </c>
      <c r="E2111" s="28" t="str">
        <f t="array" ref="E2111">_xlfn.XLOOKUP($A2111, 'Medical Examinations'!$A:$A, 'Medical Examinations'!D:D, "No Data")</f>
        <v>No</v>
      </c>
      <c r="F2111" s="28" t="str">
        <f t="array" ref="F2111">_xlfn.XLOOKUP($A2111, 'Medical Examinations'!$A:$A, 'Medical Examinations'!E:E, "No Data")</f>
        <v>yes</v>
      </c>
      <c r="G2111" s="28" t="str">
        <f t="array" ref="G2111">_xlfn.XLOOKUP($A2111, 'Medical Examinations'!$A:$A, 'Medical Examinations'!F:F, "No Data")</f>
        <v>No</v>
      </c>
      <c r="H2111" s="28">
        <f t="array" ref="H2111">_xlfn.XLOOKUP($A2111, 'Medical Examinations'!$A:$A, 'Medical Examinations'!G:G, "No Data")</f>
        <v>1</v>
      </c>
      <c r="I2111" s="28" t="str">
        <f t="array" ref="I2111">_xlfn.XLOOKUP($A2111, 'Medical Examinations'!$A:$A, 'Medical Examinations'!H:H, "No Data")</f>
        <v>No</v>
      </c>
      <c r="J2111" s="28" t="str">
        <f t="array" ref="J2111">_xlfn.XLOOKUP($A2111, 'Medical Examinations'!$A:$A, 'Medical Examinations'!I:I, "No Data")</f>
        <v>Obesity</v>
      </c>
      <c r="K2111" s="28" t="str">
        <f t="array" ref="K2111">_xlfn.XLOOKUP($A2111, 'Hospitalisation Details'!$A:$A, 'Hospitalisation Details'!I:I, "No Data")</f>
        <v>tier - 2</v>
      </c>
      <c r="L2111" s="28" t="str">
        <f t="array" ref="L2111">_xlfn.XLOOKUP($A2111, 'Hospitalisation Details'!$A:$A, 'Hospitalisation Details'!J:J, "No Data")</f>
        <v>R1024</v>
      </c>
      <c r="M2111" s="28" t="str">
        <f t="array" ref="M2111">_xlfn.XLOOKUP($A2111, 'Hospitalisation Details'!$A:$A, 'Hospitalisation Details'!E:E, "No Data")</f>
        <v>06/08/04</v>
      </c>
      <c r="N2111" s="28">
        <f t="array" ref="N2111">_xlfn.XLOOKUP($A2111, 'Hospitalisation Details'!$A:$A, 'Hospitalisation Details'!K:K, "No Data")</f>
        <v>18</v>
      </c>
      <c r="O2111" s="33">
        <f t="array" ref="O2111">_xlfn.XLOOKUP($A2111, 'Hospitalisation Details'!$A:$A, 'Hospitalisation Details'!G:G, "No Data")</f>
        <v>2207.7</v>
      </c>
      <c r="P2111" s="28" t="str">
        <f t="array" ref="P2111">_xlfn.XLOOKUP($A2111, 'Hospitalisation Details'!$A:$A, 'Hospitalisation Details'!H:H, "No Data")</f>
        <v>tier - 2</v>
      </c>
    </row>
    <row r="2112">
      <c r="A2112" s="25" t="s">
        <v>2069</v>
      </c>
      <c r="B2112" s="28" t="str">
        <f t="array" ref="B2112">_xlfn.XLOOKUP($A2112, 'Customer Names'!$A:$A, 'Customer Names'!B:B, "No Data")</f>
        <v>Rydland</v>
      </c>
      <c r="C2112" s="28">
        <f t="array" ref="C2112">_xlfn.XLOOKUP($A2112, 'Medical Examinations'!$A:$A, 'Medical Examinations'!B:B, "No Data")</f>
        <v>31.92</v>
      </c>
      <c r="D2112" s="28">
        <f t="array" ref="D2112">_xlfn.XLOOKUP($A2112, 'Medical Examinations'!$A:$A, 'Medical Examinations'!C:C, "No Data")</f>
        <v>5.04</v>
      </c>
      <c r="E2112" s="28" t="str">
        <f t="array" ref="E2112">_xlfn.XLOOKUP($A2112, 'Medical Examinations'!$A:$A, 'Medical Examinations'!D:D, "No Data")</f>
        <v>No</v>
      </c>
      <c r="F2112" s="28" t="str">
        <f t="array" ref="F2112">_xlfn.XLOOKUP($A2112, 'Medical Examinations'!$A:$A, 'Medical Examinations'!E:E, "No Data")</f>
        <v>yes</v>
      </c>
      <c r="G2112" s="28" t="str">
        <f t="array" ref="G2112">_xlfn.XLOOKUP($A2112, 'Medical Examinations'!$A:$A, 'Medical Examinations'!F:F, "No Data")</f>
        <v>No</v>
      </c>
      <c r="H2112" s="28">
        <f t="array" ref="H2112">_xlfn.XLOOKUP($A2112, 'Medical Examinations'!$A:$A, 'Medical Examinations'!G:G, "No Data")</f>
        <v>1</v>
      </c>
      <c r="I2112" s="28" t="str">
        <f t="array" ref="I2112">_xlfn.XLOOKUP($A2112, 'Medical Examinations'!$A:$A, 'Medical Examinations'!H:H, "No Data")</f>
        <v>No</v>
      </c>
      <c r="J2112" s="28" t="str">
        <f t="array" ref="J2112">_xlfn.XLOOKUP($A2112, 'Medical Examinations'!$A:$A, 'Medical Examinations'!I:I, "No Data")</f>
        <v>Obesity</v>
      </c>
      <c r="K2112" s="28" t="str">
        <f t="array" ref="K2112">_xlfn.XLOOKUP($A2112, 'Hospitalisation Details'!$A:$A, 'Hospitalisation Details'!I:I, "No Data")</f>
        <v>tier - 3</v>
      </c>
      <c r="L2112" s="28" t="str">
        <f t="array" ref="L2112">_xlfn.XLOOKUP($A2112, 'Hospitalisation Details'!$A:$A, 'Hospitalisation Details'!J:J, "No Data")</f>
        <v>R1024</v>
      </c>
      <c r="M2112" s="28" t="str">
        <f t="array" ref="M2112">_xlfn.XLOOKUP($A2112, 'Hospitalisation Details'!$A:$A, 'Hospitalisation Details'!E:E, "No Data")</f>
        <v>13/11/04</v>
      </c>
      <c r="N2112" s="28">
        <f t="array" ref="N2112">_xlfn.XLOOKUP($A2112, 'Hospitalisation Details'!$A:$A, 'Hospitalisation Details'!K:K, "No Data")</f>
        <v>18</v>
      </c>
      <c r="O2112" s="33">
        <f t="array" ref="O2112">_xlfn.XLOOKUP($A2112, 'Hospitalisation Details'!$A:$A, 'Hospitalisation Details'!G:G, "No Data")</f>
        <v>2205.98</v>
      </c>
      <c r="P2112" s="28" t="str">
        <f t="array" ref="P2112">_xlfn.XLOOKUP($A2112, 'Hospitalisation Details'!$A:$A, 'Hospitalisation Details'!H:H, "No Data")</f>
        <v>tier - 2</v>
      </c>
    </row>
    <row r="2113">
      <c r="A2113" s="25" t="s">
        <v>2059</v>
      </c>
      <c r="B2113" s="28" t="str">
        <f t="array" ref="B2113">_xlfn.XLOOKUP($A2113, 'Customer Names'!$A:$A, 'Customer Names'!B:B, "No Data")</f>
        <v>Vespa</v>
      </c>
      <c r="C2113" s="28">
        <f t="array" ref="C2113">_xlfn.XLOOKUP($A2113, 'Medical Examinations'!$A:$A, 'Medical Examinations'!B:B, "No Data")</f>
        <v>30.305</v>
      </c>
      <c r="D2113" s="28">
        <f t="array" ref="D2113">_xlfn.XLOOKUP($A2113, 'Medical Examinations'!$A:$A, 'Medical Examinations'!C:C, "No Data")</f>
        <v>5.08</v>
      </c>
      <c r="E2113" s="28" t="str">
        <f t="array" ref="E2113">_xlfn.XLOOKUP($A2113, 'Medical Examinations'!$A:$A, 'Medical Examinations'!D:D, "No Data")</f>
        <v>No</v>
      </c>
      <c r="F2113" s="28" t="str">
        <f t="array" ref="F2113">_xlfn.XLOOKUP($A2113, 'Medical Examinations'!$A:$A, 'Medical Examinations'!E:E, "No Data")</f>
        <v>yes</v>
      </c>
      <c r="G2113" s="28" t="str">
        <f t="array" ref="G2113">_xlfn.XLOOKUP($A2113, 'Medical Examinations'!$A:$A, 'Medical Examinations'!F:F, "No Data")</f>
        <v>No</v>
      </c>
      <c r="H2113" s="28">
        <f t="array" ref="H2113">_xlfn.XLOOKUP($A2113, 'Medical Examinations'!$A:$A, 'Medical Examinations'!G:G, "No Data")</f>
        <v>1</v>
      </c>
      <c r="I2113" s="28" t="str">
        <f t="array" ref="I2113">_xlfn.XLOOKUP($A2113, 'Medical Examinations'!$A:$A, 'Medical Examinations'!H:H, "No Data")</f>
        <v>No</v>
      </c>
      <c r="J2113" s="28" t="str">
        <f t="array" ref="J2113">_xlfn.XLOOKUP($A2113, 'Medical Examinations'!$A:$A, 'Medical Examinations'!I:I, "No Data")</f>
        <v>Obesity</v>
      </c>
      <c r="K2113" s="28" t="str">
        <f t="array" ref="K2113">_xlfn.XLOOKUP($A2113, 'Hospitalisation Details'!$A:$A, 'Hospitalisation Details'!I:I, "No Data")</f>
        <v>tier - 2</v>
      </c>
      <c r="L2113" s="28" t="str">
        <f t="array" ref="L2113">_xlfn.XLOOKUP($A2113, 'Hospitalisation Details'!$A:$A, 'Hospitalisation Details'!J:J, "No Data")</f>
        <v>R1024</v>
      </c>
      <c r="M2113" s="28" t="str">
        <f t="array" ref="M2113">_xlfn.XLOOKUP($A2113, 'Hospitalisation Details'!$A:$A, 'Hospitalisation Details'!E:E, "No Data")</f>
        <v>28/10/04</v>
      </c>
      <c r="N2113" s="28">
        <f t="array" ref="N2113">_xlfn.XLOOKUP($A2113, 'Hospitalisation Details'!$A:$A, 'Hospitalisation Details'!K:K, "No Data")</f>
        <v>18</v>
      </c>
      <c r="O2113" s="33">
        <f t="array" ref="O2113">_xlfn.XLOOKUP($A2113, 'Hospitalisation Details'!$A:$A, 'Hospitalisation Details'!G:G, "No Data")</f>
        <v>2203.74</v>
      </c>
      <c r="P2113" s="28" t="str">
        <f t="array" ref="P2113">_xlfn.XLOOKUP($A2113, 'Hospitalisation Details'!$A:$A, 'Hospitalisation Details'!H:H, "No Data")</f>
        <v>tier - 2</v>
      </c>
    </row>
    <row r="2114">
      <c r="A2114" s="25" t="s">
        <v>2051</v>
      </c>
      <c r="B2114" s="28" t="str">
        <f t="array" ref="B2114">_xlfn.XLOOKUP($A2114, 'Customer Names'!$A:$A, 'Customer Names'!B:B, "No Data")</f>
        <v>Meadows</v>
      </c>
      <c r="C2114" s="28">
        <f t="array" ref="C2114">_xlfn.XLOOKUP($A2114, 'Medical Examinations'!$A:$A, 'Medical Examinations'!B:B, "No Data")</f>
        <v>30.115</v>
      </c>
      <c r="D2114" s="28">
        <f t="array" ref="D2114">_xlfn.XLOOKUP($A2114, 'Medical Examinations'!$A:$A, 'Medical Examinations'!C:C, "No Data")</f>
        <v>4.38</v>
      </c>
      <c r="E2114" s="28" t="str">
        <f t="array" ref="E2114">_xlfn.XLOOKUP($A2114, 'Medical Examinations'!$A:$A, 'Medical Examinations'!D:D, "No Data")</f>
        <v>No</v>
      </c>
      <c r="F2114" s="28" t="str">
        <f t="array" ref="F2114">_xlfn.XLOOKUP($A2114, 'Medical Examinations'!$A:$A, 'Medical Examinations'!E:E, "No Data")</f>
        <v>yes</v>
      </c>
      <c r="G2114" s="28" t="str">
        <f t="array" ref="G2114">_xlfn.XLOOKUP($A2114, 'Medical Examinations'!$A:$A, 'Medical Examinations'!F:F, "No Data")</f>
        <v>No</v>
      </c>
      <c r="H2114" s="28">
        <f t="array" ref="H2114">_xlfn.XLOOKUP($A2114, 'Medical Examinations'!$A:$A, 'Medical Examinations'!G:G, "No Data")</f>
        <v>1</v>
      </c>
      <c r="I2114" s="28" t="str">
        <f t="array" ref="I2114">_xlfn.XLOOKUP($A2114, 'Medical Examinations'!$A:$A, 'Medical Examinations'!H:H, "No Data")</f>
        <v>No</v>
      </c>
      <c r="J2114" s="28" t="str">
        <f t="array" ref="J2114">_xlfn.XLOOKUP($A2114, 'Medical Examinations'!$A:$A, 'Medical Examinations'!I:I, "No Data")</f>
        <v>Obesity</v>
      </c>
      <c r="K2114" s="28" t="str">
        <f t="array" ref="K2114">_xlfn.XLOOKUP($A2114, 'Hospitalisation Details'!$A:$A, 'Hospitalisation Details'!I:I, "No Data")</f>
        <v>tier - 2</v>
      </c>
      <c r="L2114" s="28" t="str">
        <f t="array" ref="L2114">_xlfn.XLOOKUP($A2114, 'Hospitalisation Details'!$A:$A, 'Hospitalisation Details'!J:J, "No Data")</f>
        <v>R1024</v>
      </c>
      <c r="M2114" s="28" t="str">
        <f t="array" ref="M2114">_xlfn.XLOOKUP($A2114, 'Hospitalisation Details'!$A:$A, 'Hospitalisation Details'!E:E, "No Data")</f>
        <v>06/08/04</v>
      </c>
      <c r="N2114" s="28">
        <f t="array" ref="N2114">_xlfn.XLOOKUP($A2114, 'Hospitalisation Details'!$A:$A, 'Hospitalisation Details'!K:K, "No Data")</f>
        <v>18</v>
      </c>
      <c r="O2114" s="33">
        <f t="array" ref="O2114">_xlfn.XLOOKUP($A2114, 'Hospitalisation Details'!$A:$A, 'Hospitalisation Details'!G:G, "No Data")</f>
        <v>2203.47</v>
      </c>
      <c r="P2114" s="28" t="str">
        <f t="array" ref="P2114">_xlfn.XLOOKUP($A2114, 'Hospitalisation Details'!$A:$A, 'Hospitalisation Details'!H:H, "No Data")</f>
        <v>tier - 2</v>
      </c>
    </row>
    <row r="2115">
      <c r="A2115" s="25" t="s">
        <v>2044</v>
      </c>
      <c r="B2115" s="28" t="str">
        <f t="array" ref="B2115">_xlfn.XLOOKUP($A2115, 'Customer Names'!$A:$A, 'Customer Names'!B:B, "No Data")</f>
        <v>Toppen</v>
      </c>
      <c r="C2115" s="28">
        <f t="array" ref="C2115">_xlfn.XLOOKUP($A2115, 'Medical Examinations'!$A:$A, 'Medical Examinations'!B:B, "No Data")</f>
        <v>24.09</v>
      </c>
      <c r="D2115" s="28">
        <f t="array" ref="D2115">_xlfn.XLOOKUP($A2115, 'Medical Examinations'!$A:$A, 'Medical Examinations'!C:C, "No Data")</f>
        <v>4.79</v>
      </c>
      <c r="E2115" s="28" t="str">
        <f t="array" ref="E2115">_xlfn.XLOOKUP($A2115, 'Medical Examinations'!$A:$A, 'Medical Examinations'!D:D, "No Data")</f>
        <v>No</v>
      </c>
      <c r="F2115" s="28" t="str">
        <f t="array" ref="F2115">_xlfn.XLOOKUP($A2115, 'Medical Examinations'!$A:$A, 'Medical Examinations'!E:E, "No Data")</f>
        <v>yes</v>
      </c>
      <c r="G2115" s="28" t="str">
        <f t="array" ref="G2115">_xlfn.XLOOKUP($A2115, 'Medical Examinations'!$A:$A, 'Medical Examinations'!F:F, "No Data")</f>
        <v>No</v>
      </c>
      <c r="H2115" s="28">
        <f t="array" ref="H2115">_xlfn.XLOOKUP($A2115, 'Medical Examinations'!$A:$A, 'Medical Examinations'!G:G, "No Data")</f>
        <v>1</v>
      </c>
      <c r="I2115" s="28" t="str">
        <f t="array" ref="I2115">_xlfn.XLOOKUP($A2115, 'Medical Examinations'!$A:$A, 'Medical Examinations'!H:H, "No Data")</f>
        <v>No</v>
      </c>
      <c r="J2115" s="28" t="str">
        <f t="array" ref="J2115">_xlfn.XLOOKUP($A2115, 'Medical Examinations'!$A:$A, 'Medical Examinations'!I:I, "No Data")</f>
        <v>Normal Weight</v>
      </c>
      <c r="K2115" s="28" t="str">
        <f t="array" ref="K2115">_xlfn.XLOOKUP($A2115, 'Hospitalisation Details'!$A:$A, 'Hospitalisation Details'!I:I, "No Data")</f>
        <v>tier - 3</v>
      </c>
      <c r="L2115" s="28" t="str">
        <f t="array" ref="L2115">_xlfn.XLOOKUP($A2115, 'Hospitalisation Details'!$A:$A, 'Hospitalisation Details'!J:J, "No Data")</f>
        <v>R1013</v>
      </c>
      <c r="M2115" s="28" t="str">
        <f t="array" ref="M2115">_xlfn.XLOOKUP($A2115, 'Hospitalisation Details'!$A:$A, 'Hospitalisation Details'!E:E, "No Data")</f>
        <v>27/07/04</v>
      </c>
      <c r="N2115" s="28">
        <f t="array" ref="N2115">_xlfn.XLOOKUP($A2115, 'Hospitalisation Details'!$A:$A, 'Hospitalisation Details'!K:K, "No Data")</f>
        <v>18</v>
      </c>
      <c r="O2115" s="33">
        <f t="array" ref="O2115">_xlfn.XLOOKUP($A2115, 'Hospitalisation Details'!$A:$A, 'Hospitalisation Details'!G:G, "No Data")</f>
        <v>2201.1</v>
      </c>
      <c r="P2115" s="28" t="str">
        <f t="array" ref="P2115">_xlfn.XLOOKUP($A2115, 'Hospitalisation Details'!$A:$A, 'Hospitalisation Details'!H:H, "No Data")</f>
        <v>tier - 2</v>
      </c>
    </row>
    <row r="2116">
      <c r="A2116" s="25" t="s">
        <v>2035</v>
      </c>
      <c r="B2116" s="28" t="str">
        <f t="array" ref="B2116">_xlfn.XLOOKUP($A2116, 'Customer Names'!$A:$A, 'Customer Names'!B:B, "No Data")</f>
        <v>Ermer</v>
      </c>
      <c r="C2116" s="28">
        <f t="array" ref="C2116">_xlfn.XLOOKUP($A2116, 'Medical Examinations'!$A:$A, 'Medical Examinations'!B:B, "No Data")</f>
        <v>28.215</v>
      </c>
      <c r="D2116" s="28">
        <f t="array" ref="D2116">_xlfn.XLOOKUP($A2116, 'Medical Examinations'!$A:$A, 'Medical Examinations'!C:C, "No Data")</f>
        <v>4.21</v>
      </c>
      <c r="E2116" s="28" t="str">
        <f t="array" ref="E2116">_xlfn.XLOOKUP($A2116, 'Medical Examinations'!$A:$A, 'Medical Examinations'!D:D, "No Data")</f>
        <v>No</v>
      </c>
      <c r="F2116" s="28" t="str">
        <f t="array" ref="F2116">_xlfn.XLOOKUP($A2116, 'Medical Examinations'!$A:$A, 'Medical Examinations'!E:E, "No Data")</f>
        <v>yes</v>
      </c>
      <c r="G2116" s="28" t="str">
        <f t="array" ref="G2116">_xlfn.XLOOKUP($A2116, 'Medical Examinations'!$A:$A, 'Medical Examinations'!F:F, "No Data")</f>
        <v>No</v>
      </c>
      <c r="H2116" s="28">
        <f t="array" ref="H2116">_xlfn.XLOOKUP($A2116, 'Medical Examinations'!$A:$A, 'Medical Examinations'!G:G, "No Data")</f>
        <v>1</v>
      </c>
      <c r="I2116" s="28" t="str">
        <f t="array" ref="I2116">_xlfn.XLOOKUP($A2116, 'Medical Examinations'!$A:$A, 'Medical Examinations'!H:H, "No Data")</f>
        <v>No</v>
      </c>
      <c r="J2116" s="28" t="str">
        <f t="array" ref="J2116">_xlfn.XLOOKUP($A2116, 'Medical Examinations'!$A:$A, 'Medical Examinations'!I:I, "No Data")</f>
        <v>Overweight</v>
      </c>
      <c r="K2116" s="28" t="str">
        <f t="array" ref="K2116">_xlfn.XLOOKUP($A2116, 'Hospitalisation Details'!$A:$A, 'Hospitalisation Details'!I:I, "No Data")</f>
        <v>tier - 2</v>
      </c>
      <c r="L2116" s="28" t="str">
        <f t="array" ref="L2116">_xlfn.XLOOKUP($A2116, 'Hospitalisation Details'!$A:$A, 'Hospitalisation Details'!J:J, "No Data")</f>
        <v>R1024</v>
      </c>
      <c r="M2116" s="28" t="str">
        <f t="array" ref="M2116">_xlfn.XLOOKUP($A2116, 'Hospitalisation Details'!$A:$A, 'Hospitalisation Details'!E:E, "No Data")</f>
        <v>12/09/04</v>
      </c>
      <c r="N2116" s="28">
        <f t="array" ref="N2116">_xlfn.XLOOKUP($A2116, 'Hospitalisation Details'!$A:$A, 'Hospitalisation Details'!K:K, "No Data")</f>
        <v>18</v>
      </c>
      <c r="O2116" s="33">
        <f t="array" ref="O2116">_xlfn.XLOOKUP($A2116, 'Hospitalisation Details'!$A:$A, 'Hospitalisation Details'!G:G, "No Data")</f>
        <v>2200.83</v>
      </c>
      <c r="P2116" s="28" t="str">
        <f t="array" ref="P2116">_xlfn.XLOOKUP($A2116, 'Hospitalisation Details'!$A:$A, 'Hospitalisation Details'!H:H, "No Data")</f>
        <v>tier - 2</v>
      </c>
    </row>
    <row r="2117">
      <c r="A2117" s="25" t="s">
        <v>2026</v>
      </c>
      <c r="B2117" s="28" t="str">
        <f t="array" ref="B2117">_xlfn.XLOOKUP($A2117, 'Customer Names'!$A:$A, 'Customer Names'!B:B, "No Data")</f>
        <v>Dionne</v>
      </c>
      <c r="C2117" s="28">
        <f t="array" ref="C2117">_xlfn.XLOOKUP($A2117, 'Medical Examinations'!$A:$A, 'Medical Examinations'!B:B, "No Data")</f>
        <v>26.315</v>
      </c>
      <c r="D2117" s="28">
        <f t="array" ref="D2117">_xlfn.XLOOKUP($A2117, 'Medical Examinations'!$A:$A, 'Medical Examinations'!C:C, "No Data")</f>
        <v>5.47</v>
      </c>
      <c r="E2117" s="28" t="str">
        <f t="array" ref="E2117">_xlfn.XLOOKUP($A2117, 'Medical Examinations'!$A:$A, 'Medical Examinations'!D:D, "No Data")</f>
        <v>No</v>
      </c>
      <c r="F2117" s="28" t="str">
        <f t="array" ref="F2117">_xlfn.XLOOKUP($A2117, 'Medical Examinations'!$A:$A, 'Medical Examinations'!E:E, "No Data")</f>
        <v>yes</v>
      </c>
      <c r="G2117" s="28" t="str">
        <f t="array" ref="G2117">_xlfn.XLOOKUP($A2117, 'Medical Examinations'!$A:$A, 'Medical Examinations'!F:F, "No Data")</f>
        <v>No</v>
      </c>
      <c r="H2117" s="28">
        <f t="array" ref="H2117">_xlfn.XLOOKUP($A2117, 'Medical Examinations'!$A:$A, 'Medical Examinations'!G:G, "No Data")</f>
        <v>1</v>
      </c>
      <c r="I2117" s="28" t="str">
        <f t="array" ref="I2117">_xlfn.XLOOKUP($A2117, 'Medical Examinations'!$A:$A, 'Medical Examinations'!H:H, "No Data")</f>
        <v>No</v>
      </c>
      <c r="J2117" s="28" t="str">
        <f t="array" ref="J2117">_xlfn.XLOOKUP($A2117, 'Medical Examinations'!$A:$A, 'Medical Examinations'!I:I, "No Data")</f>
        <v>Overweight</v>
      </c>
      <c r="K2117" s="28" t="str">
        <f t="array" ref="K2117">_xlfn.XLOOKUP($A2117, 'Hospitalisation Details'!$A:$A, 'Hospitalisation Details'!I:I, "No Data")</f>
        <v>tier - 1</v>
      </c>
      <c r="L2117" s="28" t="str">
        <f t="array" ref="L2117">_xlfn.XLOOKUP($A2117, 'Hospitalisation Details'!$A:$A, 'Hospitalisation Details'!J:J, "No Data")</f>
        <v>R1023</v>
      </c>
      <c r="M2117" s="28" t="str">
        <f t="array" ref="M2117">_xlfn.XLOOKUP($A2117, 'Hospitalisation Details'!$A:$A, 'Hospitalisation Details'!E:E, "No Data")</f>
        <v>03/09/04</v>
      </c>
      <c r="N2117" s="28">
        <f t="array" ref="N2117">_xlfn.XLOOKUP($A2117, 'Hospitalisation Details'!$A:$A, 'Hospitalisation Details'!K:K, "No Data")</f>
        <v>18</v>
      </c>
      <c r="O2117" s="33">
        <f t="array" ref="O2117">_xlfn.XLOOKUP($A2117, 'Hospitalisation Details'!$A:$A, 'Hospitalisation Details'!G:G, "No Data")</f>
        <v>2198.19</v>
      </c>
      <c r="P2117" s="28" t="str">
        <f t="array" ref="P2117">_xlfn.XLOOKUP($A2117, 'Hospitalisation Details'!$A:$A, 'Hospitalisation Details'!H:H, "No Data")</f>
        <v>tier - 2</v>
      </c>
    </row>
    <row r="2118">
      <c r="A2118" s="25" t="s">
        <v>2019</v>
      </c>
      <c r="B2118" s="28" t="str">
        <f t="array" ref="B2118">_xlfn.XLOOKUP($A2118, 'Customer Names'!$A:$A, 'Customer Names'!B:B, "No Data")</f>
        <v>Stasulli</v>
      </c>
      <c r="C2118" s="28">
        <f t="array" ref="C2118">_xlfn.XLOOKUP($A2118, 'Medical Examinations'!$A:$A, 'Medical Examinations'!B:B, "No Data")</f>
        <v>25.08</v>
      </c>
      <c r="D2118" s="28">
        <f t="array" ref="D2118">_xlfn.XLOOKUP($A2118, 'Medical Examinations'!$A:$A, 'Medical Examinations'!C:C, "No Data")</f>
        <v>5.09</v>
      </c>
      <c r="E2118" s="28" t="str">
        <f t="array" ref="E2118">_xlfn.XLOOKUP($A2118, 'Medical Examinations'!$A:$A, 'Medical Examinations'!D:D, "No Data")</f>
        <v>No</v>
      </c>
      <c r="F2118" s="28" t="str">
        <f t="array" ref="F2118">_xlfn.XLOOKUP($A2118, 'Medical Examinations'!$A:$A, 'Medical Examinations'!E:E, "No Data")</f>
        <v>yes</v>
      </c>
      <c r="G2118" s="28" t="str">
        <f t="array" ref="G2118">_xlfn.XLOOKUP($A2118, 'Medical Examinations'!$A:$A, 'Medical Examinations'!F:F, "No Data")</f>
        <v>No</v>
      </c>
      <c r="H2118" s="28">
        <f t="array" ref="H2118">_xlfn.XLOOKUP($A2118, 'Medical Examinations'!$A:$A, 'Medical Examinations'!G:G, "No Data")</f>
        <v>1</v>
      </c>
      <c r="I2118" s="28" t="str">
        <f t="array" ref="I2118">_xlfn.XLOOKUP($A2118, 'Medical Examinations'!$A:$A, 'Medical Examinations'!H:H, "No Data")</f>
        <v>No</v>
      </c>
      <c r="J2118" s="28" t="str">
        <f t="array" ref="J2118">_xlfn.XLOOKUP($A2118, 'Medical Examinations'!$A:$A, 'Medical Examinations'!I:I, "No Data")</f>
        <v>Overweight</v>
      </c>
      <c r="K2118" s="28" t="str">
        <f t="array" ref="K2118">_xlfn.XLOOKUP($A2118, 'Hospitalisation Details'!$A:$A, 'Hospitalisation Details'!I:I, "No Data")</f>
        <v>tier - 3</v>
      </c>
      <c r="L2118" s="28" t="str">
        <f t="array" ref="L2118">_xlfn.XLOOKUP($A2118, 'Hospitalisation Details'!$A:$A, 'Hospitalisation Details'!J:J, "No Data")</f>
        <v>R1024</v>
      </c>
      <c r="M2118" s="28" t="str">
        <f t="array" ref="M2118">_xlfn.XLOOKUP($A2118, 'Hospitalisation Details'!$A:$A, 'Hospitalisation Details'!E:E, "No Data")</f>
        <v>07/12/04</v>
      </c>
      <c r="N2118" s="28">
        <f t="array" ref="N2118">_xlfn.XLOOKUP($A2118, 'Hospitalisation Details'!$A:$A, 'Hospitalisation Details'!K:K, "No Data")</f>
        <v>18</v>
      </c>
      <c r="O2118" s="33">
        <f t="array" ref="O2118">_xlfn.XLOOKUP($A2118, 'Hospitalisation Details'!$A:$A, 'Hospitalisation Details'!G:G, "No Data")</f>
        <v>2196.47</v>
      </c>
      <c r="P2118" s="28" t="str">
        <f t="array" ref="P2118">_xlfn.XLOOKUP($A2118, 'Hospitalisation Details'!$A:$A, 'Hospitalisation Details'!H:H, "No Data")</f>
        <v>tier - 2</v>
      </c>
    </row>
    <row r="2119">
      <c r="A2119" s="25" t="s">
        <v>2009</v>
      </c>
      <c r="B2119" s="28" t="str">
        <f t="array" ref="B2119">_xlfn.XLOOKUP($A2119, 'Customer Names'!$A:$A, 'Customer Names'!B:B, "No Data")</f>
        <v>Duran</v>
      </c>
      <c r="C2119" s="28">
        <f t="array" ref="C2119">_xlfn.XLOOKUP($A2119, 'Medical Examinations'!$A:$A, 'Medical Examinations'!B:B, "No Data")</f>
        <v>15.41</v>
      </c>
      <c r="D2119" s="28">
        <f t="array" ref="D2119">_xlfn.XLOOKUP($A2119, 'Medical Examinations'!$A:$A, 'Medical Examinations'!C:C, "No Data")</f>
        <v>5.08</v>
      </c>
      <c r="E2119" s="28" t="str">
        <f t="array" ref="E2119">_xlfn.XLOOKUP($A2119, 'Medical Examinations'!$A:$A, 'Medical Examinations'!D:D, "No Data")</f>
        <v>No</v>
      </c>
      <c r="F2119" s="28" t="str">
        <f t="array" ref="F2119">_xlfn.XLOOKUP($A2119, 'Medical Examinations'!$A:$A, 'Medical Examinations'!E:E, "No Data")</f>
        <v>No</v>
      </c>
      <c r="G2119" s="28" t="str">
        <f t="array" ref="G2119">_xlfn.XLOOKUP($A2119, 'Medical Examinations'!$A:$A, 'Medical Examinations'!F:F, "No Data")</f>
        <v>No</v>
      </c>
      <c r="H2119" s="28">
        <f t="array" ref="H2119">_xlfn.XLOOKUP($A2119, 'Medical Examinations'!$A:$A, 'Medical Examinations'!G:G, "No Data")</f>
        <v>0</v>
      </c>
      <c r="I2119" s="28" t="str">
        <f t="array" ref="I2119">_xlfn.XLOOKUP($A2119, 'Medical Examinations'!$A:$A, 'Medical Examinations'!H:H, "No Data")</f>
        <v>No</v>
      </c>
      <c r="J2119" s="28" t="str">
        <f t="array" ref="J2119">_xlfn.XLOOKUP($A2119, 'Medical Examinations'!$A:$A, 'Medical Examinations'!I:I, "No Data")</f>
        <v>Underweight</v>
      </c>
      <c r="K2119" s="28" t="str">
        <f t="array" ref="K2119">_xlfn.XLOOKUP($A2119, 'Hospitalisation Details'!$A:$A, 'Hospitalisation Details'!I:I, "No Data")</f>
        <v>tier - 2</v>
      </c>
      <c r="L2119" s="28" t="str">
        <f t="array" ref="L2119">_xlfn.XLOOKUP($A2119, 'Hospitalisation Details'!$A:$A, 'Hospitalisation Details'!J:J, "No Data")</f>
        <v>R1012</v>
      </c>
      <c r="M2119" s="28" t="str">
        <f t="array" ref="M2119">_xlfn.XLOOKUP($A2119, 'Hospitalisation Details'!$A:$A, 'Hospitalisation Details'!E:E, "No Data")</f>
        <v>16/12/91</v>
      </c>
      <c r="N2119" s="28">
        <f t="array" ref="N2119">_xlfn.XLOOKUP($A2119, 'Hospitalisation Details'!$A:$A, 'Hospitalisation Details'!K:K, "No Data")</f>
        <v>31</v>
      </c>
      <c r="O2119" s="33">
        <f t="array" ref="O2119">_xlfn.XLOOKUP($A2119, 'Hospitalisation Details'!$A:$A, 'Hospitalisation Details'!G:G, "No Data")</f>
        <v>2193.2</v>
      </c>
      <c r="P2119" s="28" t="str">
        <f t="array" ref="P2119">_xlfn.XLOOKUP($A2119, 'Hospitalisation Details'!$A:$A, 'Hospitalisation Details'!H:H, "No Data")</f>
        <v>tier - 2</v>
      </c>
    </row>
    <row r="2120">
      <c r="A2120" s="25" t="s">
        <v>2001</v>
      </c>
      <c r="B2120" s="28" t="str">
        <f t="array" ref="B2120">_xlfn.XLOOKUP($A2120, 'Customer Names'!$A:$A, 'Customer Names'!B:B, "No Data")</f>
        <v>Klundt</v>
      </c>
      <c r="C2120" s="28">
        <f t="array" ref="C2120">_xlfn.XLOOKUP($A2120, 'Medical Examinations'!$A:$A, 'Medical Examinations'!B:B, "No Data")</f>
        <v>23.83</v>
      </c>
      <c r="D2120" s="28">
        <f t="array" ref="D2120">_xlfn.XLOOKUP($A2120, 'Medical Examinations'!$A:$A, 'Medical Examinations'!C:C, "No Data")</f>
        <v>5.68</v>
      </c>
      <c r="E2120" s="28" t="str">
        <f t="array" ref="E2120">_xlfn.XLOOKUP($A2120, 'Medical Examinations'!$A:$A, 'Medical Examinations'!D:D, "No Data")</f>
        <v>No</v>
      </c>
      <c r="F2120" s="28" t="str">
        <f t="array" ref="F2120">_xlfn.XLOOKUP($A2120, 'Medical Examinations'!$A:$A, 'Medical Examinations'!E:E, "No Data")</f>
        <v>No</v>
      </c>
      <c r="G2120" s="28" t="str">
        <f t="array" ref="G2120">_xlfn.XLOOKUP($A2120, 'Medical Examinations'!$A:$A, 'Medical Examinations'!F:F, "No Data")</f>
        <v>No</v>
      </c>
      <c r="H2120" s="28">
        <f t="array" ref="H2120">_xlfn.XLOOKUP($A2120, 'Medical Examinations'!$A:$A, 'Medical Examinations'!G:G, "No Data")</f>
        <v>0</v>
      </c>
      <c r="I2120" s="28" t="str">
        <f t="array" ref="I2120">_xlfn.XLOOKUP($A2120, 'Medical Examinations'!$A:$A, 'Medical Examinations'!H:H, "No Data")</f>
        <v>No</v>
      </c>
      <c r="J2120" s="28" t="str">
        <f t="array" ref="J2120">_xlfn.XLOOKUP($A2120, 'Medical Examinations'!$A:$A, 'Medical Examinations'!I:I, "No Data")</f>
        <v>Normal Weight</v>
      </c>
      <c r="K2120" s="28" t="str">
        <f t="array" ref="K2120">_xlfn.XLOOKUP($A2120, 'Hospitalisation Details'!$A:$A, 'Hospitalisation Details'!I:I, "No Data")</f>
        <v>tier - 2</v>
      </c>
      <c r="L2120" s="28" t="str">
        <f t="array" ref="L2120">_xlfn.XLOOKUP($A2120, 'Hospitalisation Details'!$A:$A, 'Hospitalisation Details'!J:J, "No Data")</f>
        <v>R1013</v>
      </c>
      <c r="M2120" s="28" t="str">
        <f t="array" ref="M2120">_xlfn.XLOOKUP($A2120, 'Hospitalisation Details'!$A:$A, 'Hospitalisation Details'!E:E, "No Data")</f>
        <v>27/09/94</v>
      </c>
      <c r="N2120" s="28">
        <f t="array" ref="N2120">_xlfn.XLOOKUP($A2120, 'Hospitalisation Details'!$A:$A, 'Hospitalisation Details'!K:K, "No Data")</f>
        <v>28</v>
      </c>
      <c r="O2120" s="33">
        <f t="array" ref="O2120">_xlfn.XLOOKUP($A2120, 'Hospitalisation Details'!$A:$A, 'Hospitalisation Details'!G:G, "No Data")</f>
        <v>2170.08</v>
      </c>
      <c r="P2120" s="28" t="str">
        <f t="array" ref="P2120">_xlfn.XLOOKUP($A2120, 'Hospitalisation Details'!$A:$A, 'Hospitalisation Details'!H:H, "No Data")</f>
        <v>tier - 2</v>
      </c>
    </row>
    <row r="2121">
      <c r="A2121" s="25" t="s">
        <v>1994</v>
      </c>
      <c r="B2121" s="28" t="str">
        <f t="array" ref="B2121">_xlfn.XLOOKUP($A2121, 'Customer Names'!$A:$A, 'Customer Names'!B:B, "No Data")</f>
        <v>Waters</v>
      </c>
      <c r="C2121" s="28">
        <f t="array" ref="C2121">_xlfn.XLOOKUP($A2121, 'Medical Examinations'!$A:$A, 'Medical Examinations'!B:B, "No Data")</f>
        <v>36</v>
      </c>
      <c r="D2121" s="28">
        <f t="array" ref="D2121">_xlfn.XLOOKUP($A2121, 'Medical Examinations'!$A:$A, 'Medical Examinations'!C:C, "No Data")</f>
        <v>4.66</v>
      </c>
      <c r="E2121" s="28" t="str">
        <f t="array" ref="E2121">_xlfn.XLOOKUP($A2121, 'Medical Examinations'!$A:$A, 'Medical Examinations'!D:D, "No Data")</f>
        <v>No</v>
      </c>
      <c r="F2121" s="28" t="str">
        <f t="array" ref="F2121">_xlfn.XLOOKUP($A2121, 'Medical Examinations'!$A:$A, 'Medical Examinations'!E:E, "No Data")</f>
        <v>yes</v>
      </c>
      <c r="G2121" s="28" t="str">
        <f t="array" ref="G2121">_xlfn.XLOOKUP($A2121, 'Medical Examinations'!$A:$A, 'Medical Examinations'!F:F, "No Data")</f>
        <v>No</v>
      </c>
      <c r="H2121" s="28">
        <f t="array" ref="H2121">_xlfn.XLOOKUP($A2121, 'Medical Examinations'!$A:$A, 'Medical Examinations'!G:G, "No Data")</f>
        <v>1</v>
      </c>
      <c r="I2121" s="28" t="str">
        <f t="array" ref="I2121">_xlfn.XLOOKUP($A2121, 'Medical Examinations'!$A:$A, 'Medical Examinations'!H:H, "No Data")</f>
        <v>No</v>
      </c>
      <c r="J2121" s="28" t="str">
        <f t="array" ref="J2121">_xlfn.XLOOKUP($A2121, 'Medical Examinations'!$A:$A, 'Medical Examinations'!I:I, "No Data")</f>
        <v>Obesity</v>
      </c>
      <c r="K2121" s="28" t="str">
        <f t="array" ref="K2121">_xlfn.XLOOKUP($A2121, 'Hospitalisation Details'!$A:$A, 'Hospitalisation Details'!I:I, "No Data")</f>
        <v>tier - 2</v>
      </c>
      <c r="L2121" s="28" t="str">
        <f t="array" ref="L2121">_xlfn.XLOOKUP($A2121, 'Hospitalisation Details'!$A:$A, 'Hospitalisation Details'!J:J, "No Data")</f>
        <v>R1011</v>
      </c>
      <c r="M2121" s="28" t="str">
        <f t="array" ref="M2121">_xlfn.XLOOKUP($A2121, 'Hospitalisation Details'!$A:$A, 'Hospitalisation Details'!E:E, "No Data")</f>
        <v>23/08/00</v>
      </c>
      <c r="N2121" s="28">
        <f t="array" ref="N2121">_xlfn.XLOOKUP($A2121, 'Hospitalisation Details'!$A:$A, 'Hospitalisation Details'!K:K, "No Data")</f>
        <v>22</v>
      </c>
      <c r="O2121" s="33">
        <f t="array" ref="O2121">_xlfn.XLOOKUP($A2121, 'Hospitalisation Details'!$A:$A, 'Hospitalisation Details'!G:G, "No Data")</f>
        <v>2166.73</v>
      </c>
      <c r="P2121" s="28" t="str">
        <f t="array" ref="P2121">_xlfn.XLOOKUP($A2121, 'Hospitalisation Details'!$A:$A, 'Hospitalisation Details'!H:H, "No Data")</f>
        <v>tier - 2</v>
      </c>
    </row>
    <row r="2122">
      <c r="A2122" s="25" t="s">
        <v>1983</v>
      </c>
      <c r="B2122" s="28" t="str">
        <f t="array" ref="B2122">_xlfn.XLOOKUP($A2122, 'Customer Names'!$A:$A, 'Customer Names'!B:B, "No Data")</f>
        <v>Rusk</v>
      </c>
      <c r="C2122" s="28">
        <f t="array" ref="C2122">_xlfn.XLOOKUP($A2122, 'Medical Examinations'!$A:$A, 'Medical Examinations'!B:B, "No Data")</f>
        <v>28.82</v>
      </c>
      <c r="D2122" s="28">
        <f t="array" ref="D2122">_xlfn.XLOOKUP($A2122, 'Medical Examinations'!$A:$A, 'Medical Examinations'!C:C, "No Data")</f>
        <v>5.59</v>
      </c>
      <c r="E2122" s="28" t="str">
        <f t="array" ref="E2122">_xlfn.XLOOKUP($A2122, 'Medical Examinations'!$A:$A, 'Medical Examinations'!D:D, "No Data")</f>
        <v>No</v>
      </c>
      <c r="F2122" s="28" t="str">
        <f t="array" ref="F2122">_xlfn.XLOOKUP($A2122, 'Medical Examinations'!$A:$A, 'Medical Examinations'!E:E, "No Data")</f>
        <v>yes</v>
      </c>
      <c r="G2122" s="28" t="str">
        <f t="array" ref="G2122">_xlfn.XLOOKUP($A2122, 'Medical Examinations'!$A:$A, 'Medical Examinations'!F:F, "No Data")</f>
        <v>No</v>
      </c>
      <c r="H2122" s="28">
        <f t="array" ref="H2122">_xlfn.XLOOKUP($A2122, 'Medical Examinations'!$A:$A, 'Medical Examinations'!G:G, "No Data")</f>
        <v>1</v>
      </c>
      <c r="I2122" s="28" t="str">
        <f t="array" ref="I2122">_xlfn.XLOOKUP($A2122, 'Medical Examinations'!$A:$A, 'Medical Examinations'!H:H, "No Data")</f>
        <v>No</v>
      </c>
      <c r="J2122" s="28" t="str">
        <f t="array" ref="J2122">_xlfn.XLOOKUP($A2122, 'Medical Examinations'!$A:$A, 'Medical Examinations'!I:I, "No Data")</f>
        <v>Overweight</v>
      </c>
      <c r="K2122" s="28" t="str">
        <f t="array" ref="K2122">_xlfn.XLOOKUP($A2122, 'Hospitalisation Details'!$A:$A, 'Hospitalisation Details'!I:I, "No Data")</f>
        <v>tier - 2</v>
      </c>
      <c r="L2122" s="28" t="str">
        <f t="array" ref="L2122">_xlfn.XLOOKUP($A2122, 'Hospitalisation Details'!$A:$A, 'Hospitalisation Details'!J:J, "No Data")</f>
        <v>R1013</v>
      </c>
      <c r="M2122" s="28" t="str">
        <f t="array" ref="M2122">_xlfn.XLOOKUP($A2122, 'Hospitalisation Details'!$A:$A, 'Hospitalisation Details'!E:E, "No Data")</f>
        <v>10/12/00</v>
      </c>
      <c r="N2122" s="28">
        <f t="array" ref="N2122">_xlfn.XLOOKUP($A2122, 'Hospitalisation Details'!$A:$A, 'Hospitalisation Details'!K:K, "No Data")</f>
        <v>22</v>
      </c>
      <c r="O2122" s="33">
        <f t="array" ref="O2122">_xlfn.XLOOKUP($A2122, 'Hospitalisation Details'!$A:$A, 'Hospitalisation Details'!G:G, "No Data")</f>
        <v>2156.75</v>
      </c>
      <c r="P2122" s="28" t="str">
        <f t="array" ref="P2122">_xlfn.XLOOKUP($A2122, 'Hospitalisation Details'!$A:$A, 'Hospitalisation Details'!H:H, "No Data")</f>
        <v>tier - 2</v>
      </c>
    </row>
    <row r="2123">
      <c r="A2123" s="25" t="s">
        <v>1978</v>
      </c>
      <c r="B2123" s="28" t="str">
        <f t="array" ref="B2123">_xlfn.XLOOKUP($A2123, 'Customer Names'!$A:$A, 'Customer Names'!B:B, "No Data")</f>
        <v>Gersbach</v>
      </c>
      <c r="C2123" s="28">
        <f t="array" ref="C2123">_xlfn.XLOOKUP($A2123, 'Medical Examinations'!$A:$A, 'Medical Examinations'!B:B, "No Data")</f>
        <v>28.05</v>
      </c>
      <c r="D2123" s="28">
        <f t="array" ref="D2123">_xlfn.XLOOKUP($A2123, 'Medical Examinations'!$A:$A, 'Medical Examinations'!C:C, "No Data")</f>
        <v>6.2</v>
      </c>
      <c r="E2123" s="28" t="str">
        <f t="array" ref="E2123">_xlfn.XLOOKUP($A2123, 'Medical Examinations'!$A:$A, 'Medical Examinations'!D:D, "No Data")</f>
        <v>No</v>
      </c>
      <c r="F2123" s="28" t="str">
        <f t="array" ref="F2123">_xlfn.XLOOKUP($A2123, 'Medical Examinations'!$A:$A, 'Medical Examinations'!E:E, "No Data")</f>
        <v>yes</v>
      </c>
      <c r="G2123" s="28" t="str">
        <f t="array" ref="G2123">_xlfn.XLOOKUP($A2123, 'Medical Examinations'!$A:$A, 'Medical Examinations'!F:F, "No Data")</f>
        <v>No</v>
      </c>
      <c r="H2123" s="28">
        <f t="array" ref="H2123">_xlfn.XLOOKUP($A2123, 'Medical Examinations'!$A:$A, 'Medical Examinations'!G:G, "No Data")</f>
        <v>1</v>
      </c>
      <c r="I2123" s="28" t="str">
        <f t="array" ref="I2123">_xlfn.XLOOKUP($A2123, 'Medical Examinations'!$A:$A, 'Medical Examinations'!H:H, "No Data")</f>
        <v>No</v>
      </c>
      <c r="J2123" s="28" t="str">
        <f t="array" ref="J2123">_xlfn.XLOOKUP($A2123, 'Medical Examinations'!$A:$A, 'Medical Examinations'!I:I, "No Data")</f>
        <v>Overweight</v>
      </c>
      <c r="K2123" s="28" t="str">
        <f t="array" ref="K2123">_xlfn.XLOOKUP($A2123, 'Hospitalisation Details'!$A:$A, 'Hospitalisation Details'!I:I, "No Data")</f>
        <v>tier - 3</v>
      </c>
      <c r="L2123" s="28" t="str">
        <f t="array" ref="L2123">_xlfn.XLOOKUP($A2123, 'Hospitalisation Details'!$A:$A, 'Hospitalisation Details'!J:J, "No Data")</f>
        <v>R1013</v>
      </c>
      <c r="M2123" s="28" t="str">
        <f t="array" ref="M2123">_xlfn.XLOOKUP($A2123, 'Hospitalisation Details'!$A:$A, 'Hospitalisation Details'!E:E, "No Data")</f>
        <v>29/11/00</v>
      </c>
      <c r="N2123" s="28">
        <f t="array" ref="N2123">_xlfn.XLOOKUP($A2123, 'Hospitalisation Details'!$A:$A, 'Hospitalisation Details'!K:K, "No Data")</f>
        <v>22</v>
      </c>
      <c r="O2123" s="33">
        <f t="array" ref="O2123">_xlfn.XLOOKUP($A2123, 'Hospitalisation Details'!$A:$A, 'Hospitalisation Details'!G:G, "No Data")</f>
        <v>2155.68</v>
      </c>
      <c r="P2123" s="28" t="str">
        <f t="array" ref="P2123">_xlfn.XLOOKUP($A2123, 'Hospitalisation Details'!$A:$A, 'Hospitalisation Details'!H:H, "No Data")</f>
        <v>tier - 2</v>
      </c>
    </row>
    <row r="2124">
      <c r="A2124" s="25" t="s">
        <v>1973</v>
      </c>
      <c r="B2124" s="28" t="str">
        <f t="array" ref="B2124">_xlfn.XLOOKUP($A2124, 'Customer Names'!$A:$A, 'Customer Names'!B:B, "No Data")</f>
        <v>Taylor-Watson</v>
      </c>
      <c r="C2124" s="28">
        <f t="array" ref="C2124">_xlfn.XLOOKUP($A2124, 'Medical Examinations'!$A:$A, 'Medical Examinations'!B:B, "No Data")</f>
        <v>27.1</v>
      </c>
      <c r="D2124" s="28">
        <f t="array" ref="D2124">_xlfn.XLOOKUP($A2124, 'Medical Examinations'!$A:$A, 'Medical Examinations'!C:C, "No Data")</f>
        <v>4.45</v>
      </c>
      <c r="E2124" s="28" t="str">
        <f t="array" ref="E2124">_xlfn.XLOOKUP($A2124, 'Medical Examinations'!$A:$A, 'Medical Examinations'!D:D, "No Data")</f>
        <v>No</v>
      </c>
      <c r="F2124" s="28" t="str">
        <f t="array" ref="F2124">_xlfn.XLOOKUP($A2124, 'Medical Examinations'!$A:$A, 'Medical Examinations'!E:E, "No Data")</f>
        <v>yes</v>
      </c>
      <c r="G2124" s="28" t="str">
        <f t="array" ref="G2124">_xlfn.XLOOKUP($A2124, 'Medical Examinations'!$A:$A, 'Medical Examinations'!F:F, "No Data")</f>
        <v>No</v>
      </c>
      <c r="H2124" s="28">
        <f t="array" ref="H2124">_xlfn.XLOOKUP($A2124, 'Medical Examinations'!$A:$A, 'Medical Examinations'!G:G, "No Data")</f>
        <v>1</v>
      </c>
      <c r="I2124" s="28" t="str">
        <f t="array" ref="I2124">_xlfn.XLOOKUP($A2124, 'Medical Examinations'!$A:$A, 'Medical Examinations'!H:H, "No Data")</f>
        <v>No</v>
      </c>
      <c r="J2124" s="28" t="str">
        <f t="array" ref="J2124">_xlfn.XLOOKUP($A2124, 'Medical Examinations'!$A:$A, 'Medical Examinations'!I:I, "No Data")</f>
        <v>Overweight</v>
      </c>
      <c r="K2124" s="28" t="str">
        <f t="array" ref="K2124">_xlfn.XLOOKUP($A2124, 'Hospitalisation Details'!$A:$A, 'Hospitalisation Details'!I:I, "No Data")</f>
        <v>tier - 2</v>
      </c>
      <c r="L2124" s="28" t="str">
        <f t="array" ref="L2124">_xlfn.XLOOKUP($A2124, 'Hospitalisation Details'!$A:$A, 'Hospitalisation Details'!J:J, "No Data")</f>
        <v>R1011</v>
      </c>
      <c r="M2124" s="28" t="str">
        <f t="array" ref="M2124">_xlfn.XLOOKUP($A2124, 'Hospitalisation Details'!$A:$A, 'Hospitalisation Details'!E:E, "No Data")</f>
        <v>22/10/00</v>
      </c>
      <c r="N2124" s="28">
        <f t="array" ref="N2124">_xlfn.XLOOKUP($A2124, 'Hospitalisation Details'!$A:$A, 'Hospitalisation Details'!K:K, "No Data")</f>
        <v>22</v>
      </c>
      <c r="O2124" s="33">
        <f t="array" ref="O2124">_xlfn.XLOOKUP($A2124, 'Hospitalisation Details'!$A:$A, 'Hospitalisation Details'!G:G, "No Data")</f>
        <v>2154.36</v>
      </c>
      <c r="P2124" s="28" t="str">
        <f t="array" ref="P2124">_xlfn.XLOOKUP($A2124, 'Hospitalisation Details'!$A:$A, 'Hospitalisation Details'!H:H, "No Data")</f>
        <v>tier - 2</v>
      </c>
    </row>
    <row r="2125">
      <c r="A2125" s="25" t="s">
        <v>1966</v>
      </c>
      <c r="B2125" s="28" t="str">
        <f t="array" ref="B2125">_xlfn.XLOOKUP($A2125, 'Customer Names'!$A:$A, 'Customer Names'!B:B, "No Data")</f>
        <v>Crawford</v>
      </c>
      <c r="C2125" s="28">
        <f t="array" ref="C2125">_xlfn.XLOOKUP($A2125, 'Medical Examinations'!$A:$A, 'Medical Examinations'!B:B, "No Data")</f>
        <v>24.3</v>
      </c>
      <c r="D2125" s="28">
        <f t="array" ref="D2125">_xlfn.XLOOKUP($A2125, 'Medical Examinations'!$A:$A, 'Medical Examinations'!C:C, "No Data")</f>
        <v>6.1</v>
      </c>
      <c r="E2125" s="28" t="str">
        <f t="array" ref="E2125">_xlfn.XLOOKUP($A2125, 'Medical Examinations'!$A:$A, 'Medical Examinations'!D:D, "No Data")</f>
        <v>yes</v>
      </c>
      <c r="F2125" s="28" t="str">
        <f t="array" ref="F2125">_xlfn.XLOOKUP($A2125, 'Medical Examinations'!$A:$A, 'Medical Examinations'!E:E, "No Data")</f>
        <v>yes</v>
      </c>
      <c r="G2125" s="28" t="str">
        <f t="array" ref="G2125">_xlfn.XLOOKUP($A2125, 'Medical Examinations'!$A:$A, 'Medical Examinations'!F:F, "No Data")</f>
        <v>No</v>
      </c>
      <c r="H2125" s="28">
        <f t="array" ref="H2125">_xlfn.XLOOKUP($A2125, 'Medical Examinations'!$A:$A, 'Medical Examinations'!G:G, "No Data")</f>
        <v>1</v>
      </c>
      <c r="I2125" s="28" t="str">
        <f t="array" ref="I2125">_xlfn.XLOOKUP($A2125, 'Medical Examinations'!$A:$A, 'Medical Examinations'!H:H, "No Data")</f>
        <v>No</v>
      </c>
      <c r="J2125" s="28" t="str">
        <f t="array" ref="J2125">_xlfn.XLOOKUP($A2125, 'Medical Examinations'!$A:$A, 'Medical Examinations'!I:I, "No Data")</f>
        <v>Normal Weight</v>
      </c>
      <c r="K2125" s="28" t="str">
        <f t="array" ref="K2125">_xlfn.XLOOKUP($A2125, 'Hospitalisation Details'!$A:$A, 'Hospitalisation Details'!I:I, "No Data")</f>
        <v>tier - 3</v>
      </c>
      <c r="L2125" s="28" t="str">
        <f t="array" ref="L2125">_xlfn.XLOOKUP($A2125, 'Hospitalisation Details'!$A:$A, 'Hospitalisation Details'!J:J, "No Data")</f>
        <v>R1011</v>
      </c>
      <c r="M2125" s="28" t="str">
        <f t="array" ref="M2125">_xlfn.XLOOKUP($A2125, 'Hospitalisation Details'!$A:$A, 'Hospitalisation Details'!E:E, "No Data")</f>
        <v>27/12/00</v>
      </c>
      <c r="N2125" s="28">
        <f t="array" ref="N2125">_xlfn.XLOOKUP($A2125, 'Hospitalisation Details'!$A:$A, 'Hospitalisation Details'!K:K, "No Data")</f>
        <v>22</v>
      </c>
      <c r="O2125" s="33">
        <f t="array" ref="O2125">_xlfn.XLOOKUP($A2125, 'Hospitalisation Details'!$A:$A, 'Hospitalisation Details'!G:G, "No Data")</f>
        <v>2150.47</v>
      </c>
      <c r="P2125" s="28" t="str">
        <f t="array" ref="P2125">_xlfn.XLOOKUP($A2125, 'Hospitalisation Details'!$A:$A, 'Hospitalisation Details'!H:H, "No Data")</f>
        <v>tier - 2</v>
      </c>
    </row>
    <row r="2126">
      <c r="A2126" s="25" t="s">
        <v>1961</v>
      </c>
      <c r="B2126" s="28" t="str">
        <f t="array" ref="B2126">_xlfn.XLOOKUP($A2126, 'Customer Names'!$A:$A, 'Customer Names'!B:B, "No Data")</f>
        <v>Levitsky</v>
      </c>
      <c r="C2126" s="28">
        <f t="array" ref="C2126">_xlfn.XLOOKUP($A2126, 'Medical Examinations'!$A:$A, 'Medical Examinations'!B:B, "No Data")</f>
        <v>30.72</v>
      </c>
      <c r="D2126" s="28">
        <f t="array" ref="D2126">_xlfn.XLOOKUP($A2126, 'Medical Examinations'!$A:$A, 'Medical Examinations'!C:C, "No Data")</f>
        <v>6.06</v>
      </c>
      <c r="E2126" s="28" t="str">
        <f t="array" ref="E2126">_xlfn.XLOOKUP($A2126, 'Medical Examinations'!$A:$A, 'Medical Examinations'!D:D, "No Data")</f>
        <v>No</v>
      </c>
      <c r="F2126" s="28" t="str">
        <f t="array" ref="F2126">_xlfn.XLOOKUP($A2126, 'Medical Examinations'!$A:$A, 'Medical Examinations'!E:E, "No Data")</f>
        <v>yes</v>
      </c>
      <c r="G2126" s="28" t="str">
        <f t="array" ref="G2126">_xlfn.XLOOKUP($A2126, 'Medical Examinations'!$A:$A, 'Medical Examinations'!F:F, "No Data")</f>
        <v>No</v>
      </c>
      <c r="H2126" s="28">
        <f t="array" ref="H2126">_xlfn.XLOOKUP($A2126, 'Medical Examinations'!$A:$A, 'Medical Examinations'!G:G, "No Data")</f>
        <v>1</v>
      </c>
      <c r="I2126" s="28" t="str">
        <f t="array" ref="I2126">_xlfn.XLOOKUP($A2126, 'Medical Examinations'!$A:$A, 'Medical Examinations'!H:H, "No Data")</f>
        <v>No</v>
      </c>
      <c r="J2126" s="28" t="str">
        <f t="array" ref="J2126">_xlfn.XLOOKUP($A2126, 'Medical Examinations'!$A:$A, 'Medical Examinations'!I:I, "No Data")</f>
        <v>Obesity</v>
      </c>
      <c r="K2126" s="28" t="str">
        <f t="array" ref="K2126">_xlfn.XLOOKUP($A2126, 'Hospitalisation Details'!$A:$A, 'Hospitalisation Details'!I:I, "No Data")</f>
        <v>tier - 1</v>
      </c>
      <c r="L2126" s="28" t="str">
        <f t="array" ref="L2126">_xlfn.XLOOKUP($A2126, 'Hospitalisation Details'!$A:$A, 'Hospitalisation Details'!J:J, "No Data")</f>
        <v>R1011</v>
      </c>
      <c r="M2126" s="28" t="str">
        <f t="array" ref="M2126">_xlfn.XLOOKUP($A2126, 'Hospitalisation Details'!$A:$A, 'Hospitalisation Details'!E:E, "No Data")</f>
        <v>04/10/04</v>
      </c>
      <c r="N2126" s="28">
        <f t="array" ref="N2126">_xlfn.XLOOKUP($A2126, 'Hospitalisation Details'!$A:$A, 'Hospitalisation Details'!K:K, "No Data")</f>
        <v>18</v>
      </c>
      <c r="O2126" s="33">
        <f t="array" ref="O2126">_xlfn.XLOOKUP($A2126, 'Hospitalisation Details'!$A:$A, 'Hospitalisation Details'!G:G, "No Data")</f>
        <v>2144.85</v>
      </c>
      <c r="P2126" s="28" t="str">
        <f t="array" ref="P2126">_xlfn.XLOOKUP($A2126, 'Hospitalisation Details'!$A:$A, 'Hospitalisation Details'!H:H, "No Data")</f>
        <v>tier - 2</v>
      </c>
    </row>
    <row r="2127">
      <c r="A2127" s="25" t="s">
        <v>1954</v>
      </c>
      <c r="B2127" s="28" t="str">
        <f t="array" ref="B2127">_xlfn.XLOOKUP($A2127, 'Customer Names'!$A:$A, 'Customer Names'!B:B, "No Data")</f>
        <v>Carroll</v>
      </c>
      <c r="C2127" s="28">
        <f t="array" ref="C2127">_xlfn.XLOOKUP($A2127, 'Medical Examinations'!$A:$A, 'Medical Examinations'!B:B, "No Data")</f>
        <v>37.43</v>
      </c>
      <c r="D2127" s="28">
        <f t="array" ref="D2127">_xlfn.XLOOKUP($A2127, 'Medical Examinations'!$A:$A, 'Medical Examinations'!C:C, "No Data")</f>
        <v>4.56</v>
      </c>
      <c r="E2127" s="28" t="str">
        <f t="array" ref="E2127">_xlfn.XLOOKUP($A2127, 'Medical Examinations'!$A:$A, 'Medical Examinations'!D:D, "No Data")</f>
        <v>No</v>
      </c>
      <c r="F2127" s="28" t="str">
        <f t="array" ref="F2127">_xlfn.XLOOKUP($A2127, 'Medical Examinations'!$A:$A, 'Medical Examinations'!E:E, "No Data")</f>
        <v>No</v>
      </c>
      <c r="G2127" s="28" t="str">
        <f t="array" ref="G2127">_xlfn.XLOOKUP($A2127, 'Medical Examinations'!$A:$A, 'Medical Examinations'!F:F, "No Data")</f>
        <v>Yes</v>
      </c>
      <c r="H2127" s="28">
        <f t="array" ref="H2127">_xlfn.XLOOKUP($A2127, 'Medical Examinations'!$A:$A, 'Medical Examinations'!G:G, "No Data")</f>
        <v>1</v>
      </c>
      <c r="I2127" s="28" t="str">
        <f t="array" ref="I2127">_xlfn.XLOOKUP($A2127, 'Medical Examinations'!$A:$A, 'Medical Examinations'!H:H, "No Data")</f>
        <v>No</v>
      </c>
      <c r="J2127" s="28" t="str">
        <f t="array" ref="J2127">_xlfn.XLOOKUP($A2127, 'Medical Examinations'!$A:$A, 'Medical Examinations'!I:I, "No Data")</f>
        <v>Obesity</v>
      </c>
      <c r="K2127" s="28" t="str">
        <f t="array" ref="K2127">_xlfn.XLOOKUP($A2127, 'Hospitalisation Details'!$A:$A, 'Hospitalisation Details'!I:I, "No Data")</f>
        <v>tier - 1</v>
      </c>
      <c r="L2127" s="28" t="str">
        <f t="array" ref="L2127">_xlfn.XLOOKUP($A2127, 'Hospitalisation Details'!$A:$A, 'Hospitalisation Details'!J:J, "No Data")</f>
        <v>R1012</v>
      </c>
      <c r="M2127" s="28" t="str">
        <f t="array" ref="M2127">_xlfn.XLOOKUP($A2127, 'Hospitalisation Details'!$A:$A, 'Hospitalisation Details'!E:E, "No Data")</f>
        <v>19/08/03</v>
      </c>
      <c r="N2127" s="28">
        <f t="array" ref="N2127">_xlfn.XLOOKUP($A2127, 'Hospitalisation Details'!$A:$A, 'Hospitalisation Details'!K:K, "No Data")</f>
        <v>19</v>
      </c>
      <c r="O2127" s="33">
        <f t="array" ref="O2127">_xlfn.XLOOKUP($A2127, 'Hospitalisation Details'!$A:$A, 'Hospitalisation Details'!G:G, "No Data")</f>
        <v>2138.07</v>
      </c>
      <c r="P2127" s="28" t="str">
        <f t="array" ref="P2127">_xlfn.XLOOKUP($A2127, 'Hospitalisation Details'!$A:$A, 'Hospitalisation Details'!H:H, "No Data")</f>
        <v>tier - 2</v>
      </c>
    </row>
    <row r="2128">
      <c r="A2128" s="25" t="s">
        <v>1949</v>
      </c>
      <c r="B2128" s="28" t="str">
        <f t="array" ref="B2128">_xlfn.XLOOKUP($A2128, 'Customer Names'!$A:$A, 'Customer Names'!B:B, "No Data")</f>
        <v>Campos</v>
      </c>
      <c r="C2128" s="28">
        <f t="array" ref="C2128">_xlfn.XLOOKUP($A2128, 'Medical Examinations'!$A:$A, 'Medical Examinations'!B:B, "No Data")</f>
        <v>25.74</v>
      </c>
      <c r="D2128" s="28">
        <f t="array" ref="D2128">_xlfn.XLOOKUP($A2128, 'Medical Examinations'!$A:$A, 'Medical Examinations'!C:C, "No Data")</f>
        <v>6.41</v>
      </c>
      <c r="E2128" s="28" t="str">
        <f t="array" ref="E2128">_xlfn.XLOOKUP($A2128, 'Medical Examinations'!$A:$A, 'Medical Examinations'!D:D, "No Data")</f>
        <v>yes</v>
      </c>
      <c r="F2128" s="28" t="str">
        <f t="array" ref="F2128">_xlfn.XLOOKUP($A2128, 'Medical Examinations'!$A:$A, 'Medical Examinations'!E:E, "No Data")</f>
        <v>No</v>
      </c>
      <c r="G2128" s="28" t="str">
        <f t="array" ref="G2128">_xlfn.XLOOKUP($A2128, 'Medical Examinations'!$A:$A, 'Medical Examinations'!F:F, "No Data")</f>
        <v>Yes</v>
      </c>
      <c r="H2128" s="28">
        <f t="array" ref="H2128">_xlfn.XLOOKUP($A2128, 'Medical Examinations'!$A:$A, 'Medical Examinations'!G:G, "No Data")</f>
        <v>1</v>
      </c>
      <c r="I2128" s="28" t="str">
        <f t="array" ref="I2128">_xlfn.XLOOKUP($A2128, 'Medical Examinations'!$A:$A, 'Medical Examinations'!H:H, "No Data")</f>
        <v>No</v>
      </c>
      <c r="J2128" s="28" t="str">
        <f t="array" ref="J2128">_xlfn.XLOOKUP($A2128, 'Medical Examinations'!$A:$A, 'Medical Examinations'!I:I, "No Data")</f>
        <v>Overweight</v>
      </c>
      <c r="K2128" s="28" t="str">
        <f t="array" ref="K2128">_xlfn.XLOOKUP($A2128, 'Hospitalisation Details'!$A:$A, 'Hospitalisation Details'!I:I, "No Data")</f>
        <v>tier - 1</v>
      </c>
      <c r="L2128" s="28" t="str">
        <f t="array" ref="L2128">_xlfn.XLOOKUP($A2128, 'Hospitalisation Details'!$A:$A, 'Hospitalisation Details'!J:J, "No Data")</f>
        <v>R1013</v>
      </c>
      <c r="M2128" s="28" t="str">
        <f t="array" ref="M2128">_xlfn.XLOOKUP($A2128, 'Hospitalisation Details'!$A:$A, 'Hospitalisation Details'!E:E, "No Data")</f>
        <v>03/09/97</v>
      </c>
      <c r="N2128" s="28">
        <f t="array" ref="N2128">_xlfn.XLOOKUP($A2128, 'Hospitalisation Details'!$A:$A, 'Hospitalisation Details'!K:K, "No Data")</f>
        <v>25</v>
      </c>
      <c r="O2128" s="33">
        <f t="array" ref="O2128">_xlfn.XLOOKUP($A2128, 'Hospitalisation Details'!$A:$A, 'Hospitalisation Details'!G:G, "No Data")</f>
        <v>2137.65</v>
      </c>
      <c r="P2128" s="28" t="str">
        <f t="array" ref="P2128">_xlfn.XLOOKUP($A2128, 'Hospitalisation Details'!$A:$A, 'Hospitalisation Details'!H:H, "No Data")</f>
        <v>tier - 3</v>
      </c>
    </row>
    <row r="2129">
      <c r="A2129" s="25" t="s">
        <v>1944</v>
      </c>
      <c r="B2129" s="28" t="str">
        <f t="array" ref="B2129">_xlfn.XLOOKUP($A2129, 'Customer Names'!$A:$A, 'Customer Names'!B:B, "No Data")</f>
        <v>Flajslik</v>
      </c>
      <c r="C2129" s="28">
        <f t="array" ref="C2129">_xlfn.XLOOKUP($A2129, 'Medical Examinations'!$A:$A, 'Medical Examinations'!B:B, "No Data")</f>
        <v>36.575</v>
      </c>
      <c r="D2129" s="28">
        <f t="array" ref="D2129">_xlfn.XLOOKUP($A2129, 'Medical Examinations'!$A:$A, 'Medical Examinations'!C:C, "No Data")</f>
        <v>5.57</v>
      </c>
      <c r="E2129" s="28" t="str">
        <f t="array" ref="E2129">_xlfn.XLOOKUP($A2129, 'Medical Examinations'!$A:$A, 'Medical Examinations'!D:D, "No Data")</f>
        <v>No</v>
      </c>
      <c r="F2129" s="28" t="str">
        <f t="array" ref="F2129">_xlfn.XLOOKUP($A2129, 'Medical Examinations'!$A:$A, 'Medical Examinations'!E:E, "No Data")</f>
        <v>No</v>
      </c>
      <c r="G2129" s="28" t="str">
        <f t="array" ref="G2129">_xlfn.XLOOKUP($A2129, 'Medical Examinations'!$A:$A, 'Medical Examinations'!F:F, "No Data")</f>
        <v>Yes</v>
      </c>
      <c r="H2129" s="28">
        <f t="array" ref="H2129">_xlfn.XLOOKUP($A2129, 'Medical Examinations'!$A:$A, 'Medical Examinations'!G:G, "No Data")</f>
        <v>1</v>
      </c>
      <c r="I2129" s="28" t="str">
        <f t="array" ref="I2129">_xlfn.XLOOKUP($A2129, 'Medical Examinations'!$A:$A, 'Medical Examinations'!H:H, "No Data")</f>
        <v>No</v>
      </c>
      <c r="J2129" s="28" t="str">
        <f t="array" ref="J2129">_xlfn.XLOOKUP($A2129, 'Medical Examinations'!$A:$A, 'Medical Examinations'!I:I, "No Data")</f>
        <v>Obesity</v>
      </c>
      <c r="K2129" s="28" t="str">
        <f t="array" ref="K2129">_xlfn.XLOOKUP($A2129, 'Hospitalisation Details'!$A:$A, 'Hospitalisation Details'!I:I, "No Data")</f>
        <v>tier - 2</v>
      </c>
      <c r="L2129" s="28" t="str">
        <f t="array" ref="L2129">_xlfn.XLOOKUP($A2129, 'Hospitalisation Details'!$A:$A, 'Hospitalisation Details'!J:J, "No Data")</f>
        <v>R1012</v>
      </c>
      <c r="M2129" s="28" t="str">
        <f t="array" ref="M2129">_xlfn.XLOOKUP($A2129, 'Hospitalisation Details'!$A:$A, 'Hospitalisation Details'!E:E, "No Data")</f>
        <v>26/09/03</v>
      </c>
      <c r="N2129" s="28">
        <f t="array" ref="N2129">_xlfn.XLOOKUP($A2129, 'Hospitalisation Details'!$A:$A, 'Hospitalisation Details'!K:K, "No Data")</f>
        <v>19</v>
      </c>
      <c r="O2129" s="33">
        <f t="array" ref="O2129">_xlfn.XLOOKUP($A2129, 'Hospitalisation Details'!$A:$A, 'Hospitalisation Details'!G:G, "No Data")</f>
        <v>2136.88</v>
      </c>
      <c r="P2129" s="28" t="str">
        <f t="array" ref="P2129">_xlfn.XLOOKUP($A2129, 'Hospitalisation Details'!$A:$A, 'Hospitalisation Details'!H:H, "No Data")</f>
        <v>tier - 2</v>
      </c>
    </row>
    <row r="2130">
      <c r="A2130" s="25" t="s">
        <v>1934</v>
      </c>
      <c r="B2130" s="28" t="str">
        <f t="array" ref="B2130">_xlfn.XLOOKUP($A2130, 'Customer Names'!$A:$A, 'Customer Names'!B:B, "No Data")</f>
        <v>Chua</v>
      </c>
      <c r="C2130" s="28">
        <f t="array" ref="C2130">_xlfn.XLOOKUP($A2130, 'Medical Examinations'!$A:$A, 'Medical Examinations'!B:B, "No Data")</f>
        <v>35.15</v>
      </c>
      <c r="D2130" s="28">
        <f t="array" ref="D2130">_xlfn.XLOOKUP($A2130, 'Medical Examinations'!$A:$A, 'Medical Examinations'!C:C, "No Data")</f>
        <v>5.47</v>
      </c>
      <c r="E2130" s="28" t="str">
        <f t="array" ref="E2130">_xlfn.XLOOKUP($A2130, 'Medical Examinations'!$A:$A, 'Medical Examinations'!D:D, "No Data")</f>
        <v>No</v>
      </c>
      <c r="F2130" s="28" t="str">
        <f t="array" ref="F2130">_xlfn.XLOOKUP($A2130, 'Medical Examinations'!$A:$A, 'Medical Examinations'!E:E, "No Data")</f>
        <v>No</v>
      </c>
      <c r="G2130" s="28" t="str">
        <f t="array" ref="G2130">_xlfn.XLOOKUP($A2130, 'Medical Examinations'!$A:$A, 'Medical Examinations'!F:F, "No Data")</f>
        <v>Yes</v>
      </c>
      <c r="H2130" s="28">
        <f t="array" ref="H2130">_xlfn.XLOOKUP($A2130, 'Medical Examinations'!$A:$A, 'Medical Examinations'!G:G, "No Data")</f>
        <v>1</v>
      </c>
      <c r="I2130" s="28" t="str">
        <f t="array" ref="I2130">_xlfn.XLOOKUP($A2130, 'Medical Examinations'!$A:$A, 'Medical Examinations'!H:H, "No Data")</f>
        <v>No</v>
      </c>
      <c r="J2130" s="28" t="str">
        <f t="array" ref="J2130">_xlfn.XLOOKUP($A2130, 'Medical Examinations'!$A:$A, 'Medical Examinations'!I:I, "No Data")</f>
        <v>Obesity</v>
      </c>
      <c r="K2130" s="28" t="str">
        <f t="array" ref="K2130">_xlfn.XLOOKUP($A2130, 'Hospitalisation Details'!$A:$A, 'Hospitalisation Details'!I:I, "No Data")</f>
        <v>tier - 3</v>
      </c>
      <c r="L2130" s="28" t="str">
        <f t="array" ref="L2130">_xlfn.XLOOKUP($A2130, 'Hospitalisation Details'!$A:$A, 'Hospitalisation Details'!J:J, "No Data")</f>
        <v>R1012</v>
      </c>
      <c r="M2130" s="28" t="str">
        <f t="array" ref="M2130">_xlfn.XLOOKUP($A2130, 'Hospitalisation Details'!$A:$A, 'Hospitalisation Details'!E:E, "No Data")</f>
        <v>01/09/03</v>
      </c>
      <c r="N2130" s="28">
        <f t="array" ref="N2130">_xlfn.XLOOKUP($A2130, 'Hospitalisation Details'!$A:$A, 'Hospitalisation Details'!K:K, "No Data")</f>
        <v>19</v>
      </c>
      <c r="O2130" s="33">
        <f t="array" ref="O2130">_xlfn.XLOOKUP($A2130, 'Hospitalisation Details'!$A:$A, 'Hospitalisation Details'!G:G, "No Data")</f>
        <v>2134.9</v>
      </c>
      <c r="P2130" s="28" t="str">
        <f t="array" ref="P2130">_xlfn.XLOOKUP($A2130, 'Hospitalisation Details'!$A:$A, 'Hospitalisation Details'!H:H, "No Data")</f>
        <v>tier - 2</v>
      </c>
    </row>
    <row r="2131">
      <c r="A2131" s="25" t="s">
        <v>1924</v>
      </c>
      <c r="B2131" s="28" t="str">
        <f t="array" ref="B2131">_xlfn.XLOOKUP($A2131, 'Customer Names'!$A:$A, 'Customer Names'!B:B, "No Data")</f>
        <v>Wiltse</v>
      </c>
      <c r="C2131" s="28">
        <f t="array" ref="C2131">_xlfn.XLOOKUP($A2131, 'Medical Examinations'!$A:$A, 'Medical Examinations'!B:B, "No Data")</f>
        <v>32.11</v>
      </c>
      <c r="D2131" s="28">
        <f t="array" ref="D2131">_xlfn.XLOOKUP($A2131, 'Medical Examinations'!$A:$A, 'Medical Examinations'!C:C, "No Data")</f>
        <v>4.43</v>
      </c>
      <c r="E2131" s="28" t="str">
        <f t="array" ref="E2131">_xlfn.XLOOKUP($A2131, 'Medical Examinations'!$A:$A, 'Medical Examinations'!D:D, "No Data")</f>
        <v>No</v>
      </c>
      <c r="F2131" s="28" t="str">
        <f t="array" ref="F2131">_xlfn.XLOOKUP($A2131, 'Medical Examinations'!$A:$A, 'Medical Examinations'!E:E, "No Data")</f>
        <v>No</v>
      </c>
      <c r="G2131" s="28" t="str">
        <f t="array" ref="G2131">_xlfn.XLOOKUP($A2131, 'Medical Examinations'!$A:$A, 'Medical Examinations'!F:F, "No Data")</f>
        <v>Yes</v>
      </c>
      <c r="H2131" s="28">
        <f t="array" ref="H2131">_xlfn.XLOOKUP($A2131, 'Medical Examinations'!$A:$A, 'Medical Examinations'!G:G, "No Data")</f>
        <v>1</v>
      </c>
      <c r="I2131" s="28" t="str">
        <f t="array" ref="I2131">_xlfn.XLOOKUP($A2131, 'Medical Examinations'!$A:$A, 'Medical Examinations'!H:H, "No Data")</f>
        <v>No</v>
      </c>
      <c r="J2131" s="28" t="str">
        <f t="array" ref="J2131">_xlfn.XLOOKUP($A2131, 'Medical Examinations'!$A:$A, 'Medical Examinations'!I:I, "No Data")</f>
        <v>Obesity</v>
      </c>
      <c r="K2131" s="28" t="str">
        <f t="array" ref="K2131">_xlfn.XLOOKUP($A2131, 'Hospitalisation Details'!$A:$A, 'Hospitalisation Details'!I:I, "No Data")</f>
        <v>tier - 3</v>
      </c>
      <c r="L2131" s="28" t="str">
        <f t="array" ref="L2131">_xlfn.XLOOKUP($A2131, 'Hospitalisation Details'!$A:$A, 'Hospitalisation Details'!J:J, "No Data")</f>
        <v>R1012</v>
      </c>
      <c r="M2131" s="28" t="str">
        <f t="array" ref="M2131">_xlfn.XLOOKUP($A2131, 'Hospitalisation Details'!$A:$A, 'Hospitalisation Details'!E:E, "No Data")</f>
        <v>22/12/03</v>
      </c>
      <c r="N2131" s="28">
        <f t="array" ref="N2131">_xlfn.XLOOKUP($A2131, 'Hospitalisation Details'!$A:$A, 'Hospitalisation Details'!K:K, "No Data")</f>
        <v>19</v>
      </c>
      <c r="O2131" s="33">
        <f t="array" ref="O2131">_xlfn.XLOOKUP($A2131, 'Hospitalisation Details'!$A:$A, 'Hospitalisation Details'!G:G, "No Data")</f>
        <v>2130.68</v>
      </c>
      <c r="P2131" s="28" t="str">
        <f t="array" ref="P2131">_xlfn.XLOOKUP($A2131, 'Hospitalisation Details'!$A:$A, 'Hospitalisation Details'!H:H, "No Data")</f>
        <v>tier - 2</v>
      </c>
    </row>
    <row r="2132">
      <c r="A2132" s="25" t="s">
        <v>1919</v>
      </c>
      <c r="B2132" s="28" t="str">
        <f t="array" ref="B2132">_xlfn.XLOOKUP($A2132, 'Customer Names'!$A:$A, 'Customer Names'!B:B, "No Data")</f>
        <v>Fisher</v>
      </c>
      <c r="C2132" s="28">
        <f t="array" ref="C2132">_xlfn.XLOOKUP($A2132, 'Medical Examinations'!$A:$A, 'Medical Examinations'!B:B, "No Data")</f>
        <v>30.495</v>
      </c>
      <c r="D2132" s="28">
        <f t="array" ref="D2132">_xlfn.XLOOKUP($A2132, 'Medical Examinations'!$A:$A, 'Medical Examinations'!C:C, "No Data")</f>
        <v>4.95</v>
      </c>
      <c r="E2132" s="28" t="str">
        <f t="array" ref="E2132">_xlfn.XLOOKUP($A2132, 'Medical Examinations'!$A:$A, 'Medical Examinations'!D:D, "No Data")</f>
        <v>No</v>
      </c>
      <c r="F2132" s="28" t="str">
        <f t="array" ref="F2132">_xlfn.XLOOKUP($A2132, 'Medical Examinations'!$A:$A, 'Medical Examinations'!E:E, "No Data")</f>
        <v>No</v>
      </c>
      <c r="G2132" s="28" t="str">
        <f t="array" ref="G2132">_xlfn.XLOOKUP($A2132, 'Medical Examinations'!$A:$A, 'Medical Examinations'!F:F, "No Data")</f>
        <v>Yes</v>
      </c>
      <c r="H2132" s="28">
        <f t="array" ref="H2132">_xlfn.XLOOKUP($A2132, 'Medical Examinations'!$A:$A, 'Medical Examinations'!G:G, "No Data")</f>
        <v>1</v>
      </c>
      <c r="I2132" s="28" t="str">
        <f t="array" ref="I2132">_xlfn.XLOOKUP($A2132, 'Medical Examinations'!$A:$A, 'Medical Examinations'!H:H, "No Data")</f>
        <v>No</v>
      </c>
      <c r="J2132" s="28" t="str">
        <f t="array" ref="J2132">_xlfn.XLOOKUP($A2132, 'Medical Examinations'!$A:$A, 'Medical Examinations'!I:I, "No Data")</f>
        <v>Obesity</v>
      </c>
      <c r="K2132" s="28" t="str">
        <f t="array" ref="K2132">_xlfn.XLOOKUP($A2132, 'Hospitalisation Details'!$A:$A, 'Hospitalisation Details'!I:I, "No Data")</f>
        <v>tier - 1</v>
      </c>
      <c r="L2132" s="28" t="str">
        <f t="array" ref="L2132">_xlfn.XLOOKUP($A2132, 'Hospitalisation Details'!$A:$A, 'Hospitalisation Details'!J:J, "No Data")</f>
        <v>R1012</v>
      </c>
      <c r="M2132" s="28" t="str">
        <f t="array" ref="M2132">_xlfn.XLOOKUP($A2132, 'Hospitalisation Details'!$A:$A, 'Hospitalisation Details'!E:E, "No Data")</f>
        <v>30/08/03</v>
      </c>
      <c r="N2132" s="28">
        <f t="array" ref="N2132">_xlfn.XLOOKUP($A2132, 'Hospitalisation Details'!$A:$A, 'Hospitalisation Details'!K:K, "No Data")</f>
        <v>19</v>
      </c>
      <c r="O2132" s="33">
        <f t="array" ref="O2132">_xlfn.XLOOKUP($A2132, 'Hospitalisation Details'!$A:$A, 'Hospitalisation Details'!G:G, "No Data")</f>
        <v>2128.43</v>
      </c>
      <c r="P2132" s="28" t="str">
        <f t="array" ref="P2132">_xlfn.XLOOKUP($A2132, 'Hospitalisation Details'!$A:$A, 'Hospitalisation Details'!H:H, "No Data")</f>
        <v>tier - 2</v>
      </c>
    </row>
    <row r="2133">
      <c r="A2133" s="25" t="s">
        <v>1909</v>
      </c>
      <c r="B2133" s="28" t="str">
        <f t="array" ref="B2133">_xlfn.XLOOKUP($A2133, 'Customer Names'!$A:$A, 'Customer Names'!B:B, "No Data")</f>
        <v>Wilzbacher</v>
      </c>
      <c r="C2133" s="28">
        <f t="array" ref="C2133">_xlfn.XLOOKUP($A2133, 'Medical Examinations'!$A:$A, 'Medical Examinations'!B:B, "No Data")</f>
        <v>29.24</v>
      </c>
      <c r="D2133" s="28">
        <f t="array" ref="D2133">_xlfn.XLOOKUP($A2133, 'Medical Examinations'!$A:$A, 'Medical Examinations'!C:C, "No Data")</f>
        <v>4.04</v>
      </c>
      <c r="E2133" s="28" t="str">
        <f t="array" ref="E2133">_xlfn.XLOOKUP($A2133, 'Medical Examinations'!$A:$A, 'Medical Examinations'!D:D, "No Data")</f>
        <v>No</v>
      </c>
      <c r="F2133" s="28" t="str">
        <f t="array" ref="F2133">_xlfn.XLOOKUP($A2133, 'Medical Examinations'!$A:$A, 'Medical Examinations'!E:E, "No Data")</f>
        <v>yes</v>
      </c>
      <c r="G2133" s="28" t="str">
        <f t="array" ref="G2133">_xlfn.XLOOKUP($A2133, 'Medical Examinations'!$A:$A, 'Medical Examinations'!F:F, "No Data")</f>
        <v>No</v>
      </c>
      <c r="H2133" s="28">
        <f t="array" ref="H2133">_xlfn.XLOOKUP($A2133, 'Medical Examinations'!$A:$A, 'Medical Examinations'!G:G, "No Data")</f>
        <v>1</v>
      </c>
      <c r="I2133" s="28" t="str">
        <f t="array" ref="I2133">_xlfn.XLOOKUP($A2133, 'Medical Examinations'!$A:$A, 'Medical Examinations'!H:H, "No Data")</f>
        <v>No</v>
      </c>
      <c r="J2133" s="28" t="str">
        <f t="array" ref="J2133">_xlfn.XLOOKUP($A2133, 'Medical Examinations'!$A:$A, 'Medical Examinations'!I:I, "No Data")</f>
        <v>Overweight</v>
      </c>
      <c r="K2133" s="28" t="str">
        <f t="array" ref="K2133">_xlfn.XLOOKUP($A2133, 'Hospitalisation Details'!$A:$A, 'Hospitalisation Details'!I:I, "No Data")</f>
        <v>tier - 1</v>
      </c>
      <c r="L2133" s="28" t="str">
        <f t="array" ref="L2133">_xlfn.XLOOKUP($A2133, 'Hospitalisation Details'!$A:$A, 'Hospitalisation Details'!J:J, "No Data")</f>
        <v>R1012</v>
      </c>
      <c r="M2133" s="28" t="str">
        <f t="array" ref="M2133">_xlfn.XLOOKUP($A2133, 'Hospitalisation Details'!$A:$A, 'Hospitalisation Details'!E:E, "No Data")</f>
        <v>04/11/04</v>
      </c>
      <c r="N2133" s="28">
        <f t="array" ref="N2133">_xlfn.XLOOKUP($A2133, 'Hospitalisation Details'!$A:$A, 'Hospitalisation Details'!K:K, "No Data")</f>
        <v>18</v>
      </c>
      <c r="O2133" s="33">
        <f t="array" ref="O2133">_xlfn.XLOOKUP($A2133, 'Hospitalisation Details'!$A:$A, 'Hospitalisation Details'!G:G, "No Data")</f>
        <v>2118.61</v>
      </c>
      <c r="P2133" s="28" t="str">
        <f t="array" ref="P2133">_xlfn.XLOOKUP($A2133, 'Hospitalisation Details'!$A:$A, 'Hospitalisation Details'!H:H, "No Data")</f>
        <v>tier - 2</v>
      </c>
    </row>
    <row r="2134">
      <c r="A2134" s="25" t="s">
        <v>1898</v>
      </c>
      <c r="B2134" s="28" t="str">
        <f t="array" ref="B2134">_xlfn.XLOOKUP($A2134, 'Customer Names'!$A:$A, 'Customer Names'!B:B, "No Data")</f>
        <v>Thayer</v>
      </c>
      <c r="C2134" s="28">
        <f t="array" ref="C2134">_xlfn.XLOOKUP($A2134, 'Medical Examinations'!$A:$A, 'Medical Examinations'!B:B, "No Data")</f>
        <v>22.515</v>
      </c>
      <c r="D2134" s="28">
        <f t="array" ref="D2134">_xlfn.XLOOKUP($A2134, 'Medical Examinations'!$A:$A, 'Medical Examinations'!C:C, "No Data")</f>
        <v>5.93</v>
      </c>
      <c r="E2134" s="28" t="str">
        <f t="array" ref="E2134">_xlfn.XLOOKUP($A2134, 'Medical Examinations'!$A:$A, 'Medical Examinations'!D:D, "No Data")</f>
        <v>No</v>
      </c>
      <c r="F2134" s="28" t="str">
        <f t="array" ref="F2134">_xlfn.XLOOKUP($A2134, 'Medical Examinations'!$A:$A, 'Medical Examinations'!E:E, "No Data")</f>
        <v>No</v>
      </c>
      <c r="G2134" s="28" t="str">
        <f t="array" ref="G2134">_xlfn.XLOOKUP($A2134, 'Medical Examinations'!$A:$A, 'Medical Examinations'!F:F, "No Data")</f>
        <v>Yes</v>
      </c>
      <c r="H2134" s="28">
        <f t="array" ref="H2134">_xlfn.XLOOKUP($A2134, 'Medical Examinations'!$A:$A, 'Medical Examinations'!G:G, "No Data")</f>
        <v>1</v>
      </c>
      <c r="I2134" s="28" t="str">
        <f t="array" ref="I2134">_xlfn.XLOOKUP($A2134, 'Medical Examinations'!$A:$A, 'Medical Examinations'!H:H, "No Data")</f>
        <v>No</v>
      </c>
      <c r="J2134" s="28" t="str">
        <f t="array" ref="J2134">_xlfn.XLOOKUP($A2134, 'Medical Examinations'!$A:$A, 'Medical Examinations'!I:I, "No Data")</f>
        <v>Normal Weight</v>
      </c>
      <c r="K2134" s="28" t="str">
        <f t="array" ref="K2134">_xlfn.XLOOKUP($A2134, 'Hospitalisation Details'!$A:$A, 'Hospitalisation Details'!I:I, "No Data")</f>
        <v>tier - 3</v>
      </c>
      <c r="L2134" s="28" t="str">
        <f t="array" ref="L2134">_xlfn.XLOOKUP($A2134, 'Hospitalisation Details'!$A:$A, 'Hospitalisation Details'!J:J, "No Data")</f>
        <v>R1012</v>
      </c>
      <c r="M2134" s="28" t="str">
        <f t="array" ref="M2134">_xlfn.XLOOKUP($A2134, 'Hospitalisation Details'!$A:$A, 'Hospitalisation Details'!E:E, "No Data")</f>
        <v>30/09/03</v>
      </c>
      <c r="N2134" s="28">
        <f t="array" ref="N2134">_xlfn.XLOOKUP($A2134, 'Hospitalisation Details'!$A:$A, 'Hospitalisation Details'!K:K, "No Data")</f>
        <v>19</v>
      </c>
      <c r="O2134" s="33">
        <f t="array" ref="O2134">_xlfn.XLOOKUP($A2134, 'Hospitalisation Details'!$A:$A, 'Hospitalisation Details'!G:G, "No Data")</f>
        <v>2117.34</v>
      </c>
      <c r="P2134" s="28" t="str">
        <f t="array" ref="P2134">_xlfn.XLOOKUP($A2134, 'Hospitalisation Details'!$A:$A, 'Hospitalisation Details'!H:H, "No Data")</f>
        <v>tier - 2</v>
      </c>
    </row>
    <row r="2135">
      <c r="A2135" s="25" t="s">
        <v>1887</v>
      </c>
      <c r="B2135" s="28" t="str">
        <f t="array" ref="B2135">_xlfn.XLOOKUP($A2135, 'Customer Names'!$A:$A, 'Customer Names'!B:B, "No Data")</f>
        <v>Brosseau</v>
      </c>
      <c r="C2135" s="28">
        <f t="array" ref="C2135">_xlfn.XLOOKUP($A2135, 'Medical Examinations'!$A:$A, 'Medical Examinations'!B:B, "No Data")</f>
        <v>15.65</v>
      </c>
      <c r="D2135" s="28">
        <f t="array" ref="D2135">_xlfn.XLOOKUP($A2135, 'Medical Examinations'!$A:$A, 'Medical Examinations'!C:C, "No Data")</f>
        <v>4.23</v>
      </c>
      <c r="E2135" s="28" t="str">
        <f t="array" ref="E2135">_xlfn.XLOOKUP($A2135, 'Medical Examinations'!$A:$A, 'Medical Examinations'!D:D, "No Data")</f>
        <v>No</v>
      </c>
      <c r="F2135" s="28" t="str">
        <f t="array" ref="F2135">_xlfn.XLOOKUP($A2135, 'Medical Examinations'!$A:$A, 'Medical Examinations'!E:E, "No Data")</f>
        <v>No</v>
      </c>
      <c r="G2135" s="28" t="str">
        <f t="array" ref="G2135">_xlfn.XLOOKUP($A2135, 'Medical Examinations'!$A:$A, 'Medical Examinations'!F:F, "No Data")</f>
        <v>No</v>
      </c>
      <c r="H2135" s="28">
        <f t="array" ref="H2135">_xlfn.XLOOKUP($A2135, 'Medical Examinations'!$A:$A, 'Medical Examinations'!G:G, "No Data")</f>
        <v>0</v>
      </c>
      <c r="I2135" s="28" t="str">
        <f t="array" ref="I2135">_xlfn.XLOOKUP($A2135, 'Medical Examinations'!$A:$A, 'Medical Examinations'!H:H, "No Data")</f>
        <v>No</v>
      </c>
      <c r="J2135" s="28" t="str">
        <f t="array" ref="J2135">_xlfn.XLOOKUP($A2135, 'Medical Examinations'!$A:$A, 'Medical Examinations'!I:I, "No Data")</f>
        <v>Underweight</v>
      </c>
      <c r="K2135" s="28" t="str">
        <f t="array" ref="K2135">_xlfn.XLOOKUP($A2135, 'Hospitalisation Details'!$A:$A, 'Hospitalisation Details'!I:I, "No Data")</f>
        <v>tier - 2</v>
      </c>
      <c r="L2135" s="28" t="str">
        <f t="array" ref="L2135">_xlfn.XLOOKUP($A2135, 'Hospitalisation Details'!$A:$A, 'Hospitalisation Details'!J:J, "No Data")</f>
        <v>R1013</v>
      </c>
      <c r="M2135" s="28" t="str">
        <f t="array" ref="M2135">_xlfn.XLOOKUP($A2135, 'Hospitalisation Details'!$A:$A, 'Hospitalisation Details'!E:E, "No Data")</f>
        <v>21/07/89</v>
      </c>
      <c r="N2135" s="28">
        <f t="array" ref="N2135">_xlfn.XLOOKUP($A2135, 'Hospitalisation Details'!$A:$A, 'Hospitalisation Details'!K:K, "No Data")</f>
        <v>33</v>
      </c>
      <c r="O2135" s="33">
        <f t="array" ref="O2135">_xlfn.XLOOKUP($A2135, 'Hospitalisation Details'!$A:$A, 'Hospitalisation Details'!G:G, "No Data")</f>
        <v>2106.26</v>
      </c>
      <c r="P2135" s="28" t="str">
        <f t="array" ref="P2135">_xlfn.XLOOKUP($A2135, 'Hospitalisation Details'!$A:$A, 'Hospitalisation Details'!H:H, "No Data")</f>
        <v>tier - 2</v>
      </c>
    </row>
    <row r="2136">
      <c r="A2136" s="25" t="s">
        <v>1879</v>
      </c>
      <c r="B2136" s="28" t="str">
        <f t="array" ref="B2136">_xlfn.XLOOKUP($A2136, 'Customer Names'!$A:$A, 'Customer Names'!B:B, "No Data")</f>
        <v>Phares</v>
      </c>
      <c r="C2136" s="28">
        <f t="array" ref="C2136">_xlfn.XLOOKUP($A2136, 'Medical Examinations'!$A:$A, 'Medical Examinations'!B:B, "No Data")</f>
        <v>27.36</v>
      </c>
      <c r="D2136" s="28">
        <f t="array" ref="D2136">_xlfn.XLOOKUP($A2136, 'Medical Examinations'!$A:$A, 'Medical Examinations'!C:C, "No Data")</f>
        <v>5.59</v>
      </c>
      <c r="E2136" s="28" t="str">
        <f t="array" ref="E2136">_xlfn.XLOOKUP($A2136, 'Medical Examinations'!$A:$A, 'Medical Examinations'!D:D, "No Data")</f>
        <v>yes</v>
      </c>
      <c r="F2136" s="28" t="str">
        <f t="array" ref="F2136">_xlfn.XLOOKUP($A2136, 'Medical Examinations'!$A:$A, 'Medical Examinations'!E:E, "No Data")</f>
        <v>No</v>
      </c>
      <c r="G2136" s="28" t="str">
        <f t="array" ref="G2136">_xlfn.XLOOKUP($A2136, 'Medical Examinations'!$A:$A, 'Medical Examinations'!F:F, "No Data")</f>
        <v>No</v>
      </c>
      <c r="H2136" s="28">
        <f t="array" ref="H2136">_xlfn.XLOOKUP($A2136, 'Medical Examinations'!$A:$A, 'Medical Examinations'!G:G, "No Data")</f>
        <v>0</v>
      </c>
      <c r="I2136" s="28" t="str">
        <f t="array" ref="I2136">_xlfn.XLOOKUP($A2136, 'Medical Examinations'!$A:$A, 'Medical Examinations'!H:H, "No Data")</f>
        <v>No</v>
      </c>
      <c r="J2136" s="28" t="str">
        <f t="array" ref="J2136">_xlfn.XLOOKUP($A2136, 'Medical Examinations'!$A:$A, 'Medical Examinations'!I:I, "No Data")</f>
        <v>Overweight</v>
      </c>
      <c r="K2136" s="28" t="str">
        <f t="array" ref="K2136">_xlfn.XLOOKUP($A2136, 'Hospitalisation Details'!$A:$A, 'Hospitalisation Details'!I:I, "No Data")</f>
        <v>tier - 1</v>
      </c>
      <c r="L2136" s="28" t="str">
        <f t="array" ref="L2136">_xlfn.XLOOKUP($A2136, 'Hospitalisation Details'!$A:$A, 'Hospitalisation Details'!J:J, "No Data")</f>
        <v>R1016</v>
      </c>
      <c r="M2136" s="28" t="str">
        <f t="array" ref="M2136">_xlfn.XLOOKUP($A2136, 'Hospitalisation Details'!$A:$A, 'Hospitalisation Details'!E:E, "No Data")</f>
        <v>28/11/01</v>
      </c>
      <c r="N2136" s="28">
        <f t="array" ref="N2136">_xlfn.XLOOKUP($A2136, 'Hospitalisation Details'!$A:$A, 'Hospitalisation Details'!K:K, "No Data")</f>
        <v>21</v>
      </c>
      <c r="O2136" s="33">
        <f t="array" ref="O2136">_xlfn.XLOOKUP($A2136, 'Hospitalisation Details'!$A:$A, 'Hospitalisation Details'!G:G, "No Data")</f>
        <v>2104.11</v>
      </c>
      <c r="P2136" s="28" t="str">
        <f t="array" ref="P2136">_xlfn.XLOOKUP($A2136, 'Hospitalisation Details'!$A:$A, 'Hospitalisation Details'!H:H, "No Data")</f>
        <v>tier - 2</v>
      </c>
    </row>
    <row r="2137">
      <c r="A2137" s="25" t="s">
        <v>1872</v>
      </c>
      <c r="B2137" s="28" t="str">
        <f t="array" ref="B2137">_xlfn.XLOOKUP($A2137, 'Customer Names'!$A:$A, 'Customer Names'!B:B, "No Data")</f>
        <v>Curley</v>
      </c>
      <c r="C2137" s="28">
        <f t="array" ref="C2137">_xlfn.XLOOKUP($A2137, 'Medical Examinations'!$A:$A, 'Medical Examinations'!B:B, "No Data")</f>
        <v>22.3</v>
      </c>
      <c r="D2137" s="28">
        <f t="array" ref="D2137">_xlfn.XLOOKUP($A2137, 'Medical Examinations'!$A:$A, 'Medical Examinations'!C:C, "No Data")</f>
        <v>4.89</v>
      </c>
      <c r="E2137" s="28" t="str">
        <f t="array" ref="E2137">_xlfn.XLOOKUP($A2137, 'Medical Examinations'!$A:$A, 'Medical Examinations'!D:D, "No Data")</f>
        <v>yes</v>
      </c>
      <c r="F2137" s="28" t="str">
        <f t="array" ref="F2137">_xlfn.XLOOKUP($A2137, 'Medical Examinations'!$A:$A, 'Medical Examinations'!E:E, "No Data")</f>
        <v>No</v>
      </c>
      <c r="G2137" s="28" t="str">
        <f t="array" ref="G2137">_xlfn.XLOOKUP($A2137, 'Medical Examinations'!$A:$A, 'Medical Examinations'!F:F, "No Data")</f>
        <v>No</v>
      </c>
      <c r="H2137" s="28">
        <f t="array" ref="H2137">_xlfn.XLOOKUP($A2137, 'Medical Examinations'!$A:$A, 'Medical Examinations'!G:G, "No Data")</f>
        <v>0</v>
      </c>
      <c r="I2137" s="28" t="str">
        <f t="array" ref="I2137">_xlfn.XLOOKUP($A2137, 'Medical Examinations'!$A:$A, 'Medical Examinations'!H:H, "No Data")</f>
        <v>No</v>
      </c>
      <c r="J2137" s="28" t="str">
        <f t="array" ref="J2137">_xlfn.XLOOKUP($A2137, 'Medical Examinations'!$A:$A, 'Medical Examinations'!I:I, "No Data")</f>
        <v>Normal Weight</v>
      </c>
      <c r="K2137" s="28" t="str">
        <f t="array" ref="K2137">_xlfn.XLOOKUP($A2137, 'Hospitalisation Details'!$A:$A, 'Hospitalisation Details'!I:I, "No Data")</f>
        <v>tier - 2</v>
      </c>
      <c r="L2137" s="28" t="str">
        <f t="array" ref="L2137">_xlfn.XLOOKUP($A2137, 'Hospitalisation Details'!$A:$A, 'Hospitalisation Details'!J:J, "No Data")</f>
        <v>R1011</v>
      </c>
      <c r="M2137" s="28" t="str">
        <f t="array" ref="M2137">_xlfn.XLOOKUP($A2137, 'Hospitalisation Details'!$A:$A, 'Hospitalisation Details'!E:E, "No Data")</f>
        <v>22/06/01</v>
      </c>
      <c r="N2137" s="28">
        <f t="array" ref="N2137">_xlfn.XLOOKUP($A2137, 'Hospitalisation Details'!$A:$A, 'Hospitalisation Details'!K:K, "No Data")</f>
        <v>21</v>
      </c>
      <c r="O2137" s="33">
        <f t="array" ref="O2137">_xlfn.XLOOKUP($A2137, 'Hospitalisation Details'!$A:$A, 'Hospitalisation Details'!G:G, "No Data")</f>
        <v>2103.08</v>
      </c>
      <c r="P2137" s="28" t="str">
        <f t="array" ref="P2137">_xlfn.XLOOKUP($A2137, 'Hospitalisation Details'!$A:$A, 'Hospitalisation Details'!H:H, "No Data")</f>
        <v>tier - 3</v>
      </c>
    </row>
    <row r="2138">
      <c r="A2138" s="25" t="s">
        <v>1863</v>
      </c>
      <c r="B2138" s="28" t="str">
        <f t="array" ref="B2138">_xlfn.XLOOKUP($A2138, 'Customer Names'!$A:$A, 'Customer Names'!B:B, "No Data")</f>
        <v>Johnston</v>
      </c>
      <c r="C2138" s="28">
        <f t="array" ref="C2138">_xlfn.XLOOKUP($A2138, 'Medical Examinations'!$A:$A, 'Medical Examinations'!B:B, "No Data")</f>
        <v>26.03</v>
      </c>
      <c r="D2138" s="28">
        <f t="array" ref="D2138">_xlfn.XLOOKUP($A2138, 'Medical Examinations'!$A:$A, 'Medical Examinations'!C:C, "No Data")</f>
        <v>5.81</v>
      </c>
      <c r="E2138" s="28" t="str">
        <f t="array" ref="E2138">_xlfn.XLOOKUP($A2138, 'Medical Examinations'!$A:$A, 'Medical Examinations'!D:D, "No Data")</f>
        <v>yes</v>
      </c>
      <c r="F2138" s="28" t="str">
        <f t="array" ref="F2138">_xlfn.XLOOKUP($A2138, 'Medical Examinations'!$A:$A, 'Medical Examinations'!E:E, "No Data")</f>
        <v>No</v>
      </c>
      <c r="G2138" s="28" t="str">
        <f t="array" ref="G2138">_xlfn.XLOOKUP($A2138, 'Medical Examinations'!$A:$A, 'Medical Examinations'!F:F, "No Data")</f>
        <v>No</v>
      </c>
      <c r="H2138" s="28">
        <f t="array" ref="H2138">_xlfn.XLOOKUP($A2138, 'Medical Examinations'!$A:$A, 'Medical Examinations'!G:G, "No Data")</f>
        <v>0</v>
      </c>
      <c r="I2138" s="28" t="str">
        <f t="array" ref="I2138">_xlfn.XLOOKUP($A2138, 'Medical Examinations'!$A:$A, 'Medical Examinations'!H:H, "No Data")</f>
        <v>No</v>
      </c>
      <c r="J2138" s="28" t="str">
        <f t="array" ref="J2138">_xlfn.XLOOKUP($A2138, 'Medical Examinations'!$A:$A, 'Medical Examinations'!I:I, "No Data")</f>
        <v>Overweight</v>
      </c>
      <c r="K2138" s="28" t="str">
        <f t="array" ref="K2138">_xlfn.XLOOKUP($A2138, 'Hospitalisation Details'!$A:$A, 'Hospitalisation Details'!I:I, "No Data")</f>
        <v>tier - 2</v>
      </c>
      <c r="L2138" s="28" t="str">
        <f t="array" ref="L2138">_xlfn.XLOOKUP($A2138, 'Hospitalisation Details'!$A:$A, 'Hospitalisation Details'!J:J, "No Data")</f>
        <v>R1019</v>
      </c>
      <c r="M2138" s="28" t="str">
        <f t="array" ref="M2138">_xlfn.XLOOKUP($A2138, 'Hospitalisation Details'!$A:$A, 'Hospitalisation Details'!E:E, "No Data")</f>
        <v>14/08/01</v>
      </c>
      <c r="N2138" s="28">
        <f t="array" ref="N2138">_xlfn.XLOOKUP($A2138, 'Hospitalisation Details'!$A:$A, 'Hospitalisation Details'!K:K, "No Data")</f>
        <v>21</v>
      </c>
      <c r="O2138" s="33">
        <f t="array" ref="O2138">_xlfn.XLOOKUP($A2138, 'Hospitalisation Details'!$A:$A, 'Hospitalisation Details'!G:G, "No Data")</f>
        <v>2102.26</v>
      </c>
      <c r="P2138" s="28" t="str">
        <f t="array" ref="P2138">_xlfn.XLOOKUP($A2138, 'Hospitalisation Details'!$A:$A, 'Hospitalisation Details'!H:H, "No Data")</f>
        <v>tier - 3</v>
      </c>
    </row>
    <row r="2139">
      <c r="A2139" s="25" t="s">
        <v>1849</v>
      </c>
      <c r="B2139" s="28" t="str">
        <f t="array" ref="B2139">_xlfn.XLOOKUP($A2139, 'Customer Names'!$A:$A, 'Customer Names'!B:B, "No Data")</f>
        <v>Padula</v>
      </c>
      <c r="C2139" s="28">
        <f t="array" ref="C2139">_xlfn.XLOOKUP($A2139, 'Medical Examinations'!$A:$A, 'Medical Examinations'!B:B, "No Data")</f>
        <v>27.74</v>
      </c>
      <c r="D2139" s="28">
        <f t="array" ref="D2139">_xlfn.XLOOKUP($A2139, 'Medical Examinations'!$A:$A, 'Medical Examinations'!C:C, "No Data")</f>
        <v>4.29</v>
      </c>
      <c r="E2139" s="28" t="str">
        <f t="array" ref="E2139">_xlfn.XLOOKUP($A2139, 'Medical Examinations'!$A:$A, 'Medical Examinations'!D:D, "No Data")</f>
        <v>No</v>
      </c>
      <c r="F2139" s="28" t="str">
        <f t="array" ref="F2139">_xlfn.XLOOKUP($A2139, 'Medical Examinations'!$A:$A, 'Medical Examinations'!E:E, "No Data")</f>
        <v>yes</v>
      </c>
      <c r="G2139" s="28" t="str">
        <f t="array" ref="G2139">_xlfn.XLOOKUP($A2139, 'Medical Examinations'!$A:$A, 'Medical Examinations'!F:F, "No Data")</f>
        <v>No</v>
      </c>
      <c r="H2139" s="28">
        <f t="array" ref="H2139">_xlfn.XLOOKUP($A2139, 'Medical Examinations'!$A:$A, 'Medical Examinations'!G:G, "No Data")</f>
        <v>1</v>
      </c>
      <c r="I2139" s="28" t="str">
        <f t="array" ref="I2139">_xlfn.XLOOKUP($A2139, 'Medical Examinations'!$A:$A, 'Medical Examinations'!H:H, "No Data")</f>
        <v>No</v>
      </c>
      <c r="J2139" s="28" t="str">
        <f t="array" ref="J2139">_xlfn.XLOOKUP($A2139, 'Medical Examinations'!$A:$A, 'Medical Examinations'!I:I, "No Data")</f>
        <v>Overweight</v>
      </c>
      <c r="K2139" s="28" t="str">
        <f t="array" ref="K2139">_xlfn.XLOOKUP($A2139, 'Hospitalisation Details'!$A:$A, 'Hospitalisation Details'!I:I, "No Data")</f>
        <v>tier - 2</v>
      </c>
      <c r="L2139" s="28" t="str">
        <f t="array" ref="L2139">_xlfn.XLOOKUP($A2139, 'Hospitalisation Details'!$A:$A, 'Hospitalisation Details'!J:J, "No Data")</f>
        <v>R1025</v>
      </c>
      <c r="M2139" s="28" t="str">
        <f t="array" ref="M2139">_xlfn.XLOOKUP($A2139, 'Hospitalisation Details'!$A:$A, 'Hospitalisation Details'!E:E, "No Data")</f>
        <v>12/06/04</v>
      </c>
      <c r="N2139" s="28">
        <f t="array" ref="N2139">_xlfn.XLOOKUP($A2139, 'Hospitalisation Details'!$A:$A, 'Hospitalisation Details'!K:K, "No Data")</f>
        <v>18</v>
      </c>
      <c r="O2139" s="33">
        <f t="array" ref="O2139">_xlfn.XLOOKUP($A2139, 'Hospitalisation Details'!$A:$A, 'Hospitalisation Details'!G:G, "No Data")</f>
        <v>2094.1</v>
      </c>
      <c r="P2139" s="28" t="str">
        <f t="array" ref="P2139">_xlfn.XLOOKUP($A2139, 'Hospitalisation Details'!$A:$A, 'Hospitalisation Details'!H:H, "No Data")</f>
        <v>tier - 3</v>
      </c>
    </row>
    <row r="2140">
      <c r="A2140" s="25" t="s">
        <v>1842</v>
      </c>
      <c r="B2140" s="28" t="str">
        <f t="array" ref="B2140">_xlfn.XLOOKUP($A2140, 'Customer Names'!$A:$A, 'Customer Names'!B:B, "No Data")</f>
        <v>Gamirov</v>
      </c>
      <c r="C2140" s="28">
        <f t="array" ref="C2140">_xlfn.XLOOKUP($A2140, 'Medical Examinations'!$A:$A, 'Medical Examinations'!B:B, "No Data")</f>
        <v>32.11</v>
      </c>
      <c r="D2140" s="28">
        <f t="array" ref="D2140">_xlfn.XLOOKUP($A2140, 'Medical Examinations'!$A:$A, 'Medical Examinations'!C:C, "No Data")</f>
        <v>4.03</v>
      </c>
      <c r="E2140" s="28" t="str">
        <f t="array" ref="E2140">_xlfn.XLOOKUP($A2140, 'Medical Examinations'!$A:$A, 'Medical Examinations'!D:D, "No Data")</f>
        <v>yes</v>
      </c>
      <c r="F2140" s="28" t="str">
        <f t="array" ref="F2140">_xlfn.XLOOKUP($A2140, 'Medical Examinations'!$A:$A, 'Medical Examinations'!E:E, "No Data")</f>
        <v>yes</v>
      </c>
      <c r="G2140" s="28" t="str">
        <f t="array" ref="G2140">_xlfn.XLOOKUP($A2140, 'Medical Examinations'!$A:$A, 'Medical Examinations'!F:F, "No Data")</f>
        <v>No</v>
      </c>
      <c r="H2140" s="28">
        <f t="array" ref="H2140">_xlfn.XLOOKUP($A2140, 'Medical Examinations'!$A:$A, 'Medical Examinations'!G:G, "No Data")</f>
        <v>2</v>
      </c>
      <c r="I2140" s="28" t="str">
        <f t="array" ref="I2140">_xlfn.XLOOKUP($A2140, 'Medical Examinations'!$A:$A, 'Medical Examinations'!H:H, "No Data")</f>
        <v>No</v>
      </c>
      <c r="J2140" s="28" t="str">
        <f t="array" ref="J2140">_xlfn.XLOOKUP($A2140, 'Medical Examinations'!$A:$A, 'Medical Examinations'!I:I, "No Data")</f>
        <v>Obesity</v>
      </c>
      <c r="K2140" s="28" t="str">
        <f t="array" ref="K2140">_xlfn.XLOOKUP($A2140, 'Hospitalisation Details'!$A:$A, 'Hospitalisation Details'!I:I, "No Data")</f>
        <v>tier - 3</v>
      </c>
      <c r="L2140" s="28" t="str">
        <f t="array" ref="L2140">_xlfn.XLOOKUP($A2140, 'Hospitalisation Details'!$A:$A, 'Hospitalisation Details'!J:J, "No Data")</f>
        <v>R1012</v>
      </c>
      <c r="M2140" s="28" t="str">
        <f t="array" ref="M2140">_xlfn.XLOOKUP($A2140, 'Hospitalisation Details'!$A:$A, 'Hospitalisation Details'!E:E, "No Data")</f>
        <v>26/07/00</v>
      </c>
      <c r="N2140" s="28">
        <f t="array" ref="N2140">_xlfn.XLOOKUP($A2140, 'Hospitalisation Details'!$A:$A, 'Hospitalisation Details'!K:K, "No Data")</f>
        <v>22</v>
      </c>
      <c r="O2140" s="33">
        <f t="array" ref="O2140">_xlfn.XLOOKUP($A2140, 'Hospitalisation Details'!$A:$A, 'Hospitalisation Details'!G:G, "No Data")</f>
        <v>2055.32</v>
      </c>
      <c r="P2140" s="28" t="str">
        <f t="array" ref="P2140">_xlfn.XLOOKUP($A2140, 'Hospitalisation Details'!$A:$A, 'Hospitalisation Details'!H:H, "No Data")</f>
        <v>tier - 3</v>
      </c>
    </row>
    <row r="2141">
      <c r="A2141" s="25" t="s">
        <v>1833</v>
      </c>
      <c r="B2141" s="28" t="str">
        <f t="array" ref="B2141">_xlfn.XLOOKUP($A2141, 'Customer Names'!$A:$A, 'Customer Names'!B:B, "No Data")</f>
        <v>Briot</v>
      </c>
      <c r="C2141" s="28">
        <f t="array" ref="C2141">_xlfn.XLOOKUP($A2141, 'Medical Examinations'!$A:$A, 'Medical Examinations'!B:B, "No Data")</f>
        <v>25.175</v>
      </c>
      <c r="D2141" s="28">
        <f t="array" ref="D2141">_xlfn.XLOOKUP($A2141, 'Medical Examinations'!$A:$A, 'Medical Examinations'!C:C, "No Data")</f>
        <v>6.29</v>
      </c>
      <c r="E2141" s="28" t="str">
        <f t="array" ref="E2141">_xlfn.XLOOKUP($A2141, 'Medical Examinations'!$A:$A, 'Medical Examinations'!D:D, "No Data")</f>
        <v>yes</v>
      </c>
      <c r="F2141" s="28" t="str">
        <f t="array" ref="F2141">_xlfn.XLOOKUP($A2141, 'Medical Examinations'!$A:$A, 'Medical Examinations'!E:E, "No Data")</f>
        <v>yes</v>
      </c>
      <c r="G2141" s="28" t="str">
        <f t="array" ref="G2141">_xlfn.XLOOKUP($A2141, 'Medical Examinations'!$A:$A, 'Medical Examinations'!F:F, "No Data")</f>
        <v>No</v>
      </c>
      <c r="H2141" s="28">
        <f t="array" ref="H2141">_xlfn.XLOOKUP($A2141, 'Medical Examinations'!$A:$A, 'Medical Examinations'!G:G, "No Data")</f>
        <v>2</v>
      </c>
      <c r="I2141" s="28" t="str">
        <f t="array" ref="I2141">_xlfn.XLOOKUP($A2141, 'Medical Examinations'!$A:$A, 'Medical Examinations'!H:H, "No Data")</f>
        <v>No</v>
      </c>
      <c r="J2141" s="28" t="str">
        <f t="array" ref="J2141">_xlfn.XLOOKUP($A2141, 'Medical Examinations'!$A:$A, 'Medical Examinations'!I:I, "No Data")</f>
        <v>Overweight</v>
      </c>
      <c r="K2141" s="28" t="str">
        <f t="array" ref="K2141">_xlfn.XLOOKUP($A2141, 'Hospitalisation Details'!$A:$A, 'Hospitalisation Details'!I:I, "No Data")</f>
        <v>tier - 3</v>
      </c>
      <c r="L2141" s="28" t="str">
        <f t="array" ref="L2141">_xlfn.XLOOKUP($A2141, 'Hospitalisation Details'!$A:$A, 'Hospitalisation Details'!J:J, "No Data")</f>
        <v>R1012</v>
      </c>
      <c r="M2141" s="28" t="str">
        <f t="array" ref="M2141">_xlfn.XLOOKUP($A2141, 'Hospitalisation Details'!$A:$A, 'Hospitalisation Details'!E:E, "No Data")</f>
        <v>02/09/00</v>
      </c>
      <c r="N2141" s="28">
        <f t="array" ref="N2141">_xlfn.XLOOKUP($A2141, 'Hospitalisation Details'!$A:$A, 'Hospitalisation Details'!K:K, "No Data")</f>
        <v>22</v>
      </c>
      <c r="O2141" s="33">
        <f t="array" ref="O2141">_xlfn.XLOOKUP($A2141, 'Hospitalisation Details'!$A:$A, 'Hospitalisation Details'!G:G, "No Data")</f>
        <v>2045.69</v>
      </c>
      <c r="P2141" s="28" t="str">
        <f t="array" ref="P2141">_xlfn.XLOOKUP($A2141, 'Hospitalisation Details'!$A:$A, 'Hospitalisation Details'!H:H, "No Data")</f>
        <v>tier - 3</v>
      </c>
    </row>
    <row r="2142">
      <c r="A2142" s="25" t="s">
        <v>1824</v>
      </c>
      <c r="B2142" s="28" t="str">
        <f t="array" ref="B2142">_xlfn.XLOOKUP($A2142, 'Customer Names'!$A:$A, 'Customer Names'!B:B, "No Data")</f>
        <v>De Hueck</v>
      </c>
      <c r="C2142" s="28">
        <f t="array" ref="C2142">_xlfn.XLOOKUP($A2142, 'Medical Examinations'!$A:$A, 'Medical Examinations'!B:B, "No Data")</f>
        <v>39.49</v>
      </c>
      <c r="D2142" s="28">
        <f t="array" ref="D2142">_xlfn.XLOOKUP($A2142, 'Medical Examinations'!$A:$A, 'Medical Examinations'!C:C, "No Data")</f>
        <v>4.48</v>
      </c>
      <c r="E2142" s="28" t="str">
        <f t="array" ref="E2142">_xlfn.XLOOKUP($A2142, 'Medical Examinations'!$A:$A, 'Medical Examinations'!D:D, "No Data")</f>
        <v>yes</v>
      </c>
      <c r="F2142" s="28" t="str">
        <f t="array" ref="F2142">_xlfn.XLOOKUP($A2142, 'Medical Examinations'!$A:$A, 'Medical Examinations'!E:E, "No Data")</f>
        <v>No</v>
      </c>
      <c r="G2142" s="28" t="str">
        <f t="array" ref="G2142">_xlfn.XLOOKUP($A2142, 'Medical Examinations'!$A:$A, 'Medical Examinations'!F:F, "No Data")</f>
        <v>No</v>
      </c>
      <c r="H2142" s="28">
        <f t="array" ref="H2142">_xlfn.XLOOKUP($A2142, 'Medical Examinations'!$A:$A, 'Medical Examinations'!G:G, "No Data")</f>
        <v>0</v>
      </c>
      <c r="I2142" s="28" t="str">
        <f t="array" ref="I2142">_xlfn.XLOOKUP($A2142, 'Medical Examinations'!$A:$A, 'Medical Examinations'!H:H, "No Data")</f>
        <v>No</v>
      </c>
      <c r="J2142" s="28" t="str">
        <f t="array" ref="J2142">_xlfn.XLOOKUP($A2142, 'Medical Examinations'!$A:$A, 'Medical Examinations'!I:I, "No Data")</f>
        <v>Obesity</v>
      </c>
      <c r="K2142" s="28" t="str">
        <f t="array" ref="K2142">_xlfn.XLOOKUP($A2142, 'Hospitalisation Details'!$A:$A, 'Hospitalisation Details'!I:I, "No Data")</f>
        <v>tier - 2</v>
      </c>
      <c r="L2142" s="28" t="str">
        <f t="array" ref="L2142">_xlfn.XLOOKUP($A2142, 'Hospitalisation Details'!$A:$A, 'Hospitalisation Details'!J:J, "No Data")</f>
        <v>R1013</v>
      </c>
      <c r="M2142" s="28" t="str">
        <f t="array" ref="M2142">_xlfn.XLOOKUP($A2142, 'Hospitalisation Details'!$A:$A, 'Hospitalisation Details'!E:E, "No Data")</f>
        <v>04/08/01</v>
      </c>
      <c r="N2142" s="28">
        <f t="array" ref="N2142">_xlfn.XLOOKUP($A2142, 'Hospitalisation Details'!$A:$A, 'Hospitalisation Details'!K:K, "No Data")</f>
        <v>21</v>
      </c>
      <c r="O2142" s="33">
        <f t="array" ref="O2142">_xlfn.XLOOKUP($A2142, 'Hospitalisation Details'!$A:$A, 'Hospitalisation Details'!G:G, "No Data")</f>
        <v>2026.97</v>
      </c>
      <c r="P2142" s="28" t="str">
        <f t="array" ref="P2142">_xlfn.XLOOKUP($A2142, 'Hospitalisation Details'!$A:$A, 'Hospitalisation Details'!H:H, "No Data")</f>
        <v>tier - 3</v>
      </c>
    </row>
    <row r="2143">
      <c r="A2143" s="25" t="s">
        <v>1813</v>
      </c>
      <c r="B2143" s="28" t="str">
        <f t="array" ref="B2143">_xlfn.XLOOKUP($A2143, 'Customer Names'!$A:$A, 'Customer Names'!B:B, "No Data")</f>
        <v>Putt</v>
      </c>
      <c r="C2143" s="28">
        <f t="array" ref="C2143">_xlfn.XLOOKUP($A2143, 'Medical Examinations'!$A:$A, 'Medical Examinations'!B:B, "No Data")</f>
        <v>34.87</v>
      </c>
      <c r="D2143" s="28">
        <f t="array" ref="D2143">_xlfn.XLOOKUP($A2143, 'Medical Examinations'!$A:$A, 'Medical Examinations'!C:C, "No Data")</f>
        <v>5.51</v>
      </c>
      <c r="E2143" s="28" t="str">
        <f t="array" ref="E2143">_xlfn.XLOOKUP($A2143, 'Medical Examinations'!$A:$A, 'Medical Examinations'!D:D, "No Data")</f>
        <v>yes</v>
      </c>
      <c r="F2143" s="28" t="str">
        <f t="array" ref="F2143">_xlfn.XLOOKUP($A2143, 'Medical Examinations'!$A:$A, 'Medical Examinations'!E:E, "No Data")</f>
        <v>No</v>
      </c>
      <c r="G2143" s="28" t="str">
        <f t="array" ref="G2143">_xlfn.XLOOKUP($A2143, 'Medical Examinations'!$A:$A, 'Medical Examinations'!F:F, "No Data")</f>
        <v>No</v>
      </c>
      <c r="H2143" s="28">
        <f t="array" ref="H2143">_xlfn.XLOOKUP($A2143, 'Medical Examinations'!$A:$A, 'Medical Examinations'!G:G, "No Data")</f>
        <v>0</v>
      </c>
      <c r="I2143" s="28" t="str">
        <f t="array" ref="I2143">_xlfn.XLOOKUP($A2143, 'Medical Examinations'!$A:$A, 'Medical Examinations'!H:H, "No Data")</f>
        <v>No</v>
      </c>
      <c r="J2143" s="28" t="str">
        <f t="array" ref="J2143">_xlfn.XLOOKUP($A2143, 'Medical Examinations'!$A:$A, 'Medical Examinations'!I:I, "No Data")</f>
        <v>Obesity</v>
      </c>
      <c r="K2143" s="28" t="str">
        <f t="array" ref="K2143">_xlfn.XLOOKUP($A2143, 'Hospitalisation Details'!$A:$A, 'Hospitalisation Details'!I:I, "No Data")</f>
        <v>tier - 2</v>
      </c>
      <c r="L2143" s="28" t="str">
        <f t="array" ref="L2143">_xlfn.XLOOKUP($A2143, 'Hospitalisation Details'!$A:$A, 'Hospitalisation Details'!J:J, "No Data")</f>
        <v>R1013</v>
      </c>
      <c r="M2143" s="28" t="str">
        <f t="array" ref="M2143">_xlfn.XLOOKUP($A2143, 'Hospitalisation Details'!$A:$A, 'Hospitalisation Details'!E:E, "No Data")</f>
        <v>06/09/01</v>
      </c>
      <c r="N2143" s="28">
        <f t="array" ref="N2143">_xlfn.XLOOKUP($A2143, 'Hospitalisation Details'!$A:$A, 'Hospitalisation Details'!K:K, "No Data")</f>
        <v>21</v>
      </c>
      <c r="O2143" s="33">
        <f t="array" ref="O2143">_xlfn.XLOOKUP($A2143, 'Hospitalisation Details'!$A:$A, 'Hospitalisation Details'!G:G, "No Data")</f>
        <v>2020.55</v>
      </c>
      <c r="P2143" s="28" t="str">
        <f t="array" ref="P2143">_xlfn.XLOOKUP($A2143, 'Hospitalisation Details'!$A:$A, 'Hospitalisation Details'!H:H, "No Data")</f>
        <v>tier - 3</v>
      </c>
    </row>
    <row r="2144">
      <c r="A2144" s="25" t="s">
        <v>1803</v>
      </c>
      <c r="B2144" s="28" t="str">
        <f t="array" ref="B2144">_xlfn.XLOOKUP($A2144, 'Customer Names'!$A:$A, 'Customer Names'!B:B, "No Data")</f>
        <v>Deiman</v>
      </c>
      <c r="C2144" s="28">
        <f t="array" ref="C2144">_xlfn.XLOOKUP($A2144, 'Medical Examinations'!$A:$A, 'Medical Examinations'!B:B, "No Data")</f>
        <v>34.6</v>
      </c>
      <c r="D2144" s="28">
        <f t="array" ref="D2144">_xlfn.XLOOKUP($A2144, 'Medical Examinations'!$A:$A, 'Medical Examinations'!C:C, "No Data")</f>
        <v>4.5</v>
      </c>
      <c r="E2144" s="28" t="str">
        <f t="array" ref="E2144">_xlfn.XLOOKUP($A2144, 'Medical Examinations'!$A:$A, 'Medical Examinations'!D:D, "No Data")</f>
        <v>yes</v>
      </c>
      <c r="F2144" s="28" t="str">
        <f t="array" ref="F2144">_xlfn.XLOOKUP($A2144, 'Medical Examinations'!$A:$A, 'Medical Examinations'!E:E, "No Data")</f>
        <v>No</v>
      </c>
      <c r="G2144" s="28" t="str">
        <f t="array" ref="G2144">_xlfn.XLOOKUP($A2144, 'Medical Examinations'!$A:$A, 'Medical Examinations'!F:F, "No Data")</f>
        <v>No</v>
      </c>
      <c r="H2144" s="28">
        <f t="array" ref="H2144">_xlfn.XLOOKUP($A2144, 'Medical Examinations'!$A:$A, 'Medical Examinations'!G:G, "No Data")</f>
        <v>0</v>
      </c>
      <c r="I2144" s="28" t="str">
        <f t="array" ref="I2144">_xlfn.XLOOKUP($A2144, 'Medical Examinations'!$A:$A, 'Medical Examinations'!H:H, "No Data")</f>
        <v>No</v>
      </c>
      <c r="J2144" s="28" t="str">
        <f t="array" ref="J2144">_xlfn.XLOOKUP($A2144, 'Medical Examinations'!$A:$A, 'Medical Examinations'!I:I, "No Data")</f>
        <v>Obesity</v>
      </c>
      <c r="K2144" s="28" t="str">
        <f t="array" ref="K2144">_xlfn.XLOOKUP($A2144, 'Hospitalisation Details'!$A:$A, 'Hospitalisation Details'!I:I, "No Data")</f>
        <v>tier - 1</v>
      </c>
      <c r="L2144" s="28" t="str">
        <f t="array" ref="L2144">_xlfn.XLOOKUP($A2144, 'Hospitalisation Details'!$A:$A, 'Hospitalisation Details'!J:J, "No Data")</f>
        <v>R1011</v>
      </c>
      <c r="M2144" s="28" t="str">
        <f t="array" ref="M2144">_xlfn.XLOOKUP($A2144, 'Hospitalisation Details'!$A:$A, 'Hospitalisation Details'!E:E, "No Data")</f>
        <v>01/07/01</v>
      </c>
      <c r="N2144" s="28">
        <f t="array" ref="N2144">_xlfn.XLOOKUP($A2144, 'Hospitalisation Details'!$A:$A, 'Hospitalisation Details'!K:K, "No Data")</f>
        <v>21</v>
      </c>
      <c r="O2144" s="33">
        <f t="array" ref="O2144">_xlfn.XLOOKUP($A2144, 'Hospitalisation Details'!$A:$A, 'Hospitalisation Details'!G:G, "No Data")</f>
        <v>2020.18</v>
      </c>
      <c r="P2144" s="28" t="str">
        <f t="array" ref="P2144">_xlfn.XLOOKUP($A2144, 'Hospitalisation Details'!$A:$A, 'Hospitalisation Details'!H:H, "No Data")</f>
        <v>tier - 3</v>
      </c>
    </row>
    <row r="2145">
      <c r="A2145" s="25" t="s">
        <v>1794</v>
      </c>
      <c r="B2145" s="28" t="str">
        <f t="array" ref="B2145">_xlfn.XLOOKUP($A2145, 'Customer Names'!$A:$A, 'Customer Names'!B:B, "No Data")</f>
        <v>Bonanni</v>
      </c>
      <c r="C2145" s="28">
        <f t="array" ref="C2145">_xlfn.XLOOKUP($A2145, 'Medical Examinations'!$A:$A, 'Medical Examinations'!B:B, "No Data")</f>
        <v>25.8</v>
      </c>
      <c r="D2145" s="28">
        <f t="array" ref="D2145">_xlfn.XLOOKUP($A2145, 'Medical Examinations'!$A:$A, 'Medical Examinations'!C:C, "No Data")</f>
        <v>6.29</v>
      </c>
      <c r="E2145" s="28" t="str">
        <f t="array" ref="E2145">_xlfn.XLOOKUP($A2145, 'Medical Examinations'!$A:$A, 'Medical Examinations'!D:D, "No Data")</f>
        <v>yes</v>
      </c>
      <c r="F2145" s="28" t="str">
        <f t="array" ref="F2145">_xlfn.XLOOKUP($A2145, 'Medical Examinations'!$A:$A, 'Medical Examinations'!E:E, "No Data")</f>
        <v>No</v>
      </c>
      <c r="G2145" s="28" t="str">
        <f t="array" ref="G2145">_xlfn.XLOOKUP($A2145, 'Medical Examinations'!$A:$A, 'Medical Examinations'!F:F, "No Data")</f>
        <v>No</v>
      </c>
      <c r="H2145" s="28">
        <f t="array" ref="H2145">_xlfn.XLOOKUP($A2145, 'Medical Examinations'!$A:$A, 'Medical Examinations'!G:G, "No Data")</f>
        <v>0</v>
      </c>
      <c r="I2145" s="28" t="str">
        <f t="array" ref="I2145">_xlfn.XLOOKUP($A2145, 'Medical Examinations'!$A:$A, 'Medical Examinations'!H:H, "No Data")</f>
        <v>No</v>
      </c>
      <c r="J2145" s="28" t="str">
        <f t="array" ref="J2145">_xlfn.XLOOKUP($A2145, 'Medical Examinations'!$A:$A, 'Medical Examinations'!I:I, "No Data")</f>
        <v>Overweight</v>
      </c>
      <c r="K2145" s="28" t="str">
        <f t="array" ref="K2145">_xlfn.XLOOKUP($A2145, 'Hospitalisation Details'!$A:$A, 'Hospitalisation Details'!I:I, "No Data")</f>
        <v>tier - 2</v>
      </c>
      <c r="L2145" s="28" t="str">
        <f t="array" ref="L2145">_xlfn.XLOOKUP($A2145, 'Hospitalisation Details'!$A:$A, 'Hospitalisation Details'!J:J, "No Data")</f>
        <v>R1011</v>
      </c>
      <c r="M2145" s="28" t="str">
        <f t="array" ref="M2145">_xlfn.XLOOKUP($A2145, 'Hospitalisation Details'!$A:$A, 'Hospitalisation Details'!E:E, "No Data")</f>
        <v>14/08/01</v>
      </c>
      <c r="N2145" s="28">
        <f t="array" ref="N2145">_xlfn.XLOOKUP($A2145, 'Hospitalisation Details'!$A:$A, 'Hospitalisation Details'!K:K, "No Data")</f>
        <v>21</v>
      </c>
      <c r="O2145" s="33">
        <f t="array" ref="O2145">_xlfn.XLOOKUP($A2145, 'Hospitalisation Details'!$A:$A, 'Hospitalisation Details'!G:G, "No Data")</f>
        <v>2007.95</v>
      </c>
      <c r="P2145" s="28" t="str">
        <f t="array" ref="P2145">_xlfn.XLOOKUP($A2145, 'Hospitalisation Details'!$A:$A, 'Hospitalisation Details'!H:H, "No Data")</f>
        <v>tier - 3</v>
      </c>
    </row>
    <row r="2146">
      <c r="A2146" s="25" t="s">
        <v>1782</v>
      </c>
      <c r="B2146" s="28" t="str">
        <f t="array" ref="B2146">_xlfn.XLOOKUP($A2146, 'Customer Names'!$A:$A, 'Customer Names'!B:B, "No Data")</f>
        <v>Stein</v>
      </c>
      <c r="C2146" s="28">
        <f t="array" ref="C2146">_xlfn.XLOOKUP($A2146, 'Medical Examinations'!$A:$A, 'Medical Examinations'!B:B, "No Data")</f>
        <v>35.86</v>
      </c>
      <c r="D2146" s="28">
        <f t="array" ref="D2146">_xlfn.XLOOKUP($A2146, 'Medical Examinations'!$A:$A, 'Medical Examinations'!C:C, "No Data")</f>
        <v>4.33</v>
      </c>
      <c r="E2146" s="28" t="str">
        <f t="array" ref="E2146">_xlfn.XLOOKUP($A2146, 'Medical Examinations'!$A:$A, 'Medical Examinations'!D:D, "No Data")</f>
        <v>No</v>
      </c>
      <c r="F2146" s="28" t="str">
        <f t="array" ref="F2146">_xlfn.XLOOKUP($A2146, 'Medical Examinations'!$A:$A, 'Medical Examinations'!E:E, "No Data")</f>
        <v>No</v>
      </c>
      <c r="G2146" s="28" t="str">
        <f t="array" ref="G2146">_xlfn.XLOOKUP($A2146, 'Medical Examinations'!$A:$A, 'Medical Examinations'!F:F, "No Data")</f>
        <v>No</v>
      </c>
      <c r="H2146" s="28">
        <f t="array" ref="H2146">_xlfn.XLOOKUP($A2146, 'Medical Examinations'!$A:$A, 'Medical Examinations'!G:G, "No Data")</f>
        <v>1</v>
      </c>
      <c r="I2146" s="28" t="str">
        <f t="array" ref="I2146">_xlfn.XLOOKUP($A2146, 'Medical Examinations'!$A:$A, 'Medical Examinations'!H:H, "No Data")</f>
        <v>No</v>
      </c>
      <c r="J2146" s="28" t="str">
        <f t="array" ref="J2146">_xlfn.XLOOKUP($A2146, 'Medical Examinations'!$A:$A, 'Medical Examinations'!I:I, "No Data")</f>
        <v>Obesity</v>
      </c>
      <c r="K2146" s="28" t="str">
        <f t="array" ref="K2146">_xlfn.XLOOKUP($A2146, 'Hospitalisation Details'!$A:$A, 'Hospitalisation Details'!I:I, "No Data")</f>
        <v>tier - 2</v>
      </c>
      <c r="L2146" s="28" t="str">
        <f t="array" ref="L2146">_xlfn.XLOOKUP($A2146, 'Hospitalisation Details'!$A:$A, 'Hospitalisation Details'!J:J, "No Data")</f>
        <v>R1013</v>
      </c>
      <c r="M2146" s="28" t="str">
        <f t="array" ref="M2146">_xlfn.XLOOKUP($A2146, 'Hospitalisation Details'!$A:$A, 'Hospitalisation Details'!E:E, "No Data")</f>
        <v>14/09/98</v>
      </c>
      <c r="N2146" s="28">
        <f t="array" ref="N2146">_xlfn.XLOOKUP($A2146, 'Hospitalisation Details'!$A:$A, 'Hospitalisation Details'!K:K, "No Data")</f>
        <v>24</v>
      </c>
      <c r="O2146" s="33">
        <f t="array" ref="O2146">_xlfn.XLOOKUP($A2146, 'Hospitalisation Details'!$A:$A, 'Hospitalisation Details'!G:G, "No Data")</f>
        <v>1986.93</v>
      </c>
      <c r="P2146" s="28" t="str">
        <f t="array" ref="P2146">_xlfn.XLOOKUP($A2146, 'Hospitalisation Details'!$A:$A, 'Hospitalisation Details'!H:H, "No Data")</f>
        <v>tier - 3</v>
      </c>
    </row>
    <row r="2147">
      <c r="A2147" s="25" t="s">
        <v>1773</v>
      </c>
      <c r="B2147" s="28" t="str">
        <f t="array" ref="B2147">_xlfn.XLOOKUP($A2147, 'Customer Names'!$A:$A, 'Customer Names'!B:B, "No Data")</f>
        <v>Laumann</v>
      </c>
      <c r="C2147" s="28">
        <f t="array" ref="C2147">_xlfn.XLOOKUP($A2147, 'Medical Examinations'!$A:$A, 'Medical Examinations'!B:B, "No Data")</f>
        <v>40.47</v>
      </c>
      <c r="D2147" s="28">
        <f t="array" ref="D2147">_xlfn.XLOOKUP($A2147, 'Medical Examinations'!$A:$A, 'Medical Examinations'!C:C, "No Data")</f>
        <v>11.15</v>
      </c>
      <c r="E2147" s="28" t="str">
        <f t="array" ref="E2147">_xlfn.XLOOKUP($A2147, 'Medical Examinations'!$A:$A, 'Medical Examinations'!D:D, "No Data")</f>
        <v>No</v>
      </c>
      <c r="F2147" s="28" t="str">
        <f t="array" ref="F2147">_xlfn.XLOOKUP($A2147, 'Medical Examinations'!$A:$A, 'Medical Examinations'!E:E, "No Data")</f>
        <v>No</v>
      </c>
      <c r="G2147" s="28" t="str">
        <f t="array" ref="G2147">_xlfn.XLOOKUP($A2147, 'Medical Examinations'!$A:$A, 'Medical Examinations'!F:F, "No Data")</f>
        <v>No</v>
      </c>
      <c r="H2147" s="28">
        <f t="array" ref="H2147">_xlfn.XLOOKUP($A2147, 'Medical Examinations'!$A:$A, 'Medical Examinations'!G:G, "No Data")</f>
        <v>0</v>
      </c>
      <c r="I2147" s="28" t="str">
        <f t="array" ref="I2147">_xlfn.XLOOKUP($A2147, 'Medical Examinations'!$A:$A, 'Medical Examinations'!H:H, "No Data")</f>
        <v>No</v>
      </c>
      <c r="J2147" s="28" t="str">
        <f t="array" ref="J2147">_xlfn.XLOOKUP($A2147, 'Medical Examinations'!$A:$A, 'Medical Examinations'!I:I, "No Data")</f>
        <v>Obesity</v>
      </c>
      <c r="K2147" s="28" t="str">
        <f t="array" ref="K2147">_xlfn.XLOOKUP($A2147, 'Hospitalisation Details'!$A:$A, 'Hospitalisation Details'!I:I, "No Data")</f>
        <v>tier - 3</v>
      </c>
      <c r="L2147" s="28" t="str">
        <f t="array" ref="L2147">_xlfn.XLOOKUP($A2147, 'Hospitalisation Details'!$A:$A, 'Hospitalisation Details'!J:J, "No Data")</f>
        <v>R1016</v>
      </c>
      <c r="M2147" s="28" t="str">
        <f t="array" ref="M2147">_xlfn.XLOOKUP($A2147, 'Hospitalisation Details'!$A:$A, 'Hospitalisation Details'!E:E, "No Data")</f>
        <v>29/09/02</v>
      </c>
      <c r="N2147" s="28">
        <f t="array" ref="N2147">_xlfn.XLOOKUP($A2147, 'Hospitalisation Details'!$A:$A, 'Hospitalisation Details'!K:K, "No Data")</f>
        <v>20</v>
      </c>
      <c r="O2147" s="33">
        <f t="array" ref="O2147">_xlfn.XLOOKUP($A2147, 'Hospitalisation Details'!$A:$A, 'Hospitalisation Details'!G:G, "No Data")</f>
        <v>1984.45</v>
      </c>
      <c r="P2147" s="28" t="str">
        <f t="array" ref="P2147">_xlfn.XLOOKUP($A2147, 'Hospitalisation Details'!$A:$A, 'Hospitalisation Details'!H:H, "No Data")</f>
        <v>tier - 3</v>
      </c>
    </row>
    <row r="2148">
      <c r="A2148" s="25" t="s">
        <v>1764</v>
      </c>
      <c r="B2148" s="28" t="str">
        <f t="array" ref="B2148">_xlfn.XLOOKUP($A2148, 'Customer Names'!$A:$A, 'Customer Names'!B:B, "No Data")</f>
        <v>Galaviz</v>
      </c>
      <c r="C2148" s="28">
        <f t="array" ref="C2148">_xlfn.XLOOKUP($A2148, 'Medical Examinations'!$A:$A, 'Medical Examinations'!B:B, "No Data")</f>
        <v>32.01</v>
      </c>
      <c r="D2148" s="28">
        <f t="array" ref="D2148">_xlfn.XLOOKUP($A2148, 'Medical Examinations'!$A:$A, 'Medical Examinations'!C:C, "No Data")</f>
        <v>6.45</v>
      </c>
      <c r="E2148" s="28" t="str">
        <f t="array" ref="E2148">_xlfn.XLOOKUP($A2148, 'Medical Examinations'!$A:$A, 'Medical Examinations'!D:D, "No Data")</f>
        <v>No</v>
      </c>
      <c r="F2148" s="28" t="str">
        <f t="array" ref="F2148">_xlfn.XLOOKUP($A2148, 'Medical Examinations'!$A:$A, 'Medical Examinations'!E:E, "No Data")</f>
        <v>No</v>
      </c>
      <c r="G2148" s="28" t="str">
        <f t="array" ref="G2148">_xlfn.XLOOKUP($A2148, 'Medical Examinations'!$A:$A, 'Medical Examinations'!F:F, "No Data")</f>
        <v>No</v>
      </c>
      <c r="H2148" s="28">
        <f t="array" ref="H2148">_xlfn.XLOOKUP($A2148, 'Medical Examinations'!$A:$A, 'Medical Examinations'!G:G, "No Data")</f>
        <v>1</v>
      </c>
      <c r="I2148" s="28" t="str">
        <f t="array" ref="I2148">_xlfn.XLOOKUP($A2148, 'Medical Examinations'!$A:$A, 'Medical Examinations'!H:H, "No Data")</f>
        <v>No</v>
      </c>
      <c r="J2148" s="28" t="str">
        <f t="array" ref="J2148">_xlfn.XLOOKUP($A2148, 'Medical Examinations'!$A:$A, 'Medical Examinations'!I:I, "No Data")</f>
        <v>Obesity</v>
      </c>
      <c r="K2148" s="28" t="str">
        <f t="array" ref="K2148">_xlfn.XLOOKUP($A2148, 'Hospitalisation Details'!$A:$A, 'Hospitalisation Details'!I:I, "No Data")</f>
        <v>tier - 1</v>
      </c>
      <c r="L2148" s="28" t="str">
        <f t="array" ref="L2148">_xlfn.XLOOKUP($A2148, 'Hospitalisation Details'!$A:$A, 'Hospitalisation Details'!J:J, "No Data")</f>
        <v>R1013</v>
      </c>
      <c r="M2148" s="28" t="str">
        <f t="array" ref="M2148">_xlfn.XLOOKUP($A2148, 'Hospitalisation Details'!$A:$A, 'Hospitalisation Details'!E:E, "No Data")</f>
        <v>29/12/98</v>
      </c>
      <c r="N2148" s="28">
        <f t="array" ref="N2148">_xlfn.XLOOKUP($A2148, 'Hospitalisation Details'!$A:$A, 'Hospitalisation Details'!K:K, "No Data")</f>
        <v>24</v>
      </c>
      <c r="O2148" s="33">
        <f t="array" ref="O2148">_xlfn.XLOOKUP($A2148, 'Hospitalisation Details'!$A:$A, 'Hospitalisation Details'!G:G, "No Data")</f>
        <v>1981.58</v>
      </c>
      <c r="P2148" s="28" t="str">
        <f t="array" ref="P2148">_xlfn.XLOOKUP($A2148, 'Hospitalisation Details'!$A:$A, 'Hospitalisation Details'!H:H, "No Data")</f>
        <v>tier - 3</v>
      </c>
    </row>
    <row r="2149">
      <c r="A2149" s="25" t="s">
        <v>1752</v>
      </c>
      <c r="B2149" s="28" t="str">
        <f t="array" ref="B2149">_xlfn.XLOOKUP($A2149, 'Customer Names'!$A:$A, 'Customer Names'!B:B, "No Data")</f>
        <v>Piper</v>
      </c>
      <c r="C2149" s="28">
        <f t="array" ref="C2149">_xlfn.XLOOKUP($A2149, 'Medical Examinations'!$A:$A, 'Medical Examinations'!B:B, "No Data")</f>
        <v>33</v>
      </c>
      <c r="D2149" s="28">
        <f t="array" ref="D2149">_xlfn.XLOOKUP($A2149, 'Medical Examinations'!$A:$A, 'Medical Examinations'!C:C, "No Data")</f>
        <v>9.27</v>
      </c>
      <c r="E2149" s="28" t="str">
        <f t="array" ref="E2149">_xlfn.XLOOKUP($A2149, 'Medical Examinations'!$A:$A, 'Medical Examinations'!D:D, "No Data")</f>
        <v>No</v>
      </c>
      <c r="F2149" s="28" t="str">
        <f t="array" ref="F2149">_xlfn.XLOOKUP($A2149, 'Medical Examinations'!$A:$A, 'Medical Examinations'!E:E, "No Data")</f>
        <v>No</v>
      </c>
      <c r="G2149" s="28" t="str">
        <f t="array" ref="G2149">_xlfn.XLOOKUP($A2149, 'Medical Examinations'!$A:$A, 'Medical Examinations'!F:F, "No Data")</f>
        <v>No</v>
      </c>
      <c r="H2149" s="28">
        <f t="array" ref="H2149">_xlfn.XLOOKUP($A2149, 'Medical Examinations'!$A:$A, 'Medical Examinations'!G:G, "No Data")</f>
        <v>0</v>
      </c>
      <c r="I2149" s="28" t="str">
        <f t="array" ref="I2149">_xlfn.XLOOKUP($A2149, 'Medical Examinations'!$A:$A, 'Medical Examinations'!H:H, "No Data")</f>
        <v>No</v>
      </c>
      <c r="J2149" s="28" t="str">
        <f t="array" ref="J2149">_xlfn.XLOOKUP($A2149, 'Medical Examinations'!$A:$A, 'Medical Examinations'!I:I, "No Data")</f>
        <v>Obesity</v>
      </c>
      <c r="K2149" s="28" t="str">
        <f t="array" ref="K2149">_xlfn.XLOOKUP($A2149, 'Hospitalisation Details'!$A:$A, 'Hospitalisation Details'!I:I, "No Data")</f>
        <v>tier - 3</v>
      </c>
      <c r="L2149" s="28" t="str">
        <f t="array" ref="L2149">_xlfn.XLOOKUP($A2149, 'Hospitalisation Details'!$A:$A, 'Hospitalisation Details'!J:J, "No Data")</f>
        <v>R1011</v>
      </c>
      <c r="M2149" s="28" t="str">
        <f t="array" ref="M2149">_xlfn.XLOOKUP($A2149, 'Hospitalisation Details'!$A:$A, 'Hospitalisation Details'!E:E, "No Data")</f>
        <v>16/07/02</v>
      </c>
      <c r="N2149" s="28">
        <f t="array" ref="N2149">_xlfn.XLOOKUP($A2149, 'Hospitalisation Details'!$A:$A, 'Hospitalisation Details'!K:K, "No Data")</f>
        <v>20</v>
      </c>
      <c r="O2149" s="33">
        <f t="array" ref="O2149">_xlfn.XLOOKUP($A2149, 'Hospitalisation Details'!$A:$A, 'Hospitalisation Details'!G:G, "No Data")</f>
        <v>1980.07</v>
      </c>
      <c r="P2149" s="28" t="str">
        <f t="array" ref="P2149">_xlfn.XLOOKUP($A2149, 'Hospitalisation Details'!$A:$A, 'Hospitalisation Details'!H:H, "No Data")</f>
        <v>tier - 3</v>
      </c>
    </row>
    <row r="2150">
      <c r="A2150" s="25" t="s">
        <v>1741</v>
      </c>
      <c r="B2150" s="28" t="str">
        <f t="array" ref="B2150">_xlfn.XLOOKUP($A2150, 'Customer Names'!$A:$A, 'Customer Names'!B:B, "No Data")</f>
        <v>Cantini</v>
      </c>
      <c r="C2150" s="28">
        <f t="array" ref="C2150">_xlfn.XLOOKUP($A2150, 'Medical Examinations'!$A:$A, 'Medical Examinations'!B:B, "No Data")</f>
        <v>29.3</v>
      </c>
      <c r="D2150" s="28">
        <f t="array" ref="D2150">_xlfn.XLOOKUP($A2150, 'Medical Examinations'!$A:$A, 'Medical Examinations'!C:C, "No Data")</f>
        <v>6.15</v>
      </c>
      <c r="E2150" s="28" t="str">
        <f t="array" ref="E2150">_xlfn.XLOOKUP($A2150, 'Medical Examinations'!$A:$A, 'Medical Examinations'!D:D, "No Data")</f>
        <v>No</v>
      </c>
      <c r="F2150" s="28" t="str">
        <f t="array" ref="F2150">_xlfn.XLOOKUP($A2150, 'Medical Examinations'!$A:$A, 'Medical Examinations'!E:E, "No Data")</f>
        <v>No</v>
      </c>
      <c r="G2150" s="28" t="str">
        <f t="array" ref="G2150">_xlfn.XLOOKUP($A2150, 'Medical Examinations'!$A:$A, 'Medical Examinations'!F:F, "No Data")</f>
        <v>No</v>
      </c>
      <c r="H2150" s="28">
        <f t="array" ref="H2150">_xlfn.XLOOKUP($A2150, 'Medical Examinations'!$A:$A, 'Medical Examinations'!G:G, "No Data")</f>
        <v>1</v>
      </c>
      <c r="I2150" s="28" t="str">
        <f t="array" ref="I2150">_xlfn.XLOOKUP($A2150, 'Medical Examinations'!$A:$A, 'Medical Examinations'!H:H, "No Data")</f>
        <v>No</v>
      </c>
      <c r="J2150" s="28" t="str">
        <f t="array" ref="J2150">_xlfn.XLOOKUP($A2150, 'Medical Examinations'!$A:$A, 'Medical Examinations'!I:I, "No Data")</f>
        <v>Overweight</v>
      </c>
      <c r="K2150" s="28" t="str">
        <f t="array" ref="K2150">_xlfn.XLOOKUP($A2150, 'Hospitalisation Details'!$A:$A, 'Hospitalisation Details'!I:I, "No Data")</f>
        <v>tier - 1</v>
      </c>
      <c r="L2150" s="28" t="str">
        <f t="array" ref="L2150">_xlfn.XLOOKUP($A2150, 'Hospitalisation Details'!$A:$A, 'Hospitalisation Details'!J:J, "No Data")</f>
        <v>R1011</v>
      </c>
      <c r="M2150" s="28" t="str">
        <f t="array" ref="M2150">_xlfn.XLOOKUP($A2150, 'Hospitalisation Details'!$A:$A, 'Hospitalisation Details'!E:E, "No Data")</f>
        <v>29/09/98</v>
      </c>
      <c r="N2150" s="28">
        <f t="array" ref="N2150">_xlfn.XLOOKUP($A2150, 'Hospitalisation Details'!$A:$A, 'Hospitalisation Details'!K:K, "No Data")</f>
        <v>24</v>
      </c>
      <c r="O2150" s="33">
        <f t="array" ref="O2150">_xlfn.XLOOKUP($A2150, 'Hospitalisation Details'!$A:$A, 'Hospitalisation Details'!G:G, "No Data")</f>
        <v>1977.82</v>
      </c>
      <c r="P2150" s="28" t="str">
        <f t="array" ref="P2150">_xlfn.XLOOKUP($A2150, 'Hospitalisation Details'!$A:$A, 'Hospitalisation Details'!H:H, "No Data")</f>
        <v>tier - 3</v>
      </c>
    </row>
    <row r="2151">
      <c r="A2151" s="25" t="s">
        <v>1731</v>
      </c>
      <c r="B2151" s="28" t="str">
        <f t="array" ref="B2151">_xlfn.XLOOKUP($A2151, 'Customer Names'!$A:$A, 'Customer Names'!B:B, "No Data")</f>
        <v>Hartman</v>
      </c>
      <c r="C2151" s="28">
        <f t="array" ref="C2151">_xlfn.XLOOKUP($A2151, 'Medical Examinations'!$A:$A, 'Medical Examinations'!B:B, "No Data")</f>
        <v>25.8</v>
      </c>
      <c r="D2151" s="28">
        <f t="array" ref="D2151">_xlfn.XLOOKUP($A2151, 'Medical Examinations'!$A:$A, 'Medical Examinations'!C:C, "No Data")</f>
        <v>4.13</v>
      </c>
      <c r="E2151" s="28" t="str">
        <f t="array" ref="E2151">_xlfn.XLOOKUP($A2151, 'Medical Examinations'!$A:$A, 'Medical Examinations'!D:D, "No Data")</f>
        <v>No</v>
      </c>
      <c r="F2151" s="28" t="str">
        <f t="array" ref="F2151">_xlfn.XLOOKUP($A2151, 'Medical Examinations'!$A:$A, 'Medical Examinations'!E:E, "No Data")</f>
        <v>No</v>
      </c>
      <c r="G2151" s="28" t="str">
        <f t="array" ref="G2151">_xlfn.XLOOKUP($A2151, 'Medical Examinations'!$A:$A, 'Medical Examinations'!F:F, "No Data")</f>
        <v>No</v>
      </c>
      <c r="H2151" s="28">
        <f t="array" ref="H2151">_xlfn.XLOOKUP($A2151, 'Medical Examinations'!$A:$A, 'Medical Examinations'!G:G, "No Data")</f>
        <v>1</v>
      </c>
      <c r="I2151" s="28" t="str">
        <f t="array" ref="I2151">_xlfn.XLOOKUP($A2151, 'Medical Examinations'!$A:$A, 'Medical Examinations'!H:H, "No Data")</f>
        <v>No</v>
      </c>
      <c r="J2151" s="28" t="str">
        <f t="array" ref="J2151">_xlfn.XLOOKUP($A2151, 'Medical Examinations'!$A:$A, 'Medical Examinations'!I:I, "No Data")</f>
        <v>Overweight</v>
      </c>
      <c r="K2151" s="28" t="str">
        <f t="array" ref="K2151">_xlfn.XLOOKUP($A2151, 'Hospitalisation Details'!$A:$A, 'Hospitalisation Details'!I:I, "No Data")</f>
        <v>tier - 1</v>
      </c>
      <c r="L2151" s="28" t="str">
        <f t="array" ref="L2151">_xlfn.XLOOKUP($A2151, 'Hospitalisation Details'!$A:$A, 'Hospitalisation Details'!J:J, "No Data")</f>
        <v>R1011</v>
      </c>
      <c r="M2151" s="28" t="str">
        <f t="array" ref="M2151">_xlfn.XLOOKUP($A2151, 'Hospitalisation Details'!$A:$A, 'Hospitalisation Details'!E:E, "No Data")</f>
        <v>05/10/98</v>
      </c>
      <c r="N2151" s="28">
        <f t="array" ref="N2151">_xlfn.XLOOKUP($A2151, 'Hospitalisation Details'!$A:$A, 'Hospitalisation Details'!K:K, "No Data")</f>
        <v>24</v>
      </c>
      <c r="O2151" s="33">
        <f t="array" ref="O2151">_xlfn.XLOOKUP($A2151, 'Hospitalisation Details'!$A:$A, 'Hospitalisation Details'!G:G, "No Data")</f>
        <v>1972.95</v>
      </c>
      <c r="P2151" s="28" t="str">
        <f t="array" ref="P2151">_xlfn.XLOOKUP($A2151, 'Hospitalisation Details'!$A:$A, 'Hospitalisation Details'!H:H, "No Data")</f>
        <v>tier - 3</v>
      </c>
    </row>
    <row r="2152">
      <c r="A2152" s="25" t="s">
        <v>1724</v>
      </c>
      <c r="B2152" s="28" t="str">
        <f t="array" ref="B2152">_xlfn.XLOOKUP($A2152, 'Customer Names'!$A:$A, 'Customer Names'!B:B, "No Data")</f>
        <v>Werhane</v>
      </c>
      <c r="C2152" s="28">
        <f t="array" ref="C2152">_xlfn.XLOOKUP($A2152, 'Medical Examinations'!$A:$A, 'Medical Examinations'!B:B, "No Data")</f>
        <v>23.4</v>
      </c>
      <c r="D2152" s="28">
        <f t="array" ref="D2152">_xlfn.XLOOKUP($A2152, 'Medical Examinations'!$A:$A, 'Medical Examinations'!C:C, "No Data")</f>
        <v>4.24</v>
      </c>
      <c r="E2152" s="28" t="str">
        <f t="array" ref="E2152">_xlfn.XLOOKUP($A2152, 'Medical Examinations'!$A:$A, 'Medical Examinations'!D:D, "No Data")</f>
        <v>No</v>
      </c>
      <c r="F2152" s="28" t="str">
        <f t="array" ref="F2152">_xlfn.XLOOKUP($A2152, 'Medical Examinations'!$A:$A, 'Medical Examinations'!E:E, "No Data")</f>
        <v>No</v>
      </c>
      <c r="G2152" s="28" t="str">
        <f t="array" ref="G2152">_xlfn.XLOOKUP($A2152, 'Medical Examinations'!$A:$A, 'Medical Examinations'!F:F, "No Data")</f>
        <v>No</v>
      </c>
      <c r="H2152" s="28">
        <f t="array" ref="H2152">_xlfn.XLOOKUP($A2152, 'Medical Examinations'!$A:$A, 'Medical Examinations'!G:G, "No Data")</f>
        <v>1</v>
      </c>
      <c r="I2152" s="28" t="str">
        <f t="array" ref="I2152">_xlfn.XLOOKUP($A2152, 'Medical Examinations'!$A:$A, 'Medical Examinations'!H:H, "No Data")</f>
        <v>No</v>
      </c>
      <c r="J2152" s="28" t="str">
        <f t="array" ref="J2152">_xlfn.XLOOKUP($A2152, 'Medical Examinations'!$A:$A, 'Medical Examinations'!I:I, "No Data")</f>
        <v>Normal Weight</v>
      </c>
      <c r="K2152" s="28" t="str">
        <f t="array" ref="K2152">_xlfn.XLOOKUP($A2152, 'Hospitalisation Details'!$A:$A, 'Hospitalisation Details'!I:I, "No Data")</f>
        <v>tier - 3</v>
      </c>
      <c r="L2152" s="28" t="str">
        <f t="array" ref="L2152">_xlfn.XLOOKUP($A2152, 'Hospitalisation Details'!$A:$A, 'Hospitalisation Details'!J:J, "No Data")</f>
        <v>R1011</v>
      </c>
      <c r="M2152" s="28" t="str">
        <f t="array" ref="M2152">_xlfn.XLOOKUP($A2152, 'Hospitalisation Details'!$A:$A, 'Hospitalisation Details'!E:E, "No Data")</f>
        <v>28/09/98</v>
      </c>
      <c r="N2152" s="28">
        <f t="array" ref="N2152">_xlfn.XLOOKUP($A2152, 'Hospitalisation Details'!$A:$A, 'Hospitalisation Details'!K:K, "No Data")</f>
        <v>24</v>
      </c>
      <c r="O2152" s="33">
        <f t="array" ref="O2152">_xlfn.XLOOKUP($A2152, 'Hospitalisation Details'!$A:$A, 'Hospitalisation Details'!G:G, "No Data")</f>
        <v>1969.61</v>
      </c>
      <c r="P2152" s="28" t="str">
        <f t="array" ref="P2152">_xlfn.XLOOKUP($A2152, 'Hospitalisation Details'!$A:$A, 'Hospitalisation Details'!H:H, "No Data")</f>
        <v>tier - 3</v>
      </c>
    </row>
    <row r="2153">
      <c r="A2153" s="25" t="s">
        <v>1716</v>
      </c>
      <c r="B2153" s="28" t="str">
        <f t="array" ref="B2153">_xlfn.XLOOKUP($A2153, 'Customer Names'!$A:$A, 'Customer Names'!B:B, "No Data")</f>
        <v>Davies</v>
      </c>
      <c r="C2153" s="28">
        <f t="array" ref="C2153">_xlfn.XLOOKUP($A2153, 'Medical Examinations'!$A:$A, 'Medical Examinations'!B:B, "No Data")</f>
        <v>27.93</v>
      </c>
      <c r="D2153" s="28">
        <f t="array" ref="D2153">_xlfn.XLOOKUP($A2153, 'Medical Examinations'!$A:$A, 'Medical Examinations'!C:C, "No Data")</f>
        <v>9.88</v>
      </c>
      <c r="E2153" s="28" t="str">
        <f t="array" ref="E2153">_xlfn.XLOOKUP($A2153, 'Medical Examinations'!$A:$A, 'Medical Examinations'!D:D, "No Data")</f>
        <v>No</v>
      </c>
      <c r="F2153" s="28" t="str">
        <f t="array" ref="F2153">_xlfn.XLOOKUP($A2153, 'Medical Examinations'!$A:$A, 'Medical Examinations'!E:E, "No Data")</f>
        <v>No</v>
      </c>
      <c r="G2153" s="28" t="str">
        <f t="array" ref="G2153">_xlfn.XLOOKUP($A2153, 'Medical Examinations'!$A:$A, 'Medical Examinations'!F:F, "No Data")</f>
        <v>No</v>
      </c>
      <c r="H2153" s="28">
        <f t="array" ref="H2153">_xlfn.XLOOKUP($A2153, 'Medical Examinations'!$A:$A, 'Medical Examinations'!G:G, "No Data")</f>
        <v>0</v>
      </c>
      <c r="I2153" s="28" t="str">
        <f t="array" ref="I2153">_xlfn.XLOOKUP($A2153, 'Medical Examinations'!$A:$A, 'Medical Examinations'!H:H, "No Data")</f>
        <v>No</v>
      </c>
      <c r="J2153" s="28" t="str">
        <f t="array" ref="J2153">_xlfn.XLOOKUP($A2153, 'Medical Examinations'!$A:$A, 'Medical Examinations'!I:I, "No Data")</f>
        <v>Overweight</v>
      </c>
      <c r="K2153" s="28" t="str">
        <f t="array" ref="K2153">_xlfn.XLOOKUP($A2153, 'Hospitalisation Details'!$A:$A, 'Hospitalisation Details'!I:I, "No Data")</f>
        <v>tier - 2</v>
      </c>
      <c r="L2153" s="28" t="str">
        <f t="array" ref="L2153">_xlfn.XLOOKUP($A2153, 'Hospitalisation Details'!$A:$A, 'Hospitalisation Details'!J:J, "No Data")</f>
        <v>R1016</v>
      </c>
      <c r="M2153" s="28" t="str">
        <f t="array" ref="M2153">_xlfn.XLOOKUP($A2153, 'Hospitalisation Details'!$A:$A, 'Hospitalisation Details'!E:E, "No Data")</f>
        <v>29/07/02</v>
      </c>
      <c r="N2153" s="28">
        <f t="array" ref="N2153">_xlfn.XLOOKUP($A2153, 'Hospitalisation Details'!$A:$A, 'Hospitalisation Details'!K:K, "No Data")</f>
        <v>20</v>
      </c>
      <c r="O2153" s="33">
        <f t="array" ref="O2153">_xlfn.XLOOKUP($A2153, 'Hospitalisation Details'!$A:$A, 'Hospitalisation Details'!G:G, "No Data")</f>
        <v>1967.02</v>
      </c>
      <c r="P2153" s="28" t="str">
        <f t="array" ref="P2153">_xlfn.XLOOKUP($A2153, 'Hospitalisation Details'!$A:$A, 'Hospitalisation Details'!H:H, "No Data")</f>
        <v>tier - 3</v>
      </c>
    </row>
    <row r="2154">
      <c r="A2154" s="25" t="s">
        <v>1708</v>
      </c>
      <c r="B2154" s="28" t="str">
        <f t="array" ref="B2154">_xlfn.XLOOKUP($A2154, 'Customer Names'!$A:$A, 'Customer Names'!B:B, "No Data")</f>
        <v>Hummel</v>
      </c>
      <c r="C2154" s="28">
        <f t="array" ref="C2154">_xlfn.XLOOKUP($A2154, 'Medical Examinations'!$A:$A, 'Medical Examinations'!B:B, "No Data")</f>
        <v>22</v>
      </c>
      <c r="D2154" s="28">
        <f t="array" ref="D2154">_xlfn.XLOOKUP($A2154, 'Medical Examinations'!$A:$A, 'Medical Examinations'!C:C, "No Data")</f>
        <v>9.5</v>
      </c>
      <c r="E2154" s="28" t="str">
        <f t="array" ref="E2154">_xlfn.XLOOKUP($A2154, 'Medical Examinations'!$A:$A, 'Medical Examinations'!D:D, "No Data")</f>
        <v>No</v>
      </c>
      <c r="F2154" s="28" t="str">
        <f t="array" ref="F2154">_xlfn.XLOOKUP($A2154, 'Medical Examinations'!$A:$A, 'Medical Examinations'!E:E, "No Data")</f>
        <v>No</v>
      </c>
      <c r="G2154" s="28" t="str">
        <f t="array" ref="G2154">_xlfn.XLOOKUP($A2154, 'Medical Examinations'!$A:$A, 'Medical Examinations'!F:F, "No Data")</f>
        <v>No</v>
      </c>
      <c r="H2154" s="28">
        <f t="array" ref="H2154">_xlfn.XLOOKUP($A2154, 'Medical Examinations'!$A:$A, 'Medical Examinations'!G:G, "No Data")</f>
        <v>0</v>
      </c>
      <c r="I2154" s="28" t="str">
        <f t="array" ref="I2154">_xlfn.XLOOKUP($A2154, 'Medical Examinations'!$A:$A, 'Medical Examinations'!H:H, "No Data")</f>
        <v>No</v>
      </c>
      <c r="J2154" s="28" t="str">
        <f t="array" ref="J2154">_xlfn.XLOOKUP($A2154, 'Medical Examinations'!$A:$A, 'Medical Examinations'!I:I, "No Data")</f>
        <v>Normal Weight</v>
      </c>
      <c r="K2154" s="28" t="str">
        <f t="array" ref="K2154">_xlfn.XLOOKUP($A2154, 'Hospitalisation Details'!$A:$A, 'Hospitalisation Details'!I:I, "No Data")</f>
        <v>tier - 1</v>
      </c>
      <c r="L2154" s="28" t="str">
        <f t="array" ref="L2154">_xlfn.XLOOKUP($A2154, 'Hospitalisation Details'!$A:$A, 'Hospitalisation Details'!J:J, "No Data")</f>
        <v>R1011</v>
      </c>
      <c r="M2154" s="28" t="str">
        <f t="array" ref="M2154">_xlfn.XLOOKUP($A2154, 'Hospitalisation Details'!$A:$A, 'Hospitalisation Details'!E:E, "No Data")</f>
        <v>07/09/02</v>
      </c>
      <c r="N2154" s="28">
        <f t="array" ref="N2154">_xlfn.XLOOKUP($A2154, 'Hospitalisation Details'!$A:$A, 'Hospitalisation Details'!K:K, "No Data")</f>
        <v>20</v>
      </c>
      <c r="O2154" s="33">
        <f t="array" ref="O2154">_xlfn.XLOOKUP($A2154, 'Hospitalisation Details'!$A:$A, 'Hospitalisation Details'!G:G, "No Data")</f>
        <v>1964.78</v>
      </c>
      <c r="P2154" s="28" t="str">
        <f t="array" ref="P2154">_xlfn.XLOOKUP($A2154, 'Hospitalisation Details'!$A:$A, 'Hospitalisation Details'!H:H, "No Data")</f>
        <v>tier - 3</v>
      </c>
    </row>
    <row r="2155">
      <c r="A2155" s="25" t="s">
        <v>1699</v>
      </c>
      <c r="B2155" s="28" t="str">
        <f t="array" ref="B2155">_xlfn.XLOOKUP($A2155, 'Customer Names'!$A:$A, 'Customer Names'!B:B, "No Data")</f>
        <v>Lutz</v>
      </c>
      <c r="C2155" s="28">
        <f t="array" ref="C2155">_xlfn.XLOOKUP($A2155, 'Medical Examinations'!$A:$A, 'Medical Examinations'!B:B, "No Data")</f>
        <v>36.86</v>
      </c>
      <c r="D2155" s="28">
        <f t="array" ref="D2155">_xlfn.XLOOKUP($A2155, 'Medical Examinations'!$A:$A, 'Medical Examinations'!C:C, "No Data")</f>
        <v>4.97</v>
      </c>
      <c r="E2155" s="28" t="str">
        <f t="array" ref="E2155">_xlfn.XLOOKUP($A2155, 'Medical Examinations'!$A:$A, 'Medical Examinations'!D:D, "No Data")</f>
        <v>yes</v>
      </c>
      <c r="F2155" s="28" t="str">
        <f t="array" ref="F2155">_xlfn.XLOOKUP($A2155, 'Medical Examinations'!$A:$A, 'Medical Examinations'!E:E, "No Data")</f>
        <v>No</v>
      </c>
      <c r="G2155" s="28" t="str">
        <f t="array" ref="G2155">_xlfn.XLOOKUP($A2155, 'Medical Examinations'!$A:$A, 'Medical Examinations'!F:F, "No Data")</f>
        <v>No</v>
      </c>
      <c r="H2155" s="28">
        <f t="array" ref="H2155">_xlfn.XLOOKUP($A2155, 'Medical Examinations'!$A:$A, 'Medical Examinations'!G:G, "No Data")</f>
        <v>0</v>
      </c>
      <c r="I2155" s="28" t="str">
        <f t="array" ref="I2155">_xlfn.XLOOKUP($A2155, 'Medical Examinations'!$A:$A, 'Medical Examinations'!H:H, "No Data")</f>
        <v>No</v>
      </c>
      <c r="J2155" s="28" t="str">
        <f t="array" ref="J2155">_xlfn.XLOOKUP($A2155, 'Medical Examinations'!$A:$A, 'Medical Examinations'!I:I, "No Data")</f>
        <v>Obesity</v>
      </c>
      <c r="K2155" s="28" t="str">
        <f t="array" ref="K2155">_xlfn.XLOOKUP($A2155, 'Hospitalisation Details'!$A:$A, 'Hospitalisation Details'!I:I, "No Data")</f>
        <v>tier - 2</v>
      </c>
      <c r="L2155" s="28" t="str">
        <f t="array" ref="L2155">_xlfn.XLOOKUP($A2155, 'Hospitalisation Details'!$A:$A, 'Hospitalisation Details'!J:J, "No Data")</f>
        <v>R1012</v>
      </c>
      <c r="M2155" s="28" t="str">
        <f t="array" ref="M2155">_xlfn.XLOOKUP($A2155, 'Hospitalisation Details'!$A:$A, 'Hospitalisation Details'!E:E, "No Data")</f>
        <v>09/12/01</v>
      </c>
      <c r="N2155" s="28">
        <f t="array" ref="N2155">_xlfn.XLOOKUP($A2155, 'Hospitalisation Details'!$A:$A, 'Hospitalisation Details'!K:K, "No Data")</f>
        <v>21</v>
      </c>
      <c r="O2155" s="33">
        <f t="array" ref="O2155">_xlfn.XLOOKUP($A2155, 'Hospitalisation Details'!$A:$A, 'Hospitalisation Details'!G:G, "No Data")</f>
        <v>1917.32</v>
      </c>
      <c r="P2155" s="28" t="str">
        <f t="array" ref="P2155">_xlfn.XLOOKUP($A2155, 'Hospitalisation Details'!$A:$A, 'Hospitalisation Details'!H:H, "No Data")</f>
        <v>tier - 3</v>
      </c>
    </row>
    <row r="2156">
      <c r="A2156" s="25" t="s">
        <v>1691</v>
      </c>
      <c r="B2156" s="28" t="str">
        <f t="array" ref="B2156">_xlfn.XLOOKUP($A2156, 'Customer Names'!$A:$A, 'Customer Names'!B:B, "No Data")</f>
        <v>Waters</v>
      </c>
      <c r="C2156" s="28">
        <f t="array" ref="C2156">_xlfn.XLOOKUP($A2156, 'Medical Examinations'!$A:$A, 'Medical Examinations'!B:B, "No Data")</f>
        <v>31.255</v>
      </c>
      <c r="D2156" s="28">
        <f t="array" ref="D2156">_xlfn.XLOOKUP($A2156, 'Medical Examinations'!$A:$A, 'Medical Examinations'!C:C, "No Data")</f>
        <v>5.49</v>
      </c>
      <c r="E2156" s="28" t="str">
        <f t="array" ref="E2156">_xlfn.XLOOKUP($A2156, 'Medical Examinations'!$A:$A, 'Medical Examinations'!D:D, "No Data")</f>
        <v>yes</v>
      </c>
      <c r="F2156" s="28" t="str">
        <f t="array" ref="F2156">_xlfn.XLOOKUP($A2156, 'Medical Examinations'!$A:$A, 'Medical Examinations'!E:E, "No Data")</f>
        <v>No</v>
      </c>
      <c r="G2156" s="28" t="str">
        <f t="array" ref="G2156">_xlfn.XLOOKUP($A2156, 'Medical Examinations'!$A:$A, 'Medical Examinations'!F:F, "No Data")</f>
        <v>No</v>
      </c>
      <c r="H2156" s="28">
        <f t="array" ref="H2156">_xlfn.XLOOKUP($A2156, 'Medical Examinations'!$A:$A, 'Medical Examinations'!G:G, "No Data")</f>
        <v>0</v>
      </c>
      <c r="I2156" s="28" t="str">
        <f t="array" ref="I2156">_xlfn.XLOOKUP($A2156, 'Medical Examinations'!$A:$A, 'Medical Examinations'!H:H, "No Data")</f>
        <v>No</v>
      </c>
      <c r="J2156" s="28" t="str">
        <f t="array" ref="J2156">_xlfn.XLOOKUP($A2156, 'Medical Examinations'!$A:$A, 'Medical Examinations'!I:I, "No Data")</f>
        <v>Obesity</v>
      </c>
      <c r="K2156" s="28" t="str">
        <f t="array" ref="K2156">_xlfn.XLOOKUP($A2156, 'Hospitalisation Details'!$A:$A, 'Hospitalisation Details'!I:I, "No Data")</f>
        <v>tier - 3</v>
      </c>
      <c r="L2156" s="28" t="str">
        <f t="array" ref="L2156">_xlfn.XLOOKUP($A2156, 'Hospitalisation Details'!$A:$A, 'Hospitalisation Details'!J:J, "No Data")</f>
        <v>R1012</v>
      </c>
      <c r="M2156" s="28" t="str">
        <f t="array" ref="M2156">_xlfn.XLOOKUP($A2156, 'Hospitalisation Details'!$A:$A, 'Hospitalisation Details'!E:E, "No Data")</f>
        <v>03/08/01</v>
      </c>
      <c r="N2156" s="28">
        <f t="array" ref="N2156">_xlfn.XLOOKUP($A2156, 'Hospitalisation Details'!$A:$A, 'Hospitalisation Details'!K:K, "No Data")</f>
        <v>21</v>
      </c>
      <c r="O2156" s="33">
        <f t="array" ref="O2156">_xlfn.XLOOKUP($A2156, 'Hospitalisation Details'!$A:$A, 'Hospitalisation Details'!G:G, "No Data")</f>
        <v>1909.53</v>
      </c>
      <c r="P2156" s="28" t="str">
        <f t="array" ref="P2156">_xlfn.XLOOKUP($A2156, 'Hospitalisation Details'!$A:$A, 'Hospitalisation Details'!H:H, "No Data")</f>
        <v>tier - 3</v>
      </c>
    </row>
    <row r="2157">
      <c r="A2157" s="25" t="s">
        <v>1682</v>
      </c>
      <c r="B2157" s="28" t="str">
        <f t="array" ref="B2157">_xlfn.XLOOKUP($A2157, 'Customer Names'!$A:$A, 'Customer Names'!B:B, "No Data")</f>
        <v>Viglienzoni</v>
      </c>
      <c r="C2157" s="28">
        <f t="array" ref="C2157">_xlfn.XLOOKUP($A2157, 'Medical Examinations'!$A:$A, 'Medical Examinations'!B:B, "No Data")</f>
        <v>23.06</v>
      </c>
      <c r="D2157" s="28">
        <f t="array" ref="D2157">_xlfn.XLOOKUP($A2157, 'Medical Examinations'!$A:$A, 'Medical Examinations'!C:C, "No Data")</f>
        <v>4.47</v>
      </c>
      <c r="E2157" s="28" t="str">
        <f t="array" ref="E2157">_xlfn.XLOOKUP($A2157, 'Medical Examinations'!$A:$A, 'Medical Examinations'!D:D, "No Data")</f>
        <v>No</v>
      </c>
      <c r="F2157" s="28" t="str">
        <f t="array" ref="F2157">_xlfn.XLOOKUP($A2157, 'Medical Examinations'!$A:$A, 'Medical Examinations'!E:E, "No Data")</f>
        <v>No</v>
      </c>
      <c r="G2157" s="28" t="str">
        <f t="array" ref="G2157">_xlfn.XLOOKUP($A2157, 'Medical Examinations'!$A:$A, 'Medical Examinations'!F:F, "No Data")</f>
        <v>No</v>
      </c>
      <c r="H2157" s="28">
        <f t="array" ref="H2157">_xlfn.XLOOKUP($A2157, 'Medical Examinations'!$A:$A, 'Medical Examinations'!G:G, "No Data")</f>
        <v>0</v>
      </c>
      <c r="I2157" s="28" t="str">
        <f t="array" ref="I2157">_xlfn.XLOOKUP($A2157, 'Medical Examinations'!$A:$A, 'Medical Examinations'!H:H, "No Data")</f>
        <v>No</v>
      </c>
      <c r="J2157" s="28" t="str">
        <f t="array" ref="J2157">_xlfn.XLOOKUP($A2157, 'Medical Examinations'!$A:$A, 'Medical Examinations'!I:I, "No Data")</f>
        <v>Normal Weight</v>
      </c>
      <c r="K2157" s="28" t="str">
        <f t="array" ref="K2157">_xlfn.XLOOKUP($A2157, 'Hospitalisation Details'!$A:$A, 'Hospitalisation Details'!I:I, "No Data")</f>
        <v>tier - 3</v>
      </c>
      <c r="L2157" s="28" t="str">
        <f t="array" ref="L2157">_xlfn.XLOOKUP($A2157, 'Hospitalisation Details'!$A:$A, 'Hospitalisation Details'!J:J, "No Data")</f>
        <v>R1013</v>
      </c>
      <c r="M2157" s="28" t="str">
        <f t="array" ref="M2157">_xlfn.XLOOKUP($A2157, 'Hospitalisation Details'!$A:$A, 'Hospitalisation Details'!E:E, "No Data")</f>
        <v>06/10/94</v>
      </c>
      <c r="N2157" s="28">
        <f t="array" ref="N2157">_xlfn.XLOOKUP($A2157, 'Hospitalisation Details'!$A:$A, 'Hospitalisation Details'!K:K, "No Data")</f>
        <v>28</v>
      </c>
      <c r="O2157" s="33">
        <f t="array" ref="O2157">_xlfn.XLOOKUP($A2157, 'Hospitalisation Details'!$A:$A, 'Hospitalisation Details'!G:G, "No Data")</f>
        <v>1908.9</v>
      </c>
      <c r="P2157" s="28" t="str">
        <f t="array" ref="P2157">_xlfn.XLOOKUP($A2157, 'Hospitalisation Details'!$A:$A, 'Hospitalisation Details'!H:H, "No Data")</f>
        <v>tier - 3</v>
      </c>
    </row>
    <row r="2158">
      <c r="A2158" s="25" t="s">
        <v>1678</v>
      </c>
      <c r="B2158" s="28" t="str">
        <f t="array" ref="B2158">_xlfn.XLOOKUP($A2158, 'Customer Names'!$A:$A, 'Customer Names'!B:B, "No Data")</f>
        <v>Rathbun</v>
      </c>
      <c r="C2158" s="28">
        <f t="array" ref="C2158">_xlfn.XLOOKUP($A2158, 'Medical Examinations'!$A:$A, 'Medical Examinations'!B:B, "No Data")</f>
        <v>28.975</v>
      </c>
      <c r="D2158" s="28">
        <f t="array" ref="D2158">_xlfn.XLOOKUP($A2158, 'Medical Examinations'!$A:$A, 'Medical Examinations'!C:C, "No Data")</f>
        <v>4.34</v>
      </c>
      <c r="E2158" s="28" t="str">
        <f t="array" ref="E2158">_xlfn.XLOOKUP($A2158, 'Medical Examinations'!$A:$A, 'Medical Examinations'!D:D, "No Data")</f>
        <v>yes</v>
      </c>
      <c r="F2158" s="28" t="str">
        <f t="array" ref="F2158">_xlfn.XLOOKUP($A2158, 'Medical Examinations'!$A:$A, 'Medical Examinations'!E:E, "No Data")</f>
        <v>No</v>
      </c>
      <c r="G2158" s="28" t="str">
        <f t="array" ref="G2158">_xlfn.XLOOKUP($A2158, 'Medical Examinations'!$A:$A, 'Medical Examinations'!F:F, "No Data")</f>
        <v>No</v>
      </c>
      <c r="H2158" s="28">
        <f t="array" ref="H2158">_xlfn.XLOOKUP($A2158, 'Medical Examinations'!$A:$A, 'Medical Examinations'!G:G, "No Data")</f>
        <v>0</v>
      </c>
      <c r="I2158" s="28" t="str">
        <f t="array" ref="I2158">_xlfn.XLOOKUP($A2158, 'Medical Examinations'!$A:$A, 'Medical Examinations'!H:H, "No Data")</f>
        <v>No</v>
      </c>
      <c r="J2158" s="28" t="str">
        <f t="array" ref="J2158">_xlfn.XLOOKUP($A2158, 'Medical Examinations'!$A:$A, 'Medical Examinations'!I:I, "No Data")</f>
        <v>Overweight</v>
      </c>
      <c r="K2158" s="28" t="str">
        <f t="array" ref="K2158">_xlfn.XLOOKUP($A2158, 'Hospitalisation Details'!$A:$A, 'Hospitalisation Details'!I:I, "No Data")</f>
        <v>tier - 1</v>
      </c>
      <c r="L2158" s="28" t="str">
        <f t="array" ref="L2158">_xlfn.XLOOKUP($A2158, 'Hospitalisation Details'!$A:$A, 'Hospitalisation Details'!J:J, "No Data")</f>
        <v>R1012</v>
      </c>
      <c r="M2158" s="28" t="str">
        <f t="array" ref="M2158">_xlfn.XLOOKUP($A2158, 'Hospitalisation Details'!$A:$A, 'Hospitalisation Details'!E:E, "No Data")</f>
        <v>10/08/01</v>
      </c>
      <c r="N2158" s="28">
        <f t="array" ref="N2158">_xlfn.XLOOKUP($A2158, 'Hospitalisation Details'!$A:$A, 'Hospitalisation Details'!K:K, "No Data")</f>
        <v>21</v>
      </c>
      <c r="O2158" s="33">
        <f t="array" ref="O2158">_xlfn.XLOOKUP($A2158, 'Hospitalisation Details'!$A:$A, 'Hospitalisation Details'!G:G, "No Data")</f>
        <v>1906.36</v>
      </c>
      <c r="P2158" s="28" t="str">
        <f t="array" ref="P2158">_xlfn.XLOOKUP($A2158, 'Hospitalisation Details'!$A:$A, 'Hospitalisation Details'!H:H, "No Data")</f>
        <v>tier - 3</v>
      </c>
    </row>
    <row r="2159">
      <c r="A2159" s="25" t="s">
        <v>1677</v>
      </c>
      <c r="B2159" s="28" t="str">
        <f t="array" ref="B2159">_xlfn.XLOOKUP($A2159, 'Customer Names'!$A:$A, 'Customer Names'!B:B, "No Data")</f>
        <v>crane</v>
      </c>
      <c r="C2159" s="28">
        <f t="array" ref="C2159">_xlfn.XLOOKUP($A2159, 'Medical Examinations'!$A:$A, 'Medical Examinations'!B:B, "No Data")</f>
        <v>33.3</v>
      </c>
      <c r="D2159" s="28">
        <f t="array" ref="D2159">_xlfn.XLOOKUP($A2159, 'Medical Examinations'!$A:$A, 'Medical Examinations'!C:C, "No Data")</f>
        <v>9.49</v>
      </c>
      <c r="E2159" s="28" t="str">
        <f t="array" ref="E2159">_xlfn.XLOOKUP($A2159, 'Medical Examinations'!$A:$A, 'Medical Examinations'!D:D, "No Data")</f>
        <v>No</v>
      </c>
      <c r="F2159" s="28" t="str">
        <f t="array" ref="F2159">_xlfn.XLOOKUP($A2159, 'Medical Examinations'!$A:$A, 'Medical Examinations'!E:E, "No Data")</f>
        <v>No</v>
      </c>
      <c r="G2159" s="28" t="str">
        <f t="array" ref="G2159">_xlfn.XLOOKUP($A2159, 'Medical Examinations'!$A:$A, 'Medical Examinations'!F:F, "No Data")</f>
        <v>No</v>
      </c>
      <c r="H2159" s="28">
        <f t="array" ref="H2159">_xlfn.XLOOKUP($A2159, 'Medical Examinations'!$A:$A, 'Medical Examinations'!G:G, "No Data")</f>
        <v>0</v>
      </c>
      <c r="I2159" s="28" t="str">
        <f t="array" ref="I2159">_xlfn.XLOOKUP($A2159, 'Medical Examinations'!$A:$A, 'Medical Examinations'!H:H, "No Data")</f>
        <v>No</v>
      </c>
      <c r="J2159" s="28" t="str">
        <f t="array" ref="J2159">_xlfn.XLOOKUP($A2159, 'Medical Examinations'!$A:$A, 'Medical Examinations'!I:I, "No Data")</f>
        <v>Obesity</v>
      </c>
      <c r="K2159" s="28" t="str">
        <f t="array" ref="K2159">_xlfn.XLOOKUP($A2159, 'Hospitalisation Details'!$A:$A, 'Hospitalisation Details'!I:I, "No Data")</f>
        <v>tier - 1</v>
      </c>
      <c r="L2159" s="28" t="str">
        <f t="array" ref="L2159">_xlfn.XLOOKUP($A2159, 'Hospitalisation Details'!$A:$A, 'Hospitalisation Details'!J:J, "No Data")</f>
        <v>R1011</v>
      </c>
      <c r="M2159" s="28" t="str">
        <f t="array" ref="M2159">_xlfn.XLOOKUP($A2159, 'Hospitalisation Details'!$A:$A, 'Hospitalisation Details'!E:E, "No Data")</f>
        <v>21/08/02</v>
      </c>
      <c r="N2159" s="28">
        <f t="array" ref="N2159">_xlfn.XLOOKUP($A2159, 'Hospitalisation Details'!$A:$A, 'Hospitalisation Details'!K:K, "No Data")</f>
        <v>20</v>
      </c>
      <c r="O2159" s="33">
        <f t="array" ref="O2159">_xlfn.XLOOKUP($A2159, 'Hospitalisation Details'!$A:$A, 'Hospitalisation Details'!G:G, "No Data")</f>
        <v>1880.49</v>
      </c>
      <c r="P2159" s="28" t="str">
        <f t="array" ref="P2159">_xlfn.XLOOKUP($A2159, 'Hospitalisation Details'!$A:$A, 'Hospitalisation Details'!H:H, "No Data")</f>
        <v>tier - 3</v>
      </c>
    </row>
    <row r="2160">
      <c r="A2160" s="25" t="s">
        <v>1669</v>
      </c>
      <c r="B2160" s="28" t="str">
        <f t="array" ref="B2160">_xlfn.XLOOKUP($A2160, 'Customer Names'!$A:$A, 'Customer Names'!B:B, "No Data")</f>
        <v>Conant</v>
      </c>
      <c r="C2160" s="28">
        <f t="array" ref="C2160">_xlfn.XLOOKUP($A2160, 'Medical Examinations'!$A:$A, 'Medical Examinations'!B:B, "No Data")</f>
        <v>33</v>
      </c>
      <c r="D2160" s="28">
        <f t="array" ref="D2160">_xlfn.XLOOKUP($A2160, 'Medical Examinations'!$A:$A, 'Medical Examinations'!C:C, "No Data")</f>
        <v>10.16</v>
      </c>
      <c r="E2160" s="28" t="str">
        <f t="array" ref="E2160">_xlfn.XLOOKUP($A2160, 'Medical Examinations'!$A:$A, 'Medical Examinations'!D:D, "No Data")</f>
        <v>No</v>
      </c>
      <c r="F2160" s="28" t="str">
        <f t="array" ref="F2160">_xlfn.XLOOKUP($A2160, 'Medical Examinations'!$A:$A, 'Medical Examinations'!E:E, "No Data")</f>
        <v>No</v>
      </c>
      <c r="G2160" s="28" t="str">
        <f t="array" ref="G2160">_xlfn.XLOOKUP($A2160, 'Medical Examinations'!$A:$A, 'Medical Examinations'!F:F, "No Data")</f>
        <v>No</v>
      </c>
      <c r="H2160" s="28">
        <f t="array" ref="H2160">_xlfn.XLOOKUP($A2160, 'Medical Examinations'!$A:$A, 'Medical Examinations'!G:G, "No Data")</f>
        <v>0</v>
      </c>
      <c r="I2160" s="28" t="str">
        <f t="array" ref="I2160">_xlfn.XLOOKUP($A2160, 'Medical Examinations'!$A:$A, 'Medical Examinations'!H:H, "No Data")</f>
        <v>No</v>
      </c>
      <c r="J2160" s="28" t="str">
        <f t="array" ref="J2160">_xlfn.XLOOKUP($A2160, 'Medical Examinations'!$A:$A, 'Medical Examinations'!I:I, "No Data")</f>
        <v>Obesity</v>
      </c>
      <c r="K2160" s="28" t="str">
        <f t="array" ref="K2160">_xlfn.XLOOKUP($A2160, 'Hospitalisation Details'!$A:$A, 'Hospitalisation Details'!I:I, "No Data")</f>
        <v>tier - 2</v>
      </c>
      <c r="L2160" s="28" t="str">
        <f t="array" ref="L2160">_xlfn.XLOOKUP($A2160, 'Hospitalisation Details'!$A:$A, 'Hospitalisation Details'!J:J, "No Data")</f>
        <v>R1013</v>
      </c>
      <c r="M2160" s="28" t="str">
        <f t="array" ref="M2160">_xlfn.XLOOKUP($A2160, 'Hospitalisation Details'!$A:$A, 'Hospitalisation Details'!E:E, "No Data")</f>
        <v>29/08/02</v>
      </c>
      <c r="N2160" s="28">
        <f t="array" ref="N2160">_xlfn.XLOOKUP($A2160, 'Hospitalisation Details'!$A:$A, 'Hospitalisation Details'!K:K, "No Data")</f>
        <v>20</v>
      </c>
      <c r="O2160" s="33">
        <f t="array" ref="O2160">_xlfn.XLOOKUP($A2160, 'Hospitalisation Details'!$A:$A, 'Hospitalisation Details'!G:G, "No Data")</f>
        <v>1880.07</v>
      </c>
      <c r="P2160" s="28" t="str">
        <f t="array" ref="P2160">_xlfn.XLOOKUP($A2160, 'Hospitalisation Details'!$A:$A, 'Hospitalisation Details'!H:H, "No Data")</f>
        <v>tier - 3</v>
      </c>
    </row>
    <row r="2161">
      <c r="A2161" s="25" t="s">
        <v>1664</v>
      </c>
      <c r="B2161" s="28" t="str">
        <f t="array" ref="B2161">_xlfn.XLOOKUP($A2161, 'Customer Names'!$A:$A, 'Customer Names'!B:B, "No Data")</f>
        <v>Huyser-Wierenga</v>
      </c>
      <c r="C2161" s="28">
        <f t="array" ref="C2161">_xlfn.XLOOKUP($A2161, 'Medical Examinations'!$A:$A, 'Medical Examinations'!B:B, "No Data")</f>
        <v>31.46</v>
      </c>
      <c r="D2161" s="28">
        <f t="array" ref="D2161">_xlfn.XLOOKUP($A2161, 'Medical Examinations'!$A:$A, 'Medical Examinations'!C:C, "No Data")</f>
        <v>11.19</v>
      </c>
      <c r="E2161" s="28" t="str">
        <f t="array" ref="E2161">_xlfn.XLOOKUP($A2161, 'Medical Examinations'!$A:$A, 'Medical Examinations'!D:D, "No Data")</f>
        <v>No</v>
      </c>
      <c r="F2161" s="28" t="str">
        <f t="array" ref="F2161">_xlfn.XLOOKUP($A2161, 'Medical Examinations'!$A:$A, 'Medical Examinations'!E:E, "No Data")</f>
        <v>No</v>
      </c>
      <c r="G2161" s="28" t="str">
        <f t="array" ref="G2161">_xlfn.XLOOKUP($A2161, 'Medical Examinations'!$A:$A, 'Medical Examinations'!F:F, "No Data")</f>
        <v>No</v>
      </c>
      <c r="H2161" s="28">
        <f t="array" ref="H2161">_xlfn.XLOOKUP($A2161, 'Medical Examinations'!$A:$A, 'Medical Examinations'!G:G, "No Data")</f>
        <v>0</v>
      </c>
      <c r="I2161" s="28" t="str">
        <f t="array" ref="I2161">_xlfn.XLOOKUP($A2161, 'Medical Examinations'!$A:$A, 'Medical Examinations'!H:H, "No Data")</f>
        <v>No</v>
      </c>
      <c r="J2161" s="28" t="str">
        <f t="array" ref="J2161">_xlfn.XLOOKUP($A2161, 'Medical Examinations'!$A:$A, 'Medical Examinations'!I:I, "No Data")</f>
        <v>Obesity</v>
      </c>
      <c r="K2161" s="28" t="str">
        <f t="array" ref="K2161">_xlfn.XLOOKUP($A2161, 'Hospitalisation Details'!$A:$A, 'Hospitalisation Details'!I:I, "No Data")</f>
        <v>tier - 1</v>
      </c>
      <c r="L2161" s="28" t="str">
        <f t="array" ref="L2161">_xlfn.XLOOKUP($A2161, 'Hospitalisation Details'!$A:$A, 'Hospitalisation Details'!J:J, "No Data")</f>
        <v>R1013</v>
      </c>
      <c r="M2161" s="28" t="str">
        <f t="array" ref="M2161">_xlfn.XLOOKUP($A2161, 'Hospitalisation Details'!$A:$A, 'Hospitalisation Details'!E:E, "No Data")</f>
        <v>29/10/02</v>
      </c>
      <c r="N2161" s="28">
        <f t="array" ref="N2161">_xlfn.XLOOKUP($A2161, 'Hospitalisation Details'!$A:$A, 'Hospitalisation Details'!K:K, "No Data")</f>
        <v>20</v>
      </c>
      <c r="O2161" s="33">
        <f t="array" ref="O2161">_xlfn.XLOOKUP($A2161, 'Hospitalisation Details'!$A:$A, 'Hospitalisation Details'!G:G, "No Data")</f>
        <v>1877.93</v>
      </c>
      <c r="P2161" s="28" t="str">
        <f t="array" ref="P2161">_xlfn.XLOOKUP($A2161, 'Hospitalisation Details'!$A:$A, 'Hospitalisation Details'!H:H, "No Data")</f>
        <v>tier - 3</v>
      </c>
    </row>
    <row r="2162">
      <c r="A2162" s="25" t="s">
        <v>1658</v>
      </c>
      <c r="B2162" s="28" t="str">
        <f t="array" ref="B2162">_xlfn.XLOOKUP($A2162, 'Customer Names'!$A:$A, 'Customer Names'!B:B, "No Data")</f>
        <v>Natalini</v>
      </c>
      <c r="C2162" s="28">
        <f t="array" ref="C2162">_xlfn.XLOOKUP($A2162, 'Medical Examinations'!$A:$A, 'Medical Examinations'!B:B, "No Data")</f>
        <v>29.6</v>
      </c>
      <c r="D2162" s="28">
        <f t="array" ref="D2162">_xlfn.XLOOKUP($A2162, 'Medical Examinations'!$A:$A, 'Medical Examinations'!C:C, "No Data")</f>
        <v>11.03</v>
      </c>
      <c r="E2162" s="28" t="str">
        <f t="array" ref="E2162">_xlfn.XLOOKUP($A2162, 'Medical Examinations'!$A:$A, 'Medical Examinations'!D:D, "No Data")</f>
        <v>No</v>
      </c>
      <c r="F2162" s="28" t="str">
        <f t="array" ref="F2162">_xlfn.XLOOKUP($A2162, 'Medical Examinations'!$A:$A, 'Medical Examinations'!E:E, "No Data")</f>
        <v>No</v>
      </c>
      <c r="G2162" s="28" t="str">
        <f t="array" ref="G2162">_xlfn.XLOOKUP($A2162, 'Medical Examinations'!$A:$A, 'Medical Examinations'!F:F, "No Data")</f>
        <v>No</v>
      </c>
      <c r="H2162" s="28">
        <f t="array" ref="H2162">_xlfn.XLOOKUP($A2162, 'Medical Examinations'!$A:$A, 'Medical Examinations'!G:G, "No Data")</f>
        <v>0</v>
      </c>
      <c r="I2162" s="28" t="str">
        <f t="array" ref="I2162">_xlfn.XLOOKUP($A2162, 'Medical Examinations'!$A:$A, 'Medical Examinations'!H:H, "No Data")</f>
        <v>No</v>
      </c>
      <c r="J2162" s="28" t="str">
        <f t="array" ref="J2162">_xlfn.XLOOKUP($A2162, 'Medical Examinations'!$A:$A, 'Medical Examinations'!I:I, "No Data")</f>
        <v>Overweight</v>
      </c>
      <c r="K2162" s="28" t="str">
        <f t="array" ref="K2162">_xlfn.XLOOKUP($A2162, 'Hospitalisation Details'!$A:$A, 'Hospitalisation Details'!I:I, "No Data")</f>
        <v>tier - 2</v>
      </c>
      <c r="L2162" s="28" t="str">
        <f t="array" ref="L2162">_xlfn.XLOOKUP($A2162, 'Hospitalisation Details'!$A:$A, 'Hospitalisation Details'!J:J, "No Data")</f>
        <v>R1011</v>
      </c>
      <c r="M2162" s="28" t="str">
        <f t="array" ref="M2162">_xlfn.XLOOKUP($A2162, 'Hospitalisation Details'!$A:$A, 'Hospitalisation Details'!E:E, "No Data")</f>
        <v>22/09/02</v>
      </c>
      <c r="N2162" s="28">
        <f t="array" ref="N2162">_xlfn.XLOOKUP($A2162, 'Hospitalisation Details'!$A:$A, 'Hospitalisation Details'!K:K, "No Data")</f>
        <v>20</v>
      </c>
      <c r="O2162" s="33">
        <f t="array" ref="O2162">_xlfn.XLOOKUP($A2162, 'Hospitalisation Details'!$A:$A, 'Hospitalisation Details'!G:G, "No Data")</f>
        <v>1875.34</v>
      </c>
      <c r="P2162" s="28" t="str">
        <f t="array" ref="P2162">_xlfn.XLOOKUP($A2162, 'Hospitalisation Details'!$A:$A, 'Hospitalisation Details'!H:H, "No Data")</f>
        <v>tier - 3</v>
      </c>
    </row>
    <row r="2163">
      <c r="A2163" s="25" t="s">
        <v>1650</v>
      </c>
      <c r="B2163" s="28" t="str">
        <f t="array" ref="B2163">_xlfn.XLOOKUP($A2163, 'Customer Names'!$A:$A, 'Customer Names'!B:B, "No Data")</f>
        <v>Robbins</v>
      </c>
      <c r="C2163" s="28">
        <f t="array" ref="C2163">_xlfn.XLOOKUP($A2163, 'Medical Examinations'!$A:$A, 'Medical Examinations'!B:B, "No Data")</f>
        <v>22.05</v>
      </c>
      <c r="D2163" s="28">
        <f t="array" ref="D2163">_xlfn.XLOOKUP($A2163, 'Medical Examinations'!$A:$A, 'Medical Examinations'!C:C, "No Data")</f>
        <v>4.43</v>
      </c>
      <c r="E2163" s="28" t="str">
        <f t="array" ref="E2163">_xlfn.XLOOKUP($A2163, 'Medical Examinations'!$A:$A, 'Medical Examinations'!D:D, "No Data")</f>
        <v>yes</v>
      </c>
      <c r="F2163" s="28" t="str">
        <f t="array" ref="F2163">_xlfn.XLOOKUP($A2163, 'Medical Examinations'!$A:$A, 'Medical Examinations'!E:E, "No Data")</f>
        <v>No</v>
      </c>
      <c r="G2163" s="28" t="str">
        <f t="array" ref="G2163">_xlfn.XLOOKUP($A2163, 'Medical Examinations'!$A:$A, 'Medical Examinations'!F:F, "No Data")</f>
        <v>No</v>
      </c>
      <c r="H2163" s="28">
        <f t="array" ref="H2163">_xlfn.XLOOKUP($A2163, 'Medical Examinations'!$A:$A, 'Medical Examinations'!G:G, "No Data")</f>
        <v>0</v>
      </c>
      <c r="I2163" s="28" t="str">
        <f t="array" ref="I2163">_xlfn.XLOOKUP($A2163, 'Medical Examinations'!$A:$A, 'Medical Examinations'!H:H, "No Data")</f>
        <v>No</v>
      </c>
      <c r="J2163" s="28" t="str">
        <f t="array" ref="J2163">_xlfn.XLOOKUP($A2163, 'Medical Examinations'!$A:$A, 'Medical Examinations'!I:I, "No Data")</f>
        <v>Normal Weight</v>
      </c>
      <c r="K2163" s="28" t="str">
        <f t="array" ref="K2163">_xlfn.XLOOKUP($A2163, 'Hospitalisation Details'!$A:$A, 'Hospitalisation Details'!I:I, "No Data")</f>
        <v>tier - 3</v>
      </c>
      <c r="L2163" s="28" t="str">
        <f t="array" ref="L2163">_xlfn.XLOOKUP($A2163, 'Hospitalisation Details'!$A:$A, 'Hospitalisation Details'!J:J, "No Data")</f>
        <v>R1012</v>
      </c>
      <c r="M2163" s="28" t="str">
        <f t="array" ref="M2163">_xlfn.XLOOKUP($A2163, 'Hospitalisation Details'!$A:$A, 'Hospitalisation Details'!E:E, "No Data")</f>
        <v>02/07/96</v>
      </c>
      <c r="N2163" s="28">
        <f t="array" ref="N2163">_xlfn.XLOOKUP($A2163, 'Hospitalisation Details'!$A:$A, 'Hospitalisation Details'!K:K, "No Data")</f>
        <v>26</v>
      </c>
      <c r="O2163" s="33">
        <f t="array" ref="O2163">_xlfn.XLOOKUP($A2163, 'Hospitalisation Details'!$A:$A, 'Hospitalisation Details'!G:G, "No Data")</f>
        <v>1865.98</v>
      </c>
      <c r="P2163" s="28" t="str">
        <f t="array" ref="P2163">_xlfn.XLOOKUP($A2163, 'Hospitalisation Details'!$A:$A, 'Hospitalisation Details'!H:H, "No Data")</f>
        <v>tier - 3</v>
      </c>
    </row>
    <row r="2164">
      <c r="A2164" s="25" t="s">
        <v>1642</v>
      </c>
      <c r="B2164" s="28" t="str">
        <f t="array" ref="B2164">_xlfn.XLOOKUP($A2164, 'Customer Names'!$A:$A, 'Customer Names'!B:B, "No Data")</f>
        <v>Stanislav</v>
      </c>
      <c r="C2164" s="28">
        <f t="array" ref="C2164">_xlfn.XLOOKUP($A2164, 'Medical Examinations'!$A:$A, 'Medical Examinations'!B:B, "No Data")</f>
        <v>27.06</v>
      </c>
      <c r="D2164" s="28">
        <f t="array" ref="D2164">_xlfn.XLOOKUP($A2164, 'Medical Examinations'!$A:$A, 'Medical Examinations'!C:C, "No Data")</f>
        <v>6.14</v>
      </c>
      <c r="E2164" s="28" t="str">
        <f t="array" ref="E2164">_xlfn.XLOOKUP($A2164, 'Medical Examinations'!$A:$A, 'Medical Examinations'!D:D, "No Data")</f>
        <v>No</v>
      </c>
      <c r="F2164" s="28" t="str">
        <f t="array" ref="F2164">_xlfn.XLOOKUP($A2164, 'Medical Examinations'!$A:$A, 'Medical Examinations'!E:E, "No Data")</f>
        <v>yes</v>
      </c>
      <c r="G2164" s="28" t="str">
        <f t="array" ref="G2164">_xlfn.XLOOKUP($A2164, 'Medical Examinations'!$A:$A, 'Medical Examinations'!F:F, "No Data")</f>
        <v>No</v>
      </c>
      <c r="H2164" s="28">
        <f t="array" ref="H2164">_xlfn.XLOOKUP($A2164, 'Medical Examinations'!$A:$A, 'Medical Examinations'!G:G, "No Data")</f>
        <v>1</v>
      </c>
      <c r="I2164" s="28" t="str">
        <f t="array" ref="I2164">_xlfn.XLOOKUP($A2164, 'Medical Examinations'!$A:$A, 'Medical Examinations'!H:H, "No Data")</f>
        <v>No</v>
      </c>
      <c r="J2164" s="28" t="str">
        <f t="array" ref="J2164">_xlfn.XLOOKUP($A2164, 'Medical Examinations'!$A:$A, 'Medical Examinations'!I:I, "No Data")</f>
        <v>Overweight</v>
      </c>
      <c r="K2164" s="28" t="str">
        <f t="array" ref="K2164">_xlfn.XLOOKUP($A2164, 'Hospitalisation Details'!$A:$A, 'Hospitalisation Details'!I:I, "No Data")</f>
        <v>tier - 1</v>
      </c>
      <c r="L2164" s="28" t="str">
        <f t="array" ref="L2164">_xlfn.XLOOKUP($A2164, 'Hospitalisation Details'!$A:$A, 'Hospitalisation Details'!J:J, "No Data")</f>
        <v>R1025</v>
      </c>
      <c r="M2164" s="28" t="str">
        <f t="array" ref="M2164">_xlfn.XLOOKUP($A2164, 'Hospitalisation Details'!$A:$A, 'Hospitalisation Details'!E:E, "No Data")</f>
        <v>27/12/04</v>
      </c>
      <c r="N2164" s="28">
        <f t="array" ref="N2164">_xlfn.XLOOKUP($A2164, 'Hospitalisation Details'!$A:$A, 'Hospitalisation Details'!K:K, "No Data")</f>
        <v>18</v>
      </c>
      <c r="O2164" s="33">
        <f t="array" ref="O2164">_xlfn.XLOOKUP($A2164, 'Hospitalisation Details'!$A:$A, 'Hospitalisation Details'!G:G, "No Data")</f>
        <v>1863.45</v>
      </c>
      <c r="P2164" s="28" t="str">
        <f t="array" ref="P2164">_xlfn.XLOOKUP($A2164, 'Hospitalisation Details'!$A:$A, 'Hospitalisation Details'!H:H, "No Data")</f>
        <v>tier - 3</v>
      </c>
    </row>
    <row r="2165">
      <c r="A2165" s="25" t="s">
        <v>1635</v>
      </c>
      <c r="B2165" s="28" t="str">
        <f t="array" ref="B2165">_xlfn.XLOOKUP($A2165, 'Customer Names'!$A:$A, 'Customer Names'!B:B, "No Data")</f>
        <v>Meyer</v>
      </c>
      <c r="C2165" s="28">
        <f t="array" ref="C2165">_xlfn.XLOOKUP($A2165, 'Medical Examinations'!$A:$A, 'Medical Examinations'!B:B, "No Data")</f>
        <v>20.49</v>
      </c>
      <c r="D2165" s="28">
        <f t="array" ref="D2165">_xlfn.XLOOKUP($A2165, 'Medical Examinations'!$A:$A, 'Medical Examinations'!C:C, "No Data")</f>
        <v>4.87</v>
      </c>
      <c r="E2165" s="28" t="str">
        <f t="array" ref="E2165">_xlfn.XLOOKUP($A2165, 'Medical Examinations'!$A:$A, 'Medical Examinations'!D:D, "No Data")</f>
        <v>No</v>
      </c>
      <c r="F2165" s="28" t="str">
        <f t="array" ref="F2165">_xlfn.XLOOKUP($A2165, 'Medical Examinations'!$A:$A, 'Medical Examinations'!E:E, "No Data")</f>
        <v>No</v>
      </c>
      <c r="G2165" s="28" t="str">
        <f t="array" ref="G2165">_xlfn.XLOOKUP($A2165, 'Medical Examinations'!$A:$A, 'Medical Examinations'!F:F, "No Data")</f>
        <v>No</v>
      </c>
      <c r="H2165" s="28">
        <f t="array" ref="H2165">_xlfn.XLOOKUP($A2165, 'Medical Examinations'!$A:$A, 'Medical Examinations'!G:G, "No Data")</f>
        <v>0</v>
      </c>
      <c r="I2165" s="28" t="str">
        <f t="array" ref="I2165">_xlfn.XLOOKUP($A2165, 'Medical Examinations'!$A:$A, 'Medical Examinations'!H:H, "No Data")</f>
        <v>No</v>
      </c>
      <c r="J2165" s="28" t="str">
        <f t="array" ref="J2165">_xlfn.XLOOKUP($A2165, 'Medical Examinations'!$A:$A, 'Medical Examinations'!I:I, "No Data")</f>
        <v>Normal Weight</v>
      </c>
      <c r="K2165" s="28" t="str">
        <f t="array" ref="K2165">_xlfn.XLOOKUP($A2165, 'Hospitalisation Details'!$A:$A, 'Hospitalisation Details'!I:I, "No Data")</f>
        <v>tier - 2</v>
      </c>
      <c r="L2165" s="28" t="str">
        <f t="array" ref="L2165">_xlfn.XLOOKUP($A2165, 'Hospitalisation Details'!$A:$A, 'Hospitalisation Details'!J:J, "No Data")</f>
        <v>R1012</v>
      </c>
      <c r="M2165" s="28" t="str">
        <f t="array" ref="M2165">_xlfn.XLOOKUP($A2165, 'Hospitalisation Details'!$A:$A, 'Hospitalisation Details'!E:E, "No Data")</f>
        <v>06/12/94</v>
      </c>
      <c r="N2165" s="28">
        <f t="array" ref="N2165">_xlfn.XLOOKUP($A2165, 'Hospitalisation Details'!$A:$A, 'Hospitalisation Details'!K:K, "No Data")</f>
        <v>28</v>
      </c>
      <c r="O2165" s="33">
        <f t="array" ref="O2165">_xlfn.XLOOKUP($A2165, 'Hospitalisation Details'!$A:$A, 'Hospitalisation Details'!G:G, "No Data")</f>
        <v>1850.55</v>
      </c>
      <c r="P2165" s="28" t="str">
        <f t="array" ref="P2165">_xlfn.XLOOKUP($A2165, 'Hospitalisation Details'!$A:$A, 'Hospitalisation Details'!H:H, "No Data")</f>
        <v>tier - 3</v>
      </c>
    </row>
    <row r="2166">
      <c r="A2166" s="25" t="s">
        <v>1623</v>
      </c>
      <c r="B2166" s="28" t="str">
        <f t="array" ref="B2166">_xlfn.XLOOKUP($A2166, 'Customer Names'!$A:$A, 'Customer Names'!B:B, "No Data")</f>
        <v>Mears</v>
      </c>
      <c r="C2166" s="28">
        <f t="array" ref="C2166">_xlfn.XLOOKUP($A2166, 'Medical Examinations'!$A:$A, 'Medical Examinations'!B:B, "No Data")</f>
        <v>28.4</v>
      </c>
      <c r="D2166" s="28">
        <f t="array" ref="D2166">_xlfn.XLOOKUP($A2166, 'Medical Examinations'!$A:$A, 'Medical Examinations'!C:C, "No Data")</f>
        <v>4.3</v>
      </c>
      <c r="E2166" s="28" t="str">
        <f t="array" ref="E2166">_xlfn.XLOOKUP($A2166, 'Medical Examinations'!$A:$A, 'Medical Examinations'!D:D, "No Data")</f>
        <v>No</v>
      </c>
      <c r="F2166" s="28" t="str">
        <f t="array" ref="F2166">_xlfn.XLOOKUP($A2166, 'Medical Examinations'!$A:$A, 'Medical Examinations'!E:E, "No Data")</f>
        <v>No</v>
      </c>
      <c r="G2166" s="28" t="str">
        <f t="array" ref="G2166">_xlfn.XLOOKUP($A2166, 'Medical Examinations'!$A:$A, 'Medical Examinations'!F:F, "No Data")</f>
        <v>Yes</v>
      </c>
      <c r="H2166" s="28">
        <f t="array" ref="H2166">_xlfn.XLOOKUP($A2166, 'Medical Examinations'!$A:$A, 'Medical Examinations'!G:G, "No Data")</f>
        <v>1</v>
      </c>
      <c r="I2166" s="28" t="str">
        <f t="array" ref="I2166">_xlfn.XLOOKUP($A2166, 'Medical Examinations'!$A:$A, 'Medical Examinations'!H:H, "No Data")</f>
        <v>No</v>
      </c>
      <c r="J2166" s="28" t="str">
        <f t="array" ref="J2166">_xlfn.XLOOKUP($A2166, 'Medical Examinations'!$A:$A, 'Medical Examinations'!I:I, "No Data")</f>
        <v>Overweight</v>
      </c>
      <c r="K2166" s="28" t="str">
        <f t="array" ref="K2166">_xlfn.XLOOKUP($A2166, 'Hospitalisation Details'!$A:$A, 'Hospitalisation Details'!I:I, "No Data")</f>
        <v>tier - 2</v>
      </c>
      <c r="L2166" s="28" t="str">
        <f t="array" ref="L2166">_xlfn.XLOOKUP($A2166, 'Hospitalisation Details'!$A:$A, 'Hospitalisation Details'!J:J, "No Data")</f>
        <v>R1011</v>
      </c>
      <c r="M2166" s="28" t="str">
        <f t="array" ref="M2166">_xlfn.XLOOKUP($A2166, 'Hospitalisation Details'!$A:$A, 'Hospitalisation Details'!E:E, "No Data")</f>
        <v>20/07/03</v>
      </c>
      <c r="N2166" s="28">
        <f t="array" ref="N2166">_xlfn.XLOOKUP($A2166, 'Hospitalisation Details'!$A:$A, 'Hospitalisation Details'!K:K, "No Data")</f>
        <v>19</v>
      </c>
      <c r="O2166" s="33">
        <f t="array" ref="O2166">_xlfn.XLOOKUP($A2166, 'Hospitalisation Details'!$A:$A, 'Hospitalisation Details'!G:G, "No Data")</f>
        <v>1842.52</v>
      </c>
      <c r="P2166" s="28" t="str">
        <f t="array" ref="P2166">_xlfn.XLOOKUP($A2166, 'Hospitalisation Details'!$A:$A, 'Hospitalisation Details'!H:H, "No Data")</f>
        <v>tier - 3</v>
      </c>
    </row>
    <row r="2167">
      <c r="A2167" s="25" t="s">
        <v>1616</v>
      </c>
      <c r="B2167" s="28" t="str">
        <f t="array" ref="B2167">_xlfn.XLOOKUP($A2167, 'Customer Names'!$A:$A, 'Customer Names'!B:B, "No Data")</f>
        <v>Neill</v>
      </c>
      <c r="C2167" s="28">
        <f t="array" ref="C2167">_xlfn.XLOOKUP($A2167, 'Medical Examinations'!$A:$A, 'Medical Examinations'!B:B, "No Data")</f>
        <v>41.91</v>
      </c>
      <c r="D2167" s="28">
        <f t="array" ref="D2167">_xlfn.XLOOKUP($A2167, 'Medical Examinations'!$A:$A, 'Medical Examinations'!C:C, "No Data")</f>
        <v>6.19</v>
      </c>
      <c r="E2167" s="28" t="str">
        <f t="array" ref="E2167">_xlfn.XLOOKUP($A2167, 'Medical Examinations'!$A:$A, 'Medical Examinations'!D:D, "No Data")</f>
        <v>No</v>
      </c>
      <c r="F2167" s="28" t="str">
        <f t="array" ref="F2167">_xlfn.XLOOKUP($A2167, 'Medical Examinations'!$A:$A, 'Medical Examinations'!E:E, "No Data")</f>
        <v>No</v>
      </c>
      <c r="G2167" s="28" t="str">
        <f t="array" ref="G2167">_xlfn.XLOOKUP($A2167, 'Medical Examinations'!$A:$A, 'Medical Examinations'!F:F, "No Data")</f>
        <v>No</v>
      </c>
      <c r="H2167" s="28">
        <f t="array" ref="H2167">_xlfn.XLOOKUP($A2167, 'Medical Examinations'!$A:$A, 'Medical Examinations'!G:G, "No Data")</f>
        <v>0</v>
      </c>
      <c r="I2167" s="28" t="str">
        <f t="array" ref="I2167">_xlfn.XLOOKUP($A2167, 'Medical Examinations'!$A:$A, 'Medical Examinations'!H:H, "No Data")</f>
        <v>No</v>
      </c>
      <c r="J2167" s="28" t="str">
        <f t="array" ref="J2167">_xlfn.XLOOKUP($A2167, 'Medical Examinations'!$A:$A, 'Medical Examinations'!I:I, "No Data")</f>
        <v>Obesity</v>
      </c>
      <c r="K2167" s="28" t="str">
        <f t="array" ref="K2167">_xlfn.XLOOKUP($A2167, 'Hospitalisation Details'!$A:$A, 'Hospitalisation Details'!I:I, "No Data")</f>
        <v>tier - 2</v>
      </c>
      <c r="L2167" s="28" t="str">
        <f t="array" ref="L2167">_xlfn.XLOOKUP($A2167, 'Hospitalisation Details'!$A:$A, 'Hospitalisation Details'!J:J, "No Data")</f>
        <v>R1013</v>
      </c>
      <c r="M2167" s="28" t="str">
        <f t="array" ref="M2167">_xlfn.XLOOKUP($A2167, 'Hospitalisation Details'!$A:$A, 'Hospitalisation Details'!E:E, "No Data")</f>
        <v>12/12/99</v>
      </c>
      <c r="N2167" s="28">
        <f t="array" ref="N2167">_xlfn.XLOOKUP($A2167, 'Hospitalisation Details'!$A:$A, 'Hospitalisation Details'!K:K, "No Data")</f>
        <v>23</v>
      </c>
      <c r="O2167" s="33">
        <f t="array" ref="O2167">_xlfn.XLOOKUP($A2167, 'Hospitalisation Details'!$A:$A, 'Hospitalisation Details'!G:G, "No Data")</f>
        <v>1837.28</v>
      </c>
      <c r="P2167" s="28" t="str">
        <f t="array" ref="P2167">_xlfn.XLOOKUP($A2167, 'Hospitalisation Details'!$A:$A, 'Hospitalisation Details'!H:H, "No Data")</f>
        <v>tier - 3</v>
      </c>
    </row>
    <row r="2168">
      <c r="A2168" s="25" t="s">
        <v>1608</v>
      </c>
      <c r="B2168" s="28" t="str">
        <f t="array" ref="B2168">_xlfn.XLOOKUP($A2168, 'Customer Names'!$A:$A, 'Customer Names'!B:B, "No Data")</f>
        <v>Tola</v>
      </c>
      <c r="C2168" s="28">
        <f t="array" ref="C2168">_xlfn.XLOOKUP($A2168, 'Medical Examinations'!$A:$A, 'Medical Examinations'!B:B, "No Data")</f>
        <v>24.6</v>
      </c>
      <c r="D2168" s="28">
        <f t="array" ref="D2168">_xlfn.XLOOKUP($A2168, 'Medical Examinations'!$A:$A, 'Medical Examinations'!C:C, "No Data")</f>
        <v>6.19</v>
      </c>
      <c r="E2168" s="28" t="str">
        <f t="array" ref="E2168">_xlfn.XLOOKUP($A2168, 'Medical Examinations'!$A:$A, 'Medical Examinations'!D:D, "No Data")</f>
        <v>No</v>
      </c>
      <c r="F2168" s="28" t="str">
        <f t="array" ref="F2168">_xlfn.XLOOKUP($A2168, 'Medical Examinations'!$A:$A, 'Medical Examinations'!E:E, "No Data")</f>
        <v>No</v>
      </c>
      <c r="G2168" s="28" t="str">
        <f t="array" ref="G2168">_xlfn.XLOOKUP($A2168, 'Medical Examinations'!$A:$A, 'Medical Examinations'!F:F, "No Data")</f>
        <v>Yes</v>
      </c>
      <c r="H2168" s="28">
        <f t="array" ref="H2168">_xlfn.XLOOKUP($A2168, 'Medical Examinations'!$A:$A, 'Medical Examinations'!G:G, "No Data")</f>
        <v>1</v>
      </c>
      <c r="I2168" s="28" t="str">
        <f t="array" ref="I2168">_xlfn.XLOOKUP($A2168, 'Medical Examinations'!$A:$A, 'Medical Examinations'!H:H, "No Data")</f>
        <v>No</v>
      </c>
      <c r="J2168" s="28" t="str">
        <f t="array" ref="J2168">_xlfn.XLOOKUP($A2168, 'Medical Examinations'!$A:$A, 'Medical Examinations'!I:I, "No Data")</f>
        <v>Normal Weight</v>
      </c>
      <c r="K2168" s="28" t="str">
        <f t="array" ref="K2168">_xlfn.XLOOKUP($A2168, 'Hospitalisation Details'!$A:$A, 'Hospitalisation Details'!I:I, "No Data")</f>
        <v>tier - 2</v>
      </c>
      <c r="L2168" s="28" t="str">
        <f t="array" ref="L2168">_xlfn.XLOOKUP($A2168, 'Hospitalisation Details'!$A:$A, 'Hospitalisation Details'!J:J, "No Data")</f>
        <v>R1011</v>
      </c>
      <c r="M2168" s="28" t="str">
        <f t="array" ref="M2168">_xlfn.XLOOKUP($A2168, 'Hospitalisation Details'!$A:$A, 'Hospitalisation Details'!E:E, "No Data")</f>
        <v>04/08/03</v>
      </c>
      <c r="N2168" s="28">
        <f t="array" ref="N2168">_xlfn.XLOOKUP($A2168, 'Hospitalisation Details'!$A:$A, 'Hospitalisation Details'!K:K, "No Data")</f>
        <v>19</v>
      </c>
      <c r="O2168" s="33">
        <f t="array" ref="O2168">_xlfn.XLOOKUP($A2168, 'Hospitalisation Details'!$A:$A, 'Hospitalisation Details'!G:G, "No Data")</f>
        <v>1837.24</v>
      </c>
      <c r="P2168" s="28" t="str">
        <f t="array" ref="P2168">_xlfn.XLOOKUP($A2168, 'Hospitalisation Details'!$A:$A, 'Hospitalisation Details'!H:H, "No Data")</f>
        <v>tier - 3</v>
      </c>
    </row>
    <row r="2169">
      <c r="A2169" s="25" t="s">
        <v>1599</v>
      </c>
      <c r="B2169" s="28" t="str">
        <f t="array" ref="B2169">_xlfn.XLOOKUP($A2169, 'Customer Names'!$A:$A, 'Customer Names'!B:B, "No Data")</f>
        <v>Briskman</v>
      </c>
      <c r="C2169" s="28">
        <f t="array" ref="C2169">_xlfn.XLOOKUP($A2169, 'Medical Examinations'!$A:$A, 'Medical Examinations'!B:B, "No Data")</f>
        <v>20.9</v>
      </c>
      <c r="D2169" s="28">
        <f t="array" ref="D2169">_xlfn.XLOOKUP($A2169, 'Medical Examinations'!$A:$A, 'Medical Examinations'!C:C, "No Data")</f>
        <v>5.12</v>
      </c>
      <c r="E2169" s="28" t="str">
        <f t="array" ref="E2169">_xlfn.XLOOKUP($A2169, 'Medical Examinations'!$A:$A, 'Medical Examinations'!D:D, "No Data")</f>
        <v>No</v>
      </c>
      <c r="F2169" s="28" t="str">
        <f t="array" ref="F2169">_xlfn.XLOOKUP($A2169, 'Medical Examinations'!$A:$A, 'Medical Examinations'!E:E, "No Data")</f>
        <v>No</v>
      </c>
      <c r="G2169" s="28" t="str">
        <f t="array" ref="G2169">_xlfn.XLOOKUP($A2169, 'Medical Examinations'!$A:$A, 'Medical Examinations'!F:F, "No Data")</f>
        <v>Yes</v>
      </c>
      <c r="H2169" s="28">
        <f t="array" ref="H2169">_xlfn.XLOOKUP($A2169, 'Medical Examinations'!$A:$A, 'Medical Examinations'!G:G, "No Data")</f>
        <v>1</v>
      </c>
      <c r="I2169" s="28" t="str">
        <f t="array" ref="I2169">_xlfn.XLOOKUP($A2169, 'Medical Examinations'!$A:$A, 'Medical Examinations'!H:H, "No Data")</f>
        <v>No</v>
      </c>
      <c r="J2169" s="28" t="str">
        <f t="array" ref="J2169">_xlfn.XLOOKUP($A2169, 'Medical Examinations'!$A:$A, 'Medical Examinations'!I:I, "No Data")</f>
        <v>Normal Weight</v>
      </c>
      <c r="K2169" s="28" t="str">
        <f t="array" ref="K2169">_xlfn.XLOOKUP($A2169, 'Hospitalisation Details'!$A:$A, 'Hospitalisation Details'!I:I, "No Data")</f>
        <v>tier - 3</v>
      </c>
      <c r="L2169" s="28" t="str">
        <f t="array" ref="L2169">_xlfn.XLOOKUP($A2169, 'Hospitalisation Details'!$A:$A, 'Hospitalisation Details'!J:J, "No Data")</f>
        <v>R1011</v>
      </c>
      <c r="M2169" s="28" t="str">
        <f t="array" ref="M2169">_xlfn.XLOOKUP($A2169, 'Hospitalisation Details'!$A:$A, 'Hospitalisation Details'!E:E, "No Data")</f>
        <v>11/08/03</v>
      </c>
      <c r="N2169" s="28">
        <f t="array" ref="N2169">_xlfn.XLOOKUP($A2169, 'Hospitalisation Details'!$A:$A, 'Hospitalisation Details'!K:K, "No Data")</f>
        <v>19</v>
      </c>
      <c r="O2169" s="33">
        <f t="array" ref="O2169">_xlfn.XLOOKUP($A2169, 'Hospitalisation Details'!$A:$A, 'Hospitalisation Details'!G:G, "No Data")</f>
        <v>1832.09</v>
      </c>
      <c r="P2169" s="28" t="str">
        <f t="array" ref="P2169">_xlfn.XLOOKUP($A2169, 'Hospitalisation Details'!$A:$A, 'Hospitalisation Details'!H:H, "No Data")</f>
        <v>tier - 3</v>
      </c>
    </row>
    <row r="2170">
      <c r="A2170" s="25" t="s">
        <v>1593</v>
      </c>
      <c r="B2170" s="28" t="str">
        <f t="array" ref="B2170">_xlfn.XLOOKUP($A2170, 'Customer Names'!$A:$A, 'Customer Names'!B:B, "No Data")</f>
        <v>Ritzenhein</v>
      </c>
      <c r="C2170" s="28">
        <f t="array" ref="C2170">_xlfn.XLOOKUP($A2170, 'Medical Examinations'!$A:$A, 'Medical Examinations'!B:B, "No Data")</f>
        <v>34.4</v>
      </c>
      <c r="D2170" s="28">
        <f t="array" ref="D2170">_xlfn.XLOOKUP($A2170, 'Medical Examinations'!$A:$A, 'Medical Examinations'!C:C, "No Data")</f>
        <v>4.04</v>
      </c>
      <c r="E2170" s="28" t="str">
        <f t="array" ref="E2170">_xlfn.XLOOKUP($A2170, 'Medical Examinations'!$A:$A, 'Medical Examinations'!D:D, "No Data")</f>
        <v>No</v>
      </c>
      <c r="F2170" s="28" t="str">
        <f t="array" ref="F2170">_xlfn.XLOOKUP($A2170, 'Medical Examinations'!$A:$A, 'Medical Examinations'!E:E, "No Data")</f>
        <v>No</v>
      </c>
      <c r="G2170" s="28" t="str">
        <f t="array" ref="G2170">_xlfn.XLOOKUP($A2170, 'Medical Examinations'!$A:$A, 'Medical Examinations'!F:F, "No Data")</f>
        <v>No</v>
      </c>
      <c r="H2170" s="28">
        <f t="array" ref="H2170">_xlfn.XLOOKUP($A2170, 'Medical Examinations'!$A:$A, 'Medical Examinations'!G:G, "No Data")</f>
        <v>0</v>
      </c>
      <c r="I2170" s="28" t="str">
        <f t="array" ref="I2170">_xlfn.XLOOKUP($A2170, 'Medical Examinations'!$A:$A, 'Medical Examinations'!H:H, "No Data")</f>
        <v>No</v>
      </c>
      <c r="J2170" s="28" t="str">
        <f t="array" ref="J2170">_xlfn.XLOOKUP($A2170, 'Medical Examinations'!$A:$A, 'Medical Examinations'!I:I, "No Data")</f>
        <v>Obesity</v>
      </c>
      <c r="K2170" s="28" t="str">
        <f t="array" ref="K2170">_xlfn.XLOOKUP($A2170, 'Hospitalisation Details'!$A:$A, 'Hospitalisation Details'!I:I, "No Data")</f>
        <v>tier - 2</v>
      </c>
      <c r="L2170" s="28" t="str">
        <f t="array" ref="L2170">_xlfn.XLOOKUP($A2170, 'Hospitalisation Details'!$A:$A, 'Hospitalisation Details'!J:J, "No Data")</f>
        <v>R1011</v>
      </c>
      <c r="M2170" s="28" t="str">
        <f t="array" ref="M2170">_xlfn.XLOOKUP($A2170, 'Hospitalisation Details'!$A:$A, 'Hospitalisation Details'!E:E, "No Data")</f>
        <v>01/10/99</v>
      </c>
      <c r="N2170" s="28">
        <f t="array" ref="N2170">_xlfn.XLOOKUP($A2170, 'Hospitalisation Details'!$A:$A, 'Hospitalisation Details'!K:K, "No Data")</f>
        <v>23</v>
      </c>
      <c r="O2170" s="33">
        <f t="array" ref="O2170">_xlfn.XLOOKUP($A2170, 'Hospitalisation Details'!$A:$A, 'Hospitalisation Details'!G:G, "No Data")</f>
        <v>1826.84</v>
      </c>
      <c r="P2170" s="28" t="str">
        <f t="array" ref="P2170">_xlfn.XLOOKUP($A2170, 'Hospitalisation Details'!$A:$A, 'Hospitalisation Details'!H:H, "No Data")</f>
        <v>tier - 3</v>
      </c>
    </row>
    <row r="2171">
      <c r="A2171" s="25" t="s">
        <v>1588</v>
      </c>
      <c r="B2171" s="28" t="str">
        <f t="array" ref="B2171">_xlfn.XLOOKUP($A2171, 'Customer Names'!$A:$A, 'Customer Names'!B:B, "No Data")</f>
        <v>Malkowski</v>
      </c>
      <c r="C2171" s="28">
        <f t="array" ref="C2171">_xlfn.XLOOKUP($A2171, 'Medical Examinations'!$A:$A, 'Medical Examinations'!B:B, "No Data")</f>
        <v>32.56</v>
      </c>
      <c r="D2171" s="28">
        <f t="array" ref="D2171">_xlfn.XLOOKUP($A2171, 'Medical Examinations'!$A:$A, 'Medical Examinations'!C:C, "No Data")</f>
        <v>5.36</v>
      </c>
      <c r="E2171" s="28" t="str">
        <f t="array" ref="E2171">_xlfn.XLOOKUP($A2171, 'Medical Examinations'!$A:$A, 'Medical Examinations'!D:D, "No Data")</f>
        <v>No</v>
      </c>
      <c r="F2171" s="28" t="str">
        <f t="array" ref="F2171">_xlfn.XLOOKUP($A2171, 'Medical Examinations'!$A:$A, 'Medical Examinations'!E:E, "No Data")</f>
        <v>No</v>
      </c>
      <c r="G2171" s="28" t="str">
        <f t="array" ref="G2171">_xlfn.XLOOKUP($A2171, 'Medical Examinations'!$A:$A, 'Medical Examinations'!F:F, "No Data")</f>
        <v>No</v>
      </c>
      <c r="H2171" s="28">
        <f t="array" ref="H2171">_xlfn.XLOOKUP($A2171, 'Medical Examinations'!$A:$A, 'Medical Examinations'!G:G, "No Data")</f>
        <v>0</v>
      </c>
      <c r="I2171" s="28" t="str">
        <f t="array" ref="I2171">_xlfn.XLOOKUP($A2171, 'Medical Examinations'!$A:$A, 'Medical Examinations'!H:H, "No Data")</f>
        <v>No</v>
      </c>
      <c r="J2171" s="28" t="str">
        <f t="array" ref="J2171">_xlfn.XLOOKUP($A2171, 'Medical Examinations'!$A:$A, 'Medical Examinations'!I:I, "No Data")</f>
        <v>Obesity</v>
      </c>
      <c r="K2171" s="28" t="str">
        <f t="array" ref="K2171">_xlfn.XLOOKUP($A2171, 'Hospitalisation Details'!$A:$A, 'Hospitalisation Details'!I:I, "No Data")</f>
        <v>tier - 3</v>
      </c>
      <c r="L2171" s="28" t="str">
        <f t="array" ref="L2171">_xlfn.XLOOKUP($A2171, 'Hospitalisation Details'!$A:$A, 'Hospitalisation Details'!J:J, "No Data")</f>
        <v>R1013</v>
      </c>
      <c r="M2171" s="28" t="str">
        <f t="array" ref="M2171">_xlfn.XLOOKUP($A2171, 'Hospitalisation Details'!$A:$A, 'Hospitalisation Details'!E:E, "No Data")</f>
        <v>17/11/99</v>
      </c>
      <c r="N2171" s="28">
        <f t="array" ref="N2171">_xlfn.XLOOKUP($A2171, 'Hospitalisation Details'!$A:$A, 'Hospitalisation Details'!K:K, "No Data")</f>
        <v>23</v>
      </c>
      <c r="O2171" s="33">
        <f t="array" ref="O2171">_xlfn.XLOOKUP($A2171, 'Hospitalisation Details'!$A:$A, 'Hospitalisation Details'!G:G, "No Data")</f>
        <v>1824.29</v>
      </c>
      <c r="P2171" s="28" t="str">
        <f t="array" ref="P2171">_xlfn.XLOOKUP($A2171, 'Hospitalisation Details'!$A:$A, 'Hospitalisation Details'!H:H, "No Data")</f>
        <v>tier - 3</v>
      </c>
    </row>
    <row r="2172">
      <c r="A2172" s="25" t="s">
        <v>1581</v>
      </c>
      <c r="B2172" s="28" t="str">
        <f t="array" ref="B2172">_xlfn.XLOOKUP($A2172, 'Customer Names'!$A:$A, 'Customer Names'!B:B, "No Data")</f>
        <v>Andreyko</v>
      </c>
      <c r="C2172" s="28">
        <f t="array" ref="C2172">_xlfn.XLOOKUP($A2172, 'Medical Examinations'!$A:$A, 'Medical Examinations'!B:B, "No Data")</f>
        <v>27.98</v>
      </c>
      <c r="D2172" s="28">
        <f t="array" ref="D2172">_xlfn.XLOOKUP($A2172, 'Medical Examinations'!$A:$A, 'Medical Examinations'!C:C, "No Data")</f>
        <v>4.38</v>
      </c>
      <c r="E2172" s="28" t="str">
        <f t="array" ref="E2172">_xlfn.XLOOKUP($A2172, 'Medical Examinations'!$A:$A, 'Medical Examinations'!D:D, "No Data")</f>
        <v>No</v>
      </c>
      <c r="F2172" s="28" t="str">
        <f t="array" ref="F2172">_xlfn.XLOOKUP($A2172, 'Medical Examinations'!$A:$A, 'Medical Examinations'!E:E, "No Data")</f>
        <v>yes</v>
      </c>
      <c r="G2172" s="28" t="str">
        <f t="array" ref="G2172">_xlfn.XLOOKUP($A2172, 'Medical Examinations'!$A:$A, 'Medical Examinations'!F:F, "No Data")</f>
        <v>No</v>
      </c>
      <c r="H2172" s="28">
        <f t="array" ref="H2172">_xlfn.XLOOKUP($A2172, 'Medical Examinations'!$A:$A, 'Medical Examinations'!G:G, "No Data")</f>
        <v>1</v>
      </c>
      <c r="I2172" s="28" t="str">
        <f t="array" ref="I2172">_xlfn.XLOOKUP($A2172, 'Medical Examinations'!$A:$A, 'Medical Examinations'!H:H, "No Data")</f>
        <v>No</v>
      </c>
      <c r="J2172" s="28" t="str">
        <f t="array" ref="J2172">_xlfn.XLOOKUP($A2172, 'Medical Examinations'!$A:$A, 'Medical Examinations'!I:I, "No Data")</f>
        <v>Overweight</v>
      </c>
      <c r="K2172" s="28" t="str">
        <f t="array" ref="K2172">_xlfn.XLOOKUP($A2172, 'Hospitalisation Details'!$A:$A, 'Hospitalisation Details'!I:I, "No Data")</f>
        <v>tier - 1</v>
      </c>
      <c r="L2172" s="28" t="str">
        <f t="array" ref="L2172">_xlfn.XLOOKUP($A2172, 'Hospitalisation Details'!$A:$A, 'Hospitalisation Details'!J:J, "No Data")</f>
        <v>R1012</v>
      </c>
      <c r="M2172" s="28" t="str">
        <f t="array" ref="M2172">_xlfn.XLOOKUP($A2172, 'Hospitalisation Details'!$A:$A, 'Hospitalisation Details'!E:E, "No Data")</f>
        <v>19/08/04</v>
      </c>
      <c r="N2172" s="28">
        <f t="array" ref="N2172">_xlfn.XLOOKUP($A2172, 'Hospitalisation Details'!$A:$A, 'Hospitalisation Details'!K:K, "No Data")</f>
        <v>18</v>
      </c>
      <c r="O2172" s="33">
        <f t="array" ref="O2172">_xlfn.XLOOKUP($A2172, 'Hospitalisation Details'!$A:$A, 'Hospitalisation Details'!G:G, "No Data")</f>
        <v>1822.54</v>
      </c>
      <c r="P2172" s="28" t="str">
        <f t="array" ref="P2172">_xlfn.XLOOKUP($A2172, 'Hospitalisation Details'!$A:$A, 'Hospitalisation Details'!H:H, "No Data")</f>
        <v>tier - 3</v>
      </c>
    </row>
    <row r="2173">
      <c r="A2173" s="25" t="s">
        <v>1570</v>
      </c>
      <c r="B2173" s="28" t="str">
        <f t="array" ref="B2173">_xlfn.XLOOKUP($A2173, 'Customer Names'!$A:$A, 'Customer Names'!B:B, "No Data")</f>
        <v>Landry</v>
      </c>
      <c r="C2173" s="28">
        <f t="array" ref="C2173">_xlfn.XLOOKUP($A2173, 'Medical Examinations'!$A:$A, 'Medical Examinations'!B:B, "No Data")</f>
        <v>26.51</v>
      </c>
      <c r="D2173" s="28">
        <f t="array" ref="D2173">_xlfn.XLOOKUP($A2173, 'Medical Examinations'!$A:$A, 'Medical Examinations'!C:C, "No Data")</f>
        <v>4.58</v>
      </c>
      <c r="E2173" s="28" t="str">
        <f t="array" ref="E2173">_xlfn.XLOOKUP($A2173, 'Medical Examinations'!$A:$A, 'Medical Examinations'!D:D, "No Data")</f>
        <v>No</v>
      </c>
      <c r="F2173" s="28" t="str">
        <f t="array" ref="F2173">_xlfn.XLOOKUP($A2173, 'Medical Examinations'!$A:$A, 'Medical Examinations'!E:E, "No Data")</f>
        <v>No</v>
      </c>
      <c r="G2173" s="28" t="str">
        <f t="array" ref="G2173">_xlfn.XLOOKUP($A2173, 'Medical Examinations'!$A:$A, 'Medical Examinations'!F:F, "No Data")</f>
        <v>No</v>
      </c>
      <c r="H2173" s="28">
        <f t="array" ref="H2173">_xlfn.XLOOKUP($A2173, 'Medical Examinations'!$A:$A, 'Medical Examinations'!G:G, "No Data")</f>
        <v>0</v>
      </c>
      <c r="I2173" s="28" t="str">
        <f t="array" ref="I2173">_xlfn.XLOOKUP($A2173, 'Medical Examinations'!$A:$A, 'Medical Examinations'!H:H, "No Data")</f>
        <v>No</v>
      </c>
      <c r="J2173" s="28" t="str">
        <f t="array" ref="J2173">_xlfn.XLOOKUP($A2173, 'Medical Examinations'!$A:$A, 'Medical Examinations'!I:I, "No Data")</f>
        <v>Overweight</v>
      </c>
      <c r="K2173" s="28" t="str">
        <f t="array" ref="K2173">_xlfn.XLOOKUP($A2173, 'Hospitalisation Details'!$A:$A, 'Hospitalisation Details'!I:I, "No Data")</f>
        <v>tier - 3</v>
      </c>
      <c r="L2173" s="28" t="str">
        <f t="array" ref="L2173">_xlfn.XLOOKUP($A2173, 'Hospitalisation Details'!$A:$A, 'Hospitalisation Details'!J:J, "No Data")</f>
        <v>R1013</v>
      </c>
      <c r="M2173" s="28" t="str">
        <f t="array" ref="M2173">_xlfn.XLOOKUP($A2173, 'Hospitalisation Details'!$A:$A, 'Hospitalisation Details'!E:E, "No Data")</f>
        <v>25/09/99</v>
      </c>
      <c r="N2173" s="28">
        <f t="array" ref="N2173">_xlfn.XLOOKUP($A2173, 'Hospitalisation Details'!$A:$A, 'Hospitalisation Details'!K:K, "No Data")</f>
        <v>23</v>
      </c>
      <c r="O2173" s="33">
        <f t="array" ref="O2173">_xlfn.XLOOKUP($A2173, 'Hospitalisation Details'!$A:$A, 'Hospitalisation Details'!G:G, "No Data")</f>
        <v>1815.88</v>
      </c>
      <c r="P2173" s="28" t="str">
        <f t="array" ref="P2173">_xlfn.XLOOKUP($A2173, 'Hospitalisation Details'!$A:$A, 'Hospitalisation Details'!H:H, "No Data")</f>
        <v>tier - 3</v>
      </c>
    </row>
    <row r="2174">
      <c r="A2174" s="25" t="s">
        <v>1534</v>
      </c>
      <c r="B2174" s="28" t="str">
        <f t="array" ref="B2174">_xlfn.XLOOKUP($A2174, 'Customer Names'!$A:$A, 'Customer Names'!B:B, "No Data")</f>
        <v>Lozier</v>
      </c>
      <c r="C2174" s="28">
        <f t="array" ref="C2174">_xlfn.XLOOKUP($A2174, 'Medical Examinations'!$A:$A, 'Medical Examinations'!B:B, "No Data")</f>
        <v>29.735</v>
      </c>
      <c r="D2174" s="28">
        <f t="array" ref="D2174">_xlfn.XLOOKUP($A2174, 'Medical Examinations'!$A:$A, 'Medical Examinations'!C:C, "No Data")</f>
        <v>11.92</v>
      </c>
      <c r="E2174" s="28" t="str">
        <f t="array" ref="E2174">_xlfn.XLOOKUP($A2174, 'Medical Examinations'!$A:$A, 'Medical Examinations'!D:D, "No Data")</f>
        <v>No</v>
      </c>
      <c r="F2174" s="28" t="str">
        <f t="array" ref="F2174">_xlfn.XLOOKUP($A2174, 'Medical Examinations'!$A:$A, 'Medical Examinations'!E:E, "No Data")</f>
        <v>No</v>
      </c>
      <c r="G2174" s="28" t="str">
        <f t="array" ref="G2174">_xlfn.XLOOKUP($A2174, 'Medical Examinations'!$A:$A, 'Medical Examinations'!F:F, "No Data")</f>
        <v>No</v>
      </c>
      <c r="H2174" s="28">
        <f t="array" ref="H2174">_xlfn.XLOOKUP($A2174, 'Medical Examinations'!$A:$A, 'Medical Examinations'!G:G, "No Data")</f>
        <v>0</v>
      </c>
      <c r="I2174" s="28" t="str">
        <f t="array" ref="I2174">_xlfn.XLOOKUP($A2174, 'Medical Examinations'!$A:$A, 'Medical Examinations'!H:H, "No Data")</f>
        <v>No</v>
      </c>
      <c r="J2174" s="28" t="str">
        <f t="array" ref="J2174">_xlfn.XLOOKUP($A2174, 'Medical Examinations'!$A:$A, 'Medical Examinations'!I:I, "No Data")</f>
        <v>Overweight</v>
      </c>
      <c r="K2174" s="28" t="str">
        <f t="array" ref="K2174">_xlfn.XLOOKUP($A2174, 'Hospitalisation Details'!$A:$A, 'Hospitalisation Details'!I:I, "No Data")</f>
        <v>tier - 3</v>
      </c>
      <c r="L2174" s="28" t="str">
        <f t="array" ref="L2174">_xlfn.XLOOKUP($A2174, 'Hospitalisation Details'!$A:$A, 'Hospitalisation Details'!J:J, "No Data")</f>
        <v>R1012</v>
      </c>
      <c r="M2174" s="28" t="str">
        <f t="array" ref="M2174">_xlfn.XLOOKUP($A2174, 'Hospitalisation Details'!$A:$A, 'Hospitalisation Details'!E:E, "No Data")</f>
        <v>13/12/02</v>
      </c>
      <c r="N2174" s="28">
        <f t="array" ref="N2174">_xlfn.XLOOKUP($A2174, 'Hospitalisation Details'!$A:$A, 'Hospitalisation Details'!K:K, "No Data")</f>
        <v>20</v>
      </c>
      <c r="O2174" s="33">
        <f t="array" ref="O2174">_xlfn.XLOOKUP($A2174, 'Hospitalisation Details'!$A:$A, 'Hospitalisation Details'!G:G, "No Data")</f>
        <v>1769.53</v>
      </c>
      <c r="P2174" s="28" t="str">
        <f t="array" ref="P2174">_xlfn.XLOOKUP($A2174, 'Hospitalisation Details'!$A:$A, 'Hospitalisation Details'!H:H, "No Data")</f>
        <v>tier - 3</v>
      </c>
    </row>
    <row r="2175">
      <c r="A2175" s="25" t="s">
        <v>1528</v>
      </c>
      <c r="B2175" s="28" t="str">
        <f t="array" ref="B2175">_xlfn.XLOOKUP($A2175, 'Customer Names'!$A:$A, 'Customer Names'!B:B, "No Data")</f>
        <v>O'Brien</v>
      </c>
      <c r="C2175" s="28">
        <f t="array" ref="C2175">_xlfn.XLOOKUP($A2175, 'Medical Examinations'!$A:$A, 'Medical Examinations'!B:B, "No Data")</f>
        <v>40.5</v>
      </c>
      <c r="D2175" s="28">
        <f t="array" ref="D2175">_xlfn.XLOOKUP($A2175, 'Medical Examinations'!$A:$A, 'Medical Examinations'!C:C, "No Data")</f>
        <v>5.4</v>
      </c>
      <c r="E2175" s="28" t="str">
        <f t="array" ref="E2175">_xlfn.XLOOKUP($A2175, 'Medical Examinations'!$A:$A, 'Medical Examinations'!D:D, "No Data")</f>
        <v>No</v>
      </c>
      <c r="F2175" s="28" t="str">
        <f t="array" ref="F2175">_xlfn.XLOOKUP($A2175, 'Medical Examinations'!$A:$A, 'Medical Examinations'!E:E, "No Data")</f>
        <v>No</v>
      </c>
      <c r="G2175" s="28" t="str">
        <f t="array" ref="G2175">_xlfn.XLOOKUP($A2175, 'Medical Examinations'!$A:$A, 'Medical Examinations'!F:F, "No Data")</f>
        <v>Yes</v>
      </c>
      <c r="H2175" s="28">
        <f t="array" ref="H2175">_xlfn.XLOOKUP($A2175, 'Medical Examinations'!$A:$A, 'Medical Examinations'!G:G, "No Data")</f>
        <v>1</v>
      </c>
      <c r="I2175" s="28" t="str">
        <f t="array" ref="I2175">_xlfn.XLOOKUP($A2175, 'Medical Examinations'!$A:$A, 'Medical Examinations'!H:H, "No Data")</f>
        <v>No</v>
      </c>
      <c r="J2175" s="28" t="str">
        <f t="array" ref="J2175">_xlfn.XLOOKUP($A2175, 'Medical Examinations'!$A:$A, 'Medical Examinations'!I:I, "No Data")</f>
        <v>Obesity</v>
      </c>
      <c r="K2175" s="28" t="str">
        <f t="array" ref="K2175">_xlfn.XLOOKUP($A2175, 'Hospitalisation Details'!$A:$A, 'Hospitalisation Details'!I:I, "No Data")</f>
        <v>tier - 1</v>
      </c>
      <c r="L2175" s="28" t="str">
        <f t="array" ref="L2175">_xlfn.XLOOKUP($A2175, 'Hospitalisation Details'!$A:$A, 'Hospitalisation Details'!J:J, "No Data")</f>
        <v>R1011</v>
      </c>
      <c r="M2175" s="28" t="str">
        <f t="array" ref="M2175">_xlfn.XLOOKUP($A2175, 'Hospitalisation Details'!$A:$A, 'Hospitalisation Details'!E:E, "No Data")</f>
        <v>19/11/03</v>
      </c>
      <c r="N2175" s="28">
        <f t="array" ref="N2175">_xlfn.XLOOKUP($A2175, 'Hospitalisation Details'!$A:$A, 'Hospitalisation Details'!K:K, "No Data")</f>
        <v>19</v>
      </c>
      <c r="O2175" s="33">
        <f t="array" ref="O2175">_xlfn.XLOOKUP($A2175, 'Hospitalisation Details'!$A:$A, 'Hospitalisation Details'!G:G, "No Data")</f>
        <v>1759.34</v>
      </c>
      <c r="P2175" s="28" t="str">
        <f t="array" ref="P2175">_xlfn.XLOOKUP($A2175, 'Hospitalisation Details'!$A:$A, 'Hospitalisation Details'!H:H, "No Data")</f>
        <v>tier - 3</v>
      </c>
    </row>
    <row r="2176">
      <c r="A2176" s="25" t="s">
        <v>1521</v>
      </c>
      <c r="B2176" s="28" t="str">
        <f t="array" ref="B2176">_xlfn.XLOOKUP($A2176, 'Customer Names'!$A:$A, 'Customer Names'!B:B, "No Data")</f>
        <v>Rodas</v>
      </c>
      <c r="C2176" s="28">
        <f t="array" ref="C2176">_xlfn.XLOOKUP($A2176, 'Medical Examinations'!$A:$A, 'Medical Examinations'!B:B, "No Data")</f>
        <v>25.64</v>
      </c>
      <c r="D2176" s="28">
        <f t="array" ref="D2176">_xlfn.XLOOKUP($A2176, 'Medical Examinations'!$A:$A, 'Medical Examinations'!C:C, "No Data")</f>
        <v>4.76</v>
      </c>
      <c r="E2176" s="28" t="str">
        <f t="array" ref="E2176">_xlfn.XLOOKUP($A2176, 'Medical Examinations'!$A:$A, 'Medical Examinations'!D:D, "No Data")</f>
        <v>No</v>
      </c>
      <c r="F2176" s="28" t="str">
        <f t="array" ref="F2176">_xlfn.XLOOKUP($A2176, 'Medical Examinations'!$A:$A, 'Medical Examinations'!E:E, "No Data")</f>
        <v>No</v>
      </c>
      <c r="G2176" s="28" t="str">
        <f t="array" ref="G2176">_xlfn.XLOOKUP($A2176, 'Medical Examinations'!$A:$A, 'Medical Examinations'!F:F, "No Data")</f>
        <v>No</v>
      </c>
      <c r="H2176" s="28">
        <f t="array" ref="H2176">_xlfn.XLOOKUP($A2176, 'Medical Examinations'!$A:$A, 'Medical Examinations'!G:G, "No Data")</f>
        <v>1</v>
      </c>
      <c r="I2176" s="28" t="str">
        <f t="array" ref="I2176">_xlfn.XLOOKUP($A2176, 'Medical Examinations'!$A:$A, 'Medical Examinations'!H:H, "No Data")</f>
        <v>No</v>
      </c>
      <c r="J2176" s="28" t="str">
        <f t="array" ref="J2176">_xlfn.XLOOKUP($A2176, 'Medical Examinations'!$A:$A, 'Medical Examinations'!I:I, "No Data")</f>
        <v>Overweight</v>
      </c>
      <c r="K2176" s="28" t="str">
        <f t="array" ref="K2176">_xlfn.XLOOKUP($A2176, 'Hospitalisation Details'!$A:$A, 'Hospitalisation Details'!I:I, "No Data")</f>
        <v>tier - 3</v>
      </c>
      <c r="L2176" s="28" t="str">
        <f t="array" ref="L2176">_xlfn.XLOOKUP($A2176, 'Hospitalisation Details'!$A:$A, 'Hospitalisation Details'!J:J, "No Data")</f>
        <v>R1013</v>
      </c>
      <c r="M2176" s="28" t="str">
        <f t="array" ref="M2176">_xlfn.XLOOKUP($A2176, 'Hospitalisation Details'!$A:$A, 'Hospitalisation Details'!E:E, "No Data")</f>
        <v>07/10/98</v>
      </c>
      <c r="N2176" s="28">
        <f t="array" ref="N2176">_xlfn.XLOOKUP($A2176, 'Hospitalisation Details'!$A:$A, 'Hospitalisation Details'!K:K, "No Data")</f>
        <v>24</v>
      </c>
      <c r="O2176" s="33">
        <f t="array" ref="O2176">_xlfn.XLOOKUP($A2176, 'Hospitalisation Details'!$A:$A, 'Hospitalisation Details'!G:G, "No Data")</f>
        <v>1756.6</v>
      </c>
      <c r="P2176" s="28" t="str">
        <f t="array" ref="P2176">_xlfn.XLOOKUP($A2176, 'Hospitalisation Details'!$A:$A, 'Hospitalisation Details'!H:H, "No Data")</f>
        <v>tier - 3</v>
      </c>
    </row>
    <row r="2177">
      <c r="A2177" s="25" t="s">
        <v>1515</v>
      </c>
      <c r="B2177" s="28" t="str">
        <f t="array" ref="B2177">_xlfn.XLOOKUP($A2177, 'Customer Names'!$A:$A, 'Customer Names'!B:B, "No Data")</f>
        <v>O'Connor</v>
      </c>
      <c r="C2177" s="28">
        <f t="array" ref="C2177">_xlfn.XLOOKUP($A2177, 'Medical Examinations'!$A:$A, 'Medical Examinations'!B:B, "No Data")</f>
        <v>32.9</v>
      </c>
      <c r="D2177" s="28">
        <f t="array" ref="D2177">_xlfn.XLOOKUP($A2177, 'Medical Examinations'!$A:$A, 'Medical Examinations'!C:C, "No Data")</f>
        <v>4.78</v>
      </c>
      <c r="E2177" s="28" t="str">
        <f t="array" ref="E2177">_xlfn.XLOOKUP($A2177, 'Medical Examinations'!$A:$A, 'Medical Examinations'!D:D, "No Data")</f>
        <v>No</v>
      </c>
      <c r="F2177" s="28" t="str">
        <f t="array" ref="F2177">_xlfn.XLOOKUP($A2177, 'Medical Examinations'!$A:$A, 'Medical Examinations'!E:E, "No Data")</f>
        <v>No</v>
      </c>
      <c r="G2177" s="28" t="str">
        <f t="array" ref="G2177">_xlfn.XLOOKUP($A2177, 'Medical Examinations'!$A:$A, 'Medical Examinations'!F:F, "No Data")</f>
        <v>Yes</v>
      </c>
      <c r="H2177" s="28">
        <f t="array" ref="H2177">_xlfn.XLOOKUP($A2177, 'Medical Examinations'!$A:$A, 'Medical Examinations'!G:G, "No Data")</f>
        <v>1</v>
      </c>
      <c r="I2177" s="28" t="str">
        <f t="array" ref="I2177">_xlfn.XLOOKUP($A2177, 'Medical Examinations'!$A:$A, 'Medical Examinations'!H:H, "No Data")</f>
        <v>No</v>
      </c>
      <c r="J2177" s="28" t="str">
        <f t="array" ref="J2177">_xlfn.XLOOKUP($A2177, 'Medical Examinations'!$A:$A, 'Medical Examinations'!I:I, "No Data")</f>
        <v>Obesity</v>
      </c>
      <c r="K2177" s="28" t="str">
        <f t="array" ref="K2177">_xlfn.XLOOKUP($A2177, 'Hospitalisation Details'!$A:$A, 'Hospitalisation Details'!I:I, "No Data")</f>
        <v>tier - 1</v>
      </c>
      <c r="L2177" s="28" t="str">
        <f t="array" ref="L2177">_xlfn.XLOOKUP($A2177, 'Hospitalisation Details'!$A:$A, 'Hospitalisation Details'!J:J, "No Data")</f>
        <v>R1011</v>
      </c>
      <c r="M2177" s="28" t="str">
        <f t="array" ref="M2177">_xlfn.XLOOKUP($A2177, 'Hospitalisation Details'!$A:$A, 'Hospitalisation Details'!E:E, "No Data")</f>
        <v>26/09/03</v>
      </c>
      <c r="N2177" s="28">
        <f t="array" ref="N2177">_xlfn.XLOOKUP($A2177, 'Hospitalisation Details'!$A:$A, 'Hospitalisation Details'!K:K, "No Data")</f>
        <v>19</v>
      </c>
      <c r="O2177" s="33">
        <f t="array" ref="O2177">_xlfn.XLOOKUP($A2177, 'Hospitalisation Details'!$A:$A, 'Hospitalisation Details'!G:G, "No Data")</f>
        <v>1748.77</v>
      </c>
      <c r="P2177" s="28" t="str">
        <f t="array" ref="P2177">_xlfn.XLOOKUP($A2177, 'Hospitalisation Details'!$A:$A, 'Hospitalisation Details'!H:H, "No Data")</f>
        <v>tier - 3</v>
      </c>
    </row>
    <row r="2178">
      <c r="A2178" s="25" t="s">
        <v>1509</v>
      </c>
      <c r="B2178" s="28" t="str">
        <f t="array" ref="B2178">_xlfn.XLOOKUP($A2178, 'Customer Names'!$A:$A, 'Customer Names'!B:B, "No Data")</f>
        <v>White</v>
      </c>
      <c r="C2178" s="28">
        <f t="array" ref="C2178">_xlfn.XLOOKUP($A2178, 'Medical Examinations'!$A:$A, 'Medical Examinations'!B:B, "No Data")</f>
        <v>29.8</v>
      </c>
      <c r="D2178" s="28">
        <f t="array" ref="D2178">_xlfn.XLOOKUP($A2178, 'Medical Examinations'!$A:$A, 'Medical Examinations'!C:C, "No Data")</f>
        <v>4.26</v>
      </c>
      <c r="E2178" s="28" t="str">
        <f t="array" ref="E2178">_xlfn.XLOOKUP($A2178, 'Medical Examinations'!$A:$A, 'Medical Examinations'!D:D, "No Data")</f>
        <v>No</v>
      </c>
      <c r="F2178" s="28" t="str">
        <f t="array" ref="F2178">_xlfn.XLOOKUP($A2178, 'Medical Examinations'!$A:$A, 'Medical Examinations'!E:E, "No Data")</f>
        <v>No</v>
      </c>
      <c r="G2178" s="28" t="str">
        <f t="array" ref="G2178">_xlfn.XLOOKUP($A2178, 'Medical Examinations'!$A:$A, 'Medical Examinations'!F:F, "No Data")</f>
        <v>Yes</v>
      </c>
      <c r="H2178" s="28">
        <f t="array" ref="H2178">_xlfn.XLOOKUP($A2178, 'Medical Examinations'!$A:$A, 'Medical Examinations'!G:G, "No Data")</f>
        <v>1</v>
      </c>
      <c r="I2178" s="28" t="str">
        <f t="array" ref="I2178">_xlfn.XLOOKUP($A2178, 'Medical Examinations'!$A:$A, 'Medical Examinations'!H:H, "No Data")</f>
        <v>No</v>
      </c>
      <c r="J2178" s="28" t="str">
        <f t="array" ref="J2178">_xlfn.XLOOKUP($A2178, 'Medical Examinations'!$A:$A, 'Medical Examinations'!I:I, "No Data")</f>
        <v>Overweight</v>
      </c>
      <c r="K2178" s="28" t="str">
        <f t="array" ref="K2178">_xlfn.XLOOKUP($A2178, 'Hospitalisation Details'!$A:$A, 'Hospitalisation Details'!I:I, "No Data")</f>
        <v>tier - 1</v>
      </c>
      <c r="L2178" s="28" t="str">
        <f t="array" ref="L2178">_xlfn.XLOOKUP($A2178, 'Hospitalisation Details'!$A:$A, 'Hospitalisation Details'!J:J, "No Data")</f>
        <v>R1011</v>
      </c>
      <c r="M2178" s="28" t="str">
        <f t="array" ref="M2178">_xlfn.XLOOKUP($A2178, 'Hospitalisation Details'!$A:$A, 'Hospitalisation Details'!E:E, "No Data")</f>
        <v>28/07/03</v>
      </c>
      <c r="N2178" s="28">
        <f t="array" ref="N2178">_xlfn.XLOOKUP($A2178, 'Hospitalisation Details'!$A:$A, 'Hospitalisation Details'!K:K, "No Data")</f>
        <v>19</v>
      </c>
      <c r="O2178" s="33">
        <f t="array" ref="O2178">_xlfn.XLOOKUP($A2178, 'Hospitalisation Details'!$A:$A, 'Hospitalisation Details'!G:G, "No Data")</f>
        <v>1744.47</v>
      </c>
      <c r="P2178" s="28" t="str">
        <f t="array" ref="P2178">_xlfn.XLOOKUP($A2178, 'Hospitalisation Details'!$A:$A, 'Hospitalisation Details'!H:H, "No Data")</f>
        <v>tier - 3</v>
      </c>
    </row>
    <row r="2179">
      <c r="A2179" s="25" t="s">
        <v>1502</v>
      </c>
      <c r="B2179" s="28" t="str">
        <f t="array" ref="B2179">_xlfn.XLOOKUP($A2179, 'Customer Names'!$A:$A, 'Customer Names'!B:B, "No Data")</f>
        <v>Davenport</v>
      </c>
      <c r="C2179" s="28">
        <f t="array" ref="C2179">_xlfn.XLOOKUP($A2179, 'Medical Examinations'!$A:$A, 'Medical Examinations'!B:B, "No Data")</f>
        <v>28.9</v>
      </c>
      <c r="D2179" s="28">
        <f t="array" ref="D2179">_xlfn.XLOOKUP($A2179, 'Medical Examinations'!$A:$A, 'Medical Examinations'!C:C, "No Data")</f>
        <v>5.85</v>
      </c>
      <c r="E2179" s="28" t="str">
        <f t="array" ref="E2179">_xlfn.XLOOKUP($A2179, 'Medical Examinations'!$A:$A, 'Medical Examinations'!D:D, "No Data")</f>
        <v>No</v>
      </c>
      <c r="F2179" s="28" t="str">
        <f t="array" ref="F2179">_xlfn.XLOOKUP($A2179, 'Medical Examinations'!$A:$A, 'Medical Examinations'!E:E, "No Data")</f>
        <v>No</v>
      </c>
      <c r="G2179" s="28" t="str">
        <f t="array" ref="G2179">_xlfn.XLOOKUP($A2179, 'Medical Examinations'!$A:$A, 'Medical Examinations'!F:F, "No Data")</f>
        <v>Yes</v>
      </c>
      <c r="H2179" s="28">
        <f t="array" ref="H2179">_xlfn.XLOOKUP($A2179, 'Medical Examinations'!$A:$A, 'Medical Examinations'!G:G, "No Data")</f>
        <v>1</v>
      </c>
      <c r="I2179" s="28" t="str">
        <f t="array" ref="I2179">_xlfn.XLOOKUP($A2179, 'Medical Examinations'!$A:$A, 'Medical Examinations'!H:H, "No Data")</f>
        <v>No</v>
      </c>
      <c r="J2179" s="28" t="str">
        <f t="array" ref="J2179">_xlfn.XLOOKUP($A2179, 'Medical Examinations'!$A:$A, 'Medical Examinations'!I:I, "No Data")</f>
        <v>Overweight</v>
      </c>
      <c r="K2179" s="28" t="str">
        <f t="array" ref="K2179">_xlfn.XLOOKUP($A2179, 'Hospitalisation Details'!$A:$A, 'Hospitalisation Details'!I:I, "No Data")</f>
        <v>tier - 1</v>
      </c>
      <c r="L2179" s="28" t="str">
        <f t="array" ref="L2179">_xlfn.XLOOKUP($A2179, 'Hospitalisation Details'!$A:$A, 'Hospitalisation Details'!J:J, "No Data")</f>
        <v>R1011</v>
      </c>
      <c r="M2179" s="28" t="str">
        <f t="array" ref="M2179">_xlfn.XLOOKUP($A2179, 'Hospitalisation Details'!$A:$A, 'Hospitalisation Details'!E:E, "No Data")</f>
        <v>25/07/03</v>
      </c>
      <c r="N2179" s="28">
        <f t="array" ref="N2179">_xlfn.XLOOKUP($A2179, 'Hospitalisation Details'!$A:$A, 'Hospitalisation Details'!K:K, "No Data")</f>
        <v>19</v>
      </c>
      <c r="O2179" s="33">
        <f t="array" ref="O2179">_xlfn.XLOOKUP($A2179, 'Hospitalisation Details'!$A:$A, 'Hospitalisation Details'!G:G, "No Data")</f>
        <v>1743.21</v>
      </c>
      <c r="P2179" s="28" t="str">
        <f t="array" ref="P2179">_xlfn.XLOOKUP($A2179, 'Hospitalisation Details'!$A:$A, 'Hospitalisation Details'!H:H, "No Data")</f>
        <v>tier - 3</v>
      </c>
    </row>
    <row r="2180">
      <c r="A2180" s="25" t="s">
        <v>1498</v>
      </c>
      <c r="B2180" s="28" t="str">
        <f t="array" ref="B2180">_xlfn.XLOOKUP($A2180, 'Customer Names'!$A:$A, 'Customer Names'!B:B, "No Data")</f>
        <v>Karmen</v>
      </c>
      <c r="C2180" s="28">
        <f t="array" ref="C2180">_xlfn.XLOOKUP($A2180, 'Medical Examinations'!$A:$A, 'Medical Examinations'!B:B, "No Data")</f>
        <v>24.7</v>
      </c>
      <c r="D2180" s="28">
        <f t="array" ref="D2180">_xlfn.XLOOKUP($A2180, 'Medical Examinations'!$A:$A, 'Medical Examinations'!C:C, "No Data")</f>
        <v>5.32</v>
      </c>
      <c r="E2180" s="28" t="str">
        <f t="array" ref="E2180">_xlfn.XLOOKUP($A2180, 'Medical Examinations'!$A:$A, 'Medical Examinations'!D:D, "No Data")</f>
        <v>No</v>
      </c>
      <c r="F2180" s="28" t="str">
        <f t="array" ref="F2180">_xlfn.XLOOKUP($A2180, 'Medical Examinations'!$A:$A, 'Medical Examinations'!E:E, "No Data")</f>
        <v>No</v>
      </c>
      <c r="G2180" s="28" t="str">
        <f t="array" ref="G2180">_xlfn.XLOOKUP($A2180, 'Medical Examinations'!$A:$A, 'Medical Examinations'!F:F, "No Data")</f>
        <v>Yes</v>
      </c>
      <c r="H2180" s="28">
        <f t="array" ref="H2180">_xlfn.XLOOKUP($A2180, 'Medical Examinations'!$A:$A, 'Medical Examinations'!G:G, "No Data")</f>
        <v>1</v>
      </c>
      <c r="I2180" s="28" t="str">
        <f t="array" ref="I2180">_xlfn.XLOOKUP($A2180, 'Medical Examinations'!$A:$A, 'Medical Examinations'!H:H, "No Data")</f>
        <v>No</v>
      </c>
      <c r="J2180" s="28" t="str">
        <f t="array" ref="J2180">_xlfn.XLOOKUP($A2180, 'Medical Examinations'!$A:$A, 'Medical Examinations'!I:I, "No Data")</f>
        <v>Normal Weight</v>
      </c>
      <c r="K2180" s="28" t="str">
        <f t="array" ref="K2180">_xlfn.XLOOKUP($A2180, 'Hospitalisation Details'!$A:$A, 'Hospitalisation Details'!I:I, "No Data")</f>
        <v>tier - 2</v>
      </c>
      <c r="L2180" s="28" t="str">
        <f t="array" ref="L2180">_xlfn.XLOOKUP($A2180, 'Hospitalisation Details'!$A:$A, 'Hospitalisation Details'!J:J, "No Data")</f>
        <v>R1011</v>
      </c>
      <c r="M2180" s="28" t="str">
        <f t="array" ref="M2180">_xlfn.XLOOKUP($A2180, 'Hospitalisation Details'!$A:$A, 'Hospitalisation Details'!E:E, "No Data")</f>
        <v>14/11/03</v>
      </c>
      <c r="N2180" s="28">
        <f t="array" ref="N2180">_xlfn.XLOOKUP($A2180, 'Hospitalisation Details'!$A:$A, 'Hospitalisation Details'!K:K, "No Data")</f>
        <v>19</v>
      </c>
      <c r="O2180" s="33">
        <f t="array" ref="O2180">_xlfn.XLOOKUP($A2180, 'Hospitalisation Details'!$A:$A, 'Hospitalisation Details'!G:G, "No Data")</f>
        <v>1737.38</v>
      </c>
      <c r="P2180" s="28" t="str">
        <f t="array" ref="P2180">_xlfn.XLOOKUP($A2180, 'Hospitalisation Details'!$A:$A, 'Hospitalisation Details'!H:H, "No Data")</f>
        <v>tier - 3</v>
      </c>
    </row>
    <row r="2181">
      <c r="A2181" s="25" t="s">
        <v>1492</v>
      </c>
      <c r="B2181" s="28" t="str">
        <f t="array" ref="B2181">_xlfn.XLOOKUP($A2181, 'Customer Names'!$A:$A, 'Customer Names'!B:B, "No Data")</f>
        <v>Miller</v>
      </c>
      <c r="C2181" s="28">
        <f t="array" ref="C2181">_xlfn.XLOOKUP($A2181, 'Medical Examinations'!$A:$A, 'Medical Examinations'!B:B, "No Data")</f>
        <v>20.6</v>
      </c>
      <c r="D2181" s="28">
        <f t="array" ref="D2181">_xlfn.XLOOKUP($A2181, 'Medical Examinations'!$A:$A, 'Medical Examinations'!C:C, "No Data")</f>
        <v>5.14</v>
      </c>
      <c r="E2181" s="28" t="str">
        <f t="array" ref="E2181">_xlfn.XLOOKUP($A2181, 'Medical Examinations'!$A:$A, 'Medical Examinations'!D:D, "No Data")</f>
        <v>No</v>
      </c>
      <c r="F2181" s="28" t="str">
        <f t="array" ref="F2181">_xlfn.XLOOKUP($A2181, 'Medical Examinations'!$A:$A, 'Medical Examinations'!E:E, "No Data")</f>
        <v>No</v>
      </c>
      <c r="G2181" s="28" t="str">
        <f t="array" ref="G2181">_xlfn.XLOOKUP($A2181, 'Medical Examinations'!$A:$A, 'Medical Examinations'!F:F, "No Data")</f>
        <v>Yes</v>
      </c>
      <c r="H2181" s="28">
        <f t="array" ref="H2181">_xlfn.XLOOKUP($A2181, 'Medical Examinations'!$A:$A, 'Medical Examinations'!G:G, "No Data")</f>
        <v>1</v>
      </c>
      <c r="I2181" s="28" t="str">
        <f t="array" ref="I2181">_xlfn.XLOOKUP($A2181, 'Medical Examinations'!$A:$A, 'Medical Examinations'!H:H, "No Data")</f>
        <v>No</v>
      </c>
      <c r="J2181" s="28" t="str">
        <f t="array" ref="J2181">_xlfn.XLOOKUP($A2181, 'Medical Examinations'!$A:$A, 'Medical Examinations'!I:I, "No Data")</f>
        <v>Normal Weight</v>
      </c>
      <c r="K2181" s="28" t="str">
        <f t="array" ref="K2181">_xlfn.XLOOKUP($A2181, 'Hospitalisation Details'!$A:$A, 'Hospitalisation Details'!I:I, "No Data")</f>
        <v>tier - 2</v>
      </c>
      <c r="L2181" s="28" t="str">
        <f t="array" ref="L2181">_xlfn.XLOOKUP($A2181, 'Hospitalisation Details'!$A:$A, 'Hospitalisation Details'!J:J, "No Data")</f>
        <v>R1011</v>
      </c>
      <c r="M2181" s="28" t="str">
        <f t="array" ref="M2181">_xlfn.XLOOKUP($A2181, 'Hospitalisation Details'!$A:$A, 'Hospitalisation Details'!E:E, "No Data")</f>
        <v>09/11/03</v>
      </c>
      <c r="N2181" s="28">
        <f t="array" ref="N2181">_xlfn.XLOOKUP($A2181, 'Hospitalisation Details'!$A:$A, 'Hospitalisation Details'!K:K, "No Data")</f>
        <v>19</v>
      </c>
      <c r="O2181" s="33">
        <f t="array" ref="O2181">_xlfn.XLOOKUP($A2181, 'Hospitalisation Details'!$A:$A, 'Hospitalisation Details'!G:G, "No Data")</f>
        <v>1731.68</v>
      </c>
      <c r="P2181" s="28" t="str">
        <f t="array" ref="P2181">_xlfn.XLOOKUP($A2181, 'Hospitalisation Details'!$A:$A, 'Hospitalisation Details'!H:H, "No Data")</f>
        <v>tier - 3</v>
      </c>
    </row>
    <row r="2182">
      <c r="A2182" s="25" t="s">
        <v>1486</v>
      </c>
      <c r="B2182" s="28" t="str">
        <f t="array" ref="B2182">_xlfn.XLOOKUP($A2182, 'Customer Names'!$A:$A, 'Customer Names'!B:B, "No Data")</f>
        <v>Lippmann</v>
      </c>
      <c r="C2182" s="28">
        <f t="array" ref="C2182">_xlfn.XLOOKUP($A2182, 'Medical Examinations'!$A:$A, 'Medical Examinations'!B:B, "No Data")</f>
        <v>18.6</v>
      </c>
      <c r="D2182" s="28">
        <f t="array" ref="D2182">_xlfn.XLOOKUP($A2182, 'Medical Examinations'!$A:$A, 'Medical Examinations'!C:C, "No Data")</f>
        <v>5</v>
      </c>
      <c r="E2182" s="28" t="str">
        <f t="array" ref="E2182">_xlfn.XLOOKUP($A2182, 'Medical Examinations'!$A:$A, 'Medical Examinations'!D:D, "No Data")</f>
        <v>No</v>
      </c>
      <c r="F2182" s="28" t="str">
        <f t="array" ref="F2182">_xlfn.XLOOKUP($A2182, 'Medical Examinations'!$A:$A, 'Medical Examinations'!E:E, "No Data")</f>
        <v>No</v>
      </c>
      <c r="G2182" s="28" t="str">
        <f t="array" ref="G2182">_xlfn.XLOOKUP($A2182, 'Medical Examinations'!$A:$A, 'Medical Examinations'!F:F, "No Data")</f>
        <v>Yes</v>
      </c>
      <c r="H2182" s="28">
        <f t="array" ref="H2182">_xlfn.XLOOKUP($A2182, 'Medical Examinations'!$A:$A, 'Medical Examinations'!G:G, "No Data")</f>
        <v>1</v>
      </c>
      <c r="I2182" s="28" t="str">
        <f t="array" ref="I2182">_xlfn.XLOOKUP($A2182, 'Medical Examinations'!$A:$A, 'Medical Examinations'!H:H, "No Data")</f>
        <v>No</v>
      </c>
      <c r="J2182" s="28" t="str">
        <f t="array" ref="J2182">_xlfn.XLOOKUP($A2182, 'Medical Examinations'!$A:$A, 'Medical Examinations'!I:I, "No Data")</f>
        <v>Normal Weight</v>
      </c>
      <c r="K2182" s="28" t="str">
        <f t="array" ref="K2182">_xlfn.XLOOKUP($A2182, 'Hospitalisation Details'!$A:$A, 'Hospitalisation Details'!I:I, "No Data")</f>
        <v>tier - 2</v>
      </c>
      <c r="L2182" s="28" t="str">
        <f t="array" ref="L2182">_xlfn.XLOOKUP($A2182, 'Hospitalisation Details'!$A:$A, 'Hospitalisation Details'!J:J, "No Data")</f>
        <v>R1011</v>
      </c>
      <c r="M2182" s="28" t="str">
        <f t="array" ref="M2182">_xlfn.XLOOKUP($A2182, 'Hospitalisation Details'!$A:$A, 'Hospitalisation Details'!E:E, "No Data")</f>
        <v>01/09/03</v>
      </c>
      <c r="N2182" s="28">
        <f t="array" ref="N2182">_xlfn.XLOOKUP($A2182, 'Hospitalisation Details'!$A:$A, 'Hospitalisation Details'!K:K, "No Data")</f>
        <v>19</v>
      </c>
      <c r="O2182" s="33">
        <f t="array" ref="O2182">_xlfn.XLOOKUP($A2182, 'Hospitalisation Details'!$A:$A, 'Hospitalisation Details'!G:G, "No Data")</f>
        <v>1728.9</v>
      </c>
      <c r="P2182" s="28" t="str">
        <f t="array" ref="P2182">_xlfn.XLOOKUP($A2182, 'Hospitalisation Details'!$A:$A, 'Hospitalisation Details'!H:H, "No Data")</f>
        <v>tier - 3</v>
      </c>
    </row>
    <row r="2183">
      <c r="A2183" s="25" t="s">
        <v>1481</v>
      </c>
      <c r="B2183" s="28" t="str">
        <f t="array" ref="B2183">_xlfn.XLOOKUP($A2183, 'Customer Names'!$A:$A, 'Customer Names'!B:B, "No Data")</f>
        <v>Klehm</v>
      </c>
      <c r="C2183" s="28">
        <f t="array" ref="C2183">_xlfn.XLOOKUP($A2183, 'Medical Examinations'!$A:$A, 'Medical Examinations'!B:B, "No Data")</f>
        <v>17.8</v>
      </c>
      <c r="D2183" s="28">
        <f t="array" ref="D2183">_xlfn.XLOOKUP($A2183, 'Medical Examinations'!$A:$A, 'Medical Examinations'!C:C, "No Data")</f>
        <v>4.55</v>
      </c>
      <c r="E2183" s="28" t="str">
        <f t="array" ref="E2183">_xlfn.XLOOKUP($A2183, 'Medical Examinations'!$A:$A, 'Medical Examinations'!D:D, "No Data")</f>
        <v>No</v>
      </c>
      <c r="F2183" s="28" t="str">
        <f t="array" ref="F2183">_xlfn.XLOOKUP($A2183, 'Medical Examinations'!$A:$A, 'Medical Examinations'!E:E, "No Data")</f>
        <v>No</v>
      </c>
      <c r="G2183" s="28" t="str">
        <f t="array" ref="G2183">_xlfn.XLOOKUP($A2183, 'Medical Examinations'!$A:$A, 'Medical Examinations'!F:F, "No Data")</f>
        <v>Yes</v>
      </c>
      <c r="H2183" s="28">
        <f t="array" ref="H2183">_xlfn.XLOOKUP($A2183, 'Medical Examinations'!$A:$A, 'Medical Examinations'!G:G, "No Data")</f>
        <v>1</v>
      </c>
      <c r="I2183" s="28" t="str">
        <f t="array" ref="I2183">_xlfn.XLOOKUP($A2183, 'Medical Examinations'!$A:$A, 'Medical Examinations'!H:H, "No Data")</f>
        <v>No</v>
      </c>
      <c r="J2183" s="28" t="str">
        <f t="array" ref="J2183">_xlfn.XLOOKUP($A2183, 'Medical Examinations'!$A:$A, 'Medical Examinations'!I:I, "No Data")</f>
        <v>Underweight</v>
      </c>
      <c r="K2183" s="28" t="str">
        <f t="array" ref="K2183">_xlfn.XLOOKUP($A2183, 'Hospitalisation Details'!$A:$A, 'Hospitalisation Details'!I:I, "No Data")</f>
        <v>tier - 3</v>
      </c>
      <c r="L2183" s="28" t="str">
        <f t="array" ref="L2183">_xlfn.XLOOKUP($A2183, 'Hospitalisation Details'!$A:$A, 'Hospitalisation Details'!J:J, "No Data")</f>
        <v>R1011</v>
      </c>
      <c r="M2183" s="28" t="str">
        <f t="array" ref="M2183">_xlfn.XLOOKUP($A2183, 'Hospitalisation Details'!$A:$A, 'Hospitalisation Details'!E:E, "No Data")</f>
        <v>21/11/03</v>
      </c>
      <c r="N2183" s="28">
        <f t="array" ref="N2183">_xlfn.XLOOKUP($A2183, 'Hospitalisation Details'!$A:$A, 'Hospitalisation Details'!K:K, "No Data")</f>
        <v>19</v>
      </c>
      <c r="O2183" s="33">
        <f t="array" ref="O2183">_xlfn.XLOOKUP($A2183, 'Hospitalisation Details'!$A:$A, 'Hospitalisation Details'!G:G, "No Data")</f>
        <v>1727.79</v>
      </c>
      <c r="P2183" s="28" t="str">
        <f t="array" ref="P2183">_xlfn.XLOOKUP($A2183, 'Hospitalisation Details'!$A:$A, 'Hospitalisation Details'!H:H, "No Data")</f>
        <v>tier - 3</v>
      </c>
    </row>
    <row r="2184">
      <c r="A2184" s="25" t="s">
        <v>1475</v>
      </c>
      <c r="B2184" s="28" t="str">
        <f t="array" ref="B2184">_xlfn.XLOOKUP($A2184, 'Customer Names'!$A:$A, 'Customer Names'!B:B, "No Data")</f>
        <v>Murphy</v>
      </c>
      <c r="C2184" s="28">
        <f t="array" ref="C2184">_xlfn.XLOOKUP($A2184, 'Medical Examinations'!$A:$A, 'Medical Examinations'!B:B, "No Data")</f>
        <v>35.2</v>
      </c>
      <c r="D2184" s="28">
        <f t="array" ref="D2184">_xlfn.XLOOKUP($A2184, 'Medical Examinations'!$A:$A, 'Medical Examinations'!C:C, "No Data")</f>
        <v>5.97</v>
      </c>
      <c r="E2184" s="28" t="str">
        <f t="array" ref="E2184">_xlfn.XLOOKUP($A2184, 'Medical Examinations'!$A:$A, 'Medical Examinations'!D:D, "No Data")</f>
        <v>No</v>
      </c>
      <c r="F2184" s="28" t="str">
        <f t="array" ref="F2184">_xlfn.XLOOKUP($A2184, 'Medical Examinations'!$A:$A, 'Medical Examinations'!E:E, "No Data")</f>
        <v>yes</v>
      </c>
      <c r="G2184" s="28" t="str">
        <f t="array" ref="G2184">_xlfn.XLOOKUP($A2184, 'Medical Examinations'!$A:$A, 'Medical Examinations'!F:F, "No Data")</f>
        <v>No</v>
      </c>
      <c r="H2184" s="28">
        <f t="array" ref="H2184">_xlfn.XLOOKUP($A2184, 'Medical Examinations'!$A:$A, 'Medical Examinations'!G:G, "No Data")</f>
        <v>1</v>
      </c>
      <c r="I2184" s="28" t="str">
        <f t="array" ref="I2184">_xlfn.XLOOKUP($A2184, 'Medical Examinations'!$A:$A, 'Medical Examinations'!H:H, "No Data")</f>
        <v>No</v>
      </c>
      <c r="J2184" s="28" t="str">
        <f t="array" ref="J2184">_xlfn.XLOOKUP($A2184, 'Medical Examinations'!$A:$A, 'Medical Examinations'!I:I, "No Data")</f>
        <v>Obesity</v>
      </c>
      <c r="K2184" s="28" t="str">
        <f t="array" ref="K2184">_xlfn.XLOOKUP($A2184, 'Hospitalisation Details'!$A:$A, 'Hospitalisation Details'!I:I, "No Data")</f>
        <v>tier - 1</v>
      </c>
      <c r="L2184" s="28" t="str">
        <f t="array" ref="L2184">_xlfn.XLOOKUP($A2184, 'Hospitalisation Details'!$A:$A, 'Hospitalisation Details'!J:J, "No Data")</f>
        <v>R1013</v>
      </c>
      <c r="M2184" s="28" t="str">
        <f t="array" ref="M2184">_xlfn.XLOOKUP($A2184, 'Hospitalisation Details'!$A:$A, 'Hospitalisation Details'!E:E, "No Data")</f>
        <v>09/09/04</v>
      </c>
      <c r="N2184" s="28">
        <f t="array" ref="N2184">_xlfn.XLOOKUP($A2184, 'Hospitalisation Details'!$A:$A, 'Hospitalisation Details'!K:K, "No Data")</f>
        <v>18</v>
      </c>
      <c r="O2184" s="33">
        <f t="array" ref="O2184">_xlfn.XLOOKUP($A2184, 'Hospitalisation Details'!$A:$A, 'Hospitalisation Details'!G:G, "No Data")</f>
        <v>1727.54</v>
      </c>
      <c r="P2184" s="28" t="str">
        <f t="array" ref="P2184">_xlfn.XLOOKUP($A2184, 'Hospitalisation Details'!$A:$A, 'Hospitalisation Details'!H:H, "No Data")</f>
        <v>tier - 3</v>
      </c>
    </row>
    <row r="2185">
      <c r="A2185" s="25" t="s">
        <v>1471</v>
      </c>
      <c r="B2185" s="28" t="str">
        <f t="array" ref="B2185">_xlfn.XLOOKUP($A2185, 'Customer Names'!$A:$A, 'Customer Names'!B:B, "No Data")</f>
        <v>Desisa</v>
      </c>
      <c r="C2185" s="28">
        <f t="array" ref="C2185">_xlfn.XLOOKUP($A2185, 'Medical Examinations'!$A:$A, 'Medical Examinations'!B:B, "No Data")</f>
        <v>33.77</v>
      </c>
      <c r="D2185" s="28">
        <f t="array" ref="D2185">_xlfn.XLOOKUP($A2185, 'Medical Examinations'!$A:$A, 'Medical Examinations'!C:C, "No Data")</f>
        <v>4.02</v>
      </c>
      <c r="E2185" s="28" t="str">
        <f t="array" ref="E2185">_xlfn.XLOOKUP($A2185, 'Medical Examinations'!$A:$A, 'Medical Examinations'!D:D, "No Data")</f>
        <v>No</v>
      </c>
      <c r="F2185" s="28" t="str">
        <f t="array" ref="F2185">_xlfn.XLOOKUP($A2185, 'Medical Examinations'!$A:$A, 'Medical Examinations'!E:E, "No Data")</f>
        <v>yes</v>
      </c>
      <c r="G2185" s="28" t="str">
        <f t="array" ref="G2185">_xlfn.XLOOKUP($A2185, 'Medical Examinations'!$A:$A, 'Medical Examinations'!F:F, "No Data")</f>
        <v>No</v>
      </c>
      <c r="H2185" s="28">
        <f t="array" ref="H2185">_xlfn.XLOOKUP($A2185, 'Medical Examinations'!$A:$A, 'Medical Examinations'!G:G, "No Data")</f>
        <v>1</v>
      </c>
      <c r="I2185" s="28" t="str">
        <f t="array" ref="I2185">_xlfn.XLOOKUP($A2185, 'Medical Examinations'!$A:$A, 'Medical Examinations'!H:H, "No Data")</f>
        <v>No</v>
      </c>
      <c r="J2185" s="28" t="str">
        <f t="array" ref="J2185">_xlfn.XLOOKUP($A2185, 'Medical Examinations'!$A:$A, 'Medical Examinations'!I:I, "No Data")</f>
        <v>Obesity</v>
      </c>
      <c r="K2185" s="28" t="str">
        <f t="array" ref="K2185">_xlfn.XLOOKUP($A2185, 'Hospitalisation Details'!$A:$A, 'Hospitalisation Details'!I:I, "No Data")</f>
        <v>tier - 2</v>
      </c>
      <c r="L2185" s="28" t="str">
        <f t="array" ref="L2185">_xlfn.XLOOKUP($A2185, 'Hospitalisation Details'!$A:$A, 'Hospitalisation Details'!J:J, "No Data")</f>
        <v>R1013</v>
      </c>
      <c r="M2185" s="28" t="str">
        <f t="array" ref="M2185">_xlfn.XLOOKUP($A2185, 'Hospitalisation Details'!$A:$A, 'Hospitalisation Details'!E:E, "No Data")</f>
        <v>21/10/04</v>
      </c>
      <c r="N2185" s="28">
        <f t="array" ref="N2185">_xlfn.XLOOKUP($A2185, 'Hospitalisation Details'!$A:$A, 'Hospitalisation Details'!K:K, "No Data")</f>
        <v>18</v>
      </c>
      <c r="O2185" s="33">
        <f t="array" ref="O2185">_xlfn.XLOOKUP($A2185, 'Hospitalisation Details'!$A:$A, 'Hospitalisation Details'!G:G, "No Data")</f>
        <v>1725.55</v>
      </c>
      <c r="P2185" s="28" t="str">
        <f t="array" ref="P2185">_xlfn.XLOOKUP($A2185, 'Hospitalisation Details'!$A:$A, 'Hospitalisation Details'!H:H, "No Data")</f>
        <v>tier - 3</v>
      </c>
    </row>
    <row r="2186">
      <c r="A2186" s="25" t="s">
        <v>1464</v>
      </c>
      <c r="B2186" s="28" t="str">
        <f t="array" ref="B2186">_xlfn.XLOOKUP($A2186, 'Customer Names'!$A:$A, 'Customer Names'!B:B, "No Data")</f>
        <v>Brooks</v>
      </c>
      <c r="C2186" s="28">
        <f t="array" ref="C2186">_xlfn.XLOOKUP($A2186, 'Medical Examinations'!$A:$A, 'Medical Examinations'!B:B, "No Data")</f>
        <v>30.03</v>
      </c>
      <c r="D2186" s="28">
        <f t="array" ref="D2186">_xlfn.XLOOKUP($A2186, 'Medical Examinations'!$A:$A, 'Medical Examinations'!C:C, "No Data")</f>
        <v>4.04</v>
      </c>
      <c r="E2186" s="28" t="str">
        <f t="array" ref="E2186">_xlfn.XLOOKUP($A2186, 'Medical Examinations'!$A:$A, 'Medical Examinations'!D:D, "No Data")</f>
        <v>No</v>
      </c>
      <c r="F2186" s="28" t="str">
        <f t="array" ref="F2186">_xlfn.XLOOKUP($A2186, 'Medical Examinations'!$A:$A, 'Medical Examinations'!E:E, "No Data")</f>
        <v>yes</v>
      </c>
      <c r="G2186" s="28" t="str">
        <f t="array" ref="G2186">_xlfn.XLOOKUP($A2186, 'Medical Examinations'!$A:$A, 'Medical Examinations'!F:F, "No Data")</f>
        <v>No</v>
      </c>
      <c r="H2186" s="28">
        <f t="array" ref="H2186">_xlfn.XLOOKUP($A2186, 'Medical Examinations'!$A:$A, 'Medical Examinations'!G:G, "No Data")</f>
        <v>1</v>
      </c>
      <c r="I2186" s="28" t="str">
        <f t="array" ref="I2186">_xlfn.XLOOKUP($A2186, 'Medical Examinations'!$A:$A, 'Medical Examinations'!H:H, "No Data")</f>
        <v>No</v>
      </c>
      <c r="J2186" s="28" t="str">
        <f t="array" ref="J2186">_xlfn.XLOOKUP($A2186, 'Medical Examinations'!$A:$A, 'Medical Examinations'!I:I, "No Data")</f>
        <v>Obesity</v>
      </c>
      <c r="K2186" s="28" t="str">
        <f t="array" ref="K2186">_xlfn.XLOOKUP($A2186, 'Hospitalisation Details'!$A:$A, 'Hospitalisation Details'!I:I, "No Data")</f>
        <v>tier - 3</v>
      </c>
      <c r="L2186" s="28" t="str">
        <f t="array" ref="L2186">_xlfn.XLOOKUP($A2186, 'Hospitalisation Details'!$A:$A, 'Hospitalisation Details'!J:J, "No Data")</f>
        <v>R1013</v>
      </c>
      <c r="M2186" s="28" t="str">
        <f t="array" ref="M2186">_xlfn.XLOOKUP($A2186, 'Hospitalisation Details'!$A:$A, 'Hospitalisation Details'!E:E, "No Data")</f>
        <v>11/09/04</v>
      </c>
      <c r="N2186" s="28">
        <f t="array" ref="N2186">_xlfn.XLOOKUP($A2186, 'Hospitalisation Details'!$A:$A, 'Hospitalisation Details'!K:K, "No Data")</f>
        <v>18</v>
      </c>
      <c r="O2186" s="33">
        <f t="array" ref="O2186">_xlfn.XLOOKUP($A2186, 'Hospitalisation Details'!$A:$A, 'Hospitalisation Details'!G:G, "No Data")</f>
        <v>1720.35</v>
      </c>
      <c r="P2186" s="28" t="str">
        <f t="array" ref="P2186">_xlfn.XLOOKUP($A2186, 'Hospitalisation Details'!$A:$A, 'Hospitalisation Details'!H:H, "No Data")</f>
        <v>tier - 3</v>
      </c>
    </row>
    <row r="2187">
      <c r="A2187" s="25" t="s">
        <v>1459</v>
      </c>
      <c r="B2187" s="28" t="str">
        <f t="array" ref="B2187">_xlfn.XLOOKUP($A2187, 'Customer Names'!$A:$A, 'Customer Names'!B:B, "No Data")</f>
        <v>Stone</v>
      </c>
      <c r="C2187" s="28">
        <f t="array" ref="C2187">_xlfn.XLOOKUP($A2187, 'Medical Examinations'!$A:$A, 'Medical Examinations'!B:B, "No Data")</f>
        <v>29.37</v>
      </c>
      <c r="D2187" s="28">
        <f t="array" ref="D2187">_xlfn.XLOOKUP($A2187, 'Medical Examinations'!$A:$A, 'Medical Examinations'!C:C, "No Data")</f>
        <v>5.54</v>
      </c>
      <c r="E2187" s="28" t="str">
        <f t="array" ref="E2187">_xlfn.XLOOKUP($A2187, 'Medical Examinations'!$A:$A, 'Medical Examinations'!D:D, "No Data")</f>
        <v>No</v>
      </c>
      <c r="F2187" s="28" t="str">
        <f t="array" ref="F2187">_xlfn.XLOOKUP($A2187, 'Medical Examinations'!$A:$A, 'Medical Examinations'!E:E, "No Data")</f>
        <v>yes</v>
      </c>
      <c r="G2187" s="28" t="str">
        <f t="array" ref="G2187">_xlfn.XLOOKUP($A2187, 'Medical Examinations'!$A:$A, 'Medical Examinations'!F:F, "No Data")</f>
        <v>No</v>
      </c>
      <c r="H2187" s="28">
        <f t="array" ref="H2187">_xlfn.XLOOKUP($A2187, 'Medical Examinations'!$A:$A, 'Medical Examinations'!G:G, "No Data")</f>
        <v>1</v>
      </c>
      <c r="I2187" s="28" t="str">
        <f t="array" ref="I2187">_xlfn.XLOOKUP($A2187, 'Medical Examinations'!$A:$A, 'Medical Examinations'!H:H, "No Data")</f>
        <v>No</v>
      </c>
      <c r="J2187" s="28" t="str">
        <f t="array" ref="J2187">_xlfn.XLOOKUP($A2187, 'Medical Examinations'!$A:$A, 'Medical Examinations'!I:I, "No Data")</f>
        <v>Overweight</v>
      </c>
      <c r="K2187" s="28" t="str">
        <f t="array" ref="K2187">_xlfn.XLOOKUP($A2187, 'Hospitalisation Details'!$A:$A, 'Hospitalisation Details'!I:I, "No Data")</f>
        <v>tier - 3</v>
      </c>
      <c r="L2187" s="28" t="str">
        <f t="array" ref="L2187">_xlfn.XLOOKUP($A2187, 'Hospitalisation Details'!$A:$A, 'Hospitalisation Details'!J:J, "No Data")</f>
        <v>R1013</v>
      </c>
      <c r="M2187" s="28" t="str">
        <f t="array" ref="M2187">_xlfn.XLOOKUP($A2187, 'Hospitalisation Details'!$A:$A, 'Hospitalisation Details'!E:E, "No Data")</f>
        <v>10/06/04</v>
      </c>
      <c r="N2187" s="28">
        <f t="array" ref="N2187">_xlfn.XLOOKUP($A2187, 'Hospitalisation Details'!$A:$A, 'Hospitalisation Details'!K:K, "No Data")</f>
        <v>18</v>
      </c>
      <c r="O2187" s="33">
        <f t="array" ref="O2187">_xlfn.XLOOKUP($A2187, 'Hospitalisation Details'!$A:$A, 'Hospitalisation Details'!G:G, "No Data")</f>
        <v>1719.44</v>
      </c>
      <c r="P2187" s="28" t="str">
        <f t="array" ref="P2187">_xlfn.XLOOKUP($A2187, 'Hospitalisation Details'!$A:$A, 'Hospitalisation Details'!H:H, "No Data")</f>
        <v>tier - 3</v>
      </c>
    </row>
    <row r="2188">
      <c r="A2188" s="25" t="s">
        <v>1454</v>
      </c>
      <c r="B2188" s="28" t="str">
        <f t="array" ref="B2188">_xlfn.XLOOKUP($A2188, 'Customer Names'!$A:$A, 'Customer Names'!B:B, "No Data")</f>
        <v>Weispfennig</v>
      </c>
      <c r="C2188" s="28">
        <f t="array" ref="C2188">_xlfn.XLOOKUP($A2188, 'Medical Examinations'!$A:$A, 'Medical Examinations'!B:B, "No Data")</f>
        <v>28.5</v>
      </c>
      <c r="D2188" s="28">
        <f t="array" ref="D2188">_xlfn.XLOOKUP($A2188, 'Medical Examinations'!$A:$A, 'Medical Examinations'!C:C, "No Data")</f>
        <v>4.03</v>
      </c>
      <c r="E2188" s="28" t="str">
        <f t="array" ref="E2188">_xlfn.XLOOKUP($A2188, 'Medical Examinations'!$A:$A, 'Medical Examinations'!D:D, "No Data")</f>
        <v>No</v>
      </c>
      <c r="F2188" s="28" t="str">
        <f t="array" ref="F2188">_xlfn.XLOOKUP($A2188, 'Medical Examinations'!$A:$A, 'Medical Examinations'!E:E, "No Data")</f>
        <v>yes</v>
      </c>
      <c r="G2188" s="28" t="str">
        <f t="array" ref="G2188">_xlfn.XLOOKUP($A2188, 'Medical Examinations'!$A:$A, 'Medical Examinations'!F:F, "No Data")</f>
        <v>No</v>
      </c>
      <c r="H2188" s="28">
        <f t="array" ref="H2188">_xlfn.XLOOKUP($A2188, 'Medical Examinations'!$A:$A, 'Medical Examinations'!G:G, "No Data")</f>
        <v>1</v>
      </c>
      <c r="I2188" s="28" t="str">
        <f t="array" ref="I2188">_xlfn.XLOOKUP($A2188, 'Medical Examinations'!$A:$A, 'Medical Examinations'!H:H, "No Data")</f>
        <v>No</v>
      </c>
      <c r="J2188" s="28" t="str">
        <f t="array" ref="J2188">_xlfn.XLOOKUP($A2188, 'Medical Examinations'!$A:$A, 'Medical Examinations'!I:I, "No Data")</f>
        <v>Overweight</v>
      </c>
      <c r="K2188" s="28" t="str">
        <f t="array" ref="K2188">_xlfn.XLOOKUP($A2188, 'Hospitalisation Details'!$A:$A, 'Hospitalisation Details'!I:I, "No Data")</f>
        <v>tier - 1</v>
      </c>
      <c r="L2188" s="28" t="str">
        <f t="array" ref="L2188">_xlfn.XLOOKUP($A2188, 'Hospitalisation Details'!$A:$A, 'Hospitalisation Details'!J:J, "No Data")</f>
        <v>R1016</v>
      </c>
      <c r="M2188" s="28" t="str">
        <f t="array" ref="M2188">_xlfn.XLOOKUP($A2188, 'Hospitalisation Details'!$A:$A, 'Hospitalisation Details'!E:E, "No Data")</f>
        <v>21/09/04</v>
      </c>
      <c r="N2188" s="28">
        <f t="array" ref="N2188">_xlfn.XLOOKUP($A2188, 'Hospitalisation Details'!$A:$A, 'Hospitalisation Details'!K:K, "No Data")</f>
        <v>18</v>
      </c>
      <c r="O2188" s="33">
        <f t="array" ref="O2188">_xlfn.XLOOKUP($A2188, 'Hospitalisation Details'!$A:$A, 'Hospitalisation Details'!G:G, "No Data")</f>
        <v>1712.23</v>
      </c>
      <c r="P2188" s="28" t="str">
        <f t="array" ref="P2188">_xlfn.XLOOKUP($A2188, 'Hospitalisation Details'!$A:$A, 'Hospitalisation Details'!H:H, "No Data")</f>
        <v>tier - 3</v>
      </c>
    </row>
    <row r="2189">
      <c r="A2189" s="25" t="s">
        <v>1450</v>
      </c>
      <c r="B2189" s="28" t="str">
        <f t="array" ref="B2189">_xlfn.XLOOKUP($A2189, 'Customer Names'!$A:$A, 'Customer Names'!B:B, "No Data")</f>
        <v>Sorrell</v>
      </c>
      <c r="C2189" s="28">
        <f t="array" ref="C2189">_xlfn.XLOOKUP($A2189, 'Medical Examinations'!$A:$A, 'Medical Examinations'!B:B, "No Data")</f>
        <v>23.32</v>
      </c>
      <c r="D2189" s="28">
        <f t="array" ref="D2189">_xlfn.XLOOKUP($A2189, 'Medical Examinations'!$A:$A, 'Medical Examinations'!C:C, "No Data")</f>
        <v>5.62</v>
      </c>
      <c r="E2189" s="28" t="str">
        <f t="array" ref="E2189">_xlfn.XLOOKUP($A2189, 'Medical Examinations'!$A:$A, 'Medical Examinations'!D:D, "No Data")</f>
        <v>No</v>
      </c>
      <c r="F2189" s="28" t="str">
        <f t="array" ref="F2189">_xlfn.XLOOKUP($A2189, 'Medical Examinations'!$A:$A, 'Medical Examinations'!E:E, "No Data")</f>
        <v>yes</v>
      </c>
      <c r="G2189" s="28" t="str">
        <f t="array" ref="G2189">_xlfn.XLOOKUP($A2189, 'Medical Examinations'!$A:$A, 'Medical Examinations'!F:F, "No Data")</f>
        <v>No</v>
      </c>
      <c r="H2189" s="28">
        <f t="array" ref="H2189">_xlfn.XLOOKUP($A2189, 'Medical Examinations'!$A:$A, 'Medical Examinations'!G:G, "No Data")</f>
        <v>1</v>
      </c>
      <c r="I2189" s="28" t="str">
        <f t="array" ref="I2189">_xlfn.XLOOKUP($A2189, 'Medical Examinations'!$A:$A, 'Medical Examinations'!H:H, "No Data")</f>
        <v>No</v>
      </c>
      <c r="J2189" s="28" t="str">
        <f t="array" ref="J2189">_xlfn.XLOOKUP($A2189, 'Medical Examinations'!$A:$A, 'Medical Examinations'!I:I, "No Data")</f>
        <v>Normal Weight</v>
      </c>
      <c r="K2189" s="28" t="str">
        <f t="array" ref="K2189">_xlfn.XLOOKUP($A2189, 'Hospitalisation Details'!$A:$A, 'Hospitalisation Details'!I:I, "No Data")</f>
        <v>tier - 3</v>
      </c>
      <c r="L2189" s="28" t="str">
        <f t="array" ref="L2189">_xlfn.XLOOKUP($A2189, 'Hospitalisation Details'!$A:$A, 'Hospitalisation Details'!J:J, "No Data")</f>
        <v>R1013</v>
      </c>
      <c r="M2189" s="28" t="str">
        <f t="array" ref="M2189">_xlfn.XLOOKUP($A2189, 'Hospitalisation Details'!$A:$A, 'Hospitalisation Details'!E:E, "No Data")</f>
        <v>19/09/04</v>
      </c>
      <c r="N2189" s="28">
        <f t="array" ref="N2189">_xlfn.XLOOKUP($A2189, 'Hospitalisation Details'!$A:$A, 'Hospitalisation Details'!K:K, "No Data")</f>
        <v>18</v>
      </c>
      <c r="O2189" s="33">
        <f t="array" ref="O2189">_xlfn.XLOOKUP($A2189, 'Hospitalisation Details'!$A:$A, 'Hospitalisation Details'!G:G, "No Data")</f>
        <v>1711.03</v>
      </c>
      <c r="P2189" s="28" t="str">
        <f t="array" ref="P2189">_xlfn.XLOOKUP($A2189, 'Hospitalisation Details'!$A:$A, 'Hospitalisation Details'!H:H, "No Data")</f>
        <v>tier - 3</v>
      </c>
    </row>
    <row r="2190">
      <c r="A2190" s="25" t="s">
        <v>1445</v>
      </c>
      <c r="B2190" s="28" t="str">
        <f t="array" ref="B2190">_xlfn.XLOOKUP($A2190, 'Customer Names'!$A:$A, 'Customer Names'!B:B, "No Data")</f>
        <v>Morris</v>
      </c>
      <c r="C2190" s="28">
        <f t="array" ref="C2190">_xlfn.XLOOKUP($A2190, 'Medical Examinations'!$A:$A, 'Medical Examinations'!B:B, "No Data")</f>
        <v>26.125</v>
      </c>
      <c r="D2190" s="28">
        <f t="array" ref="D2190">_xlfn.XLOOKUP($A2190, 'Medical Examinations'!$A:$A, 'Medical Examinations'!C:C, "No Data")</f>
        <v>5.27</v>
      </c>
      <c r="E2190" s="28" t="str">
        <f t="array" ref="E2190">_xlfn.XLOOKUP($A2190, 'Medical Examinations'!$A:$A, 'Medical Examinations'!D:D, "No Data")</f>
        <v>No</v>
      </c>
      <c r="F2190" s="28" t="str">
        <f t="array" ref="F2190">_xlfn.XLOOKUP($A2190, 'Medical Examinations'!$A:$A, 'Medical Examinations'!E:E, "No Data")</f>
        <v>yes</v>
      </c>
      <c r="G2190" s="28" t="str">
        <f t="array" ref="G2190">_xlfn.XLOOKUP($A2190, 'Medical Examinations'!$A:$A, 'Medical Examinations'!F:F, "No Data")</f>
        <v>No</v>
      </c>
      <c r="H2190" s="28">
        <f t="array" ref="H2190">_xlfn.XLOOKUP($A2190, 'Medical Examinations'!$A:$A, 'Medical Examinations'!G:G, "No Data")</f>
        <v>1</v>
      </c>
      <c r="I2190" s="28" t="str">
        <f t="array" ref="I2190">_xlfn.XLOOKUP($A2190, 'Medical Examinations'!$A:$A, 'Medical Examinations'!H:H, "No Data")</f>
        <v>No</v>
      </c>
      <c r="J2190" s="28" t="str">
        <f t="array" ref="J2190">_xlfn.XLOOKUP($A2190, 'Medical Examinations'!$A:$A, 'Medical Examinations'!I:I, "No Data")</f>
        <v>Overweight</v>
      </c>
      <c r="K2190" s="28" t="str">
        <f t="array" ref="K2190">_xlfn.XLOOKUP($A2190, 'Hospitalisation Details'!$A:$A, 'Hospitalisation Details'!I:I, "No Data")</f>
        <v>tier - 1</v>
      </c>
      <c r="L2190" s="28" t="str">
        <f t="array" ref="L2190">_xlfn.XLOOKUP($A2190, 'Hospitalisation Details'!$A:$A, 'Hospitalisation Details'!J:J, "No Data")</f>
        <v>R1019</v>
      </c>
      <c r="M2190" s="28" t="str">
        <f t="array" ref="M2190">_xlfn.XLOOKUP($A2190, 'Hospitalisation Details'!$A:$A, 'Hospitalisation Details'!E:E, "No Data")</f>
        <v>12/12/04</v>
      </c>
      <c r="N2190" s="28">
        <f t="array" ref="N2190">_xlfn.XLOOKUP($A2190, 'Hospitalisation Details'!$A:$A, 'Hospitalisation Details'!K:K, "No Data")</f>
        <v>18</v>
      </c>
      <c r="O2190" s="33">
        <f t="array" ref="O2190">_xlfn.XLOOKUP($A2190, 'Hospitalisation Details'!$A:$A, 'Hospitalisation Details'!G:G, "No Data")</f>
        <v>1708.93</v>
      </c>
      <c r="P2190" s="28" t="str">
        <f t="array" ref="P2190">_xlfn.XLOOKUP($A2190, 'Hospitalisation Details'!$A:$A, 'Hospitalisation Details'!H:H, "No Data")</f>
        <v>tier - 3</v>
      </c>
    </row>
    <row r="2191">
      <c r="A2191" s="25" t="s">
        <v>1440</v>
      </c>
      <c r="B2191" s="28" t="str">
        <f t="array" ref="B2191">_xlfn.XLOOKUP($A2191, 'Customer Names'!$A:$A, 'Customer Names'!B:B, "No Data")</f>
        <v>Marek</v>
      </c>
      <c r="C2191" s="28">
        <f t="array" ref="C2191">_xlfn.XLOOKUP($A2191, 'Medical Examinations'!$A:$A, 'Medical Examinations'!B:B, "No Data")</f>
        <v>25.46</v>
      </c>
      <c r="D2191" s="28">
        <f t="array" ref="D2191">_xlfn.XLOOKUP($A2191, 'Medical Examinations'!$A:$A, 'Medical Examinations'!C:C, "No Data")</f>
        <v>5.18</v>
      </c>
      <c r="E2191" s="28" t="str">
        <f t="array" ref="E2191">_xlfn.XLOOKUP($A2191, 'Medical Examinations'!$A:$A, 'Medical Examinations'!D:D, "No Data")</f>
        <v>No</v>
      </c>
      <c r="F2191" s="28" t="str">
        <f t="array" ref="F2191">_xlfn.XLOOKUP($A2191, 'Medical Examinations'!$A:$A, 'Medical Examinations'!E:E, "No Data")</f>
        <v>yes</v>
      </c>
      <c r="G2191" s="28" t="str">
        <f t="array" ref="G2191">_xlfn.XLOOKUP($A2191, 'Medical Examinations'!$A:$A, 'Medical Examinations'!F:F, "No Data")</f>
        <v>No</v>
      </c>
      <c r="H2191" s="28">
        <f t="array" ref="H2191">_xlfn.XLOOKUP($A2191, 'Medical Examinations'!$A:$A, 'Medical Examinations'!G:G, "No Data")</f>
        <v>1</v>
      </c>
      <c r="I2191" s="28" t="str">
        <f t="array" ref="I2191">_xlfn.XLOOKUP($A2191, 'Medical Examinations'!$A:$A, 'Medical Examinations'!H:H, "No Data")</f>
        <v>No</v>
      </c>
      <c r="J2191" s="28" t="str">
        <f t="array" ref="J2191">_xlfn.XLOOKUP($A2191, 'Medical Examinations'!$A:$A, 'Medical Examinations'!I:I, "No Data")</f>
        <v>Overweight</v>
      </c>
      <c r="K2191" s="28" t="str">
        <f t="array" ref="K2191">_xlfn.XLOOKUP($A2191, 'Hospitalisation Details'!$A:$A, 'Hospitalisation Details'!I:I, "No Data")</f>
        <v>tier - 2</v>
      </c>
      <c r="L2191" s="28" t="str">
        <f t="array" ref="L2191">_xlfn.XLOOKUP($A2191, 'Hospitalisation Details'!$A:$A, 'Hospitalisation Details'!J:J, "No Data")</f>
        <v>R1016</v>
      </c>
      <c r="M2191" s="28" t="str">
        <f t="array" ref="M2191">_xlfn.XLOOKUP($A2191, 'Hospitalisation Details'!$A:$A, 'Hospitalisation Details'!E:E, "No Data")</f>
        <v>17/10/04</v>
      </c>
      <c r="N2191" s="28">
        <f t="array" ref="N2191">_xlfn.XLOOKUP($A2191, 'Hospitalisation Details'!$A:$A, 'Hospitalisation Details'!K:K, "No Data")</f>
        <v>18</v>
      </c>
      <c r="O2191" s="33">
        <f t="array" ref="O2191">_xlfn.XLOOKUP($A2191, 'Hospitalisation Details'!$A:$A, 'Hospitalisation Details'!G:G, "No Data")</f>
        <v>1708</v>
      </c>
      <c r="P2191" s="28" t="str">
        <f t="array" ref="P2191">_xlfn.XLOOKUP($A2191, 'Hospitalisation Details'!$A:$A, 'Hospitalisation Details'!H:H, "No Data")</f>
        <v>tier - 3</v>
      </c>
    </row>
    <row r="2192">
      <c r="A2192" s="25" t="s">
        <v>1436</v>
      </c>
      <c r="B2192" s="28" t="str">
        <f t="array" ref="B2192">_xlfn.XLOOKUP($A2192, 'Customer Names'!$A:$A, 'Customer Names'!B:B, "No Data")</f>
        <v>Armstrong</v>
      </c>
      <c r="C2192" s="28">
        <f t="array" ref="C2192">_xlfn.XLOOKUP($A2192, 'Medical Examinations'!$A:$A, 'Medical Examinations'!B:B, "No Data")</f>
        <v>23.75</v>
      </c>
      <c r="D2192" s="28">
        <f t="array" ref="D2192">_xlfn.XLOOKUP($A2192, 'Medical Examinations'!$A:$A, 'Medical Examinations'!C:C, "No Data")</f>
        <v>5.27</v>
      </c>
      <c r="E2192" s="28" t="str">
        <f t="array" ref="E2192">_xlfn.XLOOKUP($A2192, 'Medical Examinations'!$A:$A, 'Medical Examinations'!D:D, "No Data")</f>
        <v>No</v>
      </c>
      <c r="F2192" s="28" t="str">
        <f t="array" ref="F2192">_xlfn.XLOOKUP($A2192, 'Medical Examinations'!$A:$A, 'Medical Examinations'!E:E, "No Data")</f>
        <v>yes</v>
      </c>
      <c r="G2192" s="28" t="str">
        <f t="array" ref="G2192">_xlfn.XLOOKUP($A2192, 'Medical Examinations'!$A:$A, 'Medical Examinations'!F:F, "No Data")</f>
        <v>No</v>
      </c>
      <c r="H2192" s="28">
        <f t="array" ref="H2192">_xlfn.XLOOKUP($A2192, 'Medical Examinations'!$A:$A, 'Medical Examinations'!G:G, "No Data")</f>
        <v>1</v>
      </c>
      <c r="I2192" s="28" t="str">
        <f t="array" ref="I2192">_xlfn.XLOOKUP($A2192, 'Medical Examinations'!$A:$A, 'Medical Examinations'!H:H, "No Data")</f>
        <v>No</v>
      </c>
      <c r="J2192" s="28" t="str">
        <f t="array" ref="J2192">_xlfn.XLOOKUP($A2192, 'Medical Examinations'!$A:$A, 'Medical Examinations'!I:I, "No Data")</f>
        <v>Normal Weight</v>
      </c>
      <c r="K2192" s="28" t="str">
        <f t="array" ref="K2192">_xlfn.XLOOKUP($A2192, 'Hospitalisation Details'!$A:$A, 'Hospitalisation Details'!I:I, "No Data")</f>
        <v>tier - 2</v>
      </c>
      <c r="L2192" s="28" t="str">
        <f t="array" ref="L2192">_xlfn.XLOOKUP($A2192, 'Hospitalisation Details'!$A:$A, 'Hospitalisation Details'!J:J, "No Data")</f>
        <v>R1015</v>
      </c>
      <c r="M2192" s="28" t="str">
        <f t="array" ref="M2192">_xlfn.XLOOKUP($A2192, 'Hospitalisation Details'!$A:$A, 'Hospitalisation Details'!E:E, "No Data")</f>
        <v>06/12/04</v>
      </c>
      <c r="N2192" s="28">
        <f t="array" ref="N2192">_xlfn.XLOOKUP($A2192, 'Hospitalisation Details'!$A:$A, 'Hospitalisation Details'!K:K, "No Data")</f>
        <v>18</v>
      </c>
      <c r="O2192" s="33">
        <f t="array" ref="O2192">_xlfn.XLOOKUP($A2192, 'Hospitalisation Details'!$A:$A, 'Hospitalisation Details'!G:G, "No Data")</f>
        <v>1705.62</v>
      </c>
      <c r="P2192" s="28" t="str">
        <f t="array" ref="P2192">_xlfn.XLOOKUP($A2192, 'Hospitalisation Details'!$A:$A, 'Hospitalisation Details'!H:H, "No Data")</f>
        <v>tier - 2</v>
      </c>
    </row>
    <row r="2193">
      <c r="A2193" s="25" t="s">
        <v>1430</v>
      </c>
      <c r="B2193" s="28" t="str">
        <f t="array" ref="B2193">_xlfn.XLOOKUP($A2193, 'Customer Names'!$A:$A, 'Customer Names'!B:B, "No Data")</f>
        <v>Werner</v>
      </c>
      <c r="C2193" s="28">
        <f t="array" ref="C2193">_xlfn.XLOOKUP($A2193, 'Medical Examinations'!$A:$A, 'Medical Examinations'!B:B, "No Data")</f>
        <v>23.085</v>
      </c>
      <c r="D2193" s="28">
        <f t="array" ref="D2193">_xlfn.XLOOKUP($A2193, 'Medical Examinations'!$A:$A, 'Medical Examinations'!C:C, "No Data")</f>
        <v>5.62</v>
      </c>
      <c r="E2193" s="28" t="str">
        <f t="array" ref="E2193">_xlfn.XLOOKUP($A2193, 'Medical Examinations'!$A:$A, 'Medical Examinations'!D:D, "No Data")</f>
        <v>No</v>
      </c>
      <c r="F2193" s="28" t="str">
        <f t="array" ref="F2193">_xlfn.XLOOKUP($A2193, 'Medical Examinations'!$A:$A, 'Medical Examinations'!E:E, "No Data")</f>
        <v>yes</v>
      </c>
      <c r="G2193" s="28" t="str">
        <f t="array" ref="G2193">_xlfn.XLOOKUP($A2193, 'Medical Examinations'!$A:$A, 'Medical Examinations'!F:F, "No Data")</f>
        <v>No</v>
      </c>
      <c r="H2193" s="28">
        <f t="array" ref="H2193">_xlfn.XLOOKUP($A2193, 'Medical Examinations'!$A:$A, 'Medical Examinations'!G:G, "No Data")</f>
        <v>1</v>
      </c>
      <c r="I2193" s="28" t="str">
        <f t="array" ref="I2193">_xlfn.XLOOKUP($A2193, 'Medical Examinations'!$A:$A, 'Medical Examinations'!H:H, "No Data")</f>
        <v>No</v>
      </c>
      <c r="J2193" s="28" t="str">
        <f t="array" ref="J2193">_xlfn.XLOOKUP($A2193, 'Medical Examinations'!$A:$A, 'Medical Examinations'!I:I, "No Data")</f>
        <v>Normal Weight</v>
      </c>
      <c r="K2193" s="28" t="str">
        <f t="array" ref="K2193">_xlfn.XLOOKUP($A2193, 'Hospitalisation Details'!$A:$A, 'Hospitalisation Details'!I:I, "No Data")</f>
        <v>tier - 3</v>
      </c>
      <c r="L2193" s="28" t="str">
        <f t="array" ref="L2193">_xlfn.XLOOKUP($A2193, 'Hospitalisation Details'!$A:$A, 'Hospitalisation Details'!J:J, "No Data")</f>
        <v>R1018</v>
      </c>
      <c r="M2193" s="28" t="str">
        <f t="array" ref="M2193">_xlfn.XLOOKUP($A2193, 'Hospitalisation Details'!$A:$A, 'Hospitalisation Details'!E:E, "No Data")</f>
        <v>14/12/04</v>
      </c>
      <c r="N2193" s="28">
        <f t="array" ref="N2193">_xlfn.XLOOKUP($A2193, 'Hospitalisation Details'!$A:$A, 'Hospitalisation Details'!K:K, "No Data")</f>
        <v>18</v>
      </c>
      <c r="O2193" s="33">
        <f t="array" ref="O2193">_xlfn.XLOOKUP($A2193, 'Hospitalisation Details'!$A:$A, 'Hospitalisation Details'!G:G, "No Data")</f>
        <v>1704.7</v>
      </c>
      <c r="P2193" s="28" t="str">
        <f t="array" ref="P2193">_xlfn.XLOOKUP($A2193, 'Hospitalisation Details'!$A:$A, 'Hospitalisation Details'!H:H, "No Data")</f>
        <v>tier - 2</v>
      </c>
    </row>
    <row r="2194">
      <c r="A2194" s="25" t="s">
        <v>1424</v>
      </c>
      <c r="B2194" s="28" t="str">
        <f t="array" ref="B2194">_xlfn.XLOOKUP($A2194, 'Customer Names'!$A:$A, 'Customer Names'!B:B, "No Data")</f>
        <v>Gries</v>
      </c>
      <c r="C2194" s="28">
        <f t="array" ref="C2194">_xlfn.XLOOKUP($A2194, 'Medical Examinations'!$A:$A, 'Medical Examinations'!B:B, "No Data")</f>
        <v>22.99</v>
      </c>
      <c r="D2194" s="28">
        <f t="array" ref="D2194">_xlfn.XLOOKUP($A2194, 'Medical Examinations'!$A:$A, 'Medical Examinations'!C:C, "No Data")</f>
        <v>5.06</v>
      </c>
      <c r="E2194" s="28" t="str">
        <f t="array" ref="E2194">_xlfn.XLOOKUP($A2194, 'Medical Examinations'!$A:$A, 'Medical Examinations'!D:D, "No Data")</f>
        <v>No</v>
      </c>
      <c r="F2194" s="28" t="str">
        <f t="array" ref="F2194">_xlfn.XLOOKUP($A2194, 'Medical Examinations'!$A:$A, 'Medical Examinations'!E:E, "No Data")</f>
        <v>yes</v>
      </c>
      <c r="G2194" s="28" t="str">
        <f t="array" ref="G2194">_xlfn.XLOOKUP($A2194, 'Medical Examinations'!$A:$A, 'Medical Examinations'!F:F, "No Data")</f>
        <v>No</v>
      </c>
      <c r="H2194" s="28">
        <f t="array" ref="H2194">_xlfn.XLOOKUP($A2194, 'Medical Examinations'!$A:$A, 'Medical Examinations'!G:G, "No Data")</f>
        <v>1</v>
      </c>
      <c r="I2194" s="28" t="str">
        <f t="array" ref="I2194">_xlfn.XLOOKUP($A2194, 'Medical Examinations'!$A:$A, 'Medical Examinations'!H:H, "No Data")</f>
        <v>No</v>
      </c>
      <c r="J2194" s="28" t="str">
        <f t="array" ref="J2194">_xlfn.XLOOKUP($A2194, 'Medical Examinations'!$A:$A, 'Medical Examinations'!I:I, "No Data")</f>
        <v>Normal Weight</v>
      </c>
      <c r="K2194" s="28" t="str">
        <f t="array" ref="K2194">_xlfn.XLOOKUP($A2194, 'Hospitalisation Details'!$A:$A, 'Hospitalisation Details'!I:I, "No Data")</f>
        <v>tier - 1</v>
      </c>
      <c r="L2194" s="28" t="str">
        <f t="array" ref="L2194">_xlfn.XLOOKUP($A2194, 'Hospitalisation Details'!$A:$A, 'Hospitalisation Details'!J:J, "No Data")</f>
        <v>R1016</v>
      </c>
      <c r="M2194" s="28" t="str">
        <f t="array" ref="M2194">_xlfn.XLOOKUP($A2194, 'Hospitalisation Details'!$A:$A, 'Hospitalisation Details'!E:E, "No Data")</f>
        <v>07/11/04</v>
      </c>
      <c r="N2194" s="28">
        <f t="array" ref="N2194">_xlfn.XLOOKUP($A2194, 'Hospitalisation Details'!$A:$A, 'Hospitalisation Details'!K:K, "No Data")</f>
        <v>18</v>
      </c>
      <c r="O2194" s="33">
        <f t="array" ref="O2194">_xlfn.XLOOKUP($A2194, 'Hospitalisation Details'!$A:$A, 'Hospitalisation Details'!G:G, "No Data")</f>
        <v>1704.57</v>
      </c>
      <c r="P2194" s="28" t="str">
        <f t="array" ref="P2194">_xlfn.XLOOKUP($A2194, 'Hospitalisation Details'!$A:$A, 'Hospitalisation Details'!H:H, "No Data")</f>
        <v>tier - 2</v>
      </c>
    </row>
    <row r="2195">
      <c r="A2195" s="25" t="s">
        <v>1416</v>
      </c>
      <c r="B2195" s="28" t="str">
        <f t="array" ref="B2195">_xlfn.XLOOKUP($A2195, 'Customer Names'!$A:$A, 'Customer Names'!B:B, "No Data")</f>
        <v>Mills</v>
      </c>
      <c r="C2195" s="28">
        <f t="array" ref="C2195">_xlfn.XLOOKUP($A2195, 'Medical Examinations'!$A:$A, 'Medical Examinations'!B:B, "No Data")</f>
        <v>21.47</v>
      </c>
      <c r="D2195" s="28">
        <f t="array" ref="D2195">_xlfn.XLOOKUP($A2195, 'Medical Examinations'!$A:$A, 'Medical Examinations'!C:C, "No Data")</f>
        <v>4.69</v>
      </c>
      <c r="E2195" s="28" t="str">
        <f t="array" ref="E2195">_xlfn.XLOOKUP($A2195, 'Medical Examinations'!$A:$A, 'Medical Examinations'!D:D, "No Data")</f>
        <v>No</v>
      </c>
      <c r="F2195" s="28" t="str">
        <f t="array" ref="F2195">_xlfn.XLOOKUP($A2195, 'Medical Examinations'!$A:$A, 'Medical Examinations'!E:E, "No Data")</f>
        <v>yes</v>
      </c>
      <c r="G2195" s="28" t="str">
        <f t="array" ref="G2195">_xlfn.XLOOKUP($A2195, 'Medical Examinations'!$A:$A, 'Medical Examinations'!F:F, "No Data")</f>
        <v>No</v>
      </c>
      <c r="H2195" s="28">
        <f t="array" ref="H2195">_xlfn.XLOOKUP($A2195, 'Medical Examinations'!$A:$A, 'Medical Examinations'!G:G, "No Data")</f>
        <v>1</v>
      </c>
      <c r="I2195" s="28" t="str">
        <f t="array" ref="I2195">_xlfn.XLOOKUP($A2195, 'Medical Examinations'!$A:$A, 'Medical Examinations'!H:H, "No Data")</f>
        <v>No</v>
      </c>
      <c r="J2195" s="28" t="str">
        <f t="array" ref="J2195">_xlfn.XLOOKUP($A2195, 'Medical Examinations'!$A:$A, 'Medical Examinations'!I:I, "No Data")</f>
        <v>Normal Weight</v>
      </c>
      <c r="K2195" s="28" t="str">
        <f t="array" ref="K2195">_xlfn.XLOOKUP($A2195, 'Hospitalisation Details'!$A:$A, 'Hospitalisation Details'!I:I, "No Data")</f>
        <v>tier - 3</v>
      </c>
      <c r="L2195" s="28" t="str">
        <f t="array" ref="L2195">_xlfn.XLOOKUP($A2195, 'Hospitalisation Details'!$A:$A, 'Hospitalisation Details'!J:J, "No Data")</f>
        <v>R1019</v>
      </c>
      <c r="M2195" s="28" t="str">
        <f t="array" ref="M2195">_xlfn.XLOOKUP($A2195, 'Hospitalisation Details'!$A:$A, 'Hospitalisation Details'!E:E, "No Data")</f>
        <v>10/12/04</v>
      </c>
      <c r="N2195" s="28">
        <f t="array" ref="N2195">_xlfn.XLOOKUP($A2195, 'Hospitalisation Details'!$A:$A, 'Hospitalisation Details'!K:K, "No Data")</f>
        <v>18</v>
      </c>
      <c r="O2195" s="33">
        <f t="array" ref="O2195">_xlfn.XLOOKUP($A2195, 'Hospitalisation Details'!$A:$A, 'Hospitalisation Details'!G:G, "No Data")</f>
        <v>1702.46</v>
      </c>
      <c r="P2195" s="28" t="str">
        <f t="array" ref="P2195">_xlfn.XLOOKUP($A2195, 'Hospitalisation Details'!$A:$A, 'Hospitalisation Details'!H:H, "No Data")</f>
        <v>tier - 2</v>
      </c>
    </row>
    <row r="2196">
      <c r="A2196" s="25" t="s">
        <v>1409</v>
      </c>
      <c r="B2196" s="28" t="str">
        <f t="array" ref="B2196">_xlfn.XLOOKUP($A2196, 'Customer Names'!$A:$A, 'Customer Names'!B:B, "No Data")</f>
        <v>Penny</v>
      </c>
      <c r="C2196" s="28">
        <f t="array" ref="C2196">_xlfn.XLOOKUP($A2196, 'Medical Examinations'!$A:$A, 'Medical Examinations'!B:B, "No Data")</f>
        <v>15.96</v>
      </c>
      <c r="D2196" s="28">
        <f t="array" ref="D2196">_xlfn.XLOOKUP($A2196, 'Medical Examinations'!$A:$A, 'Medical Examinations'!C:C, "No Data")</f>
        <v>5.44</v>
      </c>
      <c r="E2196" s="28" t="str">
        <f t="array" ref="E2196">_xlfn.XLOOKUP($A2196, 'Medical Examinations'!$A:$A, 'Medical Examinations'!D:D, "No Data")</f>
        <v>No</v>
      </c>
      <c r="F2196" s="28" t="str">
        <f t="array" ref="F2196">_xlfn.XLOOKUP($A2196, 'Medical Examinations'!$A:$A, 'Medical Examinations'!E:E, "No Data")</f>
        <v>yes</v>
      </c>
      <c r="G2196" s="28" t="str">
        <f t="array" ref="G2196">_xlfn.XLOOKUP($A2196, 'Medical Examinations'!$A:$A, 'Medical Examinations'!F:F, "No Data")</f>
        <v>No</v>
      </c>
      <c r="H2196" s="28">
        <f t="array" ref="H2196">_xlfn.XLOOKUP($A2196, 'Medical Examinations'!$A:$A, 'Medical Examinations'!G:G, "No Data")</f>
        <v>1</v>
      </c>
      <c r="I2196" s="28" t="str">
        <f t="array" ref="I2196">_xlfn.XLOOKUP($A2196, 'Medical Examinations'!$A:$A, 'Medical Examinations'!H:H, "No Data")</f>
        <v>No</v>
      </c>
      <c r="J2196" s="28" t="str">
        <f t="array" ref="J2196">_xlfn.XLOOKUP($A2196, 'Medical Examinations'!$A:$A, 'Medical Examinations'!I:I, "No Data")</f>
        <v>Underweight</v>
      </c>
      <c r="K2196" s="28" t="str">
        <f t="array" ref="K2196">_xlfn.XLOOKUP($A2196, 'Hospitalisation Details'!$A:$A, 'Hospitalisation Details'!I:I, "No Data")</f>
        <v>tier - 2</v>
      </c>
      <c r="L2196" s="28" t="str">
        <f t="array" ref="L2196">_xlfn.XLOOKUP($A2196, 'Hospitalisation Details'!$A:$A, 'Hospitalisation Details'!J:J, "No Data")</f>
        <v>R1015</v>
      </c>
      <c r="M2196" s="28" t="str">
        <f t="array" ref="M2196">_xlfn.XLOOKUP($A2196, 'Hospitalisation Details'!$A:$A, 'Hospitalisation Details'!E:E, "No Data")</f>
        <v>17/11/04</v>
      </c>
      <c r="N2196" s="28">
        <f t="array" ref="N2196">_xlfn.XLOOKUP($A2196, 'Hospitalisation Details'!$A:$A, 'Hospitalisation Details'!K:K, "No Data")</f>
        <v>18</v>
      </c>
      <c r="O2196" s="33">
        <f t="array" ref="O2196">_xlfn.XLOOKUP($A2196, 'Hospitalisation Details'!$A:$A, 'Hospitalisation Details'!G:G, "No Data")</f>
        <v>1694.8</v>
      </c>
      <c r="P2196" s="28" t="str">
        <f t="array" ref="P2196">_xlfn.XLOOKUP($A2196, 'Hospitalisation Details'!$A:$A, 'Hospitalisation Details'!H:H, "No Data")</f>
        <v>tier - 2</v>
      </c>
    </row>
    <row r="2197">
      <c r="A2197" s="25" t="s">
        <v>1405</v>
      </c>
      <c r="B2197" s="28" t="str">
        <f t="array" ref="B2197">_xlfn.XLOOKUP($A2197, 'Customer Names'!$A:$A, 'Customer Names'!B:B, "No Data")</f>
        <v>Hicks</v>
      </c>
      <c r="C2197" s="28">
        <f t="array" ref="C2197">_xlfn.XLOOKUP($A2197, 'Medical Examinations'!$A:$A, 'Medical Examinations'!B:B, "No Data")</f>
        <v>39.5</v>
      </c>
      <c r="D2197" s="28">
        <f t="array" ref="D2197">_xlfn.XLOOKUP($A2197, 'Medical Examinations'!$A:$A, 'Medical Examinations'!C:C, "No Data")</f>
        <v>5.05</v>
      </c>
      <c r="E2197" s="28" t="str">
        <f t="array" ref="E2197">_xlfn.XLOOKUP($A2197, 'Medical Examinations'!$A:$A, 'Medical Examinations'!D:D, "No Data")</f>
        <v>No</v>
      </c>
      <c r="F2197" s="28" t="str">
        <f t="array" ref="F2197">_xlfn.XLOOKUP($A2197, 'Medical Examinations'!$A:$A, 'Medical Examinations'!E:E, "No Data")</f>
        <v>yes</v>
      </c>
      <c r="G2197" s="28" t="str">
        <f t="array" ref="G2197">_xlfn.XLOOKUP($A2197, 'Medical Examinations'!$A:$A, 'Medical Examinations'!F:F, "No Data")</f>
        <v>No</v>
      </c>
      <c r="H2197" s="28">
        <f t="array" ref="H2197">_xlfn.XLOOKUP($A2197, 'Medical Examinations'!$A:$A, 'Medical Examinations'!G:G, "No Data")</f>
        <v>1</v>
      </c>
      <c r="I2197" s="28" t="str">
        <f t="array" ref="I2197">_xlfn.XLOOKUP($A2197, 'Medical Examinations'!$A:$A, 'Medical Examinations'!H:H, "No Data")</f>
        <v>No</v>
      </c>
      <c r="J2197" s="28" t="str">
        <f t="array" ref="J2197">_xlfn.XLOOKUP($A2197, 'Medical Examinations'!$A:$A, 'Medical Examinations'!I:I, "No Data")</f>
        <v>Obesity</v>
      </c>
      <c r="K2197" s="28" t="str">
        <f t="array" ref="K2197">_xlfn.XLOOKUP($A2197, 'Hospitalisation Details'!$A:$A, 'Hospitalisation Details'!I:I, "No Data")</f>
        <v>tier - 2</v>
      </c>
      <c r="L2197" s="28" t="str">
        <f t="array" ref="L2197">_xlfn.XLOOKUP($A2197, 'Hospitalisation Details'!$A:$A, 'Hospitalisation Details'!J:J, "No Data")</f>
        <v>R1011</v>
      </c>
      <c r="M2197" s="28" t="str">
        <f t="array" ref="M2197">_xlfn.XLOOKUP($A2197, 'Hospitalisation Details'!$A:$A, 'Hospitalisation Details'!E:E, "No Data")</f>
        <v>21/10/00</v>
      </c>
      <c r="N2197" s="28">
        <f t="array" ref="N2197">_xlfn.XLOOKUP($A2197, 'Hospitalisation Details'!$A:$A, 'Hospitalisation Details'!K:K, "No Data")</f>
        <v>22</v>
      </c>
      <c r="O2197" s="33">
        <f t="array" ref="O2197">_xlfn.XLOOKUP($A2197, 'Hospitalisation Details'!$A:$A, 'Hospitalisation Details'!G:G, "No Data")</f>
        <v>1682.6</v>
      </c>
      <c r="P2197" s="28" t="str">
        <f t="array" ref="P2197">_xlfn.XLOOKUP($A2197, 'Hospitalisation Details'!$A:$A, 'Hospitalisation Details'!H:H, "No Data")</f>
        <v>tier - 2</v>
      </c>
    </row>
    <row r="2198">
      <c r="A2198" s="25" t="s">
        <v>1401</v>
      </c>
      <c r="B2198" s="28" t="str">
        <f t="array" ref="B2198">_xlfn.XLOOKUP($A2198, 'Customer Names'!$A:$A, 'Customer Names'!B:B, "No Data")</f>
        <v>Masayesva</v>
      </c>
      <c r="C2198" s="28">
        <f t="array" ref="C2198">_xlfn.XLOOKUP($A2198, 'Medical Examinations'!$A:$A, 'Medical Examinations'!B:B, "No Data")</f>
        <v>33.77</v>
      </c>
      <c r="D2198" s="28">
        <f t="array" ref="D2198">_xlfn.XLOOKUP($A2198, 'Medical Examinations'!$A:$A, 'Medical Examinations'!C:C, "No Data")</f>
        <v>6</v>
      </c>
      <c r="E2198" s="28" t="str">
        <f t="array" ref="E2198">_xlfn.XLOOKUP($A2198, 'Medical Examinations'!$A:$A, 'Medical Examinations'!D:D, "No Data")</f>
        <v>No</v>
      </c>
      <c r="F2198" s="28" t="str">
        <f t="array" ref="F2198">_xlfn.XLOOKUP($A2198, 'Medical Examinations'!$A:$A, 'Medical Examinations'!E:E, "No Data")</f>
        <v>yes</v>
      </c>
      <c r="G2198" s="28" t="str">
        <f t="array" ref="G2198">_xlfn.XLOOKUP($A2198, 'Medical Examinations'!$A:$A, 'Medical Examinations'!F:F, "No Data")</f>
        <v>No</v>
      </c>
      <c r="H2198" s="28">
        <f t="array" ref="H2198">_xlfn.XLOOKUP($A2198, 'Medical Examinations'!$A:$A, 'Medical Examinations'!G:G, "No Data")</f>
        <v>1</v>
      </c>
      <c r="I2198" s="28" t="str">
        <f t="array" ref="I2198">_xlfn.XLOOKUP($A2198, 'Medical Examinations'!$A:$A, 'Medical Examinations'!H:H, "No Data")</f>
        <v>No</v>
      </c>
      <c r="J2198" s="28" t="str">
        <f t="array" ref="J2198">_xlfn.XLOOKUP($A2198, 'Medical Examinations'!$A:$A, 'Medical Examinations'!I:I, "No Data")</f>
        <v>Obesity</v>
      </c>
      <c r="K2198" s="28" t="str">
        <f t="array" ref="K2198">_xlfn.XLOOKUP($A2198, 'Hospitalisation Details'!$A:$A, 'Hospitalisation Details'!I:I, "No Data")</f>
        <v>tier - 2</v>
      </c>
      <c r="L2198" s="28" t="str">
        <f t="array" ref="L2198">_xlfn.XLOOKUP($A2198, 'Hospitalisation Details'!$A:$A, 'Hospitalisation Details'!J:J, "No Data")</f>
        <v>R1013</v>
      </c>
      <c r="M2198" s="28" t="str">
        <f t="array" ref="M2198">_xlfn.XLOOKUP($A2198, 'Hospitalisation Details'!$A:$A, 'Hospitalisation Details'!E:E, "No Data")</f>
        <v>10/06/00</v>
      </c>
      <c r="N2198" s="28">
        <f t="array" ref="N2198">_xlfn.XLOOKUP($A2198, 'Hospitalisation Details'!$A:$A, 'Hospitalisation Details'!K:K, "No Data")</f>
        <v>22</v>
      </c>
      <c r="O2198" s="33">
        <f t="array" ref="O2198">_xlfn.XLOOKUP($A2198, 'Hospitalisation Details'!$A:$A, 'Hospitalisation Details'!G:G, "No Data")</f>
        <v>1674.63</v>
      </c>
      <c r="P2198" s="28" t="str">
        <f t="array" ref="P2198">_xlfn.XLOOKUP($A2198, 'Hospitalisation Details'!$A:$A, 'Hospitalisation Details'!H:H, "No Data")</f>
        <v>tier - 2</v>
      </c>
    </row>
    <row r="2199">
      <c r="A2199" s="25" t="s">
        <v>1396</v>
      </c>
      <c r="B2199" s="28" t="str">
        <f t="array" ref="B2199">_xlfn.XLOOKUP($A2199, 'Customer Names'!$A:$A, 'Customer Names'!B:B, "No Data")</f>
        <v>Paavola</v>
      </c>
      <c r="C2199" s="28">
        <f t="array" ref="C2199">_xlfn.XLOOKUP($A2199, 'Medical Examinations'!$A:$A, 'Medical Examinations'!B:B, "No Data")</f>
        <v>26.84</v>
      </c>
      <c r="D2199" s="28">
        <f t="array" ref="D2199">_xlfn.XLOOKUP($A2199, 'Medical Examinations'!$A:$A, 'Medical Examinations'!C:C, "No Data")</f>
        <v>5.99</v>
      </c>
      <c r="E2199" s="28" t="str">
        <f t="array" ref="E2199">_xlfn.XLOOKUP($A2199, 'Medical Examinations'!$A:$A, 'Medical Examinations'!D:D, "No Data")</f>
        <v>yes</v>
      </c>
      <c r="F2199" s="28" t="str">
        <f t="array" ref="F2199">_xlfn.XLOOKUP($A2199, 'Medical Examinations'!$A:$A, 'Medical Examinations'!E:E, "No Data")</f>
        <v>yes</v>
      </c>
      <c r="G2199" s="28" t="str">
        <f t="array" ref="G2199">_xlfn.XLOOKUP($A2199, 'Medical Examinations'!$A:$A, 'Medical Examinations'!F:F, "No Data")</f>
        <v>No</v>
      </c>
      <c r="H2199" s="28">
        <f t="array" ref="H2199">_xlfn.XLOOKUP($A2199, 'Medical Examinations'!$A:$A, 'Medical Examinations'!G:G, "No Data")</f>
        <v>1</v>
      </c>
      <c r="I2199" s="28" t="str">
        <f t="array" ref="I2199">_xlfn.XLOOKUP($A2199, 'Medical Examinations'!$A:$A, 'Medical Examinations'!H:H, "No Data")</f>
        <v>No</v>
      </c>
      <c r="J2199" s="28" t="str">
        <f t="array" ref="J2199">_xlfn.XLOOKUP($A2199, 'Medical Examinations'!$A:$A, 'Medical Examinations'!I:I, "No Data")</f>
        <v>Overweight</v>
      </c>
      <c r="K2199" s="28" t="str">
        <f t="array" ref="K2199">_xlfn.XLOOKUP($A2199, 'Hospitalisation Details'!$A:$A, 'Hospitalisation Details'!I:I, "No Data")</f>
        <v>tier - 2</v>
      </c>
      <c r="L2199" s="28" t="str">
        <f t="array" ref="L2199">_xlfn.XLOOKUP($A2199, 'Hospitalisation Details'!$A:$A, 'Hospitalisation Details'!J:J, "No Data")</f>
        <v>R1013</v>
      </c>
      <c r="M2199" s="28" t="str">
        <f t="array" ref="M2199">_xlfn.XLOOKUP($A2199, 'Hospitalisation Details'!$A:$A, 'Hospitalisation Details'!E:E, "No Data")</f>
        <v>23/10/00</v>
      </c>
      <c r="N2199" s="28">
        <f t="array" ref="N2199">_xlfn.XLOOKUP($A2199, 'Hospitalisation Details'!$A:$A, 'Hospitalisation Details'!K:K, "No Data")</f>
        <v>22</v>
      </c>
      <c r="O2199" s="33">
        <f t="array" ref="O2199">_xlfn.XLOOKUP($A2199, 'Hospitalisation Details'!$A:$A, 'Hospitalisation Details'!G:G, "No Data")</f>
        <v>1665</v>
      </c>
      <c r="P2199" s="28" t="str">
        <f t="array" ref="P2199">_xlfn.XLOOKUP($A2199, 'Hospitalisation Details'!$A:$A, 'Hospitalisation Details'!H:H, "No Data")</f>
        <v>tier - 2</v>
      </c>
    </row>
    <row r="2200">
      <c r="A2200" s="25" t="s">
        <v>1392</v>
      </c>
      <c r="B2200" s="28" t="str">
        <f t="array" ref="B2200">_xlfn.XLOOKUP($A2200, 'Customer Names'!$A:$A, 'Customer Names'!B:B, "No Data")</f>
        <v>Gehlsen</v>
      </c>
      <c r="C2200" s="28">
        <f t="array" ref="C2200">_xlfn.XLOOKUP($A2200, 'Medical Examinations'!$A:$A, 'Medical Examinations'!B:B, "No Data")</f>
        <v>35.53</v>
      </c>
      <c r="D2200" s="28">
        <f t="array" ref="D2200">_xlfn.XLOOKUP($A2200, 'Medical Examinations'!$A:$A, 'Medical Examinations'!C:C, "No Data")</f>
        <v>4.36</v>
      </c>
      <c r="E2200" s="28" t="str">
        <f t="array" ref="E2200">_xlfn.XLOOKUP($A2200, 'Medical Examinations'!$A:$A, 'Medical Examinations'!D:D, "No Data")</f>
        <v>No</v>
      </c>
      <c r="F2200" s="28" t="str">
        <f t="array" ref="F2200">_xlfn.XLOOKUP($A2200, 'Medical Examinations'!$A:$A, 'Medical Examinations'!E:E, "No Data")</f>
        <v>No</v>
      </c>
      <c r="G2200" s="28" t="str">
        <f t="array" ref="G2200">_xlfn.XLOOKUP($A2200, 'Medical Examinations'!$A:$A, 'Medical Examinations'!F:F, "No Data")</f>
        <v>Yes</v>
      </c>
      <c r="H2200" s="28">
        <f t="array" ref="H2200">_xlfn.XLOOKUP($A2200, 'Medical Examinations'!$A:$A, 'Medical Examinations'!G:G, "No Data")</f>
        <v>1</v>
      </c>
      <c r="I2200" s="28" t="str">
        <f t="array" ref="I2200">_xlfn.XLOOKUP($A2200, 'Medical Examinations'!$A:$A, 'Medical Examinations'!H:H, "No Data")</f>
        <v>No</v>
      </c>
      <c r="J2200" s="28" t="str">
        <f t="array" ref="J2200">_xlfn.XLOOKUP($A2200, 'Medical Examinations'!$A:$A, 'Medical Examinations'!I:I, "No Data")</f>
        <v>Obesity</v>
      </c>
      <c r="K2200" s="28" t="str">
        <f t="array" ref="K2200">_xlfn.XLOOKUP($A2200, 'Hospitalisation Details'!$A:$A, 'Hospitalisation Details'!I:I, "No Data")</f>
        <v>tier - 1</v>
      </c>
      <c r="L2200" s="28" t="str">
        <f t="array" ref="L2200">_xlfn.XLOOKUP($A2200, 'Hospitalisation Details'!$A:$A, 'Hospitalisation Details'!J:J, "No Data")</f>
        <v>R1012</v>
      </c>
      <c r="M2200" s="28" t="str">
        <f t="array" ref="M2200">_xlfn.XLOOKUP($A2200, 'Hospitalisation Details'!$A:$A, 'Hospitalisation Details'!E:E, "No Data")</f>
        <v>30/12/03</v>
      </c>
      <c r="N2200" s="28">
        <f t="array" ref="N2200">_xlfn.XLOOKUP($A2200, 'Hospitalisation Details'!$A:$A, 'Hospitalisation Details'!K:K, "No Data")</f>
        <v>19</v>
      </c>
      <c r="O2200" s="33">
        <f t="array" ref="O2200">_xlfn.XLOOKUP($A2200, 'Hospitalisation Details'!$A:$A, 'Hospitalisation Details'!G:G, "No Data")</f>
        <v>1646.43</v>
      </c>
      <c r="P2200" s="28" t="str">
        <f t="array" ref="P2200">_xlfn.XLOOKUP($A2200, 'Hospitalisation Details'!$A:$A, 'Hospitalisation Details'!H:H, "No Data")</f>
        <v>tier - 2</v>
      </c>
    </row>
    <row r="2201">
      <c r="A2201" s="25" t="s">
        <v>1388</v>
      </c>
      <c r="B2201" s="28" t="str">
        <f t="array" ref="B2201">_xlfn.XLOOKUP($A2201, 'Customer Names'!$A:$A, 'Customer Names'!B:B, "No Data")</f>
        <v>Roche</v>
      </c>
      <c r="C2201" s="28">
        <f t="array" ref="C2201">_xlfn.XLOOKUP($A2201, 'Medical Examinations'!$A:$A, 'Medical Examinations'!B:B, "No Data")</f>
        <v>30.59</v>
      </c>
      <c r="D2201" s="28">
        <f t="array" ref="D2201">_xlfn.XLOOKUP($A2201, 'Medical Examinations'!$A:$A, 'Medical Examinations'!C:C, "No Data")</f>
        <v>4.41</v>
      </c>
      <c r="E2201" s="28" t="str">
        <f t="array" ref="E2201">_xlfn.XLOOKUP($A2201, 'Medical Examinations'!$A:$A, 'Medical Examinations'!D:D, "No Data")</f>
        <v>No</v>
      </c>
      <c r="F2201" s="28" t="str">
        <f t="array" ref="F2201">_xlfn.XLOOKUP($A2201, 'Medical Examinations'!$A:$A, 'Medical Examinations'!E:E, "No Data")</f>
        <v>No</v>
      </c>
      <c r="G2201" s="28" t="str">
        <f t="array" ref="G2201">_xlfn.XLOOKUP($A2201, 'Medical Examinations'!$A:$A, 'Medical Examinations'!F:F, "No Data")</f>
        <v>Yes</v>
      </c>
      <c r="H2201" s="28">
        <f t="array" ref="H2201">_xlfn.XLOOKUP($A2201, 'Medical Examinations'!$A:$A, 'Medical Examinations'!G:G, "No Data")</f>
        <v>1</v>
      </c>
      <c r="I2201" s="28" t="str">
        <f t="array" ref="I2201">_xlfn.XLOOKUP($A2201, 'Medical Examinations'!$A:$A, 'Medical Examinations'!H:H, "No Data")</f>
        <v>No</v>
      </c>
      <c r="J2201" s="28" t="str">
        <f t="array" ref="J2201">_xlfn.XLOOKUP($A2201, 'Medical Examinations'!$A:$A, 'Medical Examinations'!I:I, "No Data")</f>
        <v>Obesity</v>
      </c>
      <c r="K2201" s="28" t="str">
        <f t="array" ref="K2201">_xlfn.XLOOKUP($A2201, 'Hospitalisation Details'!$A:$A, 'Hospitalisation Details'!I:I, "No Data")</f>
        <v>tier - 2</v>
      </c>
      <c r="L2201" s="28" t="str">
        <f t="array" ref="L2201">_xlfn.XLOOKUP($A2201, 'Hospitalisation Details'!$A:$A, 'Hospitalisation Details'!J:J, "No Data")</f>
        <v>R1012</v>
      </c>
      <c r="M2201" s="28" t="str">
        <f t="array" ref="M2201">_xlfn.XLOOKUP($A2201, 'Hospitalisation Details'!$A:$A, 'Hospitalisation Details'!E:E, "No Data")</f>
        <v>21/08/03</v>
      </c>
      <c r="N2201" s="28">
        <f t="array" ref="N2201">_xlfn.XLOOKUP($A2201, 'Hospitalisation Details'!$A:$A, 'Hospitalisation Details'!K:K, "No Data")</f>
        <v>19</v>
      </c>
      <c r="O2201" s="33">
        <f t="array" ref="O2201">_xlfn.XLOOKUP($A2201, 'Hospitalisation Details'!$A:$A, 'Hospitalisation Details'!G:G, "No Data")</f>
        <v>1639.56</v>
      </c>
      <c r="P2201" s="28" t="str">
        <f t="array" ref="P2201">_xlfn.XLOOKUP($A2201, 'Hospitalisation Details'!$A:$A, 'Hospitalisation Details'!H:H, "No Data")</f>
        <v>tier - 2</v>
      </c>
    </row>
    <row r="2202">
      <c r="A2202" s="25" t="s">
        <v>1384</v>
      </c>
      <c r="B2202" s="28" t="str">
        <f t="array" ref="B2202">_xlfn.XLOOKUP($A2202, 'Customer Names'!$A:$A, 'Customer Names'!B:B, "No Data")</f>
        <v>Hearn</v>
      </c>
      <c r="C2202" s="28">
        <f t="array" ref="C2202">_xlfn.XLOOKUP($A2202, 'Medical Examinations'!$A:$A, 'Medical Examinations'!B:B, "No Data")</f>
        <v>30.59</v>
      </c>
      <c r="D2202" s="28">
        <f t="array" ref="D2202">_xlfn.XLOOKUP($A2202, 'Medical Examinations'!$A:$A, 'Medical Examinations'!C:C, "No Data")</f>
        <v>4.17</v>
      </c>
      <c r="E2202" s="28" t="str">
        <f t="array" ref="E2202">_xlfn.XLOOKUP($A2202, 'Medical Examinations'!$A:$A, 'Medical Examinations'!D:D, "No Data")</f>
        <v>No</v>
      </c>
      <c r="F2202" s="28" t="str">
        <f t="array" ref="F2202">_xlfn.XLOOKUP($A2202, 'Medical Examinations'!$A:$A, 'Medical Examinations'!E:E, "No Data")</f>
        <v>No</v>
      </c>
      <c r="G2202" s="28" t="str">
        <f t="array" ref="G2202">_xlfn.XLOOKUP($A2202, 'Medical Examinations'!$A:$A, 'Medical Examinations'!F:F, "No Data")</f>
        <v>Yes</v>
      </c>
      <c r="H2202" s="28">
        <f t="array" ref="H2202">_xlfn.XLOOKUP($A2202, 'Medical Examinations'!$A:$A, 'Medical Examinations'!G:G, "No Data")</f>
        <v>1</v>
      </c>
      <c r="I2202" s="28" t="str">
        <f t="array" ref="I2202">_xlfn.XLOOKUP($A2202, 'Medical Examinations'!$A:$A, 'Medical Examinations'!H:H, "No Data")</f>
        <v>No</v>
      </c>
      <c r="J2202" s="28" t="str">
        <f t="array" ref="J2202">_xlfn.XLOOKUP($A2202, 'Medical Examinations'!$A:$A, 'Medical Examinations'!I:I, "No Data")</f>
        <v>Obesity</v>
      </c>
      <c r="K2202" s="28" t="str">
        <f t="array" ref="K2202">_xlfn.XLOOKUP($A2202, 'Hospitalisation Details'!$A:$A, 'Hospitalisation Details'!I:I, "No Data")</f>
        <v>tier - 2</v>
      </c>
      <c r="L2202" s="28" t="str">
        <f t="array" ref="L2202">_xlfn.XLOOKUP($A2202, 'Hospitalisation Details'!$A:$A, 'Hospitalisation Details'!J:J, "No Data")</f>
        <v>R1012</v>
      </c>
      <c r="M2202" s="28" t="str">
        <f t="array" ref="M2202">_xlfn.XLOOKUP($A2202, 'Hospitalisation Details'!$A:$A, 'Hospitalisation Details'!E:E, "No Data")</f>
        <v>16/09/03</v>
      </c>
      <c r="N2202" s="28">
        <f t="array" ref="N2202">_xlfn.XLOOKUP($A2202, 'Hospitalisation Details'!$A:$A, 'Hospitalisation Details'!K:K, "No Data")</f>
        <v>19</v>
      </c>
      <c r="O2202" s="33">
        <f t="array" ref="O2202">_xlfn.XLOOKUP($A2202, 'Hospitalisation Details'!$A:$A, 'Hospitalisation Details'!G:G, "No Data")</f>
        <v>1639.56</v>
      </c>
      <c r="P2202" s="28" t="str">
        <f t="array" ref="P2202">_xlfn.XLOOKUP($A2202, 'Hospitalisation Details'!$A:$A, 'Hospitalisation Details'!H:H, "No Data")</f>
        <v>tier - 2</v>
      </c>
    </row>
    <row r="2203">
      <c r="A2203" s="25" t="s">
        <v>1380</v>
      </c>
      <c r="B2203" s="28" t="str">
        <f t="array" ref="B2203">_xlfn.XLOOKUP($A2203, 'Customer Names'!$A:$A, 'Customer Names'!B:B, "No Data")</f>
        <v>Dimson</v>
      </c>
      <c r="C2203" s="28">
        <f t="array" ref="C2203">_xlfn.XLOOKUP($A2203, 'Medical Examinations'!$A:$A, 'Medical Examinations'!B:B, "No Data")</f>
        <v>27.835</v>
      </c>
      <c r="D2203" s="28">
        <f t="array" ref="D2203">_xlfn.XLOOKUP($A2203, 'Medical Examinations'!$A:$A, 'Medical Examinations'!C:C, "No Data")</f>
        <v>4.44</v>
      </c>
      <c r="E2203" s="28" t="str">
        <f t="array" ref="E2203">_xlfn.XLOOKUP($A2203, 'Medical Examinations'!$A:$A, 'Medical Examinations'!D:D, "No Data")</f>
        <v>No</v>
      </c>
      <c r="F2203" s="28" t="str">
        <f t="array" ref="F2203">_xlfn.XLOOKUP($A2203, 'Medical Examinations'!$A:$A, 'Medical Examinations'!E:E, "No Data")</f>
        <v>No</v>
      </c>
      <c r="G2203" s="28" t="str">
        <f t="array" ref="G2203">_xlfn.XLOOKUP($A2203, 'Medical Examinations'!$A:$A, 'Medical Examinations'!F:F, "No Data")</f>
        <v>Yes</v>
      </c>
      <c r="H2203" s="28">
        <f t="array" ref="H2203">_xlfn.XLOOKUP($A2203, 'Medical Examinations'!$A:$A, 'Medical Examinations'!G:G, "No Data")</f>
        <v>1</v>
      </c>
      <c r="I2203" s="28" t="str">
        <f t="array" ref="I2203">_xlfn.XLOOKUP($A2203, 'Medical Examinations'!$A:$A, 'Medical Examinations'!H:H, "No Data")</f>
        <v>No</v>
      </c>
      <c r="J2203" s="28" t="str">
        <f t="array" ref="J2203">_xlfn.XLOOKUP($A2203, 'Medical Examinations'!$A:$A, 'Medical Examinations'!I:I, "No Data")</f>
        <v>Overweight</v>
      </c>
      <c r="K2203" s="28" t="str">
        <f t="array" ref="K2203">_xlfn.XLOOKUP($A2203, 'Hospitalisation Details'!$A:$A, 'Hospitalisation Details'!I:I, "No Data")</f>
        <v>tier - 3</v>
      </c>
      <c r="L2203" s="28" t="str">
        <f t="array" ref="L2203">_xlfn.XLOOKUP($A2203, 'Hospitalisation Details'!$A:$A, 'Hospitalisation Details'!J:J, "No Data")</f>
        <v>R1012</v>
      </c>
      <c r="M2203" s="28" t="str">
        <f t="array" ref="M2203">_xlfn.XLOOKUP($A2203, 'Hospitalisation Details'!$A:$A, 'Hospitalisation Details'!E:E, "No Data")</f>
        <v>30/12/03</v>
      </c>
      <c r="N2203" s="28">
        <f t="array" ref="N2203">_xlfn.XLOOKUP($A2203, 'Hospitalisation Details'!$A:$A, 'Hospitalisation Details'!K:K, "No Data")</f>
        <v>19</v>
      </c>
      <c r="O2203" s="33">
        <f t="array" ref="O2203">_xlfn.XLOOKUP($A2203, 'Hospitalisation Details'!$A:$A, 'Hospitalisation Details'!G:G, "No Data")</f>
        <v>1635.73</v>
      </c>
      <c r="P2203" s="28" t="str">
        <f t="array" ref="P2203">_xlfn.XLOOKUP($A2203, 'Hospitalisation Details'!$A:$A, 'Hospitalisation Details'!H:H, "No Data")</f>
        <v>tier - 2</v>
      </c>
    </row>
    <row r="2204">
      <c r="A2204" s="25" t="s">
        <v>1376</v>
      </c>
      <c r="B2204" s="28" t="str">
        <f t="array" ref="B2204">_xlfn.XLOOKUP($A2204, 'Customer Names'!$A:$A, 'Customer Names'!B:B, "No Data")</f>
        <v>Slason</v>
      </c>
      <c r="C2204" s="28">
        <f t="array" ref="C2204">_xlfn.XLOOKUP($A2204, 'Medical Examinations'!$A:$A, 'Medical Examinations'!B:B, "No Data")</f>
        <v>40.26</v>
      </c>
      <c r="D2204" s="28">
        <f t="array" ref="D2204">_xlfn.XLOOKUP($A2204, 'Medical Examinations'!$A:$A, 'Medical Examinations'!C:C, "No Data")</f>
        <v>5.52</v>
      </c>
      <c r="E2204" s="28" t="str">
        <f t="array" ref="E2204">_xlfn.XLOOKUP($A2204, 'Medical Examinations'!$A:$A, 'Medical Examinations'!D:D, "No Data")</f>
        <v>No</v>
      </c>
      <c r="F2204" s="28" t="str">
        <f t="array" ref="F2204">_xlfn.XLOOKUP($A2204, 'Medical Examinations'!$A:$A, 'Medical Examinations'!E:E, "No Data")</f>
        <v>yes</v>
      </c>
      <c r="G2204" s="28" t="str">
        <f t="array" ref="G2204">_xlfn.XLOOKUP($A2204, 'Medical Examinations'!$A:$A, 'Medical Examinations'!F:F, "No Data")</f>
        <v>No</v>
      </c>
      <c r="H2204" s="28">
        <f t="array" ref="H2204">_xlfn.XLOOKUP($A2204, 'Medical Examinations'!$A:$A, 'Medical Examinations'!G:G, "No Data")</f>
        <v>1</v>
      </c>
      <c r="I2204" s="28" t="str">
        <f t="array" ref="I2204">_xlfn.XLOOKUP($A2204, 'Medical Examinations'!$A:$A, 'Medical Examinations'!H:H, "No Data")</f>
        <v>No</v>
      </c>
      <c r="J2204" s="28" t="str">
        <f t="array" ref="J2204">_xlfn.XLOOKUP($A2204, 'Medical Examinations'!$A:$A, 'Medical Examinations'!I:I, "No Data")</f>
        <v>Obesity</v>
      </c>
      <c r="K2204" s="28" t="str">
        <f t="array" ref="K2204">_xlfn.XLOOKUP($A2204, 'Hospitalisation Details'!$A:$A, 'Hospitalisation Details'!I:I, "No Data")</f>
        <v>tier - 2</v>
      </c>
      <c r="L2204" s="28" t="str">
        <f t="array" ref="L2204">_xlfn.XLOOKUP($A2204, 'Hospitalisation Details'!$A:$A, 'Hospitalisation Details'!J:J, "No Data")</f>
        <v>R1013</v>
      </c>
      <c r="M2204" s="28" t="str">
        <f t="array" ref="M2204">_xlfn.XLOOKUP($A2204, 'Hospitalisation Details'!$A:$A, 'Hospitalisation Details'!E:E, "No Data")</f>
        <v>13/06/04</v>
      </c>
      <c r="N2204" s="28">
        <f t="array" ref="N2204">_xlfn.XLOOKUP($A2204, 'Hospitalisation Details'!$A:$A, 'Hospitalisation Details'!K:K, "No Data")</f>
        <v>18</v>
      </c>
      <c r="O2204" s="33">
        <f t="array" ref="O2204">_xlfn.XLOOKUP($A2204, 'Hospitalisation Details'!$A:$A, 'Hospitalisation Details'!G:G, "No Data")</f>
        <v>1634.57</v>
      </c>
      <c r="P2204" s="28" t="str">
        <f t="array" ref="P2204">_xlfn.XLOOKUP($A2204, 'Hospitalisation Details'!$A:$A, 'Hospitalisation Details'!H:H, "No Data")</f>
        <v>tier - 2</v>
      </c>
    </row>
    <row r="2205">
      <c r="A2205" s="25" t="s">
        <v>1371</v>
      </c>
      <c r="B2205" s="28" t="str">
        <f t="array" ref="B2205">_xlfn.XLOOKUP($A2205, 'Customer Names'!$A:$A, 'Customer Names'!B:B, "No Data")</f>
        <v>Gibson</v>
      </c>
      <c r="C2205" s="28">
        <f t="array" ref="C2205">_xlfn.XLOOKUP($A2205, 'Medical Examinations'!$A:$A, 'Medical Examinations'!B:B, "No Data")</f>
        <v>39.82</v>
      </c>
      <c r="D2205" s="28">
        <f t="array" ref="D2205">_xlfn.XLOOKUP($A2205, 'Medical Examinations'!$A:$A, 'Medical Examinations'!C:C, "No Data")</f>
        <v>6.01</v>
      </c>
      <c r="E2205" s="28" t="str">
        <f t="array" ref="E2205">_xlfn.XLOOKUP($A2205, 'Medical Examinations'!$A:$A, 'Medical Examinations'!D:D, "No Data")</f>
        <v>No</v>
      </c>
      <c r="F2205" s="28" t="str">
        <f t="array" ref="F2205">_xlfn.XLOOKUP($A2205, 'Medical Examinations'!$A:$A, 'Medical Examinations'!E:E, "No Data")</f>
        <v>yes</v>
      </c>
      <c r="G2205" s="28" t="str">
        <f t="array" ref="G2205">_xlfn.XLOOKUP($A2205, 'Medical Examinations'!$A:$A, 'Medical Examinations'!F:F, "No Data")</f>
        <v>No</v>
      </c>
      <c r="H2205" s="28">
        <f t="array" ref="H2205">_xlfn.XLOOKUP($A2205, 'Medical Examinations'!$A:$A, 'Medical Examinations'!G:G, "No Data")</f>
        <v>1</v>
      </c>
      <c r="I2205" s="28" t="str">
        <f t="array" ref="I2205">_xlfn.XLOOKUP($A2205, 'Medical Examinations'!$A:$A, 'Medical Examinations'!H:H, "No Data")</f>
        <v>No</v>
      </c>
      <c r="J2205" s="28" t="str">
        <f t="array" ref="J2205">_xlfn.XLOOKUP($A2205, 'Medical Examinations'!$A:$A, 'Medical Examinations'!I:I, "No Data")</f>
        <v>Obesity</v>
      </c>
      <c r="K2205" s="28" t="str">
        <f t="array" ref="K2205">_xlfn.XLOOKUP($A2205, 'Hospitalisation Details'!$A:$A, 'Hospitalisation Details'!I:I, "No Data")</f>
        <v>tier - 1</v>
      </c>
      <c r="L2205" s="28" t="str">
        <f t="array" ref="L2205">_xlfn.XLOOKUP($A2205, 'Hospitalisation Details'!$A:$A, 'Hospitalisation Details'!J:J, "No Data")</f>
        <v>R1013</v>
      </c>
      <c r="M2205" s="28" t="str">
        <f t="array" ref="M2205">_xlfn.XLOOKUP($A2205, 'Hospitalisation Details'!$A:$A, 'Hospitalisation Details'!E:E, "No Data")</f>
        <v>08/08/04</v>
      </c>
      <c r="N2205" s="28">
        <f t="array" ref="N2205">_xlfn.XLOOKUP($A2205, 'Hospitalisation Details'!$A:$A, 'Hospitalisation Details'!K:K, "No Data")</f>
        <v>18</v>
      </c>
      <c r="O2205" s="33">
        <f t="array" ref="O2205">_xlfn.XLOOKUP($A2205, 'Hospitalisation Details'!$A:$A, 'Hospitalisation Details'!G:G, "No Data")</f>
        <v>1633.96</v>
      </c>
      <c r="P2205" s="28" t="str">
        <f t="array" ref="P2205">_xlfn.XLOOKUP($A2205, 'Hospitalisation Details'!$A:$A, 'Hospitalisation Details'!H:H, "No Data")</f>
        <v>tier - 2</v>
      </c>
    </row>
    <row r="2206">
      <c r="A2206" s="25" t="s">
        <v>1369</v>
      </c>
      <c r="B2206" s="28" t="str">
        <f t="array" ref="B2206">_xlfn.XLOOKUP($A2206, 'Customer Names'!$A:$A, 'Customer Names'!B:B, "No Data")</f>
        <v>Erdos</v>
      </c>
      <c r="C2206" s="28">
        <f t="array" ref="C2206">_xlfn.XLOOKUP($A2206, 'Medical Examinations'!$A:$A, 'Medical Examinations'!B:B, "No Data")</f>
        <v>39.16</v>
      </c>
      <c r="D2206" s="28">
        <f t="array" ref="D2206">_xlfn.XLOOKUP($A2206, 'Medical Examinations'!$A:$A, 'Medical Examinations'!C:C, "No Data")</f>
        <v>5.81</v>
      </c>
      <c r="E2206" s="28" t="str">
        <f t="array" ref="E2206">_xlfn.XLOOKUP($A2206, 'Medical Examinations'!$A:$A, 'Medical Examinations'!D:D, "No Data")</f>
        <v>No</v>
      </c>
      <c r="F2206" s="28" t="str">
        <f t="array" ref="F2206">_xlfn.XLOOKUP($A2206, 'Medical Examinations'!$A:$A, 'Medical Examinations'!E:E, "No Data")</f>
        <v>yes</v>
      </c>
      <c r="G2206" s="28" t="str">
        <f t="array" ref="G2206">_xlfn.XLOOKUP($A2206, 'Medical Examinations'!$A:$A, 'Medical Examinations'!F:F, "No Data")</f>
        <v>No</v>
      </c>
      <c r="H2206" s="28">
        <f t="array" ref="H2206">_xlfn.XLOOKUP($A2206, 'Medical Examinations'!$A:$A, 'Medical Examinations'!G:G, "No Data")</f>
        <v>1</v>
      </c>
      <c r="I2206" s="28" t="str">
        <f t="array" ref="I2206">_xlfn.XLOOKUP($A2206, 'Medical Examinations'!$A:$A, 'Medical Examinations'!H:H, "No Data")</f>
        <v>No</v>
      </c>
      <c r="J2206" s="28" t="str">
        <f t="array" ref="J2206">_xlfn.XLOOKUP($A2206, 'Medical Examinations'!$A:$A, 'Medical Examinations'!I:I, "No Data")</f>
        <v>Obesity</v>
      </c>
      <c r="K2206" s="28" t="str">
        <f t="array" ref="K2206">_xlfn.XLOOKUP($A2206, 'Hospitalisation Details'!$A:$A, 'Hospitalisation Details'!I:I, "No Data")</f>
        <v>tier - 2</v>
      </c>
      <c r="L2206" s="28" t="str">
        <f t="array" ref="L2206">_xlfn.XLOOKUP($A2206, 'Hospitalisation Details'!$A:$A, 'Hospitalisation Details'!J:J, "No Data")</f>
        <v>R1013</v>
      </c>
      <c r="M2206" s="28" t="str">
        <f t="array" ref="M2206">_xlfn.XLOOKUP($A2206, 'Hospitalisation Details'!$A:$A, 'Hospitalisation Details'!E:E, "No Data")</f>
        <v>13/12/04</v>
      </c>
      <c r="N2206" s="28">
        <f t="array" ref="N2206">_xlfn.XLOOKUP($A2206, 'Hospitalisation Details'!$A:$A, 'Hospitalisation Details'!K:K, "No Data")</f>
        <v>18</v>
      </c>
      <c r="O2206" s="33">
        <f t="array" ref="O2206">_xlfn.XLOOKUP($A2206, 'Hospitalisation Details'!$A:$A, 'Hospitalisation Details'!G:G, "No Data")</f>
        <v>1633.04</v>
      </c>
      <c r="P2206" s="28" t="str">
        <f t="array" ref="P2206">_xlfn.XLOOKUP($A2206, 'Hospitalisation Details'!$A:$A, 'Hospitalisation Details'!H:H, "No Data")</f>
        <v>tier - 2</v>
      </c>
    </row>
    <row r="2207">
      <c r="A2207" s="25" t="s">
        <v>1364</v>
      </c>
      <c r="B2207" s="28" t="str">
        <f t="array" ref="B2207">_xlfn.XLOOKUP($A2207, 'Customer Names'!$A:$A, 'Customer Names'!B:B, "No Data")</f>
        <v>Cushman</v>
      </c>
      <c r="C2207" s="28">
        <f t="array" ref="C2207">_xlfn.XLOOKUP($A2207, 'Medical Examinations'!$A:$A, 'Medical Examinations'!B:B, "No Data")</f>
        <v>25.555</v>
      </c>
      <c r="D2207" s="28">
        <f t="array" ref="D2207">_xlfn.XLOOKUP($A2207, 'Medical Examinations'!$A:$A, 'Medical Examinations'!C:C, "No Data")</f>
        <v>4.37</v>
      </c>
      <c r="E2207" s="28" t="str">
        <f t="array" ref="E2207">_xlfn.XLOOKUP($A2207, 'Medical Examinations'!$A:$A, 'Medical Examinations'!D:D, "No Data")</f>
        <v>No</v>
      </c>
      <c r="F2207" s="28" t="str">
        <f t="array" ref="F2207">_xlfn.XLOOKUP($A2207, 'Medical Examinations'!$A:$A, 'Medical Examinations'!E:E, "No Data")</f>
        <v>No</v>
      </c>
      <c r="G2207" s="28" t="str">
        <f t="array" ref="G2207">_xlfn.XLOOKUP($A2207, 'Medical Examinations'!$A:$A, 'Medical Examinations'!F:F, "No Data")</f>
        <v>Yes</v>
      </c>
      <c r="H2207" s="28">
        <f t="array" ref="H2207">_xlfn.XLOOKUP($A2207, 'Medical Examinations'!$A:$A, 'Medical Examinations'!G:G, "No Data")</f>
        <v>1</v>
      </c>
      <c r="I2207" s="28" t="str">
        <f t="array" ref="I2207">_xlfn.XLOOKUP($A2207, 'Medical Examinations'!$A:$A, 'Medical Examinations'!H:H, "No Data")</f>
        <v>No</v>
      </c>
      <c r="J2207" s="28" t="str">
        <f t="array" ref="J2207">_xlfn.XLOOKUP($A2207, 'Medical Examinations'!$A:$A, 'Medical Examinations'!I:I, "No Data")</f>
        <v>Overweight</v>
      </c>
      <c r="K2207" s="28" t="str">
        <f t="array" ref="K2207">_xlfn.XLOOKUP($A2207, 'Hospitalisation Details'!$A:$A, 'Hospitalisation Details'!I:I, "No Data")</f>
        <v>tier - 2</v>
      </c>
      <c r="L2207" s="28" t="str">
        <f t="array" ref="L2207">_xlfn.XLOOKUP($A2207, 'Hospitalisation Details'!$A:$A, 'Hospitalisation Details'!J:J, "No Data")</f>
        <v>R1012</v>
      </c>
      <c r="M2207" s="28" t="str">
        <f t="array" ref="M2207">_xlfn.XLOOKUP($A2207, 'Hospitalisation Details'!$A:$A, 'Hospitalisation Details'!E:E, "No Data")</f>
        <v>16/09/03</v>
      </c>
      <c r="N2207" s="28">
        <f t="array" ref="N2207">_xlfn.XLOOKUP($A2207, 'Hospitalisation Details'!$A:$A, 'Hospitalisation Details'!K:K, "No Data")</f>
        <v>19</v>
      </c>
      <c r="O2207" s="33">
        <f t="array" ref="O2207">_xlfn.XLOOKUP($A2207, 'Hospitalisation Details'!$A:$A, 'Hospitalisation Details'!G:G, "No Data")</f>
        <v>1632.56</v>
      </c>
      <c r="P2207" s="28" t="str">
        <f t="array" ref="P2207">_xlfn.XLOOKUP($A2207, 'Hospitalisation Details'!$A:$A, 'Hospitalisation Details'!H:H, "No Data")</f>
        <v>tier - 2</v>
      </c>
    </row>
    <row r="2208">
      <c r="A2208" s="25" t="s">
        <v>1358</v>
      </c>
      <c r="B2208" s="28" t="str">
        <f t="array" ref="B2208">_xlfn.XLOOKUP($A2208, 'Customer Names'!$A:$A, 'Customer Names'!B:B, "No Data")</f>
        <v>Hammel</v>
      </c>
      <c r="C2208" s="28">
        <f t="array" ref="C2208">_xlfn.XLOOKUP($A2208, 'Medical Examinations'!$A:$A, 'Medical Examinations'!B:B, "No Data")</f>
        <v>25.175</v>
      </c>
      <c r="D2208" s="28">
        <f t="array" ref="D2208">_xlfn.XLOOKUP($A2208, 'Medical Examinations'!$A:$A, 'Medical Examinations'!C:C, "No Data")</f>
        <v>5.74</v>
      </c>
      <c r="E2208" s="28" t="str">
        <f t="array" ref="E2208">_xlfn.XLOOKUP($A2208, 'Medical Examinations'!$A:$A, 'Medical Examinations'!D:D, "No Data")</f>
        <v>No</v>
      </c>
      <c r="F2208" s="28" t="str">
        <f t="array" ref="F2208">_xlfn.XLOOKUP($A2208, 'Medical Examinations'!$A:$A, 'Medical Examinations'!E:E, "No Data")</f>
        <v>No</v>
      </c>
      <c r="G2208" s="28" t="str">
        <f t="array" ref="G2208">_xlfn.XLOOKUP($A2208, 'Medical Examinations'!$A:$A, 'Medical Examinations'!F:F, "No Data")</f>
        <v>Yes</v>
      </c>
      <c r="H2208" s="28">
        <f t="array" ref="H2208">_xlfn.XLOOKUP($A2208, 'Medical Examinations'!$A:$A, 'Medical Examinations'!G:G, "No Data")</f>
        <v>1</v>
      </c>
      <c r="I2208" s="28" t="str">
        <f t="array" ref="I2208">_xlfn.XLOOKUP($A2208, 'Medical Examinations'!$A:$A, 'Medical Examinations'!H:H, "No Data")</f>
        <v>No</v>
      </c>
      <c r="J2208" s="28" t="str">
        <f t="array" ref="J2208">_xlfn.XLOOKUP($A2208, 'Medical Examinations'!$A:$A, 'Medical Examinations'!I:I, "No Data")</f>
        <v>Overweight</v>
      </c>
      <c r="K2208" s="28" t="str">
        <f t="array" ref="K2208">_xlfn.XLOOKUP($A2208, 'Hospitalisation Details'!$A:$A, 'Hospitalisation Details'!I:I, "No Data")</f>
        <v>tier - 2</v>
      </c>
      <c r="L2208" s="28" t="str">
        <f t="array" ref="L2208">_xlfn.XLOOKUP($A2208, 'Hospitalisation Details'!$A:$A, 'Hospitalisation Details'!J:J, "No Data")</f>
        <v>R1012</v>
      </c>
      <c r="M2208" s="28" t="str">
        <f t="array" ref="M2208">_xlfn.XLOOKUP($A2208, 'Hospitalisation Details'!$A:$A, 'Hospitalisation Details'!E:E, "No Data")</f>
        <v>03/10/03</v>
      </c>
      <c r="N2208" s="28">
        <f t="array" ref="N2208">_xlfn.XLOOKUP($A2208, 'Hospitalisation Details'!$A:$A, 'Hospitalisation Details'!K:K, "No Data")</f>
        <v>19</v>
      </c>
      <c r="O2208" s="33">
        <f t="array" ref="O2208">_xlfn.XLOOKUP($A2208, 'Hospitalisation Details'!$A:$A, 'Hospitalisation Details'!G:G, "No Data")</f>
        <v>1632.04</v>
      </c>
      <c r="P2208" s="28" t="str">
        <f t="array" ref="P2208">_xlfn.XLOOKUP($A2208, 'Hospitalisation Details'!$A:$A, 'Hospitalisation Details'!H:H, "No Data")</f>
        <v>tier - 2</v>
      </c>
    </row>
    <row r="2209">
      <c r="A2209" s="25" t="s">
        <v>1354</v>
      </c>
      <c r="B2209" s="28" t="str">
        <f t="array" ref="B2209">_xlfn.XLOOKUP($A2209, 'Customer Names'!$A:$A, 'Customer Names'!B:B, "No Data")</f>
        <v>Ytterstad</v>
      </c>
      <c r="C2209" s="28">
        <f t="array" ref="C2209">_xlfn.XLOOKUP($A2209, 'Medical Examinations'!$A:$A, 'Medical Examinations'!B:B, "No Data")</f>
        <v>38.28</v>
      </c>
      <c r="D2209" s="28">
        <f t="array" ref="D2209">_xlfn.XLOOKUP($A2209, 'Medical Examinations'!$A:$A, 'Medical Examinations'!C:C, "No Data")</f>
        <v>5.39</v>
      </c>
      <c r="E2209" s="28" t="str">
        <f t="array" ref="E2209">_xlfn.XLOOKUP($A2209, 'Medical Examinations'!$A:$A, 'Medical Examinations'!D:D, "No Data")</f>
        <v>No</v>
      </c>
      <c r="F2209" s="28" t="str">
        <f t="array" ref="F2209">_xlfn.XLOOKUP($A2209, 'Medical Examinations'!$A:$A, 'Medical Examinations'!E:E, "No Data")</f>
        <v>yes</v>
      </c>
      <c r="G2209" s="28" t="str">
        <f t="array" ref="G2209">_xlfn.XLOOKUP($A2209, 'Medical Examinations'!$A:$A, 'Medical Examinations'!F:F, "No Data")</f>
        <v>No</v>
      </c>
      <c r="H2209" s="28">
        <f t="array" ref="H2209">_xlfn.XLOOKUP($A2209, 'Medical Examinations'!$A:$A, 'Medical Examinations'!G:G, "No Data")</f>
        <v>1</v>
      </c>
      <c r="I2209" s="28" t="str">
        <f t="array" ref="I2209">_xlfn.XLOOKUP($A2209, 'Medical Examinations'!$A:$A, 'Medical Examinations'!H:H, "No Data")</f>
        <v>No</v>
      </c>
      <c r="J2209" s="28" t="str">
        <f t="array" ref="J2209">_xlfn.XLOOKUP($A2209, 'Medical Examinations'!$A:$A, 'Medical Examinations'!I:I, "No Data")</f>
        <v>Obesity</v>
      </c>
      <c r="K2209" s="28" t="str">
        <f t="array" ref="K2209">_xlfn.XLOOKUP($A2209, 'Hospitalisation Details'!$A:$A, 'Hospitalisation Details'!I:I, "No Data")</f>
        <v>tier - 1</v>
      </c>
      <c r="L2209" s="28" t="str">
        <f t="array" ref="L2209">_xlfn.XLOOKUP($A2209, 'Hospitalisation Details'!$A:$A, 'Hospitalisation Details'!J:J, "No Data")</f>
        <v>R1013</v>
      </c>
      <c r="M2209" s="28" t="str">
        <f t="array" ref="M2209">_xlfn.XLOOKUP($A2209, 'Hospitalisation Details'!$A:$A, 'Hospitalisation Details'!E:E, "No Data")</f>
        <v>09/07/04</v>
      </c>
      <c r="N2209" s="28">
        <f t="array" ref="N2209">_xlfn.XLOOKUP($A2209, 'Hospitalisation Details'!$A:$A, 'Hospitalisation Details'!K:K, "No Data")</f>
        <v>18</v>
      </c>
      <c r="O2209" s="33">
        <f t="array" ref="O2209">_xlfn.XLOOKUP($A2209, 'Hospitalisation Details'!$A:$A, 'Hospitalisation Details'!G:G, "No Data")</f>
        <v>1631.82</v>
      </c>
      <c r="P2209" s="28" t="str">
        <f t="array" ref="P2209">_xlfn.XLOOKUP($A2209, 'Hospitalisation Details'!$A:$A, 'Hospitalisation Details'!H:H, "No Data")</f>
        <v>tier - 2</v>
      </c>
    </row>
    <row r="2210">
      <c r="A2210" s="25" t="s">
        <v>1350</v>
      </c>
      <c r="B2210" s="28" t="str">
        <f t="array" ref="B2210">_xlfn.XLOOKUP($A2210, 'Customer Names'!$A:$A, 'Customer Names'!B:B, "No Data")</f>
        <v>Prince</v>
      </c>
      <c r="C2210" s="28">
        <f t="array" ref="C2210">_xlfn.XLOOKUP($A2210, 'Medical Examinations'!$A:$A, 'Medical Examinations'!B:B, "No Data")</f>
        <v>38.17</v>
      </c>
      <c r="D2210" s="28">
        <f t="array" ref="D2210">_xlfn.XLOOKUP($A2210, 'Medical Examinations'!$A:$A, 'Medical Examinations'!C:C, "No Data")</f>
        <v>4.07</v>
      </c>
      <c r="E2210" s="28" t="str">
        <f t="array" ref="E2210">_xlfn.XLOOKUP($A2210, 'Medical Examinations'!$A:$A, 'Medical Examinations'!D:D, "No Data")</f>
        <v>No</v>
      </c>
      <c r="F2210" s="28" t="str">
        <f t="array" ref="F2210">_xlfn.XLOOKUP($A2210, 'Medical Examinations'!$A:$A, 'Medical Examinations'!E:E, "No Data")</f>
        <v>yes</v>
      </c>
      <c r="G2210" s="28" t="str">
        <f t="array" ref="G2210">_xlfn.XLOOKUP($A2210, 'Medical Examinations'!$A:$A, 'Medical Examinations'!F:F, "No Data")</f>
        <v>No</v>
      </c>
      <c r="H2210" s="28">
        <f t="array" ref="H2210">_xlfn.XLOOKUP($A2210, 'Medical Examinations'!$A:$A, 'Medical Examinations'!G:G, "No Data")</f>
        <v>1</v>
      </c>
      <c r="I2210" s="28" t="str">
        <f t="array" ref="I2210">_xlfn.XLOOKUP($A2210, 'Medical Examinations'!$A:$A, 'Medical Examinations'!H:H, "No Data")</f>
        <v>No</v>
      </c>
      <c r="J2210" s="28" t="str">
        <f t="array" ref="J2210">_xlfn.XLOOKUP($A2210, 'Medical Examinations'!$A:$A, 'Medical Examinations'!I:I, "No Data")</f>
        <v>Obesity</v>
      </c>
      <c r="K2210" s="28" t="str">
        <f t="array" ref="K2210">_xlfn.XLOOKUP($A2210, 'Hospitalisation Details'!$A:$A, 'Hospitalisation Details'!I:I, "No Data")</f>
        <v>tier - 3</v>
      </c>
      <c r="L2210" s="28" t="str">
        <f t="array" ref="L2210">_xlfn.XLOOKUP($A2210, 'Hospitalisation Details'!$A:$A, 'Hospitalisation Details'!J:J, "No Data")</f>
        <v>R1013</v>
      </c>
      <c r="M2210" s="28" t="str">
        <f t="array" ref="M2210">_xlfn.XLOOKUP($A2210, 'Hospitalisation Details'!$A:$A, 'Hospitalisation Details'!E:E, "No Data")</f>
        <v>05/12/04</v>
      </c>
      <c r="N2210" s="28">
        <f t="array" ref="N2210">_xlfn.XLOOKUP($A2210, 'Hospitalisation Details'!$A:$A, 'Hospitalisation Details'!K:K, "No Data")</f>
        <v>18</v>
      </c>
      <c r="O2210" s="33">
        <f t="array" ref="O2210">_xlfn.XLOOKUP($A2210, 'Hospitalisation Details'!$A:$A, 'Hospitalisation Details'!G:G, "No Data")</f>
        <v>1631.67</v>
      </c>
      <c r="P2210" s="28" t="str">
        <f t="array" ref="P2210">_xlfn.XLOOKUP($A2210, 'Hospitalisation Details'!$A:$A, 'Hospitalisation Details'!H:H, "No Data")</f>
        <v>tier - 2</v>
      </c>
    </row>
    <row r="2211">
      <c r="A2211" s="25" t="s">
        <v>1346</v>
      </c>
      <c r="B2211" s="28" t="str">
        <f t="array" ref="B2211">_xlfn.XLOOKUP($A2211, 'Customer Names'!$A:$A, 'Customer Names'!B:B, "No Data")</f>
        <v>Freeman</v>
      </c>
      <c r="C2211" s="28">
        <f t="array" ref="C2211">_xlfn.XLOOKUP($A2211, 'Medical Examinations'!$A:$A, 'Medical Examinations'!B:B, "No Data")</f>
        <v>36.85</v>
      </c>
      <c r="D2211" s="28">
        <f t="array" ref="D2211">_xlfn.XLOOKUP($A2211, 'Medical Examinations'!$A:$A, 'Medical Examinations'!C:C, "No Data")</f>
        <v>5.49</v>
      </c>
      <c r="E2211" s="28" t="str">
        <f t="array" ref="E2211">_xlfn.XLOOKUP($A2211, 'Medical Examinations'!$A:$A, 'Medical Examinations'!D:D, "No Data")</f>
        <v>No</v>
      </c>
      <c r="F2211" s="28" t="str">
        <f t="array" ref="F2211">_xlfn.XLOOKUP($A2211, 'Medical Examinations'!$A:$A, 'Medical Examinations'!E:E, "No Data")</f>
        <v>yes</v>
      </c>
      <c r="G2211" s="28" t="str">
        <f t="array" ref="G2211">_xlfn.XLOOKUP($A2211, 'Medical Examinations'!$A:$A, 'Medical Examinations'!F:F, "No Data")</f>
        <v>No</v>
      </c>
      <c r="H2211" s="28">
        <f t="array" ref="H2211">_xlfn.XLOOKUP($A2211, 'Medical Examinations'!$A:$A, 'Medical Examinations'!G:G, "No Data")</f>
        <v>1</v>
      </c>
      <c r="I2211" s="28" t="str">
        <f t="array" ref="I2211">_xlfn.XLOOKUP($A2211, 'Medical Examinations'!$A:$A, 'Medical Examinations'!H:H, "No Data")</f>
        <v>No</v>
      </c>
      <c r="J2211" s="28" t="str">
        <f t="array" ref="J2211">_xlfn.XLOOKUP($A2211, 'Medical Examinations'!$A:$A, 'Medical Examinations'!I:I, "No Data")</f>
        <v>Obesity</v>
      </c>
      <c r="K2211" s="28" t="str">
        <f t="array" ref="K2211">_xlfn.XLOOKUP($A2211, 'Hospitalisation Details'!$A:$A, 'Hospitalisation Details'!I:I, "No Data")</f>
        <v>tier - 2</v>
      </c>
      <c r="L2211" s="28" t="str">
        <f t="array" ref="L2211">_xlfn.XLOOKUP($A2211, 'Hospitalisation Details'!$A:$A, 'Hospitalisation Details'!J:J, "No Data")</f>
        <v>R1013</v>
      </c>
      <c r="M2211" s="28" t="str">
        <f t="array" ref="M2211">_xlfn.XLOOKUP($A2211, 'Hospitalisation Details'!$A:$A, 'Hospitalisation Details'!E:E, "No Data")</f>
        <v>04/10/04</v>
      </c>
      <c r="N2211" s="28">
        <f t="array" ref="N2211">_xlfn.XLOOKUP($A2211, 'Hospitalisation Details'!$A:$A, 'Hospitalisation Details'!K:K, "No Data")</f>
        <v>18</v>
      </c>
      <c r="O2211" s="33">
        <f t="array" ref="O2211">_xlfn.XLOOKUP($A2211, 'Hospitalisation Details'!$A:$A, 'Hospitalisation Details'!G:G, "No Data")</f>
        <v>1629.83</v>
      </c>
      <c r="P2211" s="28" t="str">
        <f t="array" ref="P2211">_xlfn.XLOOKUP($A2211, 'Hospitalisation Details'!$A:$A, 'Hospitalisation Details'!H:H, "No Data")</f>
        <v>tier - 2</v>
      </c>
    </row>
    <row r="2212">
      <c r="A2212" s="25" t="s">
        <v>1340</v>
      </c>
      <c r="B2212" s="28" t="str">
        <f t="array" ref="B2212">_xlfn.XLOOKUP($A2212, 'Customer Names'!$A:$A, 'Customer Names'!B:B, "No Data")</f>
        <v>Petrulak</v>
      </c>
      <c r="C2212" s="28">
        <f t="array" ref="C2212">_xlfn.XLOOKUP($A2212, 'Medical Examinations'!$A:$A, 'Medical Examinations'!B:B, "No Data")</f>
        <v>22.61</v>
      </c>
      <c r="D2212" s="28">
        <f t="array" ref="D2212">_xlfn.XLOOKUP($A2212, 'Medical Examinations'!$A:$A, 'Medical Examinations'!C:C, "No Data")</f>
        <v>5.68</v>
      </c>
      <c r="E2212" s="28" t="str">
        <f t="array" ref="E2212">_xlfn.XLOOKUP($A2212, 'Medical Examinations'!$A:$A, 'Medical Examinations'!D:D, "No Data")</f>
        <v>No</v>
      </c>
      <c r="F2212" s="28" t="str">
        <f t="array" ref="F2212">_xlfn.XLOOKUP($A2212, 'Medical Examinations'!$A:$A, 'Medical Examinations'!E:E, "No Data")</f>
        <v>No</v>
      </c>
      <c r="G2212" s="28" t="str">
        <f t="array" ref="G2212">_xlfn.XLOOKUP($A2212, 'Medical Examinations'!$A:$A, 'Medical Examinations'!F:F, "No Data")</f>
        <v>Yes</v>
      </c>
      <c r="H2212" s="28">
        <f t="array" ref="H2212">_xlfn.XLOOKUP($A2212, 'Medical Examinations'!$A:$A, 'Medical Examinations'!G:G, "No Data")</f>
        <v>1</v>
      </c>
      <c r="I2212" s="28" t="str">
        <f t="array" ref="I2212">_xlfn.XLOOKUP($A2212, 'Medical Examinations'!$A:$A, 'Medical Examinations'!H:H, "No Data")</f>
        <v>No</v>
      </c>
      <c r="J2212" s="28" t="str">
        <f t="array" ref="J2212">_xlfn.XLOOKUP($A2212, 'Medical Examinations'!$A:$A, 'Medical Examinations'!I:I, "No Data")</f>
        <v>Normal Weight</v>
      </c>
      <c r="K2212" s="28" t="str">
        <f t="array" ref="K2212">_xlfn.XLOOKUP($A2212, 'Hospitalisation Details'!$A:$A, 'Hospitalisation Details'!I:I, "No Data")</f>
        <v>tier - 1</v>
      </c>
      <c r="L2212" s="28" t="str">
        <f t="array" ref="L2212">_xlfn.XLOOKUP($A2212, 'Hospitalisation Details'!$A:$A, 'Hospitalisation Details'!J:J, "No Data")</f>
        <v>R1012</v>
      </c>
      <c r="M2212" s="28" t="str">
        <f t="array" ref="M2212">_xlfn.XLOOKUP($A2212, 'Hospitalisation Details'!$A:$A, 'Hospitalisation Details'!E:E, "No Data")</f>
        <v>17/07/03</v>
      </c>
      <c r="N2212" s="28">
        <f t="array" ref="N2212">_xlfn.XLOOKUP($A2212, 'Hospitalisation Details'!$A:$A, 'Hospitalisation Details'!K:K, "No Data")</f>
        <v>19</v>
      </c>
      <c r="O2212" s="33">
        <f t="array" ref="O2212">_xlfn.XLOOKUP($A2212, 'Hospitalisation Details'!$A:$A, 'Hospitalisation Details'!G:G, "No Data")</f>
        <v>1628.47</v>
      </c>
      <c r="P2212" s="28" t="str">
        <f t="array" ref="P2212">_xlfn.XLOOKUP($A2212, 'Hospitalisation Details'!$A:$A, 'Hospitalisation Details'!H:H, "No Data")</f>
        <v>tier - 2</v>
      </c>
    </row>
    <row r="2213">
      <c r="A2213" s="25" t="s">
        <v>1336</v>
      </c>
      <c r="B2213" s="28" t="str">
        <f t="array" ref="B2213">_xlfn.XLOOKUP($A2213, 'Customer Names'!$A:$A, 'Customer Names'!B:B, "No Data")</f>
        <v>Lloyd</v>
      </c>
      <c r="C2213" s="28">
        <f t="array" ref="C2213">_xlfn.XLOOKUP($A2213, 'Medical Examinations'!$A:$A, 'Medical Examinations'!B:B, "No Data")</f>
        <v>21.755</v>
      </c>
      <c r="D2213" s="28">
        <f t="array" ref="D2213">_xlfn.XLOOKUP($A2213, 'Medical Examinations'!$A:$A, 'Medical Examinations'!C:C, "No Data")</f>
        <v>6.09</v>
      </c>
      <c r="E2213" s="28" t="str">
        <f t="array" ref="E2213">_xlfn.XLOOKUP($A2213, 'Medical Examinations'!$A:$A, 'Medical Examinations'!D:D, "No Data")</f>
        <v>No</v>
      </c>
      <c r="F2213" s="28" t="str">
        <f t="array" ref="F2213">_xlfn.XLOOKUP($A2213, 'Medical Examinations'!$A:$A, 'Medical Examinations'!E:E, "No Data")</f>
        <v>No</v>
      </c>
      <c r="G2213" s="28" t="str">
        <f t="array" ref="G2213">_xlfn.XLOOKUP($A2213, 'Medical Examinations'!$A:$A, 'Medical Examinations'!F:F, "No Data")</f>
        <v>Yes</v>
      </c>
      <c r="H2213" s="28">
        <f t="array" ref="H2213">_xlfn.XLOOKUP($A2213, 'Medical Examinations'!$A:$A, 'Medical Examinations'!G:G, "No Data")</f>
        <v>1</v>
      </c>
      <c r="I2213" s="28" t="str">
        <f t="array" ref="I2213">_xlfn.XLOOKUP($A2213, 'Medical Examinations'!$A:$A, 'Medical Examinations'!H:H, "No Data")</f>
        <v>No</v>
      </c>
      <c r="J2213" s="28" t="str">
        <f t="array" ref="J2213">_xlfn.XLOOKUP($A2213, 'Medical Examinations'!$A:$A, 'Medical Examinations'!I:I, "No Data")</f>
        <v>Normal Weight</v>
      </c>
      <c r="K2213" s="28" t="str">
        <f t="array" ref="K2213">_xlfn.XLOOKUP($A2213, 'Hospitalisation Details'!$A:$A, 'Hospitalisation Details'!I:I, "No Data")</f>
        <v>tier - 2</v>
      </c>
      <c r="L2213" s="28" t="str">
        <f t="array" ref="L2213">_xlfn.XLOOKUP($A2213, 'Hospitalisation Details'!$A:$A, 'Hospitalisation Details'!J:J, "No Data")</f>
        <v>R1012</v>
      </c>
      <c r="M2213" s="28" t="str">
        <f t="array" ref="M2213">_xlfn.XLOOKUP($A2213, 'Hospitalisation Details'!$A:$A, 'Hospitalisation Details'!E:E, "No Data")</f>
        <v>04/12/03</v>
      </c>
      <c r="N2213" s="28">
        <f t="array" ref="N2213">_xlfn.XLOOKUP($A2213, 'Hospitalisation Details'!$A:$A, 'Hospitalisation Details'!K:K, "No Data")</f>
        <v>19</v>
      </c>
      <c r="O2213" s="33">
        <f t="array" ref="O2213">_xlfn.XLOOKUP($A2213, 'Hospitalisation Details'!$A:$A, 'Hospitalisation Details'!G:G, "No Data")</f>
        <v>1627.28</v>
      </c>
      <c r="P2213" s="28" t="str">
        <f t="array" ref="P2213">_xlfn.XLOOKUP($A2213, 'Hospitalisation Details'!$A:$A, 'Hospitalisation Details'!H:H, "No Data")</f>
        <v>tier - 2</v>
      </c>
    </row>
    <row r="2214">
      <c r="A2214" s="25" t="s">
        <v>1331</v>
      </c>
      <c r="B2214" s="28" t="str">
        <f t="array" ref="B2214">_xlfn.XLOOKUP($A2214, 'Customer Names'!$A:$A, 'Customer Names'!B:B, "No Data")</f>
        <v>Zablocki</v>
      </c>
      <c r="C2214" s="28">
        <f t="array" ref="C2214">_xlfn.XLOOKUP($A2214, 'Medical Examinations'!$A:$A, 'Medical Examinations'!B:B, "No Data")</f>
        <v>20.425</v>
      </c>
      <c r="D2214" s="28">
        <f t="array" ref="D2214">_xlfn.XLOOKUP($A2214, 'Medical Examinations'!$A:$A, 'Medical Examinations'!C:C, "No Data")</f>
        <v>5.53</v>
      </c>
      <c r="E2214" s="28" t="str">
        <f t="array" ref="E2214">_xlfn.XLOOKUP($A2214, 'Medical Examinations'!$A:$A, 'Medical Examinations'!D:D, "No Data")</f>
        <v>No</v>
      </c>
      <c r="F2214" s="28" t="str">
        <f t="array" ref="F2214">_xlfn.XLOOKUP($A2214, 'Medical Examinations'!$A:$A, 'Medical Examinations'!E:E, "No Data")</f>
        <v>No</v>
      </c>
      <c r="G2214" s="28" t="str">
        <f t="array" ref="G2214">_xlfn.XLOOKUP($A2214, 'Medical Examinations'!$A:$A, 'Medical Examinations'!F:F, "No Data")</f>
        <v>Yes</v>
      </c>
      <c r="H2214" s="28">
        <f t="array" ref="H2214">_xlfn.XLOOKUP($A2214, 'Medical Examinations'!$A:$A, 'Medical Examinations'!G:G, "No Data")</f>
        <v>1</v>
      </c>
      <c r="I2214" s="28" t="str">
        <f t="array" ref="I2214">_xlfn.XLOOKUP($A2214, 'Medical Examinations'!$A:$A, 'Medical Examinations'!H:H, "No Data")</f>
        <v>No</v>
      </c>
      <c r="J2214" s="28" t="str">
        <f t="array" ref="J2214">_xlfn.XLOOKUP($A2214, 'Medical Examinations'!$A:$A, 'Medical Examinations'!I:I, "No Data")</f>
        <v>Normal Weight</v>
      </c>
      <c r="K2214" s="28" t="str">
        <f t="array" ref="K2214">_xlfn.XLOOKUP($A2214, 'Hospitalisation Details'!$A:$A, 'Hospitalisation Details'!I:I, "No Data")</f>
        <v>tier - 3</v>
      </c>
      <c r="L2214" s="28" t="str">
        <f t="array" ref="L2214">_xlfn.XLOOKUP($A2214, 'Hospitalisation Details'!$A:$A, 'Hospitalisation Details'!J:J, "No Data")</f>
        <v>R1012</v>
      </c>
      <c r="M2214" s="28" t="str">
        <f t="array" ref="M2214">_xlfn.XLOOKUP($A2214, 'Hospitalisation Details'!$A:$A, 'Hospitalisation Details'!E:E, "No Data")</f>
        <v>09/09/03</v>
      </c>
      <c r="N2214" s="28">
        <f t="array" ref="N2214">_xlfn.XLOOKUP($A2214, 'Hospitalisation Details'!$A:$A, 'Hospitalisation Details'!K:K, "No Data")</f>
        <v>19</v>
      </c>
      <c r="O2214" s="33">
        <f t="array" ref="O2214">_xlfn.XLOOKUP($A2214, 'Hospitalisation Details'!$A:$A, 'Hospitalisation Details'!G:G, "No Data")</f>
        <v>1625.43</v>
      </c>
      <c r="P2214" s="28" t="str">
        <f t="array" ref="P2214">_xlfn.XLOOKUP($A2214, 'Hospitalisation Details'!$A:$A, 'Hospitalisation Details'!H:H, "No Data")</f>
        <v>tier - 2</v>
      </c>
    </row>
    <row r="2215">
      <c r="A2215" s="25" t="s">
        <v>1324</v>
      </c>
      <c r="B2215" s="28" t="str">
        <f t="array" ref="B2215">_xlfn.XLOOKUP($A2215, 'Customer Names'!$A:$A, 'Customer Names'!B:B, "No Data")</f>
        <v>Van Meter</v>
      </c>
      <c r="C2215" s="28">
        <f t="array" ref="C2215">_xlfn.XLOOKUP($A2215, 'Medical Examinations'!$A:$A, 'Medical Examinations'!B:B, "No Data")</f>
        <v>31.35</v>
      </c>
      <c r="D2215" s="28">
        <f t="array" ref="D2215">_xlfn.XLOOKUP($A2215, 'Medical Examinations'!$A:$A, 'Medical Examinations'!C:C, "No Data")</f>
        <v>4.28</v>
      </c>
      <c r="E2215" s="28" t="str">
        <f t="array" ref="E2215">_xlfn.XLOOKUP($A2215, 'Medical Examinations'!$A:$A, 'Medical Examinations'!D:D, "No Data")</f>
        <v>No</v>
      </c>
      <c r="F2215" s="28" t="str">
        <f t="array" ref="F2215">_xlfn.XLOOKUP($A2215, 'Medical Examinations'!$A:$A, 'Medical Examinations'!E:E, "No Data")</f>
        <v>yes</v>
      </c>
      <c r="G2215" s="28" t="str">
        <f t="array" ref="G2215">_xlfn.XLOOKUP($A2215, 'Medical Examinations'!$A:$A, 'Medical Examinations'!F:F, "No Data")</f>
        <v>No</v>
      </c>
      <c r="H2215" s="28">
        <f t="array" ref="H2215">_xlfn.XLOOKUP($A2215, 'Medical Examinations'!$A:$A, 'Medical Examinations'!G:G, "No Data")</f>
        <v>1</v>
      </c>
      <c r="I2215" s="28" t="str">
        <f t="array" ref="I2215">_xlfn.XLOOKUP($A2215, 'Medical Examinations'!$A:$A, 'Medical Examinations'!H:H, "No Data")</f>
        <v>No</v>
      </c>
      <c r="J2215" s="28" t="str">
        <f t="array" ref="J2215">_xlfn.XLOOKUP($A2215, 'Medical Examinations'!$A:$A, 'Medical Examinations'!I:I, "No Data")</f>
        <v>Obesity</v>
      </c>
      <c r="K2215" s="28" t="str">
        <f t="array" ref="K2215">_xlfn.XLOOKUP($A2215, 'Hospitalisation Details'!$A:$A, 'Hospitalisation Details'!I:I, "No Data")</f>
        <v>tier - 1</v>
      </c>
      <c r="L2215" s="28" t="str">
        <f t="array" ref="L2215">_xlfn.XLOOKUP($A2215, 'Hospitalisation Details'!$A:$A, 'Hospitalisation Details'!J:J, "No Data")</f>
        <v>R1013</v>
      </c>
      <c r="M2215" s="28" t="str">
        <f t="array" ref="M2215">_xlfn.XLOOKUP($A2215, 'Hospitalisation Details'!$A:$A, 'Hospitalisation Details'!E:E, "No Data")</f>
        <v>25/07/04</v>
      </c>
      <c r="N2215" s="28">
        <f t="array" ref="N2215">_xlfn.XLOOKUP($A2215, 'Hospitalisation Details'!$A:$A, 'Hospitalisation Details'!K:K, "No Data")</f>
        <v>18</v>
      </c>
      <c r="O2215" s="33">
        <f t="array" ref="O2215">_xlfn.XLOOKUP($A2215, 'Hospitalisation Details'!$A:$A, 'Hospitalisation Details'!G:G, "No Data")</f>
        <v>1622.19</v>
      </c>
      <c r="P2215" s="28" t="str">
        <f t="array" ref="P2215">_xlfn.XLOOKUP($A2215, 'Hospitalisation Details'!$A:$A, 'Hospitalisation Details'!H:H, "No Data")</f>
        <v>tier - 2</v>
      </c>
    </row>
    <row r="2216">
      <c r="A2216" s="25" t="s">
        <v>1316</v>
      </c>
      <c r="B2216" s="28" t="str">
        <f t="array" ref="B2216">_xlfn.XLOOKUP($A2216, 'Customer Names'!$A:$A, 'Customer Names'!B:B, "No Data")</f>
        <v>Babay</v>
      </c>
      <c r="C2216" s="28">
        <f t="array" ref="C2216">_xlfn.XLOOKUP($A2216, 'Medical Examinations'!$A:$A, 'Medical Examinations'!B:B, "No Data")</f>
        <v>31.13</v>
      </c>
      <c r="D2216" s="28">
        <f t="array" ref="D2216">_xlfn.XLOOKUP($A2216, 'Medical Examinations'!$A:$A, 'Medical Examinations'!C:C, "No Data")</f>
        <v>6.01</v>
      </c>
      <c r="E2216" s="28" t="str">
        <f t="array" ref="E2216">_xlfn.XLOOKUP($A2216, 'Medical Examinations'!$A:$A, 'Medical Examinations'!D:D, "No Data")</f>
        <v>No</v>
      </c>
      <c r="F2216" s="28" t="str">
        <f t="array" ref="F2216">_xlfn.XLOOKUP($A2216, 'Medical Examinations'!$A:$A, 'Medical Examinations'!E:E, "No Data")</f>
        <v>yes</v>
      </c>
      <c r="G2216" s="28" t="str">
        <f t="array" ref="G2216">_xlfn.XLOOKUP($A2216, 'Medical Examinations'!$A:$A, 'Medical Examinations'!F:F, "No Data")</f>
        <v>No</v>
      </c>
      <c r="H2216" s="28">
        <f t="array" ref="H2216">_xlfn.XLOOKUP($A2216, 'Medical Examinations'!$A:$A, 'Medical Examinations'!G:G, "No Data")</f>
        <v>1</v>
      </c>
      <c r="I2216" s="28" t="str">
        <f t="array" ref="I2216">_xlfn.XLOOKUP($A2216, 'Medical Examinations'!$A:$A, 'Medical Examinations'!H:H, "No Data")</f>
        <v>No</v>
      </c>
      <c r="J2216" s="28" t="str">
        <f t="array" ref="J2216">_xlfn.XLOOKUP($A2216, 'Medical Examinations'!$A:$A, 'Medical Examinations'!I:I, "No Data")</f>
        <v>Obesity</v>
      </c>
      <c r="K2216" s="28" t="str">
        <f t="array" ref="K2216">_xlfn.XLOOKUP($A2216, 'Hospitalisation Details'!$A:$A, 'Hospitalisation Details'!I:I, "No Data")</f>
        <v>tier - 2</v>
      </c>
      <c r="L2216" s="28" t="str">
        <f t="array" ref="L2216">_xlfn.XLOOKUP($A2216, 'Hospitalisation Details'!$A:$A, 'Hospitalisation Details'!J:J, "No Data")</f>
        <v>R1013</v>
      </c>
      <c r="M2216" s="28" t="str">
        <f t="array" ref="M2216">_xlfn.XLOOKUP($A2216, 'Hospitalisation Details'!$A:$A, 'Hospitalisation Details'!E:E, "No Data")</f>
        <v>21/08/04</v>
      </c>
      <c r="N2216" s="28">
        <f t="array" ref="N2216">_xlfn.XLOOKUP($A2216, 'Hospitalisation Details'!$A:$A, 'Hospitalisation Details'!K:K, "No Data")</f>
        <v>18</v>
      </c>
      <c r="O2216" s="33">
        <f t="array" ref="O2216">_xlfn.XLOOKUP($A2216, 'Hospitalisation Details'!$A:$A, 'Hospitalisation Details'!G:G, "No Data")</f>
        <v>1621.88</v>
      </c>
      <c r="P2216" s="28" t="str">
        <f t="array" ref="P2216">_xlfn.XLOOKUP($A2216, 'Hospitalisation Details'!$A:$A, 'Hospitalisation Details'!H:H, "No Data")</f>
        <v>tier - 2</v>
      </c>
    </row>
    <row r="2217">
      <c r="A2217" s="25" t="s">
        <v>1309</v>
      </c>
      <c r="B2217" s="28" t="str">
        <f t="array" ref="B2217">_xlfn.XLOOKUP($A2217, 'Customer Names'!$A:$A, 'Customer Names'!B:B, "No Data")</f>
        <v>Taylor</v>
      </c>
      <c r="C2217" s="28">
        <f t="array" ref="C2217">_xlfn.XLOOKUP($A2217, 'Medical Examinations'!$A:$A, 'Medical Examinations'!B:B, "No Data")</f>
        <v>17.48</v>
      </c>
      <c r="D2217" s="28">
        <f t="array" ref="D2217">_xlfn.XLOOKUP($A2217, 'Medical Examinations'!$A:$A, 'Medical Examinations'!C:C, "No Data")</f>
        <v>4.59</v>
      </c>
      <c r="E2217" s="28" t="str">
        <f t="array" ref="E2217">_xlfn.XLOOKUP($A2217, 'Medical Examinations'!$A:$A, 'Medical Examinations'!D:D, "No Data")</f>
        <v>No</v>
      </c>
      <c r="F2217" s="28" t="str">
        <f t="array" ref="F2217">_xlfn.XLOOKUP($A2217, 'Medical Examinations'!$A:$A, 'Medical Examinations'!E:E, "No Data")</f>
        <v>No</v>
      </c>
      <c r="G2217" s="28" t="str">
        <f t="array" ref="G2217">_xlfn.XLOOKUP($A2217, 'Medical Examinations'!$A:$A, 'Medical Examinations'!F:F, "No Data")</f>
        <v>Yes</v>
      </c>
      <c r="H2217" s="28">
        <f t="array" ref="H2217">_xlfn.XLOOKUP($A2217, 'Medical Examinations'!$A:$A, 'Medical Examinations'!G:G, "No Data")</f>
        <v>1</v>
      </c>
      <c r="I2217" s="28" t="str">
        <f t="array" ref="I2217">_xlfn.XLOOKUP($A2217, 'Medical Examinations'!$A:$A, 'Medical Examinations'!H:H, "No Data")</f>
        <v>No</v>
      </c>
      <c r="J2217" s="28" t="str">
        <f t="array" ref="J2217">_xlfn.XLOOKUP($A2217, 'Medical Examinations'!$A:$A, 'Medical Examinations'!I:I, "No Data")</f>
        <v>Underweight</v>
      </c>
      <c r="K2217" s="28" t="str">
        <f t="array" ref="K2217">_xlfn.XLOOKUP($A2217, 'Hospitalisation Details'!$A:$A, 'Hospitalisation Details'!I:I, "No Data")</f>
        <v>tier - 2</v>
      </c>
      <c r="L2217" s="28" t="str">
        <f t="array" ref="L2217">_xlfn.XLOOKUP($A2217, 'Hospitalisation Details'!$A:$A, 'Hospitalisation Details'!J:J, "No Data")</f>
        <v>R1012</v>
      </c>
      <c r="M2217" s="28" t="str">
        <f t="array" ref="M2217">_xlfn.XLOOKUP($A2217, 'Hospitalisation Details'!$A:$A, 'Hospitalisation Details'!E:E, "No Data")</f>
        <v>14/09/03</v>
      </c>
      <c r="N2217" s="28">
        <f t="array" ref="N2217">_xlfn.XLOOKUP($A2217, 'Hospitalisation Details'!$A:$A, 'Hospitalisation Details'!K:K, "No Data")</f>
        <v>19</v>
      </c>
      <c r="O2217" s="33">
        <f t="array" ref="O2217">_xlfn.XLOOKUP($A2217, 'Hospitalisation Details'!$A:$A, 'Hospitalisation Details'!G:G, "No Data")</f>
        <v>1621.34</v>
      </c>
      <c r="P2217" s="28" t="str">
        <f t="array" ref="P2217">_xlfn.XLOOKUP($A2217, 'Hospitalisation Details'!$A:$A, 'Hospitalisation Details'!H:H, "No Data")</f>
        <v>tier - 2</v>
      </c>
    </row>
    <row r="2218">
      <c r="A2218" s="25" t="s">
        <v>1304</v>
      </c>
      <c r="B2218" s="28" t="str">
        <f t="array" ref="B2218">_xlfn.XLOOKUP($A2218, 'Customer Names'!$A:$A, 'Customer Names'!B:B, "No Data")</f>
        <v>Smith</v>
      </c>
      <c r="C2218" s="28">
        <f t="array" ref="C2218">_xlfn.XLOOKUP($A2218, 'Medical Examinations'!$A:$A, 'Medical Examinations'!B:B, "No Data")</f>
        <v>22.57</v>
      </c>
      <c r="D2218" s="28">
        <f t="array" ref="D2218">_xlfn.XLOOKUP($A2218, 'Medical Examinations'!$A:$A, 'Medical Examinations'!C:C, "No Data")</f>
        <v>5.8</v>
      </c>
      <c r="E2218" s="28" t="str">
        <f t="array" ref="E2218">_xlfn.XLOOKUP($A2218, 'Medical Examinations'!$A:$A, 'Medical Examinations'!D:D, "No Data")</f>
        <v>yes</v>
      </c>
      <c r="F2218" s="28" t="str">
        <f t="array" ref="F2218">_xlfn.XLOOKUP($A2218, 'Medical Examinations'!$A:$A, 'Medical Examinations'!E:E, "No Data")</f>
        <v>No</v>
      </c>
      <c r="G2218" s="28" t="str">
        <f t="array" ref="G2218">_xlfn.XLOOKUP($A2218, 'Medical Examinations'!$A:$A, 'Medical Examinations'!F:F, "No Data")</f>
        <v>No</v>
      </c>
      <c r="H2218" s="28">
        <f t="array" ref="H2218">_xlfn.XLOOKUP($A2218, 'Medical Examinations'!$A:$A, 'Medical Examinations'!G:G, "No Data")</f>
        <v>1</v>
      </c>
      <c r="I2218" s="28" t="str">
        <f t="array" ref="I2218">_xlfn.XLOOKUP($A2218, 'Medical Examinations'!$A:$A, 'Medical Examinations'!H:H, "No Data")</f>
        <v>No</v>
      </c>
      <c r="J2218" s="28" t="str">
        <f t="array" ref="J2218">_xlfn.XLOOKUP($A2218, 'Medical Examinations'!$A:$A, 'Medical Examinations'!I:I, "No Data")</f>
        <v>Normal Weight</v>
      </c>
      <c r="K2218" s="28" t="str">
        <f t="array" ref="K2218">_xlfn.XLOOKUP($A2218, 'Hospitalisation Details'!$A:$A, 'Hospitalisation Details'!I:I, "No Data")</f>
        <v>tier - 1</v>
      </c>
      <c r="L2218" s="28" t="str">
        <f t="array" ref="L2218">_xlfn.XLOOKUP($A2218, 'Hospitalisation Details'!$A:$A, 'Hospitalisation Details'!J:J, "No Data")</f>
        <v>R1013</v>
      </c>
      <c r="M2218" s="28" t="str">
        <f t="array" ref="M2218">_xlfn.XLOOKUP($A2218, 'Hospitalisation Details'!$A:$A, 'Hospitalisation Details'!E:E, "No Data")</f>
        <v>05/08/95</v>
      </c>
      <c r="N2218" s="28">
        <f t="array" ref="N2218">_xlfn.XLOOKUP($A2218, 'Hospitalisation Details'!$A:$A, 'Hospitalisation Details'!K:K, "No Data")</f>
        <v>27</v>
      </c>
      <c r="O2218" s="33">
        <f t="array" ref="O2218">_xlfn.XLOOKUP($A2218, 'Hospitalisation Details'!$A:$A, 'Hospitalisation Details'!G:G, "No Data")</f>
        <v>1617.16</v>
      </c>
      <c r="P2218" s="28" t="str">
        <f t="array" ref="P2218">_xlfn.XLOOKUP($A2218, 'Hospitalisation Details'!$A:$A, 'Hospitalisation Details'!H:H, "No Data")</f>
        <v>tier - 2</v>
      </c>
    </row>
    <row r="2219">
      <c r="A2219" s="25" t="s">
        <v>1298</v>
      </c>
      <c r="B2219" s="28" t="str">
        <f t="array" ref="B2219">_xlfn.XLOOKUP($A2219, 'Customer Names'!$A:$A, 'Customer Names'!B:B, "No Data")</f>
        <v>Moody</v>
      </c>
      <c r="C2219" s="28">
        <f t="array" ref="C2219">_xlfn.XLOOKUP($A2219, 'Medical Examinations'!$A:$A, 'Medical Examinations'!B:B, "No Data")</f>
        <v>26.73</v>
      </c>
      <c r="D2219" s="28">
        <f t="array" ref="D2219">_xlfn.XLOOKUP($A2219, 'Medical Examinations'!$A:$A, 'Medical Examinations'!C:C, "No Data")</f>
        <v>5.08</v>
      </c>
      <c r="E2219" s="28" t="str">
        <f t="array" ref="E2219">_xlfn.XLOOKUP($A2219, 'Medical Examinations'!$A:$A, 'Medical Examinations'!D:D, "No Data")</f>
        <v>No</v>
      </c>
      <c r="F2219" s="28" t="str">
        <f t="array" ref="F2219">_xlfn.XLOOKUP($A2219, 'Medical Examinations'!$A:$A, 'Medical Examinations'!E:E, "No Data")</f>
        <v>yes</v>
      </c>
      <c r="G2219" s="28" t="str">
        <f t="array" ref="G2219">_xlfn.XLOOKUP($A2219, 'Medical Examinations'!$A:$A, 'Medical Examinations'!F:F, "No Data")</f>
        <v>No</v>
      </c>
      <c r="H2219" s="28">
        <f t="array" ref="H2219">_xlfn.XLOOKUP($A2219, 'Medical Examinations'!$A:$A, 'Medical Examinations'!G:G, "No Data")</f>
        <v>1</v>
      </c>
      <c r="I2219" s="28" t="str">
        <f t="array" ref="I2219">_xlfn.XLOOKUP($A2219, 'Medical Examinations'!$A:$A, 'Medical Examinations'!H:H, "No Data")</f>
        <v>No</v>
      </c>
      <c r="J2219" s="28" t="str">
        <f t="array" ref="J2219">_xlfn.XLOOKUP($A2219, 'Medical Examinations'!$A:$A, 'Medical Examinations'!I:I, "No Data")</f>
        <v>Overweight</v>
      </c>
      <c r="K2219" s="28" t="str">
        <f t="array" ref="K2219">_xlfn.XLOOKUP($A2219, 'Hospitalisation Details'!$A:$A, 'Hospitalisation Details'!I:I, "No Data")</f>
        <v>tier - 1</v>
      </c>
      <c r="L2219" s="28" t="str">
        <f t="array" ref="L2219">_xlfn.XLOOKUP($A2219, 'Hospitalisation Details'!$A:$A, 'Hospitalisation Details'!J:J, "No Data")</f>
        <v>R1013</v>
      </c>
      <c r="M2219" s="28" t="str">
        <f t="array" ref="M2219">_xlfn.XLOOKUP($A2219, 'Hospitalisation Details'!$A:$A, 'Hospitalisation Details'!E:E, "No Data")</f>
        <v>22/07/04</v>
      </c>
      <c r="N2219" s="28">
        <f t="array" ref="N2219">_xlfn.XLOOKUP($A2219, 'Hospitalisation Details'!$A:$A, 'Hospitalisation Details'!K:K, "No Data")</f>
        <v>18</v>
      </c>
      <c r="O2219" s="33">
        <f t="array" ref="O2219">_xlfn.XLOOKUP($A2219, 'Hospitalisation Details'!$A:$A, 'Hospitalisation Details'!G:G, "No Data")</f>
        <v>1615.77</v>
      </c>
      <c r="P2219" s="28" t="str">
        <f t="array" ref="P2219">_xlfn.XLOOKUP($A2219, 'Hospitalisation Details'!$A:$A, 'Hospitalisation Details'!H:H, "No Data")</f>
        <v>tier - 2</v>
      </c>
    </row>
    <row r="2220">
      <c r="A2220" s="25" t="s">
        <v>1292</v>
      </c>
      <c r="B2220" s="28" t="str">
        <f t="array" ref="B2220">_xlfn.XLOOKUP($A2220, 'Customer Names'!$A:$A, 'Customer Names'!B:B, "No Data")</f>
        <v>Swierzbinski</v>
      </c>
      <c r="C2220" s="28">
        <f t="array" ref="C2220">_xlfn.XLOOKUP($A2220, 'Medical Examinations'!$A:$A, 'Medical Examinations'!B:B, "No Data")</f>
        <v>20.79</v>
      </c>
      <c r="D2220" s="28">
        <f t="array" ref="D2220">_xlfn.XLOOKUP($A2220, 'Medical Examinations'!$A:$A, 'Medical Examinations'!C:C, "No Data")</f>
        <v>5.84</v>
      </c>
      <c r="E2220" s="28" t="str">
        <f t="array" ref="E2220">_xlfn.XLOOKUP($A2220, 'Medical Examinations'!$A:$A, 'Medical Examinations'!D:D, "No Data")</f>
        <v>No</v>
      </c>
      <c r="F2220" s="28" t="str">
        <f t="array" ref="F2220">_xlfn.XLOOKUP($A2220, 'Medical Examinations'!$A:$A, 'Medical Examinations'!E:E, "No Data")</f>
        <v>yes</v>
      </c>
      <c r="G2220" s="28" t="str">
        <f t="array" ref="G2220">_xlfn.XLOOKUP($A2220, 'Medical Examinations'!$A:$A, 'Medical Examinations'!F:F, "No Data")</f>
        <v>No</v>
      </c>
      <c r="H2220" s="28">
        <f t="array" ref="H2220">_xlfn.XLOOKUP($A2220, 'Medical Examinations'!$A:$A, 'Medical Examinations'!G:G, "No Data")</f>
        <v>1</v>
      </c>
      <c r="I2220" s="28" t="str">
        <f t="array" ref="I2220">_xlfn.XLOOKUP($A2220, 'Medical Examinations'!$A:$A, 'Medical Examinations'!H:H, "No Data")</f>
        <v>No</v>
      </c>
      <c r="J2220" s="28" t="str">
        <f t="array" ref="J2220">_xlfn.XLOOKUP($A2220, 'Medical Examinations'!$A:$A, 'Medical Examinations'!I:I, "No Data")</f>
        <v>Normal Weight</v>
      </c>
      <c r="K2220" s="28" t="str">
        <f t="array" ref="K2220">_xlfn.XLOOKUP($A2220, 'Hospitalisation Details'!$A:$A, 'Hospitalisation Details'!I:I, "No Data")</f>
        <v>tier - 3</v>
      </c>
      <c r="L2220" s="28" t="str">
        <f t="array" ref="L2220">_xlfn.XLOOKUP($A2220, 'Hospitalisation Details'!$A:$A, 'Hospitalisation Details'!J:J, "No Data")</f>
        <v>R1013</v>
      </c>
      <c r="M2220" s="28" t="str">
        <f t="array" ref="M2220">_xlfn.XLOOKUP($A2220, 'Hospitalisation Details'!$A:$A, 'Hospitalisation Details'!E:E, "No Data")</f>
        <v>19/11/04</v>
      </c>
      <c r="N2220" s="28">
        <f t="array" ref="N2220">_xlfn.XLOOKUP($A2220, 'Hospitalisation Details'!$A:$A, 'Hospitalisation Details'!K:K, "No Data")</f>
        <v>18</v>
      </c>
      <c r="O2220" s="33">
        <f t="array" ref="O2220">_xlfn.XLOOKUP($A2220, 'Hospitalisation Details'!$A:$A, 'Hospitalisation Details'!G:G, "No Data")</f>
        <v>1607.51</v>
      </c>
      <c r="P2220" s="28" t="str">
        <f t="array" ref="P2220">_xlfn.XLOOKUP($A2220, 'Hospitalisation Details'!$A:$A, 'Hospitalisation Details'!H:H, "No Data")</f>
        <v>tier - 2</v>
      </c>
    </row>
    <row r="2221">
      <c r="A2221" s="25" t="s">
        <v>1287</v>
      </c>
      <c r="B2221" s="28" t="str">
        <f t="array" ref="B2221">_xlfn.XLOOKUP($A2221, 'Customer Names'!$A:$A, 'Customer Names'!B:B, "No Data")</f>
        <v>Schwartz</v>
      </c>
      <c r="C2221" s="28">
        <f t="array" ref="C2221">_xlfn.XLOOKUP($A2221, 'Medical Examinations'!$A:$A, 'Medical Examinations'!B:B, "No Data")</f>
        <v>20.15</v>
      </c>
      <c r="D2221" s="28">
        <f t="array" ref="D2221">_xlfn.XLOOKUP($A2221, 'Medical Examinations'!$A:$A, 'Medical Examinations'!C:C, "No Data")</f>
        <v>4.15</v>
      </c>
      <c r="E2221" s="28" t="str">
        <f t="array" ref="E2221">_xlfn.XLOOKUP($A2221, 'Medical Examinations'!$A:$A, 'Medical Examinations'!D:D, "No Data")</f>
        <v>No</v>
      </c>
      <c r="F2221" s="28" t="str">
        <f t="array" ref="F2221">_xlfn.XLOOKUP($A2221, 'Medical Examinations'!$A:$A, 'Medical Examinations'!E:E, "No Data")</f>
        <v>No</v>
      </c>
      <c r="G2221" s="28" t="str">
        <f t="array" ref="G2221">_xlfn.XLOOKUP($A2221, 'Medical Examinations'!$A:$A, 'Medical Examinations'!F:F, "No Data")</f>
        <v>No</v>
      </c>
      <c r="H2221" s="28">
        <f t="array" ref="H2221">_xlfn.XLOOKUP($A2221, 'Medical Examinations'!$A:$A, 'Medical Examinations'!G:G, "No Data")</f>
        <v>1</v>
      </c>
      <c r="I2221" s="28" t="str">
        <f t="array" ref="I2221">_xlfn.XLOOKUP($A2221, 'Medical Examinations'!$A:$A, 'Medical Examinations'!H:H, "No Data")</f>
        <v>No</v>
      </c>
      <c r="J2221" s="28" t="str">
        <f t="array" ref="J2221">_xlfn.XLOOKUP($A2221, 'Medical Examinations'!$A:$A, 'Medical Examinations'!I:I, "No Data")</f>
        <v>Normal Weight</v>
      </c>
      <c r="K2221" s="28" t="str">
        <f t="array" ref="K2221">_xlfn.XLOOKUP($A2221, 'Hospitalisation Details'!$A:$A, 'Hospitalisation Details'!I:I, "No Data")</f>
        <v>tier - 1</v>
      </c>
      <c r="L2221" s="28" t="str">
        <f t="array" ref="L2221">_xlfn.XLOOKUP($A2221, 'Hospitalisation Details'!$A:$A, 'Hospitalisation Details'!J:J, "No Data")</f>
        <v>R1013</v>
      </c>
      <c r="M2221" s="28" t="str">
        <f t="array" ref="M2221">_xlfn.XLOOKUP($A2221, 'Hospitalisation Details'!$A:$A, 'Hospitalisation Details'!E:E, "No Data")</f>
        <v>22/09/92</v>
      </c>
      <c r="N2221" s="28">
        <f t="array" ref="N2221">_xlfn.XLOOKUP($A2221, 'Hospitalisation Details'!$A:$A, 'Hospitalisation Details'!K:K, "No Data")</f>
        <v>30</v>
      </c>
      <c r="O2221" s="33">
        <f t="array" ref="O2221">_xlfn.XLOOKUP($A2221, 'Hospitalisation Details'!$A:$A, 'Hospitalisation Details'!G:G, "No Data")</f>
        <v>1566.88</v>
      </c>
      <c r="P2221" s="28" t="str">
        <f t="array" ref="P2221">_xlfn.XLOOKUP($A2221, 'Hospitalisation Details'!$A:$A, 'Hospitalisation Details'!H:H, "No Data")</f>
        <v>tier - 2</v>
      </c>
    </row>
    <row r="2222">
      <c r="A2222" s="25" t="s">
        <v>1282</v>
      </c>
      <c r="B2222" s="28" t="str">
        <f t="array" ref="B2222">_xlfn.XLOOKUP($A2222, 'Customer Names'!$A:$A, 'Customer Names'!B:B, "No Data")</f>
        <v>Sanseverino</v>
      </c>
      <c r="C2222" s="28">
        <f t="array" ref="C2222">_xlfn.XLOOKUP($A2222, 'Medical Examinations'!$A:$A, 'Medical Examinations'!B:B, "No Data")</f>
        <v>36.85</v>
      </c>
      <c r="D2222" s="28">
        <f t="array" ref="D2222">_xlfn.XLOOKUP($A2222, 'Medical Examinations'!$A:$A, 'Medical Examinations'!C:C, "No Data")</f>
        <v>4.36</v>
      </c>
      <c r="E2222" s="28" t="str">
        <f t="array" ref="E2222">_xlfn.XLOOKUP($A2222, 'Medical Examinations'!$A:$A, 'Medical Examinations'!D:D, "No Data")</f>
        <v>yes</v>
      </c>
      <c r="F2222" s="28" t="str">
        <f t="array" ref="F2222">_xlfn.XLOOKUP($A2222, 'Medical Examinations'!$A:$A, 'Medical Examinations'!E:E, "No Data")</f>
        <v>No</v>
      </c>
      <c r="G2222" s="28" t="str">
        <f t="array" ref="G2222">_xlfn.XLOOKUP($A2222, 'Medical Examinations'!$A:$A, 'Medical Examinations'!F:F, "No Data")</f>
        <v>No</v>
      </c>
      <c r="H2222" s="28">
        <f t="array" ref="H2222">_xlfn.XLOOKUP($A2222, 'Medical Examinations'!$A:$A, 'Medical Examinations'!G:G, "No Data")</f>
        <v>0</v>
      </c>
      <c r="I2222" s="28" t="str">
        <f t="array" ref="I2222">_xlfn.XLOOKUP($A2222, 'Medical Examinations'!$A:$A, 'Medical Examinations'!H:H, "No Data")</f>
        <v>No</v>
      </c>
      <c r="J2222" s="28" t="str">
        <f t="array" ref="J2222">_xlfn.XLOOKUP($A2222, 'Medical Examinations'!$A:$A, 'Medical Examinations'!I:I, "No Data")</f>
        <v>Obesity</v>
      </c>
      <c r="K2222" s="28" t="str">
        <f t="array" ref="K2222">_xlfn.XLOOKUP($A2222, 'Hospitalisation Details'!$A:$A, 'Hospitalisation Details'!I:I, "No Data")</f>
        <v>tier - 2</v>
      </c>
      <c r="L2222" s="28" t="str">
        <f t="array" ref="L2222">_xlfn.XLOOKUP($A2222, 'Hospitalisation Details'!$A:$A, 'Hospitalisation Details'!J:J, "No Data")</f>
        <v>R1013</v>
      </c>
      <c r="M2222" s="28" t="str">
        <f t="array" ref="M2222">_xlfn.XLOOKUP($A2222, 'Hospitalisation Details'!$A:$A, 'Hospitalisation Details'!E:E, "No Data")</f>
        <v>05/12/01</v>
      </c>
      <c r="N2222" s="28">
        <f t="array" ref="N2222">_xlfn.XLOOKUP($A2222, 'Hospitalisation Details'!$A:$A, 'Hospitalisation Details'!K:K, "No Data")</f>
        <v>21</v>
      </c>
      <c r="O2222" s="33">
        <f t="array" ref="O2222">_xlfn.XLOOKUP($A2222, 'Hospitalisation Details'!$A:$A, 'Hospitalisation Details'!G:G, "No Data")</f>
        <v>1534.3</v>
      </c>
      <c r="P2222" s="28" t="str">
        <f t="array" ref="P2222">_xlfn.XLOOKUP($A2222, 'Hospitalisation Details'!$A:$A, 'Hospitalisation Details'!H:H, "No Data")</f>
        <v>tier - 2</v>
      </c>
    </row>
    <row r="2223">
      <c r="A2223" s="25" t="s">
        <v>1276</v>
      </c>
      <c r="B2223" s="28" t="str">
        <f t="array" ref="B2223">_xlfn.XLOOKUP($A2223, 'Customer Names'!$A:$A, 'Customer Names'!B:B, "No Data")</f>
        <v>Lawder</v>
      </c>
      <c r="C2223" s="28">
        <f t="array" ref="C2223">_xlfn.XLOOKUP($A2223, 'Medical Examinations'!$A:$A, 'Medical Examinations'!B:B, "No Data")</f>
        <v>35.53</v>
      </c>
      <c r="D2223" s="28">
        <f t="array" ref="D2223">_xlfn.XLOOKUP($A2223, 'Medical Examinations'!$A:$A, 'Medical Examinations'!C:C, "No Data")</f>
        <v>4.55</v>
      </c>
      <c r="E2223" s="28" t="str">
        <f t="array" ref="E2223">_xlfn.XLOOKUP($A2223, 'Medical Examinations'!$A:$A, 'Medical Examinations'!D:D, "No Data")</f>
        <v>yes</v>
      </c>
      <c r="F2223" s="28" t="str">
        <f t="array" ref="F2223">_xlfn.XLOOKUP($A2223, 'Medical Examinations'!$A:$A, 'Medical Examinations'!E:E, "No Data")</f>
        <v>No</v>
      </c>
      <c r="G2223" s="28" t="str">
        <f t="array" ref="G2223">_xlfn.XLOOKUP($A2223, 'Medical Examinations'!$A:$A, 'Medical Examinations'!F:F, "No Data")</f>
        <v>No</v>
      </c>
      <c r="H2223" s="28">
        <f t="array" ref="H2223">_xlfn.XLOOKUP($A2223, 'Medical Examinations'!$A:$A, 'Medical Examinations'!G:G, "No Data")</f>
        <v>0</v>
      </c>
      <c r="I2223" s="28" t="str">
        <f t="array" ref="I2223">_xlfn.XLOOKUP($A2223, 'Medical Examinations'!$A:$A, 'Medical Examinations'!H:H, "No Data")</f>
        <v>No</v>
      </c>
      <c r="J2223" s="28" t="str">
        <f t="array" ref="J2223">_xlfn.XLOOKUP($A2223, 'Medical Examinations'!$A:$A, 'Medical Examinations'!I:I, "No Data")</f>
        <v>Obesity</v>
      </c>
      <c r="K2223" s="28" t="str">
        <f t="array" ref="K2223">_xlfn.XLOOKUP($A2223, 'Hospitalisation Details'!$A:$A, 'Hospitalisation Details'!I:I, "No Data")</f>
        <v>tier - 2</v>
      </c>
      <c r="L2223" s="28" t="str">
        <f t="array" ref="L2223">_xlfn.XLOOKUP($A2223, 'Hospitalisation Details'!$A:$A, 'Hospitalisation Details'!J:J, "No Data")</f>
        <v>R1013</v>
      </c>
      <c r="M2223" s="28" t="str">
        <f t="array" ref="M2223">_xlfn.XLOOKUP($A2223, 'Hospitalisation Details'!$A:$A, 'Hospitalisation Details'!E:E, "No Data")</f>
        <v>02/06/01</v>
      </c>
      <c r="N2223" s="28">
        <f t="array" ref="N2223">_xlfn.XLOOKUP($A2223, 'Hospitalisation Details'!$A:$A, 'Hospitalisation Details'!K:K, "No Data")</f>
        <v>22</v>
      </c>
      <c r="O2223" s="33">
        <f t="array" ref="O2223">_xlfn.XLOOKUP($A2223, 'Hospitalisation Details'!$A:$A, 'Hospitalisation Details'!G:G, "No Data")</f>
        <v>1532.47</v>
      </c>
      <c r="P2223" s="28" t="str">
        <f t="array" ref="P2223">_xlfn.XLOOKUP($A2223, 'Hospitalisation Details'!$A:$A, 'Hospitalisation Details'!H:H, "No Data")</f>
        <v>tier - 2</v>
      </c>
    </row>
    <row r="2224">
      <c r="A2224" s="25" t="s">
        <v>1271</v>
      </c>
      <c r="B2224" s="28" t="str">
        <f t="array" ref="B2224">_xlfn.XLOOKUP($A2224, 'Customer Names'!$A:$A, 'Customer Names'!B:B, "No Data")</f>
        <v>Young</v>
      </c>
      <c r="C2224" s="28">
        <f t="array" ref="C2224">_xlfn.XLOOKUP($A2224, 'Medical Examinations'!$A:$A, 'Medical Examinations'!B:B, "No Data")</f>
        <v>31.1</v>
      </c>
      <c r="D2224" s="28">
        <f t="array" ref="D2224">_xlfn.XLOOKUP($A2224, 'Medical Examinations'!$A:$A, 'Medical Examinations'!C:C, "No Data")</f>
        <v>4.37</v>
      </c>
      <c r="E2224" s="28" t="str">
        <f t="array" ref="E2224">_xlfn.XLOOKUP($A2224, 'Medical Examinations'!$A:$A, 'Medical Examinations'!D:D, "No Data")</f>
        <v>yes</v>
      </c>
      <c r="F2224" s="28" t="str">
        <f t="array" ref="F2224">_xlfn.XLOOKUP($A2224, 'Medical Examinations'!$A:$A, 'Medical Examinations'!E:E, "No Data")</f>
        <v>No</v>
      </c>
      <c r="G2224" s="28" t="str">
        <f t="array" ref="G2224">_xlfn.XLOOKUP($A2224, 'Medical Examinations'!$A:$A, 'Medical Examinations'!F:F, "No Data")</f>
        <v>No</v>
      </c>
      <c r="H2224" s="28">
        <f t="array" ref="H2224">_xlfn.XLOOKUP($A2224, 'Medical Examinations'!$A:$A, 'Medical Examinations'!G:G, "No Data")</f>
        <v>0</v>
      </c>
      <c r="I2224" s="28" t="str">
        <f t="array" ref="I2224">_xlfn.XLOOKUP($A2224, 'Medical Examinations'!$A:$A, 'Medical Examinations'!H:H, "No Data")</f>
        <v>No</v>
      </c>
      <c r="J2224" s="28" t="str">
        <f t="array" ref="J2224">_xlfn.XLOOKUP($A2224, 'Medical Examinations'!$A:$A, 'Medical Examinations'!I:I, "No Data")</f>
        <v>Obesity</v>
      </c>
      <c r="K2224" s="28" t="str">
        <f t="array" ref="K2224">_xlfn.XLOOKUP($A2224, 'Hospitalisation Details'!$A:$A, 'Hospitalisation Details'!I:I, "No Data")</f>
        <v>tier - 3</v>
      </c>
      <c r="L2224" s="28" t="str">
        <f t="array" ref="L2224">_xlfn.XLOOKUP($A2224, 'Hospitalisation Details'!$A:$A, 'Hospitalisation Details'!J:J, "No Data")</f>
        <v>R1011</v>
      </c>
      <c r="M2224" s="28" t="str">
        <f t="array" ref="M2224">_xlfn.XLOOKUP($A2224, 'Hospitalisation Details'!$A:$A, 'Hospitalisation Details'!E:E, "No Data")</f>
        <v>07/07/01</v>
      </c>
      <c r="N2224" s="28">
        <f t="array" ref="N2224">_xlfn.XLOOKUP($A2224, 'Hospitalisation Details'!$A:$A, 'Hospitalisation Details'!K:K, "No Data")</f>
        <v>21</v>
      </c>
      <c r="O2224" s="33">
        <f t="array" ref="O2224">_xlfn.XLOOKUP($A2224, 'Hospitalisation Details'!$A:$A, 'Hospitalisation Details'!G:G, "No Data")</f>
        <v>1526.31</v>
      </c>
      <c r="P2224" s="28" t="str">
        <f t="array" ref="P2224">_xlfn.XLOOKUP($A2224, 'Hospitalisation Details'!$A:$A, 'Hospitalisation Details'!H:H, "No Data")</f>
        <v>tier - 2</v>
      </c>
    </row>
    <row r="2225">
      <c r="A2225" s="25" t="s">
        <v>1266</v>
      </c>
      <c r="B2225" s="28" t="str">
        <f t="array" ref="B2225">_xlfn.XLOOKUP($A2225, 'Customer Names'!$A:$A, 'Customer Names'!B:B, "No Data")</f>
        <v>Hoerner</v>
      </c>
      <c r="C2225" s="28">
        <f t="array" ref="C2225">_xlfn.XLOOKUP($A2225, 'Medical Examinations'!$A:$A, 'Medical Examinations'!B:B, "No Data")</f>
        <v>23.21</v>
      </c>
      <c r="D2225" s="28">
        <f t="array" ref="D2225">_xlfn.XLOOKUP($A2225, 'Medical Examinations'!$A:$A, 'Medical Examinations'!C:C, "No Data")</f>
        <v>5.24</v>
      </c>
      <c r="E2225" s="28" t="str">
        <f t="array" ref="E2225">_xlfn.XLOOKUP($A2225, 'Medical Examinations'!$A:$A, 'Medical Examinations'!D:D, "No Data")</f>
        <v>yes</v>
      </c>
      <c r="F2225" s="28" t="str">
        <f t="array" ref="F2225">_xlfn.XLOOKUP($A2225, 'Medical Examinations'!$A:$A, 'Medical Examinations'!E:E, "No Data")</f>
        <v>No</v>
      </c>
      <c r="G2225" s="28" t="str">
        <f t="array" ref="G2225">_xlfn.XLOOKUP($A2225, 'Medical Examinations'!$A:$A, 'Medical Examinations'!F:F, "No Data")</f>
        <v>No</v>
      </c>
      <c r="H2225" s="28">
        <f t="array" ref="H2225">_xlfn.XLOOKUP($A2225, 'Medical Examinations'!$A:$A, 'Medical Examinations'!G:G, "No Data")</f>
        <v>0</v>
      </c>
      <c r="I2225" s="28" t="str">
        <f t="array" ref="I2225">_xlfn.XLOOKUP($A2225, 'Medical Examinations'!$A:$A, 'Medical Examinations'!H:H, "No Data")</f>
        <v>No</v>
      </c>
      <c r="J2225" s="28" t="str">
        <f t="array" ref="J2225">_xlfn.XLOOKUP($A2225, 'Medical Examinations'!$A:$A, 'Medical Examinations'!I:I, "No Data")</f>
        <v>Normal Weight</v>
      </c>
      <c r="K2225" s="28" t="str">
        <f t="array" ref="K2225">_xlfn.XLOOKUP($A2225, 'Hospitalisation Details'!$A:$A, 'Hospitalisation Details'!I:I, "No Data")</f>
        <v>tier - 3</v>
      </c>
      <c r="L2225" s="28" t="str">
        <f t="array" ref="L2225">_xlfn.XLOOKUP($A2225, 'Hospitalisation Details'!$A:$A, 'Hospitalisation Details'!J:J, "No Data")</f>
        <v>R1013</v>
      </c>
      <c r="M2225" s="28" t="str">
        <f t="array" ref="M2225">_xlfn.XLOOKUP($A2225, 'Hospitalisation Details'!$A:$A, 'Hospitalisation Details'!E:E, "No Data")</f>
        <v>25/08/01</v>
      </c>
      <c r="N2225" s="28">
        <f t="array" ref="N2225">_xlfn.XLOOKUP($A2225, 'Hospitalisation Details'!$A:$A, 'Hospitalisation Details'!K:K, "No Data")</f>
        <v>21</v>
      </c>
      <c r="O2225" s="33">
        <f t="array" ref="O2225">_xlfn.XLOOKUP($A2225, 'Hospitalisation Details'!$A:$A, 'Hospitalisation Details'!G:G, "No Data")</f>
        <v>1515.34</v>
      </c>
      <c r="P2225" s="28" t="str">
        <f t="array" ref="P2225">_xlfn.XLOOKUP($A2225, 'Hospitalisation Details'!$A:$A, 'Hospitalisation Details'!H:H, "No Data")</f>
        <v>tier - 2</v>
      </c>
    </row>
    <row r="2226">
      <c r="A2226" s="25" t="s">
        <v>1261</v>
      </c>
      <c r="B2226" s="28" t="str">
        <f t="array" ref="B2226">_xlfn.XLOOKUP($A2226, 'Customer Names'!$A:$A, 'Customer Names'!B:B, "No Data")</f>
        <v>Benson</v>
      </c>
      <c r="C2226" s="28">
        <f t="array" ref="C2226">_xlfn.XLOOKUP($A2226, 'Medical Examinations'!$A:$A, 'Medical Examinations'!B:B, "No Data")</f>
        <v>18.36</v>
      </c>
      <c r="D2226" s="28">
        <f t="array" ref="D2226">_xlfn.XLOOKUP($A2226, 'Medical Examinations'!$A:$A, 'Medical Examinations'!C:C, "No Data")</f>
        <v>5.96</v>
      </c>
      <c r="E2226" s="28" t="str">
        <f t="array" ref="E2226">_xlfn.XLOOKUP($A2226, 'Medical Examinations'!$A:$A, 'Medical Examinations'!D:D, "No Data")</f>
        <v>No</v>
      </c>
      <c r="F2226" s="28" t="str">
        <f t="array" ref="F2226">_xlfn.XLOOKUP($A2226, 'Medical Examinations'!$A:$A, 'Medical Examinations'!E:E, "No Data")</f>
        <v>No</v>
      </c>
      <c r="G2226" s="28" t="str">
        <f t="array" ref="G2226">_xlfn.XLOOKUP($A2226, 'Medical Examinations'!$A:$A, 'Medical Examinations'!F:F, "No Data")</f>
        <v>No</v>
      </c>
      <c r="H2226" s="28">
        <f t="array" ref="H2226">_xlfn.XLOOKUP($A2226, 'Medical Examinations'!$A:$A, 'Medical Examinations'!G:G, "No Data")</f>
        <v>1</v>
      </c>
      <c r="I2226" s="28" t="str">
        <f t="array" ref="I2226">_xlfn.XLOOKUP($A2226, 'Medical Examinations'!$A:$A, 'Medical Examinations'!H:H, "No Data")</f>
        <v>No</v>
      </c>
      <c r="J2226" s="28" t="str">
        <f t="array" ref="J2226">_xlfn.XLOOKUP($A2226, 'Medical Examinations'!$A:$A, 'Medical Examinations'!I:I, "No Data")</f>
        <v>Underweight</v>
      </c>
      <c r="K2226" s="28" t="str">
        <f t="array" ref="K2226">_xlfn.XLOOKUP($A2226, 'Hospitalisation Details'!$A:$A, 'Hospitalisation Details'!I:I, "No Data")</f>
        <v>tier - 2</v>
      </c>
      <c r="L2226" s="28" t="str">
        <f t="array" ref="L2226">_xlfn.XLOOKUP($A2226, 'Hospitalisation Details'!$A:$A, 'Hospitalisation Details'!J:J, "No Data")</f>
        <v>R1013</v>
      </c>
      <c r="M2226" s="28" t="str">
        <f t="array" ref="M2226">_xlfn.XLOOKUP($A2226, 'Hospitalisation Details'!$A:$A, 'Hospitalisation Details'!E:E, "No Data")</f>
        <v>19/06/98</v>
      </c>
      <c r="N2226" s="28">
        <f t="array" ref="N2226">_xlfn.XLOOKUP($A2226, 'Hospitalisation Details'!$A:$A, 'Hospitalisation Details'!K:K, "No Data")</f>
        <v>24</v>
      </c>
      <c r="O2226" s="33">
        <f t="array" ref="O2226">_xlfn.XLOOKUP($A2226, 'Hospitalisation Details'!$A:$A, 'Hospitalisation Details'!G:G, "No Data")</f>
        <v>1497</v>
      </c>
      <c r="P2226" s="28" t="str">
        <f t="array" ref="P2226">_xlfn.XLOOKUP($A2226, 'Hospitalisation Details'!$A:$A, 'Hospitalisation Details'!H:H, "No Data")</f>
        <v>tier - 2</v>
      </c>
    </row>
    <row r="2227">
      <c r="A2227" s="25" t="s">
        <v>1259</v>
      </c>
      <c r="B2227" s="28" t="str">
        <f t="array" ref="B2227">_xlfn.XLOOKUP($A2227, 'Customer Names'!$A:$A, 'Customer Names'!B:B, "No Data")</f>
        <v>Horton</v>
      </c>
      <c r="C2227" s="28">
        <f t="array" ref="C2227">_xlfn.XLOOKUP($A2227, 'Medical Examinations'!$A:$A, 'Medical Examinations'!B:B, "No Data")</f>
        <v>15.92</v>
      </c>
      <c r="D2227" s="28">
        <f t="array" ref="D2227">_xlfn.XLOOKUP($A2227, 'Medical Examinations'!$A:$A, 'Medical Examinations'!C:C, "No Data")</f>
        <v>4.76</v>
      </c>
      <c r="E2227" s="28" t="str">
        <f t="array" ref="E2227">_xlfn.XLOOKUP($A2227, 'Medical Examinations'!$A:$A, 'Medical Examinations'!D:D, "No Data")</f>
        <v>yes</v>
      </c>
      <c r="F2227" s="28" t="str">
        <f t="array" ref="F2227">_xlfn.XLOOKUP($A2227, 'Medical Examinations'!$A:$A, 'Medical Examinations'!E:E, "No Data")</f>
        <v>No</v>
      </c>
      <c r="G2227" s="28" t="str">
        <f t="array" ref="G2227">_xlfn.XLOOKUP($A2227, 'Medical Examinations'!$A:$A, 'Medical Examinations'!F:F, "No Data")</f>
        <v>No</v>
      </c>
      <c r="H2227" s="28">
        <f t="array" ref="H2227">_xlfn.XLOOKUP($A2227, 'Medical Examinations'!$A:$A, 'Medical Examinations'!G:G, "No Data")</f>
        <v>1</v>
      </c>
      <c r="I2227" s="28" t="str">
        <f t="array" ref="I2227">_xlfn.XLOOKUP($A2227, 'Medical Examinations'!$A:$A, 'Medical Examinations'!H:H, "No Data")</f>
        <v>No</v>
      </c>
      <c r="J2227" s="28" t="str">
        <f t="array" ref="J2227">_xlfn.XLOOKUP($A2227, 'Medical Examinations'!$A:$A, 'Medical Examinations'!I:I, "No Data")</f>
        <v>Underweight</v>
      </c>
      <c r="K2227" s="28" t="str">
        <f t="array" ref="K2227">_xlfn.XLOOKUP($A2227, 'Hospitalisation Details'!$A:$A, 'Hospitalisation Details'!I:I, "No Data")</f>
        <v>tier - 3</v>
      </c>
      <c r="L2227" s="28" t="str">
        <f t="array" ref="L2227">_xlfn.XLOOKUP($A2227, 'Hospitalisation Details'!$A:$A, 'Hospitalisation Details'!J:J, "No Data")</f>
        <v>R1013</v>
      </c>
      <c r="M2227" s="28" t="str">
        <f t="array" ref="M2227">_xlfn.XLOOKUP($A2227, 'Hospitalisation Details'!$A:$A, 'Hospitalisation Details'!E:E, "No Data")</f>
        <v>07/10/95</v>
      </c>
      <c r="N2227" s="28">
        <f t="array" ref="N2227">_xlfn.XLOOKUP($A2227, 'Hospitalisation Details'!$A:$A, 'Hospitalisation Details'!K:K, "No Data")</f>
        <v>27</v>
      </c>
      <c r="O2227" s="33">
        <f t="array" ref="O2227">_xlfn.XLOOKUP($A2227, 'Hospitalisation Details'!$A:$A, 'Hospitalisation Details'!G:G, "No Data")</f>
        <v>1493</v>
      </c>
      <c r="P2227" s="28" t="str">
        <f t="array" ref="P2227">_xlfn.XLOOKUP($A2227, 'Hospitalisation Details'!$A:$A, 'Hospitalisation Details'!H:H, "No Data")</f>
        <v>tier - 2</v>
      </c>
    </row>
    <row r="2228">
      <c r="A2228" s="25" t="s">
        <v>1255</v>
      </c>
      <c r="B2228" s="28" t="str">
        <f t="array" ref="B2228">_xlfn.XLOOKUP($A2228, 'Customer Names'!$A:$A, 'Customer Names'!B:B, "No Data")</f>
        <v>McGraw</v>
      </c>
      <c r="C2228" s="28">
        <f t="array" ref="C2228">_xlfn.XLOOKUP($A2228, 'Medical Examinations'!$A:$A, 'Medical Examinations'!B:B, "No Data")</f>
        <v>15.17</v>
      </c>
      <c r="D2228" s="28">
        <f t="array" ref="D2228">_xlfn.XLOOKUP($A2228, 'Medical Examinations'!$A:$A, 'Medical Examinations'!C:C, "No Data")</f>
        <v>4.3</v>
      </c>
      <c r="E2228" s="28" t="str">
        <f t="array" ref="E2228">_xlfn.XLOOKUP($A2228, 'Medical Examinations'!$A:$A, 'Medical Examinations'!D:D, "No Data")</f>
        <v>yes</v>
      </c>
      <c r="F2228" s="28" t="str">
        <f t="array" ref="F2228">_xlfn.XLOOKUP($A2228, 'Medical Examinations'!$A:$A, 'Medical Examinations'!E:E, "No Data")</f>
        <v>No</v>
      </c>
      <c r="G2228" s="28" t="str">
        <f t="array" ref="G2228">_xlfn.XLOOKUP($A2228, 'Medical Examinations'!$A:$A, 'Medical Examinations'!F:F, "No Data")</f>
        <v>Yes</v>
      </c>
      <c r="H2228" s="28">
        <f t="array" ref="H2228">_xlfn.XLOOKUP($A2228, 'Medical Examinations'!$A:$A, 'Medical Examinations'!G:G, "No Data")</f>
        <v>1</v>
      </c>
      <c r="I2228" s="28" t="str">
        <f t="array" ref="I2228">_xlfn.XLOOKUP($A2228, 'Medical Examinations'!$A:$A, 'Medical Examinations'!H:H, "No Data")</f>
        <v>No</v>
      </c>
      <c r="J2228" s="28" t="str">
        <f t="array" ref="J2228">_xlfn.XLOOKUP($A2228, 'Medical Examinations'!$A:$A, 'Medical Examinations'!I:I, "No Data")</f>
        <v>Underweight</v>
      </c>
      <c r="K2228" s="28" t="str">
        <f t="array" ref="K2228">_xlfn.XLOOKUP($A2228, 'Hospitalisation Details'!$A:$A, 'Hospitalisation Details'!I:I, "No Data")</f>
        <v>tier - 1</v>
      </c>
      <c r="L2228" s="28" t="str">
        <f t="array" ref="L2228">_xlfn.XLOOKUP($A2228, 'Hospitalisation Details'!$A:$A, 'Hospitalisation Details'!J:J, "No Data")</f>
        <v>R1012</v>
      </c>
      <c r="M2228" s="28" t="str">
        <f t="array" ref="M2228">_xlfn.XLOOKUP($A2228, 'Hospitalisation Details'!$A:$A, 'Hospitalisation Details'!E:E, "No Data")</f>
        <v>09/06/97</v>
      </c>
      <c r="N2228" s="28">
        <f t="array" ref="N2228">_xlfn.XLOOKUP($A2228, 'Hospitalisation Details'!$A:$A, 'Hospitalisation Details'!K:K, "No Data")</f>
        <v>25</v>
      </c>
      <c r="O2228" s="33">
        <f t="array" ref="O2228">_xlfn.XLOOKUP($A2228, 'Hospitalisation Details'!$A:$A, 'Hospitalisation Details'!G:G, "No Data")</f>
        <v>1481</v>
      </c>
      <c r="P2228" s="28" t="str">
        <f t="array" ref="P2228">_xlfn.XLOOKUP($A2228, 'Hospitalisation Details'!$A:$A, 'Hospitalisation Details'!H:H, "No Data")</f>
        <v>tier - 2</v>
      </c>
    </row>
    <row r="2229">
      <c r="A2229" s="25" t="s">
        <v>1250</v>
      </c>
      <c r="B2229" s="28" t="str">
        <f t="array" ref="B2229">_xlfn.XLOOKUP($A2229, 'Customer Names'!$A:$A, 'Customer Names'!B:B, "No Data")</f>
        <v>Beaulne</v>
      </c>
      <c r="C2229" s="28">
        <f t="array" ref="C2229">_xlfn.XLOOKUP($A2229, 'Medical Examinations'!$A:$A, 'Medical Examinations'!B:B, "No Data")</f>
        <v>16.63</v>
      </c>
      <c r="D2229" s="28">
        <f t="array" ref="D2229">_xlfn.XLOOKUP($A2229, 'Medical Examinations'!$A:$A, 'Medical Examinations'!C:C, "No Data")</f>
        <v>4.5</v>
      </c>
      <c r="E2229" s="28" t="str">
        <f t="array" ref="E2229">_xlfn.XLOOKUP($A2229, 'Medical Examinations'!$A:$A, 'Medical Examinations'!D:D, "No Data")</f>
        <v>No</v>
      </c>
      <c r="F2229" s="28" t="str">
        <f t="array" ref="F2229">_xlfn.XLOOKUP($A2229, 'Medical Examinations'!$A:$A, 'Medical Examinations'!E:E, "No Data")</f>
        <v>No</v>
      </c>
      <c r="G2229" s="28" t="str">
        <f t="array" ref="G2229">_xlfn.XLOOKUP($A2229, 'Medical Examinations'!$A:$A, 'Medical Examinations'!F:F, "No Data")</f>
        <v>No</v>
      </c>
      <c r="H2229" s="28">
        <f t="array" ref="H2229">_xlfn.XLOOKUP($A2229, 'Medical Examinations'!$A:$A, 'Medical Examinations'!G:G, "No Data")</f>
        <v>1</v>
      </c>
      <c r="I2229" s="28" t="str">
        <f t="array" ref="I2229">_xlfn.XLOOKUP($A2229, 'Medical Examinations'!$A:$A, 'Medical Examinations'!H:H, "No Data")</f>
        <v>No</v>
      </c>
      <c r="J2229" s="28" t="str">
        <f t="array" ref="J2229">_xlfn.XLOOKUP($A2229, 'Medical Examinations'!$A:$A, 'Medical Examinations'!I:I, "No Data")</f>
        <v>Underweight</v>
      </c>
      <c r="K2229" s="28" t="str">
        <f t="array" ref="K2229">_xlfn.XLOOKUP($A2229, 'Hospitalisation Details'!$A:$A, 'Hospitalisation Details'!I:I, "No Data")</f>
        <v>tier - 1</v>
      </c>
      <c r="L2229" s="28" t="str">
        <f t="array" ref="L2229">_xlfn.XLOOKUP($A2229, 'Hospitalisation Details'!$A:$A, 'Hospitalisation Details'!J:J, "No Data")</f>
        <v>R1013</v>
      </c>
      <c r="M2229" s="28" t="str">
        <f t="array" ref="M2229">_xlfn.XLOOKUP($A2229, 'Hospitalisation Details'!$A:$A, 'Hospitalisation Details'!E:E, "No Data")</f>
        <v>07/12/98</v>
      </c>
      <c r="N2229" s="28">
        <f t="array" ref="N2229">_xlfn.XLOOKUP($A2229, 'Hospitalisation Details'!$A:$A, 'Hospitalisation Details'!K:K, "No Data")</f>
        <v>24</v>
      </c>
      <c r="O2229" s="33">
        <f t="array" ref="O2229">_xlfn.XLOOKUP($A2229, 'Hospitalisation Details'!$A:$A, 'Hospitalisation Details'!G:G, "No Data")</f>
        <v>1477</v>
      </c>
      <c r="P2229" s="28" t="str">
        <f t="array" ref="P2229">_xlfn.XLOOKUP($A2229, 'Hospitalisation Details'!$A:$A, 'Hospitalisation Details'!H:H, "No Data")</f>
        <v>tier - 2</v>
      </c>
    </row>
    <row r="2230">
      <c r="A2230" s="25" t="s">
        <v>1246</v>
      </c>
      <c r="B2230" s="28" t="str">
        <f t="array" ref="B2230">_xlfn.XLOOKUP($A2230, 'Customer Names'!$A:$A, 'Customer Names'!B:B, "No Data")</f>
        <v>Lunz</v>
      </c>
      <c r="C2230" s="28">
        <f t="array" ref="C2230">_xlfn.XLOOKUP($A2230, 'Medical Examinations'!$A:$A, 'Medical Examinations'!B:B, "No Data")</f>
        <v>19.39</v>
      </c>
      <c r="D2230" s="28">
        <f t="array" ref="D2230">_xlfn.XLOOKUP($A2230, 'Medical Examinations'!$A:$A, 'Medical Examinations'!C:C, "No Data")</f>
        <v>5.59</v>
      </c>
      <c r="E2230" s="28" t="str">
        <f t="array" ref="E2230">_xlfn.XLOOKUP($A2230, 'Medical Examinations'!$A:$A, 'Medical Examinations'!D:D, "No Data")</f>
        <v>No</v>
      </c>
      <c r="F2230" s="28" t="str">
        <f t="array" ref="F2230">_xlfn.XLOOKUP($A2230, 'Medical Examinations'!$A:$A, 'Medical Examinations'!E:E, "No Data")</f>
        <v>No</v>
      </c>
      <c r="G2230" s="28" t="str">
        <f t="array" ref="G2230">_xlfn.XLOOKUP($A2230, 'Medical Examinations'!$A:$A, 'Medical Examinations'!F:F, "No Data")</f>
        <v>Yes</v>
      </c>
      <c r="H2230" s="28">
        <f t="array" ref="H2230">_xlfn.XLOOKUP($A2230, 'Medical Examinations'!$A:$A, 'Medical Examinations'!G:G, "No Data")</f>
        <v>1</v>
      </c>
      <c r="I2230" s="28" t="str">
        <f t="array" ref="I2230">_xlfn.XLOOKUP($A2230, 'Medical Examinations'!$A:$A, 'Medical Examinations'!H:H, "No Data")</f>
        <v>No</v>
      </c>
      <c r="J2230" s="28" t="str">
        <f t="array" ref="J2230">_xlfn.XLOOKUP($A2230, 'Medical Examinations'!$A:$A, 'Medical Examinations'!I:I, "No Data")</f>
        <v>Normal Weight</v>
      </c>
      <c r="K2230" s="28" t="str">
        <f t="array" ref="K2230">_xlfn.XLOOKUP($A2230, 'Hospitalisation Details'!$A:$A, 'Hospitalisation Details'!I:I, "No Data")</f>
        <v>tier - 2</v>
      </c>
      <c r="L2230" s="28" t="str">
        <f t="array" ref="L2230">_xlfn.XLOOKUP($A2230, 'Hospitalisation Details'!$A:$A, 'Hospitalisation Details'!J:J, "No Data")</f>
        <v>R1013</v>
      </c>
      <c r="M2230" s="28" t="str">
        <f t="array" ref="M2230">_xlfn.XLOOKUP($A2230, 'Hospitalisation Details'!$A:$A, 'Hospitalisation Details'!E:E, "No Data")</f>
        <v>20/06/03</v>
      </c>
      <c r="N2230" s="28">
        <f t="array" ref="N2230">_xlfn.XLOOKUP($A2230, 'Hospitalisation Details'!$A:$A, 'Hospitalisation Details'!K:K, "No Data")</f>
        <v>19</v>
      </c>
      <c r="O2230" s="33">
        <f t="array" ref="O2230">_xlfn.XLOOKUP($A2230, 'Hospitalisation Details'!$A:$A, 'Hospitalisation Details'!G:G, "No Data")</f>
        <v>1467</v>
      </c>
      <c r="P2230" s="28" t="str">
        <f t="array" ref="P2230">_xlfn.XLOOKUP($A2230, 'Hospitalisation Details'!$A:$A, 'Hospitalisation Details'!H:H, "No Data")</f>
        <v>tier - 2</v>
      </c>
    </row>
    <row r="2231">
      <c r="A2231" s="25" t="s">
        <v>1241</v>
      </c>
      <c r="B2231" s="28" t="str">
        <f t="array" ref="B2231">_xlfn.XLOOKUP($A2231, 'Customer Names'!$A:$A, 'Customer Names'!B:B, "No Data")</f>
        <v>Kyle</v>
      </c>
      <c r="C2231" s="28">
        <f t="array" ref="C2231">_xlfn.XLOOKUP($A2231, 'Medical Examinations'!$A:$A, 'Medical Examinations'!B:B, "No Data")</f>
        <v>17.34</v>
      </c>
      <c r="D2231" s="28">
        <f t="array" ref="D2231">_xlfn.XLOOKUP($A2231, 'Medical Examinations'!$A:$A, 'Medical Examinations'!C:C, "No Data")</f>
        <v>6.29</v>
      </c>
      <c r="E2231" s="28" t="str">
        <f t="array" ref="E2231">_xlfn.XLOOKUP($A2231, 'Medical Examinations'!$A:$A, 'Medical Examinations'!D:D, "No Data")</f>
        <v>yes</v>
      </c>
      <c r="F2231" s="28" t="str">
        <f t="array" ref="F2231">_xlfn.XLOOKUP($A2231, 'Medical Examinations'!$A:$A, 'Medical Examinations'!E:E, "No Data")</f>
        <v>No</v>
      </c>
      <c r="G2231" s="28" t="str">
        <f t="array" ref="G2231">_xlfn.XLOOKUP($A2231, 'Medical Examinations'!$A:$A, 'Medical Examinations'!F:F, "No Data")</f>
        <v>Yes</v>
      </c>
      <c r="H2231" s="28">
        <f t="array" ref="H2231">_xlfn.XLOOKUP($A2231, 'Medical Examinations'!$A:$A, 'Medical Examinations'!G:G, "No Data")</f>
        <v>1</v>
      </c>
      <c r="I2231" s="28" t="str">
        <f t="array" ref="I2231">_xlfn.XLOOKUP($A2231, 'Medical Examinations'!$A:$A, 'Medical Examinations'!H:H, "No Data")</f>
        <v>No</v>
      </c>
      <c r="J2231" s="28" t="str">
        <f t="array" ref="J2231">_xlfn.XLOOKUP($A2231, 'Medical Examinations'!$A:$A, 'Medical Examinations'!I:I, "No Data")</f>
        <v>Underweight</v>
      </c>
      <c r="K2231" s="28" t="str">
        <f t="array" ref="K2231">_xlfn.XLOOKUP($A2231, 'Hospitalisation Details'!$A:$A, 'Hospitalisation Details'!I:I, "No Data")</f>
        <v>tier - 1</v>
      </c>
      <c r="L2231" s="28" t="str">
        <f t="array" ref="L2231">_xlfn.XLOOKUP($A2231, 'Hospitalisation Details'!$A:$A, 'Hospitalisation Details'!J:J, "No Data")</f>
        <v>R1013</v>
      </c>
      <c r="M2231" s="28" t="str">
        <f t="array" ref="M2231">_xlfn.XLOOKUP($A2231, 'Hospitalisation Details'!$A:$A, 'Hospitalisation Details'!E:E, "No Data")</f>
        <v>19/06/97</v>
      </c>
      <c r="N2231" s="28">
        <f t="array" ref="N2231">_xlfn.XLOOKUP($A2231, 'Hospitalisation Details'!$A:$A, 'Hospitalisation Details'!K:K, "No Data")</f>
        <v>25</v>
      </c>
      <c r="O2231" s="33">
        <f t="array" ref="O2231">_xlfn.XLOOKUP($A2231, 'Hospitalisation Details'!$A:$A, 'Hospitalisation Details'!G:G, "No Data")</f>
        <v>1445</v>
      </c>
      <c r="P2231" s="28" t="str">
        <f t="array" ref="P2231">_xlfn.XLOOKUP($A2231, 'Hospitalisation Details'!$A:$A, 'Hospitalisation Details'!H:H, "No Data")</f>
        <v>tier - 2</v>
      </c>
    </row>
    <row r="2232">
      <c r="A2232" s="25" t="s">
        <v>1237</v>
      </c>
      <c r="B2232" s="28" t="str">
        <f t="array" ref="B2232">_xlfn.XLOOKUP($A2232, 'Customer Names'!$A:$A, 'Customer Names'!B:B, "No Data")</f>
        <v>Brackenwagen</v>
      </c>
      <c r="C2232" s="28">
        <f t="array" ref="C2232">_xlfn.XLOOKUP($A2232, 'Medical Examinations'!$A:$A, 'Medical Examinations'!B:B, "No Data")</f>
        <v>17.94</v>
      </c>
      <c r="D2232" s="28">
        <f t="array" ref="D2232">_xlfn.XLOOKUP($A2232, 'Medical Examinations'!$A:$A, 'Medical Examinations'!C:C, "No Data")</f>
        <v>4.19</v>
      </c>
      <c r="E2232" s="28" t="str">
        <f t="array" ref="E2232">_xlfn.XLOOKUP($A2232, 'Medical Examinations'!$A:$A, 'Medical Examinations'!D:D, "No Data")</f>
        <v>No</v>
      </c>
      <c r="F2232" s="28" t="str">
        <f t="array" ref="F2232">_xlfn.XLOOKUP($A2232, 'Medical Examinations'!$A:$A, 'Medical Examinations'!E:E, "No Data")</f>
        <v>yes</v>
      </c>
      <c r="G2232" s="28" t="str">
        <f t="array" ref="G2232">_xlfn.XLOOKUP($A2232, 'Medical Examinations'!$A:$A, 'Medical Examinations'!F:F, "No Data")</f>
        <v>No</v>
      </c>
      <c r="H2232" s="28">
        <f t="array" ref="H2232">_xlfn.XLOOKUP($A2232, 'Medical Examinations'!$A:$A, 'Medical Examinations'!G:G, "No Data")</f>
        <v>1</v>
      </c>
      <c r="I2232" s="28" t="str">
        <f t="array" ref="I2232">_xlfn.XLOOKUP($A2232, 'Medical Examinations'!$A:$A, 'Medical Examinations'!H:H, "No Data")</f>
        <v>No</v>
      </c>
      <c r="J2232" s="28" t="str">
        <f t="array" ref="J2232">_xlfn.XLOOKUP($A2232, 'Medical Examinations'!$A:$A, 'Medical Examinations'!I:I, "No Data")</f>
        <v>Underweight</v>
      </c>
      <c r="K2232" s="28" t="str">
        <f t="array" ref="K2232">_xlfn.XLOOKUP($A2232, 'Hospitalisation Details'!$A:$A, 'Hospitalisation Details'!I:I, "No Data")</f>
        <v>tier - 2</v>
      </c>
      <c r="L2232" s="28" t="str">
        <f t="array" ref="L2232">_xlfn.XLOOKUP($A2232, 'Hospitalisation Details'!$A:$A, 'Hospitalisation Details'!J:J, "No Data")</f>
        <v>R1013</v>
      </c>
      <c r="M2232" s="28" t="str">
        <f t="array" ref="M2232">_xlfn.XLOOKUP($A2232, 'Hospitalisation Details'!$A:$A, 'Hospitalisation Details'!E:E, "No Data")</f>
        <v>01/09/00</v>
      </c>
      <c r="N2232" s="28">
        <f t="array" ref="N2232">_xlfn.XLOOKUP($A2232, 'Hospitalisation Details'!$A:$A, 'Hospitalisation Details'!K:K, "No Data")</f>
        <v>22</v>
      </c>
      <c r="O2232" s="33">
        <f t="array" ref="O2232">_xlfn.XLOOKUP($A2232, 'Hospitalisation Details'!$A:$A, 'Hospitalisation Details'!G:G, "No Data")</f>
        <v>1438</v>
      </c>
      <c r="P2232" s="28" t="str">
        <f t="array" ref="P2232">_xlfn.XLOOKUP($A2232, 'Hospitalisation Details'!$A:$A, 'Hospitalisation Details'!H:H, "No Data")</f>
        <v>tier - 2</v>
      </c>
    </row>
    <row r="2233">
      <c r="A2233" s="25" t="s">
        <v>1234</v>
      </c>
      <c r="B2233" s="28" t="str">
        <f t="array" ref="B2233">_xlfn.XLOOKUP($A2233, 'Customer Names'!$A:$A, 'Customer Names'!B:B, "No Data")</f>
        <v>Schmitt</v>
      </c>
      <c r="C2233" s="28">
        <f t="array" ref="C2233">_xlfn.XLOOKUP($A2233, 'Medical Examinations'!$A:$A, 'Medical Examinations'!B:B, "No Data")</f>
        <v>16.67</v>
      </c>
      <c r="D2233" s="28">
        <f t="array" ref="D2233">_xlfn.XLOOKUP($A2233, 'Medical Examinations'!$A:$A, 'Medical Examinations'!C:C, "No Data")</f>
        <v>4.7</v>
      </c>
      <c r="E2233" s="28" t="str">
        <f t="array" ref="E2233">_xlfn.XLOOKUP($A2233, 'Medical Examinations'!$A:$A, 'Medical Examinations'!D:D, "No Data")</f>
        <v>yes</v>
      </c>
      <c r="F2233" s="28" t="str">
        <f t="array" ref="F2233">_xlfn.XLOOKUP($A2233, 'Medical Examinations'!$A:$A, 'Medical Examinations'!E:E, "No Data")</f>
        <v>No</v>
      </c>
      <c r="G2233" s="28" t="str">
        <f t="array" ref="G2233">_xlfn.XLOOKUP($A2233, 'Medical Examinations'!$A:$A, 'Medical Examinations'!F:F, "No Data")</f>
        <v>Yes</v>
      </c>
      <c r="H2233" s="28">
        <f t="array" ref="H2233">_xlfn.XLOOKUP($A2233, 'Medical Examinations'!$A:$A, 'Medical Examinations'!G:G, "No Data")</f>
        <v>1</v>
      </c>
      <c r="I2233" s="28" t="str">
        <f t="array" ref="I2233">_xlfn.XLOOKUP($A2233, 'Medical Examinations'!$A:$A, 'Medical Examinations'!H:H, "No Data")</f>
        <v>No</v>
      </c>
      <c r="J2233" s="28" t="str">
        <f t="array" ref="J2233">_xlfn.XLOOKUP($A2233, 'Medical Examinations'!$A:$A, 'Medical Examinations'!I:I, "No Data")</f>
        <v>Underweight</v>
      </c>
      <c r="K2233" s="28" t="str">
        <f t="array" ref="K2233">_xlfn.XLOOKUP($A2233, 'Hospitalisation Details'!$A:$A, 'Hospitalisation Details'!I:I, "No Data")</f>
        <v>tier - 2</v>
      </c>
      <c r="L2233" s="28" t="str">
        <f t="array" ref="L2233">_xlfn.XLOOKUP($A2233, 'Hospitalisation Details'!$A:$A, 'Hospitalisation Details'!J:J, "No Data")</f>
        <v>R1013</v>
      </c>
      <c r="M2233" s="28" t="str">
        <f t="array" ref="M2233">_xlfn.XLOOKUP($A2233, 'Hospitalisation Details'!$A:$A, 'Hospitalisation Details'!E:E, "No Data")</f>
        <v>05/12/97</v>
      </c>
      <c r="N2233" s="28">
        <f t="array" ref="N2233">_xlfn.XLOOKUP($A2233, 'Hospitalisation Details'!$A:$A, 'Hospitalisation Details'!K:K, "No Data")</f>
        <v>25</v>
      </c>
      <c r="O2233" s="33">
        <f t="array" ref="O2233">_xlfn.XLOOKUP($A2233, 'Hospitalisation Details'!$A:$A, 'Hospitalisation Details'!G:G, "No Data")</f>
        <v>1422</v>
      </c>
      <c r="P2233" s="28" t="str">
        <f t="array" ref="P2233">_xlfn.XLOOKUP($A2233, 'Hospitalisation Details'!$A:$A, 'Hospitalisation Details'!H:H, "No Data")</f>
        <v>tier - 2</v>
      </c>
    </row>
    <row r="2234">
      <c r="A2234" s="25" t="s">
        <v>1230</v>
      </c>
      <c r="B2234" s="28" t="str">
        <f t="array" ref="B2234">_xlfn.XLOOKUP($A2234, 'Customer Names'!$A:$A, 'Customer Names'!B:B, "No Data")</f>
        <v>Borden</v>
      </c>
      <c r="C2234" s="28">
        <f t="array" ref="C2234">_xlfn.XLOOKUP($A2234, 'Medical Examinations'!$A:$A, 'Medical Examinations'!B:B, "No Data")</f>
        <v>20.58</v>
      </c>
      <c r="D2234" s="28">
        <f t="array" ref="D2234">_xlfn.XLOOKUP($A2234, 'Medical Examinations'!$A:$A, 'Medical Examinations'!C:C, "No Data")</f>
        <v>5.64</v>
      </c>
      <c r="E2234" s="28" t="str">
        <f t="array" ref="E2234">_xlfn.XLOOKUP($A2234, 'Medical Examinations'!$A:$A, 'Medical Examinations'!D:D, "No Data")</f>
        <v>yes</v>
      </c>
      <c r="F2234" s="28" t="str">
        <f t="array" ref="F2234">_xlfn.XLOOKUP($A2234, 'Medical Examinations'!$A:$A, 'Medical Examinations'!E:E, "No Data")</f>
        <v>No</v>
      </c>
      <c r="G2234" s="28" t="str">
        <f t="array" ref="G2234">_xlfn.XLOOKUP($A2234, 'Medical Examinations'!$A:$A, 'Medical Examinations'!F:F, "No Data")</f>
        <v>No</v>
      </c>
      <c r="H2234" s="28">
        <f t="array" ref="H2234">_xlfn.XLOOKUP($A2234, 'Medical Examinations'!$A:$A, 'Medical Examinations'!G:G, "No Data")</f>
        <v>0</v>
      </c>
      <c r="I2234" s="28" t="str">
        <f t="array" ref="I2234">_xlfn.XLOOKUP($A2234, 'Medical Examinations'!$A:$A, 'Medical Examinations'!H:H, "No Data")</f>
        <v>No</v>
      </c>
      <c r="J2234" s="28" t="str">
        <f t="array" ref="J2234">_xlfn.XLOOKUP($A2234, 'Medical Examinations'!$A:$A, 'Medical Examinations'!I:I, "No Data")</f>
        <v>Normal Weight</v>
      </c>
      <c r="K2234" s="28" t="str">
        <f t="array" ref="K2234">_xlfn.XLOOKUP($A2234, 'Hospitalisation Details'!$A:$A, 'Hospitalisation Details'!I:I, "No Data")</f>
        <v>tier - 2</v>
      </c>
      <c r="L2234" s="28" t="str">
        <f t="array" ref="L2234">_xlfn.XLOOKUP($A2234, 'Hospitalisation Details'!$A:$A, 'Hospitalisation Details'!J:J, "No Data")</f>
        <v>R1013</v>
      </c>
      <c r="M2234" s="28" t="str">
        <f t="array" ref="M2234">_xlfn.XLOOKUP($A2234, 'Hospitalisation Details'!$A:$A, 'Hospitalisation Details'!E:E, "No Data")</f>
        <v>23/08/01</v>
      </c>
      <c r="N2234" s="28">
        <f t="array" ref="N2234">_xlfn.XLOOKUP($A2234, 'Hospitalisation Details'!$A:$A, 'Hospitalisation Details'!K:K, "No Data")</f>
        <v>21</v>
      </c>
      <c r="O2234" s="33">
        <f t="array" ref="O2234">_xlfn.XLOOKUP($A2234, 'Hospitalisation Details'!$A:$A, 'Hospitalisation Details'!G:G, "No Data")</f>
        <v>1421</v>
      </c>
      <c r="P2234" s="28" t="str">
        <f t="array" ref="P2234">_xlfn.XLOOKUP($A2234, 'Hospitalisation Details'!$A:$A, 'Hospitalisation Details'!H:H, "No Data")</f>
        <v>tier - 2</v>
      </c>
    </row>
    <row r="2235">
      <c r="A2235" s="25" t="s">
        <v>1222</v>
      </c>
      <c r="B2235" s="28" t="str">
        <f t="array" ref="B2235">_xlfn.XLOOKUP($A2235, 'Customer Names'!$A:$A, 'Customer Names'!B:B, "No Data")</f>
        <v>McLean</v>
      </c>
      <c r="C2235" s="28">
        <f t="array" ref="C2235">_xlfn.XLOOKUP($A2235, 'Medical Examinations'!$A:$A, 'Medical Examinations'!B:B, "No Data")</f>
        <v>16.5</v>
      </c>
      <c r="D2235" s="28">
        <f t="array" ref="D2235">_xlfn.XLOOKUP($A2235, 'Medical Examinations'!$A:$A, 'Medical Examinations'!C:C, "No Data")</f>
        <v>4.11</v>
      </c>
      <c r="E2235" s="28" t="str">
        <f t="array" ref="E2235">_xlfn.XLOOKUP($A2235, 'Medical Examinations'!$A:$A, 'Medical Examinations'!D:D, "No Data")</f>
        <v>yes</v>
      </c>
      <c r="F2235" s="28" t="str">
        <f t="array" ref="F2235">_xlfn.XLOOKUP($A2235, 'Medical Examinations'!$A:$A, 'Medical Examinations'!E:E, "No Data")</f>
        <v>No</v>
      </c>
      <c r="G2235" s="28" t="str">
        <f t="array" ref="G2235">_xlfn.XLOOKUP($A2235, 'Medical Examinations'!$A:$A, 'Medical Examinations'!F:F, "No Data")</f>
        <v>No</v>
      </c>
      <c r="H2235" s="28">
        <f t="array" ref="H2235">_xlfn.XLOOKUP($A2235, 'Medical Examinations'!$A:$A, 'Medical Examinations'!G:G, "No Data")</f>
        <v>0</v>
      </c>
      <c r="I2235" s="28" t="str">
        <f t="array" ref="I2235">_xlfn.XLOOKUP($A2235, 'Medical Examinations'!$A:$A, 'Medical Examinations'!H:H, "No Data")</f>
        <v>No</v>
      </c>
      <c r="J2235" s="28" t="str">
        <f t="array" ref="J2235">_xlfn.XLOOKUP($A2235, 'Medical Examinations'!$A:$A, 'Medical Examinations'!I:I, "No Data")</f>
        <v>Underweight</v>
      </c>
      <c r="K2235" s="28" t="str">
        <f t="array" ref="K2235">_xlfn.XLOOKUP($A2235, 'Hospitalisation Details'!$A:$A, 'Hospitalisation Details'!I:I, "No Data")</f>
        <v>tier - 3</v>
      </c>
      <c r="L2235" s="28" t="str">
        <f t="array" ref="L2235">_xlfn.XLOOKUP($A2235, 'Hospitalisation Details'!$A:$A, 'Hospitalisation Details'!J:J, "No Data")</f>
        <v>R1013</v>
      </c>
      <c r="M2235" s="28" t="str">
        <f t="array" ref="M2235">_xlfn.XLOOKUP($A2235, 'Hospitalisation Details'!$A:$A, 'Hospitalisation Details'!E:E, "No Data")</f>
        <v>23/06/96</v>
      </c>
      <c r="N2235" s="28">
        <f t="array" ref="N2235">_xlfn.XLOOKUP($A2235, 'Hospitalisation Details'!$A:$A, 'Hospitalisation Details'!K:K, "No Data")</f>
        <v>26</v>
      </c>
      <c r="O2235" s="33">
        <f t="array" ref="O2235">_xlfn.XLOOKUP($A2235, 'Hospitalisation Details'!$A:$A, 'Hospitalisation Details'!G:G, "No Data")</f>
        <v>1417</v>
      </c>
      <c r="P2235" s="28" t="str">
        <f t="array" ref="P2235">_xlfn.XLOOKUP($A2235, 'Hospitalisation Details'!$A:$A, 'Hospitalisation Details'!H:H, "No Data")</f>
        <v>tier - 2</v>
      </c>
    </row>
    <row r="2236">
      <c r="A2236" s="25" t="s">
        <v>1219</v>
      </c>
      <c r="B2236" s="28" t="str">
        <f t="array" ref="B2236">_xlfn.XLOOKUP($A2236, 'Customer Names'!$A:$A, 'Customer Names'!B:B, "No Data")</f>
        <v>Regan</v>
      </c>
      <c r="C2236" s="28">
        <f t="array" ref="C2236">_xlfn.XLOOKUP($A2236, 'Medical Examinations'!$A:$A, 'Medical Examinations'!B:B, "No Data")</f>
        <v>15.41</v>
      </c>
      <c r="D2236" s="28">
        <f t="array" ref="D2236">_xlfn.XLOOKUP($A2236, 'Medical Examinations'!$A:$A, 'Medical Examinations'!C:C, "No Data")</f>
        <v>5.43</v>
      </c>
      <c r="E2236" s="28" t="str">
        <f t="array" ref="E2236">_xlfn.XLOOKUP($A2236, 'Medical Examinations'!$A:$A, 'Medical Examinations'!D:D, "No Data")</f>
        <v>yes</v>
      </c>
      <c r="F2236" s="28" t="str">
        <f t="array" ref="F2236">_xlfn.XLOOKUP($A2236, 'Medical Examinations'!$A:$A, 'Medical Examinations'!E:E, "No Data")</f>
        <v>No</v>
      </c>
      <c r="G2236" s="28" t="str">
        <f t="array" ref="G2236">_xlfn.XLOOKUP($A2236, 'Medical Examinations'!$A:$A, 'Medical Examinations'!F:F, "No Data")</f>
        <v>Yes</v>
      </c>
      <c r="H2236" s="28">
        <f t="array" ref="H2236">_xlfn.XLOOKUP($A2236, 'Medical Examinations'!$A:$A, 'Medical Examinations'!G:G, "No Data")</f>
        <v>1</v>
      </c>
      <c r="I2236" s="28" t="str">
        <f t="array" ref="I2236">_xlfn.XLOOKUP($A2236, 'Medical Examinations'!$A:$A, 'Medical Examinations'!H:H, "No Data")</f>
        <v>No</v>
      </c>
      <c r="J2236" s="28" t="str">
        <f t="array" ref="J2236">_xlfn.XLOOKUP($A2236, 'Medical Examinations'!$A:$A, 'Medical Examinations'!I:I, "No Data")</f>
        <v>Underweight</v>
      </c>
      <c r="K2236" s="28" t="str">
        <f t="array" ref="K2236">_xlfn.XLOOKUP($A2236, 'Hospitalisation Details'!$A:$A, 'Hospitalisation Details'!I:I, "No Data")</f>
        <v>tier - 3</v>
      </c>
      <c r="L2236" s="28" t="str">
        <f t="array" ref="L2236">_xlfn.XLOOKUP($A2236, 'Hospitalisation Details'!$A:$A, 'Hospitalisation Details'!J:J, "No Data")</f>
        <v>R1011</v>
      </c>
      <c r="M2236" s="28" t="str">
        <f t="array" ref="M2236">_xlfn.XLOOKUP($A2236, 'Hospitalisation Details'!$A:$A, 'Hospitalisation Details'!E:E, "No Data")</f>
        <v>27/10/97</v>
      </c>
      <c r="N2236" s="28">
        <f t="array" ref="N2236">_xlfn.XLOOKUP($A2236, 'Hospitalisation Details'!$A:$A, 'Hospitalisation Details'!K:K, "No Data")</f>
        <v>25</v>
      </c>
      <c r="O2236" s="33">
        <f t="array" ref="O2236">_xlfn.XLOOKUP($A2236, 'Hospitalisation Details'!$A:$A, 'Hospitalisation Details'!G:G, "No Data")</f>
        <v>1402</v>
      </c>
      <c r="P2236" s="28" t="str">
        <f t="array" ref="P2236">_xlfn.XLOOKUP($A2236, 'Hospitalisation Details'!$A:$A, 'Hospitalisation Details'!H:H, "No Data")</f>
        <v>tier - 2</v>
      </c>
    </row>
    <row r="2237">
      <c r="A2237" s="25" t="s">
        <v>1215</v>
      </c>
      <c r="B2237" s="28" t="str">
        <f t="array" ref="B2237">_xlfn.XLOOKUP($A2237, 'Customer Names'!$A:$A, 'Customer Names'!B:B, "No Data")</f>
        <v>Koenis</v>
      </c>
      <c r="C2237" s="28">
        <f t="array" ref="C2237">_xlfn.XLOOKUP($A2237, 'Medical Examinations'!$A:$A, 'Medical Examinations'!B:B, "No Data")</f>
        <v>24.59</v>
      </c>
      <c r="D2237" s="28">
        <f t="array" ref="D2237">_xlfn.XLOOKUP($A2237, 'Medical Examinations'!$A:$A, 'Medical Examinations'!C:C, "No Data")</f>
        <v>4.38</v>
      </c>
      <c r="E2237" s="28" t="str">
        <f t="array" ref="E2237">_xlfn.XLOOKUP($A2237, 'Medical Examinations'!$A:$A, 'Medical Examinations'!D:D, "No Data")</f>
        <v>No</v>
      </c>
      <c r="F2237" s="28" t="str">
        <f t="array" ref="F2237">_xlfn.XLOOKUP($A2237, 'Medical Examinations'!$A:$A, 'Medical Examinations'!E:E, "No Data")</f>
        <v>No</v>
      </c>
      <c r="G2237" s="28" t="str">
        <f t="array" ref="G2237">_xlfn.XLOOKUP($A2237, 'Medical Examinations'!$A:$A, 'Medical Examinations'!F:F, "No Data")</f>
        <v>No</v>
      </c>
      <c r="H2237" s="28">
        <f t="array" ref="H2237">_xlfn.XLOOKUP($A2237, 'Medical Examinations'!$A:$A, 'Medical Examinations'!G:G, "No Data")</f>
        <v>1</v>
      </c>
      <c r="I2237" s="28" t="str">
        <f t="array" ref="I2237">_xlfn.XLOOKUP($A2237, 'Medical Examinations'!$A:$A, 'Medical Examinations'!H:H, "No Data")</f>
        <v>No</v>
      </c>
      <c r="J2237" s="28" t="str">
        <f t="array" ref="J2237">_xlfn.XLOOKUP($A2237, 'Medical Examinations'!$A:$A, 'Medical Examinations'!I:I, "No Data")</f>
        <v>Normal Weight</v>
      </c>
      <c r="K2237" s="28" t="str">
        <f t="array" ref="K2237">_xlfn.XLOOKUP($A2237, 'Hospitalisation Details'!$A:$A, 'Hospitalisation Details'!I:I, "No Data")</f>
        <v>tier - 2</v>
      </c>
      <c r="L2237" s="28" t="str">
        <f t="array" ref="L2237">_xlfn.XLOOKUP($A2237, 'Hospitalisation Details'!$A:$A, 'Hospitalisation Details'!J:J, "No Data")</f>
        <v>R1013</v>
      </c>
      <c r="M2237" s="28" t="str">
        <f t="array" ref="M2237">_xlfn.XLOOKUP($A2237, 'Hospitalisation Details'!$A:$A, 'Hospitalisation Details'!E:E, "No Data")</f>
        <v>05/09/98</v>
      </c>
      <c r="N2237" s="28">
        <f t="array" ref="N2237">_xlfn.XLOOKUP($A2237, 'Hospitalisation Details'!$A:$A, 'Hospitalisation Details'!K:K, "No Data")</f>
        <v>24</v>
      </c>
      <c r="O2237" s="33">
        <f t="array" ref="O2237">_xlfn.XLOOKUP($A2237, 'Hospitalisation Details'!$A:$A, 'Hospitalisation Details'!G:G, "No Data")</f>
        <v>1400.44</v>
      </c>
      <c r="P2237" s="28" t="str">
        <f t="array" ref="P2237">_xlfn.XLOOKUP($A2237, 'Hospitalisation Details'!$A:$A, 'Hospitalisation Details'!H:H, "No Data")</f>
        <v>tier - 2</v>
      </c>
    </row>
    <row r="2238">
      <c r="A2238" s="25" t="s">
        <v>1208</v>
      </c>
      <c r="B2238" s="28" t="str">
        <f t="array" ref="B2238">_xlfn.XLOOKUP($A2238, 'Customer Names'!$A:$A, 'Customer Names'!B:B, "No Data")</f>
        <v>Kittaka</v>
      </c>
      <c r="C2238" s="28">
        <f t="array" ref="C2238">_xlfn.XLOOKUP($A2238, 'Medical Examinations'!$A:$A, 'Medical Examinations'!B:B, "No Data")</f>
        <v>33.33</v>
      </c>
      <c r="D2238" s="28">
        <f t="array" ref="D2238">_xlfn.XLOOKUP($A2238, 'Medical Examinations'!$A:$A, 'Medical Examinations'!C:C, "No Data")</f>
        <v>9.79</v>
      </c>
      <c r="E2238" s="28" t="str">
        <f t="array" ref="E2238">_xlfn.XLOOKUP($A2238, 'Medical Examinations'!$A:$A, 'Medical Examinations'!D:D, "No Data")</f>
        <v>No</v>
      </c>
      <c r="F2238" s="28" t="str">
        <f t="array" ref="F2238">_xlfn.XLOOKUP($A2238, 'Medical Examinations'!$A:$A, 'Medical Examinations'!E:E, "No Data")</f>
        <v>No</v>
      </c>
      <c r="G2238" s="28" t="str">
        <f t="array" ref="G2238">_xlfn.XLOOKUP($A2238, 'Medical Examinations'!$A:$A, 'Medical Examinations'!F:F, "No Data")</f>
        <v>No</v>
      </c>
      <c r="H2238" s="28">
        <f t="array" ref="H2238">_xlfn.XLOOKUP($A2238, 'Medical Examinations'!$A:$A, 'Medical Examinations'!G:G, "No Data")</f>
        <v>0</v>
      </c>
      <c r="I2238" s="28" t="str">
        <f t="array" ref="I2238">_xlfn.XLOOKUP($A2238, 'Medical Examinations'!$A:$A, 'Medical Examinations'!H:H, "No Data")</f>
        <v>No</v>
      </c>
      <c r="J2238" s="28" t="str">
        <f t="array" ref="J2238">_xlfn.XLOOKUP($A2238, 'Medical Examinations'!$A:$A, 'Medical Examinations'!I:I, "No Data")</f>
        <v>Obesity</v>
      </c>
      <c r="K2238" s="28" t="str">
        <f t="array" ref="K2238">_xlfn.XLOOKUP($A2238, 'Hospitalisation Details'!$A:$A, 'Hospitalisation Details'!I:I, "No Data")</f>
        <v>tier - 1</v>
      </c>
      <c r="L2238" s="28" t="str">
        <f t="array" ref="L2238">_xlfn.XLOOKUP($A2238, 'Hospitalisation Details'!$A:$A, 'Hospitalisation Details'!J:J, "No Data")</f>
        <v>R1013</v>
      </c>
      <c r="M2238" s="28" t="str">
        <f t="array" ref="M2238">_xlfn.XLOOKUP($A2238, 'Hospitalisation Details'!$A:$A, 'Hospitalisation Details'!E:E, "No Data")</f>
        <v>22/12/02</v>
      </c>
      <c r="N2238" s="28">
        <f t="array" ref="N2238">_xlfn.XLOOKUP($A2238, 'Hospitalisation Details'!$A:$A, 'Hospitalisation Details'!K:K, "No Data")</f>
        <v>20</v>
      </c>
      <c r="O2238" s="33">
        <f t="array" ref="O2238">_xlfn.XLOOKUP($A2238, 'Hospitalisation Details'!$A:$A, 'Hospitalisation Details'!G:G, "No Data")</f>
        <v>1391.53</v>
      </c>
      <c r="P2238" s="28" t="str">
        <f t="array" ref="P2238">_xlfn.XLOOKUP($A2238, 'Hospitalisation Details'!$A:$A, 'Hospitalisation Details'!H:H, "No Data")</f>
        <v>tier - 2</v>
      </c>
    </row>
    <row r="2239">
      <c r="A2239" s="25" t="s">
        <v>1205</v>
      </c>
      <c r="B2239" s="28" t="str">
        <f t="array" ref="B2239">_xlfn.XLOOKUP($A2239, 'Customer Names'!$A:$A, 'Customer Names'!B:B, "No Data")</f>
        <v>Concannon</v>
      </c>
      <c r="C2239" s="28">
        <f t="array" ref="C2239">_xlfn.XLOOKUP($A2239, 'Medical Examinations'!$A:$A, 'Medical Examinations'!B:B, "No Data")</f>
        <v>18.5</v>
      </c>
      <c r="D2239" s="28">
        <f t="array" ref="D2239">_xlfn.XLOOKUP($A2239, 'Medical Examinations'!$A:$A, 'Medical Examinations'!C:C, "No Data")</f>
        <v>11.84</v>
      </c>
      <c r="E2239" s="28" t="str">
        <f t="array" ref="E2239">_xlfn.XLOOKUP($A2239, 'Medical Examinations'!$A:$A, 'Medical Examinations'!D:D, "No Data")</f>
        <v>No</v>
      </c>
      <c r="F2239" s="28" t="str">
        <f t="array" ref="F2239">_xlfn.XLOOKUP($A2239, 'Medical Examinations'!$A:$A, 'Medical Examinations'!E:E, "No Data")</f>
        <v>No</v>
      </c>
      <c r="G2239" s="28" t="str">
        <f t="array" ref="G2239">_xlfn.XLOOKUP($A2239, 'Medical Examinations'!$A:$A, 'Medical Examinations'!F:F, "No Data")</f>
        <v>No</v>
      </c>
      <c r="H2239" s="28">
        <f t="array" ref="H2239">_xlfn.XLOOKUP($A2239, 'Medical Examinations'!$A:$A, 'Medical Examinations'!G:G, "No Data")</f>
        <v>0</v>
      </c>
      <c r="I2239" s="28" t="str">
        <f t="array" ref="I2239">_xlfn.XLOOKUP($A2239, 'Medical Examinations'!$A:$A, 'Medical Examinations'!H:H, "No Data")</f>
        <v>No</v>
      </c>
      <c r="J2239" s="28" t="str">
        <f t="array" ref="J2239">_xlfn.XLOOKUP($A2239, 'Medical Examinations'!$A:$A, 'Medical Examinations'!I:I, "No Data")</f>
        <v>Normal Weight</v>
      </c>
      <c r="K2239" s="28" t="str">
        <f t="array" ref="K2239">_xlfn.XLOOKUP($A2239, 'Hospitalisation Details'!$A:$A, 'Hospitalisation Details'!I:I, "No Data")</f>
        <v>tier - 2</v>
      </c>
      <c r="L2239" s="28" t="str">
        <f t="array" ref="L2239">_xlfn.XLOOKUP($A2239, 'Hospitalisation Details'!$A:$A, 'Hospitalisation Details'!J:J, "No Data")</f>
        <v>R1013</v>
      </c>
      <c r="M2239" s="28" t="str">
        <f t="array" ref="M2239">_xlfn.XLOOKUP($A2239, 'Hospitalisation Details'!$A:$A, 'Hospitalisation Details'!E:E, "No Data")</f>
        <v>14/11/02</v>
      </c>
      <c r="N2239" s="28">
        <f t="array" ref="N2239">_xlfn.XLOOKUP($A2239, 'Hospitalisation Details'!$A:$A, 'Hospitalisation Details'!K:K, "No Data")</f>
        <v>20</v>
      </c>
      <c r="O2239" s="33">
        <f t="array" ref="O2239">_xlfn.XLOOKUP($A2239, 'Hospitalisation Details'!$A:$A, 'Hospitalisation Details'!G:G, "No Data")</f>
        <v>1390</v>
      </c>
      <c r="P2239" s="28" t="str">
        <f t="array" ref="P2239">_xlfn.XLOOKUP($A2239, 'Hospitalisation Details'!$A:$A, 'Hospitalisation Details'!H:H, "No Data")</f>
        <v>tier - 2</v>
      </c>
    </row>
    <row r="2240">
      <c r="A2240" s="25" t="s">
        <v>1200</v>
      </c>
      <c r="B2240" s="28" t="str">
        <f t="array" ref="B2240">_xlfn.XLOOKUP($A2240, 'Customer Names'!$A:$A, 'Customer Names'!B:B, "No Data")</f>
        <v>Johnson</v>
      </c>
      <c r="C2240" s="28">
        <f t="array" ref="C2240">_xlfn.XLOOKUP($A2240, 'Medical Examinations'!$A:$A, 'Medical Examinations'!B:B, "No Data")</f>
        <v>18.58</v>
      </c>
      <c r="D2240" s="28">
        <f t="array" ref="D2240">_xlfn.XLOOKUP($A2240, 'Medical Examinations'!$A:$A, 'Medical Examinations'!C:C, "No Data")</f>
        <v>6.22</v>
      </c>
      <c r="E2240" s="28" t="str">
        <f t="array" ref="E2240">_xlfn.XLOOKUP($A2240, 'Medical Examinations'!$A:$A, 'Medical Examinations'!D:D, "No Data")</f>
        <v>No</v>
      </c>
      <c r="F2240" s="28" t="str">
        <f t="array" ref="F2240">_xlfn.XLOOKUP($A2240, 'Medical Examinations'!$A:$A, 'Medical Examinations'!E:E, "No Data")</f>
        <v>No</v>
      </c>
      <c r="G2240" s="28" t="str">
        <f t="array" ref="G2240">_xlfn.XLOOKUP($A2240, 'Medical Examinations'!$A:$A, 'Medical Examinations'!F:F, "No Data")</f>
        <v>No</v>
      </c>
      <c r="H2240" s="28">
        <f t="array" ref="H2240">_xlfn.XLOOKUP($A2240, 'Medical Examinations'!$A:$A, 'Medical Examinations'!G:G, "No Data")</f>
        <v>0</v>
      </c>
      <c r="I2240" s="28" t="str">
        <f t="array" ref="I2240">_xlfn.XLOOKUP($A2240, 'Medical Examinations'!$A:$A, 'Medical Examinations'!H:H, "No Data")</f>
        <v>No</v>
      </c>
      <c r="J2240" s="28" t="str">
        <f t="array" ref="J2240">_xlfn.XLOOKUP($A2240, 'Medical Examinations'!$A:$A, 'Medical Examinations'!I:I, "No Data")</f>
        <v>Normal Weight</v>
      </c>
      <c r="K2240" s="28" t="str">
        <f t="array" ref="K2240">_xlfn.XLOOKUP($A2240, 'Hospitalisation Details'!$A:$A, 'Hospitalisation Details'!I:I, "No Data")</f>
        <v>tier - 2</v>
      </c>
      <c r="L2240" s="28" t="str">
        <f t="array" ref="L2240">_xlfn.XLOOKUP($A2240, 'Hospitalisation Details'!$A:$A, 'Hospitalisation Details'!J:J, "No Data")</f>
        <v>R1013</v>
      </c>
      <c r="M2240" s="28" t="str">
        <f t="array" ref="M2240">_xlfn.XLOOKUP($A2240, 'Hospitalisation Details'!$A:$A, 'Hospitalisation Details'!E:E, "No Data")</f>
        <v>06/07/99</v>
      </c>
      <c r="N2240" s="28">
        <f t="array" ref="N2240">_xlfn.XLOOKUP($A2240, 'Hospitalisation Details'!$A:$A, 'Hospitalisation Details'!K:K, "No Data")</f>
        <v>23</v>
      </c>
      <c r="O2240" s="33">
        <f t="array" ref="O2240">_xlfn.XLOOKUP($A2240, 'Hospitalisation Details'!$A:$A, 'Hospitalisation Details'!G:G, "No Data")</f>
        <v>1389</v>
      </c>
      <c r="P2240" s="28" t="str">
        <f t="array" ref="P2240">_xlfn.XLOOKUP($A2240, 'Hospitalisation Details'!$A:$A, 'Hospitalisation Details'!H:H, "No Data")</f>
        <v>tier - 2</v>
      </c>
    </row>
    <row r="2241">
      <c r="A2241" s="25" t="s">
        <v>1195</v>
      </c>
      <c r="B2241" s="28" t="str">
        <f t="array" ref="B2241">_xlfn.XLOOKUP($A2241, 'Customer Names'!$A:$A, 'Customer Names'!B:B, "No Data")</f>
        <v>Schultz</v>
      </c>
      <c r="C2241" s="28">
        <f t="array" ref="C2241">_xlfn.XLOOKUP($A2241, 'Medical Examinations'!$A:$A, 'Medical Examinations'!B:B, "No Data")</f>
        <v>16.64</v>
      </c>
      <c r="D2241" s="28">
        <f t="array" ref="D2241">_xlfn.XLOOKUP($A2241, 'Medical Examinations'!$A:$A, 'Medical Examinations'!C:C, "No Data")</f>
        <v>10.01</v>
      </c>
      <c r="E2241" s="28" t="str">
        <f t="array" ref="E2241">_xlfn.XLOOKUP($A2241, 'Medical Examinations'!$A:$A, 'Medical Examinations'!D:D, "No Data")</f>
        <v>No</v>
      </c>
      <c r="F2241" s="28" t="str">
        <f t="array" ref="F2241">_xlfn.XLOOKUP($A2241, 'Medical Examinations'!$A:$A, 'Medical Examinations'!E:E, "No Data")</f>
        <v>No</v>
      </c>
      <c r="G2241" s="28" t="str">
        <f t="array" ref="G2241">_xlfn.XLOOKUP($A2241, 'Medical Examinations'!$A:$A, 'Medical Examinations'!F:F, "No Data")</f>
        <v>No</v>
      </c>
      <c r="H2241" s="28">
        <f t="array" ref="H2241">_xlfn.XLOOKUP($A2241, 'Medical Examinations'!$A:$A, 'Medical Examinations'!G:G, "No Data")</f>
        <v>0</v>
      </c>
      <c r="I2241" s="28" t="str">
        <f t="array" ref="I2241">_xlfn.XLOOKUP($A2241, 'Medical Examinations'!$A:$A, 'Medical Examinations'!H:H, "No Data")</f>
        <v>No</v>
      </c>
      <c r="J2241" s="28" t="str">
        <f t="array" ref="J2241">_xlfn.XLOOKUP($A2241, 'Medical Examinations'!$A:$A, 'Medical Examinations'!I:I, "No Data")</f>
        <v>Underweight</v>
      </c>
      <c r="K2241" s="28" t="str">
        <f t="array" ref="K2241">_xlfn.XLOOKUP($A2241, 'Hospitalisation Details'!$A:$A, 'Hospitalisation Details'!I:I, "No Data")</f>
        <v>tier - 1</v>
      </c>
      <c r="L2241" s="28" t="str">
        <f t="array" ref="L2241">_xlfn.XLOOKUP($A2241, 'Hospitalisation Details'!$A:$A, 'Hospitalisation Details'!J:J, "No Data")</f>
        <v>R1013</v>
      </c>
      <c r="M2241" s="28" t="str">
        <f t="array" ref="M2241">_xlfn.XLOOKUP($A2241, 'Hospitalisation Details'!$A:$A, 'Hospitalisation Details'!E:E, "No Data")</f>
        <v>15/08/02</v>
      </c>
      <c r="N2241" s="28">
        <f t="array" ref="N2241">_xlfn.XLOOKUP($A2241, 'Hospitalisation Details'!$A:$A, 'Hospitalisation Details'!K:K, "No Data")</f>
        <v>20</v>
      </c>
      <c r="O2241" s="33">
        <f t="array" ref="O2241">_xlfn.XLOOKUP($A2241, 'Hospitalisation Details'!$A:$A, 'Hospitalisation Details'!G:G, "No Data")</f>
        <v>1382</v>
      </c>
      <c r="P2241" s="28" t="str">
        <f t="array" ref="P2241">_xlfn.XLOOKUP($A2241, 'Hospitalisation Details'!$A:$A, 'Hospitalisation Details'!H:H, "No Data")</f>
        <v>tier - 2</v>
      </c>
    </row>
    <row r="2242">
      <c r="A2242" s="25" t="s">
        <v>1191</v>
      </c>
      <c r="B2242" s="28" t="str">
        <f t="array" ref="B2242">_xlfn.XLOOKUP($A2242, 'Customer Names'!$A:$A, 'Customer Names'!B:B, "No Data")</f>
        <v>Brannigan</v>
      </c>
      <c r="C2242" s="28">
        <f t="array" ref="C2242">_xlfn.XLOOKUP($A2242, 'Medical Examinations'!$A:$A, 'Medical Examinations'!B:B, "No Data")</f>
        <v>19.33</v>
      </c>
      <c r="D2242" s="28">
        <f t="array" ref="D2242">_xlfn.XLOOKUP($A2242, 'Medical Examinations'!$A:$A, 'Medical Examinations'!C:C, "No Data")</f>
        <v>4.32</v>
      </c>
      <c r="E2242" s="28" t="str">
        <f t="array" ref="E2242">_xlfn.XLOOKUP($A2242, 'Medical Examinations'!$A:$A, 'Medical Examinations'!D:D, "No Data")</f>
        <v>No</v>
      </c>
      <c r="F2242" s="28" t="str">
        <f t="array" ref="F2242">_xlfn.XLOOKUP($A2242, 'Medical Examinations'!$A:$A, 'Medical Examinations'!E:E, "No Data")</f>
        <v>No</v>
      </c>
      <c r="G2242" s="28" t="str">
        <f t="array" ref="G2242">_xlfn.XLOOKUP($A2242, 'Medical Examinations'!$A:$A, 'Medical Examinations'!F:F, "No Data")</f>
        <v>No</v>
      </c>
      <c r="H2242" s="28">
        <f t="array" ref="H2242">_xlfn.XLOOKUP($A2242, 'Medical Examinations'!$A:$A, 'Medical Examinations'!G:G, "No Data")</f>
        <v>1</v>
      </c>
      <c r="I2242" s="28" t="str">
        <f t="array" ref="I2242">_xlfn.XLOOKUP($A2242, 'Medical Examinations'!$A:$A, 'Medical Examinations'!H:H, "No Data")</f>
        <v>No</v>
      </c>
      <c r="J2242" s="28" t="str">
        <f t="array" ref="J2242">_xlfn.XLOOKUP($A2242, 'Medical Examinations'!$A:$A, 'Medical Examinations'!I:I, "No Data")</f>
        <v>Normal Weight</v>
      </c>
      <c r="K2242" s="28" t="str">
        <f t="array" ref="K2242">_xlfn.XLOOKUP($A2242, 'Hospitalisation Details'!$A:$A, 'Hospitalisation Details'!I:I, "No Data")</f>
        <v>tier - 1</v>
      </c>
      <c r="L2242" s="28" t="str">
        <f t="array" ref="L2242">_xlfn.XLOOKUP($A2242, 'Hospitalisation Details'!$A:$A, 'Hospitalisation Details'!J:J, "No Data")</f>
        <v>R1013</v>
      </c>
      <c r="M2242" s="28" t="str">
        <f t="array" ref="M2242">_xlfn.XLOOKUP($A2242, 'Hospitalisation Details'!$A:$A, 'Hospitalisation Details'!E:E, "No Data")</f>
        <v>03/12/98</v>
      </c>
      <c r="N2242" s="28">
        <f t="array" ref="N2242">_xlfn.XLOOKUP($A2242, 'Hospitalisation Details'!$A:$A, 'Hospitalisation Details'!K:K, "No Data")</f>
        <v>24</v>
      </c>
      <c r="O2242" s="33">
        <f t="array" ref="O2242">_xlfn.XLOOKUP($A2242, 'Hospitalisation Details'!$A:$A, 'Hospitalisation Details'!G:G, "No Data")</f>
        <v>1359</v>
      </c>
      <c r="P2242" s="28" t="str">
        <f t="array" ref="P2242">_xlfn.XLOOKUP($A2242, 'Hospitalisation Details'!$A:$A, 'Hospitalisation Details'!H:H, "No Data")</f>
        <v>tier - 2</v>
      </c>
    </row>
    <row r="2243">
      <c r="A2243" s="25" t="s">
        <v>1185</v>
      </c>
      <c r="B2243" s="28" t="str">
        <f t="array" ref="B2243">_xlfn.XLOOKUP($A2243, 'Customer Names'!$A:$A, 'Customer Names'!B:B, "No Data")</f>
        <v>Cavallo</v>
      </c>
      <c r="C2243" s="28">
        <f t="array" ref="C2243">_xlfn.XLOOKUP($A2243, 'Medical Examinations'!$A:$A, 'Medical Examinations'!B:B, "No Data")</f>
        <v>21.26</v>
      </c>
      <c r="D2243" s="28">
        <f t="array" ref="D2243">_xlfn.XLOOKUP($A2243, 'Medical Examinations'!$A:$A, 'Medical Examinations'!C:C, "No Data")</f>
        <v>5.65</v>
      </c>
      <c r="E2243" s="28" t="str">
        <f t="array" ref="E2243">_xlfn.XLOOKUP($A2243, 'Medical Examinations'!$A:$A, 'Medical Examinations'!D:D, "No Data")</f>
        <v>yes</v>
      </c>
      <c r="F2243" s="28" t="str">
        <f t="array" ref="F2243">_xlfn.XLOOKUP($A2243, 'Medical Examinations'!$A:$A, 'Medical Examinations'!E:E, "No Data")</f>
        <v>No</v>
      </c>
      <c r="G2243" s="28" t="str">
        <f t="array" ref="G2243">_xlfn.XLOOKUP($A2243, 'Medical Examinations'!$A:$A, 'Medical Examinations'!F:F, "No Data")</f>
        <v>Yes</v>
      </c>
      <c r="H2243" s="28">
        <f t="array" ref="H2243">_xlfn.XLOOKUP($A2243, 'Medical Examinations'!$A:$A, 'Medical Examinations'!G:G, "No Data")</f>
        <v>1</v>
      </c>
      <c r="I2243" s="28" t="str">
        <f t="array" ref="I2243">_xlfn.XLOOKUP($A2243, 'Medical Examinations'!$A:$A, 'Medical Examinations'!H:H, "No Data")</f>
        <v>No</v>
      </c>
      <c r="J2243" s="28" t="str">
        <f t="array" ref="J2243">_xlfn.XLOOKUP($A2243, 'Medical Examinations'!$A:$A, 'Medical Examinations'!I:I, "No Data")</f>
        <v>Normal Weight</v>
      </c>
      <c r="K2243" s="28" t="str">
        <f t="array" ref="K2243">_xlfn.XLOOKUP($A2243, 'Hospitalisation Details'!$A:$A, 'Hospitalisation Details'!I:I, "No Data")</f>
        <v>tier - 2</v>
      </c>
      <c r="L2243" s="28" t="str">
        <f t="array" ref="L2243">_xlfn.XLOOKUP($A2243, 'Hospitalisation Details'!$A:$A, 'Hospitalisation Details'!J:J, "No Data")</f>
        <v>R1012</v>
      </c>
      <c r="M2243" s="28" t="str">
        <f t="array" ref="M2243">_xlfn.XLOOKUP($A2243, 'Hospitalisation Details'!$A:$A, 'Hospitalisation Details'!E:E, "No Data")</f>
        <v>07/11/97</v>
      </c>
      <c r="N2243" s="28">
        <f t="array" ref="N2243">_xlfn.XLOOKUP($A2243, 'Hospitalisation Details'!$A:$A, 'Hospitalisation Details'!K:K, "No Data")</f>
        <v>25</v>
      </c>
      <c r="O2243" s="33">
        <f t="array" ref="O2243">_xlfn.XLOOKUP($A2243, 'Hospitalisation Details'!$A:$A, 'Hospitalisation Details'!G:G, "No Data")</f>
        <v>1341.16</v>
      </c>
      <c r="P2243" s="28" t="str">
        <f t="array" ref="P2243">_xlfn.XLOOKUP($A2243, 'Hospitalisation Details'!$A:$A, 'Hospitalisation Details'!H:H, "No Data")</f>
        <v>tier - 2</v>
      </c>
    </row>
    <row r="2244">
      <c r="A2244" s="25" t="s">
        <v>1180</v>
      </c>
      <c r="B2244" s="28" t="str">
        <f t="array" ref="B2244">_xlfn.XLOOKUP($A2244, 'Customer Names'!$A:$A, 'Customer Names'!B:B, "No Data")</f>
        <v>Chang</v>
      </c>
      <c r="C2244" s="28">
        <f t="array" ref="C2244">_xlfn.XLOOKUP($A2244, 'Medical Examinations'!$A:$A, 'Medical Examinations'!B:B, "No Data")</f>
        <v>15.6</v>
      </c>
      <c r="D2244" s="28">
        <f t="array" ref="D2244">_xlfn.XLOOKUP($A2244, 'Medical Examinations'!$A:$A, 'Medical Examinations'!C:C, "No Data")</f>
        <v>4.12</v>
      </c>
      <c r="E2244" s="28" t="str">
        <f t="array" ref="E2244">_xlfn.XLOOKUP($A2244, 'Medical Examinations'!$A:$A, 'Medical Examinations'!D:D, "No Data")</f>
        <v>yes</v>
      </c>
      <c r="F2244" s="28" t="str">
        <f t="array" ref="F2244">_xlfn.XLOOKUP($A2244, 'Medical Examinations'!$A:$A, 'Medical Examinations'!E:E, "No Data")</f>
        <v>No</v>
      </c>
      <c r="G2244" s="28" t="str">
        <f t="array" ref="G2244">_xlfn.XLOOKUP($A2244, 'Medical Examinations'!$A:$A, 'Medical Examinations'!F:F, "No Data")</f>
        <v>No</v>
      </c>
      <c r="H2244" s="28">
        <f t="array" ref="H2244">_xlfn.XLOOKUP($A2244, 'Medical Examinations'!$A:$A, 'Medical Examinations'!G:G, "No Data")</f>
        <v>1</v>
      </c>
      <c r="I2244" s="28" t="str">
        <f t="array" ref="I2244">_xlfn.XLOOKUP($A2244, 'Medical Examinations'!$A:$A, 'Medical Examinations'!H:H, "No Data")</f>
        <v>No</v>
      </c>
      <c r="J2244" s="28" t="str">
        <f t="array" ref="J2244">_xlfn.XLOOKUP($A2244, 'Medical Examinations'!$A:$A, 'Medical Examinations'!I:I, "No Data")</f>
        <v>Underweight</v>
      </c>
      <c r="K2244" s="28" t="str">
        <f t="array" ref="K2244">_xlfn.XLOOKUP($A2244, 'Hospitalisation Details'!$A:$A, 'Hospitalisation Details'!I:I, "No Data")</f>
        <v>tier - 3</v>
      </c>
      <c r="L2244" s="28" t="str">
        <f t="array" ref="L2244">_xlfn.XLOOKUP($A2244, 'Hospitalisation Details'!$A:$A, 'Hospitalisation Details'!J:J, "No Data")</f>
        <v>R1012</v>
      </c>
      <c r="M2244" s="28" t="str">
        <f t="array" ref="M2244">_xlfn.XLOOKUP($A2244, 'Hospitalisation Details'!$A:$A, 'Hospitalisation Details'!E:E, "No Data")</f>
        <v>30/07/95</v>
      </c>
      <c r="N2244" s="28">
        <f t="array" ref="N2244">_xlfn.XLOOKUP($A2244, 'Hospitalisation Details'!$A:$A, 'Hospitalisation Details'!K:K, "No Data")</f>
        <v>27</v>
      </c>
      <c r="O2244" s="33">
        <f t="array" ref="O2244">_xlfn.XLOOKUP($A2244, 'Hospitalisation Details'!$A:$A, 'Hospitalisation Details'!G:G, "No Data")</f>
        <v>1338</v>
      </c>
      <c r="P2244" s="28" t="str">
        <f t="array" ref="P2244">_xlfn.XLOOKUP($A2244, 'Hospitalisation Details'!$A:$A, 'Hospitalisation Details'!H:H, "No Data")</f>
        <v>tier - 2</v>
      </c>
    </row>
    <row r="2245">
      <c r="A2245" s="25" t="s">
        <v>1174</v>
      </c>
      <c r="B2245" s="28" t="str">
        <f t="array" ref="B2245">_xlfn.XLOOKUP($A2245, 'Customer Names'!$A:$A, 'Customer Names'!B:B, "No Data")</f>
        <v>Axelrod</v>
      </c>
      <c r="C2245" s="28">
        <f t="array" ref="C2245">_xlfn.XLOOKUP($A2245, 'Medical Examinations'!$A:$A, 'Medical Examinations'!B:B, "No Data")</f>
        <v>24.39</v>
      </c>
      <c r="D2245" s="28">
        <f t="array" ref="D2245">_xlfn.XLOOKUP($A2245, 'Medical Examinations'!$A:$A, 'Medical Examinations'!C:C, "No Data")</f>
        <v>6.24</v>
      </c>
      <c r="E2245" s="28" t="str">
        <f t="array" ref="E2245">_xlfn.XLOOKUP($A2245, 'Medical Examinations'!$A:$A, 'Medical Examinations'!D:D, "No Data")</f>
        <v>No</v>
      </c>
      <c r="F2245" s="28" t="str">
        <f t="array" ref="F2245">_xlfn.XLOOKUP($A2245, 'Medical Examinations'!$A:$A, 'Medical Examinations'!E:E, "No Data")</f>
        <v>No</v>
      </c>
      <c r="G2245" s="28" t="str">
        <f t="array" ref="G2245">_xlfn.XLOOKUP($A2245, 'Medical Examinations'!$A:$A, 'Medical Examinations'!F:F, "No Data")</f>
        <v>No</v>
      </c>
      <c r="H2245" s="28">
        <f t="array" ref="H2245">_xlfn.XLOOKUP($A2245, 'Medical Examinations'!$A:$A, 'Medical Examinations'!G:G, "No Data")</f>
        <v>1</v>
      </c>
      <c r="I2245" s="28" t="str">
        <f t="array" ref="I2245">_xlfn.XLOOKUP($A2245, 'Medical Examinations'!$A:$A, 'Medical Examinations'!H:H, "No Data")</f>
        <v>No</v>
      </c>
      <c r="J2245" s="28" t="str">
        <f t="array" ref="J2245">_xlfn.XLOOKUP($A2245, 'Medical Examinations'!$A:$A, 'Medical Examinations'!I:I, "No Data")</f>
        <v>Normal Weight</v>
      </c>
      <c r="K2245" s="28" t="str">
        <f t="array" ref="K2245">_xlfn.XLOOKUP($A2245, 'Hospitalisation Details'!$A:$A, 'Hospitalisation Details'!I:I, "No Data")</f>
        <v>tier - 3</v>
      </c>
      <c r="L2245" s="28" t="str">
        <f t="array" ref="L2245">_xlfn.XLOOKUP($A2245, 'Hospitalisation Details'!$A:$A, 'Hospitalisation Details'!J:J, "No Data")</f>
        <v>R1013</v>
      </c>
      <c r="M2245" s="28" t="str">
        <f t="array" ref="M2245">_xlfn.XLOOKUP($A2245, 'Hospitalisation Details'!$A:$A, 'Hospitalisation Details'!E:E, "No Data")</f>
        <v>12/07/98</v>
      </c>
      <c r="N2245" s="28">
        <f t="array" ref="N2245">_xlfn.XLOOKUP($A2245, 'Hospitalisation Details'!$A:$A, 'Hospitalisation Details'!K:K, "No Data")</f>
        <v>24</v>
      </c>
      <c r="O2245" s="33">
        <f t="array" ref="O2245">_xlfn.XLOOKUP($A2245, 'Hospitalisation Details'!$A:$A, 'Hospitalisation Details'!G:G, "No Data")</f>
        <v>1332.61</v>
      </c>
      <c r="P2245" s="28" t="str">
        <f t="array" ref="P2245">_xlfn.XLOOKUP($A2245, 'Hospitalisation Details'!$A:$A, 'Hospitalisation Details'!H:H, "No Data")</f>
        <v>tier - 2</v>
      </c>
    </row>
    <row r="2246">
      <c r="A2246" s="25" t="s">
        <v>1171</v>
      </c>
      <c r="B2246" s="28" t="str">
        <f t="array" ref="B2246">_xlfn.XLOOKUP($A2246, 'Customer Names'!$A:$A, 'Customer Names'!B:B, "No Data")</f>
        <v>Davenport</v>
      </c>
      <c r="C2246" s="28">
        <f t="array" ref="C2246">_xlfn.XLOOKUP($A2246, 'Medical Examinations'!$A:$A, 'Medical Examinations'!B:B, "No Data")</f>
        <v>24.75</v>
      </c>
      <c r="D2246" s="28">
        <f t="array" ref="D2246">_xlfn.XLOOKUP($A2246, 'Medical Examinations'!$A:$A, 'Medical Examinations'!C:C, "No Data")</f>
        <v>4.83</v>
      </c>
      <c r="E2246" s="28" t="str">
        <f t="array" ref="E2246">_xlfn.XLOOKUP($A2246, 'Medical Examinations'!$A:$A, 'Medical Examinations'!D:D, "No Data")</f>
        <v>No</v>
      </c>
      <c r="F2246" s="28" t="str">
        <f t="array" ref="F2246">_xlfn.XLOOKUP($A2246, 'Medical Examinations'!$A:$A, 'Medical Examinations'!E:E, "No Data")</f>
        <v>No</v>
      </c>
      <c r="G2246" s="28" t="str">
        <f t="array" ref="G2246">_xlfn.XLOOKUP($A2246, 'Medical Examinations'!$A:$A, 'Medical Examinations'!F:F, "No Data")</f>
        <v>No</v>
      </c>
      <c r="H2246" s="28">
        <f t="array" ref="H2246">_xlfn.XLOOKUP($A2246, 'Medical Examinations'!$A:$A, 'Medical Examinations'!G:G, "No Data")</f>
        <v>0</v>
      </c>
      <c r="I2246" s="28" t="str">
        <f t="array" ref="I2246">_xlfn.XLOOKUP($A2246, 'Medical Examinations'!$A:$A, 'Medical Examinations'!H:H, "No Data")</f>
        <v>No</v>
      </c>
      <c r="J2246" s="28" t="str">
        <f t="array" ref="J2246">_xlfn.XLOOKUP($A2246, 'Medical Examinations'!$A:$A, 'Medical Examinations'!I:I, "No Data")</f>
        <v>Normal Weight</v>
      </c>
      <c r="K2246" s="28" t="str">
        <f t="array" ref="K2246">_xlfn.XLOOKUP($A2246, 'Hospitalisation Details'!$A:$A, 'Hospitalisation Details'!I:I, "No Data")</f>
        <v>tier - 3</v>
      </c>
      <c r="L2246" s="28" t="str">
        <f t="array" ref="L2246">_xlfn.XLOOKUP($A2246, 'Hospitalisation Details'!$A:$A, 'Hospitalisation Details'!J:J, "No Data")</f>
        <v>R1013</v>
      </c>
      <c r="M2246" s="28" t="str">
        <f t="array" ref="M2246">_xlfn.XLOOKUP($A2246, 'Hospitalisation Details'!$A:$A, 'Hospitalisation Details'!E:E, "No Data")</f>
        <v>14/10/99</v>
      </c>
      <c r="N2246" s="28">
        <f t="array" ref="N2246">_xlfn.XLOOKUP($A2246, 'Hospitalisation Details'!$A:$A, 'Hospitalisation Details'!K:K, "No Data")</f>
        <v>23</v>
      </c>
      <c r="O2246" s="33">
        <f t="array" ref="O2246">_xlfn.XLOOKUP($A2246, 'Hospitalisation Details'!$A:$A, 'Hospitalisation Details'!G:G, "No Data")</f>
        <v>1329.17</v>
      </c>
      <c r="P2246" s="28" t="str">
        <f t="array" ref="P2246">_xlfn.XLOOKUP($A2246, 'Hospitalisation Details'!$A:$A, 'Hospitalisation Details'!H:H, "No Data")</f>
        <v>tier - 2</v>
      </c>
    </row>
    <row r="2247">
      <c r="A2247" s="25" t="s">
        <v>1165</v>
      </c>
      <c r="B2247" s="28" t="str">
        <f t="array" ref="B2247">_xlfn.XLOOKUP($A2247, 'Customer Names'!$A:$A, 'Customer Names'!B:B, "No Data")</f>
        <v>Roberge</v>
      </c>
      <c r="C2247" s="28">
        <f t="array" ref="C2247">_xlfn.XLOOKUP($A2247, 'Medical Examinations'!$A:$A, 'Medical Examinations'!B:B, "No Data")</f>
        <v>20.88</v>
      </c>
      <c r="D2247" s="28">
        <f t="array" ref="D2247">_xlfn.XLOOKUP($A2247, 'Medical Examinations'!$A:$A, 'Medical Examinations'!C:C, "No Data")</f>
        <v>7.4</v>
      </c>
      <c r="E2247" s="28" t="str">
        <f t="array" ref="E2247">_xlfn.XLOOKUP($A2247, 'Medical Examinations'!$A:$A, 'Medical Examinations'!D:D, "No Data")</f>
        <v>No</v>
      </c>
      <c r="F2247" s="28" t="str">
        <f t="array" ref="F2247">_xlfn.XLOOKUP($A2247, 'Medical Examinations'!$A:$A, 'Medical Examinations'!E:E, "No Data")</f>
        <v>No</v>
      </c>
      <c r="G2247" s="28" t="str">
        <f t="array" ref="G2247">_xlfn.XLOOKUP($A2247, 'Medical Examinations'!$A:$A, 'Medical Examinations'!F:F, "No Data")</f>
        <v>No</v>
      </c>
      <c r="H2247" s="28">
        <f t="array" ref="H2247">_xlfn.XLOOKUP($A2247, 'Medical Examinations'!$A:$A, 'Medical Examinations'!G:G, "No Data")</f>
        <v>0</v>
      </c>
      <c r="I2247" s="28" t="str">
        <f t="array" ref="I2247">_xlfn.XLOOKUP($A2247, 'Medical Examinations'!$A:$A, 'Medical Examinations'!H:H, "No Data")</f>
        <v>No</v>
      </c>
      <c r="J2247" s="28" t="str">
        <f t="array" ref="J2247">_xlfn.XLOOKUP($A2247, 'Medical Examinations'!$A:$A, 'Medical Examinations'!I:I, "No Data")</f>
        <v>Normal Weight</v>
      </c>
      <c r="K2247" s="28" t="str">
        <f t="array" ref="K2247">_xlfn.XLOOKUP($A2247, 'Hospitalisation Details'!$A:$A, 'Hospitalisation Details'!I:I, "No Data")</f>
        <v>tier - 2</v>
      </c>
      <c r="L2247" s="28" t="str">
        <f t="array" ref="L2247">_xlfn.XLOOKUP($A2247, 'Hospitalisation Details'!$A:$A, 'Hospitalisation Details'!J:J, "No Data")</f>
        <v>R1013</v>
      </c>
      <c r="M2247" s="28" t="str">
        <f t="array" ref="M2247">_xlfn.XLOOKUP($A2247, 'Hospitalisation Details'!$A:$A, 'Hospitalisation Details'!E:E, "No Data")</f>
        <v>13/10/02</v>
      </c>
      <c r="N2247" s="28">
        <f t="array" ref="N2247">_xlfn.XLOOKUP($A2247, 'Hospitalisation Details'!$A:$A, 'Hospitalisation Details'!K:K, "No Data")</f>
        <v>20</v>
      </c>
      <c r="O2247" s="33">
        <f t="array" ref="O2247">_xlfn.XLOOKUP($A2247, 'Hospitalisation Details'!$A:$A, 'Hospitalisation Details'!G:G, "No Data")</f>
        <v>1315</v>
      </c>
      <c r="P2247" s="28" t="str">
        <f t="array" ref="P2247">_xlfn.XLOOKUP($A2247, 'Hospitalisation Details'!$A:$A, 'Hospitalisation Details'!H:H, "No Data")</f>
        <v>tier - 2</v>
      </c>
    </row>
    <row r="2248">
      <c r="A2248" s="25" t="s">
        <v>1159</v>
      </c>
      <c r="B2248" s="28" t="str">
        <f t="array" ref="B2248">_xlfn.XLOOKUP($A2248, 'Customer Names'!$A:$A, 'Customer Names'!B:B, "No Data")</f>
        <v>Schmidt</v>
      </c>
      <c r="C2248" s="28">
        <f t="array" ref="C2248">_xlfn.XLOOKUP($A2248, 'Medical Examinations'!$A:$A, 'Medical Examinations'!B:B, "No Data")</f>
        <v>20.43</v>
      </c>
      <c r="D2248" s="28">
        <f t="array" ref="D2248">_xlfn.XLOOKUP($A2248, 'Medical Examinations'!$A:$A, 'Medical Examinations'!C:C, "No Data")</f>
        <v>4.54</v>
      </c>
      <c r="E2248" s="28" t="str">
        <f t="array" ref="E2248">_xlfn.XLOOKUP($A2248, 'Medical Examinations'!$A:$A, 'Medical Examinations'!D:D, "No Data")</f>
        <v>No</v>
      </c>
      <c r="F2248" s="28" t="str">
        <f t="array" ref="F2248">_xlfn.XLOOKUP($A2248, 'Medical Examinations'!$A:$A, 'Medical Examinations'!E:E, "No Data")</f>
        <v>No</v>
      </c>
      <c r="G2248" s="28" t="str">
        <f t="array" ref="G2248">_xlfn.XLOOKUP($A2248, 'Medical Examinations'!$A:$A, 'Medical Examinations'!F:F, "No Data")</f>
        <v>No</v>
      </c>
      <c r="H2248" s="28">
        <f t="array" ref="H2248">_xlfn.XLOOKUP($A2248, 'Medical Examinations'!$A:$A, 'Medical Examinations'!G:G, "No Data")</f>
        <v>0</v>
      </c>
      <c r="I2248" s="28" t="str">
        <f t="array" ref="I2248">_xlfn.XLOOKUP($A2248, 'Medical Examinations'!$A:$A, 'Medical Examinations'!H:H, "No Data")</f>
        <v>No</v>
      </c>
      <c r="J2248" s="28" t="str">
        <f t="array" ref="J2248">_xlfn.XLOOKUP($A2248, 'Medical Examinations'!$A:$A, 'Medical Examinations'!I:I, "No Data")</f>
        <v>Normal Weight</v>
      </c>
      <c r="K2248" s="28" t="str">
        <f t="array" ref="K2248">_xlfn.XLOOKUP($A2248, 'Hospitalisation Details'!$A:$A, 'Hospitalisation Details'!I:I, "No Data")</f>
        <v>tier - 2</v>
      </c>
      <c r="L2248" s="28" t="str">
        <f t="array" ref="L2248">_xlfn.XLOOKUP($A2248, 'Hospitalisation Details'!$A:$A, 'Hospitalisation Details'!J:J, "No Data")</f>
        <v>R1013</v>
      </c>
      <c r="M2248" s="28" t="str">
        <f t="array" ref="M2248">_xlfn.XLOOKUP($A2248, 'Hospitalisation Details'!$A:$A, 'Hospitalisation Details'!E:E, "No Data")</f>
        <v>02/12/99</v>
      </c>
      <c r="N2248" s="28">
        <f t="array" ref="N2248">_xlfn.XLOOKUP($A2248, 'Hospitalisation Details'!$A:$A, 'Hospitalisation Details'!K:K, "No Data")</f>
        <v>23</v>
      </c>
      <c r="O2248" s="33">
        <f t="array" ref="O2248">_xlfn.XLOOKUP($A2248, 'Hospitalisation Details'!$A:$A, 'Hospitalisation Details'!G:G, "No Data")</f>
        <v>1304</v>
      </c>
      <c r="P2248" s="28" t="str">
        <f t="array" ref="P2248">_xlfn.XLOOKUP($A2248, 'Hospitalisation Details'!$A:$A, 'Hospitalisation Details'!H:H, "No Data")</f>
        <v>tier - 2</v>
      </c>
    </row>
    <row r="2249">
      <c r="A2249" s="25" t="s">
        <v>1154</v>
      </c>
      <c r="B2249" s="28" t="str">
        <f t="array" ref="B2249">_xlfn.XLOOKUP($A2249, 'Customer Names'!$A:$A, 'Customer Names'!B:B, "No Data")</f>
        <v>Kosters</v>
      </c>
      <c r="C2249" s="28">
        <f t="array" ref="C2249">_xlfn.XLOOKUP($A2249, 'Medical Examinations'!$A:$A, 'Medical Examinations'!B:B, "No Data")</f>
        <v>15.18</v>
      </c>
      <c r="D2249" s="28">
        <f t="array" ref="D2249">_xlfn.XLOOKUP($A2249, 'Medical Examinations'!$A:$A, 'Medical Examinations'!C:C, "No Data")</f>
        <v>11.11</v>
      </c>
      <c r="E2249" s="28" t="str">
        <f t="array" ref="E2249">_xlfn.XLOOKUP($A2249, 'Medical Examinations'!$A:$A, 'Medical Examinations'!D:D, "No Data")</f>
        <v>No</v>
      </c>
      <c r="F2249" s="28" t="str">
        <f t="array" ref="F2249">_xlfn.XLOOKUP($A2249, 'Medical Examinations'!$A:$A, 'Medical Examinations'!E:E, "No Data")</f>
        <v>No</v>
      </c>
      <c r="G2249" s="28" t="str">
        <f t="array" ref="G2249">_xlfn.XLOOKUP($A2249, 'Medical Examinations'!$A:$A, 'Medical Examinations'!F:F, "No Data")</f>
        <v>No</v>
      </c>
      <c r="H2249" s="28">
        <f t="array" ref="H2249">_xlfn.XLOOKUP($A2249, 'Medical Examinations'!$A:$A, 'Medical Examinations'!G:G, "No Data")</f>
        <v>0</v>
      </c>
      <c r="I2249" s="28" t="str">
        <f t="array" ref="I2249">_xlfn.XLOOKUP($A2249, 'Medical Examinations'!$A:$A, 'Medical Examinations'!H:H, "No Data")</f>
        <v>No</v>
      </c>
      <c r="J2249" s="28" t="str">
        <f t="array" ref="J2249">_xlfn.XLOOKUP($A2249, 'Medical Examinations'!$A:$A, 'Medical Examinations'!I:I, "No Data")</f>
        <v>Underweight</v>
      </c>
      <c r="K2249" s="28" t="str">
        <f t="array" ref="K2249">_xlfn.XLOOKUP($A2249, 'Hospitalisation Details'!$A:$A, 'Hospitalisation Details'!I:I, "No Data")</f>
        <v>tier - 2</v>
      </c>
      <c r="L2249" s="28" t="str">
        <f t="array" ref="L2249">_xlfn.XLOOKUP($A2249, 'Hospitalisation Details'!$A:$A, 'Hospitalisation Details'!J:J, "No Data")</f>
        <v>R1012</v>
      </c>
      <c r="M2249" s="28" t="str">
        <f t="array" ref="M2249">_xlfn.XLOOKUP($A2249, 'Hospitalisation Details'!$A:$A, 'Hospitalisation Details'!E:E, "No Data")</f>
        <v>10/12/02</v>
      </c>
      <c r="N2249" s="28">
        <f t="array" ref="N2249">_xlfn.XLOOKUP($A2249, 'Hospitalisation Details'!$A:$A, 'Hospitalisation Details'!K:K, "No Data")</f>
        <v>20</v>
      </c>
      <c r="O2249" s="33">
        <f t="array" ref="O2249">_xlfn.XLOOKUP($A2249, 'Hospitalisation Details'!$A:$A, 'Hospitalisation Details'!G:G, "No Data")</f>
        <v>1304</v>
      </c>
      <c r="P2249" s="28" t="str">
        <f t="array" ref="P2249">_xlfn.XLOOKUP($A2249, 'Hospitalisation Details'!$A:$A, 'Hospitalisation Details'!H:H, "No Data")</f>
        <v>tier - 2</v>
      </c>
    </row>
    <row r="2250">
      <c r="A2250" s="25" t="s">
        <v>1147</v>
      </c>
      <c r="B2250" s="28" t="str">
        <f t="array" ref="B2250">_xlfn.XLOOKUP($A2250, 'Customer Names'!$A:$A, 'Customer Names'!B:B, "No Data")</f>
        <v>Dykes</v>
      </c>
      <c r="C2250" s="28">
        <f t="array" ref="C2250">_xlfn.XLOOKUP($A2250, 'Medical Examinations'!$A:$A, 'Medical Examinations'!B:B, "No Data")</f>
        <v>15.12</v>
      </c>
      <c r="D2250" s="28">
        <f t="array" ref="D2250">_xlfn.XLOOKUP($A2250, 'Medical Examinations'!$A:$A, 'Medical Examinations'!C:C, "No Data")</f>
        <v>4.03</v>
      </c>
      <c r="E2250" s="28" t="str">
        <f t="array" ref="E2250">_xlfn.XLOOKUP($A2250, 'Medical Examinations'!$A:$A, 'Medical Examinations'!D:D, "No Data")</f>
        <v>yes</v>
      </c>
      <c r="F2250" s="28" t="str">
        <f t="array" ref="F2250">_xlfn.XLOOKUP($A2250, 'Medical Examinations'!$A:$A, 'Medical Examinations'!E:E, "No Data")</f>
        <v>No</v>
      </c>
      <c r="G2250" s="28" t="str">
        <f t="array" ref="G2250">_xlfn.XLOOKUP($A2250, 'Medical Examinations'!$A:$A, 'Medical Examinations'!F:F, "No Data")</f>
        <v>No</v>
      </c>
      <c r="H2250" s="28">
        <f t="array" ref="H2250">_xlfn.XLOOKUP($A2250, 'Medical Examinations'!$A:$A, 'Medical Examinations'!G:G, "No Data")</f>
        <v>0</v>
      </c>
      <c r="I2250" s="28" t="str">
        <f t="array" ref="I2250">_xlfn.XLOOKUP($A2250, 'Medical Examinations'!$A:$A, 'Medical Examinations'!H:H, "No Data")</f>
        <v>No</v>
      </c>
      <c r="J2250" s="28" t="str">
        <f t="array" ref="J2250">_xlfn.XLOOKUP($A2250, 'Medical Examinations'!$A:$A, 'Medical Examinations'!I:I, "No Data")</f>
        <v>Underweight</v>
      </c>
      <c r="K2250" s="28" t="str">
        <f t="array" ref="K2250">_xlfn.XLOOKUP($A2250, 'Hospitalisation Details'!$A:$A, 'Hospitalisation Details'!I:I, "No Data")</f>
        <v>tier - 3</v>
      </c>
      <c r="L2250" s="28" t="str">
        <f t="array" ref="L2250">_xlfn.XLOOKUP($A2250, 'Hospitalisation Details'!$A:$A, 'Hospitalisation Details'!J:J, "No Data")</f>
        <v>R1012</v>
      </c>
      <c r="M2250" s="28" t="str">
        <f t="array" ref="M2250">_xlfn.XLOOKUP($A2250, 'Hospitalisation Details'!$A:$A, 'Hospitalisation Details'!E:E, "No Data")</f>
        <v>29/11/01</v>
      </c>
      <c r="N2250" s="28">
        <f t="array" ref="N2250">_xlfn.XLOOKUP($A2250, 'Hospitalisation Details'!$A:$A, 'Hospitalisation Details'!K:K, "No Data")</f>
        <v>21</v>
      </c>
      <c r="O2250" s="33">
        <f t="array" ref="O2250">_xlfn.XLOOKUP($A2250, 'Hospitalisation Details'!$A:$A, 'Hospitalisation Details'!G:G, "No Data")</f>
        <v>1293</v>
      </c>
      <c r="P2250" s="28" t="str">
        <f t="array" ref="P2250">_xlfn.XLOOKUP($A2250, 'Hospitalisation Details'!$A:$A, 'Hospitalisation Details'!H:H, "No Data")</f>
        <v>tier - 2</v>
      </c>
    </row>
    <row r="2251">
      <c r="A2251" s="25" t="s">
        <v>1142</v>
      </c>
      <c r="B2251" s="28" t="str">
        <f t="array" ref="B2251">_xlfn.XLOOKUP($A2251, 'Customer Names'!$A:$A, 'Customer Names'!B:B, "No Data")</f>
        <v>Velan</v>
      </c>
      <c r="C2251" s="28">
        <f t="array" ref="C2251">_xlfn.XLOOKUP($A2251, 'Medical Examinations'!$A:$A, 'Medical Examinations'!B:B, "No Data")</f>
        <v>23.88</v>
      </c>
      <c r="D2251" s="28">
        <f t="array" ref="D2251">_xlfn.XLOOKUP($A2251, 'Medical Examinations'!$A:$A, 'Medical Examinations'!C:C, "No Data")</f>
        <v>4.51</v>
      </c>
      <c r="E2251" s="28" t="str">
        <f t="array" ref="E2251">_xlfn.XLOOKUP($A2251, 'Medical Examinations'!$A:$A, 'Medical Examinations'!D:D, "No Data")</f>
        <v>No</v>
      </c>
      <c r="F2251" s="28" t="str">
        <f t="array" ref="F2251">_xlfn.XLOOKUP($A2251, 'Medical Examinations'!$A:$A, 'Medical Examinations'!E:E, "No Data")</f>
        <v>No</v>
      </c>
      <c r="G2251" s="28" t="str">
        <f t="array" ref="G2251">_xlfn.XLOOKUP($A2251, 'Medical Examinations'!$A:$A, 'Medical Examinations'!F:F, "No Data")</f>
        <v>No</v>
      </c>
      <c r="H2251" s="28">
        <f t="array" ref="H2251">_xlfn.XLOOKUP($A2251, 'Medical Examinations'!$A:$A, 'Medical Examinations'!G:G, "No Data")</f>
        <v>1</v>
      </c>
      <c r="I2251" s="28" t="str">
        <f t="array" ref="I2251">_xlfn.XLOOKUP($A2251, 'Medical Examinations'!$A:$A, 'Medical Examinations'!H:H, "No Data")</f>
        <v>No</v>
      </c>
      <c r="J2251" s="28" t="str">
        <f t="array" ref="J2251">_xlfn.XLOOKUP($A2251, 'Medical Examinations'!$A:$A, 'Medical Examinations'!I:I, "No Data")</f>
        <v>Normal Weight</v>
      </c>
      <c r="K2251" s="28" t="str">
        <f t="array" ref="K2251">_xlfn.XLOOKUP($A2251, 'Hospitalisation Details'!$A:$A, 'Hospitalisation Details'!I:I, "No Data")</f>
        <v>tier - 2</v>
      </c>
      <c r="L2251" s="28" t="str">
        <f t="array" ref="L2251">_xlfn.XLOOKUP($A2251, 'Hospitalisation Details'!$A:$A, 'Hospitalisation Details'!J:J, "No Data")</f>
        <v>R1013</v>
      </c>
      <c r="M2251" s="28" t="str">
        <f t="array" ref="M2251">_xlfn.XLOOKUP($A2251, 'Hospitalisation Details'!$A:$A, 'Hospitalisation Details'!E:E, "No Data")</f>
        <v>04/06/98</v>
      </c>
      <c r="N2251" s="28">
        <f t="array" ref="N2251">_xlfn.XLOOKUP($A2251, 'Hospitalisation Details'!$A:$A, 'Hospitalisation Details'!K:K, "No Data")</f>
        <v>25</v>
      </c>
      <c r="O2251" s="33">
        <f t="array" ref="O2251">_xlfn.XLOOKUP($A2251, 'Hospitalisation Details'!$A:$A, 'Hospitalisation Details'!G:G, "No Data")</f>
        <v>1290.93</v>
      </c>
      <c r="P2251" s="28" t="str">
        <f t="array" ref="P2251">_xlfn.XLOOKUP($A2251, 'Hospitalisation Details'!$A:$A, 'Hospitalisation Details'!H:H, "No Data")</f>
        <v>tier - 2</v>
      </c>
    </row>
    <row r="2252">
      <c r="A2252" s="25" t="s">
        <v>1136</v>
      </c>
      <c r="B2252" s="28" t="str">
        <f t="array" ref="B2252">_xlfn.XLOOKUP($A2252, 'Customer Names'!$A:$A, 'Customer Names'!B:B, "No Data")</f>
        <v>Goolik</v>
      </c>
      <c r="C2252" s="28">
        <f t="array" ref="C2252">_xlfn.XLOOKUP($A2252, 'Medical Examinations'!$A:$A, 'Medical Examinations'!B:B, "No Data")</f>
        <v>16.13</v>
      </c>
      <c r="D2252" s="28">
        <f t="array" ref="D2252">_xlfn.XLOOKUP($A2252, 'Medical Examinations'!$A:$A, 'Medical Examinations'!C:C, "No Data")</f>
        <v>5.56</v>
      </c>
      <c r="E2252" s="28" t="str">
        <f t="array" ref="E2252">_xlfn.XLOOKUP($A2252, 'Medical Examinations'!$A:$A, 'Medical Examinations'!D:D, "No Data")</f>
        <v>No</v>
      </c>
      <c r="F2252" s="28" t="str">
        <f t="array" ref="F2252">_xlfn.XLOOKUP($A2252, 'Medical Examinations'!$A:$A, 'Medical Examinations'!E:E, "No Data")</f>
        <v>yes</v>
      </c>
      <c r="G2252" s="28" t="str">
        <f t="array" ref="G2252">_xlfn.XLOOKUP($A2252, 'Medical Examinations'!$A:$A, 'Medical Examinations'!F:F, "No Data")</f>
        <v>No</v>
      </c>
      <c r="H2252" s="28">
        <f t="array" ref="H2252">_xlfn.XLOOKUP($A2252, 'Medical Examinations'!$A:$A, 'Medical Examinations'!G:G, "No Data")</f>
        <v>1</v>
      </c>
      <c r="I2252" s="28" t="str">
        <f t="array" ref="I2252">_xlfn.XLOOKUP($A2252, 'Medical Examinations'!$A:$A, 'Medical Examinations'!H:H, "No Data")</f>
        <v>No</v>
      </c>
      <c r="J2252" s="28" t="str">
        <f t="array" ref="J2252">_xlfn.XLOOKUP($A2252, 'Medical Examinations'!$A:$A, 'Medical Examinations'!I:I, "No Data")</f>
        <v>Underweight</v>
      </c>
      <c r="K2252" s="28" t="str">
        <f t="array" ref="K2252">_xlfn.XLOOKUP($A2252, 'Hospitalisation Details'!$A:$A, 'Hospitalisation Details'!I:I, "No Data")</f>
        <v>tier - 2</v>
      </c>
      <c r="L2252" s="28" t="str">
        <f t="array" ref="L2252">_xlfn.XLOOKUP($A2252, 'Hospitalisation Details'!$A:$A, 'Hospitalisation Details'!J:J, "No Data")</f>
        <v>R1013</v>
      </c>
      <c r="M2252" s="28" t="str">
        <f t="array" ref="M2252">_xlfn.XLOOKUP($A2252, 'Hospitalisation Details'!$A:$A, 'Hospitalisation Details'!E:E, "No Data")</f>
        <v>26/06/00</v>
      </c>
      <c r="N2252" s="28">
        <f t="array" ref="N2252">_xlfn.XLOOKUP($A2252, 'Hospitalisation Details'!$A:$A, 'Hospitalisation Details'!K:K, "No Data")</f>
        <v>22</v>
      </c>
      <c r="O2252" s="33">
        <f t="array" ref="O2252">_xlfn.XLOOKUP($A2252, 'Hospitalisation Details'!$A:$A, 'Hospitalisation Details'!G:G, "No Data")</f>
        <v>1286</v>
      </c>
      <c r="P2252" s="28" t="str">
        <f t="array" ref="P2252">_xlfn.XLOOKUP($A2252, 'Hospitalisation Details'!$A:$A, 'Hospitalisation Details'!H:H, "No Data")</f>
        <v>tier - 2</v>
      </c>
    </row>
    <row r="2253">
      <c r="A2253" s="25" t="s">
        <v>1131</v>
      </c>
      <c r="B2253" s="28" t="str">
        <f t="array" ref="B2253">_xlfn.XLOOKUP($A2253, 'Customer Names'!$A:$A, 'Customer Names'!B:B, "No Data")</f>
        <v>Bain</v>
      </c>
      <c r="C2253" s="28">
        <f t="array" ref="C2253">_xlfn.XLOOKUP($A2253, 'Medical Examinations'!$A:$A, 'Medical Examinations'!B:B, "No Data")</f>
        <v>24.09</v>
      </c>
      <c r="D2253" s="28">
        <f t="array" ref="D2253">_xlfn.XLOOKUP($A2253, 'Medical Examinations'!$A:$A, 'Medical Examinations'!C:C, "No Data")</f>
        <v>4.1</v>
      </c>
      <c r="E2253" s="28" t="str">
        <f t="array" ref="E2253">_xlfn.XLOOKUP($A2253, 'Medical Examinations'!$A:$A, 'Medical Examinations'!D:D, "No Data")</f>
        <v>No</v>
      </c>
      <c r="F2253" s="28" t="str">
        <f t="array" ref="F2253">_xlfn.XLOOKUP($A2253, 'Medical Examinations'!$A:$A, 'Medical Examinations'!E:E, "No Data")</f>
        <v>yes</v>
      </c>
      <c r="G2253" s="28" t="str">
        <f t="array" ref="G2253">_xlfn.XLOOKUP($A2253, 'Medical Examinations'!$A:$A, 'Medical Examinations'!F:F, "No Data")</f>
        <v>No</v>
      </c>
      <c r="H2253" s="28">
        <f t="array" ref="H2253">_xlfn.XLOOKUP($A2253, 'Medical Examinations'!$A:$A, 'Medical Examinations'!G:G, "No Data")</f>
        <v>1</v>
      </c>
      <c r="I2253" s="28" t="str">
        <f t="array" ref="I2253">_xlfn.XLOOKUP($A2253, 'Medical Examinations'!$A:$A, 'Medical Examinations'!H:H, "No Data")</f>
        <v>No</v>
      </c>
      <c r="J2253" s="28" t="str">
        <f t="array" ref="J2253">_xlfn.XLOOKUP($A2253, 'Medical Examinations'!$A:$A, 'Medical Examinations'!I:I, "No Data")</f>
        <v>Normal Weight</v>
      </c>
      <c r="K2253" s="28" t="str">
        <f t="array" ref="K2253">_xlfn.XLOOKUP($A2253, 'Hospitalisation Details'!$A:$A, 'Hospitalisation Details'!I:I, "No Data")</f>
        <v>tier - 3</v>
      </c>
      <c r="L2253" s="28" t="str">
        <f t="array" ref="L2253">_xlfn.XLOOKUP($A2253, 'Hospitalisation Details'!$A:$A, 'Hospitalisation Details'!J:J, "No Data")</f>
        <v>R1013</v>
      </c>
      <c r="M2253" s="28" t="str">
        <f t="array" ref="M2253">_xlfn.XLOOKUP($A2253, 'Hospitalisation Details'!$A:$A, 'Hospitalisation Details'!E:E, "No Data")</f>
        <v>28/07/04</v>
      </c>
      <c r="N2253" s="28">
        <f t="array" ref="N2253">_xlfn.XLOOKUP($A2253, 'Hospitalisation Details'!$A:$A, 'Hospitalisation Details'!K:K, "No Data")</f>
        <v>18</v>
      </c>
      <c r="O2253" s="33">
        <f t="array" ref="O2253">_xlfn.XLOOKUP($A2253, 'Hospitalisation Details'!$A:$A, 'Hospitalisation Details'!G:G, "No Data")</f>
        <v>1285</v>
      </c>
      <c r="P2253" s="28" t="str">
        <f t="array" ref="P2253">_xlfn.XLOOKUP($A2253, 'Hospitalisation Details'!$A:$A, 'Hospitalisation Details'!H:H, "No Data")</f>
        <v>tier - 2</v>
      </c>
    </row>
    <row r="2254">
      <c r="A2254" s="25" t="s">
        <v>1128</v>
      </c>
      <c r="B2254" s="28" t="str">
        <f t="array" ref="B2254">_xlfn.XLOOKUP($A2254, 'Customer Names'!$A:$A, 'Customer Names'!B:B, "No Data")</f>
        <v>Wieck</v>
      </c>
      <c r="C2254" s="28">
        <f t="array" ref="C2254">_xlfn.XLOOKUP($A2254, 'Medical Examinations'!$A:$A, 'Medical Examinations'!B:B, "No Data")</f>
        <v>19.43</v>
      </c>
      <c r="D2254" s="28">
        <f t="array" ref="D2254">_xlfn.XLOOKUP($A2254, 'Medical Examinations'!$A:$A, 'Medical Examinations'!C:C, "No Data")</f>
        <v>5.85</v>
      </c>
      <c r="E2254" s="28" t="str">
        <f t="array" ref="E2254">_xlfn.XLOOKUP($A2254, 'Medical Examinations'!$A:$A, 'Medical Examinations'!D:D, "No Data")</f>
        <v>No</v>
      </c>
      <c r="F2254" s="28" t="str">
        <f t="array" ref="F2254">_xlfn.XLOOKUP($A2254, 'Medical Examinations'!$A:$A, 'Medical Examinations'!E:E, "No Data")</f>
        <v>yes</v>
      </c>
      <c r="G2254" s="28" t="str">
        <f t="array" ref="G2254">_xlfn.XLOOKUP($A2254, 'Medical Examinations'!$A:$A, 'Medical Examinations'!F:F, "No Data")</f>
        <v>No</v>
      </c>
      <c r="H2254" s="28">
        <f t="array" ref="H2254">_xlfn.XLOOKUP($A2254, 'Medical Examinations'!$A:$A, 'Medical Examinations'!G:G, "No Data")</f>
        <v>1</v>
      </c>
      <c r="I2254" s="28" t="str">
        <f t="array" ref="I2254">_xlfn.XLOOKUP($A2254, 'Medical Examinations'!$A:$A, 'Medical Examinations'!H:H, "No Data")</f>
        <v>No</v>
      </c>
      <c r="J2254" s="28" t="str">
        <f t="array" ref="J2254">_xlfn.XLOOKUP($A2254, 'Medical Examinations'!$A:$A, 'Medical Examinations'!I:I, "No Data")</f>
        <v>Normal Weight</v>
      </c>
      <c r="K2254" s="28" t="str">
        <f t="array" ref="K2254">_xlfn.XLOOKUP($A2254, 'Hospitalisation Details'!$A:$A, 'Hospitalisation Details'!I:I, "No Data")</f>
        <v>tier - 1</v>
      </c>
      <c r="L2254" s="28" t="str">
        <f t="array" ref="L2254">_xlfn.XLOOKUP($A2254, 'Hospitalisation Details'!$A:$A, 'Hospitalisation Details'!J:J, "No Data")</f>
        <v>R1013</v>
      </c>
      <c r="M2254" s="28" t="str">
        <f t="array" ref="M2254">_xlfn.XLOOKUP($A2254, 'Hospitalisation Details'!$A:$A, 'Hospitalisation Details'!E:E, "No Data")</f>
        <v>30/09/04</v>
      </c>
      <c r="N2254" s="28">
        <f t="array" ref="N2254">_xlfn.XLOOKUP($A2254, 'Hospitalisation Details'!$A:$A, 'Hospitalisation Details'!K:K, "No Data")</f>
        <v>18</v>
      </c>
      <c r="O2254" s="33">
        <f t="array" ref="O2254">_xlfn.XLOOKUP($A2254, 'Hospitalisation Details'!$A:$A, 'Hospitalisation Details'!G:G, "No Data")</f>
        <v>1283</v>
      </c>
      <c r="P2254" s="28" t="str">
        <f t="array" ref="P2254">_xlfn.XLOOKUP($A2254, 'Hospitalisation Details'!$A:$A, 'Hospitalisation Details'!H:H, "No Data")</f>
        <v>tier - 2</v>
      </c>
    </row>
    <row r="2255">
      <c r="A2255" s="25" t="s">
        <v>1123</v>
      </c>
      <c r="B2255" s="28" t="str">
        <f t="array" ref="B2255">_xlfn.XLOOKUP($A2255, 'Customer Names'!$A:$A, 'Customer Names'!B:B, "No Data")</f>
        <v>Friel</v>
      </c>
      <c r="C2255" s="28">
        <f t="array" ref="C2255">_xlfn.XLOOKUP($A2255, 'Medical Examinations'!$A:$A, 'Medical Examinations'!B:B, "No Data")</f>
        <v>15.22</v>
      </c>
      <c r="D2255" s="28">
        <f t="array" ref="D2255">_xlfn.XLOOKUP($A2255, 'Medical Examinations'!$A:$A, 'Medical Examinations'!C:C, "No Data")</f>
        <v>4.92</v>
      </c>
      <c r="E2255" s="28" t="str">
        <f t="array" ref="E2255">_xlfn.XLOOKUP($A2255, 'Medical Examinations'!$A:$A, 'Medical Examinations'!D:D, "No Data")</f>
        <v>yes</v>
      </c>
      <c r="F2255" s="28" t="str">
        <f t="array" ref="F2255">_xlfn.XLOOKUP($A2255, 'Medical Examinations'!$A:$A, 'Medical Examinations'!E:E, "No Data")</f>
        <v>No</v>
      </c>
      <c r="G2255" s="28" t="str">
        <f t="array" ref="G2255">_xlfn.XLOOKUP($A2255, 'Medical Examinations'!$A:$A, 'Medical Examinations'!F:F, "No Data")</f>
        <v>Yes</v>
      </c>
      <c r="H2255" s="28">
        <f t="array" ref="H2255">_xlfn.XLOOKUP($A2255, 'Medical Examinations'!$A:$A, 'Medical Examinations'!G:G, "No Data")</f>
        <v>1</v>
      </c>
      <c r="I2255" s="28" t="str">
        <f t="array" ref="I2255">_xlfn.XLOOKUP($A2255, 'Medical Examinations'!$A:$A, 'Medical Examinations'!H:H, "No Data")</f>
        <v>No</v>
      </c>
      <c r="J2255" s="28" t="str">
        <f t="array" ref="J2255">_xlfn.XLOOKUP($A2255, 'Medical Examinations'!$A:$A, 'Medical Examinations'!I:I, "No Data")</f>
        <v>Underweight</v>
      </c>
      <c r="K2255" s="28" t="str">
        <f t="array" ref="K2255">_xlfn.XLOOKUP($A2255, 'Hospitalisation Details'!$A:$A, 'Hospitalisation Details'!I:I, "No Data")</f>
        <v>tier - 2</v>
      </c>
      <c r="L2255" s="28" t="str">
        <f t="array" ref="L2255">_xlfn.XLOOKUP($A2255, 'Hospitalisation Details'!$A:$A, 'Hospitalisation Details'!J:J, "No Data")</f>
        <v>R1012</v>
      </c>
      <c r="M2255" s="28" t="str">
        <f t="array" ref="M2255">_xlfn.XLOOKUP($A2255, 'Hospitalisation Details'!$A:$A, 'Hospitalisation Details'!E:E, "No Data")</f>
        <v>26/10/97</v>
      </c>
      <c r="N2255" s="28">
        <f t="array" ref="N2255">_xlfn.XLOOKUP($A2255, 'Hospitalisation Details'!$A:$A, 'Hospitalisation Details'!K:K, "No Data")</f>
        <v>25</v>
      </c>
      <c r="O2255" s="33">
        <f t="array" ref="O2255">_xlfn.XLOOKUP($A2255, 'Hospitalisation Details'!$A:$A, 'Hospitalisation Details'!G:G, "No Data")</f>
        <v>1276</v>
      </c>
      <c r="P2255" s="28" t="str">
        <f t="array" ref="P2255">_xlfn.XLOOKUP($A2255, 'Hospitalisation Details'!$A:$A, 'Hospitalisation Details'!H:H, "No Data")</f>
        <v>tier - 2</v>
      </c>
    </row>
    <row r="2256">
      <c r="A2256" s="25" t="s">
        <v>1117</v>
      </c>
      <c r="B2256" s="28" t="str">
        <f t="array" ref="B2256">_xlfn.XLOOKUP($A2256, 'Customer Names'!$A:$A, 'Customer Names'!B:B, "No Data")</f>
        <v>Santandreu</v>
      </c>
      <c r="C2256" s="28">
        <f t="array" ref="C2256">_xlfn.XLOOKUP($A2256, 'Medical Examinations'!$A:$A, 'Medical Examinations'!B:B, "No Data")</f>
        <v>20.72</v>
      </c>
      <c r="D2256" s="28">
        <f t="array" ref="D2256">_xlfn.XLOOKUP($A2256, 'Medical Examinations'!$A:$A, 'Medical Examinations'!C:C, "No Data")</f>
        <v>9.46</v>
      </c>
      <c r="E2256" s="28" t="str">
        <f t="array" ref="E2256">_xlfn.XLOOKUP($A2256, 'Medical Examinations'!$A:$A, 'Medical Examinations'!D:D, "No Data")</f>
        <v>No</v>
      </c>
      <c r="F2256" s="28" t="str">
        <f t="array" ref="F2256">_xlfn.XLOOKUP($A2256, 'Medical Examinations'!$A:$A, 'Medical Examinations'!E:E, "No Data")</f>
        <v>No</v>
      </c>
      <c r="G2256" s="28" t="str">
        <f t="array" ref="G2256">_xlfn.XLOOKUP($A2256, 'Medical Examinations'!$A:$A, 'Medical Examinations'!F:F, "No Data")</f>
        <v>No</v>
      </c>
      <c r="H2256" s="28">
        <f t="array" ref="H2256">_xlfn.XLOOKUP($A2256, 'Medical Examinations'!$A:$A, 'Medical Examinations'!G:G, "No Data")</f>
        <v>0</v>
      </c>
      <c r="I2256" s="28" t="str">
        <f t="array" ref="I2256">_xlfn.XLOOKUP($A2256, 'Medical Examinations'!$A:$A, 'Medical Examinations'!H:H, "No Data")</f>
        <v>No</v>
      </c>
      <c r="J2256" s="28" t="str">
        <f t="array" ref="J2256">_xlfn.XLOOKUP($A2256, 'Medical Examinations'!$A:$A, 'Medical Examinations'!I:I, "No Data")</f>
        <v>Normal Weight</v>
      </c>
      <c r="K2256" s="28" t="str">
        <f t="array" ref="K2256">_xlfn.XLOOKUP($A2256, 'Hospitalisation Details'!$A:$A, 'Hospitalisation Details'!I:I, "No Data")</f>
        <v>tier - 1</v>
      </c>
      <c r="L2256" s="28" t="str">
        <f t="array" ref="L2256">_xlfn.XLOOKUP($A2256, 'Hospitalisation Details'!$A:$A, 'Hospitalisation Details'!J:J, "No Data")</f>
        <v>R1013</v>
      </c>
      <c r="M2256" s="28" t="str">
        <f t="array" ref="M2256">_xlfn.XLOOKUP($A2256, 'Hospitalisation Details'!$A:$A, 'Hospitalisation Details'!E:E, "No Data")</f>
        <v>04/12/02</v>
      </c>
      <c r="N2256" s="28">
        <f t="array" ref="N2256">_xlfn.XLOOKUP($A2256, 'Hospitalisation Details'!$A:$A, 'Hospitalisation Details'!K:K, "No Data")</f>
        <v>20</v>
      </c>
      <c r="O2256" s="33">
        <f t="array" ref="O2256">_xlfn.XLOOKUP($A2256, 'Hospitalisation Details'!$A:$A, 'Hospitalisation Details'!G:G, "No Data")</f>
        <v>1267</v>
      </c>
      <c r="P2256" s="28" t="str">
        <f t="array" ref="P2256">_xlfn.XLOOKUP($A2256, 'Hospitalisation Details'!$A:$A, 'Hospitalisation Details'!H:H, "No Data")</f>
        <v>tier - 2</v>
      </c>
    </row>
    <row r="2257">
      <c r="A2257" s="25" t="s">
        <v>1112</v>
      </c>
      <c r="B2257" s="28" t="str">
        <f t="array" ref="B2257">_xlfn.XLOOKUP($A2257, 'Customer Names'!$A:$A, 'Customer Names'!B:B, "No Data")</f>
        <v>Johnson</v>
      </c>
      <c r="C2257" s="28">
        <f t="array" ref="C2257">_xlfn.XLOOKUP($A2257, 'Medical Examinations'!$A:$A, 'Medical Examinations'!B:B, "No Data")</f>
        <v>35.4</v>
      </c>
      <c r="D2257" s="28">
        <f t="array" ref="D2257">_xlfn.XLOOKUP($A2257, 'Medical Examinations'!$A:$A, 'Medical Examinations'!C:C, "No Data")</f>
        <v>5.94</v>
      </c>
      <c r="E2257" s="28" t="str">
        <f t="array" ref="E2257">_xlfn.XLOOKUP($A2257, 'Medical Examinations'!$A:$A, 'Medical Examinations'!D:D, "No Data")</f>
        <v>No</v>
      </c>
      <c r="F2257" s="28" t="str">
        <f t="array" ref="F2257">_xlfn.XLOOKUP($A2257, 'Medical Examinations'!$A:$A, 'Medical Examinations'!E:E, "No Data")</f>
        <v>No</v>
      </c>
      <c r="G2257" s="28" t="str">
        <f t="array" ref="G2257">_xlfn.XLOOKUP($A2257, 'Medical Examinations'!$A:$A, 'Medical Examinations'!F:F, "No Data")</f>
        <v>Yes</v>
      </c>
      <c r="H2257" s="28">
        <f t="array" ref="H2257">_xlfn.XLOOKUP($A2257, 'Medical Examinations'!$A:$A, 'Medical Examinations'!G:G, "No Data")</f>
        <v>1</v>
      </c>
      <c r="I2257" s="28" t="str">
        <f t="array" ref="I2257">_xlfn.XLOOKUP($A2257, 'Medical Examinations'!$A:$A, 'Medical Examinations'!H:H, "No Data")</f>
        <v>No</v>
      </c>
      <c r="J2257" s="28" t="str">
        <f t="array" ref="J2257">_xlfn.XLOOKUP($A2257, 'Medical Examinations'!$A:$A, 'Medical Examinations'!I:I, "No Data")</f>
        <v>Obesity</v>
      </c>
      <c r="K2257" s="28" t="str">
        <f t="array" ref="K2257">_xlfn.XLOOKUP($A2257, 'Hospitalisation Details'!$A:$A, 'Hospitalisation Details'!I:I, "No Data")</f>
        <v>tier - 3</v>
      </c>
      <c r="L2257" s="28" t="str">
        <f t="array" ref="L2257">_xlfn.XLOOKUP($A2257, 'Hospitalisation Details'!$A:$A, 'Hospitalisation Details'!J:J, "No Data")</f>
        <v>R1011</v>
      </c>
      <c r="M2257" s="28" t="str">
        <f t="array" ref="M2257">_xlfn.XLOOKUP($A2257, 'Hospitalisation Details'!$A:$A, 'Hospitalisation Details'!E:E, "No Data")</f>
        <v>21/11/03</v>
      </c>
      <c r="N2257" s="28">
        <f t="array" ref="N2257">_xlfn.XLOOKUP($A2257, 'Hospitalisation Details'!$A:$A, 'Hospitalisation Details'!K:K, "No Data")</f>
        <v>19</v>
      </c>
      <c r="O2257" s="33">
        <f t="array" ref="O2257">_xlfn.XLOOKUP($A2257, 'Hospitalisation Details'!$A:$A, 'Hospitalisation Details'!G:G, "No Data")</f>
        <v>1263.25</v>
      </c>
      <c r="P2257" s="28" t="str">
        <f t="array" ref="P2257">_xlfn.XLOOKUP($A2257, 'Hospitalisation Details'!$A:$A, 'Hospitalisation Details'!H:H, "No Data")</f>
        <v>tier - 2</v>
      </c>
    </row>
    <row r="2258">
      <c r="A2258" s="25" t="s">
        <v>1106</v>
      </c>
      <c r="B2258" s="28" t="str">
        <f t="array" ref="B2258">_xlfn.XLOOKUP($A2258, 'Customer Names'!$A:$A, 'Customer Names'!B:B, "No Data")</f>
        <v>Gerber</v>
      </c>
      <c r="C2258" s="28">
        <f t="array" ref="C2258">_xlfn.XLOOKUP($A2258, 'Medical Examinations'!$A:$A, 'Medical Examinations'!B:B, "No Data")</f>
        <v>34.4</v>
      </c>
      <c r="D2258" s="28">
        <f t="array" ref="D2258">_xlfn.XLOOKUP($A2258, 'Medical Examinations'!$A:$A, 'Medical Examinations'!C:C, "No Data")</f>
        <v>5.7</v>
      </c>
      <c r="E2258" s="28" t="str">
        <f t="array" ref="E2258">_xlfn.XLOOKUP($A2258, 'Medical Examinations'!$A:$A, 'Medical Examinations'!D:D, "No Data")</f>
        <v>No</v>
      </c>
      <c r="F2258" s="28" t="str">
        <f t="array" ref="F2258">_xlfn.XLOOKUP($A2258, 'Medical Examinations'!$A:$A, 'Medical Examinations'!E:E, "No Data")</f>
        <v>No</v>
      </c>
      <c r="G2258" s="28" t="str">
        <f t="array" ref="G2258">_xlfn.XLOOKUP($A2258, 'Medical Examinations'!$A:$A, 'Medical Examinations'!F:F, "No Data")</f>
        <v>Yes</v>
      </c>
      <c r="H2258" s="28">
        <f t="array" ref="H2258">_xlfn.XLOOKUP($A2258, 'Medical Examinations'!$A:$A, 'Medical Examinations'!G:G, "No Data")</f>
        <v>1</v>
      </c>
      <c r="I2258" s="28" t="str">
        <f t="array" ref="I2258">_xlfn.XLOOKUP($A2258, 'Medical Examinations'!$A:$A, 'Medical Examinations'!H:H, "No Data")</f>
        <v>No</v>
      </c>
      <c r="J2258" s="28" t="str">
        <f t="array" ref="J2258">_xlfn.XLOOKUP($A2258, 'Medical Examinations'!$A:$A, 'Medical Examinations'!I:I, "No Data")</f>
        <v>Obesity</v>
      </c>
      <c r="K2258" s="28" t="str">
        <f t="array" ref="K2258">_xlfn.XLOOKUP($A2258, 'Hospitalisation Details'!$A:$A, 'Hospitalisation Details'!I:I, "No Data")</f>
        <v>tier - 3</v>
      </c>
      <c r="L2258" s="28" t="str">
        <f t="array" ref="L2258">_xlfn.XLOOKUP($A2258, 'Hospitalisation Details'!$A:$A, 'Hospitalisation Details'!J:J, "No Data")</f>
        <v>R1011</v>
      </c>
      <c r="M2258" s="28" t="str">
        <f t="array" ref="M2258">_xlfn.XLOOKUP($A2258, 'Hospitalisation Details'!$A:$A, 'Hospitalisation Details'!E:E, "No Data")</f>
        <v>15/08/03</v>
      </c>
      <c r="N2258" s="28">
        <f t="array" ref="N2258">_xlfn.XLOOKUP($A2258, 'Hospitalisation Details'!$A:$A, 'Hospitalisation Details'!K:K, "No Data")</f>
        <v>19</v>
      </c>
      <c r="O2258" s="33">
        <f t="array" ref="O2258">_xlfn.XLOOKUP($A2258, 'Hospitalisation Details'!$A:$A, 'Hospitalisation Details'!G:G, "No Data")</f>
        <v>1261.86</v>
      </c>
      <c r="P2258" s="28" t="str">
        <f t="array" ref="P2258">_xlfn.XLOOKUP($A2258, 'Hospitalisation Details'!$A:$A, 'Hospitalisation Details'!H:H, "No Data")</f>
        <v>tier - 2</v>
      </c>
    </row>
    <row r="2259">
      <c r="A2259" s="25" t="s">
        <v>1099</v>
      </c>
      <c r="B2259" s="28" t="str">
        <f t="array" ref="B2259">_xlfn.XLOOKUP($A2259, 'Customer Names'!$A:$A, 'Customer Names'!B:B, "No Data")</f>
        <v>Benadum</v>
      </c>
      <c r="C2259" s="28">
        <f t="array" ref="C2259">_xlfn.XLOOKUP($A2259, 'Medical Examinations'!$A:$A, 'Medical Examinations'!B:B, "No Data")</f>
        <v>34.1</v>
      </c>
      <c r="D2259" s="28">
        <f t="array" ref="D2259">_xlfn.XLOOKUP($A2259, 'Medical Examinations'!$A:$A, 'Medical Examinations'!C:C, "No Data")</f>
        <v>4.13</v>
      </c>
      <c r="E2259" s="28" t="str">
        <f t="array" ref="E2259">_xlfn.XLOOKUP($A2259, 'Medical Examinations'!$A:$A, 'Medical Examinations'!D:D, "No Data")</f>
        <v>No</v>
      </c>
      <c r="F2259" s="28" t="str">
        <f t="array" ref="F2259">_xlfn.XLOOKUP($A2259, 'Medical Examinations'!$A:$A, 'Medical Examinations'!E:E, "No Data")</f>
        <v>No</v>
      </c>
      <c r="G2259" s="28" t="str">
        <f t="array" ref="G2259">_xlfn.XLOOKUP($A2259, 'Medical Examinations'!$A:$A, 'Medical Examinations'!F:F, "No Data")</f>
        <v>Yes</v>
      </c>
      <c r="H2259" s="28">
        <f t="array" ref="H2259">_xlfn.XLOOKUP($A2259, 'Medical Examinations'!$A:$A, 'Medical Examinations'!G:G, "No Data")</f>
        <v>1</v>
      </c>
      <c r="I2259" s="28" t="str">
        <f t="array" ref="I2259">_xlfn.XLOOKUP($A2259, 'Medical Examinations'!$A:$A, 'Medical Examinations'!H:H, "No Data")</f>
        <v>No</v>
      </c>
      <c r="J2259" s="28" t="str">
        <f t="array" ref="J2259">_xlfn.XLOOKUP($A2259, 'Medical Examinations'!$A:$A, 'Medical Examinations'!I:I, "No Data")</f>
        <v>Obesity</v>
      </c>
      <c r="K2259" s="28" t="str">
        <f t="array" ref="K2259">_xlfn.XLOOKUP($A2259, 'Hospitalisation Details'!$A:$A, 'Hospitalisation Details'!I:I, "No Data")</f>
        <v>tier - 3</v>
      </c>
      <c r="L2259" s="28" t="str">
        <f t="array" ref="L2259">_xlfn.XLOOKUP($A2259, 'Hospitalisation Details'!$A:$A, 'Hospitalisation Details'!J:J, "No Data")</f>
        <v>R1011</v>
      </c>
      <c r="M2259" s="28" t="str">
        <f t="array" ref="M2259">_xlfn.XLOOKUP($A2259, 'Hospitalisation Details'!$A:$A, 'Hospitalisation Details'!E:E, "No Data")</f>
        <v>30/10/03</v>
      </c>
      <c r="N2259" s="28">
        <f t="array" ref="N2259">_xlfn.XLOOKUP($A2259, 'Hospitalisation Details'!$A:$A, 'Hospitalisation Details'!K:K, "No Data")</f>
        <v>19</v>
      </c>
      <c r="O2259" s="33">
        <f t="array" ref="O2259">_xlfn.XLOOKUP($A2259, 'Hospitalisation Details'!$A:$A, 'Hospitalisation Details'!G:G, "No Data")</f>
        <v>1261.44</v>
      </c>
      <c r="P2259" s="28" t="str">
        <f t="array" ref="P2259">_xlfn.XLOOKUP($A2259, 'Hospitalisation Details'!$A:$A, 'Hospitalisation Details'!H:H, "No Data")</f>
        <v>tier - 2</v>
      </c>
    </row>
    <row r="2260">
      <c r="A2260" s="25" t="s">
        <v>1094</v>
      </c>
      <c r="B2260" s="28" t="str">
        <f t="array" ref="B2260">_xlfn.XLOOKUP($A2260, 'Customer Names'!$A:$A, 'Customer Names'!B:B, "No Data")</f>
        <v>Ragazzini</v>
      </c>
      <c r="C2260" s="28">
        <f t="array" ref="C2260">_xlfn.XLOOKUP($A2260, 'Medical Examinations'!$A:$A, 'Medical Examinations'!B:B, "No Data")</f>
        <v>30.4</v>
      </c>
      <c r="D2260" s="28">
        <f t="array" ref="D2260">_xlfn.XLOOKUP($A2260, 'Medical Examinations'!$A:$A, 'Medical Examinations'!C:C, "No Data")</f>
        <v>4.77</v>
      </c>
      <c r="E2260" s="28" t="str">
        <f t="array" ref="E2260">_xlfn.XLOOKUP($A2260, 'Medical Examinations'!$A:$A, 'Medical Examinations'!D:D, "No Data")</f>
        <v>No</v>
      </c>
      <c r="F2260" s="28" t="str">
        <f t="array" ref="F2260">_xlfn.XLOOKUP($A2260, 'Medical Examinations'!$A:$A, 'Medical Examinations'!E:E, "No Data")</f>
        <v>No</v>
      </c>
      <c r="G2260" s="28" t="str">
        <f t="array" ref="G2260">_xlfn.XLOOKUP($A2260, 'Medical Examinations'!$A:$A, 'Medical Examinations'!F:F, "No Data")</f>
        <v>Yes</v>
      </c>
      <c r="H2260" s="28">
        <f t="array" ref="H2260">_xlfn.XLOOKUP($A2260, 'Medical Examinations'!$A:$A, 'Medical Examinations'!G:G, "No Data")</f>
        <v>1</v>
      </c>
      <c r="I2260" s="28" t="str">
        <f t="array" ref="I2260">_xlfn.XLOOKUP($A2260, 'Medical Examinations'!$A:$A, 'Medical Examinations'!H:H, "No Data")</f>
        <v>No</v>
      </c>
      <c r="J2260" s="28" t="str">
        <f t="array" ref="J2260">_xlfn.XLOOKUP($A2260, 'Medical Examinations'!$A:$A, 'Medical Examinations'!I:I, "No Data")</f>
        <v>Obesity</v>
      </c>
      <c r="K2260" s="28" t="str">
        <f t="array" ref="K2260">_xlfn.XLOOKUP($A2260, 'Hospitalisation Details'!$A:$A, 'Hospitalisation Details'!I:I, "No Data")</f>
        <v>tier - 3</v>
      </c>
      <c r="L2260" s="28" t="str">
        <f t="array" ref="L2260">_xlfn.XLOOKUP($A2260, 'Hospitalisation Details'!$A:$A, 'Hospitalisation Details'!J:J, "No Data")</f>
        <v>R1011</v>
      </c>
      <c r="M2260" s="28" t="str">
        <f t="array" ref="M2260">_xlfn.XLOOKUP($A2260, 'Hospitalisation Details'!$A:$A, 'Hospitalisation Details'!E:E, "No Data")</f>
        <v>13/10/03</v>
      </c>
      <c r="N2260" s="28">
        <f t="array" ref="N2260">_xlfn.XLOOKUP($A2260, 'Hospitalisation Details'!$A:$A, 'Hospitalisation Details'!K:K, "No Data")</f>
        <v>19</v>
      </c>
      <c r="O2260" s="33">
        <f t="array" ref="O2260">_xlfn.XLOOKUP($A2260, 'Hospitalisation Details'!$A:$A, 'Hospitalisation Details'!G:G, "No Data")</f>
        <v>1256.3</v>
      </c>
      <c r="P2260" s="28" t="str">
        <f t="array" ref="P2260">_xlfn.XLOOKUP($A2260, 'Hospitalisation Details'!$A:$A, 'Hospitalisation Details'!H:H, "No Data")</f>
        <v>tier - 2</v>
      </c>
    </row>
    <row r="2261">
      <c r="A2261" s="25" t="s">
        <v>1089</v>
      </c>
      <c r="B2261" s="28" t="str">
        <f t="array" ref="B2261">_xlfn.XLOOKUP($A2261, 'Customer Names'!$A:$A, 'Customer Names'!B:B, "No Data")</f>
        <v>Kessinger</v>
      </c>
      <c r="C2261" s="28">
        <f t="array" ref="C2261">_xlfn.XLOOKUP($A2261, 'Medical Examinations'!$A:$A, 'Medical Examinations'!B:B, "No Data")</f>
        <v>28.7</v>
      </c>
      <c r="D2261" s="28">
        <f t="array" ref="D2261">_xlfn.XLOOKUP($A2261, 'Medical Examinations'!$A:$A, 'Medical Examinations'!C:C, "No Data")</f>
        <v>4.99</v>
      </c>
      <c r="E2261" s="28" t="str">
        <f t="array" ref="E2261">_xlfn.XLOOKUP($A2261, 'Medical Examinations'!$A:$A, 'Medical Examinations'!D:D, "No Data")</f>
        <v>No</v>
      </c>
      <c r="F2261" s="28" t="str">
        <f t="array" ref="F2261">_xlfn.XLOOKUP($A2261, 'Medical Examinations'!$A:$A, 'Medical Examinations'!E:E, "No Data")</f>
        <v>No</v>
      </c>
      <c r="G2261" s="28" t="str">
        <f t="array" ref="G2261">_xlfn.XLOOKUP($A2261, 'Medical Examinations'!$A:$A, 'Medical Examinations'!F:F, "No Data")</f>
        <v>Yes</v>
      </c>
      <c r="H2261" s="28">
        <f t="array" ref="H2261">_xlfn.XLOOKUP($A2261, 'Medical Examinations'!$A:$A, 'Medical Examinations'!G:G, "No Data")</f>
        <v>1</v>
      </c>
      <c r="I2261" s="28" t="str">
        <f t="array" ref="I2261">_xlfn.XLOOKUP($A2261, 'Medical Examinations'!$A:$A, 'Medical Examinations'!H:H, "No Data")</f>
        <v>No</v>
      </c>
      <c r="J2261" s="28" t="str">
        <f t="array" ref="J2261">_xlfn.XLOOKUP($A2261, 'Medical Examinations'!$A:$A, 'Medical Examinations'!I:I, "No Data")</f>
        <v>Overweight</v>
      </c>
      <c r="K2261" s="28" t="str">
        <f t="array" ref="K2261">_xlfn.XLOOKUP($A2261, 'Hospitalisation Details'!$A:$A, 'Hospitalisation Details'!I:I, "No Data")</f>
        <v>tier - 2</v>
      </c>
      <c r="L2261" s="28" t="str">
        <f t="array" ref="L2261">_xlfn.XLOOKUP($A2261, 'Hospitalisation Details'!$A:$A, 'Hospitalisation Details'!J:J, "No Data")</f>
        <v>R1011</v>
      </c>
      <c r="M2261" s="28" t="str">
        <f t="array" ref="M2261">_xlfn.XLOOKUP($A2261, 'Hospitalisation Details'!$A:$A, 'Hospitalisation Details'!E:E, "No Data")</f>
        <v>10/12/03</v>
      </c>
      <c r="N2261" s="28">
        <f t="array" ref="N2261">_xlfn.XLOOKUP($A2261, 'Hospitalisation Details'!$A:$A, 'Hospitalisation Details'!K:K, "No Data")</f>
        <v>19</v>
      </c>
      <c r="O2261" s="33">
        <f t="array" ref="O2261">_xlfn.XLOOKUP($A2261, 'Hospitalisation Details'!$A:$A, 'Hospitalisation Details'!G:G, "No Data")</f>
        <v>1253.94</v>
      </c>
      <c r="P2261" s="28" t="str">
        <f t="array" ref="P2261">_xlfn.XLOOKUP($A2261, 'Hospitalisation Details'!$A:$A, 'Hospitalisation Details'!H:H, "No Data")</f>
        <v>tier - 2</v>
      </c>
    </row>
    <row r="2262">
      <c r="A2262" s="25" t="s">
        <v>1083</v>
      </c>
      <c r="B2262" s="28" t="str">
        <f t="array" ref="B2262">_xlfn.XLOOKUP($A2262, 'Customer Names'!$A:$A, 'Customer Names'!B:B, "No Data")</f>
        <v>Bezgin</v>
      </c>
      <c r="C2262" s="28">
        <f t="array" ref="C2262">_xlfn.XLOOKUP($A2262, 'Medical Examinations'!$A:$A, 'Medical Examinations'!B:B, "No Data")</f>
        <v>17.44</v>
      </c>
      <c r="D2262" s="28">
        <f t="array" ref="D2262">_xlfn.XLOOKUP($A2262, 'Medical Examinations'!$A:$A, 'Medical Examinations'!C:C, "No Data")</f>
        <v>4.42</v>
      </c>
      <c r="E2262" s="28" t="str">
        <f t="array" ref="E2262">_xlfn.XLOOKUP($A2262, 'Medical Examinations'!$A:$A, 'Medical Examinations'!D:D, "No Data")</f>
        <v>yes</v>
      </c>
      <c r="F2262" s="28" t="str">
        <f t="array" ref="F2262">_xlfn.XLOOKUP($A2262, 'Medical Examinations'!$A:$A, 'Medical Examinations'!E:E, "No Data")</f>
        <v>No</v>
      </c>
      <c r="G2262" s="28" t="str">
        <f t="array" ref="G2262">_xlfn.XLOOKUP($A2262, 'Medical Examinations'!$A:$A, 'Medical Examinations'!F:F, "No Data")</f>
        <v>Yes</v>
      </c>
      <c r="H2262" s="28">
        <f t="array" ref="H2262">_xlfn.XLOOKUP($A2262, 'Medical Examinations'!$A:$A, 'Medical Examinations'!G:G, "No Data")</f>
        <v>1</v>
      </c>
      <c r="I2262" s="28" t="str">
        <f t="array" ref="I2262">_xlfn.XLOOKUP($A2262, 'Medical Examinations'!$A:$A, 'Medical Examinations'!H:H, "No Data")</f>
        <v>No</v>
      </c>
      <c r="J2262" s="28" t="str">
        <f t="array" ref="J2262">_xlfn.XLOOKUP($A2262, 'Medical Examinations'!$A:$A, 'Medical Examinations'!I:I, "No Data")</f>
        <v>Underweight</v>
      </c>
      <c r="K2262" s="28" t="str">
        <f t="array" ref="K2262">_xlfn.XLOOKUP($A2262, 'Hospitalisation Details'!$A:$A, 'Hospitalisation Details'!I:I, "No Data")</f>
        <v>tier - 2</v>
      </c>
      <c r="L2262" s="28" t="str">
        <f t="array" ref="L2262">_xlfn.XLOOKUP($A2262, 'Hospitalisation Details'!$A:$A, 'Hospitalisation Details'!J:J, "No Data")</f>
        <v>R1013</v>
      </c>
      <c r="M2262" s="28" t="str">
        <f t="array" ref="M2262">_xlfn.XLOOKUP($A2262, 'Hospitalisation Details'!$A:$A, 'Hospitalisation Details'!E:E, "No Data")</f>
        <v>04/11/97</v>
      </c>
      <c r="N2262" s="28">
        <f t="array" ref="N2262">_xlfn.XLOOKUP($A2262, 'Hospitalisation Details'!$A:$A, 'Hospitalisation Details'!K:K, "No Data")</f>
        <v>25</v>
      </c>
      <c r="O2262" s="33">
        <f t="array" ref="O2262">_xlfn.XLOOKUP($A2262, 'Hospitalisation Details'!$A:$A, 'Hospitalisation Details'!G:G, "No Data")</f>
        <v>1253</v>
      </c>
      <c r="P2262" s="28" t="str">
        <f t="array" ref="P2262">_xlfn.XLOOKUP($A2262, 'Hospitalisation Details'!$A:$A, 'Hospitalisation Details'!H:H, "No Data")</f>
        <v>tier - 2</v>
      </c>
    </row>
    <row r="2263">
      <c r="A2263" s="25" t="s">
        <v>1079</v>
      </c>
      <c r="B2263" s="28" t="str">
        <f t="array" ref="B2263">_xlfn.XLOOKUP($A2263, 'Customer Names'!$A:$A, 'Customer Names'!B:B, "No Data")</f>
        <v>Woldesilassie</v>
      </c>
      <c r="C2263" s="28">
        <f t="array" ref="C2263">_xlfn.XLOOKUP($A2263, 'Medical Examinations'!$A:$A, 'Medical Examinations'!B:B, "No Data")</f>
        <v>27.6</v>
      </c>
      <c r="D2263" s="28">
        <f t="array" ref="D2263">_xlfn.XLOOKUP($A2263, 'Medical Examinations'!$A:$A, 'Medical Examinations'!C:C, "No Data")</f>
        <v>4.01</v>
      </c>
      <c r="E2263" s="28" t="str">
        <f t="array" ref="E2263">_xlfn.XLOOKUP($A2263, 'Medical Examinations'!$A:$A, 'Medical Examinations'!D:D, "No Data")</f>
        <v>No</v>
      </c>
      <c r="F2263" s="28" t="str">
        <f t="array" ref="F2263">_xlfn.XLOOKUP($A2263, 'Medical Examinations'!$A:$A, 'Medical Examinations'!E:E, "No Data")</f>
        <v>No</v>
      </c>
      <c r="G2263" s="28" t="str">
        <f t="array" ref="G2263">_xlfn.XLOOKUP($A2263, 'Medical Examinations'!$A:$A, 'Medical Examinations'!F:F, "No Data")</f>
        <v>Yes</v>
      </c>
      <c r="H2263" s="28">
        <f t="array" ref="H2263">_xlfn.XLOOKUP($A2263, 'Medical Examinations'!$A:$A, 'Medical Examinations'!G:G, "No Data")</f>
        <v>1</v>
      </c>
      <c r="I2263" s="28" t="str">
        <f t="array" ref="I2263">_xlfn.XLOOKUP($A2263, 'Medical Examinations'!$A:$A, 'Medical Examinations'!H:H, "No Data")</f>
        <v>No</v>
      </c>
      <c r="J2263" s="28" t="str">
        <f t="array" ref="J2263">_xlfn.XLOOKUP($A2263, 'Medical Examinations'!$A:$A, 'Medical Examinations'!I:I, "No Data")</f>
        <v>Overweight</v>
      </c>
      <c r="K2263" s="28" t="str">
        <f t="array" ref="K2263">_xlfn.XLOOKUP($A2263, 'Hospitalisation Details'!$A:$A, 'Hospitalisation Details'!I:I, "No Data")</f>
        <v>tier - 3</v>
      </c>
      <c r="L2263" s="28" t="str">
        <f t="array" ref="L2263">_xlfn.XLOOKUP($A2263, 'Hospitalisation Details'!$A:$A, 'Hospitalisation Details'!J:J, "No Data")</f>
        <v>R1011</v>
      </c>
      <c r="M2263" s="28" t="str">
        <f t="array" ref="M2263">_xlfn.XLOOKUP($A2263, 'Hospitalisation Details'!$A:$A, 'Hospitalisation Details'!E:E, "No Data")</f>
        <v>15/09/03</v>
      </c>
      <c r="N2263" s="28">
        <f t="array" ref="N2263">_xlfn.XLOOKUP($A2263, 'Hospitalisation Details'!$A:$A, 'Hospitalisation Details'!K:K, "No Data")</f>
        <v>19</v>
      </c>
      <c r="O2263" s="33">
        <f t="array" ref="O2263">_xlfn.XLOOKUP($A2263, 'Hospitalisation Details'!$A:$A, 'Hospitalisation Details'!G:G, "No Data")</f>
        <v>1252.41</v>
      </c>
      <c r="P2263" s="28" t="str">
        <f t="array" ref="P2263">_xlfn.XLOOKUP($A2263, 'Hospitalisation Details'!$A:$A, 'Hospitalisation Details'!H:H, "No Data")</f>
        <v>tier - 2</v>
      </c>
    </row>
    <row r="2264">
      <c r="A2264" s="25" t="s">
        <v>1074</v>
      </c>
      <c r="B2264" s="28" t="str">
        <f t="array" ref="B2264">_xlfn.XLOOKUP($A2264, 'Customer Names'!$A:$A, 'Customer Names'!B:B, "No Data")</f>
        <v>Ruiz Herrero</v>
      </c>
      <c r="C2264" s="28">
        <f t="array" ref="C2264">_xlfn.XLOOKUP($A2264, 'Medical Examinations'!$A:$A, 'Medical Examinations'!B:B, "No Data")</f>
        <v>20.7</v>
      </c>
      <c r="D2264" s="28">
        <f t="array" ref="D2264">_xlfn.XLOOKUP($A2264, 'Medical Examinations'!$A:$A, 'Medical Examinations'!C:C, "No Data")</f>
        <v>4.49</v>
      </c>
      <c r="E2264" s="28" t="str">
        <f t="array" ref="E2264">_xlfn.XLOOKUP($A2264, 'Medical Examinations'!$A:$A, 'Medical Examinations'!D:D, "No Data")</f>
        <v>No</v>
      </c>
      <c r="F2264" s="28" t="str">
        <f t="array" ref="F2264">_xlfn.XLOOKUP($A2264, 'Medical Examinations'!$A:$A, 'Medical Examinations'!E:E, "No Data")</f>
        <v>No</v>
      </c>
      <c r="G2264" s="28" t="str">
        <f t="array" ref="G2264">_xlfn.XLOOKUP($A2264, 'Medical Examinations'!$A:$A, 'Medical Examinations'!F:F, "No Data")</f>
        <v>Yes</v>
      </c>
      <c r="H2264" s="28">
        <f t="array" ref="H2264">_xlfn.XLOOKUP($A2264, 'Medical Examinations'!$A:$A, 'Medical Examinations'!G:G, "No Data")</f>
        <v>1</v>
      </c>
      <c r="I2264" s="28" t="str">
        <f t="array" ref="I2264">_xlfn.XLOOKUP($A2264, 'Medical Examinations'!$A:$A, 'Medical Examinations'!H:H, "No Data")</f>
        <v>No</v>
      </c>
      <c r="J2264" s="28" t="str">
        <f t="array" ref="J2264">_xlfn.XLOOKUP($A2264, 'Medical Examinations'!$A:$A, 'Medical Examinations'!I:I, "No Data")</f>
        <v>Normal Weight</v>
      </c>
      <c r="K2264" s="28" t="str">
        <f t="array" ref="K2264">_xlfn.XLOOKUP($A2264, 'Hospitalisation Details'!$A:$A, 'Hospitalisation Details'!I:I, "No Data")</f>
        <v>tier - 1</v>
      </c>
      <c r="L2264" s="28" t="str">
        <f t="array" ref="L2264">_xlfn.XLOOKUP($A2264, 'Hospitalisation Details'!$A:$A, 'Hospitalisation Details'!J:J, "No Data")</f>
        <v>R1011</v>
      </c>
      <c r="M2264" s="28" t="str">
        <f t="array" ref="M2264">_xlfn.XLOOKUP($A2264, 'Hospitalisation Details'!$A:$A, 'Hospitalisation Details'!E:E, "No Data")</f>
        <v>08/09/03</v>
      </c>
      <c r="N2264" s="28">
        <f t="array" ref="N2264">_xlfn.XLOOKUP($A2264, 'Hospitalisation Details'!$A:$A, 'Hospitalisation Details'!K:K, "No Data")</f>
        <v>19</v>
      </c>
      <c r="O2264" s="33">
        <f t="array" ref="O2264">_xlfn.XLOOKUP($A2264, 'Hospitalisation Details'!$A:$A, 'Hospitalisation Details'!G:G, "No Data")</f>
        <v>1242.82</v>
      </c>
      <c r="P2264" s="28" t="str">
        <f t="array" ref="P2264">_xlfn.XLOOKUP($A2264, 'Hospitalisation Details'!$A:$A, 'Hospitalisation Details'!H:H, "No Data")</f>
        <v>tier - 2</v>
      </c>
    </row>
    <row r="2265">
      <c r="A2265" s="25" t="s">
        <v>1070</v>
      </c>
      <c r="B2265" s="28" t="str">
        <f t="array" ref="B2265">_xlfn.XLOOKUP($A2265, 'Customer Names'!$A:$A, 'Customer Names'!B:B, "No Data")</f>
        <v>Bin Alias</v>
      </c>
      <c r="C2265" s="28">
        <f t="array" ref="C2265">_xlfn.XLOOKUP($A2265, 'Medical Examinations'!$A:$A, 'Medical Examinations'!B:B, "No Data")</f>
        <v>20.3</v>
      </c>
      <c r="D2265" s="28">
        <f t="array" ref="D2265">_xlfn.XLOOKUP($A2265, 'Medical Examinations'!$A:$A, 'Medical Examinations'!C:C, "No Data")</f>
        <v>6.37</v>
      </c>
      <c r="E2265" s="28" t="str">
        <f t="array" ref="E2265">_xlfn.XLOOKUP($A2265, 'Medical Examinations'!$A:$A, 'Medical Examinations'!D:D, "No Data")</f>
        <v>No</v>
      </c>
      <c r="F2265" s="28" t="str">
        <f t="array" ref="F2265">_xlfn.XLOOKUP($A2265, 'Medical Examinations'!$A:$A, 'Medical Examinations'!E:E, "No Data")</f>
        <v>No</v>
      </c>
      <c r="G2265" s="28" t="str">
        <f t="array" ref="G2265">_xlfn.XLOOKUP($A2265, 'Medical Examinations'!$A:$A, 'Medical Examinations'!F:F, "No Data")</f>
        <v>Yes</v>
      </c>
      <c r="H2265" s="28">
        <f t="array" ref="H2265">_xlfn.XLOOKUP($A2265, 'Medical Examinations'!$A:$A, 'Medical Examinations'!G:G, "No Data")</f>
        <v>1</v>
      </c>
      <c r="I2265" s="28" t="str">
        <f t="array" ref="I2265">_xlfn.XLOOKUP($A2265, 'Medical Examinations'!$A:$A, 'Medical Examinations'!H:H, "No Data")</f>
        <v>No</v>
      </c>
      <c r="J2265" s="28" t="str">
        <f t="array" ref="J2265">_xlfn.XLOOKUP($A2265, 'Medical Examinations'!$A:$A, 'Medical Examinations'!I:I, "No Data")</f>
        <v>Normal Weight</v>
      </c>
      <c r="K2265" s="28" t="str">
        <f t="array" ref="K2265">_xlfn.XLOOKUP($A2265, 'Hospitalisation Details'!$A:$A, 'Hospitalisation Details'!I:I, "No Data")</f>
        <v>tier - 1</v>
      </c>
      <c r="L2265" s="28" t="str">
        <f t="array" ref="L2265">_xlfn.XLOOKUP($A2265, 'Hospitalisation Details'!$A:$A, 'Hospitalisation Details'!J:J, "No Data")</f>
        <v>R1011</v>
      </c>
      <c r="M2265" s="28" t="str">
        <f t="array" ref="M2265">_xlfn.XLOOKUP($A2265, 'Hospitalisation Details'!$A:$A, 'Hospitalisation Details'!E:E, "No Data")</f>
        <v>15/09/03</v>
      </c>
      <c r="N2265" s="28">
        <f t="array" ref="N2265">_xlfn.XLOOKUP($A2265, 'Hospitalisation Details'!$A:$A, 'Hospitalisation Details'!K:K, "No Data")</f>
        <v>19</v>
      </c>
      <c r="O2265" s="33">
        <f t="array" ref="O2265">_xlfn.XLOOKUP($A2265, 'Hospitalisation Details'!$A:$A, 'Hospitalisation Details'!G:G, "No Data")</f>
        <v>1242.26</v>
      </c>
      <c r="P2265" s="28" t="str">
        <f t="array" ref="P2265">_xlfn.XLOOKUP($A2265, 'Hospitalisation Details'!$A:$A, 'Hospitalisation Details'!H:H, "No Data")</f>
        <v>tier - 2</v>
      </c>
    </row>
    <row r="2266">
      <c r="A2266" s="25" t="s">
        <v>1065</v>
      </c>
      <c r="B2266" s="28" t="str">
        <f t="array" ref="B2266">_xlfn.XLOOKUP($A2266, 'Customer Names'!$A:$A, 'Customer Names'!B:B, "No Data")</f>
        <v>Fischer-Daly</v>
      </c>
      <c r="C2266" s="28">
        <f t="array" ref="C2266">_xlfn.XLOOKUP($A2266, 'Medical Examinations'!$A:$A, 'Medical Examinations'!B:B, "No Data")</f>
        <v>19.8</v>
      </c>
      <c r="D2266" s="28">
        <f t="array" ref="D2266">_xlfn.XLOOKUP($A2266, 'Medical Examinations'!$A:$A, 'Medical Examinations'!C:C, "No Data")</f>
        <v>5.12</v>
      </c>
      <c r="E2266" s="28" t="str">
        <f t="array" ref="E2266">_xlfn.XLOOKUP($A2266, 'Medical Examinations'!$A:$A, 'Medical Examinations'!D:D, "No Data")</f>
        <v>No</v>
      </c>
      <c r="F2266" s="28" t="str">
        <f t="array" ref="F2266">_xlfn.XLOOKUP($A2266, 'Medical Examinations'!$A:$A, 'Medical Examinations'!E:E, "No Data")</f>
        <v>No</v>
      </c>
      <c r="G2266" s="28" t="str">
        <f t="array" ref="G2266">_xlfn.XLOOKUP($A2266, 'Medical Examinations'!$A:$A, 'Medical Examinations'!F:F, "No Data")</f>
        <v>Yes</v>
      </c>
      <c r="H2266" s="28">
        <f t="array" ref="H2266">_xlfn.XLOOKUP($A2266, 'Medical Examinations'!$A:$A, 'Medical Examinations'!G:G, "No Data")</f>
        <v>1</v>
      </c>
      <c r="I2266" s="28" t="str">
        <f t="array" ref="I2266">_xlfn.XLOOKUP($A2266, 'Medical Examinations'!$A:$A, 'Medical Examinations'!H:H, "No Data")</f>
        <v>No</v>
      </c>
      <c r="J2266" s="28" t="str">
        <f t="array" ref="J2266">_xlfn.XLOOKUP($A2266, 'Medical Examinations'!$A:$A, 'Medical Examinations'!I:I, "No Data")</f>
        <v>Normal Weight</v>
      </c>
      <c r="K2266" s="28" t="str">
        <f t="array" ref="K2266">_xlfn.XLOOKUP($A2266, 'Hospitalisation Details'!$A:$A, 'Hospitalisation Details'!I:I, "No Data")</f>
        <v>tier - 2</v>
      </c>
      <c r="L2266" s="28" t="str">
        <f t="array" ref="L2266">_xlfn.XLOOKUP($A2266, 'Hospitalisation Details'!$A:$A, 'Hospitalisation Details'!J:J, "No Data")</f>
        <v>R1011</v>
      </c>
      <c r="M2266" s="28" t="str">
        <f t="array" ref="M2266">_xlfn.XLOOKUP($A2266, 'Hospitalisation Details'!$A:$A, 'Hospitalisation Details'!E:E, "No Data")</f>
        <v>02/08/03</v>
      </c>
      <c r="N2266" s="28">
        <f t="array" ref="N2266">_xlfn.XLOOKUP($A2266, 'Hospitalisation Details'!$A:$A, 'Hospitalisation Details'!K:K, "No Data")</f>
        <v>19</v>
      </c>
      <c r="O2266" s="33">
        <f t="array" ref="O2266">_xlfn.XLOOKUP($A2266, 'Hospitalisation Details'!$A:$A, 'Hospitalisation Details'!G:G, "No Data")</f>
        <v>1241.57</v>
      </c>
      <c r="P2266" s="28" t="str">
        <f t="array" ref="P2266">_xlfn.XLOOKUP($A2266, 'Hospitalisation Details'!$A:$A, 'Hospitalisation Details'!H:H, "No Data")</f>
        <v>tier - 2</v>
      </c>
    </row>
    <row r="2267">
      <c r="A2267" s="25" t="s">
        <v>1060</v>
      </c>
      <c r="B2267" s="28" t="str">
        <f t="array" ref="B2267">_xlfn.XLOOKUP($A2267, 'Customer Names'!$A:$A, 'Customer Names'!B:B, "No Data")</f>
        <v>Pulliam</v>
      </c>
      <c r="C2267" s="28">
        <f t="array" ref="C2267">_xlfn.XLOOKUP($A2267, 'Medical Examinations'!$A:$A, 'Medical Examinations'!B:B, "No Data")</f>
        <v>21.87</v>
      </c>
      <c r="D2267" s="28">
        <f t="array" ref="D2267">_xlfn.XLOOKUP($A2267, 'Medical Examinations'!$A:$A, 'Medical Examinations'!C:C, "No Data")</f>
        <v>8.59</v>
      </c>
      <c r="E2267" s="28" t="str">
        <f t="array" ref="E2267">_xlfn.XLOOKUP($A2267, 'Medical Examinations'!$A:$A, 'Medical Examinations'!D:D, "No Data")</f>
        <v>No</v>
      </c>
      <c r="F2267" s="28" t="str">
        <f t="array" ref="F2267">_xlfn.XLOOKUP($A2267, 'Medical Examinations'!$A:$A, 'Medical Examinations'!E:E, "No Data")</f>
        <v>No</v>
      </c>
      <c r="G2267" s="28" t="str">
        <f t="array" ref="G2267">_xlfn.XLOOKUP($A2267, 'Medical Examinations'!$A:$A, 'Medical Examinations'!F:F, "No Data")</f>
        <v>No</v>
      </c>
      <c r="H2267" s="28">
        <f t="array" ref="H2267">_xlfn.XLOOKUP($A2267, 'Medical Examinations'!$A:$A, 'Medical Examinations'!G:G, "No Data")</f>
        <v>0</v>
      </c>
      <c r="I2267" s="28" t="str">
        <f t="array" ref="I2267">_xlfn.XLOOKUP($A2267, 'Medical Examinations'!$A:$A, 'Medical Examinations'!H:H, "No Data")</f>
        <v>No</v>
      </c>
      <c r="J2267" s="28" t="str">
        <f t="array" ref="J2267">_xlfn.XLOOKUP($A2267, 'Medical Examinations'!$A:$A, 'Medical Examinations'!I:I, "No Data")</f>
        <v>Normal Weight</v>
      </c>
      <c r="K2267" s="28" t="str">
        <f t="array" ref="K2267">_xlfn.XLOOKUP($A2267, 'Hospitalisation Details'!$A:$A, 'Hospitalisation Details'!I:I, "No Data")</f>
        <v>tier - 2</v>
      </c>
      <c r="L2267" s="28" t="str">
        <f t="array" ref="L2267">_xlfn.XLOOKUP($A2267, 'Hospitalisation Details'!$A:$A, 'Hospitalisation Details'!J:J, "No Data")</f>
        <v>R1013</v>
      </c>
      <c r="M2267" s="28" t="str">
        <f t="array" ref="M2267">_xlfn.XLOOKUP($A2267, 'Hospitalisation Details'!$A:$A, 'Hospitalisation Details'!E:E, "No Data")</f>
        <v>01/07/02</v>
      </c>
      <c r="N2267" s="28">
        <f t="array" ref="N2267">_xlfn.XLOOKUP($A2267, 'Hospitalisation Details'!$A:$A, 'Hospitalisation Details'!K:K, "No Data")</f>
        <v>20</v>
      </c>
      <c r="O2267" s="33">
        <f t="array" ref="O2267">_xlfn.XLOOKUP($A2267, 'Hospitalisation Details'!$A:$A, 'Hospitalisation Details'!G:G, "No Data")</f>
        <v>1241</v>
      </c>
      <c r="P2267" s="28" t="str">
        <f t="array" ref="P2267">_xlfn.XLOOKUP($A2267, 'Hospitalisation Details'!$A:$A, 'Hospitalisation Details'!H:H, "No Data")</f>
        <v>tier - 2</v>
      </c>
    </row>
    <row r="2268">
      <c r="A2268" s="25" t="s">
        <v>1053</v>
      </c>
      <c r="B2268" s="28" t="str">
        <f t="array" ref="B2268">_xlfn.XLOOKUP($A2268, 'Customer Names'!$A:$A, 'Customer Names'!B:B, "No Data")</f>
        <v>Guisinger</v>
      </c>
      <c r="C2268" s="28">
        <f t="array" ref="C2268">_xlfn.XLOOKUP($A2268, 'Medical Examinations'!$A:$A, 'Medical Examinations'!B:B, "No Data")</f>
        <v>16.6</v>
      </c>
      <c r="D2268" s="28">
        <f t="array" ref="D2268">_xlfn.XLOOKUP($A2268, 'Medical Examinations'!$A:$A, 'Medical Examinations'!C:C, "No Data")</f>
        <v>5.87</v>
      </c>
      <c r="E2268" s="28" t="str">
        <f t="array" ref="E2268">_xlfn.XLOOKUP($A2268, 'Medical Examinations'!$A:$A, 'Medical Examinations'!D:D, "No Data")</f>
        <v>No</v>
      </c>
      <c r="F2268" s="28" t="str">
        <f t="array" ref="F2268">_xlfn.XLOOKUP($A2268, 'Medical Examinations'!$A:$A, 'Medical Examinations'!E:E, "No Data")</f>
        <v>No</v>
      </c>
      <c r="G2268" s="28" t="str">
        <f t="array" ref="G2268">_xlfn.XLOOKUP($A2268, 'Medical Examinations'!$A:$A, 'Medical Examinations'!F:F, "No Data")</f>
        <v>No</v>
      </c>
      <c r="H2268" s="28">
        <f t="array" ref="H2268">_xlfn.XLOOKUP($A2268, 'Medical Examinations'!$A:$A, 'Medical Examinations'!G:G, "No Data")</f>
        <v>1</v>
      </c>
      <c r="I2268" s="28" t="str">
        <f t="array" ref="I2268">_xlfn.XLOOKUP($A2268, 'Medical Examinations'!$A:$A, 'Medical Examinations'!H:H, "No Data")</f>
        <v>No</v>
      </c>
      <c r="J2268" s="28" t="str">
        <f t="array" ref="J2268">_xlfn.XLOOKUP($A2268, 'Medical Examinations'!$A:$A, 'Medical Examinations'!I:I, "No Data")</f>
        <v>Underweight</v>
      </c>
      <c r="K2268" s="28" t="str">
        <f t="array" ref="K2268">_xlfn.XLOOKUP($A2268, 'Hospitalisation Details'!$A:$A, 'Hospitalisation Details'!I:I, "No Data")</f>
        <v>tier - 1</v>
      </c>
      <c r="L2268" s="28" t="str">
        <f t="array" ref="L2268">_xlfn.XLOOKUP($A2268, 'Hospitalisation Details'!$A:$A, 'Hospitalisation Details'!J:J, "No Data")</f>
        <v>R1012</v>
      </c>
      <c r="M2268" s="28" t="str">
        <f t="array" ref="M2268">_xlfn.XLOOKUP($A2268, 'Hospitalisation Details'!$A:$A, 'Hospitalisation Details'!E:E, "No Data")</f>
        <v>11/10/98</v>
      </c>
      <c r="N2268" s="28">
        <f t="array" ref="N2268">_xlfn.XLOOKUP($A2268, 'Hospitalisation Details'!$A:$A, 'Hospitalisation Details'!K:K, "No Data")</f>
        <v>24</v>
      </c>
      <c r="O2268" s="33">
        <f t="array" ref="O2268">_xlfn.XLOOKUP($A2268, 'Hospitalisation Details'!$A:$A, 'Hospitalisation Details'!G:G, "No Data")</f>
        <v>1240</v>
      </c>
      <c r="P2268" s="28" t="str">
        <f t="array" ref="P2268">_xlfn.XLOOKUP($A2268, 'Hospitalisation Details'!$A:$A, 'Hospitalisation Details'!H:H, "No Data")</f>
        <v>tier - 2</v>
      </c>
    </row>
    <row r="2269">
      <c r="A2269" s="25" t="s">
        <v>1045</v>
      </c>
      <c r="B2269" s="28" t="str">
        <f t="array" ref="B2269">_xlfn.XLOOKUP($A2269, 'Customer Names'!$A:$A, 'Customer Names'!B:B, "No Data")</f>
        <v>Arnerich</v>
      </c>
      <c r="C2269" s="28">
        <f t="array" ref="C2269">_xlfn.XLOOKUP($A2269, 'Medical Examinations'!$A:$A, 'Medical Examinations'!B:B, "No Data")</f>
        <v>21.98</v>
      </c>
      <c r="D2269" s="28">
        <f t="array" ref="D2269">_xlfn.XLOOKUP($A2269, 'Medical Examinations'!$A:$A, 'Medical Examinations'!C:C, "No Data")</f>
        <v>7.03</v>
      </c>
      <c r="E2269" s="28" t="str">
        <f t="array" ref="E2269">_xlfn.XLOOKUP($A2269, 'Medical Examinations'!$A:$A, 'Medical Examinations'!D:D, "No Data")</f>
        <v>No</v>
      </c>
      <c r="F2269" s="28" t="str">
        <f t="array" ref="F2269">_xlfn.XLOOKUP($A2269, 'Medical Examinations'!$A:$A, 'Medical Examinations'!E:E, "No Data")</f>
        <v>No</v>
      </c>
      <c r="G2269" s="28" t="str">
        <f t="array" ref="G2269">_xlfn.XLOOKUP($A2269, 'Medical Examinations'!$A:$A, 'Medical Examinations'!F:F, "No Data")</f>
        <v>No</v>
      </c>
      <c r="H2269" s="28">
        <f t="array" ref="H2269">_xlfn.XLOOKUP($A2269, 'Medical Examinations'!$A:$A, 'Medical Examinations'!G:G, "No Data")</f>
        <v>0</v>
      </c>
      <c r="I2269" s="28" t="str">
        <f t="array" ref="I2269">_xlfn.XLOOKUP($A2269, 'Medical Examinations'!$A:$A, 'Medical Examinations'!H:H, "No Data")</f>
        <v>No</v>
      </c>
      <c r="J2269" s="28" t="str">
        <f t="array" ref="J2269">_xlfn.XLOOKUP($A2269, 'Medical Examinations'!$A:$A, 'Medical Examinations'!I:I, "No Data")</f>
        <v>Normal Weight</v>
      </c>
      <c r="K2269" s="28" t="str">
        <f t="array" ref="K2269">_xlfn.XLOOKUP($A2269, 'Hospitalisation Details'!$A:$A, 'Hospitalisation Details'!I:I, "No Data")</f>
        <v>tier - 2</v>
      </c>
      <c r="L2269" s="28" t="str">
        <f t="array" ref="L2269">_xlfn.XLOOKUP($A2269, 'Hospitalisation Details'!$A:$A, 'Hospitalisation Details'!J:J, "No Data")</f>
        <v>R1013</v>
      </c>
      <c r="M2269" s="28" t="str">
        <f t="array" ref="M2269">_xlfn.XLOOKUP($A2269, 'Hospitalisation Details'!$A:$A, 'Hospitalisation Details'!E:E, "No Data")</f>
        <v>12/12/02</v>
      </c>
      <c r="N2269" s="28">
        <f t="array" ref="N2269">_xlfn.XLOOKUP($A2269, 'Hospitalisation Details'!$A:$A, 'Hospitalisation Details'!K:K, "No Data")</f>
        <v>20</v>
      </c>
      <c r="O2269" s="33">
        <f t="array" ref="O2269">_xlfn.XLOOKUP($A2269, 'Hospitalisation Details'!$A:$A, 'Hospitalisation Details'!G:G, "No Data")</f>
        <v>1237</v>
      </c>
      <c r="P2269" s="28" t="str">
        <f t="array" ref="P2269">_xlfn.XLOOKUP($A2269, 'Hospitalisation Details'!$A:$A, 'Hospitalisation Details'!H:H, "No Data")</f>
        <v>tier - 2</v>
      </c>
    </row>
    <row r="2270">
      <c r="A2270" s="25" t="s">
        <v>1041</v>
      </c>
      <c r="B2270" s="28" t="str">
        <f t="array" ref="B2270">_xlfn.XLOOKUP($A2270, 'Customer Names'!$A:$A, 'Customer Names'!B:B, "No Data")</f>
        <v>Lynch</v>
      </c>
      <c r="C2270" s="28">
        <f t="array" ref="C2270">_xlfn.XLOOKUP($A2270, 'Medical Examinations'!$A:$A, 'Medical Examinations'!B:B, "No Data")</f>
        <v>19.7</v>
      </c>
      <c r="D2270" s="28">
        <f t="array" ref="D2270">_xlfn.XLOOKUP($A2270, 'Medical Examinations'!$A:$A, 'Medical Examinations'!C:C, "No Data")</f>
        <v>5.51</v>
      </c>
      <c r="E2270" s="28" t="str">
        <f t="array" ref="E2270">_xlfn.XLOOKUP($A2270, 'Medical Examinations'!$A:$A, 'Medical Examinations'!D:D, "No Data")</f>
        <v>No</v>
      </c>
      <c r="F2270" s="28" t="str">
        <f t="array" ref="F2270">_xlfn.XLOOKUP($A2270, 'Medical Examinations'!$A:$A, 'Medical Examinations'!E:E, "No Data")</f>
        <v>No</v>
      </c>
      <c r="G2270" s="28" t="str">
        <f t="array" ref="G2270">_xlfn.XLOOKUP($A2270, 'Medical Examinations'!$A:$A, 'Medical Examinations'!F:F, "No Data")</f>
        <v>No</v>
      </c>
      <c r="H2270" s="28">
        <f t="array" ref="H2270">_xlfn.XLOOKUP($A2270, 'Medical Examinations'!$A:$A, 'Medical Examinations'!G:G, "No Data")</f>
        <v>1</v>
      </c>
      <c r="I2270" s="28" t="str">
        <f t="array" ref="I2270">_xlfn.XLOOKUP($A2270, 'Medical Examinations'!$A:$A, 'Medical Examinations'!H:H, "No Data")</f>
        <v>No</v>
      </c>
      <c r="J2270" s="28" t="str">
        <f t="array" ref="J2270">_xlfn.XLOOKUP($A2270, 'Medical Examinations'!$A:$A, 'Medical Examinations'!I:I, "No Data")</f>
        <v>Normal Weight</v>
      </c>
      <c r="K2270" s="28" t="str">
        <f t="array" ref="K2270">_xlfn.XLOOKUP($A2270, 'Hospitalisation Details'!$A:$A, 'Hospitalisation Details'!I:I, "No Data")</f>
        <v>tier - 1</v>
      </c>
      <c r="L2270" s="28" t="str">
        <f t="array" ref="L2270">_xlfn.XLOOKUP($A2270, 'Hospitalisation Details'!$A:$A, 'Hospitalisation Details'!J:J, "No Data")</f>
        <v>R1013</v>
      </c>
      <c r="M2270" s="28" t="str">
        <f t="array" ref="M2270">_xlfn.XLOOKUP($A2270, 'Hospitalisation Details'!$A:$A, 'Hospitalisation Details'!E:E, "No Data")</f>
        <v>13/07/98</v>
      </c>
      <c r="N2270" s="28">
        <f t="array" ref="N2270">_xlfn.XLOOKUP($A2270, 'Hospitalisation Details'!$A:$A, 'Hospitalisation Details'!K:K, "No Data")</f>
        <v>24</v>
      </c>
      <c r="O2270" s="33">
        <f t="array" ref="O2270">_xlfn.XLOOKUP($A2270, 'Hospitalisation Details'!$A:$A, 'Hospitalisation Details'!G:G, "No Data")</f>
        <v>1234</v>
      </c>
      <c r="P2270" s="28" t="str">
        <f t="array" ref="P2270">_xlfn.XLOOKUP($A2270, 'Hospitalisation Details'!$A:$A, 'Hospitalisation Details'!H:H, "No Data")</f>
        <v>tier - 2</v>
      </c>
    </row>
    <row r="2271">
      <c r="A2271" s="25" t="s">
        <v>1035</v>
      </c>
      <c r="B2271" s="28" t="str">
        <f t="array" ref="B2271">_xlfn.XLOOKUP($A2271, 'Customer Names'!$A:$A, 'Customer Names'!B:B, "No Data")</f>
        <v>Reilly</v>
      </c>
      <c r="C2271" s="28">
        <f t="array" ref="C2271">_xlfn.XLOOKUP($A2271, 'Medical Examinations'!$A:$A, 'Medical Examinations'!B:B, "No Data")</f>
        <v>19.21</v>
      </c>
      <c r="D2271" s="28">
        <f t="array" ref="D2271">_xlfn.XLOOKUP($A2271, 'Medical Examinations'!$A:$A, 'Medical Examinations'!C:C, "No Data")</f>
        <v>4.76</v>
      </c>
      <c r="E2271" s="28" t="str">
        <f t="array" ref="E2271">_xlfn.XLOOKUP($A2271, 'Medical Examinations'!$A:$A, 'Medical Examinations'!D:D, "No Data")</f>
        <v>No</v>
      </c>
      <c r="F2271" s="28" t="str">
        <f t="array" ref="F2271">_xlfn.XLOOKUP($A2271, 'Medical Examinations'!$A:$A, 'Medical Examinations'!E:E, "No Data")</f>
        <v>yes</v>
      </c>
      <c r="G2271" s="28" t="str">
        <f t="array" ref="G2271">_xlfn.XLOOKUP($A2271, 'Medical Examinations'!$A:$A, 'Medical Examinations'!F:F, "No Data")</f>
        <v>No</v>
      </c>
      <c r="H2271" s="28">
        <f t="array" ref="H2271">_xlfn.XLOOKUP($A2271, 'Medical Examinations'!$A:$A, 'Medical Examinations'!G:G, "No Data")</f>
        <v>1</v>
      </c>
      <c r="I2271" s="28" t="str">
        <f t="array" ref="I2271">_xlfn.XLOOKUP($A2271, 'Medical Examinations'!$A:$A, 'Medical Examinations'!H:H, "No Data")</f>
        <v>No</v>
      </c>
      <c r="J2271" s="28" t="str">
        <f t="array" ref="J2271">_xlfn.XLOOKUP($A2271, 'Medical Examinations'!$A:$A, 'Medical Examinations'!I:I, "No Data")</f>
        <v>Normal Weight</v>
      </c>
      <c r="K2271" s="28" t="str">
        <f t="array" ref="K2271">_xlfn.XLOOKUP($A2271, 'Hospitalisation Details'!$A:$A, 'Hospitalisation Details'!I:I, "No Data")</f>
        <v>tier - 1</v>
      </c>
      <c r="L2271" s="28" t="str">
        <f t="array" ref="L2271">_xlfn.XLOOKUP($A2271, 'Hospitalisation Details'!$A:$A, 'Hospitalisation Details'!J:J, "No Data")</f>
        <v>R1012</v>
      </c>
      <c r="M2271" s="28" t="str">
        <f t="array" ref="M2271">_xlfn.XLOOKUP($A2271, 'Hospitalisation Details'!$A:$A, 'Hospitalisation Details'!E:E, "No Data")</f>
        <v>16/10/04</v>
      </c>
      <c r="N2271" s="28">
        <f t="array" ref="N2271">_xlfn.XLOOKUP($A2271, 'Hospitalisation Details'!$A:$A, 'Hospitalisation Details'!K:K, "No Data")</f>
        <v>18</v>
      </c>
      <c r="O2271" s="33">
        <f t="array" ref="O2271">_xlfn.XLOOKUP($A2271, 'Hospitalisation Details'!$A:$A, 'Hospitalisation Details'!G:G, "No Data")</f>
        <v>1228</v>
      </c>
      <c r="P2271" s="28" t="str">
        <f t="array" ref="P2271">_xlfn.XLOOKUP($A2271, 'Hospitalisation Details'!$A:$A, 'Hospitalisation Details'!H:H, "No Data")</f>
        <v>tier - 2</v>
      </c>
    </row>
    <row r="2272">
      <c r="A2272" s="25" t="s">
        <v>1027</v>
      </c>
      <c r="B2272" s="28" t="str">
        <f t="array" ref="B2272">_xlfn.XLOOKUP($A2272, 'Customer Names'!$A:$A, 'Customer Names'!B:B, "No Data")</f>
        <v>Nolette</v>
      </c>
      <c r="C2272" s="28">
        <f t="array" ref="C2272">_xlfn.XLOOKUP($A2272, 'Medical Examinations'!$A:$A, 'Medical Examinations'!B:B, "No Data")</f>
        <v>19.3</v>
      </c>
      <c r="D2272" s="28">
        <f t="array" ref="D2272">_xlfn.XLOOKUP($A2272, 'Medical Examinations'!$A:$A, 'Medical Examinations'!C:C, "No Data")</f>
        <v>4.7</v>
      </c>
      <c r="E2272" s="28" t="str">
        <f t="array" ref="E2272">_xlfn.XLOOKUP($A2272, 'Medical Examinations'!$A:$A, 'Medical Examinations'!D:D, "No Data")</f>
        <v>No</v>
      </c>
      <c r="F2272" s="28" t="str">
        <f t="array" ref="F2272">_xlfn.XLOOKUP($A2272, 'Medical Examinations'!$A:$A, 'Medical Examinations'!E:E, "No Data")</f>
        <v>yes</v>
      </c>
      <c r="G2272" s="28" t="str">
        <f t="array" ref="G2272">_xlfn.XLOOKUP($A2272, 'Medical Examinations'!$A:$A, 'Medical Examinations'!F:F, "No Data")</f>
        <v>No</v>
      </c>
      <c r="H2272" s="28">
        <f t="array" ref="H2272">_xlfn.XLOOKUP($A2272, 'Medical Examinations'!$A:$A, 'Medical Examinations'!G:G, "No Data")</f>
        <v>1</v>
      </c>
      <c r="I2272" s="28" t="str">
        <f t="array" ref="I2272">_xlfn.XLOOKUP($A2272, 'Medical Examinations'!$A:$A, 'Medical Examinations'!H:H, "No Data")</f>
        <v>No</v>
      </c>
      <c r="J2272" s="28" t="str">
        <f t="array" ref="J2272">_xlfn.XLOOKUP($A2272, 'Medical Examinations'!$A:$A, 'Medical Examinations'!I:I, "No Data")</f>
        <v>Normal Weight</v>
      </c>
      <c r="K2272" s="28" t="str">
        <f t="array" ref="K2272">_xlfn.XLOOKUP($A2272, 'Hospitalisation Details'!$A:$A, 'Hospitalisation Details'!I:I, "No Data")</f>
        <v>tier - 1</v>
      </c>
      <c r="L2272" s="28" t="str">
        <f t="array" ref="L2272">_xlfn.XLOOKUP($A2272, 'Hospitalisation Details'!$A:$A, 'Hospitalisation Details'!J:J, "No Data")</f>
        <v>R1013</v>
      </c>
      <c r="M2272" s="28" t="str">
        <f t="array" ref="M2272">_xlfn.XLOOKUP($A2272, 'Hospitalisation Details'!$A:$A, 'Hospitalisation Details'!E:E, "No Data")</f>
        <v>09/07/04</v>
      </c>
      <c r="N2272" s="28">
        <f t="array" ref="N2272">_xlfn.XLOOKUP($A2272, 'Hospitalisation Details'!$A:$A, 'Hospitalisation Details'!K:K, "No Data")</f>
        <v>18</v>
      </c>
      <c r="O2272" s="33">
        <f t="array" ref="O2272">_xlfn.XLOOKUP($A2272, 'Hospitalisation Details'!$A:$A, 'Hospitalisation Details'!G:G, "No Data")</f>
        <v>1224</v>
      </c>
      <c r="P2272" s="28" t="str">
        <f t="array" ref="P2272">_xlfn.XLOOKUP($A2272, 'Hospitalisation Details'!$A:$A, 'Hospitalisation Details'!H:H, "No Data")</f>
        <v>tier - 2</v>
      </c>
    </row>
    <row r="2273">
      <c r="A2273" s="25" t="s">
        <v>1018</v>
      </c>
      <c r="B2273" s="28" t="str">
        <f t="array" ref="B2273">_xlfn.XLOOKUP($A2273, 'Customer Names'!$A:$A, 'Customer Names'!B:B, "No Data")</f>
        <v>Chabrier</v>
      </c>
      <c r="C2273" s="28">
        <f t="array" ref="C2273">_xlfn.XLOOKUP($A2273, 'Medical Examinations'!$A:$A, 'Medical Examinations'!B:B, "No Data")</f>
        <v>16.22</v>
      </c>
      <c r="D2273" s="28">
        <f t="array" ref="D2273">_xlfn.XLOOKUP($A2273, 'Medical Examinations'!$A:$A, 'Medical Examinations'!C:C, "No Data")</f>
        <v>6.21</v>
      </c>
      <c r="E2273" s="28" t="str">
        <f t="array" ref="E2273">_xlfn.XLOOKUP($A2273, 'Medical Examinations'!$A:$A, 'Medical Examinations'!D:D, "No Data")</f>
        <v>yes</v>
      </c>
      <c r="F2273" s="28" t="str">
        <f t="array" ref="F2273">_xlfn.XLOOKUP($A2273, 'Medical Examinations'!$A:$A, 'Medical Examinations'!E:E, "No Data")</f>
        <v>No</v>
      </c>
      <c r="G2273" s="28" t="str">
        <f t="array" ref="G2273">_xlfn.XLOOKUP($A2273, 'Medical Examinations'!$A:$A, 'Medical Examinations'!F:F, "No Data")</f>
        <v>No</v>
      </c>
      <c r="H2273" s="28">
        <f t="array" ref="H2273">_xlfn.XLOOKUP($A2273, 'Medical Examinations'!$A:$A, 'Medical Examinations'!G:G, "No Data")</f>
        <v>0</v>
      </c>
      <c r="I2273" s="28" t="str">
        <f t="array" ref="I2273">_xlfn.XLOOKUP($A2273, 'Medical Examinations'!$A:$A, 'Medical Examinations'!H:H, "No Data")</f>
        <v>No</v>
      </c>
      <c r="J2273" s="28" t="str">
        <f t="array" ref="J2273">_xlfn.XLOOKUP($A2273, 'Medical Examinations'!$A:$A, 'Medical Examinations'!I:I, "No Data")</f>
        <v>Underweight</v>
      </c>
      <c r="K2273" s="28" t="str">
        <f t="array" ref="K2273">_xlfn.XLOOKUP($A2273, 'Hospitalisation Details'!$A:$A, 'Hospitalisation Details'!I:I, "No Data")</f>
        <v>tier - 3</v>
      </c>
      <c r="L2273" s="28" t="str">
        <f t="array" ref="L2273">_xlfn.XLOOKUP($A2273, 'Hospitalisation Details'!$A:$A, 'Hospitalisation Details'!J:J, "No Data")</f>
        <v>R1012</v>
      </c>
      <c r="M2273" s="28" t="str">
        <f t="array" ref="M2273">_xlfn.XLOOKUP($A2273, 'Hospitalisation Details'!$A:$A, 'Hospitalisation Details'!E:E, "No Data")</f>
        <v>04/11/96</v>
      </c>
      <c r="N2273" s="28">
        <f t="array" ref="N2273">_xlfn.XLOOKUP($A2273, 'Hospitalisation Details'!$A:$A, 'Hospitalisation Details'!K:K, "No Data")</f>
        <v>26</v>
      </c>
      <c r="O2273" s="33">
        <f t="array" ref="O2273">_xlfn.XLOOKUP($A2273, 'Hospitalisation Details'!$A:$A, 'Hospitalisation Details'!G:G, "No Data")</f>
        <v>1220</v>
      </c>
      <c r="P2273" s="28" t="str">
        <f t="array" ref="P2273">_xlfn.XLOOKUP($A2273, 'Hospitalisation Details'!$A:$A, 'Hospitalisation Details'!H:H, "No Data")</f>
        <v>tier - 2</v>
      </c>
    </row>
    <row r="2274">
      <c r="A2274" s="25" t="s">
        <v>1011</v>
      </c>
      <c r="B2274" s="28" t="str">
        <f t="array" ref="B2274">_xlfn.XLOOKUP($A2274, 'Customer Names'!$A:$A, 'Customer Names'!B:B, "No Data")</f>
        <v>Lee</v>
      </c>
      <c r="C2274" s="28">
        <f t="array" ref="C2274">_xlfn.XLOOKUP($A2274, 'Medical Examinations'!$A:$A, 'Medical Examinations'!B:B, "No Data")</f>
        <v>17.12</v>
      </c>
      <c r="D2274" s="28">
        <f t="array" ref="D2274">_xlfn.XLOOKUP($A2274, 'Medical Examinations'!$A:$A, 'Medical Examinations'!C:C, "No Data")</f>
        <v>4.52</v>
      </c>
      <c r="E2274" s="28" t="str">
        <f t="array" ref="E2274">_xlfn.XLOOKUP($A2274, 'Medical Examinations'!$A:$A, 'Medical Examinations'!D:D, "No Data")</f>
        <v>No</v>
      </c>
      <c r="F2274" s="28" t="str">
        <f t="array" ref="F2274">_xlfn.XLOOKUP($A2274, 'Medical Examinations'!$A:$A, 'Medical Examinations'!E:E, "No Data")</f>
        <v>yes</v>
      </c>
      <c r="G2274" s="28" t="str">
        <f t="array" ref="G2274">_xlfn.XLOOKUP($A2274, 'Medical Examinations'!$A:$A, 'Medical Examinations'!F:F, "No Data")</f>
        <v>No</v>
      </c>
      <c r="H2274" s="28">
        <f t="array" ref="H2274">_xlfn.XLOOKUP($A2274, 'Medical Examinations'!$A:$A, 'Medical Examinations'!G:G, "No Data")</f>
        <v>1</v>
      </c>
      <c r="I2274" s="28" t="str">
        <f t="array" ref="I2274">_xlfn.XLOOKUP($A2274, 'Medical Examinations'!$A:$A, 'Medical Examinations'!H:H, "No Data")</f>
        <v>No</v>
      </c>
      <c r="J2274" s="28" t="str">
        <f t="array" ref="J2274">_xlfn.XLOOKUP($A2274, 'Medical Examinations'!$A:$A, 'Medical Examinations'!I:I, "No Data")</f>
        <v>Underweight</v>
      </c>
      <c r="K2274" s="28" t="str">
        <f t="array" ref="K2274">_xlfn.XLOOKUP($A2274, 'Hospitalisation Details'!$A:$A, 'Hospitalisation Details'!I:I, "No Data")</f>
        <v>tier - 1</v>
      </c>
      <c r="L2274" s="28" t="str">
        <f t="array" ref="L2274">_xlfn.XLOOKUP($A2274, 'Hospitalisation Details'!$A:$A, 'Hospitalisation Details'!J:J, "No Data")</f>
        <v>R1013</v>
      </c>
      <c r="M2274" s="28" t="str">
        <f t="array" ref="M2274">_xlfn.XLOOKUP($A2274, 'Hospitalisation Details'!$A:$A, 'Hospitalisation Details'!E:E, "No Data")</f>
        <v>02/06/04</v>
      </c>
      <c r="N2274" s="28">
        <f t="array" ref="N2274">_xlfn.XLOOKUP($A2274, 'Hospitalisation Details'!$A:$A, 'Hospitalisation Details'!K:K, "No Data")</f>
        <v>19</v>
      </c>
      <c r="O2274" s="33">
        <f t="array" ref="O2274">_xlfn.XLOOKUP($A2274, 'Hospitalisation Details'!$A:$A, 'Hospitalisation Details'!G:G, "No Data")</f>
        <v>1210</v>
      </c>
      <c r="P2274" s="28" t="str">
        <f t="array" ref="P2274">_xlfn.XLOOKUP($A2274, 'Hospitalisation Details'!$A:$A, 'Hospitalisation Details'!H:H, "No Data")</f>
        <v>tier - 2</v>
      </c>
    </row>
    <row r="2275">
      <c r="A2275" s="25" t="s">
        <v>1001</v>
      </c>
      <c r="B2275" s="28" t="str">
        <f t="array" ref="B2275">_xlfn.XLOOKUP($A2275, 'Customer Names'!$A:$A, 'Customer Names'!B:B, "No Data")</f>
        <v>Knotts</v>
      </c>
      <c r="C2275" s="28">
        <f t="array" ref="C2275">_xlfn.XLOOKUP($A2275, 'Medical Examinations'!$A:$A, 'Medical Examinations'!B:B, "No Data")</f>
        <v>19.07</v>
      </c>
      <c r="D2275" s="28">
        <f t="array" ref="D2275">_xlfn.XLOOKUP($A2275, 'Medical Examinations'!$A:$A, 'Medical Examinations'!C:C, "No Data")</f>
        <v>5.45</v>
      </c>
      <c r="E2275" s="28" t="str">
        <f t="array" ref="E2275">_xlfn.XLOOKUP($A2275, 'Medical Examinations'!$A:$A, 'Medical Examinations'!D:D, "No Data")</f>
        <v>No</v>
      </c>
      <c r="F2275" s="28" t="str">
        <f t="array" ref="F2275">_xlfn.XLOOKUP($A2275, 'Medical Examinations'!$A:$A, 'Medical Examinations'!E:E, "No Data")</f>
        <v>No</v>
      </c>
      <c r="G2275" s="28" t="str">
        <f t="array" ref="G2275">_xlfn.XLOOKUP($A2275, 'Medical Examinations'!$A:$A, 'Medical Examinations'!F:F, "No Data")</f>
        <v>No</v>
      </c>
      <c r="H2275" s="28">
        <f t="array" ref="H2275">_xlfn.XLOOKUP($A2275, 'Medical Examinations'!$A:$A, 'Medical Examinations'!G:G, "No Data")</f>
        <v>1</v>
      </c>
      <c r="I2275" s="28" t="str">
        <f t="array" ref="I2275">_xlfn.XLOOKUP($A2275, 'Medical Examinations'!$A:$A, 'Medical Examinations'!H:H, "No Data")</f>
        <v>No</v>
      </c>
      <c r="J2275" s="28" t="str">
        <f t="array" ref="J2275">_xlfn.XLOOKUP($A2275, 'Medical Examinations'!$A:$A, 'Medical Examinations'!I:I, "No Data")</f>
        <v>Normal Weight</v>
      </c>
      <c r="K2275" s="28" t="str">
        <f t="array" ref="K2275">_xlfn.XLOOKUP($A2275, 'Hospitalisation Details'!$A:$A, 'Hospitalisation Details'!I:I, "No Data")</f>
        <v>tier - 3</v>
      </c>
      <c r="L2275" s="28" t="str">
        <f t="array" ref="L2275">_xlfn.XLOOKUP($A2275, 'Hospitalisation Details'!$A:$A, 'Hospitalisation Details'!J:J, "No Data")</f>
        <v>R1013</v>
      </c>
      <c r="M2275" s="28" t="str">
        <f t="array" ref="M2275">_xlfn.XLOOKUP($A2275, 'Hospitalisation Details'!$A:$A, 'Hospitalisation Details'!E:E, "No Data")</f>
        <v>06/10/92</v>
      </c>
      <c r="N2275" s="28">
        <f t="array" ref="N2275">_xlfn.XLOOKUP($A2275, 'Hospitalisation Details'!$A:$A, 'Hospitalisation Details'!K:K, "No Data")</f>
        <v>30</v>
      </c>
      <c r="O2275" s="33">
        <f t="array" ref="O2275">_xlfn.XLOOKUP($A2275, 'Hospitalisation Details'!$A:$A, 'Hospitalisation Details'!G:G, "No Data")</f>
        <v>1200.55</v>
      </c>
      <c r="P2275" s="28" t="str">
        <f t="array" ref="P2275">_xlfn.XLOOKUP($A2275, 'Hospitalisation Details'!$A:$A, 'Hospitalisation Details'!H:H, "No Data")</f>
        <v>tier - 2</v>
      </c>
    </row>
    <row r="2276">
      <c r="A2276" s="25" t="s">
        <v>990</v>
      </c>
      <c r="B2276" s="28" t="str">
        <f t="array" ref="B2276">_xlfn.XLOOKUP($A2276, 'Customer Names'!$A:$A, 'Customer Names'!B:B, "No Data")</f>
        <v>Pultorak</v>
      </c>
      <c r="C2276" s="28">
        <f t="array" ref="C2276">_xlfn.XLOOKUP($A2276, 'Medical Examinations'!$A:$A, 'Medical Examinations'!B:B, "No Data")</f>
        <v>15.56</v>
      </c>
      <c r="D2276" s="28">
        <f t="array" ref="D2276">_xlfn.XLOOKUP($A2276, 'Medical Examinations'!$A:$A, 'Medical Examinations'!C:C, "No Data")</f>
        <v>4.42</v>
      </c>
      <c r="E2276" s="28" t="str">
        <f t="array" ref="E2276">_xlfn.XLOOKUP($A2276, 'Medical Examinations'!$A:$A, 'Medical Examinations'!D:D, "No Data")</f>
        <v>No</v>
      </c>
      <c r="F2276" s="28" t="str">
        <f t="array" ref="F2276">_xlfn.XLOOKUP($A2276, 'Medical Examinations'!$A:$A, 'Medical Examinations'!E:E, "No Data")</f>
        <v>No</v>
      </c>
      <c r="G2276" s="28" t="str">
        <f t="array" ref="G2276">_xlfn.XLOOKUP($A2276, 'Medical Examinations'!$A:$A, 'Medical Examinations'!F:F, "No Data")</f>
        <v>No</v>
      </c>
      <c r="H2276" s="28">
        <f t="array" ref="H2276">_xlfn.XLOOKUP($A2276, 'Medical Examinations'!$A:$A, 'Medical Examinations'!G:G, "No Data")</f>
        <v>0</v>
      </c>
      <c r="I2276" s="28" t="str">
        <f t="array" ref="I2276">_xlfn.XLOOKUP($A2276, 'Medical Examinations'!$A:$A, 'Medical Examinations'!H:H, "No Data")</f>
        <v>No</v>
      </c>
      <c r="J2276" s="28" t="str">
        <f t="array" ref="J2276">_xlfn.XLOOKUP($A2276, 'Medical Examinations'!$A:$A, 'Medical Examinations'!I:I, "No Data")</f>
        <v>Underweight</v>
      </c>
      <c r="K2276" s="28" t="str">
        <f t="array" ref="K2276">_xlfn.XLOOKUP($A2276, 'Hospitalisation Details'!$A:$A, 'Hospitalisation Details'!I:I, "No Data")</f>
        <v>tier - 3</v>
      </c>
      <c r="L2276" s="28" t="str">
        <f t="array" ref="L2276">_xlfn.XLOOKUP($A2276, 'Hospitalisation Details'!$A:$A, 'Hospitalisation Details'!J:J, "No Data")</f>
        <v>R1012</v>
      </c>
      <c r="M2276" s="28" t="str">
        <f t="array" ref="M2276">_xlfn.XLOOKUP($A2276, 'Hospitalisation Details'!$A:$A, 'Hospitalisation Details'!E:E, "No Data")</f>
        <v>28/06/99</v>
      </c>
      <c r="N2276" s="28">
        <f t="array" ref="N2276">_xlfn.XLOOKUP($A2276, 'Hospitalisation Details'!$A:$A, 'Hospitalisation Details'!K:K, "No Data")</f>
        <v>23</v>
      </c>
      <c r="O2276" s="33">
        <f t="array" ref="O2276">_xlfn.XLOOKUP($A2276, 'Hospitalisation Details'!$A:$A, 'Hospitalisation Details'!G:G, "No Data")</f>
        <v>1200</v>
      </c>
      <c r="P2276" s="28" t="str">
        <f t="array" ref="P2276">_xlfn.XLOOKUP($A2276, 'Hospitalisation Details'!$A:$A, 'Hospitalisation Details'!H:H, "No Data")</f>
        <v>tier - 2</v>
      </c>
    </row>
    <row r="2277">
      <c r="A2277" s="25" t="s">
        <v>980</v>
      </c>
      <c r="B2277" s="28" t="str">
        <f t="array" ref="B2277">_xlfn.XLOOKUP($A2277, 'Customer Names'!$A:$A, 'Customer Names'!B:B, "No Data")</f>
        <v>Maxon</v>
      </c>
      <c r="C2277" s="28">
        <f t="array" ref="C2277">_xlfn.XLOOKUP($A2277, 'Medical Examinations'!$A:$A, 'Medical Examinations'!B:B, "No Data")</f>
        <v>22.76</v>
      </c>
      <c r="D2277" s="28">
        <f t="array" ref="D2277">_xlfn.XLOOKUP($A2277, 'Medical Examinations'!$A:$A, 'Medical Examinations'!C:C, "No Data")</f>
        <v>9.44</v>
      </c>
      <c r="E2277" s="28" t="str">
        <f t="array" ref="E2277">_xlfn.XLOOKUP($A2277, 'Medical Examinations'!$A:$A, 'Medical Examinations'!D:D, "No Data")</f>
        <v>No</v>
      </c>
      <c r="F2277" s="28" t="str">
        <f t="array" ref="F2277">_xlfn.XLOOKUP($A2277, 'Medical Examinations'!$A:$A, 'Medical Examinations'!E:E, "No Data")</f>
        <v>No</v>
      </c>
      <c r="G2277" s="28" t="str">
        <f t="array" ref="G2277">_xlfn.XLOOKUP($A2277, 'Medical Examinations'!$A:$A, 'Medical Examinations'!F:F, "No Data")</f>
        <v>No</v>
      </c>
      <c r="H2277" s="28">
        <f t="array" ref="H2277">_xlfn.XLOOKUP($A2277, 'Medical Examinations'!$A:$A, 'Medical Examinations'!G:G, "No Data")</f>
        <v>0</v>
      </c>
      <c r="I2277" s="28" t="str">
        <f t="array" ref="I2277">_xlfn.XLOOKUP($A2277, 'Medical Examinations'!$A:$A, 'Medical Examinations'!H:H, "No Data")</f>
        <v>No</v>
      </c>
      <c r="J2277" s="28" t="str">
        <f t="array" ref="J2277">_xlfn.XLOOKUP($A2277, 'Medical Examinations'!$A:$A, 'Medical Examinations'!I:I, "No Data")</f>
        <v>Normal Weight</v>
      </c>
      <c r="K2277" s="28" t="str">
        <f t="array" ref="K2277">_xlfn.XLOOKUP($A2277, 'Hospitalisation Details'!$A:$A, 'Hospitalisation Details'!I:I, "No Data")</f>
        <v>tier - 1</v>
      </c>
      <c r="L2277" s="28" t="str">
        <f t="array" ref="L2277">_xlfn.XLOOKUP($A2277, 'Hospitalisation Details'!$A:$A, 'Hospitalisation Details'!J:J, "No Data")</f>
        <v>R1013</v>
      </c>
      <c r="M2277" s="28" t="str">
        <f t="array" ref="M2277">_xlfn.XLOOKUP($A2277, 'Hospitalisation Details'!$A:$A, 'Hospitalisation Details'!E:E, "No Data")</f>
        <v>26/08/02</v>
      </c>
      <c r="N2277" s="28">
        <f t="array" ref="N2277">_xlfn.XLOOKUP($A2277, 'Hospitalisation Details'!$A:$A, 'Hospitalisation Details'!K:K, "No Data")</f>
        <v>20</v>
      </c>
      <c r="O2277" s="33">
        <f t="array" ref="O2277">_xlfn.XLOOKUP($A2277, 'Hospitalisation Details'!$A:$A, 'Hospitalisation Details'!G:G, "No Data")</f>
        <v>1191</v>
      </c>
      <c r="P2277" s="28" t="str">
        <f t="array" ref="P2277">_xlfn.XLOOKUP($A2277, 'Hospitalisation Details'!$A:$A, 'Hospitalisation Details'!H:H, "No Data")</f>
        <v>tier - 2</v>
      </c>
    </row>
    <row r="2278">
      <c r="A2278" s="25" t="s">
        <v>971</v>
      </c>
      <c r="B2278" s="28" t="str">
        <f t="array" ref="B2278">_xlfn.XLOOKUP($A2278, 'Customer Names'!$A:$A, 'Customer Names'!B:B, "No Data")</f>
        <v>Kraai</v>
      </c>
      <c r="C2278" s="28">
        <f t="array" ref="C2278">_xlfn.XLOOKUP($A2278, 'Medical Examinations'!$A:$A, 'Medical Examinations'!B:B, "No Data")</f>
        <v>22.79</v>
      </c>
      <c r="D2278" s="28">
        <f t="array" ref="D2278">_xlfn.XLOOKUP($A2278, 'Medical Examinations'!$A:$A, 'Medical Examinations'!C:C, "No Data")</f>
        <v>6.15</v>
      </c>
      <c r="E2278" s="28" t="str">
        <f t="array" ref="E2278">_xlfn.XLOOKUP($A2278, 'Medical Examinations'!$A:$A, 'Medical Examinations'!D:D, "No Data")</f>
        <v>yes</v>
      </c>
      <c r="F2278" s="28" t="str">
        <f t="array" ref="F2278">_xlfn.XLOOKUP($A2278, 'Medical Examinations'!$A:$A, 'Medical Examinations'!E:E, "No Data")</f>
        <v>No</v>
      </c>
      <c r="G2278" s="28" t="str">
        <f t="array" ref="G2278">_xlfn.XLOOKUP($A2278, 'Medical Examinations'!$A:$A, 'Medical Examinations'!F:F, "No Data")</f>
        <v>Yes</v>
      </c>
      <c r="H2278" s="28">
        <f t="array" ref="H2278">_xlfn.XLOOKUP($A2278, 'Medical Examinations'!$A:$A, 'Medical Examinations'!G:G, "No Data")</f>
        <v>1</v>
      </c>
      <c r="I2278" s="28" t="str">
        <f t="array" ref="I2278">_xlfn.XLOOKUP($A2278, 'Medical Examinations'!$A:$A, 'Medical Examinations'!H:H, "No Data")</f>
        <v>No</v>
      </c>
      <c r="J2278" s="28" t="str">
        <f t="array" ref="J2278">_xlfn.XLOOKUP($A2278, 'Medical Examinations'!$A:$A, 'Medical Examinations'!I:I, "No Data")</f>
        <v>Normal Weight</v>
      </c>
      <c r="K2278" s="28" t="str">
        <f t="array" ref="K2278">_xlfn.XLOOKUP($A2278, 'Hospitalisation Details'!$A:$A, 'Hospitalisation Details'!I:I, "No Data")</f>
        <v>tier - 2</v>
      </c>
      <c r="L2278" s="28" t="str">
        <f t="array" ref="L2278">_xlfn.XLOOKUP($A2278, 'Hospitalisation Details'!$A:$A, 'Hospitalisation Details'!J:J, "No Data")</f>
        <v>R1013</v>
      </c>
      <c r="M2278" s="28" t="str">
        <f t="array" ref="M2278">_xlfn.XLOOKUP($A2278, 'Hospitalisation Details'!$A:$A, 'Hospitalisation Details'!E:E, "No Data")</f>
        <v>28/06/97</v>
      </c>
      <c r="N2278" s="28">
        <f t="array" ref="N2278">_xlfn.XLOOKUP($A2278, 'Hospitalisation Details'!$A:$A, 'Hospitalisation Details'!K:K, "No Data")</f>
        <v>25</v>
      </c>
      <c r="O2278" s="33">
        <f t="array" ref="O2278">_xlfn.XLOOKUP($A2278, 'Hospitalisation Details'!$A:$A, 'Hospitalisation Details'!G:G, "No Data")</f>
        <v>1178.07</v>
      </c>
      <c r="P2278" s="28" t="str">
        <f t="array" ref="P2278">_xlfn.XLOOKUP($A2278, 'Hospitalisation Details'!$A:$A, 'Hospitalisation Details'!H:H, "No Data")</f>
        <v>tier - 2</v>
      </c>
    </row>
    <row r="2279">
      <c r="A2279" s="25" t="s">
        <v>966</v>
      </c>
      <c r="B2279" s="28" t="str">
        <f t="array" ref="B2279">_xlfn.XLOOKUP($A2279, 'Customer Names'!$A:$A, 'Customer Names'!B:B, "No Data")</f>
        <v>Larosa</v>
      </c>
      <c r="C2279" s="28">
        <f t="array" ref="C2279">_xlfn.XLOOKUP($A2279, 'Medical Examinations'!$A:$A, 'Medical Examinations'!B:B, "No Data")</f>
        <v>17.41</v>
      </c>
      <c r="D2279" s="28">
        <f t="array" ref="D2279">_xlfn.XLOOKUP($A2279, 'Medical Examinations'!$A:$A, 'Medical Examinations'!C:C, "No Data")</f>
        <v>5.13</v>
      </c>
      <c r="E2279" s="28" t="str">
        <f t="array" ref="E2279">_xlfn.XLOOKUP($A2279, 'Medical Examinations'!$A:$A, 'Medical Examinations'!D:D, "No Data")</f>
        <v>yes</v>
      </c>
      <c r="F2279" s="28" t="str">
        <f t="array" ref="F2279">_xlfn.XLOOKUP($A2279, 'Medical Examinations'!$A:$A, 'Medical Examinations'!E:E, "No Data")</f>
        <v>No</v>
      </c>
      <c r="G2279" s="28" t="str">
        <f t="array" ref="G2279">_xlfn.XLOOKUP($A2279, 'Medical Examinations'!$A:$A, 'Medical Examinations'!F:F, "No Data")</f>
        <v>No</v>
      </c>
      <c r="H2279" s="28">
        <f t="array" ref="H2279">_xlfn.XLOOKUP($A2279, 'Medical Examinations'!$A:$A, 'Medical Examinations'!G:G, "No Data")</f>
        <v>0</v>
      </c>
      <c r="I2279" s="28" t="str">
        <f t="array" ref="I2279">_xlfn.XLOOKUP($A2279, 'Medical Examinations'!$A:$A, 'Medical Examinations'!H:H, "No Data")</f>
        <v>No</v>
      </c>
      <c r="J2279" s="28" t="str">
        <f t="array" ref="J2279">_xlfn.XLOOKUP($A2279, 'Medical Examinations'!$A:$A, 'Medical Examinations'!I:I, "No Data")</f>
        <v>Underweight</v>
      </c>
      <c r="K2279" s="28" t="str">
        <f t="array" ref="K2279">_xlfn.XLOOKUP($A2279, 'Hospitalisation Details'!$A:$A, 'Hospitalisation Details'!I:I, "No Data")</f>
        <v>tier - 3</v>
      </c>
      <c r="L2279" s="28" t="str">
        <f t="array" ref="L2279">_xlfn.XLOOKUP($A2279, 'Hospitalisation Details'!$A:$A, 'Hospitalisation Details'!J:J, "No Data")</f>
        <v>R1013</v>
      </c>
      <c r="M2279" s="28" t="str">
        <f t="array" ref="M2279">_xlfn.XLOOKUP($A2279, 'Hospitalisation Details'!$A:$A, 'Hospitalisation Details'!E:E, "No Data")</f>
        <v>11/08/96</v>
      </c>
      <c r="N2279" s="28">
        <f t="array" ref="N2279">_xlfn.XLOOKUP($A2279, 'Hospitalisation Details'!$A:$A, 'Hospitalisation Details'!K:K, "No Data")</f>
        <v>26</v>
      </c>
      <c r="O2279" s="33">
        <f t="array" ref="O2279">_xlfn.XLOOKUP($A2279, 'Hospitalisation Details'!$A:$A, 'Hospitalisation Details'!G:G, "No Data")</f>
        <v>1178</v>
      </c>
      <c r="P2279" s="28" t="str">
        <f t="array" ref="P2279">_xlfn.XLOOKUP($A2279, 'Hospitalisation Details'!$A:$A, 'Hospitalisation Details'!H:H, "No Data")</f>
        <v>tier - 2</v>
      </c>
    </row>
    <row r="2280">
      <c r="A2280" s="25" t="s">
        <v>957</v>
      </c>
      <c r="B2280" s="28" t="str">
        <f t="array" ref="B2280">_xlfn.XLOOKUP($A2280, 'Customer Names'!$A:$A, 'Customer Names'!B:B, "No Data")</f>
        <v>King</v>
      </c>
      <c r="C2280" s="28">
        <f t="array" ref="C2280">_xlfn.XLOOKUP($A2280, 'Medical Examinations'!$A:$A, 'Medical Examinations'!B:B, "No Data")</f>
        <v>19.32</v>
      </c>
      <c r="D2280" s="28">
        <f t="array" ref="D2280">_xlfn.XLOOKUP($A2280, 'Medical Examinations'!$A:$A, 'Medical Examinations'!C:C, "No Data")</f>
        <v>4.96</v>
      </c>
      <c r="E2280" s="28" t="str">
        <f t="array" ref="E2280">_xlfn.XLOOKUP($A2280, 'Medical Examinations'!$A:$A, 'Medical Examinations'!D:D, "No Data")</f>
        <v>yes</v>
      </c>
      <c r="F2280" s="28" t="str">
        <f t="array" ref="F2280">_xlfn.XLOOKUP($A2280, 'Medical Examinations'!$A:$A, 'Medical Examinations'!E:E, "No Data")</f>
        <v>No</v>
      </c>
      <c r="G2280" s="28" t="str">
        <f t="array" ref="G2280">_xlfn.XLOOKUP($A2280, 'Medical Examinations'!$A:$A, 'Medical Examinations'!F:F, "No Data")</f>
        <v>No</v>
      </c>
      <c r="H2280" s="28">
        <f t="array" ref="H2280">_xlfn.XLOOKUP($A2280, 'Medical Examinations'!$A:$A, 'Medical Examinations'!G:G, "No Data")</f>
        <v>0</v>
      </c>
      <c r="I2280" s="28" t="str">
        <f t="array" ref="I2280">_xlfn.XLOOKUP($A2280, 'Medical Examinations'!$A:$A, 'Medical Examinations'!H:H, "No Data")</f>
        <v>No</v>
      </c>
      <c r="J2280" s="28" t="str">
        <f t="array" ref="J2280">_xlfn.XLOOKUP($A2280, 'Medical Examinations'!$A:$A, 'Medical Examinations'!I:I, "No Data")</f>
        <v>Normal Weight</v>
      </c>
      <c r="K2280" s="28" t="str">
        <f t="array" ref="K2280">_xlfn.XLOOKUP($A2280, 'Hospitalisation Details'!$A:$A, 'Hospitalisation Details'!I:I, "No Data")</f>
        <v>tier - 1</v>
      </c>
      <c r="L2280" s="28" t="str">
        <f t="array" ref="L2280">_xlfn.XLOOKUP($A2280, 'Hospitalisation Details'!$A:$A, 'Hospitalisation Details'!J:J, "No Data")</f>
        <v>R1013</v>
      </c>
      <c r="M2280" s="28" t="str">
        <f t="array" ref="M2280">_xlfn.XLOOKUP($A2280, 'Hospitalisation Details'!$A:$A, 'Hospitalisation Details'!E:E, "No Data")</f>
        <v>12/11/01</v>
      </c>
      <c r="N2280" s="28">
        <f t="array" ref="N2280">_xlfn.XLOOKUP($A2280, 'Hospitalisation Details'!$A:$A, 'Hospitalisation Details'!K:K, "No Data")</f>
        <v>21</v>
      </c>
      <c r="O2280" s="33">
        <f t="array" ref="O2280">_xlfn.XLOOKUP($A2280, 'Hospitalisation Details'!$A:$A, 'Hospitalisation Details'!G:G, "No Data")</f>
        <v>1167</v>
      </c>
      <c r="P2280" s="28" t="str">
        <f t="array" ref="P2280">_xlfn.XLOOKUP($A2280, 'Hospitalisation Details'!$A:$A, 'Hospitalisation Details'!H:H, "No Data")</f>
        <v>tier - 2</v>
      </c>
    </row>
    <row r="2281">
      <c r="A2281" s="25" t="s">
        <v>948</v>
      </c>
      <c r="B2281" s="28" t="str">
        <f t="array" ref="B2281">_xlfn.XLOOKUP($A2281, 'Customer Names'!$A:$A, 'Customer Names'!B:B, "No Data")</f>
        <v>Haney</v>
      </c>
      <c r="C2281" s="28">
        <f t="array" ref="C2281">_xlfn.XLOOKUP($A2281, 'Medical Examinations'!$A:$A, 'Medical Examinations'!B:B, "No Data")</f>
        <v>18.25</v>
      </c>
      <c r="D2281" s="28">
        <f t="array" ref="D2281">_xlfn.XLOOKUP($A2281, 'Medical Examinations'!$A:$A, 'Medical Examinations'!C:C, "No Data")</f>
        <v>10.95</v>
      </c>
      <c r="E2281" s="28" t="str">
        <f t="array" ref="E2281">_xlfn.XLOOKUP($A2281, 'Medical Examinations'!$A:$A, 'Medical Examinations'!D:D, "No Data")</f>
        <v>No</v>
      </c>
      <c r="F2281" s="28" t="str">
        <f t="array" ref="F2281">_xlfn.XLOOKUP($A2281, 'Medical Examinations'!$A:$A, 'Medical Examinations'!E:E, "No Data")</f>
        <v>No</v>
      </c>
      <c r="G2281" s="28" t="str">
        <f t="array" ref="G2281">_xlfn.XLOOKUP($A2281, 'Medical Examinations'!$A:$A, 'Medical Examinations'!F:F, "No Data")</f>
        <v>No</v>
      </c>
      <c r="H2281" s="28">
        <f t="array" ref="H2281">_xlfn.XLOOKUP($A2281, 'Medical Examinations'!$A:$A, 'Medical Examinations'!G:G, "No Data")</f>
        <v>0</v>
      </c>
      <c r="I2281" s="28" t="str">
        <f t="array" ref="I2281">_xlfn.XLOOKUP($A2281, 'Medical Examinations'!$A:$A, 'Medical Examinations'!H:H, "No Data")</f>
        <v>No</v>
      </c>
      <c r="J2281" s="28" t="str">
        <f t="array" ref="J2281">_xlfn.XLOOKUP($A2281, 'Medical Examinations'!$A:$A, 'Medical Examinations'!I:I, "No Data")</f>
        <v>Underweight</v>
      </c>
      <c r="K2281" s="28" t="str">
        <f t="array" ref="K2281">_xlfn.XLOOKUP($A2281, 'Hospitalisation Details'!$A:$A, 'Hospitalisation Details'!I:I, "No Data")</f>
        <v>tier - 3</v>
      </c>
      <c r="L2281" s="28" t="str">
        <f t="array" ref="L2281">_xlfn.XLOOKUP($A2281, 'Hospitalisation Details'!$A:$A, 'Hospitalisation Details'!J:J, "No Data")</f>
        <v>R1012</v>
      </c>
      <c r="M2281" s="28" t="str">
        <f t="array" ref="M2281">_xlfn.XLOOKUP($A2281, 'Hospitalisation Details'!$A:$A, 'Hospitalisation Details'!E:E, "No Data")</f>
        <v>11/06/02</v>
      </c>
      <c r="N2281" s="28">
        <f t="array" ref="N2281">_xlfn.XLOOKUP($A2281, 'Hospitalisation Details'!$A:$A, 'Hospitalisation Details'!K:K, "No Data")</f>
        <v>20</v>
      </c>
      <c r="O2281" s="33">
        <f t="array" ref="O2281">_xlfn.XLOOKUP($A2281, 'Hospitalisation Details'!$A:$A, 'Hospitalisation Details'!G:G, "No Data")</f>
        <v>1165</v>
      </c>
      <c r="P2281" s="28" t="str">
        <f t="array" ref="P2281">_xlfn.XLOOKUP($A2281, 'Hospitalisation Details'!$A:$A, 'Hospitalisation Details'!H:H, "No Data")</f>
        <v>tier - 2</v>
      </c>
    </row>
    <row r="2282">
      <c r="A2282" s="25" t="s">
        <v>938</v>
      </c>
      <c r="B2282" s="28" t="str">
        <f t="array" ref="B2282">_xlfn.XLOOKUP($A2282, 'Customer Names'!$A:$A, 'Customer Names'!B:B, "No Data")</f>
        <v>Boulay</v>
      </c>
      <c r="C2282" s="28">
        <f t="array" ref="C2282">_xlfn.XLOOKUP($A2282, 'Medical Examinations'!$A:$A, 'Medical Examinations'!B:B, "No Data")</f>
        <v>53.13</v>
      </c>
      <c r="D2282" s="28">
        <f t="array" ref="D2282">_xlfn.XLOOKUP($A2282, 'Medical Examinations'!$A:$A, 'Medical Examinations'!C:C, "No Data")</f>
        <v>4.44</v>
      </c>
      <c r="E2282" s="28" t="str">
        <f t="array" ref="E2282">_xlfn.XLOOKUP($A2282, 'Medical Examinations'!$A:$A, 'Medical Examinations'!D:D, "No Data")</f>
        <v>No</v>
      </c>
      <c r="F2282" s="28" t="str">
        <f t="array" ref="F2282">_xlfn.XLOOKUP($A2282, 'Medical Examinations'!$A:$A, 'Medical Examinations'!E:E, "No Data")</f>
        <v>yes</v>
      </c>
      <c r="G2282" s="28" t="str">
        <f t="array" ref="G2282">_xlfn.XLOOKUP($A2282, 'Medical Examinations'!$A:$A, 'Medical Examinations'!F:F, "No Data")</f>
        <v>No</v>
      </c>
      <c r="H2282" s="28">
        <f t="array" ref="H2282">_xlfn.XLOOKUP($A2282, 'Medical Examinations'!$A:$A, 'Medical Examinations'!G:G, "No Data")</f>
        <v>1</v>
      </c>
      <c r="I2282" s="28" t="str">
        <f t="array" ref="I2282">_xlfn.XLOOKUP($A2282, 'Medical Examinations'!$A:$A, 'Medical Examinations'!H:H, "No Data")</f>
        <v>No</v>
      </c>
      <c r="J2282" s="28" t="str">
        <f t="array" ref="J2282">_xlfn.XLOOKUP($A2282, 'Medical Examinations'!$A:$A, 'Medical Examinations'!I:I, "No Data")</f>
        <v>Obesity</v>
      </c>
      <c r="K2282" s="28" t="str">
        <f t="array" ref="K2282">_xlfn.XLOOKUP($A2282, 'Hospitalisation Details'!$A:$A, 'Hospitalisation Details'!I:I, "No Data")</f>
        <v>tier - 3</v>
      </c>
      <c r="L2282" s="28" t="str">
        <f t="array" ref="L2282">_xlfn.XLOOKUP($A2282, 'Hospitalisation Details'!$A:$A, 'Hospitalisation Details'!J:J, "No Data")</f>
        <v>R1013</v>
      </c>
      <c r="M2282" s="28" t="str">
        <f t="array" ref="M2282">_xlfn.XLOOKUP($A2282, 'Hospitalisation Details'!$A:$A, 'Hospitalisation Details'!E:E, "No Data")</f>
        <v>11/11/04</v>
      </c>
      <c r="N2282" s="28">
        <f t="array" ref="N2282">_xlfn.XLOOKUP($A2282, 'Hospitalisation Details'!$A:$A, 'Hospitalisation Details'!K:K, "No Data")</f>
        <v>18</v>
      </c>
      <c r="O2282" s="33">
        <f t="array" ref="O2282">_xlfn.XLOOKUP($A2282, 'Hospitalisation Details'!$A:$A, 'Hospitalisation Details'!G:G, "No Data")</f>
        <v>1163.46</v>
      </c>
      <c r="P2282" s="28" t="str">
        <f t="array" ref="P2282">_xlfn.XLOOKUP($A2282, 'Hospitalisation Details'!$A:$A, 'Hospitalisation Details'!H:H, "No Data")</f>
        <v>tier - 2</v>
      </c>
    </row>
    <row r="2283">
      <c r="A2283" s="25" t="s">
        <v>929</v>
      </c>
      <c r="B2283" s="28" t="str">
        <f t="array" ref="B2283">_xlfn.XLOOKUP($A2283, 'Customer Names'!$A:$A, 'Customer Names'!B:B, "No Data")</f>
        <v>Peters</v>
      </c>
      <c r="C2283" s="28">
        <f t="array" ref="C2283">_xlfn.XLOOKUP($A2283, 'Medical Examinations'!$A:$A, 'Medical Examinations'!B:B, "No Data")</f>
        <v>20.46</v>
      </c>
      <c r="D2283" s="28">
        <f t="array" ref="D2283">_xlfn.XLOOKUP($A2283, 'Medical Examinations'!$A:$A, 'Medical Examinations'!C:C, "No Data")</f>
        <v>4.02</v>
      </c>
      <c r="E2283" s="28" t="str">
        <f t="array" ref="E2283">_xlfn.XLOOKUP($A2283, 'Medical Examinations'!$A:$A, 'Medical Examinations'!D:D, "No Data")</f>
        <v>No</v>
      </c>
      <c r="F2283" s="28" t="str">
        <f t="array" ref="F2283">_xlfn.XLOOKUP($A2283, 'Medical Examinations'!$A:$A, 'Medical Examinations'!E:E, "No Data")</f>
        <v>No</v>
      </c>
      <c r="G2283" s="28" t="str">
        <f t="array" ref="G2283">_xlfn.XLOOKUP($A2283, 'Medical Examinations'!$A:$A, 'Medical Examinations'!F:F, "No Data")</f>
        <v>No</v>
      </c>
      <c r="H2283" s="28">
        <f t="array" ref="H2283">_xlfn.XLOOKUP($A2283, 'Medical Examinations'!$A:$A, 'Medical Examinations'!G:G, "No Data")</f>
        <v>0</v>
      </c>
      <c r="I2283" s="28" t="str">
        <f t="array" ref="I2283">_xlfn.XLOOKUP($A2283, 'Medical Examinations'!$A:$A, 'Medical Examinations'!H:H, "No Data")</f>
        <v>No</v>
      </c>
      <c r="J2283" s="28" t="str">
        <f t="array" ref="J2283">_xlfn.XLOOKUP($A2283, 'Medical Examinations'!$A:$A, 'Medical Examinations'!I:I, "No Data")</f>
        <v>Normal Weight</v>
      </c>
      <c r="K2283" s="28" t="str">
        <f t="array" ref="K2283">_xlfn.XLOOKUP($A2283, 'Hospitalisation Details'!$A:$A, 'Hospitalisation Details'!I:I, "No Data")</f>
        <v>tier - 1</v>
      </c>
      <c r="L2283" s="28" t="str">
        <f t="array" ref="L2283">_xlfn.XLOOKUP($A2283, 'Hospitalisation Details'!$A:$A, 'Hospitalisation Details'!J:J, "No Data")</f>
        <v>R1013</v>
      </c>
      <c r="M2283" s="28" t="str">
        <f t="array" ref="M2283">_xlfn.XLOOKUP($A2283, 'Hospitalisation Details'!$A:$A, 'Hospitalisation Details'!E:E, "No Data")</f>
        <v>26/07/94</v>
      </c>
      <c r="N2283" s="28">
        <f t="array" ref="N2283">_xlfn.XLOOKUP($A2283, 'Hospitalisation Details'!$A:$A, 'Hospitalisation Details'!K:K, "No Data")</f>
        <v>28</v>
      </c>
      <c r="O2283" s="33">
        <f t="array" ref="O2283">_xlfn.XLOOKUP($A2283, 'Hospitalisation Details'!$A:$A, 'Hospitalisation Details'!G:G, "No Data")</f>
        <v>1158.32</v>
      </c>
      <c r="P2283" s="28" t="str">
        <f t="array" ref="P2283">_xlfn.XLOOKUP($A2283, 'Hospitalisation Details'!$A:$A, 'Hospitalisation Details'!H:H, "No Data")</f>
        <v>tier - 2</v>
      </c>
    </row>
    <row r="2284">
      <c r="A2284" s="25" t="s">
        <v>921</v>
      </c>
      <c r="B2284" s="28" t="str">
        <f t="array" ref="B2284">_xlfn.XLOOKUP($A2284, 'Customer Names'!$A:$A, 'Customer Names'!B:B, "No Data")</f>
        <v>Luy</v>
      </c>
      <c r="C2284" s="28">
        <f t="array" ref="C2284">_xlfn.XLOOKUP($A2284, 'Medical Examinations'!$A:$A, 'Medical Examinations'!B:B, "No Data")</f>
        <v>43.01</v>
      </c>
      <c r="D2284" s="28">
        <f t="array" ref="D2284">_xlfn.XLOOKUP($A2284, 'Medical Examinations'!$A:$A, 'Medical Examinations'!C:C, "No Data")</f>
        <v>5.44</v>
      </c>
      <c r="E2284" s="28" t="str">
        <f t="array" ref="E2284">_xlfn.XLOOKUP($A2284, 'Medical Examinations'!$A:$A, 'Medical Examinations'!D:D, "No Data")</f>
        <v>No</v>
      </c>
      <c r="F2284" s="28" t="str">
        <f t="array" ref="F2284">_xlfn.XLOOKUP($A2284, 'Medical Examinations'!$A:$A, 'Medical Examinations'!E:E, "No Data")</f>
        <v>yes</v>
      </c>
      <c r="G2284" s="28" t="str">
        <f t="array" ref="G2284">_xlfn.XLOOKUP($A2284, 'Medical Examinations'!$A:$A, 'Medical Examinations'!F:F, "No Data")</f>
        <v>No</v>
      </c>
      <c r="H2284" s="28">
        <f t="array" ref="H2284">_xlfn.XLOOKUP($A2284, 'Medical Examinations'!$A:$A, 'Medical Examinations'!G:G, "No Data")</f>
        <v>1</v>
      </c>
      <c r="I2284" s="28" t="str">
        <f t="array" ref="I2284">_xlfn.XLOOKUP($A2284, 'Medical Examinations'!$A:$A, 'Medical Examinations'!H:H, "No Data")</f>
        <v>No</v>
      </c>
      <c r="J2284" s="28" t="str">
        <f t="array" ref="J2284">_xlfn.XLOOKUP($A2284, 'Medical Examinations'!$A:$A, 'Medical Examinations'!I:I, "No Data")</f>
        <v>Obesity</v>
      </c>
      <c r="K2284" s="28" t="str">
        <f t="array" ref="K2284">_xlfn.XLOOKUP($A2284, 'Hospitalisation Details'!$A:$A, 'Hospitalisation Details'!I:I, "No Data")</f>
        <v>tier - 2</v>
      </c>
      <c r="L2284" s="28" t="str">
        <f t="array" ref="L2284">_xlfn.XLOOKUP($A2284, 'Hospitalisation Details'!$A:$A, 'Hospitalisation Details'!J:J, "No Data")</f>
        <v>R1013</v>
      </c>
      <c r="M2284" s="28" t="str">
        <f t="array" ref="M2284">_xlfn.XLOOKUP($A2284, 'Hospitalisation Details'!$A:$A, 'Hospitalisation Details'!E:E, "No Data")</f>
        <v>18/07/04</v>
      </c>
      <c r="N2284" s="28">
        <f t="array" ref="N2284">_xlfn.XLOOKUP($A2284, 'Hospitalisation Details'!$A:$A, 'Hospitalisation Details'!K:K, "No Data")</f>
        <v>18</v>
      </c>
      <c r="O2284" s="33">
        <f t="array" ref="O2284">_xlfn.XLOOKUP($A2284, 'Hospitalisation Details'!$A:$A, 'Hospitalisation Details'!G:G, "No Data")</f>
        <v>1149.4</v>
      </c>
      <c r="P2284" s="28" t="str">
        <f t="array" ref="P2284">_xlfn.XLOOKUP($A2284, 'Hospitalisation Details'!$A:$A, 'Hospitalisation Details'!H:H, "No Data")</f>
        <v>tier - 2</v>
      </c>
    </row>
    <row r="2285">
      <c r="A2285" s="25" t="s">
        <v>909</v>
      </c>
      <c r="B2285" s="28" t="str">
        <f t="array" ref="B2285">_xlfn.XLOOKUP($A2285, 'Customer Names'!$A:$A, 'Customer Names'!B:B, "No Data")</f>
        <v>Fava</v>
      </c>
      <c r="C2285" s="28">
        <f t="array" ref="C2285">_xlfn.XLOOKUP($A2285, 'Medical Examinations'!$A:$A, 'Medical Examinations'!B:B, "No Data")</f>
        <v>15.01</v>
      </c>
      <c r="D2285" s="28">
        <f t="array" ref="D2285">_xlfn.XLOOKUP($A2285, 'Medical Examinations'!$A:$A, 'Medical Examinations'!C:C, "No Data")</f>
        <v>4.15</v>
      </c>
      <c r="E2285" s="28" t="str">
        <f t="array" ref="E2285">_xlfn.XLOOKUP($A2285, 'Medical Examinations'!$A:$A, 'Medical Examinations'!D:D, "No Data")</f>
        <v>No</v>
      </c>
      <c r="F2285" s="28" t="str">
        <f t="array" ref="F2285">_xlfn.XLOOKUP($A2285, 'Medical Examinations'!$A:$A, 'Medical Examinations'!E:E, "No Data")</f>
        <v>No</v>
      </c>
      <c r="G2285" s="28" t="str">
        <f t="array" ref="G2285">_xlfn.XLOOKUP($A2285, 'Medical Examinations'!$A:$A, 'Medical Examinations'!F:F, "No Data")</f>
        <v>Yes</v>
      </c>
      <c r="H2285" s="28">
        <f t="array" ref="H2285">_xlfn.XLOOKUP($A2285, 'Medical Examinations'!$A:$A, 'Medical Examinations'!G:G, "No Data")</f>
        <v>1</v>
      </c>
      <c r="I2285" s="28" t="str">
        <f t="array" ref="I2285">_xlfn.XLOOKUP($A2285, 'Medical Examinations'!$A:$A, 'Medical Examinations'!H:H, "No Data")</f>
        <v>No</v>
      </c>
      <c r="J2285" s="28" t="str">
        <f t="array" ref="J2285">_xlfn.XLOOKUP($A2285, 'Medical Examinations'!$A:$A, 'Medical Examinations'!I:I, "No Data")</f>
        <v>Underweight</v>
      </c>
      <c r="K2285" s="28" t="str">
        <f t="array" ref="K2285">_xlfn.XLOOKUP($A2285, 'Hospitalisation Details'!$A:$A, 'Hospitalisation Details'!I:I, "No Data")</f>
        <v>tier - 1</v>
      </c>
      <c r="L2285" s="28" t="str">
        <f t="array" ref="L2285">_xlfn.XLOOKUP($A2285, 'Hospitalisation Details'!$A:$A, 'Hospitalisation Details'!J:J, "No Data")</f>
        <v>R1012</v>
      </c>
      <c r="M2285" s="28" t="str">
        <f t="array" ref="M2285">_xlfn.XLOOKUP($A2285, 'Hospitalisation Details'!$A:$A, 'Hospitalisation Details'!E:E, "No Data")</f>
        <v>12/06/03</v>
      </c>
      <c r="N2285" s="28">
        <f t="array" ref="N2285">_xlfn.XLOOKUP($A2285, 'Hospitalisation Details'!$A:$A, 'Hospitalisation Details'!K:K, "No Data")</f>
        <v>19</v>
      </c>
      <c r="O2285" s="33">
        <f t="array" ref="O2285">_xlfn.XLOOKUP($A2285, 'Hospitalisation Details'!$A:$A, 'Hospitalisation Details'!G:G, "No Data")</f>
        <v>1149</v>
      </c>
      <c r="P2285" s="28" t="str">
        <f t="array" ref="P2285">_xlfn.XLOOKUP($A2285, 'Hospitalisation Details'!$A:$A, 'Hospitalisation Details'!H:H, "No Data")</f>
        <v>tier - 2</v>
      </c>
    </row>
    <row r="2286">
      <c r="A2286" s="25" t="s">
        <v>902</v>
      </c>
      <c r="B2286" s="28" t="str">
        <f t="array" ref="B2286">_xlfn.XLOOKUP($A2286, 'Customer Names'!$A:$A, 'Customer Names'!B:B, "No Data")</f>
        <v>Montoya</v>
      </c>
      <c r="C2286" s="28">
        <f t="array" ref="C2286">_xlfn.XLOOKUP($A2286, 'Medical Examinations'!$A:$A, 'Medical Examinations'!B:B, "No Data")</f>
        <v>41.14</v>
      </c>
      <c r="D2286" s="28">
        <f t="array" ref="D2286">_xlfn.XLOOKUP($A2286, 'Medical Examinations'!$A:$A, 'Medical Examinations'!C:C, "No Data")</f>
        <v>6.02</v>
      </c>
      <c r="E2286" s="28" t="str">
        <f t="array" ref="E2286">_xlfn.XLOOKUP($A2286, 'Medical Examinations'!$A:$A, 'Medical Examinations'!D:D, "No Data")</f>
        <v>No</v>
      </c>
      <c r="F2286" s="28" t="str">
        <f t="array" ref="F2286">_xlfn.XLOOKUP($A2286, 'Medical Examinations'!$A:$A, 'Medical Examinations'!E:E, "No Data")</f>
        <v>yes</v>
      </c>
      <c r="G2286" s="28" t="str">
        <f t="array" ref="G2286">_xlfn.XLOOKUP($A2286, 'Medical Examinations'!$A:$A, 'Medical Examinations'!F:F, "No Data")</f>
        <v>No</v>
      </c>
      <c r="H2286" s="28">
        <f t="array" ref="H2286">_xlfn.XLOOKUP($A2286, 'Medical Examinations'!$A:$A, 'Medical Examinations'!G:G, "No Data")</f>
        <v>1</v>
      </c>
      <c r="I2286" s="28" t="str">
        <f t="array" ref="I2286">_xlfn.XLOOKUP($A2286, 'Medical Examinations'!$A:$A, 'Medical Examinations'!H:H, "No Data")</f>
        <v>No</v>
      </c>
      <c r="J2286" s="28" t="str">
        <f t="array" ref="J2286">_xlfn.XLOOKUP($A2286, 'Medical Examinations'!$A:$A, 'Medical Examinations'!I:I, "No Data")</f>
        <v>Obesity</v>
      </c>
      <c r="K2286" s="28" t="str">
        <f t="array" ref="K2286">_xlfn.XLOOKUP($A2286, 'Hospitalisation Details'!$A:$A, 'Hospitalisation Details'!I:I, "No Data")</f>
        <v>tier - 2</v>
      </c>
      <c r="L2286" s="28" t="str">
        <f t="array" ref="L2286">_xlfn.XLOOKUP($A2286, 'Hospitalisation Details'!$A:$A, 'Hospitalisation Details'!J:J, "No Data")</f>
        <v>R1013</v>
      </c>
      <c r="M2286" s="28" t="str">
        <f t="array" ref="M2286">_xlfn.XLOOKUP($A2286, 'Hospitalisation Details'!$A:$A, 'Hospitalisation Details'!E:E, "No Data")</f>
        <v>10/06/04</v>
      </c>
      <c r="N2286" s="28">
        <f t="array" ref="N2286">_xlfn.XLOOKUP($A2286, 'Hospitalisation Details'!$A:$A, 'Hospitalisation Details'!K:K, "No Data")</f>
        <v>18</v>
      </c>
      <c r="O2286" s="33">
        <f t="array" ref="O2286">_xlfn.XLOOKUP($A2286, 'Hospitalisation Details'!$A:$A, 'Hospitalisation Details'!G:G, "No Data")</f>
        <v>1146.8</v>
      </c>
      <c r="P2286" s="28" t="str">
        <f t="array" ref="P2286">_xlfn.XLOOKUP($A2286, 'Hospitalisation Details'!$A:$A, 'Hospitalisation Details'!H:H, "No Data")</f>
        <v>tier - 2</v>
      </c>
    </row>
    <row r="2287">
      <c r="A2287" s="25" t="s">
        <v>894</v>
      </c>
      <c r="B2287" s="28" t="str">
        <f t="array" ref="B2287">_xlfn.XLOOKUP($A2287, 'Customer Names'!$A:$A, 'Customer Names'!B:B, "No Data")</f>
        <v>Bain</v>
      </c>
      <c r="C2287" s="28">
        <f t="array" ref="C2287">_xlfn.XLOOKUP($A2287, 'Medical Examinations'!$A:$A, 'Medical Examinations'!B:B, "No Data")</f>
        <v>16.55</v>
      </c>
      <c r="D2287" s="28">
        <f t="array" ref="D2287">_xlfn.XLOOKUP($A2287, 'Medical Examinations'!$A:$A, 'Medical Examinations'!C:C, "No Data")</f>
        <v>7.73</v>
      </c>
      <c r="E2287" s="28" t="str">
        <f t="array" ref="E2287">_xlfn.XLOOKUP($A2287, 'Medical Examinations'!$A:$A, 'Medical Examinations'!D:D, "No Data")</f>
        <v>No</v>
      </c>
      <c r="F2287" s="28" t="str">
        <f t="array" ref="F2287">_xlfn.XLOOKUP($A2287, 'Medical Examinations'!$A:$A, 'Medical Examinations'!E:E, "No Data")</f>
        <v>No</v>
      </c>
      <c r="G2287" s="28" t="str">
        <f t="array" ref="G2287">_xlfn.XLOOKUP($A2287, 'Medical Examinations'!$A:$A, 'Medical Examinations'!F:F, "No Data")</f>
        <v>No</v>
      </c>
      <c r="H2287" s="28">
        <f t="array" ref="H2287">_xlfn.XLOOKUP($A2287, 'Medical Examinations'!$A:$A, 'Medical Examinations'!G:G, "No Data")</f>
        <v>0</v>
      </c>
      <c r="I2287" s="28" t="str">
        <f t="array" ref="I2287">_xlfn.XLOOKUP($A2287, 'Medical Examinations'!$A:$A, 'Medical Examinations'!H:H, "No Data")</f>
        <v>No</v>
      </c>
      <c r="J2287" s="28" t="str">
        <f t="array" ref="J2287">_xlfn.XLOOKUP($A2287, 'Medical Examinations'!$A:$A, 'Medical Examinations'!I:I, "No Data")</f>
        <v>Underweight</v>
      </c>
      <c r="K2287" s="28" t="str">
        <f t="array" ref="K2287">_xlfn.XLOOKUP($A2287, 'Hospitalisation Details'!$A:$A, 'Hospitalisation Details'!I:I, "No Data")</f>
        <v>tier - 2</v>
      </c>
      <c r="L2287" s="28" t="str">
        <f t="array" ref="L2287">_xlfn.XLOOKUP($A2287, 'Hospitalisation Details'!$A:$A, 'Hospitalisation Details'!J:J, "No Data")</f>
        <v>R1011</v>
      </c>
      <c r="M2287" s="28" t="str">
        <f t="array" ref="M2287">_xlfn.XLOOKUP($A2287, 'Hospitalisation Details'!$A:$A, 'Hospitalisation Details'!E:E, "No Data")</f>
        <v>01/10/02</v>
      </c>
      <c r="N2287" s="28">
        <f t="array" ref="N2287">_xlfn.XLOOKUP($A2287, 'Hospitalisation Details'!$A:$A, 'Hospitalisation Details'!K:K, "No Data")</f>
        <v>20</v>
      </c>
      <c r="O2287" s="33">
        <f t="array" ref="O2287">_xlfn.XLOOKUP($A2287, 'Hospitalisation Details'!$A:$A, 'Hospitalisation Details'!G:G, "No Data")</f>
        <v>1142</v>
      </c>
      <c r="P2287" s="28" t="str">
        <f t="array" ref="P2287">_xlfn.XLOOKUP($A2287, 'Hospitalisation Details'!$A:$A, 'Hospitalisation Details'!H:H, "No Data")</f>
        <v>tier - 3</v>
      </c>
    </row>
    <row r="2288">
      <c r="A2288" s="25" t="s">
        <v>887</v>
      </c>
      <c r="B2288" s="28" t="str">
        <f t="array" ref="B2288">_xlfn.XLOOKUP($A2288, 'Customer Names'!$A:$A, 'Customer Names'!B:B, "No Data")</f>
        <v>Albertson</v>
      </c>
      <c r="C2288" s="28">
        <f t="array" ref="C2288">_xlfn.XLOOKUP($A2288, 'Medical Examinations'!$A:$A, 'Medical Examinations'!B:B, "No Data")</f>
        <v>37.29</v>
      </c>
      <c r="D2288" s="28">
        <f t="array" ref="D2288">_xlfn.XLOOKUP($A2288, 'Medical Examinations'!$A:$A, 'Medical Examinations'!C:C, "No Data")</f>
        <v>5.03</v>
      </c>
      <c r="E2288" s="28" t="str">
        <f t="array" ref="E2288">_xlfn.XLOOKUP($A2288, 'Medical Examinations'!$A:$A, 'Medical Examinations'!D:D, "No Data")</f>
        <v>No</v>
      </c>
      <c r="F2288" s="28" t="str">
        <f t="array" ref="F2288">_xlfn.XLOOKUP($A2288, 'Medical Examinations'!$A:$A, 'Medical Examinations'!E:E, "No Data")</f>
        <v>yes</v>
      </c>
      <c r="G2288" s="28" t="str">
        <f t="array" ref="G2288">_xlfn.XLOOKUP($A2288, 'Medical Examinations'!$A:$A, 'Medical Examinations'!F:F, "No Data")</f>
        <v>No</v>
      </c>
      <c r="H2288" s="28">
        <f t="array" ref="H2288">_xlfn.XLOOKUP($A2288, 'Medical Examinations'!$A:$A, 'Medical Examinations'!G:G, "No Data")</f>
        <v>1</v>
      </c>
      <c r="I2288" s="28" t="str">
        <f t="array" ref="I2288">_xlfn.XLOOKUP($A2288, 'Medical Examinations'!$A:$A, 'Medical Examinations'!H:H, "No Data")</f>
        <v>No</v>
      </c>
      <c r="J2288" s="28" t="str">
        <f t="array" ref="J2288">_xlfn.XLOOKUP($A2288, 'Medical Examinations'!$A:$A, 'Medical Examinations'!I:I, "No Data")</f>
        <v>Obesity</v>
      </c>
      <c r="K2288" s="28" t="str">
        <f t="array" ref="K2288">_xlfn.XLOOKUP($A2288, 'Hospitalisation Details'!$A:$A, 'Hospitalisation Details'!I:I, "No Data")</f>
        <v>tier - 3</v>
      </c>
      <c r="L2288" s="28" t="str">
        <f t="array" ref="L2288">_xlfn.XLOOKUP($A2288, 'Hospitalisation Details'!$A:$A, 'Hospitalisation Details'!J:J, "No Data")</f>
        <v>R1013</v>
      </c>
      <c r="M2288" s="28" t="str">
        <f t="array" ref="M2288">_xlfn.XLOOKUP($A2288, 'Hospitalisation Details'!$A:$A, 'Hospitalisation Details'!E:E, "No Data")</f>
        <v>12/09/04</v>
      </c>
      <c r="N2288" s="28">
        <f t="array" ref="N2288">_xlfn.XLOOKUP($A2288, 'Hospitalisation Details'!$A:$A, 'Hospitalisation Details'!K:K, "No Data")</f>
        <v>18</v>
      </c>
      <c r="O2288" s="33">
        <f t="array" ref="O2288">_xlfn.XLOOKUP($A2288, 'Hospitalisation Details'!$A:$A, 'Hospitalisation Details'!G:G, "No Data")</f>
        <v>1141.45</v>
      </c>
      <c r="P2288" s="28" t="str">
        <f t="array" ref="P2288">_xlfn.XLOOKUP($A2288, 'Hospitalisation Details'!$A:$A, 'Hospitalisation Details'!H:H, "No Data")</f>
        <v>tier - 3</v>
      </c>
    </row>
    <row r="2289">
      <c r="A2289" s="25" t="s">
        <v>877</v>
      </c>
      <c r="B2289" s="28" t="str">
        <f t="array" ref="B2289">_xlfn.XLOOKUP($A2289, 'Customer Names'!$A:$A, 'Customer Names'!B:B, "No Data")</f>
        <v>Barger</v>
      </c>
      <c r="C2289" s="28">
        <f t="array" ref="C2289">_xlfn.XLOOKUP($A2289, 'Medical Examinations'!$A:$A, 'Medical Examinations'!B:B, "No Data")</f>
        <v>16.74</v>
      </c>
      <c r="D2289" s="28">
        <f t="array" ref="D2289">_xlfn.XLOOKUP($A2289, 'Medical Examinations'!$A:$A, 'Medical Examinations'!C:C, "No Data")</f>
        <v>4.08</v>
      </c>
      <c r="E2289" s="28" t="str">
        <f t="array" ref="E2289">_xlfn.XLOOKUP($A2289, 'Medical Examinations'!$A:$A, 'Medical Examinations'!D:D, "No Data")</f>
        <v>yes</v>
      </c>
      <c r="F2289" s="28" t="str">
        <f t="array" ref="F2289">_xlfn.XLOOKUP($A2289, 'Medical Examinations'!$A:$A, 'Medical Examinations'!E:E, "No Data")</f>
        <v>No</v>
      </c>
      <c r="G2289" s="28" t="str">
        <f t="array" ref="G2289">_xlfn.XLOOKUP($A2289, 'Medical Examinations'!$A:$A, 'Medical Examinations'!F:F, "No Data")</f>
        <v>No</v>
      </c>
      <c r="H2289" s="28">
        <f t="array" ref="H2289">_xlfn.XLOOKUP($A2289, 'Medical Examinations'!$A:$A, 'Medical Examinations'!G:G, "No Data")</f>
        <v>0</v>
      </c>
      <c r="I2289" s="28" t="str">
        <f t="array" ref="I2289">_xlfn.XLOOKUP($A2289, 'Medical Examinations'!$A:$A, 'Medical Examinations'!H:H, "No Data")</f>
        <v>No</v>
      </c>
      <c r="J2289" s="28" t="str">
        <f t="array" ref="J2289">_xlfn.XLOOKUP($A2289, 'Medical Examinations'!$A:$A, 'Medical Examinations'!I:I, "No Data")</f>
        <v>Underweight</v>
      </c>
      <c r="K2289" s="28" t="str">
        <f t="array" ref="K2289">_xlfn.XLOOKUP($A2289, 'Hospitalisation Details'!$A:$A, 'Hospitalisation Details'!I:I, "No Data")</f>
        <v>tier - 1</v>
      </c>
      <c r="L2289" s="28" t="str">
        <f t="array" ref="L2289">_xlfn.XLOOKUP($A2289, 'Hospitalisation Details'!$A:$A, 'Hospitalisation Details'!J:J, "No Data")</f>
        <v>R1013</v>
      </c>
      <c r="M2289" s="28" t="str">
        <f t="array" ref="M2289">_xlfn.XLOOKUP($A2289, 'Hospitalisation Details'!$A:$A, 'Hospitalisation Details'!E:E, "No Data")</f>
        <v>25/10/01</v>
      </c>
      <c r="N2289" s="28">
        <f t="array" ref="N2289">_xlfn.XLOOKUP($A2289, 'Hospitalisation Details'!$A:$A, 'Hospitalisation Details'!K:K, "No Data")</f>
        <v>21</v>
      </c>
      <c r="O2289" s="33">
        <f t="array" ref="O2289">_xlfn.XLOOKUP($A2289, 'Hospitalisation Details'!$A:$A, 'Hospitalisation Details'!G:G, "No Data")</f>
        <v>1141</v>
      </c>
      <c r="P2289" s="28" t="str">
        <f t="array" ref="P2289">_xlfn.XLOOKUP($A2289, 'Hospitalisation Details'!$A:$A, 'Hospitalisation Details'!H:H, "No Data")</f>
        <v>tier - 3</v>
      </c>
    </row>
    <row r="2290">
      <c r="A2290" s="25" t="s">
        <v>866</v>
      </c>
      <c r="B2290" s="28" t="str">
        <f t="array" ref="B2290">_xlfn.XLOOKUP($A2290, 'Customer Names'!$A:$A, 'Customer Names'!B:B, "No Data")</f>
        <v>Fraioli</v>
      </c>
      <c r="C2290" s="28">
        <f t="array" ref="C2290">_xlfn.XLOOKUP($A2290, 'Medical Examinations'!$A:$A, 'Medical Examinations'!B:B, "No Data")</f>
        <v>34.43</v>
      </c>
      <c r="D2290" s="28">
        <f t="array" ref="D2290">_xlfn.XLOOKUP($A2290, 'Medical Examinations'!$A:$A, 'Medical Examinations'!C:C, "No Data")</f>
        <v>4.27</v>
      </c>
      <c r="E2290" s="28" t="str">
        <f t="array" ref="E2290">_xlfn.XLOOKUP($A2290, 'Medical Examinations'!$A:$A, 'Medical Examinations'!D:D, "No Data")</f>
        <v>No</v>
      </c>
      <c r="F2290" s="28" t="str">
        <f t="array" ref="F2290">_xlfn.XLOOKUP($A2290, 'Medical Examinations'!$A:$A, 'Medical Examinations'!E:E, "No Data")</f>
        <v>yes</v>
      </c>
      <c r="G2290" s="28" t="str">
        <f t="array" ref="G2290">_xlfn.XLOOKUP($A2290, 'Medical Examinations'!$A:$A, 'Medical Examinations'!F:F, "No Data")</f>
        <v>No</v>
      </c>
      <c r="H2290" s="28">
        <f t="array" ref="H2290">_xlfn.XLOOKUP($A2290, 'Medical Examinations'!$A:$A, 'Medical Examinations'!G:G, "No Data")</f>
        <v>1</v>
      </c>
      <c r="I2290" s="28" t="str">
        <f t="array" ref="I2290">_xlfn.XLOOKUP($A2290, 'Medical Examinations'!$A:$A, 'Medical Examinations'!H:H, "No Data")</f>
        <v>No</v>
      </c>
      <c r="J2290" s="28" t="str">
        <f t="array" ref="J2290">_xlfn.XLOOKUP($A2290, 'Medical Examinations'!$A:$A, 'Medical Examinations'!I:I, "No Data")</f>
        <v>Obesity</v>
      </c>
      <c r="K2290" s="28" t="str">
        <f t="array" ref="K2290">_xlfn.XLOOKUP($A2290, 'Hospitalisation Details'!$A:$A, 'Hospitalisation Details'!I:I, "No Data")</f>
        <v>tier - 2</v>
      </c>
      <c r="L2290" s="28" t="str">
        <f t="array" ref="L2290">_xlfn.XLOOKUP($A2290, 'Hospitalisation Details'!$A:$A, 'Hospitalisation Details'!J:J, "No Data")</f>
        <v>R1013</v>
      </c>
      <c r="M2290" s="28" t="str">
        <f t="array" ref="M2290">_xlfn.XLOOKUP($A2290, 'Hospitalisation Details'!$A:$A, 'Hospitalisation Details'!E:E, "No Data")</f>
        <v>27/11/04</v>
      </c>
      <c r="N2290" s="28">
        <f t="array" ref="N2290">_xlfn.XLOOKUP($A2290, 'Hospitalisation Details'!$A:$A, 'Hospitalisation Details'!K:K, "No Data")</f>
        <v>18</v>
      </c>
      <c r="O2290" s="33">
        <f t="array" ref="O2290">_xlfn.XLOOKUP($A2290, 'Hospitalisation Details'!$A:$A, 'Hospitalisation Details'!G:G, "No Data")</f>
        <v>1137.47</v>
      </c>
      <c r="P2290" s="28" t="str">
        <f t="array" ref="P2290">_xlfn.XLOOKUP($A2290, 'Hospitalisation Details'!$A:$A, 'Hospitalisation Details'!H:H, "No Data")</f>
        <v>tier - 3</v>
      </c>
    </row>
    <row r="2291">
      <c r="A2291" s="25" t="s">
        <v>853</v>
      </c>
      <c r="B2291" s="28" t="str">
        <f t="array" ref="B2291">_xlfn.XLOOKUP($A2291, 'Customer Names'!$A:$A, 'Customer Names'!B:B, "No Data")</f>
        <v>April</v>
      </c>
      <c r="C2291" s="28">
        <f t="array" ref="C2291">_xlfn.XLOOKUP($A2291, 'Medical Examinations'!$A:$A, 'Medical Examinations'!B:B, "No Data")</f>
        <v>34.1</v>
      </c>
      <c r="D2291" s="28">
        <f t="array" ref="D2291">_xlfn.XLOOKUP($A2291, 'Medical Examinations'!$A:$A, 'Medical Examinations'!C:C, "No Data")</f>
        <v>4.07</v>
      </c>
      <c r="E2291" s="28" t="str">
        <f t="array" ref="E2291">_xlfn.XLOOKUP($A2291, 'Medical Examinations'!$A:$A, 'Medical Examinations'!D:D, "No Data")</f>
        <v>No</v>
      </c>
      <c r="F2291" s="28" t="str">
        <f t="array" ref="F2291">_xlfn.XLOOKUP($A2291, 'Medical Examinations'!$A:$A, 'Medical Examinations'!E:E, "No Data")</f>
        <v>yes</v>
      </c>
      <c r="G2291" s="28" t="str">
        <f t="array" ref="G2291">_xlfn.XLOOKUP($A2291, 'Medical Examinations'!$A:$A, 'Medical Examinations'!F:F, "No Data")</f>
        <v>No</v>
      </c>
      <c r="H2291" s="28">
        <f t="array" ref="H2291">_xlfn.XLOOKUP($A2291, 'Medical Examinations'!$A:$A, 'Medical Examinations'!G:G, "No Data")</f>
        <v>1</v>
      </c>
      <c r="I2291" s="28" t="str">
        <f t="array" ref="I2291">_xlfn.XLOOKUP($A2291, 'Medical Examinations'!$A:$A, 'Medical Examinations'!H:H, "No Data")</f>
        <v>No</v>
      </c>
      <c r="J2291" s="28" t="str">
        <f t="array" ref="J2291">_xlfn.XLOOKUP($A2291, 'Medical Examinations'!$A:$A, 'Medical Examinations'!I:I, "No Data")</f>
        <v>Obesity</v>
      </c>
      <c r="K2291" s="28" t="str">
        <f t="array" ref="K2291">_xlfn.XLOOKUP($A2291, 'Hospitalisation Details'!$A:$A, 'Hospitalisation Details'!I:I, "No Data")</f>
        <v>tier - 1</v>
      </c>
      <c r="L2291" s="28" t="str">
        <f t="array" ref="L2291">_xlfn.XLOOKUP($A2291, 'Hospitalisation Details'!$A:$A, 'Hospitalisation Details'!J:J, "No Data")</f>
        <v>R1013</v>
      </c>
      <c r="M2291" s="28" t="str">
        <f t="array" ref="M2291">_xlfn.XLOOKUP($A2291, 'Hospitalisation Details'!$A:$A, 'Hospitalisation Details'!E:E, "No Data")</f>
        <v>15/10/04</v>
      </c>
      <c r="N2291" s="28">
        <f t="array" ref="N2291">_xlfn.XLOOKUP($A2291, 'Hospitalisation Details'!$A:$A, 'Hospitalisation Details'!K:K, "No Data")</f>
        <v>18</v>
      </c>
      <c r="O2291" s="33">
        <f t="array" ref="O2291">_xlfn.XLOOKUP($A2291, 'Hospitalisation Details'!$A:$A, 'Hospitalisation Details'!G:G, "No Data")</f>
        <v>1137.01</v>
      </c>
      <c r="P2291" s="28" t="str">
        <f t="array" ref="P2291">_xlfn.XLOOKUP($A2291, 'Hospitalisation Details'!$A:$A, 'Hospitalisation Details'!H:H, "No Data")</f>
        <v>tier - 3</v>
      </c>
    </row>
    <row r="2292">
      <c r="A2292" s="25" t="s">
        <v>852</v>
      </c>
      <c r="B2292" s="28" t="str">
        <f t="array" ref="B2292">_xlfn.XLOOKUP($A2292, 'Customer Names'!$A:$A, 'Customer Names'!B:B, "No Data")</f>
        <v>King</v>
      </c>
      <c r="C2292" s="28">
        <f t="array" ref="C2292">_xlfn.XLOOKUP($A2292, 'Medical Examinations'!$A:$A, 'Medical Examinations'!B:B, "No Data")</f>
        <v>19.3</v>
      </c>
      <c r="D2292" s="28">
        <f t="array" ref="D2292">_xlfn.XLOOKUP($A2292, 'Medical Examinations'!$A:$A, 'Medical Examinations'!C:C, "No Data")</f>
        <v>10.36</v>
      </c>
      <c r="E2292" s="28" t="str">
        <f t="array" ref="E2292">_xlfn.XLOOKUP($A2292, 'Medical Examinations'!$A:$A, 'Medical Examinations'!D:D, "No Data")</f>
        <v>No</v>
      </c>
      <c r="F2292" s="28" t="str">
        <f t="array" ref="F2292">_xlfn.XLOOKUP($A2292, 'Medical Examinations'!$A:$A, 'Medical Examinations'!E:E, "No Data")</f>
        <v>No</v>
      </c>
      <c r="G2292" s="28" t="str">
        <f t="array" ref="G2292">_xlfn.XLOOKUP($A2292, 'Medical Examinations'!$A:$A, 'Medical Examinations'!F:F, "No Data")</f>
        <v>No</v>
      </c>
      <c r="H2292" s="28">
        <f t="array" ref="H2292">_xlfn.XLOOKUP($A2292, 'Medical Examinations'!$A:$A, 'Medical Examinations'!G:G, "No Data")</f>
        <v>0</v>
      </c>
      <c r="I2292" s="28" t="str">
        <f t="array" ref="I2292">_xlfn.XLOOKUP($A2292, 'Medical Examinations'!$A:$A, 'Medical Examinations'!H:H, "No Data")</f>
        <v>No</v>
      </c>
      <c r="J2292" s="28" t="str">
        <f t="array" ref="J2292">_xlfn.XLOOKUP($A2292, 'Medical Examinations'!$A:$A, 'Medical Examinations'!I:I, "No Data")</f>
        <v>Normal Weight</v>
      </c>
      <c r="K2292" s="28" t="str">
        <f t="array" ref="K2292">_xlfn.XLOOKUP($A2292, 'Hospitalisation Details'!$A:$A, 'Hospitalisation Details'!I:I, "No Data")</f>
        <v>tier - 1</v>
      </c>
      <c r="L2292" s="28" t="str">
        <f t="array" ref="L2292">_xlfn.XLOOKUP($A2292, 'Hospitalisation Details'!$A:$A, 'Hospitalisation Details'!J:J, "No Data")</f>
        <v>R1013</v>
      </c>
      <c r="M2292" s="28" t="str">
        <f t="array" ref="M2292">_xlfn.XLOOKUP($A2292, 'Hospitalisation Details'!$A:$A, 'Hospitalisation Details'!E:E, "No Data")</f>
        <v>11/08/02</v>
      </c>
      <c r="N2292" s="28">
        <f t="array" ref="N2292">_xlfn.XLOOKUP($A2292, 'Hospitalisation Details'!$A:$A, 'Hospitalisation Details'!K:K, "No Data")</f>
        <v>20</v>
      </c>
      <c r="O2292" s="33">
        <f t="array" ref="O2292">_xlfn.XLOOKUP($A2292, 'Hospitalisation Details'!$A:$A, 'Hospitalisation Details'!G:G, "No Data")</f>
        <v>1137</v>
      </c>
      <c r="P2292" s="28" t="str">
        <f t="array" ref="P2292">_xlfn.XLOOKUP($A2292, 'Hospitalisation Details'!$A:$A, 'Hospitalisation Details'!H:H, "No Data")</f>
        <v>tier - 3</v>
      </c>
    </row>
    <row r="2293">
      <c r="A2293" s="25" t="s">
        <v>851</v>
      </c>
      <c r="B2293" s="28" t="str">
        <f t="array" ref="B2293">_xlfn.XLOOKUP($A2293, 'Customer Names'!$A:$A, 'Customer Names'!B:B, "No Data")</f>
        <v>Talhelm</v>
      </c>
      <c r="C2293" s="28">
        <f t="array" ref="C2293">_xlfn.XLOOKUP($A2293, 'Medical Examinations'!$A:$A, 'Medical Examinations'!B:B, "No Data")</f>
        <v>33.66</v>
      </c>
      <c r="D2293" s="28">
        <f t="array" ref="D2293">_xlfn.XLOOKUP($A2293, 'Medical Examinations'!$A:$A, 'Medical Examinations'!C:C, "No Data")</f>
        <v>5.71</v>
      </c>
      <c r="E2293" s="28" t="str">
        <f t="array" ref="E2293">_xlfn.XLOOKUP($A2293, 'Medical Examinations'!$A:$A, 'Medical Examinations'!D:D, "No Data")</f>
        <v>No</v>
      </c>
      <c r="F2293" s="28" t="str">
        <f t="array" ref="F2293">_xlfn.XLOOKUP($A2293, 'Medical Examinations'!$A:$A, 'Medical Examinations'!E:E, "No Data")</f>
        <v>yes</v>
      </c>
      <c r="G2293" s="28" t="str">
        <f t="array" ref="G2293">_xlfn.XLOOKUP($A2293, 'Medical Examinations'!$A:$A, 'Medical Examinations'!F:F, "No Data")</f>
        <v>No</v>
      </c>
      <c r="H2293" s="28">
        <f t="array" ref="H2293">_xlfn.XLOOKUP($A2293, 'Medical Examinations'!$A:$A, 'Medical Examinations'!G:G, "No Data")</f>
        <v>1</v>
      </c>
      <c r="I2293" s="28" t="str">
        <f t="array" ref="I2293">_xlfn.XLOOKUP($A2293, 'Medical Examinations'!$A:$A, 'Medical Examinations'!H:H, "No Data")</f>
        <v>No</v>
      </c>
      <c r="J2293" s="28" t="str">
        <f t="array" ref="J2293">_xlfn.XLOOKUP($A2293, 'Medical Examinations'!$A:$A, 'Medical Examinations'!I:I, "No Data")</f>
        <v>Obesity</v>
      </c>
      <c r="K2293" s="28" t="str">
        <f t="array" ref="K2293">_xlfn.XLOOKUP($A2293, 'Hospitalisation Details'!$A:$A, 'Hospitalisation Details'!I:I, "No Data")</f>
        <v>tier - 3</v>
      </c>
      <c r="L2293" s="28" t="str">
        <f t="array" ref="L2293">_xlfn.XLOOKUP($A2293, 'Hospitalisation Details'!$A:$A, 'Hospitalisation Details'!J:J, "No Data")</f>
        <v>R1013</v>
      </c>
      <c r="M2293" s="28" t="str">
        <f t="array" ref="M2293">_xlfn.XLOOKUP($A2293, 'Hospitalisation Details'!$A:$A, 'Hospitalisation Details'!E:E, "No Data")</f>
        <v>28/11/04</v>
      </c>
      <c r="N2293" s="28">
        <f t="array" ref="N2293">_xlfn.XLOOKUP($A2293, 'Hospitalisation Details'!$A:$A, 'Hospitalisation Details'!K:K, "No Data")</f>
        <v>18</v>
      </c>
      <c r="O2293" s="33">
        <f t="array" ref="O2293">_xlfn.XLOOKUP($A2293, 'Hospitalisation Details'!$A:$A, 'Hospitalisation Details'!G:G, "No Data")</f>
        <v>1136.4</v>
      </c>
      <c r="P2293" s="28" t="str">
        <f t="array" ref="P2293">_xlfn.XLOOKUP($A2293, 'Hospitalisation Details'!$A:$A, 'Hospitalisation Details'!H:H, "No Data")</f>
        <v>tier - 3</v>
      </c>
    </row>
    <row r="2294">
      <c r="A2294" s="25" t="s">
        <v>842</v>
      </c>
      <c r="B2294" s="28" t="str">
        <f t="array" ref="B2294">_xlfn.XLOOKUP($A2294, 'Customer Names'!$A:$A, 'Customer Names'!B:B, "No Data")</f>
        <v>Regnier</v>
      </c>
      <c r="C2294" s="28">
        <f t="array" ref="C2294">_xlfn.XLOOKUP($A2294, 'Medical Examinations'!$A:$A, 'Medical Examinations'!B:B, "No Data")</f>
        <v>33.33</v>
      </c>
      <c r="D2294" s="28">
        <f t="array" ref="D2294">_xlfn.XLOOKUP($A2294, 'Medical Examinations'!$A:$A, 'Medical Examinations'!C:C, "No Data")</f>
        <v>6.08</v>
      </c>
      <c r="E2294" s="28" t="str">
        <f t="array" ref="E2294">_xlfn.XLOOKUP($A2294, 'Medical Examinations'!$A:$A, 'Medical Examinations'!D:D, "No Data")</f>
        <v>No</v>
      </c>
      <c r="F2294" s="28" t="str">
        <f t="array" ref="F2294">_xlfn.XLOOKUP($A2294, 'Medical Examinations'!$A:$A, 'Medical Examinations'!E:E, "No Data")</f>
        <v>yes</v>
      </c>
      <c r="G2294" s="28" t="str">
        <f t="array" ref="G2294">_xlfn.XLOOKUP($A2294, 'Medical Examinations'!$A:$A, 'Medical Examinations'!F:F, "No Data")</f>
        <v>No</v>
      </c>
      <c r="H2294" s="28">
        <f t="array" ref="H2294">_xlfn.XLOOKUP($A2294, 'Medical Examinations'!$A:$A, 'Medical Examinations'!G:G, "No Data")</f>
        <v>1</v>
      </c>
      <c r="I2294" s="28" t="str">
        <f t="array" ref="I2294">_xlfn.XLOOKUP($A2294, 'Medical Examinations'!$A:$A, 'Medical Examinations'!H:H, "No Data")</f>
        <v>No</v>
      </c>
      <c r="J2294" s="28" t="str">
        <f t="array" ref="J2294">_xlfn.XLOOKUP($A2294, 'Medical Examinations'!$A:$A, 'Medical Examinations'!I:I, "No Data")</f>
        <v>Obesity</v>
      </c>
      <c r="K2294" s="28" t="str">
        <f t="array" ref="K2294">_xlfn.XLOOKUP($A2294, 'Hospitalisation Details'!$A:$A, 'Hospitalisation Details'!I:I, "No Data")</f>
        <v>tier - 3</v>
      </c>
      <c r="L2294" s="28" t="str">
        <f t="array" ref="L2294">_xlfn.XLOOKUP($A2294, 'Hospitalisation Details'!$A:$A, 'Hospitalisation Details'!J:J, "No Data")</f>
        <v>R1013</v>
      </c>
      <c r="M2294" s="28" t="str">
        <f t="array" ref="M2294">_xlfn.XLOOKUP($A2294, 'Hospitalisation Details'!$A:$A, 'Hospitalisation Details'!E:E, "No Data")</f>
        <v>11/06/04</v>
      </c>
      <c r="N2294" s="28">
        <f t="array" ref="N2294">_xlfn.XLOOKUP($A2294, 'Hospitalisation Details'!$A:$A, 'Hospitalisation Details'!K:K, "No Data")</f>
        <v>18</v>
      </c>
      <c r="O2294" s="33">
        <f t="array" ref="O2294">_xlfn.XLOOKUP($A2294, 'Hospitalisation Details'!$A:$A, 'Hospitalisation Details'!G:G, "No Data")</f>
        <v>1135.94</v>
      </c>
      <c r="P2294" s="28" t="str">
        <f t="array" ref="P2294">_xlfn.XLOOKUP($A2294, 'Hospitalisation Details'!$A:$A, 'Hospitalisation Details'!H:H, "No Data")</f>
        <v>tier - 3</v>
      </c>
    </row>
    <row r="2295">
      <c r="A2295" s="25" t="s">
        <v>829</v>
      </c>
      <c r="B2295" s="28" t="str">
        <f t="array" ref="B2295">_xlfn.XLOOKUP($A2295, 'Customer Names'!$A:$A, 'Customer Names'!B:B, "No Data")</f>
        <v>Treece</v>
      </c>
      <c r="C2295" s="28">
        <f t="array" ref="C2295">_xlfn.XLOOKUP($A2295, 'Medical Examinations'!$A:$A, 'Medical Examinations'!B:B, "No Data")</f>
        <v>21.84</v>
      </c>
      <c r="D2295" s="28">
        <f t="array" ref="D2295">_xlfn.XLOOKUP($A2295, 'Medical Examinations'!$A:$A, 'Medical Examinations'!C:C, "No Data")</f>
        <v>5.71</v>
      </c>
      <c r="E2295" s="28" t="str">
        <f t="array" ref="E2295">_xlfn.XLOOKUP($A2295, 'Medical Examinations'!$A:$A, 'Medical Examinations'!D:D, "No Data")</f>
        <v>No</v>
      </c>
      <c r="F2295" s="28" t="str">
        <f t="array" ref="F2295">_xlfn.XLOOKUP($A2295, 'Medical Examinations'!$A:$A, 'Medical Examinations'!E:E, "No Data")</f>
        <v>yes</v>
      </c>
      <c r="G2295" s="28" t="str">
        <f t="array" ref="G2295">_xlfn.XLOOKUP($A2295, 'Medical Examinations'!$A:$A, 'Medical Examinations'!F:F, "No Data")</f>
        <v>No</v>
      </c>
      <c r="H2295" s="28">
        <f t="array" ref="H2295">_xlfn.XLOOKUP($A2295, 'Medical Examinations'!$A:$A, 'Medical Examinations'!G:G, "No Data")</f>
        <v>1</v>
      </c>
      <c r="I2295" s="28" t="str">
        <f t="array" ref="I2295">_xlfn.XLOOKUP($A2295, 'Medical Examinations'!$A:$A, 'Medical Examinations'!H:H, "No Data")</f>
        <v>No</v>
      </c>
      <c r="J2295" s="28" t="str">
        <f t="array" ref="J2295">_xlfn.XLOOKUP($A2295, 'Medical Examinations'!$A:$A, 'Medical Examinations'!I:I, "No Data")</f>
        <v>Normal Weight</v>
      </c>
      <c r="K2295" s="28" t="str">
        <f t="array" ref="K2295">_xlfn.XLOOKUP($A2295, 'Hospitalisation Details'!$A:$A, 'Hospitalisation Details'!I:I, "No Data")</f>
        <v>tier - 3</v>
      </c>
      <c r="L2295" s="28" t="str">
        <f t="array" ref="L2295">_xlfn.XLOOKUP($A2295, 'Hospitalisation Details'!$A:$A, 'Hospitalisation Details'!J:J, "No Data")</f>
        <v>R1013</v>
      </c>
      <c r="M2295" s="28" t="str">
        <f t="array" ref="M2295">_xlfn.XLOOKUP($A2295, 'Hospitalisation Details'!$A:$A, 'Hospitalisation Details'!E:E, "No Data")</f>
        <v>06/10/04</v>
      </c>
      <c r="N2295" s="28">
        <f t="array" ref="N2295">_xlfn.XLOOKUP($A2295, 'Hospitalisation Details'!$A:$A, 'Hospitalisation Details'!K:K, "No Data")</f>
        <v>18</v>
      </c>
      <c r="O2295" s="33">
        <f t="array" ref="O2295">_xlfn.XLOOKUP($A2295, 'Hospitalisation Details'!$A:$A, 'Hospitalisation Details'!G:G, "No Data")</f>
        <v>1135</v>
      </c>
      <c r="P2295" s="28" t="str">
        <f t="array" ref="P2295">_xlfn.XLOOKUP($A2295, 'Hospitalisation Details'!$A:$A, 'Hospitalisation Details'!H:H, "No Data")</f>
        <v>tier - 3</v>
      </c>
    </row>
    <row r="2296">
      <c r="A2296" s="25" t="s">
        <v>777</v>
      </c>
      <c r="B2296" s="28" t="str">
        <f t="array" ref="B2296">_xlfn.XLOOKUP($A2296, 'Customer Names'!$A:$A, 'Customer Names'!B:B, "No Data")</f>
        <v>Beisel</v>
      </c>
      <c r="C2296" s="28">
        <f t="array" ref="C2296">_xlfn.XLOOKUP($A2296, 'Medical Examinations'!$A:$A, 'Medical Examinations'!B:B, "No Data")</f>
        <v>16.87</v>
      </c>
      <c r="D2296" s="28">
        <f t="array" ref="D2296">_xlfn.XLOOKUP($A2296, 'Medical Examinations'!$A:$A, 'Medical Examinations'!C:C, "No Data")</f>
        <v>9.13</v>
      </c>
      <c r="E2296" s="28" t="str">
        <f t="array" ref="E2296">_xlfn.XLOOKUP($A2296, 'Medical Examinations'!$A:$A, 'Medical Examinations'!D:D, "No Data")</f>
        <v>No</v>
      </c>
      <c r="F2296" s="28" t="str">
        <f t="array" ref="F2296">_xlfn.XLOOKUP($A2296, 'Medical Examinations'!$A:$A, 'Medical Examinations'!E:E, "No Data")</f>
        <v>No</v>
      </c>
      <c r="G2296" s="28" t="str">
        <f t="array" ref="G2296">_xlfn.XLOOKUP($A2296, 'Medical Examinations'!$A:$A, 'Medical Examinations'!F:F, "No Data")</f>
        <v>No</v>
      </c>
      <c r="H2296" s="28">
        <f t="array" ref="H2296">_xlfn.XLOOKUP($A2296, 'Medical Examinations'!$A:$A, 'Medical Examinations'!G:G, "No Data")</f>
        <v>0</v>
      </c>
      <c r="I2296" s="28" t="str">
        <f t="array" ref="I2296">_xlfn.XLOOKUP($A2296, 'Medical Examinations'!$A:$A, 'Medical Examinations'!H:H, "No Data")</f>
        <v>No</v>
      </c>
      <c r="J2296" s="28" t="str">
        <f t="array" ref="J2296">_xlfn.XLOOKUP($A2296, 'Medical Examinations'!$A:$A, 'Medical Examinations'!I:I, "No Data")</f>
        <v>Underweight</v>
      </c>
      <c r="K2296" s="28" t="str">
        <f t="array" ref="K2296">_xlfn.XLOOKUP($A2296, 'Hospitalisation Details'!$A:$A, 'Hospitalisation Details'!I:I, "No Data")</f>
        <v>tier - 1</v>
      </c>
      <c r="L2296" s="28" t="str">
        <f t="array" ref="L2296">_xlfn.XLOOKUP($A2296, 'Hospitalisation Details'!$A:$A, 'Hospitalisation Details'!J:J, "No Data")</f>
        <v>R1013</v>
      </c>
      <c r="M2296" s="28" t="str">
        <f t="array" ref="M2296">_xlfn.XLOOKUP($A2296, 'Hospitalisation Details'!$A:$A, 'Hospitalisation Details'!E:E, "No Data")</f>
        <v>19/07/02</v>
      </c>
      <c r="N2296" s="28">
        <f t="array" ref="N2296">_xlfn.XLOOKUP($A2296, 'Hospitalisation Details'!$A:$A, 'Hospitalisation Details'!K:K, "No Data")</f>
        <v>20</v>
      </c>
      <c r="O2296" s="33">
        <f t="array" ref="O2296">_xlfn.XLOOKUP($A2296, 'Hospitalisation Details'!$A:$A, 'Hospitalisation Details'!G:G, "No Data")</f>
        <v>1132</v>
      </c>
      <c r="P2296" s="28" t="str">
        <f t="array" ref="P2296">_xlfn.XLOOKUP($A2296, 'Hospitalisation Details'!$A:$A, 'Hospitalisation Details'!H:H, "No Data")</f>
        <v>tier - 3</v>
      </c>
    </row>
    <row r="2297">
      <c r="A2297" s="25" t="s">
        <v>761</v>
      </c>
      <c r="B2297" s="28" t="str">
        <f t="array" ref="B2297">_xlfn.XLOOKUP($A2297, 'Customer Names'!$A:$A, 'Customer Names'!B:B, "No Data")</f>
        <v>Enke</v>
      </c>
      <c r="C2297" s="28">
        <f t="array" ref="C2297">_xlfn.XLOOKUP($A2297, 'Medical Examinations'!$A:$A, 'Medical Examinations'!B:B, "No Data")</f>
        <v>30.14</v>
      </c>
      <c r="D2297" s="28">
        <f t="array" ref="D2297">_xlfn.XLOOKUP($A2297, 'Medical Examinations'!$A:$A, 'Medical Examinations'!C:C, "No Data")</f>
        <v>5.49</v>
      </c>
      <c r="E2297" s="28" t="str">
        <f t="array" ref="E2297">_xlfn.XLOOKUP($A2297, 'Medical Examinations'!$A:$A, 'Medical Examinations'!D:D, "No Data")</f>
        <v>No</v>
      </c>
      <c r="F2297" s="28" t="str">
        <f t="array" ref="F2297">_xlfn.XLOOKUP($A2297, 'Medical Examinations'!$A:$A, 'Medical Examinations'!E:E, "No Data")</f>
        <v>yes</v>
      </c>
      <c r="G2297" s="28" t="str">
        <f t="array" ref="G2297">_xlfn.XLOOKUP($A2297, 'Medical Examinations'!$A:$A, 'Medical Examinations'!F:F, "No Data")</f>
        <v>No</v>
      </c>
      <c r="H2297" s="28">
        <f t="array" ref="H2297">_xlfn.XLOOKUP($A2297, 'Medical Examinations'!$A:$A, 'Medical Examinations'!G:G, "No Data")</f>
        <v>1</v>
      </c>
      <c r="I2297" s="28" t="str">
        <f t="array" ref="I2297">_xlfn.XLOOKUP($A2297, 'Medical Examinations'!$A:$A, 'Medical Examinations'!H:H, "No Data")</f>
        <v>No</v>
      </c>
      <c r="J2297" s="28" t="str">
        <f t="array" ref="J2297">_xlfn.XLOOKUP($A2297, 'Medical Examinations'!$A:$A, 'Medical Examinations'!I:I, "No Data")</f>
        <v>Obesity</v>
      </c>
      <c r="K2297" s="28" t="str">
        <f t="array" ref="K2297">_xlfn.XLOOKUP($A2297, 'Hospitalisation Details'!$A:$A, 'Hospitalisation Details'!I:I, "No Data")</f>
        <v>tier - 1</v>
      </c>
      <c r="L2297" s="28" t="str">
        <f t="array" ref="L2297">_xlfn.XLOOKUP($A2297, 'Hospitalisation Details'!$A:$A, 'Hospitalisation Details'!J:J, "No Data")</f>
        <v>R1013</v>
      </c>
      <c r="M2297" s="28" t="str">
        <f t="array" ref="M2297">_xlfn.XLOOKUP($A2297, 'Hospitalisation Details'!$A:$A, 'Hospitalisation Details'!E:E, "No Data")</f>
        <v>14/06/04</v>
      </c>
      <c r="N2297" s="28">
        <f t="array" ref="N2297">_xlfn.XLOOKUP($A2297, 'Hospitalisation Details'!$A:$A, 'Hospitalisation Details'!K:K, "No Data")</f>
        <v>18</v>
      </c>
      <c r="O2297" s="33">
        <f t="array" ref="O2297">_xlfn.XLOOKUP($A2297, 'Hospitalisation Details'!$A:$A, 'Hospitalisation Details'!G:G, "No Data")</f>
        <v>1131.51</v>
      </c>
      <c r="P2297" s="28" t="str">
        <f t="array" ref="P2297">_xlfn.XLOOKUP($A2297, 'Hospitalisation Details'!$A:$A, 'Hospitalisation Details'!H:H, "No Data")</f>
        <v>tier - 3</v>
      </c>
    </row>
    <row r="2298">
      <c r="A2298" s="25" t="s">
        <v>750</v>
      </c>
      <c r="B2298" s="28" t="str">
        <f t="array" ref="B2298">_xlfn.XLOOKUP($A2298, 'Customer Names'!$A:$A, 'Customer Names'!B:B, "No Data")</f>
        <v>Ruiz-Tagle Barros</v>
      </c>
      <c r="C2298" s="28">
        <f t="array" ref="C2298">_xlfn.XLOOKUP($A2298, 'Medical Examinations'!$A:$A, 'Medical Examinations'!B:B, "No Data")</f>
        <v>23.21</v>
      </c>
      <c r="D2298" s="28">
        <f t="array" ref="D2298">_xlfn.XLOOKUP($A2298, 'Medical Examinations'!$A:$A, 'Medical Examinations'!C:C, "No Data")</f>
        <v>4.37</v>
      </c>
      <c r="E2298" s="28" t="str">
        <f t="array" ref="E2298">_xlfn.XLOOKUP($A2298, 'Medical Examinations'!$A:$A, 'Medical Examinations'!D:D, "No Data")</f>
        <v>No</v>
      </c>
      <c r="F2298" s="28" t="str">
        <f t="array" ref="F2298">_xlfn.XLOOKUP($A2298, 'Medical Examinations'!$A:$A, 'Medical Examinations'!E:E, "No Data")</f>
        <v>yes</v>
      </c>
      <c r="G2298" s="28" t="str">
        <f t="array" ref="G2298">_xlfn.XLOOKUP($A2298, 'Medical Examinations'!$A:$A, 'Medical Examinations'!F:F, "No Data")</f>
        <v>No</v>
      </c>
      <c r="H2298" s="28">
        <f t="array" ref="H2298">_xlfn.XLOOKUP($A2298, 'Medical Examinations'!$A:$A, 'Medical Examinations'!G:G, "No Data")</f>
        <v>1</v>
      </c>
      <c r="I2298" s="28" t="str">
        <f t="array" ref="I2298">_xlfn.XLOOKUP($A2298, 'Medical Examinations'!$A:$A, 'Medical Examinations'!H:H, "No Data")</f>
        <v>No</v>
      </c>
      <c r="J2298" s="28" t="str">
        <f t="array" ref="J2298">_xlfn.XLOOKUP($A2298, 'Medical Examinations'!$A:$A, 'Medical Examinations'!I:I, "No Data")</f>
        <v>Normal Weight</v>
      </c>
      <c r="K2298" s="28" t="str">
        <f t="array" ref="K2298">_xlfn.XLOOKUP($A2298, 'Hospitalisation Details'!$A:$A, 'Hospitalisation Details'!I:I, "No Data")</f>
        <v>tier - 1</v>
      </c>
      <c r="L2298" s="28" t="str">
        <f t="array" ref="L2298">_xlfn.XLOOKUP($A2298, 'Hospitalisation Details'!$A:$A, 'Hospitalisation Details'!J:J, "No Data")</f>
        <v>R1013</v>
      </c>
      <c r="M2298" s="28" t="str">
        <f t="array" ref="M2298">_xlfn.XLOOKUP($A2298, 'Hospitalisation Details'!$A:$A, 'Hospitalisation Details'!E:E, "No Data")</f>
        <v>12/11/04</v>
      </c>
      <c r="N2298" s="28">
        <f t="array" ref="N2298">_xlfn.XLOOKUP($A2298, 'Hospitalisation Details'!$A:$A, 'Hospitalisation Details'!K:K, "No Data")</f>
        <v>18</v>
      </c>
      <c r="O2298" s="33">
        <f t="array" ref="O2298">_xlfn.XLOOKUP($A2298, 'Hospitalisation Details'!$A:$A, 'Hospitalisation Details'!G:G, "No Data")</f>
        <v>1121.87</v>
      </c>
      <c r="P2298" s="28" t="str">
        <f t="array" ref="P2298">_xlfn.XLOOKUP($A2298, 'Hospitalisation Details'!$A:$A, 'Hospitalisation Details'!H:H, "No Data")</f>
        <v>tier - 3</v>
      </c>
    </row>
    <row r="2299">
      <c r="A2299" s="25" t="s">
        <v>737</v>
      </c>
      <c r="B2299" s="28" t="str">
        <f t="array" ref="B2299">_xlfn.XLOOKUP($A2299, 'Customer Names'!$A:$A, 'Customer Names'!B:B, "No Data")</f>
        <v>Ferrell</v>
      </c>
      <c r="C2299" s="28">
        <f t="array" ref="C2299">_xlfn.XLOOKUP($A2299, 'Medical Examinations'!$A:$A, 'Medical Examinations'!B:B, "No Data")</f>
        <v>17.17</v>
      </c>
      <c r="D2299" s="28">
        <f t="array" ref="D2299">_xlfn.XLOOKUP($A2299, 'Medical Examinations'!$A:$A, 'Medical Examinations'!C:C, "No Data")</f>
        <v>8.46</v>
      </c>
      <c r="E2299" s="28" t="str">
        <f t="array" ref="E2299">_xlfn.XLOOKUP($A2299, 'Medical Examinations'!$A:$A, 'Medical Examinations'!D:D, "No Data")</f>
        <v>No</v>
      </c>
      <c r="F2299" s="28" t="str">
        <f t="array" ref="F2299">_xlfn.XLOOKUP($A2299, 'Medical Examinations'!$A:$A, 'Medical Examinations'!E:E, "No Data")</f>
        <v>No</v>
      </c>
      <c r="G2299" s="28" t="str">
        <f t="array" ref="G2299">_xlfn.XLOOKUP($A2299, 'Medical Examinations'!$A:$A, 'Medical Examinations'!F:F, "No Data")</f>
        <v>No</v>
      </c>
      <c r="H2299" s="28">
        <f t="array" ref="H2299">_xlfn.XLOOKUP($A2299, 'Medical Examinations'!$A:$A, 'Medical Examinations'!G:G, "No Data")</f>
        <v>0</v>
      </c>
      <c r="I2299" s="28" t="str">
        <f t="array" ref="I2299">_xlfn.XLOOKUP($A2299, 'Medical Examinations'!$A:$A, 'Medical Examinations'!H:H, "No Data")</f>
        <v>No</v>
      </c>
      <c r="J2299" s="28" t="str">
        <f t="array" ref="J2299">_xlfn.XLOOKUP($A2299, 'Medical Examinations'!$A:$A, 'Medical Examinations'!I:I, "No Data")</f>
        <v>Underweight</v>
      </c>
      <c r="K2299" s="28" t="str">
        <f t="array" ref="K2299">_xlfn.XLOOKUP($A2299, 'Hospitalisation Details'!$A:$A, 'Hospitalisation Details'!I:I, "No Data")</f>
        <v>tier - 3</v>
      </c>
      <c r="L2299" s="28" t="str">
        <f t="array" ref="L2299">_xlfn.XLOOKUP($A2299, 'Hospitalisation Details'!$A:$A, 'Hospitalisation Details'!J:J, "No Data")</f>
        <v>R1013</v>
      </c>
      <c r="M2299" s="28" t="str">
        <f t="array" ref="M2299">_xlfn.XLOOKUP($A2299, 'Hospitalisation Details'!$A:$A, 'Hospitalisation Details'!E:E, "No Data")</f>
        <v>13/08/02</v>
      </c>
      <c r="N2299" s="28">
        <f t="array" ref="N2299">_xlfn.XLOOKUP($A2299, 'Hospitalisation Details'!$A:$A, 'Hospitalisation Details'!K:K, "No Data")</f>
        <v>20</v>
      </c>
      <c r="O2299" s="33">
        <f t="array" ref="O2299">_xlfn.XLOOKUP($A2299, 'Hospitalisation Details'!$A:$A, 'Hospitalisation Details'!G:G, "No Data")</f>
        <v>1086</v>
      </c>
      <c r="P2299" s="28" t="str">
        <f t="array" ref="P2299">_xlfn.XLOOKUP($A2299, 'Hospitalisation Details'!$A:$A, 'Hospitalisation Details'!H:H, "No Data")</f>
        <v>tier - 3</v>
      </c>
    </row>
    <row r="2300">
      <c r="A2300" s="25" t="s">
        <v>727</v>
      </c>
      <c r="B2300" s="28" t="str">
        <f t="array" ref="B2300">_xlfn.XLOOKUP($A2300, 'Customer Names'!$A:$A, 'Customer Names'!B:B, "No Data")</f>
        <v>Gates</v>
      </c>
      <c r="C2300" s="28">
        <f t="array" ref="C2300">_xlfn.XLOOKUP($A2300, 'Medical Examinations'!$A:$A, 'Medical Examinations'!B:B, "No Data")</f>
        <v>15.61</v>
      </c>
      <c r="D2300" s="28">
        <f t="array" ref="D2300">_xlfn.XLOOKUP($A2300, 'Medical Examinations'!$A:$A, 'Medical Examinations'!C:C, "No Data")</f>
        <v>5.28</v>
      </c>
      <c r="E2300" s="28" t="str">
        <f t="array" ref="E2300">_xlfn.XLOOKUP($A2300, 'Medical Examinations'!$A:$A, 'Medical Examinations'!D:D, "No Data")</f>
        <v>No</v>
      </c>
      <c r="F2300" s="28" t="str">
        <f t="array" ref="F2300">_xlfn.XLOOKUP($A2300, 'Medical Examinations'!$A:$A, 'Medical Examinations'!E:E, "No Data")</f>
        <v>No</v>
      </c>
      <c r="G2300" s="28" t="str">
        <f t="array" ref="G2300">_xlfn.XLOOKUP($A2300, 'Medical Examinations'!$A:$A, 'Medical Examinations'!F:F, "No Data")</f>
        <v>No</v>
      </c>
      <c r="H2300" s="28">
        <f t="array" ref="H2300">_xlfn.XLOOKUP($A2300, 'Medical Examinations'!$A:$A, 'Medical Examinations'!G:G, "No Data")</f>
        <v>1</v>
      </c>
      <c r="I2300" s="28" t="str">
        <f t="array" ref="I2300">_xlfn.XLOOKUP($A2300, 'Medical Examinations'!$A:$A, 'Medical Examinations'!H:H, "No Data")</f>
        <v>No</v>
      </c>
      <c r="J2300" s="28" t="str">
        <f t="array" ref="J2300">_xlfn.XLOOKUP($A2300, 'Medical Examinations'!$A:$A, 'Medical Examinations'!I:I, "No Data")</f>
        <v>Underweight</v>
      </c>
      <c r="K2300" s="28" t="str">
        <f t="array" ref="K2300">_xlfn.XLOOKUP($A2300, 'Hospitalisation Details'!$A:$A, 'Hospitalisation Details'!I:I, "No Data")</f>
        <v>tier - 2</v>
      </c>
      <c r="L2300" s="28" t="str">
        <f t="array" ref="L2300">_xlfn.XLOOKUP($A2300, 'Hospitalisation Details'!$A:$A, 'Hospitalisation Details'!J:J, "No Data")</f>
        <v>R1013</v>
      </c>
      <c r="M2300" s="28" t="str">
        <f t="array" ref="M2300">_xlfn.XLOOKUP($A2300, 'Hospitalisation Details'!$A:$A, 'Hospitalisation Details'!E:E, "No Data")</f>
        <v>26/12/98</v>
      </c>
      <c r="N2300" s="28">
        <f t="array" ref="N2300">_xlfn.XLOOKUP($A2300, 'Hospitalisation Details'!$A:$A, 'Hospitalisation Details'!K:K, "No Data")</f>
        <v>24</v>
      </c>
      <c r="O2300" s="33">
        <f t="array" ref="O2300">_xlfn.XLOOKUP($A2300, 'Hospitalisation Details'!$A:$A, 'Hospitalisation Details'!G:G, "No Data")</f>
        <v>1082</v>
      </c>
      <c r="P2300" s="28" t="str">
        <f t="array" ref="P2300">_xlfn.XLOOKUP($A2300, 'Hospitalisation Details'!$A:$A, 'Hospitalisation Details'!H:H, "No Data")</f>
        <v>tier - 3</v>
      </c>
    </row>
    <row r="2301">
      <c r="A2301" s="25" t="s">
        <v>714</v>
      </c>
      <c r="B2301" s="28" t="str">
        <f t="array" ref="B2301">_xlfn.XLOOKUP($A2301, 'Customer Names'!$A:$A, 'Customer Names'!B:B, "No Data")</f>
        <v>Jeffers</v>
      </c>
      <c r="C2301" s="28">
        <f t="array" ref="C2301">_xlfn.XLOOKUP($A2301, 'Medical Examinations'!$A:$A, 'Medical Examinations'!B:B, "No Data")</f>
        <v>17.98</v>
      </c>
      <c r="D2301" s="28">
        <f t="array" ref="D2301">_xlfn.XLOOKUP($A2301, 'Medical Examinations'!$A:$A, 'Medical Examinations'!C:C, "No Data")</f>
        <v>5.33</v>
      </c>
      <c r="E2301" s="28" t="str">
        <f t="array" ref="E2301">_xlfn.XLOOKUP($A2301, 'Medical Examinations'!$A:$A, 'Medical Examinations'!D:D, "No Data")</f>
        <v>yes</v>
      </c>
      <c r="F2301" s="28" t="str">
        <f t="array" ref="F2301">_xlfn.XLOOKUP($A2301, 'Medical Examinations'!$A:$A, 'Medical Examinations'!E:E, "No Data")</f>
        <v>No</v>
      </c>
      <c r="G2301" s="28" t="str">
        <f t="array" ref="G2301">_xlfn.XLOOKUP($A2301, 'Medical Examinations'!$A:$A, 'Medical Examinations'!F:F, "No Data")</f>
        <v>Yes</v>
      </c>
      <c r="H2301" s="28">
        <f t="array" ref="H2301">_xlfn.XLOOKUP($A2301, 'Medical Examinations'!$A:$A, 'Medical Examinations'!G:G, "No Data")</f>
        <v>1</v>
      </c>
      <c r="I2301" s="28" t="str">
        <f t="array" ref="I2301">_xlfn.XLOOKUP($A2301, 'Medical Examinations'!$A:$A, 'Medical Examinations'!H:H, "No Data")</f>
        <v>No</v>
      </c>
      <c r="J2301" s="28" t="str">
        <f t="array" ref="J2301">_xlfn.XLOOKUP($A2301, 'Medical Examinations'!$A:$A, 'Medical Examinations'!I:I, "No Data")</f>
        <v>Underweight</v>
      </c>
      <c r="K2301" s="28" t="str">
        <f t="array" ref="K2301">_xlfn.XLOOKUP($A2301, 'Hospitalisation Details'!$A:$A, 'Hospitalisation Details'!I:I, "No Data")</f>
        <v>tier - 3</v>
      </c>
      <c r="L2301" s="28" t="str">
        <f t="array" ref="L2301">_xlfn.XLOOKUP($A2301, 'Hospitalisation Details'!$A:$A, 'Hospitalisation Details'!J:J, "No Data")</f>
        <v>R1013</v>
      </c>
      <c r="M2301" s="28" t="str">
        <f t="array" ref="M2301">_xlfn.XLOOKUP($A2301, 'Hospitalisation Details'!$A:$A, 'Hospitalisation Details'!E:E, "No Data")</f>
        <v>13/08/97</v>
      </c>
      <c r="N2301" s="28">
        <f t="array" ref="N2301">_xlfn.XLOOKUP($A2301, 'Hospitalisation Details'!$A:$A, 'Hospitalisation Details'!K:K, "No Data")</f>
        <v>25</v>
      </c>
      <c r="O2301" s="33">
        <f t="array" ref="O2301">_xlfn.XLOOKUP($A2301, 'Hospitalisation Details'!$A:$A, 'Hospitalisation Details'!G:G, "No Data")</f>
        <v>1071</v>
      </c>
      <c r="P2301" s="28" t="str">
        <f t="array" ref="P2301">_xlfn.XLOOKUP($A2301, 'Hospitalisation Details'!$A:$A, 'Hospitalisation Details'!H:H, "No Data")</f>
        <v>tier - 3</v>
      </c>
    </row>
    <row r="2302">
      <c r="A2302" s="25" t="s">
        <v>707</v>
      </c>
      <c r="B2302" s="28" t="str">
        <f t="array" ref="B2302">_xlfn.XLOOKUP($A2302, 'Customer Names'!$A:$A, 'Customer Names'!B:B, "No Data")</f>
        <v>Sulhanek</v>
      </c>
      <c r="C2302" s="28">
        <f t="array" ref="C2302">_xlfn.XLOOKUP($A2302, 'Medical Examinations'!$A:$A, 'Medical Examinations'!B:B, "No Data")</f>
        <v>21.64</v>
      </c>
      <c r="D2302" s="28">
        <f t="array" ref="D2302">_xlfn.XLOOKUP($A2302, 'Medical Examinations'!$A:$A, 'Medical Examinations'!C:C, "No Data")</f>
        <v>5.5</v>
      </c>
      <c r="E2302" s="28" t="str">
        <f t="array" ref="E2302">_xlfn.XLOOKUP($A2302, 'Medical Examinations'!$A:$A, 'Medical Examinations'!D:D, "No Data")</f>
        <v>No</v>
      </c>
      <c r="F2302" s="28" t="str">
        <f t="array" ref="F2302">_xlfn.XLOOKUP($A2302, 'Medical Examinations'!$A:$A, 'Medical Examinations'!E:E, "No Data")</f>
        <v>yes</v>
      </c>
      <c r="G2302" s="28" t="str">
        <f t="array" ref="G2302">_xlfn.XLOOKUP($A2302, 'Medical Examinations'!$A:$A, 'Medical Examinations'!F:F, "No Data")</f>
        <v>No</v>
      </c>
      <c r="H2302" s="28">
        <f t="array" ref="H2302">_xlfn.XLOOKUP($A2302, 'Medical Examinations'!$A:$A, 'Medical Examinations'!G:G, "No Data")</f>
        <v>1</v>
      </c>
      <c r="I2302" s="28" t="str">
        <f t="array" ref="I2302">_xlfn.XLOOKUP($A2302, 'Medical Examinations'!$A:$A, 'Medical Examinations'!H:H, "No Data")</f>
        <v>No</v>
      </c>
      <c r="J2302" s="28" t="str">
        <f t="array" ref="J2302">_xlfn.XLOOKUP($A2302, 'Medical Examinations'!$A:$A, 'Medical Examinations'!I:I, "No Data")</f>
        <v>Normal Weight</v>
      </c>
      <c r="K2302" s="28" t="str">
        <f t="array" ref="K2302">_xlfn.XLOOKUP($A2302, 'Hospitalisation Details'!$A:$A, 'Hospitalisation Details'!I:I, "No Data")</f>
        <v>tier - 3</v>
      </c>
      <c r="L2302" s="28" t="str">
        <f t="array" ref="L2302">_xlfn.XLOOKUP($A2302, 'Hospitalisation Details'!$A:$A, 'Hospitalisation Details'!J:J, "No Data")</f>
        <v>R1013</v>
      </c>
      <c r="M2302" s="28" t="str">
        <f t="array" ref="M2302">_xlfn.XLOOKUP($A2302, 'Hospitalisation Details'!$A:$A, 'Hospitalisation Details'!E:E, "No Data")</f>
        <v>24/08/04</v>
      </c>
      <c r="N2302" s="28">
        <f t="array" ref="N2302">_xlfn.XLOOKUP($A2302, 'Hospitalisation Details'!$A:$A, 'Hospitalisation Details'!K:K, "No Data")</f>
        <v>18</v>
      </c>
      <c r="O2302" s="33">
        <f t="array" ref="O2302">_xlfn.XLOOKUP($A2302, 'Hospitalisation Details'!$A:$A, 'Hospitalisation Details'!G:G, "No Data")</f>
        <v>1070</v>
      </c>
      <c r="P2302" s="28" t="str">
        <f t="array" ref="P2302">_xlfn.XLOOKUP($A2302, 'Hospitalisation Details'!$A:$A, 'Hospitalisation Details'!H:H, "No Data")</f>
        <v>tier - 3</v>
      </c>
    </row>
    <row r="2303">
      <c r="A2303" s="25" t="s">
        <v>698</v>
      </c>
      <c r="B2303" s="28" t="str">
        <f t="array" ref="B2303">_xlfn.XLOOKUP($A2303, 'Customer Names'!$A:$A, 'Customer Names'!B:B, "No Data")</f>
        <v>Ozahowski</v>
      </c>
      <c r="C2303" s="28">
        <f t="array" ref="C2303">_xlfn.XLOOKUP($A2303, 'Medical Examinations'!$A:$A, 'Medical Examinations'!B:B, "No Data")</f>
        <v>16.4</v>
      </c>
      <c r="D2303" s="28">
        <f t="array" ref="D2303">_xlfn.XLOOKUP($A2303, 'Medical Examinations'!$A:$A, 'Medical Examinations'!C:C, "No Data")</f>
        <v>5.4</v>
      </c>
      <c r="E2303" s="28" t="str">
        <f t="array" ref="E2303">_xlfn.XLOOKUP($A2303, 'Medical Examinations'!$A:$A, 'Medical Examinations'!D:D, "No Data")</f>
        <v>No</v>
      </c>
      <c r="F2303" s="28" t="str">
        <f t="array" ref="F2303">_xlfn.XLOOKUP($A2303, 'Medical Examinations'!$A:$A, 'Medical Examinations'!E:E, "No Data")</f>
        <v>No</v>
      </c>
      <c r="G2303" s="28" t="str">
        <f t="array" ref="G2303">_xlfn.XLOOKUP($A2303, 'Medical Examinations'!$A:$A, 'Medical Examinations'!F:F, "No Data")</f>
        <v>Yes</v>
      </c>
      <c r="H2303" s="28">
        <f t="array" ref="H2303">_xlfn.XLOOKUP($A2303, 'Medical Examinations'!$A:$A, 'Medical Examinations'!G:G, "No Data")</f>
        <v>1</v>
      </c>
      <c r="I2303" s="28" t="str">
        <f t="array" ref="I2303">_xlfn.XLOOKUP($A2303, 'Medical Examinations'!$A:$A, 'Medical Examinations'!H:H, "No Data")</f>
        <v>No</v>
      </c>
      <c r="J2303" s="28" t="str">
        <f t="array" ref="J2303">_xlfn.XLOOKUP($A2303, 'Medical Examinations'!$A:$A, 'Medical Examinations'!I:I, "No Data")</f>
        <v>Underweight</v>
      </c>
      <c r="K2303" s="28" t="str">
        <f t="array" ref="K2303">_xlfn.XLOOKUP($A2303, 'Hospitalisation Details'!$A:$A, 'Hospitalisation Details'!I:I, "No Data")</f>
        <v>tier - 1</v>
      </c>
      <c r="L2303" s="28" t="str">
        <f t="array" ref="L2303">_xlfn.XLOOKUP($A2303, 'Hospitalisation Details'!$A:$A, 'Hospitalisation Details'!J:J, "No Data")</f>
        <v>R1013</v>
      </c>
      <c r="M2303" s="28" t="str">
        <f t="array" ref="M2303">_xlfn.XLOOKUP($A2303, 'Hospitalisation Details'!$A:$A, 'Hospitalisation Details'!E:E, "No Data")</f>
        <v>28/09/93</v>
      </c>
      <c r="N2303" s="28">
        <f t="array" ref="N2303">_xlfn.XLOOKUP($A2303, 'Hospitalisation Details'!$A:$A, 'Hospitalisation Details'!K:K, "No Data")</f>
        <v>29</v>
      </c>
      <c r="O2303" s="33">
        <f t="array" ref="O2303">_xlfn.XLOOKUP($A2303, 'Hospitalisation Details'!$A:$A, 'Hospitalisation Details'!G:G, "No Data")</f>
        <v>1068</v>
      </c>
      <c r="P2303" s="28" t="str">
        <f t="array" ref="P2303">_xlfn.XLOOKUP($A2303, 'Hospitalisation Details'!$A:$A, 'Hospitalisation Details'!H:H, "No Data")</f>
        <v>tier - 3</v>
      </c>
    </row>
    <row r="2304">
      <c r="A2304" s="25" t="s">
        <v>685</v>
      </c>
      <c r="B2304" s="28" t="str">
        <f t="array" ref="B2304">_xlfn.XLOOKUP($A2304, 'Customer Names'!$A:$A, 'Customer Names'!B:B, "No Data")</f>
        <v>Caron</v>
      </c>
      <c r="C2304" s="28">
        <f t="array" ref="C2304">_xlfn.XLOOKUP($A2304, 'Medical Examinations'!$A:$A, 'Medical Examinations'!B:B, "No Data")</f>
        <v>15.77</v>
      </c>
      <c r="D2304" s="28">
        <f t="array" ref="D2304">_xlfn.XLOOKUP($A2304, 'Medical Examinations'!$A:$A, 'Medical Examinations'!C:C, "No Data")</f>
        <v>6.05</v>
      </c>
      <c r="E2304" s="28" t="str">
        <f t="array" ref="E2304">_xlfn.XLOOKUP($A2304, 'Medical Examinations'!$A:$A, 'Medical Examinations'!D:D, "No Data")</f>
        <v>yes</v>
      </c>
      <c r="F2304" s="28" t="str">
        <f t="array" ref="F2304">_xlfn.XLOOKUP($A2304, 'Medical Examinations'!$A:$A, 'Medical Examinations'!E:E, "No Data")</f>
        <v>No</v>
      </c>
      <c r="G2304" s="28" t="str">
        <f t="array" ref="G2304">_xlfn.XLOOKUP($A2304, 'Medical Examinations'!$A:$A, 'Medical Examinations'!F:F, "No Data")</f>
        <v>No</v>
      </c>
      <c r="H2304" s="28">
        <f t="array" ref="H2304">_xlfn.XLOOKUP($A2304, 'Medical Examinations'!$A:$A, 'Medical Examinations'!G:G, "No Data")</f>
        <v>1</v>
      </c>
      <c r="I2304" s="28" t="str">
        <f t="array" ref="I2304">_xlfn.XLOOKUP($A2304, 'Medical Examinations'!$A:$A, 'Medical Examinations'!H:H, "No Data")</f>
        <v>No</v>
      </c>
      <c r="J2304" s="28" t="str">
        <f t="array" ref="J2304">_xlfn.XLOOKUP($A2304, 'Medical Examinations'!$A:$A, 'Medical Examinations'!I:I, "No Data")</f>
        <v>Underweight</v>
      </c>
      <c r="K2304" s="28" t="str">
        <f t="array" ref="K2304">_xlfn.XLOOKUP($A2304, 'Hospitalisation Details'!$A:$A, 'Hospitalisation Details'!I:I, "No Data")</f>
        <v>tier - 2</v>
      </c>
      <c r="L2304" s="28" t="str">
        <f t="array" ref="L2304">_xlfn.XLOOKUP($A2304, 'Hospitalisation Details'!$A:$A, 'Hospitalisation Details'!J:J, "No Data")</f>
        <v>R1013</v>
      </c>
      <c r="M2304" s="28" t="str">
        <f t="array" ref="M2304">_xlfn.XLOOKUP($A2304, 'Hospitalisation Details'!$A:$A, 'Hospitalisation Details'!E:E, "No Data")</f>
        <v>01/06/95</v>
      </c>
      <c r="N2304" s="28">
        <f t="array" ref="N2304">_xlfn.XLOOKUP($A2304, 'Hospitalisation Details'!$A:$A, 'Hospitalisation Details'!K:K, "No Data")</f>
        <v>28</v>
      </c>
      <c r="O2304" s="33">
        <f t="array" ref="O2304">_xlfn.XLOOKUP($A2304, 'Hospitalisation Details'!$A:$A, 'Hospitalisation Details'!G:G, "No Data")</f>
        <v>1056</v>
      </c>
      <c r="P2304" s="28" t="str">
        <f t="array" ref="P2304">_xlfn.XLOOKUP($A2304, 'Hospitalisation Details'!$A:$A, 'Hospitalisation Details'!H:H, "No Data")</f>
        <v>tier - 3</v>
      </c>
    </row>
    <row r="2305">
      <c r="A2305" s="25" t="s">
        <v>672</v>
      </c>
      <c r="B2305" s="28" t="str">
        <f t="array" ref="B2305">_xlfn.XLOOKUP($A2305, 'Customer Names'!$A:$A, 'Customer Names'!B:B, "No Data")</f>
        <v>Fullarton</v>
      </c>
      <c r="C2305" s="28">
        <f t="array" ref="C2305">_xlfn.XLOOKUP($A2305, 'Medical Examinations'!$A:$A, 'Medical Examinations'!B:B, "No Data")</f>
        <v>18.27</v>
      </c>
      <c r="D2305" s="28">
        <f t="array" ref="D2305">_xlfn.XLOOKUP($A2305, 'Medical Examinations'!$A:$A, 'Medical Examinations'!C:C, "No Data")</f>
        <v>11.46</v>
      </c>
      <c r="E2305" s="28" t="str">
        <f t="array" ref="E2305">_xlfn.XLOOKUP($A2305, 'Medical Examinations'!$A:$A, 'Medical Examinations'!D:D, "No Data")</f>
        <v>No</v>
      </c>
      <c r="F2305" s="28" t="str">
        <f t="array" ref="F2305">_xlfn.XLOOKUP($A2305, 'Medical Examinations'!$A:$A, 'Medical Examinations'!E:E, "No Data")</f>
        <v>No</v>
      </c>
      <c r="G2305" s="28" t="str">
        <f t="array" ref="G2305">_xlfn.XLOOKUP($A2305, 'Medical Examinations'!$A:$A, 'Medical Examinations'!F:F, "No Data")</f>
        <v>No</v>
      </c>
      <c r="H2305" s="28">
        <f t="array" ref="H2305">_xlfn.XLOOKUP($A2305, 'Medical Examinations'!$A:$A, 'Medical Examinations'!G:G, "No Data")</f>
        <v>0</v>
      </c>
      <c r="I2305" s="28" t="str">
        <f t="array" ref="I2305">_xlfn.XLOOKUP($A2305, 'Medical Examinations'!$A:$A, 'Medical Examinations'!H:H, "No Data")</f>
        <v>No</v>
      </c>
      <c r="J2305" s="28" t="str">
        <f t="array" ref="J2305">_xlfn.XLOOKUP($A2305, 'Medical Examinations'!$A:$A, 'Medical Examinations'!I:I, "No Data")</f>
        <v>Underweight</v>
      </c>
      <c r="K2305" s="28" t="str">
        <f t="array" ref="K2305">_xlfn.XLOOKUP($A2305, 'Hospitalisation Details'!$A:$A, 'Hospitalisation Details'!I:I, "No Data")</f>
        <v>tier - 2</v>
      </c>
      <c r="L2305" s="28" t="str">
        <f t="array" ref="L2305">_xlfn.XLOOKUP($A2305, 'Hospitalisation Details'!$A:$A, 'Hospitalisation Details'!J:J, "No Data")</f>
        <v>R1012</v>
      </c>
      <c r="M2305" s="28" t="str">
        <f t="array" ref="M2305">_xlfn.XLOOKUP($A2305, 'Hospitalisation Details'!$A:$A, 'Hospitalisation Details'!E:E, "No Data")</f>
        <v>01/07/02</v>
      </c>
      <c r="N2305" s="28">
        <f t="array" ref="N2305">_xlfn.XLOOKUP($A2305, 'Hospitalisation Details'!$A:$A, 'Hospitalisation Details'!K:K, "No Data")</f>
        <v>20</v>
      </c>
      <c r="O2305" s="33">
        <f t="array" ref="O2305">_xlfn.XLOOKUP($A2305, 'Hospitalisation Details'!$A:$A, 'Hospitalisation Details'!G:G, "No Data")</f>
        <v>1049</v>
      </c>
      <c r="P2305" s="28" t="str">
        <f t="array" ref="P2305">_xlfn.XLOOKUP($A2305, 'Hospitalisation Details'!$A:$A, 'Hospitalisation Details'!H:H, "No Data")</f>
        <v>tier - 3</v>
      </c>
    </row>
    <row r="2306">
      <c r="A2306" s="25" t="s">
        <v>659</v>
      </c>
      <c r="B2306" s="28" t="str">
        <f t="array" ref="B2306">_xlfn.XLOOKUP($A2306, 'Customer Names'!$A:$A, 'Customer Names'!B:B, "No Data")</f>
        <v>Lindgren</v>
      </c>
      <c r="C2306" s="28">
        <f t="array" ref="C2306">_xlfn.XLOOKUP($A2306, 'Medical Examinations'!$A:$A, 'Medical Examinations'!B:B, "No Data")</f>
        <v>16.49</v>
      </c>
      <c r="D2306" s="28">
        <f t="array" ref="D2306">_xlfn.XLOOKUP($A2306, 'Medical Examinations'!$A:$A, 'Medical Examinations'!C:C, "No Data")</f>
        <v>8.48</v>
      </c>
      <c r="E2306" s="28" t="str">
        <f t="array" ref="E2306">_xlfn.XLOOKUP($A2306, 'Medical Examinations'!$A:$A, 'Medical Examinations'!D:D, "No Data")</f>
        <v>No</v>
      </c>
      <c r="F2306" s="28" t="str">
        <f t="array" ref="F2306">_xlfn.XLOOKUP($A2306, 'Medical Examinations'!$A:$A, 'Medical Examinations'!E:E, "No Data")</f>
        <v>No</v>
      </c>
      <c r="G2306" s="28" t="str">
        <f t="array" ref="G2306">_xlfn.XLOOKUP($A2306, 'Medical Examinations'!$A:$A, 'Medical Examinations'!F:F, "No Data")</f>
        <v>No</v>
      </c>
      <c r="H2306" s="28">
        <f t="array" ref="H2306">_xlfn.XLOOKUP($A2306, 'Medical Examinations'!$A:$A, 'Medical Examinations'!G:G, "No Data")</f>
        <v>0</v>
      </c>
      <c r="I2306" s="28" t="str">
        <f t="array" ref="I2306">_xlfn.XLOOKUP($A2306, 'Medical Examinations'!$A:$A, 'Medical Examinations'!H:H, "No Data")</f>
        <v>No</v>
      </c>
      <c r="J2306" s="28" t="str">
        <f t="array" ref="J2306">_xlfn.XLOOKUP($A2306, 'Medical Examinations'!$A:$A, 'Medical Examinations'!I:I, "No Data")</f>
        <v>Underweight</v>
      </c>
      <c r="K2306" s="28" t="str">
        <f t="array" ref="K2306">_xlfn.XLOOKUP($A2306, 'Hospitalisation Details'!$A:$A, 'Hospitalisation Details'!I:I, "No Data")</f>
        <v>tier - 1</v>
      </c>
      <c r="L2306" s="28" t="str">
        <f t="array" ref="L2306">_xlfn.XLOOKUP($A2306, 'Hospitalisation Details'!$A:$A, 'Hospitalisation Details'!J:J, "No Data")</f>
        <v>R1013</v>
      </c>
      <c r="M2306" s="28" t="str">
        <f t="array" ref="M2306">_xlfn.XLOOKUP($A2306, 'Hospitalisation Details'!$A:$A, 'Hospitalisation Details'!E:E, "No Data")</f>
        <v>20/07/02</v>
      </c>
      <c r="N2306" s="28">
        <f t="array" ref="N2306">_xlfn.XLOOKUP($A2306, 'Hospitalisation Details'!$A:$A, 'Hospitalisation Details'!K:K, "No Data")</f>
        <v>20</v>
      </c>
      <c r="O2306" s="33">
        <f t="array" ref="O2306">_xlfn.XLOOKUP($A2306, 'Hospitalisation Details'!$A:$A, 'Hospitalisation Details'!G:G, "No Data")</f>
        <v>1047</v>
      </c>
      <c r="P2306" s="28" t="str">
        <f t="array" ref="P2306">_xlfn.XLOOKUP($A2306, 'Hospitalisation Details'!$A:$A, 'Hospitalisation Details'!H:H, "No Data")</f>
        <v>tier - 3</v>
      </c>
    </row>
    <row r="2307">
      <c r="A2307" s="25" t="s">
        <v>648</v>
      </c>
      <c r="B2307" s="28" t="str">
        <f t="array" ref="B2307">_xlfn.XLOOKUP($A2307, 'Customer Names'!$A:$A, 'Customer Names'!B:B, "No Data")</f>
        <v>Akiha</v>
      </c>
      <c r="C2307" s="28">
        <f t="array" ref="C2307">_xlfn.XLOOKUP($A2307, 'Medical Examinations'!$A:$A, 'Medical Examinations'!B:B, "No Data")</f>
        <v>16.14</v>
      </c>
      <c r="D2307" s="28">
        <f t="array" ref="D2307">_xlfn.XLOOKUP($A2307, 'Medical Examinations'!$A:$A, 'Medical Examinations'!C:C, "No Data")</f>
        <v>4.86</v>
      </c>
      <c r="E2307" s="28" t="str">
        <f t="array" ref="E2307">_xlfn.XLOOKUP($A2307, 'Medical Examinations'!$A:$A, 'Medical Examinations'!D:D, "No Data")</f>
        <v>No</v>
      </c>
      <c r="F2307" s="28" t="str">
        <f t="array" ref="F2307">_xlfn.XLOOKUP($A2307, 'Medical Examinations'!$A:$A, 'Medical Examinations'!E:E, "No Data")</f>
        <v>No</v>
      </c>
      <c r="G2307" s="28" t="str">
        <f t="array" ref="G2307">_xlfn.XLOOKUP($A2307, 'Medical Examinations'!$A:$A, 'Medical Examinations'!F:F, "No Data")</f>
        <v>No</v>
      </c>
      <c r="H2307" s="28">
        <f t="array" ref="H2307">_xlfn.XLOOKUP($A2307, 'Medical Examinations'!$A:$A, 'Medical Examinations'!G:G, "No Data")</f>
        <v>0</v>
      </c>
      <c r="I2307" s="28" t="str">
        <f t="array" ref="I2307">_xlfn.XLOOKUP($A2307, 'Medical Examinations'!$A:$A, 'Medical Examinations'!H:H, "No Data")</f>
        <v>No</v>
      </c>
      <c r="J2307" s="28" t="str">
        <f t="array" ref="J2307">_xlfn.XLOOKUP($A2307, 'Medical Examinations'!$A:$A, 'Medical Examinations'!I:I, "No Data")</f>
        <v>Underweight</v>
      </c>
      <c r="K2307" s="28" t="str">
        <f t="array" ref="K2307">_xlfn.XLOOKUP($A2307, 'Hospitalisation Details'!$A:$A, 'Hospitalisation Details'!I:I, "No Data")</f>
        <v>tier - 2</v>
      </c>
      <c r="L2307" s="28" t="str">
        <f t="array" ref="L2307">_xlfn.XLOOKUP($A2307, 'Hospitalisation Details'!$A:$A, 'Hospitalisation Details'!J:J, "No Data")</f>
        <v>R1013</v>
      </c>
      <c r="M2307" s="28" t="str">
        <f t="array" ref="M2307">_xlfn.XLOOKUP($A2307, 'Hospitalisation Details'!$A:$A, 'Hospitalisation Details'!E:E, "No Data")</f>
        <v>17/11/94</v>
      </c>
      <c r="N2307" s="28">
        <f t="array" ref="N2307">_xlfn.XLOOKUP($A2307, 'Hospitalisation Details'!$A:$A, 'Hospitalisation Details'!K:K, "No Data")</f>
        <v>28</v>
      </c>
      <c r="O2307" s="33">
        <f t="array" ref="O2307">_xlfn.XLOOKUP($A2307, 'Hospitalisation Details'!$A:$A, 'Hospitalisation Details'!G:G, "No Data")</f>
        <v>1044</v>
      </c>
      <c r="P2307" s="28" t="str">
        <f t="array" ref="P2307">_xlfn.XLOOKUP($A2307, 'Hospitalisation Details'!$A:$A, 'Hospitalisation Details'!H:H, "No Data")</f>
        <v>tier - 3</v>
      </c>
    </row>
    <row r="2308">
      <c r="A2308" s="25" t="s">
        <v>644</v>
      </c>
      <c r="B2308" s="28" t="str">
        <f t="array" ref="B2308">_xlfn.XLOOKUP($A2308, 'Customer Names'!$A:$A, 'Customer Names'!B:B, "No Data")</f>
        <v>Sweny</v>
      </c>
      <c r="C2308" s="28">
        <f t="array" ref="C2308">_xlfn.XLOOKUP($A2308, 'Medical Examinations'!$A:$A, 'Medical Examinations'!B:B, "No Data")</f>
        <v>20.85</v>
      </c>
      <c r="D2308" s="28">
        <f t="array" ref="D2308">_xlfn.XLOOKUP($A2308, 'Medical Examinations'!$A:$A, 'Medical Examinations'!C:C, "No Data")</f>
        <v>4.45</v>
      </c>
      <c r="E2308" s="28" t="str">
        <f t="array" ref="E2308">_xlfn.XLOOKUP($A2308, 'Medical Examinations'!$A:$A, 'Medical Examinations'!D:D, "No Data")</f>
        <v>yes</v>
      </c>
      <c r="F2308" s="28" t="str">
        <f t="array" ref="F2308">_xlfn.XLOOKUP($A2308, 'Medical Examinations'!$A:$A, 'Medical Examinations'!E:E, "No Data")</f>
        <v>No</v>
      </c>
      <c r="G2308" s="28" t="str">
        <f t="array" ref="G2308">_xlfn.XLOOKUP($A2308, 'Medical Examinations'!$A:$A, 'Medical Examinations'!F:F, "No Data")</f>
        <v>No</v>
      </c>
      <c r="H2308" s="28">
        <f t="array" ref="H2308">_xlfn.XLOOKUP($A2308, 'Medical Examinations'!$A:$A, 'Medical Examinations'!G:G, "No Data")</f>
        <v>1</v>
      </c>
      <c r="I2308" s="28" t="str">
        <f t="array" ref="I2308">_xlfn.XLOOKUP($A2308, 'Medical Examinations'!$A:$A, 'Medical Examinations'!H:H, "No Data")</f>
        <v>No</v>
      </c>
      <c r="J2308" s="28" t="str">
        <f t="array" ref="J2308">_xlfn.XLOOKUP($A2308, 'Medical Examinations'!$A:$A, 'Medical Examinations'!I:I, "No Data")</f>
        <v>Normal Weight</v>
      </c>
      <c r="K2308" s="28" t="str">
        <f t="array" ref="K2308">_xlfn.XLOOKUP($A2308, 'Hospitalisation Details'!$A:$A, 'Hospitalisation Details'!I:I, "No Data")</f>
        <v>tier - 1</v>
      </c>
      <c r="L2308" s="28" t="str">
        <f t="array" ref="L2308">_xlfn.XLOOKUP($A2308, 'Hospitalisation Details'!$A:$A, 'Hospitalisation Details'!J:J, "No Data")</f>
        <v>R1013</v>
      </c>
      <c r="M2308" s="28" t="str">
        <f t="array" ref="M2308">_xlfn.XLOOKUP($A2308, 'Hospitalisation Details'!$A:$A, 'Hospitalisation Details'!E:E, "No Data")</f>
        <v>05/10/95</v>
      </c>
      <c r="N2308" s="28">
        <f t="array" ref="N2308">_xlfn.XLOOKUP($A2308, 'Hospitalisation Details'!$A:$A, 'Hospitalisation Details'!K:K, "No Data")</f>
        <v>27</v>
      </c>
      <c r="O2308" s="33">
        <f t="array" ref="O2308">_xlfn.XLOOKUP($A2308, 'Hospitalisation Details'!$A:$A, 'Hospitalisation Details'!G:G, "No Data")</f>
        <v>1033.74</v>
      </c>
      <c r="P2308" s="28" t="str">
        <f t="array" ref="P2308">_xlfn.XLOOKUP($A2308, 'Hospitalisation Details'!$A:$A, 'Hospitalisation Details'!H:H, "No Data")</f>
        <v>tier - 3</v>
      </c>
    </row>
    <row r="2309">
      <c r="A2309" s="25" t="s">
        <v>636</v>
      </c>
      <c r="B2309" s="28" t="str">
        <f t="array" ref="B2309">_xlfn.XLOOKUP($A2309, 'Customer Names'!$A:$A, 'Customer Names'!B:B, "No Data")</f>
        <v>Tobin</v>
      </c>
      <c r="C2309" s="28">
        <f t="array" ref="C2309">_xlfn.XLOOKUP($A2309, 'Medical Examinations'!$A:$A, 'Medical Examinations'!B:B, "No Data")</f>
        <v>15.88</v>
      </c>
      <c r="D2309" s="28">
        <f t="array" ref="D2309">_xlfn.XLOOKUP($A2309, 'Medical Examinations'!$A:$A, 'Medical Examinations'!C:C, "No Data")</f>
        <v>4.36</v>
      </c>
      <c r="E2309" s="28" t="str">
        <f t="array" ref="E2309">_xlfn.XLOOKUP($A2309, 'Medical Examinations'!$A:$A, 'Medical Examinations'!D:D, "No Data")</f>
        <v>No</v>
      </c>
      <c r="F2309" s="28" t="str">
        <f t="array" ref="F2309">_xlfn.XLOOKUP($A2309, 'Medical Examinations'!$A:$A, 'Medical Examinations'!E:E, "No Data")</f>
        <v>No</v>
      </c>
      <c r="G2309" s="28" t="str">
        <f t="array" ref="G2309">_xlfn.XLOOKUP($A2309, 'Medical Examinations'!$A:$A, 'Medical Examinations'!F:F, "No Data")</f>
        <v>No</v>
      </c>
      <c r="H2309" s="28">
        <f t="array" ref="H2309">_xlfn.XLOOKUP($A2309, 'Medical Examinations'!$A:$A, 'Medical Examinations'!G:G, "No Data")</f>
        <v>0</v>
      </c>
      <c r="I2309" s="28" t="str">
        <f t="array" ref="I2309">_xlfn.XLOOKUP($A2309, 'Medical Examinations'!$A:$A, 'Medical Examinations'!H:H, "No Data")</f>
        <v>No</v>
      </c>
      <c r="J2309" s="28" t="str">
        <f t="array" ref="J2309">_xlfn.XLOOKUP($A2309, 'Medical Examinations'!$A:$A, 'Medical Examinations'!I:I, "No Data")</f>
        <v>Underweight</v>
      </c>
      <c r="K2309" s="28" t="str">
        <f t="array" ref="K2309">_xlfn.XLOOKUP($A2309, 'Hospitalisation Details'!$A:$A, 'Hospitalisation Details'!I:I, "No Data")</f>
        <v>tier - 2</v>
      </c>
      <c r="L2309" s="28" t="str">
        <f t="array" ref="L2309">_xlfn.XLOOKUP($A2309, 'Hospitalisation Details'!$A:$A, 'Hospitalisation Details'!J:J, "No Data")</f>
        <v>R1013</v>
      </c>
      <c r="M2309" s="28" t="str">
        <f t="array" ref="M2309">_xlfn.XLOOKUP($A2309, 'Hospitalisation Details'!$A:$A, 'Hospitalisation Details'!E:E, "No Data")</f>
        <v>05/08/99</v>
      </c>
      <c r="N2309" s="28">
        <f t="array" ref="N2309">_xlfn.XLOOKUP($A2309, 'Hospitalisation Details'!$A:$A, 'Hospitalisation Details'!K:K, "No Data")</f>
        <v>23</v>
      </c>
      <c r="O2309" s="33">
        <f t="array" ref="O2309">_xlfn.XLOOKUP($A2309, 'Hospitalisation Details'!$A:$A, 'Hospitalisation Details'!G:G, "No Data")</f>
        <v>1019</v>
      </c>
      <c r="P2309" s="28" t="str">
        <f t="array" ref="P2309">_xlfn.XLOOKUP($A2309, 'Hospitalisation Details'!$A:$A, 'Hospitalisation Details'!H:H, "No Data")</f>
        <v>tier - 3</v>
      </c>
    </row>
    <row r="2310">
      <c r="A2310" s="25" t="s">
        <v>627</v>
      </c>
      <c r="B2310" s="28" t="str">
        <f t="array" ref="B2310">_xlfn.XLOOKUP($A2310, 'Customer Names'!$A:$A, 'Customer Names'!B:B, "No Data")</f>
        <v>Pedersen</v>
      </c>
      <c r="C2310" s="28">
        <f t="array" ref="C2310">_xlfn.XLOOKUP($A2310, 'Medical Examinations'!$A:$A, 'Medical Examinations'!B:B, "No Data")</f>
        <v>20.66</v>
      </c>
      <c r="D2310" s="28">
        <f t="array" ref="D2310">_xlfn.XLOOKUP($A2310, 'Medical Examinations'!$A:$A, 'Medical Examinations'!C:C, "No Data")</f>
        <v>5.8</v>
      </c>
      <c r="E2310" s="28" t="str">
        <f t="array" ref="E2310">_xlfn.XLOOKUP($A2310, 'Medical Examinations'!$A:$A, 'Medical Examinations'!D:D, "No Data")</f>
        <v>No</v>
      </c>
      <c r="F2310" s="28" t="str">
        <f t="array" ref="F2310">_xlfn.XLOOKUP($A2310, 'Medical Examinations'!$A:$A, 'Medical Examinations'!E:E, "No Data")</f>
        <v>yes</v>
      </c>
      <c r="G2310" s="28" t="str">
        <f t="array" ref="G2310">_xlfn.XLOOKUP($A2310, 'Medical Examinations'!$A:$A, 'Medical Examinations'!F:F, "No Data")</f>
        <v>No</v>
      </c>
      <c r="H2310" s="28">
        <f t="array" ref="H2310">_xlfn.XLOOKUP($A2310, 'Medical Examinations'!$A:$A, 'Medical Examinations'!G:G, "No Data")</f>
        <v>1</v>
      </c>
      <c r="I2310" s="28" t="str">
        <f t="array" ref="I2310">_xlfn.XLOOKUP($A2310, 'Medical Examinations'!$A:$A, 'Medical Examinations'!H:H, "No Data")</f>
        <v>No</v>
      </c>
      <c r="J2310" s="28" t="str">
        <f t="array" ref="J2310">_xlfn.XLOOKUP($A2310, 'Medical Examinations'!$A:$A, 'Medical Examinations'!I:I, "No Data")</f>
        <v>Normal Weight</v>
      </c>
      <c r="K2310" s="28" t="str">
        <f t="array" ref="K2310">_xlfn.XLOOKUP($A2310, 'Hospitalisation Details'!$A:$A, 'Hospitalisation Details'!I:I, "No Data")</f>
        <v>tier - 2</v>
      </c>
      <c r="L2310" s="28" t="str">
        <f t="array" ref="L2310">_xlfn.XLOOKUP($A2310, 'Hospitalisation Details'!$A:$A, 'Hospitalisation Details'!J:J, "No Data")</f>
        <v>R1013</v>
      </c>
      <c r="M2310" s="28" t="str">
        <f t="array" ref="M2310">_xlfn.XLOOKUP($A2310, 'Hospitalisation Details'!$A:$A, 'Hospitalisation Details'!E:E, "No Data")</f>
        <v>09/10/00</v>
      </c>
      <c r="N2310" s="28">
        <f t="array" ref="N2310">_xlfn.XLOOKUP($A2310, 'Hospitalisation Details'!$A:$A, 'Hospitalisation Details'!K:K, "No Data")</f>
        <v>22</v>
      </c>
      <c r="O2310" s="33">
        <f t="array" ref="O2310">_xlfn.XLOOKUP($A2310, 'Hospitalisation Details'!$A:$A, 'Hospitalisation Details'!G:G, "No Data")</f>
        <v>1012</v>
      </c>
      <c r="P2310" s="28" t="str">
        <f t="array" ref="P2310">_xlfn.XLOOKUP($A2310, 'Hospitalisation Details'!$A:$A, 'Hospitalisation Details'!H:H, "No Data")</f>
        <v>tier - 3</v>
      </c>
    </row>
    <row r="2311">
      <c r="A2311" s="25" t="s">
        <v>619</v>
      </c>
      <c r="B2311" s="28" t="str">
        <f t="array" ref="B2311">_xlfn.XLOOKUP($A2311, 'Customer Names'!$A:$A, 'Customer Names'!B:B, "No Data")</f>
        <v>Lynch</v>
      </c>
      <c r="C2311" s="28">
        <f t="array" ref="C2311">_xlfn.XLOOKUP($A2311, 'Medical Examinations'!$A:$A, 'Medical Examinations'!B:B, "No Data")</f>
        <v>20.4</v>
      </c>
      <c r="D2311" s="28">
        <f t="array" ref="D2311">_xlfn.XLOOKUP($A2311, 'Medical Examinations'!$A:$A, 'Medical Examinations'!C:C, "No Data")</f>
        <v>5.27</v>
      </c>
      <c r="E2311" s="28" t="str">
        <f t="array" ref="E2311">_xlfn.XLOOKUP($A2311, 'Medical Examinations'!$A:$A, 'Medical Examinations'!D:D, "No Data")</f>
        <v>No</v>
      </c>
      <c r="F2311" s="28" t="str">
        <f t="array" ref="F2311">_xlfn.XLOOKUP($A2311, 'Medical Examinations'!$A:$A, 'Medical Examinations'!E:E, "No Data")</f>
        <v>No</v>
      </c>
      <c r="G2311" s="28" t="str">
        <f t="array" ref="G2311">_xlfn.XLOOKUP($A2311, 'Medical Examinations'!$A:$A, 'Medical Examinations'!F:F, "No Data")</f>
        <v>No</v>
      </c>
      <c r="H2311" s="28">
        <f t="array" ref="H2311">_xlfn.XLOOKUP($A2311, 'Medical Examinations'!$A:$A, 'Medical Examinations'!G:G, "No Data")</f>
        <v>0</v>
      </c>
      <c r="I2311" s="28" t="str">
        <f t="array" ref="I2311">_xlfn.XLOOKUP($A2311, 'Medical Examinations'!$A:$A, 'Medical Examinations'!H:H, "No Data")</f>
        <v>No</v>
      </c>
      <c r="J2311" s="28" t="str">
        <f t="array" ref="J2311">_xlfn.XLOOKUP($A2311, 'Medical Examinations'!$A:$A, 'Medical Examinations'!I:I, "No Data")</f>
        <v>Normal Weight</v>
      </c>
      <c r="K2311" s="28" t="str">
        <f t="array" ref="K2311">_xlfn.XLOOKUP($A2311, 'Hospitalisation Details'!$A:$A, 'Hospitalisation Details'!I:I, "No Data")</f>
        <v>tier - 2</v>
      </c>
      <c r="L2311" s="28" t="str">
        <f t="array" ref="L2311">_xlfn.XLOOKUP($A2311, 'Hospitalisation Details'!$A:$A, 'Hospitalisation Details'!J:J, "No Data")</f>
        <v>R1013</v>
      </c>
      <c r="M2311" s="28" t="str">
        <f t="array" ref="M2311">_xlfn.XLOOKUP($A2311, 'Hospitalisation Details'!$A:$A, 'Hospitalisation Details'!E:E, "No Data")</f>
        <v>22/11/94</v>
      </c>
      <c r="N2311" s="28">
        <f t="array" ref="N2311">_xlfn.XLOOKUP($A2311, 'Hospitalisation Details'!$A:$A, 'Hospitalisation Details'!K:K, "No Data")</f>
        <v>28</v>
      </c>
      <c r="O2311" s="33">
        <f t="array" ref="O2311">_xlfn.XLOOKUP($A2311, 'Hospitalisation Details'!$A:$A, 'Hospitalisation Details'!G:G, "No Data")</f>
        <v>1006.65</v>
      </c>
      <c r="P2311" s="28" t="str">
        <f t="array" ref="P2311">_xlfn.XLOOKUP($A2311, 'Hospitalisation Details'!$A:$A, 'Hospitalisation Details'!H:H, "No Data")</f>
        <v>tier - 3</v>
      </c>
    </row>
    <row r="2312">
      <c r="A2312" s="25" t="s">
        <v>610</v>
      </c>
      <c r="B2312" s="28" t="str">
        <f t="array" ref="B2312">_xlfn.XLOOKUP($A2312, 'Customer Names'!$A:$A, 'Customer Names'!B:B, "No Data")</f>
        <v>Keys</v>
      </c>
      <c r="C2312" s="28">
        <f t="array" ref="C2312">_xlfn.XLOOKUP($A2312, 'Medical Examinations'!$A:$A, 'Medical Examinations'!B:B, "No Data")</f>
        <v>25.19</v>
      </c>
      <c r="D2312" s="28">
        <f t="array" ref="D2312">_xlfn.XLOOKUP($A2312, 'Medical Examinations'!$A:$A, 'Medical Examinations'!C:C, "No Data")</f>
        <v>5.64</v>
      </c>
      <c r="E2312" s="28" t="str">
        <f t="array" ref="E2312">_xlfn.XLOOKUP($A2312, 'Medical Examinations'!$A:$A, 'Medical Examinations'!D:D, "No Data")</f>
        <v>yes</v>
      </c>
      <c r="F2312" s="28" t="str">
        <f t="array" ref="F2312">_xlfn.XLOOKUP($A2312, 'Medical Examinations'!$A:$A, 'Medical Examinations'!E:E, "No Data")</f>
        <v>No</v>
      </c>
      <c r="G2312" s="28" t="str">
        <f t="array" ref="G2312">_xlfn.XLOOKUP($A2312, 'Medical Examinations'!$A:$A, 'Medical Examinations'!F:F, "No Data")</f>
        <v>No</v>
      </c>
      <c r="H2312" s="28">
        <f t="array" ref="H2312">_xlfn.XLOOKUP($A2312, 'Medical Examinations'!$A:$A, 'Medical Examinations'!G:G, "No Data")</f>
        <v>0</v>
      </c>
      <c r="I2312" s="28" t="str">
        <f t="array" ref="I2312">_xlfn.XLOOKUP($A2312, 'Medical Examinations'!$A:$A, 'Medical Examinations'!H:H, "No Data")</f>
        <v>No</v>
      </c>
      <c r="J2312" s="28" t="str">
        <f t="array" ref="J2312">_xlfn.XLOOKUP($A2312, 'Medical Examinations'!$A:$A, 'Medical Examinations'!I:I, "No Data")</f>
        <v>Overweight</v>
      </c>
      <c r="K2312" s="28" t="str">
        <f t="array" ref="K2312">_xlfn.XLOOKUP($A2312, 'Hospitalisation Details'!$A:$A, 'Hospitalisation Details'!I:I, "No Data")</f>
        <v>tier - 2</v>
      </c>
      <c r="L2312" s="28" t="str">
        <f t="array" ref="L2312">_xlfn.XLOOKUP($A2312, 'Hospitalisation Details'!$A:$A, 'Hospitalisation Details'!J:J, "No Data")</f>
        <v>R1013</v>
      </c>
      <c r="M2312" s="28" t="str">
        <f t="array" ref="M2312">_xlfn.XLOOKUP($A2312, 'Hospitalisation Details'!$A:$A, 'Hospitalisation Details'!E:E, "No Data")</f>
        <v>19/08/01</v>
      </c>
      <c r="N2312" s="28">
        <f t="array" ref="N2312">_xlfn.XLOOKUP($A2312, 'Hospitalisation Details'!$A:$A, 'Hospitalisation Details'!K:K, "No Data")</f>
        <v>21</v>
      </c>
      <c r="O2312" s="33">
        <f t="array" ref="O2312">_xlfn.XLOOKUP($A2312, 'Hospitalisation Details'!$A:$A, 'Hospitalisation Details'!G:G, "No Data")</f>
        <v>964.71</v>
      </c>
      <c r="P2312" s="28" t="str">
        <f t="array" ref="P2312">_xlfn.XLOOKUP($A2312, 'Hospitalisation Details'!$A:$A, 'Hospitalisation Details'!H:H, "No Data")</f>
        <v>tier - 3</v>
      </c>
    </row>
    <row r="2313">
      <c r="A2313" s="25" t="s">
        <v>601</v>
      </c>
      <c r="B2313" s="28" t="str">
        <f t="array" ref="B2313">_xlfn.XLOOKUP($A2313, 'Customer Names'!$A:$A, 'Customer Names'!B:B, "No Data")</f>
        <v>Wilbur</v>
      </c>
      <c r="C2313" s="28">
        <f t="array" ref="C2313">_xlfn.XLOOKUP($A2313, 'Medical Examinations'!$A:$A, 'Medical Examinations'!B:B, "No Data")</f>
        <v>20.54</v>
      </c>
      <c r="D2313" s="28">
        <f t="array" ref="D2313">_xlfn.XLOOKUP($A2313, 'Medical Examinations'!$A:$A, 'Medical Examinations'!C:C, "No Data")</f>
        <v>4.2</v>
      </c>
      <c r="E2313" s="28" t="str">
        <f t="array" ref="E2313">_xlfn.XLOOKUP($A2313, 'Medical Examinations'!$A:$A, 'Medical Examinations'!D:D, "No Data")</f>
        <v>yes</v>
      </c>
      <c r="F2313" s="28" t="str">
        <f t="array" ref="F2313">_xlfn.XLOOKUP($A2313, 'Medical Examinations'!$A:$A, 'Medical Examinations'!E:E, "No Data")</f>
        <v>No</v>
      </c>
      <c r="G2313" s="28" t="str">
        <f t="array" ref="G2313">_xlfn.XLOOKUP($A2313, 'Medical Examinations'!$A:$A, 'Medical Examinations'!F:F, "No Data")</f>
        <v>No</v>
      </c>
      <c r="H2313" s="28">
        <f t="array" ref="H2313">_xlfn.XLOOKUP($A2313, 'Medical Examinations'!$A:$A, 'Medical Examinations'!G:G, "No Data")</f>
        <v>1</v>
      </c>
      <c r="I2313" s="28" t="str">
        <f t="array" ref="I2313">_xlfn.XLOOKUP($A2313, 'Medical Examinations'!$A:$A, 'Medical Examinations'!H:H, "No Data")</f>
        <v>No</v>
      </c>
      <c r="J2313" s="28" t="str">
        <f t="array" ref="J2313">_xlfn.XLOOKUP($A2313, 'Medical Examinations'!$A:$A, 'Medical Examinations'!I:I, "No Data")</f>
        <v>Normal Weight</v>
      </c>
      <c r="K2313" s="28" t="str">
        <f t="array" ref="K2313">_xlfn.XLOOKUP($A2313, 'Hospitalisation Details'!$A:$A, 'Hospitalisation Details'!I:I, "No Data")</f>
        <v>tier - 1</v>
      </c>
      <c r="L2313" s="28" t="str">
        <f t="array" ref="L2313">_xlfn.XLOOKUP($A2313, 'Hospitalisation Details'!$A:$A, 'Hospitalisation Details'!J:J, "No Data")</f>
        <v>R1013</v>
      </c>
      <c r="M2313" s="28" t="str">
        <f t="array" ref="M2313">_xlfn.XLOOKUP($A2313, 'Hospitalisation Details'!$A:$A, 'Hospitalisation Details'!E:E, "No Data")</f>
        <v>28/10/95</v>
      </c>
      <c r="N2313" s="28">
        <f t="array" ref="N2313">_xlfn.XLOOKUP($A2313, 'Hospitalisation Details'!$A:$A, 'Hospitalisation Details'!K:K, "No Data")</f>
        <v>27</v>
      </c>
      <c r="O2313" s="33">
        <f t="array" ref="O2313">_xlfn.XLOOKUP($A2313, 'Hospitalisation Details'!$A:$A, 'Hospitalisation Details'!G:G, "No Data")</f>
        <v>928.59</v>
      </c>
      <c r="P2313" s="28" t="str">
        <f t="array" ref="P2313">_xlfn.XLOOKUP($A2313, 'Hospitalisation Details'!$A:$A, 'Hospitalisation Details'!H:H, "No Data")</f>
        <v>tier - 3</v>
      </c>
    </row>
    <row r="2314">
      <c r="A2314" s="25" t="s">
        <v>593</v>
      </c>
      <c r="B2314" s="28" t="str">
        <f t="array" ref="B2314">_xlfn.XLOOKUP($A2314, 'Customer Names'!$A:$A, 'Customer Names'!B:B, "No Data")</f>
        <v>Ditota</v>
      </c>
      <c r="C2314" s="28">
        <f t="array" ref="C2314">_xlfn.XLOOKUP($A2314, 'Medical Examinations'!$A:$A, 'Medical Examinations'!B:B, "No Data")</f>
        <v>20.13</v>
      </c>
      <c r="D2314" s="28">
        <f t="array" ref="D2314">_xlfn.XLOOKUP($A2314, 'Medical Examinations'!$A:$A, 'Medical Examinations'!C:C, "No Data")</f>
        <v>5.42</v>
      </c>
      <c r="E2314" s="28" t="str">
        <f t="array" ref="E2314">_xlfn.XLOOKUP($A2314, 'Medical Examinations'!$A:$A, 'Medical Examinations'!D:D, "No Data")</f>
        <v>No</v>
      </c>
      <c r="F2314" s="28" t="str">
        <f t="array" ref="F2314">_xlfn.XLOOKUP($A2314, 'Medical Examinations'!$A:$A, 'Medical Examinations'!E:E, "No Data")</f>
        <v>No</v>
      </c>
      <c r="G2314" s="28" t="str">
        <f t="array" ref="G2314">_xlfn.XLOOKUP($A2314, 'Medical Examinations'!$A:$A, 'Medical Examinations'!F:F, "No Data")</f>
        <v>No</v>
      </c>
      <c r="H2314" s="28">
        <f t="array" ref="H2314">_xlfn.XLOOKUP($A2314, 'Medical Examinations'!$A:$A, 'Medical Examinations'!G:G, "No Data")</f>
        <v>0</v>
      </c>
      <c r="I2314" s="28" t="str">
        <f t="array" ref="I2314">_xlfn.XLOOKUP($A2314, 'Medical Examinations'!$A:$A, 'Medical Examinations'!H:H, "No Data")</f>
        <v>No</v>
      </c>
      <c r="J2314" s="28" t="str">
        <f t="array" ref="J2314">_xlfn.XLOOKUP($A2314, 'Medical Examinations'!$A:$A, 'Medical Examinations'!I:I, "No Data")</f>
        <v>Normal Weight</v>
      </c>
      <c r="K2314" s="28" t="str">
        <f t="array" ref="K2314">_xlfn.XLOOKUP($A2314, 'Hospitalisation Details'!$A:$A, 'Hospitalisation Details'!I:I, "No Data")</f>
        <v>tier - 1</v>
      </c>
      <c r="L2314" s="28" t="str">
        <f t="array" ref="L2314">_xlfn.XLOOKUP($A2314, 'Hospitalisation Details'!$A:$A, 'Hospitalisation Details'!J:J, "No Data")</f>
        <v>R1013</v>
      </c>
      <c r="M2314" s="28" t="str">
        <f t="array" ref="M2314">_xlfn.XLOOKUP($A2314, 'Hospitalisation Details'!$A:$A, 'Hospitalisation Details'!E:E, "No Data")</f>
        <v>30/10/94</v>
      </c>
      <c r="N2314" s="28">
        <f t="array" ref="N2314">_xlfn.XLOOKUP($A2314, 'Hospitalisation Details'!$A:$A, 'Hospitalisation Details'!K:K, "No Data")</f>
        <v>28</v>
      </c>
      <c r="O2314" s="33">
        <f t="array" ref="O2314">_xlfn.XLOOKUP($A2314, 'Hospitalisation Details'!$A:$A, 'Hospitalisation Details'!G:G, "No Data")</f>
        <v>915.07</v>
      </c>
      <c r="P2314" s="28" t="str">
        <f t="array" ref="P2314">_xlfn.XLOOKUP($A2314, 'Hospitalisation Details'!$A:$A, 'Hospitalisation Details'!H:H, "No Data")</f>
        <v>tier - 3</v>
      </c>
    </row>
    <row r="2315">
      <c r="A2315" s="25" t="s">
        <v>582</v>
      </c>
      <c r="B2315" s="28" t="str">
        <f t="array" ref="B2315">_xlfn.XLOOKUP($A2315, 'Customer Names'!$A:$A, 'Customer Names'!B:B, "No Data")</f>
        <v>Horbol</v>
      </c>
      <c r="C2315" s="28">
        <f t="array" ref="C2315">_xlfn.XLOOKUP($A2315, 'Medical Examinations'!$A:$A, 'Medical Examinations'!B:B, "No Data")</f>
        <v>18.93</v>
      </c>
      <c r="D2315" s="28">
        <f t="array" ref="D2315">_xlfn.XLOOKUP($A2315, 'Medical Examinations'!$A:$A, 'Medical Examinations'!C:C, "No Data")</f>
        <v>6.11</v>
      </c>
      <c r="E2315" s="28" t="str">
        <f t="array" ref="E2315">_xlfn.XLOOKUP($A2315, 'Medical Examinations'!$A:$A, 'Medical Examinations'!D:D, "No Data")</f>
        <v>No</v>
      </c>
      <c r="F2315" s="28" t="str">
        <f t="array" ref="F2315">_xlfn.XLOOKUP($A2315, 'Medical Examinations'!$A:$A, 'Medical Examinations'!E:E, "No Data")</f>
        <v>No</v>
      </c>
      <c r="G2315" s="28" t="str">
        <f t="array" ref="G2315">_xlfn.XLOOKUP($A2315, 'Medical Examinations'!$A:$A, 'Medical Examinations'!F:F, "No Data")</f>
        <v>Yes</v>
      </c>
      <c r="H2315" s="28">
        <f t="array" ref="H2315">_xlfn.XLOOKUP($A2315, 'Medical Examinations'!$A:$A, 'Medical Examinations'!G:G, "No Data")</f>
        <v>1</v>
      </c>
      <c r="I2315" s="28" t="str">
        <f t="array" ref="I2315">_xlfn.XLOOKUP($A2315, 'Medical Examinations'!$A:$A, 'Medical Examinations'!H:H, "No Data")</f>
        <v>No</v>
      </c>
      <c r="J2315" s="28" t="str">
        <f t="array" ref="J2315">_xlfn.XLOOKUP($A2315, 'Medical Examinations'!$A:$A, 'Medical Examinations'!I:I, "No Data")</f>
        <v>Normal Weight</v>
      </c>
      <c r="K2315" s="28" t="str">
        <f t="array" ref="K2315">_xlfn.XLOOKUP($A2315, 'Hospitalisation Details'!$A:$A, 'Hospitalisation Details'!I:I, "No Data")</f>
        <v>tier - 1</v>
      </c>
      <c r="L2315" s="28" t="str">
        <f t="array" ref="L2315">_xlfn.XLOOKUP($A2315, 'Hospitalisation Details'!$A:$A, 'Hospitalisation Details'!J:J, "No Data")</f>
        <v>R1013</v>
      </c>
      <c r="M2315" s="28" t="str">
        <f t="array" ref="M2315">_xlfn.XLOOKUP($A2315, 'Hospitalisation Details'!$A:$A, 'Hospitalisation Details'!E:E, "No Data")</f>
        <v>27/11/93</v>
      </c>
      <c r="N2315" s="28">
        <f t="array" ref="N2315">_xlfn.XLOOKUP($A2315, 'Hospitalisation Details'!$A:$A, 'Hospitalisation Details'!K:K, "No Data")</f>
        <v>29</v>
      </c>
      <c r="O2315" s="33">
        <f t="array" ref="O2315">_xlfn.XLOOKUP($A2315, 'Hospitalisation Details'!$A:$A, 'Hospitalisation Details'!G:G, "No Data")</f>
        <v>896.21</v>
      </c>
      <c r="P2315" s="28" t="str">
        <f t="array" ref="P2315">_xlfn.XLOOKUP($A2315, 'Hospitalisation Details'!$A:$A, 'Hospitalisation Details'!H:H, "No Data")</f>
        <v>tier - 3</v>
      </c>
    </row>
    <row r="2316">
      <c r="A2316" s="25" t="s">
        <v>574</v>
      </c>
      <c r="B2316" s="28" t="str">
        <f t="array" ref="B2316">_xlfn.XLOOKUP($A2316, 'Customer Names'!$A:$A, 'Customer Names'!B:B, "No Data")</f>
        <v>O'Rourke</v>
      </c>
      <c r="C2316" s="28">
        <f t="array" ref="C2316">_xlfn.XLOOKUP($A2316, 'Medical Examinations'!$A:$A, 'Medical Examinations'!B:B, "No Data")</f>
        <v>24.14</v>
      </c>
      <c r="D2316" s="28">
        <f t="array" ref="D2316">_xlfn.XLOOKUP($A2316, 'Medical Examinations'!$A:$A, 'Medical Examinations'!C:C, "No Data")</f>
        <v>5.29</v>
      </c>
      <c r="E2316" s="28" t="str">
        <f t="array" ref="E2316">_xlfn.XLOOKUP($A2316, 'Medical Examinations'!$A:$A, 'Medical Examinations'!D:D, "No Data")</f>
        <v>No</v>
      </c>
      <c r="F2316" s="28" t="str">
        <f t="array" ref="F2316">_xlfn.XLOOKUP($A2316, 'Medical Examinations'!$A:$A, 'Medical Examinations'!E:E, "No Data")</f>
        <v>yes</v>
      </c>
      <c r="G2316" s="28" t="str">
        <f t="array" ref="G2316">_xlfn.XLOOKUP($A2316, 'Medical Examinations'!$A:$A, 'Medical Examinations'!F:F, "No Data")</f>
        <v>No</v>
      </c>
      <c r="H2316" s="28">
        <f t="array" ref="H2316">_xlfn.XLOOKUP($A2316, 'Medical Examinations'!$A:$A, 'Medical Examinations'!G:G, "No Data")</f>
        <v>1</v>
      </c>
      <c r="I2316" s="28" t="str">
        <f t="array" ref="I2316">_xlfn.XLOOKUP($A2316, 'Medical Examinations'!$A:$A, 'Medical Examinations'!H:H, "No Data")</f>
        <v>No</v>
      </c>
      <c r="J2316" s="28" t="str">
        <f t="array" ref="J2316">_xlfn.XLOOKUP($A2316, 'Medical Examinations'!$A:$A, 'Medical Examinations'!I:I, "No Data")</f>
        <v>Normal Weight</v>
      </c>
      <c r="K2316" s="28" t="str">
        <f t="array" ref="K2316">_xlfn.XLOOKUP($A2316, 'Hospitalisation Details'!$A:$A, 'Hospitalisation Details'!I:I, "No Data")</f>
        <v>tier - 1</v>
      </c>
      <c r="L2316" s="28" t="str">
        <f t="array" ref="L2316">_xlfn.XLOOKUP($A2316, 'Hospitalisation Details'!$A:$A, 'Hospitalisation Details'!J:J, "No Data")</f>
        <v>R1013</v>
      </c>
      <c r="M2316" s="28" t="str">
        <f t="array" ref="M2316">_xlfn.XLOOKUP($A2316, 'Hospitalisation Details'!$A:$A, 'Hospitalisation Details'!E:E, "No Data")</f>
        <v>18/11/00</v>
      </c>
      <c r="N2316" s="28">
        <f t="array" ref="N2316">_xlfn.XLOOKUP($A2316, 'Hospitalisation Details'!$A:$A, 'Hospitalisation Details'!K:K, "No Data")</f>
        <v>22</v>
      </c>
      <c r="O2316" s="33">
        <f t="array" ref="O2316">_xlfn.XLOOKUP($A2316, 'Hospitalisation Details'!$A:$A, 'Hospitalisation Details'!G:G, "No Data")</f>
        <v>865.41</v>
      </c>
      <c r="P2316" s="28" t="str">
        <f t="array" ref="P2316">_xlfn.XLOOKUP($A2316, 'Hospitalisation Details'!$A:$A, 'Hospitalisation Details'!H:H, "No Data")</f>
        <v>tier - 3</v>
      </c>
    </row>
    <row r="2317">
      <c r="A2317" s="25" t="s">
        <v>564</v>
      </c>
      <c r="B2317" s="28" t="str">
        <f t="array" ref="B2317">_xlfn.XLOOKUP($A2317, 'Customer Names'!$A:$A, 'Customer Names'!B:B, "No Data")</f>
        <v>Williams</v>
      </c>
      <c r="C2317" s="28">
        <f t="array" ref="C2317">_xlfn.XLOOKUP($A2317, 'Medical Examinations'!$A:$A, 'Medical Examinations'!B:B, "No Data")</f>
        <v>25.03</v>
      </c>
      <c r="D2317" s="28">
        <f t="array" ref="D2317">_xlfn.XLOOKUP($A2317, 'Medical Examinations'!$A:$A, 'Medical Examinations'!C:C, "No Data")</f>
        <v>5.91</v>
      </c>
      <c r="E2317" s="28" t="str">
        <f t="array" ref="E2317">_xlfn.XLOOKUP($A2317, 'Medical Examinations'!$A:$A, 'Medical Examinations'!D:D, "No Data")</f>
        <v>No</v>
      </c>
      <c r="F2317" s="28" t="str">
        <f t="array" ref="F2317">_xlfn.XLOOKUP($A2317, 'Medical Examinations'!$A:$A, 'Medical Examinations'!E:E, "No Data")</f>
        <v>yes</v>
      </c>
      <c r="G2317" s="28" t="str">
        <f t="array" ref="G2317">_xlfn.XLOOKUP($A2317, 'Medical Examinations'!$A:$A, 'Medical Examinations'!F:F, "No Data")</f>
        <v>No</v>
      </c>
      <c r="H2317" s="28">
        <f t="array" ref="H2317">_xlfn.XLOOKUP($A2317, 'Medical Examinations'!$A:$A, 'Medical Examinations'!G:G, "No Data")</f>
        <v>1</v>
      </c>
      <c r="I2317" s="28" t="str">
        <f t="array" ref="I2317">_xlfn.XLOOKUP($A2317, 'Medical Examinations'!$A:$A, 'Medical Examinations'!H:H, "No Data")</f>
        <v>No</v>
      </c>
      <c r="J2317" s="28" t="str">
        <f t="array" ref="J2317">_xlfn.XLOOKUP($A2317, 'Medical Examinations'!$A:$A, 'Medical Examinations'!I:I, "No Data")</f>
        <v>Overweight</v>
      </c>
      <c r="K2317" s="28" t="str">
        <f t="array" ref="K2317">_xlfn.XLOOKUP($A2317, 'Hospitalisation Details'!$A:$A, 'Hospitalisation Details'!I:I, "No Data")</f>
        <v>tier - 2</v>
      </c>
      <c r="L2317" s="28" t="str">
        <f t="array" ref="L2317">_xlfn.XLOOKUP($A2317, 'Hospitalisation Details'!$A:$A, 'Hospitalisation Details'!J:J, "No Data")</f>
        <v>R1011</v>
      </c>
      <c r="M2317" s="28" t="str">
        <f t="array" ref="M2317">_xlfn.XLOOKUP($A2317, 'Hospitalisation Details'!$A:$A, 'Hospitalisation Details'!E:E, "No Data")</f>
        <v>07/10/04</v>
      </c>
      <c r="N2317" s="28">
        <f t="array" ref="N2317">_xlfn.XLOOKUP($A2317, 'Hospitalisation Details'!$A:$A, 'Hospitalisation Details'!K:K, "No Data")</f>
        <v>18</v>
      </c>
      <c r="O2317" s="33">
        <f t="array" ref="O2317">_xlfn.XLOOKUP($A2317, 'Hospitalisation Details'!$A:$A, 'Hospitalisation Details'!G:G, "No Data")</f>
        <v>830.52</v>
      </c>
      <c r="P2317" s="28" t="str">
        <f t="array" ref="P2317">_xlfn.XLOOKUP($A2317, 'Hospitalisation Details'!$A:$A, 'Hospitalisation Details'!H:H, "No Data")</f>
        <v>tier - 3</v>
      </c>
    </row>
    <row r="2318">
      <c r="A2318" s="25" t="s">
        <v>556</v>
      </c>
      <c r="B2318" s="28" t="str">
        <f t="array" ref="B2318">_xlfn.XLOOKUP($A2318, 'Customer Names'!$A:$A, 'Customer Names'!B:B, "No Data")</f>
        <v>Murakami</v>
      </c>
      <c r="C2318" s="28">
        <f t="array" ref="C2318">_xlfn.XLOOKUP($A2318, 'Medical Examinations'!$A:$A, 'Medical Examinations'!B:B, "No Data")</f>
        <v>20.47</v>
      </c>
      <c r="D2318" s="28">
        <f t="array" ref="D2318">_xlfn.XLOOKUP($A2318, 'Medical Examinations'!$A:$A, 'Medical Examinations'!C:C, "No Data")</f>
        <v>5.81</v>
      </c>
      <c r="E2318" s="28" t="str">
        <f t="array" ref="E2318">_xlfn.XLOOKUP($A2318, 'Medical Examinations'!$A:$A, 'Medical Examinations'!D:D, "No Data")</f>
        <v>yes</v>
      </c>
      <c r="F2318" s="28" t="str">
        <f t="array" ref="F2318">_xlfn.XLOOKUP($A2318, 'Medical Examinations'!$A:$A, 'Medical Examinations'!E:E, "No Data")</f>
        <v>No</v>
      </c>
      <c r="G2318" s="28" t="str">
        <f t="array" ref="G2318">_xlfn.XLOOKUP($A2318, 'Medical Examinations'!$A:$A, 'Medical Examinations'!F:F, "No Data")</f>
        <v>No</v>
      </c>
      <c r="H2318" s="28">
        <f t="array" ref="H2318">_xlfn.XLOOKUP($A2318, 'Medical Examinations'!$A:$A, 'Medical Examinations'!G:G, "No Data")</f>
        <v>1</v>
      </c>
      <c r="I2318" s="28" t="str">
        <f t="array" ref="I2318">_xlfn.XLOOKUP($A2318, 'Medical Examinations'!$A:$A, 'Medical Examinations'!H:H, "No Data")</f>
        <v>No</v>
      </c>
      <c r="J2318" s="28" t="str">
        <f t="array" ref="J2318">_xlfn.XLOOKUP($A2318, 'Medical Examinations'!$A:$A, 'Medical Examinations'!I:I, "No Data")</f>
        <v>Normal Weight</v>
      </c>
      <c r="K2318" s="28" t="str">
        <f t="array" ref="K2318">_xlfn.XLOOKUP($A2318, 'Hospitalisation Details'!$A:$A, 'Hospitalisation Details'!I:I, "No Data")</f>
        <v>tier - 2</v>
      </c>
      <c r="L2318" s="28" t="str">
        <f t="array" ref="L2318">_xlfn.XLOOKUP($A2318, 'Hospitalisation Details'!$A:$A, 'Hospitalisation Details'!J:J, "No Data")</f>
        <v>R1013</v>
      </c>
      <c r="M2318" s="28" t="str">
        <f t="array" ref="M2318">_xlfn.XLOOKUP($A2318, 'Hospitalisation Details'!$A:$A, 'Hospitalisation Details'!E:E, "No Data")</f>
        <v>07/12/95</v>
      </c>
      <c r="N2318" s="28">
        <f t="array" ref="N2318">_xlfn.XLOOKUP($A2318, 'Hospitalisation Details'!$A:$A, 'Hospitalisation Details'!K:K, "No Data")</f>
        <v>27</v>
      </c>
      <c r="O2318" s="33">
        <f t="array" ref="O2318">_xlfn.XLOOKUP($A2318, 'Hospitalisation Details'!$A:$A, 'Hospitalisation Details'!G:G, "No Data")</f>
        <v>773.54</v>
      </c>
      <c r="P2318" s="28" t="str">
        <f t="array" ref="P2318">_xlfn.XLOOKUP($A2318, 'Hospitalisation Details'!$A:$A, 'Hospitalisation Details'!H:H, "No Data")</f>
        <v>tier - 3</v>
      </c>
    </row>
    <row r="2319">
      <c r="A2319" s="25" t="s">
        <v>545</v>
      </c>
      <c r="B2319" s="28" t="str">
        <f t="array" ref="B2319">_xlfn.XLOOKUP($A2319, 'Customer Names'!$A:$A, 'Customer Names'!B:B, "No Data")</f>
        <v>Gagnon</v>
      </c>
      <c r="C2319" s="28">
        <f t="array" ref="C2319">_xlfn.XLOOKUP($A2319, 'Medical Examinations'!$A:$A, 'Medical Examinations'!B:B, "No Data")</f>
        <v>18.82</v>
      </c>
      <c r="D2319" s="28">
        <f t="array" ref="D2319">_xlfn.XLOOKUP($A2319, 'Medical Examinations'!$A:$A, 'Medical Examinations'!C:C, "No Data")</f>
        <v>5.51</v>
      </c>
      <c r="E2319" s="28" t="str">
        <f t="array" ref="E2319">_xlfn.XLOOKUP($A2319, 'Medical Examinations'!$A:$A, 'Medical Examinations'!D:D, "No Data")</f>
        <v>yes</v>
      </c>
      <c r="F2319" s="28" t="str">
        <f t="array" ref="F2319">_xlfn.XLOOKUP($A2319, 'Medical Examinations'!$A:$A, 'Medical Examinations'!E:E, "No Data")</f>
        <v>No</v>
      </c>
      <c r="G2319" s="28" t="str">
        <f t="array" ref="G2319">_xlfn.XLOOKUP($A2319, 'Medical Examinations'!$A:$A, 'Medical Examinations'!F:F, "No Data")</f>
        <v>No</v>
      </c>
      <c r="H2319" s="28">
        <f t="array" ref="H2319">_xlfn.XLOOKUP($A2319, 'Medical Examinations'!$A:$A, 'Medical Examinations'!G:G, "No Data")</f>
        <v>0</v>
      </c>
      <c r="I2319" s="28" t="str">
        <f t="array" ref="I2319">_xlfn.XLOOKUP($A2319, 'Medical Examinations'!$A:$A, 'Medical Examinations'!H:H, "No Data")</f>
        <v>No</v>
      </c>
      <c r="J2319" s="28" t="str">
        <f t="array" ref="J2319">_xlfn.XLOOKUP($A2319, 'Medical Examinations'!$A:$A, 'Medical Examinations'!I:I, "No Data")</f>
        <v>Normal Weight</v>
      </c>
      <c r="K2319" s="28" t="str">
        <f t="array" ref="K2319">_xlfn.XLOOKUP($A2319, 'Hospitalisation Details'!$A:$A, 'Hospitalisation Details'!I:I, "No Data")</f>
        <v>tier - 2</v>
      </c>
      <c r="L2319" s="28" t="str">
        <f t="array" ref="L2319">_xlfn.XLOOKUP($A2319, 'Hospitalisation Details'!$A:$A, 'Hospitalisation Details'!J:J, "No Data")</f>
        <v>R1012</v>
      </c>
      <c r="M2319" s="35" t="s">
        <v>724</v>
      </c>
      <c r="N2319" s="28" t="str">
        <f t="array" ref="N2319">_xlfn.XLOOKUP($A2319, 'Hospitalisation Details'!$A:$A, 'Hospitalisation Details'!K:K, "No Data")</f>
        <v>No Data</v>
      </c>
      <c r="O2319" s="33">
        <f t="array" ref="O2319">_xlfn.XLOOKUP($A2319, 'Hospitalisation Details'!$A:$A, 'Hospitalisation Details'!G:G, "No Data")</f>
        <v>770.38</v>
      </c>
      <c r="P2319" s="28" t="str">
        <f t="array" ref="P2319">_xlfn.XLOOKUP($A2319, 'Hospitalisation Details'!$A:$A, 'Hospitalisation Details'!H:H, "No Data")</f>
        <v>tier - 3</v>
      </c>
    </row>
    <row r="2320">
      <c r="A2320" s="25" t="s">
        <v>535</v>
      </c>
      <c r="B2320" s="28" t="str">
        <f t="array" ref="B2320">_xlfn.XLOOKUP($A2320, 'Customer Names'!$A:$A, 'Customer Names'!B:B, "No Data")</f>
        <v>Petermann</v>
      </c>
      <c r="C2320" s="28">
        <f t="array" ref="C2320">_xlfn.XLOOKUP($A2320, 'Medical Examinations'!$A:$A, 'Medical Examinations'!B:B, "No Data")</f>
        <v>17.08</v>
      </c>
      <c r="D2320" s="28">
        <f t="array" ref="D2320">_xlfn.XLOOKUP($A2320, 'Medical Examinations'!$A:$A, 'Medical Examinations'!C:C, "No Data")</f>
        <v>5.73</v>
      </c>
      <c r="E2320" s="28" t="str">
        <f t="array" ref="E2320">_xlfn.XLOOKUP($A2320, 'Medical Examinations'!$A:$A, 'Medical Examinations'!D:D, "No Data")</f>
        <v>No</v>
      </c>
      <c r="F2320" s="28" t="str">
        <f t="array" ref="F2320">_xlfn.XLOOKUP($A2320, 'Medical Examinations'!$A:$A, 'Medical Examinations'!E:E, "No Data")</f>
        <v>No</v>
      </c>
      <c r="G2320" s="28" t="str">
        <f t="array" ref="G2320">_xlfn.XLOOKUP($A2320, 'Medical Examinations'!$A:$A, 'Medical Examinations'!F:F, "No Data")</f>
        <v>Yes</v>
      </c>
      <c r="H2320" s="28">
        <f t="array" ref="H2320">_xlfn.XLOOKUP($A2320, 'Medical Examinations'!$A:$A, 'Medical Examinations'!G:G, "No Data")</f>
        <v>1</v>
      </c>
      <c r="I2320" s="28" t="str">
        <f t="array" ref="I2320">_xlfn.XLOOKUP($A2320, 'Medical Examinations'!$A:$A, 'Medical Examinations'!H:H, "No Data")</f>
        <v>No</v>
      </c>
      <c r="J2320" s="28" t="str">
        <f t="array" ref="J2320">_xlfn.XLOOKUP($A2320, 'Medical Examinations'!$A:$A, 'Medical Examinations'!I:I, "No Data")</f>
        <v>Underweight</v>
      </c>
      <c r="K2320" s="28" t="str">
        <f t="array" ref="K2320">_xlfn.XLOOKUP($A2320, 'Hospitalisation Details'!$A:$A, 'Hospitalisation Details'!I:I, "No Data")</f>
        <v>tier - 3</v>
      </c>
      <c r="L2320" s="28" t="str">
        <f t="array" ref="L2320">_xlfn.XLOOKUP($A2320, 'Hospitalisation Details'!$A:$A, 'Hospitalisation Details'!J:J, "No Data")</f>
        <v>R1013</v>
      </c>
      <c r="M2320" s="28" t="str">
        <f t="array" ref="M2320">_xlfn.XLOOKUP($A2320, 'Hospitalisation Details'!$A:$A, 'Hospitalisation Details'!E:E, "No Data")</f>
        <v>28/06/93</v>
      </c>
      <c r="N2320" s="28">
        <f t="array" ref="N2320">_xlfn.XLOOKUP($A2320, 'Hospitalisation Details'!$A:$A, 'Hospitalisation Details'!K:K, "No Data")</f>
        <v>29</v>
      </c>
      <c r="O2320" s="33">
        <f t="array" ref="O2320">_xlfn.XLOOKUP($A2320, 'Hospitalisation Details'!$A:$A, 'Hospitalisation Details'!G:G, "No Data")</f>
        <v>770</v>
      </c>
      <c r="P2320" s="28" t="str">
        <f t="array" ref="P2320">_xlfn.XLOOKUP($A2320, 'Hospitalisation Details'!$A:$A, 'Hospitalisation Details'!H:H, "No Data")</f>
        <v>tier - 3</v>
      </c>
    </row>
    <row r="2321">
      <c r="A2321" s="25" t="s">
        <v>515</v>
      </c>
      <c r="B2321" s="28" t="str">
        <f t="array" ref="B2321">_xlfn.XLOOKUP($A2321, 'Customer Names'!$A:$A, 'Customer Names'!B:B, "No Data")</f>
        <v>Graves - Rostro</v>
      </c>
      <c r="C2321" s="28">
        <f t="array" ref="C2321">_xlfn.XLOOKUP($A2321, 'Medical Examinations'!$A:$A, 'Medical Examinations'!B:B, "No Data")</f>
        <v>19.21</v>
      </c>
      <c r="D2321" s="28">
        <f t="array" ref="D2321">_xlfn.XLOOKUP($A2321, 'Medical Examinations'!$A:$A, 'Medical Examinations'!C:C, "No Data")</f>
        <v>5.53</v>
      </c>
      <c r="E2321" s="28" t="str">
        <f t="array" ref="E2321">_xlfn.XLOOKUP($A2321, 'Medical Examinations'!$A:$A, 'Medical Examinations'!D:D, "No Data")</f>
        <v>yes</v>
      </c>
      <c r="F2321" s="28" t="str">
        <f t="array" ref="F2321">_xlfn.XLOOKUP($A2321, 'Medical Examinations'!$A:$A, 'Medical Examinations'!E:E, "No Data")</f>
        <v>No</v>
      </c>
      <c r="G2321" s="28" t="str">
        <f t="array" ref="G2321">_xlfn.XLOOKUP($A2321, 'Medical Examinations'!$A:$A, 'Medical Examinations'!F:F, "No Data")</f>
        <v>No</v>
      </c>
      <c r="H2321" s="28">
        <f t="array" ref="H2321">_xlfn.XLOOKUP($A2321, 'Medical Examinations'!$A:$A, 'Medical Examinations'!G:G, "No Data")</f>
        <v>0</v>
      </c>
      <c r="I2321" s="28" t="str">
        <f t="array" ref="I2321">_xlfn.XLOOKUP($A2321, 'Medical Examinations'!$A:$A, 'Medical Examinations'!H:H, "No Data")</f>
        <v>No</v>
      </c>
      <c r="J2321" s="28" t="str">
        <f t="array" ref="J2321">_xlfn.XLOOKUP($A2321, 'Medical Examinations'!$A:$A, 'Medical Examinations'!I:I, "No Data")</f>
        <v>Normal Weight</v>
      </c>
      <c r="K2321" s="28" t="str">
        <f t="array" ref="K2321">_xlfn.XLOOKUP($A2321, 'Hospitalisation Details'!$A:$A, 'Hospitalisation Details'!I:I, "No Data")</f>
        <v>tier - 3</v>
      </c>
      <c r="L2321" s="28" t="str">
        <f t="array" ref="L2321">_xlfn.XLOOKUP($A2321, 'Hospitalisation Details'!$A:$A, 'Hospitalisation Details'!J:J, "No Data")</f>
        <v>R1013</v>
      </c>
      <c r="M2321" s="28" t="str">
        <f t="array" ref="M2321">_xlfn.XLOOKUP($A2321, 'Hospitalisation Details'!$A:$A, 'Hospitalisation Details'!E:E, "No Data")</f>
        <v>22/10/96</v>
      </c>
      <c r="N2321" s="28">
        <f t="array" ref="N2321">_xlfn.XLOOKUP($A2321, 'Hospitalisation Details'!$A:$A, 'Hospitalisation Details'!K:K, "No Data")</f>
        <v>26</v>
      </c>
      <c r="O2321" s="33">
        <f t="array" ref="O2321">_xlfn.XLOOKUP($A2321, 'Hospitalisation Details'!$A:$A, 'Hospitalisation Details'!G:G, "No Data")</f>
        <v>760</v>
      </c>
      <c r="P2321" s="28" t="str">
        <f t="array" ref="P2321">_xlfn.XLOOKUP($A2321, 'Hospitalisation Details'!$A:$A, 'Hospitalisation Details'!H:H, "No Data")</f>
        <v>tier - 3</v>
      </c>
    </row>
    <row r="2322">
      <c r="A2322" s="25" t="s">
        <v>497</v>
      </c>
      <c r="B2322" s="28" t="str">
        <f t="array" ref="B2322">_xlfn.XLOOKUP($A2322, 'Customer Names'!$A:$A, 'Customer Names'!B:B, "No Data")</f>
        <v>Danielson</v>
      </c>
      <c r="C2322" s="28">
        <f t="array" ref="C2322">_xlfn.XLOOKUP($A2322, 'Medical Examinations'!$A:$A, 'Medical Examinations'!B:B, "No Data")</f>
        <v>17.86</v>
      </c>
      <c r="D2322" s="28">
        <f t="array" ref="D2322">_xlfn.XLOOKUP($A2322, 'Medical Examinations'!$A:$A, 'Medical Examinations'!C:C, "No Data")</f>
        <v>5.43</v>
      </c>
      <c r="E2322" s="28" t="str">
        <f t="array" ref="E2322">_xlfn.XLOOKUP($A2322, 'Medical Examinations'!$A:$A, 'Medical Examinations'!D:D, "No Data")</f>
        <v>No</v>
      </c>
      <c r="F2322" s="28" t="str">
        <f t="array" ref="F2322">_xlfn.XLOOKUP($A2322, 'Medical Examinations'!$A:$A, 'Medical Examinations'!E:E, "No Data")</f>
        <v>No</v>
      </c>
      <c r="G2322" s="28" t="str">
        <f t="array" ref="G2322">_xlfn.XLOOKUP($A2322, 'Medical Examinations'!$A:$A, 'Medical Examinations'!F:F, "No Data")</f>
        <v>Yes</v>
      </c>
      <c r="H2322" s="28">
        <f t="array" ref="H2322">_xlfn.XLOOKUP($A2322, 'Medical Examinations'!$A:$A, 'Medical Examinations'!G:G, "No Data")</f>
        <v>1</v>
      </c>
      <c r="I2322" s="28" t="str">
        <f t="array" ref="I2322">_xlfn.XLOOKUP($A2322, 'Medical Examinations'!$A:$A, 'Medical Examinations'!H:H, "No Data")</f>
        <v>No</v>
      </c>
      <c r="J2322" s="28" t="str">
        <f t="array" ref="J2322">_xlfn.XLOOKUP($A2322, 'Medical Examinations'!$A:$A, 'Medical Examinations'!I:I, "No Data")</f>
        <v>Underweight</v>
      </c>
      <c r="K2322" s="28" t="str">
        <f t="array" ref="K2322">_xlfn.XLOOKUP($A2322, 'Hospitalisation Details'!$A:$A, 'Hospitalisation Details'!I:I, "No Data")</f>
        <v>tier - 1</v>
      </c>
      <c r="L2322" s="28" t="str">
        <f t="array" ref="L2322">_xlfn.XLOOKUP($A2322, 'Hospitalisation Details'!$A:$A, 'Hospitalisation Details'!J:J, "No Data")</f>
        <v>R1013</v>
      </c>
      <c r="M2322" s="28" t="str">
        <f t="array" ref="M2322">_xlfn.XLOOKUP($A2322, 'Hospitalisation Details'!$A:$A, 'Hospitalisation Details'!E:E, "No Data")</f>
        <v>09/08/93</v>
      </c>
      <c r="N2322" s="28">
        <f t="array" ref="N2322">_xlfn.XLOOKUP($A2322, 'Hospitalisation Details'!$A:$A, 'Hospitalisation Details'!K:K, "No Data")</f>
        <v>29</v>
      </c>
      <c r="O2322" s="33">
        <f t="array" ref="O2322">_xlfn.XLOOKUP($A2322, 'Hospitalisation Details'!$A:$A, 'Hospitalisation Details'!G:G, "No Data")</f>
        <v>760</v>
      </c>
      <c r="P2322" s="28" t="str">
        <f t="array" ref="P2322">_xlfn.XLOOKUP($A2322, 'Hospitalisation Details'!$A:$A, 'Hospitalisation Details'!H:H, "No Data")</f>
        <v>tier - 3</v>
      </c>
    </row>
    <row r="2323">
      <c r="A2323" s="25" t="s">
        <v>482</v>
      </c>
      <c r="B2323" s="28" t="str">
        <f t="array" ref="B2323">_xlfn.XLOOKUP($A2323, 'Customer Names'!$A:$A, 'Customer Names'!B:B, "No Data")</f>
        <v>Street</v>
      </c>
      <c r="C2323" s="28">
        <f t="array" ref="C2323">_xlfn.XLOOKUP($A2323, 'Medical Examinations'!$A:$A, 'Medical Examinations'!B:B, "No Data")</f>
        <v>21.38</v>
      </c>
      <c r="D2323" s="28">
        <f t="array" ref="D2323">_xlfn.XLOOKUP($A2323, 'Medical Examinations'!$A:$A, 'Medical Examinations'!C:C, "No Data")</f>
        <v>8.01</v>
      </c>
      <c r="E2323" s="28" t="str">
        <f t="array" ref="E2323">_xlfn.XLOOKUP($A2323, 'Medical Examinations'!$A:$A, 'Medical Examinations'!D:D, "No Data")</f>
        <v>No</v>
      </c>
      <c r="F2323" s="28" t="str">
        <f t="array" ref="F2323">_xlfn.XLOOKUP($A2323, 'Medical Examinations'!$A:$A, 'Medical Examinations'!E:E, "No Data")</f>
        <v>No</v>
      </c>
      <c r="G2323" s="28" t="str">
        <f t="array" ref="G2323">_xlfn.XLOOKUP($A2323, 'Medical Examinations'!$A:$A, 'Medical Examinations'!F:F, "No Data")</f>
        <v>No</v>
      </c>
      <c r="H2323" s="28">
        <f t="array" ref="H2323">_xlfn.XLOOKUP($A2323, 'Medical Examinations'!$A:$A, 'Medical Examinations'!G:G, "No Data")</f>
        <v>0</v>
      </c>
      <c r="I2323" s="28" t="str">
        <f t="array" ref="I2323">_xlfn.XLOOKUP($A2323, 'Medical Examinations'!$A:$A, 'Medical Examinations'!H:H, "No Data")</f>
        <v>No</v>
      </c>
      <c r="J2323" s="28" t="str">
        <f t="array" ref="J2323">_xlfn.XLOOKUP($A2323, 'Medical Examinations'!$A:$A, 'Medical Examinations'!I:I, "No Data")</f>
        <v>Normal Weight</v>
      </c>
      <c r="K2323" s="28" t="str">
        <f t="array" ref="K2323">_xlfn.XLOOKUP($A2323, 'Hospitalisation Details'!$A:$A, 'Hospitalisation Details'!I:I, "No Data")</f>
        <v>tier - 1</v>
      </c>
      <c r="L2323" s="28" t="str">
        <f t="array" ref="L2323">_xlfn.XLOOKUP($A2323, 'Hospitalisation Details'!$A:$A, 'Hospitalisation Details'!J:J, "No Data")</f>
        <v>R1012</v>
      </c>
      <c r="M2323" s="35" t="s">
        <v>724</v>
      </c>
      <c r="N2323" s="28" t="str">
        <f t="array" ref="N2323">_xlfn.XLOOKUP($A2323, 'Hospitalisation Details'!$A:$A, 'Hospitalisation Details'!K:K, "No Data")</f>
        <v>No Data</v>
      </c>
      <c r="O2323" s="33">
        <f t="array" ref="O2323">_xlfn.XLOOKUP($A2323, 'Hospitalisation Details'!$A:$A, 'Hospitalisation Details'!G:G, "No Data")</f>
        <v>750</v>
      </c>
      <c r="P2323" s="28" t="str">
        <f t="array" ref="P2323">_xlfn.XLOOKUP($A2323, 'Hospitalisation Details'!$A:$A, 'Hospitalisation Details'!H:H, "No Data")</f>
        <v>tier - 3</v>
      </c>
    </row>
    <row r="2324">
      <c r="A2324" s="25" t="s">
        <v>469</v>
      </c>
      <c r="B2324" s="28" t="str">
        <f t="array" ref="B2324">_xlfn.XLOOKUP($A2324, 'Customer Names'!$A:$A, 'Customer Names'!B:B, "No Data")</f>
        <v>Buss</v>
      </c>
      <c r="C2324" s="28">
        <f t="array" ref="C2324">_xlfn.XLOOKUP($A2324, 'Medical Examinations'!$A:$A, 'Medical Examinations'!B:B, "No Data")</f>
        <v>23.35</v>
      </c>
      <c r="D2324" s="28">
        <f t="array" ref="D2324">_xlfn.XLOOKUP($A2324, 'Medical Examinations'!$A:$A, 'Medical Examinations'!C:C, "No Data")</f>
        <v>5.94</v>
      </c>
      <c r="E2324" s="28" t="str">
        <f t="array" ref="E2324">_xlfn.XLOOKUP($A2324, 'Medical Examinations'!$A:$A, 'Medical Examinations'!D:D, "No Data")</f>
        <v>No</v>
      </c>
      <c r="F2324" s="28" t="str">
        <f t="array" ref="F2324">_xlfn.XLOOKUP($A2324, 'Medical Examinations'!$A:$A, 'Medical Examinations'!E:E, "No Data")</f>
        <v>No</v>
      </c>
      <c r="G2324" s="28" t="str">
        <f t="array" ref="G2324">_xlfn.XLOOKUP($A2324, 'Medical Examinations'!$A:$A, 'Medical Examinations'!F:F, "No Data")</f>
        <v>No</v>
      </c>
      <c r="H2324" s="28">
        <f t="array" ref="H2324">_xlfn.XLOOKUP($A2324, 'Medical Examinations'!$A:$A, 'Medical Examinations'!G:G, "No Data")</f>
        <v>0</v>
      </c>
      <c r="I2324" s="28" t="str">
        <f t="array" ref="I2324">_xlfn.XLOOKUP($A2324, 'Medical Examinations'!$A:$A, 'Medical Examinations'!H:H, "No Data")</f>
        <v>No</v>
      </c>
      <c r="J2324" s="28" t="str">
        <f t="array" ref="J2324">_xlfn.XLOOKUP($A2324, 'Medical Examinations'!$A:$A, 'Medical Examinations'!I:I, "No Data")</f>
        <v>Normal Weight</v>
      </c>
      <c r="K2324" s="28" t="str">
        <f t="array" ref="K2324">_xlfn.XLOOKUP($A2324, 'Hospitalisation Details'!$A:$A, 'Hospitalisation Details'!I:I, "No Data")</f>
        <v>tier - 1</v>
      </c>
      <c r="L2324" s="28" t="str">
        <f t="array" ref="L2324">_xlfn.XLOOKUP($A2324, 'Hospitalisation Details'!$A:$A, 'Hospitalisation Details'!J:J, "No Data")</f>
        <v>R1013</v>
      </c>
      <c r="M2324" s="28" t="str">
        <f t="array" ref="M2324">_xlfn.XLOOKUP($A2324, 'Hospitalisation Details'!$A:$A, 'Hospitalisation Details'!E:E, "No Data")</f>
        <v>14/12/99</v>
      </c>
      <c r="N2324" s="28">
        <f t="array" ref="N2324">_xlfn.XLOOKUP($A2324, 'Hospitalisation Details'!$A:$A, 'Hospitalisation Details'!K:K, "No Data")</f>
        <v>23</v>
      </c>
      <c r="O2324" s="33">
        <f t="array" ref="O2324">_xlfn.XLOOKUP($A2324, 'Hospitalisation Details'!$A:$A, 'Hospitalisation Details'!G:G, "No Data")</f>
        <v>722.99</v>
      </c>
      <c r="P2324" s="28" t="str">
        <f t="array" ref="P2324">_xlfn.XLOOKUP($A2324, 'Hospitalisation Details'!$A:$A, 'Hospitalisation Details'!H:H, "No Data")</f>
        <v>tier - 3</v>
      </c>
    </row>
    <row r="2325">
      <c r="A2325" s="25" t="s">
        <v>454</v>
      </c>
      <c r="B2325" s="28" t="str">
        <f t="array" ref="B2325">_xlfn.XLOOKUP($A2325, 'Customer Names'!$A:$A, 'Customer Names'!B:B, "No Data")</f>
        <v>Duffy</v>
      </c>
      <c r="C2325" s="28">
        <f t="array" ref="C2325">_xlfn.XLOOKUP($A2325, 'Medical Examinations'!$A:$A, 'Medical Examinations'!B:B, "No Data")</f>
        <v>22.24</v>
      </c>
      <c r="D2325" s="28">
        <f t="array" ref="D2325">_xlfn.XLOOKUP($A2325, 'Medical Examinations'!$A:$A, 'Medical Examinations'!C:C, "No Data")</f>
        <v>5.04</v>
      </c>
      <c r="E2325" s="28" t="str">
        <f t="array" ref="E2325">_xlfn.XLOOKUP($A2325, 'Medical Examinations'!$A:$A, 'Medical Examinations'!D:D, "No Data")</f>
        <v>No</v>
      </c>
      <c r="F2325" s="28" t="str">
        <f t="array" ref="F2325">_xlfn.XLOOKUP($A2325, 'Medical Examinations'!$A:$A, 'Medical Examinations'!E:E, "No Data")</f>
        <v>No</v>
      </c>
      <c r="G2325" s="28" t="str">
        <f t="array" ref="G2325">_xlfn.XLOOKUP($A2325, 'Medical Examinations'!$A:$A, 'Medical Examinations'!F:F, "No Data")</f>
        <v>No</v>
      </c>
      <c r="H2325" s="28">
        <f t="array" ref="H2325">_xlfn.XLOOKUP($A2325, 'Medical Examinations'!$A:$A, 'Medical Examinations'!G:G, "No Data")</f>
        <v>0</v>
      </c>
      <c r="I2325" s="28" t="str">
        <f t="array" ref="I2325">_xlfn.XLOOKUP($A2325, 'Medical Examinations'!$A:$A, 'Medical Examinations'!H:H, "No Data")</f>
        <v>No</v>
      </c>
      <c r="J2325" s="28" t="str">
        <f t="array" ref="J2325">_xlfn.XLOOKUP($A2325, 'Medical Examinations'!$A:$A, 'Medical Examinations'!I:I, "No Data")</f>
        <v>Normal Weight</v>
      </c>
      <c r="K2325" s="28" t="str">
        <f t="array" ref="K2325">_xlfn.XLOOKUP($A2325, 'Hospitalisation Details'!$A:$A, 'Hospitalisation Details'!I:I, "No Data")</f>
        <v>tier - 3</v>
      </c>
      <c r="L2325" s="28" t="str">
        <f t="array" ref="L2325">_xlfn.XLOOKUP($A2325, 'Hospitalisation Details'!$A:$A, 'Hospitalisation Details'!J:J, "No Data")</f>
        <v>R1013</v>
      </c>
      <c r="M2325" s="28" t="str">
        <f t="array" ref="M2325">_xlfn.XLOOKUP($A2325, 'Hospitalisation Details'!$A:$A, 'Hospitalisation Details'!E:E, "No Data")</f>
        <v>26/12/99</v>
      </c>
      <c r="N2325" s="28">
        <f t="array" ref="N2325">_xlfn.XLOOKUP($A2325, 'Hospitalisation Details'!$A:$A, 'Hospitalisation Details'!K:K, "No Data")</f>
        <v>23</v>
      </c>
      <c r="O2325" s="33">
        <f t="array" ref="O2325">_xlfn.XLOOKUP($A2325, 'Hospitalisation Details'!$A:$A, 'Hospitalisation Details'!G:G, "No Data")</f>
        <v>700</v>
      </c>
      <c r="P2325" s="28" t="str">
        <f t="array" ref="P2325">_xlfn.XLOOKUP($A2325, 'Hospitalisation Details'!$A:$A, 'Hospitalisation Details'!H:H, "No Data")</f>
        <v>tier - 2</v>
      </c>
    </row>
    <row r="2326">
      <c r="A2326" s="25" t="s">
        <v>438</v>
      </c>
      <c r="B2326" s="28" t="str">
        <f t="array" ref="B2326">_xlfn.XLOOKUP($A2326, 'Customer Names'!$A:$A, 'Customer Names'!B:B, "No Data")</f>
        <v>Hines</v>
      </c>
      <c r="C2326" s="28">
        <f t="array" ref="C2326">_xlfn.XLOOKUP($A2326, 'Medical Examinations'!$A:$A, 'Medical Examinations'!B:B, "No Data")</f>
        <v>24.76</v>
      </c>
      <c r="D2326" s="28">
        <f t="array" ref="D2326">_xlfn.XLOOKUP($A2326, 'Medical Examinations'!$A:$A, 'Medical Examinations'!C:C, "No Data")</f>
        <v>4.54</v>
      </c>
      <c r="E2326" s="28" t="str">
        <f t="array" ref="E2326">_xlfn.XLOOKUP($A2326, 'Medical Examinations'!$A:$A, 'Medical Examinations'!D:D, "No Data")</f>
        <v>yes</v>
      </c>
      <c r="F2326" s="28" t="str">
        <f t="array" ref="F2326">_xlfn.XLOOKUP($A2326, 'Medical Examinations'!$A:$A, 'Medical Examinations'!E:E, "No Data")</f>
        <v>No</v>
      </c>
      <c r="G2326" s="28" t="str">
        <f t="array" ref="G2326">_xlfn.XLOOKUP($A2326, 'Medical Examinations'!$A:$A, 'Medical Examinations'!F:F, "No Data")</f>
        <v>No</v>
      </c>
      <c r="H2326" s="28">
        <f t="array" ref="H2326">_xlfn.XLOOKUP($A2326, 'Medical Examinations'!$A:$A, 'Medical Examinations'!G:G, "No Data")</f>
        <v>0</v>
      </c>
      <c r="I2326" s="28" t="str">
        <f t="array" ref="I2326">_xlfn.XLOOKUP($A2326, 'Medical Examinations'!$A:$A, 'Medical Examinations'!H:H, "No Data")</f>
        <v>No</v>
      </c>
      <c r="J2326" s="28" t="str">
        <f t="array" ref="J2326">_xlfn.XLOOKUP($A2326, 'Medical Examinations'!$A:$A, 'Medical Examinations'!I:I, "No Data")</f>
        <v>Normal Weight</v>
      </c>
      <c r="K2326" s="28" t="str">
        <f t="array" ref="K2326">_xlfn.XLOOKUP($A2326, 'Hospitalisation Details'!$A:$A, 'Hospitalisation Details'!I:I, "No Data")</f>
        <v>tier - 2</v>
      </c>
      <c r="L2326" s="28" t="str">
        <f t="array" ref="L2326">_xlfn.XLOOKUP($A2326, 'Hospitalisation Details'!$A:$A, 'Hospitalisation Details'!J:J, "No Data")</f>
        <v>R1013</v>
      </c>
      <c r="M2326" s="28" t="str">
        <f t="array" ref="M2326">_xlfn.XLOOKUP($A2326, 'Hospitalisation Details'!$A:$A, 'Hospitalisation Details'!E:E, "No Data")</f>
        <v>12/09/01</v>
      </c>
      <c r="N2326" s="28">
        <f t="array" ref="N2326">_xlfn.XLOOKUP($A2326, 'Hospitalisation Details'!$A:$A, 'Hospitalisation Details'!K:K, "No Data")</f>
        <v>21</v>
      </c>
      <c r="O2326" s="33">
        <f t="array" ref="O2326">_xlfn.XLOOKUP($A2326, 'Hospitalisation Details'!$A:$A, 'Hospitalisation Details'!G:G, "No Data")</f>
        <v>687.54</v>
      </c>
      <c r="P2326" s="28" t="str">
        <f t="array" ref="P2326">_xlfn.XLOOKUP($A2326, 'Hospitalisation Details'!$A:$A, 'Hospitalisation Details'!H:H, "No Data")</f>
        <v>tier - 3</v>
      </c>
    </row>
    <row r="2327">
      <c r="A2327" s="25" t="s">
        <v>417</v>
      </c>
      <c r="B2327" s="28" t="str">
        <f t="array" ref="B2327">_xlfn.XLOOKUP($A2327, 'Customer Names'!$A:$A, 'Customer Names'!B:B, "No Data")</f>
        <v>Castro</v>
      </c>
      <c r="C2327" s="28">
        <f t="array" ref="C2327">_xlfn.XLOOKUP($A2327, 'Medical Examinations'!$A:$A, 'Medical Examinations'!B:B, "No Data")</f>
        <v>20.1</v>
      </c>
      <c r="D2327" s="28">
        <f t="array" ref="D2327">_xlfn.XLOOKUP($A2327, 'Medical Examinations'!$A:$A, 'Medical Examinations'!C:C, "No Data")</f>
        <v>5.6</v>
      </c>
      <c r="E2327" s="28" t="str">
        <f t="array" ref="E2327">_xlfn.XLOOKUP($A2327, 'Medical Examinations'!$A:$A, 'Medical Examinations'!D:D, "No Data")</f>
        <v>yes</v>
      </c>
      <c r="F2327" s="28" t="str">
        <f t="array" ref="F2327">_xlfn.XLOOKUP($A2327, 'Medical Examinations'!$A:$A, 'Medical Examinations'!E:E, "No Data")</f>
        <v>No</v>
      </c>
      <c r="G2327" s="28" t="str">
        <f t="array" ref="G2327">_xlfn.XLOOKUP($A2327, 'Medical Examinations'!$A:$A, 'Medical Examinations'!F:F, "No Data")</f>
        <v>Yes</v>
      </c>
      <c r="H2327" s="28">
        <f t="array" ref="H2327">_xlfn.XLOOKUP($A2327, 'Medical Examinations'!$A:$A, 'Medical Examinations'!G:G, "No Data")</f>
        <v>1</v>
      </c>
      <c r="I2327" s="28" t="str">
        <f t="array" ref="I2327">_xlfn.XLOOKUP($A2327, 'Medical Examinations'!$A:$A, 'Medical Examinations'!H:H, "No Data")</f>
        <v>No</v>
      </c>
      <c r="J2327" s="28" t="str">
        <f t="array" ref="J2327">_xlfn.XLOOKUP($A2327, 'Medical Examinations'!$A:$A, 'Medical Examinations'!I:I, "No Data")</f>
        <v>Normal Weight</v>
      </c>
      <c r="K2327" s="28" t="str">
        <f t="array" ref="K2327">_xlfn.XLOOKUP($A2327, 'Hospitalisation Details'!$A:$A, 'Hospitalisation Details'!I:I, "No Data")</f>
        <v>tier - 3</v>
      </c>
      <c r="L2327" s="28" t="str">
        <f t="array" ref="L2327">_xlfn.XLOOKUP($A2327, 'Hospitalisation Details'!$A:$A, 'Hospitalisation Details'!J:J, "No Data")</f>
        <v>R1013</v>
      </c>
      <c r="M2327" s="28" t="str">
        <f t="array" ref="M2327">_xlfn.XLOOKUP($A2327, 'Hospitalisation Details'!$A:$A, 'Hospitalisation Details'!E:E, "No Data")</f>
        <v>09/11/97</v>
      </c>
      <c r="N2327" s="28">
        <f t="array" ref="N2327">_xlfn.XLOOKUP($A2327, 'Hospitalisation Details'!$A:$A, 'Hospitalisation Details'!K:K, "No Data")</f>
        <v>25</v>
      </c>
      <c r="O2327" s="33">
        <f t="array" ref="O2327">_xlfn.XLOOKUP($A2327, 'Hospitalisation Details'!$A:$A, 'Hospitalisation Details'!G:G, "No Data")</f>
        <v>670</v>
      </c>
      <c r="P2327" s="28" t="str">
        <f t="array" ref="P2327">_xlfn.XLOOKUP($A2327, 'Hospitalisation Details'!$A:$A, 'Hospitalisation Details'!H:H, "No Data")</f>
        <v>tier - 3</v>
      </c>
    </row>
    <row r="2328">
      <c r="A2328" s="25" t="s">
        <v>378</v>
      </c>
      <c r="B2328" s="28" t="str">
        <f t="array" ref="B2328">_xlfn.XLOOKUP($A2328, 'Customer Names'!$A:$A, 'Customer Names'!B:B, "No Data")</f>
        <v>Howell</v>
      </c>
      <c r="C2328" s="28">
        <f t="array" ref="C2328">_xlfn.XLOOKUP($A2328, 'Medical Examinations'!$A:$A, 'Medical Examinations'!B:B, "No Data")</f>
        <v>21.77</v>
      </c>
      <c r="D2328" s="28">
        <f t="array" ref="D2328">_xlfn.XLOOKUP($A2328, 'Medical Examinations'!$A:$A, 'Medical Examinations'!C:C, "No Data")</f>
        <v>10.67</v>
      </c>
      <c r="E2328" s="28" t="str">
        <f t="array" ref="E2328">_xlfn.XLOOKUP($A2328, 'Medical Examinations'!$A:$A, 'Medical Examinations'!D:D, "No Data")</f>
        <v>No</v>
      </c>
      <c r="F2328" s="28" t="str">
        <f t="array" ref="F2328">_xlfn.XLOOKUP($A2328, 'Medical Examinations'!$A:$A, 'Medical Examinations'!E:E, "No Data")</f>
        <v>No</v>
      </c>
      <c r="G2328" s="28" t="str">
        <f t="array" ref="G2328">_xlfn.XLOOKUP($A2328, 'Medical Examinations'!$A:$A, 'Medical Examinations'!F:F, "No Data")</f>
        <v>No</v>
      </c>
      <c r="H2328" s="28">
        <f t="array" ref="H2328">_xlfn.XLOOKUP($A2328, 'Medical Examinations'!$A:$A, 'Medical Examinations'!G:G, "No Data")</f>
        <v>0</v>
      </c>
      <c r="I2328" s="28" t="str">
        <f t="array" ref="I2328">_xlfn.XLOOKUP($A2328, 'Medical Examinations'!$A:$A, 'Medical Examinations'!H:H, "No Data")</f>
        <v>No</v>
      </c>
      <c r="J2328" s="28" t="str">
        <f t="array" ref="J2328">_xlfn.XLOOKUP($A2328, 'Medical Examinations'!$A:$A, 'Medical Examinations'!I:I, "No Data")</f>
        <v>Normal Weight</v>
      </c>
      <c r="K2328" s="28" t="str">
        <f t="array" ref="K2328">_xlfn.XLOOKUP($A2328, 'Hospitalisation Details'!$A:$A, 'Hospitalisation Details'!I:I, "No Data")</f>
        <v>tier - 2</v>
      </c>
      <c r="L2328" s="28" t="str">
        <f t="array" ref="L2328">_xlfn.XLOOKUP($A2328, 'Hospitalisation Details'!$A:$A, 'Hospitalisation Details'!J:J, "No Data")</f>
        <v>R1012</v>
      </c>
      <c r="M2328" s="28" t="str">
        <f t="array" ref="M2328">_xlfn.XLOOKUP($A2328, 'Hospitalisation Details'!$A:$A, 'Hospitalisation Details'!E:E, "No Data")</f>
        <v>29/11/02</v>
      </c>
      <c r="N2328" s="28">
        <f t="array" ref="N2328">_xlfn.XLOOKUP($A2328, 'Hospitalisation Details'!$A:$A, 'Hospitalisation Details'!K:K, "No Data")</f>
        <v>20</v>
      </c>
      <c r="O2328" s="33">
        <f t="array" ref="O2328">_xlfn.XLOOKUP($A2328, 'Hospitalisation Details'!$A:$A, 'Hospitalisation Details'!G:G, "No Data")</f>
        <v>668</v>
      </c>
      <c r="P2328" s="28" t="str">
        <f t="array" ref="P2328">_xlfn.XLOOKUP($A2328, 'Hospitalisation Details'!$A:$A, 'Hospitalisation Details'!H:H, "No Data")</f>
        <v>tier - 3</v>
      </c>
    </row>
    <row r="2329">
      <c r="A2329" s="25" t="s">
        <v>366</v>
      </c>
      <c r="B2329" s="28" t="str">
        <f t="array" ref="B2329">_xlfn.XLOOKUP($A2329, 'Customer Names'!$A:$A, 'Customer Names'!B:B, "No Data")</f>
        <v>Avery</v>
      </c>
      <c r="C2329" s="28">
        <f t="array" ref="C2329">_xlfn.XLOOKUP($A2329, 'Medical Examinations'!$A:$A, 'Medical Examinations'!B:B, "No Data")</f>
        <v>17.82</v>
      </c>
      <c r="D2329" s="28">
        <f t="array" ref="D2329">_xlfn.XLOOKUP($A2329, 'Medical Examinations'!$A:$A, 'Medical Examinations'!C:C, "No Data")</f>
        <v>5.26</v>
      </c>
      <c r="E2329" s="28" t="str">
        <f t="array" ref="E2329">_xlfn.XLOOKUP($A2329, 'Medical Examinations'!$A:$A, 'Medical Examinations'!D:D, "No Data")</f>
        <v>yes</v>
      </c>
      <c r="F2329" s="28" t="str">
        <f t="array" ref="F2329">_xlfn.XLOOKUP($A2329, 'Medical Examinations'!$A:$A, 'Medical Examinations'!E:E, "No Data")</f>
        <v>No</v>
      </c>
      <c r="G2329" s="28" t="str">
        <f t="array" ref="G2329">_xlfn.XLOOKUP($A2329, 'Medical Examinations'!$A:$A, 'Medical Examinations'!F:F, "No Data")</f>
        <v>No</v>
      </c>
      <c r="H2329" s="28">
        <f t="array" ref="H2329">_xlfn.XLOOKUP($A2329, 'Medical Examinations'!$A:$A, 'Medical Examinations'!G:G, "No Data")</f>
        <v>1</v>
      </c>
      <c r="I2329" s="28" t="str">
        <f t="array" ref="I2329">_xlfn.XLOOKUP($A2329, 'Medical Examinations'!$A:$A, 'Medical Examinations'!H:H, "No Data")</f>
        <v>No</v>
      </c>
      <c r="J2329" s="28" t="str">
        <f t="array" ref="J2329">_xlfn.XLOOKUP($A2329, 'Medical Examinations'!$A:$A, 'Medical Examinations'!I:I, "No Data")</f>
        <v>Underweight</v>
      </c>
      <c r="K2329" s="28" t="str">
        <f t="array" ref="K2329">_xlfn.XLOOKUP($A2329, 'Hospitalisation Details'!$A:$A, 'Hospitalisation Details'!I:I, "No Data")</f>
        <v>tier - 3</v>
      </c>
      <c r="L2329" s="28" t="str">
        <f t="array" ref="L2329">_xlfn.XLOOKUP($A2329, 'Hospitalisation Details'!$A:$A, 'Hospitalisation Details'!J:J, "No Data")</f>
        <v>R1013</v>
      </c>
      <c r="M2329" s="28" t="str">
        <f t="array" ref="M2329">_xlfn.XLOOKUP($A2329, 'Hospitalisation Details'!$A:$A, 'Hospitalisation Details'!E:E, "No Data")</f>
        <v>04/07/95</v>
      </c>
      <c r="N2329" s="28">
        <f t="array" ref="N2329">_xlfn.XLOOKUP($A2329, 'Hospitalisation Details'!$A:$A, 'Hospitalisation Details'!K:K, "No Data")</f>
        <v>27</v>
      </c>
      <c r="O2329" s="33">
        <f t="array" ref="O2329">_xlfn.XLOOKUP($A2329, 'Hospitalisation Details'!$A:$A, 'Hospitalisation Details'!G:G, "No Data")</f>
        <v>650</v>
      </c>
      <c r="P2329" s="28" t="str">
        <f t="array" ref="P2329">_xlfn.XLOOKUP($A2329, 'Hospitalisation Details'!$A:$A, 'Hospitalisation Details'!H:H, "No Data")</f>
        <v>tier - 3</v>
      </c>
    </row>
    <row r="2330">
      <c r="A2330" s="25" t="s">
        <v>348</v>
      </c>
      <c r="B2330" s="28" t="str">
        <f t="array" ref="B2330">_xlfn.XLOOKUP($A2330, 'Customer Names'!$A:$A, 'Customer Names'!B:B, "No Data")</f>
        <v>Bohinski</v>
      </c>
      <c r="C2330" s="28">
        <f t="array" ref="C2330">_xlfn.XLOOKUP($A2330, 'Medical Examinations'!$A:$A, 'Medical Examinations'!B:B, "No Data")</f>
        <v>17.07</v>
      </c>
      <c r="D2330" s="28">
        <f t="array" ref="D2330">_xlfn.XLOOKUP($A2330, 'Medical Examinations'!$A:$A, 'Medical Examinations'!C:C, "No Data")</f>
        <v>5.22</v>
      </c>
      <c r="E2330" s="28" t="str">
        <f t="array" ref="E2330">_xlfn.XLOOKUP($A2330, 'Medical Examinations'!$A:$A, 'Medical Examinations'!D:D, "No Data")</f>
        <v>No</v>
      </c>
      <c r="F2330" s="28" t="str">
        <f t="array" ref="F2330">_xlfn.XLOOKUP($A2330, 'Medical Examinations'!$A:$A, 'Medical Examinations'!E:E, "No Data")</f>
        <v>No</v>
      </c>
      <c r="G2330" s="28" t="str">
        <f t="array" ref="G2330">_xlfn.XLOOKUP($A2330, 'Medical Examinations'!$A:$A, 'Medical Examinations'!F:F, "No Data")</f>
        <v>Yes</v>
      </c>
      <c r="H2330" s="28">
        <f t="array" ref="H2330">_xlfn.XLOOKUP($A2330, 'Medical Examinations'!$A:$A, 'Medical Examinations'!G:G, "No Data")</f>
        <v>1</v>
      </c>
      <c r="I2330" s="28" t="str">
        <f t="array" ref="I2330">_xlfn.XLOOKUP($A2330, 'Medical Examinations'!$A:$A, 'Medical Examinations'!H:H, "No Data")</f>
        <v>No</v>
      </c>
      <c r="J2330" s="28" t="str">
        <f t="array" ref="J2330">_xlfn.XLOOKUP($A2330, 'Medical Examinations'!$A:$A, 'Medical Examinations'!I:I, "No Data")</f>
        <v>Underweight</v>
      </c>
      <c r="K2330" s="28" t="str">
        <f t="array" ref="K2330">_xlfn.XLOOKUP($A2330, 'Hospitalisation Details'!$A:$A, 'Hospitalisation Details'!I:I, "No Data")</f>
        <v>tier - 3</v>
      </c>
      <c r="L2330" s="28" t="str">
        <f t="array" ref="L2330">_xlfn.XLOOKUP($A2330, 'Hospitalisation Details'!$A:$A, 'Hospitalisation Details'!J:J, "No Data")</f>
        <v>R1013</v>
      </c>
      <c r="M2330" s="28" t="str">
        <f t="array" ref="M2330">_xlfn.XLOOKUP($A2330, 'Hospitalisation Details'!$A:$A, 'Hospitalisation Details'!E:E, "No Data")</f>
        <v>01/06/93</v>
      </c>
      <c r="N2330" s="28">
        <f t="array" ref="N2330">_xlfn.XLOOKUP($A2330, 'Hospitalisation Details'!$A:$A, 'Hospitalisation Details'!K:K, "No Data")</f>
        <v>30</v>
      </c>
      <c r="O2330" s="33">
        <f t="array" ref="O2330">_xlfn.XLOOKUP($A2330, 'Hospitalisation Details'!$A:$A, 'Hospitalisation Details'!G:G, "No Data")</f>
        <v>650</v>
      </c>
      <c r="P2330" s="28" t="str">
        <f t="array" ref="P2330">_xlfn.XLOOKUP($A2330, 'Hospitalisation Details'!$A:$A, 'Hospitalisation Details'!H:H, "No Data")</f>
        <v>tier - 3</v>
      </c>
    </row>
    <row r="2331">
      <c r="A2331" s="25" t="s">
        <v>317</v>
      </c>
      <c r="B2331" s="28" t="str">
        <f t="array" ref="B2331">_xlfn.XLOOKUP($A2331, 'Customer Names'!$A:$A, 'Customer Names'!B:B, "No Data")</f>
        <v>Kohls</v>
      </c>
      <c r="C2331" s="28">
        <f t="array" ref="C2331">_xlfn.XLOOKUP($A2331, 'Medical Examinations'!$A:$A, 'Medical Examinations'!B:B, "No Data")</f>
        <v>22.24</v>
      </c>
      <c r="D2331" s="28">
        <f t="array" ref="D2331">_xlfn.XLOOKUP($A2331, 'Medical Examinations'!$A:$A, 'Medical Examinations'!C:C, "No Data")</f>
        <v>4.29</v>
      </c>
      <c r="E2331" s="28" t="str">
        <f t="array" ref="E2331">_xlfn.XLOOKUP($A2331, 'Medical Examinations'!$A:$A, 'Medical Examinations'!D:D, "No Data")</f>
        <v>yes</v>
      </c>
      <c r="F2331" s="28" t="str">
        <f t="array" ref="F2331">_xlfn.XLOOKUP($A2331, 'Medical Examinations'!$A:$A, 'Medical Examinations'!E:E, "No Data")</f>
        <v>No</v>
      </c>
      <c r="G2331" s="28" t="str">
        <f t="array" ref="G2331">_xlfn.XLOOKUP($A2331, 'Medical Examinations'!$A:$A, 'Medical Examinations'!F:F, "No Data")</f>
        <v>No</v>
      </c>
      <c r="H2331" s="28">
        <f t="array" ref="H2331">_xlfn.XLOOKUP($A2331, 'Medical Examinations'!$A:$A, 'Medical Examinations'!G:G, "No Data")</f>
        <v>0</v>
      </c>
      <c r="I2331" s="28" t="str">
        <f t="array" ref="I2331">_xlfn.XLOOKUP($A2331, 'Medical Examinations'!$A:$A, 'Medical Examinations'!H:H, "No Data")</f>
        <v>No</v>
      </c>
      <c r="J2331" s="28" t="str">
        <f t="array" ref="J2331">_xlfn.XLOOKUP($A2331, 'Medical Examinations'!$A:$A, 'Medical Examinations'!I:I, "No Data")</f>
        <v>Normal Weight</v>
      </c>
      <c r="K2331" s="28" t="str">
        <f t="array" ref="K2331">_xlfn.XLOOKUP($A2331, 'Hospitalisation Details'!$A:$A, 'Hospitalisation Details'!I:I, "No Data")</f>
        <v>tier - 3</v>
      </c>
      <c r="L2331" s="28" t="str">
        <f t="array" ref="L2331">_xlfn.XLOOKUP($A2331, 'Hospitalisation Details'!$A:$A, 'Hospitalisation Details'!J:J, "No Data")</f>
        <v>R1012</v>
      </c>
      <c r="M2331" s="28" t="str">
        <f t="array" ref="M2331">_xlfn.XLOOKUP($A2331, 'Hospitalisation Details'!$A:$A, 'Hospitalisation Details'!E:E, "No Data")</f>
        <v>20/11/01</v>
      </c>
      <c r="N2331" s="28">
        <f t="array" ref="N2331">_xlfn.XLOOKUP($A2331, 'Hospitalisation Details'!$A:$A, 'Hospitalisation Details'!K:K, "No Data")</f>
        <v>21</v>
      </c>
      <c r="O2331" s="33">
        <f t="array" ref="O2331">_xlfn.XLOOKUP($A2331, 'Hospitalisation Details'!$A:$A, 'Hospitalisation Details'!G:G, "No Data")</f>
        <v>646.14</v>
      </c>
      <c r="P2331" s="28" t="str">
        <f t="array" ref="P2331">_xlfn.XLOOKUP($A2331, 'Hospitalisation Details'!$A:$A, 'Hospitalisation Details'!H:H, "No Data")</f>
        <v>tier - 3</v>
      </c>
    </row>
    <row r="2332">
      <c r="A2332" s="25" t="s">
        <v>293</v>
      </c>
      <c r="B2332" s="28" t="str">
        <f t="array" ref="B2332">_xlfn.XLOOKUP($A2332, 'Customer Names'!$A:$A, 'Customer Names'!B:B, "No Data")</f>
        <v>Brietzke</v>
      </c>
      <c r="C2332" s="28">
        <f t="array" ref="C2332">_xlfn.XLOOKUP($A2332, 'Medical Examinations'!$A:$A, 'Medical Examinations'!B:B, "No Data")</f>
        <v>22.34</v>
      </c>
      <c r="D2332" s="28">
        <f t="array" ref="D2332">_xlfn.XLOOKUP($A2332, 'Medical Examinations'!$A:$A, 'Medical Examinations'!C:C, "No Data")</f>
        <v>5.57</v>
      </c>
      <c r="E2332" s="28" t="str">
        <f t="array" ref="E2332">_xlfn.XLOOKUP($A2332, 'Medical Examinations'!$A:$A, 'Medical Examinations'!D:D, "No Data")</f>
        <v>No</v>
      </c>
      <c r="F2332" s="28" t="str">
        <f t="array" ref="F2332">_xlfn.XLOOKUP($A2332, 'Medical Examinations'!$A:$A, 'Medical Examinations'!E:E, "No Data")</f>
        <v>No</v>
      </c>
      <c r="G2332" s="28" t="str">
        <f t="array" ref="G2332">_xlfn.XLOOKUP($A2332, 'Medical Examinations'!$A:$A, 'Medical Examinations'!F:F, "No Data")</f>
        <v>No</v>
      </c>
      <c r="H2332" s="28">
        <f t="array" ref="H2332">_xlfn.XLOOKUP($A2332, 'Medical Examinations'!$A:$A, 'Medical Examinations'!G:G, "No Data")</f>
        <v>1</v>
      </c>
      <c r="I2332" s="28" t="str">
        <f t="array" ref="I2332">_xlfn.XLOOKUP($A2332, 'Medical Examinations'!$A:$A, 'Medical Examinations'!H:H, "No Data")</f>
        <v>No</v>
      </c>
      <c r="J2332" s="28" t="str">
        <f t="array" ref="J2332">_xlfn.XLOOKUP($A2332, 'Medical Examinations'!$A:$A, 'Medical Examinations'!I:I, "No Data")</f>
        <v>Normal Weight</v>
      </c>
      <c r="K2332" s="28" t="str">
        <f t="array" ref="K2332">_xlfn.XLOOKUP($A2332, 'Hospitalisation Details'!$A:$A, 'Hospitalisation Details'!I:I, "No Data")</f>
        <v>tier - 3</v>
      </c>
      <c r="L2332" s="28" t="str">
        <f t="array" ref="L2332">_xlfn.XLOOKUP($A2332, 'Hospitalisation Details'!$A:$A, 'Hospitalisation Details'!J:J, "No Data")</f>
        <v>R1013</v>
      </c>
      <c r="M2332" s="28" t="str">
        <f t="array" ref="M2332">_xlfn.XLOOKUP($A2332, 'Hospitalisation Details'!$A:$A, 'Hospitalisation Details'!E:E, "No Data")</f>
        <v>27/07/98</v>
      </c>
      <c r="N2332" s="28">
        <f t="array" ref="N2332">_xlfn.XLOOKUP($A2332, 'Hospitalisation Details'!$A:$A, 'Hospitalisation Details'!K:K, "No Data")</f>
        <v>24</v>
      </c>
      <c r="O2332" s="33">
        <f t="array" ref="O2332">_xlfn.XLOOKUP($A2332, 'Hospitalisation Details'!$A:$A, 'Hospitalisation Details'!G:G, "No Data")</f>
        <v>637.26</v>
      </c>
      <c r="P2332" s="28" t="str">
        <f t="array" ref="P2332">_xlfn.XLOOKUP($A2332, 'Hospitalisation Details'!$A:$A, 'Hospitalisation Details'!H:H, "No Data")</f>
        <v>tier - 3</v>
      </c>
    </row>
    <row r="2333">
      <c r="A2333" s="25" t="s">
        <v>269</v>
      </c>
      <c r="B2333" s="28" t="str">
        <f t="array" ref="B2333">_xlfn.XLOOKUP($A2333, 'Customer Names'!$A:$A, 'Customer Names'!B:B, "No Data")</f>
        <v>Riveros Gonzalez</v>
      </c>
      <c r="C2333" s="28">
        <f t="array" ref="C2333">_xlfn.XLOOKUP($A2333, 'Medical Examinations'!$A:$A, 'Medical Examinations'!B:B, "No Data")</f>
        <v>17.7</v>
      </c>
      <c r="D2333" s="28">
        <f t="array" ref="D2333">_xlfn.XLOOKUP($A2333, 'Medical Examinations'!$A:$A, 'Medical Examinations'!C:C, "No Data")</f>
        <v>6.28</v>
      </c>
      <c r="E2333" s="28" t="str">
        <f t="array" ref="E2333">_xlfn.XLOOKUP($A2333, 'Medical Examinations'!$A:$A, 'Medical Examinations'!D:D, "No Data")</f>
        <v>No</v>
      </c>
      <c r="F2333" s="28" t="str">
        <f t="array" ref="F2333">_xlfn.XLOOKUP($A2333, 'Medical Examinations'!$A:$A, 'Medical Examinations'!E:E, "No Data")</f>
        <v>No</v>
      </c>
      <c r="G2333" s="28" t="str">
        <f t="array" ref="G2333">_xlfn.XLOOKUP($A2333, 'Medical Examinations'!$A:$A, 'Medical Examinations'!F:F, "No Data")</f>
        <v>No</v>
      </c>
      <c r="H2333" s="28">
        <f t="array" ref="H2333">_xlfn.XLOOKUP($A2333, 'Medical Examinations'!$A:$A, 'Medical Examinations'!G:G, "No Data")</f>
        <v>1</v>
      </c>
      <c r="I2333" s="28" t="str">
        <f t="array" ref="I2333">_xlfn.XLOOKUP($A2333, 'Medical Examinations'!$A:$A, 'Medical Examinations'!H:H, "No Data")</f>
        <v>No</v>
      </c>
      <c r="J2333" s="28" t="str">
        <f t="array" ref="J2333">_xlfn.XLOOKUP($A2333, 'Medical Examinations'!$A:$A, 'Medical Examinations'!I:I, "No Data")</f>
        <v>Underweight</v>
      </c>
      <c r="K2333" s="28" t="str">
        <f t="array" ref="K2333">_xlfn.XLOOKUP($A2333, 'Hospitalisation Details'!$A:$A, 'Hospitalisation Details'!I:I, "No Data")</f>
        <v>tier - 3</v>
      </c>
      <c r="L2333" s="28" t="str">
        <f t="array" ref="L2333">_xlfn.XLOOKUP($A2333, 'Hospitalisation Details'!$A:$A, 'Hospitalisation Details'!J:J, "No Data")</f>
        <v>R1013</v>
      </c>
      <c r="M2333" s="28" t="str">
        <f t="array" ref="M2333">_xlfn.XLOOKUP($A2333, 'Hospitalisation Details'!$A:$A, 'Hospitalisation Details'!E:E, "No Data")</f>
        <v>13/09/92</v>
      </c>
      <c r="N2333" s="28">
        <f t="array" ref="N2333">_xlfn.XLOOKUP($A2333, 'Hospitalisation Details'!$A:$A, 'Hospitalisation Details'!K:K, "No Data")</f>
        <v>30</v>
      </c>
      <c r="O2333" s="33">
        <f t="array" ref="O2333">_xlfn.XLOOKUP($A2333, 'Hospitalisation Details'!$A:$A, 'Hospitalisation Details'!G:G, "No Data")</f>
        <v>604.54</v>
      </c>
      <c r="P2333" s="28" t="str">
        <f t="array" ref="P2333">_xlfn.XLOOKUP($A2333, 'Hospitalisation Details'!$A:$A, 'Hospitalisation Details'!H:H, "No Data")</f>
        <v>tier - 3</v>
      </c>
    </row>
    <row r="2334">
      <c r="A2334" s="25" t="s">
        <v>238</v>
      </c>
      <c r="B2334" s="28" t="str">
        <f t="array" ref="B2334">_xlfn.XLOOKUP($A2334, 'Customer Names'!$A:$A, 'Customer Names'!B:B, "No Data")</f>
        <v>Albano</v>
      </c>
      <c r="C2334" s="28">
        <f t="array" ref="C2334">_xlfn.XLOOKUP($A2334, 'Medical Examinations'!$A:$A, 'Medical Examinations'!B:B, "No Data")</f>
        <v>16.47</v>
      </c>
      <c r="D2334" s="28">
        <f t="array" ref="D2334">_xlfn.XLOOKUP($A2334, 'Medical Examinations'!$A:$A, 'Medical Examinations'!C:C, "No Data")</f>
        <v>6.35</v>
      </c>
      <c r="E2334" s="28" t="str">
        <f t="array" ref="E2334">_xlfn.XLOOKUP($A2334, 'Medical Examinations'!$A:$A, 'Medical Examinations'!D:D, "No Data")</f>
        <v>No</v>
      </c>
      <c r="F2334" s="28" t="str">
        <f t="array" ref="F2334">_xlfn.XLOOKUP($A2334, 'Medical Examinations'!$A:$A, 'Medical Examinations'!E:E, "No Data")</f>
        <v>No</v>
      </c>
      <c r="G2334" s="28" t="str">
        <f t="array" ref="G2334">_xlfn.XLOOKUP($A2334, 'Medical Examinations'!$A:$A, 'Medical Examinations'!F:F, "No Data")</f>
        <v>Yes</v>
      </c>
      <c r="H2334" s="28">
        <f t="array" ref="H2334">_xlfn.XLOOKUP($A2334, 'Medical Examinations'!$A:$A, 'Medical Examinations'!G:G, "No Data")</f>
        <v>1</v>
      </c>
      <c r="I2334" s="28" t="str">
        <f t="array" ref="I2334">_xlfn.XLOOKUP($A2334, 'Medical Examinations'!$A:$A, 'Medical Examinations'!H:H, "No Data")</f>
        <v>No</v>
      </c>
      <c r="J2334" s="28" t="str">
        <f t="array" ref="J2334">_xlfn.XLOOKUP($A2334, 'Medical Examinations'!$A:$A, 'Medical Examinations'!I:I, "No Data")</f>
        <v>Underweight</v>
      </c>
      <c r="K2334" s="28" t="str">
        <f t="array" ref="K2334">_xlfn.XLOOKUP($A2334, 'Hospitalisation Details'!$A:$A, 'Hospitalisation Details'!I:I, "No Data")</f>
        <v>tier - 1</v>
      </c>
      <c r="L2334" s="28" t="str">
        <f t="array" ref="L2334">_xlfn.XLOOKUP($A2334, 'Hospitalisation Details'!$A:$A, 'Hospitalisation Details'!J:J, "No Data")</f>
        <v>R1013</v>
      </c>
      <c r="M2334" s="28" t="str">
        <f t="array" ref="M2334">_xlfn.XLOOKUP($A2334, 'Hospitalisation Details'!$A:$A, 'Hospitalisation Details'!E:E, "No Data")</f>
        <v>30/06/93</v>
      </c>
      <c r="N2334" s="28">
        <f t="array" ref="N2334">_xlfn.XLOOKUP($A2334, 'Hospitalisation Details'!$A:$A, 'Hospitalisation Details'!K:K, "No Data")</f>
        <v>29</v>
      </c>
      <c r="O2334" s="33">
        <f t="array" ref="O2334">_xlfn.XLOOKUP($A2334, 'Hospitalisation Details'!$A:$A, 'Hospitalisation Details'!G:G, "No Data")</f>
        <v>600</v>
      </c>
      <c r="P2334" s="28" t="str">
        <f t="array" ref="P2334">_xlfn.XLOOKUP($A2334, 'Hospitalisation Details'!$A:$A, 'Hospitalisation Details'!H:H, "No Data")</f>
        <v>tier - 2</v>
      </c>
    </row>
    <row r="2335">
      <c r="A2335" s="25" t="s">
        <v>205</v>
      </c>
      <c r="B2335" s="28" t="str">
        <f t="array" ref="B2335">_xlfn.XLOOKUP($A2335, 'Customer Names'!$A:$A, 'Customer Names'!B:B, "No Data")</f>
        <v>Rosendahl</v>
      </c>
      <c r="C2335" s="28">
        <f t="array" ref="C2335">_xlfn.XLOOKUP($A2335, 'Medical Examinations'!$A:$A, 'Medical Examinations'!B:B, "No Data")</f>
        <v>17.6</v>
      </c>
      <c r="D2335" s="28">
        <f t="array" ref="D2335">_xlfn.XLOOKUP($A2335, 'Medical Examinations'!$A:$A, 'Medical Examinations'!C:C, "No Data")</f>
        <v>4.39</v>
      </c>
      <c r="E2335" s="28" t="str">
        <f t="array" ref="E2335">_xlfn.XLOOKUP($A2335, 'Medical Examinations'!$A:$A, 'Medical Examinations'!D:D, "No Data")</f>
        <v>No</v>
      </c>
      <c r="F2335" s="28" t="str">
        <f t="array" ref="F2335">_xlfn.XLOOKUP($A2335, 'Medical Examinations'!$A:$A, 'Medical Examinations'!E:E, "No Data")</f>
        <v>No</v>
      </c>
      <c r="G2335" s="28" t="str">
        <f t="array" ref="G2335">_xlfn.XLOOKUP($A2335, 'Medical Examinations'!$A:$A, 'Medical Examinations'!F:F, "No Data")</f>
        <v>No</v>
      </c>
      <c r="H2335" s="28">
        <f t="array" ref="H2335">_xlfn.XLOOKUP($A2335, 'Medical Examinations'!$A:$A, 'Medical Examinations'!G:G, "No Data")</f>
        <v>1</v>
      </c>
      <c r="I2335" s="28" t="str">
        <f t="array" ref="I2335">_xlfn.XLOOKUP($A2335, 'Medical Examinations'!$A:$A, 'Medical Examinations'!H:H, "No Data")</f>
        <v>No</v>
      </c>
      <c r="J2335" s="28" t="str">
        <f t="array" ref="J2335">_xlfn.XLOOKUP($A2335, 'Medical Examinations'!$A:$A, 'Medical Examinations'!I:I, "No Data")</f>
        <v>Underweight</v>
      </c>
      <c r="K2335" s="28" t="str">
        <f t="array" ref="K2335">_xlfn.XLOOKUP($A2335, 'Hospitalisation Details'!$A:$A, 'Hospitalisation Details'!I:I, "No Data")</f>
        <v>tier - 1</v>
      </c>
      <c r="L2335" s="28" t="str">
        <f t="array" ref="L2335">_xlfn.XLOOKUP($A2335, 'Hospitalisation Details'!$A:$A, 'Hospitalisation Details'!J:J, "No Data")</f>
        <v>R1013</v>
      </c>
      <c r="M2335" s="28" t="str">
        <f t="array" ref="M2335">_xlfn.XLOOKUP($A2335, 'Hospitalisation Details'!$A:$A, 'Hospitalisation Details'!E:E, "No Data")</f>
        <v>30/11/92</v>
      </c>
      <c r="N2335" s="28">
        <f t="array" ref="N2335">_xlfn.XLOOKUP($A2335, 'Hospitalisation Details'!$A:$A, 'Hospitalisation Details'!K:K, "No Data")</f>
        <v>30</v>
      </c>
      <c r="O2335" s="33">
        <f t="array" ref="O2335">_xlfn.XLOOKUP($A2335, 'Hospitalisation Details'!$A:$A, 'Hospitalisation Details'!G:G, "No Data")</f>
        <v>570.62</v>
      </c>
      <c r="P2335" s="28" t="str">
        <f t="array" ref="P2335">_xlfn.XLOOKUP($A2335, 'Hospitalisation Details'!$A:$A, 'Hospitalisation Details'!H:H, "No Data")</f>
        <v>tier - 2</v>
      </c>
    </row>
    <row r="2336">
      <c r="A2336" s="25" t="s">
        <v>86</v>
      </c>
      <c r="B2336" s="28" t="str">
        <f t="array" ref="B2336">_xlfn.XLOOKUP($A2336, 'Customer Names'!$A:$A, 'Customer Names'!B:B, "No Data")</f>
        <v>German</v>
      </c>
      <c r="C2336" s="28">
        <f t="array" ref="C2336">_xlfn.XLOOKUP($A2336, 'Medical Examinations'!$A:$A, 'Medical Examinations'!B:B, "No Data")</f>
        <v>17.58</v>
      </c>
      <c r="D2336" s="28">
        <f t="array" ref="D2336">_xlfn.XLOOKUP($A2336, 'Medical Examinations'!$A:$A, 'Medical Examinations'!C:C, "No Data")</f>
        <v>4.51</v>
      </c>
      <c r="E2336" s="28" t="str">
        <f t="array" ref="E2336">_xlfn.XLOOKUP($A2336, 'Medical Examinations'!$A:$A, 'Medical Examinations'!D:D, "No Data")</f>
        <v>No</v>
      </c>
      <c r="F2336" s="28" t="str">
        <f t="array" ref="F2336">_xlfn.XLOOKUP($A2336, 'Medical Examinations'!$A:$A, 'Medical Examinations'!E:E, "No Data")</f>
        <v>No</v>
      </c>
      <c r="G2336" s="28" t="str">
        <f t="array" ref="G2336">_xlfn.XLOOKUP($A2336, 'Medical Examinations'!$A:$A, 'Medical Examinations'!F:F, "No Data")</f>
        <v>No</v>
      </c>
      <c r="H2336" s="28">
        <f t="array" ref="H2336">_xlfn.XLOOKUP($A2336, 'Medical Examinations'!$A:$A, 'Medical Examinations'!G:G, "No Data")</f>
        <v>1</v>
      </c>
      <c r="I2336" s="28" t="str">
        <f t="array" ref="I2336">_xlfn.XLOOKUP($A2336, 'Medical Examinations'!$A:$A, 'Medical Examinations'!H:H, "No Data")</f>
        <v>No</v>
      </c>
      <c r="J2336" s="28" t="str">
        <f t="array" ref="J2336">_xlfn.XLOOKUP($A2336, 'Medical Examinations'!$A:$A, 'Medical Examinations'!I:I, "No Data")</f>
        <v>Underweight</v>
      </c>
      <c r="K2336" s="28" t="str">
        <f t="array" ref="K2336">_xlfn.XLOOKUP($A2336, 'Hospitalisation Details'!$A:$A, 'Hospitalisation Details'!I:I, "No Data")</f>
        <v>tier - 3</v>
      </c>
      <c r="L2336" s="28" t="str">
        <f t="array" ref="L2336">_xlfn.XLOOKUP($A2336, 'Hospitalisation Details'!$A:$A, 'Hospitalisation Details'!J:J, "No Data")</f>
        <v>R1013</v>
      </c>
      <c r="M2336" s="28" t="str">
        <f t="array" ref="M2336">_xlfn.XLOOKUP($A2336, 'Hospitalisation Details'!$A:$A, 'Hospitalisation Details'!E:E, "No Data")</f>
        <v>09/07/92</v>
      </c>
      <c r="N2336" s="28">
        <f t="array" ref="N2336">_xlfn.XLOOKUP($A2336, 'Hospitalisation Details'!$A:$A, 'Hospitalisation Details'!K:K, "No Data")</f>
        <v>30</v>
      </c>
      <c r="O2336" s="33">
        <f t="array" ref="O2336">_xlfn.XLOOKUP($A2336, 'Hospitalisation Details'!$A:$A, 'Hospitalisation Details'!G:G, "No Data")</f>
        <v>563.84</v>
      </c>
      <c r="P2336" s="28" t="str">
        <f t="array" ref="P2336">_xlfn.XLOOKUP($A2336, 'Hospitalisation Details'!$A:$A, 'Hospitalisation Details'!H:H, "No Data")</f>
        <v>tier - 2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>
      <c r="P26" s="18" t="str">
        <f t="array" ref="P26">_xlfn.XLOOKUP($A26, 'Hospitalisation Details'!$A:$A, 'Hospitalisation Details'!N:N, "No Data")</f>
        <v/>
      </c>
    </row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5" width="14.43"/>
  </cols>
  <sheetData>
    <row r="1" ht="225.0" customHeight="1"/>
    <row r="2" ht="225.0" customHeight="1"/>
    <row r="3" ht="225.0" customHeight="1"/>
    <row r="4" ht="225.0" customHeight="1"/>
    <row r="5" ht="225.0" customHeight="1"/>
    <row r="6" ht="225.0" customHeight="1"/>
    <row r="7" ht="225.0" customHeight="1"/>
    <row r="8">
      <c r="A8" s="37" t="s">
        <v>6286</v>
      </c>
    </row>
    <row r="10" ht="22.5" customHeight="1">
      <c r="A10" s="38" t="s">
        <v>6289</v>
      </c>
      <c r="B10" s="38" t="s">
        <v>6293</v>
      </c>
      <c r="C10" s="38" t="s">
        <v>6294</v>
      </c>
      <c r="D10" s="38" t="s">
        <v>6296</v>
      </c>
      <c r="E10" s="38" t="s">
        <v>6297</v>
      </c>
    </row>
    <row r="11" ht="22.5" customHeight="1">
      <c r="A11" s="39" t="s">
        <v>6299</v>
      </c>
      <c r="B11" s="40">
        <v>8042.07</v>
      </c>
      <c r="C11" s="40">
        <v>9586.87</v>
      </c>
      <c r="D11" s="40">
        <v>13850.32</v>
      </c>
      <c r="E11" s="39"/>
    </row>
    <row r="12" ht="22.5" customHeight="1">
      <c r="A12" s="39" t="s">
        <v>6304</v>
      </c>
      <c r="B12" s="40">
        <v>13616.62</v>
      </c>
      <c r="C12" s="40">
        <v>12941.78</v>
      </c>
      <c r="D12" s="39"/>
      <c r="E12" s="39"/>
    </row>
    <row r="13" ht="22.5" customHeight="1">
      <c r="A13" s="39" t="s">
        <v>6308</v>
      </c>
      <c r="B13" s="40">
        <v>17408.24</v>
      </c>
      <c r="C13" s="40">
        <v>17303.73</v>
      </c>
      <c r="D13" s="40">
        <v>15942.6</v>
      </c>
      <c r="E13" s="39"/>
    </row>
    <row r="14" ht="22.5" customHeight="1">
      <c r="A14" s="39" t="s">
        <v>6311</v>
      </c>
      <c r="B14" s="40">
        <v>19163.87</v>
      </c>
      <c r="C14" s="39"/>
      <c r="D14" s="40">
        <v>20954.74</v>
      </c>
      <c r="E14" s="40">
        <v>23275.53</v>
      </c>
    </row>
    <row r="16" ht="22.5" customHeight="1">
      <c r="A16" s="38" t="s">
        <v>6315</v>
      </c>
      <c r="B16" s="38" t="s">
        <v>6316</v>
      </c>
      <c r="C16" s="38" t="s">
        <v>74</v>
      </c>
    </row>
    <row r="17" ht="22.5" customHeight="1">
      <c r="A17" s="39" t="s">
        <v>6316</v>
      </c>
      <c r="B17" s="40">
        <v>15987.19</v>
      </c>
      <c r="C17" s="39"/>
    </row>
    <row r="18" ht="22.5" customHeight="1">
      <c r="A18" s="39" t="s">
        <v>6316</v>
      </c>
      <c r="B18" s="40">
        <v>7386.59</v>
      </c>
      <c r="C18" s="39"/>
    </row>
    <row r="19" ht="22.5" customHeight="1">
      <c r="A19" s="39" t="s">
        <v>6316</v>
      </c>
      <c r="B19" s="40">
        <v>9128.55</v>
      </c>
      <c r="C19" s="39"/>
    </row>
    <row r="20" ht="22.5" customHeight="1">
      <c r="A20" s="39" t="s">
        <v>74</v>
      </c>
      <c r="B20" s="39"/>
      <c r="C20" s="40">
        <v>35258.47</v>
      </c>
    </row>
    <row r="21" ht="22.5" customHeight="1">
      <c r="A21" s="39" t="s">
        <v>74</v>
      </c>
      <c r="B21" s="39"/>
      <c r="C21" s="40">
        <v>31812.45</v>
      </c>
    </row>
    <row r="22" ht="22.5" customHeight="1">
      <c r="A22" s="39" t="s">
        <v>74</v>
      </c>
      <c r="B22" s="39"/>
      <c r="C22" s="40">
        <v>20692.02</v>
      </c>
    </row>
    <row r="24" ht="22.5" customHeight="1">
      <c r="A24" s="38" t="s">
        <v>6315</v>
      </c>
      <c r="B24" s="38" t="s">
        <v>6316</v>
      </c>
      <c r="C24" s="38" t="s">
        <v>74</v>
      </c>
    </row>
    <row r="25" ht="22.5" customHeight="1">
      <c r="A25" s="39" t="s">
        <v>6316</v>
      </c>
      <c r="B25" s="40">
        <v>6382.17</v>
      </c>
      <c r="C25" s="39"/>
    </row>
    <row r="26" ht="22.5" customHeight="1">
      <c r="A26" s="39" t="s">
        <v>6316</v>
      </c>
      <c r="B26" s="40">
        <v>9962.36</v>
      </c>
      <c r="C26" s="39"/>
    </row>
    <row r="27" ht="22.5" customHeight="1">
      <c r="A27" s="39" t="s">
        <v>6316</v>
      </c>
      <c r="B27" s="40">
        <v>8141.43</v>
      </c>
      <c r="C27" s="39"/>
    </row>
    <row r="28" ht="22.5" customHeight="1">
      <c r="A28" s="39" t="s">
        <v>6316</v>
      </c>
      <c r="B28" s="40">
        <v>4058.81</v>
      </c>
      <c r="C28" s="39"/>
    </row>
    <row r="29" ht="22.5" customHeight="1">
      <c r="A29" s="39" t="s">
        <v>74</v>
      </c>
      <c r="B29" s="39"/>
      <c r="C29" s="40">
        <v>24088.08</v>
      </c>
    </row>
    <row r="30" ht="22.5" customHeight="1">
      <c r="A30" s="39" t="s">
        <v>74</v>
      </c>
      <c r="B30" s="39"/>
      <c r="C30" s="40">
        <v>38968.06</v>
      </c>
    </row>
    <row r="31" ht="22.5" customHeight="1">
      <c r="A31" s="39" t="s">
        <v>74</v>
      </c>
      <c r="B31" s="39"/>
      <c r="C31" s="40">
        <v>24905.78</v>
      </c>
    </row>
    <row r="32" ht="22.5" customHeight="1">
      <c r="A32" s="39" t="s">
        <v>74</v>
      </c>
      <c r="B32" s="39"/>
      <c r="C32" s="40">
        <v>25794.88</v>
      </c>
    </row>
    <row r="34" ht="22.5" customHeight="1">
      <c r="A34" s="38" t="s">
        <v>6289</v>
      </c>
      <c r="B34" s="38" t="s">
        <v>6343</v>
      </c>
    </row>
    <row r="35" ht="22.5" customHeight="1">
      <c r="A35" s="39" t="s">
        <v>6299</v>
      </c>
      <c r="B35" s="40">
        <v>9167.9</v>
      </c>
    </row>
    <row r="36" ht="22.5" customHeight="1">
      <c r="A36" s="39" t="s">
        <v>6304</v>
      </c>
      <c r="B36" s="40">
        <v>13348.56</v>
      </c>
    </row>
    <row r="37" ht="22.5" customHeight="1">
      <c r="A37" s="39" t="s">
        <v>6308</v>
      </c>
      <c r="B37" s="40">
        <v>16985.61</v>
      </c>
    </row>
    <row r="38" ht="22.5" customHeight="1">
      <c r="A38" s="39" t="s">
        <v>6311</v>
      </c>
      <c r="B38" s="40">
        <v>21063.17</v>
      </c>
    </row>
    <row r="40" ht="22.5" customHeight="1">
      <c r="A40" s="38" t="s">
        <v>6289</v>
      </c>
      <c r="B40" s="38" t="s">
        <v>6343</v>
      </c>
    </row>
    <row r="41" ht="22.5" customHeight="1">
      <c r="A41" s="39" t="s">
        <v>6299</v>
      </c>
      <c r="B41" s="40">
        <v>9167.9</v>
      </c>
    </row>
    <row r="42" ht="22.5" customHeight="1">
      <c r="A42" s="39" t="s">
        <v>6304</v>
      </c>
      <c r="B42" s="40">
        <v>13348.56</v>
      </c>
    </row>
    <row r="43" ht="22.5" customHeight="1">
      <c r="A43" s="39" t="s">
        <v>6308</v>
      </c>
      <c r="B43" s="40">
        <v>16985.61</v>
      </c>
    </row>
    <row r="44" ht="22.5" customHeight="1">
      <c r="A44" s="39" t="s">
        <v>6311</v>
      </c>
      <c r="B44" s="40">
        <v>21063.17</v>
      </c>
    </row>
    <row r="46" ht="22.5" customHeight="1">
      <c r="A46" s="38" t="s">
        <v>6315</v>
      </c>
      <c r="B46" s="38" t="s">
        <v>6316</v>
      </c>
      <c r="C46" s="38" t="s">
        <v>74</v>
      </c>
    </row>
    <row r="47" ht="22.5" customHeight="1">
      <c r="A47" s="39" t="s">
        <v>6316</v>
      </c>
      <c r="B47" s="40">
        <v>15987.19</v>
      </c>
      <c r="C47" s="39"/>
    </row>
    <row r="48" ht="22.5" customHeight="1">
      <c r="A48" s="39" t="s">
        <v>6316</v>
      </c>
      <c r="B48" s="40">
        <v>7386.59</v>
      </c>
      <c r="C48" s="39"/>
    </row>
    <row r="49" ht="22.5" customHeight="1">
      <c r="A49" s="39" t="s">
        <v>6316</v>
      </c>
      <c r="B49" s="40">
        <v>9128.55</v>
      </c>
      <c r="C49" s="39"/>
    </row>
    <row r="50" ht="22.5" customHeight="1">
      <c r="A50" s="39" t="s">
        <v>74</v>
      </c>
      <c r="B50" s="39"/>
      <c r="C50" s="40">
        <v>35258.47</v>
      </c>
    </row>
    <row r="51" ht="22.5" customHeight="1">
      <c r="A51" s="39" t="s">
        <v>74</v>
      </c>
      <c r="B51" s="39"/>
      <c r="C51" s="40">
        <v>31812.45</v>
      </c>
    </row>
    <row r="52" ht="22.5" customHeight="1">
      <c r="A52" s="39" t="s">
        <v>74</v>
      </c>
      <c r="B52" s="39"/>
      <c r="C52" s="40">
        <v>20692.02</v>
      </c>
    </row>
    <row r="54" ht="22.5" customHeight="1">
      <c r="A54" s="38" t="s">
        <v>6315</v>
      </c>
      <c r="B54" s="38" t="s">
        <v>6316</v>
      </c>
      <c r="C54" s="38" t="s">
        <v>74</v>
      </c>
    </row>
    <row r="55" ht="22.5" customHeight="1">
      <c r="A55" s="39" t="s">
        <v>6316</v>
      </c>
      <c r="B55" s="40">
        <v>6382.17</v>
      </c>
      <c r="C55" s="39"/>
    </row>
    <row r="56" ht="22.5" customHeight="1">
      <c r="A56" s="39" t="s">
        <v>6316</v>
      </c>
      <c r="B56" s="40">
        <v>9962.36</v>
      </c>
      <c r="C56" s="39"/>
    </row>
    <row r="57" ht="22.5" customHeight="1">
      <c r="A57" s="39" t="s">
        <v>6316</v>
      </c>
      <c r="B57" s="40">
        <v>8141.43</v>
      </c>
      <c r="C57" s="39"/>
    </row>
    <row r="58" ht="22.5" customHeight="1">
      <c r="A58" s="39" t="s">
        <v>6316</v>
      </c>
      <c r="B58" s="40">
        <v>4058.81</v>
      </c>
      <c r="C58" s="39"/>
    </row>
    <row r="59" ht="22.5" customHeight="1">
      <c r="A59" s="39" t="s">
        <v>74</v>
      </c>
      <c r="B59" s="39"/>
      <c r="C59" s="40">
        <v>24088.08</v>
      </c>
    </row>
    <row r="60" ht="22.5" customHeight="1">
      <c r="A60" s="39" t="s">
        <v>74</v>
      </c>
      <c r="B60" s="39"/>
      <c r="C60" s="40">
        <v>38968.06</v>
      </c>
    </row>
    <row r="61" ht="22.5" customHeight="1">
      <c r="A61" s="39" t="s">
        <v>74</v>
      </c>
      <c r="B61" s="39"/>
      <c r="C61" s="40">
        <v>24905.78</v>
      </c>
    </row>
    <row r="62" ht="22.5" customHeight="1">
      <c r="A62" s="39" t="s">
        <v>74</v>
      </c>
      <c r="B62" s="39"/>
      <c r="C62" s="40">
        <v>25794.88</v>
      </c>
    </row>
  </sheetData>
  <mergeCells count="1">
    <mergeCell ref="A8:E8"/>
  </mergeCells>
  <dataValidations>
    <dataValidation type="custom" allowBlank="1" showDropDown="1" sqref="B11:E14 B17:C22 B25:C32 B35:B38 B41:B44 B47:C52 B55:C62">
      <formula1>AND(ISNUMBER(B11),(NOT(OR(NOT(ISERROR(DATEVALUE(B11))), AND(ISNUMBER(B11), LEFT(CELL("format", B11))="D")))))</formula1>
    </dataValidation>
  </dataValidations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